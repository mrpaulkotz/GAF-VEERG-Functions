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htdocs\zneagcrc\GAF-VEERG-Functions\Excel\"/>
    </mc:Choice>
  </mc:AlternateContent>
  <xr:revisionPtr revIDLastSave="0" documentId="13_ncr:1_{1FFCE5CA-4E8A-4B86-8F42-A430F3FD1779}" xr6:coauthVersionLast="47" xr6:coauthVersionMax="47" xr10:uidLastSave="{00000000-0000-0000-0000-000000000000}"/>
  <bookViews>
    <workbookView xWindow="735" yWindow="345" windowWidth="36585" windowHeight="19950" firstSheet="1" activeTab="4" xr2:uid="{992023F3-CAB7-4E5B-A348-08D563A0EF40}"/>
  </bookViews>
  <sheets>
    <sheet name="Home" sheetId="71" r:id="rId1"/>
    <sheet name="Results" sheetId="13" r:id="rId2"/>
    <sheet name="Input - Site" sheetId="15" r:id="rId3"/>
    <sheet name="Input - Swine" sheetId="70" r:id="rId4"/>
    <sheet name="4.5.1.1-2 Methane" sheetId="69" r:id="rId5"/>
    <sheet name="4.2.1.3-4 Soil direct N20" sheetId="76" r:id="rId6"/>
    <sheet name="4.2.1.5-6 Soil Atmos Dep" sheetId="97" r:id="rId7"/>
    <sheet name="4.2.1.7-8 Soil leach runoff" sheetId="98" r:id="rId8"/>
    <sheet name="Constants - Swine" sheetId="79" r:id="rId9"/>
    <sheet name="Constants - Common" sheetId="103" r:id="rId10"/>
    <sheet name="Constants - Livestock" sheetId="43" r:id="rId11"/>
    <sheet name="Acknowledgements" sheetId="72" r:id="rId12"/>
    <sheet name="Tab template" sheetId="74" r:id="rId13"/>
  </sheets>
  <externalReferences>
    <externalReference r:id="rId14"/>
  </externalReferences>
  <definedNames>
    <definedName name="Common_Equations.Common_ConvertCH4ToCO2e">_xlfn.LAMBDA(_xlpm.E_CH4,_xlpm.GWP_CH4, _xlpm.E_CH4 * _xlpm.GWP_CH4)</definedName>
    <definedName name="Common_Equations.Common_ConvertCH4ToCO2e_Arguments">_xlfn.LAMBDA(_xlfn.MAKEARRAY(2, 2, _xlfn.LAMBDA(_xlpm.r,_xlpm.c, INDEX({"ECH4","Methane emissions (t CH4)";"GWPCH4","Global warming potential for methane (t CO2-e / t CH4)"}, _xlpm.r, _xlpm.c))))</definedName>
    <definedName name="Common_Equations.Common_ConvertCH4ToCO2e_LatexEquation">_xlfn.LAMBDA("CO2_e = E_{CH4} \times GWP_{CH4}")</definedName>
    <definedName name="Common_Equations.Common_ConvertCH4ToCO2e_NIRReference">_xlfn.LAMBDA("")</definedName>
    <definedName name="Common_Equations.Common_ConvertCH4ToCO2e_Title">_xlfn.LAMBDA("Convert methane emissions to carbon dioxide equivalent emissions")</definedName>
    <definedName name="Common_Equations.Common_ConvertCH4ToCO2e_Unit">_xlfn.LAMBDA("t CO2e")</definedName>
    <definedName name="Common_Equations.Common_ConvertCH4ToCO2e_Variable">_xlfn.LAMBDA("ECH4 CO2e")</definedName>
    <definedName name="Common_Equations.Common_ConvertN2OToCO2e">_xlfn.LAMBDA(_xlpm.E_N2O,_xlpm.GWP_N2O, _xlpm.E_N2O * _xlpm.GWP_N2O)</definedName>
    <definedName name="Common_Equations.Common_ConvertN2OToCO2e_Arguments">_xlfn.LAMBDA(_xlfn.MAKEARRAY(2, 2, _xlfn.LAMBDA(_xlpm.r,_xlpm.c, INDEX({"EN2O","Nitrous oxide emissions (t N2O)";"GWPN2O","Global warming potential for nitrous oxide (t CO2-e / t N2O)"}, _xlpm.r, _xlpm.c))))</definedName>
    <definedName name="Common_Equations.Common_ConvertN2OToCO2e_LatexEquation">_xlfn.LAMBDA("CO2_e = E_{N2O} \times GWP_{N2O}")</definedName>
    <definedName name="Common_Equations.Common_ConvertN2OToCO2e_NIRReference">_xlfn.LAMBDA("")</definedName>
    <definedName name="Common_Equations.Common_ConvertN2OToCO2e_Title">_xlfn.LAMBDA("Convert nitrous oxide emissions to carbon dioxide equivalent emissions")</definedName>
    <definedName name="Common_Equations.Common_ConvertN2OToCO2e_Unit">_xlfn.LAMBDA("t CO2e")</definedName>
    <definedName name="Common_Equations.Common_ConvertN2OToCO2e_Variable">_xlfn.LAMBDA("EN2O CO2e")</definedName>
    <definedName name="Common_InputFunctions.CommonCropping_GetFracWET">_xlfn.LAMBDA(_xlpm.LeachingZone,_xlpm.ProductionSystem,_xlpm.LeachingZoneLookup,_xlpm.LeachingZoneFracWETLookup,_xlpm.ProductionSystemLookup,_xlpm.ProductionSystemFracWETLookup, _xlfn.LET(_xlpm.LeachingZoneFracWET, Common_InputFunctions.Utility_LookupValueInTableNumber(_xlpm.LeachingZone, _xlpm.LeachingZoneLookup, _xlpm.LeachingZoneFracWETLookup), _xlpm.ProductionSystemFracWET, Common_InputFunctions.Utility_LookupValueInTableNumber(_xlpm.ProductionSystem, _xlpm.ProductionSystemLookup, _xlpm.ProductionSystemFracWETLookup), IF(_xlpm.LeachingZoneFracWET + _xlpm.ProductionSystemFracWET &gt; 0, 1, 0)))</definedName>
    <definedName name="Common_InputFunctions.getOverlappingReportingCycle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MAX(0, _xlpm.lastYear - _xlpm.firstYear + 1)))</definedName>
    <definedName name="Common_InputFunctions.getOverlappingReportingPeriod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_xlpm.n, MAX(0, _xlpm.lastYear - _xlpm.firstYear + 1), _xlpm.yrs, _xlfn.SEQUENCE(_xlpm.n, 1, _xlpm.firstYear, 1), _xlpm.starts, DATE(_xlpm.yrs, _xlpm.m, _xlpm.d), _xlpm.ends, _xlfn.MAP(_xlpm.starts, _xlpm.PeriodEnd), _xlpm.tag, IF(_xlpm.starts = _xlpm.ReportingCycleStart, " (This reporting cycle)", ""), _xlpm.startsText, TEXT(_xlpm.starts, "dd mmm yyyy"), _xlpm.endsText, TEXT(_xlpm.ends, "dd mmm yyyy"), IF(_xlpm.n = 0, "", _xlfn.HSTACK(_xlpm.startsText &amp; " to " &amp; _xlpm.endsText &amp; _xlpm.tag))))</definedName>
    <definedName name="Common_InputFunctions.Utility_ConvertStateCommonNameToAbbreviation">_xlfn.LAMBDA(_xlpm.StateCommonName,_xlpm.StateCommonNameArray,_xlpm.StateAbbreviationArray, _xlfn.XLOOKUP(_xlpm.StateCommonName, _xlpm.StateCommonNameArray, _xlpm.StateAbbreviationArray, ""))</definedName>
    <definedName name="Common_InputFunctions.Utility_DisplayArrayInTable">_xlfn.LAMBDA(_xlpm.ArrayData,_xlpm.TableheaderCell,_xlpm.RowsBetweenHeaderandArray,_xlop.ColumnsBetweenHeaderAndArray, IFERROR(INDEX(_xlfn.UNIQUE(_xlpm.ArrayData), ROW() - Common_InputFunctions.Utility_GetArrayTableRowStartNumber(_xlpm.TableheaderCell, _xlpm.RowsBetweenHeaderandArray), COLUMN() - Common_InputFunctions.Utility_GetArrayTableColumnStartNumber(_xlpm.TableheaderCell) + IF(_xlfn.ISOMITTED(_xlpm.ColumnsBetweenHeaderAndArray), 1, _xlpm.ColumnsBetweenHeaderAndArray)), ""))</definedName>
    <definedName name="Common_InputFunctions.Utility_DisplayFunctionName">_xlfn.LAMBDA(_xlpm.Function, _xlfn.TEXTBEFORE(_xlfn.FORMULATEXT(_xlpm.Function), "("))</definedName>
    <definedName name="Common_InputFunctions.Utility_GetArrayTableColumnStartNumber">_xlfn.LAMBDA(_xlpm.TableHeaderCell, COLUMN(_xlpm.TableHeaderCell))</definedName>
    <definedName name="Common_InputFunctions.Utility_GetArrayTableRowStartNumber">_xlfn.LAMBDA(_xlpm.TableheaderCell,_xlpm.RowsBetweenHeaderandArray, ROW(_xlpm.TableheaderCell) + _xlpm.RowsBetweenHeaderandArray - 1)</definedName>
    <definedName name="Common_InputFunctions.Utility_GetClimateZone">_xlfn.LAMBDA(_xlpm.avgTemp,_xlpm.avgRain,_xlpm.frostDays,_xlpm.elev,_xlpm.map_pet,_xlpm.minTempArray,_xlpm.maxTempArray,_xlpm.minRainfallArray,_xlpm.maxRainfallArray,_xlpm.minFrostArray,_xlpm.maxFrostArray,_xlpm.minElevationArray,_xlpm.maxElevationArray,_xlpm.minPETArray,_xlpm.maxPETArray,_xlpm.climateZoneArray, _xlfn.LET(_xlpm.mask, (VALUE(_xlpm.minTempArray) &lt;= _xlpm.avgTemp) * (VALUE(_xlpm.maxTempArray) &gt;= _xlpm.avgTemp) * (VALUE(_xlpm.minRainfallArray) &lt;= _xlpm.avgRain) * (VALUE(_xlpm.maxRainfallArray) &gt;= _xlpm.avgRain) * (VALUE(_xlpm.minFrostArray) &lt;= _xlpm.frostDays) * (VALUE(_xlpm.maxFrostArray) &gt;= _xlpm.frostDays) * (VALUE(_xlpm.minElevationArray) &lt;= _xlpm.elev) * (VALUE(_xlpm.maxElevationArray) &gt;= _xlpm.elev) * (VALUE(_xlpm.minPETArray) &lt;= _xlpm.map_pet) * (VALUE(_xlpm.maxPETArray) &gt;= _xlpm.map_pet), _xlfn.TAKE(_xlfn._xlws.FILTER(_xlpm.climateZoneArray, _xlpm.mask, "No match"), 1)))</definedName>
    <definedName name="Common_InputFunctions.Utility_LookupItemFromMinMax">_xlfn.LAMBDA(_xlpm.LookupValue,_xlpm.MinArray,_xlpm.MaxArray,_xlpm.ItemArray, _xlfn.LET(_xlpm.mask, (VALUE(_xlpm.MinArray) &lt;= _xlpm.LookupValue) * (VALUE(_xlpm.MaxArray) &gt;= _xlpm.LookupValue), _xlfn._xlws.FILTER(_xlpm.ItemArray, _xlpm.mask, "No match")))</definedName>
    <definedName name="Common_InputFunctions.Utility_LookupN2OEFFromProdIrrigationRainfall">_xlfn.LAMBDA(_xlpm.ProductionSystem,_xlpm.IrrigationMethod,_xlpm.RainfallZone,_xlpm.ProductionSystemArray,_xlpm.IrrigationMethodArray,_xlpm.RainfallZoneArray,_xlpm.ReturnArray, _xlfn.LET(_xlpm.IrrigationMethod, IF(_xlpm.IrrigationMethod = "Not irrigated", "Not irrigated", "Any"), _xlpm.RainfallZone, IF(_xlpm.IrrigationMethod = "Not irrigated", _xlpm.RainfallZone, "Any"), _xlfn.XLOOKUP(1, (_xlpm.ProductionSystemArray = _xlpm.ProductionSystem) * (_xlpm.IrrigationMethodArray = _xlpm.IrrigationMethod) * (_xlpm.RainfallZoneArray = _xlpm.RainfallZone), _xlpm.ReturnArray)))</definedName>
    <definedName name="Common_InputFunctions.Utility_LookupValueInTable">_xlfn.LAMBDA(_xlpm.LookupValue,_xlpm.LookupArray,_xlpm.ReturnArray, _xlfn.XLOOKUP(_xlpm.LookupValue, _xlpm.LookupArray, _xlpm.ReturnArray, ""))</definedName>
    <definedName name="Common_InputFunctions.Utility_LookupValueInTableNumber">_xlfn.LAMBDA(_xlpm.LookupValue,_xlpm.LookupArray,_xlpm.ReturnArray, IF(ISNUMBER(_xlfn.XLOOKUP(_xlpm.LookupValue, _xlpm.LookupArray, _xlpm.ReturnArray, "")), _xlfn.XLOOKUP(_xlpm.LookupValue, _xlpm.LookupArray, _xlpm.ReturnArray, ""), 0))</definedName>
    <definedName name="Common_InputFunctions.Utility_LookupValueInTableOneColumnAndHeader">_xlfn.LAMBDA(_xlpm.LookupValue1,_xlpm.LookupValue2,_xlpm.LookupArray1,_xlpm.LookupArray2,_xlpm.ReturnArray, _xlfn.XLOOKUP(_xlpm.LookupValue1, _xlpm.LookupArray1, _xlfn.XLOOKUP(_xlpm.LookupValue2, _xlpm.LookupArray2, _xlpm.ReturnArray)))</definedName>
    <definedName name="Common_InputFunctions.Utility_LookupValueInTableTwoColumns">_xlfn.LAMBDA(_xlpm.LookupValue1,_xlpm.LookupValue2,_xlpm.LookupArray1,_xlpm.LookupArray2,_xlpm.ReturnArray, _xlfn.XLOOKUP(1, (_xlpm.LookupArray1 = _xlpm.LookupValue1) * (_xlpm.LookupArray2 = _xlpm.LookupValue2), _xlpm.ReturnArray, ""))</definedName>
    <definedName name="Common_InputFunctions.Utility_SplitStringIntoArray">_xlfn.LAMBDA(_xlpm.Cell,_xlpm.Delimiter,_xlop.CharacterToRemove1,_xlop.CharacterToRemove2, _xlfn.FILTERXML("&lt;t&gt;&lt;s&gt;" &amp; SUBSTITUTE(SUBSTITUTE(SUBSTITUTE(_xlpm.Cell, _xlpm.CharacterToRemove1, ""), _xlpm.CharacterToRemove2, ""), _xlpm.Delimiter, "&lt;/s&gt;&lt;s&gt;") &amp; "&lt;/s&gt;&lt;/t&gt;", "//s"))</definedName>
    <definedName name="Common_InputFunctions.Utility_SumQuantityFromCriteria">_xlfn.LAMBDA(_xlpm.Criteria1,_xlpm.Criteria1TypeArray,_xlpm.Quantity,_xlop.Multiplier,_xlop.Criteria2,_xlop.Criteria2Array, _xlfn.LET(_xlpm.multiplier, IF(_xlfn.ISOMITTED(_xlpm.Multiplier), 1, _xlpm.Multiplier), _xlpm.quantity, _xlpm.Quantity * _xlpm.multiplier, _xlpm.criteria1, --(_xlpm.Criteria1TypeArray = _xlpm.Criteria1), _xlpm.criteria2, IF(_xlfn.ISOMITTED(_xlpm.Criteria2), 1, --(_xlpm.Criteria2Array = _xlpm.Criteria2)), SUMPRODUCT(_xlpm.criteria1 * _xlpm.criteria2 * _xlpm.quantity)))</definedName>
    <definedName name="Common_SourceData.Common_SourceData_AustralianStatesTerritories_Data">_xlfn.LAMBDA(_xlfn.MAKEARRAY(9, 3, _xlfn.LAMBDA(_xlpm.r,_xlpm.c, INDEX({"State/Territory","Common Name","Abbreviation";"New South Wales","New South Wales","NSW";"Australian Capital Territory","ACT","ACT";"Victoria","Victoria","VIC";"Queensland","Queensland","QLD";"South Australia","South Australia","SA";"Western Australia","Western Australia","WA";"Tasmania","Tasmania","TAS";"Northern Territory","Northern Territory","NT"}, _xlpm.r, _xlpm.c))))</definedName>
    <definedName name="Common_SourceData.Common_SourceData_AustralianStatesTerritories_Source">_xlfn.LAMBDA("")</definedName>
    <definedName name="Common_SourceData.Common_SourceData_AustralianStatesTerritories_Title">_xlfn.LAMBDA("Australian states and territories")</definedName>
    <definedName name="Common_SourceData.Common_SourceData_AustralianStatesTerritories_Unit">_xlfn.LAMBDA("")</definedName>
    <definedName name="Common_SourceData.Common_SourceData_AustralianStatesTerritories_Variable">_xlfn.LAMBDA("")</definedName>
    <definedName name="Common_SourceData.Common_SourceData_ClimateZones_Appendices">_xlfn.LAMBDA(_xlfn.MAKEARRAY(4, 1, _xlfn.LAMBDA(_xlpm.r,_xlpm.c, INDEX({"Note:";"MAT = mean annual temperature";"MAP = mean annual precipitation";"PET = potential evapotranspiration"}, _xlpm.r, _xlpm.c))))</definedName>
    <definedName name="Common_SourceData.Common_SourceData_ClimateZones_Data">_xlfn.LAMBDA(_xlfn.MAKEARRAY(9, 16, _xlfn.LAMBDA(_xlpm.r,_xlpm.c, INDEX({"Climate Zone","MAT","MAP","Frost days per year","Elevation","MAP:PET","Min temp","Max temp","Min rainfall","Max rainfall","Min frost days","Max frost days","Min elevation","Max elevation","Min MAP:PET","Min MAP:PET";"Tropical montane","&gt; 18 C","Any","≤ 7","&gt; 1000 m","Any",18.001,999999,-999999,999999,-999999,7,1000,999999,-999999,999999;"Tropical wet","&gt; 18 C","&gt; 2000 mm","≤ 7","≤ 1000 m","Any",18.001,999999,2000.001,999999,-999999,7,-999999,999.999,-999999,999999;"Tropical moist","&gt; 18 C","&gt; 1000 mm - ≤ 2000 mm","≤ 7","≤ 1000 m","Any",18.001,999999,1000.001,2000,-999999,7,-999999,999.999,-999999,999999;"Tropical dry","&gt; 18 C","≤ 1000 mm","≤ 7","≤ 1000 m","Any",18.001,999999,-999999,1000,-999999,7,-999999,999.999,-999999,999999;"Warm temperate moist","&gt; 10 C","Any","Any","Any","&gt; 1",10.001,999999,-999999,999999,-999999,999999,-999999,999999,1.001,999999;"Warm temperate dry","&gt; 10 C","Any","Any","Any","≤ 1",10.001,999999,-999999,999999,-999999,999999,-999999,999999,-999999,1;"Cool temperate moist","&gt; 0 C - ≤ 10 C","Any","Any","Any","&gt; 1",-999999,10,-999999,999999,-999999,999999,-999999,999999,1.001,999999;"Cool temperate dry","&gt; 0 C - ≤ 10 C","Any","Any","Any","≤ 1",-999999,10,-999999,999999,-999999,999999,-999999,999999,-999999,1}, _xlpm.r, _xlpm.c))))</definedName>
    <definedName name="Common_SourceData.Common_SourceData_ClimateZones_Source">_xlfn.LAMBDA("VEERG 2026: Table 1.3: Climate and Rainfall zone classifications and definitions")</definedName>
    <definedName name="Common_SourceData.Common_SourceData_ClimateZones_Title">_xlfn.LAMBDA("VEERG Australian climate zones")</definedName>
    <definedName name="Common_SourceData.Common_SourceData_ClimateZones_Unit">_xlfn.LAMBDA("")</definedName>
    <definedName name="Common_SourceData.Common_SourceData_ClimateZones_Variable">_xlfn.LAMBDA("")</definedName>
    <definedName name="Common_SourceData.Common_SourceData_ClimateZones_Variation">_xlfn.LAMBDA(_xlfn.MAKEARRAY(5, 1, _xlfn.LAMBDA(_xlpm.r,_xlpm.c, INDEX({"VARIATION OF SOURCE DATA:";"Added warm / cool temperate moist / dry - low frost and high temp classes to accommodate climate scenarios excluded by VEERG criteria.";"Fixed typo in MAT value for warm temperate dry - changed 10 to 11.";"Added min and max columns for MAT, MAP, frost days per year, elevation, MAP:PET to calculate zones from real climate data.";"GAF accepts rainfall as a proxy for precipitation."}, _xlpm.r, _xlpm.c))))</definedName>
    <definedName name="Common_SourceData.Common_SourceData_ConvertGasElementalToMolecular_Data">_xlfn.LAMBDA(_xlfn.MAKEARRAY(8, 4, _xlfn.LAMBDA(_xlpm.r,_xlpm.c, INDEX({"Gas","Conversion factor","Conversion factor 1","Conversion factor 2";"CO2","44/12",44,12;"CH4","16/12",16,12;"N2O","44/28",44,28;"Nox","46/14",46,14;"CO","28/12",28,12;"CO2 Lime","44/12",44,12;"NMVOC","14/12",14,12}, _xlpm.r, _xlpm.c))))</definedName>
    <definedName name="Common_SourceData.Common_SourceData_ConvertGasElementalToMolecular_Source">_xlfn.LAMBDA("XXXXXXX")</definedName>
    <definedName name="Common_SourceData.Common_SourceData_ConvertGasElementalToMolecular_Title">_xlfn.LAMBDA("Factor to convert elemental mass of gas to molecular mass")</definedName>
    <definedName name="Common_SourceData.Common_SourceData_ConvertGasElementalToMolecular_Unit">_xlfn.LAMBDA("factor")</definedName>
    <definedName name="Common_SourceData.Common_SourceData_ConvertGasElementalToMolecular_Variable">_xlfn.LAMBDA("Cg")</definedName>
    <definedName name="Common_SourceData.Common_SourceData_ConvertN2oElementalToMolecularCg_Data">_xlfn.LAMBDA(44 / 28)</definedName>
    <definedName name="Common_SourceData.Common_SourceData_ConvertN2oElementalToMolecularCg_Source">_xlfn.LAMBDA("National Inventory Report 2023 Volume 1")</definedName>
    <definedName name="Common_SourceData.Common_SourceData_ConvertN2oElementalToMolecularCg_Title">_xlfn.LAMBDA("Factor to convert elemental mass of N2O to molecular mass")</definedName>
    <definedName name="Common_SourceData.Common_SourceData_ConvertN2oElementalToMolecularCg_Unit">_xlfn.LAMBDA("factor")</definedName>
    <definedName name="Common_SourceData.Common_SourceData_ConvertN2oElementalToMolecularCg_Variable">_xlfn.LAMBDA("CgN2O")</definedName>
    <definedName name="Common_SourceData.Common_SourceData_DataScores_Scope3_Data">_xlfn.LAMBDA(_xlfn.MAKEARRAY(6, 2, _xlfn.LAMBDA(_xlpm.r,_xlpm.c, INDEX({"Data source","Data score";"International scope 3 database",1;"Australian scope 3 database",2;"State or regional scope 3 database",3;"Emissions intensity calculated from approved method",4;"Verified credential matching ISO14067",5}, _xlpm.r, _xlpm.c))))</definedName>
    <definedName name="Common_SourceData.Common_SourceData_DataScores_Scope3_Source">_xlfn.LAMBDA("VEERG 2026: XXXXXXXX")</definedName>
    <definedName name="Common_SourceData.Common_SourceData_DataScores_Scope3_Title">_xlfn.LAMBDA("Australian data scores for scope 3")</definedName>
    <definedName name="Common_SourceData.Common_SourceData_DataScores_Scope3_Unit">_xlfn.LAMBDA("")</definedName>
    <definedName name="Common_SourceData.Common_SourceData_DataScores_Scope3_Variable">_xlfn.LAMBDA("")</definedName>
    <definedName name="Common_SourceData.Common_SourceData_DataScores_Scope3_Variation">_xlfn.LAMBDA("")</definedName>
    <definedName name="Common_SourceData.Common_SourceData_DensityOfMethane_Data">_xlfn.LAMBDA(0.6784)</definedName>
    <definedName name="Common_SourceData.Common_SourceData_DensityOfMethane_Source">_xlfn.LAMBDA("National Inventory Report 2023 Volume 1: Equations 3.B.1a_2, 3.B.1c_2, 3.B.3_1, 3.B.4g_2")</definedName>
    <definedName name="Common_SourceData.Common_SourceData_DensityOfMethane_Title">_xlfn.LAMBDA("p = density of methane")</definedName>
    <definedName name="Common_SourceData.Common_SourceData_DensityOfMethane_Unit">_xlfn.LAMBDA("kg/m3")</definedName>
    <definedName name="Common_SourceData.Common_SourceData_EFleach_Data">_xlfn.LAMBDA(_xlfn.MAKEARRAY(1, 2, _xlfn.LAMBDA(_xlpm.r,_xlpm.c, INDEX({"EFleach",0.011}, _xlpm.r, _xlpm.c))))</definedName>
    <definedName name="Common_SourceData.Common_SourceData_EFleach_NIRReference">_xlfn.LAMBDA("National Inventory Report Volume 1: Equation 3.D.B_10")</definedName>
    <definedName name="Common_SourceData.Common_SourceData_EFleach_Source">_xlfn.LAMBDA("VEERG 2026:5.5.2.3 Constant Parameters")</definedName>
    <definedName name="Common_SourceData.Common_SourceData_EFleach_Title">_xlfn.LAMBDA("Emission factor for nitrogen leaching and runoff")</definedName>
    <definedName name="Common_SourceData.Common_SourceData_EFleach_Unit">_xlfn.LAMBDA("(kg N2O-N / kg N")</definedName>
    <definedName name="Common_SourceData.Common_SourceData_EFleach_Variation">_xlfn.LAMBDA((""))</definedName>
    <definedName name="Common_SourceData.Common_SourceData_EFN2O_Data">_xlfn.LAMBDA(_xlfn.MAKEARRAY(15, 5, _xlfn.LAMBDA(_xlpm.r,_xlpm.c, INDEX({"Production system j","EFN2O","Production system only","Irrigation method","Rainfall zone";"Irrigated pasture",0.0059,"Pasture","Any","Any";"Irrigated crop",0.007,"Crop","Any","Any";"Non-irrigated pasture",0.0018,"Pasture","Not irrigated","Low rainfall";"Non-irrigated pasture",0.0018,"Pasture","Not irrigated","High rainfall";"Non-irrigated crop (low rainfall)",0.0029,"Crop","Not irrigated","Low rainfall";"Non-irrigated crop (high rainfall)",0.008,"Crop","Not irrigated","High rainfall";"Sugar",0.0199,"Sugar","Any","Any";"Cotton",0.0053,"Cotton","Any","Any";"Horticultural crops",0.0064,"Horticultural crops","Any","Any";"Rice (continuous flooding)",0.003,"Rice","Continuous flooding","Any";"Rice (single and multiple drainage, or alternate wetting and drying)",0.005,"Rice","Single and multiple drainage, or alternate wetting and drying","Any";"Aquaculture",0.0026,"Aquaculture","Any","Any";"Forestry",0.0018,"Forestry","Any","Any"}, _xlpm.r, _xlpm.c))))</definedName>
    <definedName name="Common_SourceData.Common_SourceData_EFN2O_NIRReference">_xlfn.LAMBDA("")</definedName>
    <definedName name="Common_SourceData.Common_SourceData_EFN2O_Source">_xlfn.LAMBDA("VEERG 2026: Table A.2.2.1")</definedName>
    <definedName name="Common_SourceData.Common_SourceData_EFN2O_Title">_xlfn.LAMBDA("Nitrous oxide emission factors for inorganic fertiliser application")</definedName>
    <definedName name="Common_SourceData.Common_SourceData_EFN2O_Unit">_xlfn.LAMBDA("(kg N2O-N / kg N")</definedName>
    <definedName name="Common_SourceData.Common_SourceData_EFN2O_Variation">_xlfn.LAMBDA(_xlfn.MAKEARRAY(5, 1, _xlfn.LAMBDA(_xlpm.r,_xlpm.c, INDEX({"VARIATION OF SOURCE DATA:";"Removed duplicate 'Aquaculture' row.";"Removed asterisks to aid lookup.";"Added 'production system only', 'rainfall zone' and 'irrigation method' columns to aid lookup.";"Duplicated 'non-irrigated pasture' row with same EF for low and high rainfall zones to aid lookup."}, _xlpm.r, _xlpm.c))))</definedName>
    <definedName name="Common_SourceData.Common_SourceData_EFPastureRangeAndPaddock_Data">_xlfn.LAMBDA(_xlfn.MAKEARRAY(3, 2, _xlfn.LAMBDA(_xlpm.r,_xlpm.c, INDEX({"Climate zone","EFPRP";"Wet climate zone",0.006;"Dry climate zone",0.002}, _xlpm.r, _xlpm.c))))</definedName>
    <definedName name="Common_SourceData.Common_SourceData_EFPastureRangeAndPaddock_NIRReference">_xlfn.LAMBDA("")</definedName>
    <definedName name="Common_SourceData.Common_SourceData_EFPastureRangeAndPaddock_Source">_xlfn.LAMBDA("VEERG 2026: Table A.2.2.2")</definedName>
    <definedName name="Common_SourceData.Common_SourceData_EFPastureRangeAndPaddock_Title">_xlfn.LAMBDA("Emission factor for urine and dung deposited on pasture, range or paddock")</definedName>
    <definedName name="Common_SourceData.Common_SourceData_EFPastureRangeAndPaddock_Unit">_xlfn.LAMBDA("kg N2O - N / kg N")</definedName>
    <definedName name="Common_SourceData.Common_SourceData_EFPastureRangeAndPaddock_Variation">_xlfn.LAMBDA("VARIATION FROM SOURCE DATA: Changed 'Dry climate zones' to singular 'Dry climate zone' to aid lookup.")</definedName>
    <definedName name="Common_SourceData.Common_SourceData_FracLEACH_Data">_xlfn.LAMBDA(_xlfn.MAKEARRAY(1, 2, _xlfn.LAMBDA(_xlpm.r,_xlpm.c, INDEX({"FracLEACH",0.24}, _xlpm.r, _xlpm.c))))</definedName>
    <definedName name="Common_SourceData.Common_SourceData_FracLEACH_NIRReference">_xlfn.LAMBDA("National Inventory Report Volume 1: Leaching and runoff (3.D.b.2)")</definedName>
    <definedName name="Common_SourceData.Common_SourceData_FracLEACH_Source">_xlfn.LAMBDA("VEERG 2026:5.5.2.3 Constant Parameters")</definedName>
    <definedName name="Common_SourceData.Common_SourceData_FracLEACH_Title">_xlfn.LAMBDA("Fraction of N that is available for leaching and runoff")</definedName>
    <definedName name="Common_SourceData.Common_SourceData_FracLEACH_Unit">_xlfn.LAMBDA("(Dimensionless")</definedName>
    <definedName name="Common_SourceData.Common_SourceData_FracLEACH_Variation">_xlfn.LAMBDA((""))</definedName>
    <definedName name="Common_SourceData.Common_SourceData_FracWET_Data">_xlfn.LAMBDA(_xlfn.MAKEARRAY(3, 2, _xlfn.LAMBDA(_xlpm.r,_xlpm.c, INDEX({"Is in leaching zone","FracWET";"Yes - in leaching zone",1;"No - not in leaching zone",0}, _xlpm.r, _xlpm.c))))</definedName>
    <definedName name="Common_SourceData.Common_SourceData_FracWET_NIRReference">_xlfn.LAMBDA("")</definedName>
    <definedName name="Common_SourceData.Common_SourceData_FracWET_Source">_xlfn.LAMBDA("VEERG 2026:5.5.2.3 Constant Parameters")</definedName>
    <definedName name="Common_SourceData.Common_SourceData_FracWET_Title">_xlfn.LAMBDA("Fraction of N that is available for leaching and runoff")</definedName>
    <definedName name="Common_SourceData.Common_SourceData_FracWET_Unit">_xlfn.LAMBDA("(Dimensionless")</definedName>
    <definedName name="Common_SourceData.Common_SourceData_FracWET_Variation">_xlfn.LAMBDA((""))</definedName>
    <definedName name="Common_SourceData.Common_SourceData_FracWETIrrigation_Data">_xlfn.LAMBDA(_xlfn.MAKEARRAY(6, 2, _xlfn.LAMBDA(_xlpm.r,_xlpm.c, INDEX({"Irrigation type ir","FracWET";"Not irrigated",0;"Drip irrigation",0;"Sprinkler irrigation",1;"Surface irrigation",1;"Other irrigation",1}, _xlpm.r, _xlpm.c))))</definedName>
    <definedName name="Common_SourceData.Common_SourceData_FracWETIrrigation_NIRReference">_xlfn.LAMBDA("IPCC 2019 Refinement Volume 4: Chapter 11: N2O Emissions from Managed Soils, and CO2 Emissions from Lime and Urea Application")</definedName>
    <definedName name="Common_SourceData.Common_SourceData_FracWETIrrigation_Source">_xlfn.LAMBDA("VEERG 2026: Chapter 1, section 1.8.2 Leaching, climate and rainfall zones")</definedName>
    <definedName name="Common_SourceData.Common_SourceData_FracWETIrrigation_Title">_xlfn.LAMBDA("FracWET for irrigation types")</definedName>
    <definedName name="Common_SourceData.Common_SourceData_FracWETIrrigation_Unit">_xlfn.LAMBDA("dimensionless")</definedName>
    <definedName name="Common_SourceData.Common_SourceData_FracWETIrrigation_Variation">_xlfn.LAMBDA("VARIATION FROM SOURCE DATA: Table created based on VEERG text 'Areas are subject to leaching (i.e., in the leaching zone) when... the land is irrigated (except drip irrigation).'")</definedName>
    <definedName name="Common_SourceData.Common_SourceData_GWP_Data">_xlfn.LAMBDA(_xlfn.MAKEARRAY(8, 2, _xlfn.LAMBDA(_xlpm.r,_xlpm.c, INDEX({"Gas","CO2-e factor";"CO2",1;"CH4",28;"N2O",265;"CF4",6630;"C2F6",12200;"SF6",22800;"NF3",17200}, _xlpm.r, _xlpm.c))))</definedName>
    <definedName name="Common_SourceData.Common_SourceData_GWP_Source">_xlfn.LAMBDA("XXXXXXX")</definedName>
    <definedName name="Common_SourceData.Common_SourceData_GWP_Title">_xlfn.LAMBDA("Global warming potential for greenhouse gases")</definedName>
    <definedName name="Common_SourceData.Common_SourceData_GWP_Unit">_xlfn.LAMBDA("factor")</definedName>
    <definedName name="Common_SourceData.Common_SourceData_GWP_Variable">_xlfn.LAMBDA("GWPN2O")</definedName>
    <definedName name="Common_SourceData.Common_SourceData_LeachingZones_Data">_xlfn.LAMBDA(_xlfn.MAKEARRAY(4, 2, _xlfn.LAMBDA(_xlpm.r,_xlpm.c, INDEX({"Leaching Zone","Leaching criteria";"Leaching occurs","Σ(𝑟𝑎𝑖𝑛)&gt;Σ(𝐸𝑇0)+𝑠𝑜𝑖𝑙 𝑤𝑎𝑡𝑒𝑟 ℎ𝑜𝑙𝑑𝑖𝑛𝑔 𝑐𝑎𝑝𝑎𝑐𝑖𝑡𝑦";"Leaching does not occur","Σ(𝑟𝑎𝑖𝑛)≤Σ(𝐸𝑇0)+𝑠𝑜𝑖𝑙 𝑤𝑎𝑡𝑒𝑟 ℎ𝑜𝑙𝑑𝑖𝑛𝑔 𝑐𝑎𝑝𝑎𝑐𝑖𝑡𝑦"}, _xlpm.r, _xlpm.c))))</definedName>
    <definedName name="Common_SourceData.Common_SourceData_LeachingZones_Source">_xlfn.LAMBDA("VEERG 2026: Table 1.3: Climate and Rainfall zone classifications and definitions")</definedName>
    <definedName name="Common_SourceData.Common_SourceData_LeachingZones_Title">_xlfn.LAMBDA("VEERG Australian leaching zones")</definedName>
    <definedName name="Common_SourceData.Common_SourceData_LeachingZones_Unit">_xlfn.LAMBDA("")</definedName>
    <definedName name="Common_SourceData.Common_SourceData_LeachingZones_Variable">_xlfn.LAMBDA("")</definedName>
    <definedName name="Common_SourceData.Common_SourceData_LeachingZones_Variation">_xlfn.LAMBDA("")</definedName>
    <definedName name="Common_SourceData.Common_SourceData_MonthsToSeasons_Data">_xlfn.LAMBDA(_xlfn.MAKEARRAY(13, 2, _xlfn.LAMBDA(_xlpm.r,_xlpm.c, INDEX({"Month","Season";"January","Summer";"February","Summer";"March","Autumn";"April","Autumn";"May","Autumn";"June","Winter";"July","Winter";"August","Winter";"September","Spring";"October","Spring";"November","Spring";"December","Summer"}, _xlpm.r, _xlpm.c))))</definedName>
    <definedName name="Common_SourceData.Common_SourceData_MonthsToSeasons_NIRReference">_xlfn.LAMBDA("")</definedName>
    <definedName name="Common_SourceData.Common_SourceData_MonthsToSeasons_Source">_xlfn.LAMBDA("")</definedName>
    <definedName name="Common_SourceData.Common_SourceData_MonthsToSeasons_Title">_xlfn.LAMBDA("Months to Seasons Mapping")</definedName>
    <definedName name="Common_SourceData.Common_SourceData_MonthsToSeasons_Unit">_xlfn.LAMBDA("")</definedName>
    <definedName name="Common_SourceData.Common_SourceData_MonthsToSeasons_Variation">_xlfn.LAMBDA("")</definedName>
    <definedName name="Common_SourceData.Common_SourceData_RainfallZones_Data">_xlfn.LAMBDA(_xlfn.MAKEARRAY(3, 4, _xlfn.LAMBDA(_xlpm.r,_xlpm.c, INDEX({"Rainfall Zone","Annual rainfall","Rainfall min","Rainfall max";"High rainfall","Annual rainfall &gt; 600mm",600.001,999999;"Low rainfall","Annual rainfall ≤ 600mm",-999999,600}, _xlpm.r, _xlpm.c))))</definedName>
    <definedName name="Common_SourceData.Common_SourceData_RainfallZones_Source">_xlfn.LAMBDA("VEERG 2026: Table 1.3: Climate and Rainfall zone classifications and definitions")</definedName>
    <definedName name="Common_SourceData.Common_SourceData_RainfallZones_Title">_xlfn.LAMBDA("VEERG Australian rainfall zones")</definedName>
    <definedName name="Common_SourceData.Common_SourceData_RainfallZones_Unit">_xlfn.LAMBDA("")</definedName>
    <definedName name="Common_SourceData.Common_SourceData_RainfallZones_Variable">_xlfn.LAMBDA("")</definedName>
    <definedName name="Common_SourceData.Common_SourceData_RainfallZones_Variation">_xlfn.LAMBDA("VARIATION OF SOURCE DATA: Added extra Rainfall min and Rainfall max columns to calculate zone from real rainfall data.")</definedName>
    <definedName name="Common_SourceData.Common_SourceData_TemperatureZones_Data">_xlfn.LAMBDA(_xlfn.MAKEARRAY(4, 4, _xlfn.LAMBDA(_xlpm.r,_xlpm.c, INDEX({"Temperature Zone","Median Annual Temperature (MAT)","Min MAT","Max MAT";"Warm","≥ 26 C",26,999999;"Temperate","15 - 25 C",15,25.999;"Cool","≤ 14 C",-999999,14.999}, _xlpm.r, _xlpm.c))))</definedName>
    <definedName name="Common_SourceData.Common_SourceData_TemperatureZones_Source">_xlfn.LAMBDA("VEERG 2026: Table 1.3: Climate and Rainfall zone classifications and definitions")</definedName>
    <definedName name="Common_SourceData.Common_SourceData_TemperatureZones_Title">_xlfn.LAMBDA("VEERG Australian temperature zones")</definedName>
    <definedName name="Common_SourceData.Common_SourceData_TemperatureZones_Unit">_xlfn.LAMBDA("")</definedName>
    <definedName name="Common_SourceData.Common_SourceData_TemperatureZones_Variable">_xlfn.LAMBDA("")</definedName>
    <definedName name="Common_SourceData.Common_SourceData_TemperatureZones_Variation">_xlfn.LAMBDA("VARIATION OF SOURCE DATA: Added extra MAT min and MAT max columns to calculate zone from real temperature data.")</definedName>
    <definedName name="Common_SourceData.Common_SourceData_WASA4Areas_Data">_xlfn.LAMBDA(_xlfn.MAKEARRAY(11, 1, _xlfn.LAMBDA(_xlpm.r,_xlpm.c, INDEX({"SA 4 Name";"Bunbury";"Mandurah";"Perth - Inner";"Perth - North East";"Perth - North West";"Perth - South East";"Perth - South West";"Western Australia - Wheat Belt";"Western Australia - Outback (North)";"Western Australia - Outback (South)"}, _xlpm.r, _xlpm.c))))</definedName>
    <definedName name="Common_SourceData.Common_SourceData_WASA4Areas_Source">_xlfn.LAMBDA("Australian Bureau of Statistics (ABS) - Statistical Areas Level 2 - 2021 - Shapefile")</definedName>
    <definedName name="Common_SourceData.Common_SourceData_WASA4Areas_Title">_xlfn.LAMBDA("ABS Statistcal Areas Level 4 - Western Australia")</definedName>
    <definedName name="Common_SourceData.Common_SourceData_WASA4Areas_Unit">_xlfn.LAMBDA("")</definedName>
    <definedName name="Common_SourceData.Common_SourceData_WASA4Areas_Variable">_xlfn.LAMBDA("")</definedName>
    <definedName name="Common_SourceData.Common_SourceData_WetAndDryZones_Data">_xlfn.LAMBDA(_xlfn.MAKEARRAY(15, 2, _xlfn.LAMBDA(_xlpm.r,_xlpm.c, INDEX({"Climate Zone","Wet or Dry Zone";"Tropical montane","Wet climate zone";"Tropical wet","Wet climate zone";"Tropical moist","Wet climate zone";"Tropical dry","Dry climate zone";"Warm temperate moist","Wet climate zone";"Warm temperate dry","Dry climate zone";"Cool temperate moist","Wet climate zone";"Cool temperate dry","Dry climate zone";"Warm temperate moist - low frost","Wet climate zone";"Warm temperate dry - low frost","Dry climate zone";"Warm temperate moist - high temp","Wet climate zone";"Warm temperate dry - high temp","Dry climate zone";"Cool temperate moist - low frost","Wet climate zone";"Cool temperate dry - low frost","Dry climate zone"}, _xlpm.r, _xlpm.c))))</definedName>
    <definedName name="Common_SourceData.Common_SourceData_WetAndDryZones_Source">_xlfn.LAMBDA("VEERG 2026: Table 1.2: Translating climate zones to wet and dry zones")</definedName>
    <definedName name="Common_SourceData.Common_SourceData_WetAndDryZones_Title">_xlfn.LAMBDA("VEERG Australian wet and dry zones")</definedName>
    <definedName name="Common_SourceData.Common_SourceData_WetAndDryZones_Unit">_xlfn.LAMBDA("")</definedName>
    <definedName name="Common_SourceData.Common_SourceData_WetAndDryZones_Variable">_xlfn.LAMBDA("")</definedName>
    <definedName name="Common_SourceData.Common_SourceData_WetAndDryZones_Variation">_xlfn.LAMBDA(_xlfn.MAKEARRAY(3, 1, _xlfn.LAMBDA(_xlpm.r,_xlpm.c, INDEX({"VARIATION OF SOURCE DATA:";"Added warm / cool temperate moist / dry - low frost and high temp classes to accommodate climate scenarios excluded by VEERG criteria.";"Fixed typo - Changed 'Fry' to 'Dry'."}, _xlpm.r, _xlpm.c))))</definedName>
    <definedName name="CommonCropping_InputFunctions.CommonCropping_CalculateFractionResidueRemoved">_xlfn.LAMBDA(_xlpm.TotalResidue,_xlpm.AmountRemoved, (_xlpm.AmountRemoved * 10 ^ 3) / (_xlpm.TotalResidue * 10 ^ 3))</definedName>
    <definedName name="CommonCropping_InputFunctions.CommonCropping_CalculateHarvestIndex">_xlfn.LAMBDA(_xlpm.CropType,_xlpm.CropTypeArray,_xlpm.ResidueCropRatioArray, 1 / (1 + Common_InputFunctions.Utility_LookupValueInTableNumber(_xlpm.CropType, _xlpm.CropTypeArray, _xlpm.ResidueCropRatioArray)))</definedName>
    <definedName name="CommonCropping_InputFunctions.CommonCropping_CalculateResidueCropRatio">_xlfn.LAMBDA(_xlpm.HarvestIndex, (1 - _xlpm.HarvestIndex) / _xlpm.HarvestIndex)</definedName>
    <definedName name="CommonCropping_InputFunctions.CommonCropping_GetFracWET">_xlfn.LAMBDA(_xlpm.LeachingZone,_xlpm.ProductionSystem,_xlpm.LeachingZoneLookup,_xlpm.LeachingZoneFracWETLookup,_xlpm.ProductionSystemLookup,_xlpm.ProductionSystemFracWETLookup, _xlfn.LET(_xlpm.LeachingZoneFracWET, Common_InputFunctions.Utility_LookupValueInTableNumber(_xlpm.LeachingZone, _xlpm.LeachingZoneLookup, _xlpm.LeachingZoneFracWETLookup), _xlpm.ProductionSystemFracWET, Common_InputFunctions.Utility_LookupValueInTableNumber(_xlpm.ProductionSystem, _xlpm.ProductionSystemLookup, _xlpm.ProductionSystemFracWETLookup), IF(_xlpm.LeachingZoneFracWET + _xlpm.ProductionSystemFracWET &gt; 0, 1, 0)))</definedName>
    <definedName name="CommonLivestock_InputFunctions.AverageLiveweightEndOfMonth">_xlfn.LAMBDA(_xlpm.Month,_xlpm.LivestockClass,_xlpm.HeadAtStart,_xlpm.LiveweightAtStart,_xlpm.LiveweightGain, [0]!CommonLivestock_InputFunctions.LivestockMovement_ProportionalAverageLiveweightAddedDuringMonth(_xlpm.Month, _xlpm.LivestockClass, _xlpm.HeadAtStart) + [0]!CommonLivestock_InputFunctions.LivestockMovement_ProportionalAverageLiveweightRemainingAtEndOfMonth(_xlpm.Month, _xlpm.LivestockClass, _xlpm.HeadAtStart, _xlpm.LiveweightAtStart, _xlpm.LiveweightGain))</definedName>
    <definedName name="CommonLivestock_InputFunctions.Livestock_LookupMCFState">_xlfn.LAMBDA(_xlpm.MMS,_xlpm.MMSArray,_xlpm.State,_xlpm.StateArray,_xlpm.ReturnArray, _xlfn.XLOOKUP(_xlpm.MMS, _xlpm.MMSArray, _xlfn.XLOOKUP(_xlpm.State, _xlpm.StateArray, _xlpm.ReturnArray)))</definedName>
    <definedName name="CommonLivestock_InputFunctions.LivestockMovement_AverageLiveweightAddedDuringMonth">_xlfn.LAMBDA(_xlpm.Month,_xlpm.LivestockClass, IFERROR([0]!CommonLivestock_InputFunctions.LivestockMovement_TotalLiveweightAddedDuringMonth(_xlpm.Month, _xlpm.LivestockClass) / [0]!CommonLivestock_InputFunctions.LivestockMovement_HeadAddedDuringMonth(_xlpm.Month, _xlpm.LivestockClass), 0))</definedName>
    <definedName name="CommonLivestock_InputFunctions.LivestockMovement_GetMovementLiveweightGain" localSheetId="9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GetMovementLiveweightGain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HeadAddedDuringMonth" localSheetId="9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tEndOfMonth">_xlfn.LAMBDA(_xlpm.HeadAtStart,_xlpm.Month,_xlpm.LivestockClass, _xlpm.HeadAtStart + [0]!CommonLivestock_InputFunctions.LivestockMovement_HeadAddedDuringMonth(_xlpm.Month, _xlpm.LivestockClass) - [0]!CommonLivestock_InputFunctions.LivestockMovement_HeadLostDuringMonth(_xlpm.Month, _xlpm.LivestockClass))</definedName>
    <definedName name="CommonLivestock_InputFunctions.LivestockMovement_HeadLostDuringMonth" localSheetId="9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Lost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RemainingAtMonthEnd">_xlfn.LAMBDA(_xlpm.Month,_xlpm.LivestockClass,_xlpm.HeadAtStartOfMonth, MAX(_xlpm.HeadAtStartOfMonth - [0]!CommonLivestock_InputFunctions.LivestockMovement_HeadLostDuringMonth(_xlpm.Month, _xlpm.LivestockClass), 0))</definedName>
    <definedName name="CommonLivestock_InputFunctions.LivestockMovement_LiveweightAddedDuringMonth">_xlfn.LAMBDA(_xlpm.LivestockClass,_xlpm.MovementDate,_xlpm.WeightAtMovementDate,_xlpm.Head, IFERROR(_xlpm.Head * (_xlpm.WeightAtMovementDate + [0]!CommonLivestock_InputFunctions.LivestockMovement_LiveweightGrownDuringMonthPerHead(_xlpm.LivestockClass, _xlpm.MovementDate)), 0))</definedName>
    <definedName name="CommonLivestock_InputFunctions.LivestockMovement_LiveweightGrownDuringMonthPerHead">_xlfn.LAMBDA(_xlpm.LivestockClass,_xlpm.MovementDate, IFERROR([0]!CommonLivestock_InputFunctions.LivestockMovement_GetMovementLiveweightGain(_xlpm.LivestockClass, _xlpm.MovementDate) * CommonLivestock_InputFunctions.LivestockMovement_DaysMovementToMonthEnd(_xlpm.MovementDate), 0))</definedName>
    <definedName name="CommonLivestock_InputFunctions.LivestockMovement_LiveweightGrownFromMonthStartPerHead">_xlfn.LAMBDA(_xlpm.LivestockClass,_xlpm.Month, [0]!CommonLivestock_InputFunctions.LivestockMovement_LiveweightGrownDuringMonthPerHead(_xlpm.LivestockClass, EOMONTH(_xlpm.Month, -1) + 1))</definedName>
    <definedName name="CommonLivestock_InputFunctions.LivestockMovement_LiveweightGrownFromMonthStartTotal">_xlfn.LAMBDA(_xlpm.LivestockClass,_xlpm.Month,_xlpm.HeadAtStartOfMonth, [0]!CommonLivestock_InputFunctions.LivestockMovement_HeadRemainingAtMonthEnd(_xlpm.Month, _xlpm.LivestockClass, _xlpm.HeadAtStartOfMonth) * [0]!CommonLivestock_InputFunctions.LivestockMovement_LiveweightGrownFromMonthStartPerHead(_xlpm.LivestockClass, _xlpm.Month))</definedName>
    <definedName name="CommonLivestock_InputFunctions.LivestockMovement_LiveweightGrownFromMovementDateTotal">_xlfn.LAMBDA(_xlpm.LivestockClass,_xlpm.MovementDate,_xlpm.Head, [0]!CommonLivestock_InputFunctions.LivestockMovement_LiveweightGrownDuringMonthPerHead(_xlpm.LivestockClass, _xlpm.MovementDate) * _xlpm.Head)</definedName>
    <definedName name="CommonLivestock_InputFunctions.LivestockMovement_ProportionalAverageLiveweightAddedDuringMonth">_xlfn.LAMBDA(_xlpm.Month,_xlpm.LivestockClass,_xlpm.HeadAtStart, [0]!CommonLivestock_InputFunctions.LivestockMovement_ProportionHeadAddedDuringMonth(_xlpm.Month, _xlpm.LivestockClass, _xlpm.HeadAtStart) * [0]!CommonLivestock_InputFunctions.LivestockMovement_AverageLiveweightAddedDuringMonth(_xlpm.Month, _xlpm.LivestockClass))</definedName>
    <definedName name="CommonLivestock_InputFunctions.LivestockMovement_ProportionalAverageLiveweightRemainingAtEndOfMonth">_xlfn.LAMBDA(_xlpm.Month,_xlpm.LivestockClass,_xlpm.HeadAtStart,_xlpm.LiveweightAtStart,_xlpm.LiveweightGain, [0]!CommonLivestock_InputFunctions.LivestockMovement_ProportionHeadRemainingAtEndOfMonth(_xlpm.Month, _xlpm.LivestockClass, _xlpm.HeadAtStart) * CommonLivestock_InputFunctions.LivestockMovement_AverageLiveweightRemainingHead(_xlpm.Month, _xlpm.LiveweightAtStart, _xlpm.LiveweightGain))</definedName>
    <definedName name="CommonLivestock_InputFunctions.LivestockMovement_ProportionHeadAddedDuringMonth">_xlfn.LAMBDA(_xlpm.Month,_xlpm.LivestockClass,_xlpm.HeadAtStart, IFERROR(MIN(1, [0]!CommonLivestock_InputFunctions.LivestockMovement_HeadAddedDuringMonth(_xlpm.Month, _xlpm.LivestockClass) / [0]!CommonLivestock_InputFunctions.LivestockMovement_HeadAtEndOfMonth(_xlpm.HeadAtStart, _xlpm.Month, _xlpm.LivestockClass)), 0))</definedName>
    <definedName name="CommonLivestock_InputFunctions.LivestockMovement_ProportionHeadRemainingAtEndOfMonth">_xlfn.LAMBDA(_xlpm.Month,_xlpm.LivestockClass,_xlpm.HeadAtStart, IFERROR(MIN(1, [0]!CommonLivestock_InputFunctions.LivestockMovement_HeadRemainingAtMonthEnd(_xlpm.Month, _xlpm.LivestockClass, _xlpm.HeadAtStart) / [0]!CommonLivestock_InputFunctions.LivestockMovement_HeadAtEndOfMonth(_xlpm.HeadAtStart, _xlpm.Month, _xlpm.LivestockClass)), 0))</definedName>
    <definedName name="CommonLivestock_InputFunctions.LivestockMovement_TotalLiveweightAddedDuringMonth" localSheetId="9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 localSheetId="9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AddedAndRemaining">_xlfn.LAMBDA(_xlpm.Month,_xlpm.LivestockClass,_xlpm.HeadAtStart, [0]!CommonLivestock_InputFunctions.LivestockMovement_LiveweightGrownFromMonthStartTotal(_xlpm.LivestockClass, _xlpm.Month, _xlpm.HeadAtStart) + [0]!CommonLivestock_InputFunctions.LivestockMovement_TotalLiveweightGrownDuringMonth(_xlpm.Month, _xlpm.LivestockClass))</definedName>
    <definedName name="CommonLivestock_SourceData.SourceData_Livestock_Common_FracLEACH_MS_Data">_xlfn.LAMBDA(_xlfn.MAKEARRAY(8, 2, _xlfn.LAMBDA(_xlpm.r,_xlpm.c, INDEX({"Production system","Emission factor";"Irrigated pasture",0.0059;"Irrigated crop",0.007;"Non-irrigated pasture",0.0018;"Non-irrigated crop",0.0041;"Sugar cane",0.0199;"Cotton",0.0053;"Horticulture",0.0064}, _xlpm.r, _xlpm.c))))</definedName>
    <definedName name="CommonLivestock_SourceData.SourceData_Livestock_Common_FracLEACH_MS_Source">_xlfn.LAMBDA("National Inventory Report 2023 Volume 1: Equations 3.B.5a_3, 3.B.5c_3, 3.B.5d_3")</definedName>
    <definedName name="CommonLivestock_SourceData.SourceData_Livestock_Common_FracLEACH_MS_Title">_xlfn.LAMBDA("Fraction of N lost through leaching and runoff")</definedName>
    <definedName name="CommonLivestock_SourceData.SourceData_Livestock_Common_FracLEACH_MS_Unit">_xlfn.LAMBDA("Fraction")</definedName>
    <definedName name="CommonLivestock_SourceData.SourceData_Livestock_Common_FracWETMMS_Data">_xlfn.LAMBDA(1)</definedName>
    <definedName name="CommonLivestock_SourceData.SourceData_Livestock_Common_FracWETMMS_Source">_xlfn.LAMBDA("National Inventory Report 2023 Volume 1: Equations 3.B.5a_3, 3.B.5c_3, 3.B.5d_3")</definedName>
    <definedName name="CommonLivestock_SourceData.SourceData_Livestock_Common_FracWETMMS_Title">_xlfn.LAMBDA("Fraction of N available for leaching and runoff")</definedName>
    <definedName name="CommonLivestock_SourceData.SourceData_Livestock_Common_FracWETMMS_Unit">_xlfn.LAMBDA("Fraction")</definedName>
    <definedName name="CommonLivestock_SourceData.SourceData_Livestock_Common_SymbolsMMS_Data">_xlfn.LAMBDA(_xlfn.MAKEARRAY(19, 3, _xlfn.LAMBDA(_xlpm.r,_xlpm.c, INDEX({"Symbol","Manure management system","";"1","Anaerobic lagoon","Anaerobic lagoon (m=1)";"2","Liquid systems","Liquid systems (m=2)";"3","Daily spread","Daily spread (m=3)";"3a","Sump and dispersal system","Sump and dispersal system (m=3a)";"3b","Drains to paddock","Drains to paddock (m=3b)";"4","Solid storage","Solid storage (m=4)";"5","Drylot (feed pad)","Drylot (feed pad) (m=5)";"6","Composting (passive windrow)","Composting (passive windrow) (m=6)";"7","Digester / covered lagoons","Digester / covered lagoons (m=7)";"8","Deep litter","Deep litter (m=8)";"9","Pit storage","Pit storage (m=9)";"10","Poultry manure with bedding","Poultry manure with bedding (m=10)";"11","Poultry manure without bedding","Poultry manure without bedding (m=11)";"11a","Belt manure removal","Belt manure removal (m=11a)";"11b","Manure stored in house","Manure stored in house (m=11b)";"12","Direct processing","Direct processing (m=12)";"13","Direct application","Direct application (m=13)";"14","Pasture range and paddock","Pasture range and paddock (m=14)"}, _xlpm.r, _xlpm.c))))</definedName>
    <definedName name="CommonLivestock_SourceData.SourceData_Livestock_Common_SymbolsMMS_Source">_xlfn.LAMBDA("National Inventory Report 2023 Volume 1: Table 5.12")</definedName>
    <definedName name="CommonLivestock_SourceData.SourceData_Livestock_Common_SymbolsMMS_Title">_xlfn.LAMBDA("Table 5.12 Additional symbols used in algorithms for manure related emissions")</definedName>
    <definedName name="CommonLivestock_SourceData.SourceData_Livestock_Common_SymbolsMMS_Unit">_xlfn.LAMBDA("")</definedName>
    <definedName name="CommonLivestock_SourceData.SourceData_Livestock_Common_SymbolsMMS_Vairable">_xlfn.LAMBDA("MMS")</definedName>
    <definedName name="getOverlappingReportingCycles">_xlfn.LAMBDA(_xlpm.ProductionCycleStart,_xlpm.ProductionCycleEnd,_xlpm.ReportingStartMonth,_xlpm.ReportingStartDay, _xlfn.LET(_xlpm.S, _xlpm.ProductionCycleStart, _xlpm.E, _xlpm.ProductionCycleEnd, _xlpm.m, _xlpm.ReportingStartMonth, _xlpm.d, _xlpm.ReportingStartDay, _xlpm.A, _xlpm.S - 364, _xlpm.ya, YEAR(_xlpm.A), _xlpm.yb, YEAR(_xlpm.E), _xlpm.firstYear, _xlpm.ya + (DATE(_xlpm.ya, _xlpm.m, _xlpm.d) &lt; _xlpm.A), _xlpm.lastYear, _xlpm.yb - (DATE(_xlpm.yb, _xlpm.m, _xlpm.d) &gt; _xlpm.E), MAX(0, _xlpm.lastYear - _xlpm.firstYear + 1)))</definedName>
    <definedName name="Inoput_Cell_Livestock_antibiotics">#REF!</definedName>
    <definedName name="Inoput_Cell_Livestockantibiotics">#REF!</definedName>
    <definedName name="Input_Cell_CO2_for_carbonation">#REF!</definedName>
    <definedName name="Input_Cell_CO2forcarbonation">#REF!</definedName>
    <definedName name="Input_Cell_Livestock_antibiotics">#REF!</definedName>
    <definedName name="Input_Cell_Livestock_tags">#REF!</definedName>
    <definedName name="Input_Cell_LivestockAntibiotics">#REF!</definedName>
    <definedName name="Input_Cell_Nylon_netting_for_horticulture">#REF!</definedName>
    <definedName name="Input_Cell_Nylonnettingforhorticulture">#REF!</definedName>
    <definedName name="Input_Cell_Pallets__Plastic">#REF!</definedName>
    <definedName name="Input_Cell_Pallets__Wood">#REF!</definedName>
    <definedName name="Input_Cell_Pallets_Plastic">#REF!</definedName>
    <definedName name="Input_Cell_Pallets_Wood">#REF!</definedName>
    <definedName name="InputFunctions_PastureBeef.ConvertMonthlyCalvingToSeason">_xlfn.LAMBDA(_xlpm.Season,_xlpm.SumArray,_xlpm.CalvingMonthArray,_xlpm.MonthArray,_xlpm.MonthToSeasonArray, _xlfn.LET(_xlpm.MonthText, TEXT(_xlpm.CalvingMonthArray, "mmmm"), _xlpm.SeasonPerRow, _xlfn.XLOOKUP(_xlpm.MonthText, _xlpm.MonthArray, _xlpm.MonthToSeasonArray, "", 0), SUM(_xlpm.SumArray * (_xlpm.SeasonPerRow = _xlpm.Season))))</definedName>
    <definedName name="InputFunctions_PastureBeef.LookupLiveweightFromMonth">_xlfn.LAMBDA(_xlpm.State,_xlpm.Region,_xlpm.Month,_xlpm.LivestockClass,_xlpm.StateArray,_xlpm.RegionArray,_xlpm.SeasonArray,_xlpm.LivestockClassArray,_xlpm.ReturnArray,_xlpm.StateCommonNameArray,_xlpm.StateAbbreviationArray,_xlpm.MonthArray,_xlpm.MonthToSeasonArray, _xlfn.LET(_xlpm.Month, TEXT(_xlpm.Month, "mmmm"), _xlpm.State, _xlfn.XLOOKUP(_xlpm.State, _xlpm.StateCommonNameArray, _xlpm.StateAbbreviationArray), _xlpm.Season, _xlfn.XLOOKUP(_xlpm.Month, _xlpm.MonthArray, _xlpm.MonthToSeasonArray), _xlfn.XLOOKUP(1, (_xlpm.StateArray = _xlpm.State) * (_xlpm.RegionArray = _xlpm.Region) * (_xlpm.SeasonArray = _xlpm.Season), _xlfn.XLOOKUP(_xlpm.LivestockClass, _xlpm.LivestockClassArray, _xlpm.ReturnArray))))</definedName>
    <definedName name="InputFunctions_PastureBeef.LookupLiveweightFromSeason">_xlfn.LAMBDA(_xlpm.State,_xlpm.Region,_xlpm.Season,_xlpm.LivestockClass,_xlpm.StateArray,_xlpm.RegionArray,_xlpm.SeasonArray,_xlpm.LivestockClassArray,_xlpm.ReturnArray,_xlpm.StateCommonNameArray,_xlpm.StateAbbreviationArray, _xlfn.LET(_xlpm.State, _xlfn.XLOOKUP(_xlpm.State, _xlpm.StateCommonNameArray, _xlpm.StateAbbreviationArray), _xlfn.XLOOKUP(1, (_xlpm.StateArray = _xlpm.State) * (_xlpm.RegionArray = _xlpm.Region) * (_xlpm.SeasonArray = _xlpm.Season), _xlfn.XLOOKUP(_xlpm.LivestockClass, _xlpm.LivestockClassArray, _xlpm.ReturnArray))))</definedName>
    <definedName name="ManureManagement_Swine_Methane.VEERG_4_5_1_1__1_TotalAnnualMethaneEmissions">_xlfn.LAMBDA(_xlpm.Dj,_xlpm.Mmj,_xlpm.Nj, _xlpm.Dj * _xlpm.Mmj * _xlpm.Nj * 10 ^ -3)</definedName>
    <definedName name="ManureManagement_Swine_Methane.VEERG_4_5_1_1__1_TotalAnnualMethaneEmissions_Arguments">_xlfn.LAMBDA(_xlfn.MAKEARRAY(3, 2, _xlfn.LAMBDA(_xlpm.r,_xlpm.c, INDEX({"Dj","length of stay of each class of swine : days";"Mmj","methane production from manure in each swine class : kg CH4/head/day";"Nj","numbers of swine in each class : head"}, _xlpm.r, _xlpm.c))))</definedName>
    <definedName name="ManureManagement_Swine_Methane.VEERG_4_5_1_1__1_TotalAnnualMethaneEmissions_Source">_xlfn.LAMBDA("VEERG 2026: 4.5.1.1, Equation (1)")</definedName>
    <definedName name="ManureManagement_Swine_Methane.VEERG_4_5_1_1__1_TotalAnnualMethaneEmissions_Title">_xlfn.LAMBDA("Total annual methane emissions from manure management")</definedName>
    <definedName name="ManureManagement_Swine_Methane.VEERG_4_5_1_1__1_TotalAnnualMethaneEmissions_Unit">_xlfn.LAMBDA("t CH4")</definedName>
    <definedName name="ManureManagement_Swine_Methane.VEERG_4_5_1_1__1_TotalAnnualMethaneEmissions_Variable">_xlfn.LAMBDA("ECH4")</definedName>
    <definedName name="ManureManagement_Swine_Methane.VEERG_4_5_1_1__2_MethaneProductionPerClass_Arguments">_xlfn.LAMBDA(_xlfn.MAKEARRAY(1, 2, _xlfn.LAMBDA(_xlpm.r,_xlpm.c, INDEX({"MjmT","methane production from manure per class, MMS, and treatment stage : kg CH4/head/day"}, _xlpm.r, _xlpm.c))))</definedName>
    <definedName name="ManureManagement_Swine_Methane.VEERG_4_5_1_1__2_MethaneProductionPerClass_Source">_xlfn.LAMBDA("VEERG 2026: 4.5.1.1, Equation (2)")</definedName>
    <definedName name="ManureManagement_Swine_Methane.VEERG_4_5_1_1__2_MethaneProductionPerClass_Title">_xlfn.LAMBDA("Methane production from the manure of each class of swine")</definedName>
    <definedName name="ManureManagement_Swine_Methane.VEERG_4_5_1_1__2_MethaneProductionPerClass_Unit">_xlfn.LAMBDA("kg CH4/head/day")</definedName>
    <definedName name="ManureManagement_Swine_Methane.VEERG_4_5_1_1__2_MethaneProductionPerClass_Variable">_xlfn.LAMBDA("Mmj")</definedName>
    <definedName name="ManureManagement_Swine_Methane.VEERG_4_5_1_1__2_MethaneProductionPerClass_Variation">_xlfn.LAMBDA("VARIATION ON SOURCE: Split variable Mjm into MjmT1 and MjmT2 for stage 1 and 2 MMS.")</definedName>
    <definedName name="ManureManagement_Swine_Methane.VEERG_4_5_1_1__2_MethaneProductionPerClassVariation">_xlfn.LAMBDA(_xlpm.MjmT1,_xlpm.MjmT2, SUM(_xlpm.MjmT1, _xlpm.MjmT2))</definedName>
    <definedName name="ManureManagement_Swine_Methane.VEERG_4_5_1_1__3_Stage1MethaneProduction">_xlfn.LAMBDA(_xlpm.VSj,_xlpm.FVSjmT1,_xlpm.MCFim,_xlpm.BO,_xlpm.rho, _xlpm.VSj * _xlpm.FVSjmT1 * _xlpm.MCFim * _xlpm.BO * _xlpm.rho)</definedName>
    <definedName name="ManureManagement_Swine_Methane.VEERG_4_5_1_1__3_Stage1MethaneProduction_Arguments">_xlfn.LAMBDA(_xlfn.MAKEARRAY(5, 2, _xlfn.LAMBDA(_xlpm.r,_xlpm.c, INDEX({"VSj","volatile solid production from swine in each class : kg/head/day";"FVSjmT1","fraction of volatile solids in each primary system : fraction";"MCFim","methane conversion factor for temperate zone and system : fraction";"BO","emissions potential : m3 CH4/kg VS";"rho","density of methane : kg/m3"}, _xlpm.r, _xlpm.c))))</definedName>
    <definedName name="ManureManagement_Swine_Methane.VEERG_4_5_1_1__3_Stage1MethaneProduction_Source">_xlfn.LAMBDA("VEERG 2026: 4.5.1.1, Equation (3)")</definedName>
    <definedName name="ManureManagement_Swine_Methane.VEERG_4_5_1_1__3_Stage1MethaneProduction_Title">_xlfn.LAMBDA("Production of methane in treatment stage 1 MMS")</definedName>
    <definedName name="ManureManagement_Swine_Methane.VEERG_4_5_1_1__3_Stage1MethaneProduction_Unit">_xlfn.LAMBDA("kg CH4/head/day")</definedName>
    <definedName name="ManureManagement_Swine_Methane.VEERG_4_5_1_1__3_Stage1MethaneProduction_Variable">_xlfn.LAMBDA("MijmT1")</definedName>
    <definedName name="ManureManagement_Swine_Methane.VEERG_4_5_1_1__4_FractionVolatileSolidsPrimarySystem">_xlfn.LAMBDA(_xlpm.MMSjmT1,_xlpm.SSm, _xlfn.LET(_xlpm.ssm, IF(ISNUMBER(_xlpm.SSm), _xlpm.SSm, 0), _xlpm.MMSjmT1 * (1 - _xlpm.ssm)))</definedName>
    <definedName name="ManureManagement_Swine_Methane.VEERG_4_5_1_1__4_FractionVolatileSolidsPrimarySystem_Arguments">_xlfn.LAMBDA(_xlfn.MAKEARRAY(2, 2, _xlfn.LAMBDA(_xlpm.r,_xlpm.c, INDEX({"MMSjmT1","fraction of manure to each primary MMS for each class prior to solid separation : fraction";"SSm","fraction of volatile solids separated to solid storage for each MMS : fraction"}, _xlpm.r, _xlpm.c))))</definedName>
    <definedName name="ManureManagement_Swine_Methane.VEERG_4_5_1_1__4_FractionVolatileSolidsPrimarySystem_Source">_xlfn.LAMBDA("VEERG 2026: 4.5.1.1, Equation (4)")</definedName>
    <definedName name="ManureManagement_Swine_Methane.VEERG_4_5_1_1__4_FractionVolatileSolidsPrimarySystem_Title">_xlfn.LAMBDA("Fraction of volatile solids in each primary system other than solid storage")</definedName>
    <definedName name="ManureManagement_Swine_Methane.VEERG_4_5_1_1__4_FractionVolatileSolidsPrimarySystem_Unit">_xlfn.LAMBDA("fraction")</definedName>
    <definedName name="ManureManagement_Swine_Methane.VEERG_4_5_1_1__4_FractionVolatileSolidsPrimarySystem_Variable">_xlfn.LAMBDA("FVSjmT1")</definedName>
    <definedName name="ManureManagement_Swine_Methane.VEERG_4_5_1_1__4_FractionVolatileSolidsPrimarySystem_Variation">_xlfn.LAMBDA("VARIATION ON SOURCE: Added check to convert 'N/A' value to zero.")</definedName>
    <definedName name="ManureManagement_Swine_Methane.VEERG_4_5_1_1__5_FractionVolatileSolidsSolidStorage">_xlfn.LAMBDA(_xlpm.MMSjm4T1,_xlpm.MMSjm179T1,_xlpm.SSm, _xlfn.LET(_xlpm.MMSjm4T1, IF(ISNUMBER(_xlpm.MMSjm4T1), _xlpm.MMSjm4T1, 0), _xlpm.MMSjm179T1, IF(ISNUMBER(_xlpm.MMSjm179T1), _xlpm.MMSjm179T1, 0), _xlpm.SSm, IF(ISNUMBER(_xlpm.SSm), _xlpm.SSm, 0), _xlpm.MMSjm4T1 + (_xlpm.MMSjm179T1 * _xlpm.SSm)))</definedName>
    <definedName name="ManureManagement_Swine_Methane.VEERG_4_5_1_1__5_FractionVolatileSolidsSolidStorage_Arguments">_xlfn.LAMBDA(_xlfn.MAKEARRAY(3, 2, _xlfn.LAMBDA(_xlpm.r,_xlpm.c, INDEX({"MMSjm4T1","fraction of manure in solid storage primary system : fraction";"MMSjm179T1","fraction of manure in MMS 1, 7, and 9 in treatment stage 1 : fraction";"SSm","fraction of volatile solids separated to solid storage for each MMS : fraction"}, _xlpm.r, _xlpm.c))))</definedName>
    <definedName name="ManureManagement_Swine_Methane.VEERG_4_5_1_1__5_FractionVolatileSolidsSolidStorage_Source">_xlfn.LAMBDA("VEERG 2026: 4.5.1.1, Equation (5)")</definedName>
    <definedName name="ManureManagement_Swine_Methane.VEERG_4_5_1_1__5_FractionVolatileSolidsSolidStorage_Title">_xlfn.LAMBDA("Fraction of volatile solids in solid storage")</definedName>
    <definedName name="ManureManagement_Swine_Methane.VEERG_4_5_1_1__5_FractionVolatileSolidsSolidStorage_Unit">_xlfn.LAMBDA("fraction")</definedName>
    <definedName name="ManureManagement_Swine_Methane.VEERG_4_5_1_1__5_FractionVolatileSolidsSolidStorage_Variable">_xlfn.LAMBDA("FVSjm4T1")</definedName>
    <definedName name="ManureManagement_Swine_Methane.VEERG_4_5_1_1__6_Stage2MethaneProduction">_xlfn.LAMBDA(_xlpm.VSTjmT2,_xlpm.BO,_xlpm.MMSjmT2,_xlpm.MCFim,_xlpm.rho, _xlfn.LET(_xlpm.VSTjmT2, IF(ISNUMBER(_xlpm.VSTjmT2), _xlpm.VSTjmT2, 0), _xlpm.MMSjmT2, IF(ISNUMBER(_xlpm.MMSjmT2), _xlpm.MMSjmT2, 0), _xlpm.VSTjmT2 * _xlpm.BO * _xlpm.MMSjmT2 * _xlpm.MCFim * _xlpm.rho))</definedName>
    <definedName name="ManureManagement_Swine_Methane.VEERG_4_5_1_1__6_Stage2MethaneProduction_Arguments">_xlfn.LAMBDA(_xlfn.MAKEARRAY(6, 2, _xlfn.LAMBDA(_xlpm.r,_xlpm.c, INDEX({"VSTjmT2","volatile solids transferred to treatment stage 2 MMS : kg/head/day";"BO","emissions potential : m3 CH4/kg VS";"MMSjmT2","fraction of manure in each secondary system : fraction";"MCFim","methane conversion factor for temperate zone and system : fraction";"rho","density of methane : kg/m3";"i","state"}, _xlpm.r, _xlpm.c))))</definedName>
    <definedName name="ManureManagement_Swine_Methane.VEERG_4_5_1_1__6_Stage2MethaneProduction_Source">_xlfn.LAMBDA("VEERG 2026: 4.5.1.1, Equation (6)")</definedName>
    <definedName name="ManureManagement_Swine_Methane.VEERG_4_5_1_1__6_Stage2MethaneProduction_Title">_xlfn.LAMBDA("Production of methane in each treatment stage 2 MMS")</definedName>
    <definedName name="ManureManagement_Swine_Methane.VEERG_4_5_1_1__6_Stage2MethaneProduction_Unit">_xlfn.LAMBDA("kg CH4/head/day")</definedName>
    <definedName name="ManureManagement_Swine_Methane.VEERG_4_5_1_1__6_Stage2MethaneProduction_Variable">_xlfn.LAMBDA("MijmT2")</definedName>
    <definedName name="ManureManagement_Swine_Methane.VEERG_4_5_1_1__7_VolatileSolidsTransferredStage2">_xlfn.LAMBDA(_xlpm.VSj,_xlpm.FVSjmT1,_xlpm.VSLmT1, _xlpm.VSj * _xlpm.FVSjmT1 * (1 - _xlpm.VSLmT1))</definedName>
    <definedName name="ManureManagement_Swine_Methane.VEERG_4_5_1_1__7_VolatileSolidsTransferredStage2_Arguments">_xlfn.LAMBDA(_xlfn.MAKEARRAY(3, 2, _xlfn.LAMBDA(_xlpm.r,_xlpm.c, INDEX({"VSj","volatile solid production from swine in each class : kg/head/day";"FVSjmT1","fraction of volatile solids in each primary system : fraction";"VSLmT1","fraction of volatile solids lost during storage in the primary system : fraction"}, _xlpm.r, _xlpm.c))))</definedName>
    <definedName name="ManureManagement_Swine_Methane.VEERG_4_5_1_1__7_VolatileSolidsTransferredStage2_Source">_xlfn.LAMBDA("VEERG 2026: 4.5.1.1, Equation (7)")</definedName>
    <definedName name="ManureManagement_Swine_Methane.VEERG_4_5_1_1__7_VolatileSolidsTransferredStage2_Title">_xlfn.LAMBDA("Volatile solids transferred to treatment stage 2 MMS")</definedName>
    <definedName name="ManureManagement_Swine_Methane.VEERG_4_5_1_1__7_VolatileSolidsTransferredStage2_Unit">_xlfn.LAMBDA("kg VS")</definedName>
    <definedName name="ManureManagement_Swine_Methane.VEERG_4_5_1_1__7_VolatileSolidsTransferredStage2_Variable">_xlfn.LAMBDA("VSTijmT2")</definedName>
    <definedName name="MMS_PastureBeef_Soil_AtmosphericDeposition_Equations.VEERG_4_2_1_5__1_AtmosphericDepositionEmissionsFromUrineAndDungOnPasture">_xlfn.LAMBDA(_xlpm.M_vol,_xlpm.EF_N2O,_xlpm.C_N2O, _xlpm.M_vol * _xlpm.EF_N2O * _xlpm.C_N2O * 10 ^ -3)</definedName>
    <definedName name="MMS_PastureBeef_Soil_AtmosphericDeposition_Equations.VEERG_4_2_1_5__1_AtmosphericDepositionEmissionsFromUrineAndDungOnPasture_Arguments">_xlfn.LAMBDA(_xlfn.MAKEARRAY(6, 2, _xlfn.LAMBDA(_xlpm.r,_xlpm.c, INDEX({"M_vol","mass of nitrogen volatilised from urine and faeces deposited on pasture (kg N)";"EF_N2O","nitrous oxide emission factor for atmospheric deposition (kg N2O-N/kg N)";"C_N2O","factor to convert elemental mass of N2O to molecular mass";"j","production system";"i","irrigation method";"r","rainfall zone"}, _xlpm.r, _xlpm.c))))</definedName>
    <definedName name="MMS_PastureBeef_Soil_AtmosphericDeposition_Equations.VEERG_4_2_1_5__1_AtmosphericDepositionEmissionsFromUrineAndDungOnPasture_LatexEquation">_xlfn.LAMBDA("E_{N2O,ad}=M_{vol}\times EF_{N2O}\times C_{N2O}\times 10^{-3}")</definedName>
    <definedName name="MMS_PastureBeef_Soil_AtmosphericDeposition_Equations.VEERG_4_2_1_5__1_AtmosphericDepositionEmissionsFromUrineAndDungOnPasture_NIRReference">_xlfn.LAMBDA("")</definedName>
    <definedName name="MMS_PastureBeef_Soil_AtmosphericDeposition_Equations.VEERG_4_2_1_5__1_AtmosphericDepositionEmissionsFromUrineAndDungOnPasture_Source">_xlfn.LAMBDA("VEERG 2026: 4.2.1.5, Equation (1)")</definedName>
    <definedName name="MMS_PastureBeef_Soil_AtmosphericDeposition_Equations.VEERG_4_2_1_5__1_AtmosphericDepositionEmissionsFromUrineAndDungOnPasture_Title">_xlfn.LAMBDA("Atmospheric deposition emissions from urine and dung deposited on pasture")</definedName>
    <definedName name="MMS_PastureBeef_Soil_AtmosphericDeposition_Equations.VEERG_4_2_1_5__1_AtmosphericDepositionEmissionsFromUrineAndDungOnPasture_Unit">_xlfn.LAMBDA("t N2O")</definedName>
    <definedName name="MMS_PastureBeef_Soil_AtmosphericDeposition_Equations.VEERG_4_2_1_5__1_AtmosphericDepositionEmissionsFromUrineAndDungOnPasture_Variable">_xlfn.LAMBDA("E_N2Oad")</definedName>
    <definedName name="MMS_PastureBeef_Soil_AtmosphericDeposition_Equations.VEERG_4_2_1_5__2_MassOfNitrogenVolatilisedOnPasture">_xlfn.LAMBDA(_xlpm.AE,_xlpm.FracGASMsoil, _xlpm.AE * _xlpm.FracGASMsoil)</definedName>
    <definedName name="MMS_PastureBeef_Soil_AtmosphericDeposition_Equations.VEERG_4_2_1_5__2_MassOfNitrogenVolatilisedOnPasture_Arguments">_xlfn.LAMBDA(_xlfn.MAKEARRAY(2, 2, _xlfn.LAMBDA(_xlpm.r,_xlpm.c, INDEX({"AE","total mass of nitrogen excreted on PRP for beef cattle (kg N)";"FracGASMsoil","fraction of nitrogen volatilised from urine and faeces deposited on pasture ((kg NH3-N + NOx-N)/kg N)"}, _xlpm.r, _xlpm.c))))</definedName>
    <definedName name="MMS_PastureBeef_Soil_AtmosphericDeposition_Equations.VEERG_4_2_1_5__2_MassOfNitrogenVolatilisedOnPasture_LatexEquation">_xlfn.LAMBDA("M_{vol}=AE\times FracGASMsoil")</definedName>
    <definedName name="MMS_PastureBeef_Soil_AtmosphericDeposition_Equations.VEERG_4_2_1_5__2_MassOfNitrogenVolatilisedOnPasture_NIRReference">_xlfn.LAMBDA("")</definedName>
    <definedName name="MMS_PastureBeef_Soil_AtmosphericDeposition_Equations.VEERG_4_2_1_5__2_MassOfNitrogenVolatilisedOnPasture_Source">_xlfn.LAMBDA("VEERG 2026: 4.2.1.5, Equation (2)")</definedName>
    <definedName name="MMS_PastureBeef_Soil_AtmosphericDeposition_Equations.VEERG_4_2_1_5__2_MassOfNitrogenVolatilisedOnPasture_Title">_xlfn.LAMBDA("Mass of nitrogen volatilised")</definedName>
    <definedName name="MMS_PastureBeef_Soil_AtmosphericDeposition_Equations.VEERG_4_2_1_5__2_MassOfNitrogenVolatilisedOnPasture_Unit">_xlfn.LAMBDA("kg N")</definedName>
    <definedName name="MMS_PastureBeef_Soil_AtmosphericDeposition_Equations.VEERG_4_2_1_5__2_MassOfNitrogenVolatilisedOnPasture_Variable">_xlfn.LAMBDA("M_vol")</definedName>
    <definedName name="MMS_PastureBeef_Soil_LeachingAndRunoff.VEERG_4_2_1_7__1_LeachingAndRunoffEmissionsFromUrineAndDungOnPasture">_xlfn.LAMBDA(_xlpm.M_leach,_xlpm.EF_leach,_xlpm.C_N2O, _xlpm.M_leach * _xlpm.EF_leach * _xlpm.C_N2O * 10 ^ -3)</definedName>
    <definedName name="MMS_PastureBeef_Soil_LeachingAndRunoff.VEERG_4_2_1_7__1_LeachingAndRunoffEmissionsFromUrineAndDungOnPasture_Arguments">_xlfn.LAMBDA(_xlfn.MAKEARRAY(3, 2, _xlfn.LAMBDA(_xlpm.r,_xlpm.c, INDEX({"M_leach","mass of nitrogen lost to leaching and runoff (kg N)";"EF_leach","emission factor for leaching and runoff (kg N2O-N/kg N)";"C_N2O","factor to convert elemental mass of N2O to molecular mass"}, _xlpm.r, _xlpm.c))))</definedName>
    <definedName name="MMS_PastureBeef_Soil_LeachingAndRunoff.VEERG_4_2_1_7__1_LeachingAndRunoffEmissionsFromUrineAndDungOnPasture_LatexEquation">_xlfn.LAMBDA("E_{N2O,leach}=M_{leach}\times EF_{leach}\times C_{N2O}\times 10^{-3}")</definedName>
    <definedName name="MMS_PastureBeef_Soil_LeachingAndRunoff.VEERG_4_2_1_7__1_LeachingAndRunoffEmissionsFromUrineAndDungOnPasture_NIRReference">_xlfn.LAMBDA("")</definedName>
    <definedName name="MMS_PastureBeef_Soil_LeachingAndRunoff.VEERG_4_2_1_7__1_LeachingAndRunoffEmissionsFromUrineAndDungOnPasture_Source">_xlfn.LAMBDA("VEERG 2026: 4.2.1.7, Equation (1)")</definedName>
    <definedName name="MMS_PastureBeef_Soil_LeachingAndRunoff.VEERG_4_2_1_7__1_LeachingAndRunoffEmissionsFromUrineAndDungOnPasture_Title">_xlfn.LAMBDA("Leaching and runoff emissions from urine and dung deposited on pasture")</definedName>
    <definedName name="MMS_PastureBeef_Soil_LeachingAndRunoff.VEERG_4_2_1_7__1_LeachingAndRunoffEmissionsFromUrineAndDungOnPasture_Unit">_xlfn.LAMBDA("t N2O")</definedName>
    <definedName name="MMS_PastureBeef_Soil_LeachingAndRunoff.VEERG_4_2_1_7__1_LeachingAndRunoffEmissionsFromUrineAndDungOnPasture_Variable">_xlfn.LAMBDA("E_N2Oleach")</definedName>
    <definedName name="MMS_PastureBeef_Soil_LeachingAndRunoff.VEERG_4_2_1_7__2_MassOfNitrogenLostToLeachingAndRunoffOnPasture">_xlfn.LAMBDA(_xlpm.AE,_xlpm.FracWet,_xlpm.FracLEACH, _xlpm.AE * _xlpm.FracWet * _xlpm.FracLEACH)</definedName>
    <definedName name="MMS_PastureBeef_Soil_LeachingAndRunoff.VEERG_4_2_1_7__2_MassOfNitrogenLostToLeachingAndRunoffOnPasture_Arguments">_xlfn.LAMBDA(_xlfn.MAKEARRAY(6, 2, _xlfn.LAMBDA(_xlpm.r,_xlpm.c, INDEX({"AE","total mass of nitrogen excreted on PRP for beef cattle (kg N)";"FracWet","fraction of N available for leaching and runoff";"FracLEACH","fraction of all N that is lost through leaching and runoff";"z","location in leaching zone";"j","production system";"ir","irrigation method"}, _xlpm.r, _xlpm.c))))</definedName>
    <definedName name="MMS_PastureBeef_Soil_LeachingAndRunoff.VEERG_4_2_1_7__2_MassOfNitrogenLostToLeachingAndRunoffOnPasture_LatexEquation">_xlfn.LAMBDA("M_{leach}=AE\times FracWet\times FracLEACH")</definedName>
    <definedName name="MMS_PastureBeef_Soil_LeachingAndRunoff.VEERG_4_2_1_7__2_MassOfNitrogenLostToLeachingAndRunoffOnPasture_NIRReference">_xlfn.LAMBDA("")</definedName>
    <definedName name="MMS_PastureBeef_Soil_LeachingAndRunoff.VEERG_4_2_1_7__2_MassOfNitrogenLostToLeachingAndRunoffOnPasture_Source">_xlfn.LAMBDA("VEERG 2026: 4.2.1.7, Equation (2)")</definedName>
    <definedName name="MMS_PastureBeef_Soil_LeachingAndRunoff.VEERG_4_2_1_7__2_MassOfNitrogenLostToLeachingAndRunoffOnPasture_Title">_xlfn.LAMBDA("Mass of nitrogen lost to leaching and runoff")</definedName>
    <definedName name="MMS_PastureBeef_Soil_LeachingAndRunoff.VEERG_4_2_1_7__2_MassOfNitrogenLostToLeachingAndRunoffOnPasture_Unit">_xlfn.LAMBDA("kg N")</definedName>
    <definedName name="MMS_PastureBeef_Soil_LeachingAndRunoff.VEERG_4_2_1_7__2_MassOfNitrogenLostToLeachingAndRunoffOnPasture_Variable">_xlfn.LAMBDA("M_leach")</definedName>
    <definedName name="MMS_PastureBeef_Soil_N2ODirect_Equations.VEERG_4_2_1_3__1_DirectNitrousOxideEmissionsOnPasture">_xlfn.LAMBDA(_xlpm.AE,_xlpm.EF_PRP,_xlpm.C_N2O, _xlpm.AE * _xlpm.EF_PRP * _xlpm.C_N2O * 10 ^ -3)</definedName>
    <definedName name="MMS_PastureBeef_Soil_N2ODirect_Equations.VEERG_4_2_1_3__1_DirectNitrousOxideEmissionsOnPasture_Arguments">_xlfn.LAMBDA(_xlfn.MAKEARRAY(4, 2, _xlfn.LAMBDA(_xlpm.r,_xlpm.c, INDEX({"AE","total mass of nitrogen excreted on PRP for beef cattle (kg N)";"EF_PRP","emission factor for nitrous oxide from urine and dung deposited to soil (kg N2O-N/kg N deposited)";"C_N2O","factor to convert elemental mass of nitrous oxide to molecular mass";"z","wet or dry climate zone"}, _xlpm.r, _xlpm.c))))</definedName>
    <definedName name="MMS_PastureBeef_Soil_N2ODirect_Equations.VEERG_4_2_1_3__1_DirectNitrousOxideEmissionsOnPasture_LatexEquation">_xlfn.LAMBDA("E_{N2O,dir}=AE\times EF_{PRP}\times C_{N2O}\times 10^{-3}")</definedName>
    <definedName name="MMS_PastureBeef_Soil_N2ODirect_Equations.VEERG_4_2_1_3__1_DirectNitrousOxideEmissionsOnPasture_NIRReference">_xlfn.LAMBDA("")</definedName>
    <definedName name="MMS_PastureBeef_Soil_N2ODirect_Equations.VEERG_4_2_1_3__1_DirectNitrousOxideEmissionsOnPasture_Source">_xlfn.LAMBDA("VEERG 2026: 4.2.1.3, Equation (1)")</definedName>
    <definedName name="MMS_PastureBeef_Soil_N2ODirect_Equations.VEERG_4_2_1_3__1_DirectNitrousOxideEmissionsOnPasture_Title">_xlfn.LAMBDA("Total annual direct nitrous oxide emissions from agricultural soils from deposition of urine and dung")</definedName>
    <definedName name="MMS_PastureBeef_Soil_N2ODirect_Equations.VEERG_4_2_1_3__1_DirectNitrousOxideEmissionsOnPasture_Unit">_xlfn.LAMBDA("t N2O")</definedName>
    <definedName name="MMS_PastureBeef_Soil_N2ODirect_Equations.VEERG_4_2_1_3__1_DirectNitrousOxideEmissionsOnPasture_Variable">_xlfn.LAMBDA("E_N2Odir")</definedName>
    <definedName name="MMS_PastureBeef_Soil_N2ODirect_Equations.VEERG_4_2_1_3__2_TotalNitrogenExcretedToPastureRangeAndPaddock">_xlfn.LAMBDA(_xlpm.N_jkl,_xlpm.NE_jkl,_xlpm.D_j, SUM((_xlpm.N_jkl * _xlpm.NE_jkl) * _xlpm.D_j))</definedName>
    <definedName name="MMS_PastureBeef_Soil_N2ODirect_Equations.VEERG_4_2_1_3__2_TotalNitrogenExcretedToPastureRangeAndPaddock_Arguments">_xlfn.LAMBDA(_xlfn.MAKEARRAY(3, 2, _xlfn.LAMBDA(_xlpm.r,_xlpm.c, INDEX({"N_jkl","number of beef cattle by time-period, class and subclass (head)";"NE_jkl","nitrogen excreted in each time-period, by each class and subclass (kg N/head/day)";"D_j","number of days in each time-period (days)"}, _xlpm.r, _xlpm.c))))</definedName>
    <definedName name="MMS_PastureBeef_Soil_N2ODirect_Equations.VEERG_4_2_1_3__2_TotalNitrogenExcretedToPastureRangeAndPaddock_LatexEquation">_xlfn.LAMBDA("AE=\sum_{j}\sum_{k}\sum_{l}(N_{jkl}\times NE_{jkl}\times D_j)")</definedName>
    <definedName name="MMS_PastureBeef_Soil_N2ODirect_Equations.VEERG_4_2_1_3__2_TotalNitrogenExcretedToPastureRangeAndPaddock_NIRReference">_xlfn.LAMBDA("")</definedName>
    <definedName name="MMS_PastureBeef_Soil_N2ODirect_Equations.VEERG_4_2_1_3__2_TotalNitrogenExcretedToPastureRangeAndPaddock_Source">_xlfn.LAMBDA("VEERG 2026: 4.2.1.3, Equation (2)")</definedName>
    <definedName name="MMS_PastureBeef_Soil_N2ODirect_Equations.VEERG_4_2_1_3__2_TotalNitrogenExcretedToPastureRangeAndPaddock_Title">_xlfn.LAMBDA("Total nitrogen excreted to pasture, range and paddock")</definedName>
    <definedName name="MMS_PastureBeef_Soil_N2ODirect_Equations.VEERG_4_2_1_3__2_TotalNitrogenExcretedToPastureRangeAndPaddock_Unit">_xlfn.LAMBDA("kg N")</definedName>
    <definedName name="MMS_PastureBeef_Soil_N2ODirect_Equations.VEERG_4_2_1_3__2_TotalNitrogenExcretedToPastureRangeAndPaddock_Variable">_xlfn.LAMBDA("AE")</definedName>
    <definedName name="MMS_PastureBeef_Soil_N2ODirect_Equations.VEERG_4_2_1_3__3_NitrogenExcreted">_xlfn.LAMBDA(_xlpm.I_jkl,_xlpm.CP_j,_xlpm.MC_jk136,_xlpm.NR_jkl,_xlpm.W_jkl, ((_xlpm.I_jkl * _xlpm.CP_j) / 6.25) + ((0.032 * _xlpm.MC_jk136) / 6.38) - _xlpm.NR_jkl - ((1.1 * 10 ^ -4 * _xlpm.W_jkl ^ 0.75) / 6.25))</definedName>
    <definedName name="MMS_PastureBeef_Soil_N2ODirect_Equations.VEERG_4_2_1_3__3_NitrogenExcreted_Arguments">_xlfn.LAMBDA(_xlfn.MAKEARRAY(5, 2, _xlfn.LAMBDA(_xlpm.r,_xlpm.c, INDEX({"I_jkl","dry matter intake as calculated in Chapter 3 Section 3.2.1 (kg DM/head/day)";"CP_j","crude protein content of dry matter intake";"MC_jk136","milk intake (kg/head/day)";"NR_jkl","the amount of nitrogen retained by the body (kg N/head/day)";"W_jkl","liveweight (kg/head)"}, _xlpm.r, _xlpm.c))))</definedName>
    <definedName name="MMS_PastureBeef_Soil_N2ODirect_Equations.VEERG_4_2_1_3__3_NitrogenExcreted_LatexEquation">_xlfn.LAMBDA("NE_{jkl}= (I_{jkl}\times CP_j \div 6.25)  + (0.032\times MC_{jk=1,3,6} \div 6.38)  - NR_{jkl} - \left[ (1.1\times 10^{-4}\times W_{jkl}^{0.75}) \div  6.25 \right]")</definedName>
    <definedName name="MMS_PastureBeef_Soil_N2ODirect_Equations.VEERG_4_2_1_3__3_NitrogenExcreted_NIRReference">_xlfn.LAMBDA("")</definedName>
    <definedName name="MMS_PastureBeef_Soil_N2ODirect_Equations.VEERG_4_2_1_3__3_NitrogenExcreted_Source">_xlfn.LAMBDA("VEERG 2026: 4.2.1.3, Equation (3)")</definedName>
    <definedName name="MMS_PastureBeef_Soil_N2ODirect_Equations.VEERG_4_2_1_3__3_NitrogenExcreted_Title">_xlfn.LAMBDA("Nitrogen excreted")</definedName>
    <definedName name="MMS_PastureBeef_Soil_N2ODirect_Equations.VEERG_4_2_1_3__3_NitrogenExcreted_Unit">_xlfn.LAMBDA("kg N/head/day")</definedName>
    <definedName name="MMS_PastureBeef_Soil_N2ODirect_Equations.VEERG_4_2_1_3__3_NitrogenExcreted_Variable">_xlfn.LAMBDA("NE_jkl")</definedName>
    <definedName name="MMS_PastureBeef_Soil_N2ODirect_Equations.VEERG_4_2_1_3__4_NitrogenRetainedByBody">_xlfn.LAMBDA(_xlpm.MP_jk5,_xlpm.L_jkl,_xlpm.Z_jkl,_xlpm.LWG_jkl, ((0.032 * _xlpm.MP_jk5) / 6.38) + (((0.212 - 0.008 * (_xlpm.L_jkl - 2) - ((0.14 - 0.008 * (_xlpm.L_jkl - 2)) / (1 + EXP(-6 * (_xlpm.Z_jkl - 0.4))))) * (_xlpm.LWG_jkl * 0.92)) / 6.25))</definedName>
    <definedName name="MMS_PastureBeef_Soil_N2ODirect_Equations.VEERG_4_2_1_3__4_NitrogenRetainedByBody_Arguments">_xlfn.LAMBDA(_xlfn.MAKEARRAY(4, 2, _xlfn.LAMBDA(_xlpm.r,_xlpm.c, INDEX({"MP_jk5","milk production (kg/head/day)";"L_jkl","intake relative to that needed for maintenance";"Z_jkl","relative size";"LWG_jkl","liveweight gain (kg/head/day)"}, _xlpm.r, _xlpm.c))))</definedName>
    <definedName name="MMS_PastureBeef_Soil_N2ODirect_Equations.VEERG_4_2_1_3__4_NitrogenRetainedByBody_LatexEquation">_xlfn.LAMBDA("NR_{jkl}=(0.032 \times MP_{jk=5} \div 6.38) + \left { \left { 0.212 - 0.008 \times (L_{jkl} -2) - \left[ \frac{0.140-0.008 \times (L_{jkl} - 2)}{1+e^{(-6 \times (Z_{jkl}-0.4))}} \right] \right} \times (LWG_{jkl} \times 0.92) \right} \div 6.25")</definedName>
    <definedName name="MMS_PastureBeef_Soil_N2ODirect_Equations.VEERG_4_2_1_3__4_NitrogenRetainedByBody_NIRReference">_xlfn.LAMBDA("")</definedName>
    <definedName name="MMS_PastureBeef_Soil_N2ODirect_Equations.VEERG_4_2_1_3__4_NitrogenRetainedByBody_Source">_xlfn.LAMBDA("VEERG 2026: 4.2.1.3, Equation (4)")</definedName>
    <definedName name="MMS_PastureBeef_Soil_N2ODirect_Equations.VEERG_4_2_1_3__4_NitrogenRetainedByBody_Title">_xlfn.LAMBDA("Amount of nitrogen retained by the body")</definedName>
    <definedName name="MMS_PastureBeef_Soil_N2ODirect_Equations.VEERG_4_2_1_3__4_NitrogenRetainedByBody_Unit">_xlfn.LAMBDA("kg N/head/day")</definedName>
    <definedName name="MMS_PastureBeef_Soil_N2ODirect_Equations.VEERG_4_2_1_3__4_NitrogenRetainedByBody_Variable">_xlfn.LAMBDA("NR_jkl")</definedName>
    <definedName name="MMS_PastureBeef_Soil_N2ODirect_Equations.VEERG_4_2_1_3__5_MilkProductionForCalvingSeason">_xlfn.LAMBDA(_xlpm.LC_jk5,_xlpm.DMP_jk5, _xlpm.LC_jk5 * _xlpm.DMP_jk5)</definedName>
    <definedName name="MMS_PastureBeef_Soil_N2ODirect_Equations.VEERG_4_2_1_3__5_MilkProductionForCalvingSeason_Arguments">_xlfn.LAMBDA(_xlfn.MAKEARRAY(3, 2, _xlfn.LAMBDA(_xlpm.r,_xlpm.c, INDEX({"LC_jk5","proportion of cows greater than 2 years lactating for the season of calving and season after calving expressed as a fraction";"DMP_jk5","daily milk production (kg/head/day)";"b","breed of cattle"}, _xlpm.r, _xlpm.c))))</definedName>
    <definedName name="MMS_PastureBeef_Soil_N2ODirect_Equations.VEERG_4_2_1_3__5_MilkProductionForCalvingSeason_ArgumentsVariation">_xlfn.LAMBDA(_xlfn.MAKEARRAY(5, 2, _xlfn.LAMBDA(_xlpm.r,_xlpm.c, INDEX({"LC_jk5curr","proportion of cows greater than 2 years lactating for the season of calving";"LC_jk5prev","proportion of cows greater than 2 years lactating for the season after calving";"DMP_jk5calv","daily milk production for the season of calving (kg/head/day)";"DMP_jk5after","daily milk production for the season after calving (kg/head/day)";"b","breed of cattle"}, _xlpm.r, _xlpm.c))))</definedName>
    <definedName name="MMS_PastureBeef_Soil_N2ODirect_Equations.VEERG_4_2_1_3__5_MilkProductionForCalvingSeason_LatexEquation">_xlfn.LAMBDA("MP_{jk=5}=LC_{jk=5}\times DMP_{jk=5}")</definedName>
    <definedName name="MMS_PastureBeef_Soil_N2ODirect_Equations.VEERG_4_2_1_3__5_MilkProductionForCalvingSeason_LatexEquationVariation">_xlfn.LAMBDA("MP_{jk=5}=(LC_{jk=5,current}\times DMP_{jk=5,calv})+(LC_{jk=5,prev}\times DMP_{jk=5,after})")</definedName>
    <definedName name="MMS_PastureBeef_Soil_N2ODirect_Equations.VEERG_4_2_1_3__5_MilkProductionForCalvingSeason_NIRReference">_xlfn.LAMBDA("")</definedName>
    <definedName name="MMS_PastureBeef_Soil_N2ODirect_Equations.VEERG_4_2_1_3__5_MilkProductionForCalvingSeason_Source">_xlfn.LAMBDA("VEERG 2026: 4.2.1.3, Equation (5)")</definedName>
    <definedName name="MMS_PastureBeef_Soil_N2ODirect_Equations.VEERG_4_2_1_3__5_MilkProductionForCalvingSeason_Title">_xlfn.LAMBDA("Milk production for the season of calving and season after calving")</definedName>
    <definedName name="MMS_PastureBeef_Soil_N2ODirect_Equations.VEERG_4_2_1_3__5_MilkProductionForCalvingSeason_Unit">_xlfn.LAMBDA("kg/head/day")</definedName>
    <definedName name="MMS_PastureBeef_Soil_N2ODirect_Equations.VEERG_4_2_1_3__5_MilkProductionForCalvingSeason_Variable">_xlfn.LAMBDA("MP_jk5")</definedName>
    <definedName name="MMS_PastureBeef_Soil_N2ODirect_Equations.VEERG_4_2_1_3__5_MilkProductionForCalvingSeason_Variation">_xlfn.LAMBDA("VARIATION ON SOURCE: Split LC and DMP into calving season and after calving season values.")</definedName>
    <definedName name="MMS_PastureBeef_Soil_N2ODirect_Equations.VEERG_4_2_1_3__5_MilkProductionForCalvingSeasonVariation">_xlfn.LAMBDA(_xlpm.LC_jk5curr,_xlpm.LC_jk5prev,_xlpm.DMP_jk5calv,_xlpm.DMP_jk5after, (_xlpm.LC_jk5curr * _xlpm.DMP_jk5calv) + (_xlpm.LC_jk5prev * _xlpm.DMP_jk5after))</definedName>
    <definedName name="MMS_PastureBeef_Soil_N2ODirect_Equations.VEERG_4_2_1_3__6_IntakeRelativeToMaintenance">_xlfn.LAMBDA(_xlpm.I_jkl,_xlpm.W_jkl, _xlpm.I_jkl / ((1.185 + 0.00454 * _xlpm.W_jkl - 0.0000026 * _xlpm.W_jkl ^ 2) ^ 2))</definedName>
    <definedName name="MMS_PastureBeef_Soil_N2ODirect_Equations.VEERG_4_2_1_3__6_IntakeRelativeToMaintenance_Arguments">_xlfn.LAMBDA(_xlfn.MAKEARRAY(2, 2, _xlfn.LAMBDA(_xlpm.r,_xlpm.c, INDEX({"I_jkl","dry matter intake as calculated in Chapter 3 Section 3.2.1 (kg DM/head/day)";"W_jkl","liveweight (kg/head)"}, _xlpm.r, _xlpm.c))))</definedName>
    <definedName name="MMS_PastureBeef_Soil_N2ODirect_Equations.VEERG_4_2_1_3__6_IntakeRelativeToMaintenance_LatexEquation">_xlfn.LAMBDA("L_{jkl}=\frac{I_{jkl}}{(1.185+0.00454\times W_{jkl}-0.0000026\times W_{jkl}^{2})^{2}}")</definedName>
    <definedName name="MMS_PastureBeef_Soil_N2ODirect_Equations.VEERG_4_2_1_3__6_IntakeRelativeToMaintenance_NIRReference">_xlfn.LAMBDA("")</definedName>
    <definedName name="MMS_PastureBeef_Soil_N2ODirect_Equations.VEERG_4_2_1_3__6_IntakeRelativeToMaintenance_Source">_xlfn.LAMBDA("VEERG 2026: 4.2.1.3, Equation (6)")</definedName>
    <definedName name="MMS_PastureBeef_Soil_N2ODirect_Equations.VEERG_4_2_1_3__6_IntakeRelativeToMaintenance_Title">_xlfn.LAMBDA("Intake relative to that needed for maintenance")</definedName>
    <definedName name="MMS_PastureBeef_Soil_N2ODirect_Equations.VEERG_4_2_1_3__6_IntakeRelativeToMaintenance_Unit">_xlfn.LAMBDA("ratio")</definedName>
    <definedName name="MMS_PastureBeef_Soil_N2ODirect_Equations.VEERG_4_2_1_3__6_IntakeRelativeToMaintenance_Variable">_xlfn.LAMBDA("L_jkl")</definedName>
    <definedName name="MMS_PastureBeef_Soil_N2ODirect_Equations.VEERG_4_2_1_3__7_RelativeSize">_xlfn.LAMBDA(_xlpm.W_jkl,_xlpm.SRW_k, _xlpm.W_jkl / _xlpm.SRW_k)</definedName>
    <definedName name="MMS_PastureBeef_Soil_N2ODirect_Equations.VEERG_4_2_1_3__7_RelativeSize_Arguments">_xlfn.LAMBDA(_xlfn.MAKEARRAY(3, 2, _xlfn.LAMBDA(_xlpm.r,_xlpm.c, INDEX({"W_jkl","liveweight (kg)";"SRW_k","standard reference weight (kg)";"i","state"}, _xlpm.r, _xlpm.c))))</definedName>
    <definedName name="MMS_PastureBeef_Soil_N2ODirect_Equations.VEERG_4_2_1_3__7_RelativeSize_LatexEquation">_xlfn.LAMBDA("Z_{jkl}=\frac{W_{jkl}}{SRW_k}")</definedName>
    <definedName name="MMS_PastureBeef_Soil_N2ODirect_Equations.VEERG_4_2_1_3__7_RelativeSize_NIRReference">_xlfn.LAMBDA("")</definedName>
    <definedName name="MMS_PastureBeef_Soil_N2ODirect_Equations.VEERG_4_2_1_3__7_RelativeSize_Source">_xlfn.LAMBDA("VEERG 2026: 4.2.1.3, Equation (7)")</definedName>
    <definedName name="MMS_PastureBeef_Soil_N2ODirect_Equations.VEERG_4_2_1_3__7_RelativeSize_Title">_xlfn.LAMBDA("Relative size of the cattle")</definedName>
    <definedName name="MMS_PastureBeef_Soil_N2ODirect_Equations.VEERG_4_2_1_3__7_RelativeSize_Unit">_xlfn.LAMBDA("ratio")</definedName>
    <definedName name="MMS_PastureBeef_Soil_N2ODirect_Equations.VEERG_4_2_1_3__7_RelativeSize_Variable">_xlfn.LAMBDA("Z_jkl")</definedName>
    <definedName name="MMS_Swine_Methane_Equations.VEERG_4_5_1_1__1_TotalAnnualMethaneEmissions">_xlfn.LAMBDA(_xlpm.Dj,_xlpm.Mmj,_xlpm.Nj, _xlpm.Dj * _xlpm.Mmj * _xlpm.Nj * 10 ^ -3)</definedName>
    <definedName name="MMS_Swine_Methane_Equations.VEERG_4_5_1_1__1_TotalAnnualMethaneEmissions_Arguments">_xlfn.LAMBDA(_xlfn.MAKEARRAY(3, 2, _xlfn.LAMBDA(_xlpm.r,_xlpm.c, INDEX({"Dj","length of stay of each class of swine : days";"Mmj","methane production from manure in each swine class : kg CH4/head/day";"Nj","numbers of swine in each class : head"}, _xlpm.r, _xlpm.c))))</definedName>
    <definedName name="MMS_Swine_Methane_Equations.VEERG_4_5_1_1__1_TotalAnnualMethaneEmissions_LatexEquation">_xlfn.LAMBDA("{E}_{CH4}=\sum_{j}(D_{j}\times M_{mj}\times N_{j})\times10^{-3}")</definedName>
    <definedName name="MMS_Swine_Methane_Equations.VEERG_4_5_1_1__1_TotalAnnualMethaneEmissions_NIRReference">_xlfn.LAMBDA("")</definedName>
    <definedName name="MMS_Swine_Methane_Equations.VEERG_4_5_1_1__1_TotalAnnualMethaneEmissions_Source">_xlfn.LAMBDA("VEERG 2026: 4.5.1.1, Equation (1)")</definedName>
    <definedName name="MMS_Swine_Methane_Equations.VEERG_4_5_1_1__1_TotalAnnualMethaneEmissions_Title">_xlfn.LAMBDA("Total annual methane emissions from manure management")</definedName>
    <definedName name="MMS_Swine_Methane_Equations.VEERG_4_5_1_1__1_TotalAnnualMethaneEmissions_Unit">_xlfn.LAMBDA("t CH4")</definedName>
    <definedName name="MMS_Swine_Methane_Equations.VEERG_4_5_1_1__1_TotalAnnualMethaneEmissions_Variable">_xlfn.LAMBDA("ECH4")</definedName>
    <definedName name="MMS_Swine_Methane_Equations.VEERG_4_5_1_1__2_MethaneProductionPerClass">_xlfn.LAMBDA(_xlpm.MjmT, SUM(_xlpm.MjmT))</definedName>
    <definedName name="MMS_Swine_Methane_Equations.VEERG_4_5_1_1__2_MethaneProductionPerClass_Arguments">_xlfn.LAMBDA(_xlfn.MAKEARRAY(1, 2, _xlfn.LAMBDA(_xlpm.r,_xlpm.c, INDEX({"MjmT","methane production from manure per class, MMS, and treatment stage : kg CH4/head/day"}, _xlpm.r, _xlpm.c))))</definedName>
    <definedName name="MMS_Swine_Methane_Equations.VEERG_4_5_1_1__2_MethaneProductionPerClass_LatexEquation">_xlfn.LAMBDA("M_{mj}=\sum_{m}\sum_{T}M_{jmT}")</definedName>
    <definedName name="MMS_Swine_Methane_Equations.VEERG_4_5_1_1__2_MethaneProductionPerClass_NIRReference">_xlfn.LAMBDA("")</definedName>
    <definedName name="MMS_Swine_Methane_Equations.VEERG_4_5_1_1__2_MethaneProductionPerClass_Source">_xlfn.LAMBDA("VEERG 2026: 4.5.1.1, Equation (2)")</definedName>
    <definedName name="MMS_Swine_Methane_Equations.VEERG_4_5_1_1__2_MethaneProductionPerClass_Title">_xlfn.LAMBDA("Methane production from the manure of each class of swine")</definedName>
    <definedName name="MMS_Swine_Methane_Equations.VEERG_4_5_1_1__2_MethaneProductionPerClass_Unit">_xlfn.LAMBDA("kg CH4/head/day")</definedName>
    <definedName name="MMS_Swine_Methane_Equations.VEERG_4_5_1_1__2_MethaneProductionPerClass_Variable">_xlfn.LAMBDA("Mmj")</definedName>
    <definedName name="MMS_Swine_Methane_Equations.VEERG_4_5_1_1__2_MethaneProductionPerClass_Variation">_xlfn.LAMBDA("VARIATION ON SOURCE: Split variable Mjm into MjmT1 and MjmT2 for stage 1 and 2 MMS.")</definedName>
    <definedName name="MMS_Swine_Methane_Equations.VEERG_4_5_1_1__2_MethaneProductionPerClassVariation">_xlfn.LAMBDA(_xlpm.MjmT1,_xlpm.MjmT2, SUM(_xlpm.MjmT1, _xlpm.MjmT2))</definedName>
    <definedName name="MMS_Swine_Methane_Equations.VEERG_4_5_1_1__3_Stage1MethaneProduction">_xlfn.LAMBDA(_xlpm.VSj,_xlpm.FVSjmT1,_xlpm.MCFim,_xlpm.BO,_xlpm.rho, _xlpm.VSj * _xlpm.FVSjmT1 * _xlpm.MCFim * _xlpm.BO * _xlpm.rho)</definedName>
    <definedName name="MMS_Swine_Methane_Equations.VEERG_4_5_1_1__3_Stage1MethaneProduction_Arguments">_xlfn.LAMBDA(_xlfn.MAKEARRAY(5, 2, _xlfn.LAMBDA(_xlpm.r,_xlpm.c, INDEX({"VSj","volatile solid production from swine in each class : kg/head/day";"FVSjmT1","fraction of volatile solids in each primary system : fraction";"MCFim","methane conversion factor for temperate zone and system : fraction";"BO","emissions potential : m3 CH4/kg VS";"rho","density of methane : kg/m3"}, _xlpm.r, _xlpm.c))))</definedName>
    <definedName name="MMS_Swine_Methane_Equations.VEERG_4_5_1_1__3_Stage1MethaneProduction_LatexEquation">_xlfn.LAMBDA("M_{ijm,T=1}=VS_{j}\times FVS_{jm,T=1}\times MCF_{im}\times BO\times \rho")</definedName>
    <definedName name="MMS_Swine_Methane_Equations.VEERG_4_5_1_1__3_Stage1MethaneProduction_NIRReference">_xlfn.LAMBDA("")</definedName>
    <definedName name="MMS_Swine_Methane_Equations.VEERG_4_5_1_1__3_Stage1MethaneProduction_Source">_xlfn.LAMBDA("VEERG 2026: 4.5.1.1, Equation (3)")</definedName>
    <definedName name="MMS_Swine_Methane_Equations.VEERG_4_5_1_1__3_Stage1MethaneProduction_Title">_xlfn.LAMBDA("Production of methane in treatment stage 1 MMS")</definedName>
    <definedName name="MMS_Swine_Methane_Equations.VEERG_4_5_1_1__3_Stage1MethaneProduction_Unit">_xlfn.LAMBDA("kg CH4/head/day")</definedName>
    <definedName name="MMS_Swine_Methane_Equations.VEERG_4_5_1_1__3_Stage1MethaneProduction_Variable">_xlfn.LAMBDA("MijmT1")</definedName>
    <definedName name="MMS_Swine_Methane_Equations.VEERG_4_5_1_1__4_FractionVolatileSolidsPrimarySystem">_xlfn.LAMBDA(_xlpm.MMSjmT1,_xlpm.SSm, _xlpm.MMSjmT1 * (1 - _xlpm.SSm))</definedName>
    <definedName name="MMS_Swine_Methane_Equations.VEERG_4_5_1_1__4_FractionVolatileSolidsPrimarySystem_Arguments">_xlfn.LAMBDA(_xlfn.MAKEARRAY(2, 2, _xlfn.LAMBDA(_xlpm.r,_xlpm.c, INDEX({"MMSjmT1","fraction of manure to each primary MMS for each class prior to solid separation : fraction";"SSm","fraction of volatile solids separated to solid storage for each MMS : fraction"}, _xlpm.r, _xlpm.c))))</definedName>
    <definedName name="MMS_Swine_Methane_Equations.VEERG_4_5_1_1__4_FractionVolatileSolidsPrimarySystem_LatexEquation">_xlfn.LAMBDA("FVS_{jm,T=1}=MMS_{jm,T=1}\times(1-SS_{m})")</definedName>
    <definedName name="MMS_Swine_Methane_Equations.VEERG_4_5_1_1__4_FractionVolatileSolidsPrimarySystem_NIRReference">_xlfn.LAMBDA("")</definedName>
    <definedName name="MMS_Swine_Methane_Equations.VEERG_4_5_1_1__4_FractionVolatileSolidsPrimarySystem_Source">_xlfn.LAMBDA("VEERG 2026: 4.5.1.1, Equation (4)")</definedName>
    <definedName name="MMS_Swine_Methane_Equations.VEERG_4_5_1_1__4_FractionVolatileSolidsPrimarySystem_Title">_xlfn.LAMBDA("Fraction of volatile solids in each primary system other than solid storage")</definedName>
    <definedName name="MMS_Swine_Methane_Equations.VEERG_4_5_1_1__4_FractionVolatileSolidsPrimarySystem_Unit">_xlfn.LAMBDA("fraction")</definedName>
    <definedName name="MMS_Swine_Methane_Equations.VEERG_4_5_1_1__4_FractionVolatileSolidsPrimarySystem_Variable">_xlfn.LAMBDA("FVSjmT1")</definedName>
    <definedName name="MMS_Swine_Methane_Equations.VEERG_4_5_1_1__4_FractionVolatileSolidsPrimarySystem_Variation">_xlfn.LAMBDA("")</definedName>
    <definedName name="MMS_Swine_Methane_Equations.VEERG_4_5_1_1__5_FractionVolatileSolidsSolidStorage">_xlfn.LAMBDA(_xlpm.MMSjm4T1,_xlpm.MMSjm179T1,_xlpm.SSm, _xlpm.MMSjm4T1 + (_xlpm.MMSjm179T1 * _xlpm.SSm))</definedName>
    <definedName name="MMS_Swine_Methane_Equations.VEERG_4_5_1_1__5_FractionVolatileSolidsSolidStorage_Arguments">_xlfn.LAMBDA(_xlfn.MAKEARRAY(3, 2, _xlfn.LAMBDA(_xlpm.r,_xlpm.c, INDEX({"MMSjm4T1","fraction of manure in solid storage primary system : fraction";"MMSjm179T1","fraction of manure in MMS 1, 7, and 9 in treatment stage 1 : fraction";"SSm","fraction of volatile solids separated to solid storage for each MMS : fraction"}, _xlpm.r, _xlpm.c))))</definedName>
    <definedName name="MMS_Swine_Methane_Equations.VEERG_4_5_1_1__5_FractionVolatileSolidsSolidStorage_LatexEquation">_xlfn.LAMBDA("FVS_{j,m=4,T=1}=MMS_{j,m=4,T=1}+(MMS_{j,m=1,7,9,T=1}\times SS_{m})")</definedName>
    <definedName name="MMS_Swine_Methane_Equations.VEERG_4_5_1_1__5_FractionVolatileSolidsSolidStorage_LatexEquationVariation">_xlfn.LAMBDA("FVS_{j,m=4,T=1}=MMS_{j,m=4,T=1}+(MMS_{j,m=1,T=1}\times SS_{m=1,T=1})+(MMS_{j,m=7,T=1}\times SS_{m=7,T=1})+(MMS_{j,m=9,T=1}\times SS_{m=9,T=1})")</definedName>
    <definedName name="MMS_Swine_Methane_Equations.VEERG_4_5_1_1__5_FractionVolatileSolidsSolidStorage_NIRReference">_xlfn.LAMBDA("")</definedName>
    <definedName name="MMS_Swine_Methane_Equations.VEERG_4_5_1_1__5_FractionVolatileSolidsSolidStorage_Source">_xlfn.LAMBDA("VEERG 2026: 4.5.1.1, Equation (5)")</definedName>
    <definedName name="MMS_Swine_Methane_Equations.VEERG_4_5_1_1__5_FractionVolatileSolidsSolidStorage_Title">_xlfn.LAMBDA("Fraction of volatile solids in solid storage")</definedName>
    <definedName name="MMS_Swine_Methane_Equations.VEERG_4_5_1_1__5_FractionVolatileSolidsSolidStorage_Unit">_xlfn.LAMBDA("fraction")</definedName>
    <definedName name="MMS_Swine_Methane_Equations.VEERG_4_5_1_1__5_FractionVolatileSolidsSolidStorage_Variable">_xlfn.LAMBDA("FVSjm4T1")</definedName>
    <definedName name="MMS_Swine_Methane_Equations.VEERG_4_5_1_1__5_FractionVolatileSolidsSolidStorage_Variation">_xlfn.LAMBDA("VARIATION ON SOURCE: Split equation for MMSm=1,7,9 into separate items to allow for calculation")</definedName>
    <definedName name="MMS_Swine_Methane_Equations.VEERG_4_5_1_1__5_FractionVolatileSolidsSolidStorageVariation">_xlfn.LAMBDA(_xlpm.MMSjm4T1,_xlpm.MMSjmT1_1,_xlpm.MMSjmT1_2,_xlpm.MMSjmT1_3,_xlpm.MMSjmT1_4,_xlpm.MMSjmT1_5,_xlpm.SSjmT1_1,_xlpm.SSjmT1_2,_xlpm.SSjmT1_3,_xlpm.SSjmT1_4,_xlpm.SSjmT1_5, _xlpm.MMSjm4T1 + (_xlpm.MMSjmT1_1 * _xlpm.SSjmT1_1) + (_xlpm.MMSjmT1_2 * _xlpm.SSjmT1_2) + (_xlpm.MMSjmT1_3 * _xlpm.SSjmT1_3) + (_xlpm.MMSjmT1_4 * _xlpm.SSjmT1_4) + (_xlpm.MMSjmT1_5 * _xlpm.SSjmT1_5))</definedName>
    <definedName name="MMS_Swine_Methane_Equations.VEERG_4_5_1_1__6_Stage2MethaneProduction">_xlfn.LAMBDA(_xlpm.VSTjmT2,_xlpm.BO,_xlpm.MMSjmT2,_xlpm.MCFim,_xlpm.rho, _xlfn.LET(_xlpm.VSTjmT2, IF(ISNUMBER(_xlpm.VSTjmT2), _xlpm.VSTjmT2, 0), _xlpm.MMSjmT2, IF(ISNUMBER(_xlpm.MMSjmT2), _xlpm.MMSjmT2, 0), _xlpm.VSTjmT2 * _xlpm.BO * _xlpm.MMSjmT2 * _xlpm.MCFim * _xlpm.rho))</definedName>
    <definedName name="MMS_Swine_Methane_Equations.VEERG_4_5_1_1__6_Stage2MethaneProduction_Arguments">_xlfn.LAMBDA(_xlfn.MAKEARRAY(6, 2, _xlfn.LAMBDA(_xlpm.r,_xlpm.c, INDEX({"VSTjmT2","volatile solids transferred to treatment stage 2 MMS : kg/head/day";"BO","emissions potential : m3 CH4/kg VS";"MMSjmT2","fraction of manure in each secondary system : fraction";"MCFim","methane conversion factor for temperate zone and system : fraction";"rho","density of methane : kg/m3";"i","state"}, _xlpm.r, _xlpm.c))))</definedName>
    <definedName name="MMS_Swine_Methane_Equations.VEERG_4_5_1_1__6_Stage2MethaneProduction_LatexEquation">_xlfn.LAMBDA("M_{ijm,T=2}=VST_{jm,T=2}\times BO\times MMS_{jm,T=2}\times MCF_{im}\times \rho")</definedName>
    <definedName name="MMS_Swine_Methane_Equations.VEERG_4_5_1_1__6_Stage2MethaneProduction_NIRReference">_xlfn.LAMBDA("")</definedName>
    <definedName name="MMS_Swine_Methane_Equations.VEERG_4_5_1_1__6_Stage2MethaneProduction_Source">_xlfn.LAMBDA("VEERG 2026: 4.5.1.1, Equation (6)")</definedName>
    <definedName name="MMS_Swine_Methane_Equations.VEERG_4_5_1_1__6_Stage2MethaneProduction_Title">_xlfn.LAMBDA("Production of methane in each treatment stage 2 MMS")</definedName>
    <definedName name="MMS_Swine_Methane_Equations.VEERG_4_5_1_1__6_Stage2MethaneProduction_Unit">_xlfn.LAMBDA("kg CH4/head/day")</definedName>
    <definedName name="MMS_Swine_Methane_Equations.VEERG_4_5_1_1__6_Stage2MethaneProduction_Variable">_xlfn.LAMBDA("MijmT2")</definedName>
    <definedName name="MMS_Swine_Methane_Equations.VEERG_4_5_1_1__7_VolatileSolidsTransferredStage2">_xlfn.LAMBDA(_xlpm.VSj,_xlpm.FVSjmT1,_xlpm.VSLmT1, _xlpm.VSj * _xlpm.FVSjmT1 * (1 - _xlpm.VSLmT1))</definedName>
    <definedName name="MMS_Swine_Methane_Equations.VEERG_4_5_1_1__7_VolatileSolidsTransferredStage2_Arguments">_xlfn.LAMBDA(_xlfn.MAKEARRAY(3, 2, _xlfn.LAMBDA(_xlpm.r,_xlpm.c, INDEX({"VSj","volatile solid production from swine in each class : kg/head/day";"FVSjmT1","fraction of volatile solids in each primary system : fraction";"VSLmT1","fraction of volatile solids lost during storage in the primary system : fraction"}, _xlpm.r, _xlpm.c))))</definedName>
    <definedName name="MMS_Swine_Methane_Equations.VEERG_4_5_1_1__7_VolatileSolidsTransferredStage2_LatexEquation">_xlfn.LAMBDA("VST_{ijm,T=2}=VS_{j}\times FVS_{jm,T=1}\times(1-VSL_{m,T=1})")</definedName>
    <definedName name="MMS_Swine_Methane_Equations.VEERG_4_5_1_1__7_VolatileSolidsTransferredStage2_NIRReference">_xlfn.LAMBDA("")</definedName>
    <definedName name="MMS_Swine_Methane_Equations.VEERG_4_5_1_1__7_VolatileSolidsTransferredStage2_Source">_xlfn.LAMBDA("VEERG 2026: 4.5.1.1, Equation (7)")</definedName>
    <definedName name="MMS_Swine_Methane_Equations.VEERG_4_5_1_1__7_VolatileSolidsTransferredStage2_Title">_xlfn.LAMBDA("Volatile solids transferred to treatment stage 2 MMS")</definedName>
    <definedName name="MMS_Swine_Methane_Equations.VEERG_4_5_1_1__7_VolatileSolidsTransferredStage2_Unit">_xlfn.LAMBDA("kg VS")</definedName>
    <definedName name="MMS_Swine_Methane_Equations.VEERG_4_5_1_1__7_VolatileSolidsTransferredStage2_Variable">_xlfn.LAMBDA("VSTijmT2")</definedName>
    <definedName name="Range_LivestockStartingValues">#REF!</definedName>
    <definedName name="SourceData_Swine.SourceData_Swine_MethaneVolatileSolidsEmissionsPotential_Data">_xlfn.LAMBDA(0.19)</definedName>
    <definedName name="SourceData_Swine.SourceData_Swine_MethaneVolatileSolidsEmissionsPotential_Source">_xlfn.LAMBDA("IPCC (2019), Chapter 10 [4]")</definedName>
    <definedName name="SourceData_Swine.SourceData_Swine_MethaneVolatileSolidsEmissionsPotential_Title">_xlfn.LAMBDA("Emissions potential of methane per kilogram of volatile solids")</definedName>
    <definedName name="SourceData_Swine.SourceData_Swine_MethaneVolatileSolidsEmissionsPotential_Unit">_xlfn.LAMBDA("m3 CH4 / kg VS")</definedName>
    <definedName name="SourceData_Swine.SourceData_Swine_MethaneVolatileSolidsEmissionsPotential_Variable">_xlfn.LAMBDA("B0")</definedName>
    <definedName name="SourceData_Swine.SourceData_Swine_MethaneVolatileSolidsEmissionsPotential_Variation">_xlfn.LAMBDA("")</definedName>
    <definedName name="SourceData_Swine.SourceData_Swine_MMS_MCFs_Data">_xlfn.LAMBDA(_xlfn.MAKEARRAY(8, 10, _xlfn.LAMBDA(_xlpm.r,_xlpm.c, INDEX({"MMS","NSW","ACT","QLD","NT","SA","TAS","VIC","WA","NIR definition";"Outdoor (Dry lot)",0.01,0.01,0.03,0.03,0.01,0.01,0.01,0.01,"Drylot (feed pad)";"Deep litter",0.04,0.04,0.04,0.04,0.04,0.04,0.04,0.04,"Deep litter";"Stockpile (Solid storage)",0.02,0.02,0.02,0.02,0.02,0.02,0.02,0.02,"Solid storage";"Effluent pond (Uncovered anaerobic lagoon)",0.75,0.75,0.78,0.78,0.75,0.7,0.74,0.76,"Anaerobic lagoon";"Anaerobic digester / Covered lagoon",0.1,0.1,0.1,0.1,0.1,0.1,0.1,0.1,"Digester / covered lagoons";"Short HRT tank storage &lt; 1 month (pit storage)",0.03,0.03,0.03,0.03,0.03,0.03,0.03,0.03,"Pit storage";"Direct Application to soil",0,0,0,0,0,0,0,0,"Direct application"}, _xlpm.r, _xlpm.c))))</definedName>
    <definedName name="SourceData_Swine.SourceData_Swine_MMS_MCFs_Source">_xlfn.LAMBDA("VEERG 2026: Table A.1.6.4: Swine – MCFs (MCFim)")</definedName>
    <definedName name="SourceData_Swine.SourceData_Swine_MMS_MCFs_Title">_xlfn.LAMBDA("Methane conversion factor for temperature zone and manure management system.")</definedName>
    <definedName name="SourceData_Swine.SourceData_Swine_MMS_MCFs_Unit">_xlfn.LAMBDA("")</definedName>
    <definedName name="SourceData_Swine.SourceData_Swine_MMS_MCFs_Variation">_xlfn.LAMBDA("VARIATION ON SOURCE DATA: Added columns for ACT, split QLD and NT. Added extra column with MMS names that match NIR definitions")</definedName>
    <definedName name="SourceData_Swine.SourceData_Swine_ProductionSystems_Data">_xlfn.LAMBDA(_xlfn.MAKEARRAY(4, 1, _xlfn.LAMBDA(_xlpm.r,_xlpm.c, INDEX({"Production system";"Conventional housing";"Deep litter housing";"Outdoor/free range"}, _xlpm.r, _xlpm.c))))</definedName>
    <definedName name="SourceData_Swine.SourceData_Swine_ProductionSystems_Source">_xlfn.LAMBDA("VEERG 2026: 4.5 Swine Figure 4.8")</definedName>
    <definedName name="SourceData_Swine.SourceData_Swine_ProductionSystems_Title">_xlfn.LAMBDA("Swine production systems")</definedName>
    <definedName name="SourceData_Swine.SourceData_Swine_ProductionSystems_Unit">_xlfn.LAMBDA("")</definedName>
    <definedName name="SourceData_Swine.SourceData_Swine_ProductionSystems_Variation">_xlfn.LAMBDA("")</definedName>
    <definedName name="SourceData_Swine.SourceData_Swine_VolatileSolids_Data">_xlfn.LAMBDA(_xlfn.MAKEARRAY(8, 2, _xlfn.LAMBDA(_xlpm.r,_xlpm.c, INDEX({"Class","VSj";"Boars",0.4;"Sows",0.46;"Gilts",0.55;"Slaughter pigs",0.39;"Suckers",0.39;"Weaners",0.39;"Growers",0.39}, _xlpm.r, _xlpm.c))))</definedName>
    <definedName name="SourceData_Swine.SourceData_Swine_VolatileSolids_Source">_xlfn.LAMBDA("VEERG 2026: Table A.1.6.1: Swine - Intake and manure characteristics derived from PigBal")</definedName>
    <definedName name="SourceData_Swine.SourceData_Swine_VolatileSolids_Title">_xlfn.LAMBDA("Swine - Volatile solids (VSj) - 2020 to 2024")</definedName>
    <definedName name="SourceData_Swine.SourceData_Swine_VolatileSolids_Unit">_xlfn.LAMBDA("kg/head/day")</definedName>
    <definedName name="SourceData_Swine.SourceData_Swine_VolatileSolids_Variation">_xlfn.LAMBDA("VARIATION ON SOURCE DATA: Only uses data for 2020-2024. Added 'Suckers', 'Weaners' and 'Growers' classes which have the same values as 'Slaughter pigs'.")</definedName>
    <definedName name="Step1">#REF!</definedName>
    <definedName name="Step2">#REF!</definedName>
    <definedName name="Step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3" i="69" l="1"/>
  <c r="J282" i="69"/>
  <c r="I282" i="69"/>
  <c r="H282" i="69"/>
  <c r="G282" i="69"/>
  <c r="F282" i="69"/>
  <c r="E282" i="69"/>
  <c r="D282" i="69"/>
  <c r="D10" i="70"/>
  <c r="D11" i="70"/>
  <c r="J276" i="69"/>
  <c r="I276" i="69"/>
  <c r="H276" i="69"/>
  <c r="G276" i="69"/>
  <c r="F276" i="69"/>
  <c r="E276" i="69"/>
  <c r="D276" i="69"/>
  <c r="K20" i="70" a="1"/>
  <c r="K20" i="70" s="1"/>
  <c r="J20" i="70" a="1"/>
  <c r="J20" i="70" s="1"/>
  <c r="I20" i="70" a="1"/>
  <c r="I20" i="70" s="1"/>
  <c r="H20" i="70" a="1"/>
  <c r="H20" i="70" s="1"/>
  <c r="G20" i="70" a="1"/>
  <c r="G20" i="70" s="1"/>
  <c r="F20" i="70" a="1"/>
  <c r="F20" i="70" s="1"/>
  <c r="E20" i="70" a="1"/>
  <c r="E20" i="70" s="1"/>
  <c r="K16" i="70" a="1"/>
  <c r="K16" i="70" s="1"/>
  <c r="J16" i="70" a="1"/>
  <c r="J16" i="70" s="1"/>
  <c r="I16" i="70" a="1"/>
  <c r="I16" i="70" s="1"/>
  <c r="H16" i="70" a="1"/>
  <c r="H16" i="70" s="1"/>
  <c r="G16" i="70" a="1"/>
  <c r="G16" i="70" s="1"/>
  <c r="F16" i="70" a="1"/>
  <c r="F16" i="70" s="1"/>
  <c r="E16" i="70" a="1"/>
  <c r="E16" i="70" s="1"/>
  <c r="L235" i="69"/>
  <c r="L234" i="69"/>
  <c r="D235" i="69"/>
  <c r="D234" i="69"/>
  <c r="D233" i="69"/>
  <c r="D232" i="69"/>
  <c r="D231" i="69"/>
  <c r="D230" i="69"/>
  <c r="G222" i="69"/>
  <c r="G223" i="69"/>
  <c r="G220" i="69"/>
  <c r="M206" i="69"/>
  <c r="M205" i="69"/>
  <c r="M204" i="69"/>
  <c r="M203" i="69"/>
  <c r="M202" i="69"/>
  <c r="M201" i="69"/>
  <c r="M200" i="69"/>
  <c r="M199" i="69"/>
  <c r="M198" i="69"/>
  <c r="M197" i="69"/>
  <c r="M196" i="69"/>
  <c r="M195" i="69"/>
  <c r="M194" i="69"/>
  <c r="D202" i="69"/>
  <c r="D198" i="69"/>
  <c r="D194" i="69"/>
  <c r="D190" i="69"/>
  <c r="D186" i="69"/>
  <c r="D182" i="69"/>
  <c r="G135" i="69"/>
  <c r="D176" i="69"/>
  <c r="E176" i="69" s="1" a="1"/>
  <c r="E176" i="69" s="1"/>
  <c r="D175" i="69"/>
  <c r="E175" i="69" s="1" a="1"/>
  <c r="E175" i="69" s="1"/>
  <c r="D174" i="69"/>
  <c r="E174" i="69" s="1" a="1"/>
  <c r="E174" i="69" s="1"/>
  <c r="D173" i="69"/>
  <c r="E173" i="69" s="1" a="1"/>
  <c r="E173" i="69" s="1"/>
  <c r="D172" i="69"/>
  <c r="E172" i="69" s="1" a="1"/>
  <c r="E172" i="69" s="1"/>
  <c r="D171" i="69"/>
  <c r="E171" i="69" s="1" a="1"/>
  <c r="E171" i="69" s="1"/>
  <c r="L165" i="69"/>
  <c r="K165" i="69"/>
  <c r="J165" i="69"/>
  <c r="I165" i="69"/>
  <c r="H165" i="69"/>
  <c r="G165" i="69"/>
  <c r="F165" i="69"/>
  <c r="L164" i="69"/>
  <c r="K164" i="69"/>
  <c r="J164" i="69"/>
  <c r="I164" i="69"/>
  <c r="H164" i="69"/>
  <c r="G164" i="69"/>
  <c r="F164" i="69"/>
  <c r="L163" i="69"/>
  <c r="K163" i="69"/>
  <c r="J163" i="69"/>
  <c r="I163" i="69"/>
  <c r="H163" i="69"/>
  <c r="G163" i="69"/>
  <c r="F163" i="69"/>
  <c r="L162" i="69"/>
  <c r="K162" i="69"/>
  <c r="J162" i="69"/>
  <c r="I162" i="69"/>
  <c r="H162" i="69"/>
  <c r="G162" i="69"/>
  <c r="F162" i="69"/>
  <c r="L161" i="69"/>
  <c r="K161" i="69"/>
  <c r="J161" i="69"/>
  <c r="I161" i="69"/>
  <c r="H161" i="69"/>
  <c r="G161" i="69"/>
  <c r="F161" i="69"/>
  <c r="L160" i="69"/>
  <c r="K160" i="69"/>
  <c r="J160" i="69"/>
  <c r="I160" i="69"/>
  <c r="H160" i="69"/>
  <c r="G160" i="69"/>
  <c r="F160" i="69"/>
  <c r="L159" i="69"/>
  <c r="K159" i="69"/>
  <c r="J159" i="69"/>
  <c r="I159" i="69"/>
  <c r="H159" i="69"/>
  <c r="G159" i="69"/>
  <c r="F159" i="69"/>
  <c r="L158" i="69"/>
  <c r="K158" i="69"/>
  <c r="J158" i="69"/>
  <c r="I158" i="69"/>
  <c r="H158" i="69"/>
  <c r="G158" i="69"/>
  <c r="F158" i="69"/>
  <c r="L157" i="69"/>
  <c r="K157" i="69"/>
  <c r="J157" i="69"/>
  <c r="I157" i="69"/>
  <c r="H157" i="69"/>
  <c r="G157" i="69"/>
  <c r="F157" i="69"/>
  <c r="L156" i="69"/>
  <c r="K156" i="69"/>
  <c r="J156" i="69"/>
  <c r="I156" i="69"/>
  <c r="H156" i="69"/>
  <c r="G156" i="69"/>
  <c r="F156" i="69"/>
  <c r="L155" i="69"/>
  <c r="K155" i="69"/>
  <c r="J155" i="69"/>
  <c r="I155" i="69"/>
  <c r="H155" i="69"/>
  <c r="G155" i="69"/>
  <c r="F155" i="69"/>
  <c r="L154" i="69"/>
  <c r="K154" i="69"/>
  <c r="J154" i="69"/>
  <c r="I154" i="69"/>
  <c r="H154" i="69"/>
  <c r="G154" i="69"/>
  <c r="F154" i="69"/>
  <c r="L153" i="69"/>
  <c r="K153" i="69"/>
  <c r="J153" i="69"/>
  <c r="I153" i="69"/>
  <c r="H153" i="69"/>
  <c r="G153" i="69"/>
  <c r="F153" i="69"/>
  <c r="K52" i="70"/>
  <c r="J52" i="70"/>
  <c r="I52" i="70"/>
  <c r="H52" i="70"/>
  <c r="G52" i="70"/>
  <c r="F52" i="70"/>
  <c r="K84" i="70"/>
  <c r="J84" i="70"/>
  <c r="I84" i="70"/>
  <c r="H84" i="70"/>
  <c r="G84" i="70"/>
  <c r="F84" i="70"/>
  <c r="K76" i="70"/>
  <c r="J76" i="70"/>
  <c r="I76" i="70"/>
  <c r="H76" i="70"/>
  <c r="G76" i="70"/>
  <c r="F76" i="70"/>
  <c r="K68" i="70"/>
  <c r="J68" i="70"/>
  <c r="I68" i="70"/>
  <c r="H68" i="70"/>
  <c r="G68" i="70"/>
  <c r="F68" i="70"/>
  <c r="K60" i="70"/>
  <c r="J60" i="70"/>
  <c r="I60" i="70"/>
  <c r="H60" i="70"/>
  <c r="G60" i="70"/>
  <c r="F60" i="70"/>
  <c r="L148" i="69"/>
  <c r="K148" i="69"/>
  <c r="J148" i="69"/>
  <c r="I148" i="69"/>
  <c r="H148" i="69"/>
  <c r="G148" i="69"/>
  <c r="F148" i="69"/>
  <c r="L147" i="69"/>
  <c r="K147" i="69"/>
  <c r="J147" i="69"/>
  <c r="I147" i="69"/>
  <c r="H147" i="69"/>
  <c r="G147" i="69"/>
  <c r="F147" i="69"/>
  <c r="L146" i="69"/>
  <c r="K146" i="69"/>
  <c r="J146" i="69"/>
  <c r="I146" i="69"/>
  <c r="H146" i="69"/>
  <c r="G146" i="69"/>
  <c r="F146" i="69"/>
  <c r="L145" i="69"/>
  <c r="K145" i="69"/>
  <c r="J145" i="69"/>
  <c r="I145" i="69"/>
  <c r="H145" i="69"/>
  <c r="G145" i="69"/>
  <c r="F145" i="69"/>
  <c r="L144" i="69"/>
  <c r="K144" i="69"/>
  <c r="J144" i="69"/>
  <c r="I144" i="69"/>
  <c r="H144" i="69"/>
  <c r="G144" i="69"/>
  <c r="F144" i="69"/>
  <c r="L143" i="69"/>
  <c r="K143" i="69"/>
  <c r="J143" i="69"/>
  <c r="I143" i="69"/>
  <c r="H143" i="69"/>
  <c r="G143" i="69"/>
  <c r="F143" i="69"/>
  <c r="L142" i="69"/>
  <c r="K142" i="69"/>
  <c r="J142" i="69"/>
  <c r="I142" i="69"/>
  <c r="H142" i="69"/>
  <c r="G142" i="69"/>
  <c r="F142" i="69"/>
  <c r="L141" i="69"/>
  <c r="K141" i="69"/>
  <c r="J141" i="69"/>
  <c r="I141" i="69"/>
  <c r="H141" i="69"/>
  <c r="G141" i="69"/>
  <c r="F141" i="69"/>
  <c r="D161" i="69"/>
  <c r="D157" i="69"/>
  <c r="D153" i="69"/>
  <c r="D149" i="69"/>
  <c r="D145" i="69"/>
  <c r="D141" i="69"/>
  <c r="G131" i="69"/>
  <c r="G134" i="69"/>
  <c r="D115" i="69"/>
  <c r="D114" i="69"/>
  <c r="D113" i="69"/>
  <c r="D112" i="69"/>
  <c r="D111" i="69"/>
  <c r="D110" i="69"/>
  <c r="G87" i="69"/>
  <c r="D104" i="69"/>
  <c r="E104" i="69" s="1" a="1"/>
  <c r="E104" i="69" s="1"/>
  <c r="D103" i="69"/>
  <c r="E103" i="69" s="1" a="1"/>
  <c r="E103" i="69" s="1"/>
  <c r="D102" i="69"/>
  <c r="E102" i="69" s="1" a="1"/>
  <c r="E102" i="69" s="1"/>
  <c r="D101" i="69"/>
  <c r="E101" i="69" s="1" a="1"/>
  <c r="E101" i="69" s="1"/>
  <c r="D100" i="69"/>
  <c r="E100" i="69" s="1" a="1"/>
  <c r="E100" i="69" s="1"/>
  <c r="D99" i="69"/>
  <c r="E99" i="69" a="1"/>
  <c r="E99" i="69" s="1"/>
  <c r="D51" i="69" a="1"/>
  <c r="D51" i="69"/>
  <c r="L73" i="69"/>
  <c r="K67" i="69"/>
  <c r="J67" i="69"/>
  <c r="I67" i="69"/>
  <c r="H67" i="69"/>
  <c r="G67" i="69"/>
  <c r="F67" i="69"/>
  <c r="E67" i="69"/>
  <c r="D67" i="69"/>
  <c r="D44" i="69"/>
  <c r="D43" i="69"/>
  <c r="D42" i="69"/>
  <c r="D41" i="69"/>
  <c r="D40" i="69"/>
  <c r="K34" i="69"/>
  <c r="J34" i="69"/>
  <c r="I34" i="69"/>
  <c r="H34" i="69"/>
  <c r="G34" i="69"/>
  <c r="F34" i="69"/>
  <c r="E34" i="69"/>
  <c r="K33" i="69"/>
  <c r="J33" i="69"/>
  <c r="I33" i="69"/>
  <c r="H33" i="69"/>
  <c r="G33" i="69"/>
  <c r="F33" i="69"/>
  <c r="E33" i="69"/>
  <c r="K32" i="69"/>
  <c r="J32" i="69"/>
  <c r="I32" i="69"/>
  <c r="H32" i="69"/>
  <c r="G32" i="69"/>
  <c r="F32" i="69"/>
  <c r="E32" i="69"/>
  <c r="K31" i="69"/>
  <c r="J31" i="69"/>
  <c r="I31" i="69"/>
  <c r="H31" i="69"/>
  <c r="G31" i="69"/>
  <c r="F31" i="69"/>
  <c r="E31" i="69"/>
  <c r="K30" i="69"/>
  <c r="J30" i="69"/>
  <c r="I30" i="69"/>
  <c r="H30" i="69"/>
  <c r="G30" i="69"/>
  <c r="F30" i="69"/>
  <c r="E30" i="69"/>
  <c r="D34" i="69"/>
  <c r="D33" i="69"/>
  <c r="D32" i="69"/>
  <c r="D31" i="69"/>
  <c r="D30" i="69"/>
  <c r="D24" i="69"/>
  <c r="D23" i="69"/>
  <c r="D22" i="69"/>
  <c r="D21" i="69"/>
  <c r="D20" i="69"/>
  <c r="K24" i="69"/>
  <c r="J24" i="69"/>
  <c r="I24" i="69"/>
  <c r="H24" i="69"/>
  <c r="G24" i="69"/>
  <c r="F24" i="69"/>
  <c r="E24" i="69"/>
  <c r="K23" i="69"/>
  <c r="J23" i="69"/>
  <c r="I23" i="69"/>
  <c r="H23" i="69"/>
  <c r="G23" i="69"/>
  <c r="F23" i="69"/>
  <c r="E23" i="69"/>
  <c r="K22" i="69"/>
  <c r="J22" i="69"/>
  <c r="I22" i="69"/>
  <c r="H22" i="69"/>
  <c r="G22" i="69"/>
  <c r="F22" i="69"/>
  <c r="E22" i="69"/>
  <c r="K21" i="69"/>
  <c r="J21" i="69"/>
  <c r="I21" i="69"/>
  <c r="H21" i="69"/>
  <c r="G21" i="69"/>
  <c r="F21" i="69"/>
  <c r="E21" i="69"/>
  <c r="K20" i="69"/>
  <c r="J20" i="69"/>
  <c r="I20" i="69"/>
  <c r="H20" i="69"/>
  <c r="G20" i="69"/>
  <c r="F20" i="69"/>
  <c r="E20" i="69"/>
  <c r="E50" i="69" a="1"/>
  <c r="E7" i="69" a="1"/>
  <c r="H40" i="69" l="1" a="1"/>
  <c r="H40" i="69" s="1"/>
  <c r="I73" i="69" a="1"/>
  <c r="I73" i="69" s="1"/>
  <c r="J73" i="69" a="1"/>
  <c r="J73" i="69" s="1"/>
  <c r="E73" i="69" a="1"/>
  <c r="E73" i="69" s="1"/>
  <c r="K73" i="69" a="1"/>
  <c r="K73" i="69" s="1"/>
  <c r="G73" i="69" a="1"/>
  <c r="G73" i="69" s="1"/>
  <c r="F73" i="69" a="1"/>
  <c r="F73" i="69" s="1"/>
  <c r="J43" i="69" a="1"/>
  <c r="J43" i="69" s="1"/>
  <c r="K43" i="69" a="1"/>
  <c r="K43" i="69" s="1"/>
  <c r="J41" i="69" a="1"/>
  <c r="J41" i="69" s="1"/>
  <c r="H73" i="69" a="1"/>
  <c r="H73" i="69" s="1"/>
  <c r="I40" i="69" a="1"/>
  <c r="I40" i="69" s="1"/>
  <c r="E50" i="69"/>
  <c r="E7" i="69"/>
  <c r="E42" i="69" a="1"/>
  <c r="E42" i="69" s="1"/>
  <c r="E44" i="69" a="1"/>
  <c r="E44" i="69" s="1"/>
  <c r="F44" i="69" a="1"/>
  <c r="F44" i="69" s="1"/>
  <c r="J42" i="69" a="1"/>
  <c r="J42" i="69" s="1"/>
  <c r="J44" i="69" a="1"/>
  <c r="J44" i="69" s="1"/>
  <c r="F41" i="69" a="1"/>
  <c r="F41" i="69" s="1"/>
  <c r="K42" i="69" a="1"/>
  <c r="K42" i="69" s="1"/>
  <c r="K44" i="69" a="1"/>
  <c r="K44" i="69" s="1"/>
  <c r="E41" i="69" a="1"/>
  <c r="E41" i="69" s="1"/>
  <c r="E43" i="69" a="1"/>
  <c r="E43" i="69" s="1"/>
  <c r="H41" i="69" a="1"/>
  <c r="H41" i="69" s="1"/>
  <c r="H43" i="69" a="1"/>
  <c r="H43" i="69" s="1"/>
  <c r="I41" i="69" a="1"/>
  <c r="I41" i="69" s="1"/>
  <c r="I43" i="69" a="1"/>
  <c r="I43" i="69" s="1"/>
  <c r="F42" i="69" a="1"/>
  <c r="F42" i="69" s="1"/>
  <c r="F43" i="69" a="1"/>
  <c r="F43" i="69" s="1"/>
  <c r="G41" i="69" a="1"/>
  <c r="G41" i="69" s="1"/>
  <c r="G43" i="69" a="1"/>
  <c r="G43" i="69" s="1"/>
  <c r="K41" i="69" a="1"/>
  <c r="K41" i="69" s="1"/>
  <c r="E40" i="69" a="1"/>
  <c r="E40" i="69" s="1"/>
  <c r="J40" i="69" a="1"/>
  <c r="J40" i="69" s="1"/>
  <c r="G40" i="69" a="1"/>
  <c r="G40" i="69" s="1"/>
  <c r="G42" i="69" a="1"/>
  <c r="G42" i="69" s="1"/>
  <c r="G44" i="69" a="1"/>
  <c r="G44" i="69" s="1"/>
  <c r="F40" i="69" a="1"/>
  <c r="F40" i="69" s="1"/>
  <c r="K40" i="69" a="1"/>
  <c r="K40" i="69" s="1"/>
  <c r="H42" i="69" a="1"/>
  <c r="H42" i="69" s="1"/>
  <c r="H44" i="69" a="1"/>
  <c r="H44" i="69" s="1"/>
  <c r="I42" i="69" a="1"/>
  <c r="I42" i="69" s="1"/>
  <c r="I44" i="69" a="1"/>
  <c r="I44" i="69" s="1"/>
  <c r="E84" i="70" l="1"/>
  <c r="E76" i="70"/>
  <c r="E68" i="70"/>
  <c r="E60" i="70"/>
  <c r="E52" i="70"/>
  <c r="K93" i="70"/>
  <c r="J93" i="70"/>
  <c r="I93" i="70"/>
  <c r="H93" i="70"/>
  <c r="G93" i="70"/>
  <c r="F93" i="70"/>
  <c r="E93" i="70"/>
  <c r="O51" i="70"/>
  <c r="O50" i="70"/>
  <c r="O49" i="70"/>
  <c r="O48" i="70"/>
  <c r="O59" i="70"/>
  <c r="O58" i="70"/>
  <c r="O57" i="70"/>
  <c r="O56" i="70"/>
  <c r="O67" i="70"/>
  <c r="O66" i="70"/>
  <c r="O65" i="70"/>
  <c r="O64" i="70"/>
  <c r="O75" i="70"/>
  <c r="O74" i="70"/>
  <c r="O73" i="70"/>
  <c r="O72" i="70"/>
  <c r="O83" i="70"/>
  <c r="O82" i="70"/>
  <c r="O81" i="70"/>
  <c r="O80" i="70"/>
  <c r="O92" i="70"/>
  <c r="O91" i="70"/>
  <c r="O90" i="70"/>
  <c r="O89" i="70"/>
  <c r="O88" i="70"/>
  <c r="D91" i="70"/>
  <c r="D92" i="70"/>
  <c r="D83" i="70"/>
  <c r="D87" i="70"/>
  <c r="D90" i="70"/>
  <c r="D89" i="70"/>
  <c r="D88" i="70"/>
  <c r="E87" i="70"/>
  <c r="E79" i="70"/>
  <c r="D79" i="70"/>
  <c r="D82" i="70"/>
  <c r="D81" i="70"/>
  <c r="D80" i="70"/>
  <c r="E71" i="70"/>
  <c r="E63" i="70"/>
  <c r="E55" i="70"/>
  <c r="E47" i="70"/>
  <c r="D42" i="70"/>
  <c r="D41" i="70"/>
  <c r="D40" i="70"/>
  <c r="D43" i="70"/>
  <c r="D39" i="70"/>
  <c r="K35" i="70"/>
  <c r="J35" i="70"/>
  <c r="I35" i="70"/>
  <c r="H35" i="70"/>
  <c r="G35" i="70"/>
  <c r="F35" i="70"/>
  <c r="E35" i="70"/>
  <c r="D33" i="70"/>
  <c r="D59" i="70" s="1"/>
  <c r="D32" i="70"/>
  <c r="D58" i="70" s="1"/>
  <c r="D31" i="70"/>
  <c r="D57" i="70" s="1"/>
  <c r="D30" i="70"/>
  <c r="D29" i="70"/>
  <c r="E164" i="69" l="1"/>
  <c r="E205" i="69"/>
  <c r="E157" i="69"/>
  <c r="E198" i="69"/>
  <c r="E159" i="69"/>
  <c r="E200" i="69"/>
  <c r="E206" i="69"/>
  <c r="E165" i="69"/>
  <c r="E158" i="69"/>
  <c r="E199" i="69"/>
  <c r="E148" i="69"/>
  <c r="E189" i="69"/>
  <c r="E161" i="69"/>
  <c r="E202" i="69"/>
  <c r="E160" i="69"/>
  <c r="E201" i="69"/>
  <c r="E162" i="69"/>
  <c r="E203" i="69"/>
  <c r="E147" i="69"/>
  <c r="E188" i="69"/>
  <c r="E163" i="69"/>
  <c r="E204" i="69"/>
  <c r="E146" i="69"/>
  <c r="E187" i="69"/>
  <c r="D63" i="70"/>
  <c r="D65" i="70"/>
  <c r="D72" i="70"/>
  <c r="D73" i="70"/>
  <c r="D64" i="70"/>
  <c r="D75" i="70"/>
  <c r="D66" i="70"/>
  <c r="D67" i="70"/>
  <c r="D71" i="70"/>
  <c r="D74" i="70"/>
  <c r="D47" i="70"/>
  <c r="D55" i="70"/>
  <c r="D56" i="70"/>
  <c r="D51" i="70"/>
  <c r="D48" i="70"/>
  <c r="D49" i="70"/>
  <c r="D50" i="70"/>
  <c r="E194" i="69" l="1"/>
  <c r="E153" i="69"/>
  <c r="E142" i="69"/>
  <c r="E183" i="69"/>
  <c r="E145" i="69"/>
  <c r="E186" i="69"/>
  <c r="E196" i="69"/>
  <c r="E155" i="69"/>
  <c r="E143" i="69"/>
  <c r="E184" i="69"/>
  <c r="E141" i="69"/>
  <c r="E182" i="69"/>
  <c r="E152" i="69"/>
  <c r="E193" i="69"/>
  <c r="E150" i="69"/>
  <c r="E191" i="69"/>
  <c r="E144" i="69"/>
  <c r="E185" i="69"/>
  <c r="E192" i="69"/>
  <c r="E151" i="69"/>
  <c r="E154" i="69"/>
  <c r="E195" i="69"/>
  <c r="E156" i="69"/>
  <c r="E197" i="69"/>
  <c r="E149" i="69"/>
  <c r="E190" i="69"/>
  <c r="F295" i="69" l="1" a="1"/>
  <c r="F295" i="69" s="1"/>
  <c r="D292" i="69" a="1"/>
  <c r="D292" i="69" s="1"/>
  <c r="G270" i="69"/>
  <c r="G269" i="69"/>
  <c r="G268" i="69"/>
  <c r="D268" i="69" a="1"/>
  <c r="D268" i="69" s="1"/>
  <c r="E266" i="69" a="1"/>
  <c r="E266" i="69" s="1"/>
  <c r="E265" i="69"/>
  <c r="E265" i="69" a="1"/>
  <c r="D260" i="69" a="1"/>
  <c r="D260" i="69" s="1"/>
  <c r="D259" i="69" a="1"/>
  <c r="D259" i="69" s="1"/>
  <c r="D248" i="69" a="1"/>
  <c r="D248" i="69" s="1"/>
  <c r="E246" i="69" a="1"/>
  <c r="E246" i="69" s="1"/>
  <c r="K255" i="69" s="1"/>
  <c r="E245" i="69" a="1"/>
  <c r="E245" i="69" s="1"/>
  <c r="D241" i="69" a="1"/>
  <c r="D241" i="69" s="1"/>
  <c r="D240" i="69" a="1"/>
  <c r="D240" i="69" s="1"/>
  <c r="D239" i="69" a="1"/>
  <c r="D239" i="69" s="1"/>
  <c r="G221" i="69"/>
  <c r="G219" i="69"/>
  <c r="D219" i="69" a="1"/>
  <c r="D219" i="69" s="1"/>
  <c r="E217" i="69" a="1"/>
  <c r="E217" i="69" s="1"/>
  <c r="E216" i="69" a="1"/>
  <c r="E216" i="69" s="1"/>
  <c r="D211" i="69" a="1"/>
  <c r="D211" i="69" s="1"/>
  <c r="D210" i="69" a="1"/>
  <c r="D210" i="69" s="1"/>
  <c r="G152" i="69"/>
  <c r="F149" i="69"/>
  <c r="G133" i="69"/>
  <c r="G132" i="69"/>
  <c r="G130" i="69"/>
  <c r="D130" i="69" a="1"/>
  <c r="D130" i="69" s="1"/>
  <c r="E128" i="69" a="1"/>
  <c r="E128" i="69" s="1"/>
  <c r="M186" i="69" s="1"/>
  <c r="E127" i="69" a="1"/>
  <c r="E127" i="69" s="1"/>
  <c r="D122" i="69" a="1"/>
  <c r="D122" i="69" s="1"/>
  <c r="D121" i="69" a="1"/>
  <c r="D121" i="69" s="1"/>
  <c r="J94" i="69"/>
  <c r="I94" i="69"/>
  <c r="H94" i="69"/>
  <c r="G94" i="69"/>
  <c r="F94" i="69"/>
  <c r="E94" i="69"/>
  <c r="D94" i="69"/>
  <c r="G88" i="69"/>
  <c r="G86" i="69"/>
  <c r="D86" i="69" a="1"/>
  <c r="D86" i="69" s="1"/>
  <c r="E84" i="69" a="1"/>
  <c r="E84" i="69" s="1"/>
  <c r="L112" i="69" s="1"/>
  <c r="E83" i="69" a="1"/>
  <c r="E83" i="69" s="1"/>
  <c r="D78" i="69" a="1"/>
  <c r="D78" i="69" s="1"/>
  <c r="D77" i="69" a="1"/>
  <c r="D77" i="69" s="1"/>
  <c r="D73" i="69"/>
  <c r="G61" i="69"/>
  <c r="G60" i="69"/>
  <c r="G59" i="69"/>
  <c r="D59" i="69" a="1"/>
  <c r="D59" i="69" s="1"/>
  <c r="E57" i="69" a="1"/>
  <c r="E57" i="69" s="1"/>
  <c r="E56" i="69" a="1"/>
  <c r="E56" i="69" s="1"/>
  <c r="D49" i="69" a="1"/>
  <c r="D49" i="69" s="1"/>
  <c r="D48" i="69" a="1"/>
  <c r="D48" i="69" s="1"/>
  <c r="H14" i="69"/>
  <c r="H13" i="69"/>
  <c r="D13" i="69" a="1"/>
  <c r="D13" i="69" s="1"/>
  <c r="E11" i="69" a="1"/>
  <c r="E11" i="69" s="1"/>
  <c r="E10" i="69" a="1"/>
  <c r="E10" i="69" s="1"/>
  <c r="D6" i="69" a="1"/>
  <c r="D6" i="69" s="1"/>
  <c r="D5" i="69" a="1"/>
  <c r="D5" i="69" s="1"/>
  <c r="D60" i="79"/>
  <c r="D59" i="79"/>
  <c r="D58" i="79"/>
  <c r="D57" i="79"/>
  <c r="G56" i="79" a="1"/>
  <c r="G56" i="79" s="1"/>
  <c r="D56" i="79"/>
  <c r="G55" i="79" a="1"/>
  <c r="G55" i="79" s="1"/>
  <c r="D55" i="79"/>
  <c r="G54" i="79" a="1"/>
  <c r="G54" i="79" s="1"/>
  <c r="D54" i="79"/>
  <c r="E47" i="79"/>
  <c r="D47" i="79"/>
  <c r="L46" i="79"/>
  <c r="K46" i="79"/>
  <c r="E46" i="79"/>
  <c r="D46" i="79"/>
  <c r="L45" i="79"/>
  <c r="K45" i="79"/>
  <c r="H45" i="79"/>
  <c r="G45" i="79"/>
  <c r="E45" i="79"/>
  <c r="D45" i="79"/>
  <c r="L44" i="79"/>
  <c r="K44" i="79"/>
  <c r="H44" i="79"/>
  <c r="G44" i="79"/>
  <c r="E44" i="79"/>
  <c r="D44" i="79"/>
  <c r="L43" i="79"/>
  <c r="K43" i="79"/>
  <c r="H43" i="79"/>
  <c r="G43" i="79"/>
  <c r="E43" i="79"/>
  <c r="D43" i="79"/>
  <c r="L42" i="79"/>
  <c r="K42" i="79"/>
  <c r="H42" i="79"/>
  <c r="G42" i="79"/>
  <c r="E42" i="79"/>
  <c r="D42" i="79"/>
  <c r="L41" i="79"/>
  <c r="K41" i="79"/>
  <c r="H41" i="79"/>
  <c r="G41" i="79"/>
  <c r="E41" i="79"/>
  <c r="D41" i="79"/>
  <c r="M35" i="79" a="1"/>
  <c r="M35" i="79" s="1"/>
  <c r="L35" i="79" a="1"/>
  <c r="L35" i="79" s="1"/>
  <c r="K35" i="79" a="1"/>
  <c r="K35" i="79" s="1"/>
  <c r="J35" i="79" a="1"/>
  <c r="J35" i="79" s="1"/>
  <c r="I35" i="79" a="1"/>
  <c r="I35" i="79" s="1"/>
  <c r="H35" i="79" a="1"/>
  <c r="H35" i="79" s="1"/>
  <c r="G35" i="79" a="1"/>
  <c r="G35" i="79" s="1"/>
  <c r="F35" i="79" a="1"/>
  <c r="F35" i="79" s="1"/>
  <c r="E35" i="79" a="1"/>
  <c r="E35" i="79" s="1"/>
  <c r="D35" i="79" a="1"/>
  <c r="D35" i="79" s="1"/>
  <c r="M34" i="79" a="1"/>
  <c r="M34" i="79" s="1"/>
  <c r="L34" i="79" a="1"/>
  <c r="L34" i="79" s="1"/>
  <c r="K34" i="79" a="1"/>
  <c r="K34" i="79" s="1"/>
  <c r="J34" i="79" a="1"/>
  <c r="J34" i="79" s="1"/>
  <c r="I34" i="79" a="1"/>
  <c r="I34" i="79" s="1"/>
  <c r="H34" i="79" a="1"/>
  <c r="H34" i="79" s="1"/>
  <c r="G34" i="79" a="1"/>
  <c r="G34" i="79" s="1"/>
  <c r="F34" i="79" a="1"/>
  <c r="F34" i="79" s="1"/>
  <c r="E34" i="79" a="1"/>
  <c r="E34" i="79" s="1"/>
  <c r="D34" i="79" a="1"/>
  <c r="D34" i="79" s="1"/>
  <c r="M33" i="79" a="1"/>
  <c r="M33" i="79" s="1"/>
  <c r="L33" i="79" a="1"/>
  <c r="L33" i="79" s="1"/>
  <c r="K33" i="79" a="1"/>
  <c r="K33" i="79" s="1"/>
  <c r="J33" i="79" a="1"/>
  <c r="J33" i="79" s="1"/>
  <c r="I33" i="79" a="1"/>
  <c r="I33" i="79" s="1"/>
  <c r="H33" i="79" a="1"/>
  <c r="H33" i="79" s="1"/>
  <c r="G33" i="79" a="1"/>
  <c r="G33" i="79" s="1"/>
  <c r="F33" i="79" a="1"/>
  <c r="F33" i="79" s="1"/>
  <c r="E33" i="79" a="1"/>
  <c r="E33" i="79" s="1"/>
  <c r="D33" i="79" a="1"/>
  <c r="D33" i="79" s="1"/>
  <c r="M32" i="79" a="1"/>
  <c r="M32" i="79" s="1"/>
  <c r="L32" i="79" a="1"/>
  <c r="L32" i="79" s="1"/>
  <c r="K32" i="79" a="1"/>
  <c r="K32" i="79" s="1"/>
  <c r="J32" i="79" a="1"/>
  <c r="J32" i="79" s="1"/>
  <c r="I32" i="79" a="1"/>
  <c r="I32" i="79" s="1"/>
  <c r="H32" i="79" a="1"/>
  <c r="H32" i="79" s="1"/>
  <c r="G32" i="79" a="1"/>
  <c r="G32" i="79" s="1"/>
  <c r="F32" i="79" a="1"/>
  <c r="F32" i="79" s="1"/>
  <c r="E32" i="79" a="1"/>
  <c r="E32" i="79" s="1"/>
  <c r="D32" i="79" a="1"/>
  <c r="D32" i="79" s="1"/>
  <c r="M31" i="79" a="1"/>
  <c r="M31" i="79" s="1"/>
  <c r="L31" i="79" a="1"/>
  <c r="L31" i="79" s="1"/>
  <c r="K31" i="79" a="1"/>
  <c r="K31" i="79" s="1"/>
  <c r="J31" i="79" a="1"/>
  <c r="J31" i="79" s="1"/>
  <c r="I31" i="79" a="1"/>
  <c r="I31" i="79" s="1"/>
  <c r="H31" i="79" a="1"/>
  <c r="H31" i="79" s="1"/>
  <c r="G31" i="79" a="1"/>
  <c r="G31" i="79" s="1"/>
  <c r="F31" i="79" a="1"/>
  <c r="F31" i="79" s="1"/>
  <c r="E31" i="79" a="1"/>
  <c r="E31" i="79" s="1"/>
  <c r="D31" i="79" a="1"/>
  <c r="D31" i="79" s="1"/>
  <c r="M30" i="79" a="1"/>
  <c r="M30" i="79" s="1"/>
  <c r="L30" i="79" a="1"/>
  <c r="L30" i="79" s="1"/>
  <c r="K30" i="79" a="1"/>
  <c r="K30" i="79" s="1"/>
  <c r="J30" i="79" a="1"/>
  <c r="J30" i="79" s="1"/>
  <c r="I30" i="79" a="1"/>
  <c r="I30" i="79" s="1"/>
  <c r="H30" i="79" a="1"/>
  <c r="H30" i="79" s="1"/>
  <c r="G30" i="79" a="1"/>
  <c r="G30" i="79" s="1"/>
  <c r="F30" i="79" a="1"/>
  <c r="F30" i="79" s="1"/>
  <c r="E30" i="79" a="1"/>
  <c r="E30" i="79" s="1"/>
  <c r="D30" i="79" a="1"/>
  <c r="D30" i="79" s="1"/>
  <c r="M29" i="79" a="1"/>
  <c r="M29" i="79" s="1"/>
  <c r="L29" i="79" a="1"/>
  <c r="L29" i="79" s="1"/>
  <c r="K29" i="79" a="1"/>
  <c r="K29" i="79" s="1"/>
  <c r="J29" i="79" a="1"/>
  <c r="J29" i="79" s="1"/>
  <c r="I29" i="79" a="1"/>
  <c r="I29" i="79" s="1"/>
  <c r="H29" i="79" a="1"/>
  <c r="H29" i="79" s="1"/>
  <c r="G29" i="79" a="1"/>
  <c r="G29" i="79" s="1"/>
  <c r="F29" i="79" a="1"/>
  <c r="F29" i="79" s="1"/>
  <c r="E29" i="79" a="1"/>
  <c r="E29" i="79" s="1"/>
  <c r="D29" i="79" a="1"/>
  <c r="D29" i="79" s="1"/>
  <c r="D26" i="79" a="1"/>
  <c r="D26" i="79" s="1"/>
  <c r="D25" i="79" a="1"/>
  <c r="D25" i="79" s="1"/>
  <c r="D24" i="79" a="1"/>
  <c r="D24" i="79" s="1"/>
  <c r="F21" i="79" a="1"/>
  <c r="F21" i="79" s="1"/>
  <c r="E21" i="79" a="1"/>
  <c r="E21" i="79" s="1"/>
  <c r="D21" i="79" a="1"/>
  <c r="D21" i="79" s="1"/>
  <c r="D20" i="79" a="1"/>
  <c r="D20" i="79" s="1"/>
  <c r="D19" i="79" a="1"/>
  <c r="D19" i="79" s="1"/>
  <c r="E16" i="79" a="1"/>
  <c r="E16" i="79" s="1"/>
  <c r="D16" i="79" a="1"/>
  <c r="D16" i="79" s="1"/>
  <c r="E15" i="79" a="1"/>
  <c r="E15" i="79" s="1"/>
  <c r="D15" i="79" a="1"/>
  <c r="D15" i="79" s="1"/>
  <c r="E14" i="79" a="1"/>
  <c r="E14" i="79" s="1"/>
  <c r="D14" i="79" a="1"/>
  <c r="D14" i="79" s="1"/>
  <c r="E13" i="79" a="1"/>
  <c r="E13" i="79" s="1"/>
  <c r="D13" i="79" a="1"/>
  <c r="D13" i="79" s="1"/>
  <c r="E12" i="79" a="1"/>
  <c r="E12" i="79" s="1"/>
  <c r="D12" i="79" a="1"/>
  <c r="D12" i="79" s="1"/>
  <c r="E11" i="79" a="1"/>
  <c r="E11" i="79" s="1"/>
  <c r="D11" i="79" a="1"/>
  <c r="D11" i="79" s="1"/>
  <c r="E10" i="79" a="1"/>
  <c r="E10" i="79" s="1"/>
  <c r="D10" i="79" a="1"/>
  <c r="D10" i="79" s="1"/>
  <c r="D7" i="79" a="1"/>
  <c r="D7" i="79" s="1"/>
  <c r="D6" i="79" a="1"/>
  <c r="D6" i="79" s="1"/>
  <c r="D5" i="79" a="1"/>
  <c r="D5" i="79" s="1"/>
  <c r="E212" i="69" a="1"/>
  <c r="E79" i="69" a="1"/>
  <c r="E123" i="69" a="1"/>
  <c r="E242" i="69" a="1"/>
  <c r="E261" i="69" a="1"/>
  <c r="E114" i="69" l="1" a="1"/>
  <c r="E114" i="69" s="1"/>
  <c r="E110" i="69" a="1"/>
  <c r="E110" i="69" s="1"/>
  <c r="E112" i="69" a="1"/>
  <c r="E112" i="69" s="1"/>
  <c r="E111" i="69" a="1"/>
  <c r="E111" i="69" s="1"/>
  <c r="E115" i="69" a="1"/>
  <c r="E115" i="69" s="1"/>
  <c r="E113" i="69" a="1"/>
  <c r="E113" i="69" s="1"/>
  <c r="E230" i="69" a="1"/>
  <c r="E230" i="69" s="1"/>
  <c r="E233" i="69" a="1"/>
  <c r="E233" i="69" s="1"/>
  <c r="E232" i="69" a="1"/>
  <c r="E232" i="69" s="1"/>
  <c r="E231" i="69" a="1"/>
  <c r="E231" i="69" s="1"/>
  <c r="E234" i="69" a="1"/>
  <c r="E234" i="69" s="1"/>
  <c r="E235" i="69" a="1"/>
  <c r="E235" i="69" s="1"/>
  <c r="F112" i="69" a="1"/>
  <c r="F112" i="69" s="1"/>
  <c r="F110" i="69" a="1"/>
  <c r="F110" i="69" s="1"/>
  <c r="F114" i="69" a="1"/>
  <c r="F114" i="69" s="1"/>
  <c r="F115" i="69" a="1"/>
  <c r="F115" i="69" s="1"/>
  <c r="F113" i="69" a="1"/>
  <c r="F113" i="69" s="1"/>
  <c r="F111" i="69" a="1"/>
  <c r="F111" i="69" s="1"/>
  <c r="F234" i="69" a="1"/>
  <c r="F234" i="69" s="1"/>
  <c r="F235" i="69" a="1"/>
  <c r="F235" i="69" s="1"/>
  <c r="F230" i="69" a="1"/>
  <c r="F230" i="69" s="1"/>
  <c r="F232" i="69" a="1"/>
  <c r="F232" i="69" s="1"/>
  <c r="F231" i="69" a="1"/>
  <c r="F231" i="69" s="1"/>
  <c r="F233" i="69" a="1"/>
  <c r="F233" i="69" s="1"/>
  <c r="G110" i="69" a="1"/>
  <c r="G110" i="69" s="1"/>
  <c r="G114" i="69" a="1"/>
  <c r="G114" i="69" s="1"/>
  <c r="G112" i="69" a="1"/>
  <c r="G112" i="69" s="1"/>
  <c r="G113" i="69" a="1"/>
  <c r="G113" i="69" s="1"/>
  <c r="G115" i="69" a="1"/>
  <c r="G115" i="69" s="1"/>
  <c r="G111" i="69" a="1"/>
  <c r="G111" i="69" s="1"/>
  <c r="G234" i="69" a="1"/>
  <c r="G234" i="69" s="1"/>
  <c r="G235" i="69" a="1"/>
  <c r="G235" i="69" s="1"/>
  <c r="G232" i="69" a="1"/>
  <c r="G232" i="69" s="1"/>
  <c r="G230" i="69" a="1"/>
  <c r="G230" i="69" s="1"/>
  <c r="G233" i="69" a="1"/>
  <c r="G233" i="69" s="1"/>
  <c r="G231" i="69" a="1"/>
  <c r="G231" i="69" s="1"/>
  <c r="H114" i="69" a="1"/>
  <c r="H114" i="69" s="1"/>
  <c r="H112" i="69" a="1"/>
  <c r="H112" i="69" s="1"/>
  <c r="H113" i="69" a="1"/>
  <c r="H113" i="69" s="1"/>
  <c r="H115" i="69" a="1"/>
  <c r="H115" i="69" s="1"/>
  <c r="H111" i="69" a="1"/>
  <c r="H111" i="69" s="1"/>
  <c r="H110" i="69" a="1"/>
  <c r="H110" i="69" s="1"/>
  <c r="H232" i="69" a="1"/>
  <c r="H232" i="69" s="1"/>
  <c r="H233" i="69" a="1"/>
  <c r="H233" i="69" s="1"/>
  <c r="H235" i="69" a="1"/>
  <c r="H235" i="69" s="1"/>
  <c r="H230" i="69" a="1"/>
  <c r="H230" i="69" s="1"/>
  <c r="H231" i="69" a="1"/>
  <c r="H231" i="69" s="1"/>
  <c r="H234" i="69" a="1"/>
  <c r="H234" i="69" s="1"/>
  <c r="I110" i="69" a="1"/>
  <c r="I110" i="69" s="1"/>
  <c r="I113" i="69" a="1"/>
  <c r="I113" i="69" s="1"/>
  <c r="I115" i="69" a="1"/>
  <c r="I115" i="69" s="1"/>
  <c r="I111" i="69" a="1"/>
  <c r="I111" i="69" s="1"/>
  <c r="I114" i="69" a="1"/>
  <c r="I114" i="69" s="1"/>
  <c r="I112" i="69" a="1"/>
  <c r="I112" i="69" s="1"/>
  <c r="I232" i="69" a="1"/>
  <c r="I232" i="69" s="1"/>
  <c r="I235" i="69" a="1"/>
  <c r="I235" i="69" s="1"/>
  <c r="I234" i="69" a="1"/>
  <c r="I234" i="69" s="1"/>
  <c r="I233" i="69" a="1"/>
  <c r="I233" i="69" s="1"/>
  <c r="I230" i="69" a="1"/>
  <c r="I230" i="69" s="1"/>
  <c r="I231" i="69" a="1"/>
  <c r="I231" i="69" s="1"/>
  <c r="J113" i="69" a="1"/>
  <c r="J113" i="69" s="1"/>
  <c r="J111" i="69" a="1"/>
  <c r="J111" i="69" s="1"/>
  <c r="J115" i="69" a="1"/>
  <c r="J115" i="69" s="1"/>
  <c r="J114" i="69" a="1"/>
  <c r="J114" i="69" s="1"/>
  <c r="J112" i="69" a="1"/>
  <c r="J112" i="69" s="1"/>
  <c r="J110" i="69" a="1"/>
  <c r="J110" i="69" s="1"/>
  <c r="J230" i="69" a="1"/>
  <c r="J230" i="69" s="1"/>
  <c r="J232" i="69" a="1"/>
  <c r="J232" i="69" s="1"/>
  <c r="J234" i="69" a="1"/>
  <c r="J234" i="69" s="1"/>
  <c r="J235" i="69" a="1"/>
  <c r="J235" i="69" s="1"/>
  <c r="J231" i="69" a="1"/>
  <c r="J231" i="69" s="1"/>
  <c r="J233" i="69" a="1"/>
  <c r="J233" i="69" s="1"/>
  <c r="K113" i="69" a="1"/>
  <c r="K113" i="69" s="1"/>
  <c r="K115" i="69" a="1"/>
  <c r="K115" i="69" s="1"/>
  <c r="K111" i="69" a="1"/>
  <c r="K111" i="69" s="1"/>
  <c r="K112" i="69" a="1"/>
  <c r="K112" i="69" s="1"/>
  <c r="K114" i="69" a="1"/>
  <c r="K114" i="69" s="1"/>
  <c r="K110" i="69" a="1"/>
  <c r="K110" i="69" s="1"/>
  <c r="K235" i="69" a="1"/>
  <c r="K235" i="69" s="1"/>
  <c r="K232" i="69" a="1"/>
  <c r="K232" i="69" s="1"/>
  <c r="K233" i="69" a="1"/>
  <c r="K233" i="69" s="1"/>
  <c r="K231" i="69" a="1"/>
  <c r="K231" i="69" s="1"/>
  <c r="K230" i="69" a="1"/>
  <c r="K230" i="69" s="1"/>
  <c r="K234" i="69" a="1"/>
  <c r="K234" i="69" s="1"/>
  <c r="K149" i="69"/>
  <c r="I149" i="69"/>
  <c r="L44" i="69"/>
  <c r="L43" i="69"/>
  <c r="L42" i="69"/>
  <c r="L41" i="69"/>
  <c r="L40" i="69"/>
  <c r="G149" i="69"/>
  <c r="J149" i="69"/>
  <c r="L151" i="69"/>
  <c r="G151" i="69"/>
  <c r="F151" i="69"/>
  <c r="K152" i="69"/>
  <c r="E261" i="69"/>
  <c r="E242" i="69"/>
  <c r="E123" i="69"/>
  <c r="E79" i="69"/>
  <c r="E212" i="69"/>
  <c r="K150" i="69"/>
  <c r="J150" i="69"/>
  <c r="I150" i="69"/>
  <c r="H150" i="69"/>
  <c r="G150" i="69"/>
  <c r="F150" i="69"/>
  <c r="L150" i="69"/>
  <c r="L230" i="69"/>
  <c r="L233" i="69"/>
  <c r="L232" i="69"/>
  <c r="L231" i="69"/>
  <c r="H152" i="69"/>
  <c r="L113" i="69"/>
  <c r="H149" i="69"/>
  <c r="I152" i="69"/>
  <c r="M182" i="69"/>
  <c r="M191" i="69"/>
  <c r="J152" i="69"/>
  <c r="M187" i="69"/>
  <c r="L152" i="69"/>
  <c r="M183" i="69"/>
  <c r="F290" i="69"/>
  <c r="L149" i="69"/>
  <c r="H151" i="69"/>
  <c r="L110" i="69"/>
  <c r="I151" i="69"/>
  <c r="M188" i="69"/>
  <c r="M192" i="69"/>
  <c r="J151" i="69"/>
  <c r="M184" i="69"/>
  <c r="M193" i="69"/>
  <c r="K151" i="69"/>
  <c r="K288" i="69"/>
  <c r="L111" i="69"/>
  <c r="M189" i="69"/>
  <c r="M185" i="69"/>
  <c r="F152" i="69"/>
  <c r="M190" i="69"/>
  <c r="H185" i="69" l="1" a="1"/>
  <c r="H185" i="69" s="1"/>
  <c r="H183" i="69" a="1"/>
  <c r="H183" i="69" s="1"/>
  <c r="H182" i="69" a="1"/>
  <c r="H182" i="69" s="1"/>
  <c r="H184" i="69" a="1"/>
  <c r="H184" i="69" s="1"/>
  <c r="K185" i="69" a="1"/>
  <c r="K185" i="69" s="1"/>
  <c r="K183" i="69" a="1"/>
  <c r="K183" i="69" s="1"/>
  <c r="K184" i="69" a="1"/>
  <c r="K184" i="69" s="1"/>
  <c r="K182" i="69" a="1"/>
  <c r="K182" i="69" s="1"/>
  <c r="J187" i="69" a="1"/>
  <c r="J187" i="69" s="1"/>
  <c r="J189" i="69" a="1"/>
  <c r="J189" i="69" s="1"/>
  <c r="J188" i="69" a="1"/>
  <c r="J188" i="69" s="1"/>
  <c r="J186" i="69" a="1"/>
  <c r="J186" i="69" s="1"/>
  <c r="I193" i="69" a="1"/>
  <c r="I193" i="69" s="1"/>
  <c r="I192" i="69" a="1"/>
  <c r="I192" i="69" s="1"/>
  <c r="I190" i="69" a="1"/>
  <c r="I190" i="69" s="1"/>
  <c r="I191" i="69" a="1"/>
  <c r="I191" i="69" s="1"/>
  <c r="G185" i="69" a="1"/>
  <c r="G185" i="69" s="1"/>
  <c r="G182" i="69" a="1"/>
  <c r="G182" i="69" s="1"/>
  <c r="G184" i="69" a="1"/>
  <c r="G184" i="69" s="1"/>
  <c r="G183" i="69" a="1"/>
  <c r="G183" i="69" s="1"/>
  <c r="H192" i="69" a="1"/>
  <c r="H192" i="69" s="1"/>
  <c r="H193" i="69" a="1"/>
  <c r="H193" i="69" s="1"/>
  <c r="H191" i="69" a="1"/>
  <c r="H191" i="69" s="1"/>
  <c r="H190" i="69" a="1"/>
  <c r="H190" i="69" s="1"/>
  <c r="I204" i="69" a="1"/>
  <c r="I204" i="69" s="1"/>
  <c r="I203" i="69" a="1"/>
  <c r="I203" i="69" s="1"/>
  <c r="I205" i="69" a="1"/>
  <c r="I205" i="69" s="1"/>
  <c r="I202" i="69" a="1"/>
  <c r="I202" i="69" s="1"/>
  <c r="I206" i="69" a="1"/>
  <c r="I206" i="69" s="1"/>
  <c r="I195" i="69" a="1"/>
  <c r="I195" i="69" s="1"/>
  <c r="I194" i="69" a="1"/>
  <c r="I194" i="69" s="1"/>
  <c r="I197" i="69" a="1"/>
  <c r="I197" i="69" s="1"/>
  <c r="I196" i="69" a="1"/>
  <c r="I196" i="69" s="1"/>
  <c r="K193" i="69" a="1"/>
  <c r="K193" i="69" s="1"/>
  <c r="K192" i="69" a="1"/>
  <c r="K192" i="69" s="1"/>
  <c r="K191" i="69" a="1"/>
  <c r="K191" i="69" s="1"/>
  <c r="K190" i="69" a="1"/>
  <c r="K190" i="69" s="1"/>
  <c r="J202" i="69" a="1"/>
  <c r="J202" i="69" s="1"/>
  <c r="J204" i="69" a="1"/>
  <c r="J204" i="69" s="1"/>
  <c r="J203" i="69" a="1"/>
  <c r="J203" i="69" s="1"/>
  <c r="J205" i="69" a="1"/>
  <c r="J205" i="69" s="1"/>
  <c r="J206" i="69" a="1"/>
  <c r="J206" i="69" s="1"/>
  <c r="I201" i="69" a="1"/>
  <c r="I201" i="69" s="1"/>
  <c r="I198" i="69" a="1"/>
  <c r="I198" i="69" s="1"/>
  <c r="I199" i="69" a="1"/>
  <c r="I199" i="69" s="1"/>
  <c r="I200" i="69" a="1"/>
  <c r="I200" i="69" s="1"/>
  <c r="L185" i="69" a="1"/>
  <c r="L185" i="69" s="1"/>
  <c r="L184" i="69" a="1"/>
  <c r="L184" i="69" s="1"/>
  <c r="L183" i="69" a="1"/>
  <c r="L183" i="69" s="1"/>
  <c r="L182" i="69" a="1"/>
  <c r="L182" i="69" s="1"/>
  <c r="K198" i="69" a="1"/>
  <c r="K198" i="69" s="1"/>
  <c r="K201" i="69" a="1"/>
  <c r="K201" i="69" s="1"/>
  <c r="K199" i="69" a="1"/>
  <c r="K199" i="69" s="1"/>
  <c r="K200" i="69" a="1"/>
  <c r="K200" i="69" s="1"/>
  <c r="J197" i="69" a="1"/>
  <c r="J197" i="69" s="1"/>
  <c r="J195" i="69" a="1"/>
  <c r="J195" i="69" s="1"/>
  <c r="J196" i="69" a="1"/>
  <c r="J196" i="69" s="1"/>
  <c r="J194" i="69" a="1"/>
  <c r="J194" i="69" s="1"/>
  <c r="H195" i="69" a="1"/>
  <c r="H195" i="69" s="1"/>
  <c r="H197" i="69" a="1"/>
  <c r="H197" i="69" s="1"/>
  <c r="H194" i="69" a="1"/>
  <c r="H194" i="69" s="1"/>
  <c r="H196" i="69" a="1"/>
  <c r="H196" i="69" s="1"/>
  <c r="I185" i="69" a="1"/>
  <c r="I185" i="69" s="1"/>
  <c r="I182" i="69" a="1"/>
  <c r="I182" i="69" s="1"/>
  <c r="I184" i="69" a="1"/>
  <c r="I184" i="69" s="1"/>
  <c r="I183" i="69" a="1"/>
  <c r="I183" i="69" s="1"/>
  <c r="J199" i="69" a="1"/>
  <c r="J199" i="69" s="1"/>
  <c r="J200" i="69" a="1"/>
  <c r="J200" i="69" s="1"/>
  <c r="J198" i="69" a="1"/>
  <c r="J198" i="69" s="1"/>
  <c r="J201" i="69" a="1"/>
  <c r="J201" i="69" s="1"/>
  <c r="K187" i="69" a="1"/>
  <c r="K187" i="69" s="1"/>
  <c r="K189" i="69" a="1"/>
  <c r="K189" i="69" s="1"/>
  <c r="K188" i="69" a="1"/>
  <c r="K188" i="69" s="1"/>
  <c r="K186" i="69" a="1"/>
  <c r="K186" i="69" s="1"/>
  <c r="F195" i="69" a="1"/>
  <c r="F195" i="69" s="1"/>
  <c r="F197" i="69" a="1"/>
  <c r="F197" i="69" s="1"/>
  <c r="F194" i="69" a="1"/>
  <c r="F194" i="69" s="1"/>
  <c r="F196" i="69" a="1"/>
  <c r="F196" i="69" s="1"/>
  <c r="I187" i="69" a="1"/>
  <c r="I187" i="69" s="1"/>
  <c r="I188" i="69" a="1"/>
  <c r="I188" i="69" s="1"/>
  <c r="I189" i="69" a="1"/>
  <c r="I189" i="69" s="1"/>
  <c r="I186" i="69" a="1"/>
  <c r="I186" i="69" s="1"/>
  <c r="L193" i="69" a="1"/>
  <c r="L193" i="69" s="1"/>
  <c r="L192" i="69" a="1"/>
  <c r="L192" i="69" s="1"/>
  <c r="L191" i="69" a="1"/>
  <c r="L191" i="69" s="1"/>
  <c r="L190" i="69" a="1"/>
  <c r="L190" i="69" s="1"/>
  <c r="L187" i="69" a="1"/>
  <c r="L187" i="69" s="1"/>
  <c r="L189" i="69" a="1"/>
  <c r="L189" i="69" s="1"/>
  <c r="L188" i="69" a="1"/>
  <c r="L188" i="69" s="1"/>
  <c r="L186" i="69" a="1"/>
  <c r="L186" i="69" s="1"/>
  <c r="K194" i="69" a="1"/>
  <c r="K194" i="69" s="1"/>
  <c r="K195" i="69" a="1"/>
  <c r="K195" i="69" s="1"/>
  <c r="K197" i="69" a="1"/>
  <c r="K197" i="69" s="1"/>
  <c r="K196" i="69" a="1"/>
  <c r="K196" i="69" s="1"/>
  <c r="F204" i="69" a="1"/>
  <c r="F204" i="69" s="1"/>
  <c r="F203" i="69" a="1"/>
  <c r="F203" i="69" s="1"/>
  <c r="F205" i="69" a="1"/>
  <c r="F205" i="69" s="1"/>
  <c r="F206" i="69" a="1"/>
  <c r="F206" i="69" s="1"/>
  <c r="F202" i="69" a="1"/>
  <c r="F202" i="69" s="1"/>
  <c r="H201" i="69" a="1"/>
  <c r="H201" i="69" s="1"/>
  <c r="H200" i="69" a="1"/>
  <c r="H200" i="69" s="1"/>
  <c r="H198" i="69" a="1"/>
  <c r="H198" i="69" s="1"/>
  <c r="H199" i="69" a="1"/>
  <c r="H199" i="69" s="1"/>
  <c r="J185" i="69" a="1"/>
  <c r="J185" i="69" s="1"/>
  <c r="J182" i="69" a="1"/>
  <c r="J182" i="69" s="1"/>
  <c r="J184" i="69" a="1"/>
  <c r="J184" i="69" s="1"/>
  <c r="J183" i="69" a="1"/>
  <c r="J183" i="69" s="1"/>
  <c r="L203" i="69" a="1"/>
  <c r="L203" i="69" s="1"/>
  <c r="L205" i="69" a="1"/>
  <c r="L205" i="69" s="1"/>
  <c r="L206" i="69" a="1"/>
  <c r="L206" i="69" s="1"/>
  <c r="L202" i="69" a="1"/>
  <c r="L202" i="69" s="1"/>
  <c r="L204" i="69" a="1"/>
  <c r="L204" i="69" s="1"/>
  <c r="G188" i="69" a="1"/>
  <c r="G188" i="69" s="1"/>
  <c r="G187" i="69" a="1"/>
  <c r="G187" i="69" s="1"/>
  <c r="G189" i="69" a="1"/>
  <c r="G189" i="69" s="1"/>
  <c r="G186" i="69" a="1"/>
  <c r="G186" i="69" s="1"/>
  <c r="F187" i="69" a="1"/>
  <c r="F187" i="69" s="1"/>
  <c r="F188" i="69" a="1"/>
  <c r="F188" i="69" s="1"/>
  <c r="F189" i="69" a="1"/>
  <c r="F189" i="69" s="1"/>
  <c r="F186" i="69" a="1"/>
  <c r="F186" i="69" s="1"/>
  <c r="L199" i="69" a="1"/>
  <c r="L199" i="69" s="1"/>
  <c r="L198" i="69" a="1"/>
  <c r="L198" i="69" s="1"/>
  <c r="L200" i="69" a="1"/>
  <c r="L200" i="69" s="1"/>
  <c r="L201" i="69" a="1"/>
  <c r="L201" i="69" s="1"/>
  <c r="G194" i="69" a="1"/>
  <c r="G194" i="69" s="1"/>
  <c r="G195" i="69" a="1"/>
  <c r="G195" i="69" s="1"/>
  <c r="G197" i="69" a="1"/>
  <c r="G197" i="69" s="1"/>
  <c r="G196" i="69" a="1"/>
  <c r="G196" i="69" s="1"/>
  <c r="F190" i="69" a="1"/>
  <c r="F190" i="69" s="1"/>
  <c r="F193" i="69" a="1"/>
  <c r="F193" i="69" s="1"/>
  <c r="F192" i="69" a="1"/>
  <c r="F192" i="69" s="1"/>
  <c r="F191" i="69" a="1"/>
  <c r="F191" i="69" s="1"/>
  <c r="G193" i="69" a="1"/>
  <c r="G193" i="69" s="1"/>
  <c r="G192" i="69" a="1"/>
  <c r="G192" i="69" s="1"/>
  <c r="G190" i="69" a="1"/>
  <c r="G190" i="69" s="1"/>
  <c r="G191" i="69" a="1"/>
  <c r="G191" i="69" s="1"/>
  <c r="J192" i="69" a="1"/>
  <c r="J192" i="69" s="1"/>
  <c r="J193" i="69" a="1"/>
  <c r="J193" i="69" s="1"/>
  <c r="J191" i="69" a="1"/>
  <c r="J191" i="69" s="1"/>
  <c r="J190" i="69" a="1"/>
  <c r="J190" i="69" s="1"/>
  <c r="K203" i="69" a="1"/>
  <c r="K203" i="69" s="1"/>
  <c r="K206" i="69" a="1"/>
  <c r="K206" i="69" s="1"/>
  <c r="K202" i="69" a="1"/>
  <c r="K202" i="69" s="1"/>
  <c r="K205" i="69" a="1"/>
  <c r="K205" i="69" s="1"/>
  <c r="K204" i="69" a="1"/>
  <c r="K204" i="69" s="1"/>
  <c r="H187" i="69" a="1"/>
  <c r="H187" i="69" s="1"/>
  <c r="H188" i="69" a="1"/>
  <c r="H188" i="69" s="1"/>
  <c r="H189" i="69" a="1"/>
  <c r="H189" i="69" s="1"/>
  <c r="H186" i="69" a="1"/>
  <c r="H186" i="69" s="1"/>
  <c r="G204" i="69" a="1"/>
  <c r="G204" i="69" s="1"/>
  <c r="G203" i="69" a="1"/>
  <c r="G203" i="69" s="1"/>
  <c r="G205" i="69" a="1"/>
  <c r="G205" i="69" s="1"/>
  <c r="G206" i="69" a="1"/>
  <c r="G206" i="69" s="1"/>
  <c r="G202" i="69" a="1"/>
  <c r="G202" i="69" s="1"/>
  <c r="F184" i="69" a="1"/>
  <c r="F184" i="69" s="1"/>
  <c r="F185" i="69" a="1"/>
  <c r="F185" i="69" s="1"/>
  <c r="F182" i="69" a="1"/>
  <c r="F182" i="69" s="1"/>
  <c r="F183" i="69" a="1"/>
  <c r="F183" i="69" s="1"/>
  <c r="L195" i="69" a="1"/>
  <c r="L195" i="69" s="1"/>
  <c r="L197" i="69" a="1"/>
  <c r="L197" i="69" s="1"/>
  <c r="L194" i="69" a="1"/>
  <c r="L194" i="69" s="1"/>
  <c r="L196" i="69" a="1"/>
  <c r="L196" i="69" s="1"/>
  <c r="H204" i="69" a="1"/>
  <c r="H204" i="69" s="1"/>
  <c r="H203" i="69" a="1"/>
  <c r="H203" i="69" s="1"/>
  <c r="H205" i="69" a="1"/>
  <c r="H205" i="69" s="1"/>
  <c r="H202" i="69" a="1"/>
  <c r="H202" i="69" s="1"/>
  <c r="H206" i="69" a="1"/>
  <c r="H206" i="69" s="1"/>
  <c r="G198" i="69" a="1"/>
  <c r="G198" i="69" s="1"/>
  <c r="G201" i="69" a="1"/>
  <c r="G201" i="69" s="1"/>
  <c r="G200" i="69" a="1"/>
  <c r="G200" i="69" s="1"/>
  <c r="G199" i="69" a="1"/>
  <c r="G199" i="69" s="1"/>
  <c r="F200" i="69" a="1"/>
  <c r="F200" i="69" s="1"/>
  <c r="F201" i="69" a="1"/>
  <c r="F201" i="69" s="1"/>
  <c r="F199" i="69" a="1"/>
  <c r="F199" i="69" s="1"/>
  <c r="F198" i="69" a="1"/>
  <c r="F198" i="69" s="1"/>
  <c r="I255" i="69" l="1" a="1"/>
  <c r="I255" i="69" s="1"/>
  <c r="G255" i="69" a="1"/>
  <c r="G255" i="69" s="1"/>
  <c r="J255" i="69" a="1"/>
  <c r="J255" i="69" s="1"/>
  <c r="H255" i="69" a="1"/>
  <c r="H255" i="69" s="1"/>
  <c r="F255" i="69" a="1"/>
  <c r="F255" i="69" s="1"/>
  <c r="E255" i="69" a="1"/>
  <c r="E255" i="69" s="1"/>
  <c r="D255" i="69" a="1"/>
  <c r="D255" i="69" s="1"/>
  <c r="J288" i="69" a="1"/>
  <c r="J288" i="69" s="1"/>
  <c r="G288" i="69" a="1"/>
  <c r="G288" i="69" s="1"/>
  <c r="I288" i="69" a="1"/>
  <c r="I288" i="69" s="1"/>
  <c r="F288" i="69" a="1"/>
  <c r="F288" i="69" s="1"/>
  <c r="E288" i="69" a="1"/>
  <c r="E288" i="69" s="1"/>
  <c r="D288" i="69" l="1" a="1"/>
  <c r="D288" i="69" s="1"/>
  <c r="H288" i="69" a="1"/>
  <c r="H288" i="69" s="1"/>
  <c r="E290" i="69" l="1"/>
  <c r="A17" i="43" l="1"/>
  <c r="A8" i="43"/>
  <c r="A17" i="79"/>
  <c r="A8" i="79"/>
  <c r="A17" i="98"/>
  <c r="A8" i="98"/>
  <c r="A17" i="97"/>
  <c r="A8" i="97"/>
  <c r="A17" i="76"/>
  <c r="A8" i="76"/>
  <c r="A17" i="69"/>
  <c r="A8" i="69"/>
  <c r="A17" i="70"/>
  <c r="A8" i="70"/>
  <c r="A17" i="15"/>
  <c r="A8" i="15"/>
  <c r="A17" i="13"/>
  <c r="A8" i="13"/>
  <c r="G33" i="98"/>
  <c r="H223" i="76"/>
  <c r="E30" i="15"/>
  <c r="E33" i="15"/>
  <c r="E32" i="15"/>
  <c r="E31" i="15"/>
  <c r="G34" i="98"/>
  <c r="H30" i="97"/>
  <c r="H224" i="76"/>
  <c r="N39" i="98"/>
  <c r="G39" i="98"/>
  <c r="O38" i="97"/>
  <c r="G38" i="97"/>
  <c r="W262" i="76"/>
  <c r="G230" i="76"/>
  <c r="E224" i="103" a="1"/>
  <c r="E224" i="103" s="1"/>
  <c r="D224" i="103" a="1"/>
  <c r="D224" i="103" s="1"/>
  <c r="E223" i="103" a="1"/>
  <c r="E223" i="103" s="1"/>
  <c r="D223" i="103" a="1"/>
  <c r="D223" i="103" s="1"/>
  <c r="E222" i="103" a="1"/>
  <c r="E222" i="103" s="1"/>
  <c r="D222" i="103" a="1"/>
  <c r="D222" i="103" s="1"/>
  <c r="E221" i="103" a="1"/>
  <c r="E221" i="103" s="1"/>
  <c r="D221" i="103" a="1"/>
  <c r="D221" i="103" s="1"/>
  <c r="E220" i="103" a="1"/>
  <c r="E220" i="103" s="1"/>
  <c r="D220" i="103" a="1"/>
  <c r="D220" i="103" s="1"/>
  <c r="E219" i="103" a="1"/>
  <c r="E219" i="103" s="1"/>
  <c r="D219" i="103" a="1"/>
  <c r="D219" i="103" s="1"/>
  <c r="E218" i="103" a="1"/>
  <c r="E218" i="103" s="1"/>
  <c r="D218" i="103" a="1"/>
  <c r="D218" i="103" s="1"/>
  <c r="E217" i="103" a="1"/>
  <c r="E217" i="103" s="1"/>
  <c r="D217" i="103" a="1"/>
  <c r="D217" i="103" s="1"/>
  <c r="E216" i="103" a="1"/>
  <c r="E216" i="103" s="1"/>
  <c r="D216" i="103" a="1"/>
  <c r="D216" i="103" s="1"/>
  <c r="E215" i="103" a="1"/>
  <c r="E215" i="103" s="1"/>
  <c r="D215" i="103" a="1"/>
  <c r="D215" i="103" s="1"/>
  <c r="E214" i="103" a="1"/>
  <c r="E214" i="103" s="1"/>
  <c r="D214" i="103" a="1"/>
  <c r="D214" i="103" s="1"/>
  <c r="E213" i="103" a="1"/>
  <c r="E213" i="103" s="1"/>
  <c r="D213" i="103" a="1"/>
  <c r="D213" i="103" s="1"/>
  <c r="D211" i="103" a="1"/>
  <c r="D211" i="103" s="1"/>
  <c r="E208" i="103" a="1"/>
  <c r="E208" i="103" s="1"/>
  <c r="D208" i="103" a="1"/>
  <c r="D208" i="103" s="1"/>
  <c r="E207" i="103" a="1"/>
  <c r="E207" i="103" s="1"/>
  <c r="D207" i="103" a="1"/>
  <c r="D207" i="103" s="1"/>
  <c r="D205" i="103" a="1"/>
  <c r="D205" i="103" s="1"/>
  <c r="D204" i="103" a="1"/>
  <c r="D204" i="103" s="1"/>
  <c r="D203" i="103" a="1"/>
  <c r="D203" i="103" s="1"/>
  <c r="D202" i="103" a="1"/>
  <c r="D202" i="103" s="1"/>
  <c r="H199" i="103" a="1"/>
  <c r="H199" i="103" s="1"/>
  <c r="G199" i="103" a="1"/>
  <c r="G199" i="103" s="1"/>
  <c r="F199" i="103" a="1"/>
  <c r="F199" i="103" s="1"/>
  <c r="E199" i="103" a="1"/>
  <c r="E199" i="103" s="1"/>
  <c r="D199" i="103" a="1"/>
  <c r="D199" i="103" s="1"/>
  <c r="H198" i="103" a="1"/>
  <c r="H198" i="103" s="1"/>
  <c r="G198" i="103" a="1"/>
  <c r="G198" i="103" s="1"/>
  <c r="F198" i="103" a="1"/>
  <c r="F198" i="103" s="1"/>
  <c r="E198" i="103" a="1"/>
  <c r="E198" i="103" s="1"/>
  <c r="D198" i="103" a="1"/>
  <c r="D198" i="103" s="1"/>
  <c r="H197" i="103" a="1"/>
  <c r="H197" i="103" s="1"/>
  <c r="G197" i="103" a="1"/>
  <c r="G197" i="103" s="1"/>
  <c r="F197" i="103" a="1"/>
  <c r="F197" i="103" s="1"/>
  <c r="E197" i="103" a="1"/>
  <c r="E197" i="103" s="1"/>
  <c r="D197" i="103" a="1"/>
  <c r="D197" i="103" s="1"/>
  <c r="H196" i="103" a="1"/>
  <c r="H196" i="103" s="1"/>
  <c r="G196" i="103" a="1"/>
  <c r="G196" i="103" s="1"/>
  <c r="F196" i="103" a="1"/>
  <c r="F196" i="103" s="1"/>
  <c r="E196" i="103" a="1"/>
  <c r="E196" i="103" s="1"/>
  <c r="D196" i="103" a="1"/>
  <c r="D196" i="103" s="1"/>
  <c r="H195" i="103" a="1"/>
  <c r="H195" i="103" s="1"/>
  <c r="G195" i="103" a="1"/>
  <c r="G195" i="103" s="1"/>
  <c r="F195" i="103" a="1"/>
  <c r="F195" i="103" s="1"/>
  <c r="E195" i="103" a="1"/>
  <c r="E195" i="103" s="1"/>
  <c r="D195" i="103" a="1"/>
  <c r="D195" i="103" s="1"/>
  <c r="H194" i="103" a="1"/>
  <c r="H194" i="103" s="1"/>
  <c r="G194" i="103" a="1"/>
  <c r="G194" i="103" s="1"/>
  <c r="F194" i="103" a="1"/>
  <c r="F194" i="103" s="1"/>
  <c r="E194" i="103" a="1"/>
  <c r="E194" i="103" s="1"/>
  <c r="D194" i="103" a="1"/>
  <c r="D194" i="103" s="1"/>
  <c r="H193" i="103" a="1"/>
  <c r="H193" i="103" s="1"/>
  <c r="G193" i="103" a="1"/>
  <c r="G193" i="103" s="1"/>
  <c r="F193" i="103" a="1"/>
  <c r="F193" i="103" s="1"/>
  <c r="E193" i="103" a="1"/>
  <c r="E193" i="103" s="1"/>
  <c r="D193" i="103" a="1"/>
  <c r="D193" i="103" s="1"/>
  <c r="H192" i="103" a="1"/>
  <c r="H192" i="103" s="1"/>
  <c r="G192" i="103" a="1"/>
  <c r="G192" i="103" s="1"/>
  <c r="F192" i="103" a="1"/>
  <c r="F192" i="103" s="1"/>
  <c r="E192" i="103" a="1"/>
  <c r="E192" i="103" s="1"/>
  <c r="D192" i="103" a="1"/>
  <c r="D192" i="103" s="1"/>
  <c r="H191" i="103" a="1"/>
  <c r="H191" i="103" s="1"/>
  <c r="G191" i="103" a="1"/>
  <c r="G191" i="103" s="1"/>
  <c r="F191" i="103" a="1"/>
  <c r="F191" i="103" s="1"/>
  <c r="E191" i="103" a="1"/>
  <c r="E191" i="103" s="1"/>
  <c r="D191" i="103" a="1"/>
  <c r="D191" i="103" s="1"/>
  <c r="H190" i="103" a="1"/>
  <c r="H190" i="103" s="1"/>
  <c r="G190" i="103" a="1"/>
  <c r="G190" i="103" s="1"/>
  <c r="F190" i="103" a="1"/>
  <c r="F190" i="103" s="1"/>
  <c r="E190" i="103" a="1"/>
  <c r="E190" i="103" s="1"/>
  <c r="D190" i="103" a="1"/>
  <c r="D190" i="103" s="1"/>
  <c r="H189" i="103" a="1"/>
  <c r="H189" i="103" s="1"/>
  <c r="G189" i="103" a="1"/>
  <c r="G189" i="103" s="1"/>
  <c r="F189" i="103" a="1"/>
  <c r="F189" i="103" s="1"/>
  <c r="E189" i="103" a="1"/>
  <c r="E189" i="103" s="1"/>
  <c r="D189" i="103" a="1"/>
  <c r="D189" i="103" s="1"/>
  <c r="H188" i="103" a="1"/>
  <c r="H188" i="103" s="1"/>
  <c r="G188" i="103" a="1"/>
  <c r="G188" i="103" s="1"/>
  <c r="F188" i="103" a="1"/>
  <c r="F188" i="103" s="1"/>
  <c r="E188" i="103" a="1"/>
  <c r="E188" i="103" s="1"/>
  <c r="D188" i="103" a="1"/>
  <c r="D188" i="103" s="1"/>
  <c r="H187" i="103" a="1"/>
  <c r="H187" i="103" s="1"/>
  <c r="G187" i="103" a="1"/>
  <c r="G187" i="103" s="1"/>
  <c r="F187" i="103" a="1"/>
  <c r="F187" i="103" s="1"/>
  <c r="E187" i="103" a="1"/>
  <c r="E187" i="103" s="1"/>
  <c r="D187" i="103" a="1"/>
  <c r="D187" i="103" s="1"/>
  <c r="D181" i="103" a="1"/>
  <c r="D181" i="103" s="1"/>
  <c r="D180" i="103" a="1"/>
  <c r="D180" i="103" s="1"/>
  <c r="D179" i="103" a="1"/>
  <c r="D179" i="103" s="1"/>
  <c r="D178" i="103" a="1"/>
  <c r="D178" i="103" s="1"/>
  <c r="E175" i="103" a="1"/>
  <c r="E175" i="103" s="1"/>
  <c r="D175" i="103" a="1"/>
  <c r="D175" i="103" s="1"/>
  <c r="D174" i="103" a="1"/>
  <c r="D174" i="103" s="1"/>
  <c r="D173" i="103" a="1"/>
  <c r="D173" i="103" s="1"/>
  <c r="D170" i="103" a="1"/>
  <c r="D170" i="103" s="1"/>
  <c r="D169" i="103" a="1"/>
  <c r="D169" i="103" s="1"/>
  <c r="D168" i="103" a="1"/>
  <c r="D168" i="103" s="1"/>
  <c r="D167" i="103" a="1"/>
  <c r="D167" i="103" s="1"/>
  <c r="D164" i="103" a="1"/>
  <c r="D164" i="103" s="1"/>
  <c r="D163" i="103" a="1"/>
  <c r="D163" i="103" s="1"/>
  <c r="D162" i="103" a="1"/>
  <c r="D162" i="103" s="1"/>
  <c r="D161" i="103" a="1"/>
  <c r="D161" i="103" s="1"/>
  <c r="E158" i="103" a="1"/>
  <c r="E158" i="103" s="1"/>
  <c r="D158" i="103" a="1"/>
  <c r="D158" i="103" s="1"/>
  <c r="E157" i="103" a="1"/>
  <c r="E157" i="103" s="1"/>
  <c r="D157" i="103" a="1"/>
  <c r="D157" i="103" s="1"/>
  <c r="E156" i="103" a="1"/>
  <c r="E156" i="103" s="1"/>
  <c r="D156" i="103" a="1"/>
  <c r="D156" i="103" s="1"/>
  <c r="E155" i="103" a="1"/>
  <c r="E155" i="103" s="1"/>
  <c r="D155" i="103" a="1"/>
  <c r="D155" i="103" s="1"/>
  <c r="E154" i="103" a="1"/>
  <c r="E154" i="103" s="1"/>
  <c r="D154" i="103" a="1"/>
  <c r="D154" i="103" s="1"/>
  <c r="D151" i="103" a="1"/>
  <c r="D151" i="103" s="1"/>
  <c r="D150" i="103" a="1"/>
  <c r="D150" i="103" s="1"/>
  <c r="E147" i="103" a="1"/>
  <c r="E147" i="103" s="1"/>
  <c r="D147" i="103" a="1"/>
  <c r="D147" i="103" s="1"/>
  <c r="E146" i="103" a="1"/>
  <c r="E146" i="103" s="1"/>
  <c r="D146" i="103" a="1"/>
  <c r="D146" i="103" s="1"/>
  <c r="E145" i="103" a="1"/>
  <c r="E145" i="103" s="1"/>
  <c r="D145" i="103" a="1"/>
  <c r="D145" i="103" s="1"/>
  <c r="E144" i="103" a="1"/>
  <c r="E144" i="103" s="1"/>
  <c r="D144" i="103" a="1"/>
  <c r="D144" i="103" s="1"/>
  <c r="E143" i="103" a="1"/>
  <c r="E143" i="103" s="1"/>
  <c r="D143" i="103" a="1"/>
  <c r="D143" i="103" s="1"/>
  <c r="D141" i="103" a="1"/>
  <c r="D141" i="103" s="1"/>
  <c r="D140" i="103" a="1"/>
  <c r="D140" i="103" s="1"/>
  <c r="D139" i="103" a="1"/>
  <c r="D139" i="103" s="1"/>
  <c r="E136" i="103" a="1"/>
  <c r="E136" i="103" s="1"/>
  <c r="D136" i="103" a="1"/>
  <c r="D136" i="103" s="1"/>
  <c r="E135" i="103" a="1"/>
  <c r="E135" i="103" s="1"/>
  <c r="D135" i="103" a="1"/>
  <c r="D135" i="103" s="1"/>
  <c r="D133" i="103" a="1"/>
  <c r="D133" i="103" s="1"/>
  <c r="D132" i="103" a="1"/>
  <c r="D132" i="103" s="1"/>
  <c r="E129" i="103" a="1"/>
  <c r="E129" i="103" s="1"/>
  <c r="D129" i="103" a="1"/>
  <c r="D129" i="103" s="1"/>
  <c r="E128" i="103" a="1"/>
  <c r="E128" i="103" s="1"/>
  <c r="D128" i="103" a="1"/>
  <c r="D128" i="103" s="1"/>
  <c r="D125" i="103" a="1"/>
  <c r="D125" i="103" s="1"/>
  <c r="D124" i="103" a="1"/>
  <c r="D124" i="103" s="1"/>
  <c r="G121" i="103" a="1"/>
  <c r="G121" i="103" s="1"/>
  <c r="F121" i="103" a="1"/>
  <c r="F121" i="103" s="1"/>
  <c r="E121" i="103" a="1"/>
  <c r="E121" i="103" s="1"/>
  <c r="D121" i="103" a="1"/>
  <c r="D121" i="103" s="1"/>
  <c r="G120" i="103" a="1"/>
  <c r="G120" i="103" s="1"/>
  <c r="F120" i="103" a="1"/>
  <c r="F120" i="103" s="1"/>
  <c r="E120" i="103" a="1"/>
  <c r="E120" i="103" s="1"/>
  <c r="D120" i="103" a="1"/>
  <c r="D120" i="103" s="1"/>
  <c r="D117" i="103" a="1"/>
  <c r="D117" i="103" s="1"/>
  <c r="D116" i="103" a="1"/>
  <c r="D116" i="103" s="1"/>
  <c r="D115" i="103" a="1"/>
  <c r="D115" i="103" s="1"/>
  <c r="G112" i="103" a="1"/>
  <c r="G112" i="103" s="1"/>
  <c r="F112" i="103" a="1"/>
  <c r="F112" i="103" s="1"/>
  <c r="E112" i="103" a="1"/>
  <c r="E112" i="103" s="1"/>
  <c r="D112" i="103" a="1"/>
  <c r="D112" i="103" s="1"/>
  <c r="G111" i="103" a="1"/>
  <c r="G111" i="103" s="1"/>
  <c r="F111" i="103" a="1"/>
  <c r="F111" i="103" s="1"/>
  <c r="E111" i="103" a="1"/>
  <c r="E111" i="103" s="1"/>
  <c r="D111" i="103" a="1"/>
  <c r="D111" i="103" s="1"/>
  <c r="G110" i="103" a="1"/>
  <c r="G110" i="103" s="1"/>
  <c r="F110" i="103" a="1"/>
  <c r="F110" i="103" s="1"/>
  <c r="E110" i="103" a="1"/>
  <c r="E110" i="103" s="1"/>
  <c r="D110" i="103" a="1"/>
  <c r="D110" i="103" s="1"/>
  <c r="D107" i="103" a="1"/>
  <c r="D107" i="103" s="1"/>
  <c r="D106" i="103" a="1"/>
  <c r="D106" i="103" s="1"/>
  <c r="D105" i="103" a="1"/>
  <c r="D105" i="103" s="1"/>
  <c r="D98" i="103" a="1"/>
  <c r="D98" i="103" s="1"/>
  <c r="S97" i="103" a="1"/>
  <c r="S97" i="103" s="1"/>
  <c r="R97" i="103" a="1"/>
  <c r="R97" i="103" s="1"/>
  <c r="Q97" i="103" a="1"/>
  <c r="Q97" i="103" s="1"/>
  <c r="P97" i="103" a="1"/>
  <c r="P97" i="103" s="1"/>
  <c r="O97" i="103" a="1"/>
  <c r="O97" i="103" s="1"/>
  <c r="N97" i="103" a="1"/>
  <c r="N97" i="103" s="1"/>
  <c r="M97" i="103" a="1"/>
  <c r="M97" i="103" s="1"/>
  <c r="L97" i="103" a="1"/>
  <c r="L97" i="103" s="1"/>
  <c r="K97" i="103" a="1"/>
  <c r="K97" i="103" s="1"/>
  <c r="J97" i="103" a="1"/>
  <c r="J97" i="103" s="1"/>
  <c r="I97" i="103" a="1"/>
  <c r="I97" i="103" s="1"/>
  <c r="H97" i="103" a="1"/>
  <c r="H97" i="103" s="1"/>
  <c r="G97" i="103" a="1"/>
  <c r="G97" i="103" s="1"/>
  <c r="F97" i="103" a="1"/>
  <c r="F97" i="103" s="1"/>
  <c r="E97" i="103" a="1"/>
  <c r="E97" i="103" s="1"/>
  <c r="D97" i="103" a="1"/>
  <c r="D97" i="103" s="1"/>
  <c r="S96" i="103" a="1"/>
  <c r="S96" i="103" s="1"/>
  <c r="R96" i="103" a="1"/>
  <c r="R96" i="103" s="1"/>
  <c r="Q96" i="103" a="1"/>
  <c r="Q96" i="103" s="1"/>
  <c r="P96" i="103" a="1"/>
  <c r="P96" i="103" s="1"/>
  <c r="O96" i="103" a="1"/>
  <c r="O96" i="103" s="1"/>
  <c r="N96" i="103" a="1"/>
  <c r="N96" i="103" s="1"/>
  <c r="M96" i="103" a="1"/>
  <c r="M96" i="103" s="1"/>
  <c r="L96" i="103" a="1"/>
  <c r="L96" i="103" s="1"/>
  <c r="K96" i="103" a="1"/>
  <c r="K96" i="103" s="1"/>
  <c r="J96" i="103" a="1"/>
  <c r="J96" i="103" s="1"/>
  <c r="I96" i="103" a="1"/>
  <c r="I96" i="103" s="1"/>
  <c r="H96" i="103" a="1"/>
  <c r="H96" i="103" s="1"/>
  <c r="G96" i="103" a="1"/>
  <c r="G96" i="103" s="1"/>
  <c r="F96" i="103" a="1"/>
  <c r="F96" i="103" s="1"/>
  <c r="E96" i="103" a="1"/>
  <c r="E96" i="103" s="1"/>
  <c r="D96" i="103" a="1"/>
  <c r="D96" i="103" s="1"/>
  <c r="S95" i="103" a="1"/>
  <c r="S95" i="103" s="1"/>
  <c r="R95" i="103" a="1"/>
  <c r="R95" i="103" s="1"/>
  <c r="Q95" i="103" a="1"/>
  <c r="Q95" i="103" s="1"/>
  <c r="P95" i="103" a="1"/>
  <c r="P95" i="103" s="1"/>
  <c r="O95" i="103" a="1"/>
  <c r="O95" i="103" s="1"/>
  <c r="N95" i="103" a="1"/>
  <c r="N95" i="103" s="1"/>
  <c r="M95" i="103" a="1"/>
  <c r="M95" i="103" s="1"/>
  <c r="L95" i="103" a="1"/>
  <c r="L95" i="103" s="1"/>
  <c r="K95" i="103" a="1"/>
  <c r="K95" i="103" s="1"/>
  <c r="J95" i="103" a="1"/>
  <c r="J95" i="103" s="1"/>
  <c r="I95" i="103" a="1"/>
  <c r="I95" i="103" s="1"/>
  <c r="H95" i="103" a="1"/>
  <c r="H95" i="103" s="1"/>
  <c r="G95" i="103" a="1"/>
  <c r="G95" i="103" s="1"/>
  <c r="F95" i="103" a="1"/>
  <c r="F95" i="103" s="1"/>
  <c r="E95" i="103" a="1"/>
  <c r="E95" i="103" s="1"/>
  <c r="D95" i="103" a="1"/>
  <c r="D95" i="103" s="1"/>
  <c r="S94" i="103" a="1"/>
  <c r="S94" i="103" s="1"/>
  <c r="R94" i="103" a="1"/>
  <c r="R94" i="103" s="1"/>
  <c r="Q94" i="103" a="1"/>
  <c r="Q94" i="103" s="1"/>
  <c r="P94" i="103" a="1"/>
  <c r="P94" i="103" s="1"/>
  <c r="O94" i="103" a="1"/>
  <c r="O94" i="103" s="1"/>
  <c r="N94" i="103" a="1"/>
  <c r="N94" i="103" s="1"/>
  <c r="M94" i="103" a="1"/>
  <c r="M94" i="103" s="1"/>
  <c r="L94" i="103" a="1"/>
  <c r="L94" i="103" s="1"/>
  <c r="K94" i="103" a="1"/>
  <c r="K94" i="103" s="1"/>
  <c r="J94" i="103" a="1"/>
  <c r="J94" i="103" s="1"/>
  <c r="I94" i="103" a="1"/>
  <c r="I94" i="103" s="1"/>
  <c r="H94" i="103" a="1"/>
  <c r="H94" i="103" s="1"/>
  <c r="G94" i="103" a="1"/>
  <c r="G94" i="103" s="1"/>
  <c r="F94" i="103" a="1"/>
  <c r="F94" i="103" s="1"/>
  <c r="E94" i="103" a="1"/>
  <c r="E94" i="103" s="1"/>
  <c r="D94" i="103" a="1"/>
  <c r="D94" i="103" s="1"/>
  <c r="S93" i="103" a="1"/>
  <c r="S93" i="103" s="1"/>
  <c r="R93" i="103" a="1"/>
  <c r="R93" i="103" s="1"/>
  <c r="Q93" i="103" a="1"/>
  <c r="Q93" i="103" s="1"/>
  <c r="P93" i="103" a="1"/>
  <c r="P93" i="103" s="1"/>
  <c r="O93" i="103" a="1"/>
  <c r="O93" i="103" s="1"/>
  <c r="N93" i="103" a="1"/>
  <c r="N93" i="103" s="1"/>
  <c r="M93" i="103" a="1"/>
  <c r="M93" i="103" s="1"/>
  <c r="L93" i="103" a="1"/>
  <c r="L93" i="103" s="1"/>
  <c r="K93" i="103" a="1"/>
  <c r="K93" i="103" s="1"/>
  <c r="J93" i="103" a="1"/>
  <c r="J93" i="103" s="1"/>
  <c r="I93" i="103" a="1"/>
  <c r="I93" i="103" s="1"/>
  <c r="H93" i="103" a="1"/>
  <c r="H93" i="103" s="1"/>
  <c r="G93" i="103" a="1"/>
  <c r="G93" i="103" s="1"/>
  <c r="F93" i="103" a="1"/>
  <c r="F93" i="103" s="1"/>
  <c r="E93" i="103" a="1"/>
  <c r="E93" i="103" s="1"/>
  <c r="D93" i="103" a="1"/>
  <c r="D93" i="103" s="1"/>
  <c r="S92" i="103" a="1"/>
  <c r="S92" i="103" s="1"/>
  <c r="R92" i="103" a="1"/>
  <c r="R92" i="103" s="1"/>
  <c r="Q92" i="103" a="1"/>
  <c r="Q92" i="103" s="1"/>
  <c r="P92" i="103" a="1"/>
  <c r="P92" i="103" s="1"/>
  <c r="O92" i="103" a="1"/>
  <c r="O92" i="103" s="1"/>
  <c r="N92" i="103" a="1"/>
  <c r="N92" i="103" s="1"/>
  <c r="M92" i="103" a="1"/>
  <c r="M92" i="103" s="1"/>
  <c r="L92" i="103" a="1"/>
  <c r="L92" i="103" s="1"/>
  <c r="K92" i="103" a="1"/>
  <c r="K92" i="103" s="1"/>
  <c r="J92" i="103" a="1"/>
  <c r="J92" i="103" s="1"/>
  <c r="I92" i="103" a="1"/>
  <c r="I92" i="103" s="1"/>
  <c r="H92" i="103" a="1"/>
  <c r="H92" i="103" s="1"/>
  <c r="G92" i="103" a="1"/>
  <c r="G92" i="103" s="1"/>
  <c r="F92" i="103" a="1"/>
  <c r="F92" i="103" s="1"/>
  <c r="E92" i="103" a="1"/>
  <c r="E92" i="103" s="1"/>
  <c r="D92" i="103" a="1"/>
  <c r="D92" i="103" s="1"/>
  <c r="S91" i="103" a="1"/>
  <c r="S91" i="103" s="1"/>
  <c r="R91" i="103" a="1"/>
  <c r="R91" i="103" s="1"/>
  <c r="Q91" i="103" a="1"/>
  <c r="Q91" i="103" s="1"/>
  <c r="P91" i="103" a="1"/>
  <c r="P91" i="103" s="1"/>
  <c r="O91" i="103" a="1"/>
  <c r="O91" i="103" s="1"/>
  <c r="N91" i="103" a="1"/>
  <c r="N91" i="103" s="1"/>
  <c r="M91" i="103" a="1"/>
  <c r="M91" i="103" s="1"/>
  <c r="L91" i="103" a="1"/>
  <c r="L91" i="103" s="1"/>
  <c r="K91" i="103" a="1"/>
  <c r="K91" i="103" s="1"/>
  <c r="J91" i="103" a="1"/>
  <c r="J91" i="103" s="1"/>
  <c r="I91" i="103" a="1"/>
  <c r="I91" i="103" s="1"/>
  <c r="H91" i="103" a="1"/>
  <c r="H91" i="103" s="1"/>
  <c r="G91" i="103" a="1"/>
  <c r="G91" i="103" s="1"/>
  <c r="F91" i="103" a="1"/>
  <c r="F91" i="103" s="1"/>
  <c r="E91" i="103" a="1"/>
  <c r="E91" i="103" s="1"/>
  <c r="D91" i="103" a="1"/>
  <c r="D91" i="103" s="1"/>
  <c r="S90" i="103" a="1"/>
  <c r="S90" i="103" s="1"/>
  <c r="R90" i="103" a="1"/>
  <c r="R90" i="103" s="1"/>
  <c r="Q90" i="103" a="1"/>
  <c r="Q90" i="103" s="1"/>
  <c r="P90" i="103" a="1"/>
  <c r="P90" i="103" s="1"/>
  <c r="O90" i="103" a="1"/>
  <c r="O90" i="103" s="1"/>
  <c r="N90" i="103" a="1"/>
  <c r="N90" i="103" s="1"/>
  <c r="M90" i="103" a="1"/>
  <c r="M90" i="103" s="1"/>
  <c r="L90" i="103" a="1"/>
  <c r="L90" i="103" s="1"/>
  <c r="K90" i="103" a="1"/>
  <c r="K90" i="103" s="1"/>
  <c r="J90" i="103" a="1"/>
  <c r="J90" i="103" s="1"/>
  <c r="I90" i="103" a="1"/>
  <c r="I90" i="103" s="1"/>
  <c r="H90" i="103" a="1"/>
  <c r="H90" i="103" s="1"/>
  <c r="G90" i="103" a="1"/>
  <c r="G90" i="103" s="1"/>
  <c r="F90" i="103" a="1"/>
  <c r="F90" i="103" s="1"/>
  <c r="E90" i="103" a="1"/>
  <c r="E90" i="103" s="1"/>
  <c r="D90" i="103" a="1"/>
  <c r="D90" i="103" s="1"/>
  <c r="D83" i="103" a="1"/>
  <c r="D83" i="103" s="1"/>
  <c r="D82" i="103" a="1"/>
  <c r="D82" i="103" s="1"/>
  <c r="D81" i="103" a="1"/>
  <c r="D81" i="103" s="1"/>
  <c r="E77" i="103" a="1"/>
  <c r="E77" i="103" s="1"/>
  <c r="D77" i="103" a="1"/>
  <c r="D77" i="103" s="1"/>
  <c r="E76" i="103" a="1"/>
  <c r="E76" i="103" s="1"/>
  <c r="D76" i="103" a="1"/>
  <c r="D76" i="103" s="1"/>
  <c r="E75" i="103" a="1"/>
  <c r="E75" i="103" s="1"/>
  <c r="D75" i="103" a="1"/>
  <c r="D75" i="103" s="1"/>
  <c r="E74" i="103" a="1"/>
  <c r="E74" i="103" s="1"/>
  <c r="D74" i="103" a="1"/>
  <c r="D74" i="103" s="1"/>
  <c r="E73" i="103" a="1"/>
  <c r="E73" i="103" s="1"/>
  <c r="D73" i="103" a="1"/>
  <c r="D73" i="103" s="1"/>
  <c r="E72" i="103" a="1"/>
  <c r="E72" i="103" s="1"/>
  <c r="D72" i="103" a="1"/>
  <c r="D72" i="103" s="1"/>
  <c r="E71" i="103" a="1"/>
  <c r="E71" i="103" s="1"/>
  <c r="D71" i="103" a="1"/>
  <c r="D71" i="103" s="1"/>
  <c r="E70" i="103" a="1"/>
  <c r="E70" i="103" s="1"/>
  <c r="D70" i="103" a="1"/>
  <c r="D70" i="103" s="1"/>
  <c r="E69" i="103" a="1"/>
  <c r="E69" i="103" s="1"/>
  <c r="D69" i="103" a="1"/>
  <c r="D69" i="103" s="1"/>
  <c r="E68" i="103" a="1"/>
  <c r="E68" i="103" s="1"/>
  <c r="D68" i="103" a="1"/>
  <c r="D68" i="103" s="1"/>
  <c r="E67" i="103" a="1"/>
  <c r="E67" i="103" s="1"/>
  <c r="D67" i="103" a="1"/>
  <c r="D67" i="103" s="1"/>
  <c r="E66" i="103" a="1"/>
  <c r="E66" i="103" s="1"/>
  <c r="D66" i="103" a="1"/>
  <c r="D66" i="103" s="1"/>
  <c r="E65" i="103" a="1"/>
  <c r="E65" i="103" s="1"/>
  <c r="D65" i="103" a="1"/>
  <c r="D65" i="103" s="1"/>
  <c r="E64" i="103" a="1"/>
  <c r="E64" i="103" s="1"/>
  <c r="D64" i="103" a="1"/>
  <c r="D64" i="103" s="1"/>
  <c r="D59" i="103" a="1"/>
  <c r="D59" i="103" s="1"/>
  <c r="D58" i="103" a="1"/>
  <c r="D58" i="103" s="1"/>
  <c r="D57" i="103" a="1"/>
  <c r="D57" i="103" s="1"/>
  <c r="G54" i="103" a="1"/>
  <c r="G54" i="103" s="1"/>
  <c r="F54" i="103" a="1"/>
  <c r="F54" i="103" s="1"/>
  <c r="E54" i="103" a="1"/>
  <c r="E54" i="103" s="1"/>
  <c r="D54" i="103" a="1"/>
  <c r="D54" i="103" s="1"/>
  <c r="G53" i="103" a="1"/>
  <c r="G53" i="103" s="1"/>
  <c r="F53" i="103" a="1"/>
  <c r="F53" i="103" s="1"/>
  <c r="E53" i="103" a="1"/>
  <c r="E53" i="103" s="1"/>
  <c r="D53" i="103" a="1"/>
  <c r="D53" i="103" s="1"/>
  <c r="G52" i="103" a="1"/>
  <c r="G52" i="103" s="1"/>
  <c r="F52" i="103" a="1"/>
  <c r="F52" i="103" s="1"/>
  <c r="E52" i="103" a="1"/>
  <c r="E52" i="103" s="1"/>
  <c r="D52" i="103" a="1"/>
  <c r="D52" i="103" s="1"/>
  <c r="G51" i="103" a="1"/>
  <c r="G51" i="103" s="1"/>
  <c r="F51" i="103" a="1"/>
  <c r="F51" i="103" s="1"/>
  <c r="E51" i="103" a="1"/>
  <c r="E51" i="103" s="1"/>
  <c r="D51" i="103" a="1"/>
  <c r="D51" i="103" s="1"/>
  <c r="G50" i="103" a="1"/>
  <c r="G50" i="103" s="1"/>
  <c r="F50" i="103" a="1"/>
  <c r="F50" i="103" s="1"/>
  <c r="E50" i="103" a="1"/>
  <c r="E50" i="103" s="1"/>
  <c r="D50" i="103" a="1"/>
  <c r="D50" i="103" s="1"/>
  <c r="G49" i="103" a="1"/>
  <c r="G49" i="103" s="1"/>
  <c r="F49" i="103" a="1"/>
  <c r="F49" i="103" s="1"/>
  <c r="E49" i="103" a="1"/>
  <c r="E49" i="103" s="1"/>
  <c r="D49" i="103" a="1"/>
  <c r="D49" i="103" s="1"/>
  <c r="G48" i="103" a="1"/>
  <c r="G48" i="103" s="1"/>
  <c r="F48" i="103" a="1"/>
  <c r="F48" i="103" s="1"/>
  <c r="E48" i="103" a="1"/>
  <c r="E48" i="103" s="1"/>
  <c r="D48" i="103" a="1"/>
  <c r="D48" i="103" s="1"/>
  <c r="D46" i="103" a="1"/>
  <c r="D46" i="103" s="1"/>
  <c r="D45" i="103" a="1"/>
  <c r="D45" i="103" s="1"/>
  <c r="E43" i="103" a="1"/>
  <c r="E43" i="103" s="1"/>
  <c r="D43" i="103" a="1"/>
  <c r="D43" i="103" s="1"/>
  <c r="E42" i="103" a="1"/>
  <c r="E42" i="103" s="1"/>
  <c r="D42" i="103" a="1"/>
  <c r="D42" i="103" s="1"/>
  <c r="E41" i="103" a="1"/>
  <c r="E41" i="103" s="1"/>
  <c r="D41" i="103" a="1"/>
  <c r="D41" i="103" s="1"/>
  <c r="E40" i="103" a="1"/>
  <c r="E40" i="103" s="1"/>
  <c r="D40" i="103" a="1"/>
  <c r="D40" i="103" s="1"/>
  <c r="E39" i="103" a="1"/>
  <c r="E39" i="103" s="1"/>
  <c r="D39" i="103" a="1"/>
  <c r="D39" i="103" s="1"/>
  <c r="E38" i="103" a="1"/>
  <c r="E38" i="103" s="1"/>
  <c r="D38" i="103" a="1"/>
  <c r="D38" i="103" s="1"/>
  <c r="E37" i="103" a="1"/>
  <c r="E37" i="103" s="1"/>
  <c r="D37" i="103" a="1"/>
  <c r="D37" i="103" s="1"/>
  <c r="D35" i="103" a="1"/>
  <c r="D35" i="103" s="1"/>
  <c r="D34" i="103"/>
  <c r="D34" i="103" a="1"/>
  <c r="D30" i="103" a="1"/>
  <c r="D30" i="103" s="1"/>
  <c r="D29" i="103" a="1"/>
  <c r="D29" i="103" s="1"/>
  <c r="D28" i="103" a="1"/>
  <c r="D28" i="103" s="1"/>
  <c r="D27" i="103" a="1"/>
  <c r="D27" i="103" s="1"/>
  <c r="D26" i="103" a="1"/>
  <c r="D26" i="103" s="1"/>
  <c r="D25" i="103" a="1"/>
  <c r="D25" i="103" s="1"/>
  <c r="D24" i="103" a="1"/>
  <c r="D24" i="103" s="1"/>
  <c r="D23" i="103" a="1"/>
  <c r="D23" i="103" s="1"/>
  <c r="D22" i="103" a="1"/>
  <c r="D22" i="103" s="1"/>
  <c r="D21" i="103" a="1"/>
  <c r="D21" i="103" s="1"/>
  <c r="D19" i="103" a="1"/>
  <c r="D19" i="103" s="1"/>
  <c r="D18" i="103" a="1"/>
  <c r="D18" i="103" s="1"/>
  <c r="F14" i="103" a="1"/>
  <c r="F14" i="103" s="1"/>
  <c r="E14" i="103" a="1"/>
  <c r="E14" i="103" s="1"/>
  <c r="D14" i="103" a="1"/>
  <c r="D14" i="103" s="1"/>
  <c r="F13" i="103" a="1"/>
  <c r="F13" i="103" s="1"/>
  <c r="E13" i="103" a="1"/>
  <c r="E13" i="103" s="1"/>
  <c r="D13" i="103" a="1"/>
  <c r="D13" i="103" s="1"/>
  <c r="F12" i="103" a="1"/>
  <c r="F12" i="103" s="1"/>
  <c r="E12" i="103" a="1"/>
  <c r="E12" i="103" s="1"/>
  <c r="D12" i="103" a="1"/>
  <c r="D12" i="103" s="1"/>
  <c r="F11" i="103" a="1"/>
  <c r="F11" i="103" s="1"/>
  <c r="E11" i="103" a="1"/>
  <c r="E11" i="103" s="1"/>
  <c r="D11" i="103" a="1"/>
  <c r="D11" i="103" s="1"/>
  <c r="F10" i="103" a="1"/>
  <c r="F10" i="103" s="1"/>
  <c r="E10" i="103" a="1"/>
  <c r="E10" i="103" s="1"/>
  <c r="D10" i="103" a="1"/>
  <c r="D10" i="103" s="1"/>
  <c r="F9" i="103" a="1"/>
  <c r="F9" i="103" s="1"/>
  <c r="E9" i="103" a="1"/>
  <c r="E9" i="103" s="1"/>
  <c r="D9" i="103" a="1"/>
  <c r="D9" i="103" s="1"/>
  <c r="F8" i="103" a="1"/>
  <c r="F8" i="103" s="1"/>
  <c r="E8" i="103" a="1"/>
  <c r="E8" i="103" s="1"/>
  <c r="D8" i="103" a="1"/>
  <c r="D8" i="103" s="1"/>
  <c r="F7" i="103" a="1"/>
  <c r="F7" i="103" s="1"/>
  <c r="E7" i="103" a="1"/>
  <c r="E7" i="103" s="1"/>
  <c r="D7" i="103" a="1"/>
  <c r="D7" i="103" s="1"/>
  <c r="D5" i="103" a="1"/>
  <c r="D5" i="103" s="1"/>
  <c r="M41" i="98" a="1"/>
  <c r="M41" i="98" s="1"/>
  <c r="K38" i="98" a="1"/>
  <c r="K38" i="98" s="1"/>
  <c r="K32" i="98" a="1"/>
  <c r="K32" i="98" s="1"/>
  <c r="F41" i="98" a="1"/>
  <c r="F41" i="98" s="1"/>
  <c r="D38" i="98" a="1"/>
  <c r="D38" i="98" s="1"/>
  <c r="D32" i="98" a="1"/>
  <c r="D32" i="98" s="1"/>
  <c r="E30" i="98" a="1"/>
  <c r="E30" i="98" s="1"/>
  <c r="M36" i="98" s="1"/>
  <c r="E29" i="98" a="1"/>
  <c r="E29" i="98" s="1"/>
  <c r="D25" i="98" a="1"/>
  <c r="D25" i="98" s="1"/>
  <c r="D24" i="98" a="1"/>
  <c r="D24" i="98" s="1"/>
  <c r="K13" i="98" a="1"/>
  <c r="K13" i="98" s="1"/>
  <c r="G18" i="98"/>
  <c r="G14" i="98" s="1"/>
  <c r="G17" i="98"/>
  <c r="G16" i="98"/>
  <c r="D13" i="98" a="1"/>
  <c r="D13" i="98" s="1"/>
  <c r="E11" i="98" a="1"/>
  <c r="E11" i="98" s="1"/>
  <c r="F20" i="98" s="1"/>
  <c r="E10" i="98" a="1"/>
  <c r="E10" i="98" s="1"/>
  <c r="D6" i="98" a="1"/>
  <c r="D6" i="98" s="1"/>
  <c r="D5" i="98" a="1"/>
  <c r="D5" i="98" s="1"/>
  <c r="N40" i="97" a="1"/>
  <c r="N40" i="97" s="1"/>
  <c r="L37" i="97" a="1"/>
  <c r="L37" i="97" s="1"/>
  <c r="L28" i="97" a="1"/>
  <c r="L28" i="97" s="1"/>
  <c r="N16" i="97"/>
  <c r="L13" i="97" a="1"/>
  <c r="L13" i="97" s="1"/>
  <c r="F40" i="97" a="1"/>
  <c r="F40" i="97" s="1"/>
  <c r="D37" i="97" a="1"/>
  <c r="D37" i="97" s="1"/>
  <c r="H32" i="97"/>
  <c r="H29" i="97" s="1"/>
  <c r="H31" i="97"/>
  <c r="D28" i="97" a="1"/>
  <c r="D28" i="97" s="1"/>
  <c r="E26" i="97" a="1"/>
  <c r="E26" i="97" s="1"/>
  <c r="F35" i="97" s="1"/>
  <c r="G9" i="13" s="1"/>
  <c r="E25" i="97" a="1"/>
  <c r="E25" i="97" s="1"/>
  <c r="D21" i="97" a="1"/>
  <c r="D21" i="97" s="1"/>
  <c r="D20" i="97" a="1"/>
  <c r="D20" i="97" s="1"/>
  <c r="G15" i="98"/>
  <c r="H14" i="97"/>
  <c r="E7" i="97" a="1"/>
  <c r="E26" i="98" a="1"/>
  <c r="E22" i="97" a="1"/>
  <c r="E7" i="98" a="1"/>
  <c r="H51" i="103" l="1"/>
  <c r="H49" i="103"/>
  <c r="H54" i="103"/>
  <c r="H50" i="103"/>
  <c r="H52" i="103"/>
  <c r="H48" i="103"/>
  <c r="H53" i="103"/>
  <c r="N35" i="97"/>
  <c r="F36" i="98"/>
  <c r="G10" i="13" s="1"/>
  <c r="E26" i="98"/>
  <c r="M20" i="98"/>
  <c r="E7" i="98"/>
  <c r="E22" i="97"/>
  <c r="E7" i="97"/>
  <c r="D13" i="97" l="1" a="1"/>
  <c r="D13" i="97" s="1"/>
  <c r="E11" i="97" a="1"/>
  <c r="E11" i="97" s="1"/>
  <c r="F16" i="97" s="1"/>
  <c r="E10" i="97" a="1"/>
  <c r="E10" i="97" s="1"/>
  <c r="D6" i="97" a="1"/>
  <c r="D6" i="97" s="1"/>
  <c r="D5" i="97" a="1"/>
  <c r="D5" i="97" s="1"/>
  <c r="T257" i="76" a="1"/>
  <c r="T257" i="76" s="1"/>
  <c r="D222" i="76" a="1"/>
  <c r="D222" i="76" s="1"/>
  <c r="E220" i="76" a="1"/>
  <c r="E220" i="76" s="1"/>
  <c r="F227" i="76" s="1"/>
  <c r="E219" i="76" a="1"/>
  <c r="E219" i="76" s="1"/>
  <c r="D215" i="76" a="1"/>
  <c r="D215" i="76" s="1"/>
  <c r="D214" i="76" a="1"/>
  <c r="D214" i="76" s="1"/>
  <c r="T203" i="76" a="1"/>
  <c r="T203" i="76" s="1"/>
  <c r="D182" i="76" a="1"/>
  <c r="D182" i="76" s="1"/>
  <c r="E180" i="76" a="1"/>
  <c r="E180" i="76" s="1"/>
  <c r="AE249" i="76" s="1"/>
  <c r="E179" i="76" a="1"/>
  <c r="E179" i="76" s="1"/>
  <c r="D175" i="76" a="1"/>
  <c r="D175" i="76" s="1"/>
  <c r="D174" i="76" a="1"/>
  <c r="D174" i="76" s="1"/>
  <c r="T151" i="76" a="1"/>
  <c r="T151" i="76" s="1"/>
  <c r="D142" i="76" a="1"/>
  <c r="D142" i="76" s="1"/>
  <c r="E140" i="76" a="1"/>
  <c r="E140" i="76" s="1"/>
  <c r="AE198" i="76" s="1"/>
  <c r="E139" i="76" a="1"/>
  <c r="E139" i="76" s="1"/>
  <c r="D135" i="76" a="1"/>
  <c r="D135" i="76" s="1"/>
  <c r="D134" i="76" a="1"/>
  <c r="D134" i="76" s="1"/>
  <c r="T115" i="76" a="1"/>
  <c r="T115" i="76" s="1"/>
  <c r="D111" i="76" a="1"/>
  <c r="D111" i="76" s="1"/>
  <c r="E109" i="76" a="1"/>
  <c r="E109" i="76" s="1"/>
  <c r="E108" i="76" a="1"/>
  <c r="E108" i="76" s="1"/>
  <c r="D103" i="76" a="1"/>
  <c r="D103" i="76" s="1"/>
  <c r="D102" i="76" a="1"/>
  <c r="D102" i="76" s="1"/>
  <c r="T87" i="76" a="1"/>
  <c r="T87" i="76" s="1"/>
  <c r="D78" i="76" a="1"/>
  <c r="D78" i="76" s="1"/>
  <c r="E76" i="76" a="1"/>
  <c r="E76" i="76" s="1"/>
  <c r="AE111" i="76" s="1"/>
  <c r="E75" i="76" a="1"/>
  <c r="E75" i="76" s="1"/>
  <c r="D71" i="76" a="1"/>
  <c r="D71" i="76" s="1"/>
  <c r="D70" i="76" a="1"/>
  <c r="D70" i="76" s="1"/>
  <c r="D69" i="76" a="1"/>
  <c r="D69" i="76" s="1"/>
  <c r="T51" i="76" a="1"/>
  <c r="T51" i="76" s="1"/>
  <c r="D48" i="76" a="1"/>
  <c r="D48" i="76" s="1"/>
  <c r="E46" i="76" a="1"/>
  <c r="E46" i="76" s="1"/>
  <c r="AE82" i="76" s="1"/>
  <c r="E45" i="76" a="1"/>
  <c r="E45" i="76" s="1"/>
  <c r="D41" i="76" a="1"/>
  <c r="D41" i="76" s="1"/>
  <c r="D40" i="76" a="1"/>
  <c r="D40" i="76" s="1"/>
  <c r="D13" i="76" a="1"/>
  <c r="D13" i="76" s="1"/>
  <c r="E11" i="76" a="1"/>
  <c r="E11" i="76" s="1"/>
  <c r="AE37" i="76" s="1"/>
  <c r="E10" i="76" a="1"/>
  <c r="E10" i="76" s="1"/>
  <c r="D6" i="76" a="1"/>
  <c r="D6" i="76" s="1"/>
  <c r="D5" i="76" a="1"/>
  <c r="D5" i="76" s="1"/>
  <c r="V264" i="76" a="1"/>
  <c r="V264" i="76" s="1"/>
  <c r="T261" i="76" a="1"/>
  <c r="T261" i="76" s="1"/>
  <c r="T251" i="76"/>
  <c r="T250" i="76"/>
  <c r="T249" i="76"/>
  <c r="T248" i="76"/>
  <c r="T247" i="76"/>
  <c r="T246" i="76"/>
  <c r="T245" i="76"/>
  <c r="T244" i="76"/>
  <c r="T243" i="76"/>
  <c r="T242" i="76"/>
  <c r="T241" i="76"/>
  <c r="T240" i="76"/>
  <c r="T235" i="76"/>
  <c r="T234" i="76"/>
  <c r="T233" i="76"/>
  <c r="T232" i="76"/>
  <c r="T231" i="76"/>
  <c r="T230" i="76"/>
  <c r="T229" i="76"/>
  <c r="T228" i="76"/>
  <c r="T227" i="76"/>
  <c r="T226" i="76"/>
  <c r="T225" i="76"/>
  <c r="T224" i="76"/>
  <c r="AD219" i="76"/>
  <c r="AC219" i="76"/>
  <c r="AB219" i="76"/>
  <c r="AA219" i="76"/>
  <c r="Z219" i="76"/>
  <c r="Y219" i="76"/>
  <c r="X219" i="76"/>
  <c r="W219" i="76"/>
  <c r="V219" i="76"/>
  <c r="U219" i="76"/>
  <c r="AD218" i="76"/>
  <c r="AC218" i="76"/>
  <c r="AB218" i="76"/>
  <c r="AA218" i="76"/>
  <c r="Z218" i="76"/>
  <c r="Y218" i="76"/>
  <c r="X218" i="76"/>
  <c r="W218" i="76"/>
  <c r="V218" i="76"/>
  <c r="U218" i="76"/>
  <c r="AD217" i="76"/>
  <c r="AC217" i="76"/>
  <c r="AB217" i="76"/>
  <c r="AA217" i="76"/>
  <c r="Z217" i="76"/>
  <c r="Y217" i="76"/>
  <c r="X217" i="76"/>
  <c r="W217" i="76"/>
  <c r="V217" i="76"/>
  <c r="U217" i="76"/>
  <c r="AD216" i="76"/>
  <c r="AC216" i="76"/>
  <c r="AB216" i="76"/>
  <c r="AA216" i="76"/>
  <c r="Z216" i="76"/>
  <c r="Y216" i="76"/>
  <c r="X216" i="76"/>
  <c r="W216" i="76"/>
  <c r="V216" i="76"/>
  <c r="U216" i="76"/>
  <c r="AD215" i="76"/>
  <c r="AC215" i="76"/>
  <c r="AB215" i="76"/>
  <c r="AA215" i="76"/>
  <c r="Z215" i="76"/>
  <c r="Y215" i="76"/>
  <c r="X215" i="76"/>
  <c r="W215" i="76"/>
  <c r="V215" i="76"/>
  <c r="U215" i="76"/>
  <c r="AD214" i="76"/>
  <c r="AC214" i="76"/>
  <c r="AB214" i="76"/>
  <c r="AA214" i="76"/>
  <c r="Z214" i="76"/>
  <c r="Y214" i="76"/>
  <c r="X214" i="76"/>
  <c r="W214" i="76"/>
  <c r="V214" i="76"/>
  <c r="U214" i="76"/>
  <c r="AD213" i="76"/>
  <c r="AC213" i="76"/>
  <c r="AB213" i="76"/>
  <c r="AA213" i="76"/>
  <c r="Z213" i="76"/>
  <c r="Y213" i="76"/>
  <c r="X213" i="76"/>
  <c r="W213" i="76"/>
  <c r="V213" i="76"/>
  <c r="U213" i="76"/>
  <c r="AD212" i="76"/>
  <c r="AC212" i="76"/>
  <c r="AB212" i="76"/>
  <c r="AA212" i="76"/>
  <c r="Z212" i="76"/>
  <c r="Y212" i="76"/>
  <c r="X212" i="76"/>
  <c r="W212" i="76"/>
  <c r="V212" i="76"/>
  <c r="U212" i="76"/>
  <c r="AD211" i="76"/>
  <c r="AC211" i="76"/>
  <c r="AB211" i="76"/>
  <c r="AA211" i="76"/>
  <c r="Z211" i="76"/>
  <c r="Y211" i="76"/>
  <c r="X211" i="76"/>
  <c r="W211" i="76"/>
  <c r="V211" i="76"/>
  <c r="U211" i="76"/>
  <c r="AD210" i="76"/>
  <c r="AC210" i="76"/>
  <c r="AB210" i="76"/>
  <c r="AA210" i="76"/>
  <c r="Z210" i="76"/>
  <c r="Y210" i="76"/>
  <c r="X210" i="76"/>
  <c r="W210" i="76"/>
  <c r="V210" i="76"/>
  <c r="U210" i="76"/>
  <c r="AD209" i="76"/>
  <c r="AC209" i="76"/>
  <c r="AB209" i="76"/>
  <c r="AA209" i="76"/>
  <c r="Z209" i="76"/>
  <c r="Y209" i="76"/>
  <c r="X209" i="76"/>
  <c r="W209" i="76"/>
  <c r="V209" i="76"/>
  <c r="U209" i="76"/>
  <c r="AD208" i="76"/>
  <c r="AC208" i="76"/>
  <c r="AB208" i="76"/>
  <c r="AA208" i="76"/>
  <c r="Z208" i="76"/>
  <c r="Y208" i="76"/>
  <c r="X208" i="76"/>
  <c r="W208" i="76"/>
  <c r="V208" i="76"/>
  <c r="U208" i="76"/>
  <c r="T219" i="76"/>
  <c r="T218" i="76"/>
  <c r="T217" i="76"/>
  <c r="T216" i="76"/>
  <c r="T215" i="76"/>
  <c r="T214" i="76"/>
  <c r="T213" i="76"/>
  <c r="T212" i="76"/>
  <c r="T211" i="76"/>
  <c r="T210" i="76"/>
  <c r="T209" i="76"/>
  <c r="T208" i="76"/>
  <c r="T199" i="76"/>
  <c r="T198" i="76"/>
  <c r="T197" i="76"/>
  <c r="T196" i="76"/>
  <c r="T195" i="76"/>
  <c r="T194" i="76"/>
  <c r="T193" i="76"/>
  <c r="T192" i="76"/>
  <c r="T191" i="76"/>
  <c r="T190" i="76"/>
  <c r="T189" i="76"/>
  <c r="T188" i="76"/>
  <c r="T183" i="76"/>
  <c r="T182" i="76"/>
  <c r="T181" i="76"/>
  <c r="T180" i="76"/>
  <c r="T179" i="76"/>
  <c r="T178" i="76"/>
  <c r="T177" i="76"/>
  <c r="T176" i="76"/>
  <c r="T175" i="76"/>
  <c r="T174" i="76"/>
  <c r="T173" i="76"/>
  <c r="T172" i="76"/>
  <c r="T167" i="76"/>
  <c r="T166" i="76"/>
  <c r="T165" i="76"/>
  <c r="T164" i="76"/>
  <c r="T163" i="76"/>
  <c r="T162" i="76"/>
  <c r="T161" i="76"/>
  <c r="T160" i="76"/>
  <c r="T159" i="76"/>
  <c r="T158" i="76"/>
  <c r="T157" i="76"/>
  <c r="T156" i="76"/>
  <c r="T147" i="76"/>
  <c r="T146" i="76"/>
  <c r="T145" i="76"/>
  <c r="T144" i="76"/>
  <c r="T143" i="76"/>
  <c r="T142" i="76"/>
  <c r="T141" i="76"/>
  <c r="T140" i="76"/>
  <c r="T139" i="76"/>
  <c r="T138" i="76"/>
  <c r="T137" i="76"/>
  <c r="T136" i="76"/>
  <c r="T131" i="76"/>
  <c r="T130" i="76"/>
  <c r="T129" i="76"/>
  <c r="T128" i="76"/>
  <c r="T127" i="76"/>
  <c r="T126" i="76"/>
  <c r="T125" i="76"/>
  <c r="T124" i="76"/>
  <c r="T123" i="76"/>
  <c r="T122" i="76"/>
  <c r="T121" i="76"/>
  <c r="T120" i="76"/>
  <c r="T111" i="76"/>
  <c r="T110" i="76"/>
  <c r="T109" i="76"/>
  <c r="T108" i="76"/>
  <c r="T107" i="76"/>
  <c r="T106" i="76"/>
  <c r="T105" i="76"/>
  <c r="T104" i="76"/>
  <c r="T103" i="76"/>
  <c r="T102" i="76"/>
  <c r="T101" i="76"/>
  <c r="T100" i="76"/>
  <c r="T83" i="76"/>
  <c r="T82" i="76"/>
  <c r="T81" i="76"/>
  <c r="T80" i="76"/>
  <c r="T79" i="76"/>
  <c r="T78" i="76"/>
  <c r="T77" i="76"/>
  <c r="T76" i="76"/>
  <c r="T75" i="76"/>
  <c r="T74" i="76"/>
  <c r="T73" i="76"/>
  <c r="T72" i="76"/>
  <c r="T67" i="76"/>
  <c r="T66" i="76"/>
  <c r="T65" i="76"/>
  <c r="T64" i="76"/>
  <c r="T63" i="76"/>
  <c r="T62" i="76"/>
  <c r="T61" i="76"/>
  <c r="T60" i="76"/>
  <c r="T59" i="76"/>
  <c r="T58" i="76"/>
  <c r="T57" i="76"/>
  <c r="T56" i="76"/>
  <c r="A20" i="43"/>
  <c r="A19" i="43"/>
  <c r="A18" i="43"/>
  <c r="A14" i="43"/>
  <c r="A13" i="43"/>
  <c r="A12" i="43"/>
  <c r="A11" i="43"/>
  <c r="A7" i="43"/>
  <c r="A4" i="43"/>
  <c r="A3" i="43"/>
  <c r="A20" i="79"/>
  <c r="A19" i="79"/>
  <c r="A18" i="79"/>
  <c r="A14" i="79"/>
  <c r="A13" i="79"/>
  <c r="A12" i="79"/>
  <c r="A11" i="79"/>
  <c r="A7" i="79"/>
  <c r="A4" i="79"/>
  <c r="A3" i="79"/>
  <c r="A20" i="97"/>
  <c r="A19" i="97"/>
  <c r="A18" i="97"/>
  <c r="A14" i="97"/>
  <c r="A13" i="97"/>
  <c r="A12" i="97"/>
  <c r="A11" i="97"/>
  <c r="A7" i="97"/>
  <c r="A4" i="97"/>
  <c r="A3" i="97"/>
  <c r="A20" i="76"/>
  <c r="A19" i="76"/>
  <c r="A18" i="76"/>
  <c r="A14" i="76"/>
  <c r="A13" i="76"/>
  <c r="A12" i="76"/>
  <c r="A11" i="76"/>
  <c r="A7" i="76"/>
  <c r="A4" i="76"/>
  <c r="A3" i="76"/>
  <c r="A20" i="69"/>
  <c r="A19" i="69"/>
  <c r="A18" i="69"/>
  <c r="A14" i="69"/>
  <c r="A13" i="69"/>
  <c r="A12" i="69"/>
  <c r="A11" i="69"/>
  <c r="A7" i="69"/>
  <c r="A4" i="69"/>
  <c r="A3" i="69"/>
  <c r="A20" i="70"/>
  <c r="A19" i="70"/>
  <c r="A18" i="70"/>
  <c r="A14" i="70"/>
  <c r="A13" i="70"/>
  <c r="A12" i="70"/>
  <c r="A11" i="70"/>
  <c r="A7" i="70"/>
  <c r="A4" i="70"/>
  <c r="A3" i="70"/>
  <c r="A20" i="15"/>
  <c r="A19" i="15"/>
  <c r="A18" i="15"/>
  <c r="A14" i="15"/>
  <c r="A13" i="15"/>
  <c r="A12" i="15"/>
  <c r="A11" i="15"/>
  <c r="A7" i="15"/>
  <c r="A4" i="15"/>
  <c r="A3" i="15"/>
  <c r="A20" i="13"/>
  <c r="A19" i="13"/>
  <c r="A18" i="13"/>
  <c r="A14" i="13"/>
  <c r="A13" i="13"/>
  <c r="A12" i="13"/>
  <c r="A11" i="13"/>
  <c r="A7" i="13"/>
  <c r="A4" i="13"/>
  <c r="A3" i="13"/>
  <c r="A11" i="98"/>
  <c r="A12" i="98"/>
  <c r="A13" i="98"/>
  <c r="A14" i="98"/>
  <c r="D229" i="76" a="1"/>
  <c r="D229" i="76" s="1"/>
  <c r="F232" i="76" a="1"/>
  <c r="F232" i="76" s="1"/>
  <c r="H222" i="76"/>
  <c r="H183" i="76"/>
  <c r="H182" i="76"/>
  <c r="H184" i="76"/>
  <c r="N200" i="76"/>
  <c r="M200" i="76"/>
  <c r="L200" i="76"/>
  <c r="K200" i="76"/>
  <c r="J200" i="76"/>
  <c r="I200" i="76"/>
  <c r="H200" i="76"/>
  <c r="G200" i="76"/>
  <c r="F200" i="76"/>
  <c r="E200" i="76"/>
  <c r="N199" i="76"/>
  <c r="M199" i="76"/>
  <c r="L199" i="76"/>
  <c r="K199" i="76"/>
  <c r="J199" i="76"/>
  <c r="I199" i="76"/>
  <c r="H199" i="76"/>
  <c r="G199" i="76"/>
  <c r="F199" i="76"/>
  <c r="E199" i="76"/>
  <c r="N198" i="76"/>
  <c r="M198" i="76"/>
  <c r="L198" i="76"/>
  <c r="K198" i="76"/>
  <c r="J198" i="76"/>
  <c r="I198" i="76"/>
  <c r="H198" i="76"/>
  <c r="G198" i="76"/>
  <c r="F198" i="76"/>
  <c r="E198" i="76"/>
  <c r="N197" i="76"/>
  <c r="M197" i="76"/>
  <c r="L197" i="76"/>
  <c r="K197" i="76"/>
  <c r="J197" i="76"/>
  <c r="I197" i="76"/>
  <c r="H197" i="76"/>
  <c r="G197" i="76"/>
  <c r="F197" i="76"/>
  <c r="E197" i="76"/>
  <c r="N192" i="76"/>
  <c r="M192" i="76"/>
  <c r="L192" i="76"/>
  <c r="K192" i="76"/>
  <c r="J192" i="76"/>
  <c r="I192" i="76"/>
  <c r="H192" i="76"/>
  <c r="G192" i="76"/>
  <c r="F192" i="76"/>
  <c r="E192" i="76"/>
  <c r="N191" i="76"/>
  <c r="M191" i="76"/>
  <c r="L191" i="76"/>
  <c r="K191" i="76"/>
  <c r="J191" i="76"/>
  <c r="I191" i="76"/>
  <c r="H191" i="76"/>
  <c r="G191" i="76"/>
  <c r="F191" i="76"/>
  <c r="E191" i="76"/>
  <c r="N190" i="76"/>
  <c r="M190" i="76"/>
  <c r="L190" i="76"/>
  <c r="K190" i="76"/>
  <c r="J190" i="76"/>
  <c r="I190" i="76"/>
  <c r="H190" i="76"/>
  <c r="G190" i="76"/>
  <c r="F190" i="76"/>
  <c r="E190" i="76"/>
  <c r="N189" i="76"/>
  <c r="M189" i="76"/>
  <c r="L189" i="76"/>
  <c r="K189" i="76"/>
  <c r="J189" i="76"/>
  <c r="I189" i="76"/>
  <c r="H189" i="76"/>
  <c r="G189" i="76"/>
  <c r="F189" i="76"/>
  <c r="E189" i="76"/>
  <c r="G144" i="76"/>
  <c r="G143" i="76"/>
  <c r="G146" i="76"/>
  <c r="G145" i="76"/>
  <c r="G142" i="76"/>
  <c r="D122" i="76"/>
  <c r="D121" i="76"/>
  <c r="D120" i="76"/>
  <c r="D119" i="76"/>
  <c r="G114" i="76"/>
  <c r="G112" i="76"/>
  <c r="G111" i="76"/>
  <c r="G113" i="76"/>
  <c r="D98" i="76"/>
  <c r="D97" i="76"/>
  <c r="D96" i="76"/>
  <c r="D95" i="76"/>
  <c r="I79" i="76"/>
  <c r="I82" i="76"/>
  <c r="I78" i="76"/>
  <c r="G49" i="76"/>
  <c r="G48" i="76"/>
  <c r="T47" i="76"/>
  <c r="T46" i="76"/>
  <c r="T45" i="76"/>
  <c r="T44" i="76"/>
  <c r="T43" i="76"/>
  <c r="T42" i="76"/>
  <c r="T41" i="76"/>
  <c r="T40" i="76"/>
  <c r="T39" i="76"/>
  <c r="T38" i="76"/>
  <c r="T37" i="76"/>
  <c r="T36" i="76"/>
  <c r="T31" i="76"/>
  <c r="T30" i="76"/>
  <c r="T29" i="76"/>
  <c r="T28" i="76"/>
  <c r="T27" i="76"/>
  <c r="T26" i="76"/>
  <c r="T25" i="76"/>
  <c r="T24" i="76"/>
  <c r="T23" i="76"/>
  <c r="T22" i="76"/>
  <c r="T21" i="76"/>
  <c r="T20" i="76"/>
  <c r="D36" i="76"/>
  <c r="D35" i="76"/>
  <c r="D34" i="76"/>
  <c r="D33" i="76"/>
  <c r="D20" i="76"/>
  <c r="F14" i="76"/>
  <c r="F15" i="76"/>
  <c r="F13" i="76"/>
  <c r="D23" i="76"/>
  <c r="D22" i="76"/>
  <c r="D21" i="76"/>
  <c r="V94" i="76"/>
  <c r="W92" i="76"/>
  <c r="V92" i="76"/>
  <c r="W95" i="76"/>
  <c r="V95" i="76"/>
  <c r="W94" i="76"/>
  <c r="W93" i="76"/>
  <c r="V93" i="76"/>
  <c r="U95" i="76"/>
  <c r="U94" i="76"/>
  <c r="U93" i="76"/>
  <c r="U92" i="76"/>
  <c r="E72" i="76" a="1"/>
  <c r="E216" i="76" a="1"/>
  <c r="E42" i="76" a="1"/>
  <c r="E176" i="76" a="1"/>
  <c r="E104" i="76" a="1"/>
  <c r="E7" i="76" a="1"/>
  <c r="E136" i="76" a="1"/>
  <c r="O95" i="76" l="1"/>
  <c r="AE38" i="76"/>
  <c r="AE103" i="76"/>
  <c r="AE39" i="76"/>
  <c r="AE106" i="76"/>
  <c r="O64" i="76"/>
  <c r="AE40" i="76"/>
  <c r="AE109" i="76"/>
  <c r="O63" i="76"/>
  <c r="AE72" i="76"/>
  <c r="O65" i="76"/>
  <c r="AE77" i="76"/>
  <c r="AE83" i="76"/>
  <c r="O96" i="76"/>
  <c r="AE80" i="76"/>
  <c r="O97" i="76"/>
  <c r="AE100" i="76"/>
  <c r="AE74" i="76"/>
  <c r="AE101" i="76"/>
  <c r="AE141" i="76"/>
  <c r="AE139" i="76"/>
  <c r="AE140" i="76"/>
  <c r="AE147" i="76"/>
  <c r="AE145" i="76"/>
  <c r="AE144" i="76"/>
  <c r="AE138" i="76"/>
  <c r="AE136" i="76"/>
  <c r="O130" i="76"/>
  <c r="AE143" i="76"/>
  <c r="AE137" i="76"/>
  <c r="O127" i="76"/>
  <c r="O129" i="76"/>
  <c r="O128" i="76"/>
  <c r="AE146" i="76"/>
  <c r="AE142" i="76"/>
  <c r="O169" i="76"/>
  <c r="AE199" i="76"/>
  <c r="AE250" i="76"/>
  <c r="AE251" i="76"/>
  <c r="V253" i="76"/>
  <c r="AE73" i="76"/>
  <c r="AE102" i="76"/>
  <c r="AE189" i="76"/>
  <c r="AE240" i="76"/>
  <c r="V259" i="76"/>
  <c r="O205" i="76"/>
  <c r="AE75" i="76"/>
  <c r="AE104" i="76"/>
  <c r="AE191" i="76"/>
  <c r="AE242" i="76"/>
  <c r="AE45" i="76"/>
  <c r="O98" i="76"/>
  <c r="O206" i="76"/>
  <c r="AE76" i="76"/>
  <c r="AE105" i="76"/>
  <c r="AE192" i="76"/>
  <c r="AE243" i="76"/>
  <c r="AE193" i="76"/>
  <c r="AE244" i="76"/>
  <c r="AE43" i="76"/>
  <c r="AE46" i="76"/>
  <c r="O207" i="76"/>
  <c r="AE47" i="76"/>
  <c r="O208" i="76"/>
  <c r="AE78" i="76"/>
  <c r="AE107" i="76"/>
  <c r="AE194" i="76"/>
  <c r="AE245" i="76"/>
  <c r="O170" i="76"/>
  <c r="AE188" i="76"/>
  <c r="AE42" i="76"/>
  <c r="O33" i="76"/>
  <c r="F210" i="76"/>
  <c r="AE79" i="76"/>
  <c r="AE108" i="76"/>
  <c r="AE195" i="76"/>
  <c r="AE246" i="76"/>
  <c r="AE196" i="76"/>
  <c r="AE247" i="76"/>
  <c r="AE41" i="76"/>
  <c r="O35" i="76"/>
  <c r="AE36" i="76"/>
  <c r="O167" i="76"/>
  <c r="AE81" i="76"/>
  <c r="AE110" i="76"/>
  <c r="AE197" i="76"/>
  <c r="AE248" i="76"/>
  <c r="AE190" i="76"/>
  <c r="AE241" i="76"/>
  <c r="AE44" i="76"/>
  <c r="O34" i="76"/>
  <c r="O36" i="76"/>
  <c r="O62" i="76"/>
  <c r="O168" i="76"/>
  <c r="E216" i="76"/>
  <c r="E176" i="76"/>
  <c r="E136" i="76"/>
  <c r="E104" i="76"/>
  <c r="E72" i="76"/>
  <c r="E42" i="76"/>
  <c r="E7" i="76"/>
  <c r="D87" i="76" l="1"/>
  <c r="D88" i="76"/>
  <c r="G90" i="76"/>
  <c r="F90" i="76"/>
  <c r="E90" i="76"/>
  <c r="G89" i="76"/>
  <c r="F89" i="76"/>
  <c r="E89" i="76"/>
  <c r="G88" i="76"/>
  <c r="F88" i="76"/>
  <c r="E88" i="76"/>
  <c r="G87" i="76"/>
  <c r="F87" i="76"/>
  <c r="E87" i="76"/>
  <c r="D90" i="76"/>
  <c r="D89" i="76"/>
  <c r="A20" i="98"/>
  <c r="A19" i="98"/>
  <c r="A18" i="98"/>
  <c r="A7" i="98"/>
  <c r="A4" i="98"/>
  <c r="A3" i="98"/>
  <c r="D28" i="76" l="1"/>
  <c r="F28" i="76"/>
  <c r="M28" i="76"/>
  <c r="L28" i="76"/>
  <c r="J28" i="76"/>
  <c r="G28" i="76"/>
  <c r="I28" i="76"/>
  <c r="E28" i="76"/>
  <c r="AD231" i="76"/>
  <c r="AC232" i="76"/>
  <c r="AB233" i="76"/>
  <c r="AA234" i="76"/>
  <c r="U235" i="76"/>
  <c r="AD230" i="76"/>
  <c r="AA224" i="76"/>
  <c r="AC225" i="76"/>
  <c r="T95" i="76"/>
  <c r="AD226" i="76"/>
  <c r="AD227" i="76"/>
  <c r="Z228" i="76"/>
  <c r="AC229" i="76"/>
  <c r="I81" i="76" a="1"/>
  <c r="I81" i="76" s="1"/>
  <c r="I80" i="76" a="1"/>
  <c r="I80" i="76" s="1"/>
  <c r="AE59" i="76"/>
  <c r="AE58" i="76"/>
  <c r="AE57" i="76"/>
  <c r="AE56" i="76"/>
  <c r="AE67" i="76"/>
  <c r="AE66" i="76"/>
  <c r="AE65" i="76"/>
  <c r="AE64" i="76"/>
  <c r="AE63" i="76"/>
  <c r="AE62" i="76"/>
  <c r="AE61" i="76"/>
  <c r="AE60" i="76"/>
  <c r="O57" i="76"/>
  <c r="O56" i="76"/>
  <c r="O55" i="76"/>
  <c r="O54" i="76"/>
  <c r="K28" i="76"/>
  <c r="H28" i="76"/>
  <c r="W231" i="76" l="1"/>
  <c r="AA228" i="76"/>
  <c r="AA227" i="76"/>
  <c r="Y234" i="76"/>
  <c r="AB226" i="76"/>
  <c r="AD232" i="76"/>
  <c r="W235" i="76"/>
  <c r="V228" i="76"/>
  <c r="X228" i="76"/>
  <c r="W224" i="76"/>
  <c r="AA232" i="76"/>
  <c r="V225" i="76"/>
  <c r="X235" i="76"/>
  <c r="W232" i="76"/>
  <c r="U234" i="76"/>
  <c r="AC227" i="76"/>
  <c r="V234" i="76"/>
  <c r="X230" i="76"/>
  <c r="Z233" i="76"/>
  <c r="AA231" i="76"/>
  <c r="V235" i="76"/>
  <c r="AC230" i="76"/>
  <c r="U233" i="76"/>
  <c r="AB230" i="76"/>
  <c r="AA226" i="76"/>
  <c r="AC234" i="76"/>
  <c r="V229" i="76"/>
  <c r="Y227" i="76"/>
  <c r="AC224" i="76"/>
  <c r="V230" i="76"/>
  <c r="Z231" i="76"/>
  <c r="Y231" i="76"/>
  <c r="AB229" i="76"/>
  <c r="Z234" i="76"/>
  <c r="AA225" i="76"/>
  <c r="U229" i="76"/>
  <c r="AB234" i="76"/>
  <c r="W234" i="76"/>
  <c r="Y228" i="76"/>
  <c r="V232" i="76"/>
  <c r="W230" i="76"/>
  <c r="AC233" i="76"/>
  <c r="Z225" i="76"/>
  <c r="X233" i="76"/>
  <c r="U231" i="76"/>
  <c r="W229" i="76"/>
  <c r="AB232" i="76"/>
  <c r="Y230" i="76"/>
  <c r="AA230" i="76"/>
  <c r="AB224" i="76"/>
  <c r="V233" i="76"/>
  <c r="Y226" i="76"/>
  <c r="X225" i="76"/>
  <c r="V227" i="76"/>
  <c r="AD228" i="76"/>
  <c r="Y229" i="76"/>
  <c r="W233" i="76"/>
  <c r="Z232" i="76"/>
  <c r="AD235" i="76"/>
  <c r="AB231" i="76"/>
  <c r="X227" i="76"/>
  <c r="AD224" i="76"/>
  <c r="W228" i="76"/>
  <c r="V231" i="76"/>
  <c r="X231" i="76"/>
  <c r="X229" i="76"/>
  <c r="Y225" i="76"/>
  <c r="AA229" i="76"/>
  <c r="AB235" i="76"/>
  <c r="U225" i="76"/>
  <c r="Y233" i="76"/>
  <c r="AC226" i="76"/>
  <c r="T93" i="76"/>
  <c r="X232" i="76"/>
  <c r="Y224" i="76"/>
  <c r="U228" i="76"/>
  <c r="Z224" i="76"/>
  <c r="Z226" i="76"/>
  <c r="AD229" i="76"/>
  <c r="Z229" i="76"/>
  <c r="Z227" i="76"/>
  <c r="Z230" i="76"/>
  <c r="AD233" i="76"/>
  <c r="Y232" i="76"/>
  <c r="X234" i="76"/>
  <c r="W225" i="76"/>
  <c r="W226" i="76"/>
  <c r="T92" i="76"/>
  <c r="AC231" i="76"/>
  <c r="AD225" i="76"/>
  <c r="W227" i="76"/>
  <c r="X224" i="76"/>
  <c r="AD234" i="76"/>
  <c r="AB227" i="76"/>
  <c r="AB228" i="76"/>
  <c r="V226" i="76"/>
  <c r="T94" i="76"/>
  <c r="AC235" i="76"/>
  <c r="U230" i="76"/>
  <c r="AB225" i="76"/>
  <c r="Y235" i="76"/>
  <c r="AC228" i="76"/>
  <c r="U224" i="76"/>
  <c r="V224" i="76"/>
  <c r="Z235" i="76"/>
  <c r="AA233" i="76"/>
  <c r="U232" i="76"/>
  <c r="X226" i="76"/>
  <c r="U227" i="76"/>
  <c r="U226" i="76"/>
  <c r="AA235" i="76"/>
  <c r="Z111" i="76" a="1"/>
  <c r="Z111" i="76" s="1"/>
  <c r="Y108" i="76" a="1"/>
  <c r="Y108" i="76" s="1"/>
  <c r="Y104" i="76" a="1"/>
  <c r="Y104" i="76" s="1"/>
  <c r="Y101" i="76" a="1"/>
  <c r="Y101" i="76" s="1"/>
  <c r="H96" i="76" a="1"/>
  <c r="H96" i="76" s="1"/>
  <c r="Y111" i="76" a="1"/>
  <c r="Y111" i="76" s="1"/>
  <c r="X108" i="76" a="1"/>
  <c r="X108" i="76" s="1"/>
  <c r="X101" i="76" a="1"/>
  <c r="X101" i="76" s="1"/>
  <c r="J95" i="76" a="1"/>
  <c r="J95" i="76" s="1"/>
  <c r="X104" i="76" a="1"/>
  <c r="X104" i="76" s="1"/>
  <c r="Z100" i="76" a="1"/>
  <c r="Z100" i="76" s="1"/>
  <c r="X111" i="76" a="1"/>
  <c r="X111" i="76" s="1"/>
  <c r="Z107" i="76" a="1"/>
  <c r="Z107" i="76" s="1"/>
  <c r="Z103" i="76" a="1"/>
  <c r="Z103" i="76" s="1"/>
  <c r="Y100" i="76" a="1"/>
  <c r="Y100" i="76" s="1"/>
  <c r="I95" i="76" a="1"/>
  <c r="I95" i="76" s="1"/>
  <c r="I96" i="76" a="1"/>
  <c r="I96" i="76" s="1"/>
  <c r="Y107" i="76" a="1"/>
  <c r="Y107" i="76" s="1"/>
  <c r="X100" i="76" a="1"/>
  <c r="X100" i="76" s="1"/>
  <c r="H95" i="76" a="1"/>
  <c r="H95" i="76" s="1"/>
  <c r="Z110" i="76" a="1"/>
  <c r="Z110" i="76" s="1"/>
  <c r="X107" i="76" a="1"/>
  <c r="X107" i="76" s="1"/>
  <c r="Y103" i="76" a="1"/>
  <c r="Y103" i="76" s="1"/>
  <c r="J98" i="76" a="1"/>
  <c r="J98" i="76" s="1"/>
  <c r="X105" i="76" a="1"/>
  <c r="X105" i="76" s="1"/>
  <c r="Y110" i="76" a="1"/>
  <c r="Y110" i="76" s="1"/>
  <c r="Z106" i="76" a="1"/>
  <c r="Z106" i="76" s="1"/>
  <c r="X103" i="76" a="1"/>
  <c r="X103" i="76" s="1"/>
  <c r="I98" i="76" a="1"/>
  <c r="I98" i="76" s="1"/>
  <c r="X110" i="76" a="1"/>
  <c r="X110" i="76" s="1"/>
  <c r="Y106" i="76" a="1"/>
  <c r="Y106" i="76" s="1"/>
  <c r="H98" i="76" a="1"/>
  <c r="H98" i="76" s="1"/>
  <c r="X106" i="76" a="1"/>
  <c r="X106" i="76" s="1"/>
  <c r="Z102" i="76" a="1"/>
  <c r="Z102" i="76" s="1"/>
  <c r="J97" i="76" a="1"/>
  <c r="J97" i="76" s="1"/>
  <c r="Z109" i="76" a="1"/>
  <c r="Z109" i="76" s="1"/>
  <c r="Z105" i="76" a="1"/>
  <c r="Z105" i="76" s="1"/>
  <c r="Y102" i="76" a="1"/>
  <c r="Y102" i="76" s="1"/>
  <c r="I97" i="76" a="1"/>
  <c r="I97" i="76" s="1"/>
  <c r="Y109" i="76" a="1"/>
  <c r="Y109" i="76" s="1"/>
  <c r="Y105" i="76" a="1"/>
  <c r="Y105" i="76" s="1"/>
  <c r="H97" i="76" a="1"/>
  <c r="H97" i="76" s="1"/>
  <c r="X109" i="76" a="1"/>
  <c r="X109" i="76" s="1"/>
  <c r="X102" i="76" a="1"/>
  <c r="X102" i="76" s="1"/>
  <c r="J96" i="76" a="1"/>
  <c r="J96" i="76" s="1"/>
  <c r="Z108" i="76" a="1"/>
  <c r="Z108" i="76" s="1"/>
  <c r="Z104" i="76" a="1"/>
  <c r="Z104" i="76" s="1"/>
  <c r="Z101" i="76" a="1"/>
  <c r="Z101" i="76" s="1"/>
  <c r="G160" i="76" l="1"/>
  <c r="G159" i="76"/>
  <c r="E159" i="76"/>
  <c r="E160" i="76"/>
  <c r="K159" i="76"/>
  <c r="K160" i="76"/>
  <c r="E161" i="76"/>
  <c r="G161" i="76"/>
  <c r="K161" i="76"/>
  <c r="U175" i="76"/>
  <c r="AA175" i="76"/>
  <c r="W175" i="76"/>
  <c r="U183" i="76"/>
  <c r="AA183" i="76"/>
  <c r="W183" i="76"/>
  <c r="W176" i="76"/>
  <c r="U176" i="76"/>
  <c r="AA176" i="76"/>
  <c r="W179" i="76"/>
  <c r="U179" i="76"/>
  <c r="AA179" i="76"/>
  <c r="U173" i="76"/>
  <c r="AA173" i="76"/>
  <c r="W173" i="76"/>
  <c r="AA177" i="76"/>
  <c r="U177" i="76"/>
  <c r="W177" i="76"/>
  <c r="U180" i="76"/>
  <c r="AA180" i="76"/>
  <c r="W180" i="76"/>
  <c r="K162" i="76"/>
  <c r="G162" i="76"/>
  <c r="E162" i="76"/>
  <c r="AA178" i="76"/>
  <c r="W178" i="76"/>
  <c r="U178" i="76"/>
  <c r="W172" i="76"/>
  <c r="AA172" i="76"/>
  <c r="U172" i="76"/>
  <c r="U174" i="76"/>
  <c r="W174" i="76"/>
  <c r="AA174" i="76"/>
  <c r="AA182" i="76"/>
  <c r="U182" i="76"/>
  <c r="W182" i="76"/>
  <c r="U181" i="76"/>
  <c r="AA181" i="76"/>
  <c r="W181" i="76"/>
  <c r="AB22" i="76" l="1"/>
  <c r="AB38" i="76" s="1" a="1"/>
  <c r="AB38" i="76" s="1"/>
  <c r="X22" i="76"/>
  <c r="X38" i="76" s="1" a="1"/>
  <c r="X38" i="76" s="1"/>
  <c r="AC22" i="76"/>
  <c r="AC38" i="76" s="1" a="1"/>
  <c r="AC38" i="76" s="1"/>
  <c r="W22" i="76"/>
  <c r="W38" i="76" s="1" a="1"/>
  <c r="W38" i="76" s="1"/>
  <c r="U22" i="76"/>
  <c r="U38" i="76" s="1" a="1"/>
  <c r="U38" i="76" s="1"/>
  <c r="Z22" i="76"/>
  <c r="Z38" i="76" s="1" a="1"/>
  <c r="Z38" i="76" s="1"/>
  <c r="AA22" i="76"/>
  <c r="AA38" i="76" s="1" a="1"/>
  <c r="AA38" i="76" s="1"/>
  <c r="V22" i="76"/>
  <c r="V38" i="76" s="1" a="1"/>
  <c r="V38" i="76" s="1"/>
  <c r="Y22" i="76"/>
  <c r="Y38" i="76" s="1" a="1"/>
  <c r="Y38" i="76" s="1"/>
  <c r="H225" i="76"/>
  <c r="H33" i="97"/>
  <c r="F120" i="76" l="1"/>
  <c r="AC27" i="76"/>
  <c r="AC43" i="76" s="1" a="1"/>
  <c r="AC43" i="76" s="1"/>
  <c r="I119" i="76"/>
  <c r="X126" i="76"/>
  <c r="AA27" i="76"/>
  <c r="AA43" i="76" s="1" a="1"/>
  <c r="AA43" i="76" s="1"/>
  <c r="M119" i="76"/>
  <c r="Y30" i="76"/>
  <c r="Y46" i="76" s="1" a="1"/>
  <c r="Y46" i="76" s="1"/>
  <c r="AD123" i="76"/>
  <c r="Z128" i="76"/>
  <c r="Z127" i="76"/>
  <c r="AB25" i="76"/>
  <c r="AB41" i="76" s="1" a="1"/>
  <c r="AB41" i="76" s="1"/>
  <c r="AC30" i="76"/>
  <c r="AC46" i="76" s="1" a="1"/>
  <c r="AC46" i="76" s="1"/>
  <c r="AA29" i="76"/>
  <c r="AA45" i="76" s="1" a="1"/>
  <c r="AA45" i="76" s="1"/>
  <c r="Y131" i="76"/>
  <c r="AB27" i="76"/>
  <c r="AB43" i="76" s="1" a="1"/>
  <c r="AB43" i="76" s="1"/>
  <c r="AA25" i="76"/>
  <c r="AA41" i="76" s="1" a="1"/>
  <c r="AA41" i="76" s="1"/>
  <c r="Z26" i="76"/>
  <c r="Z42" i="76" s="1" a="1"/>
  <c r="Z42" i="76" s="1"/>
  <c r="AC130" i="76"/>
  <c r="U25" i="76"/>
  <c r="U41" i="76" s="1" a="1"/>
  <c r="U41" i="76" s="1"/>
  <c r="AA122" i="76"/>
  <c r="AC129" i="76"/>
  <c r="U23" i="76"/>
  <c r="U39" i="76" s="1" a="1"/>
  <c r="U39" i="76" s="1"/>
  <c r="Z25" i="76"/>
  <c r="Z41" i="76" s="1" a="1"/>
  <c r="Z41" i="76" s="1"/>
  <c r="Y25" i="76"/>
  <c r="Y41" i="76" s="1" a="1"/>
  <c r="Y41" i="76" s="1"/>
  <c r="X29" i="76"/>
  <c r="X45" i="76" s="1" a="1"/>
  <c r="X45" i="76" s="1"/>
  <c r="F121" i="76"/>
  <c r="Y163" i="76"/>
  <c r="W156" i="76"/>
  <c r="AD161" i="76"/>
  <c r="F153" i="76"/>
  <c r="Y157" i="76"/>
  <c r="G152" i="76"/>
  <c r="V156" i="76"/>
  <c r="AC156" i="76"/>
  <c r="Y156" i="76"/>
  <c r="AC165" i="76"/>
  <c r="M153" i="76"/>
  <c r="V125" i="76"/>
  <c r="Z124" i="76"/>
  <c r="X26" i="76"/>
  <c r="X42" i="76" s="1" a="1"/>
  <c r="X42" i="76" s="1"/>
  <c r="U127" i="76"/>
  <c r="AA28" i="76"/>
  <c r="AA44" i="76" s="1" a="1"/>
  <c r="AA44" i="76" s="1"/>
  <c r="AA130" i="76"/>
  <c r="X28" i="76"/>
  <c r="X44" i="76" s="1" a="1"/>
  <c r="X44" i="76" s="1"/>
  <c r="H121" i="76"/>
  <c r="L121" i="76"/>
  <c r="W124" i="76"/>
  <c r="Y31" i="76"/>
  <c r="Y47" i="76" s="1" a="1"/>
  <c r="Y47" i="76" s="1"/>
  <c r="X31" i="76"/>
  <c r="X47" i="76" s="1" a="1"/>
  <c r="X47" i="76" s="1"/>
  <c r="H119" i="76"/>
  <c r="W122" i="76"/>
  <c r="G122" i="76"/>
  <c r="AA24" i="76"/>
  <c r="AA40" i="76" s="1" a="1"/>
  <c r="AA40" i="76" s="1"/>
  <c r="AD25" i="76"/>
  <c r="AD41" i="76" s="1" a="1"/>
  <c r="AD41" i="76" s="1"/>
  <c r="AA131" i="76"/>
  <c r="Y28" i="76"/>
  <c r="Y44" i="76" s="1" a="1"/>
  <c r="Y44" i="76" s="1"/>
  <c r="V122" i="76"/>
  <c r="AA26" i="76"/>
  <c r="AA42" i="76" s="1" a="1"/>
  <c r="AA42" i="76" s="1"/>
  <c r="I122" i="76"/>
  <c r="F154" i="76"/>
  <c r="F151" i="76"/>
  <c r="W166" i="76"/>
  <c r="G153" i="76"/>
  <c r="AB162" i="76"/>
  <c r="X167" i="76"/>
  <c r="Y167" i="76"/>
  <c r="V161" i="76"/>
  <c r="Z163" i="76"/>
  <c r="I152" i="76"/>
  <c r="Z167" i="76"/>
  <c r="AB128" i="76"/>
  <c r="AD120" i="76"/>
  <c r="AB29" i="76"/>
  <c r="AB45" i="76" s="1" a="1"/>
  <c r="AB45" i="76" s="1"/>
  <c r="W130" i="76"/>
  <c r="Z27" i="76"/>
  <c r="Z43" i="76" s="1" a="1"/>
  <c r="Z43" i="76" s="1"/>
  <c r="AC122" i="76"/>
  <c r="Y120" i="76"/>
  <c r="V123" i="76"/>
  <c r="M122" i="76"/>
  <c r="Y23" i="76"/>
  <c r="Y39" i="76" s="1" a="1"/>
  <c r="Y39" i="76" s="1"/>
  <c r="V23" i="76"/>
  <c r="V39" i="76" s="1" a="1"/>
  <c r="V39" i="76" s="1"/>
  <c r="U31" i="76"/>
  <c r="U47" i="76" s="1" a="1"/>
  <c r="U47" i="76" s="1"/>
  <c r="N120" i="76"/>
  <c r="AD27" i="76"/>
  <c r="AD43" i="76" s="1" a="1"/>
  <c r="AD43" i="76" s="1"/>
  <c r="AC26" i="76"/>
  <c r="AC42" i="76" s="1" a="1"/>
  <c r="AC42" i="76" s="1"/>
  <c r="X127" i="76"/>
  <c r="V120" i="76"/>
  <c r="Z130" i="76"/>
  <c r="AC24" i="76"/>
  <c r="AC40" i="76" s="1" a="1"/>
  <c r="AC40" i="76" s="1"/>
  <c r="L120" i="76"/>
  <c r="H154" i="76"/>
  <c r="U162" i="76"/>
  <c r="I151" i="76"/>
  <c r="U167" i="76"/>
  <c r="AA164" i="76"/>
  <c r="Z165" i="76"/>
  <c r="K152" i="76"/>
  <c r="W161" i="76"/>
  <c r="W162" i="76"/>
  <c r="V165" i="76"/>
  <c r="Z160" i="76"/>
  <c r="AA160" i="76"/>
  <c r="Z24" i="76"/>
  <c r="Z40" i="76" s="1" a="1"/>
  <c r="Z40" i="76" s="1"/>
  <c r="AC127" i="76"/>
  <c r="AD122" i="76"/>
  <c r="AD30" i="76"/>
  <c r="AD46" i="76" s="1" a="1"/>
  <c r="AD46" i="76" s="1"/>
  <c r="Y123" i="76"/>
  <c r="Z31" i="76"/>
  <c r="Z47" i="76" s="1" a="1"/>
  <c r="Z47" i="76" s="1"/>
  <c r="AD127" i="76"/>
  <c r="W21" i="76"/>
  <c r="W37" i="76" s="1" a="1"/>
  <c r="W37" i="76" s="1"/>
  <c r="Z123" i="76"/>
  <c r="Y26" i="76"/>
  <c r="Y42" i="76" s="1" a="1"/>
  <c r="Y42" i="76" s="1"/>
  <c r="AB20" i="76"/>
  <c r="AB36" i="76" s="1" a="1"/>
  <c r="AB36" i="76" s="1"/>
  <c r="K120" i="76"/>
  <c r="W165" i="76"/>
  <c r="H151" i="76"/>
  <c r="Z158" i="76"/>
  <c r="X162" i="76"/>
  <c r="U156" i="76"/>
  <c r="V166" i="76"/>
  <c r="J153" i="76"/>
  <c r="AB160" i="76"/>
  <c r="W158" i="76"/>
  <c r="M154" i="76"/>
  <c r="W159" i="76"/>
  <c r="AB167" i="76"/>
  <c r="V27" i="76"/>
  <c r="V43" i="76" s="1" a="1"/>
  <c r="V43" i="76" s="1"/>
  <c r="AB121" i="76"/>
  <c r="Z131" i="76"/>
  <c r="W28" i="76"/>
  <c r="W44" i="76" s="1" a="1"/>
  <c r="W44" i="76" s="1"/>
  <c r="Z129" i="76"/>
  <c r="Z21" i="76"/>
  <c r="Z37" i="76" s="1" a="1"/>
  <c r="Z37" i="76" s="1"/>
  <c r="U120" i="76"/>
  <c r="AD129" i="76"/>
  <c r="F119" i="76"/>
  <c r="Y24" i="76"/>
  <c r="Y40" i="76" s="1" a="1"/>
  <c r="Y40" i="76" s="1"/>
  <c r="W123" i="76"/>
  <c r="W30" i="76"/>
  <c r="W46" i="76" s="1" a="1"/>
  <c r="W46" i="76" s="1"/>
  <c r="X123" i="76"/>
  <c r="Y125" i="76"/>
  <c r="AA23" i="76"/>
  <c r="AA39" i="76" s="1" a="1"/>
  <c r="AA39" i="76" s="1"/>
  <c r="H120" i="76"/>
  <c r="E122" i="76"/>
  <c r="I120" i="76"/>
  <c r="Z159" i="76"/>
  <c r="AC167" i="76"/>
  <c r="AC162" i="76"/>
  <c r="L151" i="76"/>
  <c r="AD165" i="76"/>
  <c r="Z156" i="76"/>
  <c r="AC158" i="76"/>
  <c r="Y159" i="76"/>
  <c r="Z162" i="76"/>
  <c r="V160" i="76"/>
  <c r="X166" i="76"/>
  <c r="Y166" i="76"/>
  <c r="X121" i="76"/>
  <c r="AA20" i="76"/>
  <c r="AA36" i="76" s="1" a="1"/>
  <c r="AA36" i="76" s="1"/>
  <c r="W25" i="76"/>
  <c r="W41" i="76" s="1" a="1"/>
  <c r="W41" i="76" s="1"/>
  <c r="H122" i="76"/>
  <c r="AD131" i="76"/>
  <c r="G119" i="76"/>
  <c r="AD31" i="76"/>
  <c r="AD47" i="76" s="1" a="1"/>
  <c r="AD47" i="76" s="1"/>
  <c r="L119" i="76"/>
  <c r="AA123" i="76"/>
  <c r="Z121" i="76"/>
  <c r="AD28" i="76"/>
  <c r="AD44" i="76" s="1" a="1"/>
  <c r="AD44" i="76" s="1"/>
  <c r="W27" i="76"/>
  <c r="W43" i="76" s="1" a="1"/>
  <c r="W43" i="76" s="1"/>
  <c r="AA120" i="76"/>
  <c r="AC125" i="76"/>
  <c r="W129" i="76"/>
  <c r="AC23" i="76"/>
  <c r="AC39" i="76" s="1" a="1"/>
  <c r="AC39" i="76" s="1"/>
  <c r="AB129" i="76"/>
  <c r="AD20" i="76"/>
  <c r="AD36" i="76" s="1" a="1"/>
  <c r="AD36" i="76" s="1"/>
  <c r="K122" i="76"/>
  <c r="M120" i="76"/>
  <c r="G120" i="76"/>
  <c r="V167" i="76"/>
  <c r="M151" i="76"/>
  <c r="X161" i="76"/>
  <c r="Y160" i="76"/>
  <c r="W163" i="76"/>
  <c r="AA156" i="76"/>
  <c r="H152" i="76"/>
  <c r="I154" i="76"/>
  <c r="AB156" i="76"/>
  <c r="AA162" i="76"/>
  <c r="Y164" i="76"/>
  <c r="U165" i="76"/>
  <c r="Y162" i="76"/>
  <c r="X124" i="76"/>
  <c r="X129" i="76"/>
  <c r="W131" i="76"/>
  <c r="V31" i="76"/>
  <c r="V47" i="76" s="1" a="1"/>
  <c r="V47" i="76" s="1"/>
  <c r="V26" i="76"/>
  <c r="V42" i="76" s="1" a="1"/>
  <c r="V42" i="76" s="1"/>
  <c r="AA127" i="76"/>
  <c r="Y127" i="76"/>
  <c r="F122" i="76"/>
  <c r="X130" i="76"/>
  <c r="AB26" i="76"/>
  <c r="AB42" i="76" s="1" a="1"/>
  <c r="AB42" i="76" s="1"/>
  <c r="X21" i="76"/>
  <c r="X37" i="76" s="1" a="1"/>
  <c r="X37" i="76" s="1"/>
  <c r="E120" i="76"/>
  <c r="AD125" i="76"/>
  <c r="V21" i="76"/>
  <c r="V37" i="76" s="1" a="1"/>
  <c r="V37" i="76" s="1"/>
  <c r="Y124" i="76"/>
  <c r="X128" i="76"/>
  <c r="V121" i="76"/>
  <c r="V28" i="76"/>
  <c r="V44" i="76" s="1" a="1"/>
  <c r="V44" i="76" s="1"/>
  <c r="AB21" i="76"/>
  <c r="AB37" i="76" s="1" a="1"/>
  <c r="AB37" i="76" s="1"/>
  <c r="AB161" i="76"/>
  <c r="AA165" i="76"/>
  <c r="AB164" i="76"/>
  <c r="K151" i="76"/>
  <c r="U166" i="76"/>
  <c r="AB159" i="76"/>
  <c r="E152" i="76"/>
  <c r="AC131" i="76"/>
  <c r="E151" i="76"/>
  <c r="U161" i="76"/>
  <c r="AB166" i="76"/>
  <c r="AB125" i="76"/>
  <c r="AB124" i="76"/>
  <c r="Y29" i="76"/>
  <c r="Y45" i="76" s="1" a="1"/>
  <c r="Y45" i="76" s="1"/>
  <c r="Y121" i="76"/>
  <c r="AD130" i="76"/>
  <c r="W23" i="76"/>
  <c r="W39" i="76" s="1" a="1"/>
  <c r="W39" i="76" s="1"/>
  <c r="U159" i="76"/>
  <c r="K153" i="76"/>
  <c r="L152" i="76"/>
  <c r="AD156" i="76"/>
  <c r="G151" i="76"/>
  <c r="AC159" i="76"/>
  <c r="X157" i="76"/>
  <c r="V159" i="76"/>
  <c r="X165" i="76"/>
  <c r="AC166" i="76"/>
  <c r="W127" i="76"/>
  <c r="Y122" i="76"/>
  <c r="Z122" i="76"/>
  <c r="AD22" i="76"/>
  <c r="AD38" i="76" s="1" a="1"/>
  <c r="AD38" i="76" s="1"/>
  <c r="X131" i="76"/>
  <c r="AC29" i="76"/>
  <c r="AC45" i="76" s="1" a="1"/>
  <c r="AC45" i="76" s="1"/>
  <c r="V24" i="76"/>
  <c r="V40" i="76" s="1" a="1"/>
  <c r="V40" i="76" s="1"/>
  <c r="AB126" i="76"/>
  <c r="Z20" i="76"/>
  <c r="Z36" i="76" s="1" a="1"/>
  <c r="Z36" i="76" s="1"/>
  <c r="V30" i="76"/>
  <c r="V46" i="76" s="1" a="1"/>
  <c r="V46" i="76" s="1"/>
  <c r="AB130" i="76"/>
  <c r="J120" i="76"/>
  <c r="AC128" i="76"/>
  <c r="X27" i="76"/>
  <c r="X43" i="76" s="1" a="1"/>
  <c r="X43" i="76" s="1"/>
  <c r="W128" i="76"/>
  <c r="X20" i="76"/>
  <c r="X36" i="76" s="1" a="1"/>
  <c r="X36" i="76" s="1"/>
  <c r="AA124" i="76"/>
  <c r="AC120" i="76"/>
  <c r="AC25" i="76"/>
  <c r="AC41" i="76" s="1" a="1"/>
  <c r="AC41" i="76" s="1"/>
  <c r="AA121" i="76"/>
  <c r="AD24" i="76"/>
  <c r="AD40" i="76" s="1" a="1"/>
  <c r="AD40" i="76" s="1"/>
  <c r="AC124" i="76"/>
  <c r="AC67" i="76"/>
  <c r="AC31" i="76"/>
  <c r="AC47" i="76" s="1" a="1"/>
  <c r="AC47" i="76" s="1"/>
  <c r="U24" i="76"/>
  <c r="U40" i="76" s="1" a="1"/>
  <c r="U40" i="76" s="1"/>
  <c r="V157" i="76"/>
  <c r="X156" i="76"/>
  <c r="Z164" i="76"/>
  <c r="G154" i="76"/>
  <c r="W164" i="76"/>
  <c r="U157" i="76"/>
  <c r="X159" i="76"/>
  <c r="AA161" i="76"/>
  <c r="AD160" i="76"/>
  <c r="AA129" i="76"/>
  <c r="AC157" i="76"/>
  <c r="Y165" i="76"/>
  <c r="AB120" i="76"/>
  <c r="J122" i="76"/>
  <c r="V124" i="76"/>
  <c r="U130" i="76"/>
  <c r="I121" i="76"/>
  <c r="K119" i="76"/>
  <c r="J119" i="76"/>
  <c r="U29" i="76"/>
  <c r="U45" i="76" s="1" a="1"/>
  <c r="U45" i="76" s="1"/>
  <c r="AB131" i="76"/>
  <c r="Z29" i="76"/>
  <c r="Z45" i="76" s="1" a="1"/>
  <c r="Z45" i="76" s="1"/>
  <c r="G121" i="76"/>
  <c r="AA31" i="76"/>
  <c r="AA47" i="76" s="1" a="1"/>
  <c r="AA47" i="76" s="1"/>
  <c r="W121" i="76"/>
  <c r="AD29" i="76"/>
  <c r="AD45" i="76" s="1" a="1"/>
  <c r="AD45" i="76" s="1"/>
  <c r="W26" i="76"/>
  <c r="W42" i="76" s="1" a="1"/>
  <c r="W42" i="76" s="1"/>
  <c r="Z23" i="76"/>
  <c r="Z39" i="76" s="1" a="1"/>
  <c r="Z39" i="76" s="1"/>
  <c r="W125" i="76"/>
  <c r="AA125" i="76"/>
  <c r="AC163" i="76"/>
  <c r="Y161" i="76"/>
  <c r="AC164" i="76"/>
  <c r="AC161" i="76"/>
  <c r="AD167" i="76"/>
  <c r="V163" i="76"/>
  <c r="U158" i="76"/>
  <c r="Z157" i="76"/>
  <c r="I153" i="76"/>
  <c r="AD164" i="76"/>
  <c r="V29" i="76"/>
  <c r="V45" i="76" s="1" a="1"/>
  <c r="V45" i="76" s="1"/>
  <c r="Y129" i="76"/>
  <c r="U124" i="76"/>
  <c r="AA128" i="76"/>
  <c r="AB31" i="76"/>
  <c r="AB47" i="76" s="1" a="1"/>
  <c r="AB47" i="76" s="1"/>
  <c r="AC121" i="76"/>
  <c r="W120" i="76"/>
  <c r="AB123" i="76"/>
  <c r="U121" i="76"/>
  <c r="V126" i="76"/>
  <c r="X120" i="76"/>
  <c r="AB28" i="76"/>
  <c r="AB44" i="76" s="1" a="1"/>
  <c r="AB44" i="76" s="1"/>
  <c r="AD126" i="76"/>
  <c r="AD26" i="76"/>
  <c r="AD42" i="76" s="1" a="1"/>
  <c r="AD42" i="76" s="1"/>
  <c r="AB23" i="76"/>
  <c r="AB39" i="76" s="1" a="1"/>
  <c r="AB39" i="76" s="1"/>
  <c r="AB122" i="76"/>
  <c r="U30" i="76"/>
  <c r="U46" i="76" s="1" a="1"/>
  <c r="U46" i="76" s="1"/>
  <c r="U131" i="76"/>
  <c r="AC20" i="76"/>
  <c r="AC36" i="76" s="1" a="1"/>
  <c r="AC36" i="76" s="1"/>
  <c r="E119" i="76"/>
  <c r="X30" i="76"/>
  <c r="X46" i="76" s="1" a="1"/>
  <c r="X46" i="76" s="1"/>
  <c r="Z126" i="76"/>
  <c r="J151" i="76"/>
  <c r="AB165" i="76"/>
  <c r="L154" i="76"/>
  <c r="AD157" i="76"/>
  <c r="X163" i="76"/>
  <c r="J154" i="76"/>
  <c r="E153" i="76"/>
  <c r="N152" i="76"/>
  <c r="J152" i="76"/>
  <c r="AB158" i="76"/>
  <c r="AA163" i="76"/>
  <c r="H153" i="76"/>
  <c r="V127" i="76"/>
  <c r="AC21" i="76"/>
  <c r="AC37" i="76" s="1" a="1"/>
  <c r="AC37" i="76" s="1"/>
  <c r="W20" i="76"/>
  <c r="W36" i="76" s="1" a="1"/>
  <c r="W36" i="76" s="1"/>
  <c r="AA30" i="76"/>
  <c r="AA46" i="76" s="1" a="1"/>
  <c r="AA46" i="76" s="1"/>
  <c r="Z120" i="76"/>
  <c r="Y27" i="76"/>
  <c r="Y43" i="76" s="1" a="1"/>
  <c r="Y43" i="76" s="1"/>
  <c r="X125" i="76"/>
  <c r="U122" i="76"/>
  <c r="V128" i="76"/>
  <c r="Y130" i="76"/>
  <c r="AB24" i="76"/>
  <c r="AB40" i="76" s="1" a="1"/>
  <c r="AB40" i="76" s="1"/>
  <c r="V130" i="76"/>
  <c r="W31" i="76"/>
  <c r="W47" i="76" s="1" a="1"/>
  <c r="W47" i="76" s="1"/>
  <c r="U126" i="76"/>
  <c r="U21" i="76"/>
  <c r="U37" i="76" s="1" a="1"/>
  <c r="U37" i="76" s="1"/>
  <c r="AC123" i="76"/>
  <c r="AD128" i="76"/>
  <c r="V20" i="76"/>
  <c r="V36" i="76" s="1" a="1"/>
  <c r="V36" i="76" s="1"/>
  <c r="U123" i="76"/>
  <c r="V131" i="76"/>
  <c r="X160" i="76"/>
  <c r="U160" i="76"/>
  <c r="V158" i="76"/>
  <c r="AA167" i="76"/>
  <c r="K154" i="76"/>
  <c r="X158" i="76"/>
  <c r="AD166" i="76"/>
  <c r="E154" i="76"/>
  <c r="U163" i="76"/>
  <c r="AA159" i="76"/>
  <c r="N151" i="76"/>
  <c r="AA158" i="76"/>
  <c r="AD121" i="76"/>
  <c r="U20" i="76"/>
  <c r="U36" i="76" s="1" a="1"/>
  <c r="U36" i="76" s="1"/>
  <c r="U28" i="76"/>
  <c r="U44" i="76" s="1" a="1"/>
  <c r="U44" i="76" s="1"/>
  <c r="V25" i="76"/>
  <c r="V41" i="76" s="1" a="1"/>
  <c r="V41" i="76" s="1"/>
  <c r="Y21" i="76"/>
  <c r="Y37" i="76" s="1" a="1"/>
  <c r="Y37" i="76" s="1"/>
  <c r="AD21" i="76"/>
  <c r="AD37" i="76" s="1" a="1"/>
  <c r="AD37" i="76" s="1"/>
  <c r="J121" i="76"/>
  <c r="N122" i="76"/>
  <c r="X23" i="76"/>
  <c r="X39" i="76" s="1" a="1"/>
  <c r="X39" i="76" s="1"/>
  <c r="U128" i="76"/>
  <c r="AB127" i="76"/>
  <c r="AD23" i="76"/>
  <c r="AD39" i="76" s="1" a="1"/>
  <c r="AD39" i="76" s="1"/>
  <c r="AC126" i="76"/>
  <c r="U129" i="76"/>
  <c r="AA157" i="76"/>
  <c r="X164" i="76"/>
  <c r="AA166" i="76"/>
  <c r="M152" i="76"/>
  <c r="V164" i="76"/>
  <c r="Y158" i="76"/>
  <c r="N154" i="76"/>
  <c r="V162" i="76"/>
  <c r="AD158" i="76"/>
  <c r="AD163" i="76"/>
  <c r="W157" i="76"/>
  <c r="Y128" i="76"/>
  <c r="AD162" i="76"/>
  <c r="V129" i="76"/>
  <c r="U26" i="76"/>
  <c r="U42" i="76" s="1" a="1"/>
  <c r="U42" i="76" s="1"/>
  <c r="N119" i="76"/>
  <c r="Y126" i="76"/>
  <c r="W29" i="76"/>
  <c r="W45" i="76" s="1" a="1"/>
  <c r="W45" i="76" s="1"/>
  <c r="E121" i="76"/>
  <c r="AD124" i="76"/>
  <c r="X24" i="76"/>
  <c r="X40" i="76" s="1" a="1"/>
  <c r="X40" i="76" s="1"/>
  <c r="AB30" i="76"/>
  <c r="AB46" i="76" s="1" a="1"/>
  <c r="AB46" i="76" s="1"/>
  <c r="L122" i="76"/>
  <c r="U125" i="76"/>
  <c r="U27" i="76"/>
  <c r="U43" i="76" s="1" a="1"/>
  <c r="U43" i="76" s="1"/>
  <c r="X25" i="76"/>
  <c r="X41" i="76" s="1" a="1"/>
  <c r="X41" i="76" s="1"/>
  <c r="X122" i="76"/>
  <c r="AC28" i="76"/>
  <c r="AC44" i="76" s="1" a="1"/>
  <c r="AC44" i="76" s="1"/>
  <c r="Z28" i="76"/>
  <c r="Z44" i="76" s="1" a="1"/>
  <c r="Z44" i="76" s="1"/>
  <c r="Y20" i="76"/>
  <c r="Y36" i="76" s="1" a="1"/>
  <c r="Y36" i="76" s="1"/>
  <c r="AA126" i="76"/>
  <c r="Z125" i="76"/>
  <c r="Z30" i="76"/>
  <c r="Z46" i="76" s="1" a="1"/>
  <c r="Z46" i="76" s="1"/>
  <c r="AA21" i="76"/>
  <c r="AA37" i="76" s="1" a="1"/>
  <c r="AA37" i="76" s="1"/>
  <c r="K121" i="76"/>
  <c r="N121" i="76"/>
  <c r="W24" i="76"/>
  <c r="W40" i="76" s="1" a="1"/>
  <c r="W40" i="76" s="1"/>
  <c r="W126" i="76"/>
  <c r="M121" i="76"/>
  <c r="N153" i="76"/>
  <c r="L153" i="76"/>
  <c r="AB163" i="76"/>
  <c r="Z166" i="76"/>
  <c r="F152" i="76"/>
  <c r="AD159" i="76"/>
  <c r="W160" i="76"/>
  <c r="AC160" i="76"/>
  <c r="AB157" i="76"/>
  <c r="U164" i="76"/>
  <c r="Z161" i="76"/>
  <c r="W167" i="76"/>
  <c r="L20" i="76"/>
  <c r="L33" i="76" s="1" a="1"/>
  <c r="L33" i="76" s="1"/>
  <c r="J23" i="76"/>
  <c r="J36" i="76" s="1" a="1"/>
  <c r="J36" i="76" s="1"/>
  <c r="K22" i="76"/>
  <c r="K35" i="76" s="1" a="1"/>
  <c r="K35" i="76" s="1"/>
  <c r="E23" i="76"/>
  <c r="E36" i="76" s="1" a="1"/>
  <c r="E36" i="76" s="1"/>
  <c r="I22" i="76"/>
  <c r="I35" i="76" s="1" a="1"/>
  <c r="I35" i="76" s="1"/>
  <c r="N22" i="76"/>
  <c r="N35" i="76" s="1" a="1"/>
  <c r="N35" i="76" s="1"/>
  <c r="I20" i="76"/>
  <c r="I33" i="76" s="1" a="1"/>
  <c r="I33" i="76" s="1"/>
  <c r="N20" i="76"/>
  <c r="N33" i="76" s="1" a="1"/>
  <c r="N33" i="76" s="1"/>
  <c r="K20" i="76"/>
  <c r="K33" i="76" s="1" a="1"/>
  <c r="K33" i="76" s="1"/>
  <c r="F23" i="76"/>
  <c r="F36" i="76" s="1" a="1"/>
  <c r="F36" i="76" s="1"/>
  <c r="I21" i="76"/>
  <c r="I34" i="76" s="1" a="1"/>
  <c r="I34" i="76" s="1"/>
  <c r="H20" i="76"/>
  <c r="H33" i="76" s="1" a="1"/>
  <c r="H33" i="76" s="1"/>
  <c r="N23" i="76"/>
  <c r="N36" i="76" s="1" a="1"/>
  <c r="N36" i="76" s="1"/>
  <c r="G23" i="76"/>
  <c r="G36" i="76" s="1" a="1"/>
  <c r="G36" i="76" s="1"/>
  <c r="K21" i="76"/>
  <c r="K34" i="76" s="1" a="1"/>
  <c r="K34" i="76" s="1"/>
  <c r="M23" i="76"/>
  <c r="M36" i="76" s="1" a="1"/>
  <c r="M36" i="76" s="1"/>
  <c r="E20" i="76"/>
  <c r="E33" i="76" s="1" a="1"/>
  <c r="E33" i="76" s="1"/>
  <c r="L23" i="76"/>
  <c r="L36" i="76" s="1" a="1"/>
  <c r="L36" i="76" s="1"/>
  <c r="F21" i="76"/>
  <c r="F34" i="76" s="1" a="1"/>
  <c r="F34" i="76" s="1"/>
  <c r="E22" i="76"/>
  <c r="E35" i="76" s="1" a="1"/>
  <c r="E35" i="76" s="1"/>
  <c r="J22" i="76"/>
  <c r="J35" i="76" s="1" a="1"/>
  <c r="J35" i="76" s="1"/>
  <c r="H22" i="76"/>
  <c r="H35" i="76" s="1" a="1"/>
  <c r="H35" i="76" s="1"/>
  <c r="I23" i="76"/>
  <c r="I36" i="76" s="1" a="1"/>
  <c r="I36" i="76" s="1"/>
  <c r="F20" i="76"/>
  <c r="F33" i="76" s="1" a="1"/>
  <c r="F33" i="76" s="1"/>
  <c r="L22" i="76"/>
  <c r="L35" i="76" s="1" a="1"/>
  <c r="L35" i="76" s="1"/>
  <c r="M20" i="76"/>
  <c r="M33" i="76" s="1" a="1"/>
  <c r="M33" i="76" s="1"/>
  <c r="G21" i="76"/>
  <c r="G34" i="76" s="1" a="1"/>
  <c r="G34" i="76" s="1"/>
  <c r="E21" i="76"/>
  <c r="E34" i="76" s="1" a="1"/>
  <c r="E34" i="76" s="1"/>
  <c r="J20" i="76"/>
  <c r="J33" i="76" s="1" a="1"/>
  <c r="J33" i="76" s="1"/>
  <c r="H23" i="76"/>
  <c r="H36" i="76" s="1" a="1"/>
  <c r="H36" i="76" s="1"/>
  <c r="M21" i="76"/>
  <c r="M34" i="76" s="1" a="1"/>
  <c r="M34" i="76" s="1"/>
  <c r="N21" i="76"/>
  <c r="N34" i="76" s="1" a="1"/>
  <c r="N34" i="76" s="1"/>
  <c r="G22" i="76"/>
  <c r="G35" i="76" s="1" a="1"/>
  <c r="G35" i="76" s="1"/>
  <c r="L21" i="76"/>
  <c r="L34" i="76" s="1" a="1"/>
  <c r="L34" i="76" s="1"/>
  <c r="M22" i="76"/>
  <c r="M35" i="76" s="1" a="1"/>
  <c r="M35" i="76" s="1"/>
  <c r="G20" i="76"/>
  <c r="G33" i="76" s="1" a="1"/>
  <c r="G33" i="76" s="1"/>
  <c r="F22" i="76"/>
  <c r="F35" i="76" s="1" a="1"/>
  <c r="F35" i="76" s="1"/>
  <c r="J21" i="76"/>
  <c r="J34" i="76" s="1" a="1"/>
  <c r="J34" i="76" s="1"/>
  <c r="K23" i="76"/>
  <c r="K36" i="76" s="1" a="1"/>
  <c r="K36" i="76" s="1"/>
  <c r="H21" i="76"/>
  <c r="H34" i="76" s="1" a="1"/>
  <c r="H34" i="76" s="1"/>
  <c r="AC62" i="76" l="1"/>
  <c r="AC78" i="76" s="1" a="1"/>
  <c r="AC78" i="76" s="1"/>
  <c r="AC142" i="76" s="1" a="1"/>
  <c r="AC142" i="76" s="1"/>
  <c r="AC194" i="76" s="1" a="1"/>
  <c r="AC194" i="76" s="1"/>
  <c r="AC246" i="76" s="1" a="1"/>
  <c r="AC246" i="76" s="1"/>
  <c r="AD57" i="76"/>
  <c r="AD73" i="76" s="1" a="1"/>
  <c r="AD73" i="76" s="1"/>
  <c r="AD137" i="76" s="1" a="1"/>
  <c r="AD137" i="76" s="1"/>
  <c r="AD189" i="76" s="1" a="1"/>
  <c r="AD189" i="76" s="1"/>
  <c r="AD241" i="76" s="1" a="1"/>
  <c r="AD241" i="76" s="1"/>
  <c r="U59" i="76"/>
  <c r="V66" i="76"/>
  <c r="V82" i="76" s="1" a="1"/>
  <c r="V82" i="76" s="1"/>
  <c r="V146" i="76" s="1" a="1"/>
  <c r="V146" i="76" s="1"/>
  <c r="V198" i="76" s="1" a="1"/>
  <c r="V198" i="76" s="1"/>
  <c r="V250" i="76" s="1" a="1"/>
  <c r="V250" i="76" s="1"/>
  <c r="AA61" i="76"/>
  <c r="AD56" i="76"/>
  <c r="AD72" i="76" s="1" a="1"/>
  <c r="AD72" i="76" s="1"/>
  <c r="AD136" i="76" s="1" a="1"/>
  <c r="AD136" i="76" s="1"/>
  <c r="AD188" i="76" s="1" a="1"/>
  <c r="AD188" i="76" s="1"/>
  <c r="AD240" i="76" s="1" a="1"/>
  <c r="AD240" i="76" s="1"/>
  <c r="Z59" i="76"/>
  <c r="Z75" i="76" s="1" a="1"/>
  <c r="Z75" i="76" s="1"/>
  <c r="Z139" i="76" s="1" a="1"/>
  <c r="Z139" i="76" s="1"/>
  <c r="Z191" i="76" s="1" a="1"/>
  <c r="Z191" i="76" s="1"/>
  <c r="Z243" i="76" s="1" a="1"/>
  <c r="Z243" i="76" s="1"/>
  <c r="AC63" i="76"/>
  <c r="AC79" i="76" s="1" a="1"/>
  <c r="AC79" i="76" s="1"/>
  <c r="AC143" i="76" s="1" a="1"/>
  <c r="AC143" i="76" s="1"/>
  <c r="AC195" i="76" s="1" a="1"/>
  <c r="AC195" i="76" s="1"/>
  <c r="AC247" i="76" s="1" a="1"/>
  <c r="AC247" i="76" s="1"/>
  <c r="AA60" i="76"/>
  <c r="Y67" i="76"/>
  <c r="Y83" i="76" s="1" a="1"/>
  <c r="Y83" i="76" s="1"/>
  <c r="Y147" i="76" s="1" a="1"/>
  <c r="Y147" i="76" s="1"/>
  <c r="Y199" i="76" s="1" a="1"/>
  <c r="Y199" i="76" s="1"/>
  <c r="Y251" i="76" s="1" a="1"/>
  <c r="Y251" i="76" s="1"/>
  <c r="Y56" i="76"/>
  <c r="Y72" i="76" s="1" a="1"/>
  <c r="Y72" i="76" s="1"/>
  <c r="Y136" i="76" s="1" a="1"/>
  <c r="Y136" i="76" s="1"/>
  <c r="Y188" i="76" s="1" a="1"/>
  <c r="Y188" i="76" s="1"/>
  <c r="Y240" i="76" s="1" a="1"/>
  <c r="Y240" i="76" s="1"/>
  <c r="AC65" i="76"/>
  <c r="AC81" i="76" s="1" a="1"/>
  <c r="AC81" i="76" s="1"/>
  <c r="AC145" i="76" s="1" a="1"/>
  <c r="AC145" i="76" s="1"/>
  <c r="AC197" i="76" s="1" a="1"/>
  <c r="AC197" i="76" s="1"/>
  <c r="AC249" i="76" s="1" a="1"/>
  <c r="AC249" i="76" s="1"/>
  <c r="U56" i="76"/>
  <c r="X59" i="76"/>
  <c r="X75" i="76" s="1" a="1"/>
  <c r="X75" i="76" s="1"/>
  <c r="X139" i="76" s="1" a="1"/>
  <c r="X139" i="76" s="1"/>
  <c r="X191" i="76" s="1" a="1"/>
  <c r="X191" i="76" s="1"/>
  <c r="X243" i="76" s="1" a="1"/>
  <c r="X243" i="76" s="1"/>
  <c r="V67" i="76"/>
  <c r="V83" i="76" s="1" a="1"/>
  <c r="V83" i="76" s="1"/>
  <c r="V147" i="76" s="1" a="1"/>
  <c r="V147" i="76" s="1"/>
  <c r="V199" i="76" s="1" a="1"/>
  <c r="V199" i="76" s="1"/>
  <c r="V251" i="76" s="1" a="1"/>
  <c r="V251" i="76" s="1"/>
  <c r="Z60" i="76"/>
  <c r="Z76" i="76" s="1" a="1"/>
  <c r="Z76" i="76" s="1"/>
  <c r="Z140" i="76" s="1" a="1"/>
  <c r="Z140" i="76" s="1"/>
  <c r="Z192" i="76" s="1" a="1"/>
  <c r="Z192" i="76" s="1"/>
  <c r="Z244" i="76" s="1" a="1"/>
  <c r="Z244" i="76" s="1"/>
  <c r="X62" i="76"/>
  <c r="X78" i="76" s="1" a="1"/>
  <c r="X78" i="76" s="1"/>
  <c r="X142" i="76" s="1" a="1"/>
  <c r="X142" i="76" s="1"/>
  <c r="X194" i="76" s="1" a="1"/>
  <c r="X194" i="76" s="1"/>
  <c r="X246" i="76" s="1" a="1"/>
  <c r="X246" i="76" s="1"/>
  <c r="I56" i="76"/>
  <c r="I64" i="76" s="1" a="1"/>
  <c r="I64" i="76" s="1"/>
  <c r="I129" i="76" s="1" a="1"/>
  <c r="I129" i="76" s="1"/>
  <c r="I169" i="76" s="1" a="1"/>
  <c r="I169" i="76" s="1"/>
  <c r="I207" i="76" s="1" a="1"/>
  <c r="I207" i="76" s="1"/>
  <c r="I55" i="76"/>
  <c r="I63" i="76" s="1" a="1"/>
  <c r="I63" i="76" s="1"/>
  <c r="I128" i="76" s="1" a="1"/>
  <c r="I128" i="76" s="1"/>
  <c r="I168" i="76" s="1" a="1"/>
  <c r="I168" i="76" s="1"/>
  <c r="I206" i="76" s="1" a="1"/>
  <c r="I206" i="76" s="1"/>
  <c r="L57" i="76"/>
  <c r="L65" i="76" s="1" a="1"/>
  <c r="L65" i="76" s="1"/>
  <c r="L130" i="76" s="1" a="1"/>
  <c r="L130" i="76" s="1"/>
  <c r="L170" i="76" s="1" a="1"/>
  <c r="L170" i="76" s="1"/>
  <c r="L208" i="76" s="1" a="1"/>
  <c r="L208" i="76" s="1"/>
  <c r="AC59" i="76"/>
  <c r="AC75" i="76" s="1" a="1"/>
  <c r="AC75" i="76" s="1"/>
  <c r="AC139" i="76" s="1" a="1"/>
  <c r="AC139" i="76" s="1"/>
  <c r="AC191" i="76" s="1" a="1"/>
  <c r="AC191" i="76" s="1"/>
  <c r="AC243" i="76" s="1" a="1"/>
  <c r="AC243" i="76" s="1"/>
  <c r="G57" i="76"/>
  <c r="Y62" i="76"/>
  <c r="Y78" i="76" s="1" a="1"/>
  <c r="Y78" i="76" s="1"/>
  <c r="Y142" i="76" s="1" a="1"/>
  <c r="Y142" i="76" s="1"/>
  <c r="Y194" i="76" s="1" a="1"/>
  <c r="Y194" i="76" s="1"/>
  <c r="Y246" i="76" s="1" a="1"/>
  <c r="Y246" i="76" s="1"/>
  <c r="W60" i="76"/>
  <c r="Y58" i="76"/>
  <c r="Y74" i="76" s="1" a="1"/>
  <c r="Y74" i="76" s="1"/>
  <c r="Y138" i="76" s="1" a="1"/>
  <c r="Y138" i="76" s="1"/>
  <c r="Y190" i="76" s="1" a="1"/>
  <c r="Y190" i="76" s="1"/>
  <c r="Y242" i="76" s="1" a="1"/>
  <c r="Y242" i="76" s="1"/>
  <c r="K57" i="76"/>
  <c r="H56" i="76"/>
  <c r="H64" i="76" s="1" a="1"/>
  <c r="H64" i="76" s="1"/>
  <c r="H129" i="76" s="1" a="1"/>
  <c r="H129" i="76" s="1"/>
  <c r="H169" i="76" s="1" a="1"/>
  <c r="H169" i="76" s="1"/>
  <c r="H207" i="76" s="1" a="1"/>
  <c r="H207" i="76" s="1"/>
  <c r="Z57" i="76"/>
  <c r="Z73" i="76" s="1" a="1"/>
  <c r="Z73" i="76" s="1"/>
  <c r="Z137" i="76" s="1" a="1"/>
  <c r="Z137" i="76" s="1"/>
  <c r="Z189" i="76" s="1" a="1"/>
  <c r="Z189" i="76" s="1"/>
  <c r="Z241" i="76" s="1" a="1"/>
  <c r="Z241" i="76" s="1"/>
  <c r="Z65" i="76"/>
  <c r="Z81" i="76" s="1" a="1"/>
  <c r="Z81" i="76" s="1"/>
  <c r="Z145" i="76" s="1" a="1"/>
  <c r="Z145" i="76" s="1"/>
  <c r="Z197" i="76" s="1" a="1"/>
  <c r="Z197" i="76" s="1"/>
  <c r="Z249" i="76" s="1" a="1"/>
  <c r="Z249" i="76" s="1"/>
  <c r="N57" i="76"/>
  <c r="N65" i="76" s="1" a="1"/>
  <c r="N65" i="76" s="1"/>
  <c r="N130" i="76" s="1" a="1"/>
  <c r="N130" i="76" s="1"/>
  <c r="N170" i="76" s="1" a="1"/>
  <c r="N170" i="76" s="1"/>
  <c r="N208" i="76" s="1" a="1"/>
  <c r="N208" i="76" s="1"/>
  <c r="X63" i="76"/>
  <c r="X79" i="76" s="1" a="1"/>
  <c r="X79" i="76" s="1"/>
  <c r="X143" i="76" s="1" a="1"/>
  <c r="X143" i="76" s="1"/>
  <c r="X195" i="76" s="1" a="1"/>
  <c r="X195" i="76" s="1"/>
  <c r="X247" i="76" s="1" a="1"/>
  <c r="X247" i="76" s="1"/>
  <c r="X57" i="76"/>
  <c r="X73" i="76" s="1" a="1"/>
  <c r="X73" i="76" s="1"/>
  <c r="X137" i="76" s="1" a="1"/>
  <c r="X137" i="76" s="1"/>
  <c r="X189" i="76" s="1" a="1"/>
  <c r="X189" i="76" s="1"/>
  <c r="X241" i="76" s="1" a="1"/>
  <c r="X241" i="76" s="1"/>
  <c r="U61" i="76"/>
  <c r="AA56" i="76"/>
  <c r="AB61" i="76"/>
  <c r="AB77" i="76" s="1" a="1"/>
  <c r="AB77" i="76" s="1"/>
  <c r="AB141" i="76" s="1" a="1"/>
  <c r="AB141" i="76" s="1"/>
  <c r="AB193" i="76" s="1" a="1"/>
  <c r="AB193" i="76" s="1"/>
  <c r="AB245" i="76" s="1" a="1"/>
  <c r="AB245" i="76" s="1"/>
  <c r="AC58" i="76"/>
  <c r="AC74" i="76" s="1" a="1"/>
  <c r="AC74" i="76" s="1"/>
  <c r="AC138" i="76" s="1" a="1"/>
  <c r="AC138" i="76" s="1"/>
  <c r="AC190" i="76" s="1" a="1"/>
  <c r="AC190" i="76" s="1"/>
  <c r="AC242" i="76" s="1" a="1"/>
  <c r="AC242" i="76" s="1"/>
  <c r="Z67" i="76"/>
  <c r="Z83" i="76" s="1" a="1"/>
  <c r="Z83" i="76" s="1"/>
  <c r="Z147" i="76" s="1" a="1"/>
  <c r="Z147" i="76" s="1"/>
  <c r="Z199" i="76" s="1" a="1"/>
  <c r="Z199" i="76" s="1"/>
  <c r="Z251" i="76" s="1" a="1"/>
  <c r="Z251" i="76" s="1"/>
  <c r="X64" i="76"/>
  <c r="X80" i="76" s="1" a="1"/>
  <c r="X80" i="76" s="1"/>
  <c r="X144" i="76" s="1" a="1"/>
  <c r="X144" i="76" s="1"/>
  <c r="X196" i="76" s="1" a="1"/>
  <c r="X196" i="76" s="1"/>
  <c r="X248" i="76" s="1" a="1"/>
  <c r="X248" i="76" s="1"/>
  <c r="K55" i="76"/>
  <c r="I57" i="76"/>
  <c r="I65" i="76" s="1" a="1"/>
  <c r="I65" i="76" s="1"/>
  <c r="I130" i="76" s="1" a="1"/>
  <c r="I130" i="76" s="1"/>
  <c r="I170" i="76" s="1" a="1"/>
  <c r="I170" i="76" s="1"/>
  <c r="I208" i="76" s="1" a="1"/>
  <c r="I208" i="76" s="1"/>
  <c r="F57" i="76"/>
  <c r="F65" i="76" s="1" a="1"/>
  <c r="F65" i="76" s="1"/>
  <c r="F130" i="76" s="1" a="1"/>
  <c r="F130" i="76" s="1"/>
  <c r="F170" i="76" s="1" a="1"/>
  <c r="F170" i="76" s="1"/>
  <c r="F208" i="76" s="1" a="1"/>
  <c r="F208" i="76" s="1"/>
  <c r="F56" i="76"/>
  <c r="F64" i="76" s="1" a="1"/>
  <c r="F64" i="76" s="1"/>
  <c r="F129" i="76" s="1" a="1"/>
  <c r="F129" i="76" s="1"/>
  <c r="F169" i="76" s="1" a="1"/>
  <c r="F169" i="76" s="1"/>
  <c r="F207" i="76" s="1" a="1"/>
  <c r="F207" i="76" s="1"/>
  <c r="AC57" i="76"/>
  <c r="AC73" i="76" s="1" a="1"/>
  <c r="AC73" i="76" s="1"/>
  <c r="AC137" i="76" s="1" a="1"/>
  <c r="AC137" i="76" s="1"/>
  <c r="AC189" i="76" s="1" a="1"/>
  <c r="AC189" i="76" s="1"/>
  <c r="AC241" i="76" s="1" a="1"/>
  <c r="AC241" i="76" s="1"/>
  <c r="G56" i="76"/>
  <c r="AC83" i="76" a="1"/>
  <c r="AC83" i="76" s="1"/>
  <c r="AC147" i="76" s="1" a="1"/>
  <c r="AC147" i="76" s="1"/>
  <c r="AC199" i="76" s="1" a="1"/>
  <c r="AC199" i="76" s="1"/>
  <c r="AC251" i="76" s="1" a="1"/>
  <c r="AC251" i="76" s="1"/>
  <c r="Y64" i="76"/>
  <c r="Y80" i="76" s="1" a="1"/>
  <c r="Y80" i="76" s="1"/>
  <c r="Y144" i="76" s="1" a="1"/>
  <c r="Y144" i="76" s="1"/>
  <c r="Y196" i="76" s="1" a="1"/>
  <c r="Y196" i="76" s="1"/>
  <c r="Y248" i="76" s="1" a="1"/>
  <c r="Y248" i="76" s="1"/>
  <c r="AB59" i="76"/>
  <c r="AB75" i="76" s="1" a="1"/>
  <c r="AB75" i="76" s="1"/>
  <c r="AB139" i="76" s="1" a="1"/>
  <c r="AB139" i="76" s="1"/>
  <c r="AB191" i="76" s="1" a="1"/>
  <c r="AB191" i="76" s="1"/>
  <c r="AB243" i="76" s="1" a="1"/>
  <c r="AB243" i="76" s="1"/>
  <c r="G54" i="76"/>
  <c r="AB58" i="76"/>
  <c r="AB74" i="76" s="1" a="1"/>
  <c r="AB74" i="76" s="1"/>
  <c r="AB138" i="76" s="1" a="1"/>
  <c r="AB138" i="76" s="1"/>
  <c r="AB190" i="76" s="1" a="1"/>
  <c r="AB190" i="76" s="1"/>
  <c r="AB242" i="76" s="1" a="1"/>
  <c r="AB242" i="76" s="1"/>
  <c r="V63" i="76"/>
  <c r="V79" i="76" s="1" a="1"/>
  <c r="V79" i="76" s="1"/>
  <c r="V143" i="76" s="1" a="1"/>
  <c r="V143" i="76" s="1"/>
  <c r="V195" i="76" s="1" a="1"/>
  <c r="V195" i="76" s="1"/>
  <c r="V247" i="76" s="1" a="1"/>
  <c r="V247" i="76" s="1"/>
  <c r="Y57" i="76"/>
  <c r="Y73" i="76" s="1" a="1"/>
  <c r="Y73" i="76" s="1"/>
  <c r="Y137" i="76" s="1" a="1"/>
  <c r="Y137" i="76" s="1"/>
  <c r="Y189" i="76" s="1" a="1"/>
  <c r="Y189" i="76" s="1"/>
  <c r="Y241" i="76" s="1" a="1"/>
  <c r="Y241" i="76" s="1"/>
  <c r="W65" i="76"/>
  <c r="AB63" i="76"/>
  <c r="AB79" i="76" s="1" a="1"/>
  <c r="AB79" i="76" s="1"/>
  <c r="AB143" i="76" s="1" a="1"/>
  <c r="AB143" i="76" s="1"/>
  <c r="AB195" i="76" s="1" a="1"/>
  <c r="AB195" i="76" s="1"/>
  <c r="AB247" i="76" s="1" a="1"/>
  <c r="AB247" i="76" s="1"/>
  <c r="AA59" i="76"/>
  <c r="AB67" i="76"/>
  <c r="AB83" i="76" s="1" a="1"/>
  <c r="AB83" i="76" s="1"/>
  <c r="AB147" i="76" s="1" a="1"/>
  <c r="AB147" i="76" s="1"/>
  <c r="AB199" i="76" s="1" a="1"/>
  <c r="AB199" i="76" s="1"/>
  <c r="AB251" i="76" s="1" a="1"/>
  <c r="AB251" i="76" s="1"/>
  <c r="W56" i="76"/>
  <c r="U57" i="76"/>
  <c r="X60" i="76"/>
  <c r="X76" i="76" s="1" a="1"/>
  <c r="X76" i="76" s="1"/>
  <c r="X140" i="76" s="1" a="1"/>
  <c r="X140" i="76" s="1"/>
  <c r="X192" i="76" s="1" a="1"/>
  <c r="X192" i="76" s="1"/>
  <c r="X244" i="76" s="1" a="1"/>
  <c r="X244" i="76" s="1"/>
  <c r="W67" i="76"/>
  <c r="V58" i="76"/>
  <c r="V74" i="76" s="1" a="1"/>
  <c r="V74" i="76" s="1"/>
  <c r="V138" i="76" s="1" a="1"/>
  <c r="V138" i="76" s="1"/>
  <c r="V190" i="76" s="1" a="1"/>
  <c r="V190" i="76" s="1"/>
  <c r="V242" i="76" s="1" a="1"/>
  <c r="V242" i="76" s="1"/>
  <c r="U63" i="76"/>
  <c r="AA62" i="76"/>
  <c r="AA78" i="76" s="1" a="1"/>
  <c r="AA78" i="76" s="1"/>
  <c r="AA142" i="76" s="1" a="1"/>
  <c r="AA142" i="76" s="1"/>
  <c r="AA194" i="76" s="1" a="1"/>
  <c r="AA194" i="76" s="1"/>
  <c r="AA246" i="76" s="1" a="1"/>
  <c r="AA246" i="76" s="1"/>
  <c r="V59" i="76"/>
  <c r="V75" i="76" s="1" a="1"/>
  <c r="V75" i="76" s="1"/>
  <c r="V139" i="76" s="1" a="1"/>
  <c r="V139" i="76" s="1"/>
  <c r="V191" i="76" s="1" a="1"/>
  <c r="V191" i="76" s="1"/>
  <c r="V243" i="76" s="1" a="1"/>
  <c r="V243" i="76" s="1"/>
  <c r="AD59" i="76"/>
  <c r="AD75" i="76" s="1" a="1"/>
  <c r="AD75" i="76" s="1"/>
  <c r="AD139" i="76" s="1" a="1"/>
  <c r="AD139" i="76" s="1"/>
  <c r="AD191" i="76" s="1" a="1"/>
  <c r="AD191" i="76" s="1"/>
  <c r="AD243" i="76" s="1" a="1"/>
  <c r="AD243" i="76" s="1"/>
  <c r="X58" i="76"/>
  <c r="X74" i="76" s="1" a="1"/>
  <c r="X74" i="76" s="1"/>
  <c r="X138" i="76" s="1" a="1"/>
  <c r="X138" i="76" s="1"/>
  <c r="X190" i="76" s="1" a="1"/>
  <c r="X190" i="76" s="1"/>
  <c r="X242" i="76" s="1" a="1"/>
  <c r="X242" i="76" s="1"/>
  <c r="H54" i="76"/>
  <c r="H62" i="76" s="1" a="1"/>
  <c r="H62" i="76" s="1"/>
  <c r="H127" i="76" s="1" a="1"/>
  <c r="H127" i="76" s="1"/>
  <c r="H167" i="76" s="1" a="1"/>
  <c r="H167" i="76" s="1"/>
  <c r="H205" i="76" s="1" a="1"/>
  <c r="H205" i="76" s="1"/>
  <c r="A39" i="74"/>
  <c r="A38" i="74"/>
  <c r="A37" i="74"/>
  <c r="A36" i="74"/>
  <c r="A33" i="74"/>
  <c r="A30" i="74"/>
  <c r="A29" i="74"/>
  <c r="A28" i="74"/>
  <c r="A27" i="74"/>
  <c r="A26" i="74"/>
  <c r="A25" i="74"/>
  <c r="A24" i="74"/>
  <c r="A19" i="74"/>
  <c r="A18" i="74"/>
  <c r="A15" i="74"/>
  <c r="A14" i="74"/>
  <c r="A13" i="74"/>
  <c r="A12" i="74"/>
  <c r="A11" i="74"/>
  <c r="A10" i="74"/>
  <c r="A9" i="74"/>
  <c r="A8" i="74"/>
  <c r="A7" i="74"/>
  <c r="A4" i="74"/>
  <c r="J57" i="76" l="1"/>
  <c r="J65" i="76" s="1" a="1"/>
  <c r="J65" i="76" s="1"/>
  <c r="J130" i="76" s="1" a="1"/>
  <c r="J130" i="76" s="1"/>
  <c r="J170" i="76" s="1" a="1"/>
  <c r="J170" i="76" s="1"/>
  <c r="J208" i="76" s="1" a="1"/>
  <c r="J208" i="76" s="1"/>
  <c r="AD65" i="76"/>
  <c r="AD81" i="76" s="1" a="1"/>
  <c r="AD81" i="76" s="1"/>
  <c r="AD145" i="76" s="1" a="1"/>
  <c r="AD145" i="76" s="1"/>
  <c r="AD197" i="76" s="1" a="1"/>
  <c r="AD197" i="76" s="1"/>
  <c r="AD249" i="76" s="1" a="1"/>
  <c r="AD249" i="76" s="1"/>
  <c r="AB66" i="76"/>
  <c r="AB82" i="76" s="1" a="1"/>
  <c r="AB82" i="76" s="1"/>
  <c r="AB146" i="76" s="1" a="1"/>
  <c r="AB146" i="76" s="1"/>
  <c r="AB198" i="76" s="1" a="1"/>
  <c r="AB198" i="76" s="1"/>
  <c r="AB250" i="76" s="1" a="1"/>
  <c r="AB250" i="76" s="1"/>
  <c r="Z64" i="76"/>
  <c r="Z80" i="76" s="1" a="1"/>
  <c r="Z80" i="76" s="1"/>
  <c r="Z144" i="76" s="1" a="1"/>
  <c r="Z144" i="76" s="1"/>
  <c r="Z196" i="76" s="1" a="1"/>
  <c r="Z196" i="76" s="1"/>
  <c r="Z248" i="76" s="1" a="1"/>
  <c r="Z248" i="76" s="1"/>
  <c r="Y65" i="76"/>
  <c r="Y81" i="76" s="1" a="1"/>
  <c r="Y81" i="76" s="1"/>
  <c r="Y145" i="76" s="1" a="1"/>
  <c r="Y145" i="76" s="1"/>
  <c r="Y197" i="76" s="1" a="1"/>
  <c r="Y197" i="76" s="1"/>
  <c r="Y249" i="76" s="1" a="1"/>
  <c r="Y249" i="76" s="1"/>
  <c r="M55" i="76"/>
  <c r="M63" i="76" s="1" a="1"/>
  <c r="M63" i="76" s="1"/>
  <c r="M128" i="76" s="1" a="1"/>
  <c r="M128" i="76" s="1"/>
  <c r="M168" i="76" s="1" a="1"/>
  <c r="M168" i="76" s="1"/>
  <c r="M206" i="76" s="1" a="1"/>
  <c r="M206" i="76" s="1"/>
  <c r="V62" i="76"/>
  <c r="V78" i="76" s="1" a="1"/>
  <c r="V78" i="76" s="1"/>
  <c r="V142" i="76" s="1" a="1"/>
  <c r="V142" i="76" s="1"/>
  <c r="V194" i="76" s="1" a="1"/>
  <c r="V194" i="76" s="1"/>
  <c r="V246" i="76" s="1" a="1"/>
  <c r="V246" i="76" s="1"/>
  <c r="E55" i="76"/>
  <c r="E63" i="76" s="1" a="1"/>
  <c r="E63" i="76" s="1"/>
  <c r="E128" i="76" s="1" a="1"/>
  <c r="E128" i="76" s="1"/>
  <c r="E168" i="76" s="1" a="1"/>
  <c r="E168" i="76" s="1"/>
  <c r="E206" i="76" s="1" a="1"/>
  <c r="E206" i="76" s="1"/>
  <c r="AC66" i="76"/>
  <c r="AC82" i="76" s="1" a="1"/>
  <c r="AC82" i="76" s="1"/>
  <c r="AC146" i="76" s="1" a="1"/>
  <c r="AC146" i="76" s="1"/>
  <c r="AC198" i="76" s="1" a="1"/>
  <c r="AC198" i="76" s="1"/>
  <c r="AC250" i="76" s="1" a="1"/>
  <c r="AC250" i="76" s="1"/>
  <c r="AD64" i="76"/>
  <c r="AD80" i="76" s="1" a="1"/>
  <c r="AD80" i="76" s="1"/>
  <c r="AD144" i="76" s="1" a="1"/>
  <c r="AD144" i="76" s="1"/>
  <c r="AD196" i="76" s="1" a="1"/>
  <c r="AD196" i="76" s="1"/>
  <c r="AD248" i="76" s="1" a="1"/>
  <c r="AD248" i="76" s="1"/>
  <c r="J55" i="76"/>
  <c r="J63" i="76" s="1" a="1"/>
  <c r="J63" i="76" s="1"/>
  <c r="J128" i="76" s="1" a="1"/>
  <c r="J128" i="76" s="1"/>
  <c r="J168" i="76" s="1" a="1"/>
  <c r="J168" i="76" s="1"/>
  <c r="J206" i="76" s="1" a="1"/>
  <c r="J206" i="76" s="1"/>
  <c r="AC61" i="76"/>
  <c r="AC77" i="76" s="1" a="1"/>
  <c r="AC77" i="76" s="1"/>
  <c r="AC141" i="76" s="1" a="1"/>
  <c r="AC141" i="76" s="1"/>
  <c r="AC193" i="76" s="1" a="1"/>
  <c r="AC193" i="76" s="1"/>
  <c r="AC245" i="76" s="1" a="1"/>
  <c r="AC245" i="76" s="1"/>
  <c r="V61" i="76"/>
  <c r="V77" i="76" s="1" a="1"/>
  <c r="V77" i="76" s="1"/>
  <c r="V141" i="76" s="1" a="1"/>
  <c r="V141" i="76" s="1"/>
  <c r="V193" i="76" s="1" a="1"/>
  <c r="V193" i="76" s="1"/>
  <c r="V245" i="76" s="1" a="1"/>
  <c r="V245" i="76" s="1"/>
  <c r="AA65" i="76"/>
  <c r="AA81" i="76" s="1" a="1"/>
  <c r="AA81" i="76" s="1"/>
  <c r="AA145" i="76" s="1" a="1"/>
  <c r="AA145" i="76" s="1"/>
  <c r="AA197" i="76" s="1" a="1"/>
  <c r="AA197" i="76" s="1"/>
  <c r="AA249" i="76" s="1" a="1"/>
  <c r="AA249" i="76" s="1"/>
  <c r="F55" i="76"/>
  <c r="F63" i="76" s="1" a="1"/>
  <c r="F63" i="76" s="1"/>
  <c r="F128" i="76" s="1" a="1"/>
  <c r="F128" i="76" s="1"/>
  <c r="F168" i="76" s="1" a="1"/>
  <c r="F168" i="76" s="1"/>
  <c r="F206" i="76" s="1" a="1"/>
  <c r="F206" i="76" s="1"/>
  <c r="U67" i="76"/>
  <c r="U83" i="76" s="1" a="1"/>
  <c r="U83" i="76" s="1"/>
  <c r="U147" i="76" s="1" a="1"/>
  <c r="U147" i="76" s="1"/>
  <c r="U199" i="76" s="1" a="1"/>
  <c r="U199" i="76" s="1"/>
  <c r="U251" i="76" s="1" a="1"/>
  <c r="U251" i="76" s="1"/>
  <c r="W59" i="76"/>
  <c r="W75" i="76" s="1" a="1"/>
  <c r="W75" i="76" s="1"/>
  <c r="W139" i="76" s="1" a="1"/>
  <c r="W139" i="76" s="1"/>
  <c r="W191" i="76" s="1" a="1"/>
  <c r="W191" i="76" s="1"/>
  <c r="W243" i="76" s="1" a="1"/>
  <c r="W243" i="76" s="1"/>
  <c r="M57" i="76"/>
  <c r="M65" i="76" s="1" a="1"/>
  <c r="M65" i="76" s="1"/>
  <c r="M130" i="76" s="1" a="1"/>
  <c r="M130" i="76" s="1"/>
  <c r="M170" i="76" s="1" a="1"/>
  <c r="M170" i="76" s="1"/>
  <c r="M208" i="76" s="1" a="1"/>
  <c r="M208" i="76" s="1"/>
  <c r="W58" i="76"/>
  <c r="W74" i="76" s="1" a="1"/>
  <c r="W74" i="76" s="1"/>
  <c r="W138" i="76" s="1" a="1"/>
  <c r="W138" i="76" s="1"/>
  <c r="W190" i="76" s="1" a="1"/>
  <c r="W190" i="76" s="1"/>
  <c r="W242" i="76" s="1" a="1"/>
  <c r="W242" i="76" s="1"/>
  <c r="AA57" i="76"/>
  <c r="AA73" i="76" s="1" a="1"/>
  <c r="AA73" i="76" s="1"/>
  <c r="AA137" i="76" s="1" a="1"/>
  <c r="AA137" i="76" s="1"/>
  <c r="AA189" i="76" s="1" a="1"/>
  <c r="AA189" i="76" s="1"/>
  <c r="AA241" i="76" s="1" a="1"/>
  <c r="AA241" i="76" s="1"/>
  <c r="E57" i="76"/>
  <c r="E65" i="76" s="1" a="1"/>
  <c r="E65" i="76" s="1"/>
  <c r="E130" i="76" s="1" a="1"/>
  <c r="E130" i="76" s="1"/>
  <c r="E170" i="76" s="1" a="1"/>
  <c r="E170" i="76" s="1"/>
  <c r="E208" i="76" s="1" a="1"/>
  <c r="E208" i="76" s="1"/>
  <c r="L56" i="76"/>
  <c r="L64" i="76" s="1" a="1"/>
  <c r="L64" i="76" s="1"/>
  <c r="L129" i="76" s="1" a="1"/>
  <c r="L129" i="76" s="1"/>
  <c r="L169" i="76" s="1" a="1"/>
  <c r="L169" i="76" s="1"/>
  <c r="L207" i="76" s="1" a="1"/>
  <c r="L207" i="76" s="1"/>
  <c r="L54" i="76"/>
  <c r="L62" i="76" s="1" a="1"/>
  <c r="L62" i="76" s="1"/>
  <c r="L127" i="76" s="1" a="1"/>
  <c r="L127" i="76" s="1"/>
  <c r="L167" i="76" s="1" a="1"/>
  <c r="L167" i="76" s="1"/>
  <c r="L205" i="76" s="1" a="1"/>
  <c r="L205" i="76" s="1"/>
  <c r="Y66" i="76"/>
  <c r="Y82" i="76" s="1" a="1"/>
  <c r="Y82" i="76" s="1"/>
  <c r="Y146" i="76" s="1" a="1"/>
  <c r="Y146" i="76" s="1"/>
  <c r="Y198" i="76" s="1" a="1"/>
  <c r="Y198" i="76" s="1"/>
  <c r="Y250" i="76" s="1" a="1"/>
  <c r="Y250" i="76" s="1"/>
  <c r="AA66" i="76"/>
  <c r="AA82" i="76" s="1" a="1"/>
  <c r="AA82" i="76" s="1"/>
  <c r="AA146" i="76" s="1" a="1"/>
  <c r="AA146" i="76" s="1"/>
  <c r="AA198" i="76" s="1" a="1"/>
  <c r="AA198" i="76" s="1"/>
  <c r="AA250" i="76" s="1" a="1"/>
  <c r="AA250" i="76" s="1"/>
  <c r="V60" i="76"/>
  <c r="V76" i="76" s="1" a="1"/>
  <c r="V76" i="76" s="1"/>
  <c r="V140" i="76" s="1" a="1"/>
  <c r="V140" i="76" s="1"/>
  <c r="V192" i="76" s="1" a="1"/>
  <c r="V192" i="76" s="1"/>
  <c r="V244" i="76" s="1" a="1"/>
  <c r="V244" i="76" s="1"/>
  <c r="H55" i="76"/>
  <c r="H63" i="76" s="1" a="1"/>
  <c r="H63" i="76" s="1"/>
  <c r="H128" i="76" s="1" a="1"/>
  <c r="H128" i="76" s="1"/>
  <c r="H168" i="76" s="1" a="1"/>
  <c r="H168" i="76" s="1"/>
  <c r="H206" i="76" s="1" a="1"/>
  <c r="H206" i="76" s="1"/>
  <c r="I54" i="76"/>
  <c r="I62" i="76" s="1" a="1"/>
  <c r="I62" i="76" s="1"/>
  <c r="I127" i="76" s="1" a="1"/>
  <c r="I127" i="76" s="1"/>
  <c r="I167" i="76" s="1" a="1"/>
  <c r="I167" i="76" s="1"/>
  <c r="I205" i="76" s="1" a="1"/>
  <c r="I205" i="76" s="1"/>
  <c r="N54" i="76"/>
  <c r="N62" i="76" s="1" a="1"/>
  <c r="N62" i="76" s="1"/>
  <c r="N127" i="76" s="1" a="1"/>
  <c r="N127" i="76" s="1"/>
  <c r="N167" i="76" s="1" a="1"/>
  <c r="N167" i="76" s="1"/>
  <c r="N205" i="76" s="1" a="1"/>
  <c r="N205" i="76" s="1"/>
  <c r="M54" i="76"/>
  <c r="M62" i="76" s="1" a="1"/>
  <c r="M62" i="76" s="1"/>
  <c r="M127" i="76" s="1" a="1"/>
  <c r="M127" i="76" s="1"/>
  <c r="M167" i="76" s="1" a="1"/>
  <c r="M167" i="76" s="1"/>
  <c r="M205" i="76" s="1" a="1"/>
  <c r="M205" i="76" s="1"/>
  <c r="AD63" i="76"/>
  <c r="AD79" i="76" s="1" a="1"/>
  <c r="AD79" i="76" s="1"/>
  <c r="AD143" i="76" s="1" a="1"/>
  <c r="AD143" i="76" s="1"/>
  <c r="AD195" i="76" s="1" a="1"/>
  <c r="AD195" i="76" s="1"/>
  <c r="AD247" i="76" s="1" a="1"/>
  <c r="AD247" i="76" s="1"/>
  <c r="V64" i="76"/>
  <c r="V80" i="76" s="1" a="1"/>
  <c r="V80" i="76" s="1"/>
  <c r="V144" i="76" s="1" a="1"/>
  <c r="V144" i="76" s="1"/>
  <c r="V196" i="76" s="1" a="1"/>
  <c r="V196" i="76" s="1"/>
  <c r="V248" i="76" s="1" a="1"/>
  <c r="V248" i="76" s="1"/>
  <c r="Y59" i="76"/>
  <c r="Y75" i="76" s="1" a="1"/>
  <c r="Y75" i="76" s="1"/>
  <c r="Y139" i="76" s="1" a="1"/>
  <c r="Y139" i="76" s="1"/>
  <c r="Y191" i="76" s="1" a="1"/>
  <c r="Y191" i="76" s="1"/>
  <c r="Y243" i="76" s="1" a="1"/>
  <c r="Y243" i="76" s="1"/>
  <c r="E56" i="76"/>
  <c r="E64" i="76" s="1" a="1"/>
  <c r="E64" i="76" s="1"/>
  <c r="E129" i="76" s="1" a="1"/>
  <c r="E129" i="76" s="1"/>
  <c r="E169" i="76" s="1" a="1"/>
  <c r="E169" i="76" s="1"/>
  <c r="E207" i="76" s="1" a="1"/>
  <c r="E207" i="76" s="1"/>
  <c r="AA64" i="76"/>
  <c r="AA80" i="76" s="1" a="1"/>
  <c r="AA80" i="76" s="1"/>
  <c r="AA144" i="76" s="1" a="1"/>
  <c r="AA144" i="76" s="1"/>
  <c r="AA196" i="76" s="1" a="1"/>
  <c r="AA196" i="76" s="1"/>
  <c r="AA248" i="76" s="1" a="1"/>
  <c r="AA248" i="76" s="1"/>
  <c r="AC64" i="76"/>
  <c r="AC80" i="76" s="1" a="1"/>
  <c r="AC80" i="76" s="1"/>
  <c r="AC144" i="76" s="1" a="1"/>
  <c r="AC144" i="76" s="1"/>
  <c r="AC196" i="76" s="1" a="1"/>
  <c r="AC196" i="76" s="1"/>
  <c r="AC248" i="76" s="1" a="1"/>
  <c r="AC248" i="76" s="1"/>
  <c r="X61" i="76"/>
  <c r="X77" i="76" s="1" a="1"/>
  <c r="X77" i="76" s="1"/>
  <c r="X141" i="76" s="1" a="1"/>
  <c r="X141" i="76" s="1"/>
  <c r="X193" i="76" s="1" a="1"/>
  <c r="X193" i="76" s="1"/>
  <c r="X245" i="76" s="1" a="1"/>
  <c r="X245" i="76" s="1"/>
  <c r="M56" i="76"/>
  <c r="M64" i="76" s="1" a="1"/>
  <c r="M64" i="76" s="1"/>
  <c r="M129" i="76" s="1" a="1"/>
  <c r="M129" i="76" s="1"/>
  <c r="M169" i="76" s="1" a="1"/>
  <c r="M169" i="76" s="1"/>
  <c r="M207" i="76" s="1" a="1"/>
  <c r="M207" i="76" s="1"/>
  <c r="W66" i="76"/>
  <c r="W82" i="76" s="1" a="1"/>
  <c r="W82" i="76" s="1"/>
  <c r="W146" i="76" s="1" a="1"/>
  <c r="W146" i="76" s="1"/>
  <c r="W198" i="76" s="1" a="1"/>
  <c r="W198" i="76" s="1"/>
  <c r="W250" i="76" s="1" a="1"/>
  <c r="W250" i="76" s="1"/>
  <c r="AD67" i="76"/>
  <c r="AD83" i="76" s="1" a="1"/>
  <c r="AD83" i="76" s="1"/>
  <c r="AD147" i="76" s="1" a="1"/>
  <c r="AD147" i="76" s="1"/>
  <c r="AD199" i="76" s="1" a="1"/>
  <c r="AD199" i="76" s="1"/>
  <c r="AD251" i="76" s="1" a="1"/>
  <c r="AD251" i="76" s="1"/>
  <c r="W63" i="76"/>
  <c r="W79" i="76" s="1" a="1"/>
  <c r="W79" i="76" s="1"/>
  <c r="W143" i="76" s="1" a="1"/>
  <c r="W143" i="76" s="1"/>
  <c r="W195" i="76" s="1" a="1"/>
  <c r="W195" i="76" s="1"/>
  <c r="W247" i="76" s="1" a="1"/>
  <c r="W247" i="76" s="1"/>
  <c r="X66" i="76"/>
  <c r="X82" i="76" s="1" a="1"/>
  <c r="X82" i="76" s="1"/>
  <c r="X146" i="76" s="1" a="1"/>
  <c r="X146" i="76" s="1"/>
  <c r="X198" i="76" s="1" a="1"/>
  <c r="X198" i="76" s="1"/>
  <c r="X250" i="76" s="1" a="1"/>
  <c r="X250" i="76" s="1"/>
  <c r="AD60" i="76"/>
  <c r="AD76" i="76" s="1" a="1"/>
  <c r="AD76" i="76" s="1"/>
  <c r="AD140" i="76" s="1" a="1"/>
  <c r="AD140" i="76" s="1"/>
  <c r="AD192" i="76" s="1" a="1"/>
  <c r="AD192" i="76" s="1"/>
  <c r="AD244" i="76" s="1" a="1"/>
  <c r="AD244" i="76" s="1"/>
  <c r="X56" i="76"/>
  <c r="X72" i="76" s="1" a="1"/>
  <c r="X72" i="76" s="1"/>
  <c r="X136" i="76" s="1" a="1"/>
  <c r="X136" i="76" s="1"/>
  <c r="X188" i="76" s="1" a="1"/>
  <c r="X188" i="76" s="1"/>
  <c r="X240" i="76" s="1" a="1"/>
  <c r="X240" i="76" s="1"/>
  <c r="W64" i="76"/>
  <c r="W80" i="76" s="1" a="1"/>
  <c r="W80" i="76" s="1"/>
  <c r="W144" i="76" s="1" a="1"/>
  <c r="W144" i="76" s="1"/>
  <c r="W196" i="76" s="1" a="1"/>
  <c r="W196" i="76" s="1"/>
  <c r="W248" i="76" s="1" a="1"/>
  <c r="W248" i="76" s="1"/>
  <c r="Z61" i="76"/>
  <c r="Z77" i="76" s="1" a="1"/>
  <c r="Z77" i="76" s="1"/>
  <c r="Z141" i="76" s="1" a="1"/>
  <c r="Z141" i="76" s="1"/>
  <c r="Z193" i="76" s="1" a="1"/>
  <c r="Z193" i="76" s="1"/>
  <c r="Z245" i="76" s="1" a="1"/>
  <c r="Z245" i="76" s="1"/>
  <c r="W61" i="76"/>
  <c r="W77" i="76" s="1" a="1"/>
  <c r="W77" i="76" s="1"/>
  <c r="W141" i="76" s="1" a="1"/>
  <c r="W141" i="76" s="1"/>
  <c r="W193" i="76" s="1" a="1"/>
  <c r="W193" i="76" s="1"/>
  <c r="W245" i="76" s="1" a="1"/>
  <c r="W245" i="76" s="1"/>
  <c r="AA67" i="76"/>
  <c r="AA83" i="76" s="1" a="1"/>
  <c r="AA83" i="76" s="1"/>
  <c r="AA147" i="76" s="1" a="1"/>
  <c r="AA147" i="76" s="1"/>
  <c r="AA199" i="76" s="1" a="1"/>
  <c r="AA199" i="76" s="1"/>
  <c r="AA251" i="76" s="1" a="1"/>
  <c r="AA251" i="76" s="1"/>
  <c r="AB62" i="76"/>
  <c r="AB78" i="76" s="1" a="1"/>
  <c r="AB78" i="76" s="1"/>
  <c r="AB142" i="76" s="1" a="1"/>
  <c r="AB142" i="76" s="1"/>
  <c r="AB194" i="76" s="1" a="1"/>
  <c r="AB194" i="76" s="1"/>
  <c r="AB246" i="76" s="1" a="1"/>
  <c r="AB246" i="76" s="1"/>
  <c r="U65" i="76"/>
  <c r="U81" i="76" s="1" a="1"/>
  <c r="U81" i="76" s="1"/>
  <c r="U145" i="76" s="1" a="1"/>
  <c r="U145" i="76" s="1"/>
  <c r="U197" i="76" s="1" a="1"/>
  <c r="U197" i="76" s="1"/>
  <c r="U249" i="76" s="1" a="1"/>
  <c r="U249" i="76" s="1"/>
  <c r="AC56" i="76"/>
  <c r="AC72" i="76" s="1" a="1"/>
  <c r="AC72" i="76" s="1"/>
  <c r="AC136" i="76" s="1" a="1"/>
  <c r="AC136" i="76" s="1"/>
  <c r="AC188" i="76" s="1" a="1"/>
  <c r="AC188" i="76" s="1"/>
  <c r="AC240" i="76" s="1" a="1"/>
  <c r="AC240" i="76" s="1"/>
  <c r="AA63" i="76"/>
  <c r="AA79" i="76" s="1" a="1"/>
  <c r="AA79" i="76" s="1"/>
  <c r="AA143" i="76" s="1" a="1"/>
  <c r="AA143" i="76" s="1"/>
  <c r="AA195" i="76" s="1" a="1"/>
  <c r="AA195" i="76" s="1"/>
  <c r="AA247" i="76" s="1" a="1"/>
  <c r="AA247" i="76" s="1"/>
  <c r="Z56" i="76"/>
  <c r="Z72" i="76" s="1" a="1"/>
  <c r="Z72" i="76" s="1"/>
  <c r="Z136" i="76" s="1" a="1"/>
  <c r="Z136" i="76" s="1"/>
  <c r="Z188" i="76" s="1" a="1"/>
  <c r="Z188" i="76" s="1"/>
  <c r="Z240" i="76" s="1" a="1"/>
  <c r="Z240" i="76" s="1"/>
  <c r="W57" i="76"/>
  <c r="W73" i="76" s="1" a="1"/>
  <c r="W73" i="76" s="1"/>
  <c r="W137" i="76" s="1" a="1"/>
  <c r="W137" i="76" s="1"/>
  <c r="W189" i="76" s="1" a="1"/>
  <c r="W189" i="76" s="1"/>
  <c r="W241" i="76" s="1" a="1"/>
  <c r="W241" i="76" s="1"/>
  <c r="F54" i="76"/>
  <c r="F62" i="76" s="1" a="1"/>
  <c r="F62" i="76" s="1"/>
  <c r="F127" i="76" s="1" a="1"/>
  <c r="F127" i="76" s="1"/>
  <c r="F167" i="76" s="1" a="1"/>
  <c r="F167" i="76" s="1"/>
  <c r="F205" i="76" s="1" a="1"/>
  <c r="F205" i="76" s="1"/>
  <c r="K54" i="76"/>
  <c r="K62" i="76" s="1" a="1"/>
  <c r="K62" i="76" s="1"/>
  <c r="K127" i="76" s="1" a="1"/>
  <c r="K127" i="76" s="1"/>
  <c r="K167" i="76" s="1" a="1"/>
  <c r="K167" i="76" s="1"/>
  <c r="K205" i="76" s="1" a="1"/>
  <c r="K205" i="76" s="1"/>
  <c r="V56" i="76"/>
  <c r="V72" i="76" s="1" a="1"/>
  <c r="V72" i="76" s="1"/>
  <c r="V136" i="76" s="1" a="1"/>
  <c r="V136" i="76" s="1"/>
  <c r="V188" i="76" s="1" a="1"/>
  <c r="V188" i="76" s="1"/>
  <c r="V240" i="76" s="1" a="1"/>
  <c r="V240" i="76" s="1"/>
  <c r="U66" i="76"/>
  <c r="U82" i="76" s="1" a="1"/>
  <c r="U82" i="76" s="1"/>
  <c r="U146" i="76" s="1" a="1"/>
  <c r="U146" i="76" s="1"/>
  <c r="U198" i="76" s="1" a="1"/>
  <c r="U198" i="76" s="1"/>
  <c r="U250" i="76" s="1" a="1"/>
  <c r="U250" i="76" s="1"/>
  <c r="AC60" i="76"/>
  <c r="AC76" i="76" s="1" a="1"/>
  <c r="AC76" i="76" s="1"/>
  <c r="AC140" i="76" s="1" a="1"/>
  <c r="AC140" i="76" s="1"/>
  <c r="AC192" i="76" s="1" a="1"/>
  <c r="AC192" i="76" s="1"/>
  <c r="AC244" i="76" s="1" a="1"/>
  <c r="AC244" i="76" s="1"/>
  <c r="AA58" i="76"/>
  <c r="AA74" i="76" s="1" a="1"/>
  <c r="AA74" i="76" s="1"/>
  <c r="AA138" i="76" s="1" a="1"/>
  <c r="AA138" i="76" s="1"/>
  <c r="AA190" i="76" s="1" a="1"/>
  <c r="AA190" i="76" s="1"/>
  <c r="AA242" i="76" s="1" a="1"/>
  <c r="AA242" i="76" s="1"/>
  <c r="Y63" i="76"/>
  <c r="Y79" i="76" s="1" a="1"/>
  <c r="Y79" i="76" s="1"/>
  <c r="Y143" i="76" s="1" a="1"/>
  <c r="Y143" i="76" s="1"/>
  <c r="Y195" i="76" s="1" a="1"/>
  <c r="Y195" i="76" s="1"/>
  <c r="Y247" i="76" s="1" a="1"/>
  <c r="Y247" i="76" s="1"/>
  <c r="AB64" i="76"/>
  <c r="AB80" i="76" s="1" a="1"/>
  <c r="AB80" i="76" s="1"/>
  <c r="AB144" i="76" s="1" a="1"/>
  <c r="AB144" i="76" s="1"/>
  <c r="AB196" i="76" s="1" a="1"/>
  <c r="AB196" i="76" s="1"/>
  <c r="AB248" i="76" s="1" a="1"/>
  <c r="AB248" i="76" s="1"/>
  <c r="AD58" i="76"/>
  <c r="AD74" i="76" s="1" a="1"/>
  <c r="AD74" i="76" s="1"/>
  <c r="AD138" i="76" s="1" a="1"/>
  <c r="AD138" i="76" s="1"/>
  <c r="AD190" i="76" s="1" a="1"/>
  <c r="AD190" i="76" s="1"/>
  <c r="AD242" i="76" s="1" a="1"/>
  <c r="AD242" i="76" s="1"/>
  <c r="AB57" i="76"/>
  <c r="AB73" i="76" s="1" a="1"/>
  <c r="AB73" i="76" s="1"/>
  <c r="AB137" i="76" s="1" a="1"/>
  <c r="AB137" i="76" s="1"/>
  <c r="AB189" i="76" s="1" a="1"/>
  <c r="AB189" i="76" s="1"/>
  <c r="AB241" i="76" s="1" a="1"/>
  <c r="AB241" i="76" s="1"/>
  <c r="Y61" i="76"/>
  <c r="Y77" i="76" s="1" a="1"/>
  <c r="Y77" i="76" s="1"/>
  <c r="Y141" i="76" s="1" a="1"/>
  <c r="Y141" i="76" s="1"/>
  <c r="Y193" i="76" s="1" a="1"/>
  <c r="Y193" i="76" s="1"/>
  <c r="Y245" i="76" s="1" a="1"/>
  <c r="Y245" i="76" s="1"/>
  <c r="AB60" i="76"/>
  <c r="AB76" i="76" s="1" a="1"/>
  <c r="AB76" i="76" s="1"/>
  <c r="AB140" i="76" s="1" a="1"/>
  <c r="AB140" i="76" s="1"/>
  <c r="AB192" i="76" s="1" a="1"/>
  <c r="AB192" i="76" s="1"/>
  <c r="AB244" i="76" s="1" a="1"/>
  <c r="AB244" i="76" s="1"/>
  <c r="U60" i="76"/>
  <c r="U76" i="76" s="1" a="1"/>
  <c r="U76" i="76" s="1"/>
  <c r="U140" i="76" s="1" a="1"/>
  <c r="U140" i="76" s="1"/>
  <c r="U192" i="76" s="1" a="1"/>
  <c r="U192" i="76" s="1"/>
  <c r="U244" i="76" s="1" a="1"/>
  <c r="U244" i="76" s="1"/>
  <c r="AD62" i="76"/>
  <c r="AD78" i="76" s="1" a="1"/>
  <c r="AD78" i="76" s="1"/>
  <c r="AD142" i="76" s="1" a="1"/>
  <c r="AD142" i="76" s="1"/>
  <c r="AD194" i="76" s="1" a="1"/>
  <c r="AD194" i="76" s="1"/>
  <c r="AD246" i="76" s="1" a="1"/>
  <c r="AD246" i="76" s="1"/>
  <c r="X67" i="76"/>
  <c r="X83" i="76" s="1" a="1"/>
  <c r="X83" i="76" s="1"/>
  <c r="X147" i="76" s="1" a="1"/>
  <c r="X147" i="76" s="1"/>
  <c r="X199" i="76" s="1" a="1"/>
  <c r="X199" i="76" s="1"/>
  <c r="X251" i="76" s="1" a="1"/>
  <c r="X251" i="76" s="1"/>
  <c r="AB56" i="76"/>
  <c r="AB72" i="76" s="1" a="1"/>
  <c r="AB72" i="76" s="1"/>
  <c r="AB136" i="76" s="1" a="1"/>
  <c r="AB136" i="76" s="1"/>
  <c r="AB188" i="76" s="1" a="1"/>
  <c r="AB188" i="76" s="1"/>
  <c r="AB240" i="76" s="1" a="1"/>
  <c r="AB240" i="76" s="1"/>
  <c r="AD61" i="76"/>
  <c r="AD77" i="76" s="1" a="1"/>
  <c r="AD77" i="76" s="1"/>
  <c r="AD141" i="76" s="1" a="1"/>
  <c r="AD141" i="76" s="1"/>
  <c r="AD193" i="76" s="1" a="1"/>
  <c r="AD193" i="76" s="1"/>
  <c r="AD245" i="76" s="1" a="1"/>
  <c r="AD245" i="76" s="1"/>
  <c r="L55" i="76"/>
  <c r="L63" i="76" s="1" a="1"/>
  <c r="L63" i="76" s="1"/>
  <c r="L128" i="76" s="1" a="1"/>
  <c r="L128" i="76" s="1"/>
  <c r="L168" i="76" s="1" a="1"/>
  <c r="L168" i="76" s="1"/>
  <c r="L206" i="76" s="1" a="1"/>
  <c r="L206" i="76" s="1"/>
  <c r="U62" i="76"/>
  <c r="U78" i="76" s="1" a="1"/>
  <c r="U78" i="76" s="1"/>
  <c r="U142" i="76" s="1" a="1"/>
  <c r="U142" i="76" s="1"/>
  <c r="U194" i="76" s="1" a="1"/>
  <c r="U194" i="76" s="1"/>
  <c r="U246" i="76" s="1" a="1"/>
  <c r="U246" i="76" s="1"/>
  <c r="Z63" i="76"/>
  <c r="Z79" i="76" s="1" a="1"/>
  <c r="Z79" i="76" s="1"/>
  <c r="Z143" i="76" s="1" a="1"/>
  <c r="Z143" i="76" s="1"/>
  <c r="Z195" i="76" s="1" a="1"/>
  <c r="Z195" i="76" s="1"/>
  <c r="Z247" i="76" s="1" a="1"/>
  <c r="Z247" i="76" s="1"/>
  <c r="G55" i="76"/>
  <c r="G63" i="76" s="1" a="1"/>
  <c r="G63" i="76" s="1"/>
  <c r="G128" i="76" s="1" a="1"/>
  <c r="G128" i="76" s="1"/>
  <c r="G168" i="76" s="1" a="1"/>
  <c r="G168" i="76" s="1"/>
  <c r="G206" i="76" s="1" a="1"/>
  <c r="G206" i="76" s="1"/>
  <c r="N55" i="76"/>
  <c r="N63" i="76" s="1" a="1"/>
  <c r="N63" i="76" s="1"/>
  <c r="N128" i="76" s="1" a="1"/>
  <c r="N128" i="76" s="1"/>
  <c r="N168" i="76" s="1" a="1"/>
  <c r="N168" i="76" s="1"/>
  <c r="N206" i="76" s="1" a="1"/>
  <c r="N206" i="76" s="1"/>
  <c r="H57" i="76"/>
  <c r="H65" i="76" s="1" a="1"/>
  <c r="H65" i="76" s="1"/>
  <c r="H130" i="76" s="1" a="1"/>
  <c r="H130" i="76" s="1"/>
  <c r="H170" i="76" s="1" a="1"/>
  <c r="H170" i="76" s="1"/>
  <c r="H208" i="76" s="1" a="1"/>
  <c r="H208" i="76" s="1"/>
  <c r="N56" i="76"/>
  <c r="N64" i="76" s="1" a="1"/>
  <c r="N64" i="76" s="1"/>
  <c r="N129" i="76" s="1" a="1"/>
  <c r="N129" i="76" s="1"/>
  <c r="N169" i="76" s="1" a="1"/>
  <c r="N169" i="76" s="1"/>
  <c r="N207" i="76" s="1" a="1"/>
  <c r="N207" i="76" s="1"/>
  <c r="U58" i="76"/>
  <c r="U74" i="76" s="1" a="1"/>
  <c r="U74" i="76" s="1"/>
  <c r="U138" i="76" s="1" a="1"/>
  <c r="U138" i="76" s="1"/>
  <c r="U190" i="76" s="1" a="1"/>
  <c r="U190" i="76" s="1"/>
  <c r="U242" i="76" s="1" a="1"/>
  <c r="U242" i="76" s="1"/>
  <c r="Z66" i="76"/>
  <c r="Z82" i="76" s="1" a="1"/>
  <c r="Z82" i="76" s="1"/>
  <c r="Z146" i="76" s="1" a="1"/>
  <c r="Z146" i="76" s="1"/>
  <c r="Z198" i="76" s="1" a="1"/>
  <c r="Z198" i="76" s="1"/>
  <c r="Z250" i="76" s="1" a="1"/>
  <c r="Z250" i="76" s="1"/>
  <c r="X65" i="76"/>
  <c r="X81" i="76" s="1" a="1"/>
  <c r="X81" i="76" s="1"/>
  <c r="X145" i="76" s="1" a="1"/>
  <c r="X145" i="76" s="1"/>
  <c r="X197" i="76" s="1" a="1"/>
  <c r="X197" i="76" s="1"/>
  <c r="X249" i="76" s="1" a="1"/>
  <c r="X249" i="76" s="1"/>
  <c r="Z62" i="76"/>
  <c r="Z78" i="76" s="1" a="1"/>
  <c r="Z78" i="76" s="1"/>
  <c r="Z142" i="76" s="1" a="1"/>
  <c r="Z142" i="76" s="1"/>
  <c r="Z194" i="76" s="1" a="1"/>
  <c r="Z194" i="76" s="1"/>
  <c r="Z246" i="76" s="1" a="1"/>
  <c r="Z246" i="76" s="1"/>
  <c r="J54" i="76"/>
  <c r="J62" i="76" s="1" a="1"/>
  <c r="J62" i="76" s="1"/>
  <c r="J127" i="76" s="1" a="1"/>
  <c r="J127" i="76" s="1"/>
  <c r="J167" i="76" s="1" a="1"/>
  <c r="J167" i="76" s="1"/>
  <c r="J205" i="76" s="1" a="1"/>
  <c r="J205" i="76" s="1"/>
  <c r="W62" i="76"/>
  <c r="W78" i="76" s="1" a="1"/>
  <c r="W78" i="76" s="1"/>
  <c r="W142" i="76" s="1" a="1"/>
  <c r="W142" i="76" s="1"/>
  <c r="W194" i="76" s="1" a="1"/>
  <c r="W194" i="76" s="1"/>
  <c r="W246" i="76" s="1" a="1"/>
  <c r="W246" i="76" s="1"/>
  <c r="V65" i="76"/>
  <c r="V81" i="76" s="1" a="1"/>
  <c r="V81" i="76" s="1"/>
  <c r="V145" i="76" s="1" a="1"/>
  <c r="V145" i="76" s="1"/>
  <c r="V197" i="76" s="1" a="1"/>
  <c r="V197" i="76" s="1"/>
  <c r="V249" i="76" s="1" a="1"/>
  <c r="V249" i="76" s="1"/>
  <c r="K56" i="76"/>
  <c r="K64" i="76" s="1" a="1"/>
  <c r="K64" i="76" s="1"/>
  <c r="K129" i="76" s="1" a="1"/>
  <c r="K129" i="76" s="1"/>
  <c r="K169" i="76" s="1" a="1"/>
  <c r="K169" i="76" s="1"/>
  <c r="K207" i="76" s="1" a="1"/>
  <c r="K207" i="76" s="1"/>
  <c r="U77" i="76" a="1"/>
  <c r="U77" i="76" s="1"/>
  <c r="U141" i="76" s="1" a="1"/>
  <c r="U141" i="76" s="1"/>
  <c r="U193" i="76" s="1" a="1"/>
  <c r="U193" i="76" s="1"/>
  <c r="U245" i="76" s="1" a="1"/>
  <c r="U245" i="76" s="1"/>
  <c r="Y60" i="76"/>
  <c r="Y76" i="76" s="1" a="1"/>
  <c r="Y76" i="76" s="1"/>
  <c r="Y140" i="76" s="1" a="1"/>
  <c r="Y140" i="76" s="1"/>
  <c r="Y192" i="76" s="1" a="1"/>
  <c r="Y192" i="76" s="1"/>
  <c r="Y244" i="76" s="1" a="1"/>
  <c r="Y244" i="76" s="1"/>
  <c r="W76" i="76" a="1"/>
  <c r="W76" i="76" s="1"/>
  <c r="W140" i="76" s="1" a="1"/>
  <c r="W140" i="76" s="1"/>
  <c r="W192" i="76" s="1" a="1"/>
  <c r="W192" i="76" s="1"/>
  <c r="W244" i="76" s="1" a="1"/>
  <c r="W244" i="76" s="1"/>
  <c r="U75" i="76" a="1"/>
  <c r="U75" i="76" s="1"/>
  <c r="U139" i="76" s="1" a="1"/>
  <c r="U139" i="76" s="1"/>
  <c r="U191" i="76" s="1" a="1"/>
  <c r="U191" i="76" s="1"/>
  <c r="U243" i="76" s="1" a="1"/>
  <c r="U243" i="76" s="1"/>
  <c r="E54" i="76"/>
  <c r="AA77" i="76" a="1"/>
  <c r="AA77" i="76" s="1"/>
  <c r="AA141" i="76" s="1" a="1"/>
  <c r="AA141" i="76" s="1"/>
  <c r="AA193" i="76" s="1" a="1"/>
  <c r="AA193" i="76" s="1"/>
  <c r="AA245" i="76" s="1" a="1"/>
  <c r="AA245" i="76" s="1"/>
  <c r="U79" i="76" a="1"/>
  <c r="U79" i="76" s="1"/>
  <c r="U143" i="76" s="1" a="1"/>
  <c r="U143" i="76" s="1"/>
  <c r="U195" i="76" s="1" a="1"/>
  <c r="U195" i="76" s="1"/>
  <c r="U247" i="76" s="1" a="1"/>
  <c r="U247" i="76" s="1"/>
  <c r="W72" i="76" a="1"/>
  <c r="W72" i="76" s="1"/>
  <c r="W136" i="76" s="1" a="1"/>
  <c r="W136" i="76" s="1"/>
  <c r="W188" i="76" s="1" a="1"/>
  <c r="W188" i="76" s="1"/>
  <c r="W240" i="76" s="1" a="1"/>
  <c r="W240" i="76" s="1"/>
  <c r="G65" i="76" a="1"/>
  <c r="G65" i="76" s="1"/>
  <c r="G130" i="76" s="1" a="1"/>
  <c r="G130" i="76" s="1"/>
  <c r="G170" i="76" s="1" a="1"/>
  <c r="G170" i="76" s="1"/>
  <c r="G208" i="76" s="1" a="1"/>
  <c r="G208" i="76" s="1"/>
  <c r="J56" i="76"/>
  <c r="J64" i="76" s="1" a="1"/>
  <c r="J64" i="76" s="1"/>
  <c r="J129" i="76" s="1" a="1"/>
  <c r="J129" i="76" s="1"/>
  <c r="J169" i="76" s="1" a="1"/>
  <c r="J169" i="76" s="1"/>
  <c r="J207" i="76" s="1" a="1"/>
  <c r="J207" i="76" s="1"/>
  <c r="G64" i="76" a="1"/>
  <c r="G64" i="76" s="1"/>
  <c r="G129" i="76" s="1" a="1"/>
  <c r="G129" i="76" s="1"/>
  <c r="G169" i="76" s="1" a="1"/>
  <c r="G169" i="76" s="1"/>
  <c r="G207" i="76" s="1" a="1"/>
  <c r="G207" i="76" s="1"/>
  <c r="W81" i="76" a="1"/>
  <c r="W81" i="76" s="1"/>
  <c r="W145" i="76" s="1" a="1"/>
  <c r="W145" i="76" s="1"/>
  <c r="W197" i="76" s="1" a="1"/>
  <c r="W197" i="76" s="1"/>
  <c r="W249" i="76" s="1" a="1"/>
  <c r="W249" i="76" s="1"/>
  <c r="K63" i="76" a="1"/>
  <c r="K63" i="76" s="1"/>
  <c r="K128" i="76" s="1" a="1"/>
  <c r="K128" i="76" s="1"/>
  <c r="K168" i="76" s="1" a="1"/>
  <c r="K168" i="76" s="1"/>
  <c r="K206" i="76" s="1" a="1"/>
  <c r="K206" i="76" s="1"/>
  <c r="U64" i="76"/>
  <c r="U80" i="76" s="1" a="1"/>
  <c r="U80" i="76" s="1"/>
  <c r="U144" i="76" s="1" a="1"/>
  <c r="U144" i="76" s="1"/>
  <c r="U196" i="76" s="1" a="1"/>
  <c r="U196" i="76" s="1"/>
  <c r="U248" i="76" s="1" a="1"/>
  <c r="U248" i="76" s="1"/>
  <c r="U72" i="76" a="1"/>
  <c r="U72" i="76" s="1"/>
  <c r="U136" i="76" s="1" a="1"/>
  <c r="U136" i="76" s="1"/>
  <c r="U188" i="76" s="1" a="1"/>
  <c r="U188" i="76" s="1"/>
  <c r="U240" i="76" s="1" a="1"/>
  <c r="U240" i="76" s="1"/>
  <c r="W83" i="76" a="1"/>
  <c r="W83" i="76" s="1"/>
  <c r="W147" i="76" s="1" a="1"/>
  <c r="W147" i="76" s="1"/>
  <c r="W199" i="76" s="1" a="1"/>
  <c r="W199" i="76" s="1"/>
  <c r="W251" i="76" s="1" a="1"/>
  <c r="W251" i="76" s="1"/>
  <c r="AD66" i="76"/>
  <c r="AD82" i="76" s="1" a="1"/>
  <c r="AD82" i="76" s="1"/>
  <c r="AD146" i="76" s="1" a="1"/>
  <c r="AD146" i="76" s="1"/>
  <c r="AD198" i="76" s="1" a="1"/>
  <c r="AD198" i="76" s="1"/>
  <c r="AD250" i="76" s="1" a="1"/>
  <c r="AD250" i="76" s="1"/>
  <c r="V57" i="76"/>
  <c r="V73" i="76" s="1" a="1"/>
  <c r="V73" i="76" s="1"/>
  <c r="V137" i="76" s="1" a="1"/>
  <c r="V137" i="76" s="1"/>
  <c r="V189" i="76" s="1" a="1"/>
  <c r="V189" i="76" s="1"/>
  <c r="V241" i="76" s="1" a="1"/>
  <c r="V241" i="76" s="1"/>
  <c r="Z58" i="76"/>
  <c r="Z74" i="76" s="1" a="1"/>
  <c r="Z74" i="76" s="1"/>
  <c r="Z138" i="76" s="1" a="1"/>
  <c r="Z138" i="76" s="1"/>
  <c r="Z190" i="76" s="1" a="1"/>
  <c r="Z190" i="76" s="1"/>
  <c r="Z242" i="76" s="1" a="1"/>
  <c r="Z242" i="76" s="1"/>
  <c r="AA76" i="76" a="1"/>
  <c r="AA76" i="76" s="1"/>
  <c r="AA140" i="76" s="1" a="1"/>
  <c r="AA140" i="76" s="1"/>
  <c r="AA192" i="76" s="1" a="1"/>
  <c r="AA192" i="76" s="1"/>
  <c r="AA244" i="76" s="1" a="1"/>
  <c r="AA244" i="76" s="1"/>
  <c r="K65" i="76" a="1"/>
  <c r="K65" i="76" s="1"/>
  <c r="K130" i="76" s="1" a="1"/>
  <c r="K130" i="76" s="1"/>
  <c r="K170" i="76" s="1" a="1"/>
  <c r="K170" i="76" s="1"/>
  <c r="K208" i="76" s="1" a="1"/>
  <c r="K208" i="76" s="1"/>
  <c r="AB65" i="76"/>
  <c r="AB81" i="76" s="1" a="1"/>
  <c r="AB81" i="76" s="1"/>
  <c r="AB145" i="76" s="1" a="1"/>
  <c r="AB145" i="76" s="1"/>
  <c r="AB197" i="76" s="1" a="1"/>
  <c r="AB197" i="76" s="1"/>
  <c r="AB249" i="76" s="1" a="1"/>
  <c r="AB249" i="76" s="1"/>
  <c r="U73" i="76" a="1"/>
  <c r="U73" i="76" s="1"/>
  <c r="U137" i="76" s="1" a="1"/>
  <c r="U137" i="76" s="1"/>
  <c r="U189" i="76" s="1" a="1"/>
  <c r="U189" i="76" s="1"/>
  <c r="U241" i="76" s="1" a="1"/>
  <c r="U241" i="76" s="1"/>
  <c r="AA75" i="76" a="1"/>
  <c r="AA75" i="76" s="1"/>
  <c r="AA139" i="76" s="1" a="1"/>
  <c r="AA139" i="76" s="1"/>
  <c r="AA191" i="76" s="1" a="1"/>
  <c r="AA191" i="76" s="1"/>
  <c r="AA243" i="76" s="1" a="1"/>
  <c r="AA243" i="76" s="1"/>
  <c r="AA72" i="76" a="1"/>
  <c r="AA72" i="76" s="1"/>
  <c r="AA136" i="76" s="1" a="1"/>
  <c r="AA136" i="76" s="1"/>
  <c r="AA188" i="76" s="1" a="1"/>
  <c r="AA188" i="76" s="1"/>
  <c r="AA240" i="76" s="1" a="1"/>
  <c r="AA240" i="76" s="1"/>
  <c r="G62" i="76" a="1"/>
  <c r="G62" i="76" s="1"/>
  <c r="G127" i="76" s="1" a="1"/>
  <c r="G127" i="76" s="1"/>
  <c r="G167" i="76" s="1" a="1"/>
  <c r="G167" i="76" s="1"/>
  <c r="G205" i="76" s="1" a="1"/>
  <c r="G205" i="76" s="1"/>
  <c r="E62" i="76" l="1" a="1"/>
  <c r="E62" i="76" s="1"/>
  <c r="E127" i="76" s="1" a="1"/>
  <c r="E127" i="76" s="1"/>
  <c r="E167" i="76" s="1" a="1"/>
  <c r="E167" i="76" s="1"/>
  <c r="E205" i="76" s="1" a="1"/>
  <c r="E205" i="76" s="1"/>
  <c r="E210" i="76" s="1"/>
  <c r="G13" i="98" s="1"/>
  <c r="E20" i="98" s="1" a="1"/>
  <c r="E20" i="98" s="1"/>
  <c r="U253" i="76"/>
  <c r="F27" i="43" a="1"/>
  <c r="F27" i="43" s="1"/>
  <c r="E27" i="43" a="1"/>
  <c r="E27" i="43" s="1"/>
  <c r="D27" i="43" a="1"/>
  <c r="D27" i="43" s="1"/>
  <c r="F26" i="43" a="1"/>
  <c r="F26" i="43" s="1"/>
  <c r="E26" i="43" a="1"/>
  <c r="E26" i="43" s="1"/>
  <c r="D26" i="43" a="1"/>
  <c r="D26" i="43" s="1"/>
  <c r="F25" i="43" a="1"/>
  <c r="F25" i="43" s="1"/>
  <c r="E25" i="43" a="1"/>
  <c r="E25" i="43" s="1"/>
  <c r="D25" i="43" a="1"/>
  <c r="D25" i="43" s="1"/>
  <c r="F24" i="43" a="1"/>
  <c r="F24" i="43" s="1"/>
  <c r="E24" i="43" a="1"/>
  <c r="E24" i="43" s="1"/>
  <c r="D24" i="43" a="1"/>
  <c r="D24" i="43" s="1"/>
  <c r="F23" i="43" a="1"/>
  <c r="F23" i="43" s="1"/>
  <c r="E23" i="43" a="1"/>
  <c r="E23" i="43" s="1"/>
  <c r="D23" i="43" a="1"/>
  <c r="D23" i="43" s="1"/>
  <c r="F22" i="43" a="1"/>
  <c r="F22" i="43" s="1"/>
  <c r="E22" i="43" a="1"/>
  <c r="E22" i="43" s="1"/>
  <c r="D22" i="43" a="1"/>
  <c r="D22" i="43" s="1"/>
  <c r="F21" i="43" a="1"/>
  <c r="F21" i="43" s="1"/>
  <c r="E21" i="43" a="1"/>
  <c r="E21" i="43" s="1"/>
  <c r="D21" i="43" a="1"/>
  <c r="D21" i="43" s="1"/>
  <c r="F20" i="43" a="1"/>
  <c r="F20" i="43" s="1"/>
  <c r="E20" i="43" a="1"/>
  <c r="E20" i="43" s="1"/>
  <c r="D20" i="43" a="1"/>
  <c r="D20" i="43" s="1"/>
  <c r="F19" i="43" a="1"/>
  <c r="F19" i="43" s="1"/>
  <c r="E19" i="43" a="1"/>
  <c r="E19" i="43" s="1"/>
  <c r="D19" i="43" a="1"/>
  <c r="D19" i="43" s="1"/>
  <c r="F18" i="43" a="1"/>
  <c r="F18" i="43" s="1"/>
  <c r="E18" i="43" a="1"/>
  <c r="E18" i="43" s="1"/>
  <c r="D18" i="43" a="1"/>
  <c r="D18" i="43" s="1"/>
  <c r="F17" i="43" a="1"/>
  <c r="F17" i="43" s="1"/>
  <c r="E17" i="43" a="1"/>
  <c r="E17" i="43" s="1"/>
  <c r="D17" i="43" a="1"/>
  <c r="D17" i="43" s="1"/>
  <c r="F16" i="43" a="1"/>
  <c r="F16" i="43" s="1"/>
  <c r="E16" i="43" a="1"/>
  <c r="E16" i="43" s="1"/>
  <c r="D16" i="43" a="1"/>
  <c r="D16" i="43" s="1"/>
  <c r="F15" i="43" a="1"/>
  <c r="F15" i="43" s="1"/>
  <c r="E15" i="43" a="1"/>
  <c r="E15" i="43" s="1"/>
  <c r="D15" i="43" a="1"/>
  <c r="D15" i="43" s="1"/>
  <c r="F14" i="43" a="1"/>
  <c r="F14" i="43" s="1"/>
  <c r="E14" i="43" a="1"/>
  <c r="E14" i="43" s="1"/>
  <c r="D14" i="43" a="1"/>
  <c r="D14" i="43" s="1"/>
  <c r="F13" i="43" a="1"/>
  <c r="F13" i="43" s="1"/>
  <c r="E13" i="43" a="1"/>
  <c r="E13" i="43" s="1"/>
  <c r="D13" i="43" a="1"/>
  <c r="D13" i="43" s="1"/>
  <c r="F12" i="43" a="1"/>
  <c r="F12" i="43" s="1"/>
  <c r="E12" i="43" a="1"/>
  <c r="E12" i="43" s="1"/>
  <c r="D12" i="43" a="1"/>
  <c r="D12" i="43" s="1"/>
  <c r="F11" i="43" a="1"/>
  <c r="F11" i="43" s="1"/>
  <c r="E11" i="43" a="1"/>
  <c r="E11" i="43" s="1"/>
  <c r="D11" i="43" a="1"/>
  <c r="D11" i="43" s="1"/>
  <c r="F10" i="43" a="1"/>
  <c r="F10" i="43" s="1"/>
  <c r="E10" i="43" a="1"/>
  <c r="E10" i="43" s="1"/>
  <c r="D10" i="43" a="1"/>
  <c r="D10" i="43" s="1"/>
  <c r="D8" i="43" a="1"/>
  <c r="D8" i="43" s="1"/>
  <c r="D7" i="43" a="1"/>
  <c r="D7" i="43" s="1"/>
  <c r="D6" i="43" a="1"/>
  <c r="D6" i="43" s="1"/>
  <c r="U259" i="76" l="1" a="1"/>
  <c r="U259" i="76" s="1"/>
  <c r="W261" i="76" s="1"/>
  <c r="U264" i="76" s="1" a="1"/>
  <c r="U264" i="76" s="1"/>
  <c r="I8" i="13" s="1"/>
  <c r="N13" i="98"/>
  <c r="L20" i="98" s="1" a="1"/>
  <c r="L20" i="98" s="1"/>
  <c r="P13" i="97"/>
  <c r="M16" i="97" s="1" a="1"/>
  <c r="M16" i="97" s="1"/>
  <c r="P28" i="97" s="1"/>
  <c r="M35" i="97" s="1" a="1"/>
  <c r="M35" i="97" s="1"/>
  <c r="N32" i="98"/>
  <c r="L36" i="98" s="1" a="1"/>
  <c r="L36" i="98" s="1"/>
  <c r="G32" i="98"/>
  <c r="E36" i="98" s="1" a="1"/>
  <c r="E36" i="98" s="1"/>
  <c r="I7" i="13"/>
  <c r="H7" i="13"/>
  <c r="E227" i="76" a="1"/>
  <c r="E227" i="76" s="1"/>
  <c r="H13" i="97"/>
  <c r="E16" i="97" s="1" a="1"/>
  <c r="E16" i="97" s="1"/>
  <c r="H28" i="97" s="1"/>
  <c r="E35" i="97" s="1" a="1"/>
  <c r="E35" i="97" s="1"/>
  <c r="E29" i="15"/>
  <c r="E7" i="13" l="1"/>
  <c r="F7" i="13"/>
  <c r="E10" i="13"/>
  <c r="G38" i="98"/>
  <c r="E41" i="98" s="1" a="1"/>
  <c r="E41" i="98" s="1"/>
  <c r="H10" i="13" s="1"/>
  <c r="F8" i="13"/>
  <c r="G37" i="97"/>
  <c r="E40" i="97" s="1" a="1"/>
  <c r="E40" i="97" s="1"/>
  <c r="H9" i="13" s="1"/>
  <c r="E9" i="13"/>
  <c r="F10" i="13"/>
  <c r="N38" i="98"/>
  <c r="L41" i="98" s="1" a="1"/>
  <c r="L41" i="98" s="1"/>
  <c r="I10" i="13" s="1"/>
  <c r="O37" i="97"/>
  <c r="M40" i="97" s="1" a="1"/>
  <c r="M40" i="97" s="1"/>
  <c r="I9" i="13" s="1"/>
  <c r="F9" i="13"/>
  <c r="G229" i="76"/>
  <c r="E232" i="76" s="1" a="1"/>
  <c r="E232" i="76" s="1"/>
  <c r="H8" i="13" s="1"/>
  <c r="E8" i="13"/>
  <c r="E13" i="15"/>
  <c r="I11" i="13" l="1"/>
  <c r="H11" i="13"/>
  <c r="G292" i="69"/>
  <c r="E295" i="69" s="1" a="1"/>
  <c r="E295" i="69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<sst xmlns="http://schemas.openxmlformats.org/spreadsheetml/2006/main" count="1211" uniqueCount="354">
  <si>
    <t>Home</t>
  </si>
  <si>
    <t>N2O MMS</t>
  </si>
  <si>
    <t>Sources &amp; acknowledgements</t>
  </si>
  <si>
    <t>INPUTS</t>
  </si>
  <si>
    <t>APPENDICES</t>
  </si>
  <si>
    <t>Emissions breakdown</t>
  </si>
  <si>
    <t>Test Farms</t>
  </si>
  <si>
    <t>Farm name</t>
  </si>
  <si>
    <t>State</t>
  </si>
  <si>
    <t>Leaching zone</t>
  </si>
  <si>
    <t>Climate zone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</si>
  <si>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Please select</t>
    </r>
  </si>
  <si>
    <t>Degrees celsius</t>
  </si>
  <si>
    <t>Millimetres</t>
  </si>
  <si>
    <t>Location and climate</t>
  </si>
  <si>
    <t>Your business</t>
  </si>
  <si>
    <t>Location information is used to reference some region and climate-specific emission factors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</si>
  <si>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Automatically calculated, 12 months after start date</t>
    </r>
  </si>
  <si>
    <t>Percent</t>
  </si>
  <si>
    <t>Unit</t>
  </si>
  <si>
    <t>Manure management system</t>
  </si>
  <si>
    <t>State/Territory</t>
  </si>
  <si>
    <t>Common Name</t>
  </si>
  <si>
    <t>Abbreviation</t>
  </si>
  <si>
    <t>SA 4 Name</t>
  </si>
  <si>
    <t>Region (ABS Statistical area level 4) if state is WA</t>
  </si>
  <si>
    <t>Function name</t>
  </si>
  <si>
    <t>Gas</t>
  </si>
  <si>
    <t>CO2-e factor</t>
  </si>
  <si>
    <t>Variable</t>
  </si>
  <si>
    <t>Conversion factor</t>
  </si>
  <si>
    <t>Conversion factor 1</t>
  </si>
  <si>
    <t>Conversion factor 2</t>
  </si>
  <si>
    <t>Conversion factor combined</t>
  </si>
  <si>
    <t>Western Australia - Outback (South)</t>
  </si>
  <si>
    <t>Rainfall zone</t>
  </si>
  <si>
    <t>MAT</t>
  </si>
  <si>
    <t>MAP</t>
  </si>
  <si>
    <t>Frost days per year</t>
  </si>
  <si>
    <t>Elevation</t>
  </si>
  <si>
    <t>MAP:PET</t>
  </si>
  <si>
    <t>Min temp</t>
  </si>
  <si>
    <t>Max temp</t>
  </si>
  <si>
    <t>Min rainfall</t>
  </si>
  <si>
    <t>Max rainfall</t>
  </si>
  <si>
    <t>Min frost days</t>
  </si>
  <si>
    <t>Min elevation</t>
  </si>
  <si>
    <t>Min MAP:PET</t>
  </si>
  <si>
    <t>Wet or Dry Zone</t>
  </si>
  <si>
    <t>Max frost days</t>
  </si>
  <si>
    <t>Max elevation</t>
  </si>
  <si>
    <t>Max MAP:PET</t>
  </si>
  <si>
    <t>Temperature zone</t>
  </si>
  <si>
    <t>Meters</t>
  </si>
  <si>
    <t>Days</t>
  </si>
  <si>
    <t>Temperature Zone</t>
  </si>
  <si>
    <t>Min MAT</t>
  </si>
  <si>
    <t>Max MAT</t>
  </si>
  <si>
    <t>Rainfall Zone</t>
  </si>
  <si>
    <t>Annual rainfall</t>
  </si>
  <si>
    <t>MAP:PET ratio</t>
  </si>
  <si>
    <t>Average temperature for reporting period</t>
  </si>
  <si>
    <t>Total rainfall for reporting period</t>
  </si>
  <si>
    <t>Potential evapotranspiration for reporting period</t>
  </si>
  <si>
    <t>Number of frost days for reporting period</t>
  </si>
  <si>
    <t>Leaching Zone</t>
  </si>
  <si>
    <t>Leaching criteria</t>
  </si>
  <si>
    <t>MMS</t>
  </si>
  <si>
    <t>Data source</t>
  </si>
  <si>
    <t>Data score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</si>
  <si>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DD/MM/YYYY or DD Month YYYY</t>
    </r>
  </si>
  <si>
    <t>Tip: Use the web-based GAF Location Helper tool to easily get region and climate information. You will need an internet connection to use the GAF Location Helper.</t>
  </si>
  <si>
    <t>Reporting entity name</t>
  </si>
  <si>
    <t>Test Farms Pty Ltd</t>
  </si>
  <si>
    <t>Freight and transport</t>
  </si>
  <si>
    <t>Enteric methane</t>
  </si>
  <si>
    <t>CALCULATIONS</t>
  </si>
  <si>
    <t>Constants - Common</t>
  </si>
  <si>
    <t>Waste</t>
  </si>
  <si>
    <t>Constants - Livestock</t>
  </si>
  <si>
    <t>Symbol</t>
  </si>
  <si>
    <t>Symbol and MMS</t>
  </si>
  <si>
    <t>ACT</t>
  </si>
  <si>
    <t>NSW</t>
  </si>
  <si>
    <t>NT</t>
  </si>
  <si>
    <t>QLD</t>
  </si>
  <si>
    <t>SA</t>
  </si>
  <si>
    <t>TAS</t>
  </si>
  <si>
    <t>VIC</t>
  </si>
  <si>
    <t>WA</t>
  </si>
  <si>
    <t>💡An 'Emissions accounting period' is a 12 month period where the business can report on the emissions, and is typically the same as the business' financial accounting period.</t>
  </si>
  <si>
    <t>Input - Site</t>
  </si>
  <si>
    <t>Wet or dry climate zone</t>
  </si>
  <si>
    <t>Is in leaching zone</t>
  </si>
  <si>
    <t>FracWET</t>
  </si>
  <si>
    <t>NO - Not in leaching zone</t>
  </si>
  <si>
    <t>Emissions calculation period start date</t>
  </si>
  <si>
    <t>Emissions calculation period end date</t>
  </si>
  <si>
    <r>
      <t>MCF</t>
    </r>
    <r>
      <rPr>
        <b/>
        <vertAlign val="subscript"/>
        <sz val="11"/>
        <color rgb="FF183C1B"/>
        <rFont val="Times New Roman"/>
        <family val="1"/>
      </rPr>
      <t>im</t>
    </r>
  </si>
  <si>
    <t>Fraction</t>
  </si>
  <si>
    <t>head</t>
  </si>
  <si>
    <t>Head</t>
  </si>
  <si>
    <r>
      <t>E</t>
    </r>
    <r>
      <rPr>
        <vertAlign val="subscript"/>
        <sz val="12"/>
        <color theme="1" tint="0.24994659260841701"/>
        <rFont val="Times New Roman"/>
        <family val="1"/>
      </rPr>
      <t>CO2e</t>
    </r>
  </si>
  <si>
    <t>M1_Table_CP_j</t>
  </si>
  <si>
    <t>M2_Table_CP_j</t>
  </si>
  <si>
    <t>Method 1</t>
  </si>
  <si>
    <t>Method 2</t>
  </si>
  <si>
    <r>
      <t>E</t>
    </r>
    <r>
      <rPr>
        <b/>
        <vertAlign val="subscript"/>
        <sz val="16"/>
        <color theme="1" tint="0.24994659260841701"/>
        <rFont val="Times New Roman"/>
        <family val="1"/>
      </rPr>
      <t>N2O,dir</t>
    </r>
  </si>
  <si>
    <t>Scope 1 source</t>
  </si>
  <si>
    <t>Production system j</t>
  </si>
  <si>
    <t>EFN2O</t>
  </si>
  <si>
    <t>Production system only</t>
  </si>
  <si>
    <t>Irrigation method</t>
  </si>
  <si>
    <t>Production system</t>
  </si>
  <si>
    <t>Total</t>
  </si>
  <si>
    <t>GHG Unit</t>
  </si>
  <si>
    <t>CO2-e unit</t>
  </si>
  <si>
    <t>Bulls &gt; 1 year</t>
  </si>
  <si>
    <t>Bulls &lt; 1 year</t>
  </si>
  <si>
    <t>Month</t>
  </si>
  <si>
    <t>kg/head</t>
  </si>
  <si>
    <t>kg/head/day</t>
  </si>
  <si>
    <t>Milk production</t>
  </si>
  <si>
    <t>fraction</t>
  </si>
  <si>
    <t>Feed intake (Method 2)</t>
  </si>
  <si>
    <t>Feed intake (Method 1)</t>
  </si>
  <si>
    <t>M1_Table_MCF_i_m</t>
  </si>
  <si>
    <t>M1_Table_D_j</t>
  </si>
  <si>
    <t>M1_Table_E_CH4</t>
  </si>
  <si>
    <t>t CH4</t>
  </si>
  <si>
    <t>M2_Table_D_j</t>
  </si>
  <si>
    <t>Intake relative to maintenance (Method 1)</t>
  </si>
  <si>
    <t>Intake relative to maintenance (Method 2)</t>
  </si>
  <si>
    <t>Irrigation type i</t>
  </si>
  <si>
    <t>t CO2e</t>
  </si>
  <si>
    <t>EFPRP</t>
  </si>
  <si>
    <t>4.3.1.12-13 Soil leaching and runoff N2O</t>
  </si>
  <si>
    <r>
      <t>E</t>
    </r>
    <r>
      <rPr>
        <b/>
        <vertAlign val="subscript"/>
        <sz val="12"/>
        <color theme="1" tint="0.24994659260841701"/>
        <rFont val="Times New Roman"/>
        <family val="1"/>
      </rPr>
      <t>N2O,leach</t>
    </r>
  </si>
  <si>
    <t>GHG emissions method 1</t>
  </si>
  <si>
    <t>GHG emissions method 2</t>
  </si>
  <si>
    <t>CO2-e emissions method 1</t>
  </si>
  <si>
    <t>CO2-e emissions method 2</t>
  </si>
  <si>
    <t>4.2.1.1-2 Manure methane</t>
  </si>
  <si>
    <t>Cows &lt; 1 year</t>
  </si>
  <si>
    <t>Cows 1-2 years</t>
  </si>
  <si>
    <t>Cows 2-3 years</t>
  </si>
  <si>
    <t>Cows &gt; 3 years</t>
  </si>
  <si>
    <t>Steers &lt; 1 year</t>
  </si>
  <si>
    <t>Steers 1-2 years</t>
  </si>
  <si>
    <t>Steers 2-3 years</t>
  </si>
  <si>
    <t>Steers &gt;3 years</t>
  </si>
  <si>
    <t>Spring</t>
  </si>
  <si>
    <t>Summer</t>
  </si>
  <si>
    <t>Autumn</t>
  </si>
  <si>
    <t>Winter</t>
  </si>
  <si>
    <t>Season</t>
  </si>
  <si>
    <t>Western Australia</t>
  </si>
  <si>
    <t>M1_Table_LC_j_k-4-5</t>
  </si>
  <si>
    <t>M1_Table_LWG_j_k_l</t>
  </si>
  <si>
    <t>Liveweight gain (Method 1)</t>
  </si>
  <si>
    <t>Liveweight (Method 1)</t>
  </si>
  <si>
    <t>M1_Table_I_j_k_l</t>
  </si>
  <si>
    <t>M2_Table_LC_j_k-4-5</t>
  </si>
  <si>
    <t>Proportion of cows in calf during season (Method 2)</t>
  </si>
  <si>
    <t>Proportion of cows in calf during season (Method 1)</t>
  </si>
  <si>
    <t>M2_Table_LW_j_k_l</t>
  </si>
  <si>
    <t>Liveweight (Method 2)</t>
  </si>
  <si>
    <t>M2_Table_LWG_j_k_l</t>
  </si>
  <si>
    <t>Liveweight gain (Method 2)</t>
  </si>
  <si>
    <t>M2_Table_I_j_k_l</t>
  </si>
  <si>
    <t>M1_Table_N_j_k_l</t>
  </si>
  <si>
    <t>Number of beef cattle (Method 1)</t>
  </si>
  <si>
    <t>Duration of stay in each time period (Method 1)</t>
  </si>
  <si>
    <t>days</t>
  </si>
  <si>
    <t>M2_Table_N_j_k_l</t>
  </si>
  <si>
    <t>Number of beef cattle (Method 2)</t>
  </si>
  <si>
    <t>Duration of stay in each time period (Method 2)</t>
  </si>
  <si>
    <t>4.2.1.3-4 Manure Direct N2O</t>
  </si>
  <si>
    <t>M1_Table_W_j_k_l</t>
  </si>
  <si>
    <t>Variable is LW in Methane</t>
  </si>
  <si>
    <t>Standard reference weight</t>
  </si>
  <si>
    <t>Table_SRW_k</t>
  </si>
  <si>
    <t>M1_Table_Z_j_k_l</t>
  </si>
  <si>
    <t>Relative size (Method 1)</t>
  </si>
  <si>
    <t>M2_Table_Z_j_k_l</t>
  </si>
  <si>
    <t>Relative size (Method 2)</t>
  </si>
  <si>
    <t>M1_Table_L_j_k_l</t>
  </si>
  <si>
    <t>M1_Table_MP_j_k-4-5</t>
  </si>
  <si>
    <t>Methane equation subscript is 4,5</t>
  </si>
  <si>
    <t>M1_Table_NR_j_k_l</t>
  </si>
  <si>
    <t>Nitrogen retained in the body (Method 1)</t>
  </si>
  <si>
    <t>M1_Table_MC_j_k_1-3-6</t>
  </si>
  <si>
    <t>Because more than one cattle class can produce milk, we will take an average of their milk production. May change to using cows 2-3 instead.</t>
  </si>
  <si>
    <t>M1_Table_NE_j_k_l</t>
  </si>
  <si>
    <t>M1_Table_AE</t>
  </si>
  <si>
    <t>Total nitrogen excreted to pasture, range and paddock (Method 1)</t>
  </si>
  <si>
    <t>AE</t>
  </si>
  <si>
    <t>t N2O</t>
  </si>
  <si>
    <t>4.2.1.3-4 Soil direct N2O</t>
  </si>
  <si>
    <t>4.2.1.5-6 Soil atmospheric deposition</t>
  </si>
  <si>
    <t>4.2.1.7-8 Soil leaching and runoff</t>
  </si>
  <si>
    <t>4.2.1.5-6 Soil atmospheric deposition N2O</t>
  </si>
  <si>
    <t>M2_Table_L_j_k_l</t>
  </si>
  <si>
    <t>M2_Table_NR_j_k_l</t>
  </si>
  <si>
    <t>Nitrogen retained in the body (Method 2)</t>
  </si>
  <si>
    <t>Crude protein (Method 2)</t>
  </si>
  <si>
    <t>Crude protein (Method 1)</t>
  </si>
  <si>
    <t>Milk consumption (Method 2)</t>
  </si>
  <si>
    <t>Milk consumption (Method 1)</t>
  </si>
  <si>
    <t>Nitrogen excreted (Method 1)</t>
  </si>
  <si>
    <t>M2_Table_NE_j_k_l</t>
  </si>
  <si>
    <t>Nitrogen excreted (Method 2)</t>
  </si>
  <si>
    <t>M2_Table_AE</t>
  </si>
  <si>
    <t>Total nitrogen excreted to pasture, range and paddock (Method 2)</t>
  </si>
  <si>
    <r>
      <t>M</t>
    </r>
    <r>
      <rPr>
        <b/>
        <vertAlign val="subscript"/>
        <sz val="12"/>
        <color theme="1" tint="0.24994659260841701"/>
        <rFont val="Times New Roman"/>
        <family val="1"/>
      </rPr>
      <t>vol</t>
    </r>
  </si>
  <si>
    <r>
      <t>E</t>
    </r>
    <r>
      <rPr>
        <b/>
        <vertAlign val="subscript"/>
        <sz val="12"/>
        <color theme="1" tint="0.24994659260841701"/>
        <rFont val="Times New Roman"/>
        <family val="1"/>
      </rPr>
      <t>N2O,ad</t>
    </r>
  </si>
  <si>
    <r>
      <t>M</t>
    </r>
    <r>
      <rPr>
        <b/>
        <vertAlign val="subscript"/>
        <sz val="12"/>
        <color theme="1" tint="0.24994659260841701"/>
        <rFont val="Times New Roman"/>
        <family val="1"/>
      </rPr>
      <t>leach</t>
    </r>
  </si>
  <si>
    <t>Acknowledgements</t>
  </si>
  <si>
    <t>4.5 Manure management: Swine: Results</t>
  </si>
  <si>
    <t>Input -Swine</t>
  </si>
  <si>
    <t>Constants - Swine</t>
  </si>
  <si>
    <t>Manure production</t>
  </si>
  <si>
    <t>Boars</t>
  </si>
  <si>
    <t>Sows</t>
  </si>
  <si>
    <t>Gilts</t>
  </si>
  <si>
    <t>Suckers</t>
  </si>
  <si>
    <t>Weaners</t>
  </si>
  <si>
    <t>Growers</t>
  </si>
  <si>
    <t>Slaughter pigs</t>
  </si>
  <si>
    <t>Volatile solids produced per head per day</t>
  </si>
  <si>
    <t>Nitrogen produced in swine waste per head per day</t>
  </si>
  <si>
    <t>kg N/head/day</t>
  </si>
  <si>
    <t>Conventional housing</t>
  </si>
  <si>
    <t>Solid storage</t>
  </si>
  <si>
    <t>Yes</t>
  </si>
  <si>
    <t>Added 'other' value from NIR</t>
  </si>
  <si>
    <t>Class</t>
  </si>
  <si>
    <t>VSj</t>
  </si>
  <si>
    <t>CHange title to match source</t>
  </si>
  <si>
    <t>CHange source</t>
  </si>
  <si>
    <t>NIR definition</t>
  </si>
  <si>
    <t>Swine Manure management systems</t>
  </si>
  <si>
    <t>Swine Manure management systems excl. solid storage and direct application</t>
  </si>
  <si>
    <t>Swine Manure management systems excl. direct application</t>
  </si>
  <si>
    <t>Fraction volatile solids lost during storage in primary system</t>
  </si>
  <si>
    <t>Swine housing</t>
  </si>
  <si>
    <t>VSL</t>
  </si>
  <si>
    <t>4.5.1.1-2 Manure Methane</t>
  </si>
  <si>
    <t>Inconsistencies - 'primary system' vs 'stage 1'</t>
  </si>
  <si>
    <t>If this is directly related to equation 5, the mms numbers should be the same eg 1,7,9 (and probably 8,)</t>
  </si>
  <si>
    <t>SSm should be SSjm</t>
  </si>
  <si>
    <t>Table_MMS_j_m-1-7-9-8_T-1</t>
  </si>
  <si>
    <t>Fraction VS sent to MMS other than solid storage in stage 1</t>
  </si>
  <si>
    <t>Stage 1 management</t>
  </si>
  <si>
    <r>
      <t>MMS</t>
    </r>
    <r>
      <rPr>
        <b/>
        <vertAlign val="subscript"/>
        <sz val="11"/>
        <color rgb="FF183C1B"/>
        <rFont val="Times New Roman"/>
        <family val="1"/>
      </rPr>
      <t>j=1,m=1,7,9,8,13,T=1</t>
    </r>
  </si>
  <si>
    <r>
      <t>MMS</t>
    </r>
    <r>
      <rPr>
        <b/>
        <vertAlign val="subscript"/>
        <sz val="11"/>
        <color rgb="FF183C1B"/>
        <rFont val="Times New Roman"/>
        <family val="1"/>
      </rPr>
      <t>j=2,m=1,7,9,8,13,T=1</t>
    </r>
  </si>
  <si>
    <r>
      <t>MMS</t>
    </r>
    <r>
      <rPr>
        <b/>
        <vertAlign val="subscript"/>
        <sz val="11"/>
        <color rgb="FF183C1B"/>
        <rFont val="Times New Roman"/>
        <family val="1"/>
      </rPr>
      <t>j=3,m=1,7,9,8,13,T=1</t>
    </r>
  </si>
  <si>
    <r>
      <t>MMS</t>
    </r>
    <r>
      <rPr>
        <b/>
        <vertAlign val="subscript"/>
        <sz val="11"/>
        <color rgb="FF183C1B"/>
        <rFont val="Times New Roman"/>
        <family val="1"/>
      </rPr>
      <t>j=4,m=1,7,9,8,13,T=1</t>
    </r>
  </si>
  <si>
    <r>
      <t>SS</t>
    </r>
    <r>
      <rPr>
        <b/>
        <vertAlign val="subscript"/>
        <sz val="11"/>
        <color rgb="FF183C1B"/>
        <rFont val="Times New Roman"/>
        <family val="1"/>
      </rPr>
      <t>j=1m=1,7,9</t>
    </r>
  </si>
  <si>
    <r>
      <t>SS</t>
    </r>
    <r>
      <rPr>
        <b/>
        <vertAlign val="subscript"/>
        <sz val="11"/>
        <color rgb="FF183C1B"/>
        <rFont val="Times New Roman"/>
        <family val="1"/>
      </rPr>
      <t>j=2m=1,7,9</t>
    </r>
  </si>
  <si>
    <r>
      <t>SS</t>
    </r>
    <r>
      <rPr>
        <b/>
        <vertAlign val="subscript"/>
        <sz val="11"/>
        <color rgb="FF183C1B"/>
        <rFont val="Times New Roman"/>
        <family val="1"/>
      </rPr>
      <t>j=3m=1,7,9</t>
    </r>
  </si>
  <si>
    <r>
      <t>SS</t>
    </r>
    <r>
      <rPr>
        <b/>
        <vertAlign val="subscript"/>
        <sz val="11"/>
        <color rgb="FF183C1B"/>
        <rFont val="Times New Roman"/>
        <family val="1"/>
      </rPr>
      <t>j=4m=1,7,9</t>
    </r>
  </si>
  <si>
    <r>
      <t>FVS</t>
    </r>
    <r>
      <rPr>
        <b/>
        <vertAlign val="subscript"/>
        <sz val="11"/>
        <color rgb="FF183C1B"/>
        <rFont val="Times New Roman"/>
        <family val="1"/>
      </rPr>
      <t>j,m=1,7,9,T=1</t>
    </r>
  </si>
  <si>
    <t>Rename to 'Fraction of volatile solids in primary system in solid storage'</t>
  </si>
  <si>
    <t>should have mms numbers in SSm</t>
  </si>
  <si>
    <t>Table_MMS_j_m-4_T-1</t>
  </si>
  <si>
    <t>Fraction primary system solid storage</t>
  </si>
  <si>
    <r>
      <t>MMS</t>
    </r>
    <r>
      <rPr>
        <b/>
        <vertAlign val="subscript"/>
        <sz val="11"/>
        <color rgb="FF183C1B"/>
        <rFont val="Times New Roman"/>
        <family val="1"/>
      </rPr>
      <t>j=1,m=4,T=1</t>
    </r>
  </si>
  <si>
    <r>
      <t>MMS</t>
    </r>
    <r>
      <rPr>
        <b/>
        <vertAlign val="subscript"/>
        <sz val="11"/>
        <color rgb="FF183C1B"/>
        <rFont val="Times New Roman"/>
        <family val="1"/>
      </rPr>
      <t>j=2,m=4,T=1</t>
    </r>
  </si>
  <si>
    <r>
      <t>MMS</t>
    </r>
    <r>
      <rPr>
        <b/>
        <vertAlign val="subscript"/>
        <sz val="11"/>
        <color rgb="FF183C1B"/>
        <rFont val="Times New Roman"/>
        <family val="1"/>
      </rPr>
      <t>j=3,m=4,T=1</t>
    </r>
  </si>
  <si>
    <r>
      <t>MMS</t>
    </r>
    <r>
      <rPr>
        <b/>
        <vertAlign val="subscript"/>
        <sz val="11"/>
        <color rgb="FF183C1B"/>
        <rFont val="Times New Roman"/>
        <family val="1"/>
      </rPr>
      <t>j=4,m=4,T=1</t>
    </r>
  </si>
  <si>
    <r>
      <t>FVS</t>
    </r>
    <r>
      <rPr>
        <b/>
        <vertAlign val="subscript"/>
        <sz val="11"/>
        <color rgb="FF183C1B"/>
        <rFont val="Times New Roman"/>
        <family val="1"/>
      </rPr>
      <t>j=1,m=4,T=1</t>
    </r>
  </si>
  <si>
    <r>
      <t>FVS</t>
    </r>
    <r>
      <rPr>
        <b/>
        <vertAlign val="subscript"/>
        <sz val="11"/>
        <color rgb="FF183C1B"/>
        <rFont val="Times New Roman"/>
        <family val="1"/>
      </rPr>
      <t>j=2,m=4,T=1</t>
    </r>
  </si>
  <si>
    <r>
      <t>FVS</t>
    </r>
    <r>
      <rPr>
        <b/>
        <vertAlign val="subscript"/>
        <sz val="11"/>
        <color rgb="FF183C1B"/>
        <rFont val="Times New Roman"/>
        <family val="1"/>
      </rPr>
      <t>j=3,m=4,T=1</t>
    </r>
  </si>
  <si>
    <r>
      <t>FVS</t>
    </r>
    <r>
      <rPr>
        <b/>
        <vertAlign val="subscript"/>
        <sz val="11"/>
        <color rgb="FF183C1B"/>
        <rFont val="Times New Roman"/>
        <family val="1"/>
      </rPr>
      <t>j=4,m=4,T=1</t>
    </r>
  </si>
  <si>
    <t>Should be kg/head/day</t>
  </si>
  <si>
    <t>Table_VS_j</t>
  </si>
  <si>
    <t>Daily volatile solid production</t>
  </si>
  <si>
    <r>
      <t>VS</t>
    </r>
    <r>
      <rPr>
        <b/>
        <vertAlign val="subscript"/>
        <sz val="11"/>
        <color rgb="FF183C1B"/>
        <rFont val="Times New Roman"/>
        <family val="1"/>
      </rPr>
      <t>j=1</t>
    </r>
  </si>
  <si>
    <r>
      <t>VS</t>
    </r>
    <r>
      <rPr>
        <b/>
        <vertAlign val="subscript"/>
        <sz val="11"/>
        <color rgb="FF183C1B"/>
        <rFont val="Times New Roman"/>
        <family val="1"/>
      </rPr>
      <t>j=2</t>
    </r>
  </si>
  <si>
    <r>
      <t>VS</t>
    </r>
    <r>
      <rPr>
        <b/>
        <vertAlign val="subscript"/>
        <sz val="11"/>
        <color rgb="FF183C1B"/>
        <rFont val="Times New Roman"/>
        <family val="1"/>
      </rPr>
      <t>j=3</t>
    </r>
  </si>
  <si>
    <r>
      <t>VS</t>
    </r>
    <r>
      <rPr>
        <b/>
        <vertAlign val="subscript"/>
        <sz val="11"/>
        <color rgb="FF183C1B"/>
        <rFont val="Times New Roman"/>
        <family val="1"/>
      </rPr>
      <t>j=4</t>
    </r>
  </si>
  <si>
    <t>Table_VSL_m_T-1</t>
  </si>
  <si>
    <r>
      <t>VSL</t>
    </r>
    <r>
      <rPr>
        <b/>
        <vertAlign val="subscript"/>
        <sz val="11"/>
        <color rgb="FF183C1B"/>
        <rFont val="Times New Roman"/>
        <family val="1"/>
      </rPr>
      <t>m,T=1</t>
    </r>
  </si>
  <si>
    <t>create source data in sourcedata file</t>
  </si>
  <si>
    <r>
      <t>VST</t>
    </r>
    <r>
      <rPr>
        <b/>
        <vertAlign val="subscript"/>
        <sz val="11"/>
        <color rgb="FF183C1B"/>
        <rFont val="Times New Roman"/>
        <family val="1"/>
      </rPr>
      <t>j=1,m,T=2</t>
    </r>
  </si>
  <si>
    <r>
      <t>VST</t>
    </r>
    <r>
      <rPr>
        <b/>
        <vertAlign val="subscript"/>
        <sz val="11"/>
        <color rgb="FF183C1B"/>
        <rFont val="Times New Roman"/>
        <family val="1"/>
      </rPr>
      <t>j=2,m,T=1</t>
    </r>
  </si>
  <si>
    <r>
      <t>VST</t>
    </r>
    <r>
      <rPr>
        <b/>
        <vertAlign val="subscript"/>
        <sz val="11"/>
        <color rgb="FF183C1B"/>
        <rFont val="Times New Roman"/>
        <family val="1"/>
      </rPr>
      <t>j=3,m,T=1</t>
    </r>
  </si>
  <si>
    <r>
      <t>VST</t>
    </r>
    <r>
      <rPr>
        <b/>
        <vertAlign val="subscript"/>
        <sz val="11"/>
        <color rgb="FF183C1B"/>
        <rFont val="Times New Roman"/>
        <family val="1"/>
      </rPr>
      <t>j=4,m,T=1</t>
    </r>
  </si>
  <si>
    <t>Add variation - temperature zone or state</t>
  </si>
  <si>
    <t>Table_MMS_j_m_T-2</t>
  </si>
  <si>
    <t>Fraction of manure in each secondary system</t>
  </si>
  <si>
    <t>Stage 2 management</t>
  </si>
  <si>
    <r>
      <t>MMS</t>
    </r>
    <r>
      <rPr>
        <b/>
        <vertAlign val="subscript"/>
        <sz val="11"/>
        <color rgb="FF183C1B"/>
        <rFont val="Times New Roman"/>
        <family val="1"/>
      </rPr>
      <t>j=1,m,T=2</t>
    </r>
  </si>
  <si>
    <r>
      <t>MMS</t>
    </r>
    <r>
      <rPr>
        <b/>
        <vertAlign val="subscript"/>
        <sz val="11"/>
        <color rgb="FF183C1B"/>
        <rFont val="Times New Roman"/>
        <family val="1"/>
      </rPr>
      <t>j=2,m,T=2</t>
    </r>
  </si>
  <si>
    <r>
      <t>MMS</t>
    </r>
    <r>
      <rPr>
        <b/>
        <vertAlign val="subscript"/>
        <sz val="11"/>
        <color rgb="FF183C1B"/>
        <rFont val="Times New Roman"/>
        <family val="1"/>
      </rPr>
      <t>j=3,m,T=2</t>
    </r>
  </si>
  <si>
    <r>
      <t>MMS</t>
    </r>
    <r>
      <rPr>
        <b/>
        <vertAlign val="subscript"/>
        <sz val="11"/>
        <color rgb="FF183C1B"/>
        <rFont val="Times New Roman"/>
        <family val="1"/>
      </rPr>
      <t>j=4,m,T=2</t>
    </r>
  </si>
  <si>
    <r>
      <t>M</t>
    </r>
    <r>
      <rPr>
        <b/>
        <vertAlign val="subscript"/>
        <sz val="11"/>
        <color rgb="FF183C1B"/>
        <rFont val="Times New Roman"/>
        <family val="1"/>
      </rPr>
      <t>i,j=1,m,T=2</t>
    </r>
  </si>
  <si>
    <r>
      <t>M</t>
    </r>
    <r>
      <rPr>
        <b/>
        <vertAlign val="subscript"/>
        <sz val="11"/>
        <color rgb="FF183C1B"/>
        <rFont val="Times New Roman"/>
        <family val="1"/>
      </rPr>
      <t>i,j=2,m,T=2</t>
    </r>
  </si>
  <si>
    <r>
      <t>M</t>
    </r>
    <r>
      <rPr>
        <b/>
        <vertAlign val="subscript"/>
        <sz val="11"/>
        <color rgb="FF183C1B"/>
        <rFont val="Times New Roman"/>
        <family val="1"/>
      </rPr>
      <t>i,j=3,m,T=2</t>
    </r>
  </si>
  <si>
    <r>
      <t>M</t>
    </r>
    <r>
      <rPr>
        <b/>
        <vertAlign val="subscript"/>
        <sz val="11"/>
        <color rgb="FF183C1B"/>
        <rFont val="Times New Roman"/>
        <family val="1"/>
      </rPr>
      <t>i,j=4,m,T=2</t>
    </r>
  </si>
  <si>
    <t>Table_M_i_j_m_T-1</t>
  </si>
  <si>
    <t>Production of methane for each MMS in stage 1</t>
  </si>
  <si>
    <r>
      <t>M</t>
    </r>
    <r>
      <rPr>
        <b/>
        <vertAlign val="subscript"/>
        <sz val="11"/>
        <color rgb="FF183C1B"/>
        <rFont val="Times New Roman"/>
        <family val="1"/>
      </rPr>
      <t>ij=1,m,T=1</t>
    </r>
  </si>
  <si>
    <r>
      <t>M</t>
    </r>
    <r>
      <rPr>
        <b/>
        <vertAlign val="subscript"/>
        <sz val="11"/>
        <color rgb="FF183C1B"/>
        <rFont val="Times New Roman"/>
        <family val="1"/>
      </rPr>
      <t>ij=2,m,T=1</t>
    </r>
  </si>
  <si>
    <r>
      <t>M</t>
    </r>
    <r>
      <rPr>
        <b/>
        <vertAlign val="subscript"/>
        <sz val="11"/>
        <color rgb="FF183C1B"/>
        <rFont val="Times New Roman"/>
        <family val="1"/>
      </rPr>
      <t>ij=3,m,T=1</t>
    </r>
  </si>
  <si>
    <r>
      <t>M</t>
    </r>
    <r>
      <rPr>
        <b/>
        <vertAlign val="subscript"/>
        <sz val="11"/>
        <color rgb="FF183C1B"/>
        <rFont val="Times New Roman"/>
        <family val="1"/>
      </rPr>
      <t>ij=4,m,T=1</t>
    </r>
  </si>
  <si>
    <t>See table</t>
  </si>
  <si>
    <t>Table_M_m_j</t>
  </si>
  <si>
    <t>Production of methane for all MMS in stages 1 and 2</t>
  </si>
  <si>
    <r>
      <t>M</t>
    </r>
    <r>
      <rPr>
        <b/>
        <vertAlign val="subscript"/>
        <sz val="11"/>
        <color rgb="FF183C1B"/>
        <rFont val="Times New Roman"/>
        <family val="1"/>
      </rPr>
      <t>mj=1</t>
    </r>
  </si>
  <si>
    <r>
      <t>M</t>
    </r>
    <r>
      <rPr>
        <b/>
        <vertAlign val="subscript"/>
        <sz val="11"/>
        <color rgb="FF183C1B"/>
        <rFont val="Times New Roman"/>
        <family val="1"/>
      </rPr>
      <t>mj=2</t>
    </r>
  </si>
  <si>
    <r>
      <t>M</t>
    </r>
    <r>
      <rPr>
        <b/>
        <vertAlign val="subscript"/>
        <sz val="11"/>
        <color rgb="FF183C1B"/>
        <rFont val="Times New Roman"/>
        <family val="1"/>
      </rPr>
      <t>mj=3</t>
    </r>
  </si>
  <si>
    <r>
      <t>M</t>
    </r>
    <r>
      <rPr>
        <b/>
        <vertAlign val="subscript"/>
        <sz val="11"/>
        <color rgb="FF183C1B"/>
        <rFont val="Times New Roman"/>
        <family val="1"/>
      </rPr>
      <t>mj=4</t>
    </r>
  </si>
  <si>
    <t>Table_D_j</t>
  </si>
  <si>
    <t>Duration of stay of each class of swine</t>
  </si>
  <si>
    <r>
      <t>D</t>
    </r>
    <r>
      <rPr>
        <b/>
        <vertAlign val="subscript"/>
        <sz val="11"/>
        <color rgb="FF183C1B"/>
        <rFont val="Times New Roman"/>
        <family val="1"/>
      </rPr>
      <t>j=1</t>
    </r>
  </si>
  <si>
    <r>
      <t>D</t>
    </r>
    <r>
      <rPr>
        <b/>
        <vertAlign val="subscript"/>
        <sz val="11"/>
        <color rgb="FF183C1B"/>
        <rFont val="Times New Roman"/>
        <family val="1"/>
      </rPr>
      <t>j=2</t>
    </r>
  </si>
  <si>
    <r>
      <t>D</t>
    </r>
    <r>
      <rPr>
        <b/>
        <vertAlign val="subscript"/>
        <sz val="11"/>
        <color rgb="FF183C1B"/>
        <rFont val="Times New Roman"/>
        <family val="1"/>
      </rPr>
      <t>j=3</t>
    </r>
  </si>
  <si>
    <r>
      <t>D</t>
    </r>
    <r>
      <rPr>
        <b/>
        <vertAlign val="subscript"/>
        <sz val="11"/>
        <color rgb="FF183C1B"/>
        <rFont val="Times New Roman"/>
        <family val="1"/>
      </rPr>
      <t>j=4</t>
    </r>
  </si>
  <si>
    <t>Table_N_j</t>
  </si>
  <si>
    <t>Number of head for each swine class</t>
  </si>
  <si>
    <t>ECH4</t>
  </si>
  <si>
    <t>Manure management systems</t>
  </si>
  <si>
    <t>Stage 1 MMS</t>
  </si>
  <si>
    <t>Total sent to all MMS (Must equal 100%)</t>
  </si>
  <si>
    <t>Stage 2 MMS</t>
  </si>
  <si>
    <t>Solid separation from stage 1 MMS</t>
  </si>
  <si>
    <t>Were solids separated? (select)</t>
  </si>
  <si>
    <t>Percent separated (Method 1)</t>
  </si>
  <si>
    <t>Percent separated (Method 2)</t>
  </si>
  <si>
    <t>This tool demostrates inputs for one production system.</t>
  </si>
  <si>
    <t>Because the type of production system is not relevant in emissions calculations, you can select any kind.</t>
  </si>
  <si>
    <t>Add OR statement if any solids were separated</t>
  </si>
  <si>
    <t>Destination after stage 2 MMS (Percent)</t>
  </si>
  <si>
    <t>Sold</t>
  </si>
  <si>
    <t>Fert for own farm (eg crop)</t>
  </si>
  <si>
    <t>Direct application to soil</t>
  </si>
  <si>
    <t>▼</t>
  </si>
  <si>
    <t>►</t>
  </si>
  <si>
    <t>M1_Table_SS_m-1-7-9</t>
  </si>
  <si>
    <t>Fraction separated solids sent from MMS other than solid storage to solid storage in stage 1 (Method 1)</t>
  </si>
  <si>
    <t>M1_Table_FVS_j_m-1-7-9_T-1</t>
  </si>
  <si>
    <t>Fraction VS in MMS other than solid storage in stage 1 (Method 1)</t>
  </si>
  <si>
    <t>M1_Table_FVS_j_m-4_T-1</t>
  </si>
  <si>
    <t>Fraction VS in stage 1 solid storage (Method 1)</t>
  </si>
  <si>
    <t>Methane conversion factor for state (Method 1)</t>
  </si>
  <si>
    <t>M1_Table_M_i_j_m_T-2</t>
  </si>
  <si>
    <t>Production of methane for each MMS in stage 2 (Method 1)</t>
  </si>
  <si>
    <t>M1 Table_VST_j_m_T-2</t>
  </si>
  <si>
    <t>Volatile solids transferred from stage 1 to stage 2 (Method 1)</t>
  </si>
  <si>
    <t>Method 1 default values (Do not edit)</t>
  </si>
  <si>
    <t>Method 2 custom values (Edit if known)</t>
  </si>
  <si>
    <t>Methane emissions from manure management (Method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</si>
</sst>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64" formatCode="0.000"/>
    <numFmt numFmtId="165" formatCode="#,##0.000"/>
    <numFmt numFmtId="166" formatCode="d/mm/yyyy;@"/>
    <numFmt numFmtId="167" formatCode="_-* #,##0_-;\-* #,##0_-;_-* &quot;-&quot;??_-;_-@_-"/>
    <numFmt numFmtId="168" formatCode="[$-C09]dd\-mmmm\-yyyy;@"/>
    <numFmt numFmtId="169" formatCode="#,##0.000000"/>
  </numFmts>
  <fonts count="64" x14ac:knownFonts="1">
    <font>
      <sz val="11"/>
      <color theme="1"/>
      <name val="Times New Roman"/>
      <family val="2"/>
      <scheme val="minor"/>
    </font>
    <font>
      <i/>
      <sz val="12"/>
      <color theme="1" tint="0.499984740745262"/>
      <name val="Times New Roman"/>
      <family val="1"/>
    </font>
    <font>
      <sz val="12"/>
      <color theme="1" tint="0.14999847407452621"/>
      <name val="Times New Roman"/>
      <family val="1"/>
    </font>
    <font>
      <b/>
      <sz val="12"/>
      <color theme="1" tint="0.14999847407452621"/>
      <name val="Times New Roman"/>
      <family val="1"/>
    </font>
    <font>
      <b/>
      <sz val="20"/>
      <color rgb="FF183C1B"/>
      <name val="Times New Roman"/>
      <family val="1"/>
    </font>
    <font>
      <b/>
      <sz val="11"/>
      <color rgb="FF183C1B"/>
      <name val="Times New Roman"/>
      <family val="1"/>
    </font>
    <font>
      <i/>
      <sz val="12"/>
      <color theme="1" tint="0.34998626667073579"/>
      <name val="Times New Roman"/>
      <family val="1"/>
    </font>
    <font>
      <sz val="12"/>
      <color theme="1" tint="0.34998626667073579"/>
      <name val="Times New Roman"/>
      <family val="1"/>
    </font>
    <font>
      <sz val="12"/>
      <color theme="1" tint="0.14996795556505021"/>
      <name val="Times New Roman"/>
      <family val="1"/>
    </font>
    <font>
      <i/>
      <sz val="10"/>
      <color theme="1" tint="0.34998626667073579"/>
      <name val="Times New Roman"/>
      <family val="1"/>
    </font>
    <font>
      <sz val="11"/>
      <color theme="1"/>
      <name val="Times New Roman"/>
      <family val="2"/>
      <scheme val="minor"/>
    </font>
    <font>
      <b/>
      <sz val="20"/>
      <color rgb="FFCC6600"/>
      <name val="Times New Roman"/>
      <family val="1"/>
    </font>
    <font>
      <i/>
      <sz val="12"/>
      <color rgb="FFCC6600"/>
      <name val="Times New Roman"/>
      <family val="1"/>
    </font>
    <font>
      <b/>
      <sz val="11"/>
      <color rgb="FF533001"/>
      <name val="Times New Roman"/>
      <family val="1"/>
    </font>
    <font>
      <i/>
      <strike/>
      <sz val="12"/>
      <color theme="1" tint="0.499984740745262"/>
      <name val="Times New Roman"/>
      <family val="1"/>
    </font>
    <font>
      <b/>
      <i/>
      <strike/>
      <sz val="12"/>
      <color theme="1" tint="0.499984740745262"/>
      <name val="Times New Roman"/>
      <family val="1"/>
    </font>
    <font>
      <sz val="9"/>
      <color theme="1" tint="0.499984740745262"/>
      <name val="Courier New"/>
      <family val="3"/>
    </font>
    <font>
      <b/>
      <sz val="16"/>
      <color theme="0"/>
      <name val="Times New Roman"/>
      <family val="1"/>
    </font>
    <font>
      <u/>
      <sz val="11"/>
      <color theme="10"/>
      <name val="Times New Roman"/>
      <family val="2"/>
      <scheme val="minor"/>
    </font>
    <font>
      <sz val="9"/>
      <color theme="1" tint="0.249977111117893"/>
      <name val="Times New Roman"/>
      <family val="1"/>
    </font>
    <font>
      <sz val="9"/>
      <color rgb="FF008000"/>
      <name val="Times New Roman"/>
      <family val="1"/>
    </font>
    <font>
      <sz val="9"/>
      <color rgb="FFCC6600"/>
      <name val="Times New Roman"/>
      <family val="1"/>
    </font>
    <font>
      <sz val="12"/>
      <color theme="0"/>
      <name val="Times New Roman"/>
      <family val="1"/>
    </font>
    <font>
      <sz val="8"/>
      <name val="Times New Roman"/>
      <family val="2"/>
      <scheme val="minor"/>
    </font>
    <font>
      <sz val="11"/>
      <color theme="1" tint="0.499984740745262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 tint="0.249977111117893"/>
      <name val="Times New Roman"/>
      <family val="1"/>
    </font>
    <font>
      <sz val="12"/>
      <color theme="1" tint="0.249977111117893"/>
      <name val="Times New Roman"/>
      <family val="1"/>
    </font>
    <font>
      <b/>
      <sz val="12"/>
      <color theme="1" tint="0.249977111117893"/>
      <name val="Times New Roman"/>
      <family val="1"/>
    </font>
    <font>
      <b/>
      <sz val="11"/>
      <color theme="1"/>
      <name val="Times New Roman"/>
      <family val="1"/>
      <scheme val="minor"/>
    </font>
    <font>
      <b/>
      <sz val="14"/>
      <color theme="1"/>
      <name val="Times New Roman"/>
      <family val="1"/>
      <scheme val="minor"/>
    </font>
    <font>
      <sz val="11"/>
      <color rgb="FF242424"/>
      <name val="Consolas"/>
      <family val="3"/>
    </font>
    <font>
      <sz val="12"/>
      <color theme="0" tint="-4.9989318521683403E-2"/>
      <name val="Times New Roman"/>
      <family val="1"/>
    </font>
    <font>
      <sz val="10"/>
      <color theme="1" tint="0.34998626667073579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sz val="18"/>
      <color theme="1" tint="0.14996795556505021"/>
      <name val="Times New Roman"/>
      <family val="1"/>
    </font>
    <font>
      <sz val="10"/>
      <color theme="1" tint="0.34998626667073579"/>
      <name val="Times New Roman"/>
      <family val="2"/>
      <scheme val="minor"/>
    </font>
    <font>
      <sz val="12"/>
      <color theme="1" tint="0.24994659260841701"/>
      <name val="Times New Roman"/>
      <family val="1"/>
    </font>
    <font>
      <b/>
      <vertAlign val="subscript"/>
      <sz val="11"/>
      <color rgb="FF183C1B"/>
      <name val="Times New Roman"/>
      <family val="1"/>
    </font>
    <font>
      <b/>
      <sz val="12"/>
      <color theme="1" tint="0.24994659260841701"/>
      <name val="Times New Roman"/>
      <family val="1"/>
    </font>
    <font>
      <sz val="12"/>
      <color rgb="FFC44340"/>
      <name val="Times New Roman"/>
      <family val="1"/>
    </font>
    <font>
      <sz val="12"/>
      <color rgb="FF008000"/>
      <name val="Times New Roman"/>
      <family val="1"/>
    </font>
    <font>
      <i/>
      <sz val="12"/>
      <color theme="1" tint="0.14999847407452621"/>
      <name val="Times New Roman"/>
      <family val="1"/>
    </font>
    <font>
      <sz val="12"/>
      <color rgb="FF0070C0"/>
      <name val="Times New Roman"/>
      <family val="1"/>
    </font>
    <font>
      <b/>
      <sz val="12"/>
      <color rgb="FF0070C0"/>
      <name val="Times New Roman"/>
      <family val="1"/>
    </font>
    <font>
      <b/>
      <sz val="12"/>
      <color theme="0"/>
      <name val="Times New Roman"/>
      <family val="1"/>
    </font>
    <font>
      <b/>
      <sz val="12"/>
      <color theme="0" tint="-0.499984740745262"/>
      <name val="Times New Roman"/>
      <family val="1"/>
    </font>
    <font>
      <sz val="10"/>
      <color theme="0" tint="-0.499984740745262"/>
      <name val="Times New Roman"/>
      <family val="1"/>
    </font>
    <font>
      <b/>
      <sz val="16"/>
      <color theme="1" tint="0.24994659260841701"/>
      <name val="Times New Roman"/>
      <family val="1"/>
    </font>
    <font>
      <sz val="16"/>
      <color theme="1" tint="0.24994659260841701"/>
      <name val="Times New Roman"/>
      <family val="1"/>
    </font>
    <font>
      <i/>
      <sz val="16"/>
      <color theme="1" tint="0.34998626667073579"/>
      <name val="Times New Roman"/>
      <family val="1"/>
    </font>
    <font>
      <vertAlign val="subscript"/>
      <sz val="12"/>
      <color theme="1" tint="0.24994659260841701"/>
      <name val="Times New Roman"/>
      <family val="1"/>
    </font>
    <font>
      <sz val="14"/>
      <color theme="1" tint="0.34998626667073579"/>
      <name val="Times New Roman"/>
      <family val="1"/>
    </font>
    <font>
      <b/>
      <sz val="12"/>
      <color rgb="FFCC6600"/>
      <name val="Times New Roman"/>
      <family val="1"/>
    </font>
    <font>
      <b/>
      <vertAlign val="subscript"/>
      <sz val="16"/>
      <color theme="1" tint="0.24994659260841701"/>
      <name val="Times New Roman"/>
      <family val="1"/>
    </font>
    <font>
      <b/>
      <vertAlign val="subscript"/>
      <sz val="12"/>
      <color theme="1" tint="0.24994659260841701"/>
      <name val="Times New Roman"/>
      <family val="1"/>
    </font>
    <font>
      <b/>
      <sz val="20"/>
      <color theme="4" tint="-0.249977111117893"/>
      <name val="Times New Roman"/>
      <family val="1"/>
    </font>
    <font>
      <b/>
      <sz val="11"/>
      <color theme="5" tint="-0.499984740745262"/>
      <name val="Times New Roman"/>
      <family val="1"/>
      <scheme val="minor"/>
    </font>
    <font>
      <b/>
      <sz val="12"/>
      <color theme="1" tint="0.499984740745262"/>
      <name val="Times New Roman"/>
      <family val="1"/>
    </font>
    <font>
      <sz val="10"/>
      <color theme="1" tint="0.499984740745262"/>
      <name val="Times New Roman"/>
      <family val="1"/>
    </font>
    <font>
      <b/>
      <sz val="22"/>
      <color theme="5" tint="-0.499984740745262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B2D498"/>
        <bgColor indexed="64"/>
      </patternFill>
    </fill>
    <fill>
      <patternFill patternType="solid">
        <fgColor rgb="FF183C1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533001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-0.249977111117893"/>
        <bgColor indexed="64"/>
      </patternFill>
    </fill>
    <fill>
      <gradientFill degree="90">
        <stop position="0">
          <color theme="0"/>
        </stop>
        <stop position="1">
          <color theme="0" tint="-5.0965910824915313E-2"/>
        </stop>
      </gradientFill>
    </fill>
    <fill>
      <patternFill patternType="solid">
        <fgColor theme="3" tint="0.89996032593768116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1" tint="0.249977111117893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 style="thin">
        <color theme="3" tint="0.749961851863155"/>
      </left>
      <right/>
      <top style="thin">
        <color theme="3" tint="0.749961851863155"/>
      </top>
      <bottom/>
      <diagonal/>
    </border>
    <border>
      <left/>
      <right style="thin">
        <color theme="3" tint="0.749961851863155"/>
      </right>
      <top style="thin">
        <color theme="3" tint="0.749961851863155"/>
      </top>
      <bottom/>
      <diagonal/>
    </border>
    <border>
      <left style="thin">
        <color theme="3" tint="0.749961851863155"/>
      </left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/>
      <bottom style="thin">
        <color theme="3" tint="0.749961851863155"/>
      </bottom>
      <diagonal/>
    </border>
    <border>
      <left/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/>
      <diagonal/>
    </border>
    <border>
      <left style="thin">
        <color theme="3" tint="0.749961851863155"/>
      </left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 style="thin">
        <color theme="0" tint="-0.34998626667073579"/>
      </bottom>
      <diagonal/>
    </border>
    <border>
      <left/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3" tint="0.749961851863155"/>
      </left>
      <right style="thin">
        <color theme="3" tint="0.749961851863155"/>
      </right>
      <top/>
      <bottom style="thin">
        <color theme="3" tint="0.749961851863155"/>
      </bottom>
      <diagonal/>
    </border>
  </borders>
  <cellStyleXfs count="65">
    <xf numFmtId="0" fontId="0" fillId="0" borderId="0"/>
    <xf numFmtId="0" fontId="5" fillId="2" borderId="0">
      <alignment horizontal="left" vertical="center" indent="1"/>
      <protection locked="0"/>
    </xf>
    <xf numFmtId="0" fontId="4" fillId="0" borderId="0"/>
    <xf numFmtId="0" fontId="1" fillId="0" borderId="0">
      <alignment vertical="center"/>
    </xf>
    <xf numFmtId="0" fontId="17" fillId="3" borderId="0">
      <alignment vertical="center"/>
    </xf>
    <xf numFmtId="0" fontId="38" fillId="4" borderId="0">
      <alignment horizontal="left" vertical="center"/>
    </xf>
    <xf numFmtId="0" fontId="44" fillId="4" borderId="0">
      <alignment vertical="center"/>
    </xf>
    <xf numFmtId="0" fontId="3" fillId="4" borderId="0">
      <alignment horizontal="left" vertical="center"/>
    </xf>
    <xf numFmtId="0" fontId="40" fillId="4" borderId="0">
      <alignment horizontal="left" vertical="center"/>
    </xf>
    <xf numFmtId="0" fontId="5" fillId="2" borderId="0">
      <alignment horizontal="center" vertical="center"/>
    </xf>
    <xf numFmtId="164" fontId="8" fillId="4" borderId="0">
      <alignment horizontal="center" vertical="center"/>
    </xf>
    <xf numFmtId="9" fontId="8" fillId="4" borderId="0">
      <alignment horizontal="center" vertical="center"/>
    </xf>
    <xf numFmtId="0" fontId="6" fillId="4" borderId="0">
      <alignment horizontal="left" vertical="center" indent="1"/>
    </xf>
    <xf numFmtId="0" fontId="7" fillId="4" borderId="0">
      <alignment horizontal="right" vertical="center"/>
    </xf>
    <xf numFmtId="9" fontId="10" fillId="0" borderId="0" applyFont="0" applyFill="0" applyBorder="0" applyAlignment="0" applyProtection="0"/>
    <xf numFmtId="0" fontId="2" fillId="0" borderId="2">
      <alignment horizontal="center" vertical="center"/>
    </xf>
    <xf numFmtId="0" fontId="3" fillId="12" borderId="2">
      <alignment horizontal="center" vertical="center"/>
    </xf>
    <xf numFmtId="9" fontId="2" fillId="0" borderId="2">
      <alignment horizontal="center" vertical="center"/>
    </xf>
    <xf numFmtId="4" fontId="2" fillId="0" borderId="2">
      <alignment horizontal="center" vertical="center"/>
    </xf>
    <xf numFmtId="3" fontId="2" fillId="0" borderId="2">
      <alignment horizontal="center" vertical="center"/>
    </xf>
    <xf numFmtId="0" fontId="14" fillId="0" borderId="2">
      <alignment horizontal="center" vertical="center"/>
    </xf>
    <xf numFmtId="0" fontId="15" fillId="0" borderId="2">
      <alignment horizontal="center" vertical="center"/>
    </xf>
    <xf numFmtId="9" fontId="14" fillId="0" borderId="2">
      <alignment horizontal="center" vertical="center"/>
    </xf>
    <xf numFmtId="165" fontId="14" fillId="0" borderId="2">
      <alignment horizontal="center" vertical="center"/>
    </xf>
    <xf numFmtId="3" fontId="14" fillId="0" borderId="2">
      <alignment horizontal="center" vertical="center"/>
    </xf>
    <xf numFmtId="0" fontId="16" fillId="4" borderId="0">
      <alignment horizontal="left" vertical="center"/>
    </xf>
    <xf numFmtId="0" fontId="6" fillId="4" borderId="4">
      <alignment horizontal="left" vertical="center" indent="1"/>
    </xf>
    <xf numFmtId="164" fontId="8" fillId="4" borderId="4">
      <alignment horizontal="center" vertical="center"/>
    </xf>
    <xf numFmtId="0" fontId="3" fillId="4" borderId="4">
      <alignment horizontal="left" vertical="center"/>
    </xf>
    <xf numFmtId="0" fontId="13" fillId="6" borderId="0">
      <alignment horizontal="left" vertical="center" indent="1"/>
    </xf>
    <xf numFmtId="0" fontId="13" fillId="6" borderId="0">
      <alignment horizontal="center" vertical="center"/>
      <protection locked="0"/>
    </xf>
    <xf numFmtId="0" fontId="12" fillId="4" borderId="0">
      <alignment vertical="center"/>
    </xf>
    <xf numFmtId="0" fontId="17" fillId="7" borderId="0">
      <alignment vertical="center"/>
    </xf>
    <xf numFmtId="0" fontId="11" fillId="0" borderId="0"/>
    <xf numFmtId="0" fontId="18" fillId="0" borderId="0" applyNumberFormat="0" applyFill="0" applyBorder="0" applyAlignment="0" applyProtection="0"/>
    <xf numFmtId="0" fontId="2" fillId="0" borderId="0">
      <alignment horizontal="left" vertical="center" indent="1"/>
    </xf>
    <xf numFmtId="0" fontId="19" fillId="9" borderId="5">
      <alignment horizontal="left" vertical="center" indent="1"/>
    </xf>
    <xf numFmtId="0" fontId="22" fillId="10" borderId="0">
      <alignment horizontal="left" vertical="center" indent="1"/>
    </xf>
    <xf numFmtId="0" fontId="22" fillId="5" borderId="0">
      <alignment horizontal="left" vertical="center" indent="1"/>
    </xf>
    <xf numFmtId="0" fontId="22" fillId="8" borderId="0">
      <alignment horizontal="left" vertical="center" indent="1"/>
    </xf>
    <xf numFmtId="0" fontId="24" fillId="0" borderId="0">
      <alignment horizontal="left" vertical="center" indent="2"/>
    </xf>
    <xf numFmtId="0" fontId="46" fillId="13" borderId="8">
      <alignment horizontal="left" vertical="center"/>
    </xf>
    <xf numFmtId="43" fontId="10" fillId="0" borderId="0" applyFont="0" applyFill="0" applyBorder="0" applyAlignment="0" applyProtection="0"/>
    <xf numFmtId="3" fontId="35" fillId="4" borderId="2">
      <alignment horizontal="center" vertical="center"/>
    </xf>
    <xf numFmtId="168" fontId="2" fillId="0" borderId="2">
      <alignment horizontal="center" vertical="center"/>
    </xf>
    <xf numFmtId="0" fontId="36" fillId="0" borderId="0"/>
    <xf numFmtId="0" fontId="10" fillId="0" borderId="0"/>
    <xf numFmtId="0" fontId="36" fillId="0" borderId="0"/>
    <xf numFmtId="166" fontId="35" fillId="4" borderId="2">
      <alignment horizontal="center" vertical="center"/>
    </xf>
    <xf numFmtId="4" fontId="35" fillId="4" borderId="2">
      <alignment horizontal="center" vertical="center"/>
    </xf>
    <xf numFmtId="0" fontId="55" fillId="4" borderId="0">
      <alignment horizontal="left" vertical="center"/>
    </xf>
    <xf numFmtId="0" fontId="39" fillId="4" borderId="0" applyNumberFormat="0">
      <alignment horizontal="center" vertical="center"/>
    </xf>
    <xf numFmtId="165" fontId="35" fillId="4" borderId="2">
      <alignment horizontal="center" vertical="center"/>
    </xf>
    <xf numFmtId="0" fontId="34" fillId="4" borderId="0">
      <alignment horizontal="left" vertical="center"/>
    </xf>
    <xf numFmtId="169" fontId="35" fillId="4" borderId="2">
      <alignment horizontal="center" vertical="center"/>
    </xf>
    <xf numFmtId="0" fontId="35" fillId="4" borderId="2">
      <alignment horizontal="center" vertical="center"/>
    </xf>
    <xf numFmtId="0" fontId="6" fillId="4" borderId="0">
      <alignment horizontal="left" vertical="center"/>
    </xf>
    <xf numFmtId="0" fontId="43" fillId="4" borderId="0">
      <alignment horizontal="left" vertical="center"/>
    </xf>
    <xf numFmtId="0" fontId="10" fillId="0" borderId="0"/>
    <xf numFmtId="0" fontId="2" fillId="0" borderId="2">
      <alignment horizontal="center" vertical="center"/>
    </xf>
    <xf numFmtId="0" fontId="49" fillId="4" borderId="0">
      <alignment horizontal="left" vertical="center"/>
    </xf>
    <xf numFmtId="0" fontId="50" fillId="4" borderId="0">
      <alignment horizontal="left" vertical="center"/>
    </xf>
    <xf numFmtId="0" fontId="56" fillId="4" borderId="0">
      <alignment horizontal="left" vertical="center"/>
    </xf>
    <xf numFmtId="0" fontId="48" fillId="11" borderId="0">
      <alignment horizontal="center" vertical="center"/>
    </xf>
    <xf numFmtId="0" fontId="22" fillId="11" borderId="0">
      <alignment horizontal="left" vertical="center" indent="1"/>
    </xf>
  </cellStyleXfs>
  <cellXfs count="140">
    <xf numFmtId="0" fontId="0" fillId="0" borderId="0" xfId="0"/>
    <xf numFmtId="0" fontId="40" fillId="4" borderId="0" xfId="8">
      <alignment horizontal="left" vertical="center"/>
    </xf>
    <xf numFmtId="0" fontId="6" fillId="4" borderId="0" xfId="12">
      <alignment horizontal="left" vertical="center" indent="1"/>
    </xf>
    <xf numFmtId="0" fontId="3" fillId="4" borderId="0" xfId="7">
      <alignment horizontal="left" vertical="center"/>
    </xf>
    <xf numFmtId="0" fontId="17" fillId="3" borderId="0" xfId="4">
      <alignment vertical="center"/>
    </xf>
    <xf numFmtId="0" fontId="44" fillId="4" borderId="0" xfId="6">
      <alignment vertical="center"/>
    </xf>
    <xf numFmtId="0" fontId="38" fillId="4" borderId="0" xfId="5">
      <alignment horizontal="left" vertical="center"/>
    </xf>
    <xf numFmtId="0" fontId="3" fillId="0" borderId="0" xfId="7" applyFill="1">
      <alignment horizontal="left" vertical="center"/>
    </xf>
    <xf numFmtId="0" fontId="4" fillId="0" borderId="0" xfId="2"/>
    <xf numFmtId="0" fontId="1" fillId="0" borderId="0" xfId="3">
      <alignment vertical="center"/>
    </xf>
    <xf numFmtId="0" fontId="2" fillId="4" borderId="0" xfId="7" applyFont="1">
      <alignment horizontal="left" vertical="center"/>
    </xf>
    <xf numFmtId="0" fontId="17" fillId="0" borderId="0" xfId="4" applyFill="1">
      <alignment vertical="center"/>
    </xf>
    <xf numFmtId="0" fontId="11" fillId="0" borderId="0" xfId="2" applyFont="1"/>
    <xf numFmtId="0" fontId="16" fillId="4" borderId="0" xfId="25">
      <alignment horizontal="left" vertical="center"/>
    </xf>
    <xf numFmtId="0" fontId="12" fillId="4" borderId="0" xfId="31">
      <alignment vertical="center"/>
    </xf>
    <xf numFmtId="0" fontId="17" fillId="7" borderId="0" xfId="32">
      <alignment vertical="center"/>
    </xf>
    <xf numFmtId="0" fontId="2" fillId="9" borderId="0" xfId="7" applyFont="1" applyFill="1" applyAlignment="1">
      <alignment horizontal="left" vertical="center" indent="1"/>
    </xf>
    <xf numFmtId="0" fontId="2" fillId="0" borderId="0" xfId="35">
      <alignment horizontal="left" vertical="center" indent="1"/>
    </xf>
    <xf numFmtId="0" fontId="19" fillId="9" borderId="5" xfId="36">
      <alignment horizontal="left" vertical="center" indent="1"/>
    </xf>
    <xf numFmtId="0" fontId="20" fillId="9" borderId="5" xfId="36" applyFont="1">
      <alignment horizontal="left" vertical="center" indent="1"/>
    </xf>
    <xf numFmtId="0" fontId="21" fillId="9" borderId="5" xfId="36" applyFont="1">
      <alignment horizontal="left" vertical="center" indent="1"/>
    </xf>
    <xf numFmtId="0" fontId="46" fillId="13" borderId="8" xfId="41">
      <alignment horizontal="left" vertical="center"/>
    </xf>
    <xf numFmtId="0" fontId="0" fillId="4" borderId="0" xfId="0" applyFill="1"/>
    <xf numFmtId="2" fontId="32" fillId="4" borderId="1" xfId="0" applyNumberFormat="1" applyFont="1" applyFill="1" applyBorder="1"/>
    <xf numFmtId="2" fontId="0" fillId="4" borderId="0" xfId="0" applyNumberFormat="1" applyFill="1" applyAlignment="1">
      <alignment vertical="center"/>
    </xf>
    <xf numFmtId="0" fontId="17" fillId="4" borderId="0" xfId="4" applyFill="1">
      <alignment vertical="center"/>
    </xf>
    <xf numFmtId="0" fontId="31" fillId="4" borderId="0" xfId="0" applyFont="1" applyFill="1"/>
    <xf numFmtId="2" fontId="32" fillId="4" borderId="0" xfId="0" applyNumberFormat="1" applyFont="1" applyFill="1"/>
    <xf numFmtId="0" fontId="6" fillId="4" borderId="0" xfId="12" applyAlignment="1">
      <alignment horizontal="left" indent="1"/>
    </xf>
    <xf numFmtId="0" fontId="32" fillId="4" borderId="1" xfId="0" applyFont="1" applyFill="1" applyBorder="1"/>
    <xf numFmtId="0" fontId="40" fillId="4" borderId="0" xfId="8" applyAlignment="1">
      <alignment horizontal="right" vertical="center"/>
    </xf>
    <xf numFmtId="4" fontId="2" fillId="4" borderId="0" xfId="18" applyFill="1" applyBorder="1">
      <alignment horizontal="center" vertical="center"/>
    </xf>
    <xf numFmtId="0" fontId="13" fillId="4" borderId="0" xfId="30" applyFill="1">
      <alignment horizontal="center" vertical="center"/>
      <protection locked="0"/>
    </xf>
    <xf numFmtId="0" fontId="2" fillId="0" borderId="2" xfId="15">
      <alignment horizontal="center" vertical="center"/>
    </xf>
    <xf numFmtId="0" fontId="29" fillId="4" borderId="0" xfId="7" applyFont="1" applyAlignment="1">
      <alignment horizontal="center" vertical="center"/>
    </xf>
    <xf numFmtId="166" fontId="29" fillId="4" borderId="0" xfId="7" applyNumberFormat="1" applyFont="1" applyAlignment="1">
      <alignment horizontal="center" vertical="center"/>
    </xf>
    <xf numFmtId="0" fontId="0" fillId="0" borderId="0" xfId="7" applyFont="1" applyFill="1">
      <alignment horizontal="left" vertical="center"/>
    </xf>
    <xf numFmtId="0" fontId="0" fillId="0" borderId="0" xfId="8" applyFont="1" applyFill="1">
      <alignment horizontal="left" vertical="center"/>
    </xf>
    <xf numFmtId="0" fontId="2" fillId="0" borderId="0" xfId="7" applyFont="1" applyFill="1">
      <alignment horizontal="left" vertical="center"/>
    </xf>
    <xf numFmtId="0" fontId="3" fillId="12" borderId="2" xfId="16">
      <alignment horizontal="center" vertical="center"/>
    </xf>
    <xf numFmtId="0" fontId="38" fillId="0" borderId="0" xfId="5" applyFill="1">
      <alignment horizontal="left" vertical="center"/>
    </xf>
    <xf numFmtId="0" fontId="44" fillId="0" borderId="0" xfId="6" applyFill="1">
      <alignment vertical="center"/>
    </xf>
    <xf numFmtId="0" fontId="40" fillId="0" borderId="0" xfId="8" applyFill="1">
      <alignment horizontal="left" vertical="center"/>
    </xf>
    <xf numFmtId="0" fontId="9" fillId="0" borderId="0" xfId="12" applyFont="1" applyFill="1" applyAlignment="1">
      <alignment horizontal="left" vertical="center"/>
    </xf>
    <xf numFmtId="0" fontId="37" fillId="0" borderId="0" xfId="0" applyFont="1"/>
    <xf numFmtId="0" fontId="40" fillId="4" borderId="1" xfId="8" applyBorder="1">
      <alignment horizontal="left" vertical="center"/>
    </xf>
    <xf numFmtId="9" fontId="2" fillId="0" borderId="2" xfId="17">
      <alignment horizontal="center" vertical="center"/>
    </xf>
    <xf numFmtId="4" fontId="26" fillId="0" borderId="0" xfId="18" applyFont="1" applyBorder="1">
      <alignment horizontal="center" vertical="center"/>
    </xf>
    <xf numFmtId="0" fontId="55" fillId="4" borderId="0" xfId="50">
      <alignment horizontal="left" vertical="center"/>
    </xf>
    <xf numFmtId="0" fontId="25" fillId="0" borderId="0" xfId="0" applyFont="1" applyAlignment="1" applyProtection="1">
      <alignment horizontal="center" vertical="center"/>
      <protection locked="0"/>
    </xf>
    <xf numFmtId="0" fontId="26" fillId="0" borderId="0" xfId="0" applyFont="1"/>
    <xf numFmtId="0" fontId="5" fillId="2" borderId="0" xfId="9">
      <alignment horizontal="center" vertical="center"/>
    </xf>
    <xf numFmtId="0" fontId="35" fillId="4" borderId="2" xfId="55">
      <alignment horizontal="center" vertical="center"/>
    </xf>
    <xf numFmtId="0" fontId="42" fillId="4" borderId="0" xfId="8" applyFont="1">
      <alignment horizontal="left" vertical="center"/>
    </xf>
    <xf numFmtId="0" fontId="6" fillId="4" borderId="0" xfId="56">
      <alignment horizontal="left" vertical="center"/>
    </xf>
    <xf numFmtId="0" fontId="43" fillId="4" borderId="0" xfId="57">
      <alignment horizontal="left" vertical="center"/>
    </xf>
    <xf numFmtId="0" fontId="10" fillId="0" borderId="0" xfId="58"/>
    <xf numFmtId="0" fontId="35" fillId="4" borderId="2" xfId="55" applyAlignment="1">
      <alignment horizontal="left" vertical="center"/>
    </xf>
    <xf numFmtId="0" fontId="35" fillId="4" borderId="7" xfId="55" applyBorder="1" applyAlignment="1">
      <alignment horizontal="left" vertical="center"/>
    </xf>
    <xf numFmtId="0" fontId="35" fillId="4" borderId="6" xfId="55" applyBorder="1" applyAlignment="1">
      <alignment horizontal="left" vertical="center"/>
    </xf>
    <xf numFmtId="0" fontId="0" fillId="4" borderId="0" xfId="7" applyFont="1">
      <alignment horizontal="left" vertical="center"/>
    </xf>
    <xf numFmtId="4" fontId="26" fillId="4" borderId="0" xfId="18" applyFont="1" applyFill="1" applyBorder="1">
      <alignment horizontal="center" vertical="center"/>
    </xf>
    <xf numFmtId="9" fontId="26" fillId="4" borderId="0" xfId="14" applyFont="1" applyFill="1" applyBorder="1" applyAlignment="1">
      <alignment horizontal="center" vertical="center"/>
    </xf>
    <xf numFmtId="0" fontId="13" fillId="6" borderId="0" xfId="29">
      <alignment horizontal="left" vertical="center" indent="1"/>
    </xf>
    <xf numFmtId="168" fontId="2" fillId="0" borderId="2" xfId="44">
      <alignment horizontal="center" vertical="center"/>
    </xf>
    <xf numFmtId="0" fontId="2" fillId="0" borderId="0" xfId="7" applyFont="1" applyFill="1" applyAlignment="1">
      <alignment horizontal="left" vertical="center" indent="1"/>
    </xf>
    <xf numFmtId="0" fontId="2" fillId="0" borderId="2" xfId="59">
      <alignment horizontal="center" vertical="center"/>
    </xf>
    <xf numFmtId="0" fontId="45" fillId="0" borderId="0" xfId="35" applyFont="1">
      <alignment horizontal="left" vertical="center" indent="1"/>
    </xf>
    <xf numFmtId="0" fontId="11" fillId="0" borderId="0" xfId="33"/>
    <xf numFmtId="0" fontId="3" fillId="4" borderId="3" xfId="7" applyBorder="1">
      <alignment horizontal="left" vertical="center"/>
    </xf>
    <xf numFmtId="166" fontId="35" fillId="4" borderId="2" xfId="43" applyNumberFormat="1">
      <alignment horizontal="center" vertical="center"/>
    </xf>
    <xf numFmtId="164" fontId="8" fillId="4" borderId="0" xfId="27" applyBorder="1">
      <alignment horizontal="center" vertical="center"/>
    </xf>
    <xf numFmtId="0" fontId="26" fillId="4" borderId="0" xfId="8" applyFont="1" applyAlignment="1">
      <alignment horizontal="center" vertical="center"/>
    </xf>
    <xf numFmtId="166" fontId="26" fillId="4" borderId="0" xfId="8" applyNumberFormat="1" applyFont="1" applyAlignment="1">
      <alignment horizontal="center" vertical="center"/>
    </xf>
    <xf numFmtId="0" fontId="26" fillId="4" borderId="0" xfId="12" applyFont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27" fillId="4" borderId="0" xfId="0" applyFont="1" applyFill="1"/>
    <xf numFmtId="0" fontId="26" fillId="4" borderId="0" xfId="0" applyFont="1" applyFill="1"/>
    <xf numFmtId="0" fontId="28" fillId="4" borderId="0" xfId="7" applyFont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left" vertical="center"/>
    </xf>
    <xf numFmtId="14" fontId="3" fillId="4" borderId="0" xfId="7" applyNumberFormat="1">
      <alignment horizontal="left" vertical="center"/>
    </xf>
    <xf numFmtId="0" fontId="18" fillId="4" borderId="0" xfId="34" applyFill="1" applyBorder="1"/>
    <xf numFmtId="166" fontId="2" fillId="4" borderId="0" xfId="19" applyNumberFormat="1" applyFill="1" applyBorder="1">
      <alignment horizontal="center" vertical="center"/>
    </xf>
    <xf numFmtId="167" fontId="3" fillId="4" borderId="0" xfId="42" applyNumberFormat="1" applyFont="1" applyFill="1" applyBorder="1" applyAlignment="1">
      <alignment horizontal="center" vertical="center"/>
    </xf>
    <xf numFmtId="0" fontId="33" fillId="4" borderId="0" xfId="0" applyFont="1" applyFill="1"/>
    <xf numFmtId="0" fontId="46" fillId="13" borderId="10" xfId="41" applyBorder="1">
      <alignment horizontal="left" vertical="center"/>
    </xf>
    <xf numFmtId="0" fontId="46" fillId="13" borderId="12" xfId="41" applyBorder="1">
      <alignment horizontal="left" vertical="center"/>
    </xf>
    <xf numFmtId="0" fontId="46" fillId="13" borderId="14" xfId="41" applyBorder="1">
      <alignment horizontal="left" vertical="center"/>
    </xf>
    <xf numFmtId="0" fontId="46" fillId="13" borderId="13" xfId="41" applyBorder="1">
      <alignment horizontal="left" vertical="center"/>
    </xf>
    <xf numFmtId="0" fontId="46" fillId="13" borderId="15" xfId="41" applyBorder="1">
      <alignment horizontal="left" vertical="center"/>
    </xf>
    <xf numFmtId="0" fontId="46" fillId="13" borderId="17" xfId="41" applyBorder="1">
      <alignment horizontal="left" vertical="center"/>
    </xf>
    <xf numFmtId="0" fontId="46" fillId="13" borderId="11" xfId="41" applyBorder="1">
      <alignment horizontal="left" vertical="center"/>
    </xf>
    <xf numFmtId="0" fontId="46" fillId="13" borderId="16" xfId="41" applyBorder="1">
      <alignment horizontal="left" vertical="center"/>
    </xf>
    <xf numFmtId="0" fontId="46" fillId="13" borderId="18" xfId="41" applyBorder="1">
      <alignment horizontal="left" vertical="center"/>
    </xf>
    <xf numFmtId="0" fontId="47" fillId="13" borderId="9" xfId="41" applyFont="1" applyBorder="1">
      <alignment horizontal="left" vertical="center"/>
    </xf>
    <xf numFmtId="9" fontId="35" fillId="4" borderId="2" xfId="14" applyFont="1" applyFill="1" applyBorder="1" applyAlignment="1">
      <alignment horizontal="center" vertical="center"/>
    </xf>
    <xf numFmtId="0" fontId="50" fillId="4" borderId="0" xfId="61">
      <alignment horizontal="left" vertical="center"/>
    </xf>
    <xf numFmtId="0" fontId="49" fillId="4" borderId="0" xfId="60">
      <alignment horizontal="left" vertical="center"/>
    </xf>
    <xf numFmtId="0" fontId="35" fillId="4" borderId="19" xfId="55" applyBorder="1" applyAlignment="1">
      <alignment horizontal="left" vertical="center"/>
    </xf>
    <xf numFmtId="0" fontId="51" fillId="4" borderId="1" xfId="8" applyFont="1" applyBorder="1">
      <alignment horizontal="left" vertical="center"/>
    </xf>
    <xf numFmtId="0" fontId="52" fillId="4" borderId="1" xfId="8" applyFont="1" applyBorder="1">
      <alignment horizontal="left" vertical="center"/>
    </xf>
    <xf numFmtId="0" fontId="53" fillId="4" borderId="1" xfId="56" applyFont="1" applyBorder="1">
      <alignment horizontal="left" vertical="center"/>
    </xf>
    <xf numFmtId="0" fontId="35" fillId="4" borderId="19" xfId="55" applyBorder="1">
      <alignment horizontal="center" vertical="center"/>
    </xf>
    <xf numFmtId="0" fontId="6" fillId="4" borderId="1" xfId="56" applyBorder="1">
      <alignment horizontal="left" vertical="center"/>
    </xf>
    <xf numFmtId="0" fontId="56" fillId="4" borderId="0" xfId="62">
      <alignment horizontal="left" vertical="center"/>
    </xf>
    <xf numFmtId="0" fontId="40" fillId="14" borderId="0" xfId="8" applyFill="1">
      <alignment horizontal="left" vertical="center"/>
    </xf>
    <xf numFmtId="0" fontId="35" fillId="4" borderId="2" xfId="55" applyAlignment="1">
      <alignment vertical="center"/>
    </xf>
    <xf numFmtId="0" fontId="35" fillId="4" borderId="6" xfId="55" applyBorder="1" applyAlignment="1">
      <alignment vertical="center"/>
    </xf>
    <xf numFmtId="0" fontId="35" fillId="4" borderId="7" xfId="55" applyBorder="1" applyAlignment="1">
      <alignment vertical="center"/>
    </xf>
    <xf numFmtId="9" fontId="8" fillId="4" borderId="0" xfId="11">
      <alignment horizontal="center" vertical="center"/>
    </xf>
    <xf numFmtId="164" fontId="8" fillId="4" borderId="0" xfId="10">
      <alignment horizontal="center" vertical="center"/>
    </xf>
    <xf numFmtId="0" fontId="42" fillId="4" borderId="1" xfId="8" applyFont="1" applyBorder="1">
      <alignment horizontal="left" vertical="center"/>
    </xf>
    <xf numFmtId="2" fontId="32" fillId="4" borderId="1" xfId="0" applyNumberFormat="1" applyFont="1" applyFill="1" applyBorder="1" applyAlignment="1">
      <alignment horizontal="center"/>
    </xf>
    <xf numFmtId="0" fontId="48" fillId="11" borderId="0" xfId="63">
      <alignment horizontal="center" vertical="center"/>
    </xf>
    <xf numFmtId="0" fontId="59" fillId="0" borderId="0" xfId="2" applyFont="1"/>
    <xf numFmtId="0" fontId="35" fillId="4" borderId="19" xfId="55" applyBorder="1" applyAlignment="1">
      <alignment vertical="center"/>
    </xf>
    <xf numFmtId="0" fontId="46" fillId="13" borderId="20" xfId="41" applyBorder="1">
      <alignment horizontal="left" vertical="center"/>
    </xf>
    <xf numFmtId="0" fontId="60" fillId="6" borderId="0" xfId="30" applyFont="1" applyProtection="1">
      <alignment horizontal="center" vertical="center"/>
    </xf>
    <xf numFmtId="0" fontId="13" fillId="6" borderId="0" xfId="30">
      <alignment horizontal="center" vertical="center"/>
      <protection locked="0"/>
    </xf>
    <xf numFmtId="0" fontId="0" fillId="0" borderId="0" xfId="1" applyFont="1" applyFill="1">
      <alignment horizontal="left" vertical="center" indent="1"/>
      <protection locked="0"/>
    </xf>
    <xf numFmtId="0" fontId="61" fillId="4" borderId="0" xfId="8" applyFont="1">
      <alignment horizontal="left" vertical="center"/>
    </xf>
    <xf numFmtId="0" fontId="62" fillId="4" borderId="0" xfId="8" applyFont="1">
      <alignment horizontal="left" vertical="center"/>
    </xf>
    <xf numFmtId="0" fontId="35" fillId="4" borderId="6" xfId="55" applyBorder="1">
      <alignment horizontal="center" vertical="center"/>
    </xf>
    <xf numFmtId="0" fontId="6" fillId="14" borderId="0" xfId="12" applyFill="1">
      <alignment horizontal="left" vertical="center" indent="1"/>
    </xf>
    <xf numFmtId="3" fontId="35" fillId="4" borderId="2" xfId="55" applyNumberFormat="1">
      <alignment horizontal="center" vertical="center"/>
    </xf>
    <xf numFmtId="0" fontId="40" fillId="4" borderId="0" xfId="8" applyAlignment="1">
      <alignment horizontal="left" vertical="center" indent="3"/>
    </xf>
    <xf numFmtId="0" fontId="42" fillId="4" borderId="0" xfId="8" applyFont="1" applyAlignment="1">
      <alignment horizontal="left" vertical="center" indent="3"/>
    </xf>
    <xf numFmtId="0" fontId="40" fillId="4" borderId="0" xfId="8" applyAlignment="1">
      <alignment horizontal="left" vertical="center" indent="6"/>
    </xf>
    <xf numFmtId="0" fontId="13" fillId="6" borderId="0" xfId="29" applyAlignment="1">
      <alignment horizontal="left" vertical="center" indent="3"/>
    </xf>
    <xf numFmtId="0" fontId="60" fillId="6" borderId="0" xfId="30" applyFont="1" applyAlignment="1" applyProtection="1">
      <alignment horizontal="left" vertical="center"/>
    </xf>
    <xf numFmtId="0" fontId="13" fillId="6" borderId="0" xfId="29" applyAlignment="1">
      <alignment horizontal="left" vertical="center" indent="6"/>
    </xf>
    <xf numFmtId="0" fontId="42" fillId="4" borderId="0" xfId="8" applyFont="1" applyAlignment="1">
      <alignment horizontal="left" vertical="center" indent="9"/>
    </xf>
    <xf numFmtId="0" fontId="40" fillId="4" borderId="0" xfId="8" applyAlignment="1">
      <alignment horizontal="left" vertical="center" indent="9"/>
    </xf>
    <xf numFmtId="0" fontId="40" fillId="4" borderId="0" xfId="8" applyAlignment="1">
      <alignment horizontal="center" vertical="center"/>
    </xf>
    <xf numFmtId="0" fontId="63" fillId="4" borderId="0" xfId="62" applyFont="1" applyAlignment="1">
      <alignment horizontal="left" vertical="center" indent="6"/>
    </xf>
    <xf numFmtId="0" fontId="63" fillId="4" borderId="0" xfId="62" applyFont="1" applyAlignment="1">
      <alignment horizontal="left" vertical="center" indent="2"/>
    </xf>
    <xf numFmtId="0" fontId="63" fillId="4" borderId="0" xfId="62" applyFont="1">
      <alignment horizontal="left" vertical="center"/>
    </xf>
    <xf numFmtId="9" fontId="35" fillId="4" borderId="2" xfId="55" applyNumberFormat="1">
      <alignment horizontal="center" vertical="center"/>
    </xf>
  </cellXfs>
  <cellStyles count="65">
    <cellStyle name="Alert" xfId="62" xr:uid="{34EFE908-8095-4010-8F93-8CFE88055637}"/>
    <cellStyle name="Block heading" xfId="5" xr:uid="{74527274-3B4A-494A-B37C-EA50686E114C}"/>
    <cellStyle name="Block subheading" xfId="50" xr:uid="{34E62905-A3E0-4883-B81A-BDB58FC88DA7}"/>
    <cellStyle name="Code" xfId="25" xr:uid="{99B3520F-01DD-4F8E-A8D0-24EAA04E90EB}"/>
    <cellStyle name="Comma" xfId="42" builtinId="3"/>
    <cellStyle name="Content bold" xfId="7" xr:uid="{468A1381-682E-4BF1-945B-DF2E2BCA4419}"/>
    <cellStyle name="Content bold total" xfId="28" xr:uid="{17159E75-EF9F-42B8-8195-E83583796F67}"/>
    <cellStyle name="Content hidden" xfId="53" xr:uid="{8E56D08F-467A-4F3D-ADA8-ECA27B2FFCD3}"/>
    <cellStyle name="Content normal" xfId="8" xr:uid="{55F96DE2-2B61-4529-A3B8-2B8B8AA0D350}"/>
    <cellStyle name="Equation column header" xfId="9" xr:uid="{B705D3A4-E195-47DF-A4D1-BA1FDC70C701}"/>
    <cellStyle name="Equation source" xfId="6" xr:uid="{348FC12D-3392-478F-B0B3-D4FA4BBA59E4}"/>
    <cellStyle name="Equation table header" xfId="1" xr:uid="{11780056-D3CA-48D4-90AF-8DF1A50E1B13}"/>
    <cellStyle name="Euqation table row 2" xfId="13" xr:uid="{2CAEAB93-BC87-4606-B5A1-3C2F7B5C52A1}"/>
    <cellStyle name="Hyperlink" xfId="34" builtinId="8"/>
    <cellStyle name="Information tip" xfId="41" xr:uid="{7D200D09-32E3-4546-9822-1B93AD118A74}"/>
    <cellStyle name="Information variation" xfId="57" xr:uid="{205494A3-14DD-4E6A-BDD3-5C5A864D6FA7}"/>
    <cellStyle name="Input block subheading" xfId="31" xr:uid="{A9FEBDB0-0992-4E30-96E5-9F9CAE92E3FB}"/>
    <cellStyle name="Input date" xfId="44" xr:uid="{A1D72D5E-DCF3-445F-8FC0-A147E105D774}"/>
    <cellStyle name="Input date calculated" xfId="48" xr:uid="{5A42AD0E-F665-46A9-9757-6B6A4BE7013E}"/>
    <cellStyle name="Input number 2 decimal places" xfId="18" xr:uid="{F9671E40-5700-4055-A6D2-272CF9DB620E}"/>
    <cellStyle name="Input number 2 decimal places calculated" xfId="49" xr:uid="{C04BA53C-14E1-48A5-99A3-C9FD44741A2A}"/>
    <cellStyle name="Input number 3 decimal places calculated" xfId="52" xr:uid="{637E6039-0A01-48EF-8C15-C29A497EF449}"/>
    <cellStyle name="Input number 3 decimal places disabled" xfId="23" xr:uid="{6B1B6177-B1C0-4190-858F-6E4C823402C3}"/>
    <cellStyle name="Input number 6 decimal places calculated" xfId="54" xr:uid="{CE70A7A2-3CEE-4689-8FF6-8EB6FCE0A94C}"/>
    <cellStyle name="Input number general" xfId="59" xr:uid="{D8583F7D-F13A-4EA8-BAA6-B42739FDBDDB}"/>
    <cellStyle name="Input number general calculated" xfId="55" xr:uid="{34755FEB-6E4E-4BD7-A478-DF7299A7A914}"/>
    <cellStyle name="Input number no decimals" xfId="19" xr:uid="{B33B4FB5-F3F4-4036-B2DD-663B694E2A90}"/>
    <cellStyle name="Input number no decimals calculated" xfId="43" xr:uid="{5A48F48F-03B2-410E-887B-2A9297006BAF}"/>
    <cellStyle name="Input number no decimals disabled" xfId="24" xr:uid="{7ABDCB2D-7703-4392-9553-5620789B1E19}"/>
    <cellStyle name="Input number percent disabled" xfId="22" xr:uid="{D0E8B42E-13A8-477C-99CB-5FF73C5BBAA4}"/>
    <cellStyle name="Input page heading" xfId="33" xr:uid="{74FB9B3B-4B5B-4B7F-A54C-22E0724783C8}"/>
    <cellStyle name="Input page section heading" xfId="32" xr:uid="{1A05B367-BE5D-4E2B-9831-A28D5CFAC8EC}"/>
    <cellStyle name="Input percent" xfId="17" xr:uid="{923E56A7-7902-46CD-9AA8-0D69F2E1ECA1}"/>
    <cellStyle name="Input select" xfId="16" xr:uid="{3CF2E653-7F22-4996-ABB9-95CA16698B1F}"/>
    <cellStyle name="Input select disabled" xfId="21" xr:uid="{5CE680CC-504C-444D-8337-CF97D9BB5A78}"/>
    <cellStyle name="Input table column header" xfId="30" xr:uid="{EF98B018-1246-451D-91C2-97FCD443EDC9}"/>
    <cellStyle name="Input table header" xfId="29" xr:uid="{04872377-9FDD-4D5A-91FC-B9D8DA1E8E91}"/>
    <cellStyle name="Input text" xfId="15" xr:uid="{4C71A4C5-ADD8-4A09-A7FE-940DA96821F6}"/>
    <cellStyle name="Input text calculated" xfId="51" xr:uid="{43DCF082-1F0D-4E07-9785-CAF41B37CFCC}"/>
    <cellStyle name="Input text disabled" xfId="20" xr:uid="{79E76B35-E5FF-43A1-B0D0-016F346F8B97}"/>
    <cellStyle name="Menu link child" xfId="40" xr:uid="{609090D3-DE1E-48FE-A8AA-233CE9B146E0}"/>
    <cellStyle name="Menu link default" xfId="35" xr:uid="{11B84453-1DD4-492A-B241-FE6AD4CB25FA}"/>
    <cellStyle name="Menu link selected" xfId="37" xr:uid="{B16EBA6F-62C4-483F-8E15-B20D06ABF61F}"/>
    <cellStyle name="Menu link selected equations" xfId="39" xr:uid="{7AFCC545-C221-4BAC-933E-19109D0FB654}"/>
    <cellStyle name="Menu link selected input" xfId="38" xr:uid="{17D327F4-9149-4DAC-85BB-811698090830}"/>
    <cellStyle name="Menu link selected results" xfId="64" xr:uid="{0DC56464-F1A3-42A3-BF89-514E2163E7F0}"/>
    <cellStyle name="Menu section title" xfId="36" xr:uid="{E2117B15-AE58-4F76-B13B-671D455A4107}"/>
    <cellStyle name="Normal" xfId="0" builtinId="0"/>
    <cellStyle name="Normal 2" xfId="58" xr:uid="{FE64FEFB-54C6-42B4-AA7F-D49670F5ED19}"/>
    <cellStyle name="Normal 2 2" xfId="47" xr:uid="{B8803ACE-513D-4EEF-BBE0-0BB76AE7D7F4}"/>
    <cellStyle name="Normal 4" xfId="45" xr:uid="{99CD1B63-5040-4067-BBD7-470030C57E5D}"/>
    <cellStyle name="Normal 5" xfId="46" xr:uid="{C95BEC9B-545D-4D75-A129-77179ED2BD99}"/>
    <cellStyle name="Number diplsay percent" xfId="11" xr:uid="{2A2547EE-93B6-4F82-A56A-1A45D8712142}"/>
    <cellStyle name="Number display decimal" xfId="10" xr:uid="{D6C655C7-D21F-4B70-8143-4C163C43FE08}"/>
    <cellStyle name="Number display decimal total" xfId="27" xr:uid="{A9378C0C-CCAE-43D1-BC2C-BD4A9766DA0D}"/>
    <cellStyle name="Page heading" xfId="2" xr:uid="{255E304E-A5AB-40F0-8E3A-91C132147F10}"/>
    <cellStyle name="Page section heading" xfId="4" xr:uid="{B654AFF3-28A2-43B8-AE91-E7D2C159A294}"/>
    <cellStyle name="Page source" xfId="3" xr:uid="{35DF92BD-4909-4EA7-B1E6-C0EDAAEB1713}"/>
    <cellStyle name="Percent" xfId="14" builtinId="5"/>
    <cellStyle name="Results table column header" xfId="63" xr:uid="{A846043F-10AE-4BED-BAA6-90407C977915}"/>
    <cellStyle name="Table description" xfId="61" xr:uid="{8BD2F353-2E3C-42FF-89E9-616E85DC18C5}"/>
    <cellStyle name="Table name" xfId="60" xr:uid="{D56F17A4-9740-44B6-BDDB-150E2C950B8B}"/>
    <cellStyle name="Unit" xfId="12" xr:uid="{90B9E191-F5E0-43AB-A245-D6CA23D4ADFC}"/>
    <cellStyle name="Unit no indent" xfId="56" xr:uid="{2829D020-DAD8-4B7D-9262-450720E27D2B}"/>
    <cellStyle name="Unit total" xfId="26" xr:uid="{65428923-3DAD-47B6-8DDF-0EBD05E7C55B}"/>
  </cellStyles>
  <dxfs count="88"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color theme="1" tint="0.24994659260841701"/>
      </font>
      <fill>
        <patternFill patternType="solid">
          <fgColor indexed="64"/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fill>
        <patternFill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183C1B"/>
      </font>
      <fill>
        <patternFill patternType="solid">
          <fgColor indexed="64"/>
          <bgColor rgb="FFB2D498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  <dxf>
      <font>
        <color theme="1" tint="0.24994659260841701"/>
      </font>
      <fill>
        <patternFill patternType="none">
          <fgColor indexed="64"/>
          <bgColor auto="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533001"/>
      </font>
      <fill>
        <patternFill patternType="solid">
          <fgColor indexed="64"/>
          <bgColor rgb="FFFFCC66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</dxfs>
  <tableStyles count="3" defaultTableStyle="Equation table" defaultPivotStyle="PivotStyleLight16">
    <tableStyle name="Editable table" pivot="0" count="6" xr9:uid="{8C498A1C-5864-4BF8-8739-A3055FE117E0}">
      <tableStyleElement type="wholeTable" dxfId="87"/>
      <tableStyleElement type="headerRow" dxfId="86"/>
      <tableStyleElement type="totalRow" dxfId="85"/>
      <tableStyleElement type="firstColumn" dxfId="84"/>
      <tableStyleElement type="firstRowStripe" dxfId="83"/>
      <tableStyleElement type="secondRowStripe" dxfId="82"/>
    </tableStyle>
    <tableStyle name="Equation table" pivot="0" count="6" xr9:uid="{B247698E-E41D-4CCD-AA0A-C14817E9DE65}">
      <tableStyleElement type="wholeTable" dxfId="81"/>
      <tableStyleElement type="headerRow" dxfId="80"/>
      <tableStyleElement type="totalRow" dxfId="79"/>
      <tableStyleElement type="firstColumn" dxfId="78"/>
      <tableStyleElement type="firstRowStripe" dxfId="77"/>
      <tableStyleElement type="secondRowStripe" dxfId="76"/>
    </tableStyle>
    <tableStyle name="Table Style 1" pivot="0" count="0" xr9:uid="{97B370DB-5463-4A31-9160-5A96BD6A559D}"/>
  </tableStyles>
  <colors>
    <mruColors>
      <color rgb="FFC44340"/>
      <color rgb="FF0C769E"/>
      <color rgb="FF008000"/>
      <color rgb="FFFFCCCC"/>
      <color rgb="FFC4433F"/>
      <color rgb="FFE9F2FB"/>
      <color rgb="FF183C1B"/>
      <color rgb="FFB2D498"/>
      <color rgb="FFCC6600"/>
      <color rgb="FF4F47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microsoft.com/office/2017/06/relationships/rdRichValueTypes" Target="richData/rdRichValueTypes.xml"/><Relationship Id="rId27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938212</xdr:colOff>
      <xdr:row>65</xdr:row>
      <xdr:rowOff>200025</xdr:rowOff>
    </xdr:from>
    <xdr:to>
      <xdr:col>9</xdr:col>
      <xdr:colOff>1443037</xdr:colOff>
      <xdr:row>77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EA1AD2-453E-4F97-8BC2-DE4AF2798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9525</xdr:colOff>
      <xdr:row>79</xdr:row>
      <xdr:rowOff>219075</xdr:rowOff>
    </xdr:from>
    <xdr:ext cx="2945165" cy="19499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A3B6995-DA2B-4A6B-B72E-9F495168D74D}"/>
                </a:ext>
              </a:extLst>
            </xdr:cNvPr>
            <xdr:cNvSpPr txBox="1"/>
          </xdr:nvSpPr>
          <xdr:spPr>
            <a:xfrm>
              <a:off x="2686050" y="19173825"/>
              <a:ext cx="2945165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𝑉𝑆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𝐹𝑉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𝑉𝑆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A3B6995-DA2B-4A6B-B72E-9F495168D74D}"/>
                </a:ext>
              </a:extLst>
            </xdr:cNvPr>
            <xdr:cNvSpPr txBox="1"/>
          </xdr:nvSpPr>
          <xdr:spPr>
            <a:xfrm>
              <a:off x="2686050" y="19173825"/>
              <a:ext cx="2945165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100" i="0">
                  <a:latin typeface="Cambria Math" panose="02040503050406030204" pitchFamily="18" charset="0"/>
                </a:rPr>
                <a:t>𝑉𝑆𝑇_(𝑖𝑗𝑚,𝑇=2)=𝑉𝑆_𝑗×𝐹𝑉𝑆_(𝑗𝑚,𝑇=1)×(1−𝑉𝑆𝐿_(𝑚,𝑇=1)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290512</xdr:colOff>
      <xdr:row>124</xdr:row>
      <xdr:rowOff>119062</xdr:rowOff>
    </xdr:from>
    <xdr:ext cx="3358483" cy="18287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41C9D90-28C6-427F-B03E-AB27D8998AD6}"/>
                </a:ext>
              </a:extLst>
            </xdr:cNvPr>
            <xdr:cNvSpPr txBox="1"/>
          </xdr:nvSpPr>
          <xdr:spPr>
            <a:xfrm>
              <a:off x="2652712" y="29227462"/>
              <a:ext cx="3358483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𝑉𝑆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𝐵𝑂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41C9D90-28C6-427F-B03E-AB27D8998AD6}"/>
                </a:ext>
              </a:extLst>
            </xdr:cNvPr>
            <xdr:cNvSpPr txBox="1"/>
          </xdr:nvSpPr>
          <xdr:spPr>
            <a:xfrm>
              <a:off x="2652712" y="29227462"/>
              <a:ext cx="3358483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100" i="0">
                  <a:latin typeface="Cambria Math" panose="02040503050406030204" pitchFamily="18" charset="0"/>
                </a:rPr>
                <a:t>𝑀_(𝑖𝑗𝑚,𝑇=2)=𝑉𝑆𝑇_(𝑗𝑚,𝑇=2)×𝐵𝑂×𝑀𝑀𝑆_(𝑗𝑚,𝑇=2)×𝑀𝐶𝐹_𝑖𝑚×𝜌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27174</xdr:colOff>
      <xdr:row>7</xdr:row>
      <xdr:rowOff>152400</xdr:rowOff>
    </xdr:from>
    <xdr:ext cx="2277931" cy="18287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144D6FD-6FA9-430E-87ED-4FA92346A0C7}"/>
                </a:ext>
              </a:extLst>
            </xdr:cNvPr>
            <xdr:cNvSpPr txBox="1"/>
          </xdr:nvSpPr>
          <xdr:spPr>
            <a:xfrm>
              <a:off x="2705380" y="2012576"/>
              <a:ext cx="2277931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𝐹𝑉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144D6FD-6FA9-430E-87ED-4FA92346A0C7}"/>
                </a:ext>
              </a:extLst>
            </xdr:cNvPr>
            <xdr:cNvSpPr txBox="1"/>
          </xdr:nvSpPr>
          <xdr:spPr>
            <a:xfrm>
              <a:off x="2705380" y="2012576"/>
              <a:ext cx="2277931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100" i="0">
                  <a:latin typeface="Cambria Math" panose="02040503050406030204" pitchFamily="18" charset="0"/>
                </a:rPr>
                <a:t>𝐹𝑉𝑆_(𝑗𝑚,𝑇=1)=𝑀𝑀𝑆_(𝑗𝑚,𝑇=1)×(1−𝑆𝑆_𝑚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8</xdr:col>
      <xdr:colOff>139792</xdr:colOff>
      <xdr:row>52</xdr:row>
      <xdr:rowOff>237004</xdr:rowOff>
    </xdr:from>
    <xdr:ext cx="4196405" cy="19499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A8A8583-DF6F-4955-AF42-FE3EDAA835E4}"/>
                </a:ext>
              </a:extLst>
            </xdr:cNvPr>
            <xdr:cNvSpPr txBox="1"/>
          </xdr:nvSpPr>
          <xdr:spPr>
            <a:xfrm>
              <a:off x="13071380" y="13191004"/>
              <a:ext cx="4196405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AU" sz="1100" b="0" i="1">
                        <a:solidFill>
                          <a:srgbClr val="C44340"/>
                        </a:solidFill>
                        <a:latin typeface="Cambria Math" panose="02040503050406030204" pitchFamily="18" charset="0"/>
                      </a:rPr>
                      <m:t>ORIGINAL</m:t>
                    </m:r>
                    <m:r>
                      <a:rPr lang="en-AU" sz="1100" b="0" i="1">
                        <a:solidFill>
                          <a:srgbClr val="C44340"/>
                        </a:solidFill>
                        <a:latin typeface="Cambria Math" panose="02040503050406030204" pitchFamily="18" charset="0"/>
                      </a:rPr>
                      <m:t>: 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𝐹𝑉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=4,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=4,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=1,7,9,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>
                <a:solidFill>
                  <a:srgbClr val="C00000"/>
                </a:solidFill>
              </a:endParaRPr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A8A8583-DF6F-4955-AF42-FE3EDAA835E4}"/>
                </a:ext>
              </a:extLst>
            </xdr:cNvPr>
            <xdr:cNvSpPr txBox="1"/>
          </xdr:nvSpPr>
          <xdr:spPr>
            <a:xfrm>
              <a:off x="13071380" y="13191004"/>
              <a:ext cx="4196405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100" b="0" i="0">
                  <a:solidFill>
                    <a:srgbClr val="C44340"/>
                  </a:solidFill>
                  <a:latin typeface="Cambria Math" panose="02040503050406030204" pitchFamily="18" charset="0"/>
                </a:rPr>
                <a:t>ORIGINAL: </a:t>
              </a:r>
              <a:r>
                <a:rPr lang="en-AU" sz="1100" i="0">
                  <a:latin typeface="Cambria Math" panose="02040503050406030204" pitchFamily="18" charset="0"/>
                </a:rPr>
                <a:t>𝐹𝑉𝑆_(𝑗,𝑚=4,𝑇=1)=𝑀𝑀𝑆_(𝑗,𝑚=4,𝑇=1)+(𝑀𝑀𝑆_(𝑗,𝑚=1,7,9,𝑇=1)×𝑆𝑆_𝑚 )</a:t>
              </a:r>
              <a:endParaRPr lang="en-AU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3</xdr:col>
      <xdr:colOff>33337</xdr:colOff>
      <xdr:row>213</xdr:row>
      <xdr:rowOff>0</xdr:rowOff>
    </xdr:from>
    <xdr:ext cx="2904193" cy="18287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AF2FF1F-FC70-483C-980C-349CDA55527D}"/>
                </a:ext>
              </a:extLst>
            </xdr:cNvPr>
            <xdr:cNvSpPr txBox="1"/>
          </xdr:nvSpPr>
          <xdr:spPr>
            <a:xfrm>
              <a:off x="2709862" y="45453300"/>
              <a:ext cx="2904193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𝐹𝑉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𝐵𝑂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AF2FF1F-FC70-483C-980C-349CDA55527D}"/>
                </a:ext>
              </a:extLst>
            </xdr:cNvPr>
            <xdr:cNvSpPr txBox="1"/>
          </xdr:nvSpPr>
          <xdr:spPr>
            <a:xfrm>
              <a:off x="2709862" y="45453300"/>
              <a:ext cx="2904193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100" i="0">
                  <a:latin typeface="Cambria Math" panose="02040503050406030204" pitchFamily="18" charset="0"/>
                </a:rPr>
                <a:t>𝑀_(𝑖𝑗𝑚,𝑇=1)=𝑉𝑆_𝑗×𝐹𝑉𝑆_(𝑗𝑚,𝑇=1)×𝑀𝐶𝐹_𝑖𝑚×𝐵𝑂×𝜌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285908</xdr:colOff>
      <xdr:row>242</xdr:row>
      <xdr:rowOff>18270</xdr:rowOff>
    </xdr:from>
    <xdr:ext cx="1253035" cy="41075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B8182C9-EABC-4A69-B2F2-5576F1638B12}"/>
                </a:ext>
              </a:extLst>
            </xdr:cNvPr>
            <xdr:cNvSpPr txBox="1"/>
          </xdr:nvSpPr>
          <xdr:spPr>
            <a:xfrm>
              <a:off x="2648108" y="52158120"/>
              <a:ext cx="1253035" cy="4107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sub>
                          <m:sup/>
                          <m:e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𝑗𝑚𝑇</m:t>
                                </m:r>
                              </m:sub>
                            </m:sSub>
                          </m:e>
                        </m:nary>
                        <m:r>
                          <a:rPr lang="en-AU" sz="1100" b="0" i="1">
                            <a:latin typeface="Cambria Math" panose="02040503050406030204" pitchFamily="18" charset="0"/>
                          </a:rPr>
                          <m:t> </m:t>
                        </m:r>
                      </m:e>
                    </m:nary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B8182C9-EABC-4A69-B2F2-5576F1638B12}"/>
                </a:ext>
              </a:extLst>
            </xdr:cNvPr>
            <xdr:cNvSpPr txBox="1"/>
          </xdr:nvSpPr>
          <xdr:spPr>
            <a:xfrm>
              <a:off x="2648108" y="52158120"/>
              <a:ext cx="1253035" cy="4107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100" i="0">
                  <a:latin typeface="Cambria Math" panose="02040503050406030204" pitchFamily="18" charset="0"/>
                </a:rPr>
                <a:t>𝑀_𝑚𝑗=∑_𝑚</a:t>
              </a:r>
              <a:r>
                <a:rPr lang="en-AU" sz="1100" b="0" i="0">
                  <a:latin typeface="Cambria Math" panose="02040503050406030204" pitchFamily="18" charset="0"/>
                </a:rPr>
                <a:t>▒〖∑_</a:t>
              </a:r>
              <a:r>
                <a:rPr lang="en-AU" sz="1100" i="0">
                  <a:latin typeface="Cambria Math" panose="02040503050406030204" pitchFamily="18" charset="0"/>
                </a:rPr>
                <a:t>𝑇▒𝑀_𝑗𝑚𝑇 </a:t>
              </a:r>
              <a:r>
                <a:rPr lang="en-AU" sz="1100" b="0" i="0">
                  <a:latin typeface="Cambria Math" panose="02040503050406030204" pitchFamily="18" charset="0"/>
                </a:rPr>
                <a:t>  〗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271462</xdr:colOff>
      <xdr:row>261</xdr:row>
      <xdr:rowOff>142875</xdr:rowOff>
    </xdr:from>
    <xdr:ext cx="2142701" cy="42992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675177A-4B40-4E29-869B-18762124A3E6}"/>
                </a:ext>
              </a:extLst>
            </xdr:cNvPr>
            <xdr:cNvSpPr txBox="1"/>
          </xdr:nvSpPr>
          <xdr:spPr>
            <a:xfrm>
              <a:off x="2633662" y="56988075"/>
              <a:ext cx="2142701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𝐶𝐻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𝐷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×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𝑚𝑗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×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𝑁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</m:t>
                                </m:r>
                              </m:sub>
                            </m:sSub>
                          </m:e>
                        </m:d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675177A-4B40-4E29-869B-18762124A3E6}"/>
                </a:ext>
              </a:extLst>
            </xdr:cNvPr>
            <xdr:cNvSpPr txBox="1"/>
          </xdr:nvSpPr>
          <xdr:spPr>
            <a:xfrm>
              <a:off x="2633662" y="56988075"/>
              <a:ext cx="2142701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100" i="0">
                  <a:latin typeface="Cambria Math" panose="02040503050406030204" pitchFamily="18" charset="0"/>
                </a:rPr>
                <a:t>𝐸_𝐶𝐻4=∑_𝑗▒(𝐷_𝑗×𝑀_𝑚𝑗×𝑁_𝑗 ) ×10^(−3)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13446</xdr:colOff>
      <xdr:row>52</xdr:row>
      <xdr:rowOff>164726</xdr:rowOff>
    </xdr:from>
    <xdr:ext cx="7504747" cy="19499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32B4099-801B-DE9D-C67B-1465C3FBD42D}"/>
                </a:ext>
              </a:extLst>
            </xdr:cNvPr>
            <xdr:cNvSpPr txBox="1"/>
          </xdr:nvSpPr>
          <xdr:spPr>
            <a:xfrm>
              <a:off x="2691652" y="13118726"/>
              <a:ext cx="7504747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𝐹𝑉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=4,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=4,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=7,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=7,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=9,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=9,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32B4099-801B-DE9D-C67B-1465C3FBD42D}"/>
                </a:ext>
              </a:extLst>
            </xdr:cNvPr>
            <xdr:cNvSpPr txBox="1"/>
          </xdr:nvSpPr>
          <xdr:spPr>
            <a:xfrm>
              <a:off x="2691652" y="13118726"/>
              <a:ext cx="7504747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𝐹𝑉𝑆_(𝑗,𝑚=4,𝑇=1)=𝑀𝑀𝑆_(𝑗,𝑚=4,𝑇=1)+(𝑀𝑀𝑆_(𝑗,𝑚=1,𝑇=1)×𝑆𝑆_(𝑚=1,𝑇=1) )+(𝑀𝑀𝑆_(𝑗,𝑚=7,𝑇=1)×𝑆𝑆_(𝑚=7,𝑇=1) )+(𝑀𝑀𝑆_(𝑗,𝑚=9,𝑇=1)×𝑆𝑆_(𝑚=9,𝑇=1) 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4762</xdr:colOff>
      <xdr:row>7</xdr:row>
      <xdr:rowOff>47625</xdr:rowOff>
    </xdr:from>
    <xdr:ext cx="797334" cy="3503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7F77F64B-57DD-4670-CAAE-7FB1F2DD530E}"/>
                </a:ext>
              </a:extLst>
            </xdr:cNvPr>
            <xdr:cNvSpPr txBox="1"/>
          </xdr:nvSpPr>
          <xdr:spPr>
            <a:xfrm>
              <a:off x="2681287" y="1914525"/>
              <a:ext cx="797334" cy="3503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𝑊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𝑗𝑘𝑙</m:t>
                            </m:r>
                          </m:sub>
                        </m:sSub>
                      </m:num>
                      <m:den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𝑆𝑅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𝑊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7F77F64B-57DD-4670-CAAE-7FB1F2DD530E}"/>
                </a:ext>
              </a:extLst>
            </xdr:cNvPr>
            <xdr:cNvSpPr txBox="1"/>
          </xdr:nvSpPr>
          <xdr:spPr>
            <a:xfrm>
              <a:off x="2681287" y="1914525"/>
              <a:ext cx="797334" cy="3503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𝑍_𝑗𝑘𝑙=𝑊_𝑗𝑘𝑙/(𝑆𝑅𝑊_𝑘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290512</xdr:colOff>
      <xdr:row>42</xdr:row>
      <xdr:rowOff>38100</xdr:rowOff>
    </xdr:from>
    <xdr:ext cx="3303853" cy="4265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A058CEC-33A7-35FA-5853-766C7B1F9F51}"/>
                </a:ext>
              </a:extLst>
            </xdr:cNvPr>
            <xdr:cNvSpPr txBox="1"/>
          </xdr:nvSpPr>
          <xdr:spPr>
            <a:xfrm>
              <a:off x="2652712" y="10572750"/>
              <a:ext cx="3303853" cy="4265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𝐿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𝐼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𝑗𝑘𝑙</m:t>
                            </m:r>
                          </m:sub>
                        </m:sSub>
                      </m:num>
                      <m:den>
                        <m:sSup>
                          <m:sSup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1.185+0.00454×</m:t>
                                </m:r>
                                <m:sSub>
                                  <m:sSub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𝑊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𝑗𝑘𝑙</m:t>
                                    </m:r>
                                  </m:sub>
                                </m:s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−0.0000026×</m:t>
                                </m:r>
                                <m:sSubSup>
                                  <m:sSubSup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𝑊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𝑗𝑘𝑙</m:t>
                                    </m:r>
                                  </m:sub>
                                  <m:sup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d>
                          </m:e>
                          <m:sup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A058CEC-33A7-35FA-5853-766C7B1F9F51}"/>
                </a:ext>
              </a:extLst>
            </xdr:cNvPr>
            <xdr:cNvSpPr txBox="1"/>
          </xdr:nvSpPr>
          <xdr:spPr>
            <a:xfrm>
              <a:off x="2652712" y="10572750"/>
              <a:ext cx="3303853" cy="4265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𝐿_𝑗𝑘𝑙=𝐼_𝑗𝑘𝑙/(1.185+0.00454×𝑊_𝑗𝑘𝑙−0.0000026×𝑊_𝑗𝑘𝑙^2 )^2 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7</xdr:col>
      <xdr:colOff>490537</xdr:colOff>
      <xdr:row>72</xdr:row>
      <xdr:rowOff>161925</xdr:rowOff>
    </xdr:from>
    <xdr:ext cx="2458815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D09F3638-EFF8-AB8B-E07E-46FE6C7466E8}"/>
                </a:ext>
              </a:extLst>
            </xdr:cNvPr>
            <xdr:cNvSpPr txBox="1"/>
          </xdr:nvSpPr>
          <xdr:spPr>
            <a:xfrm>
              <a:off x="11358562" y="17878425"/>
              <a:ext cx="245881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AU" sz="1100" b="0" i="1">
                        <a:solidFill>
                          <a:srgbClr val="C44340"/>
                        </a:solidFill>
                        <a:latin typeface="Cambria Math" panose="02040503050406030204" pitchFamily="18" charset="0"/>
                      </a:rPr>
                      <m:t>ORIGINAL</m:t>
                    </m:r>
                    <m:r>
                      <a:rPr lang="en-AU" sz="1100" b="0" i="1">
                        <a:solidFill>
                          <a:srgbClr val="C44340"/>
                        </a:solidFill>
                        <a:latin typeface="Cambria Math" panose="02040503050406030204" pitchFamily="18" charset="0"/>
                      </a:rPr>
                      <m:t>: 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𝐿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𝐷𝑀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D09F3638-EFF8-AB8B-E07E-46FE6C7466E8}"/>
                </a:ext>
              </a:extLst>
            </xdr:cNvPr>
            <xdr:cNvSpPr txBox="1"/>
          </xdr:nvSpPr>
          <xdr:spPr>
            <a:xfrm>
              <a:off x="11358562" y="17878425"/>
              <a:ext cx="245881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b="0" i="0">
                  <a:solidFill>
                    <a:srgbClr val="C44340"/>
                  </a:solidFill>
                  <a:latin typeface="Cambria Math" panose="02040503050406030204" pitchFamily="18" charset="0"/>
                </a:rPr>
                <a:t>ORIGINAL: </a:t>
              </a:r>
              <a:r>
                <a:rPr lang="en-AU" sz="1100" i="0">
                  <a:latin typeface="Cambria Math" panose="02040503050406030204" pitchFamily="18" charset="0"/>
                </a:rPr>
                <a:t>𝑀𝑃_(𝑗𝑘=5)=𝐿𝐶_(𝑗𝑘=5)×𝐷𝑀𝑃_(𝑗𝑘=5)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4762</xdr:colOff>
      <xdr:row>72</xdr:row>
      <xdr:rowOff>152400</xdr:rowOff>
    </xdr:from>
    <xdr:ext cx="4483022" cy="1949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57AAE539-5E0A-2DC4-BCB9-9CA6E3134616}"/>
                </a:ext>
              </a:extLst>
            </xdr:cNvPr>
            <xdr:cNvSpPr txBox="1"/>
          </xdr:nvSpPr>
          <xdr:spPr>
            <a:xfrm>
              <a:off x="2681287" y="17868900"/>
              <a:ext cx="4483022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𝐿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=5,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𝑐𝑢𝑟𝑟𝑒𝑛𝑡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𝐷𝑀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𝑃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=5,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𝑐𝑎𝑙𝑣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𝐿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=5,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𝑝𝑟𝑒𝑣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𝐷𝑀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𝑃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=5,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𝑎𝑓𝑡𝑒𝑟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57AAE539-5E0A-2DC4-BCB9-9CA6E3134616}"/>
                </a:ext>
              </a:extLst>
            </xdr:cNvPr>
            <xdr:cNvSpPr txBox="1"/>
          </xdr:nvSpPr>
          <xdr:spPr>
            <a:xfrm>
              <a:off x="2681287" y="17868900"/>
              <a:ext cx="4483022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𝑀𝑃_(𝑗𝑘=5)=(𝐿𝐶_(𝑗𝑘=5,𝑐𝑢𝑟𝑟𝑒𝑛𝑡)×𝐷𝑀𝑃_(𝑗𝑘=5,𝑐𝑎𝑙𝑣) )+(𝐿𝐶_(𝑗𝑘=5,𝑝𝑟𝑒𝑣)×𝐷𝑀𝑃_(𝑗𝑘=5,𝑎𝑓𝑡𝑒𝑟)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282388</xdr:colOff>
      <xdr:row>104</xdr:row>
      <xdr:rowOff>47066</xdr:rowOff>
    </xdr:from>
    <xdr:ext cx="7589001" cy="5404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BE535B94-C413-5D65-DEC7-F06F3390788B}"/>
                </a:ext>
              </a:extLst>
            </xdr:cNvPr>
            <xdr:cNvSpPr txBox="1"/>
          </xdr:nvSpPr>
          <xdr:spPr>
            <a:xfrm>
              <a:off x="2648984" y="26086951"/>
              <a:ext cx="7589001" cy="5404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0.032×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𝑃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=5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÷6.38</m:t>
                        </m:r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begChr m:val="{"/>
                        <m:endChr m:val="}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begChr m:val="{"/>
                            <m:endChr m:val="}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0.212−0.008×</m:t>
                            </m:r>
                            <m:d>
                              <m:d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𝐿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𝑗𝑘𝑙</m:t>
                                    </m:r>
                                  </m:sub>
                                </m:s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−2</m:t>
                                </m:r>
                              </m:e>
                            </m:d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0.140−0.008×</m:t>
                                    </m:r>
                                    <m:d>
                                      <m:d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𝐿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𝑗𝑘𝑙</m:t>
                                            </m:r>
                                          </m:sub>
                                        </m:s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−2</m:t>
                                        </m:r>
                                      </m:e>
                                    </m:d>
                                  </m:num>
                                  <m:den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1+</m:t>
                                    </m:r>
                                    <m:sSup>
                                      <m:sSup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𝑒</m:t>
                                        </m:r>
                                      </m:e>
                                      <m:sup>
                                        <m:d>
                                          <m:d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d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−6×</m:t>
                                            </m:r>
                                            <m:d>
                                              <m:dPr>
                                                <m:ctrlPr>
                                                  <a:rPr lang="en-AU" sz="1100" i="1">
                                                    <a:latin typeface="Cambria Math" panose="02040503050406030204" pitchFamily="18" charset="0"/>
                                                  </a:rPr>
                                                </m:ctrlPr>
                                              </m:dPr>
                                              <m:e>
                                                <m:sSub>
                                                  <m:sSubPr>
                                                    <m:ctrlPr>
                                                      <a:rPr lang="en-AU" sz="1100" i="1">
                                                        <a:latin typeface="Cambria Math" panose="02040503050406030204" pitchFamily="18" charset="0"/>
                                                      </a:rPr>
                                                    </m:ctrlPr>
                                                  </m:sSubPr>
                                                  <m:e>
                                                    <m:r>
                                                      <a:rPr lang="en-AU" sz="1100" i="1">
                                                        <a:latin typeface="Cambria Math" panose="02040503050406030204" pitchFamily="18" charset="0"/>
                                                      </a:rPr>
                                                      <m:t>𝑍</m:t>
                                                    </m:r>
                                                  </m:e>
                                                  <m:sub>
                                                    <m:r>
                                                      <a:rPr lang="en-AU" sz="1100" i="1">
                                                        <a:latin typeface="Cambria Math" panose="02040503050406030204" pitchFamily="18" charset="0"/>
                                                      </a:rPr>
                                                      <m:t>𝑗𝑘𝑙</m:t>
                                                    </m:r>
                                                  </m:sub>
                                                </m:sSub>
                                                <m:r>
                                                  <a:rPr lang="en-AU" sz="1100" i="1">
                                                    <a:latin typeface="Cambria Math" panose="02040503050406030204" pitchFamily="18" charset="0"/>
                                                  </a:rPr>
                                                  <m:t>−0.4</m:t>
                                                </m:r>
                                              </m:e>
                                            </m:d>
                                          </m:e>
                                        </m:d>
                                      </m:sup>
                                    </m:sSup>
                                  </m:den>
                                </m:f>
                              </m:e>
                            </m:d>
                          </m:e>
                        </m:d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𝐿𝑊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𝐺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𝑗𝑘𝑙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×0.92</m:t>
                            </m:r>
                          </m:e>
                        </m:d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÷6.25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BE535B94-C413-5D65-DEC7-F06F3390788B}"/>
                </a:ext>
              </a:extLst>
            </xdr:cNvPr>
            <xdr:cNvSpPr txBox="1"/>
          </xdr:nvSpPr>
          <xdr:spPr>
            <a:xfrm>
              <a:off x="2648984" y="26086951"/>
              <a:ext cx="7589001" cy="5404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𝑁𝑅_𝑗𝑘𝑙=(0.032×𝑀𝑃_(𝑗𝑘=5)÷6.38)+{{0.212−0.008×(𝐿_𝑗𝑘𝑙−2)−[(0.140−0.008×(𝐿_𝑗𝑘𝑙−2))/(1+𝑒^((−6×(𝑍_𝑗𝑘𝑙−0.4)) ) )]}×(𝐿𝑊𝐺_𝑗𝑘𝑙×0.92)}÷6.25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300037</xdr:colOff>
      <xdr:row>136</xdr:row>
      <xdr:rowOff>142875</xdr:rowOff>
    </xdr:from>
    <xdr:ext cx="5991640" cy="20120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53F68C54-1CE4-505D-F4DB-E938F689AB7D}"/>
                </a:ext>
              </a:extLst>
            </xdr:cNvPr>
            <xdr:cNvSpPr txBox="1"/>
          </xdr:nvSpPr>
          <xdr:spPr>
            <a:xfrm>
              <a:off x="2662237" y="33956625"/>
              <a:ext cx="5991640" cy="2012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𝐼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𝑗𝑘𝑙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𝑃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÷6.25</m:t>
                        </m:r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0.032×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=1,3,6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÷6.38</m:t>
                        </m:r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−</m:t>
                    </m:r>
                    <m:d>
                      <m:dPr>
                        <m:begChr m:val="["/>
                        <m:endChr m:val="]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1.1×</m:t>
                            </m:r>
                            <m:sSup>
                              <m:sSup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10</m:t>
                                </m:r>
                              </m:e>
                              <m:sup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−4</m:t>
                                </m:r>
                              </m:sup>
                            </m:sSup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×</m:t>
                            </m:r>
                            <m:sSubSup>
                              <m:sSubSup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𝑊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𝑗𝑘𝑙</m:t>
                                </m:r>
                              </m:sub>
                              <m:sup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0.75</m:t>
                                </m:r>
                              </m:sup>
                            </m:sSubSup>
                          </m:e>
                        </m:d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÷6.25</m:t>
                        </m:r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53F68C54-1CE4-505D-F4DB-E938F689AB7D}"/>
                </a:ext>
              </a:extLst>
            </xdr:cNvPr>
            <xdr:cNvSpPr txBox="1"/>
          </xdr:nvSpPr>
          <xdr:spPr>
            <a:xfrm>
              <a:off x="2662237" y="33956625"/>
              <a:ext cx="5991640" cy="2012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𝑁𝐸_𝑗𝑘𝑙=(𝐼_𝑗𝑘𝑙×𝐶𝑃_𝑗÷6.25)+(0.032×𝑀𝐶_(𝑗𝑘=1,3,6)÷6.38)−𝑁𝑅_𝑗𝑘𝑙−[(1.1×10^(−4)×𝑊_𝑗𝑘𝑙^0.75 )÷6.25]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4762</xdr:colOff>
      <xdr:row>176</xdr:row>
      <xdr:rowOff>38100</xdr:rowOff>
    </xdr:from>
    <xdr:ext cx="2164952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EB72FD8E-81E4-5978-0605-3B10D357366A}"/>
                </a:ext>
              </a:extLst>
            </xdr:cNvPr>
            <xdr:cNvSpPr txBox="1"/>
          </xdr:nvSpPr>
          <xdr:spPr>
            <a:xfrm>
              <a:off x="2681287" y="43757850"/>
              <a:ext cx="216495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𝐴𝐸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𝑙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𝑗𝑘𝑙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𝑁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𝐸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𝑗𝑘𝑙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𝐷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EB72FD8E-81E4-5978-0605-3B10D357366A}"/>
                </a:ext>
              </a:extLst>
            </xdr:cNvPr>
            <xdr:cNvSpPr txBox="1"/>
          </xdr:nvSpPr>
          <xdr:spPr>
            <a:xfrm>
              <a:off x="2681287" y="43757850"/>
              <a:ext cx="216495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𝐴𝐸=∑8_𝑗▒∑8_𝑘▒∑8_𝑙▒(𝑁_𝑗𝑘𝑙×𝑁𝐸_𝑗𝑘𝑙×𝐷_𝑗 ) 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309562</xdr:colOff>
      <xdr:row>216</xdr:row>
      <xdr:rowOff>95250</xdr:rowOff>
    </xdr:from>
    <xdr:ext cx="2334870" cy="180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09ABD1D9-207F-6419-4C52-5C02C7AECD85}"/>
                </a:ext>
              </a:extLst>
            </xdr:cNvPr>
            <xdr:cNvSpPr txBox="1"/>
          </xdr:nvSpPr>
          <xdr:spPr>
            <a:xfrm>
              <a:off x="2671762" y="53721000"/>
              <a:ext cx="2334870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𝑑𝑖𝑟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𝐴𝐸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𝑃𝑅𝑃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09ABD1D9-207F-6419-4C52-5C02C7AECD85}"/>
                </a:ext>
              </a:extLst>
            </xdr:cNvPr>
            <xdr:cNvSpPr txBox="1"/>
          </xdr:nvSpPr>
          <xdr:spPr>
            <a:xfrm>
              <a:off x="2671762" y="53721000"/>
              <a:ext cx="2334870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𝐸_(𝑁2𝑂,𝑑𝑖𝑟)=𝐴𝐸×𝐸𝐹_𝑃𝑅𝑃×𝐶_𝑁2𝑂×10^(−3)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4762</xdr:colOff>
      <xdr:row>7</xdr:row>
      <xdr:rowOff>133350</xdr:rowOff>
    </xdr:from>
    <xdr:ext cx="1745413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5113A8E-2D0B-0028-3EEC-52654F15D638}"/>
                </a:ext>
              </a:extLst>
            </xdr:cNvPr>
            <xdr:cNvSpPr txBox="1"/>
          </xdr:nvSpPr>
          <xdr:spPr>
            <a:xfrm>
              <a:off x="2681287" y="2000250"/>
              <a:ext cx="1745413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𝑣𝑜𝑙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𝐴𝐸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𝐹𝑟𝑎𝑐𝐺𝐴𝑆𝑀𝑠𝑜𝑖𝑙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5113A8E-2D0B-0028-3EEC-52654F15D638}"/>
                </a:ext>
              </a:extLst>
            </xdr:cNvPr>
            <xdr:cNvSpPr txBox="1"/>
          </xdr:nvSpPr>
          <xdr:spPr>
            <a:xfrm>
              <a:off x="2681287" y="2000250"/>
              <a:ext cx="1745413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𝑀_𝑣𝑜𝑙=𝐴𝐸×𝐹𝑟𝑎𝑐𝐺𝐴𝑆𝑀𝑠𝑜𝑖𝑙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309562</xdr:colOff>
      <xdr:row>22</xdr:row>
      <xdr:rowOff>152400</xdr:rowOff>
    </xdr:from>
    <xdr:ext cx="2410467" cy="180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BF22B100-4D2C-BDC2-B577-E7AF6106C50D}"/>
                </a:ext>
              </a:extLst>
            </xdr:cNvPr>
            <xdr:cNvSpPr txBox="1"/>
          </xdr:nvSpPr>
          <xdr:spPr>
            <a:xfrm>
              <a:off x="2671762" y="5734050"/>
              <a:ext cx="2410467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𝑎𝑑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𝑣𝑜𝑙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BF22B100-4D2C-BDC2-B577-E7AF6106C50D}"/>
                </a:ext>
              </a:extLst>
            </xdr:cNvPr>
            <xdr:cNvSpPr txBox="1"/>
          </xdr:nvSpPr>
          <xdr:spPr>
            <a:xfrm>
              <a:off x="2671762" y="5734050"/>
              <a:ext cx="2410467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𝐸_(𝑁2𝑂,𝑎𝑑)=𝑀_𝑣𝑜𝑙×𝐸𝐹_𝑁2𝑂×𝐶_𝑁2𝑂×10^(−3)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300037</xdr:colOff>
      <xdr:row>7</xdr:row>
      <xdr:rowOff>133350</xdr:rowOff>
    </xdr:from>
    <xdr:ext cx="242162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D9A4958-7057-2FEE-E1BA-6A1998ADFF7B}"/>
                </a:ext>
              </a:extLst>
            </xdr:cNvPr>
            <xdr:cNvSpPr txBox="1"/>
          </xdr:nvSpPr>
          <xdr:spPr>
            <a:xfrm>
              <a:off x="2662237" y="2000250"/>
              <a:ext cx="242162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𝑙𝑒𝑎𝑐h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𝐴𝐸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𝐹𝑟𝑎𝑐𝑊𝑒𝑡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𝐹𝑟𝑎𝑐𝐿𝐸𝐴𝐶𝐻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D9A4958-7057-2FEE-E1BA-6A1998ADFF7B}"/>
                </a:ext>
              </a:extLst>
            </xdr:cNvPr>
            <xdr:cNvSpPr txBox="1"/>
          </xdr:nvSpPr>
          <xdr:spPr>
            <a:xfrm>
              <a:off x="2662237" y="2000250"/>
              <a:ext cx="242162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𝑀_𝑙𝑒𝑎𝑐ℎ=𝐴𝐸×𝐹𝑟𝑎𝑐𝑊𝑒𝑡×𝐹𝑟𝑎𝑐𝐿𝐸𝐴𝐶𝐻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300037</xdr:colOff>
      <xdr:row>26</xdr:row>
      <xdr:rowOff>180975</xdr:rowOff>
    </xdr:from>
    <xdr:ext cx="2731838" cy="180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145C53C5-600F-2419-A9EA-8A57F3782F48}"/>
                </a:ext>
              </a:extLst>
            </xdr:cNvPr>
            <xdr:cNvSpPr txBox="1"/>
          </xdr:nvSpPr>
          <xdr:spPr>
            <a:xfrm>
              <a:off x="2662237" y="6753225"/>
              <a:ext cx="2731838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𝑙𝑒𝑎𝑐h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𝑙𝑒𝑎𝑐h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𝑙𝑒𝑎𝑐h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145C53C5-600F-2419-A9EA-8A57F3782F48}"/>
                </a:ext>
              </a:extLst>
            </xdr:cNvPr>
            <xdr:cNvSpPr txBox="1"/>
          </xdr:nvSpPr>
          <xdr:spPr>
            <a:xfrm>
              <a:off x="2662237" y="6753225"/>
              <a:ext cx="2731838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𝐸_(𝑁2𝑂,𝑙𝑒𝑎𝑐ℎ)=𝑀_𝑙𝑒𝑎𝑐ℎ×𝐸𝐹_𝑙𝑒𝑎𝑐ℎ×𝐶_𝑁2𝑂×10^(−3)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htdocs\zneagcrc\GAF-VEERG-Functions\Excel\Old\GAF2-Template-WIP-v30.xlsx" TargetMode="External"/><Relationship Id="rId1" Type="http://schemas.openxmlformats.org/officeDocument/2006/relationships/externalLinkPath" Target="Old/GAF2-Template-WIP-v3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 - MMS - Feedlot"/>
      <sheetName val="Calcs - CH4 MMS Feedlot"/>
      <sheetName val="Input - MMS - Poultry"/>
      <sheetName val="Calcs - CH4 MMS Poultry"/>
      <sheetName val="Input - Herd - Swine"/>
      <sheetName val="Input - MMS - Swine"/>
      <sheetName val="Calcs - CH4 MMS Swine"/>
      <sheetName val="Tab template"/>
      <sheetName val="Results"/>
      <sheetName val="Input - Site"/>
      <sheetName val="Input - Production"/>
      <sheetName val="Input - Herd - Dairy"/>
      <sheetName val="Input - Feed - Dairy"/>
      <sheetName val="Input - Herd - Feedlot"/>
      <sheetName val="Input - Grains"/>
      <sheetName val="Input - Pasture"/>
      <sheetName val="Input - Fert Lime Chem"/>
      <sheetName val="Input - Fuel &amp; Energy"/>
      <sheetName val="Input - Other Farm Inputs"/>
      <sheetName val="Input - Aquaculture"/>
      <sheetName val="Input - Data Quality"/>
      <sheetName val="Input - LULUCF"/>
      <sheetName val="Calcs - Fert Lime"/>
      <sheetName val="Calcs - Residue mgmt - Crop"/>
      <sheetName val="Calcs - Residue mgmt - Pasture"/>
      <sheetName val="Calcs - Field burning"/>
      <sheetName val="Calcs - Fuel"/>
      <sheetName val="Calcs - Electricity"/>
      <sheetName val="Calcs - Refrigerants"/>
      <sheetName val="Calcs - Scope 3"/>
      <sheetName val="Constants - Common"/>
      <sheetName val="Constants - Cropping"/>
      <sheetName val="Constants - Livestock"/>
      <sheetName val="Constants - Dairy"/>
      <sheetName val="Constants - Feedlot"/>
      <sheetName val="Styles"/>
    </sheetNames>
    <sheetDataSet>
      <sheetData sheetId="0"/>
      <sheetData sheetId="1"/>
      <sheetData sheetId="2"/>
      <sheetData sheetId="3"/>
      <sheetData sheetId="4"/>
      <sheetData sheetId="5">
        <row r="11">
          <cell r="E11">
            <v>0.4</v>
          </cell>
          <cell r="F11">
            <v>0.46</v>
          </cell>
          <cell r="G11">
            <v>0.55000000000000004</v>
          </cell>
          <cell r="H11">
            <v>0.39</v>
          </cell>
          <cell r="I11">
            <v>0.39</v>
          </cell>
          <cell r="J11">
            <v>0.39</v>
          </cell>
          <cell r="K11">
            <v>0.39</v>
          </cell>
        </row>
        <row r="19">
          <cell r="F19" t="str">
            <v>Post-separation solid storage</v>
          </cell>
        </row>
        <row r="77">
          <cell r="H77" t="str">
            <v>Drylot (feed pad)</v>
          </cell>
        </row>
        <row r="90">
          <cell r="E90">
            <v>0.2</v>
          </cell>
          <cell r="F90">
            <v>0.2</v>
          </cell>
          <cell r="G90">
            <v>0.2</v>
          </cell>
          <cell r="H90">
            <v>0.2</v>
          </cell>
          <cell r="I90">
            <v>0.2</v>
          </cell>
          <cell r="J90">
            <v>0.2</v>
          </cell>
          <cell r="K90">
            <v>0.2</v>
          </cell>
        </row>
        <row r="109">
          <cell r="E109">
            <v>0.2</v>
          </cell>
          <cell r="F109">
            <v>0.2</v>
          </cell>
          <cell r="G109">
            <v>0.2</v>
          </cell>
          <cell r="H109">
            <v>0.2</v>
          </cell>
          <cell r="I109">
            <v>0.2</v>
          </cell>
          <cell r="J109">
            <v>0.2</v>
          </cell>
          <cell r="K109">
            <v>0.2</v>
          </cell>
        </row>
        <row r="110">
          <cell r="E110">
            <v>0.2</v>
          </cell>
          <cell r="F110">
            <v>0.2</v>
          </cell>
          <cell r="G110">
            <v>0.2</v>
          </cell>
          <cell r="H110">
            <v>0.2</v>
          </cell>
          <cell r="I110">
            <v>0.2</v>
          </cell>
          <cell r="J110">
            <v>0.2</v>
          </cell>
          <cell r="K110">
            <v>0.2</v>
          </cell>
        </row>
        <row r="111">
          <cell r="E111">
            <v>0.2</v>
          </cell>
          <cell r="F111">
            <v>0.2</v>
          </cell>
          <cell r="G111">
            <v>0.2</v>
          </cell>
          <cell r="H111">
            <v>0.2</v>
          </cell>
          <cell r="I111">
            <v>0.2</v>
          </cell>
          <cell r="J111">
            <v>0.2</v>
          </cell>
          <cell r="K111">
            <v>0.2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10">
          <cell r="E10" t="str">
            <v>Anaerobic lagoon</v>
          </cell>
          <cell r="F10" t="str">
            <v>Anaerobic lagoon (m=1)</v>
          </cell>
        </row>
        <row r="15">
          <cell r="E15" t="str">
            <v>Solid storage</v>
          </cell>
          <cell r="F15" t="str">
            <v>Solid storage (m=4)</v>
          </cell>
        </row>
        <row r="16">
          <cell r="E16" t="str">
            <v>Drylot (feed pad)</v>
          </cell>
          <cell r="F16" t="str">
            <v>Drylot (feed pad) (m=5)</v>
          </cell>
        </row>
        <row r="18">
          <cell r="E18" t="str">
            <v>Digester / covered lagoons</v>
          </cell>
          <cell r="F18" t="str">
            <v>Digester / covered lagoons (m=7)</v>
          </cell>
        </row>
        <row r="19">
          <cell r="E19" t="str">
            <v>Deep litter</v>
          </cell>
          <cell r="F19" t="str">
            <v>Deep litter (m=8)</v>
          </cell>
        </row>
        <row r="20">
          <cell r="E20" t="str">
            <v>Pit storage</v>
          </cell>
          <cell r="F20" t="str">
            <v>Pit storage (m=9)</v>
          </cell>
        </row>
        <row r="26">
          <cell r="E26" t="str">
            <v>Direct application</v>
          </cell>
          <cell r="F26" t="str">
            <v>Direct application (m=13)</v>
          </cell>
        </row>
      </sheetData>
      <sheetData sheetId="33"/>
      <sheetData sheetId="34"/>
      <sheetData sheetId="35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EEF5DA-4392-40D7-9550-EA401E64C221}" name="Table_SourceData_Swine_VolatileSolids" displayName="Table_SourceData_Swine_VolatileSolids" ref="D9:E16" totalsRowShown="0">
  <autoFilter ref="D9:E16" xr:uid="{9DEEF5DA-4392-40D7-9550-EA401E64C221}"/>
  <tableColumns count="2">
    <tableColumn id="1" xr3:uid="{A1AC17BE-6F0C-4EA3-88D1-F15B8A0AA6A1}" name="Class">
      <calculatedColumnFormula array="1">Common_InputFunctions.Utility_DisplayArrayInTable(SourceData_Swine.SourceData_Swine_VolatileSolids_Data(), Table_SourceData_Swine_VolatileSolids[[#Headers],[Class]], 0)</calculatedColumnFormula>
    </tableColumn>
    <tableColumn id="2" xr3:uid="{539845C7-E401-474C-86C5-B676BBD1B040}" name="VSj" dataDxfId="55" dataCellStyle="Content normal">
      <calculatedColumnFormula array="1">Common_InputFunctions.Utility_DisplayArrayInTable(SourceData_Swine.SourceData_Swine_VolatileSolids_Data(), Table_SourceData_Swine_VolatileSolids[[#Headers],[Class]], 0)</calculatedColumnFormula>
    </tableColumn>
  </tableColumns>
  <tableStyleInfo name="Equation 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FD9E79-6224-4B04-B002-84DC46086DAC}" name="Table_SourceData_Swine_MMSMCF" displayName="Table_SourceData_Swine_MMSMCF" ref="D28:M35" totalsRowShown="0">
  <autoFilter ref="D28:M35" xr:uid="{8BFD9E79-6224-4B04-B002-84DC46086DAC}"/>
  <tableColumns count="10">
    <tableColumn id="1" xr3:uid="{948C8C81-0F25-4404-945E-CD16BE93BFBF}" name="MMS">
      <calculatedColumnFormula array="1">Common_InputFunctions.Utility_DisplayArrayInTable(SourceData_Swine.SourceData_Swine_MMS_MCFs_Data(),Table_SourceData_Swine_MMSMCF[[#Headers],[MMS]],0)</calculatedColumnFormula>
    </tableColumn>
    <tableColumn id="2" xr3:uid="{CC6F19AB-67BC-413A-9108-447CB795CC02}" name="NSW" dataDxfId="54" dataCellStyle="Content normal">
      <calculatedColumnFormula array="1">Common_InputFunctions.Utility_DisplayArrayInTable(SourceData_Swine.SourceData_Swine_MMS_MCFs_Data(),Table_SourceData_Swine_MMSMCF[[#Headers],[MMS]],0)</calculatedColumnFormula>
    </tableColumn>
    <tableColumn id="3" xr3:uid="{EFE4C41A-233A-4E7D-912F-E949B7110A0A}" name="ACT" dataDxfId="53" dataCellStyle="Content normal">
      <calculatedColumnFormula array="1">Common_InputFunctions.Utility_DisplayArrayInTable(SourceData_Swine.SourceData_Swine_MMS_MCFs_Data(),Table_SourceData_Swine_MMSMCF[[#Headers],[MMS]],0)</calculatedColumnFormula>
    </tableColumn>
    <tableColumn id="4" xr3:uid="{90D72B45-949A-49D4-8B76-EF78C1A193C9}" name="QLD" dataDxfId="52" dataCellStyle="Content normal">
      <calculatedColumnFormula array="1">Common_InputFunctions.Utility_DisplayArrayInTable(SourceData_Swine.SourceData_Swine_MMS_MCFs_Data(),Table_SourceData_Swine_MMSMCF[[#Headers],[MMS]],0)</calculatedColumnFormula>
    </tableColumn>
    <tableColumn id="5" xr3:uid="{D7D725B2-0CF9-4EB2-A5C1-09EDA961537A}" name="NT" dataDxfId="51" dataCellStyle="Content normal">
      <calculatedColumnFormula array="1">Common_InputFunctions.Utility_DisplayArrayInTable(SourceData_Swine.SourceData_Swine_MMS_MCFs_Data(),Table_SourceData_Swine_MMSMCF[[#Headers],[MMS]],0)</calculatedColumnFormula>
    </tableColumn>
    <tableColumn id="6" xr3:uid="{2934DF60-275E-438D-A730-DD780A8931E8}" name="SA" dataDxfId="50" dataCellStyle="Content normal">
      <calculatedColumnFormula array="1">Common_InputFunctions.Utility_DisplayArrayInTable(SourceData_Swine.SourceData_Swine_MMS_MCFs_Data(),Table_SourceData_Swine_MMSMCF[[#Headers],[MMS]],0)</calculatedColumnFormula>
    </tableColumn>
    <tableColumn id="7" xr3:uid="{29BE3DB6-3057-4DB9-9C8B-816C15103256}" name="TAS" dataDxfId="49" dataCellStyle="Content normal">
      <calculatedColumnFormula array="1">Common_InputFunctions.Utility_DisplayArrayInTable(SourceData_Swine.SourceData_Swine_MMS_MCFs_Data(),Table_SourceData_Swine_MMSMCF[[#Headers],[MMS]],0)</calculatedColumnFormula>
    </tableColumn>
    <tableColumn id="8" xr3:uid="{FF50759B-240C-4451-AB1C-3143673818F2}" name="VIC" dataDxfId="48" dataCellStyle="Content normal">
      <calculatedColumnFormula array="1">Common_InputFunctions.Utility_DisplayArrayInTable(SourceData_Swine.SourceData_Swine_MMS_MCFs_Data(),Table_SourceData_Swine_MMSMCF[[#Headers],[MMS]],0)</calculatedColumnFormula>
    </tableColumn>
    <tableColumn id="9" xr3:uid="{F164F2B6-4BA2-43CA-8A29-E52D5447FFC0}" name="WA" dataDxfId="47" dataCellStyle="Content normal">
      <calculatedColumnFormula array="1">Common_InputFunctions.Utility_DisplayArrayInTable(SourceData_Swine.SourceData_Swine_MMS_MCFs_Data(),Table_SourceData_Swine_MMSMCF[[#Headers],[MMS]],0)</calculatedColumnFormula>
    </tableColumn>
    <tableColumn id="10" xr3:uid="{F171BCD0-98D2-4E5E-AC27-147712A91756}" name="NIR definition" dataDxfId="46" dataCellStyle="Content normal">
      <calculatedColumnFormula array="1">Common_InputFunctions.Utility_DisplayArrayInTable(SourceData_Swine.SourceData_Swine_MMS_MCFs_Data(),Table_SourceData_Swine_MMSMCF[[#Headers],[MMS]],0)</calculatedColumnFormula>
    </tableColumn>
  </tableColumns>
  <tableStyleInfo name="Equation tab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2F7033B-606B-4A24-9223-A30737FDC1FE}" name="Table_SourceData_SwineMMS" displayName="Table_SourceData_SwineMMS" ref="D40:E47" totalsRowShown="0">
  <autoFilter ref="D40:E47" xr:uid="{42F7033B-606B-4A24-9223-A30737FDC1FE}"/>
  <tableColumns count="2">
    <tableColumn id="1" xr3:uid="{EE2AFE6D-8BE2-4C1D-92EA-668A71924A96}" name="MMS"/>
    <tableColumn id="2" xr3:uid="{58174C83-0911-44A2-9C27-90139AD99654}" name="Symbol and MMS"/>
  </tableColumns>
  <tableStyleInfo name="Equation tab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79C074C-6E98-47B5-B4E5-F8A1F12104F2}" name="Table_SourceData_SwineVSL" displayName="Table_SourceData_SwineVSL" ref="D53:E60" totalsRowShown="0">
  <autoFilter ref="D53:E60" xr:uid="{079C074C-6E98-47B5-B4E5-F8A1F12104F2}"/>
  <tableColumns count="2">
    <tableColumn id="1" xr3:uid="{76B78063-3D59-41B8-AAF7-BECA81797EB1}" name="MMS"/>
    <tableColumn id="2" xr3:uid="{80304E2C-AE1E-4612-8DE0-4A55D1D32766}" name="VSL"/>
  </tableColumns>
  <tableStyleInfo name="Equation tab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71229DD-CBF4-4099-8199-8A23112B275F}" name="Table_SourceData_SwineMMSExcSolidStorage" displayName="Table_SourceData_SwineMMSExcSolidStorage" ref="G40:H45" totalsRowShown="0">
  <autoFilter ref="G40:H45" xr:uid="{171229DD-CBF4-4099-8199-8A23112B275F}"/>
  <tableColumns count="2">
    <tableColumn id="1" xr3:uid="{C0D13436-3E27-4F37-9CCA-2D00D7C01FD4}" name="MMS"/>
    <tableColumn id="2" xr3:uid="{418916E8-5946-4F0D-8939-8D73423F7FC0}" name="Symbol and MMS"/>
  </tableColumns>
  <tableStyleInfo name="Equation tabl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63E0626-9932-4FCA-A861-C95F26E527BC}" name="Table_SourceData_SwineExclDirectApplicationMMS" displayName="Table_SourceData_SwineExclDirectApplicationMMS" ref="K40:L46" totalsRowShown="0">
  <autoFilter ref="K40:L46" xr:uid="{363E0626-9932-4FCA-A861-C95F26E527BC}"/>
  <tableColumns count="2">
    <tableColumn id="1" xr3:uid="{1C3E7665-A94B-47E1-AED9-2A651F0F5EBC}" name="MMS"/>
    <tableColumn id="2" xr3:uid="{DB6F1473-C896-4813-B84D-C2E7CFF76FAF}" name="Symbol and MMS"/>
  </tableColumns>
  <tableStyleInfo name="Equation table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6BE3FFD-EB90-45EB-8756-16A72E0C6869}" name="Table_SourceData_Swine_ProductionSystems" displayName="Table_SourceData_Swine_ProductionSystems" ref="G53:G56" totalsRowShown="0">
  <autoFilter ref="G53:G56" xr:uid="{A6BE3FFD-EB90-45EB-8756-16A72E0C6869}"/>
  <tableColumns count="1">
    <tableColumn id="1" xr3:uid="{6D0FC1C5-CBBC-40AA-BD0A-8ED9E6F795A5}" name="Production system">
      <calculatedColumnFormula array="1">Common_InputFunctions.Utility_DisplayArrayInTable(SourceData_Swine.SourceData_Swine_ProductionSystems_Data(), Table_SourceData_Swine_ProductionSystems[[#Headers],[Production system]], 0)</calculatedColumnFormula>
    </tableColumn>
  </tableColumns>
  <tableStyleInfo name="Equation table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14E434-889D-47DE-ACD8-BE2A202486E8}" name="Table_AustralianStates" displayName="Table_AustralianStates" ref="D6:F14" totalsRowShown="0">
  <autoFilter ref="D6:F14" xr:uid="{E0906749-7FC7-47DE-82F6-F796C4463018}">
    <filterColumn colId="0" hiddenButton="1"/>
    <filterColumn colId="1" hiddenButton="1"/>
    <filterColumn colId="2" hiddenButton="1"/>
  </autoFilter>
  <tableColumns count="3">
    <tableColumn id="1" xr3:uid="{1BD52E55-D470-4E67-B411-FE7F21B4A715}" name="State/Territory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2" xr3:uid="{29FBE776-2EA2-4B6A-AC4A-C6BBE34D4120}" name="Common Name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3" xr3:uid="{FEFD51E3-66D0-435B-BD24-67520342A277}" name="Abbreviation">
      <calculatedColumnFormula array="1">Common_InputFunctions.Utility_DisplayArrayInTable(Common_SourceData.Common_SourceData_AustralianStatesTerritories_Data(),Table_AustralianStates[[#Headers],[State/Territory]],0)</calculatedColumnFormula>
    </tableColumn>
  </tableColumns>
  <tableStyleInfo name="Equation table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E55AF0A-9700-41F1-B3C9-1ED235350471}" name="Table_WASA4Areas" displayName="Table_WASA4Areas" ref="D20:D30" totalsRowShown="0">
  <autoFilter ref="D20:D30" xr:uid="{5FA81339-C6C8-4D36-BEEA-6C4AEDD9E676}">
    <filterColumn colId="0" hiddenButton="1"/>
  </autoFilter>
  <tableColumns count="1">
    <tableColumn id="1" xr3:uid="{7AACF761-606D-4089-BB17-74378191C3F0}" name="SA 4 Name">
      <calculatedColumnFormula array="1">Common_InputFunctions.Utility_DisplayArrayInTable(Common_SourceData.Common_SourceData_WASA4Areas_Data(), Table_WASA4Areas[[#Headers],[SA 4 Name]], 0)</calculatedColumnFormula>
    </tableColumn>
  </tableColumns>
  <tableStyleInfo name="Equation table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2DD734A-FB69-4DB5-952D-2AD6D7A89E23}" name="Table_GWPData" displayName="Table_GWPData" ref="D36:E43" totalsRowShown="0">
  <autoFilter ref="D36:E43" xr:uid="{B8E87A66-3E41-4AD3-925D-01EE21B43D7A}">
    <filterColumn colId="0" hiddenButton="1"/>
    <filterColumn colId="1" hiddenButton="1"/>
  </autoFilter>
  <tableColumns count="2">
    <tableColumn id="1" xr3:uid="{FC90A6A4-699A-41A3-BFAC-BB147909438D}" name="Gas">
      <calculatedColumnFormula array="1">Common_InputFunctions.Utility_DisplayArrayInTable(Common_SourceData.Common_SourceData_GWP_Data(), Table_GWPData[[#Headers],[Gas]], 0)</calculatedColumnFormula>
    </tableColumn>
    <tableColumn id="2" xr3:uid="{2CE36D17-19E0-4EEB-8214-07A18E9A7F3C}" name="CO2-e factor">
      <calculatedColumnFormula array="1">Common_InputFunctions.Utility_DisplayArrayInTable(Common_SourceData.Common_SourceData_GWP_Data(), Table_GWPData[[#Headers],[Gas]], 0)</calculatedColumnFormula>
    </tableColumn>
  </tableColumns>
  <tableStyleInfo name="Equation table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15AD6FC-302D-427F-A781-E5828A7A65E1}" name="Table_GasToMolecularConversionFactor" displayName="Table_GasToMolecularConversionFactor" ref="D47:H54" totalsRowShown="0">
  <autoFilter ref="D47:H54" xr:uid="{C1F562BB-DAA6-45BB-951A-7BAFA5B64B4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4C6DCD0-6078-4EF7-B1BB-C0D3612B09C7}" name="Gas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5" xr3:uid="{470EF58C-4CB9-4D0C-9992-015D2D3CA871}" name="Conversion factor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2" xr3:uid="{CAF92784-602B-40C5-B453-8572B81D441F}" name="Conversion factor 1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3" xr3:uid="{F0897094-15F9-44CD-90FE-13C9ED251957}" name="Conversion factor 2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4" xr3:uid="{D7CF9F46-8C4B-40D3-8CF5-E5009A83EEE9}" name="Conversion factor combined">
      <calculatedColumnFormula>Table_GasToMolecularConversionFactor[[#This Row],[Conversion factor 1]]/Table_GasToMolecularConversionFactor[[#This Row],[Conversion factor 2]]</calculatedColumnFormula>
    </tableColumn>
  </tableColumns>
  <tableStyleInfo name="Equation table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873E098-F5E4-417C-A9F6-BFF34B1FE162}" name="Table_SourceData_ClimateZones" displayName="Table_SourceData_ClimateZones" ref="D89:S97" totalsRowShown="0">
  <autoFilter ref="D89:S97" xr:uid="{5A437AE9-7724-4CF2-ACCF-291078682F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8936C808-11CC-423D-A499-3035F684A245}" name="Climate zone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2" xr3:uid="{9D023567-C6B2-4516-B815-FFF4936E21AB}" name="MAT" totalsRowDxfId="75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3" xr3:uid="{6EBFE4AE-75FA-4641-A4D8-E3F7C8FC3680}" name="MAP" totalsRowDxfId="74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4" xr3:uid="{D75DE766-1ED4-4286-8453-81FD486A9E67}" name="Frost days per year" totalsRowDxfId="73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5" xr3:uid="{0AC2CA51-AB88-4F72-A696-B9E0188C9FEA}" name="Elevation" totalsRowDxfId="72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6" xr3:uid="{D9F2F6F9-1629-4B3D-98BE-FD8ADE2F956F}" name="MAP:PET" totalsRowDxfId="71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7" xr3:uid="{317BAE18-3FFE-43C4-AF7E-C6E874B45E18}" name="Min temp" totalsRowDxfId="70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8" xr3:uid="{9460DC64-05B3-4084-8F3F-D00565895293}" name="Max temp" totalsRowDxfId="69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9" xr3:uid="{E98CF4A7-C810-474B-8823-2E16A44A2ED6}" name="Min rainfall" totalsRowDxfId="68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0" xr3:uid="{1D929ECC-61A9-46B6-9049-3F8A22CE1431}" name="Max rainfall" totalsRowDxfId="67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1" xr3:uid="{53E7B95D-FF52-428D-A614-859A01065E4E}" name="Min frost days" totalsRowDxfId="66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5" xr3:uid="{915CC739-4D0A-45CF-9541-78A464970DEA}" name="Max frost days" totalsRowDxfId="65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2" xr3:uid="{62BE1DA6-3AEE-4CFB-91CC-CBBB020D9734}" name="Min elevation" totalsRowDxfId="64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6" xr3:uid="{937C7D03-A642-49B6-81E2-894272504EDE}" name="Max elevation" totalsRowDxfId="63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3" xr3:uid="{82689D1B-26D8-4212-8EFA-58E5218DAD23}" name="Min MAP:PET" totalsRowDxfId="62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7" xr3:uid="{26145D94-0E62-4C99-AD96-F8206FC4D9FA}" name="Max MAP:PET" totalsRowDxfId="61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</tableColumns>
  <tableStyleInfo name="Equation table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37E1C34-0FD0-40DE-9B42-87B2B40FD1D0}" name="Table_SourceData_WetDryZones" displayName="Table_SourceData_WetDryZones" ref="D63:E77" totalsRowShown="0">
  <autoFilter ref="D63:E77" xr:uid="{3597E019-B21E-4B76-BCC8-D02D497BCFA9}">
    <filterColumn colId="0" hiddenButton="1"/>
    <filterColumn colId="1" hiddenButton="1"/>
  </autoFilter>
  <tableColumns count="2">
    <tableColumn id="1" xr3:uid="{2A2A21D1-D21A-4288-AA27-6201BCE7270E}" name="Climate zone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  <tableColumn id="2" xr3:uid="{259B53B9-EDAA-4996-8EAF-5810B99ACDB7}" name="Wet or Dry Zone" totalsRowDxfId="60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</tableColumns>
  <tableStyleInfo name="Equation table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1F8E9F8-C781-423F-AA40-DAD57D45919D}" name="Table_SourceData_TemperatureZones" displayName="Table_SourceData_TemperatureZones" ref="D109:G112" totalsRowShown="0">
  <autoFilter ref="D109:G112" xr:uid="{AB16FEAB-AB03-45E1-BBD4-66D29CD412DF}">
    <filterColumn colId="0" hiddenButton="1"/>
    <filterColumn colId="1" hiddenButton="1"/>
    <filterColumn colId="2" hiddenButton="1"/>
    <filterColumn colId="3" hiddenButton="1"/>
  </autoFilter>
  <tableColumns count="4">
    <tableColumn id="1" xr3:uid="{F3FB998F-5E29-4FFF-871F-2097D6D4AF0D}" name="Temperature Zone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2" xr3:uid="{EDF51FDA-99C3-4A2C-9E9F-5526EFE4C336}" name="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3" xr3:uid="{2F1F32E2-2C0F-4F66-9AF3-409D5BB4907B}" name="Min 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4" xr3:uid="{DC7A3B3C-B9C4-4210-89CB-1E016A7A709E}" name="Max MAT">
      <calculatedColumnFormula array="1">Common_InputFunctions.Utility_DisplayArrayInTable(Common_SourceData.Common_SourceData_TemperatureZones_Data(),Table_SourceData_TemperatureZones[[#Headers],[Temperature Zone]],0)</calculatedColumnFormula>
    </tableColumn>
  </tableColumns>
  <tableStyleInfo name="Equation table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975861C-0A17-4AAE-A53F-2A755616699E}" name="Table_SourceData_RainfallZones" displayName="Table_SourceData_RainfallZones" ref="D119:G121" totalsRowShown="0">
  <autoFilter ref="D119:G121" xr:uid="{E08772F3-2E8C-40A8-B755-08A5BBDF4130}">
    <filterColumn colId="0" hiddenButton="1"/>
    <filterColumn colId="1" hiddenButton="1"/>
    <filterColumn colId="2" hiddenButton="1"/>
    <filterColumn colId="3" hiddenButton="1"/>
  </autoFilter>
  <tableColumns count="4">
    <tableColumn id="1" xr3:uid="{4AD7AC1D-F3A2-4192-B9FE-E1BDDE484B1F}" name="Rainfall Zone">
      <calculatedColumnFormula array="1">Common_InputFunctions.Utility_DisplayArrayInTable(Common_SourceData.Common_SourceData_RainfallZones_Data(),Table_SourceData_RainfallZones[[#Headers],[Rainfall Zone]],0)</calculatedColumnFormula>
    </tableColumn>
    <tableColumn id="2" xr3:uid="{EE5A63EE-DF52-4770-904A-9A40C7F56ACC}" name="Annual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3" xr3:uid="{AB659730-FBF6-426A-9650-6024CA2A6DC7}" name="Min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4" xr3:uid="{A69016EC-BD8C-42D8-B078-A560C7E151FA}" name="Max rainfall">
      <calculatedColumnFormula array="1">Common_InputFunctions.Utility_DisplayArrayInTable(Common_SourceData.Common_SourceData_RainfallZones_Data(),Table_SourceData_RainfallZones[[#Headers],[Rainfall Zone]],0)</calculatedColumnFormula>
    </tableColumn>
  </tableColumns>
  <tableStyleInfo name="Equation table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D4A285F-3571-447E-B6B3-9BF7947DC69F}" name="Table_SourceData_LeachingZones" displayName="Table_SourceData_LeachingZones" ref="D127:E129" totalsRowShown="0">
  <autoFilter ref="D127:E129" xr:uid="{A159E140-02ED-4547-B6E1-6695D8B16A11}">
    <filterColumn colId="0" hiddenButton="1"/>
    <filterColumn colId="1" hiddenButton="1"/>
  </autoFilter>
  <tableColumns count="2">
    <tableColumn id="1" xr3:uid="{4E215647-CEF8-437C-AC2A-47BB6C9F0F5E}" name="Leaching Zone">
      <calculatedColumnFormula array="1">Common_InputFunctions.Utility_DisplayArrayInTable(Common_SourceData.Common_SourceData_LeachingZones_Data(), Table_SourceData_LeachingZones[[#Headers],[Leaching Zone]], 0)</calculatedColumnFormula>
    </tableColumn>
    <tableColumn id="2" xr3:uid="{9A7A4C91-E116-4B13-9CE1-55F0563268CB}" name="Leaching criteria">
      <calculatedColumnFormula array="1">Common_InputFunctions.Utility_DisplayArrayInTable(Common_SourceData.Common_SourceData_LeachingZones_Data(), Table_SourceData_LeachingZones[[#Headers],[Leaching Zone]], 0)</calculatedColumnFormula>
    </tableColumn>
  </tableColumns>
  <tableStyleInfo name="Equation table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A62EB1C-5F71-4A9D-AC91-F62515AAABB9}" name="Table_SourceData_DataScores_Scope3" displayName="Table_SourceData_DataScores_Scope3" ref="D153:E158" totalsRowShown="0">
  <autoFilter ref="D153:E158" xr:uid="{133D42B0-F6D2-470A-858A-37E6A7F5EC2B}">
    <filterColumn colId="0" hiddenButton="1"/>
    <filterColumn colId="1" hiddenButton="1"/>
  </autoFilter>
  <tableColumns count="2">
    <tableColumn id="1" xr3:uid="{E6F280A7-E25E-46DD-B2F5-A46896C5A8FA}" name="Data source">
      <calculatedColumnFormula array="1">Common_InputFunctions.Utility_DisplayArrayInTable(Common_SourceData.Common_SourceData_DataScores_Scope3_Data(), Table_SourceData_DataScores_Scope3[[#Headers],[Data source]], 0)</calculatedColumnFormula>
    </tableColumn>
    <tableColumn id="2" xr3:uid="{0A4D6A17-AB99-4163-9F24-9CB271B53EC9}" name="Data score">
      <calculatedColumnFormula array="1">Common_InputFunctions.Utility_DisplayArrayInTable(Common_SourceData.Common_SourceData_DataScores_Scope3_Data(), Table_SourceData_DataScores_Scope3[[#Headers],[Data source]], 0)</calculatedColumnFormula>
    </tableColumn>
  </tableColumns>
  <tableStyleInfo name="Equation table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6125330-373F-429E-AF4E-AFA0D8B5EBD5}" name="Table_SourceData_FracWET" displayName="Table_SourceData_FracWET" ref="D134:E136" totalsRowShown="0">
  <autoFilter ref="D134:E136" xr:uid="{308E99BE-FE1F-47A4-B2CA-97217277C4E9}">
    <filterColumn colId="0" hiddenButton="1"/>
    <filterColumn colId="1" hiddenButton="1"/>
  </autoFilter>
  <tableColumns count="2">
    <tableColumn id="1" xr3:uid="{712FE205-9822-4622-8C50-79A1510F1946}" name="Is in leaching zone">
      <calculatedColumnFormula array="1">Common_InputFunctions.Utility_DisplayArrayInTable(Common_SourceData.Common_SourceData_FracWET_Data(),Table_SourceData_FracWET[[#Headers],[Is in leaching zone]],0)</calculatedColumnFormula>
    </tableColumn>
    <tableColumn id="2" xr3:uid="{C983B818-12CF-4DF3-AC3A-2F83225637C2}" name="FracWET" dataDxfId="59">
      <calculatedColumnFormula array="1">Common_InputFunctions.Utility_DisplayArrayInTable(Common_SourceData.Common_SourceData_FracWET_Data(),Table_SourceData_FracWET[[#Headers],[Is in leaching zone]],0)</calculatedColumnFormula>
    </tableColumn>
  </tableColumns>
  <tableStyleInfo name="Equation table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ECE0720-1884-4633-BEF5-C686AF735D54}" name="Table_SourceData_Common_EFN2O" displayName="Table_SourceData_Common_EFN2O" ref="D186:H199" totalsRowShown="0">
  <autoFilter ref="D186:H199" xr:uid="{D41FBEA4-8379-4DF7-A068-BF94D364F1A2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9CEC9435-12CC-4BE2-B5A3-5226E027534C}" name="Production system j">
      <calculatedColumnFormula array="1">Common_InputFunctions.Utility_DisplayArrayInTable(Common_SourceData.Common_SourceData_EFN2O_Data(), Table_SourceData_Common_EFN2O[[#Headers],[Production system j]], 0)</calculatedColumnFormula>
    </tableColumn>
    <tableColumn id="2" xr3:uid="{7D2CC188-168F-4D38-9F41-91E19FBF008B}" name="EFN2O">
      <calculatedColumnFormula array="1">Common_InputFunctions.Utility_DisplayArrayInTable(Common_SourceData.Common_SourceData_EFN2O_Data(), Table_SourceData_Common_EFN2O[[#Headers],[Production system j]], 0)</calculatedColumnFormula>
    </tableColumn>
    <tableColumn id="3" xr3:uid="{2D9449B9-0867-4E9C-ABC8-96E02D16A083}" name="Production system only">
      <calculatedColumnFormula array="1">Common_InputFunctions.Utility_DisplayArrayInTable(Common_SourceData.Common_SourceData_EFN2O_Data(), Table_SourceData_Common_EFN2O[[#Headers],[Production system j]], 0)</calculatedColumnFormula>
    </tableColumn>
    <tableColumn id="4" xr3:uid="{B3649442-D3F6-4651-90E6-0DD808859B3B}" name="Irrigation method">
      <calculatedColumnFormula array="1">Common_InputFunctions.Utility_DisplayArrayInTable(Common_SourceData.Common_SourceData_EFN2O_Data(), Table_SourceData_Common_EFN2O[[#Headers],[Production system j]], 0)</calculatedColumnFormula>
    </tableColumn>
    <tableColumn id="5" xr3:uid="{4A541780-B6AD-480A-AE02-62D2D9E38216}" name="Rainfall zone">
      <calculatedColumnFormula array="1">Common_InputFunctions.Utility_DisplayArrayInTable(Common_SourceData.Common_SourceData_EFN2O_Data(), Table_SourceData_Common_EFN2O[[#Headers],[Production system j]], 0)</calculatedColumnFormula>
    </tableColumn>
  </tableColumns>
  <tableStyleInfo name="Equation table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96F0352-C7B5-434C-85A8-32A1131DE35B}" name="Table_SourceData_FracWETIrrigation" displayName="Table_SourceData_FracWETIrrigation" ref="D142:E147" totalsRowShown="0">
  <autoFilter ref="D142:E147" xr:uid="{1F48CA34-50DE-46D5-B32A-BB3A1E818E37}">
    <filterColumn colId="0" hiddenButton="1"/>
    <filterColumn colId="1" hiddenButton="1"/>
  </autoFilter>
  <tableColumns count="2">
    <tableColumn id="1" xr3:uid="{7BA7974A-5274-4E8F-8EFE-BA3BF6A4009A}" name="Irrigation type i">
      <calculatedColumnFormula array="1">Common_InputFunctions.Utility_DisplayArrayInTable(Common_SourceData.Common_SourceData_FracWETIrrigation_Data(), Table_SourceData_FracWETIrrigation[[#Headers],[Irrigation type i]], 0)</calculatedColumnFormula>
    </tableColumn>
    <tableColumn id="2" xr3:uid="{C54ECB28-6C1A-4E5F-B2BA-C42958055C76}" name="FracWET" dataDxfId="58" dataCellStyle="Content normal">
      <calculatedColumnFormula array="1">Common_InputFunctions.Utility_DisplayArrayInTable(Common_SourceData.Common_SourceData_FracWETIrrigation_Data(), Table_SourceData_FracWETIrrigation[[#Headers],[Irrigation type i]], 0)</calculatedColumnFormula>
    </tableColumn>
  </tableColumns>
  <tableStyleInfo name="Equation table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52AFED5-8651-436E-9D54-3CF47EBEE874}" name="Table_SourceData_EFPastureRangeAndPaddock" displayName="Table_SourceData_EFPastureRangeAndPaddock" ref="D206:E208" totalsRowShown="0">
  <autoFilter ref="D206:E208" xr:uid="{D5BE3F89-D70E-4C53-A71C-E756622DEF38}">
    <filterColumn colId="0" hiddenButton="1"/>
    <filterColumn colId="1" hiddenButton="1"/>
  </autoFilter>
  <tableColumns count="2">
    <tableColumn id="1" xr3:uid="{E92DBF51-6421-41F8-906B-7B99C0D5AE99}" name="Climate zone">
      <calculatedColumnFormula array="1">Common_InputFunctions.Utility_DisplayArrayInTable(Common_SourceData.Common_SourceData_EFPastureRangeAndPaddock_Data(), Table_SourceData_EFPastureRangeAndPaddock[[#Headers],[Climate zone]], 0)</calculatedColumnFormula>
    </tableColumn>
    <tableColumn id="2" xr3:uid="{C6D83246-9414-4D37-8608-3D40F5820909}" name="EFPRP" dataDxfId="57" dataCellStyle="Content normal">
      <calculatedColumnFormula array="1">Common_InputFunctions.Utility_DisplayArrayInTable(Common_SourceData.Common_SourceData_EFPastureRangeAndPaddock_Data(), Table_SourceData_EFPastureRangeAndPaddock[[#Headers],[Climate zone]], 0)</calculatedColumnFormula>
    </tableColumn>
  </tableColumns>
  <tableStyleInfo name="Equation table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DF0C2B1-E800-46A6-8A21-BEF6C0BD31DC}" name="Table_SourceData_Common_MonthToSeason" displayName="Table_SourceData_Common_MonthToSeason" ref="D212:E224" totalsRowShown="0">
  <autoFilter ref="D212:E224" xr:uid="{97796C3A-D95E-4077-AA20-A8FE4145DAAD}">
    <filterColumn colId="0" hiddenButton="1"/>
    <filterColumn colId="1" hiddenButton="1"/>
  </autoFilter>
  <tableColumns count="2">
    <tableColumn id="1" xr3:uid="{72EF50FF-F00E-4F8E-BEEF-C29C5F5315EA}" name="Month">
      <calculatedColumnFormula array="1">Common_InputFunctions.Utility_DisplayArrayInTable(Common_SourceData.Common_SourceData_MonthsToSeasons_Data(), Table_SourceData_Common_MonthToSeason[[#Headers],[Month]], 0)</calculatedColumnFormula>
    </tableColumn>
    <tableColumn id="2" xr3:uid="{346692E2-8620-468E-AFA1-C904D973A838}" name="Season" dataDxfId="56" dataCellStyle="Content normal">
      <calculatedColumnFormula array="1">Common_InputFunctions.Utility_DisplayArrayInTable(Common_SourceData.Common_SourceData_MonthsToSeasons_Data(), Table_SourceData_Common_MonthToSeason[[#Headers],[Month]], 0)</calculatedColumnFormula>
    </tableColumn>
  </tableColumns>
  <tableStyleInfo name="Equation table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7CC28B-CF78-4195-86CA-5AEBBA7FA04E}" name="Table_Data_MMSSymbols" displayName="Table_Data_MMSSymbols" ref="D9:F27" totalsRowShown="0">
  <autoFilter ref="D9:F27" xr:uid="{757CC28B-CF78-4195-86CA-5AEBBA7FA04E}">
    <filterColumn colId="0" hiddenButton="1"/>
    <filterColumn colId="1" hiddenButton="1"/>
    <filterColumn colId="2" hiddenButton="1"/>
  </autoFilter>
  <tableColumns count="3">
    <tableColumn id="1" xr3:uid="{FA4B4DF7-A993-40F2-870A-87A35A1D1CD3}" name="Symbol">
      <calculatedColumnFormula array="1">InputFunctions_Utilities.Utility_DisplayArrayInTable(CommonLivestock_SourceData.SourceData_Livestock_Common_SymbolsMMS_Data(), Table_Data_MMSSymbols[[#Headers],[Symbol]], 0)</calculatedColumnFormula>
    </tableColumn>
    <tableColumn id="2" xr3:uid="{8A23F85B-E11F-43B7-AF58-1032F42D9585}" name="Manure management system">
      <calculatedColumnFormula array="1">InputFunctions_Utilities.Utility_DisplayArrayInTable(CommonLivestock_SourceData.SourceData_Livestock_Common_SymbolsMMS_Data(), Table_Data_MMSSymbols[[#Headers],[Symbol]], 0)</calculatedColumnFormula>
    </tableColumn>
    <tableColumn id="3" xr3:uid="{58D0574C-2490-473B-A8E1-317E3A493B21}" name="Symbol and MMS">
      <calculatedColumnFormula array="1">InputFunctions_Utilities.Utility_DisplayArrayInTable(CommonLivestock_SourceData.SourceData_Livestock_Common_SymbolsMMS_Data(), Table_Data_MMSSymbols[[#Headers],[Symbol]], 0)</calculatedColumnFormula>
    </tableColumn>
  </tableColumns>
  <tableStyleInfo name="Equation 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ZNE-Ag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0B769F"/>
      </a:accent1>
      <a:accent2>
        <a:srgbClr val="CC6600"/>
      </a:accent2>
      <a:accent3>
        <a:srgbClr val="008000"/>
      </a:accent3>
      <a:accent4>
        <a:srgbClr val="C4433F"/>
      </a:accent4>
      <a:accent5>
        <a:srgbClr val="4F4789"/>
      </a:accent5>
      <a:accent6>
        <a:srgbClr val="FFCC66"/>
      </a:accent6>
      <a:hlink>
        <a:srgbClr val="467886"/>
      </a:hlink>
      <a:folHlink>
        <a:srgbClr val="894763"/>
      </a:folHlink>
    </a:clrScheme>
    <a:fontScheme name="Custom 1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56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102233F-B6A7-4C5C-980A-848E7A11A33D}">
  <we:reference id="wa200003696" version="1.3.0.0" store="en-US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B6BE249C-20B1-4A62-BBCD-F2A46D88BCAB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5.xml"/><Relationship Id="rId13" Type="http://schemas.openxmlformats.org/officeDocument/2006/relationships/table" Target="../tables/table20.xml"/><Relationship Id="rId3" Type="http://schemas.openxmlformats.org/officeDocument/2006/relationships/table" Target="../tables/table10.xml"/><Relationship Id="rId7" Type="http://schemas.openxmlformats.org/officeDocument/2006/relationships/table" Target="../tables/table14.xml"/><Relationship Id="rId12" Type="http://schemas.openxmlformats.org/officeDocument/2006/relationships/table" Target="../tables/table19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Relationship Id="rId6" Type="http://schemas.openxmlformats.org/officeDocument/2006/relationships/table" Target="../tables/table13.xml"/><Relationship Id="rId11" Type="http://schemas.openxmlformats.org/officeDocument/2006/relationships/table" Target="../tables/table18.xml"/><Relationship Id="rId5" Type="http://schemas.openxmlformats.org/officeDocument/2006/relationships/table" Target="../tables/table12.xml"/><Relationship Id="rId15" Type="http://schemas.openxmlformats.org/officeDocument/2006/relationships/table" Target="../tables/table22.xml"/><Relationship Id="rId10" Type="http://schemas.openxmlformats.org/officeDocument/2006/relationships/table" Target="../tables/table17.xml"/><Relationship Id="rId4" Type="http://schemas.openxmlformats.org/officeDocument/2006/relationships/table" Target="../tables/table11.xml"/><Relationship Id="rId9" Type="http://schemas.openxmlformats.org/officeDocument/2006/relationships/table" Target="../tables/table16.xml"/><Relationship Id="rId14" Type="http://schemas.openxmlformats.org/officeDocument/2006/relationships/table" Target="../tables/table2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F26AA-F4FA-460F-9B3A-C19960195F0B}">
  <dimension ref="A1"/>
  <sheetViews>
    <sheetView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30AE0-5101-4331-B8DF-043DE9AAFBA8}">
  <sheetPr>
    <pageSetUpPr autoPageBreaks="0"/>
  </sheetPr>
  <dimension ref="A1:K87"/>
  <sheetViews>
    <sheetView showGridLines="0" zoomScaleNormal="100" workbookViewId="0">
      <selection activeCell="H17" sqref="H17"/>
    </sheetView>
  </sheetViews>
  <sheetFormatPr defaultRowHeight="15" x14ac:dyDescent="0.25"/>
  <cols>
    <col min="1" max="1" width="30.7109375" customWidth="1"/>
    <col min="2" max="3" width="2.7109375" customWidth="1"/>
    <col min="4" max="4" width="78.42578125" customWidth="1"/>
    <col min="5" max="10" width="30.7109375" customWidth="1"/>
    <col min="11" max="11" width="7.42578125" customWidth="1"/>
    <col min="12" max="26" width="28.7109375" customWidth="1"/>
  </cols>
  <sheetData>
    <row r="1" spans="1:11" ht="30" customHeight="1" x14ac:dyDescent="0.35">
      <c r="A1" s="68" t="e" vm="1">
        <v>#VALUE!</v>
      </c>
      <c r="C1" s="116" t="s">
        <v>218</v>
      </c>
    </row>
    <row r="2" spans="1:11" ht="20.100000000000001" customHeight="1" x14ac:dyDescent="0.25">
      <c r="A2" s="9"/>
      <c r="C2" s="9"/>
    </row>
    <row r="3" spans="1:11" ht="20.100000000000001" customHeight="1" x14ac:dyDescent="0.25">
      <c r="A3" s="17" t="str">
        <f>HYPERLINK("#'Home'!A1", "Home")</f>
        <v>Home</v>
      </c>
      <c r="C3" s="22"/>
      <c r="D3" s="22"/>
      <c r="E3" s="22"/>
      <c r="F3" s="22"/>
      <c r="G3" s="22"/>
      <c r="H3" s="22"/>
      <c r="I3" s="22"/>
      <c r="J3" s="22"/>
      <c r="K3" s="22"/>
    </row>
    <row r="4" spans="1:11" ht="20.100000000000001" customHeight="1" x14ac:dyDescent="0.25">
      <c r="A4" s="17" t="str">
        <f>HYPERLINK("#'Results'!A1", "Results")</f>
        <v>Results</v>
      </c>
      <c r="C4" s="22"/>
      <c r="D4" s="6" t="s">
        <v>5</v>
      </c>
      <c r="E4" s="24"/>
      <c r="F4" s="24"/>
      <c r="G4" s="24"/>
      <c r="H4" s="6"/>
      <c r="I4" s="6"/>
      <c r="J4" s="6"/>
      <c r="K4" s="25"/>
    </row>
    <row r="5" spans="1:11" ht="20.100000000000001" customHeight="1" x14ac:dyDescent="0.3">
      <c r="A5" s="16"/>
      <c r="C5" s="22"/>
      <c r="D5" s="26"/>
      <c r="E5" s="27"/>
      <c r="F5" s="27"/>
      <c r="G5" s="27"/>
      <c r="H5" s="24"/>
      <c r="I5" s="22"/>
      <c r="J5" s="22"/>
      <c r="K5" s="22"/>
    </row>
    <row r="6" spans="1:11" ht="20.100000000000001" customHeight="1" x14ac:dyDescent="0.25">
      <c r="A6" s="20" t="s">
        <v>3</v>
      </c>
      <c r="C6" s="22"/>
      <c r="D6" s="115" t="s">
        <v>108</v>
      </c>
      <c r="E6" s="115" t="s">
        <v>138</v>
      </c>
      <c r="F6" s="115" t="s">
        <v>139</v>
      </c>
      <c r="G6" s="115" t="s">
        <v>115</v>
      </c>
      <c r="H6" s="115" t="s">
        <v>140</v>
      </c>
      <c r="I6" s="115" t="s">
        <v>141</v>
      </c>
      <c r="J6" s="115" t="s">
        <v>116</v>
      </c>
      <c r="K6" s="22"/>
    </row>
    <row r="7" spans="1:11" ht="20.100000000000001" customHeight="1" x14ac:dyDescent="0.25">
      <c r="A7" s="17" t="str">
        <f>HYPERLINK("#'Input - Site'!A1", "Site")</f>
        <v>Site</v>
      </c>
      <c r="C7" s="22"/>
      <c r="D7" s="1" t="s">
        <v>142</v>
      </c>
      <c r="E7" s="112">
        <f>'4.5.1.1-2 Methane'!$D$276</f>
        <v>365</v>
      </c>
      <c r="F7" s="112">
        <f>'4.5.1.1-2 Methane'!U276</f>
        <v>0</v>
      </c>
      <c r="G7" s="54" t="s">
        <v>129</v>
      </c>
      <c r="H7" s="112" t="e">
        <f>'4.5.1.1-2 Methane'!#REF!</f>
        <v>#REF!</v>
      </c>
      <c r="I7" s="112">
        <f>'4.5.1.1-2 Methane'!$U$281</f>
        <v>0</v>
      </c>
      <c r="J7" s="54" t="s">
        <v>134</v>
      </c>
      <c r="K7" s="22"/>
    </row>
    <row r="8" spans="1:11" ht="20.100000000000001" customHeight="1" x14ac:dyDescent="0.25">
      <c r="A8" s="17" t="str">
        <f>HYPERLINK("#'Input - Swine'!A1", "Swine")</f>
        <v>Swine</v>
      </c>
      <c r="C8" s="22"/>
      <c r="D8" s="1" t="s">
        <v>198</v>
      </c>
      <c r="E8" s="112" t="e">
        <f>'4.2.1.3-4 Soil direct N20'!$E$227</f>
        <v>#REF!</v>
      </c>
      <c r="F8" s="112" t="e">
        <f>'4.2.1.3-4 Soil direct N20'!$U$259</f>
        <v>#REF!</v>
      </c>
      <c r="G8" s="54" t="s">
        <v>197</v>
      </c>
      <c r="H8" s="112" t="e">
        <f>'4.2.1.3-4 Soil direct N20'!$E$232</f>
        <v>#REF!</v>
      </c>
      <c r="I8" s="112" t="e">
        <f>'4.2.1.3-4 Soil direct N20'!$U$264</f>
        <v>#REF!</v>
      </c>
      <c r="J8" s="54" t="s">
        <v>134</v>
      </c>
      <c r="K8" s="22"/>
    </row>
    <row r="9" spans="1:11" ht="20.100000000000001" customHeight="1" x14ac:dyDescent="0.25">
      <c r="A9" s="17"/>
      <c r="C9" s="22"/>
      <c r="D9" s="1" t="s">
        <v>199</v>
      </c>
      <c r="E9" s="112" t="e">
        <f>'4.2.1.5-6 Soil Atmos Dep'!$E$35</f>
        <v>#REF!</v>
      </c>
      <c r="F9" s="112" t="e">
        <f>'4.2.1.5-6 Soil Atmos Dep'!$M$35</f>
        <v>#REF!</v>
      </c>
      <c r="G9" s="54" t="str">
        <f>'4.2.1.5-6 Soil Atmos Dep'!$F$35</f>
        <v>t N2O</v>
      </c>
      <c r="H9" s="112" t="e">
        <f>'4.2.1.5-6 Soil Atmos Dep'!$E$40</f>
        <v>#REF!</v>
      </c>
      <c r="I9" s="112" t="e">
        <f>'4.2.1.5-6 Soil Atmos Dep'!$M$40</f>
        <v>#REF!</v>
      </c>
      <c r="J9" s="54" t="s">
        <v>134</v>
      </c>
      <c r="K9" s="22"/>
    </row>
    <row r="10" spans="1:11" ht="20.100000000000001" customHeight="1" x14ac:dyDescent="0.25">
      <c r="A10" s="19" t="s">
        <v>76</v>
      </c>
      <c r="C10" s="22"/>
      <c r="D10" s="1" t="s">
        <v>200</v>
      </c>
      <c r="E10" s="112" t="e">
        <f>'4.2.1.7-8 Soil leach runoff'!$E$36</f>
        <v>#REF!</v>
      </c>
      <c r="F10" s="112" t="e">
        <f>'4.2.1.7-8 Soil leach runoff'!$L$36</f>
        <v>#REF!</v>
      </c>
      <c r="G10" s="54" t="str">
        <f>'4.2.1.7-8 Soil leach runoff'!$F$36</f>
        <v>t N2O</v>
      </c>
      <c r="H10" s="112" t="e">
        <f>'4.2.1.7-8 Soil leach runoff'!$E$41</f>
        <v>#REF!</v>
      </c>
      <c r="I10" s="112" t="e">
        <f>'4.2.1.7-8 Soil leach runoff'!$L$41</f>
        <v>#REF!</v>
      </c>
      <c r="J10" s="54" t="s">
        <v>134</v>
      </c>
      <c r="K10" s="22"/>
    </row>
    <row r="11" spans="1:11" ht="20.100000000000001" customHeight="1" x14ac:dyDescent="0.3">
      <c r="A11" s="17" t="str">
        <f>HYPERLINK("#'4.2.1.1-2 Methane'!A1", "4.2.1.1-2 Methane")</f>
        <v>4.2.1.1-2 Methane</v>
      </c>
      <c r="C11" s="22"/>
      <c r="D11" s="29" t="s">
        <v>114</v>
      </c>
      <c r="E11" s="23"/>
      <c r="F11" s="23"/>
      <c r="G11" s="29"/>
      <c r="H11" s="114" t="e">
        <f>SUM(H7:H10)</f>
        <v>#REF!</v>
      </c>
      <c r="I11" s="114" t="e">
        <f>SUM(I7:I10)</f>
        <v>#REF!</v>
      </c>
      <c r="J11" s="105" t="s">
        <v>134</v>
      </c>
      <c r="K11" s="22"/>
    </row>
    <row r="12" spans="1:11" ht="20.100000000000001" customHeight="1" x14ac:dyDescent="0.25">
      <c r="A12" s="17" t="str">
        <f>HYPERLINK("#'4.2.1.3-4 Soil direct N2O'!A1", "4.2.1.3-4 Soil direct N2O")</f>
        <v>4.2.1.3-4 Soil direct N2O</v>
      </c>
      <c r="C12" s="22"/>
      <c r="D12" s="1"/>
      <c r="E12" s="1"/>
      <c r="F12" s="1"/>
      <c r="G12" s="24"/>
      <c r="H12" s="22"/>
      <c r="I12" s="1"/>
      <c r="J12" s="1"/>
      <c r="K12" s="22"/>
    </row>
    <row r="13" spans="1:11" ht="20.100000000000001" customHeight="1" x14ac:dyDescent="0.25">
      <c r="A13" s="17" t="str">
        <f>HYPERLINK("#'4.2.1.5-6 Soil Atmos Dep'!A1", "4.2.1.5-6 Soil atm. deposition")</f>
        <v>4.2.1.5-6 Soil atm. deposition</v>
      </c>
      <c r="C13" s="22"/>
      <c r="D13" s="1"/>
      <c r="E13" s="1"/>
      <c r="F13" s="1"/>
      <c r="G13" s="1"/>
      <c r="H13" s="24"/>
      <c r="I13" s="22"/>
      <c r="J13" s="22"/>
      <c r="K13" s="22"/>
    </row>
    <row r="14" spans="1:11" ht="20.100000000000001" customHeight="1" x14ac:dyDescent="0.3">
      <c r="A14" s="17" t="str">
        <f>HYPERLINK("#'4.2.1.7-8 Soil leach runoff'!A1", "4.2.1.7-8 Soil leach &amp; runoff")</f>
        <v>4.2.1.7-8 Soil leach &amp; runoff</v>
      </c>
      <c r="C14" s="22"/>
      <c r="D14" s="1"/>
      <c r="E14" s="1"/>
      <c r="F14" s="1"/>
      <c r="G14" s="1"/>
      <c r="H14" s="27"/>
      <c r="I14" s="22"/>
      <c r="J14" s="22"/>
      <c r="K14" s="22"/>
    </row>
    <row r="15" spans="1:11" ht="20.100000000000001" customHeight="1" x14ac:dyDescent="0.3">
      <c r="A15" s="17"/>
      <c r="C15" s="22"/>
      <c r="D15" s="1"/>
      <c r="E15" s="1"/>
      <c r="F15" s="1"/>
      <c r="G15" s="1"/>
      <c r="H15" s="27"/>
      <c r="I15" s="22"/>
      <c r="J15" s="22"/>
      <c r="K15" s="22"/>
    </row>
    <row r="16" spans="1:11" ht="20.100000000000001" customHeight="1" x14ac:dyDescent="0.3">
      <c r="A16" s="18" t="s">
        <v>4</v>
      </c>
      <c r="C16" s="22"/>
      <c r="D16" s="1"/>
      <c r="E16" s="1"/>
      <c r="F16" s="1"/>
      <c r="G16" s="1"/>
      <c r="H16" s="27"/>
      <c r="I16" s="22"/>
      <c r="J16" s="22"/>
      <c r="K16" s="22"/>
    </row>
    <row r="17" spans="1:11" ht="20.100000000000001" customHeight="1" x14ac:dyDescent="0.3">
      <c r="A17" s="17" t="str">
        <f>HYPERLINK("#'Constants - Swine'!A1", "Constants - Swine")</f>
        <v>Constants - Swine</v>
      </c>
      <c r="C17" s="22"/>
      <c r="D17" s="1"/>
      <c r="E17" s="1"/>
      <c r="F17" s="1"/>
      <c r="G17" s="1"/>
      <c r="H17" s="27"/>
      <c r="I17" s="22"/>
      <c r="J17" s="22"/>
      <c r="K17" s="22"/>
    </row>
    <row r="18" spans="1:11" ht="20.100000000000001" customHeight="1" x14ac:dyDescent="0.3">
      <c r="A18" s="17" t="str">
        <f>HYPERLINK("#'Constants - Livestock'!A1", "Constants - Livestock")</f>
        <v>Constants - Livestock</v>
      </c>
      <c r="C18" s="22"/>
      <c r="D18" s="1"/>
      <c r="E18" s="1"/>
      <c r="F18" s="1"/>
      <c r="G18" s="1"/>
      <c r="H18" s="27"/>
      <c r="I18" s="22"/>
      <c r="J18" s="22"/>
      <c r="K18" s="22"/>
    </row>
    <row r="19" spans="1:11" ht="20.100000000000001" customHeight="1" x14ac:dyDescent="0.3">
      <c r="A19" s="17" t="str">
        <f>HYPERLINK("#'Constants - Common'!A1", "Constants - Common")</f>
        <v>Constants - Common</v>
      </c>
      <c r="C19" s="22"/>
      <c r="D19" s="1"/>
      <c r="E19" s="1"/>
      <c r="F19" s="1"/>
      <c r="G19" s="1"/>
      <c r="H19" s="27"/>
      <c r="I19" s="22"/>
      <c r="J19" s="22"/>
      <c r="K19" s="22"/>
    </row>
    <row r="20" spans="1:11" ht="20.100000000000001" customHeight="1" x14ac:dyDescent="0.3">
      <c r="A20" s="17" t="str">
        <f>HYPERLINK("#'Acknowledgements'!A1", "Acknowledgements")</f>
        <v>Acknowledgements</v>
      </c>
      <c r="C20" s="22"/>
      <c r="D20" s="1"/>
      <c r="E20" s="1"/>
      <c r="F20" s="1"/>
      <c r="G20" s="1"/>
      <c r="H20" s="27"/>
      <c r="I20" s="22"/>
      <c r="J20" s="22"/>
      <c r="K20" s="22"/>
    </row>
    <row r="21" spans="1:11" ht="20.100000000000001" customHeight="1" x14ac:dyDescent="0.3">
      <c r="C21" s="22"/>
      <c r="D21" s="1"/>
      <c r="E21" s="1"/>
      <c r="F21" s="1"/>
      <c r="G21" s="1"/>
      <c r="H21" s="27"/>
      <c r="I21" s="22"/>
      <c r="J21" s="22"/>
      <c r="K21" s="22"/>
    </row>
    <row r="22" spans="1:11" ht="20.100000000000001" customHeight="1" x14ac:dyDescent="0.3">
      <c r="A22" s="17"/>
      <c r="C22" s="22"/>
      <c r="D22" s="1"/>
      <c r="E22" s="1"/>
      <c r="F22" s="1"/>
      <c r="G22" s="1"/>
      <c r="H22" s="27"/>
      <c r="I22" s="22"/>
      <c r="J22" s="22"/>
      <c r="K22" s="22"/>
    </row>
    <row r="23" spans="1:11" ht="20.100000000000001" customHeight="1" x14ac:dyDescent="0.3">
      <c r="A23" s="17"/>
      <c r="C23" s="22"/>
      <c r="D23" s="1"/>
      <c r="E23" s="1"/>
      <c r="F23" s="1"/>
      <c r="G23" s="1"/>
      <c r="H23" s="27"/>
      <c r="I23" s="22"/>
      <c r="J23" s="22"/>
      <c r="K23" s="22"/>
    </row>
    <row r="24" spans="1:11" ht="20.100000000000001" customHeight="1" x14ac:dyDescent="0.3">
      <c r="A24" s="17"/>
      <c r="C24" s="22"/>
      <c r="D24" s="1"/>
      <c r="E24" s="1"/>
      <c r="F24" s="1"/>
      <c r="G24" s="1"/>
      <c r="H24" s="27"/>
      <c r="I24" s="22"/>
      <c r="J24" s="22"/>
      <c r="K24" s="22"/>
    </row>
    <row r="25" spans="1:11" ht="20.100000000000001" customHeight="1" x14ac:dyDescent="0.3">
      <c r="C25" s="22"/>
      <c r="D25" s="1"/>
      <c r="E25" s="1"/>
      <c r="F25" s="1"/>
      <c r="G25" s="1"/>
      <c r="H25" s="27"/>
      <c r="I25" s="22"/>
      <c r="J25" s="22"/>
      <c r="K25" s="22"/>
    </row>
    <row r="26" spans="1:11" ht="20.100000000000001" customHeight="1" x14ac:dyDescent="0.3">
      <c r="C26" s="22"/>
      <c r="D26" s="1"/>
      <c r="E26" s="1"/>
      <c r="F26" s="1"/>
      <c r="G26" s="1"/>
      <c r="H26" s="27"/>
      <c r="I26" s="22"/>
      <c r="J26" s="22"/>
      <c r="K26" s="22"/>
    </row>
    <row r="27" spans="1:11" ht="20.100000000000001" customHeight="1" x14ac:dyDescent="0.25">
      <c r="C27" s="22"/>
      <c r="D27" s="1"/>
      <c r="E27" s="1"/>
      <c r="F27" s="1"/>
      <c r="G27" s="1"/>
      <c r="H27" s="1"/>
      <c r="I27" s="1"/>
      <c r="J27" s="22"/>
      <c r="K27" s="22"/>
    </row>
    <row r="28" spans="1:11" ht="20.100000000000001" customHeight="1" x14ac:dyDescent="0.25">
      <c r="C28" s="22"/>
      <c r="D28" s="1"/>
      <c r="E28" s="1"/>
      <c r="F28" s="1"/>
      <c r="G28" s="1"/>
      <c r="H28" s="1"/>
      <c r="I28" s="1"/>
      <c r="J28" s="22"/>
      <c r="K28" s="22"/>
    </row>
    <row r="29" spans="1:11" ht="20.100000000000001" customHeight="1" x14ac:dyDescent="0.25">
      <c r="C29" s="22"/>
      <c r="D29" s="1"/>
      <c r="E29" s="1"/>
      <c r="F29" s="1"/>
      <c r="G29" s="1"/>
      <c r="H29" s="1"/>
      <c r="I29" s="1"/>
      <c r="J29" s="22"/>
      <c r="K29" s="22"/>
    </row>
    <row r="30" spans="1:11" ht="20.100000000000001" customHeight="1" x14ac:dyDescent="0.25">
      <c r="C30" s="22"/>
      <c r="D30" s="1"/>
      <c r="E30" s="1"/>
      <c r="F30" s="1"/>
      <c r="G30" s="1"/>
      <c r="H30" s="1"/>
      <c r="I30" s="1"/>
      <c r="J30" s="22"/>
      <c r="K30" s="22"/>
    </row>
    <row r="31" spans="1:11" ht="20.100000000000001" customHeight="1" x14ac:dyDescent="0.25">
      <c r="C31" s="22"/>
      <c r="D31" s="1"/>
      <c r="E31" s="1"/>
      <c r="F31" s="1"/>
      <c r="G31" s="1"/>
      <c r="H31" s="1"/>
      <c r="I31" s="1"/>
      <c r="J31" s="22"/>
      <c r="K31" s="22"/>
    </row>
    <row r="32" spans="1:11" ht="20.100000000000001" customHeight="1" x14ac:dyDescent="0.25">
      <c r="C32" s="22"/>
      <c r="D32" s="1"/>
      <c r="E32" s="1"/>
      <c r="F32" s="1"/>
      <c r="G32" s="1"/>
      <c r="H32" s="1"/>
      <c r="I32" s="1"/>
      <c r="J32" s="22"/>
      <c r="K32" s="22"/>
    </row>
    <row r="33" spans="3:11" ht="20.100000000000001" customHeight="1" x14ac:dyDescent="0.25">
      <c r="C33" s="22"/>
      <c r="D33" s="1"/>
      <c r="E33" s="1"/>
      <c r="F33" s="1"/>
      <c r="G33" s="1"/>
      <c r="H33" s="1"/>
      <c r="I33" s="1"/>
      <c r="J33" s="22"/>
      <c r="K33" s="22"/>
    </row>
    <row r="34" spans="3:11" ht="20.100000000000001" customHeight="1" x14ac:dyDescent="0.25">
      <c r="C34" s="22"/>
      <c r="D34" s="1"/>
      <c r="E34" s="1"/>
      <c r="F34" s="1"/>
      <c r="G34" s="1"/>
      <c r="H34" s="1"/>
      <c r="I34" s="22"/>
      <c r="J34" s="22"/>
      <c r="K34" s="22"/>
    </row>
    <row r="35" spans="3:11" ht="20.100000000000001" customHeight="1" x14ac:dyDescent="0.25">
      <c r="C35" s="22"/>
      <c r="D35" s="1"/>
      <c r="E35" s="1"/>
      <c r="F35" s="1"/>
      <c r="G35" s="1"/>
      <c r="H35" s="1"/>
      <c r="I35" s="22"/>
      <c r="J35" s="22"/>
      <c r="K35" s="22"/>
    </row>
    <row r="36" spans="3:11" ht="20.100000000000001" customHeight="1" x14ac:dyDescent="0.25">
      <c r="C36" s="22"/>
      <c r="D36" s="1"/>
      <c r="E36" s="1"/>
      <c r="F36" s="1"/>
      <c r="G36" s="1"/>
      <c r="H36" s="1"/>
      <c r="I36" s="22"/>
      <c r="J36" s="22"/>
      <c r="K36" s="22"/>
    </row>
    <row r="37" spans="3:11" ht="20.100000000000001" customHeight="1" x14ac:dyDescent="0.25">
      <c r="C37" s="22"/>
      <c r="D37" s="1"/>
      <c r="E37" s="1"/>
      <c r="F37" s="1"/>
      <c r="G37" s="1"/>
      <c r="H37" s="1"/>
      <c r="I37" s="22"/>
      <c r="J37" s="22"/>
      <c r="K37" s="22"/>
    </row>
    <row r="38" spans="3:11" ht="20.100000000000001" customHeight="1" x14ac:dyDescent="0.25">
      <c r="C38" s="22"/>
      <c r="D38" s="1"/>
      <c r="E38" s="1"/>
      <c r="F38" s="1"/>
      <c r="G38" s="1"/>
      <c r="H38" s="1"/>
      <c r="I38" s="111"/>
      <c r="J38" s="111"/>
      <c r="K38" s="22"/>
    </row>
    <row r="39" spans="3:11" ht="20.100000000000001" customHeight="1" x14ac:dyDescent="0.25">
      <c r="C39" s="22"/>
      <c r="D39" s="1"/>
      <c r="E39" s="1"/>
      <c r="F39" s="1"/>
      <c r="G39" s="1"/>
      <c r="H39" s="1"/>
      <c r="I39" s="111"/>
      <c r="J39" s="111"/>
      <c r="K39" s="22"/>
    </row>
    <row r="40" spans="3:11" ht="20.100000000000001" customHeight="1" x14ac:dyDescent="0.25">
      <c r="C40" s="22"/>
      <c r="D40" s="1"/>
      <c r="E40" s="1"/>
      <c r="F40" s="1"/>
      <c r="G40" s="1"/>
      <c r="H40" s="1"/>
      <c r="I40" s="111"/>
      <c r="J40" s="111"/>
      <c r="K40" s="22"/>
    </row>
    <row r="41" spans="3:11" ht="20.100000000000001" customHeight="1" x14ac:dyDescent="0.25">
      <c r="C41" s="22"/>
      <c r="D41" s="1"/>
      <c r="E41" s="1"/>
      <c r="F41" s="1"/>
      <c r="G41" s="1"/>
      <c r="H41" s="1"/>
      <c r="I41" s="111"/>
      <c r="J41" s="111"/>
      <c r="K41" s="22"/>
    </row>
    <row r="42" spans="3:11" ht="20.100000000000001" customHeight="1" x14ac:dyDescent="0.25">
      <c r="C42" s="22"/>
      <c r="D42" s="1"/>
      <c r="E42" s="1"/>
      <c r="F42" s="1"/>
      <c r="G42" s="1"/>
      <c r="H42" s="1"/>
      <c r="I42" s="111"/>
      <c r="J42" s="111"/>
      <c r="K42" s="22"/>
    </row>
    <row r="43" spans="3:11" ht="20.100000000000001" customHeight="1" x14ac:dyDescent="0.25">
      <c r="C43" s="22"/>
      <c r="D43" s="1"/>
      <c r="E43" s="1"/>
      <c r="F43" s="1"/>
      <c r="G43" s="1"/>
      <c r="H43" s="1"/>
      <c r="I43" s="111"/>
      <c r="J43" s="111"/>
      <c r="K43" s="22"/>
    </row>
    <row r="44" spans="3:11" ht="20.100000000000001" customHeight="1" x14ac:dyDescent="0.25">
      <c r="C44" s="22"/>
      <c r="D44" s="1"/>
      <c r="E44" s="1"/>
      <c r="F44" s="1"/>
      <c r="G44" s="1"/>
      <c r="H44" s="1"/>
      <c r="I44" s="111"/>
      <c r="J44" s="111"/>
      <c r="K44" s="22"/>
    </row>
    <row r="45" spans="3:11" ht="20.100000000000001" customHeight="1" x14ac:dyDescent="0.25">
      <c r="C45" s="22"/>
      <c r="D45" s="1"/>
      <c r="E45" s="1"/>
      <c r="F45" s="1"/>
      <c r="G45" s="1"/>
      <c r="H45" s="1"/>
      <c r="I45" s="111"/>
      <c r="J45" s="111"/>
      <c r="K45" s="22"/>
    </row>
    <row r="46" spans="3:11" ht="20.100000000000001" customHeight="1" x14ac:dyDescent="0.25">
      <c r="C46" s="22"/>
      <c r="D46" s="1"/>
      <c r="E46" s="1"/>
      <c r="F46" s="1"/>
      <c r="G46" s="1"/>
      <c r="H46" s="1"/>
      <c r="I46" s="111"/>
      <c r="J46" s="111"/>
      <c r="K46" s="22"/>
    </row>
    <row r="47" spans="3:11" ht="20.100000000000001" customHeight="1" x14ac:dyDescent="0.25">
      <c r="C47" s="22"/>
      <c r="D47" s="1"/>
      <c r="E47" s="1"/>
      <c r="F47" s="1"/>
      <c r="G47" s="1"/>
      <c r="H47" s="1"/>
      <c r="I47" s="111"/>
      <c r="J47" s="111"/>
      <c r="K47" s="22"/>
    </row>
    <row r="48" spans="3:11" ht="20.100000000000001" customHeight="1" x14ac:dyDescent="0.25">
      <c r="C48" s="22"/>
      <c r="D48" s="1"/>
      <c r="E48" s="1"/>
      <c r="F48" s="1"/>
      <c r="G48" s="1"/>
      <c r="H48" s="1"/>
      <c r="I48" s="111"/>
      <c r="J48" s="111"/>
      <c r="K48" s="22"/>
    </row>
    <row r="49" spans="3:11" ht="20.100000000000001" customHeight="1" x14ac:dyDescent="0.25">
      <c r="C49" s="22"/>
      <c r="D49" s="1"/>
      <c r="E49" s="1"/>
      <c r="F49" s="1"/>
      <c r="G49" s="1"/>
      <c r="H49" s="111"/>
      <c r="I49" s="111"/>
      <c r="J49" s="111"/>
      <c r="K49" s="22"/>
    </row>
    <row r="50" spans="3:11" ht="20.100000000000001" customHeight="1" x14ac:dyDescent="0.25">
      <c r="C50" s="22"/>
      <c r="D50" s="1"/>
      <c r="E50" s="1"/>
      <c r="F50" s="1"/>
      <c r="G50" s="1"/>
      <c r="H50" s="111"/>
      <c r="I50" s="111"/>
      <c r="J50" s="111"/>
      <c r="K50" s="22"/>
    </row>
    <row r="51" spans="3:11" ht="20.100000000000001" customHeight="1" x14ac:dyDescent="0.25">
      <c r="C51" s="22"/>
      <c r="D51" s="1"/>
      <c r="E51" s="1"/>
      <c r="F51" s="1"/>
      <c r="G51" s="1"/>
      <c r="H51" s="111"/>
      <c r="I51" s="111"/>
      <c r="J51" s="111"/>
      <c r="K51" s="22"/>
    </row>
    <row r="52" spans="3:11" ht="20.100000000000001" customHeight="1" x14ac:dyDescent="0.25">
      <c r="C52" s="22"/>
      <c r="D52" s="1"/>
      <c r="E52" s="1"/>
      <c r="F52" s="1"/>
      <c r="G52" s="1"/>
      <c r="H52" s="111"/>
      <c r="I52" s="111"/>
      <c r="J52" s="111"/>
      <c r="K52" s="22"/>
    </row>
    <row r="53" spans="3:11" ht="20.100000000000001" customHeight="1" x14ac:dyDescent="0.25">
      <c r="C53" s="22"/>
      <c r="D53" s="1"/>
      <c r="E53" s="1"/>
      <c r="F53" s="1"/>
      <c r="G53" s="1"/>
      <c r="H53" s="111"/>
      <c r="I53" s="111"/>
      <c r="J53" s="111"/>
      <c r="K53" s="22"/>
    </row>
    <row r="54" spans="3:11" ht="20.100000000000001" customHeight="1" x14ac:dyDescent="0.25">
      <c r="C54" s="22"/>
      <c r="D54" s="1"/>
      <c r="E54" s="1"/>
      <c r="F54" s="1"/>
      <c r="G54" s="1"/>
      <c r="H54" s="22"/>
      <c r="I54" s="22"/>
      <c r="J54" s="22"/>
      <c r="K54" s="22"/>
    </row>
    <row r="55" spans="3:11" ht="20.100000000000001" customHeight="1" x14ac:dyDescent="0.25">
      <c r="C55" s="22"/>
      <c r="D55" s="1"/>
      <c r="E55" s="1"/>
      <c r="F55" s="1"/>
      <c r="G55" s="1"/>
      <c r="H55" s="22"/>
      <c r="I55" s="22"/>
      <c r="J55" s="22"/>
      <c r="K55" s="22"/>
    </row>
    <row r="56" spans="3:11" ht="20.100000000000001" customHeight="1" x14ac:dyDescent="0.25">
      <c r="C56" s="22"/>
      <c r="D56" s="1"/>
      <c r="E56" s="1"/>
      <c r="F56" s="1"/>
      <c r="G56" s="1"/>
      <c r="H56" s="22"/>
      <c r="I56" s="22"/>
      <c r="J56" s="22"/>
      <c r="K56" s="22"/>
    </row>
    <row r="57" spans="3:11" ht="20.100000000000001" customHeight="1" x14ac:dyDescent="0.25">
      <c r="C57" s="22"/>
      <c r="D57" s="1"/>
      <c r="E57" s="1"/>
      <c r="F57" s="1"/>
      <c r="G57" s="1"/>
      <c r="H57" s="22"/>
      <c r="I57" s="22"/>
      <c r="J57" s="22"/>
      <c r="K57" s="22"/>
    </row>
    <row r="58" spans="3:11" ht="20.100000000000001" customHeight="1" x14ac:dyDescent="0.25">
      <c r="C58" s="22"/>
      <c r="D58" s="1"/>
      <c r="E58" s="30"/>
      <c r="F58" s="28"/>
      <c r="G58" s="22"/>
      <c r="H58" s="22"/>
      <c r="I58" s="22"/>
      <c r="J58" s="22"/>
      <c r="K58" s="22"/>
    </row>
    <row r="59" spans="3:11" ht="20.100000000000001" customHeight="1" x14ac:dyDescent="0.25">
      <c r="C59" s="22"/>
      <c r="D59" s="1"/>
      <c r="E59" s="1"/>
      <c r="F59" s="1"/>
      <c r="G59" s="1"/>
      <c r="H59" s="1"/>
      <c r="I59" s="1"/>
      <c r="J59" s="1"/>
      <c r="K59" s="22"/>
    </row>
    <row r="60" spans="3:11" ht="20.100000000000001" customHeight="1" x14ac:dyDescent="0.25">
      <c r="C60" s="22"/>
      <c r="D60" s="1"/>
      <c r="E60" s="1"/>
      <c r="F60" s="1"/>
      <c r="G60" s="1"/>
      <c r="H60" s="1"/>
      <c r="I60" s="1"/>
      <c r="J60" s="1"/>
      <c r="K60" s="22"/>
    </row>
    <row r="61" spans="3:11" ht="20.100000000000001" customHeight="1" x14ac:dyDescent="0.25">
      <c r="C61" s="22"/>
      <c r="D61" s="1"/>
      <c r="E61" s="1"/>
      <c r="F61" s="1"/>
      <c r="G61" s="1"/>
      <c r="H61" s="1"/>
      <c r="I61" s="1"/>
      <c r="J61" s="1"/>
      <c r="K61" s="22"/>
    </row>
    <row r="62" spans="3:11" ht="20.100000000000001" customHeight="1" x14ac:dyDescent="0.25">
      <c r="C62" s="22"/>
      <c r="D62" s="1"/>
      <c r="E62" s="1"/>
      <c r="F62" s="1"/>
      <c r="G62" s="1"/>
      <c r="H62" s="1"/>
      <c r="I62" s="1"/>
      <c r="J62" s="1"/>
      <c r="K62" s="22"/>
    </row>
    <row r="63" spans="3:11" ht="20.100000000000001" customHeight="1" x14ac:dyDescent="0.25">
      <c r="C63" s="22"/>
      <c r="D63" s="1"/>
      <c r="E63" s="1"/>
      <c r="F63" s="1"/>
      <c r="G63" s="1"/>
      <c r="H63" s="1"/>
      <c r="I63" s="1"/>
      <c r="J63" s="1"/>
      <c r="K63" s="22"/>
    </row>
    <row r="64" spans="3:11" ht="20.100000000000001" customHeight="1" x14ac:dyDescent="0.25">
      <c r="C64" s="22"/>
      <c r="D64" s="1"/>
      <c r="E64" s="1"/>
      <c r="F64" s="1"/>
      <c r="G64" s="1"/>
      <c r="H64" s="1"/>
      <c r="I64" s="1"/>
      <c r="J64" s="1"/>
      <c r="K64" s="22"/>
    </row>
    <row r="65" spans="3:11" ht="20.100000000000001" customHeight="1" x14ac:dyDescent="0.25">
      <c r="C65" s="22"/>
      <c r="D65" s="1"/>
      <c r="E65" s="1"/>
      <c r="F65" s="1"/>
      <c r="G65" s="1"/>
      <c r="H65" s="1"/>
      <c r="I65" s="1"/>
      <c r="J65" s="1"/>
      <c r="K65" s="22"/>
    </row>
    <row r="66" spans="3:11" ht="20.100000000000001" customHeight="1" x14ac:dyDescent="0.25">
      <c r="C66" s="22"/>
      <c r="D66" s="1"/>
      <c r="E66" s="1"/>
      <c r="F66" s="1"/>
      <c r="G66" s="1"/>
      <c r="H66" s="1"/>
      <c r="I66" s="1"/>
      <c r="J66" s="1"/>
      <c r="K66" s="22"/>
    </row>
    <row r="67" spans="3:11" ht="20.100000000000001" customHeight="1" x14ac:dyDescent="0.25">
      <c r="C67" s="22"/>
      <c r="D67" s="1"/>
      <c r="E67" s="1"/>
      <c r="F67" s="1"/>
      <c r="G67" s="1"/>
      <c r="H67" s="1"/>
      <c r="I67" s="1"/>
      <c r="J67" s="1"/>
      <c r="K67" s="22"/>
    </row>
    <row r="68" spans="3:11" ht="20.100000000000001" customHeight="1" x14ac:dyDescent="0.25">
      <c r="C68" s="22"/>
      <c r="D68" s="1"/>
      <c r="E68" s="1"/>
      <c r="F68" s="1"/>
      <c r="G68" s="1"/>
      <c r="H68" s="1"/>
      <c r="I68" s="1"/>
      <c r="J68" s="1"/>
      <c r="K68" s="22"/>
    </row>
    <row r="69" spans="3:11" ht="20.100000000000001" customHeight="1" x14ac:dyDescent="0.25">
      <c r="C69" s="22"/>
      <c r="D69" s="1"/>
      <c r="E69" s="1"/>
      <c r="F69" s="1"/>
      <c r="G69" s="1"/>
      <c r="H69" s="1"/>
      <c r="I69" s="1"/>
      <c r="J69" s="1"/>
      <c r="K69" s="22"/>
    </row>
    <row r="70" spans="3:11" ht="20.100000000000001" customHeight="1" x14ac:dyDescent="0.25">
      <c r="C70" s="22"/>
      <c r="D70" s="1"/>
      <c r="E70" s="1"/>
      <c r="F70" s="1"/>
      <c r="G70" s="1"/>
      <c r="H70" s="1"/>
      <c r="I70" s="1"/>
      <c r="J70" s="1"/>
      <c r="K70" s="22"/>
    </row>
    <row r="71" spans="3:11" ht="20.100000000000001" customHeight="1" x14ac:dyDescent="0.25">
      <c r="C71" s="22"/>
      <c r="D71" s="1"/>
      <c r="E71" s="1"/>
      <c r="F71" s="1"/>
      <c r="G71" s="1"/>
      <c r="H71" s="1"/>
      <c r="I71" s="1"/>
      <c r="J71" s="1"/>
      <c r="K71" s="22"/>
    </row>
    <row r="72" spans="3:11" ht="20.100000000000001" customHeight="1" x14ac:dyDescent="0.25">
      <c r="C72" s="22"/>
      <c r="D72" s="1"/>
      <c r="E72" s="1"/>
      <c r="F72" s="1"/>
      <c r="G72" s="1"/>
      <c r="H72" s="1"/>
      <c r="I72" s="1"/>
      <c r="J72" s="1"/>
      <c r="K72" s="22"/>
    </row>
    <row r="73" spans="3:11" ht="20.100000000000001" customHeight="1" x14ac:dyDescent="0.25">
      <c r="C73" s="22"/>
      <c r="D73" s="1"/>
      <c r="E73" s="1"/>
      <c r="F73" s="1"/>
      <c r="G73" s="1"/>
      <c r="H73" s="1"/>
      <c r="I73" s="1"/>
      <c r="J73" s="1"/>
      <c r="K73" s="22"/>
    </row>
    <row r="74" spans="3:11" ht="20.100000000000001" customHeight="1" x14ac:dyDescent="0.25">
      <c r="C74" s="22"/>
      <c r="D74" s="1"/>
      <c r="E74" s="1"/>
      <c r="F74" s="1"/>
      <c r="G74" s="1"/>
      <c r="H74" s="1"/>
      <c r="I74" s="1"/>
      <c r="J74" s="1"/>
      <c r="K74" s="22"/>
    </row>
    <row r="75" spans="3:11" ht="20.100000000000001" customHeight="1" x14ac:dyDescent="0.25">
      <c r="C75" s="22"/>
      <c r="D75" s="1"/>
      <c r="E75" s="1"/>
      <c r="F75" s="1"/>
      <c r="G75" s="1"/>
      <c r="H75" s="1"/>
      <c r="I75" s="1"/>
      <c r="J75" s="1"/>
      <c r="K75" s="22"/>
    </row>
    <row r="76" spans="3:11" ht="15.75" x14ac:dyDescent="0.25">
      <c r="C76" s="22"/>
      <c r="D76" s="1"/>
      <c r="E76" s="1"/>
      <c r="F76" s="1"/>
      <c r="G76" s="1"/>
      <c r="H76" s="1"/>
      <c r="I76" s="1"/>
      <c r="J76" s="1"/>
      <c r="K76" s="22"/>
    </row>
    <row r="77" spans="3:11" ht="15.75" x14ac:dyDescent="0.25">
      <c r="C77" s="22"/>
      <c r="D77" s="1"/>
      <c r="E77" s="1"/>
      <c r="F77" s="1"/>
      <c r="G77" s="1"/>
      <c r="H77" s="1"/>
      <c r="I77" s="1"/>
      <c r="J77" s="1"/>
      <c r="K77" s="22"/>
    </row>
    <row r="78" spans="3:11" ht="15.75" x14ac:dyDescent="0.25">
      <c r="C78" s="22"/>
      <c r="D78" s="1"/>
      <c r="E78" s="1"/>
      <c r="F78" s="1"/>
      <c r="G78" s="1"/>
      <c r="H78" s="1"/>
      <c r="I78" s="1"/>
      <c r="J78" s="1"/>
      <c r="K78" s="22"/>
    </row>
    <row r="79" spans="3:11" ht="15.75" x14ac:dyDescent="0.25">
      <c r="C79" s="22"/>
      <c r="D79" s="1"/>
      <c r="E79" s="1"/>
      <c r="F79" s="1"/>
      <c r="G79" s="1"/>
      <c r="H79" s="1"/>
      <c r="I79" s="1"/>
      <c r="J79" s="1"/>
      <c r="K79" s="22"/>
    </row>
    <row r="80" spans="3:11" ht="15.75" x14ac:dyDescent="0.25">
      <c r="C80" s="22"/>
      <c r="D80" s="1"/>
      <c r="E80" s="1"/>
      <c r="F80" s="1"/>
      <c r="G80" s="1"/>
      <c r="H80" s="1"/>
      <c r="I80" s="1"/>
      <c r="J80" s="1"/>
      <c r="K80" s="22"/>
    </row>
    <row r="81" spans="3:11" ht="15.75" x14ac:dyDescent="0.25">
      <c r="C81" s="22"/>
      <c r="D81" s="1"/>
      <c r="E81" s="1"/>
      <c r="F81" s="1"/>
      <c r="G81" s="1"/>
      <c r="H81" s="1"/>
      <c r="I81" s="1"/>
      <c r="J81" s="1"/>
      <c r="K81" s="22"/>
    </row>
    <row r="82" spans="3:11" ht="15.75" x14ac:dyDescent="0.25">
      <c r="C82" s="22"/>
      <c r="D82" s="1"/>
      <c r="E82" s="1"/>
      <c r="F82" s="1"/>
      <c r="G82" s="1"/>
      <c r="H82" s="1"/>
      <c r="I82" s="1"/>
      <c r="J82" s="1"/>
      <c r="K82" s="22"/>
    </row>
    <row r="83" spans="3:11" ht="15.75" x14ac:dyDescent="0.25">
      <c r="C83" s="22"/>
      <c r="D83" s="1"/>
      <c r="E83" s="1"/>
      <c r="F83" s="1"/>
      <c r="G83" s="1"/>
      <c r="H83" s="1"/>
      <c r="I83" s="1"/>
      <c r="J83" s="1"/>
      <c r="K83" s="22"/>
    </row>
    <row r="84" spans="3:11" ht="15.75" x14ac:dyDescent="0.25">
      <c r="C84" s="22"/>
      <c r="D84" s="1"/>
      <c r="E84" s="1"/>
      <c r="F84" s="1"/>
      <c r="G84" s="1"/>
      <c r="H84" s="1"/>
      <c r="I84" s="1"/>
      <c r="J84" s="1"/>
      <c r="K84" s="22"/>
    </row>
    <row r="85" spans="3:11" ht="15.75" x14ac:dyDescent="0.25">
      <c r="C85" s="22"/>
      <c r="D85" s="1"/>
      <c r="E85" s="1"/>
      <c r="F85" s="1"/>
      <c r="G85" s="1"/>
      <c r="H85" s="1"/>
      <c r="I85" s="1"/>
      <c r="J85" s="1"/>
      <c r="K85" s="22"/>
    </row>
    <row r="86" spans="3:11" x14ac:dyDescent="0.25">
      <c r="C86" s="22"/>
      <c r="D86" s="22"/>
      <c r="E86" s="22"/>
      <c r="F86" s="22"/>
      <c r="G86" s="22"/>
      <c r="H86" s="22"/>
      <c r="I86" s="22"/>
      <c r="J86" s="22"/>
      <c r="K86" s="22"/>
    </row>
    <row r="87" spans="3:11" x14ac:dyDescent="0.25">
      <c r="C87" s="22"/>
      <c r="D87" s="22"/>
      <c r="E87" s="22"/>
      <c r="F87" s="22"/>
      <c r="G87" s="22"/>
      <c r="H87" s="22"/>
      <c r="I87" s="22"/>
      <c r="J87" s="22"/>
      <c r="K87" s="2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A5447-7172-48EB-B2CF-AFAC4A9AE8CE}">
  <sheetPr>
    <pageSetUpPr autoPageBreaks="0"/>
  </sheetPr>
  <dimension ref="A1:AA115"/>
  <sheetViews>
    <sheetView showGridLines="0" zoomScaleNormal="100" workbookViewId="0">
      <selection activeCell="F21" sqref="F21"/>
    </sheetView>
  </sheetViews>
  <sheetFormatPr defaultColWidth="9.140625" defaultRowHeight="15.75" x14ac:dyDescent="0.25"/>
  <cols>
    <col min="1" max="1" width="30.7109375" style="16" customWidth="1"/>
    <col min="2" max="2" width="4.7109375" style="7" customWidth="1"/>
    <col min="3" max="3" width="4.7109375" style="3" customWidth="1"/>
    <col min="4" max="4" width="60.7109375" style="3" customWidth="1"/>
    <col min="5" max="5" width="50.7109375" style="3" customWidth="1"/>
    <col min="6" max="11" width="28.7109375" style="3" customWidth="1"/>
    <col min="12" max="25" width="28.7109375" style="7" customWidth="1"/>
    <col min="26" max="27" width="9.140625" style="7"/>
    <col min="28" max="16384" width="9.140625" style="3"/>
  </cols>
  <sheetData>
    <row r="1" spans="1:24" s="7" customFormat="1" ht="30" customHeight="1" x14ac:dyDescent="0.35">
      <c r="A1" s="68" t="e" vm="1">
        <v>#VALUE!</v>
      </c>
      <c r="C1" s="12" t="s">
        <v>91</v>
      </c>
    </row>
    <row r="2" spans="1:24" s="7" customFormat="1" ht="20.100000000000001" customHeight="1" x14ac:dyDescent="0.25">
      <c r="A2" s="9"/>
      <c r="C2" s="9"/>
      <c r="D2" s="9"/>
      <c r="E2" s="9"/>
      <c r="F2" s="9"/>
      <c r="G2" s="9"/>
      <c r="H2" s="9"/>
      <c r="I2" s="9"/>
      <c r="J2" s="9"/>
    </row>
    <row r="3" spans="1:24" ht="20.100000000000001" customHeight="1" x14ac:dyDescent="0.25">
      <c r="A3" s="17" t="str">
        <f>HYPERLINK("#'Home'!A1", "Home")</f>
        <v>Home</v>
      </c>
      <c r="C3" s="15"/>
      <c r="D3" s="15"/>
      <c r="E3" s="15"/>
      <c r="F3" s="15"/>
      <c r="G3" s="15"/>
      <c r="H3" s="15"/>
      <c r="I3" s="15"/>
      <c r="J3" s="15"/>
      <c r="K3" s="15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ht="20.100000000000001" customHeight="1" x14ac:dyDescent="0.25">
      <c r="A4" s="17" t="str">
        <f>HYPERLINK("#'Results'!A1", "Results")</f>
        <v>Results</v>
      </c>
      <c r="C4" s="69"/>
      <c r="D4" s="69"/>
      <c r="E4" s="69"/>
      <c r="F4" s="69"/>
      <c r="G4" s="69"/>
      <c r="H4" s="69"/>
      <c r="I4" s="69"/>
      <c r="J4" s="69"/>
      <c r="K4" s="69"/>
    </row>
    <row r="5" spans="1:24" ht="20.100000000000001" customHeight="1" x14ac:dyDescent="0.25">
      <c r="D5" s="6" t="s">
        <v>15</v>
      </c>
      <c r="N5" s="40"/>
    </row>
    <row r="6" spans="1:24" ht="20.100000000000001" customHeight="1" x14ac:dyDescent="0.25">
      <c r="A6" s="20" t="s">
        <v>3</v>
      </c>
      <c r="D6" s="14"/>
      <c r="N6" s="41"/>
    </row>
    <row r="7" spans="1:24" ht="20.100000000000001" customHeight="1" x14ac:dyDescent="0.25">
      <c r="A7" s="17" t="str">
        <f>HYPERLINK("#'Input - Site'!A1", "Site")</f>
        <v>Site</v>
      </c>
      <c r="D7" s="1" t="s">
        <v>7</v>
      </c>
      <c r="E7" s="33" t="s">
        <v>6</v>
      </c>
      <c r="F7" s="2"/>
    </row>
    <row r="8" spans="1:24" ht="20.100000000000001" customHeight="1" x14ac:dyDescent="0.25">
      <c r="A8" s="17" t="str">
        <f>HYPERLINK("#'Input - Swine'!A1", "Swine")</f>
        <v>Swine</v>
      </c>
      <c r="D8" s="10" t="s">
        <v>72</v>
      </c>
      <c r="E8" s="33" t="s">
        <v>73</v>
      </c>
    </row>
    <row r="9" spans="1:24" ht="20.100000000000001" customHeight="1" x14ac:dyDescent="0.25">
      <c r="A9" s="17"/>
      <c r="N9" s="42"/>
    </row>
    <row r="10" spans="1:24" ht="20.100000000000001" customHeight="1" x14ac:dyDescent="0.25">
      <c r="A10" s="19" t="s">
        <v>76</v>
      </c>
      <c r="D10" s="94" t="s">
        <v>90</v>
      </c>
      <c r="E10" s="92"/>
      <c r="F10" s="95"/>
      <c r="G10" s="89"/>
      <c r="N10" s="42"/>
    </row>
    <row r="11" spans="1:24" ht="20.100000000000001" customHeight="1" x14ac:dyDescent="0.25">
      <c r="A11" s="17" t="str">
        <f>HYPERLINK("#'4.2.1.1-2 Methane'!A1", "4.2.1.1-2 Methane")</f>
        <v>4.2.1.1-2 Methane</v>
      </c>
      <c r="N11" s="43"/>
    </row>
    <row r="12" spans="1:24" ht="20.100000000000001" customHeight="1" x14ac:dyDescent="0.25">
      <c r="A12" s="17" t="str">
        <f>HYPERLINK("#'4.2.1.3-4 Soil direct N2O'!A1", "4.2.1.3-4 Soil direct N2O")</f>
        <v>4.2.1.3-4 Soil direct N2O</v>
      </c>
      <c r="D12" s="10" t="s">
        <v>96</v>
      </c>
      <c r="E12" s="64">
        <v>45292</v>
      </c>
      <c r="F12" s="2" t="s">
        <v>70</v>
      </c>
    </row>
    <row r="13" spans="1:24" ht="20.100000000000001" customHeight="1" x14ac:dyDescent="0.25">
      <c r="A13" s="17" t="str">
        <f>HYPERLINK("#'4.2.1.5-6 Soil Atmos Dep'!A1", "4.2.1.5-6 Soil atm. deposition")</f>
        <v>4.2.1.5-6 Soil atm. deposition</v>
      </c>
      <c r="D13" s="10" t="s">
        <v>97</v>
      </c>
      <c r="E13" s="70">
        <f>DATE(YEAR(E12)+1,MONTH(E12),DAY(E12))-1</f>
        <v>45657</v>
      </c>
      <c r="F13" s="2" t="s">
        <v>17</v>
      </c>
      <c r="N13" s="38"/>
      <c r="O13" s="38"/>
    </row>
    <row r="14" spans="1:24" ht="20.100000000000001" customHeight="1" x14ac:dyDescent="0.25">
      <c r="A14" s="17" t="str">
        <f>HYPERLINK("#'4.2.1.7-8 Soil leach runoff'!A1", "4.2.1.7-8 Soil leach &amp; runoff")</f>
        <v>4.2.1.7-8 Soil leach &amp; runoff</v>
      </c>
      <c r="N14" s="38"/>
      <c r="O14" s="38"/>
    </row>
    <row r="15" spans="1:24" ht="20.100000000000001" customHeight="1" x14ac:dyDescent="0.25">
      <c r="A15" s="17"/>
      <c r="N15" s="38"/>
      <c r="O15" s="38"/>
    </row>
    <row r="16" spans="1:24" ht="20.100000000000001" customHeight="1" x14ac:dyDescent="0.25">
      <c r="A16" s="18" t="s">
        <v>4</v>
      </c>
      <c r="D16" s="6" t="s">
        <v>14</v>
      </c>
      <c r="N16" s="38"/>
      <c r="O16" s="38"/>
    </row>
    <row r="17" spans="1:25" ht="20.100000000000001" customHeight="1" x14ac:dyDescent="0.25">
      <c r="A17" s="17" t="str">
        <f>HYPERLINK("#'Constants - Swine'!A1", "Constants - Swine")</f>
        <v>Constants - Swine</v>
      </c>
    </row>
    <row r="18" spans="1:25" ht="20.100000000000001" customHeight="1" x14ac:dyDescent="0.25">
      <c r="A18" s="17" t="str">
        <f>HYPERLINK("#'Constants - Livestock'!A1", "Constants - Livestock")</f>
        <v>Constants - Livestock</v>
      </c>
      <c r="D18" s="96" t="s">
        <v>16</v>
      </c>
      <c r="E18" s="91"/>
      <c r="F18" s="91"/>
      <c r="G18" s="87"/>
    </row>
    <row r="19" spans="1:25" ht="20.100000000000001" customHeight="1" x14ac:dyDescent="0.25">
      <c r="A19" s="17" t="str">
        <f>HYPERLINK("#'Constants - Common'!A1", "Constants - Common")</f>
        <v>Constants - Common</v>
      </c>
      <c r="D19" s="93" t="s">
        <v>71</v>
      </c>
      <c r="E19" s="90"/>
      <c r="F19" s="90"/>
      <c r="G19" s="88"/>
      <c r="N19" s="40"/>
    </row>
    <row r="20" spans="1:25" ht="20.100000000000001" customHeight="1" x14ac:dyDescent="0.25">
      <c r="A20" s="17" t="str">
        <f>HYPERLINK("#'Acknowledgements'!A1", "Acknowledgements")</f>
        <v>Acknowledgements</v>
      </c>
      <c r="D20" s="1"/>
      <c r="E20" s="31"/>
      <c r="F20" s="2"/>
      <c r="N20" s="41"/>
    </row>
    <row r="21" spans="1:25" ht="20.100000000000001" customHeight="1" x14ac:dyDescent="0.25">
      <c r="A21"/>
      <c r="D21" s="1" t="s">
        <v>8</v>
      </c>
      <c r="E21" s="39" t="s">
        <v>156</v>
      </c>
      <c r="F21" s="2" t="s">
        <v>11</v>
      </c>
    </row>
    <row r="22" spans="1:25" ht="20.100000000000001" customHeight="1" x14ac:dyDescent="0.25">
      <c r="A22" s="17"/>
      <c r="D22" s="1" t="s">
        <v>25</v>
      </c>
      <c r="E22" s="39" t="s">
        <v>34</v>
      </c>
      <c r="F22" s="2" t="s">
        <v>11</v>
      </c>
      <c r="G22" s="1"/>
    </row>
    <row r="23" spans="1:25" ht="20.100000000000001" customHeight="1" x14ac:dyDescent="0.25">
      <c r="A23" s="17"/>
      <c r="D23" s="1" t="s">
        <v>9</v>
      </c>
      <c r="E23" s="39" t="s">
        <v>95</v>
      </c>
      <c r="F23" s="2" t="s">
        <v>11</v>
      </c>
    </row>
    <row r="24" spans="1:25" ht="20.100000000000001" customHeight="1" x14ac:dyDescent="0.25">
      <c r="A24" s="17"/>
      <c r="D24" s="1" t="s">
        <v>39</v>
      </c>
      <c r="E24" s="33">
        <v>307.7</v>
      </c>
      <c r="F24" s="2" t="s">
        <v>53</v>
      </c>
    </row>
    <row r="25" spans="1:25" ht="20.100000000000001" customHeight="1" x14ac:dyDescent="0.25">
      <c r="A25"/>
      <c r="D25" s="1" t="s">
        <v>61</v>
      </c>
      <c r="E25" s="33">
        <v>18</v>
      </c>
      <c r="F25" s="2" t="s">
        <v>12</v>
      </c>
      <c r="N25" s="41"/>
    </row>
    <row r="26" spans="1:25" ht="20.100000000000001" customHeight="1" x14ac:dyDescent="0.25">
      <c r="A26"/>
      <c r="D26" s="1" t="s">
        <v>62</v>
      </c>
      <c r="E26" s="33">
        <v>601</v>
      </c>
      <c r="F26" s="2" t="s">
        <v>13</v>
      </c>
    </row>
    <row r="27" spans="1:25" ht="20.100000000000001" customHeight="1" x14ac:dyDescent="0.25">
      <c r="A27"/>
      <c r="D27" s="10" t="s">
        <v>63</v>
      </c>
      <c r="E27" s="33">
        <v>1326</v>
      </c>
      <c r="F27" s="2" t="s">
        <v>13</v>
      </c>
    </row>
    <row r="28" spans="1:25" ht="20.100000000000001" customHeight="1" x14ac:dyDescent="0.25">
      <c r="A28"/>
      <c r="D28" s="1" t="s">
        <v>64</v>
      </c>
      <c r="E28" s="33">
        <v>7</v>
      </c>
      <c r="F28" s="2" t="s">
        <v>54</v>
      </c>
    </row>
    <row r="29" spans="1:25" ht="20.100000000000001" customHeight="1" x14ac:dyDescent="0.25">
      <c r="A29"/>
      <c r="D29" s="10" t="s">
        <v>60</v>
      </c>
      <c r="E29" s="52">
        <f>E26/E27</f>
        <v>0.45324283559577677</v>
      </c>
      <c r="F29" s="2"/>
    </row>
    <row r="30" spans="1:25" ht="20.100000000000001" customHeight="1" x14ac:dyDescent="0.25">
      <c r="A30"/>
      <c r="D30" s="10" t="s">
        <v>35</v>
      </c>
      <c r="E30" s="52" t="str">
        <f>Common_InputFunctions.Utility_LookupItemFromMinMax(E26,Table_SourceData_RainfallZones[Min rainfall],Table_SourceData_RainfallZones[Max rainfall],Table_SourceData_RainfallZones[Rainfall Zone])</f>
        <v>High rainfall</v>
      </c>
      <c r="G30" s="32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</row>
    <row r="31" spans="1:25" ht="20.100000000000001" customHeight="1" x14ac:dyDescent="0.25">
      <c r="A31"/>
      <c r="D31" s="1" t="s">
        <v>10</v>
      </c>
      <c r="E31" s="52" t="str">
        <f>Common_InputFunctions.Utility_GetClimateZone(E25,E26,E28,E24,E29,Table_SourceData_ClimateZones[Min temp],Table_SourceData_ClimateZones[Max temp],Table_SourceData_ClimateZones[Min rainfall],Table_SourceData_ClimateZones[Max rainfall],Table_SourceData_ClimateZones[Min frost days],Table_SourceData_ClimateZones[Max frost days],Table_SourceData_ClimateZones[Min elevation],Table_SourceData_ClimateZones[Max elevation],Table_SourceData_ClimateZones[Min MAP:PET],Table_SourceData_ClimateZones[Max MAP:PET],Table_SourceData_ClimateZones[Climate zone])</f>
        <v>Warm temperate dry</v>
      </c>
      <c r="F31" s="1"/>
      <c r="G31" s="31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</row>
    <row r="32" spans="1:25" ht="20.100000000000001" customHeight="1" x14ac:dyDescent="0.25">
      <c r="A32"/>
      <c r="D32" s="1" t="s">
        <v>92</v>
      </c>
      <c r="E32" s="52" t="str">
        <f>Common_InputFunctions.Utility_LookupValueInTable($E$31,Table_SourceData_WetDryZones[Climate zone],Table_SourceData_WetDryZones[Wet or Dry Zone])</f>
        <v>Dry climate zone</v>
      </c>
      <c r="F32" s="1"/>
      <c r="G32" s="31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</row>
    <row r="33" spans="1:25" ht="20.100000000000001" customHeight="1" x14ac:dyDescent="0.25">
      <c r="A33"/>
      <c r="D33" s="1" t="s">
        <v>52</v>
      </c>
      <c r="E33" s="52" t="str">
        <f>Common_InputFunctions.Utility_LookupItemFromMinMax(E25,Table_SourceData_TemperatureZones[Min MAT],Table_SourceData_TemperatureZones[Max MAT],Table_SourceData_TemperatureZones[Temperature Zone])</f>
        <v>Temperate</v>
      </c>
      <c r="G33" s="71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</row>
    <row r="34" spans="1:25" ht="20.100000000000001" customHeight="1" x14ac:dyDescent="0.25">
      <c r="A34"/>
      <c r="J34" s="61"/>
      <c r="K34" s="74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</row>
    <row r="35" spans="1:25" ht="20.100000000000001" customHeight="1" x14ac:dyDescent="0.25">
      <c r="A35"/>
      <c r="J35" s="61"/>
      <c r="K35" s="74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</row>
    <row r="36" spans="1:25" ht="20.100000000000001" customHeight="1" x14ac:dyDescent="0.25">
      <c r="A36"/>
      <c r="D36" s="72"/>
      <c r="E36" s="72"/>
      <c r="F36" s="73"/>
      <c r="G36" s="61"/>
      <c r="H36" s="61"/>
      <c r="I36" s="62"/>
      <c r="J36" s="61"/>
      <c r="K36" s="74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</row>
    <row r="37" spans="1:25" ht="20.100000000000001" customHeight="1" x14ac:dyDescent="0.25">
      <c r="A37"/>
      <c r="D37" s="72"/>
      <c r="E37" s="72"/>
      <c r="F37" s="73"/>
      <c r="G37" s="61"/>
      <c r="H37" s="61"/>
      <c r="I37" s="62"/>
      <c r="J37" s="61"/>
      <c r="K37" s="74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</row>
    <row r="38" spans="1:25" ht="20.100000000000001" customHeight="1" x14ac:dyDescent="0.25">
      <c r="A38"/>
      <c r="D38" s="72"/>
      <c r="E38" s="72"/>
      <c r="F38" s="73"/>
      <c r="G38" s="61"/>
      <c r="H38" s="61"/>
      <c r="I38" s="62"/>
      <c r="J38" s="61"/>
      <c r="K38" s="74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</row>
    <row r="39" spans="1:25" ht="20.100000000000001" customHeight="1" x14ac:dyDescent="0.25">
      <c r="A39"/>
      <c r="D39" s="72"/>
      <c r="E39" s="72"/>
      <c r="F39" s="73"/>
      <c r="G39" s="61"/>
      <c r="H39" s="61"/>
      <c r="I39" s="62"/>
      <c r="J39" s="61"/>
      <c r="K39" s="74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</row>
    <row r="40" spans="1:25" ht="20.100000000000001" customHeight="1" x14ac:dyDescent="0.25">
      <c r="A40"/>
      <c r="D40" s="75"/>
      <c r="E40" s="75"/>
      <c r="F40" s="75"/>
      <c r="G40" s="76"/>
      <c r="H40" s="77"/>
      <c r="I40" s="77"/>
      <c r="J40" s="77"/>
      <c r="K40" s="77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</row>
    <row r="41" spans="1:25" ht="20.100000000000001" customHeight="1" x14ac:dyDescent="0.25">
      <c r="A41"/>
    </row>
    <row r="42" spans="1:25" ht="20.100000000000001" customHeight="1" x14ac:dyDescent="0.25">
      <c r="A42"/>
    </row>
    <row r="43" spans="1:25" ht="20.100000000000001" customHeight="1" x14ac:dyDescent="0.25">
      <c r="A43"/>
    </row>
    <row r="44" spans="1:25" ht="20.100000000000001" customHeight="1" x14ac:dyDescent="0.25"/>
    <row r="45" spans="1:25" ht="20.100000000000001" customHeight="1" x14ac:dyDescent="0.25">
      <c r="D45" s="6"/>
    </row>
    <row r="46" spans="1:25" ht="20.100000000000001" customHeight="1" x14ac:dyDescent="0.25">
      <c r="D46" s="6"/>
    </row>
    <row r="47" spans="1:25" ht="20.100000000000001" customHeight="1" x14ac:dyDescent="0.25">
      <c r="D47" s="78"/>
      <c r="E47" s="78"/>
      <c r="F47" s="78"/>
      <c r="G47" s="78"/>
      <c r="H47" s="78"/>
    </row>
    <row r="48" spans="1:25" ht="20.100000000000001" customHeight="1" x14ac:dyDescent="0.25">
      <c r="D48" s="34"/>
      <c r="E48" s="34"/>
      <c r="F48" s="35"/>
      <c r="G48" s="35"/>
      <c r="H48" s="34"/>
    </row>
    <row r="49" spans="4:8" ht="20.100000000000001" customHeight="1" x14ac:dyDescent="0.25">
      <c r="D49" s="34"/>
      <c r="E49" s="34"/>
      <c r="F49" s="35"/>
      <c r="G49" s="35"/>
      <c r="H49" s="34"/>
    </row>
    <row r="50" spans="4:8" ht="20.100000000000001" customHeight="1" x14ac:dyDescent="0.25">
      <c r="D50" s="34"/>
      <c r="E50" s="34"/>
      <c r="F50" s="35"/>
      <c r="G50" s="35"/>
      <c r="H50" s="34"/>
    </row>
    <row r="51" spans="4:8" ht="20.100000000000001" customHeight="1" x14ac:dyDescent="0.25">
      <c r="D51" s="79"/>
      <c r="E51" s="80"/>
      <c r="F51" s="80"/>
      <c r="G51" s="80"/>
      <c r="H51" s="81"/>
    </row>
    <row r="52" spans="4:8" ht="20.100000000000001" customHeight="1" x14ac:dyDescent="0.25"/>
    <row r="53" spans="4:8" ht="20.100000000000001" customHeight="1" x14ac:dyDescent="0.25"/>
    <row r="54" spans="4:8" ht="20.100000000000001" customHeight="1" x14ac:dyDescent="0.25">
      <c r="G54" s="82"/>
    </row>
    <row r="55" spans="4:8" ht="20.100000000000001" customHeight="1" x14ac:dyDescent="0.25">
      <c r="D55" s="6"/>
    </row>
    <row r="56" spans="4:8" ht="20.100000000000001" customHeight="1" x14ac:dyDescent="0.25"/>
    <row r="57" spans="4:8" ht="20.100000000000001" customHeight="1" x14ac:dyDescent="0.25">
      <c r="D57" s="21"/>
      <c r="F57" s="83"/>
    </row>
    <row r="58" spans="4:8" ht="20.100000000000001" customHeight="1" x14ac:dyDescent="0.25">
      <c r="D58" s="1"/>
      <c r="E58" s="84"/>
    </row>
    <row r="59" spans="4:8" ht="20.100000000000001" customHeight="1" x14ac:dyDescent="0.25">
      <c r="D59" s="1"/>
      <c r="E59" s="84"/>
    </row>
    <row r="60" spans="4:8" ht="20.100000000000001" customHeight="1" x14ac:dyDescent="0.25">
      <c r="D60" s="1"/>
      <c r="E60" s="85"/>
    </row>
    <row r="61" spans="4:8" ht="20.100000000000001" customHeight="1" x14ac:dyDescent="0.25">
      <c r="D61" s="1"/>
    </row>
    <row r="62" spans="4:8" ht="20.100000000000001" customHeight="1" x14ac:dyDescent="0.25"/>
    <row r="63" spans="4:8" ht="20.100000000000001" customHeight="1" x14ac:dyDescent="0.25">
      <c r="D63" s="21"/>
    </row>
    <row r="64" spans="4:8" ht="20.100000000000001" customHeight="1" x14ac:dyDescent="0.25">
      <c r="D64" s="1"/>
      <c r="E64" s="84"/>
    </row>
    <row r="65" spans="4:9" ht="20.100000000000001" customHeight="1" x14ac:dyDescent="0.25">
      <c r="D65" s="1"/>
      <c r="E65" s="84"/>
    </row>
    <row r="66" spans="4:9" ht="20.100000000000001" customHeight="1" x14ac:dyDescent="0.25">
      <c r="D66" s="1"/>
      <c r="E66" s="85"/>
    </row>
    <row r="67" spans="4:9" ht="20.100000000000001" customHeight="1" x14ac:dyDescent="0.25"/>
    <row r="68" spans="4:9" ht="20.100000000000001" customHeight="1" x14ac:dyDescent="0.25"/>
    <row r="69" spans="4:9" ht="20.100000000000001" customHeight="1" x14ac:dyDescent="0.25">
      <c r="D69" s="60"/>
      <c r="E69" s="60"/>
      <c r="F69" s="60"/>
      <c r="G69" s="60"/>
      <c r="H69" s="60"/>
      <c r="I69" s="60"/>
    </row>
    <row r="70" spans="4:9" ht="20.100000000000001" customHeight="1" x14ac:dyDescent="0.25">
      <c r="D70" s="60"/>
      <c r="E70" s="60"/>
      <c r="F70" s="60"/>
      <c r="G70" s="60"/>
      <c r="H70" s="60"/>
      <c r="I70" s="60"/>
    </row>
    <row r="71" spans="4:9" ht="20.100000000000001" customHeight="1" x14ac:dyDescent="0.25">
      <c r="D71" s="60"/>
      <c r="E71" s="60"/>
      <c r="F71" s="60"/>
      <c r="G71" s="60"/>
      <c r="H71" s="60"/>
      <c r="I71" s="60"/>
    </row>
    <row r="72" spans="4:9" ht="20.100000000000001" customHeight="1" x14ac:dyDescent="0.25">
      <c r="D72" s="60"/>
      <c r="E72" s="60"/>
      <c r="F72" s="60"/>
      <c r="G72" s="60"/>
      <c r="H72" s="60"/>
      <c r="I72" s="60"/>
    </row>
    <row r="73" spans="4:9" ht="20.100000000000001" customHeight="1" x14ac:dyDescent="0.25"/>
    <row r="74" spans="4:9" ht="20.100000000000001" customHeight="1" x14ac:dyDescent="0.25"/>
    <row r="75" spans="4:9" ht="20.100000000000001" customHeight="1" x14ac:dyDescent="0.25"/>
    <row r="76" spans="4:9" ht="20.100000000000001" customHeight="1" x14ac:dyDescent="0.25"/>
    <row r="77" spans="4:9" ht="20.100000000000001" customHeight="1" x14ac:dyDescent="0.25"/>
    <row r="78" spans="4:9" ht="20.100000000000001" customHeight="1" x14ac:dyDescent="0.25">
      <c r="D78" s="86"/>
    </row>
    <row r="79" spans="4:9" ht="20.100000000000001" customHeight="1" x14ac:dyDescent="0.25">
      <c r="D79" s="86"/>
    </row>
    <row r="80" spans="4:9" ht="20.100000000000001" customHeight="1" x14ac:dyDescent="0.25">
      <c r="D80" s="86"/>
    </row>
    <row r="81" spans="4:4" ht="20.100000000000001" customHeight="1" x14ac:dyDescent="0.25">
      <c r="D81" s="86"/>
    </row>
    <row r="82" spans="4:4" ht="20.100000000000001" customHeight="1" x14ac:dyDescent="0.25">
      <c r="D82" s="86"/>
    </row>
    <row r="83" spans="4:4" ht="20.100000000000001" customHeight="1" x14ac:dyDescent="0.25"/>
    <row r="84" spans="4:4" ht="20.100000000000001" customHeight="1" x14ac:dyDescent="0.25"/>
    <row r="85" spans="4:4" ht="20.100000000000001" customHeight="1" x14ac:dyDescent="0.25"/>
    <row r="86" spans="4:4" ht="20.100000000000001" customHeight="1" x14ac:dyDescent="0.25"/>
    <row r="87" spans="4:4" ht="20.100000000000001" customHeight="1" x14ac:dyDescent="0.25"/>
    <row r="88" spans="4:4" ht="20.100000000000001" customHeight="1" x14ac:dyDescent="0.25"/>
    <row r="89" spans="4:4" ht="20.100000000000001" customHeight="1" x14ac:dyDescent="0.25"/>
    <row r="90" spans="4:4" ht="20.100000000000001" customHeight="1" x14ac:dyDescent="0.25"/>
    <row r="91" spans="4:4" ht="20.100000000000001" customHeight="1" x14ac:dyDescent="0.25"/>
    <row r="92" spans="4:4" ht="20.100000000000001" customHeight="1" x14ac:dyDescent="0.25"/>
    <row r="93" spans="4:4" ht="20.100000000000001" customHeight="1" x14ac:dyDescent="0.25"/>
    <row r="94" spans="4:4" ht="20.100000000000001" customHeight="1" x14ac:dyDescent="0.25"/>
    <row r="95" spans="4:4" ht="20.100000000000001" customHeight="1" x14ac:dyDescent="0.25"/>
    <row r="96" spans="4:4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</sheetData>
  <phoneticPr fontId="23" type="noConversion"/>
  <dataValidations count="4">
    <dataValidation type="list" allowBlank="1" showInputMessage="1" showErrorMessage="1" sqref="E21" xr:uid="{EEB98A76-93AC-411B-869F-680047BF5E1B}">
      <formula1>INDIRECT("Table_AustralianStates[Common Name]")</formula1>
    </dataValidation>
    <dataValidation type="list" allowBlank="1" showInputMessage="1" showErrorMessage="1" sqref="E22" xr:uid="{FEE229DB-9316-4962-B647-60038C54E99D}">
      <formula1>INDIRECT("Table_WASA4Areas[SA 4 Name]")</formula1>
    </dataValidation>
    <dataValidation type="list" allowBlank="1" showInputMessage="1" showErrorMessage="1" sqref="G36:G39" xr:uid="{1FAF98F1-BA66-4A46-872C-02D4419DFE3B}">
      <formula1>$D$41:$D$43</formula1>
    </dataValidation>
    <dataValidation type="list" allowBlank="1" showInputMessage="1" showErrorMessage="1" sqref="E23" xr:uid="{43B32D4A-5C2C-46E9-876B-6F8FA150486E}">
      <formula1>"YES - In leaching zone, NO - Not in leaching zone"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10A2-02A7-4F78-A2BB-B4DFE856D1FB}">
  <dimension ref="A1:Y356"/>
  <sheetViews>
    <sheetView showGridLines="0" topLeftCell="A5" zoomScale="85" zoomScaleNormal="85" workbookViewId="0">
      <selection activeCell="E11" sqref="E11:K11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4" width="67.42578125" style="1" customWidth="1"/>
    <col min="5" max="11" width="30.7109375" style="1" customWidth="1"/>
    <col min="12" max="12" width="19.140625" style="1" customWidth="1"/>
    <col min="13" max="15" width="30.7109375" style="1" customWidth="1"/>
    <col min="16" max="16" width="4.7109375" style="1" customWidth="1"/>
    <col min="17" max="18" width="4.7109375" style="56" customWidth="1"/>
    <col min="19" max="24" width="30.7109375" style="56" customWidth="1"/>
    <col min="25" max="25" width="4.7109375" style="56" customWidth="1"/>
  </cols>
  <sheetData>
    <row r="1" spans="1:25" s="68" customFormat="1" ht="30" customHeight="1" x14ac:dyDescent="0.35">
      <c r="A1" s="68" t="e" vm="1">
        <v>#VALUE!</v>
      </c>
      <c r="C1" s="68" t="s">
        <v>219</v>
      </c>
      <c r="Q1" s="56"/>
      <c r="R1" s="56"/>
      <c r="S1" s="56"/>
      <c r="T1" s="56"/>
      <c r="U1" s="56"/>
      <c r="V1" s="56"/>
      <c r="W1" s="56"/>
      <c r="X1" s="56"/>
      <c r="Y1" s="56"/>
    </row>
    <row r="2" spans="1:25" s="9" customFormat="1" ht="20.100000000000001" customHeight="1" x14ac:dyDescent="0.25">
      <c r="Q2" s="56"/>
      <c r="R2" s="56"/>
      <c r="S2" s="56"/>
      <c r="T2" s="56"/>
      <c r="U2" s="56"/>
      <c r="V2" s="56"/>
      <c r="W2" s="56"/>
      <c r="X2" s="56"/>
      <c r="Y2" s="56"/>
    </row>
    <row r="3" spans="1:25" ht="20.100000000000001" customHeight="1" x14ac:dyDescent="0.25">
      <c r="A3" s="17" t="str">
        <f>HYPERLINK("#'Home'!A1", "Home")</f>
        <v>Home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spans="1:25" ht="20.100000000000001" customHeight="1" x14ac:dyDescent="0.25">
      <c r="A4" s="17" t="str">
        <f>HYPERLINK("#'Results'!A1", "Results")</f>
        <v>Results</v>
      </c>
    </row>
    <row r="5" spans="1:25" ht="20.100000000000001" customHeight="1" x14ac:dyDescent="0.25">
      <c r="A5" s="16"/>
      <c r="D5" s="96" t="s">
        <v>331</v>
      </c>
      <c r="E5" s="91"/>
      <c r="F5" s="91"/>
      <c r="G5" s="91"/>
      <c r="H5" s="87"/>
      <c r="P5" s="3"/>
      <c r="T5" s="7"/>
    </row>
    <row r="6" spans="1:25" ht="20.100000000000001" customHeight="1" x14ac:dyDescent="0.25">
      <c r="A6" s="20" t="s">
        <v>3</v>
      </c>
      <c r="D6" s="93" t="s">
        <v>332</v>
      </c>
      <c r="E6" s="90"/>
      <c r="F6" s="90"/>
      <c r="G6" s="88"/>
      <c r="H6" s="118"/>
      <c r="P6" s="3"/>
      <c r="T6" s="7"/>
    </row>
    <row r="7" spans="1:25" ht="20.100000000000001" customHeight="1" x14ac:dyDescent="0.25">
      <c r="A7" s="17" t="str">
        <f>HYPERLINK("#'Input - Site'!A1", "Site")</f>
        <v>Site</v>
      </c>
      <c r="P7" s="3"/>
      <c r="T7" s="7"/>
    </row>
    <row r="8" spans="1:25" ht="20.100000000000001" customHeight="1" x14ac:dyDescent="0.25">
      <c r="A8" s="17" t="str">
        <f>HYPERLINK("#'Input - Swine'!A1", "Swine")</f>
        <v>Swine</v>
      </c>
      <c r="M8" s="2"/>
      <c r="P8" s="3"/>
      <c r="T8" s="7"/>
    </row>
    <row r="9" spans="1:25" ht="20.100000000000001" customHeight="1" x14ac:dyDescent="0.25">
      <c r="A9" s="17"/>
      <c r="E9" s="119" t="s">
        <v>222</v>
      </c>
      <c r="F9" s="119" t="s">
        <v>223</v>
      </c>
      <c r="G9" s="119" t="s">
        <v>224</v>
      </c>
      <c r="H9" s="119" t="s">
        <v>225</v>
      </c>
      <c r="I9" s="119" t="s">
        <v>226</v>
      </c>
      <c r="J9" s="119" t="s">
        <v>227</v>
      </c>
      <c r="K9" s="119" t="s">
        <v>228</v>
      </c>
      <c r="T9" s="7"/>
    </row>
    <row r="10" spans="1:25" ht="20.100000000000001" customHeight="1" x14ac:dyDescent="0.25">
      <c r="A10" s="19" t="s">
        <v>76</v>
      </c>
      <c r="D10" s="48" t="str">
        <f>"Average duration of stay between " &amp; TEXT('Input - Site'!$E$12, "dd mmm yy") &amp; " and " &amp; TEXT('Input - Site'!$E$13, "dd mmm yy")</f>
        <v>Average duration of stay between 01 Jan 24 and 31 Dec 24</v>
      </c>
      <c r="E10" s="66">
        <v>365</v>
      </c>
      <c r="F10" s="66">
        <v>365</v>
      </c>
      <c r="G10" s="66">
        <v>365</v>
      </c>
      <c r="H10" s="66">
        <v>365</v>
      </c>
      <c r="I10" s="66">
        <v>365</v>
      </c>
      <c r="J10" s="66">
        <v>365</v>
      </c>
      <c r="K10" s="66">
        <v>365</v>
      </c>
      <c r="L10" s="2" t="s">
        <v>54</v>
      </c>
      <c r="T10" s="7"/>
    </row>
    <row r="11" spans="1:25" ht="20.100000000000001" customHeight="1" x14ac:dyDescent="0.25">
      <c r="A11" s="17" t="str">
        <f>HYPERLINK("#'4.2.1.1-2 Methane'!A1", "4.2.1.1-2 Methane")</f>
        <v>4.2.1.1-2 Methane</v>
      </c>
      <c r="D11" s="48" t="str">
        <f>"Average number of head between " &amp; TEXT('Input - Site'!$E$12, "dd mmm yy") &amp; " and " &amp; TEXT('Input - Site'!$E$13, "dd mmm yy")</f>
        <v>Average number of head between 01 Jan 24 and 31 Dec 24</v>
      </c>
      <c r="E11" s="66">
        <v>100</v>
      </c>
      <c r="F11" s="66">
        <v>100</v>
      </c>
      <c r="G11" s="66">
        <v>100</v>
      </c>
      <c r="H11" s="66">
        <v>100</v>
      </c>
      <c r="I11" s="66">
        <v>100</v>
      </c>
      <c r="J11" s="66">
        <v>100</v>
      </c>
      <c r="K11" s="66">
        <v>100</v>
      </c>
      <c r="L11" s="2" t="s">
        <v>101</v>
      </c>
      <c r="T11" s="7"/>
    </row>
    <row r="12" spans="1:25" ht="20.100000000000001" customHeight="1" x14ac:dyDescent="0.25">
      <c r="A12" s="17" t="str">
        <f>HYPERLINK("#'4.2.1.3-4 Soil direct N2O'!A1", "4.2.1.3-4 Soil direct N2O")</f>
        <v>4.2.1.3-4 Soil direct N2O</v>
      </c>
      <c r="T12" s="7"/>
    </row>
    <row r="13" spans="1:25" ht="20.100000000000001" customHeight="1" x14ac:dyDescent="0.25">
      <c r="A13" s="17" t="str">
        <f>HYPERLINK("#'4.2.1.5-6 Soil Atmos Dep'!A1", "4.2.1.5-6 Soil atm. deposition")</f>
        <v>4.2.1.5-6 Soil atm. deposition</v>
      </c>
      <c r="D13" s="6" t="s">
        <v>221</v>
      </c>
      <c r="T13" s="38"/>
    </row>
    <row r="14" spans="1:25" ht="20.100000000000001" customHeight="1" x14ac:dyDescent="0.25">
      <c r="A14" s="17" t="str">
        <f>HYPERLINK("#'4.2.1.7-8 Soil leach runoff'!A1", "4.2.1.7-8 Soil leach &amp; runoff")</f>
        <v>4.2.1.7-8 Soil leach &amp; runoff</v>
      </c>
      <c r="T14" s="38"/>
    </row>
    <row r="15" spans="1:25" ht="20.100000000000001" customHeight="1" x14ac:dyDescent="0.25">
      <c r="A15" s="17"/>
      <c r="D15" s="63" t="s">
        <v>351</v>
      </c>
      <c r="E15" s="119" t="s">
        <v>222</v>
      </c>
      <c r="F15" s="119" t="s">
        <v>223</v>
      </c>
      <c r="G15" s="119" t="s">
        <v>224</v>
      </c>
      <c r="H15" s="119" t="s">
        <v>225</v>
      </c>
      <c r="I15" s="119" t="s">
        <v>226</v>
      </c>
      <c r="J15" s="119" t="s">
        <v>227</v>
      </c>
      <c r="K15" s="119" t="s">
        <v>228</v>
      </c>
      <c r="T15" s="38"/>
    </row>
    <row r="16" spans="1:25" ht="20.100000000000001" customHeight="1" x14ac:dyDescent="0.25">
      <c r="A16" s="18" t="s">
        <v>4</v>
      </c>
      <c r="D16" s="1" t="s">
        <v>229</v>
      </c>
      <c r="E16" s="52" cm="1">
        <f t="array" ref="E16">Common_InputFunctions.Utility_LookupValueInTableNumber(E15, Table_SourceData_Swine_VolatileSolids[Class], Table_SourceData_Swine_VolatileSolids[VSj])</f>
        <v>0.4</v>
      </c>
      <c r="F16" s="52" cm="1">
        <f t="array" ref="F16">Common_InputFunctions.Utility_LookupValueInTableNumber(F15, Table_SourceData_Swine_VolatileSolids[Class], Table_SourceData_Swine_VolatileSolids[VSj])</f>
        <v>0.46</v>
      </c>
      <c r="G16" s="52" cm="1">
        <f t="array" ref="G16">Common_InputFunctions.Utility_LookupValueInTableNumber(G15, Table_SourceData_Swine_VolatileSolids[Class], Table_SourceData_Swine_VolatileSolids[VSj])</f>
        <v>0.55000000000000004</v>
      </c>
      <c r="H16" s="52" cm="1">
        <f t="array" ref="H16">Common_InputFunctions.Utility_LookupValueInTableNumber(H15, Table_SourceData_Swine_VolatileSolids[Class], Table_SourceData_Swine_VolatileSolids[VSj])</f>
        <v>0.39</v>
      </c>
      <c r="I16" s="52" cm="1">
        <f t="array" ref="I16">Common_InputFunctions.Utility_LookupValueInTableNumber(I15, Table_SourceData_Swine_VolatileSolids[Class], Table_SourceData_Swine_VolatileSolids[VSj])</f>
        <v>0.39</v>
      </c>
      <c r="J16" s="52" cm="1">
        <f t="array" ref="J16">Common_InputFunctions.Utility_LookupValueInTableNumber(J15, Table_SourceData_Swine_VolatileSolids[Class], Table_SourceData_Swine_VolatileSolids[VSj])</f>
        <v>0.39</v>
      </c>
      <c r="K16" s="52" cm="1">
        <f t="array" ref="K16">Common_InputFunctions.Utility_LookupValueInTableNumber(K15, Table_SourceData_Swine_VolatileSolids[Class], Table_SourceData_Swine_VolatileSolids[VSj])</f>
        <v>0.39</v>
      </c>
      <c r="L16" s="2" t="s">
        <v>121</v>
      </c>
      <c r="T16" s="38"/>
    </row>
    <row r="17" spans="1:20" ht="20.100000000000001" customHeight="1" x14ac:dyDescent="0.25">
      <c r="A17" s="17" t="str">
        <f>HYPERLINK("#'Constants - Swine'!A1", "Constants - Swine")</f>
        <v>Constants - Swine</v>
      </c>
      <c r="D17" s="1" t="s">
        <v>230</v>
      </c>
      <c r="E17" s="52"/>
      <c r="F17" s="52"/>
      <c r="G17" s="52"/>
      <c r="H17" s="52"/>
      <c r="I17" s="52"/>
      <c r="J17" s="52"/>
      <c r="K17" s="52"/>
      <c r="L17" s="2" t="s">
        <v>231</v>
      </c>
      <c r="T17" s="7"/>
    </row>
    <row r="18" spans="1:20" ht="20.100000000000001" customHeight="1" x14ac:dyDescent="0.25">
      <c r="A18" s="17" t="str">
        <f>HYPERLINK("#'Constants - Livestock'!A1", "Constants - Livestock")</f>
        <v>Constants - Livestock</v>
      </c>
      <c r="M18" s="2"/>
      <c r="T18" s="7"/>
    </row>
    <row r="19" spans="1:20" ht="20.100000000000001" customHeight="1" x14ac:dyDescent="0.25">
      <c r="A19" s="17" t="str">
        <f>HYPERLINK("#'Constants - Common'!A1", "Constants - Common")</f>
        <v>Constants - Common</v>
      </c>
      <c r="D19" s="63" t="s">
        <v>352</v>
      </c>
      <c r="E19" s="119" t="s">
        <v>222</v>
      </c>
      <c r="F19" s="119" t="s">
        <v>223</v>
      </c>
      <c r="G19" s="119" t="s">
        <v>224</v>
      </c>
      <c r="H19" s="119" t="s">
        <v>225</v>
      </c>
      <c r="I19" s="119" t="s">
        <v>226</v>
      </c>
      <c r="J19" s="119" t="s">
        <v>227</v>
      </c>
      <c r="K19" s="119" t="s">
        <v>228</v>
      </c>
      <c r="T19" s="7"/>
    </row>
    <row r="20" spans="1:20" ht="20.100000000000001" customHeight="1" x14ac:dyDescent="0.25">
      <c r="A20" s="17" t="str">
        <f>HYPERLINK("#'Acknowledgements'!A1", "Acknowledgements")</f>
        <v>Acknowledgements</v>
      </c>
      <c r="D20" s="1" t="s">
        <v>229</v>
      </c>
      <c r="E20" s="66" cm="1">
        <f t="array" ref="E20">Common_InputFunctions.Utility_LookupValueInTableNumber(E19, Table_SourceData_Swine_VolatileSolids[Class], Table_SourceData_Swine_VolatileSolids[VSj])</f>
        <v>0.4</v>
      </c>
      <c r="F20" s="66" cm="1">
        <f t="array" ref="F20">Common_InputFunctions.Utility_LookupValueInTableNumber(F19, Table_SourceData_Swine_VolatileSolids[Class], Table_SourceData_Swine_VolatileSolids[VSj])</f>
        <v>0.46</v>
      </c>
      <c r="G20" s="66" cm="1">
        <f t="array" ref="G20">Common_InputFunctions.Utility_LookupValueInTableNumber(G19, Table_SourceData_Swine_VolatileSolids[Class], Table_SourceData_Swine_VolatileSolids[VSj])</f>
        <v>0.55000000000000004</v>
      </c>
      <c r="H20" s="66" cm="1">
        <f t="array" ref="H20">Common_InputFunctions.Utility_LookupValueInTableNumber(H19, Table_SourceData_Swine_VolatileSolids[Class], Table_SourceData_Swine_VolatileSolids[VSj])</f>
        <v>0.39</v>
      </c>
      <c r="I20" s="66" cm="1">
        <f t="array" ref="I20">Common_InputFunctions.Utility_LookupValueInTableNumber(I19, Table_SourceData_Swine_VolatileSolids[Class], Table_SourceData_Swine_VolatileSolids[VSj])</f>
        <v>0.39</v>
      </c>
      <c r="J20" s="66" cm="1">
        <f t="array" ref="J20">Common_InputFunctions.Utility_LookupValueInTableNumber(J19, Table_SourceData_Swine_VolatileSolids[Class], Table_SourceData_Swine_VolatileSolids[VSj])</f>
        <v>0.39</v>
      </c>
      <c r="K20" s="66" cm="1">
        <f t="array" ref="K20">Common_InputFunctions.Utility_LookupValueInTableNumber(K19, Table_SourceData_Swine_VolatileSolids[Class], Table_SourceData_Swine_VolatileSolids[VSj])</f>
        <v>0.39</v>
      </c>
      <c r="L20" s="2" t="s">
        <v>121</v>
      </c>
      <c r="T20" s="7"/>
    </row>
    <row r="21" spans="1:20" ht="20.100000000000001" customHeight="1" x14ac:dyDescent="0.25">
      <c r="D21" s="1" t="s">
        <v>230</v>
      </c>
      <c r="E21" s="66"/>
      <c r="F21" s="66"/>
      <c r="G21" s="66"/>
      <c r="H21" s="66"/>
      <c r="I21" s="66"/>
      <c r="J21" s="66"/>
      <c r="K21" s="66"/>
      <c r="L21" s="2" t="s">
        <v>231</v>
      </c>
      <c r="T21" s="7"/>
    </row>
    <row r="22" spans="1:20" ht="20.100000000000001" customHeight="1" x14ac:dyDescent="0.25">
      <c r="A22" s="17"/>
      <c r="T22" s="7"/>
    </row>
    <row r="23" spans="1:20" ht="20.100000000000001" customHeight="1" x14ac:dyDescent="0.25">
      <c r="A23" s="17"/>
      <c r="M23" s="2"/>
      <c r="T23" s="7"/>
    </row>
    <row r="24" spans="1:20" ht="20.100000000000001" customHeight="1" x14ac:dyDescent="0.25">
      <c r="A24" s="17"/>
      <c r="D24" s="6" t="s">
        <v>323</v>
      </c>
      <c r="T24" s="7"/>
    </row>
    <row r="25" spans="1:20" ht="20.100000000000001" customHeight="1" x14ac:dyDescent="0.25">
      <c r="T25" s="7"/>
    </row>
    <row r="26" spans="1:20" ht="20.100000000000001" customHeight="1" x14ac:dyDescent="0.25">
      <c r="A26" s="17"/>
      <c r="D26" s="1" t="s">
        <v>113</v>
      </c>
      <c r="E26" s="39" t="s">
        <v>232</v>
      </c>
      <c r="F26" s="2" t="s">
        <v>11</v>
      </c>
      <c r="T26" s="7"/>
    </row>
    <row r="27" spans="1:20" ht="20.100000000000001" customHeight="1" x14ac:dyDescent="0.25">
      <c r="A27" s="17"/>
      <c r="T27" s="7"/>
    </row>
    <row r="28" spans="1:20" ht="20.100000000000001" customHeight="1" x14ac:dyDescent="0.25">
      <c r="A28" s="17"/>
      <c r="D28" s="63" t="s">
        <v>324</v>
      </c>
      <c r="E28" s="119" t="s">
        <v>222</v>
      </c>
      <c r="F28" s="119" t="s">
        <v>223</v>
      </c>
      <c r="G28" s="119" t="s">
        <v>224</v>
      </c>
      <c r="H28" s="119" t="s">
        <v>225</v>
      </c>
      <c r="I28" s="119" t="s">
        <v>226</v>
      </c>
      <c r="J28" s="119" t="s">
        <v>227</v>
      </c>
      <c r="K28" s="119" t="s">
        <v>228</v>
      </c>
      <c r="T28" s="7"/>
    </row>
    <row r="29" spans="1:20" ht="20.100000000000001" customHeight="1" x14ac:dyDescent="0.25">
      <c r="A29" s="17"/>
      <c r="D29" s="128" t="str">
        <f>'Constants - Swine'!$G$41</f>
        <v>Anaerobic lagoon</v>
      </c>
      <c r="E29" s="46">
        <v>0.15</v>
      </c>
      <c r="F29" s="46">
        <v>0.15</v>
      </c>
      <c r="G29" s="46">
        <v>0.15</v>
      </c>
      <c r="H29" s="46">
        <v>0.15</v>
      </c>
      <c r="I29" s="46">
        <v>0.15</v>
      </c>
      <c r="J29" s="46">
        <v>0.15</v>
      </c>
      <c r="K29" s="46">
        <v>0.15</v>
      </c>
      <c r="L29" s="2" t="s">
        <v>18</v>
      </c>
      <c r="T29" s="7"/>
    </row>
    <row r="30" spans="1:20" ht="20.100000000000001" customHeight="1" x14ac:dyDescent="0.25">
      <c r="A30" s="17"/>
      <c r="D30" s="128" t="str">
        <f>'Constants - Swine'!$G$42</f>
        <v>Drylot (feed pad)</v>
      </c>
      <c r="E30" s="46">
        <v>0.15</v>
      </c>
      <c r="F30" s="46">
        <v>0.15</v>
      </c>
      <c r="G30" s="46">
        <v>0.15</v>
      </c>
      <c r="H30" s="46">
        <v>0.15</v>
      </c>
      <c r="I30" s="46">
        <v>0.15</v>
      </c>
      <c r="J30" s="46">
        <v>0.15</v>
      </c>
      <c r="K30" s="46">
        <v>0.15</v>
      </c>
      <c r="L30" s="2" t="s">
        <v>18</v>
      </c>
      <c r="T30" s="7"/>
    </row>
    <row r="31" spans="1:20" ht="20.100000000000001" customHeight="1" x14ac:dyDescent="0.25">
      <c r="A31" s="67"/>
      <c r="D31" s="128" t="str">
        <f>'Constants - Swine'!$G$43</f>
        <v>Digester / covered lagoons</v>
      </c>
      <c r="E31" s="46">
        <v>0.15</v>
      </c>
      <c r="F31" s="46">
        <v>0.15</v>
      </c>
      <c r="G31" s="46">
        <v>0.15</v>
      </c>
      <c r="H31" s="46">
        <v>0.15</v>
      </c>
      <c r="I31" s="46">
        <v>0.15</v>
      </c>
      <c r="J31" s="46">
        <v>0.15</v>
      </c>
      <c r="K31" s="46">
        <v>0.15</v>
      </c>
      <c r="L31" s="2" t="s">
        <v>18</v>
      </c>
      <c r="T31" s="7"/>
    </row>
    <row r="32" spans="1:20" ht="20.100000000000001" customHeight="1" x14ac:dyDescent="0.25">
      <c r="A32" s="67"/>
      <c r="D32" s="128" t="str">
        <f>'Constants - Swine'!$G$44</f>
        <v>Deep litter</v>
      </c>
      <c r="E32" s="46">
        <v>0.15</v>
      </c>
      <c r="F32" s="46">
        <v>0.15</v>
      </c>
      <c r="G32" s="46">
        <v>0.15</v>
      </c>
      <c r="H32" s="46">
        <v>0.15</v>
      </c>
      <c r="I32" s="46">
        <v>0.15</v>
      </c>
      <c r="J32" s="46">
        <v>0.15</v>
      </c>
      <c r="K32" s="46">
        <v>0.15</v>
      </c>
      <c r="L32" s="2" t="s">
        <v>18</v>
      </c>
      <c r="T32" s="7"/>
    </row>
    <row r="33" spans="1:20" ht="20.100000000000001" customHeight="1" x14ac:dyDescent="0.25">
      <c r="A33" s="17"/>
      <c r="D33" s="128" t="str">
        <f>'Constants - Swine'!$G$45</f>
        <v>Pit storage</v>
      </c>
      <c r="E33" s="46">
        <v>0.15</v>
      </c>
      <c r="F33" s="46">
        <v>0.15</v>
      </c>
      <c r="G33" s="46">
        <v>0.15</v>
      </c>
      <c r="H33" s="46">
        <v>0.15</v>
      </c>
      <c r="I33" s="46">
        <v>0.15</v>
      </c>
      <c r="J33" s="46">
        <v>0.15</v>
      </c>
      <c r="K33" s="46">
        <v>0.15</v>
      </c>
      <c r="L33" s="2" t="s">
        <v>18</v>
      </c>
      <c r="T33" s="7"/>
    </row>
    <row r="34" spans="1:20" ht="20.100000000000001" customHeight="1" x14ac:dyDescent="0.25">
      <c r="D34" s="128" t="s">
        <v>233</v>
      </c>
      <c r="E34" s="46">
        <v>0.25</v>
      </c>
      <c r="F34" s="46">
        <v>0.25</v>
      </c>
      <c r="G34" s="46">
        <v>0.25</v>
      </c>
      <c r="H34" s="46">
        <v>0.25</v>
      </c>
      <c r="I34" s="46">
        <v>0.25</v>
      </c>
      <c r="J34" s="46">
        <v>0.25</v>
      </c>
      <c r="K34" s="46">
        <v>0.25</v>
      </c>
      <c r="L34" s="2" t="s">
        <v>18</v>
      </c>
      <c r="T34" s="7"/>
    </row>
    <row r="35" spans="1:20" ht="20.100000000000001" customHeight="1" x14ac:dyDescent="0.25">
      <c r="D35" s="127" t="s">
        <v>325</v>
      </c>
      <c r="E35" s="97">
        <f>SUM(E29,E30,E31,E32,E33,E34)</f>
        <v>1</v>
      </c>
      <c r="F35" s="97">
        <f>SUM(F29,F30,F31,F32,F33,F34)</f>
        <v>1</v>
      </c>
      <c r="G35" s="97">
        <f>SUM(G29,G30,G31,G32,G33,G34)</f>
        <v>1</v>
      </c>
      <c r="H35" s="97">
        <f>SUM(H29,H30,H31,H32,H33,H34)</f>
        <v>1</v>
      </c>
      <c r="I35" s="97">
        <f>SUM(I29,I30,I31,I32,I33,I34)</f>
        <v>1</v>
      </c>
      <c r="J35" s="97">
        <f>SUM(J29,J30,J31,J32,J33,J34)</f>
        <v>1</v>
      </c>
      <c r="K35" s="97">
        <f>SUM(K29,K30,K31,K32,K33,K34)</f>
        <v>1</v>
      </c>
      <c r="T35" s="7"/>
    </row>
    <row r="36" spans="1:20" ht="20.100000000000001" customHeight="1" x14ac:dyDescent="0.25">
      <c r="T36" s="7"/>
    </row>
    <row r="37" spans="1:20" ht="20.100000000000001" customHeight="1" x14ac:dyDescent="0.25">
      <c r="D37" s="137" t="s">
        <v>338</v>
      </c>
      <c r="T37" s="7"/>
    </row>
    <row r="38" spans="1:20" ht="20.100000000000001" customHeight="1" x14ac:dyDescent="0.25">
      <c r="D38" s="130" t="s">
        <v>327</v>
      </c>
      <c r="E38" s="119" t="s">
        <v>328</v>
      </c>
      <c r="F38" s="119" t="s">
        <v>329</v>
      </c>
      <c r="G38" s="119" t="s">
        <v>330</v>
      </c>
      <c r="T38" s="7"/>
    </row>
    <row r="39" spans="1:20" ht="20.100000000000001" customHeight="1" x14ac:dyDescent="0.25">
      <c r="A39" s="17"/>
      <c r="D39" s="129" t="str">
        <f>"Solids separated from " &amp; $D$29</f>
        <v>Solids separated from Anaerobic lagoon</v>
      </c>
      <c r="E39" s="39" t="s">
        <v>234</v>
      </c>
      <c r="F39" s="97">
        <v>0.2</v>
      </c>
      <c r="G39" s="46">
        <v>0.2</v>
      </c>
      <c r="T39" s="7"/>
    </row>
    <row r="40" spans="1:20" ht="20.100000000000001" customHeight="1" x14ac:dyDescent="0.25">
      <c r="D40" s="129" t="str">
        <f>"Solids separated from " &amp; $D$30</f>
        <v>Solids separated from Drylot (feed pad)</v>
      </c>
      <c r="E40" s="39" t="s">
        <v>234</v>
      </c>
      <c r="F40" s="97">
        <v>0.2</v>
      </c>
      <c r="G40" s="46">
        <v>0.2</v>
      </c>
      <c r="T40" s="7"/>
    </row>
    <row r="41" spans="1:20" ht="20.100000000000001" customHeight="1" x14ac:dyDescent="0.25">
      <c r="A41" s="44"/>
      <c r="D41" s="129" t="str">
        <f>"Solids separated from " &amp; $D$31</f>
        <v>Solids separated from Digester / covered lagoons</v>
      </c>
      <c r="E41" s="39" t="s">
        <v>234</v>
      </c>
      <c r="F41" s="97">
        <v>0.2</v>
      </c>
      <c r="G41" s="46">
        <v>0.2</v>
      </c>
      <c r="T41" s="7"/>
    </row>
    <row r="42" spans="1:20" ht="20.100000000000001" customHeight="1" x14ac:dyDescent="0.25">
      <c r="D42" s="129" t="str">
        <f>"Solids separated from " &amp; $D$32</f>
        <v>Solids separated from Deep litter</v>
      </c>
      <c r="E42" s="39" t="s">
        <v>234</v>
      </c>
      <c r="F42" s="97">
        <v>0.2</v>
      </c>
      <c r="G42" s="46">
        <v>0.2</v>
      </c>
      <c r="T42" s="7"/>
    </row>
    <row r="43" spans="1:20" ht="20.100000000000001" customHeight="1" x14ac:dyDescent="0.25">
      <c r="D43" s="129" t="str">
        <f>"Solids separated from " &amp; $D$33</f>
        <v>Solids separated from Pit storage</v>
      </c>
      <c r="E43" s="39" t="s">
        <v>234</v>
      </c>
      <c r="F43" s="97">
        <v>0.2</v>
      </c>
      <c r="G43" s="46">
        <v>0.2</v>
      </c>
      <c r="T43" s="7"/>
    </row>
    <row r="44" spans="1:20" ht="20.100000000000001" customHeight="1" x14ac:dyDescent="0.25">
      <c r="D44" s="127"/>
      <c r="F44" s="2"/>
      <c r="T44" s="7"/>
    </row>
    <row r="45" spans="1:20" ht="20.100000000000001" customHeight="1" x14ac:dyDescent="0.25">
      <c r="D45" s="136" t="s">
        <v>338</v>
      </c>
      <c r="T45" s="7"/>
    </row>
    <row r="46" spans="1:20" ht="20.100000000000001" customHeight="1" x14ac:dyDescent="0.25">
      <c r="D46" s="132" t="s">
        <v>326</v>
      </c>
      <c r="E46" s="131" t="s">
        <v>222</v>
      </c>
      <c r="F46" s="131" t="s">
        <v>223</v>
      </c>
      <c r="G46" s="131" t="s">
        <v>224</v>
      </c>
      <c r="H46" s="131" t="s">
        <v>225</v>
      </c>
      <c r="I46" s="131" t="s">
        <v>226</v>
      </c>
      <c r="J46" s="131" t="s">
        <v>227</v>
      </c>
      <c r="K46" s="131" t="s">
        <v>228</v>
      </c>
      <c r="L46" s="138" t="s">
        <v>339</v>
      </c>
      <c r="M46" s="63" t="s">
        <v>334</v>
      </c>
      <c r="N46" s="63"/>
      <c r="O46" s="120"/>
      <c r="T46" s="7"/>
    </row>
    <row r="47" spans="1:20" ht="20.100000000000001" customHeight="1" x14ac:dyDescent="0.25">
      <c r="D47" s="133" t="str">
        <f>"Stage 2 MMS From " &amp; $D$29</f>
        <v>Stage 2 MMS From Anaerobic lagoon</v>
      </c>
      <c r="E47" s="106" t="str">
        <f>IF(SUM(E29:K29)&gt;0,"Manure was sent to this MMS, please complete this section.","No manure was sent to this MMS. Leave this section blank.")</f>
        <v>Manure was sent to this MMS, please complete this section.</v>
      </c>
      <c r="M47" s="135" t="s">
        <v>335</v>
      </c>
      <c r="N47" s="135" t="s">
        <v>336</v>
      </c>
      <c r="O47" s="135" t="s">
        <v>337</v>
      </c>
      <c r="T47" s="7"/>
    </row>
    <row r="48" spans="1:20" ht="20.100000000000001" customHeight="1" x14ac:dyDescent="0.25">
      <c r="D48" s="134" t="str">
        <f>$D$30</f>
        <v>Drylot (feed pad)</v>
      </c>
      <c r="E48" s="46">
        <v>0.2</v>
      </c>
      <c r="F48" s="46">
        <v>0.25</v>
      </c>
      <c r="G48" s="46">
        <v>0.25</v>
      </c>
      <c r="H48" s="46">
        <v>0.25</v>
      </c>
      <c r="I48" s="46">
        <v>0.25</v>
      </c>
      <c r="J48" s="46">
        <v>0.25</v>
      </c>
      <c r="K48" s="46">
        <v>0.25</v>
      </c>
      <c r="L48" s="2" t="s">
        <v>18</v>
      </c>
      <c r="M48" s="46">
        <v>0.25</v>
      </c>
      <c r="N48" s="46">
        <v>0.25</v>
      </c>
      <c r="O48" s="97">
        <f>1-SUM(M48:N48)</f>
        <v>0.5</v>
      </c>
      <c r="T48" s="7"/>
    </row>
    <row r="49" spans="4:20" ht="20.100000000000001" customHeight="1" x14ac:dyDescent="0.25">
      <c r="D49" s="134" t="str">
        <f>$D$31</f>
        <v>Digester / covered lagoons</v>
      </c>
      <c r="E49" s="46">
        <v>0.2</v>
      </c>
      <c r="F49" s="46">
        <v>0.25</v>
      </c>
      <c r="G49" s="46">
        <v>0.25</v>
      </c>
      <c r="H49" s="46">
        <v>0.25</v>
      </c>
      <c r="I49" s="46">
        <v>0.25</v>
      </c>
      <c r="J49" s="46">
        <v>0.25</v>
      </c>
      <c r="K49" s="46">
        <v>0.25</v>
      </c>
      <c r="L49" s="2" t="s">
        <v>18</v>
      </c>
      <c r="M49" s="46">
        <v>0.25</v>
      </c>
      <c r="N49" s="46">
        <v>0.25</v>
      </c>
      <c r="O49" s="97">
        <f t="shared" ref="O49:O52" si="0">1-SUM(M49:N49)</f>
        <v>0.5</v>
      </c>
      <c r="T49" s="7"/>
    </row>
    <row r="50" spans="4:20" ht="20.100000000000001" customHeight="1" x14ac:dyDescent="0.25">
      <c r="D50" s="134" t="str">
        <f>$D$32</f>
        <v>Deep litter</v>
      </c>
      <c r="E50" s="46">
        <v>0.2</v>
      </c>
      <c r="F50" s="46">
        <v>0.25</v>
      </c>
      <c r="G50" s="46">
        <v>0.25</v>
      </c>
      <c r="H50" s="46">
        <v>0.25</v>
      </c>
      <c r="I50" s="46">
        <v>0.25</v>
      </c>
      <c r="J50" s="46">
        <v>0.25</v>
      </c>
      <c r="K50" s="46">
        <v>0.25</v>
      </c>
      <c r="L50" s="2" t="s">
        <v>18</v>
      </c>
      <c r="M50" s="46">
        <v>0.25</v>
      </c>
      <c r="N50" s="46">
        <v>0.25</v>
      </c>
      <c r="O50" s="97">
        <f t="shared" si="0"/>
        <v>0.5</v>
      </c>
      <c r="T50" s="7"/>
    </row>
    <row r="51" spans="4:20" ht="20.100000000000001" customHeight="1" x14ac:dyDescent="0.25">
      <c r="D51" s="134" t="str">
        <f>$D$33</f>
        <v>Pit storage</v>
      </c>
      <c r="E51" s="46">
        <v>0.2</v>
      </c>
      <c r="F51" s="46">
        <v>0.25</v>
      </c>
      <c r="G51" s="46">
        <v>0.25</v>
      </c>
      <c r="H51" s="46">
        <v>0.25</v>
      </c>
      <c r="I51" s="46">
        <v>0.25</v>
      </c>
      <c r="J51" s="46">
        <v>0.25</v>
      </c>
      <c r="K51" s="46">
        <v>0.25</v>
      </c>
      <c r="L51" s="2" t="s">
        <v>18</v>
      </c>
      <c r="M51" s="46">
        <v>0.25</v>
      </c>
      <c r="N51" s="46">
        <v>0.25</v>
      </c>
      <c r="O51" s="97">
        <f t="shared" si="0"/>
        <v>0.5</v>
      </c>
      <c r="T51" s="7"/>
    </row>
    <row r="52" spans="4:20" ht="20.100000000000001" customHeight="1" x14ac:dyDescent="0.25">
      <c r="D52" s="134" t="s">
        <v>337</v>
      </c>
      <c r="E52" s="97">
        <f>1-SUM(E48:E51)</f>
        <v>0.19999999999999996</v>
      </c>
      <c r="F52" s="97">
        <f t="shared" ref="F52:K52" si="1">1-SUM(F48:F51)</f>
        <v>0</v>
      </c>
      <c r="G52" s="97">
        <f t="shared" si="1"/>
        <v>0</v>
      </c>
      <c r="H52" s="97">
        <f t="shared" si="1"/>
        <v>0</v>
      </c>
      <c r="I52" s="97">
        <f t="shared" si="1"/>
        <v>0</v>
      </c>
      <c r="J52" s="97">
        <f t="shared" si="1"/>
        <v>0</v>
      </c>
      <c r="K52" s="97">
        <f t="shared" si="1"/>
        <v>0</v>
      </c>
      <c r="L52" s="2" t="s">
        <v>18</v>
      </c>
      <c r="T52" s="7"/>
    </row>
    <row r="53" spans="4:20" ht="20.100000000000001" customHeight="1" x14ac:dyDescent="0.25">
      <c r="T53" s="7"/>
    </row>
    <row r="54" spans="4:20" ht="20.100000000000001" customHeight="1" x14ac:dyDescent="0.25">
      <c r="D54" s="129"/>
      <c r="F54" s="2"/>
      <c r="T54" s="7"/>
    </row>
    <row r="55" spans="4:20" ht="20.100000000000001" customHeight="1" x14ac:dyDescent="0.25">
      <c r="D55" s="133" t="str">
        <f>"Stage 2 MMS From " &amp; $D$30</f>
        <v>Stage 2 MMS From Drylot (feed pad)</v>
      </c>
      <c r="E55" s="106" t="str">
        <f>IF(SUM(E30:K30)&gt;0,"Manure was sent to this MMS, please complete this section.","No manure was sent to this MMS. Leave this section blank.")</f>
        <v>Manure was sent to this MMS, please complete this section.</v>
      </c>
      <c r="M55" s="135" t="s">
        <v>335</v>
      </c>
      <c r="N55" s="135" t="s">
        <v>336</v>
      </c>
      <c r="O55" s="135" t="s">
        <v>337</v>
      </c>
      <c r="T55" s="7"/>
    </row>
    <row r="56" spans="4:20" ht="20.100000000000001" customHeight="1" x14ac:dyDescent="0.25">
      <c r="D56" s="134" t="str">
        <f>$D$29</f>
        <v>Anaerobic lagoon</v>
      </c>
      <c r="E56" s="46">
        <v>0.2</v>
      </c>
      <c r="F56" s="46">
        <v>0.25</v>
      </c>
      <c r="G56" s="46">
        <v>0.25</v>
      </c>
      <c r="H56" s="46">
        <v>0.25</v>
      </c>
      <c r="I56" s="46">
        <v>0.25</v>
      </c>
      <c r="J56" s="46">
        <v>0.25</v>
      </c>
      <c r="K56" s="46">
        <v>0.25</v>
      </c>
      <c r="L56" s="2" t="s">
        <v>18</v>
      </c>
      <c r="M56" s="46">
        <v>0.25</v>
      </c>
      <c r="N56" s="46">
        <v>0.25</v>
      </c>
      <c r="O56" s="97">
        <f>1-SUM(M56:N56)</f>
        <v>0.5</v>
      </c>
      <c r="T56" s="7"/>
    </row>
    <row r="57" spans="4:20" ht="20.100000000000001" customHeight="1" x14ac:dyDescent="0.25">
      <c r="D57" s="134" t="str">
        <f>$D$31</f>
        <v>Digester / covered lagoons</v>
      </c>
      <c r="E57" s="46">
        <v>0.2</v>
      </c>
      <c r="F57" s="46">
        <v>0.25</v>
      </c>
      <c r="G57" s="46">
        <v>0.25</v>
      </c>
      <c r="H57" s="46">
        <v>0.25</v>
      </c>
      <c r="I57" s="46">
        <v>0.25</v>
      </c>
      <c r="J57" s="46">
        <v>0.25</v>
      </c>
      <c r="K57" s="46">
        <v>0.25</v>
      </c>
      <c r="L57" s="2" t="s">
        <v>18</v>
      </c>
      <c r="M57" s="46">
        <v>0.25</v>
      </c>
      <c r="N57" s="46">
        <v>0.25</v>
      </c>
      <c r="O57" s="97">
        <f t="shared" ref="O57:O60" si="2">1-SUM(M57:N57)</f>
        <v>0.5</v>
      </c>
      <c r="T57" s="7"/>
    </row>
    <row r="58" spans="4:20" ht="20.100000000000001" customHeight="1" x14ac:dyDescent="0.25">
      <c r="D58" s="134" t="str">
        <f>$D$32</f>
        <v>Deep litter</v>
      </c>
      <c r="E58" s="46">
        <v>0.2</v>
      </c>
      <c r="F58" s="46">
        <v>0.25</v>
      </c>
      <c r="G58" s="46">
        <v>0.25</v>
      </c>
      <c r="H58" s="46">
        <v>0.25</v>
      </c>
      <c r="I58" s="46">
        <v>0.25</v>
      </c>
      <c r="J58" s="46">
        <v>0.25</v>
      </c>
      <c r="K58" s="46">
        <v>0.25</v>
      </c>
      <c r="L58" s="2" t="s">
        <v>18</v>
      </c>
      <c r="M58" s="46">
        <v>0.25</v>
      </c>
      <c r="N58" s="46">
        <v>0.25</v>
      </c>
      <c r="O58" s="97">
        <f t="shared" si="2"/>
        <v>0.5</v>
      </c>
      <c r="T58" s="7"/>
    </row>
    <row r="59" spans="4:20" ht="20.100000000000001" customHeight="1" x14ac:dyDescent="0.25">
      <c r="D59" s="134" t="str">
        <f>$D$33</f>
        <v>Pit storage</v>
      </c>
      <c r="E59" s="46">
        <v>0.2</v>
      </c>
      <c r="F59" s="46">
        <v>0.25</v>
      </c>
      <c r="G59" s="46">
        <v>0.25</v>
      </c>
      <c r="H59" s="46">
        <v>0.25</v>
      </c>
      <c r="I59" s="46">
        <v>0.25</v>
      </c>
      <c r="J59" s="46">
        <v>0.25</v>
      </c>
      <c r="K59" s="46">
        <v>0.25</v>
      </c>
      <c r="L59" s="2" t="s">
        <v>18</v>
      </c>
      <c r="M59" s="46">
        <v>0.25</v>
      </c>
      <c r="N59" s="46">
        <v>0.25</v>
      </c>
      <c r="O59" s="97">
        <f t="shared" si="2"/>
        <v>0.5</v>
      </c>
      <c r="T59" s="7"/>
    </row>
    <row r="60" spans="4:20" ht="20.100000000000001" customHeight="1" x14ac:dyDescent="0.25">
      <c r="D60" s="134" t="s">
        <v>337</v>
      </c>
      <c r="E60" s="97">
        <f>1-SUM(E56:E59)</f>
        <v>0.19999999999999996</v>
      </c>
      <c r="F60" s="97">
        <f t="shared" ref="F60:K60" si="3">1-SUM(F56:F59)</f>
        <v>0</v>
      </c>
      <c r="G60" s="97">
        <f t="shared" si="3"/>
        <v>0</v>
      </c>
      <c r="H60" s="97">
        <f t="shared" si="3"/>
        <v>0</v>
      </c>
      <c r="I60" s="97">
        <f t="shared" si="3"/>
        <v>0</v>
      </c>
      <c r="J60" s="97">
        <f t="shared" si="3"/>
        <v>0</v>
      </c>
      <c r="K60" s="97">
        <f t="shared" si="3"/>
        <v>0</v>
      </c>
      <c r="T60" s="7"/>
    </row>
    <row r="61" spans="4:20" ht="20.100000000000001" customHeight="1" x14ac:dyDescent="0.25">
      <c r="T61" s="7"/>
    </row>
    <row r="62" spans="4:20" ht="20.100000000000001" customHeight="1" x14ac:dyDescent="0.25">
      <c r="T62" s="7"/>
    </row>
    <row r="63" spans="4:20" ht="20.100000000000001" customHeight="1" x14ac:dyDescent="0.25">
      <c r="D63" s="133" t="str">
        <f>"Stage 2 MMS From " &amp; $D$31</f>
        <v>Stage 2 MMS From Digester / covered lagoons</v>
      </c>
      <c r="E63" s="106" t="str">
        <f>IF(SUM(E31:K31)&gt;0,"Manure was sent to this MMS, please complete this section.","No manure was sent to this MMS. Leave this section blank.")</f>
        <v>Manure was sent to this MMS, please complete this section.</v>
      </c>
      <c r="M63" s="135" t="s">
        <v>335</v>
      </c>
      <c r="N63" s="135" t="s">
        <v>336</v>
      </c>
      <c r="O63" s="135" t="s">
        <v>337</v>
      </c>
      <c r="T63" s="7"/>
    </row>
    <row r="64" spans="4:20" ht="20.100000000000001" customHeight="1" x14ac:dyDescent="0.25">
      <c r="D64" s="134" t="str">
        <f>$D$29</f>
        <v>Anaerobic lagoon</v>
      </c>
      <c r="E64" s="46">
        <v>0.2</v>
      </c>
      <c r="F64" s="46">
        <v>0.25</v>
      </c>
      <c r="G64" s="46">
        <v>0.25</v>
      </c>
      <c r="H64" s="46">
        <v>0.25</v>
      </c>
      <c r="I64" s="46">
        <v>0.25</v>
      </c>
      <c r="J64" s="46">
        <v>0.25</v>
      </c>
      <c r="K64" s="46">
        <v>0.25</v>
      </c>
      <c r="L64" s="2" t="s">
        <v>18</v>
      </c>
      <c r="M64" s="46">
        <v>0.25</v>
      </c>
      <c r="N64" s="46">
        <v>0.25</v>
      </c>
      <c r="O64" s="97">
        <f>1-SUM(M64:N64)</f>
        <v>0.5</v>
      </c>
      <c r="T64" s="7"/>
    </row>
    <row r="65" spans="4:20" ht="20.100000000000001" customHeight="1" x14ac:dyDescent="0.25">
      <c r="D65" s="134" t="str">
        <f>$D$30</f>
        <v>Drylot (feed pad)</v>
      </c>
      <c r="E65" s="46">
        <v>0.2</v>
      </c>
      <c r="F65" s="46">
        <v>0.25</v>
      </c>
      <c r="G65" s="46">
        <v>0.25</v>
      </c>
      <c r="H65" s="46">
        <v>0.25</v>
      </c>
      <c r="I65" s="46">
        <v>0.25</v>
      </c>
      <c r="J65" s="46">
        <v>0.25</v>
      </c>
      <c r="K65" s="46">
        <v>0.25</v>
      </c>
      <c r="L65" s="2" t="s">
        <v>18</v>
      </c>
      <c r="M65" s="46">
        <v>0.25</v>
      </c>
      <c r="N65" s="46">
        <v>0.25</v>
      </c>
      <c r="O65" s="97">
        <f t="shared" ref="O65:O68" si="4">1-SUM(M65:N65)</f>
        <v>0.5</v>
      </c>
      <c r="T65" s="7"/>
    </row>
    <row r="66" spans="4:20" ht="20.100000000000001" customHeight="1" x14ac:dyDescent="0.25">
      <c r="D66" s="134" t="str">
        <f>$D$32</f>
        <v>Deep litter</v>
      </c>
      <c r="E66" s="46">
        <v>0.2</v>
      </c>
      <c r="F66" s="46">
        <v>0.25</v>
      </c>
      <c r="G66" s="46">
        <v>0.25</v>
      </c>
      <c r="H66" s="46">
        <v>0.25</v>
      </c>
      <c r="I66" s="46">
        <v>0.25</v>
      </c>
      <c r="J66" s="46">
        <v>0.25</v>
      </c>
      <c r="K66" s="46">
        <v>0.25</v>
      </c>
      <c r="L66" s="2" t="s">
        <v>18</v>
      </c>
      <c r="M66" s="46">
        <v>0.25</v>
      </c>
      <c r="N66" s="46">
        <v>0.25</v>
      </c>
      <c r="O66" s="97">
        <f t="shared" si="4"/>
        <v>0.5</v>
      </c>
      <c r="T66" s="7"/>
    </row>
    <row r="67" spans="4:20" ht="20.100000000000001" customHeight="1" x14ac:dyDescent="0.25">
      <c r="D67" s="134" t="str">
        <f>$D$33</f>
        <v>Pit storage</v>
      </c>
      <c r="E67" s="46">
        <v>0.2</v>
      </c>
      <c r="F67" s="46">
        <v>0.25</v>
      </c>
      <c r="G67" s="46">
        <v>0.25</v>
      </c>
      <c r="H67" s="46">
        <v>0.25</v>
      </c>
      <c r="I67" s="46">
        <v>0.25</v>
      </c>
      <c r="J67" s="46">
        <v>0.25</v>
      </c>
      <c r="K67" s="46">
        <v>0.25</v>
      </c>
      <c r="L67" s="2" t="s">
        <v>18</v>
      </c>
      <c r="M67" s="46">
        <v>0.25</v>
      </c>
      <c r="N67" s="46">
        <v>0.25</v>
      </c>
      <c r="O67" s="97">
        <f t="shared" si="4"/>
        <v>0.5</v>
      </c>
      <c r="T67" s="7"/>
    </row>
    <row r="68" spans="4:20" ht="20.100000000000001" customHeight="1" x14ac:dyDescent="0.25">
      <c r="D68" s="134" t="s">
        <v>337</v>
      </c>
      <c r="E68" s="97">
        <f>1-SUM(E64:E67)</f>
        <v>0.19999999999999996</v>
      </c>
      <c r="F68" s="97">
        <f t="shared" ref="F68:K68" si="5">1-SUM(F64:F67)</f>
        <v>0</v>
      </c>
      <c r="G68" s="97">
        <f t="shared" si="5"/>
        <v>0</v>
      </c>
      <c r="H68" s="97">
        <f t="shared" si="5"/>
        <v>0</v>
      </c>
      <c r="I68" s="97">
        <f t="shared" si="5"/>
        <v>0</v>
      </c>
      <c r="J68" s="97">
        <f t="shared" si="5"/>
        <v>0</v>
      </c>
      <c r="K68" s="97">
        <f t="shared" si="5"/>
        <v>0</v>
      </c>
      <c r="L68" s="2" t="s">
        <v>18</v>
      </c>
      <c r="T68" s="7"/>
    </row>
    <row r="69" spans="4:20" ht="20.100000000000001" customHeight="1" x14ac:dyDescent="0.25">
      <c r="T69" s="7"/>
    </row>
    <row r="70" spans="4:20" ht="20.100000000000001" customHeight="1" x14ac:dyDescent="0.25">
      <c r="D70" s="127"/>
      <c r="T70" s="7"/>
    </row>
    <row r="71" spans="4:20" ht="20.100000000000001" customHeight="1" x14ac:dyDescent="0.25">
      <c r="D71" s="133" t="str">
        <f>"Stage 2 MMS From " &amp; $D$32</f>
        <v>Stage 2 MMS From Deep litter</v>
      </c>
      <c r="E71" s="106" t="str">
        <f>IF(SUM(E32:K32)&gt;0,"Manure was sent to this MMS, please complete this section.","No manure was sent to this MMS. Leave this section blank.")</f>
        <v>Manure was sent to this MMS, please complete this section.</v>
      </c>
      <c r="M71" s="135" t="s">
        <v>335</v>
      </c>
      <c r="N71" s="135" t="s">
        <v>336</v>
      </c>
      <c r="O71" s="135" t="s">
        <v>337</v>
      </c>
      <c r="T71" s="7"/>
    </row>
    <row r="72" spans="4:20" ht="20.100000000000001" customHeight="1" x14ac:dyDescent="0.25">
      <c r="D72" s="134" t="str">
        <f>$D$29</f>
        <v>Anaerobic lagoon</v>
      </c>
      <c r="E72" s="46">
        <v>0.2</v>
      </c>
      <c r="F72" s="46">
        <v>0.25</v>
      </c>
      <c r="G72" s="46">
        <v>0.25</v>
      </c>
      <c r="H72" s="46">
        <v>0.25</v>
      </c>
      <c r="I72" s="46">
        <v>0.25</v>
      </c>
      <c r="J72" s="46">
        <v>0.25</v>
      </c>
      <c r="K72" s="46">
        <v>0.25</v>
      </c>
      <c r="L72" s="2" t="s">
        <v>18</v>
      </c>
      <c r="M72" s="46">
        <v>0.25</v>
      </c>
      <c r="N72" s="46">
        <v>0.25</v>
      </c>
      <c r="O72" s="97">
        <f>1-SUM(M72:N72)</f>
        <v>0.5</v>
      </c>
      <c r="T72" s="7"/>
    </row>
    <row r="73" spans="4:20" ht="20.100000000000001" customHeight="1" x14ac:dyDescent="0.25">
      <c r="D73" s="134" t="str">
        <f>$D$30</f>
        <v>Drylot (feed pad)</v>
      </c>
      <c r="E73" s="46">
        <v>0.2</v>
      </c>
      <c r="F73" s="46">
        <v>0.25</v>
      </c>
      <c r="G73" s="46">
        <v>0.25</v>
      </c>
      <c r="H73" s="46">
        <v>0.25</v>
      </c>
      <c r="I73" s="46">
        <v>0.25</v>
      </c>
      <c r="J73" s="46">
        <v>0.25</v>
      </c>
      <c r="K73" s="46">
        <v>0.25</v>
      </c>
      <c r="L73" s="2" t="s">
        <v>18</v>
      </c>
      <c r="M73" s="46">
        <v>0.25</v>
      </c>
      <c r="N73" s="46">
        <v>0.25</v>
      </c>
      <c r="O73" s="97">
        <f t="shared" ref="O73:O76" si="6">1-SUM(M73:N73)</f>
        <v>0.5</v>
      </c>
      <c r="T73" s="7"/>
    </row>
    <row r="74" spans="4:20" ht="20.100000000000001" customHeight="1" x14ac:dyDescent="0.25">
      <c r="D74" s="134" t="str">
        <f>$D$31</f>
        <v>Digester / covered lagoons</v>
      </c>
      <c r="E74" s="46">
        <v>0.2</v>
      </c>
      <c r="F74" s="46">
        <v>0.25</v>
      </c>
      <c r="G74" s="46">
        <v>0.25</v>
      </c>
      <c r="H74" s="46">
        <v>0.25</v>
      </c>
      <c r="I74" s="46">
        <v>0.25</v>
      </c>
      <c r="J74" s="46">
        <v>0.25</v>
      </c>
      <c r="K74" s="46">
        <v>0.25</v>
      </c>
      <c r="L74" s="2" t="s">
        <v>18</v>
      </c>
      <c r="M74" s="46">
        <v>0.25</v>
      </c>
      <c r="N74" s="46">
        <v>0.25</v>
      </c>
      <c r="O74" s="97">
        <f t="shared" si="6"/>
        <v>0.5</v>
      </c>
      <c r="T74" s="7"/>
    </row>
    <row r="75" spans="4:20" ht="20.100000000000001" customHeight="1" x14ac:dyDescent="0.25">
      <c r="D75" s="134" t="str">
        <f>$D$33</f>
        <v>Pit storage</v>
      </c>
      <c r="E75" s="46">
        <v>0.2</v>
      </c>
      <c r="F75" s="46">
        <v>0.25</v>
      </c>
      <c r="G75" s="46">
        <v>0.25</v>
      </c>
      <c r="H75" s="46">
        <v>0.25</v>
      </c>
      <c r="I75" s="46">
        <v>0.25</v>
      </c>
      <c r="J75" s="46">
        <v>0.25</v>
      </c>
      <c r="K75" s="46">
        <v>0.25</v>
      </c>
      <c r="L75" s="2" t="s">
        <v>18</v>
      </c>
      <c r="M75" s="46">
        <v>0.25</v>
      </c>
      <c r="N75" s="46">
        <v>0.25</v>
      </c>
      <c r="O75" s="97">
        <f t="shared" si="6"/>
        <v>0.5</v>
      </c>
      <c r="T75" s="7"/>
    </row>
    <row r="76" spans="4:20" ht="20.100000000000001" customHeight="1" x14ac:dyDescent="0.25">
      <c r="D76" s="134" t="s">
        <v>337</v>
      </c>
      <c r="E76" s="97">
        <f>1-SUM(E72:E75)</f>
        <v>0.19999999999999996</v>
      </c>
      <c r="F76" s="97">
        <f t="shared" ref="F76:K76" si="7">1-SUM(F72:F75)</f>
        <v>0</v>
      </c>
      <c r="G76" s="97">
        <f t="shared" si="7"/>
        <v>0</v>
      </c>
      <c r="H76" s="97">
        <f t="shared" si="7"/>
        <v>0</v>
      </c>
      <c r="I76" s="97">
        <f t="shared" si="7"/>
        <v>0</v>
      </c>
      <c r="J76" s="97">
        <f t="shared" si="7"/>
        <v>0</v>
      </c>
      <c r="K76" s="97">
        <f t="shared" si="7"/>
        <v>0</v>
      </c>
      <c r="L76" s="2" t="s">
        <v>18</v>
      </c>
      <c r="T76" s="7"/>
    </row>
    <row r="77" spans="4:20" ht="20.100000000000001" customHeight="1" x14ac:dyDescent="0.25">
      <c r="T77" s="7"/>
    </row>
    <row r="78" spans="4:20" ht="20.100000000000001" customHeight="1" x14ac:dyDescent="0.25">
      <c r="T78" s="7"/>
    </row>
    <row r="79" spans="4:20" ht="20.100000000000001" customHeight="1" x14ac:dyDescent="0.25">
      <c r="D79" s="133" t="str">
        <f>"Stage 2 MMS From " &amp; $D$33</f>
        <v>Stage 2 MMS From Pit storage</v>
      </c>
      <c r="E79" s="106" t="str">
        <f>IF(SUM(E33:K33)&gt;0,"Manure was sent to this MMS, please complete this section.","No manure was sent to this MMS. Leave this section blank.")</f>
        <v>Manure was sent to this MMS, please complete this section.</v>
      </c>
      <c r="M79" s="135" t="s">
        <v>335</v>
      </c>
      <c r="N79" s="135" t="s">
        <v>336</v>
      </c>
      <c r="O79" s="135" t="s">
        <v>337</v>
      </c>
      <c r="T79" s="7"/>
    </row>
    <row r="80" spans="4:20" ht="20.100000000000001" customHeight="1" x14ac:dyDescent="0.25">
      <c r="D80" s="134" t="str">
        <f>$D$29</f>
        <v>Anaerobic lagoon</v>
      </c>
      <c r="E80" s="46">
        <v>0.2</v>
      </c>
      <c r="F80" s="46">
        <v>0.25</v>
      </c>
      <c r="G80" s="46">
        <v>0.25</v>
      </c>
      <c r="H80" s="46">
        <v>0.25</v>
      </c>
      <c r="I80" s="46">
        <v>0.25</v>
      </c>
      <c r="J80" s="46">
        <v>0.25</v>
      </c>
      <c r="K80" s="46">
        <v>0.25</v>
      </c>
      <c r="L80" s="2" t="s">
        <v>18</v>
      </c>
      <c r="M80" s="46">
        <v>0.25</v>
      </c>
      <c r="N80" s="46">
        <v>0.25</v>
      </c>
      <c r="O80" s="97">
        <f>1-SUM(M80:N80)</f>
        <v>0.5</v>
      </c>
      <c r="T80" s="7"/>
    </row>
    <row r="81" spans="4:20" ht="20.100000000000001" customHeight="1" x14ac:dyDescent="0.25">
      <c r="D81" s="134" t="str">
        <f>$D$30</f>
        <v>Drylot (feed pad)</v>
      </c>
      <c r="E81" s="46">
        <v>0.2</v>
      </c>
      <c r="F81" s="46">
        <v>0.25</v>
      </c>
      <c r="G81" s="46">
        <v>0.25</v>
      </c>
      <c r="H81" s="46">
        <v>0.25</v>
      </c>
      <c r="I81" s="46">
        <v>0.25</v>
      </c>
      <c r="J81" s="46">
        <v>0.25</v>
      </c>
      <c r="K81" s="46">
        <v>0.25</v>
      </c>
      <c r="L81" s="2" t="s">
        <v>18</v>
      </c>
      <c r="M81" s="46">
        <v>0.25</v>
      </c>
      <c r="N81" s="46">
        <v>0.25</v>
      </c>
      <c r="O81" s="97">
        <f t="shared" ref="O81:O84" si="8">1-SUM(M81:N81)</f>
        <v>0.5</v>
      </c>
      <c r="T81" s="7"/>
    </row>
    <row r="82" spans="4:20" ht="20.100000000000001" customHeight="1" x14ac:dyDescent="0.25">
      <c r="D82" s="134" t="str">
        <f>$D$31</f>
        <v>Digester / covered lagoons</v>
      </c>
      <c r="E82" s="46">
        <v>0.2</v>
      </c>
      <c r="F82" s="46">
        <v>0.25</v>
      </c>
      <c r="G82" s="46">
        <v>0.25</v>
      </c>
      <c r="H82" s="46">
        <v>0.25</v>
      </c>
      <c r="I82" s="46">
        <v>0.25</v>
      </c>
      <c r="J82" s="46">
        <v>0.25</v>
      </c>
      <c r="K82" s="46">
        <v>0.25</v>
      </c>
      <c r="L82" s="2" t="s">
        <v>18</v>
      </c>
      <c r="M82" s="46">
        <v>0.25</v>
      </c>
      <c r="N82" s="46">
        <v>0.25</v>
      </c>
      <c r="O82" s="97">
        <f t="shared" si="8"/>
        <v>0.5</v>
      </c>
      <c r="T82" s="7"/>
    </row>
    <row r="83" spans="4:20" ht="20.100000000000001" customHeight="1" x14ac:dyDescent="0.25">
      <c r="D83" s="134" t="str">
        <f>$D$32</f>
        <v>Deep litter</v>
      </c>
      <c r="E83" s="46">
        <v>0.2</v>
      </c>
      <c r="F83" s="46">
        <v>0.25</v>
      </c>
      <c r="G83" s="46">
        <v>0.25</v>
      </c>
      <c r="H83" s="46">
        <v>0.25</v>
      </c>
      <c r="I83" s="46">
        <v>0.25</v>
      </c>
      <c r="J83" s="46">
        <v>0.25</v>
      </c>
      <c r="K83" s="46">
        <v>0.25</v>
      </c>
      <c r="L83" s="2" t="s">
        <v>18</v>
      </c>
      <c r="M83" s="46">
        <v>0.25</v>
      </c>
      <c r="N83" s="46">
        <v>0.25</v>
      </c>
      <c r="O83" s="97">
        <f t="shared" si="8"/>
        <v>0.5</v>
      </c>
      <c r="T83" s="7"/>
    </row>
    <row r="84" spans="4:20" ht="20.100000000000001" customHeight="1" x14ac:dyDescent="0.25">
      <c r="D84" s="134" t="s">
        <v>337</v>
      </c>
      <c r="E84" s="97">
        <f>1-SUM(E80:E83)</f>
        <v>0.19999999999999996</v>
      </c>
      <c r="F84" s="97">
        <f t="shared" ref="F84:K84" si="9">1-SUM(F80:F83)</f>
        <v>0</v>
      </c>
      <c r="G84" s="97">
        <f t="shared" si="9"/>
        <v>0</v>
      </c>
      <c r="H84" s="97">
        <f t="shared" si="9"/>
        <v>0</v>
      </c>
      <c r="I84" s="97">
        <f t="shared" si="9"/>
        <v>0</v>
      </c>
      <c r="J84" s="97">
        <f t="shared" si="9"/>
        <v>0</v>
      </c>
      <c r="K84" s="97">
        <f t="shared" si="9"/>
        <v>0</v>
      </c>
      <c r="L84" s="2" t="s">
        <v>18</v>
      </c>
      <c r="T84" s="7"/>
    </row>
    <row r="85" spans="4:20" ht="20.100000000000001" customHeight="1" x14ac:dyDescent="0.25">
      <c r="T85" s="7"/>
    </row>
    <row r="86" spans="4:20" ht="20.100000000000001" customHeight="1" x14ac:dyDescent="0.25">
      <c r="T86" s="7"/>
    </row>
    <row r="87" spans="4:20" ht="20.100000000000001" customHeight="1" x14ac:dyDescent="0.25">
      <c r="D87" s="133" t="str">
        <f>"Stage 2 MMS From " &amp; $D$34</f>
        <v>Stage 2 MMS From Solid storage</v>
      </c>
      <c r="E87" s="106" t="str">
        <f>IF(SUM(E41:K41)&gt;0,"Manure was sent to this MMS, please complete this section.","No manure was sent to this MMS. Leave this section blank.")</f>
        <v>Manure was sent to this MMS, please complete this section.</v>
      </c>
      <c r="H87" s="107" t="s">
        <v>333</v>
      </c>
      <c r="M87" s="135" t="s">
        <v>335</v>
      </c>
      <c r="N87" s="135" t="s">
        <v>336</v>
      </c>
      <c r="O87" s="135" t="s">
        <v>337</v>
      </c>
      <c r="T87" s="7"/>
    </row>
    <row r="88" spans="4:20" ht="20.100000000000001" customHeight="1" x14ac:dyDescent="0.25">
      <c r="D88" s="134" t="str">
        <f>$D$29</f>
        <v>Anaerobic lagoon</v>
      </c>
      <c r="E88" s="46">
        <v>0.2</v>
      </c>
      <c r="F88" s="46">
        <v>0.2</v>
      </c>
      <c r="G88" s="46">
        <v>0.2</v>
      </c>
      <c r="H88" s="46">
        <v>0.2</v>
      </c>
      <c r="I88" s="46">
        <v>0.2</v>
      </c>
      <c r="J88" s="46">
        <v>0.2</v>
      </c>
      <c r="K88" s="46">
        <v>0.2</v>
      </c>
      <c r="L88" s="2" t="s">
        <v>18</v>
      </c>
      <c r="M88" s="46">
        <v>0.25</v>
      </c>
      <c r="N88" s="46">
        <v>0.25</v>
      </c>
      <c r="O88" s="97">
        <f>1-SUM(M88:N88)</f>
        <v>0.5</v>
      </c>
      <c r="T88" s="7"/>
    </row>
    <row r="89" spans="4:20" ht="20.100000000000001" customHeight="1" x14ac:dyDescent="0.25">
      <c r="D89" s="134" t="str">
        <f>$D$30</f>
        <v>Drylot (feed pad)</v>
      </c>
      <c r="E89" s="46">
        <v>0.2</v>
      </c>
      <c r="F89" s="46">
        <v>0.2</v>
      </c>
      <c r="G89" s="46">
        <v>0.2</v>
      </c>
      <c r="H89" s="46">
        <v>0.2</v>
      </c>
      <c r="I89" s="46">
        <v>0.2</v>
      </c>
      <c r="J89" s="46">
        <v>0.2</v>
      </c>
      <c r="K89" s="46">
        <v>0.2</v>
      </c>
      <c r="L89" s="2" t="s">
        <v>18</v>
      </c>
      <c r="M89" s="46">
        <v>0.25</v>
      </c>
      <c r="N89" s="46">
        <v>0.25</v>
      </c>
      <c r="O89" s="97">
        <f t="shared" ref="O89:O93" si="10">1-SUM(M89:N89)</f>
        <v>0.5</v>
      </c>
      <c r="T89" s="7"/>
    </row>
    <row r="90" spans="4:20" ht="20.100000000000001" customHeight="1" x14ac:dyDescent="0.25">
      <c r="D90" s="134" t="str">
        <f>$D$31</f>
        <v>Digester / covered lagoons</v>
      </c>
      <c r="E90" s="46">
        <v>0.2</v>
      </c>
      <c r="F90" s="46">
        <v>0.2</v>
      </c>
      <c r="G90" s="46">
        <v>0.2</v>
      </c>
      <c r="H90" s="46">
        <v>0.2</v>
      </c>
      <c r="I90" s="46">
        <v>0.2</v>
      </c>
      <c r="J90" s="46">
        <v>0.2</v>
      </c>
      <c r="K90" s="46">
        <v>0.2</v>
      </c>
      <c r="L90" s="2" t="s">
        <v>18</v>
      </c>
      <c r="M90" s="46">
        <v>0.25</v>
      </c>
      <c r="N90" s="46">
        <v>0.25</v>
      </c>
      <c r="O90" s="97">
        <f t="shared" si="10"/>
        <v>0.5</v>
      </c>
      <c r="T90" s="7"/>
    </row>
    <row r="91" spans="4:20" ht="20.100000000000001" customHeight="1" x14ac:dyDescent="0.25">
      <c r="D91" s="134" t="str">
        <f>$D$32</f>
        <v>Deep litter</v>
      </c>
      <c r="E91" s="46">
        <v>0.2</v>
      </c>
      <c r="F91" s="46">
        <v>0.2</v>
      </c>
      <c r="G91" s="46">
        <v>0.2</v>
      </c>
      <c r="H91" s="46">
        <v>0.2</v>
      </c>
      <c r="I91" s="46">
        <v>0.2</v>
      </c>
      <c r="J91" s="46">
        <v>0.2</v>
      </c>
      <c r="K91" s="46">
        <v>0.2</v>
      </c>
      <c r="L91" s="2" t="s">
        <v>18</v>
      </c>
      <c r="M91" s="46">
        <v>0.25</v>
      </c>
      <c r="N91" s="46">
        <v>0.25</v>
      </c>
      <c r="O91" s="97">
        <f t="shared" si="10"/>
        <v>0.5</v>
      </c>
      <c r="T91" s="7"/>
    </row>
    <row r="92" spans="4:20" ht="20.100000000000001" customHeight="1" x14ac:dyDescent="0.25">
      <c r="D92" s="134" t="str">
        <f>$D$33</f>
        <v>Pit storage</v>
      </c>
      <c r="E92" s="46">
        <v>0.1</v>
      </c>
      <c r="F92" s="46">
        <v>0.1</v>
      </c>
      <c r="G92" s="46">
        <v>0.1</v>
      </c>
      <c r="H92" s="46">
        <v>0.1</v>
      </c>
      <c r="I92" s="46">
        <v>0.1</v>
      </c>
      <c r="J92" s="46">
        <v>0.1</v>
      </c>
      <c r="K92" s="46">
        <v>0.1</v>
      </c>
      <c r="L92" s="2" t="s">
        <v>18</v>
      </c>
      <c r="M92" s="46">
        <v>0.25</v>
      </c>
      <c r="N92" s="46">
        <v>0.25</v>
      </c>
      <c r="O92" s="97">
        <f t="shared" si="10"/>
        <v>0.5</v>
      </c>
      <c r="T92" s="7"/>
    </row>
    <row r="93" spans="4:20" ht="20.100000000000001" customHeight="1" x14ac:dyDescent="0.25">
      <c r="D93" s="134" t="s">
        <v>337</v>
      </c>
      <c r="E93" s="97">
        <f>1-SUM(E88:E92)</f>
        <v>9.9999999999999978E-2</v>
      </c>
      <c r="F93" s="97">
        <f t="shared" ref="F93:K93" si="11">1-SUM(F88:F92)</f>
        <v>9.9999999999999978E-2</v>
      </c>
      <c r="G93" s="97">
        <f t="shared" si="11"/>
        <v>9.9999999999999978E-2</v>
      </c>
      <c r="H93" s="97">
        <f t="shared" si="11"/>
        <v>9.9999999999999978E-2</v>
      </c>
      <c r="I93" s="97">
        <f t="shared" si="11"/>
        <v>9.9999999999999978E-2</v>
      </c>
      <c r="J93" s="97">
        <f t="shared" si="11"/>
        <v>9.9999999999999978E-2</v>
      </c>
      <c r="K93" s="97">
        <f t="shared" si="11"/>
        <v>9.9999999999999978E-2</v>
      </c>
      <c r="L93" s="2" t="s">
        <v>18</v>
      </c>
      <c r="T93" s="7"/>
    </row>
    <row r="94" spans="4:20" ht="20.100000000000001" customHeight="1" x14ac:dyDescent="0.25">
      <c r="T94" s="7"/>
    </row>
    <row r="95" spans="4:20" ht="20.100000000000001" customHeight="1" x14ac:dyDescent="0.25">
      <c r="T95" s="7"/>
    </row>
    <row r="96" spans="4:20" ht="20.100000000000001" customHeight="1" x14ac:dyDescent="0.25">
      <c r="T96" s="7"/>
    </row>
    <row r="97" spans="16:20" ht="20.100000000000001" customHeight="1" x14ac:dyDescent="0.25">
      <c r="T97" s="7"/>
    </row>
    <row r="98" spans="16:20" ht="20.100000000000001" customHeight="1" x14ac:dyDescent="0.25">
      <c r="T98" s="7"/>
    </row>
    <row r="99" spans="16:20" ht="20.100000000000001" customHeight="1" x14ac:dyDescent="0.25">
      <c r="T99" s="7"/>
    </row>
    <row r="100" spans="16:20" ht="20.100000000000001" customHeight="1" x14ac:dyDescent="0.25">
      <c r="T100" s="7"/>
    </row>
    <row r="101" spans="16:20" ht="20.100000000000001" customHeight="1" x14ac:dyDescent="0.25">
      <c r="T101" s="7"/>
    </row>
    <row r="102" spans="16:20" ht="20.100000000000001" customHeight="1" x14ac:dyDescent="0.25">
      <c r="T102" s="7"/>
    </row>
    <row r="103" spans="16:20" ht="20.100000000000001" customHeight="1" x14ac:dyDescent="0.25">
      <c r="T103" s="7"/>
    </row>
    <row r="104" spans="16:20" ht="20.100000000000001" customHeight="1" x14ac:dyDescent="0.25">
      <c r="T104" s="7"/>
    </row>
    <row r="105" spans="16:20" ht="20.100000000000001" customHeight="1" x14ac:dyDescent="0.25">
      <c r="T105" s="7"/>
    </row>
    <row r="106" spans="16:20" ht="20.100000000000001" customHeight="1" x14ac:dyDescent="0.25">
      <c r="T106" s="7"/>
    </row>
    <row r="107" spans="16:20" ht="20.100000000000001" customHeight="1" x14ac:dyDescent="0.25"/>
    <row r="108" spans="16:20" ht="20.100000000000001" customHeight="1" x14ac:dyDescent="0.25">
      <c r="P108" s="3"/>
    </row>
    <row r="109" spans="16:20" ht="20.100000000000001" customHeight="1" x14ac:dyDescent="0.25">
      <c r="P109" s="3"/>
    </row>
    <row r="110" spans="16:20" ht="20.100000000000001" customHeight="1" x14ac:dyDescent="0.25">
      <c r="P110" s="3"/>
    </row>
    <row r="111" spans="16:20" ht="20.100000000000001" customHeight="1" x14ac:dyDescent="0.25">
      <c r="P111" s="3"/>
    </row>
    <row r="112" spans="16:20" ht="20.100000000000001" customHeight="1" x14ac:dyDescent="0.25">
      <c r="P112" s="3"/>
    </row>
    <row r="113" spans="16:16" ht="20.100000000000001" customHeight="1" x14ac:dyDescent="0.25">
      <c r="P113" s="3"/>
    </row>
    <row r="114" spans="16:16" ht="20.100000000000001" customHeight="1" x14ac:dyDescent="0.25">
      <c r="P114" s="3"/>
    </row>
    <row r="115" spans="16:16" ht="20.100000000000001" customHeight="1" x14ac:dyDescent="0.25">
      <c r="P115" s="3"/>
    </row>
    <row r="116" spans="16:16" ht="20.100000000000001" customHeight="1" x14ac:dyDescent="0.25">
      <c r="P116" s="3"/>
    </row>
    <row r="117" spans="16:16" ht="20.100000000000001" customHeight="1" x14ac:dyDescent="0.25">
      <c r="P117" s="3"/>
    </row>
    <row r="118" spans="16:16" ht="20.100000000000001" customHeight="1" x14ac:dyDescent="0.25">
      <c r="P118" s="3"/>
    </row>
    <row r="119" spans="16:16" ht="20.100000000000001" customHeight="1" x14ac:dyDescent="0.25">
      <c r="P119" s="3"/>
    </row>
    <row r="120" spans="16:16" ht="20.100000000000001" customHeight="1" x14ac:dyDescent="0.25">
      <c r="P120" s="3"/>
    </row>
    <row r="121" spans="16:16" ht="20.100000000000001" customHeight="1" x14ac:dyDescent="0.25">
      <c r="P121" s="3"/>
    </row>
    <row r="122" spans="16:16" ht="20.100000000000001" customHeight="1" x14ac:dyDescent="0.25">
      <c r="P122" s="3"/>
    </row>
    <row r="123" spans="16:16" ht="20.100000000000001" customHeight="1" x14ac:dyDescent="0.25">
      <c r="P123" s="3"/>
    </row>
    <row r="124" spans="16:16" ht="20.100000000000001" customHeight="1" x14ac:dyDescent="0.25">
      <c r="P124" s="3"/>
    </row>
    <row r="125" spans="16:16" ht="20.100000000000001" customHeight="1" x14ac:dyDescent="0.25">
      <c r="P125" s="3"/>
    </row>
    <row r="126" spans="16:16" ht="20.100000000000001" customHeight="1" x14ac:dyDescent="0.25">
      <c r="P126" s="3"/>
    </row>
    <row r="127" spans="16:16" ht="20.100000000000001" customHeight="1" x14ac:dyDescent="0.25">
      <c r="P127" s="3"/>
    </row>
    <row r="128" spans="16:16" ht="20.100000000000001" customHeight="1" x14ac:dyDescent="0.25">
      <c r="P128" s="3"/>
    </row>
    <row r="129" spans="16:16" ht="20.100000000000001" customHeight="1" x14ac:dyDescent="0.25">
      <c r="P129" s="3"/>
    </row>
    <row r="130" spans="16:16" ht="20.100000000000001" customHeight="1" x14ac:dyDescent="0.25"/>
    <row r="131" spans="16:16" ht="20.100000000000001" customHeight="1" x14ac:dyDescent="0.25"/>
    <row r="132" spans="16:16" ht="20.100000000000001" customHeight="1" x14ac:dyDescent="0.25"/>
    <row r="133" spans="16:16" ht="20.100000000000001" customHeight="1" x14ac:dyDescent="0.25"/>
    <row r="134" spans="16:16" ht="20.100000000000001" customHeight="1" x14ac:dyDescent="0.25"/>
    <row r="135" spans="16:16" ht="20.100000000000001" customHeight="1" x14ac:dyDescent="0.25"/>
    <row r="136" spans="16:16" ht="20.100000000000001" customHeight="1" x14ac:dyDescent="0.25"/>
    <row r="137" spans="16:16" ht="20.100000000000001" customHeight="1" x14ac:dyDescent="0.25"/>
    <row r="138" spans="16:16" ht="20.100000000000001" customHeight="1" x14ac:dyDescent="0.25"/>
    <row r="139" spans="16:16" ht="20.100000000000001" customHeight="1" x14ac:dyDescent="0.25"/>
    <row r="140" spans="16:16" ht="20.100000000000001" customHeight="1" x14ac:dyDescent="0.25"/>
    <row r="141" spans="16:16" ht="20.100000000000001" customHeight="1" x14ac:dyDescent="0.25"/>
    <row r="142" spans="16:16" ht="20.100000000000001" customHeight="1" x14ac:dyDescent="0.25"/>
    <row r="143" spans="16:16" ht="20.100000000000001" customHeight="1" x14ac:dyDescent="0.25"/>
    <row r="144" spans="16:16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206" spans="12:15" x14ac:dyDescent="0.25">
      <c r="L206" s="2"/>
      <c r="M206" s="2"/>
      <c r="N206" s="2"/>
      <c r="O206" s="2"/>
    </row>
    <row r="207" spans="12:15" x14ac:dyDescent="0.25">
      <c r="L207" s="2"/>
      <c r="M207" s="2"/>
      <c r="N207" s="2"/>
      <c r="O207" s="2"/>
    </row>
    <row r="208" spans="12:15" x14ac:dyDescent="0.25">
      <c r="L208" s="2"/>
      <c r="M208" s="2"/>
      <c r="N208" s="2"/>
      <c r="O208" s="2"/>
    </row>
    <row r="209" spans="12:15" x14ac:dyDescent="0.25">
      <c r="L209" s="2"/>
      <c r="M209" s="2"/>
      <c r="N209" s="2"/>
      <c r="O209" s="2"/>
    </row>
    <row r="210" spans="12:15" x14ac:dyDescent="0.25">
      <c r="L210" s="2"/>
      <c r="M210" s="2"/>
      <c r="N210" s="2"/>
      <c r="O210" s="2"/>
    </row>
    <row r="212" spans="12:15" x14ac:dyDescent="0.25">
      <c r="L212" s="2"/>
      <c r="M212" s="2"/>
      <c r="N212" s="2"/>
      <c r="O212" s="2"/>
    </row>
    <row r="214" spans="12:15" x14ac:dyDescent="0.25">
      <c r="L214" s="2"/>
      <c r="M214" s="2"/>
      <c r="N214" s="2"/>
      <c r="O214" s="2"/>
    </row>
    <row r="215" spans="12:15" x14ac:dyDescent="0.25">
      <c r="L215" s="2"/>
      <c r="M215" s="2"/>
      <c r="N215" s="2"/>
      <c r="O215" s="2"/>
    </row>
    <row r="216" spans="12:15" x14ac:dyDescent="0.25">
      <c r="L216" s="2"/>
      <c r="M216" s="2"/>
      <c r="N216" s="2"/>
      <c r="O216" s="2"/>
    </row>
    <row r="217" spans="12:15" x14ac:dyDescent="0.25">
      <c r="L217" s="2"/>
      <c r="M217" s="2"/>
      <c r="N217" s="2"/>
      <c r="O217" s="2"/>
    </row>
    <row r="219" spans="12:15" x14ac:dyDescent="0.25">
      <c r="L219" s="2"/>
      <c r="M219" s="2"/>
      <c r="N219" s="2"/>
      <c r="O219" s="2"/>
    </row>
    <row r="227" spans="12:15" x14ac:dyDescent="0.25">
      <c r="L227" s="2"/>
      <c r="M227" s="2"/>
      <c r="N227" s="2"/>
      <c r="O227" s="2"/>
    </row>
    <row r="228" spans="12:15" x14ac:dyDescent="0.25">
      <c r="L228" s="2"/>
      <c r="M228" s="2"/>
      <c r="N228" s="2"/>
      <c r="O228" s="2"/>
    </row>
    <row r="229" spans="12:15" x14ac:dyDescent="0.25">
      <c r="L229" s="2"/>
      <c r="M229" s="2"/>
      <c r="N229" s="2"/>
      <c r="O229" s="2"/>
    </row>
    <row r="232" spans="12:15" x14ac:dyDescent="0.25">
      <c r="L232" s="2"/>
      <c r="M232" s="2"/>
      <c r="N232" s="2"/>
      <c r="O232" s="2"/>
    </row>
    <row r="233" spans="12:15" x14ac:dyDescent="0.25">
      <c r="L233" s="2"/>
      <c r="M233" s="2"/>
      <c r="N233" s="2"/>
      <c r="O233" s="2"/>
    </row>
    <row r="234" spans="12:15" x14ac:dyDescent="0.25">
      <c r="L234" s="2"/>
      <c r="M234" s="2"/>
      <c r="N234" s="2"/>
      <c r="O234" s="2"/>
    </row>
    <row r="237" spans="12:15" x14ac:dyDescent="0.25">
      <c r="L237" s="2"/>
      <c r="M237" s="2"/>
      <c r="N237" s="2"/>
      <c r="O237" s="2"/>
    </row>
    <row r="238" spans="12:15" x14ac:dyDescent="0.25">
      <c r="L238" s="2"/>
      <c r="M238" s="2"/>
      <c r="N238" s="2"/>
      <c r="O238" s="2"/>
    </row>
    <row r="239" spans="12:15" x14ac:dyDescent="0.25">
      <c r="L239" s="2"/>
      <c r="M239" s="2"/>
      <c r="N239" s="2"/>
      <c r="O239" s="2"/>
    </row>
    <row r="242" spans="11:15" x14ac:dyDescent="0.25">
      <c r="L242" s="2"/>
      <c r="M242" s="2"/>
      <c r="N242" s="2"/>
      <c r="O242" s="2"/>
    </row>
    <row r="243" spans="11:15" x14ac:dyDescent="0.25">
      <c r="K243" s="2"/>
      <c r="L243" s="2"/>
      <c r="M243" s="2"/>
      <c r="N243" s="2"/>
      <c r="O243" s="2"/>
    </row>
    <row r="244" spans="11:15" x14ac:dyDescent="0.25">
      <c r="L244" s="2"/>
      <c r="M244" s="2"/>
      <c r="N244" s="2"/>
      <c r="O244" s="2"/>
    </row>
    <row r="248" spans="11:15" x14ac:dyDescent="0.25">
      <c r="K248" s="2"/>
    </row>
    <row r="251" spans="11:15" x14ac:dyDescent="0.25">
      <c r="L251" s="2"/>
      <c r="M251" s="2"/>
      <c r="N251" s="2"/>
      <c r="O251" s="2"/>
    </row>
    <row r="252" spans="11:15" x14ac:dyDescent="0.25">
      <c r="L252" s="2"/>
      <c r="M252" s="2"/>
      <c r="N252" s="2"/>
      <c r="O252" s="2"/>
    </row>
    <row r="253" spans="11:15" x14ac:dyDescent="0.25">
      <c r="K253" s="2"/>
      <c r="L253" s="2"/>
      <c r="M253" s="2"/>
      <c r="N253" s="2"/>
      <c r="O253" s="2"/>
    </row>
    <row r="256" spans="11:15" x14ac:dyDescent="0.25">
      <c r="L256" s="2"/>
      <c r="M256" s="2"/>
      <c r="N256" s="2"/>
      <c r="O256" s="2"/>
    </row>
    <row r="257" spans="11:15" x14ac:dyDescent="0.25">
      <c r="L257" s="2"/>
      <c r="M257" s="2"/>
      <c r="N257" s="2"/>
      <c r="O257" s="2"/>
    </row>
    <row r="258" spans="11:15" x14ac:dyDescent="0.25">
      <c r="K258" s="2"/>
      <c r="L258" s="2"/>
      <c r="M258" s="2"/>
      <c r="N258" s="2"/>
      <c r="O258" s="2"/>
    </row>
    <row r="259" spans="11:15" x14ac:dyDescent="0.25">
      <c r="K259" s="2"/>
    </row>
    <row r="260" spans="11:15" x14ac:dyDescent="0.25">
      <c r="K260" s="2"/>
    </row>
    <row r="261" spans="11:15" x14ac:dyDescent="0.25">
      <c r="K261" s="2"/>
      <c r="L261" s="2"/>
      <c r="M261" s="2"/>
      <c r="N261" s="2"/>
      <c r="O261" s="2"/>
    </row>
    <row r="262" spans="11:15" x14ac:dyDescent="0.25">
      <c r="K262" s="2"/>
      <c r="L262" s="2"/>
      <c r="M262" s="2"/>
      <c r="N262" s="2"/>
      <c r="O262" s="2"/>
    </row>
    <row r="263" spans="11:15" x14ac:dyDescent="0.25">
      <c r="L263" s="2"/>
      <c r="M263" s="2"/>
      <c r="N263" s="2"/>
      <c r="O263" s="2"/>
    </row>
    <row r="264" spans="11:15" x14ac:dyDescent="0.25">
      <c r="K264" s="2"/>
    </row>
    <row r="266" spans="11:15" x14ac:dyDescent="0.25">
      <c r="K266" s="2"/>
      <c r="L266" s="2"/>
      <c r="M266" s="2"/>
      <c r="N266" s="2"/>
      <c r="O266" s="2"/>
    </row>
    <row r="267" spans="11:15" x14ac:dyDescent="0.25">
      <c r="K267" s="2"/>
      <c r="L267" s="2"/>
      <c r="M267" s="2"/>
      <c r="N267" s="2"/>
      <c r="O267" s="2"/>
    </row>
    <row r="268" spans="11:15" x14ac:dyDescent="0.25">
      <c r="K268" s="2"/>
      <c r="L268" s="2"/>
      <c r="M268" s="2"/>
      <c r="N268" s="2"/>
      <c r="O268" s="2"/>
    </row>
    <row r="269" spans="11:15" x14ac:dyDescent="0.25">
      <c r="K269" s="2"/>
    </row>
    <row r="271" spans="11:15" x14ac:dyDescent="0.25">
      <c r="K271" s="2"/>
    </row>
    <row r="277" spans="11:11" x14ac:dyDescent="0.25">
      <c r="K277" s="2"/>
    </row>
    <row r="282" spans="11:11" x14ac:dyDescent="0.25">
      <c r="K282" s="2"/>
    </row>
    <row r="287" spans="11:11" x14ac:dyDescent="0.25">
      <c r="K287" s="2"/>
    </row>
    <row r="292" spans="11:11" x14ac:dyDescent="0.25">
      <c r="K292" s="2"/>
    </row>
    <row r="293" spans="11:11" x14ac:dyDescent="0.25">
      <c r="K293" s="2"/>
    </row>
    <row r="294" spans="11:11" x14ac:dyDescent="0.25">
      <c r="K294" s="2"/>
    </row>
    <row r="295" spans="11:11" x14ac:dyDescent="0.25">
      <c r="K295" s="2"/>
    </row>
    <row r="296" spans="11:11" x14ac:dyDescent="0.25">
      <c r="K296" s="2"/>
    </row>
    <row r="298" spans="11:11" x14ac:dyDescent="0.25">
      <c r="K298" s="2"/>
    </row>
    <row r="300" spans="11:11" x14ac:dyDescent="0.25">
      <c r="K300" s="2"/>
    </row>
    <row r="301" spans="11:11" x14ac:dyDescent="0.25">
      <c r="K301" s="2"/>
    </row>
    <row r="302" spans="11:11" x14ac:dyDescent="0.25">
      <c r="K302" s="2"/>
    </row>
    <row r="303" spans="11:11" x14ac:dyDescent="0.25">
      <c r="K303" s="2"/>
    </row>
    <row r="305" spans="11:11" x14ac:dyDescent="0.25">
      <c r="K305" s="2"/>
    </row>
    <row r="313" spans="11:11" x14ac:dyDescent="0.25">
      <c r="K313" s="2"/>
    </row>
    <row r="314" spans="11:11" x14ac:dyDescent="0.25">
      <c r="K314" s="2"/>
    </row>
    <row r="315" spans="11:11" x14ac:dyDescent="0.25">
      <c r="K315" s="2"/>
    </row>
    <row r="318" spans="11:11" x14ac:dyDescent="0.25">
      <c r="K318" s="2"/>
    </row>
    <row r="319" spans="11:11" x14ac:dyDescent="0.25">
      <c r="K319" s="2"/>
    </row>
    <row r="320" spans="11:11" x14ac:dyDescent="0.25">
      <c r="K320" s="2"/>
    </row>
    <row r="323" spans="11:11" x14ac:dyDescent="0.25">
      <c r="K323" s="2"/>
    </row>
    <row r="324" spans="11:11" x14ac:dyDescent="0.25">
      <c r="K324" s="2"/>
    </row>
    <row r="325" spans="11:11" x14ac:dyDescent="0.25">
      <c r="K325" s="2"/>
    </row>
    <row r="328" spans="11:11" x14ac:dyDescent="0.25">
      <c r="K328" s="2"/>
    </row>
    <row r="329" spans="11:11" x14ac:dyDescent="0.25">
      <c r="K329" s="2"/>
    </row>
    <row r="330" spans="11:11" x14ac:dyDescent="0.25">
      <c r="K330" s="2"/>
    </row>
    <row r="337" spans="11:11" x14ac:dyDescent="0.25">
      <c r="K337" s="2"/>
    </row>
    <row r="338" spans="11:11" x14ac:dyDescent="0.25">
      <c r="K338" s="2"/>
    </row>
    <row r="339" spans="11:11" x14ac:dyDescent="0.25">
      <c r="K339" s="2"/>
    </row>
    <row r="342" spans="11:11" x14ac:dyDescent="0.25">
      <c r="K342" s="2"/>
    </row>
    <row r="343" spans="11:11" x14ac:dyDescent="0.25">
      <c r="K343" s="2"/>
    </row>
    <row r="344" spans="11:11" x14ac:dyDescent="0.25">
      <c r="K344" s="2"/>
    </row>
    <row r="347" spans="11:11" x14ac:dyDescent="0.25">
      <c r="K347" s="2"/>
    </row>
    <row r="348" spans="11:11" x14ac:dyDescent="0.25">
      <c r="K348" s="2"/>
    </row>
    <row r="349" spans="11:11" x14ac:dyDescent="0.25">
      <c r="K349" s="2"/>
    </row>
    <row r="352" spans="11:11" x14ac:dyDescent="0.25">
      <c r="K352" s="2"/>
    </row>
    <row r="353" spans="4:11" x14ac:dyDescent="0.25">
      <c r="K353" s="2"/>
    </row>
    <row r="354" spans="4:11" x14ac:dyDescent="0.25">
      <c r="K354" s="2"/>
    </row>
    <row r="356" spans="4:11" x14ac:dyDescent="0.25">
      <c r="D356" s="106"/>
    </row>
  </sheetData>
  <conditionalFormatting sqref="Q43:R43 P101 N164:O165 K184:M185 N160:O160 K180:M180 N174:O175 K194:M195 N178:O179 N168:O169 K188:M189 N185:O187 I205:M205 I199:M199 K198:M198 I119:J119">
    <cfRule type="cellIs" dxfId="45" priority="74" operator="lessThan">
      <formula>0</formula>
    </cfRule>
  </conditionalFormatting>
  <conditionalFormatting sqref="E205:G205 N190:O190">
    <cfRule type="cellIs" dxfId="44" priority="79" operator="lessThan">
      <formula>0</formula>
    </cfRule>
  </conditionalFormatting>
  <conditionalFormatting sqref="L206:O210 L212:O212 L214:O217 L219:O219 J223:J225 J228:J230 J243:K243 J248:K248 J253:K253 J258:K262 J264:K264 J266:K269 J271:K271 J277:K277 J282:K282 J287:K287 J292:K296 J298:K298 J300:K303 J305:K305">
    <cfRule type="cellIs" dxfId="43" priority="102" operator="lessThan">
      <formula>0</formula>
    </cfRule>
  </conditionalFormatting>
  <conditionalFormatting sqref="F245:F246">
    <cfRule type="cellIs" dxfId="42" priority="93" operator="lessThan">
      <formula>0</formula>
    </cfRule>
  </conditionalFormatting>
  <conditionalFormatting sqref="F250:F251">
    <cfRule type="cellIs" dxfId="41" priority="92" operator="lessThan">
      <formula>0</formula>
    </cfRule>
  </conditionalFormatting>
  <conditionalFormatting sqref="F255:F256">
    <cfRule type="cellIs" dxfId="40" priority="91" operator="lessThan">
      <formula>0</formula>
    </cfRule>
  </conditionalFormatting>
  <conditionalFormatting sqref="F279:F280">
    <cfRule type="cellIs" dxfId="39" priority="85" operator="lessThan">
      <formula>0</formula>
    </cfRule>
  </conditionalFormatting>
  <conditionalFormatting sqref="F284:F285">
    <cfRule type="cellIs" dxfId="38" priority="84" operator="lessThan">
      <formula>0</formula>
    </cfRule>
  </conditionalFormatting>
  <conditionalFormatting sqref="F289:F290">
    <cfRule type="cellIs" dxfId="37" priority="83" operator="lessThan">
      <formula>0</formula>
    </cfRule>
  </conditionalFormatting>
  <conditionalFormatting sqref="L29">
    <cfRule type="cellIs" dxfId="36" priority="70" operator="lessThan">
      <formula>0</formula>
    </cfRule>
  </conditionalFormatting>
  <conditionalFormatting sqref="F40:F41">
    <cfRule type="cellIs" dxfId="35" priority="69" operator="lessThan">
      <formula>0</formula>
    </cfRule>
  </conditionalFormatting>
  <conditionalFormatting sqref="F44">
    <cfRule type="cellIs" dxfId="34" priority="68" operator="lessThan">
      <formula>0</formula>
    </cfRule>
  </conditionalFormatting>
  <conditionalFormatting sqref="F54">
    <cfRule type="cellIs" dxfId="33" priority="62" operator="lessThan">
      <formula>0</formula>
    </cfRule>
  </conditionalFormatting>
  <conditionalFormatting sqref="L30">
    <cfRule type="cellIs" dxfId="32" priority="59" operator="lessThan">
      <formula>0</formula>
    </cfRule>
  </conditionalFormatting>
  <conditionalFormatting sqref="L31">
    <cfRule type="cellIs" dxfId="31" priority="58" operator="lessThan">
      <formula>0</formula>
    </cfRule>
  </conditionalFormatting>
  <conditionalFormatting sqref="L32">
    <cfRule type="cellIs" dxfId="30" priority="57" operator="lessThan">
      <formula>0</formula>
    </cfRule>
  </conditionalFormatting>
  <conditionalFormatting sqref="L33">
    <cfRule type="cellIs" dxfId="29" priority="56" operator="lessThan">
      <formula>0</formula>
    </cfRule>
  </conditionalFormatting>
  <conditionalFormatting sqref="L34">
    <cfRule type="cellIs" dxfId="28" priority="55" operator="lessThan">
      <formula>0</formula>
    </cfRule>
  </conditionalFormatting>
  <conditionalFormatting sqref="L48:L52">
    <cfRule type="cellIs" dxfId="26" priority="28" operator="lessThan">
      <formula>0</formula>
    </cfRule>
  </conditionalFormatting>
  <conditionalFormatting sqref="L56:L59">
    <cfRule type="cellIs" dxfId="25" priority="27" operator="lessThan">
      <formula>0</formula>
    </cfRule>
  </conditionalFormatting>
  <conditionalFormatting sqref="L64:L67">
    <cfRule type="cellIs" dxfId="24" priority="26" operator="lessThan">
      <formula>0</formula>
    </cfRule>
  </conditionalFormatting>
  <conditionalFormatting sqref="L72:L75">
    <cfRule type="cellIs" dxfId="23" priority="25" operator="lessThan">
      <formula>0</formula>
    </cfRule>
  </conditionalFormatting>
  <conditionalFormatting sqref="J147">
    <cfRule type="cellIs" dxfId="22" priority="24" operator="lessThan">
      <formula>0</formula>
    </cfRule>
  </conditionalFormatting>
  <conditionalFormatting sqref="F121:F122">
    <cfRule type="cellIs" dxfId="20" priority="21" operator="lessThan">
      <formula>0</formula>
    </cfRule>
  </conditionalFormatting>
  <conditionalFormatting sqref="F133:F134">
    <cfRule type="cellIs" dxfId="19" priority="20" operator="lessThan">
      <formula>0</formula>
    </cfRule>
  </conditionalFormatting>
  <conditionalFormatting sqref="F145:F146">
    <cfRule type="cellIs" dxfId="18" priority="19" operator="lessThan">
      <formula>0</formula>
    </cfRule>
  </conditionalFormatting>
  <conditionalFormatting sqref="F157:F158">
    <cfRule type="cellIs" dxfId="17" priority="18" operator="lessThan">
      <formula>0</formula>
    </cfRule>
  </conditionalFormatting>
  <conditionalFormatting sqref="L119">
    <cfRule type="cellIs" dxfId="16" priority="17" operator="lessThan">
      <formula>0</formula>
    </cfRule>
  </conditionalFormatting>
  <conditionalFormatting sqref="L131">
    <cfRule type="cellIs" dxfId="15" priority="16" operator="lessThan">
      <formula>0</formula>
    </cfRule>
  </conditionalFormatting>
  <conditionalFormatting sqref="L143">
    <cfRule type="cellIs" dxfId="14" priority="15" operator="lessThan">
      <formula>0</formula>
    </cfRule>
  </conditionalFormatting>
  <conditionalFormatting sqref="L155">
    <cfRule type="cellIs" dxfId="13" priority="14" operator="lessThan">
      <formula>0</formula>
    </cfRule>
  </conditionalFormatting>
  <conditionalFormatting sqref="L160">
    <cfRule type="cellIs" dxfId="12" priority="13" operator="lessThan">
      <formula>0</formula>
    </cfRule>
  </conditionalFormatting>
  <conditionalFormatting sqref="L159">
    <cfRule type="cellIs" dxfId="11" priority="12" operator="lessThan">
      <formula>0</formula>
    </cfRule>
  </conditionalFormatting>
  <conditionalFormatting sqref="L113:L116">
    <cfRule type="cellIs" dxfId="10" priority="11" operator="lessThan">
      <formula>0</formula>
    </cfRule>
  </conditionalFormatting>
  <conditionalFormatting sqref="L125:L128">
    <cfRule type="cellIs" dxfId="9" priority="10" operator="lessThan">
      <formula>0</formula>
    </cfRule>
  </conditionalFormatting>
  <conditionalFormatting sqref="L137:L140">
    <cfRule type="cellIs" dxfId="8" priority="9" operator="lessThan">
      <formula>0</formula>
    </cfRule>
  </conditionalFormatting>
  <conditionalFormatting sqref="L149:L152">
    <cfRule type="cellIs" dxfId="7" priority="8" operator="lessThan">
      <formula>0</formula>
    </cfRule>
  </conditionalFormatting>
  <conditionalFormatting sqref="L80:L83">
    <cfRule type="cellIs" dxfId="6" priority="7" operator="lessThan">
      <formula>0</formula>
    </cfRule>
  </conditionalFormatting>
  <conditionalFormatting sqref="L60">
    <cfRule type="cellIs" dxfId="5" priority="6" operator="lessThan">
      <formula>0</formula>
    </cfRule>
  </conditionalFormatting>
  <conditionalFormatting sqref="L68">
    <cfRule type="cellIs" dxfId="4" priority="5" operator="lessThan">
      <formula>0</formula>
    </cfRule>
  </conditionalFormatting>
  <conditionalFormatting sqref="L76">
    <cfRule type="cellIs" dxfId="3" priority="4" operator="lessThan">
      <formula>0</formula>
    </cfRule>
  </conditionalFormatting>
  <conditionalFormatting sqref="L84">
    <cfRule type="cellIs" dxfId="2" priority="3" operator="lessThan">
      <formula>0</formula>
    </cfRule>
  </conditionalFormatting>
  <conditionalFormatting sqref="L88:L92">
    <cfRule type="cellIs" dxfId="1" priority="2" operator="lessThan">
      <formula>0</formula>
    </cfRule>
  </conditionalFormatting>
  <conditionalFormatting sqref="L93">
    <cfRule type="cellIs" dxfId="0" priority="1" operator="lessThan">
      <formula>0</formula>
    </cfRule>
  </conditionalFormatting>
  <dataValidations count="4">
    <dataValidation type="list" allowBlank="1" showInputMessage="1" showErrorMessage="1" sqref="D272" xr:uid="{4E913AB3-F90B-4C35-BCE1-5DBB8FC05107}">
      <formula1>INDIRECT("Table_SourceData_PoultryMMSStage1[MMS]")</formula1>
    </dataValidation>
    <dataValidation type="list" allowBlank="1" showInputMessage="1" showErrorMessage="1" sqref="E220" xr:uid="{9FB53635-991F-44AA-A123-E8ABEF9EE0A6}">
      <formula1>INDIRECT("Table_SourceData_Dairy_ProductionSystemTemplates[Area]")</formula1>
    </dataValidation>
    <dataValidation type="list" allowBlank="1" showInputMessage="1" showErrorMessage="1" sqref="E244 E249 E254 E288 E283 E278 E39:E43 E156 E144 E120 E132" xr:uid="{00A4EA4C-90D3-4150-979D-4D71C7F37A31}">
      <formula1>"Yes, No"</formula1>
    </dataValidation>
    <dataValidation type="list" allowBlank="1" showInputMessage="1" showErrorMessage="1" sqref="E26" xr:uid="{7CE3F3B3-74F0-4147-9434-E417CDC75C10}">
      <formula1>INDIRECT("Table_SourceData_Swine_ProductionSystems[Production system]")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C1CB6-2463-438A-90A4-6F54247DF8D8}">
  <dimension ref="A1:AG342"/>
  <sheetViews>
    <sheetView showGridLines="0" tabSelected="1" topLeftCell="A227" zoomScale="85" zoomScaleNormal="85" workbookViewId="0">
      <selection activeCell="F251" sqref="F251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6" width="30.7109375" style="1" customWidth="1"/>
    <col min="17" max="17" width="4.7109375" style="1" customWidth="1"/>
    <col min="18" max="18" width="4.7109375" customWidth="1"/>
    <col min="19" max="19" width="4.7109375" style="1" customWidth="1"/>
    <col min="20" max="32" width="30.7109375" style="1" customWidth="1"/>
    <col min="33" max="33" width="4.7109375" style="1" customWidth="1"/>
  </cols>
  <sheetData>
    <row r="1" spans="1:33" s="8" customFormat="1" ht="30" customHeight="1" x14ac:dyDescent="0.35">
      <c r="A1" s="68" t="e" vm="1">
        <v>#VALUE!</v>
      </c>
      <c r="C1" s="8" t="s">
        <v>247</v>
      </c>
    </row>
    <row r="2" spans="1:33" s="9" customFormat="1" ht="20.100000000000001" customHeight="1" x14ac:dyDescent="0.25"/>
    <row r="3" spans="1:33" ht="20.100000000000001" customHeight="1" x14ac:dyDescent="0.25">
      <c r="A3" s="17" t="str">
        <f>HYPERLINK("#'Home'!A1", "Home")</f>
        <v>Home</v>
      </c>
      <c r="C3" s="4"/>
      <c r="D3" s="4" t="s">
        <v>105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S3" s="4"/>
      <c r="T3" s="4" t="s">
        <v>106</v>
      </c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ht="20.100000000000001" customHeight="1" x14ac:dyDescent="0.25">
      <c r="A4" s="17" t="str">
        <f>HYPERLINK("#'Results'!A1", "Results")</f>
        <v>Results</v>
      </c>
    </row>
    <row r="5" spans="1:33" ht="20.100000000000001" customHeight="1" x14ac:dyDescent="0.25">
      <c r="A5" s="16"/>
      <c r="D5" s="6" t="str" cm="1">
        <f t="array" ref="D5">ManureManagement_Swine_Methane.VEERG_4_5_1_1__4_FractionVolatileSolidsPrimarySystem_Title()</f>
        <v>Fraction of volatile solids in each primary system other than solid storage</v>
      </c>
    </row>
    <row r="6" spans="1:33" ht="20.100000000000001" customHeight="1" x14ac:dyDescent="0.25">
      <c r="A6" s="20" t="s">
        <v>3</v>
      </c>
      <c r="D6" s="5" t="str" cm="1">
        <f t="array" ref="D6">ManureManagement_Swine_Methane.VEERG_4_5_1_1__4_FractionVolatileSolidsPrimarySystem_Source()</f>
        <v>VEERG 2026: 4.5.1.1, Equation (4)</v>
      </c>
    </row>
    <row r="7" spans="1:33" ht="20.100000000000001" customHeight="1" x14ac:dyDescent="0.25">
      <c r="A7" s="17" t="str">
        <f>HYPERLINK("#'Input - Site'!A1", "Site")</f>
        <v>Site</v>
      </c>
      <c r="D7" s="13" t="s">
        <v>26</v>
      </c>
      <c r="E7" s="13" t="str" cm="1">
        <f t="array" aca="1" ref="E7" ca="1">Common_InputFunctions.Utility_DisplayFunctionName($E$40)</f>
        <v>=ManureManagement_Swine_Methane.VEERG_4_5_1_1__4_FractionVolatileSolidsPrimarySystem</v>
      </c>
    </row>
    <row r="8" spans="1:33" ht="20.100000000000001" customHeight="1" x14ac:dyDescent="0.25">
      <c r="A8" s="17" t="str">
        <f>HYPERLINK("#'Input - Swine'!A1", "Swine")</f>
        <v>Swine</v>
      </c>
      <c r="D8" s="55"/>
    </row>
    <row r="9" spans="1:33" ht="20.100000000000001" customHeight="1" x14ac:dyDescent="0.25">
      <c r="A9" s="17"/>
    </row>
    <row r="10" spans="1:33" ht="20.100000000000001" customHeight="1" x14ac:dyDescent="0.25">
      <c r="A10" s="19" t="s">
        <v>76</v>
      </c>
      <c r="D10" s="53" t="s">
        <v>29</v>
      </c>
      <c r="E10" s="1" t="str" cm="1">
        <f t="array" ref="E10">ManureManagement_Swine_Methane.VEERG_4_5_1_1__4_FractionVolatileSolidsPrimarySystem_Variable()</f>
        <v>FVSjmT1</v>
      </c>
      <c r="G10" s="107" t="s">
        <v>248</v>
      </c>
    </row>
    <row r="11" spans="1:33" ht="20.100000000000001" customHeight="1" x14ac:dyDescent="0.25">
      <c r="A11" s="17" t="str">
        <f>HYPERLINK("#'4.2.1.1-2 Methane'!A1", "4.2.1.1-2 Methane")</f>
        <v>4.2.1.1-2 Methane</v>
      </c>
      <c r="D11" s="53" t="s">
        <v>19</v>
      </c>
      <c r="E11" s="54" t="str" cm="1">
        <f t="array" ref="E11">ManureManagement_Swine_Methane.VEERG_4_5_1_1__4_FractionVolatileSolidsPrimarySystem_Unit()</f>
        <v>fraction</v>
      </c>
    </row>
    <row r="12" spans="1:33" ht="20.100000000000001" customHeight="1" x14ac:dyDescent="0.25">
      <c r="A12" s="17" t="str">
        <f>HYPERLINK("#'4.2.1.3-4 Soil direct N2O'!A1", "4.2.1.3-4 Soil direct N2O")</f>
        <v>4.2.1.3-4 Soil direct N2O</v>
      </c>
    </row>
    <row r="13" spans="1:33" ht="20.100000000000001" customHeight="1" x14ac:dyDescent="0.25">
      <c r="A13" s="17" t="str">
        <f>HYPERLINK("#'4.2.1.5-6 Soil Atmos Dep'!A1", "4.2.1.5-6 Soil atm. deposition")</f>
        <v>4.2.1.5-6 Soil atm. deposition</v>
      </c>
      <c r="D13" s="57" t="str" cm="1">
        <f t="array" ref="D13:E14">ManureManagement_Swine_Methane.VEERG_4_5_1_1__4_FractionVolatileSolidsPrimarySystem_Arguments()</f>
        <v>MMSjmT1</v>
      </c>
      <c r="E13" s="58" t="str">
        <v>fraction of manure to each primary MMS for each class prior to solid separation : fraction</v>
      </c>
      <c r="F13" s="100"/>
      <c r="G13" s="59"/>
      <c r="H13" s="52" t="str">
        <f>"See " &amp; $D$16</f>
        <v>See Table_MMS_j_m-1-7-9-8_T-1</v>
      </c>
      <c r="I13" s="107" t="s">
        <v>249</v>
      </c>
    </row>
    <row r="14" spans="1:33" ht="20.100000000000001" customHeight="1" x14ac:dyDescent="0.25">
      <c r="A14" s="17" t="str">
        <f>HYPERLINK("#'4.2.1.7-8 Soil leach runoff'!A1", "4.2.1.7-8 Soil leach &amp; runoff")</f>
        <v>4.2.1.7-8 Soil leach &amp; runoff</v>
      </c>
      <c r="D14" s="57" t="str">
        <v>SSm</v>
      </c>
      <c r="E14" s="58" t="str">
        <v>fraction of volatile solids separated to solid storage for each MMS : fraction</v>
      </c>
      <c r="F14" s="100"/>
      <c r="G14" s="59"/>
      <c r="H14" s="52" t="str">
        <f>"See " &amp; $D$26</f>
        <v>See M1_Table_SS_m-1-7-9</v>
      </c>
      <c r="I14" s="107" t="s">
        <v>250</v>
      </c>
    </row>
    <row r="15" spans="1:33" ht="20.100000000000001" customHeight="1" x14ac:dyDescent="0.25">
      <c r="A15" s="17"/>
    </row>
    <row r="16" spans="1:33" ht="20.100000000000001" customHeight="1" x14ac:dyDescent="0.25">
      <c r="A16" s="18" t="s">
        <v>4</v>
      </c>
      <c r="D16" s="122" t="s">
        <v>251</v>
      </c>
    </row>
    <row r="17" spans="1:14" ht="20.100000000000001" customHeight="1" x14ac:dyDescent="0.25">
      <c r="A17" s="17" t="str">
        <f>HYPERLINK("#'Constants - Swine'!A1", "Constants - Swine")</f>
        <v>Constants - Swine</v>
      </c>
      <c r="D17" s="123" t="s">
        <v>252</v>
      </c>
    </row>
    <row r="18" spans="1:14" ht="20.100000000000001" customHeight="1" x14ac:dyDescent="0.25">
      <c r="A18" s="17" t="str">
        <f>HYPERLINK("#'Constants - Livestock'!A1", "Constants - Livestock")</f>
        <v>Constants - Livestock</v>
      </c>
      <c r="E18" s="51" t="s">
        <v>222</v>
      </c>
      <c r="F18" s="51" t="s">
        <v>223</v>
      </c>
      <c r="G18" s="51" t="s">
        <v>224</v>
      </c>
      <c r="H18" s="51" t="s">
        <v>225</v>
      </c>
      <c r="I18" s="51" t="s">
        <v>226</v>
      </c>
      <c r="J18" s="51" t="s">
        <v>227</v>
      </c>
      <c r="K18" s="51" t="s">
        <v>228</v>
      </c>
    </row>
    <row r="19" spans="1:14" ht="20.100000000000001" customHeight="1" x14ac:dyDescent="0.25">
      <c r="A19" s="17" t="str">
        <f>HYPERLINK("#'Constants - Common'!A1", "Constants - Common")</f>
        <v>Constants - Common</v>
      </c>
      <c r="D19" s="51" t="s">
        <v>253</v>
      </c>
      <c r="E19" s="51" t="s">
        <v>254</v>
      </c>
      <c r="F19" s="51" t="s">
        <v>255</v>
      </c>
      <c r="G19" s="51" t="s">
        <v>256</v>
      </c>
      <c r="H19" s="51" t="s">
        <v>257</v>
      </c>
      <c r="I19" s="51" t="s">
        <v>257</v>
      </c>
      <c r="J19" s="51" t="s">
        <v>257</v>
      </c>
      <c r="K19" s="51" t="s">
        <v>257</v>
      </c>
    </row>
    <row r="20" spans="1:14" ht="20.100000000000001" customHeight="1" x14ac:dyDescent="0.25">
      <c r="A20" s="17" t="str">
        <f>HYPERLINK("#'Acknowledgements'!A1", "Acknowledgements")</f>
        <v>Acknowledgements</v>
      </c>
      <c r="D20" s="57" t="str">
        <f>'Input - Swine'!$D$29</f>
        <v>Anaerobic lagoon</v>
      </c>
      <c r="E20" s="52">
        <f>'Input - Swine'!E29</f>
        <v>0.15</v>
      </c>
      <c r="F20" s="52">
        <f>'Input - Swine'!F29</f>
        <v>0.15</v>
      </c>
      <c r="G20" s="52">
        <f>'Input - Swine'!G29</f>
        <v>0.15</v>
      </c>
      <c r="H20" s="52">
        <f>'Input - Swine'!H29</f>
        <v>0.15</v>
      </c>
      <c r="I20" s="52">
        <f>'Input - Swine'!I29</f>
        <v>0.15</v>
      </c>
      <c r="J20" s="52">
        <f>'Input - Swine'!J29</f>
        <v>0.15</v>
      </c>
      <c r="K20" s="52">
        <f>'Input - Swine'!K29</f>
        <v>0.15</v>
      </c>
      <c r="L20" s="2" t="s">
        <v>99</v>
      </c>
    </row>
    <row r="21" spans="1:14" ht="20.100000000000001" customHeight="1" x14ac:dyDescent="0.25">
      <c r="D21" s="57" t="str">
        <f>'Input - Swine'!$D$30</f>
        <v>Drylot (feed pad)</v>
      </c>
      <c r="E21" s="52">
        <f>'Input - Swine'!E30</f>
        <v>0.15</v>
      </c>
      <c r="F21" s="52">
        <f>'Input - Swine'!F30</f>
        <v>0.15</v>
      </c>
      <c r="G21" s="52">
        <f>'Input - Swine'!G30</f>
        <v>0.15</v>
      </c>
      <c r="H21" s="52">
        <f>'Input - Swine'!H30</f>
        <v>0.15</v>
      </c>
      <c r="I21" s="52">
        <f>'Input - Swine'!I30</f>
        <v>0.15</v>
      </c>
      <c r="J21" s="52">
        <f>'Input - Swine'!J30</f>
        <v>0.15</v>
      </c>
      <c r="K21" s="52">
        <f>'Input - Swine'!K30</f>
        <v>0.15</v>
      </c>
      <c r="L21" s="2" t="s">
        <v>99</v>
      </c>
    </row>
    <row r="22" spans="1:14" ht="20.100000000000001" customHeight="1" x14ac:dyDescent="0.25">
      <c r="A22" s="17"/>
      <c r="D22" s="57" t="str">
        <f>'Input - Swine'!$D$31</f>
        <v>Digester / covered lagoons</v>
      </c>
      <c r="E22" s="52">
        <f>'Input - Swine'!E31</f>
        <v>0.15</v>
      </c>
      <c r="F22" s="52">
        <f>'Input - Swine'!F31</f>
        <v>0.15</v>
      </c>
      <c r="G22" s="52">
        <f>'Input - Swine'!G31</f>
        <v>0.15</v>
      </c>
      <c r="H22" s="52">
        <f>'Input - Swine'!H31</f>
        <v>0.15</v>
      </c>
      <c r="I22" s="52">
        <f>'Input - Swine'!I31</f>
        <v>0.15</v>
      </c>
      <c r="J22" s="52">
        <f>'Input - Swine'!J31</f>
        <v>0.15</v>
      </c>
      <c r="K22" s="52">
        <f>'Input - Swine'!K31</f>
        <v>0.15</v>
      </c>
      <c r="L22" s="2" t="s">
        <v>99</v>
      </c>
      <c r="N22" s="2"/>
    </row>
    <row r="23" spans="1:14" ht="20.100000000000001" customHeight="1" x14ac:dyDescent="0.25">
      <c r="A23" s="17"/>
      <c r="D23" s="57" t="str">
        <f>'Input - Swine'!$D$32</f>
        <v>Deep litter</v>
      </c>
      <c r="E23" s="52">
        <f>'Input - Swine'!E32</f>
        <v>0.15</v>
      </c>
      <c r="F23" s="52">
        <f>'Input - Swine'!F32</f>
        <v>0.15</v>
      </c>
      <c r="G23" s="52">
        <f>'Input - Swine'!G32</f>
        <v>0.15</v>
      </c>
      <c r="H23" s="52">
        <f>'Input - Swine'!H32</f>
        <v>0.15</v>
      </c>
      <c r="I23" s="52">
        <f>'Input - Swine'!I32</f>
        <v>0.15</v>
      </c>
      <c r="J23" s="52">
        <f>'Input - Swine'!J32</f>
        <v>0.15</v>
      </c>
      <c r="K23" s="52">
        <f>'Input - Swine'!K32</f>
        <v>0.15</v>
      </c>
      <c r="L23" s="2" t="s">
        <v>99</v>
      </c>
      <c r="N23" s="2"/>
    </row>
    <row r="24" spans="1:14" ht="20.100000000000001" customHeight="1" x14ac:dyDescent="0.25">
      <c r="D24" s="57" t="str">
        <f>'Input - Swine'!$D$33</f>
        <v>Pit storage</v>
      </c>
      <c r="E24" s="52">
        <f>'Input - Swine'!E33</f>
        <v>0.15</v>
      </c>
      <c r="F24" s="52">
        <f>'Input - Swine'!F33</f>
        <v>0.15</v>
      </c>
      <c r="G24" s="52">
        <f>'Input - Swine'!G33</f>
        <v>0.15</v>
      </c>
      <c r="H24" s="52">
        <f>'Input - Swine'!H33</f>
        <v>0.15</v>
      </c>
      <c r="I24" s="52">
        <f>'Input - Swine'!I33</f>
        <v>0.15</v>
      </c>
      <c r="J24" s="52">
        <f>'Input - Swine'!J33</f>
        <v>0.15</v>
      </c>
      <c r="K24" s="52">
        <f>'Input - Swine'!K33</f>
        <v>0.15</v>
      </c>
      <c r="L24" s="2" t="s">
        <v>99</v>
      </c>
      <c r="N24" s="2"/>
    </row>
    <row r="25" spans="1:14" ht="20.100000000000001" customHeight="1" x14ac:dyDescent="0.25">
      <c r="N25" s="2"/>
    </row>
    <row r="26" spans="1:14" ht="20.100000000000001" customHeight="1" x14ac:dyDescent="0.25">
      <c r="D26" s="122" t="s">
        <v>340</v>
      </c>
    </row>
    <row r="27" spans="1:14" ht="20.100000000000001" customHeight="1" x14ac:dyDescent="0.25">
      <c r="D27" s="123" t="s">
        <v>341</v>
      </c>
    </row>
    <row r="28" spans="1:14" ht="20.100000000000001" customHeight="1" x14ac:dyDescent="0.25">
      <c r="E28" s="51" t="s">
        <v>222</v>
      </c>
      <c r="F28" s="51" t="s">
        <v>223</v>
      </c>
      <c r="G28" s="51" t="s">
        <v>224</v>
      </c>
      <c r="H28" s="51" t="s">
        <v>225</v>
      </c>
      <c r="I28" s="51" t="s">
        <v>226</v>
      </c>
      <c r="J28" s="51" t="s">
        <v>227</v>
      </c>
      <c r="K28" s="51" t="s">
        <v>228</v>
      </c>
    </row>
    <row r="29" spans="1:14" ht="20.100000000000001" customHeight="1" x14ac:dyDescent="0.25">
      <c r="D29" s="51" t="s">
        <v>253</v>
      </c>
      <c r="E29" s="51" t="s">
        <v>258</v>
      </c>
      <c r="F29" s="51" t="s">
        <v>259</v>
      </c>
      <c r="G29" s="51" t="s">
        <v>260</v>
      </c>
      <c r="H29" s="51" t="s">
        <v>261</v>
      </c>
      <c r="I29" s="51" t="s">
        <v>261</v>
      </c>
      <c r="J29" s="51" t="s">
        <v>261</v>
      </c>
      <c r="K29" s="51" t="s">
        <v>261</v>
      </c>
    </row>
    <row r="30" spans="1:14" ht="20.100000000000001" customHeight="1" x14ac:dyDescent="0.25">
      <c r="D30" s="57" t="str">
        <f>'Input - Swine'!$D$29</f>
        <v>Anaerobic lagoon</v>
      </c>
      <c r="E30" s="52">
        <f>'Input - Swine'!$F$39</f>
        <v>0.2</v>
      </c>
      <c r="F30" s="52">
        <f>'Input - Swine'!$F$39</f>
        <v>0.2</v>
      </c>
      <c r="G30" s="52">
        <f>'Input - Swine'!$F$39</f>
        <v>0.2</v>
      </c>
      <c r="H30" s="52">
        <f>'Input - Swine'!$F$39</f>
        <v>0.2</v>
      </c>
      <c r="I30" s="52">
        <f>'Input - Swine'!$F$39</f>
        <v>0.2</v>
      </c>
      <c r="J30" s="52">
        <f>'Input - Swine'!$F$39</f>
        <v>0.2</v>
      </c>
      <c r="K30" s="52">
        <f>'Input - Swine'!$F$39</f>
        <v>0.2</v>
      </c>
      <c r="L30" s="2" t="s">
        <v>99</v>
      </c>
    </row>
    <row r="31" spans="1:14" ht="20.100000000000001" customHeight="1" x14ac:dyDescent="0.25">
      <c r="D31" s="57" t="str">
        <f>'Input - Swine'!$D$30</f>
        <v>Drylot (feed pad)</v>
      </c>
      <c r="E31" s="52">
        <f>'Input - Swine'!$F$40</f>
        <v>0.2</v>
      </c>
      <c r="F31" s="52">
        <f>'Input - Swine'!$F$40</f>
        <v>0.2</v>
      </c>
      <c r="G31" s="52">
        <f>'Input - Swine'!$F$40</f>
        <v>0.2</v>
      </c>
      <c r="H31" s="52">
        <f>'Input - Swine'!$F$40</f>
        <v>0.2</v>
      </c>
      <c r="I31" s="52">
        <f>'Input - Swine'!$F$40</f>
        <v>0.2</v>
      </c>
      <c r="J31" s="52">
        <f>'Input - Swine'!$F$40</f>
        <v>0.2</v>
      </c>
      <c r="K31" s="52">
        <f>'Input - Swine'!$F$40</f>
        <v>0.2</v>
      </c>
      <c r="L31" s="2" t="s">
        <v>99</v>
      </c>
    </row>
    <row r="32" spans="1:14" ht="20.100000000000001" customHeight="1" x14ac:dyDescent="0.25">
      <c r="D32" s="57" t="str">
        <f>'Input - Swine'!$D$31</f>
        <v>Digester / covered lagoons</v>
      </c>
      <c r="E32" s="52">
        <f>'Input - Swine'!$F$41</f>
        <v>0.2</v>
      </c>
      <c r="F32" s="52">
        <f>'Input - Swine'!$F$41</f>
        <v>0.2</v>
      </c>
      <c r="G32" s="52">
        <f>'Input - Swine'!$F$41</f>
        <v>0.2</v>
      </c>
      <c r="H32" s="52">
        <f>'Input - Swine'!$F$41</f>
        <v>0.2</v>
      </c>
      <c r="I32" s="52">
        <f>'Input - Swine'!$F$41</f>
        <v>0.2</v>
      </c>
      <c r="J32" s="52">
        <f>'Input - Swine'!$F$41</f>
        <v>0.2</v>
      </c>
      <c r="K32" s="52">
        <f>'Input - Swine'!$F$41</f>
        <v>0.2</v>
      </c>
      <c r="L32" s="2" t="s">
        <v>99</v>
      </c>
    </row>
    <row r="33" spans="3:15" ht="20.100000000000001" customHeight="1" x14ac:dyDescent="0.25">
      <c r="D33" s="57" t="str">
        <f>'Input - Swine'!$D$32</f>
        <v>Deep litter</v>
      </c>
      <c r="E33" s="52">
        <f>'Input - Swine'!$F$42</f>
        <v>0.2</v>
      </c>
      <c r="F33" s="52">
        <f>'Input - Swine'!$F$42</f>
        <v>0.2</v>
      </c>
      <c r="G33" s="52">
        <f>'Input - Swine'!$F$42</f>
        <v>0.2</v>
      </c>
      <c r="H33" s="52">
        <f>'Input - Swine'!$F$42</f>
        <v>0.2</v>
      </c>
      <c r="I33" s="52">
        <f>'Input - Swine'!$F$42</f>
        <v>0.2</v>
      </c>
      <c r="J33" s="52">
        <f>'Input - Swine'!$F$42</f>
        <v>0.2</v>
      </c>
      <c r="K33" s="52">
        <f>'Input - Swine'!$F$42</f>
        <v>0.2</v>
      </c>
      <c r="L33" s="2" t="s">
        <v>99</v>
      </c>
    </row>
    <row r="34" spans="3:15" ht="20.100000000000001" customHeight="1" x14ac:dyDescent="0.25">
      <c r="D34" s="57" t="str">
        <f>'Input - Swine'!$D$33</f>
        <v>Pit storage</v>
      </c>
      <c r="E34" s="52">
        <f>'Input - Swine'!$F$43</f>
        <v>0.2</v>
      </c>
      <c r="F34" s="52">
        <f>'Input - Swine'!$F$43</f>
        <v>0.2</v>
      </c>
      <c r="G34" s="52">
        <f>'Input - Swine'!$F$43</f>
        <v>0.2</v>
      </c>
      <c r="H34" s="52">
        <f>'Input - Swine'!$F$43</f>
        <v>0.2</v>
      </c>
      <c r="I34" s="52">
        <f>'Input - Swine'!$F$43</f>
        <v>0.2</v>
      </c>
      <c r="J34" s="52">
        <f>'Input - Swine'!$F$43</f>
        <v>0.2</v>
      </c>
      <c r="K34" s="52">
        <f>'Input - Swine'!$F$43</f>
        <v>0.2</v>
      </c>
      <c r="L34" s="2" t="s">
        <v>99</v>
      </c>
    </row>
    <row r="35" spans="3:15" ht="20.100000000000001" customHeight="1" x14ac:dyDescent="0.25"/>
    <row r="36" spans="3:15" ht="20.100000000000001" customHeight="1" x14ac:dyDescent="0.25">
      <c r="D36" s="122" t="s">
        <v>342</v>
      </c>
    </row>
    <row r="37" spans="3:15" ht="20.100000000000001" customHeight="1" x14ac:dyDescent="0.25">
      <c r="D37" s="123" t="s">
        <v>343</v>
      </c>
    </row>
    <row r="38" spans="3:15" ht="20.100000000000001" customHeight="1" x14ac:dyDescent="0.25">
      <c r="E38" s="51" t="s">
        <v>222</v>
      </c>
      <c r="F38" s="51" t="s">
        <v>223</v>
      </c>
      <c r="G38" s="51" t="s">
        <v>224</v>
      </c>
      <c r="H38" s="51" t="s">
        <v>225</v>
      </c>
      <c r="I38" s="51" t="s">
        <v>226</v>
      </c>
      <c r="J38" s="51" t="s">
        <v>227</v>
      </c>
      <c r="K38" s="51" t="s">
        <v>228</v>
      </c>
    </row>
    <row r="39" spans="3:15" ht="20.100000000000001" customHeight="1" x14ac:dyDescent="0.25">
      <c r="D39" s="51" t="s">
        <v>253</v>
      </c>
      <c r="E39" s="51" t="s">
        <v>262</v>
      </c>
      <c r="F39" s="51" t="s">
        <v>262</v>
      </c>
      <c r="G39" s="51" t="s">
        <v>262</v>
      </c>
      <c r="H39" s="51" t="s">
        <v>262</v>
      </c>
      <c r="I39" s="51" t="s">
        <v>262</v>
      </c>
      <c r="J39" s="51" t="s">
        <v>262</v>
      </c>
      <c r="K39" s="51" t="s">
        <v>262</v>
      </c>
    </row>
    <row r="40" spans="3:15" ht="20.100000000000001" customHeight="1" x14ac:dyDescent="0.25">
      <c r="D40" s="57" t="str">
        <f>'Input - Swine'!$D$29</f>
        <v>Anaerobic lagoon</v>
      </c>
      <c r="E40" s="52" cm="1">
        <f t="array" ref="E40">ManureManagement_Swine_Methane.VEERG_4_5_1_1__4_FractionVolatileSolidsPrimarySystem(E20,E30)</f>
        <v>0.12</v>
      </c>
      <c r="F40" s="52" cm="1">
        <f t="array" ref="F40">ManureManagement_Swine_Methane.VEERG_4_5_1_1__4_FractionVolatileSolidsPrimarySystem(F20,F30)</f>
        <v>0.12</v>
      </c>
      <c r="G40" s="52" cm="1">
        <f t="array" ref="G40">ManureManagement_Swine_Methane.VEERG_4_5_1_1__4_FractionVolatileSolidsPrimarySystem(G20,G30)</f>
        <v>0.12</v>
      </c>
      <c r="H40" s="52" cm="1">
        <f t="array" ref="H40">ManureManagement_Swine_Methane.VEERG_4_5_1_1__4_FractionVolatileSolidsPrimarySystem(H20,H30)</f>
        <v>0.12</v>
      </c>
      <c r="I40" s="52" cm="1">
        <f t="array" ref="I40">ManureManagement_Swine_Methane.VEERG_4_5_1_1__4_FractionVolatileSolidsPrimarySystem(I20,I30)</f>
        <v>0.12</v>
      </c>
      <c r="J40" s="52" cm="1">
        <f t="array" ref="J40">ManureManagement_Swine_Methane.VEERG_4_5_1_1__4_FractionVolatileSolidsPrimarySystem(J20,J30)</f>
        <v>0.12</v>
      </c>
      <c r="K40" s="52" cm="1">
        <f t="array" ref="K40">ManureManagement_Swine_Methane.VEERG_4_5_1_1__4_FractionVolatileSolidsPrimarySystem(K20,K30)</f>
        <v>0.12</v>
      </c>
      <c r="L40" s="2" t="str">
        <f>$E$11</f>
        <v>fraction</v>
      </c>
    </row>
    <row r="41" spans="3:15" ht="20.100000000000001" customHeight="1" x14ac:dyDescent="0.25">
      <c r="D41" s="57" t="str">
        <f>'Input - Swine'!$D$30</f>
        <v>Drylot (feed pad)</v>
      </c>
      <c r="E41" s="52" cm="1">
        <f t="array" ref="E41">ManureManagement_Swine_Methane.VEERG_4_5_1_1__4_FractionVolatileSolidsPrimarySystem(E21,E31)</f>
        <v>0.12</v>
      </c>
      <c r="F41" s="52" cm="1">
        <f t="array" ref="F41">ManureManagement_Swine_Methane.VEERG_4_5_1_1__4_FractionVolatileSolidsPrimarySystem(F21,F31)</f>
        <v>0.12</v>
      </c>
      <c r="G41" s="52" cm="1">
        <f t="array" ref="G41">ManureManagement_Swine_Methane.VEERG_4_5_1_1__4_FractionVolatileSolidsPrimarySystem(G21,G31)</f>
        <v>0.12</v>
      </c>
      <c r="H41" s="52" cm="1">
        <f t="array" ref="H41">ManureManagement_Swine_Methane.VEERG_4_5_1_1__4_FractionVolatileSolidsPrimarySystem(H21,H31)</f>
        <v>0.12</v>
      </c>
      <c r="I41" s="52" cm="1">
        <f t="array" ref="I41">ManureManagement_Swine_Methane.VEERG_4_5_1_1__4_FractionVolatileSolidsPrimarySystem(I21,I31)</f>
        <v>0.12</v>
      </c>
      <c r="J41" s="52" cm="1">
        <f t="array" ref="J41">ManureManagement_Swine_Methane.VEERG_4_5_1_1__4_FractionVolatileSolidsPrimarySystem(J21,J31)</f>
        <v>0.12</v>
      </c>
      <c r="K41" s="52" cm="1">
        <f t="array" ref="K41">ManureManagement_Swine_Methane.VEERG_4_5_1_1__4_FractionVolatileSolidsPrimarySystem(K21,K31)</f>
        <v>0.12</v>
      </c>
      <c r="L41" s="2" t="str">
        <f>$E$11</f>
        <v>fraction</v>
      </c>
    </row>
    <row r="42" spans="3:15" ht="20.100000000000001" customHeight="1" x14ac:dyDescent="0.25">
      <c r="D42" s="57" t="str">
        <f>'Input - Swine'!$D$31</f>
        <v>Digester / covered lagoons</v>
      </c>
      <c r="E42" s="52" cm="1">
        <f t="array" ref="E42">ManureManagement_Swine_Methane.VEERG_4_5_1_1__4_FractionVolatileSolidsPrimarySystem(E22,E32)</f>
        <v>0.12</v>
      </c>
      <c r="F42" s="52" cm="1">
        <f t="array" ref="F42">ManureManagement_Swine_Methane.VEERG_4_5_1_1__4_FractionVolatileSolidsPrimarySystem(F22,F32)</f>
        <v>0.12</v>
      </c>
      <c r="G42" s="52" cm="1">
        <f t="array" ref="G42">ManureManagement_Swine_Methane.VEERG_4_5_1_1__4_FractionVolatileSolidsPrimarySystem(G22,G32)</f>
        <v>0.12</v>
      </c>
      <c r="H42" s="52" cm="1">
        <f t="array" ref="H42">ManureManagement_Swine_Methane.VEERG_4_5_1_1__4_FractionVolatileSolidsPrimarySystem(H22,H32)</f>
        <v>0.12</v>
      </c>
      <c r="I42" s="52" cm="1">
        <f t="array" ref="I42">ManureManagement_Swine_Methane.VEERG_4_5_1_1__4_FractionVolatileSolidsPrimarySystem(I22,I32)</f>
        <v>0.12</v>
      </c>
      <c r="J42" s="52" cm="1">
        <f t="array" ref="J42">ManureManagement_Swine_Methane.VEERG_4_5_1_1__4_FractionVolatileSolidsPrimarySystem(J22,J32)</f>
        <v>0.12</v>
      </c>
      <c r="K42" s="52" cm="1">
        <f t="array" ref="K42">ManureManagement_Swine_Methane.VEERG_4_5_1_1__4_FractionVolatileSolidsPrimarySystem(K22,K32)</f>
        <v>0.12</v>
      </c>
      <c r="L42" s="2" t="str">
        <f>$E$11</f>
        <v>fraction</v>
      </c>
    </row>
    <row r="43" spans="3:15" ht="20.100000000000001" customHeight="1" x14ac:dyDescent="0.25">
      <c r="D43" s="57" t="str">
        <f>'Input - Swine'!$D$32</f>
        <v>Deep litter</v>
      </c>
      <c r="E43" s="52" cm="1">
        <f t="array" ref="E43">ManureManagement_Swine_Methane.VEERG_4_5_1_1__4_FractionVolatileSolidsPrimarySystem(E23,E33)</f>
        <v>0.12</v>
      </c>
      <c r="F43" s="52" cm="1">
        <f t="array" ref="F43">ManureManagement_Swine_Methane.VEERG_4_5_1_1__4_FractionVolatileSolidsPrimarySystem(F23,F33)</f>
        <v>0.12</v>
      </c>
      <c r="G43" s="52" cm="1">
        <f t="array" ref="G43">ManureManagement_Swine_Methane.VEERG_4_5_1_1__4_FractionVolatileSolidsPrimarySystem(G23,G33)</f>
        <v>0.12</v>
      </c>
      <c r="H43" s="52" cm="1">
        <f t="array" ref="H43">ManureManagement_Swine_Methane.VEERG_4_5_1_1__4_FractionVolatileSolidsPrimarySystem(H23,H33)</f>
        <v>0.12</v>
      </c>
      <c r="I43" s="52" cm="1">
        <f t="array" ref="I43">ManureManagement_Swine_Methane.VEERG_4_5_1_1__4_FractionVolatileSolidsPrimarySystem(I23,I33)</f>
        <v>0.12</v>
      </c>
      <c r="J43" s="52" cm="1">
        <f t="array" ref="J43">ManureManagement_Swine_Methane.VEERG_4_5_1_1__4_FractionVolatileSolidsPrimarySystem(J23,J33)</f>
        <v>0.12</v>
      </c>
      <c r="K43" s="52" cm="1">
        <f t="array" ref="K43">ManureManagement_Swine_Methane.VEERG_4_5_1_1__4_FractionVolatileSolidsPrimarySystem(K23,K33)</f>
        <v>0.12</v>
      </c>
      <c r="L43" s="2" t="str">
        <f>$E$11</f>
        <v>fraction</v>
      </c>
    </row>
    <row r="44" spans="3:15" ht="20.100000000000001" customHeight="1" x14ac:dyDescent="0.25">
      <c r="D44" s="57" t="str">
        <f>'Input - Swine'!$D$33</f>
        <v>Pit storage</v>
      </c>
      <c r="E44" s="52" cm="1">
        <f t="array" ref="E44">ManureManagement_Swine_Methane.VEERG_4_5_1_1__4_FractionVolatileSolidsPrimarySystem(E24,E34)</f>
        <v>0.12</v>
      </c>
      <c r="F44" s="52" cm="1">
        <f t="array" ref="F44">ManureManagement_Swine_Methane.VEERG_4_5_1_1__4_FractionVolatileSolidsPrimarySystem(F24,F34)</f>
        <v>0.12</v>
      </c>
      <c r="G44" s="52" cm="1">
        <f t="array" ref="G44">ManureManagement_Swine_Methane.VEERG_4_5_1_1__4_FractionVolatileSolidsPrimarySystem(G24,G34)</f>
        <v>0.12</v>
      </c>
      <c r="H44" s="52" cm="1">
        <f t="array" ref="H44">ManureManagement_Swine_Methane.VEERG_4_5_1_1__4_FractionVolatileSolidsPrimarySystem(H24,H34)</f>
        <v>0.12</v>
      </c>
      <c r="I44" s="52" cm="1">
        <f t="array" ref="I44">ManureManagement_Swine_Methane.VEERG_4_5_1_1__4_FractionVolatileSolidsPrimarySystem(I24,I34)</f>
        <v>0.12</v>
      </c>
      <c r="J44" s="52" cm="1">
        <f t="array" ref="J44">ManureManagement_Swine_Methane.VEERG_4_5_1_1__4_FractionVolatileSolidsPrimarySystem(J24,J34)</f>
        <v>0.12</v>
      </c>
      <c r="K44" s="52" cm="1">
        <f t="array" ref="K44">ManureManagement_Swine_Methane.VEERG_4_5_1_1__4_FractionVolatileSolidsPrimarySystem(K24,K34)</f>
        <v>0.12</v>
      </c>
      <c r="L44" s="2" t="str">
        <f>$E$11</f>
        <v>fraction</v>
      </c>
    </row>
    <row r="45" spans="3:15" ht="20.100000000000001" customHeight="1" x14ac:dyDescent="0.25"/>
    <row r="46" spans="3:15" ht="20.100000000000001" customHeight="1" x14ac:dyDescent="0.25">
      <c r="N46" s="2"/>
    </row>
    <row r="47" spans="3:15" ht="20.100000000000001" customHeight="1" x14ac:dyDescent="0.25"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</row>
    <row r="48" spans="3:15" ht="20.100000000000001" customHeight="1" x14ac:dyDescent="0.25">
      <c r="D48" s="6" t="str" cm="1">
        <f t="array" ref="D48">ManureManagement_Swine_Methane.VEERG_4_5_1_1__5_FractionVolatileSolidsSolidStorage_Title()</f>
        <v>Fraction of volatile solids in solid storage</v>
      </c>
      <c r="F48" s="107" t="s">
        <v>263</v>
      </c>
    </row>
    <row r="49" spans="4:9" ht="20.100000000000001" customHeight="1" x14ac:dyDescent="0.25">
      <c r="D49" s="5" t="str" cm="1">
        <f t="array" ref="D49">ManureManagement_Swine_Methane.VEERG_4_5_1_1__5_FractionVolatileSolidsSolidStorage_Source()</f>
        <v>VEERG 2026: 4.5.1.1, Equation (5)</v>
      </c>
    </row>
    <row r="50" spans="4:9" ht="20.100000000000001" customHeight="1" x14ac:dyDescent="0.25">
      <c r="D50" s="13" t="s">
        <v>26</v>
      </c>
      <c r="E50" s="13" t="str" cm="1">
        <f t="array" aca="1" ref="E50" ca="1">Common_InputFunctions.Utility_DisplayFunctionName($E$73)</f>
        <v>=MMS_Swine_Methane_Equations.VEERG_4_5_1_1__5_FractionVolatileSolidsSolidStorageVariation</v>
      </c>
    </row>
    <row r="51" spans="4:9" ht="20.100000000000001" customHeight="1" x14ac:dyDescent="0.25">
      <c r="D51" s="55" t="str" cm="1">
        <f t="array" ref="D51">MMS_Swine_Methane_Equations.VEERG_4_5_1_1__5_FractionVolatileSolidsSolidStorage_Variation()</f>
        <v>VARIATION ON SOURCE: Split equation for MMSm=1,7,9 into separate items to allow for calculation</v>
      </c>
    </row>
    <row r="52" spans="4:9" ht="20.100000000000001" customHeight="1" x14ac:dyDescent="0.25"/>
    <row r="53" spans="4:9" ht="20.100000000000001" customHeight="1" x14ac:dyDescent="0.25"/>
    <row r="54" spans="4:9" ht="20.100000000000001" customHeight="1" x14ac:dyDescent="0.25">
      <c r="D54" s="6"/>
      <c r="H54" s="55"/>
    </row>
    <row r="55" spans="4:9" ht="20.100000000000001" customHeight="1" x14ac:dyDescent="0.25"/>
    <row r="56" spans="4:9" ht="20.100000000000001" customHeight="1" x14ac:dyDescent="0.25">
      <c r="D56" s="53" t="s">
        <v>29</v>
      </c>
      <c r="E56" s="1" t="str" cm="1">
        <f t="array" ref="E56">ManureManagement_Swine_Methane.VEERG_4_5_1_1__5_FractionVolatileSolidsSolidStorage_Variable()</f>
        <v>FVSjm4T1</v>
      </c>
      <c r="I56" s="107" t="s">
        <v>264</v>
      </c>
    </row>
    <row r="57" spans="4:9" ht="20.100000000000001" customHeight="1" x14ac:dyDescent="0.25">
      <c r="D57" s="53" t="s">
        <v>19</v>
      </c>
      <c r="E57" s="54" t="str" cm="1">
        <f t="array" ref="E57">ManureManagement_Swine_Methane.VEERG_4_5_1_1__5_FractionVolatileSolidsSolidStorage_Unit()</f>
        <v>fraction</v>
      </c>
    </row>
    <row r="58" spans="4:9" ht="20.100000000000001" customHeight="1" x14ac:dyDescent="0.25"/>
    <row r="59" spans="4:9" ht="20.100000000000001" customHeight="1" x14ac:dyDescent="0.25">
      <c r="D59" s="108" t="str" cm="1">
        <f t="array" ref="D59:E61">ManureManagement_Swine_Methane.VEERG_4_5_1_1__5_FractionVolatileSolidsSolidStorage_Arguments()</f>
        <v>MMSjm4T1</v>
      </c>
      <c r="E59" s="110" t="str">
        <v>fraction of manure in solid storage primary system : fraction</v>
      </c>
      <c r="F59" s="109"/>
      <c r="G59" s="52" t="str">
        <f>"See " &amp; $D$63</f>
        <v>See Table_MMS_j_m-4_T-1</v>
      </c>
    </row>
    <row r="60" spans="4:9" ht="20.100000000000001" customHeight="1" x14ac:dyDescent="0.25">
      <c r="D60" s="108" t="str">
        <v>MMSjm179T1</v>
      </c>
      <c r="E60" s="110" t="str">
        <v>fraction of manure in MMS 1, 7, and 9 in treatment stage 1 : fraction</v>
      </c>
      <c r="F60" s="109"/>
      <c r="G60" s="52" t="str">
        <f>"See " &amp; $D$16</f>
        <v>See Table_MMS_j_m-1-7-9-8_T-1</v>
      </c>
    </row>
    <row r="61" spans="4:9" ht="20.100000000000001" customHeight="1" x14ac:dyDescent="0.25">
      <c r="D61" s="108" t="str">
        <v>SSm</v>
      </c>
      <c r="E61" s="110" t="str">
        <v>fraction of volatile solids separated to solid storage for each MMS : fraction</v>
      </c>
      <c r="F61" s="109"/>
      <c r="G61" s="52" t="str">
        <f>"See " &amp; $D$26</f>
        <v>See M1_Table_SS_m-1-7-9</v>
      </c>
    </row>
    <row r="62" spans="4:9" ht="20.100000000000001" customHeight="1" x14ac:dyDescent="0.25"/>
    <row r="63" spans="4:9" ht="20.100000000000001" customHeight="1" x14ac:dyDescent="0.25">
      <c r="D63" s="122" t="s">
        <v>265</v>
      </c>
    </row>
    <row r="64" spans="4:9" ht="20.100000000000001" customHeight="1" x14ac:dyDescent="0.25">
      <c r="D64" s="123" t="s">
        <v>266</v>
      </c>
    </row>
    <row r="65" spans="3:15" ht="20.100000000000001" customHeight="1" x14ac:dyDescent="0.25">
      <c r="E65" s="51" t="s">
        <v>222</v>
      </c>
      <c r="F65" s="51" t="s">
        <v>223</v>
      </c>
      <c r="G65" s="51" t="s">
        <v>224</v>
      </c>
      <c r="H65" s="51" t="s">
        <v>225</v>
      </c>
      <c r="I65" s="51" t="s">
        <v>226</v>
      </c>
      <c r="J65" s="51" t="s">
        <v>227</v>
      </c>
      <c r="K65" s="51" t="s">
        <v>228</v>
      </c>
    </row>
    <row r="66" spans="3:15" ht="20.100000000000001" customHeight="1" x14ac:dyDescent="0.25">
      <c r="D66" s="51" t="s">
        <v>253</v>
      </c>
      <c r="E66" s="51" t="s">
        <v>267</v>
      </c>
      <c r="F66" s="51" t="s">
        <v>268</v>
      </c>
      <c r="G66" s="51" t="s">
        <v>269</v>
      </c>
      <c r="H66" s="51" t="s">
        <v>270</v>
      </c>
      <c r="I66" s="51" t="s">
        <v>270</v>
      </c>
      <c r="J66" s="51" t="s">
        <v>270</v>
      </c>
      <c r="K66" s="51" t="s">
        <v>270</v>
      </c>
    </row>
    <row r="67" spans="3:15" ht="20.100000000000001" customHeight="1" x14ac:dyDescent="0.25">
      <c r="D67" s="57" t="str">
        <f>'Input - Swine'!$D$34</f>
        <v>Solid storage</v>
      </c>
      <c r="E67" s="139">
        <f>'Input - Swine'!E34</f>
        <v>0.25</v>
      </c>
      <c r="F67" s="139">
        <f>'Input - Swine'!F34</f>
        <v>0.25</v>
      </c>
      <c r="G67" s="139">
        <f>'Input - Swine'!G34</f>
        <v>0.25</v>
      </c>
      <c r="H67" s="139">
        <f>'Input - Swine'!H34</f>
        <v>0.25</v>
      </c>
      <c r="I67" s="139">
        <f>'Input - Swine'!I34</f>
        <v>0.25</v>
      </c>
      <c r="J67" s="139">
        <f>'Input - Swine'!J34</f>
        <v>0.25</v>
      </c>
      <c r="K67" s="139">
        <f>'Input - Swine'!K34</f>
        <v>0.25</v>
      </c>
      <c r="L67" s="2" t="s">
        <v>99</v>
      </c>
      <c r="N67" s="2"/>
    </row>
    <row r="68" spans="3:15" ht="20.100000000000001" customHeight="1" x14ac:dyDescent="0.25"/>
    <row r="69" spans="3:15" ht="20.100000000000001" customHeight="1" x14ac:dyDescent="0.25">
      <c r="D69" s="122" t="s">
        <v>344</v>
      </c>
    </row>
    <row r="70" spans="3:15" ht="20.100000000000001" customHeight="1" x14ac:dyDescent="0.25">
      <c r="D70" s="123" t="s">
        <v>345</v>
      </c>
    </row>
    <row r="71" spans="3:15" ht="20.100000000000001" customHeight="1" x14ac:dyDescent="0.25">
      <c r="E71" s="51" t="s">
        <v>222</v>
      </c>
      <c r="F71" s="51" t="s">
        <v>223</v>
      </c>
      <c r="G71" s="51" t="s">
        <v>224</v>
      </c>
      <c r="H71" s="51" t="s">
        <v>225</v>
      </c>
      <c r="I71" s="51" t="s">
        <v>226</v>
      </c>
      <c r="J71" s="51" t="s">
        <v>227</v>
      </c>
      <c r="K71" s="51" t="s">
        <v>228</v>
      </c>
    </row>
    <row r="72" spans="3:15" ht="20.100000000000001" customHeight="1" x14ac:dyDescent="0.25">
      <c r="D72" s="51" t="s">
        <v>253</v>
      </c>
      <c r="E72" s="51" t="s">
        <v>271</v>
      </c>
      <c r="F72" s="51" t="s">
        <v>272</v>
      </c>
      <c r="G72" s="51" t="s">
        <v>273</v>
      </c>
      <c r="H72" s="51" t="s">
        <v>274</v>
      </c>
      <c r="I72" s="51" t="s">
        <v>274</v>
      </c>
      <c r="J72" s="51" t="s">
        <v>274</v>
      </c>
      <c r="K72" s="51" t="s">
        <v>274</v>
      </c>
    </row>
    <row r="73" spans="3:15" ht="20.100000000000001" customHeight="1" x14ac:dyDescent="0.25">
      <c r="D73" s="57" t="str">
        <f>IF('[1]Input - MMS - Swine'!$H$77="Solid storage", '[1]Input - MMS - Swine'!$H$77, '[1]Input - MMS - Swine'!$F$19)</f>
        <v>Post-separation solid storage</v>
      </c>
      <c r="E73" s="52" cm="1">
        <f t="array" ref="E73">MMS_Swine_Methane_Equations.VEERG_4_5_1_1__5_FractionVolatileSolidsSolidStorageVariation(E67,E20,E21,E22,E23,E24,E30,E31,E32,E33,E34)</f>
        <v>0.40000000000000013</v>
      </c>
      <c r="F73" s="52" cm="1">
        <f t="array" ref="F73">MMS_Swine_Methane_Equations.VEERG_4_5_1_1__5_FractionVolatileSolidsSolidStorageVariation(F67,F20,F21,F22,F23,F24,F30,F31,F32,F33,F34)</f>
        <v>0.40000000000000013</v>
      </c>
      <c r="G73" s="52" cm="1">
        <f t="array" ref="G73">MMS_Swine_Methane_Equations.VEERG_4_5_1_1__5_FractionVolatileSolidsSolidStorageVariation(G67,G20,G21,G22,G23,G24,G30,G31,G32,G33,G34)</f>
        <v>0.40000000000000013</v>
      </c>
      <c r="H73" s="52" cm="1">
        <f t="array" ref="H73">MMS_Swine_Methane_Equations.VEERG_4_5_1_1__5_FractionVolatileSolidsSolidStorageVariation(H67,H20,H21,H22,H23,H24,H30,H31,H32,H33,H34)</f>
        <v>0.40000000000000013</v>
      </c>
      <c r="I73" s="52" cm="1">
        <f t="array" ref="I73">MMS_Swine_Methane_Equations.VEERG_4_5_1_1__5_FractionVolatileSolidsSolidStorageVariation(I67,I20,I21,I22,I23,I24,I30,I31,I32,I33,I34)</f>
        <v>0.40000000000000013</v>
      </c>
      <c r="J73" s="52" cm="1">
        <f t="array" ref="J73">MMS_Swine_Methane_Equations.VEERG_4_5_1_1__5_FractionVolatileSolidsSolidStorageVariation(J67,J20,J21,J22,J23,J24,J30,J31,J32,J33,J34)</f>
        <v>0.40000000000000013</v>
      </c>
      <c r="K73" s="52" cm="1">
        <f t="array" ref="K73">MMS_Swine_Methane_Equations.VEERG_4_5_1_1__5_FractionVolatileSolidsSolidStorageVariation(K67,K20,K21,K22,K23,K24,K30,K31,K32,K33,K34)</f>
        <v>0.40000000000000013</v>
      </c>
      <c r="L73" s="2" t="str">
        <f>$E$57</f>
        <v>fraction</v>
      </c>
    </row>
    <row r="74" spans="3:15" ht="20.100000000000001" customHeight="1" x14ac:dyDescent="0.25"/>
    <row r="75" spans="3:15" ht="20.100000000000001" customHeight="1" x14ac:dyDescent="0.25"/>
    <row r="76" spans="3:15" ht="20.100000000000001" customHeight="1" x14ac:dyDescent="0.25"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</row>
    <row r="77" spans="3:15" ht="20.100000000000001" customHeight="1" x14ac:dyDescent="0.25">
      <c r="D77" s="6" t="str" cm="1">
        <f t="array" ref="D77">ManureManagement_Swine_Methane.VEERG_4_5_1_1__7_VolatileSolidsTransferredStage2_Title()</f>
        <v>Volatile solids transferred to treatment stage 2 MMS</v>
      </c>
    </row>
    <row r="78" spans="3:15" ht="20.100000000000001" customHeight="1" x14ac:dyDescent="0.25">
      <c r="D78" s="5" t="str" cm="1">
        <f t="array" ref="D78">ManureManagement_Swine_Methane.VEERG_4_5_1_1__7_VolatileSolidsTransferredStage2_Source()</f>
        <v>VEERG 2026: 4.5.1.1, Equation (7)</v>
      </c>
    </row>
    <row r="79" spans="3:15" ht="20.100000000000001" customHeight="1" x14ac:dyDescent="0.25">
      <c r="D79" s="13" t="s">
        <v>26</v>
      </c>
      <c r="E79" s="13" t="str" cm="1">
        <f t="array" aca="1" ref="E79" ca="1">Common_InputFunctions.Utility_DisplayFunctionName(E110)</f>
        <v>=MMS_Swine_Methane_Equations.VEERG_4_5_1_1__7_VolatileSolidsTransferredStage2</v>
      </c>
    </row>
    <row r="80" spans="3:15" ht="20.100000000000001" customHeight="1" x14ac:dyDescent="0.25"/>
    <row r="81" spans="4:14" ht="20.100000000000001" customHeight="1" x14ac:dyDescent="0.25"/>
    <row r="82" spans="4:14" ht="20.100000000000001" customHeight="1" x14ac:dyDescent="0.25"/>
    <row r="83" spans="4:14" ht="20.100000000000001" customHeight="1" x14ac:dyDescent="0.25">
      <c r="D83" s="53" t="s">
        <v>29</v>
      </c>
      <c r="E83" s="1" t="str" cm="1">
        <f t="array" ref="E83">ManureManagement_Swine_Methane.VEERG_4_5_1_1__7_VolatileSolidsTransferredStage2_Variable()</f>
        <v>VSTijmT2</v>
      </c>
    </row>
    <row r="84" spans="4:14" ht="20.100000000000001" customHeight="1" x14ac:dyDescent="0.25">
      <c r="D84" s="53" t="s">
        <v>19</v>
      </c>
      <c r="E84" s="54" t="str" cm="1">
        <f t="array" ref="E84">ManureManagement_Swine_Methane.VEERG_4_5_1_1__7_VolatileSolidsTransferredStage2_Unit()</f>
        <v>kg VS</v>
      </c>
      <c r="F84" s="107" t="s">
        <v>275</v>
      </c>
    </row>
    <row r="85" spans="4:14" ht="20.100000000000001" customHeight="1" x14ac:dyDescent="0.25"/>
    <row r="86" spans="4:14" ht="20.100000000000001" customHeight="1" x14ac:dyDescent="0.25">
      <c r="D86" s="57" t="str" cm="1">
        <f t="array" ref="D86:E88">ManureManagement_Swine_Methane.VEERG_4_5_1_1__7_VolatileSolidsTransferredStage2_Arguments()</f>
        <v>VSj</v>
      </c>
      <c r="E86" s="58" t="str">
        <v>volatile solid production from swine in each class : kg/head/day</v>
      </c>
      <c r="F86" s="59"/>
      <c r="G86" s="58" t="str">
        <f>"See " &amp; $D$90</f>
        <v>See Table_VS_j</v>
      </c>
      <c r="H86" s="124"/>
    </row>
    <row r="87" spans="4:14" ht="20.100000000000001" customHeight="1" x14ac:dyDescent="0.25">
      <c r="D87" s="57" t="str">
        <v>FVSjmT1</v>
      </c>
      <c r="E87" s="58" t="str">
        <v>fraction of volatile solids in each primary system : fraction</v>
      </c>
      <c r="F87" s="59"/>
      <c r="G87" s="57" t="str">
        <f>"See " &amp; $D$36 &amp; " and " &amp; $D$69</f>
        <v>See M1_Table_FVS_j_m-1-7-9_T-1 and M1_Table_FVS_j_m-4_T-1</v>
      </c>
      <c r="H87" s="52"/>
    </row>
    <row r="88" spans="4:14" ht="20.100000000000001" customHeight="1" x14ac:dyDescent="0.25">
      <c r="D88" s="57" t="str">
        <v>VSLmT1</v>
      </c>
      <c r="E88" s="58" t="str">
        <v>fraction of volatile solids lost during storage in the primary system : fraction</v>
      </c>
      <c r="F88" s="59"/>
      <c r="G88" s="58" t="str">
        <f>"See " &amp; $D$96</f>
        <v>See Table_VSL_m_T-1</v>
      </c>
      <c r="H88" s="124"/>
    </row>
    <row r="89" spans="4:14" ht="20.100000000000001" customHeight="1" x14ac:dyDescent="0.25"/>
    <row r="90" spans="4:14" ht="20.100000000000001" customHeight="1" x14ac:dyDescent="0.25">
      <c r="D90" s="122" t="s">
        <v>276</v>
      </c>
    </row>
    <row r="91" spans="4:14" ht="20.100000000000001" customHeight="1" x14ac:dyDescent="0.25">
      <c r="D91" s="123" t="s">
        <v>277</v>
      </c>
    </row>
    <row r="92" spans="4:14" ht="20.100000000000001" customHeight="1" x14ac:dyDescent="0.25">
      <c r="D92" s="51" t="s">
        <v>222</v>
      </c>
      <c r="E92" s="51" t="s">
        <v>223</v>
      </c>
      <c r="F92" s="51" t="s">
        <v>224</v>
      </c>
      <c r="G92" s="51" t="s">
        <v>225</v>
      </c>
      <c r="H92" s="51" t="s">
        <v>226</v>
      </c>
      <c r="I92" s="51" t="s">
        <v>227</v>
      </c>
      <c r="J92" s="51" t="s">
        <v>228</v>
      </c>
    </row>
    <row r="93" spans="4:14" ht="20.100000000000001" customHeight="1" x14ac:dyDescent="0.25">
      <c r="D93" s="51" t="s">
        <v>278</v>
      </c>
      <c r="E93" s="51" t="s">
        <v>279</v>
      </c>
      <c r="F93" s="51" t="s">
        <v>280</v>
      </c>
      <c r="G93" s="51" t="s">
        <v>281</v>
      </c>
      <c r="H93" s="51" t="s">
        <v>281</v>
      </c>
      <c r="I93" s="51" t="s">
        <v>281</v>
      </c>
      <c r="J93" s="51" t="s">
        <v>281</v>
      </c>
      <c r="L93" s="2"/>
      <c r="M93" s="2"/>
      <c r="N93" s="2"/>
    </row>
    <row r="94" spans="4:14" ht="20.100000000000001" customHeight="1" x14ac:dyDescent="0.25">
      <c r="D94" s="52">
        <f>'[1]Input - MMS - Swine'!$E$11</f>
        <v>0.4</v>
      </c>
      <c r="E94" s="52">
        <f>'[1]Input - MMS - Swine'!$F$11</f>
        <v>0.46</v>
      </c>
      <c r="F94" s="52">
        <f>'[1]Input - MMS - Swine'!$G$11</f>
        <v>0.55000000000000004</v>
      </c>
      <c r="G94" s="52">
        <f>'[1]Input - MMS - Swine'!$H$11</f>
        <v>0.39</v>
      </c>
      <c r="H94" s="52">
        <f>'[1]Input - MMS - Swine'!$I$11</f>
        <v>0.39</v>
      </c>
      <c r="I94" s="52">
        <f>'[1]Input - MMS - Swine'!$J$11</f>
        <v>0.39</v>
      </c>
      <c r="J94" s="52">
        <f>'[1]Input - MMS - Swine'!$K$11</f>
        <v>0.39</v>
      </c>
      <c r="K94" s="2" t="s">
        <v>121</v>
      </c>
    </row>
    <row r="95" spans="4:14" ht="20.100000000000001" customHeight="1" x14ac:dyDescent="0.25"/>
    <row r="96" spans="4:14" ht="20.100000000000001" customHeight="1" x14ac:dyDescent="0.25">
      <c r="D96" s="122" t="s">
        <v>282</v>
      </c>
    </row>
    <row r="97" spans="4:14" ht="20.100000000000001" customHeight="1" x14ac:dyDescent="0.25">
      <c r="D97" s="123" t="s">
        <v>244</v>
      </c>
    </row>
    <row r="98" spans="4:14" ht="20.100000000000001" customHeight="1" x14ac:dyDescent="0.25">
      <c r="D98" s="51" t="s">
        <v>253</v>
      </c>
      <c r="E98" s="51" t="s">
        <v>283</v>
      </c>
    </row>
    <row r="99" spans="4:14" ht="20.100000000000001" customHeight="1" x14ac:dyDescent="0.25">
      <c r="D99" s="57" t="str">
        <f>'Input - Swine'!$D$29</f>
        <v>Anaerobic lagoon</v>
      </c>
      <c r="E99" s="52" cm="1">
        <f t="array" ref="E99">Common_InputFunctions.Utility_LookupValueInTableNumber(D99,Table_SourceData_SwineVSL[MMS],Table_SourceData_SwineVSL[VSL])</f>
        <v>0</v>
      </c>
      <c r="F99" s="2" t="s">
        <v>99</v>
      </c>
    </row>
    <row r="100" spans="4:14" ht="20.100000000000001" customHeight="1" x14ac:dyDescent="0.25">
      <c r="D100" s="57" t="str">
        <f>'Input - Swine'!$D$30</f>
        <v>Drylot (feed pad)</v>
      </c>
      <c r="E100" s="52" cm="1">
        <f t="array" ref="E100">Common_InputFunctions.Utility_LookupValueInTableNumber(D100,Table_SourceData_SwineVSL[MMS],Table_SourceData_SwineVSL[VSL])</f>
        <v>0</v>
      </c>
      <c r="F100" s="2" t="s">
        <v>99</v>
      </c>
    </row>
    <row r="101" spans="4:14" ht="20.100000000000001" customHeight="1" x14ac:dyDescent="0.25">
      <c r="D101" s="57" t="str">
        <f>'Input - Swine'!$D$31</f>
        <v>Digester / covered lagoons</v>
      </c>
      <c r="E101" s="52" cm="1">
        <f t="array" ref="E101">Common_InputFunctions.Utility_LookupValueInTableNumber(D101,Table_SourceData_SwineVSL[MMS],Table_SourceData_SwineVSL[VSL])</f>
        <v>0.75</v>
      </c>
      <c r="F101" s="2" t="s">
        <v>99</v>
      </c>
    </row>
    <row r="102" spans="4:14" ht="20.100000000000001" customHeight="1" x14ac:dyDescent="0.25">
      <c r="D102" s="57" t="str">
        <f>'Input - Swine'!$D$32</f>
        <v>Deep litter</v>
      </c>
      <c r="E102" s="52" cm="1">
        <f t="array" ref="E102">Common_InputFunctions.Utility_LookupValueInTableNumber(D102,Table_SourceData_SwineVSL[MMS],Table_SourceData_SwineVSL[VSL])</f>
        <v>0.05</v>
      </c>
      <c r="F102" s="2" t="s">
        <v>99</v>
      </c>
      <c r="G102" s="107" t="s">
        <v>284</v>
      </c>
    </row>
    <row r="103" spans="4:14" ht="20.100000000000001" customHeight="1" x14ac:dyDescent="0.25">
      <c r="D103" s="57" t="str">
        <f>'Input - Swine'!$D$33</f>
        <v>Pit storage</v>
      </c>
      <c r="E103" s="52" cm="1">
        <f t="array" ref="E103">Common_InputFunctions.Utility_LookupValueInTableNumber(D103,Table_SourceData_SwineVSL[MMS],Table_SourceData_SwineVSL[VSL])</f>
        <v>0</v>
      </c>
      <c r="F103" s="2" t="s">
        <v>99</v>
      </c>
    </row>
    <row r="104" spans="4:14" ht="20.100000000000001" customHeight="1" x14ac:dyDescent="0.25">
      <c r="D104" s="57" t="str">
        <f>'Input - Swine'!$D$34</f>
        <v>Solid storage</v>
      </c>
      <c r="E104" s="52" cm="1">
        <f t="array" ref="E104">Common_InputFunctions.Utility_LookupValueInTableNumber(D104,Table_SourceData_SwineVSL[MMS],Table_SourceData_SwineVSL[VSL])</f>
        <v>0</v>
      </c>
      <c r="F104" s="2" t="s">
        <v>99</v>
      </c>
    </row>
    <row r="105" spans="4:14" ht="20.100000000000001" customHeight="1" x14ac:dyDescent="0.25"/>
    <row r="106" spans="4:14" ht="20.100000000000001" customHeight="1" x14ac:dyDescent="0.25">
      <c r="D106" s="122" t="s">
        <v>349</v>
      </c>
    </row>
    <row r="107" spans="4:14" ht="20.100000000000001" customHeight="1" x14ac:dyDescent="0.25">
      <c r="D107" s="123" t="s">
        <v>350</v>
      </c>
    </row>
    <row r="108" spans="4:14" ht="20.100000000000001" customHeight="1" x14ac:dyDescent="0.25">
      <c r="E108" s="51" t="s">
        <v>222</v>
      </c>
      <c r="F108" s="51" t="s">
        <v>223</v>
      </c>
      <c r="G108" s="51" t="s">
        <v>224</v>
      </c>
      <c r="H108" s="51" t="s">
        <v>225</v>
      </c>
      <c r="I108" s="51" t="s">
        <v>226</v>
      </c>
      <c r="J108" s="51" t="s">
        <v>227</v>
      </c>
      <c r="K108" s="51" t="s">
        <v>228</v>
      </c>
    </row>
    <row r="109" spans="4:14" ht="20.100000000000001" customHeight="1" x14ac:dyDescent="0.25">
      <c r="D109" s="51" t="s">
        <v>253</v>
      </c>
      <c r="E109" s="51" t="s">
        <v>285</v>
      </c>
      <c r="F109" s="51" t="s">
        <v>286</v>
      </c>
      <c r="G109" s="51" t="s">
        <v>287</v>
      </c>
      <c r="H109" s="51" t="s">
        <v>288</v>
      </c>
      <c r="I109" s="51" t="s">
        <v>288</v>
      </c>
      <c r="J109" s="51" t="s">
        <v>288</v>
      </c>
      <c r="K109" s="51" t="s">
        <v>288</v>
      </c>
      <c r="N109" s="2"/>
    </row>
    <row r="110" spans="4:14" ht="20.100000000000001" customHeight="1" x14ac:dyDescent="0.25">
      <c r="D110" s="57" t="str">
        <f>'Input - Swine'!$D$29</f>
        <v>Anaerobic lagoon</v>
      </c>
      <c r="E110" s="52" cm="1">
        <f t="array" ref="E110">MMS_Swine_Methane_Equations.VEERG_4_5_1_1__7_VolatileSolidsTransferredStage2(D$94,E40,$E99)</f>
        <v>4.8000000000000001E-2</v>
      </c>
      <c r="F110" s="52" cm="1">
        <f t="array" ref="F110">MMS_Swine_Methane_Equations.VEERG_4_5_1_1__7_VolatileSolidsTransferredStage2(E$94,F40,$E99)</f>
        <v>5.5199999999999999E-2</v>
      </c>
      <c r="G110" s="52" cm="1">
        <f t="array" ref="G110">MMS_Swine_Methane_Equations.VEERG_4_5_1_1__7_VolatileSolidsTransferredStage2(F$94,G40,$E99)</f>
        <v>6.6000000000000003E-2</v>
      </c>
      <c r="H110" s="52" cm="1">
        <f t="array" ref="H110">MMS_Swine_Methane_Equations.VEERG_4_5_1_1__7_VolatileSolidsTransferredStage2(G$94,H40,$E99)</f>
        <v>4.6800000000000001E-2</v>
      </c>
      <c r="I110" s="52" cm="1">
        <f t="array" ref="I110">MMS_Swine_Methane_Equations.VEERG_4_5_1_1__7_VolatileSolidsTransferredStage2(H$94,I40,$E99)</f>
        <v>4.6800000000000001E-2</v>
      </c>
      <c r="J110" s="52" cm="1">
        <f t="array" ref="J110">MMS_Swine_Methane_Equations.VEERG_4_5_1_1__7_VolatileSolidsTransferredStage2(I$94,J40,$E99)</f>
        <v>4.6800000000000001E-2</v>
      </c>
      <c r="K110" s="52" cm="1">
        <f t="array" ref="K110">MMS_Swine_Methane_Equations.VEERG_4_5_1_1__7_VolatileSolidsTransferredStage2(J$94,K40,$E99)</f>
        <v>4.6800000000000001E-2</v>
      </c>
      <c r="L110" s="125" t="str">
        <f>$E$84</f>
        <v>kg VS</v>
      </c>
      <c r="N110" s="2"/>
    </row>
    <row r="111" spans="4:14" ht="20.100000000000001" customHeight="1" x14ac:dyDescent="0.25">
      <c r="D111" s="57" t="str">
        <f>'Input - Swine'!$D$30</f>
        <v>Drylot (feed pad)</v>
      </c>
      <c r="E111" s="52" cm="1">
        <f t="array" ref="E111">MMS_Swine_Methane_Equations.VEERG_4_5_1_1__7_VolatileSolidsTransferredStage2(D$94,E41,$E100)</f>
        <v>4.8000000000000001E-2</v>
      </c>
      <c r="F111" s="52" cm="1">
        <f t="array" ref="F111">MMS_Swine_Methane_Equations.VEERG_4_5_1_1__7_VolatileSolidsTransferredStage2(E$94,F41,$E100)</f>
        <v>5.5199999999999999E-2</v>
      </c>
      <c r="G111" s="52" cm="1">
        <f t="array" ref="G111">MMS_Swine_Methane_Equations.VEERG_4_5_1_1__7_VolatileSolidsTransferredStage2(F$94,G41,$E100)</f>
        <v>6.6000000000000003E-2</v>
      </c>
      <c r="H111" s="52" cm="1">
        <f t="array" ref="H111">MMS_Swine_Methane_Equations.VEERG_4_5_1_1__7_VolatileSolidsTransferredStage2(G$94,H41,$E100)</f>
        <v>4.6800000000000001E-2</v>
      </c>
      <c r="I111" s="52" cm="1">
        <f t="array" ref="I111">MMS_Swine_Methane_Equations.VEERG_4_5_1_1__7_VolatileSolidsTransferredStage2(H$94,I41,$E100)</f>
        <v>4.6800000000000001E-2</v>
      </c>
      <c r="J111" s="52" cm="1">
        <f t="array" ref="J111">MMS_Swine_Methane_Equations.VEERG_4_5_1_1__7_VolatileSolidsTransferredStage2(I$94,J41,$E100)</f>
        <v>4.6800000000000001E-2</v>
      </c>
      <c r="K111" s="52" cm="1">
        <f t="array" ref="K111">MMS_Swine_Methane_Equations.VEERG_4_5_1_1__7_VolatileSolidsTransferredStage2(J$94,K41,$E100)</f>
        <v>4.6800000000000001E-2</v>
      </c>
      <c r="L111" s="125" t="str">
        <f>$E$84</f>
        <v>kg VS</v>
      </c>
    </row>
    <row r="112" spans="4:14" ht="20.100000000000001" customHeight="1" x14ac:dyDescent="0.25">
      <c r="D112" s="57" t="str">
        <f>'Input - Swine'!$D$31</f>
        <v>Digester / covered lagoons</v>
      </c>
      <c r="E112" s="52" cm="1">
        <f t="array" ref="E112">MMS_Swine_Methane_Equations.VEERG_4_5_1_1__7_VolatileSolidsTransferredStage2(D$94,E42,$E101)</f>
        <v>1.2E-2</v>
      </c>
      <c r="F112" s="52" cm="1">
        <f t="array" ref="F112">MMS_Swine_Methane_Equations.VEERG_4_5_1_1__7_VolatileSolidsTransferredStage2(E$94,F42,$E101)</f>
        <v>1.38E-2</v>
      </c>
      <c r="G112" s="52" cm="1">
        <f t="array" ref="G112">MMS_Swine_Methane_Equations.VEERG_4_5_1_1__7_VolatileSolidsTransferredStage2(F$94,G42,$E101)</f>
        <v>1.6500000000000001E-2</v>
      </c>
      <c r="H112" s="52" cm="1">
        <f t="array" ref="H112">MMS_Swine_Methane_Equations.VEERG_4_5_1_1__7_VolatileSolidsTransferredStage2(G$94,H42,$E101)</f>
        <v>1.17E-2</v>
      </c>
      <c r="I112" s="52" cm="1">
        <f t="array" ref="I112">MMS_Swine_Methane_Equations.VEERG_4_5_1_1__7_VolatileSolidsTransferredStage2(H$94,I42,$E101)</f>
        <v>1.17E-2</v>
      </c>
      <c r="J112" s="52" cm="1">
        <f t="array" ref="J112">MMS_Swine_Methane_Equations.VEERG_4_5_1_1__7_VolatileSolidsTransferredStage2(I$94,J42,$E101)</f>
        <v>1.17E-2</v>
      </c>
      <c r="K112" s="52" cm="1">
        <f t="array" ref="K112">MMS_Swine_Methane_Equations.VEERG_4_5_1_1__7_VolatileSolidsTransferredStage2(J$94,K42,$E101)</f>
        <v>1.17E-2</v>
      </c>
      <c r="L112" s="125" t="str">
        <f>$E$84</f>
        <v>kg VS</v>
      </c>
    </row>
    <row r="113" spans="3:15" ht="20.100000000000001" customHeight="1" x14ac:dyDescent="0.25">
      <c r="D113" s="57" t="str">
        <f>'Input - Swine'!$D$32</f>
        <v>Deep litter</v>
      </c>
      <c r="E113" s="52" cm="1">
        <f t="array" ref="E113">MMS_Swine_Methane_Equations.VEERG_4_5_1_1__7_VolatileSolidsTransferredStage2(D$94,E43,$E102)</f>
        <v>4.5600000000000002E-2</v>
      </c>
      <c r="F113" s="52" cm="1">
        <f t="array" ref="F113">MMS_Swine_Methane_Equations.VEERG_4_5_1_1__7_VolatileSolidsTransferredStage2(E$94,F43,$E102)</f>
        <v>5.2439999999999994E-2</v>
      </c>
      <c r="G113" s="52" cm="1">
        <f t="array" ref="G113">MMS_Swine_Methane_Equations.VEERG_4_5_1_1__7_VolatileSolidsTransferredStage2(F$94,G43,$E102)</f>
        <v>6.2700000000000006E-2</v>
      </c>
      <c r="H113" s="52" cm="1">
        <f t="array" ref="H113">MMS_Swine_Methane_Equations.VEERG_4_5_1_1__7_VolatileSolidsTransferredStage2(G$94,H43,$E102)</f>
        <v>4.446E-2</v>
      </c>
      <c r="I113" s="52" cm="1">
        <f t="array" ref="I113">MMS_Swine_Methane_Equations.VEERG_4_5_1_1__7_VolatileSolidsTransferredStage2(H$94,I43,$E102)</f>
        <v>4.446E-2</v>
      </c>
      <c r="J113" s="52" cm="1">
        <f t="array" ref="J113">MMS_Swine_Methane_Equations.VEERG_4_5_1_1__7_VolatileSolidsTransferredStage2(I$94,J43,$E102)</f>
        <v>4.446E-2</v>
      </c>
      <c r="K113" s="52" cm="1">
        <f t="array" ref="K113">MMS_Swine_Methane_Equations.VEERG_4_5_1_1__7_VolatileSolidsTransferredStage2(J$94,K43,$E102)</f>
        <v>4.446E-2</v>
      </c>
      <c r="L113" s="125" t="str">
        <f>$E$84</f>
        <v>kg VS</v>
      </c>
    </row>
    <row r="114" spans="3:15" ht="20.100000000000001" customHeight="1" x14ac:dyDescent="0.25">
      <c r="D114" s="57" t="str">
        <f>'Input - Swine'!$D$33</f>
        <v>Pit storage</v>
      </c>
      <c r="E114" s="52" cm="1">
        <f t="array" ref="E114">MMS_Swine_Methane_Equations.VEERG_4_5_1_1__7_VolatileSolidsTransferredStage2(D$94,E44,$E103)</f>
        <v>4.8000000000000001E-2</v>
      </c>
      <c r="F114" s="52" cm="1">
        <f t="array" ref="F114">MMS_Swine_Methane_Equations.VEERG_4_5_1_1__7_VolatileSolidsTransferredStage2(E$94,F44,$E103)</f>
        <v>5.5199999999999999E-2</v>
      </c>
      <c r="G114" s="52" cm="1">
        <f t="array" ref="G114">MMS_Swine_Methane_Equations.VEERG_4_5_1_1__7_VolatileSolidsTransferredStage2(F$94,G44,$E103)</f>
        <v>6.6000000000000003E-2</v>
      </c>
      <c r="H114" s="52" cm="1">
        <f t="array" ref="H114">MMS_Swine_Methane_Equations.VEERG_4_5_1_1__7_VolatileSolidsTransferredStage2(G$94,H44,$E103)</f>
        <v>4.6800000000000001E-2</v>
      </c>
      <c r="I114" s="52" cm="1">
        <f t="array" ref="I114">MMS_Swine_Methane_Equations.VEERG_4_5_1_1__7_VolatileSolidsTransferredStage2(H$94,I44,$E103)</f>
        <v>4.6800000000000001E-2</v>
      </c>
      <c r="J114" s="52" cm="1">
        <f t="array" ref="J114">MMS_Swine_Methane_Equations.VEERG_4_5_1_1__7_VolatileSolidsTransferredStage2(I$94,J44,$E103)</f>
        <v>4.6800000000000001E-2</v>
      </c>
      <c r="K114" s="52" cm="1">
        <f t="array" ref="K114">MMS_Swine_Methane_Equations.VEERG_4_5_1_1__7_VolatileSolidsTransferredStage2(J$94,K44,$E103)</f>
        <v>4.6800000000000001E-2</v>
      </c>
    </row>
    <row r="115" spans="3:15" ht="20.100000000000001" customHeight="1" x14ac:dyDescent="0.25">
      <c r="D115" s="57" t="str">
        <f>'Input - Swine'!$D$34</f>
        <v>Solid storage</v>
      </c>
      <c r="E115" s="52" cm="1">
        <f t="array" ref="E115">MMS_Swine_Methane_Equations.VEERG_4_5_1_1__7_VolatileSolidsTransferredStage2(D$94,E73,$E104)</f>
        <v>0.16000000000000006</v>
      </c>
      <c r="F115" s="52" cm="1">
        <f t="array" ref="F115">MMS_Swine_Methane_Equations.VEERG_4_5_1_1__7_VolatileSolidsTransferredStage2(E$94,F73,$E104)</f>
        <v>0.18400000000000008</v>
      </c>
      <c r="G115" s="52" cm="1">
        <f t="array" ref="G115">MMS_Swine_Methane_Equations.VEERG_4_5_1_1__7_VolatileSolidsTransferredStage2(F$94,G73,$E104)</f>
        <v>0.22000000000000008</v>
      </c>
      <c r="H115" s="52" cm="1">
        <f t="array" ref="H115">MMS_Swine_Methane_Equations.VEERG_4_5_1_1__7_VolatileSolidsTransferredStage2(G$94,H73,$E104)</f>
        <v>0.15600000000000006</v>
      </c>
      <c r="I115" s="52" cm="1">
        <f t="array" ref="I115">MMS_Swine_Methane_Equations.VEERG_4_5_1_1__7_VolatileSolidsTransferredStage2(H$94,I73,$E104)</f>
        <v>0.15600000000000006</v>
      </c>
      <c r="J115" s="52" cm="1">
        <f t="array" ref="J115">MMS_Swine_Methane_Equations.VEERG_4_5_1_1__7_VolatileSolidsTransferredStage2(I$94,J73,$E104)</f>
        <v>0.15600000000000006</v>
      </c>
      <c r="K115" s="52" cm="1">
        <f t="array" ref="K115">MMS_Swine_Methane_Equations.VEERG_4_5_1_1__7_VolatileSolidsTransferredStage2(J$94,K73,$E104)</f>
        <v>0.15600000000000006</v>
      </c>
    </row>
    <row r="116" spans="3:15" ht="20.100000000000001" customHeight="1" x14ac:dyDescent="0.25"/>
    <row r="117" spans="3:15" ht="20.100000000000001" customHeight="1" x14ac:dyDescent="0.25"/>
    <row r="118" spans="3:15" ht="20.100000000000001" customHeight="1" x14ac:dyDescent="0.25"/>
    <row r="119" spans="3:15" ht="20.100000000000001" customHeight="1" x14ac:dyDescent="0.25"/>
    <row r="120" spans="3:15" ht="20.100000000000001" customHeight="1" x14ac:dyDescent="0.25"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</row>
    <row r="121" spans="3:15" ht="20.100000000000001" customHeight="1" x14ac:dyDescent="0.25">
      <c r="D121" s="6" t="str" cm="1">
        <f t="array" ref="D121">ManureManagement_Swine_Methane.VEERG_4_5_1_1__6_Stage2MethaneProduction_Title()</f>
        <v>Production of methane in each treatment stage 2 MMS</v>
      </c>
    </row>
    <row r="122" spans="3:15" ht="20.100000000000001" customHeight="1" x14ac:dyDescent="0.25">
      <c r="D122" s="5" t="str" cm="1">
        <f t="array" ref="D122">ManureManagement_Swine_Methane.VEERG_4_5_1_1__6_Stage2MethaneProduction_Source()</f>
        <v>VEERG 2026: 4.5.1.1, Equation (6)</v>
      </c>
    </row>
    <row r="123" spans="3:15" ht="20.100000000000001" customHeight="1" x14ac:dyDescent="0.25">
      <c r="D123" s="13" t="s">
        <v>26</v>
      </c>
      <c r="E123" s="13" t="str" cm="1">
        <f t="array" aca="1" ref="E123" ca="1">Common_InputFunctions.Utility_DisplayFunctionName(F182)</f>
        <v>=ManureManagement_Swine_Methane.VEERG_4_5_1_1__6_Stage2MethaneProduction</v>
      </c>
    </row>
    <row r="124" spans="3:15" ht="20.100000000000001" customHeight="1" x14ac:dyDescent="0.25">
      <c r="D124" s="107" t="s">
        <v>289</v>
      </c>
    </row>
    <row r="125" spans="3:15" ht="20.100000000000001" customHeight="1" x14ac:dyDescent="0.25"/>
    <row r="126" spans="3:15" ht="20.100000000000001" customHeight="1" x14ac:dyDescent="0.25"/>
    <row r="127" spans="3:15" ht="20.100000000000001" customHeight="1" x14ac:dyDescent="0.25">
      <c r="D127" s="53" t="s">
        <v>29</v>
      </c>
      <c r="E127" s="1" t="str" cm="1">
        <f t="array" ref="E127">ManureManagement_Swine_Methane.VEERG_4_5_1_1__6_Stage2MethaneProduction_Variable()</f>
        <v>MijmT2</v>
      </c>
    </row>
    <row r="128" spans="3:15" ht="20.100000000000001" customHeight="1" x14ac:dyDescent="0.25">
      <c r="D128" s="53" t="s">
        <v>19</v>
      </c>
      <c r="E128" s="54" t="str" cm="1">
        <f t="array" ref="E128">ManureManagement_Swine_Methane.VEERG_4_5_1_1__6_Stage2MethaneProduction_Unit()</f>
        <v>kg CH4/head/day</v>
      </c>
    </row>
    <row r="129" spans="4:13" ht="20.100000000000001" customHeight="1" x14ac:dyDescent="0.25"/>
    <row r="130" spans="4:13" ht="20.100000000000001" customHeight="1" x14ac:dyDescent="0.25">
      <c r="D130" s="57" t="str" cm="1">
        <f t="array" ref="D130:E135">ManureManagement_Swine_Methane.VEERG_4_5_1_1__6_Stage2MethaneProduction_Arguments()</f>
        <v>VSTjmT2</v>
      </c>
      <c r="E130" s="58" t="str">
        <v>volatile solids transferred to treatment stage 2 MMS : kg/head/day</v>
      </c>
      <c r="F130" s="59"/>
      <c r="G130" s="57" t="str">
        <f>"See " &amp; D106</f>
        <v>See M1 Table_VST_j_m_T-2</v>
      </c>
    </row>
    <row r="131" spans="4:13" ht="20.100000000000001" customHeight="1" x14ac:dyDescent="0.25">
      <c r="D131" s="57" t="str">
        <v>BO</v>
      </c>
      <c r="E131" s="58" t="str">
        <v>emissions potential : m3 CH4/kg VS</v>
      </c>
      <c r="F131" s="59"/>
      <c r="G131" s="57">
        <f>'Constants - Swine'!$E$21</f>
        <v>0.19</v>
      </c>
    </row>
    <row r="132" spans="4:13" ht="20.100000000000001" customHeight="1" x14ac:dyDescent="0.25">
      <c r="D132" s="57" t="str">
        <v>MMSjmT2</v>
      </c>
      <c r="E132" s="58" t="str">
        <v>fraction of manure in each secondary system : fraction</v>
      </c>
      <c r="F132" s="59"/>
      <c r="G132" s="57" t="str">
        <f>"See " &amp; D137</f>
        <v>See Table_MMS_j_m_T-2</v>
      </c>
    </row>
    <row r="133" spans="4:13" ht="20.100000000000001" customHeight="1" x14ac:dyDescent="0.25">
      <c r="D133" s="57" t="str">
        <v>MCFim</v>
      </c>
      <c r="E133" s="58" t="str">
        <v>methane conversion factor for temperate zone and system : fraction</v>
      </c>
      <c r="F133" s="59"/>
      <c r="G133" s="57" t="str">
        <f>"See " &amp; $D$167</f>
        <v>See M1_Table_MCF_i_m</v>
      </c>
    </row>
    <row r="134" spans="4:13" ht="20.100000000000001" customHeight="1" x14ac:dyDescent="0.25">
      <c r="D134" s="57" t="str">
        <v>rho</v>
      </c>
      <c r="E134" s="58" t="str">
        <v>density of methane : kg/m3</v>
      </c>
      <c r="F134" s="59"/>
      <c r="G134" s="57">
        <f>'Constants - Common'!$D$175</f>
        <v>0.6784</v>
      </c>
    </row>
    <row r="135" spans="4:13" ht="20.100000000000001" customHeight="1" x14ac:dyDescent="0.25">
      <c r="D135" s="57" t="str">
        <v>i</v>
      </c>
      <c r="E135" s="58" t="str">
        <v>state</v>
      </c>
      <c r="F135" s="59"/>
      <c r="G135" s="57" t="str">
        <f>'Input - Site'!$E$21</f>
        <v>Western Australia</v>
      </c>
    </row>
    <row r="136" spans="4:13" ht="20.100000000000001" customHeight="1" x14ac:dyDescent="0.25"/>
    <row r="137" spans="4:13" ht="20.100000000000001" customHeight="1" x14ac:dyDescent="0.25">
      <c r="D137" s="122" t="s">
        <v>290</v>
      </c>
    </row>
    <row r="138" spans="4:13" ht="20.100000000000001" customHeight="1" x14ac:dyDescent="0.25">
      <c r="D138" s="123" t="s">
        <v>291</v>
      </c>
    </row>
    <row r="139" spans="4:13" ht="20.100000000000001" customHeight="1" x14ac:dyDescent="0.25">
      <c r="F139" s="51" t="s">
        <v>222</v>
      </c>
      <c r="G139" s="51" t="s">
        <v>223</v>
      </c>
      <c r="H139" s="51" t="s">
        <v>224</v>
      </c>
      <c r="I139" s="51" t="s">
        <v>225</v>
      </c>
      <c r="J139" s="51" t="s">
        <v>226</v>
      </c>
      <c r="K139" s="51" t="s">
        <v>227</v>
      </c>
      <c r="L139" s="51" t="s">
        <v>228</v>
      </c>
    </row>
    <row r="140" spans="4:13" ht="20.100000000000001" customHeight="1" x14ac:dyDescent="0.25">
      <c r="D140" s="51" t="s">
        <v>253</v>
      </c>
      <c r="E140" s="51" t="s">
        <v>292</v>
      </c>
      <c r="F140" s="51" t="s">
        <v>293</v>
      </c>
      <c r="G140" s="51" t="s">
        <v>294</v>
      </c>
      <c r="H140" s="51" t="s">
        <v>295</v>
      </c>
      <c r="I140" s="51" t="s">
        <v>296</v>
      </c>
      <c r="J140" s="51" t="s">
        <v>296</v>
      </c>
      <c r="K140" s="51" t="s">
        <v>296</v>
      </c>
      <c r="L140" s="51" t="s">
        <v>296</v>
      </c>
    </row>
    <row r="141" spans="4:13" ht="20.100000000000001" customHeight="1" x14ac:dyDescent="0.25">
      <c r="D141" s="57" t="str">
        <f>'Input - Swine'!$D$29</f>
        <v>Anaerobic lagoon</v>
      </c>
      <c r="E141" s="57" t="str">
        <f>'Input - Swine'!$D$48</f>
        <v>Drylot (feed pad)</v>
      </c>
      <c r="F141" s="52">
        <f>'Input - Swine'!E48</f>
        <v>0.2</v>
      </c>
      <c r="G141" s="52">
        <f>'Input - Swine'!F48</f>
        <v>0.25</v>
      </c>
      <c r="H141" s="52">
        <f>'Input - Swine'!G48</f>
        <v>0.25</v>
      </c>
      <c r="I141" s="52">
        <f>'Input - Swine'!H48</f>
        <v>0.25</v>
      </c>
      <c r="J141" s="52">
        <f>'Input - Swine'!I48</f>
        <v>0.25</v>
      </c>
      <c r="K141" s="52">
        <f>'Input - Swine'!J48</f>
        <v>0.25</v>
      </c>
      <c r="L141" s="52">
        <f>'Input - Swine'!K48</f>
        <v>0.25</v>
      </c>
      <c r="M141" s="2" t="s">
        <v>99</v>
      </c>
    </row>
    <row r="142" spans="4:13" ht="20.100000000000001" customHeight="1" x14ac:dyDescent="0.25">
      <c r="D142" s="57"/>
      <c r="E142" s="57" t="str">
        <f>'Input - Swine'!$D$49</f>
        <v>Digester / covered lagoons</v>
      </c>
      <c r="F142" s="52">
        <f>'Input - Swine'!E49</f>
        <v>0.2</v>
      </c>
      <c r="G142" s="52">
        <f>'Input - Swine'!F49</f>
        <v>0.25</v>
      </c>
      <c r="H142" s="52">
        <f>'Input - Swine'!G49</f>
        <v>0.25</v>
      </c>
      <c r="I142" s="52">
        <f>'Input - Swine'!H49</f>
        <v>0.25</v>
      </c>
      <c r="J142" s="52">
        <f>'Input - Swine'!I49</f>
        <v>0.25</v>
      </c>
      <c r="K142" s="52">
        <f>'Input - Swine'!J49</f>
        <v>0.25</v>
      </c>
      <c r="L142" s="52">
        <f>'Input - Swine'!K49</f>
        <v>0.25</v>
      </c>
      <c r="M142" s="2" t="s">
        <v>99</v>
      </c>
    </row>
    <row r="143" spans="4:13" ht="20.100000000000001" customHeight="1" x14ac:dyDescent="0.25">
      <c r="D143" s="57"/>
      <c r="E143" s="57" t="str">
        <f>'Input - Swine'!$D$50</f>
        <v>Deep litter</v>
      </c>
      <c r="F143" s="52">
        <f>'Input - Swine'!E50</f>
        <v>0.2</v>
      </c>
      <c r="G143" s="52">
        <f>'Input - Swine'!F50</f>
        <v>0.25</v>
      </c>
      <c r="H143" s="52">
        <f>'Input - Swine'!G50</f>
        <v>0.25</v>
      </c>
      <c r="I143" s="52">
        <f>'Input - Swine'!H50</f>
        <v>0.25</v>
      </c>
      <c r="J143" s="52">
        <f>'Input - Swine'!I50</f>
        <v>0.25</v>
      </c>
      <c r="K143" s="52">
        <f>'Input - Swine'!J50</f>
        <v>0.25</v>
      </c>
      <c r="L143" s="52">
        <f>'Input - Swine'!K50</f>
        <v>0.25</v>
      </c>
      <c r="M143" s="2" t="s">
        <v>99</v>
      </c>
    </row>
    <row r="144" spans="4:13" ht="20.100000000000001" customHeight="1" x14ac:dyDescent="0.25">
      <c r="D144" s="57"/>
      <c r="E144" s="57" t="str">
        <f>'Input - Swine'!$D$51</f>
        <v>Pit storage</v>
      </c>
      <c r="F144" s="52">
        <f>'Input - Swine'!E51</f>
        <v>0.2</v>
      </c>
      <c r="G144" s="52">
        <f>'Input - Swine'!F51</f>
        <v>0.25</v>
      </c>
      <c r="H144" s="52">
        <f>'Input - Swine'!G51</f>
        <v>0.25</v>
      </c>
      <c r="I144" s="52">
        <f>'Input - Swine'!H51</f>
        <v>0.25</v>
      </c>
      <c r="J144" s="52">
        <f>'Input - Swine'!I51</f>
        <v>0.25</v>
      </c>
      <c r="K144" s="52">
        <f>'Input - Swine'!J51</f>
        <v>0.25</v>
      </c>
      <c r="L144" s="52">
        <f>'Input - Swine'!K51</f>
        <v>0.25</v>
      </c>
      <c r="M144" s="2" t="s">
        <v>99</v>
      </c>
    </row>
    <row r="145" spans="4:13" ht="20.100000000000001" customHeight="1" x14ac:dyDescent="0.25">
      <c r="D145" s="57" t="str">
        <f>'Input - Swine'!$D$30</f>
        <v>Drylot (feed pad)</v>
      </c>
      <c r="E145" s="57" t="str">
        <f>'Input - Swine'!$D$56</f>
        <v>Anaerobic lagoon</v>
      </c>
      <c r="F145" s="52">
        <f>'Input - Swine'!E56</f>
        <v>0.2</v>
      </c>
      <c r="G145" s="52">
        <f>'Input - Swine'!F56</f>
        <v>0.25</v>
      </c>
      <c r="H145" s="52">
        <f>'Input - Swine'!G56</f>
        <v>0.25</v>
      </c>
      <c r="I145" s="52">
        <f>'Input - Swine'!H56</f>
        <v>0.25</v>
      </c>
      <c r="J145" s="52">
        <f>'Input - Swine'!I56</f>
        <v>0.25</v>
      </c>
      <c r="K145" s="52">
        <f>'Input - Swine'!J56</f>
        <v>0.25</v>
      </c>
      <c r="L145" s="52">
        <f>'Input - Swine'!K56</f>
        <v>0.25</v>
      </c>
      <c r="M145" s="2" t="s">
        <v>99</v>
      </c>
    </row>
    <row r="146" spans="4:13" ht="20.100000000000001" customHeight="1" x14ac:dyDescent="0.25">
      <c r="D146" s="57"/>
      <c r="E146" s="57" t="str">
        <f>'Input - Swine'!$D$57</f>
        <v>Digester / covered lagoons</v>
      </c>
      <c r="F146" s="52">
        <f>'Input - Swine'!E57</f>
        <v>0.2</v>
      </c>
      <c r="G146" s="52">
        <f>'Input - Swine'!F57</f>
        <v>0.25</v>
      </c>
      <c r="H146" s="52">
        <f>'Input - Swine'!G57</f>
        <v>0.25</v>
      </c>
      <c r="I146" s="52">
        <f>'Input - Swine'!H57</f>
        <v>0.25</v>
      </c>
      <c r="J146" s="52">
        <f>'Input - Swine'!I57</f>
        <v>0.25</v>
      </c>
      <c r="K146" s="52">
        <f>'Input - Swine'!J57</f>
        <v>0.25</v>
      </c>
      <c r="L146" s="52">
        <f>'Input - Swine'!K57</f>
        <v>0.25</v>
      </c>
      <c r="M146" s="2" t="s">
        <v>99</v>
      </c>
    </row>
    <row r="147" spans="4:13" ht="20.100000000000001" customHeight="1" x14ac:dyDescent="0.25">
      <c r="D147" s="57"/>
      <c r="E147" s="57" t="str">
        <f>'Input - Swine'!$D$58</f>
        <v>Deep litter</v>
      </c>
      <c r="F147" s="52">
        <f>'Input - Swine'!E58</f>
        <v>0.2</v>
      </c>
      <c r="G147" s="52">
        <f>'Input - Swine'!F58</f>
        <v>0.25</v>
      </c>
      <c r="H147" s="52">
        <f>'Input - Swine'!G58</f>
        <v>0.25</v>
      </c>
      <c r="I147" s="52">
        <f>'Input - Swine'!H58</f>
        <v>0.25</v>
      </c>
      <c r="J147" s="52">
        <f>'Input - Swine'!I58</f>
        <v>0.25</v>
      </c>
      <c r="K147" s="52">
        <f>'Input - Swine'!J58</f>
        <v>0.25</v>
      </c>
      <c r="L147" s="52">
        <f>'Input - Swine'!K58</f>
        <v>0.25</v>
      </c>
      <c r="M147" s="2" t="s">
        <v>99</v>
      </c>
    </row>
    <row r="148" spans="4:13" ht="20.100000000000001" customHeight="1" x14ac:dyDescent="0.25">
      <c r="D148" s="57"/>
      <c r="E148" s="57" t="str">
        <f>'Input - Swine'!$D$59</f>
        <v>Pit storage</v>
      </c>
      <c r="F148" s="52">
        <f>'Input - Swine'!E59</f>
        <v>0.2</v>
      </c>
      <c r="G148" s="52">
        <f>'Input - Swine'!F59</f>
        <v>0.25</v>
      </c>
      <c r="H148" s="52">
        <f>'Input - Swine'!G59</f>
        <v>0.25</v>
      </c>
      <c r="I148" s="52">
        <f>'Input - Swine'!H59</f>
        <v>0.25</v>
      </c>
      <c r="J148" s="52">
        <f>'Input - Swine'!I59</f>
        <v>0.25</v>
      </c>
      <c r="K148" s="52">
        <f>'Input - Swine'!J59</f>
        <v>0.25</v>
      </c>
      <c r="L148" s="52">
        <f>'Input - Swine'!K59</f>
        <v>0.25</v>
      </c>
      <c r="M148" s="2" t="s">
        <v>99</v>
      </c>
    </row>
    <row r="149" spans="4:13" ht="20.100000000000001" customHeight="1" x14ac:dyDescent="0.25">
      <c r="D149" s="57" t="str">
        <f>'Input - Swine'!$D$31</f>
        <v>Digester / covered lagoons</v>
      </c>
      <c r="E149" s="57" t="str">
        <f>'Input - Swine'!$D$64</f>
        <v>Anaerobic lagoon</v>
      </c>
      <c r="F149" s="52">
        <f>IF($E149="N/A", "N/A", '[1]Input - MMS - Swine'!E90)</f>
        <v>0.2</v>
      </c>
      <c r="G149" s="52">
        <f>IF($E149="N/A", "N/A", '[1]Input - MMS - Swine'!F90)</f>
        <v>0.2</v>
      </c>
      <c r="H149" s="52">
        <f>IF($E149="N/A", "N/A", '[1]Input - MMS - Swine'!G90)</f>
        <v>0.2</v>
      </c>
      <c r="I149" s="52">
        <f>IF($E149="N/A", "N/A", '[1]Input - MMS - Swine'!H90)</f>
        <v>0.2</v>
      </c>
      <c r="J149" s="52">
        <f>IF($E149="N/A", "N/A", '[1]Input - MMS - Swine'!I90)</f>
        <v>0.2</v>
      </c>
      <c r="K149" s="52">
        <f>IF($E149="N/A", "N/A", '[1]Input - MMS - Swine'!J90)</f>
        <v>0.2</v>
      </c>
      <c r="L149" s="52">
        <f>IF($E149="N/A", "N/A", '[1]Input - MMS - Swine'!K90)</f>
        <v>0.2</v>
      </c>
      <c r="M149" s="2" t="s">
        <v>99</v>
      </c>
    </row>
    <row r="150" spans="4:13" ht="20.100000000000001" customHeight="1" x14ac:dyDescent="0.25">
      <c r="D150" s="57"/>
      <c r="E150" s="57" t="str">
        <f>'Input - Swine'!$D$65</f>
        <v>Drylot (feed pad)</v>
      </c>
      <c r="F150" s="52">
        <f>IF($E150="N/A", "N/A", '[1]Input - MMS - Swine'!E109)</f>
        <v>0.2</v>
      </c>
      <c r="G150" s="52">
        <f>IF($E150="N/A", "N/A", '[1]Input - MMS - Swine'!F109)</f>
        <v>0.2</v>
      </c>
      <c r="H150" s="52">
        <f>IF($E150="N/A", "N/A", '[1]Input - MMS - Swine'!G109)</f>
        <v>0.2</v>
      </c>
      <c r="I150" s="52">
        <f>IF($E150="N/A", "N/A", '[1]Input - MMS - Swine'!H109)</f>
        <v>0.2</v>
      </c>
      <c r="J150" s="52">
        <f>IF($E150="N/A", "N/A", '[1]Input - MMS - Swine'!I109)</f>
        <v>0.2</v>
      </c>
      <c r="K150" s="52">
        <f>IF($E150="N/A", "N/A", '[1]Input - MMS - Swine'!J109)</f>
        <v>0.2</v>
      </c>
      <c r="L150" s="52">
        <f>IF($E150="N/A", "N/A", '[1]Input - MMS - Swine'!K109)</f>
        <v>0.2</v>
      </c>
      <c r="M150" s="2" t="s">
        <v>99</v>
      </c>
    </row>
    <row r="151" spans="4:13" ht="20.100000000000001" customHeight="1" x14ac:dyDescent="0.25">
      <c r="D151" s="57"/>
      <c r="E151" s="57" t="str">
        <f>'Input - Swine'!$D$66</f>
        <v>Deep litter</v>
      </c>
      <c r="F151" s="52">
        <f>IF($E151="N/A", "N/A", '[1]Input - MMS - Swine'!E110)</f>
        <v>0.2</v>
      </c>
      <c r="G151" s="52">
        <f>IF($E151="N/A", "N/A", '[1]Input - MMS - Swine'!F110)</f>
        <v>0.2</v>
      </c>
      <c r="H151" s="52">
        <f>IF($E151="N/A", "N/A", '[1]Input - MMS - Swine'!G110)</f>
        <v>0.2</v>
      </c>
      <c r="I151" s="52">
        <f>IF($E151="N/A", "N/A", '[1]Input - MMS - Swine'!H110)</f>
        <v>0.2</v>
      </c>
      <c r="J151" s="52">
        <f>IF($E151="N/A", "N/A", '[1]Input - MMS - Swine'!I110)</f>
        <v>0.2</v>
      </c>
      <c r="K151" s="52">
        <f>IF($E151="N/A", "N/A", '[1]Input - MMS - Swine'!J110)</f>
        <v>0.2</v>
      </c>
      <c r="L151" s="52">
        <f>IF($E151="N/A", "N/A", '[1]Input - MMS - Swine'!K110)</f>
        <v>0.2</v>
      </c>
      <c r="M151" s="2" t="s">
        <v>99</v>
      </c>
    </row>
    <row r="152" spans="4:13" ht="20.100000000000001" customHeight="1" x14ac:dyDescent="0.25">
      <c r="D152" s="57"/>
      <c r="E152" s="57" t="str">
        <f>'Input - Swine'!$D$67</f>
        <v>Pit storage</v>
      </c>
      <c r="F152" s="52">
        <f>IF($E152="N/A", "N/A", '[1]Input - MMS - Swine'!E111)</f>
        <v>0.2</v>
      </c>
      <c r="G152" s="52">
        <f>IF($E152="N/A", "N/A", '[1]Input - MMS - Swine'!F111)</f>
        <v>0.2</v>
      </c>
      <c r="H152" s="52">
        <f>IF($E152="N/A", "N/A", '[1]Input - MMS - Swine'!G111)</f>
        <v>0.2</v>
      </c>
      <c r="I152" s="52">
        <f>IF($E152="N/A", "N/A", '[1]Input - MMS - Swine'!H111)</f>
        <v>0.2</v>
      </c>
      <c r="J152" s="52">
        <f>IF($E152="N/A", "N/A", '[1]Input - MMS - Swine'!I111)</f>
        <v>0.2</v>
      </c>
      <c r="K152" s="52">
        <f>IF($E152="N/A", "N/A", '[1]Input - MMS - Swine'!J111)</f>
        <v>0.2</v>
      </c>
      <c r="L152" s="52">
        <f>IF($E152="N/A", "N/A", '[1]Input - MMS - Swine'!K111)</f>
        <v>0.2</v>
      </c>
      <c r="M152" s="2" t="s">
        <v>99</v>
      </c>
    </row>
    <row r="153" spans="4:13" ht="20.100000000000001" customHeight="1" x14ac:dyDescent="0.25">
      <c r="D153" s="57" t="str">
        <f>'Input - Swine'!$D$32</f>
        <v>Deep litter</v>
      </c>
      <c r="E153" s="57" t="str">
        <f>'Input - Swine'!$D$72</f>
        <v>Anaerobic lagoon</v>
      </c>
      <c r="F153" s="52">
        <f>'Input - Swine'!E72</f>
        <v>0.2</v>
      </c>
      <c r="G153" s="52">
        <f>'Input - Swine'!F72</f>
        <v>0.25</v>
      </c>
      <c r="H153" s="52">
        <f>'Input - Swine'!G72</f>
        <v>0.25</v>
      </c>
      <c r="I153" s="52">
        <f>'Input - Swine'!H72</f>
        <v>0.25</v>
      </c>
      <c r="J153" s="52">
        <f>'Input - Swine'!I72</f>
        <v>0.25</v>
      </c>
      <c r="K153" s="52">
        <f>'Input - Swine'!J72</f>
        <v>0.25</v>
      </c>
      <c r="L153" s="52">
        <f>'Input - Swine'!K72</f>
        <v>0.25</v>
      </c>
      <c r="M153" s="2" t="s">
        <v>99</v>
      </c>
    </row>
    <row r="154" spans="4:13" ht="20.100000000000001" customHeight="1" x14ac:dyDescent="0.25">
      <c r="D154" s="57"/>
      <c r="E154" s="57" t="str">
        <f>'Input - Swine'!$D$73</f>
        <v>Drylot (feed pad)</v>
      </c>
      <c r="F154" s="52">
        <f>'Input - Swine'!E73</f>
        <v>0.2</v>
      </c>
      <c r="G154" s="52">
        <f>'Input - Swine'!F73</f>
        <v>0.25</v>
      </c>
      <c r="H154" s="52">
        <f>'Input - Swine'!G73</f>
        <v>0.25</v>
      </c>
      <c r="I154" s="52">
        <f>'Input - Swine'!H73</f>
        <v>0.25</v>
      </c>
      <c r="J154" s="52">
        <f>'Input - Swine'!I73</f>
        <v>0.25</v>
      </c>
      <c r="K154" s="52">
        <f>'Input - Swine'!J73</f>
        <v>0.25</v>
      </c>
      <c r="L154" s="52">
        <f>'Input - Swine'!K73</f>
        <v>0.25</v>
      </c>
      <c r="M154" s="2" t="s">
        <v>99</v>
      </c>
    </row>
    <row r="155" spans="4:13" ht="20.100000000000001" customHeight="1" x14ac:dyDescent="0.25">
      <c r="D155" s="57"/>
      <c r="E155" s="57" t="str">
        <f>'Input - Swine'!$D$74</f>
        <v>Digester / covered lagoons</v>
      </c>
      <c r="F155" s="52">
        <f>'Input - Swine'!E74</f>
        <v>0.2</v>
      </c>
      <c r="G155" s="52">
        <f>'Input - Swine'!F74</f>
        <v>0.25</v>
      </c>
      <c r="H155" s="52">
        <f>'Input - Swine'!G74</f>
        <v>0.25</v>
      </c>
      <c r="I155" s="52">
        <f>'Input - Swine'!H74</f>
        <v>0.25</v>
      </c>
      <c r="J155" s="52">
        <f>'Input - Swine'!I74</f>
        <v>0.25</v>
      </c>
      <c r="K155" s="52">
        <f>'Input - Swine'!J74</f>
        <v>0.25</v>
      </c>
      <c r="L155" s="52">
        <f>'Input - Swine'!K74</f>
        <v>0.25</v>
      </c>
      <c r="M155" s="2" t="s">
        <v>99</v>
      </c>
    </row>
    <row r="156" spans="4:13" ht="20.100000000000001" customHeight="1" x14ac:dyDescent="0.25">
      <c r="D156" s="57"/>
      <c r="E156" s="57" t="str">
        <f>'Input - Swine'!$D$75</f>
        <v>Pit storage</v>
      </c>
      <c r="F156" s="52">
        <f>'Input - Swine'!E75</f>
        <v>0.2</v>
      </c>
      <c r="G156" s="52">
        <f>'Input - Swine'!F75</f>
        <v>0.25</v>
      </c>
      <c r="H156" s="52">
        <f>'Input - Swine'!G75</f>
        <v>0.25</v>
      </c>
      <c r="I156" s="52">
        <f>'Input - Swine'!H75</f>
        <v>0.25</v>
      </c>
      <c r="J156" s="52">
        <f>'Input - Swine'!I75</f>
        <v>0.25</v>
      </c>
      <c r="K156" s="52">
        <f>'Input - Swine'!J75</f>
        <v>0.25</v>
      </c>
      <c r="L156" s="52">
        <f>'Input - Swine'!K75</f>
        <v>0.25</v>
      </c>
      <c r="M156" s="2" t="s">
        <v>99</v>
      </c>
    </row>
    <row r="157" spans="4:13" ht="20.100000000000001" customHeight="1" x14ac:dyDescent="0.25">
      <c r="D157" s="57" t="str">
        <f>'Input - Swine'!$D$33</f>
        <v>Pit storage</v>
      </c>
      <c r="E157" s="57" t="str">
        <f>'Input - Swine'!$D$80</f>
        <v>Anaerobic lagoon</v>
      </c>
      <c r="F157" s="52">
        <f>'Input - Swine'!E80</f>
        <v>0.2</v>
      </c>
      <c r="G157" s="52">
        <f>'Input - Swine'!F80</f>
        <v>0.25</v>
      </c>
      <c r="H157" s="52">
        <f>'Input - Swine'!G80</f>
        <v>0.25</v>
      </c>
      <c r="I157" s="52">
        <f>'Input - Swine'!H80</f>
        <v>0.25</v>
      </c>
      <c r="J157" s="52">
        <f>'Input - Swine'!I80</f>
        <v>0.25</v>
      </c>
      <c r="K157" s="52">
        <f>'Input - Swine'!J80</f>
        <v>0.25</v>
      </c>
      <c r="L157" s="52">
        <f>'Input - Swine'!K80</f>
        <v>0.25</v>
      </c>
      <c r="M157" s="2" t="s">
        <v>99</v>
      </c>
    </row>
    <row r="158" spans="4:13" ht="20.100000000000001" customHeight="1" x14ac:dyDescent="0.25">
      <c r="D158" s="57"/>
      <c r="E158" s="57" t="str">
        <f>'Input - Swine'!$D$81</f>
        <v>Drylot (feed pad)</v>
      </c>
      <c r="F158" s="52">
        <f>'Input - Swine'!E81</f>
        <v>0.2</v>
      </c>
      <c r="G158" s="52">
        <f>'Input - Swine'!F81</f>
        <v>0.25</v>
      </c>
      <c r="H158" s="52">
        <f>'Input - Swine'!G81</f>
        <v>0.25</v>
      </c>
      <c r="I158" s="52">
        <f>'Input - Swine'!H81</f>
        <v>0.25</v>
      </c>
      <c r="J158" s="52">
        <f>'Input - Swine'!I81</f>
        <v>0.25</v>
      </c>
      <c r="K158" s="52">
        <f>'Input - Swine'!J81</f>
        <v>0.25</v>
      </c>
      <c r="L158" s="52">
        <f>'Input - Swine'!K81</f>
        <v>0.25</v>
      </c>
      <c r="M158" s="2" t="s">
        <v>99</v>
      </c>
    </row>
    <row r="159" spans="4:13" ht="20.100000000000001" customHeight="1" x14ac:dyDescent="0.25">
      <c r="D159" s="57"/>
      <c r="E159" s="57" t="str">
        <f>'Input - Swine'!$D$82</f>
        <v>Digester / covered lagoons</v>
      </c>
      <c r="F159" s="52">
        <f>'Input - Swine'!E82</f>
        <v>0.2</v>
      </c>
      <c r="G159" s="52">
        <f>'Input - Swine'!F82</f>
        <v>0.25</v>
      </c>
      <c r="H159" s="52">
        <f>'Input - Swine'!G82</f>
        <v>0.25</v>
      </c>
      <c r="I159" s="52">
        <f>'Input - Swine'!H82</f>
        <v>0.25</v>
      </c>
      <c r="J159" s="52">
        <f>'Input - Swine'!I82</f>
        <v>0.25</v>
      </c>
      <c r="K159" s="52">
        <f>'Input - Swine'!J82</f>
        <v>0.25</v>
      </c>
      <c r="L159" s="52">
        <f>'Input - Swine'!K82</f>
        <v>0.25</v>
      </c>
      <c r="M159" s="2" t="s">
        <v>99</v>
      </c>
    </row>
    <row r="160" spans="4:13" ht="20.100000000000001" customHeight="1" x14ac:dyDescent="0.25">
      <c r="D160" s="57"/>
      <c r="E160" s="57" t="str">
        <f>'Input - Swine'!$D$83</f>
        <v>Deep litter</v>
      </c>
      <c r="F160" s="52">
        <f>'Input - Swine'!E83</f>
        <v>0.2</v>
      </c>
      <c r="G160" s="52">
        <f>'Input - Swine'!F83</f>
        <v>0.25</v>
      </c>
      <c r="H160" s="52">
        <f>'Input - Swine'!G83</f>
        <v>0.25</v>
      </c>
      <c r="I160" s="52">
        <f>'Input - Swine'!H83</f>
        <v>0.25</v>
      </c>
      <c r="J160" s="52">
        <f>'Input - Swine'!I83</f>
        <v>0.25</v>
      </c>
      <c r="K160" s="52">
        <f>'Input - Swine'!J83</f>
        <v>0.25</v>
      </c>
      <c r="L160" s="52">
        <f>'Input - Swine'!K83</f>
        <v>0.25</v>
      </c>
      <c r="M160" s="2" t="s">
        <v>99</v>
      </c>
    </row>
    <row r="161" spans="4:13" ht="20.100000000000001" customHeight="1" x14ac:dyDescent="0.25">
      <c r="D161" s="57" t="str">
        <f>'Input - Swine'!$D$34</f>
        <v>Solid storage</v>
      </c>
      <c r="E161" s="57" t="str">
        <f>'Input - Swine'!$D$88</f>
        <v>Anaerobic lagoon</v>
      </c>
      <c r="F161" s="52">
        <f>'Input - Swine'!E88</f>
        <v>0.2</v>
      </c>
      <c r="G161" s="52">
        <f>'Input - Swine'!F88</f>
        <v>0.2</v>
      </c>
      <c r="H161" s="52">
        <f>'Input - Swine'!G88</f>
        <v>0.2</v>
      </c>
      <c r="I161" s="52">
        <f>'Input - Swine'!H88</f>
        <v>0.2</v>
      </c>
      <c r="J161" s="52">
        <f>'Input - Swine'!I88</f>
        <v>0.2</v>
      </c>
      <c r="K161" s="52">
        <f>'Input - Swine'!J88</f>
        <v>0.2</v>
      </c>
      <c r="L161" s="52">
        <f>'Input - Swine'!K88</f>
        <v>0.2</v>
      </c>
      <c r="M161" s="2" t="s">
        <v>99</v>
      </c>
    </row>
    <row r="162" spans="4:13" ht="20.100000000000001" customHeight="1" x14ac:dyDescent="0.25">
      <c r="D162" s="57"/>
      <c r="E162" s="57" t="str">
        <f>'Input - Swine'!$D$89</f>
        <v>Drylot (feed pad)</v>
      </c>
      <c r="F162" s="52">
        <f>'Input - Swine'!E89</f>
        <v>0.2</v>
      </c>
      <c r="G162" s="52">
        <f>'Input - Swine'!F89</f>
        <v>0.2</v>
      </c>
      <c r="H162" s="52">
        <f>'Input - Swine'!G89</f>
        <v>0.2</v>
      </c>
      <c r="I162" s="52">
        <f>'Input - Swine'!H89</f>
        <v>0.2</v>
      </c>
      <c r="J162" s="52">
        <f>'Input - Swine'!I89</f>
        <v>0.2</v>
      </c>
      <c r="K162" s="52">
        <f>'Input - Swine'!J89</f>
        <v>0.2</v>
      </c>
      <c r="L162" s="52">
        <f>'Input - Swine'!K89</f>
        <v>0.2</v>
      </c>
      <c r="M162" s="2" t="s">
        <v>99</v>
      </c>
    </row>
    <row r="163" spans="4:13" ht="20.100000000000001" customHeight="1" x14ac:dyDescent="0.25">
      <c r="D163" s="57"/>
      <c r="E163" s="57" t="str">
        <f>'Input - Swine'!$D$90</f>
        <v>Digester / covered lagoons</v>
      </c>
      <c r="F163" s="52">
        <f>'Input - Swine'!E90</f>
        <v>0.2</v>
      </c>
      <c r="G163" s="52">
        <f>'Input - Swine'!F90</f>
        <v>0.2</v>
      </c>
      <c r="H163" s="52">
        <f>'Input - Swine'!G90</f>
        <v>0.2</v>
      </c>
      <c r="I163" s="52">
        <f>'Input - Swine'!H90</f>
        <v>0.2</v>
      </c>
      <c r="J163" s="52">
        <f>'Input - Swine'!I90</f>
        <v>0.2</v>
      </c>
      <c r="K163" s="52">
        <f>'Input - Swine'!J90</f>
        <v>0.2</v>
      </c>
      <c r="L163" s="52">
        <f>'Input - Swine'!K90</f>
        <v>0.2</v>
      </c>
      <c r="M163" s="2" t="s">
        <v>99</v>
      </c>
    </row>
    <row r="164" spans="4:13" ht="20.100000000000001" customHeight="1" x14ac:dyDescent="0.25">
      <c r="D164" s="57"/>
      <c r="E164" s="57" t="str">
        <f>'Input - Swine'!$D$91</f>
        <v>Deep litter</v>
      </c>
      <c r="F164" s="52">
        <f>'Input - Swine'!E91</f>
        <v>0.2</v>
      </c>
      <c r="G164" s="52">
        <f>'Input - Swine'!F91</f>
        <v>0.2</v>
      </c>
      <c r="H164" s="52">
        <f>'Input - Swine'!G91</f>
        <v>0.2</v>
      </c>
      <c r="I164" s="52">
        <f>'Input - Swine'!H91</f>
        <v>0.2</v>
      </c>
      <c r="J164" s="52">
        <f>'Input - Swine'!I91</f>
        <v>0.2</v>
      </c>
      <c r="K164" s="52">
        <f>'Input - Swine'!J91</f>
        <v>0.2</v>
      </c>
      <c r="L164" s="52">
        <f>'Input - Swine'!K91</f>
        <v>0.2</v>
      </c>
      <c r="M164" s="2" t="s">
        <v>99</v>
      </c>
    </row>
    <row r="165" spans="4:13" ht="20.100000000000001" customHeight="1" x14ac:dyDescent="0.25">
      <c r="D165" s="57"/>
      <c r="E165" s="57" t="str">
        <f>'Input - Swine'!$D$92</f>
        <v>Pit storage</v>
      </c>
      <c r="F165" s="52">
        <f>'Input - Swine'!E92</f>
        <v>0.1</v>
      </c>
      <c r="G165" s="52">
        <f>'Input - Swine'!F92</f>
        <v>0.1</v>
      </c>
      <c r="H165" s="52">
        <f>'Input - Swine'!G92</f>
        <v>0.1</v>
      </c>
      <c r="I165" s="52">
        <f>'Input - Swine'!H92</f>
        <v>0.1</v>
      </c>
      <c r="J165" s="52">
        <f>'Input - Swine'!I92</f>
        <v>0.1</v>
      </c>
      <c r="K165" s="52">
        <f>'Input - Swine'!J92</f>
        <v>0.1</v>
      </c>
      <c r="L165" s="52">
        <f>'Input - Swine'!K92</f>
        <v>0.1</v>
      </c>
      <c r="M165" s="2" t="s">
        <v>99</v>
      </c>
    </row>
    <row r="166" spans="4:13" ht="20.100000000000001" customHeight="1" x14ac:dyDescent="0.25"/>
    <row r="167" spans="4:13" ht="20.100000000000001" customHeight="1" x14ac:dyDescent="0.25">
      <c r="D167" s="122" t="s">
        <v>126</v>
      </c>
    </row>
    <row r="168" spans="4:13" ht="20.100000000000001" customHeight="1" x14ac:dyDescent="0.25">
      <c r="D168" s="123" t="s">
        <v>346</v>
      </c>
    </row>
    <row r="169" spans="4:13" ht="20.100000000000001" customHeight="1" x14ac:dyDescent="0.25"/>
    <row r="170" spans="4:13" ht="20.100000000000001" customHeight="1" x14ac:dyDescent="0.25">
      <c r="D170" s="51" t="s">
        <v>67</v>
      </c>
      <c r="E170" s="51" t="s">
        <v>98</v>
      </c>
    </row>
    <row r="171" spans="4:13" ht="20.100000000000001" customHeight="1" x14ac:dyDescent="0.25">
      <c r="D171" s="57" t="str">
        <f>'Input - Swine'!$D$29</f>
        <v>Anaerobic lagoon</v>
      </c>
      <c r="E171" s="52" cm="1">
        <f t="array" ref="E171">CommonLivestock_InputFunctions.Livestock_LookupMCFState(D171,Table_SourceData_Swine_MMSMCF[NIR definition],Common_InputFunctions.Utility_ConvertStateCommonNameToAbbreviation($G$135,Table_AustralianStates[Common Name],Table_AustralianStates[Abbreviation]),Table_SourceData_Swine_MMSMCF[#Headers],Table_SourceData_Swine_MMSMCF[#Data])</f>
        <v>0.76</v>
      </c>
    </row>
    <row r="172" spans="4:13" ht="20.100000000000001" customHeight="1" x14ac:dyDescent="0.25">
      <c r="D172" s="57" t="str">
        <f>'Input - Swine'!$D$30</f>
        <v>Drylot (feed pad)</v>
      </c>
      <c r="E172" s="52" cm="1">
        <f t="array" ref="E172">CommonLivestock_InputFunctions.Livestock_LookupMCFState(D172,Table_SourceData_Swine_MMSMCF[NIR definition],Common_InputFunctions.Utility_ConvertStateCommonNameToAbbreviation($G$135,Table_AustralianStates[Common Name],Table_AustralianStates[Abbreviation]),Table_SourceData_Swine_MMSMCF[#Headers],Table_SourceData_Swine_MMSMCF[#Data])</f>
        <v>0.01</v>
      </c>
    </row>
    <row r="173" spans="4:13" ht="20.100000000000001" customHeight="1" x14ac:dyDescent="0.25">
      <c r="D173" s="57" t="str">
        <f>'Input - Swine'!$D$31</f>
        <v>Digester / covered lagoons</v>
      </c>
      <c r="E173" s="52" cm="1">
        <f t="array" ref="E173">CommonLivestock_InputFunctions.Livestock_LookupMCFState(D173,Table_SourceData_Swine_MMSMCF[NIR definition],Common_InputFunctions.Utility_ConvertStateCommonNameToAbbreviation($G$135,Table_AustralianStates[Common Name],Table_AustralianStates[Abbreviation]),Table_SourceData_Swine_MMSMCF[#Headers],Table_SourceData_Swine_MMSMCF[#Data])</f>
        <v>0.1</v>
      </c>
    </row>
    <row r="174" spans="4:13" ht="20.100000000000001" customHeight="1" x14ac:dyDescent="0.25">
      <c r="D174" s="57" t="str">
        <f>'Input - Swine'!$D$32</f>
        <v>Deep litter</v>
      </c>
      <c r="E174" s="52" cm="1">
        <f t="array" ref="E174">CommonLivestock_InputFunctions.Livestock_LookupMCFState(D174,Table_SourceData_Swine_MMSMCF[NIR definition],Common_InputFunctions.Utility_ConvertStateCommonNameToAbbreviation($G$135,Table_AustralianStates[Common Name],Table_AustralianStates[Abbreviation]),Table_SourceData_Swine_MMSMCF[#Headers],Table_SourceData_Swine_MMSMCF[#Data])</f>
        <v>0.04</v>
      </c>
    </row>
    <row r="175" spans="4:13" ht="20.100000000000001" customHeight="1" x14ac:dyDescent="0.25">
      <c r="D175" s="57" t="str">
        <f>'Input - Swine'!$D$33</f>
        <v>Pit storage</v>
      </c>
      <c r="E175" s="52" cm="1">
        <f t="array" ref="E175">CommonLivestock_InputFunctions.Livestock_LookupMCFState(D175,Table_SourceData_Swine_MMSMCF[NIR definition],Common_InputFunctions.Utility_ConvertStateCommonNameToAbbreviation($G$135,Table_AustralianStates[Common Name],Table_AustralianStates[Abbreviation]),Table_SourceData_Swine_MMSMCF[#Headers],Table_SourceData_Swine_MMSMCF[#Data])</f>
        <v>0.03</v>
      </c>
    </row>
    <row r="176" spans="4:13" ht="20.100000000000001" customHeight="1" x14ac:dyDescent="0.25">
      <c r="D176" s="57" t="str">
        <f>'Input - Swine'!$D$34</f>
        <v>Solid storage</v>
      </c>
      <c r="E176" s="52" cm="1">
        <f t="array" ref="E176">CommonLivestock_InputFunctions.Livestock_LookupMCFState(D176,Table_SourceData_Swine_MMSMCF[NIR definition],Common_InputFunctions.Utility_ConvertStateCommonNameToAbbreviation($G$135,Table_AustralianStates[Common Name],Table_AustralianStates[Abbreviation]),Table_SourceData_Swine_MMSMCF[#Headers],Table_SourceData_Swine_MMSMCF[#Data])</f>
        <v>0.02</v>
      </c>
    </row>
    <row r="177" spans="4:13" ht="20.100000000000001" customHeight="1" x14ac:dyDescent="0.25"/>
    <row r="178" spans="4:13" ht="20.100000000000001" customHeight="1" x14ac:dyDescent="0.25">
      <c r="D178" s="122" t="s">
        <v>347</v>
      </c>
    </row>
    <row r="179" spans="4:13" ht="20.100000000000001" customHeight="1" x14ac:dyDescent="0.25">
      <c r="D179" s="123" t="s">
        <v>348</v>
      </c>
    </row>
    <row r="180" spans="4:13" ht="20.100000000000001" customHeight="1" x14ac:dyDescent="0.25">
      <c r="F180" s="51" t="s">
        <v>222</v>
      </c>
      <c r="G180" s="51" t="s">
        <v>223</v>
      </c>
      <c r="H180" s="51" t="s">
        <v>224</v>
      </c>
      <c r="I180" s="51" t="s">
        <v>225</v>
      </c>
      <c r="J180" s="51" t="s">
        <v>226</v>
      </c>
      <c r="K180" s="51" t="s">
        <v>227</v>
      </c>
      <c r="L180" s="51" t="s">
        <v>228</v>
      </c>
    </row>
    <row r="181" spans="4:13" ht="20.100000000000001" customHeight="1" x14ac:dyDescent="0.25">
      <c r="D181" s="51" t="s">
        <v>253</v>
      </c>
      <c r="E181" s="51" t="s">
        <v>292</v>
      </c>
      <c r="F181" s="51" t="s">
        <v>297</v>
      </c>
      <c r="G181" s="51" t="s">
        <v>298</v>
      </c>
      <c r="H181" s="51" t="s">
        <v>299</v>
      </c>
      <c r="I181" s="51" t="s">
        <v>300</v>
      </c>
      <c r="J181" s="51" t="s">
        <v>300</v>
      </c>
      <c r="K181" s="51" t="s">
        <v>300</v>
      </c>
      <c r="L181" s="51" t="s">
        <v>300</v>
      </c>
    </row>
    <row r="182" spans="4:13" ht="20.100000000000001" customHeight="1" x14ac:dyDescent="0.25">
      <c r="D182" s="57" t="str">
        <f>'Input - Swine'!$D$29</f>
        <v>Anaerobic lagoon</v>
      </c>
      <c r="E182" s="57" t="str">
        <f>'Input - Swine'!$D$48</f>
        <v>Drylot (feed pad)</v>
      </c>
      <c r="F182" s="52" cm="1">
        <f t="array" ref="F182">ManureManagement_Swine_Methane.VEERG_4_5_1_1__6_Stage2MethaneProduction(E$110,$G$131,F141,VLOOKUP($E182,$D$171:$E$176,2, FALSE),$G$134)</f>
        <v>1.2374016000000001E-5</v>
      </c>
      <c r="G182" s="52" cm="1">
        <f t="array" ref="G182">ManureManagement_Swine_Methane.VEERG_4_5_1_1__6_Stage2MethaneProduction(F$110,$G$131,G141,VLOOKUP($E182,$D$171:$E$176,2, FALSE),$G$134)</f>
        <v>1.7787648000000004E-5</v>
      </c>
      <c r="H182" s="52" cm="1">
        <f t="array" ref="H182">ManureManagement_Swine_Methane.VEERG_4_5_1_1__6_Stage2MethaneProduction(G$110,$G$131,H141,VLOOKUP($E182,$D$171:$E$176,2, FALSE),$G$134)</f>
        <v>2.1267840000000003E-5</v>
      </c>
      <c r="I182" s="52" cm="1">
        <f t="array" ref="I182">ManureManagement_Swine_Methane.VEERG_4_5_1_1__6_Stage2MethaneProduction(H$110,$G$131,I141,VLOOKUP($E182,$D$171:$E$176,2, FALSE),$G$134)</f>
        <v>1.5080832000000002E-5</v>
      </c>
      <c r="J182" s="52" cm="1">
        <f t="array" ref="J182">ManureManagement_Swine_Methane.VEERG_4_5_1_1__6_Stage2MethaneProduction(I$110,$G$131,J141,VLOOKUP($E182,$D$171:$E$176,2, FALSE),$G$134)</f>
        <v>1.5080832000000002E-5</v>
      </c>
      <c r="K182" s="52" cm="1">
        <f t="array" ref="K182">ManureManagement_Swine_Methane.VEERG_4_5_1_1__6_Stage2MethaneProduction(J$110,$G$131,K141,VLOOKUP($E182,$D$171:$E$176,2, FALSE),$G$134)</f>
        <v>1.5080832000000002E-5</v>
      </c>
      <c r="L182" s="52" cm="1">
        <f t="array" ref="L182">ManureManagement_Swine_Methane.VEERG_4_5_1_1__6_Stage2MethaneProduction(K$110,$G$131,L141,VLOOKUP($E182,$D$171:$E$176,2, FALSE),$G$134)</f>
        <v>1.5080832000000002E-5</v>
      </c>
      <c r="M182" s="2" t="str">
        <f>$E$128</f>
        <v>kg CH4/head/day</v>
      </c>
    </row>
    <row r="183" spans="4:13" ht="20.100000000000001" customHeight="1" x14ac:dyDescent="0.25">
      <c r="D183" s="57"/>
      <c r="E183" s="57" t="str">
        <f>'Input - Swine'!$D$49</f>
        <v>Digester / covered lagoons</v>
      </c>
      <c r="F183" s="52" cm="1">
        <f t="array" ref="F183">ManureManagement_Swine_Methane.VEERG_4_5_1_1__6_Stage2MethaneProduction(E$110,$G$131,F142,VLOOKUP($E183,$D$171:$E$176,2, FALSE),$G$134)</f>
        <v>1.2374016000000002E-4</v>
      </c>
      <c r="G183" s="52" cm="1">
        <f t="array" ref="G183">ManureManagement_Swine_Methane.VEERG_4_5_1_1__6_Stage2MethaneProduction(F$110,$G$131,G142,VLOOKUP($E183,$D$171:$E$176,2, FALSE),$G$134)</f>
        <v>1.7787648000000002E-4</v>
      </c>
      <c r="H183" s="52" cm="1">
        <f t="array" ref="H183">ManureManagement_Swine_Methane.VEERG_4_5_1_1__6_Stage2MethaneProduction(G$110,$G$131,H142,VLOOKUP($E183,$D$171:$E$176,2, FALSE),$G$134)</f>
        <v>2.1267840000000003E-4</v>
      </c>
      <c r="I183" s="52" cm="1">
        <f t="array" ref="I183">ManureManagement_Swine_Methane.VEERG_4_5_1_1__6_Stage2MethaneProduction(H$110,$G$131,I142,VLOOKUP($E183,$D$171:$E$176,2, FALSE),$G$134)</f>
        <v>1.5080832000000002E-4</v>
      </c>
      <c r="J183" s="52" cm="1">
        <f t="array" ref="J183">ManureManagement_Swine_Methane.VEERG_4_5_1_1__6_Stage2MethaneProduction(I$110,$G$131,J142,VLOOKUP($E183,$D$171:$E$176,2, FALSE),$G$134)</f>
        <v>1.5080832000000002E-4</v>
      </c>
      <c r="K183" s="52" cm="1">
        <f t="array" ref="K183">ManureManagement_Swine_Methane.VEERG_4_5_1_1__6_Stage2MethaneProduction(J$110,$G$131,K142,VLOOKUP($E183,$D$171:$E$176,2, FALSE),$G$134)</f>
        <v>1.5080832000000002E-4</v>
      </c>
      <c r="L183" s="52" cm="1">
        <f t="array" ref="L183">ManureManagement_Swine_Methane.VEERG_4_5_1_1__6_Stage2MethaneProduction(K$110,$G$131,L142,VLOOKUP($E183,$D$171:$E$176,2, FALSE),$G$134)</f>
        <v>1.5080832000000002E-4</v>
      </c>
      <c r="M183" s="2" t="str">
        <f>$E$128</f>
        <v>kg CH4/head/day</v>
      </c>
    </row>
    <row r="184" spans="4:13" ht="20.100000000000001" customHeight="1" x14ac:dyDescent="0.25">
      <c r="D184" s="57"/>
      <c r="E184" s="57" t="str">
        <f>'Input - Swine'!$D$50</f>
        <v>Deep litter</v>
      </c>
      <c r="F184" s="52" cm="1">
        <f t="array" ref="F184">ManureManagement_Swine_Methane.VEERG_4_5_1_1__6_Stage2MethaneProduction(E$110,$G$131,F143,VLOOKUP($E184,$D$171:$E$176,2, FALSE),$G$134)</f>
        <v>4.9496064000000004E-5</v>
      </c>
      <c r="G184" s="52" cm="1">
        <f t="array" ref="G184">ManureManagement_Swine_Methane.VEERG_4_5_1_1__6_Stage2MethaneProduction(F$110,$G$131,G143,VLOOKUP($E184,$D$171:$E$176,2, FALSE),$G$134)</f>
        <v>7.1150592000000014E-5</v>
      </c>
      <c r="H184" s="52" cm="1">
        <f t="array" ref="H184">ManureManagement_Swine_Methane.VEERG_4_5_1_1__6_Stage2MethaneProduction(G$110,$G$131,H143,VLOOKUP($E184,$D$171:$E$176,2, FALSE),$G$134)</f>
        <v>8.5071360000000011E-5</v>
      </c>
      <c r="I184" s="52" cm="1">
        <f t="array" ref="I184">ManureManagement_Swine_Methane.VEERG_4_5_1_1__6_Stage2MethaneProduction(H$110,$G$131,I143,VLOOKUP($E184,$D$171:$E$176,2, FALSE),$G$134)</f>
        <v>6.0323328000000009E-5</v>
      </c>
      <c r="J184" s="52" cm="1">
        <f t="array" ref="J184">ManureManagement_Swine_Methane.VEERG_4_5_1_1__6_Stage2MethaneProduction(I$110,$G$131,J143,VLOOKUP($E184,$D$171:$E$176,2, FALSE),$G$134)</f>
        <v>6.0323328000000009E-5</v>
      </c>
      <c r="K184" s="52" cm="1">
        <f t="array" ref="K184">ManureManagement_Swine_Methane.VEERG_4_5_1_1__6_Stage2MethaneProduction(J$110,$G$131,K143,VLOOKUP($E184,$D$171:$E$176,2, FALSE),$G$134)</f>
        <v>6.0323328000000009E-5</v>
      </c>
      <c r="L184" s="52" cm="1">
        <f t="array" ref="L184">ManureManagement_Swine_Methane.VEERG_4_5_1_1__6_Stage2MethaneProduction(K$110,$G$131,L143,VLOOKUP($E184,$D$171:$E$176,2, FALSE),$G$134)</f>
        <v>6.0323328000000009E-5</v>
      </c>
      <c r="M184" s="2" t="str">
        <f>$E$128</f>
        <v>kg CH4/head/day</v>
      </c>
    </row>
    <row r="185" spans="4:13" ht="20.100000000000001" customHeight="1" x14ac:dyDescent="0.25">
      <c r="D185" s="57"/>
      <c r="E185" s="57" t="str">
        <f>'Input - Swine'!$D$51</f>
        <v>Pit storage</v>
      </c>
      <c r="F185" s="52" cm="1">
        <f t="array" ref="F185">ManureManagement_Swine_Methane.VEERG_4_5_1_1__6_Stage2MethaneProduction(E$110,$G$131,F144,VLOOKUP($E185,$D$171:$E$176,2, FALSE),$G$134)</f>
        <v>3.7122047999999999E-5</v>
      </c>
      <c r="G185" s="52" cm="1">
        <f t="array" ref="G185">ManureManagement_Swine_Methane.VEERG_4_5_1_1__6_Stage2MethaneProduction(F$110,$G$131,G144,VLOOKUP($E185,$D$171:$E$176,2, FALSE),$G$134)</f>
        <v>5.3362944000000004E-5</v>
      </c>
      <c r="H185" s="52" cm="1">
        <f t="array" ref="H185">ManureManagement_Swine_Methane.VEERG_4_5_1_1__6_Stage2MethaneProduction(G$110,$G$131,H144,VLOOKUP($E185,$D$171:$E$176,2, FALSE),$G$134)</f>
        <v>6.3803520000000008E-5</v>
      </c>
      <c r="I185" s="52" cm="1">
        <f t="array" ref="I185">ManureManagement_Swine_Methane.VEERG_4_5_1_1__6_Stage2MethaneProduction(H$110,$G$131,I144,VLOOKUP($E185,$D$171:$E$176,2, FALSE),$G$134)</f>
        <v>4.5242496000000002E-5</v>
      </c>
      <c r="J185" s="52" cm="1">
        <f t="array" ref="J185">ManureManagement_Swine_Methane.VEERG_4_5_1_1__6_Stage2MethaneProduction(I$110,$G$131,J144,VLOOKUP($E185,$D$171:$E$176,2, FALSE),$G$134)</f>
        <v>4.5242496000000002E-5</v>
      </c>
      <c r="K185" s="52" cm="1">
        <f t="array" ref="K185">ManureManagement_Swine_Methane.VEERG_4_5_1_1__6_Stage2MethaneProduction(J$110,$G$131,K144,VLOOKUP($E185,$D$171:$E$176,2, FALSE),$G$134)</f>
        <v>4.5242496000000002E-5</v>
      </c>
      <c r="L185" s="52" cm="1">
        <f t="array" ref="L185">ManureManagement_Swine_Methane.VEERG_4_5_1_1__6_Stage2MethaneProduction(K$110,$G$131,L144,VLOOKUP($E185,$D$171:$E$176,2, FALSE),$G$134)</f>
        <v>4.5242496000000002E-5</v>
      </c>
      <c r="M185" s="2" t="str">
        <f>$E$128</f>
        <v>kg CH4/head/day</v>
      </c>
    </row>
    <row r="186" spans="4:13" ht="20.100000000000001" customHeight="1" x14ac:dyDescent="0.25">
      <c r="D186" s="57" t="str">
        <f>'Input - Swine'!$D$30</f>
        <v>Drylot (feed pad)</v>
      </c>
      <c r="E186" s="57" t="str">
        <f>'Input - Swine'!$D$56</f>
        <v>Anaerobic lagoon</v>
      </c>
      <c r="F186" s="52" cm="1">
        <f t="array" ref="F186">ManureManagement_Swine_Methane.VEERG_4_5_1_1__6_Stage2MethaneProduction(E$111,$G$131,F145,VLOOKUP($E186,$D$171:$E$176,2, FALSE),$G$134)</f>
        <v>9.4042521600000016E-4</v>
      </c>
      <c r="G186" s="52" cm="1">
        <f t="array" ref="G186">ManureManagement_Swine_Methane.VEERG_4_5_1_1__6_Stage2MethaneProduction(F$111,$G$131,G145,VLOOKUP($E186,$D$171:$E$176,2, FALSE),$G$134)</f>
        <v>1.3518612480000003E-3</v>
      </c>
      <c r="H186" s="52" cm="1">
        <f t="array" ref="H186">ManureManagement_Swine_Methane.VEERG_4_5_1_1__6_Stage2MethaneProduction(G$111,$G$131,H145,VLOOKUP($E186,$D$171:$E$176,2, FALSE),$G$134)</f>
        <v>1.6163558400000002E-3</v>
      </c>
      <c r="I186" s="52" cm="1">
        <f t="array" ref="I186">ManureManagement_Swine_Methane.VEERG_4_5_1_1__6_Stage2MethaneProduction(H$111,$G$131,I145,VLOOKUP($E186,$D$171:$E$176,2, FALSE),$G$134)</f>
        <v>1.146143232E-3</v>
      </c>
      <c r="J186" s="52" cm="1">
        <f t="array" ref="J186">ManureManagement_Swine_Methane.VEERG_4_5_1_1__6_Stage2MethaneProduction(I$111,$G$131,J145,VLOOKUP($E186,$D$171:$E$176,2, FALSE),$G$134)</f>
        <v>1.146143232E-3</v>
      </c>
      <c r="K186" s="52" cm="1">
        <f t="array" ref="K186">ManureManagement_Swine_Methane.VEERG_4_5_1_1__6_Stage2MethaneProduction(J$111,$G$131,K145,VLOOKUP($E186,$D$171:$E$176,2, FALSE),$G$134)</f>
        <v>1.146143232E-3</v>
      </c>
      <c r="L186" s="52" cm="1">
        <f t="array" ref="L186">ManureManagement_Swine_Methane.VEERG_4_5_1_1__6_Stage2MethaneProduction(K$111,$G$131,L145,VLOOKUP($E186,$D$171:$E$176,2, FALSE),$G$134)</f>
        <v>1.146143232E-3</v>
      </c>
      <c r="M186" s="2" t="str">
        <f>$E$128</f>
        <v>kg CH4/head/day</v>
      </c>
    </row>
    <row r="187" spans="4:13" ht="20.100000000000001" customHeight="1" x14ac:dyDescent="0.25">
      <c r="D187" s="57"/>
      <c r="E187" s="57" t="str">
        <f>'Input - Swine'!$D$57</f>
        <v>Digester / covered lagoons</v>
      </c>
      <c r="F187" s="52" cm="1">
        <f t="array" ref="F187">ManureManagement_Swine_Methane.VEERG_4_5_1_1__6_Stage2MethaneProduction(E$111,$G$131,F146,VLOOKUP($E187,$D$171:$E$176,2, FALSE),$G$134)</f>
        <v>1.2374016000000002E-4</v>
      </c>
      <c r="G187" s="52" cm="1">
        <f t="array" ref="G187">ManureManagement_Swine_Methane.VEERG_4_5_1_1__6_Stage2MethaneProduction(F$111,$G$131,G146,VLOOKUP($E187,$D$171:$E$176,2, FALSE),$G$134)</f>
        <v>1.7787648000000002E-4</v>
      </c>
      <c r="H187" s="52" cm="1">
        <f t="array" ref="H187">ManureManagement_Swine_Methane.VEERG_4_5_1_1__6_Stage2MethaneProduction(G$111,$G$131,H146,VLOOKUP($E187,$D$171:$E$176,2, FALSE),$G$134)</f>
        <v>2.1267840000000003E-4</v>
      </c>
      <c r="I187" s="52" cm="1">
        <f t="array" ref="I187">ManureManagement_Swine_Methane.VEERG_4_5_1_1__6_Stage2MethaneProduction(H$111,$G$131,I146,VLOOKUP($E187,$D$171:$E$176,2, FALSE),$G$134)</f>
        <v>1.5080832000000002E-4</v>
      </c>
      <c r="J187" s="52" cm="1">
        <f t="array" ref="J187">ManureManagement_Swine_Methane.VEERG_4_5_1_1__6_Stage2MethaneProduction(I$111,$G$131,J146,VLOOKUP($E187,$D$171:$E$176,2, FALSE),$G$134)</f>
        <v>1.5080832000000002E-4</v>
      </c>
      <c r="K187" s="52" cm="1">
        <f t="array" ref="K187">ManureManagement_Swine_Methane.VEERG_4_5_1_1__6_Stage2MethaneProduction(J$111,$G$131,K146,VLOOKUP($E187,$D$171:$E$176,2, FALSE),$G$134)</f>
        <v>1.5080832000000002E-4</v>
      </c>
      <c r="L187" s="52" cm="1">
        <f t="array" ref="L187">ManureManagement_Swine_Methane.VEERG_4_5_1_1__6_Stage2MethaneProduction(K$111,$G$131,L146,VLOOKUP($E187,$D$171:$E$176,2, FALSE),$G$134)</f>
        <v>1.5080832000000002E-4</v>
      </c>
      <c r="M187" s="2" t="str">
        <f>$E$128</f>
        <v>kg CH4/head/day</v>
      </c>
    </row>
    <row r="188" spans="4:13" ht="20.100000000000001" customHeight="1" x14ac:dyDescent="0.25">
      <c r="D188" s="57"/>
      <c r="E188" s="57" t="str">
        <f>'Input - Swine'!$D$58</f>
        <v>Deep litter</v>
      </c>
      <c r="F188" s="52" cm="1">
        <f t="array" ref="F188">ManureManagement_Swine_Methane.VEERG_4_5_1_1__6_Stage2MethaneProduction(E$111,$G$131,F147,VLOOKUP($E188,$D$171:$E$176,2, FALSE),$G$134)</f>
        <v>4.9496064000000004E-5</v>
      </c>
      <c r="G188" s="52" cm="1">
        <f t="array" ref="G188">ManureManagement_Swine_Methane.VEERG_4_5_1_1__6_Stage2MethaneProduction(F$111,$G$131,G147,VLOOKUP($E188,$D$171:$E$176,2, FALSE),$G$134)</f>
        <v>7.1150592000000014E-5</v>
      </c>
      <c r="H188" s="52" cm="1">
        <f t="array" ref="H188">ManureManagement_Swine_Methane.VEERG_4_5_1_1__6_Stage2MethaneProduction(G$111,$G$131,H147,VLOOKUP($E188,$D$171:$E$176,2, FALSE),$G$134)</f>
        <v>8.5071360000000011E-5</v>
      </c>
      <c r="I188" s="52" cm="1">
        <f t="array" ref="I188">ManureManagement_Swine_Methane.VEERG_4_5_1_1__6_Stage2MethaneProduction(H$111,$G$131,I147,VLOOKUP($E188,$D$171:$E$176,2, FALSE),$G$134)</f>
        <v>6.0323328000000009E-5</v>
      </c>
      <c r="J188" s="52" cm="1">
        <f t="array" ref="J188">ManureManagement_Swine_Methane.VEERG_4_5_1_1__6_Stage2MethaneProduction(I$111,$G$131,J147,VLOOKUP($E188,$D$171:$E$176,2, FALSE),$G$134)</f>
        <v>6.0323328000000009E-5</v>
      </c>
      <c r="K188" s="52" cm="1">
        <f t="array" ref="K188">ManureManagement_Swine_Methane.VEERG_4_5_1_1__6_Stage2MethaneProduction(J$111,$G$131,K147,VLOOKUP($E188,$D$171:$E$176,2, FALSE),$G$134)</f>
        <v>6.0323328000000009E-5</v>
      </c>
      <c r="L188" s="52" cm="1">
        <f t="array" ref="L188">ManureManagement_Swine_Methane.VEERG_4_5_1_1__6_Stage2MethaneProduction(K$111,$G$131,L147,VLOOKUP($E188,$D$171:$E$176,2, FALSE),$G$134)</f>
        <v>6.0323328000000009E-5</v>
      </c>
      <c r="M188" s="2" t="str">
        <f>$E$128</f>
        <v>kg CH4/head/day</v>
      </c>
    </row>
    <row r="189" spans="4:13" ht="20.100000000000001" customHeight="1" x14ac:dyDescent="0.25">
      <c r="D189" s="57"/>
      <c r="E189" s="57" t="str">
        <f>'Input - Swine'!$D$59</f>
        <v>Pit storage</v>
      </c>
      <c r="F189" s="52" cm="1">
        <f t="array" ref="F189">ManureManagement_Swine_Methane.VEERG_4_5_1_1__6_Stage2MethaneProduction(E$111,$G$131,F148,VLOOKUP($E189,$D$171:$E$176,2, FALSE),$G$134)</f>
        <v>3.7122047999999999E-5</v>
      </c>
      <c r="G189" s="52" cm="1">
        <f t="array" ref="G189">ManureManagement_Swine_Methane.VEERG_4_5_1_1__6_Stage2MethaneProduction(F$111,$G$131,G148,VLOOKUP($E189,$D$171:$E$176,2, FALSE),$G$134)</f>
        <v>5.3362944000000004E-5</v>
      </c>
      <c r="H189" s="52" cm="1">
        <f t="array" ref="H189">ManureManagement_Swine_Methane.VEERG_4_5_1_1__6_Stage2MethaneProduction(G$111,$G$131,H148,VLOOKUP($E189,$D$171:$E$176,2, FALSE),$G$134)</f>
        <v>6.3803520000000008E-5</v>
      </c>
      <c r="I189" s="52" cm="1">
        <f t="array" ref="I189">ManureManagement_Swine_Methane.VEERG_4_5_1_1__6_Stage2MethaneProduction(H$111,$G$131,I148,VLOOKUP($E189,$D$171:$E$176,2, FALSE),$G$134)</f>
        <v>4.5242496000000002E-5</v>
      </c>
      <c r="J189" s="52" cm="1">
        <f t="array" ref="J189">ManureManagement_Swine_Methane.VEERG_4_5_1_1__6_Stage2MethaneProduction(I$111,$G$131,J148,VLOOKUP($E189,$D$171:$E$176,2, FALSE),$G$134)</f>
        <v>4.5242496000000002E-5</v>
      </c>
      <c r="K189" s="52" cm="1">
        <f t="array" ref="K189">ManureManagement_Swine_Methane.VEERG_4_5_1_1__6_Stage2MethaneProduction(J$111,$G$131,K148,VLOOKUP($E189,$D$171:$E$176,2, FALSE),$G$134)</f>
        <v>4.5242496000000002E-5</v>
      </c>
      <c r="L189" s="52" cm="1">
        <f t="array" ref="L189">ManureManagement_Swine_Methane.VEERG_4_5_1_1__6_Stage2MethaneProduction(K$111,$G$131,L148,VLOOKUP($E189,$D$171:$E$176,2, FALSE),$G$134)</f>
        <v>4.5242496000000002E-5</v>
      </c>
      <c r="M189" s="2" t="str">
        <f>$E$128</f>
        <v>kg CH4/head/day</v>
      </c>
    </row>
    <row r="190" spans="4:13" ht="20.100000000000001" customHeight="1" x14ac:dyDescent="0.25">
      <c r="D190" s="57" t="str">
        <f>'Input - Swine'!$D$31</f>
        <v>Digester / covered lagoons</v>
      </c>
      <c r="E190" s="57" t="str">
        <f>'Input - Swine'!$D$64</f>
        <v>Anaerobic lagoon</v>
      </c>
      <c r="F190" s="52" cm="1">
        <f t="array" ref="F190">ManureManagement_Swine_Methane.VEERG_4_5_1_1__6_Stage2MethaneProduction(E$112,$G$131,F149,VLOOKUP($E190,$D$171:$E$176,2, FALSE),$G$134)</f>
        <v>2.3510630400000004E-4</v>
      </c>
      <c r="G190" s="52" cm="1">
        <f t="array" ref="G190">ManureManagement_Swine_Methane.VEERG_4_5_1_1__6_Stage2MethaneProduction(F$112,$G$131,G149,VLOOKUP($E190,$D$171:$E$176,2, FALSE),$G$134)</f>
        <v>2.7037224960000002E-4</v>
      </c>
      <c r="H190" s="52" cm="1">
        <f t="array" ref="H190">ManureManagement_Swine_Methane.VEERG_4_5_1_1__6_Stage2MethaneProduction(G$112,$G$131,H149,VLOOKUP($E190,$D$171:$E$176,2, FALSE),$G$134)</f>
        <v>3.2327116800000006E-4</v>
      </c>
      <c r="I190" s="52" cm="1">
        <f t="array" ref="I190">ManureManagement_Swine_Methane.VEERG_4_5_1_1__6_Stage2MethaneProduction(H$112,$G$131,I149,VLOOKUP($E190,$D$171:$E$176,2, FALSE),$G$134)</f>
        <v>2.2922864640000006E-4</v>
      </c>
      <c r="J190" s="52" cm="1">
        <f t="array" ref="J190">ManureManagement_Swine_Methane.VEERG_4_5_1_1__6_Stage2MethaneProduction(I$112,$G$131,J149,VLOOKUP($E190,$D$171:$E$176,2, FALSE),$G$134)</f>
        <v>2.2922864640000006E-4</v>
      </c>
      <c r="K190" s="52" cm="1">
        <f t="array" ref="K190">ManureManagement_Swine_Methane.VEERG_4_5_1_1__6_Stage2MethaneProduction(J$112,$G$131,K149,VLOOKUP($E190,$D$171:$E$176,2, FALSE),$G$134)</f>
        <v>2.2922864640000006E-4</v>
      </c>
      <c r="L190" s="52" cm="1">
        <f t="array" ref="L190">ManureManagement_Swine_Methane.VEERG_4_5_1_1__6_Stage2MethaneProduction(K$112,$G$131,L149,VLOOKUP($E190,$D$171:$E$176,2, FALSE),$G$134)</f>
        <v>2.2922864640000006E-4</v>
      </c>
      <c r="M190" s="2" t="str">
        <f>$E$128</f>
        <v>kg CH4/head/day</v>
      </c>
    </row>
    <row r="191" spans="4:13" ht="20.100000000000001" customHeight="1" x14ac:dyDescent="0.25">
      <c r="D191" s="57"/>
      <c r="E191" s="57" t="str">
        <f>'Input - Swine'!$D$65</f>
        <v>Drylot (feed pad)</v>
      </c>
      <c r="F191" s="52" cm="1">
        <f t="array" ref="F191">ManureManagement_Swine_Methane.VEERG_4_5_1_1__6_Stage2MethaneProduction(E$112,$G$131,F150,VLOOKUP($E191,$D$171:$E$176,2, FALSE),$G$134)</f>
        <v>3.0935040000000002E-6</v>
      </c>
      <c r="G191" s="52" cm="1">
        <f t="array" ref="G191">ManureManagement_Swine_Methane.VEERG_4_5_1_1__6_Stage2MethaneProduction(F$112,$G$131,G150,VLOOKUP($E191,$D$171:$E$176,2, FALSE),$G$134)</f>
        <v>3.5575296000000005E-6</v>
      </c>
      <c r="H191" s="52" cm="1">
        <f t="array" ref="H191">ManureManagement_Swine_Methane.VEERG_4_5_1_1__6_Stage2MethaneProduction(G$112,$G$131,H150,VLOOKUP($E191,$D$171:$E$176,2, FALSE),$G$134)</f>
        <v>4.253568000000001E-6</v>
      </c>
      <c r="I191" s="52" cm="1">
        <f t="array" ref="I191">ManureManagement_Swine_Methane.VEERG_4_5_1_1__6_Stage2MethaneProduction(H$112,$G$131,I150,VLOOKUP($E191,$D$171:$E$176,2, FALSE),$G$134)</f>
        <v>3.016166400000001E-6</v>
      </c>
      <c r="J191" s="52" cm="1">
        <f t="array" ref="J191">ManureManagement_Swine_Methane.VEERG_4_5_1_1__6_Stage2MethaneProduction(I$112,$G$131,J150,VLOOKUP($E191,$D$171:$E$176,2, FALSE),$G$134)</f>
        <v>3.016166400000001E-6</v>
      </c>
      <c r="K191" s="52" cm="1">
        <f t="array" ref="K191">ManureManagement_Swine_Methane.VEERG_4_5_1_1__6_Stage2MethaneProduction(J$112,$G$131,K150,VLOOKUP($E191,$D$171:$E$176,2, FALSE),$G$134)</f>
        <v>3.016166400000001E-6</v>
      </c>
      <c r="L191" s="52" cm="1">
        <f t="array" ref="L191">ManureManagement_Swine_Methane.VEERG_4_5_1_1__6_Stage2MethaneProduction(K$112,$G$131,L150,VLOOKUP($E191,$D$171:$E$176,2, FALSE),$G$134)</f>
        <v>3.016166400000001E-6</v>
      </c>
      <c r="M191" s="2" t="str">
        <f>$E$128</f>
        <v>kg CH4/head/day</v>
      </c>
    </row>
    <row r="192" spans="4:13" ht="20.100000000000001" customHeight="1" x14ac:dyDescent="0.25">
      <c r="D192" s="57"/>
      <c r="E192" s="57" t="str">
        <f>'Input - Swine'!$D$66</f>
        <v>Deep litter</v>
      </c>
      <c r="F192" s="52" cm="1">
        <f t="array" ref="F192">ManureManagement_Swine_Methane.VEERG_4_5_1_1__6_Stage2MethaneProduction(E$112,$G$131,F151,VLOOKUP($E192,$D$171:$E$176,2, FALSE),$G$134)</f>
        <v>1.2374016000000001E-5</v>
      </c>
      <c r="G192" s="52" cm="1">
        <f t="array" ref="G192">ManureManagement_Swine_Methane.VEERG_4_5_1_1__6_Stage2MethaneProduction(F$112,$G$131,G151,VLOOKUP($E192,$D$171:$E$176,2, FALSE),$G$134)</f>
        <v>1.4230118400000002E-5</v>
      </c>
      <c r="H192" s="52" cm="1">
        <f t="array" ref="H192">ManureManagement_Swine_Methane.VEERG_4_5_1_1__6_Stage2MethaneProduction(G$112,$G$131,H151,VLOOKUP($E192,$D$171:$E$176,2, FALSE),$G$134)</f>
        <v>1.7014272000000004E-5</v>
      </c>
      <c r="I192" s="52" cm="1">
        <f t="array" ref="I192">ManureManagement_Swine_Methane.VEERG_4_5_1_1__6_Stage2MethaneProduction(H$112,$G$131,I151,VLOOKUP($E192,$D$171:$E$176,2, FALSE),$G$134)</f>
        <v>1.2064665600000004E-5</v>
      </c>
      <c r="J192" s="52" cm="1">
        <f t="array" ref="J192">ManureManagement_Swine_Methane.VEERG_4_5_1_1__6_Stage2MethaneProduction(I$112,$G$131,J151,VLOOKUP($E192,$D$171:$E$176,2, FALSE),$G$134)</f>
        <v>1.2064665600000004E-5</v>
      </c>
      <c r="K192" s="52" cm="1">
        <f t="array" ref="K192">ManureManagement_Swine_Methane.VEERG_4_5_1_1__6_Stage2MethaneProduction(J$112,$G$131,K151,VLOOKUP($E192,$D$171:$E$176,2, FALSE),$G$134)</f>
        <v>1.2064665600000004E-5</v>
      </c>
      <c r="L192" s="52" cm="1">
        <f t="array" ref="L192">ManureManagement_Swine_Methane.VEERG_4_5_1_1__6_Stage2MethaneProduction(K$112,$G$131,L151,VLOOKUP($E192,$D$171:$E$176,2, FALSE),$G$134)</f>
        <v>1.2064665600000004E-5</v>
      </c>
      <c r="M192" s="2" t="str">
        <f>$E$128</f>
        <v>kg CH4/head/day</v>
      </c>
    </row>
    <row r="193" spans="4:13" ht="20.100000000000001" customHeight="1" x14ac:dyDescent="0.25">
      <c r="D193" s="57"/>
      <c r="E193" s="57" t="str">
        <f>'Input - Swine'!$D$67</f>
        <v>Pit storage</v>
      </c>
      <c r="F193" s="52" cm="1">
        <f t="array" ref="F193">ManureManagement_Swine_Methane.VEERG_4_5_1_1__6_Stage2MethaneProduction(E$112,$G$131,F152,VLOOKUP($E193,$D$171:$E$176,2, FALSE),$G$134)</f>
        <v>9.2805119999999998E-6</v>
      </c>
      <c r="G193" s="52" cm="1">
        <f t="array" ref="G193">ManureManagement_Swine_Methane.VEERG_4_5_1_1__6_Stage2MethaneProduction(F$112,$G$131,G152,VLOOKUP($E193,$D$171:$E$176,2, FALSE),$G$134)</f>
        <v>1.06725888E-5</v>
      </c>
      <c r="H193" s="52" cm="1">
        <f t="array" ref="H193">ManureManagement_Swine_Methane.VEERG_4_5_1_1__6_Stage2MethaneProduction(G$112,$G$131,H152,VLOOKUP($E193,$D$171:$E$176,2, FALSE),$G$134)</f>
        <v>1.2760704000000001E-5</v>
      </c>
      <c r="I193" s="52" cm="1">
        <f t="array" ref="I193">ManureManagement_Swine_Methane.VEERG_4_5_1_1__6_Stage2MethaneProduction(H$112,$G$131,I152,VLOOKUP($E193,$D$171:$E$176,2, FALSE),$G$134)</f>
        <v>9.048499200000002E-6</v>
      </c>
      <c r="J193" s="52" cm="1">
        <f t="array" ref="J193">ManureManagement_Swine_Methane.VEERG_4_5_1_1__6_Stage2MethaneProduction(I$112,$G$131,J152,VLOOKUP($E193,$D$171:$E$176,2, FALSE),$G$134)</f>
        <v>9.048499200000002E-6</v>
      </c>
      <c r="K193" s="52" cm="1">
        <f t="array" ref="K193">ManureManagement_Swine_Methane.VEERG_4_5_1_1__6_Stage2MethaneProduction(J$112,$G$131,K152,VLOOKUP($E193,$D$171:$E$176,2, FALSE),$G$134)</f>
        <v>9.048499200000002E-6</v>
      </c>
      <c r="L193" s="52" cm="1">
        <f t="array" ref="L193">ManureManagement_Swine_Methane.VEERG_4_5_1_1__6_Stage2MethaneProduction(K$112,$G$131,L152,VLOOKUP($E193,$D$171:$E$176,2, FALSE),$G$134)</f>
        <v>9.048499200000002E-6</v>
      </c>
      <c r="M193" s="2" t="str">
        <f>$E$128</f>
        <v>kg CH4/head/day</v>
      </c>
    </row>
    <row r="194" spans="4:13" ht="20.100000000000001" customHeight="1" x14ac:dyDescent="0.25">
      <c r="D194" s="57" t="str">
        <f>'Input - Swine'!$D$32</f>
        <v>Deep litter</v>
      </c>
      <c r="E194" s="57" t="str">
        <f>'Input - Swine'!$D$72</f>
        <v>Anaerobic lagoon</v>
      </c>
      <c r="F194" s="52" cm="1">
        <f t="array" ref="F194">ManureManagement_Swine_Methane.VEERG_4_5_1_1__6_Stage2MethaneProduction(E$113,$G$131,F153,VLOOKUP($E194,$D$171:$E$176,2, FALSE),$G$134)</f>
        <v>8.9340395520000001E-4</v>
      </c>
      <c r="G194" s="52" cm="1">
        <f t="array" ref="G194">ManureManagement_Swine_Methane.VEERG_4_5_1_1__6_Stage2MethaneProduction(F$113,$G$131,G153,VLOOKUP($E194,$D$171:$E$176,2, FALSE),$G$134)</f>
        <v>1.2842681856000001E-3</v>
      </c>
      <c r="H194" s="52" cm="1">
        <f t="array" ref="H194">ManureManagement_Swine_Methane.VEERG_4_5_1_1__6_Stage2MethaneProduction(G$113,$G$131,H153,VLOOKUP($E194,$D$171:$E$176,2, FALSE),$G$134)</f>
        <v>1.5355380480000004E-3</v>
      </c>
      <c r="I194" s="52" cm="1">
        <f t="array" ref="I194">ManureManagement_Swine_Methane.VEERG_4_5_1_1__6_Stage2MethaneProduction(H$113,$G$131,I153,VLOOKUP($E194,$D$171:$E$176,2, FALSE),$G$134)</f>
        <v>1.0888360704000002E-3</v>
      </c>
      <c r="J194" s="52" cm="1">
        <f t="array" ref="J194">ManureManagement_Swine_Methane.VEERG_4_5_1_1__6_Stage2MethaneProduction(I$113,$G$131,J153,VLOOKUP($E194,$D$171:$E$176,2, FALSE),$G$134)</f>
        <v>1.0888360704000002E-3</v>
      </c>
      <c r="K194" s="52" cm="1">
        <f t="array" ref="K194">ManureManagement_Swine_Methane.VEERG_4_5_1_1__6_Stage2MethaneProduction(J$113,$G$131,K153,VLOOKUP($E194,$D$171:$E$176,2, FALSE),$G$134)</f>
        <v>1.0888360704000002E-3</v>
      </c>
      <c r="L194" s="52" cm="1">
        <f t="array" ref="L194">ManureManagement_Swine_Methane.VEERG_4_5_1_1__6_Stage2MethaneProduction(K$113,$G$131,L153,VLOOKUP($E194,$D$171:$E$176,2, FALSE),$G$134)</f>
        <v>1.0888360704000002E-3</v>
      </c>
      <c r="M194" s="2" t="str">
        <f t="shared" ref="M194:M206" si="0">$E$128</f>
        <v>kg CH4/head/day</v>
      </c>
    </row>
    <row r="195" spans="4:13" ht="20.100000000000001" customHeight="1" x14ac:dyDescent="0.25">
      <c r="D195" s="57"/>
      <c r="E195" s="57" t="str">
        <f>'Input - Swine'!$D$73</f>
        <v>Drylot (feed pad)</v>
      </c>
      <c r="F195" s="52" cm="1">
        <f t="array" ref="F195">ManureManagement_Swine_Methane.VEERG_4_5_1_1__6_Stage2MethaneProduction(E$113,$G$131,F154,VLOOKUP($E195,$D$171:$E$176,2, FALSE),$G$134)</f>
        <v>1.17553152E-5</v>
      </c>
      <c r="G195" s="52" cm="1">
        <f t="array" ref="G195">ManureManagement_Swine_Methane.VEERG_4_5_1_1__6_Stage2MethaneProduction(F$113,$G$131,G154,VLOOKUP($E195,$D$171:$E$176,2, FALSE),$G$134)</f>
        <v>1.6898265599999998E-5</v>
      </c>
      <c r="H195" s="52" cm="1">
        <f t="array" ref="H195">ManureManagement_Swine_Methane.VEERG_4_5_1_1__6_Stage2MethaneProduction(G$113,$G$131,H154,VLOOKUP($E195,$D$171:$E$176,2, FALSE),$G$134)</f>
        <v>2.0204448000000004E-5</v>
      </c>
      <c r="I195" s="52" cm="1">
        <f t="array" ref="I195">ManureManagement_Swine_Methane.VEERG_4_5_1_1__6_Stage2MethaneProduction(H$113,$G$131,I154,VLOOKUP($E195,$D$171:$E$176,2, FALSE),$G$134)</f>
        <v>1.4326790400000001E-5</v>
      </c>
      <c r="J195" s="52" cm="1">
        <f t="array" ref="J195">ManureManagement_Swine_Methane.VEERG_4_5_1_1__6_Stage2MethaneProduction(I$113,$G$131,J154,VLOOKUP($E195,$D$171:$E$176,2, FALSE),$G$134)</f>
        <v>1.4326790400000001E-5</v>
      </c>
      <c r="K195" s="52" cm="1">
        <f t="array" ref="K195">ManureManagement_Swine_Methane.VEERG_4_5_1_1__6_Stage2MethaneProduction(J$113,$G$131,K154,VLOOKUP($E195,$D$171:$E$176,2, FALSE),$G$134)</f>
        <v>1.4326790400000001E-5</v>
      </c>
      <c r="L195" s="52" cm="1">
        <f t="array" ref="L195">ManureManagement_Swine_Methane.VEERG_4_5_1_1__6_Stage2MethaneProduction(K$113,$G$131,L154,VLOOKUP($E195,$D$171:$E$176,2, FALSE),$G$134)</f>
        <v>1.4326790400000001E-5</v>
      </c>
      <c r="M195" s="2" t="str">
        <f t="shared" si="0"/>
        <v>kg CH4/head/day</v>
      </c>
    </row>
    <row r="196" spans="4:13" ht="20.100000000000001" customHeight="1" x14ac:dyDescent="0.25">
      <c r="D196" s="57"/>
      <c r="E196" s="57" t="str">
        <f>'Input - Swine'!$D$74</f>
        <v>Digester / covered lagoons</v>
      </c>
      <c r="F196" s="52" cm="1">
        <f t="array" ref="F196">ManureManagement_Swine_Methane.VEERG_4_5_1_1__6_Stage2MethaneProduction(E$113,$G$131,F155,VLOOKUP($E196,$D$171:$E$176,2, FALSE),$G$134)</f>
        <v>1.1755315200000002E-4</v>
      </c>
      <c r="G196" s="52" cm="1">
        <f t="array" ref="G196">ManureManagement_Swine_Methane.VEERG_4_5_1_1__6_Stage2MethaneProduction(F$113,$G$131,G155,VLOOKUP($E196,$D$171:$E$176,2, FALSE),$G$134)</f>
        <v>1.6898265599999998E-4</v>
      </c>
      <c r="H196" s="52" cm="1">
        <f t="array" ref="H196">ManureManagement_Swine_Methane.VEERG_4_5_1_1__6_Stage2MethaneProduction(G$113,$G$131,H155,VLOOKUP($E196,$D$171:$E$176,2, FALSE),$G$134)</f>
        <v>2.0204448000000003E-4</v>
      </c>
      <c r="I196" s="52" cm="1">
        <f t="array" ref="I196">ManureManagement_Swine_Methane.VEERG_4_5_1_1__6_Stage2MethaneProduction(H$113,$G$131,I155,VLOOKUP($E196,$D$171:$E$176,2, FALSE),$G$134)</f>
        <v>1.43267904E-4</v>
      </c>
      <c r="J196" s="52" cm="1">
        <f t="array" ref="J196">ManureManagement_Swine_Methane.VEERG_4_5_1_1__6_Stage2MethaneProduction(I$113,$G$131,J155,VLOOKUP($E196,$D$171:$E$176,2, FALSE),$G$134)</f>
        <v>1.43267904E-4</v>
      </c>
      <c r="K196" s="52" cm="1">
        <f t="array" ref="K196">ManureManagement_Swine_Methane.VEERG_4_5_1_1__6_Stage2MethaneProduction(J$113,$G$131,K155,VLOOKUP($E196,$D$171:$E$176,2, FALSE),$G$134)</f>
        <v>1.43267904E-4</v>
      </c>
      <c r="L196" s="52" cm="1">
        <f t="array" ref="L196">ManureManagement_Swine_Methane.VEERG_4_5_1_1__6_Stage2MethaneProduction(K$113,$G$131,L155,VLOOKUP($E196,$D$171:$E$176,2, FALSE),$G$134)</f>
        <v>1.43267904E-4</v>
      </c>
      <c r="M196" s="2" t="str">
        <f t="shared" si="0"/>
        <v>kg CH4/head/day</v>
      </c>
    </row>
    <row r="197" spans="4:13" ht="20.100000000000001" customHeight="1" x14ac:dyDescent="0.25">
      <c r="D197" s="57"/>
      <c r="E197" s="57" t="str">
        <f>'Input - Swine'!$D$75</f>
        <v>Pit storage</v>
      </c>
      <c r="F197" s="52" cm="1">
        <f t="array" ref="F197">ManureManagement_Swine_Methane.VEERG_4_5_1_1__6_Stage2MethaneProduction(E$113,$G$131,F156,VLOOKUP($E197,$D$171:$E$176,2, FALSE),$G$134)</f>
        <v>3.5265945600000003E-5</v>
      </c>
      <c r="G197" s="52" cm="1">
        <f t="array" ref="G197">ManureManagement_Swine_Methane.VEERG_4_5_1_1__6_Stage2MethaneProduction(F$113,$G$131,G156,VLOOKUP($E197,$D$171:$E$176,2, FALSE),$G$134)</f>
        <v>5.0694796799999996E-5</v>
      </c>
      <c r="H197" s="52" cm="1">
        <f t="array" ref="H197">ManureManagement_Swine_Methane.VEERG_4_5_1_1__6_Stage2MethaneProduction(G$113,$G$131,H156,VLOOKUP($E197,$D$171:$E$176,2, FALSE),$G$134)</f>
        <v>6.0613344000000005E-5</v>
      </c>
      <c r="I197" s="52" cm="1">
        <f t="array" ref="I197">ManureManagement_Swine_Methane.VEERG_4_5_1_1__6_Stage2MethaneProduction(H$113,$G$131,I156,VLOOKUP($E197,$D$171:$E$176,2, FALSE),$G$134)</f>
        <v>4.2980371200000003E-5</v>
      </c>
      <c r="J197" s="52" cm="1">
        <f t="array" ref="J197">ManureManagement_Swine_Methane.VEERG_4_5_1_1__6_Stage2MethaneProduction(I$113,$G$131,J156,VLOOKUP($E197,$D$171:$E$176,2, FALSE),$G$134)</f>
        <v>4.2980371200000003E-5</v>
      </c>
      <c r="K197" s="52" cm="1">
        <f t="array" ref="K197">ManureManagement_Swine_Methane.VEERG_4_5_1_1__6_Stage2MethaneProduction(J$113,$G$131,K156,VLOOKUP($E197,$D$171:$E$176,2, FALSE),$G$134)</f>
        <v>4.2980371200000003E-5</v>
      </c>
      <c r="L197" s="52" cm="1">
        <f t="array" ref="L197">ManureManagement_Swine_Methane.VEERG_4_5_1_1__6_Stage2MethaneProduction(K$113,$G$131,L156,VLOOKUP($E197,$D$171:$E$176,2, FALSE),$G$134)</f>
        <v>4.2980371200000003E-5</v>
      </c>
      <c r="M197" s="2" t="str">
        <f t="shared" si="0"/>
        <v>kg CH4/head/day</v>
      </c>
    </row>
    <row r="198" spans="4:13" ht="20.100000000000001" customHeight="1" x14ac:dyDescent="0.25">
      <c r="D198" s="57" t="str">
        <f>'Input - Swine'!$D$33</f>
        <v>Pit storage</v>
      </c>
      <c r="E198" s="57" t="str">
        <f>'Input - Swine'!$D$80</f>
        <v>Anaerobic lagoon</v>
      </c>
      <c r="F198" s="52" cm="1">
        <f t="array" ref="F198">ManureManagement_Swine_Methane.VEERG_4_5_1_1__6_Stage2MethaneProduction(E$114,$G$131,F157,VLOOKUP($E198,$D$171:$E$176,2, FALSE),$G$134)</f>
        <v>9.4042521600000016E-4</v>
      </c>
      <c r="G198" s="52" cm="1">
        <f t="array" ref="G198">ManureManagement_Swine_Methane.VEERG_4_5_1_1__6_Stage2MethaneProduction(F$114,$G$131,G157,VLOOKUP($E198,$D$171:$E$176,2, FALSE),$G$134)</f>
        <v>1.3518612480000003E-3</v>
      </c>
      <c r="H198" s="52" cm="1">
        <f t="array" ref="H198">ManureManagement_Swine_Methane.VEERG_4_5_1_1__6_Stage2MethaneProduction(G$114,$G$131,H157,VLOOKUP($E198,$D$171:$E$176,2, FALSE),$G$134)</f>
        <v>1.6163558400000002E-3</v>
      </c>
      <c r="I198" s="52" cm="1">
        <f t="array" ref="I198">ManureManagement_Swine_Methane.VEERG_4_5_1_1__6_Stage2MethaneProduction(H$114,$G$131,I157,VLOOKUP($E198,$D$171:$E$176,2, FALSE),$G$134)</f>
        <v>1.146143232E-3</v>
      </c>
      <c r="J198" s="52" cm="1">
        <f t="array" ref="J198">ManureManagement_Swine_Methane.VEERG_4_5_1_1__6_Stage2MethaneProduction(I$114,$G$131,J157,VLOOKUP($E198,$D$171:$E$176,2, FALSE),$G$134)</f>
        <v>1.146143232E-3</v>
      </c>
      <c r="K198" s="52" cm="1">
        <f t="array" ref="K198">ManureManagement_Swine_Methane.VEERG_4_5_1_1__6_Stage2MethaneProduction(J$114,$G$131,K157,VLOOKUP($E198,$D$171:$E$176,2, FALSE),$G$134)</f>
        <v>1.146143232E-3</v>
      </c>
      <c r="L198" s="52" cm="1">
        <f t="array" ref="L198">ManureManagement_Swine_Methane.VEERG_4_5_1_1__6_Stage2MethaneProduction(K$114,$G$131,L157,VLOOKUP($E198,$D$171:$E$176,2, FALSE),$G$134)</f>
        <v>1.146143232E-3</v>
      </c>
      <c r="M198" s="2" t="str">
        <f t="shared" si="0"/>
        <v>kg CH4/head/day</v>
      </c>
    </row>
    <row r="199" spans="4:13" ht="20.100000000000001" customHeight="1" x14ac:dyDescent="0.25">
      <c r="D199" s="57"/>
      <c r="E199" s="57" t="str">
        <f>'Input - Swine'!$D$81</f>
        <v>Drylot (feed pad)</v>
      </c>
      <c r="F199" s="52" cm="1">
        <f t="array" ref="F199">ManureManagement_Swine_Methane.VEERG_4_5_1_1__6_Stage2MethaneProduction(E$114,$G$131,F158,VLOOKUP($E199,$D$171:$E$176,2, FALSE),$G$134)</f>
        <v>1.2374016000000001E-5</v>
      </c>
      <c r="G199" s="52" cm="1">
        <f t="array" ref="G199">ManureManagement_Swine_Methane.VEERG_4_5_1_1__6_Stage2MethaneProduction(F$114,$G$131,G158,VLOOKUP($E199,$D$171:$E$176,2, FALSE),$G$134)</f>
        <v>1.7787648000000004E-5</v>
      </c>
      <c r="H199" s="52" cm="1">
        <f t="array" ref="H199">ManureManagement_Swine_Methane.VEERG_4_5_1_1__6_Stage2MethaneProduction(G$114,$G$131,H158,VLOOKUP($E199,$D$171:$E$176,2, FALSE),$G$134)</f>
        <v>2.1267840000000003E-5</v>
      </c>
      <c r="I199" s="52" cm="1">
        <f t="array" ref="I199">ManureManagement_Swine_Methane.VEERG_4_5_1_1__6_Stage2MethaneProduction(H$114,$G$131,I158,VLOOKUP($E199,$D$171:$E$176,2, FALSE),$G$134)</f>
        <v>1.5080832000000002E-5</v>
      </c>
      <c r="J199" s="52" cm="1">
        <f t="array" ref="J199">ManureManagement_Swine_Methane.VEERG_4_5_1_1__6_Stage2MethaneProduction(I$114,$G$131,J158,VLOOKUP($E199,$D$171:$E$176,2, FALSE),$G$134)</f>
        <v>1.5080832000000002E-5</v>
      </c>
      <c r="K199" s="52" cm="1">
        <f t="array" ref="K199">ManureManagement_Swine_Methane.VEERG_4_5_1_1__6_Stage2MethaneProduction(J$114,$G$131,K158,VLOOKUP($E199,$D$171:$E$176,2, FALSE),$G$134)</f>
        <v>1.5080832000000002E-5</v>
      </c>
      <c r="L199" s="52" cm="1">
        <f t="array" ref="L199">ManureManagement_Swine_Methane.VEERG_4_5_1_1__6_Stage2MethaneProduction(K$114,$G$131,L158,VLOOKUP($E199,$D$171:$E$176,2, FALSE),$G$134)</f>
        <v>1.5080832000000002E-5</v>
      </c>
      <c r="M199" s="2" t="str">
        <f t="shared" si="0"/>
        <v>kg CH4/head/day</v>
      </c>
    </row>
    <row r="200" spans="4:13" ht="20.100000000000001" customHeight="1" x14ac:dyDescent="0.25">
      <c r="D200" s="57"/>
      <c r="E200" s="57" t="str">
        <f>'Input - Swine'!$D$82</f>
        <v>Digester / covered lagoons</v>
      </c>
      <c r="F200" s="52" cm="1">
        <f t="array" ref="F200">ManureManagement_Swine_Methane.VEERG_4_5_1_1__6_Stage2MethaneProduction(E$114,$G$131,F159,VLOOKUP($E200,$D$171:$E$176,2, FALSE),$G$134)</f>
        <v>1.2374016000000002E-4</v>
      </c>
      <c r="G200" s="52" cm="1">
        <f t="array" ref="G200">ManureManagement_Swine_Methane.VEERG_4_5_1_1__6_Stage2MethaneProduction(F$114,$G$131,G159,VLOOKUP($E200,$D$171:$E$176,2, FALSE),$G$134)</f>
        <v>1.7787648000000002E-4</v>
      </c>
      <c r="H200" s="52" cm="1">
        <f t="array" ref="H200">ManureManagement_Swine_Methane.VEERG_4_5_1_1__6_Stage2MethaneProduction(G$114,$G$131,H159,VLOOKUP($E200,$D$171:$E$176,2, FALSE),$G$134)</f>
        <v>2.1267840000000003E-4</v>
      </c>
      <c r="I200" s="52" cm="1">
        <f t="array" ref="I200">ManureManagement_Swine_Methane.VEERG_4_5_1_1__6_Stage2MethaneProduction(H$114,$G$131,I159,VLOOKUP($E200,$D$171:$E$176,2, FALSE),$G$134)</f>
        <v>1.5080832000000002E-4</v>
      </c>
      <c r="J200" s="52" cm="1">
        <f t="array" ref="J200">ManureManagement_Swine_Methane.VEERG_4_5_1_1__6_Stage2MethaneProduction(I$114,$G$131,J159,VLOOKUP($E200,$D$171:$E$176,2, FALSE),$G$134)</f>
        <v>1.5080832000000002E-4</v>
      </c>
      <c r="K200" s="52" cm="1">
        <f t="array" ref="K200">ManureManagement_Swine_Methane.VEERG_4_5_1_1__6_Stage2MethaneProduction(J$114,$G$131,K159,VLOOKUP($E200,$D$171:$E$176,2, FALSE),$G$134)</f>
        <v>1.5080832000000002E-4</v>
      </c>
      <c r="L200" s="52" cm="1">
        <f t="array" ref="L200">ManureManagement_Swine_Methane.VEERG_4_5_1_1__6_Stage2MethaneProduction(K$114,$G$131,L159,VLOOKUP($E200,$D$171:$E$176,2, FALSE),$G$134)</f>
        <v>1.5080832000000002E-4</v>
      </c>
      <c r="M200" s="2" t="str">
        <f t="shared" si="0"/>
        <v>kg CH4/head/day</v>
      </c>
    </row>
    <row r="201" spans="4:13" ht="20.100000000000001" customHeight="1" x14ac:dyDescent="0.25">
      <c r="D201" s="57"/>
      <c r="E201" s="57" t="str">
        <f>'Input - Swine'!$D$83</f>
        <v>Deep litter</v>
      </c>
      <c r="F201" s="52" cm="1">
        <f t="array" ref="F201">ManureManagement_Swine_Methane.VEERG_4_5_1_1__6_Stage2MethaneProduction(E$114,$G$131,F160,VLOOKUP($E201,$D$171:$E$176,2, FALSE),$G$134)</f>
        <v>4.9496064000000004E-5</v>
      </c>
      <c r="G201" s="52" cm="1">
        <f t="array" ref="G201">ManureManagement_Swine_Methane.VEERG_4_5_1_1__6_Stage2MethaneProduction(F$114,$G$131,G160,VLOOKUP($E201,$D$171:$E$176,2, FALSE),$G$134)</f>
        <v>7.1150592000000014E-5</v>
      </c>
      <c r="H201" s="52" cm="1">
        <f t="array" ref="H201">ManureManagement_Swine_Methane.VEERG_4_5_1_1__6_Stage2MethaneProduction(G$114,$G$131,H160,VLOOKUP($E201,$D$171:$E$176,2, FALSE),$G$134)</f>
        <v>8.5071360000000011E-5</v>
      </c>
      <c r="I201" s="52" cm="1">
        <f t="array" ref="I201">ManureManagement_Swine_Methane.VEERG_4_5_1_1__6_Stage2MethaneProduction(H$114,$G$131,I160,VLOOKUP($E201,$D$171:$E$176,2, FALSE),$G$134)</f>
        <v>6.0323328000000009E-5</v>
      </c>
      <c r="J201" s="52" cm="1">
        <f t="array" ref="J201">ManureManagement_Swine_Methane.VEERG_4_5_1_1__6_Stage2MethaneProduction(I$114,$G$131,J160,VLOOKUP($E201,$D$171:$E$176,2, FALSE),$G$134)</f>
        <v>6.0323328000000009E-5</v>
      </c>
      <c r="K201" s="52" cm="1">
        <f t="array" ref="K201">ManureManagement_Swine_Methane.VEERG_4_5_1_1__6_Stage2MethaneProduction(J$114,$G$131,K160,VLOOKUP($E201,$D$171:$E$176,2, FALSE),$G$134)</f>
        <v>6.0323328000000009E-5</v>
      </c>
      <c r="L201" s="52" cm="1">
        <f t="array" ref="L201">ManureManagement_Swine_Methane.VEERG_4_5_1_1__6_Stage2MethaneProduction(K$114,$G$131,L160,VLOOKUP($E201,$D$171:$E$176,2, FALSE),$G$134)</f>
        <v>6.0323328000000009E-5</v>
      </c>
      <c r="M201" s="2" t="str">
        <f t="shared" si="0"/>
        <v>kg CH4/head/day</v>
      </c>
    </row>
    <row r="202" spans="4:13" ht="20.100000000000001" customHeight="1" x14ac:dyDescent="0.25">
      <c r="D202" s="57" t="str">
        <f>'Input - Swine'!$D$34</f>
        <v>Solid storage</v>
      </c>
      <c r="E202" s="57" t="str">
        <f>'Input - Swine'!$D$88</f>
        <v>Anaerobic lagoon</v>
      </c>
      <c r="F202" s="52" cm="1">
        <f t="array" ref="F202">ManureManagement_Swine_Methane.VEERG_4_5_1_1__6_Stage2MethaneProduction(E$115,$G$131,F161,VLOOKUP($E202,$D$171:$E$176,2, FALSE),$G$134)</f>
        <v>3.134750720000001E-3</v>
      </c>
      <c r="G202" s="52" cm="1">
        <f t="array" ref="G202">ManureManagement_Swine_Methane.VEERG_4_5_1_1__6_Stage2MethaneProduction(F$115,$G$131,G161,VLOOKUP($E202,$D$171:$E$176,2, FALSE),$G$134)</f>
        <v>3.6049633280000022E-3</v>
      </c>
      <c r="H202" s="52" cm="1">
        <f t="array" ref="H202">ManureManagement_Swine_Methane.VEERG_4_5_1_1__6_Stage2MethaneProduction(G$115,$G$131,H161,VLOOKUP($E202,$D$171:$E$176,2, FALSE),$G$134)</f>
        <v>4.310282240000002E-3</v>
      </c>
      <c r="I202" s="52" cm="1">
        <f t="array" ref="I202">ManureManagement_Swine_Methane.VEERG_4_5_1_1__6_Stage2MethaneProduction(H$115,$G$131,I161,VLOOKUP($E202,$D$171:$E$176,2, FALSE),$G$134)</f>
        <v>3.0563819520000013E-3</v>
      </c>
      <c r="J202" s="52" cm="1">
        <f t="array" ref="J202">ManureManagement_Swine_Methane.VEERG_4_5_1_1__6_Stage2MethaneProduction(I$115,$G$131,J161,VLOOKUP($E202,$D$171:$E$176,2, FALSE),$G$134)</f>
        <v>3.0563819520000013E-3</v>
      </c>
      <c r="K202" s="52" cm="1">
        <f t="array" ref="K202">ManureManagement_Swine_Methane.VEERG_4_5_1_1__6_Stage2MethaneProduction(J$115,$G$131,K161,VLOOKUP($E202,$D$171:$E$176,2, FALSE),$G$134)</f>
        <v>3.0563819520000013E-3</v>
      </c>
      <c r="L202" s="52" cm="1">
        <f t="array" ref="L202">ManureManagement_Swine_Methane.VEERG_4_5_1_1__6_Stage2MethaneProduction(K$115,$G$131,L161,VLOOKUP($E202,$D$171:$E$176,2, FALSE),$G$134)</f>
        <v>3.0563819520000013E-3</v>
      </c>
      <c r="M202" s="2" t="str">
        <f t="shared" si="0"/>
        <v>kg CH4/head/day</v>
      </c>
    </row>
    <row r="203" spans="4:13" ht="20.100000000000001" customHeight="1" x14ac:dyDescent="0.25">
      <c r="D203" s="57"/>
      <c r="E203" s="57" t="str">
        <f>'Input - Swine'!$D$89</f>
        <v>Drylot (feed pad)</v>
      </c>
      <c r="F203" s="52" cm="1">
        <f t="array" ref="F203">ManureManagement_Swine_Methane.VEERG_4_5_1_1__6_Stage2MethaneProduction(E$115,$G$131,F162,VLOOKUP($E203,$D$171:$E$176,2, FALSE),$G$134)</f>
        <v>4.1246720000000014E-5</v>
      </c>
      <c r="G203" s="52" cm="1">
        <f t="array" ref="G203">ManureManagement_Swine_Methane.VEERG_4_5_1_1__6_Stage2MethaneProduction(F$115,$G$131,G162,VLOOKUP($E203,$D$171:$E$176,2, FALSE),$G$134)</f>
        <v>4.7433728000000037E-5</v>
      </c>
      <c r="H203" s="52" cm="1">
        <f t="array" ref="H203">ManureManagement_Swine_Methane.VEERG_4_5_1_1__6_Stage2MethaneProduction(G$115,$G$131,H162,VLOOKUP($E203,$D$171:$E$176,2, FALSE),$G$134)</f>
        <v>5.6714240000000037E-5</v>
      </c>
      <c r="I203" s="52" cm="1">
        <f t="array" ref="I203">ManureManagement_Swine_Methane.VEERG_4_5_1_1__6_Stage2MethaneProduction(H$115,$G$131,I162,VLOOKUP($E203,$D$171:$E$176,2, FALSE),$G$134)</f>
        <v>4.0215552000000017E-5</v>
      </c>
      <c r="J203" s="52" cm="1">
        <f t="array" ref="J203">ManureManagement_Swine_Methane.VEERG_4_5_1_1__6_Stage2MethaneProduction(I$115,$G$131,J162,VLOOKUP($E203,$D$171:$E$176,2, FALSE),$G$134)</f>
        <v>4.0215552000000017E-5</v>
      </c>
      <c r="K203" s="52" cm="1">
        <f t="array" ref="K203">ManureManagement_Swine_Methane.VEERG_4_5_1_1__6_Stage2MethaneProduction(J$115,$G$131,K162,VLOOKUP($E203,$D$171:$E$176,2, FALSE),$G$134)</f>
        <v>4.0215552000000017E-5</v>
      </c>
      <c r="L203" s="52" cm="1">
        <f t="array" ref="L203">ManureManagement_Swine_Methane.VEERG_4_5_1_1__6_Stage2MethaneProduction(K$115,$G$131,L162,VLOOKUP($E203,$D$171:$E$176,2, FALSE),$G$134)</f>
        <v>4.0215552000000017E-5</v>
      </c>
      <c r="M203" s="2" t="str">
        <f t="shared" si="0"/>
        <v>kg CH4/head/day</v>
      </c>
    </row>
    <row r="204" spans="4:13" ht="20.100000000000001" customHeight="1" x14ac:dyDescent="0.25">
      <c r="D204" s="57"/>
      <c r="E204" s="57" t="str">
        <f>'Input - Swine'!$D$90</f>
        <v>Digester / covered lagoons</v>
      </c>
      <c r="F204" s="52" cm="1">
        <f t="array" ref="F204">ManureManagement_Swine_Methane.VEERG_4_5_1_1__6_Stage2MethaneProduction(E$115,$G$131,F163,VLOOKUP($E204,$D$171:$E$176,2, FALSE),$G$134)</f>
        <v>4.124672000000002E-4</v>
      </c>
      <c r="G204" s="52" cm="1">
        <f t="array" ref="G204">ManureManagement_Swine_Methane.VEERG_4_5_1_1__6_Stage2MethaneProduction(F$115,$G$131,G163,VLOOKUP($E204,$D$171:$E$176,2, FALSE),$G$134)</f>
        <v>4.7433728000000037E-4</v>
      </c>
      <c r="H204" s="52" cm="1">
        <f t="array" ref="H204">ManureManagement_Swine_Methane.VEERG_4_5_1_1__6_Stage2MethaneProduction(G$115,$G$131,H163,VLOOKUP($E204,$D$171:$E$176,2, FALSE),$G$134)</f>
        <v>5.6714240000000032E-4</v>
      </c>
      <c r="I204" s="52" cm="1">
        <f t="array" ref="I204">ManureManagement_Swine_Methane.VEERG_4_5_1_1__6_Stage2MethaneProduction(H$115,$G$131,I163,VLOOKUP($E204,$D$171:$E$176,2, FALSE),$G$134)</f>
        <v>4.0215552000000021E-4</v>
      </c>
      <c r="J204" s="52" cm="1">
        <f t="array" ref="J204">ManureManagement_Swine_Methane.VEERG_4_5_1_1__6_Stage2MethaneProduction(I$115,$G$131,J163,VLOOKUP($E204,$D$171:$E$176,2, FALSE),$G$134)</f>
        <v>4.0215552000000021E-4</v>
      </c>
      <c r="K204" s="52" cm="1">
        <f t="array" ref="K204">ManureManagement_Swine_Methane.VEERG_4_5_1_1__6_Stage2MethaneProduction(J$115,$G$131,K163,VLOOKUP($E204,$D$171:$E$176,2, FALSE),$G$134)</f>
        <v>4.0215552000000021E-4</v>
      </c>
      <c r="L204" s="52" cm="1">
        <f t="array" ref="L204">ManureManagement_Swine_Methane.VEERG_4_5_1_1__6_Stage2MethaneProduction(K$115,$G$131,L163,VLOOKUP($E204,$D$171:$E$176,2, FALSE),$G$134)</f>
        <v>4.0215552000000021E-4</v>
      </c>
      <c r="M204" s="2" t="str">
        <f t="shared" si="0"/>
        <v>kg CH4/head/day</v>
      </c>
    </row>
    <row r="205" spans="4:13" ht="20.100000000000001" customHeight="1" x14ac:dyDescent="0.25">
      <c r="D205" s="57"/>
      <c r="E205" s="57" t="str">
        <f>'Input - Swine'!$D$91</f>
        <v>Deep litter</v>
      </c>
      <c r="F205" s="52" cm="1">
        <f t="array" ref="F205">ManureManagement_Swine_Methane.VEERG_4_5_1_1__6_Stage2MethaneProduction(E$115,$G$131,F164,VLOOKUP($E205,$D$171:$E$176,2, FALSE),$G$134)</f>
        <v>1.6498688000000006E-4</v>
      </c>
      <c r="G205" s="52" cm="1">
        <f t="array" ref="G205">ManureManagement_Swine_Methane.VEERG_4_5_1_1__6_Stage2MethaneProduction(F$115,$G$131,G164,VLOOKUP($E205,$D$171:$E$176,2, FALSE),$G$134)</f>
        <v>1.8973491200000015E-4</v>
      </c>
      <c r="H205" s="52" cm="1">
        <f t="array" ref="H205">ManureManagement_Swine_Methane.VEERG_4_5_1_1__6_Stage2MethaneProduction(G$115,$G$131,H164,VLOOKUP($E205,$D$171:$E$176,2, FALSE),$G$134)</f>
        <v>2.2685696000000015E-4</v>
      </c>
      <c r="I205" s="52" cm="1">
        <f t="array" ref="I205">ManureManagement_Swine_Methane.VEERG_4_5_1_1__6_Stage2MethaneProduction(H$115,$G$131,I164,VLOOKUP($E205,$D$171:$E$176,2, FALSE),$G$134)</f>
        <v>1.6086220800000007E-4</v>
      </c>
      <c r="J205" s="52" cm="1">
        <f t="array" ref="J205">ManureManagement_Swine_Methane.VEERG_4_5_1_1__6_Stage2MethaneProduction(I$115,$G$131,J164,VLOOKUP($E205,$D$171:$E$176,2, FALSE),$G$134)</f>
        <v>1.6086220800000007E-4</v>
      </c>
      <c r="K205" s="52" cm="1">
        <f t="array" ref="K205">ManureManagement_Swine_Methane.VEERG_4_5_1_1__6_Stage2MethaneProduction(J$115,$G$131,K164,VLOOKUP($E205,$D$171:$E$176,2, FALSE),$G$134)</f>
        <v>1.6086220800000007E-4</v>
      </c>
      <c r="L205" s="52" cm="1">
        <f t="array" ref="L205">ManureManagement_Swine_Methane.VEERG_4_5_1_1__6_Stage2MethaneProduction(K$115,$G$131,L164,VLOOKUP($E205,$D$171:$E$176,2, FALSE),$G$134)</f>
        <v>1.6086220800000007E-4</v>
      </c>
      <c r="M205" s="2" t="str">
        <f t="shared" si="0"/>
        <v>kg CH4/head/day</v>
      </c>
    </row>
    <row r="206" spans="4:13" ht="20.100000000000001" customHeight="1" x14ac:dyDescent="0.25">
      <c r="D206" s="57"/>
      <c r="E206" s="57" t="str">
        <f>'Input - Swine'!$D$92</f>
        <v>Pit storage</v>
      </c>
      <c r="F206" s="52" cm="1">
        <f t="array" ref="F206">ManureManagement_Swine_Methane.VEERG_4_5_1_1__6_Stage2MethaneProduction(E$115,$G$131,F165,VLOOKUP($E206,$D$171:$E$176,2, FALSE),$G$134)</f>
        <v>6.1870080000000021E-5</v>
      </c>
      <c r="G206" s="52" cm="1">
        <f t="array" ref="G206">ManureManagement_Swine_Methane.VEERG_4_5_1_1__6_Stage2MethaneProduction(F$115,$G$131,G165,VLOOKUP($E206,$D$171:$E$176,2, FALSE),$G$134)</f>
        <v>7.1150592000000042E-5</v>
      </c>
      <c r="H206" s="52" cm="1">
        <f t="array" ref="H206">ManureManagement_Swine_Methane.VEERG_4_5_1_1__6_Stage2MethaneProduction(G$115,$G$131,H165,VLOOKUP($E206,$D$171:$E$176,2, FALSE),$G$134)</f>
        <v>8.5071360000000051E-5</v>
      </c>
      <c r="I206" s="52" cm="1">
        <f t="array" ref="I206">ManureManagement_Swine_Methane.VEERG_4_5_1_1__6_Stage2MethaneProduction(H$115,$G$131,I165,VLOOKUP($E206,$D$171:$E$176,2, FALSE),$G$134)</f>
        <v>6.0323328000000023E-5</v>
      </c>
      <c r="J206" s="52" cm="1">
        <f t="array" ref="J206">ManureManagement_Swine_Methane.VEERG_4_5_1_1__6_Stage2MethaneProduction(I$115,$G$131,J165,VLOOKUP($E206,$D$171:$E$176,2, FALSE),$G$134)</f>
        <v>6.0323328000000023E-5</v>
      </c>
      <c r="K206" s="52" cm="1">
        <f t="array" ref="K206">ManureManagement_Swine_Methane.VEERG_4_5_1_1__6_Stage2MethaneProduction(J$115,$G$131,K165,VLOOKUP($E206,$D$171:$E$176,2, FALSE),$G$134)</f>
        <v>6.0323328000000023E-5</v>
      </c>
      <c r="L206" s="52" cm="1">
        <f t="array" ref="L206">ManureManagement_Swine_Methane.VEERG_4_5_1_1__6_Stage2MethaneProduction(K$115,$G$131,L165,VLOOKUP($E206,$D$171:$E$176,2, FALSE),$G$134)</f>
        <v>6.0323328000000023E-5</v>
      </c>
      <c r="M206" s="2" t="str">
        <f t="shared" si="0"/>
        <v>kg CH4/head/day</v>
      </c>
    </row>
    <row r="207" spans="4:13" ht="20.100000000000001" customHeight="1" x14ac:dyDescent="0.25"/>
    <row r="208" spans="4:13" ht="20.100000000000001" customHeight="1" x14ac:dyDescent="0.25"/>
    <row r="209" spans="3:15" ht="20.100000000000001" customHeight="1" x14ac:dyDescent="0.25"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</row>
    <row r="210" spans="3:15" ht="20.100000000000001" customHeight="1" x14ac:dyDescent="0.25">
      <c r="D210" s="6" t="str" cm="1">
        <f t="array" ref="D210">ManureManagement_Swine_Methane.VEERG_4_5_1_1__3_Stage1MethaneProduction_Title()</f>
        <v>Production of methane in treatment stage 1 MMS</v>
      </c>
    </row>
    <row r="211" spans="3:15" ht="20.100000000000001" customHeight="1" x14ac:dyDescent="0.25">
      <c r="D211" s="5" t="str" cm="1">
        <f t="array" ref="D211">ManureManagement_Swine_Methane.VEERG_4_5_1_1__3_Stage1MethaneProduction_Source()</f>
        <v>VEERG 2026: 4.5.1.1, Equation (3)</v>
      </c>
    </row>
    <row r="212" spans="3:15" ht="20.100000000000001" customHeight="1" x14ac:dyDescent="0.25">
      <c r="D212" s="13" t="s">
        <v>26</v>
      </c>
      <c r="E212" s="13" t="str" cm="1">
        <f t="array" aca="1" ref="E212" ca="1">Common_InputFunctions.Utility_DisplayFunctionName(E230)</f>
        <v>=ManureManagement_Swine_Methane.VEERG_4_5_1_1__3_Stage1MethaneProduction</v>
      </c>
    </row>
    <row r="213" spans="3:15" ht="20.100000000000001" customHeight="1" x14ac:dyDescent="0.25"/>
    <row r="214" spans="3:15" ht="20.100000000000001" customHeight="1" x14ac:dyDescent="0.25">
      <c r="D214" s="6"/>
    </row>
    <row r="215" spans="3:15" ht="20.100000000000001" customHeight="1" x14ac:dyDescent="0.25"/>
    <row r="216" spans="3:15" ht="20.100000000000001" customHeight="1" x14ac:dyDescent="0.25">
      <c r="D216" s="53" t="s">
        <v>29</v>
      </c>
      <c r="E216" s="1" t="str" cm="1">
        <f t="array" ref="E216">ManureManagement_Swine_Methane.VEERG_4_5_1_1__3_Stage1MethaneProduction_Variable()</f>
        <v>MijmT1</v>
      </c>
    </row>
    <row r="217" spans="3:15" ht="20.100000000000001" customHeight="1" x14ac:dyDescent="0.25">
      <c r="D217" s="53" t="s">
        <v>19</v>
      </c>
      <c r="E217" s="54" t="str" cm="1">
        <f t="array" ref="E217">ManureManagement_Swine_Methane.VEERG_4_5_1_1__3_Stage1MethaneProduction_Unit()</f>
        <v>kg CH4/head/day</v>
      </c>
    </row>
    <row r="218" spans="3:15" ht="20.100000000000001" customHeight="1" x14ac:dyDescent="0.25"/>
    <row r="219" spans="3:15" ht="20.100000000000001" customHeight="1" x14ac:dyDescent="0.25">
      <c r="D219" s="57" t="str" cm="1">
        <f t="array" ref="D219:E223">ManureManagement_Swine_Methane.VEERG_4_5_1_1__3_Stage1MethaneProduction_Arguments()</f>
        <v>VSj</v>
      </c>
      <c r="E219" s="58" t="str">
        <v>volatile solid production from swine in each class : kg/head/day</v>
      </c>
      <c r="F219" s="59"/>
      <c r="G219" s="58" t="str">
        <f>"See " &amp; $D$90</f>
        <v>See Table_VS_j</v>
      </c>
      <c r="H219" s="59"/>
    </row>
    <row r="220" spans="3:15" ht="20.100000000000001" customHeight="1" x14ac:dyDescent="0.25">
      <c r="D220" s="57" t="str">
        <v>FVSjmT1</v>
      </c>
      <c r="E220" s="58" t="str">
        <v>fraction of volatile solids in each primary system : fraction</v>
      </c>
      <c r="F220" s="59"/>
      <c r="G220" s="58" t="str">
        <f>"See " &amp; $D$36 &amp; " and " &amp; $D$69</f>
        <v>See M1_Table_FVS_j_m-1-7-9_T-1 and M1_Table_FVS_j_m-4_T-1</v>
      </c>
      <c r="H220" s="59"/>
    </row>
    <row r="221" spans="3:15" ht="20.100000000000001" customHeight="1" x14ac:dyDescent="0.25">
      <c r="D221" s="57" t="str">
        <v>MCFim</v>
      </c>
      <c r="E221" s="58" t="str">
        <v>methane conversion factor for temperate zone and system : fraction</v>
      </c>
      <c r="F221" s="59"/>
      <c r="G221" s="58" t="str">
        <f>"See " &amp; $D$167</f>
        <v>See M1_Table_MCF_i_m</v>
      </c>
      <c r="H221" s="59"/>
    </row>
    <row r="222" spans="3:15" ht="20.100000000000001" customHeight="1" x14ac:dyDescent="0.25">
      <c r="D222" s="57" t="str">
        <v>BO</v>
      </c>
      <c r="E222" s="58" t="str">
        <v>emissions potential : m3 CH4/kg VS</v>
      </c>
      <c r="F222" s="59"/>
      <c r="G222" s="58">
        <f>'Constants - Swine'!$E$21</f>
        <v>0.19</v>
      </c>
      <c r="H222" s="59"/>
    </row>
    <row r="223" spans="3:15" ht="20.100000000000001" customHeight="1" x14ac:dyDescent="0.25">
      <c r="D223" s="57" t="str">
        <v>rho</v>
      </c>
      <c r="E223" s="58" t="str">
        <v>density of methane : kg/m3</v>
      </c>
      <c r="F223" s="59"/>
      <c r="G223" s="58">
        <f>'Constants - Common'!$D$175</f>
        <v>0.6784</v>
      </c>
      <c r="H223" s="59"/>
    </row>
    <row r="224" spans="3:15" ht="20.100000000000001" customHeight="1" x14ac:dyDescent="0.25"/>
    <row r="225" spans="3:15" ht="20.100000000000001" customHeight="1" x14ac:dyDescent="0.25"/>
    <row r="226" spans="3:15" ht="20.100000000000001" customHeight="1" x14ac:dyDescent="0.25">
      <c r="D226" s="122" t="s">
        <v>301</v>
      </c>
    </row>
    <row r="227" spans="3:15" ht="20.100000000000001" customHeight="1" x14ac:dyDescent="0.25">
      <c r="D227" s="123" t="s">
        <v>302</v>
      </c>
    </row>
    <row r="228" spans="3:15" ht="20.100000000000001" customHeight="1" x14ac:dyDescent="0.25">
      <c r="E228" s="51" t="s">
        <v>222</v>
      </c>
      <c r="F228" s="51" t="s">
        <v>223</v>
      </c>
      <c r="G228" s="51" t="s">
        <v>224</v>
      </c>
      <c r="H228" s="51" t="s">
        <v>225</v>
      </c>
      <c r="I228" s="51" t="s">
        <v>226</v>
      </c>
      <c r="J228" s="51" t="s">
        <v>227</v>
      </c>
      <c r="K228" s="51" t="s">
        <v>228</v>
      </c>
    </row>
    <row r="229" spans="3:15" ht="20.100000000000001" customHeight="1" x14ac:dyDescent="0.25">
      <c r="D229" s="51" t="s">
        <v>253</v>
      </c>
      <c r="E229" s="51" t="s">
        <v>303</v>
      </c>
      <c r="F229" s="51" t="s">
        <v>304</v>
      </c>
      <c r="G229" s="51" t="s">
        <v>305</v>
      </c>
      <c r="H229" s="51" t="s">
        <v>306</v>
      </c>
      <c r="I229" s="51" t="s">
        <v>306</v>
      </c>
      <c r="J229" s="51" t="s">
        <v>306</v>
      </c>
      <c r="K229" s="51" t="s">
        <v>306</v>
      </c>
    </row>
    <row r="230" spans="3:15" ht="20.100000000000001" customHeight="1" x14ac:dyDescent="0.25">
      <c r="D230" s="57" t="str">
        <f>'Input - Swine'!$D$29</f>
        <v>Anaerobic lagoon</v>
      </c>
      <c r="E230" s="52" cm="1">
        <f t="array" ref="E230">ManureManagement_Swine_Methane.VEERG_4_5_1_1__3_Stage1MethaneProduction(D$94,E40,VLOOKUP($D230, $D$171:$E$176, 2, FALSE),$G$222,$G$223)</f>
        <v>4.7021260799999997E-3</v>
      </c>
      <c r="F230" s="52" cm="1">
        <f t="array" ref="F230">ManureManagement_Swine_Methane.VEERG_4_5_1_1__3_Stage1MethaneProduction(E$94,F40,VLOOKUP($D230, $D$171:$E$176, 2, FALSE),$G$222,$G$223)</f>
        <v>5.4074449920000012E-3</v>
      </c>
      <c r="G230" s="52" cm="1">
        <f t="array" ref="G230">ManureManagement_Swine_Methane.VEERG_4_5_1_1__3_Stage1MethaneProduction(F$94,G40,VLOOKUP($D230, $D$171:$E$176, 2, FALSE),$G$222,$G$223)</f>
        <v>6.4654233600000008E-3</v>
      </c>
      <c r="H230" s="52" cm="1">
        <f t="array" ref="H230">ManureManagement_Swine_Methane.VEERG_4_5_1_1__3_Stage1MethaneProduction(G$94,H40,VLOOKUP($D230, $D$171:$E$176, 2, FALSE),$G$222,$G$223)</f>
        <v>4.5845729280000001E-3</v>
      </c>
      <c r="I230" s="52" cm="1">
        <f t="array" ref="I230">ManureManagement_Swine_Methane.VEERG_4_5_1_1__3_Stage1MethaneProduction(H$94,I40,VLOOKUP($D230, $D$171:$E$176, 2, FALSE),$G$222,$G$223)</f>
        <v>4.5845729280000001E-3</v>
      </c>
      <c r="J230" s="52" cm="1">
        <f t="array" ref="J230">ManureManagement_Swine_Methane.VEERG_4_5_1_1__3_Stage1MethaneProduction(I$94,J40,VLOOKUP($D230, $D$171:$E$176, 2, FALSE),$G$222,$G$223)</f>
        <v>4.5845729280000001E-3</v>
      </c>
      <c r="K230" s="52" cm="1">
        <f t="array" ref="K230">ManureManagement_Swine_Methane.VEERG_4_5_1_1__3_Stage1MethaneProduction(J$94,K40,VLOOKUP($D230, $D$171:$E$176, 2, FALSE),$G$222,$G$223)</f>
        <v>4.5845729280000001E-3</v>
      </c>
      <c r="L230" s="2" t="str">
        <f>$E$217</f>
        <v>kg CH4/head/day</v>
      </c>
      <c r="N230" s="2"/>
    </row>
    <row r="231" spans="3:15" ht="20.100000000000001" customHeight="1" x14ac:dyDescent="0.25">
      <c r="D231" s="57" t="str">
        <f>'Input - Swine'!$D$30</f>
        <v>Drylot (feed pad)</v>
      </c>
      <c r="E231" s="52" cm="1">
        <f t="array" ref="E231">ManureManagement_Swine_Methane.VEERG_4_5_1_1__3_Stage1MethaneProduction(D$94,E41,VLOOKUP($D231, $D$171:$E$176, 2, FALSE),$G$222,$G$223)</f>
        <v>6.1870080000000008E-5</v>
      </c>
      <c r="F231" s="52" cm="1">
        <f t="array" ref="F231">ManureManagement_Swine_Methane.VEERG_4_5_1_1__3_Stage1MethaneProduction(E$94,F41,VLOOKUP($D231, $D$171:$E$176, 2, FALSE),$G$222,$G$223)</f>
        <v>7.1150592000000001E-5</v>
      </c>
      <c r="G231" s="52" cm="1">
        <f t="array" ref="G231">ManureManagement_Swine_Methane.VEERG_4_5_1_1__3_Stage1MethaneProduction(F$94,G41,VLOOKUP($D231, $D$171:$E$176, 2, FALSE),$G$222,$G$223)</f>
        <v>8.5071360000000011E-5</v>
      </c>
      <c r="H231" s="52" cm="1">
        <f t="array" ref="H231">ManureManagement_Swine_Methane.VEERG_4_5_1_1__3_Stage1MethaneProduction(G$94,H41,VLOOKUP($D231, $D$171:$E$176, 2, FALSE),$G$222,$G$223)</f>
        <v>6.0323328000000009E-5</v>
      </c>
      <c r="I231" s="52" cm="1">
        <f t="array" ref="I231">ManureManagement_Swine_Methane.VEERG_4_5_1_1__3_Stage1MethaneProduction(H$94,I41,VLOOKUP($D231, $D$171:$E$176, 2, FALSE),$G$222,$G$223)</f>
        <v>6.0323328000000009E-5</v>
      </c>
      <c r="J231" s="52" cm="1">
        <f t="array" ref="J231">ManureManagement_Swine_Methane.VEERG_4_5_1_1__3_Stage1MethaneProduction(I$94,J41,VLOOKUP($D231, $D$171:$E$176, 2, FALSE),$G$222,$G$223)</f>
        <v>6.0323328000000009E-5</v>
      </c>
      <c r="K231" s="52" cm="1">
        <f t="array" ref="K231">ManureManagement_Swine_Methane.VEERG_4_5_1_1__3_Stage1MethaneProduction(J$94,K41,VLOOKUP($D231, $D$171:$E$176, 2, FALSE),$G$222,$G$223)</f>
        <v>6.0323328000000009E-5</v>
      </c>
      <c r="L231" s="2" t="str">
        <f>$E$217</f>
        <v>kg CH4/head/day</v>
      </c>
      <c r="N231" s="2"/>
    </row>
    <row r="232" spans="3:15" ht="20.100000000000001" customHeight="1" x14ac:dyDescent="0.25">
      <c r="D232" s="57" t="str">
        <f>'Input - Swine'!$D$31</f>
        <v>Digester / covered lagoons</v>
      </c>
      <c r="E232" s="52" cm="1">
        <f t="array" ref="E232">ManureManagement_Swine_Methane.VEERG_4_5_1_1__3_Stage1MethaneProduction(D$94,E42,VLOOKUP($D232, $D$171:$E$176, 2, FALSE),$G$222,$G$223)</f>
        <v>6.1870080000000008E-4</v>
      </c>
      <c r="F232" s="52" cm="1">
        <f t="array" ref="F232">ManureManagement_Swine_Methane.VEERG_4_5_1_1__3_Stage1MethaneProduction(E$94,F42,VLOOKUP($D232, $D$171:$E$176, 2, FALSE),$G$222,$G$223)</f>
        <v>7.1150592000000009E-4</v>
      </c>
      <c r="G232" s="52" cm="1">
        <f t="array" ref="G232">ManureManagement_Swine_Methane.VEERG_4_5_1_1__3_Stage1MethaneProduction(F$94,G42,VLOOKUP($D232, $D$171:$E$176, 2, FALSE),$G$222,$G$223)</f>
        <v>8.5071360000000011E-4</v>
      </c>
      <c r="H232" s="52" cm="1">
        <f t="array" ref="H232">ManureManagement_Swine_Methane.VEERG_4_5_1_1__3_Stage1MethaneProduction(G$94,H42,VLOOKUP($D232, $D$171:$E$176, 2, FALSE),$G$222,$G$223)</f>
        <v>6.0323328000000008E-4</v>
      </c>
      <c r="I232" s="52" cm="1">
        <f t="array" ref="I232">ManureManagement_Swine_Methane.VEERG_4_5_1_1__3_Stage1MethaneProduction(H$94,I42,VLOOKUP($D232, $D$171:$E$176, 2, FALSE),$G$222,$G$223)</f>
        <v>6.0323328000000008E-4</v>
      </c>
      <c r="J232" s="52" cm="1">
        <f t="array" ref="J232">ManureManagement_Swine_Methane.VEERG_4_5_1_1__3_Stage1MethaneProduction(I$94,J42,VLOOKUP($D232, $D$171:$E$176, 2, FALSE),$G$222,$G$223)</f>
        <v>6.0323328000000008E-4</v>
      </c>
      <c r="K232" s="52" cm="1">
        <f t="array" ref="K232">ManureManagement_Swine_Methane.VEERG_4_5_1_1__3_Stage1MethaneProduction(J$94,K42,VLOOKUP($D232, $D$171:$E$176, 2, FALSE),$G$222,$G$223)</f>
        <v>6.0323328000000008E-4</v>
      </c>
      <c r="L232" s="2" t="str">
        <f>$E$217</f>
        <v>kg CH4/head/day</v>
      </c>
      <c r="N232" s="2"/>
    </row>
    <row r="233" spans="3:15" ht="20.100000000000001" customHeight="1" x14ac:dyDescent="0.25">
      <c r="D233" s="57" t="str">
        <f>'Input - Swine'!$D$32</f>
        <v>Deep litter</v>
      </c>
      <c r="E233" s="52" cm="1">
        <f t="array" ref="E233">ManureManagement_Swine_Methane.VEERG_4_5_1_1__3_Stage1MethaneProduction(D$94,E43,VLOOKUP($D233, $D$171:$E$176, 2, FALSE),$G$222,$G$223)</f>
        <v>2.4748032000000003E-4</v>
      </c>
      <c r="F233" s="52" cm="1">
        <f t="array" ref="F233">ManureManagement_Swine_Methane.VEERG_4_5_1_1__3_Stage1MethaneProduction(E$94,F43,VLOOKUP($D233, $D$171:$E$176, 2, FALSE),$G$222,$G$223)</f>
        <v>2.84602368E-4</v>
      </c>
      <c r="G233" s="52" cm="1">
        <f t="array" ref="G233">ManureManagement_Swine_Methane.VEERG_4_5_1_1__3_Stage1MethaneProduction(F$94,G43,VLOOKUP($D233, $D$171:$E$176, 2, FALSE),$G$222,$G$223)</f>
        <v>3.4028544000000004E-4</v>
      </c>
      <c r="H233" s="52" cm="1">
        <f t="array" ref="H233">ManureManagement_Swine_Methane.VEERG_4_5_1_1__3_Stage1MethaneProduction(G$94,H43,VLOOKUP($D233, $D$171:$E$176, 2, FALSE),$G$222,$G$223)</f>
        <v>2.4129331200000004E-4</v>
      </c>
      <c r="I233" s="52" cm="1">
        <f t="array" ref="I233">ManureManagement_Swine_Methane.VEERG_4_5_1_1__3_Stage1MethaneProduction(H$94,I43,VLOOKUP($D233, $D$171:$E$176, 2, FALSE),$G$222,$G$223)</f>
        <v>2.4129331200000004E-4</v>
      </c>
      <c r="J233" s="52" cm="1">
        <f t="array" ref="J233">ManureManagement_Swine_Methane.VEERG_4_5_1_1__3_Stage1MethaneProduction(I$94,J43,VLOOKUP($D233, $D$171:$E$176, 2, FALSE),$G$222,$G$223)</f>
        <v>2.4129331200000004E-4</v>
      </c>
      <c r="K233" s="52" cm="1">
        <f t="array" ref="K233">ManureManagement_Swine_Methane.VEERG_4_5_1_1__3_Stage1MethaneProduction(J$94,K43,VLOOKUP($D233, $D$171:$E$176, 2, FALSE),$G$222,$G$223)</f>
        <v>2.4129331200000004E-4</v>
      </c>
      <c r="L233" s="2" t="str">
        <f>$E$217</f>
        <v>kg CH4/head/day</v>
      </c>
      <c r="N233" s="2"/>
    </row>
    <row r="234" spans="3:15" ht="20.100000000000001" customHeight="1" x14ac:dyDescent="0.25">
      <c r="D234" s="57" t="str">
        <f>'Input - Swine'!$D$33</f>
        <v>Pit storage</v>
      </c>
      <c r="E234" s="52" cm="1">
        <f t="array" ref="E234">ManureManagement_Swine_Methane.VEERG_4_5_1_1__3_Stage1MethaneProduction(D$94,E44,VLOOKUP($D234, $D$171:$E$176, 2, FALSE),$G$222,$G$223)</f>
        <v>1.8561024E-4</v>
      </c>
      <c r="F234" s="52" cm="1">
        <f t="array" ref="F234">ManureManagement_Swine_Methane.VEERG_4_5_1_1__3_Stage1MethaneProduction(E$94,F44,VLOOKUP($D234, $D$171:$E$176, 2, FALSE),$G$222,$G$223)</f>
        <v>2.1345177599999999E-4</v>
      </c>
      <c r="G234" s="52" cm="1">
        <f t="array" ref="G234">ManureManagement_Swine_Methane.VEERG_4_5_1_1__3_Stage1MethaneProduction(F$94,G44,VLOOKUP($D234, $D$171:$E$176, 2, FALSE),$G$222,$G$223)</f>
        <v>2.5521407999999998E-4</v>
      </c>
      <c r="H234" s="52" cm="1">
        <f t="array" ref="H234">ManureManagement_Swine_Methane.VEERG_4_5_1_1__3_Stage1MethaneProduction(G$94,H44,VLOOKUP($D234, $D$171:$E$176, 2, FALSE),$G$222,$G$223)</f>
        <v>1.8096998400000001E-4</v>
      </c>
      <c r="I234" s="52" cm="1">
        <f t="array" ref="I234">ManureManagement_Swine_Methane.VEERG_4_5_1_1__3_Stage1MethaneProduction(H$94,I44,VLOOKUP($D234, $D$171:$E$176, 2, FALSE),$G$222,$G$223)</f>
        <v>1.8096998400000001E-4</v>
      </c>
      <c r="J234" s="52" cm="1">
        <f t="array" ref="J234">ManureManagement_Swine_Methane.VEERG_4_5_1_1__3_Stage1MethaneProduction(I$94,J44,VLOOKUP($D234, $D$171:$E$176, 2, FALSE),$G$222,$G$223)</f>
        <v>1.8096998400000001E-4</v>
      </c>
      <c r="K234" s="52" cm="1">
        <f t="array" ref="K234">ManureManagement_Swine_Methane.VEERG_4_5_1_1__3_Stage1MethaneProduction(J$94,K44,VLOOKUP($D234, $D$171:$E$176, 2, FALSE),$G$222,$G$223)</f>
        <v>1.8096998400000001E-4</v>
      </c>
      <c r="L234" s="2" t="str">
        <f t="shared" ref="L234:L235" si="1">$E$217</f>
        <v>kg CH4/head/day</v>
      </c>
    </row>
    <row r="235" spans="3:15" ht="20.100000000000001" customHeight="1" x14ac:dyDescent="0.25">
      <c r="D235" s="57" t="str">
        <f>'Input - Swine'!$D$34</f>
        <v>Solid storage</v>
      </c>
      <c r="E235" s="52" cm="1">
        <f t="array" ref="E235">ManureManagement_Swine_Methane.VEERG_4_5_1_1__3_Stage1MethaneProduction(D$94,E73,VLOOKUP($D235, $D$171:$E$176, 2, FALSE),$G$222,$G$223)</f>
        <v>4.124672000000002E-4</v>
      </c>
      <c r="F235" s="52" cm="1">
        <f t="array" ref="F235">ManureManagement_Swine_Methane.VEERG_4_5_1_1__3_Stage1MethaneProduction(E$94,F73,VLOOKUP($D235, $D$171:$E$176, 2, FALSE),$G$222,$G$223)</f>
        <v>4.7433728000000026E-4</v>
      </c>
      <c r="G235" s="52" cm="1">
        <f t="array" ref="G235">ManureManagement_Swine_Methane.VEERG_4_5_1_1__3_Stage1MethaneProduction(F$94,G73,VLOOKUP($D235, $D$171:$E$176, 2, FALSE),$G$222,$G$223)</f>
        <v>5.6714240000000022E-4</v>
      </c>
      <c r="H235" s="52" cm="1">
        <f t="array" ref="H235">ManureManagement_Swine_Methane.VEERG_4_5_1_1__3_Stage1MethaneProduction(G$94,H73,VLOOKUP($D235, $D$171:$E$176, 2, FALSE),$G$222,$G$223)</f>
        <v>4.0215552000000016E-4</v>
      </c>
      <c r="I235" s="52" cm="1">
        <f t="array" ref="I235">ManureManagement_Swine_Methane.VEERG_4_5_1_1__3_Stage1MethaneProduction(H$94,I73,VLOOKUP($D235, $D$171:$E$176, 2, FALSE),$G$222,$G$223)</f>
        <v>4.0215552000000016E-4</v>
      </c>
      <c r="J235" s="52" cm="1">
        <f t="array" ref="J235">ManureManagement_Swine_Methane.VEERG_4_5_1_1__3_Stage1MethaneProduction(I$94,J73,VLOOKUP($D235, $D$171:$E$176, 2, FALSE),$G$222,$G$223)</f>
        <v>4.0215552000000016E-4</v>
      </c>
      <c r="K235" s="52" cm="1">
        <f t="array" ref="K235">ManureManagement_Swine_Methane.VEERG_4_5_1_1__3_Stage1MethaneProduction(J$94,K73,VLOOKUP($D235, $D$171:$E$176, 2, FALSE),$G$222,$G$223)</f>
        <v>4.0215552000000016E-4</v>
      </c>
      <c r="L235" s="2" t="str">
        <f t="shared" si="1"/>
        <v>kg CH4/head/day</v>
      </c>
    </row>
    <row r="236" spans="3:15" ht="20.100000000000001" customHeight="1" x14ac:dyDescent="0.25"/>
    <row r="237" spans="3:15" ht="20.100000000000001" customHeight="1" x14ac:dyDescent="0.25"/>
    <row r="238" spans="3:15" ht="20.100000000000001" customHeight="1" x14ac:dyDescent="0.25"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</row>
    <row r="239" spans="3:15" ht="20.100000000000001" customHeight="1" x14ac:dyDescent="0.25">
      <c r="D239" s="6" t="str" cm="1">
        <f t="array" ref="D239">ManureManagement_Swine_Methane.VEERG_4_5_1_1__2_MethaneProductionPerClass_Title()</f>
        <v>Methane production from the manure of each class of swine</v>
      </c>
    </row>
    <row r="240" spans="3:15" ht="20.100000000000001" customHeight="1" x14ac:dyDescent="0.25">
      <c r="D240" s="5" t="str" cm="1">
        <f t="array" ref="D240">ManureManagement_Swine_Methane.VEERG_4_5_1_1__2_MethaneProductionPerClass_Source()</f>
        <v>VEERG 2026: 4.5.1.1, Equation (2)</v>
      </c>
    </row>
    <row r="241" spans="4:11" ht="20.100000000000001" customHeight="1" x14ac:dyDescent="0.25">
      <c r="D241" s="55" t="str" cm="1">
        <f t="array" ref="D241">ManureManagement_Swine_Methane.VEERG_4_5_1_1__2_MethaneProductionPerClass_Variation()</f>
        <v>VARIATION ON SOURCE: Split variable Mjm into MjmT1 and MjmT2 for stage 1 and 2 MMS.</v>
      </c>
    </row>
    <row r="242" spans="4:11" ht="20.100000000000001" customHeight="1" x14ac:dyDescent="0.25">
      <c r="D242" s="13" t="s">
        <v>26</v>
      </c>
      <c r="E242" s="13" t="str" cm="1">
        <f t="array" aca="1" ref="E242" ca="1">Common_InputFunctions.Utility_DisplayFunctionName(D255)</f>
        <v>=ManureManagement_Swine_Methane.VEERG_4_5_1_1__2_MethaneProductionPerClassVariation</v>
      </c>
    </row>
    <row r="243" spans="4:11" ht="20.100000000000001" customHeight="1" x14ac:dyDescent="0.25"/>
    <row r="244" spans="4:11" ht="20.100000000000001" customHeight="1" x14ac:dyDescent="0.25">
      <c r="E244" s="13"/>
    </row>
    <row r="245" spans="4:11" ht="20.100000000000001" customHeight="1" x14ac:dyDescent="0.25">
      <c r="D245" s="53" t="s">
        <v>29</v>
      </c>
      <c r="E245" s="1" t="str" cm="1">
        <f t="array" ref="E245">ManureManagement_Swine_Methane.VEERG_4_5_1_1__2_MethaneProductionPerClass_Variable()</f>
        <v>Mmj</v>
      </c>
    </row>
    <row r="246" spans="4:11" ht="20.100000000000001" customHeight="1" x14ac:dyDescent="0.25">
      <c r="D246" s="53" t="s">
        <v>19</v>
      </c>
      <c r="E246" s="54" t="str" cm="1">
        <f t="array" ref="E246">ManureManagement_Swine_Methane.VEERG_4_5_1_1__2_MethaneProductionPerClass_Unit()</f>
        <v>kg CH4/head/day</v>
      </c>
    </row>
    <row r="247" spans="4:11" ht="20.100000000000001" customHeight="1" x14ac:dyDescent="0.25"/>
    <row r="248" spans="4:11" ht="20.100000000000001" customHeight="1" x14ac:dyDescent="0.25">
      <c r="D248" s="57" t="str" cm="1">
        <f t="array" ref="D248:E248">ManureManagement_Swine_Methane.VEERG_4_5_1_1__2_MethaneProductionPerClass_Arguments()</f>
        <v>MjmT</v>
      </c>
      <c r="E248" s="58" t="str">
        <v>methane production from manure per class, MMS, and treatment stage : kg CH4/head/day</v>
      </c>
      <c r="F248" s="100"/>
      <c r="G248" s="124"/>
      <c r="H248" s="52" t="s">
        <v>307</v>
      </c>
    </row>
    <row r="249" spans="4:11" ht="20.100000000000001" customHeight="1" x14ac:dyDescent="0.25"/>
    <row r="250" spans="4:11" ht="20.100000000000001" customHeight="1" x14ac:dyDescent="0.25">
      <c r="D250" s="122" t="s">
        <v>308</v>
      </c>
    </row>
    <row r="251" spans="4:11" ht="20.100000000000001" customHeight="1" x14ac:dyDescent="0.25">
      <c r="D251" s="123" t="s">
        <v>309</v>
      </c>
    </row>
    <row r="252" spans="4:11" ht="20.100000000000001" customHeight="1" x14ac:dyDescent="0.25"/>
    <row r="253" spans="4:11" ht="20.100000000000001" customHeight="1" x14ac:dyDescent="0.25">
      <c r="D253" s="51" t="s">
        <v>222</v>
      </c>
      <c r="E253" s="51" t="s">
        <v>223</v>
      </c>
      <c r="F253" s="51" t="s">
        <v>224</v>
      </c>
      <c r="G253" s="51" t="s">
        <v>225</v>
      </c>
      <c r="H253" s="51" t="s">
        <v>226</v>
      </c>
      <c r="I253" s="51" t="s">
        <v>227</v>
      </c>
      <c r="J253" s="51" t="s">
        <v>228</v>
      </c>
    </row>
    <row r="254" spans="4:11" ht="20.100000000000001" customHeight="1" x14ac:dyDescent="0.25">
      <c r="D254" s="51" t="s">
        <v>310</v>
      </c>
      <c r="E254" s="51" t="s">
        <v>311</v>
      </c>
      <c r="F254" s="51" t="s">
        <v>312</v>
      </c>
      <c r="G254" s="51" t="s">
        <v>313</v>
      </c>
      <c r="H254" s="51" t="s">
        <v>313</v>
      </c>
      <c r="I254" s="51" t="s">
        <v>313</v>
      </c>
      <c r="J254" s="51" t="s">
        <v>313</v>
      </c>
    </row>
    <row r="255" spans="4:11" ht="20.100000000000001" customHeight="1" x14ac:dyDescent="0.25">
      <c r="D255" s="52" cm="1">
        <f t="array" ref="D255">ManureManagement_Swine_Methane.VEERG_4_5_1_1__2_MethaneProductionPerClassVariation(E230:E235,F182:F206)</f>
        <v>1.3860960256000006E-2</v>
      </c>
      <c r="E255" s="52" cm="1">
        <f t="array" ref="E255">ManureManagement_Swine_Methane.VEERG_4_5_1_1__2_MethaneProductionPerClassVariation(F230:F235,G182:G206)</f>
        <v>1.6962894054400008E-2</v>
      </c>
      <c r="F255" s="52" cm="1">
        <f t="array" ref="F255">ManureManagement_Swine_Methane.VEERG_4_5_1_1__2_MethaneProductionPerClassVariation(G230:G235,H182:H206)</f>
        <v>2.0281721152000002E-2</v>
      </c>
      <c r="G255" s="52" cm="1">
        <f t="array" ref="G255">ManureManagement_Swine_Methane.VEERG_4_5_1_1__2_MethaneProductionPerClassVariation(H230:H235,I182:I206)</f>
        <v>1.4381584089599999E-2</v>
      </c>
      <c r="H255" s="52" cm="1">
        <f t="array" ref="H255">ManureManagement_Swine_Methane.VEERG_4_5_1_1__2_MethaneProductionPerClassVariation(I230:I235,J182:J206)</f>
        <v>1.4381584089599999E-2</v>
      </c>
      <c r="I255" s="52" cm="1">
        <f t="array" ref="I255">ManureManagement_Swine_Methane.VEERG_4_5_1_1__2_MethaneProductionPerClassVariation(J230:J235,K182:K206)</f>
        <v>1.4381584089599999E-2</v>
      </c>
      <c r="J255" s="52" cm="1">
        <f t="array" ref="J255">ManureManagement_Swine_Methane.VEERG_4_5_1_1__2_MethaneProductionPerClassVariation(K230:K235,L182:L206)</f>
        <v>1.4381584089599999E-2</v>
      </c>
      <c r="K255" s="2" t="str">
        <f>E246</f>
        <v>kg CH4/head/day</v>
      </c>
    </row>
    <row r="256" spans="4:11" ht="20.100000000000001" customHeight="1" x14ac:dyDescent="0.25"/>
    <row r="257" spans="3:15" ht="20.100000000000001" customHeight="1" x14ac:dyDescent="0.25"/>
    <row r="258" spans="3:15" ht="20.100000000000001" customHeight="1" x14ac:dyDescent="0.25"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</row>
    <row r="259" spans="3:15" ht="20.100000000000001" customHeight="1" x14ac:dyDescent="0.25">
      <c r="D259" s="6" t="str" cm="1">
        <f t="array" ref="D259">ManureManagement_Swine_Methane.VEERG_4_5_1_1__1_TotalAnnualMethaneEmissions_Title()</f>
        <v>Total annual methane emissions from manure management</v>
      </c>
    </row>
    <row r="260" spans="3:15" ht="20.100000000000001" customHeight="1" x14ac:dyDescent="0.25">
      <c r="D260" s="5" t="str" cm="1">
        <f t="array" ref="D260">ManureManagement_Swine_Methane.VEERG_4_5_1_1__1_TotalAnnualMethaneEmissions_Source()</f>
        <v>VEERG 2026: 4.5.1.1, Equation (1)</v>
      </c>
    </row>
    <row r="261" spans="3:15" ht="20.100000000000001" customHeight="1" x14ac:dyDescent="0.25">
      <c r="D261" s="13" t="s">
        <v>26</v>
      </c>
      <c r="E261" s="13" t="str" cm="1">
        <f t="array" aca="1" ref="E261" ca="1">Common_InputFunctions.Utility_DisplayFunctionName(D288)</f>
        <v>=ManureManagement_Swine_Methane.VEERG_4_5_1_1__1_TotalAnnualMethaneEmissions</v>
      </c>
    </row>
    <row r="262" spans="3:15" ht="20.100000000000001" customHeight="1" x14ac:dyDescent="0.25"/>
    <row r="263" spans="3:15" ht="20.100000000000001" customHeight="1" x14ac:dyDescent="0.25">
      <c r="D263" s="6"/>
    </row>
    <row r="264" spans="3:15" ht="20.100000000000001" customHeight="1" x14ac:dyDescent="0.25"/>
    <row r="265" spans="3:15" ht="20.100000000000001" customHeight="1" x14ac:dyDescent="0.25">
      <c r="D265" s="53" t="s">
        <v>29</v>
      </c>
      <c r="E265" s="1" t="str" cm="1">
        <f t="array" ref="E265">ManureManagement_Swine_Methane.VEERG_4_5_1_1__1_TotalAnnualMethaneEmissions_Variable()</f>
        <v>ECH4</v>
      </c>
    </row>
    <row r="266" spans="3:15" ht="20.100000000000001" customHeight="1" x14ac:dyDescent="0.25">
      <c r="D266" s="53" t="s">
        <v>19</v>
      </c>
      <c r="E266" s="54" t="str" cm="1">
        <f t="array" ref="E266">ManureManagement_Swine_Methane.VEERG_4_5_1_1__1_TotalAnnualMethaneEmissions_Unit()</f>
        <v>t CH4</v>
      </c>
    </row>
    <row r="267" spans="3:15" ht="20.100000000000001" customHeight="1" x14ac:dyDescent="0.25"/>
    <row r="268" spans="3:15" ht="20.100000000000001" customHeight="1" x14ac:dyDescent="0.25">
      <c r="D268" s="57" t="str" cm="1">
        <f t="array" ref="D268:E270">ManureManagement_Swine_Methane.VEERG_4_5_1_1__1_TotalAnnualMethaneEmissions_Arguments()</f>
        <v>Dj</v>
      </c>
      <c r="E268" s="58" t="str">
        <v>length of stay of each class of swine : days</v>
      </c>
      <c r="F268" s="59"/>
      <c r="G268" s="57" t="str">
        <f>"See " &amp; D272</f>
        <v>See Table_D_j</v>
      </c>
    </row>
    <row r="269" spans="3:15" ht="20.100000000000001" customHeight="1" x14ac:dyDescent="0.25">
      <c r="D269" s="57" t="str">
        <v>Mmj</v>
      </c>
      <c r="E269" s="58" t="str">
        <v>methane production from manure in each swine class : kg CH4/head/day</v>
      </c>
      <c r="F269" s="59"/>
      <c r="G269" s="57" t="str">
        <f>"See " &amp; D250</f>
        <v>See Table_M_m_j</v>
      </c>
    </row>
    <row r="270" spans="3:15" ht="20.100000000000001" customHeight="1" x14ac:dyDescent="0.25">
      <c r="D270" s="57" t="str">
        <v>Nj</v>
      </c>
      <c r="E270" s="58" t="str">
        <v>numbers of swine in each class : head</v>
      </c>
      <c r="F270" s="59"/>
      <c r="G270" s="57" t="str">
        <f>"See " &amp; D278</f>
        <v>See Table_N_j</v>
      </c>
    </row>
    <row r="271" spans="3:15" ht="20.100000000000001" customHeight="1" x14ac:dyDescent="0.25"/>
    <row r="272" spans="3:15" x14ac:dyDescent="0.25">
      <c r="D272" s="122" t="s">
        <v>314</v>
      </c>
    </row>
    <row r="273" spans="4:11" x14ac:dyDescent="0.25">
      <c r="D273" s="123" t="s">
        <v>315</v>
      </c>
    </row>
    <row r="274" spans="4:11" x14ac:dyDescent="0.25">
      <c r="D274" s="51" t="s">
        <v>222</v>
      </c>
      <c r="E274" s="51" t="s">
        <v>223</v>
      </c>
      <c r="F274" s="51" t="s">
        <v>224</v>
      </c>
      <c r="G274" s="51" t="s">
        <v>225</v>
      </c>
      <c r="H274" s="51" t="s">
        <v>226</v>
      </c>
      <c r="I274" s="51" t="s">
        <v>227</v>
      </c>
      <c r="J274" s="51" t="s">
        <v>228</v>
      </c>
    </row>
    <row r="275" spans="4:11" ht="17.25" x14ac:dyDescent="0.25">
      <c r="D275" s="51" t="s">
        <v>316</v>
      </c>
      <c r="E275" s="51" t="s">
        <v>317</v>
      </c>
      <c r="F275" s="51" t="s">
        <v>318</v>
      </c>
      <c r="G275" s="51" t="s">
        <v>319</v>
      </c>
      <c r="H275" s="51" t="s">
        <v>319</v>
      </c>
      <c r="I275" s="51" t="s">
        <v>319</v>
      </c>
      <c r="J275" s="51" t="s">
        <v>319</v>
      </c>
    </row>
    <row r="276" spans="4:11" x14ac:dyDescent="0.25">
      <c r="D276" s="126">
        <f>'Input - Swine'!E10</f>
        <v>365</v>
      </c>
      <c r="E276" s="126">
        <f>'Input - Swine'!F10</f>
        <v>365</v>
      </c>
      <c r="F276" s="126">
        <f>'Input - Swine'!G10</f>
        <v>365</v>
      </c>
      <c r="G276" s="126">
        <f>'Input - Swine'!H10</f>
        <v>365</v>
      </c>
      <c r="H276" s="126">
        <f>'Input - Swine'!I10</f>
        <v>365</v>
      </c>
      <c r="I276" s="126">
        <f>'Input - Swine'!J10</f>
        <v>365</v>
      </c>
      <c r="J276" s="126">
        <f>'Input - Swine'!K10</f>
        <v>365</v>
      </c>
      <c r="K276" s="2" t="s">
        <v>54</v>
      </c>
    </row>
    <row r="278" spans="4:11" x14ac:dyDescent="0.25">
      <c r="D278" s="122" t="s">
        <v>320</v>
      </c>
    </row>
    <row r="279" spans="4:11" x14ac:dyDescent="0.25">
      <c r="D279" s="123" t="s">
        <v>321</v>
      </c>
    </row>
    <row r="280" spans="4:11" x14ac:dyDescent="0.25">
      <c r="D280" s="51" t="s">
        <v>222</v>
      </c>
      <c r="E280" s="51" t="s">
        <v>223</v>
      </c>
      <c r="F280" s="51" t="s">
        <v>224</v>
      </c>
      <c r="G280" s="51" t="s">
        <v>225</v>
      </c>
      <c r="H280" s="51" t="s">
        <v>226</v>
      </c>
      <c r="I280" s="51" t="s">
        <v>227</v>
      </c>
      <c r="J280" s="51" t="s">
        <v>228</v>
      </c>
    </row>
    <row r="281" spans="4:11" ht="17.25" x14ac:dyDescent="0.25">
      <c r="D281" s="51" t="s">
        <v>316</v>
      </c>
      <c r="E281" s="51" t="s">
        <v>317</v>
      </c>
      <c r="F281" s="51" t="s">
        <v>318</v>
      </c>
      <c r="G281" s="51" t="s">
        <v>319</v>
      </c>
      <c r="H281" s="51" t="s">
        <v>319</v>
      </c>
      <c r="I281" s="51" t="s">
        <v>319</v>
      </c>
      <c r="J281" s="51" t="s">
        <v>319</v>
      </c>
    </row>
    <row r="282" spans="4:11" x14ac:dyDescent="0.25">
      <c r="D282" s="126">
        <f>'Input - Swine'!E11</f>
        <v>100</v>
      </c>
      <c r="E282" s="126">
        <f>'Input - Swine'!F11</f>
        <v>100</v>
      </c>
      <c r="F282" s="126">
        <f>'Input - Swine'!G11</f>
        <v>100</v>
      </c>
      <c r="G282" s="126">
        <f>'Input - Swine'!H11</f>
        <v>100</v>
      </c>
      <c r="H282" s="126">
        <f>'Input - Swine'!I11</f>
        <v>100</v>
      </c>
      <c r="I282" s="126">
        <f>'Input - Swine'!J11</f>
        <v>100</v>
      </c>
      <c r="J282" s="126">
        <f>'Input - Swine'!K11</f>
        <v>100</v>
      </c>
      <c r="K282" s="2" t="s">
        <v>101</v>
      </c>
    </row>
    <row r="284" spans="4:11" x14ac:dyDescent="0.25">
      <c r="D284" s="122" t="s">
        <v>128</v>
      </c>
    </row>
    <row r="285" spans="4:11" x14ac:dyDescent="0.25">
      <c r="D285" s="123" t="s">
        <v>353</v>
      </c>
    </row>
    <row r="286" spans="4:11" x14ac:dyDescent="0.25">
      <c r="D286" s="51" t="s">
        <v>222</v>
      </c>
      <c r="E286" s="51" t="s">
        <v>223</v>
      </c>
      <c r="F286" s="51" t="s">
        <v>224</v>
      </c>
      <c r="G286" s="51" t="s">
        <v>225</v>
      </c>
      <c r="H286" s="51" t="s">
        <v>226</v>
      </c>
      <c r="I286" s="51" t="s">
        <v>227</v>
      </c>
      <c r="J286" s="51" t="s">
        <v>228</v>
      </c>
    </row>
    <row r="287" spans="4:11" ht="17.25" x14ac:dyDescent="0.25">
      <c r="D287" s="51" t="s">
        <v>316</v>
      </c>
      <c r="E287" s="51" t="s">
        <v>317</v>
      </c>
      <c r="F287" s="51" t="s">
        <v>318</v>
      </c>
      <c r="G287" s="51" t="s">
        <v>319</v>
      </c>
      <c r="H287" s="51" t="s">
        <v>319</v>
      </c>
      <c r="I287" s="51" t="s">
        <v>319</v>
      </c>
      <c r="J287" s="51" t="s">
        <v>319</v>
      </c>
    </row>
    <row r="288" spans="4:11" x14ac:dyDescent="0.25">
      <c r="D288" s="52" cm="1">
        <f t="array" ref="D288">ManureManagement_Swine_Methane.VEERG_4_5_1_1__1_TotalAnnualMethaneEmissions(D276,D$255,D282)</f>
        <v>0.50592504934400029</v>
      </c>
      <c r="E288" s="52" cm="1">
        <f t="array" ref="E288">ManureManagement_Swine_Methane.VEERG_4_5_1_1__1_TotalAnnualMethaneEmissions(E276,E$255,E282)</f>
        <v>0.61914563298560032</v>
      </c>
      <c r="F288" s="52" cm="1">
        <f t="array" ref="F288">ManureManagement_Swine_Methane.VEERG_4_5_1_1__1_TotalAnnualMethaneEmissions(F276,F$255,F282)</f>
        <v>0.74028282204800011</v>
      </c>
      <c r="G288" s="52" cm="1">
        <f t="array" ref="G288">ManureManagement_Swine_Methane.VEERG_4_5_1_1__1_TotalAnnualMethaneEmissions(G276,G$255,G282)</f>
        <v>0.5249278192704</v>
      </c>
      <c r="H288" s="52" cm="1">
        <f t="array" ref="H288">ManureManagement_Swine_Methane.VEERG_4_5_1_1__1_TotalAnnualMethaneEmissions(H276,H$255,H282)</f>
        <v>0.5249278192704</v>
      </c>
      <c r="I288" s="52" cm="1">
        <f t="array" ref="I288">ManureManagement_Swine_Methane.VEERG_4_5_1_1__1_TotalAnnualMethaneEmissions(I276,I$255,I282)</f>
        <v>0.5249278192704</v>
      </c>
      <c r="J288" s="52" cm="1">
        <f t="array" ref="J288">ManureManagement_Swine_Methane.VEERG_4_5_1_1__1_TotalAnnualMethaneEmissions(J276,J$255,J282)</f>
        <v>0.5249278192704</v>
      </c>
      <c r="K288" s="2" t="str">
        <f>$E$266</f>
        <v>t CH4</v>
      </c>
    </row>
    <row r="290" spans="4:7" ht="20.25" x14ac:dyDescent="0.25">
      <c r="D290" s="101" t="s">
        <v>322</v>
      </c>
      <c r="E290" s="102">
        <f>SUM(D288:J288)</f>
        <v>3.9650647814592004</v>
      </c>
      <c r="F290" s="103" t="str">
        <f>E266</f>
        <v>t CH4</v>
      </c>
    </row>
    <row r="292" spans="4:7" x14ac:dyDescent="0.25">
      <c r="D292" s="57" t="str" cm="1">
        <f t="array" ref="D292:E293">Common_Equations.Common_ConvertCH4ToCO2e_Arguments()</f>
        <v>ECH4</v>
      </c>
      <c r="E292" s="58" t="str">
        <v>Methane emissions (t CH4)</v>
      </c>
      <c r="F292" s="104"/>
      <c r="G292" s="52">
        <f>E290</f>
        <v>3.9650647814592004</v>
      </c>
    </row>
    <row r="293" spans="4:7" x14ac:dyDescent="0.25">
      <c r="D293" s="57" t="str">
        <v>GWPCH4</v>
      </c>
      <c r="E293" s="58" t="str">
        <v>Global warming potential for methane (t CO2-e / t CH4)</v>
      </c>
      <c r="F293" s="104"/>
      <c r="G293" s="52">
        <f>Common_InputFunctions.Utility_LookupValueInTableNumber("CH4",Table_GWPData[Gas],Table_GWPData[CO2-e factor])</f>
        <v>28</v>
      </c>
    </row>
    <row r="295" spans="4:7" ht="18.75" x14ac:dyDescent="0.25">
      <c r="D295" s="45" t="s">
        <v>102</v>
      </c>
      <c r="E295" s="45" cm="1">
        <f t="array" ref="E295">Common_Equations.Common_ConvertCH4ToCO2e(G292,G293)</f>
        <v>111.02181388085761</v>
      </c>
      <c r="F295" s="105" t="str" cm="1">
        <f t="array" ref="F295">Common_Equations.Common_ConvertN2OToCO2e_Unit()</f>
        <v>t CO2e</v>
      </c>
    </row>
    <row r="341" spans="8:8" x14ac:dyDescent="0.25">
      <c r="H341" s="22"/>
    </row>
    <row r="342" spans="8:8" x14ac:dyDescent="0.25">
      <c r="H342" s="22"/>
    </row>
  </sheetData>
  <dataValidations disablePrompts="1" count="1">
    <dataValidation operator="equal" allowBlank="1" showInputMessage="1" showErrorMessage="1" sqref="U172:Z172 F149:I151 E128:J128 F129:J133 U206 G222 E279 U203 U166:Z166 V143:Z144 E238 V167:Z167 V173:Z173 F173" xr:uid="{AF7BB680-B75F-4AE8-AA2D-EDF03FCB10D8}"/>
  </dataValidation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652C6-038D-41EC-BA1B-216C9E3A60D3}">
  <dimension ref="A1:AF291"/>
  <sheetViews>
    <sheetView showGridLines="0" topLeftCell="P221" zoomScale="70" zoomScaleNormal="70" workbookViewId="0">
      <selection activeCell="U254" sqref="U254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6" width="30.7109375" style="1" customWidth="1"/>
    <col min="17" max="17" width="4.7109375" style="1" customWidth="1"/>
    <col min="18" max="18" width="4.7109375" customWidth="1"/>
    <col min="19" max="19" width="4.7109375" style="1" customWidth="1"/>
    <col min="20" max="31" width="30.7109375" style="1" customWidth="1"/>
    <col min="32" max="32" width="4.7109375" style="1" customWidth="1"/>
  </cols>
  <sheetData>
    <row r="1" spans="1:32" s="8" customFormat="1" ht="30" customHeight="1" x14ac:dyDescent="0.35">
      <c r="A1" s="68" t="e" vm="1">
        <v>#VALUE!</v>
      </c>
      <c r="C1" s="8" t="s">
        <v>177</v>
      </c>
    </row>
    <row r="2" spans="1:32" s="9" customFormat="1" ht="20.100000000000001" customHeight="1" x14ac:dyDescent="0.25"/>
    <row r="3" spans="1:32" ht="20.100000000000001" customHeight="1" x14ac:dyDescent="0.25">
      <c r="A3" s="17" t="str">
        <f>HYPERLINK("#'Home'!A1", "Home")</f>
        <v>Home</v>
      </c>
      <c r="C3" s="4"/>
      <c r="D3" s="4" t="s">
        <v>105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S3" s="4"/>
      <c r="T3" s="4" t="s">
        <v>106</v>
      </c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ht="20.100000000000001" customHeight="1" x14ac:dyDescent="0.25">
      <c r="A4" s="17" t="str">
        <f>HYPERLINK("#'Results'!A1", "Results")</f>
        <v>Results</v>
      </c>
    </row>
    <row r="5" spans="1:32" ht="20.100000000000001" customHeight="1" x14ac:dyDescent="0.25">
      <c r="A5" s="16"/>
      <c r="D5" s="6" t="str" cm="1">
        <f t="array" ref="D5">MMS_PastureBeef_Soil_N2ODirect_Equations.VEERG_4_2_1_3__7_RelativeSize_Title()</f>
        <v>Relative size of the cattle</v>
      </c>
    </row>
    <row r="6" spans="1:32" ht="20.100000000000001" customHeight="1" x14ac:dyDescent="0.25">
      <c r="A6" s="20" t="s">
        <v>3</v>
      </c>
      <c r="D6" s="5" t="str" cm="1">
        <f t="array" ref="D6">MMS_PastureBeef_Soil_N2ODirect_Equations.VEERG_4_2_1_3__7_RelativeSize_Source()</f>
        <v>VEERG 2026: 4.2.1.3, Equation (7)</v>
      </c>
    </row>
    <row r="7" spans="1:32" ht="20.100000000000001" customHeight="1" x14ac:dyDescent="0.25">
      <c r="A7" s="17" t="str">
        <f>HYPERLINK("#'Input - Site'!A1", "Site")</f>
        <v>Site</v>
      </c>
      <c r="D7" s="13" t="s">
        <v>26</v>
      </c>
      <c r="E7" s="13" t="str" cm="1">
        <f t="array" aca="1" ref="E7" ca="1">Common_InputFunctions.Utility_DisplayFunctionName(E33)</f>
        <v>=MMS_PastureBeef_Soil_N2ODirect_Equations.VEERG_4_2_1_3__7_RelativeSize</v>
      </c>
    </row>
    <row r="8" spans="1:32" ht="20.100000000000001" customHeight="1" x14ac:dyDescent="0.25">
      <c r="A8" s="17" t="str">
        <f>HYPERLINK("#'Input - Swine'!A1", "Swine")</f>
        <v>Swine</v>
      </c>
    </row>
    <row r="9" spans="1:32" ht="20.100000000000001" customHeight="1" x14ac:dyDescent="0.25">
      <c r="A9" s="17"/>
    </row>
    <row r="10" spans="1:32" ht="20.100000000000001" customHeight="1" x14ac:dyDescent="0.25">
      <c r="A10" s="19" t="s">
        <v>76</v>
      </c>
      <c r="D10" s="53" t="s">
        <v>29</v>
      </c>
      <c r="E10" s="1" t="str" cm="1">
        <f t="array" ref="E10">MMS_PastureBeef_Soil_N2ODirect_Equations.VEERG_4_2_1_3__7_RelativeSize_Variable()</f>
        <v>Z_jkl</v>
      </c>
    </row>
    <row r="11" spans="1:32" ht="20.100000000000001" customHeight="1" x14ac:dyDescent="0.25">
      <c r="A11" s="17" t="str">
        <f>HYPERLINK("#'4.2.1.1-2 Methane'!A1", "4.2.1.1-2 Methane")</f>
        <v>4.2.1.1-2 Methane</v>
      </c>
      <c r="D11" s="53" t="s">
        <v>19</v>
      </c>
      <c r="E11" s="54" t="str" cm="1">
        <f t="array" ref="E11">MMS_PastureBeef_Soil_N2ODirect_Equations.VEERG_4_2_1_3__7_RelativeSize_Unit()</f>
        <v>ratio</v>
      </c>
    </row>
    <row r="12" spans="1:32" ht="20.100000000000001" customHeight="1" x14ac:dyDescent="0.25">
      <c r="A12" s="17" t="str">
        <f>HYPERLINK("#'4.2.1.3-4 Soil direct N2O'!A1", "4.2.1.3-4 Soil direct N2O")</f>
        <v>4.2.1.3-4 Soil direct N2O</v>
      </c>
    </row>
    <row r="13" spans="1:32" ht="20.100000000000001" customHeight="1" x14ac:dyDescent="0.25">
      <c r="A13" s="17" t="str">
        <f>HYPERLINK("#'4.2.1.5-6 Soil Atmos Dep'!A1", "4.2.1.5-6 Soil atm. deposition")</f>
        <v>4.2.1.5-6 Soil atm. deposition</v>
      </c>
      <c r="D13" s="108" t="str" cm="1">
        <f t="array" ref="D13:E15">MMS_PastureBeef_Soil_N2ODirect_Equations.VEERG_4_2_1_3__7_RelativeSize_Arguments()</f>
        <v>W_jkl</v>
      </c>
      <c r="E13" s="108" t="str">
        <v>liveweight (kg)</v>
      </c>
      <c r="F13" s="108" t="str">
        <f>"See " &amp; D17</f>
        <v>See M1_Table_W_j_k_l</v>
      </c>
      <c r="G13" s="107" t="s">
        <v>179</v>
      </c>
    </row>
    <row r="14" spans="1:32" ht="20.100000000000001" customHeight="1" x14ac:dyDescent="0.25">
      <c r="A14" s="17" t="str">
        <f>HYPERLINK("#'4.2.1.7-8 Soil leach runoff'!A1", "4.2.1.7-8 Soil leach &amp; runoff")</f>
        <v>4.2.1.7-8 Soil leach &amp; runoff</v>
      </c>
      <c r="D14" s="108" t="str">
        <v>SRW_k</v>
      </c>
      <c r="E14" s="108" t="str">
        <v>standard reference weight (kg)</v>
      </c>
      <c r="F14" s="108" t="str">
        <f>"See " &amp; D25</f>
        <v>See Table_SRW_k</v>
      </c>
    </row>
    <row r="15" spans="1:32" ht="20.100000000000001" customHeight="1" x14ac:dyDescent="0.25">
      <c r="A15" s="17"/>
      <c r="D15" s="57" t="str">
        <v>i</v>
      </c>
      <c r="E15" s="57" t="str">
        <v>state</v>
      </c>
      <c r="F15" s="57">
        <f>'Input - Swine'!$E$7</f>
        <v>0</v>
      </c>
    </row>
    <row r="16" spans="1:32" ht="20.100000000000001" customHeight="1" x14ac:dyDescent="0.25">
      <c r="A16" s="18" t="s">
        <v>4</v>
      </c>
    </row>
    <row r="17" spans="1:31" ht="20.100000000000001" customHeight="1" x14ac:dyDescent="0.25">
      <c r="A17" s="17" t="str">
        <f>HYPERLINK("#'Constants - Swine'!A1", "Constants - Swine")</f>
        <v>Constants - Swine</v>
      </c>
      <c r="D17" s="99" t="s">
        <v>178</v>
      </c>
      <c r="T17" s="99" t="s">
        <v>165</v>
      </c>
    </row>
    <row r="18" spans="1:31" ht="20.100000000000001" customHeight="1" x14ac:dyDescent="0.25">
      <c r="A18" s="17" t="str">
        <f>HYPERLINK("#'Constants - Livestock'!A1", "Constants - Livestock")</f>
        <v>Constants - Livestock</v>
      </c>
      <c r="D18" s="98" t="s">
        <v>160</v>
      </c>
      <c r="T18" s="98" t="s">
        <v>166</v>
      </c>
    </row>
    <row r="19" spans="1:31" ht="20.100000000000001" customHeight="1" x14ac:dyDescent="0.25">
      <c r="A19" s="17" t="str">
        <f>HYPERLINK("#'Constants - Common'!A1", "Constants - Common")</f>
        <v>Constants - Common</v>
      </c>
      <c r="D19" s="51" t="s">
        <v>155</v>
      </c>
      <c r="E19" s="51" t="s">
        <v>118</v>
      </c>
      <c r="F19" s="51" t="s">
        <v>117</v>
      </c>
      <c r="G19" s="51" t="s">
        <v>143</v>
      </c>
      <c r="H19" s="51" t="s">
        <v>144</v>
      </c>
      <c r="I19" s="51" t="s">
        <v>145</v>
      </c>
      <c r="J19" s="51" t="s">
        <v>146</v>
      </c>
      <c r="K19" s="51" t="s">
        <v>147</v>
      </c>
      <c r="L19" s="51" t="s">
        <v>148</v>
      </c>
      <c r="M19" s="51" t="s">
        <v>149</v>
      </c>
      <c r="N19" s="51" t="s">
        <v>150</v>
      </c>
      <c r="T19" s="51" t="s">
        <v>119</v>
      </c>
      <c r="U19" s="51" t="s">
        <v>118</v>
      </c>
      <c r="V19" s="51" t="s">
        <v>117</v>
      </c>
      <c r="W19" s="51" t="s">
        <v>143</v>
      </c>
      <c r="X19" s="51" t="s">
        <v>144</v>
      </c>
      <c r="Y19" s="51" t="s">
        <v>145</v>
      </c>
      <c r="Z19" s="51" t="s">
        <v>146</v>
      </c>
      <c r="AA19" s="51" t="s">
        <v>147</v>
      </c>
      <c r="AB19" s="51" t="s">
        <v>148</v>
      </c>
      <c r="AC19" s="51" t="s">
        <v>149</v>
      </c>
      <c r="AD19" s="51" t="s">
        <v>150</v>
      </c>
      <c r="AE19" s="2"/>
    </row>
    <row r="20" spans="1:31" ht="20.100000000000001" customHeight="1" x14ac:dyDescent="0.25">
      <c r="A20" s="17" t="str">
        <f>HYPERLINK("#'Acknowledgements'!A1", "Acknowledgements")</f>
        <v>Acknowledgements</v>
      </c>
      <c r="D20" s="52">
        <f>'Input - Swine'!D138</f>
        <v>0</v>
      </c>
      <c r="E20" s="52">
        <f>'Input - Swine'!E138</f>
        <v>0</v>
      </c>
      <c r="F20" s="52">
        <f>'Input - Swine'!F138</f>
        <v>0</v>
      </c>
      <c r="G20" s="52">
        <f>'Input - Swine'!G138</f>
        <v>0</v>
      </c>
      <c r="H20" s="52">
        <f>'Input - Swine'!H138</f>
        <v>0</v>
      </c>
      <c r="I20" s="52">
        <f>'Input - Swine'!I138</f>
        <v>0</v>
      </c>
      <c r="J20" s="52">
        <f>'Input - Swine'!J138</f>
        <v>0</v>
      </c>
      <c r="K20" s="52">
        <f>'Input - Swine'!K138</f>
        <v>0</v>
      </c>
      <c r="L20" s="52">
        <f>'Input - Swine'!L138</f>
        <v>0</v>
      </c>
      <c r="M20" s="52">
        <f>'Input - Swine'!M138</f>
        <v>0</v>
      </c>
      <c r="N20" s="52">
        <f>'Input - Swine'!N118</f>
        <v>0</v>
      </c>
      <c r="O20" s="2" t="s">
        <v>120</v>
      </c>
      <c r="T20" s="52" t="str">
        <f>TEXT('Input - Site'!$E$12, "mmmm yyyy")</f>
        <v>January 2024</v>
      </c>
      <c r="U20" s="52">
        <f>'Input - Swine'!E144</f>
        <v>0</v>
      </c>
      <c r="V20" s="52">
        <f>'Input - Swine'!F144</f>
        <v>0</v>
      </c>
      <c r="W20" s="52">
        <f>'Input - Swine'!G144</f>
        <v>0</v>
      </c>
      <c r="X20" s="52">
        <f>'Input - Swine'!H144</f>
        <v>0</v>
      </c>
      <c r="Y20" s="52">
        <f>'Input - Swine'!I144</f>
        <v>0</v>
      </c>
      <c r="Z20" s="52">
        <f>'Input - Swine'!J144</f>
        <v>0</v>
      </c>
      <c r="AA20" s="52">
        <f>'Input - Swine'!K144</f>
        <v>0</v>
      </c>
      <c r="AB20" s="52">
        <f>'Input - Swine'!L144</f>
        <v>0</v>
      </c>
      <c r="AC20" s="52">
        <f>'Input - Swine'!M144</f>
        <v>0</v>
      </c>
      <c r="AD20" s="52">
        <f>'Input - Swine'!N124</f>
        <v>0</v>
      </c>
      <c r="AE20" s="2" t="s">
        <v>120</v>
      </c>
    </row>
    <row r="21" spans="1:31" ht="20.100000000000001" customHeight="1" x14ac:dyDescent="0.25">
      <c r="D21" s="52">
        <f>'Input - Swine'!D139</f>
        <v>0</v>
      </c>
      <c r="E21" s="52">
        <f>'Input - Swine'!E139</f>
        <v>0</v>
      </c>
      <c r="F21" s="52">
        <f>'Input - Swine'!F139</f>
        <v>0</v>
      </c>
      <c r="G21" s="52">
        <f>'Input - Swine'!G139</f>
        <v>0</v>
      </c>
      <c r="H21" s="52">
        <f>'Input - Swine'!H139</f>
        <v>0</v>
      </c>
      <c r="I21" s="52">
        <f>'Input - Swine'!I139</f>
        <v>0</v>
      </c>
      <c r="J21" s="52">
        <f>'Input - Swine'!J139</f>
        <v>0</v>
      </c>
      <c r="K21" s="52">
        <f>'Input - Swine'!K139</f>
        <v>0</v>
      </c>
      <c r="L21" s="52">
        <f>'Input - Swine'!L139</f>
        <v>0</v>
      </c>
      <c r="M21" s="52">
        <f>'Input - Swine'!M139</f>
        <v>0</v>
      </c>
      <c r="N21" s="52">
        <f>'Input - Swine'!N119</f>
        <v>0</v>
      </c>
      <c r="O21" s="2" t="s">
        <v>120</v>
      </c>
      <c r="T21" s="52" t="str">
        <f>TEXT(EDATE('Input - Site'!$E$12,1), "mmmm yyyy")</f>
        <v>February 2024</v>
      </c>
      <c r="U21" s="52">
        <f>'Input - Swine'!E145</f>
        <v>0</v>
      </c>
      <c r="V21" s="52">
        <f>'Input - Swine'!F145</f>
        <v>0</v>
      </c>
      <c r="W21" s="52">
        <f>'Input - Swine'!G145</f>
        <v>0</v>
      </c>
      <c r="X21" s="52">
        <f>'Input - Swine'!H145</f>
        <v>0</v>
      </c>
      <c r="Y21" s="52">
        <f>'Input - Swine'!I145</f>
        <v>0</v>
      </c>
      <c r="Z21" s="52">
        <f>'Input - Swine'!J145</f>
        <v>0</v>
      </c>
      <c r="AA21" s="52">
        <f>'Input - Swine'!K145</f>
        <v>0</v>
      </c>
      <c r="AB21" s="52">
        <f>'Input - Swine'!L145</f>
        <v>0</v>
      </c>
      <c r="AC21" s="52">
        <f>'Input - Swine'!M145</f>
        <v>0</v>
      </c>
      <c r="AD21" s="52">
        <f>'Input - Swine'!N125</f>
        <v>0</v>
      </c>
      <c r="AE21" s="2" t="s">
        <v>120</v>
      </c>
    </row>
    <row r="22" spans="1:31" ht="20.100000000000001" customHeight="1" x14ac:dyDescent="0.25">
      <c r="A22" s="17"/>
      <c r="D22" s="52">
        <f>'Input - Swine'!D140</f>
        <v>0</v>
      </c>
      <c r="E22" s="52">
        <f>'Input - Swine'!E140</f>
        <v>0</v>
      </c>
      <c r="F22" s="52">
        <f>'Input - Swine'!F140</f>
        <v>0</v>
      </c>
      <c r="G22" s="52">
        <f>'Input - Swine'!G140</f>
        <v>0</v>
      </c>
      <c r="H22" s="52">
        <f>'Input - Swine'!H140</f>
        <v>0</v>
      </c>
      <c r="I22" s="52">
        <f>'Input - Swine'!I140</f>
        <v>0</v>
      </c>
      <c r="J22" s="52">
        <f>'Input - Swine'!J140</f>
        <v>0</v>
      </c>
      <c r="K22" s="52">
        <f>'Input - Swine'!K140</f>
        <v>0</v>
      </c>
      <c r="L22" s="52">
        <f>'Input - Swine'!L140</f>
        <v>0</v>
      </c>
      <c r="M22" s="52">
        <f>'Input - Swine'!M140</f>
        <v>0</v>
      </c>
      <c r="N22" s="52">
        <f>'Input - Swine'!N120</f>
        <v>0</v>
      </c>
      <c r="O22" s="2" t="s">
        <v>120</v>
      </c>
      <c r="T22" s="52" t="str">
        <f>TEXT(EDATE('Input - Site'!$E$12,2), "mmmm yyyy")</f>
        <v>March 2024</v>
      </c>
      <c r="U22" s="52">
        <f>'Input - Swine'!E146</f>
        <v>0</v>
      </c>
      <c r="V22" s="52">
        <f>'Input - Swine'!F146</f>
        <v>0</v>
      </c>
      <c r="W22" s="52">
        <f>'Input - Swine'!G146</f>
        <v>0</v>
      </c>
      <c r="X22" s="52">
        <f>'Input - Swine'!H146</f>
        <v>0</v>
      </c>
      <c r="Y22" s="52">
        <f>'Input - Swine'!I146</f>
        <v>0</v>
      </c>
      <c r="Z22" s="52">
        <f>'Input - Swine'!J146</f>
        <v>0</v>
      </c>
      <c r="AA22" s="52">
        <f>'Input - Swine'!K146</f>
        <v>0</v>
      </c>
      <c r="AB22" s="52">
        <f>'Input - Swine'!L146</f>
        <v>0</v>
      </c>
      <c r="AC22" s="52">
        <f>'Input - Swine'!M146</f>
        <v>0</v>
      </c>
      <c r="AD22" s="52">
        <f>'Input - Swine'!N126</f>
        <v>0</v>
      </c>
      <c r="AE22" s="2" t="s">
        <v>120</v>
      </c>
    </row>
    <row r="23" spans="1:31" ht="20.100000000000001" customHeight="1" x14ac:dyDescent="0.25">
      <c r="A23" s="17"/>
      <c r="D23" s="52">
        <f>'Input - Swine'!D141</f>
        <v>0</v>
      </c>
      <c r="E23" s="52">
        <f>'Input - Swine'!E141</f>
        <v>0</v>
      </c>
      <c r="F23" s="52">
        <f>'Input - Swine'!F141</f>
        <v>0</v>
      </c>
      <c r="G23" s="52">
        <f>'Input - Swine'!G141</f>
        <v>0</v>
      </c>
      <c r="H23" s="52">
        <f>'Input - Swine'!H141</f>
        <v>0</v>
      </c>
      <c r="I23" s="52">
        <f>'Input - Swine'!I141</f>
        <v>0</v>
      </c>
      <c r="J23" s="52">
        <f>'Input - Swine'!J141</f>
        <v>0</v>
      </c>
      <c r="K23" s="52">
        <f>'Input - Swine'!K141</f>
        <v>0</v>
      </c>
      <c r="L23" s="52">
        <f>'Input - Swine'!L141</f>
        <v>0</v>
      </c>
      <c r="M23" s="52">
        <f>'Input - Swine'!M141</f>
        <v>0</v>
      </c>
      <c r="N23" s="52">
        <f>'Input - Swine'!N121</f>
        <v>0</v>
      </c>
      <c r="O23" s="2" t="s">
        <v>120</v>
      </c>
      <c r="T23" s="52" t="str">
        <f>TEXT(EDATE('Input - Site'!$E$12,3), "mmmm yyyy")</f>
        <v>April 2024</v>
      </c>
      <c r="U23" s="52">
        <f>'Input - Swine'!E147</f>
        <v>0</v>
      </c>
      <c r="V23" s="52">
        <f>'Input - Swine'!F147</f>
        <v>0</v>
      </c>
      <c r="W23" s="52">
        <f>'Input - Swine'!G147</f>
        <v>0</v>
      </c>
      <c r="X23" s="52">
        <f>'Input - Swine'!H147</f>
        <v>0</v>
      </c>
      <c r="Y23" s="52">
        <f>'Input - Swine'!I147</f>
        <v>0</v>
      </c>
      <c r="Z23" s="52">
        <f>'Input - Swine'!J147</f>
        <v>0</v>
      </c>
      <c r="AA23" s="52">
        <f>'Input - Swine'!K147</f>
        <v>0</v>
      </c>
      <c r="AB23" s="52">
        <f>'Input - Swine'!L147</f>
        <v>0</v>
      </c>
      <c r="AC23" s="52">
        <f>'Input - Swine'!M147</f>
        <v>0</v>
      </c>
      <c r="AD23" s="52">
        <f>'Input - Swine'!N127</f>
        <v>0</v>
      </c>
      <c r="AE23" s="2" t="s">
        <v>120</v>
      </c>
    </row>
    <row r="24" spans="1:31" ht="20.100000000000001" customHeight="1" x14ac:dyDescent="0.25">
      <c r="A24" s="17"/>
      <c r="T24" s="52" t="str">
        <f>TEXT(EDATE('Input - Site'!$E$12,4), "mmmm yyyy")</f>
        <v>May 2024</v>
      </c>
      <c r="U24" s="52">
        <f>'Input - Swine'!E148</f>
        <v>0</v>
      </c>
      <c r="V24" s="52">
        <f>'Input - Swine'!F148</f>
        <v>0</v>
      </c>
      <c r="W24" s="52">
        <f>'Input - Swine'!G148</f>
        <v>0</v>
      </c>
      <c r="X24" s="52">
        <f>'Input - Swine'!H148</f>
        <v>0</v>
      </c>
      <c r="Y24" s="52">
        <f>'Input - Swine'!I148</f>
        <v>0</v>
      </c>
      <c r="Z24" s="52">
        <f>'Input - Swine'!J148</f>
        <v>0</v>
      </c>
      <c r="AA24" s="52">
        <f>'Input - Swine'!K148</f>
        <v>0</v>
      </c>
      <c r="AB24" s="52">
        <f>'Input - Swine'!L148</f>
        <v>0</v>
      </c>
      <c r="AC24" s="52">
        <f>'Input - Swine'!M148</f>
        <v>0</v>
      </c>
      <c r="AD24" s="52">
        <f>'Input - Swine'!N128</f>
        <v>0</v>
      </c>
      <c r="AE24" s="2" t="s">
        <v>120</v>
      </c>
    </row>
    <row r="25" spans="1:31" ht="20.100000000000001" customHeight="1" x14ac:dyDescent="0.25">
      <c r="D25" s="99" t="s">
        <v>181</v>
      </c>
      <c r="T25" s="52" t="str">
        <f>TEXT(EDATE('Input - Site'!$E$12,5), "mmmm yyyy")</f>
        <v>June 2024</v>
      </c>
      <c r="U25" s="52">
        <f>'Input - Swine'!E149</f>
        <v>0</v>
      </c>
      <c r="V25" s="52">
        <f>'Input - Swine'!F149</f>
        <v>0</v>
      </c>
      <c r="W25" s="52">
        <f>'Input - Swine'!G149</f>
        <v>0</v>
      </c>
      <c r="X25" s="52">
        <f>'Input - Swine'!H149</f>
        <v>0</v>
      </c>
      <c r="Y25" s="52">
        <f>'Input - Swine'!I149</f>
        <v>0</v>
      </c>
      <c r="Z25" s="52">
        <f>'Input - Swine'!J149</f>
        <v>0</v>
      </c>
      <c r="AA25" s="52">
        <f>'Input - Swine'!K149</f>
        <v>0</v>
      </c>
      <c r="AB25" s="52">
        <f>'Input - Swine'!L149</f>
        <v>0</v>
      </c>
      <c r="AC25" s="52">
        <f>'Input - Swine'!M149</f>
        <v>0</v>
      </c>
      <c r="AD25" s="52">
        <f>'Input - Swine'!N129</f>
        <v>0</v>
      </c>
      <c r="AE25" s="2" t="s">
        <v>120</v>
      </c>
    </row>
    <row r="26" spans="1:31" ht="20.100000000000001" customHeight="1" x14ac:dyDescent="0.25">
      <c r="D26" s="98" t="s">
        <v>180</v>
      </c>
      <c r="T26" s="52" t="str">
        <f>TEXT(EDATE('Input - Site'!$E$12,6), "mmmm yyyy")</f>
        <v>July 2024</v>
      </c>
      <c r="U26" s="52">
        <f>'Input - Swine'!E150</f>
        <v>0</v>
      </c>
      <c r="V26" s="52">
        <f>'Input - Swine'!F150</f>
        <v>0</v>
      </c>
      <c r="W26" s="52">
        <f>'Input - Swine'!G150</f>
        <v>0</v>
      </c>
      <c r="X26" s="52">
        <f>'Input - Swine'!H150</f>
        <v>0</v>
      </c>
      <c r="Y26" s="52">
        <f>'Input - Swine'!I150</f>
        <v>0</v>
      </c>
      <c r="Z26" s="52">
        <f>'Input - Swine'!J150</f>
        <v>0</v>
      </c>
      <c r="AA26" s="52">
        <f>'Input - Swine'!K150</f>
        <v>0</v>
      </c>
      <c r="AB26" s="52">
        <f>'Input - Swine'!L150</f>
        <v>0</v>
      </c>
      <c r="AC26" s="52">
        <f>'Input - Swine'!M150</f>
        <v>0</v>
      </c>
      <c r="AD26" s="52">
        <f>'Input - Swine'!N130</f>
        <v>0</v>
      </c>
      <c r="AE26" s="2" t="s">
        <v>120</v>
      </c>
    </row>
    <row r="27" spans="1:31" ht="20.100000000000001" customHeight="1" x14ac:dyDescent="0.25">
      <c r="D27" s="51" t="s">
        <v>118</v>
      </c>
      <c r="E27" s="51" t="s">
        <v>117</v>
      </c>
      <c r="F27" s="51" t="s">
        <v>143</v>
      </c>
      <c r="G27" s="51" t="s">
        <v>144</v>
      </c>
      <c r="H27" s="51" t="s">
        <v>145</v>
      </c>
      <c r="I27" s="51" t="s">
        <v>146</v>
      </c>
      <c r="J27" s="51" t="s">
        <v>147</v>
      </c>
      <c r="K27" s="51" t="s">
        <v>148</v>
      </c>
      <c r="L27" s="51" t="s">
        <v>149</v>
      </c>
      <c r="M27" s="51" t="s">
        <v>150</v>
      </c>
      <c r="T27" s="52" t="str">
        <f>TEXT(EDATE('Input - Site'!$E$12,7), "mmmm yyyy")</f>
        <v>August 2024</v>
      </c>
      <c r="U27" s="52">
        <f>'Input - Swine'!E151</f>
        <v>0</v>
      </c>
      <c r="V27" s="52">
        <f>'Input - Swine'!F151</f>
        <v>0</v>
      </c>
      <c r="W27" s="52">
        <f>'Input - Swine'!G151</f>
        <v>0</v>
      </c>
      <c r="X27" s="52">
        <f>'Input - Swine'!H151</f>
        <v>0</v>
      </c>
      <c r="Y27" s="52">
        <f>'Input - Swine'!I151</f>
        <v>0</v>
      </c>
      <c r="Z27" s="52">
        <f>'Input - Swine'!J151</f>
        <v>0</v>
      </c>
      <c r="AA27" s="52">
        <f>'Input - Swine'!K151</f>
        <v>0</v>
      </c>
      <c r="AB27" s="52">
        <f>'Input - Swine'!L151</f>
        <v>0</v>
      </c>
      <c r="AC27" s="52">
        <f>'Input - Swine'!M151</f>
        <v>0</v>
      </c>
      <c r="AD27" s="52">
        <f>'Input - Swine'!N131</f>
        <v>0</v>
      </c>
      <c r="AE27" s="2" t="s">
        <v>120</v>
      </c>
    </row>
    <row r="28" spans="1:31" ht="20.100000000000001" customHeight="1" x14ac:dyDescent="0.25">
      <c r="D28" s="52" t="e">
        <f>Common_InputFunctions.Utility_LookupValueInTableOneColumnAndHeader(Common_InputFunctions.Utility_ConvertStateCommonNameToAbbreviation($F$15,Table_AustralianStates[Common Name],Table_AustralianStates[Abbreviation]),D27,#REF!,#REF!,#REF!)</f>
        <v>#REF!</v>
      </c>
      <c r="E28" s="52" t="e">
        <f>Common_InputFunctions.Utility_LookupValueInTableOneColumnAndHeader(Common_InputFunctions.Utility_ConvertStateCommonNameToAbbreviation($F$15,Table_AustralianStates[Common Name],Table_AustralianStates[Abbreviation]),E27,#REF!,#REF!,#REF!)</f>
        <v>#REF!</v>
      </c>
      <c r="F28" s="52" t="e">
        <f>Common_InputFunctions.Utility_LookupValueInTableOneColumnAndHeader(Common_InputFunctions.Utility_ConvertStateCommonNameToAbbreviation($F$15,Table_AustralianStates[Common Name],Table_AustralianStates[Abbreviation]),F27,#REF!,#REF!,#REF!)</f>
        <v>#REF!</v>
      </c>
      <c r="G28" s="52" t="e">
        <f>Common_InputFunctions.Utility_LookupValueInTableOneColumnAndHeader(Common_InputFunctions.Utility_ConvertStateCommonNameToAbbreviation($F$15,Table_AustralianStates[Common Name],Table_AustralianStates[Abbreviation]),G27,#REF!,#REF!,#REF!)</f>
        <v>#REF!</v>
      </c>
      <c r="H28" s="52" t="e">
        <f>Common_InputFunctions.Utility_LookupValueInTableOneColumnAndHeader(Common_InputFunctions.Utility_ConvertStateCommonNameToAbbreviation($F$15,Table_AustralianStates[Common Name],Table_AustralianStates[Abbreviation]),H27,#REF!,#REF!,#REF!)</f>
        <v>#REF!</v>
      </c>
      <c r="I28" s="52" t="e">
        <f>Common_InputFunctions.Utility_LookupValueInTableOneColumnAndHeader(Common_InputFunctions.Utility_ConvertStateCommonNameToAbbreviation($F$15,Table_AustralianStates[Common Name],Table_AustralianStates[Abbreviation]),I27,#REF!,#REF!,#REF!)</f>
        <v>#REF!</v>
      </c>
      <c r="J28" s="52" t="e">
        <f>Common_InputFunctions.Utility_LookupValueInTableOneColumnAndHeader(Common_InputFunctions.Utility_ConvertStateCommonNameToAbbreviation($F$15,Table_AustralianStates[Common Name],Table_AustralianStates[Abbreviation]),J27,#REF!,#REF!,#REF!)</f>
        <v>#REF!</v>
      </c>
      <c r="K28" s="52" t="e">
        <f>Common_InputFunctions.Utility_LookupValueInTableOneColumnAndHeader(Common_InputFunctions.Utility_ConvertStateCommonNameToAbbreviation($F$15,Table_AustralianStates[Common Name],Table_AustralianStates[Abbreviation]),K27,#REF!,#REF!,#REF!)</f>
        <v>#REF!</v>
      </c>
      <c r="L28" s="52" t="e">
        <f>Common_InputFunctions.Utility_LookupValueInTableOneColumnAndHeader(Common_InputFunctions.Utility_ConvertStateCommonNameToAbbreviation($F$15,Table_AustralianStates[Common Name],Table_AustralianStates[Abbreviation]),L27,#REF!,#REF!,#REF!)</f>
        <v>#REF!</v>
      </c>
      <c r="M28" s="52" t="e">
        <f>Common_InputFunctions.Utility_LookupValueInTableOneColumnAndHeader(Common_InputFunctions.Utility_ConvertStateCommonNameToAbbreviation($F$15,Table_AustralianStates[Common Name],Table_AustralianStates[Abbreviation]),M27,#REF!,#REF!,#REF!)</f>
        <v>#REF!</v>
      </c>
      <c r="N28" s="2" t="s">
        <v>120</v>
      </c>
      <c r="T28" s="52" t="str">
        <f>TEXT(EDATE('Input - Site'!$E$12,8), "mmmm yyyy")</f>
        <v>September 2024</v>
      </c>
      <c r="U28" s="52">
        <f>'Input - Swine'!E152</f>
        <v>0</v>
      </c>
      <c r="V28" s="52">
        <f>'Input - Swine'!F152</f>
        <v>0</v>
      </c>
      <c r="W28" s="52">
        <f>'Input - Swine'!G152</f>
        <v>0</v>
      </c>
      <c r="X28" s="52">
        <f>'Input - Swine'!H152</f>
        <v>0</v>
      </c>
      <c r="Y28" s="52">
        <f>'Input - Swine'!I152</f>
        <v>0</v>
      </c>
      <c r="Z28" s="52">
        <f>'Input - Swine'!J152</f>
        <v>0</v>
      </c>
      <c r="AA28" s="52">
        <f>'Input - Swine'!K152</f>
        <v>0</v>
      </c>
      <c r="AB28" s="52">
        <f>'Input - Swine'!L152</f>
        <v>0</v>
      </c>
      <c r="AC28" s="52">
        <f>'Input - Swine'!M152</f>
        <v>0</v>
      </c>
      <c r="AD28" s="52">
        <f>'Input - Swine'!N132</f>
        <v>0</v>
      </c>
      <c r="AE28" s="2" t="s">
        <v>120</v>
      </c>
    </row>
    <row r="29" spans="1:31" ht="20.100000000000001" customHeight="1" x14ac:dyDescent="0.25">
      <c r="T29" s="52" t="str">
        <f>TEXT(EDATE('Input - Site'!$E$12,9), "mmmm yyyy")</f>
        <v>October 2024</v>
      </c>
      <c r="U29" s="52">
        <f>'Input - Swine'!E153</f>
        <v>0</v>
      </c>
      <c r="V29" s="52">
        <f>'Input - Swine'!F153</f>
        <v>0</v>
      </c>
      <c r="W29" s="52">
        <f>'Input - Swine'!G153</f>
        <v>0</v>
      </c>
      <c r="X29" s="52">
        <f>'Input - Swine'!H153</f>
        <v>0</v>
      </c>
      <c r="Y29" s="52">
        <f>'Input - Swine'!I153</f>
        <v>0</v>
      </c>
      <c r="Z29" s="52">
        <f>'Input - Swine'!J153</f>
        <v>0</v>
      </c>
      <c r="AA29" s="52">
        <f>'Input - Swine'!K153</f>
        <v>0</v>
      </c>
      <c r="AB29" s="52">
        <f>'Input - Swine'!L153</f>
        <v>0</v>
      </c>
      <c r="AC29" s="52">
        <f>'Input - Swine'!M153</f>
        <v>0</v>
      </c>
      <c r="AD29" s="52">
        <f>'Input - Swine'!N133</f>
        <v>0</v>
      </c>
      <c r="AE29" s="2" t="s">
        <v>120</v>
      </c>
    </row>
    <row r="30" spans="1:31" ht="20.100000000000001" customHeight="1" x14ac:dyDescent="0.25">
      <c r="D30" s="99" t="s">
        <v>182</v>
      </c>
      <c r="T30" s="52" t="str">
        <f>TEXT(EDATE('Input - Site'!$E$12,10), "mmmm yyyy")</f>
        <v>November 2024</v>
      </c>
      <c r="U30" s="52">
        <f>'Input - Swine'!E154</f>
        <v>0</v>
      </c>
      <c r="V30" s="52">
        <f>'Input - Swine'!F154</f>
        <v>0</v>
      </c>
      <c r="W30" s="52">
        <f>'Input - Swine'!G154</f>
        <v>0</v>
      </c>
      <c r="X30" s="52">
        <f>'Input - Swine'!H154</f>
        <v>0</v>
      </c>
      <c r="Y30" s="52">
        <f>'Input - Swine'!I154</f>
        <v>0</v>
      </c>
      <c r="Z30" s="52">
        <f>'Input - Swine'!J154</f>
        <v>0</v>
      </c>
      <c r="AA30" s="52">
        <f>'Input - Swine'!K154</f>
        <v>0</v>
      </c>
      <c r="AB30" s="52">
        <f>'Input - Swine'!L154</f>
        <v>0</v>
      </c>
      <c r="AC30" s="52">
        <f>'Input - Swine'!M154</f>
        <v>0</v>
      </c>
      <c r="AD30" s="52">
        <f>'Input - Swine'!N134</f>
        <v>0</v>
      </c>
      <c r="AE30" s="2" t="s">
        <v>120</v>
      </c>
    </row>
    <row r="31" spans="1:31" ht="20.100000000000001" customHeight="1" x14ac:dyDescent="0.25">
      <c r="D31" s="98" t="s">
        <v>183</v>
      </c>
      <c r="T31" s="52" t="str">
        <f>TEXT(EDATE('Input - Site'!$E$12,11), "mmmm yyyy")</f>
        <v>December 2024</v>
      </c>
      <c r="U31" s="52">
        <f>'Input - Swine'!E155</f>
        <v>0</v>
      </c>
      <c r="V31" s="52">
        <f>'Input - Swine'!F155</f>
        <v>0</v>
      </c>
      <c r="W31" s="52">
        <f>'Input - Swine'!G155</f>
        <v>0</v>
      </c>
      <c r="X31" s="52">
        <f>'Input - Swine'!H155</f>
        <v>0</v>
      </c>
      <c r="Y31" s="52">
        <f>'Input - Swine'!I155</f>
        <v>0</v>
      </c>
      <c r="Z31" s="52">
        <f>'Input - Swine'!J155</f>
        <v>0</v>
      </c>
      <c r="AA31" s="52">
        <f>'Input - Swine'!K155</f>
        <v>0</v>
      </c>
      <c r="AB31" s="52">
        <f>'Input - Swine'!L155</f>
        <v>0</v>
      </c>
      <c r="AC31" s="52">
        <f>'Input - Swine'!M155</f>
        <v>0</v>
      </c>
      <c r="AD31" s="52">
        <f>'Input - Swine'!N135</f>
        <v>0</v>
      </c>
      <c r="AE31" s="2" t="s">
        <v>120</v>
      </c>
    </row>
    <row r="32" spans="1:31" ht="20.100000000000001" customHeight="1" x14ac:dyDescent="0.25">
      <c r="D32" s="51" t="s">
        <v>155</v>
      </c>
      <c r="E32" s="51" t="s">
        <v>118</v>
      </c>
      <c r="F32" s="51" t="s">
        <v>117</v>
      </c>
      <c r="G32" s="51" t="s">
        <v>143</v>
      </c>
      <c r="H32" s="51" t="s">
        <v>144</v>
      </c>
      <c r="I32" s="51" t="s">
        <v>145</v>
      </c>
      <c r="J32" s="51" t="s">
        <v>146</v>
      </c>
      <c r="K32" s="51" t="s">
        <v>147</v>
      </c>
      <c r="L32" s="51" t="s">
        <v>148</v>
      </c>
      <c r="M32" s="51" t="s">
        <v>149</v>
      </c>
      <c r="N32" s="51" t="s">
        <v>150</v>
      </c>
    </row>
    <row r="33" spans="3:31" ht="20.100000000000001" customHeight="1" x14ac:dyDescent="0.25">
      <c r="D33" s="52">
        <f>'Input - Swine'!D138</f>
        <v>0</v>
      </c>
      <c r="E33" s="52" t="e" cm="1">
        <f t="array" ref="E33">MMS_PastureBeef_Soil_N2ODirect_Equations.VEERG_4_2_1_3__7_RelativeSize(E20,D$28)</f>
        <v>#REF!</v>
      </c>
      <c r="F33" s="52" t="e" cm="1">
        <f t="array" ref="F33">MMS_PastureBeef_Soil_N2ODirect_Equations.VEERG_4_2_1_3__7_RelativeSize(F20,E$28)</f>
        <v>#REF!</v>
      </c>
      <c r="G33" s="52" t="e" cm="1">
        <f t="array" ref="G33">MMS_PastureBeef_Soil_N2ODirect_Equations.VEERG_4_2_1_3__7_RelativeSize(G20,F$28)</f>
        <v>#REF!</v>
      </c>
      <c r="H33" s="52" t="e" cm="1">
        <f t="array" ref="H33">MMS_PastureBeef_Soil_N2ODirect_Equations.VEERG_4_2_1_3__7_RelativeSize(H20,G$28)</f>
        <v>#REF!</v>
      </c>
      <c r="I33" s="52" t="e" cm="1">
        <f t="array" ref="I33">MMS_PastureBeef_Soil_N2ODirect_Equations.VEERG_4_2_1_3__7_RelativeSize(I20,H$28)</f>
        <v>#REF!</v>
      </c>
      <c r="J33" s="52" t="e" cm="1">
        <f t="array" ref="J33">MMS_PastureBeef_Soil_N2ODirect_Equations.VEERG_4_2_1_3__7_RelativeSize(J20,I$28)</f>
        <v>#REF!</v>
      </c>
      <c r="K33" s="52" t="e" cm="1">
        <f t="array" ref="K33">MMS_PastureBeef_Soil_N2ODirect_Equations.VEERG_4_2_1_3__7_RelativeSize(K20,J$28)</f>
        <v>#REF!</v>
      </c>
      <c r="L33" s="52" t="e" cm="1">
        <f t="array" ref="L33">MMS_PastureBeef_Soil_N2ODirect_Equations.VEERG_4_2_1_3__7_RelativeSize(L20,K$28)</f>
        <v>#REF!</v>
      </c>
      <c r="M33" s="52" t="e" cm="1">
        <f t="array" ref="M33">MMS_PastureBeef_Soil_N2ODirect_Equations.VEERG_4_2_1_3__7_RelativeSize(M20,L$28)</f>
        <v>#REF!</v>
      </c>
      <c r="N33" s="52" t="e" cm="1">
        <f t="array" ref="N33">MMS_PastureBeef_Soil_N2ODirect_Equations.VEERG_4_2_1_3__7_RelativeSize(N20,M$28)</f>
        <v>#REF!</v>
      </c>
      <c r="O33" s="2" t="str">
        <f>$E$11</f>
        <v>ratio</v>
      </c>
      <c r="T33" s="99" t="s">
        <v>184</v>
      </c>
    </row>
    <row r="34" spans="3:31" ht="20.100000000000001" customHeight="1" x14ac:dyDescent="0.25">
      <c r="D34" s="52">
        <f>'Input - Swine'!D139</f>
        <v>0</v>
      </c>
      <c r="E34" s="52" t="e" cm="1">
        <f t="array" ref="E34">MMS_PastureBeef_Soil_N2ODirect_Equations.VEERG_4_2_1_3__7_RelativeSize(E21,D$28)</f>
        <v>#REF!</v>
      </c>
      <c r="F34" s="52" t="e" cm="1">
        <f t="array" ref="F34">MMS_PastureBeef_Soil_N2ODirect_Equations.VEERG_4_2_1_3__7_RelativeSize(F21,E$28)</f>
        <v>#REF!</v>
      </c>
      <c r="G34" s="52" t="e" cm="1">
        <f t="array" ref="G34">MMS_PastureBeef_Soil_N2ODirect_Equations.VEERG_4_2_1_3__7_RelativeSize(G21,F$28)</f>
        <v>#REF!</v>
      </c>
      <c r="H34" s="52" t="e" cm="1">
        <f t="array" ref="H34">MMS_PastureBeef_Soil_N2ODirect_Equations.VEERG_4_2_1_3__7_RelativeSize(H21,G$28)</f>
        <v>#REF!</v>
      </c>
      <c r="I34" s="52" t="e" cm="1">
        <f t="array" ref="I34">MMS_PastureBeef_Soil_N2ODirect_Equations.VEERG_4_2_1_3__7_RelativeSize(I21,H$28)</f>
        <v>#REF!</v>
      </c>
      <c r="J34" s="52" t="e" cm="1">
        <f t="array" ref="J34">MMS_PastureBeef_Soil_N2ODirect_Equations.VEERG_4_2_1_3__7_RelativeSize(J21,I$28)</f>
        <v>#REF!</v>
      </c>
      <c r="K34" s="52" t="e" cm="1">
        <f t="array" ref="K34">MMS_PastureBeef_Soil_N2ODirect_Equations.VEERG_4_2_1_3__7_RelativeSize(K21,J$28)</f>
        <v>#REF!</v>
      </c>
      <c r="L34" s="52" t="e" cm="1">
        <f t="array" ref="L34">MMS_PastureBeef_Soil_N2ODirect_Equations.VEERG_4_2_1_3__7_RelativeSize(L21,K$28)</f>
        <v>#REF!</v>
      </c>
      <c r="M34" s="52" t="e" cm="1">
        <f t="array" ref="M34">MMS_PastureBeef_Soil_N2ODirect_Equations.VEERG_4_2_1_3__7_RelativeSize(M21,L$28)</f>
        <v>#REF!</v>
      </c>
      <c r="N34" s="52" t="e" cm="1">
        <f t="array" ref="N34">MMS_PastureBeef_Soil_N2ODirect_Equations.VEERG_4_2_1_3__7_RelativeSize(N21,M$28)</f>
        <v>#REF!</v>
      </c>
      <c r="O34" s="2" t="str">
        <f t="shared" ref="O34:O36" si="0">$E$11</f>
        <v>ratio</v>
      </c>
      <c r="T34" s="98" t="s">
        <v>185</v>
      </c>
    </row>
    <row r="35" spans="3:31" ht="20.100000000000001" customHeight="1" x14ac:dyDescent="0.25">
      <c r="D35" s="52">
        <f>'Input - Swine'!D140</f>
        <v>0</v>
      </c>
      <c r="E35" s="52" t="e" cm="1">
        <f t="array" ref="E35">MMS_PastureBeef_Soil_N2ODirect_Equations.VEERG_4_2_1_3__7_RelativeSize(E22,D$28)</f>
        <v>#REF!</v>
      </c>
      <c r="F35" s="52" t="e" cm="1">
        <f t="array" ref="F35">MMS_PastureBeef_Soil_N2ODirect_Equations.VEERG_4_2_1_3__7_RelativeSize(F22,E$28)</f>
        <v>#REF!</v>
      </c>
      <c r="G35" s="52" t="e" cm="1">
        <f t="array" ref="G35">MMS_PastureBeef_Soil_N2ODirect_Equations.VEERG_4_2_1_3__7_RelativeSize(G22,F$28)</f>
        <v>#REF!</v>
      </c>
      <c r="H35" s="52" t="e" cm="1">
        <f t="array" ref="H35">MMS_PastureBeef_Soil_N2ODirect_Equations.VEERG_4_2_1_3__7_RelativeSize(H22,G$28)</f>
        <v>#REF!</v>
      </c>
      <c r="I35" s="52" t="e" cm="1">
        <f t="array" ref="I35">MMS_PastureBeef_Soil_N2ODirect_Equations.VEERG_4_2_1_3__7_RelativeSize(I22,H$28)</f>
        <v>#REF!</v>
      </c>
      <c r="J35" s="52" t="e" cm="1">
        <f t="array" ref="J35">MMS_PastureBeef_Soil_N2ODirect_Equations.VEERG_4_2_1_3__7_RelativeSize(J22,I$28)</f>
        <v>#REF!</v>
      </c>
      <c r="K35" s="52" t="e" cm="1">
        <f t="array" ref="K35">MMS_PastureBeef_Soil_N2ODirect_Equations.VEERG_4_2_1_3__7_RelativeSize(K22,J$28)</f>
        <v>#REF!</v>
      </c>
      <c r="L35" s="52" t="e" cm="1">
        <f t="array" ref="L35">MMS_PastureBeef_Soil_N2ODirect_Equations.VEERG_4_2_1_3__7_RelativeSize(L22,K$28)</f>
        <v>#REF!</v>
      </c>
      <c r="M35" s="52" t="e" cm="1">
        <f t="array" ref="M35">MMS_PastureBeef_Soil_N2ODirect_Equations.VEERG_4_2_1_3__7_RelativeSize(M22,L$28)</f>
        <v>#REF!</v>
      </c>
      <c r="N35" s="52" t="e" cm="1">
        <f t="array" ref="N35">MMS_PastureBeef_Soil_N2ODirect_Equations.VEERG_4_2_1_3__7_RelativeSize(N22,M$28)</f>
        <v>#REF!</v>
      </c>
      <c r="O35" s="2" t="str">
        <f t="shared" si="0"/>
        <v>ratio</v>
      </c>
      <c r="T35" s="51" t="s">
        <v>119</v>
      </c>
      <c r="U35" s="51" t="s">
        <v>118</v>
      </c>
      <c r="V35" s="51" t="s">
        <v>117</v>
      </c>
      <c r="W35" s="51" t="s">
        <v>143</v>
      </c>
      <c r="X35" s="51" t="s">
        <v>144</v>
      </c>
      <c r="Y35" s="51" t="s">
        <v>145</v>
      </c>
      <c r="Z35" s="51" t="s">
        <v>146</v>
      </c>
      <c r="AA35" s="51" t="s">
        <v>147</v>
      </c>
      <c r="AB35" s="51" t="s">
        <v>148</v>
      </c>
      <c r="AC35" s="51" t="s">
        <v>149</v>
      </c>
      <c r="AD35" s="51" t="s">
        <v>150</v>
      </c>
      <c r="AE35" s="2"/>
    </row>
    <row r="36" spans="3:31" ht="20.100000000000001" customHeight="1" x14ac:dyDescent="0.25">
      <c r="D36" s="52">
        <f>'Input - Swine'!D141</f>
        <v>0</v>
      </c>
      <c r="E36" s="52" t="e" cm="1">
        <f t="array" ref="E36">MMS_PastureBeef_Soil_N2ODirect_Equations.VEERG_4_2_1_3__7_RelativeSize(E23,D$28)</f>
        <v>#REF!</v>
      </c>
      <c r="F36" s="52" t="e" cm="1">
        <f t="array" ref="F36">MMS_PastureBeef_Soil_N2ODirect_Equations.VEERG_4_2_1_3__7_RelativeSize(F23,E$28)</f>
        <v>#REF!</v>
      </c>
      <c r="G36" s="52" t="e" cm="1">
        <f t="array" ref="G36">MMS_PastureBeef_Soil_N2ODirect_Equations.VEERG_4_2_1_3__7_RelativeSize(G23,F$28)</f>
        <v>#REF!</v>
      </c>
      <c r="H36" s="52" t="e" cm="1">
        <f t="array" ref="H36">MMS_PastureBeef_Soil_N2ODirect_Equations.VEERG_4_2_1_3__7_RelativeSize(H23,G$28)</f>
        <v>#REF!</v>
      </c>
      <c r="I36" s="52" t="e" cm="1">
        <f t="array" ref="I36">MMS_PastureBeef_Soil_N2ODirect_Equations.VEERG_4_2_1_3__7_RelativeSize(I23,H$28)</f>
        <v>#REF!</v>
      </c>
      <c r="J36" s="52" t="e" cm="1">
        <f t="array" ref="J36">MMS_PastureBeef_Soil_N2ODirect_Equations.VEERG_4_2_1_3__7_RelativeSize(J23,I$28)</f>
        <v>#REF!</v>
      </c>
      <c r="K36" s="52" t="e" cm="1">
        <f t="array" ref="K36">MMS_PastureBeef_Soil_N2ODirect_Equations.VEERG_4_2_1_3__7_RelativeSize(K23,J$28)</f>
        <v>#REF!</v>
      </c>
      <c r="L36" s="52" t="e" cm="1">
        <f t="array" ref="L36">MMS_PastureBeef_Soil_N2ODirect_Equations.VEERG_4_2_1_3__7_RelativeSize(L23,K$28)</f>
        <v>#REF!</v>
      </c>
      <c r="M36" s="52" t="e" cm="1">
        <f t="array" ref="M36">MMS_PastureBeef_Soil_N2ODirect_Equations.VEERG_4_2_1_3__7_RelativeSize(M23,L$28)</f>
        <v>#REF!</v>
      </c>
      <c r="N36" s="52" t="e" cm="1">
        <f t="array" ref="N36">MMS_PastureBeef_Soil_N2ODirect_Equations.VEERG_4_2_1_3__7_RelativeSize(N23,M$28)</f>
        <v>#REF!</v>
      </c>
      <c r="O36" s="2" t="str">
        <f t="shared" si="0"/>
        <v>ratio</v>
      </c>
      <c r="T36" s="52" t="str">
        <f>TEXT('Input - Site'!$E$12, "mmmm yyyy")</f>
        <v>January 2024</v>
      </c>
      <c r="U36" s="52" t="e" cm="1">
        <f t="array" ref="U36">MMS_PastureBeef_Soil_N2ODirect_Equations.VEERG_4_2_1_3__7_RelativeSize(U20,D$28)</f>
        <v>#REF!</v>
      </c>
      <c r="V36" s="52" t="e" cm="1">
        <f t="array" ref="V36">MMS_PastureBeef_Soil_N2ODirect_Equations.VEERG_4_2_1_3__7_RelativeSize(V20,E$28)</f>
        <v>#REF!</v>
      </c>
      <c r="W36" s="52" t="e" cm="1">
        <f t="array" ref="W36">MMS_PastureBeef_Soil_N2ODirect_Equations.VEERG_4_2_1_3__7_RelativeSize(W20,F$28)</f>
        <v>#REF!</v>
      </c>
      <c r="X36" s="52" t="e" cm="1">
        <f t="array" ref="X36">MMS_PastureBeef_Soil_N2ODirect_Equations.VEERG_4_2_1_3__7_RelativeSize(X20,G$28)</f>
        <v>#REF!</v>
      </c>
      <c r="Y36" s="52" t="e" cm="1">
        <f t="array" ref="Y36">MMS_PastureBeef_Soil_N2ODirect_Equations.VEERG_4_2_1_3__7_RelativeSize(Y20,H$28)</f>
        <v>#REF!</v>
      </c>
      <c r="Z36" s="52" t="e" cm="1">
        <f t="array" ref="Z36">MMS_PastureBeef_Soil_N2ODirect_Equations.VEERG_4_2_1_3__7_RelativeSize(Z20,I$28)</f>
        <v>#REF!</v>
      </c>
      <c r="AA36" s="52" t="e" cm="1">
        <f t="array" ref="AA36">MMS_PastureBeef_Soil_N2ODirect_Equations.VEERG_4_2_1_3__7_RelativeSize(AA20,J$28)</f>
        <v>#REF!</v>
      </c>
      <c r="AB36" s="52" t="e" cm="1">
        <f t="array" ref="AB36">MMS_PastureBeef_Soil_N2ODirect_Equations.VEERG_4_2_1_3__7_RelativeSize(AB20,K$28)</f>
        <v>#REF!</v>
      </c>
      <c r="AC36" s="52" t="e" cm="1">
        <f t="array" ref="AC36">MMS_PastureBeef_Soil_N2ODirect_Equations.VEERG_4_2_1_3__7_RelativeSize(AC20,L$28)</f>
        <v>#REF!</v>
      </c>
      <c r="AD36" s="52" t="e" cm="1">
        <f t="array" ref="AD36">MMS_PastureBeef_Soil_N2ODirect_Equations.VEERG_4_2_1_3__7_RelativeSize(AD20,M$28)</f>
        <v>#REF!</v>
      </c>
      <c r="AE36" s="2" t="str">
        <f t="shared" ref="AE36:AE47" si="1">$E$11</f>
        <v>ratio</v>
      </c>
    </row>
    <row r="37" spans="3:31" ht="20.100000000000001" customHeight="1" x14ac:dyDescent="0.25">
      <c r="T37" s="52" t="str">
        <f>TEXT(EDATE('Input - Site'!$E$12,1), "mmmm yyyy")</f>
        <v>February 2024</v>
      </c>
      <c r="U37" s="52" t="e" cm="1">
        <f t="array" ref="U37">MMS_PastureBeef_Soil_N2ODirect_Equations.VEERG_4_2_1_3__7_RelativeSize(U21,D$28)</f>
        <v>#REF!</v>
      </c>
      <c r="V37" s="52" t="e" cm="1">
        <f t="array" ref="V37">MMS_PastureBeef_Soil_N2ODirect_Equations.VEERG_4_2_1_3__7_RelativeSize(V21,E$28)</f>
        <v>#REF!</v>
      </c>
      <c r="W37" s="52" t="e" cm="1">
        <f t="array" ref="W37">MMS_PastureBeef_Soil_N2ODirect_Equations.VEERG_4_2_1_3__7_RelativeSize(W21,F$28)</f>
        <v>#REF!</v>
      </c>
      <c r="X37" s="52" t="e" cm="1">
        <f t="array" ref="X37">MMS_PastureBeef_Soil_N2ODirect_Equations.VEERG_4_2_1_3__7_RelativeSize(X21,G$28)</f>
        <v>#REF!</v>
      </c>
      <c r="Y37" s="52" t="e" cm="1">
        <f t="array" ref="Y37">MMS_PastureBeef_Soil_N2ODirect_Equations.VEERG_4_2_1_3__7_RelativeSize(Y21,H$28)</f>
        <v>#REF!</v>
      </c>
      <c r="Z37" s="52" t="e" cm="1">
        <f t="array" ref="Z37">MMS_PastureBeef_Soil_N2ODirect_Equations.VEERG_4_2_1_3__7_RelativeSize(Z21,I$28)</f>
        <v>#REF!</v>
      </c>
      <c r="AA37" s="52" t="e" cm="1">
        <f t="array" ref="AA37">MMS_PastureBeef_Soil_N2ODirect_Equations.VEERG_4_2_1_3__7_RelativeSize(AA21,J$28)</f>
        <v>#REF!</v>
      </c>
      <c r="AB37" s="52" t="e" cm="1">
        <f t="array" ref="AB37">MMS_PastureBeef_Soil_N2ODirect_Equations.VEERG_4_2_1_3__7_RelativeSize(AB21,K$28)</f>
        <v>#REF!</v>
      </c>
      <c r="AC37" s="52" t="e" cm="1">
        <f t="array" ref="AC37">MMS_PastureBeef_Soil_N2ODirect_Equations.VEERG_4_2_1_3__7_RelativeSize(AC21,L$28)</f>
        <v>#REF!</v>
      </c>
      <c r="AD37" s="52" t="e" cm="1">
        <f t="array" ref="AD37">MMS_PastureBeef_Soil_N2ODirect_Equations.VEERG_4_2_1_3__7_RelativeSize(AD21,M$28)</f>
        <v>#REF!</v>
      </c>
      <c r="AE37" s="2" t="str">
        <f t="shared" si="1"/>
        <v>ratio</v>
      </c>
    </row>
    <row r="38" spans="3:31" ht="20.100000000000001" customHeight="1" x14ac:dyDescent="0.25">
      <c r="T38" s="52" t="str">
        <f>TEXT(EDATE('Input - Site'!$E$12,2), "mmmm yyyy")</f>
        <v>March 2024</v>
      </c>
      <c r="U38" s="52" t="e" cm="1">
        <f t="array" ref="U38">MMS_PastureBeef_Soil_N2ODirect_Equations.VEERG_4_2_1_3__7_RelativeSize(U22,D$28)</f>
        <v>#REF!</v>
      </c>
      <c r="V38" s="52" t="e" cm="1">
        <f t="array" ref="V38">MMS_PastureBeef_Soil_N2ODirect_Equations.VEERG_4_2_1_3__7_RelativeSize(V22,E$28)</f>
        <v>#REF!</v>
      </c>
      <c r="W38" s="52" t="e" cm="1">
        <f t="array" ref="W38">MMS_PastureBeef_Soil_N2ODirect_Equations.VEERG_4_2_1_3__7_RelativeSize(W22,F$28)</f>
        <v>#REF!</v>
      </c>
      <c r="X38" s="52" t="e" cm="1">
        <f t="array" ref="X38">MMS_PastureBeef_Soil_N2ODirect_Equations.VEERG_4_2_1_3__7_RelativeSize(X22,G$28)</f>
        <v>#REF!</v>
      </c>
      <c r="Y38" s="52" t="e" cm="1">
        <f t="array" ref="Y38">MMS_PastureBeef_Soil_N2ODirect_Equations.VEERG_4_2_1_3__7_RelativeSize(Y22,H$28)</f>
        <v>#REF!</v>
      </c>
      <c r="Z38" s="52" t="e" cm="1">
        <f t="array" ref="Z38">MMS_PastureBeef_Soil_N2ODirect_Equations.VEERG_4_2_1_3__7_RelativeSize(Z22,I$28)</f>
        <v>#REF!</v>
      </c>
      <c r="AA38" s="52" t="e" cm="1">
        <f t="array" ref="AA38">MMS_PastureBeef_Soil_N2ODirect_Equations.VEERG_4_2_1_3__7_RelativeSize(AA22,J$28)</f>
        <v>#REF!</v>
      </c>
      <c r="AB38" s="52" t="e" cm="1">
        <f t="array" ref="AB38">MMS_PastureBeef_Soil_N2ODirect_Equations.VEERG_4_2_1_3__7_RelativeSize(AB22,K$28)</f>
        <v>#REF!</v>
      </c>
      <c r="AC38" s="52" t="e" cm="1">
        <f t="array" ref="AC38">MMS_PastureBeef_Soil_N2ODirect_Equations.VEERG_4_2_1_3__7_RelativeSize(AC22,L$28)</f>
        <v>#REF!</v>
      </c>
      <c r="AD38" s="52" t="e" cm="1">
        <f t="array" ref="AD38">MMS_PastureBeef_Soil_N2ODirect_Equations.VEERG_4_2_1_3__7_RelativeSize(AD22,M$28)</f>
        <v>#REF!</v>
      </c>
      <c r="AE38" s="2" t="str">
        <f t="shared" si="1"/>
        <v>ratio</v>
      </c>
    </row>
    <row r="39" spans="3:31" ht="20.100000000000001" customHeight="1" x14ac:dyDescent="0.25"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T39" s="52" t="str">
        <f>TEXT(EDATE('Input - Site'!$E$12,3), "mmmm yyyy")</f>
        <v>April 2024</v>
      </c>
      <c r="U39" s="52" t="e" cm="1">
        <f t="array" ref="U39">MMS_PastureBeef_Soil_N2ODirect_Equations.VEERG_4_2_1_3__7_RelativeSize(U23,D$28)</f>
        <v>#REF!</v>
      </c>
      <c r="V39" s="52" t="e" cm="1">
        <f t="array" ref="V39">MMS_PastureBeef_Soil_N2ODirect_Equations.VEERG_4_2_1_3__7_RelativeSize(V23,E$28)</f>
        <v>#REF!</v>
      </c>
      <c r="W39" s="52" t="e" cm="1">
        <f t="array" ref="W39">MMS_PastureBeef_Soil_N2ODirect_Equations.VEERG_4_2_1_3__7_RelativeSize(W23,F$28)</f>
        <v>#REF!</v>
      </c>
      <c r="X39" s="52" t="e" cm="1">
        <f t="array" ref="X39">MMS_PastureBeef_Soil_N2ODirect_Equations.VEERG_4_2_1_3__7_RelativeSize(X23,G$28)</f>
        <v>#REF!</v>
      </c>
      <c r="Y39" s="52" t="e" cm="1">
        <f t="array" ref="Y39">MMS_PastureBeef_Soil_N2ODirect_Equations.VEERG_4_2_1_3__7_RelativeSize(Y23,H$28)</f>
        <v>#REF!</v>
      </c>
      <c r="Z39" s="52" t="e" cm="1">
        <f t="array" ref="Z39">MMS_PastureBeef_Soil_N2ODirect_Equations.VEERG_4_2_1_3__7_RelativeSize(Z23,I$28)</f>
        <v>#REF!</v>
      </c>
      <c r="AA39" s="52" t="e" cm="1">
        <f t="array" ref="AA39">MMS_PastureBeef_Soil_N2ODirect_Equations.VEERG_4_2_1_3__7_RelativeSize(AA23,J$28)</f>
        <v>#REF!</v>
      </c>
      <c r="AB39" s="52" t="e" cm="1">
        <f t="array" ref="AB39">MMS_PastureBeef_Soil_N2ODirect_Equations.VEERG_4_2_1_3__7_RelativeSize(AB23,K$28)</f>
        <v>#REF!</v>
      </c>
      <c r="AC39" s="52" t="e" cm="1">
        <f t="array" ref="AC39">MMS_PastureBeef_Soil_N2ODirect_Equations.VEERG_4_2_1_3__7_RelativeSize(AC23,L$28)</f>
        <v>#REF!</v>
      </c>
      <c r="AD39" s="52" t="e" cm="1">
        <f t="array" ref="AD39">MMS_PastureBeef_Soil_N2ODirect_Equations.VEERG_4_2_1_3__7_RelativeSize(AD23,M$28)</f>
        <v>#REF!</v>
      </c>
      <c r="AE39" s="2" t="str">
        <f t="shared" si="1"/>
        <v>ratio</v>
      </c>
    </row>
    <row r="40" spans="3:31" ht="20.100000000000001" customHeight="1" x14ac:dyDescent="0.25">
      <c r="D40" s="6" t="str" cm="1">
        <f t="array" ref="D40">MMS_PastureBeef_Soil_N2ODirect_Equations.VEERG_4_2_1_3__6_IntakeRelativeToMaintenance_Title()</f>
        <v>Intake relative to that needed for maintenance</v>
      </c>
      <c r="T40" s="52" t="str">
        <f>TEXT(EDATE('Input - Site'!$E$12,4), "mmmm yyyy")</f>
        <v>May 2024</v>
      </c>
      <c r="U40" s="52" t="e" cm="1">
        <f t="array" ref="U40">MMS_PastureBeef_Soil_N2ODirect_Equations.VEERG_4_2_1_3__7_RelativeSize(U24,D$28)</f>
        <v>#REF!</v>
      </c>
      <c r="V40" s="52" t="e" cm="1">
        <f t="array" ref="V40">MMS_PastureBeef_Soil_N2ODirect_Equations.VEERG_4_2_1_3__7_RelativeSize(V24,E$28)</f>
        <v>#REF!</v>
      </c>
      <c r="W40" s="52" t="e" cm="1">
        <f t="array" ref="W40">MMS_PastureBeef_Soil_N2ODirect_Equations.VEERG_4_2_1_3__7_RelativeSize(W24,F$28)</f>
        <v>#REF!</v>
      </c>
      <c r="X40" s="52" t="e" cm="1">
        <f t="array" ref="X40">MMS_PastureBeef_Soil_N2ODirect_Equations.VEERG_4_2_1_3__7_RelativeSize(X24,G$28)</f>
        <v>#REF!</v>
      </c>
      <c r="Y40" s="52" t="e" cm="1">
        <f t="array" ref="Y40">MMS_PastureBeef_Soil_N2ODirect_Equations.VEERG_4_2_1_3__7_RelativeSize(Y24,H$28)</f>
        <v>#REF!</v>
      </c>
      <c r="Z40" s="52" t="e" cm="1">
        <f t="array" ref="Z40">MMS_PastureBeef_Soil_N2ODirect_Equations.VEERG_4_2_1_3__7_RelativeSize(Z24,I$28)</f>
        <v>#REF!</v>
      </c>
      <c r="AA40" s="52" t="e" cm="1">
        <f t="array" ref="AA40">MMS_PastureBeef_Soil_N2ODirect_Equations.VEERG_4_2_1_3__7_RelativeSize(AA24,J$28)</f>
        <v>#REF!</v>
      </c>
      <c r="AB40" s="52" t="e" cm="1">
        <f t="array" ref="AB40">MMS_PastureBeef_Soil_N2ODirect_Equations.VEERG_4_2_1_3__7_RelativeSize(AB24,K$28)</f>
        <v>#REF!</v>
      </c>
      <c r="AC40" s="52" t="e" cm="1">
        <f t="array" ref="AC40">MMS_PastureBeef_Soil_N2ODirect_Equations.VEERG_4_2_1_3__7_RelativeSize(AC24,L$28)</f>
        <v>#REF!</v>
      </c>
      <c r="AD40" s="52" t="e" cm="1">
        <f t="array" ref="AD40">MMS_PastureBeef_Soil_N2ODirect_Equations.VEERG_4_2_1_3__7_RelativeSize(AD24,M$28)</f>
        <v>#REF!</v>
      </c>
      <c r="AE40" s="2" t="str">
        <f t="shared" si="1"/>
        <v>ratio</v>
      </c>
    </row>
    <row r="41" spans="3:31" ht="20.100000000000001" customHeight="1" x14ac:dyDescent="0.25">
      <c r="D41" s="5" t="str" cm="1">
        <f t="array" ref="D41">MMS_PastureBeef_Soil_N2ODirect_Equations.VEERG_4_2_1_3__6_IntakeRelativeToMaintenance_Source()</f>
        <v>VEERG 2026: 4.2.1.3, Equation (6)</v>
      </c>
      <c r="T41" s="52" t="str">
        <f>TEXT(EDATE('Input - Site'!$E$12,5), "mmmm yyyy")</f>
        <v>June 2024</v>
      </c>
      <c r="U41" s="52" t="e" cm="1">
        <f t="array" ref="U41">MMS_PastureBeef_Soil_N2ODirect_Equations.VEERG_4_2_1_3__7_RelativeSize(U25,D$28)</f>
        <v>#REF!</v>
      </c>
      <c r="V41" s="52" t="e" cm="1">
        <f t="array" ref="V41">MMS_PastureBeef_Soil_N2ODirect_Equations.VEERG_4_2_1_3__7_RelativeSize(V25,E$28)</f>
        <v>#REF!</v>
      </c>
      <c r="W41" s="52" t="e" cm="1">
        <f t="array" ref="W41">MMS_PastureBeef_Soil_N2ODirect_Equations.VEERG_4_2_1_3__7_RelativeSize(W25,F$28)</f>
        <v>#REF!</v>
      </c>
      <c r="X41" s="52" t="e" cm="1">
        <f t="array" ref="X41">MMS_PastureBeef_Soil_N2ODirect_Equations.VEERG_4_2_1_3__7_RelativeSize(X25,G$28)</f>
        <v>#REF!</v>
      </c>
      <c r="Y41" s="52" t="e" cm="1">
        <f t="array" ref="Y41">MMS_PastureBeef_Soil_N2ODirect_Equations.VEERG_4_2_1_3__7_RelativeSize(Y25,H$28)</f>
        <v>#REF!</v>
      </c>
      <c r="Z41" s="52" t="e" cm="1">
        <f t="array" ref="Z41">MMS_PastureBeef_Soil_N2ODirect_Equations.VEERG_4_2_1_3__7_RelativeSize(Z25,I$28)</f>
        <v>#REF!</v>
      </c>
      <c r="AA41" s="52" t="e" cm="1">
        <f t="array" ref="AA41">MMS_PastureBeef_Soil_N2ODirect_Equations.VEERG_4_2_1_3__7_RelativeSize(AA25,J$28)</f>
        <v>#REF!</v>
      </c>
      <c r="AB41" s="52" t="e" cm="1">
        <f t="array" ref="AB41">MMS_PastureBeef_Soil_N2ODirect_Equations.VEERG_4_2_1_3__7_RelativeSize(AB25,K$28)</f>
        <v>#REF!</v>
      </c>
      <c r="AC41" s="52" t="e" cm="1">
        <f t="array" ref="AC41">MMS_PastureBeef_Soil_N2ODirect_Equations.VEERG_4_2_1_3__7_RelativeSize(AC25,L$28)</f>
        <v>#REF!</v>
      </c>
      <c r="AD41" s="52" t="e" cm="1">
        <f t="array" ref="AD41">MMS_PastureBeef_Soil_N2ODirect_Equations.VEERG_4_2_1_3__7_RelativeSize(AD25,M$28)</f>
        <v>#REF!</v>
      </c>
      <c r="AE41" s="2" t="str">
        <f t="shared" si="1"/>
        <v>ratio</v>
      </c>
    </row>
    <row r="42" spans="3:31" ht="20.100000000000001" customHeight="1" x14ac:dyDescent="0.25">
      <c r="D42" s="13" t="s">
        <v>26</v>
      </c>
      <c r="E42" s="13" t="str" cm="1">
        <f t="array" aca="1" ref="E42" ca="1">Common_InputFunctions.Utility_DisplayFunctionName(E62)</f>
        <v>=MMS_PastureBeef_Soil_N2ODirect_Equations.VEERG_4_2_1_3__6_IntakeRelativeToMaintenance</v>
      </c>
      <c r="T42" s="52" t="str">
        <f>TEXT(EDATE('Input - Site'!$E$12,6), "mmmm yyyy")</f>
        <v>July 2024</v>
      </c>
      <c r="U42" s="52" t="e" cm="1">
        <f t="array" ref="U42">MMS_PastureBeef_Soil_N2ODirect_Equations.VEERG_4_2_1_3__7_RelativeSize(U26,D$28)</f>
        <v>#REF!</v>
      </c>
      <c r="V42" s="52" t="e" cm="1">
        <f t="array" ref="V42">MMS_PastureBeef_Soil_N2ODirect_Equations.VEERG_4_2_1_3__7_RelativeSize(V26,E$28)</f>
        <v>#REF!</v>
      </c>
      <c r="W42" s="52" t="e" cm="1">
        <f t="array" ref="W42">MMS_PastureBeef_Soil_N2ODirect_Equations.VEERG_4_2_1_3__7_RelativeSize(W26,F$28)</f>
        <v>#REF!</v>
      </c>
      <c r="X42" s="52" t="e" cm="1">
        <f t="array" ref="X42">MMS_PastureBeef_Soil_N2ODirect_Equations.VEERG_4_2_1_3__7_RelativeSize(X26,G$28)</f>
        <v>#REF!</v>
      </c>
      <c r="Y42" s="52" t="e" cm="1">
        <f t="array" ref="Y42">MMS_PastureBeef_Soil_N2ODirect_Equations.VEERG_4_2_1_3__7_RelativeSize(Y26,H$28)</f>
        <v>#REF!</v>
      </c>
      <c r="Z42" s="52" t="e" cm="1">
        <f t="array" ref="Z42">MMS_PastureBeef_Soil_N2ODirect_Equations.VEERG_4_2_1_3__7_RelativeSize(Z26,I$28)</f>
        <v>#REF!</v>
      </c>
      <c r="AA42" s="52" t="e" cm="1">
        <f t="array" ref="AA42">MMS_PastureBeef_Soil_N2ODirect_Equations.VEERG_4_2_1_3__7_RelativeSize(AA26,J$28)</f>
        <v>#REF!</v>
      </c>
      <c r="AB42" s="52" t="e" cm="1">
        <f t="array" ref="AB42">MMS_PastureBeef_Soil_N2ODirect_Equations.VEERG_4_2_1_3__7_RelativeSize(AB26,K$28)</f>
        <v>#REF!</v>
      </c>
      <c r="AC42" s="52" t="e" cm="1">
        <f t="array" ref="AC42">MMS_PastureBeef_Soil_N2ODirect_Equations.VEERG_4_2_1_3__7_RelativeSize(AC26,L$28)</f>
        <v>#REF!</v>
      </c>
      <c r="AD42" s="52" t="e" cm="1">
        <f t="array" ref="AD42">MMS_PastureBeef_Soil_N2ODirect_Equations.VEERG_4_2_1_3__7_RelativeSize(AD26,M$28)</f>
        <v>#REF!</v>
      </c>
      <c r="AE42" s="2" t="str">
        <f t="shared" si="1"/>
        <v>ratio</v>
      </c>
    </row>
    <row r="43" spans="3:31" ht="20.100000000000001" customHeight="1" x14ac:dyDescent="0.25">
      <c r="T43" s="52" t="str">
        <f>TEXT(EDATE('Input - Site'!$E$12,7), "mmmm yyyy")</f>
        <v>August 2024</v>
      </c>
      <c r="U43" s="52" t="e" cm="1">
        <f t="array" ref="U43">MMS_PastureBeef_Soil_N2ODirect_Equations.VEERG_4_2_1_3__7_RelativeSize(U27,D$28)</f>
        <v>#REF!</v>
      </c>
      <c r="V43" s="52" t="e" cm="1">
        <f t="array" ref="V43">MMS_PastureBeef_Soil_N2ODirect_Equations.VEERG_4_2_1_3__7_RelativeSize(V27,E$28)</f>
        <v>#REF!</v>
      </c>
      <c r="W43" s="52" t="e" cm="1">
        <f t="array" ref="W43">MMS_PastureBeef_Soil_N2ODirect_Equations.VEERG_4_2_1_3__7_RelativeSize(W27,F$28)</f>
        <v>#REF!</v>
      </c>
      <c r="X43" s="52" t="e" cm="1">
        <f t="array" ref="X43">MMS_PastureBeef_Soil_N2ODirect_Equations.VEERG_4_2_1_3__7_RelativeSize(X27,G$28)</f>
        <v>#REF!</v>
      </c>
      <c r="Y43" s="52" t="e" cm="1">
        <f t="array" ref="Y43">MMS_PastureBeef_Soil_N2ODirect_Equations.VEERG_4_2_1_3__7_RelativeSize(Y27,H$28)</f>
        <v>#REF!</v>
      </c>
      <c r="Z43" s="52" t="e" cm="1">
        <f t="array" ref="Z43">MMS_PastureBeef_Soil_N2ODirect_Equations.VEERG_4_2_1_3__7_RelativeSize(Z27,I$28)</f>
        <v>#REF!</v>
      </c>
      <c r="AA43" s="52" t="e" cm="1">
        <f t="array" ref="AA43">MMS_PastureBeef_Soil_N2ODirect_Equations.VEERG_4_2_1_3__7_RelativeSize(AA27,J$28)</f>
        <v>#REF!</v>
      </c>
      <c r="AB43" s="52" t="e" cm="1">
        <f t="array" ref="AB43">MMS_PastureBeef_Soil_N2ODirect_Equations.VEERG_4_2_1_3__7_RelativeSize(AB27,K$28)</f>
        <v>#REF!</v>
      </c>
      <c r="AC43" s="52" t="e" cm="1">
        <f t="array" ref="AC43">MMS_PastureBeef_Soil_N2ODirect_Equations.VEERG_4_2_1_3__7_RelativeSize(AC27,L$28)</f>
        <v>#REF!</v>
      </c>
      <c r="AD43" s="52" t="e" cm="1">
        <f t="array" ref="AD43">MMS_PastureBeef_Soil_N2ODirect_Equations.VEERG_4_2_1_3__7_RelativeSize(AD27,M$28)</f>
        <v>#REF!</v>
      </c>
      <c r="AE43" s="2" t="str">
        <f t="shared" si="1"/>
        <v>ratio</v>
      </c>
    </row>
    <row r="44" spans="3:31" ht="20.100000000000001" customHeight="1" x14ac:dyDescent="0.25">
      <c r="T44" s="52" t="str">
        <f>TEXT(EDATE('Input - Site'!$E$12,8), "mmmm yyyy")</f>
        <v>September 2024</v>
      </c>
      <c r="U44" s="52" t="e" cm="1">
        <f t="array" ref="U44">MMS_PastureBeef_Soil_N2ODirect_Equations.VEERG_4_2_1_3__7_RelativeSize(U28,D$28)</f>
        <v>#REF!</v>
      </c>
      <c r="V44" s="52" t="e" cm="1">
        <f t="array" ref="V44">MMS_PastureBeef_Soil_N2ODirect_Equations.VEERG_4_2_1_3__7_RelativeSize(V28,E$28)</f>
        <v>#REF!</v>
      </c>
      <c r="W44" s="52" t="e" cm="1">
        <f t="array" ref="W44">MMS_PastureBeef_Soil_N2ODirect_Equations.VEERG_4_2_1_3__7_RelativeSize(W28,F$28)</f>
        <v>#REF!</v>
      </c>
      <c r="X44" s="52" t="e" cm="1">
        <f t="array" ref="X44">MMS_PastureBeef_Soil_N2ODirect_Equations.VEERG_4_2_1_3__7_RelativeSize(X28,G$28)</f>
        <v>#REF!</v>
      </c>
      <c r="Y44" s="52" t="e" cm="1">
        <f t="array" ref="Y44">MMS_PastureBeef_Soil_N2ODirect_Equations.VEERG_4_2_1_3__7_RelativeSize(Y28,H$28)</f>
        <v>#REF!</v>
      </c>
      <c r="Z44" s="52" t="e" cm="1">
        <f t="array" ref="Z44">MMS_PastureBeef_Soil_N2ODirect_Equations.VEERG_4_2_1_3__7_RelativeSize(Z28,I$28)</f>
        <v>#REF!</v>
      </c>
      <c r="AA44" s="52" t="e" cm="1">
        <f t="array" ref="AA44">MMS_PastureBeef_Soil_N2ODirect_Equations.VEERG_4_2_1_3__7_RelativeSize(AA28,J$28)</f>
        <v>#REF!</v>
      </c>
      <c r="AB44" s="52" t="e" cm="1">
        <f t="array" ref="AB44">MMS_PastureBeef_Soil_N2ODirect_Equations.VEERG_4_2_1_3__7_RelativeSize(AB28,K$28)</f>
        <v>#REF!</v>
      </c>
      <c r="AC44" s="52" t="e" cm="1">
        <f t="array" ref="AC44">MMS_PastureBeef_Soil_N2ODirect_Equations.VEERG_4_2_1_3__7_RelativeSize(AC28,L$28)</f>
        <v>#REF!</v>
      </c>
      <c r="AD44" s="52" t="e" cm="1">
        <f t="array" ref="AD44">MMS_PastureBeef_Soil_N2ODirect_Equations.VEERG_4_2_1_3__7_RelativeSize(AD28,M$28)</f>
        <v>#REF!</v>
      </c>
      <c r="AE44" s="2" t="str">
        <f t="shared" si="1"/>
        <v>ratio</v>
      </c>
    </row>
    <row r="45" spans="3:31" ht="20.100000000000001" customHeight="1" x14ac:dyDescent="0.25">
      <c r="D45" s="53" t="s">
        <v>29</v>
      </c>
      <c r="E45" s="1" t="str" cm="1">
        <f t="array" ref="E45">MMS_PastureBeef_Soil_N2ODirect_Equations.VEERG_4_2_1_3__6_IntakeRelativeToMaintenance_Variable()</f>
        <v>L_jkl</v>
      </c>
      <c r="T45" s="52" t="str">
        <f>TEXT(EDATE('Input - Site'!$E$12,9), "mmmm yyyy")</f>
        <v>October 2024</v>
      </c>
      <c r="U45" s="52" t="e" cm="1">
        <f t="array" ref="U45">MMS_PastureBeef_Soil_N2ODirect_Equations.VEERG_4_2_1_3__7_RelativeSize(U29,D$28)</f>
        <v>#REF!</v>
      </c>
      <c r="V45" s="52" t="e" cm="1">
        <f t="array" ref="V45">MMS_PastureBeef_Soil_N2ODirect_Equations.VEERG_4_2_1_3__7_RelativeSize(V29,E$28)</f>
        <v>#REF!</v>
      </c>
      <c r="W45" s="52" t="e" cm="1">
        <f t="array" ref="W45">MMS_PastureBeef_Soil_N2ODirect_Equations.VEERG_4_2_1_3__7_RelativeSize(W29,F$28)</f>
        <v>#REF!</v>
      </c>
      <c r="X45" s="52" t="e" cm="1">
        <f t="array" ref="X45">MMS_PastureBeef_Soil_N2ODirect_Equations.VEERG_4_2_1_3__7_RelativeSize(X29,G$28)</f>
        <v>#REF!</v>
      </c>
      <c r="Y45" s="52" t="e" cm="1">
        <f t="array" ref="Y45">MMS_PastureBeef_Soil_N2ODirect_Equations.VEERG_4_2_1_3__7_RelativeSize(Y29,H$28)</f>
        <v>#REF!</v>
      </c>
      <c r="Z45" s="52" t="e" cm="1">
        <f t="array" ref="Z45">MMS_PastureBeef_Soil_N2ODirect_Equations.VEERG_4_2_1_3__7_RelativeSize(Z29,I$28)</f>
        <v>#REF!</v>
      </c>
      <c r="AA45" s="52" t="e" cm="1">
        <f t="array" ref="AA45">MMS_PastureBeef_Soil_N2ODirect_Equations.VEERG_4_2_1_3__7_RelativeSize(AA29,J$28)</f>
        <v>#REF!</v>
      </c>
      <c r="AB45" s="52" t="e" cm="1">
        <f t="array" ref="AB45">MMS_PastureBeef_Soil_N2ODirect_Equations.VEERG_4_2_1_3__7_RelativeSize(AB29,K$28)</f>
        <v>#REF!</v>
      </c>
      <c r="AC45" s="52" t="e" cm="1">
        <f t="array" ref="AC45">MMS_PastureBeef_Soil_N2ODirect_Equations.VEERG_4_2_1_3__7_RelativeSize(AC29,L$28)</f>
        <v>#REF!</v>
      </c>
      <c r="AD45" s="52" t="e" cm="1">
        <f t="array" ref="AD45">MMS_PastureBeef_Soil_N2ODirect_Equations.VEERG_4_2_1_3__7_RelativeSize(AD29,M$28)</f>
        <v>#REF!</v>
      </c>
      <c r="AE45" s="2" t="str">
        <f t="shared" si="1"/>
        <v>ratio</v>
      </c>
    </row>
    <row r="46" spans="3:31" ht="20.100000000000001" customHeight="1" x14ac:dyDescent="0.25">
      <c r="D46" s="53" t="s">
        <v>19</v>
      </c>
      <c r="E46" s="54" t="str" cm="1">
        <f t="array" ref="E46">MMS_PastureBeef_Soil_N2ODirect_Equations.VEERG_4_2_1_3__6_IntakeRelativeToMaintenance_Unit()</f>
        <v>ratio</v>
      </c>
      <c r="T46" s="52" t="str">
        <f>TEXT(EDATE('Input - Site'!$E$12,10), "mmmm yyyy")</f>
        <v>November 2024</v>
      </c>
      <c r="U46" s="52" t="e" cm="1">
        <f t="array" ref="U46">MMS_PastureBeef_Soil_N2ODirect_Equations.VEERG_4_2_1_3__7_RelativeSize(U30,D$28)</f>
        <v>#REF!</v>
      </c>
      <c r="V46" s="52" t="e" cm="1">
        <f t="array" ref="V46">MMS_PastureBeef_Soil_N2ODirect_Equations.VEERG_4_2_1_3__7_RelativeSize(V30,E$28)</f>
        <v>#REF!</v>
      </c>
      <c r="W46" s="52" t="e" cm="1">
        <f t="array" ref="W46">MMS_PastureBeef_Soil_N2ODirect_Equations.VEERG_4_2_1_3__7_RelativeSize(W30,F$28)</f>
        <v>#REF!</v>
      </c>
      <c r="X46" s="52" t="e" cm="1">
        <f t="array" ref="X46">MMS_PastureBeef_Soil_N2ODirect_Equations.VEERG_4_2_1_3__7_RelativeSize(X30,G$28)</f>
        <v>#REF!</v>
      </c>
      <c r="Y46" s="52" t="e" cm="1">
        <f t="array" ref="Y46">MMS_PastureBeef_Soil_N2ODirect_Equations.VEERG_4_2_1_3__7_RelativeSize(Y30,H$28)</f>
        <v>#REF!</v>
      </c>
      <c r="Z46" s="52" t="e" cm="1">
        <f t="array" ref="Z46">MMS_PastureBeef_Soil_N2ODirect_Equations.VEERG_4_2_1_3__7_RelativeSize(Z30,I$28)</f>
        <v>#REF!</v>
      </c>
      <c r="AA46" s="52" t="e" cm="1">
        <f t="array" ref="AA46">MMS_PastureBeef_Soil_N2ODirect_Equations.VEERG_4_2_1_3__7_RelativeSize(AA30,J$28)</f>
        <v>#REF!</v>
      </c>
      <c r="AB46" s="52" t="e" cm="1">
        <f t="array" ref="AB46">MMS_PastureBeef_Soil_N2ODirect_Equations.VEERG_4_2_1_3__7_RelativeSize(AB30,K$28)</f>
        <v>#REF!</v>
      </c>
      <c r="AC46" s="52" t="e" cm="1">
        <f t="array" ref="AC46">MMS_PastureBeef_Soil_N2ODirect_Equations.VEERG_4_2_1_3__7_RelativeSize(AC30,L$28)</f>
        <v>#REF!</v>
      </c>
      <c r="AD46" s="52" t="e" cm="1">
        <f t="array" ref="AD46">MMS_PastureBeef_Soil_N2ODirect_Equations.VEERG_4_2_1_3__7_RelativeSize(AD30,M$28)</f>
        <v>#REF!</v>
      </c>
      <c r="AE46" s="2" t="str">
        <f t="shared" si="1"/>
        <v>ratio</v>
      </c>
    </row>
    <row r="47" spans="3:31" ht="20.100000000000001" customHeight="1" x14ac:dyDescent="0.25">
      <c r="T47" s="52" t="str">
        <f>TEXT(EDATE('Input - Site'!$E$12,11), "mmmm yyyy")</f>
        <v>December 2024</v>
      </c>
      <c r="U47" s="52" t="e" cm="1">
        <f t="array" ref="U47">MMS_PastureBeef_Soil_N2ODirect_Equations.VEERG_4_2_1_3__7_RelativeSize(U31,D$28)</f>
        <v>#REF!</v>
      </c>
      <c r="V47" s="52" t="e" cm="1">
        <f t="array" ref="V47">MMS_PastureBeef_Soil_N2ODirect_Equations.VEERG_4_2_1_3__7_RelativeSize(V31,E$28)</f>
        <v>#REF!</v>
      </c>
      <c r="W47" s="52" t="e" cm="1">
        <f t="array" ref="W47">MMS_PastureBeef_Soil_N2ODirect_Equations.VEERG_4_2_1_3__7_RelativeSize(W31,F$28)</f>
        <v>#REF!</v>
      </c>
      <c r="X47" s="52" t="e" cm="1">
        <f t="array" ref="X47">MMS_PastureBeef_Soil_N2ODirect_Equations.VEERG_4_2_1_3__7_RelativeSize(X31,G$28)</f>
        <v>#REF!</v>
      </c>
      <c r="Y47" s="52" t="e" cm="1">
        <f t="array" ref="Y47">MMS_PastureBeef_Soil_N2ODirect_Equations.VEERG_4_2_1_3__7_RelativeSize(Y31,H$28)</f>
        <v>#REF!</v>
      </c>
      <c r="Z47" s="52" t="e" cm="1">
        <f t="array" ref="Z47">MMS_PastureBeef_Soil_N2ODirect_Equations.VEERG_4_2_1_3__7_RelativeSize(Z31,I$28)</f>
        <v>#REF!</v>
      </c>
      <c r="AA47" s="52" t="e" cm="1">
        <f t="array" ref="AA47">MMS_PastureBeef_Soil_N2ODirect_Equations.VEERG_4_2_1_3__7_RelativeSize(AA31,J$28)</f>
        <v>#REF!</v>
      </c>
      <c r="AB47" s="52" t="e" cm="1">
        <f t="array" ref="AB47">MMS_PastureBeef_Soil_N2ODirect_Equations.VEERG_4_2_1_3__7_RelativeSize(AB31,K$28)</f>
        <v>#REF!</v>
      </c>
      <c r="AC47" s="52" t="e" cm="1">
        <f t="array" ref="AC47">MMS_PastureBeef_Soil_N2ODirect_Equations.VEERG_4_2_1_3__7_RelativeSize(AC31,L$28)</f>
        <v>#REF!</v>
      </c>
      <c r="AD47" s="52" t="e" cm="1">
        <f t="array" ref="AD47">MMS_PastureBeef_Soil_N2ODirect_Equations.VEERG_4_2_1_3__7_RelativeSize(AD31,M$28)</f>
        <v>#REF!</v>
      </c>
      <c r="AE47" s="2" t="str">
        <f t="shared" si="1"/>
        <v>ratio</v>
      </c>
    </row>
    <row r="48" spans="3:31" ht="20.100000000000001" customHeight="1" x14ac:dyDescent="0.25">
      <c r="D48" s="57" t="str" cm="1">
        <f t="array" ref="D48:E49">MMS_PastureBeef_Soil_N2ODirect_Equations.VEERG_4_2_1_3__6_IntakeRelativeToMaintenance_Arguments()</f>
        <v>I_jkl</v>
      </c>
      <c r="E48" s="58" t="str">
        <v>dry matter intake as calculated in Chapter 3 Section 3.2.1 (kg DM/head/day)</v>
      </c>
      <c r="F48" s="59"/>
      <c r="G48" s="57" t="str">
        <f>"See " &amp; D51</f>
        <v>See M1_Table_I_j_k_l</v>
      </c>
    </row>
    <row r="49" spans="4:32" ht="20.100000000000001" customHeight="1" x14ac:dyDescent="0.25">
      <c r="D49" s="57" t="str">
        <v>W_jkl</v>
      </c>
      <c r="E49" s="58" t="str">
        <v>liveweight (kg/head)</v>
      </c>
      <c r="F49" s="59"/>
      <c r="G49" s="57" t="str">
        <f>"See " &amp; D17</f>
        <v>See M1_Table_W_j_k_l</v>
      </c>
    </row>
    <row r="50" spans="4:32" ht="20.100000000000001" customHeight="1" x14ac:dyDescent="0.25"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</row>
    <row r="51" spans="4:32" ht="20.100000000000001" customHeight="1" x14ac:dyDescent="0.25">
      <c r="D51" s="99" t="s">
        <v>161</v>
      </c>
      <c r="T51" s="6" t="str" cm="1">
        <f t="array" ref="T51">MMS_PastureBeef_Soil_N2ODirect_Equations.VEERG_4_2_1_3__6_IntakeRelativeToMaintenance_Title()</f>
        <v>Intake relative to that needed for maintenance</v>
      </c>
    </row>
    <row r="52" spans="4:32" ht="20.100000000000001" customHeight="1" x14ac:dyDescent="0.25">
      <c r="D52" s="98" t="s">
        <v>125</v>
      </c>
    </row>
    <row r="53" spans="4:32" ht="20.100000000000001" customHeight="1" x14ac:dyDescent="0.25">
      <c r="D53" s="51" t="s">
        <v>155</v>
      </c>
      <c r="E53" s="51" t="s">
        <v>118</v>
      </c>
      <c r="F53" s="51" t="s">
        <v>117</v>
      </c>
      <c r="G53" s="51" t="s">
        <v>143</v>
      </c>
      <c r="H53" s="51" t="s">
        <v>144</v>
      </c>
      <c r="I53" s="51" t="s">
        <v>145</v>
      </c>
      <c r="J53" s="51" t="s">
        <v>146</v>
      </c>
      <c r="K53" s="51" t="s">
        <v>147</v>
      </c>
      <c r="L53" s="51" t="s">
        <v>148</v>
      </c>
      <c r="M53" s="51" t="s">
        <v>149</v>
      </c>
      <c r="N53" s="51" t="s">
        <v>150</v>
      </c>
      <c r="T53" s="99" t="s">
        <v>169</v>
      </c>
    </row>
    <row r="54" spans="4:32" ht="20.100000000000001" customHeight="1" x14ac:dyDescent="0.25">
      <c r="D54" s="52" t="s">
        <v>151</v>
      </c>
      <c r="E54" s="52" t="str">
        <f>'4.5.1.1-2 Methane'!E87</f>
        <v>fraction of volatile solids in each primary system : fraction</v>
      </c>
      <c r="F54" s="52">
        <f>'4.5.1.1-2 Methane'!F87</f>
        <v>0</v>
      </c>
      <c r="G54" s="52" t="str">
        <f>'4.5.1.1-2 Methane'!G87</f>
        <v>See M1_Table_FVS_j_m-1-7-9_T-1 and M1_Table_FVS_j_m-4_T-1</v>
      </c>
      <c r="H54" s="52">
        <f>'4.5.1.1-2 Methane'!H87</f>
        <v>0</v>
      </c>
      <c r="I54" s="52">
        <f>'4.5.1.1-2 Methane'!I87</f>
        <v>0</v>
      </c>
      <c r="J54" s="52">
        <f>'4.5.1.1-2 Methane'!J87</f>
        <v>0</v>
      </c>
      <c r="K54" s="52">
        <f>'4.5.1.1-2 Methane'!K87</f>
        <v>0</v>
      </c>
      <c r="L54" s="52">
        <f>'4.5.1.1-2 Methane'!L87</f>
        <v>0</v>
      </c>
      <c r="M54" s="52">
        <f>'4.5.1.1-2 Methane'!M87</f>
        <v>0</v>
      </c>
      <c r="N54" s="52">
        <f>'4.5.1.1-2 Methane'!N87</f>
        <v>0</v>
      </c>
      <c r="O54" s="2">
        <f>'4.5.1.1-2 Methane'!O87</f>
        <v>0</v>
      </c>
      <c r="T54" s="98" t="s">
        <v>124</v>
      </c>
    </row>
    <row r="55" spans="4:32" ht="20.100000000000001" customHeight="1" x14ac:dyDescent="0.25">
      <c r="D55" s="52" t="s">
        <v>152</v>
      </c>
      <c r="E55" s="52" t="str">
        <f>'4.5.1.1-2 Methane'!E88</f>
        <v>fraction of volatile solids lost during storage in the primary system : fraction</v>
      </c>
      <c r="F55" s="52">
        <f>'4.5.1.1-2 Methane'!F88</f>
        <v>0</v>
      </c>
      <c r="G55" s="52" t="str">
        <f>'4.5.1.1-2 Methane'!G88</f>
        <v>See Table_VSL_m_T-1</v>
      </c>
      <c r="H55" s="52">
        <f>'4.5.1.1-2 Methane'!H88</f>
        <v>0</v>
      </c>
      <c r="I55" s="52">
        <f>'4.5.1.1-2 Methane'!I88</f>
        <v>0</v>
      </c>
      <c r="J55" s="52">
        <f>'4.5.1.1-2 Methane'!J88</f>
        <v>0</v>
      </c>
      <c r="K55" s="52">
        <f>'4.5.1.1-2 Methane'!K88</f>
        <v>0</v>
      </c>
      <c r="L55" s="52">
        <f>'4.5.1.1-2 Methane'!L88</f>
        <v>0</v>
      </c>
      <c r="M55" s="52">
        <f>'4.5.1.1-2 Methane'!M88</f>
        <v>0</v>
      </c>
      <c r="N55" s="52">
        <f>'4.5.1.1-2 Methane'!N88</f>
        <v>0</v>
      </c>
      <c r="O55" s="2">
        <f>'4.5.1.1-2 Methane'!O88</f>
        <v>0</v>
      </c>
      <c r="T55" s="51" t="s">
        <v>119</v>
      </c>
      <c r="U55" s="51" t="s">
        <v>118</v>
      </c>
      <c r="V55" s="51" t="s">
        <v>117</v>
      </c>
      <c r="W55" s="51" t="s">
        <v>143</v>
      </c>
      <c r="X55" s="51" t="s">
        <v>144</v>
      </c>
      <c r="Y55" s="51" t="s">
        <v>145</v>
      </c>
      <c r="Z55" s="51" t="s">
        <v>146</v>
      </c>
      <c r="AA55" s="51" t="s">
        <v>147</v>
      </c>
      <c r="AB55" s="51" t="s">
        <v>148</v>
      </c>
      <c r="AC55" s="51" t="s">
        <v>149</v>
      </c>
      <c r="AD55" s="51" t="s">
        <v>150</v>
      </c>
    </row>
    <row r="56" spans="4:32" ht="20.100000000000001" customHeight="1" x14ac:dyDescent="0.25">
      <c r="D56" s="52" t="s">
        <v>153</v>
      </c>
      <c r="E56" s="52">
        <f>'4.5.1.1-2 Methane'!E89</f>
        <v>0</v>
      </c>
      <c r="F56" s="52">
        <f>'4.5.1.1-2 Methane'!F89</f>
        <v>0</v>
      </c>
      <c r="G56" s="52">
        <f>'4.5.1.1-2 Methane'!G89</f>
        <v>0</v>
      </c>
      <c r="H56" s="52">
        <f>'4.5.1.1-2 Methane'!H89</f>
        <v>0</v>
      </c>
      <c r="I56" s="52">
        <f>'4.5.1.1-2 Methane'!I89</f>
        <v>0</v>
      </c>
      <c r="J56" s="52">
        <f>'4.5.1.1-2 Methane'!J89</f>
        <v>0</v>
      </c>
      <c r="K56" s="52">
        <f>'4.5.1.1-2 Methane'!K89</f>
        <v>0</v>
      </c>
      <c r="L56" s="52">
        <f>'4.5.1.1-2 Methane'!L89</f>
        <v>0</v>
      </c>
      <c r="M56" s="52">
        <f>'4.5.1.1-2 Methane'!M89</f>
        <v>0</v>
      </c>
      <c r="N56" s="52">
        <f>'4.5.1.1-2 Methane'!N89</f>
        <v>0</v>
      </c>
      <c r="O56" s="2">
        <f>'4.5.1.1-2 Methane'!O89</f>
        <v>0</v>
      </c>
      <c r="T56" s="52" t="str">
        <f>TEXT('Input - Site'!$E$12, "mmmm yyyy")</f>
        <v>January 2024</v>
      </c>
      <c r="U56" s="52">
        <f>'4.5.1.1-2 Methane'!U84</f>
        <v>0</v>
      </c>
      <c r="V56" s="52">
        <f>'4.5.1.1-2 Methane'!V84</f>
        <v>0</v>
      </c>
      <c r="W56" s="52">
        <f>'4.5.1.1-2 Methane'!W84</f>
        <v>0</v>
      </c>
      <c r="X56" s="52">
        <f>'4.5.1.1-2 Methane'!X84</f>
        <v>0</v>
      </c>
      <c r="Y56" s="52">
        <f>'4.5.1.1-2 Methane'!Y84</f>
        <v>0</v>
      </c>
      <c r="Z56" s="52">
        <f>'4.5.1.1-2 Methane'!Z84</f>
        <v>0</v>
      </c>
      <c r="AA56" s="52">
        <f>'4.5.1.1-2 Methane'!AA84</f>
        <v>0</v>
      </c>
      <c r="AB56" s="52">
        <f>'4.5.1.1-2 Methane'!AB84</f>
        <v>0</v>
      </c>
      <c r="AC56" s="52">
        <f>'4.5.1.1-2 Methane'!AC84</f>
        <v>0</v>
      </c>
      <c r="AD56" s="52">
        <f>'4.5.1.1-2 Methane'!AD84</f>
        <v>0</v>
      </c>
      <c r="AE56" s="2">
        <f>'4.5.1.1-2 Methane'!AE84</f>
        <v>0</v>
      </c>
    </row>
    <row r="57" spans="4:32" ht="20.100000000000001" customHeight="1" x14ac:dyDescent="0.25">
      <c r="D57" s="52" t="s">
        <v>154</v>
      </c>
      <c r="E57" s="52">
        <f>'4.5.1.1-2 Methane'!E90</f>
        <v>0</v>
      </c>
      <c r="F57" s="52">
        <f>'4.5.1.1-2 Methane'!F90</f>
        <v>0</v>
      </c>
      <c r="G57" s="52">
        <f>'4.5.1.1-2 Methane'!G90</f>
        <v>0</v>
      </c>
      <c r="H57" s="52">
        <f>'4.5.1.1-2 Methane'!H90</f>
        <v>0</v>
      </c>
      <c r="I57" s="52">
        <f>'4.5.1.1-2 Methane'!I90</f>
        <v>0</v>
      </c>
      <c r="J57" s="52">
        <f>'4.5.1.1-2 Methane'!J90</f>
        <v>0</v>
      </c>
      <c r="K57" s="52">
        <f>'4.5.1.1-2 Methane'!K90</f>
        <v>0</v>
      </c>
      <c r="L57" s="52">
        <f>'4.5.1.1-2 Methane'!L90</f>
        <v>0</v>
      </c>
      <c r="M57" s="52">
        <f>'4.5.1.1-2 Methane'!M90</f>
        <v>0</v>
      </c>
      <c r="N57" s="52">
        <f>'4.5.1.1-2 Methane'!N90</f>
        <v>0</v>
      </c>
      <c r="O57" s="2">
        <f>'4.5.1.1-2 Methane'!O90</f>
        <v>0</v>
      </c>
      <c r="T57" s="52" t="str">
        <f>TEXT(EDATE('Input - Site'!$E$12,1), "mmmm yyyy")</f>
        <v>February 2024</v>
      </c>
      <c r="U57" s="52">
        <f>'4.5.1.1-2 Methane'!U85</f>
        <v>0</v>
      </c>
      <c r="V57" s="52">
        <f>'4.5.1.1-2 Methane'!V85</f>
        <v>0</v>
      </c>
      <c r="W57" s="52">
        <f>'4.5.1.1-2 Methane'!W85</f>
        <v>0</v>
      </c>
      <c r="X57" s="52">
        <f>'4.5.1.1-2 Methane'!X85</f>
        <v>0</v>
      </c>
      <c r="Y57" s="52">
        <f>'4.5.1.1-2 Methane'!Y85</f>
        <v>0</v>
      </c>
      <c r="Z57" s="52">
        <f>'4.5.1.1-2 Methane'!Z85</f>
        <v>0</v>
      </c>
      <c r="AA57" s="52">
        <f>'4.5.1.1-2 Methane'!AA85</f>
        <v>0</v>
      </c>
      <c r="AB57" s="52">
        <f>'4.5.1.1-2 Methane'!AB85</f>
        <v>0</v>
      </c>
      <c r="AC57" s="52">
        <f>'4.5.1.1-2 Methane'!AC85</f>
        <v>0</v>
      </c>
      <c r="AD57" s="52">
        <f>'4.5.1.1-2 Methane'!AD85</f>
        <v>0</v>
      </c>
      <c r="AE57" s="2">
        <f>'4.5.1.1-2 Methane'!AE85</f>
        <v>0</v>
      </c>
    </row>
    <row r="58" spans="4:32" ht="20.100000000000001" customHeight="1" x14ac:dyDescent="0.25">
      <c r="T58" s="52" t="str">
        <f>TEXT(EDATE('Input - Site'!$E$12,2), "mmmm yyyy")</f>
        <v>March 2024</v>
      </c>
      <c r="U58" s="52">
        <f>'4.5.1.1-2 Methane'!U86</f>
        <v>0</v>
      </c>
      <c r="V58" s="52">
        <f>'4.5.1.1-2 Methane'!V86</f>
        <v>0</v>
      </c>
      <c r="W58" s="52">
        <f>'4.5.1.1-2 Methane'!W86</f>
        <v>0</v>
      </c>
      <c r="X58" s="52">
        <f>'4.5.1.1-2 Methane'!X86</f>
        <v>0</v>
      </c>
      <c r="Y58" s="52">
        <f>'4.5.1.1-2 Methane'!Y86</f>
        <v>0</v>
      </c>
      <c r="Z58" s="52">
        <f>'4.5.1.1-2 Methane'!Z86</f>
        <v>0</v>
      </c>
      <c r="AA58" s="52">
        <f>'4.5.1.1-2 Methane'!AA86</f>
        <v>0</v>
      </c>
      <c r="AB58" s="52">
        <f>'4.5.1.1-2 Methane'!AB86</f>
        <v>0</v>
      </c>
      <c r="AC58" s="52">
        <f>'4.5.1.1-2 Methane'!AC86</f>
        <v>0</v>
      </c>
      <c r="AD58" s="52">
        <f>'4.5.1.1-2 Methane'!AD86</f>
        <v>0</v>
      </c>
      <c r="AE58" s="2">
        <f>'4.5.1.1-2 Methane'!AE86</f>
        <v>0</v>
      </c>
    </row>
    <row r="59" spans="4:32" ht="20.100000000000001" customHeight="1" x14ac:dyDescent="0.25">
      <c r="D59" s="99" t="s">
        <v>186</v>
      </c>
      <c r="T59" s="52" t="str">
        <f>TEXT(EDATE('Input - Site'!$E$12,3), "mmmm yyyy")</f>
        <v>April 2024</v>
      </c>
      <c r="U59" s="52">
        <f>'4.5.1.1-2 Methane'!U87</f>
        <v>0</v>
      </c>
      <c r="V59" s="52">
        <f>'4.5.1.1-2 Methane'!V87</f>
        <v>0</v>
      </c>
      <c r="W59" s="52">
        <f>'4.5.1.1-2 Methane'!W87</f>
        <v>0</v>
      </c>
      <c r="X59" s="52">
        <f>'4.5.1.1-2 Methane'!X87</f>
        <v>0</v>
      </c>
      <c r="Y59" s="52">
        <f>'4.5.1.1-2 Methane'!Y87</f>
        <v>0</v>
      </c>
      <c r="Z59" s="52">
        <f>'4.5.1.1-2 Methane'!Z87</f>
        <v>0</v>
      </c>
      <c r="AA59" s="52">
        <f>'4.5.1.1-2 Methane'!AA87</f>
        <v>0</v>
      </c>
      <c r="AB59" s="52">
        <f>'4.5.1.1-2 Methane'!AB87</f>
        <v>0</v>
      </c>
      <c r="AC59" s="52">
        <f>'4.5.1.1-2 Methane'!AC87</f>
        <v>0</v>
      </c>
      <c r="AD59" s="52">
        <f>'4.5.1.1-2 Methane'!AD87</f>
        <v>0</v>
      </c>
      <c r="AE59" s="2">
        <f>'4.5.1.1-2 Methane'!AE87</f>
        <v>0</v>
      </c>
    </row>
    <row r="60" spans="4:32" ht="20.100000000000001" customHeight="1" x14ac:dyDescent="0.25">
      <c r="D60" s="98" t="s">
        <v>131</v>
      </c>
      <c r="T60" s="52" t="str">
        <f>TEXT(EDATE('Input - Site'!$E$12,4), "mmmm yyyy")</f>
        <v>May 2024</v>
      </c>
      <c r="U60" s="52">
        <f>'4.5.1.1-2 Methane'!U88</f>
        <v>0</v>
      </c>
      <c r="V60" s="52">
        <f>'4.5.1.1-2 Methane'!V88</f>
        <v>0</v>
      </c>
      <c r="W60" s="52">
        <f>'4.5.1.1-2 Methane'!W88</f>
        <v>0</v>
      </c>
      <c r="X60" s="52">
        <f>'4.5.1.1-2 Methane'!X88</f>
        <v>0</v>
      </c>
      <c r="Y60" s="52">
        <f>'4.5.1.1-2 Methane'!Y88</f>
        <v>0</v>
      </c>
      <c r="Z60" s="52">
        <f>'4.5.1.1-2 Methane'!Z88</f>
        <v>0</v>
      </c>
      <c r="AA60" s="52">
        <f>'4.5.1.1-2 Methane'!AA88</f>
        <v>0</v>
      </c>
      <c r="AB60" s="52">
        <f>'4.5.1.1-2 Methane'!AB88</f>
        <v>0</v>
      </c>
      <c r="AC60" s="52">
        <f>'4.5.1.1-2 Methane'!AC88</f>
        <v>0</v>
      </c>
      <c r="AD60" s="52">
        <f>'4.5.1.1-2 Methane'!AD88</f>
        <v>0</v>
      </c>
      <c r="AE60" s="2">
        <f>'4.5.1.1-2 Methane'!AE88</f>
        <v>0</v>
      </c>
    </row>
    <row r="61" spans="4:32" ht="20.100000000000001" customHeight="1" x14ac:dyDescent="0.25">
      <c r="D61" s="51" t="s">
        <v>155</v>
      </c>
      <c r="E61" s="51" t="s">
        <v>118</v>
      </c>
      <c r="F61" s="51" t="s">
        <v>117</v>
      </c>
      <c r="G61" s="51" t="s">
        <v>143</v>
      </c>
      <c r="H61" s="51" t="s">
        <v>144</v>
      </c>
      <c r="I61" s="51" t="s">
        <v>145</v>
      </c>
      <c r="J61" s="51" t="s">
        <v>146</v>
      </c>
      <c r="K61" s="51" t="s">
        <v>147</v>
      </c>
      <c r="L61" s="51" t="s">
        <v>148</v>
      </c>
      <c r="M61" s="51" t="s">
        <v>149</v>
      </c>
      <c r="N61" s="51" t="s">
        <v>150</v>
      </c>
      <c r="T61" s="52" t="str">
        <f>TEXT(EDATE('Input - Site'!$E$12,5), "mmmm yyyy")</f>
        <v>June 2024</v>
      </c>
      <c r="U61" s="52">
        <f>'4.5.1.1-2 Methane'!U89</f>
        <v>0</v>
      </c>
      <c r="V61" s="52">
        <f>'4.5.1.1-2 Methane'!V89</f>
        <v>0</v>
      </c>
      <c r="W61" s="52">
        <f>'4.5.1.1-2 Methane'!W89</f>
        <v>0</v>
      </c>
      <c r="X61" s="52">
        <f>'4.5.1.1-2 Methane'!X89</f>
        <v>0</v>
      </c>
      <c r="Y61" s="52">
        <f>'4.5.1.1-2 Methane'!Y89</f>
        <v>0</v>
      </c>
      <c r="Z61" s="52">
        <f>'4.5.1.1-2 Methane'!Z89</f>
        <v>0</v>
      </c>
      <c r="AA61" s="52">
        <f>'4.5.1.1-2 Methane'!AA89</f>
        <v>0</v>
      </c>
      <c r="AB61" s="52">
        <f>'4.5.1.1-2 Methane'!AB89</f>
        <v>0</v>
      </c>
      <c r="AC61" s="52">
        <f>'4.5.1.1-2 Methane'!AC89</f>
        <v>0</v>
      </c>
      <c r="AD61" s="52">
        <f>'4.5.1.1-2 Methane'!AD89</f>
        <v>0</v>
      </c>
      <c r="AE61" s="2">
        <f>'4.5.1.1-2 Methane'!AE89</f>
        <v>0</v>
      </c>
    </row>
    <row r="62" spans="4:32" ht="20.100000000000001" customHeight="1" x14ac:dyDescent="0.25">
      <c r="D62" s="52" t="s">
        <v>151</v>
      </c>
      <c r="E62" s="52" t="e" cm="1">
        <f t="array" ref="E62">MMS_PastureBeef_Soil_N2ODirect_Equations.VEERG_4_2_1_3__6_IntakeRelativeToMaintenance(E54,E20)</f>
        <v>#VALUE!</v>
      </c>
      <c r="F62" s="52" cm="1">
        <f t="array" ref="F62">MMS_PastureBeef_Soil_N2ODirect_Equations.VEERG_4_2_1_3__6_IntakeRelativeToMaintenance(F54,F20)</f>
        <v>0</v>
      </c>
      <c r="G62" s="52" t="e" cm="1">
        <f t="array" ref="G62">MMS_PastureBeef_Soil_N2ODirect_Equations.VEERG_4_2_1_3__6_IntakeRelativeToMaintenance(G54,G20)</f>
        <v>#VALUE!</v>
      </c>
      <c r="H62" s="52" cm="1">
        <f t="array" ref="H62">MMS_PastureBeef_Soil_N2ODirect_Equations.VEERG_4_2_1_3__6_IntakeRelativeToMaintenance(H54,H20)</f>
        <v>0</v>
      </c>
      <c r="I62" s="52" cm="1">
        <f t="array" ref="I62">MMS_PastureBeef_Soil_N2ODirect_Equations.VEERG_4_2_1_3__6_IntakeRelativeToMaintenance(I54,I20)</f>
        <v>0</v>
      </c>
      <c r="J62" s="52" cm="1">
        <f t="array" ref="J62">MMS_PastureBeef_Soil_N2ODirect_Equations.VEERG_4_2_1_3__6_IntakeRelativeToMaintenance(J54,J20)</f>
        <v>0</v>
      </c>
      <c r="K62" s="52" cm="1">
        <f t="array" ref="K62">MMS_PastureBeef_Soil_N2ODirect_Equations.VEERG_4_2_1_3__6_IntakeRelativeToMaintenance(K54,K20)</f>
        <v>0</v>
      </c>
      <c r="L62" s="52" cm="1">
        <f t="array" ref="L62">MMS_PastureBeef_Soil_N2ODirect_Equations.VEERG_4_2_1_3__6_IntakeRelativeToMaintenance(L54,L20)</f>
        <v>0</v>
      </c>
      <c r="M62" s="52" cm="1">
        <f t="array" ref="M62">MMS_PastureBeef_Soil_N2ODirect_Equations.VEERG_4_2_1_3__6_IntakeRelativeToMaintenance(M54,M20)</f>
        <v>0</v>
      </c>
      <c r="N62" s="52" cm="1">
        <f t="array" ref="N62">MMS_PastureBeef_Soil_N2ODirect_Equations.VEERG_4_2_1_3__6_IntakeRelativeToMaintenance(N54,N20)</f>
        <v>0</v>
      </c>
      <c r="O62" s="2" t="str">
        <f>$E$46</f>
        <v>ratio</v>
      </c>
      <c r="T62" s="52" t="str">
        <f>TEXT(EDATE('Input - Site'!$E$12,6), "mmmm yyyy")</f>
        <v>July 2024</v>
      </c>
      <c r="U62" s="52">
        <f>'4.5.1.1-2 Methane'!U90</f>
        <v>0</v>
      </c>
      <c r="V62" s="52">
        <f>'4.5.1.1-2 Methane'!V90</f>
        <v>0</v>
      </c>
      <c r="W62" s="52">
        <f>'4.5.1.1-2 Methane'!W90</f>
        <v>0</v>
      </c>
      <c r="X62" s="52">
        <f>'4.5.1.1-2 Methane'!X90</f>
        <v>0</v>
      </c>
      <c r="Y62" s="52">
        <f>'4.5.1.1-2 Methane'!Y90</f>
        <v>0</v>
      </c>
      <c r="Z62" s="52">
        <f>'4.5.1.1-2 Methane'!Z90</f>
        <v>0</v>
      </c>
      <c r="AA62" s="52">
        <f>'4.5.1.1-2 Methane'!AA90</f>
        <v>0</v>
      </c>
      <c r="AB62" s="52">
        <f>'4.5.1.1-2 Methane'!AB90</f>
        <v>0</v>
      </c>
      <c r="AC62" s="52">
        <f>'4.5.1.1-2 Methane'!AC90</f>
        <v>0</v>
      </c>
      <c r="AD62" s="52">
        <f>'4.5.1.1-2 Methane'!AD90</f>
        <v>0</v>
      </c>
      <c r="AE62" s="2">
        <f>'4.5.1.1-2 Methane'!AE90</f>
        <v>0</v>
      </c>
    </row>
    <row r="63" spans="4:32" ht="20.100000000000001" customHeight="1" x14ac:dyDescent="0.25">
      <c r="D63" s="52" t="s">
        <v>152</v>
      </c>
      <c r="E63" s="52" t="e" cm="1">
        <f t="array" ref="E63">MMS_PastureBeef_Soil_N2ODirect_Equations.VEERG_4_2_1_3__6_IntakeRelativeToMaintenance(E55,E21)</f>
        <v>#VALUE!</v>
      </c>
      <c r="F63" s="52" cm="1">
        <f t="array" ref="F63">MMS_PastureBeef_Soil_N2ODirect_Equations.VEERG_4_2_1_3__6_IntakeRelativeToMaintenance(F55,F21)</f>
        <v>0</v>
      </c>
      <c r="G63" s="52" t="e" cm="1">
        <f t="array" ref="G63">MMS_PastureBeef_Soil_N2ODirect_Equations.VEERG_4_2_1_3__6_IntakeRelativeToMaintenance(G55,G21)</f>
        <v>#VALUE!</v>
      </c>
      <c r="H63" s="52" cm="1">
        <f t="array" ref="H63">MMS_PastureBeef_Soil_N2ODirect_Equations.VEERG_4_2_1_3__6_IntakeRelativeToMaintenance(H55,H21)</f>
        <v>0</v>
      </c>
      <c r="I63" s="52" cm="1">
        <f t="array" ref="I63">MMS_PastureBeef_Soil_N2ODirect_Equations.VEERG_4_2_1_3__6_IntakeRelativeToMaintenance(I55,I21)</f>
        <v>0</v>
      </c>
      <c r="J63" s="52" cm="1">
        <f t="array" ref="J63">MMS_PastureBeef_Soil_N2ODirect_Equations.VEERG_4_2_1_3__6_IntakeRelativeToMaintenance(J55,J21)</f>
        <v>0</v>
      </c>
      <c r="K63" s="52" cm="1">
        <f t="array" ref="K63">MMS_PastureBeef_Soil_N2ODirect_Equations.VEERG_4_2_1_3__6_IntakeRelativeToMaintenance(K55,K21)</f>
        <v>0</v>
      </c>
      <c r="L63" s="52" cm="1">
        <f t="array" ref="L63">MMS_PastureBeef_Soil_N2ODirect_Equations.VEERG_4_2_1_3__6_IntakeRelativeToMaintenance(L55,L21)</f>
        <v>0</v>
      </c>
      <c r="M63" s="52" cm="1">
        <f t="array" ref="M63">MMS_PastureBeef_Soil_N2ODirect_Equations.VEERG_4_2_1_3__6_IntakeRelativeToMaintenance(M55,M21)</f>
        <v>0</v>
      </c>
      <c r="N63" s="52" cm="1">
        <f t="array" ref="N63">MMS_PastureBeef_Soil_N2ODirect_Equations.VEERG_4_2_1_3__6_IntakeRelativeToMaintenance(N55,N21)</f>
        <v>0</v>
      </c>
      <c r="O63" s="2" t="str">
        <f t="shared" ref="O63:O65" si="2">$E$46</f>
        <v>ratio</v>
      </c>
      <c r="T63" s="52" t="str">
        <f>TEXT(EDATE('Input - Site'!$E$12,7), "mmmm yyyy")</f>
        <v>August 2024</v>
      </c>
      <c r="U63" s="52">
        <f>'4.5.1.1-2 Methane'!U91</f>
        <v>0</v>
      </c>
      <c r="V63" s="52">
        <f>'4.5.1.1-2 Methane'!V91</f>
        <v>0</v>
      </c>
      <c r="W63" s="52">
        <f>'4.5.1.1-2 Methane'!W91</f>
        <v>0</v>
      </c>
      <c r="X63" s="52">
        <f>'4.5.1.1-2 Methane'!X91</f>
        <v>0</v>
      </c>
      <c r="Y63" s="52">
        <f>'4.5.1.1-2 Methane'!Y91</f>
        <v>0</v>
      </c>
      <c r="Z63" s="52">
        <f>'4.5.1.1-2 Methane'!Z91</f>
        <v>0</v>
      </c>
      <c r="AA63" s="52">
        <f>'4.5.1.1-2 Methane'!AA91</f>
        <v>0</v>
      </c>
      <c r="AB63" s="52">
        <f>'4.5.1.1-2 Methane'!AB91</f>
        <v>0</v>
      </c>
      <c r="AC63" s="52">
        <f>'4.5.1.1-2 Methane'!AC91</f>
        <v>0</v>
      </c>
      <c r="AD63" s="52">
        <f>'4.5.1.1-2 Methane'!AD91</f>
        <v>0</v>
      </c>
      <c r="AE63" s="2">
        <f>'4.5.1.1-2 Methane'!AE91</f>
        <v>0</v>
      </c>
    </row>
    <row r="64" spans="4:32" ht="20.100000000000001" customHeight="1" x14ac:dyDescent="0.25">
      <c r="D64" s="52" t="s">
        <v>153</v>
      </c>
      <c r="E64" s="52" cm="1">
        <f t="array" ref="E64">MMS_PastureBeef_Soil_N2ODirect_Equations.VEERG_4_2_1_3__6_IntakeRelativeToMaintenance(E56,E22)</f>
        <v>0</v>
      </c>
      <c r="F64" s="52" cm="1">
        <f t="array" ref="F64">MMS_PastureBeef_Soil_N2ODirect_Equations.VEERG_4_2_1_3__6_IntakeRelativeToMaintenance(F56,F22)</f>
        <v>0</v>
      </c>
      <c r="G64" s="52" cm="1">
        <f t="array" ref="G64">MMS_PastureBeef_Soil_N2ODirect_Equations.VEERG_4_2_1_3__6_IntakeRelativeToMaintenance(G56,G22)</f>
        <v>0</v>
      </c>
      <c r="H64" s="52" cm="1">
        <f t="array" ref="H64">MMS_PastureBeef_Soil_N2ODirect_Equations.VEERG_4_2_1_3__6_IntakeRelativeToMaintenance(H56,H22)</f>
        <v>0</v>
      </c>
      <c r="I64" s="52" cm="1">
        <f t="array" ref="I64">MMS_PastureBeef_Soil_N2ODirect_Equations.VEERG_4_2_1_3__6_IntakeRelativeToMaintenance(I56,I22)</f>
        <v>0</v>
      </c>
      <c r="J64" s="52" cm="1">
        <f t="array" ref="J64">MMS_PastureBeef_Soil_N2ODirect_Equations.VEERG_4_2_1_3__6_IntakeRelativeToMaintenance(J56,J22)</f>
        <v>0</v>
      </c>
      <c r="K64" s="52" cm="1">
        <f t="array" ref="K64">MMS_PastureBeef_Soil_N2ODirect_Equations.VEERG_4_2_1_3__6_IntakeRelativeToMaintenance(K56,K22)</f>
        <v>0</v>
      </c>
      <c r="L64" s="52" cm="1">
        <f t="array" ref="L64">MMS_PastureBeef_Soil_N2ODirect_Equations.VEERG_4_2_1_3__6_IntakeRelativeToMaintenance(L56,L22)</f>
        <v>0</v>
      </c>
      <c r="M64" s="52" cm="1">
        <f t="array" ref="M64">MMS_PastureBeef_Soil_N2ODirect_Equations.VEERG_4_2_1_3__6_IntakeRelativeToMaintenance(M56,M22)</f>
        <v>0</v>
      </c>
      <c r="N64" s="52" cm="1">
        <f t="array" ref="N64">MMS_PastureBeef_Soil_N2ODirect_Equations.VEERG_4_2_1_3__6_IntakeRelativeToMaintenance(N56,N22)</f>
        <v>0</v>
      </c>
      <c r="O64" s="2" t="str">
        <f t="shared" si="2"/>
        <v>ratio</v>
      </c>
      <c r="T64" s="52" t="str">
        <f>TEXT(EDATE('Input - Site'!$E$12,8), "mmmm yyyy")</f>
        <v>September 2024</v>
      </c>
      <c r="U64" s="52">
        <f>'4.5.1.1-2 Methane'!U92</f>
        <v>0</v>
      </c>
      <c r="V64" s="52">
        <f>'4.5.1.1-2 Methane'!V92</f>
        <v>0</v>
      </c>
      <c r="W64" s="52">
        <f>'4.5.1.1-2 Methane'!W92</f>
        <v>0</v>
      </c>
      <c r="X64" s="52">
        <f>'4.5.1.1-2 Methane'!X92</f>
        <v>0</v>
      </c>
      <c r="Y64" s="52">
        <f>'4.5.1.1-2 Methane'!Y92</f>
        <v>0</v>
      </c>
      <c r="Z64" s="52">
        <f>'4.5.1.1-2 Methane'!Z92</f>
        <v>0</v>
      </c>
      <c r="AA64" s="52">
        <f>'4.5.1.1-2 Methane'!AA92</f>
        <v>0</v>
      </c>
      <c r="AB64" s="52">
        <f>'4.5.1.1-2 Methane'!AB92</f>
        <v>0</v>
      </c>
      <c r="AC64" s="52">
        <f>'4.5.1.1-2 Methane'!AC92</f>
        <v>0</v>
      </c>
      <c r="AD64" s="52">
        <f>'4.5.1.1-2 Methane'!AD92</f>
        <v>0</v>
      </c>
      <c r="AE64" s="2">
        <f>'4.5.1.1-2 Methane'!AE92</f>
        <v>0</v>
      </c>
    </row>
    <row r="65" spans="3:31" ht="20.100000000000001" customHeight="1" x14ac:dyDescent="0.25">
      <c r="D65" s="52" t="s">
        <v>154</v>
      </c>
      <c r="E65" s="52" cm="1">
        <f t="array" ref="E65">MMS_PastureBeef_Soil_N2ODirect_Equations.VEERG_4_2_1_3__6_IntakeRelativeToMaintenance(E57,E23)</f>
        <v>0</v>
      </c>
      <c r="F65" s="52" cm="1">
        <f t="array" ref="F65">MMS_PastureBeef_Soil_N2ODirect_Equations.VEERG_4_2_1_3__6_IntakeRelativeToMaintenance(F57,F23)</f>
        <v>0</v>
      </c>
      <c r="G65" s="52" cm="1">
        <f t="array" ref="G65">MMS_PastureBeef_Soil_N2ODirect_Equations.VEERG_4_2_1_3__6_IntakeRelativeToMaintenance(G57,G23)</f>
        <v>0</v>
      </c>
      <c r="H65" s="52" cm="1">
        <f t="array" ref="H65">MMS_PastureBeef_Soil_N2ODirect_Equations.VEERG_4_2_1_3__6_IntakeRelativeToMaintenance(H57,H23)</f>
        <v>0</v>
      </c>
      <c r="I65" s="52" cm="1">
        <f t="array" ref="I65">MMS_PastureBeef_Soil_N2ODirect_Equations.VEERG_4_2_1_3__6_IntakeRelativeToMaintenance(I57,I23)</f>
        <v>0</v>
      </c>
      <c r="J65" s="52" cm="1">
        <f t="array" ref="J65">MMS_PastureBeef_Soil_N2ODirect_Equations.VEERG_4_2_1_3__6_IntakeRelativeToMaintenance(J57,J23)</f>
        <v>0</v>
      </c>
      <c r="K65" s="52" cm="1">
        <f t="array" ref="K65">MMS_PastureBeef_Soil_N2ODirect_Equations.VEERG_4_2_1_3__6_IntakeRelativeToMaintenance(K57,K23)</f>
        <v>0</v>
      </c>
      <c r="L65" s="52" cm="1">
        <f t="array" ref="L65">MMS_PastureBeef_Soil_N2ODirect_Equations.VEERG_4_2_1_3__6_IntakeRelativeToMaintenance(L57,L23)</f>
        <v>0</v>
      </c>
      <c r="M65" s="52" cm="1">
        <f t="array" ref="M65">MMS_PastureBeef_Soil_N2ODirect_Equations.VEERG_4_2_1_3__6_IntakeRelativeToMaintenance(M57,M23)</f>
        <v>0</v>
      </c>
      <c r="N65" s="52" cm="1">
        <f t="array" ref="N65">MMS_PastureBeef_Soil_N2ODirect_Equations.VEERG_4_2_1_3__6_IntakeRelativeToMaintenance(N57,N23)</f>
        <v>0</v>
      </c>
      <c r="O65" s="2" t="str">
        <f t="shared" si="2"/>
        <v>ratio</v>
      </c>
      <c r="T65" s="52" t="str">
        <f>TEXT(EDATE('Input - Site'!$E$12,9), "mmmm yyyy")</f>
        <v>October 2024</v>
      </c>
      <c r="U65" s="52">
        <f>'4.5.1.1-2 Methane'!U93</f>
        <v>0</v>
      </c>
      <c r="V65" s="52">
        <f>'4.5.1.1-2 Methane'!V93</f>
        <v>0</v>
      </c>
      <c r="W65" s="52">
        <f>'4.5.1.1-2 Methane'!W93</f>
        <v>0</v>
      </c>
      <c r="X65" s="52">
        <f>'4.5.1.1-2 Methane'!X93</f>
        <v>0</v>
      </c>
      <c r="Y65" s="52">
        <f>'4.5.1.1-2 Methane'!Y93</f>
        <v>0</v>
      </c>
      <c r="Z65" s="52">
        <f>'4.5.1.1-2 Methane'!Z93</f>
        <v>0</v>
      </c>
      <c r="AA65" s="52">
        <f>'4.5.1.1-2 Methane'!AA93</f>
        <v>0</v>
      </c>
      <c r="AB65" s="52">
        <f>'4.5.1.1-2 Methane'!AB93</f>
        <v>0</v>
      </c>
      <c r="AC65" s="52">
        <f>'4.5.1.1-2 Methane'!AC93</f>
        <v>0</v>
      </c>
      <c r="AD65" s="52">
        <f>'4.5.1.1-2 Methane'!AD93</f>
        <v>0</v>
      </c>
      <c r="AE65" s="2">
        <f>'4.5.1.1-2 Methane'!AE93</f>
        <v>0</v>
      </c>
    </row>
    <row r="66" spans="3:31" ht="20.100000000000001" customHeight="1" x14ac:dyDescent="0.25">
      <c r="T66" s="52" t="str">
        <f>TEXT(EDATE('Input - Site'!$E$12,10), "mmmm yyyy")</f>
        <v>November 2024</v>
      </c>
      <c r="U66" s="52">
        <f>'4.5.1.1-2 Methane'!U94</f>
        <v>0</v>
      </c>
      <c r="V66" s="52">
        <f>'4.5.1.1-2 Methane'!V94</f>
        <v>0</v>
      </c>
      <c r="W66" s="52">
        <f>'4.5.1.1-2 Methane'!W94</f>
        <v>0</v>
      </c>
      <c r="X66" s="52">
        <f>'4.5.1.1-2 Methane'!X94</f>
        <v>0</v>
      </c>
      <c r="Y66" s="52">
        <f>'4.5.1.1-2 Methane'!Y94</f>
        <v>0</v>
      </c>
      <c r="Z66" s="52">
        <f>'4.5.1.1-2 Methane'!Z94</f>
        <v>0</v>
      </c>
      <c r="AA66" s="52">
        <f>'4.5.1.1-2 Methane'!AA94</f>
        <v>0</v>
      </c>
      <c r="AB66" s="52">
        <f>'4.5.1.1-2 Methane'!AB94</f>
        <v>0</v>
      </c>
      <c r="AC66" s="52">
        <f>'4.5.1.1-2 Methane'!AC94</f>
        <v>0</v>
      </c>
      <c r="AD66" s="52">
        <f>'4.5.1.1-2 Methane'!AD94</f>
        <v>0</v>
      </c>
      <c r="AE66" s="2">
        <f>'4.5.1.1-2 Methane'!AE94</f>
        <v>0</v>
      </c>
    </row>
    <row r="67" spans="3:31" ht="20.100000000000001" customHeight="1" x14ac:dyDescent="0.25">
      <c r="T67" s="52" t="str">
        <f>TEXT(EDATE('Input - Site'!$E$12,11), "mmmm yyyy")</f>
        <v>December 2024</v>
      </c>
      <c r="U67" s="52">
        <f>'4.5.1.1-2 Methane'!U95</f>
        <v>0</v>
      </c>
      <c r="V67" s="52">
        <f>'4.5.1.1-2 Methane'!V95</f>
        <v>0</v>
      </c>
      <c r="W67" s="52">
        <f>'4.5.1.1-2 Methane'!W95</f>
        <v>0</v>
      </c>
      <c r="X67" s="52">
        <f>'4.5.1.1-2 Methane'!X95</f>
        <v>0</v>
      </c>
      <c r="Y67" s="52">
        <f>'4.5.1.1-2 Methane'!Y95</f>
        <v>0</v>
      </c>
      <c r="Z67" s="52">
        <f>'4.5.1.1-2 Methane'!Z95</f>
        <v>0</v>
      </c>
      <c r="AA67" s="52">
        <f>'4.5.1.1-2 Methane'!AA95</f>
        <v>0</v>
      </c>
      <c r="AB67" s="52">
        <f>'4.5.1.1-2 Methane'!AB95</f>
        <v>0</v>
      </c>
      <c r="AC67" s="52">
        <f>'4.5.1.1-2 Methane'!AC95</f>
        <v>0</v>
      </c>
      <c r="AD67" s="52">
        <f>'4.5.1.1-2 Methane'!AD95</f>
        <v>0</v>
      </c>
      <c r="AE67" s="2">
        <f>'4.5.1.1-2 Methane'!AE95</f>
        <v>0</v>
      </c>
    </row>
    <row r="68" spans="3:31" ht="20.100000000000001" customHeight="1" x14ac:dyDescent="0.25"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</row>
    <row r="69" spans="3:31" ht="20.100000000000001" customHeight="1" x14ac:dyDescent="0.25">
      <c r="D69" s="6" t="str" cm="1">
        <f t="array" ref="D69">MMS_PastureBeef_Soil_N2ODirect_Equations.VEERG_4_2_1_3__5_MilkProductionForCalvingSeason_Title()</f>
        <v>Milk production for the season of calving and season after calving</v>
      </c>
      <c r="T69" s="99" t="s">
        <v>202</v>
      </c>
    </row>
    <row r="70" spans="3:31" ht="20.100000000000001" customHeight="1" x14ac:dyDescent="0.25">
      <c r="D70" s="5" t="str" cm="1">
        <f t="array" ref="D70">MMS_PastureBeef_Soil_N2ODirect_Equations.VEERG_4_2_1_3__5_MilkProductionForCalvingSeason_Source()</f>
        <v>VEERG 2026: 4.2.1.3, Equation (5)</v>
      </c>
      <c r="T70" s="98" t="s">
        <v>132</v>
      </c>
    </row>
    <row r="71" spans="3:31" ht="20.100000000000001" customHeight="1" x14ac:dyDescent="0.25">
      <c r="D71" s="55" t="str" cm="1">
        <f t="array" ref="D71">MMS_PastureBeef_Soil_N2ODirect_Equations.VEERG_4_2_1_3__5_MilkProductionForCalvingSeason_Variation()</f>
        <v>VARIATION ON SOURCE: Split LC and DMP into calving season and after calving season values.</v>
      </c>
      <c r="T71" s="51" t="s">
        <v>119</v>
      </c>
      <c r="U71" s="51" t="s">
        <v>118</v>
      </c>
      <c r="V71" s="51" t="s">
        <v>117</v>
      </c>
      <c r="W71" s="51" t="s">
        <v>143</v>
      </c>
      <c r="X71" s="51" t="s">
        <v>144</v>
      </c>
      <c r="Y71" s="51" t="s">
        <v>145</v>
      </c>
      <c r="Z71" s="51" t="s">
        <v>146</v>
      </c>
      <c r="AA71" s="51" t="s">
        <v>147</v>
      </c>
      <c r="AB71" s="51" t="s">
        <v>148</v>
      </c>
      <c r="AC71" s="51" t="s">
        <v>149</v>
      </c>
      <c r="AD71" s="51" t="s">
        <v>150</v>
      </c>
    </row>
    <row r="72" spans="3:31" ht="20.100000000000001" customHeight="1" x14ac:dyDescent="0.25">
      <c r="D72" s="13" t="s">
        <v>26</v>
      </c>
      <c r="E72" s="13" t="str" cm="1">
        <f t="array" aca="1" ref="E72" ca="1">Common_InputFunctions.Utility_DisplayFunctionName(H95)</f>
        <v>=MMS_PastureBeef_Soil_N2ODirect_Equations.VEERG_4_2_1_3__5_MilkProductionForCalvingSeasonVariation</v>
      </c>
      <c r="T72" s="52" t="str">
        <f>TEXT('Input - Site'!$E$12, "mmmm yyyy")</f>
        <v>January 2024</v>
      </c>
      <c r="U72" s="52" cm="1">
        <f t="array" ref="U72">MMS_PastureBeef_Soil_N2ODirect_Equations.VEERG_4_2_1_3__6_IntakeRelativeToMaintenance(U56,U20)</f>
        <v>0</v>
      </c>
      <c r="V72" s="52" cm="1">
        <f t="array" ref="V72">MMS_PastureBeef_Soil_N2ODirect_Equations.VEERG_4_2_1_3__6_IntakeRelativeToMaintenance(V56,V20)</f>
        <v>0</v>
      </c>
      <c r="W72" s="52" cm="1">
        <f t="array" ref="W72">MMS_PastureBeef_Soil_N2ODirect_Equations.VEERG_4_2_1_3__6_IntakeRelativeToMaintenance(W56,W20)</f>
        <v>0</v>
      </c>
      <c r="X72" s="52" cm="1">
        <f t="array" ref="X72">MMS_PastureBeef_Soil_N2ODirect_Equations.VEERG_4_2_1_3__6_IntakeRelativeToMaintenance(X56,X20)</f>
        <v>0</v>
      </c>
      <c r="Y72" s="52" cm="1">
        <f t="array" ref="Y72">MMS_PastureBeef_Soil_N2ODirect_Equations.VEERG_4_2_1_3__6_IntakeRelativeToMaintenance(Y56,Y20)</f>
        <v>0</v>
      </c>
      <c r="Z72" s="52" cm="1">
        <f t="array" ref="Z72">MMS_PastureBeef_Soil_N2ODirect_Equations.VEERG_4_2_1_3__6_IntakeRelativeToMaintenance(Z56,Z20)</f>
        <v>0</v>
      </c>
      <c r="AA72" s="52" cm="1">
        <f t="array" ref="AA72">MMS_PastureBeef_Soil_N2ODirect_Equations.VEERG_4_2_1_3__6_IntakeRelativeToMaintenance(AA56,AA20)</f>
        <v>0</v>
      </c>
      <c r="AB72" s="52" cm="1">
        <f t="array" ref="AB72">MMS_PastureBeef_Soil_N2ODirect_Equations.VEERG_4_2_1_3__6_IntakeRelativeToMaintenance(AB56,AB20)</f>
        <v>0</v>
      </c>
      <c r="AC72" s="52" cm="1">
        <f t="array" ref="AC72">MMS_PastureBeef_Soil_N2ODirect_Equations.VEERG_4_2_1_3__6_IntakeRelativeToMaintenance(AC56,AC20)</f>
        <v>0</v>
      </c>
      <c r="AD72" s="52" cm="1">
        <f t="array" ref="AD72">MMS_PastureBeef_Soil_N2ODirect_Equations.VEERG_4_2_1_3__6_IntakeRelativeToMaintenance(AD56,AD20)</f>
        <v>0</v>
      </c>
      <c r="AE72" s="2" t="str">
        <f t="shared" ref="AE72:AE83" si="3">$E$46</f>
        <v>ratio</v>
      </c>
    </row>
    <row r="73" spans="3:31" ht="20.100000000000001" customHeight="1" x14ac:dyDescent="0.25">
      <c r="T73" s="52" t="str">
        <f>TEXT(EDATE('Input - Site'!$E$12,1), "mmmm yyyy")</f>
        <v>February 2024</v>
      </c>
      <c r="U73" s="52" cm="1">
        <f t="array" ref="U73">MMS_PastureBeef_Soil_N2ODirect_Equations.VEERG_4_2_1_3__6_IntakeRelativeToMaintenance(U57,U21)</f>
        <v>0</v>
      </c>
      <c r="V73" s="52" cm="1">
        <f t="array" ref="V73">MMS_PastureBeef_Soil_N2ODirect_Equations.VEERG_4_2_1_3__6_IntakeRelativeToMaintenance(V57,V21)</f>
        <v>0</v>
      </c>
      <c r="W73" s="52" cm="1">
        <f t="array" ref="W73">MMS_PastureBeef_Soil_N2ODirect_Equations.VEERG_4_2_1_3__6_IntakeRelativeToMaintenance(W57,W21)</f>
        <v>0</v>
      </c>
      <c r="X73" s="52" cm="1">
        <f t="array" ref="X73">MMS_PastureBeef_Soil_N2ODirect_Equations.VEERG_4_2_1_3__6_IntakeRelativeToMaintenance(X57,X21)</f>
        <v>0</v>
      </c>
      <c r="Y73" s="52" cm="1">
        <f t="array" ref="Y73">MMS_PastureBeef_Soil_N2ODirect_Equations.VEERG_4_2_1_3__6_IntakeRelativeToMaintenance(Y57,Y21)</f>
        <v>0</v>
      </c>
      <c r="Z73" s="52" cm="1">
        <f t="array" ref="Z73">MMS_PastureBeef_Soil_N2ODirect_Equations.VEERG_4_2_1_3__6_IntakeRelativeToMaintenance(Z57,Z21)</f>
        <v>0</v>
      </c>
      <c r="AA73" s="52" cm="1">
        <f t="array" ref="AA73">MMS_PastureBeef_Soil_N2ODirect_Equations.VEERG_4_2_1_3__6_IntakeRelativeToMaintenance(AA57,AA21)</f>
        <v>0</v>
      </c>
      <c r="AB73" s="52" cm="1">
        <f t="array" ref="AB73">MMS_PastureBeef_Soil_N2ODirect_Equations.VEERG_4_2_1_3__6_IntakeRelativeToMaintenance(AB57,AB21)</f>
        <v>0</v>
      </c>
      <c r="AC73" s="52" cm="1">
        <f t="array" ref="AC73">MMS_PastureBeef_Soil_N2ODirect_Equations.VEERG_4_2_1_3__6_IntakeRelativeToMaintenance(AC57,AC21)</f>
        <v>0</v>
      </c>
      <c r="AD73" s="52" cm="1">
        <f t="array" ref="AD73">MMS_PastureBeef_Soil_N2ODirect_Equations.VEERG_4_2_1_3__6_IntakeRelativeToMaintenance(AD57,AD21)</f>
        <v>0</v>
      </c>
      <c r="AE73" s="2" t="str">
        <f t="shared" si="3"/>
        <v>ratio</v>
      </c>
    </row>
    <row r="74" spans="3:31" ht="20.100000000000001" customHeight="1" x14ac:dyDescent="0.25">
      <c r="T74" s="52" t="str">
        <f>TEXT(EDATE('Input - Site'!$E$12,2), "mmmm yyyy")</f>
        <v>March 2024</v>
      </c>
      <c r="U74" s="52" cm="1">
        <f t="array" ref="U74">MMS_PastureBeef_Soil_N2ODirect_Equations.VEERG_4_2_1_3__6_IntakeRelativeToMaintenance(U58,U22)</f>
        <v>0</v>
      </c>
      <c r="V74" s="52" cm="1">
        <f t="array" ref="V74">MMS_PastureBeef_Soil_N2ODirect_Equations.VEERG_4_2_1_3__6_IntakeRelativeToMaintenance(V58,V22)</f>
        <v>0</v>
      </c>
      <c r="W74" s="52" cm="1">
        <f t="array" ref="W74">MMS_PastureBeef_Soil_N2ODirect_Equations.VEERG_4_2_1_3__6_IntakeRelativeToMaintenance(W58,W22)</f>
        <v>0</v>
      </c>
      <c r="X74" s="52" cm="1">
        <f t="array" ref="X74">MMS_PastureBeef_Soil_N2ODirect_Equations.VEERG_4_2_1_3__6_IntakeRelativeToMaintenance(X58,X22)</f>
        <v>0</v>
      </c>
      <c r="Y74" s="52" cm="1">
        <f t="array" ref="Y74">MMS_PastureBeef_Soil_N2ODirect_Equations.VEERG_4_2_1_3__6_IntakeRelativeToMaintenance(Y58,Y22)</f>
        <v>0</v>
      </c>
      <c r="Z74" s="52" cm="1">
        <f t="array" ref="Z74">MMS_PastureBeef_Soil_N2ODirect_Equations.VEERG_4_2_1_3__6_IntakeRelativeToMaintenance(Z58,Z22)</f>
        <v>0</v>
      </c>
      <c r="AA74" s="52" cm="1">
        <f t="array" ref="AA74">MMS_PastureBeef_Soil_N2ODirect_Equations.VEERG_4_2_1_3__6_IntakeRelativeToMaintenance(AA58,AA22)</f>
        <v>0</v>
      </c>
      <c r="AB74" s="52" cm="1">
        <f t="array" ref="AB74">MMS_PastureBeef_Soil_N2ODirect_Equations.VEERG_4_2_1_3__6_IntakeRelativeToMaintenance(AB58,AB22)</f>
        <v>0</v>
      </c>
      <c r="AC74" s="52" cm="1">
        <f t="array" ref="AC74">MMS_PastureBeef_Soil_N2ODirect_Equations.VEERG_4_2_1_3__6_IntakeRelativeToMaintenance(AC58,AC22)</f>
        <v>0</v>
      </c>
      <c r="AD74" s="52" cm="1">
        <f t="array" ref="AD74">MMS_PastureBeef_Soil_N2ODirect_Equations.VEERG_4_2_1_3__6_IntakeRelativeToMaintenance(AD58,AD22)</f>
        <v>0</v>
      </c>
      <c r="AE74" s="2" t="str">
        <f t="shared" si="3"/>
        <v>ratio</v>
      </c>
    </row>
    <row r="75" spans="3:31" ht="20.100000000000001" customHeight="1" x14ac:dyDescent="0.25">
      <c r="D75" s="53" t="s">
        <v>29</v>
      </c>
      <c r="E75" s="1" t="str" cm="1">
        <f t="array" ref="E75">MMS_PastureBeef_Soil_N2ODirect_Equations.VEERG_4_2_1_3__5_MilkProductionForCalvingSeason_Variable()</f>
        <v>MP_jk5</v>
      </c>
      <c r="F75" s="107" t="s">
        <v>188</v>
      </c>
      <c r="T75" s="52" t="str">
        <f>TEXT(EDATE('Input - Site'!$E$12,3), "mmmm yyyy")</f>
        <v>April 2024</v>
      </c>
      <c r="U75" s="52" cm="1">
        <f t="array" ref="U75">MMS_PastureBeef_Soil_N2ODirect_Equations.VEERG_4_2_1_3__6_IntakeRelativeToMaintenance(U59,U23)</f>
        <v>0</v>
      </c>
      <c r="V75" s="52" cm="1">
        <f t="array" ref="V75">MMS_PastureBeef_Soil_N2ODirect_Equations.VEERG_4_2_1_3__6_IntakeRelativeToMaintenance(V59,V23)</f>
        <v>0</v>
      </c>
      <c r="W75" s="52" cm="1">
        <f t="array" ref="W75">MMS_PastureBeef_Soil_N2ODirect_Equations.VEERG_4_2_1_3__6_IntakeRelativeToMaintenance(W59,W23)</f>
        <v>0</v>
      </c>
      <c r="X75" s="52" cm="1">
        <f t="array" ref="X75">MMS_PastureBeef_Soil_N2ODirect_Equations.VEERG_4_2_1_3__6_IntakeRelativeToMaintenance(X59,X23)</f>
        <v>0</v>
      </c>
      <c r="Y75" s="52" cm="1">
        <f t="array" ref="Y75">MMS_PastureBeef_Soil_N2ODirect_Equations.VEERG_4_2_1_3__6_IntakeRelativeToMaintenance(Y59,Y23)</f>
        <v>0</v>
      </c>
      <c r="Z75" s="52" cm="1">
        <f t="array" ref="Z75">MMS_PastureBeef_Soil_N2ODirect_Equations.VEERG_4_2_1_3__6_IntakeRelativeToMaintenance(Z59,Z23)</f>
        <v>0</v>
      </c>
      <c r="AA75" s="52" cm="1">
        <f t="array" ref="AA75">MMS_PastureBeef_Soil_N2ODirect_Equations.VEERG_4_2_1_3__6_IntakeRelativeToMaintenance(AA59,AA23)</f>
        <v>0</v>
      </c>
      <c r="AB75" s="52" cm="1">
        <f t="array" ref="AB75">MMS_PastureBeef_Soil_N2ODirect_Equations.VEERG_4_2_1_3__6_IntakeRelativeToMaintenance(AB59,AB23)</f>
        <v>0</v>
      </c>
      <c r="AC75" s="52" cm="1">
        <f t="array" ref="AC75">MMS_PastureBeef_Soil_N2ODirect_Equations.VEERG_4_2_1_3__6_IntakeRelativeToMaintenance(AC59,AC23)</f>
        <v>0</v>
      </c>
      <c r="AD75" s="52" cm="1">
        <f t="array" ref="AD75">MMS_PastureBeef_Soil_N2ODirect_Equations.VEERG_4_2_1_3__6_IntakeRelativeToMaintenance(AD59,AD23)</f>
        <v>0</v>
      </c>
      <c r="AE75" s="2" t="str">
        <f t="shared" si="3"/>
        <v>ratio</v>
      </c>
    </row>
    <row r="76" spans="3:31" ht="20.100000000000001" customHeight="1" x14ac:dyDescent="0.25">
      <c r="D76" s="53" t="s">
        <v>19</v>
      </c>
      <c r="E76" s="54" t="str" cm="1">
        <f t="array" ref="E76">MMS_PastureBeef_Soil_N2ODirect_Equations.VEERG_4_2_1_3__5_MilkProductionForCalvingSeason_Unit()</f>
        <v>kg/head/day</v>
      </c>
      <c r="T76" s="52" t="str">
        <f>TEXT(EDATE('Input - Site'!$E$12,4), "mmmm yyyy")</f>
        <v>May 2024</v>
      </c>
      <c r="U76" s="52" cm="1">
        <f t="array" ref="U76">MMS_PastureBeef_Soil_N2ODirect_Equations.VEERG_4_2_1_3__6_IntakeRelativeToMaintenance(U60,U24)</f>
        <v>0</v>
      </c>
      <c r="V76" s="52" cm="1">
        <f t="array" ref="V76">MMS_PastureBeef_Soil_N2ODirect_Equations.VEERG_4_2_1_3__6_IntakeRelativeToMaintenance(V60,V24)</f>
        <v>0</v>
      </c>
      <c r="W76" s="52" cm="1">
        <f t="array" ref="W76">MMS_PastureBeef_Soil_N2ODirect_Equations.VEERG_4_2_1_3__6_IntakeRelativeToMaintenance(W60,W24)</f>
        <v>0</v>
      </c>
      <c r="X76" s="52" cm="1">
        <f t="array" ref="X76">MMS_PastureBeef_Soil_N2ODirect_Equations.VEERG_4_2_1_3__6_IntakeRelativeToMaintenance(X60,X24)</f>
        <v>0</v>
      </c>
      <c r="Y76" s="52" cm="1">
        <f t="array" ref="Y76">MMS_PastureBeef_Soil_N2ODirect_Equations.VEERG_4_2_1_3__6_IntakeRelativeToMaintenance(Y60,Y24)</f>
        <v>0</v>
      </c>
      <c r="Z76" s="52" cm="1">
        <f t="array" ref="Z76">MMS_PastureBeef_Soil_N2ODirect_Equations.VEERG_4_2_1_3__6_IntakeRelativeToMaintenance(Z60,Z24)</f>
        <v>0</v>
      </c>
      <c r="AA76" s="52" cm="1">
        <f t="array" ref="AA76">MMS_PastureBeef_Soil_N2ODirect_Equations.VEERG_4_2_1_3__6_IntakeRelativeToMaintenance(AA60,AA24)</f>
        <v>0</v>
      </c>
      <c r="AB76" s="52" cm="1">
        <f t="array" ref="AB76">MMS_PastureBeef_Soil_N2ODirect_Equations.VEERG_4_2_1_3__6_IntakeRelativeToMaintenance(AB60,AB24)</f>
        <v>0</v>
      </c>
      <c r="AC76" s="52" cm="1">
        <f t="array" ref="AC76">MMS_PastureBeef_Soil_N2ODirect_Equations.VEERG_4_2_1_3__6_IntakeRelativeToMaintenance(AC60,AC24)</f>
        <v>0</v>
      </c>
      <c r="AD76" s="52" cm="1">
        <f t="array" ref="AD76">MMS_PastureBeef_Soil_N2ODirect_Equations.VEERG_4_2_1_3__6_IntakeRelativeToMaintenance(AD60,AD24)</f>
        <v>0</v>
      </c>
      <c r="AE76" s="2" t="str">
        <f t="shared" si="3"/>
        <v>ratio</v>
      </c>
    </row>
    <row r="77" spans="3:31" ht="20.100000000000001" customHeight="1" x14ac:dyDescent="0.25">
      <c r="T77" s="52" t="str">
        <f>TEXT(EDATE('Input - Site'!$E$12,5), "mmmm yyyy")</f>
        <v>June 2024</v>
      </c>
      <c r="U77" s="52" cm="1">
        <f t="array" ref="U77">MMS_PastureBeef_Soil_N2ODirect_Equations.VEERG_4_2_1_3__6_IntakeRelativeToMaintenance(U61,U25)</f>
        <v>0</v>
      </c>
      <c r="V77" s="52" cm="1">
        <f t="array" ref="V77">MMS_PastureBeef_Soil_N2ODirect_Equations.VEERG_4_2_1_3__6_IntakeRelativeToMaintenance(V61,V25)</f>
        <v>0</v>
      </c>
      <c r="W77" s="52" cm="1">
        <f t="array" ref="W77">MMS_PastureBeef_Soil_N2ODirect_Equations.VEERG_4_2_1_3__6_IntakeRelativeToMaintenance(W61,W25)</f>
        <v>0</v>
      </c>
      <c r="X77" s="52" cm="1">
        <f t="array" ref="X77">MMS_PastureBeef_Soil_N2ODirect_Equations.VEERG_4_2_1_3__6_IntakeRelativeToMaintenance(X61,X25)</f>
        <v>0</v>
      </c>
      <c r="Y77" s="52" cm="1">
        <f t="array" ref="Y77">MMS_PastureBeef_Soil_N2ODirect_Equations.VEERG_4_2_1_3__6_IntakeRelativeToMaintenance(Y61,Y25)</f>
        <v>0</v>
      </c>
      <c r="Z77" s="52" cm="1">
        <f t="array" ref="Z77">MMS_PastureBeef_Soil_N2ODirect_Equations.VEERG_4_2_1_3__6_IntakeRelativeToMaintenance(Z61,Z25)</f>
        <v>0</v>
      </c>
      <c r="AA77" s="52" cm="1">
        <f t="array" ref="AA77">MMS_PastureBeef_Soil_N2ODirect_Equations.VEERG_4_2_1_3__6_IntakeRelativeToMaintenance(AA61,AA25)</f>
        <v>0</v>
      </c>
      <c r="AB77" s="52" cm="1">
        <f t="array" ref="AB77">MMS_PastureBeef_Soil_N2ODirect_Equations.VEERG_4_2_1_3__6_IntakeRelativeToMaintenance(AB61,AB25)</f>
        <v>0</v>
      </c>
      <c r="AC77" s="52" cm="1">
        <f t="array" ref="AC77">MMS_PastureBeef_Soil_N2ODirect_Equations.VEERG_4_2_1_3__6_IntakeRelativeToMaintenance(AC61,AC25)</f>
        <v>0</v>
      </c>
      <c r="AD77" s="52" cm="1">
        <f t="array" ref="AD77">MMS_PastureBeef_Soil_N2ODirect_Equations.VEERG_4_2_1_3__6_IntakeRelativeToMaintenance(AD61,AD25)</f>
        <v>0</v>
      </c>
      <c r="AE77" s="2" t="str">
        <f t="shared" si="3"/>
        <v>ratio</v>
      </c>
    </row>
    <row r="78" spans="3:31" ht="20.100000000000001" customHeight="1" x14ac:dyDescent="0.25">
      <c r="D78" s="108" t="str" cm="1">
        <f t="array" ref="D78:E82">MMS_PastureBeef_Soil_N2ODirect_Equations.VEERG_4_2_1_3__5_MilkProductionForCalvingSeason_ArgumentsVariation()</f>
        <v>LC_jk5curr</v>
      </c>
      <c r="E78" s="110" t="str">
        <v>proportion of cows greater than 2 years lactating for the season of calving</v>
      </c>
      <c r="F78" s="117"/>
      <c r="G78" s="117"/>
      <c r="H78" s="109"/>
      <c r="I78" s="57" t="str">
        <f>"See " &amp; D84</f>
        <v>See M1_Table_LC_j_k-4-5</v>
      </c>
      <c r="T78" s="52" t="str">
        <f>TEXT(EDATE('Input - Site'!$E$12,6), "mmmm yyyy")</f>
        <v>July 2024</v>
      </c>
      <c r="U78" s="52" cm="1">
        <f t="array" ref="U78">MMS_PastureBeef_Soil_N2ODirect_Equations.VEERG_4_2_1_3__6_IntakeRelativeToMaintenance(U62,U26)</f>
        <v>0</v>
      </c>
      <c r="V78" s="52" cm="1">
        <f t="array" ref="V78">MMS_PastureBeef_Soil_N2ODirect_Equations.VEERG_4_2_1_3__6_IntakeRelativeToMaintenance(V62,V26)</f>
        <v>0</v>
      </c>
      <c r="W78" s="52" cm="1">
        <f t="array" ref="W78">MMS_PastureBeef_Soil_N2ODirect_Equations.VEERG_4_2_1_3__6_IntakeRelativeToMaintenance(W62,W26)</f>
        <v>0</v>
      </c>
      <c r="X78" s="52" cm="1">
        <f t="array" ref="X78">MMS_PastureBeef_Soil_N2ODirect_Equations.VEERG_4_2_1_3__6_IntakeRelativeToMaintenance(X62,X26)</f>
        <v>0</v>
      </c>
      <c r="Y78" s="52" cm="1">
        <f t="array" ref="Y78">MMS_PastureBeef_Soil_N2ODirect_Equations.VEERG_4_2_1_3__6_IntakeRelativeToMaintenance(Y62,Y26)</f>
        <v>0</v>
      </c>
      <c r="Z78" s="52" cm="1">
        <f t="array" ref="Z78">MMS_PastureBeef_Soil_N2ODirect_Equations.VEERG_4_2_1_3__6_IntakeRelativeToMaintenance(Z62,Z26)</f>
        <v>0</v>
      </c>
      <c r="AA78" s="52" cm="1">
        <f t="array" ref="AA78">MMS_PastureBeef_Soil_N2ODirect_Equations.VEERG_4_2_1_3__6_IntakeRelativeToMaintenance(AA62,AA26)</f>
        <v>0</v>
      </c>
      <c r="AB78" s="52" cm="1">
        <f t="array" ref="AB78">MMS_PastureBeef_Soil_N2ODirect_Equations.VEERG_4_2_1_3__6_IntakeRelativeToMaintenance(AB62,AB26)</f>
        <v>0</v>
      </c>
      <c r="AC78" s="52" cm="1">
        <f t="array" ref="AC78">MMS_PastureBeef_Soil_N2ODirect_Equations.VEERG_4_2_1_3__6_IntakeRelativeToMaintenance(AC62,AC26)</f>
        <v>0</v>
      </c>
      <c r="AD78" s="52" cm="1">
        <f t="array" ref="AD78">MMS_PastureBeef_Soil_N2ODirect_Equations.VEERG_4_2_1_3__6_IntakeRelativeToMaintenance(AD62,AD26)</f>
        <v>0</v>
      </c>
      <c r="AE78" s="2" t="str">
        <f t="shared" si="3"/>
        <v>ratio</v>
      </c>
    </row>
    <row r="79" spans="3:31" ht="20.100000000000001" customHeight="1" x14ac:dyDescent="0.25">
      <c r="D79" s="108" t="str">
        <v>LC_jk5prev</v>
      </c>
      <c r="E79" s="110" t="str">
        <v>proportion of cows greater than 2 years lactating for the season after calving</v>
      </c>
      <c r="F79" s="117"/>
      <c r="G79" s="117"/>
      <c r="H79" s="109"/>
      <c r="I79" s="57" t="str">
        <f>"See " &amp; D84</f>
        <v>See M1_Table_LC_j_k-4-5</v>
      </c>
      <c r="T79" s="52" t="str">
        <f>TEXT(EDATE('Input - Site'!$E$12,7), "mmmm yyyy")</f>
        <v>August 2024</v>
      </c>
      <c r="U79" s="52" cm="1">
        <f t="array" ref="U79">MMS_PastureBeef_Soil_N2ODirect_Equations.VEERG_4_2_1_3__6_IntakeRelativeToMaintenance(U63,U27)</f>
        <v>0</v>
      </c>
      <c r="V79" s="52" cm="1">
        <f t="array" ref="V79">MMS_PastureBeef_Soil_N2ODirect_Equations.VEERG_4_2_1_3__6_IntakeRelativeToMaintenance(V63,V27)</f>
        <v>0</v>
      </c>
      <c r="W79" s="52" cm="1">
        <f t="array" ref="W79">MMS_PastureBeef_Soil_N2ODirect_Equations.VEERG_4_2_1_3__6_IntakeRelativeToMaintenance(W63,W27)</f>
        <v>0</v>
      </c>
      <c r="X79" s="52" cm="1">
        <f t="array" ref="X79">MMS_PastureBeef_Soil_N2ODirect_Equations.VEERG_4_2_1_3__6_IntakeRelativeToMaintenance(X63,X27)</f>
        <v>0</v>
      </c>
      <c r="Y79" s="52" cm="1">
        <f t="array" ref="Y79">MMS_PastureBeef_Soil_N2ODirect_Equations.VEERG_4_2_1_3__6_IntakeRelativeToMaintenance(Y63,Y27)</f>
        <v>0</v>
      </c>
      <c r="Z79" s="52" cm="1">
        <f t="array" ref="Z79">MMS_PastureBeef_Soil_N2ODirect_Equations.VEERG_4_2_1_3__6_IntakeRelativeToMaintenance(Z63,Z27)</f>
        <v>0</v>
      </c>
      <c r="AA79" s="52" cm="1">
        <f t="array" ref="AA79">MMS_PastureBeef_Soil_N2ODirect_Equations.VEERG_4_2_1_3__6_IntakeRelativeToMaintenance(AA63,AA27)</f>
        <v>0</v>
      </c>
      <c r="AB79" s="52" cm="1">
        <f t="array" ref="AB79">MMS_PastureBeef_Soil_N2ODirect_Equations.VEERG_4_2_1_3__6_IntakeRelativeToMaintenance(AB63,AB27)</f>
        <v>0</v>
      </c>
      <c r="AC79" s="52" cm="1">
        <f t="array" ref="AC79">MMS_PastureBeef_Soil_N2ODirect_Equations.VEERG_4_2_1_3__6_IntakeRelativeToMaintenance(AC63,AC27)</f>
        <v>0</v>
      </c>
      <c r="AD79" s="52" cm="1">
        <f t="array" ref="AD79">MMS_PastureBeef_Soil_N2ODirect_Equations.VEERG_4_2_1_3__6_IntakeRelativeToMaintenance(AD63,AD27)</f>
        <v>0</v>
      </c>
      <c r="AE79" s="2" t="str">
        <f t="shared" si="3"/>
        <v>ratio</v>
      </c>
    </row>
    <row r="80" spans="3:31" ht="20.100000000000001" customHeight="1" x14ac:dyDescent="0.25">
      <c r="D80" s="108" t="str">
        <v>DMP_jk5calv</v>
      </c>
      <c r="E80" s="110" t="str">
        <v>daily milk production for the season of calving (kg/head/day)</v>
      </c>
      <c r="F80" s="117"/>
      <c r="G80" s="117"/>
      <c r="H80" s="109"/>
      <c r="I80" s="57" t="e" cm="1">
        <f t="array" ref="I80">_xlfn.XLOOKUP(1, (#REF!=$I$82)*(#REF!=+"Calving season"),#REF!)</f>
        <v>#REF!</v>
      </c>
      <c r="T80" s="52" t="str">
        <f>TEXT(EDATE('Input - Site'!$E$12,8), "mmmm yyyy")</f>
        <v>September 2024</v>
      </c>
      <c r="U80" s="52" cm="1">
        <f t="array" ref="U80">MMS_PastureBeef_Soil_N2ODirect_Equations.VEERG_4_2_1_3__6_IntakeRelativeToMaintenance(U64,U28)</f>
        <v>0</v>
      </c>
      <c r="V80" s="52" cm="1">
        <f t="array" ref="V80">MMS_PastureBeef_Soil_N2ODirect_Equations.VEERG_4_2_1_3__6_IntakeRelativeToMaintenance(V64,V28)</f>
        <v>0</v>
      </c>
      <c r="W80" s="52" cm="1">
        <f t="array" ref="W80">MMS_PastureBeef_Soil_N2ODirect_Equations.VEERG_4_2_1_3__6_IntakeRelativeToMaintenance(W64,W28)</f>
        <v>0</v>
      </c>
      <c r="X80" s="52" cm="1">
        <f t="array" ref="X80">MMS_PastureBeef_Soil_N2ODirect_Equations.VEERG_4_2_1_3__6_IntakeRelativeToMaintenance(X64,X28)</f>
        <v>0</v>
      </c>
      <c r="Y80" s="52" cm="1">
        <f t="array" ref="Y80">MMS_PastureBeef_Soil_N2ODirect_Equations.VEERG_4_2_1_3__6_IntakeRelativeToMaintenance(Y64,Y28)</f>
        <v>0</v>
      </c>
      <c r="Z80" s="52" cm="1">
        <f t="array" ref="Z80">MMS_PastureBeef_Soil_N2ODirect_Equations.VEERG_4_2_1_3__6_IntakeRelativeToMaintenance(Z64,Z28)</f>
        <v>0</v>
      </c>
      <c r="AA80" s="52" cm="1">
        <f t="array" ref="AA80">MMS_PastureBeef_Soil_N2ODirect_Equations.VEERG_4_2_1_3__6_IntakeRelativeToMaintenance(AA64,AA28)</f>
        <v>0</v>
      </c>
      <c r="AB80" s="52" cm="1">
        <f t="array" ref="AB80">MMS_PastureBeef_Soil_N2ODirect_Equations.VEERG_4_2_1_3__6_IntakeRelativeToMaintenance(AB64,AB28)</f>
        <v>0</v>
      </c>
      <c r="AC80" s="52" cm="1">
        <f t="array" ref="AC80">MMS_PastureBeef_Soil_N2ODirect_Equations.VEERG_4_2_1_3__6_IntakeRelativeToMaintenance(AC64,AC28)</f>
        <v>0</v>
      </c>
      <c r="AD80" s="52" cm="1">
        <f t="array" ref="AD80">MMS_PastureBeef_Soil_N2ODirect_Equations.VEERG_4_2_1_3__6_IntakeRelativeToMaintenance(AD64,AD28)</f>
        <v>0</v>
      </c>
      <c r="AE80" s="2" t="str">
        <f t="shared" si="3"/>
        <v>ratio</v>
      </c>
    </row>
    <row r="81" spans="4:32" ht="20.100000000000001" customHeight="1" x14ac:dyDescent="0.25">
      <c r="D81" s="108" t="str">
        <v>DMP_jk5after</v>
      </c>
      <c r="E81" s="110" t="str">
        <v>daily milk production for the season after calving (kg/head/day)</v>
      </c>
      <c r="F81" s="117"/>
      <c r="G81" s="117"/>
      <c r="H81" s="109"/>
      <c r="I81" s="57" t="e" cm="1">
        <f t="array" ref="I81">_xlfn.XLOOKUP(1, (#REF!=$I$82)*(#REF!=+"Season after calving"),#REF!)</f>
        <v>#REF!</v>
      </c>
      <c r="T81" s="52" t="str">
        <f>TEXT(EDATE('Input - Site'!$E$12,9), "mmmm yyyy")</f>
        <v>October 2024</v>
      </c>
      <c r="U81" s="52" cm="1">
        <f t="array" ref="U81">MMS_PastureBeef_Soil_N2ODirect_Equations.VEERG_4_2_1_3__6_IntakeRelativeToMaintenance(U65,U29)</f>
        <v>0</v>
      </c>
      <c r="V81" s="52" cm="1">
        <f t="array" ref="V81">MMS_PastureBeef_Soil_N2ODirect_Equations.VEERG_4_2_1_3__6_IntakeRelativeToMaintenance(V65,V29)</f>
        <v>0</v>
      </c>
      <c r="W81" s="52" cm="1">
        <f t="array" ref="W81">MMS_PastureBeef_Soil_N2ODirect_Equations.VEERG_4_2_1_3__6_IntakeRelativeToMaintenance(W65,W29)</f>
        <v>0</v>
      </c>
      <c r="X81" s="52" cm="1">
        <f t="array" ref="X81">MMS_PastureBeef_Soil_N2ODirect_Equations.VEERG_4_2_1_3__6_IntakeRelativeToMaintenance(X65,X29)</f>
        <v>0</v>
      </c>
      <c r="Y81" s="52" cm="1">
        <f t="array" ref="Y81">MMS_PastureBeef_Soil_N2ODirect_Equations.VEERG_4_2_1_3__6_IntakeRelativeToMaintenance(Y65,Y29)</f>
        <v>0</v>
      </c>
      <c r="Z81" s="52" cm="1">
        <f t="array" ref="Z81">MMS_PastureBeef_Soil_N2ODirect_Equations.VEERG_4_2_1_3__6_IntakeRelativeToMaintenance(Z65,Z29)</f>
        <v>0</v>
      </c>
      <c r="AA81" s="52" cm="1">
        <f t="array" ref="AA81">MMS_PastureBeef_Soil_N2ODirect_Equations.VEERG_4_2_1_3__6_IntakeRelativeToMaintenance(AA65,AA29)</f>
        <v>0</v>
      </c>
      <c r="AB81" s="52" cm="1">
        <f t="array" ref="AB81">MMS_PastureBeef_Soil_N2ODirect_Equations.VEERG_4_2_1_3__6_IntakeRelativeToMaintenance(AB65,AB29)</f>
        <v>0</v>
      </c>
      <c r="AC81" s="52" cm="1">
        <f t="array" ref="AC81">MMS_PastureBeef_Soil_N2ODirect_Equations.VEERG_4_2_1_3__6_IntakeRelativeToMaintenance(AC65,AC29)</f>
        <v>0</v>
      </c>
      <c r="AD81" s="52" cm="1">
        <f t="array" ref="AD81">MMS_PastureBeef_Soil_N2ODirect_Equations.VEERG_4_2_1_3__6_IntakeRelativeToMaintenance(AD65,AD29)</f>
        <v>0</v>
      </c>
      <c r="AE81" s="2" t="str">
        <f t="shared" si="3"/>
        <v>ratio</v>
      </c>
    </row>
    <row r="82" spans="4:32" ht="20.100000000000001" customHeight="1" x14ac:dyDescent="0.25">
      <c r="D82" s="108" t="str">
        <v>b</v>
      </c>
      <c r="E82" s="110" t="str">
        <v>breed of cattle</v>
      </c>
      <c r="F82" s="117"/>
      <c r="G82" s="117"/>
      <c r="H82" s="109"/>
      <c r="I82" s="57">
        <f>'Input - Swine'!$E$13</f>
        <v>0</v>
      </c>
      <c r="T82" s="52" t="str">
        <f>TEXT(EDATE('Input - Site'!$E$12,10), "mmmm yyyy")</f>
        <v>November 2024</v>
      </c>
      <c r="U82" s="52" cm="1">
        <f t="array" ref="U82">MMS_PastureBeef_Soil_N2ODirect_Equations.VEERG_4_2_1_3__6_IntakeRelativeToMaintenance(U66,U30)</f>
        <v>0</v>
      </c>
      <c r="V82" s="52" cm="1">
        <f t="array" ref="V82">MMS_PastureBeef_Soil_N2ODirect_Equations.VEERG_4_2_1_3__6_IntakeRelativeToMaintenance(V66,V30)</f>
        <v>0</v>
      </c>
      <c r="W82" s="52" cm="1">
        <f t="array" ref="W82">MMS_PastureBeef_Soil_N2ODirect_Equations.VEERG_4_2_1_3__6_IntakeRelativeToMaintenance(W66,W30)</f>
        <v>0</v>
      </c>
      <c r="X82" s="52" cm="1">
        <f t="array" ref="X82">MMS_PastureBeef_Soil_N2ODirect_Equations.VEERG_4_2_1_3__6_IntakeRelativeToMaintenance(X66,X30)</f>
        <v>0</v>
      </c>
      <c r="Y82" s="52" cm="1">
        <f t="array" ref="Y82">MMS_PastureBeef_Soil_N2ODirect_Equations.VEERG_4_2_1_3__6_IntakeRelativeToMaintenance(Y66,Y30)</f>
        <v>0</v>
      </c>
      <c r="Z82" s="52" cm="1">
        <f t="array" ref="Z82">MMS_PastureBeef_Soil_N2ODirect_Equations.VEERG_4_2_1_3__6_IntakeRelativeToMaintenance(Z66,Z30)</f>
        <v>0</v>
      </c>
      <c r="AA82" s="52" cm="1">
        <f t="array" ref="AA82">MMS_PastureBeef_Soil_N2ODirect_Equations.VEERG_4_2_1_3__6_IntakeRelativeToMaintenance(AA66,AA30)</f>
        <v>0</v>
      </c>
      <c r="AB82" s="52" cm="1">
        <f t="array" ref="AB82">MMS_PastureBeef_Soil_N2ODirect_Equations.VEERG_4_2_1_3__6_IntakeRelativeToMaintenance(AB66,AB30)</f>
        <v>0</v>
      </c>
      <c r="AC82" s="52" cm="1">
        <f t="array" ref="AC82">MMS_PastureBeef_Soil_N2ODirect_Equations.VEERG_4_2_1_3__6_IntakeRelativeToMaintenance(AC66,AC30)</f>
        <v>0</v>
      </c>
      <c r="AD82" s="52" cm="1">
        <f t="array" ref="AD82">MMS_PastureBeef_Soil_N2ODirect_Equations.VEERG_4_2_1_3__6_IntakeRelativeToMaintenance(AD66,AD30)</f>
        <v>0</v>
      </c>
      <c r="AE82" s="2" t="str">
        <f t="shared" si="3"/>
        <v>ratio</v>
      </c>
    </row>
    <row r="83" spans="4:32" ht="20.100000000000001" customHeight="1" x14ac:dyDescent="0.25">
      <c r="T83" s="52" t="str">
        <f>TEXT(EDATE('Input - Site'!$E$12,11), "mmmm yyyy")</f>
        <v>December 2024</v>
      </c>
      <c r="U83" s="52" cm="1">
        <f t="array" ref="U83">MMS_PastureBeef_Soil_N2ODirect_Equations.VEERG_4_2_1_3__6_IntakeRelativeToMaintenance(U67,U31)</f>
        <v>0</v>
      </c>
      <c r="V83" s="52" cm="1">
        <f t="array" ref="V83">MMS_PastureBeef_Soil_N2ODirect_Equations.VEERG_4_2_1_3__6_IntakeRelativeToMaintenance(V67,V31)</f>
        <v>0</v>
      </c>
      <c r="W83" s="52" cm="1">
        <f t="array" ref="W83">MMS_PastureBeef_Soil_N2ODirect_Equations.VEERG_4_2_1_3__6_IntakeRelativeToMaintenance(W67,W31)</f>
        <v>0</v>
      </c>
      <c r="X83" s="52" cm="1">
        <f t="array" ref="X83">MMS_PastureBeef_Soil_N2ODirect_Equations.VEERG_4_2_1_3__6_IntakeRelativeToMaintenance(X67,X31)</f>
        <v>0</v>
      </c>
      <c r="Y83" s="52" cm="1">
        <f t="array" ref="Y83">MMS_PastureBeef_Soil_N2ODirect_Equations.VEERG_4_2_1_3__6_IntakeRelativeToMaintenance(Y67,Y31)</f>
        <v>0</v>
      </c>
      <c r="Z83" s="52" cm="1">
        <f t="array" ref="Z83">MMS_PastureBeef_Soil_N2ODirect_Equations.VEERG_4_2_1_3__6_IntakeRelativeToMaintenance(Z67,Z31)</f>
        <v>0</v>
      </c>
      <c r="AA83" s="52" cm="1">
        <f t="array" ref="AA83">MMS_PastureBeef_Soil_N2ODirect_Equations.VEERG_4_2_1_3__6_IntakeRelativeToMaintenance(AA67,AA31)</f>
        <v>0</v>
      </c>
      <c r="AB83" s="52" cm="1">
        <f t="array" ref="AB83">MMS_PastureBeef_Soil_N2ODirect_Equations.VEERG_4_2_1_3__6_IntakeRelativeToMaintenance(AB67,AB31)</f>
        <v>0</v>
      </c>
      <c r="AC83" s="52" cm="1">
        <f t="array" ref="AC83">MMS_PastureBeef_Soil_N2ODirect_Equations.VEERG_4_2_1_3__6_IntakeRelativeToMaintenance(AC67,AC31)</f>
        <v>0</v>
      </c>
      <c r="AD83" s="52" cm="1">
        <f t="array" ref="AD83">MMS_PastureBeef_Soil_N2ODirect_Equations.VEERG_4_2_1_3__6_IntakeRelativeToMaintenance(AD67,AD31)</f>
        <v>0</v>
      </c>
      <c r="AE83" s="2" t="str">
        <f t="shared" si="3"/>
        <v>ratio</v>
      </c>
    </row>
    <row r="84" spans="4:32" ht="20.100000000000001" customHeight="1" x14ac:dyDescent="0.25">
      <c r="D84" s="99" t="s">
        <v>157</v>
      </c>
    </row>
    <row r="85" spans="4:32" ht="20.100000000000001" customHeight="1" x14ac:dyDescent="0.25">
      <c r="D85" s="98" t="s">
        <v>164</v>
      </c>
    </row>
    <row r="86" spans="4:32" ht="20.100000000000001" customHeight="1" x14ac:dyDescent="0.25">
      <c r="D86" s="51" t="s">
        <v>155</v>
      </c>
      <c r="E86" s="51" t="s">
        <v>144</v>
      </c>
      <c r="F86" s="51" t="s">
        <v>145</v>
      </c>
      <c r="G86" s="51" t="s">
        <v>146</v>
      </c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</row>
    <row r="87" spans="4:32" ht="20.100000000000001" customHeight="1" x14ac:dyDescent="0.25">
      <c r="D87" s="52" t="e">
        <f>'4.5.1.1-2 Methane'!#REF!</f>
        <v>#REF!</v>
      </c>
      <c r="E87" s="52" t="str">
        <f>'4.5.1.1-2 Methane'!D20</f>
        <v>Anaerobic lagoon</v>
      </c>
      <c r="F87" s="52">
        <f>'4.5.1.1-2 Methane'!E20</f>
        <v>0.15</v>
      </c>
      <c r="G87" s="52">
        <f>'4.5.1.1-2 Methane'!F20</f>
        <v>0.15</v>
      </c>
      <c r="H87" s="2" t="s">
        <v>99</v>
      </c>
      <c r="T87" s="6" t="str" cm="1">
        <f t="array" ref="T87">MMS_PastureBeef_Soil_N2ODirect_Equations.VEERG_4_2_1_3__5_MilkProductionForCalvingSeason_Title()</f>
        <v>Milk production for the season of calving and season after calving</v>
      </c>
    </row>
    <row r="88" spans="4:32" ht="20.100000000000001" customHeight="1" x14ac:dyDescent="0.25">
      <c r="D88" s="52" t="e">
        <f>'4.5.1.1-2 Methane'!#REF!</f>
        <v>#REF!</v>
      </c>
      <c r="E88" s="52" t="str">
        <f>'4.5.1.1-2 Methane'!D21</f>
        <v>Drylot (feed pad)</v>
      </c>
      <c r="F88" s="52">
        <f>'4.5.1.1-2 Methane'!E21</f>
        <v>0.15</v>
      </c>
      <c r="G88" s="52">
        <f>'4.5.1.1-2 Methane'!F21</f>
        <v>0.15</v>
      </c>
      <c r="H88" s="2" t="s">
        <v>99</v>
      </c>
    </row>
    <row r="89" spans="4:32" ht="20.100000000000001" customHeight="1" x14ac:dyDescent="0.25">
      <c r="D89" s="52" t="e">
        <f>'4.5.1.1-2 Methane'!#REF!</f>
        <v>#REF!</v>
      </c>
      <c r="E89" s="52" t="str">
        <f>'4.5.1.1-2 Methane'!D22</f>
        <v>Digester / covered lagoons</v>
      </c>
      <c r="F89" s="52">
        <f>'4.5.1.1-2 Methane'!E22</f>
        <v>0.15</v>
      </c>
      <c r="G89" s="52">
        <f>'4.5.1.1-2 Methane'!F22</f>
        <v>0.15</v>
      </c>
      <c r="H89" s="2" t="s">
        <v>99</v>
      </c>
      <c r="T89" s="99" t="s">
        <v>162</v>
      </c>
    </row>
    <row r="90" spans="4:32" ht="20.100000000000001" customHeight="1" x14ac:dyDescent="0.25">
      <c r="D90" s="52" t="e">
        <f>'4.5.1.1-2 Methane'!#REF!</f>
        <v>#REF!</v>
      </c>
      <c r="E90" s="52" t="str">
        <f>'4.5.1.1-2 Methane'!D23</f>
        <v>Deep litter</v>
      </c>
      <c r="F90" s="52">
        <f>'4.5.1.1-2 Methane'!E23</f>
        <v>0.15</v>
      </c>
      <c r="G90" s="52">
        <f>'4.5.1.1-2 Methane'!F23</f>
        <v>0.15</v>
      </c>
      <c r="H90" s="2" t="s">
        <v>99</v>
      </c>
      <c r="T90" s="98" t="s">
        <v>163</v>
      </c>
    </row>
    <row r="91" spans="4:32" ht="20.100000000000001" customHeight="1" x14ac:dyDescent="0.25">
      <c r="T91" s="51" t="s">
        <v>155</v>
      </c>
      <c r="U91" s="51" t="s">
        <v>144</v>
      </c>
      <c r="V91" s="51" t="s">
        <v>145</v>
      </c>
      <c r="W91" s="51" t="s">
        <v>146</v>
      </c>
    </row>
    <row r="92" spans="4:32" ht="20.100000000000001" customHeight="1" x14ac:dyDescent="0.25">
      <c r="D92" s="99" t="s">
        <v>187</v>
      </c>
      <c r="T92" s="52">
        <f>'Input - Swine'!$D$204</f>
        <v>0</v>
      </c>
      <c r="U92" s="52">
        <f>'4.5.1.1-2 Methane'!U22</f>
        <v>0</v>
      </c>
      <c r="V92" s="52">
        <f>'4.5.1.1-2 Methane'!V22</f>
        <v>0</v>
      </c>
      <c r="W92" s="52">
        <f>'4.5.1.1-2 Methane'!W22</f>
        <v>0</v>
      </c>
      <c r="X92" s="2" t="s">
        <v>99</v>
      </c>
    </row>
    <row r="93" spans="4:32" ht="20.100000000000001" customHeight="1" x14ac:dyDescent="0.25">
      <c r="D93" s="98" t="s">
        <v>122</v>
      </c>
      <c r="T93" s="52">
        <f>'Input - Swine'!$D$205</f>
        <v>0</v>
      </c>
      <c r="U93" s="52">
        <f>'4.5.1.1-2 Methane'!U23</f>
        <v>0</v>
      </c>
      <c r="V93" s="52">
        <f>'4.5.1.1-2 Methane'!V23</f>
        <v>0</v>
      </c>
      <c r="W93" s="52">
        <f>'4.5.1.1-2 Methane'!W23</f>
        <v>0</v>
      </c>
      <c r="X93" s="2" t="s">
        <v>99</v>
      </c>
    </row>
    <row r="94" spans="4:32" ht="20.100000000000001" customHeight="1" x14ac:dyDescent="0.25">
      <c r="D94" s="51" t="s">
        <v>155</v>
      </c>
      <c r="E94" s="51" t="s">
        <v>118</v>
      </c>
      <c r="F94" s="51" t="s">
        <v>117</v>
      </c>
      <c r="G94" s="51" t="s">
        <v>143</v>
      </c>
      <c r="H94" s="51" t="s">
        <v>144</v>
      </c>
      <c r="I94" s="51" t="s">
        <v>145</v>
      </c>
      <c r="J94" s="51" t="s">
        <v>146</v>
      </c>
      <c r="K94" s="51" t="s">
        <v>147</v>
      </c>
      <c r="L94" s="51" t="s">
        <v>148</v>
      </c>
      <c r="M94" s="51" t="s">
        <v>149</v>
      </c>
      <c r="N94" s="51" t="s">
        <v>150</v>
      </c>
      <c r="T94" s="52" t="e">
        <f>'Input - Swine'!#REF!</f>
        <v>#REF!</v>
      </c>
      <c r="U94" s="52">
        <f>'4.5.1.1-2 Methane'!U24</f>
        <v>0</v>
      </c>
      <c r="V94" s="52">
        <f>'4.5.1.1-2 Methane'!V24</f>
        <v>0</v>
      </c>
      <c r="W94" s="52">
        <f>'4.5.1.1-2 Methane'!W24</f>
        <v>0</v>
      </c>
      <c r="X94" s="2" t="s">
        <v>99</v>
      </c>
    </row>
    <row r="95" spans="4:32" ht="20.100000000000001" customHeight="1" x14ac:dyDescent="0.25">
      <c r="D95" s="52" t="e">
        <f>'4.5.1.1-2 Methane'!#REF!</f>
        <v>#REF!</v>
      </c>
      <c r="E95" s="52">
        <v>0</v>
      </c>
      <c r="F95" s="52">
        <v>0</v>
      </c>
      <c r="G95" s="52">
        <v>0</v>
      </c>
      <c r="H95" s="52" t="e" cm="1">
        <f t="array" ref="H95">MMS_PastureBeef_Soil_N2ODirect_Equations.VEERG_4_2_1_3__5_MilkProductionForCalvingSeasonVariation(E87,E90,$I$80,$I$81)</f>
        <v>#VALUE!</v>
      </c>
      <c r="I95" s="52" t="e" cm="1">
        <f t="array" ref="I95">MMS_PastureBeef_Soil_N2ODirect_Equations.VEERG_4_2_1_3__5_MilkProductionForCalvingSeasonVariation(F87,F90,$I$80,$I$81)</f>
        <v>#REF!</v>
      </c>
      <c r="J95" s="52" t="e" cm="1">
        <f t="array" ref="J95">MMS_PastureBeef_Soil_N2ODirect_Equations.VEERG_4_2_1_3__5_MilkProductionForCalvingSeasonVariation(G87,G90,$I$80,$I$81)</f>
        <v>#REF!</v>
      </c>
      <c r="K95" s="52">
        <v>0</v>
      </c>
      <c r="L95" s="52">
        <v>0</v>
      </c>
      <c r="M95" s="52">
        <v>0</v>
      </c>
      <c r="N95" s="52">
        <v>0</v>
      </c>
      <c r="O95" s="2" t="str">
        <f>$E$76</f>
        <v>kg/head/day</v>
      </c>
      <c r="T95" s="52" t="e">
        <f>'Input - Swine'!#REF!</f>
        <v>#REF!</v>
      </c>
      <c r="U95" s="52">
        <f>'4.5.1.1-2 Methane'!U25</f>
        <v>0</v>
      </c>
      <c r="V95" s="52">
        <f>'4.5.1.1-2 Methane'!V25</f>
        <v>0</v>
      </c>
      <c r="W95" s="52">
        <f>'4.5.1.1-2 Methane'!W25</f>
        <v>0</v>
      </c>
      <c r="X95" s="2" t="s">
        <v>99</v>
      </c>
    </row>
    <row r="96" spans="4:32" ht="20.100000000000001" customHeight="1" x14ac:dyDescent="0.25">
      <c r="D96" s="52" t="e">
        <f>'4.5.1.1-2 Methane'!#REF!</f>
        <v>#REF!</v>
      </c>
      <c r="E96" s="52">
        <v>0</v>
      </c>
      <c r="F96" s="52">
        <v>0</v>
      </c>
      <c r="G96" s="52">
        <v>0</v>
      </c>
      <c r="H96" s="52" t="e" cm="1">
        <f t="array" ref="H96">MMS_PastureBeef_Soil_N2ODirect_Equations.VEERG_4_2_1_3__5_MilkProductionForCalvingSeasonVariation(E88,E87,$I$80,$I$81)</f>
        <v>#VALUE!</v>
      </c>
      <c r="I96" s="52" t="e" cm="1">
        <f t="array" ref="I96">MMS_PastureBeef_Soil_N2ODirect_Equations.VEERG_4_2_1_3__5_MilkProductionForCalvingSeasonVariation(F88,F87,$I$80,$I$81)</f>
        <v>#REF!</v>
      </c>
      <c r="J96" s="52" t="e" cm="1">
        <f t="array" ref="J96">MMS_PastureBeef_Soil_N2ODirect_Equations.VEERG_4_2_1_3__5_MilkProductionForCalvingSeasonVariation(G88,G87,$I$80,$I$81)</f>
        <v>#REF!</v>
      </c>
      <c r="K96" s="52">
        <v>0</v>
      </c>
      <c r="L96" s="52">
        <v>0</v>
      </c>
      <c r="M96" s="52">
        <v>0</v>
      </c>
      <c r="N96" s="52">
        <v>0</v>
      </c>
      <c r="O96" s="2" t="str">
        <f t="shared" ref="O96:O98" si="4">$E$76</f>
        <v>kg/head/day</v>
      </c>
    </row>
    <row r="97" spans="3:31" ht="20.100000000000001" customHeight="1" x14ac:dyDescent="0.25">
      <c r="D97" s="52" t="e">
        <f>'4.5.1.1-2 Methane'!#REF!</f>
        <v>#REF!</v>
      </c>
      <c r="E97" s="52">
        <v>0</v>
      </c>
      <c r="F97" s="52">
        <v>0</v>
      </c>
      <c r="G97" s="52">
        <v>0</v>
      </c>
      <c r="H97" s="52" t="e" cm="1">
        <f t="array" ref="H97">MMS_PastureBeef_Soil_N2ODirect_Equations.VEERG_4_2_1_3__5_MilkProductionForCalvingSeasonVariation(E89,E88,$I$80,$I$81)</f>
        <v>#VALUE!</v>
      </c>
      <c r="I97" s="52" t="e" cm="1">
        <f t="array" ref="I97">MMS_PastureBeef_Soil_N2ODirect_Equations.VEERG_4_2_1_3__5_MilkProductionForCalvingSeasonVariation(F89,F88,$I$80,$I$81)</f>
        <v>#REF!</v>
      </c>
      <c r="J97" s="52" t="e" cm="1">
        <f t="array" ref="J97">MMS_PastureBeef_Soil_N2ODirect_Equations.VEERG_4_2_1_3__5_MilkProductionForCalvingSeasonVariation(G89,G88,$I$80,$I$81)</f>
        <v>#REF!</v>
      </c>
      <c r="K97" s="52">
        <v>0</v>
      </c>
      <c r="L97" s="52">
        <v>0</v>
      </c>
      <c r="M97" s="52">
        <v>0</v>
      </c>
      <c r="N97" s="52">
        <v>0</v>
      </c>
      <c r="O97" s="2" t="str">
        <f t="shared" si="4"/>
        <v>kg/head/day</v>
      </c>
      <c r="T97" s="99" t="s">
        <v>187</v>
      </c>
    </row>
    <row r="98" spans="3:31" ht="20.100000000000001" customHeight="1" x14ac:dyDescent="0.25">
      <c r="D98" s="52" t="e">
        <f>'4.5.1.1-2 Methane'!#REF!</f>
        <v>#REF!</v>
      </c>
      <c r="E98" s="52">
        <v>0</v>
      </c>
      <c r="F98" s="52">
        <v>0</v>
      </c>
      <c r="G98" s="52">
        <v>0</v>
      </c>
      <c r="H98" s="52" t="e" cm="1">
        <f t="array" ref="H98">MMS_PastureBeef_Soil_N2ODirect_Equations.VEERG_4_2_1_3__5_MilkProductionForCalvingSeasonVariation(E90,E89,$I$80,$I$81)</f>
        <v>#VALUE!</v>
      </c>
      <c r="I98" s="52" t="e" cm="1">
        <f t="array" ref="I98">MMS_PastureBeef_Soil_N2ODirect_Equations.VEERG_4_2_1_3__5_MilkProductionForCalvingSeasonVariation(F90,F89,$I$80,$I$81)</f>
        <v>#REF!</v>
      </c>
      <c r="J98" s="52" t="e" cm="1">
        <f t="array" ref="J98">MMS_PastureBeef_Soil_N2ODirect_Equations.VEERG_4_2_1_3__5_MilkProductionForCalvingSeasonVariation(G90,G89,$I$80,$I$81)</f>
        <v>#REF!</v>
      </c>
      <c r="K98" s="52">
        <v>0</v>
      </c>
      <c r="L98" s="52">
        <v>0</v>
      </c>
      <c r="M98" s="52">
        <v>0</v>
      </c>
      <c r="N98" s="52">
        <v>0</v>
      </c>
      <c r="O98" s="2" t="str">
        <f t="shared" si="4"/>
        <v>kg/head/day</v>
      </c>
      <c r="T98" s="98" t="s">
        <v>122</v>
      </c>
    </row>
    <row r="99" spans="3:31" ht="20.100000000000001" customHeight="1" x14ac:dyDescent="0.25">
      <c r="T99" s="51" t="s">
        <v>119</v>
      </c>
      <c r="U99" s="51" t="s">
        <v>118</v>
      </c>
      <c r="V99" s="51" t="s">
        <v>117</v>
      </c>
      <c r="W99" s="51" t="s">
        <v>143</v>
      </c>
      <c r="X99" s="51" t="s">
        <v>144</v>
      </c>
      <c r="Y99" s="51" t="s">
        <v>145</v>
      </c>
      <c r="Z99" s="51" t="s">
        <v>146</v>
      </c>
      <c r="AA99" s="51" t="s">
        <v>147</v>
      </c>
      <c r="AB99" s="51" t="s">
        <v>148</v>
      </c>
      <c r="AC99" s="51" t="s">
        <v>149</v>
      </c>
      <c r="AD99" s="51" t="s">
        <v>150</v>
      </c>
    </row>
    <row r="100" spans="3:31" ht="20.100000000000001" customHeight="1" x14ac:dyDescent="0.25">
      <c r="T100" s="52" t="str">
        <f>TEXT('Input - Site'!$E$12, "mmmm yyyy")</f>
        <v>January 2024</v>
      </c>
      <c r="U100" s="52">
        <v>0</v>
      </c>
      <c r="V100" s="52">
        <v>0</v>
      </c>
      <c r="W100" s="52">
        <v>0</v>
      </c>
      <c r="X100" s="52" t="e" cm="1">
        <f t="array" ref="X100">MMS_PastureBeef_Soil_N2ODirect_Equations.VEERG_4_2_1_3__5_MilkProductionForCalvingSeasonVariation(U$92,U$95,$I$80,$I$81)</f>
        <v>#REF!</v>
      </c>
      <c r="Y100" s="52" t="e" cm="1">
        <f t="array" ref="Y100">MMS_PastureBeef_Soil_N2ODirect_Equations.VEERG_4_2_1_3__5_MilkProductionForCalvingSeasonVariation(V$92,V$95,$I$80,$I$81)</f>
        <v>#REF!</v>
      </c>
      <c r="Z100" s="52" t="e" cm="1">
        <f t="array" ref="Z100">MMS_PastureBeef_Soil_N2ODirect_Equations.VEERG_4_2_1_3__5_MilkProductionForCalvingSeasonVariation(W$92,W$95,$I$80,$I$81)</f>
        <v>#REF!</v>
      </c>
      <c r="AA100" s="52">
        <v>0</v>
      </c>
      <c r="AB100" s="52">
        <v>0</v>
      </c>
      <c r="AC100" s="52">
        <v>0</v>
      </c>
      <c r="AD100" s="52">
        <v>0</v>
      </c>
      <c r="AE100" s="2" t="str">
        <f t="shared" ref="AE100:AE111" si="5">$E$76</f>
        <v>kg/head/day</v>
      </c>
    </row>
    <row r="101" spans="3:31" ht="20.100000000000001" customHeight="1" x14ac:dyDescent="0.25"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T101" s="52" t="str">
        <f>TEXT(EDATE('Input - Site'!$E$12,1), "mmmm yyyy")</f>
        <v>February 2024</v>
      </c>
      <c r="U101" s="52">
        <v>0</v>
      </c>
      <c r="V101" s="52">
        <v>0</v>
      </c>
      <c r="W101" s="52">
        <v>0</v>
      </c>
      <c r="X101" s="52" t="e" cm="1">
        <f t="array" ref="X101">MMS_PastureBeef_Soil_N2ODirect_Equations.VEERG_4_2_1_3__5_MilkProductionForCalvingSeasonVariation(U$92,U$95,$I$80,$I$81)</f>
        <v>#REF!</v>
      </c>
      <c r="Y101" s="52" t="e" cm="1">
        <f t="array" ref="Y101">MMS_PastureBeef_Soil_N2ODirect_Equations.VEERG_4_2_1_3__5_MilkProductionForCalvingSeasonVariation(V$92,V$95,$I$80,$I$81)</f>
        <v>#REF!</v>
      </c>
      <c r="Z101" s="52" t="e" cm="1">
        <f t="array" ref="Z101">MMS_PastureBeef_Soil_N2ODirect_Equations.VEERG_4_2_1_3__5_MilkProductionForCalvingSeasonVariation(W$92,W$95,$I$80,$I$81)</f>
        <v>#REF!</v>
      </c>
      <c r="AA101" s="52">
        <v>0</v>
      </c>
      <c r="AB101" s="52">
        <v>0</v>
      </c>
      <c r="AC101" s="52">
        <v>0</v>
      </c>
      <c r="AD101" s="52">
        <v>0</v>
      </c>
      <c r="AE101" s="2" t="str">
        <f t="shared" si="5"/>
        <v>kg/head/day</v>
      </c>
    </row>
    <row r="102" spans="3:31" ht="20.100000000000001" customHeight="1" x14ac:dyDescent="0.25">
      <c r="D102" s="6" t="str" cm="1">
        <f t="array" ref="D102">MMS_PastureBeef_Soil_N2ODirect_Equations.VEERG_4_2_1_3__4_NitrogenRetainedByBody_Title()</f>
        <v>Amount of nitrogen retained by the body</v>
      </c>
      <c r="T102" s="52" t="str">
        <f>TEXT(EDATE('Input - Site'!$E$12,2), "mmmm yyyy")</f>
        <v>March 2024</v>
      </c>
      <c r="U102" s="52">
        <v>0</v>
      </c>
      <c r="V102" s="52">
        <v>0</v>
      </c>
      <c r="W102" s="52">
        <v>0</v>
      </c>
      <c r="X102" s="52" t="e" cm="1">
        <f t="array" ref="X102">MMS_PastureBeef_Soil_N2ODirect_Equations.VEERG_4_2_1_3__5_MilkProductionForCalvingSeasonVariation(U$92,U$95,$I$80,$I$81)</f>
        <v>#REF!</v>
      </c>
      <c r="Y102" s="52" t="e" cm="1">
        <f t="array" ref="Y102">MMS_PastureBeef_Soil_N2ODirect_Equations.VEERG_4_2_1_3__5_MilkProductionForCalvingSeasonVariation(V$92,V$95,$I$80,$I$81)</f>
        <v>#REF!</v>
      </c>
      <c r="Z102" s="52" t="e" cm="1">
        <f t="array" ref="Z102">MMS_PastureBeef_Soil_N2ODirect_Equations.VEERG_4_2_1_3__5_MilkProductionForCalvingSeasonVariation(W$92,W$95,$I$80,$I$81)</f>
        <v>#REF!</v>
      </c>
      <c r="AA102" s="52">
        <v>0</v>
      </c>
      <c r="AB102" s="52">
        <v>0</v>
      </c>
      <c r="AC102" s="52">
        <v>0</v>
      </c>
      <c r="AD102" s="52">
        <v>0</v>
      </c>
      <c r="AE102" s="2" t="str">
        <f t="shared" si="5"/>
        <v>kg/head/day</v>
      </c>
    </row>
    <row r="103" spans="3:31" ht="20.100000000000001" customHeight="1" x14ac:dyDescent="0.25">
      <c r="D103" s="5" t="str" cm="1">
        <f t="array" ref="D103">MMS_PastureBeef_Soil_N2ODirect_Equations.VEERG_4_2_1_3__4_NitrogenRetainedByBody_Source()</f>
        <v>VEERG 2026: 4.2.1.3, Equation (4)</v>
      </c>
      <c r="T103" s="52" t="str">
        <f>TEXT(EDATE('Input - Site'!$E$12,3), "mmmm yyyy")</f>
        <v>April 2024</v>
      </c>
      <c r="U103" s="52">
        <v>0</v>
      </c>
      <c r="V103" s="52">
        <v>0</v>
      </c>
      <c r="W103" s="52">
        <v>0</v>
      </c>
      <c r="X103" s="52" t="e" cm="1">
        <f t="array" ref="X103">MMS_PastureBeef_Soil_N2ODirect_Equations.VEERG_4_2_1_3__5_MilkProductionForCalvingSeasonVariation(U$93,U$92,$I$80,$I$81)</f>
        <v>#REF!</v>
      </c>
      <c r="Y103" s="52" t="e" cm="1">
        <f t="array" ref="Y103">MMS_PastureBeef_Soil_N2ODirect_Equations.VEERG_4_2_1_3__5_MilkProductionForCalvingSeasonVariation(V$93,V$92,$I$80,$I$81)</f>
        <v>#REF!</v>
      </c>
      <c r="Z103" s="52" t="e" cm="1">
        <f t="array" ref="Z103">MMS_PastureBeef_Soil_N2ODirect_Equations.VEERG_4_2_1_3__5_MilkProductionForCalvingSeasonVariation(W$93,W$92,$I$80,$I$81)</f>
        <v>#REF!</v>
      </c>
      <c r="AA103" s="52">
        <v>0</v>
      </c>
      <c r="AB103" s="52">
        <v>0</v>
      </c>
      <c r="AC103" s="52">
        <v>0</v>
      </c>
      <c r="AD103" s="52">
        <v>0</v>
      </c>
      <c r="AE103" s="2" t="str">
        <f t="shared" si="5"/>
        <v>kg/head/day</v>
      </c>
    </row>
    <row r="104" spans="3:31" ht="20.100000000000001" customHeight="1" x14ac:dyDescent="0.25">
      <c r="D104" s="13" t="s">
        <v>26</v>
      </c>
      <c r="E104" s="13" t="str" cm="1">
        <f t="array" aca="1" ref="E104" ca="1">Common_InputFunctions.Utility_DisplayFunctionName(E127)</f>
        <v>=MMS_PastureBeef_Soil_N2ODirect_Equations.VEERG_4_2_1_3__4_NitrogenRetainedByBody</v>
      </c>
      <c r="T104" s="52" t="str">
        <f>TEXT(EDATE('Input - Site'!$E$12,4), "mmmm yyyy")</f>
        <v>May 2024</v>
      </c>
      <c r="U104" s="52">
        <v>0</v>
      </c>
      <c r="V104" s="52">
        <v>0</v>
      </c>
      <c r="W104" s="52">
        <v>0</v>
      </c>
      <c r="X104" s="52" t="e" cm="1">
        <f t="array" ref="X104">MMS_PastureBeef_Soil_N2ODirect_Equations.VEERG_4_2_1_3__5_MilkProductionForCalvingSeasonVariation(U$93,U$92,$I$80,$I$81)</f>
        <v>#REF!</v>
      </c>
      <c r="Y104" s="52" t="e" cm="1">
        <f t="array" ref="Y104">MMS_PastureBeef_Soil_N2ODirect_Equations.VEERG_4_2_1_3__5_MilkProductionForCalvingSeasonVariation(V$93,V$92,$I$80,$I$81)</f>
        <v>#REF!</v>
      </c>
      <c r="Z104" s="52" t="e" cm="1">
        <f t="array" ref="Z104">MMS_PastureBeef_Soil_N2ODirect_Equations.VEERG_4_2_1_3__5_MilkProductionForCalvingSeasonVariation(W$93,W$92,$I$80,$I$81)</f>
        <v>#REF!</v>
      </c>
      <c r="AA104" s="52">
        <v>0</v>
      </c>
      <c r="AB104" s="52">
        <v>0</v>
      </c>
      <c r="AC104" s="52">
        <v>0</v>
      </c>
      <c r="AD104" s="52">
        <v>0</v>
      </c>
      <c r="AE104" s="2" t="str">
        <f t="shared" si="5"/>
        <v>kg/head/day</v>
      </c>
    </row>
    <row r="105" spans="3:31" ht="20.100000000000001" customHeight="1" x14ac:dyDescent="0.25">
      <c r="T105" s="52" t="str">
        <f>TEXT(EDATE('Input - Site'!$E$12,5), "mmmm yyyy")</f>
        <v>June 2024</v>
      </c>
      <c r="U105" s="52">
        <v>0</v>
      </c>
      <c r="V105" s="52">
        <v>0</v>
      </c>
      <c r="W105" s="52">
        <v>0</v>
      </c>
      <c r="X105" s="52" t="e" cm="1">
        <f t="array" ref="X105">MMS_PastureBeef_Soil_N2ODirect_Equations.VEERG_4_2_1_3__5_MilkProductionForCalvingSeasonVariation(U$93,U$92,$I$80,$I$81)</f>
        <v>#REF!</v>
      </c>
      <c r="Y105" s="52" t="e" cm="1">
        <f t="array" ref="Y105">MMS_PastureBeef_Soil_N2ODirect_Equations.VEERG_4_2_1_3__5_MilkProductionForCalvingSeasonVariation(V$93,V$92,$I$80,$I$81)</f>
        <v>#REF!</v>
      </c>
      <c r="Z105" s="52" t="e" cm="1">
        <f t="array" ref="Z105">MMS_PastureBeef_Soil_N2ODirect_Equations.VEERG_4_2_1_3__5_MilkProductionForCalvingSeasonVariation(W$93,W$92,$I$80,$I$81)</f>
        <v>#REF!</v>
      </c>
      <c r="AA105" s="52">
        <v>0</v>
      </c>
      <c r="AB105" s="52">
        <v>0</v>
      </c>
      <c r="AC105" s="52">
        <v>0</v>
      </c>
      <c r="AD105" s="52">
        <v>0</v>
      </c>
      <c r="AE105" s="2" t="str">
        <f t="shared" si="5"/>
        <v>kg/head/day</v>
      </c>
    </row>
    <row r="106" spans="3:31" ht="20.100000000000001" customHeight="1" x14ac:dyDescent="0.25">
      <c r="T106" s="52" t="str">
        <f>TEXT(EDATE('Input - Site'!$E$12,6), "mmmm yyyy")</f>
        <v>July 2024</v>
      </c>
      <c r="U106" s="52">
        <v>0</v>
      </c>
      <c r="V106" s="52">
        <v>0</v>
      </c>
      <c r="W106" s="52">
        <v>0</v>
      </c>
      <c r="X106" s="52" t="e" cm="1">
        <f t="array" ref="X106">MMS_PastureBeef_Soil_N2ODirect_Equations.VEERG_4_2_1_3__5_MilkProductionForCalvingSeasonVariation(U$94,U$93,$I$80,$I$81)</f>
        <v>#REF!</v>
      </c>
      <c r="Y106" s="52" t="e" cm="1">
        <f t="array" ref="Y106">MMS_PastureBeef_Soil_N2ODirect_Equations.VEERG_4_2_1_3__5_MilkProductionForCalvingSeasonVariation(V$94,V$93,$I$80,$I$81)</f>
        <v>#REF!</v>
      </c>
      <c r="Z106" s="52" t="e" cm="1">
        <f t="array" ref="Z106">MMS_PastureBeef_Soil_N2ODirect_Equations.VEERG_4_2_1_3__5_MilkProductionForCalvingSeasonVariation(W$94,W$93,$I$80,$I$81)</f>
        <v>#REF!</v>
      </c>
      <c r="AA106" s="52">
        <v>0</v>
      </c>
      <c r="AB106" s="52">
        <v>0</v>
      </c>
      <c r="AC106" s="52">
        <v>0</v>
      </c>
      <c r="AD106" s="52">
        <v>0</v>
      </c>
      <c r="AE106" s="2" t="str">
        <f t="shared" si="5"/>
        <v>kg/head/day</v>
      </c>
    </row>
    <row r="107" spans="3:31" ht="20.100000000000001" customHeight="1" x14ac:dyDescent="0.25">
      <c r="T107" s="52" t="str">
        <f>TEXT(EDATE('Input - Site'!$E$12,7), "mmmm yyyy")</f>
        <v>August 2024</v>
      </c>
      <c r="U107" s="52">
        <v>0</v>
      </c>
      <c r="V107" s="52">
        <v>0</v>
      </c>
      <c r="W107" s="52">
        <v>0</v>
      </c>
      <c r="X107" s="52" t="e" cm="1">
        <f t="array" ref="X107">MMS_PastureBeef_Soil_N2ODirect_Equations.VEERG_4_2_1_3__5_MilkProductionForCalvingSeasonVariation(U$94,U$93,$I$80,$I$81)</f>
        <v>#REF!</v>
      </c>
      <c r="Y107" s="52" t="e" cm="1">
        <f t="array" ref="Y107">MMS_PastureBeef_Soil_N2ODirect_Equations.VEERG_4_2_1_3__5_MilkProductionForCalvingSeasonVariation(V$94,V$93,$I$80,$I$81)</f>
        <v>#REF!</v>
      </c>
      <c r="Z107" s="52" t="e" cm="1">
        <f t="array" ref="Z107">MMS_PastureBeef_Soil_N2ODirect_Equations.VEERG_4_2_1_3__5_MilkProductionForCalvingSeasonVariation(W$94,W$93,$I$80,$I$81)</f>
        <v>#REF!</v>
      </c>
      <c r="AA107" s="52">
        <v>0</v>
      </c>
      <c r="AB107" s="52">
        <v>0</v>
      </c>
      <c r="AC107" s="52">
        <v>0</v>
      </c>
      <c r="AD107" s="52">
        <v>0</v>
      </c>
      <c r="AE107" s="2" t="str">
        <f t="shared" si="5"/>
        <v>kg/head/day</v>
      </c>
    </row>
    <row r="108" spans="3:31" ht="20.100000000000001" customHeight="1" x14ac:dyDescent="0.25">
      <c r="D108" s="53" t="s">
        <v>29</v>
      </c>
      <c r="E108" s="1" t="str" cm="1">
        <f t="array" ref="E108">MMS_PastureBeef_Soil_N2ODirect_Equations.VEERG_4_2_1_3__4_NitrogenRetainedByBody_Variable()</f>
        <v>NR_jkl</v>
      </c>
      <c r="T108" s="52" t="str">
        <f>TEXT(EDATE('Input - Site'!$E$12,8), "mmmm yyyy")</f>
        <v>September 2024</v>
      </c>
      <c r="U108" s="52">
        <v>0</v>
      </c>
      <c r="V108" s="52">
        <v>0</v>
      </c>
      <c r="W108" s="52">
        <v>0</v>
      </c>
      <c r="X108" s="52" t="e" cm="1">
        <f t="array" ref="X108">MMS_PastureBeef_Soil_N2ODirect_Equations.VEERG_4_2_1_3__5_MilkProductionForCalvingSeasonVariation(U$94,U$93,$I$80,$I$81)</f>
        <v>#REF!</v>
      </c>
      <c r="Y108" s="52" t="e" cm="1">
        <f t="array" ref="Y108">MMS_PastureBeef_Soil_N2ODirect_Equations.VEERG_4_2_1_3__5_MilkProductionForCalvingSeasonVariation(V$94,V$93,$I$80,$I$81)</f>
        <v>#REF!</v>
      </c>
      <c r="Z108" s="52" t="e" cm="1">
        <f t="array" ref="Z108">MMS_PastureBeef_Soil_N2ODirect_Equations.VEERG_4_2_1_3__5_MilkProductionForCalvingSeasonVariation(W$94,W$93,$I$80,$I$81)</f>
        <v>#REF!</v>
      </c>
      <c r="AA108" s="52">
        <v>0</v>
      </c>
      <c r="AB108" s="52">
        <v>0</v>
      </c>
      <c r="AC108" s="52">
        <v>0</v>
      </c>
      <c r="AD108" s="52">
        <v>0</v>
      </c>
      <c r="AE108" s="2" t="str">
        <f t="shared" si="5"/>
        <v>kg/head/day</v>
      </c>
    </row>
    <row r="109" spans="3:31" ht="20.100000000000001" customHeight="1" x14ac:dyDescent="0.25">
      <c r="D109" s="53" t="s">
        <v>19</v>
      </c>
      <c r="E109" s="54" t="str" cm="1">
        <f t="array" ref="E109">MMS_PastureBeef_Soil_N2ODirect_Equations.VEERG_4_2_1_3__4_NitrogenRetainedByBody_Unit()</f>
        <v>kg N/head/day</v>
      </c>
      <c r="T109" s="52" t="str">
        <f>TEXT(EDATE('Input - Site'!$E$12,9), "mmmm yyyy")</f>
        <v>October 2024</v>
      </c>
      <c r="U109" s="52">
        <v>0</v>
      </c>
      <c r="V109" s="52">
        <v>0</v>
      </c>
      <c r="W109" s="52">
        <v>0</v>
      </c>
      <c r="X109" s="52" t="e" cm="1">
        <f t="array" ref="X109">MMS_PastureBeef_Soil_N2ODirect_Equations.VEERG_4_2_1_3__5_MilkProductionForCalvingSeasonVariation(U$95,U$94,$I$80,$I$81)</f>
        <v>#REF!</v>
      </c>
      <c r="Y109" s="52" t="e" cm="1">
        <f t="array" ref="Y109">MMS_PastureBeef_Soil_N2ODirect_Equations.VEERG_4_2_1_3__5_MilkProductionForCalvingSeasonVariation(V$95,V$94,$I$80,$I$81)</f>
        <v>#REF!</v>
      </c>
      <c r="Z109" s="52" t="e" cm="1">
        <f t="array" ref="Z109">MMS_PastureBeef_Soil_N2ODirect_Equations.VEERG_4_2_1_3__5_MilkProductionForCalvingSeasonVariation(W$95,W$94,$I$80,$I$81)</f>
        <v>#REF!</v>
      </c>
      <c r="AA109" s="52">
        <v>0</v>
      </c>
      <c r="AB109" s="52">
        <v>0</v>
      </c>
      <c r="AC109" s="52">
        <v>0</v>
      </c>
      <c r="AD109" s="52">
        <v>0</v>
      </c>
      <c r="AE109" s="2" t="str">
        <f t="shared" si="5"/>
        <v>kg/head/day</v>
      </c>
    </row>
    <row r="110" spans="3:31" ht="20.100000000000001" customHeight="1" x14ac:dyDescent="0.25">
      <c r="T110" s="52" t="str">
        <f>TEXT(EDATE('Input - Site'!$E$12,10), "mmmm yyyy")</f>
        <v>November 2024</v>
      </c>
      <c r="U110" s="52">
        <v>0</v>
      </c>
      <c r="V110" s="52">
        <v>0</v>
      </c>
      <c r="W110" s="52">
        <v>0</v>
      </c>
      <c r="X110" s="52" t="e" cm="1">
        <f t="array" ref="X110">MMS_PastureBeef_Soil_N2ODirect_Equations.VEERG_4_2_1_3__5_MilkProductionForCalvingSeasonVariation(U$95,U$94,$I$80,$I$81)</f>
        <v>#REF!</v>
      </c>
      <c r="Y110" s="52" t="e" cm="1">
        <f t="array" ref="Y110">MMS_PastureBeef_Soil_N2ODirect_Equations.VEERG_4_2_1_3__5_MilkProductionForCalvingSeasonVariation(V$95,V$94,$I$80,$I$81)</f>
        <v>#REF!</v>
      </c>
      <c r="Z110" s="52" t="e" cm="1">
        <f t="array" ref="Z110">MMS_PastureBeef_Soil_N2ODirect_Equations.VEERG_4_2_1_3__5_MilkProductionForCalvingSeasonVariation(W$95,W$94,$I$80,$I$81)</f>
        <v>#REF!</v>
      </c>
      <c r="AA110" s="52">
        <v>0</v>
      </c>
      <c r="AB110" s="52">
        <v>0</v>
      </c>
      <c r="AC110" s="52">
        <v>0</v>
      </c>
      <c r="AD110" s="52">
        <v>0</v>
      </c>
      <c r="AE110" s="2" t="str">
        <f t="shared" si="5"/>
        <v>kg/head/day</v>
      </c>
    </row>
    <row r="111" spans="3:31" ht="20.100000000000001" customHeight="1" x14ac:dyDescent="0.25">
      <c r="D111" s="108" t="str" cm="1">
        <f t="array" ref="D111:E114">MMS_PastureBeef_Soil_N2ODirect_Equations.VEERG_4_2_1_3__4_NitrogenRetainedByBody_Arguments()</f>
        <v>MP_jk5</v>
      </c>
      <c r="E111" s="110" t="str">
        <v>milk production (kg/head/day)</v>
      </c>
      <c r="F111" s="109"/>
      <c r="G111" s="108" t="str">
        <f>"See " &amp; D92</f>
        <v>See M1_Table_MP_j_k-4-5</v>
      </c>
      <c r="T111" s="52" t="str">
        <f>TEXT(EDATE('Input - Site'!$E$12,11), "mmmm yyyy")</f>
        <v>December 2024</v>
      </c>
      <c r="U111" s="52">
        <v>0</v>
      </c>
      <c r="V111" s="52">
        <v>0</v>
      </c>
      <c r="W111" s="52">
        <v>0</v>
      </c>
      <c r="X111" s="52" t="e" cm="1">
        <f t="array" ref="X111">MMS_PastureBeef_Soil_N2ODirect_Equations.VEERG_4_2_1_3__5_MilkProductionForCalvingSeasonVariation(U$95,U$94,$I$80,$I$81)</f>
        <v>#REF!</v>
      </c>
      <c r="Y111" s="52" t="e" cm="1">
        <f t="array" ref="Y111">MMS_PastureBeef_Soil_N2ODirect_Equations.VEERG_4_2_1_3__5_MilkProductionForCalvingSeasonVariation(V$95,V$94,$I$80,$I$81)</f>
        <v>#REF!</v>
      </c>
      <c r="Z111" s="52" t="e" cm="1">
        <f t="array" ref="Z111">MMS_PastureBeef_Soil_N2ODirect_Equations.VEERG_4_2_1_3__5_MilkProductionForCalvingSeasonVariation(W$95,W$94,$I$80,$I$81)</f>
        <v>#REF!</v>
      </c>
      <c r="AA111" s="52">
        <v>0</v>
      </c>
      <c r="AB111" s="52">
        <v>0</v>
      </c>
      <c r="AC111" s="52">
        <v>0</v>
      </c>
      <c r="AD111" s="52">
        <v>0</v>
      </c>
      <c r="AE111" s="2" t="str">
        <f t="shared" si="5"/>
        <v>kg/head/day</v>
      </c>
    </row>
    <row r="112" spans="3:31" ht="20.100000000000001" customHeight="1" x14ac:dyDescent="0.25">
      <c r="D112" s="108" t="str">
        <v>L_jkl</v>
      </c>
      <c r="E112" s="110" t="str">
        <v>intake relative to that needed for maintenance</v>
      </c>
      <c r="F112" s="109"/>
      <c r="G112" s="108" t="str">
        <f>"See " &amp; D59</f>
        <v>See M1_Table_L_j_k_l</v>
      </c>
    </row>
    <row r="113" spans="4:32" ht="20.100000000000001" customHeight="1" x14ac:dyDescent="0.25">
      <c r="D113" s="108" t="str">
        <v>Z_jkl</v>
      </c>
      <c r="E113" s="110" t="str">
        <v>relative size</v>
      </c>
      <c r="F113" s="109"/>
      <c r="G113" s="108" t="str">
        <f>"See " &amp; D30</f>
        <v>See M1_Table_Z_j_k_l</v>
      </c>
    </row>
    <row r="114" spans="4:32" ht="20.100000000000001" customHeight="1" x14ac:dyDescent="0.25">
      <c r="D114" s="108" t="str">
        <v>LWG_jkl</v>
      </c>
      <c r="E114" s="110" t="str">
        <v>liveweight gain (kg/head/day)</v>
      </c>
      <c r="F114" s="109"/>
      <c r="G114" s="108" t="str">
        <f>"See " &amp; D116</f>
        <v>See M1_Table_LWG_j_k_l</v>
      </c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</row>
    <row r="115" spans="4:32" ht="20.100000000000001" customHeight="1" x14ac:dyDescent="0.25">
      <c r="T115" s="6" t="str" cm="1">
        <f t="array" ref="T115">MMS_PastureBeef_Soil_N2ODirect_Equations.VEERG_4_2_1_3__4_NitrogenRetainedByBody_Title()</f>
        <v>Amount of nitrogen retained by the body</v>
      </c>
    </row>
    <row r="116" spans="4:32" ht="20.100000000000001" customHeight="1" x14ac:dyDescent="0.25">
      <c r="D116" s="99" t="s">
        <v>158</v>
      </c>
    </row>
    <row r="117" spans="4:32" ht="20.100000000000001" customHeight="1" x14ac:dyDescent="0.25">
      <c r="D117" s="98" t="s">
        <v>159</v>
      </c>
      <c r="T117" s="99" t="s">
        <v>167</v>
      </c>
    </row>
    <row r="118" spans="4:32" ht="20.100000000000001" customHeight="1" x14ac:dyDescent="0.25">
      <c r="D118" s="51" t="s">
        <v>155</v>
      </c>
      <c r="E118" s="51" t="s">
        <v>118</v>
      </c>
      <c r="F118" s="51" t="s">
        <v>117</v>
      </c>
      <c r="G118" s="51" t="s">
        <v>143</v>
      </c>
      <c r="H118" s="51" t="s">
        <v>144</v>
      </c>
      <c r="I118" s="51" t="s">
        <v>145</v>
      </c>
      <c r="J118" s="51" t="s">
        <v>146</v>
      </c>
      <c r="K118" s="51" t="s">
        <v>147</v>
      </c>
      <c r="L118" s="51" t="s">
        <v>148</v>
      </c>
      <c r="M118" s="51" t="s">
        <v>149</v>
      </c>
      <c r="N118" s="51" t="s">
        <v>150</v>
      </c>
      <c r="T118" s="98" t="s">
        <v>168</v>
      </c>
    </row>
    <row r="119" spans="4:32" ht="20.100000000000001" customHeight="1" x14ac:dyDescent="0.25">
      <c r="D119" s="52">
        <f>'Input - Swine'!D160</f>
        <v>0</v>
      </c>
      <c r="E119" s="52">
        <f>'Input - Swine'!E160</f>
        <v>0</v>
      </c>
      <c r="F119" s="52">
        <f>'Input - Swine'!F160</f>
        <v>0</v>
      </c>
      <c r="G119" s="52">
        <f>'Input - Swine'!G160</f>
        <v>0</v>
      </c>
      <c r="H119" s="52">
        <f>'Input - Swine'!H160</f>
        <v>0</v>
      </c>
      <c r="I119" s="52">
        <f>'Input - Swine'!I160</f>
        <v>0</v>
      </c>
      <c r="J119" s="52">
        <f>'Input - Swine'!J160</f>
        <v>0</v>
      </c>
      <c r="K119" s="52">
        <f>'Input - Swine'!K160</f>
        <v>0</v>
      </c>
      <c r="L119" s="52">
        <f>'Input - Swine'!L160</f>
        <v>0</v>
      </c>
      <c r="M119" s="52">
        <f>'Input - Swine'!M160</f>
        <v>0</v>
      </c>
      <c r="N119" s="52">
        <f>'Input - Swine'!N140</f>
        <v>0</v>
      </c>
      <c r="O119" s="2" t="s">
        <v>120</v>
      </c>
      <c r="T119" s="51" t="s">
        <v>119</v>
      </c>
      <c r="U119" s="51" t="s">
        <v>118</v>
      </c>
      <c r="V119" s="51" t="s">
        <v>117</v>
      </c>
      <c r="W119" s="51" t="s">
        <v>143</v>
      </c>
      <c r="X119" s="51" t="s">
        <v>144</v>
      </c>
      <c r="Y119" s="51" t="s">
        <v>145</v>
      </c>
      <c r="Z119" s="51" t="s">
        <v>146</v>
      </c>
      <c r="AA119" s="51" t="s">
        <v>147</v>
      </c>
      <c r="AB119" s="51" t="s">
        <v>148</v>
      </c>
      <c r="AC119" s="51" t="s">
        <v>149</v>
      </c>
      <c r="AD119" s="51" t="s">
        <v>150</v>
      </c>
    </row>
    <row r="120" spans="4:32" ht="20.100000000000001" customHeight="1" x14ac:dyDescent="0.25">
      <c r="D120" s="52">
        <f>'Input - Swine'!D161</f>
        <v>0</v>
      </c>
      <c r="E120" s="52">
        <f>'Input - Swine'!E161</f>
        <v>0</v>
      </c>
      <c r="F120" s="52">
        <f>'Input - Swine'!F161</f>
        <v>0</v>
      </c>
      <c r="G120" s="52">
        <f>'Input - Swine'!G161</f>
        <v>0</v>
      </c>
      <c r="H120" s="52">
        <f>'Input - Swine'!H161</f>
        <v>0</v>
      </c>
      <c r="I120" s="52">
        <f>'Input - Swine'!I161</f>
        <v>0</v>
      </c>
      <c r="J120" s="52">
        <f>'Input - Swine'!J161</f>
        <v>0</v>
      </c>
      <c r="K120" s="52">
        <f>'Input - Swine'!K161</f>
        <v>0</v>
      </c>
      <c r="L120" s="52">
        <f>'Input - Swine'!L161</f>
        <v>0</v>
      </c>
      <c r="M120" s="52">
        <f>'Input - Swine'!M161</f>
        <v>0</v>
      </c>
      <c r="N120" s="52">
        <f>'Input - Swine'!N141</f>
        <v>0</v>
      </c>
      <c r="O120" s="2" t="s">
        <v>120</v>
      </c>
      <c r="T120" s="52" t="str">
        <f>TEXT('Input - Site'!$E$12, "mmmm yyyy")</f>
        <v>January 2024</v>
      </c>
      <c r="U120" s="52" t="e">
        <f>'Input - Swine'!#REF!</f>
        <v>#REF!</v>
      </c>
      <c r="V120" s="52" t="e">
        <f>'Input - Swine'!#REF!</f>
        <v>#REF!</v>
      </c>
      <c r="W120" s="52" t="e">
        <f>'Input - Swine'!#REF!</f>
        <v>#REF!</v>
      </c>
      <c r="X120" s="52" t="e">
        <f>'Input - Swine'!#REF!</f>
        <v>#REF!</v>
      </c>
      <c r="Y120" s="52" t="e">
        <f>'Input - Swine'!#REF!</f>
        <v>#REF!</v>
      </c>
      <c r="Z120" s="52" t="e">
        <f>'Input - Swine'!#REF!</f>
        <v>#REF!</v>
      </c>
      <c r="AA120" s="52">
        <f>'Input - Swine'!K166</f>
        <v>0</v>
      </c>
      <c r="AB120" s="52">
        <f>'Input - Swine'!L166</f>
        <v>0</v>
      </c>
      <c r="AC120" s="52">
        <f>'Input - Swine'!M166</f>
        <v>0</v>
      </c>
      <c r="AD120" s="52">
        <f>'Input - Swine'!N146</f>
        <v>0</v>
      </c>
      <c r="AE120" s="2" t="s">
        <v>121</v>
      </c>
    </row>
    <row r="121" spans="4:32" ht="20.100000000000001" customHeight="1" x14ac:dyDescent="0.25">
      <c r="D121" s="52">
        <f>'Input - Swine'!D162</f>
        <v>0</v>
      </c>
      <c r="E121" s="52">
        <f>'Input - Swine'!E162</f>
        <v>0</v>
      </c>
      <c r="F121" s="52">
        <f>'Input - Swine'!F162</f>
        <v>0</v>
      </c>
      <c r="G121" s="52">
        <f>'Input - Swine'!G162</f>
        <v>0</v>
      </c>
      <c r="H121" s="52">
        <f>'Input - Swine'!H162</f>
        <v>0</v>
      </c>
      <c r="I121" s="52">
        <f>'Input - Swine'!I162</f>
        <v>0</v>
      </c>
      <c r="J121" s="52">
        <f>'Input - Swine'!J162</f>
        <v>0</v>
      </c>
      <c r="K121" s="52">
        <f>'Input - Swine'!K162</f>
        <v>0</v>
      </c>
      <c r="L121" s="52">
        <f>'Input - Swine'!L162</f>
        <v>0</v>
      </c>
      <c r="M121" s="52">
        <f>'Input - Swine'!M162</f>
        <v>0</v>
      </c>
      <c r="N121" s="52">
        <f>'Input - Swine'!N142</f>
        <v>0</v>
      </c>
      <c r="O121" s="2" t="s">
        <v>120</v>
      </c>
      <c r="T121" s="52" t="str">
        <f>TEXT(EDATE('Input - Site'!$E$12,1), "mmmm yyyy")</f>
        <v>February 2024</v>
      </c>
      <c r="U121" s="52" t="e">
        <f>'Input - Swine'!#REF!</f>
        <v>#REF!</v>
      </c>
      <c r="V121" s="52" t="e">
        <f>'Input - Swine'!#REF!</f>
        <v>#REF!</v>
      </c>
      <c r="W121" s="52" t="e">
        <f>'Input - Swine'!#REF!</f>
        <v>#REF!</v>
      </c>
      <c r="X121" s="52" t="e">
        <f>'Input - Swine'!#REF!</f>
        <v>#REF!</v>
      </c>
      <c r="Y121" s="52" t="e">
        <f>'Input - Swine'!#REF!</f>
        <v>#REF!</v>
      </c>
      <c r="Z121" s="52" t="e">
        <f>'Input - Swine'!#REF!</f>
        <v>#REF!</v>
      </c>
      <c r="AA121" s="52">
        <f>'Input - Swine'!K167</f>
        <v>0</v>
      </c>
      <c r="AB121" s="52">
        <f>'Input - Swine'!L167</f>
        <v>0</v>
      </c>
      <c r="AC121" s="52">
        <f>'Input - Swine'!M167</f>
        <v>0</v>
      </c>
      <c r="AD121" s="52">
        <f>'Input - Swine'!N147</f>
        <v>0</v>
      </c>
      <c r="AE121" s="2" t="s">
        <v>121</v>
      </c>
    </row>
    <row r="122" spans="4:32" ht="20.100000000000001" customHeight="1" x14ac:dyDescent="0.25">
      <c r="D122" s="52">
        <f>'Input - Swine'!D163</f>
        <v>0</v>
      </c>
      <c r="E122" s="52">
        <f>'Input - Swine'!E163</f>
        <v>0</v>
      </c>
      <c r="F122" s="52">
        <f>'Input - Swine'!F163</f>
        <v>0</v>
      </c>
      <c r="G122" s="52">
        <f>'Input - Swine'!G163</f>
        <v>0</v>
      </c>
      <c r="H122" s="52">
        <f>'Input - Swine'!H163</f>
        <v>0</v>
      </c>
      <c r="I122" s="52">
        <f>'Input - Swine'!I163</f>
        <v>0</v>
      </c>
      <c r="J122" s="52">
        <f>'Input - Swine'!J163</f>
        <v>0</v>
      </c>
      <c r="K122" s="52">
        <f>'Input - Swine'!K163</f>
        <v>0</v>
      </c>
      <c r="L122" s="52">
        <f>'Input - Swine'!L163</f>
        <v>0</v>
      </c>
      <c r="M122" s="52">
        <f>'Input - Swine'!M163</f>
        <v>0</v>
      </c>
      <c r="N122" s="52">
        <f>'Input - Swine'!N143</f>
        <v>0</v>
      </c>
      <c r="O122" s="2" t="s">
        <v>120</v>
      </c>
      <c r="T122" s="52" t="str">
        <f>TEXT(EDATE('Input - Site'!$E$12,2), "mmmm yyyy")</f>
        <v>March 2024</v>
      </c>
      <c r="U122" s="52" t="e">
        <f>'Input - Swine'!#REF!</f>
        <v>#REF!</v>
      </c>
      <c r="V122" s="52" t="e">
        <f>'Input - Swine'!#REF!</f>
        <v>#REF!</v>
      </c>
      <c r="W122" s="52" t="e">
        <f>'Input - Swine'!#REF!</f>
        <v>#REF!</v>
      </c>
      <c r="X122" s="52" t="e">
        <f>'Input - Swine'!#REF!</f>
        <v>#REF!</v>
      </c>
      <c r="Y122" s="52" t="e">
        <f>'Input - Swine'!#REF!</f>
        <v>#REF!</v>
      </c>
      <c r="Z122" s="52" t="e">
        <f>'Input - Swine'!#REF!</f>
        <v>#REF!</v>
      </c>
      <c r="AA122" s="52">
        <f>'Input - Swine'!K168</f>
        <v>0</v>
      </c>
      <c r="AB122" s="52">
        <f>'Input - Swine'!L168</f>
        <v>0</v>
      </c>
      <c r="AC122" s="52">
        <f>'Input - Swine'!M168</f>
        <v>0</v>
      </c>
      <c r="AD122" s="52">
        <f>'Input - Swine'!N148</f>
        <v>0</v>
      </c>
      <c r="AE122" s="2" t="s">
        <v>121</v>
      </c>
    </row>
    <row r="123" spans="4:32" ht="20.100000000000001" customHeight="1" x14ac:dyDescent="0.25">
      <c r="T123" s="52" t="str">
        <f>TEXT(EDATE('Input - Site'!$E$12,3), "mmmm yyyy")</f>
        <v>April 2024</v>
      </c>
      <c r="U123" s="52" t="e">
        <f>'Input - Swine'!#REF!</f>
        <v>#REF!</v>
      </c>
      <c r="V123" s="52" t="e">
        <f>'Input - Swine'!#REF!</f>
        <v>#REF!</v>
      </c>
      <c r="W123" s="52" t="e">
        <f>'Input - Swine'!#REF!</f>
        <v>#REF!</v>
      </c>
      <c r="X123" s="52" t="e">
        <f>'Input - Swine'!#REF!</f>
        <v>#REF!</v>
      </c>
      <c r="Y123" s="52" t="e">
        <f>'Input - Swine'!#REF!</f>
        <v>#REF!</v>
      </c>
      <c r="Z123" s="52" t="e">
        <f>'Input - Swine'!#REF!</f>
        <v>#REF!</v>
      </c>
      <c r="AA123" s="52">
        <f>'Input - Swine'!K169</f>
        <v>0</v>
      </c>
      <c r="AB123" s="52">
        <f>'Input - Swine'!L169</f>
        <v>0</v>
      </c>
      <c r="AC123" s="52">
        <f>'Input - Swine'!M169</f>
        <v>0</v>
      </c>
      <c r="AD123" s="52">
        <f>'Input - Swine'!N149</f>
        <v>0</v>
      </c>
      <c r="AE123" s="2" t="s">
        <v>121</v>
      </c>
    </row>
    <row r="124" spans="4:32" ht="20.100000000000001" customHeight="1" x14ac:dyDescent="0.25">
      <c r="D124" s="99" t="s">
        <v>189</v>
      </c>
      <c r="T124" s="52" t="str">
        <f>TEXT(EDATE('Input - Site'!$E$12,4), "mmmm yyyy")</f>
        <v>May 2024</v>
      </c>
      <c r="U124" s="52" t="e">
        <f>'Input - Swine'!#REF!</f>
        <v>#REF!</v>
      </c>
      <c r="V124" s="52" t="e">
        <f>'Input - Swine'!#REF!</f>
        <v>#REF!</v>
      </c>
      <c r="W124" s="52" t="e">
        <f>'Input - Swine'!#REF!</f>
        <v>#REF!</v>
      </c>
      <c r="X124" s="52" t="e">
        <f>'Input - Swine'!#REF!</f>
        <v>#REF!</v>
      </c>
      <c r="Y124" s="52" t="e">
        <f>'Input - Swine'!#REF!</f>
        <v>#REF!</v>
      </c>
      <c r="Z124" s="52" t="e">
        <f>'Input - Swine'!#REF!</f>
        <v>#REF!</v>
      </c>
      <c r="AA124" s="52">
        <f>'Input - Swine'!K170</f>
        <v>0</v>
      </c>
      <c r="AB124" s="52">
        <f>'Input - Swine'!L170</f>
        <v>0</v>
      </c>
      <c r="AC124" s="52">
        <f>'Input - Swine'!M170</f>
        <v>0</v>
      </c>
      <c r="AD124" s="52">
        <f>'Input - Swine'!N150</f>
        <v>0</v>
      </c>
      <c r="AE124" s="2" t="s">
        <v>121</v>
      </c>
    </row>
    <row r="125" spans="4:32" ht="20.100000000000001" customHeight="1" x14ac:dyDescent="0.25">
      <c r="D125" s="98" t="s">
        <v>190</v>
      </c>
      <c r="T125" s="52" t="str">
        <f>TEXT(EDATE('Input - Site'!$E$12,5), "mmmm yyyy")</f>
        <v>June 2024</v>
      </c>
      <c r="U125" s="52" t="e">
        <f>'Input - Swine'!#REF!</f>
        <v>#REF!</v>
      </c>
      <c r="V125" s="52" t="e">
        <f>'Input - Swine'!#REF!</f>
        <v>#REF!</v>
      </c>
      <c r="W125" s="52" t="e">
        <f>'Input - Swine'!#REF!</f>
        <v>#REF!</v>
      </c>
      <c r="X125" s="52" t="e">
        <f>'Input - Swine'!#REF!</f>
        <v>#REF!</v>
      </c>
      <c r="Y125" s="52" t="e">
        <f>'Input - Swine'!#REF!</f>
        <v>#REF!</v>
      </c>
      <c r="Z125" s="52" t="e">
        <f>'Input - Swine'!#REF!</f>
        <v>#REF!</v>
      </c>
      <c r="AA125" s="52">
        <f>'Input - Swine'!K171</f>
        <v>0</v>
      </c>
      <c r="AB125" s="52">
        <f>'Input - Swine'!L171</f>
        <v>0</v>
      </c>
      <c r="AC125" s="52">
        <f>'Input - Swine'!M171</f>
        <v>0</v>
      </c>
      <c r="AD125" s="52">
        <f>'Input - Swine'!N151</f>
        <v>0</v>
      </c>
      <c r="AE125" s="2" t="s">
        <v>121</v>
      </c>
    </row>
    <row r="126" spans="4:32" ht="20.100000000000001" customHeight="1" x14ac:dyDescent="0.25">
      <c r="D126" s="51" t="s">
        <v>155</v>
      </c>
      <c r="E126" s="51" t="s">
        <v>118</v>
      </c>
      <c r="F126" s="51" t="s">
        <v>117</v>
      </c>
      <c r="G126" s="51" t="s">
        <v>143</v>
      </c>
      <c r="H126" s="51" t="s">
        <v>144</v>
      </c>
      <c r="I126" s="51" t="s">
        <v>145</v>
      </c>
      <c r="J126" s="51" t="s">
        <v>146</v>
      </c>
      <c r="K126" s="51" t="s">
        <v>147</v>
      </c>
      <c r="L126" s="51" t="s">
        <v>148</v>
      </c>
      <c r="M126" s="51" t="s">
        <v>149</v>
      </c>
      <c r="N126" s="51" t="s">
        <v>150</v>
      </c>
      <c r="T126" s="52" t="str">
        <f>TEXT(EDATE('Input - Site'!$E$12,6), "mmmm yyyy")</f>
        <v>July 2024</v>
      </c>
      <c r="U126" s="52" t="e">
        <f>'Input - Swine'!#REF!</f>
        <v>#REF!</v>
      </c>
      <c r="V126" s="52" t="e">
        <f>'Input - Swine'!#REF!</f>
        <v>#REF!</v>
      </c>
      <c r="W126" s="52" t="e">
        <f>'Input - Swine'!#REF!</f>
        <v>#REF!</v>
      </c>
      <c r="X126" s="52" t="e">
        <f>'Input - Swine'!#REF!</f>
        <v>#REF!</v>
      </c>
      <c r="Y126" s="52" t="e">
        <f>'Input - Swine'!#REF!</f>
        <v>#REF!</v>
      </c>
      <c r="Z126" s="52" t="e">
        <f>'Input - Swine'!#REF!</f>
        <v>#REF!</v>
      </c>
      <c r="AA126" s="52">
        <f>'Input - Swine'!K172</f>
        <v>0</v>
      </c>
      <c r="AB126" s="52">
        <f>'Input - Swine'!L172</f>
        <v>0</v>
      </c>
      <c r="AC126" s="52">
        <f>'Input - Swine'!M172</f>
        <v>0</v>
      </c>
      <c r="AD126" s="52">
        <f>'Input - Swine'!N152</f>
        <v>0</v>
      </c>
      <c r="AE126" s="2" t="s">
        <v>121</v>
      </c>
    </row>
    <row r="127" spans="4:32" ht="20.100000000000001" customHeight="1" x14ac:dyDescent="0.25">
      <c r="D127" s="52" t="s">
        <v>151</v>
      </c>
      <c r="E127" s="52" t="e" cm="1">
        <f t="array" ref="E127">MMS_PastureBeef_Soil_N2ODirect_Equations.VEERG_4_2_1_3__4_NitrogenRetainedByBody(E95,E62,E33,E119)</f>
        <v>#VALUE!</v>
      </c>
      <c r="F127" s="52" t="e" cm="1">
        <f t="array" ref="F127">MMS_PastureBeef_Soil_N2ODirect_Equations.VEERG_4_2_1_3__4_NitrogenRetainedByBody(F95,F62,F33,F119)</f>
        <v>#REF!</v>
      </c>
      <c r="G127" s="52" t="e" cm="1">
        <f t="array" ref="G127">MMS_PastureBeef_Soil_N2ODirect_Equations.VEERG_4_2_1_3__4_NitrogenRetainedByBody(G95,G62,G33,G119)</f>
        <v>#VALUE!</v>
      </c>
      <c r="H127" s="52" t="e" cm="1">
        <f t="array" ref="H127">MMS_PastureBeef_Soil_N2ODirect_Equations.VEERG_4_2_1_3__4_NitrogenRetainedByBody(H95,H62,H33,H119)</f>
        <v>#VALUE!</v>
      </c>
      <c r="I127" s="52" t="e" cm="1">
        <f t="array" ref="I127">MMS_PastureBeef_Soil_N2ODirect_Equations.VEERG_4_2_1_3__4_NitrogenRetainedByBody(I95,I62,I33,I119)</f>
        <v>#REF!</v>
      </c>
      <c r="J127" s="52" t="e" cm="1">
        <f t="array" ref="J127">MMS_PastureBeef_Soil_N2ODirect_Equations.VEERG_4_2_1_3__4_NitrogenRetainedByBody(J95,J62,J33,J119)</f>
        <v>#REF!</v>
      </c>
      <c r="K127" s="52" t="e" cm="1">
        <f t="array" ref="K127">MMS_PastureBeef_Soil_N2ODirect_Equations.VEERG_4_2_1_3__4_NitrogenRetainedByBody(K95,K62,K33,K119)</f>
        <v>#REF!</v>
      </c>
      <c r="L127" s="52" t="e" cm="1">
        <f t="array" ref="L127">MMS_PastureBeef_Soil_N2ODirect_Equations.VEERG_4_2_1_3__4_NitrogenRetainedByBody(L95,L62,L33,L119)</f>
        <v>#REF!</v>
      </c>
      <c r="M127" s="52" t="e" cm="1">
        <f t="array" ref="M127">MMS_PastureBeef_Soil_N2ODirect_Equations.VEERG_4_2_1_3__4_NitrogenRetainedByBody(M95,M62,M33,M119)</f>
        <v>#REF!</v>
      </c>
      <c r="N127" s="52" t="e" cm="1">
        <f t="array" ref="N127">MMS_PastureBeef_Soil_N2ODirect_Equations.VEERG_4_2_1_3__4_NitrogenRetainedByBody(N95,N62,N33,N119)</f>
        <v>#REF!</v>
      </c>
      <c r="O127" s="2" t="str">
        <f>$E$109</f>
        <v>kg N/head/day</v>
      </c>
      <c r="T127" s="52" t="str">
        <f>TEXT(EDATE('Input - Site'!$E$12,7), "mmmm yyyy")</f>
        <v>August 2024</v>
      </c>
      <c r="U127" s="52" t="e">
        <f>'Input - Swine'!#REF!</f>
        <v>#REF!</v>
      </c>
      <c r="V127" s="52" t="e">
        <f>'Input - Swine'!#REF!</f>
        <v>#REF!</v>
      </c>
      <c r="W127" s="52" t="e">
        <f>'Input - Swine'!#REF!</f>
        <v>#REF!</v>
      </c>
      <c r="X127" s="52" t="e">
        <f>'Input - Swine'!#REF!</f>
        <v>#REF!</v>
      </c>
      <c r="Y127" s="52" t="e">
        <f>'Input - Swine'!#REF!</f>
        <v>#REF!</v>
      </c>
      <c r="Z127" s="52" t="e">
        <f>'Input - Swine'!#REF!</f>
        <v>#REF!</v>
      </c>
      <c r="AA127" s="52">
        <f>'Input - Swine'!K173</f>
        <v>0</v>
      </c>
      <c r="AB127" s="52">
        <f>'Input - Swine'!L173</f>
        <v>0</v>
      </c>
      <c r="AC127" s="52">
        <f>'Input - Swine'!M173</f>
        <v>0</v>
      </c>
      <c r="AD127" s="52">
        <f>'Input - Swine'!N153</f>
        <v>0</v>
      </c>
      <c r="AE127" s="2" t="s">
        <v>121</v>
      </c>
    </row>
    <row r="128" spans="4:32" ht="20.100000000000001" customHeight="1" x14ac:dyDescent="0.25">
      <c r="D128" s="52" t="s">
        <v>152</v>
      </c>
      <c r="E128" s="52" t="e" cm="1">
        <f t="array" ref="E128">MMS_PastureBeef_Soil_N2ODirect_Equations.VEERG_4_2_1_3__4_NitrogenRetainedByBody(E96,E63,E34,E120)</f>
        <v>#VALUE!</v>
      </c>
      <c r="F128" s="52" t="e" cm="1">
        <f t="array" ref="F128">MMS_PastureBeef_Soil_N2ODirect_Equations.VEERG_4_2_1_3__4_NitrogenRetainedByBody(F96,F63,F34,F120)</f>
        <v>#REF!</v>
      </c>
      <c r="G128" s="52" t="e" cm="1">
        <f t="array" ref="G128">MMS_PastureBeef_Soil_N2ODirect_Equations.VEERG_4_2_1_3__4_NitrogenRetainedByBody(G96,G63,G34,G120)</f>
        <v>#VALUE!</v>
      </c>
      <c r="H128" s="52" t="e" cm="1">
        <f t="array" ref="H128">MMS_PastureBeef_Soil_N2ODirect_Equations.VEERG_4_2_1_3__4_NitrogenRetainedByBody(H96,H63,H34,H120)</f>
        <v>#VALUE!</v>
      </c>
      <c r="I128" s="52" t="e" cm="1">
        <f t="array" ref="I128">MMS_PastureBeef_Soil_N2ODirect_Equations.VEERG_4_2_1_3__4_NitrogenRetainedByBody(I96,I63,I34,I120)</f>
        <v>#REF!</v>
      </c>
      <c r="J128" s="52" t="e" cm="1">
        <f t="array" ref="J128">MMS_PastureBeef_Soil_N2ODirect_Equations.VEERG_4_2_1_3__4_NitrogenRetainedByBody(J96,J63,J34,J120)</f>
        <v>#REF!</v>
      </c>
      <c r="K128" s="52" t="e" cm="1">
        <f t="array" ref="K128">MMS_PastureBeef_Soil_N2ODirect_Equations.VEERG_4_2_1_3__4_NitrogenRetainedByBody(K96,K63,K34,K120)</f>
        <v>#REF!</v>
      </c>
      <c r="L128" s="52" t="e" cm="1">
        <f t="array" ref="L128">MMS_PastureBeef_Soil_N2ODirect_Equations.VEERG_4_2_1_3__4_NitrogenRetainedByBody(L96,L63,L34,L120)</f>
        <v>#REF!</v>
      </c>
      <c r="M128" s="52" t="e" cm="1">
        <f t="array" ref="M128">MMS_PastureBeef_Soil_N2ODirect_Equations.VEERG_4_2_1_3__4_NitrogenRetainedByBody(M96,M63,M34,M120)</f>
        <v>#REF!</v>
      </c>
      <c r="N128" s="52" t="e" cm="1">
        <f t="array" ref="N128">MMS_PastureBeef_Soil_N2ODirect_Equations.VEERG_4_2_1_3__4_NitrogenRetainedByBody(N96,N63,N34,N120)</f>
        <v>#REF!</v>
      </c>
      <c r="O128" s="2" t="str">
        <f t="shared" ref="O128:O130" si="6">$E$109</f>
        <v>kg N/head/day</v>
      </c>
      <c r="T128" s="52" t="str">
        <f>TEXT(EDATE('Input - Site'!$E$12,8), "mmmm yyyy")</f>
        <v>September 2024</v>
      </c>
      <c r="U128" s="52" t="e">
        <f>'Input - Swine'!#REF!</f>
        <v>#REF!</v>
      </c>
      <c r="V128" s="52" t="e">
        <f>'Input - Swine'!#REF!</f>
        <v>#REF!</v>
      </c>
      <c r="W128" s="52" t="e">
        <f>'Input - Swine'!#REF!</f>
        <v>#REF!</v>
      </c>
      <c r="X128" s="52" t="e">
        <f>'Input - Swine'!#REF!</f>
        <v>#REF!</v>
      </c>
      <c r="Y128" s="52" t="e">
        <f>'Input - Swine'!#REF!</f>
        <v>#REF!</v>
      </c>
      <c r="Z128" s="52" t="e">
        <f>'Input - Swine'!#REF!</f>
        <v>#REF!</v>
      </c>
      <c r="AA128" s="52">
        <f>'Input - Swine'!K174</f>
        <v>0</v>
      </c>
      <c r="AB128" s="52">
        <f>'Input - Swine'!L174</f>
        <v>0</v>
      </c>
      <c r="AC128" s="52">
        <f>'Input - Swine'!M174</f>
        <v>0</v>
      </c>
      <c r="AD128" s="52">
        <f>'Input - Swine'!N154</f>
        <v>0</v>
      </c>
      <c r="AE128" s="2" t="s">
        <v>121</v>
      </c>
    </row>
    <row r="129" spans="3:31" ht="20.100000000000001" customHeight="1" x14ac:dyDescent="0.25">
      <c r="D129" s="52" t="s">
        <v>153</v>
      </c>
      <c r="E129" s="52" t="e" cm="1">
        <f t="array" ref="E129">MMS_PastureBeef_Soil_N2ODirect_Equations.VEERG_4_2_1_3__4_NitrogenRetainedByBody(E97,E64,E35,E121)</f>
        <v>#REF!</v>
      </c>
      <c r="F129" s="52" t="e" cm="1">
        <f t="array" ref="F129">MMS_PastureBeef_Soil_N2ODirect_Equations.VEERG_4_2_1_3__4_NitrogenRetainedByBody(F97,F64,F35,F121)</f>
        <v>#REF!</v>
      </c>
      <c r="G129" s="52" t="e" cm="1">
        <f t="array" ref="G129">MMS_PastureBeef_Soil_N2ODirect_Equations.VEERG_4_2_1_3__4_NitrogenRetainedByBody(G97,G64,G35,G121)</f>
        <v>#REF!</v>
      </c>
      <c r="H129" s="52" t="e" cm="1">
        <f t="array" ref="H129">MMS_PastureBeef_Soil_N2ODirect_Equations.VEERG_4_2_1_3__4_NitrogenRetainedByBody(H97,H64,H35,H121)</f>
        <v>#VALUE!</v>
      </c>
      <c r="I129" s="52" t="e" cm="1">
        <f t="array" ref="I129">MMS_PastureBeef_Soil_N2ODirect_Equations.VEERG_4_2_1_3__4_NitrogenRetainedByBody(I97,I64,I35,I121)</f>
        <v>#REF!</v>
      </c>
      <c r="J129" s="52" t="e" cm="1">
        <f t="array" ref="J129">MMS_PastureBeef_Soil_N2ODirect_Equations.VEERG_4_2_1_3__4_NitrogenRetainedByBody(J97,J64,J35,J121)</f>
        <v>#REF!</v>
      </c>
      <c r="K129" s="52" t="e" cm="1">
        <f t="array" ref="K129">MMS_PastureBeef_Soil_N2ODirect_Equations.VEERG_4_2_1_3__4_NitrogenRetainedByBody(K97,K64,K35,K121)</f>
        <v>#REF!</v>
      </c>
      <c r="L129" s="52" t="e" cm="1">
        <f t="array" ref="L129">MMS_PastureBeef_Soil_N2ODirect_Equations.VEERG_4_2_1_3__4_NitrogenRetainedByBody(L97,L64,L35,L121)</f>
        <v>#REF!</v>
      </c>
      <c r="M129" s="52" t="e" cm="1">
        <f t="array" ref="M129">MMS_PastureBeef_Soil_N2ODirect_Equations.VEERG_4_2_1_3__4_NitrogenRetainedByBody(M97,M64,M35,M121)</f>
        <v>#REF!</v>
      </c>
      <c r="N129" s="52" t="e" cm="1">
        <f t="array" ref="N129">MMS_PastureBeef_Soil_N2ODirect_Equations.VEERG_4_2_1_3__4_NitrogenRetainedByBody(N97,N64,N35,N121)</f>
        <v>#REF!</v>
      </c>
      <c r="O129" s="2" t="str">
        <f t="shared" si="6"/>
        <v>kg N/head/day</v>
      </c>
      <c r="T129" s="52" t="str">
        <f>TEXT(EDATE('Input - Site'!$E$12,9), "mmmm yyyy")</f>
        <v>October 2024</v>
      </c>
      <c r="U129" s="52" t="e">
        <f>'Input - Swine'!#REF!</f>
        <v>#REF!</v>
      </c>
      <c r="V129" s="52" t="e">
        <f>'Input - Swine'!#REF!</f>
        <v>#REF!</v>
      </c>
      <c r="W129" s="52" t="e">
        <f>'Input - Swine'!#REF!</f>
        <v>#REF!</v>
      </c>
      <c r="X129" s="52" t="e">
        <f>'Input - Swine'!#REF!</f>
        <v>#REF!</v>
      </c>
      <c r="Y129" s="52" t="e">
        <f>'Input - Swine'!#REF!</f>
        <v>#REF!</v>
      </c>
      <c r="Z129" s="52" t="e">
        <f>'Input - Swine'!#REF!</f>
        <v>#REF!</v>
      </c>
      <c r="AA129" s="52">
        <f>'Input - Swine'!K175</f>
        <v>0</v>
      </c>
      <c r="AB129" s="52">
        <f>'Input - Swine'!L175</f>
        <v>0</v>
      </c>
      <c r="AC129" s="52">
        <f>'Input - Swine'!M175</f>
        <v>0</v>
      </c>
      <c r="AD129" s="52">
        <f>'Input - Swine'!N155</f>
        <v>0</v>
      </c>
      <c r="AE129" s="2" t="s">
        <v>121</v>
      </c>
    </row>
    <row r="130" spans="3:31" ht="20.100000000000001" customHeight="1" x14ac:dyDescent="0.25">
      <c r="D130" s="52" t="s">
        <v>154</v>
      </c>
      <c r="E130" s="52" t="e" cm="1">
        <f t="array" ref="E130">MMS_PastureBeef_Soil_N2ODirect_Equations.VEERG_4_2_1_3__4_NitrogenRetainedByBody(E98,E65,E36,E122)</f>
        <v>#REF!</v>
      </c>
      <c r="F130" s="52" t="e" cm="1">
        <f t="array" ref="F130">MMS_PastureBeef_Soil_N2ODirect_Equations.VEERG_4_2_1_3__4_NitrogenRetainedByBody(F98,F65,F36,F122)</f>
        <v>#REF!</v>
      </c>
      <c r="G130" s="52" t="e" cm="1">
        <f t="array" ref="G130">MMS_PastureBeef_Soil_N2ODirect_Equations.VEERG_4_2_1_3__4_NitrogenRetainedByBody(G98,G65,G36,G122)</f>
        <v>#REF!</v>
      </c>
      <c r="H130" s="52" t="e" cm="1">
        <f t="array" ref="H130">MMS_PastureBeef_Soil_N2ODirect_Equations.VEERG_4_2_1_3__4_NitrogenRetainedByBody(H98,H65,H36,H122)</f>
        <v>#VALUE!</v>
      </c>
      <c r="I130" s="52" t="e" cm="1">
        <f t="array" ref="I130">MMS_PastureBeef_Soil_N2ODirect_Equations.VEERG_4_2_1_3__4_NitrogenRetainedByBody(I98,I65,I36,I122)</f>
        <v>#REF!</v>
      </c>
      <c r="J130" s="52" t="e" cm="1">
        <f t="array" ref="J130">MMS_PastureBeef_Soil_N2ODirect_Equations.VEERG_4_2_1_3__4_NitrogenRetainedByBody(J98,J65,J36,J122)</f>
        <v>#REF!</v>
      </c>
      <c r="K130" s="52" t="e" cm="1">
        <f t="array" ref="K130">MMS_PastureBeef_Soil_N2ODirect_Equations.VEERG_4_2_1_3__4_NitrogenRetainedByBody(K98,K65,K36,K122)</f>
        <v>#REF!</v>
      </c>
      <c r="L130" s="52" t="e" cm="1">
        <f t="array" ref="L130">MMS_PastureBeef_Soil_N2ODirect_Equations.VEERG_4_2_1_3__4_NitrogenRetainedByBody(L98,L65,L36,L122)</f>
        <v>#REF!</v>
      </c>
      <c r="M130" s="52" t="e" cm="1">
        <f t="array" ref="M130">MMS_PastureBeef_Soil_N2ODirect_Equations.VEERG_4_2_1_3__4_NitrogenRetainedByBody(M98,M65,M36,M122)</f>
        <v>#REF!</v>
      </c>
      <c r="N130" s="52" t="e" cm="1">
        <f t="array" ref="N130">MMS_PastureBeef_Soil_N2ODirect_Equations.VEERG_4_2_1_3__4_NitrogenRetainedByBody(N98,N65,N36,N122)</f>
        <v>#REF!</v>
      </c>
      <c r="O130" s="2" t="str">
        <f t="shared" si="6"/>
        <v>kg N/head/day</v>
      </c>
      <c r="T130" s="52" t="str">
        <f>TEXT(EDATE('Input - Site'!$E$12,10), "mmmm yyyy")</f>
        <v>November 2024</v>
      </c>
      <c r="U130" s="52" t="e">
        <f>'Input - Swine'!#REF!</f>
        <v>#REF!</v>
      </c>
      <c r="V130" s="52" t="e">
        <f>'Input - Swine'!#REF!</f>
        <v>#REF!</v>
      </c>
      <c r="W130" s="52" t="e">
        <f>'Input - Swine'!#REF!</f>
        <v>#REF!</v>
      </c>
      <c r="X130" s="52" t="e">
        <f>'Input - Swine'!#REF!</f>
        <v>#REF!</v>
      </c>
      <c r="Y130" s="52" t="e">
        <f>'Input - Swine'!#REF!</f>
        <v>#REF!</v>
      </c>
      <c r="Z130" s="52" t="e">
        <f>'Input - Swine'!#REF!</f>
        <v>#REF!</v>
      </c>
      <c r="AA130" s="52">
        <f>'Input - Swine'!K176</f>
        <v>0</v>
      </c>
      <c r="AB130" s="52">
        <f>'Input - Swine'!L176</f>
        <v>0</v>
      </c>
      <c r="AC130" s="52">
        <f>'Input - Swine'!M176</f>
        <v>0</v>
      </c>
      <c r="AD130" s="52">
        <f>'Input - Swine'!N156</f>
        <v>0</v>
      </c>
      <c r="AE130" s="2" t="s">
        <v>121</v>
      </c>
    </row>
    <row r="131" spans="3:31" ht="20.100000000000001" customHeight="1" x14ac:dyDescent="0.25">
      <c r="T131" s="52" t="str">
        <f>TEXT(EDATE('Input - Site'!$E$12,11), "mmmm yyyy")</f>
        <v>December 2024</v>
      </c>
      <c r="U131" s="52" t="e">
        <f>'Input - Swine'!#REF!</f>
        <v>#REF!</v>
      </c>
      <c r="V131" s="52" t="e">
        <f>'Input - Swine'!#REF!</f>
        <v>#REF!</v>
      </c>
      <c r="W131" s="52" t="e">
        <f>'Input - Swine'!#REF!</f>
        <v>#REF!</v>
      </c>
      <c r="X131" s="52" t="e">
        <f>'Input - Swine'!#REF!</f>
        <v>#REF!</v>
      </c>
      <c r="Y131" s="52" t="e">
        <f>'Input - Swine'!#REF!</f>
        <v>#REF!</v>
      </c>
      <c r="Z131" s="52" t="e">
        <f>'Input - Swine'!#REF!</f>
        <v>#REF!</v>
      </c>
      <c r="AA131" s="52">
        <f>'Input - Swine'!K177</f>
        <v>0</v>
      </c>
      <c r="AB131" s="52">
        <f>'Input - Swine'!L177</f>
        <v>0</v>
      </c>
      <c r="AC131" s="52">
        <f>'Input - Swine'!M177</f>
        <v>0</v>
      </c>
      <c r="AD131" s="52">
        <f>'Input - Swine'!N157</f>
        <v>0</v>
      </c>
      <c r="AE131" s="2" t="s">
        <v>121</v>
      </c>
    </row>
    <row r="132" spans="3:31" ht="20.100000000000001" customHeight="1" x14ac:dyDescent="0.25"/>
    <row r="133" spans="3:31" ht="20.100000000000001" customHeight="1" x14ac:dyDescent="0.25"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T133" s="99" t="s">
        <v>203</v>
      </c>
    </row>
    <row r="134" spans="3:31" ht="20.100000000000001" customHeight="1" x14ac:dyDescent="0.25">
      <c r="D134" s="6" t="str" cm="1">
        <f t="array" ref="D134">MMS_PastureBeef_Soil_N2ODirect_Equations.VEERG_4_2_1_3__3_NitrogenExcreted_Title()</f>
        <v>Nitrogen excreted</v>
      </c>
      <c r="T134" s="98" t="s">
        <v>204</v>
      </c>
    </row>
    <row r="135" spans="3:31" ht="20.100000000000001" customHeight="1" x14ac:dyDescent="0.25">
      <c r="D135" s="5" t="str" cm="1">
        <f t="array" ref="D135">MMS_PastureBeef_Soil_N2ODirect_Equations.VEERG_4_2_1_3__3_NitrogenExcreted_Source()</f>
        <v>VEERG 2026: 4.2.1.3, Equation (3)</v>
      </c>
      <c r="T135" s="51" t="s">
        <v>119</v>
      </c>
      <c r="U135" s="51" t="s">
        <v>118</v>
      </c>
      <c r="V135" s="51" t="s">
        <v>117</v>
      </c>
      <c r="W135" s="51" t="s">
        <v>143</v>
      </c>
      <c r="X135" s="51" t="s">
        <v>144</v>
      </c>
      <c r="Y135" s="51" t="s">
        <v>145</v>
      </c>
      <c r="Z135" s="51" t="s">
        <v>146</v>
      </c>
      <c r="AA135" s="51" t="s">
        <v>147</v>
      </c>
      <c r="AB135" s="51" t="s">
        <v>148</v>
      </c>
      <c r="AC135" s="51" t="s">
        <v>149</v>
      </c>
      <c r="AD135" s="51" t="s">
        <v>150</v>
      </c>
    </row>
    <row r="136" spans="3:31" ht="20.100000000000001" customHeight="1" x14ac:dyDescent="0.25">
      <c r="D136" s="13" t="s">
        <v>26</v>
      </c>
      <c r="E136" s="13" t="str" cm="1">
        <f t="array" aca="1" ref="E136" ca="1">Common_InputFunctions.Utility_DisplayFunctionName($E$167)</f>
        <v>=MMS_PastureBeef_Soil_N2ODirect_Equations.VEERG_4_2_1_3__3_NitrogenExcreted</v>
      </c>
      <c r="T136" s="52" t="str">
        <f>TEXT('Input - Site'!$E$12, "mmmm yyyy")</f>
        <v>January 2024</v>
      </c>
      <c r="U136" s="52" t="e" cm="1">
        <f t="array" ref="U136">MMS_PastureBeef_Soil_N2ODirect_Equations.VEERG_4_2_1_3__4_NitrogenRetainedByBody(U100,U72,U36,U120)</f>
        <v>#REF!</v>
      </c>
      <c r="V136" s="52" t="e" cm="1">
        <f t="array" ref="V136">MMS_PastureBeef_Soil_N2ODirect_Equations.VEERG_4_2_1_3__4_NitrogenRetainedByBody(V100,V72,V36,V120)</f>
        <v>#REF!</v>
      </c>
      <c r="W136" s="52" t="e" cm="1">
        <f t="array" ref="W136">MMS_PastureBeef_Soil_N2ODirect_Equations.VEERG_4_2_1_3__4_NitrogenRetainedByBody(W100,W72,W36,W120)</f>
        <v>#REF!</v>
      </c>
      <c r="X136" s="52" t="e" cm="1">
        <f t="array" ref="X136">MMS_PastureBeef_Soil_N2ODirect_Equations.VEERG_4_2_1_3__4_NitrogenRetainedByBody(X100,X72,X36,X120)</f>
        <v>#REF!</v>
      </c>
      <c r="Y136" s="52" t="e" cm="1">
        <f t="array" ref="Y136">MMS_PastureBeef_Soil_N2ODirect_Equations.VEERG_4_2_1_3__4_NitrogenRetainedByBody(Y100,Y72,Y36,Y120)</f>
        <v>#REF!</v>
      </c>
      <c r="Z136" s="52" t="e" cm="1">
        <f t="array" ref="Z136">MMS_PastureBeef_Soil_N2ODirect_Equations.VEERG_4_2_1_3__4_NitrogenRetainedByBody(Z100,Z72,Z36,Z120)</f>
        <v>#REF!</v>
      </c>
      <c r="AA136" s="52" t="e" cm="1">
        <f t="array" ref="AA136">MMS_PastureBeef_Soil_N2ODirect_Equations.VEERG_4_2_1_3__4_NitrogenRetainedByBody(AA100,AA72,AA36,AA120)</f>
        <v>#REF!</v>
      </c>
      <c r="AB136" s="52" t="e" cm="1">
        <f t="array" ref="AB136">MMS_PastureBeef_Soil_N2ODirect_Equations.VEERG_4_2_1_3__4_NitrogenRetainedByBody(AB100,AB72,AB36,AB120)</f>
        <v>#REF!</v>
      </c>
      <c r="AC136" s="52" t="e" cm="1">
        <f t="array" ref="AC136">MMS_PastureBeef_Soil_N2ODirect_Equations.VEERG_4_2_1_3__4_NitrogenRetainedByBody(AC100,AC72,AC36,AC120)</f>
        <v>#REF!</v>
      </c>
      <c r="AD136" s="52" t="e" cm="1">
        <f t="array" ref="AD136">MMS_PastureBeef_Soil_N2ODirect_Equations.VEERG_4_2_1_3__4_NitrogenRetainedByBody(AD100,AD72,AD36,AD120)</f>
        <v>#REF!</v>
      </c>
      <c r="AE136" s="2" t="str">
        <f t="shared" ref="AE136:AE147" si="7">$E$109</f>
        <v>kg N/head/day</v>
      </c>
    </row>
    <row r="137" spans="3:31" ht="20.100000000000001" customHeight="1" x14ac:dyDescent="0.25">
      <c r="T137" s="52" t="str">
        <f>TEXT(EDATE('Input - Site'!$E$12,1), "mmmm yyyy")</f>
        <v>February 2024</v>
      </c>
      <c r="U137" s="52" t="e" cm="1">
        <f t="array" ref="U137">MMS_PastureBeef_Soil_N2ODirect_Equations.VEERG_4_2_1_3__4_NitrogenRetainedByBody(U101,U73,U37,U121)</f>
        <v>#REF!</v>
      </c>
      <c r="V137" s="52" t="e" cm="1">
        <f t="array" ref="V137">MMS_PastureBeef_Soil_N2ODirect_Equations.VEERG_4_2_1_3__4_NitrogenRetainedByBody(V101,V73,V37,V121)</f>
        <v>#REF!</v>
      </c>
      <c r="W137" s="52" t="e" cm="1">
        <f t="array" ref="W137">MMS_PastureBeef_Soil_N2ODirect_Equations.VEERG_4_2_1_3__4_NitrogenRetainedByBody(W101,W73,W37,W121)</f>
        <v>#REF!</v>
      </c>
      <c r="X137" s="52" t="e" cm="1">
        <f t="array" ref="X137">MMS_PastureBeef_Soil_N2ODirect_Equations.VEERG_4_2_1_3__4_NitrogenRetainedByBody(X101,X73,X37,X121)</f>
        <v>#REF!</v>
      </c>
      <c r="Y137" s="52" t="e" cm="1">
        <f t="array" ref="Y137">MMS_PastureBeef_Soil_N2ODirect_Equations.VEERG_4_2_1_3__4_NitrogenRetainedByBody(Y101,Y73,Y37,Y121)</f>
        <v>#REF!</v>
      </c>
      <c r="Z137" s="52" t="e" cm="1">
        <f t="array" ref="Z137">MMS_PastureBeef_Soil_N2ODirect_Equations.VEERG_4_2_1_3__4_NitrogenRetainedByBody(Z101,Z73,Z37,Z121)</f>
        <v>#REF!</v>
      </c>
      <c r="AA137" s="52" t="e" cm="1">
        <f t="array" ref="AA137">MMS_PastureBeef_Soil_N2ODirect_Equations.VEERG_4_2_1_3__4_NitrogenRetainedByBody(AA101,AA73,AA37,AA121)</f>
        <v>#REF!</v>
      </c>
      <c r="AB137" s="52" t="e" cm="1">
        <f t="array" ref="AB137">MMS_PastureBeef_Soil_N2ODirect_Equations.VEERG_4_2_1_3__4_NitrogenRetainedByBody(AB101,AB73,AB37,AB121)</f>
        <v>#REF!</v>
      </c>
      <c r="AC137" s="52" t="e" cm="1">
        <f t="array" ref="AC137">MMS_PastureBeef_Soil_N2ODirect_Equations.VEERG_4_2_1_3__4_NitrogenRetainedByBody(AC101,AC73,AC37,AC121)</f>
        <v>#REF!</v>
      </c>
      <c r="AD137" s="52" t="e" cm="1">
        <f t="array" ref="AD137">MMS_PastureBeef_Soil_N2ODirect_Equations.VEERG_4_2_1_3__4_NitrogenRetainedByBody(AD101,AD73,AD37,AD121)</f>
        <v>#REF!</v>
      </c>
      <c r="AE137" s="2" t="str">
        <f t="shared" si="7"/>
        <v>kg N/head/day</v>
      </c>
    </row>
    <row r="138" spans="3:31" ht="20.100000000000001" customHeight="1" x14ac:dyDescent="0.25">
      <c r="T138" s="52" t="str">
        <f>TEXT(EDATE('Input - Site'!$E$12,2), "mmmm yyyy")</f>
        <v>March 2024</v>
      </c>
      <c r="U138" s="52" t="e" cm="1">
        <f t="array" ref="U138">MMS_PastureBeef_Soil_N2ODirect_Equations.VEERG_4_2_1_3__4_NitrogenRetainedByBody(U102,U74,U38,U122)</f>
        <v>#REF!</v>
      </c>
      <c r="V138" s="52" t="e" cm="1">
        <f t="array" ref="V138">MMS_PastureBeef_Soil_N2ODirect_Equations.VEERG_4_2_1_3__4_NitrogenRetainedByBody(V102,V74,V38,V122)</f>
        <v>#REF!</v>
      </c>
      <c r="W138" s="52" t="e" cm="1">
        <f t="array" ref="W138">MMS_PastureBeef_Soil_N2ODirect_Equations.VEERG_4_2_1_3__4_NitrogenRetainedByBody(W102,W74,W38,W122)</f>
        <v>#REF!</v>
      </c>
      <c r="X138" s="52" t="e" cm="1">
        <f t="array" ref="X138">MMS_PastureBeef_Soil_N2ODirect_Equations.VEERG_4_2_1_3__4_NitrogenRetainedByBody(X102,X74,X38,X122)</f>
        <v>#REF!</v>
      </c>
      <c r="Y138" s="52" t="e" cm="1">
        <f t="array" ref="Y138">MMS_PastureBeef_Soil_N2ODirect_Equations.VEERG_4_2_1_3__4_NitrogenRetainedByBody(Y102,Y74,Y38,Y122)</f>
        <v>#REF!</v>
      </c>
      <c r="Z138" s="52" t="e" cm="1">
        <f t="array" ref="Z138">MMS_PastureBeef_Soil_N2ODirect_Equations.VEERG_4_2_1_3__4_NitrogenRetainedByBody(Z102,Z74,Z38,Z122)</f>
        <v>#REF!</v>
      </c>
      <c r="AA138" s="52" t="e" cm="1">
        <f t="array" ref="AA138">MMS_PastureBeef_Soil_N2ODirect_Equations.VEERG_4_2_1_3__4_NitrogenRetainedByBody(AA102,AA74,AA38,AA122)</f>
        <v>#REF!</v>
      </c>
      <c r="AB138" s="52" t="e" cm="1">
        <f t="array" ref="AB138">MMS_PastureBeef_Soil_N2ODirect_Equations.VEERG_4_2_1_3__4_NitrogenRetainedByBody(AB102,AB74,AB38,AB122)</f>
        <v>#REF!</v>
      </c>
      <c r="AC138" s="52" t="e" cm="1">
        <f t="array" ref="AC138">MMS_PastureBeef_Soil_N2ODirect_Equations.VEERG_4_2_1_3__4_NitrogenRetainedByBody(AC102,AC74,AC38,AC122)</f>
        <v>#REF!</v>
      </c>
      <c r="AD138" s="52" t="e" cm="1">
        <f t="array" ref="AD138">MMS_PastureBeef_Soil_N2ODirect_Equations.VEERG_4_2_1_3__4_NitrogenRetainedByBody(AD102,AD74,AD38,AD122)</f>
        <v>#REF!</v>
      </c>
      <c r="AE138" s="2" t="str">
        <f t="shared" si="7"/>
        <v>kg N/head/day</v>
      </c>
    </row>
    <row r="139" spans="3:31" ht="20.100000000000001" customHeight="1" x14ac:dyDescent="0.25">
      <c r="D139" s="53" t="s">
        <v>29</v>
      </c>
      <c r="E139" s="1" t="str" cm="1">
        <f t="array" ref="E139">MMS_PastureBeef_Soil_N2ODirect_Equations.VEERG_4_2_1_3__3_NitrogenExcreted_Variable()</f>
        <v>NE_jkl</v>
      </c>
      <c r="T139" s="52" t="str">
        <f>TEXT(EDATE('Input - Site'!$E$12,3), "mmmm yyyy")</f>
        <v>April 2024</v>
      </c>
      <c r="U139" s="52" t="e" cm="1">
        <f t="array" ref="U139">MMS_PastureBeef_Soil_N2ODirect_Equations.VEERG_4_2_1_3__4_NitrogenRetainedByBody(U103,U75,U39,U123)</f>
        <v>#REF!</v>
      </c>
      <c r="V139" s="52" t="e" cm="1">
        <f t="array" ref="V139">MMS_PastureBeef_Soil_N2ODirect_Equations.VEERG_4_2_1_3__4_NitrogenRetainedByBody(V103,V75,V39,V123)</f>
        <v>#REF!</v>
      </c>
      <c r="W139" s="52" t="e" cm="1">
        <f t="array" ref="W139">MMS_PastureBeef_Soil_N2ODirect_Equations.VEERG_4_2_1_3__4_NitrogenRetainedByBody(W103,W75,W39,W123)</f>
        <v>#REF!</v>
      </c>
      <c r="X139" s="52" t="e" cm="1">
        <f t="array" ref="X139">MMS_PastureBeef_Soil_N2ODirect_Equations.VEERG_4_2_1_3__4_NitrogenRetainedByBody(X103,X75,X39,X123)</f>
        <v>#REF!</v>
      </c>
      <c r="Y139" s="52" t="e" cm="1">
        <f t="array" ref="Y139">MMS_PastureBeef_Soil_N2ODirect_Equations.VEERG_4_2_1_3__4_NitrogenRetainedByBody(Y103,Y75,Y39,Y123)</f>
        <v>#REF!</v>
      </c>
      <c r="Z139" s="52" t="e" cm="1">
        <f t="array" ref="Z139">MMS_PastureBeef_Soil_N2ODirect_Equations.VEERG_4_2_1_3__4_NitrogenRetainedByBody(Z103,Z75,Z39,Z123)</f>
        <v>#REF!</v>
      </c>
      <c r="AA139" s="52" t="e" cm="1">
        <f t="array" ref="AA139">MMS_PastureBeef_Soil_N2ODirect_Equations.VEERG_4_2_1_3__4_NitrogenRetainedByBody(AA103,AA75,AA39,AA123)</f>
        <v>#REF!</v>
      </c>
      <c r="AB139" s="52" t="e" cm="1">
        <f t="array" ref="AB139">MMS_PastureBeef_Soil_N2ODirect_Equations.VEERG_4_2_1_3__4_NitrogenRetainedByBody(AB103,AB75,AB39,AB123)</f>
        <v>#REF!</v>
      </c>
      <c r="AC139" s="52" t="e" cm="1">
        <f t="array" ref="AC139">MMS_PastureBeef_Soil_N2ODirect_Equations.VEERG_4_2_1_3__4_NitrogenRetainedByBody(AC103,AC75,AC39,AC123)</f>
        <v>#REF!</v>
      </c>
      <c r="AD139" s="52" t="e" cm="1">
        <f t="array" ref="AD139">MMS_PastureBeef_Soil_N2ODirect_Equations.VEERG_4_2_1_3__4_NitrogenRetainedByBody(AD103,AD75,AD39,AD123)</f>
        <v>#REF!</v>
      </c>
      <c r="AE139" s="2" t="str">
        <f t="shared" si="7"/>
        <v>kg N/head/day</v>
      </c>
    </row>
    <row r="140" spans="3:31" ht="20.100000000000001" customHeight="1" x14ac:dyDescent="0.25">
      <c r="D140" s="53" t="s">
        <v>19</v>
      </c>
      <c r="E140" s="54" t="str" cm="1">
        <f t="array" ref="E140">MMS_PastureBeef_Soil_N2ODirect_Equations.VEERG_4_2_1_3__3_NitrogenExcreted_Unit()</f>
        <v>kg N/head/day</v>
      </c>
      <c r="T140" s="52" t="str">
        <f>TEXT(EDATE('Input - Site'!$E$12,4), "mmmm yyyy")</f>
        <v>May 2024</v>
      </c>
      <c r="U140" s="52" t="e" cm="1">
        <f t="array" ref="U140">MMS_PastureBeef_Soil_N2ODirect_Equations.VEERG_4_2_1_3__4_NitrogenRetainedByBody(U104,U76,U40,U124)</f>
        <v>#REF!</v>
      </c>
      <c r="V140" s="52" t="e" cm="1">
        <f t="array" ref="V140">MMS_PastureBeef_Soil_N2ODirect_Equations.VEERG_4_2_1_3__4_NitrogenRetainedByBody(V104,V76,V40,V124)</f>
        <v>#REF!</v>
      </c>
      <c r="W140" s="52" t="e" cm="1">
        <f t="array" ref="W140">MMS_PastureBeef_Soil_N2ODirect_Equations.VEERG_4_2_1_3__4_NitrogenRetainedByBody(W104,W76,W40,W124)</f>
        <v>#REF!</v>
      </c>
      <c r="X140" s="52" t="e" cm="1">
        <f t="array" ref="X140">MMS_PastureBeef_Soil_N2ODirect_Equations.VEERG_4_2_1_3__4_NitrogenRetainedByBody(X104,X76,X40,X124)</f>
        <v>#REF!</v>
      </c>
      <c r="Y140" s="52" t="e" cm="1">
        <f t="array" ref="Y140">MMS_PastureBeef_Soil_N2ODirect_Equations.VEERG_4_2_1_3__4_NitrogenRetainedByBody(Y104,Y76,Y40,Y124)</f>
        <v>#REF!</v>
      </c>
      <c r="Z140" s="52" t="e" cm="1">
        <f t="array" ref="Z140">MMS_PastureBeef_Soil_N2ODirect_Equations.VEERG_4_2_1_3__4_NitrogenRetainedByBody(Z104,Z76,Z40,Z124)</f>
        <v>#REF!</v>
      </c>
      <c r="AA140" s="52" t="e" cm="1">
        <f t="array" ref="AA140">MMS_PastureBeef_Soil_N2ODirect_Equations.VEERG_4_2_1_3__4_NitrogenRetainedByBody(AA104,AA76,AA40,AA124)</f>
        <v>#REF!</v>
      </c>
      <c r="AB140" s="52" t="e" cm="1">
        <f t="array" ref="AB140">MMS_PastureBeef_Soil_N2ODirect_Equations.VEERG_4_2_1_3__4_NitrogenRetainedByBody(AB104,AB76,AB40,AB124)</f>
        <v>#REF!</v>
      </c>
      <c r="AC140" s="52" t="e" cm="1">
        <f t="array" ref="AC140">MMS_PastureBeef_Soil_N2ODirect_Equations.VEERG_4_2_1_3__4_NitrogenRetainedByBody(AC104,AC76,AC40,AC124)</f>
        <v>#REF!</v>
      </c>
      <c r="AD140" s="52" t="e" cm="1">
        <f t="array" ref="AD140">MMS_PastureBeef_Soil_N2ODirect_Equations.VEERG_4_2_1_3__4_NitrogenRetainedByBody(AD104,AD76,AD40,AD124)</f>
        <v>#REF!</v>
      </c>
      <c r="AE140" s="2" t="str">
        <f t="shared" si="7"/>
        <v>kg N/head/day</v>
      </c>
    </row>
    <row r="141" spans="3:31" ht="20.100000000000001" customHeight="1" x14ac:dyDescent="0.25">
      <c r="T141" s="52" t="str">
        <f>TEXT(EDATE('Input - Site'!$E$12,5), "mmmm yyyy")</f>
        <v>June 2024</v>
      </c>
      <c r="U141" s="52" t="e" cm="1">
        <f t="array" ref="U141">MMS_PastureBeef_Soil_N2ODirect_Equations.VEERG_4_2_1_3__4_NitrogenRetainedByBody(U105,U77,U41,U125)</f>
        <v>#REF!</v>
      </c>
      <c r="V141" s="52" t="e" cm="1">
        <f t="array" ref="V141">MMS_PastureBeef_Soil_N2ODirect_Equations.VEERG_4_2_1_3__4_NitrogenRetainedByBody(V105,V77,V41,V125)</f>
        <v>#REF!</v>
      </c>
      <c r="W141" s="52" t="e" cm="1">
        <f t="array" ref="W141">MMS_PastureBeef_Soil_N2ODirect_Equations.VEERG_4_2_1_3__4_NitrogenRetainedByBody(W105,W77,W41,W125)</f>
        <v>#REF!</v>
      </c>
      <c r="X141" s="52" t="e" cm="1">
        <f t="array" ref="X141">MMS_PastureBeef_Soil_N2ODirect_Equations.VEERG_4_2_1_3__4_NitrogenRetainedByBody(X105,X77,X41,X125)</f>
        <v>#REF!</v>
      </c>
      <c r="Y141" s="52" t="e" cm="1">
        <f t="array" ref="Y141">MMS_PastureBeef_Soil_N2ODirect_Equations.VEERG_4_2_1_3__4_NitrogenRetainedByBody(Y105,Y77,Y41,Y125)</f>
        <v>#REF!</v>
      </c>
      <c r="Z141" s="52" t="e" cm="1">
        <f t="array" ref="Z141">MMS_PastureBeef_Soil_N2ODirect_Equations.VEERG_4_2_1_3__4_NitrogenRetainedByBody(Z105,Z77,Z41,Z125)</f>
        <v>#REF!</v>
      </c>
      <c r="AA141" s="52" t="e" cm="1">
        <f t="array" ref="AA141">MMS_PastureBeef_Soil_N2ODirect_Equations.VEERG_4_2_1_3__4_NitrogenRetainedByBody(AA105,AA77,AA41,AA125)</f>
        <v>#REF!</v>
      </c>
      <c r="AB141" s="52" t="e" cm="1">
        <f t="array" ref="AB141">MMS_PastureBeef_Soil_N2ODirect_Equations.VEERG_4_2_1_3__4_NitrogenRetainedByBody(AB105,AB77,AB41,AB125)</f>
        <v>#REF!</v>
      </c>
      <c r="AC141" s="52" t="e" cm="1">
        <f t="array" ref="AC141">MMS_PastureBeef_Soil_N2ODirect_Equations.VEERG_4_2_1_3__4_NitrogenRetainedByBody(AC105,AC77,AC41,AC125)</f>
        <v>#REF!</v>
      </c>
      <c r="AD141" s="52" t="e" cm="1">
        <f t="array" ref="AD141">MMS_PastureBeef_Soil_N2ODirect_Equations.VEERG_4_2_1_3__4_NitrogenRetainedByBody(AD105,AD77,AD41,AD125)</f>
        <v>#REF!</v>
      </c>
      <c r="AE141" s="2" t="str">
        <f t="shared" si="7"/>
        <v>kg N/head/day</v>
      </c>
    </row>
    <row r="142" spans="3:31" ht="20.100000000000001" customHeight="1" x14ac:dyDescent="0.25">
      <c r="D142" s="57" t="str" cm="1">
        <f t="array" ref="D142:E146">MMS_PastureBeef_Soil_N2ODirect_Equations.VEERG_4_2_1_3__3_NitrogenExcreted_Arguments()</f>
        <v>I_jkl</v>
      </c>
      <c r="E142" s="58" t="str">
        <v>dry matter intake as calculated in Chapter 3 Section 3.2.1 (kg DM/head/day)</v>
      </c>
      <c r="F142" s="59"/>
      <c r="G142" s="57" t="str">
        <f>"See " &amp; D51</f>
        <v>See M1_Table_I_j_k_l</v>
      </c>
      <c r="T142" s="52" t="str">
        <f>TEXT(EDATE('Input - Site'!$E$12,6), "mmmm yyyy")</f>
        <v>July 2024</v>
      </c>
      <c r="U142" s="52" t="e" cm="1">
        <f t="array" ref="U142">MMS_PastureBeef_Soil_N2ODirect_Equations.VEERG_4_2_1_3__4_NitrogenRetainedByBody(U106,U78,U42,U126)</f>
        <v>#REF!</v>
      </c>
      <c r="V142" s="52" t="e" cm="1">
        <f t="array" ref="V142">MMS_PastureBeef_Soil_N2ODirect_Equations.VEERG_4_2_1_3__4_NitrogenRetainedByBody(V106,V78,V42,V126)</f>
        <v>#REF!</v>
      </c>
      <c r="W142" s="52" t="e" cm="1">
        <f t="array" ref="W142">MMS_PastureBeef_Soil_N2ODirect_Equations.VEERG_4_2_1_3__4_NitrogenRetainedByBody(W106,W78,W42,W126)</f>
        <v>#REF!</v>
      </c>
      <c r="X142" s="52" t="e" cm="1">
        <f t="array" ref="X142">MMS_PastureBeef_Soil_N2ODirect_Equations.VEERG_4_2_1_3__4_NitrogenRetainedByBody(X106,X78,X42,X126)</f>
        <v>#REF!</v>
      </c>
      <c r="Y142" s="52" t="e" cm="1">
        <f t="array" ref="Y142">MMS_PastureBeef_Soil_N2ODirect_Equations.VEERG_4_2_1_3__4_NitrogenRetainedByBody(Y106,Y78,Y42,Y126)</f>
        <v>#REF!</v>
      </c>
      <c r="Z142" s="52" t="e" cm="1">
        <f t="array" ref="Z142">MMS_PastureBeef_Soil_N2ODirect_Equations.VEERG_4_2_1_3__4_NitrogenRetainedByBody(Z106,Z78,Z42,Z126)</f>
        <v>#REF!</v>
      </c>
      <c r="AA142" s="52" t="e" cm="1">
        <f t="array" ref="AA142">MMS_PastureBeef_Soil_N2ODirect_Equations.VEERG_4_2_1_3__4_NitrogenRetainedByBody(AA106,AA78,AA42,AA126)</f>
        <v>#REF!</v>
      </c>
      <c r="AB142" s="52" t="e" cm="1">
        <f t="array" ref="AB142">MMS_PastureBeef_Soil_N2ODirect_Equations.VEERG_4_2_1_3__4_NitrogenRetainedByBody(AB106,AB78,AB42,AB126)</f>
        <v>#REF!</v>
      </c>
      <c r="AC142" s="52" t="e" cm="1">
        <f t="array" ref="AC142">MMS_PastureBeef_Soil_N2ODirect_Equations.VEERG_4_2_1_3__4_NitrogenRetainedByBody(AC106,AC78,AC42,AC126)</f>
        <v>#REF!</v>
      </c>
      <c r="AD142" s="52" t="e" cm="1">
        <f t="array" ref="AD142">MMS_PastureBeef_Soil_N2ODirect_Equations.VEERG_4_2_1_3__4_NitrogenRetainedByBody(AD106,AD78,AD42,AD126)</f>
        <v>#REF!</v>
      </c>
      <c r="AE142" s="2" t="str">
        <f t="shared" si="7"/>
        <v>kg N/head/day</v>
      </c>
    </row>
    <row r="143" spans="3:31" ht="20.100000000000001" customHeight="1" x14ac:dyDescent="0.25">
      <c r="D143" s="57" t="str">
        <v>CP_j</v>
      </c>
      <c r="E143" s="58" t="str">
        <v>crude protein content of dry matter intake</v>
      </c>
      <c r="F143" s="59"/>
      <c r="G143" s="57" t="str">
        <f>"See " &amp; D148</f>
        <v>See M1_Table_CP_j</v>
      </c>
      <c r="T143" s="52" t="str">
        <f>TEXT(EDATE('Input - Site'!$E$12,7), "mmmm yyyy")</f>
        <v>August 2024</v>
      </c>
      <c r="U143" s="52" t="e" cm="1">
        <f t="array" ref="U143">MMS_PastureBeef_Soil_N2ODirect_Equations.VEERG_4_2_1_3__4_NitrogenRetainedByBody(U107,U79,U43,U127)</f>
        <v>#REF!</v>
      </c>
      <c r="V143" s="52" t="e" cm="1">
        <f t="array" ref="V143">MMS_PastureBeef_Soil_N2ODirect_Equations.VEERG_4_2_1_3__4_NitrogenRetainedByBody(V107,V79,V43,V127)</f>
        <v>#REF!</v>
      </c>
      <c r="W143" s="52" t="e" cm="1">
        <f t="array" ref="W143">MMS_PastureBeef_Soil_N2ODirect_Equations.VEERG_4_2_1_3__4_NitrogenRetainedByBody(W107,W79,W43,W127)</f>
        <v>#REF!</v>
      </c>
      <c r="X143" s="52" t="e" cm="1">
        <f t="array" ref="X143">MMS_PastureBeef_Soil_N2ODirect_Equations.VEERG_4_2_1_3__4_NitrogenRetainedByBody(X107,X79,X43,X127)</f>
        <v>#REF!</v>
      </c>
      <c r="Y143" s="52" t="e" cm="1">
        <f t="array" ref="Y143">MMS_PastureBeef_Soil_N2ODirect_Equations.VEERG_4_2_1_3__4_NitrogenRetainedByBody(Y107,Y79,Y43,Y127)</f>
        <v>#REF!</v>
      </c>
      <c r="Z143" s="52" t="e" cm="1">
        <f t="array" ref="Z143">MMS_PastureBeef_Soil_N2ODirect_Equations.VEERG_4_2_1_3__4_NitrogenRetainedByBody(Z107,Z79,Z43,Z127)</f>
        <v>#REF!</v>
      </c>
      <c r="AA143" s="52" t="e" cm="1">
        <f t="array" ref="AA143">MMS_PastureBeef_Soil_N2ODirect_Equations.VEERG_4_2_1_3__4_NitrogenRetainedByBody(AA107,AA79,AA43,AA127)</f>
        <v>#REF!</v>
      </c>
      <c r="AB143" s="52" t="e" cm="1">
        <f t="array" ref="AB143">MMS_PastureBeef_Soil_N2ODirect_Equations.VEERG_4_2_1_3__4_NitrogenRetainedByBody(AB107,AB79,AB43,AB127)</f>
        <v>#REF!</v>
      </c>
      <c r="AC143" s="52" t="e" cm="1">
        <f t="array" ref="AC143">MMS_PastureBeef_Soil_N2ODirect_Equations.VEERG_4_2_1_3__4_NitrogenRetainedByBody(AC107,AC79,AC43,AC127)</f>
        <v>#REF!</v>
      </c>
      <c r="AD143" s="52" t="e" cm="1">
        <f t="array" ref="AD143">MMS_PastureBeef_Soil_N2ODirect_Equations.VEERG_4_2_1_3__4_NitrogenRetainedByBody(AD107,AD79,AD43,AD127)</f>
        <v>#REF!</v>
      </c>
      <c r="AE143" s="2" t="str">
        <f t="shared" si="7"/>
        <v>kg N/head/day</v>
      </c>
    </row>
    <row r="144" spans="3:31" ht="20.100000000000001" customHeight="1" x14ac:dyDescent="0.25">
      <c r="D144" s="57" t="str">
        <v>MC_jk136</v>
      </c>
      <c r="E144" s="58" t="str">
        <v>milk intake (kg/head/day)</v>
      </c>
      <c r="F144" s="59"/>
      <c r="G144" s="57" t="str">
        <f>"See " &amp; D156</f>
        <v>See M1_Table_MC_j_k_1-3-6</v>
      </c>
      <c r="T144" s="52" t="str">
        <f>TEXT(EDATE('Input - Site'!$E$12,8), "mmmm yyyy")</f>
        <v>September 2024</v>
      </c>
      <c r="U144" s="52" t="e" cm="1">
        <f t="array" ref="U144">MMS_PastureBeef_Soil_N2ODirect_Equations.VEERG_4_2_1_3__4_NitrogenRetainedByBody(U108,U80,U44,U128)</f>
        <v>#REF!</v>
      </c>
      <c r="V144" s="52" t="e" cm="1">
        <f t="array" ref="V144">MMS_PastureBeef_Soil_N2ODirect_Equations.VEERG_4_2_1_3__4_NitrogenRetainedByBody(V108,V80,V44,V128)</f>
        <v>#REF!</v>
      </c>
      <c r="W144" s="52" t="e" cm="1">
        <f t="array" ref="W144">MMS_PastureBeef_Soil_N2ODirect_Equations.VEERG_4_2_1_3__4_NitrogenRetainedByBody(W108,W80,W44,W128)</f>
        <v>#REF!</v>
      </c>
      <c r="X144" s="52" t="e" cm="1">
        <f t="array" ref="X144">MMS_PastureBeef_Soil_N2ODirect_Equations.VEERG_4_2_1_3__4_NitrogenRetainedByBody(X108,X80,X44,X128)</f>
        <v>#REF!</v>
      </c>
      <c r="Y144" s="52" t="e" cm="1">
        <f t="array" ref="Y144">MMS_PastureBeef_Soil_N2ODirect_Equations.VEERG_4_2_1_3__4_NitrogenRetainedByBody(Y108,Y80,Y44,Y128)</f>
        <v>#REF!</v>
      </c>
      <c r="Z144" s="52" t="e" cm="1">
        <f t="array" ref="Z144">MMS_PastureBeef_Soil_N2ODirect_Equations.VEERG_4_2_1_3__4_NitrogenRetainedByBody(Z108,Z80,Z44,Z128)</f>
        <v>#REF!</v>
      </c>
      <c r="AA144" s="52" t="e" cm="1">
        <f t="array" ref="AA144">MMS_PastureBeef_Soil_N2ODirect_Equations.VEERG_4_2_1_3__4_NitrogenRetainedByBody(AA108,AA80,AA44,AA128)</f>
        <v>#REF!</v>
      </c>
      <c r="AB144" s="52" t="e" cm="1">
        <f t="array" ref="AB144">MMS_PastureBeef_Soil_N2ODirect_Equations.VEERG_4_2_1_3__4_NitrogenRetainedByBody(AB108,AB80,AB44,AB128)</f>
        <v>#REF!</v>
      </c>
      <c r="AC144" s="52" t="e" cm="1">
        <f t="array" ref="AC144">MMS_PastureBeef_Soil_N2ODirect_Equations.VEERG_4_2_1_3__4_NitrogenRetainedByBody(AC108,AC80,AC44,AC128)</f>
        <v>#REF!</v>
      </c>
      <c r="AD144" s="52" t="e" cm="1">
        <f t="array" ref="AD144">MMS_PastureBeef_Soil_N2ODirect_Equations.VEERG_4_2_1_3__4_NitrogenRetainedByBody(AD108,AD80,AD44,AD128)</f>
        <v>#REF!</v>
      </c>
      <c r="AE144" s="2" t="str">
        <f t="shared" si="7"/>
        <v>kg N/head/day</v>
      </c>
    </row>
    <row r="145" spans="4:32" ht="20.100000000000001" customHeight="1" x14ac:dyDescent="0.25">
      <c r="D145" s="57" t="str">
        <v>NR_jkl</v>
      </c>
      <c r="E145" s="58" t="str">
        <v>the amount of nitrogen retained by the body (kg N/head/day)</v>
      </c>
      <c r="F145" s="59"/>
      <c r="G145" s="57" t="str">
        <f>"See " &amp; D124</f>
        <v>See M1_Table_NR_j_k_l</v>
      </c>
      <c r="T145" s="52" t="str">
        <f>TEXT(EDATE('Input - Site'!$E$12,9), "mmmm yyyy")</f>
        <v>October 2024</v>
      </c>
      <c r="U145" s="52" t="e" cm="1">
        <f t="array" ref="U145">MMS_PastureBeef_Soil_N2ODirect_Equations.VEERG_4_2_1_3__4_NitrogenRetainedByBody(U109,U81,U45,U129)</f>
        <v>#REF!</v>
      </c>
      <c r="V145" s="52" t="e" cm="1">
        <f t="array" ref="V145">MMS_PastureBeef_Soil_N2ODirect_Equations.VEERG_4_2_1_3__4_NitrogenRetainedByBody(V109,V81,V45,V129)</f>
        <v>#REF!</v>
      </c>
      <c r="W145" s="52" t="e" cm="1">
        <f t="array" ref="W145">MMS_PastureBeef_Soil_N2ODirect_Equations.VEERG_4_2_1_3__4_NitrogenRetainedByBody(W109,W81,W45,W129)</f>
        <v>#REF!</v>
      </c>
      <c r="X145" s="52" t="e" cm="1">
        <f t="array" ref="X145">MMS_PastureBeef_Soil_N2ODirect_Equations.VEERG_4_2_1_3__4_NitrogenRetainedByBody(X109,X81,X45,X129)</f>
        <v>#REF!</v>
      </c>
      <c r="Y145" s="52" t="e" cm="1">
        <f t="array" ref="Y145">MMS_PastureBeef_Soil_N2ODirect_Equations.VEERG_4_2_1_3__4_NitrogenRetainedByBody(Y109,Y81,Y45,Y129)</f>
        <v>#REF!</v>
      </c>
      <c r="Z145" s="52" t="e" cm="1">
        <f t="array" ref="Z145">MMS_PastureBeef_Soil_N2ODirect_Equations.VEERG_4_2_1_3__4_NitrogenRetainedByBody(Z109,Z81,Z45,Z129)</f>
        <v>#REF!</v>
      </c>
      <c r="AA145" s="52" t="e" cm="1">
        <f t="array" ref="AA145">MMS_PastureBeef_Soil_N2ODirect_Equations.VEERG_4_2_1_3__4_NitrogenRetainedByBody(AA109,AA81,AA45,AA129)</f>
        <v>#REF!</v>
      </c>
      <c r="AB145" s="52" t="e" cm="1">
        <f t="array" ref="AB145">MMS_PastureBeef_Soil_N2ODirect_Equations.VEERG_4_2_1_3__4_NitrogenRetainedByBody(AB109,AB81,AB45,AB129)</f>
        <v>#REF!</v>
      </c>
      <c r="AC145" s="52" t="e" cm="1">
        <f t="array" ref="AC145">MMS_PastureBeef_Soil_N2ODirect_Equations.VEERG_4_2_1_3__4_NitrogenRetainedByBody(AC109,AC81,AC45,AC129)</f>
        <v>#REF!</v>
      </c>
      <c r="AD145" s="52" t="e" cm="1">
        <f t="array" ref="AD145">MMS_PastureBeef_Soil_N2ODirect_Equations.VEERG_4_2_1_3__4_NitrogenRetainedByBody(AD109,AD81,AD45,AD129)</f>
        <v>#REF!</v>
      </c>
      <c r="AE145" s="2" t="str">
        <f t="shared" si="7"/>
        <v>kg N/head/day</v>
      </c>
    </row>
    <row r="146" spans="4:32" ht="20.100000000000001" customHeight="1" x14ac:dyDescent="0.25">
      <c r="D146" s="57" t="str">
        <v>W_jkl</v>
      </c>
      <c r="E146" s="58" t="str">
        <v>liveweight (kg/head)</v>
      </c>
      <c r="F146" s="59"/>
      <c r="G146" s="57" t="str">
        <f>"See " &amp; D17</f>
        <v>See M1_Table_W_j_k_l</v>
      </c>
      <c r="T146" s="52" t="str">
        <f>TEXT(EDATE('Input - Site'!$E$12,10), "mmmm yyyy")</f>
        <v>November 2024</v>
      </c>
      <c r="U146" s="52" t="e" cm="1">
        <f t="array" ref="U146">MMS_PastureBeef_Soil_N2ODirect_Equations.VEERG_4_2_1_3__4_NitrogenRetainedByBody(U110,U82,U46,U130)</f>
        <v>#REF!</v>
      </c>
      <c r="V146" s="52" t="e" cm="1">
        <f t="array" ref="V146">MMS_PastureBeef_Soil_N2ODirect_Equations.VEERG_4_2_1_3__4_NitrogenRetainedByBody(V110,V82,V46,V130)</f>
        <v>#REF!</v>
      </c>
      <c r="W146" s="52" t="e" cm="1">
        <f t="array" ref="W146">MMS_PastureBeef_Soil_N2ODirect_Equations.VEERG_4_2_1_3__4_NitrogenRetainedByBody(W110,W82,W46,W130)</f>
        <v>#REF!</v>
      </c>
      <c r="X146" s="52" t="e" cm="1">
        <f t="array" ref="X146">MMS_PastureBeef_Soil_N2ODirect_Equations.VEERG_4_2_1_3__4_NitrogenRetainedByBody(X110,X82,X46,X130)</f>
        <v>#REF!</v>
      </c>
      <c r="Y146" s="52" t="e" cm="1">
        <f t="array" ref="Y146">MMS_PastureBeef_Soil_N2ODirect_Equations.VEERG_4_2_1_3__4_NitrogenRetainedByBody(Y110,Y82,Y46,Y130)</f>
        <v>#REF!</v>
      </c>
      <c r="Z146" s="52" t="e" cm="1">
        <f t="array" ref="Z146">MMS_PastureBeef_Soil_N2ODirect_Equations.VEERG_4_2_1_3__4_NitrogenRetainedByBody(Z110,Z82,Z46,Z130)</f>
        <v>#REF!</v>
      </c>
      <c r="AA146" s="52" t="e" cm="1">
        <f t="array" ref="AA146">MMS_PastureBeef_Soil_N2ODirect_Equations.VEERG_4_2_1_3__4_NitrogenRetainedByBody(AA110,AA82,AA46,AA130)</f>
        <v>#REF!</v>
      </c>
      <c r="AB146" s="52" t="e" cm="1">
        <f t="array" ref="AB146">MMS_PastureBeef_Soil_N2ODirect_Equations.VEERG_4_2_1_3__4_NitrogenRetainedByBody(AB110,AB82,AB46,AB130)</f>
        <v>#REF!</v>
      </c>
      <c r="AC146" s="52" t="e" cm="1">
        <f t="array" ref="AC146">MMS_PastureBeef_Soil_N2ODirect_Equations.VEERG_4_2_1_3__4_NitrogenRetainedByBody(AC110,AC82,AC46,AC130)</f>
        <v>#REF!</v>
      </c>
      <c r="AD146" s="52" t="e" cm="1">
        <f t="array" ref="AD146">MMS_PastureBeef_Soil_N2ODirect_Equations.VEERG_4_2_1_3__4_NitrogenRetainedByBody(AD110,AD82,AD46,AD130)</f>
        <v>#REF!</v>
      </c>
      <c r="AE146" s="2" t="str">
        <f t="shared" si="7"/>
        <v>kg N/head/day</v>
      </c>
    </row>
    <row r="147" spans="4:32" ht="20.100000000000001" customHeight="1" x14ac:dyDescent="0.25">
      <c r="T147" s="52" t="str">
        <f>TEXT(EDATE('Input - Site'!$E$12,11), "mmmm yyyy")</f>
        <v>December 2024</v>
      </c>
      <c r="U147" s="52" t="e" cm="1">
        <f t="array" ref="U147">MMS_PastureBeef_Soil_N2ODirect_Equations.VEERG_4_2_1_3__4_NitrogenRetainedByBody(U111,U83,U47,U131)</f>
        <v>#REF!</v>
      </c>
      <c r="V147" s="52" t="e" cm="1">
        <f t="array" ref="V147">MMS_PastureBeef_Soil_N2ODirect_Equations.VEERG_4_2_1_3__4_NitrogenRetainedByBody(V111,V83,V47,V131)</f>
        <v>#REF!</v>
      </c>
      <c r="W147" s="52" t="e" cm="1">
        <f t="array" ref="W147">MMS_PastureBeef_Soil_N2ODirect_Equations.VEERG_4_2_1_3__4_NitrogenRetainedByBody(W111,W83,W47,W131)</f>
        <v>#REF!</v>
      </c>
      <c r="X147" s="52" t="e" cm="1">
        <f t="array" ref="X147">MMS_PastureBeef_Soil_N2ODirect_Equations.VEERG_4_2_1_3__4_NitrogenRetainedByBody(X111,X83,X47,X131)</f>
        <v>#REF!</v>
      </c>
      <c r="Y147" s="52" t="e" cm="1">
        <f t="array" ref="Y147">MMS_PastureBeef_Soil_N2ODirect_Equations.VEERG_4_2_1_3__4_NitrogenRetainedByBody(Y111,Y83,Y47,Y131)</f>
        <v>#REF!</v>
      </c>
      <c r="Z147" s="52" t="e" cm="1">
        <f t="array" ref="Z147">MMS_PastureBeef_Soil_N2ODirect_Equations.VEERG_4_2_1_3__4_NitrogenRetainedByBody(Z111,Z83,Z47,Z131)</f>
        <v>#REF!</v>
      </c>
      <c r="AA147" s="52" t="e" cm="1">
        <f t="array" ref="AA147">MMS_PastureBeef_Soil_N2ODirect_Equations.VEERG_4_2_1_3__4_NitrogenRetainedByBody(AA111,AA83,AA47,AA131)</f>
        <v>#REF!</v>
      </c>
      <c r="AB147" s="52" t="e" cm="1">
        <f t="array" ref="AB147">MMS_PastureBeef_Soil_N2ODirect_Equations.VEERG_4_2_1_3__4_NitrogenRetainedByBody(AB111,AB83,AB47,AB131)</f>
        <v>#REF!</v>
      </c>
      <c r="AC147" s="52" t="e" cm="1">
        <f t="array" ref="AC147">MMS_PastureBeef_Soil_N2ODirect_Equations.VEERG_4_2_1_3__4_NitrogenRetainedByBody(AC111,AC83,AC47,AC131)</f>
        <v>#REF!</v>
      </c>
      <c r="AD147" s="52" t="e" cm="1">
        <f t="array" ref="AD147">MMS_PastureBeef_Soil_N2ODirect_Equations.VEERG_4_2_1_3__4_NitrogenRetainedByBody(AD111,AD83,AD47,AD131)</f>
        <v>#REF!</v>
      </c>
      <c r="AE147" s="2" t="str">
        <f t="shared" si="7"/>
        <v>kg N/head/day</v>
      </c>
    </row>
    <row r="148" spans="4:32" ht="20.100000000000001" customHeight="1" x14ac:dyDescent="0.25">
      <c r="D148" s="99" t="s">
        <v>103</v>
      </c>
    </row>
    <row r="149" spans="4:32" ht="20.100000000000001" customHeight="1" x14ac:dyDescent="0.25">
      <c r="D149" s="98" t="s">
        <v>206</v>
      </c>
    </row>
    <row r="150" spans="4:32" ht="20.100000000000001" customHeight="1" x14ac:dyDescent="0.25">
      <c r="D150" s="51" t="s">
        <v>155</v>
      </c>
      <c r="E150" s="51" t="s">
        <v>118</v>
      </c>
      <c r="F150" s="51" t="s">
        <v>117</v>
      </c>
      <c r="G150" s="51" t="s">
        <v>143</v>
      </c>
      <c r="H150" s="51" t="s">
        <v>144</v>
      </c>
      <c r="I150" s="51" t="s">
        <v>145</v>
      </c>
      <c r="J150" s="51" t="s">
        <v>146</v>
      </c>
      <c r="K150" s="51" t="s">
        <v>147</v>
      </c>
      <c r="L150" s="51" t="s">
        <v>148</v>
      </c>
      <c r="M150" s="51" t="s">
        <v>149</v>
      </c>
      <c r="N150" s="51" t="s">
        <v>150</v>
      </c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</row>
    <row r="151" spans="4:32" ht="20.100000000000001" customHeight="1" x14ac:dyDescent="0.25">
      <c r="D151" s="52" t="s">
        <v>151</v>
      </c>
      <c r="E151" s="52" t="e">
        <f>'Input - Swine'!#REF!</f>
        <v>#REF!</v>
      </c>
      <c r="F151" s="52" t="e">
        <f>'Input - Swine'!#REF!</f>
        <v>#REF!</v>
      </c>
      <c r="G151" s="52" t="e">
        <f>'Input - Swine'!#REF!</f>
        <v>#REF!</v>
      </c>
      <c r="H151" s="52" t="e">
        <f>'Input - Swine'!#REF!</f>
        <v>#REF!</v>
      </c>
      <c r="I151" s="52" t="e">
        <f>'Input - Swine'!#REF!</f>
        <v>#REF!</v>
      </c>
      <c r="J151" s="52" t="e">
        <f>'Input - Swine'!#REF!</f>
        <v>#REF!</v>
      </c>
      <c r="K151" s="52" t="e">
        <f>'Input - Swine'!#REF!</f>
        <v>#REF!</v>
      </c>
      <c r="L151" s="52" t="e">
        <f>'Input - Swine'!#REF!</f>
        <v>#REF!</v>
      </c>
      <c r="M151" s="52" t="e">
        <f>'Input - Swine'!#REF!</f>
        <v>#REF!</v>
      </c>
      <c r="N151" s="52" t="e">
        <f>'Input - Swine'!#REF!</f>
        <v>#REF!</v>
      </c>
      <c r="O151" s="2" t="s">
        <v>123</v>
      </c>
      <c r="T151" s="6" t="str" cm="1">
        <f t="array" ref="T151">MMS_PastureBeef_Soil_N2ODirect_Equations.VEERG_4_2_1_3__3_NitrogenExcreted_Title()</f>
        <v>Nitrogen excreted</v>
      </c>
    </row>
    <row r="152" spans="4:32" ht="20.100000000000001" customHeight="1" x14ac:dyDescent="0.25">
      <c r="D152" s="52" t="s">
        <v>152</v>
      </c>
      <c r="E152" s="52" t="e">
        <f>'Input - Swine'!#REF!</f>
        <v>#REF!</v>
      </c>
      <c r="F152" s="52" t="e">
        <f>'Input - Swine'!#REF!</f>
        <v>#REF!</v>
      </c>
      <c r="G152" s="52" t="e">
        <f>'Input - Swine'!#REF!</f>
        <v>#REF!</v>
      </c>
      <c r="H152" s="52" t="e">
        <f>'Input - Swine'!#REF!</f>
        <v>#REF!</v>
      </c>
      <c r="I152" s="52" t="e">
        <f>'Input - Swine'!#REF!</f>
        <v>#REF!</v>
      </c>
      <c r="J152" s="52" t="e">
        <f>'Input - Swine'!#REF!</f>
        <v>#REF!</v>
      </c>
      <c r="K152" s="52" t="e">
        <f>'Input - Swine'!#REF!</f>
        <v>#REF!</v>
      </c>
      <c r="L152" s="52" t="e">
        <f>'Input - Swine'!#REF!</f>
        <v>#REF!</v>
      </c>
      <c r="M152" s="52" t="e">
        <f>'Input - Swine'!#REF!</f>
        <v>#REF!</v>
      </c>
      <c r="N152" s="52" t="e">
        <f>'Input - Swine'!#REF!</f>
        <v>#REF!</v>
      </c>
      <c r="O152" s="2" t="s">
        <v>123</v>
      </c>
    </row>
    <row r="153" spans="4:32" ht="20.100000000000001" customHeight="1" x14ac:dyDescent="0.25">
      <c r="D153" s="52" t="s">
        <v>153</v>
      </c>
      <c r="E153" s="52" t="e">
        <f>'Input - Swine'!#REF!</f>
        <v>#REF!</v>
      </c>
      <c r="F153" s="52" t="e">
        <f>'Input - Swine'!#REF!</f>
        <v>#REF!</v>
      </c>
      <c r="G153" s="52" t="e">
        <f>'Input - Swine'!#REF!</f>
        <v>#REF!</v>
      </c>
      <c r="H153" s="52" t="e">
        <f>'Input - Swine'!#REF!</f>
        <v>#REF!</v>
      </c>
      <c r="I153" s="52" t="e">
        <f>'Input - Swine'!#REF!</f>
        <v>#REF!</v>
      </c>
      <c r="J153" s="52" t="e">
        <f>'Input - Swine'!#REF!</f>
        <v>#REF!</v>
      </c>
      <c r="K153" s="52" t="e">
        <f>'Input - Swine'!#REF!</f>
        <v>#REF!</v>
      </c>
      <c r="L153" s="52" t="e">
        <f>'Input - Swine'!#REF!</f>
        <v>#REF!</v>
      </c>
      <c r="M153" s="52" t="e">
        <f>'Input - Swine'!#REF!</f>
        <v>#REF!</v>
      </c>
      <c r="N153" s="52" t="e">
        <f>'Input - Swine'!#REF!</f>
        <v>#REF!</v>
      </c>
      <c r="O153" s="2" t="s">
        <v>123</v>
      </c>
      <c r="T153" s="99" t="s">
        <v>104</v>
      </c>
    </row>
    <row r="154" spans="4:32" ht="20.100000000000001" customHeight="1" x14ac:dyDescent="0.25">
      <c r="D154" s="52" t="s">
        <v>154</v>
      </c>
      <c r="E154" s="52" t="e">
        <f>'Input - Swine'!#REF!</f>
        <v>#REF!</v>
      </c>
      <c r="F154" s="52" t="e">
        <f>'Input - Swine'!#REF!</f>
        <v>#REF!</v>
      </c>
      <c r="G154" s="52" t="e">
        <f>'Input - Swine'!#REF!</f>
        <v>#REF!</v>
      </c>
      <c r="H154" s="52" t="e">
        <f>'Input - Swine'!#REF!</f>
        <v>#REF!</v>
      </c>
      <c r="I154" s="52" t="e">
        <f>'Input - Swine'!#REF!</f>
        <v>#REF!</v>
      </c>
      <c r="J154" s="52" t="e">
        <f>'Input - Swine'!#REF!</f>
        <v>#REF!</v>
      </c>
      <c r="K154" s="52" t="e">
        <f>'Input - Swine'!#REF!</f>
        <v>#REF!</v>
      </c>
      <c r="L154" s="52" t="e">
        <f>'Input - Swine'!#REF!</f>
        <v>#REF!</v>
      </c>
      <c r="M154" s="52" t="e">
        <f>'Input - Swine'!#REF!</f>
        <v>#REF!</v>
      </c>
      <c r="N154" s="52" t="e">
        <f>'Input - Swine'!#REF!</f>
        <v>#REF!</v>
      </c>
      <c r="O154" s="2" t="s">
        <v>123</v>
      </c>
      <c r="T154" s="98" t="s">
        <v>205</v>
      </c>
    </row>
    <row r="155" spans="4:32" ht="20.100000000000001" customHeight="1" x14ac:dyDescent="0.25">
      <c r="T155" s="51" t="s">
        <v>119</v>
      </c>
      <c r="U155" s="51" t="s">
        <v>118</v>
      </c>
      <c r="V155" s="51" t="s">
        <v>117</v>
      </c>
      <c r="W155" s="51" t="s">
        <v>143</v>
      </c>
      <c r="X155" s="51" t="s">
        <v>144</v>
      </c>
      <c r="Y155" s="51" t="s">
        <v>145</v>
      </c>
      <c r="Z155" s="51" t="s">
        <v>146</v>
      </c>
      <c r="AA155" s="51" t="s">
        <v>147</v>
      </c>
      <c r="AB155" s="51" t="s">
        <v>148</v>
      </c>
      <c r="AC155" s="51" t="s">
        <v>149</v>
      </c>
      <c r="AD155" s="51" t="s">
        <v>150</v>
      </c>
    </row>
    <row r="156" spans="4:32" ht="20.100000000000001" customHeight="1" x14ac:dyDescent="0.25">
      <c r="D156" s="99" t="s">
        <v>191</v>
      </c>
      <c r="F156" s="107" t="s">
        <v>192</v>
      </c>
      <c r="T156" s="52" t="str">
        <f>TEXT('Input - Site'!$E$12, "mmmm yyyy")</f>
        <v>January 2024</v>
      </c>
      <c r="U156" s="52" t="e">
        <f>'Input - Swine'!#REF!</f>
        <v>#REF!</v>
      </c>
      <c r="V156" s="52" t="e">
        <f>'Input - Swine'!#REF!</f>
        <v>#REF!</v>
      </c>
      <c r="W156" s="52" t="e">
        <f>'Input - Swine'!#REF!</f>
        <v>#REF!</v>
      </c>
      <c r="X156" s="52" t="e">
        <f>'Input - Swine'!#REF!</f>
        <v>#REF!</v>
      </c>
      <c r="Y156" s="52" t="e">
        <f>'Input - Swine'!#REF!</f>
        <v>#REF!</v>
      </c>
      <c r="Z156" s="52" t="e">
        <f>'Input - Swine'!#REF!</f>
        <v>#REF!</v>
      </c>
      <c r="AA156" s="52" t="e">
        <f>'Input - Swine'!#REF!</f>
        <v>#REF!</v>
      </c>
      <c r="AB156" s="52" t="e">
        <f>'Input - Swine'!#REF!</f>
        <v>#REF!</v>
      </c>
      <c r="AC156" s="52" t="e">
        <f>'Input - Swine'!#REF!</f>
        <v>#REF!</v>
      </c>
      <c r="AD156" s="52" t="e">
        <f>'Input - Swine'!#REF!</f>
        <v>#REF!</v>
      </c>
      <c r="AE156" s="2" t="s">
        <v>123</v>
      </c>
    </row>
    <row r="157" spans="4:32" ht="20.100000000000001" customHeight="1" x14ac:dyDescent="0.25">
      <c r="D157" s="98" t="s">
        <v>208</v>
      </c>
      <c r="T157" s="52" t="str">
        <f>TEXT(EDATE('Input - Site'!$E$12,1), "mmmm yyyy")</f>
        <v>February 2024</v>
      </c>
      <c r="U157" s="52" t="e">
        <f>'Input - Swine'!#REF!</f>
        <v>#REF!</v>
      </c>
      <c r="V157" s="52" t="e">
        <f>'Input - Swine'!#REF!</f>
        <v>#REF!</v>
      </c>
      <c r="W157" s="52" t="e">
        <f>'Input - Swine'!#REF!</f>
        <v>#REF!</v>
      </c>
      <c r="X157" s="52" t="e">
        <f>'Input - Swine'!#REF!</f>
        <v>#REF!</v>
      </c>
      <c r="Y157" s="52" t="e">
        <f>'Input - Swine'!#REF!</f>
        <v>#REF!</v>
      </c>
      <c r="Z157" s="52" t="e">
        <f>'Input - Swine'!#REF!</f>
        <v>#REF!</v>
      </c>
      <c r="AA157" s="52" t="e">
        <f>'Input - Swine'!#REF!</f>
        <v>#REF!</v>
      </c>
      <c r="AB157" s="52" t="e">
        <f>'Input - Swine'!#REF!</f>
        <v>#REF!</v>
      </c>
      <c r="AC157" s="52" t="e">
        <f>'Input - Swine'!#REF!</f>
        <v>#REF!</v>
      </c>
      <c r="AD157" s="52" t="e">
        <f>'Input - Swine'!#REF!</f>
        <v>#REF!</v>
      </c>
      <c r="AE157" s="2" t="s">
        <v>123</v>
      </c>
    </row>
    <row r="158" spans="4:32" ht="20.100000000000001" customHeight="1" x14ac:dyDescent="0.25">
      <c r="D158" s="51" t="s">
        <v>155</v>
      </c>
      <c r="E158" s="51" t="s">
        <v>118</v>
      </c>
      <c r="F158" s="51" t="s">
        <v>117</v>
      </c>
      <c r="G158" s="51" t="s">
        <v>143</v>
      </c>
      <c r="H158" s="51" t="s">
        <v>144</v>
      </c>
      <c r="I158" s="51" t="s">
        <v>145</v>
      </c>
      <c r="J158" s="51" t="s">
        <v>146</v>
      </c>
      <c r="K158" s="51" t="s">
        <v>147</v>
      </c>
      <c r="L158" s="51" t="s">
        <v>148</v>
      </c>
      <c r="M158" s="51" t="s">
        <v>149</v>
      </c>
      <c r="N158" s="51" t="s">
        <v>150</v>
      </c>
      <c r="T158" s="52" t="str">
        <f>TEXT(EDATE('Input - Site'!$E$12,2), "mmmm yyyy")</f>
        <v>March 2024</v>
      </c>
      <c r="U158" s="52" t="e">
        <f>'Input - Swine'!#REF!</f>
        <v>#REF!</v>
      </c>
      <c r="V158" s="52" t="e">
        <f>'Input - Swine'!#REF!</f>
        <v>#REF!</v>
      </c>
      <c r="W158" s="52" t="e">
        <f>'Input - Swine'!#REF!</f>
        <v>#REF!</v>
      </c>
      <c r="X158" s="52" t="e">
        <f>'Input - Swine'!#REF!</f>
        <v>#REF!</v>
      </c>
      <c r="Y158" s="52" t="e">
        <f>'Input - Swine'!#REF!</f>
        <v>#REF!</v>
      </c>
      <c r="Z158" s="52" t="e">
        <f>'Input - Swine'!#REF!</f>
        <v>#REF!</v>
      </c>
      <c r="AA158" s="52" t="e">
        <f>'Input - Swine'!#REF!</f>
        <v>#REF!</v>
      </c>
      <c r="AB158" s="52" t="e">
        <f>'Input - Swine'!#REF!</f>
        <v>#REF!</v>
      </c>
      <c r="AC158" s="52" t="e">
        <f>'Input - Swine'!#REF!</f>
        <v>#REF!</v>
      </c>
      <c r="AD158" s="52" t="e">
        <f>'Input - Swine'!#REF!</f>
        <v>#REF!</v>
      </c>
      <c r="AE158" s="2" t="s">
        <v>123</v>
      </c>
    </row>
    <row r="159" spans="4:32" ht="20.100000000000001" customHeight="1" x14ac:dyDescent="0.25">
      <c r="D159" s="52" t="s">
        <v>151</v>
      </c>
      <c r="E159" s="52" t="e">
        <f>AVERAGE($H$95:$J$95)</f>
        <v>#VALUE!</v>
      </c>
      <c r="F159" s="52">
        <v>0</v>
      </c>
      <c r="G159" s="52" t="e">
        <f>AVERAGE($H$95:$J$95)</f>
        <v>#VALUE!</v>
      </c>
      <c r="H159" s="52">
        <v>0</v>
      </c>
      <c r="I159" s="52">
        <v>0</v>
      </c>
      <c r="J159" s="52">
        <v>0</v>
      </c>
      <c r="K159" s="52" t="e">
        <f>AVERAGE($H$95:$J$95)</f>
        <v>#VALUE!</v>
      </c>
      <c r="L159" s="52">
        <v>0</v>
      </c>
      <c r="M159" s="52">
        <v>0</v>
      </c>
      <c r="N159" s="52">
        <v>0</v>
      </c>
      <c r="O159" s="2" t="s">
        <v>121</v>
      </c>
      <c r="T159" s="52" t="str">
        <f>TEXT(EDATE('Input - Site'!$E$12,3), "mmmm yyyy")</f>
        <v>April 2024</v>
      </c>
      <c r="U159" s="52" t="e">
        <f>'Input - Swine'!#REF!</f>
        <v>#REF!</v>
      </c>
      <c r="V159" s="52" t="e">
        <f>'Input - Swine'!#REF!</f>
        <v>#REF!</v>
      </c>
      <c r="W159" s="52" t="e">
        <f>'Input - Swine'!#REF!</f>
        <v>#REF!</v>
      </c>
      <c r="X159" s="52" t="e">
        <f>'Input - Swine'!#REF!</f>
        <v>#REF!</v>
      </c>
      <c r="Y159" s="52" t="e">
        <f>'Input - Swine'!#REF!</f>
        <v>#REF!</v>
      </c>
      <c r="Z159" s="52" t="e">
        <f>'Input - Swine'!#REF!</f>
        <v>#REF!</v>
      </c>
      <c r="AA159" s="52" t="e">
        <f>'Input - Swine'!#REF!</f>
        <v>#REF!</v>
      </c>
      <c r="AB159" s="52" t="e">
        <f>'Input - Swine'!#REF!</f>
        <v>#REF!</v>
      </c>
      <c r="AC159" s="52" t="e">
        <f>'Input - Swine'!#REF!</f>
        <v>#REF!</v>
      </c>
      <c r="AD159" s="52" t="e">
        <f>'Input - Swine'!#REF!</f>
        <v>#REF!</v>
      </c>
      <c r="AE159" s="2" t="s">
        <v>123</v>
      </c>
    </row>
    <row r="160" spans="4:32" ht="20.100000000000001" customHeight="1" x14ac:dyDescent="0.25">
      <c r="D160" s="52" t="s">
        <v>152</v>
      </c>
      <c r="E160" s="52" t="e">
        <f>AVERAGE($H$96:$J$96)</f>
        <v>#VALUE!</v>
      </c>
      <c r="F160" s="52">
        <v>0</v>
      </c>
      <c r="G160" s="52" t="e">
        <f>AVERAGE($H$96:$J$96)</f>
        <v>#VALUE!</v>
      </c>
      <c r="H160" s="52">
        <v>0</v>
      </c>
      <c r="I160" s="52">
        <v>0</v>
      </c>
      <c r="J160" s="52">
        <v>0</v>
      </c>
      <c r="K160" s="52" t="e">
        <f>AVERAGE($H$96:$J$96)</f>
        <v>#VALUE!</v>
      </c>
      <c r="L160" s="52">
        <v>0</v>
      </c>
      <c r="M160" s="52">
        <v>0</v>
      </c>
      <c r="N160" s="52">
        <v>0</v>
      </c>
      <c r="O160" s="2" t="s">
        <v>121</v>
      </c>
      <c r="T160" s="52" t="str">
        <f>TEXT(EDATE('Input - Site'!$E$12,4), "mmmm yyyy")</f>
        <v>May 2024</v>
      </c>
      <c r="U160" s="52" t="e">
        <f>'Input - Swine'!#REF!</f>
        <v>#REF!</v>
      </c>
      <c r="V160" s="52" t="e">
        <f>'Input - Swine'!#REF!</f>
        <v>#REF!</v>
      </c>
      <c r="W160" s="52" t="e">
        <f>'Input - Swine'!#REF!</f>
        <v>#REF!</v>
      </c>
      <c r="X160" s="52" t="e">
        <f>'Input - Swine'!#REF!</f>
        <v>#REF!</v>
      </c>
      <c r="Y160" s="52" t="e">
        <f>'Input - Swine'!#REF!</f>
        <v>#REF!</v>
      </c>
      <c r="Z160" s="52" t="e">
        <f>'Input - Swine'!#REF!</f>
        <v>#REF!</v>
      </c>
      <c r="AA160" s="52" t="e">
        <f>'Input - Swine'!#REF!</f>
        <v>#REF!</v>
      </c>
      <c r="AB160" s="52" t="e">
        <f>'Input - Swine'!#REF!</f>
        <v>#REF!</v>
      </c>
      <c r="AC160" s="52" t="e">
        <f>'Input - Swine'!#REF!</f>
        <v>#REF!</v>
      </c>
      <c r="AD160" s="52" t="e">
        <f>'Input - Swine'!#REF!</f>
        <v>#REF!</v>
      </c>
      <c r="AE160" s="2" t="s">
        <v>123</v>
      </c>
    </row>
    <row r="161" spans="3:31" ht="20.100000000000001" customHeight="1" x14ac:dyDescent="0.25">
      <c r="D161" s="52" t="s">
        <v>153</v>
      </c>
      <c r="E161" s="52" t="e">
        <f>AVERAGE($H$97:$J$97)</f>
        <v>#VALUE!</v>
      </c>
      <c r="F161" s="52">
        <v>0</v>
      </c>
      <c r="G161" s="52" t="e">
        <f>AVERAGE($H$97:$J$97)</f>
        <v>#VALUE!</v>
      </c>
      <c r="H161" s="52">
        <v>0</v>
      </c>
      <c r="I161" s="52">
        <v>0</v>
      </c>
      <c r="J161" s="52">
        <v>0</v>
      </c>
      <c r="K161" s="52" t="e">
        <f>AVERAGE($H$97:$J$97)</f>
        <v>#VALUE!</v>
      </c>
      <c r="L161" s="52">
        <v>0</v>
      </c>
      <c r="M161" s="52">
        <v>0</v>
      </c>
      <c r="N161" s="52">
        <v>0</v>
      </c>
      <c r="O161" s="2" t="s">
        <v>121</v>
      </c>
      <c r="T161" s="52" t="str">
        <f>TEXT(EDATE('Input - Site'!$E$12,5), "mmmm yyyy")</f>
        <v>June 2024</v>
      </c>
      <c r="U161" s="52" t="e">
        <f>'Input - Swine'!#REF!</f>
        <v>#REF!</v>
      </c>
      <c r="V161" s="52" t="e">
        <f>'Input - Swine'!#REF!</f>
        <v>#REF!</v>
      </c>
      <c r="W161" s="52" t="e">
        <f>'Input - Swine'!#REF!</f>
        <v>#REF!</v>
      </c>
      <c r="X161" s="52" t="e">
        <f>'Input - Swine'!#REF!</f>
        <v>#REF!</v>
      </c>
      <c r="Y161" s="52" t="e">
        <f>'Input - Swine'!#REF!</f>
        <v>#REF!</v>
      </c>
      <c r="Z161" s="52" t="e">
        <f>'Input - Swine'!#REF!</f>
        <v>#REF!</v>
      </c>
      <c r="AA161" s="52" t="e">
        <f>'Input - Swine'!#REF!</f>
        <v>#REF!</v>
      </c>
      <c r="AB161" s="52" t="e">
        <f>'Input - Swine'!#REF!</f>
        <v>#REF!</v>
      </c>
      <c r="AC161" s="52" t="e">
        <f>'Input - Swine'!#REF!</f>
        <v>#REF!</v>
      </c>
      <c r="AD161" s="52" t="e">
        <f>'Input - Swine'!#REF!</f>
        <v>#REF!</v>
      </c>
      <c r="AE161" s="2" t="s">
        <v>123</v>
      </c>
    </row>
    <row r="162" spans="3:31" ht="20.100000000000001" customHeight="1" x14ac:dyDescent="0.25">
      <c r="D162" s="52" t="s">
        <v>154</v>
      </c>
      <c r="E162" s="52" t="e">
        <f>AVERAGE($H$98:$J$98)</f>
        <v>#VALUE!</v>
      </c>
      <c r="F162" s="52">
        <v>0</v>
      </c>
      <c r="G162" s="52" t="e">
        <f>AVERAGE($H$98:$J$98)</f>
        <v>#VALUE!</v>
      </c>
      <c r="H162" s="52">
        <v>0</v>
      </c>
      <c r="I162" s="52">
        <v>0</v>
      </c>
      <c r="J162" s="52">
        <v>0</v>
      </c>
      <c r="K162" s="52" t="e">
        <f>AVERAGE($H$98:$J$98)</f>
        <v>#VALUE!</v>
      </c>
      <c r="L162" s="52">
        <v>0</v>
      </c>
      <c r="M162" s="52">
        <v>0</v>
      </c>
      <c r="N162" s="52">
        <v>0</v>
      </c>
      <c r="O162" s="2" t="s">
        <v>121</v>
      </c>
      <c r="T162" s="52" t="str">
        <f>TEXT(EDATE('Input - Site'!$E$12,6), "mmmm yyyy")</f>
        <v>July 2024</v>
      </c>
      <c r="U162" s="52" t="e">
        <f>'Input - Swine'!#REF!</f>
        <v>#REF!</v>
      </c>
      <c r="V162" s="52" t="e">
        <f>'Input - Swine'!#REF!</f>
        <v>#REF!</v>
      </c>
      <c r="W162" s="52" t="e">
        <f>'Input - Swine'!#REF!</f>
        <v>#REF!</v>
      </c>
      <c r="X162" s="52" t="e">
        <f>'Input - Swine'!#REF!</f>
        <v>#REF!</v>
      </c>
      <c r="Y162" s="52" t="e">
        <f>'Input - Swine'!#REF!</f>
        <v>#REF!</v>
      </c>
      <c r="Z162" s="52" t="e">
        <f>'Input - Swine'!#REF!</f>
        <v>#REF!</v>
      </c>
      <c r="AA162" s="52" t="e">
        <f>'Input - Swine'!#REF!</f>
        <v>#REF!</v>
      </c>
      <c r="AB162" s="52" t="e">
        <f>'Input - Swine'!#REF!</f>
        <v>#REF!</v>
      </c>
      <c r="AC162" s="52" t="e">
        <f>'Input - Swine'!#REF!</f>
        <v>#REF!</v>
      </c>
      <c r="AD162" s="52" t="e">
        <f>'Input - Swine'!#REF!</f>
        <v>#REF!</v>
      </c>
      <c r="AE162" s="2" t="s">
        <v>123</v>
      </c>
    </row>
    <row r="163" spans="3:31" ht="20.100000000000001" customHeight="1" x14ac:dyDescent="0.25">
      <c r="T163" s="52" t="str">
        <f>TEXT(EDATE('Input - Site'!$E$12,7), "mmmm yyyy")</f>
        <v>August 2024</v>
      </c>
      <c r="U163" s="52" t="e">
        <f>'Input - Swine'!#REF!</f>
        <v>#REF!</v>
      </c>
      <c r="V163" s="52" t="e">
        <f>'Input - Swine'!#REF!</f>
        <v>#REF!</v>
      </c>
      <c r="W163" s="52" t="e">
        <f>'Input - Swine'!#REF!</f>
        <v>#REF!</v>
      </c>
      <c r="X163" s="52" t="e">
        <f>'Input - Swine'!#REF!</f>
        <v>#REF!</v>
      </c>
      <c r="Y163" s="52" t="e">
        <f>'Input - Swine'!#REF!</f>
        <v>#REF!</v>
      </c>
      <c r="Z163" s="52" t="e">
        <f>'Input - Swine'!#REF!</f>
        <v>#REF!</v>
      </c>
      <c r="AA163" s="52" t="e">
        <f>'Input - Swine'!#REF!</f>
        <v>#REF!</v>
      </c>
      <c r="AB163" s="52" t="e">
        <f>'Input - Swine'!#REF!</f>
        <v>#REF!</v>
      </c>
      <c r="AC163" s="52" t="e">
        <f>'Input - Swine'!#REF!</f>
        <v>#REF!</v>
      </c>
      <c r="AD163" s="52" t="e">
        <f>'Input - Swine'!#REF!</f>
        <v>#REF!</v>
      </c>
      <c r="AE163" s="2" t="s">
        <v>123</v>
      </c>
    </row>
    <row r="164" spans="3:31" ht="20.100000000000001" customHeight="1" x14ac:dyDescent="0.25">
      <c r="D164" s="99" t="s">
        <v>193</v>
      </c>
      <c r="T164" s="52" t="str">
        <f>TEXT(EDATE('Input - Site'!$E$12,8), "mmmm yyyy")</f>
        <v>September 2024</v>
      </c>
      <c r="U164" s="52" t="e">
        <f>'Input - Swine'!#REF!</f>
        <v>#REF!</v>
      </c>
      <c r="V164" s="52" t="e">
        <f>'Input - Swine'!#REF!</f>
        <v>#REF!</v>
      </c>
      <c r="W164" s="52" t="e">
        <f>'Input - Swine'!#REF!</f>
        <v>#REF!</v>
      </c>
      <c r="X164" s="52" t="e">
        <f>'Input - Swine'!#REF!</f>
        <v>#REF!</v>
      </c>
      <c r="Y164" s="52" t="e">
        <f>'Input - Swine'!#REF!</f>
        <v>#REF!</v>
      </c>
      <c r="Z164" s="52" t="e">
        <f>'Input - Swine'!#REF!</f>
        <v>#REF!</v>
      </c>
      <c r="AA164" s="52" t="e">
        <f>'Input - Swine'!#REF!</f>
        <v>#REF!</v>
      </c>
      <c r="AB164" s="52" t="e">
        <f>'Input - Swine'!#REF!</f>
        <v>#REF!</v>
      </c>
      <c r="AC164" s="52" t="e">
        <f>'Input - Swine'!#REF!</f>
        <v>#REF!</v>
      </c>
      <c r="AD164" s="52" t="e">
        <f>'Input - Swine'!#REF!</f>
        <v>#REF!</v>
      </c>
      <c r="AE164" s="2" t="s">
        <v>123</v>
      </c>
    </row>
    <row r="165" spans="3:31" ht="20.100000000000001" customHeight="1" x14ac:dyDescent="0.25">
      <c r="D165" s="98" t="s">
        <v>209</v>
      </c>
      <c r="T165" s="52" t="str">
        <f>TEXT(EDATE('Input - Site'!$E$12,9), "mmmm yyyy")</f>
        <v>October 2024</v>
      </c>
      <c r="U165" s="52" t="e">
        <f>'Input - Swine'!#REF!</f>
        <v>#REF!</v>
      </c>
      <c r="V165" s="52" t="e">
        <f>'Input - Swine'!#REF!</f>
        <v>#REF!</v>
      </c>
      <c r="W165" s="52" t="e">
        <f>'Input - Swine'!#REF!</f>
        <v>#REF!</v>
      </c>
      <c r="X165" s="52" t="e">
        <f>'Input - Swine'!#REF!</f>
        <v>#REF!</v>
      </c>
      <c r="Y165" s="52" t="e">
        <f>'Input - Swine'!#REF!</f>
        <v>#REF!</v>
      </c>
      <c r="Z165" s="52" t="e">
        <f>'Input - Swine'!#REF!</f>
        <v>#REF!</v>
      </c>
      <c r="AA165" s="52" t="e">
        <f>'Input - Swine'!#REF!</f>
        <v>#REF!</v>
      </c>
      <c r="AB165" s="52" t="e">
        <f>'Input - Swine'!#REF!</f>
        <v>#REF!</v>
      </c>
      <c r="AC165" s="52" t="e">
        <f>'Input - Swine'!#REF!</f>
        <v>#REF!</v>
      </c>
      <c r="AD165" s="52" t="e">
        <f>'Input - Swine'!#REF!</f>
        <v>#REF!</v>
      </c>
      <c r="AE165" s="2" t="s">
        <v>123</v>
      </c>
    </row>
    <row r="166" spans="3:31" ht="20.100000000000001" customHeight="1" x14ac:dyDescent="0.25">
      <c r="D166" s="51" t="s">
        <v>155</v>
      </c>
      <c r="E166" s="51" t="s">
        <v>118</v>
      </c>
      <c r="F166" s="51" t="s">
        <v>117</v>
      </c>
      <c r="G166" s="51" t="s">
        <v>143</v>
      </c>
      <c r="H166" s="51" t="s">
        <v>144</v>
      </c>
      <c r="I166" s="51" t="s">
        <v>145</v>
      </c>
      <c r="J166" s="51" t="s">
        <v>146</v>
      </c>
      <c r="K166" s="51" t="s">
        <v>147</v>
      </c>
      <c r="L166" s="51" t="s">
        <v>148</v>
      </c>
      <c r="M166" s="51" t="s">
        <v>149</v>
      </c>
      <c r="N166" s="51" t="s">
        <v>150</v>
      </c>
      <c r="T166" s="52" t="str">
        <f>TEXT(EDATE('Input - Site'!$E$12,10), "mmmm yyyy")</f>
        <v>November 2024</v>
      </c>
      <c r="U166" s="52" t="e">
        <f>'Input - Swine'!#REF!</f>
        <v>#REF!</v>
      </c>
      <c r="V166" s="52" t="e">
        <f>'Input - Swine'!#REF!</f>
        <v>#REF!</v>
      </c>
      <c r="W166" s="52" t="e">
        <f>'Input - Swine'!#REF!</f>
        <v>#REF!</v>
      </c>
      <c r="X166" s="52" t="e">
        <f>'Input - Swine'!#REF!</f>
        <v>#REF!</v>
      </c>
      <c r="Y166" s="52" t="e">
        <f>'Input - Swine'!#REF!</f>
        <v>#REF!</v>
      </c>
      <c r="Z166" s="52" t="e">
        <f>'Input - Swine'!#REF!</f>
        <v>#REF!</v>
      </c>
      <c r="AA166" s="52" t="e">
        <f>'Input - Swine'!#REF!</f>
        <v>#REF!</v>
      </c>
      <c r="AB166" s="52" t="e">
        <f>'Input - Swine'!#REF!</f>
        <v>#REF!</v>
      </c>
      <c r="AC166" s="52" t="e">
        <f>'Input - Swine'!#REF!</f>
        <v>#REF!</v>
      </c>
      <c r="AD166" s="52" t="e">
        <f>'Input - Swine'!#REF!</f>
        <v>#REF!</v>
      </c>
      <c r="AE166" s="2" t="s">
        <v>123</v>
      </c>
    </row>
    <row r="167" spans="3:31" ht="20.100000000000001" customHeight="1" x14ac:dyDescent="0.25">
      <c r="D167" s="52" t="s">
        <v>151</v>
      </c>
      <c r="E167" s="52" t="e" cm="1">
        <f t="array" ref="E167">MMS_PastureBeef_Soil_N2ODirect_Equations.VEERG_4_2_1_3__3_NitrogenExcreted(E54,E151,E159,E127,E20)</f>
        <v>#VALUE!</v>
      </c>
      <c r="F167" s="52" t="e" cm="1">
        <f t="array" ref="F167">MMS_PastureBeef_Soil_N2ODirect_Equations.VEERG_4_2_1_3__3_NitrogenExcreted(F54,F151,F159,F127,F20)</f>
        <v>#REF!</v>
      </c>
      <c r="G167" s="52" t="e" cm="1">
        <f t="array" ref="G167">MMS_PastureBeef_Soil_N2ODirect_Equations.VEERG_4_2_1_3__3_NitrogenExcreted(G54,G151,G159,G127,G20)</f>
        <v>#VALUE!</v>
      </c>
      <c r="H167" s="52" t="e" cm="1">
        <f t="array" ref="H167">MMS_PastureBeef_Soil_N2ODirect_Equations.VEERG_4_2_1_3__3_NitrogenExcreted(H54,H151,H159,H127,H20)</f>
        <v>#REF!</v>
      </c>
      <c r="I167" s="52" t="e" cm="1">
        <f t="array" ref="I167">MMS_PastureBeef_Soil_N2ODirect_Equations.VEERG_4_2_1_3__3_NitrogenExcreted(I54,I151,I159,I127,I20)</f>
        <v>#REF!</v>
      </c>
      <c r="J167" s="52" t="e" cm="1">
        <f t="array" ref="J167">MMS_PastureBeef_Soil_N2ODirect_Equations.VEERG_4_2_1_3__3_NitrogenExcreted(J54,J151,J159,J127,J20)</f>
        <v>#REF!</v>
      </c>
      <c r="K167" s="52" t="e" cm="1">
        <f t="array" ref="K167">MMS_PastureBeef_Soil_N2ODirect_Equations.VEERG_4_2_1_3__3_NitrogenExcreted(K54,K151,K159,K127,K20)</f>
        <v>#REF!</v>
      </c>
      <c r="L167" s="52" t="e" cm="1">
        <f t="array" ref="L167">MMS_PastureBeef_Soil_N2ODirect_Equations.VEERG_4_2_1_3__3_NitrogenExcreted(L54,L151,L159,L127,L20)</f>
        <v>#REF!</v>
      </c>
      <c r="M167" s="52" t="e" cm="1">
        <f t="array" ref="M167">MMS_PastureBeef_Soil_N2ODirect_Equations.VEERG_4_2_1_3__3_NitrogenExcreted(M54,M151,M159,M127,M20)</f>
        <v>#REF!</v>
      </c>
      <c r="N167" s="52" t="e" cm="1">
        <f t="array" ref="N167">MMS_PastureBeef_Soil_N2ODirect_Equations.VEERG_4_2_1_3__3_NitrogenExcreted(N54,N151,N159,N127,N20)</f>
        <v>#REF!</v>
      </c>
      <c r="O167" s="2" t="str">
        <f>$E$140</f>
        <v>kg N/head/day</v>
      </c>
      <c r="T167" s="52" t="str">
        <f>TEXT(EDATE('Input - Site'!$E$12,11), "mmmm yyyy")</f>
        <v>December 2024</v>
      </c>
      <c r="U167" s="52" t="e">
        <f>'Input - Swine'!#REF!</f>
        <v>#REF!</v>
      </c>
      <c r="V167" s="52" t="e">
        <f>'Input - Swine'!#REF!</f>
        <v>#REF!</v>
      </c>
      <c r="W167" s="52" t="e">
        <f>'Input - Swine'!#REF!</f>
        <v>#REF!</v>
      </c>
      <c r="X167" s="52" t="e">
        <f>'Input - Swine'!#REF!</f>
        <v>#REF!</v>
      </c>
      <c r="Y167" s="52" t="e">
        <f>'Input - Swine'!#REF!</f>
        <v>#REF!</v>
      </c>
      <c r="Z167" s="52" t="e">
        <f>'Input - Swine'!#REF!</f>
        <v>#REF!</v>
      </c>
      <c r="AA167" s="52" t="e">
        <f>'Input - Swine'!#REF!</f>
        <v>#REF!</v>
      </c>
      <c r="AB167" s="52" t="e">
        <f>'Input - Swine'!#REF!</f>
        <v>#REF!</v>
      </c>
      <c r="AC167" s="52" t="e">
        <f>'Input - Swine'!#REF!</f>
        <v>#REF!</v>
      </c>
      <c r="AD167" s="52" t="e">
        <f>'Input - Swine'!#REF!</f>
        <v>#REF!</v>
      </c>
      <c r="AE167" s="2" t="s">
        <v>123</v>
      </c>
    </row>
    <row r="168" spans="3:31" ht="20.100000000000001" customHeight="1" x14ac:dyDescent="0.25">
      <c r="D168" s="52" t="s">
        <v>152</v>
      </c>
      <c r="E168" s="52" t="e" cm="1">
        <f t="array" ref="E168">MMS_PastureBeef_Soil_N2ODirect_Equations.VEERG_4_2_1_3__3_NitrogenExcreted(E55,E152,E160,E128,E21)</f>
        <v>#VALUE!</v>
      </c>
      <c r="F168" s="52" t="e" cm="1">
        <f t="array" ref="F168">MMS_PastureBeef_Soil_N2ODirect_Equations.VEERG_4_2_1_3__3_NitrogenExcreted(F55,F152,F160,F128,F21)</f>
        <v>#REF!</v>
      </c>
      <c r="G168" s="52" t="e" cm="1">
        <f t="array" ref="G168">MMS_PastureBeef_Soil_N2ODirect_Equations.VEERG_4_2_1_3__3_NitrogenExcreted(G55,G152,G160,G128,G21)</f>
        <v>#VALUE!</v>
      </c>
      <c r="H168" s="52" t="e" cm="1">
        <f t="array" ref="H168">MMS_PastureBeef_Soil_N2ODirect_Equations.VEERG_4_2_1_3__3_NitrogenExcreted(H55,H152,H160,H128,H21)</f>
        <v>#REF!</v>
      </c>
      <c r="I168" s="52" t="e" cm="1">
        <f t="array" ref="I168">MMS_PastureBeef_Soil_N2ODirect_Equations.VEERG_4_2_1_3__3_NitrogenExcreted(I55,I152,I160,I128,I21)</f>
        <v>#REF!</v>
      </c>
      <c r="J168" s="52" t="e" cm="1">
        <f t="array" ref="J168">MMS_PastureBeef_Soil_N2ODirect_Equations.VEERG_4_2_1_3__3_NitrogenExcreted(J55,J152,J160,J128,J21)</f>
        <v>#REF!</v>
      </c>
      <c r="K168" s="52" t="e" cm="1">
        <f t="array" ref="K168">MMS_PastureBeef_Soil_N2ODirect_Equations.VEERG_4_2_1_3__3_NitrogenExcreted(K55,K152,K160,K128,K21)</f>
        <v>#REF!</v>
      </c>
      <c r="L168" s="52" t="e" cm="1">
        <f t="array" ref="L168">MMS_PastureBeef_Soil_N2ODirect_Equations.VEERG_4_2_1_3__3_NitrogenExcreted(L55,L152,L160,L128,L21)</f>
        <v>#REF!</v>
      </c>
      <c r="M168" s="52" t="e" cm="1">
        <f t="array" ref="M168">MMS_PastureBeef_Soil_N2ODirect_Equations.VEERG_4_2_1_3__3_NitrogenExcreted(M55,M152,M160,M128,M21)</f>
        <v>#REF!</v>
      </c>
      <c r="N168" s="52" t="e" cm="1">
        <f t="array" ref="N168">MMS_PastureBeef_Soil_N2ODirect_Equations.VEERG_4_2_1_3__3_NitrogenExcreted(N55,N152,N160,N128,N21)</f>
        <v>#REF!</v>
      </c>
      <c r="O168" s="2" t="str">
        <f t="shared" ref="O168:O170" si="8">$E$140</f>
        <v>kg N/head/day</v>
      </c>
    </row>
    <row r="169" spans="3:31" ht="20.100000000000001" customHeight="1" x14ac:dyDescent="0.25">
      <c r="D169" s="52" t="s">
        <v>153</v>
      </c>
      <c r="E169" s="52" t="e" cm="1">
        <f t="array" ref="E169">MMS_PastureBeef_Soil_N2ODirect_Equations.VEERG_4_2_1_3__3_NitrogenExcreted(E56,E153,E161,E129,E22)</f>
        <v>#REF!</v>
      </c>
      <c r="F169" s="52" t="e" cm="1">
        <f t="array" ref="F169">MMS_PastureBeef_Soil_N2ODirect_Equations.VEERG_4_2_1_3__3_NitrogenExcreted(F56,F153,F161,F129,F22)</f>
        <v>#REF!</v>
      </c>
      <c r="G169" s="52" t="e" cm="1">
        <f t="array" ref="G169">MMS_PastureBeef_Soil_N2ODirect_Equations.VEERG_4_2_1_3__3_NitrogenExcreted(G56,G153,G161,G129,G22)</f>
        <v>#REF!</v>
      </c>
      <c r="H169" s="52" t="e" cm="1">
        <f t="array" ref="H169">MMS_PastureBeef_Soil_N2ODirect_Equations.VEERG_4_2_1_3__3_NitrogenExcreted(H56,H153,H161,H129,H22)</f>
        <v>#REF!</v>
      </c>
      <c r="I169" s="52" t="e" cm="1">
        <f t="array" ref="I169">MMS_PastureBeef_Soil_N2ODirect_Equations.VEERG_4_2_1_3__3_NitrogenExcreted(I56,I153,I161,I129,I22)</f>
        <v>#REF!</v>
      </c>
      <c r="J169" s="52" t="e" cm="1">
        <f t="array" ref="J169">MMS_PastureBeef_Soil_N2ODirect_Equations.VEERG_4_2_1_3__3_NitrogenExcreted(J56,J153,J161,J129,J22)</f>
        <v>#REF!</v>
      </c>
      <c r="K169" s="52" t="e" cm="1">
        <f t="array" ref="K169">MMS_PastureBeef_Soil_N2ODirect_Equations.VEERG_4_2_1_3__3_NitrogenExcreted(K56,K153,K161,K129,K22)</f>
        <v>#REF!</v>
      </c>
      <c r="L169" s="52" t="e" cm="1">
        <f t="array" ref="L169">MMS_PastureBeef_Soil_N2ODirect_Equations.VEERG_4_2_1_3__3_NitrogenExcreted(L56,L153,L161,L129,L22)</f>
        <v>#REF!</v>
      </c>
      <c r="M169" s="52" t="e" cm="1">
        <f t="array" ref="M169">MMS_PastureBeef_Soil_N2ODirect_Equations.VEERG_4_2_1_3__3_NitrogenExcreted(M56,M153,M161,M129,M22)</f>
        <v>#REF!</v>
      </c>
      <c r="N169" s="52" t="e" cm="1">
        <f t="array" ref="N169">MMS_PastureBeef_Soil_N2ODirect_Equations.VEERG_4_2_1_3__3_NitrogenExcreted(N56,N153,N161,N129,N22)</f>
        <v>#REF!</v>
      </c>
      <c r="O169" s="2" t="str">
        <f t="shared" si="8"/>
        <v>kg N/head/day</v>
      </c>
      <c r="T169" s="99" t="s">
        <v>191</v>
      </c>
      <c r="U169" s="107" t="s">
        <v>192</v>
      </c>
    </row>
    <row r="170" spans="3:31" ht="20.100000000000001" customHeight="1" x14ac:dyDescent="0.25">
      <c r="D170" s="52" t="s">
        <v>154</v>
      </c>
      <c r="E170" s="52" t="e" cm="1">
        <f t="array" ref="E170">MMS_PastureBeef_Soil_N2ODirect_Equations.VEERG_4_2_1_3__3_NitrogenExcreted(E57,E154,E162,E130,E23)</f>
        <v>#REF!</v>
      </c>
      <c r="F170" s="52" t="e" cm="1">
        <f t="array" ref="F170">MMS_PastureBeef_Soil_N2ODirect_Equations.VEERG_4_2_1_3__3_NitrogenExcreted(F57,F154,F162,F130,F23)</f>
        <v>#REF!</v>
      </c>
      <c r="G170" s="52" t="e" cm="1">
        <f t="array" ref="G170">MMS_PastureBeef_Soil_N2ODirect_Equations.VEERG_4_2_1_3__3_NitrogenExcreted(G57,G154,G162,G130,G23)</f>
        <v>#REF!</v>
      </c>
      <c r="H170" s="52" t="e" cm="1">
        <f t="array" ref="H170">MMS_PastureBeef_Soil_N2ODirect_Equations.VEERG_4_2_1_3__3_NitrogenExcreted(H57,H154,H162,H130,H23)</f>
        <v>#REF!</v>
      </c>
      <c r="I170" s="52" t="e" cm="1">
        <f t="array" ref="I170">MMS_PastureBeef_Soil_N2ODirect_Equations.VEERG_4_2_1_3__3_NitrogenExcreted(I57,I154,I162,I130,I23)</f>
        <v>#REF!</v>
      </c>
      <c r="J170" s="52" t="e" cm="1">
        <f t="array" ref="J170">MMS_PastureBeef_Soil_N2ODirect_Equations.VEERG_4_2_1_3__3_NitrogenExcreted(J57,J154,J162,J130,J23)</f>
        <v>#REF!</v>
      </c>
      <c r="K170" s="52" t="e" cm="1">
        <f t="array" ref="K170">MMS_PastureBeef_Soil_N2ODirect_Equations.VEERG_4_2_1_3__3_NitrogenExcreted(K57,K154,K162,K130,K23)</f>
        <v>#REF!</v>
      </c>
      <c r="L170" s="52" t="e" cm="1">
        <f t="array" ref="L170">MMS_PastureBeef_Soil_N2ODirect_Equations.VEERG_4_2_1_3__3_NitrogenExcreted(L57,L154,L162,L130,L23)</f>
        <v>#REF!</v>
      </c>
      <c r="M170" s="52" t="e" cm="1">
        <f t="array" ref="M170">MMS_PastureBeef_Soil_N2ODirect_Equations.VEERG_4_2_1_3__3_NitrogenExcreted(M57,M154,M162,M130,M23)</f>
        <v>#REF!</v>
      </c>
      <c r="N170" s="52" t="e" cm="1">
        <f t="array" ref="N170">MMS_PastureBeef_Soil_N2ODirect_Equations.VEERG_4_2_1_3__3_NitrogenExcreted(N57,N154,N162,N130,N23)</f>
        <v>#REF!</v>
      </c>
      <c r="O170" s="2" t="str">
        <f t="shared" si="8"/>
        <v>kg N/head/day</v>
      </c>
      <c r="T170" s="98" t="s">
        <v>207</v>
      </c>
    </row>
    <row r="171" spans="3:31" ht="20.100000000000001" customHeight="1" x14ac:dyDescent="0.25">
      <c r="T171" s="51" t="s">
        <v>119</v>
      </c>
      <c r="U171" s="51" t="s">
        <v>118</v>
      </c>
      <c r="V171" s="51" t="s">
        <v>117</v>
      </c>
      <c r="W171" s="51" t="s">
        <v>143</v>
      </c>
      <c r="X171" s="51" t="s">
        <v>144</v>
      </c>
      <c r="Y171" s="51" t="s">
        <v>145</v>
      </c>
      <c r="Z171" s="51" t="s">
        <v>146</v>
      </c>
      <c r="AA171" s="51" t="s">
        <v>147</v>
      </c>
      <c r="AB171" s="51" t="s">
        <v>148</v>
      </c>
      <c r="AC171" s="51" t="s">
        <v>149</v>
      </c>
      <c r="AD171" s="51" t="s">
        <v>150</v>
      </c>
    </row>
    <row r="172" spans="3:31" ht="20.100000000000001" customHeight="1" x14ac:dyDescent="0.25">
      <c r="T172" s="52" t="str">
        <f>TEXT('Input - Site'!$E$12, "mmmm yyyy")</f>
        <v>January 2024</v>
      </c>
      <c r="U172" s="52" t="e">
        <f>AVERAGE($X100:$Z100)</f>
        <v>#REF!</v>
      </c>
      <c r="V172" s="52">
        <v>0</v>
      </c>
      <c r="W172" s="52" t="e">
        <f t="shared" ref="W172:W183" si="9">AVERAGE($X100:$Z100)</f>
        <v>#REF!</v>
      </c>
      <c r="X172" s="52">
        <v>0</v>
      </c>
      <c r="Y172" s="52">
        <v>0</v>
      </c>
      <c r="Z172" s="52">
        <v>0</v>
      </c>
      <c r="AA172" s="52" t="e">
        <f t="shared" ref="AA172:AA183" si="10">AVERAGE($X100:$Z100)</f>
        <v>#REF!</v>
      </c>
      <c r="AB172" s="52">
        <v>0</v>
      </c>
      <c r="AC172" s="52">
        <v>0</v>
      </c>
      <c r="AD172" s="52">
        <v>0</v>
      </c>
      <c r="AE172" s="2" t="s">
        <v>121</v>
      </c>
    </row>
    <row r="173" spans="3:31" ht="20.100000000000001" customHeight="1" x14ac:dyDescent="0.25"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T173" s="52" t="str">
        <f>TEXT(EDATE('Input - Site'!$E$12,1), "mmmm yyyy")</f>
        <v>February 2024</v>
      </c>
      <c r="U173" s="52" t="e">
        <f t="shared" ref="U173:U183" si="11">AVERAGE($X101:$Z101)</f>
        <v>#REF!</v>
      </c>
      <c r="V173" s="52">
        <v>0</v>
      </c>
      <c r="W173" s="52" t="e">
        <f t="shared" si="9"/>
        <v>#REF!</v>
      </c>
      <c r="X173" s="52">
        <v>0</v>
      </c>
      <c r="Y173" s="52">
        <v>0</v>
      </c>
      <c r="Z173" s="52">
        <v>0</v>
      </c>
      <c r="AA173" s="52" t="e">
        <f t="shared" si="10"/>
        <v>#REF!</v>
      </c>
      <c r="AB173" s="52">
        <v>0</v>
      </c>
      <c r="AC173" s="52">
        <v>0</v>
      </c>
      <c r="AD173" s="52">
        <v>0</v>
      </c>
      <c r="AE173" s="2" t="s">
        <v>121</v>
      </c>
    </row>
    <row r="174" spans="3:31" ht="20.100000000000001" customHeight="1" x14ac:dyDescent="0.25">
      <c r="D174" s="6" t="str" cm="1">
        <f t="array" ref="D174">MMS_PastureBeef_Soil_N2ODirect_Equations.VEERG_4_2_1_3__2_TotalNitrogenExcretedToPastureRangeAndPaddock_Title()</f>
        <v>Total nitrogen excreted to pasture, range and paddock</v>
      </c>
      <c r="T174" s="52" t="str">
        <f>TEXT(EDATE('Input - Site'!$E$12,2), "mmmm yyyy")</f>
        <v>March 2024</v>
      </c>
      <c r="U174" s="52" t="e">
        <f t="shared" si="11"/>
        <v>#REF!</v>
      </c>
      <c r="V174" s="52">
        <v>0</v>
      </c>
      <c r="W174" s="52" t="e">
        <f t="shared" si="9"/>
        <v>#REF!</v>
      </c>
      <c r="X174" s="52">
        <v>0</v>
      </c>
      <c r="Y174" s="52">
        <v>0</v>
      </c>
      <c r="Z174" s="52">
        <v>0</v>
      </c>
      <c r="AA174" s="52" t="e">
        <f t="shared" si="10"/>
        <v>#REF!</v>
      </c>
      <c r="AB174" s="52">
        <v>0</v>
      </c>
      <c r="AC174" s="52">
        <v>0</v>
      </c>
      <c r="AD174" s="52">
        <v>0</v>
      </c>
      <c r="AE174" s="2" t="s">
        <v>121</v>
      </c>
    </row>
    <row r="175" spans="3:31" ht="20.100000000000001" customHeight="1" x14ac:dyDescent="0.25">
      <c r="D175" s="5" t="str" cm="1">
        <f t="array" ref="D175">MMS_PastureBeef_Soil_N2ODirect_Equations.VEERG_4_2_1_3__2_TotalNitrogenExcretedToPastureRangeAndPaddock_Source()</f>
        <v>VEERG 2026: 4.2.1.3, Equation (2)</v>
      </c>
      <c r="T175" s="52" t="str">
        <f>TEXT(EDATE('Input - Site'!$E$12,3), "mmmm yyyy")</f>
        <v>April 2024</v>
      </c>
      <c r="U175" s="52" t="e">
        <f t="shared" si="11"/>
        <v>#REF!</v>
      </c>
      <c r="V175" s="52">
        <v>0</v>
      </c>
      <c r="W175" s="52" t="e">
        <f t="shared" si="9"/>
        <v>#REF!</v>
      </c>
      <c r="X175" s="52">
        <v>0</v>
      </c>
      <c r="Y175" s="52">
        <v>0</v>
      </c>
      <c r="Z175" s="52">
        <v>0</v>
      </c>
      <c r="AA175" s="52" t="e">
        <f t="shared" si="10"/>
        <v>#REF!</v>
      </c>
      <c r="AB175" s="52">
        <v>0</v>
      </c>
      <c r="AC175" s="52">
        <v>0</v>
      </c>
      <c r="AD175" s="52">
        <v>0</v>
      </c>
      <c r="AE175" s="2" t="s">
        <v>121</v>
      </c>
    </row>
    <row r="176" spans="3:31" ht="20.100000000000001" customHeight="1" x14ac:dyDescent="0.25">
      <c r="D176" s="13" t="s">
        <v>26</v>
      </c>
      <c r="E176" s="13" t="str" cm="1">
        <f t="array" aca="1" ref="E176" ca="1">Common_InputFunctions.Utility_DisplayFunctionName($E$205)</f>
        <v>=MMS_PastureBeef_Soil_N2ODirect_Equations.VEERG_4_2_1_3__2_TotalNitrogenExcretedToPastureRangeAndPaddock</v>
      </c>
      <c r="T176" s="52" t="str">
        <f>TEXT(EDATE('Input - Site'!$E$12,4), "mmmm yyyy")</f>
        <v>May 2024</v>
      </c>
      <c r="U176" s="52" t="e">
        <f t="shared" si="11"/>
        <v>#REF!</v>
      </c>
      <c r="V176" s="52">
        <v>0</v>
      </c>
      <c r="W176" s="52" t="e">
        <f t="shared" si="9"/>
        <v>#REF!</v>
      </c>
      <c r="X176" s="52">
        <v>0</v>
      </c>
      <c r="Y176" s="52">
        <v>0</v>
      </c>
      <c r="Z176" s="52">
        <v>0</v>
      </c>
      <c r="AA176" s="52" t="e">
        <f t="shared" si="10"/>
        <v>#REF!</v>
      </c>
      <c r="AB176" s="52">
        <v>0</v>
      </c>
      <c r="AC176" s="52">
        <v>0</v>
      </c>
      <c r="AD176" s="52">
        <v>0</v>
      </c>
      <c r="AE176" s="2" t="s">
        <v>121</v>
      </c>
    </row>
    <row r="177" spans="4:31" ht="20.100000000000001" customHeight="1" x14ac:dyDescent="0.25">
      <c r="T177" s="52" t="str">
        <f>TEXT(EDATE('Input - Site'!$E$12,5), "mmmm yyyy")</f>
        <v>June 2024</v>
      </c>
      <c r="U177" s="52" t="e">
        <f t="shared" si="11"/>
        <v>#REF!</v>
      </c>
      <c r="V177" s="52">
        <v>0</v>
      </c>
      <c r="W177" s="52" t="e">
        <f t="shared" si="9"/>
        <v>#REF!</v>
      </c>
      <c r="X177" s="52">
        <v>0</v>
      </c>
      <c r="Y177" s="52">
        <v>0</v>
      </c>
      <c r="Z177" s="52">
        <v>0</v>
      </c>
      <c r="AA177" s="52" t="e">
        <f t="shared" si="10"/>
        <v>#REF!</v>
      </c>
      <c r="AB177" s="52">
        <v>0</v>
      </c>
      <c r="AC177" s="52">
        <v>0</v>
      </c>
      <c r="AD177" s="52">
        <v>0</v>
      </c>
      <c r="AE177" s="2" t="s">
        <v>121</v>
      </c>
    </row>
    <row r="178" spans="4:31" ht="20.100000000000001" customHeight="1" x14ac:dyDescent="0.25">
      <c r="T178" s="52" t="str">
        <f>TEXT(EDATE('Input - Site'!$E$12,6), "mmmm yyyy")</f>
        <v>July 2024</v>
      </c>
      <c r="U178" s="52" t="e">
        <f t="shared" si="11"/>
        <v>#REF!</v>
      </c>
      <c r="V178" s="52">
        <v>0</v>
      </c>
      <c r="W178" s="52" t="e">
        <f t="shared" si="9"/>
        <v>#REF!</v>
      </c>
      <c r="X178" s="52">
        <v>0</v>
      </c>
      <c r="Y178" s="52">
        <v>0</v>
      </c>
      <c r="Z178" s="52">
        <v>0</v>
      </c>
      <c r="AA178" s="52" t="e">
        <f t="shared" si="10"/>
        <v>#REF!</v>
      </c>
      <c r="AB178" s="52">
        <v>0</v>
      </c>
      <c r="AC178" s="52">
        <v>0</v>
      </c>
      <c r="AD178" s="52">
        <v>0</v>
      </c>
      <c r="AE178" s="2" t="s">
        <v>121</v>
      </c>
    </row>
    <row r="179" spans="4:31" ht="20.100000000000001" customHeight="1" x14ac:dyDescent="0.25">
      <c r="D179" s="53" t="s">
        <v>29</v>
      </c>
      <c r="E179" s="1" t="str" cm="1">
        <f t="array" ref="E179">MMS_PastureBeef_Soil_N2ODirect_Equations.VEERG_4_2_1_3__2_TotalNitrogenExcretedToPastureRangeAndPaddock_Variable()</f>
        <v>AE</v>
      </c>
      <c r="T179" s="52" t="str">
        <f>TEXT(EDATE('Input - Site'!$E$12,7), "mmmm yyyy")</f>
        <v>August 2024</v>
      </c>
      <c r="U179" s="52" t="e">
        <f t="shared" si="11"/>
        <v>#REF!</v>
      </c>
      <c r="V179" s="52">
        <v>0</v>
      </c>
      <c r="W179" s="52" t="e">
        <f t="shared" si="9"/>
        <v>#REF!</v>
      </c>
      <c r="X179" s="52">
        <v>0</v>
      </c>
      <c r="Y179" s="52">
        <v>0</v>
      </c>
      <c r="Z179" s="52">
        <v>0</v>
      </c>
      <c r="AA179" s="52" t="e">
        <f t="shared" si="10"/>
        <v>#REF!</v>
      </c>
      <c r="AB179" s="52">
        <v>0</v>
      </c>
      <c r="AC179" s="52">
        <v>0</v>
      </c>
      <c r="AD179" s="52">
        <v>0</v>
      </c>
      <c r="AE179" s="2" t="s">
        <v>121</v>
      </c>
    </row>
    <row r="180" spans="4:31" ht="20.100000000000001" customHeight="1" x14ac:dyDescent="0.25">
      <c r="D180" s="53" t="s">
        <v>19</v>
      </c>
      <c r="E180" s="54" t="str" cm="1">
        <f t="array" ref="E180">MMS_PastureBeef_Soil_N2ODirect_Equations.VEERG_4_2_1_3__2_TotalNitrogenExcretedToPastureRangeAndPaddock_Unit()</f>
        <v>kg N</v>
      </c>
      <c r="T180" s="52" t="str">
        <f>TEXT(EDATE('Input - Site'!$E$12,8), "mmmm yyyy")</f>
        <v>September 2024</v>
      </c>
      <c r="U180" s="52" t="e">
        <f t="shared" si="11"/>
        <v>#REF!</v>
      </c>
      <c r="V180" s="52">
        <v>0</v>
      </c>
      <c r="W180" s="52" t="e">
        <f t="shared" si="9"/>
        <v>#REF!</v>
      </c>
      <c r="X180" s="52">
        <v>0</v>
      </c>
      <c r="Y180" s="52">
        <v>0</v>
      </c>
      <c r="Z180" s="52">
        <v>0</v>
      </c>
      <c r="AA180" s="52" t="e">
        <f t="shared" si="10"/>
        <v>#REF!</v>
      </c>
      <c r="AB180" s="52">
        <v>0</v>
      </c>
      <c r="AC180" s="52">
        <v>0</v>
      </c>
      <c r="AD180" s="52">
        <v>0</v>
      </c>
      <c r="AE180" s="2" t="s">
        <v>121</v>
      </c>
    </row>
    <row r="181" spans="4:31" ht="20.100000000000001" customHeight="1" x14ac:dyDescent="0.25">
      <c r="T181" s="52" t="str">
        <f>TEXT(EDATE('Input - Site'!$E$12,9), "mmmm yyyy")</f>
        <v>October 2024</v>
      </c>
      <c r="U181" s="52" t="e">
        <f t="shared" si="11"/>
        <v>#REF!</v>
      </c>
      <c r="V181" s="52">
        <v>0</v>
      </c>
      <c r="W181" s="52" t="e">
        <f t="shared" si="9"/>
        <v>#REF!</v>
      </c>
      <c r="X181" s="52">
        <v>0</v>
      </c>
      <c r="Y181" s="52">
        <v>0</v>
      </c>
      <c r="Z181" s="52">
        <v>0</v>
      </c>
      <c r="AA181" s="52" t="e">
        <f t="shared" si="10"/>
        <v>#REF!</v>
      </c>
      <c r="AB181" s="52">
        <v>0</v>
      </c>
      <c r="AC181" s="52">
        <v>0</v>
      </c>
      <c r="AD181" s="52">
        <v>0</v>
      </c>
      <c r="AE181" s="2" t="s">
        <v>121</v>
      </c>
    </row>
    <row r="182" spans="4:31" ht="20.100000000000001" customHeight="1" x14ac:dyDescent="0.25">
      <c r="D182" s="57" t="str" cm="1">
        <f t="array" ref="D182:E184">MMS_PastureBeef_Soil_N2ODirect_Equations.VEERG_4_2_1_3__2_TotalNitrogenExcretedToPastureRangeAndPaddock_Arguments()</f>
        <v>N_jkl</v>
      </c>
      <c r="E182" s="58" t="str">
        <v>number of beef cattle by time-period, class and subclass (head)</v>
      </c>
      <c r="F182" s="100"/>
      <c r="G182" s="59"/>
      <c r="H182" s="57" t="str">
        <f>"See " &amp; $D$186</f>
        <v>See M1_Table_N_j_k_l</v>
      </c>
      <c r="T182" s="52" t="str">
        <f>TEXT(EDATE('Input - Site'!$E$12,10), "mmmm yyyy")</f>
        <v>November 2024</v>
      </c>
      <c r="U182" s="52" t="e">
        <f t="shared" si="11"/>
        <v>#REF!</v>
      </c>
      <c r="V182" s="52">
        <v>0</v>
      </c>
      <c r="W182" s="52" t="e">
        <f t="shared" si="9"/>
        <v>#REF!</v>
      </c>
      <c r="X182" s="52">
        <v>0</v>
      </c>
      <c r="Y182" s="52">
        <v>0</v>
      </c>
      <c r="Z182" s="52">
        <v>0</v>
      </c>
      <c r="AA182" s="52" t="e">
        <f t="shared" si="10"/>
        <v>#REF!</v>
      </c>
      <c r="AB182" s="52">
        <v>0</v>
      </c>
      <c r="AC182" s="52">
        <v>0</v>
      </c>
      <c r="AD182" s="52">
        <v>0</v>
      </c>
      <c r="AE182" s="2" t="s">
        <v>121</v>
      </c>
    </row>
    <row r="183" spans="4:31" ht="20.100000000000001" customHeight="1" x14ac:dyDescent="0.25">
      <c r="D183" s="57" t="str">
        <v>NE_jkl</v>
      </c>
      <c r="E183" s="58" t="str">
        <v>nitrogen excreted in each time-period, by each class and subclass (kg N/head/day)</v>
      </c>
      <c r="F183" s="100"/>
      <c r="G183" s="59"/>
      <c r="H183" s="57" t="str">
        <f>"See " &amp; $D$164</f>
        <v>See M1_Table_NE_j_k_l</v>
      </c>
      <c r="T183" s="52" t="str">
        <f>TEXT(EDATE('Input - Site'!$E$12,11), "mmmm yyyy")</f>
        <v>December 2024</v>
      </c>
      <c r="U183" s="52" t="e">
        <f t="shared" si="11"/>
        <v>#REF!</v>
      </c>
      <c r="V183" s="52">
        <v>0</v>
      </c>
      <c r="W183" s="52" t="e">
        <f t="shared" si="9"/>
        <v>#REF!</v>
      </c>
      <c r="X183" s="52">
        <v>0</v>
      </c>
      <c r="Y183" s="52">
        <v>0</v>
      </c>
      <c r="Z183" s="52">
        <v>0</v>
      </c>
      <c r="AA183" s="52" t="e">
        <f t="shared" si="10"/>
        <v>#REF!</v>
      </c>
      <c r="AB183" s="52">
        <v>0</v>
      </c>
      <c r="AC183" s="52">
        <v>0</v>
      </c>
      <c r="AD183" s="52">
        <v>0</v>
      </c>
      <c r="AE183" s="2" t="s">
        <v>121</v>
      </c>
    </row>
    <row r="184" spans="4:31" ht="20.100000000000001" customHeight="1" x14ac:dyDescent="0.25">
      <c r="D184" s="57" t="str">
        <v>D_j</v>
      </c>
      <c r="E184" s="58" t="str">
        <v>number of days in each time-period (days)</v>
      </c>
      <c r="F184" s="100"/>
      <c r="G184" s="59"/>
      <c r="H184" s="57" t="str">
        <f>"See " &amp; $D$194</f>
        <v>See M1_Table_D_j</v>
      </c>
    </row>
    <row r="185" spans="4:31" ht="20.100000000000001" customHeight="1" x14ac:dyDescent="0.25">
      <c r="T185" s="99" t="s">
        <v>210</v>
      </c>
    </row>
    <row r="186" spans="4:31" ht="20.100000000000001" customHeight="1" x14ac:dyDescent="0.25">
      <c r="D186" s="99" t="s">
        <v>170</v>
      </c>
      <c r="T186" s="98" t="s">
        <v>211</v>
      </c>
    </row>
    <row r="187" spans="4:31" ht="20.100000000000001" customHeight="1" x14ac:dyDescent="0.25">
      <c r="D187" s="98" t="s">
        <v>171</v>
      </c>
      <c r="T187" s="51" t="s">
        <v>119</v>
      </c>
      <c r="U187" s="51" t="s">
        <v>118</v>
      </c>
      <c r="V187" s="51" t="s">
        <v>117</v>
      </c>
      <c r="W187" s="51" t="s">
        <v>143</v>
      </c>
      <c r="X187" s="51" t="s">
        <v>144</v>
      </c>
      <c r="Y187" s="51" t="s">
        <v>145</v>
      </c>
      <c r="Z187" s="51" t="s">
        <v>146</v>
      </c>
      <c r="AA187" s="51" t="s">
        <v>147</v>
      </c>
      <c r="AB187" s="51" t="s">
        <v>148</v>
      </c>
      <c r="AC187" s="51" t="s">
        <v>149</v>
      </c>
      <c r="AD187" s="51" t="s">
        <v>150</v>
      </c>
    </row>
    <row r="188" spans="4:31" ht="20.100000000000001" customHeight="1" x14ac:dyDescent="0.25">
      <c r="D188" s="51" t="s">
        <v>155</v>
      </c>
      <c r="E188" s="51" t="s">
        <v>118</v>
      </c>
      <c r="F188" s="51" t="s">
        <v>117</v>
      </c>
      <c r="G188" s="51" t="s">
        <v>143</v>
      </c>
      <c r="H188" s="51" t="s">
        <v>144</v>
      </c>
      <c r="I188" s="51" t="s">
        <v>145</v>
      </c>
      <c r="J188" s="51" t="s">
        <v>146</v>
      </c>
      <c r="K188" s="51" t="s">
        <v>147</v>
      </c>
      <c r="L188" s="51" t="s">
        <v>148</v>
      </c>
      <c r="M188" s="51" t="s">
        <v>149</v>
      </c>
      <c r="N188" s="51" t="s">
        <v>150</v>
      </c>
      <c r="T188" s="52" t="str">
        <f>TEXT('Input - Site'!$E$12, "mmmm yyyy")</f>
        <v>January 2024</v>
      </c>
      <c r="U188" s="52" t="e" cm="1">
        <f t="array" ref="U188">MMS_PastureBeef_Soil_N2ODirect_Equations.VEERG_4_2_1_3__3_NitrogenExcreted(U56,U156,U172,U136,U20)</f>
        <v>#REF!</v>
      </c>
      <c r="V188" s="52" t="e" cm="1">
        <f t="array" ref="V188">MMS_PastureBeef_Soil_N2ODirect_Equations.VEERG_4_2_1_3__3_NitrogenExcreted(V56,V156,V172,V136,V20)</f>
        <v>#REF!</v>
      </c>
      <c r="W188" s="52" t="e" cm="1">
        <f t="array" ref="W188">MMS_PastureBeef_Soil_N2ODirect_Equations.VEERG_4_2_1_3__3_NitrogenExcreted(W56,W156,W172,W136,W20)</f>
        <v>#REF!</v>
      </c>
      <c r="X188" s="52" t="e" cm="1">
        <f t="array" ref="X188">MMS_PastureBeef_Soil_N2ODirect_Equations.VEERG_4_2_1_3__3_NitrogenExcreted(X56,X156,X172,X136,X20)</f>
        <v>#REF!</v>
      </c>
      <c r="Y188" s="52" t="e" cm="1">
        <f t="array" ref="Y188">MMS_PastureBeef_Soil_N2ODirect_Equations.VEERG_4_2_1_3__3_NitrogenExcreted(Y56,Y156,Y172,Y136,Y20)</f>
        <v>#REF!</v>
      </c>
      <c r="Z188" s="52" t="e" cm="1">
        <f t="array" ref="Z188">MMS_PastureBeef_Soil_N2ODirect_Equations.VEERG_4_2_1_3__3_NitrogenExcreted(Z56,Z156,Z172,Z136,Z20)</f>
        <v>#REF!</v>
      </c>
      <c r="AA188" s="52" t="e" cm="1">
        <f t="array" ref="AA188">MMS_PastureBeef_Soil_N2ODirect_Equations.VEERG_4_2_1_3__3_NitrogenExcreted(AA56,AA156,AA172,AA136,AA20)</f>
        <v>#REF!</v>
      </c>
      <c r="AB188" s="52" t="e" cm="1">
        <f t="array" ref="AB188">MMS_PastureBeef_Soil_N2ODirect_Equations.VEERG_4_2_1_3__3_NitrogenExcreted(AB56,AB156,AB172,AB136,AB20)</f>
        <v>#REF!</v>
      </c>
      <c r="AC188" s="52" t="e" cm="1">
        <f t="array" ref="AC188">MMS_PastureBeef_Soil_N2ODirect_Equations.VEERG_4_2_1_3__3_NitrogenExcreted(AC56,AC156,AC172,AC136,AC20)</f>
        <v>#REF!</v>
      </c>
      <c r="AD188" s="52" t="e" cm="1">
        <f t="array" ref="AD188">MMS_PastureBeef_Soil_N2ODirect_Equations.VEERG_4_2_1_3__3_NitrogenExcreted(AD56,AD156,AD172,AD136,AD20)</f>
        <v>#REF!</v>
      </c>
      <c r="AE188" s="2" t="str">
        <f t="shared" ref="AE188:AE199" si="12">$E$140</f>
        <v>kg N/head/day</v>
      </c>
    </row>
    <row r="189" spans="4:31" ht="20.100000000000001" customHeight="1" x14ac:dyDescent="0.25">
      <c r="D189" s="52" t="s">
        <v>151</v>
      </c>
      <c r="E189" s="52" t="e">
        <f>'Input - Swine'!#REF!</f>
        <v>#REF!</v>
      </c>
      <c r="F189" s="52" t="e">
        <f>'Input - Swine'!#REF!</f>
        <v>#REF!</v>
      </c>
      <c r="G189" s="52" t="e">
        <f>'Input - Swine'!#REF!</f>
        <v>#REF!</v>
      </c>
      <c r="H189" s="52" t="e">
        <f>'Input - Swine'!#REF!</f>
        <v>#REF!</v>
      </c>
      <c r="I189" s="52" t="e">
        <f>'Input - Swine'!#REF!</f>
        <v>#REF!</v>
      </c>
      <c r="J189" s="52" t="e">
        <f>'Input - Swine'!#REF!</f>
        <v>#REF!</v>
      </c>
      <c r="K189" s="52">
        <f>'Input - Swine'!K116</f>
        <v>0</v>
      </c>
      <c r="L189" s="52">
        <f>'Input - Swine'!L116</f>
        <v>0</v>
      </c>
      <c r="M189" s="52">
        <f>'Input - Swine'!M116</f>
        <v>0</v>
      </c>
      <c r="N189" s="52">
        <f>'Input - Swine'!N105</f>
        <v>0</v>
      </c>
      <c r="O189" s="2" t="s">
        <v>100</v>
      </c>
      <c r="T189" s="52" t="str">
        <f>TEXT(EDATE('Input - Site'!$E$12,1), "mmmm yyyy")</f>
        <v>February 2024</v>
      </c>
      <c r="U189" s="52" t="e" cm="1">
        <f t="array" ref="U189">MMS_PastureBeef_Soil_N2ODirect_Equations.VEERG_4_2_1_3__3_NitrogenExcreted(U57,U157,U173,U137,U21)</f>
        <v>#REF!</v>
      </c>
      <c r="V189" s="52" t="e" cm="1">
        <f t="array" ref="V189">MMS_PastureBeef_Soil_N2ODirect_Equations.VEERG_4_2_1_3__3_NitrogenExcreted(V57,V157,V173,V137,V21)</f>
        <v>#REF!</v>
      </c>
      <c r="W189" s="52" t="e" cm="1">
        <f t="array" ref="W189">MMS_PastureBeef_Soil_N2ODirect_Equations.VEERG_4_2_1_3__3_NitrogenExcreted(W57,W157,W173,W137,W21)</f>
        <v>#REF!</v>
      </c>
      <c r="X189" s="52" t="e" cm="1">
        <f t="array" ref="X189">MMS_PastureBeef_Soil_N2ODirect_Equations.VEERG_4_2_1_3__3_NitrogenExcreted(X57,X157,X173,X137,X21)</f>
        <v>#REF!</v>
      </c>
      <c r="Y189" s="52" t="e" cm="1">
        <f t="array" ref="Y189">MMS_PastureBeef_Soil_N2ODirect_Equations.VEERG_4_2_1_3__3_NitrogenExcreted(Y57,Y157,Y173,Y137,Y21)</f>
        <v>#REF!</v>
      </c>
      <c r="Z189" s="52" t="e" cm="1">
        <f t="array" ref="Z189">MMS_PastureBeef_Soil_N2ODirect_Equations.VEERG_4_2_1_3__3_NitrogenExcreted(Z57,Z157,Z173,Z137,Z21)</f>
        <v>#REF!</v>
      </c>
      <c r="AA189" s="52" t="e" cm="1">
        <f t="array" ref="AA189">MMS_PastureBeef_Soil_N2ODirect_Equations.VEERG_4_2_1_3__3_NitrogenExcreted(AA57,AA157,AA173,AA137,AA21)</f>
        <v>#REF!</v>
      </c>
      <c r="AB189" s="52" t="e" cm="1">
        <f t="array" ref="AB189">MMS_PastureBeef_Soil_N2ODirect_Equations.VEERG_4_2_1_3__3_NitrogenExcreted(AB57,AB157,AB173,AB137,AB21)</f>
        <v>#REF!</v>
      </c>
      <c r="AC189" s="52" t="e" cm="1">
        <f t="array" ref="AC189">MMS_PastureBeef_Soil_N2ODirect_Equations.VEERG_4_2_1_3__3_NitrogenExcreted(AC57,AC157,AC173,AC137,AC21)</f>
        <v>#REF!</v>
      </c>
      <c r="AD189" s="52" t="e" cm="1">
        <f t="array" ref="AD189">MMS_PastureBeef_Soil_N2ODirect_Equations.VEERG_4_2_1_3__3_NitrogenExcreted(AD57,AD157,AD173,AD137,AD21)</f>
        <v>#REF!</v>
      </c>
      <c r="AE189" s="2" t="str">
        <f t="shared" si="12"/>
        <v>kg N/head/day</v>
      </c>
    </row>
    <row r="190" spans="4:31" ht="20.100000000000001" customHeight="1" x14ac:dyDescent="0.25">
      <c r="D190" s="52" t="s">
        <v>152</v>
      </c>
      <c r="E190" s="52" t="e">
        <f>'Input - Swine'!#REF!</f>
        <v>#REF!</v>
      </c>
      <c r="F190" s="52" t="e">
        <f>'Input - Swine'!#REF!</f>
        <v>#REF!</v>
      </c>
      <c r="G190" s="52" t="e">
        <f>'Input - Swine'!#REF!</f>
        <v>#REF!</v>
      </c>
      <c r="H190" s="52" t="e">
        <f>'Input - Swine'!#REF!</f>
        <v>#REF!</v>
      </c>
      <c r="I190" s="52" t="e">
        <f>'Input - Swine'!#REF!</f>
        <v>#REF!</v>
      </c>
      <c r="J190" s="52" t="e">
        <f>'Input - Swine'!#REF!</f>
        <v>#REF!</v>
      </c>
      <c r="K190" s="52">
        <f>'Input - Swine'!K117</f>
        <v>0</v>
      </c>
      <c r="L190" s="52">
        <f>'Input - Swine'!L117</f>
        <v>0</v>
      </c>
      <c r="M190" s="52">
        <f>'Input - Swine'!M117</f>
        <v>0</v>
      </c>
      <c r="N190" s="52">
        <f>'Input - Swine'!N106</f>
        <v>0</v>
      </c>
      <c r="O190" s="2" t="s">
        <v>100</v>
      </c>
      <c r="T190" s="52" t="str">
        <f>TEXT(EDATE('Input - Site'!$E$12,2), "mmmm yyyy")</f>
        <v>March 2024</v>
      </c>
      <c r="U190" s="52" t="e" cm="1">
        <f t="array" ref="U190">MMS_PastureBeef_Soil_N2ODirect_Equations.VEERG_4_2_1_3__3_NitrogenExcreted(U58,U158,U174,U138,U22)</f>
        <v>#REF!</v>
      </c>
      <c r="V190" s="52" t="e" cm="1">
        <f t="array" ref="V190">MMS_PastureBeef_Soil_N2ODirect_Equations.VEERG_4_2_1_3__3_NitrogenExcreted(V58,V158,V174,V138,V22)</f>
        <v>#REF!</v>
      </c>
      <c r="W190" s="52" t="e" cm="1">
        <f t="array" ref="W190">MMS_PastureBeef_Soil_N2ODirect_Equations.VEERG_4_2_1_3__3_NitrogenExcreted(W58,W158,W174,W138,W22)</f>
        <v>#REF!</v>
      </c>
      <c r="X190" s="52" t="e" cm="1">
        <f t="array" ref="X190">MMS_PastureBeef_Soil_N2ODirect_Equations.VEERG_4_2_1_3__3_NitrogenExcreted(X58,X158,X174,X138,X22)</f>
        <v>#REF!</v>
      </c>
      <c r="Y190" s="52" t="e" cm="1">
        <f t="array" ref="Y190">MMS_PastureBeef_Soil_N2ODirect_Equations.VEERG_4_2_1_3__3_NitrogenExcreted(Y58,Y158,Y174,Y138,Y22)</f>
        <v>#REF!</v>
      </c>
      <c r="Z190" s="52" t="e" cm="1">
        <f t="array" ref="Z190">MMS_PastureBeef_Soil_N2ODirect_Equations.VEERG_4_2_1_3__3_NitrogenExcreted(Z58,Z158,Z174,Z138,Z22)</f>
        <v>#REF!</v>
      </c>
      <c r="AA190" s="52" t="e" cm="1">
        <f t="array" ref="AA190">MMS_PastureBeef_Soil_N2ODirect_Equations.VEERG_4_2_1_3__3_NitrogenExcreted(AA58,AA158,AA174,AA138,AA22)</f>
        <v>#REF!</v>
      </c>
      <c r="AB190" s="52" t="e" cm="1">
        <f t="array" ref="AB190">MMS_PastureBeef_Soil_N2ODirect_Equations.VEERG_4_2_1_3__3_NitrogenExcreted(AB58,AB158,AB174,AB138,AB22)</f>
        <v>#REF!</v>
      </c>
      <c r="AC190" s="52" t="e" cm="1">
        <f t="array" ref="AC190">MMS_PastureBeef_Soil_N2ODirect_Equations.VEERG_4_2_1_3__3_NitrogenExcreted(AC58,AC158,AC174,AC138,AC22)</f>
        <v>#REF!</v>
      </c>
      <c r="AD190" s="52" t="e" cm="1">
        <f t="array" ref="AD190">MMS_PastureBeef_Soil_N2ODirect_Equations.VEERG_4_2_1_3__3_NitrogenExcreted(AD58,AD158,AD174,AD138,AD22)</f>
        <v>#REF!</v>
      </c>
      <c r="AE190" s="2" t="str">
        <f t="shared" si="12"/>
        <v>kg N/head/day</v>
      </c>
    </row>
    <row r="191" spans="4:31" ht="20.100000000000001" customHeight="1" x14ac:dyDescent="0.25">
      <c r="D191" s="52" t="s">
        <v>153</v>
      </c>
      <c r="E191" s="52">
        <f>'Input - Swine'!E109</f>
        <v>0</v>
      </c>
      <c r="F191" s="52">
        <f>'Input - Swine'!F109</f>
        <v>0</v>
      </c>
      <c r="G191" s="52">
        <f>'Input - Swine'!G109</f>
        <v>0</v>
      </c>
      <c r="H191" s="52">
        <f>'Input - Swine'!H109</f>
        <v>0</v>
      </c>
      <c r="I191" s="52">
        <f>'Input - Swine'!I109</f>
        <v>0</v>
      </c>
      <c r="J191" s="52">
        <f>'Input - Swine'!J109</f>
        <v>0</v>
      </c>
      <c r="K191" s="52">
        <f>'Input - Swine'!K118</f>
        <v>0</v>
      </c>
      <c r="L191" s="52">
        <f>'Input - Swine'!L118</f>
        <v>0</v>
      </c>
      <c r="M191" s="52">
        <f>'Input - Swine'!M118</f>
        <v>0</v>
      </c>
      <c r="N191" s="52">
        <f>'Input - Swine'!N107</f>
        <v>0</v>
      </c>
      <c r="O191" s="2" t="s">
        <v>100</v>
      </c>
      <c r="T191" s="52" t="str">
        <f>TEXT(EDATE('Input - Site'!$E$12,3), "mmmm yyyy")</f>
        <v>April 2024</v>
      </c>
      <c r="U191" s="52" t="e" cm="1">
        <f t="array" ref="U191">MMS_PastureBeef_Soil_N2ODirect_Equations.VEERG_4_2_1_3__3_NitrogenExcreted(U59,U159,U175,U139,U23)</f>
        <v>#REF!</v>
      </c>
      <c r="V191" s="52" t="e" cm="1">
        <f t="array" ref="V191">MMS_PastureBeef_Soil_N2ODirect_Equations.VEERG_4_2_1_3__3_NitrogenExcreted(V59,V159,V175,V139,V23)</f>
        <v>#REF!</v>
      </c>
      <c r="W191" s="52" t="e" cm="1">
        <f t="array" ref="W191">MMS_PastureBeef_Soil_N2ODirect_Equations.VEERG_4_2_1_3__3_NitrogenExcreted(W59,W159,W175,W139,W23)</f>
        <v>#REF!</v>
      </c>
      <c r="X191" s="52" t="e" cm="1">
        <f t="array" ref="X191">MMS_PastureBeef_Soil_N2ODirect_Equations.VEERG_4_2_1_3__3_NitrogenExcreted(X59,X159,X175,X139,X23)</f>
        <v>#REF!</v>
      </c>
      <c r="Y191" s="52" t="e" cm="1">
        <f t="array" ref="Y191">MMS_PastureBeef_Soil_N2ODirect_Equations.VEERG_4_2_1_3__3_NitrogenExcreted(Y59,Y159,Y175,Y139,Y23)</f>
        <v>#REF!</v>
      </c>
      <c r="Z191" s="52" t="e" cm="1">
        <f t="array" ref="Z191">MMS_PastureBeef_Soil_N2ODirect_Equations.VEERG_4_2_1_3__3_NitrogenExcreted(Z59,Z159,Z175,Z139,Z23)</f>
        <v>#REF!</v>
      </c>
      <c r="AA191" s="52" t="e" cm="1">
        <f t="array" ref="AA191">MMS_PastureBeef_Soil_N2ODirect_Equations.VEERG_4_2_1_3__3_NitrogenExcreted(AA59,AA159,AA175,AA139,AA23)</f>
        <v>#REF!</v>
      </c>
      <c r="AB191" s="52" t="e" cm="1">
        <f t="array" ref="AB191">MMS_PastureBeef_Soil_N2ODirect_Equations.VEERG_4_2_1_3__3_NitrogenExcreted(AB59,AB159,AB175,AB139,AB23)</f>
        <v>#REF!</v>
      </c>
      <c r="AC191" s="52" t="e" cm="1">
        <f t="array" ref="AC191">MMS_PastureBeef_Soil_N2ODirect_Equations.VEERG_4_2_1_3__3_NitrogenExcreted(AC59,AC159,AC175,AC139,AC23)</f>
        <v>#REF!</v>
      </c>
      <c r="AD191" s="52" t="e" cm="1">
        <f t="array" ref="AD191">MMS_PastureBeef_Soil_N2ODirect_Equations.VEERG_4_2_1_3__3_NitrogenExcreted(AD59,AD159,AD175,AD139,AD23)</f>
        <v>#REF!</v>
      </c>
      <c r="AE191" s="2" t="str">
        <f t="shared" si="12"/>
        <v>kg N/head/day</v>
      </c>
    </row>
    <row r="192" spans="4:31" ht="20.100000000000001" customHeight="1" x14ac:dyDescent="0.25">
      <c r="D192" s="52" t="s">
        <v>154</v>
      </c>
      <c r="E192" s="52">
        <f>'Input - Swine'!E110</f>
        <v>0</v>
      </c>
      <c r="F192" s="52">
        <f>'Input - Swine'!F110</f>
        <v>0</v>
      </c>
      <c r="G192" s="52">
        <f>'Input - Swine'!G110</f>
        <v>0</v>
      </c>
      <c r="H192" s="52">
        <f>'Input - Swine'!H110</f>
        <v>0</v>
      </c>
      <c r="I192" s="52">
        <f>'Input - Swine'!I110</f>
        <v>0</v>
      </c>
      <c r="J192" s="52">
        <f>'Input - Swine'!J110</f>
        <v>0</v>
      </c>
      <c r="K192" s="52">
        <f>'Input - Swine'!K119</f>
        <v>0</v>
      </c>
      <c r="L192" s="52">
        <f>'Input - Swine'!L119</f>
        <v>0</v>
      </c>
      <c r="M192" s="52">
        <f>'Input - Swine'!M119</f>
        <v>0</v>
      </c>
      <c r="N192" s="52">
        <f>'Input - Swine'!N108</f>
        <v>0</v>
      </c>
      <c r="O192" s="2" t="s">
        <v>100</v>
      </c>
      <c r="T192" s="52" t="str">
        <f>TEXT(EDATE('Input - Site'!$E$12,4), "mmmm yyyy")</f>
        <v>May 2024</v>
      </c>
      <c r="U192" s="52" t="e" cm="1">
        <f t="array" ref="U192">MMS_PastureBeef_Soil_N2ODirect_Equations.VEERG_4_2_1_3__3_NitrogenExcreted(U60,U160,U176,U140,U24)</f>
        <v>#REF!</v>
      </c>
      <c r="V192" s="52" t="e" cm="1">
        <f t="array" ref="V192">MMS_PastureBeef_Soil_N2ODirect_Equations.VEERG_4_2_1_3__3_NitrogenExcreted(V60,V160,V176,V140,V24)</f>
        <v>#REF!</v>
      </c>
      <c r="W192" s="52" t="e" cm="1">
        <f t="array" ref="W192">MMS_PastureBeef_Soil_N2ODirect_Equations.VEERG_4_2_1_3__3_NitrogenExcreted(W60,W160,W176,W140,W24)</f>
        <v>#REF!</v>
      </c>
      <c r="X192" s="52" t="e" cm="1">
        <f t="array" ref="X192">MMS_PastureBeef_Soil_N2ODirect_Equations.VEERG_4_2_1_3__3_NitrogenExcreted(X60,X160,X176,X140,X24)</f>
        <v>#REF!</v>
      </c>
      <c r="Y192" s="52" t="e" cm="1">
        <f t="array" ref="Y192">MMS_PastureBeef_Soil_N2ODirect_Equations.VEERG_4_2_1_3__3_NitrogenExcreted(Y60,Y160,Y176,Y140,Y24)</f>
        <v>#REF!</v>
      </c>
      <c r="Z192" s="52" t="e" cm="1">
        <f t="array" ref="Z192">MMS_PastureBeef_Soil_N2ODirect_Equations.VEERG_4_2_1_3__3_NitrogenExcreted(Z60,Z160,Z176,Z140,Z24)</f>
        <v>#REF!</v>
      </c>
      <c r="AA192" s="52" t="e" cm="1">
        <f t="array" ref="AA192">MMS_PastureBeef_Soil_N2ODirect_Equations.VEERG_4_2_1_3__3_NitrogenExcreted(AA60,AA160,AA176,AA140,AA24)</f>
        <v>#REF!</v>
      </c>
      <c r="AB192" s="52" t="e" cm="1">
        <f t="array" ref="AB192">MMS_PastureBeef_Soil_N2ODirect_Equations.VEERG_4_2_1_3__3_NitrogenExcreted(AB60,AB160,AB176,AB140,AB24)</f>
        <v>#REF!</v>
      </c>
      <c r="AC192" s="52" t="e" cm="1">
        <f t="array" ref="AC192">MMS_PastureBeef_Soil_N2ODirect_Equations.VEERG_4_2_1_3__3_NitrogenExcreted(AC60,AC160,AC176,AC140,AC24)</f>
        <v>#REF!</v>
      </c>
      <c r="AD192" s="52" t="e" cm="1">
        <f t="array" ref="AD192">MMS_PastureBeef_Soil_N2ODirect_Equations.VEERG_4_2_1_3__3_NitrogenExcreted(AD60,AD160,AD176,AD140,AD24)</f>
        <v>#REF!</v>
      </c>
      <c r="AE192" s="2" t="str">
        <f t="shared" si="12"/>
        <v>kg N/head/day</v>
      </c>
    </row>
    <row r="193" spans="4:32" ht="20.100000000000001" customHeight="1" x14ac:dyDescent="0.25">
      <c r="T193" s="52" t="str">
        <f>TEXT(EDATE('Input - Site'!$E$12,5), "mmmm yyyy")</f>
        <v>June 2024</v>
      </c>
      <c r="U193" s="52" t="e" cm="1">
        <f t="array" ref="U193">MMS_PastureBeef_Soil_N2ODirect_Equations.VEERG_4_2_1_3__3_NitrogenExcreted(U61,U161,U177,U141,U25)</f>
        <v>#REF!</v>
      </c>
      <c r="V193" s="52" t="e" cm="1">
        <f t="array" ref="V193">MMS_PastureBeef_Soil_N2ODirect_Equations.VEERG_4_2_1_3__3_NitrogenExcreted(V61,V161,V177,V141,V25)</f>
        <v>#REF!</v>
      </c>
      <c r="W193" s="52" t="e" cm="1">
        <f t="array" ref="W193">MMS_PastureBeef_Soil_N2ODirect_Equations.VEERG_4_2_1_3__3_NitrogenExcreted(W61,W161,W177,W141,W25)</f>
        <v>#REF!</v>
      </c>
      <c r="X193" s="52" t="e" cm="1">
        <f t="array" ref="X193">MMS_PastureBeef_Soil_N2ODirect_Equations.VEERG_4_2_1_3__3_NitrogenExcreted(X61,X161,X177,X141,X25)</f>
        <v>#REF!</v>
      </c>
      <c r="Y193" s="52" t="e" cm="1">
        <f t="array" ref="Y193">MMS_PastureBeef_Soil_N2ODirect_Equations.VEERG_4_2_1_3__3_NitrogenExcreted(Y61,Y161,Y177,Y141,Y25)</f>
        <v>#REF!</v>
      </c>
      <c r="Z193" s="52" t="e" cm="1">
        <f t="array" ref="Z193">MMS_PastureBeef_Soil_N2ODirect_Equations.VEERG_4_2_1_3__3_NitrogenExcreted(Z61,Z161,Z177,Z141,Z25)</f>
        <v>#REF!</v>
      </c>
      <c r="AA193" s="52" t="e" cm="1">
        <f t="array" ref="AA193">MMS_PastureBeef_Soil_N2ODirect_Equations.VEERG_4_2_1_3__3_NitrogenExcreted(AA61,AA161,AA177,AA141,AA25)</f>
        <v>#REF!</v>
      </c>
      <c r="AB193" s="52" t="e" cm="1">
        <f t="array" ref="AB193">MMS_PastureBeef_Soil_N2ODirect_Equations.VEERG_4_2_1_3__3_NitrogenExcreted(AB61,AB161,AB177,AB141,AB25)</f>
        <v>#REF!</v>
      </c>
      <c r="AC193" s="52" t="e" cm="1">
        <f t="array" ref="AC193">MMS_PastureBeef_Soil_N2ODirect_Equations.VEERG_4_2_1_3__3_NitrogenExcreted(AC61,AC161,AC177,AC141,AC25)</f>
        <v>#REF!</v>
      </c>
      <c r="AD193" s="52" t="e" cm="1">
        <f t="array" ref="AD193">MMS_PastureBeef_Soil_N2ODirect_Equations.VEERG_4_2_1_3__3_NitrogenExcreted(AD61,AD161,AD177,AD141,AD25)</f>
        <v>#REF!</v>
      </c>
      <c r="AE193" s="2" t="str">
        <f t="shared" si="12"/>
        <v>kg N/head/day</v>
      </c>
    </row>
    <row r="194" spans="4:32" ht="20.100000000000001" customHeight="1" x14ac:dyDescent="0.25">
      <c r="D194" s="99" t="s">
        <v>127</v>
      </c>
      <c r="T194" s="52" t="str">
        <f>TEXT(EDATE('Input - Site'!$E$12,6), "mmmm yyyy")</f>
        <v>July 2024</v>
      </c>
      <c r="U194" s="52" t="e" cm="1">
        <f t="array" ref="U194">MMS_PastureBeef_Soil_N2ODirect_Equations.VEERG_4_2_1_3__3_NitrogenExcreted(U62,U162,U178,U142,U26)</f>
        <v>#REF!</v>
      </c>
      <c r="V194" s="52" t="e" cm="1">
        <f t="array" ref="V194">MMS_PastureBeef_Soil_N2ODirect_Equations.VEERG_4_2_1_3__3_NitrogenExcreted(V62,V162,V178,V142,V26)</f>
        <v>#REF!</v>
      </c>
      <c r="W194" s="52" t="e" cm="1">
        <f t="array" ref="W194">MMS_PastureBeef_Soil_N2ODirect_Equations.VEERG_4_2_1_3__3_NitrogenExcreted(W62,W162,W178,W142,W26)</f>
        <v>#REF!</v>
      </c>
      <c r="X194" s="52" t="e" cm="1">
        <f t="array" ref="X194">MMS_PastureBeef_Soil_N2ODirect_Equations.VEERG_4_2_1_3__3_NitrogenExcreted(X62,X162,X178,X142,X26)</f>
        <v>#REF!</v>
      </c>
      <c r="Y194" s="52" t="e" cm="1">
        <f t="array" ref="Y194">MMS_PastureBeef_Soil_N2ODirect_Equations.VEERG_4_2_1_3__3_NitrogenExcreted(Y62,Y162,Y178,Y142,Y26)</f>
        <v>#REF!</v>
      </c>
      <c r="Z194" s="52" t="e" cm="1">
        <f t="array" ref="Z194">MMS_PastureBeef_Soil_N2ODirect_Equations.VEERG_4_2_1_3__3_NitrogenExcreted(Z62,Z162,Z178,Z142,Z26)</f>
        <v>#REF!</v>
      </c>
      <c r="AA194" s="52" t="e" cm="1">
        <f t="array" ref="AA194">MMS_PastureBeef_Soil_N2ODirect_Equations.VEERG_4_2_1_3__3_NitrogenExcreted(AA62,AA162,AA178,AA142,AA26)</f>
        <v>#REF!</v>
      </c>
      <c r="AB194" s="52" t="e" cm="1">
        <f t="array" ref="AB194">MMS_PastureBeef_Soil_N2ODirect_Equations.VEERG_4_2_1_3__3_NitrogenExcreted(AB62,AB162,AB178,AB142,AB26)</f>
        <v>#REF!</v>
      </c>
      <c r="AC194" s="52" t="e" cm="1">
        <f t="array" ref="AC194">MMS_PastureBeef_Soil_N2ODirect_Equations.VEERG_4_2_1_3__3_NitrogenExcreted(AC62,AC162,AC178,AC142,AC26)</f>
        <v>#REF!</v>
      </c>
      <c r="AD194" s="52" t="e" cm="1">
        <f t="array" ref="AD194">MMS_PastureBeef_Soil_N2ODirect_Equations.VEERG_4_2_1_3__3_NitrogenExcreted(AD62,AD162,AD178,AD142,AD26)</f>
        <v>#REF!</v>
      </c>
      <c r="AE194" s="2" t="str">
        <f t="shared" si="12"/>
        <v>kg N/head/day</v>
      </c>
    </row>
    <row r="195" spans="4:32" ht="20.100000000000001" customHeight="1" x14ac:dyDescent="0.25">
      <c r="D195" s="98" t="s">
        <v>172</v>
      </c>
      <c r="T195" s="52" t="str">
        <f>TEXT(EDATE('Input - Site'!$E$12,7), "mmmm yyyy")</f>
        <v>August 2024</v>
      </c>
      <c r="U195" s="52" t="e" cm="1">
        <f t="array" ref="U195">MMS_PastureBeef_Soil_N2ODirect_Equations.VEERG_4_2_1_3__3_NitrogenExcreted(U63,U163,U179,U143,U27)</f>
        <v>#REF!</v>
      </c>
      <c r="V195" s="52" t="e" cm="1">
        <f t="array" ref="V195">MMS_PastureBeef_Soil_N2ODirect_Equations.VEERG_4_2_1_3__3_NitrogenExcreted(V63,V163,V179,V143,V27)</f>
        <v>#REF!</v>
      </c>
      <c r="W195" s="52" t="e" cm="1">
        <f t="array" ref="W195">MMS_PastureBeef_Soil_N2ODirect_Equations.VEERG_4_2_1_3__3_NitrogenExcreted(W63,W163,W179,W143,W27)</f>
        <v>#REF!</v>
      </c>
      <c r="X195" s="52" t="e" cm="1">
        <f t="array" ref="X195">MMS_PastureBeef_Soil_N2ODirect_Equations.VEERG_4_2_1_3__3_NitrogenExcreted(X63,X163,X179,X143,X27)</f>
        <v>#REF!</v>
      </c>
      <c r="Y195" s="52" t="e" cm="1">
        <f t="array" ref="Y195">MMS_PastureBeef_Soil_N2ODirect_Equations.VEERG_4_2_1_3__3_NitrogenExcreted(Y63,Y163,Y179,Y143,Y27)</f>
        <v>#REF!</v>
      </c>
      <c r="Z195" s="52" t="e" cm="1">
        <f t="array" ref="Z195">MMS_PastureBeef_Soil_N2ODirect_Equations.VEERG_4_2_1_3__3_NitrogenExcreted(Z63,Z163,Z179,Z143,Z27)</f>
        <v>#REF!</v>
      </c>
      <c r="AA195" s="52" t="e" cm="1">
        <f t="array" ref="AA195">MMS_PastureBeef_Soil_N2ODirect_Equations.VEERG_4_2_1_3__3_NitrogenExcreted(AA63,AA163,AA179,AA143,AA27)</f>
        <v>#REF!</v>
      </c>
      <c r="AB195" s="52" t="e" cm="1">
        <f t="array" ref="AB195">MMS_PastureBeef_Soil_N2ODirect_Equations.VEERG_4_2_1_3__3_NitrogenExcreted(AB63,AB163,AB179,AB143,AB27)</f>
        <v>#REF!</v>
      </c>
      <c r="AC195" s="52" t="e" cm="1">
        <f t="array" ref="AC195">MMS_PastureBeef_Soil_N2ODirect_Equations.VEERG_4_2_1_3__3_NitrogenExcreted(AC63,AC163,AC179,AC143,AC27)</f>
        <v>#REF!</v>
      </c>
      <c r="AD195" s="52" t="e" cm="1">
        <f t="array" ref="AD195">MMS_PastureBeef_Soil_N2ODirect_Equations.VEERG_4_2_1_3__3_NitrogenExcreted(AD63,AD163,AD179,AD143,AD27)</f>
        <v>#REF!</v>
      </c>
      <c r="AE195" s="2" t="str">
        <f t="shared" si="12"/>
        <v>kg N/head/day</v>
      </c>
    </row>
    <row r="196" spans="4:32" ht="20.100000000000001" customHeight="1" x14ac:dyDescent="0.25">
      <c r="D196" s="51" t="s">
        <v>155</v>
      </c>
      <c r="E196" s="51" t="s">
        <v>118</v>
      </c>
      <c r="F196" s="51" t="s">
        <v>117</v>
      </c>
      <c r="G196" s="51" t="s">
        <v>143</v>
      </c>
      <c r="H196" s="51" t="s">
        <v>144</v>
      </c>
      <c r="I196" s="51" t="s">
        <v>145</v>
      </c>
      <c r="J196" s="51" t="s">
        <v>146</v>
      </c>
      <c r="K196" s="51" t="s">
        <v>147</v>
      </c>
      <c r="L196" s="51" t="s">
        <v>148</v>
      </c>
      <c r="M196" s="51" t="s">
        <v>149</v>
      </c>
      <c r="N196" s="51" t="s">
        <v>150</v>
      </c>
      <c r="T196" s="52" t="str">
        <f>TEXT(EDATE('Input - Site'!$E$12,8), "mmmm yyyy")</f>
        <v>September 2024</v>
      </c>
      <c r="U196" s="52" t="e" cm="1">
        <f t="array" ref="U196">MMS_PastureBeef_Soil_N2ODirect_Equations.VEERG_4_2_1_3__3_NitrogenExcreted(U64,U164,U180,U144,U28)</f>
        <v>#REF!</v>
      </c>
      <c r="V196" s="52" t="e" cm="1">
        <f t="array" ref="V196">MMS_PastureBeef_Soil_N2ODirect_Equations.VEERG_4_2_1_3__3_NitrogenExcreted(V64,V164,V180,V144,V28)</f>
        <v>#REF!</v>
      </c>
      <c r="W196" s="52" t="e" cm="1">
        <f t="array" ref="W196">MMS_PastureBeef_Soil_N2ODirect_Equations.VEERG_4_2_1_3__3_NitrogenExcreted(W64,W164,W180,W144,W28)</f>
        <v>#REF!</v>
      </c>
      <c r="X196" s="52" t="e" cm="1">
        <f t="array" ref="X196">MMS_PastureBeef_Soil_N2ODirect_Equations.VEERG_4_2_1_3__3_NitrogenExcreted(X64,X164,X180,X144,X28)</f>
        <v>#REF!</v>
      </c>
      <c r="Y196" s="52" t="e" cm="1">
        <f t="array" ref="Y196">MMS_PastureBeef_Soil_N2ODirect_Equations.VEERG_4_2_1_3__3_NitrogenExcreted(Y64,Y164,Y180,Y144,Y28)</f>
        <v>#REF!</v>
      </c>
      <c r="Z196" s="52" t="e" cm="1">
        <f t="array" ref="Z196">MMS_PastureBeef_Soil_N2ODirect_Equations.VEERG_4_2_1_3__3_NitrogenExcreted(Z64,Z164,Z180,Z144,Z28)</f>
        <v>#REF!</v>
      </c>
      <c r="AA196" s="52" t="e" cm="1">
        <f t="array" ref="AA196">MMS_PastureBeef_Soil_N2ODirect_Equations.VEERG_4_2_1_3__3_NitrogenExcreted(AA64,AA164,AA180,AA144,AA28)</f>
        <v>#REF!</v>
      </c>
      <c r="AB196" s="52" t="e" cm="1">
        <f t="array" ref="AB196">MMS_PastureBeef_Soil_N2ODirect_Equations.VEERG_4_2_1_3__3_NitrogenExcreted(AB64,AB164,AB180,AB144,AB28)</f>
        <v>#REF!</v>
      </c>
      <c r="AC196" s="52" t="e" cm="1">
        <f t="array" ref="AC196">MMS_PastureBeef_Soil_N2ODirect_Equations.VEERG_4_2_1_3__3_NitrogenExcreted(AC64,AC164,AC180,AC144,AC28)</f>
        <v>#REF!</v>
      </c>
      <c r="AD196" s="52" t="e" cm="1">
        <f t="array" ref="AD196">MMS_PastureBeef_Soil_N2ODirect_Equations.VEERG_4_2_1_3__3_NitrogenExcreted(AD64,AD164,AD180,AD144,AD28)</f>
        <v>#REF!</v>
      </c>
      <c r="AE196" s="2" t="str">
        <f t="shared" si="12"/>
        <v>kg N/head/day</v>
      </c>
    </row>
    <row r="197" spans="4:32" ht="20.100000000000001" customHeight="1" x14ac:dyDescent="0.25">
      <c r="D197" s="52" t="s">
        <v>151</v>
      </c>
      <c r="E197" s="52">
        <f>'Input - Swine'!E25</f>
        <v>0</v>
      </c>
      <c r="F197" s="52">
        <f>'Input - Swine'!F25</f>
        <v>0</v>
      </c>
      <c r="G197" s="52">
        <f>'Input - Swine'!G25</f>
        <v>0</v>
      </c>
      <c r="H197" s="52">
        <f>'Input - Swine'!H25</f>
        <v>0</v>
      </c>
      <c r="I197" s="52">
        <f>'Input - Swine'!I25</f>
        <v>0</v>
      </c>
      <c r="J197" s="52">
        <f>'Input - Swine'!J25</f>
        <v>0</v>
      </c>
      <c r="K197" s="52">
        <f>'Input - Swine'!K25</f>
        <v>0</v>
      </c>
      <c r="L197" s="52">
        <f>'Input - Swine'!L25</f>
        <v>0</v>
      </c>
      <c r="M197" s="52">
        <f>'Input - Swine'!M25</f>
        <v>0</v>
      </c>
      <c r="N197" s="52">
        <f>'Input - Swine'!N25</f>
        <v>0</v>
      </c>
      <c r="O197" s="2" t="s">
        <v>173</v>
      </c>
      <c r="T197" s="52" t="str">
        <f>TEXT(EDATE('Input - Site'!$E$12,9), "mmmm yyyy")</f>
        <v>October 2024</v>
      </c>
      <c r="U197" s="52" t="e" cm="1">
        <f t="array" ref="U197">MMS_PastureBeef_Soil_N2ODirect_Equations.VEERG_4_2_1_3__3_NitrogenExcreted(U65,U165,U181,U145,U29)</f>
        <v>#REF!</v>
      </c>
      <c r="V197" s="52" t="e" cm="1">
        <f t="array" ref="V197">MMS_PastureBeef_Soil_N2ODirect_Equations.VEERG_4_2_1_3__3_NitrogenExcreted(V65,V165,V181,V145,V29)</f>
        <v>#REF!</v>
      </c>
      <c r="W197" s="52" t="e" cm="1">
        <f t="array" ref="W197">MMS_PastureBeef_Soil_N2ODirect_Equations.VEERG_4_2_1_3__3_NitrogenExcreted(W65,W165,W181,W145,W29)</f>
        <v>#REF!</v>
      </c>
      <c r="X197" s="52" t="e" cm="1">
        <f t="array" ref="X197">MMS_PastureBeef_Soil_N2ODirect_Equations.VEERG_4_2_1_3__3_NitrogenExcreted(X65,X165,X181,X145,X29)</f>
        <v>#REF!</v>
      </c>
      <c r="Y197" s="52" t="e" cm="1">
        <f t="array" ref="Y197">MMS_PastureBeef_Soil_N2ODirect_Equations.VEERG_4_2_1_3__3_NitrogenExcreted(Y65,Y165,Y181,Y145,Y29)</f>
        <v>#REF!</v>
      </c>
      <c r="Z197" s="52" t="e" cm="1">
        <f t="array" ref="Z197">MMS_PastureBeef_Soil_N2ODirect_Equations.VEERG_4_2_1_3__3_NitrogenExcreted(Z65,Z165,Z181,Z145,Z29)</f>
        <v>#REF!</v>
      </c>
      <c r="AA197" s="52" t="e" cm="1">
        <f t="array" ref="AA197">MMS_PastureBeef_Soil_N2ODirect_Equations.VEERG_4_2_1_3__3_NitrogenExcreted(AA65,AA165,AA181,AA145,AA29)</f>
        <v>#REF!</v>
      </c>
      <c r="AB197" s="52" t="e" cm="1">
        <f t="array" ref="AB197">MMS_PastureBeef_Soil_N2ODirect_Equations.VEERG_4_2_1_3__3_NitrogenExcreted(AB65,AB165,AB181,AB145,AB29)</f>
        <v>#REF!</v>
      </c>
      <c r="AC197" s="52" t="e" cm="1">
        <f t="array" ref="AC197">MMS_PastureBeef_Soil_N2ODirect_Equations.VEERG_4_2_1_3__3_NitrogenExcreted(AC65,AC165,AC181,AC145,AC29)</f>
        <v>#REF!</v>
      </c>
      <c r="AD197" s="52" t="e" cm="1">
        <f t="array" ref="AD197">MMS_PastureBeef_Soil_N2ODirect_Equations.VEERG_4_2_1_3__3_NitrogenExcreted(AD65,AD165,AD181,AD145,AD29)</f>
        <v>#REF!</v>
      </c>
      <c r="AE197" s="2" t="str">
        <f t="shared" si="12"/>
        <v>kg N/head/day</v>
      </c>
    </row>
    <row r="198" spans="4:32" ht="20.100000000000001" customHeight="1" x14ac:dyDescent="0.25">
      <c r="D198" s="52" t="s">
        <v>152</v>
      </c>
      <c r="E198" s="52" t="e">
        <f>'Input - Swine'!#REF!</f>
        <v>#REF!</v>
      </c>
      <c r="F198" s="52" t="e">
        <f>'Input - Swine'!#REF!</f>
        <v>#REF!</v>
      </c>
      <c r="G198" s="52" t="e">
        <f>'Input - Swine'!#REF!</f>
        <v>#REF!</v>
      </c>
      <c r="H198" s="52" t="e">
        <f>'Input - Swine'!#REF!</f>
        <v>#REF!</v>
      </c>
      <c r="I198" s="52">
        <f>'Input - Swine'!G26</f>
        <v>0</v>
      </c>
      <c r="J198" s="52">
        <f>'Input - Swine'!H26</f>
        <v>0</v>
      </c>
      <c r="K198" s="52">
        <f>'Input - Swine'!I26</f>
        <v>0</v>
      </c>
      <c r="L198" s="52">
        <f>'Input - Swine'!J26</f>
        <v>0</v>
      </c>
      <c r="M198" s="52">
        <f>'Input - Swine'!K26</f>
        <v>0</v>
      </c>
      <c r="N198" s="52">
        <f>'Input - Swine'!L26</f>
        <v>0</v>
      </c>
      <c r="O198" s="2" t="s">
        <v>173</v>
      </c>
      <c r="T198" s="52" t="str">
        <f>TEXT(EDATE('Input - Site'!$E$12,10), "mmmm yyyy")</f>
        <v>November 2024</v>
      </c>
      <c r="U198" s="52" t="e" cm="1">
        <f t="array" ref="U198">MMS_PastureBeef_Soil_N2ODirect_Equations.VEERG_4_2_1_3__3_NitrogenExcreted(U66,U166,U182,U146,U30)</f>
        <v>#REF!</v>
      </c>
      <c r="V198" s="52" t="e" cm="1">
        <f t="array" ref="V198">MMS_PastureBeef_Soil_N2ODirect_Equations.VEERG_4_2_1_3__3_NitrogenExcreted(V66,V166,V182,V146,V30)</f>
        <v>#REF!</v>
      </c>
      <c r="W198" s="52" t="e" cm="1">
        <f t="array" ref="W198">MMS_PastureBeef_Soil_N2ODirect_Equations.VEERG_4_2_1_3__3_NitrogenExcreted(W66,W166,W182,W146,W30)</f>
        <v>#REF!</v>
      </c>
      <c r="X198" s="52" t="e" cm="1">
        <f t="array" ref="X198">MMS_PastureBeef_Soil_N2ODirect_Equations.VEERG_4_2_1_3__3_NitrogenExcreted(X66,X166,X182,X146,X30)</f>
        <v>#REF!</v>
      </c>
      <c r="Y198" s="52" t="e" cm="1">
        <f t="array" ref="Y198">MMS_PastureBeef_Soil_N2ODirect_Equations.VEERG_4_2_1_3__3_NitrogenExcreted(Y66,Y166,Y182,Y146,Y30)</f>
        <v>#REF!</v>
      </c>
      <c r="Z198" s="52" t="e" cm="1">
        <f t="array" ref="Z198">MMS_PastureBeef_Soil_N2ODirect_Equations.VEERG_4_2_1_3__3_NitrogenExcreted(Z66,Z166,Z182,Z146,Z30)</f>
        <v>#REF!</v>
      </c>
      <c r="AA198" s="52" t="e" cm="1">
        <f t="array" ref="AA198">MMS_PastureBeef_Soil_N2ODirect_Equations.VEERG_4_2_1_3__3_NitrogenExcreted(AA66,AA166,AA182,AA146,AA30)</f>
        <v>#REF!</v>
      </c>
      <c r="AB198" s="52" t="e" cm="1">
        <f t="array" ref="AB198">MMS_PastureBeef_Soil_N2ODirect_Equations.VEERG_4_2_1_3__3_NitrogenExcreted(AB66,AB166,AB182,AB146,AB30)</f>
        <v>#REF!</v>
      </c>
      <c r="AC198" s="52" t="e" cm="1">
        <f t="array" ref="AC198">MMS_PastureBeef_Soil_N2ODirect_Equations.VEERG_4_2_1_3__3_NitrogenExcreted(AC66,AC166,AC182,AC146,AC30)</f>
        <v>#REF!</v>
      </c>
      <c r="AD198" s="52" t="e" cm="1">
        <f t="array" ref="AD198">MMS_PastureBeef_Soil_N2ODirect_Equations.VEERG_4_2_1_3__3_NitrogenExcreted(AD66,AD166,AD182,AD146,AD30)</f>
        <v>#REF!</v>
      </c>
      <c r="AE198" s="2" t="str">
        <f t="shared" si="12"/>
        <v>kg N/head/day</v>
      </c>
    </row>
    <row r="199" spans="4:32" ht="20.100000000000001" customHeight="1" x14ac:dyDescent="0.25">
      <c r="D199" s="52" t="s">
        <v>153</v>
      </c>
      <c r="E199" s="52" t="e">
        <f>'Input - Swine'!#REF!</f>
        <v>#REF!</v>
      </c>
      <c r="F199" s="52" t="e">
        <f>'Input - Swine'!#REF!</f>
        <v>#REF!</v>
      </c>
      <c r="G199" s="52" t="e">
        <f>'Input - Swine'!#REF!</f>
        <v>#REF!</v>
      </c>
      <c r="H199" s="52" t="str">
        <f>'Input - Swine'!F26</f>
        <v>← Please select</v>
      </c>
      <c r="I199" s="52">
        <f>'Input - Swine'!G27</f>
        <v>0</v>
      </c>
      <c r="J199" s="52">
        <f>'Input - Swine'!H27</f>
        <v>0</v>
      </c>
      <c r="K199" s="52">
        <f>'Input - Swine'!I27</f>
        <v>0</v>
      </c>
      <c r="L199" s="52">
        <f>'Input - Swine'!J27</f>
        <v>0</v>
      </c>
      <c r="M199" s="52">
        <f>'Input - Swine'!K27</f>
        <v>0</v>
      </c>
      <c r="N199" s="52">
        <f>'Input - Swine'!L27</f>
        <v>0</v>
      </c>
      <c r="O199" s="2" t="s">
        <v>173</v>
      </c>
      <c r="T199" s="52" t="str">
        <f>TEXT(EDATE('Input - Site'!$E$12,11), "mmmm yyyy")</f>
        <v>December 2024</v>
      </c>
      <c r="U199" s="52" t="e" cm="1">
        <f t="array" ref="U199">MMS_PastureBeef_Soil_N2ODirect_Equations.VEERG_4_2_1_3__3_NitrogenExcreted(U67,U167,U183,U147,U31)</f>
        <v>#REF!</v>
      </c>
      <c r="V199" s="52" t="e" cm="1">
        <f t="array" ref="V199">MMS_PastureBeef_Soil_N2ODirect_Equations.VEERG_4_2_1_3__3_NitrogenExcreted(V67,V167,V183,V147,V31)</f>
        <v>#REF!</v>
      </c>
      <c r="W199" s="52" t="e" cm="1">
        <f t="array" ref="W199">MMS_PastureBeef_Soil_N2ODirect_Equations.VEERG_4_2_1_3__3_NitrogenExcreted(W67,W167,W183,W147,W31)</f>
        <v>#REF!</v>
      </c>
      <c r="X199" s="52" t="e" cm="1">
        <f t="array" ref="X199">MMS_PastureBeef_Soil_N2ODirect_Equations.VEERG_4_2_1_3__3_NitrogenExcreted(X67,X167,X183,X147,X31)</f>
        <v>#REF!</v>
      </c>
      <c r="Y199" s="52" t="e" cm="1">
        <f t="array" ref="Y199">MMS_PastureBeef_Soil_N2ODirect_Equations.VEERG_4_2_1_3__3_NitrogenExcreted(Y67,Y167,Y183,Y147,Y31)</f>
        <v>#REF!</v>
      </c>
      <c r="Z199" s="52" t="e" cm="1">
        <f t="array" ref="Z199">MMS_PastureBeef_Soil_N2ODirect_Equations.VEERG_4_2_1_3__3_NitrogenExcreted(Z67,Z167,Z183,Z147,Z31)</f>
        <v>#REF!</v>
      </c>
      <c r="AA199" s="52" t="e" cm="1">
        <f t="array" ref="AA199">MMS_PastureBeef_Soil_N2ODirect_Equations.VEERG_4_2_1_3__3_NitrogenExcreted(AA67,AA167,AA183,AA147,AA31)</f>
        <v>#REF!</v>
      </c>
      <c r="AB199" s="52" t="e" cm="1">
        <f t="array" ref="AB199">MMS_PastureBeef_Soil_N2ODirect_Equations.VEERG_4_2_1_3__3_NitrogenExcreted(AB67,AB167,AB183,AB147,AB31)</f>
        <v>#REF!</v>
      </c>
      <c r="AC199" s="52" t="e" cm="1">
        <f t="array" ref="AC199">MMS_PastureBeef_Soil_N2ODirect_Equations.VEERG_4_2_1_3__3_NitrogenExcreted(AC67,AC167,AC183,AC147,AC31)</f>
        <v>#REF!</v>
      </c>
      <c r="AD199" s="52" t="e" cm="1">
        <f t="array" ref="AD199">MMS_PastureBeef_Soil_N2ODirect_Equations.VEERG_4_2_1_3__3_NitrogenExcreted(AD67,AD167,AD183,AD147,AD31)</f>
        <v>#REF!</v>
      </c>
      <c r="AE199" s="2" t="str">
        <f t="shared" si="12"/>
        <v>kg N/head/day</v>
      </c>
    </row>
    <row r="200" spans="4:32" ht="20.100000000000001" customHeight="1" x14ac:dyDescent="0.25">
      <c r="D200" s="52" t="s">
        <v>154</v>
      </c>
      <c r="E200" s="52" t="e">
        <f>'Input - Swine'!#REF!</f>
        <v>#REF!</v>
      </c>
      <c r="F200" s="52" t="e">
        <f>'Input - Swine'!#REF!</f>
        <v>#REF!</v>
      </c>
      <c r="G200" s="52" t="e">
        <f>'Input - Swine'!#REF!</f>
        <v>#REF!</v>
      </c>
      <c r="H200" s="52" t="e">
        <f>'Input - Swine'!#REF!</f>
        <v>#REF!</v>
      </c>
      <c r="I200" s="52" t="e">
        <f>'Input - Swine'!#REF!</f>
        <v>#REF!</v>
      </c>
      <c r="J200" s="52" t="e">
        <f>'Input - Swine'!#REF!</f>
        <v>#REF!</v>
      </c>
      <c r="K200" s="52" t="e">
        <f>'Input - Swine'!#REF!</f>
        <v>#REF!</v>
      </c>
      <c r="L200" s="52" t="e">
        <f>'Input - Swine'!#REF!</f>
        <v>#REF!</v>
      </c>
      <c r="M200" s="52" t="e">
        <f>'Input - Swine'!#REF!</f>
        <v>#REF!</v>
      </c>
      <c r="N200" s="52" t="e">
        <f>'Input - Swine'!#REF!</f>
        <v>#REF!</v>
      </c>
      <c r="O200" s="2" t="s">
        <v>173</v>
      </c>
    </row>
    <row r="201" spans="4:32" ht="20.100000000000001" customHeight="1" x14ac:dyDescent="0.25"/>
    <row r="202" spans="4:32" ht="20.100000000000001" customHeight="1" x14ac:dyDescent="0.25">
      <c r="D202" s="99" t="s">
        <v>194</v>
      </c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</row>
    <row r="203" spans="4:32" ht="20.100000000000001" customHeight="1" x14ac:dyDescent="0.25">
      <c r="D203" s="98" t="s">
        <v>195</v>
      </c>
      <c r="T203" s="6" t="str" cm="1">
        <f t="array" ref="T203">MMS_PastureBeef_Soil_N2ODirect_Equations.VEERG_4_2_1_3__2_TotalNitrogenExcretedToPastureRangeAndPaddock_Title()</f>
        <v>Total nitrogen excreted to pasture, range and paddock</v>
      </c>
    </row>
    <row r="204" spans="4:32" ht="20.100000000000001" customHeight="1" x14ac:dyDescent="0.25">
      <c r="D204" s="51" t="s">
        <v>155</v>
      </c>
      <c r="E204" s="51" t="s">
        <v>118</v>
      </c>
      <c r="F204" s="51" t="s">
        <v>117</v>
      </c>
      <c r="G204" s="51" t="s">
        <v>143</v>
      </c>
      <c r="H204" s="51" t="s">
        <v>144</v>
      </c>
      <c r="I204" s="51" t="s">
        <v>145</v>
      </c>
      <c r="J204" s="51" t="s">
        <v>146</v>
      </c>
      <c r="K204" s="51" t="s">
        <v>147</v>
      </c>
      <c r="L204" s="51" t="s">
        <v>148</v>
      </c>
      <c r="M204" s="51" t="s">
        <v>149</v>
      </c>
      <c r="N204" s="51" t="s">
        <v>150</v>
      </c>
    </row>
    <row r="205" spans="4:32" ht="20.100000000000001" customHeight="1" x14ac:dyDescent="0.25">
      <c r="D205" s="52" t="s">
        <v>151</v>
      </c>
      <c r="E205" s="52" t="e" cm="1">
        <f t="array" ref="E205">MMS_PastureBeef_Soil_N2ODirect_Equations.VEERG_4_2_1_3__2_TotalNitrogenExcretedToPastureRangeAndPaddock(E189,E167,E197)</f>
        <v>#REF!</v>
      </c>
      <c r="F205" s="52" t="e" cm="1">
        <f t="array" ref="F205">MMS_PastureBeef_Soil_N2ODirect_Equations.VEERG_4_2_1_3__2_TotalNitrogenExcretedToPastureRangeAndPaddock(F189,F167,F197)</f>
        <v>#REF!</v>
      </c>
      <c r="G205" s="52" t="e" cm="1">
        <f t="array" ref="G205">MMS_PastureBeef_Soil_N2ODirect_Equations.VEERG_4_2_1_3__2_TotalNitrogenExcretedToPastureRangeAndPaddock(G189,G167,G197)</f>
        <v>#REF!</v>
      </c>
      <c r="H205" s="52" t="e" cm="1">
        <f t="array" ref="H205">MMS_PastureBeef_Soil_N2ODirect_Equations.VEERG_4_2_1_3__2_TotalNitrogenExcretedToPastureRangeAndPaddock(H189,H167,H197)</f>
        <v>#REF!</v>
      </c>
      <c r="I205" s="52" t="e" cm="1">
        <f t="array" ref="I205">MMS_PastureBeef_Soil_N2ODirect_Equations.VEERG_4_2_1_3__2_TotalNitrogenExcretedToPastureRangeAndPaddock(I189,I167,I197)</f>
        <v>#REF!</v>
      </c>
      <c r="J205" s="52" t="e" cm="1">
        <f t="array" ref="J205">MMS_PastureBeef_Soil_N2ODirect_Equations.VEERG_4_2_1_3__2_TotalNitrogenExcretedToPastureRangeAndPaddock(J189,J167,J197)</f>
        <v>#REF!</v>
      </c>
      <c r="K205" s="52" t="e" cm="1">
        <f t="array" ref="K205">MMS_PastureBeef_Soil_N2ODirect_Equations.VEERG_4_2_1_3__2_TotalNitrogenExcretedToPastureRangeAndPaddock(K189,K167,K197)</f>
        <v>#REF!</v>
      </c>
      <c r="L205" s="52" t="e" cm="1">
        <f t="array" ref="L205">MMS_PastureBeef_Soil_N2ODirect_Equations.VEERG_4_2_1_3__2_TotalNitrogenExcretedToPastureRangeAndPaddock(L189,L167,L197)</f>
        <v>#REF!</v>
      </c>
      <c r="M205" s="52" t="e" cm="1">
        <f t="array" ref="M205">MMS_PastureBeef_Soil_N2ODirect_Equations.VEERG_4_2_1_3__2_TotalNitrogenExcretedToPastureRangeAndPaddock(M189,M167,M197)</f>
        <v>#REF!</v>
      </c>
      <c r="N205" s="52" t="e" cm="1">
        <f t="array" ref="N205">MMS_PastureBeef_Soil_N2ODirect_Equations.VEERG_4_2_1_3__2_TotalNitrogenExcretedToPastureRangeAndPaddock(N189,N167,N197)</f>
        <v>#REF!</v>
      </c>
      <c r="O205" s="2" t="str">
        <f>$E$180</f>
        <v>kg N</v>
      </c>
      <c r="T205" s="99" t="s">
        <v>174</v>
      </c>
    </row>
    <row r="206" spans="4:32" ht="20.100000000000001" customHeight="1" x14ac:dyDescent="0.25">
      <c r="D206" s="52" t="s">
        <v>152</v>
      </c>
      <c r="E206" s="52" t="e" cm="1">
        <f t="array" ref="E206">MMS_PastureBeef_Soil_N2ODirect_Equations.VEERG_4_2_1_3__2_TotalNitrogenExcretedToPastureRangeAndPaddock(E190,E168,E198)</f>
        <v>#REF!</v>
      </c>
      <c r="F206" s="52" t="e" cm="1">
        <f t="array" ref="F206">MMS_PastureBeef_Soil_N2ODirect_Equations.VEERG_4_2_1_3__2_TotalNitrogenExcretedToPastureRangeAndPaddock(F190,F168,F198)</f>
        <v>#REF!</v>
      </c>
      <c r="G206" s="52" t="e" cm="1">
        <f t="array" ref="G206">MMS_PastureBeef_Soil_N2ODirect_Equations.VEERG_4_2_1_3__2_TotalNitrogenExcretedToPastureRangeAndPaddock(G190,G168,G198)</f>
        <v>#REF!</v>
      </c>
      <c r="H206" s="52" t="e" cm="1">
        <f t="array" ref="H206">MMS_PastureBeef_Soil_N2ODirect_Equations.VEERG_4_2_1_3__2_TotalNitrogenExcretedToPastureRangeAndPaddock(H190,H168,H198)</f>
        <v>#REF!</v>
      </c>
      <c r="I206" s="52" t="e" cm="1">
        <f t="array" ref="I206">MMS_PastureBeef_Soil_N2ODirect_Equations.VEERG_4_2_1_3__2_TotalNitrogenExcretedToPastureRangeAndPaddock(I190,I168,I198)</f>
        <v>#REF!</v>
      </c>
      <c r="J206" s="52" t="e" cm="1">
        <f t="array" ref="J206">MMS_PastureBeef_Soil_N2ODirect_Equations.VEERG_4_2_1_3__2_TotalNitrogenExcretedToPastureRangeAndPaddock(J190,J168,J198)</f>
        <v>#REF!</v>
      </c>
      <c r="K206" s="52" t="e" cm="1">
        <f t="array" ref="K206">MMS_PastureBeef_Soil_N2ODirect_Equations.VEERG_4_2_1_3__2_TotalNitrogenExcretedToPastureRangeAndPaddock(K190,K168,K198)</f>
        <v>#REF!</v>
      </c>
      <c r="L206" s="52" t="e" cm="1">
        <f t="array" ref="L206">MMS_PastureBeef_Soil_N2ODirect_Equations.VEERG_4_2_1_3__2_TotalNitrogenExcretedToPastureRangeAndPaddock(L190,L168,L198)</f>
        <v>#REF!</v>
      </c>
      <c r="M206" s="52" t="e" cm="1">
        <f t="array" ref="M206">MMS_PastureBeef_Soil_N2ODirect_Equations.VEERG_4_2_1_3__2_TotalNitrogenExcretedToPastureRangeAndPaddock(M190,M168,M198)</f>
        <v>#REF!</v>
      </c>
      <c r="N206" s="52" t="e" cm="1">
        <f t="array" ref="N206">MMS_PastureBeef_Soil_N2ODirect_Equations.VEERG_4_2_1_3__2_TotalNitrogenExcretedToPastureRangeAndPaddock(N190,N168,N198)</f>
        <v>#REF!</v>
      </c>
      <c r="O206" s="2" t="str">
        <f t="shared" ref="O206:O208" si="13">$E$180</f>
        <v>kg N</v>
      </c>
      <c r="T206" s="98" t="s">
        <v>175</v>
      </c>
    </row>
    <row r="207" spans="4:32" ht="20.100000000000001" customHeight="1" x14ac:dyDescent="0.25">
      <c r="D207" s="52" t="s">
        <v>153</v>
      </c>
      <c r="E207" s="52" t="e" cm="1">
        <f t="array" ref="E207">MMS_PastureBeef_Soil_N2ODirect_Equations.VEERG_4_2_1_3__2_TotalNitrogenExcretedToPastureRangeAndPaddock(E191,E169,E199)</f>
        <v>#REF!</v>
      </c>
      <c r="F207" s="52" t="e" cm="1">
        <f t="array" ref="F207">MMS_PastureBeef_Soil_N2ODirect_Equations.VEERG_4_2_1_3__2_TotalNitrogenExcretedToPastureRangeAndPaddock(F191,F169,F199)</f>
        <v>#REF!</v>
      </c>
      <c r="G207" s="52" t="e" cm="1">
        <f t="array" ref="G207">MMS_PastureBeef_Soil_N2ODirect_Equations.VEERG_4_2_1_3__2_TotalNitrogenExcretedToPastureRangeAndPaddock(G191,G169,G199)</f>
        <v>#REF!</v>
      </c>
      <c r="H207" s="52" t="e" cm="1">
        <f t="array" ref="H207">MMS_PastureBeef_Soil_N2ODirect_Equations.VEERG_4_2_1_3__2_TotalNitrogenExcretedToPastureRangeAndPaddock(H191,H169,H199)</f>
        <v>#REF!</v>
      </c>
      <c r="I207" s="52" t="e" cm="1">
        <f t="array" ref="I207">MMS_PastureBeef_Soil_N2ODirect_Equations.VEERG_4_2_1_3__2_TotalNitrogenExcretedToPastureRangeAndPaddock(I191,I169,I199)</f>
        <v>#REF!</v>
      </c>
      <c r="J207" s="52" t="e" cm="1">
        <f t="array" ref="J207">MMS_PastureBeef_Soil_N2ODirect_Equations.VEERG_4_2_1_3__2_TotalNitrogenExcretedToPastureRangeAndPaddock(J191,J169,J199)</f>
        <v>#REF!</v>
      </c>
      <c r="K207" s="52" t="e" cm="1">
        <f t="array" ref="K207">MMS_PastureBeef_Soil_N2ODirect_Equations.VEERG_4_2_1_3__2_TotalNitrogenExcretedToPastureRangeAndPaddock(K191,K169,K199)</f>
        <v>#REF!</v>
      </c>
      <c r="L207" s="52" t="e" cm="1">
        <f t="array" ref="L207">MMS_PastureBeef_Soil_N2ODirect_Equations.VEERG_4_2_1_3__2_TotalNitrogenExcretedToPastureRangeAndPaddock(L191,L169,L199)</f>
        <v>#REF!</v>
      </c>
      <c r="M207" s="52" t="e" cm="1">
        <f t="array" ref="M207">MMS_PastureBeef_Soil_N2ODirect_Equations.VEERG_4_2_1_3__2_TotalNitrogenExcretedToPastureRangeAndPaddock(M191,M169,M199)</f>
        <v>#REF!</v>
      </c>
      <c r="N207" s="52" t="e" cm="1">
        <f t="array" ref="N207">MMS_PastureBeef_Soil_N2ODirect_Equations.VEERG_4_2_1_3__2_TotalNitrogenExcretedToPastureRangeAndPaddock(N191,N169,N199)</f>
        <v>#REF!</v>
      </c>
      <c r="O207" s="2" t="str">
        <f t="shared" si="13"/>
        <v>kg N</v>
      </c>
      <c r="T207" s="51" t="s">
        <v>119</v>
      </c>
      <c r="U207" s="51" t="s">
        <v>118</v>
      </c>
      <c r="V207" s="51" t="s">
        <v>117</v>
      </c>
      <c r="W207" s="51" t="s">
        <v>143</v>
      </c>
      <c r="X207" s="51" t="s">
        <v>144</v>
      </c>
      <c r="Y207" s="51" t="s">
        <v>145</v>
      </c>
      <c r="Z207" s="51" t="s">
        <v>146</v>
      </c>
      <c r="AA207" s="51" t="s">
        <v>147</v>
      </c>
      <c r="AB207" s="51" t="s">
        <v>148</v>
      </c>
      <c r="AC207" s="51" t="s">
        <v>149</v>
      </c>
      <c r="AD207" s="51" t="s">
        <v>150</v>
      </c>
    </row>
    <row r="208" spans="4:32" ht="20.100000000000001" customHeight="1" x14ac:dyDescent="0.25">
      <c r="D208" s="52" t="s">
        <v>154</v>
      </c>
      <c r="E208" s="52" t="e" cm="1">
        <f t="array" ref="E208">MMS_PastureBeef_Soil_N2ODirect_Equations.VEERG_4_2_1_3__2_TotalNitrogenExcretedToPastureRangeAndPaddock(E192,E170,E200)</f>
        <v>#REF!</v>
      </c>
      <c r="F208" s="52" t="e" cm="1">
        <f t="array" ref="F208">MMS_PastureBeef_Soil_N2ODirect_Equations.VEERG_4_2_1_3__2_TotalNitrogenExcretedToPastureRangeAndPaddock(F192,F170,F200)</f>
        <v>#REF!</v>
      </c>
      <c r="G208" s="52" t="e" cm="1">
        <f t="array" ref="G208">MMS_PastureBeef_Soil_N2ODirect_Equations.VEERG_4_2_1_3__2_TotalNitrogenExcretedToPastureRangeAndPaddock(G192,G170,G200)</f>
        <v>#REF!</v>
      </c>
      <c r="H208" s="52" t="e" cm="1">
        <f t="array" ref="H208">MMS_PastureBeef_Soil_N2ODirect_Equations.VEERG_4_2_1_3__2_TotalNitrogenExcretedToPastureRangeAndPaddock(H192,H170,H200)</f>
        <v>#REF!</v>
      </c>
      <c r="I208" s="52" t="e" cm="1">
        <f t="array" ref="I208">MMS_PastureBeef_Soil_N2ODirect_Equations.VEERG_4_2_1_3__2_TotalNitrogenExcretedToPastureRangeAndPaddock(I192,I170,I200)</f>
        <v>#REF!</v>
      </c>
      <c r="J208" s="52" t="e" cm="1">
        <f t="array" ref="J208">MMS_PastureBeef_Soil_N2ODirect_Equations.VEERG_4_2_1_3__2_TotalNitrogenExcretedToPastureRangeAndPaddock(J192,J170,J200)</f>
        <v>#REF!</v>
      </c>
      <c r="K208" s="52" t="e" cm="1">
        <f t="array" ref="K208">MMS_PastureBeef_Soil_N2ODirect_Equations.VEERG_4_2_1_3__2_TotalNitrogenExcretedToPastureRangeAndPaddock(K192,K170,K200)</f>
        <v>#REF!</v>
      </c>
      <c r="L208" s="52" t="e" cm="1">
        <f t="array" ref="L208">MMS_PastureBeef_Soil_N2ODirect_Equations.VEERG_4_2_1_3__2_TotalNitrogenExcretedToPastureRangeAndPaddock(L192,L170,L200)</f>
        <v>#REF!</v>
      </c>
      <c r="M208" s="52" t="e" cm="1">
        <f t="array" ref="M208">MMS_PastureBeef_Soil_N2ODirect_Equations.VEERG_4_2_1_3__2_TotalNitrogenExcretedToPastureRangeAndPaddock(M192,M170,M200)</f>
        <v>#REF!</v>
      </c>
      <c r="N208" s="52" t="e" cm="1">
        <f t="array" ref="N208">MMS_PastureBeef_Soil_N2ODirect_Equations.VEERG_4_2_1_3__2_TotalNitrogenExcretedToPastureRangeAndPaddock(N192,N170,N200)</f>
        <v>#REF!</v>
      </c>
      <c r="O208" s="2" t="str">
        <f t="shared" si="13"/>
        <v>kg N</v>
      </c>
      <c r="T208" s="52" t="str">
        <f>TEXT('Input - Site'!$E$12, "mmmm yyyy")</f>
        <v>January 2024</v>
      </c>
      <c r="U208" s="52">
        <f>'Input - Swine'!E113</f>
        <v>0</v>
      </c>
      <c r="V208" s="52">
        <f>'Input - Swine'!F113</f>
        <v>0</v>
      </c>
      <c r="W208" s="52">
        <f>'Input - Swine'!G113</f>
        <v>0</v>
      </c>
      <c r="X208" s="52">
        <f>'Input - Swine'!H113</f>
        <v>0</v>
      </c>
      <c r="Y208" s="52">
        <f>'Input - Swine'!I113</f>
        <v>0</v>
      </c>
      <c r="Z208" s="52">
        <f>'Input - Swine'!J113</f>
        <v>0</v>
      </c>
      <c r="AA208" s="52">
        <f>'Input - Swine'!K122</f>
        <v>0</v>
      </c>
      <c r="AB208" s="52">
        <f>'Input - Swine'!L122</f>
        <v>0</v>
      </c>
      <c r="AC208" s="52">
        <f>'Input - Swine'!M122</f>
        <v>0</v>
      </c>
      <c r="AD208" s="52" t="e">
        <f>'Input - Swine'!#REF!</f>
        <v>#REF!</v>
      </c>
      <c r="AE208" s="2" t="s">
        <v>100</v>
      </c>
    </row>
    <row r="209" spans="3:31" ht="20.100000000000001" customHeight="1" x14ac:dyDescent="0.25">
      <c r="T209" s="52" t="str">
        <f>TEXT(EDATE('Input - Site'!$E$12,1), "mmmm yyyy")</f>
        <v>February 2024</v>
      </c>
      <c r="U209" s="52">
        <f>'Input - Swine'!E114</f>
        <v>0</v>
      </c>
      <c r="V209" s="52">
        <f>'Input - Swine'!F114</f>
        <v>0</v>
      </c>
      <c r="W209" s="52">
        <f>'Input - Swine'!G114</f>
        <v>0</v>
      </c>
      <c r="X209" s="52">
        <f>'Input - Swine'!H114</f>
        <v>0</v>
      </c>
      <c r="Y209" s="52">
        <f>'Input - Swine'!I114</f>
        <v>0</v>
      </c>
      <c r="Z209" s="52">
        <f>'Input - Swine'!J114</f>
        <v>0</v>
      </c>
      <c r="AA209" s="52">
        <f>'Input - Swine'!K123</f>
        <v>0</v>
      </c>
      <c r="AB209" s="52">
        <f>'Input - Swine'!L123</f>
        <v>0</v>
      </c>
      <c r="AC209" s="52">
        <f>'Input - Swine'!M123</f>
        <v>0</v>
      </c>
      <c r="AD209" s="52" t="e">
        <f>'Input - Swine'!#REF!</f>
        <v>#REF!</v>
      </c>
      <c r="AE209" s="2" t="s">
        <v>100</v>
      </c>
    </row>
    <row r="210" spans="3:31" ht="20.100000000000001" customHeight="1" x14ac:dyDescent="0.25">
      <c r="D210" s="113" t="s">
        <v>196</v>
      </c>
      <c r="E210" s="45" t="e">
        <f>SUM(E205:N208)</f>
        <v>#REF!</v>
      </c>
      <c r="F210" s="105" t="str">
        <f>E180</f>
        <v>kg N</v>
      </c>
      <c r="T210" s="52" t="str">
        <f>TEXT(EDATE('Input - Site'!$E$12,2), "mmmm yyyy")</f>
        <v>March 2024</v>
      </c>
      <c r="U210" s="52">
        <f>'Input - Swine'!E115</f>
        <v>0</v>
      </c>
      <c r="V210" s="52">
        <f>'Input - Swine'!F115</f>
        <v>0</v>
      </c>
      <c r="W210" s="52">
        <f>'Input - Swine'!G115</f>
        <v>0</v>
      </c>
      <c r="X210" s="52">
        <f>'Input - Swine'!H115</f>
        <v>0</v>
      </c>
      <c r="Y210" s="52">
        <f>'Input - Swine'!I115</f>
        <v>0</v>
      </c>
      <c r="Z210" s="52">
        <f>'Input - Swine'!J115</f>
        <v>0</v>
      </c>
      <c r="AA210" s="52">
        <f>'Input - Swine'!K124</f>
        <v>0</v>
      </c>
      <c r="AB210" s="52">
        <f>'Input - Swine'!L124</f>
        <v>0</v>
      </c>
      <c r="AC210" s="52">
        <f>'Input - Swine'!M124</f>
        <v>0</v>
      </c>
      <c r="AD210" s="52" t="e">
        <f>'Input - Swine'!#REF!</f>
        <v>#REF!</v>
      </c>
      <c r="AE210" s="2" t="s">
        <v>100</v>
      </c>
    </row>
    <row r="211" spans="3:31" ht="20.100000000000001" customHeight="1" x14ac:dyDescent="0.25">
      <c r="T211" s="52" t="str">
        <f>TEXT(EDATE('Input - Site'!$E$12,3), "mmmm yyyy")</f>
        <v>April 2024</v>
      </c>
      <c r="U211" s="52">
        <f>'Input - Swine'!E116</f>
        <v>0</v>
      </c>
      <c r="V211" s="52">
        <f>'Input - Swine'!F116</f>
        <v>0</v>
      </c>
      <c r="W211" s="52">
        <f>'Input - Swine'!G116</f>
        <v>0</v>
      </c>
      <c r="X211" s="52">
        <f>'Input - Swine'!H116</f>
        <v>0</v>
      </c>
      <c r="Y211" s="52">
        <f>'Input - Swine'!I116</f>
        <v>0</v>
      </c>
      <c r="Z211" s="52">
        <f>'Input - Swine'!J116</f>
        <v>0</v>
      </c>
      <c r="AA211" s="52">
        <f>'Input - Swine'!K125</f>
        <v>0</v>
      </c>
      <c r="AB211" s="52">
        <f>'Input - Swine'!L125</f>
        <v>0</v>
      </c>
      <c r="AC211" s="52">
        <f>'Input - Swine'!M125</f>
        <v>0</v>
      </c>
      <c r="AD211" s="52" t="e">
        <f>'Input - Swine'!#REF!</f>
        <v>#REF!</v>
      </c>
      <c r="AE211" s="2" t="s">
        <v>100</v>
      </c>
    </row>
    <row r="212" spans="3:31" ht="20.100000000000001" customHeight="1" x14ac:dyDescent="0.25">
      <c r="T212" s="52" t="str">
        <f>TEXT(EDATE('Input - Site'!$E$12,4), "mmmm yyyy")</f>
        <v>May 2024</v>
      </c>
      <c r="U212" s="52">
        <f>'Input - Swine'!E117</f>
        <v>0</v>
      </c>
      <c r="V212" s="52">
        <f>'Input - Swine'!F117</f>
        <v>0</v>
      </c>
      <c r="W212" s="52">
        <f>'Input - Swine'!G117</f>
        <v>0</v>
      </c>
      <c r="X212" s="52">
        <f>'Input - Swine'!H117</f>
        <v>0</v>
      </c>
      <c r="Y212" s="52">
        <f>'Input - Swine'!I117</f>
        <v>0</v>
      </c>
      <c r="Z212" s="52">
        <f>'Input - Swine'!J117</f>
        <v>0</v>
      </c>
      <c r="AA212" s="52">
        <f>'Input - Swine'!K126</f>
        <v>0</v>
      </c>
      <c r="AB212" s="52">
        <f>'Input - Swine'!L126</f>
        <v>0</v>
      </c>
      <c r="AC212" s="52">
        <f>'Input - Swine'!M126</f>
        <v>0</v>
      </c>
      <c r="AD212" s="52" t="e">
        <f>'Input - Swine'!#REF!</f>
        <v>#REF!</v>
      </c>
      <c r="AE212" s="2" t="s">
        <v>100</v>
      </c>
    </row>
    <row r="213" spans="3:31" ht="20.100000000000001" customHeight="1" x14ac:dyDescent="0.25"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T213" s="52" t="str">
        <f>TEXT(EDATE('Input - Site'!$E$12,5), "mmmm yyyy")</f>
        <v>June 2024</v>
      </c>
      <c r="U213" s="52">
        <f>'Input - Swine'!E118</f>
        <v>0</v>
      </c>
      <c r="V213" s="52">
        <f>'Input - Swine'!F118</f>
        <v>0</v>
      </c>
      <c r="W213" s="52">
        <f>'Input - Swine'!G118</f>
        <v>0</v>
      </c>
      <c r="X213" s="52">
        <f>'Input - Swine'!H118</f>
        <v>0</v>
      </c>
      <c r="Y213" s="52">
        <f>'Input - Swine'!I118</f>
        <v>0</v>
      </c>
      <c r="Z213" s="52">
        <f>'Input - Swine'!J118</f>
        <v>0</v>
      </c>
      <c r="AA213" s="52">
        <f>'Input - Swine'!K127</f>
        <v>0</v>
      </c>
      <c r="AB213" s="52">
        <f>'Input - Swine'!L127</f>
        <v>0</v>
      </c>
      <c r="AC213" s="52">
        <f>'Input - Swine'!M127</f>
        <v>0</v>
      </c>
      <c r="AD213" s="52" t="e">
        <f>'Input - Swine'!#REF!</f>
        <v>#REF!</v>
      </c>
      <c r="AE213" s="2" t="s">
        <v>100</v>
      </c>
    </row>
    <row r="214" spans="3:31" ht="20.100000000000001" customHeight="1" x14ac:dyDescent="0.25">
      <c r="D214" s="6" t="str" cm="1">
        <f t="array" ref="D214">MMS_PastureBeef_Soil_N2ODirect_Equations.VEERG_4_2_1_3__1_DirectNitrousOxideEmissionsOnPasture_Title()</f>
        <v>Total annual direct nitrous oxide emissions from agricultural soils from deposition of urine and dung</v>
      </c>
      <c r="T214" s="52" t="str">
        <f>TEXT(EDATE('Input - Site'!$E$12,6), "mmmm yyyy")</f>
        <v>July 2024</v>
      </c>
      <c r="U214" s="52">
        <f>'Input - Swine'!E119</f>
        <v>0</v>
      </c>
      <c r="V214" s="52">
        <f>'Input - Swine'!F119</f>
        <v>0</v>
      </c>
      <c r="W214" s="52">
        <f>'Input - Swine'!G119</f>
        <v>0</v>
      </c>
      <c r="X214" s="52">
        <f>'Input - Swine'!H119</f>
        <v>0</v>
      </c>
      <c r="Y214" s="52">
        <f>'Input - Swine'!I119</f>
        <v>0</v>
      </c>
      <c r="Z214" s="52">
        <f>'Input - Swine'!J119</f>
        <v>0</v>
      </c>
      <c r="AA214" s="52">
        <f>'Input - Swine'!K128</f>
        <v>0</v>
      </c>
      <c r="AB214" s="52">
        <f>'Input - Swine'!L128</f>
        <v>0</v>
      </c>
      <c r="AC214" s="52">
        <f>'Input - Swine'!M128</f>
        <v>0</v>
      </c>
      <c r="AD214" s="52" t="e">
        <f>'Input - Swine'!#REF!</f>
        <v>#REF!</v>
      </c>
      <c r="AE214" s="2" t="s">
        <v>100</v>
      </c>
    </row>
    <row r="215" spans="3:31" ht="20.100000000000001" customHeight="1" x14ac:dyDescent="0.25">
      <c r="D215" s="5" t="str" cm="1">
        <f t="array" ref="D215">MMS_PastureBeef_Soil_N2ODirect_Equations.VEERG_4_2_1_3__1_DirectNitrousOxideEmissionsOnPasture_Source()</f>
        <v>VEERG 2026: 4.2.1.3, Equation (1)</v>
      </c>
      <c r="T215" s="52" t="str">
        <f>TEXT(EDATE('Input - Site'!$E$12,7), "mmmm yyyy")</f>
        <v>August 2024</v>
      </c>
      <c r="U215" s="52">
        <f>'Input - Swine'!E129</f>
        <v>0</v>
      </c>
      <c r="V215" s="52">
        <f>'Input - Swine'!F129</f>
        <v>0</v>
      </c>
      <c r="W215" s="52">
        <f>'Input - Swine'!G129</f>
        <v>0</v>
      </c>
      <c r="X215" s="52">
        <f>'Input - Swine'!H129</f>
        <v>0</v>
      </c>
      <c r="Y215" s="52">
        <f>'Input - Swine'!I129</f>
        <v>0</v>
      </c>
      <c r="Z215" s="52">
        <f>'Input - Swine'!J129</f>
        <v>0</v>
      </c>
      <c r="AA215" s="52">
        <f>'Input - Swine'!K129</f>
        <v>0</v>
      </c>
      <c r="AB215" s="52">
        <f>'Input - Swine'!L129</f>
        <v>0</v>
      </c>
      <c r="AC215" s="52">
        <f>'Input - Swine'!M129</f>
        <v>0</v>
      </c>
      <c r="AD215" s="52">
        <f>'Input - Swine'!N109</f>
        <v>0</v>
      </c>
      <c r="AE215" s="2" t="s">
        <v>100</v>
      </c>
    </row>
    <row r="216" spans="3:31" ht="20.100000000000001" customHeight="1" x14ac:dyDescent="0.25">
      <c r="D216" s="13" t="s">
        <v>26</v>
      </c>
      <c r="E216" s="13" t="str" cm="1">
        <f t="array" aca="1" ref="E216" ca="1">Common_InputFunctions.Utility_DisplayFunctionName(E227)</f>
        <v>=MMS_PastureBeef_Soil_N2ODirect_Equations.VEERG_4_2_1_3__1_DirectNitrousOxideEmissionsOnPasture</v>
      </c>
      <c r="T216" s="52" t="str">
        <f>TEXT(EDATE('Input - Site'!$E$12,8), "mmmm yyyy")</f>
        <v>September 2024</v>
      </c>
      <c r="U216" s="52">
        <f>'Input - Swine'!E130</f>
        <v>0</v>
      </c>
      <c r="V216" s="52">
        <f>'Input - Swine'!F130</f>
        <v>0</v>
      </c>
      <c r="W216" s="52">
        <f>'Input - Swine'!G130</f>
        <v>0</v>
      </c>
      <c r="X216" s="52">
        <f>'Input - Swine'!H130</f>
        <v>0</v>
      </c>
      <c r="Y216" s="52">
        <f>'Input - Swine'!I130</f>
        <v>0</v>
      </c>
      <c r="Z216" s="52">
        <f>'Input - Swine'!J130</f>
        <v>0</v>
      </c>
      <c r="AA216" s="52">
        <f>'Input - Swine'!K130</f>
        <v>0</v>
      </c>
      <c r="AB216" s="52">
        <f>'Input - Swine'!L130</f>
        <v>0</v>
      </c>
      <c r="AC216" s="52">
        <f>'Input - Swine'!M130</f>
        <v>0</v>
      </c>
      <c r="AD216" s="52">
        <f>'Input - Swine'!N110</f>
        <v>0</v>
      </c>
      <c r="AE216" s="2" t="s">
        <v>100</v>
      </c>
    </row>
    <row r="217" spans="3:31" ht="20.100000000000001" customHeight="1" x14ac:dyDescent="0.25">
      <c r="T217" s="52" t="str">
        <f>TEXT(EDATE('Input - Site'!$E$12,9), "mmmm yyyy")</f>
        <v>October 2024</v>
      </c>
      <c r="U217" s="52">
        <f>'Input - Swine'!E131</f>
        <v>0</v>
      </c>
      <c r="V217" s="52">
        <f>'Input - Swine'!F131</f>
        <v>0</v>
      </c>
      <c r="W217" s="52">
        <f>'Input - Swine'!G131</f>
        <v>0</v>
      </c>
      <c r="X217" s="52">
        <f>'Input - Swine'!H131</f>
        <v>0</v>
      </c>
      <c r="Y217" s="52">
        <f>'Input - Swine'!I131</f>
        <v>0</v>
      </c>
      <c r="Z217" s="52">
        <f>'Input - Swine'!J131</f>
        <v>0</v>
      </c>
      <c r="AA217" s="52">
        <f>'Input - Swine'!K131</f>
        <v>0</v>
      </c>
      <c r="AB217" s="52">
        <f>'Input - Swine'!L131</f>
        <v>0</v>
      </c>
      <c r="AC217" s="52">
        <f>'Input - Swine'!M131</f>
        <v>0</v>
      </c>
      <c r="AD217" s="52">
        <f>'Input - Swine'!N111</f>
        <v>0</v>
      </c>
      <c r="AE217" s="2" t="s">
        <v>100</v>
      </c>
    </row>
    <row r="218" spans="3:31" ht="20.100000000000001" customHeight="1" x14ac:dyDescent="0.25">
      <c r="T218" s="52" t="str">
        <f>TEXT(EDATE('Input - Site'!$E$12,10), "mmmm yyyy")</f>
        <v>November 2024</v>
      </c>
      <c r="U218" s="52">
        <f>'Input - Swine'!E132</f>
        <v>0</v>
      </c>
      <c r="V218" s="52">
        <f>'Input - Swine'!F132</f>
        <v>0</v>
      </c>
      <c r="W218" s="52">
        <f>'Input - Swine'!G132</f>
        <v>0</v>
      </c>
      <c r="X218" s="52">
        <f>'Input - Swine'!H132</f>
        <v>0</v>
      </c>
      <c r="Y218" s="52">
        <f>'Input - Swine'!I132</f>
        <v>0</v>
      </c>
      <c r="Z218" s="52">
        <f>'Input - Swine'!J132</f>
        <v>0</v>
      </c>
      <c r="AA218" s="52">
        <f>'Input - Swine'!K132</f>
        <v>0</v>
      </c>
      <c r="AB218" s="52">
        <f>'Input - Swine'!L132</f>
        <v>0</v>
      </c>
      <c r="AC218" s="52">
        <f>'Input - Swine'!M132</f>
        <v>0</v>
      </c>
      <c r="AD218" s="52">
        <f>'Input - Swine'!N112</f>
        <v>0</v>
      </c>
      <c r="AE218" s="2" t="s">
        <v>100</v>
      </c>
    </row>
    <row r="219" spans="3:31" ht="20.100000000000001" customHeight="1" x14ac:dyDescent="0.25">
      <c r="D219" s="53" t="s">
        <v>29</v>
      </c>
      <c r="E219" s="1" t="str" cm="1">
        <f t="array" ref="E219">MMS_PastureBeef_Soil_N2ODirect_Equations.VEERG_4_2_1_3__1_DirectNitrousOxideEmissionsOnPasture_Variable()</f>
        <v>E_N2Odir</v>
      </c>
      <c r="T219" s="52" t="str">
        <f>TEXT(EDATE('Input - Site'!$E$12,11), "mmmm yyyy")</f>
        <v>December 2024</v>
      </c>
      <c r="U219" s="52">
        <f>'Input - Swine'!E133</f>
        <v>0</v>
      </c>
      <c r="V219" s="52">
        <f>'Input - Swine'!F133</f>
        <v>0</v>
      </c>
      <c r="W219" s="52">
        <f>'Input - Swine'!G133</f>
        <v>0</v>
      </c>
      <c r="X219" s="52">
        <f>'Input - Swine'!H133</f>
        <v>0</v>
      </c>
      <c r="Y219" s="52">
        <f>'Input - Swine'!I133</f>
        <v>0</v>
      </c>
      <c r="Z219" s="52">
        <f>'Input - Swine'!J133</f>
        <v>0</v>
      </c>
      <c r="AA219" s="52">
        <f>'Input - Swine'!K133</f>
        <v>0</v>
      </c>
      <c r="AB219" s="52">
        <f>'Input - Swine'!L133</f>
        <v>0</v>
      </c>
      <c r="AC219" s="52">
        <f>'Input - Swine'!M133</f>
        <v>0</v>
      </c>
      <c r="AD219" s="52">
        <f>'Input - Swine'!N113</f>
        <v>0</v>
      </c>
      <c r="AE219" s="2" t="s">
        <v>100</v>
      </c>
    </row>
    <row r="220" spans="3:31" ht="20.100000000000001" customHeight="1" x14ac:dyDescent="0.25">
      <c r="D220" s="53" t="s">
        <v>19</v>
      </c>
      <c r="E220" s="54" t="str" cm="1">
        <f t="array" ref="E220">MMS_PastureBeef_Soil_N2ODirect_Equations.VEERG_4_2_1_3__1_DirectNitrousOxideEmissionsOnPasture_Unit()</f>
        <v>t N2O</v>
      </c>
    </row>
    <row r="221" spans="3:31" ht="20.100000000000001" customHeight="1" x14ac:dyDescent="0.25">
      <c r="T221" s="99" t="s">
        <v>130</v>
      </c>
    </row>
    <row r="222" spans="3:31" ht="20.100000000000001" customHeight="1" x14ac:dyDescent="0.25">
      <c r="D222" s="108" t="str" cm="1">
        <f t="array" ref="D222:E225">MMS_PastureBeef_Soil_N2ODirect_Equations.VEERG_4_2_1_3__1_DirectNitrousOxideEmissionsOnPasture_Arguments()</f>
        <v>AE</v>
      </c>
      <c r="E222" s="110" t="str">
        <v>total mass of nitrogen excreted on PRP for beef cattle (kg N)</v>
      </c>
      <c r="F222" s="117"/>
      <c r="G222" s="109"/>
      <c r="H222" s="108" t="str">
        <f>"See " &amp; D202</f>
        <v>See M1_Table_AE</v>
      </c>
      <c r="T222" s="98" t="s">
        <v>176</v>
      </c>
    </row>
    <row r="223" spans="3:31" ht="20.100000000000001" customHeight="1" x14ac:dyDescent="0.25">
      <c r="D223" s="108" t="str">
        <v>EF_PRP</v>
      </c>
      <c r="E223" s="110" t="str">
        <v>emission factor for nitrous oxide from urine and dung deposited to soil (kg N2O-N/kg N deposited)</v>
      </c>
      <c r="F223" s="117"/>
      <c r="G223" s="109"/>
      <c r="H223" s="57">
        <f>_xlfn.XLOOKUP(H225,Table_SourceData_EFPastureRangeAndPaddock[Climate zone],Table_SourceData_EFPastureRangeAndPaddock[EFPRP])</f>
        <v>2E-3</v>
      </c>
      <c r="T223" s="51" t="s">
        <v>119</v>
      </c>
      <c r="U223" s="51" t="s">
        <v>118</v>
      </c>
      <c r="V223" s="51" t="s">
        <v>117</v>
      </c>
      <c r="W223" s="51" t="s">
        <v>143</v>
      </c>
      <c r="X223" s="51" t="s">
        <v>144</v>
      </c>
      <c r="Y223" s="51" t="s">
        <v>145</v>
      </c>
      <c r="Z223" s="51" t="s">
        <v>146</v>
      </c>
      <c r="AA223" s="51" t="s">
        <v>147</v>
      </c>
      <c r="AB223" s="51" t="s">
        <v>148</v>
      </c>
      <c r="AC223" s="51" t="s">
        <v>149</v>
      </c>
      <c r="AD223" s="51" t="s">
        <v>150</v>
      </c>
    </row>
    <row r="224" spans="3:31" ht="20.100000000000001" customHeight="1" x14ac:dyDescent="0.25">
      <c r="D224" s="108" t="str">
        <v>C_N2O</v>
      </c>
      <c r="E224" s="110" t="str">
        <v>factor to convert elemental mass of nitrous oxide to molecular mass</v>
      </c>
      <c r="F224" s="117"/>
      <c r="G224" s="109"/>
      <c r="H224" s="57">
        <f>Common_InputFunctions.Utility_LookupValueInTableNumber("N2O",Table_GasToMolecularConversionFactor[Gas],Table_GasToMolecularConversionFactor[Conversion factor combined])</f>
        <v>1.5714285714285714</v>
      </c>
      <c r="T224" s="52" t="str">
        <f>TEXT('Input - Site'!$E$12, "mmmm yyyy")</f>
        <v>January 2024</v>
      </c>
      <c r="U224" s="52" t="e">
        <f>'Input - Swine'!#REF!</f>
        <v>#REF!</v>
      </c>
      <c r="V224" s="52" t="e">
        <f>'Input - Swine'!#REF!</f>
        <v>#REF!</v>
      </c>
      <c r="W224" s="52" t="e">
        <f>'Input - Swine'!#REF!</f>
        <v>#REF!</v>
      </c>
      <c r="X224" s="52" t="e">
        <f>'Input - Swine'!#REF!</f>
        <v>#REF!</v>
      </c>
      <c r="Y224" s="52" t="e">
        <f>'Input - Swine'!#REF!</f>
        <v>#REF!</v>
      </c>
      <c r="Z224" s="52" t="e">
        <f>'Input - Swine'!#REF!</f>
        <v>#REF!</v>
      </c>
      <c r="AA224" s="52" t="e">
        <f>'Input - Swine'!#REF!</f>
        <v>#REF!</v>
      </c>
      <c r="AB224" s="52" t="e">
        <f>'Input - Swine'!#REF!</f>
        <v>#REF!</v>
      </c>
      <c r="AC224" s="52">
        <f>'Input - Swine'!M31</f>
        <v>0</v>
      </c>
      <c r="AD224" s="52">
        <f>'Input - Swine'!N31</f>
        <v>0</v>
      </c>
      <c r="AE224" s="2" t="s">
        <v>173</v>
      </c>
    </row>
    <row r="225" spans="4:31" ht="20.100000000000001" customHeight="1" x14ac:dyDescent="0.25">
      <c r="D225" s="108" t="str">
        <v>z</v>
      </c>
      <c r="E225" s="110" t="str">
        <v>wet or dry climate zone</v>
      </c>
      <c r="F225" s="117"/>
      <c r="G225" s="109"/>
      <c r="H225" s="108" t="str">
        <f>'Input - Site'!$E$32</f>
        <v>Dry climate zone</v>
      </c>
      <c r="T225" s="52" t="str">
        <f>TEXT(EDATE('Input - Site'!$E$12,1), "mmmm yyyy")</f>
        <v>February 2024</v>
      </c>
      <c r="U225" s="52">
        <f>'Input - Swine'!E101</f>
        <v>0</v>
      </c>
      <c r="V225" s="52">
        <f>'Input - Swine'!F101</f>
        <v>0</v>
      </c>
      <c r="W225" s="52">
        <f>'Input - Swine'!G101</f>
        <v>0</v>
      </c>
      <c r="X225" s="52">
        <f>'Input - Swine'!H101</f>
        <v>0</v>
      </c>
      <c r="Y225" s="52">
        <f>'Input - Swine'!I101</f>
        <v>0</v>
      </c>
      <c r="Z225" s="52">
        <f>'Input - Swine'!J101</f>
        <v>0</v>
      </c>
      <c r="AA225" s="52" t="e">
        <f>'Input - Swine'!#REF!</f>
        <v>#REF!</v>
      </c>
      <c r="AB225" s="52" t="e">
        <f>'Input - Swine'!#REF!</f>
        <v>#REF!</v>
      </c>
      <c r="AC225" s="52" t="e">
        <f>'Input - Swine'!#REF!</f>
        <v>#REF!</v>
      </c>
      <c r="AD225" s="52">
        <f>'Input - Swine'!N91</f>
        <v>0.25</v>
      </c>
      <c r="AE225" s="2" t="s">
        <v>173</v>
      </c>
    </row>
    <row r="226" spans="4:31" ht="20.100000000000001" customHeight="1" x14ac:dyDescent="0.25">
      <c r="T226" s="52" t="str">
        <f>TEXT(EDATE('Input - Site'!$E$12,2), "mmmm yyyy")</f>
        <v>March 2024</v>
      </c>
      <c r="U226" s="52">
        <f>'Input - Swine'!E102</f>
        <v>0</v>
      </c>
      <c r="V226" s="52">
        <f>'Input - Swine'!F102</f>
        <v>0</v>
      </c>
      <c r="W226" s="52">
        <f>'Input - Swine'!G102</f>
        <v>0</v>
      </c>
      <c r="X226" s="52">
        <f>'Input - Swine'!H102</f>
        <v>0</v>
      </c>
      <c r="Y226" s="52">
        <f>'Input - Swine'!I102</f>
        <v>0</v>
      </c>
      <c r="Z226" s="52">
        <f>'Input - Swine'!J102</f>
        <v>0</v>
      </c>
      <c r="AA226" s="52" t="e">
        <f>'Input - Swine'!#REF!</f>
        <v>#REF!</v>
      </c>
      <c r="AB226" s="52" t="e">
        <f>'Input - Swine'!#REF!</f>
        <v>#REF!</v>
      </c>
      <c r="AC226" s="52" t="e">
        <f>'Input - Swine'!#REF!</f>
        <v>#REF!</v>
      </c>
      <c r="AD226" s="52">
        <f>'Input - Swine'!N92</f>
        <v>0.25</v>
      </c>
      <c r="AE226" s="2" t="s">
        <v>173</v>
      </c>
    </row>
    <row r="227" spans="4:31" ht="20.100000000000001" customHeight="1" x14ac:dyDescent="0.25">
      <c r="D227" s="101" t="s">
        <v>107</v>
      </c>
      <c r="E227" s="102" t="e" cm="1">
        <f t="array" ref="E227">MMS_PastureBeef_Soil_N2ODirect_Equations.VEERG_4_2_1_3__1_DirectNitrousOxideEmissionsOnPasture($E$210,$H$223,$H$224)</f>
        <v>#REF!</v>
      </c>
      <c r="F227" s="103" t="str">
        <f>$E$220</f>
        <v>t N2O</v>
      </c>
      <c r="T227" s="52" t="str">
        <f>TEXT(EDATE('Input - Site'!$E$12,3), "mmmm yyyy")</f>
        <v>April 2024</v>
      </c>
      <c r="U227" s="52">
        <f>'Input - Swine'!E103</f>
        <v>0</v>
      </c>
      <c r="V227" s="52">
        <f>'Input - Swine'!F103</f>
        <v>0</v>
      </c>
      <c r="W227" s="52">
        <f>'Input - Swine'!G103</f>
        <v>0</v>
      </c>
      <c r="X227" s="52">
        <f>'Input - Swine'!H103</f>
        <v>0</v>
      </c>
      <c r="Y227" s="52">
        <f>'Input - Swine'!I103</f>
        <v>0</v>
      </c>
      <c r="Z227" s="52">
        <f>'Input - Swine'!J103</f>
        <v>0</v>
      </c>
      <c r="AA227" s="52" t="e">
        <f>'Input - Swine'!#REF!</f>
        <v>#REF!</v>
      </c>
      <c r="AB227" s="52" t="e">
        <f>'Input - Swine'!#REF!</f>
        <v>#REF!</v>
      </c>
      <c r="AC227" s="52" t="e">
        <f>'Input - Swine'!#REF!</f>
        <v>#REF!</v>
      </c>
      <c r="AD227" s="52">
        <f>'Input - Swine'!N93</f>
        <v>0</v>
      </c>
      <c r="AE227" s="2" t="s">
        <v>173</v>
      </c>
    </row>
    <row r="228" spans="4:31" ht="20.100000000000001" customHeight="1" x14ac:dyDescent="0.25">
      <c r="T228" s="52" t="str">
        <f>TEXT(EDATE('Input - Site'!$E$12,4), "mmmm yyyy")</f>
        <v>May 2024</v>
      </c>
      <c r="U228" s="52">
        <f>'Input - Swine'!E104</f>
        <v>0</v>
      </c>
      <c r="V228" s="52">
        <f>'Input - Swine'!F104</f>
        <v>0</v>
      </c>
      <c r="W228" s="52">
        <f>'Input - Swine'!G104</f>
        <v>0</v>
      </c>
      <c r="X228" s="52">
        <f>'Input - Swine'!H104</f>
        <v>0</v>
      </c>
      <c r="Y228" s="52">
        <f>'Input - Swine'!I104</f>
        <v>0</v>
      </c>
      <c r="Z228" s="52">
        <f>'Input - Swine'!J104</f>
        <v>0</v>
      </c>
      <c r="AA228" s="52" t="e">
        <f>'Input - Swine'!#REF!</f>
        <v>#REF!</v>
      </c>
      <c r="AB228" s="52" t="e">
        <f>'Input - Swine'!#REF!</f>
        <v>#REF!</v>
      </c>
      <c r="AC228" s="52" t="e">
        <f>'Input - Swine'!#REF!</f>
        <v>#REF!</v>
      </c>
      <c r="AD228" s="52">
        <f>'Input - Swine'!N94</f>
        <v>0</v>
      </c>
      <c r="AE228" s="2" t="s">
        <v>173</v>
      </c>
    </row>
    <row r="229" spans="4:31" ht="20.100000000000001" customHeight="1" x14ac:dyDescent="0.25">
      <c r="D229" s="57" t="str" cm="1">
        <f t="array" ref="D229:E230">Common_Equations.Common_ConvertN2OToCO2e_Arguments()</f>
        <v>EN2O</v>
      </c>
      <c r="E229" s="58" t="str">
        <v>Nitrous oxide emissions (t N2O)</v>
      </c>
      <c r="F229" s="104"/>
      <c r="G229" s="52" t="e">
        <f>E227</f>
        <v>#REF!</v>
      </c>
      <c r="T229" s="52" t="str">
        <f>TEXT(EDATE('Input - Site'!$E$12,5), "mmmm yyyy")</f>
        <v>June 2024</v>
      </c>
      <c r="U229" s="52">
        <f>'Input - Swine'!E105</f>
        <v>0</v>
      </c>
      <c r="V229" s="52">
        <f>'Input - Swine'!F105</f>
        <v>0</v>
      </c>
      <c r="W229" s="52">
        <f>'Input - Swine'!G105</f>
        <v>0</v>
      </c>
      <c r="X229" s="52">
        <f>'Input - Swine'!H105</f>
        <v>0</v>
      </c>
      <c r="Y229" s="52">
        <f>'Input - Swine'!I105</f>
        <v>0</v>
      </c>
      <c r="Z229" s="52">
        <f>'Input - Swine'!J105</f>
        <v>0</v>
      </c>
      <c r="AA229" s="52" t="e">
        <f>'Input - Swine'!#REF!</f>
        <v>#REF!</v>
      </c>
      <c r="AB229" s="52" t="e">
        <f>'Input - Swine'!#REF!</f>
        <v>#REF!</v>
      </c>
      <c r="AC229" s="52" t="e">
        <f>'Input - Swine'!#REF!</f>
        <v>#REF!</v>
      </c>
      <c r="AD229" s="52" t="e">
        <f>'Input - Swine'!#REF!</f>
        <v>#REF!</v>
      </c>
      <c r="AE229" s="2" t="s">
        <v>173</v>
      </c>
    </row>
    <row r="230" spans="4:31" ht="20.100000000000001" customHeight="1" x14ac:dyDescent="0.25">
      <c r="D230" s="57" t="str">
        <v>GWPN2O</v>
      </c>
      <c r="E230" s="58" t="str">
        <v>Global warming potential for nitrous oxide (t CO2-e / t N2O)</v>
      </c>
      <c r="F230" s="104"/>
      <c r="G230" s="52">
        <f>Common_InputFunctions.Utility_LookupValueInTableNumber("N2O",Table_GWPData[Gas],Table_GWPData[CO2-e factor])</f>
        <v>265</v>
      </c>
      <c r="T230" s="52" t="str">
        <f>TEXT(EDATE('Input - Site'!$E$12,6), "mmmm yyyy")</f>
        <v>July 2024</v>
      </c>
      <c r="U230" s="52">
        <f>'Input - Swine'!E106</f>
        <v>0</v>
      </c>
      <c r="V230" s="52">
        <f>'Input - Swine'!F106</f>
        <v>0</v>
      </c>
      <c r="W230" s="52">
        <f>'Input - Swine'!G106</f>
        <v>0</v>
      </c>
      <c r="X230" s="52">
        <f>'Input - Swine'!H106</f>
        <v>0</v>
      </c>
      <c r="Y230" s="52">
        <f>'Input - Swine'!I106</f>
        <v>0</v>
      </c>
      <c r="Z230" s="52">
        <f>'Input - Swine'!J106</f>
        <v>0</v>
      </c>
      <c r="AA230" s="52" t="e">
        <f>'Input - Swine'!#REF!</f>
        <v>#REF!</v>
      </c>
      <c r="AB230" s="52" t="e">
        <f>'Input - Swine'!#REF!</f>
        <v>#REF!</v>
      </c>
      <c r="AC230" s="52" t="e">
        <f>'Input - Swine'!#REF!</f>
        <v>#REF!</v>
      </c>
      <c r="AD230" s="52">
        <f>'Input - Swine'!N95</f>
        <v>0</v>
      </c>
      <c r="AE230" s="2" t="s">
        <v>173</v>
      </c>
    </row>
    <row r="231" spans="4:31" ht="20.100000000000001" customHeight="1" x14ac:dyDescent="0.25">
      <c r="T231" s="52" t="str">
        <f>TEXT(EDATE('Input - Site'!$E$12,7), "mmmm yyyy")</f>
        <v>August 2024</v>
      </c>
      <c r="U231" s="52">
        <f>'Input - Swine'!E107</f>
        <v>0</v>
      </c>
      <c r="V231" s="52">
        <f>'Input - Swine'!F107</f>
        <v>0</v>
      </c>
      <c r="W231" s="52">
        <f>'Input - Swine'!G107</f>
        <v>0</v>
      </c>
      <c r="X231" s="52">
        <f>'Input - Swine'!H107</f>
        <v>0</v>
      </c>
      <c r="Y231" s="52">
        <f>'Input - Swine'!I107</f>
        <v>0</v>
      </c>
      <c r="Z231" s="52">
        <f>'Input - Swine'!J107</f>
        <v>0</v>
      </c>
      <c r="AA231" s="52" t="e">
        <f>'Input - Swine'!#REF!</f>
        <v>#REF!</v>
      </c>
      <c r="AB231" s="52" t="e">
        <f>'Input - Swine'!#REF!</f>
        <v>#REF!</v>
      </c>
      <c r="AC231" s="52" t="e">
        <f>'Input - Swine'!#REF!</f>
        <v>#REF!</v>
      </c>
      <c r="AD231" s="52">
        <f>'Input - Swine'!N96</f>
        <v>0</v>
      </c>
      <c r="AE231" s="2" t="s">
        <v>173</v>
      </c>
    </row>
    <row r="232" spans="4:31" ht="20.100000000000001" customHeight="1" x14ac:dyDescent="0.25">
      <c r="D232" s="45" t="s">
        <v>102</v>
      </c>
      <c r="E232" s="45" t="e" cm="1">
        <f t="array" ref="E232">Common_Equations.Common_ConvertN2OToCO2e(G229,G230)</f>
        <v>#REF!</v>
      </c>
      <c r="F232" s="105" t="str" cm="1">
        <f t="array" ref="F232">Common_Equations.Common_ConvertN2OToCO2e_Unit()</f>
        <v>t CO2e</v>
      </c>
      <c r="T232" s="52" t="str">
        <f>TEXT(EDATE('Input - Site'!$E$12,8), "mmmm yyyy")</f>
        <v>September 2024</v>
      </c>
      <c r="U232" s="52">
        <f>'Input - Swine'!E108</f>
        <v>0</v>
      </c>
      <c r="V232" s="52">
        <f>'Input - Swine'!F108</f>
        <v>0</v>
      </c>
      <c r="W232" s="52">
        <f>'Input - Swine'!G108</f>
        <v>0</v>
      </c>
      <c r="X232" s="52">
        <f>'Input - Swine'!H108</f>
        <v>0</v>
      </c>
      <c r="Y232" s="52">
        <f>'Input - Swine'!I108</f>
        <v>0</v>
      </c>
      <c r="Z232" s="52">
        <f>'Input - Swine'!J108</f>
        <v>0</v>
      </c>
      <c r="AA232" s="52" t="e">
        <f>'Input - Swine'!#REF!</f>
        <v>#REF!</v>
      </c>
      <c r="AB232" s="52" t="e">
        <f>'Input - Swine'!#REF!</f>
        <v>#REF!</v>
      </c>
      <c r="AC232" s="52" t="e">
        <f>'Input - Swine'!#REF!</f>
        <v>#REF!</v>
      </c>
      <c r="AD232" s="52">
        <f>'Input - Swine'!N97</f>
        <v>0</v>
      </c>
      <c r="AE232" s="2" t="s">
        <v>173</v>
      </c>
    </row>
    <row r="233" spans="4:31" ht="20.100000000000001" customHeight="1" x14ac:dyDescent="0.25">
      <c r="T233" s="52" t="str">
        <f>TEXT(EDATE('Input - Site'!$E$12,9), "mmmm yyyy")</f>
        <v>October 2024</v>
      </c>
      <c r="U233" s="52" t="e">
        <f>'Input - Swine'!#REF!</f>
        <v>#REF!</v>
      </c>
      <c r="V233" s="52" t="e">
        <f>'Input - Swine'!#REF!</f>
        <v>#REF!</v>
      </c>
      <c r="W233" s="52" t="e">
        <f>'Input - Swine'!#REF!</f>
        <v>#REF!</v>
      </c>
      <c r="X233" s="52" t="e">
        <f>'Input - Swine'!#REF!</f>
        <v>#REF!</v>
      </c>
      <c r="Y233" s="52" t="e">
        <f>'Input - Swine'!#REF!</f>
        <v>#REF!</v>
      </c>
      <c r="Z233" s="52" t="e">
        <f>'Input - Swine'!#REF!</f>
        <v>#REF!</v>
      </c>
      <c r="AA233" s="52" t="e">
        <f>'Input - Swine'!#REF!</f>
        <v>#REF!</v>
      </c>
      <c r="AB233" s="52" t="e">
        <f>'Input - Swine'!#REF!</f>
        <v>#REF!</v>
      </c>
      <c r="AC233" s="52" t="e">
        <f>'Input - Swine'!#REF!</f>
        <v>#REF!</v>
      </c>
      <c r="AD233" s="52">
        <f>'Input - Swine'!N98</f>
        <v>0</v>
      </c>
      <c r="AE233" s="2" t="s">
        <v>173</v>
      </c>
    </row>
    <row r="234" spans="4:31" ht="20.100000000000001" customHeight="1" x14ac:dyDescent="0.25">
      <c r="T234" s="52" t="str">
        <f>TEXT(EDATE('Input - Site'!$E$12,10), "mmmm yyyy")</f>
        <v>November 2024</v>
      </c>
      <c r="U234" s="52" t="e">
        <f>'Input - Swine'!#REF!</f>
        <v>#REF!</v>
      </c>
      <c r="V234" s="52" t="e">
        <f>'Input - Swine'!#REF!</f>
        <v>#REF!</v>
      </c>
      <c r="W234" s="52" t="e">
        <f>'Input - Swine'!#REF!</f>
        <v>#REF!</v>
      </c>
      <c r="X234" s="52" t="e">
        <f>'Input - Swine'!#REF!</f>
        <v>#REF!</v>
      </c>
      <c r="Y234" s="52" t="e">
        <f>'Input - Swine'!#REF!</f>
        <v>#REF!</v>
      </c>
      <c r="Z234" s="52" t="e">
        <f>'Input - Swine'!#REF!</f>
        <v>#REF!</v>
      </c>
      <c r="AA234" s="52" t="e">
        <f>'Input - Swine'!#REF!</f>
        <v>#REF!</v>
      </c>
      <c r="AB234" s="52" t="e">
        <f>'Input - Swine'!#REF!</f>
        <v>#REF!</v>
      </c>
      <c r="AC234" s="52" t="e">
        <f>'Input - Swine'!#REF!</f>
        <v>#REF!</v>
      </c>
      <c r="AD234" s="52">
        <f>'Input - Swine'!N99</f>
        <v>0</v>
      </c>
      <c r="AE234" s="2" t="s">
        <v>173</v>
      </c>
    </row>
    <row r="235" spans="4:31" ht="20.100000000000001" customHeight="1" x14ac:dyDescent="0.25">
      <c r="T235" s="52" t="str">
        <f>TEXT(EDATE('Input - Site'!$E$12,11), "mmmm yyyy")</f>
        <v>December 2024</v>
      </c>
      <c r="U235" s="52" t="e">
        <f>'Input - Swine'!#REF!</f>
        <v>#REF!</v>
      </c>
      <c r="V235" s="52" t="e">
        <f>'Input - Swine'!#REF!</f>
        <v>#REF!</v>
      </c>
      <c r="W235" s="52" t="e">
        <f>'Input - Swine'!#REF!</f>
        <v>#REF!</v>
      </c>
      <c r="X235" s="52" t="e">
        <f>'Input - Swine'!#REF!</f>
        <v>#REF!</v>
      </c>
      <c r="Y235" s="52" t="e">
        <f>'Input - Swine'!#REF!</f>
        <v>#REF!</v>
      </c>
      <c r="Z235" s="52" t="e">
        <f>'Input - Swine'!#REF!</f>
        <v>#REF!</v>
      </c>
      <c r="AA235" s="52" t="e">
        <f>'Input - Swine'!#REF!</f>
        <v>#REF!</v>
      </c>
      <c r="AB235" s="52" t="e">
        <f>'Input - Swine'!#REF!</f>
        <v>#REF!</v>
      </c>
      <c r="AC235" s="52" t="e">
        <f>'Input - Swine'!#REF!</f>
        <v>#REF!</v>
      </c>
      <c r="AD235" s="52">
        <f>'Input - Swine'!N100</f>
        <v>0</v>
      </c>
      <c r="AE235" s="2" t="s">
        <v>173</v>
      </c>
    </row>
    <row r="236" spans="4:31" ht="20.100000000000001" customHeight="1" x14ac:dyDescent="0.25"/>
    <row r="237" spans="4:31" ht="20.100000000000001" customHeight="1" x14ac:dyDescent="0.25">
      <c r="T237" s="99" t="s">
        <v>212</v>
      </c>
    </row>
    <row r="238" spans="4:31" ht="20.100000000000001" customHeight="1" x14ac:dyDescent="0.25">
      <c r="T238" s="98" t="s">
        <v>213</v>
      </c>
    </row>
    <row r="239" spans="4:31" ht="20.100000000000001" customHeight="1" x14ac:dyDescent="0.25">
      <c r="T239" s="51" t="s">
        <v>119</v>
      </c>
      <c r="U239" s="51" t="s">
        <v>118</v>
      </c>
      <c r="V239" s="51" t="s">
        <v>117</v>
      </c>
      <c r="W239" s="51" t="s">
        <v>143</v>
      </c>
      <c r="X239" s="51" t="s">
        <v>144</v>
      </c>
      <c r="Y239" s="51" t="s">
        <v>145</v>
      </c>
      <c r="Z239" s="51" t="s">
        <v>146</v>
      </c>
      <c r="AA239" s="51" t="s">
        <v>147</v>
      </c>
      <c r="AB239" s="51" t="s">
        <v>148</v>
      </c>
      <c r="AC239" s="51" t="s">
        <v>149</v>
      </c>
      <c r="AD239" s="51" t="s">
        <v>150</v>
      </c>
    </row>
    <row r="240" spans="4:31" ht="20.100000000000001" customHeight="1" x14ac:dyDescent="0.25">
      <c r="T240" s="52" t="str">
        <f>TEXT('Input - Site'!$E$12, "mmmm yyyy")</f>
        <v>January 2024</v>
      </c>
      <c r="U240" s="52" t="e" cm="1">
        <f t="array" ref="U240">MMS_PastureBeef_Soil_N2ODirect_Equations.VEERG_4_2_1_3__2_TotalNitrogenExcretedToPastureRangeAndPaddock(U208,U188,U224)</f>
        <v>#REF!</v>
      </c>
      <c r="V240" s="52" t="e" cm="1">
        <f t="array" ref="V240">MMS_PastureBeef_Soil_N2ODirect_Equations.VEERG_4_2_1_3__2_TotalNitrogenExcretedToPastureRangeAndPaddock(V208,V188,V224)</f>
        <v>#REF!</v>
      </c>
      <c r="W240" s="52" t="e" cm="1">
        <f t="array" ref="W240">MMS_PastureBeef_Soil_N2ODirect_Equations.VEERG_4_2_1_3__2_TotalNitrogenExcretedToPastureRangeAndPaddock(W208,W188,W224)</f>
        <v>#REF!</v>
      </c>
      <c r="X240" s="52" t="e" cm="1">
        <f t="array" ref="X240">MMS_PastureBeef_Soil_N2ODirect_Equations.VEERG_4_2_1_3__2_TotalNitrogenExcretedToPastureRangeAndPaddock(X208,X188,X224)</f>
        <v>#REF!</v>
      </c>
      <c r="Y240" s="52" t="e" cm="1">
        <f t="array" ref="Y240">MMS_PastureBeef_Soil_N2ODirect_Equations.VEERG_4_2_1_3__2_TotalNitrogenExcretedToPastureRangeAndPaddock(Y208,Y188,Y224)</f>
        <v>#REF!</v>
      </c>
      <c r="Z240" s="52" t="e" cm="1">
        <f t="array" ref="Z240">MMS_PastureBeef_Soil_N2ODirect_Equations.VEERG_4_2_1_3__2_TotalNitrogenExcretedToPastureRangeAndPaddock(Z208,Z188,Z224)</f>
        <v>#REF!</v>
      </c>
      <c r="AA240" s="52" t="e" cm="1">
        <f t="array" ref="AA240">MMS_PastureBeef_Soil_N2ODirect_Equations.VEERG_4_2_1_3__2_TotalNitrogenExcretedToPastureRangeAndPaddock(AA208,AA188,AA224)</f>
        <v>#REF!</v>
      </c>
      <c r="AB240" s="52" t="e" cm="1">
        <f t="array" ref="AB240">MMS_PastureBeef_Soil_N2ODirect_Equations.VEERG_4_2_1_3__2_TotalNitrogenExcretedToPastureRangeAndPaddock(AB208,AB188,AB224)</f>
        <v>#REF!</v>
      </c>
      <c r="AC240" s="52" t="e" cm="1">
        <f t="array" ref="AC240">MMS_PastureBeef_Soil_N2ODirect_Equations.VEERG_4_2_1_3__2_TotalNitrogenExcretedToPastureRangeAndPaddock(AC208,AC188,AC224)</f>
        <v>#REF!</v>
      </c>
      <c r="AD240" s="52" t="e" cm="1">
        <f t="array" ref="AD240">MMS_PastureBeef_Soil_N2ODirect_Equations.VEERG_4_2_1_3__2_TotalNitrogenExcretedToPastureRangeAndPaddock(AD208,AD188,AD224)</f>
        <v>#REF!</v>
      </c>
      <c r="AE240" s="2" t="str">
        <f t="shared" ref="AE240:AE251" si="14">$E$180</f>
        <v>kg N</v>
      </c>
    </row>
    <row r="241" spans="19:32" ht="20.100000000000001" customHeight="1" x14ac:dyDescent="0.25">
      <c r="T241" s="52" t="str">
        <f>TEXT(EDATE('Input - Site'!$E$12,1), "mmmm yyyy")</f>
        <v>February 2024</v>
      </c>
      <c r="U241" s="52" t="e" cm="1">
        <f t="array" ref="U241">MMS_PastureBeef_Soil_N2ODirect_Equations.VEERG_4_2_1_3__2_TotalNitrogenExcretedToPastureRangeAndPaddock(U209,U189,U225)</f>
        <v>#REF!</v>
      </c>
      <c r="V241" s="52" t="e" cm="1">
        <f t="array" ref="V241">MMS_PastureBeef_Soil_N2ODirect_Equations.VEERG_4_2_1_3__2_TotalNitrogenExcretedToPastureRangeAndPaddock(V209,V189,V225)</f>
        <v>#REF!</v>
      </c>
      <c r="W241" s="52" t="e" cm="1">
        <f t="array" ref="W241">MMS_PastureBeef_Soil_N2ODirect_Equations.VEERG_4_2_1_3__2_TotalNitrogenExcretedToPastureRangeAndPaddock(W209,W189,W225)</f>
        <v>#REF!</v>
      </c>
      <c r="X241" s="52" t="e" cm="1">
        <f t="array" ref="X241">MMS_PastureBeef_Soil_N2ODirect_Equations.VEERG_4_2_1_3__2_TotalNitrogenExcretedToPastureRangeAndPaddock(X209,X189,X225)</f>
        <v>#REF!</v>
      </c>
      <c r="Y241" s="52" t="e" cm="1">
        <f t="array" ref="Y241">MMS_PastureBeef_Soil_N2ODirect_Equations.VEERG_4_2_1_3__2_TotalNitrogenExcretedToPastureRangeAndPaddock(Y209,Y189,Y225)</f>
        <v>#REF!</v>
      </c>
      <c r="Z241" s="52" t="e" cm="1">
        <f t="array" ref="Z241">MMS_PastureBeef_Soil_N2ODirect_Equations.VEERG_4_2_1_3__2_TotalNitrogenExcretedToPastureRangeAndPaddock(Z209,Z189,Z225)</f>
        <v>#REF!</v>
      </c>
      <c r="AA241" s="52" t="e" cm="1">
        <f t="array" ref="AA241">MMS_PastureBeef_Soil_N2ODirect_Equations.VEERG_4_2_1_3__2_TotalNitrogenExcretedToPastureRangeAndPaddock(AA209,AA189,AA225)</f>
        <v>#REF!</v>
      </c>
      <c r="AB241" s="52" t="e" cm="1">
        <f t="array" ref="AB241">MMS_PastureBeef_Soil_N2ODirect_Equations.VEERG_4_2_1_3__2_TotalNitrogenExcretedToPastureRangeAndPaddock(AB209,AB189,AB225)</f>
        <v>#REF!</v>
      </c>
      <c r="AC241" s="52" t="e" cm="1">
        <f t="array" ref="AC241">MMS_PastureBeef_Soil_N2ODirect_Equations.VEERG_4_2_1_3__2_TotalNitrogenExcretedToPastureRangeAndPaddock(AC209,AC189,AC225)</f>
        <v>#REF!</v>
      </c>
      <c r="AD241" s="52" t="e" cm="1">
        <f t="array" ref="AD241">MMS_PastureBeef_Soil_N2ODirect_Equations.VEERG_4_2_1_3__2_TotalNitrogenExcretedToPastureRangeAndPaddock(AD209,AD189,AD225)</f>
        <v>#REF!</v>
      </c>
      <c r="AE241" s="2" t="str">
        <f t="shared" si="14"/>
        <v>kg N</v>
      </c>
    </row>
    <row r="242" spans="19:32" ht="20.100000000000001" customHeight="1" x14ac:dyDescent="0.25">
      <c r="T242" s="52" t="str">
        <f>TEXT(EDATE('Input - Site'!$E$12,2), "mmmm yyyy")</f>
        <v>March 2024</v>
      </c>
      <c r="U242" s="52" t="e" cm="1">
        <f t="array" ref="U242">MMS_PastureBeef_Soil_N2ODirect_Equations.VEERG_4_2_1_3__2_TotalNitrogenExcretedToPastureRangeAndPaddock(U210,U190,U226)</f>
        <v>#REF!</v>
      </c>
      <c r="V242" s="52" t="e" cm="1">
        <f t="array" ref="V242">MMS_PastureBeef_Soil_N2ODirect_Equations.VEERG_4_2_1_3__2_TotalNitrogenExcretedToPastureRangeAndPaddock(V210,V190,V226)</f>
        <v>#REF!</v>
      </c>
      <c r="W242" s="52" t="e" cm="1">
        <f t="array" ref="W242">MMS_PastureBeef_Soil_N2ODirect_Equations.VEERG_4_2_1_3__2_TotalNitrogenExcretedToPastureRangeAndPaddock(W210,W190,W226)</f>
        <v>#REF!</v>
      </c>
      <c r="X242" s="52" t="e" cm="1">
        <f t="array" ref="X242">MMS_PastureBeef_Soil_N2ODirect_Equations.VEERG_4_2_1_3__2_TotalNitrogenExcretedToPastureRangeAndPaddock(X210,X190,X226)</f>
        <v>#REF!</v>
      </c>
      <c r="Y242" s="52" t="e" cm="1">
        <f t="array" ref="Y242">MMS_PastureBeef_Soil_N2ODirect_Equations.VEERG_4_2_1_3__2_TotalNitrogenExcretedToPastureRangeAndPaddock(Y210,Y190,Y226)</f>
        <v>#REF!</v>
      </c>
      <c r="Z242" s="52" t="e" cm="1">
        <f t="array" ref="Z242">MMS_PastureBeef_Soil_N2ODirect_Equations.VEERG_4_2_1_3__2_TotalNitrogenExcretedToPastureRangeAndPaddock(Z210,Z190,Z226)</f>
        <v>#REF!</v>
      </c>
      <c r="AA242" s="52" t="e" cm="1">
        <f t="array" ref="AA242">MMS_PastureBeef_Soil_N2ODirect_Equations.VEERG_4_2_1_3__2_TotalNitrogenExcretedToPastureRangeAndPaddock(AA210,AA190,AA226)</f>
        <v>#REF!</v>
      </c>
      <c r="AB242" s="52" t="e" cm="1">
        <f t="array" ref="AB242">MMS_PastureBeef_Soil_N2ODirect_Equations.VEERG_4_2_1_3__2_TotalNitrogenExcretedToPastureRangeAndPaddock(AB210,AB190,AB226)</f>
        <v>#REF!</v>
      </c>
      <c r="AC242" s="52" t="e" cm="1">
        <f t="array" ref="AC242">MMS_PastureBeef_Soil_N2ODirect_Equations.VEERG_4_2_1_3__2_TotalNitrogenExcretedToPastureRangeAndPaddock(AC210,AC190,AC226)</f>
        <v>#REF!</v>
      </c>
      <c r="AD242" s="52" t="e" cm="1">
        <f t="array" ref="AD242">MMS_PastureBeef_Soil_N2ODirect_Equations.VEERG_4_2_1_3__2_TotalNitrogenExcretedToPastureRangeAndPaddock(AD210,AD190,AD226)</f>
        <v>#REF!</v>
      </c>
      <c r="AE242" s="2" t="str">
        <f t="shared" si="14"/>
        <v>kg N</v>
      </c>
    </row>
    <row r="243" spans="19:32" ht="20.100000000000001" customHeight="1" x14ac:dyDescent="0.25">
      <c r="T243" s="52" t="str">
        <f>TEXT(EDATE('Input - Site'!$E$12,3), "mmmm yyyy")</f>
        <v>April 2024</v>
      </c>
      <c r="U243" s="52" t="e" cm="1">
        <f t="array" ref="U243">MMS_PastureBeef_Soil_N2ODirect_Equations.VEERG_4_2_1_3__2_TotalNitrogenExcretedToPastureRangeAndPaddock(U211,U191,U227)</f>
        <v>#REF!</v>
      </c>
      <c r="V243" s="52" t="e" cm="1">
        <f t="array" ref="V243">MMS_PastureBeef_Soil_N2ODirect_Equations.VEERG_4_2_1_3__2_TotalNitrogenExcretedToPastureRangeAndPaddock(V211,V191,V227)</f>
        <v>#REF!</v>
      </c>
      <c r="W243" s="52" t="e" cm="1">
        <f t="array" ref="W243">MMS_PastureBeef_Soil_N2ODirect_Equations.VEERG_4_2_1_3__2_TotalNitrogenExcretedToPastureRangeAndPaddock(W211,W191,W227)</f>
        <v>#REF!</v>
      </c>
      <c r="X243" s="52" t="e" cm="1">
        <f t="array" ref="X243">MMS_PastureBeef_Soil_N2ODirect_Equations.VEERG_4_2_1_3__2_TotalNitrogenExcretedToPastureRangeAndPaddock(X211,X191,X227)</f>
        <v>#REF!</v>
      </c>
      <c r="Y243" s="52" t="e" cm="1">
        <f t="array" ref="Y243">MMS_PastureBeef_Soil_N2ODirect_Equations.VEERG_4_2_1_3__2_TotalNitrogenExcretedToPastureRangeAndPaddock(Y211,Y191,Y227)</f>
        <v>#REF!</v>
      </c>
      <c r="Z243" s="52" t="e" cm="1">
        <f t="array" ref="Z243">MMS_PastureBeef_Soil_N2ODirect_Equations.VEERG_4_2_1_3__2_TotalNitrogenExcretedToPastureRangeAndPaddock(Z211,Z191,Z227)</f>
        <v>#REF!</v>
      </c>
      <c r="AA243" s="52" t="e" cm="1">
        <f t="array" ref="AA243">MMS_PastureBeef_Soil_N2ODirect_Equations.VEERG_4_2_1_3__2_TotalNitrogenExcretedToPastureRangeAndPaddock(AA211,AA191,AA227)</f>
        <v>#REF!</v>
      </c>
      <c r="AB243" s="52" t="e" cm="1">
        <f t="array" ref="AB243">MMS_PastureBeef_Soil_N2ODirect_Equations.VEERG_4_2_1_3__2_TotalNitrogenExcretedToPastureRangeAndPaddock(AB211,AB191,AB227)</f>
        <v>#REF!</v>
      </c>
      <c r="AC243" s="52" t="e" cm="1">
        <f t="array" ref="AC243">MMS_PastureBeef_Soil_N2ODirect_Equations.VEERG_4_2_1_3__2_TotalNitrogenExcretedToPastureRangeAndPaddock(AC211,AC191,AC227)</f>
        <v>#REF!</v>
      </c>
      <c r="AD243" s="52" t="e" cm="1">
        <f t="array" ref="AD243">MMS_PastureBeef_Soil_N2ODirect_Equations.VEERG_4_2_1_3__2_TotalNitrogenExcretedToPastureRangeAndPaddock(AD211,AD191,AD227)</f>
        <v>#REF!</v>
      </c>
      <c r="AE243" s="2" t="str">
        <f t="shared" si="14"/>
        <v>kg N</v>
      </c>
    </row>
    <row r="244" spans="19:32" ht="20.100000000000001" customHeight="1" x14ac:dyDescent="0.25">
      <c r="T244" s="52" t="str">
        <f>TEXT(EDATE('Input - Site'!$E$12,4), "mmmm yyyy")</f>
        <v>May 2024</v>
      </c>
      <c r="U244" s="52" t="e" cm="1">
        <f t="array" ref="U244">MMS_PastureBeef_Soil_N2ODirect_Equations.VEERG_4_2_1_3__2_TotalNitrogenExcretedToPastureRangeAndPaddock(U212,U192,U228)</f>
        <v>#REF!</v>
      </c>
      <c r="V244" s="52" t="e" cm="1">
        <f t="array" ref="V244">MMS_PastureBeef_Soil_N2ODirect_Equations.VEERG_4_2_1_3__2_TotalNitrogenExcretedToPastureRangeAndPaddock(V212,V192,V228)</f>
        <v>#REF!</v>
      </c>
      <c r="W244" s="52" t="e" cm="1">
        <f t="array" ref="W244">MMS_PastureBeef_Soil_N2ODirect_Equations.VEERG_4_2_1_3__2_TotalNitrogenExcretedToPastureRangeAndPaddock(W212,W192,W228)</f>
        <v>#REF!</v>
      </c>
      <c r="X244" s="52" t="e" cm="1">
        <f t="array" ref="X244">MMS_PastureBeef_Soil_N2ODirect_Equations.VEERG_4_2_1_3__2_TotalNitrogenExcretedToPastureRangeAndPaddock(X212,X192,X228)</f>
        <v>#REF!</v>
      </c>
      <c r="Y244" s="52" t="e" cm="1">
        <f t="array" ref="Y244">MMS_PastureBeef_Soil_N2ODirect_Equations.VEERG_4_2_1_3__2_TotalNitrogenExcretedToPastureRangeAndPaddock(Y212,Y192,Y228)</f>
        <v>#REF!</v>
      </c>
      <c r="Z244" s="52" t="e" cm="1">
        <f t="array" ref="Z244">MMS_PastureBeef_Soil_N2ODirect_Equations.VEERG_4_2_1_3__2_TotalNitrogenExcretedToPastureRangeAndPaddock(Z212,Z192,Z228)</f>
        <v>#REF!</v>
      </c>
      <c r="AA244" s="52" t="e" cm="1">
        <f t="array" ref="AA244">MMS_PastureBeef_Soil_N2ODirect_Equations.VEERG_4_2_1_3__2_TotalNitrogenExcretedToPastureRangeAndPaddock(AA212,AA192,AA228)</f>
        <v>#REF!</v>
      </c>
      <c r="AB244" s="52" t="e" cm="1">
        <f t="array" ref="AB244">MMS_PastureBeef_Soil_N2ODirect_Equations.VEERG_4_2_1_3__2_TotalNitrogenExcretedToPastureRangeAndPaddock(AB212,AB192,AB228)</f>
        <v>#REF!</v>
      </c>
      <c r="AC244" s="52" t="e" cm="1">
        <f t="array" ref="AC244">MMS_PastureBeef_Soil_N2ODirect_Equations.VEERG_4_2_1_3__2_TotalNitrogenExcretedToPastureRangeAndPaddock(AC212,AC192,AC228)</f>
        <v>#REF!</v>
      </c>
      <c r="AD244" s="52" t="e" cm="1">
        <f t="array" ref="AD244">MMS_PastureBeef_Soil_N2ODirect_Equations.VEERG_4_2_1_3__2_TotalNitrogenExcretedToPastureRangeAndPaddock(AD212,AD192,AD228)</f>
        <v>#REF!</v>
      </c>
      <c r="AE244" s="2" t="str">
        <f t="shared" si="14"/>
        <v>kg N</v>
      </c>
    </row>
    <row r="245" spans="19:32" ht="20.100000000000001" customHeight="1" x14ac:dyDescent="0.25">
      <c r="T245" s="52" t="str">
        <f>TEXT(EDATE('Input - Site'!$E$12,5), "mmmm yyyy")</f>
        <v>June 2024</v>
      </c>
      <c r="U245" s="52" t="e" cm="1">
        <f t="array" ref="U245">MMS_PastureBeef_Soil_N2ODirect_Equations.VEERG_4_2_1_3__2_TotalNitrogenExcretedToPastureRangeAndPaddock(U213,U193,U229)</f>
        <v>#REF!</v>
      </c>
      <c r="V245" s="52" t="e" cm="1">
        <f t="array" ref="V245">MMS_PastureBeef_Soil_N2ODirect_Equations.VEERG_4_2_1_3__2_TotalNitrogenExcretedToPastureRangeAndPaddock(V213,V193,V229)</f>
        <v>#REF!</v>
      </c>
      <c r="W245" s="52" t="e" cm="1">
        <f t="array" ref="W245">MMS_PastureBeef_Soil_N2ODirect_Equations.VEERG_4_2_1_3__2_TotalNitrogenExcretedToPastureRangeAndPaddock(W213,W193,W229)</f>
        <v>#REF!</v>
      </c>
      <c r="X245" s="52" t="e" cm="1">
        <f t="array" ref="X245">MMS_PastureBeef_Soil_N2ODirect_Equations.VEERG_4_2_1_3__2_TotalNitrogenExcretedToPastureRangeAndPaddock(X213,X193,X229)</f>
        <v>#REF!</v>
      </c>
      <c r="Y245" s="52" t="e" cm="1">
        <f t="array" ref="Y245">MMS_PastureBeef_Soil_N2ODirect_Equations.VEERG_4_2_1_3__2_TotalNitrogenExcretedToPastureRangeAndPaddock(Y213,Y193,Y229)</f>
        <v>#REF!</v>
      </c>
      <c r="Z245" s="52" t="e" cm="1">
        <f t="array" ref="Z245">MMS_PastureBeef_Soil_N2ODirect_Equations.VEERG_4_2_1_3__2_TotalNitrogenExcretedToPastureRangeAndPaddock(Z213,Z193,Z229)</f>
        <v>#REF!</v>
      </c>
      <c r="AA245" s="52" t="e" cm="1">
        <f t="array" ref="AA245">MMS_PastureBeef_Soil_N2ODirect_Equations.VEERG_4_2_1_3__2_TotalNitrogenExcretedToPastureRangeAndPaddock(AA213,AA193,AA229)</f>
        <v>#REF!</v>
      </c>
      <c r="AB245" s="52" t="e" cm="1">
        <f t="array" ref="AB245">MMS_PastureBeef_Soil_N2ODirect_Equations.VEERG_4_2_1_3__2_TotalNitrogenExcretedToPastureRangeAndPaddock(AB213,AB193,AB229)</f>
        <v>#REF!</v>
      </c>
      <c r="AC245" s="52" t="e" cm="1">
        <f t="array" ref="AC245">MMS_PastureBeef_Soil_N2ODirect_Equations.VEERG_4_2_1_3__2_TotalNitrogenExcretedToPastureRangeAndPaddock(AC213,AC193,AC229)</f>
        <v>#REF!</v>
      </c>
      <c r="AD245" s="52" t="e" cm="1">
        <f t="array" ref="AD245">MMS_PastureBeef_Soil_N2ODirect_Equations.VEERG_4_2_1_3__2_TotalNitrogenExcretedToPastureRangeAndPaddock(AD213,AD193,AD229)</f>
        <v>#REF!</v>
      </c>
      <c r="AE245" s="2" t="str">
        <f t="shared" si="14"/>
        <v>kg N</v>
      </c>
    </row>
    <row r="246" spans="19:32" ht="20.100000000000001" customHeight="1" x14ac:dyDescent="0.25">
      <c r="T246" s="52" t="str">
        <f>TEXT(EDATE('Input - Site'!$E$12,6), "mmmm yyyy")</f>
        <v>July 2024</v>
      </c>
      <c r="U246" s="52" t="e" cm="1">
        <f t="array" ref="U246">MMS_PastureBeef_Soil_N2ODirect_Equations.VEERG_4_2_1_3__2_TotalNitrogenExcretedToPastureRangeAndPaddock(U214,U194,U230)</f>
        <v>#REF!</v>
      </c>
      <c r="V246" s="52" t="e" cm="1">
        <f t="array" ref="V246">MMS_PastureBeef_Soil_N2ODirect_Equations.VEERG_4_2_1_3__2_TotalNitrogenExcretedToPastureRangeAndPaddock(V214,V194,V230)</f>
        <v>#REF!</v>
      </c>
      <c r="W246" s="52" t="e" cm="1">
        <f t="array" ref="W246">MMS_PastureBeef_Soil_N2ODirect_Equations.VEERG_4_2_1_3__2_TotalNitrogenExcretedToPastureRangeAndPaddock(W214,W194,W230)</f>
        <v>#REF!</v>
      </c>
      <c r="X246" s="52" t="e" cm="1">
        <f t="array" ref="X246">MMS_PastureBeef_Soil_N2ODirect_Equations.VEERG_4_2_1_3__2_TotalNitrogenExcretedToPastureRangeAndPaddock(X214,X194,X230)</f>
        <v>#REF!</v>
      </c>
      <c r="Y246" s="52" t="e" cm="1">
        <f t="array" ref="Y246">MMS_PastureBeef_Soil_N2ODirect_Equations.VEERG_4_2_1_3__2_TotalNitrogenExcretedToPastureRangeAndPaddock(Y214,Y194,Y230)</f>
        <v>#REF!</v>
      </c>
      <c r="Z246" s="52" t="e" cm="1">
        <f t="array" ref="Z246">MMS_PastureBeef_Soil_N2ODirect_Equations.VEERG_4_2_1_3__2_TotalNitrogenExcretedToPastureRangeAndPaddock(Z214,Z194,Z230)</f>
        <v>#REF!</v>
      </c>
      <c r="AA246" s="52" t="e" cm="1">
        <f t="array" ref="AA246">MMS_PastureBeef_Soil_N2ODirect_Equations.VEERG_4_2_1_3__2_TotalNitrogenExcretedToPastureRangeAndPaddock(AA214,AA194,AA230)</f>
        <v>#REF!</v>
      </c>
      <c r="AB246" s="52" t="e" cm="1">
        <f t="array" ref="AB246">MMS_PastureBeef_Soil_N2ODirect_Equations.VEERG_4_2_1_3__2_TotalNitrogenExcretedToPastureRangeAndPaddock(AB214,AB194,AB230)</f>
        <v>#REF!</v>
      </c>
      <c r="AC246" s="52" t="e" cm="1">
        <f t="array" ref="AC246">MMS_PastureBeef_Soil_N2ODirect_Equations.VEERG_4_2_1_3__2_TotalNitrogenExcretedToPastureRangeAndPaddock(AC214,AC194,AC230)</f>
        <v>#REF!</v>
      </c>
      <c r="AD246" s="52" t="e" cm="1">
        <f t="array" ref="AD246">MMS_PastureBeef_Soil_N2ODirect_Equations.VEERG_4_2_1_3__2_TotalNitrogenExcretedToPastureRangeAndPaddock(AD214,AD194,AD230)</f>
        <v>#REF!</v>
      </c>
      <c r="AE246" s="2" t="str">
        <f t="shared" si="14"/>
        <v>kg N</v>
      </c>
    </row>
    <row r="247" spans="19:32" ht="20.100000000000001" customHeight="1" x14ac:dyDescent="0.25">
      <c r="T247" s="52" t="str">
        <f>TEXT(EDATE('Input - Site'!$E$12,7), "mmmm yyyy")</f>
        <v>August 2024</v>
      </c>
      <c r="U247" s="52" t="e" cm="1">
        <f t="array" ref="U247">MMS_PastureBeef_Soil_N2ODirect_Equations.VEERG_4_2_1_3__2_TotalNitrogenExcretedToPastureRangeAndPaddock(U215,U195,U231)</f>
        <v>#REF!</v>
      </c>
      <c r="V247" s="52" t="e" cm="1">
        <f t="array" ref="V247">MMS_PastureBeef_Soil_N2ODirect_Equations.VEERG_4_2_1_3__2_TotalNitrogenExcretedToPastureRangeAndPaddock(V215,V195,V231)</f>
        <v>#REF!</v>
      </c>
      <c r="W247" s="52" t="e" cm="1">
        <f t="array" ref="W247">MMS_PastureBeef_Soil_N2ODirect_Equations.VEERG_4_2_1_3__2_TotalNitrogenExcretedToPastureRangeAndPaddock(W215,W195,W231)</f>
        <v>#REF!</v>
      </c>
      <c r="X247" s="52" t="e" cm="1">
        <f t="array" ref="X247">MMS_PastureBeef_Soil_N2ODirect_Equations.VEERG_4_2_1_3__2_TotalNitrogenExcretedToPastureRangeAndPaddock(X215,X195,X231)</f>
        <v>#REF!</v>
      </c>
      <c r="Y247" s="52" t="e" cm="1">
        <f t="array" ref="Y247">MMS_PastureBeef_Soil_N2ODirect_Equations.VEERG_4_2_1_3__2_TotalNitrogenExcretedToPastureRangeAndPaddock(Y215,Y195,Y231)</f>
        <v>#REF!</v>
      </c>
      <c r="Z247" s="52" t="e" cm="1">
        <f t="array" ref="Z247">MMS_PastureBeef_Soil_N2ODirect_Equations.VEERG_4_2_1_3__2_TotalNitrogenExcretedToPastureRangeAndPaddock(Z215,Z195,Z231)</f>
        <v>#REF!</v>
      </c>
      <c r="AA247" s="52" t="e" cm="1">
        <f t="array" ref="AA247">MMS_PastureBeef_Soil_N2ODirect_Equations.VEERG_4_2_1_3__2_TotalNitrogenExcretedToPastureRangeAndPaddock(AA215,AA195,AA231)</f>
        <v>#REF!</v>
      </c>
      <c r="AB247" s="52" t="e" cm="1">
        <f t="array" ref="AB247">MMS_PastureBeef_Soil_N2ODirect_Equations.VEERG_4_2_1_3__2_TotalNitrogenExcretedToPastureRangeAndPaddock(AB215,AB195,AB231)</f>
        <v>#REF!</v>
      </c>
      <c r="AC247" s="52" t="e" cm="1">
        <f t="array" ref="AC247">MMS_PastureBeef_Soil_N2ODirect_Equations.VEERG_4_2_1_3__2_TotalNitrogenExcretedToPastureRangeAndPaddock(AC215,AC195,AC231)</f>
        <v>#REF!</v>
      </c>
      <c r="AD247" s="52" t="e" cm="1">
        <f t="array" ref="AD247">MMS_PastureBeef_Soil_N2ODirect_Equations.VEERG_4_2_1_3__2_TotalNitrogenExcretedToPastureRangeAndPaddock(AD215,AD195,AD231)</f>
        <v>#REF!</v>
      </c>
      <c r="AE247" s="2" t="str">
        <f t="shared" si="14"/>
        <v>kg N</v>
      </c>
    </row>
    <row r="248" spans="19:32" ht="20.100000000000001" customHeight="1" x14ac:dyDescent="0.25">
      <c r="T248" s="52" t="str">
        <f>TEXT(EDATE('Input - Site'!$E$12,8), "mmmm yyyy")</f>
        <v>September 2024</v>
      </c>
      <c r="U248" s="52" t="e" cm="1">
        <f t="array" ref="U248">MMS_PastureBeef_Soil_N2ODirect_Equations.VEERG_4_2_1_3__2_TotalNitrogenExcretedToPastureRangeAndPaddock(U216,U196,U232)</f>
        <v>#REF!</v>
      </c>
      <c r="V248" s="52" t="e" cm="1">
        <f t="array" ref="V248">MMS_PastureBeef_Soil_N2ODirect_Equations.VEERG_4_2_1_3__2_TotalNitrogenExcretedToPastureRangeAndPaddock(V216,V196,V232)</f>
        <v>#REF!</v>
      </c>
      <c r="W248" s="52" t="e" cm="1">
        <f t="array" ref="W248">MMS_PastureBeef_Soil_N2ODirect_Equations.VEERG_4_2_1_3__2_TotalNitrogenExcretedToPastureRangeAndPaddock(W216,W196,W232)</f>
        <v>#REF!</v>
      </c>
      <c r="X248" s="52" t="e" cm="1">
        <f t="array" ref="X248">MMS_PastureBeef_Soil_N2ODirect_Equations.VEERG_4_2_1_3__2_TotalNitrogenExcretedToPastureRangeAndPaddock(X216,X196,X232)</f>
        <v>#REF!</v>
      </c>
      <c r="Y248" s="52" t="e" cm="1">
        <f t="array" ref="Y248">MMS_PastureBeef_Soil_N2ODirect_Equations.VEERG_4_2_1_3__2_TotalNitrogenExcretedToPastureRangeAndPaddock(Y216,Y196,Y232)</f>
        <v>#REF!</v>
      </c>
      <c r="Z248" s="52" t="e" cm="1">
        <f t="array" ref="Z248">MMS_PastureBeef_Soil_N2ODirect_Equations.VEERG_4_2_1_3__2_TotalNitrogenExcretedToPastureRangeAndPaddock(Z216,Z196,Z232)</f>
        <v>#REF!</v>
      </c>
      <c r="AA248" s="52" t="e" cm="1">
        <f t="array" ref="AA248">MMS_PastureBeef_Soil_N2ODirect_Equations.VEERG_4_2_1_3__2_TotalNitrogenExcretedToPastureRangeAndPaddock(AA216,AA196,AA232)</f>
        <v>#REF!</v>
      </c>
      <c r="AB248" s="52" t="e" cm="1">
        <f t="array" ref="AB248">MMS_PastureBeef_Soil_N2ODirect_Equations.VEERG_4_2_1_3__2_TotalNitrogenExcretedToPastureRangeAndPaddock(AB216,AB196,AB232)</f>
        <v>#REF!</v>
      </c>
      <c r="AC248" s="52" t="e" cm="1">
        <f t="array" ref="AC248">MMS_PastureBeef_Soil_N2ODirect_Equations.VEERG_4_2_1_3__2_TotalNitrogenExcretedToPastureRangeAndPaddock(AC216,AC196,AC232)</f>
        <v>#REF!</v>
      </c>
      <c r="AD248" s="52" t="e" cm="1">
        <f t="array" ref="AD248">MMS_PastureBeef_Soil_N2ODirect_Equations.VEERG_4_2_1_3__2_TotalNitrogenExcretedToPastureRangeAndPaddock(AD216,AD196,AD232)</f>
        <v>#REF!</v>
      </c>
      <c r="AE248" s="2" t="str">
        <f t="shared" si="14"/>
        <v>kg N</v>
      </c>
    </row>
    <row r="249" spans="19:32" ht="20.100000000000001" customHeight="1" x14ac:dyDescent="0.25">
      <c r="T249" s="52" t="str">
        <f>TEXT(EDATE('Input - Site'!$E$12,9), "mmmm yyyy")</f>
        <v>October 2024</v>
      </c>
      <c r="U249" s="52" t="e" cm="1">
        <f t="array" ref="U249">MMS_PastureBeef_Soil_N2ODirect_Equations.VEERG_4_2_1_3__2_TotalNitrogenExcretedToPastureRangeAndPaddock(U217,U197,U233)</f>
        <v>#REF!</v>
      </c>
      <c r="V249" s="52" t="e" cm="1">
        <f t="array" ref="V249">MMS_PastureBeef_Soil_N2ODirect_Equations.VEERG_4_2_1_3__2_TotalNitrogenExcretedToPastureRangeAndPaddock(V217,V197,V233)</f>
        <v>#REF!</v>
      </c>
      <c r="W249" s="52" t="e" cm="1">
        <f t="array" ref="W249">MMS_PastureBeef_Soil_N2ODirect_Equations.VEERG_4_2_1_3__2_TotalNitrogenExcretedToPastureRangeAndPaddock(W217,W197,W233)</f>
        <v>#REF!</v>
      </c>
      <c r="X249" s="52" t="e" cm="1">
        <f t="array" ref="X249">MMS_PastureBeef_Soil_N2ODirect_Equations.VEERG_4_2_1_3__2_TotalNitrogenExcretedToPastureRangeAndPaddock(X217,X197,X233)</f>
        <v>#REF!</v>
      </c>
      <c r="Y249" s="52" t="e" cm="1">
        <f t="array" ref="Y249">MMS_PastureBeef_Soil_N2ODirect_Equations.VEERG_4_2_1_3__2_TotalNitrogenExcretedToPastureRangeAndPaddock(Y217,Y197,Y233)</f>
        <v>#REF!</v>
      </c>
      <c r="Z249" s="52" t="e" cm="1">
        <f t="array" ref="Z249">MMS_PastureBeef_Soil_N2ODirect_Equations.VEERG_4_2_1_3__2_TotalNitrogenExcretedToPastureRangeAndPaddock(Z217,Z197,Z233)</f>
        <v>#REF!</v>
      </c>
      <c r="AA249" s="52" t="e" cm="1">
        <f t="array" ref="AA249">MMS_PastureBeef_Soil_N2ODirect_Equations.VEERG_4_2_1_3__2_TotalNitrogenExcretedToPastureRangeAndPaddock(AA217,AA197,AA233)</f>
        <v>#REF!</v>
      </c>
      <c r="AB249" s="52" t="e" cm="1">
        <f t="array" ref="AB249">MMS_PastureBeef_Soil_N2ODirect_Equations.VEERG_4_2_1_3__2_TotalNitrogenExcretedToPastureRangeAndPaddock(AB217,AB197,AB233)</f>
        <v>#REF!</v>
      </c>
      <c r="AC249" s="52" t="e" cm="1">
        <f t="array" ref="AC249">MMS_PastureBeef_Soil_N2ODirect_Equations.VEERG_4_2_1_3__2_TotalNitrogenExcretedToPastureRangeAndPaddock(AC217,AC197,AC233)</f>
        <v>#REF!</v>
      </c>
      <c r="AD249" s="52" t="e" cm="1">
        <f t="array" ref="AD249">MMS_PastureBeef_Soil_N2ODirect_Equations.VEERG_4_2_1_3__2_TotalNitrogenExcretedToPastureRangeAndPaddock(AD217,AD197,AD233)</f>
        <v>#REF!</v>
      </c>
      <c r="AE249" s="2" t="str">
        <f t="shared" si="14"/>
        <v>kg N</v>
      </c>
    </row>
    <row r="250" spans="19:32" ht="20.100000000000001" customHeight="1" x14ac:dyDescent="0.25">
      <c r="T250" s="52" t="str">
        <f>TEXT(EDATE('Input - Site'!$E$12,10), "mmmm yyyy")</f>
        <v>November 2024</v>
      </c>
      <c r="U250" s="52" t="e" cm="1">
        <f t="array" ref="U250">MMS_PastureBeef_Soil_N2ODirect_Equations.VEERG_4_2_1_3__2_TotalNitrogenExcretedToPastureRangeAndPaddock(U218,U198,U234)</f>
        <v>#REF!</v>
      </c>
      <c r="V250" s="52" t="e" cm="1">
        <f t="array" ref="V250">MMS_PastureBeef_Soil_N2ODirect_Equations.VEERG_4_2_1_3__2_TotalNitrogenExcretedToPastureRangeAndPaddock(V218,V198,V234)</f>
        <v>#REF!</v>
      </c>
      <c r="W250" s="52" t="e" cm="1">
        <f t="array" ref="W250">MMS_PastureBeef_Soil_N2ODirect_Equations.VEERG_4_2_1_3__2_TotalNitrogenExcretedToPastureRangeAndPaddock(W218,W198,W234)</f>
        <v>#REF!</v>
      </c>
      <c r="X250" s="52" t="e" cm="1">
        <f t="array" ref="X250">MMS_PastureBeef_Soil_N2ODirect_Equations.VEERG_4_2_1_3__2_TotalNitrogenExcretedToPastureRangeAndPaddock(X218,X198,X234)</f>
        <v>#REF!</v>
      </c>
      <c r="Y250" s="52" t="e" cm="1">
        <f t="array" ref="Y250">MMS_PastureBeef_Soil_N2ODirect_Equations.VEERG_4_2_1_3__2_TotalNitrogenExcretedToPastureRangeAndPaddock(Y218,Y198,Y234)</f>
        <v>#REF!</v>
      </c>
      <c r="Z250" s="52" t="e" cm="1">
        <f t="array" ref="Z250">MMS_PastureBeef_Soil_N2ODirect_Equations.VEERG_4_2_1_3__2_TotalNitrogenExcretedToPastureRangeAndPaddock(Z218,Z198,Z234)</f>
        <v>#REF!</v>
      </c>
      <c r="AA250" s="52" t="e" cm="1">
        <f t="array" ref="AA250">MMS_PastureBeef_Soil_N2ODirect_Equations.VEERG_4_2_1_3__2_TotalNitrogenExcretedToPastureRangeAndPaddock(AA218,AA198,AA234)</f>
        <v>#REF!</v>
      </c>
      <c r="AB250" s="52" t="e" cm="1">
        <f t="array" ref="AB250">MMS_PastureBeef_Soil_N2ODirect_Equations.VEERG_4_2_1_3__2_TotalNitrogenExcretedToPastureRangeAndPaddock(AB218,AB198,AB234)</f>
        <v>#REF!</v>
      </c>
      <c r="AC250" s="52" t="e" cm="1">
        <f t="array" ref="AC250">MMS_PastureBeef_Soil_N2ODirect_Equations.VEERG_4_2_1_3__2_TotalNitrogenExcretedToPastureRangeAndPaddock(AC218,AC198,AC234)</f>
        <v>#REF!</v>
      </c>
      <c r="AD250" s="52" t="e" cm="1">
        <f t="array" ref="AD250">MMS_PastureBeef_Soil_N2ODirect_Equations.VEERG_4_2_1_3__2_TotalNitrogenExcretedToPastureRangeAndPaddock(AD218,AD198,AD234)</f>
        <v>#REF!</v>
      </c>
      <c r="AE250" s="2" t="str">
        <f t="shared" si="14"/>
        <v>kg N</v>
      </c>
    </row>
    <row r="251" spans="19:32" ht="20.100000000000001" customHeight="1" x14ac:dyDescent="0.25">
      <c r="T251" s="52" t="str">
        <f>TEXT(EDATE('Input - Site'!$E$12,11), "mmmm yyyy")</f>
        <v>December 2024</v>
      </c>
      <c r="U251" s="52" t="e" cm="1">
        <f t="array" ref="U251">MMS_PastureBeef_Soil_N2ODirect_Equations.VEERG_4_2_1_3__2_TotalNitrogenExcretedToPastureRangeAndPaddock(U219,U199,U235)</f>
        <v>#REF!</v>
      </c>
      <c r="V251" s="52" t="e" cm="1">
        <f t="array" ref="V251">MMS_PastureBeef_Soil_N2ODirect_Equations.VEERG_4_2_1_3__2_TotalNitrogenExcretedToPastureRangeAndPaddock(V219,V199,V235)</f>
        <v>#REF!</v>
      </c>
      <c r="W251" s="52" t="e" cm="1">
        <f t="array" ref="W251">MMS_PastureBeef_Soil_N2ODirect_Equations.VEERG_4_2_1_3__2_TotalNitrogenExcretedToPastureRangeAndPaddock(W219,W199,W235)</f>
        <v>#REF!</v>
      </c>
      <c r="X251" s="52" t="e" cm="1">
        <f t="array" ref="X251">MMS_PastureBeef_Soil_N2ODirect_Equations.VEERG_4_2_1_3__2_TotalNitrogenExcretedToPastureRangeAndPaddock(X219,X199,X235)</f>
        <v>#REF!</v>
      </c>
      <c r="Y251" s="52" t="e" cm="1">
        <f t="array" ref="Y251">MMS_PastureBeef_Soil_N2ODirect_Equations.VEERG_4_2_1_3__2_TotalNitrogenExcretedToPastureRangeAndPaddock(Y219,Y199,Y235)</f>
        <v>#REF!</v>
      </c>
      <c r="Z251" s="52" t="e" cm="1">
        <f t="array" ref="Z251">MMS_PastureBeef_Soil_N2ODirect_Equations.VEERG_4_2_1_3__2_TotalNitrogenExcretedToPastureRangeAndPaddock(Z219,Z199,Z235)</f>
        <v>#REF!</v>
      </c>
      <c r="AA251" s="52" t="e" cm="1">
        <f t="array" ref="AA251">MMS_PastureBeef_Soil_N2ODirect_Equations.VEERG_4_2_1_3__2_TotalNitrogenExcretedToPastureRangeAndPaddock(AA219,AA199,AA235)</f>
        <v>#REF!</v>
      </c>
      <c r="AB251" s="52" t="e" cm="1">
        <f t="array" ref="AB251">MMS_PastureBeef_Soil_N2ODirect_Equations.VEERG_4_2_1_3__2_TotalNitrogenExcretedToPastureRangeAndPaddock(AB219,AB199,AB235)</f>
        <v>#REF!</v>
      </c>
      <c r="AC251" s="52" t="e" cm="1">
        <f t="array" ref="AC251">MMS_PastureBeef_Soil_N2ODirect_Equations.VEERG_4_2_1_3__2_TotalNitrogenExcretedToPastureRangeAndPaddock(AC219,AC199,AC235)</f>
        <v>#REF!</v>
      </c>
      <c r="AD251" s="52" t="e" cm="1">
        <f t="array" ref="AD251">MMS_PastureBeef_Soil_N2ODirect_Equations.VEERG_4_2_1_3__2_TotalNitrogenExcretedToPastureRangeAndPaddock(AD219,AD199,AD235)</f>
        <v>#REF!</v>
      </c>
      <c r="AE251" s="2" t="str">
        <f t="shared" si="14"/>
        <v>kg N</v>
      </c>
    </row>
    <row r="252" spans="19:32" ht="20.100000000000001" customHeight="1" x14ac:dyDescent="0.25"/>
    <row r="253" spans="19:32" ht="20.100000000000001" customHeight="1" x14ac:dyDescent="0.25">
      <c r="T253" s="113" t="s">
        <v>196</v>
      </c>
      <c r="U253" s="45" t="e">
        <f>SUM(U240:AD251)</f>
        <v>#REF!</v>
      </c>
      <c r="V253" s="54" t="str">
        <f t="shared" ref="V253" si="15">$E$180</f>
        <v>kg N</v>
      </c>
    </row>
    <row r="254" spans="19:32" ht="20.100000000000001" customHeight="1" x14ac:dyDescent="0.25"/>
    <row r="255" spans="19:32" ht="20.100000000000001" customHeight="1" x14ac:dyDescent="0.25"/>
    <row r="256" spans="19:32" ht="20.100000000000001" customHeight="1" x14ac:dyDescent="0.25"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</row>
    <row r="257" spans="20:23" ht="20.100000000000001" customHeight="1" x14ac:dyDescent="0.25">
      <c r="T257" s="6" t="str" cm="1">
        <f t="array" ref="T257">MMS_PastureBeef_Soil_N2ODirect_Equations.VEERG_4_2_1_3__1_DirectNitrousOxideEmissionsOnPasture_Title()</f>
        <v>Total annual direct nitrous oxide emissions from agricultural soils from deposition of urine and dung</v>
      </c>
    </row>
    <row r="258" spans="20:23" ht="20.100000000000001" customHeight="1" x14ac:dyDescent="0.25"/>
    <row r="259" spans="20:23" ht="20.100000000000001" customHeight="1" x14ac:dyDescent="0.25">
      <c r="T259" s="101" t="s">
        <v>107</v>
      </c>
      <c r="U259" s="102" t="e" cm="1">
        <f t="array" ref="U259">MMS_PastureBeef_Soil_N2ODirect_Equations.VEERG_4_2_1_3__1_DirectNitrousOxideEmissionsOnPasture($U$253,$H$223,$H$224)</f>
        <v>#REF!</v>
      </c>
      <c r="V259" s="103" t="str">
        <f>$E$220</f>
        <v>t N2O</v>
      </c>
    </row>
    <row r="260" spans="20:23" ht="20.100000000000001" customHeight="1" x14ac:dyDescent="0.25"/>
    <row r="261" spans="20:23" ht="20.100000000000001" customHeight="1" x14ac:dyDescent="0.25">
      <c r="T261" s="57" t="str" cm="1">
        <f t="array" ref="T261:U262">Common_Equations.Common_ConvertN2OToCO2e_Arguments()</f>
        <v>EN2O</v>
      </c>
      <c r="U261" s="58" t="str">
        <v>Nitrous oxide emissions (t N2O)</v>
      </c>
      <c r="V261" s="104"/>
      <c r="W261" s="52" t="e">
        <f>U259</f>
        <v>#REF!</v>
      </c>
    </row>
    <row r="262" spans="20:23" ht="20.100000000000001" customHeight="1" x14ac:dyDescent="0.25">
      <c r="T262" s="57" t="str">
        <v>GWPN2O</v>
      </c>
      <c r="U262" s="58" t="str">
        <v>Global warming potential for nitrous oxide (t CO2-e / t N2O)</v>
      </c>
      <c r="V262" s="104"/>
      <c r="W262" s="52">
        <f>Common_InputFunctions.Utility_LookupValueInTableNumber("N2O",Table_GWPData[Gas],Table_GWPData[CO2-e factor])</f>
        <v>265</v>
      </c>
    </row>
    <row r="263" spans="20:23" ht="20.100000000000001" customHeight="1" x14ac:dyDescent="0.25"/>
    <row r="264" spans="20:23" ht="20.100000000000001" customHeight="1" x14ac:dyDescent="0.25">
      <c r="T264" s="45" t="s">
        <v>102</v>
      </c>
      <c r="U264" s="45" t="e" cm="1">
        <f t="array" ref="U264">Common_Equations.Common_ConvertN2OToCO2e(W261,W262)</f>
        <v>#REF!</v>
      </c>
      <c r="V264" s="105" t="str" cm="1">
        <f t="array" ref="V264">Common_Equations.Common_ConvertN2OToCO2e_Unit()</f>
        <v>t CO2e</v>
      </c>
    </row>
    <row r="265" spans="20:23" ht="20.100000000000001" customHeight="1" x14ac:dyDescent="0.25"/>
    <row r="266" spans="20:23" ht="20.100000000000001" customHeight="1" x14ac:dyDescent="0.25"/>
    <row r="267" spans="20:23" ht="20.100000000000001" customHeight="1" x14ac:dyDescent="0.25"/>
    <row r="268" spans="20:23" ht="20.100000000000001" customHeight="1" x14ac:dyDescent="0.25"/>
    <row r="269" spans="20:23" ht="20.100000000000001" customHeight="1" x14ac:dyDescent="0.25"/>
    <row r="270" spans="20:23" ht="20.100000000000001" customHeight="1" x14ac:dyDescent="0.25"/>
    <row r="271" spans="20:23" ht="20.100000000000001" customHeight="1" x14ac:dyDescent="0.25"/>
    <row r="272" spans="20:23" ht="20.100000000000001" customHeight="1" x14ac:dyDescent="0.25"/>
    <row r="273" ht="20.100000000000001" customHeight="1" x14ac:dyDescent="0.25"/>
    <row r="274" ht="20.100000000000001" customHeight="1" x14ac:dyDescent="0.25"/>
    <row r="275" ht="20.100000000000001" customHeight="1" x14ac:dyDescent="0.25"/>
    <row r="276" ht="20.100000000000001" customHeight="1" x14ac:dyDescent="0.25"/>
    <row r="277" ht="20.100000000000001" customHeight="1" x14ac:dyDescent="0.25"/>
    <row r="278" ht="20.100000000000001" customHeight="1" x14ac:dyDescent="0.25"/>
    <row r="279" ht="20.100000000000001" customHeight="1" x14ac:dyDescent="0.25"/>
    <row r="280" ht="20.100000000000001" customHeight="1" x14ac:dyDescent="0.25"/>
    <row r="281" ht="20.100000000000001" customHeight="1" x14ac:dyDescent="0.25"/>
    <row r="282" ht="20.100000000000001" customHeight="1" x14ac:dyDescent="0.25"/>
    <row r="283" ht="20.100000000000001" customHeight="1" x14ac:dyDescent="0.25"/>
    <row r="284" ht="20.100000000000001" customHeight="1" x14ac:dyDescent="0.25"/>
    <row r="285" ht="20.100000000000001" customHeight="1" x14ac:dyDescent="0.25"/>
    <row r="286" ht="20.100000000000001" customHeight="1" x14ac:dyDescent="0.25"/>
    <row r="287" ht="20.100000000000001" customHeight="1" x14ac:dyDescent="0.25"/>
    <row r="288" ht="20.100000000000001" customHeight="1" x14ac:dyDescent="0.25"/>
    <row r="289" ht="20.100000000000001" customHeight="1" x14ac:dyDescent="0.25"/>
    <row r="290" ht="20.100000000000001" customHeight="1" x14ac:dyDescent="0.25"/>
    <row r="291" ht="20.100000000000001" customHeight="1" x14ac:dyDescent="0.25"/>
  </sheetData>
  <dataValidations disablePrompts="1" count="1">
    <dataValidation operator="equal" allowBlank="1" showInputMessage="1" showErrorMessage="1" sqref="E271 F79 U274 D80:E80 E101:P101 E74:F74 F106:P106 U271 E224 E274 U114:AF114 E239 E236 E262 U236 E265" xr:uid="{CE18DC45-74F3-46B3-972B-5F44E5579A05}"/>
  </dataValidation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5B34D-36DA-422C-84BA-A4E3FCAF2C16}">
  <dimension ref="A1:T165"/>
  <sheetViews>
    <sheetView showGridLines="0" workbookViewId="0">
      <selection activeCell="H44" sqref="H44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4.7109375" style="1" customWidth="1"/>
    <col min="10" max="10" width="4.7109375" customWidth="1"/>
    <col min="11" max="11" width="4.7109375" style="1" customWidth="1"/>
    <col min="12" max="19" width="30.7109375" style="1" customWidth="1"/>
    <col min="20" max="20" width="4.7109375" style="1" customWidth="1"/>
  </cols>
  <sheetData>
    <row r="1" spans="1:20" s="8" customFormat="1" ht="30" customHeight="1" x14ac:dyDescent="0.35">
      <c r="A1" s="8" t="e" vm="1">
        <v>#VALUE!</v>
      </c>
      <c r="C1" s="8" t="s">
        <v>201</v>
      </c>
    </row>
    <row r="2" spans="1:20" s="9" customFormat="1" ht="20.100000000000001" customHeight="1" x14ac:dyDescent="0.25"/>
    <row r="3" spans="1:20" ht="20.100000000000001" customHeight="1" x14ac:dyDescent="0.25">
      <c r="A3" s="17" t="str">
        <f>HYPERLINK("#'Home'!A1", "Home")</f>
        <v>Home</v>
      </c>
      <c r="C3" s="4"/>
      <c r="D3" s="4" t="s">
        <v>105</v>
      </c>
      <c r="E3" s="4"/>
      <c r="F3" s="4"/>
      <c r="G3" s="4"/>
      <c r="H3" s="4"/>
      <c r="I3" s="4"/>
      <c r="K3" s="4"/>
      <c r="L3" s="4" t="s">
        <v>106</v>
      </c>
      <c r="M3" s="4"/>
      <c r="N3" s="4"/>
      <c r="O3" s="4"/>
      <c r="P3" s="4"/>
      <c r="Q3" s="4"/>
      <c r="R3" s="4"/>
      <c r="S3" s="4"/>
      <c r="T3" s="4"/>
    </row>
    <row r="4" spans="1:20" ht="20.100000000000001" customHeight="1" x14ac:dyDescent="0.25">
      <c r="A4" s="17" t="str">
        <f>HYPERLINK("#'Results'!A1", "Results")</f>
        <v>Results</v>
      </c>
    </row>
    <row r="5" spans="1:20" ht="20.100000000000001" customHeight="1" x14ac:dyDescent="0.25">
      <c r="A5" s="16"/>
      <c r="D5" s="6" t="str" cm="1">
        <f t="array" ref="D5">MMS_PastureBeef_Soil_AtmosphericDeposition_Equations.VEERG_4_2_1_5__2_MassOfNitrogenVolatilisedOnPasture_Title()</f>
        <v>Mass of nitrogen volatilised</v>
      </c>
    </row>
    <row r="6" spans="1:20" ht="20.100000000000001" customHeight="1" x14ac:dyDescent="0.25">
      <c r="A6" s="20" t="s">
        <v>3</v>
      </c>
      <c r="D6" s="5" t="str" cm="1">
        <f t="array" ref="D6">MMS_PastureBeef_Soil_AtmosphericDeposition_Equations.VEERG_4_2_1_5__2_MassOfNitrogenVolatilisedOnPasture_Source()</f>
        <v>VEERG 2026: 4.2.1.5, Equation (2)</v>
      </c>
    </row>
    <row r="7" spans="1:20" ht="20.100000000000001" customHeight="1" x14ac:dyDescent="0.25">
      <c r="A7" s="17" t="str">
        <f>HYPERLINK("#'Input - Site'!A1", "Site")</f>
        <v>Site</v>
      </c>
      <c r="D7" s="13" t="s">
        <v>26</v>
      </c>
      <c r="E7" s="13" t="str" cm="1">
        <f t="array" aca="1" ref="E7" ca="1">Common_InputFunctions.Utility_DisplayFunctionName(E16)</f>
        <v>=MMS_PastureBeef_Soil_AtmosphericDeposition_Equations.VEERG_4_2_1_5__2_MassOfNitrogenVolatilisedOnPasture</v>
      </c>
    </row>
    <row r="8" spans="1:20" ht="20.100000000000001" customHeight="1" x14ac:dyDescent="0.25">
      <c r="A8" s="17" t="str">
        <f>HYPERLINK("#'Input - Swine'!A1", "Swine")</f>
        <v>Swine</v>
      </c>
    </row>
    <row r="9" spans="1:20" ht="20.100000000000001" customHeight="1" x14ac:dyDescent="0.25">
      <c r="A9" s="17"/>
    </row>
    <row r="10" spans="1:20" ht="20.100000000000001" customHeight="1" x14ac:dyDescent="0.25">
      <c r="A10" s="19" t="s">
        <v>76</v>
      </c>
      <c r="D10" s="53" t="s">
        <v>29</v>
      </c>
      <c r="E10" s="1" t="str" cm="1">
        <f t="array" ref="E10">MMS_PastureBeef_Soil_AtmosphericDeposition_Equations.VEERG_4_2_1_5__2_MassOfNitrogenVolatilisedOnPasture_Variable()</f>
        <v>M_vol</v>
      </c>
    </row>
    <row r="11" spans="1:20" ht="20.100000000000001" customHeight="1" x14ac:dyDescent="0.25">
      <c r="A11" s="17" t="str">
        <f>HYPERLINK("#'4.2.1.1-2 Methane'!A1", "4.2.1.1-2 Methane")</f>
        <v>4.2.1.1-2 Methane</v>
      </c>
      <c r="D11" s="53" t="s">
        <v>19</v>
      </c>
      <c r="E11" s="54" t="str" cm="1">
        <f t="array" ref="E11">MMS_PastureBeef_Soil_AtmosphericDeposition_Equations.VEERG_4_2_1_5__2_MassOfNitrogenVolatilisedOnPasture_Unit()</f>
        <v>kg N</v>
      </c>
    </row>
    <row r="12" spans="1:20" ht="20.100000000000001" customHeight="1" x14ac:dyDescent="0.25">
      <c r="A12" s="17" t="str">
        <f>HYPERLINK("#'4.2.1.3-4 Soil direct N2O'!A1", "4.2.1.3-4 Soil direct N2O")</f>
        <v>4.2.1.3-4 Soil direct N2O</v>
      </c>
    </row>
    <row r="13" spans="1:20" ht="20.100000000000001" customHeight="1" x14ac:dyDescent="0.25">
      <c r="A13" s="17" t="str">
        <f>HYPERLINK("#'4.2.1.5-6 Soil Atmos Dep'!A1", "4.2.1.5-6 Soil atm. deposition")</f>
        <v>4.2.1.5-6 Soil atm. deposition</v>
      </c>
      <c r="D13" s="57" t="str" cm="1">
        <f t="array" ref="D13:E14">MMS_PastureBeef_Soil_AtmosphericDeposition_Equations.VEERG_4_2_1_5__2_MassOfNitrogenVolatilisedOnPasture_Arguments()</f>
        <v>AE</v>
      </c>
      <c r="E13" s="58" t="str">
        <v>total mass of nitrogen excreted on PRP for beef cattle (kg N)</v>
      </c>
      <c r="F13" s="100"/>
      <c r="G13" s="59"/>
      <c r="H13" s="57" t="e">
        <f>'4.2.1.3-4 Soil direct N20'!$E$210</f>
        <v>#REF!</v>
      </c>
      <c r="L13" s="57" t="str" cm="1">
        <f t="array" ref="L13:M14">MMS_PastureBeef_Soil_AtmosphericDeposition_Equations.VEERG_4_2_1_5__2_MassOfNitrogenVolatilisedOnPasture_Arguments()</f>
        <v>AE</v>
      </c>
      <c r="M13" s="58" t="str">
        <v>total mass of nitrogen excreted on PRP for beef cattle (kg N)</v>
      </c>
      <c r="N13" s="100"/>
      <c r="O13" s="59"/>
      <c r="P13" s="57" t="e">
        <f>'4.2.1.3-4 Soil direct N20'!$U$253</f>
        <v>#REF!</v>
      </c>
    </row>
    <row r="14" spans="1:20" ht="20.100000000000001" customHeight="1" x14ac:dyDescent="0.25">
      <c r="A14" s="17" t="str">
        <f>HYPERLINK("#'4.2.1.7-8 Soil leach runoff'!A1", "4.2.1.7-8 Soil leach &amp; runoff")</f>
        <v>4.2.1.7-8 Soil leach &amp; runoff</v>
      </c>
      <c r="D14" s="57" t="str">
        <v>FracGASMsoil</v>
      </c>
      <c r="E14" s="58" t="str">
        <v>fraction of nitrogen volatilised from urine and faeces deposited on pasture ((kg NH3-N + NOx-N)/kg N)</v>
      </c>
      <c r="F14" s="100"/>
      <c r="G14" s="59"/>
      <c r="H14" s="57">
        <f>'Constants - Swine'!$D$432</f>
        <v>0</v>
      </c>
      <c r="L14" s="57" t="str">
        <v>FracGASMsoil</v>
      </c>
      <c r="M14" s="58" t="str">
        <v>fraction of nitrogen volatilised from urine and faeces deposited on pasture ((kg NH3-N + NOx-N)/kg N)</v>
      </c>
      <c r="N14" s="100"/>
      <c r="O14" s="59"/>
      <c r="P14" s="57"/>
    </row>
    <row r="15" spans="1:20" ht="20.100000000000001" customHeight="1" x14ac:dyDescent="0.25">
      <c r="A15" s="17"/>
    </row>
    <row r="16" spans="1:20" ht="20.100000000000001" customHeight="1" x14ac:dyDescent="0.25">
      <c r="A16" s="18" t="s">
        <v>4</v>
      </c>
      <c r="D16" s="113" t="s">
        <v>214</v>
      </c>
      <c r="E16" s="45" t="e" cm="1">
        <f t="array" ref="E16">MMS_PastureBeef_Soil_AtmosphericDeposition_Equations.VEERG_4_2_1_5__2_MassOfNitrogenVolatilisedOnPasture(H13,H14)</f>
        <v>#REF!</v>
      </c>
      <c r="F16" s="105" t="str">
        <f>E11</f>
        <v>kg N</v>
      </c>
      <c r="J16" s="56"/>
      <c r="L16" s="113" t="s">
        <v>214</v>
      </c>
      <c r="M16" s="45" t="e" cm="1">
        <f t="array" ref="M16">MMS_PastureBeef_Soil_AtmosphericDeposition_Equations.VEERG_4_2_1_5__2_MassOfNitrogenVolatilisedOnPasture(P13,$H$14)</f>
        <v>#REF!</v>
      </c>
      <c r="N16" s="105">
        <f>M11</f>
        <v>0</v>
      </c>
    </row>
    <row r="17" spans="1:20" ht="20.100000000000001" customHeight="1" x14ac:dyDescent="0.25">
      <c r="A17" s="17" t="str">
        <f>HYPERLINK("#'Constants - Swine'!A1", "Constants - Swine")</f>
        <v>Constants - Swine</v>
      </c>
      <c r="J17" s="56"/>
    </row>
    <row r="18" spans="1:20" ht="20.100000000000001" customHeight="1" x14ac:dyDescent="0.25">
      <c r="A18" s="17" t="str">
        <f>HYPERLINK("#'Constants - Livestock'!A1", "Constants - Livestock")</f>
        <v>Constants - Livestock</v>
      </c>
      <c r="J18" s="56"/>
    </row>
    <row r="19" spans="1:20" ht="20.100000000000001" customHeight="1" x14ac:dyDescent="0.25">
      <c r="A19" s="17" t="str">
        <f>HYPERLINK("#'Constants - Common'!A1", "Constants - Common")</f>
        <v>Constants - Common</v>
      </c>
      <c r="C19" s="45"/>
      <c r="D19" s="45"/>
      <c r="E19" s="45"/>
      <c r="F19" s="45"/>
      <c r="G19" s="45"/>
      <c r="H19" s="45"/>
      <c r="I19" s="45"/>
      <c r="J19" s="56"/>
      <c r="K19" s="45"/>
      <c r="L19" s="45"/>
      <c r="M19" s="45"/>
      <c r="N19" s="45"/>
      <c r="O19" s="45"/>
      <c r="P19" s="45"/>
      <c r="Q19" s="45"/>
      <c r="R19" s="45"/>
      <c r="S19" s="45"/>
      <c r="T19" s="45"/>
    </row>
    <row r="20" spans="1:20" ht="20.100000000000001" customHeight="1" x14ac:dyDescent="0.25">
      <c r="A20" s="17" t="str">
        <f>HYPERLINK("#'Acknowledgements'!A1", "Acknowledgements")</f>
        <v>Acknowledgements</v>
      </c>
      <c r="D20" s="6" t="str" cm="1">
        <f t="array" ref="D20">MMS_PastureBeef_Soil_AtmosphericDeposition_Equations.VEERG_4_2_1_5__1_AtmosphericDepositionEmissionsFromUrineAndDungOnPasture_Title()</f>
        <v>Atmospheric deposition emissions from urine and dung deposited on pasture</v>
      </c>
    </row>
    <row r="21" spans="1:20" ht="20.100000000000001" customHeight="1" x14ac:dyDescent="0.25">
      <c r="D21" s="5" t="str" cm="1">
        <f t="array" ref="D21">MMS_PastureBeef_Soil_AtmosphericDeposition_Equations.VEERG_4_2_1_5__1_AtmosphericDepositionEmissionsFromUrineAndDungOnPasture_Source()</f>
        <v>VEERG 2026: 4.2.1.5, Equation (1)</v>
      </c>
    </row>
    <row r="22" spans="1:20" ht="20.100000000000001" customHeight="1" x14ac:dyDescent="0.25">
      <c r="A22" s="17"/>
      <c r="D22" s="13" t="s">
        <v>26</v>
      </c>
      <c r="E22" s="13" t="str" cm="1">
        <f t="array" aca="1" ref="E22" ca="1">Common_InputFunctions.Utility_DisplayFunctionName($E$35)</f>
        <v>=MMS_PastureBeef_Soil_AtmosphericDeposition_Equations.VEERG_4_2_1_5__1_AtmosphericDepositionEmissionsFromUrineAndDungOnPasture</v>
      </c>
    </row>
    <row r="23" spans="1:20" ht="20.100000000000001" customHeight="1" x14ac:dyDescent="0.25">
      <c r="A23" s="17"/>
    </row>
    <row r="24" spans="1:20" ht="20.100000000000001" customHeight="1" x14ac:dyDescent="0.25">
      <c r="A24" s="17"/>
    </row>
    <row r="25" spans="1:20" ht="20.100000000000001" customHeight="1" x14ac:dyDescent="0.25">
      <c r="D25" s="53" t="s">
        <v>29</v>
      </c>
      <c r="E25" s="1" t="str" cm="1">
        <f t="array" ref="E25">MMS_PastureBeef_Soil_AtmosphericDeposition_Equations.VEERG_4_2_1_5__1_AtmosphericDepositionEmissionsFromUrineAndDungOnPasture_Variable()</f>
        <v>E_N2Oad</v>
      </c>
    </row>
    <row r="26" spans="1:20" ht="20.100000000000001" customHeight="1" x14ac:dyDescent="0.25">
      <c r="D26" s="53" t="s">
        <v>19</v>
      </c>
      <c r="E26" s="54" t="str" cm="1">
        <f t="array" ref="E26">MMS_PastureBeef_Soil_AtmosphericDeposition_Equations.VEERG_4_2_1_5__1_AtmosphericDepositionEmissionsFromUrineAndDungOnPasture_Unit()</f>
        <v>t N2O</v>
      </c>
    </row>
    <row r="27" spans="1:20" ht="20.100000000000001" customHeight="1" x14ac:dyDescent="0.25"/>
    <row r="28" spans="1:20" ht="20.100000000000001" customHeight="1" x14ac:dyDescent="0.25">
      <c r="D28" s="57" t="str" cm="1">
        <f t="array" ref="D28:E33">MMS_PastureBeef_Soil_AtmosphericDeposition_Equations.VEERG_4_2_1_5__1_AtmosphericDepositionEmissionsFromUrineAndDungOnPasture_Arguments()</f>
        <v>M_vol</v>
      </c>
      <c r="E28" s="58" t="str">
        <v>mass of nitrogen volatilised from urine and faeces deposited on pasture (kg N)</v>
      </c>
      <c r="F28" s="100"/>
      <c r="G28" s="59"/>
      <c r="H28" s="57" t="e">
        <f>E16</f>
        <v>#REF!</v>
      </c>
      <c r="L28" s="57" t="str" cm="1">
        <f t="array" ref="L28:M33">MMS_PastureBeef_Soil_AtmosphericDeposition_Equations.VEERG_4_2_1_5__1_AtmosphericDepositionEmissionsFromUrineAndDungOnPasture_Arguments()</f>
        <v>M_vol</v>
      </c>
      <c r="M28" s="58" t="str">
        <v>mass of nitrogen volatilised from urine and faeces deposited on pasture (kg N)</v>
      </c>
      <c r="N28" s="100"/>
      <c r="O28" s="59"/>
      <c r="P28" s="57" t="e">
        <f>M16</f>
        <v>#REF!</v>
      </c>
    </row>
    <row r="29" spans="1:20" ht="20.100000000000001" customHeight="1" x14ac:dyDescent="0.25">
      <c r="D29" s="57" t="str">
        <v>EF_N2O</v>
      </c>
      <c r="E29" s="58" t="str">
        <v>nitrous oxide emission factor for atmospheric deposition (kg N2O-N/kg N)</v>
      </c>
      <c r="F29" s="100"/>
      <c r="G29" s="59"/>
      <c r="H29" s="57" t="e">
        <f>Common_InputFunctions.Utility_LookupN2OEFFromProdIrrigationRainfall($H$31,$H$32,$H$33,Table_SourceData_Common_EFN2O[Production system only],Table_SourceData_Common_EFN2O[Irrigation method],Table_SourceData_Common_EFN2O[Rainfall zone],Table_SourceData_Common_EFN2O[EFN2O])</f>
        <v>#N/A</v>
      </c>
      <c r="L29" s="57" t="str">
        <v>EF_N2O</v>
      </c>
      <c r="M29" s="58" t="str">
        <v>nitrous oxide emission factor for atmospheric deposition (kg N2O-N/kg N)</v>
      </c>
      <c r="N29" s="100"/>
      <c r="O29" s="59"/>
      <c r="P29" s="57"/>
    </row>
    <row r="30" spans="1:20" ht="20.100000000000001" customHeight="1" x14ac:dyDescent="0.25">
      <c r="D30" s="57" t="str">
        <v>C_N2O</v>
      </c>
      <c r="E30" s="58" t="str">
        <v>factor to convert elemental mass of N2O to molecular mass</v>
      </c>
      <c r="F30" s="100"/>
      <c r="G30" s="59"/>
      <c r="H30" s="57">
        <f>Common_InputFunctions.Utility_LookupValueInTableNumber("N2O",Table_GasToMolecularConversionFactor[Gas],Table_GasToMolecularConversionFactor[Conversion factor combined])</f>
        <v>1.5714285714285714</v>
      </c>
      <c r="L30" s="57" t="str">
        <v>C_N2O</v>
      </c>
      <c r="M30" s="58" t="str">
        <v>factor to convert elemental mass of N2O to molecular mass</v>
      </c>
      <c r="N30" s="100"/>
      <c r="O30" s="59"/>
      <c r="P30" s="57"/>
    </row>
    <row r="31" spans="1:20" ht="20.100000000000001" customHeight="1" x14ac:dyDescent="0.25">
      <c r="D31" s="57" t="str">
        <v>j</v>
      </c>
      <c r="E31" s="58" t="str">
        <v>production system</v>
      </c>
      <c r="F31" s="100"/>
      <c r="G31" s="59"/>
      <c r="H31" s="57" t="e">
        <f>'Input - Swine'!#REF!</f>
        <v>#REF!</v>
      </c>
      <c r="L31" s="57" t="str">
        <v>j</v>
      </c>
      <c r="M31" s="58" t="str">
        <v>production system</v>
      </c>
      <c r="N31" s="100"/>
      <c r="O31" s="59"/>
      <c r="P31" s="57"/>
    </row>
    <row r="32" spans="1:20" ht="20.100000000000001" customHeight="1" x14ac:dyDescent="0.25">
      <c r="D32" s="57" t="str">
        <v>i</v>
      </c>
      <c r="E32" s="58" t="str">
        <v>irrigation method</v>
      </c>
      <c r="F32" s="100"/>
      <c r="G32" s="59"/>
      <c r="H32" s="57" t="e">
        <f>'Input - Swine'!#REF!</f>
        <v>#REF!</v>
      </c>
      <c r="L32" s="57" t="str">
        <v>i</v>
      </c>
      <c r="M32" s="58" t="str">
        <v>irrigation method</v>
      </c>
      <c r="N32" s="100"/>
      <c r="O32" s="59"/>
      <c r="P32" s="57"/>
    </row>
    <row r="33" spans="4:16" ht="20.100000000000001" customHeight="1" x14ac:dyDescent="0.25">
      <c r="D33" s="57" t="str">
        <v>r</v>
      </c>
      <c r="E33" s="58" t="str">
        <v>rainfall zone</v>
      </c>
      <c r="F33" s="100"/>
      <c r="G33" s="59"/>
      <c r="H33" s="57" t="str">
        <f>'Input - Site'!$E$30</f>
        <v>High rainfall</v>
      </c>
      <c r="L33" s="57" t="str">
        <v>r</v>
      </c>
      <c r="M33" s="58" t="str">
        <v>rainfall zone</v>
      </c>
      <c r="N33" s="100"/>
      <c r="O33" s="59"/>
      <c r="P33" s="57"/>
    </row>
    <row r="34" spans="4:16" ht="20.100000000000001" customHeight="1" x14ac:dyDescent="0.25"/>
    <row r="35" spans="4:16" ht="20.100000000000001" customHeight="1" x14ac:dyDescent="0.25">
      <c r="D35" s="113" t="s">
        <v>215</v>
      </c>
      <c r="E35" s="45" t="e" cm="1">
        <f t="array" ref="E35">MMS_PastureBeef_Soil_AtmosphericDeposition_Equations.VEERG_4_2_1_5__1_AtmosphericDepositionEmissionsFromUrineAndDungOnPasture(H28,H29,H30)</f>
        <v>#REF!</v>
      </c>
      <c r="F35" s="105" t="str">
        <f>$E$26</f>
        <v>t N2O</v>
      </c>
      <c r="L35" s="113" t="s">
        <v>215</v>
      </c>
      <c r="M35" s="45" t="e" cm="1">
        <f t="array" ref="M35">MMS_PastureBeef_Soil_AtmosphericDeposition_Equations.VEERG_4_2_1_5__1_AtmosphericDepositionEmissionsFromUrineAndDungOnPasture(P28,H29,H30)</f>
        <v>#REF!</v>
      </c>
      <c r="N35" s="105" t="str">
        <f>$E$26</f>
        <v>t N2O</v>
      </c>
    </row>
    <row r="36" spans="4:16" ht="20.100000000000001" customHeight="1" x14ac:dyDescent="0.25"/>
    <row r="37" spans="4:16" ht="20.100000000000001" customHeight="1" x14ac:dyDescent="0.25">
      <c r="D37" s="57" t="str" cm="1">
        <f t="array" ref="D37:E38">Common_Equations.Common_ConvertN2OToCO2e_Arguments()</f>
        <v>EN2O</v>
      </c>
      <c r="E37" s="58" t="str">
        <v>Nitrous oxide emissions (t N2O)</v>
      </c>
      <c r="F37" s="104"/>
      <c r="G37" s="52" t="e">
        <f>E35</f>
        <v>#REF!</v>
      </c>
      <c r="L37" s="57" t="str" cm="1">
        <f t="array" ref="L37:M38">Common_Equations.Common_ConvertN2OToCO2e_Arguments()</f>
        <v>EN2O</v>
      </c>
      <c r="M37" s="58" t="str">
        <v>Nitrous oxide emissions (t N2O)</v>
      </c>
      <c r="N37" s="104"/>
      <c r="O37" s="52" t="e">
        <f>M35</f>
        <v>#REF!</v>
      </c>
    </row>
    <row r="38" spans="4:16" ht="20.100000000000001" customHeight="1" x14ac:dyDescent="0.25">
      <c r="D38" s="57" t="str">
        <v>GWPN2O</v>
      </c>
      <c r="E38" s="58" t="str">
        <v>Global warming potential for nitrous oxide (t CO2-e / t N2O)</v>
      </c>
      <c r="F38" s="104"/>
      <c r="G38" s="52">
        <f>Common_InputFunctions.Utility_LookupValueInTableNumber("N2O",Table_GWPData[Gas],Table_GWPData[CO2-e factor])</f>
        <v>265</v>
      </c>
      <c r="L38" s="57" t="str">
        <v>GWPN2O</v>
      </c>
      <c r="M38" s="58" t="str">
        <v>Global warming potential for nitrous oxide (t CO2-e / t N2O)</v>
      </c>
      <c r="N38" s="104"/>
      <c r="O38" s="52">
        <f>Common_InputFunctions.Utility_LookupValueInTableNumber("N2O",Table_GWPData[Gas],Table_GWPData[CO2-e factor])</f>
        <v>265</v>
      </c>
    </row>
    <row r="39" spans="4:16" ht="20.100000000000001" customHeight="1" x14ac:dyDescent="0.25"/>
    <row r="40" spans="4:16" ht="20.100000000000001" customHeight="1" x14ac:dyDescent="0.25">
      <c r="D40" s="45" t="s">
        <v>102</v>
      </c>
      <c r="E40" s="45" t="e" cm="1">
        <f t="array" ref="E40">Common_Equations.Common_ConvertN2OToCO2e(G37,G38)</f>
        <v>#REF!</v>
      </c>
      <c r="F40" s="105" t="str" cm="1">
        <f t="array" ref="F40">Common_Equations.Common_ConvertN2OToCO2e_Unit()</f>
        <v>t CO2e</v>
      </c>
      <c r="L40" s="45" t="s">
        <v>102</v>
      </c>
      <c r="M40" s="45" t="e" cm="1">
        <f t="array" ref="M40">Common_Equations.Common_ConvertN2OToCO2e(O37,O38)</f>
        <v>#REF!</v>
      </c>
      <c r="N40" s="105" t="str" cm="1">
        <f t="array" ref="N40">Common_Equations.Common_ConvertN2OToCO2e_Unit()</f>
        <v>t CO2e</v>
      </c>
    </row>
    <row r="41" spans="4:16" ht="20.100000000000001" customHeight="1" x14ac:dyDescent="0.25"/>
    <row r="42" spans="4:16" ht="20.100000000000001" customHeight="1" x14ac:dyDescent="0.25"/>
    <row r="43" spans="4:16" ht="20.100000000000001" customHeight="1" x14ac:dyDescent="0.25"/>
    <row r="44" spans="4:16" ht="20.100000000000001" customHeight="1" x14ac:dyDescent="0.25"/>
    <row r="45" spans="4:16" ht="20.100000000000001" customHeight="1" x14ac:dyDescent="0.25"/>
    <row r="46" spans="4:16" ht="20.100000000000001" customHeight="1" x14ac:dyDescent="0.25"/>
    <row r="47" spans="4:16" ht="20.100000000000001" customHeight="1" x14ac:dyDescent="0.25"/>
    <row r="48" spans="4:16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dataValidations count="1">
    <dataValidation operator="equal" allowBlank="1" showInputMessage="1" showErrorMessage="1" sqref="E19 M19 E24 M24" xr:uid="{27894986-D8F7-4ECC-BDC3-495A6C274A89}"/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68BED-F848-481C-B828-A6A4B3B45E3C}">
  <dimension ref="A1:O165"/>
  <sheetViews>
    <sheetView showGridLines="0" topLeftCell="D12" workbookViewId="0">
      <selection activeCell="M20" sqref="M20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7" width="30.7109375" style="1" customWidth="1"/>
    <col min="8" max="8" width="4.7109375" style="1" customWidth="1"/>
    <col min="9" max="9" width="4.7109375" customWidth="1"/>
    <col min="10" max="10" width="4.7109375" style="1" customWidth="1"/>
    <col min="11" max="14" width="30.7109375" style="1" customWidth="1"/>
    <col min="15" max="15" width="4.7109375" style="1" customWidth="1"/>
  </cols>
  <sheetData>
    <row r="1" spans="1:15" s="8" customFormat="1" ht="30" customHeight="1" x14ac:dyDescent="0.35">
      <c r="A1" s="8" t="e" vm="1">
        <v>#VALUE!</v>
      </c>
      <c r="C1" s="8" t="s">
        <v>136</v>
      </c>
    </row>
    <row r="2" spans="1:15" s="9" customFormat="1" ht="20.100000000000001" customHeight="1" x14ac:dyDescent="0.25"/>
    <row r="3" spans="1:15" ht="20.100000000000001" customHeight="1" x14ac:dyDescent="0.25">
      <c r="A3" s="17" t="str">
        <f>HYPERLINK("#'Home'!A1", "Home")</f>
        <v>Home</v>
      </c>
      <c r="C3" s="4"/>
      <c r="D3" s="4" t="s">
        <v>105</v>
      </c>
      <c r="E3" s="4"/>
      <c r="F3" s="4"/>
      <c r="G3" s="4"/>
      <c r="H3" s="4"/>
      <c r="J3" s="4"/>
      <c r="K3" s="4" t="s">
        <v>106</v>
      </c>
      <c r="L3" s="4"/>
      <c r="M3" s="4"/>
      <c r="N3" s="4"/>
      <c r="O3" s="4"/>
    </row>
    <row r="4" spans="1:15" ht="20.100000000000001" customHeight="1" x14ac:dyDescent="0.25">
      <c r="A4" s="17" t="str">
        <f>HYPERLINK("#'Results'!A1", "Results")</f>
        <v>Results</v>
      </c>
    </row>
    <row r="5" spans="1:15" ht="20.100000000000001" customHeight="1" x14ac:dyDescent="0.25">
      <c r="A5" s="16"/>
      <c r="D5" s="6" t="str" cm="1">
        <f t="array" ref="D5">MMS_PastureBeef_Soil_LeachingAndRunoff.VEERG_4_2_1_7__2_MassOfNitrogenLostToLeachingAndRunoffOnPasture_Title()</f>
        <v>Mass of nitrogen lost to leaching and runoff</v>
      </c>
    </row>
    <row r="6" spans="1:15" ht="20.100000000000001" customHeight="1" x14ac:dyDescent="0.25">
      <c r="A6" s="20" t="s">
        <v>3</v>
      </c>
      <c r="D6" s="5" t="str" cm="1">
        <f t="array" ref="D6">MMS_PastureBeef_Soil_LeachingAndRunoff.VEERG_4_2_1_7__2_MassOfNitrogenLostToLeachingAndRunoffOnPasture_Source()</f>
        <v>VEERG 2026: 4.2.1.7, Equation (2)</v>
      </c>
    </row>
    <row r="7" spans="1:15" ht="20.100000000000001" customHeight="1" x14ac:dyDescent="0.25">
      <c r="A7" s="17" t="str">
        <f>HYPERLINK("#'Input - Site'!A1", "Site")</f>
        <v>Site</v>
      </c>
      <c r="D7" s="13" t="s">
        <v>26</v>
      </c>
      <c r="E7" s="13" t="str" cm="1">
        <f t="array" aca="1" ref="E7" ca="1">Common_InputFunctions.Utility_DisplayFunctionName(E20)</f>
        <v>=MMS_PastureBeef_Soil_LeachingAndRunoff.VEERG_4_2_1_7__2_MassOfNitrogenLostToLeachingAndRunoffOnPasture</v>
      </c>
    </row>
    <row r="8" spans="1:15" ht="20.100000000000001" customHeight="1" x14ac:dyDescent="0.25">
      <c r="A8" s="17" t="str">
        <f>HYPERLINK("#'Input - Swine'!A1", "Swine")</f>
        <v>Swine</v>
      </c>
    </row>
    <row r="9" spans="1:15" ht="20.100000000000001" customHeight="1" x14ac:dyDescent="0.25">
      <c r="A9" s="17"/>
    </row>
    <row r="10" spans="1:15" ht="20.100000000000001" customHeight="1" x14ac:dyDescent="0.25">
      <c r="A10" s="19" t="s">
        <v>76</v>
      </c>
      <c r="D10" s="53" t="s">
        <v>29</v>
      </c>
      <c r="E10" s="1" t="str" cm="1">
        <f t="array" ref="E10">MMS_PastureBeef_Soil_LeachingAndRunoff.VEERG_4_2_1_7__2_MassOfNitrogenLostToLeachingAndRunoffOnPasture_Variable()</f>
        <v>M_leach</v>
      </c>
    </row>
    <row r="11" spans="1:15" ht="20.100000000000001" customHeight="1" x14ac:dyDescent="0.25">
      <c r="A11" s="17" t="str">
        <f>HYPERLINK("#'4.2.1.1-2 Methane'!A1", "4.2.1.1-2 Methane")</f>
        <v>4.2.1.1-2 Methane</v>
      </c>
      <c r="D11" s="53" t="s">
        <v>19</v>
      </c>
      <c r="E11" s="54" t="str" cm="1">
        <f t="array" ref="E11">MMS_PastureBeef_Soil_LeachingAndRunoff.VEERG_4_2_1_7__2_MassOfNitrogenLostToLeachingAndRunoffOnPasture_Unit()</f>
        <v>kg N</v>
      </c>
    </row>
    <row r="12" spans="1:15" ht="20.100000000000001" customHeight="1" x14ac:dyDescent="0.25">
      <c r="A12" s="17" t="str">
        <f>HYPERLINK("#'4.2.1.3-4 Soil direct N2O'!A1", "4.2.1.3-4 Soil direct N2O")</f>
        <v>4.2.1.3-4 Soil direct N2O</v>
      </c>
    </row>
    <row r="13" spans="1:15" ht="20.100000000000001" customHeight="1" x14ac:dyDescent="0.25">
      <c r="A13" s="17" t="str">
        <f>HYPERLINK("#'4.2.1.5-6 Soil Atmos Dep'!A1", "4.2.1.5-6 Soil atm. deposition")</f>
        <v>4.2.1.5-6 Soil atm. deposition</v>
      </c>
      <c r="D13" s="108" t="str" cm="1">
        <f t="array" ref="D13:E18">MMS_PastureBeef_Soil_LeachingAndRunoff.VEERG_4_2_1_7__2_MassOfNitrogenLostToLeachingAndRunoffOnPasture_Arguments()</f>
        <v>AE</v>
      </c>
      <c r="E13" s="110" t="str">
        <v>total mass of nitrogen excreted on PRP for beef cattle (kg N)</v>
      </c>
      <c r="F13" s="109"/>
      <c r="G13" s="57" t="e">
        <f>'4.2.1.3-4 Soil direct N20'!$E$210</f>
        <v>#REF!</v>
      </c>
      <c r="K13" s="108" t="str" cm="1">
        <f t="array" ref="K13:L18">MMS_PastureBeef_Soil_LeachingAndRunoff.VEERG_4_2_1_7__2_MassOfNitrogenLostToLeachingAndRunoffOnPasture_Arguments()</f>
        <v>AE</v>
      </c>
      <c r="L13" s="110" t="str">
        <v>total mass of nitrogen excreted on PRP for beef cattle (kg N)</v>
      </c>
      <c r="M13" s="109"/>
      <c r="N13" s="57" t="e">
        <f>'4.2.1.3-4 Soil direct N20'!$U$253</f>
        <v>#REF!</v>
      </c>
    </row>
    <row r="14" spans="1:15" ht="20.100000000000001" customHeight="1" x14ac:dyDescent="0.25">
      <c r="A14" s="17" t="str">
        <f>HYPERLINK("#'4.2.1.7-8 Soil leach runoff'!A1", "4.2.1.7-8 Soil leach &amp; runoff")</f>
        <v>4.2.1.7-8 Soil leach &amp; runoff</v>
      </c>
      <c r="D14" s="108" t="str">
        <v>FracWet</v>
      </c>
      <c r="E14" s="110" t="str">
        <v>fraction of N available for leaching and runoff</v>
      </c>
      <c r="F14" s="109"/>
      <c r="G14" s="57">
        <f>Common_InputFunctions.CommonCropping_GetFracWET(G16,G18,#REF!,#REF!,Table_SourceData_FracWETIrrigation[Irrigation type i],Table_SourceData_FracWETIrrigation[FracWET])</f>
        <v>0</v>
      </c>
      <c r="K14" s="108" t="str">
        <v>FracWet</v>
      </c>
      <c r="L14" s="110" t="str">
        <v>fraction of N available for leaching and runoff</v>
      </c>
      <c r="M14" s="109"/>
      <c r="N14" s="57"/>
    </row>
    <row r="15" spans="1:15" ht="20.100000000000001" customHeight="1" x14ac:dyDescent="0.25">
      <c r="A15" s="17"/>
      <c r="D15" s="108" t="str">
        <v>FracLEACH</v>
      </c>
      <c r="E15" s="110" t="str">
        <v>fraction of all N that is lost through leaching and runoff</v>
      </c>
      <c r="F15" s="109"/>
      <c r="G15" s="57">
        <f>'Constants - Swine'!$D$438</f>
        <v>0</v>
      </c>
      <c r="K15" s="108" t="str">
        <v>FracLEACH</v>
      </c>
      <c r="L15" s="110" t="str">
        <v>fraction of all N that is lost through leaching and runoff</v>
      </c>
      <c r="M15" s="109"/>
      <c r="N15" s="57"/>
    </row>
    <row r="16" spans="1:15" ht="20.100000000000001" customHeight="1" x14ac:dyDescent="0.25">
      <c r="A16" s="18" t="s">
        <v>4</v>
      </c>
      <c r="D16" s="108" t="str">
        <v>z</v>
      </c>
      <c r="E16" s="110" t="str">
        <v>location in leaching zone</v>
      </c>
      <c r="F16" s="109"/>
      <c r="G16" s="57" t="str">
        <f>'Input - Site'!$E$23</f>
        <v>NO - Not in leaching zone</v>
      </c>
      <c r="K16" s="108" t="str">
        <v>z</v>
      </c>
      <c r="L16" s="110" t="str">
        <v>location in leaching zone</v>
      </c>
      <c r="M16" s="109"/>
      <c r="N16" s="57"/>
    </row>
    <row r="17" spans="1:15" ht="20.100000000000001" customHeight="1" x14ac:dyDescent="0.25">
      <c r="A17" s="17" t="str">
        <f>HYPERLINK("#'Constants - Swine'!A1", "Constants - Swine")</f>
        <v>Constants - Swine</v>
      </c>
      <c r="D17" s="108" t="str">
        <v>j</v>
      </c>
      <c r="E17" s="110" t="str">
        <v>production system</v>
      </c>
      <c r="F17" s="109"/>
      <c r="G17" s="57" t="e">
        <f>'Input - Swine'!#REF!</f>
        <v>#REF!</v>
      </c>
      <c r="K17" s="108" t="str">
        <v>j</v>
      </c>
      <c r="L17" s="110" t="str">
        <v>production system</v>
      </c>
      <c r="M17" s="109"/>
      <c r="N17" s="57"/>
    </row>
    <row r="18" spans="1:15" ht="20.100000000000001" customHeight="1" x14ac:dyDescent="0.25">
      <c r="A18" s="17" t="str">
        <f>HYPERLINK("#'Constants - Livestock'!A1", "Constants - Livestock")</f>
        <v>Constants - Livestock</v>
      </c>
      <c r="D18" s="108" t="str">
        <v>ir</v>
      </c>
      <c r="E18" s="110" t="str">
        <v>irrigation method</v>
      </c>
      <c r="F18" s="109"/>
      <c r="G18" s="57" t="e">
        <f>'Input - Swine'!#REF!</f>
        <v>#REF!</v>
      </c>
      <c r="K18" s="108" t="str">
        <v>ir</v>
      </c>
      <c r="L18" s="110" t="str">
        <v>irrigation method</v>
      </c>
      <c r="M18" s="109"/>
      <c r="N18" s="57"/>
    </row>
    <row r="19" spans="1:15" ht="20.100000000000001" customHeight="1" x14ac:dyDescent="0.25">
      <c r="A19" s="17" t="str">
        <f>HYPERLINK("#'Constants - Common'!A1", "Constants - Common")</f>
        <v>Constants - Common</v>
      </c>
    </row>
    <row r="20" spans="1:15" ht="20.100000000000001" customHeight="1" x14ac:dyDescent="0.25">
      <c r="A20" s="17" t="str">
        <f>HYPERLINK("#'Acknowledgements'!A1", "Acknowledgements")</f>
        <v>Acknowledgements</v>
      </c>
      <c r="D20" s="113" t="s">
        <v>216</v>
      </c>
      <c r="E20" s="45" t="e" cm="1">
        <f t="array" ref="E20">MMS_PastureBeef_Soil_LeachingAndRunoff.VEERG_4_2_1_7__2_MassOfNitrogenLostToLeachingAndRunoffOnPasture($G$13,$G$14,$G$15)</f>
        <v>#REF!</v>
      </c>
      <c r="F20" s="105" t="str">
        <f>$E$11</f>
        <v>kg N</v>
      </c>
      <c r="I20" s="56"/>
      <c r="K20" s="113" t="s">
        <v>216</v>
      </c>
      <c r="L20" s="45" t="e" cm="1">
        <f t="array" ref="L20">MMS_PastureBeef_Soil_LeachingAndRunoff.VEERG_4_2_1_7__2_MassOfNitrogenLostToLeachingAndRunoffOnPasture($N$13,$G$14,$G$15)</f>
        <v>#REF!</v>
      </c>
      <c r="M20" s="105" t="str">
        <f>$E$11</f>
        <v>kg N</v>
      </c>
    </row>
    <row r="21" spans="1:15" ht="20.100000000000001" customHeight="1" x14ac:dyDescent="0.25">
      <c r="I21" s="56"/>
    </row>
    <row r="22" spans="1:15" ht="20.100000000000001" customHeight="1" x14ac:dyDescent="0.25">
      <c r="I22" s="56"/>
    </row>
    <row r="23" spans="1:15" ht="20.100000000000001" customHeight="1" x14ac:dyDescent="0.25">
      <c r="C23" s="45"/>
      <c r="D23" s="45"/>
      <c r="E23" s="45"/>
      <c r="F23" s="45"/>
      <c r="G23" s="45"/>
      <c r="H23" s="45"/>
      <c r="I23" s="56"/>
      <c r="J23" s="45"/>
      <c r="K23" s="45"/>
      <c r="L23" s="45"/>
      <c r="M23" s="45"/>
      <c r="N23" s="45"/>
      <c r="O23" s="45"/>
    </row>
    <row r="24" spans="1:15" ht="20.100000000000001" customHeight="1" x14ac:dyDescent="0.25">
      <c r="D24" s="1" t="str" cm="1">
        <f t="array" ref="D24">MMS_PastureBeef_Soil_LeachingAndRunoff.VEERG_4_2_1_7__1_LeachingAndRunoffEmissionsFromUrineAndDungOnPasture_Title()</f>
        <v>Leaching and runoff emissions from urine and dung deposited on pasture</v>
      </c>
    </row>
    <row r="25" spans="1:15" ht="20.100000000000001" customHeight="1" x14ac:dyDescent="0.25">
      <c r="D25" s="1" t="str" cm="1">
        <f t="array" ref="D25">MMS_PastureBeef_Soil_LeachingAndRunoff.VEERG_4_2_1_7__1_LeachingAndRunoffEmissionsFromUrineAndDungOnPasture_Source()</f>
        <v>VEERG 2026: 4.2.1.7, Equation (1)</v>
      </c>
    </row>
    <row r="26" spans="1:15" ht="20.100000000000001" customHeight="1" x14ac:dyDescent="0.25">
      <c r="D26" s="13" t="s">
        <v>26</v>
      </c>
      <c r="E26" s="13" t="str" cm="1">
        <f t="array" aca="1" ref="E26" ca="1">Common_InputFunctions.Utility_DisplayFunctionName(E36)</f>
        <v>=MMS_PastureBeef_Soil_LeachingAndRunoff.VEERG_4_2_1_7__1_LeachingAndRunoffEmissionsFromUrineAndDungOnPasture</v>
      </c>
    </row>
    <row r="27" spans="1:15" ht="20.100000000000001" customHeight="1" x14ac:dyDescent="0.25"/>
    <row r="28" spans="1:15" ht="20.100000000000001" customHeight="1" x14ac:dyDescent="0.25"/>
    <row r="29" spans="1:15" ht="20.100000000000001" customHeight="1" x14ac:dyDescent="0.25">
      <c r="D29" s="53" t="s">
        <v>29</v>
      </c>
      <c r="E29" s="1" t="str" cm="1">
        <f t="array" ref="E29">MMS_PastureBeef_Soil_LeachingAndRunoff.VEERG_4_2_1_7__1_LeachingAndRunoffEmissionsFromUrineAndDungOnPasture_Variable()</f>
        <v>E_N2Oleach</v>
      </c>
    </row>
    <row r="30" spans="1:15" ht="20.100000000000001" customHeight="1" x14ac:dyDescent="0.25">
      <c r="D30" s="53" t="s">
        <v>19</v>
      </c>
      <c r="E30" s="54" t="str" cm="1">
        <f t="array" ref="E30">MMS_PastureBeef_Soil_LeachingAndRunoff.VEERG_4_2_1_7__1_LeachingAndRunoffEmissionsFromUrineAndDungOnPasture_Unit()</f>
        <v>t N2O</v>
      </c>
    </row>
    <row r="31" spans="1:15" ht="20.100000000000001" customHeight="1" x14ac:dyDescent="0.25"/>
    <row r="32" spans="1:15" ht="20.100000000000001" customHeight="1" x14ac:dyDescent="0.25">
      <c r="D32" s="57" t="str" cm="1">
        <f t="array" ref="D32:E34">MMS_PastureBeef_Soil_LeachingAndRunoff.VEERG_4_2_1_7__1_LeachingAndRunoffEmissionsFromUrineAndDungOnPasture_Arguments()</f>
        <v>M_leach</v>
      </c>
      <c r="E32" s="57" t="str">
        <v>mass of nitrogen lost to leaching and runoff (kg N)</v>
      </c>
      <c r="F32" s="57"/>
      <c r="G32" s="57" t="e">
        <f>$E$20</f>
        <v>#REF!</v>
      </c>
      <c r="K32" s="57" t="str" cm="1">
        <f t="array" ref="K32:L34">MMS_PastureBeef_Soil_LeachingAndRunoff.VEERG_4_2_1_7__1_LeachingAndRunoffEmissionsFromUrineAndDungOnPasture_Arguments()</f>
        <v>M_leach</v>
      </c>
      <c r="L32" s="57" t="str">
        <v>mass of nitrogen lost to leaching and runoff (kg N)</v>
      </c>
      <c r="M32" s="57"/>
      <c r="N32" s="57" t="e">
        <f>$E$20</f>
        <v>#REF!</v>
      </c>
    </row>
    <row r="33" spans="4:14" ht="20.100000000000001" customHeight="1" x14ac:dyDescent="0.25">
      <c r="D33" s="57" t="str">
        <v>EF_leach</v>
      </c>
      <c r="E33" s="57" t="str">
        <v>emission factor for leaching and runoff (kg N2O-N/kg N)</v>
      </c>
      <c r="F33" s="57"/>
      <c r="G33" s="57">
        <f>'Constants - Common'!$E$170</f>
        <v>1.0999999999999999E-2</v>
      </c>
      <c r="K33" s="57" t="str">
        <v>EF_leach</v>
      </c>
      <c r="L33" s="57" t="str">
        <v>emission factor for leaching and runoff (kg N2O-N/kg N)</v>
      </c>
      <c r="M33" s="57"/>
      <c r="N33" s="57"/>
    </row>
    <row r="34" spans="4:14" ht="20.100000000000001" customHeight="1" x14ac:dyDescent="0.25">
      <c r="D34" s="57" t="str">
        <v>C_N2O</v>
      </c>
      <c r="E34" s="57" t="str">
        <v>factor to convert elemental mass of N2O to molecular mass</v>
      </c>
      <c r="F34" s="57"/>
      <c r="G34" s="57">
        <f>Common_InputFunctions.Utility_LookupValueInTableNumber("N2O",Table_GasToMolecularConversionFactor[Gas],Table_GasToMolecularConversionFactor[Conversion factor combined])</f>
        <v>1.5714285714285714</v>
      </c>
      <c r="K34" s="57" t="str">
        <v>C_N2O</v>
      </c>
      <c r="L34" s="57" t="str">
        <v>factor to convert elemental mass of N2O to molecular mass</v>
      </c>
      <c r="M34" s="57"/>
      <c r="N34" s="57"/>
    </row>
    <row r="35" spans="4:14" ht="20.100000000000001" customHeight="1" x14ac:dyDescent="0.25"/>
    <row r="36" spans="4:14" ht="20.100000000000001" customHeight="1" x14ac:dyDescent="0.25">
      <c r="D36" s="113" t="s">
        <v>137</v>
      </c>
      <c r="E36" s="45" t="e" cm="1">
        <f t="array" ref="E36">MMS_PastureBeef_Soil_LeachingAndRunoff.VEERG_4_2_1_7__1_LeachingAndRunoffEmissionsFromUrineAndDungOnPasture(G32,G33,G34)</f>
        <v>#REF!</v>
      </c>
      <c r="F36" s="105" t="str">
        <f>$E$30</f>
        <v>t N2O</v>
      </c>
      <c r="K36" s="113" t="s">
        <v>137</v>
      </c>
      <c r="L36" s="45" t="e" cm="1">
        <f t="array" ref="L36">MMS_PastureBeef_Soil_LeachingAndRunoff.VEERG_4_2_1_7__1_LeachingAndRunoffEmissionsFromUrineAndDungOnPasture(N32,G33,G34)</f>
        <v>#REF!</v>
      </c>
      <c r="M36" s="105" t="str">
        <f>$E$30</f>
        <v>t N2O</v>
      </c>
    </row>
    <row r="37" spans="4:14" ht="20.100000000000001" customHeight="1" x14ac:dyDescent="0.25"/>
    <row r="38" spans="4:14" ht="20.100000000000001" customHeight="1" x14ac:dyDescent="0.25">
      <c r="D38" s="57" t="str" cm="1">
        <f t="array" ref="D38:E39">Common_Equations.Common_ConvertN2OToCO2e_Arguments()</f>
        <v>EN2O</v>
      </c>
      <c r="E38" s="58" t="str">
        <v>Nitrous oxide emissions (t N2O)</v>
      </c>
      <c r="F38" s="104"/>
      <c r="G38" s="52" t="e">
        <f>E36</f>
        <v>#REF!</v>
      </c>
      <c r="K38" s="57" t="str" cm="1">
        <f t="array" ref="K38:L39">Common_Equations.Common_ConvertN2OToCO2e_Arguments()</f>
        <v>EN2O</v>
      </c>
      <c r="L38" s="58" t="str">
        <v>Nitrous oxide emissions (t N2O)</v>
      </c>
      <c r="M38" s="104"/>
      <c r="N38" s="52" t="e">
        <f>L36</f>
        <v>#REF!</v>
      </c>
    </row>
    <row r="39" spans="4:14" ht="20.100000000000001" customHeight="1" x14ac:dyDescent="0.25">
      <c r="D39" s="57" t="str">
        <v>GWPN2O</v>
      </c>
      <c r="E39" s="58" t="str">
        <v>Global warming potential for nitrous oxide (t CO2-e / t N2O)</v>
      </c>
      <c r="F39" s="104"/>
      <c r="G39" s="52">
        <f>Common_InputFunctions.Utility_LookupValueInTableNumber("N2O",Table_GWPData[Gas],Table_GWPData[CO2-e factor])</f>
        <v>265</v>
      </c>
      <c r="K39" s="57" t="str">
        <v>GWPN2O</v>
      </c>
      <c r="L39" s="58" t="str">
        <v>Global warming potential for nitrous oxide (t CO2-e / t N2O)</v>
      </c>
      <c r="M39" s="104"/>
      <c r="N39" s="52">
        <f>Common_InputFunctions.Utility_LookupValueInTableNumber("N2O",Table_GWPData[Gas],Table_GWPData[CO2-e factor])</f>
        <v>265</v>
      </c>
    </row>
    <row r="40" spans="4:14" ht="20.100000000000001" customHeight="1" x14ac:dyDescent="0.25"/>
    <row r="41" spans="4:14" ht="20.100000000000001" customHeight="1" x14ac:dyDescent="0.25">
      <c r="D41" s="45" t="s">
        <v>102</v>
      </c>
      <c r="E41" s="45" t="e" cm="1">
        <f t="array" ref="E41">Common_Equations.Common_ConvertN2OToCO2e(G38,G39)</f>
        <v>#REF!</v>
      </c>
      <c r="F41" s="105" t="str" cm="1">
        <f t="array" ref="F41">Common_Equations.Common_ConvertN2OToCO2e_Unit()</f>
        <v>t CO2e</v>
      </c>
      <c r="K41" s="45" t="s">
        <v>102</v>
      </c>
      <c r="L41" s="45" t="e" cm="1">
        <f t="array" ref="L41">Common_Equations.Common_ConvertN2OToCO2e(N38,N39)</f>
        <v>#REF!</v>
      </c>
      <c r="M41" s="105" t="str" cm="1">
        <f t="array" ref="M41">Common_Equations.Common_ConvertN2OToCO2e_Unit()</f>
        <v>t CO2e</v>
      </c>
    </row>
    <row r="42" spans="4:14" ht="20.100000000000001" customHeight="1" x14ac:dyDescent="0.25"/>
    <row r="43" spans="4:14" ht="20.100000000000001" customHeight="1" x14ac:dyDescent="0.25"/>
    <row r="44" spans="4:14" ht="20.100000000000001" customHeight="1" x14ac:dyDescent="0.25"/>
    <row r="45" spans="4:14" ht="20.100000000000001" customHeight="1" x14ac:dyDescent="0.25"/>
    <row r="46" spans="4:14" ht="20.100000000000001" customHeight="1" x14ac:dyDescent="0.25"/>
    <row r="47" spans="4:14" ht="20.100000000000001" customHeight="1" x14ac:dyDescent="0.25"/>
    <row r="48" spans="4:14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dataValidations count="1">
    <dataValidation operator="equal" allowBlank="1" showInputMessage="1" showErrorMessage="1" sqref="E23 L23 E28 L28" xr:uid="{FFC3CBA3-2876-48FD-90FB-22BFDC268162}"/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D35FD-AE8E-4433-ACD5-994E77C39A89}">
  <dimension ref="A1:V452"/>
  <sheetViews>
    <sheetView showGridLines="0" topLeftCell="A10" zoomScale="85" zoomScaleNormal="85" workbookViewId="0">
      <selection activeCell="F43" sqref="F43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5" width="30.7109375" style="1" customWidth="1"/>
    <col min="6" max="6" width="31.140625" style="1" customWidth="1"/>
    <col min="7" max="7" width="32.5703125" style="1" customWidth="1"/>
    <col min="8" max="12" width="30.7109375" style="1" customWidth="1"/>
    <col min="13" max="13" width="30.7109375" customWidth="1"/>
    <col min="14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  <c r="C1" s="8" t="s">
        <v>220</v>
      </c>
    </row>
    <row r="2" spans="1:21" s="9" customFormat="1" ht="20.100000000000001" customHeight="1" x14ac:dyDescent="0.25">
      <c r="A2"/>
    </row>
    <row r="3" spans="1:21" ht="20.100000000000001" customHeight="1" x14ac:dyDescent="0.25">
      <c r="A3" s="17" t="str">
        <f>HYPERLINK("#'Home'!A1", "Home")</f>
        <v>Home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  <c r="M4" s="22"/>
    </row>
    <row r="5" spans="1:21" ht="20.100000000000001" customHeight="1" x14ac:dyDescent="0.25">
      <c r="A5" s="16"/>
      <c r="D5" s="6" t="str" cm="1">
        <f t="array" ref="D5">SourceData_Swine.SourceData_Swine_VolatileSolids_Title()</f>
        <v>Swine - Volatile solids (VSj) - 2020 to 2024</v>
      </c>
      <c r="M5" s="1"/>
    </row>
    <row r="6" spans="1:21" ht="20.100000000000001" customHeight="1" x14ac:dyDescent="0.25">
      <c r="A6" s="20" t="s">
        <v>3</v>
      </c>
      <c r="D6" s="5" t="str" cm="1">
        <f t="array" ref="D6">SourceData_Swine.SourceData_Swine_VolatileSolids_Source()</f>
        <v>VEERG 2026: Table A.1.6.1: Swine - Intake and manure characteristics derived from PigBal</v>
      </c>
      <c r="M6" s="1"/>
    </row>
    <row r="7" spans="1:21" ht="20.100000000000001" customHeight="1" x14ac:dyDescent="0.25">
      <c r="A7" s="17" t="str">
        <f>HYPERLINK("#'Input - Site'!A1", "Site")</f>
        <v>Site</v>
      </c>
      <c r="D7" s="55" t="str" cm="1">
        <f t="array" ref="D7">SourceData_Swine.SourceData_Swine_VolatileSolids_Variation()</f>
        <v>VARIATION ON SOURCE DATA: Only uses data for 2020-2024. Added 'Suckers', 'Weaners' and 'Growers' classes which have the same values as 'Slaughter pigs'.</v>
      </c>
      <c r="M7" s="1"/>
    </row>
    <row r="8" spans="1:21" ht="20.100000000000001" customHeight="1" x14ac:dyDescent="0.25">
      <c r="A8" s="17" t="str">
        <f>HYPERLINK("#'Input - Swine'!A1", "Swine")</f>
        <v>Swine</v>
      </c>
      <c r="G8" s="107" t="s">
        <v>235</v>
      </c>
      <c r="M8" s="1"/>
    </row>
    <row r="9" spans="1:21" ht="20.100000000000001" customHeight="1" x14ac:dyDescent="0.25">
      <c r="A9" s="17"/>
      <c r="D9" s="37" t="s">
        <v>236</v>
      </c>
      <c r="E9" s="37" t="s">
        <v>237</v>
      </c>
      <c r="M9" s="1"/>
    </row>
    <row r="10" spans="1:21" ht="20.100000000000001" customHeight="1" x14ac:dyDescent="0.25">
      <c r="A10" s="19" t="s">
        <v>76</v>
      </c>
      <c r="D10" s="37" t="str" cm="1">
        <f t="array" ref="D10">Common_InputFunctions.Utility_DisplayArrayInTable(SourceData_Swine.SourceData_Swine_VolatileSolids_Data(), Table_SourceData_Swine_VolatileSolids[[#Headers],[Class]], 0)</f>
        <v>Boars</v>
      </c>
      <c r="E10" s="37" cm="1">
        <f t="array" ref="E10">Common_InputFunctions.Utility_DisplayArrayInTable(SourceData_Swine.SourceData_Swine_VolatileSolids_Data(), Table_SourceData_Swine_VolatileSolids[[#Headers],[Class]], 0)</f>
        <v>0.4</v>
      </c>
      <c r="M10" s="1"/>
    </row>
    <row r="11" spans="1:21" ht="20.100000000000001" customHeight="1" x14ac:dyDescent="0.25">
      <c r="A11" s="17" t="str">
        <f>HYPERLINK("#'4.2.1.1-2 Methane'!A1", "4.2.1.1-2 Methane")</f>
        <v>4.2.1.1-2 Methane</v>
      </c>
      <c r="D11" s="1" t="str" cm="1">
        <f t="array" ref="D11">Common_InputFunctions.Utility_DisplayArrayInTable(SourceData_Swine.SourceData_Swine_VolatileSolids_Data(), Table_SourceData_Swine_VolatileSolids[[#Headers],[Class]], 0)</f>
        <v>Sows</v>
      </c>
      <c r="E11" s="37" cm="1">
        <f t="array" ref="E11">Common_InputFunctions.Utility_DisplayArrayInTable(SourceData_Swine.SourceData_Swine_VolatileSolids_Data(), Table_SourceData_Swine_VolatileSolids[[#Headers],[Class]], 0)</f>
        <v>0.46</v>
      </c>
      <c r="M11" s="1"/>
    </row>
    <row r="12" spans="1:21" ht="20.100000000000001" customHeight="1" x14ac:dyDescent="0.25">
      <c r="A12" s="17" t="str">
        <f>HYPERLINK("#'4.2.1.3-4 Soil direct N2O'!A1", "4.2.1.3-4 Soil direct N2O")</f>
        <v>4.2.1.3-4 Soil direct N2O</v>
      </c>
      <c r="D12" s="1" t="str" cm="1">
        <f t="array" ref="D12">Common_InputFunctions.Utility_DisplayArrayInTable(SourceData_Swine.SourceData_Swine_VolatileSolids_Data(), Table_SourceData_Swine_VolatileSolids[[#Headers],[Class]], 0)</f>
        <v>Gilts</v>
      </c>
      <c r="E12" s="37" cm="1">
        <f t="array" ref="E12">Common_InputFunctions.Utility_DisplayArrayInTable(SourceData_Swine.SourceData_Swine_VolatileSolids_Data(), Table_SourceData_Swine_VolatileSolids[[#Headers],[Class]], 0)</f>
        <v>0.55000000000000004</v>
      </c>
      <c r="M12" s="1"/>
    </row>
    <row r="13" spans="1:21" ht="20.100000000000001" customHeight="1" x14ac:dyDescent="0.25">
      <c r="A13" s="17" t="str">
        <f>HYPERLINK("#'4.2.1.5-6 Soil Atmos Dep'!A1", "4.2.1.5-6 Soil atm. deposition")</f>
        <v>4.2.1.5-6 Soil atm. deposition</v>
      </c>
      <c r="D13" s="1" t="str" cm="1">
        <f t="array" ref="D13">Common_InputFunctions.Utility_DisplayArrayInTable(SourceData_Swine.SourceData_Swine_VolatileSolids_Data(), Table_SourceData_Swine_VolatileSolids[[#Headers],[Class]], 0)</f>
        <v>Slaughter pigs</v>
      </c>
      <c r="E13" s="37" cm="1">
        <f t="array" ref="E13">Common_InputFunctions.Utility_DisplayArrayInTable(SourceData_Swine.SourceData_Swine_VolatileSolids_Data(), Table_SourceData_Swine_VolatileSolids[[#Headers],[Class]], 0)</f>
        <v>0.39</v>
      </c>
      <c r="M13" s="1"/>
    </row>
    <row r="14" spans="1:21" ht="20.100000000000001" customHeight="1" x14ac:dyDescent="0.25">
      <c r="A14" s="17" t="str">
        <f>HYPERLINK("#'4.2.1.7-8 Soil leach runoff'!A1", "4.2.1.7-8 Soil leach &amp; runoff")</f>
        <v>4.2.1.7-8 Soil leach &amp; runoff</v>
      </c>
      <c r="D14" s="1" t="str" cm="1">
        <f t="array" ref="D14">Common_InputFunctions.Utility_DisplayArrayInTable(SourceData_Swine.SourceData_Swine_VolatileSolids_Data(), Table_SourceData_Swine_VolatileSolids[[#Headers],[Class]], 0)</f>
        <v>Suckers</v>
      </c>
      <c r="E14" s="37" cm="1">
        <f t="array" ref="E14">Common_InputFunctions.Utility_DisplayArrayInTable(SourceData_Swine.SourceData_Swine_VolatileSolids_Data(), Table_SourceData_Swine_VolatileSolids[[#Headers],[Class]], 0)</f>
        <v>0.39</v>
      </c>
      <c r="M14" s="1"/>
    </row>
    <row r="15" spans="1:21" ht="20.100000000000001" customHeight="1" x14ac:dyDescent="0.25">
      <c r="A15" s="17"/>
      <c r="D15" s="1" t="str" cm="1">
        <f t="array" ref="D15">Common_InputFunctions.Utility_DisplayArrayInTable(SourceData_Swine.SourceData_Swine_VolatileSolids_Data(), Table_SourceData_Swine_VolatileSolids[[#Headers],[Class]], 0)</f>
        <v>Weaners</v>
      </c>
      <c r="E15" s="37" cm="1">
        <f t="array" ref="E15">Common_InputFunctions.Utility_DisplayArrayInTable(SourceData_Swine.SourceData_Swine_VolatileSolids_Data(), Table_SourceData_Swine_VolatileSolids[[#Headers],[Class]], 0)</f>
        <v>0.39</v>
      </c>
      <c r="M15" s="1"/>
    </row>
    <row r="16" spans="1:21" ht="20.100000000000001" customHeight="1" x14ac:dyDescent="0.25">
      <c r="A16" s="18" t="s">
        <v>4</v>
      </c>
      <c r="D16" s="1" t="str" cm="1">
        <f t="array" ref="D16">Common_InputFunctions.Utility_DisplayArrayInTable(SourceData_Swine.SourceData_Swine_VolatileSolids_Data(), Table_SourceData_Swine_VolatileSolids[[#Headers],[Class]], 0)</f>
        <v>Growers</v>
      </c>
      <c r="E16" s="37" cm="1">
        <f t="array" ref="E16">Common_InputFunctions.Utility_DisplayArrayInTable(SourceData_Swine.SourceData_Swine_VolatileSolids_Data(), Table_SourceData_Swine_VolatileSolids[[#Headers],[Class]], 0)</f>
        <v>0.39</v>
      </c>
      <c r="M16" s="1"/>
    </row>
    <row r="17" spans="1:13" ht="20.100000000000001" customHeight="1" x14ac:dyDescent="0.25">
      <c r="A17" s="17" t="str">
        <f>HYPERLINK("#'Constants - Swine'!A1", "Constants - Swine")</f>
        <v>Constants - Swine</v>
      </c>
      <c r="M17" s="1"/>
    </row>
    <row r="18" spans="1:13" ht="20.100000000000001" customHeight="1" x14ac:dyDescent="0.25">
      <c r="A18" s="17" t="str">
        <f>HYPERLINK("#'Constants - Livestock'!A1", "Constants - Livestock")</f>
        <v>Constants - Livestock</v>
      </c>
      <c r="M18" s="1"/>
    </row>
    <row r="19" spans="1:13" ht="20.100000000000001" customHeight="1" x14ac:dyDescent="0.25">
      <c r="A19" s="17" t="str">
        <f>HYPERLINK("#'Constants - Common'!A1", "Constants - Common")</f>
        <v>Constants - Common</v>
      </c>
      <c r="D19" s="6" t="str" cm="1">
        <f t="array" ref="D19">SourceData_Swine.SourceData_Swine_MethaneVolatileSolidsEmissionsPotential_Title()</f>
        <v>Emissions potential of methane per kilogram of volatile solids</v>
      </c>
      <c r="M19" s="1"/>
    </row>
    <row r="20" spans="1:13" ht="20.100000000000001" customHeight="1" x14ac:dyDescent="0.25">
      <c r="A20" s="17" t="str">
        <f>HYPERLINK("#'Acknowledgements'!A1", "Acknowledgements")</f>
        <v>Acknowledgements</v>
      </c>
      <c r="D20" s="5" t="str" cm="1">
        <f t="array" ref="D20">SourceData_Swine.SourceData_Swine_MethaneVolatileSolidsEmissionsPotential_Source()</f>
        <v>IPCC (2019), Chapter 10 [4]</v>
      </c>
      <c r="M20" s="1"/>
    </row>
    <row r="21" spans="1:13" ht="20.100000000000001" customHeight="1" x14ac:dyDescent="0.25">
      <c r="D21" s="53" t="str" cm="1">
        <f t="array" ref="D21">SourceData_Swine.SourceData_Swine_MethaneVolatileSolidsEmissionsPotential_Variable()</f>
        <v>B0</v>
      </c>
      <c r="E21" s="1" cm="1">
        <f t="array" ref="E21">SourceData_Swine.SourceData_Swine_MethaneVolatileSolidsEmissionsPotential_Data()</f>
        <v>0.19</v>
      </c>
      <c r="F21" s="54" t="str" cm="1">
        <f t="array" ref="F21">SourceData_Swine.SourceData_Swine_MethaneVolatileSolidsEmissionsPotential_Unit()</f>
        <v>m3 CH4 / kg VS</v>
      </c>
      <c r="M21" s="1"/>
    </row>
    <row r="22" spans="1:13" ht="20.100000000000001" customHeight="1" x14ac:dyDescent="0.25">
      <c r="A22" s="17"/>
      <c r="M22" s="1"/>
    </row>
    <row r="23" spans="1:13" ht="20.100000000000001" customHeight="1" x14ac:dyDescent="0.25">
      <c r="A23" s="17"/>
      <c r="M23" s="1"/>
    </row>
    <row r="24" spans="1:13" ht="20.100000000000001" customHeight="1" x14ac:dyDescent="0.25">
      <c r="A24" s="17"/>
      <c r="D24" s="6" t="str" cm="1">
        <f t="array" ref="D24">SourceData_Swine.SourceData_Swine_MMS_MCFs_Title()</f>
        <v>Methane conversion factor for temperature zone and manure management system.</v>
      </c>
      <c r="H24" s="107" t="s">
        <v>238</v>
      </c>
      <c r="M24" s="1"/>
    </row>
    <row r="25" spans="1:13" ht="20.100000000000001" customHeight="1" x14ac:dyDescent="0.25">
      <c r="D25" s="5" t="str" cm="1">
        <f t="array" ref="D25">SourceData_Swine.SourceData_Swine_MMS_MCFs_Source()</f>
        <v>VEERG 2026: Table A.1.6.4: Swine – MCFs (MCFim)</v>
      </c>
      <c r="H25" s="107" t="s">
        <v>239</v>
      </c>
      <c r="M25" s="1"/>
    </row>
    <row r="26" spans="1:13" ht="20.100000000000001" customHeight="1" x14ac:dyDescent="0.25">
      <c r="D26" s="55" t="str" cm="1">
        <f t="array" ref="D26">SourceData_Swine.SourceData_Swine_MMS_MCFs_Variation()</f>
        <v>VARIATION ON SOURCE DATA: Added columns for ACT, split QLD and NT. Added extra column with MMS names that match NIR definitions</v>
      </c>
      <c r="M26" s="1"/>
    </row>
    <row r="27" spans="1:13" ht="20.100000000000001" customHeight="1" x14ac:dyDescent="0.25">
      <c r="M27" s="1"/>
    </row>
    <row r="28" spans="1:13" ht="20.100000000000001" customHeight="1" x14ac:dyDescent="0.25">
      <c r="D28" s="37" t="s">
        <v>67</v>
      </c>
      <c r="E28" s="37" t="s">
        <v>83</v>
      </c>
      <c r="F28" s="37" t="s">
        <v>82</v>
      </c>
      <c r="G28" s="37" t="s">
        <v>85</v>
      </c>
      <c r="H28" s="37" t="s">
        <v>84</v>
      </c>
      <c r="I28" s="37" t="s">
        <v>86</v>
      </c>
      <c r="J28" s="37" t="s">
        <v>87</v>
      </c>
      <c r="K28" s="37" t="s">
        <v>88</v>
      </c>
      <c r="L28" s="37" t="s">
        <v>89</v>
      </c>
      <c r="M28" s="37" t="s">
        <v>240</v>
      </c>
    </row>
    <row r="29" spans="1:13" ht="20.100000000000001" customHeight="1" x14ac:dyDescent="0.25">
      <c r="D29" s="37" t="str" cm="1">
        <f t="array" ref="D29">Common_InputFunctions.Utility_DisplayArrayInTable(SourceData_Swine.SourceData_Swine_MMS_MCFs_Data(),Table_SourceData_Swine_MMSMCF[[#Headers],[MMS]],0)</f>
        <v>Outdoor (Dry lot)</v>
      </c>
      <c r="E29" s="37" cm="1">
        <f t="array" ref="E29">Common_InputFunctions.Utility_DisplayArrayInTable(SourceData_Swine.SourceData_Swine_MMS_MCFs_Data(),Table_SourceData_Swine_MMSMCF[[#Headers],[MMS]],0)</f>
        <v>0.01</v>
      </c>
      <c r="F29" s="37" cm="1">
        <f t="array" ref="F29">Common_InputFunctions.Utility_DisplayArrayInTable(SourceData_Swine.SourceData_Swine_MMS_MCFs_Data(),Table_SourceData_Swine_MMSMCF[[#Headers],[MMS]],0)</f>
        <v>0.01</v>
      </c>
      <c r="G29" s="37" cm="1">
        <f t="array" ref="G29">Common_InputFunctions.Utility_DisplayArrayInTable(SourceData_Swine.SourceData_Swine_MMS_MCFs_Data(),Table_SourceData_Swine_MMSMCF[[#Headers],[MMS]],0)</f>
        <v>0.03</v>
      </c>
      <c r="H29" s="37" cm="1">
        <f t="array" ref="H29">Common_InputFunctions.Utility_DisplayArrayInTable(SourceData_Swine.SourceData_Swine_MMS_MCFs_Data(),Table_SourceData_Swine_MMSMCF[[#Headers],[MMS]],0)</f>
        <v>0.03</v>
      </c>
      <c r="I29" s="37" cm="1">
        <f t="array" ref="I29">Common_InputFunctions.Utility_DisplayArrayInTable(SourceData_Swine.SourceData_Swine_MMS_MCFs_Data(),Table_SourceData_Swine_MMSMCF[[#Headers],[MMS]],0)</f>
        <v>0.01</v>
      </c>
      <c r="J29" s="37" cm="1">
        <f t="array" ref="J29">Common_InputFunctions.Utility_DisplayArrayInTable(SourceData_Swine.SourceData_Swine_MMS_MCFs_Data(),Table_SourceData_Swine_MMSMCF[[#Headers],[MMS]],0)</f>
        <v>0.01</v>
      </c>
      <c r="K29" s="37" cm="1">
        <f t="array" ref="K29">Common_InputFunctions.Utility_DisplayArrayInTable(SourceData_Swine.SourceData_Swine_MMS_MCFs_Data(),Table_SourceData_Swine_MMSMCF[[#Headers],[MMS]],0)</f>
        <v>0.01</v>
      </c>
      <c r="L29" s="37" cm="1">
        <f t="array" ref="L29">Common_InputFunctions.Utility_DisplayArrayInTable(SourceData_Swine.SourceData_Swine_MMS_MCFs_Data(),Table_SourceData_Swine_MMSMCF[[#Headers],[MMS]],0)</f>
        <v>0.01</v>
      </c>
      <c r="M29" s="37" t="str" cm="1">
        <f t="array" ref="M29">Common_InputFunctions.Utility_DisplayArrayInTable(SourceData_Swine.SourceData_Swine_MMS_MCFs_Data(),Table_SourceData_Swine_MMSMCF[[#Headers],[MMS]],0)</f>
        <v>Drylot (feed pad)</v>
      </c>
    </row>
    <row r="30" spans="1:13" ht="20.100000000000001" customHeight="1" x14ac:dyDescent="0.25">
      <c r="D30" s="1" t="str" cm="1">
        <f t="array" ref="D30">Common_InputFunctions.Utility_DisplayArrayInTable(SourceData_Swine.SourceData_Swine_MMS_MCFs_Data(),Table_SourceData_Swine_MMSMCF[[#Headers],[MMS]],0)</f>
        <v>Deep litter</v>
      </c>
      <c r="E30" s="37" cm="1">
        <f t="array" ref="E30">Common_InputFunctions.Utility_DisplayArrayInTable(SourceData_Swine.SourceData_Swine_MMS_MCFs_Data(),Table_SourceData_Swine_MMSMCF[[#Headers],[MMS]],0)</f>
        <v>0.04</v>
      </c>
      <c r="F30" s="37" cm="1">
        <f t="array" ref="F30">Common_InputFunctions.Utility_DisplayArrayInTable(SourceData_Swine.SourceData_Swine_MMS_MCFs_Data(),Table_SourceData_Swine_MMSMCF[[#Headers],[MMS]],0)</f>
        <v>0.04</v>
      </c>
      <c r="G30" s="37" cm="1">
        <f t="array" ref="G30">Common_InputFunctions.Utility_DisplayArrayInTable(SourceData_Swine.SourceData_Swine_MMS_MCFs_Data(),Table_SourceData_Swine_MMSMCF[[#Headers],[MMS]],0)</f>
        <v>0.04</v>
      </c>
      <c r="H30" s="37" cm="1">
        <f t="array" ref="H30">Common_InputFunctions.Utility_DisplayArrayInTable(SourceData_Swine.SourceData_Swine_MMS_MCFs_Data(),Table_SourceData_Swine_MMSMCF[[#Headers],[MMS]],0)</f>
        <v>0.04</v>
      </c>
      <c r="I30" s="37" cm="1">
        <f t="array" ref="I30">Common_InputFunctions.Utility_DisplayArrayInTable(SourceData_Swine.SourceData_Swine_MMS_MCFs_Data(),Table_SourceData_Swine_MMSMCF[[#Headers],[MMS]],0)</f>
        <v>0.04</v>
      </c>
      <c r="J30" s="37" cm="1">
        <f t="array" ref="J30">Common_InputFunctions.Utility_DisplayArrayInTable(SourceData_Swine.SourceData_Swine_MMS_MCFs_Data(),Table_SourceData_Swine_MMSMCF[[#Headers],[MMS]],0)</f>
        <v>0.04</v>
      </c>
      <c r="K30" s="37" cm="1">
        <f t="array" ref="K30">Common_InputFunctions.Utility_DisplayArrayInTable(SourceData_Swine.SourceData_Swine_MMS_MCFs_Data(),Table_SourceData_Swine_MMSMCF[[#Headers],[MMS]],0)</f>
        <v>0.04</v>
      </c>
      <c r="L30" s="37" cm="1">
        <f t="array" ref="L30">Common_InputFunctions.Utility_DisplayArrayInTable(SourceData_Swine.SourceData_Swine_MMS_MCFs_Data(),Table_SourceData_Swine_MMSMCF[[#Headers],[MMS]],0)</f>
        <v>0.04</v>
      </c>
      <c r="M30" s="37" t="str" cm="1">
        <f t="array" ref="M30">Common_InputFunctions.Utility_DisplayArrayInTable(SourceData_Swine.SourceData_Swine_MMS_MCFs_Data(),Table_SourceData_Swine_MMSMCF[[#Headers],[MMS]],0)</f>
        <v>Deep litter</v>
      </c>
    </row>
    <row r="31" spans="1:13" ht="20.100000000000001" customHeight="1" x14ac:dyDescent="0.25">
      <c r="D31" s="1" t="str" cm="1">
        <f t="array" ref="D31">Common_InputFunctions.Utility_DisplayArrayInTable(SourceData_Swine.SourceData_Swine_MMS_MCFs_Data(),Table_SourceData_Swine_MMSMCF[[#Headers],[MMS]],0)</f>
        <v>Stockpile (Solid storage)</v>
      </c>
      <c r="E31" s="37" cm="1">
        <f t="array" ref="E31">Common_InputFunctions.Utility_DisplayArrayInTable(SourceData_Swine.SourceData_Swine_MMS_MCFs_Data(),Table_SourceData_Swine_MMSMCF[[#Headers],[MMS]],0)</f>
        <v>0.02</v>
      </c>
      <c r="F31" s="37" cm="1">
        <f t="array" ref="F31">Common_InputFunctions.Utility_DisplayArrayInTable(SourceData_Swine.SourceData_Swine_MMS_MCFs_Data(),Table_SourceData_Swine_MMSMCF[[#Headers],[MMS]],0)</f>
        <v>0.02</v>
      </c>
      <c r="G31" s="37" cm="1">
        <f t="array" ref="G31">Common_InputFunctions.Utility_DisplayArrayInTable(SourceData_Swine.SourceData_Swine_MMS_MCFs_Data(),Table_SourceData_Swine_MMSMCF[[#Headers],[MMS]],0)</f>
        <v>0.02</v>
      </c>
      <c r="H31" s="37" cm="1">
        <f t="array" ref="H31">Common_InputFunctions.Utility_DisplayArrayInTable(SourceData_Swine.SourceData_Swine_MMS_MCFs_Data(),Table_SourceData_Swine_MMSMCF[[#Headers],[MMS]],0)</f>
        <v>0.02</v>
      </c>
      <c r="I31" s="37" cm="1">
        <f t="array" ref="I31">Common_InputFunctions.Utility_DisplayArrayInTable(SourceData_Swine.SourceData_Swine_MMS_MCFs_Data(),Table_SourceData_Swine_MMSMCF[[#Headers],[MMS]],0)</f>
        <v>0.02</v>
      </c>
      <c r="J31" s="37" cm="1">
        <f t="array" ref="J31">Common_InputFunctions.Utility_DisplayArrayInTable(SourceData_Swine.SourceData_Swine_MMS_MCFs_Data(),Table_SourceData_Swine_MMSMCF[[#Headers],[MMS]],0)</f>
        <v>0.02</v>
      </c>
      <c r="K31" s="37" cm="1">
        <f t="array" ref="K31">Common_InputFunctions.Utility_DisplayArrayInTable(SourceData_Swine.SourceData_Swine_MMS_MCFs_Data(),Table_SourceData_Swine_MMSMCF[[#Headers],[MMS]],0)</f>
        <v>0.02</v>
      </c>
      <c r="L31" s="37" cm="1">
        <f t="array" ref="L31">Common_InputFunctions.Utility_DisplayArrayInTable(SourceData_Swine.SourceData_Swine_MMS_MCFs_Data(),Table_SourceData_Swine_MMSMCF[[#Headers],[MMS]],0)</f>
        <v>0.02</v>
      </c>
      <c r="M31" s="37" t="str" cm="1">
        <f t="array" ref="M31">Common_InputFunctions.Utility_DisplayArrayInTable(SourceData_Swine.SourceData_Swine_MMS_MCFs_Data(),Table_SourceData_Swine_MMSMCF[[#Headers],[MMS]],0)</f>
        <v>Solid storage</v>
      </c>
    </row>
    <row r="32" spans="1:13" ht="20.100000000000001" customHeight="1" x14ac:dyDescent="0.25">
      <c r="D32" s="1" t="str" cm="1">
        <f t="array" ref="D32">Common_InputFunctions.Utility_DisplayArrayInTable(SourceData_Swine.SourceData_Swine_MMS_MCFs_Data(),Table_SourceData_Swine_MMSMCF[[#Headers],[MMS]],0)</f>
        <v>Effluent pond (Uncovered anaerobic lagoon)</v>
      </c>
      <c r="E32" s="37" cm="1">
        <f t="array" ref="E32">Common_InputFunctions.Utility_DisplayArrayInTable(SourceData_Swine.SourceData_Swine_MMS_MCFs_Data(),Table_SourceData_Swine_MMSMCF[[#Headers],[MMS]],0)</f>
        <v>0.75</v>
      </c>
      <c r="F32" s="37" cm="1">
        <f t="array" ref="F32">Common_InputFunctions.Utility_DisplayArrayInTable(SourceData_Swine.SourceData_Swine_MMS_MCFs_Data(),Table_SourceData_Swine_MMSMCF[[#Headers],[MMS]],0)</f>
        <v>0.75</v>
      </c>
      <c r="G32" s="37" cm="1">
        <f t="array" ref="G32">Common_InputFunctions.Utility_DisplayArrayInTable(SourceData_Swine.SourceData_Swine_MMS_MCFs_Data(),Table_SourceData_Swine_MMSMCF[[#Headers],[MMS]],0)</f>
        <v>0.78</v>
      </c>
      <c r="H32" s="37" cm="1">
        <f t="array" ref="H32">Common_InputFunctions.Utility_DisplayArrayInTable(SourceData_Swine.SourceData_Swine_MMS_MCFs_Data(),Table_SourceData_Swine_MMSMCF[[#Headers],[MMS]],0)</f>
        <v>0.78</v>
      </c>
      <c r="I32" s="37" cm="1">
        <f t="array" ref="I32">Common_InputFunctions.Utility_DisplayArrayInTable(SourceData_Swine.SourceData_Swine_MMS_MCFs_Data(),Table_SourceData_Swine_MMSMCF[[#Headers],[MMS]],0)</f>
        <v>0.75</v>
      </c>
      <c r="J32" s="37" cm="1">
        <f t="array" ref="J32">Common_InputFunctions.Utility_DisplayArrayInTable(SourceData_Swine.SourceData_Swine_MMS_MCFs_Data(),Table_SourceData_Swine_MMSMCF[[#Headers],[MMS]],0)</f>
        <v>0.7</v>
      </c>
      <c r="K32" s="37" cm="1">
        <f t="array" ref="K32">Common_InputFunctions.Utility_DisplayArrayInTable(SourceData_Swine.SourceData_Swine_MMS_MCFs_Data(),Table_SourceData_Swine_MMSMCF[[#Headers],[MMS]],0)</f>
        <v>0.74</v>
      </c>
      <c r="L32" s="37" cm="1">
        <f t="array" ref="L32">Common_InputFunctions.Utility_DisplayArrayInTable(SourceData_Swine.SourceData_Swine_MMS_MCFs_Data(),Table_SourceData_Swine_MMSMCF[[#Headers],[MMS]],0)</f>
        <v>0.76</v>
      </c>
      <c r="M32" s="37" t="str" cm="1">
        <f t="array" ref="M32">Common_InputFunctions.Utility_DisplayArrayInTable(SourceData_Swine.SourceData_Swine_MMS_MCFs_Data(),Table_SourceData_Swine_MMSMCF[[#Headers],[MMS]],0)</f>
        <v>Anaerobic lagoon</v>
      </c>
    </row>
    <row r="33" spans="4:13" ht="20.100000000000001" customHeight="1" x14ac:dyDescent="0.25">
      <c r="D33" s="1" t="str" cm="1">
        <f t="array" ref="D33">Common_InputFunctions.Utility_DisplayArrayInTable(SourceData_Swine.SourceData_Swine_MMS_MCFs_Data(),Table_SourceData_Swine_MMSMCF[[#Headers],[MMS]],0)</f>
        <v>Anaerobic digester / Covered lagoon</v>
      </c>
      <c r="E33" s="37" cm="1">
        <f t="array" ref="E33">Common_InputFunctions.Utility_DisplayArrayInTable(SourceData_Swine.SourceData_Swine_MMS_MCFs_Data(),Table_SourceData_Swine_MMSMCF[[#Headers],[MMS]],0)</f>
        <v>0.1</v>
      </c>
      <c r="F33" s="37" cm="1">
        <f t="array" ref="F33">Common_InputFunctions.Utility_DisplayArrayInTable(SourceData_Swine.SourceData_Swine_MMS_MCFs_Data(),Table_SourceData_Swine_MMSMCF[[#Headers],[MMS]],0)</f>
        <v>0.1</v>
      </c>
      <c r="G33" s="37" cm="1">
        <f t="array" ref="G33">Common_InputFunctions.Utility_DisplayArrayInTable(SourceData_Swine.SourceData_Swine_MMS_MCFs_Data(),Table_SourceData_Swine_MMSMCF[[#Headers],[MMS]],0)</f>
        <v>0.1</v>
      </c>
      <c r="H33" s="37" cm="1">
        <f t="array" ref="H33">Common_InputFunctions.Utility_DisplayArrayInTable(SourceData_Swine.SourceData_Swine_MMS_MCFs_Data(),Table_SourceData_Swine_MMSMCF[[#Headers],[MMS]],0)</f>
        <v>0.1</v>
      </c>
      <c r="I33" s="37" cm="1">
        <f t="array" ref="I33">Common_InputFunctions.Utility_DisplayArrayInTable(SourceData_Swine.SourceData_Swine_MMS_MCFs_Data(),Table_SourceData_Swine_MMSMCF[[#Headers],[MMS]],0)</f>
        <v>0.1</v>
      </c>
      <c r="J33" s="37" cm="1">
        <f t="array" ref="J33">Common_InputFunctions.Utility_DisplayArrayInTable(SourceData_Swine.SourceData_Swine_MMS_MCFs_Data(),Table_SourceData_Swine_MMSMCF[[#Headers],[MMS]],0)</f>
        <v>0.1</v>
      </c>
      <c r="K33" s="37" cm="1">
        <f t="array" ref="K33">Common_InputFunctions.Utility_DisplayArrayInTable(SourceData_Swine.SourceData_Swine_MMS_MCFs_Data(),Table_SourceData_Swine_MMSMCF[[#Headers],[MMS]],0)</f>
        <v>0.1</v>
      </c>
      <c r="L33" s="37" cm="1">
        <f t="array" ref="L33">Common_InputFunctions.Utility_DisplayArrayInTable(SourceData_Swine.SourceData_Swine_MMS_MCFs_Data(),Table_SourceData_Swine_MMSMCF[[#Headers],[MMS]],0)</f>
        <v>0.1</v>
      </c>
      <c r="M33" s="37" t="str" cm="1">
        <f t="array" ref="M33">Common_InputFunctions.Utility_DisplayArrayInTable(SourceData_Swine.SourceData_Swine_MMS_MCFs_Data(),Table_SourceData_Swine_MMSMCF[[#Headers],[MMS]],0)</f>
        <v>Digester / covered lagoons</v>
      </c>
    </row>
    <row r="34" spans="4:13" ht="20.100000000000001" customHeight="1" x14ac:dyDescent="0.25">
      <c r="D34" s="1" t="str" cm="1">
        <f t="array" ref="D34">Common_InputFunctions.Utility_DisplayArrayInTable(SourceData_Swine.SourceData_Swine_MMS_MCFs_Data(),Table_SourceData_Swine_MMSMCF[[#Headers],[MMS]],0)</f>
        <v>Short HRT tank storage &lt; 1 month (pit storage)</v>
      </c>
      <c r="E34" s="37" cm="1">
        <f t="array" ref="E34">Common_InputFunctions.Utility_DisplayArrayInTable(SourceData_Swine.SourceData_Swine_MMS_MCFs_Data(),Table_SourceData_Swine_MMSMCF[[#Headers],[MMS]],0)</f>
        <v>0.03</v>
      </c>
      <c r="F34" s="37" cm="1">
        <f t="array" ref="F34">Common_InputFunctions.Utility_DisplayArrayInTable(SourceData_Swine.SourceData_Swine_MMS_MCFs_Data(),Table_SourceData_Swine_MMSMCF[[#Headers],[MMS]],0)</f>
        <v>0.03</v>
      </c>
      <c r="G34" s="37" cm="1">
        <f t="array" ref="G34">Common_InputFunctions.Utility_DisplayArrayInTable(SourceData_Swine.SourceData_Swine_MMS_MCFs_Data(),Table_SourceData_Swine_MMSMCF[[#Headers],[MMS]],0)</f>
        <v>0.03</v>
      </c>
      <c r="H34" s="37" cm="1">
        <f t="array" ref="H34">Common_InputFunctions.Utility_DisplayArrayInTable(SourceData_Swine.SourceData_Swine_MMS_MCFs_Data(),Table_SourceData_Swine_MMSMCF[[#Headers],[MMS]],0)</f>
        <v>0.03</v>
      </c>
      <c r="I34" s="37" cm="1">
        <f t="array" ref="I34">Common_InputFunctions.Utility_DisplayArrayInTable(SourceData_Swine.SourceData_Swine_MMS_MCFs_Data(),Table_SourceData_Swine_MMSMCF[[#Headers],[MMS]],0)</f>
        <v>0.03</v>
      </c>
      <c r="J34" s="37" cm="1">
        <f t="array" ref="J34">Common_InputFunctions.Utility_DisplayArrayInTable(SourceData_Swine.SourceData_Swine_MMS_MCFs_Data(),Table_SourceData_Swine_MMSMCF[[#Headers],[MMS]],0)</f>
        <v>0.03</v>
      </c>
      <c r="K34" s="37" cm="1">
        <f t="array" ref="K34">Common_InputFunctions.Utility_DisplayArrayInTable(SourceData_Swine.SourceData_Swine_MMS_MCFs_Data(),Table_SourceData_Swine_MMSMCF[[#Headers],[MMS]],0)</f>
        <v>0.03</v>
      </c>
      <c r="L34" s="37" cm="1">
        <f t="array" ref="L34">Common_InputFunctions.Utility_DisplayArrayInTable(SourceData_Swine.SourceData_Swine_MMS_MCFs_Data(),Table_SourceData_Swine_MMSMCF[[#Headers],[MMS]],0)</f>
        <v>0.03</v>
      </c>
      <c r="M34" s="37" t="str" cm="1">
        <f t="array" ref="M34">Common_InputFunctions.Utility_DisplayArrayInTable(SourceData_Swine.SourceData_Swine_MMS_MCFs_Data(),Table_SourceData_Swine_MMSMCF[[#Headers],[MMS]],0)</f>
        <v>Pit storage</v>
      </c>
    </row>
    <row r="35" spans="4:13" ht="20.100000000000001" customHeight="1" x14ac:dyDescent="0.25">
      <c r="D35" s="1" t="str" cm="1">
        <f t="array" ref="D35">Common_InputFunctions.Utility_DisplayArrayInTable(SourceData_Swine.SourceData_Swine_MMS_MCFs_Data(),Table_SourceData_Swine_MMSMCF[[#Headers],[MMS]],0)</f>
        <v>Direct Application to soil</v>
      </c>
      <c r="E35" s="37" cm="1">
        <f t="array" ref="E35">Common_InputFunctions.Utility_DisplayArrayInTable(SourceData_Swine.SourceData_Swine_MMS_MCFs_Data(),Table_SourceData_Swine_MMSMCF[[#Headers],[MMS]],0)</f>
        <v>0</v>
      </c>
      <c r="F35" s="37" cm="1">
        <f t="array" ref="F35">Common_InputFunctions.Utility_DisplayArrayInTable(SourceData_Swine.SourceData_Swine_MMS_MCFs_Data(),Table_SourceData_Swine_MMSMCF[[#Headers],[MMS]],0)</f>
        <v>0</v>
      </c>
      <c r="G35" s="37" cm="1">
        <f t="array" ref="G35">Common_InputFunctions.Utility_DisplayArrayInTable(SourceData_Swine.SourceData_Swine_MMS_MCFs_Data(),Table_SourceData_Swine_MMSMCF[[#Headers],[MMS]],0)</f>
        <v>0</v>
      </c>
      <c r="H35" s="37" cm="1">
        <f t="array" ref="H35">Common_InputFunctions.Utility_DisplayArrayInTable(SourceData_Swine.SourceData_Swine_MMS_MCFs_Data(),Table_SourceData_Swine_MMSMCF[[#Headers],[MMS]],0)</f>
        <v>0</v>
      </c>
      <c r="I35" s="37" cm="1">
        <f t="array" ref="I35">Common_InputFunctions.Utility_DisplayArrayInTable(SourceData_Swine.SourceData_Swine_MMS_MCFs_Data(),Table_SourceData_Swine_MMSMCF[[#Headers],[MMS]],0)</f>
        <v>0</v>
      </c>
      <c r="J35" s="37" cm="1">
        <f t="array" ref="J35">Common_InputFunctions.Utility_DisplayArrayInTable(SourceData_Swine.SourceData_Swine_MMS_MCFs_Data(),Table_SourceData_Swine_MMSMCF[[#Headers],[MMS]],0)</f>
        <v>0</v>
      </c>
      <c r="K35" s="37" cm="1">
        <f t="array" ref="K35">Common_InputFunctions.Utility_DisplayArrayInTable(SourceData_Swine.SourceData_Swine_MMS_MCFs_Data(),Table_SourceData_Swine_MMSMCF[[#Headers],[MMS]],0)</f>
        <v>0</v>
      </c>
      <c r="L35" s="37" cm="1">
        <f t="array" ref="L35">Common_InputFunctions.Utility_DisplayArrayInTable(SourceData_Swine.SourceData_Swine_MMS_MCFs_Data(),Table_SourceData_Swine_MMSMCF[[#Headers],[MMS]],0)</f>
        <v>0</v>
      </c>
      <c r="M35" s="37" t="str" cm="1">
        <f t="array" ref="M35">Common_InputFunctions.Utility_DisplayArrayInTable(SourceData_Swine.SourceData_Swine_MMS_MCFs_Data(),Table_SourceData_Swine_MMSMCF[[#Headers],[MMS]],0)</f>
        <v>Direct application</v>
      </c>
    </row>
    <row r="36" spans="4:13" ht="20.100000000000001" customHeight="1" x14ac:dyDescent="0.25">
      <c r="M36" s="1"/>
    </row>
    <row r="37" spans="4:13" ht="20.100000000000001" customHeight="1" x14ac:dyDescent="0.25">
      <c r="M37" s="1"/>
    </row>
    <row r="38" spans="4:13" ht="20.100000000000001" customHeight="1" x14ac:dyDescent="0.25">
      <c r="D38" s="6" t="s">
        <v>241</v>
      </c>
      <c r="G38" s="6" t="s">
        <v>242</v>
      </c>
      <c r="K38" s="6" t="s">
        <v>243</v>
      </c>
      <c r="M38" s="1"/>
    </row>
    <row r="39" spans="4:13" ht="20.100000000000001" customHeight="1" x14ac:dyDescent="0.25">
      <c r="M39" s="1"/>
    </row>
    <row r="40" spans="4:13" ht="20.100000000000001" customHeight="1" x14ac:dyDescent="0.25">
      <c r="D40" s="121" t="s">
        <v>67</v>
      </c>
      <c r="E40" s="37" t="s">
        <v>81</v>
      </c>
      <c r="G40" s="121" t="s">
        <v>67</v>
      </c>
      <c r="H40" s="37" t="s">
        <v>81</v>
      </c>
      <c r="K40" s="121" t="s">
        <v>67</v>
      </c>
      <c r="L40" s="37" t="s">
        <v>81</v>
      </c>
      <c r="M40" s="1"/>
    </row>
    <row r="41" spans="4:13" ht="20.100000000000001" customHeight="1" x14ac:dyDescent="0.25">
      <c r="D41" s="37" t="str">
        <f>'[1]Constants - Livestock'!$E$10</f>
        <v>Anaerobic lagoon</v>
      </c>
      <c r="E41" s="37" t="str">
        <f>'[1]Constants - Livestock'!$F$10</f>
        <v>Anaerobic lagoon (m=1)</v>
      </c>
      <c r="G41" s="37" t="str">
        <f>'[1]Constants - Livestock'!$E$10</f>
        <v>Anaerobic lagoon</v>
      </c>
      <c r="H41" s="37" t="str">
        <f>'[1]Constants - Livestock'!$F$10</f>
        <v>Anaerobic lagoon (m=1)</v>
      </c>
      <c r="K41" s="37" t="str">
        <f>'[1]Constants - Livestock'!$E$10</f>
        <v>Anaerobic lagoon</v>
      </c>
      <c r="L41" s="37" t="str">
        <f>'[1]Constants - Livestock'!$F$10</f>
        <v>Anaerobic lagoon (m=1)</v>
      </c>
      <c r="M41" s="1"/>
    </row>
    <row r="42" spans="4:13" ht="20.100000000000001" customHeight="1" x14ac:dyDescent="0.25">
      <c r="D42" s="37" t="str">
        <f>'[1]Constants - Livestock'!$E$15</f>
        <v>Solid storage</v>
      </c>
      <c r="E42" s="37" t="str">
        <f>'[1]Constants - Livestock'!$F$15</f>
        <v>Solid storage (m=4)</v>
      </c>
      <c r="G42" s="37" t="str">
        <f>'[1]Constants - Livestock'!$E$16</f>
        <v>Drylot (feed pad)</v>
      </c>
      <c r="H42" s="37" t="str">
        <f>'[1]Constants - Livestock'!$F$16</f>
        <v>Drylot (feed pad) (m=5)</v>
      </c>
      <c r="K42" s="37" t="str">
        <f>'[1]Constants - Livestock'!$E$15</f>
        <v>Solid storage</v>
      </c>
      <c r="L42" s="37" t="str">
        <f>'[1]Constants - Livestock'!$F$15</f>
        <v>Solid storage (m=4)</v>
      </c>
      <c r="M42" s="1"/>
    </row>
    <row r="43" spans="4:13" ht="20.100000000000001" customHeight="1" x14ac:dyDescent="0.25">
      <c r="D43" s="37" t="str">
        <f>'[1]Constants - Livestock'!$E$16</f>
        <v>Drylot (feed pad)</v>
      </c>
      <c r="E43" s="37" t="str">
        <f>'[1]Constants - Livestock'!$F$16</f>
        <v>Drylot (feed pad) (m=5)</v>
      </c>
      <c r="G43" s="37" t="str">
        <f>'[1]Constants - Livestock'!$E$18</f>
        <v>Digester / covered lagoons</v>
      </c>
      <c r="H43" s="37" t="str">
        <f>'[1]Constants - Livestock'!$F$18</f>
        <v>Digester / covered lagoons (m=7)</v>
      </c>
      <c r="K43" s="37" t="str">
        <f>'[1]Constants - Livestock'!$E$16</f>
        <v>Drylot (feed pad)</v>
      </c>
      <c r="L43" s="37" t="str">
        <f>'[1]Constants - Livestock'!$F$16</f>
        <v>Drylot (feed pad) (m=5)</v>
      </c>
      <c r="M43" s="1"/>
    </row>
    <row r="44" spans="4:13" ht="20.100000000000001" customHeight="1" x14ac:dyDescent="0.25">
      <c r="D44" s="37" t="str">
        <f>'[1]Constants - Livestock'!$E$18</f>
        <v>Digester / covered lagoons</v>
      </c>
      <c r="E44" s="37" t="str">
        <f>'[1]Constants - Livestock'!$F$18</f>
        <v>Digester / covered lagoons (m=7)</v>
      </c>
      <c r="G44" s="37" t="str">
        <f>'[1]Constants - Livestock'!$E$19</f>
        <v>Deep litter</v>
      </c>
      <c r="H44" s="37" t="str">
        <f>'[1]Constants - Livestock'!$F$19</f>
        <v>Deep litter (m=8)</v>
      </c>
      <c r="K44" s="37" t="str">
        <f>'[1]Constants - Livestock'!$E$18</f>
        <v>Digester / covered lagoons</v>
      </c>
      <c r="L44" s="37" t="str">
        <f>'[1]Constants - Livestock'!$F$18</f>
        <v>Digester / covered lagoons (m=7)</v>
      </c>
      <c r="M44" s="1"/>
    </row>
    <row r="45" spans="4:13" ht="20.100000000000001" customHeight="1" x14ac:dyDescent="0.25">
      <c r="D45" s="37" t="str">
        <f>'[1]Constants - Livestock'!$E$19</f>
        <v>Deep litter</v>
      </c>
      <c r="E45" s="37" t="str">
        <f>'[1]Constants - Livestock'!$F$19</f>
        <v>Deep litter (m=8)</v>
      </c>
      <c r="G45" s="37" t="str">
        <f>'[1]Constants - Livestock'!$E$20</f>
        <v>Pit storage</v>
      </c>
      <c r="H45" s="37" t="str">
        <f>'[1]Constants - Livestock'!$F$20</f>
        <v>Pit storage (m=9)</v>
      </c>
      <c r="K45" s="37" t="str">
        <f>'[1]Constants - Livestock'!$E$19</f>
        <v>Deep litter</v>
      </c>
      <c r="L45" s="37" t="str">
        <f>'[1]Constants - Livestock'!$F$19</f>
        <v>Deep litter (m=8)</v>
      </c>
      <c r="M45" s="1"/>
    </row>
    <row r="46" spans="4:13" ht="20.100000000000001" customHeight="1" x14ac:dyDescent="0.25">
      <c r="D46" s="37" t="str">
        <f>'[1]Constants - Livestock'!$E$20</f>
        <v>Pit storage</v>
      </c>
      <c r="E46" s="37" t="str">
        <f>'[1]Constants - Livestock'!$F$20</f>
        <v>Pit storage (m=9)</v>
      </c>
      <c r="K46" s="37" t="str">
        <f>'[1]Constants - Livestock'!$E$20</f>
        <v>Pit storage</v>
      </c>
      <c r="L46" s="37" t="str">
        <f>'[1]Constants - Livestock'!$F$20</f>
        <v>Pit storage (m=9)</v>
      </c>
      <c r="M46" s="1"/>
    </row>
    <row r="47" spans="4:13" ht="20.100000000000001" customHeight="1" x14ac:dyDescent="0.25">
      <c r="D47" s="37" t="str">
        <f>'[1]Constants - Livestock'!$E$26</f>
        <v>Direct application</v>
      </c>
      <c r="E47" s="37" t="str">
        <f>'[1]Constants - Livestock'!$F$26</f>
        <v>Direct application (m=13)</v>
      </c>
      <c r="M47" s="1"/>
    </row>
    <row r="48" spans="4:13" ht="20.100000000000001" customHeight="1" x14ac:dyDescent="0.25">
      <c r="M48" s="1"/>
    </row>
    <row r="49" spans="4:13" ht="20.100000000000001" customHeight="1" x14ac:dyDescent="0.25">
      <c r="M49" s="1"/>
    </row>
    <row r="50" spans="4:13" ht="20.100000000000001" customHeight="1" x14ac:dyDescent="0.25">
      <c r="M50" s="1"/>
    </row>
    <row r="51" spans="4:13" ht="20.100000000000001" customHeight="1" x14ac:dyDescent="0.25">
      <c r="D51" s="6" t="s">
        <v>244</v>
      </c>
      <c r="G51" s="6" t="s">
        <v>245</v>
      </c>
      <c r="M51" s="1"/>
    </row>
    <row r="52" spans="4:13" ht="20.100000000000001" customHeight="1" x14ac:dyDescent="0.25">
      <c r="M52" s="1"/>
    </row>
    <row r="53" spans="4:13" ht="20.100000000000001" customHeight="1" x14ac:dyDescent="0.25">
      <c r="D53" s="121" t="s">
        <v>67</v>
      </c>
      <c r="E53" s="37" t="s">
        <v>246</v>
      </c>
      <c r="G53" s="37" t="s">
        <v>113</v>
      </c>
      <c r="M53" s="1"/>
    </row>
    <row r="54" spans="4:13" ht="20.100000000000001" customHeight="1" x14ac:dyDescent="0.25">
      <c r="D54" s="37" t="str">
        <f>'[1]Constants - Livestock'!$E$10</f>
        <v>Anaerobic lagoon</v>
      </c>
      <c r="E54" s="37">
        <v>0</v>
      </c>
      <c r="G54" s="37" t="str" cm="1">
        <f t="array" ref="G54">Common_InputFunctions.Utility_DisplayArrayInTable(SourceData_Swine.SourceData_Swine_ProductionSystems_Data(), Table_SourceData_Swine_ProductionSystems[[#Headers],[Production system]], 0)</f>
        <v>Conventional housing</v>
      </c>
      <c r="M54" s="1"/>
    </row>
    <row r="55" spans="4:13" ht="20.100000000000001" customHeight="1" x14ac:dyDescent="0.25">
      <c r="D55" s="37" t="str">
        <f>'[1]Constants - Livestock'!$E$15</f>
        <v>Solid storage</v>
      </c>
      <c r="E55" s="37">
        <v>0</v>
      </c>
      <c r="G55" s="37" t="str" cm="1">
        <f t="array" ref="G55">Common_InputFunctions.Utility_DisplayArrayInTable(SourceData_Swine.SourceData_Swine_ProductionSystems_Data(), Table_SourceData_Swine_ProductionSystems[[#Headers],[Production system]], 0)</f>
        <v>Deep litter housing</v>
      </c>
      <c r="M55" s="1"/>
    </row>
    <row r="56" spans="4:13" ht="20.100000000000001" customHeight="1" x14ac:dyDescent="0.25">
      <c r="D56" s="37" t="str">
        <f>'[1]Constants - Livestock'!$E$16</f>
        <v>Drylot (feed pad)</v>
      </c>
      <c r="E56" s="37">
        <v>0</v>
      </c>
      <c r="G56" s="37" t="str" cm="1">
        <f t="array" ref="G56">Common_InputFunctions.Utility_DisplayArrayInTable(SourceData_Swine.SourceData_Swine_ProductionSystems_Data(), Table_SourceData_Swine_ProductionSystems[[#Headers],[Production system]], 0)</f>
        <v>Outdoor/free range</v>
      </c>
      <c r="M56" s="1"/>
    </row>
    <row r="57" spans="4:13" ht="20.100000000000001" customHeight="1" x14ac:dyDescent="0.25">
      <c r="D57" s="37" t="str">
        <f>'[1]Constants - Livestock'!$E$18</f>
        <v>Digester / covered lagoons</v>
      </c>
      <c r="E57" s="37">
        <v>0.75</v>
      </c>
      <c r="M57" s="1"/>
    </row>
    <row r="58" spans="4:13" ht="20.100000000000001" customHeight="1" x14ac:dyDescent="0.25">
      <c r="D58" s="37" t="str">
        <f>'[1]Constants - Livestock'!$E$19</f>
        <v>Deep litter</v>
      </c>
      <c r="E58" s="37">
        <v>0.05</v>
      </c>
      <c r="M58" s="1"/>
    </row>
    <row r="59" spans="4:13" ht="20.100000000000001" customHeight="1" x14ac:dyDescent="0.25">
      <c r="D59" s="37" t="str">
        <f>'[1]Constants - Livestock'!$E$20</f>
        <v>Pit storage</v>
      </c>
      <c r="E59" s="37">
        <v>0</v>
      </c>
      <c r="M59" s="1"/>
    </row>
    <row r="60" spans="4:13" ht="20.100000000000001" customHeight="1" x14ac:dyDescent="0.25">
      <c r="D60" s="37" t="str">
        <f>'[1]Constants - Livestock'!$E$26</f>
        <v>Direct application</v>
      </c>
      <c r="E60" s="37">
        <v>0</v>
      </c>
      <c r="M60" s="1"/>
    </row>
    <row r="61" spans="4:13" ht="20.100000000000001" customHeight="1" x14ac:dyDescent="0.25">
      <c r="M61" s="1"/>
    </row>
    <row r="62" spans="4:13" ht="20.100000000000001" customHeight="1" x14ac:dyDescent="0.25">
      <c r="M62" s="1"/>
    </row>
    <row r="63" spans="4:13" ht="20.100000000000001" customHeight="1" x14ac:dyDescent="0.25">
      <c r="M63" s="1"/>
    </row>
    <row r="64" spans="4:13" ht="20.100000000000001" customHeight="1" x14ac:dyDescent="0.25">
      <c r="M64" s="1"/>
    </row>
    <row r="65" spans="13:22" ht="20.100000000000001" customHeight="1" x14ac:dyDescent="0.25">
      <c r="M65" s="1"/>
    </row>
    <row r="66" spans="13:22" ht="20.100000000000001" customHeight="1" x14ac:dyDescent="0.25">
      <c r="M66" s="1"/>
    </row>
    <row r="67" spans="13:22" ht="20.100000000000001" customHeight="1" x14ac:dyDescent="0.25">
      <c r="M67" s="1"/>
    </row>
    <row r="68" spans="13:22" ht="20.100000000000001" customHeight="1" x14ac:dyDescent="0.25">
      <c r="M68" s="1"/>
    </row>
    <row r="69" spans="13:22" ht="20.100000000000001" customHeight="1" x14ac:dyDescent="0.25">
      <c r="M69" s="1"/>
    </row>
    <row r="70" spans="13:22" ht="20.100000000000001" customHeight="1" x14ac:dyDescent="0.25">
      <c r="M70" s="1"/>
    </row>
    <row r="71" spans="13:22" ht="20.100000000000001" customHeight="1" x14ac:dyDescent="0.25">
      <c r="M71" s="1"/>
      <c r="V71" s="1"/>
    </row>
    <row r="72" spans="13:22" ht="20.100000000000001" customHeight="1" x14ac:dyDescent="0.25">
      <c r="M72" s="1"/>
      <c r="V72" s="1"/>
    </row>
    <row r="73" spans="13:22" ht="20.100000000000001" customHeight="1" x14ac:dyDescent="0.25">
      <c r="M73" s="1"/>
      <c r="V73" s="1"/>
    </row>
    <row r="74" spans="13:22" ht="20.100000000000001" customHeight="1" x14ac:dyDescent="0.25">
      <c r="M74" s="1"/>
      <c r="V74" s="1"/>
    </row>
    <row r="75" spans="13:22" ht="20.100000000000001" customHeight="1" x14ac:dyDescent="0.25">
      <c r="M75" s="1"/>
      <c r="V75" s="1"/>
    </row>
    <row r="76" spans="13:22" ht="20.100000000000001" customHeight="1" x14ac:dyDescent="0.25">
      <c r="M76" s="1"/>
      <c r="V76" s="1"/>
    </row>
    <row r="77" spans="13:22" ht="20.100000000000001" customHeight="1" x14ac:dyDescent="0.25">
      <c r="M77" s="1"/>
      <c r="V77" s="1"/>
    </row>
    <row r="78" spans="13:22" ht="20.100000000000001" customHeight="1" x14ac:dyDescent="0.25">
      <c r="M78" s="1"/>
    </row>
    <row r="79" spans="13:22" ht="20.100000000000001" customHeight="1" x14ac:dyDescent="0.25">
      <c r="M79" s="1"/>
    </row>
    <row r="80" spans="13:22" ht="20.100000000000001" customHeight="1" x14ac:dyDescent="0.25">
      <c r="M80" s="1"/>
    </row>
    <row r="81" spans="13:22" ht="20.100000000000001" customHeight="1" x14ac:dyDescent="0.25">
      <c r="M81" s="1"/>
    </row>
    <row r="82" spans="13:22" ht="20.100000000000001" customHeight="1" x14ac:dyDescent="0.25">
      <c r="M82" s="1"/>
    </row>
    <row r="83" spans="13:22" ht="20.100000000000001" customHeight="1" x14ac:dyDescent="0.25">
      <c r="M83" s="1"/>
    </row>
    <row r="84" spans="13:22" ht="20.100000000000001" customHeight="1" x14ac:dyDescent="0.25">
      <c r="M84" s="1"/>
    </row>
    <row r="85" spans="13:22" ht="20.100000000000001" customHeight="1" x14ac:dyDescent="0.25">
      <c r="M85" s="1"/>
      <c r="V85" s="1"/>
    </row>
    <row r="86" spans="13:22" ht="20.100000000000001" customHeight="1" x14ac:dyDescent="0.25">
      <c r="M86" s="1"/>
      <c r="V86" s="1"/>
    </row>
    <row r="87" spans="13:22" ht="20.100000000000001" customHeight="1" x14ac:dyDescent="0.25">
      <c r="M87" s="1"/>
      <c r="V87" s="1"/>
    </row>
    <row r="88" spans="13:22" ht="20.100000000000001" customHeight="1" x14ac:dyDescent="0.25">
      <c r="M88" s="1"/>
      <c r="V88" s="1"/>
    </row>
    <row r="89" spans="13:22" ht="20.100000000000001" customHeight="1" x14ac:dyDescent="0.25">
      <c r="M89" s="1"/>
      <c r="V89" s="1"/>
    </row>
    <row r="90" spans="13:22" ht="20.100000000000001" customHeight="1" x14ac:dyDescent="0.25">
      <c r="M90" s="1"/>
      <c r="V90" s="1"/>
    </row>
    <row r="91" spans="13:22" ht="20.100000000000001" customHeight="1" x14ac:dyDescent="0.25">
      <c r="M91" s="1"/>
    </row>
    <row r="92" spans="13:22" ht="20.100000000000001" customHeight="1" x14ac:dyDescent="0.25">
      <c r="M92" s="1"/>
    </row>
    <row r="93" spans="13:22" ht="20.100000000000001" customHeight="1" x14ac:dyDescent="0.25">
      <c r="M93" s="1"/>
    </row>
    <row r="94" spans="13:22" ht="20.100000000000001" customHeight="1" x14ac:dyDescent="0.25">
      <c r="M94" s="1"/>
    </row>
    <row r="95" spans="13:22" ht="20.100000000000001" customHeight="1" x14ac:dyDescent="0.25">
      <c r="M95" s="1"/>
    </row>
    <row r="96" spans="13:22" ht="20.100000000000001" customHeight="1" x14ac:dyDescent="0.25">
      <c r="M96" s="1"/>
    </row>
    <row r="97" spans="13:13" ht="20.100000000000001" customHeight="1" x14ac:dyDescent="0.25">
      <c r="M97" s="1"/>
    </row>
    <row r="98" spans="13:13" ht="20.100000000000001" customHeight="1" x14ac:dyDescent="0.25">
      <c r="M98" s="1"/>
    </row>
    <row r="99" spans="13:13" ht="20.100000000000001" customHeight="1" x14ac:dyDescent="0.25">
      <c r="M99" s="1"/>
    </row>
    <row r="100" spans="13:13" ht="20.100000000000001" customHeight="1" x14ac:dyDescent="0.25">
      <c r="M100" s="1"/>
    </row>
    <row r="101" spans="13:13" ht="20.100000000000001" customHeight="1" x14ac:dyDescent="0.25">
      <c r="M101" s="1"/>
    </row>
    <row r="102" spans="13:13" ht="20.100000000000001" customHeight="1" x14ac:dyDescent="0.25">
      <c r="M102" s="1"/>
    </row>
    <row r="103" spans="13:13" ht="20.100000000000001" customHeight="1" x14ac:dyDescent="0.25">
      <c r="M103" s="1"/>
    </row>
    <row r="104" spans="13:13" ht="20.100000000000001" customHeight="1" x14ac:dyDescent="0.25">
      <c r="M104" s="1"/>
    </row>
    <row r="105" spans="13:13" ht="20.100000000000001" customHeight="1" x14ac:dyDescent="0.25">
      <c r="M105" s="1"/>
    </row>
    <row r="106" spans="13:13" ht="20.100000000000001" customHeight="1" x14ac:dyDescent="0.25">
      <c r="M106" s="1"/>
    </row>
    <row r="107" spans="13:13" ht="20.100000000000001" customHeight="1" x14ac:dyDescent="0.25">
      <c r="M107" s="1"/>
    </row>
    <row r="108" spans="13:13" ht="20.100000000000001" customHeight="1" x14ac:dyDescent="0.25">
      <c r="M108" s="1"/>
    </row>
    <row r="109" spans="13:13" ht="20.100000000000001" customHeight="1" x14ac:dyDescent="0.25">
      <c r="M109" s="1"/>
    </row>
    <row r="110" spans="13:13" ht="20.100000000000001" customHeight="1" x14ac:dyDescent="0.25">
      <c r="M110" s="1"/>
    </row>
    <row r="111" spans="13:13" ht="20.100000000000001" customHeight="1" x14ac:dyDescent="0.25">
      <c r="M111" s="1"/>
    </row>
    <row r="112" spans="13:13" ht="20.100000000000001" customHeight="1" x14ac:dyDescent="0.25">
      <c r="M112" s="1"/>
    </row>
    <row r="113" spans="13:22" ht="20.100000000000001" customHeight="1" x14ac:dyDescent="0.25">
      <c r="M113" s="1"/>
    </row>
    <row r="114" spans="13:22" ht="20.100000000000001" customHeight="1" x14ac:dyDescent="0.25">
      <c r="M114" s="1"/>
    </row>
    <row r="115" spans="13:22" ht="20.100000000000001" customHeight="1" x14ac:dyDescent="0.25">
      <c r="M115" s="1"/>
      <c r="V115" s="1"/>
    </row>
    <row r="116" spans="13:22" ht="20.100000000000001" customHeight="1" x14ac:dyDescent="0.25">
      <c r="M116" s="1"/>
      <c r="V116" s="1"/>
    </row>
    <row r="117" spans="13:22" ht="20.100000000000001" customHeight="1" x14ac:dyDescent="0.25">
      <c r="M117" s="1"/>
      <c r="V117" s="1"/>
    </row>
    <row r="118" spans="13:22" ht="20.100000000000001" customHeight="1" x14ac:dyDescent="0.25">
      <c r="M118" s="1"/>
    </row>
    <row r="119" spans="13:22" ht="20.100000000000001" customHeight="1" x14ac:dyDescent="0.25">
      <c r="M119" s="1"/>
    </row>
    <row r="120" spans="13:22" ht="20.100000000000001" customHeight="1" x14ac:dyDescent="0.25">
      <c r="M120" s="1"/>
    </row>
    <row r="121" spans="13:22" ht="20.100000000000001" customHeight="1" x14ac:dyDescent="0.25">
      <c r="M121" s="1"/>
    </row>
    <row r="122" spans="13:22" ht="20.100000000000001" customHeight="1" x14ac:dyDescent="0.25">
      <c r="M122" s="1"/>
    </row>
    <row r="123" spans="13:22" ht="20.100000000000001" customHeight="1" x14ac:dyDescent="0.25">
      <c r="M123" s="1"/>
    </row>
    <row r="124" spans="13:22" ht="20.100000000000001" customHeight="1" x14ac:dyDescent="0.25">
      <c r="M124" s="1"/>
    </row>
    <row r="125" spans="13:22" ht="20.100000000000001" customHeight="1" x14ac:dyDescent="0.25">
      <c r="M125" s="1"/>
      <c r="V125" s="1"/>
    </row>
    <row r="126" spans="13:22" ht="20.100000000000001" customHeight="1" x14ac:dyDescent="0.25">
      <c r="M126" s="1"/>
      <c r="V126" s="1"/>
    </row>
    <row r="127" spans="13:22" ht="20.100000000000001" customHeight="1" x14ac:dyDescent="0.25">
      <c r="M127" s="1"/>
      <c r="V127" s="1"/>
    </row>
    <row r="128" spans="13:22" ht="20.100000000000001" customHeight="1" x14ac:dyDescent="0.25">
      <c r="M128" s="1"/>
      <c r="V128" s="1"/>
    </row>
    <row r="129" spans="13:22" ht="20.100000000000001" customHeight="1" x14ac:dyDescent="0.25">
      <c r="M129" s="1"/>
      <c r="V129" s="1"/>
    </row>
    <row r="130" spans="13:22" ht="20.100000000000001" customHeight="1" x14ac:dyDescent="0.25">
      <c r="M130" s="1"/>
      <c r="V130" s="1"/>
    </row>
    <row r="131" spans="13:22" ht="20.100000000000001" customHeight="1" x14ac:dyDescent="0.25">
      <c r="M131" s="1"/>
    </row>
    <row r="132" spans="13:22" ht="20.100000000000001" customHeight="1" x14ac:dyDescent="0.25">
      <c r="M132" s="1"/>
    </row>
    <row r="133" spans="13:22" ht="20.100000000000001" customHeight="1" x14ac:dyDescent="0.25">
      <c r="M133" s="1"/>
    </row>
    <row r="134" spans="13:22" ht="20.100000000000001" customHeight="1" x14ac:dyDescent="0.25">
      <c r="M134" s="1"/>
    </row>
    <row r="135" spans="13:22" ht="20.100000000000001" customHeight="1" x14ac:dyDescent="0.25">
      <c r="M135" s="1"/>
    </row>
    <row r="136" spans="13:22" ht="20.100000000000001" customHeight="1" x14ac:dyDescent="0.25">
      <c r="M136" s="1"/>
    </row>
    <row r="137" spans="13:22" ht="20.100000000000001" customHeight="1" x14ac:dyDescent="0.25">
      <c r="M137" s="1"/>
    </row>
    <row r="138" spans="13:22" ht="20.100000000000001" customHeight="1" x14ac:dyDescent="0.25">
      <c r="M138" s="1"/>
    </row>
    <row r="139" spans="13:22" ht="20.100000000000001" customHeight="1" x14ac:dyDescent="0.25">
      <c r="M139" s="1"/>
    </row>
    <row r="140" spans="13:22" ht="20.100000000000001" customHeight="1" x14ac:dyDescent="0.25">
      <c r="M140" s="1"/>
    </row>
    <row r="141" spans="13:22" ht="20.100000000000001" customHeight="1" x14ac:dyDescent="0.25">
      <c r="M141" s="1"/>
    </row>
    <row r="142" spans="13:22" ht="20.100000000000001" customHeight="1" x14ac:dyDescent="0.25">
      <c r="M142" s="1"/>
    </row>
    <row r="143" spans="13:22" ht="20.100000000000001" customHeight="1" x14ac:dyDescent="0.25">
      <c r="M143" s="1"/>
    </row>
    <row r="144" spans="13:22" ht="20.100000000000001" customHeight="1" x14ac:dyDescent="0.25">
      <c r="M144" s="1"/>
    </row>
    <row r="145" spans="13:13" ht="20.100000000000001" customHeight="1" x14ac:dyDescent="0.25">
      <c r="M145" s="1"/>
    </row>
    <row r="146" spans="13:13" ht="20.100000000000001" customHeight="1" x14ac:dyDescent="0.25">
      <c r="M146" s="1"/>
    </row>
    <row r="147" spans="13:13" ht="20.100000000000001" customHeight="1" x14ac:dyDescent="0.25">
      <c r="M147" s="1"/>
    </row>
    <row r="148" spans="13:13" ht="20.100000000000001" customHeight="1" x14ac:dyDescent="0.25">
      <c r="M148" s="1"/>
    </row>
    <row r="149" spans="13:13" ht="20.100000000000001" customHeight="1" x14ac:dyDescent="0.25">
      <c r="M149" s="1"/>
    </row>
    <row r="150" spans="13:13" ht="20.100000000000001" customHeight="1" x14ac:dyDescent="0.25">
      <c r="M150" s="1"/>
    </row>
    <row r="151" spans="13:13" ht="20.100000000000001" customHeight="1" x14ac:dyDescent="0.25">
      <c r="M151" s="1"/>
    </row>
    <row r="152" spans="13:13" ht="20.100000000000001" customHeight="1" x14ac:dyDescent="0.25">
      <c r="M152" s="1"/>
    </row>
    <row r="153" spans="13:13" ht="20.100000000000001" customHeight="1" x14ac:dyDescent="0.25">
      <c r="M153" s="1"/>
    </row>
    <row r="154" spans="13:13" ht="20.100000000000001" customHeight="1" x14ac:dyDescent="0.25">
      <c r="M154" s="1"/>
    </row>
    <row r="155" spans="13:13" ht="20.100000000000001" customHeight="1" x14ac:dyDescent="0.25">
      <c r="M155" s="1"/>
    </row>
    <row r="156" spans="13:13" ht="20.100000000000001" customHeight="1" x14ac:dyDescent="0.25">
      <c r="M156" s="1"/>
    </row>
    <row r="157" spans="13:13" ht="20.100000000000001" customHeight="1" x14ac:dyDescent="0.25">
      <c r="M157" s="1"/>
    </row>
    <row r="158" spans="13:13" ht="20.100000000000001" customHeight="1" x14ac:dyDescent="0.25">
      <c r="M158" s="1"/>
    </row>
    <row r="159" spans="13:13" ht="20.100000000000001" customHeight="1" x14ac:dyDescent="0.25">
      <c r="M159" s="1"/>
    </row>
    <row r="160" spans="13:13" ht="20.100000000000001" customHeight="1" x14ac:dyDescent="0.25">
      <c r="M160" s="1"/>
    </row>
    <row r="161" spans="13:13" ht="20.100000000000001" customHeight="1" x14ac:dyDescent="0.25">
      <c r="M161" s="1"/>
    </row>
    <row r="162" spans="13:13" ht="20.100000000000001" customHeight="1" x14ac:dyDescent="0.25">
      <c r="M162" s="1"/>
    </row>
    <row r="163" spans="13:13" ht="20.100000000000001" customHeight="1" x14ac:dyDescent="0.25">
      <c r="M163" s="1"/>
    </row>
    <row r="164" spans="13:13" ht="20.100000000000001" customHeight="1" x14ac:dyDescent="0.25">
      <c r="M164" s="1"/>
    </row>
    <row r="165" spans="13:13" ht="20.100000000000001" customHeight="1" x14ac:dyDescent="0.25">
      <c r="M165" s="1"/>
    </row>
    <row r="166" spans="13:13" x14ac:dyDescent="0.25">
      <c r="M166" s="1"/>
    </row>
    <row r="167" spans="13:13" x14ac:dyDescent="0.25">
      <c r="M167" s="1"/>
    </row>
    <row r="168" spans="13:13" x14ac:dyDescent="0.25">
      <c r="M168" s="1"/>
    </row>
    <row r="169" spans="13:13" x14ac:dyDescent="0.25">
      <c r="M169" s="1"/>
    </row>
    <row r="170" spans="13:13" x14ac:dyDescent="0.25">
      <c r="M170" s="1"/>
    </row>
    <row r="171" spans="13:13" x14ac:dyDescent="0.25">
      <c r="M171" s="1"/>
    </row>
    <row r="172" spans="13:13" x14ac:dyDescent="0.25">
      <c r="M172" s="1"/>
    </row>
    <row r="173" spans="13:13" x14ac:dyDescent="0.25">
      <c r="M173" s="1"/>
    </row>
    <row r="174" spans="13:13" x14ac:dyDescent="0.25">
      <c r="M174" s="1"/>
    </row>
    <row r="175" spans="13:13" x14ac:dyDescent="0.25">
      <c r="M175" s="1"/>
    </row>
    <row r="176" spans="13:13" x14ac:dyDescent="0.25">
      <c r="M176" s="1"/>
    </row>
    <row r="177" spans="13:13" x14ac:dyDescent="0.25">
      <c r="M177" s="1"/>
    </row>
    <row r="178" spans="13:13" x14ac:dyDescent="0.25">
      <c r="M178" s="1"/>
    </row>
    <row r="179" spans="13:13" x14ac:dyDescent="0.25">
      <c r="M179" s="1"/>
    </row>
    <row r="180" spans="13:13" x14ac:dyDescent="0.25">
      <c r="M180" s="1"/>
    </row>
    <row r="181" spans="13:13" x14ac:dyDescent="0.25">
      <c r="M181" s="1"/>
    </row>
    <row r="182" spans="13:13" x14ac:dyDescent="0.25">
      <c r="M182" s="1"/>
    </row>
    <row r="183" spans="13:13" x14ac:dyDescent="0.25">
      <c r="M183" s="1"/>
    </row>
    <row r="184" spans="13:13" x14ac:dyDescent="0.25">
      <c r="M184" s="1"/>
    </row>
    <row r="185" spans="13:13" x14ac:dyDescent="0.25">
      <c r="M185" s="1"/>
    </row>
    <row r="186" spans="13:13" x14ac:dyDescent="0.25">
      <c r="M186" s="1"/>
    </row>
    <row r="187" spans="13:13" x14ac:dyDescent="0.25">
      <c r="M187" s="1"/>
    </row>
    <row r="188" spans="13:13" x14ac:dyDescent="0.25">
      <c r="M188" s="1"/>
    </row>
    <row r="189" spans="13:13" x14ac:dyDescent="0.25">
      <c r="M189" s="1"/>
    </row>
    <row r="190" spans="13:13" x14ac:dyDescent="0.25">
      <c r="M190" s="1"/>
    </row>
    <row r="191" spans="13:13" x14ac:dyDescent="0.25">
      <c r="M191" s="1"/>
    </row>
    <row r="192" spans="13:13" x14ac:dyDescent="0.25">
      <c r="M192" s="1"/>
    </row>
    <row r="193" spans="13:13" x14ac:dyDescent="0.25">
      <c r="M193" s="1"/>
    </row>
    <row r="194" spans="13:13" x14ac:dyDescent="0.25">
      <c r="M194" s="1"/>
    </row>
    <row r="195" spans="13:13" x14ac:dyDescent="0.25">
      <c r="M195" s="1"/>
    </row>
    <row r="196" spans="13:13" x14ac:dyDescent="0.25">
      <c r="M196" s="1"/>
    </row>
    <row r="197" spans="13:13" x14ac:dyDescent="0.25">
      <c r="M197" s="1"/>
    </row>
    <row r="198" spans="13:13" x14ac:dyDescent="0.25">
      <c r="M198" s="1"/>
    </row>
    <row r="199" spans="13:13" x14ac:dyDescent="0.25">
      <c r="M199" s="1"/>
    </row>
    <row r="200" spans="13:13" x14ac:dyDescent="0.25">
      <c r="M200" s="1"/>
    </row>
    <row r="201" spans="13:13" x14ac:dyDescent="0.25">
      <c r="M201" s="1"/>
    </row>
    <row r="202" spans="13:13" x14ac:dyDescent="0.25">
      <c r="M202" s="1"/>
    </row>
    <row r="203" spans="13:13" x14ac:dyDescent="0.25">
      <c r="M203" s="1"/>
    </row>
    <row r="204" spans="13:13" x14ac:dyDescent="0.25">
      <c r="M204" s="1"/>
    </row>
    <row r="205" spans="13:13" x14ac:dyDescent="0.25">
      <c r="M205" s="1"/>
    </row>
    <row r="206" spans="13:13" x14ac:dyDescent="0.25">
      <c r="M206" s="1"/>
    </row>
    <row r="207" spans="13:13" x14ac:dyDescent="0.25">
      <c r="M207" s="1"/>
    </row>
    <row r="208" spans="13:13" x14ac:dyDescent="0.25">
      <c r="M208" s="1"/>
    </row>
    <row r="209" spans="13:13" x14ac:dyDescent="0.25">
      <c r="M209" s="1"/>
    </row>
    <row r="210" spans="13:13" x14ac:dyDescent="0.25">
      <c r="M210" s="1"/>
    </row>
    <row r="211" spans="13:13" x14ac:dyDescent="0.25">
      <c r="M211" s="1"/>
    </row>
    <row r="212" spans="13:13" x14ac:dyDescent="0.25">
      <c r="M212" s="1"/>
    </row>
    <row r="213" spans="13:13" x14ac:dyDescent="0.25">
      <c r="M213" s="1"/>
    </row>
    <row r="214" spans="13:13" x14ac:dyDescent="0.25">
      <c r="M214" s="1"/>
    </row>
    <row r="215" spans="13:13" x14ac:dyDescent="0.25">
      <c r="M215" s="1"/>
    </row>
    <row r="216" spans="13:13" x14ac:dyDescent="0.25">
      <c r="M216" s="1"/>
    </row>
    <row r="217" spans="13:13" x14ac:dyDescent="0.25">
      <c r="M217" s="1"/>
    </row>
    <row r="218" spans="13:13" x14ac:dyDescent="0.25">
      <c r="M218" s="1"/>
    </row>
    <row r="219" spans="13:13" x14ac:dyDescent="0.25">
      <c r="M219" s="1"/>
    </row>
    <row r="220" spans="13:13" x14ac:dyDescent="0.25">
      <c r="M220" s="1"/>
    </row>
    <row r="221" spans="13:13" x14ac:dyDescent="0.25">
      <c r="M221" s="1"/>
    </row>
    <row r="222" spans="13:13" x14ac:dyDescent="0.25">
      <c r="M222" s="1"/>
    </row>
    <row r="223" spans="13:13" x14ac:dyDescent="0.25">
      <c r="M223" s="1"/>
    </row>
    <row r="224" spans="13:13" x14ac:dyDescent="0.25">
      <c r="M224" s="1"/>
    </row>
    <row r="225" spans="13:13" x14ac:dyDescent="0.25">
      <c r="M225" s="1"/>
    </row>
    <row r="226" spans="13:13" x14ac:dyDescent="0.25">
      <c r="M226" s="1"/>
    </row>
    <row r="227" spans="13:13" x14ac:dyDescent="0.25">
      <c r="M227" s="1"/>
    </row>
    <row r="228" spans="13:13" x14ac:dyDescent="0.25">
      <c r="M228" s="1"/>
    </row>
    <row r="229" spans="13:13" x14ac:dyDescent="0.25">
      <c r="M229" s="1"/>
    </row>
    <row r="230" spans="13:13" x14ac:dyDescent="0.25">
      <c r="M230" s="1"/>
    </row>
    <row r="231" spans="13:13" x14ac:dyDescent="0.25">
      <c r="M231" s="1"/>
    </row>
    <row r="232" spans="13:13" x14ac:dyDescent="0.25">
      <c r="M232" s="1"/>
    </row>
    <row r="233" spans="13:13" x14ac:dyDescent="0.25">
      <c r="M233" s="1"/>
    </row>
    <row r="234" spans="13:13" x14ac:dyDescent="0.25">
      <c r="M234" s="1"/>
    </row>
    <row r="235" spans="13:13" x14ac:dyDescent="0.25">
      <c r="M235" s="1"/>
    </row>
    <row r="236" spans="13:13" x14ac:dyDescent="0.25">
      <c r="M236" s="1"/>
    </row>
    <row r="237" spans="13:13" x14ac:dyDescent="0.25">
      <c r="M237" s="1"/>
    </row>
    <row r="238" spans="13:13" x14ac:dyDescent="0.25">
      <c r="M238" s="1"/>
    </row>
    <row r="239" spans="13:13" x14ac:dyDescent="0.25">
      <c r="M239" s="1"/>
    </row>
    <row r="240" spans="13:13" x14ac:dyDescent="0.25">
      <c r="M240" s="1"/>
    </row>
    <row r="241" spans="13:13" x14ac:dyDescent="0.25">
      <c r="M241" s="1"/>
    </row>
    <row r="242" spans="13:13" x14ac:dyDescent="0.25">
      <c r="M242" s="1"/>
    </row>
    <row r="243" spans="13:13" x14ac:dyDescent="0.25">
      <c r="M243" s="1"/>
    </row>
    <row r="244" spans="13:13" x14ac:dyDescent="0.25">
      <c r="M244" s="1"/>
    </row>
    <row r="245" spans="13:13" x14ac:dyDescent="0.25">
      <c r="M245" s="1"/>
    </row>
    <row r="246" spans="13:13" x14ac:dyDescent="0.25">
      <c r="M246" s="1"/>
    </row>
    <row r="247" spans="13:13" x14ac:dyDescent="0.25">
      <c r="M247" s="1"/>
    </row>
    <row r="248" spans="13:13" x14ac:dyDescent="0.25">
      <c r="M248" s="1"/>
    </row>
    <row r="249" spans="13:13" x14ac:dyDescent="0.25">
      <c r="M249" s="1"/>
    </row>
    <row r="250" spans="13:13" x14ac:dyDescent="0.25">
      <c r="M250" s="1"/>
    </row>
    <row r="251" spans="13:13" x14ac:dyDescent="0.25">
      <c r="M251" s="1"/>
    </row>
    <row r="252" spans="13:13" x14ac:dyDescent="0.25">
      <c r="M252" s="1"/>
    </row>
    <row r="253" spans="13:13" x14ac:dyDescent="0.25">
      <c r="M253" s="1"/>
    </row>
    <row r="254" spans="13:13" x14ac:dyDescent="0.25">
      <c r="M254" s="1"/>
    </row>
    <row r="255" spans="13:13" x14ac:dyDescent="0.25">
      <c r="M255" s="1"/>
    </row>
    <row r="256" spans="13:13" x14ac:dyDescent="0.25">
      <c r="M256" s="1"/>
    </row>
    <row r="257" spans="13:13" x14ac:dyDescent="0.25">
      <c r="M257" s="1"/>
    </row>
    <row r="258" spans="13:13" x14ac:dyDescent="0.25">
      <c r="M258" s="1"/>
    </row>
    <row r="259" spans="13:13" x14ac:dyDescent="0.25">
      <c r="M259" s="1"/>
    </row>
    <row r="260" spans="13:13" x14ac:dyDescent="0.25">
      <c r="M260" s="1"/>
    </row>
    <row r="261" spans="13:13" x14ac:dyDescent="0.25">
      <c r="M261" s="1"/>
    </row>
    <row r="262" spans="13:13" x14ac:dyDescent="0.25">
      <c r="M262" s="1"/>
    </row>
    <row r="263" spans="13:13" x14ac:dyDescent="0.25">
      <c r="M263" s="1"/>
    </row>
    <row r="264" spans="13:13" x14ac:dyDescent="0.25">
      <c r="M264" s="1"/>
    </row>
    <row r="265" spans="13:13" x14ac:dyDescent="0.25">
      <c r="M265" s="1"/>
    </row>
    <row r="266" spans="13:13" x14ac:dyDescent="0.25">
      <c r="M266" s="1"/>
    </row>
    <row r="267" spans="13:13" x14ac:dyDescent="0.25">
      <c r="M267" s="1"/>
    </row>
    <row r="268" spans="13:13" x14ac:dyDescent="0.25">
      <c r="M268" s="1"/>
    </row>
    <row r="269" spans="13:13" x14ac:dyDescent="0.25">
      <c r="M269" s="1"/>
    </row>
    <row r="270" spans="13:13" x14ac:dyDescent="0.25">
      <c r="M270" s="1"/>
    </row>
    <row r="271" spans="13:13" x14ac:dyDescent="0.25">
      <c r="M271" s="1"/>
    </row>
    <row r="272" spans="13:13" x14ac:dyDescent="0.25">
      <c r="M272" s="1"/>
    </row>
    <row r="273" spans="13:13" x14ac:dyDescent="0.25">
      <c r="M273" s="1"/>
    </row>
    <row r="274" spans="13:13" x14ac:dyDescent="0.25">
      <c r="M274" s="1"/>
    </row>
    <row r="275" spans="13:13" x14ac:dyDescent="0.25">
      <c r="M275" s="1"/>
    </row>
    <row r="276" spans="13:13" x14ac:dyDescent="0.25">
      <c r="M276" s="1"/>
    </row>
    <row r="277" spans="13:13" x14ac:dyDescent="0.25">
      <c r="M277" s="1"/>
    </row>
    <row r="278" spans="13:13" x14ac:dyDescent="0.25">
      <c r="M278" s="1"/>
    </row>
    <row r="279" spans="13:13" x14ac:dyDescent="0.25">
      <c r="M279" s="1"/>
    </row>
    <row r="280" spans="13:13" x14ac:dyDescent="0.25">
      <c r="M280" s="1"/>
    </row>
    <row r="281" spans="13:13" x14ac:dyDescent="0.25">
      <c r="M281" s="1"/>
    </row>
    <row r="282" spans="13:13" x14ac:dyDescent="0.25">
      <c r="M282" s="1"/>
    </row>
    <row r="283" spans="13:13" x14ac:dyDescent="0.25">
      <c r="M283" s="1"/>
    </row>
    <row r="284" spans="13:13" x14ac:dyDescent="0.25">
      <c r="M284" s="1"/>
    </row>
    <row r="285" spans="13:13" x14ac:dyDescent="0.25">
      <c r="M285" s="1"/>
    </row>
    <row r="286" spans="13:13" x14ac:dyDescent="0.25">
      <c r="M286" s="1"/>
    </row>
    <row r="287" spans="13:13" x14ac:dyDescent="0.25">
      <c r="M287" s="1"/>
    </row>
    <row r="288" spans="13:13" x14ac:dyDescent="0.25">
      <c r="M288" s="1"/>
    </row>
    <row r="289" spans="13:13" x14ac:dyDescent="0.25">
      <c r="M289" s="1"/>
    </row>
    <row r="290" spans="13:13" x14ac:dyDescent="0.25">
      <c r="M290" s="1"/>
    </row>
    <row r="291" spans="13:13" x14ac:dyDescent="0.25">
      <c r="M291" s="1"/>
    </row>
    <row r="292" spans="13:13" x14ac:dyDescent="0.25">
      <c r="M292" s="1"/>
    </row>
    <row r="293" spans="13:13" x14ac:dyDescent="0.25">
      <c r="M293" s="1"/>
    </row>
    <row r="294" spans="13:13" x14ac:dyDescent="0.25">
      <c r="M294" s="1"/>
    </row>
    <row r="295" spans="13:13" x14ac:dyDescent="0.25">
      <c r="M295" s="1"/>
    </row>
    <row r="296" spans="13:13" x14ac:dyDescent="0.25">
      <c r="M296" s="1"/>
    </row>
    <row r="297" spans="13:13" x14ac:dyDescent="0.25">
      <c r="M297" s="1"/>
    </row>
    <row r="298" spans="13:13" x14ac:dyDescent="0.25">
      <c r="M298" s="1"/>
    </row>
    <row r="299" spans="13:13" x14ac:dyDescent="0.25">
      <c r="M299" s="1"/>
    </row>
    <row r="300" spans="13:13" x14ac:dyDescent="0.25">
      <c r="M300" s="1"/>
    </row>
    <row r="301" spans="13:13" x14ac:dyDescent="0.25">
      <c r="M301" s="1"/>
    </row>
    <row r="302" spans="13:13" x14ac:dyDescent="0.25">
      <c r="M302" s="1"/>
    </row>
    <row r="303" spans="13:13" x14ac:dyDescent="0.25">
      <c r="M303" s="1"/>
    </row>
    <row r="304" spans="13:13" x14ac:dyDescent="0.25">
      <c r="M304" s="1"/>
    </row>
    <row r="305" spans="13:13" x14ac:dyDescent="0.25">
      <c r="M305" s="1"/>
    </row>
    <row r="306" spans="13:13" x14ac:dyDescent="0.25">
      <c r="M306" s="1"/>
    </row>
    <row r="307" spans="13:13" x14ac:dyDescent="0.25">
      <c r="M307" s="1"/>
    </row>
    <row r="308" spans="13:13" x14ac:dyDescent="0.25">
      <c r="M308" s="1"/>
    </row>
    <row r="309" spans="13:13" x14ac:dyDescent="0.25">
      <c r="M309" s="1"/>
    </row>
    <row r="310" spans="13:13" x14ac:dyDescent="0.25">
      <c r="M310" s="1"/>
    </row>
    <row r="311" spans="13:13" x14ac:dyDescent="0.25">
      <c r="M311" s="1"/>
    </row>
    <row r="312" spans="13:13" x14ac:dyDescent="0.25">
      <c r="M312" s="1"/>
    </row>
    <row r="313" spans="13:13" x14ac:dyDescent="0.25">
      <c r="M313" s="1"/>
    </row>
    <row r="314" spans="13:13" x14ac:dyDescent="0.25">
      <c r="M314" s="1"/>
    </row>
    <row r="315" spans="13:13" x14ac:dyDescent="0.25">
      <c r="M315" s="1"/>
    </row>
    <row r="316" spans="13:13" x14ac:dyDescent="0.25">
      <c r="M316" s="1"/>
    </row>
    <row r="317" spans="13:13" x14ac:dyDescent="0.25">
      <c r="M317" s="1"/>
    </row>
    <row r="318" spans="13:13" x14ac:dyDescent="0.25">
      <c r="M318" s="1"/>
    </row>
    <row r="319" spans="13:13" x14ac:dyDescent="0.25">
      <c r="M319" s="1"/>
    </row>
    <row r="320" spans="13:13" x14ac:dyDescent="0.25">
      <c r="M320" s="1"/>
    </row>
    <row r="321" spans="13:13" x14ac:dyDescent="0.25">
      <c r="M321" s="1"/>
    </row>
    <row r="322" spans="13:13" x14ac:dyDescent="0.25">
      <c r="M322" s="1"/>
    </row>
    <row r="323" spans="13:13" x14ac:dyDescent="0.25">
      <c r="M323" s="1"/>
    </row>
    <row r="324" spans="13:13" x14ac:dyDescent="0.25">
      <c r="M324" s="1"/>
    </row>
    <row r="325" spans="13:13" x14ac:dyDescent="0.25">
      <c r="M325" s="1"/>
    </row>
    <row r="326" spans="13:13" x14ac:dyDescent="0.25">
      <c r="M326" s="1"/>
    </row>
    <row r="327" spans="13:13" x14ac:dyDescent="0.25">
      <c r="M327" s="1"/>
    </row>
    <row r="328" spans="13:13" x14ac:dyDescent="0.25">
      <c r="M328" s="1"/>
    </row>
    <row r="329" spans="13:13" x14ac:dyDescent="0.25">
      <c r="M329" s="1"/>
    </row>
    <row r="330" spans="13:13" x14ac:dyDescent="0.25">
      <c r="M330" s="1"/>
    </row>
    <row r="331" spans="13:13" x14ac:dyDescent="0.25">
      <c r="M331" s="1"/>
    </row>
    <row r="332" spans="13:13" x14ac:dyDescent="0.25">
      <c r="M332" s="1"/>
    </row>
    <row r="333" spans="13:13" x14ac:dyDescent="0.25">
      <c r="M333" s="1"/>
    </row>
    <row r="334" spans="13:13" x14ac:dyDescent="0.25">
      <c r="M334" s="1"/>
    </row>
    <row r="335" spans="13:13" x14ac:dyDescent="0.25">
      <c r="M335" s="1"/>
    </row>
    <row r="336" spans="13:13" x14ac:dyDescent="0.25">
      <c r="M336" s="1"/>
    </row>
    <row r="337" spans="13:13" x14ac:dyDescent="0.25">
      <c r="M337" s="1"/>
    </row>
    <row r="338" spans="13:13" x14ac:dyDescent="0.25">
      <c r="M338" s="1"/>
    </row>
    <row r="339" spans="13:13" x14ac:dyDescent="0.25">
      <c r="M339" s="1"/>
    </row>
    <row r="340" spans="13:13" x14ac:dyDescent="0.25">
      <c r="M340" s="1"/>
    </row>
    <row r="341" spans="13:13" x14ac:dyDescent="0.25">
      <c r="M341" s="1"/>
    </row>
    <row r="342" spans="13:13" x14ac:dyDescent="0.25">
      <c r="M342" s="1"/>
    </row>
    <row r="343" spans="13:13" x14ac:dyDescent="0.25">
      <c r="M343" s="1"/>
    </row>
    <row r="344" spans="13:13" x14ac:dyDescent="0.25">
      <c r="M344" s="1"/>
    </row>
    <row r="345" spans="13:13" x14ac:dyDescent="0.25">
      <c r="M345" s="1"/>
    </row>
    <row r="346" spans="13:13" x14ac:dyDescent="0.25">
      <c r="M346" s="1"/>
    </row>
    <row r="347" spans="13:13" x14ac:dyDescent="0.25">
      <c r="M347" s="1"/>
    </row>
    <row r="348" spans="13:13" x14ac:dyDescent="0.25">
      <c r="M348" s="1"/>
    </row>
    <row r="349" spans="13:13" x14ac:dyDescent="0.25">
      <c r="M349" s="1"/>
    </row>
    <row r="350" spans="13:13" x14ac:dyDescent="0.25">
      <c r="M350" s="1"/>
    </row>
    <row r="351" spans="13:13" x14ac:dyDescent="0.25">
      <c r="M351" s="1"/>
    </row>
    <row r="352" spans="13:13" x14ac:dyDescent="0.25">
      <c r="M352" s="1"/>
    </row>
    <row r="353" spans="13:13" x14ac:dyDescent="0.25">
      <c r="M353" s="1"/>
    </row>
    <row r="354" spans="13:13" x14ac:dyDescent="0.25">
      <c r="M354" s="1"/>
    </row>
    <row r="355" spans="13:13" x14ac:dyDescent="0.25">
      <c r="M355" s="1"/>
    </row>
    <row r="356" spans="13:13" x14ac:dyDescent="0.25">
      <c r="M356" s="1"/>
    </row>
    <row r="357" spans="13:13" x14ac:dyDescent="0.25">
      <c r="M357" s="1"/>
    </row>
    <row r="358" spans="13:13" x14ac:dyDescent="0.25">
      <c r="M358" s="1"/>
    </row>
    <row r="359" spans="13:13" x14ac:dyDescent="0.25">
      <c r="M359" s="1"/>
    </row>
    <row r="360" spans="13:13" x14ac:dyDescent="0.25">
      <c r="M360" s="1"/>
    </row>
    <row r="361" spans="13:13" x14ac:dyDescent="0.25">
      <c r="M361" s="1"/>
    </row>
    <row r="362" spans="13:13" x14ac:dyDescent="0.25">
      <c r="M362" s="1"/>
    </row>
    <row r="363" spans="13:13" x14ac:dyDescent="0.25">
      <c r="M363" s="1"/>
    </row>
    <row r="364" spans="13:13" x14ac:dyDescent="0.25">
      <c r="M364" s="1"/>
    </row>
    <row r="365" spans="13:13" x14ac:dyDescent="0.25">
      <c r="M365" s="1"/>
    </row>
    <row r="366" spans="13:13" x14ac:dyDescent="0.25">
      <c r="M366" s="1"/>
    </row>
    <row r="367" spans="13:13" x14ac:dyDescent="0.25">
      <c r="M367" s="1"/>
    </row>
    <row r="368" spans="13:13" x14ac:dyDescent="0.25">
      <c r="M368" s="1"/>
    </row>
    <row r="369" spans="13:13" x14ac:dyDescent="0.25">
      <c r="M369" s="1"/>
    </row>
    <row r="370" spans="13:13" x14ac:dyDescent="0.25">
      <c r="M370" s="1"/>
    </row>
    <row r="371" spans="13:13" x14ac:dyDescent="0.25">
      <c r="M371" s="1"/>
    </row>
    <row r="372" spans="13:13" x14ac:dyDescent="0.25">
      <c r="M372" s="1"/>
    </row>
    <row r="373" spans="13:13" x14ac:dyDescent="0.25">
      <c r="M373" s="1"/>
    </row>
    <row r="374" spans="13:13" x14ac:dyDescent="0.25">
      <c r="M374" s="1"/>
    </row>
    <row r="375" spans="13:13" x14ac:dyDescent="0.25">
      <c r="M375" s="1"/>
    </row>
    <row r="376" spans="13:13" x14ac:dyDescent="0.25">
      <c r="M376" s="1"/>
    </row>
    <row r="377" spans="13:13" x14ac:dyDescent="0.25">
      <c r="M377" s="1"/>
    </row>
    <row r="378" spans="13:13" x14ac:dyDescent="0.25">
      <c r="M378" s="1"/>
    </row>
    <row r="379" spans="13:13" x14ac:dyDescent="0.25">
      <c r="M379" s="1"/>
    </row>
    <row r="380" spans="13:13" x14ac:dyDescent="0.25">
      <c r="M380" s="1"/>
    </row>
    <row r="381" spans="13:13" x14ac:dyDescent="0.25">
      <c r="M381" s="1"/>
    </row>
    <row r="382" spans="13:13" x14ac:dyDescent="0.25">
      <c r="M382" s="1"/>
    </row>
    <row r="383" spans="13:13" x14ac:dyDescent="0.25">
      <c r="M383" s="1"/>
    </row>
    <row r="384" spans="13:13" x14ac:dyDescent="0.25">
      <c r="M384" s="1"/>
    </row>
    <row r="385" spans="13:13" x14ac:dyDescent="0.25">
      <c r="M385" s="1"/>
    </row>
    <row r="386" spans="13:13" x14ac:dyDescent="0.25">
      <c r="M386" s="1"/>
    </row>
    <row r="387" spans="13:13" x14ac:dyDescent="0.25">
      <c r="M387" s="1"/>
    </row>
    <row r="388" spans="13:13" x14ac:dyDescent="0.25">
      <c r="M388" s="1"/>
    </row>
    <row r="389" spans="13:13" x14ac:dyDescent="0.25">
      <c r="M389" s="1"/>
    </row>
    <row r="390" spans="13:13" x14ac:dyDescent="0.25">
      <c r="M390" s="1"/>
    </row>
    <row r="391" spans="13:13" x14ac:dyDescent="0.25">
      <c r="M391" s="1"/>
    </row>
    <row r="392" spans="13:13" x14ac:dyDescent="0.25">
      <c r="M392" s="1"/>
    </row>
    <row r="393" spans="13:13" x14ac:dyDescent="0.25">
      <c r="M393" s="1"/>
    </row>
    <row r="394" spans="13:13" x14ac:dyDescent="0.25">
      <c r="M394" s="1"/>
    </row>
    <row r="395" spans="13:13" x14ac:dyDescent="0.25">
      <c r="M395" s="1"/>
    </row>
    <row r="396" spans="13:13" x14ac:dyDescent="0.25">
      <c r="M396" s="1"/>
    </row>
    <row r="397" spans="13:13" x14ac:dyDescent="0.25">
      <c r="M397" s="1"/>
    </row>
    <row r="398" spans="13:13" x14ac:dyDescent="0.25">
      <c r="M398" s="1"/>
    </row>
    <row r="399" spans="13:13" x14ac:dyDescent="0.25">
      <c r="M399" s="1"/>
    </row>
    <row r="400" spans="13:13" x14ac:dyDescent="0.25">
      <c r="M400" s="1"/>
    </row>
    <row r="401" spans="13:13" x14ac:dyDescent="0.25">
      <c r="M401" s="1"/>
    </row>
    <row r="402" spans="13:13" x14ac:dyDescent="0.25">
      <c r="M402" s="1"/>
    </row>
    <row r="403" spans="13:13" x14ac:dyDescent="0.25">
      <c r="M403" s="1"/>
    </row>
    <row r="404" spans="13:13" x14ac:dyDescent="0.25">
      <c r="M404" s="1"/>
    </row>
    <row r="405" spans="13:13" x14ac:dyDescent="0.25">
      <c r="M405" s="1"/>
    </row>
    <row r="406" spans="13:13" x14ac:dyDescent="0.25">
      <c r="M406" s="1"/>
    </row>
    <row r="407" spans="13:13" x14ac:dyDescent="0.25">
      <c r="M407" s="1"/>
    </row>
    <row r="408" spans="13:13" x14ac:dyDescent="0.25">
      <c r="M408" s="1"/>
    </row>
    <row r="409" spans="13:13" x14ac:dyDescent="0.25">
      <c r="M409" s="1"/>
    </row>
    <row r="410" spans="13:13" x14ac:dyDescent="0.25">
      <c r="M410" s="1"/>
    </row>
    <row r="411" spans="13:13" x14ac:dyDescent="0.25">
      <c r="M411" s="1"/>
    </row>
    <row r="412" spans="13:13" x14ac:dyDescent="0.25">
      <c r="M412" s="1"/>
    </row>
    <row r="413" spans="13:13" x14ac:dyDescent="0.25">
      <c r="M413" s="1"/>
    </row>
    <row r="414" spans="13:13" x14ac:dyDescent="0.25">
      <c r="M414" s="1"/>
    </row>
    <row r="415" spans="13:13" x14ac:dyDescent="0.25">
      <c r="M415" s="1"/>
    </row>
    <row r="416" spans="13:13" x14ac:dyDescent="0.25">
      <c r="M416" s="1"/>
    </row>
    <row r="417" spans="13:13" x14ac:dyDescent="0.25">
      <c r="M417" s="1"/>
    </row>
    <row r="418" spans="13:13" x14ac:dyDescent="0.25">
      <c r="M418" s="1"/>
    </row>
    <row r="419" spans="13:13" x14ac:dyDescent="0.25">
      <c r="M419" s="1"/>
    </row>
    <row r="420" spans="13:13" x14ac:dyDescent="0.25">
      <c r="M420" s="1"/>
    </row>
    <row r="421" spans="13:13" x14ac:dyDescent="0.25">
      <c r="M421" s="1"/>
    </row>
    <row r="422" spans="13:13" x14ac:dyDescent="0.25">
      <c r="M422" s="1"/>
    </row>
    <row r="423" spans="13:13" x14ac:dyDescent="0.25">
      <c r="M423" s="1"/>
    </row>
    <row r="424" spans="13:13" x14ac:dyDescent="0.25">
      <c r="M424" s="1"/>
    </row>
    <row r="425" spans="13:13" x14ac:dyDescent="0.25">
      <c r="M425" s="1"/>
    </row>
    <row r="426" spans="13:13" x14ac:dyDescent="0.25">
      <c r="M426" s="1"/>
    </row>
    <row r="427" spans="13:13" x14ac:dyDescent="0.25">
      <c r="M427" s="1"/>
    </row>
    <row r="428" spans="13:13" x14ac:dyDescent="0.25">
      <c r="M428" s="1"/>
    </row>
    <row r="429" spans="13:13" x14ac:dyDescent="0.25">
      <c r="M429" s="1"/>
    </row>
    <row r="430" spans="13:13" x14ac:dyDescent="0.25">
      <c r="M430" s="1"/>
    </row>
    <row r="431" spans="13:13" x14ac:dyDescent="0.25">
      <c r="M431" s="1"/>
    </row>
    <row r="432" spans="13:13" x14ac:dyDescent="0.25">
      <c r="M432" s="1"/>
    </row>
    <row r="433" spans="13:13" x14ac:dyDescent="0.25">
      <c r="M433" s="1"/>
    </row>
    <row r="434" spans="13:13" x14ac:dyDescent="0.25">
      <c r="M434" s="1"/>
    </row>
    <row r="435" spans="13:13" x14ac:dyDescent="0.25">
      <c r="M435" s="1"/>
    </row>
    <row r="436" spans="13:13" x14ac:dyDescent="0.25">
      <c r="M436" s="1"/>
    </row>
    <row r="437" spans="13:13" x14ac:dyDescent="0.25">
      <c r="M437" s="1"/>
    </row>
    <row r="438" spans="13:13" x14ac:dyDescent="0.25">
      <c r="M438" s="1"/>
    </row>
    <row r="439" spans="13:13" x14ac:dyDescent="0.25">
      <c r="M439" s="1"/>
    </row>
    <row r="440" spans="13:13" x14ac:dyDescent="0.25">
      <c r="M440" s="1"/>
    </row>
    <row r="441" spans="13:13" x14ac:dyDescent="0.25">
      <c r="M441" s="1"/>
    </row>
    <row r="442" spans="13:13" x14ac:dyDescent="0.25">
      <c r="M442" s="1"/>
    </row>
    <row r="443" spans="13:13" x14ac:dyDescent="0.25">
      <c r="M443" s="1"/>
    </row>
    <row r="444" spans="13:13" x14ac:dyDescent="0.25">
      <c r="M444" s="1"/>
    </row>
    <row r="445" spans="13:13" x14ac:dyDescent="0.25">
      <c r="M445" s="1"/>
    </row>
    <row r="446" spans="13:13" x14ac:dyDescent="0.25">
      <c r="M446" s="1"/>
    </row>
    <row r="447" spans="13:13" x14ac:dyDescent="0.25">
      <c r="M447" s="1"/>
    </row>
    <row r="448" spans="13:13" x14ac:dyDescent="0.25">
      <c r="M448" s="1"/>
    </row>
    <row r="449" spans="13:13" x14ac:dyDescent="0.25">
      <c r="M449" s="1"/>
    </row>
    <row r="450" spans="13:13" x14ac:dyDescent="0.25">
      <c r="M450" s="1"/>
    </row>
    <row r="451" spans="13:13" x14ac:dyDescent="0.25">
      <c r="M451" s="1"/>
    </row>
    <row r="452" spans="13:13" x14ac:dyDescent="0.25">
      <c r="M452" s="1"/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23E56-6FEA-4987-83A1-83553A1CECB6}">
  <dimension ref="A1:BX224"/>
  <sheetViews>
    <sheetView showGridLines="0" zoomScale="85" zoomScaleNormal="85" workbookViewId="0">
      <selection activeCell="D224" sqref="D224"/>
    </sheetView>
  </sheetViews>
  <sheetFormatPr defaultColWidth="9.140625" defaultRowHeight="15.75" x14ac:dyDescent="0.25"/>
  <cols>
    <col min="1" max="1" width="30.7109375" style="7" customWidth="1"/>
    <col min="2" max="2" width="2.7109375" style="7" customWidth="1"/>
    <col min="3" max="3" width="4.7109375" style="1" customWidth="1"/>
    <col min="4" max="4" width="48" style="1" customWidth="1"/>
    <col min="5" max="16" width="20.7109375" style="1" customWidth="1"/>
    <col min="17" max="17" width="17.28515625" style="1" customWidth="1"/>
    <col min="18" max="19" width="20.7109375" style="1" customWidth="1"/>
    <col min="20" max="20" width="4.7109375" style="1" customWidth="1"/>
    <col min="21" max="32" width="20.7109375" style="7" customWidth="1"/>
    <col min="33" max="38" width="21.85546875" style="7" customWidth="1"/>
    <col min="39" max="43" width="20.7109375" style="7" customWidth="1"/>
    <col min="44" max="64" width="9.140625" style="7"/>
    <col min="65" max="16384" width="9.140625" style="3"/>
  </cols>
  <sheetData>
    <row r="1" spans="1:64" s="8" customFormat="1" ht="30" customHeight="1" x14ac:dyDescent="0.35">
      <c r="A1" s="8" t="e" vm="1">
        <v>#VALUE!</v>
      </c>
      <c r="C1" s="8" t="s">
        <v>77</v>
      </c>
    </row>
    <row r="2" spans="1:64" s="9" customFormat="1" ht="20.100000000000001" customHeight="1" x14ac:dyDescent="0.25"/>
    <row r="3" spans="1:64" ht="20.100000000000001" customHeight="1" x14ac:dyDescent="0.25">
      <c r="A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1"/>
      <c r="V3" s="11"/>
    </row>
    <row r="4" spans="1:64" ht="20.100000000000001" customHeight="1" x14ac:dyDescent="0.25">
      <c r="A4"/>
      <c r="BL4" s="3"/>
    </row>
    <row r="5" spans="1:64" ht="20.100000000000001" customHeight="1" x14ac:dyDescent="0.25">
      <c r="A5"/>
      <c r="D5" s="6" t="str" cm="1">
        <f t="array" ref="D5">Common_SourceData.Common_SourceData_AustralianStatesTerritories_Title()</f>
        <v>Australian states and territories</v>
      </c>
      <c r="BL5" s="3"/>
    </row>
    <row r="6" spans="1:64" ht="20.100000000000001" customHeight="1" x14ac:dyDescent="0.25">
      <c r="A6"/>
      <c r="D6" s="37" t="s">
        <v>21</v>
      </c>
      <c r="E6" s="37" t="s">
        <v>22</v>
      </c>
      <c r="F6" s="37" t="s">
        <v>23</v>
      </c>
    </row>
    <row r="7" spans="1:64" ht="20.100000000000001" customHeight="1" x14ac:dyDescent="0.25">
      <c r="A7"/>
      <c r="D7" s="37" t="str" cm="1">
        <f t="array" ref="D7">Common_InputFunctions.Utility_DisplayArrayInTable(Common_SourceData.Common_SourceData_AustralianStatesTerritories_Data(),Table_AustralianStates[[#Headers],[State/Territory]],0)</f>
        <v>New South Wales</v>
      </c>
      <c r="E7" s="37" t="str" cm="1">
        <f t="array" ref="E7">Common_InputFunctions.Utility_DisplayArrayInTable(Common_SourceData.Common_SourceData_AustralianStatesTerritories_Data(),Table_AustralianStates[[#Headers],[State/Territory]],0)</f>
        <v>New South Wales</v>
      </c>
      <c r="F7" s="37" t="str" cm="1">
        <f t="array" ref="F7">Common_InputFunctions.Utility_DisplayArrayInTable(Common_SourceData.Common_SourceData_AustralianStatesTerritories_Data(),Table_AustralianStates[[#Headers],[State/Territory]],0)</f>
        <v>NSW</v>
      </c>
    </row>
    <row r="8" spans="1:64" ht="20.100000000000001" customHeight="1" x14ac:dyDescent="0.25">
      <c r="A8"/>
      <c r="D8" s="37" t="str" cm="1">
        <f t="array" ref="D8">Common_InputFunctions.Utility_DisplayArrayInTable(Common_SourceData.Common_SourceData_AustralianStatesTerritories_Data(),Table_AustralianStates[[#Headers],[State/Territory]],0)</f>
        <v>Australian Capital Territory</v>
      </c>
      <c r="E8" s="37" t="str" cm="1">
        <f t="array" ref="E8">Common_InputFunctions.Utility_DisplayArrayInTable(Common_SourceData.Common_SourceData_AustralianStatesTerritories_Data(),Table_AustralianStates[[#Headers],[State/Territory]],0)</f>
        <v>ACT</v>
      </c>
      <c r="F8" s="37" t="str" cm="1">
        <f t="array" ref="F8">Common_InputFunctions.Utility_DisplayArrayInTable(Common_SourceData.Common_SourceData_AustralianStatesTerritories_Data(),Table_AustralianStates[[#Headers],[State/Territory]],0)</f>
        <v>ACT</v>
      </c>
    </row>
    <row r="9" spans="1:64" ht="20.100000000000001" customHeight="1" x14ac:dyDescent="0.25">
      <c r="A9"/>
      <c r="D9" s="37" t="str" cm="1">
        <f t="array" ref="D9">Common_InputFunctions.Utility_DisplayArrayInTable(Common_SourceData.Common_SourceData_AustralianStatesTerritories_Data(),Table_AustralianStates[[#Headers],[State/Territory]],0)</f>
        <v>Victoria</v>
      </c>
      <c r="E9" s="37" t="str" cm="1">
        <f t="array" ref="E9">Common_InputFunctions.Utility_DisplayArrayInTable(Common_SourceData.Common_SourceData_AustralianStatesTerritories_Data(),Table_AustralianStates[[#Headers],[State/Territory]],0)</f>
        <v>Victoria</v>
      </c>
      <c r="F9" s="37" t="str" cm="1">
        <f t="array" ref="F9">Common_InputFunctions.Utility_DisplayArrayInTable(Common_SourceData.Common_SourceData_AustralianStatesTerritories_Data(),Table_AustralianStates[[#Headers],[State/Territory]],0)</f>
        <v>VIC</v>
      </c>
    </row>
    <row r="10" spans="1:64" ht="20.100000000000001" customHeight="1" x14ac:dyDescent="0.25">
      <c r="A10"/>
      <c r="D10" s="37" t="str" cm="1">
        <f t="array" ref="D10">Common_InputFunctions.Utility_DisplayArrayInTable(Common_SourceData.Common_SourceData_AustralianStatesTerritories_Data(),Table_AustralianStates[[#Headers],[State/Territory]],0)</f>
        <v>Queensland</v>
      </c>
      <c r="E10" s="37" t="str" cm="1">
        <f t="array" ref="E10">Common_InputFunctions.Utility_DisplayArrayInTable(Common_SourceData.Common_SourceData_AustralianStatesTerritories_Data(),Table_AustralianStates[[#Headers],[State/Territory]],0)</f>
        <v>Queensland</v>
      </c>
      <c r="F10" s="37" t="str" cm="1">
        <f t="array" ref="F10">Common_InputFunctions.Utility_DisplayArrayInTable(Common_SourceData.Common_SourceData_AustralianStatesTerritories_Data(),Table_AustralianStates[[#Headers],[State/Territory]],0)</f>
        <v>QLD</v>
      </c>
    </row>
    <row r="11" spans="1:64" ht="20.100000000000001" customHeight="1" x14ac:dyDescent="0.25">
      <c r="A11"/>
      <c r="D11" s="37" t="str" cm="1">
        <f t="array" ref="D11">Common_InputFunctions.Utility_DisplayArrayInTable(Common_SourceData.Common_SourceData_AustralianStatesTerritories_Data(),Table_AustralianStates[[#Headers],[State/Territory]],0)</f>
        <v>South Australia</v>
      </c>
      <c r="E11" s="37" t="str" cm="1">
        <f t="array" ref="E11">Common_InputFunctions.Utility_DisplayArrayInTable(Common_SourceData.Common_SourceData_AustralianStatesTerritories_Data(),Table_AustralianStates[[#Headers],[State/Territory]],0)</f>
        <v>South Australia</v>
      </c>
      <c r="F11" s="37" t="str" cm="1">
        <f t="array" ref="F11">Common_InputFunctions.Utility_DisplayArrayInTable(Common_SourceData.Common_SourceData_AustralianStatesTerritories_Data(),Table_AustralianStates[[#Headers],[State/Territory]],0)</f>
        <v>SA</v>
      </c>
      <c r="BL11" s="3"/>
    </row>
    <row r="12" spans="1:64" ht="20.100000000000001" customHeight="1" x14ac:dyDescent="0.25">
      <c r="A12"/>
      <c r="D12" s="37" t="str" cm="1">
        <f t="array" ref="D12">Common_InputFunctions.Utility_DisplayArrayInTable(Common_SourceData.Common_SourceData_AustralianStatesTerritories_Data(),Table_AustralianStates[[#Headers],[State/Territory]],0)</f>
        <v>Western Australia</v>
      </c>
      <c r="E12" s="37" t="str" cm="1">
        <f t="array" ref="E12">Common_InputFunctions.Utility_DisplayArrayInTable(Common_SourceData.Common_SourceData_AustralianStatesTerritories_Data(),Table_AustralianStates[[#Headers],[State/Territory]],0)</f>
        <v>Western Australia</v>
      </c>
      <c r="F12" s="37" t="str" cm="1">
        <f t="array" ref="F12">Common_InputFunctions.Utility_DisplayArrayInTable(Common_SourceData.Common_SourceData_AustralianStatesTerritories_Data(),Table_AustralianStates[[#Headers],[State/Territory]],0)</f>
        <v>WA</v>
      </c>
      <c r="BL12" s="3"/>
    </row>
    <row r="13" spans="1:64" ht="20.100000000000001" customHeight="1" x14ac:dyDescent="0.25">
      <c r="A13"/>
      <c r="D13" s="37" t="str" cm="1">
        <f t="array" ref="D13">Common_InputFunctions.Utility_DisplayArrayInTable(Common_SourceData.Common_SourceData_AustralianStatesTerritories_Data(),Table_AustralianStates[[#Headers],[State/Territory]],0)</f>
        <v>Tasmania</v>
      </c>
      <c r="E13" s="37" t="str" cm="1">
        <f t="array" ref="E13">Common_InputFunctions.Utility_DisplayArrayInTable(Common_SourceData.Common_SourceData_AustralianStatesTerritories_Data(),Table_AustralianStates[[#Headers],[State/Territory]],0)</f>
        <v>Tasmania</v>
      </c>
      <c r="F13" s="37" t="str" cm="1">
        <f t="array" ref="F13">Common_InputFunctions.Utility_DisplayArrayInTable(Common_SourceData.Common_SourceData_AustralianStatesTerritories_Data(),Table_AustralianStates[[#Headers],[State/Territory]],0)</f>
        <v>TAS</v>
      </c>
    </row>
    <row r="14" spans="1:64" ht="20.100000000000001" customHeight="1" x14ac:dyDescent="0.25">
      <c r="A14"/>
      <c r="D14" s="37" t="str" cm="1">
        <f t="array" ref="D14">Common_InputFunctions.Utility_DisplayArrayInTable(Common_SourceData.Common_SourceData_AustralianStatesTerritories_Data(),Table_AustralianStates[[#Headers],[State/Territory]],0)</f>
        <v>Northern Territory</v>
      </c>
      <c r="E14" s="37" t="str" cm="1">
        <f t="array" ref="E14">Common_InputFunctions.Utility_DisplayArrayInTable(Common_SourceData.Common_SourceData_AustralianStatesTerritories_Data(),Table_AustralianStates[[#Headers],[State/Territory]],0)</f>
        <v>Northern Territory</v>
      </c>
      <c r="F14" s="37" t="str" cm="1">
        <f t="array" ref="F14">Common_InputFunctions.Utility_DisplayArrayInTable(Common_SourceData.Common_SourceData_AustralianStatesTerritories_Data(),Table_AustralianStates[[#Headers],[State/Territory]],0)</f>
        <v>NT</v>
      </c>
    </row>
    <row r="15" spans="1:64" ht="20.100000000000001" customHeight="1" x14ac:dyDescent="0.25">
      <c r="A15"/>
    </row>
    <row r="16" spans="1:64" ht="20.100000000000001" customHeight="1" x14ac:dyDescent="0.25">
      <c r="A16"/>
    </row>
    <row r="17" spans="1:4" ht="20.100000000000001" customHeight="1" x14ac:dyDescent="0.25">
      <c r="A17"/>
    </row>
    <row r="18" spans="1:4" ht="20.100000000000001" customHeight="1" x14ac:dyDescent="0.25">
      <c r="A18"/>
      <c r="D18" s="6" t="str" cm="1">
        <f t="array" ref="D18">Common_SourceData.Common_SourceData_WASA4Areas_Title()</f>
        <v>ABS Statistcal Areas Level 4 - Western Australia</v>
      </c>
    </row>
    <row r="19" spans="1:4" ht="20.100000000000001" customHeight="1" x14ac:dyDescent="0.25">
      <c r="A19"/>
      <c r="D19" s="5" t="str" cm="1">
        <f t="array" ref="D19">Common_SourceData.Common_SourceData_WASA4Areas_Source()</f>
        <v>Australian Bureau of Statistics (ABS) - Statistical Areas Level 2 - 2021 - Shapefile</v>
      </c>
    </row>
    <row r="20" spans="1:4" ht="20.100000000000001" customHeight="1" x14ac:dyDescent="0.25">
      <c r="A20"/>
      <c r="D20" s="37" t="s">
        <v>24</v>
      </c>
    </row>
    <row r="21" spans="1:4" ht="20.100000000000001" customHeight="1" x14ac:dyDescent="0.25">
      <c r="A21"/>
      <c r="D21" s="37" t="str" cm="1">
        <f t="array" ref="D21">Common_InputFunctions.Utility_DisplayArrayInTable(Common_SourceData.Common_SourceData_WASA4Areas_Data(), Table_WASA4Areas[[#Headers],[SA 4 Name]], 0)</f>
        <v>Bunbury</v>
      </c>
    </row>
    <row r="22" spans="1:4" ht="20.100000000000001" customHeight="1" x14ac:dyDescent="0.25">
      <c r="A22"/>
      <c r="D22" s="37" t="str" cm="1">
        <f t="array" ref="D22">Common_InputFunctions.Utility_DisplayArrayInTable(Common_SourceData.Common_SourceData_WASA4Areas_Data(), Table_WASA4Areas[[#Headers],[SA 4 Name]], 0)</f>
        <v>Mandurah</v>
      </c>
    </row>
    <row r="23" spans="1:4" ht="20.100000000000001" customHeight="1" x14ac:dyDescent="0.25">
      <c r="A23"/>
      <c r="D23" s="37" t="str" cm="1">
        <f t="array" ref="D23">Common_InputFunctions.Utility_DisplayArrayInTable(Common_SourceData.Common_SourceData_WASA4Areas_Data(), Table_WASA4Areas[[#Headers],[SA 4 Name]], 0)</f>
        <v>Perth - Inner</v>
      </c>
    </row>
    <row r="24" spans="1:4" ht="20.100000000000001" customHeight="1" x14ac:dyDescent="0.25">
      <c r="A24"/>
      <c r="D24" s="37" t="str" cm="1">
        <f t="array" ref="D24">Common_InputFunctions.Utility_DisplayArrayInTable(Common_SourceData.Common_SourceData_WASA4Areas_Data(), Table_WASA4Areas[[#Headers],[SA 4 Name]], 0)</f>
        <v>Perth - North East</v>
      </c>
    </row>
    <row r="25" spans="1:4" ht="20.100000000000001" customHeight="1" x14ac:dyDescent="0.25">
      <c r="A25"/>
      <c r="D25" s="37" t="str" cm="1">
        <f t="array" ref="D25">Common_InputFunctions.Utility_DisplayArrayInTable(Common_SourceData.Common_SourceData_WASA4Areas_Data(), Table_WASA4Areas[[#Headers],[SA 4 Name]], 0)</f>
        <v>Perth - North West</v>
      </c>
    </row>
    <row r="26" spans="1:4" ht="20.100000000000001" customHeight="1" x14ac:dyDescent="0.25">
      <c r="A26"/>
      <c r="D26" s="37" t="str" cm="1">
        <f t="array" ref="D26">Common_InputFunctions.Utility_DisplayArrayInTable(Common_SourceData.Common_SourceData_WASA4Areas_Data(), Table_WASA4Areas[[#Headers],[SA 4 Name]], 0)</f>
        <v>Perth - South East</v>
      </c>
    </row>
    <row r="27" spans="1:4" ht="20.100000000000001" customHeight="1" x14ac:dyDescent="0.25">
      <c r="A27"/>
      <c r="D27" s="37" t="str" cm="1">
        <f t="array" ref="D27">Common_InputFunctions.Utility_DisplayArrayInTable(Common_SourceData.Common_SourceData_WASA4Areas_Data(), Table_WASA4Areas[[#Headers],[SA 4 Name]], 0)</f>
        <v>Perth - South West</v>
      </c>
    </row>
    <row r="28" spans="1:4" ht="20.100000000000001" customHeight="1" x14ac:dyDescent="0.25">
      <c r="A28"/>
      <c r="D28" s="37" t="str" cm="1">
        <f t="array" ref="D28">Common_InputFunctions.Utility_DisplayArrayInTable(Common_SourceData.Common_SourceData_WASA4Areas_Data(), Table_WASA4Areas[[#Headers],[SA 4 Name]], 0)</f>
        <v>Western Australia - Wheat Belt</v>
      </c>
    </row>
    <row r="29" spans="1:4" ht="20.100000000000001" customHeight="1" x14ac:dyDescent="0.25">
      <c r="A29"/>
      <c r="D29" s="37" t="str" cm="1">
        <f t="array" ref="D29">Common_InputFunctions.Utility_DisplayArrayInTable(Common_SourceData.Common_SourceData_WASA4Areas_Data(), Table_WASA4Areas[[#Headers],[SA 4 Name]], 0)</f>
        <v>Western Australia - Outback (North)</v>
      </c>
    </row>
    <row r="30" spans="1:4" ht="20.100000000000001" customHeight="1" x14ac:dyDescent="0.25">
      <c r="A30"/>
      <c r="D30" s="37" t="str" cm="1">
        <f t="array" ref="D30">Common_InputFunctions.Utility_DisplayArrayInTable(Common_SourceData.Common_SourceData_WASA4Areas_Data(), Table_WASA4Areas[[#Headers],[SA 4 Name]], 0)</f>
        <v>Western Australia - Outback (South)</v>
      </c>
    </row>
    <row r="31" spans="1:4" ht="20.100000000000001" customHeight="1" x14ac:dyDescent="0.25">
      <c r="A31"/>
    </row>
    <row r="32" spans="1:4" ht="20.100000000000001" customHeight="1" x14ac:dyDescent="0.25">
      <c r="A32"/>
    </row>
    <row r="33" spans="1:8" ht="20.100000000000001" customHeight="1" x14ac:dyDescent="0.25">
      <c r="A33"/>
    </row>
    <row r="34" spans="1:8" ht="20.100000000000001" customHeight="1" x14ac:dyDescent="0.25">
      <c r="A34"/>
      <c r="D34" s="6" t="str" cm="1">
        <f t="array" ref="D34">Common_SourceData.Common_SourceData_GWP_Title()</f>
        <v>Global warming potential for greenhouse gases</v>
      </c>
    </row>
    <row r="35" spans="1:8" ht="20.100000000000001" customHeight="1" x14ac:dyDescent="0.25">
      <c r="A35"/>
      <c r="D35" s="5" t="str" cm="1">
        <f t="array" ref="D35">Common_SourceData.Common_SourceData_GWP_Source()</f>
        <v>XXXXXXX</v>
      </c>
    </row>
    <row r="36" spans="1:8" ht="20.100000000000001" customHeight="1" x14ac:dyDescent="0.25">
      <c r="A36"/>
      <c r="D36" s="37" t="s">
        <v>27</v>
      </c>
      <c r="E36" s="37" t="s">
        <v>28</v>
      </c>
    </row>
    <row r="37" spans="1:8" ht="20.100000000000001" customHeight="1" x14ac:dyDescent="0.25">
      <c r="A37"/>
      <c r="D37" s="37" t="str" cm="1">
        <f t="array" ref="D37">Common_InputFunctions.Utility_DisplayArrayInTable(Common_SourceData.Common_SourceData_GWP_Data(), Table_GWPData[[#Headers],[Gas]], 0)</f>
        <v>CO2</v>
      </c>
      <c r="E37" s="37" cm="1">
        <f t="array" ref="E37">Common_InputFunctions.Utility_DisplayArrayInTable(Common_SourceData.Common_SourceData_GWP_Data(), Table_GWPData[[#Headers],[Gas]], 0)</f>
        <v>1</v>
      </c>
    </row>
    <row r="38" spans="1:8" ht="20.100000000000001" customHeight="1" x14ac:dyDescent="0.25">
      <c r="A38"/>
      <c r="D38" s="37" t="str" cm="1">
        <f t="array" ref="D38">Common_InputFunctions.Utility_DisplayArrayInTable(Common_SourceData.Common_SourceData_GWP_Data(), Table_GWPData[[#Headers],[Gas]], 0)</f>
        <v>CH4</v>
      </c>
      <c r="E38" s="37" cm="1">
        <f t="array" ref="E38">Common_InputFunctions.Utility_DisplayArrayInTable(Common_SourceData.Common_SourceData_GWP_Data(), Table_GWPData[[#Headers],[Gas]], 0)</f>
        <v>28</v>
      </c>
    </row>
    <row r="39" spans="1:8" ht="20.100000000000001" customHeight="1" x14ac:dyDescent="0.25">
      <c r="A39"/>
      <c r="D39" s="37" t="str" cm="1">
        <f t="array" ref="D39">Common_InputFunctions.Utility_DisplayArrayInTable(Common_SourceData.Common_SourceData_GWP_Data(), Table_GWPData[[#Headers],[Gas]], 0)</f>
        <v>N2O</v>
      </c>
      <c r="E39" s="37" cm="1">
        <f t="array" ref="E39">Common_InputFunctions.Utility_DisplayArrayInTable(Common_SourceData.Common_SourceData_GWP_Data(), Table_GWPData[[#Headers],[Gas]], 0)</f>
        <v>265</v>
      </c>
    </row>
    <row r="40" spans="1:8" ht="20.100000000000001" customHeight="1" x14ac:dyDescent="0.25">
      <c r="A40"/>
      <c r="D40" s="37" t="str" cm="1">
        <f t="array" ref="D40">Common_InputFunctions.Utility_DisplayArrayInTable(Common_SourceData.Common_SourceData_GWP_Data(), Table_GWPData[[#Headers],[Gas]], 0)</f>
        <v>CF4</v>
      </c>
      <c r="E40" s="37" cm="1">
        <f t="array" ref="E40">Common_InputFunctions.Utility_DisplayArrayInTable(Common_SourceData.Common_SourceData_GWP_Data(), Table_GWPData[[#Headers],[Gas]], 0)</f>
        <v>6630</v>
      </c>
    </row>
    <row r="41" spans="1:8" ht="20.100000000000001" customHeight="1" x14ac:dyDescent="0.25">
      <c r="A41"/>
      <c r="D41" s="37" t="str" cm="1">
        <f t="array" ref="D41">Common_InputFunctions.Utility_DisplayArrayInTable(Common_SourceData.Common_SourceData_GWP_Data(), Table_GWPData[[#Headers],[Gas]], 0)</f>
        <v>C2F6</v>
      </c>
      <c r="E41" s="37" cm="1">
        <f t="array" ref="E41">Common_InputFunctions.Utility_DisplayArrayInTable(Common_SourceData.Common_SourceData_GWP_Data(), Table_GWPData[[#Headers],[Gas]], 0)</f>
        <v>12200</v>
      </c>
    </row>
    <row r="42" spans="1:8" ht="20.100000000000001" customHeight="1" x14ac:dyDescent="0.25">
      <c r="D42" s="37" t="str" cm="1">
        <f t="array" ref="D42">Common_InputFunctions.Utility_DisplayArrayInTable(Common_SourceData.Common_SourceData_GWP_Data(), Table_GWPData[[#Headers],[Gas]], 0)</f>
        <v>SF6</v>
      </c>
      <c r="E42" s="37" cm="1">
        <f t="array" ref="E42">Common_InputFunctions.Utility_DisplayArrayInTable(Common_SourceData.Common_SourceData_GWP_Data(), Table_GWPData[[#Headers],[Gas]], 0)</f>
        <v>22800</v>
      </c>
    </row>
    <row r="43" spans="1:8" ht="20.100000000000001" customHeight="1" x14ac:dyDescent="0.25">
      <c r="D43" s="37" t="str" cm="1">
        <f t="array" ref="D43">Common_InputFunctions.Utility_DisplayArrayInTable(Common_SourceData.Common_SourceData_GWP_Data(), Table_GWPData[[#Headers],[Gas]], 0)</f>
        <v>NF3</v>
      </c>
      <c r="E43" s="37" cm="1">
        <f t="array" ref="E43">Common_InputFunctions.Utility_DisplayArrayInTable(Common_SourceData.Common_SourceData_GWP_Data(), Table_GWPData[[#Headers],[Gas]], 0)</f>
        <v>17200</v>
      </c>
    </row>
    <row r="44" spans="1:8" ht="20.100000000000001" customHeight="1" x14ac:dyDescent="0.25"/>
    <row r="45" spans="1:8" ht="20.100000000000001" customHeight="1" x14ac:dyDescent="0.25">
      <c r="D45" s="6" t="str" cm="1">
        <f t="array" ref="D45">Common_SourceData.Common_SourceData_ConvertGasElementalToMolecular_Title()</f>
        <v>Factor to convert elemental mass of gas to molecular mass</v>
      </c>
    </row>
    <row r="46" spans="1:8" ht="20.100000000000001" customHeight="1" x14ac:dyDescent="0.25">
      <c r="D46" s="5" t="str" cm="1">
        <f t="array" ref="D46">Common_SourceData.Common_SourceData_ConvertGasElementalToMolecular_Source()</f>
        <v>XXXXXXX</v>
      </c>
    </row>
    <row r="47" spans="1:8" ht="20.100000000000001" customHeight="1" x14ac:dyDescent="0.25">
      <c r="D47" s="37" t="s">
        <v>27</v>
      </c>
      <c r="E47" s="37" t="s">
        <v>30</v>
      </c>
      <c r="F47" s="37" t="s">
        <v>31</v>
      </c>
      <c r="G47" s="37" t="s">
        <v>32</v>
      </c>
      <c r="H47" s="37" t="s">
        <v>33</v>
      </c>
    </row>
    <row r="48" spans="1:8" ht="20.100000000000001" customHeight="1" x14ac:dyDescent="0.25">
      <c r="D48" s="37" t="str" cm="1">
        <f t="array" ref="D48">Common_InputFunctions.Utility_DisplayArrayInTable(Common_SourceData.Common_SourceData_ConvertGasElementalToMolecular_Data(),Table_GasToMolecularConversionFactor[[#Headers],[Gas]], 0)</f>
        <v>CO2</v>
      </c>
      <c r="E48" s="37" t="str" cm="1">
        <f t="array" ref="E48">Common_InputFunctions.Utility_DisplayArrayInTable(Common_SourceData.Common_SourceData_ConvertGasElementalToMolecular_Data(),Table_GasToMolecularConversionFactor[[#Headers],[Gas]], 0)</f>
        <v>44/12</v>
      </c>
      <c r="F48" s="37" cm="1">
        <f t="array" ref="F48">Common_InputFunctions.Utility_DisplayArrayInTable(Common_SourceData.Common_SourceData_ConvertGasElementalToMolecular_Data(),Table_GasToMolecularConversionFactor[[#Headers],[Gas]], 0)</f>
        <v>44</v>
      </c>
      <c r="G48" s="37" cm="1">
        <f t="array" ref="G48">Common_InputFunctions.Utility_DisplayArrayInTable(Common_SourceData.Common_SourceData_ConvertGasElementalToMolecular_Data(),Table_GasToMolecularConversionFactor[[#Headers],[Gas]], 0)</f>
        <v>12</v>
      </c>
      <c r="H48" s="37">
        <f>Table_GasToMolecularConversionFactor[[#This Row],[Conversion factor 1]]/Table_GasToMolecularConversionFactor[[#This Row],[Conversion factor 2]]</f>
        <v>3.6666666666666665</v>
      </c>
    </row>
    <row r="49" spans="4:8" ht="20.100000000000001" customHeight="1" x14ac:dyDescent="0.25">
      <c r="D49" s="37" t="str" cm="1">
        <f t="array" ref="D49">Common_InputFunctions.Utility_DisplayArrayInTable(Common_SourceData.Common_SourceData_ConvertGasElementalToMolecular_Data(),Table_GasToMolecularConversionFactor[[#Headers],[Gas]], 0)</f>
        <v>CH4</v>
      </c>
      <c r="E49" s="37" t="str" cm="1">
        <f t="array" ref="E49">Common_InputFunctions.Utility_DisplayArrayInTable(Common_SourceData.Common_SourceData_ConvertGasElementalToMolecular_Data(),Table_GasToMolecularConversionFactor[[#Headers],[Gas]], 0)</f>
        <v>16/12</v>
      </c>
      <c r="F49" s="37" cm="1">
        <f t="array" ref="F49">Common_InputFunctions.Utility_DisplayArrayInTable(Common_SourceData.Common_SourceData_ConvertGasElementalToMolecular_Data(),Table_GasToMolecularConversionFactor[[#Headers],[Gas]], 0)</f>
        <v>16</v>
      </c>
      <c r="G49" s="37" cm="1">
        <f t="array" ref="G49">Common_InputFunctions.Utility_DisplayArrayInTable(Common_SourceData.Common_SourceData_ConvertGasElementalToMolecular_Data(),Table_GasToMolecularConversionFactor[[#Headers],[Gas]], 0)</f>
        <v>12</v>
      </c>
      <c r="H49" s="37">
        <f>Table_GasToMolecularConversionFactor[[#This Row],[Conversion factor 1]]/Table_GasToMolecularConversionFactor[[#This Row],[Conversion factor 2]]</f>
        <v>1.3333333333333333</v>
      </c>
    </row>
    <row r="50" spans="4:8" ht="20.100000000000001" customHeight="1" x14ac:dyDescent="0.25">
      <c r="D50" s="37" t="str" cm="1">
        <f t="array" ref="D50">Common_InputFunctions.Utility_DisplayArrayInTable(Common_SourceData.Common_SourceData_ConvertGasElementalToMolecular_Data(),Table_GasToMolecularConversionFactor[[#Headers],[Gas]], 0)</f>
        <v>N2O</v>
      </c>
      <c r="E50" s="37" t="str" cm="1">
        <f t="array" ref="E50">Common_InputFunctions.Utility_DisplayArrayInTable(Common_SourceData.Common_SourceData_ConvertGasElementalToMolecular_Data(),Table_GasToMolecularConversionFactor[[#Headers],[Gas]], 0)</f>
        <v>44/28</v>
      </c>
      <c r="F50" s="37" cm="1">
        <f t="array" ref="F50">Common_InputFunctions.Utility_DisplayArrayInTable(Common_SourceData.Common_SourceData_ConvertGasElementalToMolecular_Data(),Table_GasToMolecularConversionFactor[[#Headers],[Gas]], 0)</f>
        <v>44</v>
      </c>
      <c r="G50" s="37" cm="1">
        <f t="array" ref="G50">Common_InputFunctions.Utility_DisplayArrayInTable(Common_SourceData.Common_SourceData_ConvertGasElementalToMolecular_Data(),Table_GasToMolecularConversionFactor[[#Headers],[Gas]], 0)</f>
        <v>28</v>
      </c>
      <c r="H50" s="37">
        <f>Table_GasToMolecularConversionFactor[[#This Row],[Conversion factor 1]]/Table_GasToMolecularConversionFactor[[#This Row],[Conversion factor 2]]</f>
        <v>1.5714285714285714</v>
      </c>
    </row>
    <row r="51" spans="4:8" ht="20.100000000000001" customHeight="1" x14ac:dyDescent="0.25">
      <c r="D51" s="37" t="str" cm="1">
        <f t="array" ref="D51">Common_InputFunctions.Utility_DisplayArrayInTable(Common_SourceData.Common_SourceData_ConvertGasElementalToMolecular_Data(),Table_GasToMolecularConversionFactor[[#Headers],[Gas]], 0)</f>
        <v>Nox</v>
      </c>
      <c r="E51" s="37" t="str" cm="1">
        <f t="array" ref="E51">Common_InputFunctions.Utility_DisplayArrayInTable(Common_SourceData.Common_SourceData_ConvertGasElementalToMolecular_Data(),Table_GasToMolecularConversionFactor[[#Headers],[Gas]], 0)</f>
        <v>46/14</v>
      </c>
      <c r="F51" s="37" cm="1">
        <f t="array" ref="F51">Common_InputFunctions.Utility_DisplayArrayInTable(Common_SourceData.Common_SourceData_ConvertGasElementalToMolecular_Data(),Table_GasToMolecularConversionFactor[[#Headers],[Gas]], 0)</f>
        <v>46</v>
      </c>
      <c r="G51" s="37" cm="1">
        <f t="array" ref="G51">Common_InputFunctions.Utility_DisplayArrayInTable(Common_SourceData.Common_SourceData_ConvertGasElementalToMolecular_Data(),Table_GasToMolecularConversionFactor[[#Headers],[Gas]], 0)</f>
        <v>14</v>
      </c>
      <c r="H51" s="37">
        <f>Table_GasToMolecularConversionFactor[[#This Row],[Conversion factor 1]]/Table_GasToMolecularConversionFactor[[#This Row],[Conversion factor 2]]</f>
        <v>3.2857142857142856</v>
      </c>
    </row>
    <row r="52" spans="4:8" ht="20.100000000000001" customHeight="1" x14ac:dyDescent="0.25">
      <c r="D52" s="37" t="str" cm="1">
        <f t="array" ref="D52">Common_InputFunctions.Utility_DisplayArrayInTable(Common_SourceData.Common_SourceData_ConvertGasElementalToMolecular_Data(),Table_GasToMolecularConversionFactor[[#Headers],[Gas]], 0)</f>
        <v>CO</v>
      </c>
      <c r="E52" s="37" t="str" cm="1">
        <f t="array" ref="E52">Common_InputFunctions.Utility_DisplayArrayInTable(Common_SourceData.Common_SourceData_ConvertGasElementalToMolecular_Data(),Table_GasToMolecularConversionFactor[[#Headers],[Gas]], 0)</f>
        <v>28/12</v>
      </c>
      <c r="F52" s="37" cm="1">
        <f t="array" ref="F52">Common_InputFunctions.Utility_DisplayArrayInTable(Common_SourceData.Common_SourceData_ConvertGasElementalToMolecular_Data(),Table_GasToMolecularConversionFactor[[#Headers],[Gas]], 0)</f>
        <v>28</v>
      </c>
      <c r="G52" s="37" cm="1">
        <f t="array" ref="G52">Common_InputFunctions.Utility_DisplayArrayInTable(Common_SourceData.Common_SourceData_ConvertGasElementalToMolecular_Data(),Table_GasToMolecularConversionFactor[[#Headers],[Gas]], 0)</f>
        <v>12</v>
      </c>
      <c r="H52" s="37">
        <f>Table_GasToMolecularConversionFactor[[#This Row],[Conversion factor 1]]/Table_GasToMolecularConversionFactor[[#This Row],[Conversion factor 2]]</f>
        <v>2.3333333333333335</v>
      </c>
    </row>
    <row r="53" spans="4:8" ht="20.100000000000001" customHeight="1" x14ac:dyDescent="0.25">
      <c r="D53" s="37" t="str" cm="1">
        <f t="array" ref="D53">Common_InputFunctions.Utility_DisplayArrayInTable(Common_SourceData.Common_SourceData_ConvertGasElementalToMolecular_Data(),Table_GasToMolecularConversionFactor[[#Headers],[Gas]], 0)</f>
        <v>CO2 Lime</v>
      </c>
      <c r="E53" s="37" t="str" cm="1">
        <f t="array" ref="E53">Common_InputFunctions.Utility_DisplayArrayInTable(Common_SourceData.Common_SourceData_ConvertGasElementalToMolecular_Data(),Table_GasToMolecularConversionFactor[[#Headers],[Gas]], 0)</f>
        <v>44/12</v>
      </c>
      <c r="F53" s="37" cm="1">
        <f t="array" ref="F53">Common_InputFunctions.Utility_DisplayArrayInTable(Common_SourceData.Common_SourceData_ConvertGasElementalToMolecular_Data(),Table_GasToMolecularConversionFactor[[#Headers],[Gas]], 0)</f>
        <v>44</v>
      </c>
      <c r="G53" s="37" cm="1">
        <f t="array" ref="G53">Common_InputFunctions.Utility_DisplayArrayInTable(Common_SourceData.Common_SourceData_ConvertGasElementalToMolecular_Data(),Table_GasToMolecularConversionFactor[[#Headers],[Gas]], 0)</f>
        <v>12</v>
      </c>
      <c r="H53" s="37">
        <f>Table_GasToMolecularConversionFactor[[#This Row],[Conversion factor 1]]/Table_GasToMolecularConversionFactor[[#This Row],[Conversion factor 2]]</f>
        <v>3.6666666666666665</v>
      </c>
    </row>
    <row r="54" spans="4:8" ht="20.100000000000001" customHeight="1" x14ac:dyDescent="0.25">
      <c r="D54" s="37" t="str" cm="1">
        <f t="array" ref="D54">Common_InputFunctions.Utility_DisplayArrayInTable(Common_SourceData.Common_SourceData_ConvertGasElementalToMolecular_Data(),Table_GasToMolecularConversionFactor[[#Headers],[Gas]], 0)</f>
        <v>NMVOC</v>
      </c>
      <c r="E54" s="37" t="str" cm="1">
        <f t="array" ref="E54">Common_InputFunctions.Utility_DisplayArrayInTable(Common_SourceData.Common_SourceData_ConvertGasElementalToMolecular_Data(),Table_GasToMolecularConversionFactor[[#Headers],[Gas]], 0)</f>
        <v>14/12</v>
      </c>
      <c r="F54" s="37" cm="1">
        <f t="array" ref="F54">Common_InputFunctions.Utility_DisplayArrayInTable(Common_SourceData.Common_SourceData_ConvertGasElementalToMolecular_Data(),Table_GasToMolecularConversionFactor[[#Headers],[Gas]], 0)</f>
        <v>14</v>
      </c>
      <c r="G54" s="37" cm="1">
        <f t="array" ref="G54">Common_InputFunctions.Utility_DisplayArrayInTable(Common_SourceData.Common_SourceData_ConvertGasElementalToMolecular_Data(),Table_GasToMolecularConversionFactor[[#Headers],[Gas]], 0)</f>
        <v>12</v>
      </c>
      <c r="H54" s="37">
        <f>Table_GasToMolecularConversionFactor[[#This Row],[Conversion factor 1]]/Table_GasToMolecularConversionFactor[[#This Row],[Conversion factor 2]]</f>
        <v>1.1666666666666667</v>
      </c>
    </row>
    <row r="55" spans="4:8" ht="20.100000000000001" customHeight="1" x14ac:dyDescent="0.25"/>
    <row r="56" spans="4:8" ht="20.100000000000001" customHeight="1" x14ac:dyDescent="0.25"/>
    <row r="57" spans="4:8" ht="20.100000000000001" customHeight="1" x14ac:dyDescent="0.25">
      <c r="D57" s="6" t="str" cm="1">
        <f t="array" ref="D57">Common_SourceData.Common_SourceData_WetAndDryZones_Title()</f>
        <v>VEERG Australian wet and dry zones</v>
      </c>
    </row>
    <row r="58" spans="4:8" ht="20.100000000000001" customHeight="1" x14ac:dyDescent="0.25">
      <c r="D58" s="5" t="str" cm="1">
        <f t="array" ref="D58">Common_SourceData.Common_SourceData_WetAndDryZones_Source()</f>
        <v>VEERG 2026: Table 1.2: Translating climate zones to wet and dry zones</v>
      </c>
    </row>
    <row r="59" spans="4:8" ht="20.100000000000001" customHeight="1" x14ac:dyDescent="0.25">
      <c r="D59" s="55" t="str" cm="1">
        <f t="array" ref="D59:D61">"⚠️" &amp; Common_SourceData.Common_SourceData_WetAndDryZones_Variation()</f>
        <v>⚠️VARIATION OF SOURCE DATA:</v>
      </c>
    </row>
    <row r="60" spans="4:8" ht="20.100000000000001" customHeight="1" x14ac:dyDescent="0.25">
      <c r="D60" s="55" t="str">
        <v>⚠️Added warm / cool temperate moist / dry - low frost and high temp classes to accommodate climate scenarios excluded by VEERG criteria.</v>
      </c>
    </row>
    <row r="61" spans="4:8" ht="20.100000000000001" customHeight="1" x14ac:dyDescent="0.25">
      <c r="D61" s="55" t="str">
        <v>⚠️Fixed typo - Changed 'Fry' to 'Dry'.</v>
      </c>
    </row>
    <row r="62" spans="4:8" ht="20.100000000000001" customHeight="1" x14ac:dyDescent="0.25"/>
    <row r="63" spans="4:8" ht="20.100000000000001" customHeight="1" x14ac:dyDescent="0.25">
      <c r="D63" s="37" t="s">
        <v>10</v>
      </c>
      <c r="E63" s="37" t="s">
        <v>48</v>
      </c>
    </row>
    <row r="64" spans="4:8" ht="20.100000000000001" customHeight="1" x14ac:dyDescent="0.25">
      <c r="D64" s="37" t="str" cm="1">
        <f t="array" ref="D64">Common_InputFunctions.Utility_DisplayArrayInTable(Common_SourceData.Common_SourceData_WetAndDryZones_Data(), Table_SourceData_WetDryZones[[#Headers],[Climate zone]], 0)</f>
        <v>Tropical montane</v>
      </c>
      <c r="E64" s="37" t="str" cm="1">
        <f t="array" ref="E64">Common_InputFunctions.Utility_DisplayArrayInTable(Common_SourceData.Common_SourceData_WetAndDryZones_Data(), Table_SourceData_WetDryZones[[#Headers],[Climate zone]], 0)</f>
        <v>Wet climate zone</v>
      </c>
    </row>
    <row r="65" spans="4:5" ht="20.100000000000001" customHeight="1" x14ac:dyDescent="0.25">
      <c r="D65" s="37" t="str" cm="1">
        <f t="array" ref="D65">Common_InputFunctions.Utility_DisplayArrayInTable(Common_SourceData.Common_SourceData_WetAndDryZones_Data(), Table_SourceData_WetDryZones[[#Headers],[Climate zone]], 0)</f>
        <v>Tropical wet</v>
      </c>
      <c r="E65" s="37" t="str" cm="1">
        <f t="array" ref="E65">Common_InputFunctions.Utility_DisplayArrayInTable(Common_SourceData.Common_SourceData_WetAndDryZones_Data(), Table_SourceData_WetDryZones[[#Headers],[Climate zone]], 0)</f>
        <v>Wet climate zone</v>
      </c>
    </row>
    <row r="66" spans="4:5" ht="20.100000000000001" customHeight="1" x14ac:dyDescent="0.25">
      <c r="D66" s="37" t="str" cm="1">
        <f t="array" ref="D66">Common_InputFunctions.Utility_DisplayArrayInTable(Common_SourceData.Common_SourceData_WetAndDryZones_Data(), Table_SourceData_WetDryZones[[#Headers],[Climate zone]], 0)</f>
        <v>Tropical moist</v>
      </c>
      <c r="E66" s="37" t="str" cm="1">
        <f t="array" ref="E66">Common_InputFunctions.Utility_DisplayArrayInTable(Common_SourceData.Common_SourceData_WetAndDryZones_Data(), Table_SourceData_WetDryZones[[#Headers],[Climate zone]], 0)</f>
        <v>Wet climate zone</v>
      </c>
    </row>
    <row r="67" spans="4:5" ht="20.100000000000001" customHeight="1" x14ac:dyDescent="0.25">
      <c r="D67" s="37" t="str" cm="1">
        <f t="array" ref="D67">Common_InputFunctions.Utility_DisplayArrayInTable(Common_SourceData.Common_SourceData_WetAndDryZones_Data(), Table_SourceData_WetDryZones[[#Headers],[Climate zone]], 0)</f>
        <v>Tropical dry</v>
      </c>
      <c r="E67" s="37" t="str" cm="1">
        <f t="array" ref="E67">Common_InputFunctions.Utility_DisplayArrayInTable(Common_SourceData.Common_SourceData_WetAndDryZones_Data(), Table_SourceData_WetDryZones[[#Headers],[Climate zone]], 0)</f>
        <v>Dry climate zone</v>
      </c>
    </row>
    <row r="68" spans="4:5" ht="20.100000000000001" customHeight="1" x14ac:dyDescent="0.25">
      <c r="D68" s="37" t="str" cm="1">
        <f t="array" ref="D68">Common_InputFunctions.Utility_DisplayArrayInTable(Common_SourceData.Common_SourceData_WetAndDryZones_Data(), Table_SourceData_WetDryZones[[#Headers],[Climate zone]], 0)</f>
        <v>Warm temperate moist</v>
      </c>
      <c r="E68" s="37" t="str" cm="1">
        <f t="array" ref="E68">Common_InputFunctions.Utility_DisplayArrayInTable(Common_SourceData.Common_SourceData_WetAndDryZones_Data(), Table_SourceData_WetDryZones[[#Headers],[Climate zone]], 0)</f>
        <v>Wet climate zone</v>
      </c>
    </row>
    <row r="69" spans="4:5" ht="20.100000000000001" customHeight="1" x14ac:dyDescent="0.25">
      <c r="D69" s="37" t="str" cm="1">
        <f t="array" ref="D69">Common_InputFunctions.Utility_DisplayArrayInTable(Common_SourceData.Common_SourceData_WetAndDryZones_Data(), Table_SourceData_WetDryZones[[#Headers],[Climate zone]], 0)</f>
        <v>Warm temperate dry</v>
      </c>
      <c r="E69" s="37" t="str" cm="1">
        <f t="array" ref="E69">Common_InputFunctions.Utility_DisplayArrayInTable(Common_SourceData.Common_SourceData_WetAndDryZones_Data(), Table_SourceData_WetDryZones[[#Headers],[Climate zone]], 0)</f>
        <v>Dry climate zone</v>
      </c>
    </row>
    <row r="70" spans="4:5" ht="20.100000000000001" customHeight="1" x14ac:dyDescent="0.25">
      <c r="D70" s="37" t="str" cm="1">
        <f t="array" ref="D70">Common_InputFunctions.Utility_DisplayArrayInTable(Common_SourceData.Common_SourceData_WetAndDryZones_Data(), Table_SourceData_WetDryZones[[#Headers],[Climate zone]], 0)</f>
        <v>Cool temperate moist</v>
      </c>
      <c r="E70" s="37" t="str" cm="1">
        <f t="array" ref="E70">Common_InputFunctions.Utility_DisplayArrayInTable(Common_SourceData.Common_SourceData_WetAndDryZones_Data(), Table_SourceData_WetDryZones[[#Headers],[Climate zone]], 0)</f>
        <v>Wet climate zone</v>
      </c>
    </row>
    <row r="71" spans="4:5" ht="20.100000000000001" customHeight="1" x14ac:dyDescent="0.25">
      <c r="D71" s="37" t="str" cm="1">
        <f t="array" ref="D71">Common_InputFunctions.Utility_DisplayArrayInTable(Common_SourceData.Common_SourceData_WetAndDryZones_Data(), Table_SourceData_WetDryZones[[#Headers],[Climate zone]], 0)</f>
        <v>Cool temperate dry</v>
      </c>
      <c r="E71" s="37" t="str" cm="1">
        <f t="array" ref="E71">Common_InputFunctions.Utility_DisplayArrayInTable(Common_SourceData.Common_SourceData_WetAndDryZones_Data(), Table_SourceData_WetDryZones[[#Headers],[Climate zone]], 0)</f>
        <v>Dry climate zone</v>
      </c>
    </row>
    <row r="72" spans="4:5" ht="20.100000000000001" customHeight="1" x14ac:dyDescent="0.25">
      <c r="D72" s="37" t="str" cm="1">
        <f t="array" ref="D72">Common_InputFunctions.Utility_DisplayArrayInTable(Common_SourceData.Common_SourceData_WetAndDryZones_Data(), Table_SourceData_WetDryZones[[#Headers],[Climate zone]], 0)</f>
        <v>Warm temperate moist - low frost</v>
      </c>
      <c r="E72" s="37" t="str" cm="1">
        <f t="array" ref="E72">Common_InputFunctions.Utility_DisplayArrayInTable(Common_SourceData.Common_SourceData_WetAndDryZones_Data(), Table_SourceData_WetDryZones[[#Headers],[Climate zone]], 0)</f>
        <v>Wet climate zone</v>
      </c>
    </row>
    <row r="73" spans="4:5" ht="20.100000000000001" customHeight="1" x14ac:dyDescent="0.25">
      <c r="D73" s="37" t="str" cm="1">
        <f t="array" ref="D73">Common_InputFunctions.Utility_DisplayArrayInTable(Common_SourceData.Common_SourceData_WetAndDryZones_Data(), Table_SourceData_WetDryZones[[#Headers],[Climate zone]], 0)</f>
        <v>Warm temperate dry - low frost</v>
      </c>
      <c r="E73" s="37" t="str" cm="1">
        <f t="array" ref="E73">Common_InputFunctions.Utility_DisplayArrayInTable(Common_SourceData.Common_SourceData_WetAndDryZones_Data(), Table_SourceData_WetDryZones[[#Headers],[Climate zone]], 0)</f>
        <v>Dry climate zone</v>
      </c>
    </row>
    <row r="74" spans="4:5" ht="20.100000000000001" customHeight="1" x14ac:dyDescent="0.25">
      <c r="D74" s="37" t="str" cm="1">
        <f t="array" ref="D74">Common_InputFunctions.Utility_DisplayArrayInTable(Common_SourceData.Common_SourceData_WetAndDryZones_Data(), Table_SourceData_WetDryZones[[#Headers],[Climate zone]], 0)</f>
        <v>Warm temperate moist - high temp</v>
      </c>
      <c r="E74" s="37" t="str" cm="1">
        <f t="array" ref="E74">Common_InputFunctions.Utility_DisplayArrayInTable(Common_SourceData.Common_SourceData_WetAndDryZones_Data(), Table_SourceData_WetDryZones[[#Headers],[Climate zone]], 0)</f>
        <v>Wet climate zone</v>
      </c>
    </row>
    <row r="75" spans="4:5" ht="20.100000000000001" customHeight="1" x14ac:dyDescent="0.25">
      <c r="D75" s="37" t="str" cm="1">
        <f t="array" ref="D75">Common_InputFunctions.Utility_DisplayArrayInTable(Common_SourceData.Common_SourceData_WetAndDryZones_Data(), Table_SourceData_WetDryZones[[#Headers],[Climate zone]], 0)</f>
        <v>Warm temperate dry - high temp</v>
      </c>
      <c r="E75" s="37" t="str" cm="1">
        <f t="array" ref="E75">Common_InputFunctions.Utility_DisplayArrayInTable(Common_SourceData.Common_SourceData_WetAndDryZones_Data(), Table_SourceData_WetDryZones[[#Headers],[Climate zone]], 0)</f>
        <v>Dry climate zone</v>
      </c>
    </row>
    <row r="76" spans="4:5" ht="20.100000000000001" customHeight="1" x14ac:dyDescent="0.25">
      <c r="D76" s="37" t="str" cm="1">
        <f t="array" ref="D76">Common_InputFunctions.Utility_DisplayArrayInTable(Common_SourceData.Common_SourceData_WetAndDryZones_Data(), Table_SourceData_WetDryZones[[#Headers],[Climate zone]], 0)</f>
        <v>Cool temperate moist - low frost</v>
      </c>
      <c r="E76" s="37" t="str" cm="1">
        <f t="array" ref="E76">Common_InputFunctions.Utility_DisplayArrayInTable(Common_SourceData.Common_SourceData_WetAndDryZones_Data(), Table_SourceData_WetDryZones[[#Headers],[Climate zone]], 0)</f>
        <v>Wet climate zone</v>
      </c>
    </row>
    <row r="77" spans="4:5" ht="20.100000000000001" customHeight="1" x14ac:dyDescent="0.25">
      <c r="D77" s="37" t="str" cm="1">
        <f t="array" ref="D77">Common_InputFunctions.Utility_DisplayArrayInTable(Common_SourceData.Common_SourceData_WetAndDryZones_Data(), Table_SourceData_WetDryZones[[#Headers],[Climate zone]], 0)</f>
        <v>Cool temperate dry - low frost</v>
      </c>
      <c r="E77" s="37" t="str" cm="1">
        <f t="array" ref="E77">Common_InputFunctions.Utility_DisplayArrayInTable(Common_SourceData.Common_SourceData_WetAndDryZones_Data(), Table_SourceData_WetDryZones[[#Headers],[Climate zone]], 0)</f>
        <v>Dry climate zone</v>
      </c>
    </row>
    <row r="78" spans="4:5" ht="20.100000000000001" customHeight="1" x14ac:dyDescent="0.25"/>
    <row r="79" spans="4:5" ht="20.100000000000001" customHeight="1" x14ac:dyDescent="0.25"/>
    <row r="80" spans="4:5" ht="20.100000000000001" customHeight="1" x14ac:dyDescent="0.25"/>
    <row r="81" spans="4:19" ht="20.100000000000001" customHeight="1" x14ac:dyDescent="0.25">
      <c r="D81" s="6" t="str" cm="1">
        <f t="array" ref="D81">Common_SourceData.Common_SourceData_ClimateZones_Title()</f>
        <v>VEERG Australian climate zones</v>
      </c>
    </row>
    <row r="82" spans="4:19" ht="20.100000000000001" customHeight="1" x14ac:dyDescent="0.25">
      <c r="D82" s="5" t="str" cm="1">
        <f t="array" ref="D82">Common_SourceData.Common_SourceData_ClimateZones_Source()</f>
        <v>VEERG 2026: Table 1.3: Climate and Rainfall zone classifications and definitions</v>
      </c>
    </row>
    <row r="83" spans="4:19" ht="20.100000000000001" customHeight="1" x14ac:dyDescent="0.25">
      <c r="D83" s="55" t="str" cm="1">
        <f t="array" ref="D83:D87">"⚠️" &amp; Common_SourceData.Common_SourceData_ClimateZones_Variation()</f>
        <v>⚠️VARIATION OF SOURCE DATA:</v>
      </c>
    </row>
    <row r="84" spans="4:19" ht="20.100000000000001" customHeight="1" x14ac:dyDescent="0.25">
      <c r="D84" s="55" t="str">
        <v>⚠️Added warm / cool temperate moist / dry - low frost and high temp classes to accommodate climate scenarios excluded by VEERG criteria.</v>
      </c>
    </row>
    <row r="85" spans="4:19" ht="20.100000000000001" customHeight="1" x14ac:dyDescent="0.25">
      <c r="D85" s="55" t="str">
        <v>⚠️Fixed typo in MAT value for warm temperate dry - changed 10 to 11.</v>
      </c>
    </row>
    <row r="86" spans="4:19" ht="20.100000000000001" customHeight="1" x14ac:dyDescent="0.25">
      <c r="D86" s="55" t="str">
        <v>⚠️Added min and max columns for MAT, MAP, frost days per year, elevation, MAP:PET to calculate zones from real climate data.</v>
      </c>
    </row>
    <row r="87" spans="4:19" ht="20.100000000000001" customHeight="1" x14ac:dyDescent="0.25">
      <c r="D87" s="55" t="str">
        <v>⚠️GAF accepts rainfall as a proxy for precipitation.</v>
      </c>
    </row>
    <row r="88" spans="4:19" ht="20.100000000000001" customHeight="1" x14ac:dyDescent="0.25"/>
    <row r="89" spans="4:19" ht="20.100000000000001" customHeight="1" x14ac:dyDescent="0.25">
      <c r="D89" s="37" t="s">
        <v>10</v>
      </c>
      <c r="E89" s="37" t="s">
        <v>36</v>
      </c>
      <c r="F89" s="37" t="s">
        <v>37</v>
      </c>
      <c r="G89" s="37" t="s">
        <v>38</v>
      </c>
      <c r="H89" s="37" t="s">
        <v>39</v>
      </c>
      <c r="I89" s="37" t="s">
        <v>40</v>
      </c>
      <c r="J89" s="37" t="s">
        <v>41</v>
      </c>
      <c r="K89" s="37" t="s">
        <v>42</v>
      </c>
      <c r="L89" s="37" t="s">
        <v>43</v>
      </c>
      <c r="M89" s="37" t="s">
        <v>44</v>
      </c>
      <c r="N89" s="37" t="s">
        <v>45</v>
      </c>
      <c r="O89" s="37" t="s">
        <v>49</v>
      </c>
      <c r="P89" s="37" t="s">
        <v>46</v>
      </c>
      <c r="Q89" s="37" t="s">
        <v>50</v>
      </c>
      <c r="R89" s="37" t="s">
        <v>47</v>
      </c>
      <c r="S89" s="37" t="s">
        <v>51</v>
      </c>
    </row>
    <row r="90" spans="4:19" ht="20.100000000000001" customHeight="1" x14ac:dyDescent="0.25">
      <c r="D90" s="37" t="str" cm="1">
        <f t="array" ref="D90">Common_InputFunctions.Utility_DisplayArrayInTable(Common_SourceData.Common_SourceData_ClimateZones_Data(), Table_SourceData_ClimateZones[[#Headers],[Climate zone]], 0)</f>
        <v>Tropical montane</v>
      </c>
      <c r="E90" s="37" t="str" cm="1">
        <f t="array" ref="E90">Common_InputFunctions.Utility_DisplayArrayInTable(Common_SourceData.Common_SourceData_ClimateZones_Data(), Table_SourceData_ClimateZones[[#Headers],[Climate zone]], 0)</f>
        <v>&gt; 18 C</v>
      </c>
      <c r="F90" s="37" t="str" cm="1">
        <f t="array" ref="F90">Common_InputFunctions.Utility_DisplayArrayInTable(Common_SourceData.Common_SourceData_ClimateZones_Data(), Table_SourceData_ClimateZones[[#Headers],[Climate zone]], 0)</f>
        <v>Any</v>
      </c>
      <c r="G90" s="37" t="str" cm="1">
        <f t="array" ref="G90">Common_InputFunctions.Utility_DisplayArrayInTable(Common_SourceData.Common_SourceData_ClimateZones_Data(), Table_SourceData_ClimateZones[[#Headers],[Climate zone]], 0)</f>
        <v>≤ 7</v>
      </c>
      <c r="H90" s="37" t="str" cm="1">
        <f t="array" ref="H90">Common_InputFunctions.Utility_DisplayArrayInTable(Common_SourceData.Common_SourceData_ClimateZones_Data(), Table_SourceData_ClimateZones[[#Headers],[Climate zone]], 0)</f>
        <v>&gt; 1000 m</v>
      </c>
      <c r="I90" s="37" t="str" cm="1">
        <f t="array" ref="I90">Common_InputFunctions.Utility_DisplayArrayInTable(Common_SourceData.Common_SourceData_ClimateZones_Data(), Table_SourceData_ClimateZones[[#Headers],[Climate zone]], 0)</f>
        <v>Any</v>
      </c>
      <c r="J90" s="37" cm="1">
        <f t="array" ref="J90">Common_InputFunctions.Utility_DisplayArrayInTable(Common_SourceData.Common_SourceData_ClimateZones_Data(), Table_SourceData_ClimateZones[[#Headers],[Climate zone]], 0)</f>
        <v>18.001000000000001</v>
      </c>
      <c r="K90" s="37" cm="1">
        <f t="array" ref="K90">Common_InputFunctions.Utility_DisplayArrayInTable(Common_SourceData.Common_SourceData_ClimateZones_Data(), Table_SourceData_ClimateZones[[#Headers],[Climate zone]], 0)</f>
        <v>999999</v>
      </c>
      <c r="L90" s="37" cm="1">
        <f t="array" ref="L90">Common_InputFunctions.Utility_DisplayArrayInTable(Common_SourceData.Common_SourceData_ClimateZones_Data(), Table_SourceData_ClimateZones[[#Headers],[Climate zone]], 0)</f>
        <v>-999999</v>
      </c>
      <c r="M90" s="37" cm="1">
        <f t="array" ref="M90">Common_InputFunctions.Utility_DisplayArrayInTable(Common_SourceData.Common_SourceData_ClimateZones_Data(), Table_SourceData_ClimateZones[[#Headers],[Climate zone]], 0)</f>
        <v>999999</v>
      </c>
      <c r="N90" s="37" cm="1">
        <f t="array" ref="N90">Common_InputFunctions.Utility_DisplayArrayInTable(Common_SourceData.Common_SourceData_ClimateZones_Data(), Table_SourceData_ClimateZones[[#Headers],[Climate zone]], 0)</f>
        <v>-999999</v>
      </c>
      <c r="O90" s="37" cm="1">
        <f t="array" ref="O90">Common_InputFunctions.Utility_DisplayArrayInTable(Common_SourceData.Common_SourceData_ClimateZones_Data(), Table_SourceData_ClimateZones[[#Headers],[Climate zone]], 0)</f>
        <v>7</v>
      </c>
      <c r="P90" s="37" cm="1">
        <f t="array" ref="P90">Common_InputFunctions.Utility_DisplayArrayInTable(Common_SourceData.Common_SourceData_ClimateZones_Data(), Table_SourceData_ClimateZones[[#Headers],[Climate zone]], 0)</f>
        <v>1000</v>
      </c>
      <c r="Q90" s="37" cm="1">
        <f t="array" ref="Q90">Common_InputFunctions.Utility_DisplayArrayInTable(Common_SourceData.Common_SourceData_ClimateZones_Data(), Table_SourceData_ClimateZones[[#Headers],[Climate zone]], 0)</f>
        <v>999999</v>
      </c>
      <c r="R90" s="37" cm="1">
        <f t="array" ref="R90">Common_InputFunctions.Utility_DisplayArrayInTable(Common_SourceData.Common_SourceData_ClimateZones_Data(), Table_SourceData_ClimateZones[[#Headers],[Climate zone]], 0)</f>
        <v>-999999</v>
      </c>
      <c r="S90" s="37" cm="1">
        <f t="array" ref="S90">Common_InputFunctions.Utility_DisplayArrayInTable(Common_SourceData.Common_SourceData_ClimateZones_Data(), Table_SourceData_ClimateZones[[#Headers],[Climate zone]], 0)</f>
        <v>999999</v>
      </c>
    </row>
    <row r="91" spans="4:19" ht="20.100000000000001" customHeight="1" x14ac:dyDescent="0.25">
      <c r="D91" s="37" t="str" cm="1">
        <f t="array" ref="D91">Common_InputFunctions.Utility_DisplayArrayInTable(Common_SourceData.Common_SourceData_ClimateZones_Data(), Table_SourceData_ClimateZones[[#Headers],[Climate zone]], 0)</f>
        <v>Tropical wet</v>
      </c>
      <c r="E91" s="37" t="str" cm="1">
        <f t="array" ref="E91">Common_InputFunctions.Utility_DisplayArrayInTable(Common_SourceData.Common_SourceData_ClimateZones_Data(), Table_SourceData_ClimateZones[[#Headers],[Climate zone]], 0)</f>
        <v>&gt; 18 C</v>
      </c>
      <c r="F91" s="37" t="str" cm="1">
        <f t="array" ref="F91">Common_InputFunctions.Utility_DisplayArrayInTable(Common_SourceData.Common_SourceData_ClimateZones_Data(), Table_SourceData_ClimateZones[[#Headers],[Climate zone]], 0)</f>
        <v>&gt; 2000 mm</v>
      </c>
      <c r="G91" s="37" t="str" cm="1">
        <f t="array" ref="G91">Common_InputFunctions.Utility_DisplayArrayInTable(Common_SourceData.Common_SourceData_ClimateZones_Data(), Table_SourceData_ClimateZones[[#Headers],[Climate zone]], 0)</f>
        <v>≤ 7</v>
      </c>
      <c r="H91" s="37" t="str" cm="1">
        <f t="array" ref="H91">Common_InputFunctions.Utility_DisplayArrayInTable(Common_SourceData.Common_SourceData_ClimateZones_Data(), Table_SourceData_ClimateZones[[#Headers],[Climate zone]], 0)</f>
        <v>≤ 1000 m</v>
      </c>
      <c r="I91" s="37" t="str" cm="1">
        <f t="array" ref="I91">Common_InputFunctions.Utility_DisplayArrayInTable(Common_SourceData.Common_SourceData_ClimateZones_Data(), Table_SourceData_ClimateZones[[#Headers],[Climate zone]], 0)</f>
        <v>Any</v>
      </c>
      <c r="J91" s="37" cm="1">
        <f t="array" ref="J91">Common_InputFunctions.Utility_DisplayArrayInTable(Common_SourceData.Common_SourceData_ClimateZones_Data(), Table_SourceData_ClimateZones[[#Headers],[Climate zone]], 0)</f>
        <v>18.001000000000001</v>
      </c>
      <c r="K91" s="37" cm="1">
        <f t="array" ref="K91">Common_InputFunctions.Utility_DisplayArrayInTable(Common_SourceData.Common_SourceData_ClimateZones_Data(), Table_SourceData_ClimateZones[[#Headers],[Climate zone]], 0)</f>
        <v>999999</v>
      </c>
      <c r="L91" s="37" cm="1">
        <f t="array" ref="L91">Common_InputFunctions.Utility_DisplayArrayInTable(Common_SourceData.Common_SourceData_ClimateZones_Data(), Table_SourceData_ClimateZones[[#Headers],[Climate zone]], 0)</f>
        <v>2000.001</v>
      </c>
      <c r="M91" s="37" cm="1">
        <f t="array" ref="M91">Common_InputFunctions.Utility_DisplayArrayInTable(Common_SourceData.Common_SourceData_ClimateZones_Data(), Table_SourceData_ClimateZones[[#Headers],[Climate zone]], 0)</f>
        <v>999999</v>
      </c>
      <c r="N91" s="37" cm="1">
        <f t="array" ref="N91">Common_InputFunctions.Utility_DisplayArrayInTable(Common_SourceData.Common_SourceData_ClimateZones_Data(), Table_SourceData_ClimateZones[[#Headers],[Climate zone]], 0)</f>
        <v>-999999</v>
      </c>
      <c r="O91" s="37" cm="1">
        <f t="array" ref="O91">Common_InputFunctions.Utility_DisplayArrayInTable(Common_SourceData.Common_SourceData_ClimateZones_Data(), Table_SourceData_ClimateZones[[#Headers],[Climate zone]], 0)</f>
        <v>7</v>
      </c>
      <c r="P91" s="37" cm="1">
        <f t="array" ref="P91">Common_InputFunctions.Utility_DisplayArrayInTable(Common_SourceData.Common_SourceData_ClimateZones_Data(), Table_SourceData_ClimateZones[[#Headers],[Climate zone]], 0)</f>
        <v>-999999</v>
      </c>
      <c r="Q91" s="37" cm="1">
        <f t="array" ref="Q91">Common_InputFunctions.Utility_DisplayArrayInTable(Common_SourceData.Common_SourceData_ClimateZones_Data(), Table_SourceData_ClimateZones[[#Headers],[Climate zone]], 0)</f>
        <v>999.99900000000002</v>
      </c>
      <c r="R91" s="37" cm="1">
        <f t="array" ref="R91">Common_InputFunctions.Utility_DisplayArrayInTable(Common_SourceData.Common_SourceData_ClimateZones_Data(), Table_SourceData_ClimateZones[[#Headers],[Climate zone]], 0)</f>
        <v>-999999</v>
      </c>
      <c r="S91" s="37" cm="1">
        <f t="array" ref="S91">Common_InputFunctions.Utility_DisplayArrayInTable(Common_SourceData.Common_SourceData_ClimateZones_Data(), Table_SourceData_ClimateZones[[#Headers],[Climate zone]], 0)</f>
        <v>999999</v>
      </c>
    </row>
    <row r="92" spans="4:19" ht="20.100000000000001" customHeight="1" x14ac:dyDescent="0.25">
      <c r="D92" s="37" t="str" cm="1">
        <f t="array" ref="D92">Common_InputFunctions.Utility_DisplayArrayInTable(Common_SourceData.Common_SourceData_ClimateZones_Data(), Table_SourceData_ClimateZones[[#Headers],[Climate zone]], 0)</f>
        <v>Tropical moist</v>
      </c>
      <c r="E92" s="37" t="str" cm="1">
        <f t="array" ref="E92">Common_InputFunctions.Utility_DisplayArrayInTable(Common_SourceData.Common_SourceData_ClimateZones_Data(), Table_SourceData_ClimateZones[[#Headers],[Climate zone]], 0)</f>
        <v>&gt; 18 C</v>
      </c>
      <c r="F92" s="37" t="str" cm="1">
        <f t="array" ref="F92">Common_InputFunctions.Utility_DisplayArrayInTable(Common_SourceData.Common_SourceData_ClimateZones_Data(), Table_SourceData_ClimateZones[[#Headers],[Climate zone]], 0)</f>
        <v>&gt; 1000 mm - ≤ 2000 mm</v>
      </c>
      <c r="G92" s="37" t="str" cm="1">
        <f t="array" ref="G92">Common_InputFunctions.Utility_DisplayArrayInTable(Common_SourceData.Common_SourceData_ClimateZones_Data(), Table_SourceData_ClimateZones[[#Headers],[Climate zone]], 0)</f>
        <v>≤ 7</v>
      </c>
      <c r="H92" s="37" t="str" cm="1">
        <f t="array" ref="H92">Common_InputFunctions.Utility_DisplayArrayInTable(Common_SourceData.Common_SourceData_ClimateZones_Data(), Table_SourceData_ClimateZones[[#Headers],[Climate zone]], 0)</f>
        <v>≤ 1000 m</v>
      </c>
      <c r="I92" s="37" t="str" cm="1">
        <f t="array" ref="I92">Common_InputFunctions.Utility_DisplayArrayInTable(Common_SourceData.Common_SourceData_ClimateZones_Data(), Table_SourceData_ClimateZones[[#Headers],[Climate zone]], 0)</f>
        <v>Any</v>
      </c>
      <c r="J92" s="37" cm="1">
        <f t="array" ref="J92">Common_InputFunctions.Utility_DisplayArrayInTable(Common_SourceData.Common_SourceData_ClimateZones_Data(), Table_SourceData_ClimateZones[[#Headers],[Climate zone]], 0)</f>
        <v>18.001000000000001</v>
      </c>
      <c r="K92" s="37" cm="1">
        <f t="array" ref="K92">Common_InputFunctions.Utility_DisplayArrayInTable(Common_SourceData.Common_SourceData_ClimateZones_Data(), Table_SourceData_ClimateZones[[#Headers],[Climate zone]], 0)</f>
        <v>999999</v>
      </c>
      <c r="L92" s="37" cm="1">
        <f t="array" ref="L92">Common_InputFunctions.Utility_DisplayArrayInTable(Common_SourceData.Common_SourceData_ClimateZones_Data(), Table_SourceData_ClimateZones[[#Headers],[Climate zone]], 0)</f>
        <v>1000.001</v>
      </c>
      <c r="M92" s="37" cm="1">
        <f t="array" ref="M92">Common_InputFunctions.Utility_DisplayArrayInTable(Common_SourceData.Common_SourceData_ClimateZones_Data(), Table_SourceData_ClimateZones[[#Headers],[Climate zone]], 0)</f>
        <v>2000</v>
      </c>
      <c r="N92" s="37" cm="1">
        <f t="array" ref="N92">Common_InputFunctions.Utility_DisplayArrayInTable(Common_SourceData.Common_SourceData_ClimateZones_Data(), Table_SourceData_ClimateZones[[#Headers],[Climate zone]], 0)</f>
        <v>-999999</v>
      </c>
      <c r="O92" s="37" cm="1">
        <f t="array" ref="O92">Common_InputFunctions.Utility_DisplayArrayInTable(Common_SourceData.Common_SourceData_ClimateZones_Data(), Table_SourceData_ClimateZones[[#Headers],[Climate zone]], 0)</f>
        <v>7</v>
      </c>
      <c r="P92" s="37" cm="1">
        <f t="array" ref="P92">Common_InputFunctions.Utility_DisplayArrayInTable(Common_SourceData.Common_SourceData_ClimateZones_Data(), Table_SourceData_ClimateZones[[#Headers],[Climate zone]], 0)</f>
        <v>-999999</v>
      </c>
      <c r="Q92" s="37" cm="1">
        <f t="array" ref="Q92">Common_InputFunctions.Utility_DisplayArrayInTable(Common_SourceData.Common_SourceData_ClimateZones_Data(), Table_SourceData_ClimateZones[[#Headers],[Climate zone]], 0)</f>
        <v>999.99900000000002</v>
      </c>
      <c r="R92" s="37" cm="1">
        <f t="array" ref="R92">Common_InputFunctions.Utility_DisplayArrayInTable(Common_SourceData.Common_SourceData_ClimateZones_Data(), Table_SourceData_ClimateZones[[#Headers],[Climate zone]], 0)</f>
        <v>-999999</v>
      </c>
      <c r="S92" s="37" cm="1">
        <f t="array" ref="S92">Common_InputFunctions.Utility_DisplayArrayInTable(Common_SourceData.Common_SourceData_ClimateZones_Data(), Table_SourceData_ClimateZones[[#Headers],[Climate zone]], 0)</f>
        <v>999999</v>
      </c>
    </row>
    <row r="93" spans="4:19" ht="20.100000000000001" customHeight="1" x14ac:dyDescent="0.25">
      <c r="D93" s="37" t="str" cm="1">
        <f t="array" ref="D93">Common_InputFunctions.Utility_DisplayArrayInTable(Common_SourceData.Common_SourceData_ClimateZones_Data(), Table_SourceData_ClimateZones[[#Headers],[Climate zone]], 0)</f>
        <v>Tropical dry</v>
      </c>
      <c r="E93" s="37" t="str" cm="1">
        <f t="array" ref="E93">Common_InputFunctions.Utility_DisplayArrayInTable(Common_SourceData.Common_SourceData_ClimateZones_Data(), Table_SourceData_ClimateZones[[#Headers],[Climate zone]], 0)</f>
        <v>&gt; 18 C</v>
      </c>
      <c r="F93" s="37" t="str" cm="1">
        <f t="array" ref="F93">Common_InputFunctions.Utility_DisplayArrayInTable(Common_SourceData.Common_SourceData_ClimateZones_Data(), Table_SourceData_ClimateZones[[#Headers],[Climate zone]], 0)</f>
        <v>≤ 1000 mm</v>
      </c>
      <c r="G93" s="37" t="str" cm="1">
        <f t="array" ref="G93">Common_InputFunctions.Utility_DisplayArrayInTable(Common_SourceData.Common_SourceData_ClimateZones_Data(), Table_SourceData_ClimateZones[[#Headers],[Climate zone]], 0)</f>
        <v>≤ 7</v>
      </c>
      <c r="H93" s="37" t="str" cm="1">
        <f t="array" ref="H93">Common_InputFunctions.Utility_DisplayArrayInTable(Common_SourceData.Common_SourceData_ClimateZones_Data(), Table_SourceData_ClimateZones[[#Headers],[Climate zone]], 0)</f>
        <v>≤ 1000 m</v>
      </c>
      <c r="I93" s="37" t="str" cm="1">
        <f t="array" ref="I93">Common_InputFunctions.Utility_DisplayArrayInTable(Common_SourceData.Common_SourceData_ClimateZones_Data(), Table_SourceData_ClimateZones[[#Headers],[Climate zone]], 0)</f>
        <v>Any</v>
      </c>
      <c r="J93" s="37" cm="1">
        <f t="array" ref="J93">Common_InputFunctions.Utility_DisplayArrayInTable(Common_SourceData.Common_SourceData_ClimateZones_Data(), Table_SourceData_ClimateZones[[#Headers],[Climate zone]], 0)</f>
        <v>18.001000000000001</v>
      </c>
      <c r="K93" s="37" cm="1">
        <f t="array" ref="K93">Common_InputFunctions.Utility_DisplayArrayInTable(Common_SourceData.Common_SourceData_ClimateZones_Data(), Table_SourceData_ClimateZones[[#Headers],[Climate zone]], 0)</f>
        <v>999999</v>
      </c>
      <c r="L93" s="37" cm="1">
        <f t="array" ref="L93">Common_InputFunctions.Utility_DisplayArrayInTable(Common_SourceData.Common_SourceData_ClimateZones_Data(), Table_SourceData_ClimateZones[[#Headers],[Climate zone]], 0)</f>
        <v>-999999</v>
      </c>
      <c r="M93" s="37" cm="1">
        <f t="array" ref="M93">Common_InputFunctions.Utility_DisplayArrayInTable(Common_SourceData.Common_SourceData_ClimateZones_Data(), Table_SourceData_ClimateZones[[#Headers],[Climate zone]], 0)</f>
        <v>1000</v>
      </c>
      <c r="N93" s="37" cm="1">
        <f t="array" ref="N93">Common_InputFunctions.Utility_DisplayArrayInTable(Common_SourceData.Common_SourceData_ClimateZones_Data(), Table_SourceData_ClimateZones[[#Headers],[Climate zone]], 0)</f>
        <v>-999999</v>
      </c>
      <c r="O93" s="37" cm="1">
        <f t="array" ref="O93">Common_InputFunctions.Utility_DisplayArrayInTable(Common_SourceData.Common_SourceData_ClimateZones_Data(), Table_SourceData_ClimateZones[[#Headers],[Climate zone]], 0)</f>
        <v>7</v>
      </c>
      <c r="P93" s="37" cm="1">
        <f t="array" ref="P93">Common_InputFunctions.Utility_DisplayArrayInTable(Common_SourceData.Common_SourceData_ClimateZones_Data(), Table_SourceData_ClimateZones[[#Headers],[Climate zone]], 0)</f>
        <v>-999999</v>
      </c>
      <c r="Q93" s="37" cm="1">
        <f t="array" ref="Q93">Common_InputFunctions.Utility_DisplayArrayInTable(Common_SourceData.Common_SourceData_ClimateZones_Data(), Table_SourceData_ClimateZones[[#Headers],[Climate zone]], 0)</f>
        <v>999.99900000000002</v>
      </c>
      <c r="R93" s="37" cm="1">
        <f t="array" ref="R93">Common_InputFunctions.Utility_DisplayArrayInTable(Common_SourceData.Common_SourceData_ClimateZones_Data(), Table_SourceData_ClimateZones[[#Headers],[Climate zone]], 0)</f>
        <v>-999999</v>
      </c>
      <c r="S93" s="37" cm="1">
        <f t="array" ref="S93">Common_InputFunctions.Utility_DisplayArrayInTable(Common_SourceData.Common_SourceData_ClimateZones_Data(), Table_SourceData_ClimateZones[[#Headers],[Climate zone]], 0)</f>
        <v>999999</v>
      </c>
    </row>
    <row r="94" spans="4:19" ht="20.100000000000001" customHeight="1" x14ac:dyDescent="0.25">
      <c r="D94" s="37" t="str" cm="1">
        <f t="array" ref="D94">Common_InputFunctions.Utility_DisplayArrayInTable(Common_SourceData.Common_SourceData_ClimateZones_Data(), Table_SourceData_ClimateZones[[#Headers],[Climate zone]], 0)</f>
        <v>Warm temperate moist</v>
      </c>
      <c r="E94" s="37" t="str" cm="1">
        <f t="array" ref="E94">Common_InputFunctions.Utility_DisplayArrayInTable(Common_SourceData.Common_SourceData_ClimateZones_Data(), Table_SourceData_ClimateZones[[#Headers],[Climate zone]], 0)</f>
        <v>&gt; 10 C</v>
      </c>
      <c r="F94" s="37" t="str" cm="1">
        <f t="array" ref="F94">Common_InputFunctions.Utility_DisplayArrayInTable(Common_SourceData.Common_SourceData_ClimateZones_Data(), Table_SourceData_ClimateZones[[#Headers],[Climate zone]], 0)</f>
        <v>Any</v>
      </c>
      <c r="G94" s="37" t="str" cm="1">
        <f t="array" ref="G94">Common_InputFunctions.Utility_DisplayArrayInTable(Common_SourceData.Common_SourceData_ClimateZones_Data(), Table_SourceData_ClimateZones[[#Headers],[Climate zone]], 0)</f>
        <v>Any</v>
      </c>
      <c r="H94" s="37" t="str" cm="1">
        <f t="array" ref="H94">Common_InputFunctions.Utility_DisplayArrayInTable(Common_SourceData.Common_SourceData_ClimateZones_Data(), Table_SourceData_ClimateZones[[#Headers],[Climate zone]], 0)</f>
        <v>Any</v>
      </c>
      <c r="I94" s="37" t="str" cm="1">
        <f t="array" ref="I94">Common_InputFunctions.Utility_DisplayArrayInTable(Common_SourceData.Common_SourceData_ClimateZones_Data(), Table_SourceData_ClimateZones[[#Headers],[Climate zone]], 0)</f>
        <v>&gt; 1</v>
      </c>
      <c r="J94" s="37" cm="1">
        <f t="array" ref="J94">Common_InputFunctions.Utility_DisplayArrayInTable(Common_SourceData.Common_SourceData_ClimateZones_Data(), Table_SourceData_ClimateZones[[#Headers],[Climate zone]], 0)</f>
        <v>10.000999999999999</v>
      </c>
      <c r="K94" s="37" cm="1">
        <f t="array" ref="K94">Common_InputFunctions.Utility_DisplayArrayInTable(Common_SourceData.Common_SourceData_ClimateZones_Data(), Table_SourceData_ClimateZones[[#Headers],[Climate zone]], 0)</f>
        <v>999999</v>
      </c>
      <c r="L94" s="37" cm="1">
        <f t="array" ref="L94">Common_InputFunctions.Utility_DisplayArrayInTable(Common_SourceData.Common_SourceData_ClimateZones_Data(), Table_SourceData_ClimateZones[[#Headers],[Climate zone]], 0)</f>
        <v>-999999</v>
      </c>
      <c r="M94" s="37" cm="1">
        <f t="array" ref="M94">Common_InputFunctions.Utility_DisplayArrayInTable(Common_SourceData.Common_SourceData_ClimateZones_Data(), Table_SourceData_ClimateZones[[#Headers],[Climate zone]], 0)</f>
        <v>999999</v>
      </c>
      <c r="N94" s="37" cm="1">
        <f t="array" ref="N94">Common_InputFunctions.Utility_DisplayArrayInTable(Common_SourceData.Common_SourceData_ClimateZones_Data(), Table_SourceData_ClimateZones[[#Headers],[Climate zone]], 0)</f>
        <v>-999999</v>
      </c>
      <c r="O94" s="37" cm="1">
        <f t="array" ref="O94">Common_InputFunctions.Utility_DisplayArrayInTable(Common_SourceData.Common_SourceData_ClimateZones_Data(), Table_SourceData_ClimateZones[[#Headers],[Climate zone]], 0)</f>
        <v>999999</v>
      </c>
      <c r="P94" s="37" cm="1">
        <f t="array" ref="P94">Common_InputFunctions.Utility_DisplayArrayInTable(Common_SourceData.Common_SourceData_ClimateZones_Data(), Table_SourceData_ClimateZones[[#Headers],[Climate zone]], 0)</f>
        <v>-999999</v>
      </c>
      <c r="Q94" s="37" cm="1">
        <f t="array" ref="Q94">Common_InputFunctions.Utility_DisplayArrayInTable(Common_SourceData.Common_SourceData_ClimateZones_Data(), Table_SourceData_ClimateZones[[#Headers],[Climate zone]], 0)</f>
        <v>999999</v>
      </c>
      <c r="R94" s="37" cm="1">
        <f t="array" ref="R94">Common_InputFunctions.Utility_DisplayArrayInTable(Common_SourceData.Common_SourceData_ClimateZones_Data(), Table_SourceData_ClimateZones[[#Headers],[Climate zone]], 0)</f>
        <v>1.0009999999999999</v>
      </c>
      <c r="S94" s="37" cm="1">
        <f t="array" ref="S94">Common_InputFunctions.Utility_DisplayArrayInTable(Common_SourceData.Common_SourceData_ClimateZones_Data(), Table_SourceData_ClimateZones[[#Headers],[Climate zone]], 0)</f>
        <v>999999</v>
      </c>
    </row>
    <row r="95" spans="4:19" ht="20.100000000000001" customHeight="1" x14ac:dyDescent="0.25">
      <c r="D95" s="37" t="str" cm="1">
        <f t="array" ref="D95">Common_InputFunctions.Utility_DisplayArrayInTable(Common_SourceData.Common_SourceData_ClimateZones_Data(), Table_SourceData_ClimateZones[[#Headers],[Climate zone]], 0)</f>
        <v>Warm temperate dry</v>
      </c>
      <c r="E95" s="37" t="str" cm="1">
        <f t="array" ref="E95">Common_InputFunctions.Utility_DisplayArrayInTable(Common_SourceData.Common_SourceData_ClimateZones_Data(), Table_SourceData_ClimateZones[[#Headers],[Climate zone]], 0)</f>
        <v>&gt; 10 C</v>
      </c>
      <c r="F95" s="37" t="str" cm="1">
        <f t="array" ref="F95">Common_InputFunctions.Utility_DisplayArrayInTable(Common_SourceData.Common_SourceData_ClimateZones_Data(), Table_SourceData_ClimateZones[[#Headers],[Climate zone]], 0)</f>
        <v>Any</v>
      </c>
      <c r="G95" s="37" t="str" cm="1">
        <f t="array" ref="G95">Common_InputFunctions.Utility_DisplayArrayInTable(Common_SourceData.Common_SourceData_ClimateZones_Data(), Table_SourceData_ClimateZones[[#Headers],[Climate zone]], 0)</f>
        <v>Any</v>
      </c>
      <c r="H95" s="37" t="str" cm="1">
        <f t="array" ref="H95">Common_InputFunctions.Utility_DisplayArrayInTable(Common_SourceData.Common_SourceData_ClimateZones_Data(), Table_SourceData_ClimateZones[[#Headers],[Climate zone]], 0)</f>
        <v>Any</v>
      </c>
      <c r="I95" s="37" t="str" cm="1">
        <f t="array" ref="I95">Common_InputFunctions.Utility_DisplayArrayInTable(Common_SourceData.Common_SourceData_ClimateZones_Data(), Table_SourceData_ClimateZones[[#Headers],[Climate zone]], 0)</f>
        <v>≤ 1</v>
      </c>
      <c r="J95" s="37" cm="1">
        <f t="array" ref="J95">Common_InputFunctions.Utility_DisplayArrayInTable(Common_SourceData.Common_SourceData_ClimateZones_Data(), Table_SourceData_ClimateZones[[#Headers],[Climate zone]], 0)</f>
        <v>10.000999999999999</v>
      </c>
      <c r="K95" s="37" cm="1">
        <f t="array" ref="K95">Common_InputFunctions.Utility_DisplayArrayInTable(Common_SourceData.Common_SourceData_ClimateZones_Data(), Table_SourceData_ClimateZones[[#Headers],[Climate zone]], 0)</f>
        <v>999999</v>
      </c>
      <c r="L95" s="37" cm="1">
        <f t="array" ref="L95">Common_InputFunctions.Utility_DisplayArrayInTable(Common_SourceData.Common_SourceData_ClimateZones_Data(), Table_SourceData_ClimateZones[[#Headers],[Climate zone]], 0)</f>
        <v>-999999</v>
      </c>
      <c r="M95" s="37" cm="1">
        <f t="array" ref="M95">Common_InputFunctions.Utility_DisplayArrayInTable(Common_SourceData.Common_SourceData_ClimateZones_Data(), Table_SourceData_ClimateZones[[#Headers],[Climate zone]], 0)</f>
        <v>999999</v>
      </c>
      <c r="N95" s="37" cm="1">
        <f t="array" ref="N95">Common_InputFunctions.Utility_DisplayArrayInTable(Common_SourceData.Common_SourceData_ClimateZones_Data(), Table_SourceData_ClimateZones[[#Headers],[Climate zone]], 0)</f>
        <v>-999999</v>
      </c>
      <c r="O95" s="37" cm="1">
        <f t="array" ref="O95">Common_InputFunctions.Utility_DisplayArrayInTable(Common_SourceData.Common_SourceData_ClimateZones_Data(), Table_SourceData_ClimateZones[[#Headers],[Climate zone]], 0)</f>
        <v>999999</v>
      </c>
      <c r="P95" s="37" cm="1">
        <f t="array" ref="P95">Common_InputFunctions.Utility_DisplayArrayInTable(Common_SourceData.Common_SourceData_ClimateZones_Data(), Table_SourceData_ClimateZones[[#Headers],[Climate zone]], 0)</f>
        <v>-999999</v>
      </c>
      <c r="Q95" s="37" cm="1">
        <f t="array" ref="Q95">Common_InputFunctions.Utility_DisplayArrayInTable(Common_SourceData.Common_SourceData_ClimateZones_Data(), Table_SourceData_ClimateZones[[#Headers],[Climate zone]], 0)</f>
        <v>999999</v>
      </c>
      <c r="R95" s="37" cm="1">
        <f t="array" ref="R95">Common_InputFunctions.Utility_DisplayArrayInTable(Common_SourceData.Common_SourceData_ClimateZones_Data(), Table_SourceData_ClimateZones[[#Headers],[Climate zone]], 0)</f>
        <v>-999999</v>
      </c>
      <c r="S95" s="37" cm="1">
        <f t="array" ref="S95">Common_InputFunctions.Utility_DisplayArrayInTable(Common_SourceData.Common_SourceData_ClimateZones_Data(), Table_SourceData_ClimateZones[[#Headers],[Climate zone]], 0)</f>
        <v>1</v>
      </c>
    </row>
    <row r="96" spans="4:19" ht="20.100000000000001" customHeight="1" x14ac:dyDescent="0.25">
      <c r="D96" s="37" t="str" cm="1">
        <f t="array" ref="D96">Common_InputFunctions.Utility_DisplayArrayInTable(Common_SourceData.Common_SourceData_ClimateZones_Data(), Table_SourceData_ClimateZones[[#Headers],[Climate zone]], 0)</f>
        <v>Cool temperate moist</v>
      </c>
      <c r="E96" s="37" t="str" cm="1">
        <f t="array" ref="E96">Common_InputFunctions.Utility_DisplayArrayInTable(Common_SourceData.Common_SourceData_ClimateZones_Data(), Table_SourceData_ClimateZones[[#Headers],[Climate zone]], 0)</f>
        <v>&gt; 0 C - ≤ 10 C</v>
      </c>
      <c r="F96" s="37" t="str" cm="1">
        <f t="array" ref="F96">Common_InputFunctions.Utility_DisplayArrayInTable(Common_SourceData.Common_SourceData_ClimateZones_Data(), Table_SourceData_ClimateZones[[#Headers],[Climate zone]], 0)</f>
        <v>Any</v>
      </c>
      <c r="G96" s="37" t="str" cm="1">
        <f t="array" ref="G96">Common_InputFunctions.Utility_DisplayArrayInTable(Common_SourceData.Common_SourceData_ClimateZones_Data(), Table_SourceData_ClimateZones[[#Headers],[Climate zone]], 0)</f>
        <v>Any</v>
      </c>
      <c r="H96" s="37" t="str" cm="1">
        <f t="array" ref="H96">Common_InputFunctions.Utility_DisplayArrayInTable(Common_SourceData.Common_SourceData_ClimateZones_Data(), Table_SourceData_ClimateZones[[#Headers],[Climate zone]], 0)</f>
        <v>Any</v>
      </c>
      <c r="I96" s="37" t="str" cm="1">
        <f t="array" ref="I96">Common_InputFunctions.Utility_DisplayArrayInTable(Common_SourceData.Common_SourceData_ClimateZones_Data(), Table_SourceData_ClimateZones[[#Headers],[Climate zone]], 0)</f>
        <v>&gt; 1</v>
      </c>
      <c r="J96" s="37" cm="1">
        <f t="array" ref="J96">Common_InputFunctions.Utility_DisplayArrayInTable(Common_SourceData.Common_SourceData_ClimateZones_Data(), Table_SourceData_ClimateZones[[#Headers],[Climate zone]], 0)</f>
        <v>-999999</v>
      </c>
      <c r="K96" s="37" cm="1">
        <f t="array" ref="K96">Common_InputFunctions.Utility_DisplayArrayInTable(Common_SourceData.Common_SourceData_ClimateZones_Data(), Table_SourceData_ClimateZones[[#Headers],[Climate zone]], 0)</f>
        <v>10</v>
      </c>
      <c r="L96" s="37" cm="1">
        <f t="array" ref="L96">Common_InputFunctions.Utility_DisplayArrayInTable(Common_SourceData.Common_SourceData_ClimateZones_Data(), Table_SourceData_ClimateZones[[#Headers],[Climate zone]], 0)</f>
        <v>-999999</v>
      </c>
      <c r="M96" s="37" cm="1">
        <f t="array" ref="M96">Common_InputFunctions.Utility_DisplayArrayInTable(Common_SourceData.Common_SourceData_ClimateZones_Data(), Table_SourceData_ClimateZones[[#Headers],[Climate zone]], 0)</f>
        <v>999999</v>
      </c>
      <c r="N96" s="37" cm="1">
        <f t="array" ref="N96">Common_InputFunctions.Utility_DisplayArrayInTable(Common_SourceData.Common_SourceData_ClimateZones_Data(), Table_SourceData_ClimateZones[[#Headers],[Climate zone]], 0)</f>
        <v>-999999</v>
      </c>
      <c r="O96" s="37" cm="1">
        <f t="array" ref="O96">Common_InputFunctions.Utility_DisplayArrayInTable(Common_SourceData.Common_SourceData_ClimateZones_Data(), Table_SourceData_ClimateZones[[#Headers],[Climate zone]], 0)</f>
        <v>999999</v>
      </c>
      <c r="P96" s="37" cm="1">
        <f t="array" ref="P96">Common_InputFunctions.Utility_DisplayArrayInTable(Common_SourceData.Common_SourceData_ClimateZones_Data(), Table_SourceData_ClimateZones[[#Headers],[Climate zone]], 0)</f>
        <v>-999999</v>
      </c>
      <c r="Q96" s="37" cm="1">
        <f t="array" ref="Q96">Common_InputFunctions.Utility_DisplayArrayInTable(Common_SourceData.Common_SourceData_ClimateZones_Data(), Table_SourceData_ClimateZones[[#Headers],[Climate zone]], 0)</f>
        <v>999999</v>
      </c>
      <c r="R96" s="37" cm="1">
        <f t="array" ref="R96">Common_InputFunctions.Utility_DisplayArrayInTable(Common_SourceData.Common_SourceData_ClimateZones_Data(), Table_SourceData_ClimateZones[[#Headers],[Climate zone]], 0)</f>
        <v>1.0009999999999999</v>
      </c>
      <c r="S96" s="37" cm="1">
        <f t="array" ref="S96">Common_InputFunctions.Utility_DisplayArrayInTable(Common_SourceData.Common_SourceData_ClimateZones_Data(), Table_SourceData_ClimateZones[[#Headers],[Climate zone]], 0)</f>
        <v>999999</v>
      </c>
    </row>
    <row r="97" spans="4:19" ht="20.100000000000001" customHeight="1" x14ac:dyDescent="0.25">
      <c r="D97" s="37" t="str" cm="1">
        <f t="array" ref="D97">Common_InputFunctions.Utility_DisplayArrayInTable(Common_SourceData.Common_SourceData_ClimateZones_Data(), Table_SourceData_ClimateZones[[#Headers],[Climate zone]], 0)</f>
        <v>Cool temperate dry</v>
      </c>
      <c r="E97" s="37" t="str" cm="1">
        <f t="array" ref="E97">Common_InputFunctions.Utility_DisplayArrayInTable(Common_SourceData.Common_SourceData_ClimateZones_Data(), Table_SourceData_ClimateZones[[#Headers],[Climate zone]], 0)</f>
        <v>&gt; 0 C - ≤ 10 C</v>
      </c>
      <c r="F97" s="37" t="str" cm="1">
        <f t="array" ref="F97">Common_InputFunctions.Utility_DisplayArrayInTable(Common_SourceData.Common_SourceData_ClimateZones_Data(), Table_SourceData_ClimateZones[[#Headers],[Climate zone]], 0)</f>
        <v>Any</v>
      </c>
      <c r="G97" s="37" t="str" cm="1">
        <f t="array" ref="G97">Common_InputFunctions.Utility_DisplayArrayInTable(Common_SourceData.Common_SourceData_ClimateZones_Data(), Table_SourceData_ClimateZones[[#Headers],[Climate zone]], 0)</f>
        <v>Any</v>
      </c>
      <c r="H97" s="37" t="str" cm="1">
        <f t="array" ref="H97">Common_InputFunctions.Utility_DisplayArrayInTable(Common_SourceData.Common_SourceData_ClimateZones_Data(), Table_SourceData_ClimateZones[[#Headers],[Climate zone]], 0)</f>
        <v>Any</v>
      </c>
      <c r="I97" s="37" t="str" cm="1">
        <f t="array" ref="I97">Common_InputFunctions.Utility_DisplayArrayInTable(Common_SourceData.Common_SourceData_ClimateZones_Data(), Table_SourceData_ClimateZones[[#Headers],[Climate zone]], 0)</f>
        <v>≤ 1</v>
      </c>
      <c r="J97" s="37" cm="1">
        <f t="array" ref="J97">Common_InputFunctions.Utility_DisplayArrayInTable(Common_SourceData.Common_SourceData_ClimateZones_Data(), Table_SourceData_ClimateZones[[#Headers],[Climate zone]], 0)</f>
        <v>-999999</v>
      </c>
      <c r="K97" s="37" cm="1">
        <f t="array" ref="K97">Common_InputFunctions.Utility_DisplayArrayInTable(Common_SourceData.Common_SourceData_ClimateZones_Data(), Table_SourceData_ClimateZones[[#Headers],[Climate zone]], 0)</f>
        <v>10</v>
      </c>
      <c r="L97" s="37" cm="1">
        <f t="array" ref="L97">Common_InputFunctions.Utility_DisplayArrayInTable(Common_SourceData.Common_SourceData_ClimateZones_Data(), Table_SourceData_ClimateZones[[#Headers],[Climate zone]], 0)</f>
        <v>-999999</v>
      </c>
      <c r="M97" s="37" cm="1">
        <f t="array" ref="M97">Common_InputFunctions.Utility_DisplayArrayInTable(Common_SourceData.Common_SourceData_ClimateZones_Data(), Table_SourceData_ClimateZones[[#Headers],[Climate zone]], 0)</f>
        <v>999999</v>
      </c>
      <c r="N97" s="37" cm="1">
        <f t="array" ref="N97">Common_InputFunctions.Utility_DisplayArrayInTable(Common_SourceData.Common_SourceData_ClimateZones_Data(), Table_SourceData_ClimateZones[[#Headers],[Climate zone]], 0)</f>
        <v>-999999</v>
      </c>
      <c r="O97" s="37" cm="1">
        <f t="array" ref="O97">Common_InputFunctions.Utility_DisplayArrayInTable(Common_SourceData.Common_SourceData_ClimateZones_Data(), Table_SourceData_ClimateZones[[#Headers],[Climate zone]], 0)</f>
        <v>999999</v>
      </c>
      <c r="P97" s="37" cm="1">
        <f t="array" ref="P97">Common_InputFunctions.Utility_DisplayArrayInTable(Common_SourceData.Common_SourceData_ClimateZones_Data(), Table_SourceData_ClimateZones[[#Headers],[Climate zone]], 0)</f>
        <v>-999999</v>
      </c>
      <c r="Q97" s="37" cm="1">
        <f t="array" ref="Q97">Common_InputFunctions.Utility_DisplayArrayInTable(Common_SourceData.Common_SourceData_ClimateZones_Data(), Table_SourceData_ClimateZones[[#Headers],[Climate zone]], 0)</f>
        <v>999999</v>
      </c>
      <c r="R97" s="37" cm="1">
        <f t="array" ref="R97">Common_InputFunctions.Utility_DisplayArrayInTable(Common_SourceData.Common_SourceData_ClimateZones_Data(), Table_SourceData_ClimateZones[[#Headers],[Climate zone]], 0)</f>
        <v>-999999</v>
      </c>
      <c r="S97" s="37" cm="1">
        <f t="array" ref="S97">Common_InputFunctions.Utility_DisplayArrayInTable(Common_SourceData.Common_SourceData_ClimateZones_Data(), Table_SourceData_ClimateZones[[#Headers],[Climate zone]], 0)</f>
        <v>1</v>
      </c>
    </row>
    <row r="98" spans="4:19" ht="20.100000000000001" customHeight="1" x14ac:dyDescent="0.25">
      <c r="D98" s="54" t="str" cm="1">
        <f t="array" ref="D98:D101">Common_SourceData.Common_SourceData_ClimateZones_Appendices()</f>
        <v>Note:</v>
      </c>
    </row>
    <row r="99" spans="4:19" ht="20.100000000000001" customHeight="1" x14ac:dyDescent="0.25">
      <c r="D99" s="54" t="str">
        <v>MAT = mean annual temperature</v>
      </c>
    </row>
    <row r="100" spans="4:19" ht="20.100000000000001" customHeight="1" x14ac:dyDescent="0.25">
      <c r="D100" s="54" t="str">
        <v>MAP = mean annual precipitation</v>
      </c>
    </row>
    <row r="101" spans="4:19" ht="20.100000000000001" customHeight="1" x14ac:dyDescent="0.25">
      <c r="D101" s="54" t="str">
        <v>PET = potential evapotranspiration</v>
      </c>
    </row>
    <row r="102" spans="4:19" ht="20.100000000000001" customHeight="1" x14ac:dyDescent="0.25">
      <c r="D102" s="54"/>
    </row>
    <row r="103" spans="4:19" ht="20.100000000000001" customHeight="1" x14ac:dyDescent="0.25"/>
    <row r="104" spans="4:19" ht="20.100000000000001" customHeight="1" x14ac:dyDescent="0.25"/>
    <row r="105" spans="4:19" ht="20.100000000000001" customHeight="1" x14ac:dyDescent="0.25">
      <c r="D105" s="6" t="str" cm="1">
        <f t="array" ref="D105">Common_SourceData.Common_SourceData_TemperatureZones_Title()</f>
        <v>VEERG Australian temperature zones</v>
      </c>
    </row>
    <row r="106" spans="4:19" ht="20.100000000000001" customHeight="1" x14ac:dyDescent="0.25">
      <c r="D106" s="5" t="str" cm="1">
        <f t="array" ref="D106">Common_SourceData.Common_SourceData_TemperatureZones_Source()</f>
        <v>VEERG 2026: Table 1.3: Climate and Rainfall zone classifications and definitions</v>
      </c>
    </row>
    <row r="107" spans="4:19" ht="20.100000000000001" customHeight="1" x14ac:dyDescent="0.25">
      <c r="D107" s="55" t="str" cm="1">
        <f t="array" ref="D107">"⚠️" &amp; Common_SourceData.Common_SourceData_TemperatureZones_Variation()</f>
        <v>⚠️VARIATION OF SOURCE DATA: Added extra MAT min and MAT max columns to calculate zone from real temperature data.</v>
      </c>
    </row>
    <row r="108" spans="4:19" ht="20.100000000000001" customHeight="1" x14ac:dyDescent="0.25"/>
    <row r="109" spans="4:19" ht="20.100000000000001" customHeight="1" x14ac:dyDescent="0.25">
      <c r="D109" s="37" t="s">
        <v>55</v>
      </c>
      <c r="E109" s="37" t="s">
        <v>36</v>
      </c>
      <c r="F109" s="37" t="s">
        <v>56</v>
      </c>
      <c r="G109" s="37" t="s">
        <v>57</v>
      </c>
    </row>
    <row r="110" spans="4:19" ht="20.100000000000001" customHeight="1" x14ac:dyDescent="0.25">
      <c r="D110" s="37" t="str" cm="1">
        <f t="array" ref="D110">Common_InputFunctions.Utility_DisplayArrayInTable(Common_SourceData.Common_SourceData_TemperatureZones_Data(),Table_SourceData_TemperatureZones[[#Headers],[Temperature Zone]],0)</f>
        <v>Warm</v>
      </c>
      <c r="E110" s="37" t="str" cm="1">
        <f t="array" ref="E110">Common_InputFunctions.Utility_DisplayArrayInTable(Common_SourceData.Common_SourceData_TemperatureZones_Data(),Table_SourceData_TemperatureZones[[#Headers],[Temperature Zone]],0)</f>
        <v>≥ 26 C</v>
      </c>
      <c r="F110" s="37" cm="1">
        <f t="array" ref="F110">Common_InputFunctions.Utility_DisplayArrayInTable(Common_SourceData.Common_SourceData_TemperatureZones_Data(),Table_SourceData_TemperatureZones[[#Headers],[Temperature Zone]],0)</f>
        <v>26</v>
      </c>
      <c r="G110" s="37" cm="1">
        <f t="array" ref="G110">Common_InputFunctions.Utility_DisplayArrayInTable(Common_SourceData.Common_SourceData_TemperatureZones_Data(),Table_SourceData_TemperatureZones[[#Headers],[Temperature Zone]],0)</f>
        <v>999999</v>
      </c>
    </row>
    <row r="111" spans="4:19" ht="20.100000000000001" customHeight="1" x14ac:dyDescent="0.25">
      <c r="D111" s="37" t="str" cm="1">
        <f t="array" ref="D111">Common_InputFunctions.Utility_DisplayArrayInTable(Common_SourceData.Common_SourceData_TemperatureZones_Data(),Table_SourceData_TemperatureZones[[#Headers],[Temperature Zone]],0)</f>
        <v>Temperate</v>
      </c>
      <c r="E111" s="37" t="str" cm="1">
        <f t="array" ref="E111">Common_InputFunctions.Utility_DisplayArrayInTable(Common_SourceData.Common_SourceData_TemperatureZones_Data(),Table_SourceData_TemperatureZones[[#Headers],[Temperature Zone]],0)</f>
        <v>15 - 25 C</v>
      </c>
      <c r="F111" s="37" cm="1">
        <f t="array" ref="F111">Common_InputFunctions.Utility_DisplayArrayInTable(Common_SourceData.Common_SourceData_TemperatureZones_Data(),Table_SourceData_TemperatureZones[[#Headers],[Temperature Zone]],0)</f>
        <v>15</v>
      </c>
      <c r="G111" s="37" cm="1">
        <f t="array" ref="G111">Common_InputFunctions.Utility_DisplayArrayInTable(Common_SourceData.Common_SourceData_TemperatureZones_Data(),Table_SourceData_TemperatureZones[[#Headers],[Temperature Zone]],0)</f>
        <v>25.998999999999999</v>
      </c>
    </row>
    <row r="112" spans="4:19" ht="20.100000000000001" customHeight="1" x14ac:dyDescent="0.25">
      <c r="D112" s="37" t="str" cm="1">
        <f t="array" ref="D112">Common_InputFunctions.Utility_DisplayArrayInTable(Common_SourceData.Common_SourceData_TemperatureZones_Data(),Table_SourceData_TemperatureZones[[#Headers],[Temperature Zone]],0)</f>
        <v>Cool</v>
      </c>
      <c r="E112" s="37" t="str" cm="1">
        <f t="array" ref="E112">Common_InputFunctions.Utility_DisplayArrayInTable(Common_SourceData.Common_SourceData_TemperatureZones_Data(),Table_SourceData_TemperatureZones[[#Headers],[Temperature Zone]],0)</f>
        <v>≤ 14 C</v>
      </c>
      <c r="F112" s="37" cm="1">
        <f t="array" ref="F112">Common_InputFunctions.Utility_DisplayArrayInTable(Common_SourceData.Common_SourceData_TemperatureZones_Data(),Table_SourceData_TemperatureZones[[#Headers],[Temperature Zone]],0)</f>
        <v>-999999</v>
      </c>
      <c r="G112" s="37" cm="1">
        <f t="array" ref="G112">Common_InputFunctions.Utility_DisplayArrayInTable(Common_SourceData.Common_SourceData_TemperatureZones_Data(),Table_SourceData_TemperatureZones[[#Headers],[Temperature Zone]],0)</f>
        <v>14.999000000000001</v>
      </c>
    </row>
    <row r="113" spans="4:65" ht="20.100000000000001" customHeight="1" x14ac:dyDescent="0.25"/>
    <row r="114" spans="4:65" ht="20.100000000000001" customHeight="1" x14ac:dyDescent="0.25"/>
    <row r="115" spans="4:65" ht="20.100000000000001" customHeight="1" x14ac:dyDescent="0.25">
      <c r="D115" s="6" t="str" cm="1">
        <f t="array" ref="D115">Common_SourceData.Common_SourceData_RainfallZones_Title()</f>
        <v>VEERG Australian rainfall zones</v>
      </c>
      <c r="BM115" s="7"/>
    </row>
    <row r="116" spans="4:65" ht="20.100000000000001" customHeight="1" x14ac:dyDescent="0.25">
      <c r="D116" s="5" t="str" cm="1">
        <f t="array" ref="D116">Common_SourceData.Common_SourceData_RainfallZones_Source()</f>
        <v>VEERG 2026: Table 1.3: Climate and Rainfall zone classifications and definitions</v>
      </c>
      <c r="BM116" s="7"/>
    </row>
    <row r="117" spans="4:65" ht="20.100000000000001" customHeight="1" x14ac:dyDescent="0.25">
      <c r="D117" s="55" t="str" cm="1">
        <f t="array" ref="D117">"⚠️" &amp; Common_SourceData.Common_SourceData_RainfallZones_Variation()</f>
        <v>⚠️VARIATION OF SOURCE DATA: Added extra Rainfall min and Rainfall max columns to calculate zone from real rainfall data.</v>
      </c>
      <c r="BM117" s="7"/>
    </row>
    <row r="118" spans="4:65" ht="20.100000000000001" customHeight="1" x14ac:dyDescent="0.25">
      <c r="BM118" s="7"/>
    </row>
    <row r="119" spans="4:65" ht="20.100000000000001" customHeight="1" x14ac:dyDescent="0.25">
      <c r="D119" s="37" t="s">
        <v>58</v>
      </c>
      <c r="E119" s="37" t="s">
        <v>59</v>
      </c>
      <c r="F119" s="37" t="s">
        <v>43</v>
      </c>
      <c r="G119" s="37" t="s">
        <v>44</v>
      </c>
      <c r="BM119" s="7"/>
    </row>
    <row r="120" spans="4:65" ht="20.100000000000001" customHeight="1" x14ac:dyDescent="0.25">
      <c r="D120" s="37" t="str" cm="1">
        <f t="array" ref="D120">Common_InputFunctions.Utility_DisplayArrayInTable(Common_SourceData.Common_SourceData_RainfallZones_Data(),Table_SourceData_RainfallZones[[#Headers],[Rainfall Zone]],0)</f>
        <v>High rainfall</v>
      </c>
      <c r="E120" s="37" t="str" cm="1">
        <f t="array" ref="E120">Common_InputFunctions.Utility_DisplayArrayInTable(Common_SourceData.Common_SourceData_RainfallZones_Data(),Table_SourceData_RainfallZones[[#Headers],[Rainfall Zone]],0)</f>
        <v>Annual rainfall &gt; 600mm</v>
      </c>
      <c r="F120" s="37" cm="1">
        <f t="array" ref="F120">Common_InputFunctions.Utility_DisplayArrayInTable(Common_SourceData.Common_SourceData_RainfallZones_Data(),Table_SourceData_RainfallZones[[#Headers],[Rainfall Zone]],0)</f>
        <v>600.00099999999998</v>
      </c>
      <c r="G120" s="37" cm="1">
        <f t="array" ref="G120">Common_InputFunctions.Utility_DisplayArrayInTable(Common_SourceData.Common_SourceData_RainfallZones_Data(),Table_SourceData_RainfallZones[[#Headers],[Rainfall Zone]],0)</f>
        <v>999999</v>
      </c>
      <c r="BM120" s="7"/>
    </row>
    <row r="121" spans="4:65" ht="20.100000000000001" customHeight="1" x14ac:dyDescent="0.25">
      <c r="D121" s="37" t="str" cm="1">
        <f t="array" ref="D121">Common_InputFunctions.Utility_DisplayArrayInTable(Common_SourceData.Common_SourceData_RainfallZones_Data(),Table_SourceData_RainfallZones[[#Headers],[Rainfall Zone]],0)</f>
        <v>Low rainfall</v>
      </c>
      <c r="E121" s="37" t="str" cm="1">
        <f t="array" ref="E121">Common_InputFunctions.Utility_DisplayArrayInTable(Common_SourceData.Common_SourceData_RainfallZones_Data(),Table_SourceData_RainfallZones[[#Headers],[Rainfall Zone]],0)</f>
        <v>Annual rainfall ≤ 600mm</v>
      </c>
      <c r="F121" s="37" cm="1">
        <f t="array" ref="F121">Common_InputFunctions.Utility_DisplayArrayInTable(Common_SourceData.Common_SourceData_RainfallZones_Data(),Table_SourceData_RainfallZones[[#Headers],[Rainfall Zone]],0)</f>
        <v>-999999</v>
      </c>
      <c r="G121" s="37" cm="1">
        <f t="array" ref="G121">Common_InputFunctions.Utility_DisplayArrayInTable(Common_SourceData.Common_SourceData_RainfallZones_Data(),Table_SourceData_RainfallZones[[#Headers],[Rainfall Zone]],0)</f>
        <v>600</v>
      </c>
      <c r="BM121" s="7"/>
    </row>
    <row r="122" spans="4:65" ht="20.100000000000001" customHeight="1" x14ac:dyDescent="0.25">
      <c r="BM122" s="7"/>
    </row>
    <row r="123" spans="4:65" ht="20.100000000000001" customHeight="1" x14ac:dyDescent="0.25"/>
    <row r="124" spans="4:65" ht="20.100000000000001" customHeight="1" x14ac:dyDescent="0.25">
      <c r="D124" s="6" t="str" cm="1">
        <f t="array" ref="D124">Common_SourceData.Common_SourceData_LeachingZones_Title()</f>
        <v>VEERG Australian leaching zones</v>
      </c>
    </row>
    <row r="125" spans="4:65" ht="20.100000000000001" customHeight="1" x14ac:dyDescent="0.25">
      <c r="D125" s="5" t="str" cm="1">
        <f t="array" ref="D125">Common_SourceData.Common_SourceData_LeachingZones_Source()</f>
        <v>VEERG 2026: Table 1.3: Climate and Rainfall zone classifications and definitions</v>
      </c>
    </row>
    <row r="126" spans="4:65" ht="20.100000000000001" customHeight="1" x14ac:dyDescent="0.25"/>
    <row r="127" spans="4:65" ht="20.100000000000001" customHeight="1" x14ac:dyDescent="0.25">
      <c r="D127" s="37" t="s">
        <v>65</v>
      </c>
      <c r="E127" s="37" t="s">
        <v>66</v>
      </c>
    </row>
    <row r="128" spans="4:65" ht="20.100000000000001" customHeight="1" x14ac:dyDescent="0.25">
      <c r="D128" s="37" t="str" cm="1">
        <f t="array" ref="D128">Common_InputFunctions.Utility_DisplayArrayInTable(Common_SourceData.Common_SourceData_LeachingZones_Data(), Table_SourceData_LeachingZones[[#Headers],[Leaching Zone]], 0)</f>
        <v>Leaching occurs</v>
      </c>
      <c r="E128" s="37" t="str" cm="1">
        <f t="array" ref="E128">Common_InputFunctions.Utility_DisplayArrayInTable(Common_SourceData.Common_SourceData_LeachingZones_Data(), Table_SourceData_LeachingZones[[#Headers],[Leaching Zone]], 0)</f>
        <v>Σ(𝑟𝑎𝑖𝑛)&gt;Σ(𝐸𝑇0)+𝑠𝑜𝑖𝑙 𝑤𝑎𝑡𝑒𝑟 ℎ𝑜𝑙𝑑𝑖𝑛𝑔 𝑐𝑎𝑝𝑎𝑐𝑖𝑡𝑦</v>
      </c>
    </row>
    <row r="129" spans="4:76" ht="20.100000000000001" customHeight="1" x14ac:dyDescent="0.25">
      <c r="D129" s="37" t="str" cm="1">
        <f t="array" ref="D129">Common_InputFunctions.Utility_DisplayArrayInTable(Common_SourceData.Common_SourceData_LeachingZones_Data(), Table_SourceData_LeachingZones[[#Headers],[Leaching Zone]], 0)</f>
        <v>Leaching does not occur</v>
      </c>
      <c r="E129" s="37" t="str" cm="1">
        <f t="array" ref="E129">Common_InputFunctions.Utility_DisplayArrayInTable(Common_SourceData.Common_SourceData_LeachingZones_Data(), Table_SourceData_LeachingZones[[#Headers],[Leaching Zone]], 0)</f>
        <v>Σ(𝑟𝑎𝑖𝑛)≤Σ(𝐸𝑇0)+𝑠𝑜𝑖𝑙 𝑤𝑎𝑡𝑒𝑟 ℎ𝑜𝑙𝑑𝑖𝑛𝑔 𝑐𝑎𝑝𝑎𝑐𝑖𝑡𝑦</v>
      </c>
    </row>
    <row r="130" spans="4:76" ht="20.100000000000001" customHeight="1" x14ac:dyDescent="0.25"/>
    <row r="131" spans="4:76" ht="20.100000000000001" customHeight="1" x14ac:dyDescent="0.25"/>
    <row r="132" spans="4:76" ht="20.100000000000001" customHeight="1" x14ac:dyDescent="0.25">
      <c r="D132" s="6" t="str" cm="1">
        <f t="array" ref="D132">Common_SourceData.Common_SourceData_FracWET_Title()</f>
        <v>Fraction of N that is available for leaching and runoff</v>
      </c>
      <c r="E132" s="22"/>
    </row>
    <row r="133" spans="4:76" ht="20.100000000000001" customHeight="1" x14ac:dyDescent="0.25">
      <c r="D133" s="5" t="str" cm="1">
        <f t="array" ref="D133">Common_SourceData.Common_SourceData_FracWET_Source()</f>
        <v>VEERG 2026:5.5.2.3 Constant Parameters</v>
      </c>
      <c r="E133" s="22"/>
    </row>
    <row r="134" spans="4:76" ht="20.100000000000001" customHeight="1" x14ac:dyDescent="0.25">
      <c r="D134" t="s">
        <v>93</v>
      </c>
      <c r="E134" t="s">
        <v>94</v>
      </c>
    </row>
    <row r="135" spans="4:76" ht="20.100000000000001" customHeight="1" x14ac:dyDescent="0.25">
      <c r="D135" t="str" cm="1">
        <f t="array" ref="D135">Common_InputFunctions.Utility_DisplayArrayInTable(Common_SourceData.Common_SourceData_FracWET_Data(),Table_SourceData_FracWET[[#Headers],[Is in leaching zone]],0)</f>
        <v>Yes - in leaching zone</v>
      </c>
      <c r="E135" cm="1">
        <f t="array" ref="E135">Common_InputFunctions.Utility_DisplayArrayInTable(Common_SourceData.Common_SourceData_FracWET_Data(),Table_SourceData_FracWET[[#Headers],[Is in leaching zone]],0)</f>
        <v>1</v>
      </c>
    </row>
    <row r="136" spans="4:76" ht="20.100000000000001" customHeight="1" x14ac:dyDescent="0.25">
      <c r="D136" s="1" t="str" cm="1">
        <f t="array" ref="D136">Common_InputFunctions.Utility_DisplayArrayInTable(Common_SourceData.Common_SourceData_FracWET_Data(),Table_SourceData_FracWET[[#Headers],[Is in leaching zone]],0)</f>
        <v>No - not in leaching zone</v>
      </c>
      <c r="E136" s="37" cm="1">
        <f t="array" ref="E136">Common_InputFunctions.Utility_DisplayArrayInTable(Common_SourceData.Common_SourceData_FracWET_Data(),Table_SourceData_FracWET[[#Headers],[Is in leaching zone]],0)</f>
        <v>0</v>
      </c>
    </row>
    <row r="137" spans="4:76" ht="20.100000000000001" customHeight="1" x14ac:dyDescent="0.25"/>
    <row r="138" spans="4:76" ht="20.100000000000001" customHeight="1" x14ac:dyDescent="0.25"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</row>
    <row r="139" spans="4:76" ht="20.100000000000001" customHeight="1" x14ac:dyDescent="0.25">
      <c r="D139" s="6" t="str" cm="1">
        <f t="array" ref="D139">Common_SourceData.Common_SourceData_FracWETIrrigation_Title()</f>
        <v>FracWET for irrigation types</v>
      </c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</row>
    <row r="140" spans="4:76" ht="20.100000000000001" customHeight="1" x14ac:dyDescent="0.25">
      <c r="D140" s="5" t="str" cm="1">
        <f t="array" ref="D140">Common_SourceData.Common_SourceData_FracWETIrrigation_Source()</f>
        <v>VEERG 2026: Chapter 1, section 1.8.2 Leaching, climate and rainfall zones</v>
      </c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</row>
    <row r="141" spans="4:76" ht="20.100000000000001" customHeight="1" x14ac:dyDescent="0.25">
      <c r="D141" s="55" t="str" cm="1">
        <f t="array" ref="D141">Common_SourceData.Common_SourceData_FracWETIrrigation_Variation()</f>
        <v>VARIATION FROM SOURCE DATA: Table created based on VEERG text 'Areas are subject to leaching (i.e., in the leaching zone) when... the land is irrigated (except drip irrigation).'</v>
      </c>
      <c r="BM141" s="7"/>
    </row>
    <row r="142" spans="4:76" ht="20.100000000000001" customHeight="1" x14ac:dyDescent="0.25">
      <c r="D142" s="37" t="s">
        <v>133</v>
      </c>
      <c r="E142" s="37" t="s">
        <v>94</v>
      </c>
      <c r="BM142" s="7"/>
    </row>
    <row r="143" spans="4:76" ht="20.100000000000001" customHeight="1" x14ac:dyDescent="0.25">
      <c r="D143" s="37" t="str" cm="1">
        <f t="array" ref="D143">Common_InputFunctions.Utility_DisplayArrayInTable(Common_SourceData.Common_SourceData_FracWETIrrigation_Data(), Table_SourceData_FracWETIrrigation[[#Headers],[Irrigation type i]], 0)</f>
        <v>Not irrigated</v>
      </c>
      <c r="E143" s="37" cm="1">
        <f t="array" ref="E143">Common_InputFunctions.Utility_DisplayArrayInTable(Common_SourceData.Common_SourceData_FracWETIrrigation_Data(), Table_SourceData_FracWETIrrigation[[#Headers],[Irrigation type i]], 0)</f>
        <v>0</v>
      </c>
      <c r="BM143" s="7"/>
    </row>
    <row r="144" spans="4:76" ht="20.100000000000001" customHeight="1" x14ac:dyDescent="0.25">
      <c r="D144" s="1" t="str" cm="1">
        <f t="array" ref="D144">Common_InputFunctions.Utility_DisplayArrayInTable(Common_SourceData.Common_SourceData_FracWETIrrigation_Data(), Table_SourceData_FracWETIrrigation[[#Headers],[Irrigation type i]], 0)</f>
        <v>Drip irrigation</v>
      </c>
      <c r="E144" s="37" cm="1">
        <f t="array" ref="E144">Common_InputFunctions.Utility_DisplayArrayInTable(Common_SourceData.Common_SourceData_FracWETIrrigation_Data(), Table_SourceData_FracWETIrrigation[[#Headers],[Irrigation type i]], 0)</f>
        <v>0</v>
      </c>
      <c r="BM144" s="7"/>
    </row>
    <row r="145" spans="4:65" ht="20.100000000000001" customHeight="1" x14ac:dyDescent="0.25">
      <c r="D145" s="1" t="str" cm="1">
        <f t="array" ref="D145">Common_InputFunctions.Utility_DisplayArrayInTable(Common_SourceData.Common_SourceData_FracWETIrrigation_Data(), Table_SourceData_FracWETIrrigation[[#Headers],[Irrigation type i]], 0)</f>
        <v>Sprinkler irrigation</v>
      </c>
      <c r="E145" s="37" cm="1">
        <f t="array" ref="E145">Common_InputFunctions.Utility_DisplayArrayInTable(Common_SourceData.Common_SourceData_FracWETIrrigation_Data(), Table_SourceData_FracWETIrrigation[[#Headers],[Irrigation type i]], 0)</f>
        <v>1</v>
      </c>
      <c r="BM145" s="7"/>
    </row>
    <row r="146" spans="4:65" ht="20.100000000000001" customHeight="1" x14ac:dyDescent="0.25">
      <c r="D146" s="1" t="str" cm="1">
        <f t="array" ref="D146">Common_InputFunctions.Utility_DisplayArrayInTable(Common_SourceData.Common_SourceData_FracWETIrrigation_Data(), Table_SourceData_FracWETIrrigation[[#Headers],[Irrigation type i]], 0)</f>
        <v>Surface irrigation</v>
      </c>
      <c r="E146" s="37" cm="1">
        <f t="array" ref="E146">Common_InputFunctions.Utility_DisplayArrayInTable(Common_SourceData.Common_SourceData_FracWETIrrigation_Data(), Table_SourceData_FracWETIrrigation[[#Headers],[Irrigation type i]], 0)</f>
        <v>1</v>
      </c>
      <c r="BM146" s="7"/>
    </row>
    <row r="147" spans="4:65" ht="20.100000000000001" customHeight="1" x14ac:dyDescent="0.25">
      <c r="D147" s="1" t="str" cm="1">
        <f t="array" ref="D147">Common_InputFunctions.Utility_DisplayArrayInTable(Common_SourceData.Common_SourceData_FracWETIrrigation_Data(), Table_SourceData_FracWETIrrigation[[#Headers],[Irrigation type i]], 0)</f>
        <v>Other irrigation</v>
      </c>
      <c r="E147" s="37" cm="1">
        <f t="array" ref="E147">Common_InputFunctions.Utility_DisplayArrayInTable(Common_SourceData.Common_SourceData_FracWETIrrigation_Data(), Table_SourceData_FracWETIrrigation[[#Headers],[Irrigation type i]], 0)</f>
        <v>1</v>
      </c>
      <c r="BM147" s="7"/>
    </row>
    <row r="148" spans="4:65" ht="20.100000000000001" customHeight="1" x14ac:dyDescent="0.25">
      <c r="BM148" s="7"/>
    </row>
    <row r="149" spans="4:65" ht="20.100000000000001" customHeight="1" x14ac:dyDescent="0.25">
      <c r="BM149" s="7"/>
    </row>
    <row r="150" spans="4:65" ht="20.100000000000001" customHeight="1" x14ac:dyDescent="0.25">
      <c r="D150" s="6" t="str" cm="1">
        <f t="array" ref="D150">Common_SourceData.Common_SourceData_DataScores_Scope3_Title()</f>
        <v>Australian data scores for scope 3</v>
      </c>
      <c r="BM150" s="7"/>
    </row>
    <row r="151" spans="4:65" ht="20.100000000000001" customHeight="1" x14ac:dyDescent="0.25">
      <c r="D151" s="5" t="str" cm="1">
        <f t="array" ref="D151">Common_SourceData.Common_SourceData_DataScores_Scope3_Source()</f>
        <v>VEERG 2026: XXXXXXXX</v>
      </c>
      <c r="BM151" s="7"/>
    </row>
    <row r="152" spans="4:65" ht="20.100000000000001" customHeight="1" x14ac:dyDescent="0.25">
      <c r="BM152" s="7"/>
    </row>
    <row r="153" spans="4:65" ht="20.100000000000001" customHeight="1" x14ac:dyDescent="0.25">
      <c r="D153" s="37" t="s">
        <v>68</v>
      </c>
      <c r="E153" s="37" t="s">
        <v>69</v>
      </c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</row>
    <row r="154" spans="4:65" ht="20.100000000000001" customHeight="1" x14ac:dyDescent="0.25">
      <c r="D154" s="37" t="str" cm="1">
        <f t="array" ref="D154">Common_InputFunctions.Utility_DisplayArrayInTable(Common_SourceData.Common_SourceData_DataScores_Scope3_Data(), Table_SourceData_DataScores_Scope3[[#Headers],[Data source]], 0)</f>
        <v>International scope 3 database</v>
      </c>
      <c r="E154" s="37" cm="1">
        <f t="array" ref="E154">Common_InputFunctions.Utility_DisplayArrayInTable(Common_SourceData.Common_SourceData_DataScores_Scope3_Data(), Table_SourceData_DataScores_Scope3[[#Headers],[Data source]], 0)</f>
        <v>1</v>
      </c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</row>
    <row r="155" spans="4:65" ht="20.100000000000001" customHeight="1" x14ac:dyDescent="0.25">
      <c r="D155" s="37" t="str" cm="1">
        <f t="array" ref="D155">Common_InputFunctions.Utility_DisplayArrayInTable(Common_SourceData.Common_SourceData_DataScores_Scope3_Data(), Table_SourceData_DataScores_Scope3[[#Headers],[Data source]], 0)</f>
        <v>Australian scope 3 database</v>
      </c>
      <c r="E155" s="37" cm="1">
        <f t="array" ref="E155">Common_InputFunctions.Utility_DisplayArrayInTable(Common_SourceData.Common_SourceData_DataScores_Scope3_Data(), Table_SourceData_DataScores_Scope3[[#Headers],[Data source]], 0)</f>
        <v>2</v>
      </c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</row>
    <row r="156" spans="4:65" ht="20.100000000000001" customHeight="1" x14ac:dyDescent="0.25">
      <c r="D156" s="37" t="str" cm="1">
        <f t="array" ref="D156">Common_InputFunctions.Utility_DisplayArrayInTable(Common_SourceData.Common_SourceData_DataScores_Scope3_Data(), Table_SourceData_DataScores_Scope3[[#Headers],[Data source]], 0)</f>
        <v>State or regional scope 3 database</v>
      </c>
      <c r="E156" s="37" cm="1">
        <f t="array" ref="E156">Common_InputFunctions.Utility_DisplayArrayInTable(Common_SourceData.Common_SourceData_DataScores_Scope3_Data(), Table_SourceData_DataScores_Scope3[[#Headers],[Data source]], 0)</f>
        <v>3</v>
      </c>
    </row>
    <row r="157" spans="4:65" ht="20.100000000000001" customHeight="1" x14ac:dyDescent="0.25">
      <c r="D157" s="37" t="str" cm="1">
        <f t="array" ref="D157">Common_InputFunctions.Utility_DisplayArrayInTable(Common_SourceData.Common_SourceData_DataScores_Scope3_Data(), Table_SourceData_DataScores_Scope3[[#Headers],[Data source]], 0)</f>
        <v>Emissions intensity calculated from approved method</v>
      </c>
      <c r="E157" s="37" cm="1">
        <f t="array" ref="E157">Common_InputFunctions.Utility_DisplayArrayInTable(Common_SourceData.Common_SourceData_DataScores_Scope3_Data(), Table_SourceData_DataScores_Scope3[[#Headers],[Data source]], 0)</f>
        <v>4</v>
      </c>
    </row>
    <row r="158" spans="4:65" ht="20.100000000000001" customHeight="1" x14ac:dyDescent="0.25">
      <c r="D158" s="37" t="str" cm="1">
        <f t="array" ref="D158">Common_InputFunctions.Utility_DisplayArrayInTable(Common_SourceData.Common_SourceData_DataScores_Scope3_Data(), Table_SourceData_DataScores_Scope3[[#Headers],[Data source]], 0)</f>
        <v>Verified credential matching ISO14067</v>
      </c>
      <c r="E158" s="37" cm="1">
        <f t="array" ref="E158">Common_InputFunctions.Utility_DisplayArrayInTable(Common_SourceData.Common_SourceData_DataScores_Scope3_Data(), Table_SourceData_DataScores_Scope3[[#Headers],[Data source]], 0)</f>
        <v>5</v>
      </c>
    </row>
    <row r="159" spans="4:65" ht="20.100000000000001" customHeight="1" x14ac:dyDescent="0.25"/>
    <row r="160" spans="4:65" ht="20.100000000000001" customHeight="1" x14ac:dyDescent="0.25"/>
    <row r="161" spans="4:67" ht="20.100000000000001" customHeight="1" x14ac:dyDescent="0.25">
      <c r="D161" s="6" t="str" cm="1">
        <f t="array" ref="D161">Common_SourceData.Common_SourceData_FracLEACH_Title()</f>
        <v>Fraction of N that is available for leaching and runoff</v>
      </c>
      <c r="E161" s="22"/>
    </row>
    <row r="162" spans="4:67" ht="20.100000000000001" customHeight="1" x14ac:dyDescent="0.25">
      <c r="D162" s="5" t="str" cm="1">
        <f t="array" ref="D162">Common_SourceData.Common_SourceData_FracLEACH_Source()</f>
        <v>VEERG 2026:5.5.2.3 Constant Parameters</v>
      </c>
      <c r="E162" s="22"/>
    </row>
    <row r="163" spans="4:67" ht="20.100000000000001" customHeight="1" x14ac:dyDescent="0.25">
      <c r="D163" s="5" t="str" cm="1">
        <f t="array" ref="D163">Common_SourceData.Common_SourceData_FracLEACH_NIRReference()</f>
        <v>National Inventory Report Volume 1: Leaching and runoff (3.D.b.2)</v>
      </c>
      <c r="E163" s="22"/>
    </row>
    <row r="164" spans="4:67" ht="20.100000000000001" customHeight="1" x14ac:dyDescent="0.25">
      <c r="D164" s="22" t="str" cm="1">
        <f t="array" ref="D164:E164">Common_SourceData.Common_SourceData_FracLEACH_Data()</f>
        <v>FracLEACH</v>
      </c>
      <c r="E164" s="22">
        <v>0.24</v>
      </c>
    </row>
    <row r="165" spans="4:67" ht="20.100000000000001" customHeight="1" x14ac:dyDescent="0.25">
      <c r="BM165" s="7"/>
      <c r="BN165" s="7"/>
      <c r="BO165" s="7"/>
    </row>
    <row r="166" spans="4:67" ht="20.100000000000001" customHeight="1" x14ac:dyDescent="0.25">
      <c r="BM166" s="7"/>
      <c r="BN166" s="7"/>
      <c r="BO166" s="7"/>
    </row>
    <row r="167" spans="4:67" ht="20.100000000000001" customHeight="1" x14ac:dyDescent="0.25">
      <c r="D167" s="6" t="str" cm="1">
        <f t="array" ref="D167">Common_SourceData.Common_SourceData_EFleach_Title()</f>
        <v>Emission factor for nitrogen leaching and runoff</v>
      </c>
      <c r="BM167" s="7"/>
      <c r="BN167" s="7"/>
      <c r="BO167" s="7"/>
    </row>
    <row r="168" spans="4:67" ht="20.100000000000001" customHeight="1" x14ac:dyDescent="0.25">
      <c r="D168" s="5" t="str" cm="1">
        <f t="array" ref="D168">Common_SourceData.Common_SourceData_EFleach_Source()</f>
        <v>VEERG 2026:5.5.2.3 Constant Parameters</v>
      </c>
      <c r="BM168" s="7"/>
      <c r="BN168" s="7"/>
      <c r="BO168" s="7"/>
    </row>
    <row r="169" spans="4:67" ht="20.100000000000001" customHeight="1" x14ac:dyDescent="0.25">
      <c r="D169" s="5" t="str" cm="1">
        <f t="array" ref="D169">Common_SourceData.Common_SourceData_EFleach_NIRReference()</f>
        <v>National Inventory Report Volume 1: Equation 3.D.B_10</v>
      </c>
      <c r="BM169" s="7"/>
      <c r="BN169" s="7"/>
      <c r="BO169" s="7"/>
    </row>
    <row r="170" spans="4:67" ht="20.100000000000001" customHeight="1" x14ac:dyDescent="0.25">
      <c r="D170" s="1" t="str" cm="1">
        <f t="array" ref="D170:E170">Common_SourceData.Common_SourceData_EFleach_Data()</f>
        <v>EFleach</v>
      </c>
      <c r="E170" s="1">
        <v>1.0999999999999999E-2</v>
      </c>
      <c r="BM170" s="7"/>
      <c r="BN170" s="7"/>
      <c r="BO170" s="7"/>
    </row>
    <row r="171" spans="4:67" ht="20.100000000000001" customHeight="1" x14ac:dyDescent="0.25">
      <c r="BM171" s="7"/>
      <c r="BN171" s="7"/>
      <c r="BO171" s="7"/>
    </row>
    <row r="172" spans="4:67" ht="20.100000000000001" customHeight="1" x14ac:dyDescent="0.25">
      <c r="BM172" s="7"/>
      <c r="BN172" s="7"/>
      <c r="BO172" s="7"/>
    </row>
    <row r="173" spans="4:67" ht="20.100000000000001" customHeight="1" x14ac:dyDescent="0.25">
      <c r="D173" s="6" t="str" cm="1">
        <f t="array" ref="D173">Common_SourceData.Common_SourceData_DensityOfMethane_Title()</f>
        <v>p = density of methane</v>
      </c>
      <c r="BM173" s="7"/>
      <c r="BN173" s="7"/>
      <c r="BO173" s="7"/>
    </row>
    <row r="174" spans="4:67" ht="20.100000000000001" customHeight="1" x14ac:dyDescent="0.25">
      <c r="D174" s="5" t="str" cm="1">
        <f t="array" ref="D174">Common_SourceData.Common_SourceData_DensityOfMethane_Source()</f>
        <v>National Inventory Report 2023 Volume 1: Equations 3.B.1a_2, 3.B.1c_2, 3.B.3_1, 3.B.4g_2</v>
      </c>
      <c r="BM174" s="7"/>
      <c r="BN174" s="7"/>
      <c r="BO174" s="7"/>
    </row>
    <row r="175" spans="4:67" ht="20.100000000000001" customHeight="1" x14ac:dyDescent="0.25">
      <c r="D175" s="1" cm="1">
        <f t="array" ref="D175">Common_SourceData.Common_SourceData_DensityOfMethane_Data()</f>
        <v>0.6784</v>
      </c>
      <c r="E175" s="54" t="str" cm="1">
        <f t="array" ref="E175">Common_SourceData.Common_SourceData_DensityOfMethane_Unit()</f>
        <v>kg/m3</v>
      </c>
      <c r="BM175" s="7"/>
      <c r="BN175" s="7"/>
      <c r="BO175" s="7"/>
    </row>
    <row r="176" spans="4:67" ht="20.100000000000001" customHeight="1" x14ac:dyDescent="0.25">
      <c r="BM176" s="7"/>
      <c r="BN176" s="7"/>
      <c r="BO176" s="7"/>
    </row>
    <row r="177" spans="4:67" ht="20.100000000000001" customHeight="1" x14ac:dyDescent="0.25">
      <c r="BM177" s="7"/>
      <c r="BN177" s="7"/>
      <c r="BO177" s="7"/>
    </row>
    <row r="178" spans="4:67" ht="20.100000000000001" customHeight="1" x14ac:dyDescent="0.25">
      <c r="D178" s="6" t="str" cm="1">
        <f t="array" ref="D178">Common_SourceData.Common_SourceData_EFN2O_Title()</f>
        <v>Nitrous oxide emission factors for inorganic fertiliser application</v>
      </c>
      <c r="BM178" s="7"/>
      <c r="BN178" s="7"/>
      <c r="BO178" s="7"/>
    </row>
    <row r="179" spans="4:67" ht="20.100000000000001" customHeight="1" x14ac:dyDescent="0.25">
      <c r="D179" s="5" t="str" cm="1">
        <f t="array" ref="D179">Common_SourceData.Common_SourceData_EFN2O_Source()</f>
        <v>VEERG 2026: Table A.2.2.1</v>
      </c>
      <c r="BM179" s="7"/>
      <c r="BN179" s="7"/>
      <c r="BO179" s="7"/>
    </row>
    <row r="180" spans="4:67" ht="20.100000000000001" customHeight="1" x14ac:dyDescent="0.25">
      <c r="D180" s="54" t="str" cm="1">
        <f t="array" ref="D180">Common_SourceData.Common_SourceData_EFN2O_Unit()</f>
        <v>(kg N2O-N / kg N</v>
      </c>
    </row>
    <row r="181" spans="4:67" ht="20.100000000000001" customHeight="1" x14ac:dyDescent="0.25">
      <c r="D181" s="55" t="str" cm="1">
        <f t="array" ref="D181:D185">Common_SourceData.Common_SourceData_EFN2O_Variation()</f>
        <v>VARIATION OF SOURCE DATA:</v>
      </c>
    </row>
    <row r="182" spans="4:67" ht="20.100000000000001" customHeight="1" x14ac:dyDescent="0.25">
      <c r="D182" s="55" t="str">
        <v>Removed duplicate 'Aquaculture' row.</v>
      </c>
    </row>
    <row r="183" spans="4:67" ht="20.100000000000001" customHeight="1" x14ac:dyDescent="0.25">
      <c r="D183" s="55" t="str">
        <v>Removed asterisks to aid lookup.</v>
      </c>
    </row>
    <row r="184" spans="4:67" ht="20.100000000000001" customHeight="1" x14ac:dyDescent="0.25">
      <c r="D184" s="55" t="str">
        <v>Added 'production system only', 'rainfall zone' and 'irrigation method' columns to aid lookup.</v>
      </c>
    </row>
    <row r="185" spans="4:67" ht="20.100000000000001" customHeight="1" x14ac:dyDescent="0.25">
      <c r="D185" s="55" t="str">
        <v>Duplicated 'non-irrigated pasture' row with same EF for low and high rainfall zones to aid lookup.</v>
      </c>
    </row>
    <row r="186" spans="4:67" ht="20.100000000000001" customHeight="1" x14ac:dyDescent="0.25">
      <c r="D186" s="37" t="s">
        <v>109</v>
      </c>
      <c r="E186" s="37" t="s">
        <v>110</v>
      </c>
      <c r="F186" s="37" t="s">
        <v>111</v>
      </c>
      <c r="G186" s="37" t="s">
        <v>112</v>
      </c>
      <c r="H186" s="37" t="s">
        <v>35</v>
      </c>
    </row>
    <row r="187" spans="4:67" ht="20.100000000000001" customHeight="1" x14ac:dyDescent="0.25">
      <c r="D187" s="37" t="str" cm="1">
        <f t="array" ref="D187">Common_InputFunctions.Utility_DisplayArrayInTable(Common_SourceData.Common_SourceData_EFN2O_Data(), Table_SourceData_Common_EFN2O[[#Headers],[Production system j]], 0)</f>
        <v>Irrigated pasture</v>
      </c>
      <c r="E187" s="37" cm="1">
        <f t="array" ref="E187">Common_InputFunctions.Utility_DisplayArrayInTable(Common_SourceData.Common_SourceData_EFN2O_Data(), Table_SourceData_Common_EFN2O[[#Headers],[Production system j]], 0)</f>
        <v>5.8999999999999999E-3</v>
      </c>
      <c r="F187" s="37" t="str" cm="1">
        <f t="array" ref="F187">Common_InputFunctions.Utility_DisplayArrayInTable(Common_SourceData.Common_SourceData_EFN2O_Data(), Table_SourceData_Common_EFN2O[[#Headers],[Production system j]], 0)</f>
        <v>Pasture</v>
      </c>
      <c r="G187" s="37" t="str" cm="1">
        <f t="array" ref="G187">Common_InputFunctions.Utility_DisplayArrayInTable(Common_SourceData.Common_SourceData_EFN2O_Data(), Table_SourceData_Common_EFN2O[[#Headers],[Production system j]], 0)</f>
        <v>Any</v>
      </c>
      <c r="H187" s="37" t="str" cm="1">
        <f t="array" ref="H187">Common_InputFunctions.Utility_DisplayArrayInTable(Common_SourceData.Common_SourceData_EFN2O_Data(), Table_SourceData_Common_EFN2O[[#Headers],[Production system j]], 0)</f>
        <v>Any</v>
      </c>
    </row>
    <row r="188" spans="4:67" ht="20.100000000000001" customHeight="1" x14ac:dyDescent="0.25">
      <c r="D188" s="37" t="str" cm="1">
        <f t="array" ref="D188">Common_InputFunctions.Utility_DisplayArrayInTable(Common_SourceData.Common_SourceData_EFN2O_Data(), Table_SourceData_Common_EFN2O[[#Headers],[Production system j]], 0)</f>
        <v>Irrigated crop</v>
      </c>
      <c r="E188" s="37" cm="1">
        <f t="array" ref="E188">Common_InputFunctions.Utility_DisplayArrayInTable(Common_SourceData.Common_SourceData_EFN2O_Data(), Table_SourceData_Common_EFN2O[[#Headers],[Production system j]], 0)</f>
        <v>7.0000000000000001E-3</v>
      </c>
      <c r="F188" s="37" t="str" cm="1">
        <f t="array" ref="F188">Common_InputFunctions.Utility_DisplayArrayInTable(Common_SourceData.Common_SourceData_EFN2O_Data(), Table_SourceData_Common_EFN2O[[#Headers],[Production system j]], 0)</f>
        <v>Crop</v>
      </c>
      <c r="G188" s="37" t="str" cm="1">
        <f t="array" ref="G188">Common_InputFunctions.Utility_DisplayArrayInTable(Common_SourceData.Common_SourceData_EFN2O_Data(), Table_SourceData_Common_EFN2O[[#Headers],[Production system j]], 0)</f>
        <v>Any</v>
      </c>
      <c r="H188" s="37" t="str" cm="1">
        <f t="array" ref="H188">Common_InputFunctions.Utility_DisplayArrayInTable(Common_SourceData.Common_SourceData_EFN2O_Data(), Table_SourceData_Common_EFN2O[[#Headers],[Production system j]], 0)</f>
        <v>Any</v>
      </c>
    </row>
    <row r="189" spans="4:67" ht="20.100000000000001" customHeight="1" x14ac:dyDescent="0.25">
      <c r="D189" s="37" t="str" cm="1">
        <f t="array" ref="D189">Common_InputFunctions.Utility_DisplayArrayInTable(Common_SourceData.Common_SourceData_EFN2O_Data(), Table_SourceData_Common_EFN2O[[#Headers],[Production system j]], 0)</f>
        <v>Non-irrigated pasture</v>
      </c>
      <c r="E189" s="37" cm="1">
        <f t="array" ref="E189">Common_InputFunctions.Utility_DisplayArrayInTable(Common_SourceData.Common_SourceData_EFN2O_Data(), Table_SourceData_Common_EFN2O[[#Headers],[Production system j]], 0)</f>
        <v>1.8E-3</v>
      </c>
      <c r="F189" s="37" t="str" cm="1">
        <f t="array" ref="F189">Common_InputFunctions.Utility_DisplayArrayInTable(Common_SourceData.Common_SourceData_EFN2O_Data(), Table_SourceData_Common_EFN2O[[#Headers],[Production system j]], 0)</f>
        <v>Pasture</v>
      </c>
      <c r="G189" s="37" t="str" cm="1">
        <f t="array" ref="G189">Common_InputFunctions.Utility_DisplayArrayInTable(Common_SourceData.Common_SourceData_EFN2O_Data(), Table_SourceData_Common_EFN2O[[#Headers],[Production system j]], 0)</f>
        <v>Not irrigated</v>
      </c>
      <c r="H189" s="37" t="str" cm="1">
        <f t="array" ref="H189">Common_InputFunctions.Utility_DisplayArrayInTable(Common_SourceData.Common_SourceData_EFN2O_Data(), Table_SourceData_Common_EFN2O[[#Headers],[Production system j]], 0)</f>
        <v>Low rainfall</v>
      </c>
    </row>
    <row r="190" spans="4:67" ht="20.100000000000001" customHeight="1" x14ac:dyDescent="0.25">
      <c r="D190" s="37" t="str" cm="1">
        <f t="array" ref="D190">Common_InputFunctions.Utility_DisplayArrayInTable(Common_SourceData.Common_SourceData_EFN2O_Data(), Table_SourceData_Common_EFN2O[[#Headers],[Production system j]], 0)</f>
        <v>Non-irrigated pasture</v>
      </c>
      <c r="E190" s="37" cm="1">
        <f t="array" ref="E190">Common_InputFunctions.Utility_DisplayArrayInTable(Common_SourceData.Common_SourceData_EFN2O_Data(), Table_SourceData_Common_EFN2O[[#Headers],[Production system j]], 0)</f>
        <v>1.8E-3</v>
      </c>
      <c r="F190" s="37" t="str" cm="1">
        <f t="array" ref="F190">Common_InputFunctions.Utility_DisplayArrayInTable(Common_SourceData.Common_SourceData_EFN2O_Data(), Table_SourceData_Common_EFN2O[[#Headers],[Production system j]], 0)</f>
        <v>Pasture</v>
      </c>
      <c r="G190" s="37" t="str" cm="1">
        <f t="array" ref="G190">Common_InputFunctions.Utility_DisplayArrayInTable(Common_SourceData.Common_SourceData_EFN2O_Data(), Table_SourceData_Common_EFN2O[[#Headers],[Production system j]], 0)</f>
        <v>Not irrigated</v>
      </c>
      <c r="H190" s="37" t="str" cm="1">
        <f t="array" ref="H190">Common_InputFunctions.Utility_DisplayArrayInTable(Common_SourceData.Common_SourceData_EFN2O_Data(), Table_SourceData_Common_EFN2O[[#Headers],[Production system j]], 0)</f>
        <v>High rainfall</v>
      </c>
    </row>
    <row r="191" spans="4:67" ht="20.100000000000001" customHeight="1" x14ac:dyDescent="0.25">
      <c r="D191" s="37" t="str" cm="1">
        <f t="array" ref="D191">Common_InputFunctions.Utility_DisplayArrayInTable(Common_SourceData.Common_SourceData_EFN2O_Data(), Table_SourceData_Common_EFN2O[[#Headers],[Production system j]], 0)</f>
        <v>Non-irrigated crop (low rainfall)</v>
      </c>
      <c r="E191" s="37" cm="1">
        <f t="array" ref="E191">Common_InputFunctions.Utility_DisplayArrayInTable(Common_SourceData.Common_SourceData_EFN2O_Data(), Table_SourceData_Common_EFN2O[[#Headers],[Production system j]], 0)</f>
        <v>2.8999999999999998E-3</v>
      </c>
      <c r="F191" s="37" t="str" cm="1">
        <f t="array" ref="F191">Common_InputFunctions.Utility_DisplayArrayInTable(Common_SourceData.Common_SourceData_EFN2O_Data(), Table_SourceData_Common_EFN2O[[#Headers],[Production system j]], 0)</f>
        <v>Crop</v>
      </c>
      <c r="G191" s="37" t="str" cm="1">
        <f t="array" ref="G191">Common_InputFunctions.Utility_DisplayArrayInTable(Common_SourceData.Common_SourceData_EFN2O_Data(), Table_SourceData_Common_EFN2O[[#Headers],[Production system j]], 0)</f>
        <v>Not irrigated</v>
      </c>
      <c r="H191" s="37" t="str" cm="1">
        <f t="array" ref="H191">Common_InputFunctions.Utility_DisplayArrayInTable(Common_SourceData.Common_SourceData_EFN2O_Data(), Table_SourceData_Common_EFN2O[[#Headers],[Production system j]], 0)</f>
        <v>Low rainfall</v>
      </c>
    </row>
    <row r="192" spans="4:67" ht="20.100000000000001" customHeight="1" x14ac:dyDescent="0.25">
      <c r="D192" s="37" t="str" cm="1">
        <f t="array" ref="D192">Common_InputFunctions.Utility_DisplayArrayInTable(Common_SourceData.Common_SourceData_EFN2O_Data(), Table_SourceData_Common_EFN2O[[#Headers],[Production system j]], 0)</f>
        <v>Non-irrigated crop (high rainfall)</v>
      </c>
      <c r="E192" s="37" cm="1">
        <f t="array" ref="E192">Common_InputFunctions.Utility_DisplayArrayInTable(Common_SourceData.Common_SourceData_EFN2O_Data(), Table_SourceData_Common_EFN2O[[#Headers],[Production system j]], 0)</f>
        <v>8.0000000000000002E-3</v>
      </c>
      <c r="F192" s="37" t="str" cm="1">
        <f t="array" ref="F192">Common_InputFunctions.Utility_DisplayArrayInTable(Common_SourceData.Common_SourceData_EFN2O_Data(), Table_SourceData_Common_EFN2O[[#Headers],[Production system j]], 0)</f>
        <v>Crop</v>
      </c>
      <c r="G192" s="37" t="str" cm="1">
        <f t="array" ref="G192">Common_InputFunctions.Utility_DisplayArrayInTable(Common_SourceData.Common_SourceData_EFN2O_Data(), Table_SourceData_Common_EFN2O[[#Headers],[Production system j]], 0)</f>
        <v>Not irrigated</v>
      </c>
      <c r="H192" s="37" t="str" cm="1">
        <f t="array" ref="H192">Common_InputFunctions.Utility_DisplayArrayInTable(Common_SourceData.Common_SourceData_EFN2O_Data(), Table_SourceData_Common_EFN2O[[#Headers],[Production system j]], 0)</f>
        <v>High rainfall</v>
      </c>
    </row>
    <row r="193" spans="4:8" ht="20.100000000000001" customHeight="1" x14ac:dyDescent="0.25">
      <c r="D193" s="37" t="str" cm="1">
        <f t="array" ref="D193">Common_InputFunctions.Utility_DisplayArrayInTable(Common_SourceData.Common_SourceData_EFN2O_Data(), Table_SourceData_Common_EFN2O[[#Headers],[Production system j]], 0)</f>
        <v>Sugar</v>
      </c>
      <c r="E193" s="37" cm="1">
        <f t="array" ref="E193">Common_InputFunctions.Utility_DisplayArrayInTable(Common_SourceData.Common_SourceData_EFN2O_Data(), Table_SourceData_Common_EFN2O[[#Headers],[Production system j]], 0)</f>
        <v>1.9900000000000001E-2</v>
      </c>
      <c r="F193" s="37" t="str" cm="1">
        <f t="array" ref="F193">Common_InputFunctions.Utility_DisplayArrayInTable(Common_SourceData.Common_SourceData_EFN2O_Data(), Table_SourceData_Common_EFN2O[[#Headers],[Production system j]], 0)</f>
        <v>Sugar</v>
      </c>
      <c r="G193" s="37" t="str" cm="1">
        <f t="array" ref="G193">Common_InputFunctions.Utility_DisplayArrayInTable(Common_SourceData.Common_SourceData_EFN2O_Data(), Table_SourceData_Common_EFN2O[[#Headers],[Production system j]], 0)</f>
        <v>Any</v>
      </c>
      <c r="H193" s="37" t="str" cm="1">
        <f t="array" ref="H193">Common_InputFunctions.Utility_DisplayArrayInTable(Common_SourceData.Common_SourceData_EFN2O_Data(), Table_SourceData_Common_EFN2O[[#Headers],[Production system j]], 0)</f>
        <v>Any</v>
      </c>
    </row>
    <row r="194" spans="4:8" ht="20.100000000000001" customHeight="1" x14ac:dyDescent="0.25">
      <c r="D194" s="37" t="str" cm="1">
        <f t="array" ref="D194">Common_InputFunctions.Utility_DisplayArrayInTable(Common_SourceData.Common_SourceData_EFN2O_Data(), Table_SourceData_Common_EFN2O[[#Headers],[Production system j]], 0)</f>
        <v>Cotton</v>
      </c>
      <c r="E194" s="37" cm="1">
        <f t="array" ref="E194">Common_InputFunctions.Utility_DisplayArrayInTable(Common_SourceData.Common_SourceData_EFN2O_Data(), Table_SourceData_Common_EFN2O[[#Headers],[Production system j]], 0)</f>
        <v>5.3E-3</v>
      </c>
      <c r="F194" s="37" t="str" cm="1">
        <f t="array" ref="F194">Common_InputFunctions.Utility_DisplayArrayInTable(Common_SourceData.Common_SourceData_EFN2O_Data(), Table_SourceData_Common_EFN2O[[#Headers],[Production system j]], 0)</f>
        <v>Cotton</v>
      </c>
      <c r="G194" s="37" t="str" cm="1">
        <f t="array" ref="G194">Common_InputFunctions.Utility_DisplayArrayInTable(Common_SourceData.Common_SourceData_EFN2O_Data(), Table_SourceData_Common_EFN2O[[#Headers],[Production system j]], 0)</f>
        <v>Any</v>
      </c>
      <c r="H194" s="37" t="str" cm="1">
        <f t="array" ref="H194">Common_InputFunctions.Utility_DisplayArrayInTable(Common_SourceData.Common_SourceData_EFN2O_Data(), Table_SourceData_Common_EFN2O[[#Headers],[Production system j]], 0)</f>
        <v>Any</v>
      </c>
    </row>
    <row r="195" spans="4:8" ht="20.100000000000001" customHeight="1" x14ac:dyDescent="0.25">
      <c r="D195" s="37" t="str" cm="1">
        <f t="array" ref="D195">Common_InputFunctions.Utility_DisplayArrayInTable(Common_SourceData.Common_SourceData_EFN2O_Data(), Table_SourceData_Common_EFN2O[[#Headers],[Production system j]], 0)</f>
        <v>Horticultural crops</v>
      </c>
      <c r="E195" s="37" cm="1">
        <f t="array" ref="E195">Common_InputFunctions.Utility_DisplayArrayInTable(Common_SourceData.Common_SourceData_EFN2O_Data(), Table_SourceData_Common_EFN2O[[#Headers],[Production system j]], 0)</f>
        <v>6.4000000000000003E-3</v>
      </c>
      <c r="F195" s="37" t="str" cm="1">
        <f t="array" ref="F195">Common_InputFunctions.Utility_DisplayArrayInTable(Common_SourceData.Common_SourceData_EFN2O_Data(), Table_SourceData_Common_EFN2O[[#Headers],[Production system j]], 0)</f>
        <v>Horticultural crops</v>
      </c>
      <c r="G195" s="37" t="str" cm="1">
        <f t="array" ref="G195">Common_InputFunctions.Utility_DisplayArrayInTable(Common_SourceData.Common_SourceData_EFN2O_Data(), Table_SourceData_Common_EFN2O[[#Headers],[Production system j]], 0)</f>
        <v>Any</v>
      </c>
      <c r="H195" s="37" t="str" cm="1">
        <f t="array" ref="H195">Common_InputFunctions.Utility_DisplayArrayInTable(Common_SourceData.Common_SourceData_EFN2O_Data(), Table_SourceData_Common_EFN2O[[#Headers],[Production system j]], 0)</f>
        <v>Any</v>
      </c>
    </row>
    <row r="196" spans="4:8" ht="20.100000000000001" customHeight="1" x14ac:dyDescent="0.25">
      <c r="D196" s="37" t="str" cm="1">
        <f t="array" ref="D196">Common_InputFunctions.Utility_DisplayArrayInTable(Common_SourceData.Common_SourceData_EFN2O_Data(), Table_SourceData_Common_EFN2O[[#Headers],[Production system j]], 0)</f>
        <v>Rice (continuous flooding)</v>
      </c>
      <c r="E196" s="37" cm="1">
        <f t="array" ref="E196">Common_InputFunctions.Utility_DisplayArrayInTable(Common_SourceData.Common_SourceData_EFN2O_Data(), Table_SourceData_Common_EFN2O[[#Headers],[Production system j]], 0)</f>
        <v>3.0000000000000001E-3</v>
      </c>
      <c r="F196" s="37" t="str" cm="1">
        <f t="array" ref="F196">Common_InputFunctions.Utility_DisplayArrayInTable(Common_SourceData.Common_SourceData_EFN2O_Data(), Table_SourceData_Common_EFN2O[[#Headers],[Production system j]], 0)</f>
        <v>Rice</v>
      </c>
      <c r="G196" s="37" t="str" cm="1">
        <f t="array" ref="G196">Common_InputFunctions.Utility_DisplayArrayInTable(Common_SourceData.Common_SourceData_EFN2O_Data(), Table_SourceData_Common_EFN2O[[#Headers],[Production system j]], 0)</f>
        <v>Continuous flooding</v>
      </c>
      <c r="H196" s="37" t="str" cm="1">
        <f t="array" ref="H196">Common_InputFunctions.Utility_DisplayArrayInTable(Common_SourceData.Common_SourceData_EFN2O_Data(), Table_SourceData_Common_EFN2O[[#Headers],[Production system j]], 0)</f>
        <v>Any</v>
      </c>
    </row>
    <row r="197" spans="4:8" x14ac:dyDescent="0.25">
      <c r="D197" s="37" t="str" cm="1">
        <f t="array" ref="D197">Common_InputFunctions.Utility_DisplayArrayInTable(Common_SourceData.Common_SourceData_EFN2O_Data(), Table_SourceData_Common_EFN2O[[#Headers],[Production system j]], 0)</f>
        <v>Rice (single and multiple drainage, or alternate wetting and drying)</v>
      </c>
      <c r="E197" s="37" cm="1">
        <f t="array" ref="E197">Common_InputFunctions.Utility_DisplayArrayInTable(Common_SourceData.Common_SourceData_EFN2O_Data(), Table_SourceData_Common_EFN2O[[#Headers],[Production system j]], 0)</f>
        <v>5.0000000000000001E-3</v>
      </c>
      <c r="F197" s="37" t="str" cm="1">
        <f t="array" ref="F197">Common_InputFunctions.Utility_DisplayArrayInTable(Common_SourceData.Common_SourceData_EFN2O_Data(), Table_SourceData_Common_EFN2O[[#Headers],[Production system j]], 0)</f>
        <v>Rice</v>
      </c>
      <c r="G197" s="37" t="str" cm="1">
        <f t="array" ref="G197">Common_InputFunctions.Utility_DisplayArrayInTable(Common_SourceData.Common_SourceData_EFN2O_Data(), Table_SourceData_Common_EFN2O[[#Headers],[Production system j]], 0)</f>
        <v>Single and multiple drainage, or alternate wetting and drying</v>
      </c>
      <c r="H197" s="37" t="str" cm="1">
        <f t="array" ref="H197">Common_InputFunctions.Utility_DisplayArrayInTable(Common_SourceData.Common_SourceData_EFN2O_Data(), Table_SourceData_Common_EFN2O[[#Headers],[Production system j]], 0)</f>
        <v>Any</v>
      </c>
    </row>
    <row r="198" spans="4:8" x14ac:dyDescent="0.25">
      <c r="D198" s="37" t="str" cm="1">
        <f t="array" ref="D198">Common_InputFunctions.Utility_DisplayArrayInTable(Common_SourceData.Common_SourceData_EFN2O_Data(), Table_SourceData_Common_EFN2O[[#Headers],[Production system j]], 0)</f>
        <v>Aquaculture</v>
      </c>
      <c r="E198" s="37" cm="1">
        <f t="array" ref="E198">Common_InputFunctions.Utility_DisplayArrayInTable(Common_SourceData.Common_SourceData_EFN2O_Data(), Table_SourceData_Common_EFN2O[[#Headers],[Production system j]], 0)</f>
        <v>2.5999999999999999E-3</v>
      </c>
      <c r="F198" s="37" t="str" cm="1">
        <f t="array" ref="F198">Common_InputFunctions.Utility_DisplayArrayInTable(Common_SourceData.Common_SourceData_EFN2O_Data(), Table_SourceData_Common_EFN2O[[#Headers],[Production system j]], 0)</f>
        <v>Aquaculture</v>
      </c>
      <c r="G198" s="37" t="str" cm="1">
        <f t="array" ref="G198">Common_InputFunctions.Utility_DisplayArrayInTable(Common_SourceData.Common_SourceData_EFN2O_Data(), Table_SourceData_Common_EFN2O[[#Headers],[Production system j]], 0)</f>
        <v>Any</v>
      </c>
      <c r="H198" s="37" t="str" cm="1">
        <f t="array" ref="H198">Common_InputFunctions.Utility_DisplayArrayInTable(Common_SourceData.Common_SourceData_EFN2O_Data(), Table_SourceData_Common_EFN2O[[#Headers],[Production system j]], 0)</f>
        <v>Any</v>
      </c>
    </row>
    <row r="199" spans="4:8" x14ac:dyDescent="0.25">
      <c r="D199" s="37" t="str" cm="1">
        <f t="array" ref="D199">Common_InputFunctions.Utility_DisplayArrayInTable(Common_SourceData.Common_SourceData_EFN2O_Data(), Table_SourceData_Common_EFN2O[[#Headers],[Production system j]], 0)</f>
        <v>Forestry</v>
      </c>
      <c r="E199" s="37" cm="1">
        <f t="array" ref="E199">Common_InputFunctions.Utility_DisplayArrayInTable(Common_SourceData.Common_SourceData_EFN2O_Data(), Table_SourceData_Common_EFN2O[[#Headers],[Production system j]], 0)</f>
        <v>1.8E-3</v>
      </c>
      <c r="F199" s="37" t="str" cm="1">
        <f t="array" ref="F199">Common_InputFunctions.Utility_DisplayArrayInTable(Common_SourceData.Common_SourceData_EFN2O_Data(), Table_SourceData_Common_EFN2O[[#Headers],[Production system j]], 0)</f>
        <v>Forestry</v>
      </c>
      <c r="G199" s="37" t="str" cm="1">
        <f t="array" ref="G199">Common_InputFunctions.Utility_DisplayArrayInTable(Common_SourceData.Common_SourceData_EFN2O_Data(), Table_SourceData_Common_EFN2O[[#Headers],[Production system j]], 0)</f>
        <v>Any</v>
      </c>
      <c r="H199" s="37" t="str" cm="1">
        <f t="array" ref="H199">Common_InputFunctions.Utility_DisplayArrayInTable(Common_SourceData.Common_SourceData_EFN2O_Data(), Table_SourceData_Common_EFN2O[[#Headers],[Production system j]], 0)</f>
        <v>Any</v>
      </c>
    </row>
    <row r="202" spans="4:8" ht="23.25" x14ac:dyDescent="0.25">
      <c r="D202" s="6" t="str" cm="1">
        <f t="array" ref="D202">Common_SourceData.Common_SourceData_EFPastureRangeAndPaddock_Title()</f>
        <v>Emission factor for urine and dung deposited on pasture, range or paddock</v>
      </c>
    </row>
    <row r="203" spans="4:8" x14ac:dyDescent="0.25">
      <c r="D203" s="5" t="str" cm="1">
        <f t="array" ref="D203">Common_SourceData.Common_SourceData_EFPastureRangeAndPaddock_Source()</f>
        <v>VEERG 2026: Table A.2.2.2</v>
      </c>
    </row>
    <row r="204" spans="4:8" x14ac:dyDescent="0.25">
      <c r="D204" s="55" t="str" cm="1">
        <f t="array" ref="D204">Common_SourceData.Common_SourceData_EFPastureRangeAndPaddock_Variation()</f>
        <v>VARIATION FROM SOURCE DATA: Changed 'Dry climate zones' to singular 'Dry climate zone' to aid lookup.</v>
      </c>
    </row>
    <row r="205" spans="4:8" x14ac:dyDescent="0.25">
      <c r="D205" s="54" t="str" cm="1">
        <f t="array" ref="D205">Common_SourceData.Common_SourceData_EFPastureRangeAndPaddock_Unit()</f>
        <v>kg N2O - N / kg N</v>
      </c>
    </row>
    <row r="206" spans="4:8" x14ac:dyDescent="0.25">
      <c r="D206" s="37" t="s">
        <v>10</v>
      </c>
      <c r="E206" s="37" t="s">
        <v>135</v>
      </c>
    </row>
    <row r="207" spans="4:8" x14ac:dyDescent="0.25">
      <c r="D207" s="37" t="str" cm="1">
        <f t="array" ref="D207">Common_InputFunctions.Utility_DisplayArrayInTable(Common_SourceData.Common_SourceData_EFPastureRangeAndPaddock_Data(), Table_SourceData_EFPastureRangeAndPaddock[[#Headers],[Climate zone]], 0)</f>
        <v>Wet climate zone</v>
      </c>
      <c r="E207" s="37" cm="1">
        <f t="array" ref="E207">Common_InputFunctions.Utility_DisplayArrayInTable(Common_SourceData.Common_SourceData_EFPastureRangeAndPaddock_Data(), Table_SourceData_EFPastureRangeAndPaddock[[#Headers],[Climate zone]], 0)</f>
        <v>6.0000000000000001E-3</v>
      </c>
    </row>
    <row r="208" spans="4:8" x14ac:dyDescent="0.25">
      <c r="D208" s="1" t="str" cm="1">
        <f t="array" ref="D208">Common_InputFunctions.Utility_DisplayArrayInTable(Common_SourceData.Common_SourceData_EFPastureRangeAndPaddock_Data(), Table_SourceData_EFPastureRangeAndPaddock[[#Headers],[Climate zone]], 0)</f>
        <v>Dry climate zone</v>
      </c>
      <c r="E208" s="37" cm="1">
        <f t="array" ref="E208">Common_InputFunctions.Utility_DisplayArrayInTable(Common_SourceData.Common_SourceData_EFPastureRangeAndPaddock_Data(), Table_SourceData_EFPastureRangeAndPaddock[[#Headers],[Climate zone]], 0)</f>
        <v>2E-3</v>
      </c>
    </row>
    <row r="211" spans="4:5" x14ac:dyDescent="0.25">
      <c r="D211" s="1" t="str" cm="1">
        <f t="array" ref="D211">Common_SourceData.Common_SourceData_MonthsToSeasons_Title()</f>
        <v>Months to Seasons Mapping</v>
      </c>
    </row>
    <row r="212" spans="4:5" x14ac:dyDescent="0.25">
      <c r="D212" s="37" t="s">
        <v>119</v>
      </c>
      <c r="E212" s="37" t="s">
        <v>155</v>
      </c>
    </row>
    <row r="213" spans="4:5" x14ac:dyDescent="0.25">
      <c r="D213" s="37" t="str" cm="1">
        <f t="array" ref="D213">Common_InputFunctions.Utility_DisplayArrayInTable(Common_SourceData.Common_SourceData_MonthsToSeasons_Data(), Table_SourceData_Common_MonthToSeason[[#Headers],[Month]], 0)</f>
        <v>January</v>
      </c>
      <c r="E213" s="37" t="str" cm="1">
        <f t="array" ref="E213">Common_InputFunctions.Utility_DisplayArrayInTable(Common_SourceData.Common_SourceData_MonthsToSeasons_Data(), Table_SourceData_Common_MonthToSeason[[#Headers],[Month]], 0)</f>
        <v>Summer</v>
      </c>
    </row>
    <row r="214" spans="4:5" x14ac:dyDescent="0.25">
      <c r="D214" s="1" t="str" cm="1">
        <f t="array" ref="D214">Common_InputFunctions.Utility_DisplayArrayInTable(Common_SourceData.Common_SourceData_MonthsToSeasons_Data(), Table_SourceData_Common_MonthToSeason[[#Headers],[Month]], 0)</f>
        <v>February</v>
      </c>
      <c r="E214" s="37" t="str" cm="1">
        <f t="array" ref="E214">Common_InputFunctions.Utility_DisplayArrayInTable(Common_SourceData.Common_SourceData_MonthsToSeasons_Data(), Table_SourceData_Common_MonthToSeason[[#Headers],[Month]], 0)</f>
        <v>Summer</v>
      </c>
    </row>
    <row r="215" spans="4:5" x14ac:dyDescent="0.25">
      <c r="D215" s="1" t="str" cm="1">
        <f t="array" ref="D215">Common_InputFunctions.Utility_DisplayArrayInTable(Common_SourceData.Common_SourceData_MonthsToSeasons_Data(), Table_SourceData_Common_MonthToSeason[[#Headers],[Month]], 0)</f>
        <v>March</v>
      </c>
      <c r="E215" s="37" t="str" cm="1">
        <f t="array" ref="E215">Common_InputFunctions.Utility_DisplayArrayInTable(Common_SourceData.Common_SourceData_MonthsToSeasons_Data(), Table_SourceData_Common_MonthToSeason[[#Headers],[Month]], 0)</f>
        <v>Autumn</v>
      </c>
    </row>
    <row r="216" spans="4:5" x14ac:dyDescent="0.25">
      <c r="D216" s="1" t="str" cm="1">
        <f t="array" ref="D216">Common_InputFunctions.Utility_DisplayArrayInTable(Common_SourceData.Common_SourceData_MonthsToSeasons_Data(), Table_SourceData_Common_MonthToSeason[[#Headers],[Month]], 0)</f>
        <v>April</v>
      </c>
      <c r="E216" s="37" t="str" cm="1">
        <f t="array" ref="E216">Common_InputFunctions.Utility_DisplayArrayInTable(Common_SourceData.Common_SourceData_MonthsToSeasons_Data(), Table_SourceData_Common_MonthToSeason[[#Headers],[Month]], 0)</f>
        <v>Autumn</v>
      </c>
    </row>
    <row r="217" spans="4:5" x14ac:dyDescent="0.25">
      <c r="D217" s="1" t="str" cm="1">
        <f t="array" ref="D217">Common_InputFunctions.Utility_DisplayArrayInTable(Common_SourceData.Common_SourceData_MonthsToSeasons_Data(), Table_SourceData_Common_MonthToSeason[[#Headers],[Month]], 0)</f>
        <v>May</v>
      </c>
      <c r="E217" s="37" t="str" cm="1">
        <f t="array" ref="E217">Common_InputFunctions.Utility_DisplayArrayInTable(Common_SourceData.Common_SourceData_MonthsToSeasons_Data(), Table_SourceData_Common_MonthToSeason[[#Headers],[Month]], 0)</f>
        <v>Autumn</v>
      </c>
    </row>
    <row r="218" spans="4:5" x14ac:dyDescent="0.25">
      <c r="D218" s="1" t="str" cm="1">
        <f t="array" ref="D218">Common_InputFunctions.Utility_DisplayArrayInTable(Common_SourceData.Common_SourceData_MonthsToSeasons_Data(), Table_SourceData_Common_MonthToSeason[[#Headers],[Month]], 0)</f>
        <v>June</v>
      </c>
      <c r="E218" s="37" t="str" cm="1">
        <f t="array" ref="E218">Common_InputFunctions.Utility_DisplayArrayInTable(Common_SourceData.Common_SourceData_MonthsToSeasons_Data(), Table_SourceData_Common_MonthToSeason[[#Headers],[Month]], 0)</f>
        <v>Winter</v>
      </c>
    </row>
    <row r="219" spans="4:5" x14ac:dyDescent="0.25">
      <c r="D219" s="1" t="str" cm="1">
        <f t="array" ref="D219">Common_InputFunctions.Utility_DisplayArrayInTable(Common_SourceData.Common_SourceData_MonthsToSeasons_Data(), Table_SourceData_Common_MonthToSeason[[#Headers],[Month]], 0)</f>
        <v>July</v>
      </c>
      <c r="E219" s="37" t="str" cm="1">
        <f t="array" ref="E219">Common_InputFunctions.Utility_DisplayArrayInTable(Common_SourceData.Common_SourceData_MonthsToSeasons_Data(), Table_SourceData_Common_MonthToSeason[[#Headers],[Month]], 0)</f>
        <v>Winter</v>
      </c>
    </row>
    <row r="220" spans="4:5" x14ac:dyDescent="0.25">
      <c r="D220" s="1" t="str" cm="1">
        <f t="array" ref="D220">Common_InputFunctions.Utility_DisplayArrayInTable(Common_SourceData.Common_SourceData_MonthsToSeasons_Data(), Table_SourceData_Common_MonthToSeason[[#Headers],[Month]], 0)</f>
        <v>August</v>
      </c>
      <c r="E220" s="37" t="str" cm="1">
        <f t="array" ref="E220">Common_InputFunctions.Utility_DisplayArrayInTable(Common_SourceData.Common_SourceData_MonthsToSeasons_Data(), Table_SourceData_Common_MonthToSeason[[#Headers],[Month]], 0)</f>
        <v>Winter</v>
      </c>
    </row>
    <row r="221" spans="4:5" x14ac:dyDescent="0.25">
      <c r="D221" s="1" t="str" cm="1">
        <f t="array" ref="D221">Common_InputFunctions.Utility_DisplayArrayInTable(Common_SourceData.Common_SourceData_MonthsToSeasons_Data(), Table_SourceData_Common_MonthToSeason[[#Headers],[Month]], 0)</f>
        <v>September</v>
      </c>
      <c r="E221" s="37" t="str" cm="1">
        <f t="array" ref="E221">Common_InputFunctions.Utility_DisplayArrayInTable(Common_SourceData.Common_SourceData_MonthsToSeasons_Data(), Table_SourceData_Common_MonthToSeason[[#Headers],[Month]], 0)</f>
        <v>Spring</v>
      </c>
    </row>
    <row r="222" spans="4:5" x14ac:dyDescent="0.25">
      <c r="D222" s="1" t="str" cm="1">
        <f t="array" ref="D222">Common_InputFunctions.Utility_DisplayArrayInTable(Common_SourceData.Common_SourceData_MonthsToSeasons_Data(), Table_SourceData_Common_MonthToSeason[[#Headers],[Month]], 0)</f>
        <v>October</v>
      </c>
      <c r="E222" s="37" t="str" cm="1">
        <f t="array" ref="E222">Common_InputFunctions.Utility_DisplayArrayInTable(Common_SourceData.Common_SourceData_MonthsToSeasons_Data(), Table_SourceData_Common_MonthToSeason[[#Headers],[Month]], 0)</f>
        <v>Spring</v>
      </c>
    </row>
    <row r="223" spans="4:5" x14ac:dyDescent="0.25">
      <c r="D223" s="1" t="str" cm="1">
        <f t="array" ref="D223">Common_InputFunctions.Utility_DisplayArrayInTable(Common_SourceData.Common_SourceData_MonthsToSeasons_Data(), Table_SourceData_Common_MonthToSeason[[#Headers],[Month]], 0)</f>
        <v>November</v>
      </c>
      <c r="E223" s="37" t="str" cm="1">
        <f t="array" ref="E223">Common_InputFunctions.Utility_DisplayArrayInTable(Common_SourceData.Common_SourceData_MonthsToSeasons_Data(), Table_SourceData_Common_MonthToSeason[[#Headers],[Month]], 0)</f>
        <v>Spring</v>
      </c>
    </row>
    <row r="224" spans="4:5" x14ac:dyDescent="0.25">
      <c r="D224" s="1" t="str" cm="1">
        <f t="array" ref="D224">Common_InputFunctions.Utility_DisplayArrayInTable(Common_SourceData.Common_SourceData_MonthsToSeasons_Data(), Table_SourceData_Common_MonthToSeason[[#Headers],[Month]], 0)</f>
        <v>December</v>
      </c>
      <c r="E224" s="37" t="str" cm="1">
        <f t="array" ref="E224">Common_InputFunctions.Utility_DisplayArrayInTable(Common_SourceData.Common_SourceData_MonthsToSeasons_Data(), Table_SourceData_Common_MonthToSeason[[#Headers],[Month]], 0)</f>
        <v>Summer</v>
      </c>
    </row>
  </sheetData>
  <pageMargins left="0.7" right="0.7" top="0.75" bottom="0.75" header="0.3" footer="0.3"/>
  <tableParts count="1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D3D89-F657-45A6-A770-73699ABB25CC}">
  <dimension ref="A1:M63"/>
  <sheetViews>
    <sheetView showGridLines="0" workbookViewId="0">
      <selection activeCell="A24" sqref="A24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30.85546875" style="1" customWidth="1"/>
    <col min="10" max="13" width="30.7109375" style="1" customWidth="1"/>
    <col min="14" max="16" width="30.7109375" customWidth="1"/>
  </cols>
  <sheetData>
    <row r="1" spans="1:13" ht="30" customHeight="1" x14ac:dyDescent="0.35">
      <c r="A1" s="65" t="e" vm="1">
        <v>#VALUE!</v>
      </c>
      <c r="C1" s="8" t="s">
        <v>79</v>
      </c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0.100000000000001" customHeight="1" x14ac:dyDescent="0.25">
      <c r="A2" s="7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20.100000000000001" customHeight="1" x14ac:dyDescent="0.25">
      <c r="A3" s="17" t="str">
        <f>HYPERLINK("#'Home'!A1", "Home")</f>
        <v>Home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20.100000000000001" customHeight="1" x14ac:dyDescent="0.25">
      <c r="A4" s="17" t="str">
        <f>HYPERLINK("#'Results'!A1", "Results")</f>
        <v>Results</v>
      </c>
    </row>
    <row r="5" spans="1:13" ht="20.100000000000001" customHeight="1" x14ac:dyDescent="0.25">
      <c r="A5" s="16"/>
    </row>
    <row r="6" spans="1:13" ht="20.100000000000001" customHeight="1" x14ac:dyDescent="0.25">
      <c r="A6" s="20" t="s">
        <v>3</v>
      </c>
      <c r="D6" s="6" t="str" cm="1">
        <f t="array" ref="D6">CommonLivestock_SourceData.SourceData_Livestock_Common_SymbolsMMS_Title()</f>
        <v>Table 5.12 Additional symbols used in algorithms for manure related emissions</v>
      </c>
      <c r="E6" s="3"/>
      <c r="F6" s="3"/>
      <c r="G6" s="3"/>
      <c r="H6" s="3"/>
    </row>
    <row r="7" spans="1:13" ht="20.100000000000001" customHeight="1" x14ac:dyDescent="0.25">
      <c r="A7" s="17" t="str">
        <f>HYPERLINK("#'Input - Site'!A1", "Site")</f>
        <v>Site</v>
      </c>
      <c r="D7" s="3" t="str" cm="1">
        <f t="array" ref="D7">CommonLivestock_SourceData.SourceData_Livestock_Common_SymbolsMMS_Vairable()</f>
        <v>MMS</v>
      </c>
      <c r="E7" s="3"/>
      <c r="F7" s="3"/>
      <c r="G7" s="3"/>
      <c r="H7" s="3"/>
    </row>
    <row r="8" spans="1:13" ht="20.100000000000001" customHeight="1" x14ac:dyDescent="0.25">
      <c r="A8" s="17" t="str">
        <f>HYPERLINK("#'Input - Swine'!A1", "Swine")</f>
        <v>Swine</v>
      </c>
      <c r="D8" s="5" t="str" cm="1">
        <f t="array" ref="D8">CommonLivestock_SourceData.SourceData_Livestock_Common_SymbolsMMS_Source()</f>
        <v>National Inventory Report 2023 Volume 1: Table 5.12</v>
      </c>
      <c r="E8" s="3"/>
      <c r="F8" s="3"/>
      <c r="G8" s="3"/>
      <c r="H8" s="3"/>
    </row>
    <row r="9" spans="1:13" ht="20.100000000000001" customHeight="1" x14ac:dyDescent="0.25">
      <c r="A9" s="17"/>
      <c r="D9" s="36" t="s">
        <v>80</v>
      </c>
      <c r="E9" s="37" t="s">
        <v>20</v>
      </c>
      <c r="F9" s="37" t="s">
        <v>81</v>
      </c>
      <c r="G9" s="3"/>
    </row>
    <row r="10" spans="1:13" ht="20.100000000000001" customHeight="1" x14ac:dyDescent="0.25">
      <c r="A10" s="19" t="s">
        <v>76</v>
      </c>
      <c r="D10" s="36" t="str" cm="1">
        <f t="array" ref="D10">Common_InputFunctions.Utility_DisplayArrayInTable(CommonLivestock_SourceData.SourceData_Livestock_Common_SymbolsMMS_Data(), Table_Data_MMSSymbols[[#Headers],[Symbol]], 0)</f>
        <v>1</v>
      </c>
      <c r="E10" s="36" t="str" cm="1">
        <f t="array" ref="E10">Common_InputFunctions.Utility_DisplayArrayInTable(CommonLivestock_SourceData.SourceData_Livestock_Common_SymbolsMMS_Data(), Table_Data_MMSSymbols[[#Headers],[Symbol]], 0)</f>
        <v>Anaerobic lagoon</v>
      </c>
      <c r="F10" s="36" t="str" cm="1">
        <f t="array" ref="F10">Common_InputFunctions.Utility_DisplayArrayInTable(CommonLivestock_SourceData.SourceData_Livestock_Common_SymbolsMMS_Data(), Table_Data_MMSSymbols[[#Headers],[Symbol]], 0)</f>
        <v>Anaerobic lagoon (m=1)</v>
      </c>
      <c r="G10" s="3"/>
    </row>
    <row r="11" spans="1:13" ht="20.100000000000001" customHeight="1" x14ac:dyDescent="0.25">
      <c r="A11" s="17" t="str">
        <f>HYPERLINK("#'4.2.1.1-2 Methane'!A1", "4.2.1.1-2 Methane")</f>
        <v>4.2.1.1-2 Methane</v>
      </c>
      <c r="D11" s="36" t="str" cm="1">
        <f t="array" ref="D11">Common_InputFunctions.Utility_DisplayArrayInTable(CommonLivestock_SourceData.SourceData_Livestock_Common_SymbolsMMS_Data(), Table_Data_MMSSymbols[[#Headers],[Symbol]], 0)</f>
        <v>2</v>
      </c>
      <c r="E11" s="36" t="str" cm="1">
        <f t="array" ref="E11">Common_InputFunctions.Utility_DisplayArrayInTable(CommonLivestock_SourceData.SourceData_Livestock_Common_SymbolsMMS_Data(), Table_Data_MMSSymbols[[#Headers],[Symbol]], 0)</f>
        <v>Liquid systems</v>
      </c>
      <c r="F11" s="36" t="str" cm="1">
        <f t="array" ref="F11">Common_InputFunctions.Utility_DisplayArrayInTable(CommonLivestock_SourceData.SourceData_Livestock_Common_SymbolsMMS_Data(), Table_Data_MMSSymbols[[#Headers],[Symbol]], 0)</f>
        <v>Liquid systems (m=2)</v>
      </c>
      <c r="G11" s="3"/>
    </row>
    <row r="12" spans="1:13" ht="20.100000000000001" customHeight="1" x14ac:dyDescent="0.25">
      <c r="A12" s="17" t="str">
        <f>HYPERLINK("#'4.2.1.3-4 Soil direct N2O'!A1", "4.2.1.3-4 Soil direct N2O")</f>
        <v>4.2.1.3-4 Soil direct N2O</v>
      </c>
      <c r="D12" s="37" t="str" cm="1">
        <f t="array" ref="D12">Common_InputFunctions.Utility_DisplayArrayInTable(CommonLivestock_SourceData.SourceData_Livestock_Common_SymbolsMMS_Data(), Table_Data_MMSSymbols[[#Headers],[Symbol]], 0)</f>
        <v>3</v>
      </c>
      <c r="E12" s="37" t="str" cm="1">
        <f t="array" ref="E12">Common_InputFunctions.Utility_DisplayArrayInTable(CommonLivestock_SourceData.SourceData_Livestock_Common_SymbolsMMS_Data(), Table_Data_MMSSymbols[[#Headers],[Symbol]], 0)</f>
        <v>Daily spread</v>
      </c>
      <c r="F12" s="37" t="str" cm="1">
        <f t="array" ref="F12">Common_InputFunctions.Utility_DisplayArrayInTable(CommonLivestock_SourceData.SourceData_Livestock_Common_SymbolsMMS_Data(), Table_Data_MMSSymbols[[#Headers],[Symbol]], 0)</f>
        <v>Daily spread (m=3)</v>
      </c>
      <c r="G12" s="3"/>
    </row>
    <row r="13" spans="1:13" ht="20.100000000000001" customHeight="1" x14ac:dyDescent="0.25">
      <c r="A13" s="17" t="str">
        <f>HYPERLINK("#'4.2.1.5-6 Soil Atmos Dep'!A1", "4.2.1.5-6 Soil atm. deposition")</f>
        <v>4.2.1.5-6 Soil atm. deposition</v>
      </c>
      <c r="D13" s="37" t="str" cm="1">
        <f t="array" ref="D13">Common_InputFunctions.Utility_DisplayArrayInTable(CommonLivestock_SourceData.SourceData_Livestock_Common_SymbolsMMS_Data(), Table_Data_MMSSymbols[[#Headers],[Symbol]], 0)</f>
        <v>3a</v>
      </c>
      <c r="E13" s="37" t="str" cm="1">
        <f t="array" ref="E13">Common_InputFunctions.Utility_DisplayArrayInTable(CommonLivestock_SourceData.SourceData_Livestock_Common_SymbolsMMS_Data(), Table_Data_MMSSymbols[[#Headers],[Symbol]], 0)</f>
        <v>Sump and dispersal system</v>
      </c>
      <c r="F13" s="37" t="str" cm="1">
        <f t="array" ref="F13">Common_InputFunctions.Utility_DisplayArrayInTable(CommonLivestock_SourceData.SourceData_Livestock_Common_SymbolsMMS_Data(), Table_Data_MMSSymbols[[#Headers],[Symbol]], 0)</f>
        <v>Sump and dispersal system (m=3a)</v>
      </c>
      <c r="G13" s="3"/>
    </row>
    <row r="14" spans="1:13" ht="20.100000000000001" customHeight="1" x14ac:dyDescent="0.25">
      <c r="A14" s="17" t="str">
        <f>HYPERLINK("#'4.2.1.7-8 Soil leach runoff'!A1", "4.2.1.7-8 Soil leach &amp; runoff")</f>
        <v>4.2.1.7-8 Soil leach &amp; runoff</v>
      </c>
      <c r="D14" s="37" t="str" cm="1">
        <f t="array" ref="D14">Common_InputFunctions.Utility_DisplayArrayInTable(CommonLivestock_SourceData.SourceData_Livestock_Common_SymbolsMMS_Data(), Table_Data_MMSSymbols[[#Headers],[Symbol]], 0)</f>
        <v>3b</v>
      </c>
      <c r="E14" s="37" t="str" cm="1">
        <f t="array" ref="E14">Common_InputFunctions.Utility_DisplayArrayInTable(CommonLivestock_SourceData.SourceData_Livestock_Common_SymbolsMMS_Data(), Table_Data_MMSSymbols[[#Headers],[Symbol]], 0)</f>
        <v>Drains to paddock</v>
      </c>
      <c r="F14" s="37" t="str" cm="1">
        <f t="array" ref="F14">Common_InputFunctions.Utility_DisplayArrayInTable(CommonLivestock_SourceData.SourceData_Livestock_Common_SymbolsMMS_Data(), Table_Data_MMSSymbols[[#Headers],[Symbol]], 0)</f>
        <v>Drains to paddock (m=3b)</v>
      </c>
      <c r="G14" s="3"/>
    </row>
    <row r="15" spans="1:13" ht="20.100000000000001" customHeight="1" x14ac:dyDescent="0.25">
      <c r="A15" s="17"/>
      <c r="D15" s="37" t="str" cm="1">
        <f t="array" ref="D15">Common_InputFunctions.Utility_DisplayArrayInTable(CommonLivestock_SourceData.SourceData_Livestock_Common_SymbolsMMS_Data(), Table_Data_MMSSymbols[[#Headers],[Symbol]], 0)</f>
        <v>4</v>
      </c>
      <c r="E15" s="37" t="str" cm="1">
        <f t="array" ref="E15">Common_InputFunctions.Utility_DisplayArrayInTable(CommonLivestock_SourceData.SourceData_Livestock_Common_SymbolsMMS_Data(), Table_Data_MMSSymbols[[#Headers],[Symbol]], 0)</f>
        <v>Solid storage</v>
      </c>
      <c r="F15" s="37" t="str" cm="1">
        <f t="array" ref="F15">Common_InputFunctions.Utility_DisplayArrayInTable(CommonLivestock_SourceData.SourceData_Livestock_Common_SymbolsMMS_Data(), Table_Data_MMSSymbols[[#Headers],[Symbol]], 0)</f>
        <v>Solid storage (m=4)</v>
      </c>
      <c r="G15" s="3"/>
    </row>
    <row r="16" spans="1:13" ht="20.100000000000001" customHeight="1" x14ac:dyDescent="0.25">
      <c r="A16" s="18" t="s">
        <v>4</v>
      </c>
      <c r="D16" s="37" t="str" cm="1">
        <f t="array" ref="D16">Common_InputFunctions.Utility_DisplayArrayInTable(CommonLivestock_SourceData.SourceData_Livestock_Common_SymbolsMMS_Data(), Table_Data_MMSSymbols[[#Headers],[Symbol]], 0)</f>
        <v>5</v>
      </c>
      <c r="E16" s="37" t="str" cm="1">
        <f t="array" ref="E16">Common_InputFunctions.Utility_DisplayArrayInTable(CommonLivestock_SourceData.SourceData_Livestock_Common_SymbolsMMS_Data(), Table_Data_MMSSymbols[[#Headers],[Symbol]], 0)</f>
        <v>Drylot (feed pad)</v>
      </c>
      <c r="F16" s="37" t="str" cm="1">
        <f t="array" ref="F16">Common_InputFunctions.Utility_DisplayArrayInTable(CommonLivestock_SourceData.SourceData_Livestock_Common_SymbolsMMS_Data(), Table_Data_MMSSymbols[[#Headers],[Symbol]], 0)</f>
        <v>Drylot (feed pad) (m=5)</v>
      </c>
      <c r="G16" s="3"/>
    </row>
    <row r="17" spans="1:8" ht="20.100000000000001" customHeight="1" x14ac:dyDescent="0.25">
      <c r="A17" s="17" t="str">
        <f>HYPERLINK("#'Constants - Swine'!A1", "Constants - Swine")</f>
        <v>Constants - Swine</v>
      </c>
      <c r="D17" s="37" t="str" cm="1">
        <f t="array" ref="D17">Common_InputFunctions.Utility_DisplayArrayInTable(CommonLivestock_SourceData.SourceData_Livestock_Common_SymbolsMMS_Data(), Table_Data_MMSSymbols[[#Headers],[Symbol]], 0)</f>
        <v>6</v>
      </c>
      <c r="E17" s="37" t="str" cm="1">
        <f t="array" ref="E17">Common_InputFunctions.Utility_DisplayArrayInTable(CommonLivestock_SourceData.SourceData_Livestock_Common_SymbolsMMS_Data(), Table_Data_MMSSymbols[[#Headers],[Symbol]], 0)</f>
        <v>Composting (passive windrow)</v>
      </c>
      <c r="F17" s="37" t="str" cm="1">
        <f t="array" ref="F17">Common_InputFunctions.Utility_DisplayArrayInTable(CommonLivestock_SourceData.SourceData_Livestock_Common_SymbolsMMS_Data(), Table_Data_MMSSymbols[[#Headers],[Symbol]], 0)</f>
        <v>Composting (passive windrow) (m=6)</v>
      </c>
      <c r="G17" s="3"/>
    </row>
    <row r="18" spans="1:8" ht="20.100000000000001" customHeight="1" x14ac:dyDescent="0.25">
      <c r="A18" s="17" t="str">
        <f>HYPERLINK("#'Constants - Livestock'!A1", "Constants - Livestock")</f>
        <v>Constants - Livestock</v>
      </c>
      <c r="D18" s="37" t="str" cm="1">
        <f t="array" ref="D18">Common_InputFunctions.Utility_DisplayArrayInTable(CommonLivestock_SourceData.SourceData_Livestock_Common_SymbolsMMS_Data(), Table_Data_MMSSymbols[[#Headers],[Symbol]], 0)</f>
        <v>7</v>
      </c>
      <c r="E18" s="37" t="str" cm="1">
        <f t="array" ref="E18">Common_InputFunctions.Utility_DisplayArrayInTable(CommonLivestock_SourceData.SourceData_Livestock_Common_SymbolsMMS_Data(), Table_Data_MMSSymbols[[#Headers],[Symbol]], 0)</f>
        <v>Digester / covered lagoons</v>
      </c>
      <c r="F18" s="37" t="str" cm="1">
        <f t="array" ref="F18">Common_InputFunctions.Utility_DisplayArrayInTable(CommonLivestock_SourceData.SourceData_Livestock_Common_SymbolsMMS_Data(), Table_Data_MMSSymbols[[#Headers],[Symbol]], 0)</f>
        <v>Digester / covered lagoons (m=7)</v>
      </c>
      <c r="G18" s="3"/>
    </row>
    <row r="19" spans="1:8" ht="20.100000000000001" customHeight="1" x14ac:dyDescent="0.25">
      <c r="A19" s="17" t="str">
        <f>HYPERLINK("#'Constants - Common'!A1", "Constants - Common")</f>
        <v>Constants - Common</v>
      </c>
      <c r="D19" s="37" t="str" cm="1">
        <f t="array" ref="D19">Common_InputFunctions.Utility_DisplayArrayInTable(CommonLivestock_SourceData.SourceData_Livestock_Common_SymbolsMMS_Data(), Table_Data_MMSSymbols[[#Headers],[Symbol]], 0)</f>
        <v>8</v>
      </c>
      <c r="E19" s="37" t="str" cm="1">
        <f t="array" ref="E19">Common_InputFunctions.Utility_DisplayArrayInTable(CommonLivestock_SourceData.SourceData_Livestock_Common_SymbolsMMS_Data(), Table_Data_MMSSymbols[[#Headers],[Symbol]], 0)</f>
        <v>Deep litter</v>
      </c>
      <c r="F19" s="37" t="str" cm="1">
        <f t="array" ref="F19">Common_InputFunctions.Utility_DisplayArrayInTable(CommonLivestock_SourceData.SourceData_Livestock_Common_SymbolsMMS_Data(), Table_Data_MMSSymbols[[#Headers],[Symbol]], 0)</f>
        <v>Deep litter (m=8)</v>
      </c>
      <c r="G19" s="3"/>
    </row>
    <row r="20" spans="1:8" ht="20.100000000000001" customHeight="1" x14ac:dyDescent="0.25">
      <c r="A20" s="17" t="str">
        <f>HYPERLINK("#'Acknowledgements'!A1", "Acknowledgements")</f>
        <v>Acknowledgements</v>
      </c>
      <c r="D20" s="37" t="str" cm="1">
        <f t="array" ref="D20">Common_InputFunctions.Utility_DisplayArrayInTable(CommonLivestock_SourceData.SourceData_Livestock_Common_SymbolsMMS_Data(), Table_Data_MMSSymbols[[#Headers],[Symbol]], 0)</f>
        <v>9</v>
      </c>
      <c r="E20" s="37" t="str" cm="1">
        <f t="array" ref="E20">Common_InputFunctions.Utility_DisplayArrayInTable(CommonLivestock_SourceData.SourceData_Livestock_Common_SymbolsMMS_Data(), Table_Data_MMSSymbols[[#Headers],[Symbol]], 0)</f>
        <v>Pit storage</v>
      </c>
      <c r="F20" s="37" t="str" cm="1">
        <f t="array" ref="F20">Common_InputFunctions.Utility_DisplayArrayInTable(CommonLivestock_SourceData.SourceData_Livestock_Common_SymbolsMMS_Data(), Table_Data_MMSSymbols[[#Headers],[Symbol]], 0)</f>
        <v>Pit storage (m=9)</v>
      </c>
      <c r="G20" s="3"/>
    </row>
    <row r="21" spans="1:8" ht="20.100000000000001" customHeight="1" x14ac:dyDescent="0.25">
      <c r="D21" s="37" t="str" cm="1">
        <f t="array" ref="D21">Common_InputFunctions.Utility_DisplayArrayInTable(CommonLivestock_SourceData.SourceData_Livestock_Common_SymbolsMMS_Data(), Table_Data_MMSSymbols[[#Headers],[Symbol]], 0)</f>
        <v>10</v>
      </c>
      <c r="E21" s="37" t="str" cm="1">
        <f t="array" ref="E21">Common_InputFunctions.Utility_DisplayArrayInTable(CommonLivestock_SourceData.SourceData_Livestock_Common_SymbolsMMS_Data(), Table_Data_MMSSymbols[[#Headers],[Symbol]], 0)</f>
        <v>Poultry manure with bedding</v>
      </c>
      <c r="F21" s="37" t="str" cm="1">
        <f t="array" ref="F21">Common_InputFunctions.Utility_DisplayArrayInTable(CommonLivestock_SourceData.SourceData_Livestock_Common_SymbolsMMS_Data(), Table_Data_MMSSymbols[[#Headers],[Symbol]], 0)</f>
        <v>Poultry manure with bedding (m=10)</v>
      </c>
      <c r="G21" s="3"/>
    </row>
    <row r="22" spans="1:8" ht="20.100000000000001" customHeight="1" x14ac:dyDescent="0.25">
      <c r="A22" s="17"/>
      <c r="D22" s="37" t="str" cm="1">
        <f t="array" ref="D22">Common_InputFunctions.Utility_DisplayArrayInTable(CommonLivestock_SourceData.SourceData_Livestock_Common_SymbolsMMS_Data(), Table_Data_MMSSymbols[[#Headers],[Symbol]], 0)</f>
        <v>11</v>
      </c>
      <c r="E22" s="37" t="str" cm="1">
        <f t="array" ref="E22">Common_InputFunctions.Utility_DisplayArrayInTable(CommonLivestock_SourceData.SourceData_Livestock_Common_SymbolsMMS_Data(), Table_Data_MMSSymbols[[#Headers],[Symbol]], 0)</f>
        <v>Poultry manure without bedding</v>
      </c>
      <c r="F22" s="37" t="str" cm="1">
        <f t="array" ref="F22">Common_InputFunctions.Utility_DisplayArrayInTable(CommonLivestock_SourceData.SourceData_Livestock_Common_SymbolsMMS_Data(), Table_Data_MMSSymbols[[#Headers],[Symbol]], 0)</f>
        <v>Poultry manure without bedding (m=11)</v>
      </c>
      <c r="G22" s="3"/>
    </row>
    <row r="23" spans="1:8" ht="20.100000000000001" customHeight="1" x14ac:dyDescent="0.25">
      <c r="A23" s="17"/>
      <c r="D23" s="37" t="str" cm="1">
        <f t="array" ref="D23">Common_InputFunctions.Utility_DisplayArrayInTable(CommonLivestock_SourceData.SourceData_Livestock_Common_SymbolsMMS_Data(), Table_Data_MMSSymbols[[#Headers],[Symbol]], 0)</f>
        <v>11a</v>
      </c>
      <c r="E23" s="37" t="str" cm="1">
        <f t="array" ref="E23">Common_InputFunctions.Utility_DisplayArrayInTable(CommonLivestock_SourceData.SourceData_Livestock_Common_SymbolsMMS_Data(), Table_Data_MMSSymbols[[#Headers],[Symbol]], 0)</f>
        <v>Belt manure removal</v>
      </c>
      <c r="F23" s="37" t="str" cm="1">
        <f t="array" ref="F23">Common_InputFunctions.Utility_DisplayArrayInTable(CommonLivestock_SourceData.SourceData_Livestock_Common_SymbolsMMS_Data(), Table_Data_MMSSymbols[[#Headers],[Symbol]], 0)</f>
        <v>Belt manure removal (m=11a)</v>
      </c>
      <c r="G23" s="3"/>
    </row>
    <row r="24" spans="1:8" ht="20.100000000000001" customHeight="1" x14ac:dyDescent="0.25">
      <c r="A24" s="17"/>
      <c r="D24" s="37" t="str" cm="1">
        <f t="array" ref="D24">Common_InputFunctions.Utility_DisplayArrayInTable(CommonLivestock_SourceData.SourceData_Livestock_Common_SymbolsMMS_Data(), Table_Data_MMSSymbols[[#Headers],[Symbol]], 0)</f>
        <v>11b</v>
      </c>
      <c r="E24" s="37" t="str" cm="1">
        <f t="array" ref="E24">Common_InputFunctions.Utility_DisplayArrayInTable(CommonLivestock_SourceData.SourceData_Livestock_Common_SymbolsMMS_Data(), Table_Data_MMSSymbols[[#Headers],[Symbol]], 0)</f>
        <v>Manure stored in house</v>
      </c>
      <c r="F24" s="37" t="str" cm="1">
        <f t="array" ref="F24">Common_InputFunctions.Utility_DisplayArrayInTable(CommonLivestock_SourceData.SourceData_Livestock_Common_SymbolsMMS_Data(), Table_Data_MMSSymbols[[#Headers],[Symbol]], 0)</f>
        <v>Manure stored in house (m=11b)</v>
      </c>
      <c r="G24" s="3"/>
    </row>
    <row r="25" spans="1:8" ht="20.100000000000001" customHeight="1" x14ac:dyDescent="0.25">
      <c r="D25" s="37" t="str" cm="1">
        <f t="array" ref="D25">Common_InputFunctions.Utility_DisplayArrayInTable(CommonLivestock_SourceData.SourceData_Livestock_Common_SymbolsMMS_Data(), Table_Data_MMSSymbols[[#Headers],[Symbol]], 0)</f>
        <v>12</v>
      </c>
      <c r="E25" s="37" t="str" cm="1">
        <f t="array" ref="E25">Common_InputFunctions.Utility_DisplayArrayInTable(CommonLivestock_SourceData.SourceData_Livestock_Common_SymbolsMMS_Data(), Table_Data_MMSSymbols[[#Headers],[Symbol]], 0)</f>
        <v>Direct processing</v>
      </c>
      <c r="F25" s="37" t="str" cm="1">
        <f t="array" ref="F25">Common_InputFunctions.Utility_DisplayArrayInTable(CommonLivestock_SourceData.SourceData_Livestock_Common_SymbolsMMS_Data(), Table_Data_MMSSymbols[[#Headers],[Symbol]], 0)</f>
        <v>Direct processing (m=12)</v>
      </c>
      <c r="G25" s="3"/>
    </row>
    <row r="26" spans="1:8" ht="20.100000000000001" customHeight="1" x14ac:dyDescent="0.25">
      <c r="D26" s="37" t="str" cm="1">
        <f t="array" ref="D26">Common_InputFunctions.Utility_DisplayArrayInTable(CommonLivestock_SourceData.SourceData_Livestock_Common_SymbolsMMS_Data(), Table_Data_MMSSymbols[[#Headers],[Symbol]], 0)</f>
        <v>13</v>
      </c>
      <c r="E26" s="37" t="str" cm="1">
        <f t="array" ref="E26">Common_InputFunctions.Utility_DisplayArrayInTable(CommonLivestock_SourceData.SourceData_Livestock_Common_SymbolsMMS_Data(), Table_Data_MMSSymbols[[#Headers],[Symbol]], 0)</f>
        <v>Direct application</v>
      </c>
      <c r="F26" s="37" t="str" cm="1">
        <f t="array" ref="F26">Common_InputFunctions.Utility_DisplayArrayInTable(CommonLivestock_SourceData.SourceData_Livestock_Common_SymbolsMMS_Data(), Table_Data_MMSSymbols[[#Headers],[Symbol]], 0)</f>
        <v>Direct application (m=13)</v>
      </c>
      <c r="G26" s="3"/>
    </row>
    <row r="27" spans="1:8" ht="20.100000000000001" customHeight="1" x14ac:dyDescent="0.25">
      <c r="D27" s="37" t="str" cm="1">
        <f t="array" ref="D27">Common_InputFunctions.Utility_DisplayArrayInTable(CommonLivestock_SourceData.SourceData_Livestock_Common_SymbolsMMS_Data(), Table_Data_MMSSymbols[[#Headers],[Symbol]], 0)</f>
        <v>14</v>
      </c>
      <c r="E27" s="37" t="str" cm="1">
        <f t="array" ref="E27">Common_InputFunctions.Utility_DisplayArrayInTable(CommonLivestock_SourceData.SourceData_Livestock_Common_SymbolsMMS_Data(), Table_Data_MMSSymbols[[#Headers],[Symbol]], 0)</f>
        <v>Pasture range and paddock</v>
      </c>
      <c r="F27" s="37" t="str" cm="1">
        <f t="array" ref="F27">Common_InputFunctions.Utility_DisplayArrayInTable(CommonLivestock_SourceData.SourceData_Livestock_Common_SymbolsMMS_Data(), Table_Data_MMSSymbols[[#Headers],[Symbol]], 0)</f>
        <v>Pasture range and paddock (m=14)</v>
      </c>
      <c r="G27" s="3"/>
    </row>
    <row r="28" spans="1:8" ht="20.100000000000001" customHeight="1" x14ac:dyDescent="0.25">
      <c r="G28" s="3"/>
      <c r="H28" s="3"/>
    </row>
    <row r="29" spans="1:8" ht="20.100000000000001" customHeight="1" x14ac:dyDescent="0.25"/>
    <row r="30" spans="1:8" ht="20.100000000000001" customHeight="1" x14ac:dyDescent="0.25"/>
    <row r="31" spans="1:8" ht="20.100000000000001" customHeight="1" x14ac:dyDescent="0.25"/>
    <row r="32" spans="1:8" ht="20.100000000000001" customHeight="1" x14ac:dyDescent="0.25"/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  <row r="38" ht="20.100000000000001" customHeight="1" x14ac:dyDescent="0.25"/>
    <row r="39" ht="20.100000000000001" customHeight="1" x14ac:dyDescent="0.25"/>
    <row r="40" ht="20.100000000000001" customHeight="1" x14ac:dyDescent="0.25"/>
    <row r="41" ht="20.100000000000001" customHeight="1" x14ac:dyDescent="0.25"/>
    <row r="42" ht="20.100000000000001" customHeight="1" x14ac:dyDescent="0.25"/>
    <row r="43" ht="20.100000000000001" customHeight="1" x14ac:dyDescent="0.25"/>
    <row r="44" ht="20.100000000000001" customHeight="1" x14ac:dyDescent="0.25"/>
    <row r="45" ht="20.100000000000001" customHeight="1" x14ac:dyDescent="0.25"/>
    <row r="46" ht="20.100000000000001" customHeight="1" x14ac:dyDescent="0.25"/>
    <row r="47" ht="20.100000000000001" customHeight="1" x14ac:dyDescent="0.25"/>
    <row r="48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7A9DA-7B49-4536-9AC1-4BDE2DD493BF}">
  <dimension ref="A1"/>
  <sheetViews>
    <sheetView workbookViewId="0"/>
  </sheetViews>
  <sheetFormatPr defaultRowHeight="15" x14ac:dyDescent="0.25"/>
  <sheetData>
    <row r="1" spans="1:1" x14ac:dyDescent="0.25">
      <c r="A1" t="s">
        <v>217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83A6B-B8DF-40B8-B36B-2098F8DD980B}">
  <dimension ref="A1:U165"/>
  <sheetViews>
    <sheetView showGridLines="0" topLeftCell="A2" workbookViewId="0">
      <selection activeCell="F35" sqref="F35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1" width="30.7109375" style="1" customWidth="1"/>
    <col min="12" max="12" width="4.7109375" style="1" customWidth="1"/>
    <col min="13" max="13" width="4.7109375" customWidth="1"/>
    <col min="14" max="14" width="4.7109375" style="1" customWidth="1"/>
    <col min="15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</row>
    <row r="2" spans="1:21" s="9" customFormat="1" ht="20.100000000000001" customHeight="1" x14ac:dyDescent="0.25"/>
    <row r="3" spans="1:21" ht="20.100000000000001" customHeight="1" x14ac:dyDescent="0.25">
      <c r="A3" s="17" t="s">
        <v>0</v>
      </c>
      <c r="C3" s="4"/>
      <c r="D3" s="4"/>
      <c r="E3" s="4"/>
      <c r="F3" s="4"/>
      <c r="G3" s="4"/>
      <c r="H3" s="4"/>
      <c r="I3" s="4"/>
      <c r="J3" s="4"/>
      <c r="K3" s="4"/>
      <c r="L3" s="4"/>
      <c r="N3" s="4"/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</row>
    <row r="5" spans="1:21" ht="20.100000000000001" customHeight="1" x14ac:dyDescent="0.25">
      <c r="A5" s="16"/>
    </row>
    <row r="6" spans="1:21" ht="20.100000000000001" customHeight="1" x14ac:dyDescent="0.25">
      <c r="A6" s="20" t="s">
        <v>3</v>
      </c>
    </row>
    <row r="7" spans="1:21" ht="20.100000000000001" customHeight="1" x14ac:dyDescent="0.25">
      <c r="A7" s="17" t="str">
        <f>HYPERLINK("#'Input - Site'!A1", "Site")</f>
        <v>Site</v>
      </c>
    </row>
    <row r="8" spans="1:21" ht="20.100000000000001" customHeight="1" x14ac:dyDescent="0.25">
      <c r="A8" s="17" t="str">
        <f>HYPERLINK("#'Input - Production'!A1", "Production and outputs")</f>
        <v>Production and outputs</v>
      </c>
    </row>
    <row r="9" spans="1:21" ht="20.100000000000001" customHeight="1" x14ac:dyDescent="0.25">
      <c r="A9" s="17" t="str">
        <f>HYPERLINK("#'Input - Herd - Dairy'!A1", "Herd - Dairy")</f>
        <v>Herd - Dairy</v>
      </c>
    </row>
    <row r="10" spans="1:21" ht="20.100000000000001" customHeight="1" x14ac:dyDescent="0.25">
      <c r="A10" s="17" t="str">
        <f>HYPERLINK("#'Input - Feed - Dairy'!A1", "Purchased feed - Livestock")</f>
        <v>Purchased feed - Livestock</v>
      </c>
    </row>
    <row r="11" spans="1:21" ht="20.100000000000001" customHeight="1" x14ac:dyDescent="0.25">
      <c r="A11" s="17" t="str">
        <f>HYPERLINK("#'Input - Herd - Feedlot'!A1", "Herd - Feedlot")</f>
        <v>Herd - Feedlot</v>
      </c>
    </row>
    <row r="12" spans="1:21" ht="20.100000000000001" customHeight="1" x14ac:dyDescent="0.25">
      <c r="A12" s="17" t="str">
        <f>HYPERLINK("#'Input - Pasture'!A1", "Pasture")</f>
        <v>Pasture</v>
      </c>
    </row>
    <row r="13" spans="1:21" ht="20.100000000000001" customHeight="1" x14ac:dyDescent="0.25">
      <c r="A13" s="17" t="str">
        <f>HYPERLINK("#'Input - Grains'!A1", "Crop - Grains")</f>
        <v>Crop - Grains</v>
      </c>
    </row>
    <row r="14" spans="1:21" ht="20.100000000000001" customHeight="1" x14ac:dyDescent="0.25">
      <c r="A14" s="17" t="str">
        <f>HYPERLINK("#'Input - Fert Lime Chem'!A1", "Fertiliser, Lime &amp; Chemicals")</f>
        <v>Fertiliser, Lime &amp; Chemicals</v>
      </c>
    </row>
    <row r="15" spans="1:21" ht="20.100000000000001" customHeight="1" x14ac:dyDescent="0.25">
      <c r="A15" s="17" t="str">
        <f>HYPERLINK("#'Input - Fuel &amp; Energy'!A1", "Electricity and fuel")</f>
        <v>Electricity and fuel</v>
      </c>
    </row>
    <row r="16" spans="1:21" ht="20.100000000000001" customHeight="1" x14ac:dyDescent="0.25">
      <c r="A16" s="67" t="s">
        <v>78</v>
      </c>
    </row>
    <row r="17" spans="1:1" ht="20.100000000000001" customHeight="1" x14ac:dyDescent="0.25">
      <c r="A17" s="67" t="s">
        <v>74</v>
      </c>
    </row>
    <row r="18" spans="1:1" ht="20.100000000000001" customHeight="1" x14ac:dyDescent="0.25">
      <c r="A18" s="17" t="str">
        <f>HYPERLINK("#'Input - Other Farm Inputs'!A1", "Other farm inputs")</f>
        <v>Other farm inputs</v>
      </c>
    </row>
    <row r="19" spans="1:1" ht="20.100000000000001" customHeight="1" x14ac:dyDescent="0.25">
      <c r="A19" s="17" t="str">
        <f>HYPERLINK("#'Input - Data quality'!A1", "Data quality")</f>
        <v>Data quality</v>
      </c>
    </row>
    <row r="20" spans="1:1" ht="20.100000000000001" customHeight="1" x14ac:dyDescent="0.25"/>
    <row r="21" spans="1:1" ht="20.100000000000001" customHeight="1" x14ac:dyDescent="0.25">
      <c r="A21" s="19" t="s">
        <v>76</v>
      </c>
    </row>
    <row r="22" spans="1:1" ht="20.100000000000001" customHeight="1" x14ac:dyDescent="0.25">
      <c r="A22" s="67" t="s">
        <v>1</v>
      </c>
    </row>
    <row r="23" spans="1:1" ht="20.100000000000001" customHeight="1" x14ac:dyDescent="0.25">
      <c r="A23" s="67" t="s">
        <v>75</v>
      </c>
    </row>
    <row r="24" spans="1:1" ht="20.100000000000001" customHeight="1" x14ac:dyDescent="0.25">
      <c r="A24" s="17" t="str">
        <f>HYPERLINK("#'Calcs - Fert Lime'!A1", "Fertiliser &amp; soil amendments")</f>
        <v>Fertiliser &amp; soil amendments</v>
      </c>
    </row>
    <row r="25" spans="1:1" ht="20.100000000000001" customHeight="1" x14ac:dyDescent="0.25">
      <c r="A25" s="17" t="str">
        <f>HYPERLINK("#'Calcs - Residue mgmt - Crop'!A1", "Residue management - Crop")</f>
        <v>Residue management - Crop</v>
      </c>
    </row>
    <row r="26" spans="1:1" ht="20.100000000000001" customHeight="1" x14ac:dyDescent="0.25">
      <c r="A26" s="17" t="str">
        <f>HYPERLINK("#'Calcs - Residue mgmt - Pasture'!A1", "Residue management - Pasture")</f>
        <v>Residue management - Pasture</v>
      </c>
    </row>
    <row r="27" spans="1:1" ht="20.100000000000001" customHeight="1" x14ac:dyDescent="0.25">
      <c r="A27" s="17" t="str">
        <f>HYPERLINK("#'Calcs - Field burning'!A1", "Field burning - Crop")</f>
        <v>Field burning - Crop</v>
      </c>
    </row>
    <row r="28" spans="1:1" ht="20.100000000000001" customHeight="1" x14ac:dyDescent="0.25">
      <c r="A28" s="17" t="str">
        <f>HYPERLINK("#'Calcs - Fuel'!A1", "Fuel")</f>
        <v>Fuel</v>
      </c>
    </row>
    <row r="29" spans="1:1" ht="20.100000000000001" customHeight="1" x14ac:dyDescent="0.25">
      <c r="A29" s="17" t="str">
        <f>HYPERLINK("#'Calcs - Electricity'!A1", "Electricity")</f>
        <v>Electricity</v>
      </c>
    </row>
    <row r="30" spans="1:1" ht="20.100000000000001" customHeight="1" x14ac:dyDescent="0.25">
      <c r="A30" s="17" t="str">
        <f>HYPERLINK("#'Calcs - Refrigerants'!A1", "Refrigerants")</f>
        <v>Refrigerants</v>
      </c>
    </row>
    <row r="31" spans="1:1" ht="20.100000000000001" customHeight="1" x14ac:dyDescent="0.25">
      <c r="A31" s="67" t="s">
        <v>78</v>
      </c>
    </row>
    <row r="32" spans="1:1" ht="20.100000000000001" customHeight="1" x14ac:dyDescent="0.25">
      <c r="A32" s="67" t="s">
        <v>74</v>
      </c>
    </row>
    <row r="33" spans="1:1" ht="20.100000000000001" customHeight="1" x14ac:dyDescent="0.25">
      <c r="A33" s="17" t="str">
        <f>HYPERLINK("#'Calcs - Scope 3'!A1", "Purchased goods scope 3")</f>
        <v>Purchased goods scope 3</v>
      </c>
    </row>
    <row r="34" spans="1:1" ht="20.100000000000001" customHeight="1" x14ac:dyDescent="0.25"/>
    <row r="35" spans="1:1" ht="20.100000000000001" customHeight="1" x14ac:dyDescent="0.25">
      <c r="A35" s="18" t="s">
        <v>4</v>
      </c>
    </row>
    <row r="36" spans="1:1" ht="20.100000000000001" customHeight="1" x14ac:dyDescent="0.25">
      <c r="A36" s="17" t="str">
        <f>HYPERLINK("#'Constants - Common'!A1", "Constants - Common")</f>
        <v>Constants - Common</v>
      </c>
    </row>
    <row r="37" spans="1:1" ht="20.100000000000001" customHeight="1" x14ac:dyDescent="0.25">
      <c r="A37" s="17" t="str">
        <f>HYPERLINK("#'Constants - Cropping'!A1", "Constants - Cropping")</f>
        <v>Constants - Cropping</v>
      </c>
    </row>
    <row r="38" spans="1:1" ht="20.100000000000001" customHeight="1" x14ac:dyDescent="0.25">
      <c r="A38" s="17" t="str">
        <f>HYPERLINK("#'Constants - Livestock'!A1", "Constants - Livestock")</f>
        <v>Constants - Livestock</v>
      </c>
    </row>
    <row r="39" spans="1:1" ht="20.100000000000001" customHeight="1" x14ac:dyDescent="0.25">
      <c r="A39" s="17" t="str">
        <f>HYPERLINK("#'Constants - Dairy'!A1", "Constants - Dairy")</f>
        <v>Constants - Dairy</v>
      </c>
    </row>
    <row r="40" spans="1:1" ht="20.100000000000001" customHeight="1" x14ac:dyDescent="0.25">
      <c r="A40" s="67" t="s">
        <v>2</v>
      </c>
    </row>
    <row r="41" spans="1:1" ht="20.100000000000001" customHeight="1" x14ac:dyDescent="0.25">
      <c r="A41" s="44"/>
    </row>
    <row r="42" spans="1:1" ht="20.100000000000001" customHeight="1" x14ac:dyDescent="0.25"/>
    <row r="43" spans="1:1" ht="20.100000000000001" customHeight="1" x14ac:dyDescent="0.25"/>
    <row r="44" spans="1:1" ht="20.100000000000001" customHeight="1" x14ac:dyDescent="0.25"/>
    <row r="45" spans="1:1" ht="20.100000000000001" customHeight="1" x14ac:dyDescent="0.25"/>
    <row r="46" spans="1:1" ht="20.100000000000001" customHeight="1" x14ac:dyDescent="0.25"/>
    <row r="47" spans="1:1" ht="20.100000000000001" customHeight="1" x14ac:dyDescent="0.25"/>
    <row r="48" spans="1:1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B660BB23738846A00119B5826AC974" ma:contentTypeVersion="11" ma:contentTypeDescription="Create a new document." ma:contentTypeScope="" ma:versionID="3e3613359d4ae7f6bda6c57be713f101">
  <xsd:schema xmlns:xsd="http://www.w3.org/2001/XMLSchema" xmlns:xs="http://www.w3.org/2001/XMLSchema" xmlns:p="http://schemas.microsoft.com/office/2006/metadata/properties" xmlns:ns2="7291119c-fce9-4911-96ae-b800be5dccd8" xmlns:ns3="09eef6d6-daa8-4301-8f9f-b1ec38079286" targetNamespace="http://schemas.microsoft.com/office/2006/metadata/properties" ma:root="true" ma:fieldsID="87491bfad7f11426ad96486e70428b3e" ns2:_="" ns3:_="">
    <xsd:import namespace="7291119c-fce9-4911-96ae-b800be5dccd8"/>
    <xsd:import namespace="09eef6d6-daa8-4301-8f9f-b1ec380792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91119c-fce9-4911-96ae-b800be5dc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eef6d6-daa8-4301-8f9f-b1ec380792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2b9829-e58f-4759-907b-e4bc75f6ae89}" ma:internalName="TaxCatchAll" ma:showField="CatchAllData" ma:web="09eef6d6-daa8-4301-8f9f-b1ec380792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eef6d6-daa8-4301-8f9f-b1ec38079286" xsi:nil="true"/>
    <lcf76f155ced4ddcb4097134ff3c332f xmlns="7291119c-fce9-4911-96ae-b800be5dccd8">
      <Terms xmlns="http://schemas.microsoft.com/office/infopath/2007/PartnerControls"/>
    </lcf76f155ced4ddcb4097134ff3c332f>
  </documentManagement>
</p:properties>
</file>

<file path=customXml/item4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+ACAAMQA4ACAAQwBcACIALAAgAFwAIgBBAG4AeQBcACIALAAgAFwAIgBkIiAANwBcACIALAAgAFwAIgA+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+ACAAMQA4ACAAQwBcACIALAAgAFwAIgA+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+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+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+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EwAaQB2AGUAcwB0AG8AYwBr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wAaQB2AGUAcwB0AG8AYwBrACAAdAB5AHAAZQBzAFwAbgBFAHgAYwBlAGwAIABtAG8AZAB1AGwAZQAgAG4AYQBtAGUAOgAgAFMAbwB1AHIAYwBlAEQAYQB0AGEAXwBMAGkAdgBlAHMAdABvAGMAawBfAEMAbwBtAG0AbwBu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TAG8AdQByAGMAZQBEAGEAdABhAF8ATABpAHYAZQBzAHQAbwBjAGsAXwBDAG8AbQBtAG8AbgBfAEYAcgBhAGMAVwBFAFQATQBNAFMAXABuAEYAcgBhAGMAVwBFAFQATQBNAFMAaQAgAD0AIABGAHIAYQBjAHQAaQBvAG4AIABvAGYAIABOACAAYQB2AGEAaQBsAGEAYgBsAGUAIABmAG8AcgAgAGwAZQBhAGMAaABpAG4AZwAgAGEAbgBkACAAcgB1AG4AbwBmAGYAXABuACgAVABhAGIAbABlACAAQQA1AC4ANQAuADEAMAAuADIAIABpAHMAIAByAGUAZgBlAHIAZQBuAGMAZQBkACAAaQBuACAATgBJAFIAIABiAHUAdAAgADEAIABpAHMAIAB1AHMAZQBkACkAXABuAC0ALQAtAC0ALQAtAC0ALQAtAC0ALQAtAC0ALQAtAC0ALQAtAC0ALQAtAC0ALQAtAC0ALQAtAC0ALQAtAC0ALQAtAC0ALQAtAC0ALQBcAG4AKgAvAFwAbgBcAG4AUwBvAHUAcgBjAGUARABhAHQAYQBfAEwAaQB2AGUAcwB0AG8AYwBrAF8AQwBvAG0AbQBvAG4AXwBGAHIAYQBjAFcARQBUAE0ATQBTAF8AVABpAHQAbABlAFwAbgAgACAAPQBMAEEATQBCAEQAQQAoAFwAIgBGAHIAYQBjAHQAaQBvAG4AIABvAGYAIABOACAAYQB2AGEAaQBsAGEAYgBsAGUAIABmAG8AcgAgAGwAZQBhAGMAaABpAG4AZwAgAGEAbgBkACAAcgB1AG4AbwBmAGYAXAAiACkAOwBcAG4AXABuAFMAbwB1AHIAYwBlAEQAYQB0AGEAXwBMAGkAdgBlAHMAdABvAGMAawBfAEMAbwBtAG0AbwBuAF8ARgByAGEAYwBXAEUAVABNAE0AUwBfAFUAbgBpAHQAXABuACAAIAA9AEwAQQBNAEIARABBACgAXAAiAEYAcgBhAGMAdABpAG8AbgBcACIAKQA7AFwAbgBcAG4AUwBvAHUAcgBjAGUARABhAHQAYQBfAEwAaQB2AGUAcwB0AG8AYwBrAF8AQwBvAG0AbQBvAG4AXwBGAHIAYQBjAFcARQBUAE0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XAEUAVABNAE0AUwBfAEQAYQB0AGEAXABuACAAIAA9AEwAQQBNAEIARABBACgAMQApADsAXABuAFwAbgAvACoAIABcAG4ALQAtAC0ALQAtAC0ALQAtAC0ALQAtAC0ALQAtAC0ALQAtAC0ALQAtAC0ALQAtAC0ALQAtAC0ALQAtAC0ALQAtAC0ALQAtAC0ALQAtAFwAbgBTAG8AdQByAGMAZQBEAGEAdABhAF8ATABpAHYAZQBzAHQAbwBjAGsAXwBDAG8AbQBtAG8AbgBfAEYAcgBhAGMATABFAEEAQwBIAF8ATQBTAFwAbgBGAHIAYQBjAEwARQBBAEMASABfAE0AUwAgAD0AIAAwAC4AMAAyACAAKABHAGcAIABOAC8ARwBnACAAYQBwAHAAbABpAGUAZAApACAAKABDAFMAIABFAEYALAAgAHMAbwB1AHIAYwBlACAASQBQAEMAQwAgACgAMgAwADEAOQApACkAIABcAG4AZgByAGEAYwB0AGkAbwBuACAAbwBmACAATgAgAGwAbwBzAHQAIAB0AGgAcgBvAHUAZwBoACAAbABlAGEAYwBoAGkAbgBnACAAYQBuAGQAIAByAHUAbgBvAGYAZgBcAG4ALQAtAC0ALQAtAC0ALQAtAC0ALQAtAC0ALQAtAC0ALQAtAC0ALQAtAC0ALQAtAC0ALQAtAC0ALQAtAC0ALQAtAC0ALQAtAC0ALQAtAFwAbgAqAC8AXABuAFwAbgBTAG8AdQByAGMAZQBEAGEAdABhAF8ATABpAHYAZQBzAHQAbwBjAGsAXwBDAG8AbQBtAG8AbgBfAEYAcgBhAGMATABFAEEAQwBIAF8ATQBTAF8AVABpAHQAbABlAFwAbgAgACAAPQBMAEEATQBCAEQAQQAoAFwAIgBGAHIAYQBjAHQAaQBvAG4AIABvAGYAIABOACAAbABvAHMAdAAgAHQAaAByAG8AdQBnAGgAIABsAGUAYQBjAGgAaQBuAGcAIABhAG4AZAAgAHIAdQBuAG8AZgBmAFwAIgApADsAXABuAFwAbgBTAG8AdQByAGMAZQBEAGEAdABhAF8ATABpAHYAZQBzAHQAbwBjAGsAXwBDAG8AbQBtAG8AbgBfAEYAcgBhAGMATABFAEEAQwBIAF8ATQBTAF8AVQBuAGkAdABcAG4AIAAgAD0ATABBAE0AQgBEAEEAKABcACIARgByAGEAYwB0AGkAbwBuAFwAIgApADsAXABuAFwAbgBTAG8AdQByAGMAZQBEAGEAdABhAF8ATABpAHYAZQBzAHQAbwBjAGsAXwBDAG8AbQBtAG8AbgBfAEYAcgBhAGMATABFAEEAQwBIAF8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MAEUAQQBDAEgAXwBNAFMAXwBEAGEAdABhAFwAbgAgACAAPQBMAEEATQBCAEQAQQAoAFwAbgAgACAAIAAgAE0AQQBLAEUAQQBSAFIAQQBZACgAOAAsACAAMgAsACAAXABuACAAIAAgACAAIAAgAEwAQQBNAEIARABBACgAcgAsAGMALAAgAFwAbgAgACAAIAAgACAAIAAgACAASQBOAEQARQBYACgAewBcAG4AIAAgACAAIAAgACAAIAAgACAAIABcACIAUAByAG8AZAB1AGMAdABpAG8AbgAgAHMAeQBzAHQAZQBtAFwAIgAsACAAXAAiAEUAbQBpAHMAcwBpAG8AbgAgAGYAYQBjAHQAbwByAFwAIgA7AFwAbgAgACAAIAAgACAAIAAgACAAIAAgACAAIABcACIASQByAHIAaQBnAGEAdABlAGQAIABwAGEAcwB0AHUAcgBlAFwAIgAsACAAMAAuADAAMAA1ADkAOwBcAG4AIAAgACAAIAAgACAAIAAgACAAIAAgACAAXAAiAEkAcgByAGkAZwBhAHQAZQBkACAAYwByAG8AcABcACIALAAgADAALgAwADAANwA7AFwAbgAgACAAIAAgACAAIAAgACAAIAAgACAAIABcACIATgBvAG4ALQBpAHIAcgBpAGcAYQB0AGUAZAAgAHAAYQBzAHQAdQByAGUAXAAiACwAIAAwAC4AMAAwADEAOAA7AFwAbgAgACAAIAAgACAAIAAgACAAIAAgACAAIABcACIATgBvAG4ALQBpAHIAcgBpAGcAYQB0AGUAZAAgAGMAcgBvAHAAXAAiACwAIAAwAC4AMAAwADQAMQA7AFwAbgAgACAAIAAgACAAIAAgACAAIAAgACAAIABcACIAUwB1AGcAYQByACAAYwBhAG4AZQBcACIALAAgADAALgAwADEAOQA5ADsAXABuACAAIAAgACAAIAAgACAAIAAgACAAIAAgAFwAIgBDAG8AdAB0AG8AbgBcACIALAAgADAALgAwADAANQAzADsAXABuACAAIAAgACAAIAAgACAAIAAgACAAIAAgAFwAIgBIAG8AcgB0AGkAYwB1AGwAdAB1AHIAZQBcACIALAAgADAALgAwADAANgA0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QwBvAG0AbQBvAG4AXwBTAHkAbQBiAG8AbABzAE0ATQBTAFwAbgBUAGEAYgBsAGUAIAA1AC4AMQAyACAAQQBkAGQAaQB0AGkAbwBuAGEAbAAgAHMAeQBtAGIAbwBsAHMAIAB1AHMAZQBkACAAaQBuACAAYQBsAGcAbwByAGkAdABoAG0AcwAgAGYAbwByACAAbQBhAG4AdQByAGUAIAByAGUAbABhAHQAZQBkACAAZQBtAGkAcwBzAGkAbwBuAHMAXABuAC0ALQAtAC0ALQAtAC0ALQAtAC0ALQAtAC0ALQAtAC0ALQAtAC0ALQAtAC0ALQAtAC0ALQAtAC0ALQAtAC0ALQAtAC0ALQAtAC0ALQBcAG4AKgAvAFwAbgBcAG4AUwBvAHUAcgBjAGUARABhAHQAYQBfAEwAaQB2AGUAcwB0AG8AYwBrAF8AQwBvAG0AbQBvAG4AXwBTAHkAbQBiAG8AbABzAE0ATQBTAF8AVABpAHQAbABlAFwAbgAgACAAPQBMAEEATQBCAEQAQQAoAFwAIgBUAGEAYgBsAGUAIAA1AC4AMQAyACAAQQBkAGQAaQB0AGkAbwBuAGEAbAAgAHMAeQBtAGIAbwBsAHMAIAB1AHMAZQBkACAAaQBuACAAYQBsAGcAbwByAGkAdABoAG0AcwAgAGYAbwByACAAbQBhAG4AdQByAGUAIAByAGUAbABhAHQAZQBkACAAZQBtAGkAcwBzAGkAbwBuAHMAXAAiACkAOwBcAG4AXABuAFMAbwB1AHIAYwBlAEQAYQB0AGEAXwBMAGkAdgBlAHMAdABvAGMAawBfAEMAbwBtAG0AbwBuAF8AUwB5AG0AYgBvAGwAcwBNAE0AUwBfAFYAYQBpAHIAYQBiAGwAZQBcAG4AIAAgAD0ATABBAE0AQgBEAEEAKABcACIATQBNAFMAXAAiACkAOwBcAG4AXABuAFMAbwB1AHIAYwBlAEQAYQB0AGEAXwBMAGkAdgBlAHMAdABvAGMAawBfAEMAbwBtAG0AbwBuAF8AUwB5AG0AYgBvAGwAcwBNAE0AUwBfAFUAbgBpAHQAXABuACAAIAA9AEwAQQBNAEIARABBACgAXAAiAFwAIgApADsAXABuAFwAbgBTAG8AdQByAGMAZQBEAGEAdABhAF8ATABpAHYAZQBzAHQAbwBjAGsAXwBDAG8AbQBtAG8AbgBfAFMAeQBtAGIAbwBsAHMATQBNAFMAXwBTAG8AdQByAGMAZQBcAG4AIAAgAD0ATABBAE0AQgBEAEEAKABcACIATgBhAHQAaQBvAG4AYQBsACAASQBuAHYAZQBuAHQAbwByAHkAIABSAGUAcABvAHIAdAAgADIAMAAyADMAIABWAG8AbAB1AG0AZQAgADEAOgAgAFQAYQBiAGwAZQAgADUALgAxADIAXAAiACkAOwBcAG4AXABuAFMAbwB1AHIAYwBlAEQAYQB0AGEAXwBMAGkAdgBlAHMAdABvAGMAawBfAEMAbwBtAG0AbwBuAF8AUwB5AG0AYgBvAGwAcwBNAE0AUwBfAEQAYQB0AGEAXABuACAAIAA9AEwAQQBNAEIARABBACgAXABuACAAIAAgACAATQBBAEsARQBBAFIAUgBBAFkAKAAxADkALAAgADMALAAgAFwAbgAgACAAIAAgACAAIABMAEEATQBCAEQAQQAoAHIALABjACwAIABcAG4AIAAgACAAIAAgACAAIAAgAEkATgBEAEUAWAAoAHsAXABuACAAIAAgACAAIAAgACAAIAAgACAAXAAiAFMAeQBtAGIAbwBsAFwAIgAsACAAXAAiAE0AYQBuAHUAcgBlACAAbQBhAG4AYQBnAGUAbQBlAG4AdAAgAHMAeQBzAHQAZQBtAFwAIgAsACAAXAAiAFwAIgA7AFwAbgAgACAAIAAgACAAIAAgACAAIAAgACAAIABcACIAMQBcACIALAAgAFwAIgBBAG4AYQBlAHIAbwBiAGkAYwAgAGwAYQBnAG8AbwBuAFwAIgAsACAAXAAiAEEAbgBhAGUAcgBvAGIAaQBjACAAbABhAGcAbwBvAG4AIAAoAG0APQAxACkAXAAiADsAXABuACAAIAAgACAAIAAgACAAIAAgACAAIAAgAFwAIgAyAFwAIgAsACAAXAAiAEwAaQBxAHUAaQBkACAAcwB5AHMAdABlAG0AcwBcACIALAAgAFwAIgBMAGkAcQB1AGkAZAAgAHMAeQBzAHQAZQBtAHMAIAAoAG0APQAyACkAXAAiADsAXABuACAAIAAgACAAIAAgACAAIAAgACAAIAAgAFwAIgAzAFwAIgAsACAAXAAiAEQAYQBpAGwAeQAgAHMAcAByAGUAYQBkAFwAIgAsACAAXAAiAEQAYQBpAGwAeQAgAHMAcAByAGUAYQBkACAAKABtAD0AMwApAFwAIgA7AFwAbgAgACAAIAAgACAAIAAgACAAIAAgACAAIABcACIAMwBhAFwAIgAsACAAXAAiAFMAdQBtAHAAIABhAG4AZAAgAGQAaQBzAHAAZQByAHMAYQBsACAAcwB5AHMAdABlAG0AXAAiACwAIABcACIAUwB1AG0AcAAgAGEAbgBkACAAZABpAHMAcABlAHIAcwBhAGwAIABzAHkAcwB0AGUAbQAgACgAbQA9ADMAYQApAFwAIgA7AFwAbgAgACAAIAAgACAAIAAgACAAIAAgACAAIABcACIAMwBiAFwAIgAsACAAXAAiAEQAcgBhAGkAbgBzACAAdABvACAAcABhAGQAZABvAGMAawBcACIALAAgAFwAIgBEAHIAYQBpAG4AcwAgAHQAbwAgAHAAYQBkAGQAbwBjAGsAIAAoAG0APQAzAGIAKQBcACIAOwBcAG4AIAAgACAAIAAgACAAIAAgACAAIAAgACAAXAAiADQAXAAiACwAIABcACIAUwBvAGwAaQBkACAAcwB0AG8AcgBhAGcAZQBcACIALAAgAFwAIgBTAG8AbABpAGQAIABzAHQAbwByAGEAZwBlACAAKABtAD0ANAApAFwAIgA7AFwAbgAgACAAIAAgACAAIAAgACAAIAAgACAAIABcACIANQBcACIALAAgAFwAIgBEAHIAeQBsAG8AdAAgACgAZgBlAGUAZAAgAHAAYQBkACkAXAAiACwAIABcACIARAByAHkAbABvAHQAIAAoAGYAZQBlAGQAIABwAGEAZAApACAAKABtAD0ANQApAFwAIgA7AFwAbgAgACAAIAAgACAAIAAgACAAIAAgACAAIABcACIANgBcACIALAAgAFwAIgBDAG8AbQBwAG8AcwB0AGkAbgBnACAAKABwAGEAcwBzAGkAdgBlACAAdwBpAG4AZAByAG8AdwApAFwAIgAsACAAXAAiAEMAbwBtAHAAbwBzAHQAaQBuAGcAIAAoAHAAYQBzAHMAaQB2AGUAIAB3AGkAbgBkAHIAbwB3ACkAIAAoAG0APQA2ACkAXAAiADsAXABuACAAIAAgACAAIAAgACAAIAAgACAAIAAgAFwAIgA3AFwAIgAsACAAXAAiAEQAaQBnAGUAcwB0AGUAcgAgAC8AIABjAG8AdgBlAHIAZQBkACAAbABhAGcAbwBvAG4AcwBcACIALAAgAFwAIgBEAGkAZwBlAHMAdABlAHIAIAAvACAAYwBvAHYAZQByAGUAZAAgAGwAYQBnAG8AbwBuAHMAIAAoAG0APQA3ACkAXAAiADsAXABuACAAIAAgACAAIAAgACAAIAAgACAAIAAgAFwAIgA4AFwAIgAsACAAXAAiAEQAZQBlAHAAIABsAGkAdAB0AGUAcgBcACIALAAgAFwAIgBEAGUAZQBwACAAbABpAHQAdABlAHIAIAAoAG0APQA4ACkAXAAiADsAXABuACAAIAAgACAAIAAgACAAIAAgACAAIAAgAFwAIgA5AFwAIgAsACAAXAAiAFAAaQB0ACAAcwB0AG8AcgBhAGcAZQBcACIALAAgAFwAIgBQAGkAdAAgAHMAdABvAHIAYQBnAGUAIAAoAG0APQA5ACkAXAAiADsAXABuACAAIAAgACAAIAAgACAAIAAgACAAIAAgAFwAIgAxADAAXAAiACwAIABcACIAUABvAHUAbAB0AHIAeQAgAG0AYQBuAHUAcgBlACAAdwBpAHQAaAAgAGIAZQBkAGQAaQBuAGcAXAAiACwAIABcACIAUABvAHUAbAB0AHIAeQAgAG0AYQBuAHUAcgBlACAAdwBpAHQAaAAgAGIAZQBkAGQAaQBuAGcAIAAoAG0APQAxADAAKQBcACIAOwBcAG4AIAAgACAAIAAgACAAIAAgACAAIAAgACAAXAAiADEAMQBcACIALAAgAFwAIgBQAG8AdQBsAHQAcgB5ACAAbQBhAG4AdQByAGUAIAB3AGkAdABoAG8AdQB0ACAAYgBlAGQAZABpAG4AZwBcACIALAAgAFwAIgBQAG8AdQBsAHQAcgB5ACAAbQBhAG4AdQByAGUAIAB3AGkAdABoAG8AdQB0ACAAYgBlAGQAZABpAG4AZwAgACgAbQA9ADEAMQApAFwAIgA7AFwAbgAgACAAIAAgACAAIAAgACAAIAAgACAAIABcACIAMQAxAGEAXAAiACwAIABcACIAQgBlAGwAdAAgAG0AYQBuAHUAcgBlACAAcgBlAG0AbwB2AGEAbABcACIALAAgAFwAIgBCAGUAbAB0ACAAbQBhAG4AdQByAGUAIAByAGUAbQBvAHYAYQBsACAAKABtAD0AMQAxAGEAKQBcACIAOwBcAG4AIAAgACAAIAAgACAAIAAgACAAIAAgACAAXAAiADEAMQBiAFwAIgAsACAAXAAiAE0AYQBuAHUAcgBlACAAcwB0AG8AcgBlAGQAIABpAG4AIABoAG8AdQBzAGUAXAAiACwAIABcACIATQBhAG4AdQByAGUAIABzAHQAbwByAGUAZAAgAGkAbgAgAGgAbwB1AHMAZQAgACgAbQA9ADEAMQBiACkAXAAiADsAXABuACAAIAAgACAAIAAgACAAIAAgACAAIAAgAFwAIgAxADIAXAAiACwAIABcACIARABpAHIAZQBjAHQAIABwAHIAbwBjAGUAcwBzAGkAbgBnAFwAIgAsACAAXAAiAEQAaQByAGUAYwB0ACAAcAByAG8AYwBlAHMAcwBpAG4AZwAgACgAbQA9ADEAMgApAFwAIgA7AFwAbgAgACAAIAAgACAAIAAgACAAIAAgACAAIABcACIAMQAzAFwAIgAsACAAXAAiAEQAaQByAGUAYwB0ACAAYQBwAHAAbABpAGMAYQB0AGkAbwBuAFwAIgAsACAAXAAiAEQAaQByAGUAYwB0ACAAYQBwAHAAbABpAGMAYQB0AGkAbwBuACAAKABtAD0AMQAzACkAXAAiADsAXABuACAAIAAgACAAIAAgACAAIAAgACAAIAAgAFwAIgAxADQAXAAiACwAIABcACIAUABhAHMAdAB1AHIAZQAgAHIAYQBuAGcAZQAgAGEAbgBkACAAcABhAGQAZABvAGMAawBcACIALAAgAFwAIgBQAGEAcwB0AHUAcgBlACAAcgBhAG4AZwBlACAAYQBuAGQAIABwAGEAZABkAG8AYwBrACAAKABtAD0AMQA0ACkAXAAiAFwAbgAgACAAIAAgACAAIAAgACAAfQAsACAAcgAsACAAYwApAFwAbgAgACAAIAAgACAAIAApAFwAbgAgACAAIAAgACkAXABuACAAIAApADsAXABuAFwAbg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FwAbgAgACAAIAAgAFgATABPAE8ASwBVAFAAKAAxACwAIAAoAEwAbwBvAGsAdQBwAEEAcgByAGEAeQAxAD0ATABvAG8AawB1AHAAVgBhAGwAdQBlADEAKQAqACgATABvAG8AawB1AHAAQQByAHIAYQB5ADIAPQBMAG8AbwBrAHUAcABWAGEAbAB1AGUAMgApACwAIABSAGUAdAB1AHIAbgBBAHIAcgBhAHkALAAgAFwAIgBcACI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FwAbgAgACAAIAAgAFgATABPAE8ASwBVAFAAKABMAG8AbwBrAHUAcABWAGEAbAB1AGUAMQAsACAATABvAG8AawB1AHAAQQByAHIAYQB5ADEALABcAG4AIAAgACAAIAAgACAAIAAgAFgATABPAE8ASwBVAFAAKABMAG8AbwBrAHUAcABWAGEAbAB1AGUAMgAsACAATABvAG8AawB1AHAAQQByAHIAYQB5ADIALAAgAFIAZQB0AHUAcgBuAEEAcgByAGEAe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+ADwAcwA+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+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+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SQBuAHAAdQB0AEYAdQBuAGMAdABpAG8AbgBzAF8AUABhAHMAdAB1AHIAZQBCAGUAZQBmACIALAAiAHQAZQB4AHQAIgA6ACIATABvAG8AawB1AHAATABpAHYAZQB3AGUAaQBnAGgAdABGAHIAbwBtAFMAZQBhAHMAbwBuAFwAbgA9AEwAQQBNAEIARABBACgAXABuACAAIAAgACAAUwB0AGEAdABlACwAIABSAGUAZwBpAG8AbgAsACAAUwBlAGEAcwBvAG4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ABlAH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wAbwBvAGsAdQBwAEwAaQB2AGUAdwBlAGkAZwBoAHQARgByAG8AbQBNAG8AbgB0AGgAXABuAD0ATABBAE0AQgBEAEEAKABcAG4AIAAgACAAIABTAHQAYQB0AGUALAAgAFIAZQBnAGkAbwBuACwAIABNAG8AbgB0AGg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QBvAG4AdABoAEEAcgByAGEAeQAsACAATQBvAG4AdABoAFQAbwBTAGUAYQBzAG8AbgBBAHIAcgBhAHkALABcAG4AIAAgACAAIABMAGUAdAAoAFwAbgAgACAAIAAgACAAIAAgACAATQBvAG4AdABoACwAIABUAEUAWABUACgATQBvAG4AdABoACwAIABcACIAbQBtAG0AbQBcACIAKQAsAFwAbgAgACAAIAAgACAAIAAgACAAUwB0AGEAdABlACwAIABYAEwATwBPAEsAVQBQACgAUwB0AGEAdABlACwAIABTAHQAYQB0AGUAQwBvAG0AbQBvAG4ATgBhAG0AZQBBAHIAcgBhAHkALAAgAFMAdABhAHQAZQBBAGIAYgByAGUAdgBpAGEAdABpAG8AbgBBAHIAcgBhAHkAKQAsAFwAbgAgACAAIAAgACAAIAAgACAAUwBlAGEAcwBvAG4ALAAgAFgATABPAE8ASwBVAFAAKABNAG8AbgB0AGgALAAgAE0AbwBuAHQAaABBAHIAcgBhAHkALAAgAE0AbwBuAHQAaABUAG8AUwBlAGEAcw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MAbwBuAHYAZQByAHQATQBvAG4AdABoAGwAeQBDAGEAbAB2AGkAbgBnAFQAbwBTAGUAYQBzAG8AbgBcAG4AXABuAD0AIABMAEEATQBCAEQAQQAoAFwAbgAgACAAIAAgAFMAZQBhAHMAbwBuACwAIABTAHUAbQBBAHIAcgBhAHkALAAgAEMAYQBsAHYAaQBuAGcATQBvAG4AdABoAEEAcgByAGEAeQAsACAATQBvAG4AdABoAEEAcgByAGEAeQAsACAATQBvAG4AdABoAFQAbwBTAGUAYQBzAG8AbgBBAHIAcgBhAHkALABcAG4AIAAgACAAIABMAEUAVAAoAFwAbgAgACAAIAAgACAAIAAgACAATQBvAG4AdABoAFQAZQB4AHQALAAgAFQARQBYAFQAKABDAGEAbAB2AGkAbgBnAE0AbwBuAHQAaABBAHIAcgBhAHkALAAgAFwAIgBtAG0AbQBtAFwAIgApACwAXABuACAAIAAgACAAIAAgACAAIABTAGUAYQBzAG8AbgBQAGUAcgBSAG8AdwAsACAAWABMAE8ATwBLAFUAUAAoAE0AbwBuAHQAaABUAGUAeAB0ACwAIABNAG8AbgB0AGgAQQByAHIAYQB5ACwAIABNAG8AbgB0AGgAVABvAFMAZQBhAHMAbwBuAEEAcgByAGEAeQAsACAAXAAiAFwAIgAsACAAMAApACwAXABuACAAIAAgACAAIAAgACAAIABTAFUATQAoAFMAdQBtAEEAcgByAGEAeQAgACoAIAAoAFMAZQBhAHMAbwBuAFAAZQByAFIAbwB3AD0AUwBlAGEAcwBvAG4AKQApAFwAbgAgACAAIAAgACkAXABuACkAOwAiAH0ALAB7ACIAcABhAHQAaAAiADoAIgAvAHAAcgBvAGoAZQBjAHQAcwAvAE0ATQBTAF8AUABhAHMAdAB1AHIAZQBCAGUAZQBmAF8AUwBvAGkAbA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MwAgAE0AZQB0AGgAbwBkACAAMQAgAC0AIABTAG8AaQBsACAARABpAHIAZQBjAHQAIABOADIAT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IAXwAxAF8AMwBfAF8AMQBfAEQAaQByAGUAYwB0AE4AaQB0AHIAbwB1AHMATwB4AGkAZABlAEUAbQBpAHMAcwBpAG8AbgBzAE8AbgBQAGEAcwB0AHUAcgBlAFwAbgBUAG8AdABhAGwAIABhAG4AbgB1AGEAbAAgAGQAaQByAGUAYwB0ACAAbgBpAHQAcgBvAHUAcwAgAG8AeABpAGQAZQAgAGUAbQBpAHMAcwBpAG8AbgBzACAAZgByAG8AbQAgAGEAZwByAGkAYwB1AGwAdAB1AHIAYQBsACAAcwBvAGkAbABzACAAZgByAG8AbQAgAGQAZQBwAG8AcwBpAHQAaQBvAG4AIABvAGYAIAB1AHIAaQBuAGUAIABhAG4AZAAgAGQAdQBuAGcAXABuAEUAXwBOADIATwBkAGkAcgBcAG4AdAAgAE4AMgBPAFwAbgBFAF8AewBOADIATwAsAGQAaQByAH0APQBBAEUAXABcAHQAaQBtAGUAcwAgAEUARgBfAHsAUABSAFAAfQBcAFwAdABpAG0AZQBzACAAQwBfAHsATgAyAE8AfQBcAFwAdABpAG0AZQBzACAAMQAwAF4AewAtADMAfQBcAG4AQQBFACAAPQAgAHQAbwB0AGEAbAAgAG0AYQBzAHMAIABvAGYAIABuAGkAdAByAG8AZwBlAG4AIABlAHgAYwByAGUAdABlAGQAIABvAG4AIABQAFIAUAAgAGYAbwByACAAYgBlAGUAZgAgAGMAYQB0AHQAbABlACAAKABrAGcAIABOACkAXABuAEUARgBfAFAAUgBQACAAPQAgAGUAbQBpAHMAcwBpAG8AbgAgAGYAYQBjAHQAbwByACAAZgBvAHIAIABuAGkAdAByAG8AdQBzACAAbwB4AGkAZABlACAAZgByAG8AbQAgAHUAcgBpAG4AZQAgAGEAbgBkACAAZAB1AG4AZwAgAGQAZQBwAG8AcwBpAHQAZQBkACAAdABvACAAcwBvAGkAbAAgACgAawBnACAATgAyAE8ALQBOAC8AawBnACAATgAgAGQAZQBwAG8AcwBpAHQAZQBkACkAXABuAEMAXwBOADIATwAgAD0AIABmAGEAYwB0AG8AcgAgAHQAbwAgAGMAbwBuAHYAZQByAHQAIABlAGwAZQBtAGUAbgB0AGEAbAAgAG0AYQBzAHMAIABvAGYAIABuAGkAdAByAG8AdQBzACAAbwB4AGkAZABlACAAdABvACAAbQBvAGwAZQBjAHUAbABhAHIAIABtAGEAcwBzAFwAbgAtAC0ALQAtAC0ALQAtAC0ALQAtAC0ALQAtAC0ALQAtAC0ALQAtAC0ALQAtAC0ALQAtAC0ALQAtAC0ALQAtAC0ALQAtAC0ALQAtAC0AXABuACoALwBcAG4AXABuAFYARQBFAFIARwBfADQAXwAyAF8AMQBfADMAXwBfADEAXwBEAGkAcgBlAGMAdABOAGkAdAByAG8AdQBzAE8AeABpAGQAZQBFAG0AaQBzAHMAaQBvAG4AcwBPAG4AUABhAHMAdAB1AHIAZQBcAG4AIAAgAD0ATABBAE0AQgBEAEEAKABcAG4AIAAgACAAIABBAEUALAAgAEUARgBfAFAAUgBQACwAIABDAF8ATgAyAE8ALABcAG4AIAAgACAAIABBAEUAIAAqACAARQBGAF8AUABSAFAAIAAqACAAQwBfAE4AMgBPACAAKgAgADEAMAAgAF4AIAAtADMAXABuACAAIAApADsAXABuAFwAbgBWAEUARQBSAEcAXwA0AF8AMgBfADEAXwAzAF8AXwAxAF8ARABpAHIAZQBjAHQATgBpAHQAcgBvAHUAcwBPAHgAaQBkAGUARQBtAGkAcwBzAGkAbwBuAHMATwBuAFAAYQBzAHQAdQByAGUAXwBUAGkAdABsAGUAXABuACAAIAA9AEwAQQBNAEIARABBACgAXAAiAFQAbwB0AGEAbAAgAGEAbgBuAHUAYQBsACAAZABpAHIAZQBjAHQAIABuAGkAdAByAG8AdQBzACAAbwB4AGkAZABlACAAZQBtAGkAcwBzAGkAbwBuAHMAIABmAHIAbwBtACAAYQBnAHIAaQBjAHUAbAB0AHUAcgBhAGwAIABzAG8AaQBsAHMAIABmAHIAbwBtACAAZABlAHAAbwBzAGkAdABpAG8AbgAgAG8AZgAgAHUAcgBpAG4AZQAgAGEAbgBkACAAZAB1AG4AZwBcACIAKQA7AFwAbgBcAG4AVgBFAEUAUgBHAF8ANABfADIAXwAxAF8AMwBfAF8AMQBfAEQAaQByAGUAYwB0AE4AaQB0AHIAbwB1AHMATwB4AGkAZABlAEUAbQBpAHMAcwBpAG8AbgBzAE8AbgBQAGEAcwB0AHUAcgBlAF8AVgBhAHIAaQBhAGIAbABlAFwAbgAgACAAPQBMAEEATQBCAEQAQQAoAFwAIgBFAF8ATgAyAE8AZABpAHIAXAAiACkAOwBcAG4AXABuAFYARQBFAFIARwBfADQAXwAyAF8AMQBfADMAXwBfADEAXwBEAGkAcgBlAGMAdABOAGkAdAByAG8AdQBzAE8AeABpAGQAZQBFAG0AaQBzAHMAaQBvAG4AcwBPAG4AUABhAHMAdAB1AHIAZQBfAFUAbgBpAHQAXABuACAAIAA9AEwAQQBNAEIARABBACgAXAAiAHQAIABOADIATwBcACIAKQA7AFwAbgBcAG4AVgBFAEUAUgBHAF8ANABfADIAXwAxAF8AMwBfAF8AMQBfAEQAaQByAGUAYwB0AE4AaQB0AHIAbwB1AHMATwB4AGkAZABlAEUAbQBpAHMAcwBpAG8AbgBzAE8AbgBQAGEAcwB0AHUAcgBlAF8AUwBvAHUAcgBjAGUAXABuACAAIAA9AEwAQQBNAEIARABBACgAXAAiAFYARQBFAFIARwAgADIAMAAyADYAOgAgADQALgAyAC4AMQAuADMALAAgAEUAcQB1AGEAdABpAG8AbgAgACgAMQApAFwAIgApADsAXABuAFwAbgBWAEUARQBSAEcAXwA0AF8AMgBfADEAXwAzAF8AXwAxAF8ARABpAHIAZQBjAHQATgBpAHQAcgBvAHUAcwBPAHgAaQBkAGUARQBtAGkAcwBzAGkAbwBuAHMATwBuAFAAYQBzAHQAdQByAGUAXwBOAEkAUgBSAGUAZgBlAHIAZQBuAGMAZQBcAG4AIAAgAD0ATABBAE0AQgBEAEEAKABcACIAXAAiACkAOwBcAG4AXABuAFYARQBFAFIARwBfADQAXwAyAF8AMQBfADMAXwBfADEAXwBEAGkAcgBlAGMAdABOAGkAdAByAG8AdQBzAE8AeABpAGQAZQBFAG0AaQBzAHMAaQBvAG4AcwBPAG4AUABhAHMAdAB1AHIAZQBfAEwAYQB0AGUAeABFAHEAdQBhAHQAaQBvAG4AXABuACAAIAA9AEwAQQBNAEIARABBACgAXAAiAEUAXwB7AE4AMgBPACwAZABpAHIAfQA9AEEARQBcAFwAdABpAG0AZQBzACAARQBGAF8AewBQAFIAUAB9AFwAXAB0AGkAbQBlAHMAIABDAF8AewBOADIATwB9AFwAXAB0AGkAbQBlAHMAIAAxADAAXgB7AC0AMwB9AFwAIgApADsAXABuAFwAbgBWAEUARQBSAEcAXwA0AF8AMgBfADEAXwAzAF8AXwAxAF8ARABpAHIAZQBjAHQATgBpAHQAcgBvAHUAcwBPAHgAaQBkAGUARQBtAGkAcwBzAGkAbwBuAHMATwBuAFAAYQBzAHQAdQByAGUAXwBBAHIAZwB1AG0AZQBuAHQAcwBcAG4AIAAgAD0ATABBAE0AQgBEAEEAKABcAG4AIAAgACAAIABNAEEASwBFAEEAUgBSAEEAWQAoADQALAAgADIALABcAG4AIAAgACAAIAAgACAATABBAE0AQgBEAEEAKAByACwAYwAsAFwAbgAgACAAIAAgACAAIAAgACAASQBOAEQARQBYACgAewBcAG4AIAAgACAAIAAgACAAIAAgACAAIABcACIAQQBFAFwAIgAsACAAXAAiAHQAbwB0AGEAbAAgAG0AYQBzAHMAIABvAGYAIABuAGkAdAByAG8AZwBlAG4AIABlAHgAYwByAGUAdABlAGQAIABvAG4AIABQAFIAUAAgAGYAbwByACAAYgBlAGUAZgAgAGMAYQB0AHQAbABlACAAKABrAGcAIABOACkAXAAiADsAXABuACAAIAAgACAAIAAgACAAIAAgACAAXAAiAEUARgBfAFAAUgBQAFwAIgAsACAAXAAiAGUAbQBpAHMAcwBpAG8AbgAgAGYAYQBjAHQAbwByACAAZgBvAHIAIABuAGkAdAByAG8AdQBzACAAbwB4AGkAZABlACAAZgByAG8AbQAgAHUAcgBpAG4AZQAgAGEAbgBkACAAZAB1AG4AZwAgAGQAZQBwAG8AcwBpAHQAZQBkACAAdABvACAAcwBvAGkAbAAgACgAawBnACAATgAyAE8ALQBOAC8AawBnACAATgAgAGQAZQBwAG8AcwBpAHQAZQBkACkAXAAiADsAXABuACAAIAAgACAAIAAgACAAIAAgACAAXAAiAEMAXwBOADIATwBcACIALAAgAFwAIgBmAGEAYwB0AG8AcgAgAHQAbwAgAGMAbwBuAHYAZQByAHQAIABlAGwAZQBtAGUAbgB0AGEAbAAgAG0AYQBzAHMAIABvAGYAIABuAGkAdAByAG8AdQBzACAAbwB4AGkAZABlACAAdABvACAAbQBvAGwAZQBjAHUAbABhAHIAIABtAGEAcwBzAFwAIgA7AFwAbgAgACAAIAAgACAAIAAgACAAIAAgAFwAIgB6AFwAIgAsACAAXAAiAHcAZQB0ACAAbwByACAAZAByAHkAIABjAGwAaQBtAGEAdABlACAAegBvAG4AZ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yAF8AVABvAHQAYQBsAE4AaQB0AHIAbwBnAGUAbgBFAHgAYwByAGUAdABlAGQAVABvAFAAYQBzAHQAdQByAGUAUgBhAG4AZwBlAEEAbgBkAFAAYQBkAGQAbwBjAGsAXABuAFQAbwB0AGEAbAAgAG4AaQB0AHIAbwBnAGUAbgAgAGUAeABjAHIAZQB0AGUAZAAgAHQAbwAgAHAAYQBzAHQAdQByAGUALAAgAHIAYQBuAGcAZQAgAGEAbgBkACAAcABhAGQAZABvAGMAawBcAG4AQQBFAFwAbgBrAGcAIABOAFwAbgBBAEUAPQBcAFwAcwB1AG0AXwB7AGoAfQBcAFwAcwB1AG0AXwB7AGsAfQBcAFwAcwB1AG0AXwB7AGwAfQAoAE4AXwB7AGoAawBsAH0AXABcAHQAaQBtAGUAcwAgAE4ARQBfAHsAagBrAGwAfQBcAFwAdABpAG0AZQBzACAARABfAGoAKQBcAG4ATgBfAGoAawBsACAAPQAgAG4AdQBtAGIAZQByACAAbwBmACAAYgBlAGUAZgAgAGMAYQB0AHQAbABlACAAYgB5ACAAdABpAG0AZQAtAHAAZQByAGkAbwBkACwAIABjAGwAYQBzAHMAIABhAG4AZAAgAHMAdQBiAGMAbABhAHMAcwAgACgAaABlAGEAZAApAFwAbgBOAEUAXwBqAGsAbAAgAD0AIABuAGkAdAByAG8AZwBlAG4AIABlAHgAYwByAGUAdABlAGQAIABpAG4AIABlAGEAYwBoACAAdABpAG0AZQAtAHAAZQByAGkAbwBkACwAIABiAHkAIABlAGEAYwBoACAAYwBsAGEAcwBzACAAYQBuAGQAIABzAHUAYgBjAGwAYQBzAHMAIAAoAGsAZwAgAE4ALwBoAGUAYQBkAC8AZABhAHkAKQBcAG4ARABfAGoAIAA9ACAAbgB1AG0AYgBlAHIAIABvAGYAIABkAGEAeQBzACAAaQBuACAAZQBhAGMAaAAgAHQAaQBtAGUALQBwAGUAcgBpAG8AZAAgACgAZABhAHkAcwApAFwAbgAtAC0ALQAtAC0ALQAtAC0ALQAtAC0ALQAtAC0ALQAtAC0ALQAtAC0ALQAtAC0ALQAtAC0ALQAtAC0ALQAtAC0ALQAtAC0ALQAtAC0AXABuACoALwBcAG4AXABuAFYARQBFAFIARwBfADQAXwAyAF8AMQBfADMAXwBfADIAXwBUAG8AdABhAGwATgBpAHQAcgBvAGcAZQBuAEUAeABjAHIAZQB0AGUAZABUAG8AUABhAHMAdAB1AHIAZQBSAGEAbgBnAGUAQQBuAGQAUABhAGQAZABvAGMAawBcAG4AIAAgAD0ATABBAE0AQgBEAEEAKABcAG4AIAAgACAAIABOAF8AagBrAGwALAAgAE4ARQBfAGoAawBsACwAIABEAF8AagAsAFwAbgAgACAAIAAgAFMAVQBNACgAKABOAF8AagBrAGwAIAAqACAATgBFAF8AagBrAGwAKQAgACoAIABEAF8AagApAFwAbgAgACAAKQA7AFwAbgBcAG4AVgBFAEUAUgBHAF8ANABfADIAXwAxAF8AMwBfAF8AMgBfAFQAbwB0AGEAbABOAGkAdAByAG8AZwBlAG4ARQB4AGMAcgBlAHQAZQBkAFQAbwBQAGEAcwB0AHUAcgBlAFIAYQBuAGcAZQBBAG4AZABQAGEAZABkAG8AYwBrAF8AVABpAHQAbABlAFwAbgAgACAAPQBMAEEATQBCAEQAQQAoAFwAIgBUAG8AdABhAGwAIABuAGkAdAByAG8AZwBlAG4AIABlAHgAYwByAGUAdABlAGQAIAB0AG8AIABwAGEAcwB0AHUAcgBlACwAIAByAGEAbgBnAGUAIABhAG4AZAAgAHAAYQBkAGQAbwBjAGsAXAAiACkAOwBcAG4AXABuAFYARQBFAFIARwBfADQAXwAyAF8AMQBfADMAXwBfADIAXwBUAG8AdABhAGwATgBpAHQAcgBvAGcAZQBuAEUAeABjAHIAZQB0AGUAZABUAG8AUABhAHMAdAB1AHIAZQBSAGEAbgBnAGUAQQBuAGQAUABhAGQAZABvAGMAawBfAFYAYQByAGkAYQBiAGwAZQBcAG4AIAAgAD0ATABBAE0AQgBEAEEAKABcACIAQQBFAFwAIgApADsAXABuAFwAbgBWAEUARQBSAEcAXwA0AF8AMgBfADEAXwAzAF8AXwAyAF8AVABvAHQAYQBsAE4AaQB0AHIAbwBnAGUAbgBFAHgAYwByAGUAdABlAGQAVABvAFAAYQBzAHQAdQByAGUAUgBhAG4AZwBlAEEAbgBkAFAAYQBkAGQAbwBjAGsAXwBVAG4AaQB0AFwAbgAgACAAPQBMAEEATQBCAEQAQQAoAFwAIgBrAGcAIABOAFwAIgApADsAXABuAFwAbgBWAEUARQBSAEcAXwA0AF8AMgBfADEAXwAzAF8AXwAyAF8AVABvAHQAYQBsAE4AaQB0AHIAbwBnAGUAbgBFAHgAYwByAGUAdABlAGQAVABvAFAAYQBzAHQAdQByAGUAUgBhAG4AZwBlAEEAbgBkAFAAYQBkAGQAbwBjAGsAXwBTAG8AdQByAGMAZQBcAG4AIAAgAD0ATABBAE0AQgBEAEEAKABcACIAVgBFAEUAUgBHACAAMgAwADIANgA6ACAANAAuADIALgAxAC4AMwAsACAARQBxAHUAYQB0AGkAbwBuACAAKAAyACkAXAAiACkAOwBcAG4AXABuAFYARQBFAFIARwBfADQAXwAyAF8AMQBfADMAXwBfADIAXwBUAG8AdABhAGwATgBpAHQAcgBvAGcAZQBuAEUAeABjAHIAZQB0AGUAZABUAG8AUABhAHMAdAB1AHIAZQBSAGEAbgBnAGUAQQBuAGQAUABhAGQAZABvAGMAawBfAE4ASQBSAFIAZQBmAGUAcgBlAG4AYwBlAFwAbgAgACAAPQBMAEEATQBCAEQAQQAoAFwAIgBcACIAKQA7AFwAbgBcAG4AVgBFAEUAUgBHAF8ANABfADIAXwAxAF8AMwBfAF8AMgBfAFQAbwB0AGEAbABOAGkAdAByAG8AZwBlAG4ARQB4AGMAcgBlAHQAZQBkAFQAbwBQAGEAcwB0AHUAcgBlAFIAYQBuAGcAZQBBAG4AZABQAGEAZABkAG8AYwBrAF8ATABhAHQAZQB4AEUAcQB1AGEAdABpAG8AbgBcAG4AIAAgAD0ATABBAE0AQgBEAEEAKABcACIAQQBFAD0AXABcAHMAdQBtAF8AewBqAH0AXABcAHMAdQBtAF8AewBrAH0AXABcAHMAdQBtAF8AewBsAH0AKABOAF8AewBqAGsAbAB9AFwAXAB0AGkAbQBlAHMAIABOAEUAXwB7AGoAawBsAH0AXABcAHQAaQBtAGUAcwAgAEQAXwBqACkAXAAiACkAOwBcAG4AXABuAFYARQBFAFIARwBfADQAXwAyAF8AMQBfADMAXwBfADIAXwBUAG8AdABhAGwATgBpAHQAcgBvAGcAZQBuAEUAeABjAHIAZQB0AGUAZABUAG8AUABhAHMAdAB1AHIAZQBSAGEAbgBnAGUAQQBuAGQAUABhAGQAZABvAGMAawBfAEEAcgBnAHUAbQBlAG4AdABzAFwAbgAgACAAPQBMAEEATQBCAEQAQQAoAFwAbgAgACAAIAAgAE0AQQBLAEUAQQBSAFIAQQBZACgAMwAsACAAMgAsAFwAbgAgACAAIAAgACAAIABMAEEATQBCAEQAQQAoAHIALABjACwAXABuACAAIAAgACAAIAAgACAAIABJAE4ARABFAFgAKAB7AFwAbgAgACAAIAAgACAAIAAgACAAIAAgAFwAIgBOAF8AagBrAGwAXAAiACwAIABcACIAbgB1AG0AYgBlAHIAIABvAGYAIABiAGUAZQBmACAAYwBhAHQAdABsAGUAIABiAHkAIAB0AGkAbQBlAC0AcABlAHIAaQBvAGQALAAgAGMAbABhAHMAcwAgAGEAbgBkACAAcwB1AGIAYwBsAGEAcwBzACAAKABoAGUAYQBkACkAXAAiADsAXABuACAAIAAgACAAIAAgACAAIAAgACAAXAAiAE4ARQBfAGoAawBsAFwAIgAsACAAXAAiAG4AaQB0AHIAbwBnAGUAbgAgAGUAeABjAHIAZQB0AGUAZAAgAGkAbgAgAGUAYQBjAGgAIAB0AGkAbQBlAC0AcABlAHIAaQBvAGQALAAgAGIAeQAgAGUAYQBjAGgAIABjAGwAYQBzAHMAIABhAG4AZAAgAHMAdQBiAGMAbABhAHMAcwAgACgAawBnACAATgAvAGgAZQBhAGQALwBkAGEAeQApAFwAIgA7AFwAbgAgACAAIAAgACAAIAAgACAAIAAgAFwAIgBEAF8AagBcACIALAAgAFwAIgBuAHUAbQBiAGUAcgAgAG8AZgAgAGQAYQB5AHMAIABpAG4AIABlAGEAYwBoACAAdABpAG0AZQAtAHAAZQByAGkAbwBkACAAKABkAGEAeQBz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MwBfAE4AaQB0AHIAbwBnAGUAbgBFAHgAYwByAGUAdABlAGQAXABuAE4AaQB0AHIAbwBnAGUAbgAgAGUAeABjAHIAZQB0AGUAZABcAG4ATgBFAF8AagBrAGwAXABuAGsAZwAgAE4ALwBoAGUAYQBkAC8AZABhAHkAXABuAE4ARQBfAHsAagBrAGwAfQA9AFwAXABmAHIAYQBjAHsASQBfAHsAagBrAGwAfQBcAFwAdABpAG0AZQBzACAAQwBQAF8AagB9AHsANgAuADIANQB9ACsAXABcAGYAcgBhAGMAewAwAC4AMAAzADIAXABcAHQAaQBtAGUAcwAgAE0AQwBfAHsAagBrAD0AMQAsADMALAA2AH0AfQB7ADYALgAzADgAfQAtAE4AUgBfAHsAagBrAGwAfQAtAFwAXABmAHIAYQBjAHsAMQAuADEAXABcAHQAaQBtAGUAcwAgADEAMABeAHsALQA0AH0AXABcAHQAaQBtAGUAcwAgAFcAXwB7AGoAawBsAH0AXgB7ADAALgA3ADUAfQB9AHsANgAuADIANQB9AFwAbgBJAF8AagBrAGwAIAA9ACAAZAByAHkAIABtAGEAdAB0AGUAcgAgAGkAbgB0AGEAawBlACAAYQBzACAAYwBhAGwAYwB1AGwAYQB0AGUAZAAgAGkAbgAgAEMAaABhAHAAdABlAHIAIAAzACAAUwBlAGMAdABpAG8AbgAgADMALgAyAC4AMQAgACgAawBnACAARABNAC8AaABlAGEAZAAvAGQAYQB5ACkAXABuAEMAUABfAGoAIAA9ACAAYwByAHUAZABlACAAcAByAG8AdABlAGkAbgAgAGMAbwBuAHQAZQBuAHQAIABvAGYAIABkAHIAeQAgAG0AYQB0AHQAZQByACAAaQBuAHQAYQBrAGUAXABuAE0AQwBfAGoAawAxADMANgAgAD0AIABtAGkAbABrACAAaQBuAHQAYQBrAGUAIAAoAGsAZwAvAGgAZQBhAGQALwBkAGEAeQApAFwAbgBOAFIAXwBqAGsAbAAgAD0AIAB0AGgAZQAgAGEAbQBvAHUAbgB0ACAAbwBmACAAbgBpAHQAcgBvAGcAZQBuACAAcgBlAHQAYQBpAG4AZQBkACAAYgB5ACAAdABoAGUAIABiAG8AZAB5ACAAKABrAGcAIABOAC8AaABlAGEAZAAvAGQAYQB5ACkAXABuAFcAXwBqAGsAbAAgAD0AIABsAGkAdgBlAHcAZQBpAGcAaAB0ACAAKABrAGcALwBoAGUAYQBkACkAXABuAC0ALQAtAC0ALQAtAC0ALQAtAC0ALQAtAC0ALQAtAC0ALQAtAC0ALQAtAC0ALQAtAC0ALQAtAC0ALQAtAC0ALQAtAC0ALQAtAC0ALQBcAG4AKgAvAFwAbgBcAG4AVgBFAEUAUgBHAF8ANABfADIAXwAxAF8AMwBfAF8AMwBfAE4AaQB0AHIAbwBnAGUAbgBFAHgAYwByAGUAdABlAGQAXABuACAAIAA9AEwAQQBNAEIARABBACgAXABuACAAIAAgACAASQBfAGoAawBsACwAIABDAFAAXwBqACwAIABNAEMAXwBqAGsAMQAzADYALAAgAE4AUgBfAGoAawBsACwAIABXAF8AagBrAGwALABcAG4AIAAgACAAIAAoACgASQBfAGoAawBsACAAKgAgAEMAUABfAGoAKQAgAC8AIAA2AC4AMgA1ACkAIAArACAAKAAoADAALgAwADMAMgAgACoAIABNAEMAXwBqAGsAMQAzADYAKQAgAC8AIAA2AC4AMwA4ACkAIAAtACAATgBSAF8AagBrAGwAIAAtACAAKAAoADEALgAxACAAKgAgADEAMAAgAF4AIAAtADQAIAAqACAAVwBfAGoAawBsACAAXgAgADAALgA3ADUAKQAgAC8AIAA2AC4AMgA1ACkAXABuACAAIAApADsAXABuAFwAbgBWAEUARQBSAEcAXwA0AF8AMgBfADEAXwAzAF8AXwAzAF8ATgBpAHQAcgBvAGcAZQBuAEUAeABjAHIAZQB0AGUAZABfAFQAaQB0AGwAZQBcAG4AIAAgAD0ATABBAE0AQgBEAEEAKABcACIATgBpAHQAcgBvAGcAZQBuACAAZQB4AGMAcgBlAHQAZQBkAFwAIgApADsAXABuAFwAbgBWAEUARQBSAEcAXwA0AF8AMgBfADEAXwAzAF8AXwAzAF8ATgBpAHQAcgBvAGcAZQBuAEUAeABjAHIAZQB0AGUAZABfAFYAYQByAGkAYQBiAGwAZQBcAG4AIAAgAD0ATABBAE0AQgBEAEEAKABcACIATgBFAF8AagBrAGwAXAAiACkAOwBcAG4AXABuAFYARQBFAFIARwBfADQAXwAyAF8AMQBfADMAXwBfADMAXwBOAGkAdAByAG8AZwBlAG4ARQB4AGMAcgBlAHQAZQBkAF8AVQBuAGkAdABcAG4AIAAgAD0ATABBAE0AQgBEAEEAKABcACIAawBnACAATgAvAGgAZQBhAGQALwBkAGEAeQBcACIAKQA7AFwAbgBcAG4AVgBFAEUAUgBHAF8ANABfADIAXwAxAF8AMwBfAF8AMwBfAE4AaQB0AHIAbwBnAGUAbgBFAHgAYwByAGUAdABlAGQAXwBTAG8AdQByAGMAZQBcAG4AIAAgAD0ATABBAE0AQgBEAEEAKABcACIAVgBFAEUAUgBHACAAMgAwADIANgA6ACAANAAuADIALgAxAC4AMwAsACAARQBxAHUAYQB0AGkAbwBuACAAKAAzACkAXAAiACkAOwBcAG4AXABuAFYARQBFAFIARwBfADQAXwAyAF8AMQBfADMAXwBfADMAXwBOAGkAdAByAG8AZwBlAG4ARQB4AGMAcgBlAHQAZQBkAF8ATgBJAFIAUgBlAGYAZQByAGUAbgBjAGUAXABuACAAIAA9AEwAQQBNAEIARABBACgAXAAiAFwAIgApADsAXABuAFwAbgBWAEUARQBSAEcAXwA0AF8AMgBfADEAXwAzAF8AXwAzAF8ATgBpAHQAcgBvAGcAZQBuAEUAeABjAHIAZQB0AGUAZABfAEwAYQB0AGUAeABFAHEAdQBhAHQAaQBvAG4AXABuACAAIAA9AEwAQQBNAEIARABBACgAXAAiAE4ARQBfAHsAagBrAGwAfQA9ACAAKABJAF8AewBqAGsAbAB9AFwAXAB0AGkAbQBlAHMAIABDAFAAXwBqACAAXABcAGQAaQB2ACAANgAuADIANQApACAAIAArACAAKAAwAC4AMAAzADIAXABcAHQAaQBtAGUAcwAgAE0AQwBfAHsAagBrAD0AMQAsADMALAA2AH0AIABcAFwAZABpAHYAIAA2AC4AMwA4ACkAIAAgAC0AIABOAFIAXwB7AGoAawBsAH0AIAAtACAAXABcAGwAZQBmAHQAWwAgACgAMQAuADEAXABcAHQAaQBtAGUAcwAgADEAMABeAHsALQA0AH0AXABcAHQAaQBtAGUAcwAgAFcAXwB7AGoAawBsAH0AXgB7ADAALgA3ADUAfQApACAAXABcAGQAaQB2ACAAIAA2AC4AMgA1ACAAXABcAHIAaQBnAGgAdABdAFwAIgApADsAXABuAFwAbgBWAEUARQBSAEcAXwA0AF8AMgBfADEAXwAzAF8AXwAzAF8ATgBpAHQAcgBvAGcAZQBuAEUAeABjAHIAZQB0AGUAZABfAEEAcgBnAHUAbQBlAG4AdABzAFwAbgAgACAAPQBMAEEATQBCAEQAQQAoAFwAbgAgACAAIAAgAE0AQQBLAEUAQQBSAFIAQQBZACgANQAsACAAMg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AgACgAawBnACAARABNAC8AaABlAGEAZAAvAGQAYQB5ACkAXAAiADsAXABuACAAIAAgACAAIAAgACAAIAAgACAAXAAiAEMAUABfAGoAXAAiACwAIABcACIAYwByAHUAZABlACAAcAByAG8AdABlAGkAbgAgAGMAbwBuAHQAZQBuAHQAIABvAGYAIABkAHIAeQAgAG0AYQB0AHQAZQByACAAaQBuAHQAYQBrAGUAXAAiADsAXABuACAAIAAgACAAIAAgACAAIAAgACAAXAAiAE0AQwBfAGoAawAxADMANgBcACIALAAgAFwAIgBtAGkAbABrACAAaQBuAHQAYQBrAGUAIAAoAGsAZwAvAGgAZQBhAGQALwBkAGEAeQApAFwAIgA7AFwAbgAgACAAIAAgACAAIAAgACAAIAAgAFwAIgBOAFIAXwBqAGsAbABcACIALAAgAFwAIgB0AGgAZQAgAGEAbQBvAHUAbgB0ACAAbwBmACAAbgBpAHQAcgBvAGcAZQBuACAAcgBlAHQAYQBpAG4AZQBkACAAYgB5ACAAdABoAGUAIABiAG8AZAB5ACAAKABrAGcAIABOAC8AaABlAGEAZAAvAGQAYQB5ACkAXAAiADsAXABuACAAIAAgACAAIAAgACAAIAAgACAAXAAiAFcAXwBqAGsAbABcACIALAAgAFwAIgBsAGkAdgBlAHcAZQBpAGcAaAB0ACAAKABrAGcALwBoAGUAYQBk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MgAsAFwAbgAgACAAIAAgACAAIABMAEEATQBCAEQAQQAoAHIALABjACwAXABuACAAIAAgACAAIAAgACAAIABJAE4ARABFAFgAKAB7AFwAbgAgACAAIAAgACAAIAAgACAAIAAgAFwAIgBNAFAAXwBqAGsANQBcACIALAAgAFwAIgBtAGkAbABrACAAcAByAG8AZAB1AGMAdABpAG8AbgAgACgAawBnAC8AaABlAGEAZAAvAGQAYQB5ACkAXAAiADsAXABuACAAIAAgACAAIAAgACAAIAAgACAAXAAiAEwAXwBqAGsAbABcACIALAAgAFwAIgBpAG4AdABhAGsAZQAgAHIAZQBsAGEAdABpAHYAZQAgAHQAbwAgAHQAaABhAHQAIABuAGUAZQBkAGUAZAAgAGYAbwByACAAbQBhAGkAbgB0AGUAbgBhAG4AYwBlAFwAIgA7AFwAbgAgACAAIAAgACAAIAAgACAAIAAgAFwAIgBaAF8AagBrAGwAXAAiACwAIABcACIAcgBlAGwAYQB0AGkAdgBlACAAcwBpAHoAZQBcACIAOwBcAG4AIAAgACAAIAAgACAAIAAgACAAIABcACIATABXAEcAXwBqAGsAbABcACIALAAgAFwAIgBsAGkAdgBlAHcAZQBpAGcAaAB0ACAAZwBhAGkAbgAgACgAawBn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Mg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7AFwAbgAgACAAIAAgACAAIAAgACAAIAAgAFwAIgBEAE0AUABfAGoAawA1AFwAIgAsACAAXAAiAGQAYQBpAGwAeQAgAG0AaQBsAGsAIABwAHIAbwBkAHUAYwB0AGkAbwBu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Mg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7AFwAbgAgACAAIAAgACAAIAAgACAAIAAgAFwAIgBMAEMAXwBqAGsANQBwAHIAZQB2AFwAIgAsACAAXAAiAHAAcgBvAHAAbwByAHQAaQBvAG4AIABvAGYAIABjAG8AdwBzACAAZwByAGUAYQB0AGUAcgAgAHQAaABhAG4AIAAyACAAeQBlAGEAcgBzACAAbABhAGMAdABhAHQAaQBuAGcAIABmAG8AcgAgAHQAaABlACAAcwBlAGEAcwBvAG4AIABhAGYAdABlAHIAIABjAGEAbAB2AGkAbgBnAFwAIgA7AFwAbgAgACAAIAAgACAAIAAgACAAIAAgAFwAIgBEAE0AUABfAGoAawA1AGMAYQBsAHYAXAAiACwAIABcACIAZABhAGkAbAB5ACAAbQBpAGwAawAgAHAAcgBvAGQAdQBjAHQAaQBvAG4AIABmAG8AcgAgAHQAaABlACAAcwBlAGEAcwBvAG4AIABvAGYAIABjAGEAbAB2AGkAbgBnACAAKABrAGcALwBoAGUAYQBkAC8AZABhAHkAKQBcACIAOwBcAG4AIAAgACAAIAAgACAAIAAgACAAIABcACIARABNAFAAXwBqAGsANQBhAGYAdABlAHIAXAAiACwAIABcACIAZABhAGkAbAB5ACAAbQBpAGwAawAgAHAAcgBvAGQAdQBjAHQAaQBvAG4AIABmAG8AcgAgAHQAaABlACAAcwBlAGEAcwBvAG4AIABhAGYAdABlAHIAIABjAGEAbAB2AGkAbgBn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VwBfAGoAawBsAFwAIgAsACAAXAAiAGwAaQB2AGUAdwBlAGkAZwBoAHQAIAAoAGsAZwAvAGgAZQBhAGQ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MgAsAFwAbgAgACAAIAAgACAAIABMAEEATQBCAEQAQQAoAHIALABjACwAXABuACAAIAAgACAAIAAgACAAIABJAE4ARABFAFgAKAB7AFwAbgAgACAAIAAgACAAIAAgACAAIAAgAFwAIgBXAF8AagBrAGwAXAAiACwAIABcACIAbABpAHYAZQB3AGUAaQBnAGgAdAAgACgAawBnACkAXAAiADsAXABuACAAIAAgACAAIAAgACAAIAAgACAAXAAiAFMAUgBXAF8AawBcACIALAAgAFwAIgBzAHQAYQBuAGQAYQByAGQAIAByAGUAZgBlAHIAZQBuAGMAZQAgAHcAZQBpAGcAaAB0ACAAKABrAGcAKQBcACIAOwBcAG4AIAAgACAAIAAgACAAIAAgACAAIABcACIAaQBcACIALAAgAFwAIgBzAHQAYQB0AGU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I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AgACgAawBnACAATgApAFwAIgA7AFwAbgAgACAAIAAgACAAIAAgACAAIAAgAFwAIgBFAEYAXwBOADIATwBcACIALAAgAFwAIgBuAGkAdAByAG8AdQBzACAAbwB4AGkAZABlACAAZQBtAGkAcwBzAGkAbwBuACAAZgBhAGMAdABvAHIAIABmAG8AcgAgAGEAdABtAG8AcwBwAGgAZQByAGkAYwAgAGQAZQBwAG8AcwBpAHQAaQBvAG4AIAAoAGsAZwAgAE4AMgBPAC0ATgAvAGsAZwAgAE4AKQBcACIAOwBcAG4AIAAgACAAIAAgACAAIAAgACAAIABcACIAQwBfAE4AMgBPAFwAIgAsACAAXAAiAGYAYQBjAHQAbwByACAAdABvACAAYwBvAG4AdgBlAHIAdAAgAGUAbABlAG0AZQBuAHQAYQBsACAAbQBhAHMAcwAgAG8AZgAgAE4AMgBPACAAdABvACAAbQBvAGwAZQBjAHUAbABhAHIAIABtAGEAcwBzAFwAIgA7AFwAbgAgACAAIAAgACAAIAAgACAAIAAgAFwAIgBqAFwAIgAsACAAXAAiAHAAcgBvAGQAdQBjAHQAaQBvAG4AIABzAHkAcwB0AGUAbQBcACIAOwBcAG4AIAAgACAAIAAgACAAIAAgACAAIABcACIAaQBcACIALAAgAFwAIgBpAHIAcgBpAGcAYQB0AGkAbwBuACAAbQBlAHQAaABvAGQAXAAiADsAXABuACAAIAAgACAAIAAgACAAIAAgACAAXAAiAHIAXAAiACwAIABcACIAcgBhAGkAbgBmAGEAbABsACAAegBvAG4AZQBcACIAXABuACAAIAAgACAAIAAgACAAIAB9ACwAIAByACwAIABjACkAXABuACAAIAAgACAAIAAgACkAXABuACAAIAAgACAAKQBcAG4AIAAgACkAOwBcAG4AXABuAC8AKgBcAG4ALQAtAC0ALQAtAC0ALQAtAC0ALQAtAC0ALQAtAC0ALQAtAC0ALQAtAC0ALQAtAC0ALQAtAC0ALQAtAC0ALQAtAC0ALQAtAC0ALQAtAFwAbgBWAEUARQBSAEcAXwA0AF8AMgBfADEAXwA1AF8AXwAyAF8ATQBhAHMAcwBPAGYATgBpAHQAcgBvAGcAZQBuAFYAbwBsAGEAdABpAGwAaQBzAGUAZABPAG4AUABhAHMAdAB1AHIAZQBcAG4ATQBhAHMAcwAgAG8AZgAgAG4AaQB0AHIAbwBnAGUAbgAgAHYAbwBsAGEAdABpAGwAaQBzAGUAZABcAG4ATQBfAHYAbwBsAFwAbgBrAGcAIABOAFwAbgBNAF8AewB2AG8AbAB9AD0AQQBFAFwAXAB0AGkAbQBlAHMAIABGAHIAYQBjAEcAQQBTAE0AcwBvAGkAbABcAG4AQQBFACAAPQAgAHQAbwB0AGEAbAAgAG0AYQBzAHMAIABvAGYAIABuAGkAdAByAG8AZwBlAG4AIABlAHgAYwByAGUAdABlAGQAIABvAG4AIABQAFIAUAAgAGYAbwByACAAYgBlAGUAZgAgAGMAYQB0AHQAbABl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gBfADEAXwA1AF8AXwAyAF8ATQBhAHMAcwBPAGYATgBpAHQAcgBvAGcAZQBuAFYAbwBsAGEAdABpAGwAaQBzAGUAZABPAG4AUABhAHMAdAB1AHIAZQBcAG4AIAAgAD0ATABBAE0AQgBEAEEAKABcAG4AIAAgACAAIABBAEUALAAgAEYAcgBhAGMARwBBAFMATQBzAG8AaQBsACwAXABuACAAIAAgACAAQQBFACAAKgAgAEYAcgBhAGMARwBBAFMATQBzAG8AaQBsAFwAbgAgACAAKQA7AFwAbgBcAG4AVgBFAEUAUgBHAF8ANABfADIAXwAxAF8ANQBfAF8AMgBfAE0AYQBzAHMATwBmAE4AaQB0AHIAbwBnAGUAbgBWAG8AbABhAHQAaQBsAGkAcwBlAGQATwBuAFAAYQBzAHQAdQByAGUAXwBUAGkAdABsAGUAXABuACAAIAA9AEwAQQBNAEIARABBACgAXAAiAE0AYQBzAHMAIABvAGYAIABuAGkAdAByAG8AZwBlAG4AIAB2AG8AbABhAHQAaQBsAGkAcwBlAGQAXAAiACkAOwBcAG4AXABuAFYARQBFAFIARwBfADQAXwAyAF8AMQBfADUAXwBfADIAXwBNAGEAcwBzAE8AZgBOAGkAdAByAG8AZwBlAG4AVgBvAGwAYQB0AGkAbABpAHMAZQBkAE8AbgBQAGEAcwB0AHUAcgBlAF8AVgBhAHIAaQBhAGIAbABlAFwAbgAgACAAPQBMAEEATQBCAEQAQQAoAFwAIgBNAF8AdgBvAGwAXAAiACkAOwBcAG4AXABuAFYARQBFAFIARwBfADQAXwAyAF8AMQBfADUAXwBfADIAXwBNAGEAcwBzAE8AZgBOAGkAdAByAG8AZwBlAG4AVgBvAGwAYQB0AGkAbABpAHMAZQBkAE8AbgBQAGEAcwB0AHUAcgBlAF8AVQBuAGkAdABcAG4AIAAgAD0ATABBAE0AQgBEAEEAKABcACIAawBnACAATgBcACIAKQA7AFwAbgBcAG4AVgBFAEUAUgBHAF8ANABfADIAXwAxAF8ANQBfAF8AMgBfAE0AYQBzAHMATwBmAE4AaQB0AHIAbwBnAGUAbgBWAG8AbABhAHQAaQBsAGkAcwBlAGQATwBuAFAAYQBzAHQAdQByAGUAXwBTAG8AdQByAGMAZQBcAG4AIAAgAD0ATABBAE0AQgBEAEEAKABcACIAVgBFAEUAUgBHACAAMgAwADIANgA6ACAANAAuADIALgAxAC4ANQAsACAARQBxAHUAYQB0AGkAbwBuACAAKAAyACkAXAAiACkAOwBcAG4AXABuAFYARQBFAFIARwBfADQAXwAyAF8AMQBfADUAXwBfADIAXwBNAGEAcwBzAE8AZgBOAGkAdAByAG8AZwBlAG4AVgBvAGwAYQB0AGkAbABpAHMAZQBkAE8AbgBQAGEAcwB0AHUAcgBlAF8ATgBJAFIAUgBlAGYAZQByAGUAbgBjAGUAXABuACAAIAA9AEwAQQBNAEIARABBACgAXAAiAFwAIgApADsAXABuAFwAbgBWAEUARQBSAEcAXwA0AF8AMgBfADEAXwA1AF8AXwAyAF8ATQBhAHMAcwBPAGYATgBpAHQAcgBvAGcAZQBuAFYAbwBsAGEAdABpAGwAaQBzAGUAZABPAG4AUABhAHMAdAB1AHIAZQBfAEwAYQB0AGUAeABFAHEAdQBhAHQAaQBvAG4AXABuACAAIAA9AEwAQQBNAEIARABBACgAXAAiAE0AXwB7AHYAbwBsAH0APQBBAEUAXABcAHQAaQBtAGUAcwAgAEYAcgBhAGMARwBBAFMATQBzAG8AaQBsAFwAIgApADsAXABuAFwAbgBWAEUARQBSAEcAXwA0AF8AMgBfADEAXwA1AF8AXwAyAF8ATQBhAHMAcwBPAGYATgBpAHQAcgBvAGcAZQBuAFYAbwBsAGEAdABpAGwAaQBzAGUAZABPAG4AUABhAHMAdAB1AHIAZQBfAEEAcgBnAHUAbQBlAG4AdABzAFwAbgAgACAAPQBMAEEATQBCAEQAQQAoAFwAbgAgACAAIAAgAE0AQQBLAEUAQQBSAFIAQQBZACgAM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IAAoACgAawBnACAATgBIADMALQBOACAAKwAgAE4ATwB4AC0ATgApAC8AawBnACAATgAp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I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IAAoAGsAZwAgAE4AKQBcACIAOwBcAG4AIAAgACAAIAAgACAAIAAgACAAIABcACIARQBGAF8AbABlAGEAYwBoAFwAIgAsACAAXAAiAGUAbQBpAHMAcwBpAG8AbgAgAGYAYQBjAHQAbwByACAAZgBvAHIAIABsAGUAYQBjAGgAaQBuAGcAIABhAG4AZAAgAHIAdQBuAG8AZgBmACAAKABrAGcAIABOADIATwAtAE4ALwBrAGcAIABOACkAXAAiADsAXABuACAAIAAgACAAIAAgACAAIAAgACAAXAAiAEMAXwBOADIATwBcACIALAAgAFwAIgBmAGEAYwB0AG8AcgAgAHQAbwAgAGMAbwBuAHYAZQByAHQAIABlAGwAZQBtAGUAbgB0AGEAbAAgAG0AYQBzAHMAIABvAGYAIABOADIATwAgAHQAbwAgAG0AbwBsAGUAYwB1AGwAYQByACAAbQBhAHMAcw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XAGUAdABcACIALAAgAFwAIgBmAHIAYQBjAHQAaQBvAG4AIABvAGYAIABOACAAYQB2AGEAaQBsAGEAYgBsAGUAIABmAG8AcgAgAGwAZQBhAGMAaABpAG4AZwAgAGEAbgBkACAAcgB1AG4AbwBmAGYAXAAiADsAXABuACAAIAAgACAAIAAgACAAIAAgACAAXAAiAEYAcgBhAGMATABFAEEAQwBIAFwAIgAsACAAXAAiAGYAcgBhAGMAdABpAG8AbgAgAG8AZgAgAGEAbABsACAATgAgAHQAaABhAHQAIABpAHMAIABsAG8AcwB0ACAAdABoAHIAbwB1AGcAaAAgAGwAZQBhAGMAaABpAG4AZwAgAGEAbgBkACAAcgB1AG4AbwBmAGYAXAAiADsAXABuACAAIAAgACAAIAAgACAAIAAgACAAXAAiAHoAXAAiACwAIABcACIAbABvAGMAYQB0AGkAbwBuACAAaQBuACAAbABlAGEAYwBoAGkAbgBnACAAegBvAG4AZQBcACIAOwBcAG4AIAAgACAAIAAgACAAIAAgACAAIABcACIAagBcACIALAAgAFwAIgBwAHIAbwBkAHUAYwB0AGkAbwBuACAAcwB5AHMAdABlAG0AXAAiADsAXABuACAAIAAgACAAIAAgACAAIAAgACAAXAAiAGkAcgBcACIALAAgAFwAIgBpAHIAcgBpAGcAYQB0AGkAbwBuACAAbQBlAHQAaABvAGQAXAAiAFwAbgAgACAAIAAgACAAIAAgACAAfQAsACAAcgAsACAAYwApAFwAbgAgACAAIAAgACAAIAApAFwAbgAgACAAIAAgACkAXABuACAAIAApADsAXABuAFwAbgAiAH0ALAB7ACIAcABhAHQAaAAiADoAIgAvAHAAcgBvAGoAZQBjAHQAcwAvAFMAbwB1AHIAYwBlAEQAYQB0AGEAXwBTAHcAaQBuAGU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EYAbwByACAAUwB3AGkAbgBlAFwAbgBFAHgAYwBlAGwAIABtAG8AZAB1AGwAZQAgAG4AYQBtAGUAOgAgAFMAbwB1AHIAYwBlAEQAYQB0AGEAXwBTAHcAaQBuAGU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FwAbgAvACoAIABcAG4ALQAtAC0ALQAtAC0ALQAtAC0ALQAtAC0ALQAtAC0ALQAtAC0ALQAtAC0ALQAtAC0ALQAtAC0ALQAtAC0ALQAtAC0ALQAtAC0ALQAtAFwAbgBTAG8AdQByAGMAZQBEAGEAdABhAF8AUwB3AGkAbgBlAF8AVgBvAGwAYQB0AGkAbABlAFMAbwBsAGkAZABzAFwAbgBWAFMAagBcAG4AawBnAC8AaABlAGEAZAAvAGQAYQB5AFwAbgAtAC0ALQAtAC0ALQAtAC0ALQAtAC0ALQAtAC0ALQAtAC0ALQAtAC0ALQAtAC0ALQAtAC0ALQAtAC0ALQAtAC0ALQAtAC0ALQAtAC0AXABuACoALwBcAG4AXABuAFMAbwB1AHIAYwBlAEQAYQB0AGEAXwBTAHcAaQBuAGUAXwBWAG8AbABhAHQAaQBsAGUAUwBvAGwAaQBkAHMAXwBUAGkAdABsAGUAXABuACAAIAA9AEwAQQBNAEIARABBACgAXAAiAFMAdwBpAG4AZQAgAC0AIABWAG8AbABhAHQAaQBsAGUAIABzAG8AbABpAGQAcwAgACgAVgBTAGoAKQAgAC0AIAAyADAAMgAwACAAdABvACAAMgAwADIANABcACIAKQA7AFwAbgBcAG4AUwBvAHUAcgBjAGUARABhAHQAYQBfAFMAdwBpAG4AZQBfAFYAbwBsAGEAdABpAGwAZQBTAG8AbABpAGQAcwBfAFUAbgBpAHQAXABuACAAIAA9AEwAQQBNAEIARABBACgAXAAiAGsAZwAvAGgAZQBhAGQALwBkAGEAeQBcACIAKQA7AFwAbgBcAG4AUwBvAHUAcgBjAGUARABhAHQAYQBfAFMAdwBpAG4AZQBfAFYAbwBsAGEAdABpAGwAZQBTAG8AbABpAGQAcwBfAFMAbwB1AHIAYwBlAFwAbgAgACAAPQBMAEEATQBCAEQAQQAoAFwAIgBWAEUARQBSAEcAIAAyADAAMgA2ADoAIABUAGEAYgBsAGUAIABBAC4AMQAuADYALgAxADoAIABTAHcAaQBuAGUAIAAtACAASQBuAHQAYQBrAGUAIABhAG4AZAAgAG0AYQBuAHUAcgBlACAAYwBoAGEAcgBhAGMAdABlAHIAaQBzAHQAaQBjAHMAIABkAGUAcgBpAHYAZQBkACAAZgByAG8AbQAgAFAAaQBnAEIAYQBsAFwAIgApADsAXABuAFwAbgBTAG8AdQByAGMAZQBEAGEAdABhAF8AUwB3AGkAbgBlAF8AVgBvAGwAYQB0AGkAbABlAFMAbwBsAGkAZABzAF8AVgBhAHIAaQBhAHQAaQBvAG4AXABuACAAIAA9AEwAQQBNAEIARABBACgAXAAiAFYAQQBSAEkAQQBUAEkATwBOACAATwBOACAAUwBPAFUAUgBDAEUAIABEAEEAVABBADoAIABPAG4AbAB5ACAAdQBzAGUAcwAgAGQAYQB0AGEAIABmAG8AcgAgADIAMAAyADAALQAyADAAMgA0AC4AIABBAGQAZABlAGQAIAAnAFMAdQBjAGsAZQByAHMAJwAsACAAJwBXAGUAYQBuAGUAcgBzACcAIABhAG4AZAAgACcARwByAG8AdwBlAHIAcwAnACAAYwBsAGEAcwBzAGUAcwAgAHcAaABpAGMAaAAgAGgAYQB2AGUAIAB0AGgAZQAgAHMAYQBtAGUAIAB2AGEAbAB1AGUAcwAgAGEAcwAgACcAUwBsAGEAdQBnAGgAdABlAHIAIABwAGkAZwBzACcALgBcACIAKQA7AFwAbgBcAG4AUwBvAHUAcgBjAGUARABhAHQAYQBfAFMAdwBpAG4AZQBfAFYAbwBsAGEAdABpAGwAZQBTAG8AbABpAGQAcwBfAEQAYQB0AGEAXABuACAAIAA9AEwAQQBNAEIARABBACgAXABuACAAIAAgACAATQBBAEsARQBBAFIAUgBBAFkAKAA4ACwAIAAyACwAIABcAG4AIAAgACAAIAAgACAATABBAE0AQgBEAEEAKAByACwAYwAsACAAXABuACAAIAAgACAAIAAgACAAIABJAE4ARABFAFgAKAB7AFwAbgAgACAAIAAgACAAIAAgACAAIAAgAFwAIgBDAGwAYQBzAHMAXAAiACwAIABcACIAVgBTAGoAXAAiADsAXABuACAAIAAgACAAIAAgACAAIAAgACAAXAAiAEIAbwBhAHIAcwBcACIALAAgADAALgA0ADAAOwBcAG4AIAAgACAAIAAgACAAIAAgACAAIABcACIAUwBvAHcAcwBcACIALAAgADAALgA0ADYAOwBcAG4AIAAgACAAIAAgACAAIAAgACAAIABcACIARwBpAGwAdABzAFwAIgAsACAAMAAuADUANQA7AFwAbgAgACAAIAAgACAAIAAgACAAIAAgAFwAIgBTAGwAYQB1AGcAaAB0AGUAcgAgAHAAaQBnAHMAXAAiACwAIAAwAC4AMwA5ADsAXABuACAAIAAgACAAIAAgACAAIAAgACAAXAAiAFMAdQBjAGsAZQByAHMAXAAiACwAIAAwAC4AMwA5ADsAXABuACAAIAAgACAAIAAgACAAIAAgACAAXAAiAFcAZQBhAG4AZQByAHMAXAAiACwAIAAwAC4AMwA5ADsAXABuACAAIAAgACAAIAAgACAAIAAgACAAXAAiAEcAcgBvAHcAZQByAHMAXAAiACwAIAAwAC4AMwA5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0AZQB0AGgAYQBuAGUAVgBvAGwAYQB0AGkAbABlAFMAbwBsAGkAZABzAEUAbQBpAHMAcwBpAG8AbgBzAFAAbwB0AGUAbgB0AGkAYQBsAFwAbgBCADAAXABuAG0AMwAgAEMASAA0AC8AawBnACAAVgBTAFwAbgAtAC0ALQAtAC0ALQAtAC0ALQAtAC0ALQAtAC0ALQAtAC0ALQAtAC0ALQAtAC0ALQAtAC0ALQAtAC0ALQAtAC0ALQAtAC0ALQAtAC0AXABuACoALwBcAG4AXABuAFMAbwB1AHIAYwBlAEQAYQB0AGEAXwBTAHcAaQBuAGUAXwBNAGUAdABoAGEAbgBlAFYAbwBsAGEAdABpAGwAZQBTAG8AbABpAGQAcwBFAG0AaQBzAHMAaQBvAG4AcwBQAG8AdABlAG4AdABpAGEAbABfAFQAaQB0AGwAZQBcAG4AIAAgAD0ATABBAE0AQgBEAEEAKABcACIARQBtAGkAcwBzAGkAbwBuAHMAIABwAG8AdABlAG4AdABpAGEAbAAgAG8AZgAgAG0AZQB0AGgAYQBuAGUAIABwAGUAcgAgAGsAaQBsAG8AZwByAGEAbQAgAG8AZgAgAHYAbwBsAGEAdABpAGwAZQAgAHMAbwBsAGkAZABzAFwAIgApADsAXABuAFwAbgBTAG8AdQByAGMAZQBEAGEAdABhAF8AUwB3AGkAbgBlAF8ATQBlAHQAaABhAG4AZQBWAG8AbABhAHQAaQBsAGUAUwBvAGwAaQBkAHMARQBtAGkAcwBzAGkAbwBuAHMAUABvAHQAZQBuAHQAaQBhAGwAXwBWAGEAcgBpAGEAYgBsAGUAXABuACAAIAA9AEwAQQBNAEIARABBACgAXAAiAEIAMABcACIAKQA7AFwAbgBcAG4AUwBvAHUAcgBjAGUARABhAHQAYQBfAFMAdwBpAG4AZQBfAE0AZQB0AGgAYQBuAGUAVgBvAGwAYQB0AGkAbABlAFMAbwBsAGkAZABzAEUAbQBpAHMAcwBpAG8AbgBzAFAAbwB0AGUAbgB0AGkAYQBsAF8AVQBuAGkAdABcAG4AIAAgAD0ATABBAE0AQgBEAEEAKABcACIAbQAzACAAQwBIADQAIAAvACAAawBnACAAVgBTAFwAIgApADsAXABuAFwAbgBTAG8AdQByAGMAZQBEAGEAdABhAF8AUwB3AGkAbgBlAF8ATQBlAHQAaABhAG4AZQBWAG8AbABhAHQAaQBsAGUAUwBvAGwAaQBkAHMARQBtAGkAcwBzAGkAbwBuAHMAUABvAHQAZQBuAHQAaQBhAGwAXwBTAG8AdQByAGMAZQBcAG4AIAAgAD0ATABBAE0AQgBEAEEAKABcACIASQBQAEMAQwAgACgAMgAwADEAOQApACwAIABDAGgAYQBwAHQAZQByACAAMQAwACAAWwA0AF0AXAAiACkAOwBcAG4AXABuAFMAbwB1AHIAYwBlAEQAYQB0AGEAXwBTAHcAaQBuAGUAXwBNAGUAdABoAGEAbgBlAFYAbwBsAGEAdABpAGwAZQBTAG8AbABpAGQAcwBFAG0AaQBzAHMAaQBvAG4AcwBQAG8AdABlAG4AdABpAGEAbABfAFYAYQByAGkAYQB0AGkAbwBuAFwAbgAgACAAPQBMAEEATQBCAEQAQQAoAFwAIgBcACIAKQA7AFwAbgBcAG4AUwBvAHUAcgBjAGUARABhAHQAYQBfAFMAdwBpAG4AZQBfAE0AZQB0AGgAYQBuAGUAVgBvAGwAYQB0AGkAbABlAFMAbwBsAGkAZABzAEUAbQBpAHMAcwBpAG8AbgBzAFAAbwB0AGUAbgB0AGkAYQBsAF8ARABhAHQAYQBcAG4AIAAgAD0ATABBAE0AQgBEAEEAKAAwAC4AMQA5ACkAOwBcAG4AXABuAFwAbgAvACoAIABcAG4ALQAtAC0ALQAtAC0ALQAtAC0ALQAtAC0ALQAtAC0ALQAtAC0ALQAtAC0ALQAtAC0ALQAtAC0ALQAtAC0ALQAtAC0ALQAtAC0ALQAtAFwAbgBTAG8AdQByAGMAZQBEAGEAdABhAF8AUwB3AGkAbgBlAF8ATQBNAFMAXwBNAEMARgBzAFwAbgBUAGEAYgBsAGUAIABBAC4AMQAuADYALgA0ADoAIABTAHcAaQBuAGUAIAAtACAATQBDAEYAcwAgACgATQBDAEYAaQBtACkAXABuAC0ALQAtAC0ALQAtAC0ALQAtAC0ALQAtAC0ALQAtAC0ALQAtAC0ALQAtAC0ALQAtAC0ALQAtAC0ALQAtAC0ALQAtAC0ALQAtAC0ALQBcAG4AKgAvAFwAbgBcAG4AUwBvAHUAcgBjAGUARABhAHQAYQBfAFMAdwBpAG4AZQBfAE0ATQBTAF8ATQBDAEYAcwBfAFQAaQB0AGwAZQBcAG4AIAAgAD0ATABBAE0AQgBEAEEAKABcACIATQBlAHQAaABhAG4AZQAgAGMAbwBuAHYAZQByAHMAaQBvAG4AIABmAGEAYwB0AG8AcgAgAGYAbwByACAAdABlAG0AcABlAHIAYQB0AHUAcgBlACAAegBvAG4AZQAgAGEAbgBkACAAbQBhAG4AdQByAGUAIABtAGEAbgBhAGcAZQBtAGUAbgB0ACAAcwB5AHMAdABlAG0ALgBcACIAKQA7AFwAbgBcAG4AUwBvAHUAcgBjAGUARABhAHQAYQBfAFMAdwBpAG4AZQBfAE0ATQBTAF8ATQBDAEYAcwBfAFUAbgBpAHQAXABuACAAIAA9AEwAQQBNAEIARABBACgAXAAiAFwAIgApADsAXABuAFwAbgBTAG8AdQByAGMAZQBEAGEAdABhAF8AUwB3AGkAbgBlAF8ATQBNAFMAXwBNAEMARgBzAF8AUwBvAHUAcgBjAGUAXABuACAAIAA9AEwAQQBNAEIARABBACgAXAAiAFYARQBFAFIARwAgADIAMAAyADYAOgAgAFQAYQBiAGwAZQAgAEEALgAxAC4ANgAuADQAOgAgAFMAdwBpAG4AZQAgABMgIABNAEMARgBzACAAKABNAEMARgBpAG0AKQBcACIAKQA7AFwAbgBcAG4AUwBvAHUAcgBjAGUARABhAHQAYQBfAFMAdwBpAG4AZQBfAE0ATQBTAF8ATQBDAEYAcwBfAFYAYQByAGkAYQB0AGkAbwBuAFwAbgAgACAAPQBMAEEATQBCAEQAQQAoAFwAIgBWAEEAUgBJAEEAVABJAE8ATgAgAE8ATgAgAFMATwBVAFIAQwBFACAARABBAFQAQQA6ACAAQQBkAGQAZQBkACAAYwBvAGwAdQBtAG4AcwAgAGYAbwByACAAQQBDAFQALAAgAHMAcABsAGkAdAAgAFEATABEACAAYQBuAGQAIABOAFQALgAgAEEAZABkAGUAZAAgAGUAeAB0AHIAYQAgAGMAbwBsAHUAbQBuACAAdwBpAHQAaAAgAE0ATQBTACAAbgBhAG0AZQBzACAAdABoAGEAdAAgAG0AYQB0AGMAaAAgAE4ASQBSACAAZABlAGYAaQBuAGkAdABpAG8AbgBzAFwAIgApADsAXABuAFwAbgBTAG8AdQByAGMAZQBEAGEAdABhAF8AUwB3AGkAbgBlAF8ATQBNAFMAXwBNAEMARgBzAF8ARABhAHQAYQBcAG4AIAAgAD0ATABBAE0AQgBEAEEAKABcAG4AIAAgACAAIABNAEEASwBFAEEAUgBSAEEAWQAoADgALAAgADEAMAAsACAAXABuACAAIAAgACAAIAAgAEwAQQBNAEIARABBACgAcgAsAGMALAAgAFwAbgAgACAAIAAgACAAIAAgACAASQBOAEQARQBYACgAewBcAG4AIAAgACAAIAAgACAAIAAgACAAIABcACIATQBNAFMAXAAiACwAIABcACIATgBTAFcAXAAiACwAIABcACIAQQBDAFQAXAAiACwAIABcACIAUQBMAEQAXAAiACwAIABcACIATgBUAFwAIgAsACAAXAAiAFMAQQBcACIALAAgAFwAIgBUAEEAUwBcACIALAAgAFwAIgBWAEkAQwBcACIALAAgAFwAIgBXAEEAXAAiACwAIABcACIATgBJAFIAIABkAGUAZgBpAG4AaQB0AGkAbwBuAFwAIgA7AFwAbgAgACAAIAAgACAAIAAgACAAIAAgAFwAIgBPAHUAdABkAG8AbwByACAAKABEAHIAeQAgAGwAbwB0ACkAXAAiACwAIAAwAC4AMAAxACwAIAAwAC4AMAAxACwAIAAwAC4AMAAzACwAIAAwAC4AMAAzACwAIAAwAC4AMAAxACwAIAAwAC4AMAAxACwAIAAwAC4AMAAxACwAIAAwAC4AMAAxACwAIABcACIARAByAHkAbABvAHQAIAAoAGYAZQBlAGQAIABwAGEAZAApAFwAIgA7ACAAXABuACAAIAAgACAAIAAgACAAIAAgACAAXAAiAEQAZQBlAHAAIABsAGkAdAB0AGUAcgBcACIALAAgADAALgAwADQALAAgADAALgAwADQALAAgADAALgAwADQALAAgADAALgAwADQALAAgADAALgAwADQALAAgADAALgAwADQALAAgADAALgAwADQALAAgADAALgAwADQALAAgAFwAIgBEAGUAZQBwACAAbABpAHQAdABlAHIAXAAiADsAXABuACAAIAAgACAAIAAgACAAIAAgACAAXAAiAFMAdABvAGMAawBwAGkAbABlACAAKABTAG8AbABpAGQAIABzAHQAbwByAGEAZwBlACkAXAAiACwAIAAwAC4AMAAyACwAIAAwAC4AMAAyACwAIAAwAC4AMAAyACwAIAAwAC4AMAAyACwAIAAwAC4AMAAyACwAIAAwAC4AMAAyACwAIAAwAC4AMAAyACwAIAAwAC4AMAAyACwAIABcACIAUwBvAGwAaQBkACAAcwB0AG8AcgBhAGcAZQBcACIAOwBcAG4AIAAgACAAIAAgACAAIAAgACAAIABcACIARQBmAGYAbAB1AGUAbgB0ACAAcABvAG4AZAAgACgAVQBuAGMAbwB2AGUAcgBlAGQAIABhAG4AYQBlAHIAbwBiAGkAYwAgAGwAYQBnAG8AbwBuACkAXAAiACwAIAAwAC4ANwA1ACwAIAAwAC4ANwA1ACwAIAAwAC4ANwA4ACwAIAAwAC4ANwA4ACwAIAAwAC4ANwA1ACwAIAAwAC4ANwAwACwAIAAwAC4ANwA0ACwAIAAwAC4ANwA2ACwAIABcACIAQQBuAGEAZQByAG8AYgBpAGMAIABsAGEAZwBvAG8AbgBcACIAOwBcAG4AIAAgACAAIAAgACAAIAAgACAAIABcACIAQQBuAGEAZQByAG8AYgBpAGMAIABkAGkAZwBlAHMAdABlAHIAIAAvACAAQwBvAHYAZQByAGUAZAAgAGwAYQBnAG8AbwBuAFwAIgAsACAAMAAuADEALAAgADAALgAxACwAIAAwAC4AMQAsACAAMAAuADEALAAgADAALgAxACwAIAAwAC4AMQAsACAAMAAuADEALAAgADAALgAxACwAIABcACIARABpAGcAZQBzAHQAZQByACAALwAgAGMAbwB2AGUAcgBlAGQAIABsAGEAZwBvAG8AbgBzAFwAIgA7ACAAXABuACAAIAAgACAAIAAgACAAIAAgACAAXAAiAFMAaABvAHIAdAAgAEgAUgBUACAAdABhAG4AawAgAHMAdABvAHIAYQBnAGUAIAA8ACAAMQAgAG0AbwBuAHQAaAAgACgAcABpAHQAIABzAHQAbwByAGEAZwBlACkAXAAiACwAIAAwAC4AMAAzACwAIAAwAC4AMAAzACwAIAAwAC4AMAAzACwAIAAwAC4AMAAzACwAIAAwAC4AMAAzACwAIAAwAC4AMAAzACwAIAAwAC4AMAAzACwAIAAwAC4AMAAzACwAIABcACIAUABpAHQAIABzAHQAbwByAGEAZwBlAFwAIgA7ACAAXABuACAAIAAgACAAIAAgACAAIAAgACAAXAAiAEQAaQByAGUAYwB0ACAAQQBwAHAAbABpAGMAYQB0AGkAbwBuACAAdABvACAAcwBvAGkAbABcACIALAAgADAALAAgADAALAAgADAALAAgADAALAAgADAALAAgADAALAAgADAALAAgADAALAAgAFwAIgBEAGkAcgBlAGMAdAAgAGEAcABwAGwAaQBjAGEAdABpAG8Abg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UAByAG8AZAB1AGMAdABpAG8AbgBTAHkAcwB0AGUAbQBzAFwAbgA0AC4ANQAgAFMAdwBpAG4AZQAgAEYAaQBnAHUAcgBlACAANAAuADgAXABuAC0ALQAtAC0ALQAtAC0ALQAtAC0ALQAtAC0ALQAtAC0ALQAtAC0ALQAtAC0ALQAtAC0ALQAtAC0ALQAtAC0ALQAtAC0ALQAtAC0ALQBcAG4AKgAvAFwAbgBcAG4AUwBvAHUAcgBjAGUARABhAHQAYQBfAFMAdwBpAG4AZQBfAFAAcgBvAGQAdQBjAHQAaQBvAG4AUwB5AHMAdABlAG0AcwBfAFQAaQB0AGwAZQBcAG4AIAAgAD0ATABBAE0AQgBEAEEAKABcACIAUwB3AGkAbgBlACAAcAByAG8AZAB1AGMAdABpAG8AbgAgAHMAeQBzAHQAZQBtAHMAXAAiACkAOwBcAG4AXABuAFMAbwB1AHIAYwBlAEQAYQB0AGEAXwBTAHcAaQBuAGUAXwBQAHIAbwBkAHUAYwB0AGkAbwBuAFMAeQBzAHQAZQBtAHMAXwBVAG4AaQB0AFwAbgAgACAAPQBMAEEATQBCAEQAQQAoAFwAIgBcACIAKQA7AFwAbgBcAG4AUwBvAHUAcgBjAGUARABhAHQAYQBfAFMAdwBpAG4AZQBfAFAAcgBvAGQAdQBjAHQAaQBvAG4AUwB5AHMAdABlAG0AcwBfAFMAbwB1AHIAYwBlAFwAbgAgACAAPQBMAEEATQBCAEQAQQAoAFwAIgBWAEUARQBSAEcAIAAyADAAMgA2ADoAIAA0AC4ANQAgAFMAdwBpAG4AZQAgAEYAaQBnAHUAcgBlACAANAAuADgAXAAiACkAOwBcAG4AXABuAFMAbwB1AHIAYwBlAEQAYQB0AGEAXwBTAHcAaQBuAGUAXwBQAHIAbwBkAHUAYwB0AGkAbwBuAFMAeQBzAHQAZQBtAHMAXwBWAGEAcgBpAGEAdABpAG8AbgBcAG4AIAAgAD0ATABBAE0AQgBEAEEAKABcACIAXAAiACkAOwBcAG4AXABuAFMAbwB1AHIAYwBlAEQAYQB0AGEAXwBTAHcAaQBuAGUAXwBQAHIAbwBkAHUAYwB0AGkAbwBuAFMAeQBzAHQAZQBtAHMAXwBEAGEAdABhAFwAbgAgACAAPQBMAEEATQBCAEQAQQAoAFwAbgAgACAAIAAgAE0AQQBLAEUAQQBSAFIAQQBZACgANAAsACAAMQAsACAAXABuACAAIAAgACAAIAAgAEwAQQBNAEIARABBACgAcgAsAGMALAAgAFwAbgAgACAAIAAgACAAIAAgACAASQBOAEQARQBYACgAewBcAG4AIAAgACAAIAAgACAAIAAgACAAIABcACIAUAByAG8AZAB1AGMAdABpAG8AbgAgAHMAeQBzAHQAZQBtAFwAIgA7AFwAbgAgACAAIAAgACAAIAAgACAAIAAgAFwAIgBDAG8AbgB2AGUAbgB0AGkAbwBuAGEAbAAgAGgAbwB1AHMAaQBuAGcAXAAiADsAXABuACAAIAAgACAAIAAgACAAIAAgACAAXAAiAEQAZQBlAHAAIABsAGkAdAB0AGUAcgAgAGgAbwB1AHMAaQBuAGcAXAAiADsAXABuACAAIAAgACAAIAAgACAAIAAgACAAXAAiAE8AdQB0AGQAbwBvAHIALwBmAHIAZQBlACAAcgBhAG4AZwBlAFwAIgBcAG4AIAAgACAAIAAgACAAIAAgAH0ALAAgAHIALAAgAGMAKQBcAG4AIAAgACAAIAAgACAAKQBcAG4AIAAgACAAIAApAFwAbgAgACAAKQA7AFwAbgAiAH0ALAB7ACIAcABhAHQAaAAiADoAIgAvAHAAcgBvAGoAZQBjAHQAcwAvAEUAbgB0AGUAcgBpAGMATQBlAHQAaABhAG4AZQBfAFMAdwBpAG4AZQBfAEUAcQB1AGEAdABpAG8AbgBzACIALAAiAHQAZQB4AHQAIgA6ACIAIgB9ACwAewAiAHAAYQB0AGgAIgA6ACIALwBwAHIAbwBqAGUAYwB0AHMALwBNAE0AUwBfAFMAdwBpAG4AZQ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UAOgAgAFMAdwBpAG4AZQBcAG4APQA9AD0APQA9AD0APQA9AD0APQA9AD0APQA9AD0APQA9AD0APQA9AD0APQA9AD0APQA9AD0APQA9AD0APQA9AD0APQA9AD0APQA9AD0APQA9AD0APQA9AD0APQA9AD0APQA9AD0APQA9AD0APQA9AD0APQA9AD0APQA9AD0APQA9AD0APQA9AD0APQA9AD0APQA9AD0APQBcAG4ANAAuADUALgAxAC4AMQAgAE0AZQB0AGgAbwBkACAAMQAgABQgIABNAGEAbgB1AHIAZQAgAE0AZQB0AGgAYQBuAGU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xAF8AXwAxAF8AVABvAHQAYQBsAEEAbgBuAHUAYQBsAE0AZQB0AGgAYQBuAGUARQBtAGkAcwBzAGkAbwBuAHMAXABuAFQAbwB0AGEAbAAgAGEAbgBuAHUAYQBsACAAbQBlAHQAaABhAG4AZQAgAGUAbQBpAHMAcwBpAG8AbgBzACAAZgByAG8AbQAgAG0AYQBuAHUAcgBlACAAbQBhAG4AYQBnAGUAbQBlAG4AdABcAG4ARQBDAEgANABcAG4AdAAgAEMASAA0AFwAbgB7AEUAfQBfAHsAQwBIADQAfQA9AFwAXABzAHUAbQBfAHsAagB9ACgARABfAHsAagB9AFwAXAB0AGkAbQBlAHMAIABNAF8AewBtAGoAfQBcAFwAdABpAG0AZQBzACAATgBfAHsAagB9ACkAXABcAHQAaQBtAGUAcwAxADAAXgB7AC0AMwB9AFwAbgBEAGoAIAA9ACAAbABlAG4AZwB0AGgAIABvAGYAIABzAHQAYQB5ACAAbwBmACAAZQBhAGMAaAAgAGMAbABhAHMAcwAgAG8AZgAgAHMAdwBpAG4AZQAgADoAIABkAGEAeQBzAFwAbgBNAG0AagAgAD0AIABtAGUAdABoAGEAbgBlACAAcAByAG8AZAB1AGMAdABpAG8AbgAgAGYAcgBvAG0AIABtAGEAbgB1AHIAZQAgAGkAbgAgAGUAYQBjAGgAIABzAHcAaQBuAGUAIABjAGwAYQBzAHMAIAA6ACAAawBnACAAQwBIADQALwBoAGUAYQBkAC8AZABhAHkAXABuAE4AagAgAD0AIABuAHUAbQBiAGUAcgBzACAAbwBmACAAcwB3AGkAbgBlACAAaQBuACAAZQBhAGMAaAAgAGMAbABhAHMAcwAgADoAIABoAGUAYQBkAFwAbgAtAC0ALQAtAC0ALQAtAC0ALQAtAC0ALQAtAC0ALQAtAC0ALQAtAC0ALQAtAC0ALQAtAC0ALQAtAC0ALQAtAC0ALQAtAC0ALQAtAC0AXABuACoALwBcAG4AXABuAFYARQBFAFIARwBfADQAXwA1AF8AMQBfADEAXwBfADEAXwBUAG8AdABhAGwAQQBuAG4AdQBhAGwATQBlAHQAaABhAG4AZQBFAG0AaQBzAHMAaQBvAG4AcwBcAG4AIAAgAD0ATABBAE0AQgBEAEEAKABcAG4AIAAgACAAIABEAGoALAAgAE0AbQBqACwAIABOAGoALABcAG4AIAAgACAAIABEAGoAIAAqACAATQBtAGoAIAAqACAATgBqACAAKgAgADEAMAAgAF4AIAAtADMAXABuACAAIAApADsAXABuAFwAbgBWAEUARQBSAEcAXwA0AF8ANQBfADEAXwAxAF8AXwAxAF8AVABvAHQAYQBsAEEAbgBuAHUAYQBsAE0AZQB0AGgAYQBuAGUARQBtAGkAcwBzAGkAbwBuAHMAXwBUAGkAdABsAGUAXABuACAAIAA9AEwAQQBNAEIARABBACgAXAAiAFQAbwB0AGEAbAAgAGEAbgBuAHUAYQBsACAAbQBlAHQAaABhAG4AZQAgAGUAbQBpAHMAcwBpAG8AbgBzACAAZgByAG8AbQAgAG0AYQBuAHUAcgBlACAAbQBhAG4AYQBnAGUAbQBlAG4AdABcACIAKQA7AFwAbgBcAG4AVgBFAEUAUgBHAF8ANABfADUAXwAxAF8AMQBfAF8AMQBfAFQAbwB0AGEAbABBAG4AbgB1AGEAbABNAGUAdABoAGEAbgBlAEUAbQBpAHMAcwBpAG8AbgBzAF8AVgBhAHIAaQBhAGIAbABlAFwAbgAgACAAPQBMAEEATQBCAEQAQQAoAFwAIgBFAEMASAA0AFwAIgApADsAXABuAFwAbgBWAEUARQBSAEcAXwA0AF8ANQBfADEAXwAxAF8AXwAxAF8AVABvAHQAYQBsAEEAbgBuAHUAYQBsAE0AZQB0AGgAYQBuAGUARQBtAGkAcwBzAGkAbwBuAHMAXwBVAG4AaQB0AFwAbgAgACAAPQBMAEEATQBCAEQAQQAoAFwAIgB0ACAAQwBIADQAXAAiACkAOwBcAG4AXABuAFYARQBFAFIARwBfADQAXwA1AF8AMQBfADEAXwBfADEAXwBUAG8AdABhAGwAQQBuAG4AdQBhAGwATQBlAHQAaABhAG4AZQBFAG0AaQBzAHMAaQBvAG4AcwBfAFMAbwB1AHIAYwBlAFwAbgAgACAAPQBMAEEATQBCAEQAQQAoAFwAIgBWAEUARQBSAEcAIAAyADAAMgA2ADoAIAA0AC4ANQAuADEALgAxACwAIABFAHEAdQBhAHQAaQBvAG4AIAAoADEAKQBcACIAKQA7AFwAbgBcAG4AVgBFAEUAUgBHAF8ANABfADUAXwAxAF8AMQBfAF8AMQBfAFQAbwB0AGEAbABBAG4AbgB1AGEAbABNAGUAdABoAGEAbgBlAEUAbQBpAHMAcwBpAG8AbgBzAF8ATgBJAFIAUgBlAGYAZQByAGUAbgBjAGUAXABuACAAIAA9AEwAQQBNAEIARABBACgAXAAiAFwAIgApADsAXABuAFwAbgBWAEUARQBSAEcAXwA0AF8ANQBfADEAXwAxAF8AXwAxAF8AVABvAHQAYQBsAEEAbgBuAHUAYQBsAE0AZQB0AGgAYQBuAGUARQBtAGkAcwBzAGkAbwBuAHMAXwBMAGEAdABlAHgARQBxAHUAYQB0AGkAbwBuAFwAbgAgACAAPQBMAEEATQBCAEQAQQAoAFwAIgB7AEUAfQBfAHsAQwBIADQAfQA9AFwAXABzAHUAbQBfAHsAagB9ACgARABfAHsAagB9AFwAXAB0AGkAbQBlAHMAIABNAF8AewBtAGoAfQBcAFwAdABpAG0AZQBzACAATgBfAHsAagB9ACkAXABcAHQAaQBtAGUAcwAxADAAXgB7AC0AMwB9AFwAIgApADsAXABuAFwAbgBWAEUARQBSAEcAXwA0AF8ANQBfADEAXwAxAF8AXwAxAF8AVABvAHQAYQBsAEEAbgBuAHUAYQBsAE0AZQB0AGgAYQBuAGUARQBtAGkAcwBzAGkAbwBuAHMAXwBBAHIAZwB1AG0AZQBuAHQAcwBcAG4AIAAgAD0ATABBAE0AQgBEAEEAKABcAG4AIAAgACAAIABNAEEASwBFAEEAUgBSAEEAWQAoADMALAAgADIALABcAG4AIAAgACAAIAAgACAATABBAE0AQgBEAEEAKAByACwAYwAsAFwAbgAgACAAIAAgACAAIAAgACAASQBOAEQARQBYACgAewBcAG4AIAAgACAAIAAgACAAIAAgACAAIABcACIARABqAFwAIgAsAFwAIgBsAGUAbgBnAHQAaAAgAG8AZgAgAHMAdABhAHkAIABvAGYAIABlAGEAYwBoACAAYwBsAGEAcwBzACAAbwBmACAAcwB3AGkAbgBlACAAOgAgAGQAYQB5AHMAXAAiADsAXABuACAAIAAgACAAIAAgACAAIAAgACAAXAAiAE0AbQBqAFwAIgAsAFwAIgBtAGUAdABoAGEAbgBlACAAcAByAG8AZAB1AGMAdABpAG8AbgAgAGYAcgBvAG0AIABtAGEAbgB1AHIAZQAgAGkAbgAgAGUAYQBjAGgAIABzAHcAaQBuAGUAIABjAGwAYQBzAHMAIAA6ACAAawBnACAAQwBIADQALwBoAGUAYQBkAC8AZABhAHkAXAAiADsAXABuACAAIAAgACAAIAAgACAAIAAgACAAXAAiAE4AagBcACIALABcACIAbgB1AG0AYgBlAHIAcwAgAG8AZgAgAHMAdwBpAG4AZQAgAGkAbgAgAGUAYQBjAGgAIABjAGwAYQBzAHMAIAA6ACAAaABlAGEAZABcACIAXABuACAAIAAgACAAIAAgACAAIAB9ACwAIAByACwAIABjACkAXABuACAAIAAgACAAIAAgACkAXABuACAAIAAgACAAKQBcAG4AIAAgACkAOwBcAG4AXABuAC8AKgBcAG4ALQAtAC0ALQAtAC0ALQAtAC0ALQAtAC0ALQAtAC0ALQAtAC0ALQAtAC0ALQAtAC0ALQAtAC0ALQAtAC0ALQAtAC0ALQAtAC0ALQAtAFwAbgBWAEUARQBSAEcAXwA0AF8ANQBfADEAXwAxAF8AXwAyAF8ATQBlAHQAaABhAG4AZQBQAHIAbwBkAHUAYwB0AGkAbwBuAFAAZQByAEMAbABhAHMAcwBcAG4ATQBlAHQAaABhAG4AZQAgAHAAcgBvAGQAdQBjAHQAaQBvAG4AIABmAHIAbwBtACAAdABoAGUAIABtAGEAbgB1AHIAZQAgAG8AZgAgAGUAYQBjAGgAIABjAGwAYQBzAHMAIABvAGYAIABzAHcAaQBuAGUAXABuAE0AbQBqAFwAbgBrAGcAIABDAEgANAAvAGgAZQBhAGQALwBkAGEAeQBcAG4ATQBfAHsAbQBqAH0APQBcAFwAcwB1AG0AXwB7AG0AfQBcAFwAcwB1AG0AXwB7AFQAfQBNAF8AewBqAG0AVAB9AFwAbgBNAGoAbQBUACAAPQAgAG0AZQB0AGgAYQBuAGUAIABwAHIAbwBkAHUAYwB0AGkAbwBuACAAZgByAG8AbQAgAG0AYQBuAHUAcgBlACAAcABlAHIAIABjAGwAYQBzAHMALAAgAE0ATQBTACwAIABhAG4AZAAgAHQAcgBlAGEAdABtAGUAbgB0ACAAcwB0AGEAZwBlACAAOgAgAGsAZwAgAEMASAA0AC8AaABlAGEAZAAvAGQAYQB5AFwAbgAtAC0ALQAtAC0ALQAtAC0ALQAtAC0ALQAtAC0ALQAtAC0ALQAtAC0ALQAtAC0ALQAtAC0ALQAtAC0ALQAtAC0ALQAtAC0ALQAtAC0AXABuACoALwBcAG4AXABuAFYARQBFAFIARwBfADQAXwA1AF8AMQBfADEAXwBfADIAXwBNAGUAdABoAGEAbgBlAFAAcgBvAGQAdQBjAHQAaQBvAG4AUABlAHIAQwBsAGEAcwBzAFwAbgAgACAAPQBMAEEATQBCAEQAQQAoAFwAbgAgACAAIAAgAE0AagBtAFQALABcAG4AIAAgACAAIABTAFUATQAoAE0AagBtAFQAKQBcAG4AIAAgACkAOwBcAG4AXABuAFYARQBFAFIARwBfADQAXwA1AF8AMQBfADEAXwBfADIAXwBNAGUAdABoAGEAbgBlAFAAcgBvAGQAdQBjAHQAaQBvAG4AUABlAHIAQwBsAGEAcwBzAFYAYQByAGkAYQB0AGkAbwBuAFwAbgAgACAAPQBMAEEATQBCAEQAQQAoAFwAbgAgACAAIAAgAE0AagBtAFQAMQAsACAATQBqAG0AVAAyACwAXABuACAAIAAgACAAIABTAFUATQAoAE0AagBtAFQAMQAsACAATQBqAG0AVAAyACkAXABuACAAIAApADsAXABuAFwAbgBWAEUARQBSAEcAXwA0AF8ANQBfADEAXwAxAF8AXwAyAF8ATQBlAHQAaABhAG4AZQBQAHIAbwBkAHUAYwB0AGkAbwBuAFAAZQByAEMAbABhAHMAcwBfAFQAaQB0AGwAZQBcAG4AIAAgAD0ATABBAE0AQgBEAEEAKABcACIATQBlAHQAaABhAG4AZQAgAHAAcgBvAGQAdQBjAHQAaQBvAG4AIABmAHIAbwBtACAAdABoAGUAIABtAGEAbgB1AHIAZQAgAG8AZgAgAGUAYQBjAGgAIABjAGwAYQBzAHMAIABvAGYAIABzAHcAaQBuAGUAXAAiACkAOwBcAG4AXABuAFYARQBFAFIARwBfADQAXwA1AF8AMQBfADEAXwBfADIAXwBNAGUAdABoAGEAbgBlAFAAcgBvAGQAdQBjAHQAaQBvAG4AUABlAHIAQwBsAGEAcwBzAF8AVgBhAHIAaQBhAGIAbABlAFwAbgAgACAAPQBMAEEATQBCAEQAQQAoAFwAIgBNAG0AagBcACIAKQA7AFwAbgBcAG4AVgBFAEUAUgBHAF8ANABfADUAXwAxAF8AMQBfAF8AMgBfAE0AZQB0AGgAYQBuAGUAUAByAG8AZAB1AGMAdABpAG8AbgBQAGUAcgBDAGwAYQBzAHMAXwBVAG4AaQB0AFwAbgAgACAAPQBMAEEATQBCAEQAQQAoAFwAIgBrAGcAIABDAEgANAAvAGgAZQBhAGQALwBkAGEAeQBcACIAKQA7AFwAbgBcAG4AVgBFAEUAUgBHAF8ANABfADUAXwAxAF8AMQBfAF8AMgBfAE0AZQB0AGgAYQBuAGUAUAByAG8AZAB1AGMAdABpAG8AbgBQAGUAcgBDAGwAYQBzAHMAXwBTAG8AdQByAGMAZQBcAG4AIAAgAD0ATABBAE0AQgBEAEEAKABcACIAVgBFAEUAUgBHACAAMgAwADIANgA6ACAANAAuADUALgAxAC4AMQAsACAARQBxAHUAYQB0AGkAbwBuACAAKAAyACkAXAAiACkAOwBcAG4AXABuAFYARQBFAFIARwBfADQAXwA1AF8AMQBfADEAXwBfADIAXwBNAGUAdABoAGEAbgBlAFAAcgBvAGQAdQBjAHQAaQBvAG4AUABlAHIAQwBsAGEAcwBzAF8ATgBJAFIAUgBlAGYAZQByAGUAbgBjAGUAXABuACAAIAA9AEwAQQBNAEIARABBACgAXAAiAFwAIgApADsAXABuAFwAbgBWAEUARQBSAEcAXwA0AF8ANQBfADEAXwAxAF8AXwAyAF8ATQBlAHQAaABhAG4AZQBQAHIAbwBkAHUAYwB0AGkAbwBuAFAAZQByAEMAbABhAHMAcwBfAEwAYQB0AGUAeABFAHEAdQBhAHQAaQBvAG4AXABuACAAIAA9AEwAQQBNAEIARABBACgAXAAiAE0AXwB7AG0AagB9AD0AXABcAHMAdQBtAF8AewBtAH0AXABcAHMAdQBtAF8AewBUAH0ATQBfAHsAagBtAFQAfQBcACIAKQA7AFwAbgBcAG4AVgBFAEUAUgBHAF8ANABfADUAXwAxAF8AMQBfAF8AMgBfAE0AZQB0AGgAYQBuAGUAUAByAG8AZAB1AGMAdABpAG8AbgBQAGUAcgBDAGwAYQBzAHMAXwBBAHIAZwB1AG0AZQBuAHQAcwBcAG4AIAAgAD0ATABBAE0AQgBEAEEAKABcAG4AIAAgACAAIABNAEEASwBFAEEAUgBSAEEAWQAoADEALAAgADIALABcAG4AIAAgACAAIAAgACAATABBAE0AQgBEAEEAKAByACwAYwAsAFwAbgAgACAAIAAgACAAIAAgACAASQBOAEQARQBYACgAewBcAG4AIAAgACAAIAAgACAAIAAgACAAIABcACIATQBqAG0AVABcACIALABcACIAbQBlAHQAaABhAG4AZQAgAHAAcgBvAGQAdQBjAHQAaQBvAG4AIABmAHIAbwBtACAAbQBhAG4AdQByAGUAIABwAGUAcgAgAGMAbABhAHMAcwAsACAATQBNAFMALAAgAGEAbgBkACAAdAByAGUAYQB0AG0AZQBuAHQAIABzAHQAYQBnAGUAIAA6ACAAawBnACAAQwBIADQALwBoAGUAYQBkAC8AZABhAHkAXAAiAFwAbgAgACAAIAAgACAAIAAgACAAfQAsACAAcgAsACAAYwApAFwAbgAgACAAIAAgACAAIAApAFwAbgAgACAAIAAgACkAXABuACAAIAApADsAXABuAFwAbgBWAEUARQBSAEcAXwA0AF8ANQBfADEAXwAxAF8AXwAyAF8ATQBlAHQAaABhAG4AZQBQAHIAbwBkAHUAYwB0AGkAbwBuAFAAZQByAEMAbABhAHMAcwBfAFYAYQByAGkAYQB0AGkAbwBuAFwAbgAgACAAPQBMAEEATQBCAEQAQQAoAFwAIgBWAEEAUgBJAEEAVABJAE8ATgAgAE8ATgAgAFMATwBVAFIAQwBFADoAIABTAHAAbABpAHQAIAB2AGEAcgBpAGEAYgBsAGUAIABNAGoAbQAgAGkAbgB0AG8AIABNAGoAbQBUADEAIABhAG4AZAAgAE0AagBtAFQAMgAgAGYAbwByACAAcwB0AGEAZwBlACAAMQAgAGEAbgBkACAAMgAgAE0ATQBTAC4AXAAiACkAOwBcAG4AXABuAC8AKgBcAG4ALQAtAC0ALQAtAC0ALQAtAC0ALQAtAC0ALQAtAC0ALQAtAC0ALQAtAC0ALQAtAC0ALQAtAC0ALQAtAC0ALQAtAC0ALQAtAC0ALQAtAFwAbgBWAEUARQBSAEcAXwA0AF8ANQBfADEAXwAxAF8AXwAzAF8AUwB0AGEAZwBlADEATQBlAHQAaABhAG4AZQBQAHIAbwBkAHUAYwB0AGkAbwBuAFwAbgBQAHIAbwBkAHUAYwB0AGkAbwBuACAAbwBmACAAbQBlAHQAaABhAG4AZQAgAGkAbgAgAHQAcgBlAGEAdABtAGUAbgB0ACAAcwB0AGEAZwBlACAAMQAgAE0ATQBTAFwAbgBNAGkAagBtAFQAMQBcAG4AawBnACAAQwBIADQALwBoAGUAYQBkAC8AZABhAHkAXABuAE0AXwB7AGkAagBtACwAVAA9ADEAfQA9AFYAUwBfAHsAagB9AFwAXAB0AGkAbQBlAHMAIABGAFYAUwBfAHsAagBtACwAVAA9ADEAfQBcAFwAdABpAG0AZQBzACAATQBDAEYAXwB7AGkAbQB9AFwAXAB0AGkAbQBlAHMAIABCAE8AXABcAHQAaQBtAGUAcwAgAFwAXAByAGgAbwBcAG4AVgBTAGoAIAA9ACAAdgBvAGwAYQB0AGkAbABlACAAcwBvAGwAaQBkACAAcAByAG8AZAB1AGMAdABpAG8AbgAgAGYAcgBvAG0AIABzAHcAaQBuAGUAIABpAG4AIABlAGEAYwBoACAAYwBsAGEAcwBzACAAOgAgAGsAZwAvAGgAZQBhAGQALwBkAGEAeQBcAG4ARgBWAFMAagBtAFQAMQAgAD0AIABmAHIAYQBjAHQAaQBvAG4AIABvAGYAIAB2AG8AbABhAHQAaQBsAGUAIABzAG8AbABpAGQAcwAgAGkAbgAgAGUAYQBjAGgAIABwAHIAaQBtAGEAcgB5ACAAcwB5AHMAdABlAG0AIAA6ACAAZgByAGEAYwB0AGkAbwBuAFwAbgBNAEMARgBpAG0AIAA9ACAAbQBlAHQAaABhAG4AZQAgAGMAbwBuAHYAZQByAHMAaQBvAG4AIABmAGEAYwB0AG8AcgAgAGYAbwByACAAdABlAG0AcABlAHIAYQB0AGUAIAB6AG8AbgBlACAAYQBuAGQAIABzAHkAcwB0AGUAbQAgADoAIABmAHIAYQBjAHQAaQBvAG4AXABuAEIATwAgAD0AIABlAG0AaQBzAHMAaQBvAG4AcwAgAHAAbwB0AGUAbgB0AGkAYQBsACAAOgAgAG0AMwAgAEMASAA0AC8AawBnACAAVgBTAFwAbgByAGgAbwAgAD0AIABkAGUAbgBzAGkAdAB5ACAAbwBmACAAbQBlAHQAaABhAG4AZQAgADoAIABrAGcALwBtADMAXABuAC0ALQAtAC0ALQAtAC0ALQAtAC0ALQAtAC0ALQAtAC0ALQAtAC0ALQAtAC0ALQAtAC0ALQAtAC0ALQAtAC0ALQAtAC0ALQAtAC0ALQBcAG4AKgAvAFwAbgBcAG4AVgBFAEUAUgBHAF8ANABfADUAXwAxAF8AMQBfAF8AMwBfAFMAdABhAGcAZQAxAE0AZQB0AGgAYQBuAGUAUAByAG8AZAB1AGMAdABpAG8AbgBcAG4AIAAgAD0ATABBAE0AQgBEAEEAKABcAG4AIAAgACAAIABWAFMAagAsACAARgBWAFMAagBtAFQAMQAsACAATQBDAEYAaQBtACwAIABCAE8ALAAgAHIAaABvACwAXABuACAAIAAgACAAVgBTAGoAIAAqACAARgBWAFMAagBtAFQAMQAgACoAIABNAEMARgBpAG0AIAAqACAAQgBPACAAKgAgAHIAaABvAFwAbgAgACAAKQA7AFwAbgBcAG4AVgBFAEUAUgBHAF8ANABfADUAXwAxAF8AMQBfAF8AMwBfAFMAdABhAGcAZQAxAE0AZQB0AGgAYQBuAGUAUAByAG8AZAB1AGMAdABpAG8AbgBfAFQAaQB0AGwAZQBcAG4AIAAgAD0ATABBAE0AQgBEAEEAKABcACIAUAByAG8AZAB1AGMAdABpAG8AbgAgAG8AZgAgAG0AZQB0AGgAYQBuAGUAIABpAG4AIAB0AHIAZQBhAHQAbQBlAG4AdAAgAHMAdABhAGcAZQAgADEAIABNAE0AUwBcACIAKQA7AFwAbgBcAG4AVgBFAEUAUgBHAF8ANABfADUAXwAxAF8AMQBfAF8AMwBfAFMAdABhAGcAZQAxAE0AZQB0AGgAYQBuAGUAUAByAG8AZAB1AGMAdABpAG8AbgBfAFYAYQByAGkAYQBiAGwAZQBcAG4AIAAgAD0ATABBAE0AQgBEAEEAKABcACIATQBpAGoAbQBUADEAXAAiACkAOwBcAG4AXABuAFYARQBFAFIARwBfADQAXwA1AF8AMQBfADEAXwBfADMAXwBTAHQAYQBnAGUAMQBNAGUAdABoAGEAbgBlAFAAcgBvAGQAdQBjAHQAaQBvAG4AXwBVAG4AaQB0AFwAbgAgACAAPQBMAEEATQBCAEQAQQAoAFwAIgBrAGcAIABDAEgANAAvAGgAZQBhAGQALwBkAGEAeQBcACIAKQA7AFwAbgBcAG4AVgBFAEUAUgBHAF8ANABfADUAXwAxAF8AMQBfAF8AMwBfAFMAdABhAGcAZQAxAE0AZQB0AGgAYQBuAGUAUAByAG8AZAB1AGMAdABpAG8AbgBfAFMAbwB1AHIAYwBlAFwAbgAgACAAPQBMAEEATQBCAEQAQQAoAFwAIgBWAEUARQBSAEcAIAAyADAAMgA2ADoAIAA0AC4ANQAuADEALgAxACwAIABFAHEAdQBhAHQAaQBvAG4AIAAoADMAKQBcACIAKQA7AFwAbgBcAG4AVgBFAEUAUgBHAF8ANABfADUAXwAxAF8AMQBfAF8AMwBfAFMAdABhAGcAZQAxAE0AZQB0AGgAYQBuAGUAUAByAG8AZAB1AGMAdABpAG8AbgBfAE4ASQBSAFIAZQBmAGUAcgBlAG4AYwBlAFwAbgAgACAAPQBMAEEATQBCAEQAQQAoAFwAIgBcACIAKQA7AFwAbgBcAG4AVgBFAEUAUgBHAF8ANABfADUAXwAxAF8AMQBfAF8AMwBfAFMAdABhAGcAZQAxAE0AZQB0AGgAYQBuAGUAUAByAG8AZAB1AGMAdABpAG8AbgBfAEwAYQB0AGUAeABFAHEAdQBhAHQAaQBvAG4AXABuACAAIAA9AEwAQQBNAEIARABBACgAXAAiAE0AXwB7AGkAagBtACwAVAA9ADEAfQA9AFYAUwBfAHsAagB9AFwAXAB0AGkAbQBlAHMAIABGAFYAUwBfAHsAagBtACwAVAA9ADEAfQBcAFwAdABpAG0AZQBzACAATQBDAEYAXwB7AGkAbQB9AFwAXAB0AGkAbQBlAHMAIABCAE8AXABcAHQAaQBtAGUAcwAgAFwAXAByAGgAbwBcACIAKQA7AFwAbgBcAG4AVgBFAEUAUgBHAF8ANABfADUAXwAxAF8AMQBfAF8AMwBfAFMAdABhAGcAZQAxAE0AZQB0AGgAYQBuAGUAUAByAG8AZAB1AGMAdABpAG8AbgBfAEEAcgBnAHUAbQBlAG4AdABzAFwAbgAgACAAPQBMAEEATQBCAEQAQQAoAFwAbgAgACAAIAAgAE0AQQBLAEUAQQBSAFIAQQBZACgANQAsACAAMgAsAFwAbgAgACAAIAAgACAAIABMAEEATQBCAEQAQQAoAHIALABjACwAXABuACAAIAAgACAAIAAgACAAIABJAE4ARABFAFgAKAB7AFwAbgAgACAAIAAgACAAIAAgACAAIAAgAFwAIgBWAFMAagBcACIALABcACIAdgBvAGwAYQB0AGkAbABlACAAcwBvAGwAaQBkACAAcAByAG8AZAB1AGMAdABpAG8AbgAgAGYAcgBvAG0AIABzAHcAaQBuAGUAIABpAG4AIABlAGEAYwBoACAAYwBsAGEAcwBzACAAOgAgAGsAZwAvAGgAZQBhAGQALwBkAGEAeQBcACIAOwBcAG4AIAAgACAAIAAgACAAIAAgACAAIABcACIARgBWAFMAagBtAFQAMQBcACIALABcACIAZgByAGEAYwB0AGkAbwBuACAAbwBmACAAdgBvAGwAYQB0AGkAbABlACAAcwBvAGwAaQBkAHMAIABpAG4AIABlAGEAYwBoACAAcAByAGkAbQBhAHIAeQAgAHMAeQBzAHQAZQBtACAAOgAgAGYAcgBhAGMAdABpAG8AbgBcACIAOwBcAG4AIAAgACAAIAAgACAAIAAgACAAIABcACIATQBDAEYAaQBtAFwAIgAsAFwAIgBtAGUAdABoAGEAbgBlACAAYwBvAG4AdgBlAHIAcwBpAG8AbgAgAGYAYQBjAHQAbwByACAAZgBvAHIAIAB0AGUAbQBwAGUAcgBhAHQAZQAgAHoAbwBuAGUAIABhAG4AZAAgAHMAeQBzAHQAZQBtACAAOgAgAGYAcgBhAGMAdABpAG8AbgBcACIAOwBcAG4AIAAgACAAIAAgACAAIAAgACAAIABcACIAQgBPAFwAIgAsAFwAIgBlAG0AaQBzAHMAaQBvAG4AcwAgAHAAbwB0AGUAbgB0AGkAYQBsACAAOgAgAG0AMwAgAEMASAA0AC8AawBnACAAVgBTAFwAIgA7AFwAbgAgACAAIAAgACAAIAAgACAAIAAgAFwAIgByAGgAbwBcACIALABcACIAZABlAG4AcwBpAHQAeQAgAG8AZgAgAG0AZQB0AGgAYQBuAGUAIAA6ACAAawBnAC8AbQAzAFwAIgBcAG4AIAAgACAAIAAgACAAIAAgAH0ALAAgAHIALAAgAGMAKQBcAG4AIAAgACAAIAAgACAAKQBcAG4AIAAgACAAIAApAFwAbgAgACAAKQA7AFwAbgBcAG4ALwAqAFwAbgAtAC0ALQAtAC0ALQAtAC0ALQAtAC0ALQAtAC0ALQAtAC0ALQAtAC0ALQAtAC0ALQAtAC0ALQAtAC0ALQAtAC0ALQAtAC0ALQAtAC0AXABuAFYARQBFAFIARwBfADQAXwA1AF8AMQBfADEAXwBfADQAXwBGAHIAYQBjAHQAaQBvAG4AVgBvAGwAYQB0AGkAbABlAFMAbwBsAGkAZABzAFAAcgBpAG0AYQByAHkAUwB5AHMAdABlAG0AXABuAEYAcgBhAGMAdABpAG8AbgAgAG8AZgAgAHYAbwBsAGEAdABpAGwAZQAgAHMAbwBsAGkAZABzACAAaQBuACAAZQBhAGMAaAAgAHAAcgBpAG0AYQByAHkAIABzAHkAcwB0AGUAbQAgAG8AdABoAGUAcgAgAHQAaABhAG4AIABzAG8AbABpAGQAIABzAHQAbwByAGEAZwBlAFwAbgBGAFYAUwBqAG0AVAAxAFwAbgBmAHIAYQBjAHQAaQBvAG4AXABuAEYAVgBTAF8AewBqAG0ALABUAD0AMQB9AD0ATQBNAFMAXwB7AGoAbQAsAFQAPQAxAH0AXABcAHQAaQBtAGUAcwAoADEALQBTAFMAXwB7AG0AfQApAFwAbgBNAE0AUwBqAG0AVAAxACAAPQAgAGYAcgBhAGMAdABpAG8AbgAgAG8AZgAgAG0AYQBuAHUAcgBlACAAdABvACAAZQBhAGMAaAAgAHAAcgBpAG0AYQByAHkAIABNAE0AUwAgAGYAbwByACAAZQBhAGMAaAAgAGMAbABhAHMAcwAgAHAAcgBpAG8AcgAgAHQAbwAgAHMAbwBsAGkAZAAgAHMAZQBwAGEAcgBhAHQAaQBvAG4AIAA6ACAAZgByAGEAYwB0AGkAbwBuAFwAbgBTAFMAbQAgAD0AIABmAHIAYQBjAHQAaQBvAG4AIABvAGYAIAB2AG8AbABhAHQAaQBsAGUAIABzAG8AbABpAGQAcwAgAHMAZQBwAGEAcgBhAHQAZQBkACAAdABvACAAcwBvAGwAaQBkACAAcwB0AG8AcgBhAGcAZQAgAGYAbwByACAAZQBhAGMAaAAgAE0ATQBTACAAOgAgAGYAcgBhAGMAdABpAG8AbgBcAG4ALQAtAC0ALQAtAC0ALQAtAC0ALQAtAC0ALQAtAC0ALQAtAC0ALQAtAC0ALQAtAC0ALQAtAC0ALQAtAC0ALQAtAC0ALQAtAC0ALQAtAFwAbgAqAC8AXABuAFwAbgBWAEUARQBSAEcAXwA0AF8ANQBfADEAXwAxAF8AXwA0AF8ARgByAGEAYwB0AGkAbwBuAFYAbwBsAGEAdABpAGwAZQBTAG8AbABpAGQAcwBQAHIAaQBtAGEAcgB5AFMAeQBzAHQAZQBtAFwAbgAgACAAPQBMAEEATQBCAEQAQQAoAFwAbgAgACAAIAAgAE0ATQBTAGoAbQBUADEALAAgAFMAUwBtACwAXABuACAAIAAgACAATQBNAFMAagBtAFQAMQAgACoAIAAoADEAIAAtACAAUwBTAG0AKQBcAG4AIAAgACkAOwBcAG4AXABuAFYARQBFAFIARwBfADQAXwA1AF8AMQBfADEAXwBfADQAXwBGAHIAYQBjAHQAaQBvAG4AVgBvAGwAYQB0AGkAbABlAFMAbwBsAGkAZABzAFAAcgBpAG0AYQByAHkAUwB5AHMAdABlAG0AXwBUAGkAdABsAGUAXABuACAAIAA9AEwAQQBNAEIARABBACgAXAAiAEYAcgBhAGMAdABpAG8AbgAgAG8AZgAgAHYAbwBsAGEAdABpAGwAZQAgAHMAbwBsAGkAZABzACAAaQBuACAAZQBhAGMAaAAgAHAAcgBpAG0AYQByAHkAIABzAHkAcwB0AGUAbQAgAG8AdABoAGUAcgAgAHQAaABhAG4AIABzAG8AbABpAGQAIABzAHQAbwByAGEAZwBlAFwAIgApADsAXABuAFwAbgBWAEUARQBSAEcAXwA0AF8ANQBfADEAXwAxAF8AXwA0AF8ARgByAGEAYwB0AGkAbwBuAFYAbwBsAGEAdABpAGwAZQBTAG8AbABpAGQAcwBQAHIAaQBtAGEAcgB5AFMAeQBzAHQAZQBtAF8AVgBhAHIAaQBhAGIAbABlAFwAbgAgACAAPQBMAEEATQBCAEQAQQAoAFwAIgBGAFYAUwBqAG0AVAAxAFwAIgApADsAXABuAFwAbgBWAEUARQBSAEcAXwA0AF8ANQBfADEAXwAxAF8AXwA0AF8ARgByAGEAYwB0AGkAbwBuAFYAbwBsAGEAdABpAGwAZQBTAG8AbABpAGQAcwBQAHIAaQBtAGEAcgB5AFMAeQBzAHQAZQBtAF8AVQBuAGkAdABcAG4AIAAgAD0ATABBAE0AQgBEAEEAKABcACIAZgByAGEAYwB0AGkAbwBuAFwAIgApADsAXABuAFwAbgBWAEUARQBSAEcAXwA0AF8ANQBfADEAXwAxAF8AXwA0AF8ARgByAGEAYwB0AGkAbwBuAFYAbwBsAGEAdABpAGwAZQBTAG8AbABpAGQAcwBQAHIAaQBtAGEAcgB5AFMAeQBzAHQAZQBtAF8AUwBvAHUAcgBjAGUAXABuACAAIAA9AEwAQQBNAEIARABBACgAXAAiAFYARQBFAFIARwAgADIAMAAyADYAOgAgADQALgA1AC4AMQAuADEALAAgAEUAcQB1AGEAdABpAG8AbgAgACgANAApAFwAIgApADsAXABuAFwAbgBWAEUARQBSAEcAXwA0AF8ANQBfADEAXwAxAF8AXwA0AF8ARgByAGEAYwB0AGkAbwBuAFYAbwBsAGEAdABpAGwAZQBTAG8AbABpAGQAcwBQAHIAaQBtAGEAcgB5AFMAeQBzAHQAZQBtAF8ATgBJAFIAUgBlAGYAZQByAGUAbgBjAGUAXABuACAAIAA9AEwAQQBNAEIARABBACgAXAAiAFwAIgApADsAXABuAFwAbgBWAEUARQBSAEcAXwA0AF8ANQBfADEAXwAxAF8AXwA0AF8ARgByAGEAYwB0AGkAbwBuAFYAbwBsAGEAdABpAGwAZQBTAG8AbABpAGQAcwBQAHIAaQBtAGEAcgB5AFMAeQBzAHQAZQBtAF8ATABhAHQAZQB4AEUAcQB1AGEAdABpAG8AbgBcAG4AIAAgAD0ATABBAE0AQgBEAEEAKABcACIARgBWAFMAXwB7AGoAbQAsAFQAPQAxAH0APQBNAE0AUwBfAHsAagBtACwAVAA9ADEAfQBcAFwAdABpAG0AZQBzACgAMQAtAFMAUwBfAHsAbQB9ACkAXAAiACkAOwBcAG4AXABuAFYARQBFAFIARwBfADQAXwA1AF8AMQBfADEAXwBfADQAXwBGAHIAYQBjAHQAaQBvAG4AVgBvAGwAYQB0AGkAbABlAFMAbwBsAGkAZABzAFAAcgBpAG0AYQByAHkAUwB5AHMAdABlAG0AXwBBAHIAZwB1AG0AZQBuAHQAcwBcAG4AIAAgAD0ATABBAE0AQgBEAEEAKABcAG4AIAAgACAAIABNAEEASwBFAEEAUgBSAEEAWQAoADIALAAgADIALABcAG4AIAAgACAAIAAgACAATABBAE0AQgBEAEEAKAByACwAYwAsAFwAbgAgACAAIAAgACAAIAAgACAASQBOAEQARQBYACgAewBcAG4AIAAgACAAIAAgACAAIAAgACAAIABcACIATQBNAFMAagBtAFQAMQBcACIALABcACIAZgByAGEAYwB0AGkAbwBuACAAbwBmACAAbQBhAG4AdQByAGUAIAB0AG8AIABlAGEAYwBoACAAcAByAGkAbQBhAHIAeQAgAE0ATQBTACAAZgBvAHIAIABlAGEAYwBoACAAYwBsAGEAcwBzACAAcAByAGkAbwByACAAdABvACAAcwBvAGwAaQBkACAAcwBlAHAAYQByAGEAdABpAG8AbgAgADoAIABmAHIAYQBjAHQAaQBvAG4AXAAiADsAXABuACAAIAAgACAAIAAgACAAIAAgACAAXAAiAFMAUwBtAFwAIgAsAFwAIgBmAHIAYQBjAHQAaQBvAG4AIABvAGYAIAB2AG8AbABhAHQAaQBsAGUAIABzAG8AbABpAGQAcwAgAHMAZQBwAGEAcgBhAHQAZQBkACAAdABvACAAcwBvAGwAaQBkACAAcwB0AG8AcgBhAGcAZQAgAGYAbwByACAAZQBhAGMAaAAgAE0ATQBTACAAOgAgAGYAcgBhAGMAdABpAG8AbgBcACIAXABuACAAIAAgACAAIAAgACAAIAB9ACwAIAByACwAIABjACkAXABuACAAIAAgACAAIAAgACkAXABuACAAIAAgACAAKQBcAG4AIAAgACkAOwBcAG4AXABuAFYARQBFAFIARwBfADQAXwA1AF8AMQBfADEAXwBfADQAXwBGAHIAYQBjAHQAaQBvAG4AVgBvAGwAYQB0AGkAbABlAFMAbwBsAGkAZABzAFAAcgBpAG0AYQByAHkAUwB5AHMAdABlAG0AXwBWAGEAcgBpAGEAdABpAG8AbgBcAG4AIAAgAD0ATABBAE0AQgBEAEEAKABcACIAXAAiACkAOwBcAG4AXABuAC8AKgBcAG4ALQAtAC0ALQAtAC0ALQAtAC0ALQAtAC0ALQAtAC0ALQAtAC0ALQAtAC0ALQAtAC0ALQAtAC0ALQAtAC0ALQAtAC0ALQAtAC0ALQAtAFwAbgBWAEUARQBSAEcAXwA0AF8ANQBfADEAXwAxAF8AXwA1AF8ARgByAGEAYwB0AGkAbwBuAFYAbwBsAGEAdABpAGwAZQBTAG8AbABpAGQAcwBTAG8AbABpAGQAUwB0AG8AcgBhAGcAZQBcAG4ARgByAGEAYwB0AGkAbwBuACAAbwBmACAAdgBvAGwAYQB0AGkAbABlACAAcwBvAGwAaQBkAHMAIABpAG4AIABzAG8AbABpAGQAIABzAHQAbwByAGEAZwBlAFwAbgBGAFYAUwBqAG0ANABUADEAXABuAGYAcgBhAGMAdABpAG8AbgBcAG4ARgBWAFMAXwB7AGoALABtAD0ANAAsAFQAPQAxAH0APQBNAE0AUwBfAHsAagAsAG0APQA0ACwAVAA9ADEAfQArACgATQBNAFMAXwB7AGoALABtAD0AMQAsADcALAA5ACwAVAA9ADEAfQBcAFwAdABpAG0AZQBzACAAUwBTAF8AewBtAH0AKQBcAG4ATQBNAFMAagBtADQAVAAxACAAPQAgAGYAcgBhAGMAdABpAG8AbgAgAG8AZgAgAG0AYQBuAHUAcgBlACAAaQBuACAAcwBvAGwAaQBkACAAcwB0AG8AcgBhAGcAZQAgAHAAcgBpAG0AYQByAHkAIABzAHkAcwB0AGUAbQAgADoAIABmAHIAYQBjAHQAaQBvAG4AXABuAE0ATQBTAGoAbQAxADcAOQBUADEAIAA9ACAAZgByAGEAYwB0AGkAbwBuACAAbwBmACAAbQBhAG4AdQByAGUAIABpAG4AIABNAE0AUwAgADEALAAgADcALAAgAGEAbgBkACAAOQAgAGkAbgAgAHQAcgBlAGEAdABtAGUAbgB0ACAAcwB0AGEAZwBlACAAMQAgADoAIABmAHIAYQBjAHQAaQBvAG4AXABuAFMAUwBtACAAPQAgAGYAcgBhAGMAdABpAG8AbgAgAG8AZgAgAHYAbwBsAGEAdABpAGwAZQAgAHMAbwBsAGkAZABzACAAcwBlAHAAYQByAGEAdABlAGQAIAB0AG8AIABzAG8AbABpAGQAIABzAHQAbwByAGEAZwBlACAAZgBvAHIAIABlAGEAYwBoACAATQBNAFMAIAA6ACAAZgByAGEAYwB0AGkAbwBuAFwAbgAtAC0ALQAtAC0ALQAtAC0ALQAtAC0ALQAtAC0ALQAtAC0ALQAtAC0ALQAtAC0ALQAtAC0ALQAtAC0ALQAtAC0ALQAtAC0ALQAtAC0AXABuACoALwBcAG4AXABuAFYARQBFAFIARwBfADQAXwA1AF8AMQBfADEAXwBfADUAXwBGAHIAYQBjAHQAaQBvAG4AVgBvAGwAYQB0AGkAbABlAFMAbwBsAGkAZABzAFMAbwBsAGkAZABTAHQAbwByAGEAZwBlAFwAbgAgACAAPQBMAEEATQBCAEQAQQAoAFwAbgAgACAAIAAgAE0ATQBTAGoAbQA0AFQAMQAsACAATQBNAFMAagBtADEANwA5AFQAMQAsACAAUwBTAG0ALABcAG4AIAAgACAAIABNAE0AUwBqAG0ANABUADEAIAArACAAKABNAE0AUwBqAG0AMQA3ADkAVAAxACAAKgAgAFMAUwBtACkAXABuACAAIAApADsAXABuAFwAbgBWAEUARQBSAEcAXwA0AF8ANQBfADEAXwAxAF8AXwA1AF8ARgByAGEAYwB0AGkAbwBuAFYAbwBsAGEAdABpAGwAZQBTAG8AbABpAGQAcwBTAG8AbABpAGQAUwB0AG8AcgBhAGcAZQBWAGEAcgBpAGEAdABpAG8AbgBcAG4AIAAgAD0ATABBAE0AQgBEAEEAKABcAG4AIAAgACAAIABNAE0AUwBqAG0ANABUADEALABcAG4AIAAgACAAIABNAE0AUwBqAG0AVAAxAF8AMQAsACAATQBNAFMAagBtAFQAMQBfADIALAAgAE0ATQBTAGoAbQBUADEAXwAzACwAIABNAE0AUwBqAG0AVAAxAF8ANAAsACAATQBNAFMAagBtAFQAMQBfADUALABcAG4AIAAgACAAIABTAFMAagBtAFQAMQBfADEALAAgAFMAUwBqAG0AVAAxAF8AMgAsACAAUwBTAGoAbQBUADEAXwAzACwAIABTAFMAagBtAFQAMQBfADQALAAgAFMAUwBqAG0AVAAxAF8ANQAsAFwAbgAgACAAIAAgACAAIABNAE0AUwBqAG0ANABUADEAIAArACAAXABuACAAIAAgACAAIAAgACgATQBNAFMAagBtAFQAMQBfADEAIAAqACAAUwBTAGoAbQBUADEAXwAxACkAIAArACAAXABuACAAIAAgACAAIAAgACgATQBNAFMAagBtAFQAMQBfADIAIAAqACAAUwBTAGoAbQBUADEAXwAyACkAIAArACAAXABuACAAIAAgACAAIAAgACgATQBNAFMAagBtAFQAMQBfADMAIAAqACAAUwBTAGoAbQBUADEAXwAzACkAIAArAFwAbgAgACAAIAAgACAAIAAoAE0ATQBTAGoAbQBUADEAXwA0ACAAKgAgAFMAUwBqAG0AVAAxAF8ANAApACAAKwBcAG4AIAAgACAAIAAgACAAKABNAE0AUwBqAG0AVAAxAF8ANQAgACoAIABTAFMAagBtAFQAMQBfADUAKQBcAG4AIAAgACkAOwBcAG4AXABuAFYARQBFAFIARwBfADQAXwA1AF8AMQBfADEAXwBfADUAXwBGAHIAYQBjAHQAaQBvAG4AVgBvAGwAYQB0AGkAbABlAFMAbwBsAGkAZABzAFMAbwBsAGkAZABTAHQAbwByAGEAZwBlAF8AVABpAHQAbABlAFwAbgAgACAAPQBMAEEATQBCAEQAQQAoAFwAIgBGAHIAYQBjAHQAaQBvAG4AIABvAGYAIAB2AG8AbABhAHQAaQBsAGUAIABzAG8AbABpAGQAcwAgAGkAbgAgAHMAbwBsAGkAZAAgAHMAdABvAHIAYQBnAGUAXAAiACkAOwBcAG4AXABuAFYARQBFAFIARwBfADQAXwA1AF8AMQBfADEAXwBfADUAXwBGAHIAYQBjAHQAaQBvAG4AVgBvAGwAYQB0AGkAbABlAFMAbwBsAGkAZABzAFMAbwBsAGkAZABTAHQAbwByAGEAZwBlAF8AVgBhAHIAaQBhAGIAbABlAFwAbgAgACAAPQBMAEEATQBCAEQAQQAoAFwAIgBGAFYAUwBqAG0ANABUADEAXAAiACkAOwBcAG4AXABuAFYARQBFAFIARwBfADQAXwA1AF8AMQBfADEAXwBfADUAXwBGAHIAYQBjAHQAaQBvAG4AVgBvAGwAYQB0AGkAbABlAFMAbwBsAGkAZABzAFMAbwBsAGkAZABTAHQAbwByAGEAZwBlAF8AVQBuAGkAdABcAG4AIAAgAD0ATABBAE0AQgBEAEEAKABcACIAZgByAGEAYwB0AGkAbwBuAFwAIgApADsAXABuAFwAbgBWAEUARQBSAEcAXwA0AF8ANQBfADEAXwAxAF8AXwA1AF8ARgByAGEAYwB0AGkAbwBuAFYAbwBsAGEAdABpAGwAZQBTAG8AbABpAGQAcwBTAG8AbABpAGQAUwB0AG8AcgBhAGcAZQBfAFMAbwB1AHIAYwBlAFwAbgAgACAAPQBMAEEATQBCAEQAQQAoAFwAIgBWAEUARQBSAEcAIAAyADAAMgA2ADoAIAA0AC4ANQAuADEALgAxACwAIABFAHEAdQBhAHQAaQBvAG4AIAAoADUAKQBcACIAKQA7AFwAbgBcAG4AVgBFAEUAUgBHAF8ANABfADUAXwAxAF8AMQBfAF8ANQBfAEYAcgBhAGMAdABpAG8AbgBWAG8AbABhAHQAaQBsAGUAUwBvAGwAaQBkAHMAUwBvAGwAaQBkAFMAdABvAHIAYQBnAGUAXwBOAEkAUgBSAGUAZgBlAHIAZQBuAGMAZQBcAG4AIAAgAD0ATABBAE0AQgBEAEEAKABcACIAXAAiACkAOwBcAG4AXABuAFYARQBFAFIARwBfADQAXwA1AF8AMQBfADEAXwBfADUAXwBGAHIAYQBjAHQAaQBvAG4AVgBvAGwAYQB0AGkAbABlAFMAbwBsAGkAZABzAFMAbwBsAGkAZABTAHQAbwByAGEAZwBlAF8ATABhAHQAZQB4AEUAcQB1AGEAdABpAG8AbgBcAG4AIAAgAD0ATABBAE0AQgBEAEEAKABcACIARgBWAFMAXwB7AGoALABtAD0ANAAsAFQAPQAxAH0APQBNAE0AUwBfAHsAagAsAG0APQA0ACwAVAA9ADEAfQArACgATQBNAFMAXwB7AGoALABtAD0AMQAsADcALAA5ACwAVAA9ADEAfQBcAFwAdABpAG0AZQBzACAAUwBTAF8AewBtAH0AKQBcACIAKQA7AFwAbgBcAG4AVgBFAEUAUgBHAF8ANABfADUAXwAxAF8AMQBfAF8ANQBfAEYAcgBhAGMAdABpAG8AbgBWAG8AbABhAHQAaQBsAGUAUwBvAGwAaQBkAHMAUwBvAGwAaQBkAFMAdABvAHIAYQBnAGUAXwBMAGEAdABlAHgARQBxAHUAYQB0AGkAbwBuAFYAYQByAGkAYQB0AGkAbwBuAFwAbgAgACAAPQBMAEEATQBCAEQAQQAoAFwAIgBGAFYAUwBfAHsAagAsAG0APQA0ACwAVAA9ADEAfQA9AE0ATQBTAF8AewBqACwAbQA9ADQALABUAD0AMQB9ACsAKABNAE0AUwBfAHsAagAsAG0APQAxACwAVAA9ADEAfQBcAFwAdABpAG0AZQBzACAAUwBTAF8AewBtAD0AMQAsAFQAPQAxAH0AKQArACgATQBNAFMAXwB7AGoALABtAD0ANwAsAFQAPQAxAH0AXABcAHQAaQBtAGUAcwAgAFMAUwBfAHsAbQA9ADcALABUAD0AMQB9ACkAKwAoAE0ATQBTAF8AewBqACwAbQA9ADkALABUAD0AMQB9AFwAXAB0AGkAbQBlAHMAIABTAFMAXwB7AG0APQA5ACwAVAA9ADEAfQApAFwAIgApADsAXABuAFwAbgBWAEUARQBSAEcAXwA0AF8ANQBfADEAXwAxAF8AXwA1AF8ARgByAGEAYwB0AGkAbwBuAFYAbwBsAGEAdABpAGwAZQBTAG8AbABpAGQAcwBTAG8AbABpAGQAUwB0AG8AcgBhAGcAZQBfAEEAcgBnAHUAbQBlAG4AdABzAFwAbgAgACAAPQBMAEEATQBCAEQAQQAoAFwAbgAgACAAIAAgAE0AQQBLAEUAQQBSAFIAQQBZACgAMwAsACAAMgAsAFwAbgAgACAAIAAgACAAIABMAEEATQBCAEQAQQAoAHIALABjACwAXABuACAAIAAgACAAIAAgACAAIABJAE4ARABFAFgAKAB7AFwAbgAgACAAIAAgACAAIAAgACAAIAAgAFwAIgBNAE0AUwBqAG0ANABUADEAXAAiACwAXAAiAGYAcgBhAGMAdABpAG8AbgAgAG8AZgAgAG0AYQBuAHUAcgBlACAAaQBuACAAcwBvAGwAaQBkACAAcwB0AG8AcgBhAGcAZQAgAHAAcgBpAG0AYQByAHkAIABzAHkAcwB0AGUAbQAgADoAIABmAHIAYQBjAHQAaQBvAG4AXAAiADsAXABuACAAIAAgACAAIAAgACAAIAAgACAAXAAiAE0ATQBTAGoAbQAxADcAOQBUADEAXAAiACwAXAAiAGYAcgBhAGMAdABpAG8AbgAgAG8AZgAgAG0AYQBuAHUAcgBlACAAaQBuACAATQBNAFMAIAAxACwAIAA3ACwAIABhAG4AZAAgADkAIABpAG4AIAB0AHIAZQBhAHQAbQBlAG4AdAAgAHMAdABhAGcAZQAgADEAIAA6ACAAZgByAGEAYwB0AGkAbwBuAFwAIgA7AFwAbgAgACAAIAAgACAAIAAgACAAIAAgAFwAIgBTAFMAbQBcACIALABcACIAZgByAGEAYwB0AGkAbwBuACAAbwBmACAAdgBvAGwAYQB0AGkAbABlACAAcwBvAGwAaQBkAHMAIABzAGUAcABhAHIAYQB0AGUAZAAgAHQAbwAgAHMAbwBsAGkAZAAgAHMAdABvAHIAYQBnAGUAIABmAG8AcgAgAGUAYQBjAGgAIABNAE0AUwAgADoAIABmAHIAYQBjAHQAaQBvAG4AXAAiAFwAbgAgACAAIAAgACAAIAAgACAAfQAsACAAcgAsACAAYwApAFwAbgAgACAAIAAgACAAIAApAFwAbgAgACAAIAAgACkAXABuACAAIAApADsAXABuAFwAbgBWAEUARQBSAEcAXwA0AF8ANQBfADEAXwAxAF8AXwA1AF8ARgByAGEAYwB0AGkAbwBuAFYAbwBsAGEAdABpAGwAZQBTAG8AbABpAGQAcwBTAG8AbABpAGQAUwB0AG8AcgBhAGcAZQBfAFYAYQByAGkAYQB0AGkAbwBuAFwAbgAgACAAPQBMAEEATQBCAEQAQQAoAFwAIgBWAEEAUgBJAEEAVABJAE8ATgAgAE8ATgAgAFMATwBVAFIAQwBFADoAIABTAHAAbABpAHQAIABlAHEAdQBhAHQAaQBvAG4AIABmAG8AcgAgAE0ATQBTAG0APQAxACwANwAsADkAIABpAG4AdABvACAAcwBlAHAAYQByAGEAdABlACAAaQB0AGUAbQBzACAAdABvACAAYQBsAGwAbwB3ACAAZgBvAHIAIABjAGEAbABjAHUAbABhAHQAaQBvAG4AXAAiACkAOwBcAG4AIAAgAFwAbgBcAG4ALwAqAFwAbgAtAC0ALQAtAC0ALQAtAC0ALQAtAC0ALQAtAC0ALQAtAC0ALQAtAC0ALQAtAC0ALQAtAC0ALQAtAC0ALQAtAC0ALQAtAC0ALQAtAC0AXABuAFYARQBFAFIARwBfADQAXwA1AF8AMQBfADEAXwBfADYAXwBTAHQAYQBnAGUAMgBNAGUAdABoAGEAbgBlAFAAcgBvAGQAdQBjAHQAaQBvAG4AXABuAFAAcgBvAGQAdQBjAHQAaQBvAG4AIABvAGYAIABtAGUAdABoAGEAbgBlACAAaQBuACAAZQBhAGMAaAAgAHQAcgBlAGEAdABtAGUAbgB0ACAAcwB0AGEAZwBlACAAMgAgAE0ATQBTAFwAbgBNAGkAagBtAFQAMgBcAG4AawBnACAAQwBIADQALwBoAGUAYQBkAC8AZABhAHkAXABuAE0AXwB7AGkAagBtACwAVAA9ADIAfQA9AFYAUwBUAF8AewBqAG0ALABUAD0AMgB9AFwAXAB0AGkAbQBlAHMAIABCAE8AXABcAHQAaQBtAGUAcwAgAE0ATQBTAF8AewBqAG0ALABUAD0AMgB9AFwAXAB0AGkAbQBlAHMAIABNAEMARgBfAHsAaQBtAH0AXABcAHQAaQBtAGUAcwAgAFwAXAByAGgAbwBcAG4AVgBTAFQAagBtAFQAMgAgAD0AIAB2AG8AbABhAHQAaQBsAGUAIABzAG8AbABpAGQAcwAgAHQAcgBhAG4AcwBmAGUAcgByAGUAZAAgAHQAbwAgAHQAcgBlAGEAdABtAGUAbgB0ACAAcwB0AGEAZwBlACAAMgAgAE0ATQBTACAAOgAgAGsAZwAvAGgAZQBhAGQALwBkAGEAeQBcAG4AQgBPACAAPQAgAGUAbQBpAHMAcwBpAG8AbgBzACAAcABvAHQAZQBuAHQAaQBhAGwAIAA6ACAAbQAzACAAQwBIADQALwBrAGcAIABWAFMAXABuAE0ATQBTAGoAbQBUADIAIAA9ACAAZgByAGEAYwB0AGkAbwBuACAAbwBmACAAbQBhAG4AdQByAGUAIABpAG4AIABlAGEAYwBoACAAcwBlAGMAbwBuAGQAYQByAHkAIABzAHkAcwB0AGUAbQAgADoAIABmAHIAYQBjAHQAaQBvAG4AXABuAE0AQwBGAGkAbQAgAD0AIABtAGUAdABoAGEAbgBlACAAYwBvAG4AdgBlAHIAcwBpAG8AbgAgAGYAYQBjAHQAbwByACAAZgBvAHIAIAB0AGUAbQBwAGUAcgBhAHQAZQAgAHoAbwBuAGUAIABhAG4AZAAgAHMAeQBzAHQAZQBtACAAOgAgAGYAcgBhAGMAdABpAG8AbgBcAG4AcgBoAG8AIAA9ACAAZABlAG4AcwBpAHQAeQAgAG8AZgAgAG0AZQB0AGgAYQBuAGUAIAA6ACAAawBnAC8AbQAzAFwAbgBpACAAPQAgAHMAdABhAHQAZQBcAG4ALQAtAC0ALQAtAC0ALQAtAC0ALQAtAC0ALQAtAC0ALQAtAC0ALQAtAC0ALQAtAC0ALQAtAC0ALQAtAC0ALQAtAC0ALQAtAC0ALQAtAFwAbgAqAC8AXABuAFwAbgBWAEUARQBSAEcAXwA0AF8ANQBfADEAXwAxAF8AXwA2AF8AUwB0AGEAZwBlADIATQBlAHQAaABhAG4AZQBQAHIAbwBkAHUAYwB0AGkAbwBuAFwAbgAgACAAPQBMAEEATQBCAEQAQQAoAFwAbgAgACAAIAAgAFYAUwBUAGoAbQBUADIALAAgAEIATwAsACAATQBNAFMAagBtAFQAMgAsACAATQBDAEYAaQBtACwAIAByAGgAbwAsAFwAbgAgACAAIAAgAEwARQBUACgAXABuACAAIAAgACAAIAAgAFYAUwBUAGoAbQBUADIALAAgAEkARgAoAEkAUwBOAFUATQBCAEUAUgAoAFYAUwBUAGoAbQBUADIAKQAsACAAVgBTAFQAagBtAFQAMgAsACAAMAApACwAXABuACAAIAAgACAAIAAgAE0ATQBTAGoAbQBUADIALAAgAEkARgAoAEkAUwBOAFUATQBCAEUAUgAoAE0ATQBTAGoAbQBUADIAKQAsACAATQBNAFMAagBtAFQAMgAsACAAMAApACwAXABuACAAIAAgACAAIAAgAFYAUwBUAGoAbQBUADIAIAAqACAAQgBPACAAKgAgAE0ATQBTAGoAbQBUADIAIAAqACAATQBDAEYAaQBtACAAKgAgAHIAaABvAFwAbgAgACAAIAAgACkAXABuACAAIAApADsAXABuAFwAbgBWAEUARQBSAEcAXwA0AF8ANQBfADEAXwAxAF8AXwA2AF8AUwB0AGEAZwBlADIATQBlAHQAaABhAG4AZQBQAHIAbwBkAHUAYwB0AGkAbwBuAF8AVABpAHQAbABlAFwAbgAgACAAPQBMAEEATQBCAEQAQQAoAFwAIgBQAHIAbwBkAHUAYwB0AGkAbwBuACAAbwBmACAAbQBlAHQAaABhAG4AZQAgAGkAbgAgAGUAYQBjAGgAIAB0AHIAZQBhAHQAbQBlAG4AdAAgAHMAdABhAGcAZQAgADIAIABNAE0AUwBcACIAKQA7AFwAbgBcAG4AVgBFAEUAUgBHAF8ANABfADUAXwAxAF8AMQBfAF8ANgBfAFMAdABhAGcAZQAyAE0AZQB0AGgAYQBuAGUAUAByAG8AZAB1AGMAdABpAG8AbgBfAFYAYQByAGkAYQBiAGwAZQBcAG4AIAAgAD0ATABBAE0AQgBEAEEAKABcACIATQBpAGoAbQBUADIAXAAiACkAOwBcAG4AXABuAFYARQBFAFIARwBfADQAXwA1AF8AMQBfADEAXwBfADYAXwBTAHQAYQBnAGUAMgBNAGUAdABoAGEAbgBlAFAAcgBvAGQAdQBjAHQAaQBvAG4AXwBVAG4AaQB0AFwAbgAgACAAPQBMAEEATQBCAEQAQQAoAFwAIgBrAGcAIABDAEgANAAvAGgAZQBhAGQALwBkAGEAeQBcACIAKQA7AFwAbgBcAG4AVgBFAEUAUgBHAF8ANABfADUAXwAxAF8AMQBfAF8ANgBfAFMAdABhAGcAZQAyAE0AZQB0AGgAYQBuAGUAUAByAG8AZAB1AGMAdABpAG8AbgBfAFMAbwB1AHIAYwBlAFwAbgAgACAAPQBMAEEATQBCAEQAQQAoAFwAIgBWAEUARQBSAEcAIAAyADAAMgA2ADoAIAA0AC4ANQAuADEALgAxACwAIABFAHEAdQBhAHQAaQBvAG4AIAAoADYAKQBcACIAKQA7AFwAbgBcAG4AVgBFAEUAUgBHAF8ANABfADUAXwAxAF8AMQBfAF8ANgBfAFMAdABhAGcAZQAyAE0AZQB0AGgAYQBuAGUAUAByAG8AZAB1AGMAdABpAG8AbgBfAE4ASQBSAFIAZQBmAGUAcgBlAG4AYwBlAFwAbgAgACAAPQBMAEEATQBCAEQAQQAoAFwAIgBcACIAKQA7AFwAbgBcAG4AVgBFAEUAUgBHAF8ANABfADUAXwAxAF8AMQBfAF8ANgBfAFMAdABhAGcAZQAyAE0AZQB0AGgAYQBuAGUAUAByAG8AZAB1AGMAdABpAG8AbgBfAEwAYQB0AGUAeABFAHEAdQBhAHQAaQBvAG4AXABuACAAIAA9AEwAQQBNAEIARABBACgAXAAiAE0AXwB7AGkAagBtACwAVAA9ADIAfQA9AFYAUwBUAF8AewBqAG0ALABUAD0AMgB9AFwAXAB0AGkAbQBlAHMAIABCAE8AXABcAHQAaQBtAGUAcwAgAE0ATQBTAF8AewBqAG0ALABUAD0AMgB9AFwAXAB0AGkAbQBlAHMAIABNAEMARgBfAHsAaQBtAH0AXABcAHQAaQBtAGUAcwAgAFwAXAByAGgAbwBcACIAKQA7AFwAbgBcAG4AVgBFAEUAUgBHAF8ANABfADUAXwAxAF8AMQBfAF8ANgBfAFMAdABhAGcAZQAyAE0AZQB0AGgAYQBuAGUAUAByAG8AZAB1AGMAdABpAG8AbgBfAEEAcgBnAHUAbQBlAG4AdABzAFwAbgAgACAAPQBMAEEATQBCAEQAQQAoAFwAbgAgACAAIAAgAE0AQQBLAEUAQQBSAFIAQQBZACgANgAsACAAMgAsAFwAbgAgACAAIAAgACAAIABMAEEATQBCAEQAQQAoAHIALABjACwAXABuACAAIAAgACAAIAAgACAAIABJAE4ARABFAFgAKAB7AFwAbgAgACAAIAAgACAAIAAgACAAIAAgAFwAIgBWAFMAVABqAG0AVAAyAFwAIgAsAFwAIgB2AG8AbABhAHQAaQBsAGUAIABzAG8AbABpAGQAcwAgAHQAcgBhAG4AcwBmAGUAcgByAGUAZAAgAHQAbwAgAHQAcgBlAGEAdABtAGUAbgB0ACAAcwB0AGEAZwBlACAAMgAgAE0ATQBTACAAOgAgAGsAZwAvAGgAZQBhAGQALwBkAGEAeQBcACIAOwBcAG4AIAAgACAAIAAgACAAIAAgACAAIABcACIAQgBPAFwAIgAsAFwAIgBlAG0AaQBzAHMAaQBvAG4AcwAgAHAAbwB0AGUAbgB0AGkAYQBsACAAOgAgAG0AMwAgAEMASAA0AC8AawBnACAAVgBTAFwAIgA7AFwAbgAgACAAIAAgACAAIAAgACAAIAAgAFwAIgBNAE0AUwBqAG0AVAAyAFwAIgAsAFwAIgBmAHIAYQBjAHQAaQBvAG4AIABvAGYAIABtAGEAbgB1AHIAZQAgAGkAbgAgAGUAYQBjAGgAIABzAGUAYwBvAG4AZABhAHIAeQAgAHMAeQBzAHQAZQBtACAAOgAgAGYAcgBhAGMAdABpAG8AbgBcACIAOwBcAG4AIAAgACAAIAAgACAAIAAgACAAIABcACIATQBDAEYAaQBtAFwAIgAsAFwAIgBtAGUAdABoAGEAbgBlACAAYwBvAG4AdgBlAHIAcwBpAG8AbgAgAGYAYQBjAHQAbwByACAAZgBvAHIAIAB0AGUAbQBwAGUAcgBhAHQAZQAgAHoAbwBuAGUAIABhAG4AZAAgAHMAeQBzAHQAZQBtACAAOgAgAGYAcgBhAGMAdABpAG8AbgBcACIAOwBcAG4AIAAgACAAIAAgACAAIAAgACAAIABcACIAcgBoAG8AXAAiACwAXAAiAGQAZQBuAHMAaQB0AHkAIABvAGYAIABtAGUAdABoAGEAbgBlACAAOgAgAGsAZwAvAG0AMwBcACIAOwBcAG4AIAAgACAAIAAgACAAIAAgACAAIABcACIAaQBcACIALABcACIAcwB0AGEAdABlAFwAIgBcAG4AIAAgACAAIAAgACAAIAAgAH0ALAAgAHIALAAgAGMAKQBcAG4AIAAgACAAIAAgACAAKQBcAG4AIAAgACAAIAApAFwAbgAgACAAKQA7AFwAbgBcAG4ALwAqAFwAbgAtAC0ALQAtAC0ALQAtAC0ALQAtAC0ALQAtAC0ALQAtAC0ALQAtAC0ALQAtAC0ALQAtAC0ALQAtAC0ALQAtAC0ALQAtAC0ALQAtAC0AXABuAFYARQBFAFIARwBfADQAXwA1AF8AMQBfADEAXwBfADcAXwBWAG8AbABhAHQAaQBsAGUAUwBvAGwAaQBkAHMAVAByAGEAbgBzAGYAZQByAHIAZQBkAFMAdABhAGcAZQAyAFwAbgBWAG8AbABhAHQAaQBsAGUAIABzAG8AbABpAGQAcwAgAHQAcgBhAG4AcwBmAGUAcgByAGUAZAAgAHQAbwAgAHQAcgBlAGEAdABtAGUAbgB0ACAAcwB0AGEAZwBlACAAMgAgAE0ATQBTAFwAbgBWAFMAVABpAGoAbQBUADIAXABuAGsAZwAgAFYAUwBcAG4AVgBTAFQAXwB7AGkAagBtACwAVAA9ADIAfQA9AFYAUwBfAHsAagB9AFwAXAB0AGkAbQBlAHMAIABGAFYAUwBfAHsAagBtACwAVAA9ADEAfQBcAFwAdABpAG0AZQBzACgAMQAtAFYAUwBMAF8AewBtACwAVAA9ADEAfQApAFwAbgBWAFMAagAgAD0AIAB2AG8AbABhAHQAaQBsAGUAIABzAG8AbABpAGQAIABwAHIAbwBkAHUAYwB0AGkAbwBuACAAZgByAG8AbQAgAHMAdwBpAG4AZQAgAGkAbgAgAGUAYQBjAGgAIABjAGwAYQBzAHMAIAA6ACAAawBnAC8AaABlAGEAZAAvAGQAYQB5AFwAbgBGAFYAUwBqAG0AVAAxACAAPQAgAGYAcgBhAGMAdABpAG8AbgAgAG8AZgAgAHYAbwBsAGEAdABpAGwAZQAgAHMAbwBsAGkAZABzACAAaQBuACAAZQBhAGMAaAAgAHAAcgBpAG0AYQByAHkAIABzAHkAcwB0AGUAbQAgADoAIABmAHIAYQBjAHQAaQBvAG4AXABuAFYAUwBMAG0AVAAxACAAPQAgAGYAcgBhAGMAdABpAG8AbgAgAG8AZgAgAHYAbwBsAGEAdABpAGwAZQAgAHMAbwBsAGkAZABzACAAbABvAHMAdAAgAGQAdQByAGkAbgBnACAAcwB0AG8AcgBhAGcAZQAgAGkAbgAgAHQAaABlACAAcAByAGkAbQBhAHIAeQAgAHMAeQBzAHQAZQBtACAAOgAgAGYAcgBhAGMAdABpAG8AbgBcAG4ALQAtAC0ALQAtAC0ALQAtAC0ALQAtAC0ALQAtAC0ALQAtAC0ALQAtAC0ALQAtAC0ALQAtAC0ALQAtAC0ALQAtAC0ALQAtAC0ALQAtAFwAbgAqAC8AXABuAFwAbgBWAEUARQBSAEcAXwA0AF8ANQBfADEAXwAxAF8AXwA3AF8AVgBvAGwAYQB0AGkAbABlAFMAbwBsAGkAZABzAFQAcgBhAG4AcwBmAGUAcgByAGUAZABTAHQAYQBnAGUAMgBcAG4AIAAgAD0ATABBAE0AQgBEAEEAKABcAG4AIAAgACAAIABWAFMAagAsACAARgBWAFMAagBtAFQAMQAsACAAVgBTAEwAbQBUADEALABcAG4AIAAgACAAIABWAFMAagAgACoAIABGAFYAUwBqAG0AVAAxACAAKgAgACgAMQAgAC0AIABWAFMATABtAFQAMQApAFwAbgAgACAAKQA7AFwAbgBcAG4AVgBFAEUAUgBHAF8ANABfADUAXwAxAF8AMQBfAF8ANwBfAFYAbwBsAGEAdABpAGwAZQBTAG8AbABpAGQAcwBUAHIAYQBuAHMAZgBlAHIAcgBlAGQAUwB0AGEAZwBlADIAXwBUAGkAdABsAGUAXABuACAAIAA9AEwAQQBNAEIARABBACgAXAAiAFYAbwBsAGEAdABpAGwAZQAgAHMAbwBsAGkAZABzACAAdAByAGEAbgBzAGYAZQByAHIAZQBkACAAdABvACAAdAByAGUAYQB0AG0AZQBuAHQAIABzAHQAYQBnAGUAIAAyACAATQBNAFMAXAAiACkAOwBcAG4AXABuAFYARQBFAFIARwBfADQAXwA1AF8AMQBfADEAXwBfADcAXwBWAG8AbABhAHQAaQBsAGUAUwBvAGwAaQBkAHMAVAByAGEAbgBzAGYAZQByAHIAZQBkAFMAdABhAGcAZQAyAF8AVgBhAHIAaQBhAGIAbABlAFwAbgAgACAAPQBMAEEATQBCAEQAQQAoAFwAIgBWAFMAVABpAGoAbQBUADIAXAAiACkAOwBcAG4AXABuAFYARQBFAFIARwBfADQAXwA1AF8AMQBfADEAXwBfADcAXwBWAG8AbABhAHQAaQBsAGUAUwBvAGwAaQBkAHMAVAByAGEAbgBzAGYAZQByAHIAZQBkAFMAdABhAGcAZQAyAF8AVQBuAGkAdABcAG4AIAAgAD0ATABBAE0AQgBEAEEAKABcACIAawBnACAAVgBTAFwAIgApADsAXABuAFwAbgBWAEUARQBSAEcAXwA0AF8ANQBfADEAXwAxAF8AXwA3AF8AVgBvAGwAYQB0AGkAbABlAFMAbwBsAGkAZABzAFQAcgBhAG4AcwBmAGUAcgByAGUAZABTAHQAYQBnAGUAMgBfAFMAbwB1AHIAYwBlAFwAbgAgACAAPQBMAEEATQBCAEQAQQAoAFwAIgBWAEUARQBSAEcAIAAyADAAMgA2ADoAIAA0AC4ANQAuADEALgAxACwAIABFAHEAdQBhAHQAaQBvAG4AIAAoADcAKQBcACIAKQA7AFwAbgBcAG4AVgBFAEUAUgBHAF8ANABfADUAXwAxAF8AMQBfAF8ANwBfAFYAbwBsAGEAdABpAGwAZQBTAG8AbABpAGQAcwBUAHIAYQBuAHMAZgBlAHIAcgBlAGQAUwB0AGEAZwBlADIAXwBOAEkAUgBSAGUAZgBlAHIAZQBuAGMAZQBcAG4AIAAgAD0ATABBAE0AQgBEAEEAKABcACIAXAAiACkAOwBcAG4AXABuAFYARQBFAFIARwBfADQAXwA1AF8AMQBfADEAXwBfADcAXwBWAG8AbABhAHQAaQBsAGUAUwBvAGwAaQBkAHMAVAByAGEAbgBzAGYAZQByAHIAZQBkAFMAdABhAGcAZQAyAF8ATABhAHQAZQB4AEUAcQB1AGEAdABpAG8AbgBcAG4AIAAgAD0ATABBAE0AQgBEAEEAKABcACIAVgBTAFQAXwB7AGkAagBtACwAVAA9ADIAfQA9AFYAUwBfAHsAagB9AFwAXAB0AGkAbQBlAHMAIABGAFYAUwBfAHsAagBtACwAVAA9ADEAfQBcAFwAdABpAG0AZQBzACgAMQAtAFYAUwBMAF8AewBtACwAVAA9ADEAfQApAFwAIgApADsAXABuAFwAbgBWAEUARQBSAEcAXwA0AF8ANQBfADEAXwAxAF8AXwA3AF8AVgBvAGwAYQB0AGkAbABlAFMAbwBsAGkAZABzAFQAcgBhAG4AcwBmAGUAcgByAGUAZABTAHQAYQBnAGUAMgBfAEEAcgBnAHUAbQBlAG4AdABzAFwAbgAgACAAPQBMAEEATQBCAEQAQQAoAFwAbgAgACAAIAAgAE0AQQBLAEUAQQBSAFIAQQBZACgAMwAsACAAMgAsAFwAbgAgACAAIAAgACAAIABMAEEATQBCAEQAQQAoAHIALABjACwAXABuACAAIAAgACAAIAAgACAAIABJAE4ARABFAFgAKAB7AFwAbgAgACAAIAAgACAAIAAgACAAIAAgAFwAIgBWAFMAagBcACIALABcACIAdgBvAGwAYQB0AGkAbABlACAAcwBvAGwAaQBkACAAcAByAG8AZAB1AGMAdABpAG8AbgAgAGYAcgBvAG0AIABzAHcAaQBuAGUAIABpAG4AIABlAGEAYwBoACAAYwBsAGEAcwBzACAAOgAgAGsAZwAvAGgAZQBhAGQALwBkAGEAeQBcACIAOwBcAG4AIAAgACAAIAAgACAAIAAgACAAIABcACIARgBWAFMAagBtAFQAMQBcACIALABcACIAZgByAGEAYwB0AGkAbwBuACAAbwBmACAAdgBvAGwAYQB0AGkAbABlACAAcwBvAGwAaQBkAHMAIABpAG4AIABlAGEAYwBoACAAcAByAGkAbQBhAHIAeQAgAHMAeQBzAHQAZQBtACAAOgAgAGYAcgBhAGMAdABpAG8AbgBcACIAOwBcAG4AIAAgACAAIAAgACAAIAAgACAAIABcACIAVgBTAEwAbQBUADEAXAAiACwAXAAiAGYAcgBhAGMAdABpAG8AbgAgAG8AZgAgAHYAbwBsAGEAdABpAGwAZQAgAHMAbwBsAGkAZABzACAAbABvAHMAdAAgAGQAdQByAGkAbgBnACAAcwB0AG8AcgBhAGcAZQAgAGkAbgAgAHQAaABlACAAcAByAGkAbQBhAHIAeQAgAHMAeQBzAHQAZQBtACAAOgAgAGYAcgBhAGMAdABpAG8AbgBcACIAXABuACAAIAAgACAAIAAgACAAIAB9ACwAIAByACwAIABjACkAXABuACAAIAAgACAAIAAgACkAXABuACAAIAAgACAAKQBcAG4AIAAgACkAOw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kAbgBwAHUAdABGAHUAbgBjAHQAaQBvAG4AcwBfAFAAYQBzAHQAdQByAGUAQgBlAGUAZgAuAEwAbwBvAGsAdQBwAEwAaQB2AGUAdwBlAGkAZwBoAHQARgByAG8AbQBTAGUAYQBzAG8AbgAiACwAIgBJAG4AcAB1AHQARgB1AG4AYwB0AGkAbwBuAHMAXwBQAGEAcwB0AHUAcgBlAEIAZQBlAGYALgBMAG8AbwBrAHUAcABMAGkAdgBlAHcAZQBpAGcAaAB0AEYAcgBvAG0ATQBvAG4AdABoACIALAAiAEkAbgBwAHUAdABGAHUAbgBjAHQAaQBvAG4AcwBfAFAAYQBzAHQAdQByAGUAQgBlAGUAZgAuAEMAbwBuAHYAZQByAHQATQBvAG4AdABoAGwAeQBDAGEAbAB2AGkAbgBnAFQAbwBTAGUAYQBzAG8AbgAiACwAIgBNAE0AUwBfAFAAYQBzAHQAdQByAGUAQgBlAGUAZgBfAFMAbwBpAGwAXwBOADIATwBEAGkAcgBlAGMAdABfAEUAcQB1AGEAdABpAG8AbgBzAC4AVgBFAEUAUgBHAF8ANABfADIAXwAxAF8AMwBfAF8AMQBfAEQAaQByAGUAYwB0AE4AaQB0AHIAbwB1AHMATwB4AGkAZABlAEUAbQBpAHMAcwBpAG8AbgBzAE8AbgBQAGEAcwB0AHUAcgBlACIALAAiAE0ATQBTAF8AUABhAHMAdAB1AHIAZQBCAGUAZQBmAF8AUwBvAGkAbABfAE4AMgBPAEQAaQByAGUAYwB0AF8ARQBxAHUAYQB0AGkAbwBuAHMALgBWAEUARQBSAEcAXwA0AF8AMgBfADEAXwAzAF8AXwAxAF8ARABpAHIAZQBjAHQATgBpAHQAcgBvAHUAcwBPAHgAaQBkAGUARQBtAGkAcwBzAGkAbwBuAHMATwBuAFAAYQBzAHQAdQByAGUAXwBUAGkAdABsAGUAIgAsACIATQBNAFMAXwBQAGEAcwB0AHUAcgBlAEIAZQBlAGYAXwBTAG8AaQBsAF8ATgAyAE8ARABpAHIAZQBjAHQAXwBFAHEAdQBhAHQAaQBvAG4AcwAuAFYARQBFAFIARwBfADQAXwAyAF8AMQBfADMAXwBfADEAXwBEAGkAcgBlAGMAdABOAGkAdAByAG8AdQBzAE8AeABpAGQAZQBFAG0AaQBzAHMAaQBvAG4AcwBPAG4AUABhAHMAdAB1AHIAZQBfAFYAYQByAGkAYQBiAGwAZQAiACwAIgBNAE0AUwBfAFAAYQBzAHQAdQByAGUAQgBlAGUAZgBfAFMAbwBpAGwAXwBOADIATwBEAGkAcgBlAGMAdABfAEUAcQB1AGEAdABpAG8AbgBzAC4AVgBFAEUAUgBHAF8ANABfADIAXwAxAF8AMwBfAF8AMQBfAEQAaQByAGUAYwB0AE4AaQB0AHIAbwB1AHMATwB4AGkAZABlAEUAbQBpAHMAcwBpAG8AbgBzAE8AbgBQAGEAcwB0AHUAcgBlAF8AVQBuAGkAdAAiACwAIgBNAE0AUwBfAFAAYQBzAHQAdQByAGUAQgBlAGUAZgBfAFMAbwBpAGwAXwBOADIATwBEAGkAcgBlAGMAdABfAEUAcQB1AGEAdABpAG8AbgBzAC4AVgBFAEUAUgBHAF8ANABfADIAXwAxAF8AMwBfAF8AMQBfAEQAaQByAGUAYwB0AE4AaQB0AHIAbwB1AHMATwB4AGkAZABlAEUAbQBpAHMAcwBpAG8AbgBzAE8AbgBQAGEAcwB0AHUAcgBlAF8AUwBvAHUAcgBjAGUAIgAsACIATQBNAFMAXwBQAGEAcwB0AHUAcgBlAEIAZQBlAGYAXwBTAG8AaQBsAF8ATgAyAE8ARABpAHIAZQBjAHQAXwBFAHEAdQBhAHQAaQBvAG4AcwAuAFYARQBFAFIARwBfADQAXwAyAF8AMQBfADMAXwBfADEAXwBEAGkAcgBlAGMAdABOAGkAdAByAG8AdQBzAE8AeABpAGQAZQBFAG0AaQBzAHMAaQBvAG4AcwBPAG4AUABhAHMAdAB1AHIAZQBfAE4ASQBSAFIAZQBmAGUAcgBlAG4AYwBlACIALAAiAE0ATQBTAF8AUABhAHMAdAB1AHIAZQBCAGUAZQBmAF8AUwBvAGkAbABfAE4AMgBPAEQAaQByAGUAYwB0AF8ARQBxAHUAYQB0AGkAbwBuAHMALgBWAEUARQBSAEcAXwA0AF8AMgBfADEAXwAzAF8AXwAxAF8ARABpAHIAZQBjAHQATgBpAHQAcgBvAHUAcwBPAHgAaQBkAGUARQBtAGkAcwBzAGkAbwBuAHMATwBuAFAAYQBzAHQAdQByAGUAXwBMAGEAdABlAHgARQBxAHUAYQB0AGkAbwBuACIALAAiAE0ATQBTAF8AUABhAHMAdAB1AHIAZQBCAGUAZQBmAF8AUwBvAGkAbABfAE4AMgBPAEQAaQByAGUAYwB0AF8ARQBxAHUAYQB0AGkAbwBuAHMALgBWAEUARQBSAEcAXwA0AF8AMgBfADEAXwAzAF8AXwAxAF8ARABpAHIAZQBjAHQATgBpAHQAcgBvAHUAcwBPAHgAaQBkAGUARQBtAGkAcwBzAGkAbwBuAHMATwBuAFAAYQBzAHQAdQByAGUAXwBBAHIAZwB1AG0AZQBuAHQAc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UAGkAdA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YAYQByAGkAYQBiAGw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QBuAGkAdA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UwBvAHUAcgBj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E4ASQBSAFIAZQBmAGUAcgBlAG4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MAGEAdABlAHgARQBxAHUAYQB0AGkAbwBu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BAHIAZwB1AG0AZQBuAHQAcwAiACwAIgBNAE0AUwBfAFAAYQBzAHQAdQByAGUAQgBlAGUAZgBfAFMAbwBpAGwAXwBOADIATwBEAGkAcgBlAGMAdABfAEUAcQB1AGEAdABpAG8AbgBzAC4AVgBFAEUAUgBHAF8ANABfADIAXwAxAF8AMwBfAF8AMwBfAE4AaQB0AHIAbwBnAGUAbgBFAHgAYwByAGUAdABlAGQAIgAsACIATQBNAFMAXwBQAGEAcwB0AHUAcgBlAEIAZQBlAGYAXwBTAG8AaQBsAF8ATgAyAE8ARABpAHIAZQBjAHQAXwBFAHEAdQBhAHQAaQBvAG4AcwAuAFYARQBFAFIARwBfADQAXwAyAF8AMQBfADMAXwBfADMAXwBOAGkAdAByAG8AZwBlAG4ARQB4AGMAcgBlAHQAZQBkAF8AVABpAHQAbABlACIALAAiAE0ATQBTAF8AUABhAHMAdAB1AHIAZQBCAGUAZQBmAF8AUwBvAGkAbABfAE4AMgBPAEQAaQByAGUAYwB0AF8ARQBxAHUAYQB0AGkAbwBuAHMALgBWAEUARQBSAEcAXwA0AF8AMgBfADEAXwAzAF8AXwAzAF8ATgBpAHQAcgBvAGcAZQBuAEUAeABjAHIAZQB0AGUAZABfAFYAYQByAGkAYQBiAGwAZQAiACwAIgBNAE0AUwBfAFAAYQBzAHQAdQByAGUAQgBlAGUAZgBfAFMAbwBpAGwAXwBOADIATwBEAGkAcgBlAGMAdABfAEUAcQB1AGEAdABpAG8AbgBzAC4AVgBFAEUAUgBHAF8ANABfADIAXwAxAF8AMwBfAF8AMwBfAE4AaQB0AHIAbwBnAGUAbgBFAHgAYwByAGUAdABlAGQAXwBVAG4AaQB0ACIALAAiAE0ATQBTAF8AUABhAHMAdAB1AHIAZQBCAGUAZQBmAF8AUwBvAGkAbABfAE4AMgBPAEQAaQByAGUAYwB0AF8ARQBxAHUAYQB0AGkAbwBuAHMALgBWAEUARQBSAEcAXwA0AF8AMgBfADEAXwAzAF8AXwAzAF8ATgBpAHQAcgBvAGcAZQBuAEUAeABjAHIAZQB0AGUAZABfAFMAbwB1AHIAYwBlACIALAAiAE0ATQBTAF8AUABhAHMAdAB1AHIAZQBCAGUAZQBmAF8AUwBvAGkAbABfAE4AMgBPAEQAaQByAGUAYwB0AF8ARQBxAHUAYQB0AGkAbwBuAHMALgBWAEUARQBSAEcAXwA0AF8AMgBfADEAXwAzAF8AXwAzAF8ATgBpAHQAcgBvAGcAZQBuAEUAeABjAHIAZQB0AGUAZABfAE4ASQBSAFIAZQBmAGUAcgBlAG4AYwBlACIALAAiAE0ATQBTAF8AUABhAHMAdAB1AHIAZQBCAGUAZQBmAF8AUwBvAGkAbABfAE4AMgBPAEQAaQByAGUAYwB0AF8ARQBxAHUAYQB0AGkAbwBuAHMALgBWAEUARQBSAEcAXwA0AF8AMgBfADEAXwAzAF8AXwAzAF8ATgBpAHQAcgBvAGcAZQBuAEUAeABjAHIAZQB0AGUAZABfAEwAYQB0AGUAeABFAHEAdQBhAHQAaQBvAG4AIgAsACIATQBNAFMAXwBQAGEAcwB0AHUAcgBlAEIAZQBlAGYAXwBTAG8AaQBsAF8ATgAyAE8ARABpAHIAZQBjAHQAXwBFAHEAdQBhAHQAaQBvAG4AcwAuAFYARQBFAFIARwBfADQAXwAyAF8AMQBfADMAXwBfADMAXwBOAGkAdAByAG8AZwBlAG4ARQB4AGMAcgBlAHQAZQBkAF8AQQByAGcAdQBtAGUAbgB0AHMAIgAsACIATQBNAFMAXwBQAGEAcwB0AHUAcgBlAEIAZQBlAGYAXwBTAG8AaQBsAF8ATgAyAE8ARABpAHIAZQBjAHQAXwBFAHEAdQBhAHQAaQBvAG4AcwAuAFYARQBFAFIARwBfADQAXwAyAF8AMQBfADMAXwBfADQAXwBOAGkAdAByAG8AZwBlAG4AUgBlAHQAYQBpAG4AZQBkAEIAeQBCAG8AZAB5ACIALAAiAE0ATQBTAF8AUABhAHMAdAB1AHIAZQBCAGUAZQBmAF8AUwBvAGkAbABfAE4AMgBPAEQAaQByAGUAYwB0AF8ARQBxAHUAYQB0AGkAbwBuAHMALgBWAEUARQBSAEcAXwA0AF8AMgBfADEAXwAzAF8AXwA0AF8ATgBpAHQAcgBvAGcAZQBuAFIAZQB0AGEAaQBuAGUAZABCAHkAQgBvAGQAeQBfAFQAaQB0AGwAZQAiACwAIgBNAE0AUwBfAFAAYQBzAHQAdQByAGUAQgBlAGUAZgBfAFMAbwBpAGwAXwBOADIATwBEAGkAcgBlAGMAdABfAEUAcQB1AGEAdABpAG8AbgBzAC4AVgBFAEUAUgBHAF8ANABfADIAXwAxAF8AMwBfAF8ANABfAE4AaQB0AHIAbwBnAGUAbgBSAGUAdABhAGkAbgBlAGQAQgB5AEIAbwBkAHkAXwBWAGEAcgBpAGEAYgBsAGUAIgAsACIATQBNAFMAXwBQAGEAcwB0AHUAcgBlAEIAZQBlAGYAXwBTAG8AaQBsAF8ATgAyAE8ARABpAHIAZQBjAHQAXwBFAHEAdQBhAHQAaQBvAG4AcwAuAFYARQBFAFIARwBfADQAXwAyAF8AMQBfADMAXwBfADQAXwBOAGkAdAByAG8AZwBlAG4AUgBlAHQAYQBpAG4AZQBkAEIAeQBCAG8AZAB5AF8AVQBuAGkAdAAiACwAIgBNAE0AUwBfAFAAYQBzAHQAdQByAGUAQgBlAGUAZgBfAFMAbwBpAGwAXwBOADIATwBEAGkAcgBlAGMAdABfAEUAcQB1AGEAdABpAG8AbgBzAC4AVgBFAEUAUgBHAF8ANABfADIAXwAxAF8AMwBfAF8ANABfAE4AaQB0AHIAbwBnAGUAbgBSAGUAdABhAGkAbgBlAGQAQgB5AEIAbwBkAHkAXwBTAG8AdQByAGMAZQAiACwAIgBNAE0AUwBfAFAAYQBzAHQAdQByAGUAQgBlAGUAZgBfAFMAbwBpAGwAXwBOADIATwBEAGkAcgBlAGMAdABfAEUAcQB1AGEAdABpAG8AbgBzAC4AVgBFAEUAUgBHAF8ANABfADIAXwAxAF8AMwBfAF8ANABfAE4AaQB0AHIAbwBnAGUAbgBSAGUAdABhAGkAbgBlAGQAQgB5AEIAbwBkAHkAXwBOAEkAUgBSAGUAZgBlAHIAZQBuAGMAZQAiACwAIgBNAE0AUwBfAFAAYQBzAHQAdQByAGUAQgBlAGUAZgBfAFMAbwBpAGwAXwBOADIATwBEAGkAcgBlAGMAdABfAEUAcQB1AGEAdABpAG8AbgBzAC4AVgBFAEUAUgBHAF8ANABfADIAXwAxAF8AMwBfAF8ANABfAE4AaQB0AHIAbwBnAGUAbgBSAGUAdABhAGkAbgBlAGQAQgB5AEIAbwBkAHkAXwBMAGEAdABlAHgARQBxAHUAYQB0AGkAbwBuACIALAAiAE0ATQBTAF8AUABhAHMAdAB1AHIAZQBCAGUAZQBmAF8AUwBvAGkAbABfAE4AMgBPAEQAaQByAGUAYwB0AF8ARQBxAHUAYQB0AGkAbwBuAHMALgBWAEUARQBSAEcAXwA0AF8AMgBfADEAXwAzAF8AXwA0AF8ATgBpAHQAcgBvAGcAZQBuAFIAZQB0AGEAaQBuAGUAZABCAHkAQgBvAGQAeQBfAEEAcgBnAHUAbQBlAG4AdABzACIALAAiAE0ATQBTAF8AUABhAHMAdAB1AHIAZQBCAGUAZQBmAF8AUwBvAGkAbABfAE4AMgBPAEQAaQByAGUAYwB0AF8ARQBxAHUAYQB0AGkAbwBuAHMALgBWAEUARQBSAEcAXwA0AF8AMgBfADEAXwAzAF8AXwA1AF8ATQBpAGwAawBQAHIAbwBkAHUAYwB0AGkAbwBuAEYAbwByAEMAYQBsAHYAaQBuAGcAUwBlAGEAcwBvAG4AIgAsACIATQBNAFMAXwBQAGEAcwB0AHUAcgBlAEIAZQBlAGYAXwBTAG8AaQBsAF8ATgAyAE8ARABpAHIAZQBjAHQAXwBFAHEAdQBhAHQAaQBvAG4AcwAuAFYARQBFAFIARwBfADQAXwAyAF8AMQBfADMAXwBfADUAXwBNAGkAbABrAFAAcgBvAGQAdQBjAHQAaQBvAG4ARgBvAHIAQwBhAGwAdgBpAG4AZwBTAGUAYQBzAG8AbgBWAGEAcgBpAGEAdABpAG8AbgAiACwAIgBNAE0AUwBfAFAAYQBzAHQAdQByAGUAQgBlAGUAZgBfAFMAbwBpAGwAXwBOADIATwBEAGkAcgBlAGMAdABfAEUAcQB1AGEAdABpAG8AbgBzAC4AVgBFAEUAUgBHAF8ANABfADIAXwAxAF8AMwBfAF8ANQBfAE0AaQBsAGsAUAByAG8AZAB1AGMAdABpAG8AbgBGAG8AcgBDAGEAbAB2AGkAbgBnAFMAZQBhAHMAbwBuAF8AVABpAHQAbABlACIALAAiAE0ATQBTAF8AUABhAHMAdAB1AHIAZQBCAGUAZQBmAF8AUwBvAGkAbABfAE4AMgBPAEQAaQByAGUAYwB0AF8ARQBxAHUAYQB0AGkAbwBuAHMALgBWAEUARQBSAEcAXwA0AF8AMgBfADEAXwAzAF8AXwA1AF8ATQBpAGwAawBQAHIAbwBkAHUAYwB0AGkAbwBuAEYAbwByAEMAYQBsAHYAaQBuAGcAUwBlAGEAcwBvAG4AXwBWAGEAcgBpAGEAYgBsAGUAIgAsACIATQBNAFMAXwBQAGEAcwB0AHUAcgBlAEIAZQBlAGYAXwBTAG8AaQBsAF8ATgAyAE8ARABpAHIAZQBjAHQAXwBFAHEAdQBhAHQAaQBvAG4AcwAuAFYARQBFAFIARwBfADQAXwAyAF8AMQBfADMAXwBfADUAXwBNAGkAbABrAFAAcgBvAGQAdQBjAHQAaQBvAG4ARgBvAHIAQwBhAGwAdgBpAG4AZwBTAGUAYQBzAG8AbgBfAFUAbgBpAHQAIgAsACIATQBNAFMAXwBQAGEAcwB0AHUAcgBlAEIAZQBlAGYAXwBTAG8AaQBsAF8ATgAyAE8ARABpAHIAZQBjAHQAXwBFAHEAdQBhAHQAaQBvAG4AcwAuAFYARQBFAFIARwBfADQAXwAyAF8AMQBfADMAXwBfADUAXwBNAGkAbABrAFAAcgBvAGQAdQBjAHQAaQBvAG4ARgBvAHIAQwBhAGwAdgBpAG4AZwBTAGUAYQBzAG8AbgBfAFMAbwB1AHIAYwBlACIALAAiAE0ATQBTAF8AUABhAHMAdAB1AHIAZQBCAGUAZQBmAF8AUwBvAGkAbABfAE4AMgBPAEQAaQByAGUAYwB0AF8ARQBxAHUAYQB0AGkAbwBuAHMALgBWAEUARQBSAEcAXwA0AF8AMgBfADEAXwAzAF8AXwA1AF8ATQBpAGwAawBQAHIAbwBkAHUAYwB0AGkAbwBuAEYAbwByAEMAYQBsAHYAaQBuAGcAUwBlAGEAcwBvAG4AXwBOAEkAUgBSAGUAZgBlAHIAZQBuAGMAZQAiACwAIgBNAE0AUwBfAFAAYQBzAHQAdQByAGUAQgBlAGUAZgBfAFMAbwBpAGwAXwBOADIATwBEAGkAcgBlAGMAdABfAEUAcQB1AGEAdABpAG8AbgBzAC4AVgBFAEUAUgBHAF8ANABfADIAXwAxAF8AMwBfAF8ANQBfAE0AaQBsAGsAUAByAG8AZAB1AGMAdABpAG8AbgBGAG8AcgBDAGEAbAB2AGkAbgBnAFMAZQBhAHMAbwBuAF8ATABhAHQAZQB4AEUAcQB1AGEAdABpAG8AbgAiACwAIgBNAE0AUwBfAFAAYQBzAHQAdQByAGUAQgBlAGUAZgBfAFMAbwBpAGwAXwBOADIATwBEAGkAcgBlAGMAdABfAEUAcQB1AGEAdABpAG8AbgBzAC4AVgBFAEUAUgBHAF8ANABfADIAXwAxAF8AMwBfAF8ANQBfAE0AaQBsAGsAUAByAG8AZAB1AGMAdABpAG8AbgBGAG8AcgBDAGEAbAB2AGkAbgBnAFMAZQBhAHMAbwBuAF8ATABhAHQAZQB4AEUAcQB1AGEAdABpAG8AbgBWAGEAcgBpAGEAdABpAG8AbgAiACwAIgBNAE0AUwBfAFAAYQBzAHQAdQByAGUAQgBlAGUAZgBfAFMAbwBpAGwAXwBOADIATwBEAGkAcgBlAGMAdABfAEUAcQB1AGEAdABpAG8AbgBzAC4AVgBFAEUAUgBHAF8ANABfADIAXwAxAF8AMwBfAF8ANQBfAE0AaQBsAGsAUAByAG8AZAB1AGMAdABpAG8AbgBGAG8AcgBDAGEAbAB2AGkAbgBnAFMAZQBhAHMAbwBuAF8AQQByAGcAdQBtAGUAbgB0AHMAIgAsACIATQBNAFMAXwBQAGEAcwB0AHUAcgBlAEIAZQBlAGYAXwBTAG8AaQBsAF8ATgAyAE8ARABpAHIAZQBjAHQAXwBFAHEAdQBhAHQAaQBvAG4AcwAuAFYARQBFAFIARwBfADQAXwAyAF8AMQBfADMAXwBfADUAXwBNAGkAbABrAFAAcgBvAGQAdQBjAHQAaQBvAG4ARgBvAHIAQwBhAGwAdgBpAG4AZwBTAGUAYQBzAG8AbgBfAEEAcgBnAHUAbQBlAG4AdABzAFYAYQByAGkAYQB0AGkAbwBuACIALAAiAE0ATQBTAF8AUABhAHMAdAB1AHIAZQBCAGUAZQBmAF8AUwBvAGkAbABfAE4AMgBPAEQAaQByAGUAYwB0AF8ARQBxAHUAYQB0AGkAbwBuAHMALgBWAEUARQBSAEcAXwA0AF8AMgBfADEAXwAzAF8AXwA1AF8ATQBpAGwAawBQAHIAbwBkAHUAYwB0AGkAbwBuAEYAbwByAEMAYQBsAHYAaQBuAGcAUwBlAGEAcwBvAG4AXwBWAGEAcgBpAGEAdABpAG8AbgAiACwAIgBNAE0AUwBfAFAAYQBzAHQAdQByAGUAQgBlAGUAZgBfAFMAbwBpAGwAXwBOADIATwBEAGkAcgBlAGMAdABfAEUAcQB1AGEAdABpAG8AbgBzAC4AVgBFAEUAUgBHAF8ANABfADIAXwAxAF8AMwBfAF8ANgBfAEkAbgB0AGEAawBlAFIAZQBsAGEAdABpAHYAZQBUAG8ATQBhAGkAbgB0AGUAbgBhAG4AYwBlACIALAAiAE0ATQBTAF8AUABhAHMAdAB1AHIAZQBCAGUAZQBmAF8AUwBvAGkAbABfAE4AMgBPAEQAaQByAGUAYwB0AF8ARQBxAHUAYQB0AGkAbwBuAHMALgBWAEUARQBSAEcAXwA0AF8AMgBfADEAXwAzAF8AXwA2AF8ASQBuAHQAYQBrAGUAUgBlAGwAYQB0AGkAdgBlAFQAbwBNAGEAaQBuAHQAZQBuAGEAbgBjAGUAXwBUAGkAdABsAGUAIgAsACIATQBNAFMAXwBQAGEAcwB0AHUAcgBlAEIAZQBlAGYAXwBTAG8AaQBsAF8ATgAyAE8ARABpAHIAZQBjAHQAXwBFAHEAdQBhAHQAaQBvAG4AcwAuAFYARQBFAFIARwBfADQAXwAyAF8AMQBfADMAXwBfADYAXwBJAG4AdABhAGsAZQBSAGUAbABhAHQAaQB2AGUAVABvAE0AYQBpAG4AdABlAG4AYQBuAGMAZQBfAFYAYQByAGkAYQBiAGwAZQAiACwAIgBNAE0AUwBfAFAAYQBzAHQAdQByAGUAQgBlAGUAZgBfAFMAbwBpAGwAXwBOADIATwBEAGkAcgBlAGMAdABfAEUAcQB1AGEAdABpAG8AbgBzAC4AVgBFAEUAUgBHAF8ANABfADIAXwAxAF8AMwBfAF8ANgBfAEkAbgB0AGEAawBlAFIAZQBsAGEAdABpAHYAZQBUAG8ATQBhAGkAbgB0AGUAbgBhAG4AYwBlAF8AVQBuAGkAdAAiACwAIgBNAE0AUwBfAFAAYQBzAHQAdQByAGUAQgBlAGUAZgBfAFMAbwBpAGwAXwBOADIATwBEAGkAcgBlAGMAdABfAEUAcQB1AGEAdABpAG8AbgBzAC4AVgBFAEUAUgBHAF8ANABfADIAXwAxAF8AMwBfAF8ANgBfAEkAbgB0AGEAawBlAFIAZQBsAGEAdABpAHYAZQBUAG8ATQBhAGkAbgB0AGUAbgBhAG4AYwBlAF8AUwBvAHUAcgBjAGUAIgAsACIATQBNAFMAXwBQAGEAcwB0AHUAcgBlAEIAZQBlAGYAXwBTAG8AaQBsAF8ATgAyAE8ARABpAHIAZQBjAHQAXwBFAHEAdQBhAHQAaQBvAG4AcwAuAFYARQBFAFIARwBfADQAXwAyAF8AMQBfADMAXwBfADYAXwBJAG4AdABhAGsAZQBSAGUAbABhAHQAaQB2AGUAVABvAE0AYQBpAG4AdABlAG4AYQBuAGMAZQBfAE4ASQBSAFIAZQBmAGUAcgBlAG4AYwBlACIALAAiAE0ATQBTAF8AUABhAHMAdAB1AHIAZQBCAGUAZQBmAF8AUwBvAGkAbABfAE4AMgBPAEQAaQByAGUAYwB0AF8ARQBxAHUAYQB0AGkAbwBuAHMALgBWAEUARQBSAEcAXwA0AF8AMgBfADEAXwAzAF8AXwA2AF8ASQBuAHQAYQBrAGUAUgBlAGwAYQB0AGkAdgBlAFQAbwBNAGEAaQBuAHQAZQBuAGEAbgBjAGUAXwBMAGEAdABlAHgARQBxAHUAYQB0AGkAbwBuACIALAAiAE0ATQBTAF8AUABhAHMAdAB1AHIAZQBCAGUAZQBmAF8AUwBvAGkAbABfAE4AMgBPAEQAaQByAGUAYwB0AF8ARQBxAHUAYQB0AGkAbwBuAHMALgBWAEUARQBSAEcAXwA0AF8AMgBfADEAXwAzAF8AXwA2AF8ASQBuAHQAYQBrAGUAUgBlAGwAYQB0AGkAdgBlAFQAbwBNAGEAaQBuAHQAZQBuAGEAbgBjAGUAXwBBAHIAZwB1AG0AZQBuAHQAcwAiACwAIgBNAE0AUwBfAFAAYQBzAHQAdQByAGUAQgBlAGUAZgBfAFMAbwBpAGwAXwBOADIATwBEAGkAcgBlAGMAdABfAEUAcQB1AGEAdABpAG8AbgBzAC4AVgBFAEUAUgBHAF8ANABfADIAXwAxAF8AMwBfAF8ANwBfAFIAZQBsAGEAdABpAHYAZQBTAGkAegBlACIALAAiAE0ATQBTAF8AUABhAHMAdAB1AHIAZQBCAGUAZQBmAF8AUwBvAGkAbABfAE4AMgBPAEQAaQByAGUAYwB0AF8ARQBxAHUAYQB0AGkAbwBuAHMALgBWAEUARQBSAEcAXwA0AF8AMgBfADEAXwAzAF8AXwA3AF8AUgBlAGwAYQB0AGkAdgBlAFMAaQB6AGUAXwBUAGkAdABsAGUAIgAsACIATQBNAFMAXwBQAGEAcwB0AHUAcgBlAEIAZQBlAGYAXwBTAG8AaQBsAF8ATgAyAE8ARABpAHIAZQBjAHQAXwBFAHEAdQBhAHQAaQBvAG4AcwAuAFYARQBFAFIARwBfADQAXwAyAF8AMQBfADMAXwBfADcAXwBSAGUAbABhAHQAaQB2AGUAUwBpAHoAZQBfAFYAYQByAGkAYQBiAGwAZQAiACwAIgBNAE0AUwBfAFAAYQBzAHQAdQByAGUAQgBlAGUAZgBfAFMAbwBpAGwAXwBOADIATwBEAGkAcgBlAGMAdABfAEUAcQB1AGEAdABpAG8AbgBzAC4AVgBFAEUAUgBHAF8ANABfADIAXwAxAF8AMwBfAF8ANwBfAFIAZQBsAGEAdABpAHYAZQBTAGkAegBlAF8AVQBuAGkAdAAiACwAIgBNAE0AUwBfAFAAYQBzAHQAdQByAGUAQgBlAGUAZgBfAFMAbwBpAGwAXwBOADIATwBEAGkAcgBlAGMAdABfAEUAcQB1AGEAdABpAG8AbgBzAC4AVgBFAEUAUgBHAF8ANABfADIAXwAxAF8AMwBfAF8ANwBfAFIAZQBsAGEAdABpAHYAZQBTAGkAegBlAF8AUwBvAHUAcgBjAGUAIgAsACIATQBNAFMAXwBQAGEAcwB0AHUAcgBlAEIAZQBlAGYAXwBTAG8AaQBsAF8ATgAyAE8ARABpAHIAZQBjAHQAXwBFAHEAdQBhAHQAaQBvAG4AcwAuAFYARQBFAFIARwBfADQAXwAyAF8AMQBfADMAXwBfADcAXwBSAGUAbABhAHQAaQB2AGUAUwBpAHoAZQBfAE4ASQBSAFIAZQBmAGUAcgBlAG4AYwBlACIALAAiAE0ATQBTAF8AUABhAHMAdAB1AHIAZQBCAGUAZQBmAF8AUwBvAGkAbABfAE4AMgBPAEQAaQByAGUAYwB0AF8ARQBxAHUAYQB0AGkAbwBuAHMALgBWAEUARQBSAEcAXwA0AF8AMgBfADEAXwAzAF8AXwA3AF8AUgBlAGwAYQB0AGkAdgBlAFMAaQB6AGUAXwBMAGEAdABlAHgARQBxAHUAYQB0AGkAbwBuACIALAAiAE0ATQBTAF8AUABhAHMAdAB1AHIAZQBCAGUAZQBmAF8AUwBvAGkAbABfAE4AMgBPAEQAaQByAGUAYwB0AF8ARQBxAHUAYQB0AGkAbwBuAHMALgBWAEUARQBSAEcAXwA0AF8AMgBfADEAXwAzAF8AXwA3AF8AUgBlAGwAYQB0AGkAdgBlAFMAaQB6AGUAXwBBAHIAZwB1AG0AZQBuAHQAcw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ABpAHQAbA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YAYQByAGkAYQBi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VAG4AaQB0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MAbwB1AHIAYw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4ASQBSAFIAZQBmAGUAcgBlAG4AYw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wAYQB0AGUAeABFAHEAdQBhAHQAaQBvAG4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QQByAGcAdQBtAGUAbgB0AHM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QAaQB0AGw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WAGEAcgBpAGEAYg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QBuAGkAdA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TAG8AdQByAGM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OAEkAUgBSAGUAZgBlAHIAZQBuAGM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MAGEAdABlAHgARQBxAHUAYQB0AGkAbwBu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EEAcgBnAHUAbQBlAG4AdABz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UAGkAdABs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gBhAHIAaQBhAGI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UAbgBpAHQ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UwBvAHUAcgBj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TgBJAFIAUgBlAGYAZQByAGUAbgBj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TABhAHQAZQB4AEUAcQB1AGEAdABpAG8Abg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BAHIAZwB1AG0AZQBuAHQAcw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QAaQB0AGw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YAYQByAGkAYQBiAGw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UAbgBpAHQ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TAG8AdQBy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4ASQBSAFIAZQBmAGUAcgBlAG4AYwBl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TABhAHQAZQB4AEUAcQB1AGEAdABpAG8Abg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EAcgBnAHUAbQBlAG4AdABzACIALAAiAFMAbwB1AHIAYwBlAEQAYQB0AGEAXwBTAHcAaQBuAGUALgBTAG8AdQByAGMAZQBEAGEAdABhAF8AUwB3AGkAbgBlAF8AVgBvAGwAYQB0AGkAbABlAFMAbwBsAGkAZABzAF8AVABpAHQAbABlACIALAAiAFMAbwB1AHIAYwBlAEQAYQB0AGEAXwBTAHcAaQBuAGUALgBTAG8AdQByAGMAZQBEAGEAdABhAF8AUwB3AGkAbgBlAF8AVgBvAGwAYQB0AGkAbABlAFMAbwBsAGkAZABzAF8AVQBuAGkAdAAiACwAIgBTAG8AdQByAGMAZQBEAGEAdABhAF8AUwB3AGkAbgBlAC4AUwBvAHUAcgBjAGUARABhAHQAYQBfAFMAdwBpAG4AZQBfAFYAbwBsAGEAdABpAGwAZQBTAG8AbABpAGQAcwBfAFMAbwB1AHIAYwBlACIALAAiAFMAbwB1AHIAYwBlAEQAYQB0AGEAXwBTAHcAaQBuAGUALgBTAG8AdQByAGMAZQBEAGEAdABhAF8AUwB3AGkAbgBlAF8AVgBvAGwAYQB0AGkAbABlAFMAbwBsAGkAZABzAF8AVgBhAHIAaQBhAHQAaQBvAG4AIgAsACIAUwBvAHUAcgBjAGUARABhAHQAYQBfAFMAdwBpAG4AZQAuAFMAbwB1AHIAYwBlAEQAYQB0AGEAXwBTAHcAaQBuAGUAXwBWAG8AbABhAHQAaQBsAGUAUwBvAGwAaQBkAHMAXwBEAGEAdABhACIALAAiAFMAbwB1AHIAYwBlAEQAYQB0AGEAXwBTAHcAaQBuAGUALgBTAG8AdQByAGMAZQBEAGEAdABhAF8AUwB3AGkAbgBlAF8ATQBlAHQAaABhAG4AZQBWAG8AbABhAHQAaQBsAGUAUwBvAGwAaQBkAHMARQBtAGkAcwBzAGkAbwBuAHMAUABvAHQAZQBuAHQAaQBhAGwAXwBUAGkAdABsAGUAIgAsACIAUwBvAHUAcgBjAGUARABhAHQAYQBfAFMAdwBpAG4AZQAuAFMAbwB1AHIAYwBlAEQAYQB0AGEAXwBTAHcAaQBuAGUAXwBNAGUAdABoAGEAbgBlAFYAbwBsAGEAdABpAGwAZQBTAG8AbABpAGQAcwBFAG0AaQBzAHMAaQBvAG4AcwBQAG8AdABlAG4AdABpAGEAbABfAFYAYQByAGkAYQBiAGwAZQAiACwAIgBTAG8AdQByAGMAZQBEAGEAdABhAF8AUwB3AGkAbgBlAC4AUwBvAHUAcgBjAGUARABhAHQAYQBfAFMAdwBpAG4AZQBfAE0AZQB0AGgAYQBuAGUAVgBvAGwAYQB0AGkAbABlAFMAbwBsAGkAZABzAEUAbQBpAHMAcwBpAG8AbgBzAFAAbwB0AGUAbgB0AGkAYQBsAF8AVQBuAGkAdAAiACwAIgBTAG8AdQByAGMAZQBEAGEAdABhAF8AUwB3AGkAbgBlAC4AUwBvAHUAcgBjAGUARABhAHQAYQBfAFMAdwBpAG4AZQBfAE0AZQB0AGgAYQBuAGUAVgBvAGwAYQB0AGkAbABlAFMAbwBsAGkAZABzAEUAbQBpAHMAcwBpAG8AbgBzAFAAbwB0AGUAbgB0AGkAYQBsAF8AUwBvAHUAcgBjAGUAIgAsACIAUwBvAHUAcgBjAGUARABhAHQAYQBfAFMAdwBpAG4AZQAuAFMAbwB1AHIAYwBlAEQAYQB0AGEAXwBTAHcAaQBuAGUAXwBNAGUAdABoAGEAbgBlAFYAbwBsAGEAdABpAGwAZQBTAG8AbABpAGQAcwBFAG0AaQBzAHMAaQBvAG4AcwBQAG8AdABlAG4AdABpAGEAbABfAFYAYQByAGkAYQB0AGkAbwBuACIALAAiAFMAbwB1AHIAYwBlAEQAYQB0AGEAXwBTAHcAaQBuAGUALgBTAG8AdQByAGMAZQBEAGEAdABhAF8AUwB3AGkAbgBlAF8ATQBlAHQAaABhAG4AZQBWAG8AbABhAHQAaQBsAGUAUwBvAGwAaQBkAHMARQBtAGkAcwBzAGkAbwBuAHMAUABvAHQAZQBuAHQAaQBhAGwAXwBEAGEAdABhACIALAAiAFMAbwB1AHIAYwBlAEQAYQB0AGEAXwBTAHcAaQBuAGUALgBTAG8AdQByAGMAZQBEAGEAdABhAF8AUwB3AGkAbgBlAF8ATQBNAFMAXwBNAEMARgBzAF8AVABpAHQAbABlACIALAAiAFMAbwB1AHIAYwBlAEQAYQB0AGEAXwBTAHcAaQBuAGUALgBTAG8AdQByAGMAZQBEAGEAdABhAF8AUwB3AGkAbgBlAF8ATQBNAFMAXwBNAEMARgBzAF8AVQBuAGkAdAAiACwAIgBTAG8AdQByAGMAZQBEAGEAdABhAF8AUwB3AGkAbgBlAC4AUwBvAHUAcgBjAGUARABhAHQAYQBfAFMAdwBpAG4AZQBfAE0ATQBTAF8ATQBDAEYAcwBfAFMAbwB1AHIAYwBlACIALAAiAFMAbwB1AHIAYwBlAEQAYQB0AGEAXwBTAHcAaQBuAGUALgBTAG8AdQByAGMAZQBEAGEAdABhAF8AUwB3AGkAbgBlAF8ATQBNAFMAXwBNAEMARgBzAF8AVgBhAHIAaQBhAHQAaQBvAG4AIgAsACIAUwBvAHUAcgBjAGUARABhAHQAYQBfAFMAdwBpAG4AZQAuAFMAbwB1AHIAYwBlAEQAYQB0AGEAXwBTAHcAaQBuAGUAXwBNAE0AUwBfAE0AQwBGAHMAXwBEAGEAdABhACIALAAiAFMAbwB1AHIAYwBlAEQAYQB0AGEAXwBTAHcAaQBuAGUALgBTAG8AdQByAGMAZQBEAGEAdABhAF8AUwB3AGkAbgBlAF8AUAByAG8AZAB1AGMAdABpAG8AbgBTAHkAcwB0AGUAbQBzAF8AVABpAHQAbABlACIALAAiAFMAbwB1AHIAYwBlAEQAYQB0AGEAXwBTAHcAaQBuAGUALgBTAG8AdQByAGMAZQBEAGEAdABhAF8AUwB3AGkAbgBlAF8AUAByAG8AZAB1AGMAdABpAG8AbgBTAHkAcwB0AGUAbQBzAF8AVQBuAGkAdAAiACwAIgBTAG8AdQByAGMAZQBEAGEAdABhAF8AUwB3AGkAbgBlAC4AUwBvAHUAcgBjAGUARABhAHQAYQBfAFMAdwBpAG4AZQBfAFAAcgBvAGQAdQBjAHQAaQBvAG4AUwB5AHMAdABlAG0AcwBfAFMAbwB1AHIAYwBlACIALAAiAFMAbwB1AHIAYwBlAEQAYQB0AGEAXwBTAHcAaQBuAGUALgBTAG8AdQByAGMAZQBEAGEAdABhAF8AUwB3AGkAbgBlAF8AUAByAG8AZAB1AGMAdABpAG8AbgBTAHkAcwB0AGUAbQBzAF8AVgBhAHIAaQBhAHQAaQBvAG4AIgAsACIAUwBvAHUAcgBjAGUARABhAHQAYQBfAFMAdwBpAG4AZQAuAFMAbwB1AHIAYwBlAEQAYQB0AGEAXwBTAHcAaQBuAGUAXwBQAHIAbwBkAHUAYwB0AGkAbwBuAFMAeQBzAHQAZQBtAHMAXwBEAGEAdABhACIALAAiAE0ATQBTAF8AUwB3AGkAbgBlAF8ATQBlAHQAaABhAG4AZQBfAEUAcQB1AGEAdABpAG8AbgBzAC4AVgBFAEUAUgBHAF8ANABfADUAXwAxAF8AMQBfAF8AMQBfAFQAbwB0AGEAbABBAG4AbgB1AGEAbABNAGUAdABoAGEAbgBlAEUAbQBpAHMAcwBpAG8AbgBzACIALAAiAE0ATQBTAF8AUwB3AGkAbgBlAF8ATQBlAHQAaABhAG4AZQBfAEUAcQB1AGEAdABpAG8AbgBzAC4AVgBFAEUAUgBHAF8ANABfADUAXwAxAF8AMQBfAF8AMQBfAFQAbwB0AGEAbABBAG4AbgB1AGEAbABNAGUAdABoAGEAbgBlAEUAbQBpAHMAcwBpAG8AbgBzAF8AVABpAHQAbABlACIALAAiAE0ATQBTAF8AUwB3AGkAbgBlAF8ATQBlAHQAaABhAG4AZQBfAEUAcQB1AGEAdABpAG8AbgBzAC4AVgBFAEUAUgBHAF8ANABfADUAXwAxAF8AMQBfAF8AMQBfAFQAbwB0AGEAbABBAG4AbgB1AGEAbABNAGUAdABoAGEAbgBlAEUAbQBpAHMAcwBpAG8AbgBzAF8AVgBhAHIAaQBhAGIAbABlACIALAAiAE0ATQBTAF8AUwB3AGkAbgBlAF8ATQBlAHQAaABhAG4AZQBfAEUAcQB1AGEAdABpAG8AbgBzAC4AVgBFAEUAUgBHAF8ANABfADUAXwAxAF8AMQBfAF8AMQBfAFQAbwB0AGEAbABBAG4AbgB1AGEAbABNAGUAdABoAGEAbgBlAEUAbQBpAHMAcwBpAG8AbgBzAF8AVQBuAGkAdAAiACwAIgBNAE0AUwBfAFMAdwBpAG4AZQBfAE0AZQB0AGgAYQBuAGUAXwBFAHEAdQBhAHQAaQBvAG4AcwAuAFYARQBFAFIARwBfADQAXwA1AF8AMQBfADEAXwBfADEAXwBUAG8AdABhAGwAQQBuAG4AdQBhAGwATQBlAHQAaABhAG4AZQBFAG0AaQBzAHMAaQBvAG4AcwBfAFMAbwB1AHIAYwBlACIALAAiAE0ATQBTAF8AUwB3AGkAbgBlAF8ATQBlAHQAaABhAG4AZQBfAEUAcQB1AGEAdABpAG8AbgBzAC4AVgBFAEUAUgBHAF8ANABfADUAXwAxAF8AMQBfAF8AMQBfAFQAbwB0AGEAbABBAG4AbgB1AGEAbABNAGUAdABoAGEAbgBlAEUAbQBpAHMAcwBpAG8AbgBzAF8ATgBJAFIAUgBlAGYAZQByAGUAbgBjAGUAIgAsACIATQBNAFMAXwBTAHcAaQBuAGUAXwBNAGUAdABoAGEAbgBlAF8ARQBxAHUAYQB0AGkAbwBuAHMALgBWAEUARQBSAEcAXwA0AF8ANQBfADEAXwAxAF8AXwAxAF8AVABvAHQAYQBsAEEAbgBuAHUAYQBsAE0AZQB0AGgAYQBuAGUARQBtAGkAcwBzAGkAbwBuAHMAXwBMAGEAdABlAHgARQBxAHUAYQB0AGkAbwBuACIALAAiAE0ATQBTAF8AUwB3AGkAbgBlAF8ATQBlAHQAaABhAG4AZQBfAEUAcQB1AGEAdABpAG8AbgBzAC4AVgBFAEUAUgBHAF8ANABfADUAXwAxAF8AMQBfAF8AMQBfAFQAbwB0AGEAbABBAG4AbgB1AGEAbABNAGUAdABoAGEAbgBlAEUAbQBpAHMAcwBpAG8AbgBzAF8AQQByAGcAdQBtAGUAbgB0AHMAIgAsACIATQBNAFMAXwBTAHcAaQBuAGUAXwBNAGUAdABoAGEAbgBlAF8ARQBxAHUAYQB0AGkAbwBuAHMALgBWAEUARQBSAEcAXwA0AF8ANQBfADEAXwAxAF8AXwAyAF8ATQBlAHQAaABhAG4AZQBQAHIAbwBkAHUAYwB0AGkAbwBuAFAAZQByAEMAbABhAHMAcwAiACwAIgBNAE0AUwBfAFMAdwBpAG4AZQBfAE0AZQB0AGgAYQBuAGUAXwBFAHEAdQBhAHQAaQBvAG4AcwAuAFYARQBFAFIARwBfADQAXwA1AF8AMQBfADEAXwBfADIAXwBNAGUAdABoAGEAbgBlAFAAcgBvAGQAdQBjAHQAaQBvAG4AUABlAHIAQwBsAGEAcwBzAFYAYQByAGkAYQB0AGkAbwBuACIALAAiAE0ATQBTAF8AUwB3AGkAbgBlAF8ATQBlAHQAaABhAG4AZQBfAEUAcQB1AGEAdABpAG8AbgBzAC4AVgBFAEUAUgBHAF8ANABfADUAXwAxAF8AMQBfAF8AMgBfAE0AZQB0AGgAYQBuAGUAUAByAG8AZAB1AGMAdABpAG8AbgBQAGUAcgBDAGwAYQBzAHMAXwBUAGkAdABsAGUAIgAsACIATQBNAFMAXwBTAHcAaQBuAGUAXwBNAGUAdABoAGEAbgBlAF8ARQBxAHUAYQB0AGkAbwBuAHMALgBWAEUARQBSAEcAXwA0AF8ANQBfADEAXwAxAF8AXwAyAF8ATQBlAHQAaABhAG4AZQBQAHIAbwBkAHUAYwB0AGkAbwBuAFAAZQByAEMAbABhAHMAcwBfAFYAYQByAGkAYQBiAGwAZQAiACwAIgBNAE0AUwBfAFMAdwBpAG4AZQBfAE0AZQB0AGgAYQBuAGUAXwBFAHEAdQBhAHQAaQBvAG4AcwAuAFYARQBFAFIARwBfADQAXwA1AF8AMQBfADEAXwBfADIAXwBNAGUAdABoAGEAbgBlAFAAcgBvAGQAdQBjAHQAaQBvAG4AUABlAHIAQwBsAGEAcwBzAF8AVQBuAGkAdAAiACwAIgBNAE0AUwBfAFMAdwBpAG4AZQBfAE0AZQB0AGgAYQBuAGUAXwBFAHEAdQBhAHQAaQBvAG4AcwAuAFYARQBFAFIARwBfADQAXwA1AF8AMQBfADEAXwBfADIAXwBNAGUAdABoAGEAbgBlAFAAcgBvAGQAdQBjAHQAaQBvAG4AUABlAHIAQwBsAGEAcwBzAF8AUwBvAHUAcgBjAGUAIgAsACIATQBNAFMAXwBTAHcAaQBuAGUAXwBNAGUAdABoAGEAbgBlAF8ARQBxAHUAYQB0AGkAbwBuAHMALgBWAEUARQBSAEcAXwA0AF8ANQBfADEAXwAxAF8AXwAyAF8ATQBlAHQAaABhAG4AZQBQAHIAbwBkAHUAYwB0AGkAbwBuAFAAZQByAEMAbABhAHMAcwBfAE4ASQBSAFIAZQBmAGUAcgBlAG4AYwBlACIALAAiAE0ATQBTAF8AUwB3AGkAbgBlAF8ATQBlAHQAaABhAG4AZQBfAEUAcQB1AGEAdABpAG8AbgBzAC4AVgBFAEUAUgBHAF8ANABfADUAXwAxAF8AMQBfAF8AMgBfAE0AZQB0AGgAYQBuAGUAUAByAG8AZAB1AGMAdABpAG8AbgBQAGUAcgBDAGwAYQBzAHMAXwBMAGEAdABlAHgARQBxAHUAYQB0AGkAbwBuACIALAAiAE0ATQBTAF8AUwB3AGkAbgBlAF8ATQBlAHQAaABhAG4AZQBfAEUAcQB1AGEAdABpAG8AbgBzAC4AVgBFAEUAUgBHAF8ANABfADUAXwAxAF8AMQBfAF8AMgBfAE0AZQB0AGgAYQBuAGUAUAByAG8AZAB1AGMAdABpAG8AbgBQAGUAcgBDAGwAYQBzAHMAXwBBAHIAZwB1AG0AZQBuAHQAcwAiACwAIgBNAE0AUwBfAFMAdwBpAG4AZQBfAE0AZQB0AGgAYQBuAGUAXwBFAHEAdQBhAHQAaQBvAG4AcwAuAFYARQBFAFIARwBfADQAXwA1AF8AMQBfADEAXwBfADIAXwBNAGUAdABoAGEAbgBlAFAAcgBvAGQAdQBjAHQAaQBvAG4AUABlAHIAQwBsAGEAcwBzAF8AVgBhAHIAaQBhAHQAaQBvAG4AIgAsACIATQBNAFMAXwBTAHcAaQBuAGUAXwBNAGUAdABoAGEAbgBlAF8ARQBxAHUAYQB0AGkAbwBuAHMALgBWAEUARQBSAEcAXwA0AF8ANQBfADEAXwAxAF8AXwAzAF8AUwB0AGEAZwBlADEATQBlAHQAaABhAG4AZQBQAHIAbwBkAHUAYwB0AGkAbwBuACIALAAiAE0ATQBTAF8AUwB3AGkAbgBlAF8ATQBlAHQAaABhAG4AZQBfAEUAcQB1AGEAdABpAG8AbgBzAC4AVgBFAEUAUgBHAF8ANABfADUAXwAxAF8AMQBfAF8AMwBfAFMAdABhAGcAZQAxAE0AZQB0AGgAYQBuAGUAUAByAG8AZAB1AGMAdABpAG8AbgBfAFQAaQB0AGwAZQAiACwAIgBNAE0AUwBfAFMAdwBpAG4AZQBfAE0AZQB0AGgAYQBuAGUAXwBFAHEAdQBhAHQAaQBvAG4AcwAuAFYARQBFAFIARwBfADQAXwA1AF8AMQBfADEAXwBfADMAXwBTAHQAYQBnAGUAMQBNAGUAdABoAGEAbgBlAFAAcgBvAGQAdQBjAHQAaQBvAG4AXwBWAGEAcgBpAGEAYgBsAGUAIgAsACIATQBNAFMAXwBTAHcAaQBuAGUAXwBNAGUAdABoAGEAbgBlAF8ARQBxAHUAYQB0AGkAbwBuAHMALgBWAEUARQBSAEcAXwA0AF8ANQBfADEAXwAxAF8AXwAzAF8AUwB0AGEAZwBlADEATQBlAHQAaABhAG4AZQBQAHIAbwBkAHUAYwB0AGkAbwBuAF8AVQBuAGkAdAAiACwAIgBNAE0AUwBfAFMAdwBpAG4AZQBfAE0AZQB0AGgAYQBuAGUAXwBFAHEAdQBhAHQAaQBvAG4AcwAuAFYARQBFAFIARwBfADQAXwA1AF8AMQBfADEAXwBfADMAXwBTAHQAYQBnAGUAMQBNAGUAdABoAGEAbgBlAFAAcgBvAGQAdQBjAHQAaQBvAG4AXwBTAG8AdQByAGMAZQAiACwAIgBNAE0AUwBfAFMAdwBpAG4AZQBfAE0AZQB0AGgAYQBuAGUAXwBFAHEAdQBhAHQAaQBvAG4AcwAuAFYARQBFAFIARwBfADQAXwA1AF8AMQBfADEAXwBfADMAXwBTAHQAYQBnAGUAMQBNAGUAdABoAGEAbgBlAFAAcgBvAGQAdQBjAHQAaQBvAG4AXwBOAEkAUgBSAGUAZgBlAHIAZQBuAGMAZQAiACwAIgBNAE0AUwBfAFMAdwBpAG4AZQBfAE0AZQB0AGgAYQBuAGUAXwBFAHEAdQBhAHQAaQBvAG4AcwAuAFYARQBFAFIARwBfADQAXwA1AF8AMQBfADEAXwBfADMAXwBTAHQAYQBnAGUAMQBNAGUAdABoAGEAbgBlAFAAcgBvAGQAdQBjAHQAaQBvAG4AXwBMAGEAdABlAHgARQBxAHUAYQB0AGkAbwBuACIALAAiAE0ATQBTAF8AUwB3AGkAbgBlAF8ATQBlAHQAaABhAG4AZQBfAEUAcQB1AGEAdABpAG8AbgBzAC4AVgBFAEUAUgBHAF8ANABfADUAXwAxAF8AMQBfAF8AMwBfAFMAdABhAGcAZQAxAE0AZQB0AGgAYQBuAGUAUAByAG8AZAB1AGMAdABpAG8AbgBfAEEAcgBnAHUAbQBlAG4AdABzACIALAAiAE0ATQBTAF8AUwB3AGkAbgBlAF8ATQBlAHQAaABhAG4AZQBfAEUAcQB1AGEAdABpAG8AbgBzAC4AVgBFAEUAUgBHAF8ANABfADUAXwAxAF8AMQBfAF8ANABfAEYAcgBhAGMAdABpAG8AbgBWAG8AbABhAHQAaQBsAGUAUwBvAGwAaQBkAHMAUAByAGkAbQBhAHIAeQBTAHkAcwB0AGUAbQAiACwAIgBNAE0AUwBfAFMAdwBpAG4AZQBfAE0AZQB0AGgAYQBuAGUAXwBFAHEAdQBhAHQAaQBvAG4AcwAuAFYARQBFAFIARwBfADQAXwA1AF8AMQBfADEAXwBfADQAXwBGAHIAYQBjAHQAaQBvAG4AVgBvAGwAYQB0AGkAbABlAFMAbwBsAGkAZABzAFAAcgBpAG0AYQByAHkAUwB5AHMAdABlAG0AXwBUAGkAdABsAGUAIgAsACIATQBNAFMAXwBTAHcAaQBuAGUAXwBNAGUAdABoAGEAbgBlAF8ARQBxAHUAYQB0AGkAbwBuAHMALgBWAEUARQBSAEcAXwA0AF8ANQBfADEAXwAxAF8AXwA0AF8ARgByAGEAYwB0AGkAbwBuAFYAbwBsAGEAdABpAGwAZQBTAG8AbABpAGQAcwBQAHIAaQBtAGEAcgB5AFMAeQBzAHQAZQBtAF8AVgBhAHIAaQBhAGIAbABlACIALAAiAE0ATQBTAF8AUwB3AGkAbgBlAF8ATQBlAHQAaABhAG4AZQBfAEUAcQB1AGEAdABpAG8AbgBzAC4AVgBFAEUAUgBHAF8ANABfADUAXwAxAF8AMQBfAF8ANABfAEYAcgBhAGMAdABpAG8AbgBWAG8AbABhAHQAaQBsAGUAUwBvAGwAaQBkAHMAUAByAGkAbQBhAHIAeQBTAHkAcwB0AGUAbQBfAFUAbgBpAHQAIgAsACIATQBNAFMAXwBTAHcAaQBuAGUAXwBNAGUAdABoAGEAbgBlAF8ARQBxAHUAYQB0AGkAbwBuAHMALgBWAEUARQBSAEcAXwA0AF8ANQBfADEAXwAxAF8AXwA0AF8ARgByAGEAYwB0AGkAbwBuAFYAbwBsAGEAdABpAGwAZQBTAG8AbABpAGQAcwBQAHIAaQBtAGEAcgB5AFMAeQBzAHQAZQBtAF8AUwBvAHUAcgBjAGUAIgAsACIATQBNAFMAXwBTAHcAaQBuAGUAXwBNAGUAdABoAGEAbgBlAF8ARQBxAHUAYQB0AGkAbwBuAHMALgBWAEUARQBSAEcAXwA0AF8ANQBfADEAXwAxAF8AXwA0AF8ARgByAGEAYwB0AGkAbwBuAFYAbwBsAGEAdABpAGwAZQBTAG8AbABpAGQAcwBQAHIAaQBtAGEAcgB5AFMAeQBzAHQAZQBtAF8ATgBJAFIAUgBlAGYAZQByAGUAbgBjAGUAIgAsACIATQBNAFMAXwBTAHcAaQBuAGUAXwBNAGUAdABoAGEAbgBlAF8ARQBxAHUAYQB0AGkAbwBuAHMALgBWAEUARQBSAEcAXwA0AF8ANQBfADEAXwAxAF8AXwA0AF8ARgByAGEAYwB0AGkAbwBuAFYAbwBsAGEAdABpAGwAZQBTAG8AbABpAGQAcwBQAHIAaQBtAGEAcgB5AFMAeQBzAHQAZQBtAF8ATABhAHQAZQB4AEUAcQB1AGEAdABpAG8AbgAiACwAIgBNAE0AUwBfAFMAdwBpAG4AZQBfAE0AZQB0AGgAYQBuAGUAXwBFAHEAdQBhAHQAaQBvAG4AcwAuAFYARQBFAFIARwBfADQAXwA1AF8AMQBfADEAXwBfADQAXwBGAHIAYQBjAHQAaQBvAG4AVgBvAGwAYQB0AGkAbABlAFMAbwBsAGkAZABzAFAAcgBpAG0AYQByAHkAUwB5AHMAdABlAG0AXwBBAHIAZwB1AG0AZQBuAHQAcwAiACwAIgBNAE0AUwBfAFMAdwBpAG4AZQBfAE0AZQB0AGgAYQBuAGUAXwBFAHEAdQBhAHQAaQBvAG4AcwAuAFYARQBFAFIARwBfADQAXwA1AF8AMQBfADEAXwBfADQAXwBGAHIAYQBjAHQAaQBvAG4AVgBvAGwAYQB0AGkAbABlAFMAbwBsAGkAZABzAFAAcgBpAG0AYQByAHkAUwB5AHMAdABlAG0AXwBWAGEAcgBpAGEAdABpAG8AbgAiACwAIgBNAE0AUwBfAFMAdwBpAG4AZQBfAE0AZQB0AGgAYQBuAGUAXwBFAHEAdQBhAHQAaQBvAG4AcwAuAFYARQBFAFIARwBfADQAXwA1AF8AMQBfADEAXwBfADUAXwBGAHIAYQBjAHQAaQBvAG4AVgBvAGwAYQB0AGkAbABlAFMAbwBsAGkAZABzAFMAbwBsAGkAZABTAHQAbwByAGEAZwBlACIALAAiAE0ATQBTAF8AUwB3AGkAbgBlAF8ATQBlAHQAaABhAG4AZQBfAEUAcQB1AGEAdABpAG8AbgBzAC4AVgBFAEUAUgBHAF8ANABfADUAXwAxAF8AMQBfAF8ANQBfAEYAcgBhAGMAdABpAG8AbgBWAG8AbABhAHQAaQBsAGUAUwBvAGwAaQBkAHMAUwBvAGwAaQBkAFMAdABvAHIAYQBnAGUAVgBhAHIAaQBhAHQAaQBvAG4AIgAsACIATQBNAFMAXwBTAHcAaQBuAGUAXwBNAGUAdABoAGEAbgBlAF8ARQBxAHUAYQB0AGkAbwBuAHMALgBWAEUARQBSAEcAXwA0AF8ANQBfADEAXwAxAF8AXwA1AF8ARgByAGEAYwB0AGkAbwBuAFYAbwBsAGEAdABpAGwAZQBTAG8AbABpAGQAcwBTAG8AbABpAGQAUwB0AG8AcgBhAGcAZQBfAFQAaQB0AGwAZQAiACwAIgBNAE0AUwBfAFMAdwBpAG4AZQBfAE0AZQB0AGgAYQBuAGUAXwBFAHEAdQBhAHQAaQBvAG4AcwAuAFYARQBFAFIARwBfADQAXwA1AF8AMQBfADEAXwBfADUAXwBGAHIAYQBjAHQAaQBvAG4AVgBvAGwAYQB0AGkAbABlAFMAbwBsAGkAZABzAFMAbwBsAGkAZABTAHQAbwByAGEAZwBlAF8AVgBhAHIAaQBhAGIAbABlACIALAAiAE0ATQBTAF8AUwB3AGkAbgBlAF8ATQBlAHQAaABhAG4AZQBfAEUAcQB1AGEAdABpAG8AbgBzAC4AVgBFAEUAUgBHAF8ANABfADUAXwAxAF8AMQBfAF8ANQBfAEYAcgBhAGMAdABpAG8AbgBWAG8AbABhAHQAaQBsAGUAUwBvAGwAaQBkAHMAUwBvAGwAaQBkAFMAdABvAHIAYQBnAGUAXwBVAG4AaQB0ACIALAAiAE0ATQBTAF8AUwB3AGkAbgBlAF8ATQBlAHQAaABhAG4AZQBfAEUAcQB1AGEAdABpAG8AbgBzAC4AVgBFAEUAUgBHAF8ANABfADUAXwAxAF8AMQBfAF8ANQBfAEYAcgBhAGMAdABpAG8AbgBWAG8AbABhAHQAaQBsAGUAUwBvAGwAaQBkAHMAUwBvAGwAaQBkAFMAdABvAHIAYQBnAGUAXwBTAG8AdQByAGMAZQAiACwAIgBNAE0AUwBfAFMAdwBpAG4AZQBfAE0AZQB0AGgAYQBuAGUAXwBFAHEAdQBhAHQAaQBvAG4AcwAuAFYARQBFAFIARwBfADQAXwA1AF8AMQBfADEAXwBfADUAXwBGAHIAYQBjAHQAaQBvAG4AVgBvAGwAYQB0AGkAbABlAFMAbwBsAGkAZABzAFMAbwBsAGkAZABTAHQAbwByAGEAZwBlAF8ATgBJAFIAUgBlAGYAZQByAGUAbgBjAGUAIgAsACIATQBNAFMAXwBTAHcAaQBuAGUAXwBNAGUAdABoAGEAbgBlAF8ARQBxAHUAYQB0AGkAbwBuAHMALgBWAEUARQBSAEcAXwA0AF8ANQBfADEAXwAxAF8AXwA1AF8ARgByAGEAYwB0AGkAbwBuAFYAbwBsAGEAdABpAGwAZQBTAG8AbABpAGQAcwBTAG8AbABpAGQAUwB0AG8AcgBhAGcAZQBfAEwAYQB0AGUAeABFAHEAdQBhAHQAaQBvAG4AIgAsACIATQBNAFMAXwBTAHcAaQBuAGUAXwBNAGUAdABoAGEAbgBlAF8ARQBxAHUAYQB0AGkAbwBuAHMALgBWAEUARQBSAEcAXwA0AF8ANQBfADEAXwAxAF8AXwA1AF8ARgByAGEAYwB0AGkAbwBuAFYAbwBsAGEAdABpAGwAZQBTAG8AbABpAGQAcwBTAG8AbABpAGQAUwB0AG8AcgBhAGcAZQBfAEwAYQB0AGUAeABFAHEAdQBhAHQAaQBvAG4AVgBhAHIAaQBhAHQAaQBvAG4AIgAsACIATQBNAFMAXwBTAHcAaQBuAGUAXwBNAGUAdABoAGEAbgBlAF8ARQBxAHUAYQB0AGkAbwBuAHMALgBWAEUARQBSAEcAXwA0AF8ANQBfADEAXwAxAF8AXwA1AF8ARgByAGEAYwB0AGkAbwBuAFYAbwBsAGEAdABpAGwAZQBTAG8AbABpAGQAcwBTAG8AbABpAGQAUwB0AG8AcgBhAGcAZQBfAEEAcgBnAHUAbQBlAG4AdABzACIALAAiAE0ATQBTAF8AUwB3AGkAbgBlAF8ATQBlAHQAaABhAG4AZQBfAEUAcQB1AGEAdABpAG8AbgBzAC4AVgBFAEUAUgBHAF8ANABfADUAXwAxAF8AMQBfAF8ANQBfAEYAcgBhAGMAdABpAG8AbgBWAG8AbABhAHQAaQBsAGUAUwBvAGwAaQBkAHMAUwBvAGwAaQBkAFMAdABvAHIAYQBnAGUAXwBWAGEAcgBpAGEAdABpAG8AbgAiACwAIgBNAE0AUwBfAFMAdwBpAG4AZQBfAE0AZQB0AGgAYQBuAGUAXwBFAHEAdQBhAHQAaQBvAG4AcwAuAFYARQBFAFIARwBfADQAXwA1AF8AMQBfADEAXwBfADYAXwBTAHQAYQBnAGUAMgBNAGUAdABoAGEAbgBlAFAAcgBvAGQAdQBjAHQAaQBvAG4AIgAsACIATQBNAFMAXwBTAHcAaQBuAGUAXwBNAGUAdABoAGEAbgBlAF8ARQBxAHUAYQB0AGkAbwBuAHMALgBWAEUARQBSAEcAXwA0AF8ANQBfADEAXwAxAF8AXwA2AF8AUwB0AGEAZwBlADIATQBlAHQAaABhAG4AZQBQAHIAbwBkAHUAYwB0AGkAbwBuAF8AVABpAHQAbABlACIALAAiAE0ATQBTAF8AUwB3AGkAbgBlAF8ATQBlAHQAaABhAG4AZQBfAEUAcQB1AGEAdABpAG8AbgBzAC4AVgBFAEUAUgBHAF8ANABfADUAXwAxAF8AMQBfAF8ANgBfAFMAdABhAGcAZQAyAE0AZQB0AGgAYQBuAGUAUAByAG8AZAB1AGMAdABpAG8AbgBfAFYAYQByAGkAYQBiAGwAZQAiACwAIgBNAE0AUwBfAFMAdwBpAG4AZQBfAE0AZQB0AGgAYQBuAGUAXwBFAHEAdQBhAHQAaQBvAG4AcwAuAFYARQBFAFIARwBfADQAXwA1AF8AMQBfADEAXwBfADYAXwBTAHQAYQBnAGUAMgBNAGUAdABoAGEAbgBlAFAAcgBvAGQAdQBjAHQAaQBvAG4AXwBVAG4AaQB0ACIALAAiAE0ATQBTAF8AUwB3AGkAbgBlAF8ATQBlAHQAaABhAG4AZQBfAEUAcQB1AGEAdABpAG8AbgBzAC4AVgBFAEUAUgBHAF8ANABfADUAXwAxAF8AMQBfAF8ANgBfAFMAdABhAGcAZQAyAE0AZQB0AGgAYQBuAGUAUAByAG8AZAB1AGMAdABpAG8AbgBfAFMAbwB1AHIAYwBlACIALAAiAE0ATQBTAF8AUwB3AGkAbgBlAF8ATQBlAHQAaABhAG4AZQBfAEUAcQB1AGEAdABpAG8AbgBzAC4AVgBFAEUAUgBHAF8ANABfADUAXwAxAF8AMQBfAF8ANgBfAFMAdABhAGcAZQAyAE0AZQB0AGgAYQBuAGUAUAByAG8AZAB1AGMAdABpAG8AbgBfAE4ASQBSAFIAZQBmAGUAcgBlAG4AYwBlACIALAAiAE0ATQBTAF8AUwB3AGkAbgBlAF8ATQBlAHQAaABhAG4AZQBfAEUAcQB1AGEAdABpAG8AbgBzAC4AVgBFAEUAUgBHAF8ANABfADUAXwAxAF8AMQBfAF8ANgBfAFMAdABhAGcAZQAyAE0AZQB0AGgAYQBuAGUAUAByAG8AZAB1AGMAdABpAG8AbgBfAEwAYQB0AGUAeABFAHEAdQBhAHQAaQBvAG4AIgAsACIATQBNAFMAXwBTAHcAaQBuAGUAXwBNAGUAdABoAGEAbgBlAF8ARQBxAHUAYQB0AGkAbwBuAHMALgBWAEUARQBSAEcAXwA0AF8ANQBfADEAXwAxAF8AXwA2AF8AUwB0AGEAZwBlADIATQBlAHQAaABhAG4AZQBQAHIAbwBkAHUAYwB0AGkAbwBuAF8AQQByAGcAdQBtAGUAbgB0AHMAIgAsACIATQBNAFMAXwBTAHcAaQBuAGUAXwBNAGUAdABoAGEAbgBlAF8ARQBxAHUAYQB0AGkAbwBuAHMALgBWAEUARQBSAEcAXwA0AF8ANQBfADEAXwAxAF8AXwA3AF8AVgBvAGwAYQB0AGkAbABlAFMAbwBsAGkAZABzAFQAcgBhAG4AcwBmAGUAcgByAGUAZABTAHQAYQBnAGUAMgAiACwAIgBNAE0AUwBfAFMAdwBpAG4AZQBfAE0AZQB0AGgAYQBuAGUAXwBFAHEAdQBhAHQAaQBvAG4AcwAuAFYARQBFAFIARwBfADQAXwA1AF8AMQBfADEAXwBfADcAXwBWAG8AbABhAHQAaQBsAGUAUwBvAGwAaQBkAHMAVAByAGEAbgBzAGYAZQByAHIAZQBkAFMAdABhAGcAZQAyAF8AVABpAHQAbABlACIALAAiAE0ATQBTAF8AUwB3AGkAbgBlAF8ATQBlAHQAaABhAG4AZQBfAEUAcQB1AGEAdABpAG8AbgBzAC4AVgBFAEUAUgBHAF8ANABfADUAXwAxAF8AMQBfAF8ANwBfAFYAbwBsAGEAdABpAGwAZQBTAG8AbABpAGQAcwBUAHIAYQBuAHMAZgBlAHIAcgBlAGQAUwB0AGEAZwBlADIAXwBWAGEAcgBpAGEAYgBsAGUAIgAsACIATQBNAFMAXwBTAHcAaQBuAGUAXwBNAGUAdABoAGEAbgBlAF8ARQBxAHUAYQB0AGkAbwBuAHMALgBWAEUARQBSAEcAXwA0AF8ANQBfADEAXwAxAF8AXwA3AF8AVgBvAGwAYQB0AGkAbABlAFMAbwBsAGkAZABzAFQAcgBhAG4AcwBmAGUAcgByAGUAZABTAHQAYQBnAGUAMgBfAFUAbgBpAHQAIgAsACIATQBNAFMAXwBTAHcAaQBuAGUAXwBNAGUAdABoAGEAbgBlAF8ARQBxAHUAYQB0AGkAbwBuAHMALgBWAEUARQBSAEcAXwA0AF8ANQBfADEAXwAxAF8AXwA3AF8AVgBvAGwAYQB0AGkAbABlAFMAbwBsAGkAZABzAFQAcgBhAG4AcwBmAGUAcgByAGUAZABTAHQAYQBnAGUAMgBfAFMAbwB1AHIAYwBlACIALAAiAE0ATQBTAF8AUwB3AGkAbgBlAF8ATQBlAHQAaABhAG4AZQBfAEUAcQB1AGEAdABpAG8AbgBzAC4AVgBFAEUAUgBHAF8ANABfADUAXwAxAF8AMQBfAF8ANwBfAFYAbwBsAGEAdABpAGwAZQBTAG8AbABpAGQAcwBUAHIAYQBuAHMAZgBlAHIAcgBlAGQAUwB0AGEAZwBlADIAXwBOAEkAUgBSAGUAZgBlAHIAZQBuAGMAZQAiACwAIgBNAE0AUwBfAFMAdwBpAG4AZQBfAE0AZQB0AGgAYQBuAGUAXwBFAHEAdQBhAHQAaQBvAG4AcwAuAFYARQBFAFIARwBfADQAXwA1AF8AMQBfADEAXwBfADcAXwBWAG8AbABhAHQAaQBsAGUAUwBvAGwAaQBkAHMAVAByAGEAbgBzAGYAZQByAHIAZQBkAFMAdABhAGcAZQAyAF8ATABhAHQAZQB4AEUAcQB1AGEAdABpAG8AbgAiACwAIgBNAE0AUwBfAFMAdwBpAG4AZQBfAE0AZQB0AGgAYQBuAGUAXwBFAHEAdQBhAHQAaQBvAG4AcwAuAFYARQBFAFIARwBfADQAXwA1AF8AMQBfADEAXwBfADcAXwBWAG8AbABhAHQAaQBsAGUAUwBvAGwAaQBkAHMAVAByAGEAbgBzAGYAZQByAHIAZQBkAFMAdABhAGcAZQAy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</AFEJSONBlob>
</file>

<file path=customXml/itemProps1.xml><?xml version="1.0" encoding="utf-8"?>
<ds:datastoreItem xmlns:ds="http://schemas.openxmlformats.org/officeDocument/2006/customXml" ds:itemID="{9A9CF321-0D35-4044-BC72-33748FE2B8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9E3D44-A88D-4EBF-A307-6B8CE77A33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91119c-fce9-4911-96ae-b800be5dccd8"/>
    <ds:schemaRef ds:uri="09eef6d6-daa8-4301-8f9f-b1ec380792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460F9D-420A-4723-B323-396E4D19EC9B}">
  <ds:schemaRefs>
    <ds:schemaRef ds:uri="http://schemas.microsoft.com/office/2006/metadata/properties"/>
    <ds:schemaRef ds:uri="http://schemas.microsoft.com/office/infopath/2007/PartnerControls"/>
    <ds:schemaRef ds:uri="09eef6d6-daa8-4301-8f9f-b1ec38079286"/>
    <ds:schemaRef ds:uri="7291119c-fce9-4911-96ae-b800be5dccd8"/>
  </ds:schemaRefs>
</ds:datastoreItem>
</file>

<file path=customXml/itemProps4.xml><?xml version="1.0" encoding="utf-8"?>
<ds:datastoreItem xmlns:ds="http://schemas.openxmlformats.org/officeDocument/2006/customXml" ds:itemID="{B6BE249C-20B1-4A62-BBCD-F2A46D88BCAB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Home</vt:lpstr>
      <vt:lpstr>Results</vt:lpstr>
      <vt:lpstr>Input - Site</vt:lpstr>
      <vt:lpstr>Input - Swine</vt:lpstr>
      <vt:lpstr>4.5.1.1-2 Methane</vt:lpstr>
      <vt:lpstr>4.2.1.3-4 Soil direct N20</vt:lpstr>
      <vt:lpstr>4.2.1.5-6 Soil Atmos Dep</vt:lpstr>
      <vt:lpstr>4.2.1.7-8 Soil leach runoff</vt:lpstr>
      <vt:lpstr>Constants - Swine</vt:lpstr>
      <vt:lpstr>Constants - Common</vt:lpstr>
      <vt:lpstr>Constants - Livestock</vt:lpstr>
      <vt:lpstr>Acknowledgements</vt:lpstr>
      <vt:lpstr>Tab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Kotz</dc:creator>
  <cp:lastModifiedBy>Paul Kotz</cp:lastModifiedBy>
  <dcterms:created xsi:type="dcterms:W3CDTF">2025-11-17T03:37:23Z</dcterms:created>
  <dcterms:modified xsi:type="dcterms:W3CDTF">2026-04-13T02:20:36Z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0x010100ACB660BB23738846A00119B5826AC974</vt:lpwstr>
  </property>
  <property fmtid="{D5CDD505-2E9C-101B-9397-08002B2CF9AE}" pid="3" name="MediaServiceImageTags">
    <vt:lpwstr/>
  </property>
</Properties>
</file>