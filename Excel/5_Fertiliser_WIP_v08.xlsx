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07B2C6E-8AD2-4617-A0AC-6D0CF857A317}" xr6:coauthVersionLast="47" xr6:coauthVersionMax="47" xr10:uidLastSave="{00000000-0000-0000-0000-000000000000}"/>
  <bookViews>
    <workbookView xWindow="1170" yWindow="1170" windowWidth="36255" windowHeight="19140" firstSheet="2" activeTab="5"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1"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N2O'!$M$44:$W$54</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1" i="116" l="1"/>
  <c r="I57" i="116"/>
  <c r="I15" i="116"/>
  <c r="I97" i="115"/>
  <c r="I50" i="74"/>
  <c r="G81" i="115"/>
  <c r="G52" i="113"/>
  <c r="P90" i="69"/>
  <c r="G82" i="69"/>
  <c r="E33" i="15"/>
  <c r="E32" i="15"/>
  <c r="E31" i="15"/>
  <c r="E30" i="15"/>
  <c r="E29" i="15"/>
  <c r="E13" i="15"/>
  <c r="H12" i="70"/>
  <c r="X16" i="70"/>
  <c r="W16" i="70"/>
  <c r="U16" i="70" a="1"/>
  <c r="U16" i="70" s="1"/>
  <c r="T16" i="70" a="1"/>
  <c r="T16" i="70" s="1"/>
  <c r="S16" i="70" a="1"/>
  <c r="S16" i="70" s="1"/>
  <c r="R16" i="70" a="1"/>
  <c r="R16" i="70" s="1"/>
  <c r="Q16" i="70" a="1"/>
  <c r="Q16" i="70" s="1"/>
  <c r="P16" i="70" a="1"/>
  <c r="P16" i="70" s="1"/>
  <c r="O16" i="70" a="1"/>
  <c r="O16" i="70" s="1"/>
  <c r="N16" i="70" a="1"/>
  <c r="N16" i="70" s="1"/>
  <c r="M16" i="70" a="1"/>
  <c r="M16" i="70" s="1"/>
  <c r="L16" i="70" a="1"/>
  <c r="L16" i="70" s="1"/>
  <c r="K16" i="70" a="1"/>
  <c r="K16" i="70" s="1"/>
  <c r="J16" i="70" a="1"/>
  <c r="J16" i="70" s="1"/>
  <c r="I16" i="70"/>
  <c r="H16" i="70"/>
  <c r="G16" i="70"/>
  <c r="V16" i="70" s="1"/>
  <c r="F16" i="70"/>
  <c r="X15" i="70"/>
  <c r="W15" i="70"/>
  <c r="U15" i="70" a="1"/>
  <c r="U15" i="70" s="1"/>
  <c r="T15" i="70" a="1"/>
  <c r="T15" i="70" s="1"/>
  <c r="S15" i="70" a="1"/>
  <c r="S15" i="70" s="1"/>
  <c r="R15" i="70" a="1"/>
  <c r="R15" i="70" s="1"/>
  <c r="Q15" i="70" a="1"/>
  <c r="Q15" i="70" s="1"/>
  <c r="P15" i="70" a="1"/>
  <c r="P15" i="70" s="1"/>
  <c r="O15" i="70" a="1"/>
  <c r="O15" i="70" s="1"/>
  <c r="N15" i="70" a="1"/>
  <c r="N15" i="70" s="1"/>
  <c r="M15" i="70" a="1"/>
  <c r="M15" i="70" s="1"/>
  <c r="L15" i="70" a="1"/>
  <c r="L15" i="70" s="1"/>
  <c r="K15" i="70" a="1"/>
  <c r="K15" i="70" s="1"/>
  <c r="J15" i="70" a="1"/>
  <c r="J15" i="70" s="1"/>
  <c r="H15" i="70"/>
  <c r="G15" i="70"/>
  <c r="I15" i="70" s="1"/>
  <c r="F15" i="70"/>
  <c r="X14" i="70"/>
  <c r="W14" i="70"/>
  <c r="V14" i="70"/>
  <c r="U14" i="70" a="1"/>
  <c r="U14" i="70" s="1"/>
  <c r="T14" i="70" a="1"/>
  <c r="T14" i="70" s="1"/>
  <c r="S14" i="70" a="1"/>
  <c r="S14" i="70" s="1"/>
  <c r="R14" i="70" a="1"/>
  <c r="R14" i="70" s="1"/>
  <c r="Q14" i="70" a="1"/>
  <c r="Q14" i="70" s="1"/>
  <c r="P14" i="70" a="1"/>
  <c r="P14" i="70" s="1"/>
  <c r="O14" i="70" a="1"/>
  <c r="O14" i="70" s="1"/>
  <c r="N14" i="70" a="1"/>
  <c r="N14" i="70" s="1"/>
  <c r="M14" i="70" a="1"/>
  <c r="M14" i="70" s="1"/>
  <c r="L14" i="70" a="1"/>
  <c r="L14" i="70" s="1"/>
  <c r="K14" i="70" a="1"/>
  <c r="K14" i="70" s="1"/>
  <c r="J14" i="70" a="1"/>
  <c r="J14" i="70" s="1"/>
  <c r="I14" i="70"/>
  <c r="H14" i="70"/>
  <c r="G14" i="70"/>
  <c r="F14" i="70"/>
  <c r="X13" i="70"/>
  <c r="W13" i="70"/>
  <c r="U13" i="70" a="1"/>
  <c r="U13" i="70" s="1"/>
  <c r="T13" i="70" a="1"/>
  <c r="T13" i="70" s="1"/>
  <c r="S13" i="70" a="1"/>
  <c r="S13" i="70" s="1"/>
  <c r="R13" i="70" a="1"/>
  <c r="R13" i="70" s="1"/>
  <c r="Q13" i="70" a="1"/>
  <c r="Q13" i="70" s="1"/>
  <c r="P13" i="70" a="1"/>
  <c r="P13" i="70" s="1"/>
  <c r="O13" i="70" a="1"/>
  <c r="O13" i="70" s="1"/>
  <c r="N13" i="70" a="1"/>
  <c r="N13" i="70" s="1"/>
  <c r="M13" i="70" a="1"/>
  <c r="M13" i="70" s="1"/>
  <c r="L13" i="70" a="1"/>
  <c r="L13" i="70" s="1"/>
  <c r="K13" i="70" a="1"/>
  <c r="K13" i="70" s="1"/>
  <c r="J13" i="70" a="1"/>
  <c r="J13" i="70" s="1"/>
  <c r="V13" i="70" s="1"/>
  <c r="I13" i="70"/>
  <c r="H13" i="70"/>
  <c r="G13" i="70"/>
  <c r="F13" i="70"/>
  <c r="H44" i="70"/>
  <c r="H43" i="70"/>
  <c r="H42" i="70"/>
  <c r="F33" i="70"/>
  <c r="F32" i="70"/>
  <c r="F31" i="70"/>
  <c r="F22" i="70"/>
  <c r="F21" i="70"/>
  <c r="F20" i="70"/>
  <c r="A24" i="121"/>
  <c r="A23" i="121"/>
  <c r="A19" i="121"/>
  <c r="A18" i="121"/>
  <c r="A17" i="121"/>
  <c r="A16" i="121"/>
  <c r="A15" i="121"/>
  <c r="A14" i="121"/>
  <c r="A10" i="121"/>
  <c r="A9" i="121"/>
  <c r="A5" i="121"/>
  <c r="A4" i="121"/>
  <c r="A3" i="121"/>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A24" i="71"/>
  <c r="A23" i="71"/>
  <c r="A19" i="71"/>
  <c r="A18" i="71"/>
  <c r="A17" i="71"/>
  <c r="A16" i="71"/>
  <c r="A15" i="71"/>
  <c r="A14" i="71"/>
  <c r="A10" i="71"/>
  <c r="A9" i="71"/>
  <c r="A5" i="71"/>
  <c r="A4" i="71"/>
  <c r="A3" i="71"/>
  <c r="J50" i="115"/>
  <c r="I50" i="69"/>
  <c r="W54" i="69"/>
  <c r="W53" i="69"/>
  <c r="J92" i="116"/>
  <c r="I126" i="115"/>
  <c r="J51" i="115"/>
  <c r="I20" i="114"/>
  <c r="K46" i="113"/>
  <c r="I51" i="74"/>
  <c r="S69" i="69"/>
  <c r="I51" i="69"/>
  <c r="G97" i="116"/>
  <c r="G149" i="115"/>
  <c r="G82" i="115"/>
  <c r="G53" i="113"/>
  <c r="P91" i="69"/>
  <c r="G83"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c r="D82" i="121" a="1"/>
  <c r="D81" i="121"/>
  <c r="D81" i="121" a="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c r="D58" i="121" a="1"/>
  <c r="D57" i="121"/>
  <c r="D57" i="121" a="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I60" i="116"/>
  <c r="I56" i="116" s="1"/>
  <c r="I59" i="116"/>
  <c r="I58" i="116"/>
  <c r="I18" i="116"/>
  <c r="I14" i="116" s="1"/>
  <c r="I17" i="116"/>
  <c r="I16" i="116"/>
  <c r="J53" i="115"/>
  <c r="J52" i="115"/>
  <c r="I128" i="115"/>
  <c r="I125" i="115" s="1"/>
  <c r="I127" i="115"/>
  <c r="K47" i="113"/>
  <c r="I52" i="74"/>
  <c r="S73" i="69"/>
  <c r="S71" i="69"/>
  <c r="S70" i="69"/>
  <c r="I54" i="69"/>
  <c r="I52" i="69"/>
  <c r="E83" i="116"/>
  <c r="V15" i="70" l="1"/>
  <c r="H54" i="121"/>
  <c r="H53" i="121"/>
  <c r="H49" i="121"/>
  <c r="H52" i="121"/>
  <c r="H48" i="121"/>
  <c r="H50" i="121"/>
  <c r="H51" i="121"/>
  <c r="G33" i="70"/>
  <c r="K33" i="70"/>
  <c r="G22" i="70"/>
  <c r="G44" i="70"/>
  <c r="I44" i="70"/>
  <c r="I129" i="115" l="1"/>
  <c r="K48" i="113"/>
  <c r="K45" i="113" s="1"/>
  <c r="I55" i="69"/>
  <c r="J54" i="115"/>
  <c r="S74" i="69"/>
  <c r="J44"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D83" i="110" a="1"/>
  <c r="D83" i="110" s="1"/>
  <c r="D82" i="110" a="1"/>
  <c r="D82" i="110" s="1"/>
  <c r="D81" i="110" a="1"/>
  <c r="D81" i="110" s="1"/>
  <c r="F78" i="110" a="1"/>
  <c r="F78" i="110" s="1"/>
  <c r="E78" i="110" a="1"/>
  <c r="E78" i="110" s="1"/>
  <c r="D78" i="110" a="1"/>
  <c r="D78" i="110" s="1"/>
  <c r="D77" i="110" a="1"/>
  <c r="D77" i="110" s="1"/>
  <c r="D76" i="110" a="1"/>
  <c r="D76" i="110" s="1"/>
  <c r="E49" i="116" a="1"/>
  <c r="E7" i="116" a="1"/>
  <c r="E49" i="116" l="1"/>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118" i="115" a="1"/>
  <c r="E7" i="113" a="1"/>
  <c r="E90" i="115" a="1"/>
  <c r="E38" i="113" a="1"/>
  <c r="E43" i="115" a="1"/>
  <c r="E7" i="115" a="1"/>
  <c r="E7" i="114" a="1"/>
  <c r="D66" i="116" l="1"/>
  <c r="D67" i="116"/>
  <c r="E105" i="115"/>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E67" i="116"/>
  <c r="E104" i="115"/>
  <c r="F104" i="115" s="1" a="1"/>
  <c r="F104" i="115" s="1"/>
  <c r="E136" i="115" s="1"/>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E7" i="74" a="1"/>
  <c r="N60" i="69" a="1"/>
  <c r="E42" i="69"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2" i="70" l="1"/>
  <c r="U12" i="70" a="1"/>
  <c r="U12" i="70" s="1"/>
  <c r="J12" i="70" a="1"/>
  <c r="J12" i="70" s="1"/>
  <c r="T12" i="70" a="1"/>
  <c r="T12" i="70" s="1"/>
  <c r="Q12" i="70" a="1"/>
  <c r="Q12" i="70" s="1"/>
  <c r="L12" i="70" a="1"/>
  <c r="L12" i="70" s="1"/>
  <c r="S12" i="70" a="1"/>
  <c r="S12" i="70" s="1"/>
  <c r="N12" i="70" a="1"/>
  <c r="N12" i="70" s="1"/>
  <c r="R12" i="70" a="1"/>
  <c r="R12" i="70" s="1"/>
  <c r="M12" i="70" a="1"/>
  <c r="M12" i="70" s="1"/>
  <c r="W12" i="70"/>
  <c r="F12" i="70"/>
  <c r="P12" i="70" a="1"/>
  <c r="P12" i="70" s="1"/>
  <c r="O12" i="70" a="1"/>
  <c r="O12" i="70" s="1"/>
  <c r="G12" i="70"/>
  <c r="I12" i="70" s="1"/>
  <c r="K12" i="70" a="1"/>
  <c r="K12" i="70" s="1"/>
  <c r="X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33" i="69" a="1"/>
  <c r="E33" i="69" s="1"/>
  <c r="E32" i="69" a="1"/>
  <c r="E32" i="69" s="1"/>
  <c r="E31" i="69" a="1"/>
  <c r="E31" i="69" s="1"/>
  <c r="E30" i="69" a="1"/>
  <c r="E30" i="69" s="1"/>
  <c r="E29" i="69" a="1"/>
  <c r="E29" i="69" s="1"/>
  <c r="E28" i="69" a="1"/>
  <c r="E28" i="69" s="1"/>
  <c r="V12"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W52" i="69" l="1"/>
  <c r="W51" i="69"/>
  <c r="E19" i="69" a="1"/>
  <c r="E19" i="69" s="1"/>
  <c r="G19" i="69" s="1" a="1"/>
  <c r="G19" i="69" s="1"/>
  <c r="T52" i="69"/>
  <c r="U52" i="69" s="1"/>
  <c r="Q52" i="69"/>
  <c r="S52" i="69" a="1"/>
  <c r="S52" i="69" s="1"/>
  <c r="R52" i="69" a="1"/>
  <c r="R52" i="69" s="1"/>
  <c r="E37" i="74" a="1"/>
  <c r="E37" i="74" s="1"/>
  <c r="G37" i="74" s="1" a="1"/>
  <c r="G37" i="74" s="1"/>
  <c r="E76" i="74" s="1" a="1"/>
  <c r="E76" i="74" s="1"/>
  <c r="G26" i="69" a="1"/>
  <c r="G26" i="69" s="1"/>
  <c r="E22" i="74" a="1"/>
  <c r="E22" i="74" s="1"/>
  <c r="G22" i="74" s="1" a="1"/>
  <c r="G22" i="74" s="1"/>
  <c r="E61" i="74" s="1" a="1"/>
  <c r="E61" i="74" s="1"/>
  <c r="E19" i="74" a="1"/>
  <c r="E19" i="74" s="1"/>
  <c r="G19" i="74" s="1" a="1"/>
  <c r="G19" i="74" s="1"/>
  <c r="E58" i="74" s="1" a="1"/>
  <c r="E58" i="74" s="1"/>
  <c r="G20" i="69" a="1"/>
  <c r="G20" i="69" s="1"/>
  <c r="E31" i="74" a="1"/>
  <c r="E31" i="74" s="1"/>
  <c r="G31" i="74" s="1" a="1"/>
  <c r="G31" i="74" s="1"/>
  <c r="E70" i="74" s="1" a="1"/>
  <c r="E70" i="74" s="1"/>
  <c r="E35" i="74" a="1"/>
  <c r="E35" i="74" s="1"/>
  <c r="G35" i="74" s="1" a="1"/>
  <c r="G35" i="74" s="1"/>
  <c r="E74" i="74" s="1" a="1"/>
  <c r="E74" i="74" s="1"/>
  <c r="G25" i="69" a="1"/>
  <c r="G25" i="69" s="1"/>
  <c r="G23" i="69" a="1"/>
  <c r="G23"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21" i="74" a="1"/>
  <c r="E21" i="74" s="1"/>
  <c r="G21" i="74" s="1" a="1"/>
  <c r="G21" i="74" s="1"/>
  <c r="E60" i="74" s="1" a="1"/>
  <c r="E60" i="74" s="1"/>
  <c r="G21" i="69" a="1"/>
  <c r="G21" i="69" s="1"/>
  <c r="E28" i="74" a="1"/>
  <c r="E28" i="74" s="1"/>
  <c r="G28" i="74" s="1" a="1"/>
  <c r="G28" i="74" s="1"/>
  <c r="E67" i="74" s="1" a="1"/>
  <c r="E67" i="74" s="1"/>
  <c r="G29" i="69" a="1"/>
  <c r="G29" i="69" s="1"/>
  <c r="G28" i="69" a="1"/>
  <c r="G28" i="69" s="1"/>
  <c r="G35" i="69" a="1"/>
  <c r="G35" i="69" s="1"/>
  <c r="G31" i="69" a="1"/>
  <c r="G31" i="69"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3" i="69" a="1"/>
  <c r="G33" i="69" s="1"/>
  <c r="G32" i="69" a="1"/>
  <c r="G32" i="69" s="1"/>
  <c r="G30" i="69" a="1"/>
  <c r="G30" i="69" s="1"/>
  <c r="E27" i="74" a="1"/>
  <c r="E27" i="74" s="1"/>
  <c r="G27" i="74" s="1" a="1"/>
  <c r="G27" i="74" s="1"/>
  <c r="E66" i="74" s="1" a="1"/>
  <c r="E66" i="74" s="1"/>
  <c r="G22" i="69" a="1"/>
  <c r="G22" i="69" s="1"/>
  <c r="E24" i="74" a="1"/>
  <c r="E24" i="74" s="1"/>
  <c r="G24" i="74" s="1" a="1"/>
  <c r="G24" i="74" s="1"/>
  <c r="E63" i="74" s="1" a="1"/>
  <c r="E63" i="74" s="1"/>
  <c r="G24" i="69" a="1"/>
  <c r="G24" i="69" s="1"/>
  <c r="G36" i="69" a="1"/>
  <c r="G36" i="69" s="1"/>
  <c r="O50" i="69"/>
  <c r="W50" i="69" s="1"/>
  <c r="Q51" i="69"/>
  <c r="T51" i="69"/>
  <c r="U51" i="69" s="1"/>
  <c r="S51" i="69" a="1"/>
  <c r="S51" i="69" s="1"/>
  <c r="R51" i="69" a="1"/>
  <c r="R51" i="69" s="1"/>
  <c r="O45" i="69" a="1"/>
  <c r="G30" i="74" a="1"/>
  <c r="G30" i="74" s="1"/>
  <c r="E69" i="74" s="1" a="1"/>
  <c r="E69" i="74" s="1"/>
  <c r="W47" i="69" l="1"/>
  <c r="W46" i="69"/>
  <c r="W49" i="69"/>
  <c r="W48"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W45" i="69" s="1"/>
  <c r="R47" i="69" a="1"/>
  <c r="R47" i="69" s="1"/>
  <c r="Q47" i="69"/>
  <c r="E43" i="116" l="1"/>
  <c r="J89" i="116" s="1"/>
  <c r="E94" i="116" s="1" a="1"/>
  <c r="E94" i="116" s="1"/>
  <c r="E10" i="13"/>
  <c r="F10" i="13" s="1"/>
  <c r="H10" i="13"/>
  <c r="I10" i="13" s="1"/>
  <c r="V48" i="69" a="1"/>
  <c r="V48" i="69" s="1"/>
  <c r="V49" i="69" a="1"/>
  <c r="V49" i="69" s="1"/>
  <c r="S45" i="69" a="1"/>
  <c r="S45" i="69" s="1"/>
  <c r="V50" i="69" a="1"/>
  <c r="V50" i="69" s="1"/>
  <c r="E79" i="115"/>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50" i="113" a="1"/>
  <c r="E50" i="113" s="1"/>
  <c r="E11" i="13" s="1"/>
  <c r="E80" i="69" l="1"/>
  <c r="E9" i="13" s="1"/>
  <c r="E55" i="113"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85" i="69" l="1" a="1"/>
  <c r="E85" i="69" s="1"/>
  <c r="H9" i="13" s="1"/>
  <c r="H15" i="13" s="1"/>
  <c r="N88" i="69"/>
  <c r="F9" i="13" s="1"/>
  <c r="N93" i="69" l="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<sst xmlns="http://schemas.openxmlformats.org/spreadsheetml/2006/main" count="553" uniqueCount="328">
  <si>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</si>
  <si>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</si>
  <si>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</si>
  <si>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</si>
  <si>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</si>
  <si>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</si>
  <si>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</si>
  <si>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</si>
  <si>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</si>
  <si>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</si>
  <si>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</si>
  <si>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</si>
  <si>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</si>
  <si>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</si>
  <si>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</si>
  <si>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</si>
  <si>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</si>
  <si>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</si>
  <si>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</si>
  <si>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</si>
  <si>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</si>
  <si>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</si>
  <si>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</si>
  <si>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</si>
  <si>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</si>
  <si>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</si>
  <si>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</si>
  <si>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</si>
  <si>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</si>
  <si>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</si>
  <si>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</si>
  <si>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</si>
  <si>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</si>
  <si>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</si>
  <si>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</si>
  <si>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</si>
  <si>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</si>
  <si>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</si>
  <si>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</si>
  <si>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</si>
  <si>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</si>
  <si>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</si>
  <si>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</si>
  <si>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</si>
  <si>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</si>
  <si>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</si>
  <si>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</si>
  <si>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</si>
  <si>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</si>
  <si>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</si>
  <si>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</si>
  <si>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</si>
  <si>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</si>
  <si>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</si>
  <si>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</si>
  <si>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</si>
  <si>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</si>
  <si>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</si>
  <si>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</si>
  <si>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</si>
  <si>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</si>
  <si>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</si>
  <si>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</si>
  <si>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</si>
  <si>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</si>
  <si>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</si>
  <si>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</si>
  <si>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</si>
  <si>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</si>
  <si>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</si>
  <si>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</si>
  <si>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</si>
  <si>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</si>
  <si>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</si>
  <si>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</si>
  <si>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</si>
  <si>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</si>
  <si>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</si>
  <si>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</si>
  <si>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</si>
  <si>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</si>
  <si>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</si>
  <si>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</si>
  <si>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</si>
  <si>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</si>
  <si>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</si>
  <si>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</si>
  <si>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</si>
  <si>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</si>
  <si>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</si>
  <si>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</si>
  <si>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</si>
  <si>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</si>
  <si>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</si>
  <si>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</si>
  <si>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</si>
  <si>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</si>
  <si>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</si>
  <si>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</si>
  <si>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</si>
  <si>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</si>
  <si>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</si>
  <si>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</si>
  <si>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</si>
  <si>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</si>
  <si>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</si>
  <si>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</si>
  <si>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</si>
  <si>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</si>
  <si>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</si>
  <si>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</si>
  <si>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</si>
  <si>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</si>
  <si>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</si>
  <si>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</si>
  <si>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</si>
  <si>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</si>
  <si>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</si>
  <si>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</si>
  <si>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</si>
  <si>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</si>
  <si>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</si>
  <si>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</si>
  <si>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</si>
  <si>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</si>
  <si>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</si>
  <si>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</si>
  <si>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</si>
  <si>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</si>
  <si>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</si>
  <si>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</si>
  <si>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</si>
  <si>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</si>
  <si>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</si>
  <si>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</si>
  <si>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</si>
  <si>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</si>
  <si>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</si>
  <si>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</si>
  <si>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</si>
  <si>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</si>
  <si>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</si>
  <si>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</si>
  <si>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</si>
  <si>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</si>
  <si>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</si>
  <si>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</si>
  <si>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</si>
  <si>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</si>
  <si>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</si>
  <si>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</si>
  <si>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</si>
  <si>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</si>
  <si>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</si>
  <si>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</si>
  <si>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</si>
  <si>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</si>
  <si>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</si>
  <si>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</si>
  <si>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</si>
  <si>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</si>
  <si>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</si>
  <si>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</si>
  <si>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</si>
  <si>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</si>
  <si>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</si>
  <si>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</si>
  <si>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</si>
  <si>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</si>
  <si>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</si>
  <si>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</si>
  <si>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</si>
  <si>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</si>
  <si>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</si>
  <si>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</si>
  <si>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</si>
  <si>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</si>
  <si>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</si>
  <si>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</si>
  <si>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</si>
  <si>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</si>
  <si>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</si>
  <si>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</si>
  <si>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</si>
  <si>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</si>
  <si>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</si>
  <si>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</si>
  <si>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</si>
  <si>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</si>
  <si>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</si>
  <si>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</si>
  <si>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</si>
  <si>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</si>
  <si>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</si>
  <si>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</si>
  <si>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</si>
  <si>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</si>
  <si>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</si>
  <si>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</si>
  <si>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</si>
  <si>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</si>
  <si>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</si>
  <si>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</si>
  <si>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</si>
  <si>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</si>
  <si>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</si>
  <si>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</si>
  <si>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</si>
  <si>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</si>
  <si>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</si>
  <si>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</si>
  <si>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</si>
  <si>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</si>
  <si>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</si>
  <si>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</si>
  <si>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</si>
  <si>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</si>
  <si>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</si>
  <si>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</si>
  <si>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</si>
  <si>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</si>
  <si>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</si>
  <si>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</si>
  <si>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</si>
  <si>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</si>
  <si>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</si>
  <si>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</si>
  <si>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</si>
  <si>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</si>
  <si>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</si>
  <si>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</si>
  <si>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</si>
  <si>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</si>
  <si>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</si>
  <si>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</si>
  <si>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</si>
  <si>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</si>
  <si>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</si>
  <si>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</si>
  <si>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</si>
  <si>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</si>
  <si>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</si>
  <si>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</si>
  <si>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</si>
  <si>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</si>
  <si>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</si>
  <si>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</si>
  <si>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</si>
  <si>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</si>
  <si>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</si>
  <si>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</si>
  <si>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</si>
  <si>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</si>
  <si>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</si>
  <si>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</si>
  <si>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</si>
  <si>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</si>
  <si>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</si>
  <si>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</si>
  <si>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</si>
  <si>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</si>
  <si>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</si>
  <si>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</si>
  <si>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</si>
  <si>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</si>
  <si>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</si>
  <si>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</si>
  <si>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</si>
  <si>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</si>
  <si>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</si>
  <si>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</si>
  <si>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</si>
  <si>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</si>
  <si>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</si>
  <si>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</si>
  <si>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</si>
  <si>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</si>
  <si>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</si>
  <si>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</si>
  <si>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</si>
  <si>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</si>
  <si>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</si>
  <si>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</si>
  <si>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</si>
  <si>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</si>
  <si>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</si>
  <si>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</si>
  <si>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</si>
  <si>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</si>
  <si>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</si>
  <si>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</si>
  <si>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</si>
  <si>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</si>
  <si>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</si>
  <si>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</si>
  <si>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</si>
  <si>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</si>
  <si>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</si>
  <si>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</si>
  <si>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</si>
  <si>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</si>
  <si>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</si>
  <si>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</si>
  <si>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</si>
  <si>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</si>
  <si>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</si>
  <si>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</si>
  <si>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</si>
  <si>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</si>
  <si>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</si>
  <si>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</si>
  <si>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</si>
  <si>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</si>
  <si>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</si>
  <si>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</si>
  <si>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</si>
  <si>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</si>
  <si>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</si>
  <si>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</si>
  <si>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</si>
  <si>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</si>
  <si>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</si>
  <si>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</si>
  <si>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</si>
  <si>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</si>
  <si>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</si>
  <si>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</si>
  <si>
    <t>Input - Fertiliser Production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</si>
</sst>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7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Fill="1" applyAlignment="1">
      <alignment horizontal="center" vertical="center" wrapText="1"/>
    </xf>
    <xf numFmtId="4" fontId="0"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2"/>
      <tableStyleElement type="headerRow" dxfId="201"/>
      <tableStyleElement type="totalRow" dxfId="200"/>
      <tableStyleElement type="firstColumn" dxfId="199"/>
      <tableStyleElement type="firstRowStripe" dxfId="198"/>
      <tableStyleElement type="secondRowStripe" dxfId="197"/>
    </tableStyle>
    <tableStyle name="Equation table" pivot="0" count="6" xr9:uid="{B247698E-E41D-4CCD-AA0A-C14817E9DE65}">
      <tableStyleElement type="wholeTable" dxfId="196"/>
      <tableStyleElement type="headerRow" dxfId="195"/>
      <tableStyleElement type="totalRow" dxfId="194"/>
      <tableStyleElement type="firstColumn" dxfId="193"/>
      <tableStyleElement type="firstRowStripe" dxfId="192"/>
      <tableStyleElement type="secondRowStripe" dxfId="191"/>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X16" headerRowDxfId="190" dataDxfId="189" totalsRowDxfId="188">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7" totalsRowDxfId="186" dataCellStyle="Input select"/>
    <tableColumn id="23" xr3:uid="{59B08BC3-EF27-48EB-BCEA-84F2987787EF}" name="Amount applied per hectare" totalsRowFunction="custom" dataDxfId="185" totalsRowDxfId="184">
      <totalsRowFormula>SUM(Table_Input_InorganicFertiliser_Brands[[#Headers],[#Data],[Amount applied per hectare]])</totalsRowFormula>
    </tableColumn>
    <tableColumn id="12" xr3:uid="{80233E62-DDAA-41E2-908D-8BF8A861A382}" name="Application unit" dataDxfId="183" totalsRowDxfId="182"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1" totalsRowDxfId="180"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79" totalsRowDxfId="178">
      <calculatedColumnFormula>X_Cell_Fertiliser_AreaUnderCropping</calculatedColumnFormula>
    </tableColumn>
    <tableColumn id="1" xr3:uid="{3BF774D0-ADA2-40B3-9242-8DFBBB9443B7}" name="Total applied (kg)" dataDxfId="177" totalsRowDxfId="17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5" totalsRowDxfId="174"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3" totalsRowDxfId="172"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1"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0" totalsRowDxfId="169"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8" totalsRowDxfId="167"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6" totalsRowDxfId="165"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4" totalsRowDxfId="163"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2"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1"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0"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59"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8"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7" totalsRowDxfId="156"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5" totalsRowDxfId="154"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3" totalsRowDxfId="152"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51" dataDxfId="150">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49"/>
    <tableColumn id="3" xr3:uid="{7EF8A17B-D965-4D18-A7A2-D90F9F680015}" name="Application area (ha)" dataDxfId="148" dataCellStyle="Input number 2 decimal places">
      <calculatedColumnFormula>X_Cell_Fertiliser_AreaUnderCropping</calculatedColumnFormula>
    </tableColumn>
    <tableColumn id="4" xr3:uid="{B5004E38-6D68-4E13-BED4-CB556D548532}" name="Total applied (kg)" dataDxfId="147"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6" dataCellStyle="Input select"/>
    <tableColumn id="6" xr3:uid="{E4FC8E72-0059-40E6-A5E8-C29893BBF371}" name="Ingredient 1 percent" dataDxfId="145"/>
    <tableColumn id="8" xr3:uid="{3568E299-41D5-4DA4-822C-91EFC2C68B68}" name="Ingredient 2" dataDxfId="144" dataCellStyle="Input select"/>
    <tableColumn id="9" xr3:uid="{9DFD8E7A-8101-4927-89BF-3E994EB31F96}" name="Ingredient 2 percent" dataDxfId="143"/>
    <tableColumn id="11" xr3:uid="{A7F2C8C6-1FC3-42D4-A36B-254F6E195571}" name="Ingredient 3" dataDxfId="142" dataCellStyle="Input select"/>
    <tableColumn id="12" xr3:uid="{43F6AA9D-3E97-4BA6-8E27-81AE530E1428}" name="Ingredient 3 percent" dataDxfId="141"/>
    <tableColumn id="14" xr3:uid="{AAE79728-DB2A-45E8-B9AB-496D82682D02}" name="Ingredient 4" dataDxfId="140" dataCellStyle="Input select"/>
    <tableColumn id="15" xr3:uid="{48BA5E25-4596-49E4-8F81-BC0D52974ECA}" name="Ingredient 4 percent" dataCellStyle="Input percent"/>
    <tableColumn id="7" xr3:uid="{8A68B805-7FB6-49A9-B9BB-58ADF30E43B7}" name="N application rate (kg/ha)" dataDxfId="139"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138" dataDxfId="137"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6"/>
    <tableColumn id="2" xr3:uid="{B4EAD8A0-4563-4BA4-8C32-F444D747B623}" name="Amount applied (t/hectare)" dataDxfId="135"/>
    <tableColumn id="4" xr3:uid="{AEB6AB68-6478-4B2B-9B85-2B6FAFAF4B19}" name="Application area (ha)" dataDxfId="134" dataCellStyle="Input number 2 decimal places">
      <calculatedColumnFormula>X_Cell_Fertiliser_AreaUnderCropping</calculatedColumnFormula>
    </tableColumn>
    <tableColumn id="3" xr3:uid="{CB52F796-ECF9-4D56-B08E-72C1A090ECED}" name="Total amount applied (t)" dataDxfId="133"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2"/>
    <tableColumn id="8" xr3:uid="{E6AC5B83-E41F-4CA3-8CB5-DAE2C8D31386}" name="Percent Dolomite CaMg(CO3)2" dataDxfId="131"/>
    <tableColumn id="7" xr3:uid="{C2FA7C98-73DF-4B0B-9D0B-AF335608BA35}" name="Percent Gypsum" dataDxfId="130"/>
    <tableColumn id="10" xr3:uid="{4BF71EEB-80F3-4DB1-B0D1-D4D93983D919}" name="Total" dataDxfId="12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128" dataDxfId="127"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6" dataCellStyle="Input select"/>
    <tableColumn id="5" xr3:uid="{A4835DDC-D01F-4121-BA81-061BD582AD81}" name="Percentage of N in fertiliser" dataDxfId="125"/>
    <tableColumn id="2" xr3:uid="{78F23607-4221-4C96-AE58-1738D148B281}" name="Amount applied (kg/hectare)" dataDxfId="124"/>
    <tableColumn id="11" xr3:uid="{743E34BE-5366-4C2E-A066-60503FC1C110}" name="Amount N applied (kg/hectare)" dataDxfId="123"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2" dataCellStyle="Input number 2 decimal places">
      <calculatedColumnFormula>X_Cell_Fertiliser_AreaUnderCropping</calculatedColumnFormula>
    </tableColumn>
    <tableColumn id="7" xr3:uid="{7CBB769C-0807-447F-BE25-34DAD65EC446}" name="Total organic fertliser applied" dataDxfId="121"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19" totalsRowDxfId="118">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7" totalsRowDxfId="116">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5" totalsRowDxfId="114">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3" totalsRowDxfId="112">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1" totalsRowDxfId="110">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09" totalsRowDxfId="108">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7" totalsRowDxfId="106">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5" totalsRowDxfId="104">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3" totalsRowDxfId="102">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1" totalsRowDxfId="100">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99" totalsRowDxfId="98">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7" totalsRowDxfId="96">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5" totalsRowDxfId="94">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3" totalsRowDxfId="92">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1" totalsRowDxfId="90">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89" totalsRowDxfId="88">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7" totalsRowDxfId="86">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5" totalsRowDxfId="84">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3" totalsRowDxfId="82">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1" totalsRowDxfId="80">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79">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8">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7">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6">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5">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4">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3">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2">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6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8" dataCellStyle="Content normal">
  <autoFilter ref="K19:L28" xr:uid="{27B93029-EB1F-4C4A-A946-CD673A8A6C46}">
    <filterColumn colId="0" hiddenButton="1"/>
    <filterColumn colId="1" hiddenButton="1"/>
  </autoFilter>
  <tableColumns count="2">
    <tableColumn id="1" xr3:uid="{7C622051-66CC-4C8F-B655-8BA4CF50466E}" name="Fertiliser type f" dataDxfId="67"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5" dataCellStyle="Content normal">
  <autoFilter ref="Q19:R28" xr:uid="{791CEA59-796C-47AB-86BC-41E8F699030C}">
    <filterColumn colId="0" hiddenButton="1"/>
    <filterColumn colId="1" hiddenButton="1"/>
  </autoFilter>
  <tableColumns count="2">
    <tableColumn id="1" xr3:uid="{31D81A30-DB50-4875-A5AB-DFA2E5C18375}" name="Fertiliser type f" dataDxfId="64"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2936C50-6B35-4CEA-A37A-770A472661A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E31B0F2-FA93-4175-A107-3DB459C0AD51}" name="State/Territory">
      <calculatedColumnFormula array="1">Common_InputFunctions.Utility_DisplayArrayInTable(Common_SourceData.Common_SourceData_AustralianStatesTerritories_Data(),Table_AustralianStates[[#Headers],[State/Territory]],0)</calculatedColumnFormula>
    </tableColumn>
    <tableColumn id="2" xr3:uid="{AD243FB1-6AC4-43CD-BD86-4ED0CE68E650}" name="Common Name">
      <calculatedColumnFormula array="1">Common_InputFunctions.Utility_DisplayArrayInTable(Common_SourceData.Common_SourceData_AustralianStatesTerritories_Data(),Table_AustralianStates[[#Headers],[State/Territory]],0)</calculatedColumnFormula>
    </tableColumn>
    <tableColumn id="3" xr3:uid="{4C71E225-851B-4A60-B9E2-7024414CEFA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56474B2-B2F7-476B-B666-41F1CEAF6125}" name="Table_WASA4Areas" displayName="Table_WASA4Areas" ref="D20:D30" totalsRowShown="0">
  <autoFilter ref="D20:D30" xr:uid="{5FA81339-C6C8-4D36-BEEA-6C4AEDD9E676}">
    <filterColumn colId="0" hiddenButton="1"/>
  </autoFilter>
  <tableColumns count="1">
    <tableColumn id="1" xr3:uid="{02409691-46AE-4777-BAD5-49AB62FD1E5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E2F07-348A-425D-A5A8-B3A4FA1E879D}" name="Table_GWPData" displayName="Table_GWPData" ref="D36:E43" totalsRowShown="0">
  <autoFilter ref="D36:E43" xr:uid="{B8E87A66-3E41-4AD3-925D-01EE21B43D7A}">
    <filterColumn colId="0" hiddenButton="1"/>
    <filterColumn colId="1" hiddenButton="1"/>
  </autoFilter>
  <tableColumns count="2">
    <tableColumn id="1" xr3:uid="{AD5FF6D3-3E5A-4B0E-8D4C-3B9B3874250F}" name="Gas">
      <calculatedColumnFormula array="1">Common_InputFunctions.Utility_DisplayArrayInTable(Common_SourceData.Common_SourceData_GWP_Data(), Table_GWPData[[#Headers],[Gas]], 0)</calculatedColumnFormula>
    </tableColumn>
    <tableColumn id="2" xr3:uid="{D1810BFF-0BF7-4602-9DD9-D56FFF7798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5551CC9-F57B-473E-8695-35068A1E11E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89B38A-CC6A-4831-BF3B-12FA7E8BAD76}" name="Gas">
      <calculatedColumnFormula array="1">Common_InputFunctions.Utility_DisplayArrayInTable(Common_SourceData.Common_SourceData_ConvertGasElementalToMolecular_Data(),Table_GasToMolecularConversionFactor[[#Headers],[Gas]], 0)</calculatedColumnFormula>
    </tableColumn>
    <tableColumn id="5" xr3:uid="{56BD8408-0B78-4B7B-A6B8-5BF8DDFA00EE}" name="Conversion factor">
      <calculatedColumnFormula array="1">Common_InputFunctions.Utility_DisplayArrayInTable(Common_SourceData.Common_SourceData_ConvertGasElementalToMolecular_Data(),Table_GasToMolecularConversionFactor[[#Headers],[Gas]], 0)</calculatedColumnFormula>
    </tableColumn>
    <tableColumn id="2" xr3:uid="{839DC53D-E947-4E7A-9138-9367EBDED2E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EF3B211-58F3-47E6-94AC-7356CBE1527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72FABA-0E16-4E75-A4E2-A19AEDEADD4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EA155F7-66E6-4075-BA8C-F206DE33D57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A0AD7F4-5BF6-4736-86B4-111A987D291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89D374-EE53-41E3-9C7D-45BBB41076CF}" name="MA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3" xr3:uid="{289DBF35-D492-4D79-AA31-E7CF15FCA524}" name="MA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4" xr3:uid="{0EF1F5A1-D1E5-411B-AA8F-8ED1DD868C0A}" name="Frost days per year"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5" xr3:uid="{0D5D5418-525A-48E1-9287-75F701182532}" name="Elevation"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6" xr3:uid="{2F84BAA3-CD06-4F2F-9893-C267728CBC6F}" name="MAP:PE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7" xr3:uid="{13D03436-4E99-4A58-B24D-29077D800E44}" name="Min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8" xr3:uid="{E3FDAECA-B7E5-443D-BB55-E6888B4B3646}" name="Max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9" xr3:uid="{8E21012A-1AE1-4A31-9450-5D53FEBDBFA8}" name="Min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0" xr3:uid="{2E7B8FC9-DF99-4718-A959-7F475731FBA7}" name="Max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1" xr3:uid="{3CF57CC3-B210-4A89-8E5D-3BAF745AE1A0}" name="Min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5" xr3:uid="{FD076DB1-42A7-4B7B-A511-3A74EB71619A}" name="Max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2" xr3:uid="{EA85DA97-24B4-47C7-84A9-90CF9E9435F8}" name="Min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6" xr3:uid="{B22CD18D-17AF-4823-809D-23916C30591E}" name="Max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3" xr3:uid="{059A6344-A0F0-4D96-9663-33D2BF2E3255}" name="Min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7" xr3:uid="{0704B981-DE68-4F61-A6A9-48724C2F0524}" name="Max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4654876-F9FD-46FA-9218-F135FF7C228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0201A04-2817-44B1-BBFE-8EEDA68AC80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EA15A93-4FDB-4D2C-AF17-A4F7A46E492D}" name="Wet or Dry Zone" totalsRowDxfId="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8923524-C161-4554-B28A-28A70ABEF2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3D40246-5687-4238-B1F5-B60BA648608A}" name="Temperature Zone">
      <calculatedColumnFormula array="1">Common_InputFunctions.Utility_DisplayArrayInTable(Common_SourceData.Common_SourceData_TemperatureZones_Data(),Table_SourceData_TemperatureZones[[#Headers],[Temperature Zone]],0)</calculatedColumnFormula>
    </tableColumn>
    <tableColumn id="2" xr3:uid="{F39BE1FA-407A-4834-9DA9-FCCAE45D30CE}" name="MAT">
      <calculatedColumnFormula array="1">Common_InputFunctions.Utility_DisplayArrayInTable(Common_SourceData.Common_SourceData_TemperatureZones_Data(),Table_SourceData_TemperatureZones[[#Headers],[Temperature Zone]],0)</calculatedColumnFormula>
    </tableColumn>
    <tableColumn id="3" xr3:uid="{64024A17-1B10-4CCB-A96D-398935835CB0}" name="Min MAT">
      <calculatedColumnFormula array="1">Common_InputFunctions.Utility_DisplayArrayInTable(Common_SourceData.Common_SourceData_TemperatureZones_Data(),Table_SourceData_TemperatureZones[[#Headers],[Temperature Zone]],0)</calculatedColumnFormula>
    </tableColumn>
    <tableColumn id="4" xr3:uid="{BC13C96A-A5D5-4776-B0C8-D0B7A3AD6A9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7FD8F74-583E-46C9-873A-99763FDF7CE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B609333-5318-45FC-9B7D-1BBE2FE36CF8}" name="Rainfall Zone">
      <calculatedColumnFormula array="1">Common_InputFunctions.Utility_DisplayArrayInTable(Common_SourceData.Common_SourceData_RainfallZones_Data(),Table_SourceData_RainfallZones[[#Headers],[Rainfall Zone]],0)</calculatedColumnFormula>
    </tableColumn>
    <tableColumn id="2" xr3:uid="{44E62296-A2CB-429E-B2CF-E83C33907857}" name="Annual rainfall">
      <calculatedColumnFormula array="1">Common_InputFunctions.Utility_DisplayArrayInTable(Common_SourceData.Common_SourceData_RainfallZones_Data(),Table_SourceData_RainfallZones[[#Headers],[Rainfall Zone]],0)</calculatedColumnFormula>
    </tableColumn>
    <tableColumn id="3" xr3:uid="{6B9AFDB1-0E0D-4D75-9ACB-77D8EBBE306B}" name="Min rainfall">
      <calculatedColumnFormula array="1">Common_InputFunctions.Utility_DisplayArrayInTable(Common_SourceData.Common_SourceData_RainfallZones_Data(),Table_SourceData_RainfallZones[[#Headers],[Rainfall Zone]],0)</calculatedColumnFormula>
    </tableColumn>
    <tableColumn id="4" xr3:uid="{63016575-7BCA-4E0A-84D4-36F34E8457B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E22ED3-78CB-4168-A928-6828FEAC4BC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F040F6-9720-4FA8-B26E-4F8CA80D2A93}" name="Leaching Zone">
      <calculatedColumnFormula array="1">Common_InputFunctions.Utility_DisplayArrayInTable(Common_SourceData.Common_SourceData_LeachingZones_Data(), Table_SourceData_LeachingZones[[#Headers],[Leaching Zone]], 0)</calculatedColumnFormula>
    </tableColumn>
    <tableColumn id="2" xr3:uid="{31CD02CD-5613-4FB6-AE08-CB61A8948BB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3C134FF-3B1E-444A-9F55-BBF6FA9DDCC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1F2A3AB-BCF6-49C0-B398-FCB2CD6495E2}" name="Data source">
      <calculatedColumnFormula array="1">Common_InputFunctions.Utility_DisplayArrayInTable(Common_SourceData.Common_SourceData_DataScores_Scope3_Data(), Table_SourceData_DataScores_Scope3[[#Headers],[Data source]], 0)</calculatedColumnFormula>
    </tableColumn>
    <tableColumn id="2" xr3:uid="{BD3C78FC-9638-4FFF-8EFE-7DF73C9C63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0D09DB6-634A-4556-8B78-A13770A8D6FE}" name="Table_SourceData_FracWET" displayName="Table_SourceData_FracWET" ref="D134:E136" totalsRowShown="0">
  <autoFilter ref="D134:E136" xr:uid="{308E99BE-FE1F-47A4-B2CA-97217277C4E9}">
    <filterColumn colId="0" hiddenButton="1"/>
    <filterColumn colId="1" hiddenButton="1"/>
  </autoFilter>
  <tableColumns count="2">
    <tableColumn id="1" xr3:uid="{4CCA52B4-9848-4FA3-A168-37A2CB85D95C}" name="Is in leaching zone">
      <calculatedColumnFormula array="1">Common_InputFunctions.Utility_DisplayArrayInTable(Common_SourceData.Common_SourceData_FracWET_Data(),Table_SourceData_FracWET[[#Headers],[Is in leaching zone]],0)</calculatedColumnFormula>
    </tableColumn>
    <tableColumn id="2" xr3:uid="{933A18CC-3D79-4C50-AC37-F269F84F6F80}" name="FracWET" dataDxfId="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BFA2FD9-6472-497F-AAEA-B0CB2E4A4EB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4088E-0CFD-4E7B-9589-9DF930BEF59E}" name="Production system j">
      <calculatedColumnFormula array="1">Common_InputFunctions.Utility_DisplayArrayInTable(Common_SourceData.Common_SourceData_EFN2O_Data(), Table_SourceData_Common_EFN2O[[#Headers],[Production system j]], 0)</calculatedColumnFormula>
    </tableColumn>
    <tableColumn id="2" xr3:uid="{495D24A6-AC74-49C7-8243-5472B0FB8844}" name="EFN2O">
      <calculatedColumnFormula array="1">Common_InputFunctions.Utility_DisplayArrayInTable(Common_SourceData.Common_SourceData_EFN2O_Data(), Table_SourceData_Common_EFN2O[[#Headers],[Production system j]], 0)</calculatedColumnFormula>
    </tableColumn>
    <tableColumn id="3" xr3:uid="{62A6A7F1-8BE9-44AD-B001-2CBC4221BAF8}" name="Production system only">
      <calculatedColumnFormula array="1">Common_InputFunctions.Utility_DisplayArrayInTable(Common_SourceData.Common_SourceData_EFN2O_Data(), Table_SourceData_Common_EFN2O[[#Headers],[Production system j]], 0)</calculatedColumnFormula>
    </tableColumn>
    <tableColumn id="4" xr3:uid="{B09CA474-195B-468A-A933-8A1C9D61036F}" name="Irrigation method">
      <calculatedColumnFormula array="1">Common_InputFunctions.Utility_DisplayArrayInTable(Common_SourceData.Common_SourceData_EFN2O_Data(), Table_SourceData_Common_EFN2O[[#Headers],[Production system j]], 0)</calculatedColumnFormula>
    </tableColumn>
    <tableColumn id="5" xr3:uid="{C1434108-45E0-4AFD-9D2F-F09C81F028B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54BA-716F-4C52-86B2-BDC2CE84127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C3635F-0112-41EC-989C-6E5136788FE7}" name="Irrigation type i">
      <calculatedColumnFormula array="1">Common_InputFunctions.Utility_DisplayArrayInTable(Common_SourceData.Common_SourceData_FracWETIrrigation_Data(), Table_SourceData_FracWETIrrigation[[#Headers],[Irrigation type i]], 0)</calculatedColumnFormula>
    </tableColumn>
    <tableColumn id="2" xr3:uid="{B01B7E76-8674-4BF9-83CC-9ABF34773330}" name="FracWET" dataDxfId="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F13439-3218-4BE7-BEFD-D715A122A8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1B43EB-2EC4-4A37-916C-8EEE2C50BC5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4389DC3-BAE0-485C-AF67-6B00F337FD38}" name="EFPRP" dataDxfId="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9A60E28-6240-42EB-B57B-AA52EE1BB5D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2C0F2-2C88-4CB0-A127-B6E29E038C5A}" name="Month">
      <calculatedColumnFormula array="1">Common_InputFunctions.Utility_DisplayArrayInTable(Common_SourceData.Common_SourceData_MonthsToSeasons_Data(), Table_SourceData_Common_MonthToSeason[[#Headers],[Month]], 0)</calculatedColumnFormula>
    </tableColumn>
    <tableColumn id="2" xr3:uid="{9EA3BB4B-3EC5-4FD9-B5FC-9B1555D56547}" name="Season" dataDxfId="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3ACA83-2A10-4A08-A7B8-693D8353267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189BA4-93DA-45C8-8C85-F9AC3ABCF0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9092EA3-64E8-4305-A177-90887F11E55C}" name="MAT (ºC)"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EED38CC-3E19-4E06-8412-F10885293A23}" name="Anaerobic lagoon"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1D5869-6EEE-44CE-B494-E3AC14F487A4}" name="Digester / covered lagoon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35DABB4-2029-4B44-A334-C6E8C0A5FF9D}" name="Liquid system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28A3A-2AFB-43CB-B6B6-FA9A2FD3E12E}" name="Daily spread"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A652732-3B57-445E-A83D-CF6C1988EEA0}" name="Composting (passive windrow)"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65A4176-6FAA-4B4D-A8E9-F054B2A8ACB3}" name="Solid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9D9DBF8-05AC-4284-B1C7-BFCF60280C45}" name="Pit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48BB42-E5BE-4012-B43C-2ED67BE1603E}" name="Deep litter"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91D8DB-D1B8-483F-ABF5-B7FB73367352}" name="Poultry manure with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F275FB-2E08-4D2E-987A-875DDB0C240A}" name="Poultry manure without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A24A9F-93CD-4770-A26A-97A81BF2B679}" name="Direct process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9B4CC4B-19D3-4A9A-827F-A489EE4E60CB}" name="Direct application"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9A5F7F-2AC2-478C-BB04-4F6AAD7F0AB6}" name="Pasture range and paddock"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0256F4-0758-4364-9E13-EB74245E0FEC}" name="MAT ra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C95F090-C542-4465-AB52-C6AF64DCF5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235628D-7C45-4601-8356-09C602D0E29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2474F0-7CA1-402A-AF45-FD48D8330151}" name="EFNi &amp; EFN2Oi" dataDxfId="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0" t="e" vm="1">
        <v>#VALUE!</v>
      </c>
    </row>
    <row r="3" spans="1:1" ht="15.75" x14ac:dyDescent="0.25">
      <c r="A3" s="10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Fertiliser'!A1", "Fertiliser")</f>
        <v>Fertiliser</v>
      </c>
    </row>
    <row r="13" spans="1:1" x14ac:dyDescent="0.25">
      <c r="A13" s="18" t="s">
        <v>68</v>
      </c>
    </row>
    <row r="14" spans="1:1" ht="15.75" x14ac:dyDescent="0.25">
      <c r="A14" s="17" t="str">
        <f>HYPERLINK("#'5.1.1.1-2 Inorganic fert N2O'!A1", "5.1.1.1-2 Inorganic fert N2O")</f>
        <v>5.1.1.1-2 Inorganic fert N2O</v>
      </c>
    </row>
    <row r="15" spans="1:1" ht="15.75" x14ac:dyDescent="0.25">
      <c r="A15" s="17" t="str">
        <f>HYPERLINK("#'5.1.1.3-4 Inorganic fert CO2'!A1", "5.1.1.3-4 Inorganic fert CO2")</f>
        <v>5.1.1.3-4 Inorganic fert CO2</v>
      </c>
    </row>
    <row r="16" spans="1:1" ht="15.75" x14ac:dyDescent="0.25">
      <c r="A16" s="17" t="str">
        <f>HYPERLINK("#'5.2.1.1-2 Organic Fert N2O'!A1", "5.2.1.1-2 Organic Fert N2O")</f>
        <v>5.2.1.1-2 Organic Fert N2O</v>
      </c>
    </row>
    <row r="17" spans="1:1" ht="15.75" x14ac:dyDescent="0.25">
      <c r="A17" s="17" t="str">
        <f>HYPERLINK("#'5.3.1.1-2 Lime CO2'!A1", "5.3.1.1-2 Lime CO2")</f>
        <v>5.3.1.1-2 Lime CO2</v>
      </c>
    </row>
    <row r="18" spans="1:1" ht="15.75" x14ac:dyDescent="0.25">
      <c r="A18" s="17" t="str">
        <f>HYPERLINK("#'5.4.1.1-4 Atmos deposition'!A1", "5.4.1.1-4 Atmos deposition")</f>
        <v>5.4.1.1-4 Atmos deposition</v>
      </c>
    </row>
    <row r="19" spans="1:1" ht="15.75" x14ac:dyDescent="0.25">
      <c r="A19" s="17" t="str">
        <f>HYPERLINK("#'5.5.1.1-2 Leaching and runoff'!A1", "5.5.1.1-2 Leaching and runoff")</f>
        <v>5.5.1.1-2 Leaching and runoff</v>
      </c>
    </row>
    <row r="22" spans="1:1" x14ac:dyDescent="0.25">
      <c r="A22" s="176" t="s">
        <v>1</v>
      </c>
    </row>
    <row r="23" spans="1:1" ht="15.75" x14ac:dyDescent="0.25">
      <c r="A23" s="17" t="str">
        <f>HYPERLINK("#'Constants - Fertiliser'!A1", "Constants - Fertiliser")</f>
        <v>Constants - Fertiliser</v>
      </c>
    </row>
    <row r="24" spans="1:1" ht="15.75" x14ac:dyDescent="0.25">
      <c r="A24"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305</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307</v>
      </c>
      <c r="E5" s="83"/>
      <c r="F5" s="83"/>
      <c r="G5" s="83"/>
      <c r="H5" s="83"/>
      <c r="I5" s="83"/>
      <c r="J5" s="83"/>
      <c r="K5" s="83"/>
      <c r="L5" s="83"/>
      <c r="M5" s="83"/>
      <c r="N5" s="83"/>
      <c r="O5" s="79"/>
    </row>
    <row r="6" spans="1:42" ht="20.100000000000001" customHeight="1" x14ac:dyDescent="0.25">
      <c r="D6" s="171" t="s">
        <v>308</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6"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301</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294</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295</v>
      </c>
      <c r="E10" s="166">
        <f>VEERG_5_1_1_3__1_InorganicFertiliserApplicationCO2Emissions_Result_Method1</f>
        <v>7.333333333333333</v>
      </c>
      <c r="F10" s="166">
        <f>E10</f>
        <v>7.333333333333333</v>
      </c>
      <c r="G10" s="51" t="s">
        <v>259</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296</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297</v>
      </c>
      <c r="E12" s="166">
        <f>VEERG_5_3_1_1__1_LimeApplicationCO2Emissions_Result_Method1</f>
        <v>75.808333333333337</v>
      </c>
      <c r="F12" s="166">
        <f>E12</f>
        <v>75.808333333333337</v>
      </c>
      <c r="G12" s="51" t="s">
        <v>259</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298</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299</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6"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6"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327</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zoomScaleNormal="100" workbookViewId="0">
      <selection activeCell="D13" sqref="D13:X1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304</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c r="D5" s="6" t="s">
        <v>145</v>
      </c>
      <c r="E5" s="3"/>
      <c r="F5" s="3"/>
      <c r="G5" s="3"/>
      <c r="H5" s="3"/>
      <c r="I5" s="3"/>
      <c r="J5" s="3"/>
      <c r="K5" s="3"/>
      <c r="L5" s="3"/>
      <c r="M5" s="3"/>
    </row>
    <row r="6" spans="1:25" ht="20.100000000000001" customHeight="1" x14ac:dyDescent="0.25">
      <c r="D6" s="21"/>
      <c r="E6" s="21"/>
      <c r="F6" s="21"/>
      <c r="G6" s="21"/>
      <c r="H6" s="21"/>
      <c r="I6" s="21"/>
      <c r="J6" s="21"/>
      <c r="K6" s="21"/>
      <c r="L6" s="21"/>
      <c r="M6" s="21"/>
    </row>
    <row r="7" spans="1:25" ht="20.100000000000001" customHeight="1" x14ac:dyDescent="0.25">
      <c r="D7" s="104" t="s">
        <v>146</v>
      </c>
      <c r="E7" s="83"/>
      <c r="F7" s="83"/>
      <c r="G7" s="83"/>
      <c r="H7" s="79"/>
      <c r="I7" s="111"/>
      <c r="J7" s="112"/>
      <c r="K7" s="113"/>
      <c r="L7" s="113"/>
      <c r="M7" s="113"/>
    </row>
    <row r="8" spans="1:25" ht="20.100000000000001" customHeight="1" x14ac:dyDescent="0.25">
      <c r="A8" s="19" t="s">
        <v>0</v>
      </c>
      <c r="D8" s="85" t="s">
        <v>147</v>
      </c>
      <c r="E8" s="82"/>
      <c r="F8" s="82"/>
      <c r="G8" s="80"/>
      <c r="H8" s="136"/>
      <c r="I8" s="21"/>
      <c r="J8" s="21"/>
      <c r="K8" s="21"/>
      <c r="L8" s="21"/>
      <c r="M8" s="21"/>
    </row>
    <row r="9" spans="1:25" ht="20.100000000000001" customHeight="1" x14ac:dyDescent="0.25">
      <c r="A9" s="17" t="str">
        <f>HYPERLINK("#'Input - Site'!A1", "Site")</f>
        <v>Site</v>
      </c>
      <c r="D9" s="21"/>
      <c r="E9" s="21"/>
      <c r="F9" s="21"/>
      <c r="G9" s="21"/>
      <c r="H9" s="21"/>
      <c r="I9" s="21"/>
      <c r="J9" s="21"/>
      <c r="K9" s="21"/>
      <c r="L9" s="21"/>
      <c r="M9" s="21"/>
    </row>
    <row r="10" spans="1:25" ht="20.100000000000001" customHeight="1" x14ac:dyDescent="0.25">
      <c r="A10" s="106" t="str">
        <f>HYPERLINK("#'Input - Fertiliser'!A1", "Fertiliser")</f>
        <v>Fertiliser</v>
      </c>
      <c r="D10" s="45" t="s">
        <v>148</v>
      </c>
      <c r="E10" s="21"/>
      <c r="F10" s="21"/>
      <c r="G10" s="21"/>
      <c r="H10" s="21"/>
      <c r="I10" s="21"/>
      <c r="J10" s="21"/>
      <c r="K10" s="21"/>
      <c r="L10" s="21"/>
      <c r="M10" s="21"/>
    </row>
    <row r="11" spans="1:25" ht="20.100000000000001" customHeight="1" x14ac:dyDescent="0.25">
      <c r="D11" s="114" t="s">
        <v>149</v>
      </c>
      <c r="E11" s="115" t="s">
        <v>319</v>
      </c>
      <c r="F11" s="175" t="s">
        <v>310</v>
      </c>
      <c r="G11" s="175" t="s">
        <v>311</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164</v>
      </c>
      <c r="W11" s="174" t="s">
        <v>230</v>
      </c>
      <c r="X11" s="174" t="s">
        <v>231</v>
      </c>
    </row>
    <row r="12" spans="1:25" ht="20.100000000000001" customHeight="1" x14ac:dyDescent="0.25">
      <c r="D12" s="120" t="s">
        <v>300</v>
      </c>
      <c r="E12" s="121">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121">
        <f>X_Cell_Fertiliser_AreaUnderCropping</f>
        <v>100</v>
      </c>
      <c r="I12" s="122">
        <f>(Table_Input_InorganicFertiliser_Brands[[#This Row],[Amount applied per hectare]]*Table_Input_InorganicFertiliser_Brands[[#This Row],[Density]])*Table_Input_InorganicFertiliser_Brands[[#This Row],[Application area (ha)]]</f>
        <v>12600</v>
      </c>
      <c r="J12" s="12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2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2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2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2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2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2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8" t="s">
        <v>68</v>
      </c>
      <c r="D13" s="177" t="s">
        <v>320</v>
      </c>
      <c r="E13" s="178">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178">
        <f>X_Cell_Fertiliser_AreaUnderCropping</f>
        <v>100</v>
      </c>
      <c r="I13" s="122">
        <f>(Table_Input_InorganicFertiliser_Brands[[#This Row],[Amount applied per hectare]]*Table_Input_InorganicFertiliser_Brands[[#This Row],[Density]])*Table_Input_InorganicFertiliser_Brands[[#This Row],[Application area (ha)]]</f>
        <v>12850</v>
      </c>
      <c r="J13" s="12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2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2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2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2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2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2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2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22" t="str">
        <f>_xlfn.XLOOKUP(Table_Input_InorganicFertiliser_Brands[[#This Row],[Product (select)]],FertiliserProducts[Product name],FertiliserProducts[Urea source])</f>
        <v/>
      </c>
      <c r="X13" s="122" t="str">
        <f>_xlfn.XLOOKUP(Table_Input_InorganicFertiliser_Brands[[#This Row],[Product (select)]],FertiliserProducts[Product name],FertiliserProducts[Ammonia source])</f>
        <v/>
      </c>
    </row>
    <row r="14" spans="1:25" ht="20.100000000000001" customHeight="1" x14ac:dyDescent="0.25">
      <c r="A14" s="17" t="str">
        <f>HYPERLINK("#'5.1.1.1-2 Inorganic fert N2O'!A1", "5.1.1.1-2 Inorganic fert N2O")</f>
        <v>5.1.1.1-2 Inorganic fert N2O</v>
      </c>
      <c r="D14" s="177" t="s">
        <v>320</v>
      </c>
      <c r="E14" s="178">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178">
        <f>X_Cell_Fertiliser_AreaUnderCropping</f>
        <v>100</v>
      </c>
      <c r="I14" s="122">
        <f>(Table_Input_InorganicFertiliser_Brands[[#This Row],[Amount applied per hectare]]*Table_Input_InorganicFertiliser_Brands[[#This Row],[Density]])*Table_Input_InorganicFertiliser_Brands[[#This Row],[Application area (ha)]]</f>
        <v>12850</v>
      </c>
      <c r="J14" s="12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2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2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2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2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2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2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2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2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2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2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22" t="str">
        <f>_xlfn.XLOOKUP(Table_Input_InorganicFertiliser_Brands[[#This Row],[Product (select)]],FertiliserProducts[Product name],FertiliserProducts[Urea source])</f>
        <v/>
      </c>
      <c r="X14" s="122" t="str">
        <f>_xlfn.XLOOKUP(Table_Input_InorganicFertiliser_Brands[[#This Row],[Product (select)]],FertiliserProducts[Product name],FertiliserProducts[Ammonia source])</f>
        <v/>
      </c>
    </row>
    <row r="15" spans="1:25" ht="20.100000000000001" customHeight="1" x14ac:dyDescent="0.25">
      <c r="A15" s="17" t="str">
        <f>HYPERLINK("#'5.1.1.3-4 Inorganic fert CO2'!A1", "5.1.1.3-4 Inorganic fert CO2")</f>
        <v>5.1.1.3-4 Inorganic fert CO2</v>
      </c>
      <c r="D15" s="177" t="s">
        <v>322</v>
      </c>
      <c r="E15" s="178">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178">
        <f>X_Cell_Fertiliser_AreaUnderCropping</f>
        <v>100</v>
      </c>
      <c r="I15" s="122">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22" t="str">
        <f>_xlfn.XLOOKUP(Table_Input_InorganicFertiliser_Brands[[#This Row],[Product (select)]],FertiliserProducts[Product name],FertiliserProducts[Urea source])</f>
        <v/>
      </c>
      <c r="X15" s="122" t="str">
        <f>_xlfn.XLOOKUP(Table_Input_InorganicFertiliser_Brands[[#This Row],[Product (select)]],FertiliserProducts[Product name],FertiliserProducts[Ammonia source])</f>
        <v/>
      </c>
    </row>
    <row r="16" spans="1:25" ht="20.100000000000001" customHeight="1" x14ac:dyDescent="0.25">
      <c r="A16" s="17" t="str">
        <f>HYPERLINK("#'5.2.1.1-2 Organic Fert N2O'!A1", "5.2.1.1-2 Organic Fert N2O")</f>
        <v>5.2.1.1-2 Organic Fert N2O</v>
      </c>
      <c r="D16" s="177" t="s">
        <v>321</v>
      </c>
      <c r="E16" s="178">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178">
        <f>X_Cell_Fertiliser_AreaUnderCropping</f>
        <v>100</v>
      </c>
      <c r="I16" s="122">
        <f>(Table_Input_InorganicFertiliser_Brands[[#This Row],[Amount applied per hectare]]*Table_Input_InorganicFertiliser_Brands[[#This Row],[Density]])*Table_Input_InorganicFertiliser_Brands[[#This Row],[Application area (ha)]]</f>
        <v>15000</v>
      </c>
      <c r="J16" s="12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2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2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2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2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22" t="str">
        <f>_xlfn.XLOOKUP(Table_Input_InorganicFertiliser_Brands[[#This Row],[Product (select)]],FertiliserProducts[Product name],FertiliserProducts[Urea source])</f>
        <v/>
      </c>
      <c r="X16" s="122" t="str">
        <f>_xlfn.XLOOKUP(Table_Input_InorganicFertiliser_Brands[[#This Row],[Product (select)]],FertiliserProducts[Product name],FertiliserProducts[Ammonia source])</f>
        <v/>
      </c>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4" t="s">
        <v>312</v>
      </c>
      <c r="R19" s="174" t="s">
        <v>313</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314</v>
      </c>
      <c r="I20" s="135">
        <v>0.5</v>
      </c>
      <c r="J20" s="132" t="s">
        <v>315</v>
      </c>
      <c r="K20" s="135">
        <v>0.2</v>
      </c>
      <c r="L20" s="132" t="s">
        <v>156</v>
      </c>
      <c r="M20" s="135">
        <v>0.2</v>
      </c>
      <c r="N20" s="133" t="s">
        <v>157</v>
      </c>
      <c r="O20" s="164">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row>
    <row r="21" spans="1:24" ht="36" customHeight="1" x14ac:dyDescent="0.25">
      <c r="D21" s="32" t="s">
        <v>317</v>
      </c>
      <c r="E21" s="115">
        <v>100</v>
      </c>
      <c r="F21" s="121">
        <f>X_Cell_Fertiliser_AreaUnderCropping</f>
        <v>100</v>
      </c>
      <c r="G21" s="122">
        <f>Table_Input_InorganicFertiliser_Custom[[#This Row],[Amount applied (kg / ha)]]*Table_Input_InorganicFertiliser_Custom[[#This Row],[Application area (ha)]]</f>
        <v>10000</v>
      </c>
      <c r="H21" s="132" t="s">
        <v>318</v>
      </c>
      <c r="I21" s="165">
        <v>1</v>
      </c>
      <c r="J21" s="132"/>
      <c r="K21" s="165"/>
      <c r="L21" s="132"/>
      <c r="M21" s="165"/>
      <c r="N21" s="133"/>
      <c r="O21" s="164"/>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W21" s="50"/>
    </row>
    <row r="22" spans="1:24" ht="36" customHeight="1" x14ac:dyDescent="0.25">
      <c r="A22" s="176" t="s">
        <v>1</v>
      </c>
      <c r="D22" s="32" t="s">
        <v>324</v>
      </c>
      <c r="E22" s="115">
        <v>100</v>
      </c>
      <c r="F22" s="121">
        <f>X_Cell_Fertiliser_AreaUnderCropping</f>
        <v>100</v>
      </c>
      <c r="G22" s="122">
        <f>Table_Input_InorganicFertiliser_Custom[[#This Row],[Amount applied (kg / ha)]]*Table_Input_InorganicFertiliser_Custom[[#This Row],[Application area (ha)]]</f>
        <v>10000</v>
      </c>
      <c r="H22" s="132" t="s">
        <v>325</v>
      </c>
      <c r="I22" s="165">
        <v>0.5</v>
      </c>
      <c r="J22" s="132"/>
      <c r="K22" s="165"/>
      <c r="L22" s="132"/>
      <c r="M22" s="165"/>
      <c r="N22" s="133"/>
      <c r="O22" s="164"/>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316</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7" t="s">
        <v>187</v>
      </c>
      <c r="E27" s="158"/>
      <c r="F27" s="159"/>
      <c r="G27" s="157"/>
      <c r="H27" s="159"/>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263</v>
      </c>
      <c r="E31" s="121">
        <v>1</v>
      </c>
      <c r="F31" s="121">
        <f>X_Cell_Fertiliser_AreaUnderCropping</f>
        <v>100</v>
      </c>
      <c r="G31" s="122">
        <f>IFERROR(Table_Input_Lime[[#This Row],[Amount applied (t/hectare)]]*Table_Input_Lime[[#This Row],[Application area (ha)]], 0)</f>
        <v>100</v>
      </c>
      <c r="H31" s="140">
        <v>0.8</v>
      </c>
      <c r="I31" s="140">
        <v>0.1</v>
      </c>
      <c r="J31" s="140">
        <v>0.1</v>
      </c>
      <c r="K31" s="160">
        <f>SUM(Table_Input_Lime[[#This Row],[Percent Lime CaCO3]:[Percent Gypsum]])</f>
        <v>1</v>
      </c>
    </row>
    <row r="32" spans="1:24" ht="30" customHeight="1" x14ac:dyDescent="0.25">
      <c r="D32" s="139" t="s">
        <v>264</v>
      </c>
      <c r="E32" s="121">
        <v>1</v>
      </c>
      <c r="F32" s="121">
        <f>X_Cell_Fertiliser_AreaUnderCropping</f>
        <v>100</v>
      </c>
      <c r="G32" s="122">
        <f>IFERROR(Table_Input_Lime[[#This Row],[Amount applied (t/hectare)]]*Table_Input_Lime[[#This Row],[Application area (ha)]], 0)</f>
        <v>100</v>
      </c>
      <c r="H32" s="140">
        <v>1</v>
      </c>
      <c r="I32" s="140"/>
      <c r="J32" s="140"/>
      <c r="K32" s="160">
        <f>SUM(Table_Input_Lime[[#This Row],[Percent Lime CaCO3]:[Percent Gypsum]])</f>
        <v>1</v>
      </c>
      <c r="L32" s="3"/>
    </row>
    <row r="33" spans="1:25" ht="36" customHeight="1" x14ac:dyDescent="0.25">
      <c r="D33" s="139" t="s">
        <v>326</v>
      </c>
      <c r="E33" s="121">
        <v>1</v>
      </c>
      <c r="F33" s="121">
        <f>X_Cell_Fertiliser_AreaUnderCropping</f>
        <v>100</v>
      </c>
      <c r="G33" s="122">
        <f>IFERROR(Table_Input_Lime[[#This Row],[Amount applied (t/hectare)]]*Table_Input_Lime[[#This Row],[Application area (ha)]], 0)</f>
        <v>100</v>
      </c>
      <c r="H33" s="140">
        <v>0</v>
      </c>
      <c r="I33" s="140"/>
      <c r="J33" s="140">
        <v>1</v>
      </c>
      <c r="K33" s="160">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240</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238</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241</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26" priority="62" operator="lessThan">
      <formula>0</formula>
    </cfRule>
  </conditionalFormatting>
  <conditionalFormatting sqref="F155:F156">
    <cfRule type="cellIs" dxfId="25" priority="19" operator="lessThan">
      <formula>0</formula>
    </cfRule>
  </conditionalFormatting>
  <conditionalFormatting sqref="F167:F168">
    <cfRule type="cellIs" dxfId="24" priority="18" operator="lessThan">
      <formula>0</formula>
    </cfRule>
  </conditionalFormatting>
  <conditionalFormatting sqref="F255:F256">
    <cfRule type="cellIs" dxfId="23" priority="93" operator="lessThan">
      <formula>0</formula>
    </cfRule>
  </conditionalFormatting>
  <conditionalFormatting sqref="F260:F261">
    <cfRule type="cellIs" dxfId="22" priority="92" operator="lessThan">
      <formula>0</formula>
    </cfRule>
  </conditionalFormatting>
  <conditionalFormatting sqref="F265:F266">
    <cfRule type="cellIs" dxfId="21" priority="91" operator="lessThan">
      <formula>0</formula>
    </cfRule>
  </conditionalFormatting>
  <conditionalFormatting sqref="F289:F290">
    <cfRule type="cellIs" dxfId="20" priority="85" operator="lessThan">
      <formula>0</formula>
    </cfRule>
  </conditionalFormatting>
  <conditionalFormatting sqref="F294:F295">
    <cfRule type="cellIs" dxfId="19" priority="84" operator="lessThan">
      <formula>0</formula>
    </cfRule>
  </conditionalFormatting>
  <conditionalFormatting sqref="F299:F300">
    <cfRule type="cellIs" dxfId="18" priority="83" operator="lessThan">
      <formula>0</formula>
    </cfRule>
  </conditionalFormatting>
  <conditionalFormatting sqref="H41 F131:F132">
    <cfRule type="cellIs" dxfId="17"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16" priority="79" operator="lessThan">
      <formula>0</formula>
    </cfRule>
  </conditionalFormatting>
  <conditionalFormatting sqref="I30:I35 F143:F144">
    <cfRule type="cellIs" dxfId="15" priority="20"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D13:D16 D12:D16" xr:uid="{B23B57EC-703F-4AE4-9B1D-0AF66025057C}">
      <formula1>INDIRECT("FertiliserProducts[Product Name]")</formula1>
    </dataValidation>
    <dataValidation type="list" allowBlank="1" showInputMessage="1" showErrorMessage="1" sqref="Q20:R22"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VEERG_5_1_1_1__1_InorganicFertiliserApplicationN2OEmissions_Result_Method2</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249</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45" t="s">
        <v>246</v>
      </c>
      <c r="I19" s="145" t="s">
        <v>247</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6"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248</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6" t="s">
        <v>1</v>
      </c>
      <c r="D22" s="90" t="s">
        <v>260</v>
      </c>
    </row>
    <row r="23" spans="1:9" ht="20.100000000000001" customHeight="1" x14ac:dyDescent="0.25">
      <c r="A23" s="17" t="str">
        <f>HYPERLINK("#'Constants - Fertiliser'!A1", "Constants - Fertiliser")</f>
        <v>Constants - Fertiliser</v>
      </c>
      <c r="D23" s="89" t="s">
        <v>265</v>
      </c>
    </row>
    <row r="24" spans="1:9" ht="20.100000000000001" customHeight="1" x14ac:dyDescent="0.25">
      <c r="A24" s="17" t="str">
        <f>HYPERLINK("#'Constants - Common'!A1", "Constants - Common")</f>
        <v>Constants - Common</v>
      </c>
      <c r="D24" s="110" t="s">
        <v>253</v>
      </c>
      <c r="E24" s="110" t="s">
        <v>254</v>
      </c>
      <c r="F24" s="110" t="s">
        <v>255</v>
      </c>
      <c r="G24" s="110" t="s">
        <v>256</v>
      </c>
      <c r="H24" s="48" t="s">
        <v>257</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258</v>
      </c>
      <c r="E31" s="93">
        <f>SUM(H25:H29)</f>
        <v>75.808333333333337</v>
      </c>
      <c r="F31" s="156" t="s">
        <v>259</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283</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270</v>
      </c>
    </row>
    <row r="17" spans="1:8" ht="20.100000000000001" customHeight="1" x14ac:dyDescent="0.25">
      <c r="A17" s="17" t="str">
        <f>HYPERLINK("#'5.3.1.1-2 Lime CO2'!A1", "5.3.1.1-2 Lime CO2")</f>
        <v>5.3.1.1-2 Lime CO2</v>
      </c>
      <c r="D17" s="89" t="s">
        <v>271</v>
      </c>
    </row>
    <row r="18" spans="1:8" ht="20.100000000000001" customHeight="1" x14ac:dyDescent="0.25">
      <c r="A18" s="172" t="str">
        <f>HYPERLINK("#'5.4.1.1-4 Atmos deposition'!A1", "5.4.1.1-4 Atmos deposition")</f>
        <v>5.4.1.1-4 Atmos deposition</v>
      </c>
      <c r="D18" s="48" t="s">
        <v>266</v>
      </c>
      <c r="E18" s="48" t="s">
        <v>267</v>
      </c>
      <c r="F18" s="48" t="s">
        <v>109</v>
      </c>
      <c r="G18" s="161" t="s">
        <v>268</v>
      </c>
      <c r="H18" s="161" t="s">
        <v>269</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6"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279</v>
      </c>
    </row>
    <row r="57" spans="4:10" ht="20.100000000000001" customHeight="1" x14ac:dyDescent="0.25">
      <c r="D57" s="89" t="s">
        <v>280</v>
      </c>
    </row>
    <row r="58" spans="4:10" ht="20.100000000000001" customHeight="1" x14ac:dyDescent="0.25">
      <c r="D58" s="48" t="s">
        <v>266</v>
      </c>
      <c r="E58" s="161" t="s">
        <v>269</v>
      </c>
      <c r="F58" s="161" t="s">
        <v>272</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277</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Fertiliser_FracGASMSoil_Data</f>
        <v>0.21</v>
      </c>
    </row>
    <row r="98" spans="4:9" ht="20.100000000000001" customHeight="1" x14ac:dyDescent="0.25"/>
    <row r="99" spans="4:9" ht="20.100000000000001" customHeight="1" x14ac:dyDescent="0.25">
      <c r="D99" s="90" t="s">
        <v>273</v>
      </c>
    </row>
    <row r="100" spans="4:9" ht="20.100000000000001" customHeight="1" x14ac:dyDescent="0.25">
      <c r="D100" s="89" t="s">
        <v>274</v>
      </c>
    </row>
    <row r="101" spans="4:9" ht="20.100000000000001" customHeight="1" x14ac:dyDescent="0.25">
      <c r="D101" s="110" t="s">
        <v>243</v>
      </c>
      <c r="E101" s="145" t="s">
        <v>247</v>
      </c>
      <c r="F101" s="145" t="s">
        <v>276</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281</v>
      </c>
    </row>
    <row r="132" spans="4:9" ht="20.100000000000001" customHeight="1" x14ac:dyDescent="0.25">
      <c r="D132" s="89" t="s">
        <v>282</v>
      </c>
    </row>
    <row r="133" spans="4:9" ht="20.100000000000001" customHeight="1" x14ac:dyDescent="0.25">
      <c r="D133" s="110" t="s">
        <v>243</v>
      </c>
      <c r="E133" s="145" t="s">
        <v>276</v>
      </c>
      <c r="F133" s="145" t="s">
        <v>275</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278</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7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Common_InputFunctions.CommonCropping_GetFracWET(I16,I18,#REF!,#REF!,Table_SourceData_FracWETIrrigation[Irrigation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Fertiliser_FracLEACH_Data</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286</v>
      </c>
    </row>
    <row r="21" spans="1:9" ht="20.100000000000001" customHeight="1" x14ac:dyDescent="0.25">
      <c r="D21" s="89" t="s">
        <v>289</v>
      </c>
    </row>
    <row r="22" spans="1:9" ht="20.100000000000001" customHeight="1" x14ac:dyDescent="0.25">
      <c r="A22" s="176" t="s">
        <v>1</v>
      </c>
      <c r="D22" s="48" t="s">
        <v>111</v>
      </c>
      <c r="E22" s="48" t="s">
        <v>267</v>
      </c>
      <c r="F22" s="48" t="s">
        <v>285</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287</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Common_InputFunctions.CommonCropping_GetFracWET(I58,I60,#REF!,#REF!,Table_SourceData_FracWETIrrigation[Irrigation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Fertiliser_FracLEACH_Data</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288</v>
      </c>
    </row>
    <row r="63" spans="4:9" ht="20.100000000000001" customHeight="1" x14ac:dyDescent="0.25">
      <c r="D63" s="89" t="s">
        <v>290</v>
      </c>
    </row>
    <row r="64" spans="4:9" ht="20.100000000000001" customHeight="1" x14ac:dyDescent="0.25">
      <c r="D64" s="110" t="s">
        <v>243</v>
      </c>
      <c r="E64" s="163" t="s">
        <v>247</v>
      </c>
      <c r="F64" s="48" t="s">
        <v>291</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292</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Fertiliser_EFLeach_Data</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293</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F45" sqref="F4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6"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309</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253</v>
      </c>
      <c r="E65" s="36" t="s">
        <v>261</v>
      </c>
      <c r="F65" s="36" t="s">
        <v>262</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323</v>
      </c>
    </row>
    <row r="87" spans="4:31" ht="20.100000000000001" customHeight="1" x14ac:dyDescent="0.25">
      <c r="D87" s="6" t="s">
        <v>112</v>
      </c>
      <c r="E87" s="108"/>
      <c r="F87" s="108"/>
      <c r="G87" s="108"/>
      <c r="H87" s="108"/>
      <c r="I87" s="108"/>
      <c r="J87" s="108"/>
      <c r="K87" s="108"/>
      <c r="L87" s="108"/>
      <c r="N87" s="108" t="s">
        <v>323</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EB6AD-ECB7-41F4-BB79-2B3A272EC97C}">
  <dimension ref="A1:BY259"/>
  <sheetViews>
    <sheetView showGridLines="0" zoomScaleNormal="100" workbookViewId="0">
      <selection activeCell="A10" sqref="A1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Fertiliser'!A1", "Fertiliser")</f>
        <v>Fertiliser</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68</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HYPERLINK("#'5.1.1.1-2 Inorganic fert N2O'!A1", "5.1.1.1-2 Inorganic fert N2O")</f>
        <v>5.1.1.1-2 Inorganic fert N2O</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HYPERLINK("#'5.1.1.3-4 Inorganic fert CO2'!A1", "5.1.1.3-4 Inorganic fert CO2")</f>
        <v>5.1.1.3-4 Inorganic fert CO2</v>
      </c>
    </row>
    <row r="16" spans="1:65" ht="20.100000000000001" customHeight="1" x14ac:dyDescent="0.25">
      <c r="A16" s="17" t="str">
        <f>HYPERLINK("#'5.2.1.1-2 Organic Fert N2O'!A1", "5.2.1.1-2 Organic Fert N2O")</f>
        <v>5.2.1.1-2 Organic Fert N2O</v>
      </c>
    </row>
    <row r="17" spans="1:4" ht="20.100000000000001" customHeight="1" x14ac:dyDescent="0.25">
      <c r="A17" s="17" t="str">
        <f>HYPERLINK("#'5.3.1.1-2 Lime CO2'!A1", "5.3.1.1-2 Lime CO2")</f>
        <v>5.3.1.1-2 Lime CO2</v>
      </c>
    </row>
    <row r="18" spans="1:4" ht="20.100000000000001" customHeight="1" x14ac:dyDescent="0.25">
      <c r="A18" s="17" t="str">
        <f>HYPERLINK("#'5.4.1.1-4 Atmos deposition'!A1", "5.4.1.1-4 Atmos deposition")</f>
        <v>5.4.1.1-4 Atmos deposition</v>
      </c>
      <c r="D18" s="6" t="str" cm="1">
        <f t="array" ref="D18">Common_SourceData.Common_SourceData_WASA4Areas_Title()</f>
        <v>ABS Statistcal Areas Level 4 - Western Australia</v>
      </c>
    </row>
    <row r="19" spans="1:4" ht="20.100000000000001" customHeight="1" x14ac:dyDescent="0.25">
      <c r="A19" s="17" t="str">
        <f>HYPERLINK("#'5.5.1.1-2 Leaching and runoff'!A1", "5.5.1.1-2 Leaching and runoff")</f>
        <v>5.5.1.1-2 Leaching and runoff</v>
      </c>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s="176" t="s">
        <v>1</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HYPERLINK("#'Constants - Fertiliser'!A1", "Constants - Fertiliser")</f>
        <v>Constants - Fertiliser</v>
      </c>
      <c r="D23" s="36" t="str" cm="1">
        <f t="array" ref="D23">Common_InputFunctions.Utility_DisplayArrayInTable(Common_SourceData.Common_SourceData_WASA4Areas_Data(), Table_WASA4Areas[[#Headers],[SA 4 Name]], 0)</f>
        <v>Perth - Inner</v>
      </c>
    </row>
    <row r="24" spans="1:4" ht="20.100000000000001" customHeight="1" x14ac:dyDescent="0.25">
      <c r="A24" s="173" t="str">
        <f>HYPERLINK("#'Constants - Common'!A1", "Constants - Common")</f>
        <v>Constants - Common</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250</v>
      </c>
      <c r="E257" s="36" t="s">
        <v>251</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