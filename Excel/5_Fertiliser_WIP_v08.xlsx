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A0E6AE6-F4EA-4DBF-88AB-3D8AC7A629AA}" xr6:coauthVersionLast="47" xr6:coauthVersionMax="47" xr10:uidLastSave="{00000000-0000-0000-0000-000000000000}"/>
  <bookViews>
    <workbookView xWindow="1875" yWindow="1095" windowWidth="36255" windowHeight="19140" firstSheet="2" activeTab="5"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1"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70" l="1"/>
  <c r="X16" i="70"/>
  <c r="W16" i="70"/>
  <c r="U16" i="70" a="1"/>
  <c r="U16" i="70" s="1"/>
  <c r="T16" i="70" a="1"/>
  <c r="T16" i="70" s="1"/>
  <c r="S16" i="70" a="1"/>
  <c r="S16" i="70" s="1"/>
  <c r="R16" i="70" a="1"/>
  <c r="R16" i="70" s="1"/>
  <c r="Q16" i="70" a="1"/>
  <c r="Q16" i="70" s="1"/>
  <c r="P16" i="70" a="1"/>
  <c r="P16" i="70" s="1"/>
  <c r="O16" i="70" a="1"/>
  <c r="O16" i="70" s="1"/>
  <c r="N16" i="70" a="1"/>
  <c r="N16" i="70" s="1"/>
  <c r="M16" i="70" a="1"/>
  <c r="M16" i="70" s="1"/>
  <c r="L16" i="70" a="1"/>
  <c r="L16" i="70" s="1"/>
  <c r="K16" i="70" a="1"/>
  <c r="K16" i="70" s="1"/>
  <c r="J16" i="70" a="1"/>
  <c r="J16" i="70" s="1"/>
  <c r="I16" i="70"/>
  <c r="H16" i="70"/>
  <c r="G16" i="70"/>
  <c r="V16" i="70" s="1"/>
  <c r="F16" i="70"/>
  <c r="X15" i="70"/>
  <c r="W15" i="70"/>
  <c r="U15" i="70" a="1"/>
  <c r="U15" i="70" s="1"/>
  <c r="T15" i="70" a="1"/>
  <c r="T15" i="70" s="1"/>
  <c r="S15" i="70" a="1"/>
  <c r="S15" i="70" s="1"/>
  <c r="R15" i="70" a="1"/>
  <c r="R15" i="70" s="1"/>
  <c r="Q15" i="70" a="1"/>
  <c r="Q15" i="70" s="1"/>
  <c r="P15" i="70" a="1"/>
  <c r="P15" i="70" s="1"/>
  <c r="O15" i="70" a="1"/>
  <c r="O15" i="70" s="1"/>
  <c r="N15" i="70" a="1"/>
  <c r="N15" i="70" s="1"/>
  <c r="M15" i="70" a="1"/>
  <c r="M15" i="70" s="1"/>
  <c r="L15" i="70" a="1"/>
  <c r="L15" i="70" s="1"/>
  <c r="K15" i="70" a="1"/>
  <c r="K15" i="70" s="1"/>
  <c r="J15" i="70" a="1"/>
  <c r="J15" i="70" s="1"/>
  <c r="H15" i="70"/>
  <c r="G15" i="70"/>
  <c r="I15" i="70" s="1"/>
  <c r="F15" i="70"/>
  <c r="X14" i="70"/>
  <c r="W14" i="70"/>
  <c r="V14" i="70"/>
  <c r="U14" i="70" a="1"/>
  <c r="U14" i="70" s="1"/>
  <c r="T14" i="70" a="1"/>
  <c r="T14" i="70" s="1"/>
  <c r="S14" i="70" a="1"/>
  <c r="S14" i="70" s="1"/>
  <c r="R14" i="70" a="1"/>
  <c r="R14" i="70" s="1"/>
  <c r="Q14" i="70" a="1"/>
  <c r="Q14" i="70" s="1"/>
  <c r="P14" i="70" a="1"/>
  <c r="P14" i="70" s="1"/>
  <c r="O14" i="70" a="1"/>
  <c r="O14" i="70" s="1"/>
  <c r="N14" i="70" a="1"/>
  <c r="N14" i="70" s="1"/>
  <c r="M14" i="70" a="1"/>
  <c r="M14" i="70" s="1"/>
  <c r="L14" i="70" a="1"/>
  <c r="L14" i="70" s="1"/>
  <c r="K14" i="70" a="1"/>
  <c r="K14" i="70" s="1"/>
  <c r="J14" i="70" a="1"/>
  <c r="J14" i="70" s="1"/>
  <c r="I14" i="70"/>
  <c r="H14" i="70"/>
  <c r="G14" i="70"/>
  <c r="F14" i="70"/>
  <c r="X13" i="70"/>
  <c r="W13" i="70"/>
  <c r="U13" i="70" a="1"/>
  <c r="U13" i="70" s="1"/>
  <c r="T13" i="70" a="1"/>
  <c r="T13" i="70" s="1"/>
  <c r="S13" i="70" a="1"/>
  <c r="S13" i="70" s="1"/>
  <c r="R13" i="70" a="1"/>
  <c r="R13" i="70" s="1"/>
  <c r="Q13" i="70" a="1"/>
  <c r="Q13" i="70" s="1"/>
  <c r="P13" i="70" a="1"/>
  <c r="P13" i="70" s="1"/>
  <c r="O13" i="70" a="1"/>
  <c r="O13" i="70" s="1"/>
  <c r="N13" i="70" a="1"/>
  <c r="N13" i="70" s="1"/>
  <c r="M13" i="70" a="1"/>
  <c r="M13" i="70" s="1"/>
  <c r="L13" i="70" a="1"/>
  <c r="L13" i="70" s="1"/>
  <c r="K13" i="70" a="1"/>
  <c r="K13" i="70" s="1"/>
  <c r="J13" i="70" a="1"/>
  <c r="J13" i="70" s="1"/>
  <c r="V13" i="70" s="1"/>
  <c r="I13" i="70"/>
  <c r="H13" i="70"/>
  <c r="G13" i="70"/>
  <c r="F13" i="70"/>
  <c r="H44" i="70"/>
  <c r="H43" i="70"/>
  <c r="H42" i="70"/>
  <c r="F33" i="70"/>
  <c r="F32" i="70"/>
  <c r="F31" i="70"/>
  <c r="F22" i="70"/>
  <c r="F21" i="70"/>
  <c r="F20" i="70"/>
  <c r="A24" i="12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K45" i="113"/>
  <c r="J50" i="115"/>
  <c r="I50" i="69"/>
  <c r="W54" i="69"/>
  <c r="W53" i="69"/>
  <c r="E30" i="15"/>
  <c r="E33" i="15"/>
  <c r="E32" i="15"/>
  <c r="E31" i="15"/>
  <c r="J92" i="116"/>
  <c r="I126" i="115"/>
  <c r="J51" i="115"/>
  <c r="I20" i="114"/>
  <c r="K46" i="113"/>
  <c r="I51" i="74"/>
  <c r="S69" i="69"/>
  <c r="I51" i="69"/>
  <c r="G97" i="116"/>
  <c r="G149" i="115"/>
  <c r="G82" i="115"/>
  <c r="G53" i="113"/>
  <c r="P9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I60" i="116"/>
  <c r="I56" i="116" s="1"/>
  <c r="I59" i="116"/>
  <c r="I58" i="116"/>
  <c r="I18" i="116"/>
  <c r="I14" i="116" s="1"/>
  <c r="I17" i="116"/>
  <c r="I16" i="116"/>
  <c r="J53" i="115"/>
  <c r="J52" i="115"/>
  <c r="I128" i="115"/>
  <c r="I125" i="115" s="1"/>
  <c r="I127" i="115"/>
  <c r="K47" i="113"/>
  <c r="I52" i="74"/>
  <c r="S73" i="69"/>
  <c r="S71" i="69"/>
  <c r="S70" i="69"/>
  <c r="I54" i="69"/>
  <c r="I52" i="69"/>
  <c r="V15" i="70" l="1"/>
  <c r="H54" i="121"/>
  <c r="H53" i="121"/>
  <c r="H49" i="121"/>
  <c r="H52" i="121"/>
  <c r="H48" i="121"/>
  <c r="H50" i="121"/>
  <c r="H51" i="121"/>
  <c r="G33" i="70"/>
  <c r="K33" i="70"/>
  <c r="G22" i="70"/>
  <c r="G44" i="70"/>
  <c r="I44" i="70"/>
  <c r="I129" i="115" l="1"/>
  <c r="K48" i="113"/>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E49" i="116" a="1"/>
  <c r="E7" i="116" a="1"/>
  <c r="E83" i="116" a="1"/>
  <c r="I57" i="116" l="1"/>
  <c r="E83"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38" i="113" a="1"/>
  <c r="E118" i="115" a="1"/>
  <c r="E7" i="114" a="1"/>
  <c r="E43" i="115" a="1"/>
  <c r="E90" i="115" a="1"/>
  <c r="E7" i="113" a="1"/>
  <c r="E7" i="115" a="1"/>
  <c r="D66" i="116" l="1"/>
  <c r="D67" i="116"/>
  <c r="E105" i="115"/>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E67" i="116"/>
  <c r="E104" i="115"/>
  <c r="F104" i="115" s="1" a="1"/>
  <c r="F104" i="115" s="1"/>
  <c r="E136" i="115" s="1"/>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E7" i="74" a="1"/>
  <c r="E42" i="69" a="1"/>
  <c r="N60" i="69"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G148" i="115" s="1"/>
  <c r="E151" i="115" s="1" a="1"/>
  <c r="E151" i="115" s="1"/>
  <c r="E31" i="114"/>
  <c r="P45" i="69"/>
  <c r="E12" i="13" l="1"/>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2" i="70" l="1"/>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12"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W52" i="69" l="1"/>
  <c r="W51" i="69"/>
  <c r="E19" i="69"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W50" i="69" s="1"/>
  <c r="Q51" i="69"/>
  <c r="T51" i="69"/>
  <c r="U51" i="69" s="1"/>
  <c r="S51" i="69" a="1"/>
  <c r="S51" i="69" s="1"/>
  <c r="R51" i="69" a="1"/>
  <c r="R51" i="69" s="1"/>
  <c r="O45" i="69" a="1"/>
  <c r="G30" i="74" a="1"/>
  <c r="G30" i="74" s="1"/>
  <c r="E69" i="74" s="1" a="1"/>
  <c r="E69" i="74" s="1"/>
  <c r="W47" i="69" l="1"/>
  <c r="W46" i="69"/>
  <c r="W49" i="69"/>
  <c r="W48"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W45" i="69" s="1"/>
  <c r="R47" i="69" a="1"/>
  <c r="R47" i="69" s="1"/>
  <c r="Q47" i="69"/>
  <c r="E43" i="116" l="1"/>
  <c r="J89" i="116" s="1"/>
  <c r="E94" i="116" s="1" a="1"/>
  <c r="E94" i="116" s="1"/>
  <c r="E14" i="13" s="1"/>
  <c r="F14" i="13" s="1"/>
  <c r="E10" i="13"/>
  <c r="F10" i="13" s="1"/>
  <c r="H10" i="13"/>
  <c r="I10" i="13" s="1"/>
  <c r="V48" i="69" a="1"/>
  <c r="V48" i="69" s="1"/>
  <c r="V49" i="69" a="1"/>
  <c r="V49" i="69" s="1"/>
  <c r="S45" i="69" a="1"/>
  <c r="S45" i="69" s="1"/>
  <c r="V50" i="69" a="1"/>
  <c r="V50" i="69" s="1"/>
  <c r="E79" i="115"/>
  <c r="T45" i="69"/>
  <c r="U45" i="69" s="1"/>
  <c r="Q45" i="69"/>
  <c r="R45" i="69" a="1"/>
  <c r="R45" i="69" s="1"/>
  <c r="V46" i="69" a="1"/>
  <c r="V46" i="69" s="1"/>
  <c r="V47" i="69" a="1"/>
  <c r="V47" i="69" s="1"/>
  <c r="E78" i="69" a="1"/>
  <c r="E78" i="69" s="1"/>
  <c r="E13" i="13" l="1"/>
  <c r="F13" i="13" s="1"/>
  <c r="G96" i="116"/>
  <c r="E99" i="116" s="1" a="1"/>
  <c r="E99" i="116" s="1"/>
  <c r="H14" i="13" s="1"/>
  <c r="I14" i="13" s="1"/>
  <c r="G81" i="115"/>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11" i="13" s="1"/>
  <c r="E80" i="69" l="1"/>
  <c r="E9" i="13" s="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F9" i="13" s="1"/>
  <c r="P90" i="69" l="1"/>
  <c r="N93" i="69" s="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<sst xmlns="http://schemas.openxmlformats.org/spreadsheetml/2006/main" count="553" uniqueCount="328">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</sst>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NumberFormat="1" applyFont="1" applyFill="1" applyBorder="1" applyAlignment="1">
      <alignment horizontal="center" vertical="center" wrapText="1"/>
    </xf>
    <xf numFmtId="4" fontId="0" fillId="0" borderId="2" xfId="18" applyNumberFormat="1" applyFont="1" applyFill="1" applyBorder="1" applyAlignment="1">
      <alignment horizontal="center" vertical="center" wrapText="1"/>
    </xf>
    <xf numFmtId="0" fontId="35" fillId="4" borderId="2" xfId="55" applyNumberFormat="1" applyFont="1" applyFill="1" applyBorder="1" applyAlignment="1">
      <alignment horizontal="center" vertical="center"/>
    </xf>
    <xf numFmtId="0" fontId="35" fillId="4" borderId="2" xfId="55" applyNumberFormat="1" applyFont="1" applyFill="1" applyBorder="1" applyAlignment="1">
      <alignment horizontal="center" vertical="center" wrapText="1"/>
    </xf>
    <xf numFmtId="4" fontId="0" fillId="0" borderId="2" xfId="18" applyNumberFormat="1" applyFont="1" applyBorder="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z val="11"/>
        <color theme="1"/>
        <family val="2"/>
      </font>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2"/>
      <tableStyleElement type="headerRow" dxfId="201"/>
      <tableStyleElement type="totalRow" dxfId="200"/>
      <tableStyleElement type="firstColumn" dxfId="199"/>
      <tableStyleElement type="firstRowStripe" dxfId="198"/>
      <tableStyleElement type="secondRowStripe" dxfId="197"/>
    </tableStyle>
    <tableStyle name="Equation table" pivot="0" count="6" xr9:uid="{B247698E-E41D-4CCD-AA0A-C14817E9DE65}">
      <tableStyleElement type="wholeTable" dxfId="196"/>
      <tableStyleElement type="headerRow" dxfId="195"/>
      <tableStyleElement type="totalRow" dxfId="194"/>
      <tableStyleElement type="firstColumn" dxfId="193"/>
      <tableStyleElement type="firstRowStripe" dxfId="192"/>
      <tableStyleElement type="secondRowStripe" dxfId="191"/>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90" dataDxfId="189" totalsRowDxfId="18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7" totalsRowDxfId="186" dataCellStyle="Input select"/>
    <tableColumn id="23" xr3:uid="{59B08BC3-EF27-48EB-BCEA-84F2987787EF}" name="Amount applied per hectare" totalsRowFunction="custom" dataDxfId="185" totalsRowDxfId="184">
      <totalsRowFormula>SUM(Table_Input_InorganicFertiliser_Brands[[#Headers],[#Data],[Amount applied per hectare]])</totalsRowFormula>
    </tableColumn>
    <tableColumn id="12" xr3:uid="{80233E62-DDAA-41E2-908D-8BF8A861A382}" name="Application unit" dataDxfId="183" totalsRowDxfId="182"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1" totalsRowDxfId="180"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79" totalsRowDxfId="178">
      <calculatedColumnFormula>X_Cell_Fertiliser_AreaUnderCropping</calculatedColumnFormula>
    </tableColumn>
    <tableColumn id="1" xr3:uid="{3BF774D0-ADA2-40B3-9242-8DFBBB9443B7}" name="Total applied (kg)" dataDxfId="177" totalsRowDxfId="17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5" totalsRowDxfId="174"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3" totalsRowDxfId="172"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1"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0" totalsRowDxfId="169"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8" totalsRowDxfId="167"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6" totalsRowDxfId="165"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4" totalsRowDxfId="163"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2"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1"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0"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59"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8"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7" totalsRowDxfId="156"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5" totalsRowDxfId="154"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3" totalsRowDxfId="152"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51" dataDxfId="15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49"/>
    <tableColumn id="3" xr3:uid="{7EF8A17B-D965-4D18-A7A2-D90F9F680015}" name="Application area (ha)" dataDxfId="29" dataCellStyle="Input number 2 decimal places">
      <calculatedColumnFormula>X_Cell_Fertiliser_AreaUnderCropping</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39" dataDxfId="13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28" dataCellStyle="Input number 2 decimal places">
      <calculatedColumnFormula>X_Cell_Fertiliser_AreaUnderCropping</calculatedColumnFormula>
    </tableColumn>
    <tableColumn id="3" xr3:uid="{CB52F796-ECF9-4D56-B08E-72C1A090ECED}" name="Total amount applied (t)" dataDxfId="135"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4"/>
    <tableColumn id="8" xr3:uid="{E6AC5B83-E41F-4CA3-8CB5-DAE2C8D31386}" name="Percent Dolomite CaMg(CO3)2" dataDxfId="133"/>
    <tableColumn id="7" xr3:uid="{C2FA7C98-73DF-4B0B-9D0B-AF335608BA35}" name="Percent Gypsum" dataDxfId="132"/>
    <tableColumn id="10" xr3:uid="{4BF71EEB-80F3-4DB1-B0D1-D4D93983D919}" name="Total" dataDxfId="13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130" dataDxfId="129"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8" dataCellStyle="Input select"/>
    <tableColumn id="5" xr3:uid="{A4835DDC-D01F-4121-BA81-061BD582AD81}" name="Percentage of N in fertiliser" dataDxfId="127"/>
    <tableColumn id="2" xr3:uid="{78F23607-4221-4C96-AE58-1738D148B281}" name="Amount applied (kg/hectare)" dataDxfId="126"/>
    <tableColumn id="11" xr3:uid="{743E34BE-5366-4C2E-A066-60503FC1C110}" name="Amount N applied (kg/hectare)" dataDxfId="125"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27" dataCellStyle="Input number 2 decimal places">
      <calculatedColumnFormula>X_Cell_Fertiliser_AreaUnderCropping</calculatedColumnFormula>
    </tableColumn>
    <tableColumn id="7" xr3:uid="{7CBB769C-0807-447F-BE25-34DAD65EC446}" name="Total organic fertliser applied" dataDxfId="124"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2" totalsRowDxfId="121">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20" totalsRowDxfId="119">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8" totalsRowDxfId="117">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6" totalsRowDxfId="115">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4" totalsRowDxfId="113">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2" totalsRowDxfId="111">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10" totalsRowDxfId="109">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8" totalsRowDxfId="107">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6" totalsRowDxfId="105">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4" totalsRowDxfId="103">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2" totalsRowDxfId="101">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100" totalsRowDxfId="99">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8" totalsRowDxfId="97">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6" totalsRowDxfId="95">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4" totalsRowDxfId="93">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2" totalsRowDxfId="91">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90" totalsRowDxfId="89">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8" totalsRowDxfId="87">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6" totalsRowDxfId="85">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4" totalsRowDxfId="83">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2">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81">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80">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9">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8">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7">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6">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71" dataCellStyle="Content normal">
  <autoFilter ref="K19:L28" xr:uid="{27B93029-EB1F-4C4A-A946-CD673A8A6C46}">
    <filterColumn colId="0" hiddenButton="1"/>
    <filterColumn colId="1" hiddenButton="1"/>
  </autoFilter>
  <tableColumns count="2">
    <tableColumn id="1" xr3:uid="{7C622051-66CC-4C8F-B655-8BA4CF50466E}" name="Fertiliser type f" dataDxfId="70"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8" dataCellStyle="Content normal">
  <autoFilter ref="Q19:R28" xr:uid="{791CEA59-796C-47AB-86BC-41E8F699030C}">
    <filterColumn colId="0" hiddenButton="1"/>
    <filterColumn colId="1" hiddenButton="1"/>
  </autoFilter>
  <tableColumns count="2">
    <tableColumn id="1" xr3:uid="{31D81A30-DB50-4875-A5AB-DFA2E5C18375}" name="Fertiliser type f" dataDxfId="67"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6"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305</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307</v>
      </c>
      <c r="E5" s="83"/>
      <c r="F5" s="83"/>
      <c r="G5" s="83"/>
      <c r="H5" s="83"/>
      <c r="I5" s="83"/>
      <c r="J5" s="83"/>
      <c r="K5" s="83"/>
      <c r="L5" s="83"/>
      <c r="M5" s="83"/>
      <c r="N5" s="83"/>
      <c r="O5" s="79"/>
    </row>
    <row r="6" spans="1:42" ht="20.100000000000001" customHeight="1" x14ac:dyDescent="0.25">
      <c r="D6" s="171" t="s">
        <v>308</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301</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294</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295</v>
      </c>
      <c r="E10" s="166">
        <f>VEERG_5_1_1_3__1_InorganicFertiliserApplicationCO2Emissions_Result_Method1</f>
        <v>7.333333333333333</v>
      </c>
      <c r="F10" s="166">
        <f>E10</f>
        <v>7.333333333333333</v>
      </c>
      <c r="G10" s="51" t="s">
        <v>259</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296</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297</v>
      </c>
      <c r="E12" s="166">
        <f>VEERG_5_3_1_1__1_LimeApplicationCO2Emissions_Result_Method1</f>
        <v>75.808333333333337</v>
      </c>
      <c r="F12" s="166">
        <f>E12</f>
        <v>75.808333333333337</v>
      </c>
      <c r="G12" s="51" t="s">
        <v>259</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298</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299</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DATE(YEAR(E12)+1,MONTH(E12),DAY(E12))-1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E26/E27</f>
        <v>0.45173453996983409</v>
      </c>
      <c r="F29" s="2"/>
    </row>
    <row r="30" spans="1:25" ht="20.100000000000001" customHeight="1" x14ac:dyDescent="0.25">
      <c r="A30"/>
      <c r="D30" s="10" t="s">
        <v>30</v>
      </c>
      <c r="E30" s="49" t="str">
        <f>Common_InputFunctions.Utility_LookupItemFromMinMax(E26,Table_SourceData_RainfallZones[Min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Common_InputFunctions.Utility_LookupValueInTable($E$31,Table_SourceData_WetDryZones[Climate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Common_InputFunctions.Utility_LookupItemFromMinMax(E25,Table_SourceData_TemperatureZones[Min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327</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topLeftCell="A23"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304</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319</v>
      </c>
      <c r="F11" s="175" t="s">
        <v>310</v>
      </c>
      <c r="G11" s="175" t="s">
        <v>311</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300</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320</v>
      </c>
      <c r="E13" s="178">
        <v>100</v>
      </c>
      <c r="F13" s="179" t="str">
        <f>_xlfn.XLOOKUP(Table_Input_InorganicFertiliser_Brands[[#This Row],[Product (select)]],FertiliserProducts[Product name],FertiliserProducts[Unit])</f>
        <v>L</v>
      </c>
      <c r="G13" s="179">
        <f>_xlfn.XLOOKUP(Table_Input_InorganicFertiliser_Brands[[#This Row],[Product (select)]],FertiliserProducts[Product name],FertiliserProducts[Density / gravity])</f>
        <v>1.2849999999999999</v>
      </c>
      <c r="H13" s="178">
        <f>X_Cell_Fertiliser_AreaUnderCropping</f>
        <v>100</v>
      </c>
      <c r="I13" s="180">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8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80" t="str">
        <f>_xlfn.XLOOKUP(Table_Input_InorganicFertiliser_Brands[[#This Row],[Product (select)]],FertiliserProducts[Product name],FertiliserProducts[Urea source])</f>
        <v/>
      </c>
      <c r="X13" s="180"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320</v>
      </c>
      <c r="E14" s="181">
        <v>100</v>
      </c>
      <c r="F14" s="179" t="str">
        <f>_xlfn.XLOOKUP(Table_Input_InorganicFertiliser_Brands[[#This Row],[Product (select)]],FertiliserProducts[Product name],FertiliserProducts[Unit])</f>
        <v>L</v>
      </c>
      <c r="G14" s="179">
        <f>_xlfn.XLOOKUP(Table_Input_InorganicFertiliser_Brands[[#This Row],[Product (select)]],FertiliserProducts[Product name],FertiliserProducts[Density / gravity])</f>
        <v>1.2849999999999999</v>
      </c>
      <c r="H14" s="181">
        <f>X_Cell_Fertiliser_AreaUnderCropping</f>
        <v>100</v>
      </c>
      <c r="I14" s="180">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8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80" t="str">
        <f>_xlfn.XLOOKUP(Table_Input_InorganicFertiliser_Brands[[#This Row],[Product (select)]],FertiliserProducts[Product name],FertiliserProducts[Urea source])</f>
        <v/>
      </c>
      <c r="X14" s="180"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322</v>
      </c>
      <c r="E15" s="178">
        <v>100</v>
      </c>
      <c r="F15" s="179" t="str">
        <f>_xlfn.XLOOKUP(Table_Input_InorganicFertiliser_Brands[[#This Row],[Product (select)]],FertiliserProducts[Product name],FertiliserProducts[Unit])</f>
        <v>L</v>
      </c>
      <c r="G15" s="179">
        <f>_xlfn.XLOOKUP(Table_Input_InorganicFertiliser_Brands[[#This Row],[Product (select)]],FertiliserProducts[Product name],FertiliserProducts[Density / gravity])</f>
        <v>1.26</v>
      </c>
      <c r="H15" s="178">
        <f>X_Cell_Fertiliser_AreaUnderCropping</f>
        <v>100</v>
      </c>
      <c r="I15" s="180">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8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80" t="str">
        <f>_xlfn.XLOOKUP(Table_Input_InorganicFertiliser_Brands[[#This Row],[Product (select)]],FertiliserProducts[Product name],FertiliserProducts[Urea source])</f>
        <v/>
      </c>
      <c r="X15" s="180"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321</v>
      </c>
      <c r="E16" s="181">
        <v>100</v>
      </c>
      <c r="F16" s="179" t="str">
        <f>_xlfn.XLOOKUP(Table_Input_InorganicFertiliser_Brands[[#This Row],[Product (select)]],FertiliserProducts[Product name],FertiliserProducts[Unit])</f>
        <v>L</v>
      </c>
      <c r="G16" s="179">
        <f>_xlfn.XLOOKUP(Table_Input_InorganicFertiliser_Brands[[#This Row],[Product (select)]],FertiliserProducts[Product name],FertiliserProducts[Density / gravity])</f>
        <v>1.5</v>
      </c>
      <c r="H16" s="181">
        <f>X_Cell_Fertiliser_AreaUnderCropping</f>
        <v>100</v>
      </c>
      <c r="I16" s="180">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8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80" t="str">
        <f>_xlfn.XLOOKUP(Table_Input_InorganicFertiliser_Brands[[#This Row],[Product (select)]],FertiliserProducts[Product name],FertiliserProducts[Urea source])</f>
        <v/>
      </c>
      <c r="X16" s="180"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312</v>
      </c>
      <c r="R19" s="174" t="s">
        <v>313</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314</v>
      </c>
      <c r="I20" s="135">
        <v>0.5</v>
      </c>
      <c r="J20" s="132" t="s">
        <v>315</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317</v>
      </c>
      <c r="E21" s="115">
        <v>100</v>
      </c>
      <c r="F21" s="121">
        <f>X_Cell_Fertiliser_AreaUnderCropping</f>
        <v>100</v>
      </c>
      <c r="G21" s="122">
        <f>Table_Input_InorganicFertiliser_Custom[[#This Row],[Amount applied (kg / ha)]]*Table_Input_InorganicFertiliser_Custom[[#This Row],[Application area (ha)]]</f>
        <v>10000</v>
      </c>
      <c r="H21" s="132" t="s">
        <v>318</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324</v>
      </c>
      <c r="E22" s="115">
        <v>100</v>
      </c>
      <c r="F22" s="121">
        <f>X_Cell_Fertiliser_AreaUnderCropping</f>
        <v>100</v>
      </c>
      <c r="G22" s="122">
        <f>Table_Input_InorganicFertiliser_Custom[[#This Row],[Amount applied (kg / ha)]]*Table_Input_InorganicFertiliser_Custom[[#This Row],[Application area (ha)]]</f>
        <v>10000</v>
      </c>
      <c r="H22" s="132" t="s">
        <v>325</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316</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263</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264</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326</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26" priority="62" operator="lessThan">
      <formula>0</formula>
    </cfRule>
  </conditionalFormatting>
  <conditionalFormatting sqref="F155:F156">
    <cfRule type="cellIs" dxfId="25" priority="19" operator="lessThan">
      <formula>0</formula>
    </cfRule>
  </conditionalFormatting>
  <conditionalFormatting sqref="F167:F168">
    <cfRule type="cellIs" dxfId="24" priority="18" operator="lessThan">
      <formula>0</formula>
    </cfRule>
  </conditionalFormatting>
  <conditionalFormatting sqref="F255:F256">
    <cfRule type="cellIs" dxfId="23" priority="93" operator="lessThan">
      <formula>0</formula>
    </cfRule>
  </conditionalFormatting>
  <conditionalFormatting sqref="F260:F261">
    <cfRule type="cellIs" dxfId="22" priority="92" operator="lessThan">
      <formula>0</formula>
    </cfRule>
  </conditionalFormatting>
  <conditionalFormatting sqref="F265:F266">
    <cfRule type="cellIs" dxfId="21" priority="91" operator="lessThan">
      <formula>0</formula>
    </cfRule>
  </conditionalFormatting>
  <conditionalFormatting sqref="F289:F290">
    <cfRule type="cellIs" dxfId="20" priority="85" operator="lessThan">
      <formula>0</formula>
    </cfRule>
  </conditionalFormatting>
  <conditionalFormatting sqref="F294:F295">
    <cfRule type="cellIs" dxfId="19" priority="84" operator="lessThan">
      <formula>0</formula>
    </cfRule>
  </conditionalFormatting>
  <conditionalFormatting sqref="F299:F300">
    <cfRule type="cellIs" dxfId="18" priority="83" operator="lessThan">
      <formula>0</formula>
    </cfRule>
  </conditionalFormatting>
  <conditionalFormatting sqref="H41 F131:F132">
    <cfRule type="cellIs" dxfId="17"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16" priority="79" operator="lessThan">
      <formula>0</formula>
    </cfRule>
  </conditionalFormatting>
  <conditionalFormatting sqref="I30:I35 F143:F144">
    <cfRule type="cellIs" dxfId="15" priority="20"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E80</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N88</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'Constants - Fertiliser'!$E$60</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249</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45" t="s">
        <v>246</v>
      </c>
      <c r="I19" s="145" t="s">
        <v>247</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248</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E50</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260</v>
      </c>
    </row>
    <row r="23" spans="1:9" ht="20.100000000000001" customHeight="1" x14ac:dyDescent="0.25">
      <c r="A23" s="17" t="str">
        <f>HYPERLINK("#'Constants - Fertiliser'!A1", "Constants - Fertiliser")</f>
        <v>Constants - Fertiliser</v>
      </c>
      <c r="D23" s="89" t="s">
        <v>265</v>
      </c>
    </row>
    <row r="24" spans="1:9" ht="20.100000000000001" customHeight="1" x14ac:dyDescent="0.25">
      <c r="A24" s="17" t="str">
        <f>HYPERLINK("#'Constants - Common'!A1", "Constants - Common")</f>
        <v>Constants - Common</v>
      </c>
      <c r="D24" s="110" t="s">
        <v>253</v>
      </c>
      <c r="E24" s="110" t="s">
        <v>254</v>
      </c>
      <c r="F24" s="110" t="s">
        <v>255</v>
      </c>
      <c r="G24" s="110" t="s">
        <v>256</v>
      </c>
      <c r="H24" s="48" t="s">
        <v>257</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258</v>
      </c>
      <c r="E31" s="93">
        <f>SUM(H25:H29)</f>
        <v>75.808333333333337</v>
      </c>
      <c r="F31" s="156" t="s">
        <v>259</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283</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270</v>
      </c>
    </row>
    <row r="17" spans="1:8" ht="20.100000000000001" customHeight="1" x14ac:dyDescent="0.25">
      <c r="A17" s="17" t="str">
        <f>HYPERLINK("#'5.3.1.1-2 Lime CO2'!A1", "5.3.1.1-2 Lime CO2")</f>
        <v>5.3.1.1-2 Lime CO2</v>
      </c>
      <c r="D17" s="89" t="s">
        <v>271</v>
      </c>
    </row>
    <row r="18" spans="1:8" ht="20.100000000000001" customHeight="1" x14ac:dyDescent="0.25">
      <c r="A18" s="172" t="str">
        <f>HYPERLINK("#'5.4.1.1-4 Atmos deposition'!A1", "5.4.1.1-4 Atmos deposition")</f>
        <v>5.4.1.1-4 Atmos deposition</v>
      </c>
      <c r="D18" s="48" t="s">
        <v>266</v>
      </c>
      <c r="E18" s="48" t="s">
        <v>267</v>
      </c>
      <c r="F18" s="48" t="s">
        <v>109</v>
      </c>
      <c r="G18" s="161" t="s">
        <v>268</v>
      </c>
      <c r="H18" s="161" t="s">
        <v>269</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279</v>
      </c>
    </row>
    <row r="57" spans="4:10" ht="20.100000000000001" customHeight="1" x14ac:dyDescent="0.25">
      <c r="D57" s="89" t="s">
        <v>280</v>
      </c>
    </row>
    <row r="58" spans="4:10" ht="20.100000000000001" customHeight="1" x14ac:dyDescent="0.25">
      <c r="D58" s="48" t="s">
        <v>266</v>
      </c>
      <c r="E58" s="161" t="s">
        <v>269</v>
      </c>
      <c r="F58" s="161" t="s">
        <v>272</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277</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E79</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'Constants - Fertiliser'!$E$73</f>
        <v>0.21</v>
      </c>
    </row>
    <row r="98" spans="4:9" ht="20.100000000000001" customHeight="1" x14ac:dyDescent="0.25"/>
    <row r="99" spans="4:9" ht="20.100000000000001" customHeight="1" x14ac:dyDescent="0.25">
      <c r="D99" s="90" t="s">
        <v>273</v>
      </c>
    </row>
    <row r="100" spans="4:9" ht="20.100000000000001" customHeight="1" x14ac:dyDescent="0.25">
      <c r="D100" s="89" t="s">
        <v>274</v>
      </c>
    </row>
    <row r="101" spans="4:9" ht="20.100000000000001" customHeight="1" x14ac:dyDescent="0.25">
      <c r="D101" s="110" t="s">
        <v>243</v>
      </c>
      <c r="E101" s="145" t="s">
        <v>247</v>
      </c>
      <c r="F101" s="145" t="s">
        <v>276</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281</v>
      </c>
    </row>
    <row r="132" spans="4:9" ht="20.100000000000001" customHeight="1" x14ac:dyDescent="0.25">
      <c r="D132" s="89" t="s">
        <v>282</v>
      </c>
    </row>
    <row r="133" spans="4:9" ht="20.100000000000001" customHeight="1" x14ac:dyDescent="0.25">
      <c r="D133" s="110" t="s">
        <v>243</v>
      </c>
      <c r="E133" s="145" t="s">
        <v>276</v>
      </c>
      <c r="F133" s="145" t="s">
        <v>275</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278</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E146</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7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Common_InputFunctions.CommonCropping_GetFracWET(I16,I18,#REF!,#REF!,Table_SourceData_FracWETIrrigation[Irrigation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'Constants - Fertiliser'!$E$78</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286</v>
      </c>
    </row>
    <row r="21" spans="1:9" ht="20.100000000000001" customHeight="1" x14ac:dyDescent="0.25">
      <c r="D21" s="89" t="s">
        <v>289</v>
      </c>
    </row>
    <row r="22" spans="1:9" ht="20.100000000000001" customHeight="1" x14ac:dyDescent="0.25">
      <c r="A22" s="176" t="s">
        <v>1</v>
      </c>
      <c r="D22" s="48" t="s">
        <v>111</v>
      </c>
      <c r="E22" s="48" t="s">
        <v>267</v>
      </c>
      <c r="F22" s="48" t="s">
        <v>285</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287</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Common_InputFunctions.CommonCropping_GetFracWET(I58,I60,#REF!,#REF!,Table_SourceData_FracWETIrrigation[Irrigation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'Constants - Fertiliser'!$E$78</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288</v>
      </c>
    </row>
    <row r="63" spans="4:9" ht="20.100000000000001" customHeight="1" x14ac:dyDescent="0.25">
      <c r="D63" s="89" t="s">
        <v>290</v>
      </c>
    </row>
    <row r="64" spans="4:9" ht="20.100000000000001" customHeight="1" x14ac:dyDescent="0.25">
      <c r="D64" s="110" t="s">
        <v>243</v>
      </c>
      <c r="E64" s="163" t="s">
        <v>247</v>
      </c>
      <c r="F64" s="48" t="s">
        <v>291</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292</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'Constants - Fertiliser'!$E$83</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293</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E94</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309</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253</v>
      </c>
      <c r="E65" s="36" t="s">
        <v>261</v>
      </c>
      <c r="F65" s="36" t="s">
        <v>262</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323</v>
      </c>
    </row>
    <row r="87" spans="4:31" ht="20.100000000000001" customHeight="1" x14ac:dyDescent="0.25">
      <c r="D87" s="6" t="s">
        <v>112</v>
      </c>
      <c r="E87" s="108"/>
      <c r="F87" s="108"/>
      <c r="G87" s="108"/>
      <c r="H87" s="108"/>
      <c r="I87" s="108"/>
      <c r="J87" s="108"/>
      <c r="K87" s="108"/>
      <c r="L87" s="108"/>
      <c r="N87" s="108" t="s">
        <v>323</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zoomScaleNormal="100" workbookViewId="0">
      <selection activeCell="A10" sqref="A1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6"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3"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250</v>
      </c>
      <c r="E257" s="36" t="s">
        <v>251</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45</vt:i4>
      </vt:variant>
    </vt:vector>
  </HeadingPairs>
  <TitlesOfParts>
    <vt:vector size="59"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2026-07-30T11:38:16Z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