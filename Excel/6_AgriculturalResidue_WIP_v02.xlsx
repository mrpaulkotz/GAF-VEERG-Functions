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tables/table25.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codeName="ThisWorkbook"/>
  <mc:AlternateContent xmlns:mc="http://schemas.openxmlformats.org/markup-compatibility/2006">
    <mc:Choice Requires="x15">
      <x15ac:absPath xmlns:x15ac="http://schemas.microsoft.com/office/spreadsheetml/2010/11/ac" url="C:\htdocs\zneagcrc\GAF-VEERG-Functions\Excel\"/>
    </mc:Choice>
  </mc:AlternateContent>
  <xr:revisionPtr revIDLastSave="0" documentId="13_ncr:1_{1BDE5913-261B-4211-86CD-DC2E64DC76D3}" xr6:coauthVersionLast="47" xr6:coauthVersionMax="47" xr10:uidLastSave="{00000000-0000-0000-0000-000000000000}"/>
  <bookViews>
    <workbookView xWindow="495" yWindow="480" windowWidth="37335" windowHeight="19740" firstSheet="1" activeTab="1" xr2:uid="{992023F3-CAB7-4E5B-A348-08D563A0EF40}"/>
  </bookViews>
  <sheets>
    <sheet name="Home" sheetId="71" r:id="rId1"/>
    <sheet name="Overview" sheetId="118" r:id="rId2"/>
    <sheet name="Results" sheetId="13" r:id="rId3"/>
    <sheet name="Input - Site" sheetId="15" r:id="rId4"/>
    <sheet name="Input - Crop" sheetId="70" r:id="rId5"/>
    <sheet name="Input - Pasture" sheetId="120" r:id="rId6"/>
    <sheet name="6.1.1.1-2 Crop residue N2O" sheetId="69" r:id="rId7"/>
    <sheet name="6.2.1.1-2 Pasture residue N2O" sheetId="74" r:id="rId8"/>
    <sheet name="6.3.1.1-2 Leaching and runoff" sheetId="113" r:id="rId9"/>
    <sheet name="6.4.1.1-2 Residue burning" sheetId="114" r:id="rId10"/>
    <sheet name="Constants - Ag Residue" sheetId="110" r:id="rId11"/>
    <sheet name="Constants - Common" sheetId="121" r:id="rId12"/>
  </sheets>
  <definedNames>
    <definedName name="AgResidue_Equations_CropResidue.VEERG_6_1_1_1__1__NitrousOxideEmissionsFromCropResidues">_xlfn.LAMBDA(_xlpm.M_c,_xlpm.EF_Ni,_xlpm.C_N2O, _xlpm.M_c * _xlpm.EF_Ni * _xlpm.C_N2O * 10 ^ (-3))</definedName>
    <definedName name="AgResidue_Equations_CropResidue.VEERG_6_1_1_1__1__NitrousOxideEmissionsFromCropResidues_Arguments">_xlfn.LAMBDA(_xlfn.MAKEARRAY(5, 4, _xlfn.LAMBDA(_xlpm.r,_xlpm.c, INDEX({"M_c","mass of nitrogen in crop c residues returned to the soil","kg N","Calculated from 6.1.1.1 (2)";"EF_Ni","emission factor for crop residues returned to the soil","kg N2O-N/kg N","Constant";"C_N2O","factor to convert elemental mass of nitrous oxide to molecular mass","dimensionless","Constant";"c","Crop type","","Input";"i","Wet or dry climate zone","","Input"}, _xlpm.r, _xlpm.c))))</definedName>
    <definedName name="AgResidue_Equations_CropResidue.VEERG_6_1_1_1__1__NitrousOxideEmissionsFromCropResidues_FunctionName">_xlfn.LAMBDA("VEERG_6_1_1_1__1__NitrousOxideEmissionsFromCropResidues")</definedName>
    <definedName name="AgResidue_Equations_CropResidue.VEERG_6_1_1_1__1__NitrousOxideEmissionsFromCropResidues_LatexEquation">_xlfn.LAMBDA("E=\sum\nolimits_c\left(M_{c}\times EF_{N}\right)\times C_{g,N2O}\times 10^{-3}")</definedName>
    <definedName name="AgResidue_Equations_CropResidue.VEERG_6_1_1_1__1__NitrousOxideEmissionsFromCropResidues_NIRReference">_xlfn.LAMBDA("")</definedName>
    <definedName name="AgResidue_Equations_CropResidue.VEERG_6_1_1_1__1__NitrousOxideEmissionsFromCropResidues_Source">_xlfn.LAMBDA("VEERG 2026: 6.1.1.1, Equation (1)")</definedName>
    <definedName name="AgResidue_Equations_CropResidue.VEERG_6_1_1_1__1__NitrousOxideEmissionsFromCropResidues_Title">_xlfn.LAMBDA("Nitrous oxide emissions from the return of crop residues across all crops c to the soil")</definedName>
    <definedName name="AgResidue_Equations_CropResidue.VEERG_6_1_1_1__1__NitrousOxideEmissionsFromCropResidues_Unit">_xlfn.LAMBDA("t N2O")</definedName>
    <definedName name="AgResidue_Equations_CropResidue.VEERG_6_1_1_1__1__NitrousOxideEmissionsFromCropResidues_Variable">_xlfn.LAMBDA("E")</definedName>
    <definedName name="AgResidue_Equations_CropResidue.VEERG_6_1_1_1__2__MassOfNitrogenInCropResidues">_xlfn.LAMBDA(_xlpm.P_c,_xlpm.R_AGc,_xlpm.F_c,_xlpm.FFOD_c,_xlpm.DM_c,_xlpm.NC_AGc,_xlpm.R_BGc,_xlpm.NC_BGc, (_xlpm.P_c * _xlpm.R_AGc * (1 - _xlpm.F_c - _xlpm.FFOD_c) * _xlpm.DM_c * _xlpm.NC_AGc) + (_xlpm.P_c * _xlpm.R_AGc * _xlpm.R_BGc * _xlpm.DM_c * _xlpm.NC_BGc))</definedName>
    <definedName name="AgResidue_Equations_CropResidue.VEERG_6_1_1_1__2__MassOfNitrogenInCropResidues_Arguments">_xlfn.LAMBDA(_xlfn.MAKEARRAY(10, 4, _xlfn.LAMBDA(_xlpm.r,_xlpm.c, INDEX({"P_c","annual production of crop c","kg","Input";"R_AGc","residue to crop ratio for crop c","","Constant";"R_BGc","below ground-residue to above ground residue ratio for crop c","","Constant";"F_c","fraction of crop residue that is burnt for crop c","fraction","Input";"FFOD_c","fraction of the crop residue that is removed for crop c","fraction","Constant";"DM_c","dry matter content of crop c","kg dry weight/kg crop residue","Constant";"NC_AGc","nitrogen content of above-ground crop residue of crop c","kg N/kg DM","Constant";"NC_BGc","nitrogen content of below-ground crop residue of crop c","kg N/kg DM","Constant";"c","Crop type","","Input";"State","State or territory","","Input"}, _xlpm.r, _xlpm.c))))</definedName>
    <definedName name="AgResidue_Equations_CropResidue.VEERG_6_1_1_1__2__MassOfNitrogenInCropResidues_Arguments_Method2">_xlfn.LAMBDA(_xlfn.MAKEARRAY(10, 4, _xlfn.LAMBDA(_xlpm.r,_xlpm.c, INDEX({"P_c","annual production of crop c","kg","Input";"R_AGc","residue to crop ratio for crop c","","Constant";"R_BGc","below ground-residue to above ground residue ratio for crop c","","Constant";"F_c","fraction of crop residue that is burnt for crop c","fraction","Input";"FFOD_c","fraction of the crop residue that is removed for crop c","fraction","Calculated from 6.1.1.2 (1)";"DM_c","dry matter content of crop c","kg dry weight/kg crop residue","Constant";"NC_AGc","nitrogen content of above-ground crop residue of crop c","kg N/kg DM","Constant";"NC_BGc","nitrogen content of below-ground crop residue of crop c","kg N/kg DM","Constant";"c","Crop type","","Input";"State","State or territory","","Input"}, _xlpm.r, _xlpm.c))))</definedName>
    <definedName name="AgResidue_Equations_CropResidue.VEERG_6_1_1_1__2__MassOfNitrogenInCropResidues_LatexEquation">_xlfn.LAMBDA("M_{c}=(P_{c}\times R_{AGc}\times(1-F_{c}-FFOD_{c})\times DM_{c}\times NC_{AGc})+(P_{c}\times R_{AGc}\times R_{BGc}\times DM_{c}\times NC_{BGc})")</definedName>
    <definedName name="AgResidue_Equations_CropResidue.VEERG_6_1_1_1__2__MassOfNitrogenInCropResidues_NIRReference">_xlfn.LAMBDA("")</definedName>
    <definedName name="AgResidue_Equations_CropResidue.VEERG_6_1_1_1__2__MassOfNitrogenInCropResidues_Source">_xlfn.LAMBDA("VEERG 2026: 6.1.1.1, Equation (2)")</definedName>
    <definedName name="AgResidue_Equations_CropResidue.VEERG_6_1_1_1__2__MassOfNitrogenInCropResidues_Title">_xlfn.LAMBDA("Mass of nitrogen in crop residues returned to the soil")</definedName>
    <definedName name="AgResidue_Equations_CropResidue.VEERG_6_1_1_1__2__MassOfNitrogenInCropResidues_Unit">_xlfn.LAMBDA("kg N")</definedName>
    <definedName name="AgResidue_Equations_CropResidue.VEERG_6_1_1_1__2__MassOfNitrogenInCropResidues_Variable">_xlfn.LAMBDA("M_c")</definedName>
    <definedName name="AgResidue_Equations_CropResidue.VEERG_6_1_1_2__1__FractionOfCropResidueRemovedBaled">_xlfn.LAMBDA(_xlpm.B,_xlpm.M_B,_xlpm.P_c,_xlpm.R_AGc, IFERROR((_xlpm.B * _xlpm.M_B) / (_xlpm.P_c * _xlpm.R_AGc), 0))</definedName>
    <definedName name="AgResidue_Equations_CropResidue.VEERG_6_1_1_2__1__FractionOfCropResidueRemovedBaled_Arguments">_xlfn.LAMBDA(_xlfn.MAKEARRAY(5, 4, _xlfn.LAMBDA(_xlpm.r,_xlpm.c, INDEX({"B","number of bales generated","","Input";"M_B","mass of each bale","kg","Input";"P_c","annual production of crop c","kg","Input";"R_AGc","residue to crop ratio for crop c","","Input";"c","Crop type","","Input"}, _xlpm.r, _xlpm.c))))</definedName>
    <definedName name="AgResidue_Equations_CropResidue.VEERG_6_1_1_2__1__FractionOfCropResidueRemovedBaled_LatexEquation">_xlfn.LAMBDA("FFOD_{c,baled}=\frac{B\times M_{B}}{P_{c}\times R_{AG,c}}")</definedName>
    <definedName name="AgResidue_Equations_CropResidue.VEERG_6_1_1_2__1__FractionOfCropResidueRemovedBaled_NIRReference">_xlfn.LAMBDA("")</definedName>
    <definedName name="AgResidue_Equations_CropResidue.VEERG_6_1_1_2__1__FractionOfCropResidueRemovedBaled_Source">_xlfn.LAMBDA("VEERG 2026: 6.1.1.2, Equation (1)")</definedName>
    <definedName name="AgResidue_Equations_CropResidue.VEERG_6_1_1_2__1__FractionOfCropResidueRemovedBaled_Title">_xlfn.LAMBDA("Fraction of crop residue that is removed for crop c, calculated where residues are baled")</definedName>
    <definedName name="AgResidue_Equations_CropResidue.VEERG_6_1_1_2__1__FractionOfCropResidueRemovedBaled_Unit">_xlfn.LAMBDA("dimensionless")</definedName>
    <definedName name="AgResidue_Equations_CropResidue.VEERG_6_1_1_2__1__FractionOfCropResidueRemovedBaled_Variable">_xlfn.LAMBDA("FFOD_cbaled")</definedName>
    <definedName name="AgResidue_Equations_CropResidue.VEERG_6_1_1_2__1__FractionOfCropResidueRemovedBaled_Variation">_xlfn.LAMBDA("VARIATION FROM SOURCE: Added 'baled' to variable subscript")</definedName>
    <definedName name="AgResidue_Equations_CropResidue.VEERG_6_1_1_2__1a__FractionOfCropResidueRemoved">_xlfn.LAMBDA(_xlpm.FFOD_cbaled,_xlpm.FFOD_cother, _xlpm.FFOD_cbaled + _xlpm.FFOD_cother)</definedName>
    <definedName name="AgResidue_Equations_CropResidue.VEERG_6_1_1_2__1a__FractionOfCropResidueRemoved_Arguments">_xlfn.LAMBDA(_xlfn.MAKEARRAY(2, 4, _xlfn.LAMBDA(_xlpm.r,_xlpm.c, INDEX({"FFOD_cbaled","Fraction of crop residue that is removed for crop c, calculated where residues are baled","fraction","Calculated from 6.1.1.2, (1)";"FFOD_cother","Fraction of crop residue that is removed for crop c, calculated where residues are removed by other means","fraction","Input"}, _xlpm.r, _xlpm.c))))</definedName>
    <definedName name="AgResidue_Equations_CropResidue.VEERG_6_1_1_2__1a__FractionOfCropResidueRemoved_LatexEquation">_xlfn.LAMBDA("FFOD_{c} = FFOD_{c,baled} + FFOD_{c,other}")</definedName>
    <definedName name="AgResidue_Equations_CropResidue.VEERG_6_1_1_2__1a__FractionOfCropResidueRemoved_NIRReference">_xlfn.LAMBDA("")</definedName>
    <definedName name="AgResidue_Equations_CropResidue.VEERG_6_1_1_2__1a__FractionOfCropResidueRemoved_Source">_xlfn.LAMBDA("")</definedName>
    <definedName name="AgResidue_Equations_CropResidue.VEERG_6_1_1_2__1a__FractionOfCropResidueRemoved_Title">_xlfn.LAMBDA("Fraction of crop residue that is removed for crop c")</definedName>
    <definedName name="AgResidue_Equations_CropResidue.VEERG_6_1_1_2__1a__FractionOfCropResidueRemoved_Unit">_xlfn.LAMBDA("dimensionless")</definedName>
    <definedName name="AgResidue_Equations_CropResidue.VEERG_6_1_1_2__1a__FractionOfCropResidueRemoved_Variable">_xlfn.LAMBDA("FFOD_c")</definedName>
    <definedName name="AgResidue_Equations_CropResidue.VEERG_6_1_1_2__1a__FractionOfCropResidueRemoved_Variation">_xlfn.LAMBDA("VARIATION FROM SOURCE: Added this equation to accommodate user-defined residue removal other than baling.")</definedName>
    <definedName name="AgResidue_Equations_FieldBurning.VEERG_6_4_1_1__1__MethaneEmissionsFromBurningOfCropResidues">_xlfn.LAMBDA(_xlpm.M_burnc,_xlpm.CC_c,_xlpm.EF_CH4,_xlpm.C_CH4, (_xlpm.M_burnc * _xlpm.CC_c) * _xlpm.EF_CH4 * _xlpm.C_CH4 * 10 ^ (-3))</definedName>
    <definedName name="AgResidue_Equations_FieldBurning.VEERG_6_4_1_1__1__MethaneEmissionsFromBurningOfCropResidues_Arguments">_xlfn.LAMBDA(_xlfn.MAKEARRAY(5, 4, _xlfn.LAMBDA(_xlpm.r,_xlpm.c, INDEX({"M_burnc","mass of residue burnt for crop type c","kg","Calculated from 6.4.1.1 (3)";"CC_c","carbon mass fraction in the residues of crop type c","fraction","Constant";"EF_CH4","emission factor for methane from burning of crop residues","kg CH4 / kg CH4 burnt","Constant";"C_CH4","factor to convert elemental mass of methane to molecular mass","dimensionless","Constant";"c","Crop type","","Input"}, _xlpm.r, _xlpm.c))))</definedName>
    <definedName name="AgResidue_Equations_FieldBurning.VEERG_6_4_1_1__1__MethaneEmissionsFromBurningOfCropResidues_FunctionName">_xlfn.LAMBDA("VEERG_6_4_1_1__1__MethaneEmissionsFromBurningOfCropResidues")</definedName>
    <definedName name="AgResidue_Equations_FieldBurning.VEERG_6_4_1_1__1__MethaneEmissionsFromBurningOfCropResidues_LatexEquation">_xlfn.LAMBDA("E_{CH4}=\sum\nolimits_c(M_{burn,c}\times CC_{c})\times EF_{CH4}\times C_{CH4}\times 10^{-3}")</definedName>
    <definedName name="AgResidue_Equations_FieldBurning.VEERG_6_4_1_1__1__MethaneEmissionsFromBurningOfCropResidues_NIRReference">_xlfn.LAMBDA("")</definedName>
    <definedName name="AgResidue_Equations_FieldBurning.VEERG_6_4_1_1__1__MethaneEmissionsFromBurningOfCropResidues_Source">_xlfn.LAMBDA("VEERG 2026: 6.4.1.1, Equation (1)")</definedName>
    <definedName name="AgResidue_Equations_FieldBurning.VEERG_6_4_1_1__1__MethaneEmissionsFromBurningOfCropResidues_Title">_xlfn.LAMBDA("Methane emissions from the burning of crop residues")</definedName>
    <definedName name="AgResidue_Equations_FieldBurning.VEERG_6_4_1_1__1__MethaneEmissionsFromBurningOfCropResidues_Unit">_xlfn.LAMBDA("t CH4")</definedName>
    <definedName name="AgResidue_Equations_FieldBurning.VEERG_6_4_1_1__1__MethaneEmissionsFromBurningOfCropResidues_Variable">_xlfn.LAMBDA("ECH4")</definedName>
    <definedName name="AgResidue_Equations_FieldBurning.VEERG_6_4_1_1__2__NitrousOxideEmissionsFromBurningOfCropResidues">_xlfn.LAMBDA(_xlpm.M_burnc,_xlpm.NC_AGc,_xlpm.EF_N2O,_xlpm.C_N2O, (_xlpm.M_burnc * _xlpm.NC_AGc) * _xlpm.EF_N2O * _xlpm.C_N2O * 10 ^ (-3))</definedName>
    <definedName name="AgResidue_Equations_FieldBurning.VEERG_6_4_1_1__2__NitrousOxideEmissionsFromBurningOfCropResidues_Arguments">_xlfn.LAMBDA(_xlfn.MAKEARRAY(5, 4, _xlfn.LAMBDA(_xlpm.r,_xlpm.c, INDEX({"M_burnc","mass of residue burnt for crop type c","kg","Calculated from 6.4.1.1 (3)";"NC_AGc","nitrogen content in the above-ground residue of crop type c","kg N/kg DM","Constant";"EF_N2O","emission factor for nitrous oxide from burning of crop residues","kg N2O/kg N2O burnt","Constant";"C_N2O","factor to convert elemental mass of nitrous oxide to molecular mass","dimensionless","Constant";"c","Crop type","","Input"}, _xlpm.r, _xlpm.c))))</definedName>
    <definedName name="AgResidue_Equations_FieldBurning.VEERG_6_4_1_1__2__NitrousOxideEmissionsFromBurningOfCropResidues_FunctionName">_xlfn.LAMBDA("VEERG_6_4_1_1__2__NitrousOxideEmissionsFromBurningOfCropResidues")</definedName>
    <definedName name="AgResidue_Equations_FieldBurning.VEERG_6_4_1_1__2__NitrousOxideEmissionsFromBurningOfCropResidues_LatexEquation">_xlfn.LAMBDA("E_{N2O}=\sum\nolimits_c(M_{burn,c}\times NC_{AGc})\times EF_{N2O}\times C_{N2O}\times 10^{-3}")</definedName>
    <definedName name="AgResidue_Equations_FieldBurning.VEERG_6_4_1_1__2__NitrousOxideEmissionsFromBurningOfCropResidues_NIRReference">_xlfn.LAMBDA("")</definedName>
    <definedName name="AgResidue_Equations_FieldBurning.VEERG_6_4_1_1__2__NitrousOxideEmissionsFromBurningOfCropResidues_Source">_xlfn.LAMBDA("VEERG 2026: 6.4.1.1, Equation (2)")</definedName>
    <definedName name="AgResidue_Equations_FieldBurning.VEERG_6_4_1_1__2__NitrousOxideEmissionsFromBurningOfCropResidues_Title">_xlfn.LAMBDA("Nitrous oxide emissions from the burning of crop residues")</definedName>
    <definedName name="AgResidue_Equations_FieldBurning.VEERG_6_4_1_1__2__NitrousOxideEmissionsFromBurningOfCropResidues_Unit">_xlfn.LAMBDA("t N2O")</definedName>
    <definedName name="AgResidue_Equations_FieldBurning.VEERG_6_4_1_1__2__NitrousOxideEmissionsFromBurningOfCropResidues_Variable">_xlfn.LAMBDA("EN2O")</definedName>
    <definedName name="AgResidue_Equations_FieldBurning.VEERG_6_4_1_1__3__MassOfCropResidueBurnt">_xlfn.LAMBDA(_xlpm.P_c,_xlpm.R_AGc,_xlpm.S_c,_xlpm.DM_c,_xlpm.Z_c,_xlpm.F_c, _xlpm.P_c * _xlpm.R_AGc * _xlpm.S_c * _xlpm.DM_c * _xlpm.Z_c * _xlpm.F_c)</definedName>
    <definedName name="AgResidue_Equations_FieldBurning.VEERG_6_4_1_1__3__MassOfCropResidueBurnt_Arguments">_xlfn.LAMBDA(_xlfn.MAKEARRAY(7, 4, _xlfn.LAMBDA(_xlpm.r,_xlpm.c, INDEX({"P_c","annual production of crop type c","kg","Input";"R_AGc","residue to crop ratio of crop type c","kg crop residue/kg crop","Constant";"S_c","fraction of residues of crop type c remaining at burning","fraction","Constant";"DM_c","dry matter content of crop type c","kg dry weight/kg crop residue","Constant";"Z_c","burning efficiency (ratio of fuel burnt to fuel load) of crop type c","","Constant";"F_c","fraction of the annual production of crop type c that is burnt","fraction","Constant";"c","Crop type","","Input"}, _xlpm.r, _xlpm.c))))</definedName>
    <definedName name="AgResidue_Equations_FieldBurning.VEERG_6_4_1_1__3__MassOfCropResidueBurnt_FunctionName">_xlfn.LAMBDA("VEERG_6_4_1_1__3__MassOfCropResidueBurnt")</definedName>
    <definedName name="AgResidue_Equations_FieldBurning.VEERG_6_4_1_1__3__MassOfCropResidueBurnt_LatexEquation">_xlfn.LAMBDA("M_{burn,c}=P_{c}\times R_{AGc}\times S_{c}\times DM_{c}\times Z_{c}\times F_{c}")</definedName>
    <definedName name="AgResidue_Equations_FieldBurning.VEERG_6_4_1_1__3__MassOfCropResidueBurnt_NIRReference">_xlfn.LAMBDA("")</definedName>
    <definedName name="AgResidue_Equations_FieldBurning.VEERG_6_4_1_1__3__MassOfCropResidueBurnt_Source">_xlfn.LAMBDA("VEERG 2026: 6.4.1.1, Equation (3)")</definedName>
    <definedName name="AgResidue_Equations_FieldBurning.VEERG_6_4_1_1__3__MassOfCropResidueBurnt_Title">_xlfn.LAMBDA("Mass of residue of crop c burnt")</definedName>
    <definedName name="AgResidue_Equations_FieldBurning.VEERG_6_4_1_1__3__MassOfCropResidueBurnt_Unit">_xlfn.LAMBDA("kg")</definedName>
    <definedName name="AgResidue_Equations_FieldBurning.VEERG_6_4_1_1__3__MassOfCropResidueBurnt_Variable">_xlfn.LAMBDA("M_burnc")</definedName>
    <definedName name="AgResidue_Equations_Leaching.VEERG_6_3_1_1__1__LeachingAndRunoffEmissionsCropAndPastureResidue">_xlfn.LAMBDA(_xlpm.M_leachcp,_xlpm.EF_leach,_xlpm.C_N2O, (_xlpm.M_leachcp * _xlpm.EF_leach) * _xlpm.C_N2O * 10 ^ (-3))</definedName>
    <definedName name="AgResidue_Equations_Leaching.VEERG_6_3_1_1__1__LeachingAndRunoffEmissionsCropAndPastureResidue_Arguments">_xlfn.LAMBDA(_xlfn.MAKEARRAY(5, 4, _xlfn.LAMBDA(_xlpm.r,_xlpm.c, INDEX({"M_leachcp","mass of nitrogen lost through leaching and runoff from the crop residue c or pasture residue p","kg N","Calculated from 6.3.1.1 (2)";"EF_leach","emission factor for leaching and runoff","kg N2O-N/kg N","Constant";"C_N2O","factor to convert elemental mass of nitrous oxide to molecular mass","dimensionless","Constant";"c","Crop residue type","","Input";"p","Pasture residue type","","Input"}, _xlpm.r, _xlpm.c))))</definedName>
    <definedName name="AgResidue_Equations_Leaching.VEERG_6_3_1_1__1__LeachingAndRunoffEmissionsCropAndPastureResidue_LatexEquation">_xlfn.LAMBDA("E_{N2O}=\sum\nolimits_c\sum\nolimits_p(M_{leach,cp}\times EF_{leach}\times C_{N2O}\times 10^{-3})")</definedName>
    <definedName name="AgResidue_Equations_Leaching.VEERG_6_3_1_1__1__LeachingAndRunoffEmissionsCropAndPastureResidue_NIRReference">_xlfn.LAMBDA("")</definedName>
    <definedName name="AgResidue_Equations_Leaching.VEERG_6_3_1_1__1__LeachingAndRunoffEmissionsCropAndPastureResidue_Source">_xlfn.LAMBDA("VEERG 2026: 6.3.1.1, Equation (1)")</definedName>
    <definedName name="AgResidue_Equations_Leaching.VEERG_6_3_1_1__1__LeachingAndRunoffEmissionsCropAndPastureResidue_Title">_xlfn.LAMBDA("Nitrous oxide leaching and runoff emissions from crop and pasture residues returned to the soil")</definedName>
    <definedName name="AgResidue_Equations_Leaching.VEERG_6_3_1_1__1__LeachingAndRunoffEmissionsCropAndPastureResidue_Unit">_xlfn.LAMBDA("t N2O")</definedName>
    <definedName name="AgResidue_Equations_Leaching.VEERG_6_3_1_1__1__LeachingAndRunoffEmissionsCropAndPastureResidue_Variable">_xlfn.LAMBDA("EN2O")</definedName>
    <definedName name="AgResidue_Equations_Leaching.VEERG_6_3_1_1__2__MassOfNitrogenLostThroughLeachingAndRunoff">_xlfn.LAMBDA(_xlpm.M_cp,_xlpm.FracWET_j,_xlpm.FracLEACH, _xlpm.M_cp * _xlpm.FracWET_j * _xlpm.FracLEACH)</definedName>
    <definedName name="AgResidue_Equations_Leaching.VEERG_6_3_1_1__2__MassOfNitrogenLostThroughLeachingAndRunoff_Arguments">_xlfn.LAMBDA(_xlfn.MAKEARRAY(7, 4, _xlfn.LAMBDA(_xlpm.r,_xlpm.c, INDEX({"M_cp","mass of nitrogen in crop residues c or pasture residues p applied to soils","kg N","Calc from 6.1.1.1 (2) and 6.2.1.1 (2)";"FracWET_j","fraction of N that is available for leaching and runoff from the leaching zone z and irrigation type ir","fraction","Constant";"FracLEACH","fraction of N that is lost through leaching and runoff","fraction","Constant";"z","Location in leaching zone","","Input";"c","Crop residue type","","Input";"p","Pasture residue type","","Input";"ir","Irrigation type","","Input"}, _xlpm.r, _xlpm.c))))</definedName>
    <definedName name="AgResidue_Equations_Leaching.VEERG_6_3_1_1__2__MassOfNitrogenLostThroughLeachingAndRunoff_LatexEquation">_xlfn.LAMBDA("M_{leach,cp}=M_{cp}\times FracWET_{j}\times FracLEACH")</definedName>
    <definedName name="AgResidue_Equations_Leaching.VEERG_6_3_1_1__2__MassOfNitrogenLostThroughLeachingAndRunoff_NIRReference">_xlfn.LAMBDA("")</definedName>
    <definedName name="AgResidue_Equations_Leaching.VEERG_6_3_1_1__2__MassOfNitrogenLostThroughLeachingAndRunoff_Source">_xlfn.LAMBDA("VEERG 2026: 6.3.1.1, Equation (2)")</definedName>
    <definedName name="AgResidue_Equations_Leaching.VEERG_6_3_1_1__2__MassOfNitrogenLostThroughLeachingAndRunoff_Title">_xlfn.LAMBDA("Mass of nitrogen lost through leaching and runoff")</definedName>
    <definedName name="AgResidue_Equations_Leaching.VEERG_6_3_1_1__2__MassOfNitrogenLostThroughLeachingAndRunoff_Unit">_xlfn.LAMBDA("kg N")</definedName>
    <definedName name="AgResidue_Equations_Leaching.VEERG_6_3_1_1__2__MassOfNitrogenLostThroughLeachingAndRunoff_Variable">_xlfn.LAMBDA("M_leachcp")</definedName>
    <definedName name="AgResidue_Equations_Leaching.VEERG_6_3_1_1__2__MassOfNitrogenLostThroughLeachingAndRunoff_Variation">_xlfn.LAMBDA("")</definedName>
    <definedName name="AgResidue_Equations_PastureResidue.VEERG_6_2_1_1__1__NitrousOxideEmissionsFromPastureResidues">_xlfn.LAMBDA(_xlpm.M_p,_xlpm.EF_Ni,_xlpm.C_N2O, (_xlpm.M_p * _xlpm.EF_Ni) * _xlpm.C_N2O * 10 ^ (-3))</definedName>
    <definedName name="AgResidue_Equations_PastureResidue.VEERG_6_2_1_1__1__NitrousOxideEmissionsFromPastureResidues_Arguments">_xlfn.LAMBDA(_xlfn.MAKEARRAY(5, 4, _xlfn.LAMBDA(_xlpm.r,_xlpm.c, INDEX({"M_p","mass of nitrogen in pasture p residues returned to the soil","kg N","Calculated from 6.2.1.1 (2)";"EF_Ni","emission factor for crop residues returned to the soil in climate zone i","kg N2O-N/kg N","Constant";"C_N2O","factor to convert elemental mass of nitrous oxide to molecular mass","dimensionless","Constant";"p","Pasture type","","Input";"i","Wet or dry climate zone","","Input"}, _xlpm.r, _xlpm.c))))</definedName>
    <definedName name="AgResidue_Equations_PastureResidue.VEERG_6_2_1_1__1__NitrousOxideEmissionsFromPastureResidues_LatexEquation">_xlfn.LAMBDA("E_{N2O}=\sum\nolimits_p\left(M_p\times EF_{Ni}\right)\times C_{N2O}\times{10}^{-3}")</definedName>
    <definedName name="AgResidue_Equations_PastureResidue.VEERG_6_2_1_1__1__NitrousOxideEmissionsFromPastureResidues_NIRReference">_xlfn.LAMBDA("")</definedName>
    <definedName name="AgResidue_Equations_PastureResidue.VEERG_6_2_1_1__1__NitrousOxideEmissionsFromPastureResidues_Source">_xlfn.LAMBDA("VEERG 2026: 6.2.1.1, Equation (1)")</definedName>
    <definedName name="AgResidue_Equations_PastureResidue.VEERG_6_2_1_1__1__NitrousOxideEmissionsFromPastureResidues_Title">_xlfn.LAMBDA("Nitrous oxide emissions from the return of pasture residues from all pasture types to the soil")</definedName>
    <definedName name="AgResidue_Equations_PastureResidue.VEERG_6_2_1_1__1__NitrousOxideEmissionsFromPastureResidues_Unit">_xlfn.LAMBDA("t N2O")</definedName>
    <definedName name="AgResidue_Equations_PastureResidue.VEERG_6_2_1_1__1__NitrousOxideEmissionsFromPastureResidues_Variable">_xlfn.LAMBDA("EN2O")</definedName>
    <definedName name="AgResidue_Equations_PastureResidue.VEERG_6_2_1_1__2__MassOfNitrogenInPastureResidues">_xlfn.LAMBDA(_xlpm.A_p,_xlpm.Y_p,_xlpm.FFOD_p,_xlpm.NC_AGp,_xlpm.R_BGp,_xlpm.NC_BGp, (_xlpm.A_p * (_xlpm.Y_p * 10 ^ (-3)) * (1 - _xlpm.FFOD_p) * _xlpm.NC_AGp) + (_xlpm.A_p * (_xlpm.Y_p * 10 ^ (-3)) * _xlpm.R_BGp * _xlpm.NC_BGp))</definedName>
    <definedName name="AgResidue_Equations_PastureResidue.VEERG_6_2_1_1__2__MassOfNitrogenInPastureResidues_Arguments">_xlfn.LAMBDA(_xlfn.MAKEARRAY(7, 4, _xlfn.LAMBDA(_xlpm.r,_xlpm.c, INDEX({"A_p","area of pasture renewed or removed","ha","Input";"Y_p","average yield of pasture crop","t DM/ha","Constant";"NC_AGp","N content of above-ground pasture residue","kg N/kg DM","Constant";"R_BGp","below-ground residue to above-ground residue ratio for pasture crop","","Constant";"NC_BGp","N content of below-ground pasture crop residue","kg N/kg DM","Constant";"FFOD_p","fraction of pasture yield that is removed","fraction","Constant";"p","Pasture type","","Input"}, _xlpm.r, _xlpm.c))))</definedName>
    <definedName name="AgResidue_Equations_PastureResidue.VEERG_6_2_1_1__2__MassOfNitrogenInPastureResidues_Arguments_Method2">_xlfn.LAMBDA(_xlfn.MAKEARRAY(7, 4, _xlfn.LAMBDA(_xlpm.r,_xlpm.c, INDEX({"A_p","area of pasture renewed or removed","ha","Input";"Y_p","average yield of pasture crop","t DM/ha","Input";"NC_AGp","N content of above-ground pasture residue","kg N/kg DM","Constant";"R_BGp","below-ground residue to above-ground residue ratio for pasture crop","","Constant";"NC_BGp","N content of below-ground pasture crop residue","kg N/kg DM","Constant";"FFOD_p","fraction of pasture yield that is removed","fraction","Constant";"p","Pasture type","","Input"}, _xlpm.r, _xlpm.c))))</definedName>
    <definedName name="AgResidue_Equations_PastureResidue.VEERG_6_2_1_1__2__MassOfNitrogenInPastureResidues_LatexEquation">_xlfn.LAMBDA("M_p = (A_p \times (Y_p \times 10^{-3}) \times (1- FFOD_p) \times NC_{AGp}) + (A_p \times (Y_p \times 10^{-3})\times R_{BGp} \times NC_{BGp})")</definedName>
    <definedName name="AgResidue_Equations_PastureResidue.VEERG_6_2_1_1__2__MassOfNitrogenInPastureResidues_NIRReference">_xlfn.LAMBDA("")</definedName>
    <definedName name="AgResidue_Equations_PastureResidue.VEERG_6_2_1_1__2__MassOfNitrogenInPastureResidues_Source">_xlfn.LAMBDA("VEERG 2026: 6.2.1.1, Equation (2)")</definedName>
    <definedName name="AgResidue_Equations_PastureResidue.VEERG_6_2_1_1__2__MassOfNitrogenInPastureResidues_Title">_xlfn.LAMBDA("Mass of nitrogen in pasture residues returned to the soil")</definedName>
    <definedName name="AgResidue_Equations_PastureResidue.VEERG_6_2_1_1__2__MassOfNitrogenInPastureResidues_Unit">_xlfn.LAMBDA("kg N")</definedName>
    <definedName name="AgResidue_Equations_PastureResidue.VEERG_6_2_1_1__2__MassOfNitrogenInPastureResidues_Variable">_xlfn.LAMBDA("Mp")</definedName>
    <definedName name="Agresidue_SourceData.BurningOfAgriculturalResiduesEFs_Data">_xlfn.LAMBDA(_xlfn.MAKEARRAY(6, 3, _xlfn.LAMBDA(_xlpm.r,_xlpm.c, INDEX({"Gas species","Emission factor EFg (Gg element in species/ Gg element in fuel burnt)","Elemental to molecular mass conversion factor (Cg)";"CH4",0.0035,"16/12";"N2O",0.0076,"44/28";"NOx",0.21,"46/14";"CO",0.078,"28/12";"NMVOC",0.0091,"14/12"}, _xlpm.r, _xlpm.c))))</definedName>
    <definedName name="Agresidue_SourceData.BurningOfAgriculturalResiduesEFs_Description">_xlfn.LAMBDA(("Burning of agricultural residues - EFs"))</definedName>
    <definedName name="Agresidue_SourceData.BurningOfAgriculturalResiduesEFs_Source">_xlfn.LAMBDA(("National Inventory Report 2023 volume 2: Table 5.31: Burning of agricultural residues - EFs"))</definedName>
    <definedName name="Agresidue_SourceData.BurningOfAgriculturalResiduesEFs_Title">_xlfn.LAMBDA(("Table 5.31 Burning of agricultural residues - EFs"))</definedName>
    <definedName name="Agresidue_SourceData.CropAttributes_Data">_xlfn.LAMBDA(_xlfn.MAKEARRAY(20, 9, _xlfn.LAMBDA(_xlpm.r,_xlpm.c, INDEX({"Crop type","Residue: Crop ratio","Below-ground: above-ground residue ratio","Dry matter content","Carbon fraction in dry matter","N content above-ground","N content below-ground","Fraction of residue remaining at time of burning","Burning efficiencyt";"c","RAGc","RBGc","DMc","CCc","NCAGc","NCBGc","Sc","Zc";"Wheat",1.5,0.29,0.88,0.4,0.006,0.01,0.5,0.9;"Barley",1.24,0.32,0.88,0.4,0.007,0.01,0.5,0.85;"Maize",0.81,0.39,0.85,0.42,0.005,0.007,1,0.8;"Oats",1.42,0.43,0.88,0.4,0.006,0.01,0.5,0.85;"Rice",1.31,0.16,0.8,0.42,0.007,0.01,1,0.8;"Sorghum",1.5,0.22,0.8,0.4,0.008,0.007,0.5,0.85;"Triticale",1.5,0.42,0.88,0.4,0.006,0.01,0.5,0.85;"Other cereals",1.46,0.36,0.88,0.4,0.006,0.01,0.5,0.85;"Pulses",1.37,0.51,0.87,0.4,0.009,0.01,0.5,0.85;"Tubers and roots",0.34,0.43,0.25,0.4,0.02,0.01,"n/a",0.85;"Peanuts",1.07,0.2,0.8,0.42,0.016,0.014,0.5,0.85;"Sugar cane",0.25,0.45,0.2,0.4,0.005,0.007,1,0.8;"Cotton",1.9,0.3,0.9,0.4,0.01,0.01,"n/a",0.85;"Hops",1.5,0.29,0.88,0.4,0.006,"n/a","n/a",0.85;"Oilseeds",2.08,0.33,0.96,0.4,0.009,0.01,0.5,0.85;"Forage crops",1.34,0.37,0.88,0.4,0.006,0.01,"n/a",0.85;"Other annual crops",1,0.22,0.85,0.4,0.008,0.009,"n/a","n/a";"Other perennial crops",1.5,0.29,0.88,0.4,0.006,"n/a","n/a","n/a"}, _xlpm.r, _xlpm.c))))</definedName>
    <definedName name="Agresidue_SourceData.CropAttributes_Description">_xlfn.LAMBDA(("Crop attributes"))</definedName>
    <definedName name="Agresidue_SourceData.CropAttributes_Source">_xlfn.LAMBDA(("VEERG 2026: Table A.2.1.1: Crop attributes"))</definedName>
    <definedName name="Agresidue_SourceData.CropAttributes_Title">_xlfn.LAMBDA(("Table A.2.1.1: Crop attributes"))</definedName>
    <definedName name="Agresidue_SourceData.CropAttributes_Variation">_xlfn.LAMBDA(("VARIATION FROM SOURCE: 'N/A' values passed as zero for calculations."))</definedName>
    <definedName name="Agresidue_SourceData.CropFractionRemoved_CustomisedData">_xlfn.LAMBDA(_xlfn.MAKEARRAY(144, 3, _xlfn.LAMBDA(_xlpm.r,_xlpm.c, INDEX({"Crop type c","State","Fraction removed FFODc";"Rice","NSW",0.06;"Rice","VIC",0.06;"Rice","QLD",0.06;"Rice","SA",0.06;"Rice","WA",0.06;"Rice","TAS",0.06;"Rice","NT",0.06;"Rice","ACT",0.06;"Tubers and roots","NSW",1;"Tubers and roots","VIC",1;"Tubers and roots","QLD",1;"Tubers and roots","SA",1;"Tubers and roots","WA",1;"Tubers and roots","TAS",1;"Tubers and roots","NT",1;"Tubers and roots","ACT",1;"Cotton","NSW",0;"Cotton","VIC",0;"Cotton","QLD",0;"Cotton","SA",0;"Cotton","WA",0;"Cotton","TAS",0;"Cotton","NT",0;"Cotton","ACT",0;"Hops","NSW",0;"Hops","VIC",0;"Hops","QLD",0;"Hops","SA",0;"Hops","WA",0;"Hops","TAS",0;"Hops","NT",0;"Hops","ACT",0;"Forage crops","NSW",0.8;"Forage crops","VIC",0.8;"Forage crops","QLD",0.8;"Forage crops","SA",0.8;"Forage crops","WA",0.8;"Forage crops","TAS",0.8;"Forage crops","NT",0.8;"Forage crops","ACT",0.8;"Sugar Cane","NSW",0;"Sugar Cane","VIC","N/A";"Sugar Cane","QLD",0.03;"Sugar Cane","SA","N/A";"Sugar Cane","WA",0;"Sugar Cane","TAS","N/A";"Sugar Cane","NT","N/A";"Sugar Cane","ACT","N/A";"Wheat","NSW",0.05;"Wheat","VIC",0.07;"Wheat","QLD",0.04;"Wheat","SA",0.09;"Wheat","WA",0.11;"Wheat","TAS",0.16;"Wheat","NT",0.01;"Wheat","ACT",0;"Barley","NSW",0.05;"Barley","VIC",0.07;"Barley","QLD",0.04;"Barley","SA",0.09;"Barley","WA",0.11;"Barley","TAS",0.16;"Barley","NT",0.01;"Barley","ACT",0;"Maize","NSW",0.05;"Maize","VIC",0.07;"Maize","QLD",0.04;"Maize","SA",0.09;"Maize","WA",0.11;"Maize","TAS",0.16;"Maize","NT",0.01;"Maize","ACT",0;"Oats","NSW",0.05;"Oats","VIC",0.07;"Oats","QLD",0.04;"Oats","SA",0.09;"Oats","WA",0.11;"Oats","TAS",0.16;"Oats","NT",0.01;"Oats","ACT",0;"Sorghum","NSW",0.05;"Sorghum","VIC",0.07;"Sorghum","QLD",0.04;"Sorghum","SA",0.09;"Sorghum","WA",0.11;"Sorghum","TAS",0.16;"Sorghum","NT",0.01;"Sorghum","ACT",0;"Triticale","NSW",0.05;"Triticale","VIC",0.07;"Triticale","QLD",0.04;"Triticale","SA",0.09;"Triticale","WA",0.11;"Triticale","TAS",0.16;"Triticale","NT",0.01;"Triticale","ACT",0;"Other cereals","NSW",0.05;"Other cereals","VIC",0.07;"Other cereals","QLD",0.04;"Other cereals","SA",0.09;"Other cereals","WA",0.11;"Other cereals","TAS",0.16;"Other cereals","NT",0.01;"Other cereals","ACT",0;"Pulses","NSW",0.05;"Pulses","VIC",0.07;"Pulses","QLD",0.04;"Pulses","SA",0.09;"Pulses","WA",0.11;"Pulses","TAS",0.16;"Pulses","NT",0.01;"Pulses","ACT",0;"Peanuts","NSW",0.05;"Peanuts","VIC",0.07;"Peanuts","QLD",0.04;"Peanuts","SA",0.09;"Peanuts","WA",0.11;"Peanuts","TAS",0.16;"Peanuts","NT",0.01;"Peanuts","ACT",0;"Oilseeds","NSW",0.05;"Oilseeds","VIC",0.07;"Oilseeds","QLD",0.04;"Oilseeds","SA",0.09;"Oilseeds","WA",0.11;"Oilseeds","TAS",0.16;"Oilseeds","NT",0.01;"Oilseeds","ACT",0;"Other annual crops","NSW",0.05;"Other annual crops","VIC",0.07;"Other annual crops","QLD",0.04;"Other annual crops","SA",0.09;"Other annual crops","WA",0.11;"Other annual crops","TAS",0.16;"Other annual crops","NT",0.01;"Other annual crops","ACT",0;"Other perennial crops","NSW",0.05;"Other perennial crops","VIC",0.07;"Other perennial crops","QLD",0.04;"Other perennial crops","SA",0.09;"Other perennial crops","WA",0.11;"Other perennial crops","TAS",0.16;"Other perennial crops","NT",0.01;"Other perennial crops","ACT",0}, _xlpm.r, _xlpm.c))))</definedName>
    <definedName name="Agresidue_SourceData.CropFractionRemoved_Data">_xlfn.LAMBDA(_xlfn.MAKEARRAY(20, 3, _xlfn.LAMBDA(_xlpm.r,_xlpm.c, INDEX({"Crop type c","State","Fraction removed FFODc";"Rice","All states",0.06;"Tubers and roots","All states",1;"Cotton","All states",0;"Hops","All states",0;"Forage crops","All states",0.8;"Sugar Cane","NSW",0;"Sugar Cane","QLD",0.03;"Sugar Cane","WA",0;"All other crop types","NSW",0.05;"All other crop types","VIC",0.07;"All other crop types","QLD",0.04;"All other crop types","SA",0.09;"All other crop types","WA",0.11;"All other crop types","TAS",0.16;"All other crop types","NT",0.01;"All other crop types","ACT",0}, _xlpm.r, _xlpm.c))))</definedName>
    <definedName name="Agresidue_SourceData.CropFractionRemoved_Description">_xlfn.LAMBDA(("Crop attributes - Fraction removed (FFODc)"))</definedName>
    <definedName name="Agresidue_SourceData.CropFractionRemoved_Source">_xlfn.LAMBDA(("VEERG 2026: Table A.2.1.2: Crop attributes - Fraction removed (FFODc)"))</definedName>
    <definedName name="Agresidue_SourceData.CropFractionRemoved_Title">_xlfn.LAMBDA(("Table A.2.1.2: Crop attributes - Fraction removed (FFODc)"))</definedName>
    <definedName name="Agresidue_SourceData.CropFractionRemoved_Variation">_xlfn.LAMBDA(("VARIATION OF SOURCE DATA: Split 'All other crop types' into individual crop types for each state. Listed all states for Sugar Cane, with 'N/A' for states where it is not grown."))</definedName>
    <definedName name="Agresidue_SourceData.CropPurposeAndYield_Data">_xlfn.LAMBDA(_xlfn.MAKEARRAY(4, 8, _xlfn.LAMBDA(_xlpm.r,_xlpm.c, INDEX({"Purpose","Per hectare unit","harvest term","harvest endpoint","Harvest uit","Yield note","Residue crop ratio note","Total production note";"Cash grain crop","grain","yield","harvest","grain","Yield is the grain harvested from the plant","Residue to crop ratio is provided from default values","Total production is the total grain harvested";"Cash crop for hay/silage","above ground biomass","yield","harvest","plant biomass","Yield is the whole plant harvested for hay/silage","Residue to crop ratio is 0 assuming the whole plant is harvested for hay/silage","Total production is the total whole plant biomass harvested as hay/silage";"Cover crop","above ground biomass","mass","end of crop cycle","above ground biomass","Yield is the whole plant kept as cover crop","Residue to crop ratio is 1 assuming the whole plant is kept as cover crop","Total production is the total whole plant biomass kept as cover crop"}, _xlpm.r, _xlpm.c))))</definedName>
    <definedName name="Agresidue_SourceData.CropPurposeAndYield_Title">_xlfn.LAMBDA(("Crop purpose and yield"))</definedName>
    <definedName name="Agresidue_SourceData.N2OEFOrganicFertiliser_Data">_xlfn.LAMBDA(_xlfn.MAKEARRAY(3, 2, _xlfn.LAMBDA(_xlpm.r,_xlpm.c, INDEX({"Climate zone i","EF i N2O";"Wet climate zone",0.006;"Dry climate zone",0.005}, _xlpm.r, _xlpm.c))))</definedName>
    <definedName name="Agresidue_SourceData.N2OEFOrganicFertiliser_NIRReference">_xlfn.LAMBDA("IPCC 2019 Refinement Volume 4 Table 11.1 [1, p. 11]")</definedName>
    <definedName name="Agresidue_SourceData.N2OEFOrganicFertiliser_Source">_xlfn.LAMBDA("VEERG 2026: Table A.2.1.4")</definedName>
    <definedName name="Agresidue_SourceData.N2OEFOrganicFertiliser_Title">_xlfn.LAMBDA("Emission factor for organic fertiliser and crop residues returned to the soil")</definedName>
    <definedName name="Agresidue_SourceData.N2OEFOrganicFertiliser_Unit">_xlfn.LAMBDA("kg N2O - N / kg N")</definedName>
    <definedName name="Agresidue_SourceData.PastureAttributes_Data">_xlfn.LAMBDA(_xlfn.MAKEARRAY(6, 6, _xlfn.LAMBDA(_xlpm.r,_xlpm.c, INDEX({"Pasture type","Average Yield (t DM ha) Yp","Below-ground: above-ground residue ratio RBGp","N content Above-ground NCAGp","N content Below-ground NCBGp","Fraction of pasture yield that is removed FFODp";"Annual grass",4.41,0.4,0.015,0.012,0.8;"Grass clover mixture",8.34,0.8,0.025,0.016,0.8;"Lucerne",8.62,0.4,0.027,0.019,0.8;"Other legume",5.62,0.4,0.027,0.022,0.8;"Perennial pasture",8.35,0.8,0.015,0.012,0.8}, _xlpm.r, _xlpm.c))))</definedName>
    <definedName name="Agresidue_SourceData.PastureAttributes_Description">_xlfn.LAMBDA(("Pasture attributes"))</definedName>
    <definedName name="Agresidue_SourceData.PastureAttributes_Source">_xlfn.LAMBDA(("VEERG 2026: Table A.2.1.3: Pasture attributes"))</definedName>
    <definedName name="Agresidue_SourceData.PastureAttributes_Title">_xlfn.LAMBDA(("Table A.2.1.3 Pasture attributes"))</definedName>
    <definedName name="AgResidues_Equations_Leaching.VEERG_6_3_1_1__1__LeachingAndRunoffEmissionsCropAndPastureResidue">_xlfn.LAMBDA(_xlpm.Mleachcp,_xlpm.EFleach,_xlpm.CgN2O, _xlpm.Mleachcp * _xlpm.EFleach * _xlpm.CgN2O * 10 ^ (-3))</definedName>
    <definedName name="AgResidues_Equations_Leaching.VEERG_6_3_1_1__1__LeachingAndRunoffEmissionsCropAndPastureResidue_Arguments">_xlfn.LAMBDA(_xlfn.MAKEARRAY(5, 2, _xlfn.LAMBDA(_xlpm.r,_xlpm.c, INDEX({"Mleachcp","mass of nitrogen lost through leaching and runoff from the crop residue c or pasture residue p (kg N)";"EFleach","emission factor for leaching and runoff (kg N2O-N/kg N)";"CgN2O","factor to convert elemental mass of nitrous oxide to molecular mass (dimensionless)";"c","Crop residue type";"p","Pasture residue type"}, _xlpm.r, _xlpm.c))))</definedName>
    <definedName name="AgResidues_Equations_Leaching.VEERG_6_3_1_1__1__LeachingAndRunoffEmissionsCropAndPastureResidue_Source">_xlfn.LAMBDA("VEERG 2026: 6.3.1.1, Equation (1)")</definedName>
    <definedName name="AgResidues_Equations_Leaching.VEERG_6_3_1_1__1__LeachingAndRunoffEmissionsCropAndPastureResidue_Title">_xlfn.LAMBDA("Nitrous oxide leaching and runoff emissions from crop and pasture residues returned to the soil")</definedName>
    <definedName name="AgResidues_Equations_Leaching.VEERG_6_3_1_1__1__LeachingAndRunoffEmissionsCropAndPastureResidue_Unit">_xlfn.LAMBDA("t N2O")</definedName>
    <definedName name="AgResidues_Equations_Leaching.VEERG_6_3_1_1__1__LeachingAndRunoffEmissionsCropAndPastureResidue_Variable">_xlfn.LAMBDA("EN2O")</definedName>
    <definedName name="AgResidues_Equations_Leaching.VEERG_6_3_1_1__2__MassOfNitrogenLostThroughLeachingAndRunoff">_xlfn.LAMBDA(_xlpm.Mcp,_xlpm.FracWETzir,_xlpm.FracLEACH, _xlpm.Mcp * _xlpm.FracWETzir * _xlpm.FracLEACH)</definedName>
    <definedName name="AgResidues_Equations_Leaching.VEERG_6_3_1_1__2__MassOfNitrogenLostThroughLeachingAndRunoff_Arguments">_xlfn.LAMBDA(_xlfn.MAKEARRAY(7, 2, _xlfn.LAMBDA(_xlpm.r,_xlpm.c, INDEX({"Mcp","mass of nitrogen in crop residues c or pasture residues p applied to soils (kg N)";"FracWETzir","fraction of N that is available for leaching and runoff from the leaching zone z and irrigation type ir (dimensionless)";"FracLEACH","fraction of N that is lost through leaching and runoff (dimensionless)";"z","Location in leaching zone (dimensionless)";"c","Crop residue type";"p","Pasture residue type";"ir","Irrigation type"}, _xlpm.r, _xlpm.c))))</definedName>
    <definedName name="AgResidues_Equations_Leaching.VEERG_6_3_1_1__2__MassOfNitrogenLostThroughLeachingAndRunoff_Source">_xlfn.LAMBDA("VEERG 2026: 6.3.1.1, Equation (2)")</definedName>
    <definedName name="AgResidues_Equations_Leaching.VEERG_6_3_1_1__2__MassOfNitrogenLostThroughLeachingAndRunoff_Title">_xlfn.LAMBDA("Mass of nitrogen lost through leaching and runoff")</definedName>
    <definedName name="AgResidues_Equations_Leaching.VEERG_6_3_1_1__2__MassOfNitrogenLostThroughLeachingAndRunoff_Unit">_xlfn.LAMBDA("kg N")</definedName>
    <definedName name="AgResidues_Equations_Leaching.VEERG_6_3_1_1__2__MassOfNitrogenLostThroughLeachingAndRunoff_Variable">_xlfn.LAMBDA("Mleachcp")</definedName>
    <definedName name="AgResidues_Equations_Leaching.VEERG_6_3_1_1__2__MassOfNitrogenLostThroughLeachingAndRunoff_Variation">_xlfn.LAMBDA("VARIATION FROM SOURCE: Added criteria for leaching zone z and irrigation type ir. Removed production system criteria j.")</definedName>
    <definedName name="AgResidues_SourceData.BurningOfAgriculturalResiduesEFs_Data">_xlfn.LAMBDA(_xlfn.MAKEARRAY(6, 3, _xlfn.LAMBDA(_xlpm.r,_xlpm.c, INDEX({"Gas species","Emission factor EFg (Gg element in species/ Gg element in fuel burnt)","Elemental to molecular mass conversion factor (Cg)";"CH4",0.0035,"16/12";"N2O",0.0076,"44/28";"NOx",0.21,"46/14";"CO",0.078,"28/12";"NMVOC",0.0091,"14/12"}, _xlpm.r, _xlpm.c))))</definedName>
    <definedName name="AgResidues_SourceData.BurningOfAgriculturalResiduesEFs_Source">_xlfn.LAMBDA(("National Inventory Report 2023 volume 2: Table 5.31: Burning of agricultural residues - EFs"))</definedName>
    <definedName name="AgResidues_SourceData.BurningOfAgriculturalResiduesEFs_Title">_xlfn.LAMBDA(("Table 5.31 Burning of agricultural residues - EFs"))</definedName>
    <definedName name="Common_Equations.Common_ConvertCH4ToCO2e">_xlfn.LAMBDA(_xlpm.E_CH4,_xlpm.GWP_CH4, _xlpm.E_CH4 * _xlpm.GWP_CH4)</definedName>
    <definedName name="Common_Equations.Common_ConvertCH4ToCO2e_Arguments">_xlfn.LAMBDA(_xlfn.MAKEARRAY(2, 2, _xlfn.LAMBDA(_xlpm.r,_xlpm.c, INDEX({"ECH4","Methane emissions (t CH4)";"GWPCH4","Global warming potential for methane (t CO2-e / t CH4)"}, _xlpm.r, _xlpm.c))))</definedName>
    <definedName name="Common_Equations.Common_ConvertCH4ToCO2e_LatexEquation">_xlfn.LAMBDA("CO2_e = E_{CH4} \times GWP_{CH4}")</definedName>
    <definedName name="Common_Equations.Common_ConvertCH4ToCO2e_NIRReference">_xlfn.LAMBDA("")</definedName>
    <definedName name="Common_Equations.Common_ConvertCH4ToCO2e_Title">_xlfn.LAMBDA("Convert methane emissions to carbon dioxide equivalent emissions")</definedName>
    <definedName name="Common_Equations.Common_ConvertCH4ToCO2e_Unit">_xlfn.LAMBDA("t CO2e")</definedName>
    <definedName name="Common_Equations.Common_ConvertCH4ToCO2e_Variable">_xlfn.LAMBDA("ECH4 CO2e")</definedName>
    <definedName name="Common_Equations.Common_ConvertN2OToCO2e">_xlfn.LAMBDA(_xlpm.E_N2O,_xlpm.GWP_N2O, _xlpm.E_N2O * _xlpm.GWP_N2O)</definedName>
    <definedName name="Common_Equations.Common_ConvertN2OToCO2e_Arguments">_xlfn.LAMBDA(_xlfn.MAKEARRAY(2, 2, _xlfn.LAMBDA(_xlpm.r,_xlpm.c, INDEX({"EN2O","Nitrous oxide emissions (t N2O)";"GWPN2O","Global warming potential for nitrous oxide (t CO2-e / t N2O)"}, _xlpm.r, _xlpm.c))))</definedName>
    <definedName name="Common_Equations.Common_ConvertN2OToCO2e_LatexEquation">_xlfn.LAMBDA("CO2_e = E_{N2O} \times GWP_{N2O}")</definedName>
    <definedName name="Common_Equations.Common_ConvertN2OToCO2e_NIRReference">_xlfn.LAMBDA("")</definedName>
    <definedName name="Common_Equations.Common_ConvertN2OToCO2e_Title">_xlfn.LAMBDA("Convert nitrous oxide emissions to carbon dioxide equivalent emissions")</definedName>
    <definedName name="Common_Equations.Common_ConvertN2OToCO2e_Unit">_xlfn.LAMBDA("t CO2e")</definedName>
    <definedName name="Common_Equations.Common_ConvertN2OToCO2e_Variable">_xlfn.LAMBDA("EN2O CO2e")</definedName>
    <definedName name="Common_InputFunctions.Common_GetMCFTemperatureZone">_xlfn.LAMBDA(_xlpm.Temperature,_xlpm.MMS,_xlpm.TemperatureArray,_xlpm.MMSArray,_xlpm.ReturnArray, _xlfn.XLOOKUP(MEDIAN(_xlpm.Temperature, MIN(_xlpm.TemperatureArray), MAX(_xlpm.TemperatureArray)), _xlpm.TemperatureArray, _xlfn.XLOOKUP(_xlpm.MMS, _xlpm.MMSArray, _xlpm.ReturnArray)))</definedName>
    <definedName name="Common_InputFunctions.CommonCropping_GetFracWET">_xlfn.LAMBDA(_xlpm.LeachingZone,_xlpm.ProductionSystem,_xlpm.LeachingZoneLookup,_xlpm.LeachingZoneFracWETLookup,_xlpm.ProductionSystemLookup,_xlpm.ProductionSystemFracWETLookup, _xlfn.LET(_xlpm.LeachingZoneFracWET, Common_InputFunctions.Utility_LookupValueInTableNumber(_xlpm.LeachingZone, _xlpm.LeachingZoneLookup, _xlpm.LeachingZoneFracWETLookup), _xlpm.ProductionSystemFracWET, Common_InputFunctions.Utility_LookupValueInTableNumber(_xlpm.ProductionSystem, _xlpm.ProductionSystemLookup, _xlpm.ProductionSystemFracWETLookup), IF(_xlpm.LeachingZoneFracWET + _xlpm.ProductionSystemFracWET &gt; 0, 1, 0)))</definedName>
    <definedName name="Common_InputFunctions.getOverlappingReportingCycles">_xlfn.LAMBDA(_xlpm.ProductionCycleStart,_xlpm.ProductionCycleEnd,_xlpm.ReportingCycleStart, _xlfn.LET(_xlpm.S, _xlpm.ProductionCycleStart, _xlpm.E, _xlpm.ProductionCycleEnd, _xlpm.m, MONTH(_xlpm.ReportingCycleStart), _xlpm.d, DAY(_xlpm.ReportingCycleStart), _xlpm.PeriodEnd, _xlfn.LAMBDA(_xlpm.st, EDATE(_xlpm.st, 12) - 1), _xlpm.A, _xlpm.S - 365, _xlpm.ya, YEAR(_xlpm.A), _xlpm.yb, YEAR(_xlpm.E), _xlpm.firstYear, _xlpm.ya + (_xlpm.PeriodEnd(DATE(_xlpm.ya, _xlpm.m, _xlpm.d)) &lt; _xlpm.S), _xlpm.lastYear, _xlpm.yb - (DATE(_xlpm.yb, _xlpm.m, _xlpm.d) &gt; _xlpm.E), MAX(0, _xlpm.lastYear - _xlpm.firstYear + 1)))</definedName>
    <definedName name="Common_InputFunctions.getOverlappingReportingPeriods">_xlfn.LAMBDA(_xlpm.ProductionCycleStart,_xlpm.ProductionCycleEnd,_xlpm.ReportingCycleStart, _xlfn.LET(_xlpm.S, _xlpm.ProductionCycleStart, _xlpm.E, _xlpm.ProductionCycleEnd, _xlpm.m, MONTH(_xlpm.ReportingCycleStart), _xlpm.d, DAY(_xlpm.ReportingCycleStart), _xlpm.PeriodEnd, _xlfn.LAMBDA(_xlpm.st, EDATE(_xlpm.st, 12) - 1), _xlpm.A, _xlpm.S - 365, _xlpm.ya, YEAR(_xlpm.A), _xlpm.yb, YEAR(_xlpm.E), _xlpm.firstYear, _xlpm.ya + (_xlpm.PeriodEnd(DATE(_xlpm.ya, _xlpm.m, _xlpm.d)) &lt; _xlpm.S), _xlpm.lastYear, _xlpm.yb - (DATE(_xlpm.yb, _xlpm.m, _xlpm.d) &gt; _xlpm.E), _xlpm.n, MAX(0, _xlpm.lastYear - _xlpm.firstYear + 1), _xlpm.yrs, _xlfn.SEQUENCE(_xlpm.n, 1, _xlpm.firstYear, 1), _xlpm.starts, DATE(_xlpm.yrs, _xlpm.m, _xlpm.d), _xlpm.ends, _xlfn.MAP(_xlpm.starts, _xlpm.PeriodEnd), _xlpm.tag, IF(_xlpm.starts = _xlpm.ReportingCycleStart, " (This reporting cycle)", ""), _xlpm.startsText, TEXT(_xlpm.starts, "dd mmm yyyy"), _xlpm.endsText, TEXT(_xlpm.ends, "dd mmm yyyy"), IF(_xlpm.n = 0, "", _xlfn.HSTACK(_xlpm.startsText &amp; " to " &amp; _xlpm.endsText &amp; _xlpm.tag))))</definedName>
    <definedName name="Common_InputFunctions.Utility_ConvertStateCommonNameToAbbreviation">_xlfn.LAMBDA(_xlpm.StateCommonName,_xlpm.StateCommonNameArray,_xlpm.StateAbbreviationArray, _xlfn.XLOOKUP(_xlpm.StateCommonName, _xlpm.StateCommonNameArray, _xlpm.StateAbbreviationArray, ""))</definedName>
    <definedName name="Common_InputFunctions.Utility_DisplayArguments_1_2">_xlfn.LAMBDA(_xlpm.ArgumentsArray, _xlfn.CHOOSECOLS(_xlpm.ArgumentsArray, 1, 2))</definedName>
    <definedName name="Common_InputFunctions.Utility_DisplayArguments_3_4">_xlfn.LAMBDA(_xlpm.ArgumentsArray, _xlfn.CHOOSECOLS(_xlpm.ArgumentsArray, 3, 4))</definedName>
    <definedName name="Common_InputFunctions.Utility_DisplayArrayInTable">_xlfn.LAMBDA(_xlpm.ArrayData,_xlpm.TableheaderCell,_xlpm.RowsBetweenHeaderandArray,_xlop.ColumnsBetweenHeaderAndArray, IFERROR(INDEX(_xlfn.UNIQUE(_xlpm.ArrayData), ROW() - Common_InputFunctions.Utility_GetArrayTableRowStartNumber(_xlpm.TableheaderCell, _xlpm.RowsBetweenHeaderandArray), COLUMN() - Common_InputFunctions.Utility_GetArrayTableColumnStartNumber(_xlpm.TableheaderCell) + IF(_xlfn.ISOMITTED(_xlpm.ColumnsBetweenHeaderAndArray), 1, _xlpm.ColumnsBetweenHeaderAndArray)), ""))</definedName>
    <definedName name="Common_InputFunctions.Utility_DisplayFunctionName">_xlfn.LAMBDA(_xlpm.Function, _xlfn.TEXTBEFORE(_xlfn.FORMULATEXT(_xlpm.Function), "("))</definedName>
    <definedName name="Common_InputFunctions.Utility_GetArrayTableColumnStartNumber">_xlfn.LAMBDA(_xlpm.TableHeaderCell, COLUMN(_xlpm.TableHeaderCell))</definedName>
    <definedName name="Common_InputFunctions.Utility_GetArrayTableRowStartNumber">_xlfn.LAMBDA(_xlpm.TableheaderCell,_xlpm.RowsBetweenHeaderandArray, ROW(_xlpm.TableheaderCell) + _xlpm.RowsBetweenHeaderandArray - 1)</definedName>
    <definedName name="Common_InputFunctions.Utility_GetClimateZone">_xlfn.LAMBDA(_xlpm.avgTemp,_xlpm.avgRain,_xlpm.frostDays,_xlpm.elev,_xlpm.map_pet,_xlpm.minTempArray,_xlpm.maxTempArray,_xlpm.minRainfallArray,_xlpm.maxRainfallArray,_xlpm.minFrostArray,_xlpm.maxFrostArray,_xlpm.minElevationArray,_xlpm.maxElevationArray,_xlpm.minPETArray,_xlpm.maxPETArray,_xlpm.climateZoneArray, _xlfn.LET(_xlpm.mask, (VALUE(_xlpm.minTempArray) &lt;= _xlpm.avgTemp) * (VALUE(_xlpm.maxTempArray) &gt;= _xlpm.avgTemp) * (VALUE(_xlpm.minRainfallArray) &lt;= _xlpm.avgRain) * (VALUE(_xlpm.maxRainfallArray) &gt;= _xlpm.avgRain) * (VALUE(_xlpm.minFrostArray) &lt;= _xlpm.frostDays) * (VALUE(_xlpm.maxFrostArray) &gt;= _xlpm.frostDays) * (VALUE(_xlpm.minElevationArray) &lt;= _xlpm.elev) * (VALUE(_xlpm.maxElevationArray) &gt;= _xlpm.elev) * (VALUE(_xlpm.minPETArray) &lt;= _xlpm.map_pet) * (VALUE(_xlpm.maxPETArray) &gt;= _xlpm.map_pet), _xlfn.TAKE(_xlfn._xlws.FILTER(_xlpm.climateZoneArray, _xlpm.mask, "No match"), 1)))</definedName>
    <definedName name="Common_InputFunctions.Utility_LookupItemFromMinMax">_xlfn.LAMBDA(_xlpm.LookupValue,_xlpm.MinArray,_xlpm.MaxArray,_xlpm.ItemArray, _xlfn.LET(_xlpm.mask, (VALUE(_xlpm.MinArray) &lt;= _xlpm.LookupValue) * (VALUE(_xlpm.MaxArray) &gt;= _xlpm.LookupValue), _xlfn._xlws.FILTER(_xlpm.ItemArray, _xlpm.mask, "No match")))</definedName>
    <definedName name="Common_InputFunctions.Utility_LookupN2OEFFromProdIrrigationRainfall">_xlfn.LAMBDA(_xlpm.ProductionSystem,_xlpm.IrrigationMethod,_xlpm.RainfallZone,_xlpm.ProductionSystemArray,_xlpm.IrrigationMethodArray,_xlpm.RainfallZoneArray,_xlpm.ReturnArray, _xlfn.LET(_xlpm.IrrigationMethod, IF(_xlpm.IrrigationMethod = "Not irrigated", "Not irrigated", "Any"), _xlpm.RainfallZone, IF(_xlpm.IrrigationMethod = "Not irrigated", _xlpm.RainfallZone, "Any"), _xlfn.XLOOKUP(1, (_xlpm.ProductionSystemArray = _xlpm.ProductionSystem) * (_xlpm.IrrigationMethodArray = _xlpm.IrrigationMethod) * (_xlpm.RainfallZoneArray = _xlpm.RainfallZone), _xlpm.ReturnArray)))</definedName>
    <definedName name="Common_InputFunctions.Utility_LookupValueInTable">_xlfn.LAMBDA(_xlpm.LookupValue,_xlpm.LookupArray,_xlpm.ReturnArray, _xlfn.XLOOKUP(_xlpm.LookupValue, _xlpm.LookupArray, _xlpm.ReturnArray, ""))</definedName>
    <definedName name="Common_InputFunctions.Utility_LookupValueInTableNumber">_xlfn.LAMBDA(_xlpm.LookupValue,_xlpm.LookupArray,_xlpm.ReturnArray, IF(ISNUMBER(_xlfn.XLOOKUP(_xlpm.LookupValue, _xlpm.LookupArray, _xlpm.ReturnArray, "")), _xlfn.XLOOKUP(_xlpm.LookupValue, _xlpm.LookupArray, _xlpm.ReturnArray, ""), 0))</definedName>
    <definedName name="Common_InputFunctions.Utility_LookupValueInTableOneColumnAndHeader">_xlfn.LAMBDA(_xlpm.LookupValue1,_xlpm.LookupValue2,_xlpm.LookupArray1,_xlpm.LookupArray2,_xlpm.ReturnArray, _xlfn.XLOOKUP(_xlpm.LookupValue1, _xlpm.LookupArray1, _xlfn.XLOOKUP(_xlpm.LookupValue2, _xlpm.LookupArray2, _xlpm.ReturnArray)))</definedName>
    <definedName name="Common_InputFunctions.Utility_LookupValueInTableTwoColumns">_xlfn.LAMBDA(_xlpm.LookupValue1,_xlpm.LookupValue2,_xlpm.LookupArray1,_xlpm.LookupArray2,_xlpm.ReturnArray, _xlfn.XLOOKUP(1, (_xlpm.LookupArray1 = _xlpm.LookupValue1) * (_xlpm.LookupArray2 = _xlpm.LookupValue2), _xlpm.ReturnArray, ""))</definedName>
    <definedName name="Common_InputFunctions.Utility_ResultsItemFromEquationTitleAndSource">_xlfn.LAMBDA(_xlpm.TitleCell,_xlpm.SourceCell, SUBSTITUTE(LEFT(_xlpm.SourceCell, FIND(",", _xlpm.SourceCell) - 1), "VEERG 2026: ", "") &amp; " " &amp; _xlpm.TitleCell)</definedName>
    <definedName name="Common_InputFunctions.Utility_SourceHyperlink">_xlfn.LAMBDA(_xlpm.TargetCell, _xlfn.LET(_xlpm.sh, _xlfn.TEXTAFTER(CELL("filename", _xlpm.TargetCell), "]"), _xlpm.addr, CELL("address", _xlpm.TargetCell), "#'" &amp; _xlpm.sh &amp; "'!" &amp; _xlpm.addr))</definedName>
    <definedName name="Common_InputFunctions.Utility_SourceHyperlinkDifferentSheet">_xlfn.LAMBDA(_xlpm.TargetCell, _xlfn.LET(_xlpm.sh, _xlfn.TEXTAFTER(CELL("filename", _xlpm.TargetCell), "]"), _xlpm.addr, CELL("address", _xlpm.TargetCell), "#" &amp; _xlpm.addr))</definedName>
    <definedName name="Common_InputFunctions.Utility_SplitStringIntoArray">_xlfn.LAMBDA(_xlpm.Cell,_xlpm.Delimiter,_xlop.CharacterToRemove1,_xlop.CharacterToRemove2, _xlfn.FILTERXML("&lt;t&gt;&lt;s&gt;" &amp; SUBSTITUTE(SUBSTITUTE(SUBSTITUTE(_xlpm.Cell, _xlpm.CharacterToRemove1, ""), _xlpm.CharacterToRemove2, ""), _xlpm.Delimiter, "&lt;/s&gt;&lt;s&gt;") &amp; "&lt;/s&gt;&lt;/t&gt;", "//s"))</definedName>
    <definedName name="Common_InputFunctions.Utility_SumQuantityFromCriteria">_xlfn.LAMBDA(_xlpm.Criteria1,_xlpm.Criteria1TypeArray,_xlpm.Quantity,_xlop.Multiplier,_xlop.Criteria2,_xlop.Criteria2Array, _xlfn.LET(_xlpm.multiplier, IF(_xlfn.ISOMITTED(_xlpm.Multiplier), 1, _xlpm.Multiplier), _xlpm.quantity, _xlpm.Quantity * _xlpm.multiplier, _xlpm.criteria1, --(_xlpm.Criteria1TypeArray = _xlpm.Criteria1), _xlpm.criteria2, IF(_xlfn.ISOMITTED(_xlpm.Criteria2), 1, --(_xlpm.Criteria2Array = _xlpm.Criteria2)), SUMPRODUCT(_xlpm.criteria1 * _xlpm.criteria2 * _xlpm.quantity)))</definedName>
    <definedName name="Common_SourceData.Common_SourceData_AustralianStatesTerritories_Data">_xlfn.LAMBDA(_xlfn.MAKEARRAY(9, 3, _xlfn.LAMBDA(_xlpm.r,_xlpm.c, INDEX({"State/Territory","Common Name","Abbreviation";"New South Wales","New South Wales","NSW";"Australian Capital Territory","ACT","ACT";"Victoria","Victoria","VIC";"Queensland","Queensland","QLD";"South Australia","South Australia","SA";"Western Australia","Western Australia","WA";"Tasmania","Tasmania","TAS";"Northern Territory","Northern Territory","NT"}, _xlpm.r, _xlpm.c))))</definedName>
    <definedName name="Common_SourceData.Common_SourceData_AustralianStatesTerritories_Source">_xlfn.LAMBDA("")</definedName>
    <definedName name="Common_SourceData.Common_SourceData_AustralianStatesTerritories_Title">_xlfn.LAMBDA("Australian states and territories")</definedName>
    <definedName name="Common_SourceData.Common_SourceData_AustralianStatesTerritories_Unit">_xlfn.LAMBDA("")</definedName>
    <definedName name="Common_SourceData.Common_SourceData_AustralianStatesTerritories_Variable">_xlfn.LAMBDA("")</definedName>
    <definedName name="Common_SourceData.Common_SourceData_ClimateZones_Appendices">_xlfn.LAMBDA(_xlfn.MAKEARRAY(4, 1, _xlfn.LAMBDA(_xlpm.r,_xlpm.c, INDEX({"Note:";"MAT = mean annual temperature";"MAP = mean annual precipitation";"PET = potential evapotranspiration"}, _xlpm.r, _xlpm.c))))</definedName>
    <definedName name="Common_SourceData.Common_SourceData_ClimateZones_Data">_xlfn.LAMBDA(_xlfn.MAKEARRAY(9, 16, _xlfn.LAMBDA(_xlpm.r,_xlpm.c, INDEX({"Climate Zone","MAT","MAP","Frost days per year","Elevation","MAP:PET","Min temp","Max temp","Min rainfall","Max rainfall","Min frost days","Max frost days","Min elevation","Max elevation","Min MAP:PET","Min MAP:PET";"Tropical montane","&gt; 18 C","Any","≤ 7","&gt; 1000 m","Any",18.001,999999,-999999,999999,-999999,7,1000,999999,-999999,999999;"Tropical wet","&gt; 18 C","&gt; 2000 mm","≤ 7","≤ 1000 m","Any",18.001,999999,2000.001,999999,-999999,7,-999999,999.999,-999999,999999;"Tropical moist","&gt; 18 C","&gt; 1000 mm - ≤ 2000 mm","≤ 7","≤ 1000 m","Any",18.001,999999,1000.001,2000,-999999,7,-999999,999.999,-999999,999999;"Tropical dry","&gt; 18 C","≤ 1000 mm","≤ 7","≤ 1000 m","Any",18.001,999999,-999999,1000,-999999,7,-999999,999.999,-999999,999999;"Warm temperate moist","&gt; 10 C","Any","Any","Any","&gt; 1",10.001,999999,-999999,999999,-999999,999999,-999999,999999,1.001,999999;"Warm temperate dry","&gt; 10 C","Any","Any","Any","≤ 1",10.001,999999,-999999,999999,-999999,999999,-999999,999999,-999999,1;"Cool temperate moist","&gt; 0 C - ≤ 10 C","Any","Any","Any","&gt; 1",-999999,10,-999999,999999,-999999,999999,-999999,999999,1.001,999999;"Cool temperate dry","&gt; 0 C - ≤ 10 C","Any","Any","Any","≤ 1",-999999,10,-999999,999999,-999999,999999,-999999,999999,-999999,1}, _xlpm.r, _xlpm.c))))</definedName>
    <definedName name="Common_SourceData.Common_SourceData_ClimateZones_Source">_xlfn.LAMBDA("VEERG 2026: Table 1.3: Climate and Rainfall zone classifications and definitions")</definedName>
    <definedName name="Common_SourceData.Common_SourceData_ClimateZones_Title">_xlfn.LAMBDA("VEERG Australian climate zones")</definedName>
    <definedName name="Common_SourceData.Common_SourceData_ClimateZones_Unit">_xlfn.LAMBDA("")</definedName>
    <definedName name="Common_SourceData.Common_SourceData_ClimateZones_Variable">_xlfn.LAMBDA("")</definedName>
    <definedName name="Common_SourceData.Common_SourceData_ClimateZones_Variation">_xlfn.LAMBDA(_xlfn.MAKEARRAY(5, 1, _xlfn.LAMBDA(_xlpm.r,_xlpm.c, INDEX({"VARIATION OF SOURCE DATA:";"Added warm / cool temperate moist / dry - low frost and high temp classes to accommodate climate scenarios excluded by VEERG criteria.";"Fixed typo in MAT value for warm temperate dry - changed 10 to 11.";"Added min and max columns for MAT, MAP, frost days per year, elevation, MAP:PET to calculate zones from real climate data.";"GAF accepts rainfall as a proxy for precipitation."}, _xlpm.r, _xlpm.c))))</definedName>
    <definedName name="Common_SourceData.Common_SourceData_ConvertGasElementalToMolecular_Data">_xlfn.LAMBDA(_xlfn.MAKEARRAY(8, 4, _xlfn.LAMBDA(_xlpm.r,_xlpm.c, INDEX({"Gas","Conversion factor","Conversion factor 1","Conversion factor 2";"CO2","44/12",44,12;"CH4","16/12",16,12;"N2O","44/28",44,28;"Nox","46/14",46,14;"CO","28/12",28,12;"CO2 Lime","44/12",44,12;"NMVOC","14/12",14,12}, _xlpm.r, _xlpm.c))))</definedName>
    <definedName name="Common_SourceData.Common_SourceData_ConvertGasElementalToMolecular_Source">_xlfn.LAMBDA("XXXXXXX")</definedName>
    <definedName name="Common_SourceData.Common_SourceData_ConvertGasElementalToMolecular_Title">_xlfn.LAMBDA("Factor to convert elemental mass of gas to molecular mass")</definedName>
    <definedName name="Common_SourceData.Common_SourceData_ConvertGasElementalToMolecular_Unit">_xlfn.LAMBDA("factor")</definedName>
    <definedName name="Common_SourceData.Common_SourceData_ConvertGasElementalToMolecular_Variable">_xlfn.LAMBDA("Cg")</definedName>
    <definedName name="Common_SourceData.Common_SourceData_ConvertN2oElementalToMolecularCg_Data">_xlfn.LAMBDA(44 / 28)</definedName>
    <definedName name="Common_SourceData.Common_SourceData_ConvertN2oElementalToMolecularCg_Source">_xlfn.LAMBDA("National Inventory Report 2023 Volume 1")</definedName>
    <definedName name="Common_SourceData.Common_SourceData_ConvertN2oElementalToMolecularCg_Title">_xlfn.LAMBDA("Factor to convert elemental mass of N2O to molecular mass")</definedName>
    <definedName name="Common_SourceData.Common_SourceData_ConvertN2oElementalToMolecularCg_Unit">_xlfn.LAMBDA("factor")</definedName>
    <definedName name="Common_SourceData.Common_SourceData_ConvertN2oElementalToMolecularCg_Variable">_xlfn.LAMBDA("CgN2O")</definedName>
    <definedName name="Common_SourceData.Common_SourceData_DataScores_Scope3_Data">_xlfn.LAMBDA(_xlfn.MAKEARRAY(6, 2, _xlfn.LAMBDA(_xlpm.r,_xlpm.c, INDEX({"Data source","Data score";"International scope 3 database",1;"Australian scope 3 database",2;"State or regional scope 3 database",3;"Emissions intensity calculated from approved method",4;"Verified credential matching ISO14067",5}, _xlpm.r, _xlpm.c))))</definedName>
    <definedName name="Common_SourceData.Common_SourceData_DataScores_Scope3_Source">_xlfn.LAMBDA("VEERG 2026: XXXXXXXX")</definedName>
    <definedName name="Common_SourceData.Common_SourceData_DataScores_Scope3_Title">_xlfn.LAMBDA("Australian data scores for scope 3")</definedName>
    <definedName name="Common_SourceData.Common_SourceData_DataScores_Scope3_Unit">_xlfn.LAMBDA("")</definedName>
    <definedName name="Common_SourceData.Common_SourceData_DataScores_Scope3_Variable">_xlfn.LAMBDA("")</definedName>
    <definedName name="Common_SourceData.Common_SourceData_DataScores_Scope3_Variation">_xlfn.LAMBDA("")</definedName>
    <definedName name="Common_SourceData.Common_SourceData_DensityOfMethane_Data">_xlfn.LAMBDA(0.6784)</definedName>
    <definedName name="Common_SourceData.Common_SourceData_DensityOfMethane_Source">_xlfn.LAMBDA("National Inventory Report 2023 Volume 1: Equations 3.B.1a_2, 3.B.1c_2, 3.B.3_1, 3.B.4g_2")</definedName>
    <definedName name="Common_SourceData.Common_SourceData_DensityOfMethane_Title">_xlfn.LAMBDA("p = density of methane")</definedName>
    <definedName name="Common_SourceData.Common_SourceData_DensityOfMethane_Unit">_xlfn.LAMBDA("kg/m3")</definedName>
    <definedName name="Common_SourceData.Common_SourceData_EFleach_Data">_xlfn.LAMBDA(_xlfn.MAKEARRAY(1, 2, _xlfn.LAMBDA(_xlpm.r,_xlpm.c, INDEX({"EFleach",0.011}, _xlpm.r, _xlpm.c))))</definedName>
    <definedName name="Common_SourceData.Common_SourceData_EFleach_NIRReference">_xlfn.LAMBDA("National Inventory Report Volume 1: Equation 3.D.B_10")</definedName>
    <definedName name="Common_SourceData.Common_SourceData_EFleach_Source">_xlfn.LAMBDA("VEERG 2026:5.5.2.3 Constant Parameters")</definedName>
    <definedName name="Common_SourceData.Common_SourceData_EFleach_Title">_xlfn.LAMBDA("Emission factor for nitrogen leaching and runoff")</definedName>
    <definedName name="Common_SourceData.Common_SourceData_EFleach_Unit">_xlfn.LAMBDA("(kg N2O-N / kg N")</definedName>
    <definedName name="Common_SourceData.Common_SourceData_EFleach_Variation">_xlfn.LAMBDA((""))</definedName>
    <definedName name="Common_SourceData.Common_SourceData_EFN2O_Data">_xlfn.LAMBDA(_xlfn.MAKEARRAY(15, 5, _xlfn.LAMBDA(_xlpm.r,_xlpm.c, INDEX({"Production system j","EFN2O","Production system only","Irrigation method","Rainfall zone";"Irrigated pasture",0.0059,"Pasture","Any","Any";"Irrigated crop",0.007,"Crop","Any","Any";"Non-irrigated pasture",0.0018,"Pasture","Not irrigated","Low rainfall";"Non-irrigated pasture",0.0018,"Pasture","Not irrigated","High rainfall";"Non-irrigated crop (low rainfall)",0.0029,"Crop","Not irrigated","Low rainfall";"Non-irrigated crop (high rainfall)",0.008,"Crop","Not irrigated","High rainfall";"Sugar",0.0199,"Sugar","Any","Any";"Cotton",0.0053,"Cotton","Any","Any";"Horticultural crops",0.0064,"Horticultural crops","Any","Any";"Rice (continuous flooding)",0.003,"Rice","Continuous flooding","Any";"Rice (single and multiple drainage, or alternate wetting and drying)",0.005,"Rice","Single and multiple drainage, or alternate wetting and drying","Any";"Aquaculture",0.0026,"Aquaculture","Any","Any";"Forestry",0.0018,"Forestry","Any","Any"}, _xlpm.r, _xlpm.c))))</definedName>
    <definedName name="Common_SourceData.Common_SourceData_EFN2O_NIRReference">_xlfn.LAMBDA("")</definedName>
    <definedName name="Common_SourceData.Common_SourceData_EFN2O_Source">_xlfn.LAMBDA("VEERG 2026: Table A.2.2.1")</definedName>
    <definedName name="Common_SourceData.Common_SourceData_EFN2O_Title">_xlfn.LAMBDA("Nitrous oxide emission factors for inorganic fertiliser application")</definedName>
    <definedName name="Common_SourceData.Common_SourceData_EFN2O_Unit">_xlfn.LAMBDA("(kg N2O-N / kg N")</definedName>
    <definedName name="Common_SourceData.Common_SourceData_EFN2O_Variation">_xlfn.LAMBDA(_xlfn.MAKEARRAY(5, 1, _xlfn.LAMBDA(_xlpm.r,_xlpm.c, INDEX({"VARIATION OF SOURCE DATA:";"Removed duplicate 'Aquaculture' row.";"Removed asterisks to aid lookup.";"Added 'production system only', 'rainfall zone' and 'irrigation method' columns to aid lookup.";"Duplicated 'non-irrigated pasture' row with same EF for low and high rainfall zones to aid lookup."}, _xlpm.r, _xlpm.c))))</definedName>
    <definedName name="Common_SourceData.Common_SourceData_EFOrganicFertiliserAndCropResidues_Data">_xlfn.LAMBDA(_xlfn.MAKEARRAY(3, 2, _xlfn.LAMBDA(_xlpm.r,_xlpm.c, INDEX({"Climate zone","EFNi &amp; EFN2O";"Wet climate zone",0.006;"Dry climate zone",0.005}, _xlpm.r, _xlpm.c))))</definedName>
    <definedName name="Common_SourceData.Common_SourceData_EFOrganicFertiliserAndCropResidues_NIRReference">_xlfn.LAMBDA("")</definedName>
    <definedName name="Common_SourceData.Common_SourceData_EFOrganicFertiliserAndCropResidues_Source">_xlfn.LAMBDA("VEERG 2026: Table A.2.1.4")</definedName>
    <definedName name="Common_SourceData.Common_SourceData_EFOrganicFertiliserAndCropResidues_Title">_xlfn.LAMBDA("Emission factor for organic fertiliser and crop residues returned to the soil")</definedName>
    <definedName name="Common_SourceData.Common_SourceData_EFOrganicFertiliserAndCropResidues_Unit">_xlfn.LAMBDA("kg N2O - N / kg N")</definedName>
    <definedName name="Common_SourceData.Common_SourceData_EFOrganicFertiliserAndCropResidues_Variable">_xlfn.LAMBDA("EFNi &amp; EFN2Oi")</definedName>
    <definedName name="Common_SourceData.Common_SourceData_EFOrganicFertiliserAndCropResidues_Variation">_xlfn.LAMBDA("")</definedName>
    <definedName name="Common_SourceData.Common_SourceData_EFPastureRangeAndPaddock_Data">_xlfn.LAMBDA(_xlfn.MAKEARRAY(3, 2, _xlfn.LAMBDA(_xlpm.r,_xlpm.c, INDEX({"Climate zone","EFPRP";"Wet climate zone",0.006;"Dry climate zone",0.002}, _xlpm.r, _xlpm.c))))</definedName>
    <definedName name="Common_SourceData.Common_SourceData_EFPastureRangeAndPaddock_NIRReference">_xlfn.LAMBDA("")</definedName>
    <definedName name="Common_SourceData.Common_SourceData_EFPastureRangeAndPaddock_Source">_xlfn.LAMBDA("VEERG 2026: Table A.2.2.2")</definedName>
    <definedName name="Common_SourceData.Common_SourceData_EFPastureRangeAndPaddock_Title">_xlfn.LAMBDA("Emission factor for urine and dung deposited on pasture, range or paddock")</definedName>
    <definedName name="Common_SourceData.Common_SourceData_EFPastureRangeAndPaddock_Unit">_xlfn.LAMBDA("kg N2O - N / kg N")</definedName>
    <definedName name="Common_SourceData.Common_SourceData_EFPastureRangeAndPaddock_Variation">_xlfn.LAMBDA("VARIATION FROM SOURCE DATA: Changed 'Dry climate zones' to singular 'Dry climate zone' to aid lookup.")</definedName>
    <definedName name="Common_SourceData.Common_SourceData_FracLEACH_Data">_xlfn.LAMBDA(_xlfn.MAKEARRAY(1, 2, _xlfn.LAMBDA(_xlpm.r,_xlpm.c, INDEX({"FracLEACH",0.24}, _xlpm.r, _xlpm.c))))</definedName>
    <definedName name="Common_SourceData.Common_SourceData_FracLEACH_NIRReference">_xlfn.LAMBDA("National Inventory Report Volume 1: Leaching and runoff (3.D.b.2)")</definedName>
    <definedName name="Common_SourceData.Common_SourceData_FracLEACH_Source">_xlfn.LAMBDA("VEERG 2026:5.5.2.3 Constant Parameters")</definedName>
    <definedName name="Common_SourceData.Common_SourceData_FracLEACH_Title">_xlfn.LAMBDA("Fraction of N that is available for leaching and runoff")</definedName>
    <definedName name="Common_SourceData.Common_SourceData_FracLEACH_Unit">_xlfn.LAMBDA("(Dimensionless")</definedName>
    <definedName name="Common_SourceData.Common_SourceData_FracLEACH_Variation">_xlfn.LAMBDA((""))</definedName>
    <definedName name="Common_SourceData.Common_SourceData_FracWET_Data">_xlfn.LAMBDA(_xlfn.MAKEARRAY(3, 2, _xlfn.LAMBDA(_xlpm.r,_xlpm.c, INDEX({"Is in leaching zone","FracWET";"Yes - in leaching zone",1;"No - not in leaching zone",0}, _xlpm.r, _xlpm.c))))</definedName>
    <definedName name="Common_SourceData.Common_SourceData_FracWET_NIRReference">_xlfn.LAMBDA("")</definedName>
    <definedName name="Common_SourceData.Common_SourceData_FracWET_Source">_xlfn.LAMBDA("VEERG 2026:5.5.2.3 Constant Parameters")</definedName>
    <definedName name="Common_SourceData.Common_SourceData_FracWET_Title">_xlfn.LAMBDA("Fraction of N that is available for leaching and runoff")</definedName>
    <definedName name="Common_SourceData.Common_SourceData_FracWET_Unit">_xlfn.LAMBDA("(Dimensionless")</definedName>
    <definedName name="Common_SourceData.Common_SourceData_FracWET_Variation">_xlfn.LAMBDA((""))</definedName>
    <definedName name="Common_SourceData.Common_SourceData_FracWETIrrigation_Data">_xlfn.LAMBDA(_xlfn.MAKEARRAY(6, 2, _xlfn.LAMBDA(_xlpm.r,_xlpm.c, INDEX({"Irrigation type ir","FracWET";"Not irrigated",0;"Drip irrigation",0;"Sprinkler irrigation",1;"Surface irrigation",1;"Other irrigation",1}, _xlpm.r, _xlpm.c))))</definedName>
    <definedName name="Common_SourceData.Common_SourceData_FracWETIrrigation_NIRReference">_xlfn.LAMBDA("IPCC 2019 Refinement Volume 4: Chapter 11: N2O Emissions from Managed Soils, and CO2 Emissions from Lime and Urea Application")</definedName>
    <definedName name="Common_SourceData.Common_SourceData_FracWETIrrigation_Source">_xlfn.LAMBDA("VEERG 2026: Chapter 1, section 1.8.2 Leaching, climate and rainfall zones")</definedName>
    <definedName name="Common_SourceData.Common_SourceData_FracWETIrrigation_Title">_xlfn.LAMBDA("FracWET for irrigation types")</definedName>
    <definedName name="Common_SourceData.Common_SourceData_FracWETIrrigation_Unit">_xlfn.LAMBDA("dimensionless")</definedName>
    <definedName name="Common_SourceData.Common_SourceData_FracWETIrrigation_Variation">_xlfn.LAMBDA("VARIATION FROM SOURCE DATA: Table created based on VEERG text 'Areas are subject to leaching (i.e., in the leaching zone) when... the land is irrigated (except drip irrigation).'")</definedName>
    <definedName name="Common_SourceData.Common_SourceData_GWP_Data">_xlfn.LAMBDA(_xlfn.MAKEARRAY(8, 2, _xlfn.LAMBDA(_xlpm.r,_xlpm.c, INDEX({"Gas","CO2-e factor";"CO2",1;"CH4",28;"N2O",265;"CF4",6630;"C2F6",12200;"SF6",22800;"NF3",17200}, _xlpm.r, _xlpm.c))))</definedName>
    <definedName name="Common_SourceData.Common_SourceData_GWP_Source">_xlfn.LAMBDA("XXXXXXX")</definedName>
    <definedName name="Common_SourceData.Common_SourceData_GWP_Title">_xlfn.LAMBDA("Global warming potential for greenhouse gases")</definedName>
    <definedName name="Common_SourceData.Common_SourceData_GWP_Unit">_xlfn.LAMBDA("factor")</definedName>
    <definedName name="Common_SourceData.Common_SourceData_GWP_Variable">_xlfn.LAMBDA("GWPN2O")</definedName>
    <definedName name="Common_SourceData.Common_SourceData_LeachingZones_Data">_xlfn.LAMBDA(_xlfn.MAKEARRAY(4, 2, _xlfn.LAMBDA(_xlpm.r,_xlpm.c, INDEX({"Leaching Zone","Leaching criteria";"Leaching occurs","Σ(𝑟𝑎𝑖𝑛)&gt;Σ(𝐸𝑇0)+𝑠𝑜𝑖𝑙 𝑤𝑎𝑡𝑒𝑟 ℎ𝑜𝑙𝑑𝑖𝑛𝑔 𝑐𝑎𝑝𝑎𝑐𝑖𝑡𝑦";"Leaching does not occur","Σ(𝑟𝑎𝑖𝑛)≤Σ(𝐸𝑇0)+𝑠𝑜𝑖𝑙 𝑤𝑎𝑡𝑒𝑟 ℎ𝑜𝑙𝑑𝑖𝑛𝑔 𝑐𝑎𝑝𝑎𝑐𝑖𝑡𝑦"}, _xlpm.r, _xlpm.c))))</definedName>
    <definedName name="Common_SourceData.Common_SourceData_LeachingZones_Source">_xlfn.LAMBDA("VEERG 2026: Table 1.3: Climate and Rainfall zone classifications and definitions")</definedName>
    <definedName name="Common_SourceData.Common_SourceData_LeachingZones_Title">_xlfn.LAMBDA("VEERG Australian leaching zones")</definedName>
    <definedName name="Common_SourceData.Common_SourceData_LeachingZones_Unit">_xlfn.LAMBDA("")</definedName>
    <definedName name="Common_SourceData.Common_SourceData_LeachingZones_Variable">_xlfn.LAMBDA("")</definedName>
    <definedName name="Common_SourceData.Common_SourceData_LeachingZones_Variation">_xlfn.LAMBDA("")</definedName>
    <definedName name="Common_SourceData.Common_SourceData_MCFTemperatureZone_Data">_xlfn.LAMBDA(_xlfn.MAKEARRAY(22, 16, _xlfn.LAMBDA(_xlpm.r,_xlpm.c, INDEX({"Temperature zone","MAT (ºC)","Uncovered anerobic lagoon","Covered lagoon","Liquid Slurry (without natural crust)","Daily spread (b)","Composting (passive windrow)","Solid Storage","Pit Storage &lt;1 month","Deep Litter","Poultry Manure (with/without litter)","","Direct processing into pelletized fertiliser","Direct application to soil","Pasture, Range and Paddock (c)(d)","MAT raw";"Cool","≤10",0.66,0.1,0.1,0.001,0.005,0.02,0.03,0.04,0.015,0.015,0,0,0.0047,10;"Cool",11,0.68,0.1,0.11,0.001,0.005,0.02,0.03,0.04,0.015,0.015,0,0,0.0047,11;"Cool",12,0.7,0.1,0.13,0.001,0.005,0.02,0.03,0.04,0.015,0.015,0,0,0.0047,12;"Cool",13,0.71,0.1,0.14,0.001,0.005,0.02,0.03,0.04,0.015,0.015,0,0,0.0047,13;"Cool",14,0.73,0.1,0.15,0.001,0.005,0.02,0.03,0.04,0.015,0.015,0,0,0.0047,14;"Temperate",15,0.74,0.1,0.17,0.005,0.01,0.02,0.03,0.04,0.015,0.015,0,0,0.0047,15;"Temperate",16,0.75,0.1,0.18,0.005,0.01,0.02,0.03,0.04,0.015,0.015,0,0,0.0047,16;"Temperate",17,0.76,0.1,0.2,0.005,0.01,0.02,0.03,0.04,0.015,0.015,0,0,0.0047,17;"Temperate",18,0.77,0.1,0.22,0.005,0.01,0.02,0.03,0.04,0.015,0.015,0,0,0.0047,18;"Temperate",19,0.77,0.1,0.24,0.005,0.01,0.02,0.03,0.04,0.015,0.015,0,0,0.0047,19;"Temperate",20,0.78,0.1,0.26,0.005,0.01,0.02,0.03,0.04,0.015,0.015,0,0,0.0047,20;"Temperate",21,0.78,0.1,0.29,0.005,0.01,0.02,0.03,0.04,0.015,0.015,0,0,0.0047,21;"Temperate",22,0.78,0.1,0.31,0.005,0.01,0.02,0.03,0.04,0.015,0.015,0,0,0.0047,22;"Temperate",23,0.79,0.1,0.34,0.005,0.01,0.02,0.03,0.04,0.015,0.015,0,0,0.0047,23;"Temperate",24,0.79,0.1,0.37,0.005,0.01,0.02,0.03,0.04,0.015,0.015,0,0,0.0047,24;"Temperate",25,0.79,0.1,0.41,0.005,0.01,0.02,0.03,0.04,0.015,0.015,0,0,0.0047,25;"Warm",26,0.79,0.1,0.44,0.01,0.015,0.02,0.03,0.04,0.015,0.015,0,0,0.0047,26;"Warm",27,0.8,0.1,0.48,0.01,0.015,0.02,0.03,0.04,0.015,0.015,0,0,0.0047,27;"Warm","≥28",0.8,0.1,0.5,0.01,0.015,0.02,0.03,0.04,0.015,0.015,0,0,0.0047,28;"","","Anaerobic lagoon","Digester / covered lagoons","Liquid systems","Daily spread","Composting (passive windrow)","Solid storage","Pit storage","Deep litter","Poultry manure with bedding","Poultry manure without bedding","Direct processing","Direct application","Pasture range and paddock","MAT raw"}, _xlpm.r, _xlpm.c))))</definedName>
    <definedName name="Common_SourceData.Common_SourceData_MCFTemperatureZone_Source">_xlfn.LAMBDA("VEERG 2026: Table A.1.8.1")</definedName>
    <definedName name="Common_SourceData.Common_SourceData_MCFTemperatureZone_Title">_xlfn.LAMBDA("Manure Management – Methane conversion factor per temperature zone (fraction) (MCFim)")</definedName>
    <definedName name="Common_SourceData.Common_SourceData_MCFTemperatureZone_Unit">_xlfn.LAMBDA("fraction")</definedName>
    <definedName name="Common_SourceData.Common_SourceData_MCFTemperatureZone_Variation">_xlfn.LAMBDA("VARIATION FROM SOURCE: Added row of NIR MMA definitions to aid lookup. Duplicated 'Poultry with and without litter' column with separate NIR definitions to aid lookup. Added 'MAT raw' column to allow lookup of numbers.")</definedName>
    <definedName name="Common_SourceData.Common_SourceData_MonthsToSeasons_Data">_xlfn.LAMBDA(_xlfn.MAKEARRAY(13, 2, _xlfn.LAMBDA(_xlpm.r,_xlpm.c, INDEX({"Month","Season";"January","Summer";"February","Summer";"March","Autumn";"April","Autumn";"May","Autumn";"June","Winter";"July","Winter";"August","Winter";"September","Spring";"October","Spring";"November","Spring";"December","Summer"}, _xlpm.r, _xlpm.c))))</definedName>
    <definedName name="Common_SourceData.Common_SourceData_MonthsToSeasons_NIRReference">_xlfn.LAMBDA("")</definedName>
    <definedName name="Common_SourceData.Common_SourceData_MonthsToSeasons_Source">_xlfn.LAMBDA("")</definedName>
    <definedName name="Common_SourceData.Common_SourceData_MonthsToSeasons_Title">_xlfn.LAMBDA("Months to Seasons Mapping")</definedName>
    <definedName name="Common_SourceData.Common_SourceData_MonthsToSeasons_Unit">_xlfn.LAMBDA("")</definedName>
    <definedName name="Common_SourceData.Common_SourceData_MonthsToSeasons_Variation">_xlfn.LAMBDA("")</definedName>
    <definedName name="Common_SourceData.Common_SourceData_RainfallZones_Data">_xlfn.LAMBDA(_xlfn.MAKEARRAY(3, 4, _xlfn.LAMBDA(_xlpm.r,_xlpm.c, INDEX({"Rainfall Zone","Annual rainfall","Rainfall min","Rainfall max";"High rainfall","Annual rainfall &gt; 600mm",600.001,999999;"Low rainfall","Annual rainfall ≤ 600mm",-999999,600}, _xlpm.r, _xlpm.c))))</definedName>
    <definedName name="Common_SourceData.Common_SourceData_RainfallZones_Source">_xlfn.LAMBDA("VEERG 2026: Table 1.3: Climate and Rainfall zone classifications and definitions")</definedName>
    <definedName name="Common_SourceData.Common_SourceData_RainfallZones_Title">_xlfn.LAMBDA("VEERG Australian rainfall zones")</definedName>
    <definedName name="Common_SourceData.Common_SourceData_RainfallZones_Unit">_xlfn.LAMBDA("")</definedName>
    <definedName name="Common_SourceData.Common_SourceData_RainfallZones_Variable">_xlfn.LAMBDA("")</definedName>
    <definedName name="Common_SourceData.Common_SourceData_RainfallZones_Variation">_xlfn.LAMBDA("VARIATION OF SOURCE DATA: Added extra Rainfall min and Rainfall max columns to calculate zone from real rainfall data.")</definedName>
    <definedName name="Common_SourceData.Common_SourceData_TemperatureZones_Data">_xlfn.LAMBDA(_xlfn.MAKEARRAY(4, 4, _xlfn.LAMBDA(_xlpm.r,_xlpm.c, INDEX({"Temperature Zone","Median Annual Temperature (MAT)","Min MAT","Max MAT";"Warm","≥ 26 C",26,999999;"Temperate","15 - 25 C",15,25.999;"Cool","≤ 14 C",-999999,14.999}, _xlpm.r, _xlpm.c))))</definedName>
    <definedName name="Common_SourceData.Common_SourceData_TemperatureZones_Source">_xlfn.LAMBDA("VEERG 2026: Table 1.3: Climate and Rainfall zone classifications and definitions")</definedName>
    <definedName name="Common_SourceData.Common_SourceData_TemperatureZones_Title">_xlfn.LAMBDA("VEERG Australian temperature zones")</definedName>
    <definedName name="Common_SourceData.Common_SourceData_TemperatureZones_Unit">_xlfn.LAMBDA("")</definedName>
    <definedName name="Common_SourceData.Common_SourceData_TemperatureZones_Variable">_xlfn.LAMBDA("")</definedName>
    <definedName name="Common_SourceData.Common_SourceData_TemperatureZones_Variation">_xlfn.LAMBDA("VARIATION OF SOURCE DATA: Added extra MAT min and MAT max columns to calculate zone from real temperature data.")</definedName>
    <definedName name="Common_SourceData.Common_SourceData_WASA4Areas_Data">_xlfn.LAMBDA(_xlfn.MAKEARRAY(11, 1, _xlfn.LAMBDA(_xlpm.r,_xlpm.c, INDEX({"SA 4 Name";"Bunbury";"Mandurah";"Perth - Inner";"Perth - North East";"Perth - North West";"Perth - South East";"Perth - South West";"Western Australia - Wheat Belt";"Western Australia - Outback (North)";"Western Australia - Outback (South)"}, _xlpm.r, _xlpm.c))))</definedName>
    <definedName name="Common_SourceData.Common_SourceData_WASA4Areas_Source">_xlfn.LAMBDA("Australian Bureau of Statistics (ABS) - Statistical Areas Level 2 - 2021 - Shapefile")</definedName>
    <definedName name="Common_SourceData.Common_SourceData_WASA4Areas_Title">_xlfn.LAMBDA("ABS Statistcal Areas Level 4 - Western Australia")</definedName>
    <definedName name="Common_SourceData.Common_SourceData_WASA4Areas_Unit">_xlfn.LAMBDA("")</definedName>
    <definedName name="Common_SourceData.Common_SourceData_WASA4Areas_Variable">_xlfn.LAMBDA("")</definedName>
    <definedName name="Common_SourceData.Common_SourceData_WetAndDryZones_Data">_xlfn.LAMBDA(_xlfn.MAKEARRAY(15, 2, _xlfn.LAMBDA(_xlpm.r,_xlpm.c, INDEX({"Climate Zone","Wet or Dry Zone";"Tropical montane","Wet climate zone";"Tropical wet","Wet climate zone";"Tropical moist","Wet climate zone";"Tropical dry","Dry climate zone";"Warm temperate moist","Wet climate zone";"Warm temperate dry","Dry climate zone";"Cool temperate moist","Wet climate zone";"Cool temperate dry","Dry climate zone";"Warm temperate moist - low frost","Wet climate zone";"Warm temperate dry - low frost","Dry climate zone";"Warm temperate moist - high temp","Wet climate zone";"Warm temperate dry - high temp","Dry climate zone";"Cool temperate moist - low frost","Wet climate zone";"Cool temperate dry - low frost","Dry climate zone"}, _xlpm.r, _xlpm.c))))</definedName>
    <definedName name="Common_SourceData.Common_SourceData_WetAndDryZones_Source">_xlfn.LAMBDA("VEERG 2026: Table 1.2: Translating climate zones to wet and dry zones")</definedName>
    <definedName name="Common_SourceData.Common_SourceData_WetAndDryZones_Title">_xlfn.LAMBDA("VEERG Australian wet and dry zones")</definedName>
    <definedName name="Common_SourceData.Common_SourceData_WetAndDryZones_Unit">_xlfn.LAMBDA("")</definedName>
    <definedName name="Common_SourceData.Common_SourceData_WetAndDryZones_Variable">_xlfn.LAMBDA("")</definedName>
    <definedName name="Common_SourceData.Common_SourceData_WetAndDryZones_Variation">_xlfn.LAMBDA(_xlfn.MAKEARRAY(3, 1, _xlfn.LAMBDA(_xlpm.r,_xlpm.c, INDEX({"VARIATION OF SOURCE DATA:";"Added warm / cool temperate moist / dry - low frost and high temp classes to accommodate climate scenarios excluded by VEERG criteria.";"Fixed typo - Changed 'Fry' to 'Dry'."}, _xlpm.r, _xlpm.c))))</definedName>
    <definedName name="CommonCropping_InputFunctions.CommonCropping_CalculateFractionResidueRemoved">_xlfn.LAMBDA(_xlpm.TotalResidue,_xlpm.AmountRemoved, (_xlpm.AmountRemoved * 10 ^ 3) / (_xlpm.TotalResidue * 10 ^ 3))</definedName>
    <definedName name="CommonCropping_InputFunctions.CommonCropping_CalculateHarvestIndex">_xlfn.LAMBDA(_xlpm.CropType,_xlpm.CropTypeArray,_xlpm.ResidueCropRatioArray, 1 / (1 + Common_InputFunctions.Utility_LookupValueInTableNumber(_xlpm.CropType, _xlpm.CropTypeArray, _xlpm.ResidueCropRatioArray)))</definedName>
    <definedName name="CommonCropping_InputFunctions.CommonCropping_CalculateResidueCropRatio">_xlfn.LAMBDA(_xlpm.HarvestIndex, (1 - _xlpm.HarvestIndex) / _xlpm.HarvestIndex)</definedName>
    <definedName name="CommonCropping_InputFunctions.CommonCropping_GetFracWET">_xlfn.LAMBDA(_xlpm.LeachingZone,_xlpm.ProductionSystem,_xlpm.LeachingZoneLookup,_xlpm.LeachingZoneFracWETLookup,_xlpm.ProductionSystemLookup,_xlpm.ProductionSystemFracWETLookup, _xlfn.LET(_xlpm.LeachingZoneFracWET, Common_InputFunctions.Utility_LookupValueInTableNumber(_xlpm.LeachingZone, _xlpm.LeachingZoneLookup, _xlpm.LeachingZoneFracWETLookup), _xlpm.ProductionSystemFracWET, Common_InputFunctions.Utility_LookupValueInTableNumber(_xlpm.ProductionSystem, _xlpm.ProductionSystemLookup, _xlpm.ProductionSystemFracWETLookup), IF(_xlpm.LeachingZoneFracWET + _xlpm.ProductionSystemFracWET &gt; 0, 1, 0)))</definedName>
    <definedName name="CommonCropping_SourceData.CommonCropping_SourceData_FracGASFfInorganicFertiliser_Data">_xlfn.LAMBDA(_xlfn.MAKEARRAY(6, 3, _xlfn.LAMBDA(_xlpm.r,_xlpm.c, INDEX({"Fertiliser type f","FracGASFf","Basis";"Urea-based fertilisers",0.15,"Urea";"Ammonium-based fertilisers",0.08,"Ammonium";"Nitrate-based fertilisers",0.01,"Nitrate";"Ammonium-nitrate based fertilisers",0.05,"Ammonium-nitrate";"Other fertilisers",0.11,"Other"}, _xlpm.r, _xlpm.c))))</definedName>
    <definedName name="CommonCropping_SourceData.CommonCropping_SourceData_FracGASFfInorganicFertiliser_NIRReference">_xlfn.LAMBDA("IPCC 2019 Refinement Volume 4 Table 11.3 [1, p. 11]")</definedName>
    <definedName name="CommonCropping_SourceData.CommonCropping_SourceData_FracGASFfInorganicFertiliser_Source">_xlfn.LAMBDA("VEERG 2026:Table 12.2.2.9")</definedName>
    <definedName name="CommonCropping_SourceData.CommonCropping_SourceData_FracGASFfInorganicFertiliser_Title">_xlfn.LAMBDA("The direct nitrous oxide EF from the organic fertiliser when applied to soils")</definedName>
    <definedName name="CommonCropping_SourceData.CommonCropping_SourceData_FracGASFfInorganicFertiliser_Unit">_xlfn.LAMBDA("(kg NH3-N + NOx-N)/kg N")</definedName>
    <definedName name="CommonCropping_SourceData.CommonCropping_SourceData_FracGASFfInorganicFertiliser_Variation">_xlfn.LAMBDA(("VARIATION FROM SOURCE DATA: Added extra 'Basis' column with simplified naming to assis with lookups in equations"))</definedName>
    <definedName name="CommonCropping_SourceData.CommonCropping_SourceData_N2OEFOrganicFertiliser_Data">_xlfn.LAMBDA(_xlfn.MAKEARRAY(3, 2, _xlfn.LAMBDA(_xlpm.r,_xlpm.c, INDEX({"Climate zone i","EF i N2O";"Wet climate zone",0.006;"Dry climate zone",0.005}, _xlpm.r, _xlpm.c))))</definedName>
    <definedName name="CommonCropping_SourceData.CommonCropping_SourceData_N2OEFOrganicFertiliser_NIRReference">_xlfn.LAMBDA("IPCC 2019 Refinement Volume 4 Table 11.1 [1, p. 11]")</definedName>
    <definedName name="CommonCropping_SourceData.CommonCropping_SourceData_N2OEFOrganicFertiliser_Source">_xlfn.LAMBDA("VEERG 2026: Table A.2.1.4")</definedName>
    <definedName name="CommonCropping_SourceData.CommonCropping_SourceData_N2OEFOrganicFertiliser_Title">_xlfn.LAMBDA("Emission factor for organic fertiliser and crop residues returned to the soil")</definedName>
    <definedName name="CommonLivestock_InputFunctions.AverageLiveweightEndOfMonth">_xlfn.LAMBDA(_xlpm.Month,_xlpm.LivestockClass,_xlpm.HeadAtStart,_xlpm.LiveweightAtStart,_xlpm.LiveweightGain, [0]!CommonLivestock_InputFunctions.LivestockMovement_ProportionalAverageLiveweightAddedDuringMonth(_xlpm.Month, _xlpm.LivestockClass, _xlpm.HeadAtStart) + [0]!CommonLivestock_InputFunctions.LivestockMovement_ProportionalAverageLiveweightRemainingAtEndOfMonth(_xlpm.Month, _xlpm.LivestockClass, _xlpm.HeadAtStart, _xlpm.LiveweightAtStart, _xlpm.LiveweightGain))</definedName>
    <definedName name="CommonLivestock_InputFunctions.Livestock_LookupMCFState">_xlfn.LAMBDA(_xlpm.MMS,_xlpm.MMSArray,_xlpm.State,_xlpm.StateArray,_xlpm.ReturnArray, _xlfn.XLOOKUP(_xlpm.MMS, _xlpm.MMSArray, _xlfn.XLOOKUP(_xlpm.State, _xlpm.StateArray, _xlpm.ReturnArray)))</definedName>
    <definedName name="CommonLivestock_InputFunctions.LivestockMovement_AverageLiveweightAddedDuringMonth">_xlfn.LAMBDA(_xlpm.Month,_xlpm.LivestockClass, IFERROR([0]!CommonLivestock_InputFunctions.LivestockMovement_TotalLiveweightAddedDuringMonth(_xlpm.Month, _xlpm.LivestockClass) / [0]!CommonLivestock_InputFunctions.LivestockMovement_HeadAddedDuringMonth(_xlpm.Month, _xlpm.LivestockClass), 0))</definedName>
    <definedName name="CommonLivestock_InputFunctions.LivestockMovement_GetMovementLiveweightGain" localSheetId="11">_xlfn.LAMBDA(_xlpm.LivestockClass,_xlpm.MovementDate, _xlfn.LET(_xlpm.ym, TEXT(_xlpm.MovementDate, "yyyymm"), IFERROR(INDEX(_xlfn._xlws.FILTER(#REF!, (TEXT(#REF!, "yyyymm") = _xlpm.ym) * (#REF! = _xlpm.LivestockClass)), 1), "")))</definedName>
    <definedName name="CommonLivestock_InputFunctions.LivestockMovement_GetMovementLiveweightGain">_xlfn.LAMBDA(_xlpm.LivestockClass,_xlpm.MovementDate, _xlfn.LET(_xlpm.ym, TEXT(_xlpm.MovementDate, "yyyymm"), IFERROR(INDEX(_xlfn._xlws.FILTER(#REF!, (TEXT(#REF!, "yyyymm") = _xlpm.ym) * (#REF! = _xlpm.LivestockClass)), 1), "")))</definedName>
    <definedName name="CommonLivestock_InputFunctions.LivestockMovement_HeadAddedDuringMonth" localSheetId="11">_xlfn.LAMBDA(_xlpm.Month,_xlpm.LivestockClass, IFERROR(SUM(_xlfn._xlws.FILTER(#REF!, (#REF! &gt;= EOMONTH(_xlpm.Month, -1) + 1) * (#REF! &lt;= EOMONTH(_xlpm.Month, 0)) * (#REF! = _xlpm.LivestockClass))), 0))</definedName>
    <definedName name="CommonLivestock_InputFunctions.LivestockMovement_HeadAddedDuringMonth">_xlfn.LAMBDA(_xlpm.Month,_xlpm.LivestockClass, IFERROR(SUM(_xlfn._xlws.FILTER(#REF!, (#REF! &gt;= EOMONTH(_xlpm.Month, -1) + 1) * (#REF! &lt;= EOMONTH(_xlpm.Month, 0)) * (#REF! = _xlpm.LivestockClass))), 0))</definedName>
    <definedName name="CommonLivestock_InputFunctions.LivestockMovement_HeadAtEndOfMonth">_xlfn.LAMBDA(_xlpm.HeadAtStart,_xlpm.Month,_xlpm.LivestockClass, _xlpm.HeadAtStart + [0]!CommonLivestock_InputFunctions.LivestockMovement_HeadAddedDuringMonth(_xlpm.Month, _xlpm.LivestockClass) - [0]!CommonLivestock_InputFunctions.LivestockMovement_HeadLostDuringMonth(_xlpm.Month, _xlpm.LivestockClass))</definedName>
    <definedName name="CommonLivestock_InputFunctions.LivestockMovement_HeadLostDuringMonth" localSheetId="11">_xlfn.LAMBDA(_xlpm.Month,_xlpm.LivestockClass, IFERROR(SUM(_xlfn._xlws.FILTER(#REF!, (#REF! &gt;= EOMONTH(_xlpm.Month, -1) + 1) * (#REF! &lt;= EOMONTH(_xlpm.Month, 0)) * (#REF! = _xlpm.LivestockClass))), 0))</definedName>
    <definedName name="CommonLivestock_InputFunctions.LivestockMovement_HeadLostDuringMonth">_xlfn.LAMBDA(_xlpm.Month,_xlpm.LivestockClass, IFERROR(SUM(_xlfn._xlws.FILTER(#REF!, (#REF! &gt;= EOMONTH(_xlpm.Month, -1) + 1) * (#REF! &lt;= EOMONTH(_xlpm.Month, 0)) * (#REF! = _xlpm.LivestockClass))), 0))</definedName>
    <definedName name="CommonLivestock_InputFunctions.LivestockMovement_HeadRemainingAtMonthEnd">_xlfn.LAMBDA(_xlpm.Month,_xlpm.LivestockClass,_xlpm.HeadAtStartOfMonth, MAX(_xlpm.HeadAtStartOfMonth - [0]!CommonLivestock_InputFunctions.LivestockMovement_HeadLostDuringMonth(_xlpm.Month, _xlpm.LivestockClass), 0))</definedName>
    <definedName name="CommonLivestock_InputFunctions.LivestockMovement_LiveweightAddedDuringMonth">_xlfn.LAMBDA(_xlpm.LivestockClass,_xlpm.MovementDate,_xlpm.WeightAtMovementDate,_xlpm.Head, IFERROR(_xlpm.Head * (_xlpm.WeightAtMovementDate + [0]!CommonLivestock_InputFunctions.LivestockMovement_LiveweightGrownDuringMonthPerHead(_xlpm.LivestockClass, _xlpm.MovementDate)), 0))</definedName>
    <definedName name="CommonLivestock_InputFunctions.LivestockMovement_LiveweightGrownDuringMonthPerHead">_xlfn.LAMBDA(_xlpm.LivestockClass,_xlpm.MovementDate, IFERROR([0]!CommonLivestock_InputFunctions.LivestockMovement_GetMovementLiveweightGain(_xlpm.LivestockClass, _xlpm.MovementDate) * CommonLivestock_InputFunctions.LivestockMovement_DaysMovementToMonthEnd(_xlpm.MovementDate), 0))</definedName>
    <definedName name="CommonLivestock_InputFunctions.LivestockMovement_LiveweightGrownFromMonthStartPerHead">_xlfn.LAMBDA(_xlpm.LivestockClass,_xlpm.Month, [0]!CommonLivestock_InputFunctions.LivestockMovement_LiveweightGrownDuringMonthPerHead(_xlpm.LivestockClass, EOMONTH(_xlpm.Month, -1) + 1))</definedName>
    <definedName name="CommonLivestock_InputFunctions.LivestockMovement_LiveweightGrownFromMonthStartTotal">_xlfn.LAMBDA(_xlpm.LivestockClass,_xlpm.Month,_xlpm.HeadAtStartOfMonth, [0]!CommonLivestock_InputFunctions.LivestockMovement_HeadRemainingAtMonthEnd(_xlpm.Month, _xlpm.LivestockClass, _xlpm.HeadAtStartOfMonth) * [0]!CommonLivestock_InputFunctions.LivestockMovement_LiveweightGrownFromMonthStartPerHead(_xlpm.LivestockClass, _xlpm.Month))</definedName>
    <definedName name="CommonLivestock_InputFunctions.LivestockMovement_LiveweightGrownFromMovementDateTotal">_xlfn.LAMBDA(_xlpm.LivestockClass,_xlpm.MovementDate,_xlpm.Head, [0]!CommonLivestock_InputFunctions.LivestockMovement_LiveweightGrownDuringMonthPerHead(_xlpm.LivestockClass, _xlpm.MovementDate) * _xlpm.Head)</definedName>
    <definedName name="CommonLivestock_InputFunctions.LivestockMovement_ProportionalAverageLiveweightAddedDuringMonth">_xlfn.LAMBDA(_xlpm.Month,_xlpm.LivestockClass,_xlpm.HeadAtStart, [0]!CommonLivestock_InputFunctions.LivestockMovement_ProportionHeadAddedDuringMonth(_xlpm.Month, _xlpm.LivestockClass, _xlpm.HeadAtStart) * [0]!CommonLivestock_InputFunctions.LivestockMovement_AverageLiveweightAddedDuringMonth(_xlpm.Month, _xlpm.LivestockClass))</definedName>
    <definedName name="CommonLivestock_InputFunctions.LivestockMovement_ProportionalAverageLiveweightRemainingAtEndOfMonth">_xlfn.LAMBDA(_xlpm.Month,_xlpm.LivestockClass,_xlpm.HeadAtStart,_xlpm.LiveweightAtStart,_xlpm.LiveweightGain, [0]!CommonLivestock_InputFunctions.LivestockMovement_ProportionHeadRemainingAtEndOfMonth(_xlpm.Month, _xlpm.LivestockClass, _xlpm.HeadAtStart) * CommonLivestock_InputFunctions.LivestockMovement_AverageLiveweightRemainingHead(_xlpm.Month, _xlpm.LiveweightAtStart, _xlpm.LiveweightGain))</definedName>
    <definedName name="CommonLivestock_InputFunctions.LivestockMovement_ProportionHeadAddedDuringMonth">_xlfn.LAMBDA(_xlpm.Month,_xlpm.LivestockClass,_xlpm.HeadAtStart, IFERROR(MIN(1, [0]!CommonLivestock_InputFunctions.LivestockMovement_HeadAddedDuringMonth(_xlpm.Month, _xlpm.LivestockClass) / [0]!CommonLivestock_InputFunctions.LivestockMovement_HeadAtEndOfMonth(_xlpm.HeadAtStart, _xlpm.Month, _xlpm.LivestockClass)), 0))</definedName>
    <definedName name="CommonLivestock_InputFunctions.LivestockMovement_ProportionHeadRemainingAtEndOfMonth">_xlfn.LAMBDA(_xlpm.Month,_xlpm.LivestockClass,_xlpm.HeadAtStart, IFERROR(MIN(1, [0]!CommonLivestock_InputFunctions.LivestockMovement_HeadRemainingAtMonthEnd(_xlpm.Month, _xlpm.LivestockClass, _xlpm.HeadAtStart) / [0]!CommonLivestock_InputFunctions.LivestockMovement_HeadAtEndOfMonth(_xlpm.HeadAtStart, _xlpm.Month, _xlpm.LivestockClass)), 0))</definedName>
    <definedName name="CommonLivestock_InputFunctions.LivestockMovement_TotalLiveweightAddedDuringMonth" localSheetId="11">_xlfn.LAMBDA(_xlpm.Month,_xlpm.LivestockClass, IFERROR(SUM(_xlfn._xlws.FILTER(#REF!, (#REF! &gt;= EOMONTH(_xlpm.Month, -1) + 1) * (#REF! &lt;= EOMONTH(_xlpm.Month, 0)) * (#REF! = _xlpm.LivestockClass))), 0))</definedName>
    <definedName name="CommonLivestock_InputFunctions.LivestockMovement_TotalLiveweightAddedDuringMonth">_xlfn.LAMBDA(_xlpm.Month,_xlpm.LivestockClass, IFERROR(SUM(_xlfn._xlws.FILTER(#REF!, (#REF! &gt;= EOMONTH(_xlpm.Month, -1) + 1) * (#REF! &lt;= EOMONTH(_xlpm.Month, 0)) * (#REF! = _xlpm.LivestockClass))), 0))</definedName>
    <definedName name="CommonLivestock_InputFunctions.LivestockMovement_TotalLiveweightGrownDuringMonth" localSheetId="11">_xlfn.LAMBDA(_xlpm.Month,_xlpm.LivestockClass, IFERROR(SUM(_xlfn._xlws.FILTER(#REF!, (#REF! &gt;= EOMONTH(_xlpm.Month, -1) + 1) * (#REF! &lt;= EOMONTH(_xlpm.Month, 0)) * (#REF! = _xlpm.LivestockClass))), 0))</definedName>
    <definedName name="CommonLivestock_InputFunctions.LivestockMovement_TotalLiveweightGrownDuringMonth">_xlfn.LAMBDA(_xlpm.Month,_xlpm.LivestockClass, IFERROR(SUM(_xlfn._xlws.FILTER(#REF!, (#REF! &gt;= EOMONTH(_xlpm.Month, -1) + 1) * (#REF! &lt;= EOMONTH(_xlpm.Month, 0)) * (#REF! = _xlpm.LivestockClass))), 0))</definedName>
    <definedName name="CommonLivestock_InputFunctions.LivestockMovement_TotalLiveweightGrownDuringMonthAddedAndRemaining">_xlfn.LAMBDA(_xlpm.Month,_xlpm.LivestockClass,_xlpm.HeadAtStart, [0]!CommonLivestock_InputFunctions.LivestockMovement_LiveweightGrownFromMonthStartTotal(_xlpm.LivestockClass, _xlpm.Month, _xlpm.HeadAtStart) + [0]!CommonLivestock_InputFunctions.LivestockMovement_TotalLiveweightGrownDuringMonth(_xlpm.Month, _xlpm.LivestockClass))</definedName>
    <definedName name="CommonLivestock_SourceData.SourceData_Livestock_Common_FracLEACH_MS_Data">_xlfn.LAMBDA(_xlfn.MAKEARRAY(8, 2, _xlfn.LAMBDA(_xlpm.r,_xlpm.c, INDEX({"Production system","Emission factor";"Irrigated pasture",0.0059;"Irrigated crop",0.007;"Non-irrigated pasture",0.0018;"Non-irrigated crop",0.0041;"Sugar cane",0.0199;"Cotton",0.0053;"Horticulture",0.0064}, _xlpm.r, _xlpm.c))))</definedName>
    <definedName name="CommonLivestock_SourceData.SourceData_Livestock_Common_FracLEACH_MS_Source">_xlfn.LAMBDA("National Inventory Report 2023 Volume 1: Equations 3.B.5a_3, 3.B.5c_3, 3.B.5d_3")</definedName>
    <definedName name="CommonLivestock_SourceData.SourceData_Livestock_Common_FracLEACH_MS_Title">_xlfn.LAMBDA("Fraction of N lost through leaching and runoff")</definedName>
    <definedName name="CommonLivestock_SourceData.SourceData_Livestock_Common_FracLEACH_MS_Unit">_xlfn.LAMBDA("Fraction")</definedName>
    <definedName name="CommonLivestock_SourceData.SourceData_Livestock_Common_FracWETMMS_Data">_xlfn.LAMBDA(1)</definedName>
    <definedName name="CommonLivestock_SourceData.SourceData_Livestock_Common_FracWETMMS_Source">_xlfn.LAMBDA("National Inventory Report 2023 Volume 1: Equations 3.B.5a_3, 3.B.5c_3, 3.B.5d_3")</definedName>
    <definedName name="CommonLivestock_SourceData.SourceData_Livestock_Common_FracWETMMS_Title">_xlfn.LAMBDA("Fraction of N available for leaching and runoff")</definedName>
    <definedName name="CommonLivestock_SourceData.SourceData_Livestock_Common_FracWETMMS_Unit">_xlfn.LAMBDA("Fraction")</definedName>
    <definedName name="CommonLivestock_SourceData.SourceData_Livestock_Common_SymbolsMMS_Data">_xlfn.LAMBDA(_xlfn.MAKEARRAY(19, 3, _xlfn.LAMBDA(_xlpm.r,_xlpm.c, INDEX({"Symbol","Manure management system","";"1","Anaerobic lagoon","Anaerobic lagoon (m=1)";"2","Liquid systems","Liquid systems (m=2)";"3","Daily spread","Daily spread (m=3)";"3a","Sump and dispersal system","Sump and dispersal system (m=3a)";"3b","Drains to paddock","Drains to paddock (m=3b)";"4","Solid storage","Solid storage (m=4)";"5","Drylot (feed pad)","Drylot (feed pad) (m=5)";"6","Composting (passive windrow)","Composting (passive windrow) (m=6)";"7","Digester / covered lagoons","Digester / covered lagoons (m=7)";"8","Deep litter","Deep litter (m=8)";"9","Pit storage","Pit storage (m=9)";"10","Poultry manure with bedding","Poultry manure with bedding (m=10)";"11","Poultry manure without bedding","Poultry manure without bedding (m=11)";"11a","Belt manure removal","Belt manure removal (m=11a)";"11b","Manure stored in house","Manure stored in house (m=11b)";"12","Direct processing","Direct processing (m=12)";"13","Direct application","Direct application (m=13)";"14","Pasture range and paddock","Pasture range and paddock (m=14)"}, _xlpm.r, _xlpm.c))))</definedName>
    <definedName name="CommonLivestock_SourceData.SourceData_Livestock_Common_SymbolsMMS_Source">_xlfn.LAMBDA("National Inventory Report 2023 Volume 1: Table 5.12")</definedName>
    <definedName name="CommonLivestock_SourceData.SourceData_Livestock_Common_SymbolsMMS_Title">_xlfn.LAMBDA("Table 5.12 Additional symbols used in algorithms for manure related emissions")</definedName>
    <definedName name="CommonLivestock_SourceData.SourceData_Livestock_Common_SymbolsMMS_Unit">_xlfn.LAMBDA("")</definedName>
    <definedName name="CommonLivestock_SourceData.SourceData_Livestock_Common_SymbolsMMS_Vairable">_xlfn.LAMBDA("MMS")</definedName>
    <definedName name="CommonLivestock_SourceData.SourceData_Livestock_Product_BeefCattle_Data">_xlfn.LAMBDA(_xlfn.MAKEARRAY(9, 2, _xlfn.LAMBDA(_xlpm.r,_xlpm.c, INDEX({"Product","Source region";"Cattle, for manufacturing beef","Australia";"Cattle, for prime beef","NSW";"Cattle, weaners","NT";"","QLD";"","SA";"","TAS";"","VIC";"","WA"}, _xlpm.r, _xlpm.c))))</definedName>
    <definedName name="CommonLivestock_SourceData.SourceData_Livestock_Product_BeefCattle_Source">_xlfn.LAMBDA("Lifecycles. (2026). Greenhouse Gas Emission Intensities for Material Inputs to Australian Agriculture, Fisheries and Forestry. Version 48. doi 10.5281/zenodo.19656580")</definedName>
    <definedName name="CommonLivestock_SourceData.SourceData_Livestock_Product_BeefCattle_Title">_xlfn.LAMBDA("Beef cattle products for scope 3")</definedName>
    <definedName name="CommonLivestock_SourceData.SourceData_Livestock_Product_BeefCattle_Unit">_xlfn.LAMBDA("")</definedName>
    <definedName name="CommonLivestock_SourceData.SourceData_Livestock_Product_BeefCattle_Vairable">_xlfn.LAMBDA("")</definedName>
    <definedName name="CommonLivestock_SourceData.SourceData_Livestock_Product_Chickens_Data">_xlfn.LAMBDA(_xlfn.MAKEARRAY(2, 2, _xlfn.LAMBDA(_xlpm.r,_xlpm.c, INDEX({"Product","Source region";"Chickens","Australia"}, _xlpm.r, _xlpm.c))))</definedName>
    <definedName name="CommonLivestock_SourceData.SourceData_Livestock_Product_Chickens_Source">_xlfn.LAMBDA("Lifecycles. (2026). Greenhouse Gas Emission Intensities for Material Inputs to Australian Agriculture, Fisheries and Forestry. Version 48. doi 10.5281/zenodo.19656580")</definedName>
    <definedName name="CommonLivestock_SourceData.SourceData_Livestock_Product_Chickens_Title">_xlfn.LAMBDA("Chickens products for scope 3")</definedName>
    <definedName name="CommonLivestock_SourceData.SourceData_Livestock_Product_Chickens_Unit">_xlfn.LAMBDA("")</definedName>
    <definedName name="CommonLivestock_SourceData.SourceData_Livestock_Product_Chickens_Vairable">_xlfn.LAMBDA("")</definedName>
    <definedName name="CommonLivestock_SourceData.SourceData_Livestock_Product_Dairycattle_Data">_xlfn.LAMBDA(_xlfn.MAKEARRAY(2, 2, _xlfn.LAMBDA(_xlpm.r,_xlpm.c, INDEX({"Product","Source region";"Dairy cows","VIC"}, _xlpm.r, _xlpm.c))))</definedName>
    <definedName name="CommonLivestock_SourceData.SourceData_Livestock_Product_Dairycattle_Source">_xlfn.LAMBDA("Lifecycles. (2026). Greenhouse Gas Emission Intensities for Material Inputs to Australian Agriculture, Fisheries and Forestry. Version 48. doi 10.5281/zenodo.19656580")</definedName>
    <definedName name="CommonLivestock_SourceData.SourceData_Livestock_Product_Dairycattle_Title">_xlfn.LAMBDA("Dairy cattle products for scope 3")</definedName>
    <definedName name="CommonLivestock_SourceData.SourceData_Livestock_Product_Dairycattle_Unit">_xlfn.LAMBDA("")</definedName>
    <definedName name="CommonLivestock_SourceData.SourceData_Livestock_Product_Dairycattle_Vairable">_xlfn.LAMBDA("")</definedName>
    <definedName name="CommonLivestock_SourceData.SourceData_Livestock_Product_Pigs_Data">_xlfn.LAMBDA(_xlfn.MAKEARRAY(2, 2, _xlfn.LAMBDA(_xlpm.r,_xlpm.c, INDEX({"Product","Source region";"Pigs","Australia"}, _xlpm.r, _xlpm.c))))</definedName>
    <definedName name="CommonLivestock_SourceData.SourceData_Livestock_Product_Pigs_Source">_xlfn.LAMBDA("Lifecycles. (2026). Greenhouse Gas Emission Intensities for Material Inputs to Australian Agriculture, Fisheries and Forestry. Version 48. doi 10.5281/zenodo.19656580")</definedName>
    <definedName name="CommonLivestock_SourceData.SourceData_Livestock_Product_Pigs_Title">_xlfn.LAMBDA("Pigs products for scope 3")</definedName>
    <definedName name="CommonLivestock_SourceData.SourceData_Livestock_Product_Pigs_Unit">_xlfn.LAMBDA("")</definedName>
    <definedName name="CommonLivestock_SourceData.SourceData_Livestock_Product_Pigs_Vairable">_xlfn.LAMBDA("")</definedName>
    <definedName name="CommonLivestock_SourceData.SourceData_Livestock_Product_Sheep_Data">_xlfn.LAMBDA(_xlfn.MAKEARRAY(8, 2, _xlfn.LAMBDA(_xlpm.r,_xlpm.c, INDEX({"Product","Source region";"Sheep, for mutton","Australia";"Sheep, for prime lamb","NSW";"","QLD";"","SA";"","TAS";"","VIC";"","WA"}, _xlpm.r, _xlpm.c))))</definedName>
    <definedName name="CommonLivestock_SourceData.SourceData_Livestock_Product_Sheep_Source">_xlfn.LAMBDA("Lifecycles. (2026). Greenhouse Gas Emission Intensities for Material Inputs to Australian Agriculture, Fisheries and Forestry. Version 48. doi 10.5281/zenodo.19656580")</definedName>
    <definedName name="CommonLivestock_SourceData.SourceData_Livestock_Product_Sheep_Title">_xlfn.LAMBDA("Sheep products for scope 3")</definedName>
    <definedName name="CommonLivestock_SourceData.SourceData_Livestock_Product_Sheep_Unit">_xlfn.LAMBDA("")</definedName>
    <definedName name="CommonLivestock_SourceData.SourceData_Livestock_Product_Sheep_Vairable">_xlfn.LAMBDA("")</definedName>
    <definedName name="Fertiliser_Equations_AtmosphericDeposition.VEERG_5_4_1_1__1_InorganicFertiliserAtmosphericDepositionN2OEmissions">_xlfn.LAMBDA(_xlpm.M_volinorganicjf,_xlpm.EF_N2Oj,_xlpm.C_N2O, (_xlpm.M_volinorganicjf * _xlpm.EF_N2Oj) * _xlpm.C_N2O * 10 ^ -3)</definedName>
    <definedName name="Fertiliser_Equations_AtmosphericDeposition.VEERG_5_4_1_1__1_InorganicFertiliserAtmosphericDepositionN2OEmissions_Arguments">_xlfn.LAMBDA(_xlfn.MAKEARRAY(6, 4, _xlfn.LAMBDA(_xlpm.r,_xlpm.c, INDEX({"M_volinorganicjf","mass of nitrogen volatilised from inorganic fertiliser applied to production system","kg N","Calculated from 5.4.1.1 (2)";"EF_N2Oj","emission factor for atmospheric deposition","kg N2O-N/kg N","Constant";"C_N2O","factor to convert elemental mass of nitrous oxide to molecular mass","","Constant";"j","Production system","","Input";"ir","irrigation method","","Input";"r","rainfall region","","Input"}, _xlpm.r, _xlpm.c))))</definedName>
    <definedName name="Fertiliser_Equations_AtmosphericDeposition.VEERG_5_4_1_1__1_InorganicFertiliserAtmosphericDepositionN2OEmissions_LatexEquation">_xlfn.LAMBDA("E_{ad,inorganic}=\sum\nolimits_{j}\sum\nolimits_{f}((M_{vol,inorganic,jf}\times EF_{N2O,j})\times C_{N2O}\times 10^{-3})")</definedName>
    <definedName name="Fertiliser_Equations_AtmosphericDeposition.VEERG_5_4_1_1__1_InorganicFertiliserAtmosphericDepositionN2OEmissions_NIRReference">_xlfn.LAMBDA("")</definedName>
    <definedName name="Fertiliser_Equations_AtmosphericDeposition.VEERG_5_4_1_1__1_InorganicFertiliserAtmosphericDepositionN2OEmissions_Source">_xlfn.LAMBDA("VEERG 2026: 5.4.1.1, Equation (1)")</definedName>
    <definedName name="Fertiliser_Equations_AtmosphericDeposition.VEERG_5_4_1_1__1_InorganicFertiliserAtmosphericDepositionN2OEmissions_Title">_xlfn.LAMBDA("Nitrous oxide emissions from atmospheric deposition from all inorganic fertiliser types f and all production systems j")</definedName>
    <definedName name="Fertiliser_Equations_AtmosphericDeposition.VEERG_5_4_1_1__1_InorganicFertiliserAtmosphericDepositionN2OEmissions_Unit">_xlfn.LAMBDA("t N2O")</definedName>
    <definedName name="Fertiliser_Equations_AtmosphericDeposition.VEERG_5_4_1_1__1_InorganicFertiliserAtmosphericDepositionN2OEmissions_Variable">_xlfn.LAMBDA("E_adinorganic")</definedName>
    <definedName name="Fertiliser_Equations_AtmosphericDeposition.VEERG_5_4_1_1__2_MassOfNitrogenVolatilisedFromInorganicFertiliser">_xlfn.LAMBDA(_xlpm.MN_jf,_xlpm.FracGASF_f, _xlpm.MN_jf * _xlpm.FracGASF_f)</definedName>
    <definedName name="Fertiliser_Equations_AtmosphericDeposition.VEERG_5_4_1_1__2_MassOfNitrogenVolatilisedFromInorganicFertiliser_Arguments">_xlfn.LAMBDA(_xlfn.MAKEARRAY(2, 4, _xlfn.LAMBDA(_xlpm.r,_xlpm.c, INDEX({"MN_jf","mass of nitrogen in inorganic fertiliser applied","kg N","Calculated from 5.1.1.1 (2)";"FracGASF_f","fraction of inorganic fertiliser that volatilises","(kg NH3-N + NOx-N)/kg N","Constant"}, _xlpm.r, _xlpm.c))))</definedName>
    <definedName name="Fertiliser_Equations_AtmosphericDeposition.VEERG_5_4_1_1__2_MassOfNitrogenVolatilisedFromInorganicFertiliser_LatexEquation">_xlfn.LAMBDA("M_{vol,inorganic,jf}={MN}_{jf}\times FracGASF_{f}")</definedName>
    <definedName name="Fertiliser_Equations_AtmosphericDeposition.VEERG_5_4_1_1__2_MassOfNitrogenVolatilisedFromInorganicFertiliser_NIRReference">_xlfn.LAMBDA("")</definedName>
    <definedName name="Fertiliser_Equations_AtmosphericDeposition.VEERG_5_4_1_1__2_MassOfNitrogenVolatilisedFromInorganicFertiliser_Source">_xlfn.LAMBDA("VEERG 2026: 5.4.1.1, Equation (2)")</definedName>
    <definedName name="Fertiliser_Equations_AtmosphericDeposition.VEERG_5_4_1_1__2_MassOfNitrogenVolatilisedFromInorganicFertiliser_Title">_xlfn.LAMBDA("Mass of nitrogen volatilised from inorganic fertiliser applied to production system")</definedName>
    <definedName name="Fertiliser_Equations_AtmosphericDeposition.VEERG_5_4_1_1__2_MassOfNitrogenVolatilisedFromInorganicFertiliser_Unit">_xlfn.LAMBDA("kg N")</definedName>
    <definedName name="Fertiliser_Equations_AtmosphericDeposition.VEERG_5_4_1_1__2_MassOfNitrogenVolatilisedFromInorganicFertiliser_Variable">_xlfn.LAMBDA("M_volinorganicjf")</definedName>
    <definedName name="Fertiliser_Equations_AtmosphericDeposition.VEERG_5_4_1_3__1_OrganicFertiliserAtmosphericDepositionN2OEmissions">_xlfn.LAMBDA(_xlpm.M_volorganicjf,_xlpm.EF_N2Oj,_xlpm.C_N2O, (_xlpm.M_volorganicjf * _xlpm.EF_N2Oj) * _xlpm.C_N2O * 10 ^ -3)</definedName>
    <definedName name="Fertiliser_Equations_AtmosphericDeposition.VEERG_5_4_1_3__1_OrganicFertiliserAtmosphericDepositionN2OEmissions_Arguments">_xlfn.LAMBDA(_xlfn.MAKEARRAY(6, 4, _xlfn.LAMBDA(_xlpm.r,_xlpm.c, INDEX({"M_volorganicjf","mass of nitrogen volatilised from organic fertiliser applied to production system","kg N","Calculated from 5.4.1.3 (2)";"EF_N2Oj","emission factor for atmospheric deposition in production system j","kg N2O-N/kg N","Constant";"C_N2O","factor to convert elemental mass of nitrous oxide to molecular mass","","Constant";"j","Production system","","Input";"ir","irrigation method","","Input";"r","rainfall region","","Input"}, _xlpm.r, _xlpm.c))))</definedName>
    <definedName name="Fertiliser_Equations_AtmosphericDeposition.VEERG_5_4_1_3__1_OrganicFertiliserAtmosphericDepositionN2OEmissions_LatexEquation">_xlfn.LAMBDA("E_{ad,organic}=\sum\nolimits_{j}\sum\nolimits_{f}((M_{vol,organic,jf}\times EF_{N2O,j})\times C_{N2O}\times 10^{-3})")</definedName>
    <definedName name="Fertiliser_Equations_AtmosphericDeposition.VEERG_5_4_1_3__1_OrganicFertiliserAtmosphericDepositionN2OEmissions_NIRReference">_xlfn.LAMBDA("")</definedName>
    <definedName name="Fertiliser_Equations_AtmosphericDeposition.VEERG_5_4_1_3__1_OrganicFertiliserAtmosphericDepositionN2OEmissions_Source">_xlfn.LAMBDA("VEERG 2026: 5.4.1.3, Equation (1)")</definedName>
    <definedName name="Fertiliser_Equations_AtmosphericDeposition.VEERG_5_4_1_3__1_OrganicFertiliserAtmosphericDepositionN2OEmissions_Title">_xlfn.LAMBDA("Nitrous oxide emissions from atmospheric deposition of all organic fertiliser types f and all production systems j")</definedName>
    <definedName name="Fertiliser_Equations_AtmosphericDeposition.VEERG_5_4_1_3__1_OrganicFertiliserAtmosphericDepositionN2OEmissions_Unit">_xlfn.LAMBDA("t N2O")</definedName>
    <definedName name="Fertiliser_Equations_AtmosphericDeposition.VEERG_5_4_1_3__1_OrganicFertiliserAtmosphericDepositionN2OEmissions_Variable">_xlfn.LAMBDA("E_adorganic")</definedName>
    <definedName name="Fertiliser_Equations_AtmosphericDeposition.VEERG_5_4_1_3__2_MassOfNitrogenVolatilisedFromOrganicFertiliser">_xlfn.LAMBDA(_xlpm.MNSoil_jf,_xlpm.FracGASM_soil, _xlpm.MNSoil_jf * _xlpm.FracGASM_soil)</definedName>
    <definedName name="Fertiliser_Equations_AtmosphericDeposition.VEERG_5_4_1_3__2_MassOfNitrogenVolatilisedFromOrganicFertiliser_Arguments">_xlfn.LAMBDA(_xlfn.MAKEARRAY(2, 4, _xlfn.LAMBDA(_xlpm.r,_xlpm.c, INDEX({"MNSoil_jf","mass of nitrogen in organic fertiliser type f applied to production system j","kg N","Calculated from 5.2.1.1 (2)";"FracGASM_soil","fraction of organic fertiliser N that volatilises","(kg NH3-N + NOx-N)/kg N","Constant"}, _xlpm.r, _xlpm.c))))</definedName>
    <definedName name="Fertiliser_Equations_AtmosphericDeposition.VEERG_5_4_1_3__2_MassOfNitrogenVolatilisedFromOrganicFertiliser_LatexEquation">_xlfn.LAMBDA("M_{vol,organic,jf}=MNSoil_{jf}\times FracGASM_{soil}")</definedName>
    <definedName name="Fertiliser_Equations_AtmosphericDeposition.VEERG_5_4_1_3__2_MassOfNitrogenVolatilisedFromOrganicFertiliser_NIRReference">_xlfn.LAMBDA("")</definedName>
    <definedName name="Fertiliser_Equations_AtmosphericDeposition.VEERG_5_4_1_3__2_MassOfNitrogenVolatilisedFromOrganicFertiliser_Source">_xlfn.LAMBDA("VEERG 2026: 5.4.1.3, Equation (2)")</definedName>
    <definedName name="Fertiliser_Equations_AtmosphericDeposition.VEERG_5_4_1_3__2_MassOfNitrogenVolatilisedFromOrganicFertiliser_Title">_xlfn.LAMBDA("Mass of nitrogen volatilised from organic fertiliser applied to production system")</definedName>
    <definedName name="Fertiliser_Equations_AtmosphericDeposition.VEERG_5_4_1_3__2_MassOfNitrogenVolatilisedFromOrganicFertiliser_Unit">_xlfn.LAMBDA("kg N")</definedName>
    <definedName name="Fertiliser_Equations_AtmosphericDeposition.VEERG_5_4_1_3__2_MassOfNitrogenVolatilisedFromOrganicFertiliser_Variable">_xlfn.LAMBDA("M_volorganicjf")</definedName>
    <definedName name="Fertiliser_Equations_InorganicCO2.VEERG_5_1_1_3__1_InorganicFertiliserApplicationCO2Emissions">_xlfn.LAMBDA(_xlpm.MU_jf,_xlpm.EF_ureaCO2,_xlpm.C_CO2, (_xlpm.MU_jf * _xlpm.EF_ureaCO2 * _xlpm.C_CO2) * 10 ^ -3)</definedName>
    <definedName name="Fertiliser_Equations_InorganicCO2.VEERG_5_1_1_3__1_InorganicFertiliserApplicationCO2Emissions_Arguments">_xlfn.LAMBDA(_xlfn.MAKEARRAY(5, 4, _xlfn.LAMBDA(_xlpm.r,_xlpm.c, INDEX({"MU_jf","mass of urea of inorganic fertiliser type f applied to production system j","kg urea","Calculated";"EF_ureaCO2","emission factor for carbon emissions from urea-based fertilisers","kg C/kg urea","Constant";"C_CO2","factor to convert elemental mass of carbon to molecular mass of carbon dioxide","","Constant";"j","Production system","","Input";"f","Inorganic fertiliser type","","Lookup"}, _xlpm.r, _xlpm.c))))</definedName>
    <definedName name="Fertiliser_Equations_InorganicCO2.VEERG_5_1_1_3__1_InorganicFertiliserApplicationCO2Emissions_LatexEquation">_xlfn.LAMBDA("E_{CO2}=\sum_{j}\sum_{f}((MU_{jf}\times EF_{urea,CO2}\times C_{CO2})\times 10^{-3})")</definedName>
    <definedName name="Fertiliser_Equations_InorganicCO2.VEERG_5_1_1_3__1_InorganicFertiliserApplicationCO2Emissions_NIRReference">_xlfn.LAMBDA("")</definedName>
    <definedName name="Fertiliser_Equations_InorganicCO2.VEERG_5_1_1_3__1_InorganicFertiliserApplicationCO2Emissions_Source">_xlfn.LAMBDA("VEERG 2026: 5.1.1.3, Equation (1)")</definedName>
    <definedName name="Fertiliser_Equations_InorganicCO2.VEERG_5_1_1_3__1_InorganicFertiliserApplicationCO2Emissions_Title">_xlfn.LAMBDA("Carbon dioxide emissions resulting from the use of all inorganic, urea-based fertilisers")</definedName>
    <definedName name="Fertiliser_Equations_InorganicCO2.VEERG_5_1_1_3__1_InorganicFertiliserApplicationCO2Emissions_Unit">_xlfn.LAMBDA("t CO2")</definedName>
    <definedName name="Fertiliser_Equations_InorganicCO2.VEERG_5_1_1_3__1_InorganicFertiliserApplicationCO2Emissions_Variable">_xlfn.LAMBDA("E_CO2")</definedName>
    <definedName name="Fertiliser_Equations_InorganicCO2.VEERG_5_1_1_3__2_MassOfUreaInInorganicFertiliser">_xlfn.LAMBDA(_xlpm.TM_jf,_xlpm.FU_f, _xlpm.TM_jf * _xlpm.FU_f)</definedName>
    <definedName name="Fertiliser_Equations_InorganicCO2.VEERG_5_1_1_3__2_MassOfUreaInInorganicFertiliser_Arguments">_xlfn.LAMBDA(_xlfn.MAKEARRAY(2, 4, _xlfn.LAMBDA(_xlpm.r,_xlpm.c, INDEX({"TM_jf","total mass of inorganic fertiliser type f applied to production system j","kg","Input";"FU_f","fraction of urea in fertiliser type f","kg urea/kg","Lookup"}, _xlpm.r, _xlpm.c))))</definedName>
    <definedName name="Fertiliser_Equations_InorganicCO2.VEERG_5_1_1_3__2_MassOfUreaInInorganicFertiliser_LatexEquation">_xlfn.LAMBDA("{MU}_{jf}=TM_{jf}\times FU_f")</definedName>
    <definedName name="Fertiliser_Equations_InorganicCO2.VEERG_5_1_1_3__2_MassOfUreaInInorganicFertiliser_NIRReference">_xlfn.LAMBDA("")</definedName>
    <definedName name="Fertiliser_Equations_InorganicCO2.VEERG_5_1_1_3__2_MassOfUreaInInorganicFertiliser_Source">_xlfn.LAMBDA("VEERG 2026: 5.1.1.3, Equation (2)")</definedName>
    <definedName name="Fertiliser_Equations_InorganicCO2.VEERG_5_1_1_3__2_MassOfUreaInInorganicFertiliser_Title">_xlfn.LAMBDA("Mass of urea applied to production system")</definedName>
    <definedName name="Fertiliser_Equations_InorganicCO2.VEERG_5_1_1_3__2_MassOfUreaInInorganicFertiliser_Unit">_xlfn.LAMBDA("kg urea")</definedName>
    <definedName name="Fertiliser_Equations_InorganicCO2.VEERG_5_1_1_3__2_MassOfUreaInInorganicFertiliser_Variable">_xlfn.LAMBDA("MU_jf")</definedName>
    <definedName name="Fertiliser_Equations_InorganicN2O.VEERG_5_1_1_1__1_InorganicFertiliserApplicationN2OEmissions">_xlfn.LAMBDA(_xlpm.MN_jf,_xlpm.EF_jN2O,_xlpm.C_N2O, (_xlpm.MN_jf * _xlpm.EF_jN2O * _xlpm.C_N2O) * 10 ^ -3)</definedName>
    <definedName name="Fertiliser_Equations_InorganicN2O.VEERG_5_1_1_1__1_InorganicFertiliserApplicationN2OEmissions_Arguments">_xlfn.LAMBDA(_xlfn.MAKEARRAY(7, 4, _xlfn.LAMBDA(_xlpm.r,_xlpm.c, INDEX({"MN_jf","mass of nitrogen in inorganic fertiliser type f applied to production system j","kg N","Calculated from 5.1.1.1 (2)";"EF_jN2O","emission factor for nitrous oxide for inorganic fertilisers","kg N2O-N/kg N applied","Constant";"C_N2O","factor to convert elemental mass of nitrous oxide to molecular mass","","Constant";"j","Production system","","Input";"f","Inorganic fertiliser type","","Constant";"ir","irrigation method","","Input";"z","rainfall zone","","Input"}, _xlpm.r, _xlpm.c))))</definedName>
    <definedName name="Fertiliser_Equations_InorganicN2O.VEERG_5_1_1_1__1_InorganicFertiliserApplicationN2OEmissions_Arguments_Method2">_xlfn.LAMBDA(_xlfn.MAKEARRAY(8, 4, _xlfn.LAMBDA(_xlpm.r,_xlpm.c, INDEX({"MN_jf","mass of nitrogen in inorganic fertiliser type f applied to production system j","kg N","Calculated from 5.1.1.1 (2)";"EF_jN2O","emission factor for nitrous oxide for inorganic fertilisers","kg N2O-N/kg N applied","Calculated from 5.1.1.2 (1)(2)(3)";"C_N2O","factor to convert elemental mass of nitrous oxide to molecular mass","","Constant";"j","Production system","","Input";"c","Crop type","","Input";"f","Inorganic fertiliser type","","Constant";"ir","irrigation method","","Input";"z","rainfall zone","","Input"}, _xlpm.r, _xlpm.c))))</definedName>
    <definedName name="Fertiliser_Equations_InorganicN2O.VEERG_5_1_1_1__1_InorganicFertiliserApplicationN2OEmissions_LatexEquation">_xlfn.LAMBDA("E_{N2O}=\sum_{j}\sum_{f}((MN_{jf}\times EF_{j,N2O}\times C_{N2O})\times 10^{-3})")</definedName>
    <definedName name="Fertiliser_Equations_InorganicN2O.VEERG_5_1_1_1__1_InorganicFertiliserApplicationN2OEmissions_NIRReference">_xlfn.LAMBDA("")</definedName>
    <definedName name="Fertiliser_Equations_InorganicN2O.VEERG_5_1_1_1__1_InorganicFertiliserApplicationN2OEmissions_Source">_xlfn.LAMBDA("VEERG 2026: 5.1.1.1, Equation (1)")</definedName>
    <definedName name="Fertiliser_Equations_InorganicN2O.VEERG_5_1_1_1__1_InorganicFertiliserApplicationN2OEmissions_Title">_xlfn.LAMBDA("Nitrous oxide emissions from the application of all inorganic fertiliser types f to all production systems j")</definedName>
    <definedName name="Fertiliser_Equations_InorganicN2O.VEERG_5_1_1_1__1_InorganicFertiliserApplicationN2OEmissions_Unit">_xlfn.LAMBDA("t N2O")</definedName>
    <definedName name="Fertiliser_Equations_InorganicN2O.VEERG_5_1_1_1__1_InorganicFertiliserApplicationN2OEmissions_Variable">_xlfn.LAMBDA("E_N2O")</definedName>
    <definedName name="Fertiliser_Equations_InorganicN2O.VEERG_5_1_1_1__2_MassOfNitrogenInInorganicFertiliser">_xlfn.LAMBDA(_xlpm.TM_jf,_xlpm.FN_inorganicf, _xlpm.TM_jf * _xlpm.FN_inorganicf)</definedName>
    <definedName name="Fertiliser_Equations_InorganicN2O.VEERG_5_1_1_1__2_MassOfNitrogenInInorganicFertiliser_Arguments">_xlfn.LAMBDA(_xlfn.MAKEARRAY(2, 4, _xlfn.LAMBDA(_xlpm.r,_xlpm.c, INDEX({"TM_jf","total mass of inorganic fertiliser type f applied to production system j","kg","Input";"FN_inorganicf","fraction of nitrogen in inorganic fertiliser type f ","kg N/kg","Constant"}, _xlpm.r, _xlpm.c))))</definedName>
    <definedName name="Fertiliser_Equations_InorganicN2O.VEERG_5_1_1_1__2_MassOfNitrogenInInorganicFertiliser_LatexEquation">_xlfn.LAMBDA("{MN}_{jf}=TM_{jf}\times FN_{inorganic,f}")</definedName>
    <definedName name="Fertiliser_Equations_InorganicN2O.VEERG_5_1_1_1__2_MassOfNitrogenInInorganicFertiliser_NIRReference">_xlfn.LAMBDA("")</definedName>
    <definedName name="Fertiliser_Equations_InorganicN2O.VEERG_5_1_1_1__2_MassOfNitrogenInInorganicFertiliser_Source">_xlfn.LAMBDA("VEERG 2026: 5.1.1.1, Equation (2)")</definedName>
    <definedName name="Fertiliser_Equations_InorganicN2O.VEERG_5_1_1_1__2_MassOfNitrogenInInorganicFertiliser_Title">_xlfn.LAMBDA("Mass of nitrogen in inorganic fertiliser applied to production system")</definedName>
    <definedName name="Fertiliser_Equations_InorganicN2O.VEERG_5_1_1_1__2_MassOfNitrogenInInorganicFertiliser_Unit">_xlfn.LAMBDA("kg N")</definedName>
    <definedName name="Fertiliser_Equations_InorganicN2O.VEERG_5_1_1_1__2_MassOfNitrogenInInorganicFertiliser_Variable">_xlfn.LAMBDA("MN_jf")</definedName>
    <definedName name="Fertiliser_Equations_InorganicN2O.VEERG_5_1_1_2__1_EmissionFactorIrrigatedMaize">_xlfn.LAMBDA(_xlpm.N_fjIrrigatedMaize, (-0.1474 + (0.0061 * _xlpm.N_fjIrrigatedMaize)) * 10 ^ -2)</definedName>
    <definedName name="Fertiliser_Equations_InorganicN2O.VEERG_5_1_1_2__1_EmissionFactorIrrigatedMaize_Arguments">_xlfn.LAMBDA(_xlfn.MAKEARRAY(2, 4, _xlfn.LAMBDA(_xlpm.r,_xlpm.c, INDEX({"N_fjIrrigatedMaize","application rate of inorganic fertiliser type f in the irrigated maize crop","kg N/ha","Input";"f","Inorganic fertiliser type","","Constant"}, _xlpm.r, _xlpm.c))))</definedName>
    <definedName name="Fertiliser_Equations_InorganicN2O.VEERG_5_1_1_2__1_EmissionFactorIrrigatedMaize_LatexEquation">_xlfn.LAMBDA("EF_{fj=irrigatedmaize,N2O}=(-0.1474+(0.0061\times N_{fj=irrigatedmaize}))\times 10^{-2}")</definedName>
    <definedName name="Fertiliser_Equations_InorganicN2O.VEERG_5_1_1_2__1_EmissionFactorIrrigatedMaize_NIRReference">_xlfn.LAMBDA("")</definedName>
    <definedName name="Fertiliser_Equations_InorganicN2O.VEERG_5_1_1_2__1_EmissionFactorIrrigatedMaize_Source">_xlfn.LAMBDA("VEERG 2026: 5.1.1.2, Equation (1)")</definedName>
    <definedName name="Fertiliser_Equations_InorganicN2O.VEERG_5_1_1_2__1_EmissionFactorIrrigatedMaize_Title">_xlfn.LAMBDA("Emission factor for nitrous oxide for irrigated maize")</definedName>
    <definedName name="Fertiliser_Equations_InorganicN2O.VEERG_5_1_1_2__1_EmissionFactorIrrigatedMaize_Unit">_xlfn.LAMBDA("kg N2O-N/kg N applied")</definedName>
    <definedName name="Fertiliser_Equations_InorganicN2O.VEERG_5_1_1_2__1_EmissionFactorIrrigatedMaize_Variable">_xlfn.LAMBDA("EF_fjIrrigatedMaizeN2O")</definedName>
    <definedName name="Fertiliser_Equations_InorganicN2O.VEERG_5_1_1_2__2_EmissionFactorNonIrrigatedGrainsHighRainfall">_xlfn.LAMBDA(_xlpm.N_fjNonIrrigatedGrains, (0.0781 + (0.0075 * _xlpm.N_fjNonIrrigatedGrains)) * 10 ^ -2)</definedName>
    <definedName name="Fertiliser_Equations_InorganicN2O.VEERG_5_1_1_2__2_EmissionFactorNonIrrigatedGrainsHighRainfall_Arguments">_xlfn.LAMBDA(_xlfn.MAKEARRAY(2, 4, _xlfn.LAMBDA(_xlpm.r,_xlpm.c, INDEX({"N_fjNonIrrigatedGrains","application rate of inorganic fertiliser type f in the grains crop","kg N/ha","Input";"f","Inorganic fertiliser type","","Constant"}, _xlpm.r, _xlpm.c))))</definedName>
    <definedName name="Fertiliser_Equations_InorganicN2O.VEERG_5_1_1_2__2_EmissionFactorNonIrrigatedGrainsHighRainfall_LatexEquation">_xlfn.LAMBDA("EF_{fj=nonirrigatedgrains,N2O}=(0.0781+(0.0075\times N_{fj=nonirrigatedgrains}))\times 10^{-2}")</definedName>
    <definedName name="Fertiliser_Equations_InorganicN2O.VEERG_5_1_1_2__2_EmissionFactorNonIrrigatedGrainsHighRainfall_NIRReference">_xlfn.LAMBDA("")</definedName>
    <definedName name="Fertiliser_Equations_InorganicN2O.VEERG_5_1_1_2__2_EmissionFactorNonIrrigatedGrainsHighRainfall_Source">_xlfn.LAMBDA("VEERG 2026: 5.1.1.2, Equation (2)")</definedName>
    <definedName name="Fertiliser_Equations_InorganicN2O.VEERG_5_1_1_2__2_EmissionFactorNonIrrigatedGrainsHighRainfall_Title">_xlfn.LAMBDA("Emission factor for nitrous oxide for non-irrigated grains in high rainfall zone")</definedName>
    <definedName name="Fertiliser_Equations_InorganicN2O.VEERG_5_1_1_2__2_EmissionFactorNonIrrigatedGrainsHighRainfall_Unit">_xlfn.LAMBDA("kg N2O-N/kg N applied")</definedName>
    <definedName name="Fertiliser_Equations_InorganicN2O.VEERG_5_1_1_2__2_EmissionFactorNonIrrigatedGrainsHighRainfall_Variable">_xlfn.LAMBDA("EF_fjNonIrrigatedGrainsN2O")</definedName>
    <definedName name="Fertiliser_Equations_InorganicN2O.VEERG_5_1_1_2__3_EmissionFactorCotton">_xlfn.LAMBDA(_xlpm.N_fjCotton, (0.01 * (0.29 + ((0.007 * (EXP(0.037 * _xlpm.N_fjCotton) - 1)) / _xlpm.N_fjCotton))) * 10 ^ -2)</definedName>
    <definedName name="Fertiliser_Equations_InorganicN2O.VEERG_5_1_1_2__3_EmissionFactorCotton_Arguments">_xlfn.LAMBDA(_xlfn.MAKEARRAY(2, 4, _xlfn.LAMBDA(_xlpm.r,_xlpm.c, INDEX({"N_fjCotton","application rate of inorganic fertiliser type f in the cotton crop","kg N/ha","Input";"f","Inorganic fertiliser type","","Constant"}, _xlpm.r, _xlpm.c))))</definedName>
    <definedName name="Fertiliser_Equations_InorganicN2O.VEERG_5_1_1_2__3_EmissionFactorCotton_LatexEquation">_xlfn.LAMBDA("EF_{fj=cotton,N2O}=(0.01 \times (0.29 + \frac{0.007(e^{0.037 \times N_{fj=cotton}}-1)}{N_{fj=cotton}})) \times 10^{-2}
")</definedName>
    <definedName name="Fertiliser_Equations_InorganicN2O.VEERG_5_1_1_2__3_EmissionFactorCotton_NIRReference">_xlfn.LAMBDA("")</definedName>
    <definedName name="Fertiliser_Equations_InorganicN2O.VEERG_5_1_1_2__3_EmissionFactorCotton_Source">_xlfn.LAMBDA("VEERG 2026: 5.1.1.2, Equation (3)")</definedName>
    <definedName name="Fertiliser_Equations_InorganicN2O.VEERG_5_1_1_2__3_EmissionFactorCotton_Title">_xlfn.LAMBDA("Emission factor for nitrous oxide for cotton")</definedName>
    <definedName name="Fertiliser_Equations_InorganicN2O.VEERG_5_1_1_2__3_EmissionFactorCotton_Unit">_xlfn.LAMBDA("kg N2O-N/kg N applied")</definedName>
    <definedName name="Fertiliser_Equations_InorganicN2O.VEERG_5_1_1_2__3_EmissionFactorCotton_Variable">_xlfn.LAMBDA("EF_fjCottonN2O")</definedName>
    <definedName name="Fertiliser_Equations_LeachingAndRunoff.VEERG_5_5_1_1__1_FertiliserLeachingAndRunoffN2OEmissions">_xlfn.LAMBDA(_xlpm.M_leachinorganicj,_xlpm.M_leachorganicj,_xlpm.EF_leach,_xlpm.C_N2O, (_xlpm.M_leachinorganicj + _xlpm.M_leachorganicj) * _xlpm.EF_leach * _xlpm.C_N2O * 10 ^ -3)</definedName>
    <definedName name="Fertiliser_Equations_LeachingAndRunoff.VEERG_5_5_1_1__1_FertiliserLeachingAndRunoffN2OEmissions_Arguments">_xlfn.LAMBDA(_xlfn.MAKEARRAY(4, 4, _xlfn.LAMBDA(_xlpm.r,_xlpm.c, INDEX({"M_leachinorganicj","mass of nitrogen lost through leaching and runoff from inorganic fertiliser application in production system j","kg N","Calculated from 5.5.1.1 (2)";"M_leachorganicj","mass of nitrogen lost through leaching and runoff from organic fertiliser application","kg N","Calculated from 5.5.1.1 (3)";"EF_leach","emission factor for nitrogen leaching and runoff","kg N2O-N/kg N","Constant";"C_N2O","factor to convert elemental mass of nitrous oxide to molecular mass","","Constant"}, _xlpm.r, _xlpm.c))))</definedName>
    <definedName name="Fertiliser_Equations_LeachingAndRunoff.VEERG_5_5_1_1__1_FertiliserLeachingAndRunoffN2OEmissions_LatexEquation">_xlfn.LAMBDA("E_{fert,leach}=\sum_{j}((M_{leach,inorganic,j}+M_{leach,organic,j})\times EF_{leach}\times C_{N2O}\times 10^{-3})")</definedName>
    <definedName name="Fertiliser_Equations_LeachingAndRunoff.VEERG_5_5_1_1__1_FertiliserLeachingAndRunoffN2OEmissions_NIRReference">_xlfn.LAMBDA("")</definedName>
    <definedName name="Fertiliser_Equations_LeachingAndRunoff.VEERG_5_5_1_1__1_FertiliserLeachingAndRunoffN2OEmissions_Source">_xlfn.LAMBDA("VEERG 2026: 5.5, Equation (1)")</definedName>
    <definedName name="Fertiliser_Equations_LeachingAndRunoff.VEERG_5_5_1_1__1_FertiliserLeachingAndRunoffN2OEmissions_Title">_xlfn.LAMBDA("Nitrous oxide emissions from nitrogen leaching and runoff from the application of all fertilisers across all production systems j")</definedName>
    <definedName name="Fertiliser_Equations_LeachingAndRunoff.VEERG_5_5_1_1__1_FertiliserLeachingAndRunoffN2OEmissions_Unit">_xlfn.LAMBDA("t N2O")</definedName>
    <definedName name="Fertiliser_Equations_LeachingAndRunoff.VEERG_5_5_1_1__1_FertiliserLeachingAndRunoffN2OEmissions_Variable">_xlfn.LAMBDA("E_fertleach")</definedName>
    <definedName name="Fertiliser_Equations_LeachingAndRunoff.VEERG_5_5_1_1__2_MassOfNitrogenLeachedFromInorganicFertiliser">_xlfn.LAMBDA(_xlpm.MN_jf,_xlpm.FracWETj,_xlpm.FracLEACH, _xlpm.MN_jf * _xlpm.FracWETj * _xlpm.FracLEACH)</definedName>
    <definedName name="Fertiliser_Equations_LeachingAndRunoff.VEERG_5_5_1_1__2_MassOfNitrogenLeachedFromInorganicFertiliser_Arguments">_xlfn.LAMBDA(_xlfn.MAKEARRAY(6, 4, _xlfn.LAMBDA(_xlpm.r,_xlpm.c, INDEX({"MN_jf","mass of nitrogen in inorganic fertiliser","kg N","Calculated from 5.1.1.1 (2)";"FracWETj","fraction of N available for leaching and runoff","fraction","Constant";"FracLEACH","fraction of N that is lost through leaching and runoff","fraction","Constant";"z","location in leaching zone","","Input";"j","production system","","Input";"ir","irrigation method","","Input"}, _xlpm.r, _xlpm.c))))</definedName>
    <definedName name="Fertiliser_Equations_LeachingAndRunoff.VEERG_5_5_1_1__2_MassOfNitrogenLeachedFromInorganicFertiliser_LatexEquation">_xlfn.LAMBDA("M_{leach,inorganic,j}=\sum\nolimits_{f}\left({MN}_{jf}\times Frac_{WET,j}\times Frac_{LEACH}\right)")</definedName>
    <definedName name="Fertiliser_Equations_LeachingAndRunoff.VEERG_5_5_1_1__2_MassOfNitrogenLeachedFromInorganicFertiliser_NIRReference">_xlfn.LAMBDA("")</definedName>
    <definedName name="Fertiliser_Equations_LeachingAndRunoff.VEERG_5_5_1_1__2_MassOfNitrogenLeachedFromInorganicFertiliser_Source">_xlfn.LAMBDA("VEERG 2026: 5.5, Equation (2)")</definedName>
    <definedName name="Fertiliser_Equations_LeachingAndRunoff.VEERG_5_5_1_1__2_MassOfNitrogenLeachedFromInorganicFertiliser_Title">_xlfn.LAMBDA("Mass of nitrogen lost through leaching and runoff from inorganic fertiliser application in production system j")</definedName>
    <definedName name="Fertiliser_Equations_LeachingAndRunoff.VEERG_5_5_1_1__2_MassOfNitrogenLeachedFromInorganicFertiliser_Unit">_xlfn.LAMBDA("kg N")</definedName>
    <definedName name="Fertiliser_Equations_LeachingAndRunoff.VEERG_5_5_1_1__2_MassOfNitrogenLeachedFromInorganicFertiliser_Variable">_xlfn.LAMBDA("M_leachinorganicj")</definedName>
    <definedName name="Fertiliser_Equations_LeachingAndRunoff.VEERG_5_5_1_1__3_MassOfNitrogenLeachedFromOrganicFertiliser">_xlfn.LAMBDA(_xlpm.MNSoil_jf,_xlpm.FracWETj,_xlpm.FracLEACH, _xlpm.MNSoil_jf * _xlpm.FracWETj * _xlpm.FracLEACH)</definedName>
    <definedName name="Fertiliser_Equations_LeachingAndRunoff.VEERG_5_5_1_1__3_MassOfNitrogenLeachedFromOrganicFertiliser_Arguments">_xlfn.LAMBDA(_xlfn.MAKEARRAY(6, 4, _xlfn.LAMBDA(_xlpm.r,_xlpm.c, INDEX({"MNSoil_jf","mass of nitrogen in organic fertiliser","kg N","Calculated from 5.2.1.1 (2)";"FracWETj","fraction of N available for leaching and runoff","fraction","Constant";"FracLEACH","fraction of N that is lost through leaching and runoff","fraction","Constant";"z","location in leaching zone","","Input";"j","production system","","Input";"ir","irrigation method","","Input"}, _xlpm.r, _xlpm.c))))</definedName>
    <definedName name="Fertiliser_Equations_LeachingAndRunoff.VEERG_5_5_1_1__3_MassOfNitrogenLeachedFromOrganicFertiliser_LatexEquation">_xlfn.LAMBDA("M_{leach,organic,j}=\sum\nolimits_{f}\left({MNSoil}_{jf}\times Frac_{WET,j}\times Frac_{LEACH}\right)")</definedName>
    <definedName name="Fertiliser_Equations_LeachingAndRunoff.VEERG_5_5_1_1__3_MassOfNitrogenLeachedFromOrganicFertiliser_NIRReference">_xlfn.LAMBDA("")</definedName>
    <definedName name="Fertiliser_Equations_LeachingAndRunoff.VEERG_5_5_1_1__3_MassOfNitrogenLeachedFromOrganicFertiliser_Source">_xlfn.LAMBDA("VEERG 2026: 5.5, Equation (3)")</definedName>
    <definedName name="Fertiliser_Equations_LeachingAndRunoff.VEERG_5_5_1_1__3_MassOfNitrogenLeachedFromOrganicFertiliser_Title">_xlfn.LAMBDA("Mass of nitrogen lost through leaching and runoff from organic fertiliser application in production system j")</definedName>
    <definedName name="Fertiliser_Equations_LeachingAndRunoff.VEERG_5_5_1_1__3_MassOfNitrogenLeachedFromOrganicFertiliser_Unit">_xlfn.LAMBDA("kg N")</definedName>
    <definedName name="Fertiliser_Equations_LeachingAndRunoff.VEERG_5_5_1_1__3_MassOfNitrogenLeachedFromOrganicFertiliser_Variable">_xlfn.LAMBDA("M_leachorganicj")</definedName>
    <definedName name="Fertiliser_Equations_Lime.VEERG_5_3_1_1__1_LimeApplication">_xlfn.LAMBDA(_xlpm.Mlime,_xlpm.FracLime,_xlpm.Plime,_xlpm.EFlime,_xlpm.FracDol,_xlpm.Pdol,_xlpm.EFdol,_xlpm.CgCO2, ((_xlpm.Mlime * _xlpm.FracLime * _xlpm.Plime * _xlpm.EFlime) + (_xlpm.Mlime * _xlpm.FracDol * _xlpm.Pdol * _xlpm.EFdol)) * _xlpm.CgCO2 * 10 ^ -3)</definedName>
    <definedName name="Fertiliser_Equations_Lime.VEERG_5_3_1_1__1_LimeApplicationCO2Emissions">_xlfn.LAMBDA(_xlpm.M_lime,_xlpm.FracLime,_xlpm.P_lime,_xlpm.EF_lime,_xlpm.FracDol,_xlpm.P_dol,_xlpm.EF_dol,_xlpm.C_CO2, ((_xlpm.M_lime * _xlpm.FracLime * _xlpm.P_lime * _xlpm.EF_lime) + (_xlpm.M_lime * _xlpm.FracDol * _xlpm.P_dol * _xlpm.EF_dol)) * _xlpm.C_CO2 * 10 ^ -3)</definedName>
    <definedName name="Fertiliser_Equations_Lime.VEERG_5_3_1_1__1_LimeApplicationCO2Emissions_Arguments">_xlfn.LAMBDA(_xlfn.MAKEARRAY(8, 4, _xlfn.LAMBDA(_xlpm.r,_xlpm.c, INDEX({"M_lime","total mass of lime applied to production system","kg","Input";"FracLime","fraction of lime as limestone (CaCO3)","fraction","Input";"P_lime","fractional purity of limestone","fraction","Constant";"EF_lime","emission factor for limestone fraction of lime","kg C/kg","Constant";"FracDol","fraction of lime as dolomite","fraction","Input";"P_dol","fractional purity of dolomite","fraction","Constant";"EF_dol","emission factor for dolomite fraction of lime","kg C/kg","Constant";"C_CO2","factor to convert elemental mass of carbon dioxide to molecular mass","","Constant"}, _xlpm.r, _xlpm.c))))</definedName>
    <definedName name="Fertiliser_Equations_Lime.VEERG_5_3_1_1__1_LimeApplicationCO2Emissions_LatexEquation">_xlfn.LAMBDA("E_{lime}=[(M_{lime}\times FracLime\times P_{lime}\times EF_{lime})+(M_{lime}\times FracDol\times P_{dol}\times EF_{dol})]\times C_{CO2}\times 10^{-3}")</definedName>
    <definedName name="Fertiliser_Equations_Lime.VEERG_5_3_1_1__1_LimeApplicationCO2Emissions_NIRReference">_xlfn.LAMBDA("")</definedName>
    <definedName name="Fertiliser_Equations_Lime.VEERG_5_3_1_1__1_LimeApplicationCO2Emissions_Source">_xlfn.LAMBDA("VEERG 2026: 5.3.1.1, Equation (1)")</definedName>
    <definedName name="Fertiliser_Equations_Lime.VEERG_5_3_1_1__1_LimeApplicationCO2Emissions_Title">_xlfn.LAMBDA("Emissions from the application of lime and dolomite to production systems")</definedName>
    <definedName name="Fertiliser_Equations_Lime.VEERG_5_3_1_1__1_LimeApplicationCO2Emissions_Unit">_xlfn.LAMBDA("t CO2")</definedName>
    <definedName name="Fertiliser_Equations_Lime.VEERG_5_3_1_1__1_LimeApplicationCO2Emissions_Variable">_xlfn.LAMBDA("E_lime")</definedName>
    <definedName name="Fertiliser_Equations_Organic.VEERG_5_2_1_1__2_MassOfNitrogenInOrganicFertiliser">_xlfn.LAMBDA(_xlpm.Morganicjf,_xlpm.FNorganicf, _xlpm.Morganicjf * _xlpm.FNorganicf)</definedName>
    <definedName name="Fertiliser_Equations_OrganicN2O.VEERG_5_2_1_1__1_OrganicFertiliserApplicationN2OEmissions">_xlfn.LAMBDA(_xlpm.MNSoil_jf,_xlpm.EF_N2Oi,_xlpm.C_N2O, (_xlpm.MNSoil_jf * _xlpm.EF_N2Oi * _xlpm.C_N2O) * 10 ^ -3)</definedName>
    <definedName name="Fertiliser_Equations_OrganicN2O.VEERG_5_2_1_1__1_OrganicFertiliserApplicationN2OEmissions_Arguments">_xlfn.LAMBDA(_xlfn.MAKEARRAY(5, 4, _xlfn.LAMBDA(_xlpm.r,_xlpm.c, INDEX({"MNSoil_jf","mass of nitrogen in organic fertiliser type f applied to production system j","kg N","Calculated from 5.2.1.1 (2)";"EF_N2Oi","emission factor for direct nitrous oxide emissions from organic fertiliser applied to soils and aquatic systems in climate zone i","kg N2O-N/kg N","Lookup";"C_N2O","factor to convert elemental mass of nitrous oxide to molecular mass","","Constant";"j","Production system","","Input";"i","Wet or dry climate zone","","Input"}, _xlpm.r, _xlpm.c))))</definedName>
    <definedName name="Fertiliser_Equations_OrganicN2O.VEERG_5_2_1_1__1_OrganicFertiliserApplicationN2OEmissions_LatexEquation">_xlfn.LAMBDA("E_{N2O}=\sum_{j}\sum_{f}((MNSoil_{jf}\times EF_{N2O,i}\times C_{N2O})\times 10^{-3})")</definedName>
    <definedName name="Fertiliser_Equations_OrganicN2O.VEERG_5_2_1_1__1_OrganicFertiliserApplicationN2OEmissions_NIRReference">_xlfn.LAMBDA("")</definedName>
    <definedName name="Fertiliser_Equations_OrganicN2O.VEERG_5_2_1_1__1_OrganicFertiliserApplicationN2OEmissions_Source">_xlfn.LAMBDA("VEERG 2026: 5.2.1.1, Equation (1)")</definedName>
    <definedName name="Fertiliser_Equations_OrganicN2O.VEERG_5_2_1_1__1_OrganicFertiliserApplicationN2OEmissions_Title">_xlfn.LAMBDA("Nitrous oxide emissions from the application of all organic fertiliser types f to all production systems j")</definedName>
    <definedName name="Fertiliser_Equations_OrganicN2O.VEERG_5_2_1_1__1_OrganicFertiliserApplicationN2OEmissions_Unit">_xlfn.LAMBDA("t N2O")</definedName>
    <definedName name="Fertiliser_Equations_OrganicN2O.VEERG_5_2_1_1__1_OrganicFertiliserApplicationN2OEmissions_Variable">_xlfn.LAMBDA("E_N2O")</definedName>
    <definedName name="Fertiliser_Equations_OrganicN2O.VEERG_5_2_1_1__2_MassOfNitrogenInOrganicFertiliser">_xlfn.LAMBDA(_xlpm.M_organicjf,_xlpm.FN_organicf, _xlpm.M_organicjf * _xlpm.FN_organicf)</definedName>
    <definedName name="Fertiliser_Equations_OrganicN2O.VEERG_5_2_1_1__2_MassOfNitrogenInOrganicFertiliser_Arguments">_xlfn.LAMBDA(_xlfn.MAKEARRAY(3, 4, _xlfn.LAMBDA(_xlpm.r,_xlpm.c, INDEX({"M_organicjf","mass of organic fertiliser type f applied to production system j","kg","Input";"FN_organicf","nitrogen fraction of organic fertiliser type f","kg N/kg","Input";"f","Organic fertiliser type","","Input"}, _xlpm.r, _xlpm.c))))</definedName>
    <definedName name="Fertiliser_Equations_OrganicN2O.VEERG_5_2_1_1__2_MassOfNitrogenInOrganicFertiliser_LatexEquation">_xlfn.LAMBDA("MNSoil_{jf}=M_{organic,jf}\times FN_{organic,f}")</definedName>
    <definedName name="Fertiliser_Equations_OrganicN2O.VEERG_5_2_1_1__2_MassOfNitrogenInOrganicFertiliser_NIRReference">_xlfn.LAMBDA("")</definedName>
    <definedName name="Fertiliser_Equations_OrganicN2O.VEERG_5_2_1_1__2_MassOfNitrogenInOrganicFertiliser_Source">_xlfn.LAMBDA("VEERG 2026: 5.2.1.1, Equation (2)")</definedName>
    <definedName name="Fertiliser_Equations_OrganicN2O.VEERG_5_2_1_1__2_MassOfNitrogenInOrganicFertiliser_Title">_xlfn.LAMBDA("Mass of nitrogen in purchased organic fertilisers applied to production system")</definedName>
    <definedName name="Fertiliser_Equations_OrganicN2O.VEERG_5_2_1_1__2_MassOfNitrogenInOrganicFertiliser_Unit">_xlfn.LAMBDA("kg N")</definedName>
    <definedName name="Fertiliser_Equations_OrganicN2O.VEERG_5_2_1_1__2_MassOfNitrogenInOrganicFertiliser_Variable">_xlfn.LAMBDA("MNSoil_jf")</definedName>
    <definedName name="Fertiliser_InputFunctions.Fertiliser_FertiliserProductLookup">_xlfn.LAMBDA(_xlpm.Product,_xlpm.ProductAttribute,_xlpm.ProductArray,_xlpm.ProductArrayColumn,_xlpm.ProductArrayHeaders, IFERROR(INDEX(_xlpm.ProductArray, _xlfn.XMATCH(TRIM(_xlpm.Product), _xlpm.ProductArrayColumn, 0), _xlfn.XMATCH(TRIM(_xlpm.ProductAttribute), _xlpm.ProductArrayHeaders, 0)), ""))</definedName>
    <definedName name="Fertiliser_InputFunctions.Fertiliser_GetChemicalCompoundElementFraction">_xlfn.LAMBDA(_xlpm.ChemicalCompound,_xlpm.Element,_xlpm.ChemicalCompoundArray,_xlpm.ChemicalCompoundColumn,_xlpm.ElementRow, INDEX(_xlpm.ChemicalCompoundArray, MATCH(_xlpm.ChemicalCompound, _xlpm.ChemicalCompoundColumn, 0), MATCH(_xlpm.Element, _xlpm.ElementRow, 0)))</definedName>
    <definedName name="Fertiliser_InputFunctions.Fertiliser_GetScope3EF">_xlfn.LAMBDA(_xlpm.ChemicalCompound,_xlpm.Scope3Array,_xlpm.ChemicalCompoundColumn,_xlpm.Source,_xlpm.SourceRow, INDEX(_xlpm.Scope3Array, MATCH(_xlpm.ChemicalCompound, _xlpm.ChemicalCompoundColumn, 0), MATCH(_xlpm.Source, _xlpm.SourceRow, 0)))</definedName>
    <definedName name="Fertiliser_InputFunctions.Fertiliser_SumProductApplied">_xlfn.LAMBDA(_xlpm.LookupTarget1,_xlpm.LookupArray1,_xlpm.AmountApplied,_xlop.LookupTarget2,_xlop.LookupArray2, _xlfn.LET(_xlpm.criteria1, --(IFERROR(_xlpm.LookupArray1, "") = _xlpm.LookupTarget1), _xlpm.criteria2, IF(_xlfn.ISOMITTED(_xlpm.LookupTarget2), 1, IFERROR(--(_xlpm.LookupArray2 = _xlpm.LookupTarget2), 0)), _xlpm.amounts, IFERROR(_xlpm.AmountApplied * 1, 0), SUMPRODUCT(_xlpm.criteria1 * _xlpm.criteria2 * _xlpm.amounts)))</definedName>
    <definedName name="Fertiliser_InputFunctions.Fertiliser_TotalActiveIngredientAppliedAllIngredients">_xlfn.LAMBDA(_xlpm.ChemicalCompound,_xlpm.AmountApplied,_xlpm.ProductIngredient1,_xlpm.ProductIngredientUnit1,_xlpm.ProductIngredientPercent1,_xlop.ProductIngredient2,_xlop.ProductIngredientUnit2,_xlop.ProductIngredientPercent2,_xlop.ProductIngredient3,_xlop.ProductIngredientUnit3,_xlop.ProductIngredientPercent3, _xlfn.LET(_xlpm.calculatedAmount1, (IF(_xlpm.ProductIngredientUnit1 = "Percent of product", _xlpm.AmountApplied * _xlpm.ProductIngredientPercent1, _xlpm.AmountApplied * (_xlpm.ProductIngredientPercent1 * 10 ^ -3))), _xlpm.calculatedAmount2, (IF(_xlpm.ProductIngredientUnit1 = "Percent of product", _xlpm.AmountApplied * _xlpm.ProductIngredientPercent2, _xlpm.AmountApplied * (_xlpm.ProductIngredientPercent2 * 10 ^ -3))), _xlpm.calculatedAmount3, (IF(_xlpm.ProductIngredientUnit1 = "Percent of product", _xlpm.AmountApplied * _xlpm.ProductIngredientPercent3, _xlpm.AmountApplied * (_xlpm.ProductIngredientPercent3 * 10 ^ -3))), Fertiliser_InputFunctions.Fertiliser_SumProductApplied(_xlpm.ChemicalCompound, _xlpm.ProductIngredient1, _xlpm.calculatedAmount1) + IFERROR(Fertiliser_InputFunctions.Fertiliser_SumProductApplied(_xlpm.ChemicalCompound, _xlpm.ProductIngredient2, _xlpm.calculatedAmount2), 0) + IFERROR(Fertiliser_InputFunctions.Fertiliser_SumProductApplied(_xlpm.ChemicalCompound, _xlpm.ProductIngredient3, _xlpm.calculatedAmount3), 0)))</definedName>
    <definedName name="Fertiliser_InputFunctions.Fertiliser_TotalChemicalCompoundAppliedAllIngredients">_xlfn.LAMBDA(_xlpm.ChemicalCompound,_xlpm.AmountApplied,_xlpm.ProductIngredient1,_xlpm.ProductIngredientPercent1,_xlop.ProductIngredient2,_xlop.ProductIngredientPercent2,_xlop.ProductIngredient3,_xlop.ProductIngredientPercent3,_xlop.ProductIngredient4,_xlop.ProductIngredientPercent4,_xlop.ProductIngredient5,_xlop.ProductIngredientPercent5,_xlop.ProductIngredient6,_xlop.ProductIngredientPercent6, _xlfn.LET(_xlpm.calculatedAmount1, (_xlpm.AmountApplied * _xlpm.ProductIngredientPercent1), _xlpm.calculatedAmount2, IF(_xlfn.ISOMITTED(_xlpm.ProductIngredient2), 0, _xlpm.AmountApplied * _xlpm.ProductIngredientPercent2), _xlpm.calculatedAmount3, IF(_xlfn.ISOMITTED(_xlpm.ProductIngredient3), 0, _xlpm.AmountApplied * _xlpm.ProductIngredientPercent3), _xlpm.calculatedAmount4, IF(_xlfn.ISOMITTED(_xlpm.ProductIngredient4), 0, _xlpm.AmountApplied * _xlpm.ProductIngredientPercent4), _xlpm.calculatedAmount5, IF(_xlfn.ISOMITTED(_xlpm.ProductIngredient5), 0, _xlpm.AmountApplied * _xlpm.ProductIngredientPercent5), _xlpm.calculatedAmount6, IF(_xlfn.ISOMITTED(_xlpm.ProductIngredient6), 0, _xlpm.AmountApplied * _xlpm.ProductIngredientPercent6), Fertiliser_InputFunctions.Fertiliser_SumProductApplied(_xlpm.ChemicalCompound, _xlpm.ProductIngredient1, _xlpm.calculatedAmount1) + IFERROR(IF(_xlfn.ISOMITTED(_xlpm.ProductIngredient2), 0, Fertiliser_InputFunctions.Fertiliser_SumProductApplied(_xlpm.ChemicalCompound, _xlpm.ProductIngredient2, _xlpm.calculatedAmount2)), 0) + IFERROR(IF(_xlfn.ISOMITTED(_xlpm.ProductIngredient3), 0, Fertiliser_InputFunctions.Fertiliser_SumProductApplied(_xlpm.ChemicalCompound, _xlpm.ProductIngredient3, _xlpm.calculatedAmount3)), 0) + IFERROR(IF(_xlfn.ISOMITTED(_xlpm.ProductIngredient4), 0, Fertiliser_InputFunctions.Fertiliser_SumProductApplied(_xlpm.ChemicalCompound, _xlpm.ProductIngredient4, _xlpm.calculatedAmount4)), 0) + IFERROR(IF(_xlfn.ISOMITTED(_xlpm.ProductIngredient5), 0, Fertiliser_InputFunctions.Fertiliser_SumProductApplied(_xlpm.ChemicalCompound, _xlpm.ProductIngredient5, _xlpm.calculatedAmount5)), 0) + IFERROR(IF(_xlfn.ISOMITTED(_xlpm.ProductIngredient6), 0, Fertiliser_InputFunctions.Fertiliser_SumProductApplied(_xlpm.ChemicalCompound, _xlpm.ProductIngredient6, _xlpm.calculatedAmount6)), 0)))</definedName>
    <definedName name="Fertiliser_InputFunctions.Fertiliser_TotalChemicalCompoundtAppliedBySourceAllIngredients">_xlfn.LAMBDA(_xlpm.ChemicalCompound,_xlpm.Source,_xlpm.AmountApplied,_xlpm.ProductIngredient1,_xlpm.ProductIngredientPercent1,_xlpm.ProductIngredient1Source,_xlop.ProductIngredient2,_xlop.ProductIngredientPercent2,_xlop.ProductIngredient2Source,_xlop.ProductIngredient3,_xlop.ProductIngredientPercent3,_xlop.ProductIngredient3Source,_xlop.ProductIngredient4,_xlop.ProductIngredientPercent4,_xlop.ProductIngredient4Source,_xlop.ProductIngredient5,_xlop.ProductIngredientPercent5,_xlop.ProductIngredient5Source,_xlop.ProductIngredient6,_xlop.ProductIngredientPercent6,_xlop.ProductIngredient6Source, _xlfn.LET(_xlpm.calculatedAmount1, (_xlpm.AmountApplied * _xlpm.ProductIngredientPercent1), _xlpm.calculatedAmount2, (_xlpm.AmountApplied * _xlpm.ProductIngredientPercent2), _xlpm.calculatedAmount3, (_xlpm.AmountApplied * _xlpm.ProductIngredientPercent3), _xlpm.calculatedAmount4, (_xlpm.AmountApplied * _xlpm.ProductIngredientPercent4), _xlpm.calculatedAmount5, (_xlpm.AmountApplied * _xlpm.ProductIngredientPercent5), _xlpm.calculatedAmount6, (_xlpm.AmountApplied * _xlpm.ProductIngredientPercent6), Fertiliser_InputFunctions.Fertiliser_SumProductApplied(_xlpm.ChemicalCompound, _xlpm.ProductIngredient1, _xlpm.calculatedAmount1, _xlpm.Source, _xlpm.ProductIngredient1Source) + IFERROR(Fertiliser_InputFunctions.Fertiliser_SumProductApplied(_xlpm.ChemicalCompound, _xlpm.ProductIngredient2, _xlpm.calculatedAmount2, _xlpm.Source, _xlpm.ProductIngredient2Source), 0) + IFERROR(Fertiliser_InputFunctions.Fertiliser_SumProductApplied(_xlpm.ChemicalCompound, _xlpm.ProductIngredient3, _xlpm.calculatedAmount3, _xlpm.Source, _xlpm.ProductIngredient3Source), 0) + IFERROR(Fertiliser_InputFunctions.Fertiliser_SumProductApplied(_xlpm.ChemicalCompound, _xlpm.ProductIngredient4, _xlpm.calculatedAmount4, _xlpm.Source, _xlpm.ProductIngredient4Source), 0) + IFERROR(Fertiliser_InputFunctions.Fertiliser_SumProductApplied(_xlpm.ChemicalCompound, _xlpm.ProductIngredient5, _xlpm.calculatedAmount5, _xlpm.Source, _xlpm.ProductIngredient5Source), 0) + IFERROR(Fertiliser_InputFunctions.Fertiliser_SumProductApplied(_xlpm.ChemicalCompound, _xlpm.ProductIngredient6, _xlpm.calculatedAmount6, _xlpm.Source, _xlpm.ProductIngredient6Source), 0)))</definedName>
    <definedName name="Fertiliser_InputFunctions.Fertiliser_TotalSoilAmendmentApplied">_xlfn.LAMBDA(_xlpm.AmountApplied,_xlpm.AmendmentPercent, SUMPRODUCT(_xlpm.AmountApplied * _xlpm.AmendmentPercent))</definedName>
    <definedName name="getOverlappingReportingCycles">_xlfn.LAMBDA(_xlpm.ProductionCycleStart,_xlpm.ProductionCycleEnd,_xlpm.ReportingStartMonth,_xlpm.ReportingStartDay, _xlfn.LET(_xlpm.S, _xlpm.ProductionCycleStart, _xlpm.E, _xlpm.ProductionCycleEnd, _xlpm.m, _xlpm.ReportingStartMonth, _xlpm.d, _xlpm.ReportingStartDay, _xlpm.A, _xlpm.S - 364, _xlpm.ya, YEAR(_xlpm.A), _xlpm.yb, YEAR(_xlpm.E), _xlpm.firstYear, _xlpm.ya + (DATE(_xlpm.ya, _xlpm.m, _xlpm.d) &lt; _xlpm.A), _xlpm.lastYear, _xlpm.yb - (DATE(_xlpm.yb, _xlpm.m, _xlpm.d) &gt; _xlpm.E), MAX(0, _xlpm.lastYear - _xlpm.firstYear + 1)))</definedName>
    <definedName name="Inoput_Cell_Livestock_antibiotics">#REF!</definedName>
    <definedName name="Inoput_Cell_Livestockantibiotics">#REF!</definedName>
    <definedName name="Input_Cell_CO2_for_carbonation">#REF!</definedName>
    <definedName name="Input_Cell_CO2forcarbonation">#REF!</definedName>
    <definedName name="Input_Cell_Livestock_antibiotics">#REF!</definedName>
    <definedName name="Input_Cell_Livestock_tags">#REF!</definedName>
    <definedName name="Input_Cell_LivestockAntibiotics">#REF!</definedName>
    <definedName name="Input_Cell_Nylon_netting_for_horticulture">#REF!</definedName>
    <definedName name="Input_Cell_Nylonnettingforhorticulture">#REF!</definedName>
    <definedName name="Input_Cell_Pallets__Plastic">#REF!</definedName>
    <definedName name="Input_Cell_Pallets__Wood">#REF!</definedName>
    <definedName name="Input_Cell_Pallets_Plastic">#REF!</definedName>
    <definedName name="Input_Cell_Pallets_Wood">#REF!</definedName>
    <definedName name="Range_LivestockStartingValues">#REF!</definedName>
    <definedName name="Step1">#REF!</definedName>
    <definedName name="Step2">#REF!</definedName>
    <definedName name="Step3">#REF!</definedName>
    <definedName name="VEERG_6_1_1_1__1__NitrousOxideEmissionsFromCropResidues_Result_Method1">'6.1.1.1-2 Crop residue N2O'!$E$42</definedName>
    <definedName name="VEERG_6_1_1_1__1__NitrousOxideEmissionsFromCropResidues_Result_Method2">'6.1.1.1-2 Crop residue N2O'!$N$77</definedName>
    <definedName name="VEERG_6_2_1_1__1__NitrousOxideEmissionsFromPastureResidues_Result_Method1">'6.2.1.1-2 Pasture residue N2O'!$E$40</definedName>
    <definedName name="VEERG_6_2_1_1__1__NitrousOxideEmissionsFromPastureResidues_Result_Method2">'6.2.1.1-2 Pasture residue N2O'!$O$40</definedName>
    <definedName name="VEERG_6_3_1_1__1__LeachingAndRunoffEmissionsCropAndPastureResidue_Result_Method1">'6.3.1.1-2 Leaching and runoff'!$E$48</definedName>
    <definedName name="VEERG_6_3_1_1__1__LeachingAndRunoffEmissionsCropAndPastureResidue_Result_Method2">'6.3.1.1-2 Leaching and runoff'!$O$48</definedName>
    <definedName name="VEERG_6_4_1_1__1__MethaneEmissionsFromBurningOfCropResidues_Result_Method1">'6.4.1.1-2 Residue burning'!$E$62</definedName>
    <definedName name="VEERG_6_4_1_1__2__NitrousOxideEmissionsFromBurningOfCropResidues_Result_Method1">'6.4.1.1-2 Residue burning'!$E$39</definedName>
    <definedName name="X_Cell_Crop_AreaUnderCropping">'Input - Crop'!$E$13</definedName>
    <definedName name="X_Cell_Crop_AverageWeightPerBale">'Input - Crop'!$E$34</definedName>
    <definedName name="X_Cell_Crop_CropPurpose">'Input - Crop'!$E$10</definedName>
    <definedName name="X_Cell_Crop_CropType">'Input - Crop'!$E$9</definedName>
    <definedName name="X_Cell_Crop_IrrigationMethod">'Input - Crop'!$E$11</definedName>
    <definedName name="X_Cell_Crop_NumberOfBales">'Input - Crop'!$E$35</definedName>
    <definedName name="X_Cell_Crop_PercentResidueBaled">'Input - Crop'!$E$33</definedName>
    <definedName name="X_Cell_Crop_PercentResidueBurned">'Input - Crop'!$E$43</definedName>
    <definedName name="X_Cell_Crop_PercentResidueGrazed">'Input - Crop'!$E$39</definedName>
    <definedName name="X_Cell_Crop_YieldPerHectare">'Input - Crop'!$E$17</definedName>
    <definedName name="X_Cell_Pasture_AreaRemovedOrRenewed">'Input - Pasture'!$E$25</definedName>
    <definedName name="X_Cell_Pasture_AreaUnderPasture">'Input - Pasture'!$E$12</definedName>
    <definedName name="X_Cell_Pasture_IrrigationMethod">'Input - Pasture'!$E$10</definedName>
    <definedName name="X_Cell_Pasture_PastureType">'Input - Pasture'!$E$9</definedName>
    <definedName name="X_Cell_Pasture_YieldPerHectare">'Input - Pasture'!$E$19</definedName>
    <definedName name="X_Cell_Site_AverageTemperature">'Input - Site'!$E$25</definedName>
    <definedName name="X_Cell_Site_Elevation">'Input - Site'!$E$24</definedName>
    <definedName name="X_Cell_Site_FarmName">'Input - Site'!$E$7</definedName>
    <definedName name="X_Cell_Site_FrostDays">'Input - Site'!$E$28</definedName>
    <definedName name="X_Cell_Site_LeachingZone">'Input - Site'!$E$23</definedName>
    <definedName name="X_Cell_Site_PotentialEvapotranspiration">'Input - Site'!$E$27</definedName>
    <definedName name="X_Cell_Site_Region">'Input - Site'!$E$22</definedName>
    <definedName name="X_Cell_Site_ReportingEntityName">'Input - Site'!$E$8</definedName>
    <definedName name="X_Cell_Site_StartDate">'Input - Site'!$E$12</definedName>
    <definedName name="X_Cell_Site_State">'Input - Site'!$E$21</definedName>
    <definedName name="X_Cell_Site_TotalRainfall">'Input - Site'!$E$26</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39" i="113" l="1"/>
  <c r="J37" i="113"/>
  <c r="J15" i="113"/>
  <c r="H25" i="113"/>
  <c r="H24" i="113"/>
  <c r="E30" i="15"/>
  <c r="E33" i="15"/>
  <c r="E32" i="15"/>
  <c r="E31" i="15"/>
  <c r="I59" i="114"/>
  <c r="I36" i="114"/>
  <c r="J38" i="113"/>
  <c r="J35" i="74"/>
  <c r="R73" i="69"/>
  <c r="I38" i="69"/>
  <c r="H65" i="114"/>
  <c r="H42" i="114"/>
  <c r="Q51" i="113"/>
  <c r="G51" i="113"/>
  <c r="Q43" i="74"/>
  <c r="G43" i="74"/>
  <c r="P80" i="69"/>
  <c r="G45" i="69"/>
  <c r="I22" i="69"/>
  <c r="E259" i="121" a="1"/>
  <c r="E259" i="121" s="1"/>
  <c r="D259" i="121" a="1"/>
  <c r="D259" i="121" s="1"/>
  <c r="E258" i="121" a="1"/>
  <c r="E258" i="121" s="1"/>
  <c r="D258" i="121" a="1"/>
  <c r="D258" i="121" s="1"/>
  <c r="D256" i="121" a="1"/>
  <c r="D256" i="121" s="1"/>
  <c r="D255" i="121" a="1"/>
  <c r="D255" i="121" s="1"/>
  <c r="D254" i="121" a="1"/>
  <c r="D254" i="121" s="1"/>
  <c r="D253" i="121" a="1"/>
  <c r="D253" i="121" s="1"/>
  <c r="S250" i="121" a="1"/>
  <c r="S250" i="121" s="1"/>
  <c r="R250" i="121" a="1"/>
  <c r="R250" i="121" s="1"/>
  <c r="Q250" i="121" a="1"/>
  <c r="Q250" i="121" s="1"/>
  <c r="P250" i="121" a="1"/>
  <c r="P250" i="121" s="1"/>
  <c r="O250" i="121" a="1"/>
  <c r="O250" i="121" s="1"/>
  <c r="N250" i="121" a="1"/>
  <c r="N250" i="121" s="1"/>
  <c r="M250" i="121" a="1"/>
  <c r="M250" i="121" s="1"/>
  <c r="L250" i="121" a="1"/>
  <c r="L250" i="121" s="1"/>
  <c r="K250" i="121" a="1"/>
  <c r="K250" i="121" s="1"/>
  <c r="J250" i="121" a="1"/>
  <c r="J250" i="121" s="1"/>
  <c r="I250" i="121" a="1"/>
  <c r="I250" i="121" s="1"/>
  <c r="H250" i="121" a="1"/>
  <c r="H250" i="121" s="1"/>
  <c r="G250" i="121" a="1"/>
  <c r="G250" i="121" s="1"/>
  <c r="F250" i="121" a="1"/>
  <c r="F250" i="121" s="1"/>
  <c r="E250" i="121" a="1"/>
  <c r="E250" i="121" s="1"/>
  <c r="D250" i="121" a="1"/>
  <c r="D250" i="121" s="1"/>
  <c r="S249" i="121" a="1"/>
  <c r="S249" i="121" s="1"/>
  <c r="R249" i="121" a="1"/>
  <c r="R249" i="121" s="1"/>
  <c r="Q249" i="121" a="1"/>
  <c r="Q249" i="121" s="1"/>
  <c r="P249" i="121" a="1"/>
  <c r="P249" i="121" s="1"/>
  <c r="O249" i="121" a="1"/>
  <c r="O249" i="121" s="1"/>
  <c r="N249" i="121" a="1"/>
  <c r="N249" i="121" s="1"/>
  <c r="M249" i="121" a="1"/>
  <c r="M249" i="121" s="1"/>
  <c r="L249" i="121" a="1"/>
  <c r="L249" i="121" s="1"/>
  <c r="K249" i="121" a="1"/>
  <c r="K249" i="121" s="1"/>
  <c r="J249" i="121" a="1"/>
  <c r="J249" i="121" s="1"/>
  <c r="I249" i="121" a="1"/>
  <c r="I249" i="121" s="1"/>
  <c r="H249" i="121" a="1"/>
  <c r="H249" i="121" s="1"/>
  <c r="G249" i="121" a="1"/>
  <c r="G249" i="121" s="1"/>
  <c r="F249" i="121" a="1"/>
  <c r="F249" i="121" s="1"/>
  <c r="E249" i="121" a="1"/>
  <c r="E249" i="121" s="1"/>
  <c r="D249" i="121" a="1"/>
  <c r="D249" i="121" s="1"/>
  <c r="S248" i="121" a="1"/>
  <c r="S248" i="121" s="1"/>
  <c r="R248" i="121" a="1"/>
  <c r="R248" i="121" s="1"/>
  <c r="Q248" i="121" a="1"/>
  <c r="Q248" i="121" s="1"/>
  <c r="P248" i="121" a="1"/>
  <c r="P248" i="121" s="1"/>
  <c r="O248" i="121" a="1"/>
  <c r="O248" i="121" s="1"/>
  <c r="N248" i="121" a="1"/>
  <c r="N248" i="121" s="1"/>
  <c r="M248" i="121" a="1"/>
  <c r="M248" i="121" s="1"/>
  <c r="L248" i="121" a="1"/>
  <c r="L248" i="121" s="1"/>
  <c r="K248" i="121" a="1"/>
  <c r="K248" i="121" s="1"/>
  <c r="J248" i="121" a="1"/>
  <c r="J248" i="121" s="1"/>
  <c r="I248" i="121" a="1"/>
  <c r="I248" i="121" s="1"/>
  <c r="H248" i="121" a="1"/>
  <c r="H248" i="121" s="1"/>
  <c r="G248" i="121" a="1"/>
  <c r="G248" i="121" s="1"/>
  <c r="F248" i="121" a="1"/>
  <c r="F248" i="121" s="1"/>
  <c r="E248" i="121" a="1"/>
  <c r="E248" i="121" s="1"/>
  <c r="D248" i="121" a="1"/>
  <c r="D248" i="121" s="1"/>
  <c r="S247" i="121" a="1"/>
  <c r="S247" i="121" s="1"/>
  <c r="R247" i="121" a="1"/>
  <c r="R247" i="121" s="1"/>
  <c r="Q247" i="121" a="1"/>
  <c r="Q247" i="121" s="1"/>
  <c r="P247" i="121" a="1"/>
  <c r="P247" i="121" s="1"/>
  <c r="O247" i="121" a="1"/>
  <c r="O247" i="121" s="1"/>
  <c r="N247" i="121" a="1"/>
  <c r="N247" i="121" s="1"/>
  <c r="M247" i="121" a="1"/>
  <c r="M247" i="121" s="1"/>
  <c r="L247" i="121" a="1"/>
  <c r="L247" i="121" s="1"/>
  <c r="K247" i="121" a="1"/>
  <c r="K247" i="121" s="1"/>
  <c r="J247" i="121" a="1"/>
  <c r="J247" i="121" s="1"/>
  <c r="I247" i="121" a="1"/>
  <c r="I247" i="121" s="1"/>
  <c r="H247" i="121" a="1"/>
  <c r="H247" i="121" s="1"/>
  <c r="G247" i="121" a="1"/>
  <c r="G247" i="121" s="1"/>
  <c r="F247" i="121" a="1"/>
  <c r="F247" i="121" s="1"/>
  <c r="E247" i="121" a="1"/>
  <c r="E247" i="121" s="1"/>
  <c r="D247" i="121" a="1"/>
  <c r="D247" i="121" s="1"/>
  <c r="S246" i="121" a="1"/>
  <c r="S246" i="121" s="1"/>
  <c r="R246" i="121" a="1"/>
  <c r="R246" i="121" s="1"/>
  <c r="Q246" i="121" a="1"/>
  <c r="Q246" i="121" s="1"/>
  <c r="P246" i="121" a="1"/>
  <c r="P246" i="121" s="1"/>
  <c r="O246" i="121" a="1"/>
  <c r="O246" i="121" s="1"/>
  <c r="N246" i="121" a="1"/>
  <c r="N246" i="121" s="1"/>
  <c r="M246" i="121" a="1"/>
  <c r="M246" i="121" s="1"/>
  <c r="L246" i="121" a="1"/>
  <c r="L246" i="121" s="1"/>
  <c r="K246" i="121" a="1"/>
  <c r="K246" i="121" s="1"/>
  <c r="J246" i="121" a="1"/>
  <c r="J246" i="121" s="1"/>
  <c r="I246" i="121" a="1"/>
  <c r="I246" i="121" s="1"/>
  <c r="H246" i="121" a="1"/>
  <c r="H246" i="121" s="1"/>
  <c r="G246" i="121" a="1"/>
  <c r="G246" i="121" s="1"/>
  <c r="F246" i="121" a="1"/>
  <c r="F246" i="121" s="1"/>
  <c r="E246" i="121" a="1"/>
  <c r="E246" i="121" s="1"/>
  <c r="D246" i="121" a="1"/>
  <c r="D246" i="121" s="1"/>
  <c r="S245" i="121" a="1"/>
  <c r="S245" i="121" s="1"/>
  <c r="R245" i="121" a="1"/>
  <c r="R245" i="121" s="1"/>
  <c r="Q245" i="121" a="1"/>
  <c r="Q245" i="121" s="1"/>
  <c r="P245" i="121" a="1"/>
  <c r="P245" i="121" s="1"/>
  <c r="O245" i="121" a="1"/>
  <c r="O245" i="121" s="1"/>
  <c r="N245" i="121" a="1"/>
  <c r="N245" i="121" s="1"/>
  <c r="M245" i="121" a="1"/>
  <c r="M245" i="121" s="1"/>
  <c r="L245" i="121" a="1"/>
  <c r="L245" i="121" s="1"/>
  <c r="K245" i="121" a="1"/>
  <c r="K245" i="121" s="1"/>
  <c r="J245" i="121" a="1"/>
  <c r="J245" i="121" s="1"/>
  <c r="I245" i="121" a="1"/>
  <c r="I245" i="121" s="1"/>
  <c r="H245" i="121" a="1"/>
  <c r="H245" i="121" s="1"/>
  <c r="G245" i="121" a="1"/>
  <c r="G245" i="121" s="1"/>
  <c r="F245" i="121" a="1"/>
  <c r="F245" i="121" s="1"/>
  <c r="E245" i="121" a="1"/>
  <c r="E245" i="121" s="1"/>
  <c r="D245" i="121" a="1"/>
  <c r="D245" i="121" s="1"/>
  <c r="S244" i="121" a="1"/>
  <c r="S244" i="121" s="1"/>
  <c r="R244" i="121" a="1"/>
  <c r="R244" i="121" s="1"/>
  <c r="Q244" i="121" a="1"/>
  <c r="Q244" i="121" s="1"/>
  <c r="P244" i="121" a="1"/>
  <c r="P244" i="121" s="1"/>
  <c r="O244" i="121" a="1"/>
  <c r="O244" i="121" s="1"/>
  <c r="N244" i="121" a="1"/>
  <c r="N244" i="121" s="1"/>
  <c r="M244" i="121" a="1"/>
  <c r="M244" i="121" s="1"/>
  <c r="L244" i="121" a="1"/>
  <c r="L244" i="121" s="1"/>
  <c r="K244" i="121" a="1"/>
  <c r="K244" i="121" s="1"/>
  <c r="J244" i="121" a="1"/>
  <c r="J244" i="121" s="1"/>
  <c r="I244" i="121" a="1"/>
  <c r="I244" i="121" s="1"/>
  <c r="H244" i="121" a="1"/>
  <c r="H244" i="121" s="1"/>
  <c r="G244" i="121" a="1"/>
  <c r="G244" i="121" s="1"/>
  <c r="F244" i="121" a="1"/>
  <c r="F244" i="121" s="1"/>
  <c r="E244" i="121" a="1"/>
  <c r="E244" i="121" s="1"/>
  <c r="D244" i="121" a="1"/>
  <c r="D244" i="121" s="1"/>
  <c r="S243" i="121" a="1"/>
  <c r="S243" i="121" s="1"/>
  <c r="R243" i="121" a="1"/>
  <c r="R243" i="121" s="1"/>
  <c r="Q243" i="121" a="1"/>
  <c r="Q243" i="121" s="1"/>
  <c r="P243" i="121" a="1"/>
  <c r="P243" i="121" s="1"/>
  <c r="O243" i="121" a="1"/>
  <c r="O243" i="121" s="1"/>
  <c r="N243" i="121" a="1"/>
  <c r="N243" i="121" s="1"/>
  <c r="M243" i="121" a="1"/>
  <c r="M243" i="121" s="1"/>
  <c r="L243" i="121" a="1"/>
  <c r="L243" i="121" s="1"/>
  <c r="K243" i="121" a="1"/>
  <c r="K243" i="121" s="1"/>
  <c r="J243" i="121" a="1"/>
  <c r="J243" i="121" s="1"/>
  <c r="I243" i="121" a="1"/>
  <c r="I243" i="121" s="1"/>
  <c r="H243" i="121" a="1"/>
  <c r="H243" i="121" s="1"/>
  <c r="G243" i="121" a="1"/>
  <c r="G243" i="121" s="1"/>
  <c r="F243" i="121" a="1"/>
  <c r="F243" i="121" s="1"/>
  <c r="E243" i="121" a="1"/>
  <c r="E243" i="121" s="1"/>
  <c r="D243" i="121" a="1"/>
  <c r="D243" i="121" s="1"/>
  <c r="S242" i="121" a="1"/>
  <c r="S242" i="121" s="1"/>
  <c r="R242" i="121" a="1"/>
  <c r="R242" i="121" s="1"/>
  <c r="Q242" i="121" a="1"/>
  <c r="Q242" i="121" s="1"/>
  <c r="P242" i="121" a="1"/>
  <c r="P242" i="121" s="1"/>
  <c r="O242" i="121" a="1"/>
  <c r="O242" i="121" s="1"/>
  <c r="N242" i="121" a="1"/>
  <c r="N242" i="121" s="1"/>
  <c r="M242" i="121" a="1"/>
  <c r="M242" i="121" s="1"/>
  <c r="L242" i="121" a="1"/>
  <c r="L242" i="121" s="1"/>
  <c r="K242" i="121" a="1"/>
  <c r="K242" i="121" s="1"/>
  <c r="J242" i="121" a="1"/>
  <c r="J242" i="121" s="1"/>
  <c r="I242" i="121" a="1"/>
  <c r="I242" i="121" s="1"/>
  <c r="H242" i="121" a="1"/>
  <c r="H242" i="121" s="1"/>
  <c r="G242" i="121" a="1"/>
  <c r="G242" i="121" s="1"/>
  <c r="F242" i="121" a="1"/>
  <c r="F242" i="121" s="1"/>
  <c r="E242" i="121" a="1"/>
  <c r="E242" i="121" s="1"/>
  <c r="D242" i="121" a="1"/>
  <c r="D242" i="121" s="1"/>
  <c r="S241" i="121" a="1"/>
  <c r="S241" i="121" s="1"/>
  <c r="R241" i="121" a="1"/>
  <c r="R241" i="121" s="1"/>
  <c r="Q241" i="121" a="1"/>
  <c r="Q241" i="121" s="1"/>
  <c r="P241" i="121" a="1"/>
  <c r="P241" i="121" s="1"/>
  <c r="O241" i="121" a="1"/>
  <c r="O241" i="121" s="1"/>
  <c r="N241" i="121" a="1"/>
  <c r="N241" i="121" s="1"/>
  <c r="M241" i="121" a="1"/>
  <c r="M241" i="121" s="1"/>
  <c r="L241" i="121" a="1"/>
  <c r="L241" i="121" s="1"/>
  <c r="K241" i="121" a="1"/>
  <c r="K241" i="121" s="1"/>
  <c r="J241" i="121" a="1"/>
  <c r="J241" i="121" s="1"/>
  <c r="I241" i="121" a="1"/>
  <c r="I241" i="121" s="1"/>
  <c r="H241" i="121" a="1"/>
  <c r="H241" i="121" s="1"/>
  <c r="G241" i="121" a="1"/>
  <c r="G241" i="121" s="1"/>
  <c r="F241" i="121" a="1"/>
  <c r="F241" i="121" s="1"/>
  <c r="E241" i="121" a="1"/>
  <c r="E241" i="121" s="1"/>
  <c r="D241" i="121" a="1"/>
  <c r="D241" i="121" s="1"/>
  <c r="S240" i="121" a="1"/>
  <c r="S240" i="121" s="1"/>
  <c r="R240" i="121" a="1"/>
  <c r="R240" i="121" s="1"/>
  <c r="Q240" i="121" a="1"/>
  <c r="Q240" i="121" s="1"/>
  <c r="P240" i="121" a="1"/>
  <c r="P240" i="121" s="1"/>
  <c r="O240" i="121" a="1"/>
  <c r="O240" i="121" s="1"/>
  <c r="N240" i="121" a="1"/>
  <c r="N240" i="121" s="1"/>
  <c r="M240" i="121" a="1"/>
  <c r="M240" i="121" s="1"/>
  <c r="L240" i="121" a="1"/>
  <c r="L240" i="121" s="1"/>
  <c r="K240" i="121" a="1"/>
  <c r="K240" i="121" s="1"/>
  <c r="J240" i="121" a="1"/>
  <c r="J240" i="121" s="1"/>
  <c r="I240" i="121" a="1"/>
  <c r="I240" i="121" s="1"/>
  <c r="H240" i="121" a="1"/>
  <c r="H240" i="121" s="1"/>
  <c r="G240" i="121" a="1"/>
  <c r="G240" i="121" s="1"/>
  <c r="F240" i="121" a="1"/>
  <c r="F240" i="121" s="1"/>
  <c r="E240" i="121" a="1"/>
  <c r="E240" i="121" s="1"/>
  <c r="D240" i="121" a="1"/>
  <c r="D240" i="121" s="1"/>
  <c r="S239" i="121" a="1"/>
  <c r="S239" i="121" s="1"/>
  <c r="R239" i="121" a="1"/>
  <c r="R239" i="121" s="1"/>
  <c r="Q239" i="121" a="1"/>
  <c r="Q239" i="121" s="1"/>
  <c r="P239" i="121" a="1"/>
  <c r="P239" i="121" s="1"/>
  <c r="O239" i="121" a="1"/>
  <c r="O239" i="121" s="1"/>
  <c r="N239" i="121" a="1"/>
  <c r="N239" i="121" s="1"/>
  <c r="M239" i="121" a="1"/>
  <c r="M239" i="121" s="1"/>
  <c r="L239" i="121" a="1"/>
  <c r="L239" i="121" s="1"/>
  <c r="K239" i="121" a="1"/>
  <c r="K239" i="121" s="1"/>
  <c r="J239" i="121" a="1"/>
  <c r="J239" i="121" s="1"/>
  <c r="I239" i="121" a="1"/>
  <c r="I239" i="121" s="1"/>
  <c r="H239" i="121" a="1"/>
  <c r="H239" i="121" s="1"/>
  <c r="G239" i="121" a="1"/>
  <c r="G239" i="121" s="1"/>
  <c r="F239" i="121" a="1"/>
  <c r="F239" i="121" s="1"/>
  <c r="E239" i="121" a="1"/>
  <c r="E239" i="121" s="1"/>
  <c r="D239" i="121" a="1"/>
  <c r="D239" i="121" s="1"/>
  <c r="S238" i="121" a="1"/>
  <c r="S238" i="121" s="1"/>
  <c r="R238" i="121" a="1"/>
  <c r="R238" i="121" s="1"/>
  <c r="Q238" i="121" a="1"/>
  <c r="Q238" i="121" s="1"/>
  <c r="P238" i="121" a="1"/>
  <c r="P238" i="121" s="1"/>
  <c r="O238" i="121" a="1"/>
  <c r="O238" i="121" s="1"/>
  <c r="N238" i="121" a="1"/>
  <c r="N238" i="121" s="1"/>
  <c r="M238" i="121" a="1"/>
  <c r="M238" i="121" s="1"/>
  <c r="L238" i="121" a="1"/>
  <c r="L238" i="121" s="1"/>
  <c r="K238" i="121" a="1"/>
  <c r="K238" i="121" s="1"/>
  <c r="J238" i="121" a="1"/>
  <c r="J238" i="121" s="1"/>
  <c r="I238" i="121" a="1"/>
  <c r="I238" i="121" s="1"/>
  <c r="H238" i="121" a="1"/>
  <c r="H238" i="121" s="1"/>
  <c r="G238" i="121" a="1"/>
  <c r="G238" i="121" s="1"/>
  <c r="F238" i="121" a="1"/>
  <c r="F238" i="121" s="1"/>
  <c r="E238" i="121" a="1"/>
  <c r="E238" i="121" s="1"/>
  <c r="D238" i="121" a="1"/>
  <c r="D238" i="121" s="1"/>
  <c r="S237" i="121" a="1"/>
  <c r="S237" i="121" s="1"/>
  <c r="R237" i="121" a="1"/>
  <c r="R237" i="121" s="1"/>
  <c r="Q237" i="121" a="1"/>
  <c r="Q237" i="121" s="1"/>
  <c r="P237" i="121" a="1"/>
  <c r="P237" i="121" s="1"/>
  <c r="O237" i="121" a="1"/>
  <c r="O237" i="121" s="1"/>
  <c r="N237" i="121" a="1"/>
  <c r="N237" i="121" s="1"/>
  <c r="M237" i="121" a="1"/>
  <c r="M237" i="121" s="1"/>
  <c r="L237" i="121" a="1"/>
  <c r="L237" i="121" s="1"/>
  <c r="K237" i="121" a="1"/>
  <c r="K237" i="121" s="1"/>
  <c r="J237" i="121" a="1"/>
  <c r="J237" i="121" s="1"/>
  <c r="I237" i="121" a="1"/>
  <c r="I237" i="121" s="1"/>
  <c r="H237" i="121" a="1"/>
  <c r="H237" i="121" s="1"/>
  <c r="G237" i="121" a="1"/>
  <c r="G237" i="121" s="1"/>
  <c r="F237" i="121" a="1"/>
  <c r="F237" i="121" s="1"/>
  <c r="E237" i="121" a="1"/>
  <c r="E237" i="121" s="1"/>
  <c r="D237" i="121" a="1"/>
  <c r="D237" i="121" s="1"/>
  <c r="S236" i="121" a="1"/>
  <c r="S236" i="121" s="1"/>
  <c r="R236" i="121" a="1"/>
  <c r="R236" i="121" s="1"/>
  <c r="Q236" i="121" a="1"/>
  <c r="Q236" i="121" s="1"/>
  <c r="P236" i="121" a="1"/>
  <c r="P236" i="121" s="1"/>
  <c r="O236" i="121" a="1"/>
  <c r="O236" i="121" s="1"/>
  <c r="N236" i="121" a="1"/>
  <c r="N236" i="121" s="1"/>
  <c r="M236" i="121" a="1"/>
  <c r="M236" i="121" s="1"/>
  <c r="L236" i="121" a="1"/>
  <c r="L236" i="121" s="1"/>
  <c r="K236" i="121" a="1"/>
  <c r="K236" i="121" s="1"/>
  <c r="J236" i="121" a="1"/>
  <c r="J236" i="121" s="1"/>
  <c r="I236" i="121" a="1"/>
  <c r="I236" i="121" s="1"/>
  <c r="H236" i="121" a="1"/>
  <c r="H236" i="121" s="1"/>
  <c r="G236" i="121" a="1"/>
  <c r="G236" i="121" s="1"/>
  <c r="F236" i="121" a="1"/>
  <c r="F236" i="121" s="1"/>
  <c r="E236" i="121" a="1"/>
  <c r="E236" i="121" s="1"/>
  <c r="D236" i="121" a="1"/>
  <c r="D236" i="121" s="1"/>
  <c r="S235" i="121" a="1"/>
  <c r="S235" i="121" s="1"/>
  <c r="R235" i="121" a="1"/>
  <c r="R235" i="121" s="1"/>
  <c r="Q235" i="121" a="1"/>
  <c r="Q235" i="121" s="1"/>
  <c r="P235" i="121" a="1"/>
  <c r="P235" i="121" s="1"/>
  <c r="O235" i="121" a="1"/>
  <c r="O235" i="121" s="1"/>
  <c r="N235" i="121" a="1"/>
  <c r="N235" i="121" s="1"/>
  <c r="M235" i="121" a="1"/>
  <c r="M235" i="121" s="1"/>
  <c r="L235" i="121" a="1"/>
  <c r="L235" i="121" s="1"/>
  <c r="K235" i="121" a="1"/>
  <c r="K235" i="121" s="1"/>
  <c r="J235" i="121" a="1"/>
  <c r="J235" i="121" s="1"/>
  <c r="I235" i="121" a="1"/>
  <c r="I235" i="121" s="1"/>
  <c r="H235" i="121" a="1"/>
  <c r="H235" i="121" s="1"/>
  <c r="G235" i="121" a="1"/>
  <c r="G235" i="121" s="1"/>
  <c r="F235" i="121" a="1"/>
  <c r="F235" i="121" s="1"/>
  <c r="E235" i="121" a="1"/>
  <c r="E235" i="121" s="1"/>
  <c r="D235" i="121" a="1"/>
  <c r="D235" i="121" s="1"/>
  <c r="S234" i="121" a="1"/>
  <c r="S234" i="121" s="1"/>
  <c r="R234" i="121" a="1"/>
  <c r="R234" i="121" s="1"/>
  <c r="Q234" i="121" a="1"/>
  <c r="Q234" i="121" s="1"/>
  <c r="P234" i="121" a="1"/>
  <c r="P234" i="121" s="1"/>
  <c r="O234" i="121" a="1"/>
  <c r="O234" i="121" s="1"/>
  <c r="N234" i="121" a="1"/>
  <c r="N234" i="121" s="1"/>
  <c r="M234" i="121" a="1"/>
  <c r="M234" i="121" s="1"/>
  <c r="L234" i="121" a="1"/>
  <c r="L234" i="121" s="1"/>
  <c r="K234" i="121" a="1"/>
  <c r="K234" i="121" s="1"/>
  <c r="J234" i="121" a="1"/>
  <c r="J234" i="121" s="1"/>
  <c r="I234" i="121" a="1"/>
  <c r="I234" i="121" s="1"/>
  <c r="H234" i="121" a="1"/>
  <c r="H234" i="121" s="1"/>
  <c r="G234" i="121" a="1"/>
  <c r="G234" i="121" s="1"/>
  <c r="F234" i="121" a="1"/>
  <c r="F234" i="121" s="1"/>
  <c r="E234" i="121" a="1"/>
  <c r="E234" i="121" s="1"/>
  <c r="D234" i="121" a="1"/>
  <c r="D234" i="121" s="1"/>
  <c r="S233" i="121" a="1"/>
  <c r="S233" i="121" s="1"/>
  <c r="R233" i="121" a="1"/>
  <c r="R233" i="121" s="1"/>
  <c r="Q233" i="121" a="1"/>
  <c r="Q233" i="121" s="1"/>
  <c r="P233" i="121" a="1"/>
  <c r="P233" i="121" s="1"/>
  <c r="O233" i="121" a="1"/>
  <c r="O233" i="121" s="1"/>
  <c r="N233" i="121" a="1"/>
  <c r="N233" i="121" s="1"/>
  <c r="M233" i="121" a="1"/>
  <c r="M233" i="121" s="1"/>
  <c r="L233" i="121" a="1"/>
  <c r="L233" i="121" s="1"/>
  <c r="K233" i="121" a="1"/>
  <c r="K233" i="121" s="1"/>
  <c r="J233" i="121" a="1"/>
  <c r="J233" i="121" s="1"/>
  <c r="I233" i="121" a="1"/>
  <c r="I233" i="121" s="1"/>
  <c r="H233" i="121" a="1"/>
  <c r="H233" i="121" s="1"/>
  <c r="G233" i="121" a="1"/>
  <c r="G233" i="121" s="1"/>
  <c r="F233" i="121" a="1"/>
  <c r="F233" i="121" s="1"/>
  <c r="E233" i="121" a="1"/>
  <c r="E233" i="121" s="1"/>
  <c r="D233" i="121" a="1"/>
  <c r="D233" i="121" s="1"/>
  <c r="S232" i="121" a="1"/>
  <c r="S232" i="121" s="1"/>
  <c r="R232" i="121" a="1"/>
  <c r="R232" i="121" s="1"/>
  <c r="Q232" i="121" a="1"/>
  <c r="Q232" i="121" s="1"/>
  <c r="P232" i="121" a="1"/>
  <c r="P232" i="121" s="1"/>
  <c r="O232" i="121" a="1"/>
  <c r="O232" i="121" s="1"/>
  <c r="N232" i="121" a="1"/>
  <c r="N232" i="121" s="1"/>
  <c r="M232" i="121" a="1"/>
  <c r="M232" i="121" s="1"/>
  <c r="L232" i="121" a="1"/>
  <c r="L232" i="121" s="1"/>
  <c r="K232" i="121" a="1"/>
  <c r="K232" i="121" s="1"/>
  <c r="J232" i="121" a="1"/>
  <c r="J232" i="121" s="1"/>
  <c r="I232" i="121" a="1"/>
  <c r="I232" i="121" s="1"/>
  <c r="H232" i="121" a="1"/>
  <c r="H232" i="121" s="1"/>
  <c r="G232" i="121" a="1"/>
  <c r="G232" i="121" s="1"/>
  <c r="F232" i="121" a="1"/>
  <c r="F232" i="121" s="1"/>
  <c r="E232" i="121" a="1"/>
  <c r="E232" i="121" s="1"/>
  <c r="D232" i="121" a="1"/>
  <c r="D232" i="121" s="1"/>
  <c r="D229" i="121" a="1"/>
  <c r="D229" i="121" s="1"/>
  <c r="D228" i="121" a="1"/>
  <c r="D228" i="121" s="1"/>
  <c r="D227" i="121" a="1"/>
  <c r="D227" i="121" s="1"/>
  <c r="E224" i="121" a="1"/>
  <c r="E224" i="121" s="1"/>
  <c r="D224" i="121" a="1"/>
  <c r="D224" i="121" s="1"/>
  <c r="E223" i="121" a="1"/>
  <c r="E223" i="121" s="1"/>
  <c r="D223" i="121" a="1"/>
  <c r="D223" i="121" s="1"/>
  <c r="E222" i="121" a="1"/>
  <c r="E222" i="121" s="1"/>
  <c r="D222" i="121" a="1"/>
  <c r="D222" i="121" s="1"/>
  <c r="E221" i="121" a="1"/>
  <c r="E221" i="121" s="1"/>
  <c r="D221" i="121" a="1"/>
  <c r="D221" i="121" s="1"/>
  <c r="E220" i="121" a="1"/>
  <c r="E220" i="121" s="1"/>
  <c r="D220" i="121" a="1"/>
  <c r="D220" i="121" s="1"/>
  <c r="E219" i="121" a="1"/>
  <c r="E219" i="121" s="1"/>
  <c r="D219" i="121" a="1"/>
  <c r="D219" i="121" s="1"/>
  <c r="E218" i="121" a="1"/>
  <c r="E218" i="121" s="1"/>
  <c r="D218" i="121" a="1"/>
  <c r="D218" i="121" s="1"/>
  <c r="E217" i="121" a="1"/>
  <c r="E217" i="121" s="1"/>
  <c r="D217" i="121" a="1"/>
  <c r="D217" i="121" s="1"/>
  <c r="E216" i="121" a="1"/>
  <c r="E216" i="121" s="1"/>
  <c r="D216" i="121" a="1"/>
  <c r="D216" i="121" s="1"/>
  <c r="E215" i="121" a="1"/>
  <c r="E215" i="121" s="1"/>
  <c r="D215" i="121" a="1"/>
  <c r="D215" i="121" s="1"/>
  <c r="E214" i="121" a="1"/>
  <c r="E214" i="121" s="1"/>
  <c r="D214" i="121" a="1"/>
  <c r="D214" i="121" s="1"/>
  <c r="E213" i="121" a="1"/>
  <c r="E213" i="121" s="1"/>
  <c r="D213" i="121" a="1"/>
  <c r="D213" i="121" s="1"/>
  <c r="D211" i="121" a="1"/>
  <c r="D211" i="121" s="1"/>
  <c r="E208" i="121" a="1"/>
  <c r="E208" i="121" s="1"/>
  <c r="D208" i="121" a="1"/>
  <c r="D208" i="121" s="1"/>
  <c r="E207" i="121" a="1"/>
  <c r="E207" i="121" s="1"/>
  <c r="D207" i="121" a="1"/>
  <c r="D207" i="121" s="1"/>
  <c r="D205" i="121" a="1"/>
  <c r="D205" i="121" s="1"/>
  <c r="D204" i="121" a="1"/>
  <c r="D204" i="121" s="1"/>
  <c r="D203" i="121" a="1"/>
  <c r="D203" i="121" s="1"/>
  <c r="D202" i="121" a="1"/>
  <c r="D202" i="121" s="1"/>
  <c r="H199" i="121" a="1"/>
  <c r="H199" i="121" s="1"/>
  <c r="G199" i="121" a="1"/>
  <c r="G199" i="121" s="1"/>
  <c r="F199" i="121" a="1"/>
  <c r="F199" i="121" s="1"/>
  <c r="E199" i="121" a="1"/>
  <c r="E199" i="121" s="1"/>
  <c r="D199" i="121" a="1"/>
  <c r="D199" i="121" s="1"/>
  <c r="H198" i="121" a="1"/>
  <c r="H198" i="121" s="1"/>
  <c r="G198" i="121" a="1"/>
  <c r="G198" i="121" s="1"/>
  <c r="F198" i="121" a="1"/>
  <c r="F198" i="121" s="1"/>
  <c r="E198" i="121" a="1"/>
  <c r="E198" i="121" s="1"/>
  <c r="D198" i="121" a="1"/>
  <c r="D198" i="121" s="1"/>
  <c r="H197" i="121" a="1"/>
  <c r="H197" i="121" s="1"/>
  <c r="G197" i="121" a="1"/>
  <c r="G197" i="121" s="1"/>
  <c r="F197" i="121" a="1"/>
  <c r="F197" i="121" s="1"/>
  <c r="E197" i="121" a="1"/>
  <c r="E197" i="121" s="1"/>
  <c r="D197" i="121" a="1"/>
  <c r="D197" i="121" s="1"/>
  <c r="H196" i="121" a="1"/>
  <c r="H196" i="121" s="1"/>
  <c r="G196" i="121" a="1"/>
  <c r="G196" i="121" s="1"/>
  <c r="F196" i="121" a="1"/>
  <c r="F196" i="121" s="1"/>
  <c r="E196" i="121" a="1"/>
  <c r="E196" i="121" s="1"/>
  <c r="D196" i="121" a="1"/>
  <c r="D196" i="121" s="1"/>
  <c r="H195" i="121" a="1"/>
  <c r="H195" i="121" s="1"/>
  <c r="G195" i="121" a="1"/>
  <c r="G195" i="121" s="1"/>
  <c r="F195" i="121" a="1"/>
  <c r="F195" i="121" s="1"/>
  <c r="E195" i="121" a="1"/>
  <c r="E195" i="121" s="1"/>
  <c r="D195" i="121" a="1"/>
  <c r="D195" i="121" s="1"/>
  <c r="H194" i="121" a="1"/>
  <c r="H194" i="121" s="1"/>
  <c r="G194" i="121" a="1"/>
  <c r="G194" i="121" s="1"/>
  <c r="F194" i="121" a="1"/>
  <c r="F194" i="121" s="1"/>
  <c r="E194" i="121" a="1"/>
  <c r="E194" i="121" s="1"/>
  <c r="D194" i="121" a="1"/>
  <c r="D194" i="121" s="1"/>
  <c r="H193" i="121" a="1"/>
  <c r="H193" i="121" s="1"/>
  <c r="G193" i="121" a="1"/>
  <c r="G193" i="121" s="1"/>
  <c r="F193" i="121" a="1"/>
  <c r="F193" i="121" s="1"/>
  <c r="E193" i="121" a="1"/>
  <c r="E193" i="121" s="1"/>
  <c r="D193" i="121" a="1"/>
  <c r="D193" i="121" s="1"/>
  <c r="H192" i="121" a="1"/>
  <c r="H192" i="121" s="1"/>
  <c r="G192" i="121" a="1"/>
  <c r="G192" i="121" s="1"/>
  <c r="F192" i="121" a="1"/>
  <c r="F192" i="121" s="1"/>
  <c r="E192" i="121" a="1"/>
  <c r="E192" i="121" s="1"/>
  <c r="D192" i="121" a="1"/>
  <c r="D192" i="121" s="1"/>
  <c r="H191" i="121" a="1"/>
  <c r="H191" i="121" s="1"/>
  <c r="G191" i="121" a="1"/>
  <c r="G191" i="121" s="1"/>
  <c r="F191" i="121" a="1"/>
  <c r="F191" i="121" s="1"/>
  <c r="E191" i="121" a="1"/>
  <c r="E191" i="121" s="1"/>
  <c r="D191" i="121" a="1"/>
  <c r="D191" i="121" s="1"/>
  <c r="H190" i="121" a="1"/>
  <c r="H190" i="121" s="1"/>
  <c r="G190" i="121" a="1"/>
  <c r="G190" i="121" s="1"/>
  <c r="F190" i="121" a="1"/>
  <c r="F190" i="121" s="1"/>
  <c r="E190" i="121" a="1"/>
  <c r="E190" i="121" s="1"/>
  <c r="D190" i="121" a="1"/>
  <c r="D190" i="121" s="1"/>
  <c r="H189" i="121" a="1"/>
  <c r="H189" i="121" s="1"/>
  <c r="G189" i="121" a="1"/>
  <c r="G189" i="121" s="1"/>
  <c r="F189" i="121" a="1"/>
  <c r="F189" i="121" s="1"/>
  <c r="E189" i="121" a="1"/>
  <c r="E189" i="121" s="1"/>
  <c r="D189" i="121" a="1"/>
  <c r="D189" i="121" s="1"/>
  <c r="H188" i="121" a="1"/>
  <c r="H188" i="121" s="1"/>
  <c r="G188" i="121" a="1"/>
  <c r="G188" i="121" s="1"/>
  <c r="F188" i="121" a="1"/>
  <c r="F188" i="121" s="1"/>
  <c r="E188" i="121" a="1"/>
  <c r="E188" i="121" s="1"/>
  <c r="D188" i="121" a="1"/>
  <c r="D188" i="121" s="1"/>
  <c r="H187" i="121" a="1"/>
  <c r="H187" i="121" s="1"/>
  <c r="G187" i="121" a="1"/>
  <c r="G187" i="121" s="1"/>
  <c r="F187" i="121" a="1"/>
  <c r="F187" i="121" s="1"/>
  <c r="E187" i="121" a="1"/>
  <c r="E187" i="121" s="1"/>
  <c r="D187" i="121" a="1"/>
  <c r="D187" i="121" s="1"/>
  <c r="D181" i="121" a="1"/>
  <c r="D181" i="121" s="1"/>
  <c r="D180" i="121" a="1"/>
  <c r="D180" i="121" s="1"/>
  <c r="D179" i="121" a="1"/>
  <c r="D179" i="121" s="1"/>
  <c r="D178" i="121" a="1"/>
  <c r="D178" i="121" s="1"/>
  <c r="E175" i="121" a="1"/>
  <c r="E175" i="121" s="1"/>
  <c r="D175" i="121" a="1"/>
  <c r="D175" i="121" s="1"/>
  <c r="D174" i="121" a="1"/>
  <c r="D174" i="121" s="1"/>
  <c r="D173" i="121" a="1"/>
  <c r="D173" i="121" s="1"/>
  <c r="D170" i="121" a="1"/>
  <c r="D170" i="121" s="1"/>
  <c r="D169" i="121" a="1"/>
  <c r="D169" i="121" s="1"/>
  <c r="D168" i="121" a="1"/>
  <c r="D168" i="121" s="1"/>
  <c r="D167" i="121" a="1"/>
  <c r="D167" i="121" s="1"/>
  <c r="D164" i="121" a="1"/>
  <c r="D164" i="121" s="1"/>
  <c r="D163" i="121" a="1"/>
  <c r="D163" i="121" s="1"/>
  <c r="D162" i="121" a="1"/>
  <c r="D162" i="121" s="1"/>
  <c r="D161" i="121" a="1"/>
  <c r="D161" i="121" s="1"/>
  <c r="E158" i="121" a="1"/>
  <c r="E158" i="121" s="1"/>
  <c r="D158" i="121" a="1"/>
  <c r="D158" i="121" s="1"/>
  <c r="E157" i="121" a="1"/>
  <c r="E157" i="121" s="1"/>
  <c r="D157" i="121" a="1"/>
  <c r="D157" i="121" s="1"/>
  <c r="E156" i="121" a="1"/>
  <c r="E156" i="121" s="1"/>
  <c r="D156" i="121" a="1"/>
  <c r="D156" i="121" s="1"/>
  <c r="E155" i="121" a="1"/>
  <c r="E155" i="121" s="1"/>
  <c r="D155" i="121" a="1"/>
  <c r="D155" i="121" s="1"/>
  <c r="E154" i="121" a="1"/>
  <c r="E154" i="121" s="1"/>
  <c r="D154" i="121" a="1"/>
  <c r="D154" i="121" s="1"/>
  <c r="D151" i="121" a="1"/>
  <c r="D151" i="121" s="1"/>
  <c r="D150" i="121" a="1"/>
  <c r="D150" i="121" s="1"/>
  <c r="E147" i="121" a="1"/>
  <c r="E147" i="121" s="1"/>
  <c r="D147" i="121" a="1"/>
  <c r="D147" i="121" s="1"/>
  <c r="E146" i="121" a="1"/>
  <c r="E146" i="121" s="1"/>
  <c r="D146" i="121" a="1"/>
  <c r="D146" i="121" s="1"/>
  <c r="E145" i="121" a="1"/>
  <c r="E145" i="121" s="1"/>
  <c r="D145" i="121" a="1"/>
  <c r="D145" i="121" s="1"/>
  <c r="E144" i="121" a="1"/>
  <c r="E144" i="121" s="1"/>
  <c r="D144" i="121" a="1"/>
  <c r="D144" i="121" s="1"/>
  <c r="E143" i="121" a="1"/>
  <c r="E143" i="121" s="1"/>
  <c r="D143" i="121" a="1"/>
  <c r="D143" i="121" s="1"/>
  <c r="D141" i="121"/>
  <c r="D141" i="121" a="1"/>
  <c r="D140" i="121" a="1"/>
  <c r="D140" i="121" s="1"/>
  <c r="D139" i="121" a="1"/>
  <c r="D139" i="121" s="1"/>
  <c r="E136" i="121" a="1"/>
  <c r="E136" i="121" s="1"/>
  <c r="D136" i="121" a="1"/>
  <c r="D136" i="121" s="1"/>
  <c r="E135" i="121" a="1"/>
  <c r="E135" i="121" s="1"/>
  <c r="D135" i="121" a="1"/>
  <c r="D135" i="121" s="1"/>
  <c r="D133" i="121" a="1"/>
  <c r="D133" i="121" s="1"/>
  <c r="D132" i="121" a="1"/>
  <c r="D132" i="121" s="1"/>
  <c r="E129" i="121" a="1"/>
  <c r="E129" i="121" s="1"/>
  <c r="D129" i="121" a="1"/>
  <c r="D129" i="121" s="1"/>
  <c r="E128" i="121" a="1"/>
  <c r="E128" i="121" s="1"/>
  <c r="D128" i="121" a="1"/>
  <c r="D128" i="121" s="1"/>
  <c r="D125" i="121" a="1"/>
  <c r="D125" i="121" s="1"/>
  <c r="D124" i="121" a="1"/>
  <c r="D124" i="121" s="1"/>
  <c r="G121" i="121" a="1"/>
  <c r="G121" i="121" s="1"/>
  <c r="F121" i="121" a="1"/>
  <c r="F121" i="121" s="1"/>
  <c r="E121" i="121" a="1"/>
  <c r="E121" i="121" s="1"/>
  <c r="D121" i="121" a="1"/>
  <c r="D121" i="121" s="1"/>
  <c r="G120" i="121" a="1"/>
  <c r="G120" i="121" s="1"/>
  <c r="F120" i="121" a="1"/>
  <c r="F120" i="121" s="1"/>
  <c r="E120" i="121" a="1"/>
  <c r="E120" i="121" s="1"/>
  <c r="D120" i="121" a="1"/>
  <c r="D120" i="121" s="1"/>
  <c r="D117" i="121" a="1"/>
  <c r="D117" i="121" s="1"/>
  <c r="D116" i="121" a="1"/>
  <c r="D116" i="121" s="1"/>
  <c r="D115" i="121" a="1"/>
  <c r="D115" i="121" s="1"/>
  <c r="G112" i="121" a="1"/>
  <c r="G112" i="121" s="1"/>
  <c r="F112" i="121" a="1"/>
  <c r="F112" i="121" s="1"/>
  <c r="E112" i="121" a="1"/>
  <c r="E112" i="121" s="1"/>
  <c r="D112" i="121" a="1"/>
  <c r="D112" i="121" s="1"/>
  <c r="G111" i="121" a="1"/>
  <c r="G111" i="121" s="1"/>
  <c r="F111" i="121" a="1"/>
  <c r="F111" i="121" s="1"/>
  <c r="E111" i="121" a="1"/>
  <c r="E111" i="121" s="1"/>
  <c r="D111" i="121" a="1"/>
  <c r="D111" i="121" s="1"/>
  <c r="G110" i="121" a="1"/>
  <c r="G110" i="121" s="1"/>
  <c r="F110" i="121" a="1"/>
  <c r="F110" i="121" s="1"/>
  <c r="E110" i="121" a="1"/>
  <c r="E110" i="121" s="1"/>
  <c r="D110" i="121" a="1"/>
  <c r="D110" i="121" s="1"/>
  <c r="D107" i="121" a="1"/>
  <c r="D107" i="121" s="1"/>
  <c r="D106" i="121" a="1"/>
  <c r="D106" i="121" s="1"/>
  <c r="D105" i="121" a="1"/>
  <c r="D105" i="121" s="1"/>
  <c r="D99" i="121" a="1"/>
  <c r="D99" i="121" s="1"/>
  <c r="S97" i="121" a="1"/>
  <c r="S97" i="121" s="1"/>
  <c r="R97" i="121" a="1"/>
  <c r="R97" i="121" s="1"/>
  <c r="Q97" i="121" a="1"/>
  <c r="Q97" i="121" s="1"/>
  <c r="P97" i="121" a="1"/>
  <c r="P97" i="121" s="1"/>
  <c r="O97" i="121" a="1"/>
  <c r="O97" i="121" s="1"/>
  <c r="N97" i="121" a="1"/>
  <c r="N97" i="121" s="1"/>
  <c r="M97" i="121" a="1"/>
  <c r="M97" i="121" s="1"/>
  <c r="L97" i="121" a="1"/>
  <c r="L97" i="121" s="1"/>
  <c r="K97" i="121" a="1"/>
  <c r="K97" i="121" s="1"/>
  <c r="J97" i="121" a="1"/>
  <c r="J97" i="121" s="1"/>
  <c r="I97" i="121" a="1"/>
  <c r="I97" i="121" s="1"/>
  <c r="H97" i="121" a="1"/>
  <c r="H97" i="121" s="1"/>
  <c r="G97" i="121" a="1"/>
  <c r="G97" i="121" s="1"/>
  <c r="F97" i="121" a="1"/>
  <c r="F97" i="121" s="1"/>
  <c r="E97" i="121" a="1"/>
  <c r="E97" i="121" s="1"/>
  <c r="D97" i="121" a="1"/>
  <c r="D97" i="121" s="1"/>
  <c r="S96" i="121" a="1"/>
  <c r="S96" i="121" s="1"/>
  <c r="R96" i="121" a="1"/>
  <c r="R96" i="121" s="1"/>
  <c r="Q96" i="121" a="1"/>
  <c r="Q96" i="121" s="1"/>
  <c r="P96" i="121" a="1"/>
  <c r="P96" i="121" s="1"/>
  <c r="O96" i="121" a="1"/>
  <c r="O96" i="121" s="1"/>
  <c r="N96" i="121" a="1"/>
  <c r="N96" i="121" s="1"/>
  <c r="M96" i="121" a="1"/>
  <c r="M96" i="121" s="1"/>
  <c r="L96" i="121" a="1"/>
  <c r="L96" i="121" s="1"/>
  <c r="K96" i="121" a="1"/>
  <c r="K96" i="121" s="1"/>
  <c r="J96" i="121" a="1"/>
  <c r="J96" i="121" s="1"/>
  <c r="I96" i="121" a="1"/>
  <c r="I96" i="121" s="1"/>
  <c r="H96" i="121" a="1"/>
  <c r="H96" i="121" s="1"/>
  <c r="G96" i="121" a="1"/>
  <c r="G96" i="121" s="1"/>
  <c r="F96" i="121" a="1"/>
  <c r="F96" i="121" s="1"/>
  <c r="E96" i="121" a="1"/>
  <c r="E96" i="121" s="1"/>
  <c r="D96" i="121" a="1"/>
  <c r="D96" i="121" s="1"/>
  <c r="S95" i="121" a="1"/>
  <c r="S95" i="121" s="1"/>
  <c r="R95" i="121" a="1"/>
  <c r="R95" i="121" s="1"/>
  <c r="Q95" i="121" a="1"/>
  <c r="Q95" i="121" s="1"/>
  <c r="P95" i="121" a="1"/>
  <c r="P95" i="121" s="1"/>
  <c r="O95" i="121" a="1"/>
  <c r="O95" i="121" s="1"/>
  <c r="N95" i="121" a="1"/>
  <c r="N95" i="121" s="1"/>
  <c r="M95" i="121" a="1"/>
  <c r="M95" i="121" s="1"/>
  <c r="L95" i="121" a="1"/>
  <c r="L95" i="121" s="1"/>
  <c r="K95" i="121" a="1"/>
  <c r="K95" i="121" s="1"/>
  <c r="J95" i="121" a="1"/>
  <c r="J95" i="121" s="1"/>
  <c r="I95" i="121" a="1"/>
  <c r="I95" i="121" s="1"/>
  <c r="H95" i="121" a="1"/>
  <c r="H95" i="121" s="1"/>
  <c r="G95" i="121" a="1"/>
  <c r="G95" i="121" s="1"/>
  <c r="F95" i="121" a="1"/>
  <c r="F95" i="121" s="1"/>
  <c r="E95" i="121" a="1"/>
  <c r="E95" i="121" s="1"/>
  <c r="D95" i="121" a="1"/>
  <c r="D95" i="121" s="1"/>
  <c r="S94" i="121" a="1"/>
  <c r="S94" i="121" s="1"/>
  <c r="R94" i="121" a="1"/>
  <c r="R94" i="121" s="1"/>
  <c r="Q94" i="121" a="1"/>
  <c r="Q94" i="121" s="1"/>
  <c r="P94" i="121" a="1"/>
  <c r="P94" i="121" s="1"/>
  <c r="O94" i="121" a="1"/>
  <c r="O94" i="121" s="1"/>
  <c r="N94" i="121" a="1"/>
  <c r="N94" i="121" s="1"/>
  <c r="M94" i="121" a="1"/>
  <c r="M94" i="121" s="1"/>
  <c r="L94" i="121" a="1"/>
  <c r="L94" i="121" s="1"/>
  <c r="K94" i="121" a="1"/>
  <c r="K94" i="121" s="1"/>
  <c r="J94" i="121" a="1"/>
  <c r="J94" i="121" s="1"/>
  <c r="I94" i="121" a="1"/>
  <c r="I94" i="121" s="1"/>
  <c r="H94" i="121" a="1"/>
  <c r="H94" i="121" s="1"/>
  <c r="G94" i="121" a="1"/>
  <c r="G94" i="121" s="1"/>
  <c r="F94" i="121" a="1"/>
  <c r="F94" i="121" s="1"/>
  <c r="E94" i="121" a="1"/>
  <c r="E94" i="121" s="1"/>
  <c r="D94" i="121" a="1"/>
  <c r="D94" i="121" s="1"/>
  <c r="S93" i="121" a="1"/>
  <c r="S93" i="121" s="1"/>
  <c r="R93" i="121" a="1"/>
  <c r="R93" i="121" s="1"/>
  <c r="Q93" i="121" a="1"/>
  <c r="Q93" i="121" s="1"/>
  <c r="P93" i="121" a="1"/>
  <c r="P93" i="121" s="1"/>
  <c r="O93" i="121" a="1"/>
  <c r="O93" i="121" s="1"/>
  <c r="N93" i="121" a="1"/>
  <c r="N93" i="121" s="1"/>
  <c r="M93" i="121" a="1"/>
  <c r="M93" i="121" s="1"/>
  <c r="L93" i="121" a="1"/>
  <c r="L93" i="121" s="1"/>
  <c r="K93" i="121" a="1"/>
  <c r="K93" i="121" s="1"/>
  <c r="J93" i="121" a="1"/>
  <c r="J93" i="121" s="1"/>
  <c r="I93" i="121" a="1"/>
  <c r="I93" i="121" s="1"/>
  <c r="H93" i="121" a="1"/>
  <c r="H93" i="121" s="1"/>
  <c r="G93" i="121" a="1"/>
  <c r="G93" i="121" s="1"/>
  <c r="F93" i="121" a="1"/>
  <c r="F93" i="121" s="1"/>
  <c r="E93" i="121" a="1"/>
  <c r="E93" i="121" s="1"/>
  <c r="D93" i="121" a="1"/>
  <c r="D93" i="121" s="1"/>
  <c r="S92" i="121" a="1"/>
  <c r="S92" i="121" s="1"/>
  <c r="R92" i="121" a="1"/>
  <c r="R92" i="121" s="1"/>
  <c r="Q92" i="121" a="1"/>
  <c r="Q92" i="121" s="1"/>
  <c r="P92" i="121" a="1"/>
  <c r="P92" i="121" s="1"/>
  <c r="O92" i="121" a="1"/>
  <c r="O92" i="121" s="1"/>
  <c r="N92" i="121" a="1"/>
  <c r="N92" i="121" s="1"/>
  <c r="M92" i="121" a="1"/>
  <c r="M92" i="121" s="1"/>
  <c r="L92" i="121" a="1"/>
  <c r="L92" i="121" s="1"/>
  <c r="K92" i="121" a="1"/>
  <c r="K92" i="121" s="1"/>
  <c r="J92" i="121" a="1"/>
  <c r="J92" i="121" s="1"/>
  <c r="I92" i="121" a="1"/>
  <c r="I92" i="121" s="1"/>
  <c r="H92" i="121" a="1"/>
  <c r="H92" i="121" s="1"/>
  <c r="G92" i="121" a="1"/>
  <c r="G92" i="121" s="1"/>
  <c r="F92" i="121" a="1"/>
  <c r="F92" i="121" s="1"/>
  <c r="E92" i="121" a="1"/>
  <c r="E92" i="121" s="1"/>
  <c r="D92" i="121" a="1"/>
  <c r="D92" i="121" s="1"/>
  <c r="S91" i="121" a="1"/>
  <c r="S91" i="121" s="1"/>
  <c r="R91" i="121" a="1"/>
  <c r="R91" i="121" s="1"/>
  <c r="Q91" i="121" a="1"/>
  <c r="Q91" i="121" s="1"/>
  <c r="P91" i="121" a="1"/>
  <c r="P91" i="121" s="1"/>
  <c r="O91" i="121" a="1"/>
  <c r="O91" i="121" s="1"/>
  <c r="N91" i="121" a="1"/>
  <c r="N91" i="121" s="1"/>
  <c r="M91" i="121" a="1"/>
  <c r="M91" i="121" s="1"/>
  <c r="L91" i="121" a="1"/>
  <c r="L91" i="121" s="1"/>
  <c r="K91" i="121" a="1"/>
  <c r="K91" i="121" s="1"/>
  <c r="J91" i="121" a="1"/>
  <c r="J91" i="121" s="1"/>
  <c r="I91" i="121" a="1"/>
  <c r="I91" i="121" s="1"/>
  <c r="H91" i="121" a="1"/>
  <c r="H91" i="121" s="1"/>
  <c r="G91" i="121" a="1"/>
  <c r="G91" i="121" s="1"/>
  <c r="F91" i="121" a="1"/>
  <c r="F91" i="121" s="1"/>
  <c r="E91" i="121" a="1"/>
  <c r="E91" i="121" s="1"/>
  <c r="D91" i="121" a="1"/>
  <c r="D91" i="121" s="1"/>
  <c r="S90" i="121" a="1"/>
  <c r="S90" i="121" s="1"/>
  <c r="R90" i="121" a="1"/>
  <c r="R90" i="121" s="1"/>
  <c r="Q90" i="121" a="1"/>
  <c r="Q90" i="121" s="1"/>
  <c r="P90" i="121" a="1"/>
  <c r="P90" i="121" s="1"/>
  <c r="O90" i="121" a="1"/>
  <c r="O90" i="121" s="1"/>
  <c r="N90" i="121" a="1"/>
  <c r="N90" i="121" s="1"/>
  <c r="M90" i="121" a="1"/>
  <c r="M90" i="121" s="1"/>
  <c r="L90" i="121" a="1"/>
  <c r="L90" i="121" s="1"/>
  <c r="K90" i="121" a="1"/>
  <c r="K90" i="121" s="1"/>
  <c r="J90" i="121" a="1"/>
  <c r="J90" i="121" s="1"/>
  <c r="I90" i="121" a="1"/>
  <c r="I90" i="121" s="1"/>
  <c r="H90" i="121" a="1"/>
  <c r="H90" i="121" s="1"/>
  <c r="G90" i="121" a="1"/>
  <c r="G90" i="121" s="1"/>
  <c r="F90" i="121" a="1"/>
  <c r="F90" i="121" s="1"/>
  <c r="E90" i="121" a="1"/>
  <c r="E90" i="121" s="1"/>
  <c r="D90" i="121" a="1"/>
  <c r="D90" i="121" s="1"/>
  <c r="D83" i="121" a="1"/>
  <c r="D83" i="121" s="1"/>
  <c r="D82" i="121" a="1"/>
  <c r="D82" i="121" s="1"/>
  <c r="D81" i="121" a="1"/>
  <c r="D81" i="121" s="1"/>
  <c r="E77" i="121" a="1"/>
  <c r="E77" i="121" s="1"/>
  <c r="D77" i="121" a="1"/>
  <c r="D77" i="121" s="1"/>
  <c r="E76" i="121" a="1"/>
  <c r="E76" i="121" s="1"/>
  <c r="D76" i="121" a="1"/>
  <c r="D76" i="121" s="1"/>
  <c r="E75" i="121" a="1"/>
  <c r="E75" i="121" s="1"/>
  <c r="D75" i="121" a="1"/>
  <c r="D75" i="121" s="1"/>
  <c r="E74" i="121" a="1"/>
  <c r="E74" i="121" s="1"/>
  <c r="D74" i="121" a="1"/>
  <c r="D74" i="121" s="1"/>
  <c r="E73" i="121" a="1"/>
  <c r="E73" i="121" s="1"/>
  <c r="D73" i="121" a="1"/>
  <c r="D73" i="121" s="1"/>
  <c r="E72" i="121" a="1"/>
  <c r="E72" i="121" s="1"/>
  <c r="D72" i="121" a="1"/>
  <c r="D72" i="121" s="1"/>
  <c r="E71" i="121" a="1"/>
  <c r="E71" i="121" s="1"/>
  <c r="D71" i="121" a="1"/>
  <c r="D71" i="121" s="1"/>
  <c r="E70" i="121" a="1"/>
  <c r="E70" i="121" s="1"/>
  <c r="D70" i="121" a="1"/>
  <c r="D70" i="121" s="1"/>
  <c r="E69" i="121" a="1"/>
  <c r="E69" i="121" s="1"/>
  <c r="D69" i="121" a="1"/>
  <c r="D69" i="121" s="1"/>
  <c r="E68" i="121" a="1"/>
  <c r="E68" i="121" s="1"/>
  <c r="D68" i="121" a="1"/>
  <c r="D68" i="121" s="1"/>
  <c r="E67" i="121" a="1"/>
  <c r="E67" i="121" s="1"/>
  <c r="D67" i="121" a="1"/>
  <c r="D67" i="121" s="1"/>
  <c r="E66" i="121" a="1"/>
  <c r="E66" i="121" s="1"/>
  <c r="D66" i="121" a="1"/>
  <c r="D66" i="121" s="1"/>
  <c r="E65" i="121" a="1"/>
  <c r="E65" i="121" s="1"/>
  <c r="D65" i="121" a="1"/>
  <c r="D65" i="121" s="1"/>
  <c r="E64" i="121" a="1"/>
  <c r="E64" i="121" s="1"/>
  <c r="D64" i="121" a="1"/>
  <c r="D64" i="121" s="1"/>
  <c r="D59" i="121" a="1"/>
  <c r="D59" i="121" s="1"/>
  <c r="D58" i="121" a="1"/>
  <c r="D58" i="121" s="1"/>
  <c r="D57" i="121" a="1"/>
  <c r="D57" i="121" s="1"/>
  <c r="G54" i="121" a="1"/>
  <c r="G54" i="121" s="1"/>
  <c r="F54" i="121" a="1"/>
  <c r="F54" i="121" s="1"/>
  <c r="E54" i="121" a="1"/>
  <c r="E54" i="121" s="1"/>
  <c r="D54" i="121" a="1"/>
  <c r="D54" i="121" s="1"/>
  <c r="G53" i="121" a="1"/>
  <c r="G53" i="121" s="1"/>
  <c r="F53" i="121" a="1"/>
  <c r="F53" i="121" s="1"/>
  <c r="E53" i="121" a="1"/>
  <c r="E53" i="121" s="1"/>
  <c r="D53" i="121" a="1"/>
  <c r="D53" i="121" s="1"/>
  <c r="G52" i="121" a="1"/>
  <c r="G52" i="121" s="1"/>
  <c r="F52" i="121" a="1"/>
  <c r="F52" i="121" s="1"/>
  <c r="E52" i="121" a="1"/>
  <c r="E52" i="121" s="1"/>
  <c r="D52" i="121" a="1"/>
  <c r="D52" i="121" s="1"/>
  <c r="G51" i="121" a="1"/>
  <c r="G51" i="121" s="1"/>
  <c r="F51" i="121" a="1"/>
  <c r="F51" i="121" s="1"/>
  <c r="E51" i="121" a="1"/>
  <c r="E51" i="121" s="1"/>
  <c r="D51" i="121" a="1"/>
  <c r="D51" i="121" s="1"/>
  <c r="G50" i="121" a="1"/>
  <c r="G50" i="121" s="1"/>
  <c r="F50" i="121" a="1"/>
  <c r="F50" i="121" s="1"/>
  <c r="E50" i="121" a="1"/>
  <c r="E50" i="121" s="1"/>
  <c r="D50" i="121" a="1"/>
  <c r="D50" i="121" s="1"/>
  <c r="G49" i="121" a="1"/>
  <c r="G49" i="121" s="1"/>
  <c r="F49" i="121" a="1"/>
  <c r="F49" i="121" s="1"/>
  <c r="E49" i="121" a="1"/>
  <c r="E49" i="121" s="1"/>
  <c r="D49" i="121" a="1"/>
  <c r="D49" i="121" s="1"/>
  <c r="G48" i="121" a="1"/>
  <c r="G48" i="121" s="1"/>
  <c r="F48" i="121" a="1"/>
  <c r="F48" i="121" s="1"/>
  <c r="E48" i="121" a="1"/>
  <c r="E48" i="121" s="1"/>
  <c r="D48" i="121" a="1"/>
  <c r="D48" i="121" s="1"/>
  <c r="D46" i="121" a="1"/>
  <c r="D46" i="121" s="1"/>
  <c r="D45" i="121" a="1"/>
  <c r="D45" i="121" s="1"/>
  <c r="E43" i="121" a="1"/>
  <c r="E43" i="121" s="1"/>
  <c r="D43" i="121" a="1"/>
  <c r="D43" i="121" s="1"/>
  <c r="E42" i="121" a="1"/>
  <c r="E42" i="121" s="1"/>
  <c r="D42" i="121" a="1"/>
  <c r="D42" i="121" s="1"/>
  <c r="E41" i="121" a="1"/>
  <c r="E41" i="121" s="1"/>
  <c r="D41" i="121" a="1"/>
  <c r="D41" i="121" s="1"/>
  <c r="E40" i="121" a="1"/>
  <c r="E40" i="121" s="1"/>
  <c r="D40" i="121" a="1"/>
  <c r="D40" i="121" s="1"/>
  <c r="E39" i="121" a="1"/>
  <c r="E39" i="121" s="1"/>
  <c r="D39" i="121" a="1"/>
  <c r="D39" i="121" s="1"/>
  <c r="E38" i="121" a="1"/>
  <c r="E38" i="121" s="1"/>
  <c r="D38" i="121" a="1"/>
  <c r="D38" i="121" s="1"/>
  <c r="E37" i="121" a="1"/>
  <c r="E37" i="121" s="1"/>
  <c r="D37" i="121" a="1"/>
  <c r="D37" i="121" s="1"/>
  <c r="D35" i="121" a="1"/>
  <c r="D35" i="121" s="1"/>
  <c r="D34" i="121" a="1"/>
  <c r="D34" i="121" s="1"/>
  <c r="D30" i="121" a="1"/>
  <c r="D30" i="121" s="1"/>
  <c r="D29" i="121" a="1"/>
  <c r="D29" i="121" s="1"/>
  <c r="D28" i="121" a="1"/>
  <c r="D28" i="121" s="1"/>
  <c r="D27" i="121" a="1"/>
  <c r="D27" i="121" s="1"/>
  <c r="D26" i="121" a="1"/>
  <c r="D26" i="121" s="1"/>
  <c r="D25" i="121" a="1"/>
  <c r="D25" i="121" s="1"/>
  <c r="D24" i="121" a="1"/>
  <c r="D24" i="121" s="1"/>
  <c r="D23" i="121" a="1"/>
  <c r="D23" i="121" s="1"/>
  <c r="D22" i="121" a="1"/>
  <c r="D22" i="121" s="1"/>
  <c r="D21" i="121" a="1"/>
  <c r="D21" i="121" s="1"/>
  <c r="D19" i="121" a="1"/>
  <c r="D19" i="121" s="1"/>
  <c r="D18" i="121" a="1"/>
  <c r="D18" i="121" s="1"/>
  <c r="F14" i="121" a="1"/>
  <c r="F14" i="121" s="1"/>
  <c r="E14" i="121" a="1"/>
  <c r="E14" i="121" s="1"/>
  <c r="D14" i="121" a="1"/>
  <c r="D14" i="121" s="1"/>
  <c r="F13" i="121" a="1"/>
  <c r="F13" i="121" s="1"/>
  <c r="E13" i="121" a="1"/>
  <c r="E13" i="121" s="1"/>
  <c r="D13" i="121" a="1"/>
  <c r="D13" i="121" s="1"/>
  <c r="F12" i="121" a="1"/>
  <c r="F12" i="121" s="1"/>
  <c r="E12" i="121" a="1"/>
  <c r="E12" i="121" s="1"/>
  <c r="D12" i="121" a="1"/>
  <c r="D12" i="121" s="1"/>
  <c r="F11" i="121" a="1"/>
  <c r="F11" i="121" s="1"/>
  <c r="E11" i="121" a="1"/>
  <c r="E11" i="121" s="1"/>
  <c r="D11" i="121" a="1"/>
  <c r="D11" i="121" s="1"/>
  <c r="F10" i="121" a="1"/>
  <c r="F10" i="121" s="1"/>
  <c r="E10" i="121" a="1"/>
  <c r="E10" i="121" s="1"/>
  <c r="D10" i="121" a="1"/>
  <c r="D10" i="121" s="1"/>
  <c r="F9" i="121" a="1"/>
  <c r="F9" i="121" s="1"/>
  <c r="E9" i="121" a="1"/>
  <c r="E9" i="121" s="1"/>
  <c r="D9" i="121" a="1"/>
  <c r="D9" i="121" s="1"/>
  <c r="F8" i="121" a="1"/>
  <c r="F8" i="121" s="1"/>
  <c r="E8" i="121" a="1"/>
  <c r="E8" i="121" s="1"/>
  <c r="D8" i="121" a="1"/>
  <c r="D8" i="121" s="1"/>
  <c r="F7" i="121" a="1"/>
  <c r="F7" i="121" s="1"/>
  <c r="E7" i="121" a="1"/>
  <c r="E7" i="121" s="1"/>
  <c r="D7" i="121" a="1"/>
  <c r="D7" i="121" s="1"/>
  <c r="D5" i="121" a="1"/>
  <c r="D5" i="121" s="1"/>
  <c r="D5" i="110" a="1"/>
  <c r="D5" i="110" s="1"/>
  <c r="K10" i="110" a="1"/>
  <c r="K10" i="110" s="1"/>
  <c r="J10" i="110" a="1"/>
  <c r="J10" i="110" s="1"/>
  <c r="I10" i="110" a="1"/>
  <c r="I10" i="110" s="1"/>
  <c r="H10" i="110" a="1"/>
  <c r="H10" i="110" s="1"/>
  <c r="G10" i="110" a="1"/>
  <c r="G10" i="110" s="1"/>
  <c r="F10" i="110" a="1"/>
  <c r="F10" i="110" s="1"/>
  <c r="E10" i="110" a="1"/>
  <c r="E10" i="110" s="1"/>
  <c r="D10" i="110" a="1"/>
  <c r="D10" i="110" s="1"/>
  <c r="K9" i="110" a="1"/>
  <c r="K9" i="110" s="1"/>
  <c r="J9" i="110" a="1"/>
  <c r="J9" i="110" s="1"/>
  <c r="I9" i="110" a="1"/>
  <c r="I9" i="110" s="1"/>
  <c r="H9" i="110" a="1"/>
  <c r="H9" i="110" s="1"/>
  <c r="G9" i="110" a="1"/>
  <c r="G9" i="110" s="1"/>
  <c r="F9" i="110" a="1"/>
  <c r="F9" i="110" s="1"/>
  <c r="E9" i="110" a="1"/>
  <c r="E9" i="110" s="1"/>
  <c r="D9" i="110" a="1"/>
  <c r="D9" i="110" s="1"/>
  <c r="K8" i="110" a="1"/>
  <c r="K8" i="110" s="1"/>
  <c r="J8" i="110" a="1"/>
  <c r="J8" i="110" s="1"/>
  <c r="I8" i="110" a="1"/>
  <c r="I8" i="110" s="1"/>
  <c r="H8" i="110" a="1"/>
  <c r="H8" i="110" s="1"/>
  <c r="G8" i="110" a="1"/>
  <c r="G8" i="110" s="1"/>
  <c r="F8" i="110" a="1"/>
  <c r="F8" i="110" s="1"/>
  <c r="E8" i="110" a="1"/>
  <c r="E8" i="110" s="1"/>
  <c r="D8" i="110" a="1"/>
  <c r="D8" i="110" s="1"/>
  <c r="A20" i="110"/>
  <c r="A19" i="110"/>
  <c r="A16" i="110"/>
  <c r="A15" i="110"/>
  <c r="A14" i="110"/>
  <c r="A13" i="110"/>
  <c r="A10" i="110"/>
  <c r="A9" i="110"/>
  <c r="A8" i="110"/>
  <c r="A5" i="110"/>
  <c r="A4" i="110"/>
  <c r="A3" i="110"/>
  <c r="A20" i="114"/>
  <c r="A19" i="114"/>
  <c r="A16" i="114"/>
  <c r="A15" i="114"/>
  <c r="A14" i="114"/>
  <c r="A13" i="114"/>
  <c r="A10" i="114"/>
  <c r="A9" i="114"/>
  <c r="A8" i="114"/>
  <c r="A5" i="114"/>
  <c r="A4" i="114"/>
  <c r="A3" i="114"/>
  <c r="A20" i="113"/>
  <c r="A19" i="113"/>
  <c r="A16" i="113"/>
  <c r="A15" i="113"/>
  <c r="A14" i="113"/>
  <c r="A13" i="113"/>
  <c r="A10" i="113"/>
  <c r="A9" i="113"/>
  <c r="A8" i="113"/>
  <c r="A5" i="113"/>
  <c r="A4" i="113"/>
  <c r="A3" i="113"/>
  <c r="A20" i="74"/>
  <c r="A19" i="74"/>
  <c r="A16" i="74"/>
  <c r="A15" i="74"/>
  <c r="A14" i="74"/>
  <c r="A13" i="74"/>
  <c r="A10" i="74"/>
  <c r="A9" i="74"/>
  <c r="A8" i="74"/>
  <c r="A5" i="74"/>
  <c r="A4" i="74"/>
  <c r="A3" i="74"/>
  <c r="A20" i="69"/>
  <c r="A19" i="69"/>
  <c r="A16" i="69"/>
  <c r="A15" i="69"/>
  <c r="A14" i="69"/>
  <c r="A13" i="69"/>
  <c r="A10" i="69"/>
  <c r="A9" i="69"/>
  <c r="A8" i="69"/>
  <c r="A5" i="69"/>
  <c r="A4" i="69"/>
  <c r="A3" i="69"/>
  <c r="A20" i="120"/>
  <c r="A19" i="120"/>
  <c r="A16" i="120"/>
  <c r="A15" i="120"/>
  <c r="A14" i="120"/>
  <c r="A13" i="120"/>
  <c r="A10" i="120"/>
  <c r="A9" i="120"/>
  <c r="A8" i="120"/>
  <c r="A5" i="120"/>
  <c r="A4" i="120"/>
  <c r="A3" i="120"/>
  <c r="A20" i="70"/>
  <c r="A19" i="70"/>
  <c r="A16" i="70"/>
  <c r="A15" i="70"/>
  <c r="A14" i="70"/>
  <c r="A13" i="70"/>
  <c r="A10" i="70"/>
  <c r="A9" i="70"/>
  <c r="A8" i="70"/>
  <c r="A5" i="70"/>
  <c r="A4" i="70"/>
  <c r="A3" i="70"/>
  <c r="A20" i="15"/>
  <c r="A19" i="15"/>
  <c r="A16" i="15"/>
  <c r="A15" i="15"/>
  <c r="A14" i="15"/>
  <c r="A13" i="15"/>
  <c r="A10" i="15"/>
  <c r="A9" i="15"/>
  <c r="A8" i="15"/>
  <c r="A5" i="15"/>
  <c r="A4" i="15"/>
  <c r="A3" i="15"/>
  <c r="A20" i="13"/>
  <c r="A19" i="13"/>
  <c r="A16" i="13"/>
  <c r="A15" i="13"/>
  <c r="A14" i="13"/>
  <c r="A13" i="13"/>
  <c r="A10" i="13"/>
  <c r="A9" i="13"/>
  <c r="A8" i="13"/>
  <c r="A5" i="13"/>
  <c r="A4" i="13"/>
  <c r="A3" i="13"/>
  <c r="A19" i="118"/>
  <c r="A16" i="118"/>
  <c r="A15" i="118"/>
  <c r="A14" i="118"/>
  <c r="A13" i="118"/>
  <c r="A10" i="118"/>
  <c r="A9" i="118"/>
  <c r="H51" i="121" l="1"/>
  <c r="H48" i="121"/>
  <c r="H53" i="121"/>
  <c r="H50" i="121"/>
  <c r="H49" i="121"/>
  <c r="H54" i="121"/>
  <c r="H52" i="121"/>
  <c r="F17" i="70"/>
  <c r="D26" i="70"/>
  <c r="D25" i="70"/>
  <c r="D24" i="70"/>
  <c r="D17" i="70"/>
  <c r="F22" i="70"/>
  <c r="D26" i="114" l="1" a="1"/>
  <c r="D26" i="114" s="1"/>
  <c r="D49" i="114" a="1"/>
  <c r="D49" i="114" s="1"/>
  <c r="I60" i="114"/>
  <c r="I37" i="114"/>
  <c r="F67" i="110" a="1"/>
  <c r="F67" i="110" s="1"/>
  <c r="E67" i="110" a="1"/>
  <c r="E67" i="110" s="1"/>
  <c r="D67" i="110" a="1"/>
  <c r="D67" i="110" s="1"/>
  <c r="F66" i="110" a="1"/>
  <c r="F66" i="110" s="1"/>
  <c r="E66" i="110" a="1"/>
  <c r="E66" i="110" s="1"/>
  <c r="D66" i="110" a="1"/>
  <c r="D66" i="110" s="1"/>
  <c r="F65" i="110" a="1"/>
  <c r="F65" i="110" s="1"/>
  <c r="E65" i="110" a="1"/>
  <c r="E65" i="110" s="1"/>
  <c r="D65" i="110" a="1"/>
  <c r="D65" i="110" s="1"/>
  <c r="F64" i="110" a="1"/>
  <c r="F64" i="110" s="1"/>
  <c r="E64" i="110" a="1"/>
  <c r="E64" i="110" s="1"/>
  <c r="D64" i="110" a="1"/>
  <c r="D64" i="110" s="1"/>
  <c r="F63" i="110" a="1"/>
  <c r="F63" i="110" s="1"/>
  <c r="E63" i="110" a="1"/>
  <c r="E63" i="110" s="1"/>
  <c r="D63" i="110" a="1"/>
  <c r="D63" i="110" s="1"/>
  <c r="I58" i="114" s="1" a="1"/>
  <c r="I58" i="114" s="1"/>
  <c r="D60" i="110" a="1"/>
  <c r="D60" i="110" s="1"/>
  <c r="D59" i="110" a="1"/>
  <c r="D59" i="110" s="1"/>
  <c r="G56" i="114" a="1"/>
  <c r="G56" i="114" s="1"/>
  <c r="D56" i="114" a="1"/>
  <c r="D56" i="114" s="1"/>
  <c r="G33" i="114" a="1"/>
  <c r="G33" i="114" s="1"/>
  <c r="D33" i="114" a="1"/>
  <c r="D33" i="114" s="1"/>
  <c r="G13" i="114" a="1"/>
  <c r="G13" i="114" s="1"/>
  <c r="D13" i="114" a="1"/>
  <c r="D13" i="114" s="1"/>
  <c r="I18" i="114"/>
  <c r="I19" i="114"/>
  <c r="F67" i="114" a="1"/>
  <c r="F67" i="114" s="1"/>
  <c r="D64" i="114" a="1"/>
  <c r="D64" i="114" s="1"/>
  <c r="F62" i="114" a="1"/>
  <c r="F62" i="114" s="1"/>
  <c r="E54" i="114" a="1"/>
  <c r="E54" i="114" s="1"/>
  <c r="E53" i="114" a="1"/>
  <c r="E53" i="114" s="1"/>
  <c r="D48" i="114" a="1"/>
  <c r="D48" i="114" s="1"/>
  <c r="F44" i="114" a="1"/>
  <c r="F44" i="114" s="1"/>
  <c r="D41" i="114" a="1"/>
  <c r="D41" i="114" s="1"/>
  <c r="F39" i="114" a="1"/>
  <c r="F39" i="114" s="1"/>
  <c r="E31" i="114" a="1"/>
  <c r="E31" i="114" s="1"/>
  <c r="E30" i="114" a="1"/>
  <c r="E30" i="114" s="1"/>
  <c r="D25" i="114" a="1"/>
  <c r="D25" i="114" s="1"/>
  <c r="F21" i="114" a="1"/>
  <c r="F21" i="114" s="1"/>
  <c r="E11" i="114" a="1"/>
  <c r="E11" i="114" s="1"/>
  <c r="E10" i="114" a="1"/>
  <c r="E10" i="114" s="1"/>
  <c r="D6" i="114" a="1"/>
  <c r="D6" i="114" s="1"/>
  <c r="D5" i="114" a="1"/>
  <c r="D5" i="114" s="1"/>
  <c r="P53" i="113" a="1"/>
  <c r="P53" i="113" s="1"/>
  <c r="N50" i="113" a="1"/>
  <c r="N50" i="113" s="1"/>
  <c r="G25" i="113"/>
  <c r="G24" i="113"/>
  <c r="F25" i="113"/>
  <c r="F24" i="113"/>
  <c r="J40" i="113"/>
  <c r="J36" i="113" a="1"/>
  <c r="J36" i="113" s="1"/>
  <c r="J19" i="113" a="1"/>
  <c r="J19" i="113" s="1"/>
  <c r="J16" i="113" a="1"/>
  <c r="J16" i="113" s="1"/>
  <c r="J14" i="113" a="1"/>
  <c r="J14" i="113" s="1"/>
  <c r="J13" i="113" a="1"/>
  <c r="J13" i="113" s="1"/>
  <c r="J18" i="113"/>
  <c r="J17" i="113"/>
  <c r="F235" i="110" a="1"/>
  <c r="F235" i="110" s="1"/>
  <c r="E235" i="110" a="1"/>
  <c r="E235" i="110" s="1"/>
  <c r="D235" i="110" a="1"/>
  <c r="D235" i="110" s="1"/>
  <c r="F234" i="110" a="1"/>
  <c r="F234" i="110" s="1"/>
  <c r="E234" i="110" a="1"/>
  <c r="E234" i="110" s="1"/>
  <c r="D234" i="110" a="1"/>
  <c r="D234" i="110" s="1"/>
  <c r="F233" i="110" a="1"/>
  <c r="F233" i="110" s="1"/>
  <c r="E233" i="110" a="1"/>
  <c r="E233" i="110" s="1"/>
  <c r="D233" i="110" a="1"/>
  <c r="D233" i="110" s="1"/>
  <c r="F232" i="110" a="1"/>
  <c r="F232" i="110" s="1"/>
  <c r="E232" i="110" a="1"/>
  <c r="E232" i="110" s="1"/>
  <c r="D232" i="110" a="1"/>
  <c r="D232" i="110" s="1"/>
  <c r="F231" i="110" a="1"/>
  <c r="F231" i="110" s="1"/>
  <c r="E231" i="110" a="1"/>
  <c r="E231" i="110" s="1"/>
  <c r="D231" i="110" a="1"/>
  <c r="D231" i="110" s="1"/>
  <c r="F230" i="110" a="1"/>
  <c r="F230" i="110" s="1"/>
  <c r="E230" i="110" a="1"/>
  <c r="E230" i="110" s="1"/>
  <c r="D230" i="110" a="1"/>
  <c r="D230" i="110" s="1"/>
  <c r="F229" i="110" a="1"/>
  <c r="F229" i="110" s="1"/>
  <c r="E229" i="110" a="1"/>
  <c r="E229" i="110" s="1"/>
  <c r="D229" i="110" a="1"/>
  <c r="D229" i="110" s="1"/>
  <c r="F228" i="110" a="1"/>
  <c r="F228" i="110" s="1"/>
  <c r="E228" i="110" a="1"/>
  <c r="E228" i="110" s="1"/>
  <c r="D228" i="110" a="1"/>
  <c r="D228" i="110" s="1"/>
  <c r="F227" i="110" a="1"/>
  <c r="F227" i="110" s="1"/>
  <c r="E227" i="110" a="1"/>
  <c r="E227" i="110" s="1"/>
  <c r="D227" i="110" a="1"/>
  <c r="D227" i="110" s="1"/>
  <c r="F226" i="110" a="1"/>
  <c r="F226" i="110" s="1"/>
  <c r="E226" i="110" a="1"/>
  <c r="E226" i="110" s="1"/>
  <c r="D226" i="110" a="1"/>
  <c r="D226" i="110" s="1"/>
  <c r="F225" i="110" a="1"/>
  <c r="F225" i="110" s="1"/>
  <c r="E225" i="110" a="1"/>
  <c r="E225" i="110" s="1"/>
  <c r="D225" i="110" a="1"/>
  <c r="D225" i="110" s="1"/>
  <c r="F224" i="110" a="1"/>
  <c r="F224" i="110" s="1"/>
  <c r="E224" i="110" a="1"/>
  <c r="E224" i="110" s="1"/>
  <c r="D224" i="110" a="1"/>
  <c r="D224" i="110" s="1"/>
  <c r="F223" i="110" a="1"/>
  <c r="F223" i="110" s="1"/>
  <c r="E223" i="110" a="1"/>
  <c r="E223" i="110" s="1"/>
  <c r="D223" i="110" a="1"/>
  <c r="D223" i="110" s="1"/>
  <c r="F222" i="110" a="1"/>
  <c r="F222" i="110" s="1"/>
  <c r="E222" i="110" a="1"/>
  <c r="E222" i="110" s="1"/>
  <c r="D222" i="110" a="1"/>
  <c r="D222" i="110" s="1"/>
  <c r="F221" i="110" a="1"/>
  <c r="F221" i="110" s="1"/>
  <c r="E221" i="110" a="1"/>
  <c r="E221" i="110" s="1"/>
  <c r="D221" i="110" a="1"/>
  <c r="D221" i="110" s="1"/>
  <c r="F220" i="110" a="1"/>
  <c r="F220" i="110" s="1"/>
  <c r="E220" i="110" a="1"/>
  <c r="E220" i="110" s="1"/>
  <c r="D220" i="110" a="1"/>
  <c r="D220" i="110" s="1"/>
  <c r="F219" i="110" a="1"/>
  <c r="F219" i="110" s="1"/>
  <c r="E219" i="110" a="1"/>
  <c r="E219" i="110" s="1"/>
  <c r="D219" i="110" a="1"/>
  <c r="D219" i="110" s="1"/>
  <c r="F218" i="110" a="1"/>
  <c r="F218" i="110" s="1"/>
  <c r="E218" i="110" a="1"/>
  <c r="E218" i="110" s="1"/>
  <c r="D218" i="110" a="1"/>
  <c r="D218" i="110" s="1"/>
  <c r="F217" i="110" a="1"/>
  <c r="F217" i="110" s="1"/>
  <c r="E217" i="110" a="1"/>
  <c r="E217" i="110" s="1"/>
  <c r="D217" i="110" a="1"/>
  <c r="D217" i="110" s="1"/>
  <c r="F216" i="110" a="1"/>
  <c r="F216" i="110" s="1"/>
  <c r="E216" i="110" a="1"/>
  <c r="E216" i="110" s="1"/>
  <c r="D216" i="110" a="1"/>
  <c r="D216" i="110" s="1"/>
  <c r="F215" i="110" a="1"/>
  <c r="F215" i="110" s="1"/>
  <c r="E215" i="110" a="1"/>
  <c r="E215" i="110" s="1"/>
  <c r="D215" i="110" a="1"/>
  <c r="D215" i="110" s="1"/>
  <c r="F214" i="110" a="1"/>
  <c r="F214" i="110" s="1"/>
  <c r="E214" i="110" a="1"/>
  <c r="E214" i="110" s="1"/>
  <c r="D214" i="110" a="1"/>
  <c r="D214" i="110" s="1"/>
  <c r="F213" i="110" a="1"/>
  <c r="F213" i="110" s="1"/>
  <c r="E213" i="110" a="1"/>
  <c r="E213" i="110" s="1"/>
  <c r="D213" i="110" a="1"/>
  <c r="D213" i="110" s="1"/>
  <c r="F212" i="110" a="1"/>
  <c r="F212" i="110" s="1"/>
  <c r="E212" i="110" a="1"/>
  <c r="E212" i="110" s="1"/>
  <c r="D212" i="110" a="1"/>
  <c r="D212" i="110" s="1"/>
  <c r="F211" i="110" a="1"/>
  <c r="F211" i="110" s="1"/>
  <c r="E211" i="110" a="1"/>
  <c r="E211" i="110" s="1"/>
  <c r="D211" i="110" a="1"/>
  <c r="D211" i="110" s="1"/>
  <c r="F210" i="110" a="1"/>
  <c r="F210" i="110" s="1"/>
  <c r="E210" i="110" a="1"/>
  <c r="E210" i="110" s="1"/>
  <c r="D210" i="110" a="1"/>
  <c r="D210" i="110" s="1"/>
  <c r="F209" i="110" a="1"/>
  <c r="F209" i="110" s="1"/>
  <c r="E209" i="110" a="1"/>
  <c r="E209" i="110" s="1"/>
  <c r="D209" i="110" a="1"/>
  <c r="D209" i="110" s="1"/>
  <c r="F208" i="110" a="1"/>
  <c r="F208" i="110" s="1"/>
  <c r="E208" i="110" a="1"/>
  <c r="E208" i="110" s="1"/>
  <c r="D208" i="110" a="1"/>
  <c r="D208" i="110" s="1"/>
  <c r="F207" i="110" a="1"/>
  <c r="F207" i="110" s="1"/>
  <c r="E207" i="110" a="1"/>
  <c r="E207" i="110" s="1"/>
  <c r="D207" i="110" a="1"/>
  <c r="D207" i="110" s="1"/>
  <c r="F206" i="110" a="1"/>
  <c r="F206" i="110" s="1"/>
  <c r="E206" i="110" a="1"/>
  <c r="E206" i="110" s="1"/>
  <c r="D206" i="110" a="1"/>
  <c r="D206" i="110" s="1"/>
  <c r="F205" i="110" a="1"/>
  <c r="F205" i="110" s="1"/>
  <c r="E205" i="110" a="1"/>
  <c r="E205" i="110" s="1"/>
  <c r="D205" i="110" a="1"/>
  <c r="D205" i="110" s="1"/>
  <c r="F204" i="110" a="1"/>
  <c r="F204" i="110" s="1"/>
  <c r="E204" i="110" a="1"/>
  <c r="E204" i="110" s="1"/>
  <c r="D204" i="110" a="1"/>
  <c r="D204" i="110" s="1"/>
  <c r="F203" i="110" a="1"/>
  <c r="F203" i="110" s="1"/>
  <c r="E203" i="110" a="1"/>
  <c r="E203" i="110" s="1"/>
  <c r="D203" i="110" a="1"/>
  <c r="D203" i="110" s="1"/>
  <c r="F202" i="110" a="1"/>
  <c r="F202" i="110" s="1"/>
  <c r="E202" i="110" a="1"/>
  <c r="E202" i="110" s="1"/>
  <c r="D202" i="110" a="1"/>
  <c r="D202" i="110" s="1"/>
  <c r="F201" i="110" a="1"/>
  <c r="F201" i="110" s="1"/>
  <c r="E201" i="110" a="1"/>
  <c r="E201" i="110" s="1"/>
  <c r="D201" i="110" a="1"/>
  <c r="D201" i="110" s="1"/>
  <c r="F200" i="110" a="1"/>
  <c r="F200" i="110" s="1"/>
  <c r="E200" i="110" a="1"/>
  <c r="E200" i="110" s="1"/>
  <c r="D200" i="110" a="1"/>
  <c r="D200" i="110" s="1"/>
  <c r="F199" i="110" a="1"/>
  <c r="F199" i="110" s="1"/>
  <c r="E199" i="110" a="1"/>
  <c r="E199" i="110" s="1"/>
  <c r="D199" i="110" a="1"/>
  <c r="D199" i="110" s="1"/>
  <c r="F198" i="110" a="1"/>
  <c r="F198" i="110" s="1"/>
  <c r="E198" i="110" a="1"/>
  <c r="E198" i="110" s="1"/>
  <c r="D198" i="110" a="1"/>
  <c r="D198" i="110" s="1"/>
  <c r="F197" i="110" a="1"/>
  <c r="F197" i="110" s="1"/>
  <c r="E197" i="110" a="1"/>
  <c r="E197" i="110" s="1"/>
  <c r="D197" i="110" a="1"/>
  <c r="D197" i="110" s="1"/>
  <c r="F196" i="110" a="1"/>
  <c r="F196" i="110" s="1"/>
  <c r="E196" i="110" a="1"/>
  <c r="E196" i="110" s="1"/>
  <c r="D196" i="110" a="1"/>
  <c r="D196" i="110" s="1"/>
  <c r="F195" i="110" a="1"/>
  <c r="F195" i="110" s="1"/>
  <c r="E195" i="110" a="1"/>
  <c r="E195" i="110" s="1"/>
  <c r="D195" i="110" a="1"/>
  <c r="D195" i="110" s="1"/>
  <c r="F194" i="110" a="1"/>
  <c r="F194" i="110" s="1"/>
  <c r="E194" i="110" a="1"/>
  <c r="E194" i="110" s="1"/>
  <c r="D194" i="110" a="1"/>
  <c r="D194" i="110" s="1"/>
  <c r="F193" i="110" a="1"/>
  <c r="F193" i="110" s="1"/>
  <c r="E193" i="110" a="1"/>
  <c r="E193" i="110" s="1"/>
  <c r="D193" i="110" a="1"/>
  <c r="D193" i="110" s="1"/>
  <c r="F192" i="110" a="1"/>
  <c r="F192" i="110" s="1"/>
  <c r="E192" i="110" a="1"/>
  <c r="E192" i="110" s="1"/>
  <c r="D192" i="110" a="1"/>
  <c r="D192" i="110" s="1"/>
  <c r="F191" i="110" a="1"/>
  <c r="F191" i="110" s="1"/>
  <c r="E191" i="110" a="1"/>
  <c r="E191" i="110" s="1"/>
  <c r="D191" i="110" a="1"/>
  <c r="D191" i="110" s="1"/>
  <c r="F190" i="110" a="1"/>
  <c r="F190" i="110" s="1"/>
  <c r="E190" i="110" a="1"/>
  <c r="E190" i="110" s="1"/>
  <c r="D190" i="110" a="1"/>
  <c r="D190" i="110" s="1"/>
  <c r="F189" i="110" a="1"/>
  <c r="F189" i="110" s="1"/>
  <c r="E189" i="110" a="1"/>
  <c r="E189" i="110" s="1"/>
  <c r="D189" i="110" a="1"/>
  <c r="D189" i="110" s="1"/>
  <c r="F188" i="110" a="1"/>
  <c r="F188" i="110" s="1"/>
  <c r="E188" i="110" a="1"/>
  <c r="E188" i="110" s="1"/>
  <c r="D188" i="110" a="1"/>
  <c r="D188" i="110" s="1"/>
  <c r="F187" i="110" a="1"/>
  <c r="F187" i="110" s="1"/>
  <c r="E187" i="110" a="1"/>
  <c r="E187" i="110" s="1"/>
  <c r="D187" i="110" a="1"/>
  <c r="D187" i="110" s="1"/>
  <c r="F186" i="110" a="1"/>
  <c r="F186" i="110" s="1"/>
  <c r="E186" i="110" a="1"/>
  <c r="E186" i="110" s="1"/>
  <c r="D186" i="110" a="1"/>
  <c r="D186" i="110" s="1"/>
  <c r="F185" i="110" a="1"/>
  <c r="F185" i="110" s="1"/>
  <c r="E185" i="110" a="1"/>
  <c r="E185" i="110" s="1"/>
  <c r="D185" i="110" a="1"/>
  <c r="D185" i="110" s="1"/>
  <c r="F184" i="110" a="1"/>
  <c r="F184" i="110" s="1"/>
  <c r="E184" i="110" a="1"/>
  <c r="E184" i="110" s="1"/>
  <c r="D184" i="110" a="1"/>
  <c r="D184" i="110" s="1"/>
  <c r="F183" i="110" a="1"/>
  <c r="F183" i="110" s="1"/>
  <c r="E183" i="110" a="1"/>
  <c r="E183" i="110" s="1"/>
  <c r="D183" i="110" a="1"/>
  <c r="D183" i="110" s="1"/>
  <c r="F182" i="110" a="1"/>
  <c r="F182" i="110" s="1"/>
  <c r="E182" i="110" a="1"/>
  <c r="E182" i="110" s="1"/>
  <c r="D182" i="110" a="1"/>
  <c r="D182" i="110" s="1"/>
  <c r="F181" i="110" a="1"/>
  <c r="F181" i="110" s="1"/>
  <c r="E181" i="110" a="1"/>
  <c r="E181" i="110" s="1"/>
  <c r="D181" i="110" a="1"/>
  <c r="D181" i="110" s="1"/>
  <c r="F180" i="110" a="1"/>
  <c r="F180" i="110" s="1"/>
  <c r="E180" i="110" a="1"/>
  <c r="E180" i="110" s="1"/>
  <c r="D180" i="110" a="1"/>
  <c r="D180" i="110" s="1"/>
  <c r="F179" i="110" a="1"/>
  <c r="F179" i="110" s="1"/>
  <c r="E179" i="110" a="1"/>
  <c r="E179" i="110" s="1"/>
  <c r="D179" i="110" a="1"/>
  <c r="D179" i="110" s="1"/>
  <c r="F178" i="110" a="1"/>
  <c r="F178" i="110" s="1"/>
  <c r="E178" i="110" a="1"/>
  <c r="E178" i="110" s="1"/>
  <c r="D178" i="110" a="1"/>
  <c r="D178" i="110" s="1"/>
  <c r="F177" i="110" a="1"/>
  <c r="F177" i="110" s="1"/>
  <c r="E177" i="110" a="1"/>
  <c r="E177" i="110" s="1"/>
  <c r="D177" i="110" a="1"/>
  <c r="D177" i="110" s="1"/>
  <c r="F176" i="110" a="1"/>
  <c r="F176" i="110" s="1"/>
  <c r="E176" i="110" a="1"/>
  <c r="E176" i="110" s="1"/>
  <c r="D176" i="110" a="1"/>
  <c r="D176" i="110" s="1"/>
  <c r="F175" i="110" a="1"/>
  <c r="F175" i="110" s="1"/>
  <c r="E175" i="110" a="1"/>
  <c r="E175" i="110" s="1"/>
  <c r="D175" i="110" a="1"/>
  <c r="D175" i="110" s="1"/>
  <c r="F174" i="110" a="1"/>
  <c r="F174" i="110" s="1"/>
  <c r="E174" i="110" a="1"/>
  <c r="E174" i="110" s="1"/>
  <c r="D174" i="110" a="1"/>
  <c r="D174" i="110" s="1"/>
  <c r="F173" i="110" a="1"/>
  <c r="F173" i="110" s="1"/>
  <c r="E173" i="110" a="1"/>
  <c r="E173" i="110" s="1"/>
  <c r="D173" i="110" a="1"/>
  <c r="D173" i="110" s="1"/>
  <c r="F172" i="110" a="1"/>
  <c r="F172" i="110" s="1"/>
  <c r="E172" i="110" a="1"/>
  <c r="E172" i="110" s="1"/>
  <c r="D172" i="110" a="1"/>
  <c r="D172" i="110" s="1"/>
  <c r="F171" i="110" a="1"/>
  <c r="F171" i="110" s="1"/>
  <c r="E171" i="110" a="1"/>
  <c r="E171" i="110" s="1"/>
  <c r="D171" i="110" a="1"/>
  <c r="D171" i="110" s="1"/>
  <c r="F170" i="110" a="1"/>
  <c r="F170" i="110" s="1"/>
  <c r="E170" i="110" a="1"/>
  <c r="E170" i="110" s="1"/>
  <c r="D170" i="110" a="1"/>
  <c r="D170" i="110" s="1"/>
  <c r="F169" i="110" a="1"/>
  <c r="F169" i="110" s="1"/>
  <c r="E169" i="110" a="1"/>
  <c r="E169" i="110" s="1"/>
  <c r="D169" i="110" a="1"/>
  <c r="D169" i="110" s="1"/>
  <c r="F168" i="110" a="1"/>
  <c r="F168" i="110" s="1"/>
  <c r="E168" i="110" a="1"/>
  <c r="E168" i="110" s="1"/>
  <c r="D168" i="110" a="1"/>
  <c r="D168" i="110" s="1"/>
  <c r="F167" i="110" a="1"/>
  <c r="F167" i="110" s="1"/>
  <c r="E167" i="110" a="1"/>
  <c r="E167" i="110" s="1"/>
  <c r="D167" i="110" a="1"/>
  <c r="D167" i="110" s="1"/>
  <c r="F166" i="110" a="1"/>
  <c r="F166" i="110" s="1"/>
  <c r="E166" i="110" a="1"/>
  <c r="E166" i="110" s="1"/>
  <c r="D166" i="110" a="1"/>
  <c r="D166" i="110" s="1"/>
  <c r="F165" i="110" a="1"/>
  <c r="F165" i="110" s="1"/>
  <c r="E165" i="110" a="1"/>
  <c r="E165" i="110" s="1"/>
  <c r="D165" i="110" a="1"/>
  <c r="D165" i="110" s="1"/>
  <c r="F164" i="110" a="1"/>
  <c r="F164" i="110" s="1"/>
  <c r="E164" i="110" a="1"/>
  <c r="E164" i="110" s="1"/>
  <c r="D164" i="110" a="1"/>
  <c r="D164" i="110" s="1"/>
  <c r="F163" i="110" a="1"/>
  <c r="F163" i="110" s="1"/>
  <c r="E163" i="110" a="1"/>
  <c r="E163" i="110" s="1"/>
  <c r="D163" i="110" a="1"/>
  <c r="D163" i="110" s="1"/>
  <c r="F162" i="110" a="1"/>
  <c r="F162" i="110" s="1"/>
  <c r="E162" i="110" a="1"/>
  <c r="E162" i="110" s="1"/>
  <c r="D162" i="110" a="1"/>
  <c r="D162" i="110" s="1"/>
  <c r="F161" i="110" a="1"/>
  <c r="F161" i="110" s="1"/>
  <c r="E161" i="110" a="1"/>
  <c r="E161" i="110" s="1"/>
  <c r="D161" i="110" a="1"/>
  <c r="D161" i="110" s="1"/>
  <c r="F160" i="110" a="1"/>
  <c r="F160" i="110" s="1"/>
  <c r="E160" i="110" a="1"/>
  <c r="E160" i="110" s="1"/>
  <c r="D160" i="110" a="1"/>
  <c r="D160" i="110" s="1"/>
  <c r="F159" i="110" a="1"/>
  <c r="F159" i="110" s="1"/>
  <c r="E159" i="110" a="1"/>
  <c r="E159" i="110" s="1"/>
  <c r="D159" i="110" a="1"/>
  <c r="D159" i="110" s="1"/>
  <c r="F158" i="110" a="1"/>
  <c r="F158" i="110" s="1"/>
  <c r="E158" i="110" a="1"/>
  <c r="E158" i="110" s="1"/>
  <c r="D158" i="110" a="1"/>
  <c r="D158" i="110" s="1"/>
  <c r="F157" i="110" a="1"/>
  <c r="F157" i="110" s="1"/>
  <c r="E157" i="110" a="1"/>
  <c r="E157" i="110" s="1"/>
  <c r="D157" i="110" a="1"/>
  <c r="D157" i="110" s="1"/>
  <c r="F156" i="110" a="1"/>
  <c r="F156" i="110" s="1"/>
  <c r="E156" i="110" a="1"/>
  <c r="E156" i="110" s="1"/>
  <c r="D156" i="110" a="1"/>
  <c r="D156" i="110" s="1"/>
  <c r="F155" i="110" a="1"/>
  <c r="F155" i="110" s="1"/>
  <c r="E155" i="110" a="1"/>
  <c r="E155" i="110" s="1"/>
  <c r="D155" i="110" a="1"/>
  <c r="D155" i="110" s="1"/>
  <c r="F154" i="110" a="1"/>
  <c r="F154" i="110" s="1"/>
  <c r="E154" i="110" a="1"/>
  <c r="E154" i="110" s="1"/>
  <c r="D154" i="110" a="1"/>
  <c r="D154" i="110" s="1"/>
  <c r="F153" i="110" a="1"/>
  <c r="F153" i="110" s="1"/>
  <c r="E153" i="110" a="1"/>
  <c r="E153" i="110" s="1"/>
  <c r="D153" i="110" a="1"/>
  <c r="D153" i="110" s="1"/>
  <c r="F152" i="110" a="1"/>
  <c r="F152" i="110" s="1"/>
  <c r="E152" i="110" a="1"/>
  <c r="E152" i="110" s="1"/>
  <c r="D152" i="110" a="1"/>
  <c r="D152" i="110" s="1"/>
  <c r="F151" i="110" a="1"/>
  <c r="F151" i="110" s="1"/>
  <c r="E151" i="110" a="1"/>
  <c r="E151" i="110" s="1"/>
  <c r="D151" i="110" a="1"/>
  <c r="D151" i="110" s="1"/>
  <c r="F150" i="110" a="1"/>
  <c r="F150" i="110" s="1"/>
  <c r="E150" i="110" a="1"/>
  <c r="E150" i="110" s="1"/>
  <c r="D150" i="110" a="1"/>
  <c r="D150" i="110" s="1"/>
  <c r="F149" i="110" a="1"/>
  <c r="F149" i="110" s="1"/>
  <c r="E149" i="110" a="1"/>
  <c r="E149" i="110" s="1"/>
  <c r="D149" i="110" a="1"/>
  <c r="D149" i="110" s="1"/>
  <c r="F148" i="110" a="1"/>
  <c r="F148" i="110" s="1"/>
  <c r="E148" i="110" a="1"/>
  <c r="E148" i="110" s="1"/>
  <c r="D148" i="110" a="1"/>
  <c r="D148" i="110" s="1"/>
  <c r="F147" i="110" a="1"/>
  <c r="F147" i="110" s="1"/>
  <c r="E147" i="110" a="1"/>
  <c r="E147" i="110" s="1"/>
  <c r="D147" i="110" a="1"/>
  <c r="D147" i="110" s="1"/>
  <c r="F146" i="110" a="1"/>
  <c r="F146" i="110" s="1"/>
  <c r="E146" i="110" a="1"/>
  <c r="E146" i="110" s="1"/>
  <c r="D146" i="110" a="1"/>
  <c r="D146" i="110" s="1"/>
  <c r="F145" i="110" a="1"/>
  <c r="F145" i="110" s="1"/>
  <c r="E145" i="110" a="1"/>
  <c r="E145" i="110" s="1"/>
  <c r="D145" i="110" a="1"/>
  <c r="D145" i="110" s="1"/>
  <c r="F144" i="110" a="1"/>
  <c r="F144" i="110" s="1"/>
  <c r="E144" i="110" a="1"/>
  <c r="E144" i="110" s="1"/>
  <c r="D144" i="110" a="1"/>
  <c r="D144" i="110" s="1"/>
  <c r="F143" i="110" a="1"/>
  <c r="F143" i="110" s="1"/>
  <c r="E143" i="110" a="1"/>
  <c r="E143" i="110" s="1"/>
  <c r="D143" i="110" a="1"/>
  <c r="D143" i="110" s="1"/>
  <c r="F142" i="110" a="1"/>
  <c r="F142" i="110" s="1"/>
  <c r="E142" i="110" a="1"/>
  <c r="E142" i="110" s="1"/>
  <c r="D142" i="110" a="1"/>
  <c r="D142" i="110" s="1"/>
  <c r="F141" i="110" a="1"/>
  <c r="F141" i="110" s="1"/>
  <c r="E141" i="110" a="1"/>
  <c r="E141" i="110" s="1"/>
  <c r="D141" i="110" a="1"/>
  <c r="D141" i="110" s="1"/>
  <c r="F140" i="110" a="1"/>
  <c r="F140" i="110" s="1"/>
  <c r="E140" i="110" a="1"/>
  <c r="E140" i="110" s="1"/>
  <c r="D140" i="110" a="1"/>
  <c r="D140" i="110" s="1"/>
  <c r="F139" i="110" a="1"/>
  <c r="F139" i="110" s="1"/>
  <c r="E139" i="110" a="1"/>
  <c r="E139" i="110" s="1"/>
  <c r="D139" i="110" a="1"/>
  <c r="D139" i="110" s="1"/>
  <c r="F138" i="110" a="1"/>
  <c r="F138" i="110" s="1"/>
  <c r="E138" i="110" a="1"/>
  <c r="E138" i="110" s="1"/>
  <c r="D138" i="110" a="1"/>
  <c r="D138" i="110" s="1"/>
  <c r="F137" i="110" a="1"/>
  <c r="F137" i="110" s="1"/>
  <c r="E137" i="110" a="1"/>
  <c r="E137" i="110" s="1"/>
  <c r="D137" i="110" a="1"/>
  <c r="D137" i="110" s="1"/>
  <c r="F136" i="110" a="1"/>
  <c r="F136" i="110" s="1"/>
  <c r="E136" i="110" a="1"/>
  <c r="E136" i="110" s="1"/>
  <c r="D136" i="110" a="1"/>
  <c r="D136" i="110" s="1"/>
  <c r="F135" i="110" a="1"/>
  <c r="F135" i="110" s="1"/>
  <c r="E135" i="110" a="1"/>
  <c r="E135" i="110" s="1"/>
  <c r="D135" i="110" a="1"/>
  <c r="D135" i="110" s="1"/>
  <c r="F134" i="110" a="1"/>
  <c r="F134" i="110" s="1"/>
  <c r="E134" i="110" a="1"/>
  <c r="E134" i="110" s="1"/>
  <c r="D134" i="110" a="1"/>
  <c r="D134" i="110" s="1"/>
  <c r="F133" i="110" a="1"/>
  <c r="F133" i="110" s="1"/>
  <c r="E133" i="110" a="1"/>
  <c r="E133" i="110" s="1"/>
  <c r="D133" i="110" a="1"/>
  <c r="D133" i="110" s="1"/>
  <c r="F132" i="110" a="1"/>
  <c r="F132" i="110" s="1"/>
  <c r="E132" i="110" a="1"/>
  <c r="E132" i="110" s="1"/>
  <c r="D132" i="110" a="1"/>
  <c r="D132" i="110" s="1"/>
  <c r="F131" i="110" a="1"/>
  <c r="F131" i="110" s="1"/>
  <c r="E131" i="110" a="1"/>
  <c r="E131" i="110" s="1"/>
  <c r="D131" i="110" a="1"/>
  <c r="D131" i="110" s="1"/>
  <c r="F130" i="110" a="1"/>
  <c r="F130" i="110" s="1"/>
  <c r="E130" i="110" a="1"/>
  <c r="E130" i="110" s="1"/>
  <c r="D130" i="110" a="1"/>
  <c r="D130" i="110" s="1"/>
  <c r="F129" i="110" a="1"/>
  <c r="F129" i="110" s="1"/>
  <c r="E129" i="110" a="1"/>
  <c r="E129" i="110" s="1"/>
  <c r="D129" i="110" a="1"/>
  <c r="D129" i="110" s="1"/>
  <c r="F128" i="110" a="1"/>
  <c r="F128" i="110" s="1"/>
  <c r="E128" i="110" a="1"/>
  <c r="E128" i="110" s="1"/>
  <c r="D128" i="110" a="1"/>
  <c r="D128" i="110" s="1"/>
  <c r="F127" i="110" a="1"/>
  <c r="F127" i="110" s="1"/>
  <c r="E127" i="110" a="1"/>
  <c r="E127" i="110" s="1"/>
  <c r="D127" i="110" a="1"/>
  <c r="D127" i="110" s="1"/>
  <c r="F126" i="110" a="1"/>
  <c r="F126" i="110" s="1"/>
  <c r="E126" i="110" a="1"/>
  <c r="E126" i="110" s="1"/>
  <c r="D126" i="110" a="1"/>
  <c r="D126" i="110" s="1"/>
  <c r="F125" i="110" a="1"/>
  <c r="F125" i="110" s="1"/>
  <c r="E125" i="110" a="1"/>
  <c r="E125" i="110" s="1"/>
  <c r="D125" i="110" a="1"/>
  <c r="D125" i="110" s="1"/>
  <c r="F124" i="110" a="1"/>
  <c r="F124" i="110" s="1"/>
  <c r="E124" i="110" a="1"/>
  <c r="E124" i="110" s="1"/>
  <c r="D124" i="110" a="1"/>
  <c r="D124" i="110" s="1"/>
  <c r="F123" i="110" a="1"/>
  <c r="F123" i="110" s="1"/>
  <c r="E123" i="110" a="1"/>
  <c r="E123" i="110" s="1"/>
  <c r="D123" i="110" a="1"/>
  <c r="D123" i="110" s="1"/>
  <c r="F122" i="110" a="1"/>
  <c r="F122" i="110" s="1"/>
  <c r="E122" i="110" a="1"/>
  <c r="E122" i="110" s="1"/>
  <c r="D122" i="110" a="1"/>
  <c r="D122" i="110" s="1"/>
  <c r="F121" i="110" a="1"/>
  <c r="F121" i="110" s="1"/>
  <c r="E121" i="110" a="1"/>
  <c r="E121" i="110" s="1"/>
  <c r="D121" i="110" a="1"/>
  <c r="D121" i="110" s="1"/>
  <c r="F120" i="110" a="1"/>
  <c r="F120" i="110" s="1"/>
  <c r="E120" i="110" a="1"/>
  <c r="E120" i="110" s="1"/>
  <c r="D120" i="110" a="1"/>
  <c r="D120" i="110" s="1"/>
  <c r="F119" i="110" a="1"/>
  <c r="F119" i="110" s="1"/>
  <c r="E119" i="110" a="1"/>
  <c r="E119" i="110" s="1"/>
  <c r="D119" i="110" a="1"/>
  <c r="D119" i="110" s="1"/>
  <c r="F118" i="110" a="1"/>
  <c r="F118" i="110" s="1"/>
  <c r="E118" i="110" a="1"/>
  <c r="E118" i="110" s="1"/>
  <c r="D118" i="110" a="1"/>
  <c r="D118" i="110" s="1"/>
  <c r="F117" i="110" a="1"/>
  <c r="F117" i="110" s="1"/>
  <c r="E117" i="110" a="1"/>
  <c r="E117" i="110" s="1"/>
  <c r="D117" i="110" a="1"/>
  <c r="D117" i="110" s="1"/>
  <c r="F116" i="110" a="1"/>
  <c r="F116" i="110" s="1"/>
  <c r="E116" i="110" a="1"/>
  <c r="E116" i="110" s="1"/>
  <c r="D116" i="110" a="1"/>
  <c r="D116" i="110" s="1"/>
  <c r="F115" i="110" a="1"/>
  <c r="F115" i="110" s="1"/>
  <c r="E115" i="110" a="1"/>
  <c r="E115" i="110" s="1"/>
  <c r="D115" i="110" a="1"/>
  <c r="D115" i="110" s="1"/>
  <c r="F114" i="110" a="1"/>
  <c r="F114" i="110" s="1"/>
  <c r="E114" i="110" a="1"/>
  <c r="E114" i="110" s="1"/>
  <c r="D114" i="110" a="1"/>
  <c r="D114" i="110" s="1"/>
  <c r="F113" i="110" a="1"/>
  <c r="F113" i="110" s="1"/>
  <c r="E113" i="110" a="1"/>
  <c r="E113" i="110" s="1"/>
  <c r="D113" i="110" a="1"/>
  <c r="D113" i="110" s="1"/>
  <c r="F112" i="110" a="1"/>
  <c r="F112" i="110" s="1"/>
  <c r="E112" i="110" a="1"/>
  <c r="E112" i="110" s="1"/>
  <c r="D112" i="110" a="1"/>
  <c r="D112" i="110" s="1"/>
  <c r="F111" i="110" a="1"/>
  <c r="F111" i="110" s="1"/>
  <c r="E111" i="110" a="1"/>
  <c r="E111" i="110" s="1"/>
  <c r="D111" i="110" a="1"/>
  <c r="D111" i="110" s="1"/>
  <c r="F110" i="110" a="1"/>
  <c r="F110" i="110" s="1"/>
  <c r="E110" i="110" a="1"/>
  <c r="E110" i="110" s="1"/>
  <c r="D110" i="110" a="1"/>
  <c r="D110" i="110" s="1"/>
  <c r="F109" i="110" a="1"/>
  <c r="F109" i="110" s="1"/>
  <c r="E109" i="110" a="1"/>
  <c r="E109" i="110" s="1"/>
  <c r="D109" i="110" a="1"/>
  <c r="D109" i="110" s="1"/>
  <c r="F108" i="110" a="1"/>
  <c r="F108" i="110" s="1"/>
  <c r="E108" i="110" a="1"/>
  <c r="E108" i="110" s="1"/>
  <c r="D108" i="110" a="1"/>
  <c r="D108" i="110" s="1"/>
  <c r="F107" i="110" a="1"/>
  <c r="F107" i="110" s="1"/>
  <c r="E107" i="110" a="1"/>
  <c r="E107" i="110" s="1"/>
  <c r="D107" i="110" a="1"/>
  <c r="D107" i="110" s="1"/>
  <c r="F106" i="110" a="1"/>
  <c r="F106" i="110" s="1"/>
  <c r="E106" i="110" a="1"/>
  <c r="E106" i="110" s="1"/>
  <c r="D106" i="110" a="1"/>
  <c r="D106" i="110" s="1"/>
  <c r="F105" i="110" a="1"/>
  <c r="F105" i="110" s="1"/>
  <c r="E105" i="110" a="1"/>
  <c r="E105" i="110" s="1"/>
  <c r="D105" i="110" a="1"/>
  <c r="D105" i="110" s="1"/>
  <c r="F104" i="110" a="1"/>
  <c r="F104" i="110" s="1"/>
  <c r="E104" i="110" a="1"/>
  <c r="E104" i="110" s="1"/>
  <c r="D104" i="110" a="1"/>
  <c r="D104" i="110" s="1"/>
  <c r="F103" i="110" a="1"/>
  <c r="F103" i="110" s="1"/>
  <c r="E103" i="110" a="1"/>
  <c r="E103" i="110" s="1"/>
  <c r="D103" i="110" a="1"/>
  <c r="D103" i="110" s="1"/>
  <c r="F102" i="110" a="1"/>
  <c r="F102" i="110" s="1"/>
  <c r="E102" i="110" a="1"/>
  <c r="E102" i="110" s="1"/>
  <c r="D102" i="110" a="1"/>
  <c r="D102" i="110" s="1"/>
  <c r="F101" i="110" a="1"/>
  <c r="F101" i="110" s="1"/>
  <c r="E101" i="110" a="1"/>
  <c r="E101" i="110" s="1"/>
  <c r="D101" i="110" a="1"/>
  <c r="D101" i="110" s="1"/>
  <c r="F100" i="110" a="1"/>
  <c r="F100" i="110" s="1"/>
  <c r="E100" i="110" a="1"/>
  <c r="E100" i="110" s="1"/>
  <c r="D100" i="110" a="1"/>
  <c r="D100" i="110" s="1"/>
  <c r="F99" i="110" a="1"/>
  <c r="F99" i="110" s="1"/>
  <c r="E99" i="110" a="1"/>
  <c r="E99" i="110" s="1"/>
  <c r="D99" i="110" a="1"/>
  <c r="D99" i="110" s="1"/>
  <c r="F98" i="110" a="1"/>
  <c r="F98" i="110" s="1"/>
  <c r="E98" i="110" a="1"/>
  <c r="E98" i="110" s="1"/>
  <c r="D98" i="110" a="1"/>
  <c r="D98" i="110" s="1"/>
  <c r="F97" i="110" a="1"/>
  <c r="F97" i="110" s="1"/>
  <c r="E97" i="110" a="1"/>
  <c r="E97" i="110" s="1"/>
  <c r="D97" i="110" a="1"/>
  <c r="D97" i="110" s="1"/>
  <c r="F96" i="110" a="1"/>
  <c r="F96" i="110" s="1"/>
  <c r="E96" i="110" a="1"/>
  <c r="E96" i="110" s="1"/>
  <c r="D96" i="110" a="1"/>
  <c r="D96" i="110" s="1"/>
  <c r="F95" i="110" a="1"/>
  <c r="F95" i="110" s="1"/>
  <c r="E95" i="110" a="1"/>
  <c r="E95" i="110" s="1"/>
  <c r="D95" i="110" a="1"/>
  <c r="D95" i="110" s="1"/>
  <c r="F94" i="110" a="1"/>
  <c r="F94" i="110" s="1"/>
  <c r="E94" i="110" a="1"/>
  <c r="E94" i="110" s="1"/>
  <c r="D94" i="110" a="1"/>
  <c r="D94" i="110" s="1"/>
  <c r="F93" i="110" a="1"/>
  <c r="F93" i="110" s="1"/>
  <c r="E93" i="110" a="1"/>
  <c r="E93" i="110" s="1"/>
  <c r="D93" i="110" a="1"/>
  <c r="D93" i="110" s="1"/>
  <c r="D91" i="110" a="1"/>
  <c r="D91" i="110" s="1"/>
  <c r="F89" i="110" a="1"/>
  <c r="F89" i="110" s="1"/>
  <c r="E89" i="110" a="1"/>
  <c r="E89" i="110" s="1"/>
  <c r="D89" i="110" a="1"/>
  <c r="D89" i="110" s="1"/>
  <c r="F88" i="110" a="1"/>
  <c r="F88" i="110" s="1"/>
  <c r="E88" i="110" a="1"/>
  <c r="E88" i="110" s="1"/>
  <c r="D88" i="110" a="1"/>
  <c r="D88" i="110" s="1"/>
  <c r="F87" i="110" a="1"/>
  <c r="F87" i="110" s="1"/>
  <c r="E87" i="110" a="1"/>
  <c r="E87" i="110" s="1"/>
  <c r="D87" i="110" a="1"/>
  <c r="D87" i="110" s="1"/>
  <c r="F86" i="110" a="1"/>
  <c r="F86" i="110" s="1"/>
  <c r="E86" i="110" a="1"/>
  <c r="E86" i="110" s="1"/>
  <c r="D86" i="110" a="1"/>
  <c r="D86" i="110" s="1"/>
  <c r="F85" i="110" a="1"/>
  <c r="F85" i="110" s="1"/>
  <c r="E85" i="110" a="1"/>
  <c r="E85" i="110" s="1"/>
  <c r="D85" i="110" a="1"/>
  <c r="D85" i="110" s="1"/>
  <c r="F84" i="110" a="1"/>
  <c r="F84" i="110" s="1"/>
  <c r="E84" i="110" a="1"/>
  <c r="E84" i="110" s="1"/>
  <c r="D84" i="110" a="1"/>
  <c r="D84" i="110" s="1"/>
  <c r="F83" i="110" a="1"/>
  <c r="F83" i="110" s="1"/>
  <c r="E83" i="110" a="1"/>
  <c r="E83" i="110" s="1"/>
  <c r="D83" i="110" a="1"/>
  <c r="D83" i="110" s="1"/>
  <c r="F82" i="110" a="1"/>
  <c r="F82" i="110" s="1"/>
  <c r="E82" i="110" a="1"/>
  <c r="E82" i="110" s="1"/>
  <c r="D82" i="110" a="1"/>
  <c r="D82" i="110" s="1"/>
  <c r="F81" i="110" a="1"/>
  <c r="F81" i="110" s="1"/>
  <c r="E81" i="110" a="1"/>
  <c r="E81" i="110" s="1"/>
  <c r="D81" i="110" a="1"/>
  <c r="D81" i="110" s="1"/>
  <c r="F80" i="110" a="1"/>
  <c r="F80" i="110" s="1"/>
  <c r="E80" i="110" a="1"/>
  <c r="E80" i="110" s="1"/>
  <c r="D80" i="110" a="1"/>
  <c r="D80" i="110" s="1"/>
  <c r="F79" i="110" a="1"/>
  <c r="F79" i="110" s="1"/>
  <c r="E79" i="110" a="1"/>
  <c r="E79" i="110" s="1"/>
  <c r="D79" i="110" a="1"/>
  <c r="D79" i="110" s="1"/>
  <c r="F78" i="110" a="1"/>
  <c r="F78" i="110" s="1"/>
  <c r="E78" i="110" a="1"/>
  <c r="E78" i="110" s="1"/>
  <c r="D78" i="110" a="1"/>
  <c r="D78" i="110" s="1"/>
  <c r="F77" i="110" a="1"/>
  <c r="F77" i="110" s="1"/>
  <c r="E77" i="110" a="1"/>
  <c r="E77" i="110" s="1"/>
  <c r="D77" i="110" a="1"/>
  <c r="D77" i="110" s="1"/>
  <c r="F76" i="110" a="1"/>
  <c r="F76" i="110" s="1"/>
  <c r="E76" i="110" a="1"/>
  <c r="E76" i="110" s="1"/>
  <c r="D76" i="110" a="1"/>
  <c r="D76" i="110" s="1"/>
  <c r="F75" i="110" a="1"/>
  <c r="F75" i="110" s="1"/>
  <c r="E75" i="110" a="1"/>
  <c r="E75" i="110" s="1"/>
  <c r="D75" i="110" a="1"/>
  <c r="D75" i="110" s="1"/>
  <c r="F74" i="110" a="1"/>
  <c r="F74" i="110" s="1"/>
  <c r="E74" i="110" a="1"/>
  <c r="E74" i="110" s="1"/>
  <c r="D74" i="110" a="1"/>
  <c r="D74" i="110" s="1"/>
  <c r="D71" i="110" a="1"/>
  <c r="D71" i="110" s="1"/>
  <c r="D70" i="110" a="1"/>
  <c r="D70" i="110" s="1"/>
  <c r="L37" i="110" a="1"/>
  <c r="L37" i="110" s="1"/>
  <c r="K37" i="110" a="1"/>
  <c r="K37" i="110" s="1"/>
  <c r="J37" i="110" a="1"/>
  <c r="J37" i="110" s="1"/>
  <c r="I37" i="110" a="1"/>
  <c r="I37" i="110" s="1"/>
  <c r="H37" i="110" a="1"/>
  <c r="H37" i="110" s="1"/>
  <c r="G37" i="110" a="1"/>
  <c r="G37" i="110" s="1"/>
  <c r="F37" i="110" a="1"/>
  <c r="F37" i="110" s="1"/>
  <c r="E37" i="110" a="1"/>
  <c r="E37" i="110" s="1"/>
  <c r="D37" i="110" a="1"/>
  <c r="D37" i="110" s="1"/>
  <c r="L36" i="110" a="1"/>
  <c r="L36" i="110" s="1"/>
  <c r="K36" i="110" a="1"/>
  <c r="K36" i="110" s="1"/>
  <c r="J36" i="110" a="1"/>
  <c r="J36" i="110" s="1"/>
  <c r="I36" i="110" a="1"/>
  <c r="I36" i="110" s="1"/>
  <c r="H36" i="110" a="1"/>
  <c r="H36" i="110" s="1"/>
  <c r="G36" i="110" a="1"/>
  <c r="G36" i="110" s="1"/>
  <c r="F36" i="110" a="1"/>
  <c r="F36" i="110" s="1"/>
  <c r="E36" i="110" a="1"/>
  <c r="E36" i="110" s="1"/>
  <c r="D36" i="110" a="1"/>
  <c r="D36" i="110" s="1"/>
  <c r="L35" i="110" a="1"/>
  <c r="L35" i="110" s="1"/>
  <c r="K35" i="110" a="1"/>
  <c r="K35" i="110" s="1"/>
  <c r="J35" i="110" a="1"/>
  <c r="J35" i="110" s="1"/>
  <c r="I35" i="110" a="1"/>
  <c r="I35" i="110" s="1"/>
  <c r="H35" i="110" a="1"/>
  <c r="H35" i="110" s="1"/>
  <c r="G35" i="110" a="1"/>
  <c r="G35" i="110" s="1"/>
  <c r="F35" i="110" a="1"/>
  <c r="F35" i="110" s="1"/>
  <c r="E35" i="110" a="1"/>
  <c r="E35" i="110" s="1"/>
  <c r="D35" i="110" a="1"/>
  <c r="D35" i="110" s="1"/>
  <c r="L34" i="110" a="1"/>
  <c r="L34" i="110" s="1"/>
  <c r="K34" i="110" a="1"/>
  <c r="K34" i="110" s="1"/>
  <c r="J34" i="110" a="1"/>
  <c r="J34" i="110" s="1"/>
  <c r="I34" i="110" a="1"/>
  <c r="I34" i="110" s="1"/>
  <c r="H34" i="110" a="1"/>
  <c r="H34" i="110" s="1"/>
  <c r="G34" i="110" a="1"/>
  <c r="G34" i="110" s="1"/>
  <c r="F34" i="110" a="1"/>
  <c r="F34" i="110" s="1"/>
  <c r="E34" i="110" a="1"/>
  <c r="E34" i="110" s="1"/>
  <c r="D34" i="110" a="1"/>
  <c r="D34" i="110" s="1"/>
  <c r="L33" i="110" a="1"/>
  <c r="L33" i="110" s="1"/>
  <c r="K33" i="110" a="1"/>
  <c r="K33" i="110" s="1"/>
  <c r="J33" i="110" a="1"/>
  <c r="J33" i="110" s="1"/>
  <c r="I33" i="110" a="1"/>
  <c r="I33" i="110" s="1"/>
  <c r="H33" i="110" a="1"/>
  <c r="H33" i="110" s="1"/>
  <c r="G33" i="110" a="1"/>
  <c r="G33" i="110" s="1"/>
  <c r="F33" i="110" a="1"/>
  <c r="F33" i="110" s="1"/>
  <c r="E33" i="110" a="1"/>
  <c r="E33" i="110" s="1"/>
  <c r="D33" i="110" a="1"/>
  <c r="D33" i="110" s="1"/>
  <c r="L32" i="110" a="1"/>
  <c r="L32" i="110" s="1"/>
  <c r="K32" i="110" a="1"/>
  <c r="K32" i="110" s="1"/>
  <c r="J32" i="110" a="1"/>
  <c r="J32" i="110" s="1"/>
  <c r="I32" i="110" a="1"/>
  <c r="I32" i="110" s="1"/>
  <c r="H32" i="110" a="1"/>
  <c r="H32" i="110" s="1"/>
  <c r="G32" i="110" a="1"/>
  <c r="G32" i="110" s="1"/>
  <c r="F32" i="110" a="1"/>
  <c r="F32" i="110" s="1"/>
  <c r="E32" i="110" a="1"/>
  <c r="E32" i="110" s="1"/>
  <c r="D32" i="110" a="1"/>
  <c r="D32" i="110" s="1"/>
  <c r="L31" i="110" a="1"/>
  <c r="L31" i="110" s="1"/>
  <c r="K31" i="110" a="1"/>
  <c r="K31" i="110" s="1"/>
  <c r="J31" i="110" a="1"/>
  <c r="J31" i="110" s="1"/>
  <c r="I31" i="110" a="1"/>
  <c r="I31" i="110" s="1"/>
  <c r="H31" i="110" a="1"/>
  <c r="H31" i="110" s="1"/>
  <c r="G31" i="110" a="1"/>
  <c r="G31" i="110" s="1"/>
  <c r="F31" i="110" a="1"/>
  <c r="F31" i="110" s="1"/>
  <c r="E31" i="110" a="1"/>
  <c r="E31" i="110" s="1"/>
  <c r="D31" i="110" a="1"/>
  <c r="D31" i="110" s="1"/>
  <c r="L30" i="110" a="1"/>
  <c r="L30" i="110" s="1"/>
  <c r="K30" i="110" a="1"/>
  <c r="K30" i="110" s="1"/>
  <c r="J30" i="110" a="1"/>
  <c r="J30" i="110" s="1"/>
  <c r="I30" i="110" a="1"/>
  <c r="I30" i="110" s="1"/>
  <c r="H30" i="110" a="1"/>
  <c r="H30" i="110" s="1"/>
  <c r="G30" i="110" a="1"/>
  <c r="G30" i="110" s="1"/>
  <c r="F30" i="110" a="1"/>
  <c r="F30" i="110" s="1"/>
  <c r="E30" i="110" a="1"/>
  <c r="E30" i="110" s="1"/>
  <c r="D30" i="110" a="1"/>
  <c r="D30" i="110" s="1"/>
  <c r="L29" i="110" a="1"/>
  <c r="L29" i="110" s="1"/>
  <c r="K29" i="110" a="1"/>
  <c r="K29" i="110" s="1"/>
  <c r="J29" i="110" a="1"/>
  <c r="J29" i="110" s="1"/>
  <c r="I29" i="110" a="1"/>
  <c r="I29" i="110" s="1"/>
  <c r="H29" i="110" a="1"/>
  <c r="H29" i="110" s="1"/>
  <c r="G29" i="110" a="1"/>
  <c r="G29" i="110" s="1"/>
  <c r="F29" i="110" a="1"/>
  <c r="F29" i="110" s="1"/>
  <c r="E29" i="110" a="1"/>
  <c r="E29" i="110" s="1"/>
  <c r="D29" i="110" a="1"/>
  <c r="D29" i="110" s="1"/>
  <c r="L28" i="110" a="1"/>
  <c r="L28" i="110" s="1"/>
  <c r="K28" i="110" a="1"/>
  <c r="K28" i="110" s="1"/>
  <c r="J28" i="110" a="1"/>
  <c r="J28" i="110" s="1"/>
  <c r="I28" i="110" a="1"/>
  <c r="I28" i="110" s="1"/>
  <c r="H28" i="110" a="1"/>
  <c r="H28" i="110" s="1"/>
  <c r="G28" i="110" a="1"/>
  <c r="G28" i="110" s="1"/>
  <c r="F28" i="110" a="1"/>
  <c r="F28" i="110" s="1"/>
  <c r="E28" i="110" a="1"/>
  <c r="E28" i="110" s="1"/>
  <c r="D28" i="110" a="1"/>
  <c r="D28" i="110" s="1"/>
  <c r="L27" i="110" a="1"/>
  <c r="L27" i="110" s="1"/>
  <c r="K27" i="110" a="1"/>
  <c r="K27" i="110" s="1"/>
  <c r="J27" i="110" a="1"/>
  <c r="J27" i="110" s="1"/>
  <c r="I27" i="110" a="1"/>
  <c r="I27" i="110" s="1"/>
  <c r="H27" i="110" a="1"/>
  <c r="H27" i="110" s="1"/>
  <c r="G27" i="110" a="1"/>
  <c r="G27" i="110" s="1"/>
  <c r="F27" i="110" a="1"/>
  <c r="F27" i="110" s="1"/>
  <c r="E27" i="110" a="1"/>
  <c r="E27" i="110" s="1"/>
  <c r="D27" i="110" a="1"/>
  <c r="D27" i="110" s="1"/>
  <c r="L26" i="110" a="1"/>
  <c r="L26" i="110" s="1"/>
  <c r="K26" i="110" a="1"/>
  <c r="K26" i="110" s="1"/>
  <c r="J26" i="110" a="1"/>
  <c r="J26" i="110" s="1"/>
  <c r="I26" i="110" a="1"/>
  <c r="I26" i="110" s="1"/>
  <c r="H26" i="110" a="1"/>
  <c r="H26" i="110" s="1"/>
  <c r="G26" i="110" a="1"/>
  <c r="G26" i="110" s="1"/>
  <c r="F26" i="110" a="1"/>
  <c r="F26" i="110" s="1"/>
  <c r="E26" i="110" a="1"/>
  <c r="E26" i="110" s="1"/>
  <c r="D26" i="110" a="1"/>
  <c r="D26" i="110" s="1"/>
  <c r="L25" i="110" a="1"/>
  <c r="L25" i="110" s="1"/>
  <c r="K25" i="110" a="1"/>
  <c r="K25" i="110" s="1"/>
  <c r="J25" i="110" a="1"/>
  <c r="J25" i="110" s="1"/>
  <c r="I25" i="110" a="1"/>
  <c r="I25" i="110" s="1"/>
  <c r="H25" i="110" a="1"/>
  <c r="H25" i="110" s="1"/>
  <c r="G25" i="110" a="1"/>
  <c r="G25" i="110" s="1"/>
  <c r="F25" i="110" a="1"/>
  <c r="F25" i="110" s="1"/>
  <c r="E25" i="110" a="1"/>
  <c r="E25" i="110" s="1"/>
  <c r="D25" i="110" a="1"/>
  <c r="D25" i="110" s="1"/>
  <c r="L24" i="110" a="1"/>
  <c r="L24" i="110" s="1"/>
  <c r="K24" i="110" a="1"/>
  <c r="K24" i="110" s="1"/>
  <c r="J24" i="110" a="1"/>
  <c r="J24" i="110" s="1"/>
  <c r="I24" i="110" a="1"/>
  <c r="I24" i="110" s="1"/>
  <c r="H24" i="110" a="1"/>
  <c r="H24" i="110" s="1"/>
  <c r="G24" i="110" a="1"/>
  <c r="G24" i="110" s="1"/>
  <c r="F24" i="110" a="1"/>
  <c r="F24" i="110" s="1"/>
  <c r="E24" i="110" a="1"/>
  <c r="E24" i="110" s="1"/>
  <c r="D24" i="110" a="1"/>
  <c r="D24" i="110" s="1"/>
  <c r="L23" i="110" a="1"/>
  <c r="L23" i="110" s="1"/>
  <c r="K23" i="110" a="1"/>
  <c r="K23" i="110" s="1"/>
  <c r="J23" i="110" a="1"/>
  <c r="J23" i="110" s="1"/>
  <c r="I23" i="110" a="1"/>
  <c r="I23" i="110" s="1"/>
  <c r="H23" i="110" a="1"/>
  <c r="H23" i="110" s="1"/>
  <c r="G23" i="110" a="1"/>
  <c r="G23" i="110" s="1"/>
  <c r="F23" i="110" a="1"/>
  <c r="F23" i="110" s="1"/>
  <c r="E23" i="110" a="1"/>
  <c r="E23" i="110" s="1"/>
  <c r="D23" i="110" a="1"/>
  <c r="D23" i="110" s="1"/>
  <c r="L22" i="110" a="1"/>
  <c r="L22" i="110" s="1"/>
  <c r="K22" i="110" a="1"/>
  <c r="K22" i="110" s="1"/>
  <c r="J22" i="110" a="1"/>
  <c r="J22" i="110" s="1"/>
  <c r="I22" i="110" a="1"/>
  <c r="I22" i="110" s="1"/>
  <c r="H22" i="110" a="1"/>
  <c r="H22" i="110" s="1"/>
  <c r="G22" i="110" a="1"/>
  <c r="G22" i="110" s="1"/>
  <c r="F22" i="110" a="1"/>
  <c r="F22" i="110" s="1"/>
  <c r="E22" i="110" a="1"/>
  <c r="E22" i="110" s="1"/>
  <c r="D22" i="110" a="1"/>
  <c r="D22" i="110" s="1"/>
  <c r="L21" i="110" a="1"/>
  <c r="L21" i="110" s="1"/>
  <c r="K21" i="110" a="1"/>
  <c r="K21" i="110" s="1"/>
  <c r="J21" i="110" a="1"/>
  <c r="J21" i="110" s="1"/>
  <c r="I21" i="110" a="1"/>
  <c r="I21" i="110" s="1"/>
  <c r="H21" i="110" a="1"/>
  <c r="H21" i="110" s="1"/>
  <c r="G21" i="110" a="1"/>
  <c r="G21" i="110" s="1"/>
  <c r="F21" i="110" a="1"/>
  <c r="F21" i="110" s="1"/>
  <c r="E21" i="110" a="1"/>
  <c r="E21" i="110" s="1"/>
  <c r="D21" i="110" a="1"/>
  <c r="D21" i="110" s="1"/>
  <c r="L20" i="110" a="1"/>
  <c r="L20" i="110" s="1"/>
  <c r="K20" i="110" a="1"/>
  <c r="K20" i="110" s="1"/>
  <c r="J20" i="110" a="1"/>
  <c r="J20" i="110" s="1"/>
  <c r="I20" i="110" a="1"/>
  <c r="I20" i="110" s="1"/>
  <c r="H20" i="110" a="1"/>
  <c r="H20" i="110" s="1"/>
  <c r="G20" i="110" a="1"/>
  <c r="G20" i="110" s="1"/>
  <c r="F20" i="110" a="1"/>
  <c r="F20" i="110" s="1"/>
  <c r="E20" i="110" a="1"/>
  <c r="E20" i="110" s="1"/>
  <c r="D20" i="110" a="1"/>
  <c r="D20" i="110" s="1"/>
  <c r="D17" i="110" a="1"/>
  <c r="D17" i="110" s="1"/>
  <c r="D16" i="110" a="1"/>
  <c r="D16" i="110" s="1"/>
  <c r="D15" i="110" a="1"/>
  <c r="D15" i="110" s="1"/>
  <c r="I39" i="69"/>
  <c r="J36" i="74"/>
  <c r="J19" i="74"/>
  <c r="A47" i="69"/>
  <c r="D26" i="74" a="1"/>
  <c r="D26" i="74" s="1"/>
  <c r="H13" i="113" a="1"/>
  <c r="H13" i="113" s="1"/>
  <c r="H36" i="113" a="1"/>
  <c r="H36" i="113" s="1"/>
  <c r="D36" i="113" a="1"/>
  <c r="D36" i="113" s="1"/>
  <c r="D13" i="113" a="1"/>
  <c r="D13" i="113" s="1"/>
  <c r="E34" i="113" a="1"/>
  <c r="E34" i="113" s="1"/>
  <c r="F48" i="113" s="1"/>
  <c r="E33" i="113" a="1"/>
  <c r="E33" i="113" s="1"/>
  <c r="D29" i="113" a="1"/>
  <c r="D29" i="113" s="1"/>
  <c r="D28" i="113" a="1"/>
  <c r="D28" i="113" s="1"/>
  <c r="E11" i="113" a="1"/>
  <c r="E11" i="113" s="1"/>
  <c r="E10" i="113" a="1"/>
  <c r="E10" i="113" s="1"/>
  <c r="D6" i="113" a="1"/>
  <c r="D6" i="113" s="1"/>
  <c r="D5" i="113" a="1"/>
  <c r="D5" i="113" s="1"/>
  <c r="F53" i="113" a="1"/>
  <c r="F53" i="113" s="1"/>
  <c r="D50" i="113" a="1"/>
  <c r="D50" i="113" s="1"/>
  <c r="E27" i="114" a="1"/>
  <c r="E7" i="113" a="1"/>
  <c r="E30" i="113" a="1"/>
  <c r="E50" i="114" a="1"/>
  <c r="E7" i="114" a="1"/>
  <c r="P48" i="113" l="1"/>
  <c r="I57" i="114" a="1"/>
  <c r="I57" i="114" s="1"/>
  <c r="I35" i="114" a="1"/>
  <c r="I35" i="114" s="1"/>
  <c r="I15" i="114" a="1"/>
  <c r="I15" i="114" s="1"/>
  <c r="I34" i="114" a="1"/>
  <c r="I34" i="114" s="1"/>
  <c r="I17" i="114" a="1"/>
  <c r="I17" i="114" s="1"/>
  <c r="I16" i="114" a="1"/>
  <c r="I16" i="114" s="1"/>
  <c r="E27" i="114"/>
  <c r="E7" i="114"/>
  <c r="E50" i="114"/>
  <c r="E30" i="113"/>
  <c r="E7" i="113"/>
  <c r="P45" i="74" l="1" a="1"/>
  <c r="P45" i="74" s="1"/>
  <c r="N42" i="74" a="1"/>
  <c r="N42" i="74" s="1"/>
  <c r="P40" i="74" a="1"/>
  <c r="P40" i="74" s="1"/>
  <c r="R33" i="74" a="1"/>
  <c r="R33" i="74" s="1"/>
  <c r="N33" i="74" a="1"/>
  <c r="N33" i="74" s="1"/>
  <c r="O31" i="74" a="1"/>
  <c r="O31" i="74" s="1"/>
  <c r="O30" i="74" a="1"/>
  <c r="O30" i="74" s="1"/>
  <c r="N26" i="74" a="1"/>
  <c r="N26" i="74" s="1"/>
  <c r="N25" i="74" a="1"/>
  <c r="N25" i="74" s="1"/>
  <c r="R13" i="74" a="1"/>
  <c r="R13" i="74" s="1"/>
  <c r="N13" i="74" a="1"/>
  <c r="N13" i="74" s="1"/>
  <c r="P21" i="74" a="1"/>
  <c r="P21" i="74" s="1"/>
  <c r="H33" i="74" a="1"/>
  <c r="H33" i="74" s="1"/>
  <c r="D33" i="74" a="1"/>
  <c r="D33" i="74" s="1"/>
  <c r="H13" i="74" a="1"/>
  <c r="H13" i="74" s="1"/>
  <c r="D13" i="74" a="1"/>
  <c r="D13" i="74" s="1"/>
  <c r="F40" i="74" a="1"/>
  <c r="F40" i="74" s="1"/>
  <c r="E31" i="74" a="1"/>
  <c r="E31" i="74" s="1"/>
  <c r="E30" i="74" a="1"/>
  <c r="E30" i="74" s="1"/>
  <c r="D25" i="74" a="1"/>
  <c r="D25" i="74" s="1"/>
  <c r="F21" i="74" a="1"/>
  <c r="F21" i="74" s="1"/>
  <c r="E11" i="74" a="1"/>
  <c r="E11" i="74" s="1"/>
  <c r="E10" i="74" a="1"/>
  <c r="E10" i="74" s="1"/>
  <c r="D6" i="74" a="1"/>
  <c r="D6" i="74" s="1"/>
  <c r="D5" i="74" a="1"/>
  <c r="D5" i="74" s="1"/>
  <c r="J13" i="74"/>
  <c r="F45" i="74" a="1"/>
  <c r="F45" i="74" s="1"/>
  <c r="D42" i="74" a="1"/>
  <c r="D42" i="74" s="1"/>
  <c r="I56" i="110" a="1"/>
  <c r="I56" i="110" s="1"/>
  <c r="H56" i="110" a="1"/>
  <c r="H56" i="110" s="1"/>
  <c r="G56" i="110" a="1"/>
  <c r="G56" i="110" s="1"/>
  <c r="F56" i="110" a="1"/>
  <c r="F56" i="110" s="1"/>
  <c r="E56" i="110" a="1"/>
  <c r="E56" i="110" s="1"/>
  <c r="D56" i="110" a="1"/>
  <c r="D56" i="110" s="1"/>
  <c r="I55" i="110" a="1"/>
  <c r="I55" i="110" s="1"/>
  <c r="H55" i="110" a="1"/>
  <c r="H55" i="110" s="1"/>
  <c r="G55" i="110" a="1"/>
  <c r="G55" i="110" s="1"/>
  <c r="F55" i="110" a="1"/>
  <c r="F55" i="110" s="1"/>
  <c r="E55" i="110" a="1"/>
  <c r="E55" i="110" s="1"/>
  <c r="D55" i="110" a="1"/>
  <c r="D55" i="110" s="1"/>
  <c r="I54" i="110" a="1"/>
  <c r="I54" i="110" s="1"/>
  <c r="H54" i="110" a="1"/>
  <c r="H54" i="110" s="1"/>
  <c r="G54" i="110" a="1"/>
  <c r="G54" i="110" s="1"/>
  <c r="F54" i="110" a="1"/>
  <c r="F54" i="110" s="1"/>
  <c r="E54" i="110" a="1"/>
  <c r="E54" i="110" s="1"/>
  <c r="D54" i="110" a="1"/>
  <c r="D54" i="110" s="1"/>
  <c r="I53" i="110" a="1"/>
  <c r="I53" i="110" s="1"/>
  <c r="H53" i="110" a="1"/>
  <c r="H53" i="110" s="1"/>
  <c r="G53" i="110" a="1"/>
  <c r="G53" i="110" s="1"/>
  <c r="F53" i="110" a="1"/>
  <c r="F53" i="110" s="1"/>
  <c r="E53" i="110" a="1"/>
  <c r="E53" i="110" s="1"/>
  <c r="D53" i="110" a="1"/>
  <c r="D53" i="110" s="1"/>
  <c r="I52" i="110" a="1"/>
  <c r="I52" i="110" s="1"/>
  <c r="H52" i="110" a="1"/>
  <c r="H52" i="110" s="1"/>
  <c r="G52" i="110" a="1"/>
  <c r="G52" i="110" s="1"/>
  <c r="F52" i="110" a="1"/>
  <c r="F52" i="110" s="1"/>
  <c r="E52" i="110" a="1"/>
  <c r="E52" i="110" s="1"/>
  <c r="D52" i="110" a="1"/>
  <c r="D52" i="110" s="1"/>
  <c r="D49" i="110" a="1"/>
  <c r="D49" i="110" s="1"/>
  <c r="D48" i="110" a="1"/>
  <c r="D48" i="110" s="1"/>
  <c r="P48" i="69" a="1"/>
  <c r="P48" i="69" s="1"/>
  <c r="M48" i="69" a="1"/>
  <c r="M48" i="69" s="1"/>
  <c r="I16" i="69"/>
  <c r="I13" i="69"/>
  <c r="O82" i="69" a="1"/>
  <c r="O82" i="69" s="1"/>
  <c r="M79" i="69" a="1"/>
  <c r="M79" i="69" s="1"/>
  <c r="P71" i="69" a="1"/>
  <c r="P71" i="69" s="1"/>
  <c r="M71" i="69" a="1"/>
  <c r="M71" i="69" s="1"/>
  <c r="N69" i="69" a="1"/>
  <c r="N69" i="69" s="1"/>
  <c r="N68" i="69" a="1"/>
  <c r="N68" i="69" s="1"/>
  <c r="M64" i="69" a="1"/>
  <c r="M64" i="69" s="1"/>
  <c r="M63" i="69" a="1"/>
  <c r="M63" i="69" s="1"/>
  <c r="N46" i="69" a="1"/>
  <c r="N46" i="69" s="1"/>
  <c r="N45" i="69" a="1"/>
  <c r="N45" i="69" s="1"/>
  <c r="M41" i="69" a="1"/>
  <c r="M41" i="69" s="1"/>
  <c r="M40" i="69" a="1"/>
  <c r="M40" i="69" s="1"/>
  <c r="E45" i="110" a="1"/>
  <c r="E45" i="110" s="1"/>
  <c r="D45" i="110" a="1"/>
  <c r="D45" i="110" s="1"/>
  <c r="E44" i="110" a="1"/>
  <c r="E44" i="110" s="1"/>
  <c r="D44" i="110" a="1"/>
  <c r="D44" i="110" s="1"/>
  <c r="D41" i="110" a="1"/>
  <c r="D41" i="110" s="1"/>
  <c r="D40" i="110" a="1"/>
  <c r="D40" i="110" s="1"/>
  <c r="M25" i="69" a="1"/>
  <c r="M25" i="69" s="1"/>
  <c r="G36" i="69" a="1"/>
  <c r="G36" i="69" s="1"/>
  <c r="G13" i="69" a="1"/>
  <c r="G13" i="69" s="1"/>
  <c r="Q33" i="69" a="1"/>
  <c r="Q33" i="69" s="1"/>
  <c r="S34" i="69"/>
  <c r="Q16" i="69"/>
  <c r="O15" i="69" a="1"/>
  <c r="O15" i="69" s="1"/>
  <c r="M33" i="69" a="1"/>
  <c r="M33" i="69" s="1"/>
  <c r="M15" i="69" a="1"/>
  <c r="M15" i="69" s="1"/>
  <c r="D36" i="69" a="1"/>
  <c r="D36" i="69" s="1"/>
  <c r="D13" i="69" a="1"/>
  <c r="D13" i="69" s="1"/>
  <c r="E34" i="69" a="1"/>
  <c r="E34" i="69" s="1"/>
  <c r="F42" i="69" s="1"/>
  <c r="E33" i="69" a="1"/>
  <c r="E33" i="69" s="1"/>
  <c r="N31" i="69" a="1"/>
  <c r="N31" i="69" s="1"/>
  <c r="N30" i="69" a="1"/>
  <c r="N30" i="69" s="1"/>
  <c r="D29" i="69" a="1"/>
  <c r="D29" i="69" s="1"/>
  <c r="D28" i="69" a="1"/>
  <c r="D28" i="69" s="1"/>
  <c r="M26" i="69" a="1"/>
  <c r="M26" i="69" s="1"/>
  <c r="M24" i="69" a="1"/>
  <c r="M24" i="69" s="1"/>
  <c r="N13" i="69" a="1"/>
  <c r="N13" i="69" s="1"/>
  <c r="N12" i="69" a="1"/>
  <c r="N12" i="69" s="1"/>
  <c r="E11" i="69" a="1"/>
  <c r="E11" i="69" s="1"/>
  <c r="F24" i="69" s="1"/>
  <c r="E10" i="69" a="1"/>
  <c r="E10" i="69" s="1"/>
  <c r="M7" i="69" a="1"/>
  <c r="M7" i="69" s="1"/>
  <c r="M6" i="69" a="1"/>
  <c r="M6" i="69" s="1"/>
  <c r="D6" i="69" a="1"/>
  <c r="D6" i="69" s="1"/>
  <c r="M5" i="69" a="1"/>
  <c r="M5" i="69" s="1"/>
  <c r="D5" i="69" a="1"/>
  <c r="D5" i="69" s="1"/>
  <c r="I21" i="69"/>
  <c r="I15" i="69" s="1" a="1"/>
  <c r="I15" i="69" s="1"/>
  <c r="F47" i="69" a="1"/>
  <c r="F47" i="69" s="1"/>
  <c r="D44" i="69" a="1"/>
  <c r="D44" i="69" s="1"/>
  <c r="D30" i="70"/>
  <c r="E22" i="70"/>
  <c r="I13" i="114" s="1"/>
  <c r="E7" i="69" a="1"/>
  <c r="E30" i="69" a="1"/>
  <c r="E27" i="74" a="1"/>
  <c r="N8" i="69" a="1"/>
  <c r="N65" i="69" a="1"/>
  <c r="N42" i="69" a="1"/>
  <c r="E7" i="74" a="1"/>
  <c r="O27" i="74" a="1"/>
  <c r="J16" i="74" l="1" a="1"/>
  <c r="J16" i="74" s="1"/>
  <c r="E19" i="120"/>
  <c r="J17" i="74" a="1"/>
  <c r="J17" i="74" s="1"/>
  <c r="J18" i="74" a="1"/>
  <c r="J18" i="74" s="1"/>
  <c r="Q17" i="69"/>
  <c r="O27" i="74"/>
  <c r="J14" i="74" a="1"/>
  <c r="J14" i="74" s="1"/>
  <c r="J15" i="74" a="1"/>
  <c r="J15" i="74" s="1"/>
  <c r="E18" i="70" a="1"/>
  <c r="E18" i="70" s="1"/>
  <c r="E27" i="74"/>
  <c r="E7" i="74"/>
  <c r="O77" i="69"/>
  <c r="O59" i="69"/>
  <c r="N65" i="69"/>
  <c r="N42" i="69"/>
  <c r="I19" i="69" a="1"/>
  <c r="I19" i="69" s="1"/>
  <c r="I18" i="69" a="1"/>
  <c r="I18" i="69" s="1"/>
  <c r="I20" i="69" a="1"/>
  <c r="I20" i="69" s="1"/>
  <c r="E30" i="69"/>
  <c r="N8" i="69"/>
  <c r="E7" i="69"/>
  <c r="T14" i="74" l="1"/>
  <c r="O21" i="74" s="1" a="1"/>
  <c r="O21" i="74" s="1"/>
  <c r="E20" i="120"/>
  <c r="E19" i="70"/>
  <c r="E20" i="70" s="1"/>
  <c r="I14" i="114"/>
  <c r="E21" i="114" s="1" a="1"/>
  <c r="E21" i="114" s="1"/>
  <c r="E21" i="74" a="1"/>
  <c r="E21" i="74" s="1"/>
  <c r="E25" i="113" s="1"/>
  <c r="Q18" i="69"/>
  <c r="I14" i="69"/>
  <c r="E30" i="70"/>
  <c r="E44" i="70" s="1"/>
  <c r="T33" i="74" l="1"/>
  <c r="O25" i="113"/>
  <c r="I33" i="114"/>
  <c r="I56" i="114"/>
  <c r="J33" i="74"/>
  <c r="E36" i="70"/>
  <c r="E35" i="70" s="1"/>
  <c r="Q15" i="69" s="1"/>
  <c r="N21" i="69" s="1" a="1"/>
  <c r="N21" i="69" s="1"/>
  <c r="S33" i="69" s="1"/>
  <c r="N36" i="69" s="1" a="1"/>
  <c r="N36" i="69" s="1"/>
  <c r="R52" i="69" s="1"/>
  <c r="N59" i="69" s="1" a="1"/>
  <c r="N59" i="69" s="1"/>
  <c r="E40" i="70"/>
  <c r="R71" i="69" l="1"/>
  <c r="O24" i="113"/>
  <c r="E46" i="70"/>
  <c r="A20" i="118"/>
  <c r="A8" i="118"/>
  <c r="A5" i="118"/>
  <c r="A4" i="118"/>
  <c r="A3" i="118"/>
  <c r="A67" i="114" l="1"/>
  <c r="A46" i="114"/>
  <c r="A44" i="70"/>
  <c r="A83" i="69"/>
  <c r="A76" i="74"/>
  <c r="A45" i="74"/>
  <c r="A34" i="113"/>
  <c r="A55" i="113"/>
  <c r="I17" i="69" l="1" a="1"/>
  <c r="I17" i="69" s="1"/>
  <c r="E24" i="69" s="1" a="1"/>
  <c r="E24" i="69" s="1"/>
  <c r="E24" i="113" s="1"/>
  <c r="S24" i="113" a="1"/>
  <c r="S24" i="113" s="1"/>
  <c r="N45" i="113" s="1"/>
  <c r="E62" i="114" a="1"/>
  <c r="E62" i="114" s="1"/>
  <c r="I24" i="113" l="1" a="1"/>
  <c r="I24" i="113" s="1"/>
  <c r="D45" i="113" s="1"/>
  <c r="H64" i="114"/>
  <c r="E67" i="114" s="1" a="1"/>
  <c r="E67" i="114" s="1"/>
  <c r="H13" i="13" s="1"/>
  <c r="I13" i="13" s="1"/>
  <c r="E13" i="13"/>
  <c r="F13" i="13" s="1"/>
  <c r="E39" i="114" a="1"/>
  <c r="E39" i="114" s="1"/>
  <c r="I36" i="69"/>
  <c r="I25" i="113" a="1"/>
  <c r="I25" i="113" s="1"/>
  <c r="D46" i="113" s="1"/>
  <c r="S25" i="113" a="1"/>
  <c r="S25" i="113" s="1"/>
  <c r="N46" i="113" s="1"/>
  <c r="E45" i="113" l="1" a="1"/>
  <c r="E45" i="113" s="1"/>
  <c r="O46" i="113" a="1"/>
  <c r="O46" i="113" s="1"/>
  <c r="O45" i="113" a="1"/>
  <c r="O45" i="113" s="1"/>
  <c r="E46" i="113" a="1"/>
  <c r="E46" i="113" s="1"/>
  <c r="H41" i="114"/>
  <c r="E44" i="114" s="1" a="1"/>
  <c r="E44" i="114" s="1"/>
  <c r="H12" i="13" s="1"/>
  <c r="I12" i="13" s="1"/>
  <c r="E12" i="13"/>
  <c r="F12" i="13" s="1"/>
  <c r="E29" i="15"/>
  <c r="J37" i="74" s="1"/>
  <c r="J34" i="74" s="1" a="1"/>
  <c r="J34" i="74" s="1"/>
  <c r="O48" i="113" l="1"/>
  <c r="Q50" i="113" s="1"/>
  <c r="O53" i="113" s="1" a="1"/>
  <c r="O53" i="113" s="1"/>
  <c r="I11" i="13" s="1"/>
  <c r="E48" i="113"/>
  <c r="E11" i="13" s="1"/>
  <c r="O40" i="74" a="1"/>
  <c r="O40" i="74" s="1"/>
  <c r="E40" i="74" a="1"/>
  <c r="E40" i="74" s="1"/>
  <c r="I40" i="69"/>
  <c r="I37" i="69" s="1" a="1"/>
  <c r="I37" i="69" s="1"/>
  <c r="E42" i="69" s="1" a="1"/>
  <c r="E42" i="69" s="1"/>
  <c r="R75" i="69"/>
  <c r="R72" i="69" s="1" a="1"/>
  <c r="R72" i="69" s="1"/>
  <c r="N77" i="69" s="1" a="1"/>
  <c r="N77" i="69" s="1"/>
  <c r="E13" i="15"/>
  <c r="F11" i="13" l="1"/>
  <c r="G50" i="113"/>
  <c r="E53" i="113" s="1" a="1"/>
  <c r="E53" i="113" s="1"/>
  <c r="H11" i="13" s="1"/>
  <c r="G42" i="74"/>
  <c r="E45" i="74" s="1" a="1"/>
  <c r="E45" i="74" s="1"/>
  <c r="H10" i="13" s="1"/>
  <c r="E10" i="13"/>
  <c r="Q42" i="74"/>
  <c r="O45" i="74" s="1" a="1"/>
  <c r="O45" i="74" s="1"/>
  <c r="I10" i="13" s="1"/>
  <c r="F10" i="13"/>
  <c r="G44" i="69"/>
  <c r="E47" i="69" s="1" a="1"/>
  <c r="E47" i="69" s="1"/>
  <c r="H9" i="13" s="1"/>
  <c r="E9" i="13"/>
  <c r="P79" i="69"/>
  <c r="N82" i="69" s="1" a="1"/>
  <c r="N82" i="69" s="1"/>
  <c r="I9" i="13" s="1"/>
  <c r="F9" i="13"/>
  <c r="I14" i="13" l="1"/>
  <c r="H14" i="13"/>
</calcChain>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1">
    <bk>
      <extLst>
        <ext uri="{3e2802c4-a4d2-4d8b-9148-e3be6c30e623}">
          <xlrd:rvb i="0"/>
        </ext>
      </extLst>
    </bk>
  </futureMetadata>
  <cellMetadata count="1">
    <bk>
      <rc t="1" v="0"/>
    </bk>
  </cellMetadata>
  <valueMetadata count="1">
    <bk>
      <rc t="2" v="0"/>
    </bk>
  </valueMetadata>
</metadata>
</file>

<file path=xl/sharedStrings.xml><?xml version="1.0" encoding="utf-8"?>
<sst xmlns="http://schemas.openxmlformats.org/spreadsheetml/2006/main" count="385" uniqueCount="233">
  <si>
    <t>Home</t>
  </si>
  <si>
    <t>INPUTS</t>
  </si>
  <si>
    <t>APPENDICES</t>
  </si>
  <si>
    <t>Emissions breakdown</t>
  </si>
  <si>
    <t>Test Farms</t>
  </si>
  <si>
    <t>Farm name</t>
  </si>
  <si>
    <t>State</t>
  </si>
  <si>
    <t>Leaching zone</t>
  </si>
  <si>
    <t>Climate zone</t>
  </si>
  <si>
    <r>
      <rPr>
        <sz val="12"/>
        <color theme="1" tint="0.34998626667073579"/>
        <rFont val="Times New Roman"/>
        <family val="1"/>
      </rPr>
      <t xml:space="preserve">← </t>
    </r>
    <r>
      <rPr>
        <i/>
        <sz val="12"/>
        <color theme="1" tint="0.34998626667073579"/>
        <rFont val="Times New Roman"/>
        <family val="1"/>
      </rPr>
      <t>Please select</t>
    </r>
  </si>
  <si>
    <t>Degrees celsius</t>
  </si>
  <si>
    <t>Millimetres</t>
  </si>
  <si>
    <t>Location and climate</t>
  </si>
  <si>
    <t>Your business</t>
  </si>
  <si>
    <t>Location information is used to reference some region and climate-specific emission factors</t>
  </si>
  <si>
    <r>
      <rPr>
        <sz val="12"/>
        <color theme="1" tint="0.34998626667073579"/>
        <rFont val="Times New Roman"/>
        <family val="1"/>
      </rPr>
      <t xml:space="preserve">← </t>
    </r>
    <r>
      <rPr>
        <i/>
        <sz val="12"/>
        <color theme="1" tint="0.34998626667073579"/>
        <rFont val="Times New Roman"/>
        <family val="1"/>
      </rPr>
      <t>Automatically calculated, 12 months after start date</t>
    </r>
  </si>
  <si>
    <t>Unit</t>
  </si>
  <si>
    <t>State/Territory</t>
  </si>
  <si>
    <t>Common Name</t>
  </si>
  <si>
    <t>Abbreviation</t>
  </si>
  <si>
    <t>SA 4 Name</t>
  </si>
  <si>
    <t>Region (ABS Statistical area level 4) if state is WA</t>
  </si>
  <si>
    <t>Function name</t>
  </si>
  <si>
    <t>Gas</t>
  </si>
  <si>
    <t>CO2-e factor</t>
  </si>
  <si>
    <t>Variable</t>
  </si>
  <si>
    <t>Conversion factor</t>
  </si>
  <si>
    <t>Conversion factor 1</t>
  </si>
  <si>
    <t>Conversion factor 2</t>
  </si>
  <si>
    <t>Conversion factor combined</t>
  </si>
  <si>
    <t>Western Australia - Outback (South)</t>
  </si>
  <si>
    <t>Rainfall zone</t>
  </si>
  <si>
    <t>MAT</t>
  </si>
  <si>
    <t>MAP</t>
  </si>
  <si>
    <t>Frost days per year</t>
  </si>
  <si>
    <t>Elevation</t>
  </si>
  <si>
    <t>MAP:PET</t>
  </si>
  <si>
    <t>Min temp</t>
  </si>
  <si>
    <t>Max temp</t>
  </si>
  <si>
    <t>Min rainfall</t>
  </si>
  <si>
    <t>Max rainfall</t>
  </si>
  <si>
    <t>Min frost days</t>
  </si>
  <si>
    <t>Min elevation</t>
  </si>
  <si>
    <t>Min MAP:PET</t>
  </si>
  <si>
    <t>Wet or Dry Zone</t>
  </si>
  <si>
    <t>Max frost days</t>
  </si>
  <si>
    <t>Max elevation</t>
  </si>
  <si>
    <t>Max MAP:PET</t>
  </si>
  <si>
    <t>Temperature zone</t>
  </si>
  <si>
    <t>Meters</t>
  </si>
  <si>
    <t>Days</t>
  </si>
  <si>
    <t>Temperature Zone</t>
  </si>
  <si>
    <t>Min MAT</t>
  </si>
  <si>
    <t>Max MAT</t>
  </si>
  <si>
    <t>Rainfall Zone</t>
  </si>
  <si>
    <t>Annual rainfall</t>
  </si>
  <si>
    <t>MAP:PET ratio</t>
  </si>
  <si>
    <t>Average temperature for reporting period</t>
  </si>
  <si>
    <t>Total rainfall for reporting period</t>
  </si>
  <si>
    <t>Potential evapotranspiration for reporting period</t>
  </si>
  <si>
    <t>Number of frost days for reporting period</t>
  </si>
  <si>
    <t>Leaching Zone</t>
  </si>
  <si>
    <t>Leaching criteria</t>
  </si>
  <si>
    <t>Data source</t>
  </si>
  <si>
    <t>Data score</t>
  </si>
  <si>
    <r>
      <rPr>
        <sz val="12"/>
        <color theme="1" tint="0.34998626667073579"/>
        <rFont val="Times New Roman"/>
        <family val="1"/>
      </rPr>
      <t xml:space="preserve">← </t>
    </r>
    <r>
      <rPr>
        <i/>
        <sz val="12"/>
        <color theme="1" tint="0.34998626667073579"/>
        <rFont val="Times New Roman"/>
        <family val="1"/>
      </rPr>
      <t>DD/MM/YYYY or DD Month YYYY</t>
    </r>
  </si>
  <si>
    <t>Tip: Use the web-based GAF Location Helper tool to easily get region and climate information. You will need an internet connection to use the GAF Location Helper.</t>
  </si>
  <si>
    <t>Reporting entity name</t>
  </si>
  <si>
    <t>Test Farms Pty Ltd</t>
  </si>
  <si>
    <t>CALCULATIONS</t>
  </si>
  <si>
    <t>Constants - Common</t>
  </si>
  <si>
    <t>💡An 'Emissions accounting period' is a 12 month period where the business can report on the emissions, and is typically the same as the business' financial accounting period.</t>
  </si>
  <si>
    <t>Input - Site</t>
  </si>
  <si>
    <t>Wet or dry climate zone</t>
  </si>
  <si>
    <t>Is in leaching zone</t>
  </si>
  <si>
    <t>FracWET</t>
  </si>
  <si>
    <t>NO - Not in leaching zone</t>
  </si>
  <si>
    <t>Emissions calculation period start date</t>
  </si>
  <si>
    <t>Emissions calculation period end date</t>
  </si>
  <si>
    <r>
      <t>E</t>
    </r>
    <r>
      <rPr>
        <vertAlign val="subscript"/>
        <sz val="12"/>
        <color theme="1" tint="0.24994659260841701"/>
        <rFont val="Times New Roman"/>
        <family val="1"/>
      </rPr>
      <t>CO2e</t>
    </r>
  </si>
  <si>
    <t>Method 1</t>
  </si>
  <si>
    <t>Method 2</t>
  </si>
  <si>
    <t>Scope 1 source</t>
  </si>
  <si>
    <t>Production system j</t>
  </si>
  <si>
    <t>EFN2O</t>
  </si>
  <si>
    <t>Production system only</t>
  </si>
  <si>
    <t>Irrigation method</t>
  </si>
  <si>
    <t>Total</t>
  </si>
  <si>
    <t>GHG Unit</t>
  </si>
  <si>
    <t>CO2-e unit</t>
  </si>
  <si>
    <t>Month</t>
  </si>
  <si>
    <t>Irrigation type i</t>
  </si>
  <si>
    <t>t CO2e</t>
  </si>
  <si>
    <t>EFPRP</t>
  </si>
  <si>
    <t>GHG emissions method 1</t>
  </si>
  <si>
    <t>GHG emissions method 2</t>
  </si>
  <si>
    <t>CO2-e emissions method 1</t>
  </si>
  <si>
    <t>CO2-e emissions method 2</t>
  </si>
  <si>
    <t>Season</t>
  </si>
  <si>
    <t>Western Australia</t>
  </si>
  <si>
    <t>t N2O</t>
  </si>
  <si>
    <t>Poultry manure with bedding</t>
  </si>
  <si>
    <t>Solid storage</t>
  </si>
  <si>
    <t>Composting (passive windrow)</t>
  </si>
  <si>
    <t>Digester / covered lagoons</t>
  </si>
  <si>
    <t>Pasture range and paddock</t>
  </si>
  <si>
    <t>Direct processing</t>
  </si>
  <si>
    <t>Direct application</t>
  </si>
  <si>
    <t>Sprinkler irrigation</t>
  </si>
  <si>
    <r>
      <t>E</t>
    </r>
    <r>
      <rPr>
        <b/>
        <vertAlign val="subscript"/>
        <sz val="16"/>
        <color theme="1" tint="0.24994659260841701"/>
        <rFont val="Times New Roman"/>
        <family val="1"/>
      </rPr>
      <t>N2O</t>
    </r>
  </si>
  <si>
    <t>Crop type</t>
  </si>
  <si>
    <t>Area under cropping</t>
  </si>
  <si>
    <t>MAT (ºC)</t>
  </si>
  <si>
    <t>Anaerobic lagoon</t>
  </si>
  <si>
    <t>Liquid systems</t>
  </si>
  <si>
    <t>Daily spread</t>
  </si>
  <si>
    <t>Pit storage</t>
  </si>
  <si>
    <t>Deep litter</t>
  </si>
  <si>
    <t>Poultry manure without bedding</t>
  </si>
  <si>
    <t>MAT raw</t>
  </si>
  <si>
    <t>Climate Zone</t>
  </si>
  <si>
    <t>EFNi &amp; EFN2Oi</t>
  </si>
  <si>
    <t>💡 NOTE: When there is no Method 2, the Method 2 result are the same as Method 1</t>
  </si>
  <si>
    <t>`</t>
  </si>
  <si>
    <t xml:space="preserve">  </t>
  </si>
  <si>
    <t>💡 Below is a diagram that maps the equations used to calculate emissions, and how they interact with each other.</t>
  </si>
  <si>
    <t xml:space="preserve">    Click on a box to go to the corresponding calculation.</t>
  </si>
  <si>
    <t>6: Agricultural Residue Management: Overview</t>
  </si>
  <si>
    <t>6: Agricultural Residue Management: Results</t>
  </si>
  <si>
    <t>6.1.1.1-2 Crop residue N2O emissions</t>
  </si>
  <si>
    <t>Input - Crop</t>
  </si>
  <si>
    <t>Area</t>
  </si>
  <si>
    <t>If multiple paddocks were managed in the same way at the same time, you can enter information for them all together.</t>
  </si>
  <si>
    <t>Wheat</t>
  </si>
  <si>
    <r>
      <rPr>
        <sz val="12"/>
        <color theme="1" tint="0.34998626667073579"/>
        <rFont val="Times New Roman"/>
        <family val="1"/>
      </rPr>
      <t>←</t>
    </r>
    <r>
      <rPr>
        <i/>
        <sz val="12"/>
        <color theme="1" tint="0.34998626667073579"/>
        <rFont val="Times New Roman"/>
        <family val="1"/>
      </rPr>
      <t xml:space="preserve"> Please select</t>
    </r>
  </si>
  <si>
    <t>Crop purpose</t>
  </si>
  <si>
    <t>Hectares</t>
  </si>
  <si>
    <t>Yield</t>
  </si>
  <si>
    <t>Whole plant above ground biomass</t>
  </si>
  <si>
    <t>Tonnes per hectare</t>
  </si>
  <si>
    <t>Crop residue biomass</t>
  </si>
  <si>
    <t>Residue management</t>
  </si>
  <si>
    <t>Tonnes</t>
  </si>
  <si>
    <t>Baled residue</t>
  </si>
  <si>
    <t>Percentage of residue that was baled</t>
  </si>
  <si>
    <t>Percent</t>
  </si>
  <si>
    <t>Average weight per bale</t>
  </si>
  <si>
    <t>Kilograms</t>
  </si>
  <si>
    <t>Number of bales</t>
  </si>
  <si>
    <t>Bales</t>
  </si>
  <si>
    <t>Total residue baled</t>
  </si>
  <si>
    <t>Grazed residue</t>
  </si>
  <si>
    <t>Percentage of residue that was grazed</t>
  </si>
  <si>
    <t>Total residue grazed</t>
  </si>
  <si>
    <t>Burned residue</t>
  </si>
  <si>
    <t>Percentage of residue that was burned</t>
  </si>
  <si>
    <t>Total residue burned</t>
  </si>
  <si>
    <t>Residue retained on paddocks</t>
  </si>
  <si>
    <t>Constants - Agricultural residue</t>
  </si>
  <si>
    <t>Residue: Crop ratio</t>
  </si>
  <si>
    <t>Below-ground: above-ground residue ratio</t>
  </si>
  <si>
    <t>Dry matter content</t>
  </si>
  <si>
    <t>Carbon fraction in dry matter</t>
  </si>
  <si>
    <t>N content above-ground</t>
  </si>
  <si>
    <t>N content below-ground</t>
  </si>
  <si>
    <t>Fraction of residue remaining at time of burning (b)</t>
  </si>
  <si>
    <t>Fraction burnt</t>
  </si>
  <si>
    <t>Crop type c</t>
  </si>
  <si>
    <t>Fraction removed</t>
  </si>
  <si>
    <t>Purpose</t>
  </si>
  <si>
    <t>Per hectare unit</t>
  </si>
  <si>
    <t>harvest term</t>
  </si>
  <si>
    <t>harvest endpoint</t>
  </si>
  <si>
    <t>Harvest uit</t>
  </si>
  <si>
    <t>Cash grain crop</t>
  </si>
  <si>
    <r>
      <t>FFOD</t>
    </r>
    <r>
      <rPr>
        <b/>
        <vertAlign val="subscript"/>
        <sz val="12"/>
        <color theme="1" tint="0.24994659260841701"/>
        <rFont val="Times New Roman"/>
        <family val="1"/>
      </rPr>
      <t>c,baled</t>
    </r>
  </si>
  <si>
    <r>
      <t>FFOD</t>
    </r>
    <r>
      <rPr>
        <b/>
        <vertAlign val="subscript"/>
        <sz val="12"/>
        <color theme="1" tint="0.24994659260841701"/>
        <rFont val="Times New Roman"/>
        <family val="1"/>
      </rPr>
      <t>c</t>
    </r>
  </si>
  <si>
    <r>
      <t>M</t>
    </r>
    <r>
      <rPr>
        <b/>
        <vertAlign val="subscript"/>
        <sz val="12"/>
        <color theme="1" tint="0.24994659260841701"/>
        <rFont val="Times New Roman"/>
        <family val="1"/>
      </rPr>
      <t>c</t>
    </r>
  </si>
  <si>
    <t>Climate zone type i</t>
  </si>
  <si>
    <t>EF i N2O</t>
  </si>
  <si>
    <t>6.2.1.1-2 Return of pasture residue to soils</t>
  </si>
  <si>
    <t>Pasture type</t>
  </si>
  <si>
    <t>Average Yield (t DM ha) Yp</t>
  </si>
  <si>
    <t>Below-ground: above-ground residue ratio RBGp</t>
  </si>
  <si>
    <t>N content Above-ground NCAGp</t>
  </si>
  <si>
    <t>N content Below-ground NCBGp</t>
  </si>
  <si>
    <t>Fraction of pasture yield that is removed FFODp</t>
  </si>
  <si>
    <r>
      <t>M</t>
    </r>
    <r>
      <rPr>
        <b/>
        <vertAlign val="subscript"/>
        <sz val="12"/>
        <color theme="1" tint="0.24994659260841701"/>
        <rFont val="Times New Roman"/>
        <family val="1"/>
      </rPr>
      <t>p</t>
    </r>
  </si>
  <si>
    <r>
      <t>E</t>
    </r>
    <r>
      <rPr>
        <vertAlign val="subscript"/>
        <sz val="12"/>
        <color theme="1" tint="0.24994659260841701"/>
        <rFont val="Times New Roman"/>
        <family val="1"/>
      </rPr>
      <t>N2O</t>
    </r>
    <r>
      <rPr>
        <sz val="12"/>
        <color theme="1" tint="0.24994659260841701"/>
        <rFont val="Times New Roman"/>
        <family val="1"/>
      </rPr>
      <t xml:space="preserve"> GWP</t>
    </r>
  </si>
  <si>
    <t>Area under pasture</t>
  </si>
  <si>
    <t>💡 'Pasture yield' is the average amount of dry matter that is grazed.</t>
  </si>
  <si>
    <t xml:space="preserve">       A default value is provided based on pasture type. You can edit this if known.</t>
  </si>
  <si>
    <t>Pasture yield</t>
  </si>
  <si>
    <t>Tonnes dry matter / hectare</t>
  </si>
  <si>
    <t>Total pasture yield</t>
  </si>
  <si>
    <t>Area of pasture renewed or removed</t>
  </si>
  <si>
    <t>← Please select</t>
  </si>
  <si>
    <t>Input - Pasture</t>
  </si>
  <si>
    <t>6.3.1.1-2 Leaching and run-off from crop and pasture residues</t>
  </si>
  <si>
    <r>
      <t>E</t>
    </r>
    <r>
      <rPr>
        <b/>
        <vertAlign val="subscript"/>
        <sz val="16"/>
        <color theme="1"/>
        <rFont val="Times New Roman"/>
        <family val="1"/>
        <scheme val="minor"/>
      </rPr>
      <t>N2O</t>
    </r>
  </si>
  <si>
    <t>Crop</t>
  </si>
  <si>
    <t>Pasture</t>
  </si>
  <si>
    <t>Crop or pasture</t>
  </si>
  <si>
    <t>FracWET_j</t>
  </si>
  <si>
    <t>M_cp</t>
  </si>
  <si>
    <t>M_leachcp</t>
  </si>
  <si>
    <t>Irrigation</t>
  </si>
  <si>
    <t>E_N2O</t>
  </si>
  <si>
    <t>M1_Table_M_leach_cp</t>
  </si>
  <si>
    <t>Mass of nitrogen lost through leaching and runoff (Method 1)</t>
  </si>
  <si>
    <t>M1_Table_E_N2O</t>
  </si>
  <si>
    <t>Nitrous oxide leaching and runoff emissions (Method 1)</t>
  </si>
  <si>
    <t>6.4.1.1-2 Field burning of crop residues</t>
  </si>
  <si>
    <r>
      <rPr>
        <b/>
        <sz val="12"/>
        <color theme="1" tint="0.24994659260841701"/>
        <rFont val="Times New Roman"/>
        <family val="1"/>
      </rPr>
      <t>M</t>
    </r>
    <r>
      <rPr>
        <b/>
        <vertAlign val="subscript"/>
        <sz val="12"/>
        <color theme="1" tint="0.24994659260841701"/>
        <rFont val="Times New Roman"/>
        <family val="1"/>
      </rPr>
      <t>burn,c</t>
    </r>
  </si>
  <si>
    <t>Gas species</t>
  </si>
  <si>
    <t>Emission factor EFg (Gg element in species/ Gg element in fuel burnt)</t>
  </si>
  <si>
    <t>Elemental to molecular mass conversion factor (Cg)</t>
  </si>
  <si>
    <t>6.1.1.1-2 Crop residue N2O</t>
  </si>
  <si>
    <t>6.2.1.1-2 Pasture residue N2O</t>
  </si>
  <si>
    <t>6.3.1.1-2 Leaching and runoff</t>
  </si>
  <si>
    <t>6.4.1.1-2 Residue burning</t>
  </si>
  <si>
    <t>t CH4</t>
  </si>
  <si>
    <t>Grass clover mixture</t>
  </si>
  <si>
    <t>Irrigation methods</t>
  </si>
  <si>
    <t>Not irrigated</t>
  </si>
  <si>
    <t>Drip irrigation</t>
  </si>
  <si>
    <t>Surface irrigation</t>
  </si>
  <si>
    <t>Other irrigation</t>
  </si>
  <si>
    <t>Yield note</t>
  </si>
  <si>
    <t>Residue crop ratio note</t>
  </si>
  <si>
    <t>Total production note</t>
  </si>
  <si>
    <t>Residue:crop ratio²</t>
  </si>
  <si>
    <t>Total production of crop³</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</si>
</sst>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9">
    <numFmt numFmtId="43" formatCode="_-* #,##0.00_-;\-* #,##0.00_-;_-* &quot;-&quot;??_-;_-@_-"/>
    <numFmt numFmtId="164" formatCode="0.000"/>
    <numFmt numFmtId="165" formatCode="#,##0.000"/>
    <numFmt numFmtId="166" formatCode="d/mm/yyyy;@"/>
    <numFmt numFmtId="167" formatCode="_-* #,##0_-;\-* #,##0_-;_-* &quot;-&quot;??_-;_-@_-"/>
    <numFmt numFmtId="168" formatCode="[$-C09]dd\-mmmm\-yyyy;@"/>
    <numFmt numFmtId="169" formatCode="#,##0.000000"/>
    <numFmt numFmtId="170" formatCode="0.0000"/>
    <numFmt numFmtId="171" formatCode="0.00000000000"/>
  </numFmts>
  <fonts count="67" x14ac:knownFonts="1">
    <font>
      <sz val="11"/>
      <color theme="1"/>
      <name val="Times New Roman"/>
      <family val="2"/>
      <scheme val="minor"/>
    </font>
    <font>
      <i/>
      <sz val="12"/>
      <color theme="1" tint="0.499984740745262"/>
      <name val="Times New Roman"/>
      <family val="1"/>
    </font>
    <font>
      <sz val="12"/>
      <color theme="1" tint="0.14999847407452621"/>
      <name val="Times New Roman"/>
      <family val="1"/>
    </font>
    <font>
      <b/>
      <sz val="12"/>
      <color theme="1" tint="0.14999847407452621"/>
      <name val="Times New Roman"/>
      <family val="1"/>
    </font>
    <font>
      <b/>
      <sz val="20"/>
      <color rgb="FF183C1B"/>
      <name val="Times New Roman"/>
      <family val="1"/>
    </font>
    <font>
      <b/>
      <sz val="11"/>
      <color rgb="FF183C1B"/>
      <name val="Times New Roman"/>
      <family val="1"/>
    </font>
    <font>
      <i/>
      <sz val="12"/>
      <color theme="1" tint="0.34998626667073579"/>
      <name val="Times New Roman"/>
      <family val="1"/>
    </font>
    <font>
      <sz val="12"/>
      <color theme="1" tint="0.34998626667073579"/>
      <name val="Times New Roman"/>
      <family val="1"/>
    </font>
    <font>
      <sz val="12"/>
      <color theme="1" tint="0.14996795556505021"/>
      <name val="Times New Roman"/>
      <family val="1"/>
    </font>
    <font>
      <i/>
      <sz val="10"/>
      <color theme="1" tint="0.34998626667073579"/>
      <name val="Times New Roman"/>
      <family val="1"/>
    </font>
    <font>
      <sz val="11"/>
      <color theme="1"/>
      <name val="Times New Roman"/>
      <family val="2"/>
      <scheme val="minor"/>
    </font>
    <font>
      <b/>
      <sz val="20"/>
      <color rgb="FFCC6600"/>
      <name val="Times New Roman"/>
      <family val="1"/>
    </font>
    <font>
      <i/>
      <sz val="12"/>
      <color rgb="FFCC6600"/>
      <name val="Times New Roman"/>
      <family val="1"/>
    </font>
    <font>
      <b/>
      <sz val="11"/>
      <color rgb="FF533001"/>
      <name val="Times New Roman"/>
      <family val="1"/>
    </font>
    <font>
      <i/>
      <strike/>
      <sz val="12"/>
      <color theme="1" tint="0.499984740745262"/>
      <name val="Times New Roman"/>
      <family val="1"/>
    </font>
    <font>
      <b/>
      <i/>
      <strike/>
      <sz val="12"/>
      <color theme="1" tint="0.499984740745262"/>
      <name val="Times New Roman"/>
      <family val="1"/>
    </font>
    <font>
      <sz val="9"/>
      <color theme="1" tint="0.499984740745262"/>
      <name val="Courier New"/>
      <family val="3"/>
    </font>
    <font>
      <b/>
      <sz val="16"/>
      <color theme="0"/>
      <name val="Times New Roman"/>
      <family val="1"/>
    </font>
    <font>
      <u/>
      <sz val="11"/>
      <color theme="10"/>
      <name val="Times New Roman"/>
      <family val="2"/>
      <scheme val="minor"/>
    </font>
    <font>
      <sz val="9"/>
      <color theme="1" tint="0.249977111117893"/>
      <name val="Times New Roman"/>
      <family val="1"/>
    </font>
    <font>
      <sz val="9"/>
      <color rgb="FF008000"/>
      <name val="Times New Roman"/>
      <family val="1"/>
    </font>
    <font>
      <sz val="9"/>
      <color rgb="FFCC6600"/>
      <name val="Times New Roman"/>
      <family val="1"/>
    </font>
    <font>
      <sz val="12"/>
      <color theme="0"/>
      <name val="Times New Roman"/>
      <family val="1"/>
    </font>
    <font>
      <sz val="8"/>
      <name val="Times New Roman"/>
      <family val="2"/>
      <scheme val="minor"/>
    </font>
    <font>
      <sz val="11"/>
      <color theme="1" tint="0.499984740745262"/>
      <name val="Times New Roman"/>
      <family val="1"/>
    </font>
    <font>
      <sz val="11"/>
      <color theme="1"/>
      <name val="Times New Roman"/>
      <family val="1"/>
    </font>
    <font>
      <sz val="12"/>
      <color theme="1"/>
      <name val="Times New Roman"/>
      <family val="1"/>
    </font>
    <font>
      <b/>
      <sz val="12"/>
      <color theme="1"/>
      <name val="Times New Roman"/>
      <family val="1"/>
    </font>
    <font>
      <b/>
      <sz val="11"/>
      <color theme="1" tint="0.249977111117893"/>
      <name val="Times New Roman"/>
      <family val="1"/>
    </font>
    <font>
      <sz val="12"/>
      <color theme="1" tint="0.249977111117893"/>
      <name val="Times New Roman"/>
      <family val="1"/>
    </font>
    <font>
      <b/>
      <sz val="12"/>
      <color theme="1" tint="0.249977111117893"/>
      <name val="Times New Roman"/>
      <family val="1"/>
    </font>
    <font>
      <b/>
      <sz val="11"/>
      <color theme="1"/>
      <name val="Times New Roman"/>
      <family val="1"/>
      <scheme val="minor"/>
    </font>
    <font>
      <b/>
      <sz val="14"/>
      <color theme="1"/>
      <name val="Times New Roman"/>
      <family val="1"/>
      <scheme val="minor"/>
    </font>
    <font>
      <sz val="11"/>
      <color rgb="FF242424"/>
      <name val="Consolas"/>
      <family val="3"/>
    </font>
    <font>
      <sz val="12"/>
      <color theme="0" tint="-4.9989318521683403E-2"/>
      <name val="Times New Roman"/>
      <family val="1"/>
    </font>
    <font>
      <sz val="10"/>
      <color theme="1" tint="0.34998626667073579"/>
      <name val="Times New Roman"/>
      <family val="1"/>
    </font>
    <font>
      <sz val="10"/>
      <name val="Arial"/>
      <family val="2"/>
    </font>
    <font>
      <sz val="9"/>
      <name val="Times New Roman"/>
      <family val="1"/>
    </font>
    <font>
      <sz val="18"/>
      <color theme="1" tint="0.14996795556505021"/>
      <name val="Times New Roman"/>
      <family val="1"/>
    </font>
    <font>
      <sz val="10"/>
      <color theme="1" tint="0.34998626667073579"/>
      <name val="Times New Roman"/>
      <family val="2"/>
      <scheme val="minor"/>
    </font>
    <font>
      <sz val="12"/>
      <color theme="1" tint="0.24994659260841701"/>
      <name val="Times New Roman"/>
      <family val="1"/>
    </font>
    <font>
      <b/>
      <sz val="12"/>
      <color theme="1" tint="0.24994659260841701"/>
      <name val="Times New Roman"/>
      <family val="1"/>
    </font>
    <font>
      <sz val="12"/>
      <color rgb="FFC44340"/>
      <name val="Times New Roman"/>
      <family val="1"/>
    </font>
    <font>
      <sz val="12"/>
      <color rgb="FF008000"/>
      <name val="Times New Roman"/>
      <family val="1"/>
    </font>
    <font>
      <i/>
      <sz val="12"/>
      <color theme="1" tint="0.14999847407452621"/>
      <name val="Times New Roman"/>
      <family val="1"/>
    </font>
    <font>
      <sz val="12"/>
      <color rgb="FF0070C0"/>
      <name val="Times New Roman"/>
      <family val="1"/>
    </font>
    <font>
      <b/>
      <sz val="12"/>
      <color rgb="FF0070C0"/>
      <name val="Times New Roman"/>
      <family val="1"/>
    </font>
    <font>
      <b/>
      <sz val="12"/>
      <color theme="0"/>
      <name val="Times New Roman"/>
      <family val="1"/>
    </font>
    <font>
      <b/>
      <sz val="12"/>
      <color theme="0" tint="-0.499984740745262"/>
      <name val="Times New Roman"/>
      <family val="1"/>
    </font>
    <font>
      <sz val="10"/>
      <color theme="0" tint="-0.499984740745262"/>
      <name val="Times New Roman"/>
      <family val="1"/>
    </font>
    <font>
      <b/>
      <sz val="16"/>
      <color theme="1" tint="0.24994659260841701"/>
      <name val="Times New Roman"/>
      <family val="1"/>
    </font>
    <font>
      <sz val="16"/>
      <color theme="1" tint="0.24994659260841701"/>
      <name val="Times New Roman"/>
      <family val="1"/>
    </font>
    <font>
      <i/>
      <sz val="16"/>
      <color theme="1" tint="0.34998626667073579"/>
      <name val="Times New Roman"/>
      <family val="1"/>
    </font>
    <font>
      <vertAlign val="subscript"/>
      <sz val="12"/>
      <color theme="1" tint="0.24994659260841701"/>
      <name val="Times New Roman"/>
      <family val="1"/>
    </font>
    <font>
      <sz val="14"/>
      <color theme="1" tint="0.34998626667073579"/>
      <name val="Times New Roman"/>
      <family val="1"/>
    </font>
    <font>
      <b/>
      <sz val="12"/>
      <color rgb="FFCC6600"/>
      <name val="Times New Roman"/>
      <family val="1"/>
    </font>
    <font>
      <b/>
      <vertAlign val="subscript"/>
      <sz val="16"/>
      <color theme="1" tint="0.24994659260841701"/>
      <name val="Times New Roman"/>
      <family val="1"/>
    </font>
    <font>
      <sz val="12"/>
      <color rgb="FFCC6600"/>
      <name val="Times New Roman"/>
      <family val="1"/>
    </font>
    <font>
      <i/>
      <sz val="10"/>
      <color theme="6" tint="-0.499984740745262"/>
      <name val="Times New Roman"/>
      <family val="1"/>
    </font>
    <font>
      <i/>
      <sz val="10"/>
      <color theme="5" tint="-0.499984740745262"/>
      <name val="Times New Roman"/>
      <family val="1"/>
    </font>
    <font>
      <u/>
      <sz val="10"/>
      <color theme="1" tint="0.34998626667073579"/>
      <name val="Times New Roman"/>
      <family val="1"/>
    </font>
    <font>
      <b/>
      <vertAlign val="subscript"/>
      <sz val="12"/>
      <color theme="1" tint="0.24994659260841701"/>
      <name val="Times New Roman"/>
      <family val="1"/>
    </font>
    <font>
      <i/>
      <sz val="10"/>
      <color theme="1" tint="0.14999847407452621"/>
      <name val="Times New Roman"/>
      <family val="1"/>
      <scheme val="minor"/>
    </font>
    <font>
      <b/>
      <sz val="20"/>
      <color theme="3" tint="9.9978637043366805E-2"/>
      <name val="Times New Roman"/>
      <family val="1"/>
    </font>
    <font>
      <b/>
      <sz val="16"/>
      <color theme="1"/>
      <name val="Times New Roman"/>
      <family val="1"/>
      <scheme val="minor"/>
    </font>
    <font>
      <b/>
      <vertAlign val="subscript"/>
      <sz val="16"/>
      <color theme="1"/>
      <name val="Times New Roman"/>
      <family val="1"/>
      <scheme val="minor"/>
    </font>
    <font>
      <sz val="16"/>
      <color theme="1"/>
      <name val="Times New Roman"/>
      <family val="1"/>
      <scheme val="minor"/>
    </font>
  </fonts>
  <fills count="16">
    <fill>
      <patternFill patternType="none"/>
    </fill>
    <fill>
      <patternFill patternType="gray125"/>
    </fill>
    <fill>
      <patternFill patternType="solid">
        <fgColor rgb="FFB2D498"/>
        <bgColor indexed="64"/>
      </patternFill>
    </fill>
    <fill>
      <patternFill patternType="solid">
        <fgColor rgb="FF183C1B"/>
        <bgColor indexed="64"/>
      </patternFill>
    </fill>
    <fill>
      <patternFill patternType="solid">
        <fgColor theme="0" tint="-4.9989318521683403E-2"/>
        <bgColor indexed="64"/>
      </patternFill>
    </fill>
    <fill>
      <patternFill patternType="solid">
        <fgColor rgb="FFCC6600"/>
        <bgColor indexed="64"/>
      </patternFill>
    </fill>
    <fill>
      <patternFill patternType="solid">
        <fgColor rgb="FFFFCC66"/>
        <bgColor indexed="64"/>
      </patternFill>
    </fill>
    <fill>
      <patternFill patternType="solid">
        <fgColor rgb="FF533001"/>
        <bgColor indexed="64"/>
      </patternFill>
    </fill>
    <fill>
      <patternFill patternType="solid">
        <fgColor rgb="FF008000"/>
        <bgColor indexed="64"/>
      </patternFill>
    </fill>
    <fill>
      <patternFill patternType="solid">
        <fgColor theme="0"/>
        <bgColor indexed="64"/>
      </patternFill>
    </fill>
    <fill>
      <patternFill patternType="solid">
        <fgColor theme="1" tint="0.499984740745262"/>
        <bgColor indexed="64"/>
      </patternFill>
    </fill>
    <fill>
      <patternFill patternType="solid">
        <fgColor theme="4" tint="-0.249977111117893"/>
        <bgColor indexed="64"/>
      </patternFill>
    </fill>
    <fill>
      <gradientFill degree="90">
        <stop position="0">
          <color theme="0"/>
        </stop>
        <stop position="1">
          <color theme="0" tint="-5.0965910824915313E-2"/>
        </stop>
      </gradientFill>
    </fill>
    <fill>
      <patternFill patternType="solid">
        <fgColor theme="3" tint="0.89996032593768116"/>
        <bgColor indexed="64"/>
      </patternFill>
    </fill>
    <fill>
      <patternFill patternType="solid">
        <fgColor theme="9" tint="0.59999389629810485"/>
        <bgColor indexed="64"/>
      </patternFill>
    </fill>
    <fill>
      <patternFill patternType="solid">
        <fgColor rgb="FFDCECD0"/>
        <bgColor indexed="64"/>
      </patternFill>
    </fill>
  </fills>
  <borders count="20">
    <border>
      <left/>
      <right/>
      <top/>
      <bottom/>
      <diagonal/>
    </border>
    <border>
      <left/>
      <right/>
      <top style="thin">
        <color indexed="64"/>
      </top>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right/>
      <top style="thin">
        <color theme="1" tint="0.249977111117893"/>
      </top>
      <bottom/>
      <diagonal/>
    </border>
    <border>
      <left/>
      <right/>
      <top style="thin">
        <color theme="1" tint="0.499984740745262"/>
      </top>
      <bottom/>
      <diagonal/>
    </border>
    <border>
      <left/>
      <right/>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
      <left style="thin">
        <color theme="0" tint="-0.34998626667073579"/>
      </left>
      <right/>
      <top style="thin">
        <color theme="0" tint="-0.34998626667073579"/>
      </top>
      <bottom style="thin">
        <color theme="0" tint="-0.34998626667073579"/>
      </bottom>
      <diagonal/>
    </border>
    <border>
      <left style="thin">
        <color theme="3" tint="0.749961851863155"/>
      </left>
      <right style="thin">
        <color theme="3" tint="0.749961851863155"/>
      </right>
      <top style="thin">
        <color theme="3" tint="0.749961851863155"/>
      </top>
      <bottom style="thin">
        <color theme="3" tint="0.749961851863155"/>
      </bottom>
      <diagonal/>
    </border>
    <border>
      <left style="thin">
        <color theme="3" tint="0.749961851863155"/>
      </left>
      <right/>
      <top style="thin">
        <color theme="3" tint="0.749961851863155"/>
      </top>
      <bottom/>
      <diagonal/>
    </border>
    <border>
      <left/>
      <right style="thin">
        <color theme="3" tint="0.749961851863155"/>
      </right>
      <top style="thin">
        <color theme="3" tint="0.749961851863155"/>
      </top>
      <bottom/>
      <diagonal/>
    </border>
    <border>
      <left style="thin">
        <color theme="3" tint="0.749961851863155"/>
      </left>
      <right/>
      <top/>
      <bottom style="thin">
        <color theme="3" tint="0.749961851863155"/>
      </bottom>
      <diagonal/>
    </border>
    <border>
      <left/>
      <right style="thin">
        <color theme="3" tint="0.749961851863155"/>
      </right>
      <top/>
      <bottom style="thin">
        <color theme="3" tint="0.749961851863155"/>
      </bottom>
      <diagonal/>
    </border>
    <border>
      <left/>
      <right/>
      <top/>
      <bottom style="thin">
        <color theme="3" tint="0.749961851863155"/>
      </bottom>
      <diagonal/>
    </border>
    <border>
      <left/>
      <right style="thin">
        <color theme="3" tint="0.749961851863155"/>
      </right>
      <top style="thin">
        <color theme="3" tint="0.749961851863155"/>
      </top>
      <bottom style="thin">
        <color theme="3" tint="0.749961851863155"/>
      </bottom>
      <diagonal/>
    </border>
    <border>
      <left/>
      <right/>
      <top style="thin">
        <color theme="3" tint="0.749961851863155"/>
      </top>
      <bottom/>
      <diagonal/>
    </border>
    <border>
      <left style="thin">
        <color theme="3" tint="0.749961851863155"/>
      </left>
      <right/>
      <top style="thin">
        <color theme="3" tint="0.749961851863155"/>
      </top>
      <bottom style="thin">
        <color theme="3" tint="0.749961851863155"/>
      </bottom>
      <diagonal/>
    </border>
    <border>
      <left/>
      <right/>
      <top style="thin">
        <color theme="3" tint="0.749961851863155"/>
      </top>
      <bottom style="thin">
        <color theme="0" tint="-0.34998626667073579"/>
      </bottom>
      <diagonal/>
    </border>
    <border>
      <left/>
      <right/>
      <top style="thin">
        <color theme="3" tint="0.749961851863155"/>
      </top>
      <bottom style="thin">
        <color theme="3" tint="0.749961851863155"/>
      </bottom>
      <diagonal/>
    </border>
    <border>
      <left/>
      <right/>
      <top style="thin">
        <color theme="0" tint="-0.34998626667073579"/>
      </top>
      <bottom style="thin">
        <color theme="0" tint="-0.34998626667073579"/>
      </bottom>
      <diagonal/>
    </border>
  </borders>
  <cellStyleXfs count="70">
    <xf numFmtId="0" fontId="0" fillId="0" borderId="0"/>
    <xf numFmtId="0" fontId="5" fillId="2" borderId="0">
      <alignment horizontal="left" vertical="center" indent="1"/>
      <protection locked="0"/>
    </xf>
    <xf numFmtId="0" fontId="4" fillId="0" borderId="0"/>
    <xf numFmtId="0" fontId="1" fillId="0" borderId="0">
      <alignment vertical="center"/>
    </xf>
    <xf numFmtId="0" fontId="17" fillId="3" borderId="0">
      <alignment vertical="center"/>
    </xf>
    <xf numFmtId="0" fontId="38" fillId="4" borderId="0">
      <alignment horizontal="left" vertical="center"/>
    </xf>
    <xf numFmtId="0" fontId="43" fillId="4" borderId="0">
      <alignment vertical="center"/>
    </xf>
    <xf numFmtId="0" fontId="3" fillId="4" borderId="0">
      <alignment horizontal="left" vertical="center"/>
    </xf>
    <xf numFmtId="0" fontId="40" fillId="4" borderId="0">
      <alignment horizontal="left" vertical="center"/>
    </xf>
    <xf numFmtId="0" fontId="5" fillId="2" borderId="0">
      <alignment horizontal="center" vertical="center"/>
    </xf>
    <xf numFmtId="164" fontId="8" fillId="4" borderId="0">
      <alignment horizontal="center" vertical="center"/>
    </xf>
    <xf numFmtId="9" fontId="8" fillId="4" borderId="0">
      <alignment horizontal="center" vertical="center"/>
    </xf>
    <xf numFmtId="0" fontId="6" fillId="4" borderId="0">
      <alignment horizontal="left" vertical="center" indent="1"/>
    </xf>
    <xf numFmtId="0" fontId="7" fillId="4" borderId="0">
      <alignment horizontal="right" vertical="center"/>
    </xf>
    <xf numFmtId="9" fontId="10" fillId="0" borderId="0" applyFont="0" applyFill="0" applyBorder="0" applyAlignment="0" applyProtection="0"/>
    <xf numFmtId="0" fontId="2" fillId="0" borderId="2">
      <alignment horizontal="center" vertical="center"/>
    </xf>
    <xf numFmtId="0" fontId="3" fillId="12" borderId="2">
      <alignment horizontal="center" vertical="center"/>
    </xf>
    <xf numFmtId="9" fontId="2" fillId="0" borderId="2">
      <alignment horizontal="center" vertical="center"/>
    </xf>
    <xf numFmtId="4" fontId="2" fillId="0" borderId="2">
      <alignment horizontal="center" vertical="center"/>
    </xf>
    <xf numFmtId="3" fontId="2" fillId="0" borderId="2">
      <alignment horizontal="center" vertical="center"/>
    </xf>
    <xf numFmtId="0" fontId="14" fillId="0" borderId="2">
      <alignment horizontal="center" vertical="center"/>
    </xf>
    <xf numFmtId="0" fontId="15" fillId="0" borderId="2">
      <alignment horizontal="center" vertical="center"/>
    </xf>
    <xf numFmtId="9" fontId="14" fillId="0" borderId="2">
      <alignment horizontal="center" vertical="center"/>
    </xf>
    <xf numFmtId="165" fontId="14" fillId="0" borderId="2">
      <alignment horizontal="center" vertical="center"/>
    </xf>
    <xf numFmtId="3" fontId="14" fillId="0" borderId="2">
      <alignment horizontal="center" vertical="center"/>
    </xf>
    <xf numFmtId="0" fontId="16" fillId="4" borderId="0">
      <alignment horizontal="left" vertical="center"/>
    </xf>
    <xf numFmtId="0" fontId="6" fillId="4" borderId="4">
      <alignment horizontal="left" vertical="center" indent="1"/>
    </xf>
    <xf numFmtId="164" fontId="8" fillId="4" borderId="4">
      <alignment horizontal="center" vertical="center"/>
    </xf>
    <xf numFmtId="0" fontId="3" fillId="4" borderId="4">
      <alignment horizontal="left" vertical="center"/>
    </xf>
    <xf numFmtId="0" fontId="13" fillId="6" borderId="0">
      <alignment horizontal="left" vertical="center" indent="1"/>
    </xf>
    <xf numFmtId="0" fontId="13" fillId="6" borderId="0">
      <alignment horizontal="center" vertical="center"/>
      <protection locked="0"/>
    </xf>
    <xf numFmtId="0" fontId="12" fillId="4" borderId="0">
      <alignment vertical="center"/>
    </xf>
    <xf numFmtId="0" fontId="17" fillId="7" borderId="0">
      <alignment vertical="center"/>
    </xf>
    <xf numFmtId="0" fontId="11" fillId="0" borderId="0"/>
    <xf numFmtId="0" fontId="18" fillId="0" borderId="0" applyNumberFormat="0" applyFill="0" applyBorder="0" applyAlignment="0" applyProtection="0"/>
    <xf numFmtId="0" fontId="2" fillId="0" borderId="0">
      <alignment horizontal="left" vertical="center" indent="1"/>
    </xf>
    <xf numFmtId="0" fontId="19" fillId="9" borderId="5">
      <alignment horizontal="left" vertical="center" indent="1"/>
    </xf>
    <xf numFmtId="0" fontId="22" fillId="10" borderId="0">
      <alignment horizontal="left" vertical="center" indent="1"/>
    </xf>
    <xf numFmtId="0" fontId="22" fillId="5" borderId="0">
      <alignment horizontal="left" vertical="center" indent="1"/>
    </xf>
    <xf numFmtId="0" fontId="22" fillId="8" borderId="0">
      <alignment horizontal="left" vertical="center" indent="1"/>
    </xf>
    <xf numFmtId="0" fontId="24" fillId="0" borderId="0">
      <alignment horizontal="left" vertical="center" indent="2"/>
    </xf>
    <xf numFmtId="0" fontId="45" fillId="13" borderId="8">
      <alignment horizontal="left" vertical="center"/>
    </xf>
    <xf numFmtId="43" fontId="10" fillId="0" borderId="0" applyFont="0" applyFill="0" applyBorder="0" applyAlignment="0" applyProtection="0"/>
    <xf numFmtId="3" fontId="35" fillId="4" borderId="2">
      <alignment horizontal="center" vertical="center"/>
    </xf>
    <xf numFmtId="168" fontId="2" fillId="0" borderId="2">
      <alignment horizontal="center" vertical="center"/>
    </xf>
    <xf numFmtId="0" fontId="36" fillId="0" borderId="0"/>
    <xf numFmtId="0" fontId="10" fillId="0" borderId="0"/>
    <xf numFmtId="0" fontId="36" fillId="0" borderId="0"/>
    <xf numFmtId="166" fontId="35" fillId="4" borderId="2">
      <alignment horizontal="center" vertical="center"/>
    </xf>
    <xf numFmtId="4" fontId="35" fillId="4" borderId="2">
      <alignment horizontal="center" vertical="center"/>
    </xf>
    <xf numFmtId="0" fontId="54" fillId="4" borderId="0">
      <alignment horizontal="left" vertical="center"/>
    </xf>
    <xf numFmtId="0" fontId="39" fillId="4" borderId="0" applyNumberFormat="0">
      <alignment horizontal="center" vertical="center"/>
    </xf>
    <xf numFmtId="165" fontId="35" fillId="4" borderId="2">
      <alignment horizontal="center" vertical="center"/>
    </xf>
    <xf numFmtId="0" fontId="34" fillId="4" borderId="0">
      <alignment horizontal="left" vertical="center"/>
    </xf>
    <xf numFmtId="169" fontId="35" fillId="4" borderId="2">
      <alignment horizontal="center" vertical="center"/>
    </xf>
    <xf numFmtId="0" fontId="35" fillId="4" borderId="2">
      <alignment horizontal="center" vertical="center"/>
    </xf>
    <xf numFmtId="0" fontId="6" fillId="4" borderId="0">
      <alignment horizontal="left" vertical="center"/>
    </xf>
    <xf numFmtId="0" fontId="42" fillId="4" borderId="0">
      <alignment horizontal="left" vertical="center"/>
    </xf>
    <xf numFmtId="0" fontId="10" fillId="0" borderId="0"/>
    <xf numFmtId="0" fontId="2" fillId="0" borderId="2">
      <alignment horizontal="center" vertical="center"/>
    </xf>
    <xf numFmtId="0" fontId="48" fillId="4" borderId="0">
      <alignment horizontal="left" vertical="center"/>
    </xf>
    <xf numFmtId="0" fontId="49" fillId="4" borderId="0">
      <alignment horizontal="left" vertical="center"/>
    </xf>
    <xf numFmtId="0" fontId="55" fillId="4" borderId="0">
      <alignment horizontal="left" vertical="center"/>
    </xf>
    <xf numFmtId="0" fontId="47" fillId="11" borderId="0">
      <alignment horizontal="center" vertical="center"/>
    </xf>
    <xf numFmtId="0" fontId="22" fillId="11" borderId="0">
      <alignment horizontal="left" vertical="center" indent="1"/>
    </xf>
    <xf numFmtId="0" fontId="59" fillId="14" borderId="2">
      <alignment horizontal="center" vertical="center"/>
    </xf>
    <xf numFmtId="0" fontId="58" fillId="15" borderId="2">
      <alignment horizontal="center" vertical="center"/>
    </xf>
    <xf numFmtId="0" fontId="60" fillId="4" borderId="2">
      <alignment horizontal="left" vertical="center"/>
    </xf>
    <xf numFmtId="0" fontId="35" fillId="4" borderId="2">
      <alignment horizontal="left" vertical="center"/>
    </xf>
    <xf numFmtId="0" fontId="62" fillId="0" borderId="0"/>
  </cellStyleXfs>
  <cellXfs count="145">
    <xf numFmtId="0" fontId="0" fillId="0" borderId="0" xfId="0"/>
    <xf numFmtId="0" fontId="40" fillId="4" borderId="0" xfId="8">
      <alignment horizontal="left" vertical="center"/>
    </xf>
    <xf numFmtId="0" fontId="6" fillId="4" borderId="0" xfId="12">
      <alignment horizontal="left" vertical="center" indent="1"/>
    </xf>
    <xf numFmtId="0" fontId="3" fillId="4" borderId="0" xfId="7">
      <alignment horizontal="left" vertical="center"/>
    </xf>
    <xf numFmtId="0" fontId="17" fillId="3" borderId="0" xfId="4">
      <alignment vertical="center"/>
    </xf>
    <xf numFmtId="0" fontId="43" fillId="4" borderId="0" xfId="6">
      <alignment vertical="center"/>
    </xf>
    <xf numFmtId="0" fontId="38" fillId="4" borderId="0" xfId="5">
      <alignment horizontal="left" vertical="center"/>
    </xf>
    <xf numFmtId="0" fontId="3" fillId="0" borderId="0" xfId="7" applyFill="1">
      <alignment horizontal="left" vertical="center"/>
    </xf>
    <xf numFmtId="0" fontId="4" fillId="0" borderId="0" xfId="2"/>
    <xf numFmtId="0" fontId="1" fillId="0" borderId="0" xfId="3">
      <alignment vertical="center"/>
    </xf>
    <xf numFmtId="0" fontId="2" fillId="4" borderId="0" xfId="7" applyFont="1">
      <alignment horizontal="left" vertical="center"/>
    </xf>
    <xf numFmtId="0" fontId="17" fillId="0" borderId="0" xfId="4" applyFill="1">
      <alignment vertical="center"/>
    </xf>
    <xf numFmtId="0" fontId="11" fillId="0" borderId="0" xfId="2" applyFont="1"/>
    <xf numFmtId="0" fontId="16" fillId="4" borderId="0" xfId="25">
      <alignment horizontal="left" vertical="center"/>
    </xf>
    <xf numFmtId="0" fontId="12" fillId="4" borderId="0" xfId="31">
      <alignment vertical="center"/>
    </xf>
    <xf numFmtId="0" fontId="17" fillId="7" borderId="0" xfId="32">
      <alignment vertical="center"/>
    </xf>
    <xf numFmtId="0" fontId="2" fillId="9" borderId="0" xfId="7" applyFont="1" applyFill="1" applyAlignment="1">
      <alignment horizontal="left" vertical="center" indent="1"/>
    </xf>
    <xf numFmtId="0" fontId="2" fillId="0" borderId="0" xfId="35">
      <alignment horizontal="left" vertical="center" indent="1"/>
    </xf>
    <xf numFmtId="0" fontId="19" fillId="9" borderId="5" xfId="36">
      <alignment horizontal="left" vertical="center" indent="1"/>
    </xf>
    <xf numFmtId="0" fontId="20" fillId="9" borderId="5" xfId="36" applyFont="1">
      <alignment horizontal="left" vertical="center" indent="1"/>
    </xf>
    <xf numFmtId="0" fontId="21" fillId="9" borderId="5" xfId="36" applyFont="1">
      <alignment horizontal="left" vertical="center" indent="1"/>
    </xf>
    <xf numFmtId="0" fontId="45" fillId="13" borderId="8" xfId="41">
      <alignment horizontal="left" vertical="center"/>
    </xf>
    <xf numFmtId="0" fontId="0" fillId="4" borderId="0" xfId="0" applyFill="1"/>
    <xf numFmtId="2" fontId="32" fillId="4" borderId="1" xfId="0" applyNumberFormat="1" applyFont="1" applyFill="1" applyBorder="1"/>
    <xf numFmtId="2" fontId="0" fillId="4" borderId="0" xfId="0" applyNumberFormat="1" applyFill="1" applyAlignment="1">
      <alignment vertical="center"/>
    </xf>
    <xf numFmtId="0" fontId="17" fillId="4" borderId="0" xfId="4" applyFill="1">
      <alignment vertical="center"/>
    </xf>
    <xf numFmtId="0" fontId="31" fillId="4" borderId="0" xfId="0" applyFont="1" applyFill="1"/>
    <xf numFmtId="2" fontId="32" fillId="4" borderId="0" xfId="0" applyNumberFormat="1" applyFont="1" applyFill="1"/>
    <xf numFmtId="0" fontId="6" fillId="4" borderId="0" xfId="12" applyAlignment="1">
      <alignment horizontal="left" indent="1"/>
    </xf>
    <xf numFmtId="0" fontId="32" fillId="4" borderId="1" xfId="0" applyFont="1" applyFill="1" applyBorder="1"/>
    <xf numFmtId="0" fontId="40" fillId="4" borderId="0" xfId="8" applyAlignment="1">
      <alignment horizontal="right" vertical="center"/>
    </xf>
    <xf numFmtId="4" fontId="2" fillId="4" borderId="0" xfId="18" applyFill="1" applyBorder="1">
      <alignment horizontal="center" vertical="center"/>
    </xf>
    <xf numFmtId="0" fontId="13" fillId="4" borderId="0" xfId="30" applyFill="1">
      <alignment horizontal="center" vertical="center"/>
      <protection locked="0"/>
    </xf>
    <xf numFmtId="0" fontId="2" fillId="0" borderId="2" xfId="15">
      <alignment horizontal="center" vertical="center"/>
    </xf>
    <xf numFmtId="0" fontId="29" fillId="4" borderId="0" xfId="7" applyFont="1" applyAlignment="1">
      <alignment horizontal="center" vertical="center"/>
    </xf>
    <xf numFmtId="166" fontId="29" fillId="4" borderId="0" xfId="7" applyNumberFormat="1" applyFont="1" applyAlignment="1">
      <alignment horizontal="center" vertical="center"/>
    </xf>
    <xf numFmtId="0" fontId="0" fillId="0" borderId="0" xfId="7" applyFont="1" applyFill="1">
      <alignment horizontal="left" vertical="center"/>
    </xf>
    <xf numFmtId="0" fontId="0" fillId="0" borderId="0" xfId="8" applyFont="1" applyFill="1">
      <alignment horizontal="left" vertical="center"/>
    </xf>
    <xf numFmtId="0" fontId="2" fillId="0" borderId="0" xfId="7" applyFont="1" applyFill="1">
      <alignment horizontal="left" vertical="center"/>
    </xf>
    <xf numFmtId="0" fontId="3" fillId="12" borderId="2" xfId="16">
      <alignment horizontal="center" vertical="center"/>
    </xf>
    <xf numFmtId="0" fontId="38" fillId="0" borderId="0" xfId="5" applyFill="1">
      <alignment horizontal="left" vertical="center"/>
    </xf>
    <xf numFmtId="0" fontId="43" fillId="0" borderId="0" xfId="6" applyFill="1">
      <alignment vertical="center"/>
    </xf>
    <xf numFmtId="0" fontId="40" fillId="0" borderId="0" xfId="8" applyFill="1">
      <alignment horizontal="left" vertical="center"/>
    </xf>
    <xf numFmtId="0" fontId="9" fillId="0" borderId="0" xfId="12" applyFont="1" applyFill="1" applyAlignment="1">
      <alignment horizontal="left" vertical="center"/>
    </xf>
    <xf numFmtId="0" fontId="40" fillId="4" borderId="1" xfId="8" applyBorder="1">
      <alignment horizontal="left" vertical="center"/>
    </xf>
    <xf numFmtId="4" fontId="26" fillId="0" borderId="0" xfId="18" applyFont="1" applyBorder="1">
      <alignment horizontal="center" vertical="center"/>
    </xf>
    <xf numFmtId="0" fontId="54" fillId="4" borderId="0" xfId="50">
      <alignment horizontal="left" vertical="center"/>
    </xf>
    <xf numFmtId="0" fontId="25" fillId="0" borderId="0" xfId="0" applyFont="1" applyAlignment="1" applyProtection="1">
      <alignment horizontal="center" vertical="center"/>
      <protection locked="0"/>
    </xf>
    <xf numFmtId="0" fontId="26" fillId="0" borderId="0" xfId="0" applyFont="1"/>
    <xf numFmtId="0" fontId="5" fillId="2" borderId="0" xfId="9">
      <alignment horizontal="center" vertical="center"/>
    </xf>
    <xf numFmtId="0" fontId="35" fillId="4" borderId="2" xfId="55">
      <alignment horizontal="center" vertical="center"/>
    </xf>
    <xf numFmtId="0" fontId="41" fillId="4" borderId="0" xfId="8" applyFont="1">
      <alignment horizontal="left" vertical="center"/>
    </xf>
    <xf numFmtId="0" fontId="6" fillId="4" borderId="0" xfId="56">
      <alignment horizontal="left" vertical="center"/>
    </xf>
    <xf numFmtId="0" fontId="42" fillId="4" borderId="0" xfId="57">
      <alignment horizontal="left" vertical="center"/>
    </xf>
    <xf numFmtId="0" fontId="35" fillId="4" borderId="2" xfId="55" applyAlignment="1">
      <alignment horizontal="left" vertical="center"/>
    </xf>
    <xf numFmtId="0" fontId="35" fillId="4" borderId="7" xfId="55" applyBorder="1" applyAlignment="1">
      <alignment horizontal="left" vertical="center"/>
    </xf>
    <xf numFmtId="0" fontId="35" fillId="4" borderId="6" xfId="55" applyBorder="1" applyAlignment="1">
      <alignment horizontal="left" vertical="center"/>
    </xf>
    <xf numFmtId="0" fontId="0" fillId="4" borderId="0" xfId="7" applyFont="1">
      <alignment horizontal="left" vertical="center"/>
    </xf>
    <xf numFmtId="4" fontId="26" fillId="4" borderId="0" xfId="18" applyFont="1" applyFill="1" applyBorder="1">
      <alignment horizontal="center" vertical="center"/>
    </xf>
    <xf numFmtId="9" fontId="26" fillId="4" borderId="0" xfId="14" applyFont="1" applyFill="1" applyBorder="1" applyAlignment="1">
      <alignment horizontal="center" vertical="center"/>
    </xf>
    <xf numFmtId="168" fontId="2" fillId="0" borderId="2" xfId="44">
      <alignment horizontal="center" vertical="center"/>
    </xf>
    <xf numFmtId="0" fontId="44" fillId="0" borderId="0" xfId="35" applyFont="1">
      <alignment horizontal="left" vertical="center" indent="1"/>
    </xf>
    <xf numFmtId="0" fontId="11" fillId="0" borderId="0" xfId="33"/>
    <xf numFmtId="0" fontId="3" fillId="4" borderId="3" xfId="7" applyBorder="1">
      <alignment horizontal="left" vertical="center"/>
    </xf>
    <xf numFmtId="166" fontId="35" fillId="4" borderId="2" xfId="43" applyNumberFormat="1">
      <alignment horizontal="center" vertical="center"/>
    </xf>
    <xf numFmtId="164" fontId="8" fillId="4" borderId="0" xfId="27" applyBorder="1">
      <alignment horizontal="center" vertical="center"/>
    </xf>
    <xf numFmtId="0" fontId="26" fillId="4" borderId="0" xfId="8" applyFont="1" applyAlignment="1">
      <alignment horizontal="center" vertical="center"/>
    </xf>
    <xf numFmtId="166" fontId="26" fillId="4" borderId="0" xfId="8" applyNumberFormat="1" applyFont="1" applyAlignment="1">
      <alignment horizontal="center" vertical="center"/>
    </xf>
    <xf numFmtId="0" fontId="26" fillId="4" borderId="0" xfId="12" applyFont="1" applyAlignment="1">
      <alignment horizontal="center" vertical="center"/>
    </xf>
    <xf numFmtId="0" fontId="27" fillId="4" borderId="0" xfId="0" applyFont="1" applyFill="1" applyAlignment="1">
      <alignment horizontal="center" vertical="center"/>
    </xf>
    <xf numFmtId="0" fontId="27" fillId="4" borderId="0" xfId="0" applyFont="1" applyFill="1"/>
    <xf numFmtId="0" fontId="26" fillId="4" borderId="0" xfId="0" applyFont="1" applyFill="1"/>
    <xf numFmtId="0" fontId="28" fillId="4" borderId="0" xfId="7" applyFont="1" applyAlignment="1">
      <alignment horizontal="center" vertical="center"/>
    </xf>
    <xf numFmtId="0" fontId="29" fillId="4" borderId="0" xfId="0" applyFont="1" applyFill="1" applyAlignment="1">
      <alignment horizontal="center" vertical="center"/>
    </xf>
    <xf numFmtId="0" fontId="30" fillId="4" borderId="0" xfId="0" applyFont="1" applyFill="1" applyAlignment="1">
      <alignment horizontal="center" vertical="center"/>
    </xf>
    <xf numFmtId="0" fontId="30" fillId="4" borderId="0" xfId="0" applyFont="1" applyFill="1" applyAlignment="1">
      <alignment horizontal="left" vertical="center"/>
    </xf>
    <xf numFmtId="14" fontId="3" fillId="4" borderId="0" xfId="7" applyNumberFormat="1">
      <alignment horizontal="left" vertical="center"/>
    </xf>
    <xf numFmtId="0" fontId="18" fillId="4" borderId="0" xfId="34" applyFill="1" applyBorder="1"/>
    <xf numFmtId="166" fontId="2" fillId="4" borderId="0" xfId="19" applyNumberFormat="1" applyFill="1" applyBorder="1">
      <alignment horizontal="center" vertical="center"/>
    </xf>
    <xf numFmtId="167" fontId="3" fillId="4" borderId="0" xfId="42" applyNumberFormat="1" applyFont="1" applyFill="1" applyBorder="1" applyAlignment="1">
      <alignment horizontal="center" vertical="center"/>
    </xf>
    <xf numFmtId="0" fontId="33" fillId="4" borderId="0" xfId="0" applyFont="1" applyFill="1"/>
    <xf numFmtId="0" fontId="45" fillId="13" borderId="10" xfId="41" applyBorder="1">
      <alignment horizontal="left" vertical="center"/>
    </xf>
    <xf numFmtId="0" fontId="45" fillId="13" borderId="12" xfId="41" applyBorder="1">
      <alignment horizontal="left" vertical="center"/>
    </xf>
    <xf numFmtId="0" fontId="45" fillId="13" borderId="14" xfId="41" applyBorder="1">
      <alignment horizontal="left" vertical="center"/>
    </xf>
    <xf numFmtId="0" fontId="45" fillId="13" borderId="13" xfId="41" applyBorder="1">
      <alignment horizontal="left" vertical="center"/>
    </xf>
    <xf numFmtId="0" fontId="45" fillId="13" borderId="15" xfId="41" applyBorder="1">
      <alignment horizontal="left" vertical="center"/>
    </xf>
    <xf numFmtId="0" fontId="45" fillId="13" borderId="17" xfId="41" applyBorder="1">
      <alignment horizontal="left" vertical="center"/>
    </xf>
    <xf numFmtId="0" fontId="45" fillId="13" borderId="11" xfId="41" applyBorder="1">
      <alignment horizontal="left" vertical="center"/>
    </xf>
    <xf numFmtId="0" fontId="45" fillId="13" borderId="16" xfId="41" applyBorder="1">
      <alignment horizontal="left" vertical="center"/>
    </xf>
    <xf numFmtId="0" fontId="45" fillId="13" borderId="18" xfId="41" applyBorder="1">
      <alignment horizontal="left" vertical="center"/>
    </xf>
    <xf numFmtId="0" fontId="46" fillId="13" borderId="9" xfId="41" applyFont="1" applyBorder="1">
      <alignment horizontal="left" vertical="center"/>
    </xf>
    <xf numFmtId="0" fontId="49" fillId="4" borderId="0" xfId="61">
      <alignment horizontal="left" vertical="center"/>
    </xf>
    <xf numFmtId="0" fontId="48" fillId="4" borderId="0" xfId="60">
      <alignment horizontal="left" vertical="center"/>
    </xf>
    <xf numFmtId="0" fontId="50" fillId="4" borderId="1" xfId="8" applyFont="1" applyBorder="1">
      <alignment horizontal="left" vertical="center"/>
    </xf>
    <xf numFmtId="0" fontId="51" fillId="4" borderId="1" xfId="8" applyFont="1" applyBorder="1">
      <alignment horizontal="left" vertical="center"/>
    </xf>
    <xf numFmtId="0" fontId="52" fillId="4" borderId="1" xfId="56" applyFont="1" applyBorder="1">
      <alignment horizontal="left" vertical="center"/>
    </xf>
    <xf numFmtId="0" fontId="35" fillId="4" borderId="19" xfId="55" applyBorder="1">
      <alignment horizontal="center" vertical="center"/>
    </xf>
    <xf numFmtId="0" fontId="6" fillId="4" borderId="1" xfId="56" applyBorder="1">
      <alignment horizontal="left" vertical="center"/>
    </xf>
    <xf numFmtId="0" fontId="55" fillId="4" borderId="0" xfId="62">
      <alignment horizontal="left" vertical="center"/>
    </xf>
    <xf numFmtId="9" fontId="8" fillId="4" borderId="0" xfId="11">
      <alignment horizontal="center" vertical="center"/>
    </xf>
    <xf numFmtId="164" fontId="8" fillId="4" borderId="0" xfId="10">
      <alignment horizontal="center" vertical="center"/>
    </xf>
    <xf numFmtId="2" fontId="32" fillId="4" borderId="1" xfId="0" applyNumberFormat="1" applyFont="1" applyFill="1" applyBorder="1" applyAlignment="1">
      <alignment horizontal="center"/>
    </xf>
    <xf numFmtId="0" fontId="47" fillId="11" borderId="0" xfId="63">
      <alignment horizontal="center" vertical="center"/>
    </xf>
    <xf numFmtId="0" fontId="40" fillId="4" borderId="0" xfId="8" applyAlignment="1">
      <alignment horizontal="center" vertical="center"/>
    </xf>
    <xf numFmtId="0" fontId="45" fillId="13" borderId="9" xfId="41" applyBorder="1">
      <alignment horizontal="left" vertical="center"/>
    </xf>
    <xf numFmtId="0" fontId="57" fillId="4" borderId="0" xfId="62" applyFont="1">
      <alignment horizontal="left" vertical="center"/>
    </xf>
    <xf numFmtId="0" fontId="22" fillId="5" borderId="0" xfId="38">
      <alignment horizontal="left" vertical="center" indent="1"/>
    </xf>
    <xf numFmtId="0" fontId="22" fillId="11" borderId="0" xfId="64">
      <alignment horizontal="left" vertical="center" indent="1"/>
    </xf>
    <xf numFmtId="0" fontId="0" fillId="0" borderId="0" xfId="0" applyAlignment="1">
      <alignment vertical="center"/>
    </xf>
    <xf numFmtId="0" fontId="13" fillId="6" borderId="0" xfId="30">
      <alignment horizontal="center" vertical="center"/>
      <protection locked="0"/>
    </xf>
    <xf numFmtId="0" fontId="58" fillId="15" borderId="2" xfId="66">
      <alignment horizontal="center" vertical="center"/>
    </xf>
    <xf numFmtId="0" fontId="59" fillId="14" borderId="2" xfId="65">
      <alignment horizontal="center" vertical="center"/>
    </xf>
    <xf numFmtId="0" fontId="40" fillId="4" borderId="0" xfId="8" applyAlignment="1">
      <alignment horizontal="left" vertical="center" wrapText="1"/>
    </xf>
    <xf numFmtId="0" fontId="0" fillId="0" borderId="0" xfId="0" applyAlignment="1">
      <alignment wrapText="1"/>
    </xf>
    <xf numFmtId="0" fontId="2" fillId="0" borderId="2" xfId="59">
      <alignment horizontal="center" vertical="center"/>
    </xf>
    <xf numFmtId="0" fontId="37" fillId="0" borderId="0" xfId="0" applyFont="1" applyAlignment="1">
      <alignment wrapText="1"/>
    </xf>
    <xf numFmtId="0" fontId="60" fillId="4" borderId="2" xfId="67">
      <alignment horizontal="left" vertical="center"/>
    </xf>
    <xf numFmtId="0" fontId="35" fillId="4" borderId="2" xfId="68">
      <alignment horizontal="left" vertical="center"/>
    </xf>
    <xf numFmtId="0" fontId="41" fillId="4" borderId="1" xfId="8" applyFont="1" applyBorder="1">
      <alignment horizontal="left" vertical="center"/>
    </xf>
    <xf numFmtId="0" fontId="6" fillId="4" borderId="1" xfId="12" applyBorder="1">
      <alignment horizontal="left" vertical="center" indent="1"/>
    </xf>
    <xf numFmtId="0" fontId="35" fillId="4" borderId="6" xfId="68" applyBorder="1">
      <alignment horizontal="left" vertical="center"/>
    </xf>
    <xf numFmtId="0" fontId="35" fillId="4" borderId="7" xfId="68" applyBorder="1">
      <alignment horizontal="left" vertical="center"/>
    </xf>
    <xf numFmtId="0" fontId="35" fillId="4" borderId="19" xfId="68" applyBorder="1">
      <alignment horizontal="left" vertical="center"/>
    </xf>
    <xf numFmtId="0" fontId="62" fillId="0" borderId="0" xfId="69"/>
    <xf numFmtId="9" fontId="2" fillId="0" borderId="2" xfId="17">
      <alignment horizontal="center" vertical="center"/>
    </xf>
    <xf numFmtId="170" fontId="8" fillId="4" borderId="0" xfId="10" applyNumberFormat="1">
      <alignment horizontal="center" vertical="center"/>
    </xf>
    <xf numFmtId="0" fontId="63" fillId="9" borderId="0" xfId="33" applyFont="1" applyFill="1"/>
    <xf numFmtId="0" fontId="40" fillId="9" borderId="0" xfId="8" applyFill="1">
      <alignment horizontal="left" vertical="center"/>
    </xf>
    <xf numFmtId="0" fontId="0" fillId="9" borderId="0" xfId="0" applyFill="1"/>
    <xf numFmtId="0" fontId="17" fillId="11" borderId="0" xfId="32" applyFill="1">
      <alignment vertical="center"/>
    </xf>
    <xf numFmtId="0" fontId="46" fillId="13" borderId="11" xfId="41" applyFont="1" applyBorder="1">
      <alignment horizontal="left" vertical="center"/>
    </xf>
    <xf numFmtId="0" fontId="22" fillId="8" borderId="0" xfId="39">
      <alignment horizontal="left" vertical="center" indent="1"/>
    </xf>
    <xf numFmtId="0" fontId="22" fillId="10" borderId="0" xfId="37">
      <alignment horizontal="left" vertical="center" indent="1"/>
    </xf>
    <xf numFmtId="4" fontId="2" fillId="0" borderId="2" xfId="18">
      <alignment horizontal="center" vertical="center"/>
    </xf>
    <xf numFmtId="0" fontId="45" fillId="13" borderId="9" xfId="41" quotePrefix="1" applyBorder="1">
      <alignment horizontal="left" vertical="center"/>
    </xf>
    <xf numFmtId="3" fontId="35" fillId="4" borderId="2" xfId="43">
      <alignment horizontal="center" vertical="center"/>
    </xf>
    <xf numFmtId="0" fontId="31" fillId="0" borderId="0" xfId="0" applyFont="1"/>
    <xf numFmtId="0" fontId="0" fillId="4" borderId="1" xfId="0" applyFill="1" applyBorder="1"/>
    <xf numFmtId="0" fontId="0" fillId="4" borderId="1" xfId="0" applyFill="1" applyBorder="1" applyAlignment="1">
      <alignment vertical="center"/>
    </xf>
    <xf numFmtId="3" fontId="35" fillId="4" borderId="2" xfId="68" applyNumberFormat="1">
      <alignment horizontal="left" vertical="center"/>
    </xf>
    <xf numFmtId="0" fontId="35" fillId="4" borderId="6" xfId="55" applyBorder="1">
      <alignment horizontal="center" vertical="center"/>
    </xf>
    <xf numFmtId="0" fontId="0" fillId="4" borderId="0" xfId="0" quotePrefix="1" applyFill="1"/>
    <xf numFmtId="0" fontId="64" fillId="4" borderId="1" xfId="0" applyFont="1" applyFill="1" applyBorder="1"/>
    <xf numFmtId="0" fontId="66" fillId="4" borderId="1" xfId="0" applyFont="1" applyFill="1" applyBorder="1"/>
    <xf numFmtId="171" fontId="8" fillId="4" borderId="0" xfId="10" applyNumberFormat="1">
      <alignment horizontal="center" vertical="center"/>
    </xf>
  </cellXfs>
  <cellStyles count="70">
    <cellStyle name="Alert" xfId="62" xr:uid="{34EFE908-8095-4010-8F93-8CFE88055637}"/>
    <cellStyle name="Arguments" xfId="68" xr:uid="{E3322BF6-A528-4CDC-9946-1481D9CFA254}"/>
    <cellStyle name="Arguments hyperlink" xfId="67" xr:uid="{D7E69B6D-2E15-48E8-BF41-EE6FEA2FBEBE}"/>
    <cellStyle name="Back to top link" xfId="69" xr:uid="{13501F59-E048-49F8-88C6-8AF5C4ACD194}"/>
    <cellStyle name="Block heading" xfId="5" xr:uid="{74527274-3B4A-494A-B37C-EA50686E114C}"/>
    <cellStyle name="Block subheading" xfId="50" xr:uid="{34E62905-A3E0-4883-B81A-BDB58FC88DA7}"/>
    <cellStyle name="Code" xfId="25" xr:uid="{99B3520F-01DD-4F8E-A8D0-24EAA04E90EB}"/>
    <cellStyle name="Comma" xfId="42" builtinId="3"/>
    <cellStyle name="Content bold" xfId="7" xr:uid="{468A1381-682E-4BF1-945B-DF2E2BCA4419}"/>
    <cellStyle name="Content bold total" xfId="28" xr:uid="{17159E75-EF9F-42B8-8195-E83583796F67}"/>
    <cellStyle name="Content hidden" xfId="53" xr:uid="{8E56D08F-467A-4F3D-ADA8-ECA27B2FFCD3}"/>
    <cellStyle name="Content normal" xfId="8" xr:uid="{55F96DE2-2B61-4529-A3B8-2B8B8AA0D350}"/>
    <cellStyle name="Equation column header" xfId="9" xr:uid="{B705D3A4-E195-47DF-A4D1-BA1FDC70C701}"/>
    <cellStyle name="Equation source" xfId="6" xr:uid="{348FC12D-3392-478F-B0B3-D4FA4BBA59E4}"/>
    <cellStyle name="Equation table header" xfId="1" xr:uid="{11780056-D3CA-48D4-90AF-8DF1A50E1B13}"/>
    <cellStyle name="Euqation table row 2" xfId="13" xr:uid="{2CAEAB93-BC87-4606-B5A1-3C2F7B5C52A1}"/>
    <cellStyle name="Hyperlink" xfId="34" builtinId="8"/>
    <cellStyle name="Information tip" xfId="41" xr:uid="{7D200D09-32E3-4546-9822-1B93AD118A74}"/>
    <cellStyle name="Information variation" xfId="57" xr:uid="{205494A3-14DD-4E6A-BDD3-5C5A864D6FA7}"/>
    <cellStyle name="Input block subheading" xfId="31" xr:uid="{A9FEBDB0-0992-4E30-96E5-9F9CAE92E3FB}"/>
    <cellStyle name="Input date" xfId="44" xr:uid="{A1D72D5E-DCF3-445F-8FC0-A147E105D774}"/>
    <cellStyle name="Input date calculated" xfId="48" xr:uid="{5A42AD0E-F665-46A9-9757-6B6A4BE7013E}"/>
    <cellStyle name="Input number 2 decimal places" xfId="18" xr:uid="{F9671E40-5700-4055-A6D2-272CF9DB620E}"/>
    <cellStyle name="Input number 2 decimal places calculated" xfId="49" xr:uid="{C04BA53C-14E1-48A5-99A3-C9FD44741A2A}"/>
    <cellStyle name="Input number 3 decimal places calculated" xfId="52" xr:uid="{637E6039-0A01-48EF-8C15-C29A497EF449}"/>
    <cellStyle name="Input number 3 decimal places disabled" xfId="23" xr:uid="{6B1B6177-B1C0-4190-858F-6E4C823402C3}"/>
    <cellStyle name="Input number 6 decimal places calculated" xfId="54" xr:uid="{CE70A7A2-3CEE-4689-8FF6-8EB6FCE0A94C}"/>
    <cellStyle name="Input number general" xfId="59" xr:uid="{D8583F7D-F13A-4EA8-BAA6-B42739FDBDDB}"/>
    <cellStyle name="Input number general calculated" xfId="55" xr:uid="{34755FEB-6E4E-4BD7-A478-DF7299A7A914}"/>
    <cellStyle name="Input number no decimals" xfId="19" xr:uid="{B33B4FB5-F3F4-4036-B2DD-663B694E2A90}"/>
    <cellStyle name="Input number no decimals calculated" xfId="43" xr:uid="{5A48F48F-03B2-410E-887B-2A9297006BAF}"/>
    <cellStyle name="Input number no decimals disabled" xfId="24" xr:uid="{7ABDCB2D-7703-4392-9553-5620789B1E19}"/>
    <cellStyle name="Input number percent disabled" xfId="22" xr:uid="{D0E8B42E-13A8-477C-99CB-5FF73C5BBAA4}"/>
    <cellStyle name="Input page heading" xfId="33" xr:uid="{74FB9B3B-4B5B-4B7F-A54C-22E0724783C8}"/>
    <cellStyle name="Input page section heading" xfId="32" xr:uid="{1A05B367-BE5D-4E2B-9831-A28D5CFAC8EC}"/>
    <cellStyle name="Input percent" xfId="17" xr:uid="{923E56A7-7902-46CD-9AA8-0D69F2E1ECA1}"/>
    <cellStyle name="Input select" xfId="16" xr:uid="{3CF2E653-7F22-4996-ABB9-95CA16698B1F}"/>
    <cellStyle name="Input select disabled" xfId="21" xr:uid="{5CE680CC-504C-444D-8337-CF97D9BB5A78}"/>
    <cellStyle name="Input table column header" xfId="30" xr:uid="{EF98B018-1246-451D-91C2-97FCD443EDC9}"/>
    <cellStyle name="Input table header" xfId="29" xr:uid="{04872377-9FDD-4D5A-91FC-B9D8DA1E8E91}"/>
    <cellStyle name="Input text" xfId="15" xr:uid="{4C71A4C5-ADD8-4A09-A7FE-940DA96821F6}"/>
    <cellStyle name="Input text calculated" xfId="51" xr:uid="{43DCF082-1F0D-4E07-9785-CAF41B37CFCC}"/>
    <cellStyle name="Input text disabled" xfId="20" xr:uid="{79E76B35-E5FF-43A1-B0D0-016F346F8B97}"/>
    <cellStyle name="Menu link child" xfId="40" xr:uid="{609090D3-DE1E-48FE-A8AA-233CE9B146E0}"/>
    <cellStyle name="Menu link default" xfId="35" xr:uid="{11B84453-1DD4-492A-B241-FE6AD4CB25FA}"/>
    <cellStyle name="Menu link selected" xfId="37" xr:uid="{B16EBA6F-62C4-483F-8E15-B20D06ABF61F}"/>
    <cellStyle name="Menu link selected equations" xfId="39" xr:uid="{7AFCC545-C221-4BAC-933E-19109D0FB654}"/>
    <cellStyle name="Menu link selected input" xfId="38" xr:uid="{17D327F4-9149-4DAC-85BB-811698090830}"/>
    <cellStyle name="Menu link selected results" xfId="64" xr:uid="{0DC56464-F1A3-42A3-BF89-514E2163E7F0}"/>
    <cellStyle name="Menu section title" xfId="36" xr:uid="{E2117B15-AE58-4F76-B13B-671D455A4107}"/>
    <cellStyle name="Normal" xfId="0" builtinId="0"/>
    <cellStyle name="Normal 2" xfId="58" xr:uid="{FE64FEFB-54C6-42B4-AA7F-D49670F5ED19}"/>
    <cellStyle name="Normal 2 2" xfId="47" xr:uid="{B8803ACE-513D-4EEF-BBE0-0BB76AE7D7F4}"/>
    <cellStyle name="Normal 4" xfId="45" xr:uid="{99CD1B63-5040-4067-BBD7-470030C57E5D}"/>
    <cellStyle name="Normal 5" xfId="46" xr:uid="{C95BEC9B-545D-4D75-A129-77179ED2BD99}"/>
    <cellStyle name="Number diplsay percent" xfId="11" xr:uid="{2A2547EE-93B6-4F82-A56A-1A45D8712142}"/>
    <cellStyle name="Number display decimal" xfId="10" xr:uid="{D6C655C7-D21F-4B70-8143-4C163C43FE08}"/>
    <cellStyle name="Number display decimal total" xfId="27" xr:uid="{A9378C0C-CCAE-43D1-BC2C-BD4A9766DA0D}"/>
    <cellStyle name="Page heading" xfId="2" xr:uid="{255E304E-A5AB-40F0-8E3A-91C132147F10}"/>
    <cellStyle name="Page section heading" xfId="4" xr:uid="{B654AFF3-28A2-43B8-AE91-E7D2C159A294}"/>
    <cellStyle name="Page source" xfId="3" xr:uid="{35DF92BD-4909-4EA7-B1E6-C0EDAAEB1713}"/>
    <cellStyle name="Percent" xfId="14" builtinId="5"/>
    <cellStyle name="Results table column header" xfId="63" xr:uid="{A846043F-10AE-4BED-BAA6-90407C977915}"/>
    <cellStyle name="Table description" xfId="61" xr:uid="{8BD2F353-2E3C-42FF-89E9-616E85DC18C5}"/>
    <cellStyle name="Table name" xfId="60" xr:uid="{D56F17A4-9740-44B6-BDDB-150E2C950B8B}"/>
    <cellStyle name="Unit" xfId="12" xr:uid="{90B9E191-F5E0-43AB-A245-D6CA23D4ADFC}"/>
    <cellStyle name="Unit no indent" xfId="56" xr:uid="{2829D020-DAD8-4B7D-9262-450720E27D2B}"/>
    <cellStyle name="Unit total" xfId="26" xr:uid="{65428923-3DAD-47B6-8DDF-0EBD05E7C55B}"/>
    <cellStyle name="Variable type input" xfId="65" xr:uid="{83ED2376-8555-47B3-98E3-2416CC880284}"/>
    <cellStyle name="Variable type other" xfId="66" xr:uid="{6646F6F7-E4F9-4165-8015-E25083532B5B}"/>
  </cellStyles>
  <dxfs count="78">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i val="0"/>
        <strike val="0"/>
        <condense val="0"/>
        <extend val="0"/>
        <outline val="0"/>
        <shadow val="0"/>
        <u val="none"/>
        <vertAlign val="baseline"/>
        <sz val="11"/>
        <color theme="1"/>
        <name val="Times New Roman"/>
        <family val="1"/>
        <scheme val="minor"/>
      </font>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color theme="1" tint="0.24994659260841701"/>
      </font>
      <fill>
        <patternFill patternType="solid">
          <fgColor indexed="64"/>
          <bgColor theme="0" tint="-4.9989318521683403E-2"/>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ont>
        <color theme="1" tint="0.24994659260841701"/>
      </font>
      <fill>
        <patternFill>
          <bgColor theme="0" tint="-4.9989318521683403E-2"/>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ill>
        <patternFill>
          <fgColor theme="0"/>
          <bgColor theme="0" tint="-4.9989318521683403E-2"/>
        </patternFill>
      </fill>
    </dxf>
    <dxf>
      <fill>
        <patternFill>
          <bgColor theme="0" tint="-0.14996795556505021"/>
        </patternFill>
      </fill>
    </dxf>
    <dxf>
      <font>
        <b/>
        <i val="0"/>
        <color rgb="FF183C1B"/>
      </font>
      <fill>
        <patternFill patternType="solid">
          <fgColor indexed="64"/>
          <bgColor rgb="FFB2D498"/>
        </patternFill>
      </fill>
    </dxf>
    <dxf>
      <font>
        <color theme="1" tint="0.24994659260841701"/>
      </font>
      <border>
        <left/>
        <right/>
        <top/>
        <bottom/>
        <vertical/>
        <horizontal/>
      </border>
    </dxf>
    <dxf>
      <font>
        <color theme="1" tint="0.24994659260841701"/>
      </font>
      <fill>
        <patternFill patternType="none">
          <fgColor indexed="64"/>
          <bgColor auto="1"/>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ont>
        <color theme="1" tint="0.24994659260841701"/>
      </font>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ill>
        <patternFill>
          <fgColor theme="0"/>
          <bgColor theme="0" tint="-4.9989318521683403E-2"/>
        </patternFill>
      </fill>
    </dxf>
    <dxf>
      <fill>
        <patternFill>
          <bgColor theme="0" tint="-0.14996795556505021"/>
        </patternFill>
      </fill>
    </dxf>
    <dxf>
      <font>
        <b/>
        <i val="0"/>
        <color rgb="FF533001"/>
      </font>
      <fill>
        <patternFill patternType="solid">
          <fgColor indexed="64"/>
          <bgColor rgb="FFFFCC66"/>
        </patternFill>
      </fill>
    </dxf>
    <dxf>
      <font>
        <color theme="1" tint="0.24994659260841701"/>
      </font>
      <border>
        <left/>
        <right/>
        <top/>
        <bottom/>
        <vertical/>
        <horizontal/>
      </border>
    </dxf>
  </dxfs>
  <tableStyles count="3" defaultTableStyle="Equation table" defaultPivotStyle="PivotStyleLight16">
    <tableStyle name="Editable table" pivot="0" count="6" xr9:uid="{8C498A1C-5864-4BF8-8739-A3055FE117E0}">
      <tableStyleElement type="wholeTable" dxfId="77"/>
      <tableStyleElement type="headerRow" dxfId="76"/>
      <tableStyleElement type="totalRow" dxfId="75"/>
      <tableStyleElement type="firstColumn" dxfId="74"/>
      <tableStyleElement type="firstRowStripe" dxfId="73"/>
      <tableStyleElement type="secondRowStripe" dxfId="72"/>
    </tableStyle>
    <tableStyle name="Equation table" pivot="0" count="6" xr9:uid="{B247698E-E41D-4CCD-AA0A-C14817E9DE65}">
      <tableStyleElement type="wholeTable" dxfId="71"/>
      <tableStyleElement type="headerRow" dxfId="70"/>
      <tableStyleElement type="totalRow" dxfId="69"/>
      <tableStyleElement type="firstColumn" dxfId="68"/>
      <tableStyleElement type="firstRowStripe" dxfId="67"/>
      <tableStyleElement type="secondRowStripe" dxfId="66"/>
    </tableStyle>
    <tableStyle name="Table Style 1" pivot="0" count="0" xr9:uid="{97B370DB-5463-4A31-9160-5A96BD6A559D}"/>
  </tableStyles>
  <colors>
    <mruColors>
      <color rgb="FF0C769E"/>
      <color rgb="FFC44340"/>
      <color rgb="FFFFCCCC"/>
      <color rgb="FFCC6600"/>
      <color rgb="FF183C1B"/>
      <color rgb="FFDCECD0"/>
      <color rgb="FFB2D498"/>
      <color rgb="FF008000"/>
      <color rgb="FFC4433F"/>
      <color rgb="FFE9F2FB"/>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18" Type="http://schemas.microsoft.com/office/2017/06/relationships/rdRichValue" Target="richData/rdrichvalue.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22/10/relationships/richValueRel" Target="richData/richValueRel.xml"/><Relationship Id="rId25" Type="http://schemas.openxmlformats.org/officeDocument/2006/relationships/customXml" Target="../customXml/item4.xml"/><Relationship Id="rId2" Type="http://schemas.openxmlformats.org/officeDocument/2006/relationships/worksheet" Target="worksheets/sheet2.xml"/><Relationship Id="rId16" Type="http://schemas.openxmlformats.org/officeDocument/2006/relationships/sheetMetadata" Target="metadata.xml"/><Relationship Id="rId20" Type="http://schemas.microsoft.com/office/2017/06/relationships/rdRichValueTypes" Target="richData/rdRichValueTyp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ustomXml" Target="../customXml/item3.xml"/><Relationship Id="rId5" Type="http://schemas.openxmlformats.org/officeDocument/2006/relationships/worksheet" Target="worksheets/sheet5.xml"/><Relationship Id="rId15" Type="http://schemas.openxmlformats.org/officeDocument/2006/relationships/sharedStrings" Target="sharedStrings.xml"/><Relationship Id="rId23" Type="http://schemas.openxmlformats.org/officeDocument/2006/relationships/customXml" Target="../customXml/item2.xml"/><Relationship Id="rId10" Type="http://schemas.openxmlformats.org/officeDocument/2006/relationships/worksheet" Target="worksheets/sheet10.xml"/><Relationship Id="rId19" Type="http://schemas.microsoft.com/office/2017/06/relationships/rdRichValueStructure" Target="richData/rdrichvaluestructure.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 Id="rId22" Type="http://schemas.openxmlformats.org/officeDocument/2006/relationships/customXml" Target="../customXml/item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doughnutChart>
        <c:varyColors val="1"/>
        <c:dLbls>
          <c:showLegendKey val="0"/>
          <c:showVal val="0"/>
          <c:showCatName val="0"/>
          <c:showSerName val="0"/>
          <c:showPercent val="0"/>
          <c:showBubbleSize val="0"/>
          <c:showLeaderLines val="0"/>
        </c:dLbls>
        <c:firstSliceAng val="0"/>
        <c:holeSize val="75"/>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hyperlink" Target="#'6.3.1.1-2 Leaching and runoff'!D28"/><Relationship Id="rId3" Type="http://schemas.openxmlformats.org/officeDocument/2006/relationships/hyperlink" Target="#'6.1.1.1-2 Crop residue N2O'!M5"/><Relationship Id="rId7" Type="http://schemas.openxmlformats.org/officeDocument/2006/relationships/hyperlink" Target="#'6.3.1.1-2 Leaching and runoff'!D5"/><Relationship Id="rId2" Type="http://schemas.openxmlformats.org/officeDocument/2006/relationships/hyperlink" Target="#'6.1.1.1-2 Crop residue N2O'!D28"/><Relationship Id="rId1" Type="http://schemas.openxmlformats.org/officeDocument/2006/relationships/hyperlink" Target="#'6.1.1.1-2 Crop residue N2O'!D5"/><Relationship Id="rId6" Type="http://schemas.openxmlformats.org/officeDocument/2006/relationships/hyperlink" Target="#'6.2.1.1-2 Pasture residue N2O'!D25"/><Relationship Id="rId11" Type="http://schemas.openxmlformats.org/officeDocument/2006/relationships/hyperlink" Target="#'6.4.1.1-2 Residue burning'!D48"/><Relationship Id="rId5" Type="http://schemas.openxmlformats.org/officeDocument/2006/relationships/hyperlink" Target="#'6.2.1.1-2 Pasture residue N2O'!D5"/><Relationship Id="rId10" Type="http://schemas.openxmlformats.org/officeDocument/2006/relationships/hyperlink" Target="#'6.4.1.1-2 Residue burning'!D25"/><Relationship Id="rId4" Type="http://schemas.openxmlformats.org/officeDocument/2006/relationships/hyperlink" Target="#'6.1.1.1-2 Crop residue N2O'!M24"/><Relationship Id="rId9" Type="http://schemas.openxmlformats.org/officeDocument/2006/relationships/hyperlink" Target="#'6.4.1.1-2 Residue burning'!D5"/></Relationships>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oneCellAnchor>
    <xdr:from>
      <xdr:col>2</xdr:col>
      <xdr:colOff>291248</xdr:colOff>
      <xdr:row>7</xdr:row>
      <xdr:rowOff>3136</xdr:rowOff>
    </xdr:from>
    <xdr:ext cx="1928078" cy="505267"/>
    <xdr:sp macro="" textlink="">
      <xdr:nvSpPr>
        <xdr:cNvPr id="4" name="TextBox 3">
          <a:extLst>
            <a:ext uri="{FF2B5EF4-FFF2-40B4-BE49-F238E27FC236}">
              <a16:creationId xmlns:a16="http://schemas.microsoft.com/office/drawing/2014/main" id="{C2B4545C-C2B3-47A1-9BAB-0C30C265F201}"/>
            </a:ext>
          </a:extLst>
        </xdr:cNvPr>
        <xdr:cNvSpPr txBox="1"/>
      </xdr:nvSpPr>
      <xdr:spPr>
        <a:xfrm>
          <a:off x="2653448" y="1870036"/>
          <a:ext cx="1928078" cy="50526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AU" sz="1400" b="0">
              <a:solidFill>
                <a:srgbClr val="0C769E"/>
              </a:solidFill>
            </a:rPr>
            <a:t>6.1.1.1-2 </a:t>
          </a:r>
          <a:br>
            <a:rPr lang="en-AU" sz="1400" b="0">
              <a:solidFill>
                <a:srgbClr val="0C769E"/>
              </a:solidFill>
            </a:rPr>
          </a:br>
          <a:r>
            <a:rPr lang="en-AU" sz="1400" b="0">
              <a:solidFill>
                <a:srgbClr val="0C769E"/>
              </a:solidFill>
            </a:rPr>
            <a:t>Crop residue N2O</a:t>
          </a:r>
        </a:p>
      </xdr:txBody>
    </xdr:sp>
    <xdr:clientData/>
  </xdr:oneCellAnchor>
  <xdr:twoCellAnchor>
    <xdr:from>
      <xdr:col>3</xdr:col>
      <xdr:colOff>110835</xdr:colOff>
      <xdr:row>18</xdr:row>
      <xdr:rowOff>13855</xdr:rowOff>
    </xdr:from>
    <xdr:to>
      <xdr:col>5</xdr:col>
      <xdr:colOff>403635</xdr:colOff>
      <xdr:row>20</xdr:row>
      <xdr:rowOff>238555</xdr:rowOff>
    </xdr:to>
    <xdr:sp macro="" textlink="'6.1.1.1-2 Crop residue N2O'!D5">
      <xdr:nvSpPr>
        <xdr:cNvPr id="5" name="TextBox 4">
          <a:hlinkClick xmlns:r="http://schemas.openxmlformats.org/officeDocument/2006/relationships" r:id="rId1"/>
          <a:extLst>
            <a:ext uri="{FF2B5EF4-FFF2-40B4-BE49-F238E27FC236}">
              <a16:creationId xmlns:a16="http://schemas.microsoft.com/office/drawing/2014/main" id="{83645639-1493-478F-B936-8E8F041FF424}"/>
            </a:ext>
          </a:extLst>
        </xdr:cNvPr>
        <xdr:cNvSpPr txBox="1"/>
      </xdr:nvSpPr>
      <xdr:spPr>
        <a:xfrm>
          <a:off x="2787360" y="4604905"/>
          <a:ext cx="1512000" cy="720000"/>
        </a:xfrm>
        <a:prstGeom prst="rect">
          <a:avLst/>
        </a:prstGeom>
        <a:solidFill>
          <a:schemeClr val="lt1"/>
        </a:solidFill>
        <a:ln w="9525" cmpd="sng">
          <a:solidFill>
            <a:srgbClr val="0C769E"/>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CC8F877F-2135-416A-A46F-CAABBC04AD48}" type="TxLink">
            <a:rPr lang="en-US" sz="1000" b="0" i="0" u="none" strike="noStrike">
              <a:solidFill>
                <a:srgbClr val="0C769E"/>
              </a:solidFill>
              <a:latin typeface="Times New Roman"/>
              <a:cs typeface="Times New Roman"/>
            </a:rPr>
            <a:pPr algn="ctr"/>
            <a:t>Mass of nitrogen in crop residues returned to the soil</a:t>
          </a:fld>
          <a:endParaRPr lang="en-AU" sz="1000">
            <a:solidFill>
              <a:srgbClr val="0C769E"/>
            </a:solidFill>
          </a:endParaRPr>
        </a:p>
      </xdr:txBody>
    </xdr:sp>
    <xdr:clientData/>
  </xdr:twoCellAnchor>
  <xdr:twoCellAnchor>
    <xdr:from>
      <xdr:col>3</xdr:col>
      <xdr:colOff>110835</xdr:colOff>
      <xdr:row>28</xdr:row>
      <xdr:rowOff>7421</xdr:rowOff>
    </xdr:from>
    <xdr:to>
      <xdr:col>5</xdr:col>
      <xdr:colOff>403635</xdr:colOff>
      <xdr:row>32</xdr:row>
      <xdr:rowOff>96821</xdr:rowOff>
    </xdr:to>
    <xdr:sp macro="" textlink="'6.1.1.1-2 Crop residue N2O'!D28">
      <xdr:nvSpPr>
        <xdr:cNvPr id="6" name="TextBox 5">
          <a:hlinkClick xmlns:r="http://schemas.openxmlformats.org/officeDocument/2006/relationships" r:id="rId2"/>
          <a:extLst>
            <a:ext uri="{FF2B5EF4-FFF2-40B4-BE49-F238E27FC236}">
              <a16:creationId xmlns:a16="http://schemas.microsoft.com/office/drawing/2014/main" id="{92C60931-49EB-4052-AFE6-EE250B5534A0}"/>
            </a:ext>
          </a:extLst>
        </xdr:cNvPr>
        <xdr:cNvSpPr txBox="1"/>
      </xdr:nvSpPr>
      <xdr:spPr>
        <a:xfrm>
          <a:off x="2787360" y="7074971"/>
          <a:ext cx="1512000" cy="1080000"/>
        </a:xfrm>
        <a:prstGeom prst="rect">
          <a:avLst/>
        </a:prstGeom>
        <a:solidFill>
          <a:schemeClr val="lt1"/>
        </a:solidFill>
        <a:ln w="9525" cmpd="sng">
          <a:solidFill>
            <a:srgbClr val="0C769E"/>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B6A8866F-96CC-4485-B727-458D801885D1}" type="TxLink">
            <a:rPr lang="en-US" sz="1000" b="1" i="0" u="none" strike="noStrike">
              <a:solidFill>
                <a:srgbClr val="0C769E"/>
              </a:solidFill>
              <a:latin typeface="Times New Roman"/>
              <a:cs typeface="Times New Roman"/>
            </a:rPr>
            <a:pPr algn="ctr"/>
            <a:t>Nitrous oxide emissions from the return of crop residues across all crops c to the soil</a:t>
          </a:fld>
          <a:endParaRPr lang="en-AU" sz="1000" b="1">
            <a:solidFill>
              <a:srgbClr val="0C769E"/>
            </a:solidFill>
          </a:endParaRPr>
        </a:p>
      </xdr:txBody>
    </xdr:sp>
    <xdr:clientData/>
  </xdr:twoCellAnchor>
  <xdr:twoCellAnchor>
    <xdr:from>
      <xdr:col>5</xdr:col>
      <xdr:colOff>212519</xdr:colOff>
      <xdr:row>10</xdr:row>
      <xdr:rowOff>242454</xdr:rowOff>
    </xdr:from>
    <xdr:to>
      <xdr:col>7</xdr:col>
      <xdr:colOff>505319</xdr:colOff>
      <xdr:row>13</xdr:row>
      <xdr:rowOff>94600</xdr:rowOff>
    </xdr:to>
    <xdr:sp macro="" textlink="'6.1.1.1-2 Crop residue N2O'!M5">
      <xdr:nvSpPr>
        <xdr:cNvPr id="10" name="TextBox 9">
          <a:hlinkClick xmlns:r="http://schemas.openxmlformats.org/officeDocument/2006/relationships" r:id="rId3"/>
          <a:extLst>
            <a:ext uri="{FF2B5EF4-FFF2-40B4-BE49-F238E27FC236}">
              <a16:creationId xmlns:a16="http://schemas.microsoft.com/office/drawing/2014/main" id="{5A342518-4851-479B-88AC-D4FD059E86AC}"/>
            </a:ext>
          </a:extLst>
        </xdr:cNvPr>
        <xdr:cNvSpPr txBox="1"/>
      </xdr:nvSpPr>
      <xdr:spPr>
        <a:xfrm>
          <a:off x="4108244" y="2852304"/>
          <a:ext cx="1512000" cy="595096"/>
        </a:xfrm>
        <a:prstGeom prst="rect">
          <a:avLst/>
        </a:prstGeom>
        <a:solidFill>
          <a:schemeClr val="lt1"/>
        </a:solidFill>
        <a:ln w="9525" cmpd="sng">
          <a:solidFill>
            <a:srgbClr val="0C769E"/>
          </a:solidFill>
          <a:prstDash val="dash"/>
          <a:extLst>
            <a:ext uri="{C807C97D-BFC1-408E-A445-0C87EB9F89A2}">
              <ask:lineSketchStyleProps xmlns:ask="http://schemas.microsoft.com/office/drawing/2018/sketchyshapes" sd="981765707">
                <a:custGeom>
                  <a:avLst/>
                  <a:gdLst>
                    <a:gd name="csX0" fmla="*/ 0 w 1512000"/>
                    <a:gd name="csY0" fmla="*/ 0 h 595096"/>
                    <a:gd name="csX1" fmla="*/ 1512000 w 1512000"/>
                    <a:gd name="csY1" fmla="*/ 0 h 595096"/>
                    <a:gd name="csX2" fmla="*/ 1512000 w 1512000"/>
                    <a:gd name="csY2" fmla="*/ 595096 h 595096"/>
                    <a:gd name="csX3" fmla="*/ 0 w 1512000"/>
                    <a:gd name="csY3" fmla="*/ 595096 h 595096"/>
                    <a:gd name="csX4" fmla="*/ 0 w 1512000"/>
                    <a:gd name="csY4" fmla="*/ 0 h 595096"/>
                  </a:gdLst>
                  <a:ahLst/>
                  <a:cxnLst>
                    <a:cxn ang="0">
                      <a:pos x="csX0" y="csY0"/>
                    </a:cxn>
                    <a:cxn ang="0">
                      <a:pos x="csX1" y="csY1"/>
                    </a:cxn>
                    <a:cxn ang="0">
                      <a:pos x="csX2" y="csY2"/>
                    </a:cxn>
                    <a:cxn ang="0">
                      <a:pos x="csX3" y="csY3"/>
                    </a:cxn>
                    <a:cxn ang="0">
                      <a:pos x="csX4" y="csY4"/>
                    </a:cxn>
                  </a:cxnLst>
                  <a:rect l="l" t="t" r="r" b="b"/>
                  <a:pathLst>
                    <a:path w="1512000" h="595096" fill="none" extrusionOk="0">
                      <a:moveTo>
                        <a:pt x="0" y="0"/>
                      </a:moveTo>
                      <a:cubicBezTo>
                        <a:pt x="351985" y="-88655"/>
                        <a:pt x="1321200" y="53433"/>
                        <a:pt x="1512000" y="0"/>
                      </a:cubicBezTo>
                      <a:cubicBezTo>
                        <a:pt x="1475347" y="147579"/>
                        <a:pt x="1504401" y="300380"/>
                        <a:pt x="1512000" y="595096"/>
                      </a:cubicBezTo>
                      <a:cubicBezTo>
                        <a:pt x="952601" y="693766"/>
                        <a:pt x="586528" y="489720"/>
                        <a:pt x="0" y="595096"/>
                      </a:cubicBezTo>
                      <a:cubicBezTo>
                        <a:pt x="16543" y="485270"/>
                        <a:pt x="26644" y="72834"/>
                        <a:pt x="0" y="0"/>
                      </a:cubicBezTo>
                      <a:close/>
                    </a:path>
                    <a:path w="1512000" h="595096" stroke="0" extrusionOk="0">
                      <a:moveTo>
                        <a:pt x="0" y="0"/>
                      </a:moveTo>
                      <a:cubicBezTo>
                        <a:pt x="741294" y="-103087"/>
                        <a:pt x="941791" y="40558"/>
                        <a:pt x="1512000" y="0"/>
                      </a:cubicBezTo>
                      <a:cubicBezTo>
                        <a:pt x="1502451" y="119951"/>
                        <a:pt x="1497496" y="405644"/>
                        <a:pt x="1512000" y="595096"/>
                      </a:cubicBezTo>
                      <a:cubicBezTo>
                        <a:pt x="919860" y="655721"/>
                        <a:pt x="526565" y="539527"/>
                        <a:pt x="0" y="595096"/>
                      </a:cubicBezTo>
                      <a:cubicBezTo>
                        <a:pt x="28147" y="429756"/>
                        <a:pt x="17071" y="295334"/>
                        <a:pt x="0" y="0"/>
                      </a:cubicBezTo>
                      <a:close/>
                    </a:path>
                  </a:pathLst>
                </a:custGeom>
                <ask:type>
                  <ask:lineSketchNone/>
                </ask:type>
              </ask:lineSketchStyleProps>
            </a:ext>
          </a:extLst>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74AB987F-AD2C-407E-808B-9D3DB3AFA73C}" type="TxLink">
            <a:rPr lang="en-US" sz="1000" b="0" i="0" u="none" strike="noStrike">
              <a:solidFill>
                <a:srgbClr val="0C769E"/>
              </a:solidFill>
              <a:latin typeface="Times New Roman"/>
              <a:cs typeface="Times New Roman"/>
            </a:rPr>
            <a:pPr algn="ctr"/>
            <a:t>Fraction of crop residue that is removed for crop c, calculated where residues are baled</a:t>
          </a:fld>
          <a:endParaRPr lang="en-AU" sz="1000">
            <a:solidFill>
              <a:srgbClr val="0C769E"/>
            </a:solidFill>
          </a:endParaRPr>
        </a:p>
      </xdr:txBody>
    </xdr:sp>
    <xdr:clientData/>
  </xdr:twoCellAnchor>
  <xdr:twoCellAnchor>
    <xdr:from>
      <xdr:col>5</xdr:col>
      <xdr:colOff>212519</xdr:colOff>
      <xdr:row>14</xdr:row>
      <xdr:rowOff>18104</xdr:rowOff>
    </xdr:from>
    <xdr:to>
      <xdr:col>7</xdr:col>
      <xdr:colOff>505319</xdr:colOff>
      <xdr:row>16</xdr:row>
      <xdr:rowOff>183124</xdr:rowOff>
    </xdr:to>
    <xdr:sp macro="" textlink="'6.1.1.1-2 Crop residue N2O'!M24">
      <xdr:nvSpPr>
        <xdr:cNvPr id="12" name="TextBox 11">
          <a:hlinkClick xmlns:r="http://schemas.openxmlformats.org/officeDocument/2006/relationships" r:id="rId4"/>
          <a:extLst>
            <a:ext uri="{FF2B5EF4-FFF2-40B4-BE49-F238E27FC236}">
              <a16:creationId xmlns:a16="http://schemas.microsoft.com/office/drawing/2014/main" id="{2B6EBCC7-3864-4FB2-B0FA-05A04C1CC9DF}"/>
            </a:ext>
          </a:extLst>
        </xdr:cNvPr>
        <xdr:cNvSpPr txBox="1"/>
      </xdr:nvSpPr>
      <xdr:spPr>
        <a:xfrm>
          <a:off x="4108244" y="3618554"/>
          <a:ext cx="1512000" cy="660320"/>
        </a:xfrm>
        <a:prstGeom prst="rect">
          <a:avLst/>
        </a:prstGeom>
        <a:solidFill>
          <a:schemeClr val="lt1"/>
        </a:solidFill>
        <a:ln w="9525" cmpd="sng">
          <a:solidFill>
            <a:srgbClr val="0C769E"/>
          </a:solidFill>
          <a:prstDash val="dash"/>
          <a:extLst>
            <a:ext uri="{C807C97D-BFC1-408E-A445-0C87EB9F89A2}">
              <ask:lineSketchStyleProps xmlns:ask="http://schemas.microsoft.com/office/drawing/2018/sketchyshapes" sd="1219033472">
                <a:custGeom>
                  <a:avLst/>
                  <a:gdLst>
                    <a:gd name="csX0" fmla="*/ 0 w 1512000"/>
                    <a:gd name="csY0" fmla="*/ 0 h 660320"/>
                    <a:gd name="csX1" fmla="*/ 1512000 w 1512000"/>
                    <a:gd name="csY1" fmla="*/ 0 h 660320"/>
                    <a:gd name="csX2" fmla="*/ 1512000 w 1512000"/>
                    <a:gd name="csY2" fmla="*/ 660320 h 660320"/>
                    <a:gd name="csX3" fmla="*/ 0 w 1512000"/>
                    <a:gd name="csY3" fmla="*/ 660320 h 660320"/>
                    <a:gd name="csX4" fmla="*/ 0 w 1512000"/>
                    <a:gd name="csY4" fmla="*/ 0 h 660320"/>
                  </a:gdLst>
                  <a:ahLst/>
                  <a:cxnLst>
                    <a:cxn ang="0">
                      <a:pos x="csX0" y="csY0"/>
                    </a:cxn>
                    <a:cxn ang="0">
                      <a:pos x="csX1" y="csY1"/>
                    </a:cxn>
                    <a:cxn ang="0">
                      <a:pos x="csX2" y="csY2"/>
                    </a:cxn>
                    <a:cxn ang="0">
                      <a:pos x="csX3" y="csY3"/>
                    </a:cxn>
                    <a:cxn ang="0">
                      <a:pos x="csX4" y="csY4"/>
                    </a:cxn>
                  </a:cxnLst>
                  <a:rect l="l" t="t" r="r" b="b"/>
                  <a:pathLst>
                    <a:path w="1512000" h="660320" fill="none" extrusionOk="0">
                      <a:moveTo>
                        <a:pt x="0" y="0"/>
                      </a:moveTo>
                      <a:cubicBezTo>
                        <a:pt x="735012" y="-48253"/>
                        <a:pt x="915414" y="66151"/>
                        <a:pt x="1512000" y="0"/>
                      </a:cubicBezTo>
                      <a:cubicBezTo>
                        <a:pt x="1455180" y="212826"/>
                        <a:pt x="1478967" y="480100"/>
                        <a:pt x="1512000" y="660320"/>
                      </a:cubicBezTo>
                      <a:cubicBezTo>
                        <a:pt x="1082717" y="531929"/>
                        <a:pt x="551777" y="600135"/>
                        <a:pt x="0" y="660320"/>
                      </a:cubicBezTo>
                      <a:cubicBezTo>
                        <a:pt x="40189" y="566168"/>
                        <a:pt x="-7720" y="246070"/>
                        <a:pt x="0" y="0"/>
                      </a:cubicBezTo>
                      <a:close/>
                    </a:path>
                    <a:path w="1512000" h="660320" stroke="0" extrusionOk="0">
                      <a:moveTo>
                        <a:pt x="0" y="0"/>
                      </a:moveTo>
                      <a:cubicBezTo>
                        <a:pt x="179393" y="31125"/>
                        <a:pt x="886742" y="-53428"/>
                        <a:pt x="1512000" y="0"/>
                      </a:cubicBezTo>
                      <a:cubicBezTo>
                        <a:pt x="1489907" y="293155"/>
                        <a:pt x="1455842" y="478481"/>
                        <a:pt x="1512000" y="660320"/>
                      </a:cubicBezTo>
                      <a:cubicBezTo>
                        <a:pt x="926750" y="708840"/>
                        <a:pt x="543592" y="643764"/>
                        <a:pt x="0" y="660320"/>
                      </a:cubicBezTo>
                      <a:cubicBezTo>
                        <a:pt x="52058" y="452402"/>
                        <a:pt x="-25266" y="212204"/>
                        <a:pt x="0" y="0"/>
                      </a:cubicBezTo>
                      <a:close/>
                    </a:path>
                  </a:pathLst>
                </a:custGeom>
                <ask:type>
                  <ask:lineSketchNone/>
                </ask:type>
              </ask:lineSketchStyleProps>
            </a:ext>
          </a:extLst>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81898658-55FF-4CEA-BA46-AFAB02210E5A}" type="TxLink">
            <a:rPr lang="en-US" sz="1000" b="0" i="0" u="none" strike="noStrike">
              <a:solidFill>
                <a:srgbClr val="0C769E"/>
              </a:solidFill>
              <a:latin typeface="Times New Roman"/>
              <a:cs typeface="Times New Roman"/>
            </a:rPr>
            <a:pPr algn="ctr"/>
            <a:t>Fraction of crop residue that is removed for crop c</a:t>
          </a:fld>
          <a:endParaRPr lang="en-AU" sz="1000">
            <a:solidFill>
              <a:srgbClr val="0C769E"/>
            </a:solidFill>
          </a:endParaRPr>
        </a:p>
      </xdr:txBody>
    </xdr:sp>
    <xdr:clientData/>
  </xdr:twoCellAnchor>
  <xdr:oneCellAnchor>
    <xdr:from>
      <xdr:col>5</xdr:col>
      <xdr:colOff>404388</xdr:colOff>
      <xdr:row>9</xdr:row>
      <xdr:rowOff>139552</xdr:rowOff>
    </xdr:from>
    <xdr:ext cx="1176762" cy="298800"/>
    <xdr:sp macro="" textlink="">
      <xdr:nvSpPr>
        <xdr:cNvPr id="19" name="TextBox 18">
          <a:extLst>
            <a:ext uri="{FF2B5EF4-FFF2-40B4-BE49-F238E27FC236}">
              <a16:creationId xmlns:a16="http://schemas.microsoft.com/office/drawing/2014/main" id="{8172D5F1-E2B9-4BEE-814C-FEAD659767DA}"/>
            </a:ext>
          </a:extLst>
        </xdr:cNvPr>
        <xdr:cNvSpPr txBox="1"/>
      </xdr:nvSpPr>
      <xdr:spPr>
        <a:xfrm>
          <a:off x="4300113" y="2501752"/>
          <a:ext cx="1176762" cy="2988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AU" sz="1400" b="0">
              <a:solidFill>
                <a:srgbClr val="0C769E"/>
              </a:solidFill>
            </a:rPr>
            <a:t>Method 2</a:t>
          </a:r>
        </a:p>
      </xdr:txBody>
    </xdr:sp>
    <xdr:clientData/>
  </xdr:oneCellAnchor>
  <xdr:oneCellAnchor>
    <xdr:from>
      <xdr:col>8</xdr:col>
      <xdr:colOff>425587</xdr:colOff>
      <xdr:row>7</xdr:row>
      <xdr:rowOff>3136</xdr:rowOff>
    </xdr:from>
    <xdr:ext cx="1946138" cy="505267"/>
    <xdr:sp macro="" textlink="">
      <xdr:nvSpPr>
        <xdr:cNvPr id="20" name="TextBox 19">
          <a:extLst>
            <a:ext uri="{FF2B5EF4-FFF2-40B4-BE49-F238E27FC236}">
              <a16:creationId xmlns:a16="http://schemas.microsoft.com/office/drawing/2014/main" id="{DA4E5EA5-612F-426E-B031-90710B6309E4}"/>
            </a:ext>
          </a:extLst>
        </xdr:cNvPr>
        <xdr:cNvSpPr txBox="1"/>
      </xdr:nvSpPr>
      <xdr:spPr>
        <a:xfrm>
          <a:off x="6150112" y="1870036"/>
          <a:ext cx="1946138" cy="50526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AU" sz="1400" b="0">
              <a:solidFill>
                <a:schemeClr val="accent5">
                  <a:lumMod val="75000"/>
                </a:schemeClr>
              </a:solidFill>
            </a:rPr>
            <a:t>6.2.1.1-2 </a:t>
          </a:r>
          <a:br>
            <a:rPr lang="en-AU" sz="1400" b="0">
              <a:solidFill>
                <a:schemeClr val="accent5">
                  <a:lumMod val="75000"/>
                </a:schemeClr>
              </a:solidFill>
            </a:rPr>
          </a:br>
          <a:r>
            <a:rPr lang="en-AU" sz="1400" b="0">
              <a:solidFill>
                <a:schemeClr val="accent5">
                  <a:lumMod val="75000"/>
                </a:schemeClr>
              </a:solidFill>
            </a:rPr>
            <a:t>Pasture</a:t>
          </a:r>
          <a:r>
            <a:rPr lang="en-AU" sz="1400" b="0" baseline="0">
              <a:solidFill>
                <a:schemeClr val="accent5">
                  <a:lumMod val="75000"/>
                </a:schemeClr>
              </a:solidFill>
            </a:rPr>
            <a:t> residue N2O</a:t>
          </a:r>
          <a:endParaRPr lang="en-AU" sz="1400" b="0">
            <a:solidFill>
              <a:schemeClr val="accent5">
                <a:lumMod val="75000"/>
              </a:schemeClr>
            </a:solidFill>
          </a:endParaRPr>
        </a:p>
      </xdr:txBody>
    </xdr:sp>
    <xdr:clientData/>
  </xdr:oneCellAnchor>
  <xdr:twoCellAnchor>
    <xdr:from>
      <xdr:col>8</xdr:col>
      <xdr:colOff>604405</xdr:colOff>
      <xdr:row>9</xdr:row>
      <xdr:rowOff>113433</xdr:rowOff>
    </xdr:from>
    <xdr:to>
      <xdr:col>11</xdr:col>
      <xdr:colOff>287605</xdr:colOff>
      <xdr:row>12</xdr:row>
      <xdr:rowOff>90483</xdr:rowOff>
    </xdr:to>
    <xdr:sp macro="" textlink="'6.2.1.1-2 Pasture residue N2O'!D5">
      <xdr:nvSpPr>
        <xdr:cNvPr id="21" name="TextBox 20">
          <a:hlinkClick xmlns:r="http://schemas.openxmlformats.org/officeDocument/2006/relationships" r:id="rId5"/>
          <a:extLst>
            <a:ext uri="{FF2B5EF4-FFF2-40B4-BE49-F238E27FC236}">
              <a16:creationId xmlns:a16="http://schemas.microsoft.com/office/drawing/2014/main" id="{8C71CDED-7203-4C08-A42F-C497846ACCAF}"/>
            </a:ext>
          </a:extLst>
        </xdr:cNvPr>
        <xdr:cNvSpPr txBox="1"/>
      </xdr:nvSpPr>
      <xdr:spPr>
        <a:xfrm>
          <a:off x="6328930" y="2475633"/>
          <a:ext cx="1512000" cy="720000"/>
        </a:xfrm>
        <a:prstGeom prst="rect">
          <a:avLst/>
        </a:prstGeom>
        <a:solidFill>
          <a:schemeClr val="lt1"/>
        </a:solidFill>
        <a:ln w="9525" cmpd="sng">
          <a:solidFill>
            <a:schemeClr val="accent5">
              <a:lumMod val="7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978D72C6-034D-43A6-BC4D-ED6DBD8D8AD9}" type="TxLink">
            <a:rPr lang="en-US" sz="1000" b="0" i="0" u="none" strike="noStrike">
              <a:solidFill>
                <a:schemeClr val="accent5">
                  <a:lumMod val="75000"/>
                </a:schemeClr>
              </a:solidFill>
              <a:latin typeface="Times New Roman"/>
              <a:cs typeface="Times New Roman"/>
            </a:rPr>
            <a:pPr algn="ctr"/>
            <a:t>Mass of nitrogen in pasture residues returned to the soil</a:t>
          </a:fld>
          <a:endParaRPr lang="en-AU" sz="1000">
            <a:solidFill>
              <a:schemeClr val="accent5">
                <a:lumMod val="75000"/>
              </a:schemeClr>
            </a:solidFill>
          </a:endParaRPr>
        </a:p>
      </xdr:txBody>
    </xdr:sp>
    <xdr:clientData/>
  </xdr:twoCellAnchor>
  <xdr:twoCellAnchor>
    <xdr:from>
      <xdr:col>8</xdr:col>
      <xdr:colOff>604405</xdr:colOff>
      <xdr:row>27</xdr:row>
      <xdr:rowOff>245546</xdr:rowOff>
    </xdr:from>
    <xdr:to>
      <xdr:col>11</xdr:col>
      <xdr:colOff>287605</xdr:colOff>
      <xdr:row>32</xdr:row>
      <xdr:rowOff>87296</xdr:rowOff>
    </xdr:to>
    <xdr:sp macro="" textlink="'6.2.1.1-2 Pasture residue N2O'!D25">
      <xdr:nvSpPr>
        <xdr:cNvPr id="22" name="TextBox 21">
          <a:hlinkClick xmlns:r="http://schemas.openxmlformats.org/officeDocument/2006/relationships" r:id="rId6"/>
          <a:extLst>
            <a:ext uri="{FF2B5EF4-FFF2-40B4-BE49-F238E27FC236}">
              <a16:creationId xmlns:a16="http://schemas.microsoft.com/office/drawing/2014/main" id="{7F32EBC4-93BF-46D3-9370-FCED2B7ACD11}"/>
            </a:ext>
          </a:extLst>
        </xdr:cNvPr>
        <xdr:cNvSpPr txBox="1"/>
      </xdr:nvSpPr>
      <xdr:spPr>
        <a:xfrm>
          <a:off x="6328930" y="7065446"/>
          <a:ext cx="1512000" cy="1080000"/>
        </a:xfrm>
        <a:prstGeom prst="rect">
          <a:avLst/>
        </a:prstGeom>
        <a:solidFill>
          <a:schemeClr val="lt1"/>
        </a:solidFill>
        <a:ln w="9525" cmpd="sng">
          <a:solidFill>
            <a:schemeClr val="accent5">
              <a:lumMod val="7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3337A85A-DCD3-4A55-B19B-4B30DFFCEFEC}" type="TxLink">
            <a:rPr lang="en-US" sz="1000" b="1" i="0" u="none" strike="noStrike">
              <a:solidFill>
                <a:schemeClr val="accent5">
                  <a:lumMod val="75000"/>
                </a:schemeClr>
              </a:solidFill>
              <a:latin typeface="Times New Roman"/>
              <a:cs typeface="Times New Roman"/>
            </a:rPr>
            <a:pPr algn="ctr"/>
            <a:t>Nitrous oxide emissions from the return of pasture residues from all pasture types to the soil</a:t>
          </a:fld>
          <a:endParaRPr lang="en-AU" sz="1000" b="1">
            <a:solidFill>
              <a:schemeClr val="accent5">
                <a:lumMod val="75000"/>
              </a:schemeClr>
            </a:solidFill>
          </a:endParaRPr>
        </a:p>
      </xdr:txBody>
    </xdr:sp>
    <xdr:clientData/>
  </xdr:twoCellAnchor>
  <xdr:twoCellAnchor>
    <xdr:from>
      <xdr:col>10</xdr:col>
      <xdr:colOff>134856</xdr:colOff>
      <xdr:row>12</xdr:row>
      <xdr:rowOff>96832</xdr:rowOff>
    </xdr:from>
    <xdr:to>
      <xdr:col>10</xdr:col>
      <xdr:colOff>147556</xdr:colOff>
      <xdr:row>28</xdr:row>
      <xdr:rowOff>4245</xdr:rowOff>
    </xdr:to>
    <xdr:cxnSp macro="">
      <xdr:nvCxnSpPr>
        <xdr:cNvPr id="24" name="Connector: Curved 23">
          <a:extLst>
            <a:ext uri="{FF2B5EF4-FFF2-40B4-BE49-F238E27FC236}">
              <a16:creationId xmlns:a16="http://schemas.microsoft.com/office/drawing/2014/main" id="{199478BA-C51D-BEC4-9D3F-93A38B70BC24}"/>
            </a:ext>
          </a:extLst>
        </xdr:cNvPr>
        <xdr:cNvCxnSpPr>
          <a:stCxn id="21" idx="2"/>
          <a:endCxn id="22" idx="0"/>
        </xdr:cNvCxnSpPr>
      </xdr:nvCxnSpPr>
      <xdr:spPr>
        <a:xfrm rot="5400000">
          <a:off x="5150024" y="5130539"/>
          <a:ext cx="3869813" cy="12700"/>
        </a:xfrm>
        <a:prstGeom prst="curvedConnector3">
          <a:avLst/>
        </a:prstGeom>
        <a:ln>
          <a:solidFill>
            <a:schemeClr val="accent5">
              <a:lumMod val="75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oneCellAnchor>
    <xdr:from>
      <xdr:col>12</xdr:col>
      <xdr:colOff>504825</xdr:colOff>
      <xdr:row>7</xdr:row>
      <xdr:rowOff>3136</xdr:rowOff>
    </xdr:from>
    <xdr:ext cx="1838325" cy="505267"/>
    <xdr:sp macro="" textlink="">
      <xdr:nvSpPr>
        <xdr:cNvPr id="25" name="TextBox 24">
          <a:extLst>
            <a:ext uri="{FF2B5EF4-FFF2-40B4-BE49-F238E27FC236}">
              <a16:creationId xmlns:a16="http://schemas.microsoft.com/office/drawing/2014/main" id="{EF860977-62C6-4D63-9AC5-1A5FE9C294E6}"/>
            </a:ext>
          </a:extLst>
        </xdr:cNvPr>
        <xdr:cNvSpPr txBox="1"/>
      </xdr:nvSpPr>
      <xdr:spPr>
        <a:xfrm>
          <a:off x="8667750" y="1870036"/>
          <a:ext cx="1838325" cy="50526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AU" sz="1400" b="0">
              <a:solidFill>
                <a:srgbClr val="7030A0"/>
              </a:solidFill>
            </a:rPr>
            <a:t>6.3.1.1-2 </a:t>
          </a:r>
          <a:br>
            <a:rPr lang="en-AU" sz="1400" b="0">
              <a:solidFill>
                <a:srgbClr val="7030A0"/>
              </a:solidFill>
            </a:rPr>
          </a:br>
          <a:r>
            <a:rPr lang="en-AU" sz="1400" b="0">
              <a:solidFill>
                <a:srgbClr val="7030A0"/>
              </a:solidFill>
            </a:rPr>
            <a:t>Leaching and runoff</a:t>
          </a:r>
        </a:p>
      </xdr:txBody>
    </xdr:sp>
    <xdr:clientData/>
  </xdr:oneCellAnchor>
  <xdr:twoCellAnchor>
    <xdr:from>
      <xdr:col>13</xdr:col>
      <xdr:colOff>71004</xdr:colOff>
      <xdr:row>23</xdr:row>
      <xdr:rowOff>122958</xdr:rowOff>
    </xdr:from>
    <xdr:to>
      <xdr:col>15</xdr:col>
      <xdr:colOff>363804</xdr:colOff>
      <xdr:row>26</xdr:row>
      <xdr:rowOff>100008</xdr:rowOff>
    </xdr:to>
    <xdr:sp macro="" textlink="'6.3.1.1-2 Leaching and runoff'!D5">
      <xdr:nvSpPr>
        <xdr:cNvPr id="26" name="TextBox 25">
          <a:hlinkClick xmlns:r="http://schemas.openxmlformats.org/officeDocument/2006/relationships" r:id="rId7"/>
          <a:extLst>
            <a:ext uri="{FF2B5EF4-FFF2-40B4-BE49-F238E27FC236}">
              <a16:creationId xmlns:a16="http://schemas.microsoft.com/office/drawing/2014/main" id="{DBEED495-A986-4806-A242-51BB4242F564}"/>
            </a:ext>
          </a:extLst>
        </xdr:cNvPr>
        <xdr:cNvSpPr txBox="1"/>
      </xdr:nvSpPr>
      <xdr:spPr>
        <a:xfrm>
          <a:off x="8843529" y="5952258"/>
          <a:ext cx="1512000" cy="720000"/>
        </a:xfrm>
        <a:prstGeom prst="rect">
          <a:avLst/>
        </a:prstGeom>
        <a:solidFill>
          <a:schemeClr val="lt1"/>
        </a:solidFill>
        <a:ln w="9525" cmpd="sng">
          <a:solidFill>
            <a:srgbClr val="7030A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A5DD3B76-7745-47A2-8A6A-9C455BAAC583}" type="TxLink">
            <a:rPr lang="en-US" sz="1000" b="0" i="0" u="none" strike="noStrike">
              <a:solidFill>
                <a:srgbClr val="7030A0"/>
              </a:solidFill>
              <a:latin typeface="Times New Roman"/>
              <a:cs typeface="Times New Roman"/>
            </a:rPr>
            <a:pPr algn="ctr"/>
            <a:t>Mass of nitrogen lost through leaching and runoff</a:t>
          </a:fld>
          <a:endParaRPr lang="en-AU" sz="1000">
            <a:solidFill>
              <a:srgbClr val="7030A0"/>
            </a:solidFill>
          </a:endParaRPr>
        </a:p>
      </xdr:txBody>
    </xdr:sp>
    <xdr:clientData/>
  </xdr:twoCellAnchor>
  <xdr:twoCellAnchor>
    <xdr:from>
      <xdr:col>13</xdr:col>
      <xdr:colOff>71005</xdr:colOff>
      <xdr:row>27</xdr:row>
      <xdr:rowOff>236021</xdr:rowOff>
    </xdr:from>
    <xdr:to>
      <xdr:col>15</xdr:col>
      <xdr:colOff>363805</xdr:colOff>
      <xdr:row>32</xdr:row>
      <xdr:rowOff>77771</xdr:rowOff>
    </xdr:to>
    <xdr:sp macro="" textlink="'6.3.1.1-2 Leaching and runoff'!D28">
      <xdr:nvSpPr>
        <xdr:cNvPr id="27" name="TextBox 26">
          <a:hlinkClick xmlns:r="http://schemas.openxmlformats.org/officeDocument/2006/relationships" r:id="rId8"/>
          <a:extLst>
            <a:ext uri="{FF2B5EF4-FFF2-40B4-BE49-F238E27FC236}">
              <a16:creationId xmlns:a16="http://schemas.microsoft.com/office/drawing/2014/main" id="{8CEAD9A6-E131-42B7-B4B1-243C02C15E43}"/>
            </a:ext>
          </a:extLst>
        </xdr:cNvPr>
        <xdr:cNvSpPr txBox="1"/>
      </xdr:nvSpPr>
      <xdr:spPr>
        <a:xfrm>
          <a:off x="8843530" y="7055921"/>
          <a:ext cx="1512000" cy="1080000"/>
        </a:xfrm>
        <a:prstGeom prst="rect">
          <a:avLst/>
        </a:prstGeom>
        <a:solidFill>
          <a:schemeClr val="lt1"/>
        </a:solidFill>
        <a:ln w="9525" cmpd="sng">
          <a:solidFill>
            <a:srgbClr val="7030A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A522ECB4-5552-4D48-9A15-1E47087F67BD}" type="TxLink">
            <a:rPr lang="en-US" sz="1000" b="1" i="0" u="none" strike="noStrike">
              <a:solidFill>
                <a:srgbClr val="7030A0"/>
              </a:solidFill>
              <a:latin typeface="Times New Roman"/>
              <a:cs typeface="Times New Roman"/>
            </a:rPr>
            <a:pPr algn="ctr"/>
            <a:t>Nitrous oxide leaching and runoff emissions from crop and pasture residues returned to the soil</a:t>
          </a:fld>
          <a:endParaRPr lang="en-AU" sz="1000" b="1">
            <a:solidFill>
              <a:srgbClr val="7030A0"/>
            </a:solidFill>
          </a:endParaRPr>
        </a:p>
      </xdr:txBody>
    </xdr:sp>
    <xdr:clientData/>
  </xdr:twoCellAnchor>
  <xdr:twoCellAnchor>
    <xdr:from>
      <xdr:col>14</xdr:col>
      <xdr:colOff>217404</xdr:colOff>
      <xdr:row>26</xdr:row>
      <xdr:rowOff>100007</xdr:rowOff>
    </xdr:from>
    <xdr:to>
      <xdr:col>14</xdr:col>
      <xdr:colOff>217405</xdr:colOff>
      <xdr:row>27</xdr:row>
      <xdr:rowOff>236020</xdr:rowOff>
    </xdr:to>
    <xdr:cxnSp macro="">
      <xdr:nvCxnSpPr>
        <xdr:cNvPr id="29" name="Connector: Curved 28">
          <a:extLst>
            <a:ext uri="{FF2B5EF4-FFF2-40B4-BE49-F238E27FC236}">
              <a16:creationId xmlns:a16="http://schemas.microsoft.com/office/drawing/2014/main" id="{6511DD27-FCA3-7FA6-0753-7D5573A4B412}"/>
            </a:ext>
          </a:extLst>
        </xdr:cNvPr>
        <xdr:cNvCxnSpPr>
          <a:stCxn id="26" idx="2"/>
          <a:endCxn id="27" idx="0"/>
        </xdr:cNvCxnSpPr>
      </xdr:nvCxnSpPr>
      <xdr:spPr>
        <a:xfrm rot="16200000" flipH="1">
          <a:off x="9407698" y="6864088"/>
          <a:ext cx="383663" cy="1"/>
        </a:xfrm>
        <a:prstGeom prst="curvedConnector3">
          <a:avLst/>
        </a:prstGeom>
        <a:ln>
          <a:solidFill>
            <a:srgbClr val="7030A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oneCellAnchor>
    <xdr:from>
      <xdr:col>17</xdr:col>
      <xdr:colOff>390526</xdr:colOff>
      <xdr:row>7</xdr:row>
      <xdr:rowOff>3136</xdr:rowOff>
    </xdr:from>
    <xdr:ext cx="1590674" cy="505267"/>
    <xdr:sp macro="" textlink="">
      <xdr:nvSpPr>
        <xdr:cNvPr id="30" name="TextBox 29">
          <a:extLst>
            <a:ext uri="{FF2B5EF4-FFF2-40B4-BE49-F238E27FC236}">
              <a16:creationId xmlns:a16="http://schemas.microsoft.com/office/drawing/2014/main" id="{A24E5003-8BBF-40E6-9CB0-135331489D59}"/>
            </a:ext>
          </a:extLst>
        </xdr:cNvPr>
        <xdr:cNvSpPr txBox="1"/>
      </xdr:nvSpPr>
      <xdr:spPr>
        <a:xfrm>
          <a:off x="11601451" y="1870036"/>
          <a:ext cx="1590674" cy="50526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AU" sz="1400" b="0">
              <a:solidFill>
                <a:srgbClr val="C44340"/>
              </a:solidFill>
            </a:rPr>
            <a:t>6.4.1.1-2 </a:t>
          </a:r>
          <a:br>
            <a:rPr lang="en-AU" sz="1400" b="0">
              <a:solidFill>
                <a:srgbClr val="C44340"/>
              </a:solidFill>
            </a:rPr>
          </a:br>
          <a:r>
            <a:rPr lang="en-AU" sz="1400" b="0">
              <a:solidFill>
                <a:srgbClr val="C44340"/>
              </a:solidFill>
            </a:rPr>
            <a:t>Residue burning</a:t>
          </a:r>
        </a:p>
      </xdr:txBody>
    </xdr:sp>
    <xdr:clientData/>
  </xdr:oneCellAnchor>
  <xdr:twoCellAnchor>
    <xdr:from>
      <xdr:col>17</xdr:col>
      <xdr:colOff>424792</xdr:colOff>
      <xdr:row>9</xdr:row>
      <xdr:rowOff>94383</xdr:rowOff>
    </xdr:from>
    <xdr:to>
      <xdr:col>20</xdr:col>
      <xdr:colOff>107992</xdr:colOff>
      <xdr:row>12</xdr:row>
      <xdr:rowOff>71433</xdr:rowOff>
    </xdr:to>
    <xdr:sp macro="" textlink="'6.4.1.1-2 Residue burning'!D5">
      <xdr:nvSpPr>
        <xdr:cNvPr id="31" name="TextBox 30">
          <a:hlinkClick xmlns:r="http://schemas.openxmlformats.org/officeDocument/2006/relationships" r:id="rId9"/>
          <a:extLst>
            <a:ext uri="{FF2B5EF4-FFF2-40B4-BE49-F238E27FC236}">
              <a16:creationId xmlns:a16="http://schemas.microsoft.com/office/drawing/2014/main" id="{B5CF1D1D-0430-4BEE-94E5-D4D9B7088BE2}"/>
            </a:ext>
          </a:extLst>
        </xdr:cNvPr>
        <xdr:cNvSpPr txBox="1"/>
      </xdr:nvSpPr>
      <xdr:spPr>
        <a:xfrm>
          <a:off x="11635717" y="2456583"/>
          <a:ext cx="1512000" cy="720000"/>
        </a:xfrm>
        <a:prstGeom prst="rect">
          <a:avLst/>
        </a:prstGeom>
        <a:solidFill>
          <a:schemeClr val="lt1"/>
        </a:solidFill>
        <a:ln w="9525" cmpd="sng">
          <a:solidFill>
            <a:srgbClr val="C4434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2E42A1A8-2A3C-4DBD-AD3F-9F5B046B1CD5}" type="TxLink">
            <a:rPr lang="en-US" sz="1000" b="0" i="0" u="none" strike="noStrike">
              <a:solidFill>
                <a:srgbClr val="C00000"/>
              </a:solidFill>
              <a:latin typeface="Times New Roman"/>
              <a:cs typeface="Times New Roman"/>
            </a:rPr>
            <a:pPr algn="ctr"/>
            <a:t>Mass of residue of crop c burnt</a:t>
          </a:fld>
          <a:endParaRPr lang="en-AU" sz="1000" b="1">
            <a:solidFill>
              <a:srgbClr val="C00000"/>
            </a:solidFill>
          </a:endParaRPr>
        </a:p>
      </xdr:txBody>
    </xdr:sp>
    <xdr:clientData/>
  </xdr:twoCellAnchor>
  <xdr:twoCellAnchor>
    <xdr:from>
      <xdr:col>16</xdr:col>
      <xdr:colOff>423430</xdr:colOff>
      <xdr:row>27</xdr:row>
      <xdr:rowOff>236021</xdr:rowOff>
    </xdr:from>
    <xdr:to>
      <xdr:col>19</xdr:col>
      <xdr:colOff>106630</xdr:colOff>
      <xdr:row>32</xdr:row>
      <xdr:rowOff>77771</xdr:rowOff>
    </xdr:to>
    <xdr:sp macro="" textlink="'6.4.1.1-2 Residue burning'!D25">
      <xdr:nvSpPr>
        <xdr:cNvPr id="9" name="TextBox 8">
          <a:hlinkClick xmlns:r="http://schemas.openxmlformats.org/officeDocument/2006/relationships" r:id="rId10"/>
          <a:extLst>
            <a:ext uri="{FF2B5EF4-FFF2-40B4-BE49-F238E27FC236}">
              <a16:creationId xmlns:a16="http://schemas.microsoft.com/office/drawing/2014/main" id="{E2D7A35D-5983-462E-9E84-1DD45E71FD24}"/>
            </a:ext>
          </a:extLst>
        </xdr:cNvPr>
        <xdr:cNvSpPr txBox="1"/>
      </xdr:nvSpPr>
      <xdr:spPr>
        <a:xfrm>
          <a:off x="11024755" y="7055921"/>
          <a:ext cx="1512000" cy="1080000"/>
        </a:xfrm>
        <a:prstGeom prst="rect">
          <a:avLst/>
        </a:prstGeom>
        <a:solidFill>
          <a:schemeClr val="lt1"/>
        </a:solidFill>
        <a:ln w="9525" cmpd="sng">
          <a:solidFill>
            <a:srgbClr val="C0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261EFC4B-FCD2-47CD-B816-D94744160E77}" type="TxLink">
            <a:rPr lang="en-US" sz="1000" b="1" i="0" u="none" strike="noStrike">
              <a:solidFill>
                <a:srgbClr val="C00000"/>
              </a:solidFill>
              <a:latin typeface="Times New Roman"/>
              <a:cs typeface="Times New Roman"/>
            </a:rPr>
            <a:pPr algn="ctr"/>
            <a:t>Nitrous oxide emissions from the burning of crop residues</a:t>
          </a:fld>
          <a:endParaRPr lang="en-AU" sz="1000" b="1">
            <a:solidFill>
              <a:srgbClr val="C00000"/>
            </a:solidFill>
          </a:endParaRPr>
        </a:p>
      </xdr:txBody>
    </xdr:sp>
    <xdr:clientData/>
  </xdr:twoCellAnchor>
  <xdr:twoCellAnchor>
    <xdr:from>
      <xdr:col>19</xdr:col>
      <xdr:colOff>271030</xdr:colOff>
      <xdr:row>27</xdr:row>
      <xdr:rowOff>236021</xdr:rowOff>
    </xdr:from>
    <xdr:to>
      <xdr:col>21</xdr:col>
      <xdr:colOff>563830</xdr:colOff>
      <xdr:row>32</xdr:row>
      <xdr:rowOff>77771</xdr:rowOff>
    </xdr:to>
    <xdr:sp macro="" textlink="'6.4.1.1-2 Residue burning'!D48">
      <xdr:nvSpPr>
        <xdr:cNvPr id="11" name="TextBox 10">
          <a:hlinkClick xmlns:r="http://schemas.openxmlformats.org/officeDocument/2006/relationships" r:id="rId11"/>
          <a:extLst>
            <a:ext uri="{FF2B5EF4-FFF2-40B4-BE49-F238E27FC236}">
              <a16:creationId xmlns:a16="http://schemas.microsoft.com/office/drawing/2014/main" id="{E67335F8-C5A7-4B82-B51E-9764E59BA89A}"/>
            </a:ext>
          </a:extLst>
        </xdr:cNvPr>
        <xdr:cNvSpPr txBox="1"/>
      </xdr:nvSpPr>
      <xdr:spPr>
        <a:xfrm>
          <a:off x="12701155" y="7055921"/>
          <a:ext cx="1512000" cy="1080000"/>
        </a:xfrm>
        <a:prstGeom prst="rect">
          <a:avLst/>
        </a:prstGeom>
        <a:solidFill>
          <a:schemeClr val="lt1"/>
        </a:solidFill>
        <a:ln w="9525" cmpd="sng">
          <a:solidFill>
            <a:srgbClr val="C0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876AD2B7-57B9-4EB1-9726-F2BB398BB068}" type="TxLink">
            <a:rPr lang="en-US" sz="1000" b="1" i="0" u="none" strike="noStrike">
              <a:solidFill>
                <a:srgbClr val="C00000"/>
              </a:solidFill>
              <a:latin typeface="Times New Roman"/>
              <a:cs typeface="Times New Roman"/>
            </a:rPr>
            <a:pPr algn="ctr"/>
            <a:t>Methane emissions from the burning of crop residues</a:t>
          </a:fld>
          <a:endParaRPr lang="en-AU" sz="1000" b="1">
            <a:solidFill>
              <a:srgbClr val="C00000"/>
            </a:solidFill>
          </a:endParaRPr>
        </a:p>
      </xdr:txBody>
    </xdr:sp>
    <xdr:clientData/>
  </xdr:twoCellAnchor>
  <xdr:twoCellAnchor>
    <xdr:from>
      <xdr:col>6</xdr:col>
      <xdr:colOff>352569</xdr:colOff>
      <xdr:row>13</xdr:row>
      <xdr:rowOff>100950</xdr:rowOff>
    </xdr:from>
    <xdr:to>
      <xdr:col>6</xdr:col>
      <xdr:colOff>365269</xdr:colOff>
      <xdr:row>14</xdr:row>
      <xdr:rowOff>24454</xdr:rowOff>
    </xdr:to>
    <xdr:cxnSp macro="">
      <xdr:nvCxnSpPr>
        <xdr:cNvPr id="15" name="Connector: Curved 14">
          <a:extLst>
            <a:ext uri="{FF2B5EF4-FFF2-40B4-BE49-F238E27FC236}">
              <a16:creationId xmlns:a16="http://schemas.microsoft.com/office/drawing/2014/main" id="{A1AB2F3D-3B64-8201-90B1-43DD7D3A21D9}"/>
            </a:ext>
          </a:extLst>
        </xdr:cNvPr>
        <xdr:cNvCxnSpPr>
          <a:stCxn id="10" idx="2"/>
          <a:endCxn id="12" idx="0"/>
        </xdr:cNvCxnSpPr>
      </xdr:nvCxnSpPr>
      <xdr:spPr>
        <a:xfrm rot="5400000">
          <a:off x="4778667" y="3532977"/>
          <a:ext cx="171154" cy="12700"/>
        </a:xfrm>
        <a:prstGeom prst="curvedConnector3">
          <a:avLst>
            <a:gd name="adj1" fmla="val 50000"/>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4</xdr:col>
      <xdr:colOff>257236</xdr:colOff>
      <xdr:row>16</xdr:row>
      <xdr:rowOff>183123</xdr:rowOff>
    </xdr:from>
    <xdr:to>
      <xdr:col>6</xdr:col>
      <xdr:colOff>358920</xdr:colOff>
      <xdr:row>18</xdr:row>
      <xdr:rowOff>13854</xdr:rowOff>
    </xdr:to>
    <xdr:cxnSp macro="">
      <xdr:nvCxnSpPr>
        <xdr:cNvPr id="23" name="Connector: Curved 22">
          <a:extLst>
            <a:ext uri="{FF2B5EF4-FFF2-40B4-BE49-F238E27FC236}">
              <a16:creationId xmlns:a16="http://schemas.microsoft.com/office/drawing/2014/main" id="{4E5A1D22-7D48-3A65-7E21-61760AB44463}"/>
            </a:ext>
          </a:extLst>
        </xdr:cNvPr>
        <xdr:cNvCxnSpPr>
          <a:stCxn id="12" idx="2"/>
          <a:endCxn id="5" idx="0"/>
        </xdr:cNvCxnSpPr>
      </xdr:nvCxnSpPr>
      <xdr:spPr>
        <a:xfrm rot="5400000">
          <a:off x="4040787" y="3781447"/>
          <a:ext cx="326031" cy="1320884"/>
        </a:xfrm>
        <a:prstGeom prst="curvedConnector3">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4</xdr:col>
      <xdr:colOff>250885</xdr:colOff>
      <xdr:row>20</xdr:row>
      <xdr:rowOff>244905</xdr:rowOff>
    </xdr:from>
    <xdr:to>
      <xdr:col>4</xdr:col>
      <xdr:colOff>263585</xdr:colOff>
      <xdr:row>28</xdr:row>
      <xdr:rowOff>13771</xdr:rowOff>
    </xdr:to>
    <xdr:cxnSp macro="">
      <xdr:nvCxnSpPr>
        <xdr:cNvPr id="34" name="Connector: Curved 33">
          <a:extLst>
            <a:ext uri="{FF2B5EF4-FFF2-40B4-BE49-F238E27FC236}">
              <a16:creationId xmlns:a16="http://schemas.microsoft.com/office/drawing/2014/main" id="{DC594EE4-C581-961D-8C60-672FC7C9C76E}"/>
            </a:ext>
          </a:extLst>
        </xdr:cNvPr>
        <xdr:cNvCxnSpPr>
          <a:stCxn id="5" idx="2"/>
          <a:endCxn id="6" idx="0"/>
        </xdr:cNvCxnSpPr>
      </xdr:nvCxnSpPr>
      <xdr:spPr>
        <a:xfrm rot="5400000">
          <a:off x="2668327" y="6199938"/>
          <a:ext cx="1750066" cy="12700"/>
        </a:xfrm>
        <a:prstGeom prst="curvedConnector3">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4</xdr:col>
      <xdr:colOff>257235</xdr:colOff>
      <xdr:row>20</xdr:row>
      <xdr:rowOff>238554</xdr:rowOff>
    </xdr:from>
    <xdr:to>
      <xdr:col>14</xdr:col>
      <xdr:colOff>217404</xdr:colOff>
      <xdr:row>23</xdr:row>
      <xdr:rowOff>122957</xdr:rowOff>
    </xdr:to>
    <xdr:cxnSp macro="">
      <xdr:nvCxnSpPr>
        <xdr:cNvPr id="38" name="Connector: Curved 37">
          <a:extLst>
            <a:ext uri="{FF2B5EF4-FFF2-40B4-BE49-F238E27FC236}">
              <a16:creationId xmlns:a16="http://schemas.microsoft.com/office/drawing/2014/main" id="{5EA60C04-25B3-630C-14E4-3BFF4C1F8F59}"/>
            </a:ext>
          </a:extLst>
        </xdr:cNvPr>
        <xdr:cNvCxnSpPr>
          <a:stCxn id="5" idx="2"/>
          <a:endCxn id="26" idx="0"/>
        </xdr:cNvCxnSpPr>
      </xdr:nvCxnSpPr>
      <xdr:spPr>
        <a:xfrm rot="16200000" flipH="1">
          <a:off x="6257768" y="2610496"/>
          <a:ext cx="627353" cy="6056169"/>
        </a:xfrm>
        <a:prstGeom prst="curvedConnector3">
          <a:avLst>
            <a:gd name="adj1" fmla="val 50000"/>
          </a:avLst>
        </a:prstGeom>
        <a:ln>
          <a:solidFill>
            <a:srgbClr val="7030A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10</xdr:col>
      <xdr:colOff>141205</xdr:colOff>
      <xdr:row>12</xdr:row>
      <xdr:rowOff>90482</xdr:rowOff>
    </xdr:from>
    <xdr:to>
      <xdr:col>14</xdr:col>
      <xdr:colOff>217404</xdr:colOff>
      <xdr:row>23</xdr:row>
      <xdr:rowOff>122957</xdr:rowOff>
    </xdr:to>
    <xdr:cxnSp macro="">
      <xdr:nvCxnSpPr>
        <xdr:cNvPr id="51" name="Connector: Curved 50">
          <a:extLst>
            <a:ext uri="{FF2B5EF4-FFF2-40B4-BE49-F238E27FC236}">
              <a16:creationId xmlns:a16="http://schemas.microsoft.com/office/drawing/2014/main" id="{29656220-1623-68CD-E3AC-28B599DD10A5}"/>
            </a:ext>
          </a:extLst>
        </xdr:cNvPr>
        <xdr:cNvCxnSpPr>
          <a:stCxn id="21" idx="2"/>
          <a:endCxn id="26" idx="0"/>
        </xdr:cNvCxnSpPr>
      </xdr:nvCxnSpPr>
      <xdr:spPr>
        <a:xfrm rot="16200000" flipH="1">
          <a:off x="6963917" y="3316645"/>
          <a:ext cx="2756625" cy="2514599"/>
        </a:xfrm>
        <a:prstGeom prst="curvedConnector3">
          <a:avLst/>
        </a:prstGeom>
        <a:ln>
          <a:solidFill>
            <a:srgbClr val="7030A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17</xdr:col>
      <xdr:colOff>569830</xdr:colOff>
      <xdr:row>12</xdr:row>
      <xdr:rowOff>71433</xdr:rowOff>
    </xdr:from>
    <xdr:to>
      <xdr:col>18</xdr:col>
      <xdr:colOff>571192</xdr:colOff>
      <xdr:row>27</xdr:row>
      <xdr:rowOff>236021</xdr:rowOff>
    </xdr:to>
    <xdr:cxnSp macro="">
      <xdr:nvCxnSpPr>
        <xdr:cNvPr id="60" name="Connector: Curved 59">
          <a:extLst>
            <a:ext uri="{FF2B5EF4-FFF2-40B4-BE49-F238E27FC236}">
              <a16:creationId xmlns:a16="http://schemas.microsoft.com/office/drawing/2014/main" id="{02E48B0B-1811-62DF-A16A-AF6EEE8BCBC7}"/>
            </a:ext>
          </a:extLst>
        </xdr:cNvPr>
        <xdr:cNvCxnSpPr>
          <a:stCxn id="31" idx="2"/>
          <a:endCxn id="9" idx="0"/>
        </xdr:cNvCxnSpPr>
      </xdr:nvCxnSpPr>
      <xdr:spPr>
        <a:xfrm rot="5400000">
          <a:off x="10146567" y="4810771"/>
          <a:ext cx="3879338" cy="610962"/>
        </a:xfrm>
        <a:prstGeom prst="curvedConnector3">
          <a:avLst/>
        </a:prstGeom>
        <a:ln>
          <a:solidFill>
            <a:srgbClr val="C4434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18</xdr:col>
      <xdr:colOff>571192</xdr:colOff>
      <xdr:row>12</xdr:row>
      <xdr:rowOff>71433</xdr:rowOff>
    </xdr:from>
    <xdr:to>
      <xdr:col>20</xdr:col>
      <xdr:colOff>417430</xdr:colOff>
      <xdr:row>27</xdr:row>
      <xdr:rowOff>236021</xdr:rowOff>
    </xdr:to>
    <xdr:cxnSp macro="">
      <xdr:nvCxnSpPr>
        <xdr:cNvPr id="62" name="Connector: Curved 61">
          <a:extLst>
            <a:ext uri="{FF2B5EF4-FFF2-40B4-BE49-F238E27FC236}">
              <a16:creationId xmlns:a16="http://schemas.microsoft.com/office/drawing/2014/main" id="{30B7DB86-05BE-4A2F-7008-A1FB09FE1B91}"/>
            </a:ext>
          </a:extLst>
        </xdr:cNvPr>
        <xdr:cNvCxnSpPr>
          <a:stCxn id="31" idx="2"/>
          <a:endCxn id="11" idx="0"/>
        </xdr:cNvCxnSpPr>
      </xdr:nvCxnSpPr>
      <xdr:spPr>
        <a:xfrm rot="16200000" flipH="1">
          <a:off x="10984767" y="4583533"/>
          <a:ext cx="3879338" cy="1065438"/>
        </a:xfrm>
        <a:prstGeom prst="curvedConnector3">
          <a:avLst/>
        </a:prstGeom>
        <a:ln>
          <a:solidFill>
            <a:srgbClr val="C4434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wsDr>
</file>

<file path=xl/drawings/drawing2.xml><?xml version="1.0" encoding="utf-8"?>
<xdr:wsDr xmlns:xdr="http://schemas.openxmlformats.org/drawingml/2006/spreadsheetDrawing" xmlns:a="http://schemas.openxmlformats.org/drawingml/2006/main">
  <xdr:twoCellAnchor>
    <xdr:from>
      <xdr:col>8</xdr:col>
      <xdr:colOff>938212</xdr:colOff>
      <xdr:row>65</xdr:row>
      <xdr:rowOff>200025</xdr:rowOff>
    </xdr:from>
    <xdr:to>
      <xdr:col>9</xdr:col>
      <xdr:colOff>1443037</xdr:colOff>
      <xdr:row>77</xdr:row>
      <xdr:rowOff>85725</xdr:rowOff>
    </xdr:to>
    <xdr:graphicFrame macro="">
      <xdr:nvGraphicFramePr>
        <xdr:cNvPr id="6" name="Chart 5">
          <a:extLst>
            <a:ext uri="{FF2B5EF4-FFF2-40B4-BE49-F238E27FC236}">
              <a16:creationId xmlns:a16="http://schemas.microsoft.com/office/drawing/2014/main" id="{0DEA1AD2-453E-4F97-8BC2-DE4AF27985B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oneCellAnchor>
    <xdr:from>
      <xdr:col>3</xdr:col>
      <xdr:colOff>4762</xdr:colOff>
      <xdr:row>169</xdr:row>
      <xdr:rowOff>76200</xdr:rowOff>
    </xdr:from>
    <xdr:ext cx="3010631" cy="429926"/>
    <mc:AlternateContent xmlns:mc="http://schemas.openxmlformats.org/markup-compatibility/2006" xmlns:a14="http://schemas.microsoft.com/office/drawing/2010/main">
      <mc:Choice Requires="a14">
        <xdr:sp macro="" textlink="">
          <xdr:nvSpPr>
            <xdr:cNvPr id="14" name="TextBox 13">
              <a:extLst>
                <a:ext uri="{FF2B5EF4-FFF2-40B4-BE49-F238E27FC236}">
                  <a16:creationId xmlns:a16="http://schemas.microsoft.com/office/drawing/2014/main" id="{977A974D-CDB2-4C02-3500-179514FF609E}"/>
                </a:ext>
              </a:extLst>
            </xdr:cNvPr>
            <xdr:cNvSpPr txBox="1"/>
          </xdr:nvSpPr>
          <xdr:spPr>
            <a:xfrm>
              <a:off x="2681287" y="42062400"/>
              <a:ext cx="3010631"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𝐶𝐻</m:t>
                        </m:r>
                        <m:r>
                          <a:rPr lang="en-AU" sz="1100" i="1">
                            <a:latin typeface="Cambria Math" panose="02040503050406030204" pitchFamily="18" charset="0"/>
                          </a:rPr>
                          <m:t>4</m:t>
                        </m:r>
                      </m:sub>
                    </m:sSub>
                    <m:r>
                      <a:rPr lang="en-AU" sz="1100" i="1">
                        <a:latin typeface="Cambria Math" panose="02040503050406030204" pitchFamily="18" charset="0"/>
                      </a:rPr>
                      <m:t>=</m:t>
                    </m:r>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𝑘</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𝑚</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𝑇</m:t>
                                    </m:r>
                                  </m:sub>
                                  <m:sup/>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𝐷</m:t>
                                            </m:r>
                                          </m:e>
                                          <m:sub>
                                            <m:r>
                                              <a:rPr lang="en-AU" sz="1100" i="1">
                                                <a:latin typeface="Cambria Math" panose="02040503050406030204" pitchFamily="18" charset="0"/>
                                              </a:rPr>
                                              <m:t>𝑗𝑘</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𝑗𝑘𝑚𝑇</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𝑗𝑘</m:t>
                                            </m:r>
                                          </m:sub>
                                        </m:sSub>
                                      </m:e>
                                    </m:d>
                                  </m:e>
                                </m:nary>
                              </m:e>
                            </m:nary>
                          </m:e>
                        </m:nary>
                      </m:e>
                    </m:nary>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14" name="TextBox 13">
              <a:extLst>
                <a:ext uri="{FF2B5EF4-FFF2-40B4-BE49-F238E27FC236}">
                  <a16:creationId xmlns:a16="http://schemas.microsoft.com/office/drawing/2014/main" id="{977A974D-CDB2-4C02-3500-179514FF609E}"/>
                </a:ext>
              </a:extLst>
            </xdr:cNvPr>
            <xdr:cNvSpPr txBox="1"/>
          </xdr:nvSpPr>
          <xdr:spPr>
            <a:xfrm>
              <a:off x="2681287" y="42062400"/>
              <a:ext cx="3010631"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𝐸_𝐶𝐻4=∑8_𝑗▒∑8_𝑘▒∑8_𝑚▒∑8_𝑇▒(𝐷_𝑗𝑘×𝑀_𝑗𝑘𝑚𝑇×𝑁_𝑗𝑘 ) ×10^(−3)</a:t>
              </a:r>
              <a:endParaRPr lang="en-AU" sz="1100"/>
            </a:p>
          </xdr:txBody>
        </xdr:sp>
      </mc:Fallback>
    </mc:AlternateContent>
    <xdr:clientData/>
  </xdr:oneCellAnchor>
  <xdr:oneCellAnchor>
    <xdr:from>
      <xdr:col>12</xdr:col>
      <xdr:colOff>28575</xdr:colOff>
      <xdr:row>8</xdr:row>
      <xdr:rowOff>71437</xdr:rowOff>
    </xdr:from>
    <xdr:ext cx="1604735" cy="358431"/>
    <mc:AlternateContent xmlns:mc="http://schemas.openxmlformats.org/markup-compatibility/2006" xmlns:a14="http://schemas.microsoft.com/office/drawing/2010/main">
      <mc:Choice Requires="a14">
        <xdr:sp macro="" textlink="">
          <xdr:nvSpPr>
            <xdr:cNvPr id="5" name="TextBox 4">
              <a:extLst>
                <a:ext uri="{FF2B5EF4-FFF2-40B4-BE49-F238E27FC236}">
                  <a16:creationId xmlns:a16="http://schemas.microsoft.com/office/drawing/2014/main" id="{685D1849-53C9-4184-8A25-27A0186CA50B}"/>
                </a:ext>
              </a:extLst>
            </xdr:cNvPr>
            <xdr:cNvSpPr txBox="1"/>
          </xdr:nvSpPr>
          <xdr:spPr>
            <a:xfrm>
              <a:off x="4752975" y="2185987"/>
              <a:ext cx="1604735" cy="35843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𝐹𝐹𝑂</m:t>
                    </m:r>
                    <m:sSub>
                      <m:sSubPr>
                        <m:ctrlPr>
                          <a:rPr lang="en-AU" sz="1100" i="1">
                            <a:latin typeface="Cambria Math" panose="02040503050406030204" pitchFamily="18" charset="0"/>
                          </a:rPr>
                        </m:ctrlPr>
                      </m:sSubPr>
                      <m:e>
                        <m:r>
                          <a:rPr lang="en-AU" sz="1100" i="1">
                            <a:latin typeface="Cambria Math" panose="02040503050406030204" pitchFamily="18" charset="0"/>
                          </a:rPr>
                          <m:t>𝐷</m:t>
                        </m:r>
                      </m:e>
                      <m:sub>
                        <m:r>
                          <a:rPr lang="en-AU" sz="1100" i="1">
                            <a:latin typeface="Cambria Math" panose="02040503050406030204" pitchFamily="18" charset="0"/>
                          </a:rPr>
                          <m:t>𝑐</m:t>
                        </m:r>
                        <m:r>
                          <a:rPr lang="en-AU" sz="1100" b="0" i="1">
                            <a:latin typeface="Cambria Math" panose="02040503050406030204" pitchFamily="18" charset="0"/>
                          </a:rPr>
                          <m:t>,</m:t>
                        </m:r>
                        <m:r>
                          <m:rPr>
                            <m:sty m:val="p"/>
                          </m:rPr>
                          <a:rPr lang="en-AU" sz="1100" b="0" i="1">
                            <a:latin typeface="Cambria Math" panose="02040503050406030204" pitchFamily="18" charset="0"/>
                          </a:rPr>
                          <m:t>baled</m:t>
                        </m:r>
                      </m:sub>
                    </m:sSub>
                    <m:r>
                      <a:rPr lang="en-AU" sz="1100" i="1">
                        <a:latin typeface="Cambria Math" panose="02040503050406030204" pitchFamily="18" charset="0"/>
                      </a:rPr>
                      <m:t>=</m:t>
                    </m:r>
                    <m:f>
                      <m:fPr>
                        <m:ctrlPr>
                          <a:rPr lang="en-AU" sz="1100" i="1">
                            <a:latin typeface="Cambria Math" panose="02040503050406030204" pitchFamily="18" charset="0"/>
                          </a:rPr>
                        </m:ctrlPr>
                      </m:fPr>
                      <m:num>
                        <m:r>
                          <a:rPr lang="en-AU" sz="1100" i="1">
                            <a:latin typeface="Cambria Math" panose="02040503050406030204" pitchFamily="18" charset="0"/>
                          </a:rPr>
                          <m:t>𝐵</m:t>
                        </m:r>
                        <m:r>
                          <a:rPr lang="en-AU" sz="1100" i="1">
                            <a:latin typeface="Cambria Math" panose="02040503050406030204" pitchFamily="18" charset="0"/>
                          </a:rPr>
                          <m:t>× </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𝐵</m:t>
                            </m:r>
                          </m:sub>
                        </m:sSub>
                      </m:num>
                      <m:den>
                        <m:sSub>
                          <m:sSubPr>
                            <m:ctrlPr>
                              <a:rPr lang="en-AU" sz="1100" i="1">
                                <a:latin typeface="Cambria Math" panose="02040503050406030204" pitchFamily="18" charset="0"/>
                              </a:rPr>
                            </m:ctrlPr>
                          </m:sSubPr>
                          <m:e>
                            <m:r>
                              <a:rPr lang="en-AU" sz="1100" i="1">
                                <a:latin typeface="Cambria Math" panose="02040503050406030204" pitchFamily="18" charset="0"/>
                              </a:rPr>
                              <m:t>𝑃</m:t>
                            </m:r>
                          </m:e>
                          <m:sub>
                            <m:r>
                              <a:rPr lang="en-AU" sz="1100" i="1">
                                <a:latin typeface="Cambria Math" panose="02040503050406030204" pitchFamily="18" charset="0"/>
                              </a:rPr>
                              <m:t>𝑐</m:t>
                            </m:r>
                          </m:sub>
                        </m:sSub>
                        <m:r>
                          <a:rPr lang="en-AU" sz="1100" i="1">
                            <a:latin typeface="Cambria Math" panose="02040503050406030204" pitchFamily="18" charset="0"/>
                          </a:rPr>
                          <m:t>× </m:t>
                        </m:r>
                        <m:sSub>
                          <m:sSubPr>
                            <m:ctrlPr>
                              <a:rPr lang="en-AU" sz="1100" i="1">
                                <a:latin typeface="Cambria Math" panose="02040503050406030204" pitchFamily="18" charset="0"/>
                              </a:rPr>
                            </m:ctrlPr>
                          </m:sSubPr>
                          <m:e>
                            <m:r>
                              <a:rPr lang="en-AU" sz="1100" i="1">
                                <a:latin typeface="Cambria Math" panose="02040503050406030204" pitchFamily="18" charset="0"/>
                              </a:rPr>
                              <m:t>𝑅</m:t>
                            </m:r>
                          </m:e>
                          <m:sub>
                            <m:r>
                              <a:rPr lang="en-AU" sz="1100" i="1">
                                <a:latin typeface="Cambria Math" panose="02040503050406030204" pitchFamily="18" charset="0"/>
                              </a:rPr>
                              <m:t>𝐴𝐺</m:t>
                            </m:r>
                            <m:r>
                              <a:rPr lang="en-AU" sz="1100" i="1">
                                <a:latin typeface="Cambria Math" panose="02040503050406030204" pitchFamily="18" charset="0"/>
                              </a:rPr>
                              <m:t>,</m:t>
                            </m:r>
                            <m:r>
                              <a:rPr lang="en-AU" sz="1100" i="1">
                                <a:latin typeface="Cambria Math" panose="02040503050406030204" pitchFamily="18" charset="0"/>
                              </a:rPr>
                              <m:t>𝑐</m:t>
                            </m:r>
                          </m:sub>
                        </m:sSub>
                      </m:den>
                    </m:f>
                    <m:r>
                      <a:rPr lang="en-AU" sz="1100" i="1">
                        <a:latin typeface="Cambria Math" panose="02040503050406030204" pitchFamily="18" charset="0"/>
                      </a:rPr>
                      <m:t> </m:t>
                    </m:r>
                  </m:oMath>
                </m:oMathPara>
              </a14:m>
              <a:endParaRPr lang="en-AU" sz="1100"/>
            </a:p>
          </xdr:txBody>
        </xdr:sp>
      </mc:Choice>
      <mc:Fallback xmlns="">
        <xdr:sp macro="" textlink="">
          <xdr:nvSpPr>
            <xdr:cNvPr id="5" name="TextBox 4">
              <a:extLst>
                <a:ext uri="{FF2B5EF4-FFF2-40B4-BE49-F238E27FC236}">
                  <a16:creationId xmlns:a16="http://schemas.microsoft.com/office/drawing/2014/main" id="{685D1849-53C9-4184-8A25-27A0186CA50B}"/>
                </a:ext>
              </a:extLst>
            </xdr:cNvPr>
            <xdr:cNvSpPr txBox="1"/>
          </xdr:nvSpPr>
          <xdr:spPr>
            <a:xfrm>
              <a:off x="4752975" y="2185987"/>
              <a:ext cx="1604735" cy="35843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𝐹𝐹𝑂𝐷_(𝑐</a:t>
              </a:r>
              <a:r>
                <a:rPr lang="en-AU" sz="1100" b="0" i="0">
                  <a:latin typeface="Cambria Math" panose="02040503050406030204" pitchFamily="18" charset="0"/>
                </a:rPr>
                <a:t>,baled)</a:t>
              </a:r>
              <a:r>
                <a:rPr lang="en-AU" sz="1100" i="0">
                  <a:latin typeface="Cambria Math" panose="02040503050406030204" pitchFamily="18" charset="0"/>
                </a:rPr>
                <a:t>=(𝐵× 𝑀_𝐵)/(𝑃_𝑐× 𝑅_(𝐴𝐺,𝑐) ) </a:t>
              </a:r>
              <a:endParaRPr lang="en-AU" sz="1100"/>
            </a:p>
          </xdr:txBody>
        </xdr:sp>
      </mc:Fallback>
    </mc:AlternateContent>
    <xdr:clientData/>
  </xdr:oneCellAnchor>
  <xdr:oneCellAnchor>
    <xdr:from>
      <xdr:col>2</xdr:col>
      <xdr:colOff>295275</xdr:colOff>
      <xdr:row>7</xdr:row>
      <xdr:rowOff>147637</xdr:rowOff>
    </xdr:from>
    <xdr:ext cx="5559406" cy="165366"/>
    <mc:AlternateContent xmlns:mc="http://schemas.openxmlformats.org/markup-compatibility/2006" xmlns:a14="http://schemas.microsoft.com/office/drawing/2010/main">
      <mc:Choice Requires="a14">
        <xdr:sp macro="" textlink="">
          <xdr:nvSpPr>
            <xdr:cNvPr id="8" name="TextBox 7">
              <a:extLst>
                <a:ext uri="{FF2B5EF4-FFF2-40B4-BE49-F238E27FC236}">
                  <a16:creationId xmlns:a16="http://schemas.microsoft.com/office/drawing/2014/main" id="{D28AAA60-64FA-4C36-8C37-1AE42DDEEDB2}"/>
                </a:ext>
              </a:extLst>
            </xdr:cNvPr>
            <xdr:cNvSpPr txBox="1"/>
          </xdr:nvSpPr>
          <xdr:spPr>
            <a:xfrm>
              <a:off x="2657475" y="2014537"/>
              <a:ext cx="5559406" cy="1653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𝑐</m:t>
                        </m:r>
                      </m:sub>
                    </m:sSub>
                    <m:r>
                      <a:rPr lang="en-AU" sz="1100" i="1">
                        <a:latin typeface="Cambria Math" panose="02040503050406030204" pitchFamily="18" charset="0"/>
                      </a:rPr>
                      <m:t>=</m:t>
                    </m:r>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𝑃</m:t>
                            </m:r>
                          </m:e>
                          <m:sub>
                            <m:r>
                              <a:rPr lang="en-AU" sz="1100" i="1">
                                <a:latin typeface="Cambria Math" panose="02040503050406030204" pitchFamily="18" charset="0"/>
                              </a:rPr>
                              <m:t>𝑐</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𝑅</m:t>
                            </m:r>
                          </m:e>
                          <m:sub>
                            <m:r>
                              <a:rPr lang="en-AU" sz="1100" i="1">
                                <a:latin typeface="Cambria Math" panose="02040503050406030204" pitchFamily="18" charset="0"/>
                              </a:rPr>
                              <m:t>𝐴𝐺𝑐</m:t>
                            </m:r>
                          </m:sub>
                        </m:sSub>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1−</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𝑐</m:t>
                                </m:r>
                              </m:sub>
                            </m:sSub>
                            <m:r>
                              <a:rPr lang="en-AU" sz="1100" i="1">
                                <a:latin typeface="Cambria Math" panose="02040503050406030204" pitchFamily="18" charset="0"/>
                              </a:rPr>
                              <m:t>−</m:t>
                            </m:r>
                            <m:r>
                              <a:rPr lang="en-AU" sz="1100" i="1">
                                <a:latin typeface="Cambria Math" panose="02040503050406030204" pitchFamily="18" charset="0"/>
                              </a:rPr>
                              <m:t>𝐹𝐹𝑂</m:t>
                            </m:r>
                            <m:sSub>
                              <m:sSubPr>
                                <m:ctrlPr>
                                  <a:rPr lang="en-AU" sz="1100" i="1">
                                    <a:latin typeface="Cambria Math" panose="02040503050406030204" pitchFamily="18" charset="0"/>
                                  </a:rPr>
                                </m:ctrlPr>
                              </m:sSubPr>
                              <m:e>
                                <m:r>
                                  <a:rPr lang="en-AU" sz="1100" i="1">
                                    <a:latin typeface="Cambria Math" panose="02040503050406030204" pitchFamily="18" charset="0"/>
                                  </a:rPr>
                                  <m:t>𝐷</m:t>
                                </m:r>
                              </m:e>
                              <m:sub>
                                <m:r>
                                  <a:rPr lang="en-AU" sz="1100" i="1">
                                    <a:latin typeface="Cambria Math" panose="02040503050406030204" pitchFamily="18" charset="0"/>
                                  </a:rPr>
                                  <m:t>𝑐</m:t>
                                </m:r>
                              </m:sub>
                            </m:sSub>
                          </m:e>
                        </m:d>
                        <m:r>
                          <a:rPr lang="en-AU" sz="1100" i="1">
                            <a:latin typeface="Cambria Math" panose="02040503050406030204" pitchFamily="18" charset="0"/>
                          </a:rPr>
                          <m:t>×</m:t>
                        </m:r>
                        <m:r>
                          <a:rPr lang="en-AU" sz="1100" i="1">
                            <a:latin typeface="Cambria Math" panose="02040503050406030204" pitchFamily="18" charset="0"/>
                          </a:rPr>
                          <m:t>𝐷</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𝑐</m:t>
                            </m:r>
                          </m:sub>
                        </m:sSub>
                        <m:r>
                          <a:rPr lang="en-AU" sz="1100" i="1">
                            <a:latin typeface="Cambria Math" panose="02040503050406030204" pitchFamily="18" charset="0"/>
                          </a:rPr>
                          <m:t>×</m:t>
                        </m:r>
                        <m:r>
                          <a:rPr lang="en-AU" sz="1100" i="1">
                            <a:latin typeface="Cambria Math" panose="02040503050406030204" pitchFamily="18" charset="0"/>
                          </a:rPr>
                          <m:t>𝑁</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𝐴𝐺𝑐</m:t>
                            </m:r>
                          </m:sub>
                        </m:sSub>
                      </m:e>
                    </m:d>
                    <m:r>
                      <a:rPr lang="en-AU" sz="1100" i="1">
                        <a:latin typeface="Cambria Math" panose="02040503050406030204" pitchFamily="18" charset="0"/>
                      </a:rPr>
                      <m:t>+</m:t>
                    </m:r>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𝑃</m:t>
                            </m:r>
                          </m:e>
                          <m:sub>
                            <m:r>
                              <a:rPr lang="en-AU" sz="1100" i="1">
                                <a:latin typeface="Cambria Math" panose="02040503050406030204" pitchFamily="18" charset="0"/>
                              </a:rPr>
                              <m:t>𝑐</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𝑅</m:t>
                            </m:r>
                          </m:e>
                          <m:sub>
                            <m:r>
                              <a:rPr lang="en-AU" sz="1100" i="1">
                                <a:latin typeface="Cambria Math" panose="02040503050406030204" pitchFamily="18" charset="0"/>
                              </a:rPr>
                              <m:t>𝐴𝐺𝑐</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𝑅</m:t>
                            </m:r>
                          </m:e>
                          <m:sub>
                            <m:r>
                              <a:rPr lang="en-AU" sz="1100" i="1">
                                <a:latin typeface="Cambria Math" panose="02040503050406030204" pitchFamily="18" charset="0"/>
                              </a:rPr>
                              <m:t>𝐵𝐺𝑐</m:t>
                            </m:r>
                          </m:sub>
                        </m:sSub>
                        <m:r>
                          <a:rPr lang="en-AU" sz="1100" i="1">
                            <a:latin typeface="Cambria Math" panose="02040503050406030204" pitchFamily="18" charset="0"/>
                          </a:rPr>
                          <m:t>×</m:t>
                        </m:r>
                        <m:r>
                          <a:rPr lang="en-AU" sz="1100" i="1">
                            <a:latin typeface="Cambria Math" panose="02040503050406030204" pitchFamily="18" charset="0"/>
                          </a:rPr>
                          <m:t>𝐷</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𝑐</m:t>
                            </m:r>
                          </m:sub>
                        </m:sSub>
                        <m:r>
                          <a:rPr lang="en-AU" sz="1100" i="1">
                            <a:latin typeface="Cambria Math" panose="02040503050406030204" pitchFamily="18" charset="0"/>
                          </a:rPr>
                          <m:t>×</m:t>
                        </m:r>
                        <m:r>
                          <a:rPr lang="en-AU" sz="1100" i="1">
                            <a:latin typeface="Cambria Math" panose="02040503050406030204" pitchFamily="18" charset="0"/>
                          </a:rPr>
                          <m:t>𝑁</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𝐵𝐺𝑐</m:t>
                            </m:r>
                          </m:sub>
                        </m:sSub>
                      </m:e>
                    </m:d>
                  </m:oMath>
                </m:oMathPara>
              </a14:m>
              <a:endParaRPr lang="en-AU" sz="1100"/>
            </a:p>
          </xdr:txBody>
        </xdr:sp>
      </mc:Choice>
      <mc:Fallback xmlns="">
        <xdr:sp macro="" textlink="">
          <xdr:nvSpPr>
            <xdr:cNvPr id="8" name="TextBox 7">
              <a:extLst>
                <a:ext uri="{FF2B5EF4-FFF2-40B4-BE49-F238E27FC236}">
                  <a16:creationId xmlns:a16="http://schemas.microsoft.com/office/drawing/2014/main" id="{D28AAA60-64FA-4C36-8C37-1AE42DDEEDB2}"/>
                </a:ext>
              </a:extLst>
            </xdr:cNvPr>
            <xdr:cNvSpPr txBox="1"/>
          </xdr:nvSpPr>
          <xdr:spPr>
            <a:xfrm>
              <a:off x="2657475" y="2014537"/>
              <a:ext cx="5559406" cy="1653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𝑀_𝑐=(𝑃_𝑐×𝑅_𝐴𝐺𝑐×(1−𝐹_𝑐−𝐹𝐹𝑂𝐷_𝑐 )×𝐷𝑀_𝑐×𝑁𝐶_𝐴𝐺𝑐 )+(𝑃_𝑐×𝑅_𝐴𝐺𝑐×𝑅_𝐵𝐺𝑐×𝐷𝑀_𝑐×𝑁𝐶_𝐵𝐺𝑐 )</a:t>
              </a:r>
              <a:endParaRPr lang="en-AU" sz="1100"/>
            </a:p>
          </xdr:txBody>
        </xdr:sp>
      </mc:Fallback>
    </mc:AlternateContent>
    <xdr:clientData/>
  </xdr:oneCellAnchor>
  <xdr:oneCellAnchor>
    <xdr:from>
      <xdr:col>3</xdr:col>
      <xdr:colOff>19050</xdr:colOff>
      <xdr:row>30</xdr:row>
      <xdr:rowOff>28575</xdr:rowOff>
    </xdr:from>
    <xdr:ext cx="2260682" cy="312906"/>
    <mc:AlternateContent xmlns:mc="http://schemas.openxmlformats.org/markup-compatibility/2006" xmlns:a14="http://schemas.microsoft.com/office/drawing/2010/main">
      <mc:Choice Requires="a14">
        <xdr:sp macro="" textlink="">
          <xdr:nvSpPr>
            <xdr:cNvPr id="9" name="TextBox 8">
              <a:extLst>
                <a:ext uri="{FF2B5EF4-FFF2-40B4-BE49-F238E27FC236}">
                  <a16:creationId xmlns:a16="http://schemas.microsoft.com/office/drawing/2014/main" id="{8148D317-F4F6-4497-B5E3-463A180290EB}"/>
                </a:ext>
              </a:extLst>
            </xdr:cNvPr>
            <xdr:cNvSpPr txBox="1"/>
          </xdr:nvSpPr>
          <xdr:spPr>
            <a:xfrm>
              <a:off x="2695575" y="7591425"/>
              <a:ext cx="2260682" cy="31290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𝐸</m:t>
                    </m:r>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𝑐</m:t>
                        </m:r>
                      </m:sub>
                      <m:sup/>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𝑐</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𝑁</m:t>
                                </m:r>
                              </m:sub>
                            </m:sSub>
                          </m:e>
                        </m:d>
                      </m:e>
                    </m:nary>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𝑔</m:t>
                        </m:r>
                        <m:r>
                          <a:rPr lang="en-AU" sz="1100" i="1">
                            <a:latin typeface="Cambria Math" panose="02040503050406030204" pitchFamily="18" charset="0"/>
                          </a:rPr>
                          <m:t>,</m:t>
                        </m:r>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9" name="TextBox 8">
              <a:extLst>
                <a:ext uri="{FF2B5EF4-FFF2-40B4-BE49-F238E27FC236}">
                  <a16:creationId xmlns:a16="http://schemas.microsoft.com/office/drawing/2014/main" id="{8148D317-F4F6-4497-B5E3-463A180290EB}"/>
                </a:ext>
              </a:extLst>
            </xdr:cNvPr>
            <xdr:cNvSpPr txBox="1"/>
          </xdr:nvSpPr>
          <xdr:spPr>
            <a:xfrm>
              <a:off x="2695575" y="7591425"/>
              <a:ext cx="2260682" cy="31290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𝐸=∑10_𝑐▒(𝑀_𝑐×𝐸𝐹_𝑁 ) ×𝐶_(𝑔,𝑁2𝑂)×10^(−3)</a:t>
              </a:r>
              <a:endParaRPr lang="en-AU" sz="1100"/>
            </a:p>
          </xdr:txBody>
        </xdr:sp>
      </mc:Fallback>
    </mc:AlternateContent>
    <xdr:clientData/>
  </xdr:oneCellAnchor>
  <xdr:oneCellAnchor>
    <xdr:from>
      <xdr:col>12</xdr:col>
      <xdr:colOff>0</xdr:colOff>
      <xdr:row>27</xdr:row>
      <xdr:rowOff>0</xdr:rowOff>
    </xdr:from>
    <xdr:ext cx="2265236" cy="176651"/>
    <mc:AlternateContent xmlns:mc="http://schemas.openxmlformats.org/markup-compatibility/2006" xmlns:a14="http://schemas.microsoft.com/office/drawing/2010/main">
      <mc:Choice Requires="a14">
        <xdr:sp macro="" textlink="">
          <xdr:nvSpPr>
            <xdr:cNvPr id="10" name="TextBox 9">
              <a:extLst>
                <a:ext uri="{FF2B5EF4-FFF2-40B4-BE49-F238E27FC236}">
                  <a16:creationId xmlns:a16="http://schemas.microsoft.com/office/drawing/2014/main" id="{E4A76611-2242-450B-A203-A2BE5A365185}"/>
                </a:ext>
              </a:extLst>
            </xdr:cNvPr>
            <xdr:cNvSpPr txBox="1"/>
          </xdr:nvSpPr>
          <xdr:spPr>
            <a:xfrm>
              <a:off x="2676525" y="6819900"/>
              <a:ext cx="2265236" cy="17665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𝐹𝐹𝑂</m:t>
                    </m:r>
                    <m:sSub>
                      <m:sSubPr>
                        <m:ctrlPr>
                          <a:rPr lang="en-AU" sz="1100" i="1">
                            <a:latin typeface="Cambria Math" panose="02040503050406030204" pitchFamily="18" charset="0"/>
                          </a:rPr>
                        </m:ctrlPr>
                      </m:sSubPr>
                      <m:e>
                        <m:r>
                          <a:rPr lang="en-AU" sz="1100" i="1">
                            <a:latin typeface="Cambria Math" panose="02040503050406030204" pitchFamily="18" charset="0"/>
                          </a:rPr>
                          <m:t>𝐷</m:t>
                        </m:r>
                      </m:e>
                      <m:sub>
                        <m:r>
                          <a:rPr lang="en-AU" sz="1100" i="1">
                            <a:latin typeface="Cambria Math" panose="02040503050406030204" pitchFamily="18" charset="0"/>
                          </a:rPr>
                          <m:t>𝑐</m:t>
                        </m:r>
                      </m:sub>
                    </m:sSub>
                    <m:r>
                      <a:rPr lang="en-AU" sz="1100" i="1">
                        <a:latin typeface="Cambria Math" panose="02040503050406030204" pitchFamily="18" charset="0"/>
                      </a:rPr>
                      <m:t>=</m:t>
                    </m:r>
                    <m:r>
                      <a:rPr lang="en-AU" sz="1100" i="1">
                        <a:latin typeface="Cambria Math" panose="02040503050406030204" pitchFamily="18" charset="0"/>
                      </a:rPr>
                      <m:t>𝐹𝐹𝑂</m:t>
                    </m:r>
                    <m:sSub>
                      <m:sSubPr>
                        <m:ctrlPr>
                          <a:rPr lang="en-AU" sz="1100" i="1">
                            <a:latin typeface="Cambria Math" panose="02040503050406030204" pitchFamily="18" charset="0"/>
                          </a:rPr>
                        </m:ctrlPr>
                      </m:sSubPr>
                      <m:e>
                        <m:r>
                          <a:rPr lang="en-AU" sz="1100" i="1">
                            <a:latin typeface="Cambria Math" panose="02040503050406030204" pitchFamily="18" charset="0"/>
                          </a:rPr>
                          <m:t>𝐷</m:t>
                        </m:r>
                      </m:e>
                      <m:sub>
                        <m:r>
                          <a:rPr lang="en-AU" sz="1100" i="1">
                            <a:latin typeface="Cambria Math" panose="02040503050406030204" pitchFamily="18" charset="0"/>
                          </a:rPr>
                          <m:t>𝑐</m:t>
                        </m:r>
                        <m:r>
                          <a:rPr lang="en-AU" sz="1100" i="1">
                            <a:latin typeface="Cambria Math" panose="02040503050406030204" pitchFamily="18" charset="0"/>
                          </a:rPr>
                          <m:t>,</m:t>
                        </m:r>
                        <m:r>
                          <a:rPr lang="en-AU" sz="1100" i="1">
                            <a:latin typeface="Cambria Math" panose="02040503050406030204" pitchFamily="18" charset="0"/>
                          </a:rPr>
                          <m:t>𝑏𝑎𝑙𝑒𝑑</m:t>
                        </m:r>
                      </m:sub>
                    </m:sSub>
                    <m:r>
                      <a:rPr lang="en-AU" sz="1100" i="1">
                        <a:latin typeface="Cambria Math" panose="02040503050406030204" pitchFamily="18" charset="0"/>
                      </a:rPr>
                      <m:t>+</m:t>
                    </m:r>
                    <m:r>
                      <a:rPr lang="en-AU" sz="1100" i="1">
                        <a:latin typeface="Cambria Math" panose="02040503050406030204" pitchFamily="18" charset="0"/>
                      </a:rPr>
                      <m:t>𝐹𝐹𝑂</m:t>
                    </m:r>
                    <m:sSub>
                      <m:sSubPr>
                        <m:ctrlPr>
                          <a:rPr lang="en-AU" sz="1100" i="1">
                            <a:latin typeface="Cambria Math" panose="02040503050406030204" pitchFamily="18" charset="0"/>
                          </a:rPr>
                        </m:ctrlPr>
                      </m:sSubPr>
                      <m:e>
                        <m:r>
                          <a:rPr lang="en-AU" sz="1100" i="1">
                            <a:latin typeface="Cambria Math" panose="02040503050406030204" pitchFamily="18" charset="0"/>
                          </a:rPr>
                          <m:t>𝐷</m:t>
                        </m:r>
                      </m:e>
                      <m:sub>
                        <m:r>
                          <a:rPr lang="en-AU" sz="1100" i="1">
                            <a:latin typeface="Cambria Math" panose="02040503050406030204" pitchFamily="18" charset="0"/>
                          </a:rPr>
                          <m:t>𝑐</m:t>
                        </m:r>
                        <m:r>
                          <a:rPr lang="en-AU" sz="1100" i="1">
                            <a:latin typeface="Cambria Math" panose="02040503050406030204" pitchFamily="18" charset="0"/>
                          </a:rPr>
                          <m:t>,</m:t>
                        </m:r>
                        <m:r>
                          <a:rPr lang="en-AU" sz="1100" i="1">
                            <a:latin typeface="Cambria Math" panose="02040503050406030204" pitchFamily="18" charset="0"/>
                          </a:rPr>
                          <m:t>𝑜𝑡h𝑒𝑟</m:t>
                        </m:r>
                      </m:sub>
                    </m:sSub>
                  </m:oMath>
                </m:oMathPara>
              </a14:m>
              <a:endParaRPr lang="en-AU" sz="1100"/>
            </a:p>
          </xdr:txBody>
        </xdr:sp>
      </mc:Choice>
      <mc:Fallback xmlns="">
        <xdr:sp macro="" textlink="">
          <xdr:nvSpPr>
            <xdr:cNvPr id="10" name="TextBox 9">
              <a:extLst>
                <a:ext uri="{FF2B5EF4-FFF2-40B4-BE49-F238E27FC236}">
                  <a16:creationId xmlns:a16="http://schemas.microsoft.com/office/drawing/2014/main" id="{E4A76611-2242-450B-A203-A2BE5A365185}"/>
                </a:ext>
              </a:extLst>
            </xdr:cNvPr>
            <xdr:cNvSpPr txBox="1"/>
          </xdr:nvSpPr>
          <xdr:spPr>
            <a:xfrm>
              <a:off x="2676525" y="6819900"/>
              <a:ext cx="2265236" cy="17665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𝐹𝐹𝑂𝐷_𝑐=𝐹𝐹𝑂𝐷_(𝑐,𝑏𝑎𝑙𝑒𝑑)+𝐹𝐹𝑂𝐷_(𝑐,𝑜𝑡ℎ𝑒𝑟)</a:t>
              </a:r>
              <a:endParaRPr lang="en-AU" sz="1100"/>
            </a:p>
          </xdr:txBody>
        </xdr:sp>
      </mc:Fallback>
    </mc:AlternateContent>
    <xdr:clientData/>
  </xdr:oneCellAnchor>
  <xdr:oneCellAnchor>
    <xdr:from>
      <xdr:col>11</xdr:col>
      <xdr:colOff>295275</xdr:colOff>
      <xdr:row>42</xdr:row>
      <xdr:rowOff>147637</xdr:rowOff>
    </xdr:from>
    <xdr:ext cx="5559406" cy="165366"/>
    <mc:AlternateContent xmlns:mc="http://schemas.openxmlformats.org/markup-compatibility/2006" xmlns:a14="http://schemas.microsoft.com/office/drawing/2010/main">
      <mc:Choice Requires="a14">
        <xdr:sp macro="" textlink="">
          <xdr:nvSpPr>
            <xdr:cNvPr id="12" name="TextBox 11">
              <a:extLst>
                <a:ext uri="{FF2B5EF4-FFF2-40B4-BE49-F238E27FC236}">
                  <a16:creationId xmlns:a16="http://schemas.microsoft.com/office/drawing/2014/main" id="{7244AF32-384C-4E03-A9DD-02ABB8EF5C7D}"/>
                </a:ext>
              </a:extLst>
            </xdr:cNvPr>
            <xdr:cNvSpPr txBox="1"/>
          </xdr:nvSpPr>
          <xdr:spPr>
            <a:xfrm>
              <a:off x="2657475" y="2014537"/>
              <a:ext cx="5559406" cy="1653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𝑐</m:t>
                        </m:r>
                      </m:sub>
                    </m:sSub>
                    <m:r>
                      <a:rPr lang="en-AU" sz="1100" i="1">
                        <a:latin typeface="Cambria Math" panose="02040503050406030204" pitchFamily="18" charset="0"/>
                      </a:rPr>
                      <m:t>=</m:t>
                    </m:r>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𝑃</m:t>
                            </m:r>
                          </m:e>
                          <m:sub>
                            <m:r>
                              <a:rPr lang="en-AU" sz="1100" i="1">
                                <a:latin typeface="Cambria Math" panose="02040503050406030204" pitchFamily="18" charset="0"/>
                              </a:rPr>
                              <m:t>𝑐</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𝑅</m:t>
                            </m:r>
                          </m:e>
                          <m:sub>
                            <m:r>
                              <a:rPr lang="en-AU" sz="1100" i="1">
                                <a:latin typeface="Cambria Math" panose="02040503050406030204" pitchFamily="18" charset="0"/>
                              </a:rPr>
                              <m:t>𝐴𝐺𝑐</m:t>
                            </m:r>
                          </m:sub>
                        </m:sSub>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1−</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𝑐</m:t>
                                </m:r>
                              </m:sub>
                            </m:sSub>
                            <m:r>
                              <a:rPr lang="en-AU" sz="1100" i="1">
                                <a:latin typeface="Cambria Math" panose="02040503050406030204" pitchFamily="18" charset="0"/>
                              </a:rPr>
                              <m:t>−</m:t>
                            </m:r>
                            <m:r>
                              <a:rPr lang="en-AU" sz="1100" i="1">
                                <a:latin typeface="Cambria Math" panose="02040503050406030204" pitchFamily="18" charset="0"/>
                              </a:rPr>
                              <m:t>𝐹𝐹𝑂</m:t>
                            </m:r>
                            <m:sSub>
                              <m:sSubPr>
                                <m:ctrlPr>
                                  <a:rPr lang="en-AU" sz="1100" i="1">
                                    <a:latin typeface="Cambria Math" panose="02040503050406030204" pitchFamily="18" charset="0"/>
                                  </a:rPr>
                                </m:ctrlPr>
                              </m:sSubPr>
                              <m:e>
                                <m:r>
                                  <a:rPr lang="en-AU" sz="1100" i="1">
                                    <a:latin typeface="Cambria Math" panose="02040503050406030204" pitchFamily="18" charset="0"/>
                                  </a:rPr>
                                  <m:t>𝐷</m:t>
                                </m:r>
                              </m:e>
                              <m:sub>
                                <m:r>
                                  <a:rPr lang="en-AU" sz="1100" i="1">
                                    <a:latin typeface="Cambria Math" panose="02040503050406030204" pitchFamily="18" charset="0"/>
                                  </a:rPr>
                                  <m:t>𝑐</m:t>
                                </m:r>
                              </m:sub>
                            </m:sSub>
                          </m:e>
                        </m:d>
                        <m:r>
                          <a:rPr lang="en-AU" sz="1100" i="1">
                            <a:latin typeface="Cambria Math" panose="02040503050406030204" pitchFamily="18" charset="0"/>
                          </a:rPr>
                          <m:t>×</m:t>
                        </m:r>
                        <m:r>
                          <a:rPr lang="en-AU" sz="1100" i="1">
                            <a:latin typeface="Cambria Math" panose="02040503050406030204" pitchFamily="18" charset="0"/>
                          </a:rPr>
                          <m:t>𝐷</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𝑐</m:t>
                            </m:r>
                          </m:sub>
                        </m:sSub>
                        <m:r>
                          <a:rPr lang="en-AU" sz="1100" i="1">
                            <a:latin typeface="Cambria Math" panose="02040503050406030204" pitchFamily="18" charset="0"/>
                          </a:rPr>
                          <m:t>×</m:t>
                        </m:r>
                        <m:r>
                          <a:rPr lang="en-AU" sz="1100" i="1">
                            <a:latin typeface="Cambria Math" panose="02040503050406030204" pitchFamily="18" charset="0"/>
                          </a:rPr>
                          <m:t>𝑁</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𝐴𝐺𝑐</m:t>
                            </m:r>
                          </m:sub>
                        </m:sSub>
                      </m:e>
                    </m:d>
                    <m:r>
                      <a:rPr lang="en-AU" sz="1100" i="1">
                        <a:latin typeface="Cambria Math" panose="02040503050406030204" pitchFamily="18" charset="0"/>
                      </a:rPr>
                      <m:t>+</m:t>
                    </m:r>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𝑃</m:t>
                            </m:r>
                          </m:e>
                          <m:sub>
                            <m:r>
                              <a:rPr lang="en-AU" sz="1100" i="1">
                                <a:latin typeface="Cambria Math" panose="02040503050406030204" pitchFamily="18" charset="0"/>
                              </a:rPr>
                              <m:t>𝑐</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𝑅</m:t>
                            </m:r>
                          </m:e>
                          <m:sub>
                            <m:r>
                              <a:rPr lang="en-AU" sz="1100" i="1">
                                <a:latin typeface="Cambria Math" panose="02040503050406030204" pitchFamily="18" charset="0"/>
                              </a:rPr>
                              <m:t>𝐴𝐺𝑐</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𝑅</m:t>
                            </m:r>
                          </m:e>
                          <m:sub>
                            <m:r>
                              <a:rPr lang="en-AU" sz="1100" i="1">
                                <a:latin typeface="Cambria Math" panose="02040503050406030204" pitchFamily="18" charset="0"/>
                              </a:rPr>
                              <m:t>𝐵𝐺𝑐</m:t>
                            </m:r>
                          </m:sub>
                        </m:sSub>
                        <m:r>
                          <a:rPr lang="en-AU" sz="1100" i="1">
                            <a:latin typeface="Cambria Math" panose="02040503050406030204" pitchFamily="18" charset="0"/>
                          </a:rPr>
                          <m:t>×</m:t>
                        </m:r>
                        <m:r>
                          <a:rPr lang="en-AU" sz="1100" i="1">
                            <a:latin typeface="Cambria Math" panose="02040503050406030204" pitchFamily="18" charset="0"/>
                          </a:rPr>
                          <m:t>𝐷</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𝑐</m:t>
                            </m:r>
                          </m:sub>
                        </m:sSub>
                        <m:r>
                          <a:rPr lang="en-AU" sz="1100" i="1">
                            <a:latin typeface="Cambria Math" panose="02040503050406030204" pitchFamily="18" charset="0"/>
                          </a:rPr>
                          <m:t>×</m:t>
                        </m:r>
                        <m:r>
                          <a:rPr lang="en-AU" sz="1100" i="1">
                            <a:latin typeface="Cambria Math" panose="02040503050406030204" pitchFamily="18" charset="0"/>
                          </a:rPr>
                          <m:t>𝑁</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𝐵𝐺𝑐</m:t>
                            </m:r>
                          </m:sub>
                        </m:sSub>
                      </m:e>
                    </m:d>
                  </m:oMath>
                </m:oMathPara>
              </a14:m>
              <a:endParaRPr lang="en-AU" sz="1100"/>
            </a:p>
          </xdr:txBody>
        </xdr:sp>
      </mc:Choice>
      <mc:Fallback xmlns="">
        <xdr:sp macro="" textlink="">
          <xdr:nvSpPr>
            <xdr:cNvPr id="12" name="TextBox 11">
              <a:extLst>
                <a:ext uri="{FF2B5EF4-FFF2-40B4-BE49-F238E27FC236}">
                  <a16:creationId xmlns:a16="http://schemas.microsoft.com/office/drawing/2014/main" id="{7244AF32-384C-4E03-A9DD-02ABB8EF5C7D}"/>
                </a:ext>
              </a:extLst>
            </xdr:cNvPr>
            <xdr:cNvSpPr txBox="1"/>
          </xdr:nvSpPr>
          <xdr:spPr>
            <a:xfrm>
              <a:off x="2657475" y="2014537"/>
              <a:ext cx="5559406" cy="1653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𝑀_𝑐=(𝑃_𝑐×𝑅_𝐴𝐺𝑐×(1−𝐹_𝑐−𝐹𝐹𝑂𝐷_𝑐 )×𝐷𝑀_𝑐×𝑁𝐶_𝐴𝐺𝑐 )+(𝑃_𝑐×𝑅_𝐴𝐺𝑐×𝑅_𝐵𝐺𝑐×𝐷𝑀_𝑐×𝑁𝐶_𝐵𝐺𝑐 )</a:t>
              </a:r>
              <a:endParaRPr lang="en-AU" sz="1100"/>
            </a:p>
          </xdr:txBody>
        </xdr:sp>
      </mc:Fallback>
    </mc:AlternateContent>
    <xdr:clientData/>
  </xdr:oneCellAnchor>
  <xdr:oneCellAnchor>
    <xdr:from>
      <xdr:col>12</xdr:col>
      <xdr:colOff>19050</xdr:colOff>
      <xdr:row>65</xdr:row>
      <xdr:rowOff>28575</xdr:rowOff>
    </xdr:from>
    <xdr:ext cx="2111860" cy="410753"/>
    <mc:AlternateContent xmlns:mc="http://schemas.openxmlformats.org/markup-compatibility/2006" xmlns:a14="http://schemas.microsoft.com/office/drawing/2010/main">
      <mc:Choice Requires="a14">
        <xdr:sp macro="" textlink="">
          <xdr:nvSpPr>
            <xdr:cNvPr id="13" name="TextBox 12">
              <a:extLst>
                <a:ext uri="{FF2B5EF4-FFF2-40B4-BE49-F238E27FC236}">
                  <a16:creationId xmlns:a16="http://schemas.microsoft.com/office/drawing/2014/main" id="{A21E8323-D262-4FF3-A521-E7179D5C755B}"/>
                </a:ext>
              </a:extLst>
            </xdr:cNvPr>
            <xdr:cNvSpPr txBox="1"/>
          </xdr:nvSpPr>
          <xdr:spPr>
            <a:xfrm>
              <a:off x="2695575" y="7591425"/>
              <a:ext cx="2111860" cy="41075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𝐸</m:t>
                    </m:r>
                    <m:r>
                      <a:rPr lang="en-AU" sz="1100" i="1">
                        <a:latin typeface="Cambria Math" panose="02040503050406030204" pitchFamily="18" charset="0"/>
                      </a:rPr>
                      <m:t>=</m:t>
                    </m:r>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𝑐</m:t>
                        </m:r>
                      </m:sub>
                      <m:sup/>
                      <m:e>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𝑐</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𝑁</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𝑔</m:t>
                            </m:r>
                            <m:r>
                              <a:rPr lang="en-AU" sz="1100" i="1">
                                <a:latin typeface="Cambria Math" panose="02040503050406030204" pitchFamily="18" charset="0"/>
                              </a:rPr>
                              <m:t>,</m:t>
                            </m:r>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e>
                    </m:nary>
                  </m:oMath>
                </m:oMathPara>
              </a14:m>
              <a:endParaRPr lang="en-AU" sz="1100"/>
            </a:p>
          </xdr:txBody>
        </xdr:sp>
      </mc:Choice>
      <mc:Fallback xmlns="">
        <xdr:sp macro="" textlink="">
          <xdr:nvSpPr>
            <xdr:cNvPr id="13" name="TextBox 12">
              <a:extLst>
                <a:ext uri="{FF2B5EF4-FFF2-40B4-BE49-F238E27FC236}">
                  <a16:creationId xmlns:a16="http://schemas.microsoft.com/office/drawing/2014/main" id="{A21E8323-D262-4FF3-A521-E7179D5C755B}"/>
                </a:ext>
              </a:extLst>
            </xdr:cNvPr>
            <xdr:cNvSpPr txBox="1"/>
          </xdr:nvSpPr>
          <xdr:spPr>
            <a:xfrm>
              <a:off x="2695575" y="7591425"/>
              <a:ext cx="2111860" cy="41075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𝐸=∑_𝑐▒〖𝑀_𝑐×𝐸𝐹_𝑁×𝐶_(𝑔,𝑁2𝑂)×10^(−3) 〗</a:t>
              </a:r>
              <a:endParaRPr lang="en-AU" sz="1100"/>
            </a:p>
          </xdr:txBody>
        </xdr:sp>
      </mc:Fallback>
    </mc:AlternateContent>
    <xdr:clientData/>
  </xdr:oneCellAnchor>
</xdr:wsDr>
</file>

<file path=xl/drawings/drawing4.xml><?xml version="1.0" encoding="utf-8"?>
<xdr:wsDr xmlns:xdr="http://schemas.openxmlformats.org/drawingml/2006/spreadsheetDrawing" xmlns:a="http://schemas.openxmlformats.org/drawingml/2006/main">
  <xdr:oneCellAnchor>
    <xdr:from>
      <xdr:col>2</xdr:col>
      <xdr:colOff>238125</xdr:colOff>
      <xdr:row>27</xdr:row>
      <xdr:rowOff>9525</xdr:rowOff>
    </xdr:from>
    <xdr:ext cx="2609850" cy="331116"/>
    <mc:AlternateContent xmlns:mc="http://schemas.openxmlformats.org/markup-compatibility/2006" xmlns:a14="http://schemas.microsoft.com/office/drawing/2010/main">
      <mc:Choice Requires="a14">
        <xdr:sp macro="" textlink="">
          <xdr:nvSpPr>
            <xdr:cNvPr id="4" name="TextBox 3">
              <a:extLst>
                <a:ext uri="{FF2B5EF4-FFF2-40B4-BE49-F238E27FC236}">
                  <a16:creationId xmlns:a16="http://schemas.microsoft.com/office/drawing/2014/main" id="{5CAF87B3-701F-4DE6-B7EF-7B18C084416E}"/>
                </a:ext>
              </a:extLst>
            </xdr:cNvPr>
            <xdr:cNvSpPr txBox="1"/>
          </xdr:nvSpPr>
          <xdr:spPr>
            <a:xfrm>
              <a:off x="2600325" y="6829425"/>
              <a:ext cx="2609850" cy="33111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b="0" i="1">
                            <a:latin typeface="Cambria Math" panose="02040503050406030204" pitchFamily="18" charset="0"/>
                          </a:rPr>
                        </m:ctrlPr>
                      </m:sSubPr>
                      <m:e>
                        <m:r>
                          <a:rPr lang="en-AU" sz="1100" b="0" i="1">
                            <a:latin typeface="Cambria Math" panose="02040503050406030204" pitchFamily="18" charset="0"/>
                          </a:rPr>
                          <m:t>𝐸</m:t>
                        </m:r>
                      </m:e>
                      <m:sub>
                        <m:r>
                          <a:rPr lang="en-AU" sz="1100" b="0" i="1">
                            <a:latin typeface="Cambria Math" panose="02040503050406030204" pitchFamily="18" charset="0"/>
                          </a:rPr>
                          <m:t>𝑁</m:t>
                        </m:r>
                        <m:r>
                          <a:rPr lang="en-AU" sz="1100" b="0" i="1">
                            <a:latin typeface="Cambria Math" panose="02040503050406030204" pitchFamily="18" charset="0"/>
                          </a:rPr>
                          <m:t>2</m:t>
                        </m:r>
                        <m:r>
                          <a:rPr lang="en-AU" sz="1100" b="0" i="1">
                            <a:latin typeface="Cambria Math" panose="02040503050406030204" pitchFamily="18" charset="0"/>
                          </a:rPr>
                          <m:t>𝑂</m:t>
                        </m:r>
                      </m:sub>
                    </m:sSub>
                    <m:r>
                      <a:rPr lang="en-AU" sz="1100" b="0" i="1">
                        <a:latin typeface="Cambria Math" panose="02040503050406030204" pitchFamily="18" charset="0"/>
                      </a:rPr>
                      <m:t>=</m:t>
                    </m:r>
                    <m:nary>
                      <m:naryPr>
                        <m:chr m:val="∑"/>
                        <m:limLoc m:val="subSup"/>
                        <m:supHide m:val="on"/>
                        <m:ctrlPr>
                          <a:rPr lang="en-AU" sz="1100" b="0" i="1">
                            <a:latin typeface="Cambria Math" panose="02040503050406030204" pitchFamily="18" charset="0"/>
                          </a:rPr>
                        </m:ctrlPr>
                      </m:naryPr>
                      <m:sub>
                        <m:r>
                          <a:rPr lang="en-AU" sz="1100" b="0" i="1">
                            <a:latin typeface="Cambria Math" panose="02040503050406030204" pitchFamily="18" charset="0"/>
                          </a:rPr>
                          <m:t>𝑝</m:t>
                        </m:r>
                      </m:sub>
                      <m:sup/>
                      <m:e>
                        <m:d>
                          <m:dPr>
                            <m:ctrlPr>
                              <a:rPr lang="en-AU" sz="1100" b="0" i="1">
                                <a:latin typeface="Cambria Math" panose="02040503050406030204" pitchFamily="18" charset="0"/>
                              </a:rPr>
                            </m:ctrlPr>
                          </m:dPr>
                          <m:e>
                            <m:sSub>
                              <m:sSubPr>
                                <m:ctrlPr>
                                  <a:rPr lang="en-AU" sz="1100" b="0" i="1">
                                    <a:latin typeface="Cambria Math" panose="02040503050406030204" pitchFamily="18" charset="0"/>
                                  </a:rPr>
                                </m:ctrlPr>
                              </m:sSubPr>
                              <m:e>
                                <m:r>
                                  <a:rPr lang="en-AU" sz="1100" b="0" i="1">
                                    <a:latin typeface="Cambria Math" panose="02040503050406030204" pitchFamily="18" charset="0"/>
                                  </a:rPr>
                                  <m:t>𝑀</m:t>
                                </m:r>
                              </m:e>
                              <m:sub>
                                <m:r>
                                  <a:rPr lang="en-AU" sz="1100" b="0" i="1">
                                    <a:latin typeface="Cambria Math" panose="02040503050406030204" pitchFamily="18" charset="0"/>
                                  </a:rPr>
                                  <m:t>𝑝</m:t>
                                </m:r>
                              </m:sub>
                            </m:sSub>
                            <m:r>
                              <a:rPr lang="en-AU" sz="1100" b="0" i="1">
                                <a:latin typeface="Cambria Math" panose="02040503050406030204" pitchFamily="18" charset="0"/>
                              </a:rPr>
                              <m:t>×</m:t>
                            </m:r>
                            <m:r>
                              <a:rPr lang="en-AU" sz="1100" b="0" i="1">
                                <a:latin typeface="Cambria Math" panose="02040503050406030204" pitchFamily="18" charset="0"/>
                              </a:rPr>
                              <m:t>𝐸</m:t>
                            </m:r>
                            <m:sSub>
                              <m:sSubPr>
                                <m:ctrlPr>
                                  <a:rPr lang="en-AU" sz="1100" b="0" i="1">
                                    <a:latin typeface="Cambria Math" panose="02040503050406030204" pitchFamily="18" charset="0"/>
                                  </a:rPr>
                                </m:ctrlPr>
                              </m:sSubPr>
                              <m:e>
                                <m:r>
                                  <a:rPr lang="en-AU" sz="1100" b="0" i="1">
                                    <a:latin typeface="Cambria Math" panose="02040503050406030204" pitchFamily="18" charset="0"/>
                                  </a:rPr>
                                  <m:t>𝐹</m:t>
                                </m:r>
                              </m:e>
                              <m:sub>
                                <m:r>
                                  <a:rPr lang="en-AU" sz="1100" b="0" i="1">
                                    <a:latin typeface="Cambria Math" panose="02040503050406030204" pitchFamily="18" charset="0"/>
                                  </a:rPr>
                                  <m:t>𝑁𝑖</m:t>
                                </m:r>
                              </m:sub>
                            </m:sSub>
                          </m:e>
                        </m:d>
                      </m:e>
                    </m:nary>
                    <m:r>
                      <a:rPr lang="en-AU" sz="1100" b="0" i="1">
                        <a:latin typeface="Cambria Math" panose="02040503050406030204" pitchFamily="18" charset="0"/>
                      </a:rPr>
                      <m:t>×</m:t>
                    </m:r>
                    <m:sSub>
                      <m:sSubPr>
                        <m:ctrlPr>
                          <a:rPr lang="en-AU" sz="1100" b="0" i="1">
                            <a:latin typeface="Cambria Math" panose="02040503050406030204" pitchFamily="18" charset="0"/>
                          </a:rPr>
                        </m:ctrlPr>
                      </m:sSubPr>
                      <m:e>
                        <m:r>
                          <a:rPr lang="en-AU" sz="1100" b="0" i="1">
                            <a:latin typeface="Cambria Math" panose="02040503050406030204" pitchFamily="18" charset="0"/>
                          </a:rPr>
                          <m:t>𝐶</m:t>
                        </m:r>
                      </m:e>
                      <m:sub>
                        <m:r>
                          <a:rPr lang="en-AU" sz="1100" b="0" i="1">
                            <a:latin typeface="Cambria Math" panose="02040503050406030204" pitchFamily="18" charset="0"/>
                          </a:rPr>
                          <m:t>𝑁</m:t>
                        </m:r>
                        <m:r>
                          <a:rPr lang="en-AU" sz="1100" b="0" i="1">
                            <a:latin typeface="Cambria Math" panose="02040503050406030204" pitchFamily="18" charset="0"/>
                          </a:rPr>
                          <m:t>2</m:t>
                        </m:r>
                        <m:r>
                          <a:rPr lang="en-AU" sz="1100" b="0" i="1">
                            <a:latin typeface="Cambria Math" panose="02040503050406030204" pitchFamily="18" charset="0"/>
                          </a:rPr>
                          <m:t>𝑂</m:t>
                        </m:r>
                      </m:sub>
                    </m:sSub>
                    <m:r>
                      <a:rPr lang="en-AU" sz="1100" b="0" i="1">
                        <a:latin typeface="Cambria Math" panose="02040503050406030204" pitchFamily="18" charset="0"/>
                      </a:rPr>
                      <m:t>×</m:t>
                    </m:r>
                    <m:sSup>
                      <m:sSupPr>
                        <m:ctrlPr>
                          <a:rPr lang="en-AU" sz="1100" b="0" i="1">
                            <a:latin typeface="Cambria Math" panose="02040503050406030204" pitchFamily="18" charset="0"/>
                          </a:rPr>
                        </m:ctrlPr>
                      </m:sSupPr>
                      <m:e>
                        <m:r>
                          <a:rPr lang="en-AU" sz="1100" b="0" i="1">
                            <a:latin typeface="Cambria Math" panose="02040503050406030204" pitchFamily="18" charset="0"/>
                          </a:rPr>
                          <m:t>10</m:t>
                        </m:r>
                      </m:e>
                      <m:sup>
                        <m:r>
                          <a:rPr lang="en-AU" sz="1100" b="0" i="1">
                            <a:latin typeface="Cambria Math" panose="02040503050406030204" pitchFamily="18" charset="0"/>
                          </a:rPr>
                          <m:t>−3</m:t>
                        </m:r>
                      </m:sup>
                    </m:sSup>
                  </m:oMath>
                </m:oMathPara>
              </a14:m>
              <a:endParaRPr lang="en-AU" sz="1100"/>
            </a:p>
          </xdr:txBody>
        </xdr:sp>
      </mc:Choice>
      <mc:Fallback xmlns="">
        <xdr:sp macro="" textlink="">
          <xdr:nvSpPr>
            <xdr:cNvPr id="4" name="TextBox 3">
              <a:extLst>
                <a:ext uri="{FF2B5EF4-FFF2-40B4-BE49-F238E27FC236}">
                  <a16:creationId xmlns:a16="http://schemas.microsoft.com/office/drawing/2014/main" id="{5CAF87B3-701F-4DE6-B7EF-7B18C084416E}"/>
                </a:ext>
              </a:extLst>
            </xdr:cNvPr>
            <xdr:cNvSpPr txBox="1"/>
          </xdr:nvSpPr>
          <xdr:spPr>
            <a:xfrm>
              <a:off x="2600325" y="6829425"/>
              <a:ext cx="2609850" cy="33111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r>
                <a:rPr lang="en-AU" sz="1100" b="0" i="0">
                  <a:latin typeface="Cambria Math" panose="02040503050406030204" pitchFamily="18" charset="0"/>
                </a:rPr>
                <a:t>𝐸_𝑁2𝑂=∑10_𝑝▒(𝑀_𝑝×𝐸𝐹_𝑁𝑖 ) ×𝐶_𝑁2𝑂×10^(−3)</a:t>
              </a:r>
              <a:endParaRPr lang="en-AU" sz="1100"/>
            </a:p>
          </xdr:txBody>
        </xdr:sp>
      </mc:Fallback>
    </mc:AlternateContent>
    <xdr:clientData/>
  </xdr:oneCellAnchor>
  <xdr:oneCellAnchor>
    <xdr:from>
      <xdr:col>3</xdr:col>
      <xdr:colOff>19050</xdr:colOff>
      <xdr:row>7</xdr:row>
      <xdr:rowOff>104775</xdr:rowOff>
    </xdr:from>
    <xdr:ext cx="5445786" cy="194412"/>
    <mc:AlternateContent xmlns:mc="http://schemas.openxmlformats.org/markup-compatibility/2006" xmlns:a14="http://schemas.microsoft.com/office/drawing/2010/main">
      <mc:Choice Requires="a14">
        <xdr:sp macro="" textlink="">
          <xdr:nvSpPr>
            <xdr:cNvPr id="5" name="TextBox 4">
              <a:extLst>
                <a:ext uri="{FF2B5EF4-FFF2-40B4-BE49-F238E27FC236}">
                  <a16:creationId xmlns:a16="http://schemas.microsoft.com/office/drawing/2014/main" id="{52EA7C64-AD79-4CE0-B83A-35BC2360A266}"/>
                </a:ext>
              </a:extLst>
            </xdr:cNvPr>
            <xdr:cNvSpPr txBox="1"/>
          </xdr:nvSpPr>
          <xdr:spPr>
            <a:xfrm>
              <a:off x="2695575" y="1971675"/>
              <a:ext cx="5445786" cy="19441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b="0" i="1">
                            <a:latin typeface="Cambria Math" panose="02040503050406030204" pitchFamily="18" charset="0"/>
                          </a:rPr>
                        </m:ctrlPr>
                      </m:sSubPr>
                      <m:e>
                        <m:r>
                          <a:rPr lang="en-AU" sz="1100" b="0" i="1">
                            <a:latin typeface="Cambria Math" panose="02040503050406030204" pitchFamily="18" charset="0"/>
                          </a:rPr>
                          <m:t>𝑀</m:t>
                        </m:r>
                      </m:e>
                      <m:sub>
                        <m:r>
                          <a:rPr lang="en-AU" sz="1100" b="0" i="1">
                            <a:latin typeface="Cambria Math" panose="02040503050406030204" pitchFamily="18" charset="0"/>
                          </a:rPr>
                          <m:t>𝑝</m:t>
                        </m:r>
                      </m:sub>
                    </m:sSub>
                    <m:r>
                      <a:rPr lang="en-AU" sz="1100" b="0" i="1">
                        <a:latin typeface="Cambria Math" panose="02040503050406030204" pitchFamily="18" charset="0"/>
                      </a:rPr>
                      <m:t>=</m:t>
                    </m:r>
                    <m:d>
                      <m:dPr>
                        <m:ctrlPr>
                          <a:rPr lang="en-AU" sz="1100" b="0" i="1">
                            <a:latin typeface="Cambria Math" panose="02040503050406030204" pitchFamily="18" charset="0"/>
                          </a:rPr>
                        </m:ctrlPr>
                      </m:dPr>
                      <m:e>
                        <m:sSub>
                          <m:sSubPr>
                            <m:ctrlPr>
                              <a:rPr lang="en-AU" sz="1100" b="0" i="1">
                                <a:latin typeface="Cambria Math" panose="02040503050406030204" pitchFamily="18" charset="0"/>
                              </a:rPr>
                            </m:ctrlPr>
                          </m:sSubPr>
                          <m:e>
                            <m:r>
                              <a:rPr lang="en-AU" sz="1100" b="0" i="1">
                                <a:latin typeface="Cambria Math" panose="02040503050406030204" pitchFamily="18" charset="0"/>
                              </a:rPr>
                              <m:t>𝐴</m:t>
                            </m:r>
                          </m:e>
                          <m:sub>
                            <m:r>
                              <a:rPr lang="en-AU" sz="1100" b="0" i="1">
                                <a:latin typeface="Cambria Math" panose="02040503050406030204" pitchFamily="18" charset="0"/>
                              </a:rPr>
                              <m:t>𝑝</m:t>
                            </m:r>
                          </m:sub>
                        </m:sSub>
                        <m:r>
                          <a:rPr lang="en-AU" sz="1100" b="0" i="1">
                            <a:latin typeface="Cambria Math" panose="02040503050406030204" pitchFamily="18" charset="0"/>
                          </a:rPr>
                          <m:t>×</m:t>
                        </m:r>
                        <m:d>
                          <m:dPr>
                            <m:ctrlPr>
                              <a:rPr lang="en-AU" sz="1100" b="0" i="1">
                                <a:latin typeface="Cambria Math" panose="02040503050406030204" pitchFamily="18" charset="0"/>
                              </a:rPr>
                            </m:ctrlPr>
                          </m:dPr>
                          <m:e>
                            <m:sSub>
                              <m:sSubPr>
                                <m:ctrlPr>
                                  <a:rPr lang="en-AU" sz="1100" b="0" i="1">
                                    <a:latin typeface="Cambria Math" panose="02040503050406030204" pitchFamily="18" charset="0"/>
                                  </a:rPr>
                                </m:ctrlPr>
                              </m:sSubPr>
                              <m:e>
                                <m:r>
                                  <a:rPr lang="en-AU" sz="1100" b="0" i="1">
                                    <a:latin typeface="Cambria Math" panose="02040503050406030204" pitchFamily="18" charset="0"/>
                                  </a:rPr>
                                  <m:t>𝑌</m:t>
                                </m:r>
                              </m:e>
                              <m:sub>
                                <m:r>
                                  <a:rPr lang="en-AU" sz="1100" b="0" i="1">
                                    <a:latin typeface="Cambria Math" panose="02040503050406030204" pitchFamily="18" charset="0"/>
                                  </a:rPr>
                                  <m:t>𝑝</m:t>
                                </m:r>
                              </m:sub>
                            </m:sSub>
                            <m:r>
                              <a:rPr lang="en-AU" sz="1100" b="0" i="1">
                                <a:latin typeface="Cambria Math" panose="02040503050406030204" pitchFamily="18" charset="0"/>
                              </a:rPr>
                              <m:t>×</m:t>
                            </m:r>
                            <m:sSup>
                              <m:sSupPr>
                                <m:ctrlPr>
                                  <a:rPr lang="en-AU" sz="1100" b="0" i="1">
                                    <a:latin typeface="Cambria Math" panose="02040503050406030204" pitchFamily="18" charset="0"/>
                                  </a:rPr>
                                </m:ctrlPr>
                              </m:sSupPr>
                              <m:e>
                                <m:r>
                                  <a:rPr lang="en-AU" sz="1100" b="0" i="1">
                                    <a:latin typeface="Cambria Math" panose="02040503050406030204" pitchFamily="18" charset="0"/>
                                  </a:rPr>
                                  <m:t>10</m:t>
                                </m:r>
                              </m:e>
                              <m:sup>
                                <m:r>
                                  <a:rPr lang="en-AU" sz="1100" b="0" i="1">
                                    <a:latin typeface="Cambria Math" panose="02040503050406030204" pitchFamily="18" charset="0"/>
                                  </a:rPr>
                                  <m:t>−3</m:t>
                                </m:r>
                              </m:sup>
                            </m:sSup>
                          </m:e>
                        </m:d>
                        <m:r>
                          <a:rPr lang="en-AU" sz="1100" b="0" i="1">
                            <a:latin typeface="Cambria Math" panose="02040503050406030204" pitchFamily="18" charset="0"/>
                          </a:rPr>
                          <m:t>×</m:t>
                        </m:r>
                        <m:d>
                          <m:dPr>
                            <m:ctrlPr>
                              <a:rPr lang="en-AU" sz="1100" b="0" i="1">
                                <a:latin typeface="Cambria Math" panose="02040503050406030204" pitchFamily="18" charset="0"/>
                              </a:rPr>
                            </m:ctrlPr>
                          </m:dPr>
                          <m:e>
                            <m:r>
                              <a:rPr lang="en-AU" sz="1100" b="0" i="1">
                                <a:latin typeface="Cambria Math" panose="02040503050406030204" pitchFamily="18" charset="0"/>
                              </a:rPr>
                              <m:t>1−</m:t>
                            </m:r>
                            <m:r>
                              <a:rPr lang="en-AU" sz="1100" b="0" i="1">
                                <a:latin typeface="Cambria Math" panose="02040503050406030204" pitchFamily="18" charset="0"/>
                              </a:rPr>
                              <m:t>𝐹𝐹𝑂</m:t>
                            </m:r>
                            <m:sSub>
                              <m:sSubPr>
                                <m:ctrlPr>
                                  <a:rPr lang="en-AU" sz="1100" b="0" i="1">
                                    <a:latin typeface="Cambria Math" panose="02040503050406030204" pitchFamily="18" charset="0"/>
                                  </a:rPr>
                                </m:ctrlPr>
                              </m:sSubPr>
                              <m:e>
                                <m:r>
                                  <a:rPr lang="en-AU" sz="1100" b="0" i="1">
                                    <a:latin typeface="Cambria Math" panose="02040503050406030204" pitchFamily="18" charset="0"/>
                                  </a:rPr>
                                  <m:t>𝐷</m:t>
                                </m:r>
                              </m:e>
                              <m:sub>
                                <m:r>
                                  <a:rPr lang="en-AU" sz="1100" b="0" i="1">
                                    <a:latin typeface="Cambria Math" panose="02040503050406030204" pitchFamily="18" charset="0"/>
                                  </a:rPr>
                                  <m:t>𝑝</m:t>
                                </m:r>
                              </m:sub>
                            </m:sSub>
                          </m:e>
                        </m:d>
                        <m:r>
                          <a:rPr lang="en-AU" sz="1100" b="0" i="1">
                            <a:latin typeface="Cambria Math" panose="02040503050406030204" pitchFamily="18" charset="0"/>
                          </a:rPr>
                          <m:t>×</m:t>
                        </m:r>
                        <m:r>
                          <a:rPr lang="en-AU" sz="1100" b="0" i="1">
                            <a:latin typeface="Cambria Math" panose="02040503050406030204" pitchFamily="18" charset="0"/>
                          </a:rPr>
                          <m:t>𝑁</m:t>
                        </m:r>
                        <m:sSub>
                          <m:sSubPr>
                            <m:ctrlPr>
                              <a:rPr lang="en-AU" sz="1100" b="0" i="1">
                                <a:latin typeface="Cambria Math" panose="02040503050406030204" pitchFamily="18" charset="0"/>
                              </a:rPr>
                            </m:ctrlPr>
                          </m:sSubPr>
                          <m:e>
                            <m:r>
                              <a:rPr lang="en-AU" sz="1100" b="0" i="1">
                                <a:latin typeface="Cambria Math" panose="02040503050406030204" pitchFamily="18" charset="0"/>
                              </a:rPr>
                              <m:t>𝐶</m:t>
                            </m:r>
                          </m:e>
                          <m:sub>
                            <m:r>
                              <a:rPr lang="en-AU" sz="1100" b="0" i="1">
                                <a:latin typeface="Cambria Math" panose="02040503050406030204" pitchFamily="18" charset="0"/>
                              </a:rPr>
                              <m:t>𝐴𝐺𝑝</m:t>
                            </m:r>
                          </m:sub>
                        </m:sSub>
                      </m:e>
                    </m:d>
                    <m:r>
                      <a:rPr lang="en-AU" sz="1100" b="0" i="1">
                        <a:latin typeface="Cambria Math" panose="02040503050406030204" pitchFamily="18" charset="0"/>
                      </a:rPr>
                      <m:t>+</m:t>
                    </m:r>
                    <m:d>
                      <m:dPr>
                        <m:ctrlPr>
                          <a:rPr lang="en-AU" sz="1100" b="0" i="1">
                            <a:latin typeface="Cambria Math" panose="02040503050406030204" pitchFamily="18" charset="0"/>
                          </a:rPr>
                        </m:ctrlPr>
                      </m:dPr>
                      <m:e>
                        <m:sSub>
                          <m:sSubPr>
                            <m:ctrlPr>
                              <a:rPr lang="en-AU" sz="1100" b="0" i="1">
                                <a:latin typeface="Cambria Math" panose="02040503050406030204" pitchFamily="18" charset="0"/>
                              </a:rPr>
                            </m:ctrlPr>
                          </m:sSubPr>
                          <m:e>
                            <m:r>
                              <a:rPr lang="en-AU" sz="1100" b="0" i="1">
                                <a:latin typeface="Cambria Math" panose="02040503050406030204" pitchFamily="18" charset="0"/>
                              </a:rPr>
                              <m:t>𝐴</m:t>
                            </m:r>
                          </m:e>
                          <m:sub>
                            <m:r>
                              <a:rPr lang="en-AU" sz="1100" b="0" i="1">
                                <a:latin typeface="Cambria Math" panose="02040503050406030204" pitchFamily="18" charset="0"/>
                              </a:rPr>
                              <m:t>𝑝</m:t>
                            </m:r>
                          </m:sub>
                        </m:sSub>
                        <m:r>
                          <a:rPr lang="en-AU" sz="1100" b="0" i="1">
                            <a:latin typeface="Cambria Math" panose="02040503050406030204" pitchFamily="18" charset="0"/>
                          </a:rPr>
                          <m:t>×</m:t>
                        </m:r>
                        <m:d>
                          <m:dPr>
                            <m:ctrlPr>
                              <a:rPr lang="en-AU" sz="1100" b="0" i="1">
                                <a:latin typeface="Cambria Math" panose="02040503050406030204" pitchFamily="18" charset="0"/>
                              </a:rPr>
                            </m:ctrlPr>
                          </m:dPr>
                          <m:e>
                            <m:sSub>
                              <m:sSubPr>
                                <m:ctrlPr>
                                  <a:rPr lang="en-AU" sz="1100" b="0" i="1">
                                    <a:latin typeface="Cambria Math" panose="02040503050406030204" pitchFamily="18" charset="0"/>
                                  </a:rPr>
                                </m:ctrlPr>
                              </m:sSubPr>
                              <m:e>
                                <m:r>
                                  <a:rPr lang="en-AU" sz="1100" b="0" i="1">
                                    <a:latin typeface="Cambria Math" panose="02040503050406030204" pitchFamily="18" charset="0"/>
                                  </a:rPr>
                                  <m:t>𝑌</m:t>
                                </m:r>
                              </m:e>
                              <m:sub>
                                <m:r>
                                  <a:rPr lang="en-AU" sz="1100" b="0" i="1">
                                    <a:latin typeface="Cambria Math" panose="02040503050406030204" pitchFamily="18" charset="0"/>
                                  </a:rPr>
                                  <m:t>𝑝</m:t>
                                </m:r>
                              </m:sub>
                            </m:sSub>
                            <m:r>
                              <a:rPr lang="en-AU" sz="1100" b="0" i="1">
                                <a:latin typeface="Cambria Math" panose="02040503050406030204" pitchFamily="18" charset="0"/>
                              </a:rPr>
                              <m:t>×</m:t>
                            </m:r>
                            <m:sSup>
                              <m:sSupPr>
                                <m:ctrlPr>
                                  <a:rPr lang="en-AU" sz="1100" b="0" i="1">
                                    <a:latin typeface="Cambria Math" panose="02040503050406030204" pitchFamily="18" charset="0"/>
                                  </a:rPr>
                                </m:ctrlPr>
                              </m:sSupPr>
                              <m:e>
                                <m:r>
                                  <a:rPr lang="en-AU" sz="1100" b="0" i="1">
                                    <a:latin typeface="Cambria Math" panose="02040503050406030204" pitchFamily="18" charset="0"/>
                                  </a:rPr>
                                  <m:t>10</m:t>
                                </m:r>
                              </m:e>
                              <m:sup>
                                <m:r>
                                  <a:rPr lang="en-AU" sz="1100" b="0" i="1">
                                    <a:latin typeface="Cambria Math" panose="02040503050406030204" pitchFamily="18" charset="0"/>
                                  </a:rPr>
                                  <m:t>−3</m:t>
                                </m:r>
                              </m:sup>
                            </m:sSup>
                          </m:e>
                        </m:d>
                        <m:r>
                          <a:rPr lang="en-AU" sz="1100" b="0" i="1">
                            <a:latin typeface="Cambria Math" panose="02040503050406030204" pitchFamily="18" charset="0"/>
                          </a:rPr>
                          <m:t>×</m:t>
                        </m:r>
                        <m:sSub>
                          <m:sSubPr>
                            <m:ctrlPr>
                              <a:rPr lang="en-AU" sz="1100" b="0" i="1">
                                <a:latin typeface="Cambria Math" panose="02040503050406030204" pitchFamily="18" charset="0"/>
                              </a:rPr>
                            </m:ctrlPr>
                          </m:sSubPr>
                          <m:e>
                            <m:r>
                              <a:rPr lang="en-AU" sz="1100" b="0" i="1">
                                <a:latin typeface="Cambria Math" panose="02040503050406030204" pitchFamily="18" charset="0"/>
                              </a:rPr>
                              <m:t>𝑅</m:t>
                            </m:r>
                          </m:e>
                          <m:sub>
                            <m:r>
                              <a:rPr lang="en-AU" sz="1100" b="0" i="1">
                                <a:latin typeface="Cambria Math" panose="02040503050406030204" pitchFamily="18" charset="0"/>
                              </a:rPr>
                              <m:t>𝐵𝐺𝑝</m:t>
                            </m:r>
                          </m:sub>
                        </m:sSub>
                        <m:r>
                          <a:rPr lang="en-AU" sz="1100" b="0" i="1">
                            <a:latin typeface="Cambria Math" panose="02040503050406030204" pitchFamily="18" charset="0"/>
                          </a:rPr>
                          <m:t>×</m:t>
                        </m:r>
                        <m:r>
                          <a:rPr lang="en-AU" sz="1100" b="0" i="1">
                            <a:latin typeface="Cambria Math" panose="02040503050406030204" pitchFamily="18" charset="0"/>
                          </a:rPr>
                          <m:t>𝑁</m:t>
                        </m:r>
                        <m:sSub>
                          <m:sSubPr>
                            <m:ctrlPr>
                              <a:rPr lang="en-AU" sz="1100" b="0" i="1">
                                <a:latin typeface="Cambria Math" panose="02040503050406030204" pitchFamily="18" charset="0"/>
                              </a:rPr>
                            </m:ctrlPr>
                          </m:sSubPr>
                          <m:e>
                            <m:r>
                              <a:rPr lang="en-AU" sz="1100" b="0" i="1">
                                <a:latin typeface="Cambria Math" panose="02040503050406030204" pitchFamily="18" charset="0"/>
                              </a:rPr>
                              <m:t>𝐶</m:t>
                            </m:r>
                          </m:e>
                          <m:sub>
                            <m:r>
                              <a:rPr lang="en-AU" sz="1100" b="0" i="1">
                                <a:latin typeface="Cambria Math" panose="02040503050406030204" pitchFamily="18" charset="0"/>
                              </a:rPr>
                              <m:t>𝐵𝐺𝑝</m:t>
                            </m:r>
                          </m:sub>
                        </m:sSub>
                      </m:e>
                    </m:d>
                  </m:oMath>
                </m:oMathPara>
              </a14:m>
              <a:endParaRPr lang="en-AU" sz="1100"/>
            </a:p>
          </xdr:txBody>
        </xdr:sp>
      </mc:Choice>
      <mc:Fallback xmlns="">
        <xdr:sp macro="" textlink="">
          <xdr:nvSpPr>
            <xdr:cNvPr id="5" name="TextBox 4">
              <a:extLst>
                <a:ext uri="{FF2B5EF4-FFF2-40B4-BE49-F238E27FC236}">
                  <a16:creationId xmlns:a16="http://schemas.microsoft.com/office/drawing/2014/main" id="{52EA7C64-AD79-4CE0-B83A-35BC2360A266}"/>
                </a:ext>
              </a:extLst>
            </xdr:cNvPr>
            <xdr:cNvSpPr txBox="1"/>
          </xdr:nvSpPr>
          <xdr:spPr>
            <a:xfrm>
              <a:off x="2695575" y="1971675"/>
              <a:ext cx="5445786" cy="19441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b="0" i="0">
                  <a:latin typeface="Cambria Math" panose="02040503050406030204" pitchFamily="18" charset="0"/>
                </a:rPr>
                <a:t>𝑀_𝑝=(𝐴_𝑝×(𝑌_𝑝×10^(−3) )×(1−𝐹𝐹𝑂𝐷_𝑝 )×𝑁𝐶_𝐴𝐺𝑝 )+(𝐴_𝑝×(𝑌_𝑝×10^(−3) )×𝑅_𝐵𝐺𝑝×𝑁𝐶_𝐵𝐺𝑝 )</a:t>
              </a:r>
              <a:endParaRPr lang="en-AU" sz="1100"/>
            </a:p>
          </xdr:txBody>
        </xdr:sp>
      </mc:Fallback>
    </mc:AlternateContent>
    <xdr:clientData/>
  </xdr:oneCellAnchor>
  <xdr:oneCellAnchor>
    <xdr:from>
      <xdr:col>12</xdr:col>
      <xdr:colOff>238125</xdr:colOff>
      <xdr:row>27</xdr:row>
      <xdr:rowOff>9525</xdr:rowOff>
    </xdr:from>
    <xdr:ext cx="2609850" cy="429348"/>
    <mc:AlternateContent xmlns:mc="http://schemas.openxmlformats.org/markup-compatibility/2006" xmlns:a14="http://schemas.microsoft.com/office/drawing/2010/main">
      <mc:Choice Requires="a14">
        <xdr:sp macro="" textlink="">
          <xdr:nvSpPr>
            <xdr:cNvPr id="9" name="TextBox 8">
              <a:extLst>
                <a:ext uri="{FF2B5EF4-FFF2-40B4-BE49-F238E27FC236}">
                  <a16:creationId xmlns:a16="http://schemas.microsoft.com/office/drawing/2014/main" id="{79595E21-FF86-43A2-9573-647953AF1605}"/>
                </a:ext>
              </a:extLst>
            </xdr:cNvPr>
            <xdr:cNvSpPr txBox="1"/>
          </xdr:nvSpPr>
          <xdr:spPr>
            <a:xfrm>
              <a:off x="2600325" y="6829425"/>
              <a:ext cx="2609850" cy="42934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b="0" i="1">
                            <a:latin typeface="Cambria Math" panose="02040503050406030204" pitchFamily="18" charset="0"/>
                          </a:rPr>
                        </m:ctrlPr>
                      </m:sSubPr>
                      <m:e>
                        <m:r>
                          <a:rPr lang="en-AU" sz="1100" b="0" i="1">
                            <a:latin typeface="Cambria Math" panose="02040503050406030204" pitchFamily="18" charset="0"/>
                          </a:rPr>
                          <m:t>𝐸</m:t>
                        </m:r>
                      </m:e>
                      <m:sub>
                        <m:r>
                          <a:rPr lang="en-AU" sz="1100" b="0" i="1">
                            <a:latin typeface="Cambria Math" panose="02040503050406030204" pitchFamily="18" charset="0"/>
                          </a:rPr>
                          <m:t>𝑁</m:t>
                        </m:r>
                        <m:r>
                          <a:rPr lang="en-AU" sz="1100" b="0" i="1">
                            <a:latin typeface="Cambria Math" panose="02040503050406030204" pitchFamily="18" charset="0"/>
                          </a:rPr>
                          <m:t>2</m:t>
                        </m:r>
                        <m:r>
                          <m:rPr>
                            <m:sty m:val="p"/>
                          </m:rPr>
                          <a:rPr lang="en-AU" sz="1100" b="0" i="1">
                            <a:latin typeface="Cambria Math" panose="02040503050406030204" pitchFamily="18" charset="0"/>
                          </a:rPr>
                          <m:t>O</m:t>
                        </m:r>
                      </m:sub>
                    </m:sSub>
                    <m:r>
                      <a:rPr lang="en-AU" sz="1100" b="0" i="1">
                        <a:latin typeface="Cambria Math" panose="02040503050406030204" pitchFamily="18" charset="0"/>
                      </a:rPr>
                      <m:t>=</m:t>
                    </m:r>
                    <m:nary>
                      <m:naryPr>
                        <m:chr m:val="∑"/>
                        <m:supHide m:val="on"/>
                        <m:ctrlPr>
                          <a:rPr lang="en-AU" sz="1100" b="0" i="1">
                            <a:latin typeface="Cambria Math" panose="02040503050406030204" pitchFamily="18" charset="0"/>
                          </a:rPr>
                        </m:ctrlPr>
                      </m:naryPr>
                      <m:sub>
                        <m:r>
                          <a:rPr lang="en-AU" sz="1100" b="0" i="1">
                            <a:latin typeface="Cambria Math" panose="02040503050406030204" pitchFamily="18" charset="0"/>
                          </a:rPr>
                          <m:t>𝑝</m:t>
                        </m:r>
                      </m:sub>
                      <m:sup/>
                      <m:e>
                        <m:d>
                          <m:dPr>
                            <m:ctrlPr>
                              <a:rPr lang="en-AU" sz="1100" b="0" i="1">
                                <a:latin typeface="Cambria Math" panose="02040503050406030204" pitchFamily="18" charset="0"/>
                              </a:rPr>
                            </m:ctrlPr>
                          </m:dPr>
                          <m:e>
                            <m:sSub>
                              <m:sSubPr>
                                <m:ctrlPr>
                                  <a:rPr lang="en-AU" sz="1100" b="0" i="1">
                                    <a:latin typeface="Cambria Math" panose="02040503050406030204" pitchFamily="18" charset="0"/>
                                  </a:rPr>
                                </m:ctrlPr>
                              </m:sSubPr>
                              <m:e>
                                <m:r>
                                  <a:rPr lang="en-AU" sz="1100" b="0" i="1">
                                    <a:latin typeface="Cambria Math" panose="02040503050406030204" pitchFamily="18" charset="0"/>
                                  </a:rPr>
                                  <m:t>𝑀</m:t>
                                </m:r>
                              </m:e>
                              <m:sub>
                                <m:r>
                                  <a:rPr lang="en-AU" sz="1100" b="0" i="1">
                                    <a:latin typeface="Cambria Math" panose="02040503050406030204" pitchFamily="18" charset="0"/>
                                  </a:rPr>
                                  <m:t>𝑝</m:t>
                                </m:r>
                              </m:sub>
                            </m:sSub>
                            <m:r>
                              <a:rPr lang="en-AU" sz="1100" b="0" i="1">
                                <a:latin typeface="Cambria Math" panose="02040503050406030204" pitchFamily="18" charset="0"/>
                              </a:rPr>
                              <m:t>×</m:t>
                            </m:r>
                            <m:r>
                              <a:rPr lang="en-AU" sz="1100" b="0" i="1">
                                <a:latin typeface="Cambria Math" panose="02040503050406030204" pitchFamily="18" charset="0"/>
                              </a:rPr>
                              <m:t>𝐸</m:t>
                            </m:r>
                            <m:sSub>
                              <m:sSubPr>
                                <m:ctrlPr>
                                  <a:rPr lang="en-AU" sz="1100" b="0" i="1">
                                    <a:latin typeface="Cambria Math" panose="02040503050406030204" pitchFamily="18" charset="0"/>
                                  </a:rPr>
                                </m:ctrlPr>
                              </m:sSubPr>
                              <m:e>
                                <m:r>
                                  <a:rPr lang="en-AU" sz="1100" b="0" i="1">
                                    <a:latin typeface="Cambria Math" panose="02040503050406030204" pitchFamily="18" charset="0"/>
                                  </a:rPr>
                                  <m:t>𝐹</m:t>
                                </m:r>
                              </m:e>
                              <m:sub>
                                <m:r>
                                  <a:rPr lang="en-AU" sz="1100" b="0" i="1">
                                    <a:latin typeface="Cambria Math" panose="02040503050406030204" pitchFamily="18" charset="0"/>
                                  </a:rPr>
                                  <m:t>𝑁𝑖</m:t>
                                </m:r>
                              </m:sub>
                            </m:sSub>
                            <m:r>
                              <a:rPr lang="en-AU" sz="1100" b="0" i="1">
                                <a:latin typeface="Cambria Math" panose="02040503050406030204" pitchFamily="18" charset="0"/>
                              </a:rPr>
                              <m:t>×</m:t>
                            </m:r>
                            <m:sSub>
                              <m:sSubPr>
                                <m:ctrlPr>
                                  <a:rPr lang="en-AU" sz="1100" b="0" i="1">
                                    <a:latin typeface="Cambria Math" panose="02040503050406030204" pitchFamily="18" charset="0"/>
                                  </a:rPr>
                                </m:ctrlPr>
                              </m:sSubPr>
                              <m:e>
                                <m:r>
                                  <a:rPr lang="en-AU" sz="1100" b="0" i="1">
                                    <a:latin typeface="Cambria Math" panose="02040503050406030204" pitchFamily="18" charset="0"/>
                                  </a:rPr>
                                  <m:t>𝐶</m:t>
                                </m:r>
                              </m:e>
                              <m:sub>
                                <m:r>
                                  <a:rPr lang="en-AU" sz="1100" b="0" i="1">
                                    <a:latin typeface="Cambria Math" panose="02040503050406030204" pitchFamily="18" charset="0"/>
                                  </a:rPr>
                                  <m:t>𝑁</m:t>
                                </m:r>
                                <m:r>
                                  <a:rPr lang="en-AU" sz="1100" b="0" i="1">
                                    <a:latin typeface="Cambria Math" panose="02040503050406030204" pitchFamily="18" charset="0"/>
                                  </a:rPr>
                                  <m:t>2</m:t>
                                </m:r>
                                <m:r>
                                  <a:rPr lang="en-AU" sz="1100" b="0" i="1">
                                    <a:latin typeface="Cambria Math" panose="02040503050406030204" pitchFamily="18" charset="0"/>
                                  </a:rPr>
                                  <m:t>𝑂</m:t>
                                </m:r>
                              </m:sub>
                            </m:sSub>
                            <m:r>
                              <a:rPr lang="en-AU" sz="1100" b="0" i="1">
                                <a:latin typeface="Cambria Math" panose="02040503050406030204" pitchFamily="18" charset="0"/>
                              </a:rPr>
                              <m:t>×</m:t>
                            </m:r>
                            <m:sSup>
                              <m:sSupPr>
                                <m:ctrlPr>
                                  <a:rPr lang="en-AU" sz="1100" b="0" i="1">
                                    <a:latin typeface="Cambria Math" panose="02040503050406030204" pitchFamily="18" charset="0"/>
                                  </a:rPr>
                                </m:ctrlPr>
                              </m:sSupPr>
                              <m:e>
                                <m:r>
                                  <a:rPr lang="en-AU" sz="1100" b="0" i="1">
                                    <a:latin typeface="Cambria Math" panose="02040503050406030204" pitchFamily="18" charset="0"/>
                                  </a:rPr>
                                  <m:t>10</m:t>
                                </m:r>
                              </m:e>
                              <m:sup>
                                <m:r>
                                  <a:rPr lang="en-AU" sz="1100" b="0" i="1">
                                    <a:latin typeface="Cambria Math" panose="02040503050406030204" pitchFamily="18" charset="0"/>
                                  </a:rPr>
                                  <m:t>−3</m:t>
                                </m:r>
                              </m:sup>
                            </m:sSup>
                          </m:e>
                        </m:d>
                      </m:e>
                    </m:nary>
                  </m:oMath>
                </m:oMathPara>
              </a14:m>
              <a:endParaRPr lang="en-AU" sz="1100"/>
            </a:p>
          </xdr:txBody>
        </xdr:sp>
      </mc:Choice>
      <mc:Fallback xmlns="">
        <xdr:sp macro="" textlink="">
          <xdr:nvSpPr>
            <xdr:cNvPr id="9" name="TextBox 8">
              <a:extLst>
                <a:ext uri="{FF2B5EF4-FFF2-40B4-BE49-F238E27FC236}">
                  <a16:creationId xmlns:a16="http://schemas.microsoft.com/office/drawing/2014/main" id="{79595E21-FF86-43A2-9573-647953AF1605}"/>
                </a:ext>
              </a:extLst>
            </xdr:cNvPr>
            <xdr:cNvSpPr txBox="1"/>
          </xdr:nvSpPr>
          <xdr:spPr>
            <a:xfrm>
              <a:off x="2600325" y="6829425"/>
              <a:ext cx="2609850" cy="42934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r>
                <a:rPr lang="en-AU" sz="1100" b="0" i="0">
                  <a:latin typeface="Cambria Math" panose="02040503050406030204" pitchFamily="18" charset="0"/>
                </a:rPr>
                <a:t>𝐸_𝑁2O=∑_𝑝▒(𝑀_𝑝×𝐸𝐹_𝑁𝑖×𝐶_𝑁2𝑂×10^(−3) ) </a:t>
              </a:r>
              <a:endParaRPr lang="en-AU" sz="1100"/>
            </a:p>
          </xdr:txBody>
        </xdr:sp>
      </mc:Fallback>
    </mc:AlternateContent>
    <xdr:clientData/>
  </xdr:oneCellAnchor>
</xdr:wsDr>
</file>

<file path=xl/drawings/drawing5.xml><?xml version="1.0" encoding="utf-8"?>
<xdr:wsDr xmlns:xdr="http://schemas.openxmlformats.org/drawingml/2006/spreadsheetDrawing" xmlns:a="http://schemas.openxmlformats.org/drawingml/2006/main">
  <xdr:oneCellAnchor>
    <xdr:from>
      <xdr:col>3</xdr:col>
      <xdr:colOff>9525</xdr:colOff>
      <xdr:row>7</xdr:row>
      <xdr:rowOff>161925</xdr:rowOff>
    </xdr:from>
    <xdr:ext cx="2692147" cy="182871"/>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1968D220-90DE-48A9-90C2-1DAB676B920B}"/>
                </a:ext>
              </a:extLst>
            </xdr:cNvPr>
            <xdr:cNvSpPr txBox="1"/>
          </xdr:nvSpPr>
          <xdr:spPr>
            <a:xfrm>
              <a:off x="2686050" y="2028825"/>
              <a:ext cx="2692147"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b="0" i="1" u="none" strike="noStrike">
                            <a:solidFill>
                              <a:schemeClr val="tx1"/>
                            </a:solidFill>
                            <a:effectLst/>
                            <a:latin typeface="Cambria Math" panose="02040503050406030204" pitchFamily="18" charset="0"/>
                            <a:ea typeface="+mn-ea"/>
                            <a:cs typeface="+mn-cs"/>
                          </a:rPr>
                        </m:ctrlPr>
                      </m:sSubPr>
                      <m:e>
                        <m:r>
                          <a:rPr lang="en-AU" sz="1100" b="0" i="1" u="none" strike="noStrike">
                            <a:solidFill>
                              <a:schemeClr val="tx1"/>
                            </a:solidFill>
                            <a:effectLst/>
                            <a:latin typeface="Cambria Math" panose="02040503050406030204" pitchFamily="18" charset="0"/>
                            <a:ea typeface="+mn-ea"/>
                            <a:cs typeface="+mn-cs"/>
                          </a:rPr>
                          <m:t>𝑀</m:t>
                        </m:r>
                      </m:e>
                      <m:sub>
                        <m:r>
                          <a:rPr lang="en-AU" sz="1100" b="0" i="1" u="none" strike="noStrike">
                            <a:solidFill>
                              <a:schemeClr val="tx1"/>
                            </a:solidFill>
                            <a:effectLst/>
                            <a:latin typeface="Cambria Math" panose="02040503050406030204" pitchFamily="18" charset="0"/>
                            <a:ea typeface="+mn-ea"/>
                            <a:cs typeface="+mn-cs"/>
                          </a:rPr>
                          <m:t>𝑙𝑒𝑎𝑐h</m:t>
                        </m:r>
                        <m:r>
                          <a:rPr lang="en-AU" sz="1100" b="0" i="1" u="none" strike="noStrike">
                            <a:solidFill>
                              <a:schemeClr val="tx1"/>
                            </a:solidFill>
                            <a:effectLst/>
                            <a:latin typeface="Cambria Math" panose="02040503050406030204" pitchFamily="18" charset="0"/>
                            <a:ea typeface="+mn-ea"/>
                            <a:cs typeface="+mn-cs"/>
                          </a:rPr>
                          <m:t>,</m:t>
                        </m:r>
                        <m:r>
                          <a:rPr lang="en-AU" sz="1100" b="0" i="1" u="none" strike="noStrike">
                            <a:solidFill>
                              <a:schemeClr val="tx1"/>
                            </a:solidFill>
                            <a:effectLst/>
                            <a:latin typeface="Cambria Math" panose="02040503050406030204" pitchFamily="18" charset="0"/>
                            <a:ea typeface="+mn-ea"/>
                            <a:cs typeface="+mn-cs"/>
                          </a:rPr>
                          <m:t>𝑐𝑝</m:t>
                        </m:r>
                      </m:sub>
                    </m:sSub>
                    <m:r>
                      <a:rPr lang="en-AU" sz="1100" b="0" i="1" u="none" strike="noStrike">
                        <a:solidFill>
                          <a:schemeClr val="tx1"/>
                        </a:solidFill>
                        <a:effectLst/>
                        <a:latin typeface="Cambria Math" panose="02040503050406030204" pitchFamily="18" charset="0"/>
                        <a:ea typeface="+mn-ea"/>
                        <a:cs typeface="+mn-cs"/>
                      </a:rPr>
                      <m:t>=</m:t>
                    </m:r>
                    <m:sSub>
                      <m:sSubPr>
                        <m:ctrlPr>
                          <a:rPr lang="en-AU" sz="1100" b="0" i="1" u="none" strike="noStrike">
                            <a:solidFill>
                              <a:schemeClr val="tx1"/>
                            </a:solidFill>
                            <a:effectLst/>
                            <a:latin typeface="Cambria Math" panose="02040503050406030204" pitchFamily="18" charset="0"/>
                            <a:ea typeface="+mn-ea"/>
                            <a:cs typeface="+mn-cs"/>
                          </a:rPr>
                        </m:ctrlPr>
                      </m:sSubPr>
                      <m:e>
                        <m:r>
                          <a:rPr lang="en-AU" sz="1100" b="0" i="1" u="none" strike="noStrike">
                            <a:solidFill>
                              <a:schemeClr val="tx1"/>
                            </a:solidFill>
                            <a:effectLst/>
                            <a:latin typeface="Cambria Math" panose="02040503050406030204" pitchFamily="18" charset="0"/>
                            <a:ea typeface="+mn-ea"/>
                            <a:cs typeface="+mn-cs"/>
                          </a:rPr>
                          <m:t>𝑀</m:t>
                        </m:r>
                      </m:e>
                      <m:sub>
                        <m:r>
                          <a:rPr lang="en-AU" sz="1100" b="0" i="1" u="none" strike="noStrike">
                            <a:solidFill>
                              <a:schemeClr val="tx1"/>
                            </a:solidFill>
                            <a:effectLst/>
                            <a:latin typeface="Cambria Math" panose="02040503050406030204" pitchFamily="18" charset="0"/>
                            <a:ea typeface="+mn-ea"/>
                            <a:cs typeface="+mn-cs"/>
                          </a:rPr>
                          <m:t>𝑐𝑝</m:t>
                        </m:r>
                      </m:sub>
                    </m:sSub>
                    <m:r>
                      <a:rPr lang="en-AU" sz="1100" b="0" i="1" u="none" strike="noStrike">
                        <a:solidFill>
                          <a:schemeClr val="tx1"/>
                        </a:solidFill>
                        <a:effectLst/>
                        <a:latin typeface="Cambria Math" panose="02040503050406030204" pitchFamily="18" charset="0"/>
                        <a:ea typeface="+mn-ea"/>
                        <a:cs typeface="+mn-cs"/>
                      </a:rPr>
                      <m:t>×</m:t>
                    </m:r>
                    <m:r>
                      <a:rPr lang="en-AU" sz="1100" b="0" i="1" u="none" strike="noStrike">
                        <a:solidFill>
                          <a:schemeClr val="tx1"/>
                        </a:solidFill>
                        <a:effectLst/>
                        <a:latin typeface="Cambria Math" panose="02040503050406030204" pitchFamily="18" charset="0"/>
                        <a:ea typeface="+mn-ea"/>
                        <a:cs typeface="+mn-cs"/>
                      </a:rPr>
                      <m:t>𝐹𝑟𝑎𝑐𝑊𝐸</m:t>
                    </m:r>
                    <m:sSub>
                      <m:sSubPr>
                        <m:ctrlPr>
                          <a:rPr lang="en-AU" sz="1100" b="0" i="1" u="none" strike="noStrike">
                            <a:solidFill>
                              <a:schemeClr val="tx1"/>
                            </a:solidFill>
                            <a:effectLst/>
                            <a:latin typeface="Cambria Math" panose="02040503050406030204" pitchFamily="18" charset="0"/>
                            <a:ea typeface="+mn-ea"/>
                            <a:cs typeface="+mn-cs"/>
                          </a:rPr>
                        </m:ctrlPr>
                      </m:sSubPr>
                      <m:e>
                        <m:r>
                          <a:rPr lang="en-AU" sz="1100" b="0" i="1" u="none" strike="noStrike">
                            <a:solidFill>
                              <a:schemeClr val="tx1"/>
                            </a:solidFill>
                            <a:effectLst/>
                            <a:latin typeface="Cambria Math" panose="02040503050406030204" pitchFamily="18" charset="0"/>
                            <a:ea typeface="+mn-ea"/>
                            <a:cs typeface="+mn-cs"/>
                          </a:rPr>
                          <m:t>𝑇</m:t>
                        </m:r>
                      </m:e>
                      <m:sub>
                        <m:r>
                          <a:rPr lang="en-AU" sz="1100" b="0" i="1" u="none" strike="noStrike">
                            <a:solidFill>
                              <a:schemeClr val="tx1"/>
                            </a:solidFill>
                            <a:effectLst/>
                            <a:latin typeface="Cambria Math" panose="02040503050406030204" pitchFamily="18" charset="0"/>
                            <a:ea typeface="+mn-ea"/>
                            <a:cs typeface="+mn-cs"/>
                          </a:rPr>
                          <m:t>𝑗</m:t>
                        </m:r>
                      </m:sub>
                    </m:sSub>
                    <m:r>
                      <a:rPr lang="en-AU" sz="1100" b="0" i="1" u="none" strike="noStrike">
                        <a:solidFill>
                          <a:schemeClr val="tx1"/>
                        </a:solidFill>
                        <a:effectLst/>
                        <a:latin typeface="Cambria Math" panose="02040503050406030204" pitchFamily="18" charset="0"/>
                        <a:ea typeface="+mn-ea"/>
                        <a:cs typeface="+mn-cs"/>
                      </a:rPr>
                      <m:t>×</m:t>
                    </m:r>
                    <m:r>
                      <a:rPr lang="en-AU" sz="1100" b="0" i="1" u="none" strike="noStrike">
                        <a:solidFill>
                          <a:schemeClr val="tx1"/>
                        </a:solidFill>
                        <a:effectLst/>
                        <a:latin typeface="Cambria Math" panose="02040503050406030204" pitchFamily="18" charset="0"/>
                        <a:ea typeface="+mn-ea"/>
                        <a:cs typeface="+mn-cs"/>
                      </a:rPr>
                      <m:t>𝐹𝑟𝑎𝑐𝐿𝐸𝐴𝐶𝐻</m:t>
                    </m:r>
                  </m:oMath>
                </m:oMathPara>
              </a14:m>
              <a:endParaRPr lang="en-AU" sz="1100"/>
            </a:p>
          </xdr:txBody>
        </xdr:sp>
      </mc:Choice>
      <mc:Fallback xmlns="">
        <xdr:sp macro="" textlink="">
          <xdr:nvSpPr>
            <xdr:cNvPr id="2" name="TextBox 1">
              <a:extLst>
                <a:ext uri="{FF2B5EF4-FFF2-40B4-BE49-F238E27FC236}">
                  <a16:creationId xmlns:a16="http://schemas.microsoft.com/office/drawing/2014/main" id="{1968D220-90DE-48A9-90C2-1DAB676B920B}"/>
                </a:ext>
              </a:extLst>
            </xdr:cNvPr>
            <xdr:cNvSpPr txBox="1"/>
          </xdr:nvSpPr>
          <xdr:spPr>
            <a:xfrm>
              <a:off x="2686050" y="2028825"/>
              <a:ext cx="2692147"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b="0" i="0" u="none" strike="noStrike">
                  <a:solidFill>
                    <a:schemeClr val="tx1"/>
                  </a:solidFill>
                  <a:effectLst/>
                  <a:latin typeface="Cambria Math" panose="02040503050406030204" pitchFamily="18" charset="0"/>
                  <a:ea typeface="+mn-ea"/>
                  <a:cs typeface="+mn-cs"/>
                </a:rPr>
                <a:t>𝑀_(𝑙𝑒𝑎𝑐ℎ,𝑐𝑝)=𝑀_𝑐𝑝×𝐹𝑟𝑎𝑐𝑊𝐸𝑇_𝑗×𝐹𝑟𝑎𝑐𝐿𝐸𝐴𝐶𝐻</a:t>
              </a:r>
              <a:endParaRPr lang="en-AU" sz="1100"/>
            </a:p>
          </xdr:txBody>
        </xdr:sp>
      </mc:Fallback>
    </mc:AlternateContent>
    <xdr:clientData/>
  </xdr:oneCellAnchor>
  <xdr:oneCellAnchor>
    <xdr:from>
      <xdr:col>2</xdr:col>
      <xdr:colOff>300037</xdr:colOff>
      <xdr:row>30</xdr:row>
      <xdr:rowOff>38100</xdr:rowOff>
    </xdr:from>
    <xdr:ext cx="3220561" cy="331501"/>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5246DCD0-83A0-4E05-A131-CEF316CE933C}"/>
                </a:ext>
              </a:extLst>
            </xdr:cNvPr>
            <xdr:cNvSpPr txBox="1"/>
          </xdr:nvSpPr>
          <xdr:spPr>
            <a:xfrm>
              <a:off x="2662237" y="7600950"/>
              <a:ext cx="3220561" cy="33150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𝑐</m:t>
                        </m:r>
                      </m:sub>
                      <m:sup/>
                      <m:e>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𝑝</m:t>
                            </m:r>
                          </m:sub>
                          <m:sup/>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𝑙𝑒𝑎𝑐h</m:t>
                                    </m:r>
                                    <m:r>
                                      <a:rPr lang="en-AU" sz="1100" i="1">
                                        <a:latin typeface="Cambria Math" panose="02040503050406030204" pitchFamily="18" charset="0"/>
                                      </a:rPr>
                                      <m:t>,</m:t>
                                    </m:r>
                                    <m:r>
                                      <a:rPr lang="en-AU" sz="1100" i="1">
                                        <a:latin typeface="Cambria Math" panose="02040503050406030204" pitchFamily="18" charset="0"/>
                                      </a:rPr>
                                      <m:t>𝑐𝑝</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𝑙𝑒𝑎𝑐h</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e>
                            </m:d>
                          </m:e>
                        </m:nary>
                      </m:e>
                    </m:nary>
                  </m:oMath>
                </m:oMathPara>
              </a14:m>
              <a:endParaRPr lang="en-AU" sz="1100"/>
            </a:p>
          </xdr:txBody>
        </xdr:sp>
      </mc:Choice>
      <mc:Fallback xmlns="">
        <xdr:sp macro="" textlink="">
          <xdr:nvSpPr>
            <xdr:cNvPr id="3" name="TextBox 2">
              <a:extLst>
                <a:ext uri="{FF2B5EF4-FFF2-40B4-BE49-F238E27FC236}">
                  <a16:creationId xmlns:a16="http://schemas.microsoft.com/office/drawing/2014/main" id="{5246DCD0-83A0-4E05-A131-CEF316CE933C}"/>
                </a:ext>
              </a:extLst>
            </xdr:cNvPr>
            <xdr:cNvSpPr txBox="1"/>
          </xdr:nvSpPr>
          <xdr:spPr>
            <a:xfrm>
              <a:off x="2662237" y="7600950"/>
              <a:ext cx="3220561" cy="33150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𝐸_𝑁2𝑂=∑10_𝑐▒∑10_𝑝▒(𝑀_(𝑙𝑒𝑎𝑐ℎ,𝑐𝑝)×𝐸𝐹_𝑙𝑒𝑎𝑐ℎ×𝐶_𝑁2𝑂×10^(−3) ) </a:t>
              </a:r>
              <a:endParaRPr lang="en-AU" sz="1100"/>
            </a:p>
          </xdr:txBody>
        </xdr:sp>
      </mc:Fallback>
    </mc:AlternateContent>
    <xdr:clientData/>
  </xdr:oneCellAnchor>
</xdr:wsDr>
</file>

<file path=xl/drawings/drawing6.xml><?xml version="1.0" encoding="utf-8"?>
<xdr:wsDr xmlns:xdr="http://schemas.openxmlformats.org/drawingml/2006/spreadsheetDrawing" xmlns:a="http://schemas.openxmlformats.org/drawingml/2006/main">
  <xdr:oneCellAnchor>
    <xdr:from>
      <xdr:col>3</xdr:col>
      <xdr:colOff>9525</xdr:colOff>
      <xdr:row>7</xdr:row>
      <xdr:rowOff>114300</xdr:rowOff>
    </xdr:from>
    <xdr:ext cx="2544606" cy="176651"/>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75DE2AA7-4C7B-4657-AD41-E51AF8ABBD98}"/>
                </a:ext>
              </a:extLst>
            </xdr:cNvPr>
            <xdr:cNvSpPr txBox="1"/>
          </xdr:nvSpPr>
          <xdr:spPr>
            <a:xfrm>
              <a:off x="2686050" y="1981200"/>
              <a:ext cx="2544606" cy="17665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𝑏𝑢𝑟𝑛</m:t>
                        </m:r>
                        <m:r>
                          <a:rPr lang="en-AU" sz="1100" i="1">
                            <a:latin typeface="Cambria Math" panose="02040503050406030204" pitchFamily="18" charset="0"/>
                          </a:rPr>
                          <m:t>,</m:t>
                        </m:r>
                        <m:r>
                          <a:rPr lang="en-AU" sz="1100" i="1">
                            <a:latin typeface="Cambria Math" panose="02040503050406030204" pitchFamily="18" charset="0"/>
                          </a:rPr>
                          <m:t>𝑐</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𝑃</m:t>
                        </m:r>
                      </m:e>
                      <m:sub>
                        <m:r>
                          <a:rPr lang="en-AU" sz="1100" i="1">
                            <a:latin typeface="Cambria Math" panose="02040503050406030204" pitchFamily="18" charset="0"/>
                          </a:rPr>
                          <m:t>𝑐</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𝑅</m:t>
                        </m:r>
                      </m:e>
                      <m:sub>
                        <m:r>
                          <a:rPr lang="en-AU" sz="1100" i="1">
                            <a:latin typeface="Cambria Math" panose="02040503050406030204" pitchFamily="18" charset="0"/>
                          </a:rPr>
                          <m:t>𝐴𝐺𝑐</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𝑐</m:t>
                        </m:r>
                      </m:sub>
                    </m:sSub>
                    <m:r>
                      <a:rPr lang="en-AU" sz="1100" i="1">
                        <a:latin typeface="Cambria Math" panose="02040503050406030204" pitchFamily="18" charset="0"/>
                      </a:rPr>
                      <m:t>×</m:t>
                    </m:r>
                    <m:r>
                      <a:rPr lang="en-AU" sz="1100" i="1">
                        <a:latin typeface="Cambria Math" panose="02040503050406030204" pitchFamily="18" charset="0"/>
                      </a:rPr>
                      <m:t>𝐷</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𝑐</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𝑍</m:t>
                        </m:r>
                      </m:e>
                      <m:sub>
                        <m:r>
                          <a:rPr lang="en-AU" sz="1100" i="1">
                            <a:latin typeface="Cambria Math" panose="02040503050406030204" pitchFamily="18" charset="0"/>
                          </a:rPr>
                          <m:t>𝑐</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𝑐</m:t>
                        </m:r>
                      </m:sub>
                    </m:sSub>
                  </m:oMath>
                </m:oMathPara>
              </a14:m>
              <a:endParaRPr lang="en-AU" sz="1100"/>
            </a:p>
          </xdr:txBody>
        </xdr:sp>
      </mc:Choice>
      <mc:Fallback xmlns="">
        <xdr:sp macro="" textlink="">
          <xdr:nvSpPr>
            <xdr:cNvPr id="2" name="TextBox 1">
              <a:extLst>
                <a:ext uri="{FF2B5EF4-FFF2-40B4-BE49-F238E27FC236}">
                  <a16:creationId xmlns:a16="http://schemas.microsoft.com/office/drawing/2014/main" id="{75DE2AA7-4C7B-4657-AD41-E51AF8ABBD98}"/>
                </a:ext>
              </a:extLst>
            </xdr:cNvPr>
            <xdr:cNvSpPr txBox="1"/>
          </xdr:nvSpPr>
          <xdr:spPr>
            <a:xfrm>
              <a:off x="2686050" y="1981200"/>
              <a:ext cx="2544606" cy="17665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𝑀_(𝑏𝑢𝑟𝑛,𝑐)=𝑃_𝑐×𝑅_𝐴𝐺𝑐×𝑆_𝑐×𝐷𝑀_𝑐×𝑍_𝑐×𝐹_𝑐</a:t>
              </a:r>
              <a:endParaRPr lang="en-AU" sz="1100"/>
            </a:p>
          </xdr:txBody>
        </xdr:sp>
      </mc:Fallback>
    </mc:AlternateContent>
    <xdr:clientData/>
  </xdr:oneCellAnchor>
  <xdr:oneCellAnchor>
    <xdr:from>
      <xdr:col>2</xdr:col>
      <xdr:colOff>300037</xdr:colOff>
      <xdr:row>27</xdr:row>
      <xdr:rowOff>28575</xdr:rowOff>
    </xdr:from>
    <xdr:ext cx="3330079" cy="312906"/>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BB935B8C-49BA-4FE1-908F-9B84A7830754}"/>
                </a:ext>
              </a:extLst>
            </xdr:cNvPr>
            <xdr:cNvSpPr txBox="1"/>
          </xdr:nvSpPr>
          <xdr:spPr>
            <a:xfrm>
              <a:off x="2662237" y="6848475"/>
              <a:ext cx="3330079" cy="31290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𝑐</m:t>
                        </m:r>
                      </m:sub>
                      <m:sup/>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𝑏𝑢𝑟𝑛</m:t>
                                </m:r>
                                <m:r>
                                  <a:rPr lang="en-AU" sz="1100" i="1">
                                    <a:latin typeface="Cambria Math" panose="02040503050406030204" pitchFamily="18" charset="0"/>
                                  </a:rPr>
                                  <m:t>,</m:t>
                                </m:r>
                                <m:r>
                                  <a:rPr lang="en-AU" sz="1100" i="1">
                                    <a:latin typeface="Cambria Math" panose="02040503050406030204" pitchFamily="18" charset="0"/>
                                  </a:rPr>
                                  <m:t>𝑐</m:t>
                                </m:r>
                              </m:sub>
                            </m:sSub>
                            <m:r>
                              <a:rPr lang="en-AU" sz="1100" i="1">
                                <a:latin typeface="Cambria Math" panose="02040503050406030204" pitchFamily="18" charset="0"/>
                              </a:rPr>
                              <m:t>×</m:t>
                            </m:r>
                            <m:r>
                              <a:rPr lang="en-AU" sz="1100" i="1">
                                <a:latin typeface="Cambria Math" panose="02040503050406030204" pitchFamily="18" charset="0"/>
                              </a:rPr>
                              <m:t>𝑁</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𝐴𝐺𝑐</m:t>
                                </m:r>
                              </m:sub>
                            </m:sSub>
                          </m:e>
                        </m:d>
                      </m:e>
                    </m:nary>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3" name="TextBox 2">
              <a:extLst>
                <a:ext uri="{FF2B5EF4-FFF2-40B4-BE49-F238E27FC236}">
                  <a16:creationId xmlns:a16="http://schemas.microsoft.com/office/drawing/2014/main" id="{BB935B8C-49BA-4FE1-908F-9B84A7830754}"/>
                </a:ext>
              </a:extLst>
            </xdr:cNvPr>
            <xdr:cNvSpPr txBox="1"/>
          </xdr:nvSpPr>
          <xdr:spPr>
            <a:xfrm>
              <a:off x="2662237" y="6848475"/>
              <a:ext cx="3330079" cy="31290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𝐸_𝑁2𝑂=∑10_𝑐▒(𝑀_(𝑏𝑢𝑟𝑛,𝑐)×𝑁𝐶_𝐴𝐺𝑐 ) ×𝐸𝐹_𝑁2𝑂×𝐶_𝑁2𝑂×10^(−3)</a:t>
              </a:r>
              <a:endParaRPr lang="en-AU" sz="1100"/>
            </a:p>
          </xdr:txBody>
        </xdr:sp>
      </mc:Fallback>
    </mc:AlternateContent>
    <xdr:clientData/>
  </xdr:oneCellAnchor>
  <xdr:oneCellAnchor>
    <xdr:from>
      <xdr:col>2</xdr:col>
      <xdr:colOff>300037</xdr:colOff>
      <xdr:row>50</xdr:row>
      <xdr:rowOff>28575</xdr:rowOff>
    </xdr:from>
    <xdr:ext cx="3148105" cy="312906"/>
    <mc:AlternateContent xmlns:mc="http://schemas.openxmlformats.org/markup-compatibility/2006" xmlns:a14="http://schemas.microsoft.com/office/drawing/2010/main">
      <mc:Choice Requires="a14">
        <xdr:sp macro="" textlink="">
          <xdr:nvSpPr>
            <xdr:cNvPr id="5" name="TextBox 4">
              <a:extLst>
                <a:ext uri="{FF2B5EF4-FFF2-40B4-BE49-F238E27FC236}">
                  <a16:creationId xmlns:a16="http://schemas.microsoft.com/office/drawing/2014/main" id="{1536FF2F-7E95-4B3D-B650-98D67BFF5193}"/>
                </a:ext>
              </a:extLst>
            </xdr:cNvPr>
            <xdr:cNvSpPr txBox="1"/>
          </xdr:nvSpPr>
          <xdr:spPr>
            <a:xfrm>
              <a:off x="2662237" y="12544425"/>
              <a:ext cx="3148105" cy="31290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𝐶𝐻</m:t>
                        </m:r>
                        <m:r>
                          <a:rPr lang="en-AU" sz="1100" i="1">
                            <a:latin typeface="Cambria Math" panose="02040503050406030204" pitchFamily="18" charset="0"/>
                          </a:rPr>
                          <m:t>4</m:t>
                        </m:r>
                      </m:sub>
                    </m:sSub>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𝑐</m:t>
                        </m:r>
                      </m:sub>
                      <m:sup/>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𝑏𝑢𝑟𝑛</m:t>
                                </m:r>
                                <m:r>
                                  <a:rPr lang="en-AU" sz="1100" i="1">
                                    <a:latin typeface="Cambria Math" panose="02040503050406030204" pitchFamily="18" charset="0"/>
                                  </a:rPr>
                                  <m:t>,</m:t>
                                </m:r>
                                <m:r>
                                  <a:rPr lang="en-AU" sz="1100" i="1">
                                    <a:latin typeface="Cambria Math" panose="02040503050406030204" pitchFamily="18" charset="0"/>
                                  </a:rPr>
                                  <m:t>𝑐</m:t>
                                </m:r>
                              </m:sub>
                            </m:sSub>
                            <m:r>
                              <a:rPr lang="en-AU" sz="1100" i="1">
                                <a:latin typeface="Cambria Math" panose="02040503050406030204" pitchFamily="18" charset="0"/>
                              </a:rPr>
                              <m:t>×</m:t>
                            </m:r>
                            <m:r>
                              <a:rPr lang="en-AU" sz="1100" i="1">
                                <a:latin typeface="Cambria Math" panose="02040503050406030204" pitchFamily="18" charset="0"/>
                              </a:rPr>
                              <m:t>𝐶</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𝑐</m:t>
                                </m:r>
                              </m:sub>
                            </m:sSub>
                          </m:e>
                        </m:d>
                      </m:e>
                    </m:nary>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𝐶𝐻</m:t>
                        </m:r>
                        <m:r>
                          <a:rPr lang="en-AU" sz="1100" i="1">
                            <a:latin typeface="Cambria Math" panose="02040503050406030204" pitchFamily="18" charset="0"/>
                          </a:rPr>
                          <m:t>4</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𝐶𝐻</m:t>
                        </m:r>
                        <m:r>
                          <a:rPr lang="en-AU" sz="1100" i="1">
                            <a:latin typeface="Cambria Math" panose="02040503050406030204" pitchFamily="18" charset="0"/>
                          </a:rPr>
                          <m:t>4</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5" name="TextBox 4">
              <a:extLst>
                <a:ext uri="{FF2B5EF4-FFF2-40B4-BE49-F238E27FC236}">
                  <a16:creationId xmlns:a16="http://schemas.microsoft.com/office/drawing/2014/main" id="{1536FF2F-7E95-4B3D-B650-98D67BFF5193}"/>
                </a:ext>
              </a:extLst>
            </xdr:cNvPr>
            <xdr:cNvSpPr txBox="1"/>
          </xdr:nvSpPr>
          <xdr:spPr>
            <a:xfrm>
              <a:off x="2662237" y="12544425"/>
              <a:ext cx="3148105" cy="31290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𝐸_𝐶𝐻4=∑10_𝑐▒(𝑀_(𝑏𝑢𝑟𝑛,𝑐)×𝐶𝐶_𝑐 ) ×𝐸𝐹_𝐶𝐻4×𝐶_𝐶𝐻4×10^(−3)</a:t>
              </a:r>
              <a:endParaRPr lang="en-AU" sz="1100"/>
            </a:p>
          </xdr:txBody>
        </xdr:sp>
      </mc:Fallback>
    </mc:AlternateContent>
    <xdr:clientData/>
  </xdr:oneCellAnchor>
</xdr:wsDr>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5F7211C-A71E-4F6D-A358-4E6EB133956B}" name="Table_SourceData_CropAttributes" displayName="Table_SourceData_CropAttributes" ref="D19:L37" totalsRowShown="0">
  <autoFilter ref="D19:L37" xr:uid="{B5F7211C-A71E-4F6D-A358-4E6EB133956B}">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autoFilter>
  <tableColumns count="9">
    <tableColumn id="1" xr3:uid="{1EC8425C-19BD-4F2B-BE37-5A6C190FA54F}" name="Crop type">
      <calculatedColumnFormula array="1">Common_InputFunctions.Utility_DisplayArrayInTable(Agresidue_SourceData.CropAttributes_Data(),Table_SourceData_CropAttributes[[#Headers],[Crop type]], -1)</calculatedColumnFormula>
    </tableColumn>
    <tableColumn id="2" xr3:uid="{CBEF375B-D817-45D6-849F-65178CB10FFE}" name="Residue: Crop ratio">
      <calculatedColumnFormula array="1">Common_InputFunctions.Utility_DisplayArrayInTable(Agresidue_SourceData.CropAttributes_Data(),Table_SourceData_CropAttributes[[#Headers],[Crop type]], -1)</calculatedColumnFormula>
    </tableColumn>
    <tableColumn id="3" xr3:uid="{B65386B8-01B5-4086-9D4F-090882108C07}" name="Below-ground: above-ground residue ratio">
      <calculatedColumnFormula array="1">Common_InputFunctions.Utility_DisplayArrayInTable(Agresidue_SourceData.CropAttributes_Data(),Table_SourceData_CropAttributes[[#Headers],[Crop type]], -1)</calculatedColumnFormula>
    </tableColumn>
    <tableColumn id="4" xr3:uid="{C9DB41EE-18C0-487A-B25B-E90C0A14F2C3}" name="Dry matter content">
      <calculatedColumnFormula array="1">Common_InputFunctions.Utility_DisplayArrayInTable(Agresidue_SourceData.CropAttributes_Data(),Table_SourceData_CropAttributes[[#Headers],[Crop type]], -1)</calculatedColumnFormula>
    </tableColumn>
    <tableColumn id="5" xr3:uid="{18C569B1-AAF4-4080-8509-D4AC5E59D253}" name="Carbon fraction in dry matter">
      <calculatedColumnFormula array="1">Common_InputFunctions.Utility_DisplayArrayInTable(Agresidue_SourceData.CropAttributes_Data(),Table_SourceData_CropAttributes[[#Headers],[Crop type]], -1)</calculatedColumnFormula>
    </tableColumn>
    <tableColumn id="6" xr3:uid="{29C03DA2-AA0C-4396-A223-37D62FD0A77C}" name="N content above-ground">
      <calculatedColumnFormula array="1">Common_InputFunctions.Utility_DisplayArrayInTable(Agresidue_SourceData.CropAttributes_Data(),Table_SourceData_CropAttributes[[#Headers],[Crop type]], -1)</calculatedColumnFormula>
    </tableColumn>
    <tableColumn id="7" xr3:uid="{E04BBA94-5C0E-4F1C-A813-456293B55F71}" name="N content below-ground">
      <calculatedColumnFormula array="1">Common_InputFunctions.Utility_DisplayArrayInTable(Agresidue_SourceData.CropAttributes_Data(),Table_SourceData_CropAttributes[[#Headers],[Crop type]], -1)</calculatedColumnFormula>
    </tableColumn>
    <tableColumn id="8" xr3:uid="{4455E2B9-7BA4-478A-8050-879C5AEF8411}" name="Fraction of residue remaining at time of burning (b)">
      <calculatedColumnFormula array="1">Common_InputFunctions.Utility_DisplayArrayInTable(Agresidue_SourceData.CropAttributes_Data(),Table_SourceData_CropAttributes[[#Headers],[Crop type]], -1)</calculatedColumnFormula>
    </tableColumn>
    <tableColumn id="9" xr3:uid="{40821647-085A-4F22-8E0F-4CAA40A363E6}" name="Fraction burnt">
      <calculatedColumnFormula array="1">Common_InputFunctions.Utility_DisplayArrayInTable(Agresidue_SourceData.CropAttributes_Data(),Table_SourceData_CropAttributes[[#Headers],[Crop type]], -1)</calculatedColumnFormula>
    </tableColumn>
  </tableColumns>
  <tableStyleInfo name="Equation table"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7CD0B032-9881-4EF1-81E3-483C7C16D9D0}" name="Table76" displayName="Table76" ref="D73:F89" totalsRowShown="0">
  <autoFilter ref="D73:F89" xr:uid="{7CD0B032-9881-4EF1-81E3-483C7C16D9D0}">
    <filterColumn colId="0" hiddenButton="1"/>
    <filterColumn colId="1" hiddenButton="1"/>
    <filterColumn colId="2" hiddenButton="1"/>
  </autoFilter>
  <tableColumns count="3">
    <tableColumn id="1" xr3:uid="{6FD2CE65-BF9A-4E21-A9CE-80870270DECD}" name="Crop type c">
      <calculatedColumnFormula array="1">Common_InputFunctions.Utility_DisplayArrayInTable(Agresidue_SourceData.CropFractionRemoved_Data(), Table76[[#Headers],[Crop type c]], 0)</calculatedColumnFormula>
    </tableColumn>
    <tableColumn id="2" xr3:uid="{3CAAA707-49F5-4EAC-B48E-E8DC1B8205E1}" name="State" dataDxfId="65">
      <calculatedColumnFormula array="1">Common_InputFunctions.Utility_DisplayArrayInTable(Agresidue_SourceData.CropFractionRemoved_Data(), Table76[[#Headers],[Crop type c]], 0)</calculatedColumnFormula>
    </tableColumn>
    <tableColumn id="3" xr3:uid="{BB1819D3-B175-4610-A8F6-4C85437820E5}" name="Fraction removed" dataDxfId="64">
      <calculatedColumnFormula array="1">Common_InputFunctions.Utility_DisplayArrayInTable(Agresidue_SourceData.CropFractionRemoved_Data(), Table76[[#Headers],[Crop type c]], 0)</calculatedColumnFormula>
    </tableColumn>
  </tableColumns>
  <tableStyleInfo name="Equation table"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1FA7CC86-1C1E-41FA-9AA1-AAD48AA2EEF0}" name="Table77" displayName="Table77" ref="D92:F235" totalsRowShown="0">
  <autoFilter ref="D92:F235" xr:uid="{1FA7CC86-1C1E-41FA-9AA1-AAD48AA2EEF0}">
    <filterColumn colId="0" hiddenButton="1"/>
    <filterColumn colId="1" hiddenButton="1"/>
    <filterColumn colId="2" hiddenButton="1"/>
  </autoFilter>
  <tableColumns count="3">
    <tableColumn id="1" xr3:uid="{049E50B7-80D0-4C4A-AACF-92CF67DE19B6}" name="Crop type c">
      <calculatedColumnFormula array="1">Common_InputFunctions.Utility_DisplayArrayInTable(Agresidue_SourceData.CropFractionRemoved_CustomisedData(), Table77[[#Headers],[Crop type c]], 0)</calculatedColumnFormula>
    </tableColumn>
    <tableColumn id="2" xr3:uid="{8664DFEF-27FD-41CC-8EAA-DB47D755C823}" name="State" dataDxfId="63">
      <calculatedColumnFormula array="1">Common_InputFunctions.Utility_DisplayArrayInTable(Agresidue_SourceData.CropFractionRemoved_CustomisedData(), Table77[[#Headers],[Crop type c]], 0)</calculatedColumnFormula>
    </tableColumn>
    <tableColumn id="3" xr3:uid="{D6D9A758-CEA4-4B65-BD5F-735FB1C52F87}" name="Fraction removed" dataDxfId="62">
      <calculatedColumnFormula array="1">Common_InputFunctions.Utility_DisplayArrayInTable(Agresidue_SourceData.CropFractionRemoved_CustomisedData(), Table77[[#Headers],[Crop type c]], 0)</calculatedColumnFormula>
    </tableColumn>
  </tableColumns>
  <tableStyleInfo name="Equation table"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2270AB6D-D03A-4D71-95C0-00BA6BB02732}" name="Table_SourceData_N2OEFOrganicFert" displayName="Table_SourceData_N2OEFOrganicFert" ref="D43:E45" totalsRowShown="0" dataDxfId="61" dataCellStyle="Content bold">
  <autoFilter ref="D43:E45" xr:uid="{2270AB6D-D03A-4D71-95C0-00BA6BB02732}">
    <filterColumn colId="0" hiddenButton="1"/>
    <filterColumn colId="1" hiddenButton="1"/>
  </autoFilter>
  <tableColumns count="2">
    <tableColumn id="1" xr3:uid="{C1F5DE5C-442A-47C8-B53B-A669D141AC48}" name="Climate zone type i" dataDxfId="60" dataCellStyle="Content bold">
      <calculatedColumnFormula array="1">Common_InputFunctions.Utility_DisplayArrayInTable(Agresidue_SourceData.N2OEFOrganicFertiliser_Data(), Table_SourceData_N2OEFOrganicFert[[#Headers],[Climate zone type i]], 0)</calculatedColumnFormula>
    </tableColumn>
    <tableColumn id="2" xr3:uid="{0B992E9C-FEE4-422E-9A8F-E4AA59791F47}" name="EF i N2O" dataDxfId="59" dataCellStyle="Content bold">
      <calculatedColumnFormula array="1">Common_InputFunctions.Utility_DisplayArrayInTable(Agresidue_SourceData.N2OEFOrganicFertiliser_Data(), Table_SourceData_N2OEFOrganicFert[[#Headers],[Climate zone type i]], 0)</calculatedColumnFormula>
    </tableColumn>
  </tableColumns>
  <tableStyleInfo name="Equation table"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F6AE5C0F-BD48-43B0-80A1-E554D23A8F67}" name="Table_SourceData_PastureAttributes" displayName="Table_SourceData_PastureAttributes" ref="D51:I56" totalsRowShown="0" dataDxfId="58" dataCellStyle="Content normal">
  <autoFilter ref="D51:I56" xr:uid="{F6AE5C0F-BD48-43B0-80A1-E554D23A8F67}">
    <filterColumn colId="0" hiddenButton="1"/>
    <filterColumn colId="1" hiddenButton="1"/>
    <filterColumn colId="2" hiddenButton="1"/>
    <filterColumn colId="3" hiddenButton="1"/>
    <filterColumn colId="4" hiddenButton="1"/>
    <filterColumn colId="5" hiddenButton="1"/>
  </autoFilter>
  <tableColumns count="6">
    <tableColumn id="1" xr3:uid="{1838B418-F6EE-47A1-B9FC-0647B6C84134}" name="Pasture type" dataDxfId="57" dataCellStyle="Content normal">
      <calculatedColumnFormula array="1">Common_InputFunctions.Utility_DisplayArrayInTable(Agresidue_SourceData.PastureAttributes_Data(), Table_SourceData_PastureAttributes[[#Headers],[Pasture type]], 0)</calculatedColumnFormula>
    </tableColumn>
    <tableColumn id="2" xr3:uid="{873E13DA-944F-4361-8ECD-8EA6A285C43B}" name="Average Yield (t DM ha) Yp" dataDxfId="56" dataCellStyle="Content normal">
      <calculatedColumnFormula array="1">Common_InputFunctions.Utility_DisplayArrayInTable(Agresidue_SourceData.PastureAttributes_Data(), Table_SourceData_PastureAttributes[[#Headers],[Pasture type]], 0)</calculatedColumnFormula>
    </tableColumn>
    <tableColumn id="3" xr3:uid="{02527ED8-93BF-4F3A-8866-8E901E417C28}" name="Below-ground: above-ground residue ratio RBGp" dataDxfId="55" dataCellStyle="Content normal">
      <calculatedColumnFormula array="1">Common_InputFunctions.Utility_DisplayArrayInTable(Agresidue_SourceData.PastureAttributes_Data(), Table_SourceData_PastureAttributes[[#Headers],[Pasture type]], 0)</calculatedColumnFormula>
    </tableColumn>
    <tableColumn id="4" xr3:uid="{E0539BAE-485C-4C9E-A978-EF37B49B7CA0}" name="N content Above-ground NCAGp" dataDxfId="54" dataCellStyle="Content normal">
      <calculatedColumnFormula array="1">Common_InputFunctions.Utility_DisplayArrayInTable(Agresidue_SourceData.PastureAttributes_Data(), Table_SourceData_PastureAttributes[[#Headers],[Pasture type]], 0)</calculatedColumnFormula>
    </tableColumn>
    <tableColumn id="5" xr3:uid="{6B8DA215-9C35-4A18-9209-8BA7D350605B}" name="N content Below-ground NCBGp" dataDxfId="53" dataCellStyle="Content normal">
      <calculatedColumnFormula array="1">Common_InputFunctions.Utility_DisplayArrayInTable(Agresidue_SourceData.PastureAttributes_Data(), Table_SourceData_PastureAttributes[[#Headers],[Pasture type]], 0)</calculatedColumnFormula>
    </tableColumn>
    <tableColumn id="6" xr3:uid="{96E943F4-C0CA-4C28-8B72-47D33522B954}" name="Fraction of pasture yield that is removed FFODp" dataDxfId="52" dataCellStyle="Content normal">
      <calculatedColumnFormula array="1">Common_InputFunctions.Utility_DisplayArrayInTable(Agresidue_SourceData.PastureAttributes_Data(), Table_SourceData_PastureAttributes[[#Headers],[Pasture type]], 0)</calculatedColumnFormula>
    </tableColumn>
  </tableColumns>
  <tableStyleInfo name="Equation table"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8F5439AB-496D-443A-987D-2B47D1EC32A7}" name="Table_SourceData_BurningResidueEFs" displayName="Table_SourceData_BurningResidueEFs" ref="D62:F67" totalsRowShown="0">
  <autoFilter ref="D62:F67" xr:uid="{8F5439AB-496D-443A-987D-2B47D1EC32A7}">
    <filterColumn colId="0" hiddenButton="1"/>
    <filterColumn colId="1" hiddenButton="1"/>
    <filterColumn colId="2" hiddenButton="1"/>
  </autoFilter>
  <tableColumns count="3">
    <tableColumn id="1" xr3:uid="{AA486717-CEAE-4ABC-8844-B1C3E6D1678A}" name="Gas species">
      <calculatedColumnFormula array="1">Common_InputFunctions.Utility_DisplayArrayInTable(AgResidues_SourceData.BurningOfAgriculturalResiduesEFs_Data(), Table_SourceData_BurningResidueEFs[[#Headers],[Gas species]], 0)</calculatedColumnFormula>
    </tableColumn>
    <tableColumn id="2" xr3:uid="{79796003-A994-46BF-ACB6-AECF4F1CD710}" name="Emission factor EFg (Gg element in species/ Gg element in fuel burnt)" dataDxfId="51" dataCellStyle="Content normal">
      <calculatedColumnFormula array="1">Common_InputFunctions.Utility_DisplayArrayInTable(AgResidues_SourceData.BurningOfAgriculturalResiduesEFs_Data(), Table_SourceData_BurningResidueEFs[[#Headers],[Gas species]], 0)</calculatedColumnFormula>
    </tableColumn>
    <tableColumn id="3" xr3:uid="{981D8431-0BB9-4F9D-BDD4-ED5B545ADC76}" name="Elemental to molecular mass conversion factor (Cg)" dataDxfId="50" dataCellStyle="Content normal">
      <calculatedColumnFormula array="1">Common_InputFunctions.Utility_DisplayArrayInTable(AgResidues_SourceData.BurningOfAgriculturalResiduesEFs_Data(), Table_SourceData_BurningResidueEFs[[#Headers],[Gas species]], 0)</calculatedColumnFormula>
    </tableColumn>
  </tableColumns>
  <tableStyleInfo name="Equation table"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A2BEDD81-DD4E-48EE-9D36-B81EDA1F3FAE}" name="Table_SourceData_CropPurposeAndYields" displayName="Table_SourceData_CropPurposeAndYields" ref="D7:K10" totalsRowShown="0" headerRowDxfId="49">
  <autoFilter ref="D7:K10" xr:uid="{A2BEDD81-DD4E-48EE-9D36-B81EDA1F3FAE}">
    <filterColumn colId="0" hiddenButton="1"/>
    <filterColumn colId="1" hiddenButton="1"/>
    <filterColumn colId="2" hiddenButton="1"/>
    <filterColumn colId="3" hiddenButton="1"/>
    <filterColumn colId="4" hiddenButton="1"/>
    <filterColumn colId="5" hiddenButton="1"/>
    <filterColumn colId="6" hiddenButton="1"/>
    <filterColumn colId="7" hiddenButton="1"/>
  </autoFilter>
  <tableColumns count="8">
    <tableColumn id="1" xr3:uid="{C9DD535A-77F7-423C-8CFD-670236F0115D}" name="Purpose">
      <calculatedColumnFormula array="1">Common_InputFunctions.Utility_DisplayArrayInTable(Agresidue_SourceData.CropPurposeAndYield_Data(), Table_SourceData_CropPurposeAndYields[[#Headers],[Purpose]], 0)</calculatedColumnFormula>
    </tableColumn>
    <tableColumn id="2" xr3:uid="{6A0A741A-D7B1-4817-B9F8-958D74C38EDF}" name="Per hectare unit">
      <calculatedColumnFormula array="1">Common_InputFunctions.Utility_DisplayArrayInTable(Agresidue_SourceData.CropPurposeAndYield_Data(), Table_SourceData_CropPurposeAndYields[[#Headers],[Purpose]], 0)</calculatedColumnFormula>
    </tableColumn>
    <tableColumn id="3" xr3:uid="{E5AB5C25-7560-4000-AD35-65ACF06C7737}" name="harvest term">
      <calculatedColumnFormula array="1">Common_InputFunctions.Utility_DisplayArrayInTable(Agresidue_SourceData.CropPurposeAndYield_Data(), Table_SourceData_CropPurposeAndYields[[#Headers],[Purpose]], 0)</calculatedColumnFormula>
    </tableColumn>
    <tableColumn id="4" xr3:uid="{88D6F5F4-EF2C-41D4-9046-1BDB27F66663}" name="harvest endpoint">
      <calculatedColumnFormula array="1">Common_InputFunctions.Utility_DisplayArrayInTable(Agresidue_SourceData.CropPurposeAndYield_Data(), Table_SourceData_CropPurposeAndYields[[#Headers],[Purpose]], 0)</calculatedColumnFormula>
    </tableColumn>
    <tableColumn id="5" xr3:uid="{A2A11291-D805-49EA-9025-EB73C0E860E5}" name="Harvest uit">
      <calculatedColumnFormula array="1">Common_InputFunctions.Utility_DisplayArrayInTable(Agresidue_SourceData.CropPurposeAndYield_Data(), Table_SourceData_CropPurposeAndYields[[#Headers],[Purpose]], 0)</calculatedColumnFormula>
    </tableColumn>
    <tableColumn id="6" xr3:uid="{A41EC583-4AE6-4929-8E67-62D2AE655F60}" name="Yield note">
      <calculatedColumnFormula array="1">Common_InputFunctions.Utility_DisplayArrayInTable(Agresidue_SourceData.CropPurposeAndYield_Data(), Table_SourceData_CropPurposeAndYields[[#Headers],[Purpose]], 0)</calculatedColumnFormula>
    </tableColumn>
    <tableColumn id="8" xr3:uid="{8BE31AE8-A08C-4333-A86E-37C71E1829E3}" name="Residue crop ratio note">
      <calculatedColumnFormula array="1">Common_InputFunctions.Utility_DisplayArrayInTable(Agresidue_SourceData.CropPurposeAndYield_Data(), Table_SourceData_CropPurposeAndYields[[#Headers],[Purpose]], 0)</calculatedColumnFormula>
    </tableColumn>
    <tableColumn id="9" xr3:uid="{796A7FB8-5F67-4075-92BE-CF6B0CB24E24}" name="Total production note">
      <calculatedColumnFormula array="1">Common_InputFunctions.Utility_DisplayArrayInTable(Agresidue_SourceData.CropPurposeAndYield_Data(), Table_SourceData_CropPurposeAndYields[[#Headers],[Purpose]], 0)</calculatedColumnFormula>
    </tableColumn>
  </tableColumns>
  <tableStyleInfo name="Equation table"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1AC5909E-E06C-4A79-81E9-C25A0B6D9E90}" name="Table_SourceData_Fertiliser_IrrigationMethods" displayName="Table_SourceData_Fertiliser_IrrigationMethods" ref="N21:N26" totalsRowShown="0">
  <autoFilter ref="N21:N26" xr:uid="{1AC5909E-E06C-4A79-81E9-C25A0B6D9E90}">
    <filterColumn colId="0" hiddenButton="1"/>
  </autoFilter>
  <tableColumns count="1">
    <tableColumn id="1" xr3:uid="{58E65523-E496-4D4A-BAFA-CE90F5141B0D}" name="Irrigation method"/>
  </tableColumns>
  <tableStyleInfo name="Equation table"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5C4D72AE-1099-4C8E-B641-BABDB7A9E750}" name="Table_AustralianStates" displayName="Table_AustralianStates" ref="D6:F14" totalsRowShown="0">
  <autoFilter ref="D6:F14" xr:uid="{E0906749-7FC7-47DE-82F6-F796C4463018}">
    <filterColumn colId="0" hiddenButton="1"/>
    <filterColumn colId="1" hiddenButton="1"/>
    <filterColumn colId="2" hiddenButton="1"/>
  </autoFilter>
  <tableColumns count="3">
    <tableColumn id="1" xr3:uid="{5BD4618D-D005-4A02-A2F6-CE2429A7BCC5}" name="State/Territory">
      <calculatedColumnFormula array="1">Common_InputFunctions.Utility_DisplayArrayInTable(Common_SourceData.Common_SourceData_AustralianStatesTerritories_Data(),Table_AustralianStates[[#Headers],[State/Territory]],0)</calculatedColumnFormula>
    </tableColumn>
    <tableColumn id="2" xr3:uid="{C3B51FC6-18B6-479A-A1A1-D9A47B3F8AFD}" name="Common Name">
      <calculatedColumnFormula array="1">Common_InputFunctions.Utility_DisplayArrayInTable(Common_SourceData.Common_SourceData_AustralianStatesTerritories_Data(),Table_AustralianStates[[#Headers],[State/Territory]],0)</calculatedColumnFormula>
    </tableColumn>
    <tableColumn id="3" xr3:uid="{72368A62-93DB-4CD4-BE4B-B0A39D41D212}" name="Abbreviation">
      <calculatedColumnFormula array="1">Common_InputFunctions.Utility_DisplayArrayInTable(Common_SourceData.Common_SourceData_AustralianStatesTerritories_Data(),Table_AustralianStates[[#Headers],[State/Territory]],0)</calculatedColumnFormula>
    </tableColumn>
  </tableColumns>
  <tableStyleInfo name="Equation table"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E2EA1FBF-5F2C-425D-ABE6-8499619D4751}" name="Table_WASA4Areas" displayName="Table_WASA4Areas" ref="D20:D30" totalsRowShown="0">
  <autoFilter ref="D20:D30" xr:uid="{5FA81339-C6C8-4D36-BEEA-6C4AEDD9E676}">
    <filterColumn colId="0" hiddenButton="1"/>
  </autoFilter>
  <tableColumns count="1">
    <tableColumn id="1" xr3:uid="{CA89749D-BBFC-4AB9-8AF1-258E8CDA4E8B}" name="SA 4 Name">
      <calculatedColumnFormula array="1">Common_InputFunctions.Utility_DisplayArrayInTable(Common_SourceData.Common_SourceData_WASA4Areas_Data(), Table_WASA4Areas[[#Headers],[SA 4 Name]], 0)</calculatedColumnFormula>
    </tableColumn>
  </tableColumns>
  <tableStyleInfo name="Equation table"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2FC6FF0F-21B3-458C-ADE6-0EEA76A61635}" name="Table_GWPData" displayName="Table_GWPData" ref="D36:E43" totalsRowShown="0">
  <autoFilter ref="D36:E43" xr:uid="{B8E87A66-3E41-4AD3-925D-01EE21B43D7A}">
    <filterColumn colId="0" hiddenButton="1"/>
    <filterColumn colId="1" hiddenButton="1"/>
  </autoFilter>
  <tableColumns count="2">
    <tableColumn id="1" xr3:uid="{ECDE723F-7415-4863-97D8-444684B43DAE}" name="Gas">
      <calculatedColumnFormula array="1">Common_InputFunctions.Utility_DisplayArrayInTable(Common_SourceData.Common_SourceData_GWP_Data(), Table_GWPData[[#Headers],[Gas]], 0)</calculatedColumnFormula>
    </tableColumn>
    <tableColumn id="2" xr3:uid="{415CD21A-4663-4A39-9858-FD148308E981}" name="CO2-e factor">
      <calculatedColumnFormula array="1">Common_InputFunctions.Utility_DisplayArrayInTable(Common_SourceData.Common_SourceData_GWP_Data(), Table_GWPData[[#Headers],[Gas]], 0)</calculatedColumnFormula>
    </tableColumn>
  </tableColumns>
  <tableStyleInfo name="Equation table"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959F33D9-E420-40F0-9DDD-3D19C17F934C}" name="Table_GasToMolecularConversionFactor" displayName="Table_GasToMolecularConversionFactor" ref="D47:H54" totalsRowShown="0">
  <autoFilter ref="D47:H54" xr:uid="{C1F562BB-DAA6-45BB-951A-7BAFA5B64B45}">
    <filterColumn colId="0" hiddenButton="1"/>
    <filterColumn colId="1" hiddenButton="1"/>
    <filterColumn colId="2" hiddenButton="1"/>
    <filterColumn colId="3" hiddenButton="1"/>
    <filterColumn colId="4" hiddenButton="1"/>
  </autoFilter>
  <tableColumns count="5">
    <tableColumn id="1" xr3:uid="{9200F383-3EDB-4A28-AC76-DAF0AB3D90CE}" name="Gas">
      <calculatedColumnFormula array="1">Common_InputFunctions.Utility_DisplayArrayInTable(Common_SourceData.Common_SourceData_ConvertGasElementalToMolecular_Data(),Table_GasToMolecularConversionFactor[[#Headers],[Gas]], 0)</calculatedColumnFormula>
    </tableColumn>
    <tableColumn id="5" xr3:uid="{31FE8040-4D42-4E90-81DE-959B7221D1D0}" name="Conversion factor">
      <calculatedColumnFormula array="1">Common_InputFunctions.Utility_DisplayArrayInTable(Common_SourceData.Common_SourceData_ConvertGasElementalToMolecular_Data(),Table_GasToMolecularConversionFactor[[#Headers],[Gas]], 0)</calculatedColumnFormula>
    </tableColumn>
    <tableColumn id="2" xr3:uid="{D258343C-F9A4-4549-A33F-D5753CAF2E0B}" name="Conversion factor 1">
      <calculatedColumnFormula array="1">Common_InputFunctions.Utility_DisplayArrayInTable(Common_SourceData.Common_SourceData_ConvertGasElementalToMolecular_Data(),Table_GasToMolecularConversionFactor[[#Headers],[Gas]], 0)</calculatedColumnFormula>
    </tableColumn>
    <tableColumn id="3" xr3:uid="{DE30A0F0-1A64-4EDC-886E-C68A4A45747D}" name="Conversion factor 2">
      <calculatedColumnFormula array="1">Common_InputFunctions.Utility_DisplayArrayInTable(Common_SourceData.Common_SourceData_ConvertGasElementalToMolecular_Data(),Table_GasToMolecularConversionFactor[[#Headers],[Gas]], 0)</calculatedColumnFormula>
    </tableColumn>
    <tableColumn id="4" xr3:uid="{5FAECF81-54BF-40CB-ADA7-8AA192DD81CC}" name="Conversion factor combined">
      <calculatedColumnFormula>Table_GasToMolecularConversionFactor[[#This Row],[Conversion factor 1]]/Table_GasToMolecularConversionFactor[[#This Row],[Conversion factor 2]]</calculatedColumnFormula>
    </tableColumn>
  </tableColumns>
  <tableStyleInfo name="Equation table"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DDC0FC57-8662-4A1B-A7B6-C15D341AF50F}" name="Table_SourceData_ClimateZones" displayName="Table_SourceData_ClimateZones" ref="D89:S97" totalsRowShown="0">
  <autoFilter ref="D89:S97" xr:uid="{5A437AE9-7724-4CF2-ACCF-291078682FB9}">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autoFilter>
  <tableColumns count="16">
    <tableColumn id="1" xr3:uid="{43310468-F448-4840-9D23-7B97A9273DF5}" name="Climate zone" totalsRowCellStyle="Content bold">
      <calculatedColumnFormula array="1">Common_InputFunctions.Utility_DisplayArrayInTable(Common_SourceData.Common_SourceData_ClimateZones_Data(), Table_SourceData_ClimateZones[[#Headers],[Climate zone]], 0)</calculatedColumnFormula>
    </tableColumn>
    <tableColumn id="2" xr3:uid="{A2C46D09-4C51-41CF-8F33-248F2C492D25}" name="MAT" totalsRowDxfId="48" totalsRowCellStyle="Content bold">
      <calculatedColumnFormula array="1">Common_InputFunctions.Utility_DisplayArrayInTable(Common_SourceData.Common_SourceData_ClimateZones_Data(), Table_SourceData_ClimateZones[[#Headers],[Climate zone]], 0)</calculatedColumnFormula>
    </tableColumn>
    <tableColumn id="3" xr3:uid="{1E21332D-3F16-4953-B495-58AFDCA6D1DF}" name="MAP" totalsRowDxfId="47" totalsRowCellStyle="Content bold">
      <calculatedColumnFormula array="1">Common_InputFunctions.Utility_DisplayArrayInTable(Common_SourceData.Common_SourceData_ClimateZones_Data(), Table_SourceData_ClimateZones[[#Headers],[Climate zone]], 0)</calculatedColumnFormula>
    </tableColumn>
    <tableColumn id="4" xr3:uid="{B629E4D9-DC24-4749-9E65-6B58F288E43C}" name="Frost days per year" totalsRowDxfId="46" totalsRowCellStyle="Content bold">
      <calculatedColumnFormula array="1">Common_InputFunctions.Utility_DisplayArrayInTable(Common_SourceData.Common_SourceData_ClimateZones_Data(), Table_SourceData_ClimateZones[[#Headers],[Climate zone]], 0)</calculatedColumnFormula>
    </tableColumn>
    <tableColumn id="5" xr3:uid="{6CAEBBC0-3FCE-4A74-8E50-D10374C179C2}" name="Elevation" totalsRowDxfId="45" totalsRowCellStyle="Content bold">
      <calculatedColumnFormula array="1">Common_InputFunctions.Utility_DisplayArrayInTable(Common_SourceData.Common_SourceData_ClimateZones_Data(), Table_SourceData_ClimateZones[[#Headers],[Climate zone]], 0)</calculatedColumnFormula>
    </tableColumn>
    <tableColumn id="6" xr3:uid="{76E89EC3-AEDA-49AD-89A6-558AB4BAB6C7}" name="MAP:PET" totalsRowDxfId="44" totalsRowCellStyle="Content bold">
      <calculatedColumnFormula array="1">Common_InputFunctions.Utility_DisplayArrayInTable(Common_SourceData.Common_SourceData_ClimateZones_Data(), Table_SourceData_ClimateZones[[#Headers],[Climate zone]], 0)</calculatedColumnFormula>
    </tableColumn>
    <tableColumn id="7" xr3:uid="{35BAB4F7-B76C-487E-BCDA-E5BDA004ACC2}" name="Min temp" totalsRowDxfId="43" totalsRowCellStyle="Content bold">
      <calculatedColumnFormula array="1">Common_InputFunctions.Utility_DisplayArrayInTable(Common_SourceData.Common_SourceData_ClimateZones_Data(), Table_SourceData_ClimateZones[[#Headers],[Climate zone]], 0)</calculatedColumnFormula>
    </tableColumn>
    <tableColumn id="8" xr3:uid="{089CEAA9-034D-4699-AFA3-3DE691E42224}" name="Max temp" totalsRowDxfId="42" totalsRowCellStyle="Content bold">
      <calculatedColumnFormula array="1">Common_InputFunctions.Utility_DisplayArrayInTable(Common_SourceData.Common_SourceData_ClimateZones_Data(), Table_SourceData_ClimateZones[[#Headers],[Climate zone]], 0)</calculatedColumnFormula>
    </tableColumn>
    <tableColumn id="9" xr3:uid="{4B404478-0A87-4483-A768-ED15A9F50EA7}" name="Min rainfall" totalsRowDxfId="41" totalsRowCellStyle="Content bold">
      <calculatedColumnFormula array="1">Common_InputFunctions.Utility_DisplayArrayInTable(Common_SourceData.Common_SourceData_ClimateZones_Data(), Table_SourceData_ClimateZones[[#Headers],[Climate zone]], 0)</calculatedColumnFormula>
    </tableColumn>
    <tableColumn id="10" xr3:uid="{D72CFE6A-3F99-4ABF-AC24-DF7E7DFFFB65}" name="Max rainfall" totalsRowDxfId="40" totalsRowCellStyle="Content bold">
      <calculatedColumnFormula array="1">Common_InputFunctions.Utility_DisplayArrayInTable(Common_SourceData.Common_SourceData_ClimateZones_Data(), Table_SourceData_ClimateZones[[#Headers],[Climate zone]], 0)</calculatedColumnFormula>
    </tableColumn>
    <tableColumn id="11" xr3:uid="{7666A2F5-089E-4DCF-B288-845256D5841E}" name="Min frost days" totalsRowDxfId="39" totalsRowCellStyle="Content bold">
      <calculatedColumnFormula array="1">Common_InputFunctions.Utility_DisplayArrayInTable(Common_SourceData.Common_SourceData_ClimateZones_Data(), Table_SourceData_ClimateZones[[#Headers],[Climate zone]], 0)</calculatedColumnFormula>
    </tableColumn>
    <tableColumn id="15" xr3:uid="{27C7F345-B498-45B4-9401-F70B3BF17347}" name="Max frost days" totalsRowDxfId="38" totalsRowCellStyle="Content bold">
      <calculatedColumnFormula array="1">Common_InputFunctions.Utility_DisplayArrayInTable(Common_SourceData.Common_SourceData_ClimateZones_Data(), Table_SourceData_ClimateZones[[#Headers],[Climate zone]], 0)</calculatedColumnFormula>
    </tableColumn>
    <tableColumn id="12" xr3:uid="{8BB50D35-7FE0-4BC4-92F1-E024BE78CE58}" name="Min elevation" totalsRowDxfId="37" totalsRowCellStyle="Content bold">
      <calculatedColumnFormula array="1">Common_InputFunctions.Utility_DisplayArrayInTable(Common_SourceData.Common_SourceData_ClimateZones_Data(), Table_SourceData_ClimateZones[[#Headers],[Climate zone]], 0)</calculatedColumnFormula>
    </tableColumn>
    <tableColumn id="16" xr3:uid="{B414653C-D8A1-4744-BA64-8E2E7D1A8D0D}" name="Max elevation" totalsRowDxfId="36" totalsRowCellStyle="Content bold">
      <calculatedColumnFormula array="1">Common_InputFunctions.Utility_DisplayArrayInTable(Common_SourceData.Common_SourceData_ClimateZones_Data(), Table_SourceData_ClimateZones[[#Headers],[Climate zone]], 0)</calculatedColumnFormula>
    </tableColumn>
    <tableColumn id="13" xr3:uid="{A1F7AC64-95FB-405D-B3B5-C83532730531}" name="Min MAP:PET" totalsRowDxfId="35" totalsRowCellStyle="Content bold">
      <calculatedColumnFormula array="1">Common_InputFunctions.Utility_DisplayArrayInTable(Common_SourceData.Common_SourceData_ClimateZones_Data(), Table_SourceData_ClimateZones[[#Headers],[Climate zone]], 0)</calculatedColumnFormula>
    </tableColumn>
    <tableColumn id="17" xr3:uid="{2655FBEB-CC8B-4994-84B4-3BADD0EA3036}" name="Max MAP:PET" totalsRowDxfId="34" totalsRowCellStyle="Content bold">
      <calculatedColumnFormula array="1">Common_InputFunctions.Utility_DisplayArrayInTable(Common_SourceData.Common_SourceData_ClimateZones_Data(), Table_SourceData_ClimateZones[[#Headers],[Climate zone]], 0)</calculatedColumnFormula>
    </tableColumn>
  </tableColumns>
  <tableStyleInfo name="Equation table"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8E19E1BF-F52E-489A-86BC-8BF92E0DE8C1}" name="Table_SourceData_WetDryZones" displayName="Table_SourceData_WetDryZones" ref="D63:E77" totalsRowShown="0">
  <autoFilter ref="D63:E77" xr:uid="{3597E019-B21E-4B76-BCC8-D02D497BCFA9}">
    <filterColumn colId="0" hiddenButton="1"/>
    <filterColumn colId="1" hiddenButton="1"/>
  </autoFilter>
  <tableColumns count="2">
    <tableColumn id="1" xr3:uid="{A7E12FDC-1357-41EF-88F6-94D4F72FE5F7}" name="Climate zone" totalsRowCellStyle="Content bold">
      <calculatedColumnFormula array="1">Common_InputFunctions.Utility_DisplayArrayInTable(Common_SourceData.Common_SourceData_WetAndDryZones_Data(), Table_SourceData_WetDryZones[[#Headers],[Climate zone]], 0)</calculatedColumnFormula>
    </tableColumn>
    <tableColumn id="2" xr3:uid="{6201C564-907C-44C0-9F24-656FA52A3CFD}" name="Wet or Dry Zone" totalsRowDxfId="33" totalsRowCellStyle="Content bold">
      <calculatedColumnFormula array="1">Common_InputFunctions.Utility_DisplayArrayInTable(Common_SourceData.Common_SourceData_WetAndDryZones_Data(), Table_SourceData_WetDryZones[[#Headers],[Climate zone]], 0)</calculatedColumnFormula>
    </tableColumn>
  </tableColumns>
  <tableStyleInfo name="Equation table"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71F2755B-90F2-45A5-B269-EC98523EF04A}" name="Table_SourceData_TemperatureZones" displayName="Table_SourceData_TemperatureZones" ref="D109:G112" totalsRowShown="0">
  <autoFilter ref="D109:G112" xr:uid="{AB16FEAB-AB03-45E1-BBD4-66D29CD412DF}">
    <filterColumn colId="0" hiddenButton="1"/>
    <filterColumn colId="1" hiddenButton="1"/>
    <filterColumn colId="2" hiddenButton="1"/>
    <filterColumn colId="3" hiddenButton="1"/>
  </autoFilter>
  <tableColumns count="4">
    <tableColumn id="1" xr3:uid="{03B335BF-1D4B-47A5-8591-96D89DA20A3C}" name="Temperature Zone">
      <calculatedColumnFormula array="1">Common_InputFunctions.Utility_DisplayArrayInTable(Common_SourceData.Common_SourceData_TemperatureZones_Data(),Table_SourceData_TemperatureZones[[#Headers],[Temperature Zone]],0)</calculatedColumnFormula>
    </tableColumn>
    <tableColumn id="2" xr3:uid="{03CEC008-9990-4C41-9129-925EDA4285E1}" name="MAT">
      <calculatedColumnFormula array="1">Common_InputFunctions.Utility_DisplayArrayInTable(Common_SourceData.Common_SourceData_TemperatureZones_Data(),Table_SourceData_TemperatureZones[[#Headers],[Temperature Zone]],0)</calculatedColumnFormula>
    </tableColumn>
    <tableColumn id="3" xr3:uid="{0C8F4AD7-8ACF-46EB-B427-042CAFBCF1C7}" name="Min MAT">
      <calculatedColumnFormula array="1">Common_InputFunctions.Utility_DisplayArrayInTable(Common_SourceData.Common_SourceData_TemperatureZones_Data(),Table_SourceData_TemperatureZones[[#Headers],[Temperature Zone]],0)</calculatedColumnFormula>
    </tableColumn>
    <tableColumn id="4" xr3:uid="{101CA768-2CBD-42E0-B528-1A3B30C9CCC0}" name="Max MAT">
      <calculatedColumnFormula array="1">Common_InputFunctions.Utility_DisplayArrayInTable(Common_SourceData.Common_SourceData_TemperatureZones_Data(),Table_SourceData_TemperatureZones[[#Headers],[Temperature Zone]],0)</calculatedColumnFormula>
    </tableColumn>
  </tableColumns>
  <tableStyleInfo name="Equation table"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DFF9849B-A998-4EF0-A50E-86CBA16E27BA}" name="Table_SourceData_RainfallZones" displayName="Table_SourceData_RainfallZones" ref="D119:G121" totalsRowShown="0">
  <autoFilter ref="D119:G121" xr:uid="{E08772F3-2E8C-40A8-B755-08A5BBDF4130}">
    <filterColumn colId="0" hiddenButton="1"/>
    <filterColumn colId="1" hiddenButton="1"/>
    <filterColumn colId="2" hiddenButton="1"/>
    <filterColumn colId="3" hiddenButton="1"/>
  </autoFilter>
  <tableColumns count="4">
    <tableColumn id="1" xr3:uid="{87C73D22-7C15-4E26-856C-5A31F1CDEA25}" name="Rainfall Zone">
      <calculatedColumnFormula array="1">Common_InputFunctions.Utility_DisplayArrayInTable(Common_SourceData.Common_SourceData_RainfallZones_Data(),Table_SourceData_RainfallZones[[#Headers],[Rainfall Zone]],0)</calculatedColumnFormula>
    </tableColumn>
    <tableColumn id="2" xr3:uid="{3F465077-C442-4A02-B331-2C854377A9D2}" name="Annual rainfall">
      <calculatedColumnFormula array="1">Common_InputFunctions.Utility_DisplayArrayInTable(Common_SourceData.Common_SourceData_RainfallZones_Data(),Table_SourceData_RainfallZones[[#Headers],[Rainfall Zone]],0)</calculatedColumnFormula>
    </tableColumn>
    <tableColumn id="3" xr3:uid="{2D36C837-7BC4-4E34-80F1-776B7B7A7F9B}" name="Min rainfall">
      <calculatedColumnFormula array="1">Common_InputFunctions.Utility_DisplayArrayInTable(Common_SourceData.Common_SourceData_RainfallZones_Data(),Table_SourceData_RainfallZones[[#Headers],[Rainfall Zone]],0)</calculatedColumnFormula>
    </tableColumn>
    <tableColumn id="4" xr3:uid="{F7951BB1-7431-45BD-9900-5B1CD70C9F65}" name="Max rainfall">
      <calculatedColumnFormula array="1">Common_InputFunctions.Utility_DisplayArrayInTable(Common_SourceData.Common_SourceData_RainfallZones_Data(),Table_SourceData_RainfallZones[[#Headers],[Rainfall Zone]],0)</calculatedColumnFormula>
    </tableColumn>
  </tableColumns>
  <tableStyleInfo name="Equation table"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06D7FD53-E498-4A76-913E-A27C0349D72D}" name="Table_SourceData_LeachingZones" displayName="Table_SourceData_LeachingZones" ref="D127:E129" totalsRowShown="0">
  <autoFilter ref="D127:E129" xr:uid="{A159E140-02ED-4547-B6E1-6695D8B16A11}">
    <filterColumn colId="0" hiddenButton="1"/>
    <filterColumn colId="1" hiddenButton="1"/>
  </autoFilter>
  <tableColumns count="2">
    <tableColumn id="1" xr3:uid="{A46D03D3-EFCA-49DC-979E-10F92839AFFE}" name="Leaching Zone">
      <calculatedColumnFormula array="1">Common_InputFunctions.Utility_DisplayArrayInTable(Common_SourceData.Common_SourceData_LeachingZones_Data(), Table_SourceData_LeachingZones[[#Headers],[Leaching Zone]], 0)</calculatedColumnFormula>
    </tableColumn>
    <tableColumn id="2" xr3:uid="{63A395B6-6F3A-4FFE-8C25-5E738F145305}" name="Leaching criteria">
      <calculatedColumnFormula array="1">Common_InputFunctions.Utility_DisplayArrayInTable(Common_SourceData.Common_SourceData_LeachingZones_Data(), Table_SourceData_LeachingZones[[#Headers],[Leaching Zone]], 0)</calculatedColumnFormula>
    </tableColumn>
  </tableColumns>
  <tableStyleInfo name="Equation table"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4FB19A60-83D7-464A-BD92-D6BE719F10F2}" name="Table_SourceData_DataScores_Scope3" displayName="Table_SourceData_DataScores_Scope3" ref="D153:E158" totalsRowShown="0">
  <autoFilter ref="D153:E158" xr:uid="{133D42B0-F6D2-470A-858A-37E6A7F5EC2B}">
    <filterColumn colId="0" hiddenButton="1"/>
    <filterColumn colId="1" hiddenButton="1"/>
  </autoFilter>
  <tableColumns count="2">
    <tableColumn id="1" xr3:uid="{65BFDB36-1A35-4EB3-A8E7-D51F51DA348A}" name="Data source">
      <calculatedColumnFormula array="1">Common_InputFunctions.Utility_DisplayArrayInTable(Common_SourceData.Common_SourceData_DataScores_Scope3_Data(), Table_SourceData_DataScores_Scope3[[#Headers],[Data source]], 0)</calculatedColumnFormula>
    </tableColumn>
    <tableColumn id="2" xr3:uid="{780F2395-0E08-4B4F-BA36-CF11FF99576F}" name="Data score">
      <calculatedColumnFormula array="1">Common_InputFunctions.Utility_DisplayArrayInTable(Common_SourceData.Common_SourceData_DataScores_Scope3_Data(), Table_SourceData_DataScores_Scope3[[#Headers],[Data source]], 0)</calculatedColumnFormula>
    </tableColumn>
  </tableColumns>
  <tableStyleInfo name="Equation table"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BC638743-BCFD-4588-A641-2D5C7D5295AB}" name="Table_SourceData_FracWET" displayName="Table_SourceData_FracWET" ref="D134:E136" totalsRowShown="0">
  <autoFilter ref="D134:E136" xr:uid="{308E99BE-FE1F-47A4-B2CA-97217277C4E9}">
    <filterColumn colId="0" hiddenButton="1"/>
    <filterColumn colId="1" hiddenButton="1"/>
  </autoFilter>
  <tableColumns count="2">
    <tableColumn id="1" xr3:uid="{3C2642A0-4935-40A4-8F80-249D8A40B2A9}" name="Is in leaching zone">
      <calculatedColumnFormula array="1">Common_InputFunctions.Utility_DisplayArrayInTable(Common_SourceData.Common_SourceData_FracWET_Data(),Table_SourceData_FracWET[[#Headers],[Is in leaching zone]],0)</calculatedColumnFormula>
    </tableColumn>
    <tableColumn id="2" xr3:uid="{2F972032-EFA9-4859-9F16-971F82F3C3C6}" name="FracWET" dataDxfId="32">
      <calculatedColumnFormula array="1">Common_InputFunctions.Utility_DisplayArrayInTable(Common_SourceData.Common_SourceData_FracWET_Data(),Table_SourceData_FracWET[[#Headers],[Is in leaching zone]],0)</calculatedColumnFormula>
    </tableColumn>
  </tableColumns>
  <tableStyleInfo name="Equation table"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A02B8564-66AD-43BD-8C6E-E74AF15DFA0D}" name="Table_SourceData_Common_EFN2O" displayName="Table_SourceData_Common_EFN2O" ref="D186:H199" totalsRowShown="0">
  <autoFilter ref="D186:H199" xr:uid="{D41FBEA4-8379-4DF7-A068-BF94D364F1A2}">
    <filterColumn colId="0" hiddenButton="1"/>
    <filterColumn colId="1" hiddenButton="1"/>
    <filterColumn colId="2" hiddenButton="1"/>
    <filterColumn colId="3" hiddenButton="1"/>
    <filterColumn colId="4" hiddenButton="1"/>
  </autoFilter>
  <tableColumns count="5">
    <tableColumn id="1" xr3:uid="{DCF75D29-4FE8-433B-8EA3-3AE18BAB2AB7}" name="Production system j">
      <calculatedColumnFormula array="1">Common_InputFunctions.Utility_DisplayArrayInTable(Common_SourceData.Common_SourceData_EFN2O_Data(), Table_SourceData_Common_EFN2O[[#Headers],[Production system j]], 0)</calculatedColumnFormula>
    </tableColumn>
    <tableColumn id="2" xr3:uid="{1F852024-C3AD-49B6-AB69-261AF781072B}" name="EFN2O">
      <calculatedColumnFormula array="1">Common_InputFunctions.Utility_DisplayArrayInTable(Common_SourceData.Common_SourceData_EFN2O_Data(), Table_SourceData_Common_EFN2O[[#Headers],[Production system j]], 0)</calculatedColumnFormula>
    </tableColumn>
    <tableColumn id="3" xr3:uid="{0C2F7CFF-F5D7-4CE9-A33D-DC1DCCDB9C7E}" name="Production system only">
      <calculatedColumnFormula array="1">Common_InputFunctions.Utility_DisplayArrayInTable(Common_SourceData.Common_SourceData_EFN2O_Data(), Table_SourceData_Common_EFN2O[[#Headers],[Production system j]], 0)</calculatedColumnFormula>
    </tableColumn>
    <tableColumn id="4" xr3:uid="{8D42A163-EFB7-4E92-A731-E48ACCAB7033}" name="Irrigation method">
      <calculatedColumnFormula array="1">Common_InputFunctions.Utility_DisplayArrayInTable(Common_SourceData.Common_SourceData_EFN2O_Data(), Table_SourceData_Common_EFN2O[[#Headers],[Production system j]], 0)</calculatedColumnFormula>
    </tableColumn>
    <tableColumn id="5" xr3:uid="{CAD996CB-3835-441F-AF99-65BDC4F27AEC}" name="Rainfall zone">
      <calculatedColumnFormula array="1">Common_InputFunctions.Utility_DisplayArrayInTable(Common_SourceData.Common_SourceData_EFN2O_Data(), Table_SourceData_Common_EFN2O[[#Headers],[Production system j]], 0)</calculatedColumnFormula>
    </tableColumn>
  </tableColumns>
  <tableStyleInfo name="Equation table"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6" xr:uid="{F919364D-6F84-47AC-8AB0-5857A8DC38D8}" name="Table_SourceData_FracWETIrrigation" displayName="Table_SourceData_FracWETIrrigation" ref="D142:E147" totalsRowShown="0">
  <autoFilter ref="D142:E147" xr:uid="{1F48CA34-50DE-46D5-B32A-BB3A1E818E37}">
    <filterColumn colId="0" hiddenButton="1"/>
    <filterColumn colId="1" hiddenButton="1"/>
  </autoFilter>
  <tableColumns count="2">
    <tableColumn id="1" xr3:uid="{F49258DB-F75A-4EBF-A710-C1EE31702734}" name="Irrigation type i">
      <calculatedColumnFormula array="1">Common_InputFunctions.Utility_DisplayArrayInTable(Common_SourceData.Common_SourceData_FracWETIrrigation_Data(), Table_SourceData_FracWETIrrigation[[#Headers],[Irrigation type i]], 0)</calculatedColumnFormula>
    </tableColumn>
    <tableColumn id="2" xr3:uid="{E4D2C662-73D0-493D-9A77-742997AECD72}" name="FracWET" dataDxfId="31" dataCellStyle="Content normal">
      <calculatedColumnFormula array="1">Common_InputFunctions.Utility_DisplayArrayInTable(Common_SourceData.Common_SourceData_FracWETIrrigation_Data(), Table_SourceData_FracWETIrrigation[[#Headers],[Irrigation type i]], 0)</calculatedColumnFormula>
    </tableColumn>
  </tableColumns>
  <tableStyleInfo name="Equation table"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7" xr:uid="{0617F714-4AFE-42E1-BB7E-AEFD3DA892D6}" name="Table_SourceData_EFPastureRangeAndPaddock" displayName="Table_SourceData_EFPastureRangeAndPaddock" ref="D206:E208" totalsRowShown="0">
  <autoFilter ref="D206:E208" xr:uid="{D5BE3F89-D70E-4C53-A71C-E756622DEF38}">
    <filterColumn colId="0" hiddenButton="1"/>
    <filterColumn colId="1" hiddenButton="1"/>
  </autoFilter>
  <tableColumns count="2">
    <tableColumn id="1" xr3:uid="{B0E23C0C-7F94-405E-BA69-DAD756D69E99}" name="Climate zone">
      <calculatedColumnFormula array="1">Common_InputFunctions.Utility_DisplayArrayInTable(Common_SourceData.Common_SourceData_EFPastureRangeAndPaddock_Data(), Table_SourceData_EFPastureRangeAndPaddock[[#Headers],[Climate zone]], 0)</calculatedColumnFormula>
    </tableColumn>
    <tableColumn id="2" xr3:uid="{F7E7A1DE-267A-4501-8460-07C0CFD86784}" name="EFPRP" dataDxfId="30" dataCellStyle="Content normal">
      <calculatedColumnFormula array="1">Common_InputFunctions.Utility_DisplayArrayInTable(Common_SourceData.Common_SourceData_EFPastureRangeAndPaddock_Data(), Table_SourceData_EFPastureRangeAndPaddock[[#Headers],[Climate zone]], 0)</calculatedColumnFormula>
    </tableColumn>
  </tableColumns>
  <tableStyleInfo name="Equation table"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8" xr:uid="{B2408AA1-FDD9-4143-8547-AEFE25FA553E}" name="Table_SourceData_Common_MonthToSeason" displayName="Table_SourceData_Common_MonthToSeason" ref="D212:E224" totalsRowShown="0">
  <autoFilter ref="D212:E224" xr:uid="{97796C3A-D95E-4077-AA20-A8FE4145DAAD}">
    <filterColumn colId="0" hiddenButton="1"/>
    <filterColumn colId="1" hiddenButton="1"/>
  </autoFilter>
  <tableColumns count="2">
    <tableColumn id="1" xr3:uid="{C0C58677-C24E-4A1A-9943-E32A7FB69CD9}" name="Month">
      <calculatedColumnFormula array="1">Common_InputFunctions.Utility_DisplayArrayInTable(Common_SourceData.Common_SourceData_MonthsToSeasons_Data(), Table_SourceData_Common_MonthToSeason[[#Headers],[Month]], 0)</calculatedColumnFormula>
    </tableColumn>
    <tableColumn id="2" xr3:uid="{7C17C79F-B92B-4F4E-812D-890C3C9AA38E}" name="Season" dataDxfId="29" dataCellStyle="Content normal">
      <calculatedColumnFormula array="1">Common_InputFunctions.Utility_DisplayArrayInTable(Common_SourceData.Common_SourceData_MonthsToSeasons_Data(), Table_SourceData_Common_MonthToSeason[[#Headers],[Month]], 0)</calculatedColumnFormula>
    </tableColumn>
  </tableColumns>
  <tableStyleInfo name="Equation table" showFirstColumn="0"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0" xr:uid="{46AAF74B-B363-45CB-AEBB-9F11A90BADEC}" name="Table_SourceData_Common_MCFTemperatureZone" displayName="Table_SourceData_Common_MCFTemperatureZone" ref="D231:S250" totalsRowShown="0">
  <autoFilter ref="D231:S250" xr:uid="{1D72DD9B-C8FA-48F4-9A11-20231FF87B5A}">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autoFilter>
  <tableColumns count="16">
    <tableColumn id="1" xr3:uid="{2E7CDCD6-6BF2-4E5A-A0A9-7259BA45FB4E}" name="Temperature zone">
      <calculatedColumnFormula array="1">Common_InputFunctions.Utility_DisplayArrayInTable(Common_SourceData.Common_SourceData_MCFTemperatureZone_Data(),Table_SourceData_Common_MCFTemperatureZone[[#Headers],[Temperature zone]],0)</calculatedColumnFormula>
    </tableColumn>
    <tableColumn id="2" xr3:uid="{0E2B460F-2624-4E7A-8AAA-A1779016EAC5}" name="MAT (ºC)" dataDxfId="28"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3" xr3:uid="{5B106A7A-85AA-4F96-830D-63834D821408}" name="Anaerobic lagoon" dataDxfId="27"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4" xr3:uid="{C6E2D4A9-7CC5-434C-A675-156EB6086CA4}" name="Digester / covered lagoons" dataDxfId="26"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5" xr3:uid="{6EA49349-06A2-4345-902E-28C88A40D531}" name="Liquid systems" dataDxfId="25"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6" xr3:uid="{30596AE0-CC62-4479-B272-940E5AA09BF0}" name="Daily spread" dataDxfId="24"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7" xr3:uid="{085369AC-6A82-4BDC-90AA-C60E87C77CA7}" name="Composting (passive windrow)" dataDxfId="23"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8" xr3:uid="{C6B80A7C-7F3C-4931-9AE6-3C8BFF3A05B4}" name="Solid storage" dataDxfId="22"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9" xr3:uid="{3FD34F53-6808-4FC9-B9A5-9401C92930D5}" name="Pit storage" dataDxfId="21"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0" xr3:uid="{A11B1892-68A0-4B35-8D20-E6F1E1FF2995}" name="Deep litter" dataDxfId="20"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1" xr3:uid="{31E4B652-05BA-4B95-BBD0-B2ED6710EFEE}" name="Poultry manure with bedding" dataDxfId="19"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2" xr3:uid="{C5C810F0-F22C-436F-B67A-E2329FE70BDA}" name="Poultry manure without bedding" dataDxfId="18"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3" xr3:uid="{BB43A27B-E03C-4D32-B16A-E99AFF2E9922}" name="Direct processing" dataDxfId="17"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4" xr3:uid="{39EEC5D6-7562-45BF-9E4A-EE23DCC9F847}" name="Direct application" dataDxfId="16"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5" xr3:uid="{CCD90574-4E9A-4F11-BD63-2F82E6A7B5E1}" name="Pasture range and paddock" dataDxfId="15"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6" xr3:uid="{FB7CC60A-C865-4625-B625-11B296B903CB}" name="MAT raw" dataDxfId="14" dataCellStyle="Content normal">
      <calculatedColumnFormula array="1">Common_InputFunctions.Utility_DisplayArrayInTable(Common_SourceData.Common_SourceData_MCFTemperatureZone_Data(),Table_SourceData_Common_MCFTemperatureZone[[#Headers],[Temperature zone]],0)</calculatedColumnFormula>
    </tableColumn>
  </tableColumns>
  <tableStyleInfo name="Equation table" showFirstColumn="0" showLastColumn="0" showRowStripes="1"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1" xr:uid="{58C2D788-C74A-4ACA-A75F-066F3F185BB1}" name="Table_SourceData_Common_EFOrganicFertCropResidues" displayName="Table_SourceData_Common_EFOrganicFertCropResidues" ref="D257:E259" totalsRowShown="0">
  <autoFilter ref="D257:E259" xr:uid="{56E01C14-1BB8-4015-9158-4CEB4D3B605C}">
    <filterColumn colId="0" hiddenButton="1"/>
    <filterColumn colId="1" hiddenButton="1"/>
  </autoFilter>
  <tableColumns count="2">
    <tableColumn id="1" xr3:uid="{A9275F03-E5C8-45B4-AEB4-E9E9F5B8209A}" name="Climate Zone">
      <calculatedColumnFormula array="1">Common_InputFunctions.Utility_DisplayArrayInTable(Common_SourceData.Common_SourceData_EFOrganicFertiliserAndCropResidues_Data(), Table_SourceData_Common_EFOrganicFertCropResidues[[#Headers],[Climate Zone]], 0)</calculatedColumnFormula>
    </tableColumn>
    <tableColumn id="2" xr3:uid="{45363D1E-AA92-454E-9052-564634AB074D}" name="EFNi &amp; EFN2Oi" dataDxfId="13" dataCellStyle="Content normal">
      <calculatedColumnFormula array="1">Common_InputFunctions.Utility_DisplayArrayInTable(Common_SourceData.Common_SourceData_EFOrganicFertiliserAndCropResidues_Data(), Table_SourceData_Common_EFOrganicFertCropResidues[[#Headers],[Climate Zone]], 0)</calculatedColumnFormula>
    </tableColumn>
  </tableColumns>
  <tableStyleInfo name="Equation table" showFirstColumn="0" showLastColumn="0" showRowStripes="1" showColumnStripes="0"/>
</table>
</file>

<file path=xl/theme/theme1.xml><?xml version="1.0" encoding="utf-8"?>
<a:theme xmlns:a="http://schemas.openxmlformats.org/drawingml/2006/main" name="Office Theme">
  <a:themeElements>
    <a:clrScheme name="ZNE-Ag">
      <a:dk1>
        <a:sysClr val="windowText" lastClr="000000"/>
      </a:dk1>
      <a:lt1>
        <a:sysClr val="window" lastClr="FFFFFF"/>
      </a:lt1>
      <a:dk2>
        <a:srgbClr val="0E2841"/>
      </a:dk2>
      <a:lt2>
        <a:srgbClr val="E8E8E8"/>
      </a:lt2>
      <a:accent1>
        <a:srgbClr val="0B769F"/>
      </a:accent1>
      <a:accent2>
        <a:srgbClr val="CC6600"/>
      </a:accent2>
      <a:accent3>
        <a:srgbClr val="008000"/>
      </a:accent3>
      <a:accent4>
        <a:srgbClr val="C4433F"/>
      </a:accent4>
      <a:accent5>
        <a:srgbClr val="4F4789"/>
      </a:accent5>
      <a:accent6>
        <a:srgbClr val="FFCC66"/>
      </a:accent6>
      <a:hlink>
        <a:srgbClr val="467886"/>
      </a:hlink>
      <a:folHlink>
        <a:srgbClr val="894763"/>
      </a:folHlink>
    </a:clrScheme>
    <a:fontScheme name="Custom 1">
      <a:majorFont>
        <a:latin typeface="Times New Roman"/>
        <a:ea typeface=""/>
        <a:cs typeface=""/>
      </a:majorFont>
      <a:minorFont>
        <a:latin typeface="Times New Roman"/>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588" row="4">
    <wetp:webextensionref xmlns:r="http://schemas.openxmlformats.org/officeDocument/2006/relationships" r:id="rId1"/>
  </wetp:taskpane>
</wetp:taskpanes>
</file>

<file path=xl/webextensions/webextension1.xml><?xml version="1.0" encoding="utf-8"?>
<we:webextension xmlns:we="http://schemas.microsoft.com/office/webextensions/webextension/2010/11" id="{B102233F-B6A7-4C5C-980A-848E7A11A33D}">
  <we:reference id="wa200003696" version="1.3.0.0" store="en-US" storeType="OMEX"/>
  <we:alternateReferences>
    <we:reference id="WA200003696" version="1.3.0.0" store="WA200003696" storeType="OMEX"/>
  </we:alternateReferences>
  <we:properties>
    <we:property name="projectV0_1-56c6e055-265e-4713-816e-a646dbb708de" value="{&quot;kind&quot;:&quot;AFEJSONBlobNode&quot;,&quot;id&quot;:&quot;{B6BE249C-20B1-4A62-BBCD-F2A46D88BCAB}&quot;}"/>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_xldudf_LABS_GENERATIVEAI</we:customFunctionIds>
      </we:customFunctionIdList>
    </a:ext>
  </we:extLst>
</we:webextension>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11.xml.rels><?xml version="1.0" encoding="UTF-8" standalone="yes"?>
<Relationships xmlns="http://schemas.openxmlformats.org/package/2006/relationships"><Relationship Id="rId8" Type="http://schemas.openxmlformats.org/officeDocument/2006/relationships/table" Target="../tables/table7.xml"/><Relationship Id="rId3" Type="http://schemas.openxmlformats.org/officeDocument/2006/relationships/table" Target="../tables/table2.xml"/><Relationship Id="rId7" Type="http://schemas.openxmlformats.org/officeDocument/2006/relationships/table" Target="../tables/table6.xml"/><Relationship Id="rId2" Type="http://schemas.openxmlformats.org/officeDocument/2006/relationships/table" Target="../tables/table1.xml"/><Relationship Id="rId1" Type="http://schemas.openxmlformats.org/officeDocument/2006/relationships/printerSettings" Target="../printerSettings/printerSettings7.bin"/><Relationship Id="rId6" Type="http://schemas.openxmlformats.org/officeDocument/2006/relationships/table" Target="../tables/table5.xml"/><Relationship Id="rId5" Type="http://schemas.openxmlformats.org/officeDocument/2006/relationships/table" Target="../tables/table4.xml"/><Relationship Id="rId4" Type="http://schemas.openxmlformats.org/officeDocument/2006/relationships/table" Target="../tables/table3.xml"/><Relationship Id="rId9" Type="http://schemas.openxmlformats.org/officeDocument/2006/relationships/table" Target="../tables/table8.xml"/></Relationships>
</file>

<file path=xl/worksheets/_rels/sheet12.xml.rels><?xml version="1.0" encoding="UTF-8" standalone="yes"?>
<Relationships xmlns="http://schemas.openxmlformats.org/package/2006/relationships"><Relationship Id="rId8" Type="http://schemas.openxmlformats.org/officeDocument/2006/relationships/table" Target="../tables/table15.xml"/><Relationship Id="rId13" Type="http://schemas.openxmlformats.org/officeDocument/2006/relationships/table" Target="../tables/table20.xml"/><Relationship Id="rId18" Type="http://schemas.openxmlformats.org/officeDocument/2006/relationships/table" Target="../tables/table25.xml"/><Relationship Id="rId3" Type="http://schemas.openxmlformats.org/officeDocument/2006/relationships/table" Target="../tables/table10.xml"/><Relationship Id="rId7" Type="http://schemas.openxmlformats.org/officeDocument/2006/relationships/table" Target="../tables/table14.xml"/><Relationship Id="rId12" Type="http://schemas.openxmlformats.org/officeDocument/2006/relationships/table" Target="../tables/table19.xml"/><Relationship Id="rId17" Type="http://schemas.openxmlformats.org/officeDocument/2006/relationships/table" Target="../tables/table24.xml"/><Relationship Id="rId2" Type="http://schemas.openxmlformats.org/officeDocument/2006/relationships/table" Target="../tables/table9.xml"/><Relationship Id="rId16" Type="http://schemas.openxmlformats.org/officeDocument/2006/relationships/table" Target="../tables/table23.xml"/><Relationship Id="rId1" Type="http://schemas.openxmlformats.org/officeDocument/2006/relationships/printerSettings" Target="../printerSettings/printerSettings8.bin"/><Relationship Id="rId6" Type="http://schemas.openxmlformats.org/officeDocument/2006/relationships/table" Target="../tables/table13.xml"/><Relationship Id="rId11" Type="http://schemas.openxmlformats.org/officeDocument/2006/relationships/table" Target="../tables/table18.xml"/><Relationship Id="rId5" Type="http://schemas.openxmlformats.org/officeDocument/2006/relationships/table" Target="../tables/table12.xml"/><Relationship Id="rId15" Type="http://schemas.openxmlformats.org/officeDocument/2006/relationships/table" Target="../tables/table22.xml"/><Relationship Id="rId10" Type="http://schemas.openxmlformats.org/officeDocument/2006/relationships/table" Target="../tables/table17.xml"/><Relationship Id="rId4" Type="http://schemas.openxmlformats.org/officeDocument/2006/relationships/table" Target="../tables/table11.xml"/><Relationship Id="rId9" Type="http://schemas.openxmlformats.org/officeDocument/2006/relationships/table" Target="../tables/table16.xml"/><Relationship Id="rId14" Type="http://schemas.openxmlformats.org/officeDocument/2006/relationships/table" Target="../tables/table2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CF26AA-F4FA-460F-9B3A-C19960195F0B}">
  <dimension ref="A1"/>
  <sheetViews>
    <sheetView workbookViewId="0"/>
  </sheetViews>
  <sheetFormatPr defaultRowHeight="15" x14ac:dyDescent="0.25"/>
  <sheetData>
    <row r="1" spans="1:1" x14ac:dyDescent="0.25">
      <c r="A1" t="s">
        <v>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7CA77B-B50B-428D-99FC-773BB70E61A6}">
  <dimension ref="A1:AV45"/>
  <sheetViews>
    <sheetView showGridLines="0" tabSelected="1" zoomScaleNormal="100" workbookViewId="0">
      <selection activeCell="A24" sqref="A24"/>
    </sheetView>
  </sheetViews>
  <sheetFormatPr defaultRowHeight="15.75" x14ac:dyDescent="0.25"/>
  <cols>
    <col min="1" max="1" width="30.7109375" customWidth="1"/>
    <col min="2" max="2" width="4.7109375" customWidth="1"/>
    <col min="3" max="3" width="4.7109375" style="1" customWidth="1"/>
    <col min="4" max="41" width="9.140625" style="1"/>
  </cols>
  <sheetData>
    <row r="1" spans="1:42" ht="30" customHeight="1" x14ac:dyDescent="0.35">
      <c r="A1" s="62" t="e" vm="1">
        <v>#VALUE!</v>
      </c>
      <c r="C1" s="126" t="s">
        <v>127</v>
      </c>
      <c r="D1" s="127"/>
      <c r="E1" s="127"/>
      <c r="F1" s="127"/>
      <c r="G1" s="127"/>
      <c r="H1" s="127"/>
      <c r="I1" s="127"/>
      <c r="J1" s="127"/>
      <c r="K1" s="127"/>
      <c r="L1" s="127"/>
      <c r="M1" s="127"/>
      <c r="N1" s="127"/>
      <c r="O1" s="127"/>
      <c r="P1" s="127"/>
      <c r="Q1" s="127"/>
      <c r="R1" s="127"/>
      <c r="S1" s="127"/>
      <c r="T1" s="127"/>
      <c r="U1" s="127"/>
      <c r="V1" s="127"/>
      <c r="W1" s="127"/>
      <c r="X1" s="127"/>
      <c r="Y1" s="127"/>
      <c r="Z1" s="127"/>
      <c r="AA1" s="127"/>
      <c r="AB1" s="127"/>
      <c r="AC1" s="127"/>
      <c r="AD1" s="127"/>
      <c r="AE1" s="127"/>
      <c r="AF1" s="127"/>
      <c r="AG1" s="127"/>
      <c r="AH1" s="127"/>
      <c r="AI1" s="127"/>
      <c r="AJ1" s="127"/>
      <c r="AK1" s="127"/>
      <c r="AL1" s="127"/>
      <c r="AM1" s="127"/>
      <c r="AN1" s="127"/>
      <c r="AO1" s="127"/>
    </row>
    <row r="2" spans="1:42" ht="20.100000000000001" customHeight="1" x14ac:dyDescent="0.25">
      <c r="A2" s="9"/>
      <c r="C2" s="127"/>
      <c r="D2" s="127"/>
      <c r="E2" s="127"/>
      <c r="F2" s="127"/>
      <c r="G2" s="127"/>
      <c r="H2" s="127"/>
      <c r="I2" s="127"/>
      <c r="J2" s="127"/>
      <c r="K2" s="127"/>
      <c r="L2" s="127"/>
      <c r="M2" s="127"/>
      <c r="N2" s="127"/>
      <c r="O2" s="127"/>
      <c r="P2" s="127"/>
      <c r="Q2" s="127"/>
      <c r="R2" s="127"/>
      <c r="S2" s="127"/>
      <c r="T2" s="127"/>
      <c r="U2" s="127"/>
      <c r="V2" s="127"/>
      <c r="W2" s="127"/>
      <c r="X2" s="127"/>
      <c r="Y2" s="127"/>
      <c r="Z2" s="127"/>
      <c r="AA2" s="127"/>
      <c r="AB2" s="127"/>
      <c r="AC2" s="127"/>
      <c r="AD2" s="127"/>
      <c r="AE2" s="127"/>
      <c r="AF2" s="127"/>
      <c r="AG2" s="127"/>
      <c r="AH2" s="127"/>
      <c r="AI2" s="127"/>
      <c r="AJ2" s="127"/>
      <c r="AK2" s="127"/>
      <c r="AL2" s="127"/>
      <c r="AM2" s="127"/>
      <c r="AN2" s="127"/>
      <c r="AO2" s="127"/>
      <c r="AP2" s="128"/>
    </row>
    <row r="3" spans="1:42" ht="20.100000000000001" customHeight="1" x14ac:dyDescent="0.25">
      <c r="A3" s="17" t="str">
        <f>HYPERLINK("#'Home'!A1", "Home")</f>
        <v>Home</v>
      </c>
      <c r="C3" s="129"/>
      <c r="D3" s="129"/>
      <c r="E3" s="129"/>
      <c r="F3" s="129"/>
      <c r="G3" s="129"/>
      <c r="H3" s="129"/>
      <c r="I3" s="129"/>
      <c r="J3" s="129"/>
      <c r="K3" s="129"/>
      <c r="L3" s="129"/>
      <c r="M3" s="129"/>
      <c r="N3" s="129"/>
      <c r="O3" s="129"/>
      <c r="P3" s="129"/>
      <c r="Q3" s="129"/>
      <c r="R3" s="129"/>
      <c r="S3" s="129"/>
      <c r="T3" s="129"/>
      <c r="U3" s="129"/>
      <c r="V3" s="129"/>
      <c r="W3" s="129"/>
      <c r="X3" s="129"/>
      <c r="Y3" s="129"/>
      <c r="Z3" s="129"/>
      <c r="AA3" s="129"/>
      <c r="AB3" s="129"/>
      <c r="AC3" s="129"/>
      <c r="AD3" s="129"/>
      <c r="AE3" s="129"/>
      <c r="AF3" s="129"/>
      <c r="AG3" s="129"/>
      <c r="AH3" s="129"/>
      <c r="AI3" s="129"/>
      <c r="AJ3" s="129"/>
      <c r="AK3" s="129"/>
      <c r="AL3" s="129"/>
      <c r="AM3" s="129"/>
      <c r="AN3" s="129"/>
      <c r="AO3" s="129"/>
    </row>
    <row r="4" spans="1:42" ht="20.100000000000001" customHeight="1" x14ac:dyDescent="0.25">
      <c r="A4" s="107" t="str">
        <f>HYPERLINK("#'Overview'!A1", "Overview")</f>
        <v>Overview</v>
      </c>
    </row>
    <row r="5" spans="1:42" ht="20.100000000000001" customHeight="1" x14ac:dyDescent="0.25">
      <c r="A5" s="17" t="str">
        <f>HYPERLINK("#'Results'!A1", "Results")</f>
        <v>Results</v>
      </c>
      <c r="D5" s="104" t="s">
        <v>125</v>
      </c>
      <c r="E5" s="85"/>
      <c r="F5" s="85"/>
      <c r="G5" s="85"/>
      <c r="H5" s="85"/>
      <c r="I5" s="85"/>
      <c r="J5" s="85"/>
      <c r="K5" s="85"/>
      <c r="L5" s="85"/>
      <c r="M5" s="85"/>
      <c r="N5" s="85"/>
      <c r="O5" s="81"/>
    </row>
    <row r="6" spans="1:42" ht="20.100000000000001" customHeight="1" x14ac:dyDescent="0.25">
      <c r="A6" s="16"/>
      <c r="D6" s="130" t="s">
        <v>126</v>
      </c>
      <c r="E6" s="84"/>
      <c r="F6" s="84"/>
      <c r="G6" s="84"/>
      <c r="H6" s="84"/>
      <c r="I6" s="84"/>
      <c r="J6" s="84"/>
      <c r="K6" s="84"/>
      <c r="L6" s="84"/>
      <c r="M6" s="84"/>
      <c r="N6" s="84"/>
      <c r="O6" s="82"/>
    </row>
    <row r="7" spans="1:42" ht="20.100000000000001" customHeight="1" x14ac:dyDescent="0.25">
      <c r="A7" s="20" t="s">
        <v>1</v>
      </c>
    </row>
    <row r="8" spans="1:42" ht="20.100000000000001" customHeight="1" x14ac:dyDescent="0.25">
      <c r="A8" s="17" t="str">
        <f>HYPERLINK("#'Input - Site'!A1", "Site")</f>
        <v>Site</v>
      </c>
    </row>
    <row r="9" spans="1:42" ht="20.100000000000001" customHeight="1" x14ac:dyDescent="0.25">
      <c r="A9" s="17" t="str">
        <f>HYPERLINK("#'Input - Crop'!A1", "Crop")</f>
        <v>Crop</v>
      </c>
    </row>
    <row r="10" spans="1:42" ht="20.100000000000001" customHeight="1" x14ac:dyDescent="0.25">
      <c r="A10" s="17" t="str">
        <f>HYPERLINK("#'Input - Pasture'!A1", "Pasture")</f>
        <v>Pasture</v>
      </c>
    </row>
    <row r="11" spans="1:42" ht="20.100000000000001" customHeight="1" x14ac:dyDescent="0.25"/>
    <row r="12" spans="1:42" ht="20.100000000000001" customHeight="1" x14ac:dyDescent="0.25">
      <c r="A12" s="19" t="s">
        <v>69</v>
      </c>
    </row>
    <row r="13" spans="1:42" ht="20.100000000000001" customHeight="1" x14ac:dyDescent="0.25">
      <c r="A13" s="17" t="str">
        <f>HYPERLINK("#'6.1.1.1-2 Crop residue N2O'!A1", "6.1.1.1-2 Crop residue N2O")</f>
        <v>6.1.1.1-2 Crop residue N2O</v>
      </c>
    </row>
    <row r="14" spans="1:42" ht="20.100000000000001" customHeight="1" x14ac:dyDescent="0.25">
      <c r="A14" s="17" t="str">
        <f>HYPERLINK("#'6.2.1.1-2 Pasture residue N2O'!A1", "6.2.1.1-2 Pasture residue N2O")</f>
        <v>6.2.1.1-2 Pasture residue N2O</v>
      </c>
    </row>
    <row r="15" spans="1:42" ht="20.100000000000001" customHeight="1" x14ac:dyDescent="0.25">
      <c r="A15" s="17" t="str">
        <f>HYPERLINK("#'6.3.1.1-2 Leaching and runoff'!A1", "6.3.1.1-2 Leaching and runoff")</f>
        <v>6.3.1.1-2 Leaching and runoff</v>
      </c>
    </row>
    <row r="16" spans="1:42" ht="20.100000000000001" customHeight="1" x14ac:dyDescent="0.25">
      <c r="A16" s="17" t="str">
        <f>HYPERLINK("#'6.4.1.1-2 Residue burning'!A1", "6.4.1.1-2 Residue burning")</f>
        <v>6.4.1.1-2 Residue burning</v>
      </c>
    </row>
    <row r="17" spans="1:1" ht="20.100000000000001" customHeight="1" x14ac:dyDescent="0.25">
      <c r="A17" s="17"/>
    </row>
    <row r="18" spans="1:1" ht="20.100000000000001" customHeight="1" x14ac:dyDescent="0.25">
      <c r="A18" s="18" t="s">
        <v>2</v>
      </c>
    </row>
    <row r="19" spans="1:1" ht="20.100000000000001" customHeight="1" x14ac:dyDescent="0.25">
      <c r="A19" s="17" t="str">
        <f>HYPERLINK("#'Constants - Ag Residue'!A1", "Constants - Ag Residue")</f>
        <v>Constants - Ag Residue</v>
      </c>
    </row>
    <row r="20" spans="1:1" ht="20.100000000000001" customHeight="1" x14ac:dyDescent="0.25">
      <c r="A20" s="17" t="str">
        <f>HYPERLINK("#'Constants - Common'!A1", "Constants - Common")</f>
        <v>Constants - Common</v>
      </c>
    </row>
    <row r="21" spans="1:1" ht="20.100000000000001" customHeight="1" x14ac:dyDescent="0.25"/>
    <row r="22" spans="1:1" ht="20.100000000000001" customHeight="1" x14ac:dyDescent="0.25"/>
    <row r="23" spans="1:1" ht="20.100000000000001" customHeight="1" x14ac:dyDescent="0.25">
      <c r="A23" s="17"/>
    </row>
    <row r="24" spans="1:1" ht="20.100000000000001" customHeight="1" x14ac:dyDescent="0.25"/>
    <row r="25" spans="1:1" ht="20.100000000000001" customHeight="1" x14ac:dyDescent="0.25"/>
    <row r="26" spans="1:1" ht="20.100000000000001" customHeight="1" x14ac:dyDescent="0.25"/>
    <row r="27" spans="1:1" ht="20.100000000000001" customHeight="1" x14ac:dyDescent="0.25"/>
    <row r="28" spans="1:1" ht="20.100000000000001" customHeight="1" x14ac:dyDescent="0.25"/>
    <row r="29" spans="1:1" ht="20.100000000000001" customHeight="1" x14ac:dyDescent="0.25"/>
    <row r="30" spans="1:1" ht="20.100000000000001" customHeight="1" x14ac:dyDescent="0.25"/>
    <row r="31" spans="1:1" ht="20.100000000000001" customHeight="1" x14ac:dyDescent="0.25"/>
    <row r="32" spans="1:1" ht="20.100000000000001" customHeight="1" x14ac:dyDescent="0.25"/>
    <row r="33" spans="12:48" ht="20.100000000000001" customHeight="1" x14ac:dyDescent="0.25"/>
    <row r="34" spans="12:48" ht="20.100000000000001" customHeight="1" x14ac:dyDescent="0.25"/>
    <row r="35" spans="12:48" ht="20.100000000000001" customHeight="1" x14ac:dyDescent="0.25"/>
    <row r="36" spans="12:48" ht="20.100000000000001" customHeight="1" x14ac:dyDescent="0.25"/>
    <row r="37" spans="12:48" ht="20.100000000000001" customHeight="1" x14ac:dyDescent="0.25">
      <c r="L37" s="1" t="s">
        <v>123</v>
      </c>
    </row>
    <row r="38" spans="12:48" ht="20.100000000000001" customHeight="1" x14ac:dyDescent="0.25"/>
    <row r="39" spans="12:48" ht="20.100000000000001" customHeight="1" x14ac:dyDescent="0.25"/>
    <row r="40" spans="12:48" ht="20.100000000000001" customHeight="1" x14ac:dyDescent="0.25"/>
    <row r="41" spans="12:48" ht="20.100000000000001" customHeight="1" x14ac:dyDescent="0.25"/>
    <row r="42" spans="12:48" ht="20.100000000000001" customHeight="1" x14ac:dyDescent="0.25"/>
    <row r="45" spans="12:48" x14ac:dyDescent="0.25">
      <c r="AV45" t="s">
        <v>124</v>
      </c>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E30AE0-5101-4331-B8DF-043DE9AAFBA8}">
  <sheetPr>
    <pageSetUpPr autoPageBreaks="0"/>
  </sheetPr>
  <dimension ref="A1:K87"/>
  <sheetViews>
    <sheetView showGridLines="0" zoomScaleNormal="100" workbookViewId="0">
      <selection activeCell="I9" sqref="I9"/>
    </sheetView>
  </sheetViews>
  <sheetFormatPr defaultRowHeight="15" x14ac:dyDescent="0.25"/>
  <cols>
    <col min="1" max="1" width="30.7109375" customWidth="1"/>
    <col min="2" max="3" width="2.7109375" customWidth="1"/>
    <col min="4" max="4" width="60" customWidth="1"/>
    <col min="5" max="6" width="30.7109375" customWidth="1"/>
    <col min="7" max="7" width="18.5703125" customWidth="1"/>
    <col min="8" max="9" width="30.7109375" customWidth="1"/>
    <col min="10" max="10" width="20" customWidth="1"/>
    <col min="11" max="11" width="7.42578125" customWidth="1"/>
    <col min="12" max="26" width="28.7109375" customWidth="1"/>
  </cols>
  <sheetData>
    <row r="1" spans="1:11" ht="30" customHeight="1" x14ac:dyDescent="0.35">
      <c r="A1" s="62" t="e" vm="1">
        <v>#VALUE!</v>
      </c>
      <c r="C1" s="126" t="s">
        <v>128</v>
      </c>
    </row>
    <row r="2" spans="1:11" ht="20.100000000000001" customHeight="1" x14ac:dyDescent="0.25">
      <c r="A2" s="9"/>
      <c r="C2" s="9"/>
    </row>
    <row r="3" spans="1:11" ht="20.100000000000001" customHeight="1" x14ac:dyDescent="0.25">
      <c r="A3" s="17" t="str">
        <f>HYPERLINK("#'Home'!A1", "Home")</f>
        <v>Home</v>
      </c>
      <c r="C3" s="22"/>
      <c r="D3" s="22"/>
      <c r="E3" s="22"/>
      <c r="F3" s="22"/>
      <c r="G3" s="22"/>
      <c r="H3" s="22"/>
      <c r="I3" s="22"/>
      <c r="J3" s="22"/>
      <c r="K3" s="22"/>
    </row>
    <row r="4" spans="1:11" ht="20.100000000000001" customHeight="1" x14ac:dyDescent="0.25">
      <c r="A4" s="17" t="str">
        <f>HYPERLINK("#'Overview'!A1", "Overview")</f>
        <v>Overview</v>
      </c>
      <c r="C4" s="22"/>
      <c r="D4" s="6" t="s">
        <v>3</v>
      </c>
      <c r="E4" s="24"/>
      <c r="F4" s="24"/>
      <c r="G4" s="24"/>
      <c r="H4" s="6"/>
      <c r="I4" s="6"/>
      <c r="J4" s="6"/>
      <c r="K4" s="25"/>
    </row>
    <row r="5" spans="1:11" ht="20.100000000000001" customHeight="1" x14ac:dyDescent="0.3">
      <c r="A5" s="107" t="str">
        <f>HYPERLINK("#'Results'!A1", "Results")</f>
        <v>Results</v>
      </c>
      <c r="C5" s="22"/>
      <c r="D5" s="26"/>
      <c r="E5" s="27"/>
      <c r="F5" s="27"/>
      <c r="G5" s="27"/>
      <c r="H5" s="24"/>
      <c r="I5" s="22"/>
      <c r="J5" s="22"/>
      <c r="K5" s="22"/>
    </row>
    <row r="6" spans="1:11" ht="20.100000000000001" customHeight="1" x14ac:dyDescent="0.25">
      <c r="A6" s="16"/>
      <c r="C6" s="22"/>
      <c r="D6" s="88" t="s">
        <v>122</v>
      </c>
      <c r="E6" s="83"/>
      <c r="F6" s="22"/>
      <c r="G6" s="22"/>
      <c r="H6" s="22"/>
      <c r="I6" s="22"/>
      <c r="J6" s="22"/>
      <c r="K6" s="22"/>
    </row>
    <row r="7" spans="1:11" ht="20.100000000000001" customHeight="1" x14ac:dyDescent="0.25">
      <c r="A7" s="20" t="s">
        <v>1</v>
      </c>
      <c r="C7" s="22"/>
      <c r="D7" s="22"/>
      <c r="E7" s="22"/>
      <c r="F7" s="22"/>
      <c r="G7" s="22"/>
      <c r="H7" s="22"/>
      <c r="I7" s="22"/>
      <c r="J7" s="22"/>
      <c r="K7" s="22"/>
    </row>
    <row r="8" spans="1:11" ht="20.100000000000001" customHeight="1" x14ac:dyDescent="0.25">
      <c r="A8" s="17" t="str">
        <f>HYPERLINK("#'Input - Site'!A1", "Site")</f>
        <v>Site</v>
      </c>
      <c r="C8" s="22"/>
      <c r="D8" s="102" t="s">
        <v>82</v>
      </c>
      <c r="E8" s="102" t="s">
        <v>94</v>
      </c>
      <c r="F8" s="102" t="s">
        <v>95</v>
      </c>
      <c r="G8" s="102" t="s">
        <v>88</v>
      </c>
      <c r="H8" s="102" t="s">
        <v>96</v>
      </c>
      <c r="I8" s="102" t="s">
        <v>97</v>
      </c>
      <c r="J8" s="102" t="s">
        <v>89</v>
      </c>
      <c r="K8" s="22"/>
    </row>
    <row r="9" spans="1:11" ht="20.100000000000001" customHeight="1" x14ac:dyDescent="0.25">
      <c r="A9" s="17" t="str">
        <f>HYPERLINK("#'Input - Crop'!A1", "Crop")</f>
        <v>Crop</v>
      </c>
      <c r="C9" s="22"/>
      <c r="D9" s="1" t="s">
        <v>217</v>
      </c>
      <c r="E9" s="125">
        <f>'6.1.1.1-2 Crop residue N2O'!E42</f>
        <v>6.6792000000000012E-4</v>
      </c>
      <c r="F9" s="125">
        <f>'6.1.1.1-2 Crop residue N2O'!N77</f>
        <v>6.6792000000000012E-4</v>
      </c>
      <c r="G9" s="52" t="s">
        <v>100</v>
      </c>
      <c r="H9" s="100">
        <f>'6.1.1.1-2 Crop residue N2O'!E47</f>
        <v>0.17699880000000004</v>
      </c>
      <c r="I9" s="100">
        <f>'6.1.1.1-2 Crop residue N2O'!N82</f>
        <v>0.17699880000000004</v>
      </c>
      <c r="J9" s="52" t="s">
        <v>92</v>
      </c>
      <c r="K9" s="22"/>
    </row>
    <row r="10" spans="1:11" ht="20.100000000000001" customHeight="1" x14ac:dyDescent="0.25">
      <c r="A10" s="17" t="str">
        <f>HYPERLINK("#'Input - Pasture'!A1", "Pasture")</f>
        <v>Pasture</v>
      </c>
      <c r="C10" s="22"/>
      <c r="D10" s="1" t="s">
        <v>218</v>
      </c>
      <c r="E10" s="144">
        <f>'6.2.1.1-2 Pasture residue N2O'!E40</f>
        <v>5.8320428571428569E-7</v>
      </c>
      <c r="F10" s="144">
        <f>'6.2.1.1-2 Pasture residue N2O'!O40</f>
        <v>5.8320428571428569E-7</v>
      </c>
      <c r="G10" s="52" t="s">
        <v>100</v>
      </c>
      <c r="H10" s="100">
        <f>'6.2.1.1-2 Pasture residue N2O'!E45</f>
        <v>1.545491357142857E-4</v>
      </c>
      <c r="I10" s="100">
        <f>'6.2.1.1-2 Pasture residue N2O'!O45</f>
        <v>1.545491357142857E-4</v>
      </c>
      <c r="J10" s="52" t="s">
        <v>92</v>
      </c>
      <c r="K10" s="22"/>
    </row>
    <row r="11" spans="1:11" ht="20.100000000000001" customHeight="1" x14ac:dyDescent="0.25">
      <c r="C11" s="22"/>
      <c r="D11" s="1" t="s">
        <v>219</v>
      </c>
      <c r="E11" s="125">
        <f>'6.3.1.1-2 Leaching and runoff'!E48</f>
        <v>3.5296969186285711E-4</v>
      </c>
      <c r="F11" s="125">
        <f>'6.3.1.1-2 Leaching and runoff'!O48</f>
        <v>3.5296969186285711E-4</v>
      </c>
      <c r="G11" s="52" t="s">
        <v>100</v>
      </c>
      <c r="H11" s="100">
        <f>'6.3.1.1-2 Leaching and runoff'!E53</f>
        <v>9.3536968343657129E-2</v>
      </c>
      <c r="I11" s="100">
        <f>'6.3.1.1-2 Leaching and runoff'!O53</f>
        <v>9.3536968343657129E-2</v>
      </c>
      <c r="J11" s="52" t="s">
        <v>92</v>
      </c>
      <c r="K11" s="22"/>
    </row>
    <row r="12" spans="1:11" ht="20.100000000000001" customHeight="1" x14ac:dyDescent="0.25">
      <c r="A12" s="19" t="s">
        <v>69</v>
      </c>
      <c r="C12" s="22"/>
      <c r="D12" s="1" t="s">
        <v>220</v>
      </c>
      <c r="E12" s="125">
        <f>'6.4.1.1-2 Residue burning'!E39</f>
        <v>1.276930285714286E-4</v>
      </c>
      <c r="F12" s="125">
        <f>E12</f>
        <v>1.276930285714286E-4</v>
      </c>
      <c r="G12" s="52" t="s">
        <v>100</v>
      </c>
      <c r="H12" s="100">
        <f>'6.4.1.1-2 Residue burning'!E44</f>
        <v>3.3838652571428582E-2</v>
      </c>
      <c r="I12" s="100">
        <f>H12</f>
        <v>3.3838652571428582E-2</v>
      </c>
      <c r="J12" s="52" t="s">
        <v>92</v>
      </c>
      <c r="K12" s="22"/>
    </row>
    <row r="13" spans="1:11" ht="20.100000000000001" customHeight="1" x14ac:dyDescent="0.25">
      <c r="A13" s="17" t="str">
        <f>HYPERLINK("#'6.1.1.1-2 Crop residue N2O'!A1", "6.1.1.1-2 Crop residue N2O")</f>
        <v>6.1.1.1-2 Crop residue N2O</v>
      </c>
      <c r="C13" s="22"/>
      <c r="D13" s="1" t="s">
        <v>220</v>
      </c>
      <c r="E13" s="125">
        <f>'6.4.1.1-2 Residue burning'!E62</f>
        <v>3.3264000000000002E-3</v>
      </c>
      <c r="F13" s="125">
        <f>E13</f>
        <v>3.3264000000000002E-3</v>
      </c>
      <c r="G13" s="52" t="s">
        <v>221</v>
      </c>
      <c r="H13" s="100">
        <f>'6.4.1.1-2 Residue burning'!E67</f>
        <v>9.3139200000000005E-2</v>
      </c>
      <c r="I13" s="100">
        <f>H13</f>
        <v>9.3139200000000005E-2</v>
      </c>
      <c r="J13" s="52" t="s">
        <v>92</v>
      </c>
      <c r="K13" s="22"/>
    </row>
    <row r="14" spans="1:11" ht="20.100000000000001" customHeight="1" x14ac:dyDescent="0.3">
      <c r="A14" s="17" t="str">
        <f>HYPERLINK("#'6.2.1.1-2 Pasture residue N2O'!A1", "6.2.1.1-2 Pasture residue N2O")</f>
        <v>6.2.1.1-2 Pasture residue N2O</v>
      </c>
      <c r="C14" s="22"/>
      <c r="D14" s="29" t="s">
        <v>87</v>
      </c>
      <c r="E14" s="23"/>
      <c r="F14" s="23"/>
      <c r="G14" s="29"/>
      <c r="H14" s="101">
        <f>SUM(H9:H13)</f>
        <v>0.39766817005080002</v>
      </c>
      <c r="I14" s="101">
        <f>SUM(I9:I13)</f>
        <v>0.39766817005080002</v>
      </c>
      <c r="J14" s="97" t="s">
        <v>92</v>
      </c>
      <c r="K14" s="22"/>
    </row>
    <row r="15" spans="1:11" ht="20.100000000000001" customHeight="1" x14ac:dyDescent="0.25">
      <c r="A15" s="17" t="str">
        <f>HYPERLINK("#'6.3.1.1-2 Leaching and runoff'!A1", "6.3.1.1-2 Leaching and runoff")</f>
        <v>6.3.1.1-2 Leaching and runoff</v>
      </c>
      <c r="C15" s="22"/>
      <c r="D15" s="1"/>
      <c r="E15" s="1"/>
      <c r="F15" s="1"/>
      <c r="G15" s="1"/>
      <c r="H15" s="1"/>
      <c r="I15" s="1"/>
      <c r="J15" s="1"/>
      <c r="K15" s="22"/>
    </row>
    <row r="16" spans="1:11" ht="20.100000000000001" customHeight="1" x14ac:dyDescent="0.25">
      <c r="A16" s="17" t="str">
        <f>HYPERLINK("#'6.4.1.1-2 Residue burning'!A1", "6.4.1.1-2 Residue burning")</f>
        <v>6.4.1.1-2 Residue burning</v>
      </c>
      <c r="C16" s="22"/>
      <c r="D16" s="98"/>
      <c r="E16" s="98"/>
      <c r="F16" s="98"/>
      <c r="G16" s="98"/>
      <c r="H16" s="98"/>
      <c r="I16" s="98"/>
      <c r="J16" s="98"/>
      <c r="K16" s="22"/>
    </row>
    <row r="17" spans="1:11" ht="20.100000000000001" customHeight="1" x14ac:dyDescent="0.25">
      <c r="A17" s="17"/>
      <c r="C17" s="22"/>
      <c r="D17" s="98"/>
      <c r="E17" s="1"/>
      <c r="F17" s="1"/>
      <c r="G17" s="1"/>
      <c r="H17" s="1"/>
      <c r="I17" s="1"/>
      <c r="J17" s="22"/>
      <c r="K17" s="22"/>
    </row>
    <row r="18" spans="1:11" ht="20.100000000000001" customHeight="1" x14ac:dyDescent="0.25">
      <c r="A18" s="18" t="s">
        <v>2</v>
      </c>
      <c r="C18" s="22"/>
      <c r="D18" s="105"/>
      <c r="E18" s="1"/>
      <c r="F18" s="1"/>
      <c r="G18" s="1"/>
      <c r="H18" s="1"/>
      <c r="I18" s="1"/>
      <c r="J18" s="22"/>
      <c r="K18" s="22"/>
    </row>
    <row r="19" spans="1:11" ht="20.100000000000001" customHeight="1" x14ac:dyDescent="0.25">
      <c r="A19" s="17" t="str">
        <f>HYPERLINK("#'Constants - Ag Residue'!A1", "Constants - Ag Residue")</f>
        <v>Constants - Ag Residue</v>
      </c>
      <c r="C19" s="22"/>
      <c r="D19" s="1"/>
      <c r="E19" s="1"/>
      <c r="F19" s="1"/>
      <c r="G19" s="1"/>
      <c r="H19" s="1"/>
      <c r="I19" s="1"/>
      <c r="J19" s="22"/>
      <c r="K19" s="22"/>
    </row>
    <row r="20" spans="1:11" ht="20.100000000000001" customHeight="1" x14ac:dyDescent="0.25">
      <c r="A20" s="17" t="str">
        <f>HYPERLINK("#'Constants - Common'!A1", "Constants - Common")</f>
        <v>Constants - Common</v>
      </c>
      <c r="C20" s="22"/>
      <c r="D20" s="1"/>
      <c r="E20" s="1"/>
      <c r="F20" s="1"/>
      <c r="G20" s="1"/>
      <c r="H20" s="1"/>
      <c r="I20" s="1"/>
      <c r="J20" s="22"/>
      <c r="K20" s="22"/>
    </row>
    <row r="21" spans="1:11" ht="20.100000000000001" customHeight="1" x14ac:dyDescent="0.25">
      <c r="C21" s="22"/>
      <c r="D21" s="1"/>
      <c r="E21" s="103"/>
      <c r="F21" s="52"/>
      <c r="G21" s="1"/>
      <c r="H21" s="1"/>
      <c r="I21" s="22"/>
      <c r="J21" s="22"/>
      <c r="K21" s="22"/>
    </row>
    <row r="22" spans="1:11" ht="20.100000000000001" customHeight="1" x14ac:dyDescent="0.25">
      <c r="C22" s="22"/>
      <c r="D22" s="1"/>
      <c r="E22" s="103"/>
      <c r="F22" s="52"/>
      <c r="G22" s="1"/>
      <c r="H22" s="1"/>
      <c r="I22" s="22"/>
      <c r="J22" s="22"/>
      <c r="K22" s="22"/>
    </row>
    <row r="23" spans="1:11" ht="20.100000000000001" customHeight="1" x14ac:dyDescent="0.3">
      <c r="C23" s="22"/>
      <c r="D23" s="1"/>
      <c r="E23" s="1"/>
      <c r="F23" s="1"/>
      <c r="G23" s="1"/>
      <c r="H23" s="27"/>
      <c r="I23" s="22"/>
      <c r="J23" s="22"/>
      <c r="K23" s="22"/>
    </row>
    <row r="24" spans="1:11" ht="20.100000000000001" customHeight="1" x14ac:dyDescent="0.3">
      <c r="C24" s="22"/>
      <c r="D24" s="1"/>
      <c r="E24" s="1"/>
      <c r="F24" s="1"/>
      <c r="G24" s="1"/>
      <c r="H24" s="27"/>
      <c r="I24" s="22"/>
      <c r="J24" s="22"/>
      <c r="K24" s="22"/>
    </row>
    <row r="25" spans="1:11" ht="20.100000000000001" customHeight="1" x14ac:dyDescent="0.3">
      <c r="C25" s="22"/>
      <c r="D25" s="1"/>
      <c r="E25" s="1"/>
      <c r="F25" s="1"/>
      <c r="G25" s="1"/>
      <c r="H25" s="27"/>
      <c r="I25" s="22"/>
      <c r="J25" s="22"/>
      <c r="K25" s="22"/>
    </row>
    <row r="26" spans="1:11" ht="20.100000000000001" customHeight="1" x14ac:dyDescent="0.3">
      <c r="C26" s="22"/>
      <c r="D26" s="1"/>
      <c r="E26" s="1"/>
      <c r="F26" s="1"/>
      <c r="G26" s="1"/>
      <c r="H26" s="27"/>
      <c r="I26" s="22"/>
      <c r="J26" s="22"/>
      <c r="K26" s="22"/>
    </row>
    <row r="27" spans="1:11" ht="20.100000000000001" customHeight="1" x14ac:dyDescent="0.25">
      <c r="C27" s="22"/>
      <c r="D27" s="1"/>
      <c r="E27" s="1"/>
      <c r="F27" s="1"/>
      <c r="G27" s="1"/>
      <c r="H27" s="1"/>
      <c r="I27" s="1"/>
      <c r="J27" s="22"/>
      <c r="K27" s="22"/>
    </row>
    <row r="28" spans="1:11" ht="20.100000000000001" customHeight="1" x14ac:dyDescent="0.25">
      <c r="C28" s="22"/>
      <c r="D28" s="1"/>
      <c r="E28" s="1"/>
      <c r="F28" s="1"/>
      <c r="G28" s="1"/>
      <c r="H28" s="1"/>
      <c r="I28" s="1"/>
      <c r="J28" s="22"/>
      <c r="K28" s="22"/>
    </row>
    <row r="29" spans="1:11" ht="20.100000000000001" customHeight="1" x14ac:dyDescent="0.25">
      <c r="C29" s="22"/>
      <c r="D29" s="1"/>
      <c r="E29" s="1"/>
      <c r="F29" s="1"/>
      <c r="G29" s="1"/>
      <c r="H29" s="1"/>
      <c r="I29" s="1"/>
      <c r="J29" s="22"/>
      <c r="K29" s="22"/>
    </row>
    <row r="30" spans="1:11" ht="20.100000000000001" customHeight="1" x14ac:dyDescent="0.25">
      <c r="C30" s="22"/>
      <c r="D30" s="1"/>
      <c r="E30" s="1"/>
      <c r="F30" s="1"/>
      <c r="G30" s="1"/>
      <c r="H30" s="1"/>
      <c r="I30" s="1"/>
      <c r="J30" s="22"/>
      <c r="K30" s="22"/>
    </row>
    <row r="31" spans="1:11" ht="20.100000000000001" customHeight="1" x14ac:dyDescent="0.25">
      <c r="C31" s="22"/>
      <c r="D31" s="1"/>
      <c r="E31" s="1"/>
      <c r="F31" s="1"/>
      <c r="G31" s="1"/>
      <c r="H31" s="1"/>
      <c r="I31" s="1"/>
      <c r="J31" s="22"/>
      <c r="K31" s="22"/>
    </row>
    <row r="32" spans="1:11" ht="20.100000000000001" customHeight="1" x14ac:dyDescent="0.25">
      <c r="C32" s="22"/>
      <c r="D32" s="1"/>
      <c r="E32" s="1"/>
      <c r="F32" s="1"/>
      <c r="G32" s="1"/>
      <c r="H32" s="1"/>
      <c r="I32" s="1"/>
      <c r="J32" s="22"/>
      <c r="K32" s="22"/>
    </row>
    <row r="33" spans="3:11" ht="20.100000000000001" customHeight="1" x14ac:dyDescent="0.25">
      <c r="C33" s="22"/>
      <c r="D33" s="1"/>
      <c r="E33" s="1"/>
      <c r="F33" s="1"/>
      <c r="G33" s="1"/>
      <c r="H33" s="1"/>
      <c r="I33" s="1"/>
      <c r="J33" s="22"/>
      <c r="K33" s="22"/>
    </row>
    <row r="34" spans="3:11" ht="20.100000000000001" customHeight="1" x14ac:dyDescent="0.25">
      <c r="C34" s="22"/>
      <c r="D34" s="1"/>
      <c r="E34" s="1"/>
      <c r="F34" s="1"/>
      <c r="G34" s="1"/>
      <c r="H34" s="1"/>
      <c r="I34" s="22"/>
      <c r="J34" s="22"/>
      <c r="K34" s="22"/>
    </row>
    <row r="35" spans="3:11" ht="20.100000000000001" customHeight="1" x14ac:dyDescent="0.25">
      <c r="C35" s="22"/>
      <c r="D35" s="1"/>
      <c r="E35" s="1"/>
      <c r="F35" s="1"/>
      <c r="G35" s="1"/>
      <c r="H35" s="1"/>
      <c r="I35" s="22"/>
      <c r="J35" s="22"/>
      <c r="K35" s="22"/>
    </row>
    <row r="36" spans="3:11" ht="20.100000000000001" customHeight="1" x14ac:dyDescent="0.25">
      <c r="C36" s="22"/>
      <c r="D36" s="1"/>
      <c r="E36" s="1"/>
      <c r="F36" s="1"/>
      <c r="G36" s="1"/>
      <c r="H36" s="1"/>
      <c r="I36" s="22"/>
      <c r="J36" s="22"/>
      <c r="K36" s="22"/>
    </row>
    <row r="37" spans="3:11" ht="20.100000000000001" customHeight="1" x14ac:dyDescent="0.25">
      <c r="C37" s="22"/>
      <c r="D37" s="1"/>
      <c r="E37" s="1"/>
      <c r="F37" s="1"/>
      <c r="G37" s="1"/>
      <c r="H37" s="1"/>
      <c r="I37" s="22"/>
      <c r="J37" s="22"/>
      <c r="K37" s="22"/>
    </row>
    <row r="38" spans="3:11" ht="20.100000000000001" customHeight="1" x14ac:dyDescent="0.25">
      <c r="C38" s="22"/>
      <c r="D38" s="1"/>
      <c r="E38" s="1"/>
      <c r="F38" s="1"/>
      <c r="G38" s="1"/>
      <c r="H38" s="1"/>
      <c r="I38" s="99"/>
      <c r="J38" s="99"/>
      <c r="K38" s="22"/>
    </row>
    <row r="39" spans="3:11" ht="20.100000000000001" customHeight="1" x14ac:dyDescent="0.25">
      <c r="C39" s="22"/>
      <c r="D39" s="1"/>
      <c r="E39" s="1"/>
      <c r="F39" s="1"/>
      <c r="G39" s="1"/>
      <c r="H39" s="1"/>
      <c r="I39" s="99"/>
      <c r="J39" s="99"/>
      <c r="K39" s="22"/>
    </row>
    <row r="40" spans="3:11" ht="20.100000000000001" customHeight="1" x14ac:dyDescent="0.25">
      <c r="C40" s="22"/>
      <c r="D40" s="1"/>
      <c r="E40" s="1"/>
      <c r="F40" s="1"/>
      <c r="G40" s="1"/>
      <c r="H40" s="1"/>
      <c r="I40" s="99"/>
      <c r="J40" s="99"/>
      <c r="K40" s="22"/>
    </row>
    <row r="41" spans="3:11" ht="20.100000000000001" customHeight="1" x14ac:dyDescent="0.25">
      <c r="C41" s="22"/>
      <c r="D41" s="1"/>
      <c r="E41" s="1"/>
      <c r="F41" s="1"/>
      <c r="G41" s="1"/>
      <c r="H41" s="1"/>
      <c r="I41" s="99"/>
      <c r="J41" s="99"/>
      <c r="K41" s="22"/>
    </row>
    <row r="42" spans="3:11" ht="20.100000000000001" customHeight="1" x14ac:dyDescent="0.25">
      <c r="C42" s="22"/>
      <c r="D42" s="1"/>
      <c r="E42" s="1"/>
      <c r="F42" s="1"/>
      <c r="G42" s="1"/>
      <c r="H42" s="1"/>
      <c r="I42" s="99"/>
      <c r="J42" s="99"/>
      <c r="K42" s="22"/>
    </row>
    <row r="43" spans="3:11" ht="20.100000000000001" customHeight="1" x14ac:dyDescent="0.25">
      <c r="C43" s="22"/>
      <c r="D43" s="1"/>
      <c r="E43" s="1"/>
      <c r="F43" s="1"/>
      <c r="G43" s="1"/>
      <c r="H43" s="1"/>
      <c r="I43" s="99"/>
      <c r="J43" s="99"/>
      <c r="K43" s="22"/>
    </row>
    <row r="44" spans="3:11" ht="20.100000000000001" customHeight="1" x14ac:dyDescent="0.25">
      <c r="C44" s="22"/>
      <c r="D44" s="1"/>
      <c r="E44" s="1"/>
      <c r="F44" s="1"/>
      <c r="G44" s="1"/>
      <c r="H44" s="1"/>
      <c r="I44" s="99"/>
      <c r="J44" s="99"/>
      <c r="K44" s="22"/>
    </row>
    <row r="45" spans="3:11" ht="20.100000000000001" customHeight="1" x14ac:dyDescent="0.25">
      <c r="C45" s="22"/>
      <c r="D45" s="1"/>
      <c r="E45" s="1"/>
      <c r="F45" s="1"/>
      <c r="G45" s="1"/>
      <c r="H45" s="1"/>
      <c r="I45" s="99"/>
      <c r="J45" s="99"/>
      <c r="K45" s="22"/>
    </row>
    <row r="46" spans="3:11" ht="20.100000000000001" customHeight="1" x14ac:dyDescent="0.25">
      <c r="C46" s="22"/>
      <c r="D46" s="1"/>
      <c r="E46" s="1"/>
      <c r="F46" s="1"/>
      <c r="G46" s="1"/>
      <c r="H46" s="1"/>
      <c r="I46" s="99"/>
      <c r="J46" s="99"/>
      <c r="K46" s="22"/>
    </row>
    <row r="47" spans="3:11" ht="20.100000000000001" customHeight="1" x14ac:dyDescent="0.25">
      <c r="C47" s="22"/>
      <c r="D47" s="1"/>
      <c r="E47" s="1"/>
      <c r="F47" s="1"/>
      <c r="G47" s="1"/>
      <c r="H47" s="1"/>
      <c r="I47" s="99"/>
      <c r="J47" s="99"/>
      <c r="K47" s="22"/>
    </row>
    <row r="48" spans="3:11" ht="20.100000000000001" customHeight="1" x14ac:dyDescent="0.25">
      <c r="C48" s="22"/>
      <c r="D48" s="1"/>
      <c r="E48" s="1"/>
      <c r="F48" s="1"/>
      <c r="G48" s="1"/>
      <c r="H48" s="1"/>
      <c r="I48" s="99"/>
      <c r="J48" s="99"/>
      <c r="K48" s="22"/>
    </row>
    <row r="49" spans="3:11" ht="20.100000000000001" customHeight="1" x14ac:dyDescent="0.25">
      <c r="C49" s="22"/>
      <c r="D49" s="1"/>
      <c r="E49" s="1"/>
      <c r="F49" s="1"/>
      <c r="G49" s="1"/>
      <c r="H49" s="99"/>
      <c r="I49" s="99"/>
      <c r="J49" s="99"/>
      <c r="K49" s="22"/>
    </row>
    <row r="50" spans="3:11" ht="20.100000000000001" customHeight="1" x14ac:dyDescent="0.25">
      <c r="C50" s="22"/>
      <c r="D50" s="1"/>
      <c r="E50" s="1"/>
      <c r="F50" s="1"/>
      <c r="G50" s="1"/>
      <c r="H50" s="99"/>
      <c r="I50" s="99"/>
      <c r="J50" s="99"/>
      <c r="K50" s="22"/>
    </row>
    <row r="51" spans="3:11" ht="20.100000000000001" customHeight="1" x14ac:dyDescent="0.25">
      <c r="C51" s="22"/>
      <c r="D51" s="1"/>
      <c r="E51" s="1"/>
      <c r="F51" s="1"/>
      <c r="G51" s="1"/>
      <c r="H51" s="99"/>
      <c r="I51" s="99"/>
      <c r="J51" s="99"/>
      <c r="K51" s="22"/>
    </row>
    <row r="52" spans="3:11" ht="20.100000000000001" customHeight="1" x14ac:dyDescent="0.25">
      <c r="C52" s="22"/>
      <c r="D52" s="1"/>
      <c r="E52" s="1"/>
      <c r="F52" s="1"/>
      <c r="G52" s="1"/>
      <c r="H52" s="99"/>
      <c r="I52" s="99"/>
      <c r="J52" s="99"/>
      <c r="K52" s="22"/>
    </row>
    <row r="53" spans="3:11" ht="20.100000000000001" customHeight="1" x14ac:dyDescent="0.25">
      <c r="C53" s="22"/>
      <c r="D53" s="1"/>
      <c r="E53" s="1"/>
      <c r="F53" s="1"/>
      <c r="G53" s="1"/>
      <c r="H53" s="99"/>
      <c r="I53" s="99"/>
      <c r="J53" s="99"/>
      <c r="K53" s="22"/>
    </row>
    <row r="54" spans="3:11" ht="20.100000000000001" customHeight="1" x14ac:dyDescent="0.25">
      <c r="C54" s="22"/>
      <c r="D54" s="1"/>
      <c r="E54" s="1"/>
      <c r="F54" s="1"/>
      <c r="G54" s="1"/>
      <c r="H54" s="22"/>
      <c r="I54" s="22"/>
      <c r="J54" s="22"/>
      <c r="K54" s="22"/>
    </row>
    <row r="55" spans="3:11" ht="20.100000000000001" customHeight="1" x14ac:dyDescent="0.25">
      <c r="C55" s="22"/>
      <c r="D55" s="1"/>
      <c r="E55" s="1"/>
      <c r="F55" s="1"/>
      <c r="G55" s="1"/>
      <c r="H55" s="22"/>
      <c r="I55" s="22"/>
      <c r="J55" s="22"/>
      <c r="K55" s="22"/>
    </row>
    <row r="56" spans="3:11" ht="20.100000000000001" customHeight="1" x14ac:dyDescent="0.25">
      <c r="C56" s="22"/>
      <c r="D56" s="1"/>
      <c r="E56" s="1"/>
      <c r="F56" s="1"/>
      <c r="G56" s="1"/>
      <c r="H56" s="22"/>
      <c r="I56" s="22"/>
      <c r="J56" s="22"/>
      <c r="K56" s="22"/>
    </row>
    <row r="57" spans="3:11" ht="20.100000000000001" customHeight="1" x14ac:dyDescent="0.25">
      <c r="C57" s="22"/>
      <c r="D57" s="1"/>
      <c r="E57" s="1"/>
      <c r="F57" s="1"/>
      <c r="G57" s="1"/>
      <c r="H57" s="22"/>
      <c r="I57" s="22"/>
      <c r="J57" s="22"/>
      <c r="K57" s="22"/>
    </row>
    <row r="58" spans="3:11" ht="20.100000000000001" customHeight="1" x14ac:dyDescent="0.25">
      <c r="C58" s="22"/>
      <c r="D58" s="1"/>
      <c r="E58" s="30"/>
      <c r="F58" s="28"/>
      <c r="G58" s="22"/>
      <c r="H58" s="22"/>
      <c r="I58" s="22"/>
      <c r="J58" s="22"/>
      <c r="K58" s="22"/>
    </row>
    <row r="59" spans="3:11" ht="20.100000000000001" customHeight="1" x14ac:dyDescent="0.25">
      <c r="C59" s="22"/>
      <c r="D59" s="1"/>
      <c r="E59" s="1"/>
      <c r="F59" s="1"/>
      <c r="G59" s="1"/>
      <c r="H59" s="1"/>
      <c r="I59" s="1"/>
      <c r="J59" s="1"/>
      <c r="K59" s="22"/>
    </row>
    <row r="60" spans="3:11" ht="20.100000000000001" customHeight="1" x14ac:dyDescent="0.25">
      <c r="C60" s="22"/>
      <c r="D60" s="1"/>
      <c r="E60" s="1"/>
      <c r="F60" s="1"/>
      <c r="G60" s="1"/>
      <c r="H60" s="1"/>
      <c r="I60" s="1"/>
      <c r="J60" s="1"/>
      <c r="K60" s="22"/>
    </row>
    <row r="61" spans="3:11" ht="20.100000000000001" customHeight="1" x14ac:dyDescent="0.25">
      <c r="C61" s="22"/>
      <c r="D61" s="1"/>
      <c r="E61" s="1"/>
      <c r="F61" s="1"/>
      <c r="G61" s="1"/>
      <c r="H61" s="1"/>
      <c r="I61" s="1"/>
      <c r="J61" s="1"/>
      <c r="K61" s="22"/>
    </row>
    <row r="62" spans="3:11" ht="20.100000000000001" customHeight="1" x14ac:dyDescent="0.25">
      <c r="C62" s="22"/>
      <c r="D62" s="1"/>
      <c r="E62" s="1"/>
      <c r="F62" s="1"/>
      <c r="G62" s="1"/>
      <c r="H62" s="1"/>
      <c r="I62" s="1"/>
      <c r="J62" s="1"/>
      <c r="K62" s="22"/>
    </row>
    <row r="63" spans="3:11" ht="20.100000000000001" customHeight="1" x14ac:dyDescent="0.25">
      <c r="C63" s="22"/>
      <c r="D63" s="1"/>
      <c r="E63" s="1"/>
      <c r="F63" s="1"/>
      <c r="G63" s="1"/>
      <c r="H63" s="1"/>
      <c r="I63" s="1"/>
      <c r="J63" s="1"/>
      <c r="K63" s="22"/>
    </row>
    <row r="64" spans="3:11" ht="20.100000000000001" customHeight="1" x14ac:dyDescent="0.25">
      <c r="C64" s="22"/>
      <c r="D64" s="1"/>
      <c r="E64" s="1"/>
      <c r="F64" s="1"/>
      <c r="G64" s="1"/>
      <c r="H64" s="1"/>
      <c r="I64" s="1"/>
      <c r="J64" s="1"/>
      <c r="K64" s="22"/>
    </row>
    <row r="65" spans="3:11" ht="20.100000000000001" customHeight="1" x14ac:dyDescent="0.25">
      <c r="C65" s="22"/>
      <c r="D65" s="1"/>
      <c r="E65" s="1"/>
      <c r="F65" s="1"/>
      <c r="G65" s="1"/>
      <c r="H65" s="1"/>
      <c r="I65" s="1"/>
      <c r="J65" s="1"/>
      <c r="K65" s="22"/>
    </row>
    <row r="66" spans="3:11" ht="20.100000000000001" customHeight="1" x14ac:dyDescent="0.25">
      <c r="C66" s="22"/>
      <c r="D66" s="1"/>
      <c r="E66" s="1"/>
      <c r="F66" s="1"/>
      <c r="G66" s="1"/>
      <c r="H66" s="1"/>
      <c r="I66" s="1"/>
      <c r="J66" s="1"/>
      <c r="K66" s="22"/>
    </row>
    <row r="67" spans="3:11" ht="20.100000000000001" customHeight="1" x14ac:dyDescent="0.25">
      <c r="C67" s="22"/>
      <c r="D67" s="1"/>
      <c r="E67" s="1"/>
      <c r="F67" s="1"/>
      <c r="G67" s="1"/>
      <c r="H67" s="1"/>
      <c r="I67" s="1"/>
      <c r="J67" s="1"/>
      <c r="K67" s="22"/>
    </row>
    <row r="68" spans="3:11" ht="20.100000000000001" customHeight="1" x14ac:dyDescent="0.25">
      <c r="C68" s="22"/>
      <c r="D68" s="1"/>
      <c r="E68" s="1"/>
      <c r="F68" s="1"/>
      <c r="G68" s="1"/>
      <c r="H68" s="1"/>
      <c r="I68" s="1"/>
      <c r="J68" s="1"/>
      <c r="K68" s="22"/>
    </row>
    <row r="69" spans="3:11" ht="20.100000000000001" customHeight="1" x14ac:dyDescent="0.25">
      <c r="C69" s="22"/>
      <c r="D69" s="1"/>
      <c r="E69" s="1"/>
      <c r="F69" s="1"/>
      <c r="G69" s="1"/>
      <c r="H69" s="1"/>
      <c r="I69" s="1"/>
      <c r="J69" s="1"/>
      <c r="K69" s="22"/>
    </row>
    <row r="70" spans="3:11" ht="20.100000000000001" customHeight="1" x14ac:dyDescent="0.25">
      <c r="C70" s="22"/>
      <c r="D70" s="1"/>
      <c r="E70" s="1"/>
      <c r="F70" s="1"/>
      <c r="G70" s="1"/>
      <c r="H70" s="1"/>
      <c r="I70" s="1"/>
      <c r="J70" s="1"/>
      <c r="K70" s="22"/>
    </row>
    <row r="71" spans="3:11" ht="20.100000000000001" customHeight="1" x14ac:dyDescent="0.25">
      <c r="C71" s="22"/>
      <c r="D71" s="1"/>
      <c r="E71" s="1"/>
      <c r="F71" s="1"/>
      <c r="G71" s="1"/>
      <c r="H71" s="1"/>
      <c r="I71" s="1"/>
      <c r="J71" s="1"/>
      <c r="K71" s="22"/>
    </row>
    <row r="72" spans="3:11" ht="20.100000000000001" customHeight="1" x14ac:dyDescent="0.25">
      <c r="C72" s="22"/>
      <c r="D72" s="1"/>
      <c r="E72" s="1"/>
      <c r="F72" s="1"/>
      <c r="G72" s="1"/>
      <c r="H72" s="1"/>
      <c r="I72" s="1"/>
      <c r="J72" s="1"/>
      <c r="K72" s="22"/>
    </row>
    <row r="73" spans="3:11" ht="20.100000000000001" customHeight="1" x14ac:dyDescent="0.25">
      <c r="C73" s="22"/>
      <c r="D73" s="1"/>
      <c r="E73" s="1"/>
      <c r="F73" s="1"/>
      <c r="G73" s="1"/>
      <c r="H73" s="1"/>
      <c r="I73" s="1"/>
      <c r="J73" s="1"/>
      <c r="K73" s="22"/>
    </row>
    <row r="74" spans="3:11" ht="20.100000000000001" customHeight="1" x14ac:dyDescent="0.25">
      <c r="C74" s="22"/>
      <c r="D74" s="1"/>
      <c r="E74" s="1"/>
      <c r="F74" s="1"/>
      <c r="G74" s="1"/>
      <c r="H74" s="1"/>
      <c r="I74" s="1"/>
      <c r="J74" s="1"/>
      <c r="K74" s="22"/>
    </row>
    <row r="75" spans="3:11" ht="20.100000000000001" customHeight="1" x14ac:dyDescent="0.25">
      <c r="C75" s="22"/>
      <c r="D75" s="1"/>
      <c r="E75" s="1"/>
      <c r="F75" s="1"/>
      <c r="G75" s="1"/>
      <c r="H75" s="1"/>
      <c r="I75" s="1"/>
      <c r="J75" s="1"/>
      <c r="K75" s="22"/>
    </row>
    <row r="76" spans="3:11" ht="15.75" x14ac:dyDescent="0.25">
      <c r="C76" s="22"/>
      <c r="D76" s="1"/>
      <c r="E76" s="1"/>
      <c r="F76" s="1"/>
      <c r="G76" s="1"/>
      <c r="H76" s="1"/>
      <c r="I76" s="1"/>
      <c r="J76" s="1"/>
      <c r="K76" s="22"/>
    </row>
    <row r="77" spans="3:11" ht="15.75" x14ac:dyDescent="0.25">
      <c r="C77" s="22"/>
      <c r="D77" s="1"/>
      <c r="E77" s="1"/>
      <c r="F77" s="1"/>
      <c r="G77" s="1"/>
      <c r="H77" s="1"/>
      <c r="I77" s="1"/>
      <c r="J77" s="1"/>
      <c r="K77" s="22"/>
    </row>
    <row r="78" spans="3:11" ht="15.75" x14ac:dyDescent="0.25">
      <c r="C78" s="22"/>
      <c r="D78" s="1"/>
      <c r="E78" s="1"/>
      <c r="F78" s="1"/>
      <c r="G78" s="1"/>
      <c r="H78" s="1"/>
      <c r="I78" s="1"/>
      <c r="J78" s="1"/>
      <c r="K78" s="22"/>
    </row>
    <row r="79" spans="3:11" ht="15.75" x14ac:dyDescent="0.25">
      <c r="C79" s="22"/>
      <c r="D79" s="1"/>
      <c r="E79" s="1"/>
      <c r="F79" s="1"/>
      <c r="G79" s="1"/>
      <c r="H79" s="1"/>
      <c r="I79" s="1"/>
      <c r="J79" s="1"/>
      <c r="K79" s="22"/>
    </row>
    <row r="80" spans="3:11" ht="15.75" x14ac:dyDescent="0.25">
      <c r="C80" s="22"/>
      <c r="D80" s="1"/>
      <c r="E80" s="1"/>
      <c r="F80" s="1"/>
      <c r="G80" s="1"/>
      <c r="H80" s="1"/>
      <c r="I80" s="1"/>
      <c r="J80" s="1"/>
      <c r="K80" s="22"/>
    </row>
    <row r="81" spans="3:11" ht="15.75" x14ac:dyDescent="0.25">
      <c r="C81" s="22"/>
      <c r="D81" s="1"/>
      <c r="E81" s="1"/>
      <c r="F81" s="1"/>
      <c r="G81" s="1"/>
      <c r="H81" s="1"/>
      <c r="I81" s="1"/>
      <c r="J81" s="1"/>
      <c r="K81" s="22"/>
    </row>
    <row r="82" spans="3:11" ht="15.75" x14ac:dyDescent="0.25">
      <c r="C82" s="22"/>
      <c r="D82" s="1"/>
      <c r="E82" s="1"/>
      <c r="F82" s="1"/>
      <c r="G82" s="1"/>
      <c r="H82" s="1"/>
      <c r="I82" s="1"/>
      <c r="J82" s="1"/>
      <c r="K82" s="22"/>
    </row>
    <row r="83" spans="3:11" ht="15.75" x14ac:dyDescent="0.25">
      <c r="C83" s="22"/>
      <c r="D83" s="1"/>
      <c r="E83" s="1"/>
      <c r="F83" s="1"/>
      <c r="G83" s="1"/>
      <c r="H83" s="1"/>
      <c r="I83" s="1"/>
      <c r="J83" s="1"/>
      <c r="K83" s="22"/>
    </row>
    <row r="84" spans="3:11" ht="15.75" x14ac:dyDescent="0.25">
      <c r="C84" s="22"/>
      <c r="D84" s="1"/>
      <c r="E84" s="1"/>
      <c r="F84" s="1"/>
      <c r="G84" s="1"/>
      <c r="H84" s="1"/>
      <c r="I84" s="1"/>
      <c r="J84" s="1"/>
      <c r="K84" s="22"/>
    </row>
    <row r="85" spans="3:11" ht="15.75" x14ac:dyDescent="0.25">
      <c r="C85" s="22"/>
      <c r="D85" s="1"/>
      <c r="E85" s="1"/>
      <c r="F85" s="1"/>
      <c r="G85" s="1"/>
      <c r="H85" s="1"/>
      <c r="I85" s="1"/>
      <c r="J85" s="1"/>
      <c r="K85" s="22"/>
    </row>
    <row r="86" spans="3:11" x14ac:dyDescent="0.25">
      <c r="C86" s="22"/>
      <c r="D86" s="22"/>
      <c r="E86" s="22"/>
      <c r="F86" s="22"/>
      <c r="G86" s="22"/>
      <c r="H86" s="22"/>
      <c r="I86" s="22"/>
      <c r="J86" s="22"/>
      <c r="K86" s="22"/>
    </row>
    <row r="87" spans="3:11" x14ac:dyDescent="0.25">
      <c r="C87" s="22"/>
      <c r="D87" s="22"/>
      <c r="E87" s="22"/>
      <c r="F87" s="22"/>
      <c r="G87" s="22"/>
      <c r="H87" s="22"/>
      <c r="I87" s="22"/>
      <c r="J87" s="22"/>
      <c r="K87" s="22"/>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1A5447-7172-48EB-B2CF-AFAC4A9AE8CE}">
  <sheetPr>
    <pageSetUpPr autoPageBreaks="0"/>
  </sheetPr>
  <dimension ref="A1:AA115"/>
  <sheetViews>
    <sheetView showGridLines="0" zoomScaleNormal="100" workbookViewId="0">
      <selection activeCell="E28" sqref="E28"/>
    </sheetView>
  </sheetViews>
  <sheetFormatPr defaultColWidth="9.140625" defaultRowHeight="15.75" x14ac:dyDescent="0.25"/>
  <cols>
    <col min="1" max="1" width="30.7109375" style="16" customWidth="1"/>
    <col min="2" max="2" width="4.7109375" style="7" customWidth="1"/>
    <col min="3" max="3" width="4.7109375" style="3" customWidth="1"/>
    <col min="4" max="4" width="60.7109375" style="3" customWidth="1"/>
    <col min="5" max="5" width="50.7109375" style="3" customWidth="1"/>
    <col min="6" max="11" width="28.7109375" style="3" customWidth="1"/>
    <col min="12" max="25" width="28.7109375" style="7" customWidth="1"/>
    <col min="26" max="27" width="9.140625" style="7"/>
    <col min="28" max="16384" width="9.140625" style="3"/>
  </cols>
  <sheetData>
    <row r="1" spans="1:24" s="7" customFormat="1" ht="30" customHeight="1" x14ac:dyDescent="0.35">
      <c r="A1" s="62" t="e" vm="1">
        <v>#VALUE!</v>
      </c>
      <c r="C1" s="12" t="s">
        <v>72</v>
      </c>
    </row>
    <row r="2" spans="1:24" s="7" customFormat="1" ht="20.100000000000001" customHeight="1" x14ac:dyDescent="0.25">
      <c r="A2"/>
      <c r="C2" s="9"/>
      <c r="D2" s="9"/>
      <c r="E2" s="9"/>
      <c r="F2" s="9"/>
      <c r="G2" s="9"/>
      <c r="H2" s="9"/>
      <c r="I2" s="9"/>
      <c r="J2" s="9"/>
    </row>
    <row r="3" spans="1:24" ht="20.100000000000001" customHeight="1" x14ac:dyDescent="0.25">
      <c r="A3" s="17" t="str">
        <f>HYPERLINK("#'Home'!A1", "Home")</f>
        <v>Home</v>
      </c>
      <c r="C3" s="15"/>
      <c r="D3" s="15"/>
      <c r="E3" s="15"/>
      <c r="F3" s="15"/>
      <c r="G3" s="15"/>
      <c r="H3" s="15"/>
      <c r="I3" s="15"/>
      <c r="J3" s="15"/>
      <c r="K3" s="15"/>
      <c r="M3" s="11"/>
      <c r="N3" s="11"/>
      <c r="O3" s="11"/>
      <c r="P3" s="11"/>
      <c r="Q3" s="11"/>
      <c r="R3" s="11"/>
      <c r="S3" s="11"/>
      <c r="T3" s="11"/>
      <c r="U3" s="11"/>
      <c r="V3" s="11"/>
      <c r="W3" s="11"/>
      <c r="X3" s="11"/>
    </row>
    <row r="4" spans="1:24" ht="20.100000000000001" customHeight="1" x14ac:dyDescent="0.25">
      <c r="A4" s="17" t="str">
        <f>HYPERLINK("#'Overview'!A1", "Overview")</f>
        <v>Overview</v>
      </c>
      <c r="C4" s="63"/>
      <c r="D4" s="63"/>
      <c r="E4" s="63"/>
      <c r="F4" s="63"/>
      <c r="G4" s="63"/>
      <c r="H4" s="63"/>
      <c r="I4" s="63"/>
      <c r="J4" s="63"/>
      <c r="K4" s="63"/>
    </row>
    <row r="5" spans="1:24" ht="20.100000000000001" customHeight="1" x14ac:dyDescent="0.25">
      <c r="A5" s="17" t="str">
        <f>HYPERLINK("#'Results'!A1", "Results")</f>
        <v>Results</v>
      </c>
      <c r="D5" s="6" t="s">
        <v>13</v>
      </c>
      <c r="N5" s="40"/>
    </row>
    <row r="6" spans="1:24" ht="20.100000000000001" customHeight="1" x14ac:dyDescent="0.25">
      <c r="D6" s="14"/>
      <c r="N6" s="41"/>
    </row>
    <row r="7" spans="1:24" ht="20.100000000000001" customHeight="1" x14ac:dyDescent="0.25">
      <c r="A7" s="20" t="s">
        <v>1</v>
      </c>
      <c r="D7" s="1" t="s">
        <v>5</v>
      </c>
      <c r="E7" s="33" t="s">
        <v>4</v>
      </c>
      <c r="F7" s="2"/>
    </row>
    <row r="8" spans="1:24" ht="20.100000000000001" customHeight="1" x14ac:dyDescent="0.25">
      <c r="A8" s="106" t="str">
        <f>HYPERLINK("#'Input - Site'!A1", "Site")</f>
        <v>Site</v>
      </c>
      <c r="D8" s="10" t="s">
        <v>67</v>
      </c>
      <c r="E8" s="33" t="s">
        <v>68</v>
      </c>
    </row>
    <row r="9" spans="1:24" ht="20.100000000000001" customHeight="1" x14ac:dyDescent="0.25">
      <c r="A9" s="17" t="str">
        <f>HYPERLINK("#'Input - Crop'!A1", "Crop")</f>
        <v>Crop</v>
      </c>
      <c r="N9" s="42"/>
    </row>
    <row r="10" spans="1:24" ht="20.100000000000001" customHeight="1" x14ac:dyDescent="0.25">
      <c r="A10" s="17" t="str">
        <f>HYPERLINK("#'Input - Pasture'!A1", "Pasture")</f>
        <v>Pasture</v>
      </c>
      <c r="D10" s="88" t="s">
        <v>71</v>
      </c>
      <c r="E10" s="86"/>
      <c r="F10" s="89"/>
      <c r="G10" s="83"/>
      <c r="N10" s="42"/>
    </row>
    <row r="11" spans="1:24" ht="20.100000000000001" customHeight="1" x14ac:dyDescent="0.25">
      <c r="A11"/>
      <c r="N11" s="43"/>
    </row>
    <row r="12" spans="1:24" ht="20.100000000000001" customHeight="1" x14ac:dyDescent="0.25">
      <c r="A12" s="19" t="s">
        <v>69</v>
      </c>
      <c r="D12" s="10" t="s">
        <v>77</v>
      </c>
      <c r="E12" s="60">
        <v>45292</v>
      </c>
      <c r="F12" s="2" t="s">
        <v>65</v>
      </c>
    </row>
    <row r="13" spans="1:24" ht="20.100000000000001" customHeight="1" x14ac:dyDescent="0.25">
      <c r="A13" s="17" t="str">
        <f>HYPERLINK("#'6.1.1.1-2 Crop residue N2O'!A1", "6.1.1.1-2 Crop residue N2O")</f>
        <v>6.1.1.1-2 Crop residue N2O</v>
      </c>
      <c r="D13" s="10" t="s">
        <v>78</v>
      </c>
      <c r="E13" s="64">
        <f>DATE(YEAR(E12)+1,MONTH(E12),DAY(E12))-1</f>
        <v>45657</v>
      </c>
      <c r="F13" s="2" t="s">
        <v>15</v>
      </c>
      <c r="N13" s="38"/>
      <c r="O13" s="38"/>
    </row>
    <row r="14" spans="1:24" ht="20.100000000000001" customHeight="1" x14ac:dyDescent="0.25">
      <c r="A14" s="17" t="str">
        <f>HYPERLINK("#'6.2.1.1-2 Pasture residue N2O'!A1", "6.2.1.1-2 Pasture residue N2O")</f>
        <v>6.2.1.1-2 Pasture residue N2O</v>
      </c>
      <c r="N14" s="38"/>
      <c r="O14" s="38"/>
    </row>
    <row r="15" spans="1:24" ht="20.100000000000001" customHeight="1" x14ac:dyDescent="0.25">
      <c r="A15" s="17" t="str">
        <f>HYPERLINK("#'6.3.1.1-2 Leaching and runoff'!A1", "6.3.1.1-2 Leaching and runoff")</f>
        <v>6.3.1.1-2 Leaching and runoff</v>
      </c>
      <c r="N15" s="38"/>
      <c r="O15" s="38"/>
    </row>
    <row r="16" spans="1:24" ht="20.100000000000001" customHeight="1" x14ac:dyDescent="0.25">
      <c r="A16" s="17" t="str">
        <f>HYPERLINK("#'6.4.1.1-2 Residue burning'!A1", "6.4.1.1-2 Residue burning")</f>
        <v>6.4.1.1-2 Residue burning</v>
      </c>
      <c r="D16" s="6" t="s">
        <v>12</v>
      </c>
      <c r="N16" s="38"/>
      <c r="O16" s="38"/>
    </row>
    <row r="17" spans="1:25" ht="20.100000000000001" customHeight="1" x14ac:dyDescent="0.25">
      <c r="A17" s="17"/>
    </row>
    <row r="18" spans="1:25" ht="20.100000000000001" customHeight="1" x14ac:dyDescent="0.25">
      <c r="A18" s="18" t="s">
        <v>2</v>
      </c>
      <c r="D18" s="90" t="s">
        <v>14</v>
      </c>
      <c r="E18" s="85"/>
      <c r="F18" s="85"/>
      <c r="G18" s="81"/>
    </row>
    <row r="19" spans="1:25" ht="20.100000000000001" customHeight="1" x14ac:dyDescent="0.25">
      <c r="A19" s="17" t="str">
        <f>HYPERLINK("#'Constants - Ag Residue'!A1", "Constants - Ag Residue")</f>
        <v>Constants - Ag Residue</v>
      </c>
      <c r="D19" s="87" t="s">
        <v>66</v>
      </c>
      <c r="E19" s="84"/>
      <c r="F19" s="84"/>
      <c r="G19" s="82"/>
      <c r="N19" s="40"/>
    </row>
    <row r="20" spans="1:25" ht="20.100000000000001" customHeight="1" x14ac:dyDescent="0.25">
      <c r="A20" s="17" t="str">
        <f>HYPERLINK("#'Constants - Common'!A1", "Constants - Common")</f>
        <v>Constants - Common</v>
      </c>
      <c r="D20" s="1"/>
      <c r="E20" s="31"/>
      <c r="F20" s="2"/>
      <c r="N20" s="41"/>
    </row>
    <row r="21" spans="1:25" ht="20.100000000000001" customHeight="1" x14ac:dyDescent="0.25">
      <c r="A21"/>
      <c r="D21" s="1" t="s">
        <v>6</v>
      </c>
      <c r="E21" s="39" t="s">
        <v>99</v>
      </c>
      <c r="F21" s="2" t="s">
        <v>9</v>
      </c>
    </row>
    <row r="22" spans="1:25" ht="20.100000000000001" customHeight="1" x14ac:dyDescent="0.25">
      <c r="A22"/>
      <c r="D22" s="1" t="s">
        <v>21</v>
      </c>
      <c r="E22" s="39" t="s">
        <v>30</v>
      </c>
      <c r="F22" s="2" t="s">
        <v>9</v>
      </c>
      <c r="G22" s="1"/>
    </row>
    <row r="23" spans="1:25" ht="20.100000000000001" customHeight="1" x14ac:dyDescent="0.25">
      <c r="A23"/>
      <c r="D23" s="1" t="s">
        <v>7</v>
      </c>
      <c r="E23" s="39" t="s">
        <v>76</v>
      </c>
      <c r="F23" s="2" t="s">
        <v>9</v>
      </c>
    </row>
    <row r="24" spans="1:25" ht="20.100000000000001" customHeight="1" x14ac:dyDescent="0.25">
      <c r="A24"/>
      <c r="D24" s="1" t="s">
        <v>35</v>
      </c>
      <c r="E24" s="33">
        <v>307.7</v>
      </c>
      <c r="F24" s="2" t="s">
        <v>49</v>
      </c>
    </row>
    <row r="25" spans="1:25" ht="20.100000000000001" customHeight="1" x14ac:dyDescent="0.25">
      <c r="A25"/>
      <c r="D25" s="1" t="s">
        <v>57</v>
      </c>
      <c r="E25" s="33">
        <v>18</v>
      </c>
      <c r="F25" s="2" t="s">
        <v>10</v>
      </c>
      <c r="N25" s="41"/>
    </row>
    <row r="26" spans="1:25" ht="20.100000000000001" customHeight="1" x14ac:dyDescent="0.25">
      <c r="A26"/>
      <c r="D26" s="1" t="s">
        <v>58</v>
      </c>
      <c r="E26" s="33">
        <v>599</v>
      </c>
      <c r="F26" s="2" t="s">
        <v>11</v>
      </c>
    </row>
    <row r="27" spans="1:25" ht="20.100000000000001" customHeight="1" x14ac:dyDescent="0.25">
      <c r="A27"/>
      <c r="D27" s="10" t="s">
        <v>59</v>
      </c>
      <c r="E27" s="33">
        <v>1326</v>
      </c>
      <c r="F27" s="2" t="s">
        <v>11</v>
      </c>
    </row>
    <row r="28" spans="1:25" ht="20.100000000000001" customHeight="1" x14ac:dyDescent="0.25">
      <c r="A28"/>
      <c r="D28" s="1" t="s">
        <v>60</v>
      </c>
      <c r="E28" s="33">
        <v>7</v>
      </c>
      <c r="F28" s="2" t="s">
        <v>50</v>
      </c>
    </row>
    <row r="29" spans="1:25" ht="20.100000000000001" customHeight="1" x14ac:dyDescent="0.25">
      <c r="A29"/>
      <c r="D29" s="10" t="s">
        <v>56</v>
      </c>
      <c r="E29" s="50">
        <f>E26/E27</f>
        <v>0.45173453996983409</v>
      </c>
      <c r="F29" s="2"/>
    </row>
    <row r="30" spans="1:25" ht="20.100000000000001" customHeight="1" x14ac:dyDescent="0.25">
      <c r="A30"/>
      <c r="D30" s="10" t="s">
        <v>31</v>
      </c>
      <c r="E30" s="50" t="str">
        <f>Common_InputFunctions.Utility_LookupItemFromMinMax(E26,Table_SourceData_RainfallZones[Min rainfall],Table_SourceData_RainfallZones[Max rainfall],Table_SourceData_RainfallZones[Rainfall Zone])</f>
        <v>Low rainfall</v>
      </c>
      <c r="G30" s="32"/>
      <c r="L30" s="47"/>
      <c r="M30" s="47"/>
      <c r="N30" s="47"/>
      <c r="O30" s="47"/>
      <c r="P30" s="47"/>
      <c r="Q30" s="47"/>
      <c r="R30" s="47"/>
      <c r="S30" s="47"/>
      <c r="T30" s="47"/>
      <c r="U30" s="47"/>
      <c r="V30" s="47"/>
      <c r="W30" s="47"/>
      <c r="X30" s="47"/>
      <c r="Y30" s="47"/>
    </row>
    <row r="31" spans="1:25" ht="20.100000000000001" customHeight="1" x14ac:dyDescent="0.25">
      <c r="A31"/>
      <c r="D31" s="1" t="s">
        <v>8</v>
      </c>
      <c r="E31" s="50" t="str">
        <f>Common_InputFunctions.Utility_GetClimateZone(E25,E26,E28,E24,E29,Table_SourceData_ClimateZones[Min temp],Table_SourceData_ClimateZones[Max temp],Table_SourceData_ClimateZones[Min rainfall],Table_SourceData_ClimateZones[Max rainfall],Table_SourceData_ClimateZones[Min frost days],Table_SourceData_ClimateZones[Max frost days],Table_SourceData_ClimateZones[Min elevation],Table_SourceData_ClimateZones[Max elevation],Table_SourceData_ClimateZones[Min MAP:PET],Table_SourceData_ClimateZones[Max MAP:PET],Table_SourceData_ClimateZones[Climate zone])</f>
        <v>Warm temperate dry</v>
      </c>
      <c r="F31" s="1"/>
      <c r="G31" s="31"/>
      <c r="L31" s="45"/>
      <c r="M31" s="45"/>
      <c r="N31" s="45"/>
      <c r="O31" s="45"/>
      <c r="P31" s="45"/>
      <c r="Q31" s="45"/>
      <c r="R31" s="45"/>
      <c r="S31" s="45"/>
      <c r="T31" s="45"/>
      <c r="U31" s="45"/>
      <c r="V31" s="45"/>
      <c r="W31" s="45"/>
      <c r="X31" s="45"/>
      <c r="Y31" s="45"/>
    </row>
    <row r="32" spans="1:25" ht="20.100000000000001" customHeight="1" x14ac:dyDescent="0.25">
      <c r="A32"/>
      <c r="D32" s="1" t="s">
        <v>73</v>
      </c>
      <c r="E32" s="50" t="str">
        <f>Common_InputFunctions.Utility_LookupValueInTable($E$31,Table_SourceData_WetDryZones[Climate zone],Table_SourceData_WetDryZones[Wet or Dry Zone])</f>
        <v>Dry climate zone</v>
      </c>
      <c r="F32" s="1"/>
      <c r="G32" s="31"/>
      <c r="L32" s="45"/>
      <c r="M32" s="45"/>
      <c r="N32" s="45"/>
      <c r="O32" s="45"/>
      <c r="P32" s="45"/>
      <c r="Q32" s="45"/>
      <c r="R32" s="45"/>
      <c r="S32" s="45"/>
      <c r="T32" s="45"/>
      <c r="U32" s="45"/>
      <c r="V32" s="45"/>
      <c r="W32" s="45"/>
      <c r="X32" s="45"/>
      <c r="Y32" s="45"/>
    </row>
    <row r="33" spans="1:25" ht="20.100000000000001" customHeight="1" x14ac:dyDescent="0.25">
      <c r="A33"/>
      <c r="D33" s="1" t="s">
        <v>48</v>
      </c>
      <c r="E33" s="50" t="str">
        <f>Common_InputFunctions.Utility_LookupItemFromMinMax(E25,Table_SourceData_TemperatureZones[Min MAT],Table_SourceData_TemperatureZones[Max MAT],Table_SourceData_TemperatureZones[Temperature Zone])</f>
        <v>Temperate</v>
      </c>
      <c r="G33" s="65"/>
      <c r="L33" s="45"/>
      <c r="M33" s="45"/>
      <c r="N33" s="45"/>
      <c r="O33" s="45"/>
      <c r="P33" s="45"/>
      <c r="Q33" s="45"/>
      <c r="R33" s="45"/>
      <c r="S33" s="45"/>
      <c r="T33" s="45"/>
      <c r="U33" s="45"/>
      <c r="V33" s="45"/>
      <c r="W33" s="45"/>
      <c r="X33" s="45"/>
      <c r="Y33" s="45"/>
    </row>
    <row r="34" spans="1:25" ht="20.100000000000001" customHeight="1" x14ac:dyDescent="0.25">
      <c r="A34"/>
      <c r="J34" s="58"/>
      <c r="K34" s="68"/>
      <c r="L34" s="45"/>
      <c r="M34" s="45"/>
      <c r="N34" s="45"/>
      <c r="O34" s="45"/>
      <c r="P34" s="45"/>
      <c r="Q34" s="45"/>
      <c r="R34" s="45"/>
      <c r="S34" s="45"/>
      <c r="T34" s="45"/>
      <c r="U34" s="45"/>
      <c r="V34" s="45"/>
      <c r="W34" s="45"/>
      <c r="X34" s="45"/>
      <c r="Y34" s="45"/>
    </row>
    <row r="35" spans="1:25" ht="20.100000000000001" customHeight="1" x14ac:dyDescent="0.25">
      <c r="A35"/>
      <c r="J35" s="58"/>
      <c r="K35" s="68"/>
      <c r="L35" s="45"/>
      <c r="M35" s="45"/>
      <c r="N35" s="45"/>
      <c r="O35" s="45"/>
      <c r="P35" s="45"/>
      <c r="Q35" s="45"/>
      <c r="R35" s="45"/>
      <c r="S35" s="45"/>
      <c r="T35" s="45"/>
      <c r="U35" s="45"/>
      <c r="V35" s="45"/>
      <c r="W35" s="45"/>
      <c r="X35" s="45"/>
      <c r="Y35" s="45"/>
    </row>
    <row r="36" spans="1:25" ht="20.100000000000001" customHeight="1" x14ac:dyDescent="0.25">
      <c r="A36"/>
      <c r="D36" s="66"/>
      <c r="E36" s="66"/>
      <c r="F36" s="67"/>
      <c r="G36" s="58"/>
      <c r="H36" s="58"/>
      <c r="I36" s="59"/>
      <c r="J36" s="58"/>
      <c r="K36" s="68"/>
      <c r="L36" s="45"/>
      <c r="M36" s="45"/>
      <c r="N36" s="45"/>
      <c r="O36" s="45"/>
      <c r="P36" s="45"/>
      <c r="Q36" s="45"/>
      <c r="R36" s="45"/>
      <c r="S36" s="45"/>
      <c r="T36" s="45"/>
      <c r="U36" s="45"/>
      <c r="V36" s="45"/>
      <c r="W36" s="45"/>
      <c r="X36" s="45"/>
      <c r="Y36" s="45"/>
    </row>
    <row r="37" spans="1:25" ht="20.100000000000001" customHeight="1" x14ac:dyDescent="0.25">
      <c r="A37"/>
      <c r="D37" s="66"/>
      <c r="E37" s="66"/>
      <c r="F37" s="67"/>
      <c r="G37" s="58"/>
      <c r="H37" s="58"/>
      <c r="I37" s="59"/>
      <c r="J37" s="58"/>
      <c r="K37" s="68"/>
      <c r="L37" s="45"/>
      <c r="M37" s="45"/>
      <c r="N37" s="45"/>
      <c r="O37" s="45"/>
      <c r="P37" s="45"/>
      <c r="Q37" s="45"/>
      <c r="R37" s="45"/>
      <c r="S37" s="45"/>
      <c r="T37" s="45"/>
      <c r="U37" s="45"/>
      <c r="V37" s="45"/>
      <c r="W37" s="45"/>
      <c r="X37" s="45"/>
      <c r="Y37" s="45"/>
    </row>
    <row r="38" spans="1:25" ht="20.100000000000001" customHeight="1" x14ac:dyDescent="0.25">
      <c r="A38"/>
      <c r="D38" s="66"/>
      <c r="E38" s="66"/>
      <c r="F38" s="67"/>
      <c r="G38" s="58"/>
      <c r="H38" s="58"/>
      <c r="I38" s="59"/>
      <c r="J38" s="58"/>
      <c r="K38" s="68"/>
      <c r="L38" s="45"/>
      <c r="M38" s="45"/>
      <c r="N38" s="45"/>
      <c r="O38" s="45"/>
      <c r="P38" s="45"/>
      <c r="Q38" s="45"/>
      <c r="R38" s="45"/>
      <c r="S38" s="45"/>
      <c r="T38" s="45"/>
      <c r="U38" s="45"/>
      <c r="V38" s="45"/>
      <c r="W38" s="45"/>
      <c r="X38" s="45"/>
      <c r="Y38" s="45"/>
    </row>
    <row r="39" spans="1:25" ht="20.100000000000001" customHeight="1" x14ac:dyDescent="0.25">
      <c r="A39"/>
      <c r="D39" s="66"/>
      <c r="E39" s="66"/>
      <c r="F39" s="67"/>
      <c r="G39" s="58"/>
      <c r="H39" s="58"/>
      <c r="I39" s="59"/>
      <c r="J39" s="58"/>
      <c r="K39" s="68"/>
      <c r="L39" s="45"/>
      <c r="M39" s="45"/>
      <c r="N39" s="45"/>
      <c r="O39" s="45"/>
      <c r="P39" s="45"/>
      <c r="Q39" s="45"/>
      <c r="R39" s="45"/>
      <c r="S39" s="45"/>
      <c r="T39" s="45"/>
      <c r="U39" s="45"/>
      <c r="V39" s="45"/>
      <c r="W39" s="45"/>
      <c r="X39" s="45"/>
      <c r="Y39" s="45"/>
    </row>
    <row r="40" spans="1:25" ht="20.100000000000001" customHeight="1" x14ac:dyDescent="0.25">
      <c r="A40"/>
      <c r="D40" s="69"/>
      <c r="E40" s="69"/>
      <c r="F40" s="69"/>
      <c r="G40" s="70"/>
      <c r="H40" s="71"/>
      <c r="I40" s="71"/>
      <c r="J40" s="71"/>
      <c r="K40" s="71"/>
      <c r="L40" s="48"/>
      <c r="M40" s="48"/>
      <c r="N40" s="48"/>
      <c r="O40" s="48"/>
      <c r="P40" s="48"/>
      <c r="Q40" s="48"/>
      <c r="R40" s="48"/>
      <c r="S40" s="48"/>
      <c r="T40" s="48"/>
      <c r="U40" s="48"/>
      <c r="V40" s="48"/>
      <c r="W40" s="48"/>
      <c r="X40" s="48"/>
      <c r="Y40" s="48"/>
    </row>
    <row r="41" spans="1:25" ht="20.100000000000001" customHeight="1" x14ac:dyDescent="0.25">
      <c r="A41"/>
    </row>
    <row r="42" spans="1:25" ht="20.100000000000001" customHeight="1" x14ac:dyDescent="0.25">
      <c r="A42"/>
    </row>
    <row r="43" spans="1:25" ht="20.100000000000001" customHeight="1" x14ac:dyDescent="0.25">
      <c r="A43"/>
    </row>
    <row r="44" spans="1:25" ht="20.100000000000001" customHeight="1" x14ac:dyDescent="0.25"/>
    <row r="45" spans="1:25" ht="20.100000000000001" customHeight="1" x14ac:dyDescent="0.25">
      <c r="D45" s="6"/>
    </row>
    <row r="46" spans="1:25" ht="20.100000000000001" customHeight="1" x14ac:dyDescent="0.25">
      <c r="D46" s="6"/>
    </row>
    <row r="47" spans="1:25" ht="20.100000000000001" customHeight="1" x14ac:dyDescent="0.25">
      <c r="D47" s="72"/>
      <c r="E47" s="72"/>
      <c r="F47" s="72"/>
      <c r="G47" s="72"/>
      <c r="H47" s="72"/>
    </row>
    <row r="48" spans="1:25" ht="20.100000000000001" customHeight="1" x14ac:dyDescent="0.25">
      <c r="D48" s="34"/>
      <c r="E48" s="34"/>
      <c r="F48" s="35"/>
      <c r="G48" s="35"/>
      <c r="H48" s="34"/>
    </row>
    <row r="49" spans="4:8" ht="20.100000000000001" customHeight="1" x14ac:dyDescent="0.25">
      <c r="D49" s="34"/>
      <c r="E49" s="34"/>
      <c r="F49" s="35"/>
      <c r="G49" s="35"/>
      <c r="H49" s="34"/>
    </row>
    <row r="50" spans="4:8" ht="20.100000000000001" customHeight="1" x14ac:dyDescent="0.25">
      <c r="D50" s="34"/>
      <c r="E50" s="34"/>
      <c r="F50" s="35"/>
      <c r="G50" s="35"/>
      <c r="H50" s="34"/>
    </row>
    <row r="51" spans="4:8" ht="20.100000000000001" customHeight="1" x14ac:dyDescent="0.25">
      <c r="D51" s="73"/>
      <c r="E51" s="74"/>
      <c r="F51" s="74"/>
      <c r="G51" s="74"/>
      <c r="H51" s="75"/>
    </row>
    <row r="52" spans="4:8" ht="20.100000000000001" customHeight="1" x14ac:dyDescent="0.25"/>
    <row r="53" spans="4:8" ht="20.100000000000001" customHeight="1" x14ac:dyDescent="0.25"/>
    <row r="54" spans="4:8" ht="20.100000000000001" customHeight="1" x14ac:dyDescent="0.25">
      <c r="G54" s="76"/>
    </row>
    <row r="55" spans="4:8" ht="20.100000000000001" customHeight="1" x14ac:dyDescent="0.25">
      <c r="D55" s="6"/>
    </row>
    <row r="56" spans="4:8" ht="20.100000000000001" customHeight="1" x14ac:dyDescent="0.25"/>
    <row r="57" spans="4:8" ht="20.100000000000001" customHeight="1" x14ac:dyDescent="0.25">
      <c r="D57" s="21"/>
      <c r="F57" s="77"/>
    </row>
    <row r="58" spans="4:8" ht="20.100000000000001" customHeight="1" x14ac:dyDescent="0.25">
      <c r="D58" s="1"/>
      <c r="E58" s="78"/>
    </row>
    <row r="59" spans="4:8" ht="20.100000000000001" customHeight="1" x14ac:dyDescent="0.25">
      <c r="D59" s="1"/>
      <c r="E59" s="78"/>
    </row>
    <row r="60" spans="4:8" ht="20.100000000000001" customHeight="1" x14ac:dyDescent="0.25">
      <c r="D60" s="1"/>
      <c r="E60" s="79"/>
    </row>
    <row r="61" spans="4:8" ht="20.100000000000001" customHeight="1" x14ac:dyDescent="0.25">
      <c r="D61" s="1"/>
    </row>
    <row r="62" spans="4:8" ht="20.100000000000001" customHeight="1" x14ac:dyDescent="0.25"/>
    <row r="63" spans="4:8" ht="20.100000000000001" customHeight="1" x14ac:dyDescent="0.25">
      <c r="D63" s="21"/>
    </row>
    <row r="64" spans="4:8" ht="20.100000000000001" customHeight="1" x14ac:dyDescent="0.25">
      <c r="D64" s="1"/>
      <c r="E64" s="78"/>
    </row>
    <row r="65" spans="4:9" ht="20.100000000000001" customHeight="1" x14ac:dyDescent="0.25">
      <c r="D65" s="1"/>
      <c r="E65" s="78"/>
    </row>
    <row r="66" spans="4:9" ht="20.100000000000001" customHeight="1" x14ac:dyDescent="0.25">
      <c r="D66" s="1"/>
      <c r="E66" s="79"/>
    </row>
    <row r="67" spans="4:9" ht="20.100000000000001" customHeight="1" x14ac:dyDescent="0.25"/>
    <row r="68" spans="4:9" ht="20.100000000000001" customHeight="1" x14ac:dyDescent="0.25"/>
    <row r="69" spans="4:9" ht="20.100000000000001" customHeight="1" x14ac:dyDescent="0.25">
      <c r="D69" s="57"/>
      <c r="E69" s="57"/>
      <c r="F69" s="57"/>
      <c r="G69" s="57"/>
      <c r="H69" s="57"/>
      <c r="I69" s="57"/>
    </row>
    <row r="70" spans="4:9" ht="20.100000000000001" customHeight="1" x14ac:dyDescent="0.25">
      <c r="D70" s="57"/>
      <c r="E70" s="57"/>
      <c r="F70" s="57"/>
      <c r="G70" s="57"/>
      <c r="H70" s="57"/>
      <c r="I70" s="57"/>
    </row>
    <row r="71" spans="4:9" ht="20.100000000000001" customHeight="1" x14ac:dyDescent="0.25">
      <c r="D71" s="57"/>
      <c r="E71" s="57"/>
      <c r="F71" s="57"/>
      <c r="G71" s="57"/>
      <c r="H71" s="57"/>
      <c r="I71" s="57"/>
    </row>
    <row r="72" spans="4:9" ht="20.100000000000001" customHeight="1" x14ac:dyDescent="0.25">
      <c r="D72" s="57"/>
      <c r="E72" s="57"/>
      <c r="F72" s="57"/>
      <c r="G72" s="57"/>
      <c r="H72" s="57"/>
      <c r="I72" s="57"/>
    </row>
    <row r="73" spans="4:9" ht="20.100000000000001" customHeight="1" x14ac:dyDescent="0.25"/>
    <row r="74" spans="4:9" ht="20.100000000000001" customHeight="1" x14ac:dyDescent="0.25"/>
    <row r="75" spans="4:9" ht="20.100000000000001" customHeight="1" x14ac:dyDescent="0.25"/>
    <row r="76" spans="4:9" ht="20.100000000000001" customHeight="1" x14ac:dyDescent="0.25"/>
    <row r="77" spans="4:9" ht="20.100000000000001" customHeight="1" x14ac:dyDescent="0.25"/>
    <row r="78" spans="4:9" ht="20.100000000000001" customHeight="1" x14ac:dyDescent="0.25">
      <c r="D78" s="80"/>
    </row>
    <row r="79" spans="4:9" ht="20.100000000000001" customHeight="1" x14ac:dyDescent="0.25">
      <c r="D79" s="80"/>
    </row>
    <row r="80" spans="4:9" ht="20.100000000000001" customHeight="1" x14ac:dyDescent="0.25">
      <c r="D80" s="80"/>
    </row>
    <row r="81" spans="4:4" ht="20.100000000000001" customHeight="1" x14ac:dyDescent="0.25">
      <c r="D81" s="80"/>
    </row>
    <row r="82" spans="4:4" ht="20.100000000000001" customHeight="1" x14ac:dyDescent="0.25">
      <c r="D82" s="80"/>
    </row>
    <row r="83" spans="4:4" ht="20.100000000000001" customHeight="1" x14ac:dyDescent="0.25"/>
    <row r="84" spans="4:4" ht="20.100000000000001" customHeight="1" x14ac:dyDescent="0.25"/>
    <row r="85" spans="4:4" ht="20.100000000000001" customHeight="1" x14ac:dyDescent="0.25"/>
    <row r="86" spans="4:4" ht="20.100000000000001" customHeight="1" x14ac:dyDescent="0.25"/>
    <row r="87" spans="4:4" ht="20.100000000000001" customHeight="1" x14ac:dyDescent="0.25"/>
    <row r="88" spans="4:4" ht="20.100000000000001" customHeight="1" x14ac:dyDescent="0.25"/>
    <row r="89" spans="4:4" ht="20.100000000000001" customHeight="1" x14ac:dyDescent="0.25"/>
    <row r="90" spans="4:4" ht="20.100000000000001" customHeight="1" x14ac:dyDescent="0.25"/>
    <row r="91" spans="4:4" ht="20.100000000000001" customHeight="1" x14ac:dyDescent="0.25"/>
    <row r="92" spans="4:4" ht="20.100000000000001" customHeight="1" x14ac:dyDescent="0.25"/>
    <row r="93" spans="4:4" ht="20.100000000000001" customHeight="1" x14ac:dyDescent="0.25"/>
    <row r="94" spans="4:4" ht="20.100000000000001" customHeight="1" x14ac:dyDescent="0.25"/>
    <row r="95" spans="4:4" ht="20.100000000000001" customHeight="1" x14ac:dyDescent="0.25"/>
    <row r="96" spans="4:4"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sheetData>
  <phoneticPr fontId="23" type="noConversion"/>
  <dataValidations count="4">
    <dataValidation type="list" allowBlank="1" showInputMessage="1" showErrorMessage="1" sqref="E21" xr:uid="{EEB98A76-93AC-411B-869F-680047BF5E1B}">
      <formula1>INDIRECT("Table_AustralianStates[Common Name]")</formula1>
    </dataValidation>
    <dataValidation type="list" allowBlank="1" showInputMessage="1" showErrorMessage="1" sqref="E22" xr:uid="{FEE229DB-9316-4962-B647-60038C54E99D}">
      <formula1>INDIRECT("Table_WASA4Areas[SA 4 Name]")</formula1>
    </dataValidation>
    <dataValidation type="list" allowBlank="1" showInputMessage="1" showErrorMessage="1" sqref="G36:G39" xr:uid="{1FAF98F1-BA66-4A46-872C-02D4419DFE3B}">
      <formula1>$D$41:$D$43</formula1>
    </dataValidation>
    <dataValidation type="list" allowBlank="1" showInputMessage="1" showErrorMessage="1" sqref="E23" xr:uid="{43B32D4A-5C2C-46E9-876B-6F8FA150486E}">
      <formula1>"YES - In leaching zone, NO - Not in leaching zone"</formula1>
    </dataValidation>
  </dataValidation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C610A2-02A7-4F78-A2BB-B4DFE856D1FB}">
  <dimension ref="A1:H361"/>
  <sheetViews>
    <sheetView showGridLines="0" topLeftCell="A2" zoomScale="85" zoomScaleNormal="85" workbookViewId="0">
      <selection activeCell="E43" sqref="E43"/>
    </sheetView>
  </sheetViews>
  <sheetFormatPr defaultRowHeight="15.75" x14ac:dyDescent="0.25"/>
  <cols>
    <col min="1" max="1" width="30.7109375" customWidth="1"/>
    <col min="2" max="2" width="4.7109375" customWidth="1"/>
    <col min="3" max="3" width="4.7109375" style="1" customWidth="1"/>
    <col min="4" max="4" width="52.140625" style="1" customWidth="1"/>
    <col min="5" max="7" width="30.7109375" style="1" customWidth="1"/>
    <col min="8" max="8" width="4.7109375" style="1" customWidth="1"/>
    <col min="9" max="9" width="4.7109375" customWidth="1"/>
  </cols>
  <sheetData>
    <row r="1" spans="1:8" s="62" customFormat="1" ht="30" customHeight="1" x14ac:dyDescent="0.35">
      <c r="A1" s="62" t="e" vm="1">
        <v>#VALUE!</v>
      </c>
      <c r="C1" s="62" t="s">
        <v>130</v>
      </c>
    </row>
    <row r="2" spans="1:8" s="9" customFormat="1" ht="20.100000000000001" customHeight="1" x14ac:dyDescent="0.25">
      <c r="A2"/>
    </row>
    <row r="3" spans="1:8" ht="20.100000000000001" customHeight="1" x14ac:dyDescent="0.25">
      <c r="A3" s="17" t="str">
        <f>HYPERLINK("#'Home'!A1", "Home")</f>
        <v>Home</v>
      </c>
      <c r="C3" s="15"/>
      <c r="D3" s="15"/>
      <c r="E3" s="15"/>
      <c r="F3" s="15"/>
      <c r="G3" s="15"/>
      <c r="H3" s="15"/>
    </row>
    <row r="4" spans="1:8" ht="20.100000000000001" customHeight="1" x14ac:dyDescent="0.25">
      <c r="A4" s="17" t="str">
        <f>HYPERLINK("#'Overview'!A1", "Overview")</f>
        <v>Overview</v>
      </c>
    </row>
    <row r="5" spans="1:8" ht="20.100000000000001" customHeight="1" x14ac:dyDescent="0.25">
      <c r="A5" s="17" t="str">
        <f>HYPERLINK("#'Results'!A1", "Results")</f>
        <v>Results</v>
      </c>
      <c r="D5" s="6" t="s">
        <v>131</v>
      </c>
    </row>
    <row r="6" spans="1:8" ht="20.100000000000001" customHeight="1" x14ac:dyDescent="0.25">
      <c r="A6" s="16"/>
    </row>
    <row r="7" spans="1:8" ht="20.100000000000001" customHeight="1" x14ac:dyDescent="0.25">
      <c r="A7" s="20" t="s">
        <v>1</v>
      </c>
      <c r="D7" s="88" t="s">
        <v>132</v>
      </c>
      <c r="E7" s="89"/>
      <c r="F7" s="89"/>
      <c r="G7" s="83"/>
    </row>
    <row r="8" spans="1:8" ht="20.100000000000001" customHeight="1" x14ac:dyDescent="0.25">
      <c r="A8" s="17" t="str">
        <f>HYPERLINK("#'Input - Site'!A1", "Site")</f>
        <v>Site</v>
      </c>
    </row>
    <row r="9" spans="1:8" ht="20.100000000000001" customHeight="1" x14ac:dyDescent="0.25">
      <c r="A9" s="106" t="str">
        <f>HYPERLINK("#'Input - Crop'!A1", "Crop")</f>
        <v>Crop</v>
      </c>
      <c r="D9" s="1" t="s">
        <v>110</v>
      </c>
      <c r="E9" s="39" t="s">
        <v>133</v>
      </c>
      <c r="F9" s="2" t="s">
        <v>134</v>
      </c>
    </row>
    <row r="10" spans="1:8" ht="20.100000000000001" customHeight="1" x14ac:dyDescent="0.25">
      <c r="A10" s="17" t="str">
        <f>HYPERLINK("#'Input - Pasture'!A1", "Pasture")</f>
        <v>Pasture</v>
      </c>
      <c r="D10" s="1" t="s">
        <v>135</v>
      </c>
      <c r="E10" s="39" t="s">
        <v>174</v>
      </c>
      <c r="F10" s="2" t="s">
        <v>134</v>
      </c>
    </row>
    <row r="11" spans="1:8" ht="20.100000000000001" customHeight="1" x14ac:dyDescent="0.25">
      <c r="D11" s="10" t="s">
        <v>86</v>
      </c>
      <c r="E11" s="39" t="s">
        <v>108</v>
      </c>
      <c r="F11" s="2" t="s">
        <v>134</v>
      </c>
    </row>
    <row r="12" spans="1:8" ht="20.100000000000001" customHeight="1" x14ac:dyDescent="0.25">
      <c r="A12" s="19" t="s">
        <v>69</v>
      </c>
    </row>
    <row r="13" spans="1:8" ht="20.100000000000001" customHeight="1" x14ac:dyDescent="0.25">
      <c r="A13" s="17" t="str">
        <f>HYPERLINK("#'6.1.1.1-2 Crop residue N2O'!A1", "6.1.1.1-2 Crop residue N2O")</f>
        <v>6.1.1.1-2 Crop residue N2O</v>
      </c>
      <c r="D13" s="1" t="s">
        <v>111</v>
      </c>
      <c r="E13" s="133">
        <v>1000</v>
      </c>
      <c r="F13" s="2" t="s">
        <v>136</v>
      </c>
    </row>
    <row r="14" spans="1:8" ht="20.100000000000001" customHeight="1" x14ac:dyDescent="0.25">
      <c r="A14" s="17" t="str">
        <f>HYPERLINK("#'6.2.1.1-2 Pasture residue N2O'!A1", "6.2.1.1-2 Pasture residue N2O")</f>
        <v>6.2.1.1-2 Pasture residue N2O</v>
      </c>
    </row>
    <row r="15" spans="1:8" ht="20.100000000000001" customHeight="1" x14ac:dyDescent="0.25">
      <c r="A15" s="17" t="str">
        <f>HYPERLINK("#'6.3.1.1-2 Leaching and runoff'!A1", "6.3.1.1-2 Leaching and runoff")</f>
        <v>6.3.1.1-2 Leaching and runoff</v>
      </c>
      <c r="D15" s="6" t="s">
        <v>137</v>
      </c>
    </row>
    <row r="16" spans="1:8" ht="20.100000000000001" customHeight="1" x14ac:dyDescent="0.25">
      <c r="A16" s="17" t="str">
        <f>HYPERLINK("#'6.4.1.1-2 Residue burning'!A1", "6.4.1.1-2 Residue burning")</f>
        <v>6.4.1.1-2 Residue burning</v>
      </c>
    </row>
    <row r="17" spans="1:6" ht="20.100000000000001" customHeight="1" x14ac:dyDescent="0.25">
      <c r="A17" s="17"/>
      <c r="D17" s="1" t="str">
        <f>E10 &amp; " " &amp; _xlfn.XLOOKUP(E10,Table_SourceData_CropPurposeAndYields[Purpose], Table_SourceData_CropPurposeAndYields[harvest term]) &amp; " per hectare¹"</f>
        <v>Cash grain crop yield per hectare¹</v>
      </c>
      <c r="E17" s="114">
        <v>10</v>
      </c>
      <c r="F17" s="2" t="str">
        <f>"Tonnes " &amp; _xlfn.XLOOKUP(E10, Table_SourceData_CropPurposeAndYields[Purpose], Table_SourceData_CropPurposeAndYields[Per hectare unit], FALSE) &amp; " per hectare"</f>
        <v>Tonnes grain per hectare</v>
      </c>
    </row>
    <row r="18" spans="1:6" ht="20.100000000000001" customHeight="1" x14ac:dyDescent="0.25">
      <c r="A18" s="18" t="s">
        <v>2</v>
      </c>
      <c r="D18" s="1" t="s">
        <v>231</v>
      </c>
      <c r="E18" s="50" cm="1">
        <f t="array" ref="E18">_xlfn.IFS(E10="Cash grain crop", Common_InputFunctions.Utility_LookupValueInTableNumber(E9, Table_SourceData_CropAttributes[Crop type],Table_SourceData_CropAttributes[Residue: Crop ratio]), E10="Cash crop for hay/silage", 0, E10="Cover crop", 1)</f>
        <v>1.5</v>
      </c>
    </row>
    <row r="19" spans="1:6" ht="20.100000000000001" customHeight="1" x14ac:dyDescent="0.25">
      <c r="A19" s="17" t="str">
        <f>HYPERLINK("#'Constants - Ag Residue'!A1", "Constants - Ag Residue")</f>
        <v>Constants - Ag Residue</v>
      </c>
      <c r="D19" s="1" t="s">
        <v>140</v>
      </c>
      <c r="E19" s="50">
        <f>E17*E18</f>
        <v>15</v>
      </c>
      <c r="F19" s="2" t="s">
        <v>139</v>
      </c>
    </row>
    <row r="20" spans="1:6" ht="20.100000000000001" customHeight="1" x14ac:dyDescent="0.25">
      <c r="A20" s="17" t="str">
        <f>HYPERLINK("#'Constants - Common'!A1", "Constants - Common")</f>
        <v>Constants - Common</v>
      </c>
      <c r="D20" s="1" t="s">
        <v>138</v>
      </c>
      <c r="E20" s="50">
        <f>E17+E19</f>
        <v>25</v>
      </c>
      <c r="F20" s="2" t="s">
        <v>139</v>
      </c>
    </row>
    <row r="21" spans="1:6" ht="20.100000000000001" customHeight="1" x14ac:dyDescent="0.25"/>
    <row r="22" spans="1:6" ht="20.100000000000001" customHeight="1" x14ac:dyDescent="0.25">
      <c r="D22" s="51" t="s">
        <v>232</v>
      </c>
      <c r="E22" s="50">
        <f>E17*E13</f>
        <v>10000</v>
      </c>
      <c r="F22" s="2" t="str">
        <f>"Tonnes " &amp; _xlfn.XLOOKUP(E10, Table_SourceData_CropPurposeAndYields[Purpose], Table_SourceData_CropPurposeAndYields[Harvest uit], FALSE)</f>
        <v>Tonnes grain</v>
      </c>
    </row>
    <row r="23" spans="1:6" ht="20.100000000000001" customHeight="1" x14ac:dyDescent="0.25"/>
    <row r="24" spans="1:6" ht="20.100000000000001" customHeight="1" x14ac:dyDescent="0.25">
      <c r="D24" s="98" t="str">
        <f>"¹ " &amp; _xlfn.XLOOKUP(E10, Table_SourceData_CropPurposeAndYields[Purpose],Table_SourceData_CropPurposeAndYields[Yield note])</f>
        <v>¹ Yield is the grain harvested from the plant</v>
      </c>
    </row>
    <row r="25" spans="1:6" ht="20.100000000000001" customHeight="1" x14ac:dyDescent="0.25">
      <c r="D25" s="98" t="str">
        <f>"² " &amp; _xlfn.XLOOKUP(E10, Table_SourceData_CropPurposeAndYields[Purpose],Table_SourceData_CropPurposeAndYields[Residue crop ratio note])</f>
        <v>² Residue to crop ratio is provided from default values</v>
      </c>
    </row>
    <row r="26" spans="1:6" ht="20.100000000000001" customHeight="1" x14ac:dyDescent="0.25">
      <c r="D26" s="98" t="str">
        <f>"³ " &amp; _xlfn.XLOOKUP(E10,Table_SourceData_CropPurposeAndYields[Purpose],Table_SourceData_CropPurposeAndYields[Total production note])</f>
        <v>³ Total production is the total grain harvested</v>
      </c>
    </row>
    <row r="27" spans="1:6" ht="20.100000000000001" customHeight="1" x14ac:dyDescent="0.25"/>
    <row r="28" spans="1:6" ht="20.100000000000001" customHeight="1" x14ac:dyDescent="0.25">
      <c r="D28" s="6" t="s">
        <v>141</v>
      </c>
    </row>
    <row r="29" spans="1:6" ht="20.100000000000001" customHeight="1" x14ac:dyDescent="0.25">
      <c r="A29" s="17"/>
    </row>
    <row r="30" spans="1:6" ht="20.100000000000001" customHeight="1" x14ac:dyDescent="0.25">
      <c r="A30" s="17"/>
      <c r="D30" s="1" t="str">
        <f>"Residue after " &amp; VLOOKUP(E10,'Constants - Ag Residue'!D8:G10, 4, FALSE)</f>
        <v>Residue after harvest</v>
      </c>
      <c r="E30" s="50">
        <f>E19*E13</f>
        <v>15000</v>
      </c>
      <c r="F30" s="2" t="s">
        <v>142</v>
      </c>
    </row>
    <row r="31" spans="1:6" ht="20.100000000000001" customHeight="1" x14ac:dyDescent="0.25">
      <c r="A31" s="61"/>
    </row>
    <row r="32" spans="1:6" ht="20.100000000000001" customHeight="1" x14ac:dyDescent="0.25">
      <c r="A32" s="61"/>
      <c r="D32" s="46" t="s">
        <v>143</v>
      </c>
    </row>
    <row r="33" spans="1:8" ht="20.100000000000001" customHeight="1" x14ac:dyDescent="0.25">
      <c r="A33" s="17"/>
      <c r="D33" s="1" t="s">
        <v>144</v>
      </c>
      <c r="E33" s="124">
        <v>0.1</v>
      </c>
      <c r="F33" s="2" t="s">
        <v>145</v>
      </c>
    </row>
    <row r="34" spans="1:8" ht="20.100000000000001" customHeight="1" x14ac:dyDescent="0.25">
      <c r="D34" s="1" t="s">
        <v>146</v>
      </c>
      <c r="E34" s="114">
        <v>60</v>
      </c>
      <c r="F34" s="2" t="s">
        <v>147</v>
      </c>
    </row>
    <row r="35" spans="1:8" ht="20.100000000000001" customHeight="1" x14ac:dyDescent="0.25">
      <c r="D35" s="51" t="s">
        <v>148</v>
      </c>
      <c r="E35" s="135">
        <f>IFERROR((E36*10^3)/E34, 0)</f>
        <v>25000</v>
      </c>
      <c r="F35" s="2" t="s">
        <v>149</v>
      </c>
    </row>
    <row r="36" spans="1:8" ht="20.100000000000001" customHeight="1" x14ac:dyDescent="0.25">
      <c r="D36" s="51" t="s">
        <v>150</v>
      </c>
      <c r="E36" s="50">
        <f>E30*E33</f>
        <v>1500</v>
      </c>
      <c r="F36" s="2" t="s">
        <v>142</v>
      </c>
    </row>
    <row r="37" spans="1:8" ht="20.100000000000001" customHeight="1" x14ac:dyDescent="0.25">
      <c r="C37" s="112"/>
    </row>
    <row r="38" spans="1:8" ht="20.100000000000001" customHeight="1" x14ac:dyDescent="0.25">
      <c r="C38" s="112"/>
      <c r="D38" s="46" t="s">
        <v>151</v>
      </c>
    </row>
    <row r="39" spans="1:8" ht="20.100000000000001" customHeight="1" x14ac:dyDescent="0.25">
      <c r="A39" s="17"/>
      <c r="D39" s="1" t="s">
        <v>152</v>
      </c>
      <c r="E39" s="124">
        <v>0.01</v>
      </c>
      <c r="F39" s="2" t="s">
        <v>145</v>
      </c>
    </row>
    <row r="40" spans="1:8" s="113" customFormat="1" ht="20.100000000000001" customHeight="1" x14ac:dyDescent="0.25">
      <c r="C40" s="1"/>
      <c r="D40" s="1" t="s">
        <v>153</v>
      </c>
      <c r="E40" s="50">
        <f>E30*E39</f>
        <v>150</v>
      </c>
      <c r="F40" s="2" t="s">
        <v>142</v>
      </c>
      <c r="G40" s="1"/>
      <c r="H40" s="1"/>
    </row>
    <row r="41" spans="1:8" s="113" customFormat="1" ht="20.100000000000001" customHeight="1" x14ac:dyDescent="0.25">
      <c r="A41" s="115"/>
      <c r="C41" s="1"/>
      <c r="D41" s="1"/>
      <c r="E41" s="1"/>
      <c r="F41" s="1"/>
      <c r="G41" s="1"/>
      <c r="H41" s="1"/>
    </row>
    <row r="42" spans="1:8" ht="20.100000000000001" customHeight="1" x14ac:dyDescent="0.25">
      <c r="D42" s="46" t="s">
        <v>154</v>
      </c>
    </row>
    <row r="43" spans="1:8" ht="20.100000000000001" customHeight="1" x14ac:dyDescent="0.25">
      <c r="D43" s="1" t="s">
        <v>155</v>
      </c>
      <c r="E43" s="124">
        <v>0.3</v>
      </c>
      <c r="F43" s="2" t="s">
        <v>145</v>
      </c>
    </row>
    <row r="44" spans="1:8" ht="20.100000000000001" customHeight="1" x14ac:dyDescent="0.25">
      <c r="A44" s="123" t="str">
        <f>HYPERLINK("#A1", "▲ Back to top")</f>
        <v>▲ Back to top</v>
      </c>
      <c r="D44" s="1" t="s">
        <v>156</v>
      </c>
      <c r="E44" s="50">
        <f>E30*E43</f>
        <v>4500</v>
      </c>
      <c r="F44" s="2" t="s">
        <v>142</v>
      </c>
    </row>
    <row r="45" spans="1:8" ht="20.100000000000001" customHeight="1" x14ac:dyDescent="0.25"/>
    <row r="46" spans="1:8" ht="20.100000000000001" customHeight="1" x14ac:dyDescent="0.25">
      <c r="D46" s="1" t="s">
        <v>157</v>
      </c>
      <c r="E46" s="50">
        <f>E30-E36-E40-E44</f>
        <v>8850</v>
      </c>
      <c r="F46" s="2" t="s">
        <v>142</v>
      </c>
    </row>
    <row r="47" spans="1:8" ht="20.100000000000001" customHeight="1" x14ac:dyDescent="0.25"/>
    <row r="48" spans="1:8" ht="20.100000000000001" customHeight="1" x14ac:dyDescent="0.25">
      <c r="D48" s="6"/>
    </row>
    <row r="49" spans="4:6" ht="20.100000000000001" customHeight="1" x14ac:dyDescent="0.25"/>
    <row r="50" spans="4:6" ht="20.100000000000001" customHeight="1" x14ac:dyDescent="0.25">
      <c r="D50" s="10"/>
      <c r="F50" s="2"/>
    </row>
    <row r="51" spans="4:6" ht="20.100000000000001" customHeight="1" x14ac:dyDescent="0.25"/>
    <row r="52" spans="4:6" ht="20.100000000000001" customHeight="1" x14ac:dyDescent="0.25"/>
    <row r="53" spans="4:6" ht="20.100000000000001" customHeight="1" x14ac:dyDescent="0.25"/>
    <row r="54" spans="4:6" ht="20.100000000000001" customHeight="1" x14ac:dyDescent="0.25"/>
    <row r="55" spans="4:6" ht="20.100000000000001" customHeight="1" x14ac:dyDescent="0.25"/>
    <row r="56" spans="4:6" ht="20.100000000000001" customHeight="1" x14ac:dyDescent="0.25"/>
    <row r="57" spans="4:6" ht="20.100000000000001" customHeight="1" x14ac:dyDescent="0.25"/>
    <row r="58" spans="4:6" ht="20.100000000000001" customHeight="1" x14ac:dyDescent="0.25"/>
    <row r="59" spans="4:6" ht="20.100000000000001" customHeight="1" x14ac:dyDescent="0.25"/>
    <row r="60" spans="4:6" ht="20.100000000000001" customHeight="1" x14ac:dyDescent="0.25"/>
    <row r="61" spans="4:6" ht="20.100000000000001" customHeight="1" x14ac:dyDescent="0.25"/>
    <row r="62" spans="4:6" ht="20.100000000000001" customHeight="1" x14ac:dyDescent="0.25"/>
    <row r="63" spans="4:6" ht="20.100000000000001" customHeight="1" x14ac:dyDescent="0.25"/>
    <row r="64" spans="4:6" ht="20.100000000000001" customHeight="1" x14ac:dyDescent="0.25"/>
    <row r="65" ht="20.100000000000001" customHeight="1" x14ac:dyDescent="0.25"/>
    <row r="66" ht="20.100000000000001" customHeight="1" x14ac:dyDescent="0.25"/>
    <row r="67" ht="20.100000000000001" customHeight="1" x14ac:dyDescent="0.25"/>
    <row r="68" ht="20.100000000000001" customHeight="1" x14ac:dyDescent="0.25"/>
    <row r="69" ht="20.100000000000001" customHeight="1" x14ac:dyDescent="0.25"/>
    <row r="70" ht="20.100000000000001" customHeight="1" x14ac:dyDescent="0.25"/>
    <row r="71" ht="20.100000000000001" customHeight="1" x14ac:dyDescent="0.25"/>
    <row r="72" ht="20.100000000000001" customHeight="1" x14ac:dyDescent="0.25"/>
    <row r="73" ht="20.100000000000001" customHeight="1" x14ac:dyDescent="0.25"/>
    <row r="74" ht="20.100000000000001" customHeight="1" x14ac:dyDescent="0.25"/>
    <row r="75" ht="20.100000000000001" customHeight="1" x14ac:dyDescent="0.25"/>
    <row r="76" ht="20.100000000000001" customHeight="1" x14ac:dyDescent="0.25"/>
    <row r="77" ht="20.100000000000001" customHeight="1" x14ac:dyDescent="0.25"/>
    <row r="78" ht="20.100000000000001" customHeight="1" x14ac:dyDescent="0.25"/>
    <row r="79" ht="20.100000000000001" customHeight="1" x14ac:dyDescent="0.25"/>
    <row r="80"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row r="361" spans="4:4" x14ac:dyDescent="0.25">
      <c r="D361" s="98"/>
    </row>
  </sheetData>
  <conditionalFormatting sqref="E210:G210">
    <cfRule type="cellIs" dxfId="12" priority="79" operator="lessThan">
      <formula>0</formula>
    </cfRule>
  </conditionalFormatting>
  <conditionalFormatting sqref="F46">
    <cfRule type="cellIs" dxfId="11" priority="62" operator="lessThan">
      <formula>0</formula>
    </cfRule>
  </conditionalFormatting>
  <conditionalFormatting sqref="F126:F127">
    <cfRule type="cellIs" dxfId="10" priority="21" operator="lessThan">
      <formula>0</formula>
    </cfRule>
  </conditionalFormatting>
  <conditionalFormatting sqref="F138:F139">
    <cfRule type="cellIs" dxfId="9" priority="20" operator="lessThan">
      <formula>0</formula>
    </cfRule>
  </conditionalFormatting>
  <conditionalFormatting sqref="F150:F151">
    <cfRule type="cellIs" dxfId="8" priority="19" operator="lessThan">
      <formula>0</formula>
    </cfRule>
  </conditionalFormatting>
  <conditionalFormatting sqref="F162:F163">
    <cfRule type="cellIs" dxfId="7" priority="18" operator="lessThan">
      <formula>0</formula>
    </cfRule>
  </conditionalFormatting>
  <conditionalFormatting sqref="F250:F251">
    <cfRule type="cellIs" dxfId="6" priority="93" operator="lessThan">
      <formula>0</formula>
    </cfRule>
  </conditionalFormatting>
  <conditionalFormatting sqref="F255:F256">
    <cfRule type="cellIs" dxfId="5" priority="92" operator="lessThan">
      <formula>0</formula>
    </cfRule>
  </conditionalFormatting>
  <conditionalFormatting sqref="F260:F261">
    <cfRule type="cellIs" dxfId="4" priority="91" operator="lessThan">
      <formula>0</formula>
    </cfRule>
  </conditionalFormatting>
  <conditionalFormatting sqref="F284:F285">
    <cfRule type="cellIs" dxfId="3" priority="85" operator="lessThan">
      <formula>0</formula>
    </cfRule>
  </conditionalFormatting>
  <conditionalFormatting sqref="F289:F290">
    <cfRule type="cellIs" dxfId="2" priority="84" operator="lessThan">
      <formula>0</formula>
    </cfRule>
  </conditionalFormatting>
  <conditionalFormatting sqref="F294:F295">
    <cfRule type="cellIs" dxfId="1" priority="83" operator="lessThan">
      <formula>0</formula>
    </cfRule>
  </conditionalFormatting>
  <dataValidations count="8">
    <dataValidation type="list" allowBlank="1" showInputMessage="1" showErrorMessage="1" sqref="D277" xr:uid="{4E913AB3-F90B-4C35-BCE1-5DBB8FC05107}">
      <formula1>INDIRECT("Table_SourceData_PoultryMMSStage1[MMS]")</formula1>
    </dataValidation>
    <dataValidation type="list" allowBlank="1" showInputMessage="1" showErrorMessage="1" sqref="E225" xr:uid="{9FB53635-991F-44AA-A123-E8ABEF9EE0A6}">
      <formula1>INDIRECT("Table_SourceData_Dairy_ProductionSystemTemplates[Area]")</formula1>
    </dataValidation>
    <dataValidation type="list" allowBlank="1" showInputMessage="1" showErrorMessage="1" sqref="E249 E254 E259 E293 E288 E283 E161 E149 E125 E137" xr:uid="{00A4EA4C-90D3-4150-979D-4D71C7F37A31}">
      <formula1>"Yes, No"</formula1>
    </dataValidation>
    <dataValidation type="list" allowBlank="1" showInputMessage="1" showErrorMessage="1" sqref="E65" xr:uid="{DBA884B0-B52E-420E-8FD2-21B082EB75E2}">
      <formula1>INDIRECT("Table_SourceData_Swine_IrrigationMethods[Irrigation method]")</formula1>
    </dataValidation>
    <dataValidation type="list" allowBlank="1" showInputMessage="1" showErrorMessage="1" sqref="E64" xr:uid="{B95E29DC-96D0-4475-A29E-3F3A3B60CEA1}">
      <formula1>INDIRECT("Table_SourceData_Swine_CropProdSystems[Production system]")</formula1>
    </dataValidation>
    <dataValidation type="list" allowBlank="1" showInputMessage="1" showErrorMessage="1" sqref="E10" xr:uid="{592DACDE-0EAE-4ADF-A3F2-183C51E20C70}">
      <formula1>INDIRECT("Table_SourceData_CropPurposeAndYields[Purpose]")</formula1>
    </dataValidation>
    <dataValidation type="list" allowBlank="1" showInputMessage="1" showErrorMessage="1" sqref="E9" xr:uid="{2C3CA787-BB6D-4639-BF2A-0185599765E7}">
      <formula1>INDIRECT("Table_SourceData_CropAttributes[Crop type]")</formula1>
    </dataValidation>
    <dataValidation type="list" allowBlank="1" showInputMessage="1" showErrorMessage="1" sqref="E11" xr:uid="{9CB8E160-F682-4FAB-8A2E-FE2008746B2B}">
      <formula1>INDIRECT("Table_SourceData_Fertiliser_IrrigationMethods[Irrigation method]")</formula1>
    </dataValidation>
  </dataValidations>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4446E5-1B14-4357-B6E7-A941464E9D52}">
  <dimension ref="A1:G39"/>
  <sheetViews>
    <sheetView showGridLines="0" topLeftCell="A5" workbookViewId="0">
      <selection activeCell="E9" sqref="E9"/>
    </sheetView>
  </sheetViews>
  <sheetFormatPr defaultRowHeight="15.75" x14ac:dyDescent="0.25"/>
  <cols>
    <col min="1" max="1" width="30.7109375" customWidth="1"/>
    <col min="2" max="2" width="4.7109375" customWidth="1"/>
    <col min="3" max="3" width="4.7109375" style="1" customWidth="1"/>
    <col min="4" max="4" width="50.7109375" style="1" customWidth="1"/>
    <col min="5" max="6" width="30.7109375" style="1" customWidth="1"/>
    <col min="7" max="7" width="4.7109375" style="1" customWidth="1"/>
  </cols>
  <sheetData>
    <row r="1" spans="1:7" ht="30" customHeight="1" x14ac:dyDescent="0.35">
      <c r="A1" s="62" t="e" vm="1">
        <v>#VALUE!</v>
      </c>
      <c r="C1" s="62" t="s">
        <v>197</v>
      </c>
      <c r="D1" s="62"/>
      <c r="E1" s="62"/>
      <c r="F1" s="62"/>
      <c r="G1" s="62"/>
    </row>
    <row r="2" spans="1:7" ht="20.100000000000001" customHeight="1" x14ac:dyDescent="0.25">
      <c r="C2" s="9"/>
      <c r="D2" s="9"/>
      <c r="E2" s="9"/>
      <c r="F2" s="9"/>
      <c r="G2" s="9"/>
    </row>
    <row r="3" spans="1:7" ht="20.100000000000001" customHeight="1" x14ac:dyDescent="0.25">
      <c r="A3" s="17" t="str">
        <f>HYPERLINK("#'Home'!A1", "Home")</f>
        <v>Home</v>
      </c>
      <c r="C3" s="15"/>
      <c r="D3" s="15"/>
      <c r="E3" s="15"/>
      <c r="F3" s="15"/>
      <c r="G3" s="15"/>
    </row>
    <row r="4" spans="1:7" ht="20.100000000000001" customHeight="1" x14ac:dyDescent="0.25">
      <c r="A4" s="17" t="str">
        <f>HYPERLINK("#'Overview'!A1", "Overview")</f>
        <v>Overview</v>
      </c>
    </row>
    <row r="5" spans="1:7" ht="20.100000000000001" customHeight="1" x14ac:dyDescent="0.25">
      <c r="A5" s="17" t="str">
        <f>HYPERLINK("#'Results'!A1", "Results")</f>
        <v>Results</v>
      </c>
      <c r="D5" s="6" t="s">
        <v>131</v>
      </c>
    </row>
    <row r="6" spans="1:7" ht="20.100000000000001" customHeight="1" x14ac:dyDescent="0.25">
      <c r="A6" s="16"/>
    </row>
    <row r="7" spans="1:7" ht="20.100000000000001" customHeight="1" x14ac:dyDescent="0.25">
      <c r="A7" s="20" t="s">
        <v>1</v>
      </c>
      <c r="D7" s="21" t="s">
        <v>132</v>
      </c>
      <c r="E7" s="21"/>
      <c r="F7" s="21"/>
    </row>
    <row r="8" spans="1:7" ht="20.100000000000001" customHeight="1" x14ac:dyDescent="0.25">
      <c r="A8" s="17" t="str">
        <f>HYPERLINK("#'Input - Site'!A1", "Site")</f>
        <v>Site</v>
      </c>
    </row>
    <row r="9" spans="1:7" ht="20.100000000000001" customHeight="1" x14ac:dyDescent="0.25">
      <c r="A9" s="17" t="str">
        <f>HYPERLINK("#'Input - Crop'!A1", "Crop")</f>
        <v>Crop</v>
      </c>
      <c r="D9" s="1" t="s">
        <v>181</v>
      </c>
      <c r="E9" s="39" t="s">
        <v>222</v>
      </c>
      <c r="F9" s="2" t="s">
        <v>196</v>
      </c>
    </row>
    <row r="10" spans="1:7" ht="20.100000000000001" customHeight="1" x14ac:dyDescent="0.25">
      <c r="A10" s="106" t="str">
        <f>HYPERLINK("#'Input - Pasture'!A1", "Pasture")</f>
        <v>Pasture</v>
      </c>
      <c r="D10" s="1" t="s">
        <v>86</v>
      </c>
      <c r="E10" s="39" t="s">
        <v>226</v>
      </c>
      <c r="F10" s="2" t="s">
        <v>196</v>
      </c>
    </row>
    <row r="11" spans="1:7" ht="20.100000000000001" customHeight="1" x14ac:dyDescent="0.25"/>
    <row r="12" spans="1:7" ht="20.100000000000001" customHeight="1" x14ac:dyDescent="0.25">
      <c r="A12" s="19" t="s">
        <v>69</v>
      </c>
      <c r="D12" s="1" t="s">
        <v>189</v>
      </c>
      <c r="E12" s="114">
        <v>1000</v>
      </c>
      <c r="F12" s="2" t="s">
        <v>136</v>
      </c>
    </row>
    <row r="13" spans="1:7" ht="20.100000000000001" customHeight="1" x14ac:dyDescent="0.25">
      <c r="A13" s="17" t="str">
        <f>HYPERLINK("#'6.1.1.1-2 Crop residue N2O'!A1", "6.1.1.1-2 Crop residue N2O")</f>
        <v>6.1.1.1-2 Crop residue N2O</v>
      </c>
    </row>
    <row r="14" spans="1:7" ht="20.100000000000001" customHeight="1" x14ac:dyDescent="0.25">
      <c r="A14" s="17" t="str">
        <f>HYPERLINK("#'6.2.1.1-2 Pasture residue N2O'!A1", "6.2.1.1-2 Pasture residue N2O")</f>
        <v>6.2.1.1-2 Pasture residue N2O</v>
      </c>
      <c r="D14" s="6" t="s">
        <v>137</v>
      </c>
    </row>
    <row r="15" spans="1:7" ht="20.100000000000001" customHeight="1" x14ac:dyDescent="0.25">
      <c r="A15" s="17" t="str">
        <f>HYPERLINK("#'6.3.1.1-2 Leaching and runoff'!A1", "6.3.1.1-2 Leaching and runoff")</f>
        <v>6.3.1.1-2 Leaching and runoff</v>
      </c>
    </row>
    <row r="16" spans="1:7" ht="20.100000000000001" customHeight="1" x14ac:dyDescent="0.25">
      <c r="A16" s="17" t="str">
        <f>HYPERLINK("#'6.4.1.1-2 Residue burning'!A1", "6.4.1.1-2 Residue burning")</f>
        <v>6.4.1.1-2 Residue burning</v>
      </c>
      <c r="D16" s="134" t="s">
        <v>190</v>
      </c>
      <c r="E16" s="85"/>
      <c r="F16" s="81"/>
    </row>
    <row r="17" spans="1:6" ht="20.100000000000001" customHeight="1" x14ac:dyDescent="0.25">
      <c r="A17" s="17"/>
      <c r="D17" s="87" t="s">
        <v>191</v>
      </c>
      <c r="E17" s="84"/>
      <c r="F17" s="82"/>
    </row>
    <row r="18" spans="1:6" ht="20.100000000000001" customHeight="1" x14ac:dyDescent="0.25">
      <c r="A18" s="18" t="s">
        <v>2</v>
      </c>
    </row>
    <row r="19" spans="1:6" ht="20.100000000000001" customHeight="1" x14ac:dyDescent="0.25">
      <c r="A19" s="17" t="str">
        <f>HYPERLINK("#'Constants - Ag Residue'!A1", "Constants - Ag Residue")</f>
        <v>Constants - Ag Residue</v>
      </c>
      <c r="D19" s="1" t="s">
        <v>192</v>
      </c>
      <c r="E19" s="114">
        <f>_xlfn.XLOOKUP(E9, Table_SourceData_PastureAttributes[Pasture type],Table_SourceData_PastureAttributes[Average Yield (t DM ha) Yp])</f>
        <v>8.34</v>
      </c>
      <c r="F19" s="2" t="s">
        <v>193</v>
      </c>
    </row>
    <row r="20" spans="1:6" ht="20.100000000000001" customHeight="1" x14ac:dyDescent="0.25">
      <c r="A20" s="17" t="str">
        <f>HYPERLINK("#'Constants - Common'!A1", "Constants - Common")</f>
        <v>Constants - Common</v>
      </c>
      <c r="D20" s="1" t="s">
        <v>194</v>
      </c>
      <c r="E20" s="50">
        <f>E12*E19</f>
        <v>8340</v>
      </c>
      <c r="F20" s="2" t="s">
        <v>142</v>
      </c>
    </row>
    <row r="21" spans="1:6" ht="20.100000000000001" customHeight="1" x14ac:dyDescent="0.25"/>
    <row r="22" spans="1:6" ht="20.100000000000001" customHeight="1" x14ac:dyDescent="0.25"/>
    <row r="23" spans="1:6" ht="20.100000000000001" customHeight="1" x14ac:dyDescent="0.25">
      <c r="D23" s="6" t="s">
        <v>141</v>
      </c>
    </row>
    <row r="24" spans="1:6" ht="20.100000000000001" customHeight="1" x14ac:dyDescent="0.25"/>
    <row r="25" spans="1:6" ht="20.100000000000001" customHeight="1" x14ac:dyDescent="0.25">
      <c r="D25" s="1" t="s">
        <v>195</v>
      </c>
      <c r="E25" s="114">
        <v>500</v>
      </c>
      <c r="F25" s="2" t="s">
        <v>136</v>
      </c>
    </row>
    <row r="26" spans="1:6" ht="20.100000000000001" customHeight="1" x14ac:dyDescent="0.25"/>
    <row r="27" spans="1:6" ht="20.100000000000001" customHeight="1" x14ac:dyDescent="0.25"/>
    <row r="28" spans="1:6" ht="20.100000000000001" customHeight="1" x14ac:dyDescent="0.25"/>
    <row r="29" spans="1:6" ht="20.100000000000001" customHeight="1" x14ac:dyDescent="0.25"/>
    <row r="30" spans="1:6" ht="20.100000000000001" customHeight="1" x14ac:dyDescent="0.25"/>
    <row r="31" spans="1:6" ht="20.100000000000001" customHeight="1" x14ac:dyDescent="0.25"/>
    <row r="32" spans="1:6" ht="20.100000000000001" customHeight="1" x14ac:dyDescent="0.25"/>
    <row r="33" ht="20.100000000000001" customHeight="1" x14ac:dyDescent="0.25"/>
    <row r="34" ht="20.100000000000001" customHeight="1" x14ac:dyDescent="0.25"/>
    <row r="35" ht="20.100000000000001" customHeight="1" x14ac:dyDescent="0.25"/>
    <row r="36" ht="20.100000000000001" customHeight="1" x14ac:dyDescent="0.25"/>
    <row r="37" ht="20.100000000000001" customHeight="1" x14ac:dyDescent="0.25"/>
    <row r="38" ht="20.100000000000001" customHeight="1" x14ac:dyDescent="0.25"/>
    <row r="39" ht="20.100000000000001" customHeight="1" x14ac:dyDescent="0.25"/>
  </sheetData>
  <conditionalFormatting sqref="D16:G16">
    <cfRule type="expression" dxfId="0" priority="1">
      <formula>$D$24&gt;$D$11</formula>
    </cfRule>
  </conditionalFormatting>
  <dataValidations count="2">
    <dataValidation type="list" allowBlank="1" showInputMessage="1" showErrorMessage="1" sqref="E9" xr:uid="{6A28EF6D-8A45-4725-BF96-0B0C797CE4BE}">
      <formula1>INDIRECT("Table_SourceData_PastureAttributes[Pasture type]")</formula1>
    </dataValidation>
    <dataValidation type="list" allowBlank="1" showInputMessage="1" showErrorMessage="1" sqref="E10" xr:uid="{FF0C78E2-6745-4837-B7E3-1C1338CAEED4}">
      <formula1>INDIRECT("Table_SourceData_Fertiliser_IrrigationMethods[Irrigation method]")</formula1>
    </dataValidation>
  </dataValidations>
  <pageMargins left="0.7" right="0.7" top="0.75" bottom="0.75" header="0.3" footer="0.3"/>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FC1CB6-2463-438A-90A4-6F54247DF8D8}">
  <dimension ref="A1:T342"/>
  <sheetViews>
    <sheetView showGridLines="0" topLeftCell="D5" zoomScaleNormal="100" workbookViewId="0">
      <selection activeCell="D28" sqref="D28"/>
    </sheetView>
  </sheetViews>
  <sheetFormatPr defaultRowHeight="15.75" x14ac:dyDescent="0.25"/>
  <cols>
    <col min="1" max="1" width="30.7109375" customWidth="1"/>
    <col min="2" max="2" width="4.7109375" customWidth="1"/>
    <col min="3" max="3" width="4.7109375" style="1" customWidth="1"/>
    <col min="4" max="9" width="30.7109375" style="1" customWidth="1"/>
    <col min="10" max="10" width="4.7109375" style="1" customWidth="1"/>
    <col min="11" max="11" width="4.7109375" customWidth="1"/>
    <col min="12" max="12" width="4.7109375" style="1" customWidth="1"/>
    <col min="13" max="19" width="30.7109375" style="1" customWidth="1"/>
    <col min="20" max="20" width="4.7109375" style="1" customWidth="1"/>
  </cols>
  <sheetData>
    <row r="1" spans="1:20" s="8" customFormat="1" ht="30" customHeight="1" x14ac:dyDescent="0.35">
      <c r="A1" s="62" t="e" vm="1">
        <v>#VALUE!</v>
      </c>
      <c r="C1" s="8" t="s">
        <v>129</v>
      </c>
      <c r="K1"/>
    </row>
    <row r="2" spans="1:20" s="9" customFormat="1" ht="20.100000000000001" customHeight="1" x14ac:dyDescent="0.25">
      <c r="K2"/>
    </row>
    <row r="3" spans="1:20" ht="20.100000000000001" customHeight="1" x14ac:dyDescent="0.25">
      <c r="A3" s="17" t="str">
        <f>HYPERLINK("#'Home'!A1", "Home")</f>
        <v>Home</v>
      </c>
      <c r="C3" s="4"/>
      <c r="D3" s="4" t="s">
        <v>80</v>
      </c>
      <c r="E3" s="4"/>
      <c r="F3" s="4"/>
      <c r="G3" s="4"/>
      <c r="H3" s="4"/>
      <c r="I3" s="4"/>
      <c r="J3" s="4"/>
      <c r="L3" s="4"/>
      <c r="M3" s="4" t="s">
        <v>81</v>
      </c>
      <c r="N3" s="4"/>
      <c r="O3" s="4"/>
      <c r="P3" s="4"/>
      <c r="Q3" s="4"/>
      <c r="R3" s="4"/>
      <c r="S3" s="4"/>
      <c r="T3" s="4"/>
    </row>
    <row r="4" spans="1:20" ht="20.100000000000001" customHeight="1" x14ac:dyDescent="0.25">
      <c r="A4" s="17" t="str">
        <f>HYPERLINK("#'Overview'!A1", "Overview")</f>
        <v>Overview</v>
      </c>
    </row>
    <row r="5" spans="1:20" ht="20.100000000000001" customHeight="1" x14ac:dyDescent="0.25">
      <c r="A5" s="17" t="str">
        <f>HYPERLINK("#'Results'!A1", "Results")</f>
        <v>Results</v>
      </c>
      <c r="D5" s="6" t="str" cm="1">
        <f t="array" ref="D5">AgResidue_Equations_CropResidue.VEERG_6_1_1_1__2__MassOfNitrogenInCropResidues_Title()</f>
        <v>Mass of nitrogen in crop residues returned to the soil</v>
      </c>
      <c r="E5" s="22"/>
      <c r="F5" s="22"/>
      <c r="G5" s="22"/>
      <c r="H5" s="22"/>
      <c r="L5" s="22"/>
      <c r="M5" s="6" t="str" cm="1">
        <f t="array" ref="M5">AgResidue_Equations_CropResidue.VEERG_6_1_1_2__1__FractionOfCropResidueRemovedBaled_Title()</f>
        <v>Fraction of crop residue that is removed for crop c, calculated where residues are baled</v>
      </c>
      <c r="N5" s="22"/>
      <c r="O5" s="22"/>
      <c r="P5" s="22"/>
      <c r="Q5" s="22"/>
    </row>
    <row r="6" spans="1:20" ht="20.100000000000001" customHeight="1" x14ac:dyDescent="0.25">
      <c r="A6" s="16"/>
      <c r="D6" s="5" t="str" cm="1">
        <f t="array" ref="D6">AgResidue_Equations_CropResidue.VEERG_6_1_1_1__2__MassOfNitrogenInCropResidues_Source()</f>
        <v>VEERG 2026: 6.1.1.1, Equation (2)</v>
      </c>
      <c r="E6" s="22"/>
      <c r="F6" s="22"/>
      <c r="G6" s="22"/>
      <c r="H6" s="22"/>
      <c r="J6" s="22"/>
      <c r="L6" s="22"/>
      <c r="M6" s="5" t="str" cm="1">
        <f t="array" ref="M6">AgResidue_Equations_CropResidue.VEERG_6_1_1_2__1__FractionOfCropResidueRemovedBaled_Source()</f>
        <v>VEERG 2026: 6.1.1.2, Equation (1)</v>
      </c>
      <c r="N6" s="22"/>
      <c r="O6" s="22"/>
      <c r="P6" s="22"/>
      <c r="Q6" s="22"/>
    </row>
    <row r="7" spans="1:20" ht="20.100000000000001" customHeight="1" x14ac:dyDescent="0.25">
      <c r="A7" s="20" t="s">
        <v>1</v>
      </c>
      <c r="D7" s="13" t="s">
        <v>22</v>
      </c>
      <c r="E7" s="13" t="str" cm="1">
        <f t="array" aca="1" ref="E7" ca="1">Common_InputFunctions.Utility_DisplayFunctionName(E24)</f>
        <v>=AgResidue_Equations_CropResidue.VEERG_6_1_1_1__2__MassOfNitrogenInCropResidues</v>
      </c>
      <c r="F7" s="22"/>
      <c r="G7" s="22"/>
      <c r="H7" s="22"/>
      <c r="J7" s="22"/>
      <c r="L7" s="22"/>
      <c r="M7" s="53" t="str" cm="1">
        <f t="array" ref="M7">"⚠️" &amp; AgResidue_Equations_CropResidue.VEERG_6_1_1_2__1__FractionOfCropResidueRemovedBaled_Variation()</f>
        <v>⚠️VARIATION FROM SOURCE: Added 'baled' to variable subscript</v>
      </c>
      <c r="N7" s="22"/>
      <c r="O7" s="22"/>
      <c r="P7" s="22"/>
      <c r="Q7" s="22"/>
    </row>
    <row r="8" spans="1:20" ht="20.100000000000001" customHeight="1" x14ac:dyDescent="0.25">
      <c r="A8" s="17" t="str">
        <f>HYPERLINK("#'Input - Site'!A1", "Site")</f>
        <v>Site</v>
      </c>
      <c r="F8" s="22"/>
      <c r="G8" s="22"/>
      <c r="H8" s="22"/>
      <c r="J8" s="22"/>
      <c r="L8" s="22"/>
      <c r="M8" s="13" t="s">
        <v>22</v>
      </c>
      <c r="N8" s="13" t="str" cm="1">
        <f t="array" aca="1" ref="N8" ca="1">Common_InputFunctions.Utility_DisplayFunctionName(N21)</f>
        <v>=AgResidue_Equations_CropResidue.VEERG_6_1_1_2__1__FractionOfCropResidueRemovedBaled</v>
      </c>
      <c r="O8" s="22"/>
      <c r="P8" s="22"/>
      <c r="Q8" s="22"/>
    </row>
    <row r="9" spans="1:20" ht="20.100000000000001" customHeight="1" x14ac:dyDescent="0.25">
      <c r="A9" s="17" t="str">
        <f>HYPERLINK("#'Input - Crop'!A1", "Crop")</f>
        <v>Crop</v>
      </c>
      <c r="D9" s="22"/>
      <c r="E9" s="22"/>
      <c r="F9" s="22"/>
      <c r="G9" s="22"/>
      <c r="H9" s="22"/>
      <c r="J9" s="22"/>
      <c r="L9" s="22"/>
      <c r="M9" s="22"/>
      <c r="N9" s="22"/>
      <c r="O9" s="22"/>
      <c r="P9" s="22"/>
      <c r="Q9" s="22"/>
    </row>
    <row r="10" spans="1:20" ht="20.100000000000001" customHeight="1" x14ac:dyDescent="0.25">
      <c r="A10" s="17" t="str">
        <f>HYPERLINK("#'Input - Pasture'!A1", "Pasture")</f>
        <v>Pasture</v>
      </c>
      <c r="D10" s="51" t="s">
        <v>25</v>
      </c>
      <c r="E10" s="1" t="str" cm="1">
        <f t="array" ref="E10">AgResidue_Equations_CropResidue.VEERG_6_1_1_1__2__MassOfNitrogenInCropResidues_Variable()</f>
        <v>M_c</v>
      </c>
      <c r="F10" s="22"/>
      <c r="G10" s="22"/>
      <c r="H10" s="22"/>
      <c r="J10" s="22"/>
      <c r="L10" s="22"/>
      <c r="M10" s="22"/>
      <c r="N10" s="22"/>
      <c r="O10" s="22"/>
      <c r="P10" s="22"/>
      <c r="Q10" s="22"/>
    </row>
    <row r="11" spans="1:20" ht="20.100000000000001" customHeight="1" x14ac:dyDescent="0.25">
      <c r="D11" s="51" t="s">
        <v>16</v>
      </c>
      <c r="E11" s="52" t="str" cm="1">
        <f t="array" ref="E11">AgResidue_Equations_CropResidue.VEERG_6_1_1_1__2__MassOfNitrogenInCropResidues_Unit()</f>
        <v>kg N</v>
      </c>
      <c r="F11" s="22"/>
      <c r="G11" s="22"/>
      <c r="H11" s="22"/>
      <c r="J11" s="22"/>
      <c r="L11" s="22"/>
      <c r="M11" s="22"/>
      <c r="N11" s="22"/>
      <c r="O11" s="22"/>
      <c r="P11" s="22"/>
      <c r="Q11" s="22"/>
    </row>
    <row r="12" spans="1:20" ht="20.100000000000001" customHeight="1" x14ac:dyDescent="0.25">
      <c r="A12" s="19" t="s">
        <v>69</v>
      </c>
      <c r="D12" s="22"/>
      <c r="E12" s="22"/>
      <c r="F12" s="22"/>
      <c r="G12" s="22"/>
      <c r="J12" s="22"/>
      <c r="L12" s="22"/>
      <c r="M12" s="51" t="s">
        <v>25</v>
      </c>
      <c r="N12" s="1" t="str" cm="1">
        <f t="array" ref="N12">AgResidue_Equations_CropResidue.VEERG_6_1_1_2__1__FractionOfCropResidueRemovedBaled_Variable()</f>
        <v>FFOD_cbaled</v>
      </c>
      <c r="O12" s="22"/>
      <c r="P12" s="22"/>
      <c r="Q12" s="22"/>
    </row>
    <row r="13" spans="1:20" ht="20.100000000000001" customHeight="1" x14ac:dyDescent="0.25">
      <c r="A13" s="131" t="str">
        <f>HYPERLINK("#'6.1.1.1-2 Crop residue N2O'!A1", "6.1.1.1-2 Crop residue N2O")</f>
        <v>6.1.1.1-2 Crop residue N2O</v>
      </c>
      <c r="D13" s="117" t="str" cm="1">
        <f t="array" ref="D13:E22">_xlfn.CHOOSECOLS(AgResidue_Equations_CropResidue.VEERG_6_1_1_1__2__MassOfNitrogenInCropResidues_Arguments(), 1, 2)</f>
        <v>P_c</v>
      </c>
      <c r="E13" s="121" t="str">
        <v>annual production of crop c</v>
      </c>
      <c r="F13" s="120"/>
      <c r="G13" s="117" t="str" cm="1">
        <f t="array" ref="G13:H22">_xlfn.CHOOSECOLS(AgResidue_Equations_CropResidue.VEERG_6_1_1_1__2__MassOfNitrogenInCropResidues_Arguments(), 3,4)</f>
        <v>kg</v>
      </c>
      <c r="H13" s="111" t="str">
        <v>Input</v>
      </c>
      <c r="I13" s="117">
        <f>'Input - Crop'!$E$17*10^3</f>
        <v>10000</v>
      </c>
      <c r="J13" s="22"/>
      <c r="L13" s="22"/>
      <c r="M13" s="51" t="s">
        <v>16</v>
      </c>
      <c r="N13" s="52" t="str" cm="1">
        <f t="array" ref="N13">AgResidue_Equations_CropResidue.VEERG_6_1_1_2__1__FractionOfCropResidueRemovedBaled_Unit()</f>
        <v>dimensionless</v>
      </c>
      <c r="O13" s="22"/>
      <c r="P13" s="22"/>
      <c r="Q13" s="22"/>
    </row>
    <row r="14" spans="1:20" ht="20.100000000000001" customHeight="1" x14ac:dyDescent="0.25">
      <c r="A14" s="17" t="str">
        <f>HYPERLINK("#'6.2.1.1-2 Pasture residue N2O'!A1", "6.2.1.1-2 Pasture residue N2O")</f>
        <v>6.2.1.1-2 Pasture residue N2O</v>
      </c>
      <c r="D14" s="117" t="str">
        <v>R_AGc</v>
      </c>
      <c r="E14" s="121" t="str">
        <v>residue to crop ratio for crop c</v>
      </c>
      <c r="F14" s="120"/>
      <c r="G14" s="117" t="str">
        <v/>
      </c>
      <c r="H14" s="110" t="str">
        <v>Constant</v>
      </c>
      <c r="I14" s="117">
        <f>'Input - Crop'!$E$18</f>
        <v>1.5</v>
      </c>
      <c r="J14" s="22"/>
      <c r="L14" s="22"/>
      <c r="M14" s="22"/>
      <c r="N14" s="22"/>
      <c r="O14" s="22"/>
      <c r="P14" s="22"/>
    </row>
    <row r="15" spans="1:20" ht="20.100000000000001" customHeight="1" x14ac:dyDescent="0.25">
      <c r="A15" s="17" t="str">
        <f>HYPERLINK("#'6.3.1.1-2 Leaching and runoff'!A1", "6.3.1.1-2 Leaching and runoff")</f>
        <v>6.3.1.1-2 Leaching and runoff</v>
      </c>
      <c r="D15" s="117" t="str">
        <v>R_BGc</v>
      </c>
      <c r="E15" s="121" t="str">
        <v>below ground-residue to above ground residue ratio for crop c</v>
      </c>
      <c r="F15" s="120"/>
      <c r="G15" s="117" t="str">
        <v/>
      </c>
      <c r="H15" s="110" t="str">
        <v>Constant</v>
      </c>
      <c r="I15" s="117" cm="1">
        <f t="array" ref="I15">Common_InputFunctions.Utility_LookupValueInTableNumber($I$21,Table_SourceData_CropAttributes[Crop type],Table_SourceData_CropAttributes[Below-ground: above-ground residue ratio])</f>
        <v>0.28999999999999998</v>
      </c>
      <c r="L15" s="22"/>
      <c r="M15" s="117" t="str" cm="1">
        <f t="array" ref="M15:N19">_xlfn.CHOOSECOLS(AgResidue_Equations_CropResidue.VEERG_6_1_1_2__1__FractionOfCropResidueRemovedBaled_Arguments(), 1, 2)</f>
        <v>B</v>
      </c>
      <c r="N15" s="117" t="str">
        <v>number of bales generated</v>
      </c>
      <c r="O15" s="117" t="str" cm="1">
        <f t="array" ref="O15:P19">_xlfn.CHOOSECOLS(AgResidue_Equations_CropResidue.VEERG_6_1_1_2__1__FractionOfCropResidueRemovedBaled_Arguments(), 3,4)</f>
        <v/>
      </c>
      <c r="P15" s="111" t="str">
        <v>Input</v>
      </c>
      <c r="Q15" s="139">
        <f>'Input - Crop'!$E$35</f>
        <v>25000</v>
      </c>
    </row>
    <row r="16" spans="1:20" ht="20.100000000000001" customHeight="1" x14ac:dyDescent="0.25">
      <c r="A16" s="17" t="str">
        <f>HYPERLINK("#'6.4.1.1-2 Residue burning'!A1", "6.4.1.1-2 Residue burning")</f>
        <v>6.4.1.1-2 Residue burning</v>
      </c>
      <c r="D16" s="117" t="str">
        <v>F_c</v>
      </c>
      <c r="E16" s="121" t="str">
        <v>fraction of crop residue that is burnt for crop c</v>
      </c>
      <c r="F16" s="120"/>
      <c r="G16" s="117" t="str">
        <v>fraction</v>
      </c>
      <c r="H16" s="111" t="str">
        <v>Input</v>
      </c>
      <c r="I16" s="117">
        <f>'Input - Crop'!$E$43</f>
        <v>0.3</v>
      </c>
      <c r="L16" s="22"/>
      <c r="M16" s="117" t="str">
        <v>M_B</v>
      </c>
      <c r="N16" s="117" t="str">
        <v>mass of each bale</v>
      </c>
      <c r="O16" s="117" t="str">
        <v>kg</v>
      </c>
      <c r="P16" s="111" t="str">
        <v>Input</v>
      </c>
      <c r="Q16" s="117">
        <f>'Input - Crop'!$E$34</f>
        <v>60</v>
      </c>
    </row>
    <row r="17" spans="1:17" ht="20.100000000000001" customHeight="1" x14ac:dyDescent="0.25">
      <c r="A17" s="17"/>
      <c r="D17" s="117" t="str">
        <v>FFOD_c</v>
      </c>
      <c r="E17" s="121" t="str">
        <v>fraction of the crop residue that is removed for crop c</v>
      </c>
      <c r="F17" s="120"/>
      <c r="G17" s="117" t="str">
        <v>fraction</v>
      </c>
      <c r="H17" s="110" t="str">
        <v>Constant</v>
      </c>
      <c r="I17" s="117" cm="1">
        <f t="array" ref="I17">IF(ISNUMBER(_xlfn.XLOOKUP(1, (Table77[Crop type c]=$I$21)*(Table77[State]=$I$22),Table77[Fraction removed])), _xlfn.XLOOKUP(1, (Table77[Crop type c]=$I$21)*(Table77[State]=$I$22),Table77[Fraction removed]), 0)</f>
        <v>0.11</v>
      </c>
      <c r="L17" s="22"/>
      <c r="M17" s="117" t="str">
        <v>P_c</v>
      </c>
      <c r="N17" s="117" t="str">
        <v>annual production of crop c</v>
      </c>
      <c r="O17" s="117" t="str">
        <v>kg</v>
      </c>
      <c r="P17" s="111" t="str">
        <v>Input</v>
      </c>
      <c r="Q17" s="117">
        <f>'Input - Crop'!$E$22*10^3</f>
        <v>10000000</v>
      </c>
    </row>
    <row r="18" spans="1:17" ht="20.100000000000001" customHeight="1" x14ac:dyDescent="0.25">
      <c r="A18" s="18" t="s">
        <v>2</v>
      </c>
      <c r="D18" s="117" t="str">
        <v>DM_c</v>
      </c>
      <c r="E18" s="121" t="str">
        <v>dry matter content of crop c</v>
      </c>
      <c r="F18" s="120"/>
      <c r="G18" s="117" t="str">
        <v>kg dry weight/kg crop residue</v>
      </c>
      <c r="H18" s="110" t="str">
        <v>Constant</v>
      </c>
      <c r="I18" s="117" cm="1">
        <f t="array" ref="I18">Common_InputFunctions.Utility_LookupValueInTableNumber($I$21,Table_SourceData_CropAttributes[Crop type],Table_SourceData_CropAttributes[Dry matter content])</f>
        <v>0.88</v>
      </c>
      <c r="L18" s="22"/>
      <c r="M18" s="117" t="str">
        <v>R_AGc</v>
      </c>
      <c r="N18" s="117" t="str">
        <v>residue to crop ratio for crop c</v>
      </c>
      <c r="O18" s="117" t="str">
        <v/>
      </c>
      <c r="P18" s="111" t="str">
        <v>Input</v>
      </c>
      <c r="Q18" s="117">
        <f>'Input - Crop'!$E$18</f>
        <v>1.5</v>
      </c>
    </row>
    <row r="19" spans="1:17" ht="20.100000000000001" customHeight="1" x14ac:dyDescent="0.25">
      <c r="A19" s="17" t="str">
        <f>HYPERLINK("#'Constants - Ag Residue'!A1", "Constants - Ag Residue")</f>
        <v>Constants - Ag Residue</v>
      </c>
      <c r="D19" s="117" t="str">
        <v>NC_AGc</v>
      </c>
      <c r="E19" s="121" t="str">
        <v>nitrogen content of above-ground crop residue of crop c</v>
      </c>
      <c r="F19" s="120"/>
      <c r="G19" s="117" t="str">
        <v>kg N/kg DM</v>
      </c>
      <c r="H19" s="110" t="str">
        <v>Constant</v>
      </c>
      <c r="I19" s="117" cm="1">
        <f t="array" ref="I19">Common_InputFunctions.Utility_LookupValueInTableNumber($I$21,Table_SourceData_CropAttributes[Crop type],Table_SourceData_CropAttributes[N content above-ground])</f>
        <v>6.0000000000000001E-3</v>
      </c>
      <c r="L19" s="22"/>
      <c r="M19" s="117" t="str">
        <v>c</v>
      </c>
      <c r="N19" s="117" t="str">
        <v>Crop type</v>
      </c>
      <c r="O19" s="117" t="str">
        <v/>
      </c>
      <c r="P19" s="111" t="str">
        <v>Input</v>
      </c>
      <c r="Q19" s="117" t="s">
        <v>133</v>
      </c>
    </row>
    <row r="20" spans="1:17" ht="20.100000000000001" customHeight="1" x14ac:dyDescent="0.25">
      <c r="A20" s="17" t="str">
        <f>HYPERLINK("#'Constants - Common'!A1", "Constants - Common")</f>
        <v>Constants - Common</v>
      </c>
      <c r="D20" s="117" t="str">
        <v>NC_BGc</v>
      </c>
      <c r="E20" s="121" t="str">
        <v>nitrogen content of below-ground crop residue of crop c</v>
      </c>
      <c r="F20" s="120"/>
      <c r="G20" s="117" t="str">
        <v>kg N/kg DM</v>
      </c>
      <c r="H20" s="110" t="str">
        <v>Constant</v>
      </c>
      <c r="I20" s="117" cm="1">
        <f t="array" ref="I20">Common_InputFunctions.Utility_LookupValueInTableNumber($I$21,Table_SourceData_CropAttributes[Crop type],Table_SourceData_CropAttributes[N content below-ground])</f>
        <v>0.01</v>
      </c>
      <c r="L20" s="22"/>
      <c r="M20" s="22"/>
      <c r="N20" s="22"/>
      <c r="O20" s="22"/>
      <c r="P20" s="22"/>
      <c r="Q20" s="22"/>
    </row>
    <row r="21" spans="1:17" ht="20.100000000000001" customHeight="1" x14ac:dyDescent="0.25">
      <c r="D21" s="117" t="str">
        <v>c</v>
      </c>
      <c r="E21" s="121" t="str">
        <v>Crop type</v>
      </c>
      <c r="F21" s="120"/>
      <c r="G21" s="117" t="str">
        <v/>
      </c>
      <c r="H21" s="111" t="str">
        <v>Input</v>
      </c>
      <c r="I21" s="117" t="str">
        <f>'Input - Crop'!$E$9</f>
        <v>Wheat</v>
      </c>
      <c r="L21" s="22"/>
      <c r="M21" s="118" t="s">
        <v>175</v>
      </c>
      <c r="N21" s="44" cm="1">
        <f t="array" ref="N21">AgResidue_Equations_CropResidue.VEERG_6_1_1_2__1__FractionOfCropResidueRemovedBaled(Q15,Q16,Q17,Q18)</f>
        <v>0.1</v>
      </c>
    </row>
    <row r="22" spans="1:17" ht="20.100000000000001" customHeight="1" x14ac:dyDescent="0.25">
      <c r="D22" s="117" t="str">
        <v>State</v>
      </c>
      <c r="E22" s="121" t="str">
        <v>State or territory</v>
      </c>
      <c r="F22" s="120"/>
      <c r="G22" s="117" t="str">
        <v/>
      </c>
      <c r="H22" s="111" t="str">
        <v>Input</v>
      </c>
      <c r="I22" s="117" t="str">
        <f>Common_InputFunctions.Utility_ConvertStateCommonNameToAbbreviation('Input - Site'!$E$21,Table_AustralianStates[Common Name],Table_AustralianStates[Abbreviation])</f>
        <v>WA</v>
      </c>
      <c r="L22" s="22"/>
      <c r="M22" s="22"/>
      <c r="N22" s="22"/>
      <c r="O22" s="22"/>
      <c r="P22" s="22"/>
      <c r="Q22" s="22"/>
    </row>
    <row r="23" spans="1:17" ht="20.100000000000001" customHeight="1" x14ac:dyDescent="0.25">
      <c r="D23" s="22"/>
      <c r="E23" s="22"/>
      <c r="F23" s="22"/>
      <c r="G23" s="22"/>
      <c r="H23" s="22"/>
      <c r="L23" s="22"/>
      <c r="M23" s="22"/>
      <c r="N23" s="22"/>
      <c r="O23" s="22"/>
      <c r="P23" s="22"/>
      <c r="Q23" s="22"/>
    </row>
    <row r="24" spans="1:17" ht="20.100000000000001" customHeight="1" x14ac:dyDescent="0.25">
      <c r="D24" s="118" t="s">
        <v>177</v>
      </c>
      <c r="E24" s="138" cm="1">
        <f t="array" ref="E24">AgResidue_Equations_CropResidue.VEERG_6_1_1_1__2__MassOfNitrogenInCropResidues(I13,I14,I16,I17,I18,I19,I15,I20)</f>
        <v>85.00800000000001</v>
      </c>
      <c r="F24" s="119" t="str">
        <f>$E$11</f>
        <v>kg N</v>
      </c>
      <c r="L24" s="22"/>
      <c r="M24" s="6" t="str" cm="1">
        <f t="array" ref="M24">AgResidue_Equations_CropResidue.VEERG_6_1_1_2__1a__FractionOfCropResidueRemoved_Title()</f>
        <v>Fraction of crop residue that is removed for crop c</v>
      </c>
      <c r="N24" s="22"/>
      <c r="O24" s="22"/>
      <c r="P24" s="22"/>
      <c r="Q24" s="22"/>
    </row>
    <row r="25" spans="1:17" ht="20.100000000000001" customHeight="1" x14ac:dyDescent="0.25">
      <c r="D25" s="51"/>
      <c r="E25" s="22"/>
      <c r="F25" s="22"/>
      <c r="G25" s="22"/>
      <c r="H25" s="22"/>
      <c r="L25" s="22"/>
      <c r="M25" s="6" t="str" cm="1">
        <f t="array" ref="M25">AgResidue_Equations_CropResidue.VEERG_6_1_1_2__1a__FractionOfCropResidueRemoved_Source()</f>
        <v/>
      </c>
      <c r="N25" s="22"/>
      <c r="O25" s="22"/>
      <c r="P25" s="22"/>
      <c r="Q25" s="22"/>
    </row>
    <row r="26" spans="1:17" ht="20.100000000000001" customHeight="1" x14ac:dyDescent="0.25">
      <c r="D26" s="22"/>
      <c r="E26" s="22"/>
      <c r="F26" s="22"/>
      <c r="G26" s="22"/>
      <c r="H26" s="22"/>
      <c r="L26" s="22"/>
      <c r="M26" s="53" t="str" cm="1">
        <f t="array" ref="M26">"⚠️" &amp; AgResidue_Equations_CropResidue.VEERG_6_1_1_2__1a__FractionOfCropResidueRemoved_Variation()</f>
        <v>⚠️VARIATION FROM SOURCE: Added this equation to accommodate user-defined residue removal other than baling.</v>
      </c>
      <c r="N26" s="22"/>
      <c r="O26" s="22"/>
      <c r="P26" s="22"/>
      <c r="Q26" s="22"/>
    </row>
    <row r="27" spans="1:17" ht="20.100000000000001" customHeight="1" x14ac:dyDescent="0.25">
      <c r="D27" s="137"/>
      <c r="E27" s="137"/>
      <c r="F27" s="137"/>
      <c r="G27" s="137"/>
      <c r="H27" s="137"/>
      <c r="I27" s="137"/>
      <c r="L27" s="22"/>
      <c r="M27" s="22"/>
      <c r="N27" s="22"/>
      <c r="O27" s="22"/>
      <c r="P27" s="22"/>
      <c r="Q27" s="22"/>
    </row>
    <row r="28" spans="1:17" ht="20.100000000000001" customHeight="1" x14ac:dyDescent="0.25">
      <c r="D28" s="6" t="str" cm="1">
        <f t="array" ref="D28">AgResidue_Equations_CropResidue.VEERG_6_1_1_1__1__NitrousOxideEmissionsFromCropResidues_Title()</f>
        <v>Nitrous oxide emissions from the return of crop residues across all crops c to the soil</v>
      </c>
      <c r="E28" s="22"/>
      <c r="F28" s="22"/>
      <c r="G28" s="22"/>
      <c r="H28" s="22"/>
      <c r="J28" s="22"/>
      <c r="L28" s="22"/>
      <c r="M28" s="22"/>
      <c r="N28" s="22"/>
      <c r="O28" s="22"/>
      <c r="P28" s="22"/>
      <c r="Q28" s="22"/>
    </row>
    <row r="29" spans="1:17" ht="20.100000000000001" customHeight="1" x14ac:dyDescent="0.25">
      <c r="D29" s="5" t="str" cm="1">
        <f t="array" ref="D29">AgResidue_Equations_CropResidue.VEERG_6_1_1_1__1__NitrousOxideEmissionsFromCropResidues_Source()</f>
        <v>VEERG 2026: 6.1.1.1, Equation (1)</v>
      </c>
      <c r="E29" s="22"/>
      <c r="F29" s="22"/>
      <c r="G29" s="22"/>
      <c r="H29" s="22"/>
      <c r="J29" s="22"/>
      <c r="L29" s="22"/>
      <c r="M29" s="22"/>
      <c r="N29" s="22"/>
      <c r="O29" s="22"/>
      <c r="P29" s="53"/>
      <c r="Q29" s="22"/>
    </row>
    <row r="30" spans="1:17" ht="20.100000000000001" customHeight="1" x14ac:dyDescent="0.25">
      <c r="D30" s="13" t="s">
        <v>22</v>
      </c>
      <c r="E30" s="13" t="str" cm="1">
        <f t="array" aca="1" ref="E30" ca="1">Common_InputFunctions.Utility_DisplayFunctionName(E42)</f>
        <v>=AgResidue_Equations_CropResidue.VEERG_6_1_1_1__1__NitrousOxideEmissionsFromCropResidues</v>
      </c>
      <c r="F30" s="22"/>
      <c r="G30" s="22"/>
      <c r="H30" s="22"/>
      <c r="L30" s="22"/>
      <c r="M30" s="51" t="s">
        <v>25</v>
      </c>
      <c r="N30" s="1" t="str" cm="1">
        <f t="array" ref="N30">AgResidue_Equations_CropResidue.VEERG_6_1_1_2__1a__FractionOfCropResidueRemoved_Variable()</f>
        <v>FFOD_c</v>
      </c>
      <c r="O30" s="22"/>
      <c r="P30" s="22"/>
      <c r="Q30" s="22"/>
    </row>
    <row r="31" spans="1:17" ht="20.100000000000001" customHeight="1" x14ac:dyDescent="0.25">
      <c r="F31" s="22"/>
      <c r="G31" s="22"/>
      <c r="H31" s="22"/>
      <c r="J31" s="22"/>
      <c r="L31" s="22"/>
      <c r="M31" s="51" t="s">
        <v>16</v>
      </c>
      <c r="N31" s="52" t="str" cm="1">
        <f t="array" ref="N31">AgResidue_Equations_CropResidue.VEERG_6_1_1_2__1a__FractionOfCropResidueRemoved_Unit()</f>
        <v>dimensionless</v>
      </c>
      <c r="O31" s="22"/>
      <c r="P31" s="22"/>
      <c r="Q31" s="22"/>
    </row>
    <row r="32" spans="1:17" ht="20.100000000000001" customHeight="1" x14ac:dyDescent="0.25">
      <c r="D32" s="22"/>
      <c r="E32" s="22"/>
      <c r="F32" s="22"/>
      <c r="G32" s="22"/>
      <c r="H32" s="22"/>
      <c r="J32" s="22"/>
      <c r="M32" s="22"/>
      <c r="N32" s="22"/>
      <c r="O32" s="22"/>
      <c r="P32" s="22"/>
      <c r="Q32" s="22"/>
    </row>
    <row r="33" spans="1:20" ht="20.100000000000001" customHeight="1" x14ac:dyDescent="0.25">
      <c r="D33" s="51" t="s">
        <v>25</v>
      </c>
      <c r="E33" s="1" t="str" cm="1">
        <f t="array" ref="E33">AgResidue_Equations_CropResidue.VEERG_6_1_1_1__1__NitrousOxideEmissionsFromCropResidues_Variable()</f>
        <v>E</v>
      </c>
      <c r="F33" s="22"/>
      <c r="G33" s="22"/>
      <c r="H33" s="22"/>
      <c r="J33" s="22"/>
      <c r="M33" s="117" t="str" cm="1">
        <f t="array" ref="M33:N34">_xlfn.CHOOSECOLS(AgResidue_Equations_CropResidue.VEERG_6_1_1_2__1a__FractionOfCropResidueRemoved_Arguments(), 1, 2)</f>
        <v>FFOD_cbaled</v>
      </c>
      <c r="N33" s="117" t="str">
        <v>Fraction of crop residue that is removed for crop c, calculated where residues are baled</v>
      </c>
      <c r="O33" s="117"/>
      <c r="P33" s="117"/>
      <c r="Q33" s="117" t="str" cm="1">
        <f t="array" ref="Q33:R34">_xlfn.CHOOSECOLS(AgResidue_Equations_CropResidue.VEERG_6_1_1_2__1a__FractionOfCropResidueRemoved_Arguments(), 3,4)</f>
        <v>fraction</v>
      </c>
      <c r="R33" s="110" t="str">
        <v>Calculated from 6.1.1.2, (1)</v>
      </c>
      <c r="S33" s="117">
        <f>$N$21</f>
        <v>0.1</v>
      </c>
    </row>
    <row r="34" spans="1:20" ht="20.100000000000001" customHeight="1" x14ac:dyDescent="0.25">
      <c r="D34" s="51" t="s">
        <v>16</v>
      </c>
      <c r="E34" s="52" t="str" cm="1">
        <f t="array" ref="E34">AgResidue_Equations_CropResidue.VEERG_6_1_1_1__1__NitrousOxideEmissionsFromCropResidues_Unit()</f>
        <v>t N2O</v>
      </c>
      <c r="F34" s="22"/>
      <c r="G34" s="22"/>
      <c r="H34" s="22"/>
      <c r="J34" s="22"/>
      <c r="M34" s="117" t="str">
        <v>FFOD_cother</v>
      </c>
      <c r="N34" s="117" t="str">
        <v>Fraction of crop residue that is removed for crop c, calculated where residues are removed by other means</v>
      </c>
      <c r="O34" s="117"/>
      <c r="P34" s="117"/>
      <c r="Q34" s="117" t="str">
        <v>fraction</v>
      </c>
      <c r="R34" s="111" t="str">
        <v>Input</v>
      </c>
      <c r="S34" s="117">
        <f>'Input - Crop'!$E$39</f>
        <v>0.01</v>
      </c>
    </row>
    <row r="35" spans="1:20" ht="20.100000000000001" customHeight="1" x14ac:dyDescent="0.25">
      <c r="D35" s="22"/>
      <c r="E35" s="22"/>
      <c r="F35" s="22"/>
      <c r="G35" s="22"/>
      <c r="H35" s="22"/>
      <c r="J35" s="22"/>
      <c r="M35" s="22"/>
      <c r="N35" s="22"/>
      <c r="O35" s="22"/>
      <c r="P35" s="22"/>
      <c r="Q35" s="22"/>
    </row>
    <row r="36" spans="1:20" ht="20.100000000000001" customHeight="1" x14ac:dyDescent="0.25">
      <c r="D36" s="117" t="str" cm="1">
        <f t="array" ref="D36:E40">_xlfn.CHOOSECOLS(AgResidue_Equations_CropResidue.VEERG_6_1_1_1__1__NitrousOxideEmissionsFromCropResidues_Arguments(), 1, 2)</f>
        <v>M_c</v>
      </c>
      <c r="E36" s="121" t="str">
        <v>mass of nitrogen in crop c residues returned to the soil</v>
      </c>
      <c r="F36" s="120"/>
      <c r="G36" s="117" t="str" cm="1">
        <f t="array" ref="G36:H40">_xlfn.CHOOSECOLS(AgResidue_Equations_CropResidue.VEERG_6_1_1_1__1__NitrousOxideEmissionsFromCropResidues_Arguments(), 3,4)</f>
        <v>kg N</v>
      </c>
      <c r="H36" s="110" t="str">
        <v>Calculated from 6.1.1.1 (2)</v>
      </c>
      <c r="I36" s="117">
        <f>E24</f>
        <v>85.00800000000001</v>
      </c>
      <c r="J36" s="22"/>
      <c r="M36" s="118" t="s">
        <v>176</v>
      </c>
      <c r="N36" s="44" cm="1">
        <f t="array" ref="N36">AgResidue_Equations_CropResidue.VEERG_6_1_1_2__1a__FractionOfCropResidueRemoved($S$33,$S$34)</f>
        <v>0.11</v>
      </c>
    </row>
    <row r="37" spans="1:20" ht="20.100000000000001" customHeight="1" x14ac:dyDescent="0.25">
      <c r="A37" s="123"/>
      <c r="D37" s="117" t="str">
        <v>EF_Ni</v>
      </c>
      <c r="E37" s="121" t="str">
        <v>emission factor for crop residues returned to the soil</v>
      </c>
      <c r="F37" s="120"/>
      <c r="G37" s="117" t="str">
        <v>kg N2O-N/kg N</v>
      </c>
      <c r="H37" s="110" t="str">
        <v>Constant</v>
      </c>
      <c r="I37" s="117" cm="1">
        <f t="array" ref="I37">Common_InputFunctions.Utility_LookupValueInTableNumber(I40,Table_SourceData_N2OEFOrganicFert[Climate zone type i],Table_SourceData_N2OEFOrganicFert[EF i N2O])</f>
        <v>5.0000000000000001E-3</v>
      </c>
      <c r="J37" s="22"/>
      <c r="L37" s="22"/>
      <c r="M37" s="22"/>
    </row>
    <row r="38" spans="1:20" ht="20.100000000000001" customHeight="1" x14ac:dyDescent="0.25">
      <c r="D38" s="117" t="str">
        <v>C_N2O</v>
      </c>
      <c r="E38" s="121" t="str">
        <v>factor to convert elemental mass of nitrous oxide to molecular mass</v>
      </c>
      <c r="F38" s="120"/>
      <c r="G38" s="117" t="str">
        <v>dimensionless</v>
      </c>
      <c r="H38" s="110" t="str">
        <v>Constant</v>
      </c>
      <c r="I38" s="117">
        <f>Common_InputFunctions.Utility_LookupValueInTableNumber("N2O",Table_GasToMolecularConversionFactor[Gas],Table_GasToMolecularConversionFactor[Conversion factor combined])</f>
        <v>1.5714285714285714</v>
      </c>
      <c r="J38" s="22"/>
      <c r="L38" s="22"/>
      <c r="M38" s="22"/>
    </row>
    <row r="39" spans="1:20" ht="20.100000000000001" customHeight="1" x14ac:dyDescent="0.25">
      <c r="D39" s="117" t="str">
        <v>c</v>
      </c>
      <c r="E39" s="121" t="str">
        <v>Crop type</v>
      </c>
      <c r="F39" s="120"/>
      <c r="G39" s="117" t="str">
        <v/>
      </c>
      <c r="H39" s="111" t="str">
        <v>Input</v>
      </c>
      <c r="I39" s="117" t="str">
        <f>'Input - Crop'!$E$9</f>
        <v>Wheat</v>
      </c>
      <c r="J39" s="22"/>
      <c r="L39" s="44"/>
      <c r="M39" s="44"/>
      <c r="N39" s="44"/>
      <c r="O39" s="44"/>
      <c r="P39" s="44"/>
      <c r="Q39" s="44"/>
      <c r="R39" s="44"/>
      <c r="S39" s="44"/>
      <c r="T39" s="44"/>
    </row>
    <row r="40" spans="1:20" ht="20.100000000000001" customHeight="1" x14ac:dyDescent="0.25">
      <c r="D40" s="117" t="str">
        <v>i</v>
      </c>
      <c r="E40" s="121" t="str">
        <v>Wet or dry climate zone</v>
      </c>
      <c r="F40" s="120"/>
      <c r="G40" s="117" t="str">
        <v/>
      </c>
      <c r="H40" s="111" t="str">
        <v>Input</v>
      </c>
      <c r="I40" s="117" t="str">
        <f>'Input - Site'!$E$32</f>
        <v>Dry climate zone</v>
      </c>
      <c r="M40" s="6" t="str" cm="1">
        <f t="array" ref="M40">AgResidue_Equations_CropResidue.VEERG_6_1_1_1__2__MassOfNitrogenInCropResidues_Title()</f>
        <v>Mass of nitrogen in crop residues returned to the soil</v>
      </c>
      <c r="N40" s="22"/>
      <c r="O40" s="22"/>
      <c r="P40" s="22"/>
      <c r="Q40" s="22"/>
    </row>
    <row r="41" spans="1:20" ht="20.100000000000001" customHeight="1" x14ac:dyDescent="0.25">
      <c r="D41" s="22"/>
      <c r="E41" s="22"/>
      <c r="F41" s="22"/>
      <c r="G41" s="22"/>
      <c r="H41" s="22"/>
      <c r="L41" s="22"/>
      <c r="M41" s="5" t="str" cm="1">
        <f t="array" ref="M41">AgResidue_Equations_CropResidue.VEERG_6_1_1_1__2__MassOfNitrogenInCropResidues_Source()</f>
        <v>VEERG 2026: 6.1.1.1, Equation (2)</v>
      </c>
      <c r="N41" s="22"/>
      <c r="O41" s="22"/>
      <c r="P41" s="22"/>
      <c r="Q41" s="22"/>
    </row>
    <row r="42" spans="1:20" ht="20.100000000000001" customHeight="1" x14ac:dyDescent="0.25">
      <c r="D42" s="93" t="s">
        <v>109</v>
      </c>
      <c r="E42" s="94" cm="1">
        <f t="array" ref="E42">AgResidue_Equations_CropResidue.VEERG_6_1_1_1__1__NitrousOxideEmissionsFromCropResidues(I36,I37,I38)</f>
        <v>6.6792000000000012E-4</v>
      </c>
      <c r="F42" s="95" t="str">
        <f>$E$34</f>
        <v>t N2O</v>
      </c>
      <c r="H42" s="22"/>
      <c r="L42" s="22"/>
      <c r="M42" s="13" t="s">
        <v>22</v>
      </c>
      <c r="N42" s="13" t="str" cm="1">
        <f t="array" aca="1" ref="N42" ca="1">Common_InputFunctions.Utility_DisplayFunctionName(N59)</f>
        <v>=AgResidue_Equations_CropResidue.VEERG_6_1_1_1__2__MassOfNitrogenInCropResidues</v>
      </c>
      <c r="O42" s="22"/>
      <c r="P42" s="22"/>
      <c r="Q42" s="22"/>
    </row>
    <row r="43" spans="1:20" ht="20.100000000000001" customHeight="1" x14ac:dyDescent="0.25">
      <c r="H43" s="22"/>
      <c r="L43" s="22"/>
      <c r="O43" s="22"/>
      <c r="P43" s="22"/>
      <c r="Q43" s="22"/>
    </row>
    <row r="44" spans="1:20" ht="20.100000000000001" customHeight="1" x14ac:dyDescent="0.25">
      <c r="D44" s="54" t="str" cm="1">
        <f t="array" ref="D44:E45">Common_Equations.Common_ConvertN2OToCO2e_Arguments()</f>
        <v>EN2O</v>
      </c>
      <c r="E44" s="55" t="str">
        <v>Nitrous oxide emissions (t N2O)</v>
      </c>
      <c r="F44" s="96"/>
      <c r="G44" s="50">
        <f>E42</f>
        <v>6.6792000000000012E-4</v>
      </c>
      <c r="L44" s="22"/>
      <c r="M44" s="22"/>
      <c r="N44" s="22"/>
      <c r="O44" s="22"/>
      <c r="P44" s="22"/>
      <c r="Q44" s="22"/>
    </row>
    <row r="45" spans="1:20" ht="20.100000000000001" customHeight="1" x14ac:dyDescent="0.25">
      <c r="D45" s="54" t="str">
        <v>GWPN2O</v>
      </c>
      <c r="E45" s="55" t="str">
        <v>Global warming potential for nitrous oxide (t CO2-e / t N2O)</v>
      </c>
      <c r="F45" s="96"/>
      <c r="G45" s="50">
        <f>Common_InputFunctions.Utility_LookupValueInTableNumber("N2O",Table_GWPData[Gas],Table_GWPData[CO2-e factor])</f>
        <v>265</v>
      </c>
      <c r="J45" s="22"/>
      <c r="L45" s="22"/>
      <c r="M45" s="51" t="s">
        <v>25</v>
      </c>
      <c r="N45" s="1" t="str" cm="1">
        <f t="array" ref="N45">AgResidue_Equations_CropResidue.VEERG_6_1_1_1__2__MassOfNitrogenInCropResidues_Variable()</f>
        <v>M_c</v>
      </c>
      <c r="O45" s="22"/>
      <c r="P45" s="22"/>
      <c r="Q45" s="22"/>
    </row>
    <row r="46" spans="1:20" ht="20.100000000000001" customHeight="1" x14ac:dyDescent="0.25">
      <c r="H46" s="22"/>
      <c r="J46" s="22"/>
      <c r="L46" s="22"/>
      <c r="M46" s="51" t="s">
        <v>16</v>
      </c>
      <c r="N46" s="52" t="str" cm="1">
        <f t="array" ref="N46">AgResidue_Equations_CropResidue.VEERG_6_1_1_1__2__MassOfNitrogenInCropResidues_Unit()</f>
        <v>kg N</v>
      </c>
      <c r="O46" s="22"/>
      <c r="P46" s="22"/>
      <c r="Q46" s="22"/>
    </row>
    <row r="47" spans="1:20" ht="20.100000000000001" customHeight="1" x14ac:dyDescent="0.25">
      <c r="A47" s="123" t="str">
        <f>HYPERLINK("#A1", "▲ Back to top")</f>
        <v>▲ Back to top</v>
      </c>
      <c r="D47" s="44" t="s">
        <v>79</v>
      </c>
      <c r="E47" s="44" cm="1">
        <f t="array" ref="E47">Common_Equations.Common_ConvertN2OToCO2e(G44,G45)</f>
        <v>0.17699880000000004</v>
      </c>
      <c r="F47" s="97" t="str" cm="1">
        <f t="array" ref="F47">Common_Equations.Common_ConvertN2OToCO2e_Unit()</f>
        <v>t CO2e</v>
      </c>
      <c r="H47" s="22"/>
      <c r="J47" s="22"/>
      <c r="L47" s="22"/>
      <c r="M47" s="22"/>
      <c r="N47" s="22"/>
      <c r="O47" s="22"/>
      <c r="P47" s="22"/>
    </row>
    <row r="48" spans="1:20" ht="20.100000000000001" customHeight="1" x14ac:dyDescent="0.25">
      <c r="D48" s="22"/>
      <c r="E48" s="22"/>
      <c r="F48" s="103"/>
      <c r="G48" s="22"/>
      <c r="H48" s="22"/>
      <c r="I48" s="22"/>
      <c r="J48" s="22"/>
      <c r="L48" s="22"/>
      <c r="M48" s="117" t="str" cm="1">
        <f t="array" ref="M48:N57">_xlfn.CHOOSECOLS(AgResidue_Equations_CropResidue.VEERG_6_1_1_1__2__MassOfNitrogenInCropResidues_Arguments_Method2(), 1, 2)</f>
        <v>P_c</v>
      </c>
      <c r="N48" s="121" t="str">
        <v>annual production of crop c</v>
      </c>
      <c r="O48" s="120"/>
      <c r="P48" s="117" t="str" cm="1">
        <f t="array" ref="P48:Q57">_xlfn.CHOOSECOLS(AgResidue_Equations_CropResidue.VEERG_6_1_1_1__2__MassOfNitrogenInCropResidues_Arguments_Method2(), 3,4)</f>
        <v>kg</v>
      </c>
      <c r="Q48" s="111" t="str">
        <v>Input</v>
      </c>
      <c r="R48" s="117"/>
    </row>
    <row r="49" spans="10:20" ht="20.100000000000001" customHeight="1" x14ac:dyDescent="0.25">
      <c r="J49" s="22"/>
      <c r="M49" s="117" t="str">
        <v>R_AGc</v>
      </c>
      <c r="N49" s="121" t="str">
        <v>residue to crop ratio for crop c</v>
      </c>
      <c r="O49" s="120"/>
      <c r="P49" s="117" t="str">
        <v/>
      </c>
      <c r="Q49" s="110" t="str">
        <v>Constant</v>
      </c>
      <c r="R49" s="117"/>
    </row>
    <row r="50" spans="10:20" ht="20.100000000000001" customHeight="1" x14ac:dyDescent="0.25">
      <c r="J50" s="22"/>
      <c r="M50" s="117" t="str">
        <v>R_BGc</v>
      </c>
      <c r="N50" s="121" t="str">
        <v>below ground-residue to above ground residue ratio for crop c</v>
      </c>
      <c r="O50" s="120"/>
      <c r="P50" s="117" t="str">
        <v/>
      </c>
      <c r="Q50" s="110" t="str">
        <v>Constant</v>
      </c>
      <c r="R50" s="117"/>
    </row>
    <row r="51" spans="10:20" ht="20.100000000000001" customHeight="1" x14ac:dyDescent="0.25">
      <c r="J51" s="22"/>
      <c r="M51" s="117" t="str">
        <v>F_c</v>
      </c>
      <c r="N51" s="121" t="str">
        <v>fraction of crop residue that is burnt for crop c</v>
      </c>
      <c r="O51" s="120"/>
      <c r="P51" s="117" t="str">
        <v>fraction</v>
      </c>
      <c r="Q51" s="111" t="str">
        <v>Input</v>
      </c>
      <c r="R51" s="117"/>
    </row>
    <row r="52" spans="10:20" ht="20.100000000000001" customHeight="1" x14ac:dyDescent="0.25">
      <c r="J52" s="22"/>
      <c r="M52" s="117" t="str">
        <v>FFOD_c</v>
      </c>
      <c r="N52" s="121" t="str">
        <v>fraction of the crop residue that is removed for crop c</v>
      </c>
      <c r="O52" s="120"/>
      <c r="P52" s="117" t="str">
        <v>fraction</v>
      </c>
      <c r="Q52" s="110" t="str">
        <v>Calculated from 6.1.1.2 (1)</v>
      </c>
      <c r="R52" s="117">
        <f>N36</f>
        <v>0.11</v>
      </c>
    </row>
    <row r="53" spans="10:20" ht="20.100000000000001" customHeight="1" x14ac:dyDescent="0.25">
      <c r="M53" s="117" t="str">
        <v>DM_c</v>
      </c>
      <c r="N53" s="121" t="str">
        <v>dry matter content of crop c</v>
      </c>
      <c r="O53" s="120"/>
      <c r="P53" s="117" t="str">
        <v>kg dry weight/kg crop residue</v>
      </c>
      <c r="Q53" s="110" t="str">
        <v>Constant</v>
      </c>
      <c r="R53" s="117"/>
    </row>
    <row r="54" spans="10:20" ht="20.100000000000001" customHeight="1" x14ac:dyDescent="0.25">
      <c r="M54" s="117" t="str">
        <v>NC_AGc</v>
      </c>
      <c r="N54" s="121" t="str">
        <v>nitrogen content of above-ground crop residue of crop c</v>
      </c>
      <c r="O54" s="120"/>
      <c r="P54" s="117" t="str">
        <v>kg N/kg DM</v>
      </c>
      <c r="Q54" s="110" t="str">
        <v>Constant</v>
      </c>
      <c r="R54" s="117"/>
    </row>
    <row r="55" spans="10:20" ht="20.100000000000001" customHeight="1" x14ac:dyDescent="0.25">
      <c r="M55" s="117" t="str">
        <v>NC_BGc</v>
      </c>
      <c r="N55" s="121" t="str">
        <v>nitrogen content of below-ground crop residue of crop c</v>
      </c>
      <c r="O55" s="120"/>
      <c r="P55" s="117" t="str">
        <v>kg N/kg DM</v>
      </c>
      <c r="Q55" s="110" t="str">
        <v>Constant</v>
      </c>
      <c r="R55" s="117"/>
    </row>
    <row r="56" spans="10:20" ht="20.100000000000001" customHeight="1" x14ac:dyDescent="0.25">
      <c r="M56" s="117" t="str">
        <v>c</v>
      </c>
      <c r="N56" s="121" t="str">
        <v>Crop type</v>
      </c>
      <c r="O56" s="120"/>
      <c r="P56" s="117" t="str">
        <v/>
      </c>
      <c r="Q56" s="111" t="str">
        <v>Input</v>
      </c>
      <c r="R56" s="117"/>
    </row>
    <row r="57" spans="10:20" ht="20.100000000000001" customHeight="1" x14ac:dyDescent="0.25">
      <c r="M57" s="117" t="str">
        <v>State</v>
      </c>
      <c r="N57" s="121" t="str">
        <v>State or territory</v>
      </c>
      <c r="O57" s="120"/>
      <c r="P57" s="117" t="str">
        <v/>
      </c>
      <c r="Q57" s="111" t="str">
        <v>Input</v>
      </c>
      <c r="R57" s="117"/>
    </row>
    <row r="58" spans="10:20" ht="20.100000000000001" customHeight="1" x14ac:dyDescent="0.25">
      <c r="M58" s="22"/>
      <c r="N58" s="22"/>
      <c r="O58" s="22"/>
      <c r="P58" s="22"/>
      <c r="Q58" s="22"/>
    </row>
    <row r="59" spans="10:20" ht="20.100000000000001" customHeight="1" x14ac:dyDescent="0.25">
      <c r="M59" s="118" t="s">
        <v>177</v>
      </c>
      <c r="N59" s="138" cm="1">
        <f t="array" ref="N59">AgResidue_Equations_CropResidue.VEERG_6_1_1_1__2__MassOfNitrogenInCropResidues(I13,I14,I16,R52,I18,I19,I15,I20)</f>
        <v>85.00800000000001</v>
      </c>
      <c r="O59" s="119" t="str">
        <f>$E$11</f>
        <v>kg N</v>
      </c>
    </row>
    <row r="60" spans="10:20" ht="20.100000000000001" customHeight="1" x14ac:dyDescent="0.25">
      <c r="M60" s="51"/>
      <c r="N60" s="22"/>
      <c r="O60" s="22"/>
      <c r="P60" s="22"/>
      <c r="Q60" s="22"/>
    </row>
    <row r="61" spans="10:20" ht="20.100000000000001" customHeight="1" x14ac:dyDescent="0.25">
      <c r="M61" s="22"/>
      <c r="N61" s="22"/>
      <c r="O61" s="22"/>
      <c r="P61" s="22"/>
      <c r="Q61" s="22"/>
    </row>
    <row r="62" spans="10:20" ht="20.100000000000001" customHeight="1" x14ac:dyDescent="0.25">
      <c r="L62" s="137"/>
      <c r="M62" s="137"/>
      <c r="N62" s="137"/>
      <c r="O62" s="137"/>
      <c r="P62" s="137"/>
      <c r="Q62" s="137"/>
      <c r="R62" s="137"/>
      <c r="S62" s="137"/>
      <c r="T62" s="137"/>
    </row>
    <row r="63" spans="10:20" ht="20.100000000000001" customHeight="1" x14ac:dyDescent="0.25">
      <c r="L63" s="22"/>
      <c r="M63" s="6" t="str" cm="1">
        <f t="array" ref="M63">AgResidue_Equations_CropResidue.VEERG_6_1_1_1__1__NitrousOxideEmissionsFromCropResidues_Title()</f>
        <v>Nitrous oxide emissions from the return of crop residues across all crops c to the soil</v>
      </c>
      <c r="N63" s="22"/>
      <c r="O63" s="22"/>
      <c r="P63" s="22"/>
      <c r="Q63" s="22"/>
    </row>
    <row r="64" spans="10:20" ht="20.100000000000001" customHeight="1" x14ac:dyDescent="0.25">
      <c r="M64" s="5" t="str" cm="1">
        <f t="array" ref="M64">AgResidue_Equations_CropResidue.VEERG_6_1_1_1__1__NitrousOxideEmissionsFromCropResidues_Source()</f>
        <v>VEERG 2026: 6.1.1.1, Equation (1)</v>
      </c>
      <c r="N64" s="22"/>
      <c r="O64" s="22"/>
      <c r="P64" s="22"/>
      <c r="Q64" s="22"/>
    </row>
    <row r="65" spans="12:18" ht="20.100000000000001" customHeight="1" x14ac:dyDescent="0.25">
      <c r="L65" s="22"/>
      <c r="M65" s="13" t="s">
        <v>22</v>
      </c>
      <c r="N65" s="13" t="str" cm="1">
        <f t="array" aca="1" ref="N65" ca="1">Common_InputFunctions.Utility_DisplayFunctionName(N77)</f>
        <v>=AgResidue_Equations_CropResidue.VEERG_6_1_1_1__1__NitrousOxideEmissionsFromCropResidues</v>
      </c>
      <c r="O65" s="22"/>
      <c r="P65" s="22"/>
      <c r="Q65" s="22"/>
    </row>
    <row r="66" spans="12:18" ht="20.100000000000001" customHeight="1" x14ac:dyDescent="0.25">
      <c r="L66" s="22"/>
      <c r="O66" s="22"/>
      <c r="P66" s="22"/>
      <c r="Q66" s="22"/>
    </row>
    <row r="67" spans="12:18" ht="20.100000000000001" customHeight="1" x14ac:dyDescent="0.25">
      <c r="L67" s="22"/>
      <c r="M67" s="22"/>
      <c r="N67" s="22"/>
      <c r="O67" s="22"/>
      <c r="P67" s="22"/>
      <c r="Q67" s="22"/>
    </row>
    <row r="68" spans="12:18" ht="20.100000000000001" customHeight="1" x14ac:dyDescent="0.25">
      <c r="L68" s="22"/>
      <c r="M68" s="51" t="s">
        <v>25</v>
      </c>
      <c r="N68" s="1" t="str" cm="1">
        <f t="array" ref="N68">AgResidue_Equations_CropResidue.VEERG_6_1_1_1__1__NitrousOxideEmissionsFromCropResidues_Variable()</f>
        <v>E</v>
      </c>
      <c r="O68" s="22"/>
      <c r="P68" s="22"/>
      <c r="Q68" s="22"/>
    </row>
    <row r="69" spans="12:18" ht="20.100000000000001" customHeight="1" x14ac:dyDescent="0.25">
      <c r="L69" s="22"/>
      <c r="M69" s="51" t="s">
        <v>16</v>
      </c>
      <c r="N69" s="52" t="str" cm="1">
        <f t="array" ref="N69">AgResidue_Equations_CropResidue.VEERG_6_1_1_1__1__NitrousOxideEmissionsFromCropResidues_Unit()</f>
        <v>t N2O</v>
      </c>
      <c r="O69" s="22"/>
      <c r="P69" s="22"/>
      <c r="Q69" s="22"/>
    </row>
    <row r="70" spans="12:18" ht="20.100000000000001" customHeight="1" x14ac:dyDescent="0.25">
      <c r="L70" s="22"/>
      <c r="M70" s="22"/>
      <c r="N70" s="22"/>
      <c r="O70" s="22"/>
      <c r="P70" s="22"/>
      <c r="Q70" s="22"/>
    </row>
    <row r="71" spans="12:18" ht="20.100000000000001" customHeight="1" x14ac:dyDescent="0.25">
      <c r="L71" s="22"/>
      <c r="M71" s="117" t="str" cm="1">
        <f t="array" ref="M71:N75">_xlfn.CHOOSECOLS(AgResidue_Equations_CropResidue.VEERG_6_1_1_1__1__NitrousOxideEmissionsFromCropResidues_Arguments(), 1, 2)</f>
        <v>M_c</v>
      </c>
      <c r="N71" s="121" t="str">
        <v>mass of nitrogen in crop c residues returned to the soil</v>
      </c>
      <c r="O71" s="120"/>
      <c r="P71" s="117" t="str" cm="1">
        <f t="array" ref="P71:Q75">_xlfn.CHOOSECOLS(AgResidue_Equations_CropResidue.VEERG_6_1_1_1__1__NitrousOxideEmissionsFromCropResidues_Arguments(), 3,4)</f>
        <v>kg N</v>
      </c>
      <c r="Q71" s="110" t="str">
        <v>Calculated from 6.1.1.1 (2)</v>
      </c>
      <c r="R71" s="117">
        <f>N59</f>
        <v>85.00800000000001</v>
      </c>
    </row>
    <row r="72" spans="12:18" ht="20.100000000000001" customHeight="1" x14ac:dyDescent="0.25">
      <c r="L72" s="22"/>
      <c r="M72" s="117" t="str">
        <v>EF_Ni</v>
      </c>
      <c r="N72" s="121" t="str">
        <v>emission factor for crop residues returned to the soil</v>
      </c>
      <c r="O72" s="120"/>
      <c r="P72" s="117" t="str">
        <v>kg N2O-N/kg N</v>
      </c>
      <c r="Q72" s="110" t="str">
        <v>Constant</v>
      </c>
      <c r="R72" s="117" cm="1">
        <f t="array" ref="R72">Common_InputFunctions.Utility_LookupValueInTableNumber(R75,Table_SourceData_N2OEFOrganicFert[Climate zone type i],Table_SourceData_N2OEFOrganicFert[EF i N2O])</f>
        <v>5.0000000000000001E-3</v>
      </c>
    </row>
    <row r="73" spans="12:18" ht="20.100000000000001" customHeight="1" x14ac:dyDescent="0.25">
      <c r="L73" s="22"/>
      <c r="M73" s="117" t="str">
        <v>C_N2O</v>
      </c>
      <c r="N73" s="121" t="str">
        <v>factor to convert elemental mass of nitrous oxide to molecular mass</v>
      </c>
      <c r="O73" s="120"/>
      <c r="P73" s="117" t="str">
        <v>dimensionless</v>
      </c>
      <c r="Q73" s="110" t="str">
        <v>Constant</v>
      </c>
      <c r="R73" s="117">
        <f>Common_InputFunctions.Utility_LookupValueInTableNumber("N2O",Table_GasToMolecularConversionFactor[Gas],Table_GasToMolecularConversionFactor[Conversion factor combined])</f>
        <v>1.5714285714285714</v>
      </c>
    </row>
    <row r="74" spans="12:18" ht="20.100000000000001" customHeight="1" x14ac:dyDescent="0.25">
      <c r="L74" s="22"/>
      <c r="M74" s="117" t="str">
        <v>c</v>
      </c>
      <c r="N74" s="121" t="str">
        <v>Crop type</v>
      </c>
      <c r="O74" s="120"/>
      <c r="P74" s="117" t="str">
        <v/>
      </c>
      <c r="Q74" s="111" t="str">
        <v>Input</v>
      </c>
      <c r="R74" s="117" t="s">
        <v>133</v>
      </c>
    </row>
    <row r="75" spans="12:18" ht="20.100000000000001" customHeight="1" x14ac:dyDescent="0.25">
      <c r="L75" s="22"/>
      <c r="M75" s="117" t="str">
        <v>i</v>
      </c>
      <c r="N75" s="121" t="str">
        <v>Wet or dry climate zone</v>
      </c>
      <c r="O75" s="120"/>
      <c r="P75" s="117" t="str">
        <v/>
      </c>
      <c r="Q75" s="111" t="str">
        <v>Input</v>
      </c>
      <c r="R75" s="117" t="str">
        <f>'Input - Site'!$E$32</f>
        <v>Dry climate zone</v>
      </c>
    </row>
    <row r="76" spans="12:18" ht="20.100000000000001" customHeight="1" x14ac:dyDescent="0.25">
      <c r="L76" s="22"/>
      <c r="M76" s="22"/>
      <c r="N76" s="22"/>
      <c r="O76" s="22"/>
      <c r="P76" s="22"/>
      <c r="Q76" s="22"/>
    </row>
    <row r="77" spans="12:18" ht="20.100000000000001" customHeight="1" x14ac:dyDescent="0.25">
      <c r="L77" s="22"/>
      <c r="M77" s="93" t="s">
        <v>109</v>
      </c>
      <c r="N77" s="94" cm="1">
        <f t="array" ref="N77">AgResidue_Equations_CropResidue.VEERG_6_1_1_1__1__NitrousOxideEmissionsFromCropResidues(R71,R72,R73)</f>
        <v>6.6792000000000012E-4</v>
      </c>
      <c r="O77" s="95" t="str">
        <f>$E$34</f>
        <v>t N2O</v>
      </c>
      <c r="Q77" s="22"/>
    </row>
    <row r="78" spans="12:18" ht="20.100000000000001" customHeight="1" x14ac:dyDescent="0.25">
      <c r="L78" s="22"/>
      <c r="Q78" s="22"/>
    </row>
    <row r="79" spans="12:18" ht="20.100000000000001" customHeight="1" x14ac:dyDescent="0.25">
      <c r="L79" s="22"/>
      <c r="M79" s="54" t="str" cm="1">
        <f t="array" ref="M79:N80">Common_Equations.Common_ConvertN2OToCO2e_Arguments()</f>
        <v>EN2O</v>
      </c>
      <c r="N79" s="55" t="str">
        <v>Nitrous oxide emissions (t N2O)</v>
      </c>
      <c r="O79" s="96"/>
      <c r="P79" s="50">
        <f>N77</f>
        <v>6.6792000000000012E-4</v>
      </c>
    </row>
    <row r="80" spans="12:18" ht="20.100000000000001" customHeight="1" x14ac:dyDescent="0.25">
      <c r="L80" s="22"/>
      <c r="M80" s="54" t="str">
        <v>GWPN2O</v>
      </c>
      <c r="N80" s="55" t="str">
        <v>Global warming potential for nitrous oxide (t CO2-e / t N2O)</v>
      </c>
      <c r="O80" s="96"/>
      <c r="P80" s="50">
        <f>Common_InputFunctions.Utility_LookupValueInTableNumber("N2O",Table_GWPData[Gas],Table_GWPData[CO2-e factor])</f>
        <v>265</v>
      </c>
    </row>
    <row r="81" spans="1:18" ht="20.100000000000001" customHeight="1" x14ac:dyDescent="0.25">
      <c r="L81" s="22"/>
      <c r="Q81" s="22"/>
    </row>
    <row r="82" spans="1:18" ht="20.100000000000001" customHeight="1" x14ac:dyDescent="0.25">
      <c r="L82" s="22"/>
      <c r="M82" s="44" t="s">
        <v>79</v>
      </c>
      <c r="N82" s="44" cm="1">
        <f t="array" ref="N82">Common_Equations.Common_ConvertN2OToCO2e(P79,P80)</f>
        <v>0.17699880000000004</v>
      </c>
      <c r="O82" s="97" t="str" cm="1">
        <f t="array" ref="O82">Common_Equations.Common_ConvertN2OToCO2e_Unit()</f>
        <v>t CO2e</v>
      </c>
      <c r="Q82" s="22"/>
    </row>
    <row r="83" spans="1:18" ht="20.100000000000001" customHeight="1" x14ac:dyDescent="0.25">
      <c r="A83" s="123" t="str">
        <f>HYPERLINK("#A1", "▲ Back to top")</f>
        <v>▲ Back to top</v>
      </c>
      <c r="L83" s="22"/>
      <c r="M83" s="22"/>
      <c r="N83" s="22"/>
      <c r="O83" s="103"/>
      <c r="P83" s="22"/>
      <c r="Q83" s="22"/>
      <c r="R83" s="22"/>
    </row>
    <row r="84" spans="1:18" ht="20.100000000000001" customHeight="1" x14ac:dyDescent="0.25">
      <c r="L84" s="22"/>
    </row>
    <row r="85" spans="1:18" ht="20.100000000000001" customHeight="1" x14ac:dyDescent="0.25">
      <c r="L85" s="22"/>
    </row>
    <row r="86" spans="1:18" ht="20.100000000000001" customHeight="1" x14ac:dyDescent="0.25">
      <c r="L86" s="22"/>
    </row>
    <row r="87" spans="1:18" ht="20.100000000000001" customHeight="1" x14ac:dyDescent="0.25"/>
    <row r="88" spans="1:18" ht="20.100000000000001" customHeight="1" x14ac:dyDescent="0.25"/>
    <row r="89" spans="1:18" ht="20.100000000000001" customHeight="1" x14ac:dyDescent="0.25"/>
    <row r="90" spans="1:18" ht="20.100000000000001" customHeight="1" x14ac:dyDescent="0.25"/>
    <row r="91" spans="1:18" ht="20.100000000000001" customHeight="1" x14ac:dyDescent="0.25"/>
    <row r="92" spans="1:18" ht="20.100000000000001" customHeight="1" x14ac:dyDescent="0.25"/>
    <row r="93" spans="1:18" ht="20.100000000000001" customHeight="1" x14ac:dyDescent="0.25"/>
    <row r="94" spans="1:18" ht="20.100000000000001" customHeight="1" x14ac:dyDescent="0.25"/>
    <row r="95" spans="1:18" ht="20.100000000000001" customHeight="1" x14ac:dyDescent="0.25"/>
    <row r="96" spans="1:18"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row r="166" ht="20.100000000000001" customHeight="1" x14ac:dyDescent="0.25"/>
    <row r="167" ht="20.100000000000001" customHeight="1" x14ac:dyDescent="0.25"/>
    <row r="168" ht="20.100000000000001" customHeight="1" x14ac:dyDescent="0.25"/>
    <row r="169" ht="20.100000000000001" customHeight="1" x14ac:dyDescent="0.25"/>
    <row r="170" ht="20.100000000000001" customHeight="1" x14ac:dyDescent="0.25"/>
    <row r="171" ht="20.100000000000001" customHeight="1" x14ac:dyDescent="0.25"/>
    <row r="172" ht="20.100000000000001" customHeight="1" x14ac:dyDescent="0.25"/>
    <row r="173" ht="20.100000000000001" customHeight="1" x14ac:dyDescent="0.25"/>
    <row r="174" ht="20.100000000000001" customHeight="1" x14ac:dyDescent="0.25"/>
    <row r="175" ht="20.100000000000001" customHeight="1" x14ac:dyDescent="0.25"/>
    <row r="176" ht="20.100000000000001" customHeight="1" x14ac:dyDescent="0.25"/>
    <row r="177" ht="20.100000000000001" customHeight="1" x14ac:dyDescent="0.25"/>
    <row r="178" ht="20.100000000000001" customHeight="1" x14ac:dyDescent="0.25"/>
    <row r="179" ht="20.100000000000001" customHeight="1" x14ac:dyDescent="0.25"/>
    <row r="180" ht="20.100000000000001" customHeight="1" x14ac:dyDescent="0.25"/>
    <row r="181" ht="20.100000000000001" customHeight="1" x14ac:dyDescent="0.25"/>
    <row r="182" ht="20.100000000000001" customHeight="1" x14ac:dyDescent="0.25"/>
    <row r="183" ht="20.100000000000001" customHeight="1" x14ac:dyDescent="0.25"/>
    <row r="184" ht="20.100000000000001" customHeight="1" x14ac:dyDescent="0.25"/>
    <row r="185" ht="20.100000000000001" customHeight="1" x14ac:dyDescent="0.25"/>
    <row r="186" ht="20.100000000000001" customHeight="1" x14ac:dyDescent="0.25"/>
    <row r="187" ht="20.100000000000001" customHeight="1" x14ac:dyDescent="0.25"/>
    <row r="188" ht="20.100000000000001" customHeight="1" x14ac:dyDescent="0.25"/>
    <row r="189" ht="20.100000000000001" customHeight="1" x14ac:dyDescent="0.25"/>
    <row r="190" ht="20.100000000000001" customHeight="1" x14ac:dyDescent="0.25"/>
    <row r="191" ht="20.100000000000001" customHeight="1" x14ac:dyDescent="0.25"/>
    <row r="192" ht="20.100000000000001" customHeight="1" x14ac:dyDescent="0.25"/>
    <row r="193" ht="20.100000000000001" customHeight="1" x14ac:dyDescent="0.25"/>
    <row r="194" ht="20.100000000000001" customHeight="1" x14ac:dyDescent="0.25"/>
    <row r="195" ht="20.100000000000001" customHeight="1" x14ac:dyDescent="0.25"/>
    <row r="196" ht="20.100000000000001" customHeight="1" x14ac:dyDescent="0.25"/>
    <row r="197" ht="20.100000000000001" customHeight="1" x14ac:dyDescent="0.25"/>
    <row r="198" ht="20.100000000000001" customHeight="1" x14ac:dyDescent="0.25"/>
    <row r="199" ht="20.100000000000001" customHeight="1" x14ac:dyDescent="0.25"/>
    <row r="200" ht="20.100000000000001" customHeight="1" x14ac:dyDescent="0.25"/>
    <row r="201" ht="20.100000000000001" customHeight="1" x14ac:dyDescent="0.25"/>
    <row r="202" ht="20.100000000000001" customHeight="1" x14ac:dyDescent="0.25"/>
    <row r="203" ht="20.100000000000001" customHeight="1" x14ac:dyDescent="0.25"/>
    <row r="204" ht="20.100000000000001" customHeight="1" x14ac:dyDescent="0.25"/>
    <row r="205" ht="20.100000000000001" customHeight="1" x14ac:dyDescent="0.25"/>
    <row r="206" ht="20.100000000000001" customHeight="1" x14ac:dyDescent="0.25"/>
    <row r="207" ht="20.100000000000001" customHeight="1" x14ac:dyDescent="0.25"/>
    <row r="208" ht="20.100000000000001" customHeight="1" x14ac:dyDescent="0.25"/>
    <row r="209" ht="20.100000000000001" customHeight="1" x14ac:dyDescent="0.25"/>
    <row r="210" ht="20.100000000000001" customHeight="1" x14ac:dyDescent="0.25"/>
    <row r="211" ht="20.100000000000001" customHeight="1" x14ac:dyDescent="0.25"/>
    <row r="212" ht="20.100000000000001" customHeight="1" x14ac:dyDescent="0.25"/>
    <row r="213" ht="20.100000000000001" customHeight="1" x14ac:dyDescent="0.25"/>
    <row r="214" ht="20.100000000000001" customHeight="1" x14ac:dyDescent="0.25"/>
    <row r="215" ht="20.100000000000001" customHeight="1" x14ac:dyDescent="0.25"/>
    <row r="216" ht="20.100000000000001" customHeight="1" x14ac:dyDescent="0.25"/>
    <row r="217" ht="20.100000000000001" customHeight="1" x14ac:dyDescent="0.25"/>
    <row r="218" ht="20.100000000000001" customHeight="1" x14ac:dyDescent="0.25"/>
    <row r="219" ht="20.100000000000001" customHeight="1" x14ac:dyDescent="0.25"/>
    <row r="220" ht="20.100000000000001" customHeight="1" x14ac:dyDescent="0.25"/>
    <row r="221" ht="20.100000000000001" customHeight="1" x14ac:dyDescent="0.25"/>
    <row r="222" ht="20.100000000000001" customHeight="1" x14ac:dyDescent="0.25"/>
    <row r="223" ht="20.100000000000001" customHeight="1" x14ac:dyDescent="0.25"/>
    <row r="224" ht="20.100000000000001" customHeight="1" x14ac:dyDescent="0.25"/>
    <row r="225" ht="20.100000000000001" customHeight="1" x14ac:dyDescent="0.25"/>
    <row r="226" ht="20.100000000000001" customHeight="1" x14ac:dyDescent="0.25"/>
    <row r="227" ht="20.100000000000001" customHeight="1" x14ac:dyDescent="0.25"/>
    <row r="228" ht="20.100000000000001" customHeight="1" x14ac:dyDescent="0.25"/>
    <row r="229" ht="20.100000000000001" customHeight="1" x14ac:dyDescent="0.25"/>
    <row r="230" ht="20.100000000000001" customHeight="1" x14ac:dyDescent="0.25"/>
    <row r="231" ht="20.100000000000001" customHeight="1" x14ac:dyDescent="0.25"/>
    <row r="232" ht="20.100000000000001" customHeight="1" x14ac:dyDescent="0.25"/>
    <row r="233" ht="20.100000000000001" customHeight="1" x14ac:dyDescent="0.25"/>
    <row r="234" ht="20.100000000000001" customHeight="1" x14ac:dyDescent="0.25"/>
    <row r="235" ht="20.100000000000001" customHeight="1" x14ac:dyDescent="0.25"/>
    <row r="236" ht="20.100000000000001" customHeight="1" x14ac:dyDescent="0.25"/>
    <row r="237" ht="20.100000000000001" customHeight="1" x14ac:dyDescent="0.25"/>
    <row r="238" ht="20.100000000000001" customHeight="1" x14ac:dyDescent="0.25"/>
    <row r="239" ht="20.100000000000001" customHeight="1" x14ac:dyDescent="0.25"/>
    <row r="240" ht="20.100000000000001" customHeight="1" x14ac:dyDescent="0.25"/>
    <row r="241" ht="20.100000000000001" customHeight="1" x14ac:dyDescent="0.25"/>
    <row r="242" ht="20.100000000000001" customHeight="1" x14ac:dyDescent="0.25"/>
    <row r="243" ht="20.100000000000001" customHeight="1" x14ac:dyDescent="0.25"/>
    <row r="244" ht="20.100000000000001" customHeight="1" x14ac:dyDescent="0.25"/>
    <row r="245" ht="20.100000000000001" customHeight="1" x14ac:dyDescent="0.25"/>
    <row r="246" ht="20.100000000000001" customHeight="1" x14ac:dyDescent="0.25"/>
    <row r="247" ht="20.100000000000001" customHeight="1" x14ac:dyDescent="0.25"/>
    <row r="248" ht="20.100000000000001" customHeight="1" x14ac:dyDescent="0.25"/>
    <row r="249" ht="20.100000000000001" customHeight="1" x14ac:dyDescent="0.25"/>
    <row r="250" ht="20.100000000000001" customHeight="1" x14ac:dyDescent="0.25"/>
    <row r="251" ht="20.100000000000001" customHeight="1" x14ac:dyDescent="0.25"/>
    <row r="252" ht="20.100000000000001" customHeight="1" x14ac:dyDescent="0.25"/>
    <row r="253" ht="20.100000000000001" customHeight="1" x14ac:dyDescent="0.25"/>
    <row r="254" ht="20.100000000000001" customHeight="1" x14ac:dyDescent="0.25"/>
    <row r="255" ht="20.100000000000001" customHeight="1" x14ac:dyDescent="0.25"/>
    <row r="256" ht="20.100000000000001" customHeight="1" x14ac:dyDescent="0.25"/>
    <row r="257" ht="20.100000000000001" customHeight="1" x14ac:dyDescent="0.25"/>
    <row r="258" ht="20.100000000000001" customHeight="1" x14ac:dyDescent="0.25"/>
    <row r="259" ht="20.100000000000001" customHeight="1" x14ac:dyDescent="0.25"/>
    <row r="260" ht="20.100000000000001" customHeight="1" x14ac:dyDescent="0.25"/>
    <row r="261" ht="20.100000000000001" customHeight="1" x14ac:dyDescent="0.25"/>
    <row r="262" ht="20.100000000000001" customHeight="1" x14ac:dyDescent="0.25"/>
    <row r="263" ht="20.100000000000001" customHeight="1" x14ac:dyDescent="0.25"/>
    <row r="264" ht="20.100000000000001" customHeight="1" x14ac:dyDescent="0.25"/>
    <row r="265" ht="20.100000000000001" customHeight="1" x14ac:dyDescent="0.25"/>
    <row r="266" ht="20.100000000000001" customHeight="1" x14ac:dyDescent="0.25"/>
    <row r="267" ht="20.100000000000001" customHeight="1" x14ac:dyDescent="0.25"/>
    <row r="268" ht="20.100000000000001" customHeight="1" x14ac:dyDescent="0.25"/>
    <row r="269" ht="20.100000000000001" customHeight="1" x14ac:dyDescent="0.25"/>
    <row r="270" ht="20.100000000000001" customHeight="1" x14ac:dyDescent="0.25"/>
    <row r="271" ht="20.100000000000001" customHeight="1" x14ac:dyDescent="0.25"/>
    <row r="341" spans="8:8" x14ac:dyDescent="0.25">
      <c r="H341" s="22"/>
    </row>
    <row r="342" spans="8:8" x14ac:dyDescent="0.25">
      <c r="H342" s="22"/>
    </row>
  </sheetData>
  <dataValidations disablePrompts="1" count="1">
    <dataValidation operator="equal" allowBlank="1" showInputMessage="1" showErrorMessage="1" sqref="N172:S172 O150:R150 E269 N166:S166 O143:S144 E228 O167:S167 G132 I129:I133 F134:I134 F129:F132 H128:H132 G129 F148:I148 I149 F150:I150 R149:S149" xr:uid="{AF7BB680-B75F-4AE8-AA2D-EDF03FCB10D8}"/>
  </dataValidations>
  <pageMargins left="0.7" right="0.7" top="0.75" bottom="0.75" header="0.3" footer="0.3"/>
  <pageSetup paperSize="9" orientation="portrait"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883A6B-B8DF-40B8-B36B-2098F8DD980B}">
  <dimension ref="A1:U165"/>
  <sheetViews>
    <sheetView showGridLines="0" topLeftCell="D5" zoomScaleNormal="100" workbookViewId="0">
      <selection activeCell="D25" sqref="D25"/>
    </sheetView>
  </sheetViews>
  <sheetFormatPr defaultRowHeight="15.75" x14ac:dyDescent="0.25"/>
  <cols>
    <col min="1" max="1" width="30.7109375" customWidth="1"/>
    <col min="2" max="2" width="4.7109375" customWidth="1"/>
    <col min="3" max="3" width="4.7109375" style="1" customWidth="1"/>
    <col min="4" max="10" width="30.7109375" style="1" customWidth="1"/>
    <col min="11" max="11" width="4.7109375" style="1" customWidth="1"/>
    <col min="12" max="12" width="4.7109375" customWidth="1"/>
    <col min="13" max="13" width="4.7109375" style="1" customWidth="1"/>
    <col min="14" max="20" width="30.7109375" style="1" customWidth="1"/>
    <col min="21" max="21" width="4.7109375" style="1" customWidth="1"/>
  </cols>
  <sheetData>
    <row r="1" spans="1:21" s="8" customFormat="1" ht="30" customHeight="1" x14ac:dyDescent="0.35">
      <c r="A1" s="8" t="e" vm="1">
        <v>#VALUE!</v>
      </c>
      <c r="C1" s="8" t="s">
        <v>180</v>
      </c>
    </row>
    <row r="2" spans="1:21" s="9" customFormat="1" ht="20.100000000000001" customHeight="1" x14ac:dyDescent="0.25">
      <c r="A2"/>
    </row>
    <row r="3" spans="1:21" ht="20.100000000000001" customHeight="1" x14ac:dyDescent="0.25">
      <c r="A3" s="17" t="str">
        <f>HYPERLINK("#'Home'!A1", "Home")</f>
        <v>Home</v>
      </c>
      <c r="C3" s="4"/>
      <c r="D3" s="4" t="s">
        <v>80</v>
      </c>
      <c r="E3" s="4"/>
      <c r="F3" s="4"/>
      <c r="G3" s="4"/>
      <c r="H3" s="4"/>
      <c r="I3" s="4"/>
      <c r="J3" s="4"/>
      <c r="K3" s="4"/>
      <c r="M3" s="4"/>
      <c r="N3" s="4" t="s">
        <v>81</v>
      </c>
      <c r="O3" s="4"/>
      <c r="P3" s="4"/>
      <c r="Q3" s="4"/>
      <c r="R3" s="4"/>
      <c r="S3" s="4"/>
      <c r="T3" s="4"/>
      <c r="U3" s="4"/>
    </row>
    <row r="4" spans="1:21" ht="20.100000000000001" customHeight="1" x14ac:dyDescent="0.25">
      <c r="A4" s="17" t="str">
        <f>HYPERLINK("#'Overview'!A1", "Overview")</f>
        <v>Overview</v>
      </c>
    </row>
    <row r="5" spans="1:21" ht="20.100000000000001" customHeight="1" x14ac:dyDescent="0.25">
      <c r="A5" s="17" t="str">
        <f>HYPERLINK("#'Results'!A1", "Results")</f>
        <v>Results</v>
      </c>
      <c r="D5" s="6" t="str" cm="1">
        <f t="array" ref="D5">AgResidue_Equations_PastureResidue.VEERG_6_2_1_1__2__MassOfNitrogenInPastureResidues_Title()</f>
        <v>Mass of nitrogen in pasture residues returned to the soil</v>
      </c>
    </row>
    <row r="6" spans="1:21" ht="20.100000000000001" customHeight="1" x14ac:dyDescent="0.25">
      <c r="A6" s="16"/>
      <c r="D6" s="5" t="str" cm="1">
        <f t="array" ref="D6">AgResidue_Equations_PastureResidue.VEERG_6_2_1_1__2__MassOfNitrogenInPastureResidues_Source()</f>
        <v>VEERG 2026: 6.2.1.1, Equation (2)</v>
      </c>
    </row>
    <row r="7" spans="1:21" ht="20.100000000000001" customHeight="1" x14ac:dyDescent="0.25">
      <c r="A7" s="20" t="s">
        <v>1</v>
      </c>
      <c r="D7" s="13" t="s">
        <v>22</v>
      </c>
      <c r="E7" s="13" t="str" cm="1">
        <f t="array" aca="1" ref="E7" ca="1">Common_InputFunctions.Utility_DisplayFunctionName(E21)</f>
        <v>=AgResidue_Equations_PastureResidue.VEERG_6_2_1_1__2__MassOfNitrogenInPastureResidues</v>
      </c>
    </row>
    <row r="8" spans="1:21" ht="20.100000000000001" customHeight="1" x14ac:dyDescent="0.25">
      <c r="A8" s="17" t="str">
        <f>HYPERLINK("#'Input - Site'!A1", "Site")</f>
        <v>Site</v>
      </c>
    </row>
    <row r="9" spans="1:21" ht="20.100000000000001" customHeight="1" x14ac:dyDescent="0.25">
      <c r="A9" s="17" t="str">
        <f>HYPERLINK("#'Input - Crop'!A1", "Crop")</f>
        <v>Crop</v>
      </c>
    </row>
    <row r="10" spans="1:21" ht="20.100000000000001" customHeight="1" x14ac:dyDescent="0.25">
      <c r="A10" s="17" t="str">
        <f>HYPERLINK("#'Input - Pasture'!A1", "Pasture")</f>
        <v>Pasture</v>
      </c>
      <c r="D10" s="3" t="s">
        <v>25</v>
      </c>
      <c r="E10" s="1" t="str" cm="1">
        <f t="array" ref="E10">AgResidue_Equations_PastureResidue.VEERG_6_2_1_1__2__MassOfNitrogenInPastureResidues_Variable()</f>
        <v>Mp</v>
      </c>
    </row>
    <row r="11" spans="1:21" ht="20.100000000000001" customHeight="1" x14ac:dyDescent="0.25">
      <c r="D11" s="3" t="s">
        <v>16</v>
      </c>
      <c r="E11" s="52" t="str" cm="1">
        <f t="array" ref="E11">AgResidue_Equations_PastureResidue.VEERG_6_2_1_1__2__MassOfNitrogenInPastureResidues_Unit()</f>
        <v>kg N</v>
      </c>
    </row>
    <row r="12" spans="1:21" ht="20.100000000000001" customHeight="1" x14ac:dyDescent="0.25">
      <c r="A12" s="19" t="s">
        <v>69</v>
      </c>
    </row>
    <row r="13" spans="1:21" ht="20.100000000000001" customHeight="1" x14ac:dyDescent="0.25">
      <c r="A13" s="17" t="str">
        <f>HYPERLINK("#'6.1.1.1-2 Crop residue N2O'!A1", "6.1.1.1-2 Crop residue N2O")</f>
        <v>6.1.1.1-2 Crop residue N2O</v>
      </c>
      <c r="D13" s="117" t="str" cm="1">
        <f t="array" ref="D13:E19">_xlfn.CHOOSECOLS(AgResidue_Equations_PastureResidue.VEERG_6_2_1_1__2__MassOfNitrogenInPastureResidues_Arguments(), 1, 2)</f>
        <v>A_p</v>
      </c>
      <c r="E13" s="121" t="str">
        <v>area of pasture renewed or removed</v>
      </c>
      <c r="F13" s="122"/>
      <c r="G13" s="120"/>
      <c r="H13" s="117" t="str" cm="1">
        <f t="array" ref="H13:I19">_xlfn.CHOOSECOLS(AgResidue_Equations_PastureResidue.VEERG_6_2_1_1__2__MassOfNitrogenInPastureResidues_Arguments(), 3,4)</f>
        <v>ha</v>
      </c>
      <c r="I13" s="111" t="str">
        <v>Input</v>
      </c>
      <c r="J13" s="117">
        <f>'Input - Pasture'!$E$25</f>
        <v>500</v>
      </c>
      <c r="N13" s="117" t="str" cm="1">
        <f t="array" ref="N13:O19">_xlfn.CHOOSECOLS(AgResidue_Equations_PastureResidue.VEERG_6_2_1_1__2__MassOfNitrogenInPastureResidues_Arguments_Method2(), 1, 2)</f>
        <v>A_p</v>
      </c>
      <c r="O13" s="121" t="str">
        <v>area of pasture renewed or removed</v>
      </c>
      <c r="P13" s="122"/>
      <c r="Q13" s="120"/>
      <c r="R13" s="117" t="str" cm="1">
        <f t="array" ref="R13:S19">_xlfn.CHOOSECOLS(AgResidue_Equations_PastureResidue.VEERG_6_2_1_1__2__MassOfNitrogenInPastureResidues_Arguments_Method2(), 3,4)</f>
        <v>ha</v>
      </c>
      <c r="S13" s="111" t="str">
        <v>Input</v>
      </c>
      <c r="T13" s="117"/>
    </row>
    <row r="14" spans="1:21" ht="20.100000000000001" customHeight="1" x14ac:dyDescent="0.25">
      <c r="A14" s="131" t="str">
        <f>HYPERLINK("#'6.2.1.1-2 Pasture residue N2O'!A1", "6.2.1.1-2 Pasture residue N2O")</f>
        <v>6.2.1.1-2 Pasture residue N2O</v>
      </c>
      <c r="D14" s="117" t="str">
        <v>Y_p</v>
      </c>
      <c r="E14" s="121" t="str">
        <v>average yield of pasture crop</v>
      </c>
      <c r="F14" s="122"/>
      <c r="G14" s="120"/>
      <c r="H14" s="117" t="str">
        <v>t DM/ha</v>
      </c>
      <c r="I14" s="110" t="str">
        <v>Constant</v>
      </c>
      <c r="J14" s="117" cm="1">
        <f t="array" ref="J14">Common_InputFunctions.Utility_LookupValueInTableNumber($J$19,Table_SourceData_PastureAttributes[Pasture type],Table_SourceData_PastureAttributes[Average Yield (t DM ha) Yp])</f>
        <v>8.34</v>
      </c>
      <c r="N14" s="117" t="str">
        <v>Y_p</v>
      </c>
      <c r="O14" s="121" t="str">
        <v>average yield of pasture crop</v>
      </c>
      <c r="P14" s="122"/>
      <c r="Q14" s="120"/>
      <c r="R14" s="117" t="str">
        <v>t DM/ha</v>
      </c>
      <c r="S14" s="111" t="str">
        <v>Input</v>
      </c>
      <c r="T14" s="117">
        <f>'Input - Pasture'!$E$19</f>
        <v>8.34</v>
      </c>
    </row>
    <row r="15" spans="1:21" ht="20.100000000000001" customHeight="1" x14ac:dyDescent="0.25">
      <c r="A15" s="17" t="str">
        <f>HYPERLINK("#'6.3.1.1-2 Leaching and runoff'!A1", "6.3.1.1-2 Leaching and runoff")</f>
        <v>6.3.1.1-2 Leaching and runoff</v>
      </c>
      <c r="D15" s="117" t="str">
        <v>NC_AGp</v>
      </c>
      <c r="E15" s="121" t="str">
        <v>N content of above-ground pasture residue</v>
      </c>
      <c r="F15" s="122"/>
      <c r="G15" s="120"/>
      <c r="H15" s="117" t="str">
        <v>kg N/kg DM</v>
      </c>
      <c r="I15" s="110" t="str">
        <v>Constant</v>
      </c>
      <c r="J15" s="117" cm="1">
        <f t="array" ref="J15">Common_InputFunctions.Utility_LookupValueInTableNumber($J$19,Table_SourceData_PastureAttributes[Pasture type],Table_SourceData_PastureAttributes[N content Above-ground NCAGp])</f>
        <v>2.5000000000000001E-2</v>
      </c>
      <c r="N15" s="117" t="str">
        <v>NC_AGp</v>
      </c>
      <c r="O15" s="121" t="str">
        <v>N content of above-ground pasture residue</v>
      </c>
      <c r="P15" s="122"/>
      <c r="Q15" s="120"/>
      <c r="R15" s="117" t="str">
        <v>kg N/kg DM</v>
      </c>
      <c r="S15" s="110" t="str">
        <v>Constant</v>
      </c>
      <c r="T15" s="117"/>
    </row>
    <row r="16" spans="1:21" ht="20.100000000000001" customHeight="1" x14ac:dyDescent="0.25">
      <c r="A16" s="17" t="str">
        <f>HYPERLINK("#'6.4.1.1-2 Residue burning'!A1", "6.4.1.1-2 Residue burning")</f>
        <v>6.4.1.1-2 Residue burning</v>
      </c>
      <c r="D16" s="117" t="str">
        <v>R_BGp</v>
      </c>
      <c r="E16" s="121" t="str">
        <v>below-ground residue to above-ground residue ratio for pasture crop</v>
      </c>
      <c r="F16" s="122"/>
      <c r="G16" s="120"/>
      <c r="H16" s="117" t="str">
        <v/>
      </c>
      <c r="I16" s="110" t="str">
        <v>Constant</v>
      </c>
      <c r="J16" s="117" cm="1">
        <f t="array" ref="J16">Common_InputFunctions.Utility_LookupValueInTableNumber($J$19,Table_SourceData_PastureAttributes[Pasture type],Table_SourceData_PastureAttributes[Below-ground: above-ground residue ratio RBGp])</f>
        <v>0.8</v>
      </c>
      <c r="N16" s="117" t="str">
        <v>R_BGp</v>
      </c>
      <c r="O16" s="121" t="str">
        <v>below-ground residue to above-ground residue ratio for pasture crop</v>
      </c>
      <c r="P16" s="122"/>
      <c r="Q16" s="120"/>
      <c r="R16" s="117" t="str">
        <v/>
      </c>
      <c r="S16" s="110" t="str">
        <v>Constant</v>
      </c>
      <c r="T16" s="117"/>
    </row>
    <row r="17" spans="1:21" ht="20.100000000000001" customHeight="1" x14ac:dyDescent="0.25">
      <c r="A17" s="17"/>
      <c r="D17" s="117" t="str">
        <v>NC_BGp</v>
      </c>
      <c r="E17" s="121" t="str">
        <v>N content of below-ground pasture crop residue</v>
      </c>
      <c r="F17" s="122"/>
      <c r="G17" s="120"/>
      <c r="H17" s="117" t="str">
        <v>kg N/kg DM</v>
      </c>
      <c r="I17" s="110" t="str">
        <v>Constant</v>
      </c>
      <c r="J17" s="117" cm="1">
        <f t="array" ref="J17">Common_InputFunctions.Utility_LookupValueInTableNumber($J$19,Table_SourceData_PastureAttributes[Pasture type],Table_SourceData_PastureAttributes[N content Below-ground NCBGp])</f>
        <v>1.6E-2</v>
      </c>
      <c r="N17" s="117" t="str">
        <v>NC_BGp</v>
      </c>
      <c r="O17" s="121" t="str">
        <v>N content of below-ground pasture crop residue</v>
      </c>
      <c r="P17" s="122"/>
      <c r="Q17" s="120"/>
      <c r="R17" s="117" t="str">
        <v>kg N/kg DM</v>
      </c>
      <c r="S17" s="110" t="str">
        <v>Constant</v>
      </c>
      <c r="T17" s="117"/>
    </row>
    <row r="18" spans="1:21" ht="20.100000000000001" customHeight="1" x14ac:dyDescent="0.25">
      <c r="A18" s="18" t="s">
        <v>2</v>
      </c>
      <c r="D18" s="117" t="str">
        <v>FFOD_p</v>
      </c>
      <c r="E18" s="121" t="str">
        <v>fraction of pasture yield that is removed</v>
      </c>
      <c r="F18" s="122"/>
      <c r="G18" s="120"/>
      <c r="H18" s="117" t="str">
        <v>fraction</v>
      </c>
      <c r="I18" s="110" t="str">
        <v>Constant</v>
      </c>
      <c r="J18" s="117" cm="1">
        <f t="array" ref="J18">Common_InputFunctions.Utility_LookupValueInTableNumber($J$19,Table_SourceData_PastureAttributes[Pasture type],Table_SourceData_PastureAttributes[Fraction of pasture yield that is removed FFODp])</f>
        <v>0.8</v>
      </c>
      <c r="N18" s="117" t="str">
        <v>FFOD_p</v>
      </c>
      <c r="O18" s="121" t="str">
        <v>fraction of pasture yield that is removed</v>
      </c>
      <c r="P18" s="122"/>
      <c r="Q18" s="120"/>
      <c r="R18" s="117" t="str">
        <v>fraction</v>
      </c>
      <c r="S18" s="110" t="str">
        <v>Constant</v>
      </c>
      <c r="T18" s="117"/>
    </row>
    <row r="19" spans="1:21" ht="20.100000000000001" customHeight="1" x14ac:dyDescent="0.25">
      <c r="A19" s="17" t="str">
        <f>HYPERLINK("#'Constants - Ag Residue'!A1", "Constants - Ag Residue")</f>
        <v>Constants - Ag Residue</v>
      </c>
      <c r="D19" s="117" t="str">
        <v>p</v>
      </c>
      <c r="E19" s="121" t="str">
        <v>Pasture type</v>
      </c>
      <c r="F19" s="122"/>
      <c r="G19" s="120"/>
      <c r="H19" s="117" t="str">
        <v/>
      </c>
      <c r="I19" s="111" t="str">
        <v>Input</v>
      </c>
      <c r="J19" s="117" t="str">
        <f>'Input - Pasture'!$E$9</f>
        <v>Grass clover mixture</v>
      </c>
      <c r="N19" s="117" t="str">
        <v>p</v>
      </c>
      <c r="O19" s="121" t="str">
        <v>Pasture type</v>
      </c>
      <c r="P19" s="122"/>
      <c r="Q19" s="120"/>
      <c r="R19" s="117" t="str">
        <v/>
      </c>
      <c r="S19" s="111" t="str">
        <v>Input</v>
      </c>
      <c r="T19" s="117"/>
    </row>
    <row r="20" spans="1:21" ht="20.100000000000001" customHeight="1" x14ac:dyDescent="0.25">
      <c r="A20" s="17" t="str">
        <f>HYPERLINK("#'Constants - Common'!A1", "Constants - Common")</f>
        <v>Constants - Common</v>
      </c>
    </row>
    <row r="21" spans="1:21" ht="20.100000000000001" customHeight="1" x14ac:dyDescent="0.25">
      <c r="D21" s="118" t="s">
        <v>187</v>
      </c>
      <c r="E21" s="44" cm="1">
        <f t="array" ref="E21">AgResidue_Equations_PastureResidue.VEERG_6_2_1_1__2__MassOfNitrogenInPastureResidues(J13,J14,J18,J15,J16,J17)</f>
        <v>7.4226E-2</v>
      </c>
      <c r="F21" s="97" t="str" cm="1">
        <f t="array" ref="F21">AgResidue_Equations_PastureResidue.VEERG_6_2_1_1__2__MassOfNitrogenInPastureResidues_Unit()</f>
        <v>kg N</v>
      </c>
      <c r="N21" s="118" t="s">
        <v>187</v>
      </c>
      <c r="O21" s="44" cm="1">
        <f t="array" ref="O21">AgResidue_Equations_PastureResidue.VEERG_6_2_1_1__2__MassOfNitrogenInPastureResidues(J13,T14,J18,J15,J16,J17)</f>
        <v>7.4226E-2</v>
      </c>
      <c r="P21" s="97" t="str" cm="1">
        <f t="array" ref="P21">AgResidue_Equations_PastureResidue.VEERG_6_2_1_1__2__MassOfNitrogenInPastureResidues_Unit()</f>
        <v>kg N</v>
      </c>
    </row>
    <row r="22" spans="1:21" ht="20.100000000000001" customHeight="1" x14ac:dyDescent="0.25"/>
    <row r="23" spans="1:21" ht="20.100000000000001" customHeight="1" x14ac:dyDescent="0.25"/>
    <row r="24" spans="1:21" ht="20.100000000000001" customHeight="1" x14ac:dyDescent="0.25">
      <c r="C24" s="44"/>
      <c r="D24" s="44"/>
      <c r="E24" s="44"/>
      <c r="F24" s="44"/>
      <c r="G24" s="44"/>
      <c r="H24" s="44"/>
      <c r="I24" s="44"/>
      <c r="J24" s="44"/>
      <c r="K24" s="44"/>
      <c r="M24" s="44"/>
      <c r="N24" s="44"/>
      <c r="O24" s="44"/>
      <c r="P24" s="44"/>
      <c r="Q24" s="44"/>
      <c r="R24" s="44"/>
      <c r="S24" s="44"/>
      <c r="T24" s="44"/>
      <c r="U24" s="44"/>
    </row>
    <row r="25" spans="1:21" ht="20.100000000000001" customHeight="1" x14ac:dyDescent="0.25">
      <c r="D25" s="6" t="str" cm="1">
        <f t="array" ref="D25">AgResidue_Equations_PastureResidue.VEERG_6_2_1_1__1__NitrousOxideEmissionsFromPastureResidues_Title()</f>
        <v>Nitrous oxide emissions from the return of pasture residues from all pasture types to the soil</v>
      </c>
      <c r="N25" s="6" t="str" cm="1">
        <f t="array" ref="N25">AgResidue_Equations_PastureResidue.VEERG_6_2_1_1__1__NitrousOxideEmissionsFromPastureResidues_Title()</f>
        <v>Nitrous oxide emissions from the return of pasture residues from all pasture types to the soil</v>
      </c>
    </row>
    <row r="26" spans="1:21" ht="20.100000000000001" customHeight="1" x14ac:dyDescent="0.25">
      <c r="D26" s="5" t="str" cm="1">
        <f t="array" ref="D26">AgResidue_Equations_PastureResidue.VEERG_6_2_1_1__1__NitrousOxideEmissionsFromPastureResidues_Source()</f>
        <v>VEERG 2026: 6.2.1.1, Equation (1)</v>
      </c>
      <c r="N26" s="5" t="str" cm="1">
        <f t="array" ref="N26">AgResidue_Equations_PastureResidue.VEERG_6_2_1_1__1__NitrousOxideEmissionsFromPastureResidues_Source()</f>
        <v>VEERG 2026: 6.2.1.1, Equation (1)</v>
      </c>
    </row>
    <row r="27" spans="1:21" ht="20.100000000000001" customHeight="1" x14ac:dyDescent="0.25">
      <c r="D27" s="13" t="s">
        <v>22</v>
      </c>
      <c r="E27" s="13" t="str" cm="1">
        <f t="array" aca="1" ref="E27" ca="1">Common_InputFunctions.Utility_DisplayFunctionName(E40)</f>
        <v>=AgResidue_Equations_PastureResidue.VEERG_6_2_1_1__1__NitrousOxideEmissionsFromPastureResidues</v>
      </c>
      <c r="N27" s="13" t="s">
        <v>22</v>
      </c>
      <c r="O27" s="13" t="str" cm="1">
        <f t="array" aca="1" ref="O27" ca="1">Common_InputFunctions.Utility_DisplayFunctionName(O40)</f>
        <v>=AgResidue_Equations_PastureResidue.VEERG_6_2_1_1__1__NitrousOxideEmissionsFromPastureResidues</v>
      </c>
    </row>
    <row r="28" spans="1:21" ht="20.100000000000001" customHeight="1" x14ac:dyDescent="0.25"/>
    <row r="29" spans="1:21" ht="20.100000000000001" customHeight="1" x14ac:dyDescent="0.25"/>
    <row r="30" spans="1:21" ht="20.100000000000001" customHeight="1" x14ac:dyDescent="0.25">
      <c r="D30" s="3" t="s">
        <v>25</v>
      </c>
      <c r="E30" s="1" t="str" cm="1">
        <f t="array" ref="E30">AgResidue_Equations_PastureResidue.VEERG_6_2_1_1__1__NitrousOxideEmissionsFromPastureResidues_Variable()</f>
        <v>EN2O</v>
      </c>
      <c r="N30" s="3" t="s">
        <v>25</v>
      </c>
      <c r="O30" s="1" t="str" cm="1">
        <f t="array" ref="O30">AgResidue_Equations_PastureResidue.VEERG_6_2_1_1__1__NitrousOxideEmissionsFromPastureResidues_Variable()</f>
        <v>EN2O</v>
      </c>
    </row>
    <row r="31" spans="1:21" ht="20.100000000000001" customHeight="1" x14ac:dyDescent="0.25">
      <c r="D31" s="3" t="s">
        <v>16</v>
      </c>
      <c r="E31" s="52" t="str" cm="1">
        <f t="array" ref="E31">AgResidue_Equations_PastureResidue.VEERG_6_2_1_1__1__NitrousOxideEmissionsFromPastureResidues_Unit()</f>
        <v>t N2O</v>
      </c>
      <c r="N31" s="3" t="s">
        <v>16</v>
      </c>
      <c r="O31" s="52" t="str" cm="1">
        <f t="array" ref="O31">AgResidue_Equations_PastureResidue.VEERG_6_2_1_1__1__NitrousOxideEmissionsFromPastureResidues_Unit()</f>
        <v>t N2O</v>
      </c>
    </row>
    <row r="32" spans="1:21" ht="20.100000000000001" customHeight="1" x14ac:dyDescent="0.25"/>
    <row r="33" spans="1:20" ht="20.100000000000001" customHeight="1" x14ac:dyDescent="0.25">
      <c r="D33" s="117" t="str" cm="1">
        <f t="array" ref="D33:E37">_xlfn.CHOOSECOLS(AgResidue_Equations_PastureResidue.VEERG_6_2_1_1__1__NitrousOxideEmissionsFromPastureResidues_Arguments(), 1, 2)</f>
        <v>M_p</v>
      </c>
      <c r="E33" s="121" t="str">
        <v>mass of nitrogen in pasture p residues returned to the soil</v>
      </c>
      <c r="F33" s="122"/>
      <c r="G33" s="120"/>
      <c r="H33" s="117" t="str" cm="1">
        <f t="array" ref="H33:I37">_xlfn.CHOOSECOLS(AgResidue_Equations_PastureResidue.VEERG_6_2_1_1__1__NitrousOxideEmissionsFromPastureResidues_Arguments(), 3,4)</f>
        <v>kg N</v>
      </c>
      <c r="I33" s="110" t="str">
        <v>Calculated from 6.2.1.1 (2)</v>
      </c>
      <c r="J33" s="117">
        <f>$E$21</f>
        <v>7.4226E-2</v>
      </c>
      <c r="N33" s="117" t="str" cm="1">
        <f t="array" ref="N33:O37">_xlfn.CHOOSECOLS(AgResidue_Equations_PastureResidue.VEERG_6_2_1_1__1__NitrousOxideEmissionsFromPastureResidues_Arguments(), 1, 2)</f>
        <v>M_p</v>
      </c>
      <c r="O33" s="121" t="str">
        <v>mass of nitrogen in pasture p residues returned to the soil</v>
      </c>
      <c r="P33" s="122"/>
      <c r="Q33" s="120"/>
      <c r="R33" s="117" t="str" cm="1">
        <f t="array" ref="R33:S37">_xlfn.CHOOSECOLS(AgResidue_Equations_PastureResidue.VEERG_6_2_1_1__1__NitrousOxideEmissionsFromPastureResidues_Arguments(), 3,4)</f>
        <v>kg N</v>
      </c>
      <c r="S33" s="110" t="str">
        <v>Calculated from 6.2.1.1 (2)</v>
      </c>
      <c r="T33" s="117">
        <f>$O$21</f>
        <v>7.4226E-2</v>
      </c>
    </row>
    <row r="34" spans="1:20" ht="20.100000000000001" customHeight="1" x14ac:dyDescent="0.25">
      <c r="D34" s="117" t="str">
        <v>EF_Ni</v>
      </c>
      <c r="E34" s="121" t="str">
        <v>emission factor for crop residues returned to the soil in climate zone i</v>
      </c>
      <c r="F34" s="122"/>
      <c r="G34" s="120"/>
      <c r="H34" s="117" t="str">
        <v>kg N2O-N/kg N</v>
      </c>
      <c r="I34" s="110" t="str">
        <v>Constant</v>
      </c>
      <c r="J34" s="117" cm="1">
        <f t="array" ref="J34">Common_InputFunctions.Utility_LookupValueInTableNumber(J37,Table_SourceData_N2OEFOrganicFert[Climate zone type i],Table_SourceData_N2OEFOrganicFert[EF i N2O])</f>
        <v>5.0000000000000001E-3</v>
      </c>
      <c r="N34" s="117" t="str">
        <v>EF_Ni</v>
      </c>
      <c r="O34" s="121" t="str">
        <v>emission factor for crop residues returned to the soil in climate zone i</v>
      </c>
      <c r="P34" s="122"/>
      <c r="Q34" s="120"/>
      <c r="R34" s="117" t="str">
        <v>kg N2O-N/kg N</v>
      </c>
      <c r="S34" s="110" t="str">
        <v>Constant</v>
      </c>
      <c r="T34" s="117"/>
    </row>
    <row r="35" spans="1:20" ht="20.100000000000001" customHeight="1" x14ac:dyDescent="0.25">
      <c r="D35" s="117" t="str">
        <v>C_N2O</v>
      </c>
      <c r="E35" s="121" t="str">
        <v>factor to convert elemental mass of nitrous oxide to molecular mass</v>
      </c>
      <c r="F35" s="122"/>
      <c r="G35" s="120"/>
      <c r="H35" s="117" t="str">
        <v>dimensionless</v>
      </c>
      <c r="I35" s="110" t="str">
        <v>Constant</v>
      </c>
      <c r="J35" s="117">
        <f>Common_InputFunctions.Utility_LookupValueInTableNumber("N2O",Table_GasToMolecularConversionFactor[Gas],Table_GasToMolecularConversionFactor[Conversion factor combined])</f>
        <v>1.5714285714285714</v>
      </c>
      <c r="N35" s="117" t="str">
        <v>C_N2O</v>
      </c>
      <c r="O35" s="121" t="str">
        <v>factor to convert elemental mass of nitrous oxide to molecular mass</v>
      </c>
      <c r="P35" s="122"/>
      <c r="Q35" s="120"/>
      <c r="R35" s="117" t="str">
        <v>dimensionless</v>
      </c>
      <c r="S35" s="110" t="str">
        <v>Constant</v>
      </c>
      <c r="T35" s="117"/>
    </row>
    <row r="36" spans="1:20" ht="20.100000000000001" customHeight="1" x14ac:dyDescent="0.25">
      <c r="D36" s="117" t="str">
        <v>p</v>
      </c>
      <c r="E36" s="121" t="str">
        <v>Pasture type</v>
      </c>
      <c r="F36" s="122"/>
      <c r="G36" s="120"/>
      <c r="H36" s="117" t="str">
        <v/>
      </c>
      <c r="I36" s="111" t="str">
        <v>Input</v>
      </c>
      <c r="J36" s="117" t="str">
        <f>'Input - Pasture'!$E$9</f>
        <v>Grass clover mixture</v>
      </c>
      <c r="N36" s="117" t="str">
        <v>p</v>
      </c>
      <c r="O36" s="121" t="str">
        <v>Pasture type</v>
      </c>
      <c r="P36" s="122"/>
      <c r="Q36" s="120"/>
      <c r="R36" s="117" t="str">
        <v/>
      </c>
      <c r="S36" s="111" t="str">
        <v>Input</v>
      </c>
      <c r="T36" s="117"/>
    </row>
    <row r="37" spans="1:20" ht="20.100000000000001" customHeight="1" x14ac:dyDescent="0.25">
      <c r="D37" s="117" t="str">
        <v>i</v>
      </c>
      <c r="E37" s="121" t="str">
        <v>Wet or dry climate zone</v>
      </c>
      <c r="F37" s="122"/>
      <c r="G37" s="120"/>
      <c r="H37" s="117" t="str">
        <v/>
      </c>
      <c r="I37" s="111" t="str">
        <v>Input</v>
      </c>
      <c r="J37" s="117" t="str">
        <f>'Input - Site'!$E$32</f>
        <v>Dry climate zone</v>
      </c>
      <c r="N37" s="117" t="str">
        <v>i</v>
      </c>
      <c r="O37" s="121" t="str">
        <v>Wet or dry climate zone</v>
      </c>
      <c r="P37" s="122"/>
      <c r="Q37" s="120"/>
      <c r="R37" s="117" t="str">
        <v/>
      </c>
      <c r="S37" s="111" t="str">
        <v>Input</v>
      </c>
      <c r="T37" s="117"/>
    </row>
    <row r="38" spans="1:20" ht="20.100000000000001" customHeight="1" x14ac:dyDescent="0.25"/>
    <row r="39" spans="1:20" ht="20.100000000000001" customHeight="1" x14ac:dyDescent="0.25"/>
    <row r="40" spans="1:20" ht="20.100000000000001" customHeight="1" x14ac:dyDescent="0.25">
      <c r="D40" s="93" t="s">
        <v>109</v>
      </c>
      <c r="E40" s="94" cm="1">
        <f t="array" ref="E40">AgResidue_Equations_PastureResidue.VEERG_6_2_1_1__1__NitrousOxideEmissionsFromPastureResidues(J33,J34,J35)</f>
        <v>5.8320428571428569E-7</v>
      </c>
      <c r="F40" s="95" t="str" cm="1">
        <f t="array" ref="F40">AgResidue_Equations_PastureResidue.VEERG_6_2_1_1__1__NitrousOxideEmissionsFromPastureResidues_Unit()</f>
        <v>t N2O</v>
      </c>
      <c r="N40" s="93" t="s">
        <v>109</v>
      </c>
      <c r="O40" s="94" cm="1">
        <f t="array" ref="O40">AgResidue_Equations_PastureResidue.VEERG_6_2_1_1__1__NitrousOxideEmissionsFromPastureResidues(T33,J34,J35)</f>
        <v>5.8320428571428569E-7</v>
      </c>
      <c r="P40" s="95" t="str" cm="1">
        <f t="array" ref="P40">AgResidue_Equations_PastureResidue.VEERG_6_2_1_1__1__NitrousOxideEmissionsFromPastureResidues_Unit()</f>
        <v>t N2O</v>
      </c>
    </row>
    <row r="41" spans="1:20" ht="20.100000000000001" customHeight="1" x14ac:dyDescent="0.25"/>
    <row r="42" spans="1:20" ht="20.100000000000001" customHeight="1" x14ac:dyDescent="0.25">
      <c r="D42" s="54" t="str" cm="1">
        <f t="array" ref="D42:E43">Common_Equations.Common_ConvertN2OToCO2e_Arguments()</f>
        <v>EN2O</v>
      </c>
      <c r="E42" s="55" t="str">
        <v>Nitrous oxide emissions (t N2O)</v>
      </c>
      <c r="F42" s="56"/>
      <c r="G42" s="54">
        <f>E40</f>
        <v>5.8320428571428569E-7</v>
      </c>
      <c r="N42" s="54" t="str" cm="1">
        <f t="array" ref="N42:O43">Common_Equations.Common_ConvertN2OToCO2e_Arguments()</f>
        <v>EN2O</v>
      </c>
      <c r="O42" s="55" t="str">
        <v>Nitrous oxide emissions (t N2O)</v>
      </c>
      <c r="P42" s="56"/>
      <c r="Q42" s="54">
        <f>O40</f>
        <v>5.8320428571428569E-7</v>
      </c>
    </row>
    <row r="43" spans="1:20" ht="20.100000000000001" customHeight="1" x14ac:dyDescent="0.25">
      <c r="D43" s="54" t="str">
        <v>GWPN2O</v>
      </c>
      <c r="E43" s="55" t="str">
        <v>Global warming potential for nitrous oxide (t CO2-e / t N2O)</v>
      </c>
      <c r="F43" s="56"/>
      <c r="G43" s="50">
        <f>Common_InputFunctions.Utility_LookupValueInTableNumber("N2O",Table_GWPData[Gas],Table_GWPData[CO2-e factor])</f>
        <v>265</v>
      </c>
      <c r="N43" s="54" t="str">
        <v>GWPN2O</v>
      </c>
      <c r="O43" s="55" t="str">
        <v>Global warming potential for nitrous oxide (t CO2-e / t N2O)</v>
      </c>
      <c r="P43" s="56"/>
      <c r="Q43" s="50">
        <f>Common_InputFunctions.Utility_LookupValueInTableNumber("N2O",Table_GWPData[Gas],Table_GWPData[CO2-e factor])</f>
        <v>265</v>
      </c>
    </row>
    <row r="44" spans="1:20" ht="20.100000000000001" customHeight="1" x14ac:dyDescent="0.25"/>
    <row r="45" spans="1:20" ht="20.100000000000001" customHeight="1" x14ac:dyDescent="0.25">
      <c r="A45" s="123" t="str">
        <f>HYPERLINK("#A1", "▲ Back to top")</f>
        <v>▲ Back to top</v>
      </c>
      <c r="D45" s="1" t="s">
        <v>188</v>
      </c>
      <c r="E45" s="1" cm="1">
        <f t="array" ref="E45">Common_Equations.Common_ConvertN2OToCO2e(G42,G43)</f>
        <v>1.545491357142857E-4</v>
      </c>
      <c r="F45" s="52" t="str" cm="1">
        <f t="array" ref="F45">Common_Equations.Common_ConvertN2OToCO2e_Unit()</f>
        <v>t CO2e</v>
      </c>
      <c r="N45" s="1" t="s">
        <v>188</v>
      </c>
      <c r="O45" s="1" cm="1">
        <f t="array" ref="O45">Common_Equations.Common_ConvertN2OToCO2e(Q42,Q43)</f>
        <v>1.545491357142857E-4</v>
      </c>
      <c r="P45" s="52" t="str" cm="1">
        <f t="array" ref="P45">Common_Equations.Common_ConvertN2OToCO2e_Unit()</f>
        <v>t CO2e</v>
      </c>
    </row>
    <row r="46" spans="1:20" ht="20.100000000000001" customHeight="1" x14ac:dyDescent="0.25"/>
    <row r="47" spans="1:20" ht="20.100000000000001" customHeight="1" x14ac:dyDescent="0.25"/>
    <row r="48" spans="1:20" ht="20.100000000000001" customHeight="1" x14ac:dyDescent="0.25"/>
    <row r="49" ht="20.100000000000001" customHeight="1" x14ac:dyDescent="0.25"/>
    <row r="50" ht="20.100000000000001" customHeight="1" x14ac:dyDescent="0.25"/>
    <row r="51" ht="20.100000000000001" customHeight="1" x14ac:dyDescent="0.25"/>
    <row r="52" ht="20.100000000000001" customHeight="1" x14ac:dyDescent="0.25"/>
    <row r="53" ht="20.100000000000001" customHeight="1" x14ac:dyDescent="0.25"/>
    <row r="54" ht="20.100000000000001" customHeight="1" x14ac:dyDescent="0.25"/>
    <row r="55" ht="20.100000000000001" customHeight="1" x14ac:dyDescent="0.25"/>
    <row r="56" ht="20.100000000000001" customHeight="1" x14ac:dyDescent="0.25"/>
    <row r="57" ht="20.100000000000001" customHeight="1" x14ac:dyDescent="0.25"/>
    <row r="58" ht="20.100000000000001" customHeight="1" x14ac:dyDescent="0.25"/>
    <row r="59" ht="20.100000000000001" customHeight="1" x14ac:dyDescent="0.25"/>
    <row r="60" ht="20.100000000000001" customHeight="1" x14ac:dyDescent="0.25"/>
    <row r="61" ht="20.100000000000001" customHeight="1" x14ac:dyDescent="0.25"/>
    <row r="62" ht="20.100000000000001" customHeight="1" x14ac:dyDescent="0.25"/>
    <row r="63" ht="20.100000000000001" customHeight="1" x14ac:dyDescent="0.25"/>
    <row r="64" ht="20.100000000000001" customHeight="1" x14ac:dyDescent="0.25"/>
    <row r="65" spans="1:1" ht="20.100000000000001" customHeight="1" x14ac:dyDescent="0.25"/>
    <row r="66" spans="1:1" ht="20.100000000000001" customHeight="1" x14ac:dyDescent="0.25"/>
    <row r="67" spans="1:1" ht="20.100000000000001" customHeight="1" x14ac:dyDescent="0.25"/>
    <row r="68" spans="1:1" ht="20.100000000000001" customHeight="1" x14ac:dyDescent="0.25"/>
    <row r="69" spans="1:1" ht="20.100000000000001" customHeight="1" x14ac:dyDescent="0.25"/>
    <row r="70" spans="1:1" ht="20.100000000000001" customHeight="1" x14ac:dyDescent="0.25"/>
    <row r="71" spans="1:1" ht="20.100000000000001" customHeight="1" x14ac:dyDescent="0.25"/>
    <row r="72" spans="1:1" ht="20.100000000000001" customHeight="1" x14ac:dyDescent="0.25"/>
    <row r="73" spans="1:1" ht="20.100000000000001" customHeight="1" x14ac:dyDescent="0.25"/>
    <row r="74" spans="1:1" ht="20.100000000000001" customHeight="1" x14ac:dyDescent="0.25"/>
    <row r="75" spans="1:1" ht="20.100000000000001" customHeight="1" x14ac:dyDescent="0.25"/>
    <row r="76" spans="1:1" ht="20.100000000000001" customHeight="1" x14ac:dyDescent="0.25">
      <c r="A76" s="123" t="str">
        <f>HYPERLINK("#A1", "▲ Back to top")</f>
        <v>▲ Back to top</v>
      </c>
    </row>
    <row r="77" spans="1:1" ht="20.100000000000001" customHeight="1" x14ac:dyDescent="0.25"/>
    <row r="78" spans="1:1" ht="20.100000000000001" customHeight="1" x14ac:dyDescent="0.25"/>
    <row r="79" spans="1:1" ht="20.100000000000001" customHeight="1" x14ac:dyDescent="0.25"/>
    <row r="80" spans="1:1"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sheetData>
  <pageMargins left="0.7" right="0.7" top="0.75" bottom="0.75" header="0.3" footer="0.3"/>
  <pageSetup paperSize="9" orientation="portrait"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EA8CA9-D23F-475C-A9E9-0EA77FA1C03E}">
  <dimension ref="A1:T165"/>
  <sheetViews>
    <sheetView showGridLines="0" topLeftCell="D5" workbookViewId="0">
      <selection activeCell="D28" sqref="D28"/>
    </sheetView>
  </sheetViews>
  <sheetFormatPr defaultRowHeight="15.75" x14ac:dyDescent="0.25"/>
  <cols>
    <col min="1" max="1" width="30.7109375" customWidth="1"/>
    <col min="2" max="2" width="4.7109375" customWidth="1"/>
    <col min="3" max="3" width="4.7109375" style="1" customWidth="1"/>
    <col min="4" max="10" width="30.7109375" style="1" customWidth="1"/>
    <col min="11" max="11" width="4.7109375" style="1" customWidth="1"/>
    <col min="12" max="12" width="4.7109375" customWidth="1"/>
    <col min="13" max="13" width="4.7109375" style="1" customWidth="1"/>
    <col min="14" max="19" width="30.7109375" style="1" customWidth="1"/>
    <col min="20" max="20" width="4.7109375" style="1" customWidth="1"/>
  </cols>
  <sheetData>
    <row r="1" spans="1:20" s="8" customFormat="1" ht="30" customHeight="1" x14ac:dyDescent="0.35">
      <c r="A1" s="8" t="e" vm="1">
        <v>#VALUE!</v>
      </c>
      <c r="C1" s="8" t="s">
        <v>198</v>
      </c>
    </row>
    <row r="2" spans="1:20" s="9" customFormat="1" ht="20.100000000000001" customHeight="1" x14ac:dyDescent="0.25">
      <c r="A2"/>
    </row>
    <row r="3" spans="1:20" ht="20.100000000000001" customHeight="1" x14ac:dyDescent="0.25">
      <c r="A3" s="17" t="str">
        <f>HYPERLINK("#'Home'!A1", "Home")</f>
        <v>Home</v>
      </c>
      <c r="C3" s="4"/>
      <c r="D3" s="4" t="s">
        <v>80</v>
      </c>
      <c r="E3" s="4"/>
      <c r="F3" s="4"/>
      <c r="G3" s="4"/>
      <c r="H3" s="4"/>
      <c r="I3" s="4"/>
      <c r="J3" s="4"/>
      <c r="K3" s="4"/>
      <c r="M3" s="4"/>
      <c r="N3" s="4" t="s">
        <v>81</v>
      </c>
      <c r="O3" s="4"/>
      <c r="P3" s="4"/>
      <c r="Q3" s="4"/>
      <c r="R3" s="4"/>
      <c r="S3" s="4"/>
      <c r="T3" s="4"/>
    </row>
    <row r="4" spans="1:20" ht="20.100000000000001" customHeight="1" x14ac:dyDescent="0.25">
      <c r="A4" s="17" t="str">
        <f>HYPERLINK("#'Overview'!A1", "Overview")</f>
        <v>Overview</v>
      </c>
    </row>
    <row r="5" spans="1:20" ht="20.100000000000001" customHeight="1" x14ac:dyDescent="0.25">
      <c r="A5" s="17" t="str">
        <f>HYPERLINK("#'Results'!A1", "Results")</f>
        <v>Results</v>
      </c>
      <c r="C5" s="22"/>
      <c r="D5" s="6" t="str" cm="1">
        <f t="array" ref="D5">AgResidue_Equations_Leaching.VEERG_6_3_1_1__2__MassOfNitrogenLostThroughLeachingAndRunoff_Title()</f>
        <v>Mass of nitrogen lost through leaching and runoff</v>
      </c>
      <c r="E5" s="22"/>
      <c r="F5" s="22"/>
      <c r="G5" s="22"/>
      <c r="H5" s="22"/>
      <c r="I5" s="22"/>
      <c r="J5" s="22"/>
      <c r="K5" s="22"/>
    </row>
    <row r="6" spans="1:20" ht="20.100000000000001" customHeight="1" x14ac:dyDescent="0.25">
      <c r="A6" s="16"/>
      <c r="C6" s="22"/>
      <c r="D6" s="5" t="str" cm="1">
        <f t="array" ref="D6">AgResidue_Equations_Leaching.VEERG_6_3_1_1__2__MassOfNitrogenLostThroughLeachingAndRunoff_Source()</f>
        <v>VEERG 2026: 6.3.1.1, Equation (2)</v>
      </c>
      <c r="E6" s="22"/>
      <c r="F6" s="22"/>
      <c r="G6" s="22"/>
      <c r="H6" s="22"/>
      <c r="I6" s="22"/>
      <c r="J6" s="22"/>
      <c r="K6" s="22"/>
    </row>
    <row r="7" spans="1:20" ht="20.100000000000001" customHeight="1" x14ac:dyDescent="0.25">
      <c r="A7" s="20" t="s">
        <v>1</v>
      </c>
      <c r="C7" s="22"/>
      <c r="D7" s="13" t="s">
        <v>22</v>
      </c>
      <c r="E7" s="13" t="str" cm="1">
        <f t="array" aca="1" ref="E7" ca="1">Common_InputFunctions.Utility_DisplayFunctionName(I24)</f>
        <v>=AgResidue_Equations_Leaching.VEERG_6_3_1_1__2__MassOfNitrogenLostThroughLeachingAndRunoff</v>
      </c>
      <c r="F7" s="13"/>
      <c r="G7" s="22"/>
      <c r="H7" s="22"/>
      <c r="I7" s="22"/>
      <c r="J7" s="22"/>
      <c r="K7" s="22"/>
    </row>
    <row r="8" spans="1:20" ht="20.100000000000001" customHeight="1" x14ac:dyDescent="0.25">
      <c r="A8" s="17" t="str">
        <f>HYPERLINK("#'Input - Site'!A1", "Site")</f>
        <v>Site</v>
      </c>
      <c r="C8" s="22"/>
      <c r="F8" s="22"/>
      <c r="G8" s="22"/>
      <c r="H8" s="22"/>
      <c r="I8" s="22"/>
      <c r="J8" s="22"/>
      <c r="K8" s="22"/>
    </row>
    <row r="9" spans="1:20" ht="20.100000000000001" customHeight="1" x14ac:dyDescent="0.25">
      <c r="A9" s="17" t="str">
        <f>HYPERLINK("#'Input - Crop'!A1", "Crop")</f>
        <v>Crop</v>
      </c>
      <c r="C9" s="22"/>
      <c r="D9" s="22"/>
      <c r="E9" s="22"/>
      <c r="F9" s="22"/>
      <c r="G9" s="22"/>
      <c r="H9" s="22"/>
      <c r="I9" s="22"/>
      <c r="J9" s="22"/>
      <c r="K9" s="22"/>
    </row>
    <row r="10" spans="1:20" ht="20.100000000000001" customHeight="1" x14ac:dyDescent="0.25">
      <c r="A10" s="17" t="str">
        <f>HYPERLINK("#'Input - Pasture'!A1", "Pasture")</f>
        <v>Pasture</v>
      </c>
      <c r="C10" s="22"/>
      <c r="D10" s="26" t="s">
        <v>25</v>
      </c>
      <c r="E10" s="22" t="str" cm="1">
        <f t="array" ref="E10">AgResidue_Equations_Leaching.VEERG_6_3_1_1__2__MassOfNitrogenLostThroughLeachingAndRunoff_Variable()</f>
        <v>M_leachcp</v>
      </c>
      <c r="F10" s="22"/>
      <c r="G10" s="5"/>
      <c r="H10" s="22"/>
      <c r="I10" s="22"/>
      <c r="J10" s="22"/>
      <c r="K10" s="22"/>
    </row>
    <row r="11" spans="1:20" ht="20.100000000000001" customHeight="1" x14ac:dyDescent="0.25">
      <c r="C11" s="22"/>
      <c r="D11" s="26" t="s">
        <v>16</v>
      </c>
      <c r="E11" s="52" t="str" cm="1">
        <f t="array" ref="E11">AgResidue_Equations_Leaching.VEERG_6_3_1_1__2__MassOfNitrogenLostThroughLeachingAndRunoff_Unit()</f>
        <v>kg N</v>
      </c>
      <c r="F11" s="22"/>
      <c r="G11" s="22"/>
      <c r="H11" s="22"/>
      <c r="I11" s="22"/>
      <c r="J11" s="22"/>
      <c r="K11" s="22"/>
    </row>
    <row r="12" spans="1:20" ht="20.100000000000001" customHeight="1" x14ac:dyDescent="0.25">
      <c r="A12" s="19" t="s">
        <v>69</v>
      </c>
      <c r="C12" s="22"/>
      <c r="D12" s="22"/>
      <c r="E12" s="22"/>
      <c r="F12" s="22"/>
      <c r="G12" s="22"/>
      <c r="H12" s="22"/>
      <c r="I12" s="22"/>
      <c r="J12" s="22"/>
      <c r="K12" s="22"/>
    </row>
    <row r="13" spans="1:20" ht="20.100000000000001" customHeight="1" x14ac:dyDescent="0.25">
      <c r="A13" s="17" t="str">
        <f>HYPERLINK("#'6.1.1.1-2 Crop residue N2O'!A1", "6.1.1.1-2 Crop residue N2O")</f>
        <v>6.1.1.1-2 Crop residue N2O</v>
      </c>
      <c r="C13" s="22"/>
      <c r="D13" s="117" t="str" cm="1">
        <f t="array" ref="D13:E19">_xlfn.CHOOSECOLS(AgResidue_Equations_Leaching.VEERG_6_3_1_1__2__MassOfNitrogenLostThroughLeachingAndRunoff_Arguments(), 1,2)</f>
        <v>M_cp</v>
      </c>
      <c r="E13" s="121" t="str">
        <v>mass of nitrogen in crop residues c or pasture residues p applied to soils</v>
      </c>
      <c r="F13" s="122"/>
      <c r="G13" s="120"/>
      <c r="H13" s="117" t="str" cm="1">
        <f t="array" ref="H13:I19">_xlfn.CHOOSECOLS(AgResidue_Equations_Leaching.VEERG_6_3_1_1__2__MassOfNitrogenLostThroughLeachingAndRunoff_Arguments(), 3,4)</f>
        <v>kg N</v>
      </c>
      <c r="I13" s="110" t="str">
        <v>Calc from 6.1.1.1 (2) and 6.2.1.1 (2)</v>
      </c>
      <c r="J13" s="116" t="str" cm="1">
        <f t="array" aca="1" ref="J13" ca="1">HYPERLINK(Common_InputFunctions.Utility_SourceHyperlink($D$21), $D$21)</f>
        <v>M1_Table_M_leach_cp</v>
      </c>
      <c r="K13" s="22"/>
    </row>
    <row r="14" spans="1:20" ht="20.100000000000001" customHeight="1" x14ac:dyDescent="0.25">
      <c r="A14" s="17" t="str">
        <f>HYPERLINK("#'6.2.1.1-2 Pasture residue N2O'!A1", "6.2.1.1-2 Pasture residue N2O")</f>
        <v>6.2.1.1-2 Pasture residue N2O</v>
      </c>
      <c r="C14" s="22"/>
      <c r="D14" s="117" t="str">
        <v>FracWET_j</v>
      </c>
      <c r="E14" s="121" t="str">
        <v>fraction of N that is available for leaching and runoff from the leaching zone z and irrigation type ir</v>
      </c>
      <c r="F14" s="122"/>
      <c r="G14" s="120"/>
      <c r="H14" s="117" t="str">
        <v>fraction</v>
      </c>
      <c r="I14" s="110" t="str">
        <v>Constant</v>
      </c>
      <c r="J14" s="116" t="str" cm="1">
        <f t="array" aca="1" ref="J14" ca="1">HYPERLINK(Common_InputFunctions.Utility_SourceHyperlink($D$21), $D$21)</f>
        <v>M1_Table_M_leach_cp</v>
      </c>
      <c r="K14" s="22"/>
    </row>
    <row r="15" spans="1:20" ht="20.100000000000001" customHeight="1" x14ac:dyDescent="0.25">
      <c r="A15" s="131" t="str">
        <f>HYPERLINK("#'6.3.1.1-2 Leaching and runoff'!A1", "6.3.1.1-2 Leaching and runoff")</f>
        <v>6.3.1.1-2 Leaching and runoff</v>
      </c>
      <c r="C15" s="22"/>
      <c r="D15" s="117" t="str">
        <v>FracLEACH</v>
      </c>
      <c r="E15" s="121" t="str">
        <v>fraction of N that is lost through leaching and runoff</v>
      </c>
      <c r="F15" s="122"/>
      <c r="G15" s="120"/>
      <c r="H15" s="117" t="str">
        <v>fraction</v>
      </c>
      <c r="I15" s="110" t="str">
        <v>Constant</v>
      </c>
      <c r="J15" s="117">
        <f>'Constants - Common'!$E$164</f>
        <v>0.24</v>
      </c>
      <c r="K15" s="22"/>
    </row>
    <row r="16" spans="1:20" ht="20.100000000000001" customHeight="1" x14ac:dyDescent="0.25">
      <c r="A16" s="17" t="str">
        <f>HYPERLINK("#'6.4.1.1-2 Residue burning'!A1", "6.4.1.1-2 Residue burning")</f>
        <v>6.4.1.1-2 Residue burning</v>
      </c>
      <c r="C16" s="22"/>
      <c r="D16" s="117" t="str">
        <v>z</v>
      </c>
      <c r="E16" s="121" t="str">
        <v>Location in leaching zone</v>
      </c>
      <c r="F16" s="122"/>
      <c r="G16" s="120"/>
      <c r="H16" s="117" t="str">
        <v/>
      </c>
      <c r="I16" s="111" t="str">
        <v>Input</v>
      </c>
      <c r="J16" s="116" t="str" cm="1">
        <f t="array" aca="1" ref="J16" ca="1">HYPERLINK(Common_InputFunctions.Utility_SourceHyperlink($D$21), $D$21)</f>
        <v>M1_Table_M_leach_cp</v>
      </c>
      <c r="K16" s="22"/>
    </row>
    <row r="17" spans="1:20" ht="20.100000000000001" customHeight="1" x14ac:dyDescent="0.25">
      <c r="A17" s="17"/>
      <c r="C17" s="22"/>
      <c r="D17" s="117" t="str">
        <v>c</v>
      </c>
      <c r="E17" s="121" t="str">
        <v>Crop residue type</v>
      </c>
      <c r="F17" s="122"/>
      <c r="G17" s="120"/>
      <c r="H17" s="117" t="str">
        <v/>
      </c>
      <c r="I17" s="111" t="str">
        <v>Input</v>
      </c>
      <c r="J17" s="117" t="str">
        <f>'Input - Crop'!$E$9</f>
        <v>Wheat</v>
      </c>
      <c r="K17" s="22"/>
    </row>
    <row r="18" spans="1:20" ht="20.100000000000001" customHeight="1" x14ac:dyDescent="0.25">
      <c r="A18" s="18" t="s">
        <v>2</v>
      </c>
      <c r="C18" s="22"/>
      <c r="D18" s="117" t="str">
        <v>p</v>
      </c>
      <c r="E18" s="121" t="str">
        <v>Pasture residue type</v>
      </c>
      <c r="F18" s="122"/>
      <c r="G18" s="120"/>
      <c r="H18" s="117" t="str">
        <v/>
      </c>
      <c r="I18" s="111" t="str">
        <v>Input</v>
      </c>
      <c r="J18" s="117" t="str">
        <f>'Input - Pasture'!$E$9</f>
        <v>Grass clover mixture</v>
      </c>
      <c r="K18" s="22"/>
    </row>
    <row r="19" spans="1:20" ht="20.100000000000001" customHeight="1" x14ac:dyDescent="0.25">
      <c r="A19" s="17" t="str">
        <f>HYPERLINK("#'Constants - Ag Residue'!A1", "Constants - Ag Residue")</f>
        <v>Constants - Ag Residue</v>
      </c>
      <c r="C19" s="22"/>
      <c r="D19" s="117" t="str">
        <v>ir</v>
      </c>
      <c r="E19" s="121" t="str">
        <v>Irrigation type</v>
      </c>
      <c r="F19" s="122"/>
      <c r="G19" s="120"/>
      <c r="H19" s="117" t="str">
        <v/>
      </c>
      <c r="I19" s="111" t="str">
        <v>Input</v>
      </c>
      <c r="J19" s="116" t="str" cm="1">
        <f t="array" aca="1" ref="J19" ca="1">HYPERLINK(Common_InputFunctions.Utility_SourceHyperlink($D$21), $D$21)</f>
        <v>M1_Table_M_leach_cp</v>
      </c>
      <c r="K19" s="22"/>
    </row>
    <row r="20" spans="1:20" ht="20.100000000000001" customHeight="1" x14ac:dyDescent="0.25">
      <c r="A20" s="17" t="str">
        <f>HYPERLINK("#'Constants - Common'!A1", "Constants - Common")</f>
        <v>Constants - Common</v>
      </c>
      <c r="C20" s="22"/>
      <c r="D20" s="22"/>
      <c r="E20" s="22"/>
      <c r="F20" s="22"/>
      <c r="G20" s="22"/>
      <c r="H20" s="22"/>
      <c r="I20" s="22"/>
      <c r="J20" s="22"/>
      <c r="K20" s="22"/>
    </row>
    <row r="21" spans="1:20" ht="20.100000000000001" customHeight="1" x14ac:dyDescent="0.25">
      <c r="C21" s="22"/>
      <c r="D21" s="92" t="s">
        <v>208</v>
      </c>
      <c r="E21" s="22"/>
      <c r="F21" s="22"/>
      <c r="G21" s="22"/>
      <c r="H21" s="22"/>
      <c r="I21" s="22"/>
      <c r="J21" s="22"/>
      <c r="K21" s="22"/>
      <c r="N21" s="92" t="s">
        <v>208</v>
      </c>
      <c r="O21" s="22"/>
      <c r="P21" s="22"/>
      <c r="Q21" s="22"/>
      <c r="R21" s="22"/>
      <c r="S21" s="22"/>
    </row>
    <row r="22" spans="1:20" ht="20.100000000000001" customHeight="1" x14ac:dyDescent="0.25">
      <c r="C22" s="22"/>
      <c r="D22" s="91" t="s">
        <v>209</v>
      </c>
      <c r="E22" s="22"/>
      <c r="F22" s="22"/>
      <c r="G22" s="22"/>
      <c r="H22" s="22"/>
      <c r="I22" s="22"/>
      <c r="J22" s="22"/>
      <c r="K22" s="22"/>
      <c r="N22" s="91" t="s">
        <v>209</v>
      </c>
      <c r="O22" s="22"/>
      <c r="P22" s="22"/>
      <c r="Q22" s="22"/>
      <c r="R22" s="22"/>
      <c r="S22" s="22"/>
    </row>
    <row r="23" spans="1:20" ht="20.100000000000001" customHeight="1" x14ac:dyDescent="0.25">
      <c r="A23" s="17"/>
      <c r="C23" s="22"/>
      <c r="D23" s="109" t="s">
        <v>202</v>
      </c>
      <c r="E23" s="49" t="s">
        <v>204</v>
      </c>
      <c r="F23" s="109" t="s">
        <v>206</v>
      </c>
      <c r="G23" s="109" t="s">
        <v>7</v>
      </c>
      <c r="H23" s="49" t="s">
        <v>203</v>
      </c>
      <c r="I23" s="49" t="s">
        <v>205</v>
      </c>
      <c r="J23" s="22"/>
      <c r="K23" s="22"/>
      <c r="N23" s="109" t="s">
        <v>202</v>
      </c>
      <c r="O23" s="49" t="s">
        <v>204</v>
      </c>
      <c r="P23" s="109" t="s">
        <v>206</v>
      </c>
      <c r="Q23" s="109" t="s">
        <v>7</v>
      </c>
      <c r="R23" s="49" t="s">
        <v>203</v>
      </c>
      <c r="S23" s="49" t="s">
        <v>205</v>
      </c>
    </row>
    <row r="24" spans="1:20" ht="20.100000000000001" customHeight="1" x14ac:dyDescent="0.25">
      <c r="D24" s="50" t="s">
        <v>200</v>
      </c>
      <c r="E24" s="50">
        <f>'6.1.1.1-2 Crop residue N2O'!$E$24</f>
        <v>85.00800000000001</v>
      </c>
      <c r="F24" s="50" t="str">
        <f>'Input - Crop'!$E$11</f>
        <v>Sprinkler irrigation</v>
      </c>
      <c r="G24" s="50" t="str">
        <f>'Input - Site'!E$23</f>
        <v>NO - Not in leaching zone</v>
      </c>
      <c r="H24" s="50">
        <f>CommonCropping_InputFunctions.CommonCropping_GetFracWET(G24,F24,#REF!,#REF!, Table_SourceData_FracWETIrrigation[Irrigation type i],Table_SourceData_FracWETIrrigation[FracWET])</f>
        <v>1</v>
      </c>
      <c r="I24" s="50" cm="1">
        <f t="array" ref="I24">AgResidue_Equations_Leaching.VEERG_6_3_1_1__2__MassOfNitrogenLostThroughLeachingAndRunoff(E24,H24,$J$15)</f>
        <v>20.40192</v>
      </c>
      <c r="N24" s="50"/>
      <c r="O24" s="50">
        <f>'6.1.1.1-2 Crop residue N2O'!$N$59</f>
        <v>85.00800000000001</v>
      </c>
      <c r="P24" s="50"/>
      <c r="Q24" s="50"/>
      <c r="R24" s="50"/>
      <c r="S24" s="50" cm="1">
        <f t="array" ref="S24">AgResidue_Equations_Leaching.VEERG_6_3_1_1__2__MassOfNitrogenLostThroughLeachingAndRunoff(O24,H24,$J$15)</f>
        <v>20.40192</v>
      </c>
    </row>
    <row r="25" spans="1:20" ht="20.100000000000001" customHeight="1" x14ac:dyDescent="0.25">
      <c r="D25" s="50" t="s">
        <v>201</v>
      </c>
      <c r="E25" s="50">
        <f>'6.2.1.1-2 Pasture residue N2O'!$E$21</f>
        <v>7.4226E-2</v>
      </c>
      <c r="F25" s="50" t="str">
        <f>'Input - Pasture'!$E$10</f>
        <v>Surface irrigation</v>
      </c>
      <c r="G25" s="50" t="str">
        <f>'Input - Site'!E$23</f>
        <v>NO - Not in leaching zone</v>
      </c>
      <c r="H25" s="50">
        <f>CommonCropping_InputFunctions.CommonCropping_GetFracWET(G25,F25,#REF!,#REF!, Table_SourceData_FracWETIrrigation[Irrigation type i],Table_SourceData_FracWETIrrigation[FracWET])</f>
        <v>1</v>
      </c>
      <c r="I25" s="50" cm="1">
        <f t="array" ref="I25">AgResidue_Equations_Leaching.VEERG_6_3_1_1__2__MassOfNitrogenLostThroughLeachingAndRunoff(E25,H25,$J$15)</f>
        <v>1.7814239999999999E-2</v>
      </c>
      <c r="N25" s="50"/>
      <c r="O25" s="50">
        <f>'6.2.1.1-2 Pasture residue N2O'!$O$21</f>
        <v>7.4226E-2</v>
      </c>
      <c r="P25" s="50"/>
      <c r="Q25" s="50"/>
      <c r="R25" s="50"/>
      <c r="S25" s="50" cm="1">
        <f t="array" ref="S25">AgResidue_Equations_Leaching.VEERG_6_3_1_1__2__MassOfNitrogenLostThroughLeachingAndRunoff(O25,H25,$J$15)</f>
        <v>1.7814239999999999E-2</v>
      </c>
    </row>
    <row r="26" spans="1:20" ht="20.100000000000001" customHeight="1" x14ac:dyDescent="0.25"/>
    <row r="27" spans="1:20" ht="20.100000000000001" customHeight="1" x14ac:dyDescent="0.25">
      <c r="C27" s="137"/>
      <c r="D27" s="137"/>
      <c r="E27" s="137"/>
      <c r="F27" s="137"/>
      <c r="G27" s="137"/>
      <c r="H27" s="137"/>
      <c r="I27" s="137"/>
      <c r="J27" s="137"/>
      <c r="K27" s="137"/>
      <c r="M27" s="137"/>
      <c r="N27" s="137"/>
      <c r="O27" s="137"/>
      <c r="P27" s="137"/>
      <c r="Q27" s="137"/>
      <c r="R27" s="137"/>
      <c r="S27" s="137"/>
      <c r="T27" s="137"/>
    </row>
    <row r="28" spans="1:20" ht="20.100000000000001" customHeight="1" x14ac:dyDescent="0.25">
      <c r="C28" s="22"/>
      <c r="D28" s="6" t="str" cm="1">
        <f t="array" ref="D28">AgResidue_Equations_Leaching.VEERG_6_3_1_1__1__LeachingAndRunoffEmissionsCropAndPastureResidue_Title()</f>
        <v>Nitrous oxide leaching and runoff emissions from crop and pasture residues returned to the soil</v>
      </c>
      <c r="E28" s="22"/>
      <c r="F28" s="141"/>
      <c r="G28" s="22"/>
      <c r="H28" s="22"/>
      <c r="I28" s="22"/>
      <c r="J28" s="22"/>
      <c r="K28" s="22"/>
    </row>
    <row r="29" spans="1:20" ht="20.100000000000001" customHeight="1" x14ac:dyDescent="0.25">
      <c r="C29" s="22"/>
      <c r="D29" s="5" t="str" cm="1">
        <f t="array" ref="D29">AgResidue_Equations_Leaching.VEERG_6_3_1_1__1__LeachingAndRunoffEmissionsCropAndPastureResidue_Source()</f>
        <v>VEERG 2026: 6.3.1.1, Equation (1)</v>
      </c>
      <c r="E29" s="22"/>
      <c r="F29" s="22"/>
      <c r="G29" s="22"/>
      <c r="H29" s="22"/>
      <c r="I29" s="22"/>
      <c r="J29" s="22"/>
      <c r="K29" s="22"/>
    </row>
    <row r="30" spans="1:20" ht="20.100000000000001" customHeight="1" x14ac:dyDescent="0.25">
      <c r="C30" s="22"/>
      <c r="D30" s="13" t="s">
        <v>22</v>
      </c>
      <c r="E30" s="13" t="str" cm="1">
        <f t="array" aca="1" ref="E30" ca="1">Common_InputFunctions.Utility_DisplayFunctionName(E45)</f>
        <v>=AgResidue_Equations_Leaching.VEERG_6_3_1_1__1__LeachingAndRunoffEmissionsCropAndPastureResidue</v>
      </c>
      <c r="F30" s="22"/>
      <c r="G30" s="22"/>
      <c r="H30" s="22"/>
      <c r="I30" s="22"/>
      <c r="J30" s="22"/>
      <c r="K30" s="22"/>
    </row>
    <row r="31" spans="1:20" ht="20.100000000000001" customHeight="1" x14ac:dyDescent="0.25">
      <c r="C31" s="22"/>
      <c r="D31" s="22"/>
      <c r="E31" s="22"/>
      <c r="F31" s="22"/>
      <c r="G31" s="22"/>
      <c r="H31" s="22"/>
      <c r="I31" s="22"/>
      <c r="J31" s="22"/>
      <c r="K31" s="22"/>
    </row>
    <row r="32" spans="1:20" ht="20.100000000000001" customHeight="1" x14ac:dyDescent="0.25">
      <c r="C32" s="22"/>
      <c r="D32" s="22"/>
      <c r="E32" s="22"/>
      <c r="F32" s="5"/>
      <c r="G32" s="22"/>
      <c r="H32" s="22"/>
      <c r="I32" s="22"/>
      <c r="J32" s="22"/>
      <c r="K32" s="22"/>
    </row>
    <row r="33" spans="1:17" ht="20.100000000000001" customHeight="1" x14ac:dyDescent="0.25">
      <c r="C33" s="22"/>
      <c r="D33" s="26" t="s">
        <v>25</v>
      </c>
      <c r="E33" s="22" t="str" cm="1">
        <f t="array" ref="E33">AgResidue_Equations_Leaching.VEERG_6_3_1_1__1__LeachingAndRunoffEmissionsCropAndPastureResidue_Variable()</f>
        <v>EN2O</v>
      </c>
      <c r="F33" s="22"/>
      <c r="G33" s="22"/>
      <c r="H33" s="22"/>
      <c r="I33" s="22"/>
      <c r="J33" s="22"/>
      <c r="K33" s="22"/>
    </row>
    <row r="34" spans="1:17" ht="20.100000000000001" customHeight="1" x14ac:dyDescent="0.25">
      <c r="A34" s="123" t="str">
        <f>HYPERLINK("#A1", "▲ Back to top")</f>
        <v>▲ Back to top</v>
      </c>
      <c r="C34" s="22"/>
      <c r="D34" s="26" t="s">
        <v>16</v>
      </c>
      <c r="E34" s="52" t="str" cm="1">
        <f t="array" ref="E34">AgResidue_Equations_Leaching.VEERG_6_3_1_1__1__LeachingAndRunoffEmissionsCropAndPastureResidue_Unit()</f>
        <v>t N2O</v>
      </c>
      <c r="F34" s="22"/>
      <c r="G34" s="22"/>
      <c r="H34" s="22"/>
      <c r="I34" s="22"/>
      <c r="J34" s="22"/>
      <c r="K34" s="22"/>
    </row>
    <row r="35" spans="1:17" ht="20.100000000000001" customHeight="1" x14ac:dyDescent="0.25">
      <c r="C35" s="22"/>
      <c r="D35" s="22"/>
      <c r="E35" s="22"/>
      <c r="F35" s="22"/>
      <c r="G35" s="22"/>
      <c r="H35" s="22"/>
      <c r="I35" s="22"/>
      <c r="J35" s="22"/>
      <c r="K35" s="22"/>
    </row>
    <row r="36" spans="1:17" ht="20.100000000000001" customHeight="1" x14ac:dyDescent="0.25">
      <c r="C36" s="22"/>
      <c r="D36" s="117" t="str" cm="1">
        <f t="array" ref="D36:E40">_xlfn.CHOOSECOLS(AgResidue_Equations_Leaching.VEERG_6_3_1_1__1__LeachingAndRunoffEmissionsCropAndPastureResidue_Arguments(),1,2)</f>
        <v>M_leachcp</v>
      </c>
      <c r="E36" s="121" t="str">
        <v>mass of nitrogen lost through leaching and runoff from the crop residue c or pasture residue p</v>
      </c>
      <c r="F36" s="122"/>
      <c r="G36" s="120"/>
      <c r="H36" s="117" t="str" cm="1">
        <f t="array" ref="H36:I40">_xlfn.CHOOSECOLS(AgResidue_Equations_Leaching.VEERG_6_3_1_1__1__LeachingAndRunoffEmissionsCropAndPastureResidue_Arguments(),3,4)</f>
        <v>kg N</v>
      </c>
      <c r="I36" s="110" t="str">
        <v>Calculated from 6.3.1.1 (2)</v>
      </c>
      <c r="J36" s="117" t="str" cm="1">
        <f t="array" aca="1" ref="J36" ca="1">HYPERLINK(Common_InputFunctions.Utility_SourceHyperlink($D$21), $D$21)</f>
        <v>M1_Table_M_leach_cp</v>
      </c>
      <c r="K36" s="22"/>
    </row>
    <row r="37" spans="1:17" ht="20.100000000000001" customHeight="1" x14ac:dyDescent="0.25">
      <c r="C37" s="22"/>
      <c r="D37" s="117" t="str">
        <v>EF_leach</v>
      </c>
      <c r="E37" s="121" t="str">
        <v>emission factor for leaching and runoff</v>
      </c>
      <c r="F37" s="122"/>
      <c r="G37" s="120"/>
      <c r="H37" s="117" t="str">
        <v>kg N2O-N/kg N</v>
      </c>
      <c r="I37" s="110" t="str">
        <v>Constant</v>
      </c>
      <c r="J37" s="117">
        <f>'Constants - Common'!$E$170</f>
        <v>1.0999999999999999E-2</v>
      </c>
      <c r="K37" s="22"/>
    </row>
    <row r="38" spans="1:17" ht="20.100000000000001" customHeight="1" x14ac:dyDescent="0.25">
      <c r="C38" s="22"/>
      <c r="D38" s="117" t="str">
        <v>C_N2O</v>
      </c>
      <c r="E38" s="121" t="str">
        <v>factor to convert elemental mass of nitrous oxide to molecular mass</v>
      </c>
      <c r="F38" s="122"/>
      <c r="G38" s="120"/>
      <c r="H38" s="117" t="str">
        <v>dimensionless</v>
      </c>
      <c r="I38" s="110" t="str">
        <v>Constant</v>
      </c>
      <c r="J38" s="117">
        <f>Common_InputFunctions.Utility_LookupValueInTableNumber("N2O",Table_GasToMolecularConversionFactor[Gas],Table_GasToMolecularConversionFactor[Conversion factor combined])</f>
        <v>1.5714285714285714</v>
      </c>
      <c r="K38" s="22"/>
    </row>
    <row r="39" spans="1:17" ht="20.100000000000001" customHeight="1" x14ac:dyDescent="0.25">
      <c r="C39" s="22"/>
      <c r="D39" s="117" t="str">
        <v>c</v>
      </c>
      <c r="E39" s="121" t="str">
        <v>Crop residue type</v>
      </c>
      <c r="F39" s="122"/>
      <c r="G39" s="120"/>
      <c r="H39" s="117" t="str">
        <v/>
      </c>
      <c r="I39" s="111" t="str">
        <v>Input</v>
      </c>
      <c r="J39" s="117" t="str">
        <f>'Input - Crop'!E9</f>
        <v>Wheat</v>
      </c>
      <c r="K39" s="22"/>
    </row>
    <row r="40" spans="1:17" ht="20.100000000000001" customHeight="1" x14ac:dyDescent="0.25">
      <c r="C40" s="22"/>
      <c r="D40" s="117" t="str">
        <v>p</v>
      </c>
      <c r="E40" s="121" t="str">
        <v>Pasture residue type</v>
      </c>
      <c r="F40" s="122"/>
      <c r="G40" s="120"/>
      <c r="H40" s="117" t="str">
        <v/>
      </c>
      <c r="I40" s="111" t="str">
        <v>Input</v>
      </c>
      <c r="J40" s="117" t="str">
        <f>'Input - Pasture'!$E$9</f>
        <v>Grass clover mixture</v>
      </c>
      <c r="K40" s="22"/>
    </row>
    <row r="41" spans="1:17" ht="20.100000000000001" customHeight="1" x14ac:dyDescent="0.25">
      <c r="C41" s="22"/>
      <c r="D41" s="22"/>
      <c r="E41" s="22"/>
      <c r="F41" s="22"/>
      <c r="G41" s="22"/>
      <c r="H41" s="22"/>
      <c r="I41" s="22"/>
      <c r="J41" s="22"/>
      <c r="K41" s="22"/>
    </row>
    <row r="42" spans="1:17" ht="20.100000000000001" customHeight="1" x14ac:dyDescent="0.25">
      <c r="C42" s="22"/>
      <c r="D42" s="92" t="s">
        <v>210</v>
      </c>
      <c r="E42" s="22"/>
      <c r="F42" s="22"/>
      <c r="G42" s="22"/>
      <c r="H42" s="22"/>
      <c r="I42" s="22"/>
      <c r="J42" s="22"/>
      <c r="K42" s="22"/>
      <c r="N42" s="92" t="s">
        <v>210</v>
      </c>
      <c r="O42" s="22"/>
      <c r="P42" s="22"/>
      <c r="Q42" s="22"/>
    </row>
    <row r="43" spans="1:17" ht="20.100000000000001" customHeight="1" x14ac:dyDescent="0.25">
      <c r="C43" s="22"/>
      <c r="D43" s="91" t="s">
        <v>211</v>
      </c>
      <c r="E43" s="22"/>
      <c r="F43" s="22"/>
      <c r="G43" s="22"/>
      <c r="H43" s="22"/>
      <c r="I43" s="22"/>
      <c r="J43" s="22"/>
      <c r="K43" s="22"/>
      <c r="N43" s="91" t="s">
        <v>211</v>
      </c>
      <c r="O43" s="22"/>
      <c r="P43" s="22"/>
      <c r="Q43" s="22"/>
    </row>
    <row r="44" spans="1:17" ht="20.100000000000001" customHeight="1" x14ac:dyDescent="0.25">
      <c r="C44" s="22"/>
      <c r="D44" s="49" t="s">
        <v>205</v>
      </c>
      <c r="E44" s="49" t="s">
        <v>207</v>
      </c>
      <c r="F44" s="22"/>
      <c r="G44" s="22"/>
      <c r="H44" s="22"/>
      <c r="I44" s="22"/>
      <c r="J44" s="22"/>
      <c r="K44" s="22"/>
      <c r="N44" s="49" t="s">
        <v>205</v>
      </c>
      <c r="O44" s="49" t="s">
        <v>207</v>
      </c>
      <c r="P44" s="22"/>
      <c r="Q44" s="22"/>
    </row>
    <row r="45" spans="1:17" ht="20.100000000000001" customHeight="1" x14ac:dyDescent="0.25">
      <c r="C45" s="22"/>
      <c r="D45" s="50">
        <f>I24</f>
        <v>20.40192</v>
      </c>
      <c r="E45" s="50" cm="1">
        <f t="array" ref="E45">AgResidue_Equations_Leaching.VEERG_6_3_1_1__1__LeachingAndRunoffEmissionsCropAndPastureResidue(D45,$J$37,$J$38)</f>
        <v>3.5266175999999999E-4</v>
      </c>
      <c r="F45" s="22"/>
      <c r="G45" s="22"/>
      <c r="H45" s="22"/>
      <c r="I45" s="22"/>
      <c r="J45" s="22"/>
      <c r="K45" s="22"/>
      <c r="N45" s="50">
        <f>S24</f>
        <v>20.40192</v>
      </c>
      <c r="O45" s="50" cm="1">
        <f t="array" ref="O45">AgResidue_Equations_Leaching.VEERG_6_3_1_1__1__LeachingAndRunoffEmissionsCropAndPastureResidue(N45,$J$37,$J$38)</f>
        <v>3.5266175999999999E-4</v>
      </c>
      <c r="P45" s="22"/>
      <c r="Q45" s="22"/>
    </row>
    <row r="46" spans="1:17" ht="20.100000000000001" customHeight="1" x14ac:dyDescent="0.25">
      <c r="C46" s="22"/>
      <c r="D46" s="50">
        <f>I25</f>
        <v>1.7814239999999999E-2</v>
      </c>
      <c r="E46" s="50" cm="1">
        <f t="array" ref="E46">AgResidue_Equations_Leaching.VEERG_6_3_1_1__1__LeachingAndRunoffEmissionsCropAndPastureResidue(D46,$J$37,$J$38)</f>
        <v>3.0793186285714277E-7</v>
      </c>
      <c r="F46" s="22"/>
      <c r="G46" s="22"/>
      <c r="H46" s="22"/>
      <c r="I46" s="22"/>
      <c r="J46" s="22"/>
      <c r="K46" s="22"/>
      <c r="N46" s="50">
        <f>S25</f>
        <v>1.7814239999999999E-2</v>
      </c>
      <c r="O46" s="50" cm="1">
        <f t="array" ref="O46">AgResidue_Equations_Leaching.VEERG_6_3_1_1__1__LeachingAndRunoffEmissionsCropAndPastureResidue(N46,$J$37,$J$38)</f>
        <v>3.0793186285714277E-7</v>
      </c>
      <c r="P46" s="22"/>
      <c r="Q46" s="22"/>
    </row>
    <row r="47" spans="1:17" ht="20.100000000000001" customHeight="1" x14ac:dyDescent="0.25">
      <c r="C47" s="22"/>
      <c r="F47" s="22"/>
      <c r="G47" s="22"/>
      <c r="H47" s="22"/>
      <c r="I47" s="22"/>
      <c r="J47" s="22"/>
      <c r="K47" s="22"/>
      <c r="P47" s="22"/>
      <c r="Q47" s="22"/>
    </row>
    <row r="48" spans="1:17" ht="20.100000000000001" customHeight="1" x14ac:dyDescent="0.4">
      <c r="C48" s="22"/>
      <c r="D48" s="142" t="s">
        <v>199</v>
      </c>
      <c r="E48" s="143">
        <f>SUM(E45:E46)</f>
        <v>3.5296969186285711E-4</v>
      </c>
      <c r="F48" s="95" t="str">
        <f>$E$34</f>
        <v>t N2O</v>
      </c>
      <c r="G48" s="22"/>
      <c r="H48" s="22"/>
      <c r="I48" s="22"/>
      <c r="J48" s="22"/>
      <c r="K48" s="22"/>
      <c r="N48" s="142" t="s">
        <v>199</v>
      </c>
      <c r="O48" s="143">
        <f>SUM(O45:O46)</f>
        <v>3.5296969186285711E-4</v>
      </c>
      <c r="P48" s="95" t="str">
        <f>$E$34</f>
        <v>t N2O</v>
      </c>
      <c r="Q48" s="22"/>
    </row>
    <row r="49" spans="1:17" ht="20.100000000000001" customHeight="1" x14ac:dyDescent="0.25">
      <c r="D49" s="22"/>
      <c r="E49" s="22"/>
      <c r="F49" s="22"/>
      <c r="G49" s="22"/>
      <c r="N49" s="22"/>
      <c r="O49" s="22"/>
      <c r="P49" s="22"/>
      <c r="Q49" s="22"/>
    </row>
    <row r="50" spans="1:17" ht="20.100000000000001" customHeight="1" x14ac:dyDescent="0.25">
      <c r="D50" s="54" t="str" cm="1">
        <f t="array" ref="D50:E51">Common_Equations.Common_ConvertN2OToCO2e_Arguments()</f>
        <v>EN2O</v>
      </c>
      <c r="E50" s="55" t="str">
        <v>Nitrous oxide emissions (t N2O)</v>
      </c>
      <c r="F50" s="96"/>
      <c r="G50" s="50">
        <f>E48</f>
        <v>3.5296969186285711E-4</v>
      </c>
      <c r="N50" s="54" t="str" cm="1">
        <f t="array" ref="N50:O51">Common_Equations.Common_ConvertN2OToCO2e_Arguments()</f>
        <v>EN2O</v>
      </c>
      <c r="O50" s="55" t="str">
        <v>Nitrous oxide emissions (t N2O)</v>
      </c>
      <c r="P50" s="96"/>
      <c r="Q50" s="50">
        <f>O48</f>
        <v>3.5296969186285711E-4</v>
      </c>
    </row>
    <row r="51" spans="1:17" ht="20.100000000000001" customHeight="1" x14ac:dyDescent="0.25">
      <c r="D51" s="54" t="str">
        <v>GWPN2O</v>
      </c>
      <c r="E51" s="55" t="str">
        <v>Global warming potential for nitrous oxide (t CO2-e / t N2O)</v>
      </c>
      <c r="F51" s="96"/>
      <c r="G51" s="50">
        <f>Common_InputFunctions.Utility_LookupValueInTableNumber("N2O",Table_GWPData[Gas],Table_GWPData[CO2-e factor])</f>
        <v>265</v>
      </c>
      <c r="H51" s="22"/>
      <c r="I51" s="22"/>
      <c r="N51" s="54" t="str">
        <v>GWPN2O</v>
      </c>
      <c r="O51" s="55" t="str">
        <v>Global warming potential for nitrous oxide (t CO2-e / t N2O)</v>
      </c>
      <c r="P51" s="96"/>
      <c r="Q51" s="50">
        <f>Common_InputFunctions.Utility_LookupValueInTableNumber("N2O",Table_GWPData[Gas],Table_GWPData[CO2-e factor])</f>
        <v>265</v>
      </c>
    </row>
    <row r="52" spans="1:17" ht="20.100000000000001" customHeight="1" x14ac:dyDescent="0.25">
      <c r="H52" s="22"/>
      <c r="I52" s="22"/>
    </row>
    <row r="53" spans="1:17" ht="20.100000000000001" customHeight="1" x14ac:dyDescent="0.25">
      <c r="D53" s="44" t="s">
        <v>79</v>
      </c>
      <c r="E53" s="44" cm="1">
        <f t="array" ref="E53">Common_Equations.Common_ConvertN2OToCO2e(G50,G51)</f>
        <v>9.3536968343657129E-2</v>
      </c>
      <c r="F53" s="97" t="str" cm="1">
        <f t="array" ref="F53">Common_Equations.Common_ConvertN2OToCO2e_Unit()</f>
        <v>t CO2e</v>
      </c>
      <c r="I53" s="22"/>
      <c r="N53" s="44" t="s">
        <v>79</v>
      </c>
      <c r="O53" s="44" cm="1">
        <f t="array" ref="O53">Common_Equations.Common_ConvertN2OToCO2e(Q50,Q51)</f>
        <v>9.3536968343657129E-2</v>
      </c>
      <c r="P53" s="97" t="str" cm="1">
        <f t="array" ref="P53">Common_Equations.Common_ConvertN2OToCO2e_Unit()</f>
        <v>t CO2e</v>
      </c>
    </row>
    <row r="54" spans="1:17" ht="20.100000000000001" customHeight="1" x14ac:dyDescent="0.25">
      <c r="I54" s="22"/>
    </row>
    <row r="55" spans="1:17" ht="20.100000000000001" customHeight="1" x14ac:dyDescent="0.25">
      <c r="A55" s="123" t="str">
        <f>HYPERLINK("#A1", "▲ Back to top")</f>
        <v>▲ Back to top</v>
      </c>
    </row>
    <row r="56" spans="1:17" ht="20.100000000000001" customHeight="1" x14ac:dyDescent="0.25"/>
    <row r="57" spans="1:17" ht="20.100000000000001" customHeight="1" x14ac:dyDescent="0.25"/>
    <row r="58" spans="1:17" ht="20.100000000000001" customHeight="1" x14ac:dyDescent="0.25"/>
    <row r="59" spans="1:17" ht="20.100000000000001" customHeight="1" x14ac:dyDescent="0.25"/>
    <row r="60" spans="1:17" ht="20.100000000000001" customHeight="1" x14ac:dyDescent="0.25">
      <c r="H60" s="22"/>
      <c r="I60" s="22"/>
    </row>
    <row r="61" spans="1:17" ht="20.100000000000001" customHeight="1" x14ac:dyDescent="0.25">
      <c r="H61" s="22"/>
      <c r="I61" s="22"/>
    </row>
    <row r="62" spans="1:17" ht="20.100000000000001" customHeight="1" x14ac:dyDescent="0.25"/>
    <row r="63" spans="1:17" ht="20.100000000000001" customHeight="1" x14ac:dyDescent="0.25"/>
    <row r="64" spans="1:17" ht="20.100000000000001" customHeight="1" x14ac:dyDescent="0.25"/>
    <row r="65" ht="20.100000000000001" customHeight="1" x14ac:dyDescent="0.25"/>
    <row r="66" ht="20.100000000000001" customHeight="1" x14ac:dyDescent="0.25"/>
    <row r="67" ht="20.100000000000001" customHeight="1" x14ac:dyDescent="0.25"/>
    <row r="68" ht="20.100000000000001" customHeight="1" x14ac:dyDescent="0.25"/>
    <row r="69" ht="20.100000000000001" customHeight="1" x14ac:dyDescent="0.25"/>
    <row r="70" ht="20.100000000000001" customHeight="1" x14ac:dyDescent="0.25"/>
    <row r="71" ht="20.100000000000001" customHeight="1" x14ac:dyDescent="0.25"/>
    <row r="72" ht="20.100000000000001" customHeight="1" x14ac:dyDescent="0.25"/>
    <row r="73" ht="20.100000000000001" customHeight="1" x14ac:dyDescent="0.25"/>
    <row r="74" ht="20.100000000000001" customHeight="1" x14ac:dyDescent="0.25"/>
    <row r="75" ht="20.100000000000001" customHeight="1" x14ac:dyDescent="0.25"/>
    <row r="76" ht="20.100000000000001" customHeight="1" x14ac:dyDescent="0.25"/>
    <row r="77" ht="20.100000000000001" customHeight="1" x14ac:dyDescent="0.25"/>
    <row r="78" ht="20.100000000000001" customHeight="1" x14ac:dyDescent="0.25"/>
    <row r="79" ht="20.100000000000001" customHeight="1" x14ac:dyDescent="0.25"/>
    <row r="80"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sheetData>
  <pageMargins left="0.7" right="0.7" top="0.75" bottom="0.75" header="0.3" footer="0.3"/>
  <pageSetup paperSize="9" orientation="portrait"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CE3139-64BB-4C54-935D-87E1F188DF5D}">
  <dimension ref="A1:S165"/>
  <sheetViews>
    <sheetView showGridLines="0" topLeftCell="A12" workbookViewId="0">
      <selection activeCell="D48" sqref="D48"/>
    </sheetView>
  </sheetViews>
  <sheetFormatPr defaultRowHeight="15.75" x14ac:dyDescent="0.25"/>
  <cols>
    <col min="1" max="1" width="30.7109375" customWidth="1"/>
    <col min="2" max="2" width="4.7109375" customWidth="1"/>
    <col min="3" max="3" width="4.7109375" style="1" customWidth="1"/>
    <col min="4" max="9" width="30.7109375" style="1" customWidth="1"/>
    <col min="10" max="10" width="4.7109375" style="1" customWidth="1"/>
    <col min="11" max="11" width="4.7109375" customWidth="1"/>
    <col min="12" max="12" width="4.7109375" style="1" customWidth="1"/>
    <col min="13" max="18" width="30.7109375" style="1" customWidth="1"/>
    <col min="19" max="19" width="4.7109375" style="1" customWidth="1"/>
  </cols>
  <sheetData>
    <row r="1" spans="1:19" s="8" customFormat="1" ht="30" customHeight="1" x14ac:dyDescent="0.35">
      <c r="A1" s="8" t="e" vm="1">
        <v>#VALUE!</v>
      </c>
      <c r="C1" s="8" t="s">
        <v>212</v>
      </c>
    </row>
    <row r="2" spans="1:19" s="9" customFormat="1" ht="20.100000000000001" customHeight="1" x14ac:dyDescent="0.25">
      <c r="A2"/>
    </row>
    <row r="3" spans="1:19" ht="20.100000000000001" customHeight="1" x14ac:dyDescent="0.25">
      <c r="A3" s="17" t="str">
        <f>HYPERLINK("#'Home'!A1", "Home")</f>
        <v>Home</v>
      </c>
      <c r="C3" s="4"/>
      <c r="D3" s="4" t="s">
        <v>80</v>
      </c>
      <c r="E3" s="4"/>
      <c r="F3" s="4"/>
      <c r="G3" s="4"/>
      <c r="H3" s="4"/>
      <c r="I3" s="4"/>
      <c r="J3" s="4"/>
      <c r="L3" s="4"/>
      <c r="M3" s="4" t="s">
        <v>81</v>
      </c>
      <c r="N3" s="4"/>
      <c r="O3" s="4"/>
      <c r="P3" s="4"/>
      <c r="Q3" s="4"/>
      <c r="R3" s="4"/>
      <c r="S3" s="4"/>
    </row>
    <row r="4" spans="1:19" ht="20.100000000000001" customHeight="1" x14ac:dyDescent="0.25">
      <c r="A4" s="17" t="str">
        <f>HYPERLINK("#'Overview'!A1", "Overview")</f>
        <v>Overview</v>
      </c>
    </row>
    <row r="5" spans="1:19" ht="20.100000000000001" customHeight="1" x14ac:dyDescent="0.25">
      <c r="A5" s="17" t="str">
        <f>HYPERLINK("#'Results'!A1", "Results")</f>
        <v>Results</v>
      </c>
      <c r="D5" s="6" t="str" cm="1">
        <f t="array" ref="D5">AgResidue_Equations_FieldBurning.VEERG_6_4_1_1__3__MassOfCropResidueBurnt_Title()</f>
        <v>Mass of residue of crop c burnt</v>
      </c>
    </row>
    <row r="6" spans="1:19" ht="20.100000000000001" customHeight="1" x14ac:dyDescent="0.25">
      <c r="A6" s="16"/>
      <c r="D6" s="5" t="str" cm="1">
        <f t="array" ref="D6">AgResidue_Equations_FieldBurning.VEERG_6_4_1_1__3__MassOfCropResidueBurnt_Source()</f>
        <v>VEERG 2026: 6.4.1.1, Equation (3)</v>
      </c>
    </row>
    <row r="7" spans="1:19" ht="20.100000000000001" customHeight="1" x14ac:dyDescent="0.25">
      <c r="A7" s="20" t="s">
        <v>1</v>
      </c>
      <c r="D7" s="13" t="s">
        <v>22</v>
      </c>
      <c r="E7" s="13" t="str" cm="1">
        <f t="array" aca="1" ref="E7" ca="1">Common_InputFunctions.Utility_DisplayFunctionName(E21)</f>
        <v>=AgResidue_Equations_FieldBurning.VEERG_6_4_1_1__3__MassOfCropResidueBurnt</v>
      </c>
    </row>
    <row r="8" spans="1:19" ht="20.100000000000001" customHeight="1" x14ac:dyDescent="0.25">
      <c r="A8" s="17" t="str">
        <f>HYPERLINK("#'Input - Site'!A1", "Site")</f>
        <v>Site</v>
      </c>
    </row>
    <row r="9" spans="1:19" ht="20.100000000000001" customHeight="1" x14ac:dyDescent="0.25">
      <c r="A9" s="17" t="str">
        <f>HYPERLINK("#'Input - Crop'!A1", "Crop")</f>
        <v>Crop</v>
      </c>
    </row>
    <row r="10" spans="1:19" ht="20.100000000000001" customHeight="1" x14ac:dyDescent="0.25">
      <c r="A10" s="17" t="str">
        <f>HYPERLINK("#'Input - Pasture'!A1", "Pasture")</f>
        <v>Pasture</v>
      </c>
      <c r="D10" s="51" t="s">
        <v>25</v>
      </c>
      <c r="E10" s="1" t="str" cm="1">
        <f t="array" ref="E10">AgResidue_Equations_FieldBurning.VEERG_6_4_1_1__3__MassOfCropResidueBurnt_Variable()</f>
        <v>M_burnc</v>
      </c>
    </row>
    <row r="11" spans="1:19" ht="20.100000000000001" customHeight="1" x14ac:dyDescent="0.25">
      <c r="D11" s="51" t="s">
        <v>16</v>
      </c>
      <c r="E11" s="52" t="str" cm="1">
        <f t="array" ref="E11">AgResidue_Equations_FieldBurning.VEERG_6_4_1_1__3__MassOfCropResidueBurnt_Unit()</f>
        <v>kg</v>
      </c>
    </row>
    <row r="12" spans="1:19" ht="20.100000000000001" customHeight="1" x14ac:dyDescent="0.25">
      <c r="A12" s="19" t="s">
        <v>69</v>
      </c>
    </row>
    <row r="13" spans="1:19" ht="20.100000000000001" customHeight="1" x14ac:dyDescent="0.25">
      <c r="A13" s="17" t="str">
        <f>HYPERLINK("#'6.1.1.1-2 Crop residue N2O'!A1", "6.1.1.1-2 Crop residue N2O")</f>
        <v>6.1.1.1-2 Crop residue N2O</v>
      </c>
      <c r="D13" s="117" t="str" cm="1">
        <f t="array" ref="D13:E19">_xlfn.CHOOSECOLS(AgResidue_Equations_FieldBurning.VEERG_6_4_1_1__3__MassOfCropResidueBurnt_Arguments(), 1, 2)</f>
        <v>P_c</v>
      </c>
      <c r="E13" s="121" t="str">
        <v>annual production of crop type c</v>
      </c>
      <c r="F13" s="120"/>
      <c r="G13" s="117" t="str" cm="1">
        <f t="array" ref="G13:H19">_xlfn.CHOOSECOLS(AgResidue_Equations_FieldBurning.VEERG_6_4_1_1__3__MassOfCropResidueBurnt_Arguments(), 3,4)</f>
        <v>kg</v>
      </c>
      <c r="H13" s="111" t="str">
        <v>Input</v>
      </c>
      <c r="I13" s="117">
        <f>'Input - Crop'!$E$22</f>
        <v>10000</v>
      </c>
    </row>
    <row r="14" spans="1:19" ht="20.100000000000001" customHeight="1" x14ac:dyDescent="0.25">
      <c r="A14" s="17" t="str">
        <f>HYPERLINK("#'6.2.1.1-2 Pasture residue N2O'!A1", "6.2.1.1-2 Pasture residue N2O")</f>
        <v>6.2.1.1-2 Pasture residue N2O</v>
      </c>
      <c r="D14" s="117" t="str">
        <v>R_AGc</v>
      </c>
      <c r="E14" s="121" t="str">
        <v>residue to crop ratio of crop type c</v>
      </c>
      <c r="F14" s="120"/>
      <c r="G14" s="117" t="str">
        <v>kg crop residue/kg crop</v>
      </c>
      <c r="H14" s="110" t="str">
        <v>Constant</v>
      </c>
      <c r="I14" s="117">
        <f>'Input - Crop'!$E$18</f>
        <v>1.5</v>
      </c>
    </row>
    <row r="15" spans="1:19" ht="20.100000000000001" customHeight="1" x14ac:dyDescent="0.25">
      <c r="A15" s="17" t="str">
        <f>HYPERLINK("#'6.3.1.1-2 Leaching and runoff'!A1", "6.3.1.1-2 Leaching and runoff")</f>
        <v>6.3.1.1-2 Leaching and runoff</v>
      </c>
      <c r="D15" s="117" t="str">
        <v>S_c</v>
      </c>
      <c r="E15" s="121" t="str">
        <v>fraction of residues of crop type c remaining at burning</v>
      </c>
      <c r="F15" s="120"/>
      <c r="G15" s="117" t="str">
        <v>fraction</v>
      </c>
      <c r="H15" s="110" t="str">
        <v>Constant</v>
      </c>
      <c r="I15" s="117" cm="1">
        <f t="array" ref="I15">Common_InputFunctions.Utility_LookupValueInTableNumber($I$19,Table_SourceData_CropAttributes[Crop type],Table_SourceData_CropAttributes[Fraction of residue remaining at time of burning (b)])</f>
        <v>0.5</v>
      </c>
    </row>
    <row r="16" spans="1:19" ht="20.100000000000001" customHeight="1" x14ac:dyDescent="0.25">
      <c r="A16" s="131" t="str">
        <f>HYPERLINK("#'6.4.1.1-2 Residue burning'!A1", "6.4.1.1-2 Residue burning")</f>
        <v>6.4.1.1-2 Residue burning</v>
      </c>
      <c r="D16" s="117" t="str">
        <v>DM_c</v>
      </c>
      <c r="E16" s="121" t="str">
        <v>dry matter content of crop type c</v>
      </c>
      <c r="F16" s="120"/>
      <c r="G16" s="117" t="str">
        <v>kg dry weight/kg crop residue</v>
      </c>
      <c r="H16" s="110" t="str">
        <v>Constant</v>
      </c>
      <c r="I16" s="117" cm="1">
        <f t="array" ref="I16">Common_InputFunctions.Utility_LookupValueInTableNumber($I$19,Table_SourceData_CropAttributes[Crop type],Table_SourceData_CropAttributes[Dry matter content])</f>
        <v>0.88</v>
      </c>
    </row>
    <row r="17" spans="1:10" ht="20.100000000000001" customHeight="1" x14ac:dyDescent="0.25">
      <c r="A17" s="17"/>
      <c r="D17" s="117" t="str">
        <v>Z_c</v>
      </c>
      <c r="E17" s="121" t="str">
        <v>burning efficiency (ratio of fuel burnt to fuel load) of crop type c</v>
      </c>
      <c r="F17" s="120"/>
      <c r="G17" s="117" t="str">
        <v/>
      </c>
      <c r="H17" s="110" t="str">
        <v>Constant</v>
      </c>
      <c r="I17" s="117" cm="1">
        <f t="array" ref="I17">Common_InputFunctions.Utility_LookupValueInTableNumber($I$19,Table_SourceData_CropAttributes[Crop type],Table_SourceData_CropAttributes[Fraction burnt])</f>
        <v>0.9</v>
      </c>
    </row>
    <row r="18" spans="1:10" ht="20.100000000000001" customHeight="1" x14ac:dyDescent="0.25">
      <c r="A18" s="18" t="s">
        <v>2</v>
      </c>
      <c r="D18" s="117" t="str">
        <v>F_c</v>
      </c>
      <c r="E18" s="121" t="str">
        <v>fraction of the annual production of crop type c that is burnt</v>
      </c>
      <c r="F18" s="120"/>
      <c r="G18" s="117" t="str">
        <v>fraction</v>
      </c>
      <c r="H18" s="110" t="str">
        <v>Constant</v>
      </c>
      <c r="I18" s="117">
        <f>'Input - Crop'!$E$43</f>
        <v>0.3</v>
      </c>
    </row>
    <row r="19" spans="1:10" ht="20.100000000000001" customHeight="1" x14ac:dyDescent="0.25">
      <c r="A19" s="17" t="str">
        <f>HYPERLINK("#'Constants - Ag Residue'!A1", "Constants - Ag Residue")</f>
        <v>Constants - Ag Residue</v>
      </c>
      <c r="D19" s="117" t="str">
        <v>c</v>
      </c>
      <c r="E19" s="121" t="str">
        <v>Crop type</v>
      </c>
      <c r="F19" s="120"/>
      <c r="G19" s="117" t="str">
        <v/>
      </c>
      <c r="H19" s="111" t="str">
        <v>Input</v>
      </c>
      <c r="I19" s="117" t="str">
        <f>'Input - Crop'!$E$9</f>
        <v>Wheat</v>
      </c>
    </row>
    <row r="20" spans="1:10" ht="20.100000000000001" customHeight="1" x14ac:dyDescent="0.25">
      <c r="A20" s="17" t="str">
        <f>HYPERLINK("#'Constants - Common'!A1", "Constants - Common")</f>
        <v>Constants - Common</v>
      </c>
    </row>
    <row r="21" spans="1:10" ht="20.100000000000001" customHeight="1" x14ac:dyDescent="0.25">
      <c r="D21" s="118" t="s">
        <v>213</v>
      </c>
      <c r="E21" s="44" cm="1">
        <f t="array" ref="E21">AgResidue_Equations_FieldBurning.VEERG_6_4_1_1__3__MassOfCropResidueBurnt(I13,I14,I15,I16,I17,I18)</f>
        <v>1782</v>
      </c>
      <c r="F21" s="97" t="str" cm="1">
        <f t="array" ref="F21">AgResidue_Equations_FieldBurning.VEERG_6_4_1_1__3__MassOfCropResidueBurnt_Unit()</f>
        <v>kg</v>
      </c>
    </row>
    <row r="22" spans="1:10" ht="20.100000000000001" customHeight="1" x14ac:dyDescent="0.25"/>
    <row r="23" spans="1:10" ht="20.100000000000001" customHeight="1" x14ac:dyDescent="0.25"/>
    <row r="24" spans="1:10" ht="20.100000000000001" customHeight="1" x14ac:dyDescent="0.25">
      <c r="C24" s="44"/>
      <c r="D24" s="44"/>
      <c r="E24" s="44"/>
      <c r="F24" s="44"/>
      <c r="G24" s="44"/>
      <c r="H24" s="44"/>
      <c r="I24" s="44"/>
      <c r="J24" s="44"/>
    </row>
    <row r="25" spans="1:10" ht="20.100000000000001" customHeight="1" x14ac:dyDescent="0.25">
      <c r="D25" s="6" t="str" cm="1">
        <f t="array" ref="D25">AgResidue_Equations_FieldBurning.VEERG_6_4_1_1__2__NitrousOxideEmissionsFromBurningOfCropResidues_Title()</f>
        <v>Nitrous oxide emissions from the burning of crop residues</v>
      </c>
    </row>
    <row r="26" spans="1:10" ht="20.100000000000001" customHeight="1" x14ac:dyDescent="0.25">
      <c r="D26" s="5" t="str" cm="1">
        <f t="array" ref="D26">AgResidue_Equations_FieldBurning.VEERG_6_4_1_1__2__NitrousOxideEmissionsFromBurningOfCropResidues_Source()</f>
        <v>VEERG 2026: 6.4.1.1, Equation (2)</v>
      </c>
    </row>
    <row r="27" spans="1:10" ht="20.100000000000001" customHeight="1" x14ac:dyDescent="0.25">
      <c r="D27" s="13" t="s">
        <v>22</v>
      </c>
      <c r="E27" s="13" t="str" cm="1">
        <f t="array" aca="1" ref="E27" ca="1">Common_InputFunctions.Utility_DisplayFunctionName(E39)</f>
        <v>=AgResidue_Equations_FieldBurning.VEERG_6_4_1_1__2__NitrousOxideEmissionsFromBurningOfCropResidues</v>
      </c>
    </row>
    <row r="28" spans="1:10" ht="20.100000000000001" customHeight="1" x14ac:dyDescent="0.25"/>
    <row r="29" spans="1:10" ht="20.100000000000001" customHeight="1" x14ac:dyDescent="0.25"/>
    <row r="30" spans="1:10" ht="20.100000000000001" customHeight="1" x14ac:dyDescent="0.25">
      <c r="D30" s="51" t="s">
        <v>25</v>
      </c>
      <c r="E30" s="1" t="str" cm="1">
        <f t="array" ref="E30">AgResidue_Equations_FieldBurning.VEERG_6_4_1_1__2__NitrousOxideEmissionsFromBurningOfCropResidues_Variable()</f>
        <v>EN2O</v>
      </c>
    </row>
    <row r="31" spans="1:10" ht="20.100000000000001" customHeight="1" x14ac:dyDescent="0.25">
      <c r="D31" s="51" t="s">
        <v>16</v>
      </c>
      <c r="E31" s="52" t="str" cm="1">
        <f t="array" ref="E31">AgResidue_Equations_FieldBurning.VEERG_6_4_1_1__2__NitrousOxideEmissionsFromBurningOfCropResidues_Unit()</f>
        <v>t N2O</v>
      </c>
    </row>
    <row r="32" spans="1:10" ht="20.100000000000001" customHeight="1" x14ac:dyDescent="0.25"/>
    <row r="33" spans="1:10" ht="20.100000000000001" customHeight="1" x14ac:dyDescent="0.25">
      <c r="D33" s="117" t="str" cm="1">
        <f t="array" ref="D33:E37">_xlfn.CHOOSECOLS(AgResidue_Equations_FieldBurning.VEERG_6_4_1_1__2__NitrousOxideEmissionsFromBurningOfCropResidues_Arguments(), 1, 2)</f>
        <v>M_burnc</v>
      </c>
      <c r="E33" s="121" t="str">
        <v>mass of residue burnt for crop type c</v>
      </c>
      <c r="F33" s="120"/>
      <c r="G33" s="117" t="str" cm="1">
        <f t="array" ref="G33:H37">_xlfn.CHOOSECOLS(AgResidue_Equations_FieldBurning.VEERG_6_4_1_1__2__NitrousOxideEmissionsFromBurningOfCropResidues_Arguments(), 3,4)</f>
        <v>kg</v>
      </c>
      <c r="H33" s="110" t="str">
        <v>Calculated from 6.4.1.1 (3)</v>
      </c>
      <c r="I33" s="117">
        <f>$E$21</f>
        <v>1782</v>
      </c>
    </row>
    <row r="34" spans="1:10" ht="20.100000000000001" customHeight="1" x14ac:dyDescent="0.25">
      <c r="D34" s="117" t="str">
        <v>NC_AGc</v>
      </c>
      <c r="E34" s="121" t="str">
        <v>nitrogen content in the above-ground residue of crop type c</v>
      </c>
      <c r="F34" s="120"/>
      <c r="G34" s="117" t="str">
        <v>kg N/kg DM</v>
      </c>
      <c r="H34" s="110" t="str">
        <v>Constant</v>
      </c>
      <c r="I34" s="117" cm="1">
        <f t="array" ref="I34">Common_InputFunctions.Utility_LookupValueInTableNumber($I$37,Table_SourceData_CropAttributes[Crop type],Table_SourceData_CropAttributes[N content above-ground])</f>
        <v>6.0000000000000001E-3</v>
      </c>
    </row>
    <row r="35" spans="1:10" ht="20.100000000000001" customHeight="1" x14ac:dyDescent="0.25">
      <c r="D35" s="117" t="str">
        <v>EF_N2O</v>
      </c>
      <c r="E35" s="121" t="str">
        <v>emission factor for nitrous oxide from burning of crop residues</v>
      </c>
      <c r="F35" s="120"/>
      <c r="G35" s="117" t="str">
        <v>kg N2O/kg N2O burnt</v>
      </c>
      <c r="H35" s="110" t="str">
        <v>Constant</v>
      </c>
      <c r="I35" s="117" cm="1">
        <f t="array" ref="I35">Common_InputFunctions.Utility_LookupValueInTableNumber("N2O", Table_SourceData_BurningResidueEFs[Gas species],Table_SourceData_BurningResidueEFs[Emission factor EFg (Gg element in species/ Gg element in fuel burnt)])</f>
        <v>7.6E-3</v>
      </c>
    </row>
    <row r="36" spans="1:10" ht="20.100000000000001" customHeight="1" x14ac:dyDescent="0.25">
      <c r="D36" s="117" t="str">
        <v>C_N2O</v>
      </c>
      <c r="E36" s="121" t="str">
        <v>factor to convert elemental mass of nitrous oxide to molecular mass</v>
      </c>
      <c r="F36" s="120"/>
      <c r="G36" s="117" t="str">
        <v>dimensionless</v>
      </c>
      <c r="H36" s="110" t="str">
        <v>Constant</v>
      </c>
      <c r="I36" s="117">
        <f>Common_InputFunctions.Utility_LookupValueInTableNumber("N2O",Table_GasToMolecularConversionFactor[Gas],Table_GasToMolecularConversionFactor[Conversion factor combined])</f>
        <v>1.5714285714285714</v>
      </c>
    </row>
    <row r="37" spans="1:10" ht="20.100000000000001" customHeight="1" x14ac:dyDescent="0.25">
      <c r="D37" s="117" t="str">
        <v>c</v>
      </c>
      <c r="E37" s="121" t="str">
        <v>Crop type</v>
      </c>
      <c r="F37" s="120"/>
      <c r="G37" s="117" t="str">
        <v/>
      </c>
      <c r="H37" s="111" t="str">
        <v>Input</v>
      </c>
      <c r="I37" s="117" t="str">
        <f>'Input - Crop'!$E$9</f>
        <v>Wheat</v>
      </c>
    </row>
    <row r="38" spans="1:10" ht="20.100000000000001" customHeight="1" x14ac:dyDescent="0.25"/>
    <row r="39" spans="1:10" ht="20.100000000000001" customHeight="1" x14ac:dyDescent="0.25">
      <c r="D39" s="93" t="s">
        <v>109</v>
      </c>
      <c r="E39" s="94" cm="1">
        <f t="array" ref="E39">AgResidue_Equations_FieldBurning.VEERG_6_4_1_1__2__NitrousOxideEmissionsFromBurningOfCropResidues(I33,I34,I35,I36)</f>
        <v>1.276930285714286E-4</v>
      </c>
      <c r="F39" s="95" t="str" cm="1">
        <f t="array" ref="F39">AgResidue_Equations_FieldBurning.VEERG_6_4_1_1__2__NitrousOxideEmissionsFromBurningOfCropResidues_Unit()</f>
        <v>t N2O</v>
      </c>
    </row>
    <row r="40" spans="1:10" ht="20.100000000000001" customHeight="1" x14ac:dyDescent="0.25"/>
    <row r="41" spans="1:10" ht="20.100000000000001" customHeight="1" x14ac:dyDescent="0.25">
      <c r="D41" s="54" t="str" cm="1">
        <f t="array" ref="D41:E42">Common_Equations.Common_ConvertN2OToCO2e_Arguments()</f>
        <v>EN2O</v>
      </c>
      <c r="E41" s="55" t="str">
        <v>Nitrous oxide emissions (t N2O)</v>
      </c>
      <c r="F41" s="96"/>
      <c r="G41" s="140"/>
      <c r="H41" s="50">
        <f>E39</f>
        <v>1.276930285714286E-4</v>
      </c>
    </row>
    <row r="42" spans="1:10" ht="20.100000000000001" customHeight="1" x14ac:dyDescent="0.25">
      <c r="D42" s="54" t="str">
        <v>GWPN2O</v>
      </c>
      <c r="E42" s="55" t="str">
        <v>Global warming potential for nitrous oxide (t CO2-e / t N2O)</v>
      </c>
      <c r="F42" s="96"/>
      <c r="G42" s="140"/>
      <c r="H42" s="50">
        <f>Common_InputFunctions.Utility_LookupValueInTableNumber("N2O",Table_GWPData[Gas],Table_GWPData[CO2-e factor])</f>
        <v>265</v>
      </c>
    </row>
    <row r="43" spans="1:10" ht="20.100000000000001" customHeight="1" x14ac:dyDescent="0.25">
      <c r="H43" s="22"/>
    </row>
    <row r="44" spans="1:10" ht="20.100000000000001" customHeight="1" x14ac:dyDescent="0.25">
      <c r="D44" s="44" t="s">
        <v>79</v>
      </c>
      <c r="E44" s="44" cm="1">
        <f t="array" ref="E44">Common_Equations.Common_ConvertN2OToCO2e(H41,H42)</f>
        <v>3.3838652571428582E-2</v>
      </c>
      <c r="F44" s="97" t="str" cm="1">
        <f t="array" ref="F44">Common_Equations.Common_ConvertN2OToCO2e_Unit()</f>
        <v>t CO2e</v>
      </c>
      <c r="H44" s="22"/>
    </row>
    <row r="45" spans="1:10" ht="20.100000000000001" customHeight="1" x14ac:dyDescent="0.25"/>
    <row r="46" spans="1:10" ht="20.100000000000001" customHeight="1" x14ac:dyDescent="0.25">
      <c r="A46" s="123" t="str">
        <f>HYPERLINK("#A1", "▲ Back to top")</f>
        <v>▲ Back to top</v>
      </c>
    </row>
    <row r="47" spans="1:10" ht="20.100000000000001" customHeight="1" x14ac:dyDescent="0.25">
      <c r="C47" s="44"/>
      <c r="D47" s="44"/>
      <c r="E47" s="44"/>
      <c r="F47" s="44"/>
      <c r="G47" s="44"/>
      <c r="H47" s="44"/>
      <c r="I47" s="44"/>
      <c r="J47" s="44"/>
    </row>
    <row r="48" spans="1:10" ht="20.100000000000001" customHeight="1" x14ac:dyDescent="0.25">
      <c r="D48" s="6" t="str" cm="1">
        <f t="array" ref="D48">AgResidue_Equations_FieldBurning.VEERG_6_4_1_1__1__MethaneEmissionsFromBurningOfCropResidues_Title()</f>
        <v>Methane emissions from the burning of crop residues</v>
      </c>
    </row>
    <row r="49" spans="4:9" ht="20.100000000000001" customHeight="1" x14ac:dyDescent="0.25">
      <c r="D49" s="5" t="str" cm="1">
        <f t="array" ref="D49">AgResidue_Equations_FieldBurning.VEERG_6_4_1_1__1__MethaneEmissionsFromBurningOfCropResidues_Source()</f>
        <v>VEERG 2026: 6.4.1.1, Equation (1)</v>
      </c>
    </row>
    <row r="50" spans="4:9" ht="20.100000000000001" customHeight="1" x14ac:dyDescent="0.25">
      <c r="D50" s="13" t="s">
        <v>22</v>
      </c>
      <c r="E50" s="13" t="str" cm="1">
        <f t="array" aca="1" ref="E50" ca="1">Common_InputFunctions.Utility_DisplayFunctionName(E62)</f>
        <v>=AgResidue_Equations_FieldBurning.VEERG_6_4_1_1__1__MethaneEmissionsFromBurningOfCropResidues</v>
      </c>
    </row>
    <row r="51" spans="4:9" ht="20.100000000000001" customHeight="1" x14ac:dyDescent="0.25"/>
    <row r="52" spans="4:9" ht="20.100000000000001" customHeight="1" x14ac:dyDescent="0.25"/>
    <row r="53" spans="4:9" ht="20.100000000000001" customHeight="1" x14ac:dyDescent="0.25">
      <c r="D53" s="51" t="s">
        <v>25</v>
      </c>
      <c r="E53" s="1" t="str" cm="1">
        <f t="array" ref="E53">AgResidue_Equations_FieldBurning.VEERG_6_4_1_1__1__MethaneEmissionsFromBurningOfCropResidues_Variable()</f>
        <v>ECH4</v>
      </c>
      <c r="F53" s="5"/>
    </row>
    <row r="54" spans="4:9" ht="20.100000000000001" customHeight="1" x14ac:dyDescent="0.25">
      <c r="D54" s="51" t="s">
        <v>16</v>
      </c>
      <c r="E54" s="52" t="str" cm="1">
        <f t="array" ref="E54">AgResidue_Equations_FieldBurning.VEERG_6_4_1_1__1__MethaneEmissionsFromBurningOfCropResidues_Unit()</f>
        <v>t CH4</v>
      </c>
    </row>
    <row r="55" spans="4:9" ht="20.100000000000001" customHeight="1" x14ac:dyDescent="0.25"/>
    <row r="56" spans="4:9" ht="20.100000000000001" customHeight="1" x14ac:dyDescent="0.25">
      <c r="D56" s="117" t="str" cm="1">
        <f t="array" ref="D56:E60">_xlfn.CHOOSECOLS(AgResidue_Equations_FieldBurning.VEERG_6_4_1_1__1__MethaneEmissionsFromBurningOfCropResidues_Arguments(), 1,2)</f>
        <v>M_burnc</v>
      </c>
      <c r="E56" s="121" t="str">
        <v>mass of residue burnt for crop type c</v>
      </c>
      <c r="F56" s="120"/>
      <c r="G56" s="117" t="str" cm="1">
        <f t="array" ref="G56:H60">_xlfn.CHOOSECOLS(AgResidue_Equations_FieldBurning.VEERG_6_4_1_1__1__MethaneEmissionsFromBurningOfCropResidues_Arguments(), 3,4)</f>
        <v>kg</v>
      </c>
      <c r="H56" s="110" t="str">
        <v>Calculated from 6.4.1.1 (3)</v>
      </c>
      <c r="I56" s="117">
        <f>$E$21</f>
        <v>1782</v>
      </c>
    </row>
    <row r="57" spans="4:9" ht="20.100000000000001" customHeight="1" x14ac:dyDescent="0.25">
      <c r="D57" s="117" t="str">
        <v>CC_c</v>
      </c>
      <c r="E57" s="121" t="str">
        <v>carbon mass fraction in the residues of crop type c</v>
      </c>
      <c r="F57" s="120"/>
      <c r="G57" s="117" t="str">
        <v>fraction</v>
      </c>
      <c r="H57" s="110" t="str">
        <v>Constant</v>
      </c>
      <c r="I57" s="117" cm="1">
        <f t="array" ref="I57">Common_InputFunctions.Utility_LookupValueInTableNumber($I$60,Table_SourceData_CropAttributes[Crop type],Table_SourceData_CropAttributes[Carbon fraction in dry matter])</f>
        <v>0.4</v>
      </c>
    </row>
    <row r="58" spans="4:9" ht="20.100000000000001" customHeight="1" x14ac:dyDescent="0.25">
      <c r="D58" s="117" t="str">
        <v>EF_CH4</v>
      </c>
      <c r="E58" s="121" t="str">
        <v>emission factor for methane from burning of crop residues</v>
      </c>
      <c r="F58" s="120"/>
      <c r="G58" s="117" t="str">
        <v>kg CH4 / kg CH4 burnt</v>
      </c>
      <c r="H58" s="110" t="str">
        <v>Constant</v>
      </c>
      <c r="I58" s="117" cm="1">
        <f t="array" ref="I58">Common_InputFunctions.Utility_LookupValueInTableNumber("CH4", Table_SourceData_BurningResidueEFs[Gas species],Table_SourceData_BurningResidueEFs[Emission factor EFg (Gg element in species/ Gg element in fuel burnt)])</f>
        <v>3.5000000000000001E-3</v>
      </c>
    </row>
    <row r="59" spans="4:9" ht="20.100000000000001" customHeight="1" x14ac:dyDescent="0.25">
      <c r="D59" s="117" t="str">
        <v>C_CH4</v>
      </c>
      <c r="E59" s="121" t="str">
        <v>factor to convert elemental mass of methane to molecular mass</v>
      </c>
      <c r="F59" s="120"/>
      <c r="G59" s="117" t="str">
        <v>dimensionless</v>
      </c>
      <c r="H59" s="110" t="str">
        <v>Constant</v>
      </c>
      <c r="I59" s="117">
        <f>Common_InputFunctions.Utility_LookupValueInTableNumber("CH4",Table_GasToMolecularConversionFactor[Gas],Table_GasToMolecularConversionFactor[Conversion factor combined])</f>
        <v>1.3333333333333333</v>
      </c>
    </row>
    <row r="60" spans="4:9" ht="20.100000000000001" customHeight="1" x14ac:dyDescent="0.25">
      <c r="D60" s="117" t="str">
        <v>c</v>
      </c>
      <c r="E60" s="121" t="str">
        <v>Crop type</v>
      </c>
      <c r="F60" s="120"/>
      <c r="G60" s="117" t="str">
        <v/>
      </c>
      <c r="H60" s="111" t="str">
        <v>Input</v>
      </c>
      <c r="I60" s="117" t="str">
        <f>'Input - Crop'!$E$9</f>
        <v>Wheat</v>
      </c>
    </row>
    <row r="61" spans="4:9" ht="20.100000000000001" customHeight="1" x14ac:dyDescent="0.25"/>
    <row r="62" spans="4:9" ht="20.100000000000001" customHeight="1" x14ac:dyDescent="0.25">
      <c r="D62" s="93" t="s">
        <v>109</v>
      </c>
      <c r="E62" s="94" cm="1">
        <f t="array" ref="E62">AgResidue_Equations_FieldBurning.VEERG_6_4_1_1__1__MethaneEmissionsFromBurningOfCropResidues(I56,I57,I58,I59)</f>
        <v>3.3264000000000002E-3</v>
      </c>
      <c r="F62" s="95" t="str" cm="1">
        <f t="array" ref="F62">AgResidue_Equations_FieldBurning.VEERG_6_4_1_1__2__NitrousOxideEmissionsFromBurningOfCropResidues_Unit()</f>
        <v>t N2O</v>
      </c>
    </row>
    <row r="63" spans="4:9" ht="20.100000000000001" customHeight="1" x14ac:dyDescent="0.25"/>
    <row r="64" spans="4:9" ht="20.100000000000001" customHeight="1" x14ac:dyDescent="0.25">
      <c r="D64" s="54" t="str" cm="1">
        <f t="array" ref="D64:E65">Common_Equations.Common_ConvertCH4ToCO2e_Arguments()</f>
        <v>ECH4</v>
      </c>
      <c r="E64" s="55" t="str">
        <v>Methane emissions (t CH4)</v>
      </c>
      <c r="F64" s="96"/>
      <c r="G64" s="140"/>
      <c r="H64" s="50">
        <f>E62</f>
        <v>3.3264000000000002E-3</v>
      </c>
    </row>
    <row r="65" spans="1:8" ht="20.100000000000001" customHeight="1" x14ac:dyDescent="0.25">
      <c r="D65" s="54" t="str">
        <v>GWPCH4</v>
      </c>
      <c r="E65" s="55" t="str">
        <v>Global warming potential for methane (t CO2-e / t CH4)</v>
      </c>
      <c r="F65" s="96"/>
      <c r="G65" s="140"/>
      <c r="H65" s="50">
        <f>Common_InputFunctions.Utility_LookupValueInTableNumber("CH4",Table_GWPData[Gas],Table_GWPData[CO2-e factor])</f>
        <v>28</v>
      </c>
    </row>
    <row r="66" spans="1:8" ht="20.100000000000001" customHeight="1" x14ac:dyDescent="0.25">
      <c r="H66" s="22"/>
    </row>
    <row r="67" spans="1:8" ht="20.100000000000001" customHeight="1" x14ac:dyDescent="0.25">
      <c r="A67" s="123" t="str">
        <f>HYPERLINK("#A1", "▲ Back to top")</f>
        <v>▲ Back to top</v>
      </c>
      <c r="D67" s="44" t="s">
        <v>79</v>
      </c>
      <c r="E67" s="44" cm="1">
        <f t="array" ref="E67">Common_Equations.Common_ConvertCH4ToCO2e(H64,H65)</f>
        <v>9.3139200000000005E-2</v>
      </c>
      <c r="F67" s="97" t="str" cm="1">
        <f t="array" ref="F67">Common_Equations.Common_ConvertCH4ToCO2e_Unit()</f>
        <v>t CO2e</v>
      </c>
      <c r="H67" s="22"/>
    </row>
    <row r="68" spans="1:8" ht="20.100000000000001" customHeight="1" x14ac:dyDescent="0.25"/>
    <row r="69" spans="1:8" ht="20.100000000000001" customHeight="1" x14ac:dyDescent="0.25"/>
    <row r="70" spans="1:8" ht="20.100000000000001" customHeight="1" x14ac:dyDescent="0.25"/>
    <row r="71" spans="1:8" ht="20.100000000000001" customHeight="1" x14ac:dyDescent="0.25"/>
    <row r="72" spans="1:8" ht="20.100000000000001" customHeight="1" x14ac:dyDescent="0.25"/>
    <row r="73" spans="1:8" ht="20.100000000000001" customHeight="1" x14ac:dyDescent="0.25"/>
    <row r="74" spans="1:8" ht="20.100000000000001" customHeight="1" x14ac:dyDescent="0.25"/>
    <row r="75" spans="1:8" ht="20.100000000000001" customHeight="1" x14ac:dyDescent="0.25"/>
    <row r="76" spans="1:8" ht="20.100000000000001" customHeight="1" x14ac:dyDescent="0.25"/>
    <row r="77" spans="1:8" ht="20.100000000000001" customHeight="1" x14ac:dyDescent="0.25"/>
    <row r="78" spans="1:8" ht="20.100000000000001" customHeight="1" x14ac:dyDescent="0.25"/>
    <row r="79" spans="1:8" ht="20.100000000000001" customHeight="1" x14ac:dyDescent="0.25"/>
    <row r="80" spans="1:8"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sheetData>
  <pageMargins left="0.7" right="0.7" top="0.75" bottom="0.75" header="0.3" footer="0.3"/>
  <pageSetup paperSize="9" orientation="portrait" r:id="rId1"/>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A5A36D-67BF-491B-8BEC-65303FBC20AD}">
  <dimension ref="A1:AI235"/>
  <sheetViews>
    <sheetView showGridLines="0" topLeftCell="B1" zoomScaleNormal="100" workbookViewId="0">
      <selection activeCell="D6" sqref="D6"/>
    </sheetView>
  </sheetViews>
  <sheetFormatPr defaultRowHeight="15.75" x14ac:dyDescent="0.25"/>
  <cols>
    <col min="1" max="1" width="30.7109375" customWidth="1"/>
    <col min="2" max="2" width="4.7109375" customWidth="1"/>
    <col min="3" max="3" width="4.7109375" style="1" customWidth="1"/>
    <col min="4" max="9" width="20.7109375" style="1" customWidth="1"/>
    <col min="10" max="10" width="26.28515625" style="1" customWidth="1"/>
    <col min="11" max="31" width="20.7109375" style="1" customWidth="1"/>
    <col min="32" max="32" width="4.7109375" style="1" customWidth="1"/>
  </cols>
  <sheetData>
    <row r="1" spans="1:35" s="8" customFormat="1" ht="30" customHeight="1" x14ac:dyDescent="0.35">
      <c r="A1" s="8" t="e" vm="1">
        <v>#VALUE!</v>
      </c>
      <c r="C1" s="8" t="s">
        <v>158</v>
      </c>
      <c r="AG1"/>
      <c r="AH1"/>
      <c r="AI1"/>
    </row>
    <row r="2" spans="1:35" s="9" customFormat="1" ht="20.100000000000001" customHeight="1" x14ac:dyDescent="0.25">
      <c r="A2"/>
      <c r="AG2"/>
      <c r="AH2"/>
      <c r="AI2"/>
    </row>
    <row r="3" spans="1:35" ht="20.100000000000001" customHeight="1" x14ac:dyDescent="0.25">
      <c r="A3" s="17" t="str">
        <f>HYPERLINK("#'Home'!A1", "Home")</f>
        <v>Home</v>
      </c>
      <c r="C3" s="4"/>
      <c r="D3" s="4"/>
      <c r="E3" s="4"/>
      <c r="F3" s="4"/>
      <c r="G3" s="4"/>
      <c r="H3" s="4"/>
      <c r="I3" s="4"/>
      <c r="J3" s="4"/>
      <c r="K3" s="4"/>
      <c r="L3" s="4"/>
      <c r="M3" s="4"/>
      <c r="N3" s="4"/>
      <c r="O3" s="4"/>
      <c r="P3" s="4"/>
      <c r="Q3" s="4"/>
      <c r="R3" s="4"/>
      <c r="S3" s="4"/>
      <c r="T3" s="4"/>
      <c r="U3" s="4"/>
      <c r="V3" s="4"/>
      <c r="W3" s="4"/>
      <c r="X3" s="4"/>
      <c r="Y3" s="4"/>
      <c r="Z3" s="4"/>
      <c r="AA3" s="4"/>
      <c r="AB3" s="4"/>
      <c r="AC3" s="4"/>
      <c r="AD3" s="4"/>
      <c r="AE3" s="4"/>
      <c r="AF3" s="4"/>
    </row>
    <row r="4" spans="1:35" ht="20.100000000000001" customHeight="1" x14ac:dyDescent="0.25">
      <c r="A4" s="17" t="str">
        <f>HYPERLINK("#'Overview'!A1", "Overview")</f>
        <v>Overview</v>
      </c>
    </row>
    <row r="5" spans="1:35" ht="20.100000000000001" customHeight="1" x14ac:dyDescent="0.25">
      <c r="A5" s="17" t="str">
        <f>HYPERLINK("#'Results'!A1", "Results")</f>
        <v>Results</v>
      </c>
      <c r="D5" s="6" t="str" cm="1">
        <f t="array" ref="D5">Agresidue_SourceData.CropPurposeAndYield_Title()</f>
        <v>Crop purpose and yield</v>
      </c>
    </row>
    <row r="6" spans="1:35" ht="20.100000000000001" customHeight="1" x14ac:dyDescent="0.25">
      <c r="A6" s="16"/>
    </row>
    <row r="7" spans="1:35" ht="20.100000000000001" customHeight="1" x14ac:dyDescent="0.25">
      <c r="A7" s="20" t="s">
        <v>1</v>
      </c>
      <c r="D7" s="136" t="s">
        <v>169</v>
      </c>
      <c r="E7" s="136" t="s">
        <v>170</v>
      </c>
      <c r="F7" s="136" t="s">
        <v>171</v>
      </c>
      <c r="G7" s="136" t="s">
        <v>172</v>
      </c>
      <c r="H7" s="136" t="s">
        <v>173</v>
      </c>
      <c r="I7" s="136" t="s">
        <v>228</v>
      </c>
      <c r="J7" s="136" t="s">
        <v>229</v>
      </c>
      <c r="K7" s="136" t="s">
        <v>230</v>
      </c>
      <c r="AG7" s="1"/>
      <c r="AH7" s="1"/>
      <c r="AI7" s="1"/>
    </row>
    <row r="8" spans="1:35" ht="20.100000000000001" customHeight="1" x14ac:dyDescent="0.25">
      <c r="A8" s="17" t="str">
        <f>HYPERLINK("#'Input - Site'!A1", "Site")</f>
        <v>Site</v>
      </c>
      <c r="D8" t="str" cm="1">
        <f t="array" ref="D8">Common_InputFunctions.Utility_DisplayArrayInTable(Agresidue_SourceData.CropPurposeAndYield_Data(), Table_SourceData_CropPurposeAndYields[[#Headers],[Purpose]], 0)</f>
        <v>Cash grain crop</v>
      </c>
      <c r="E8" t="str" cm="1">
        <f t="array" ref="E8">Common_InputFunctions.Utility_DisplayArrayInTable(Agresidue_SourceData.CropPurposeAndYield_Data(), Table_SourceData_CropPurposeAndYields[[#Headers],[Purpose]], 0)</f>
        <v>grain</v>
      </c>
      <c r="F8" t="str" cm="1">
        <f t="array" ref="F8">Common_InputFunctions.Utility_DisplayArrayInTable(Agresidue_SourceData.CropPurposeAndYield_Data(), Table_SourceData_CropPurposeAndYields[[#Headers],[Purpose]], 0)</f>
        <v>yield</v>
      </c>
      <c r="G8" t="str" cm="1">
        <f t="array" ref="G8">Common_InputFunctions.Utility_DisplayArrayInTable(Agresidue_SourceData.CropPurposeAndYield_Data(), Table_SourceData_CropPurposeAndYields[[#Headers],[Purpose]], 0)</f>
        <v>harvest</v>
      </c>
      <c r="H8" t="str" cm="1">
        <f t="array" ref="H8">Common_InputFunctions.Utility_DisplayArrayInTable(Agresidue_SourceData.CropPurposeAndYield_Data(), Table_SourceData_CropPurposeAndYields[[#Headers],[Purpose]], 0)</f>
        <v>grain</v>
      </c>
      <c r="I8" t="str" cm="1">
        <f t="array" ref="I8">Common_InputFunctions.Utility_DisplayArrayInTable(Agresidue_SourceData.CropPurposeAndYield_Data(), Table_SourceData_CropPurposeAndYields[[#Headers],[Purpose]], 0)</f>
        <v>Yield is the grain harvested from the plant</v>
      </c>
      <c r="J8" t="str" cm="1">
        <f t="array" ref="J8">Common_InputFunctions.Utility_DisplayArrayInTable(Agresidue_SourceData.CropPurposeAndYield_Data(), Table_SourceData_CropPurposeAndYields[[#Headers],[Purpose]], 0)</f>
        <v>Residue to crop ratio is provided from default values</v>
      </c>
      <c r="K8" t="str" cm="1">
        <f t="array" ref="K8">Common_InputFunctions.Utility_DisplayArrayInTable(Agresidue_SourceData.CropPurposeAndYield_Data(), Table_SourceData_CropPurposeAndYields[[#Headers],[Purpose]], 0)</f>
        <v>Total production is the total grain harvested</v>
      </c>
      <c r="AG8" s="1"/>
      <c r="AH8" s="1"/>
      <c r="AI8" s="1"/>
    </row>
    <row r="9" spans="1:35" ht="20.100000000000001" customHeight="1" x14ac:dyDescent="0.25">
      <c r="A9" s="17" t="str">
        <f>HYPERLINK("#'Input - Crop'!A1", "Crop")</f>
        <v>Crop</v>
      </c>
      <c r="D9" t="str" cm="1">
        <f t="array" ref="D9">Common_InputFunctions.Utility_DisplayArrayInTable(Agresidue_SourceData.CropPurposeAndYield_Data(), Table_SourceData_CropPurposeAndYields[[#Headers],[Purpose]], 0)</f>
        <v>Cash crop for hay/silage</v>
      </c>
      <c r="E9" t="str" cm="1">
        <f t="array" ref="E9">Common_InputFunctions.Utility_DisplayArrayInTable(Agresidue_SourceData.CropPurposeAndYield_Data(), Table_SourceData_CropPurposeAndYields[[#Headers],[Purpose]], 0)</f>
        <v>above ground biomass</v>
      </c>
      <c r="F9" t="str" cm="1">
        <f t="array" ref="F9">Common_InputFunctions.Utility_DisplayArrayInTable(Agresidue_SourceData.CropPurposeAndYield_Data(), Table_SourceData_CropPurposeAndYields[[#Headers],[Purpose]], 0)</f>
        <v>yield</v>
      </c>
      <c r="G9" t="str" cm="1">
        <f t="array" ref="G9">Common_InputFunctions.Utility_DisplayArrayInTable(Agresidue_SourceData.CropPurposeAndYield_Data(), Table_SourceData_CropPurposeAndYields[[#Headers],[Purpose]], 0)</f>
        <v>harvest</v>
      </c>
      <c r="H9" t="str" cm="1">
        <f t="array" ref="H9">Common_InputFunctions.Utility_DisplayArrayInTable(Agresidue_SourceData.CropPurposeAndYield_Data(), Table_SourceData_CropPurposeAndYields[[#Headers],[Purpose]], 0)</f>
        <v>plant biomass</v>
      </c>
      <c r="I9" t="str" cm="1">
        <f t="array" ref="I9">Common_InputFunctions.Utility_DisplayArrayInTable(Agresidue_SourceData.CropPurposeAndYield_Data(), Table_SourceData_CropPurposeAndYields[[#Headers],[Purpose]], 0)</f>
        <v>Yield is the whole plant harvested for hay/silage</v>
      </c>
      <c r="J9" t="str" cm="1">
        <f t="array" ref="J9">Common_InputFunctions.Utility_DisplayArrayInTable(Agresidue_SourceData.CropPurposeAndYield_Data(), Table_SourceData_CropPurposeAndYields[[#Headers],[Purpose]], 0)</f>
        <v>Residue to crop ratio is 0 assuming the whole plant is harvested for hay/silage</v>
      </c>
      <c r="K9" t="str" cm="1">
        <f t="array" ref="K9">Common_InputFunctions.Utility_DisplayArrayInTable(Agresidue_SourceData.CropPurposeAndYield_Data(), Table_SourceData_CropPurposeAndYields[[#Headers],[Purpose]], 0)</f>
        <v>Total production is the total whole plant biomass harvested as hay/silage</v>
      </c>
      <c r="AG9" s="1"/>
      <c r="AH9" s="1"/>
      <c r="AI9" s="1"/>
    </row>
    <row r="10" spans="1:35" ht="20.100000000000001" customHeight="1" x14ac:dyDescent="0.25">
      <c r="A10" s="17" t="str">
        <f>HYPERLINK("#'Input - Pasture'!A1", "Pasture")</f>
        <v>Pasture</v>
      </c>
      <c r="D10" t="str" cm="1">
        <f t="array" ref="D10">Common_InputFunctions.Utility_DisplayArrayInTable(Agresidue_SourceData.CropPurposeAndYield_Data(), Table_SourceData_CropPurposeAndYields[[#Headers],[Purpose]], 0)</f>
        <v>Cover crop</v>
      </c>
      <c r="E10" t="str" cm="1">
        <f t="array" ref="E10">Common_InputFunctions.Utility_DisplayArrayInTable(Agresidue_SourceData.CropPurposeAndYield_Data(), Table_SourceData_CropPurposeAndYields[[#Headers],[Purpose]], 0)</f>
        <v>above ground biomass</v>
      </c>
      <c r="F10" t="str" cm="1">
        <f t="array" ref="F10">Common_InputFunctions.Utility_DisplayArrayInTable(Agresidue_SourceData.CropPurposeAndYield_Data(), Table_SourceData_CropPurposeAndYields[[#Headers],[Purpose]], 0)</f>
        <v>mass</v>
      </c>
      <c r="G10" t="str" cm="1">
        <f t="array" ref="G10">Common_InputFunctions.Utility_DisplayArrayInTable(Agresidue_SourceData.CropPurposeAndYield_Data(), Table_SourceData_CropPurposeAndYields[[#Headers],[Purpose]], 0)</f>
        <v>end of crop cycle</v>
      </c>
      <c r="H10" t="str" cm="1">
        <f t="array" ref="H10">Common_InputFunctions.Utility_DisplayArrayInTable(Agresidue_SourceData.CropPurposeAndYield_Data(), Table_SourceData_CropPurposeAndYields[[#Headers],[Purpose]], 0)</f>
        <v>above ground biomass</v>
      </c>
      <c r="I10" t="str" cm="1">
        <f t="array" ref="I10">Common_InputFunctions.Utility_DisplayArrayInTable(Agresidue_SourceData.CropPurposeAndYield_Data(), Table_SourceData_CropPurposeAndYields[[#Headers],[Purpose]], 0)</f>
        <v>Yield is the whole plant kept as cover crop</v>
      </c>
      <c r="J10" t="str" cm="1">
        <f t="array" ref="J10">Common_InputFunctions.Utility_DisplayArrayInTable(Agresidue_SourceData.CropPurposeAndYield_Data(), Table_SourceData_CropPurposeAndYields[[#Headers],[Purpose]], 0)</f>
        <v>Residue to crop ratio is 1 assuming the whole plant is kept as cover crop</v>
      </c>
      <c r="K10" t="str" cm="1">
        <f t="array" ref="K10">Common_InputFunctions.Utility_DisplayArrayInTable(Agresidue_SourceData.CropPurposeAndYield_Data(), Table_SourceData_CropPurposeAndYields[[#Headers],[Purpose]], 0)</f>
        <v>Total production is the total whole plant biomass kept as cover crop</v>
      </c>
      <c r="AG10" s="1"/>
      <c r="AH10" s="1"/>
      <c r="AI10" s="1"/>
    </row>
    <row r="11" spans="1:35" ht="20.100000000000001" customHeight="1" x14ac:dyDescent="0.25"/>
    <row r="12" spans="1:35" ht="20.100000000000001" customHeight="1" x14ac:dyDescent="0.25">
      <c r="A12" s="19" t="s">
        <v>69</v>
      </c>
    </row>
    <row r="13" spans="1:35" ht="20.100000000000001" customHeight="1" x14ac:dyDescent="0.25">
      <c r="A13" s="17" t="str">
        <f>HYPERLINK("#'6.1.1.1-2 Crop residue N2O'!A1", "6.1.1.1-2 Crop residue N2O")</f>
        <v>6.1.1.1-2 Crop residue N2O</v>
      </c>
    </row>
    <row r="14" spans="1:35" ht="20.100000000000001" customHeight="1" x14ac:dyDescent="0.25">
      <c r="A14" s="17" t="str">
        <f>HYPERLINK("#'6.2.1.1-2 Pasture residue N2O'!A1", "6.2.1.1-2 Pasture residue N2O")</f>
        <v>6.2.1.1-2 Pasture residue N2O</v>
      </c>
    </row>
    <row r="15" spans="1:35" ht="20.100000000000001" customHeight="1" x14ac:dyDescent="0.25">
      <c r="A15" s="17" t="str">
        <f>HYPERLINK("#'6.3.1.1-2 Leaching and runoff'!A1", "6.3.1.1-2 Leaching and runoff")</f>
        <v>6.3.1.1-2 Leaching and runoff</v>
      </c>
      <c r="D15" s="6" t="str" cm="1">
        <f t="array" ref="D15">Agresidue_SourceData.CropAttributes_Title()</f>
        <v>Table A.2.1.1: Crop attributes</v>
      </c>
      <c r="E15" s="22"/>
      <c r="F15" s="22"/>
      <c r="G15" s="22"/>
      <c r="H15" s="22"/>
      <c r="I15" s="22"/>
      <c r="J15" s="22"/>
      <c r="K15" s="22"/>
      <c r="L15" s="22"/>
    </row>
    <row r="16" spans="1:35" ht="20.100000000000001" customHeight="1" x14ac:dyDescent="0.25">
      <c r="A16" s="17" t="str">
        <f>HYPERLINK("#'6.4.1.1-2 Residue burning'!A1", "6.4.1.1-2 Residue burning")</f>
        <v>6.4.1.1-2 Residue burning</v>
      </c>
      <c r="D16" s="5" t="str" cm="1">
        <f t="array" ref="D16">Agresidue_SourceData.CropAttributes_Source()</f>
        <v>VEERG 2026: Table A.2.1.1: Crop attributes</v>
      </c>
      <c r="E16" s="22"/>
      <c r="F16" s="22"/>
      <c r="G16" s="22"/>
      <c r="H16" s="22"/>
      <c r="I16" s="22"/>
      <c r="J16" s="22"/>
      <c r="K16" s="22"/>
      <c r="L16" s="22"/>
    </row>
    <row r="17" spans="1:14" ht="20.100000000000001" customHeight="1" x14ac:dyDescent="0.25">
      <c r="A17" s="17"/>
      <c r="D17" s="53" t="str" cm="1">
        <f t="array" ref="D17">"⚠️" &amp; Agresidue_SourceData.CropAttributes_Variation()</f>
        <v>⚠️VARIATION FROM SOURCE: 'N/A' values passed as zero for calculations.</v>
      </c>
      <c r="E17" s="22"/>
      <c r="F17" s="22"/>
      <c r="G17" s="22"/>
      <c r="H17" s="22"/>
      <c r="I17" s="22"/>
      <c r="J17" s="22"/>
      <c r="K17" s="22"/>
      <c r="L17" s="22"/>
    </row>
    <row r="18" spans="1:14" ht="20.100000000000001" customHeight="1" x14ac:dyDescent="0.25">
      <c r="A18" s="18" t="s">
        <v>2</v>
      </c>
      <c r="D18" s="22"/>
      <c r="E18" s="22"/>
      <c r="F18" s="22"/>
      <c r="G18" s="22"/>
      <c r="H18" s="22"/>
      <c r="I18" s="22"/>
      <c r="J18" s="22"/>
      <c r="K18" s="22"/>
      <c r="L18" s="22"/>
    </row>
    <row r="19" spans="1:14" ht="20.100000000000001" customHeight="1" x14ac:dyDescent="0.25">
      <c r="A19" s="132" t="str">
        <f>HYPERLINK("#'Constants - Ag Residue'!A1", "Constants - Ag Residue")</f>
        <v>Constants - Ag Residue</v>
      </c>
      <c r="D19" t="s">
        <v>110</v>
      </c>
      <c r="E19" t="s">
        <v>159</v>
      </c>
      <c r="F19" t="s">
        <v>160</v>
      </c>
      <c r="G19" t="s">
        <v>161</v>
      </c>
      <c r="H19" t="s">
        <v>162</v>
      </c>
      <c r="I19" t="s">
        <v>163</v>
      </c>
      <c r="J19" t="s">
        <v>164</v>
      </c>
      <c r="K19" t="s">
        <v>165</v>
      </c>
      <c r="L19" t="s">
        <v>166</v>
      </c>
      <c r="N19" s="6" t="s">
        <v>223</v>
      </c>
    </row>
    <row r="20" spans="1:14" ht="20.100000000000001" customHeight="1" x14ac:dyDescent="0.25">
      <c r="A20" s="17" t="str">
        <f>HYPERLINK("#'Constants - Common'!A1", "Constants - Common")</f>
        <v>Constants - Common</v>
      </c>
      <c r="D20" t="str" cm="1">
        <f t="array" ref="D20">Common_InputFunctions.Utility_DisplayArrayInTable(Agresidue_SourceData.CropAttributes_Data(),Table_SourceData_CropAttributes[[#Headers],[Crop type]], -1)</f>
        <v>Wheat</v>
      </c>
      <c r="E20" cm="1">
        <f t="array" ref="E20">Common_InputFunctions.Utility_DisplayArrayInTable(Agresidue_SourceData.CropAttributes_Data(),Table_SourceData_CropAttributes[[#Headers],[Crop type]], -1)</f>
        <v>1.5</v>
      </c>
      <c r="F20" cm="1">
        <f t="array" ref="F20">Common_InputFunctions.Utility_DisplayArrayInTable(Agresidue_SourceData.CropAttributes_Data(),Table_SourceData_CropAttributes[[#Headers],[Crop type]], -1)</f>
        <v>0.28999999999999998</v>
      </c>
      <c r="G20" cm="1">
        <f t="array" ref="G20">Common_InputFunctions.Utility_DisplayArrayInTable(Agresidue_SourceData.CropAttributes_Data(),Table_SourceData_CropAttributes[[#Headers],[Crop type]], -1)</f>
        <v>0.88</v>
      </c>
      <c r="H20" cm="1">
        <f t="array" ref="H20">Common_InputFunctions.Utility_DisplayArrayInTable(Agresidue_SourceData.CropAttributes_Data(),Table_SourceData_CropAttributes[[#Headers],[Crop type]], -1)</f>
        <v>0.4</v>
      </c>
      <c r="I20" cm="1">
        <f t="array" ref="I20">Common_InputFunctions.Utility_DisplayArrayInTable(Agresidue_SourceData.CropAttributes_Data(),Table_SourceData_CropAttributes[[#Headers],[Crop type]], -1)</f>
        <v>6.0000000000000001E-3</v>
      </c>
      <c r="J20" cm="1">
        <f t="array" ref="J20">Common_InputFunctions.Utility_DisplayArrayInTable(Agresidue_SourceData.CropAttributes_Data(),Table_SourceData_CropAttributes[[#Headers],[Crop type]], -1)</f>
        <v>0.01</v>
      </c>
      <c r="K20" cm="1">
        <f t="array" ref="K20">Common_InputFunctions.Utility_DisplayArrayInTable(Agresidue_SourceData.CropAttributes_Data(),Table_SourceData_CropAttributes[[#Headers],[Crop type]], -1)</f>
        <v>0.5</v>
      </c>
      <c r="L20" cm="1">
        <f t="array" ref="L20">Common_InputFunctions.Utility_DisplayArrayInTable(Agresidue_SourceData.CropAttributes_Data(),Table_SourceData_CropAttributes[[#Headers],[Crop type]], -1)</f>
        <v>0.9</v>
      </c>
    </row>
    <row r="21" spans="1:14" ht="20.100000000000001" customHeight="1" x14ac:dyDescent="0.25">
      <c r="D21" t="str" cm="1">
        <f t="array" ref="D21">Common_InputFunctions.Utility_DisplayArrayInTable(Agresidue_SourceData.CropAttributes_Data(),Table_SourceData_CropAttributes[[#Headers],[Crop type]], -1)</f>
        <v>Barley</v>
      </c>
      <c r="E21" cm="1">
        <f t="array" ref="E21">Common_InputFunctions.Utility_DisplayArrayInTable(Agresidue_SourceData.CropAttributes_Data(),Table_SourceData_CropAttributes[[#Headers],[Crop type]], -1)</f>
        <v>1.24</v>
      </c>
      <c r="F21" cm="1">
        <f t="array" ref="F21">Common_InputFunctions.Utility_DisplayArrayInTable(Agresidue_SourceData.CropAttributes_Data(),Table_SourceData_CropAttributes[[#Headers],[Crop type]], -1)</f>
        <v>0.32</v>
      </c>
      <c r="G21" cm="1">
        <f t="array" ref="G21">Common_InputFunctions.Utility_DisplayArrayInTable(Agresidue_SourceData.CropAttributes_Data(),Table_SourceData_CropAttributes[[#Headers],[Crop type]], -1)</f>
        <v>0.88</v>
      </c>
      <c r="H21" cm="1">
        <f t="array" ref="H21">Common_InputFunctions.Utility_DisplayArrayInTable(Agresidue_SourceData.CropAttributes_Data(),Table_SourceData_CropAttributes[[#Headers],[Crop type]], -1)</f>
        <v>0.4</v>
      </c>
      <c r="I21" cm="1">
        <f t="array" ref="I21">Common_InputFunctions.Utility_DisplayArrayInTable(Agresidue_SourceData.CropAttributes_Data(),Table_SourceData_CropAttributes[[#Headers],[Crop type]], -1)</f>
        <v>7.0000000000000001E-3</v>
      </c>
      <c r="J21" cm="1">
        <f t="array" ref="J21">Common_InputFunctions.Utility_DisplayArrayInTable(Agresidue_SourceData.CropAttributes_Data(),Table_SourceData_CropAttributes[[#Headers],[Crop type]], -1)</f>
        <v>0.01</v>
      </c>
      <c r="K21" cm="1">
        <f t="array" ref="K21">Common_InputFunctions.Utility_DisplayArrayInTable(Agresidue_SourceData.CropAttributes_Data(),Table_SourceData_CropAttributes[[#Headers],[Crop type]], -1)</f>
        <v>0.5</v>
      </c>
      <c r="L21" cm="1">
        <f t="array" ref="L21">Common_InputFunctions.Utility_DisplayArrayInTable(Agresidue_SourceData.CropAttributes_Data(),Table_SourceData_CropAttributes[[#Headers],[Crop type]], -1)</f>
        <v>0.85</v>
      </c>
      <c r="N21" s="37" t="s">
        <v>86</v>
      </c>
    </row>
    <row r="22" spans="1:14" ht="20.100000000000001" customHeight="1" x14ac:dyDescent="0.25">
      <c r="D22" t="str" cm="1">
        <f t="array" ref="D22">Common_InputFunctions.Utility_DisplayArrayInTable(Agresidue_SourceData.CropAttributes_Data(),Table_SourceData_CropAttributes[[#Headers],[Crop type]], -1)</f>
        <v>Maize</v>
      </c>
      <c r="E22" cm="1">
        <f t="array" ref="E22">Common_InputFunctions.Utility_DisplayArrayInTable(Agresidue_SourceData.CropAttributes_Data(),Table_SourceData_CropAttributes[[#Headers],[Crop type]], -1)</f>
        <v>0.81</v>
      </c>
      <c r="F22" cm="1">
        <f t="array" ref="F22">Common_InputFunctions.Utility_DisplayArrayInTable(Agresidue_SourceData.CropAttributes_Data(),Table_SourceData_CropAttributes[[#Headers],[Crop type]], -1)</f>
        <v>0.39</v>
      </c>
      <c r="G22" cm="1">
        <f t="array" ref="G22">Common_InputFunctions.Utility_DisplayArrayInTable(Agresidue_SourceData.CropAttributes_Data(),Table_SourceData_CropAttributes[[#Headers],[Crop type]], -1)</f>
        <v>0.85</v>
      </c>
      <c r="H22" cm="1">
        <f t="array" ref="H22">Common_InputFunctions.Utility_DisplayArrayInTable(Agresidue_SourceData.CropAttributes_Data(),Table_SourceData_CropAttributes[[#Headers],[Crop type]], -1)</f>
        <v>0.42</v>
      </c>
      <c r="I22" cm="1">
        <f t="array" ref="I22">Common_InputFunctions.Utility_DisplayArrayInTable(Agresidue_SourceData.CropAttributes_Data(),Table_SourceData_CropAttributes[[#Headers],[Crop type]], -1)</f>
        <v>5.0000000000000001E-3</v>
      </c>
      <c r="J22" cm="1">
        <f t="array" ref="J22">Common_InputFunctions.Utility_DisplayArrayInTable(Agresidue_SourceData.CropAttributes_Data(),Table_SourceData_CropAttributes[[#Headers],[Crop type]], -1)</f>
        <v>7.0000000000000001E-3</v>
      </c>
      <c r="K22" cm="1">
        <f t="array" ref="K22">Common_InputFunctions.Utility_DisplayArrayInTable(Agresidue_SourceData.CropAttributes_Data(),Table_SourceData_CropAttributes[[#Headers],[Crop type]], -1)</f>
        <v>1</v>
      </c>
      <c r="L22" cm="1">
        <f t="array" ref="L22">Common_InputFunctions.Utility_DisplayArrayInTable(Agresidue_SourceData.CropAttributes_Data(),Table_SourceData_CropAttributes[[#Headers],[Crop type]], -1)</f>
        <v>0.8</v>
      </c>
      <c r="N22" s="37" t="s">
        <v>224</v>
      </c>
    </row>
    <row r="23" spans="1:14" ht="20.100000000000001" customHeight="1" x14ac:dyDescent="0.25">
      <c r="A23" s="17"/>
      <c r="D23" t="str" cm="1">
        <f t="array" ref="D23">Common_InputFunctions.Utility_DisplayArrayInTable(Agresidue_SourceData.CropAttributes_Data(),Table_SourceData_CropAttributes[[#Headers],[Crop type]], -1)</f>
        <v>Oats</v>
      </c>
      <c r="E23" cm="1">
        <f t="array" ref="E23">Common_InputFunctions.Utility_DisplayArrayInTable(Agresidue_SourceData.CropAttributes_Data(),Table_SourceData_CropAttributes[[#Headers],[Crop type]], -1)</f>
        <v>1.42</v>
      </c>
      <c r="F23" cm="1">
        <f t="array" ref="F23">Common_InputFunctions.Utility_DisplayArrayInTable(Agresidue_SourceData.CropAttributes_Data(),Table_SourceData_CropAttributes[[#Headers],[Crop type]], -1)</f>
        <v>0.43</v>
      </c>
      <c r="G23" cm="1">
        <f t="array" ref="G23">Common_InputFunctions.Utility_DisplayArrayInTable(Agresidue_SourceData.CropAttributes_Data(),Table_SourceData_CropAttributes[[#Headers],[Crop type]], -1)</f>
        <v>0.88</v>
      </c>
      <c r="H23" cm="1">
        <f t="array" ref="H23">Common_InputFunctions.Utility_DisplayArrayInTable(Agresidue_SourceData.CropAttributes_Data(),Table_SourceData_CropAttributes[[#Headers],[Crop type]], -1)</f>
        <v>0.4</v>
      </c>
      <c r="I23" cm="1">
        <f t="array" ref="I23">Common_InputFunctions.Utility_DisplayArrayInTable(Agresidue_SourceData.CropAttributes_Data(),Table_SourceData_CropAttributes[[#Headers],[Crop type]], -1)</f>
        <v>6.0000000000000001E-3</v>
      </c>
      <c r="J23" cm="1">
        <f t="array" ref="J23">Common_InputFunctions.Utility_DisplayArrayInTable(Agresidue_SourceData.CropAttributes_Data(),Table_SourceData_CropAttributes[[#Headers],[Crop type]], -1)</f>
        <v>0.01</v>
      </c>
      <c r="K23" cm="1">
        <f t="array" ref="K23">Common_InputFunctions.Utility_DisplayArrayInTable(Agresidue_SourceData.CropAttributes_Data(),Table_SourceData_CropAttributes[[#Headers],[Crop type]], -1)</f>
        <v>0.5</v>
      </c>
      <c r="L23" cm="1">
        <f t="array" ref="L23">Common_InputFunctions.Utility_DisplayArrayInTable(Agresidue_SourceData.CropAttributes_Data(),Table_SourceData_CropAttributes[[#Headers],[Crop type]], -1)</f>
        <v>0.85</v>
      </c>
      <c r="N23" s="37" t="s">
        <v>225</v>
      </c>
    </row>
    <row r="24" spans="1:14" ht="20.100000000000001" customHeight="1" x14ac:dyDescent="0.25">
      <c r="D24" t="str" cm="1">
        <f t="array" ref="D24">Common_InputFunctions.Utility_DisplayArrayInTable(Agresidue_SourceData.CropAttributes_Data(),Table_SourceData_CropAttributes[[#Headers],[Crop type]], -1)</f>
        <v>Rice</v>
      </c>
      <c r="E24" cm="1">
        <f t="array" ref="E24">Common_InputFunctions.Utility_DisplayArrayInTable(Agresidue_SourceData.CropAttributes_Data(),Table_SourceData_CropAttributes[[#Headers],[Crop type]], -1)</f>
        <v>1.31</v>
      </c>
      <c r="F24" cm="1">
        <f t="array" ref="F24">Common_InputFunctions.Utility_DisplayArrayInTable(Agresidue_SourceData.CropAttributes_Data(),Table_SourceData_CropAttributes[[#Headers],[Crop type]], -1)</f>
        <v>0.16</v>
      </c>
      <c r="G24" cm="1">
        <f t="array" ref="G24">Common_InputFunctions.Utility_DisplayArrayInTable(Agresidue_SourceData.CropAttributes_Data(),Table_SourceData_CropAttributes[[#Headers],[Crop type]], -1)</f>
        <v>0.8</v>
      </c>
      <c r="H24" cm="1">
        <f t="array" ref="H24">Common_InputFunctions.Utility_DisplayArrayInTable(Agresidue_SourceData.CropAttributes_Data(),Table_SourceData_CropAttributes[[#Headers],[Crop type]], -1)</f>
        <v>0.42</v>
      </c>
      <c r="I24" cm="1">
        <f t="array" ref="I24">Common_InputFunctions.Utility_DisplayArrayInTable(Agresidue_SourceData.CropAttributes_Data(),Table_SourceData_CropAttributes[[#Headers],[Crop type]], -1)</f>
        <v>7.0000000000000001E-3</v>
      </c>
      <c r="J24" cm="1">
        <f t="array" ref="J24">Common_InputFunctions.Utility_DisplayArrayInTable(Agresidue_SourceData.CropAttributes_Data(),Table_SourceData_CropAttributes[[#Headers],[Crop type]], -1)</f>
        <v>0.01</v>
      </c>
      <c r="K24" cm="1">
        <f t="array" ref="K24">Common_InputFunctions.Utility_DisplayArrayInTable(Agresidue_SourceData.CropAttributes_Data(),Table_SourceData_CropAttributes[[#Headers],[Crop type]], -1)</f>
        <v>1</v>
      </c>
      <c r="L24" cm="1">
        <f t="array" ref="L24">Common_InputFunctions.Utility_DisplayArrayInTable(Agresidue_SourceData.CropAttributes_Data(),Table_SourceData_CropAttributes[[#Headers],[Crop type]], -1)</f>
        <v>0.8</v>
      </c>
      <c r="N24" s="1" t="s">
        <v>108</v>
      </c>
    </row>
    <row r="25" spans="1:14" ht="20.100000000000001" customHeight="1" x14ac:dyDescent="0.25">
      <c r="D25" t="str" cm="1">
        <f t="array" ref="D25">Common_InputFunctions.Utility_DisplayArrayInTable(Agresidue_SourceData.CropAttributes_Data(),Table_SourceData_CropAttributes[[#Headers],[Crop type]], -1)</f>
        <v>Sorghum</v>
      </c>
      <c r="E25" cm="1">
        <f t="array" ref="E25">Common_InputFunctions.Utility_DisplayArrayInTable(Agresidue_SourceData.CropAttributes_Data(),Table_SourceData_CropAttributes[[#Headers],[Crop type]], -1)</f>
        <v>1.5</v>
      </c>
      <c r="F25" cm="1">
        <f t="array" ref="F25">Common_InputFunctions.Utility_DisplayArrayInTable(Agresidue_SourceData.CropAttributes_Data(),Table_SourceData_CropAttributes[[#Headers],[Crop type]], -1)</f>
        <v>0.22</v>
      </c>
      <c r="G25" cm="1">
        <f t="array" ref="G25">Common_InputFunctions.Utility_DisplayArrayInTable(Agresidue_SourceData.CropAttributes_Data(),Table_SourceData_CropAttributes[[#Headers],[Crop type]], -1)</f>
        <v>0.8</v>
      </c>
      <c r="H25" cm="1">
        <f t="array" ref="H25">Common_InputFunctions.Utility_DisplayArrayInTable(Agresidue_SourceData.CropAttributes_Data(),Table_SourceData_CropAttributes[[#Headers],[Crop type]], -1)</f>
        <v>0.4</v>
      </c>
      <c r="I25" cm="1">
        <f t="array" ref="I25">Common_InputFunctions.Utility_DisplayArrayInTable(Agresidue_SourceData.CropAttributes_Data(),Table_SourceData_CropAttributes[[#Headers],[Crop type]], -1)</f>
        <v>8.0000000000000002E-3</v>
      </c>
      <c r="J25" cm="1">
        <f t="array" ref="J25">Common_InputFunctions.Utility_DisplayArrayInTable(Agresidue_SourceData.CropAttributes_Data(),Table_SourceData_CropAttributes[[#Headers],[Crop type]], -1)</f>
        <v>7.0000000000000001E-3</v>
      </c>
      <c r="K25" cm="1">
        <f t="array" ref="K25">Common_InputFunctions.Utility_DisplayArrayInTable(Agresidue_SourceData.CropAttributes_Data(),Table_SourceData_CropAttributes[[#Headers],[Crop type]], -1)</f>
        <v>0.5</v>
      </c>
      <c r="L25" cm="1">
        <f t="array" ref="L25">Common_InputFunctions.Utility_DisplayArrayInTable(Agresidue_SourceData.CropAttributes_Data(),Table_SourceData_CropAttributes[[#Headers],[Crop type]], -1)</f>
        <v>0.85</v>
      </c>
      <c r="N25" s="1" t="s">
        <v>226</v>
      </c>
    </row>
    <row r="26" spans="1:14" ht="20.100000000000001" customHeight="1" x14ac:dyDescent="0.25">
      <c r="D26" t="str" cm="1">
        <f t="array" ref="D26">Common_InputFunctions.Utility_DisplayArrayInTable(Agresidue_SourceData.CropAttributes_Data(),Table_SourceData_CropAttributes[[#Headers],[Crop type]], -1)</f>
        <v>Triticale</v>
      </c>
      <c r="E26" cm="1">
        <f t="array" ref="E26">Common_InputFunctions.Utility_DisplayArrayInTable(Agresidue_SourceData.CropAttributes_Data(),Table_SourceData_CropAttributes[[#Headers],[Crop type]], -1)</f>
        <v>1.5</v>
      </c>
      <c r="F26" cm="1">
        <f t="array" ref="F26">Common_InputFunctions.Utility_DisplayArrayInTable(Agresidue_SourceData.CropAttributes_Data(),Table_SourceData_CropAttributes[[#Headers],[Crop type]], -1)</f>
        <v>0.42</v>
      </c>
      <c r="G26" cm="1">
        <f t="array" ref="G26">Common_InputFunctions.Utility_DisplayArrayInTable(Agresidue_SourceData.CropAttributes_Data(),Table_SourceData_CropAttributes[[#Headers],[Crop type]], -1)</f>
        <v>0.88</v>
      </c>
      <c r="H26" cm="1">
        <f t="array" ref="H26">Common_InputFunctions.Utility_DisplayArrayInTable(Agresidue_SourceData.CropAttributes_Data(),Table_SourceData_CropAttributes[[#Headers],[Crop type]], -1)</f>
        <v>0.4</v>
      </c>
      <c r="I26" cm="1">
        <f t="array" ref="I26">Common_InputFunctions.Utility_DisplayArrayInTable(Agresidue_SourceData.CropAttributes_Data(),Table_SourceData_CropAttributes[[#Headers],[Crop type]], -1)</f>
        <v>6.0000000000000001E-3</v>
      </c>
      <c r="J26" cm="1">
        <f t="array" ref="J26">Common_InputFunctions.Utility_DisplayArrayInTable(Agresidue_SourceData.CropAttributes_Data(),Table_SourceData_CropAttributes[[#Headers],[Crop type]], -1)</f>
        <v>0.01</v>
      </c>
      <c r="K26" cm="1">
        <f t="array" ref="K26">Common_InputFunctions.Utility_DisplayArrayInTable(Agresidue_SourceData.CropAttributes_Data(),Table_SourceData_CropAttributes[[#Headers],[Crop type]], -1)</f>
        <v>0.5</v>
      </c>
      <c r="L26" cm="1">
        <f t="array" ref="L26">Common_InputFunctions.Utility_DisplayArrayInTable(Agresidue_SourceData.CropAttributes_Data(),Table_SourceData_CropAttributes[[#Headers],[Crop type]], -1)</f>
        <v>0.85</v>
      </c>
      <c r="N26" s="1" t="s">
        <v>227</v>
      </c>
    </row>
    <row r="27" spans="1:14" ht="20.100000000000001" customHeight="1" x14ac:dyDescent="0.25">
      <c r="D27" t="str" cm="1">
        <f t="array" ref="D27">Common_InputFunctions.Utility_DisplayArrayInTable(Agresidue_SourceData.CropAttributes_Data(),Table_SourceData_CropAttributes[[#Headers],[Crop type]], -1)</f>
        <v>Other cereals</v>
      </c>
      <c r="E27" cm="1">
        <f t="array" ref="E27">Common_InputFunctions.Utility_DisplayArrayInTable(Agresidue_SourceData.CropAttributes_Data(),Table_SourceData_CropAttributes[[#Headers],[Crop type]], -1)</f>
        <v>1.46</v>
      </c>
      <c r="F27" cm="1">
        <f t="array" ref="F27">Common_InputFunctions.Utility_DisplayArrayInTable(Agresidue_SourceData.CropAttributes_Data(),Table_SourceData_CropAttributes[[#Headers],[Crop type]], -1)</f>
        <v>0.36</v>
      </c>
      <c r="G27" cm="1">
        <f t="array" ref="G27">Common_InputFunctions.Utility_DisplayArrayInTable(Agresidue_SourceData.CropAttributes_Data(),Table_SourceData_CropAttributes[[#Headers],[Crop type]], -1)</f>
        <v>0.88</v>
      </c>
      <c r="H27" cm="1">
        <f t="array" ref="H27">Common_InputFunctions.Utility_DisplayArrayInTable(Agresidue_SourceData.CropAttributes_Data(),Table_SourceData_CropAttributes[[#Headers],[Crop type]], -1)</f>
        <v>0.4</v>
      </c>
      <c r="I27" cm="1">
        <f t="array" ref="I27">Common_InputFunctions.Utility_DisplayArrayInTable(Agresidue_SourceData.CropAttributes_Data(),Table_SourceData_CropAttributes[[#Headers],[Crop type]], -1)</f>
        <v>6.0000000000000001E-3</v>
      </c>
      <c r="J27" cm="1">
        <f t="array" ref="J27">Common_InputFunctions.Utility_DisplayArrayInTable(Agresidue_SourceData.CropAttributes_Data(),Table_SourceData_CropAttributes[[#Headers],[Crop type]], -1)</f>
        <v>0.01</v>
      </c>
      <c r="K27" cm="1">
        <f t="array" ref="K27">Common_InputFunctions.Utility_DisplayArrayInTable(Agresidue_SourceData.CropAttributes_Data(),Table_SourceData_CropAttributes[[#Headers],[Crop type]], -1)</f>
        <v>0.5</v>
      </c>
      <c r="L27" cm="1">
        <f t="array" ref="L27">Common_InputFunctions.Utility_DisplayArrayInTable(Agresidue_SourceData.CropAttributes_Data(),Table_SourceData_CropAttributes[[#Headers],[Crop type]], -1)</f>
        <v>0.85</v>
      </c>
    </row>
    <row r="28" spans="1:14" ht="20.100000000000001" customHeight="1" x14ac:dyDescent="0.25">
      <c r="D28" t="str" cm="1">
        <f t="array" ref="D28">Common_InputFunctions.Utility_DisplayArrayInTable(Agresidue_SourceData.CropAttributes_Data(),Table_SourceData_CropAttributes[[#Headers],[Crop type]], -1)</f>
        <v>Pulses</v>
      </c>
      <c r="E28" cm="1">
        <f t="array" ref="E28">Common_InputFunctions.Utility_DisplayArrayInTable(Agresidue_SourceData.CropAttributes_Data(),Table_SourceData_CropAttributes[[#Headers],[Crop type]], -1)</f>
        <v>1.37</v>
      </c>
      <c r="F28" cm="1">
        <f t="array" ref="F28">Common_InputFunctions.Utility_DisplayArrayInTable(Agresidue_SourceData.CropAttributes_Data(),Table_SourceData_CropAttributes[[#Headers],[Crop type]], -1)</f>
        <v>0.51</v>
      </c>
      <c r="G28" cm="1">
        <f t="array" ref="G28">Common_InputFunctions.Utility_DisplayArrayInTable(Agresidue_SourceData.CropAttributes_Data(),Table_SourceData_CropAttributes[[#Headers],[Crop type]], -1)</f>
        <v>0.87</v>
      </c>
      <c r="H28" cm="1">
        <f t="array" ref="H28">Common_InputFunctions.Utility_DisplayArrayInTable(Agresidue_SourceData.CropAttributes_Data(),Table_SourceData_CropAttributes[[#Headers],[Crop type]], -1)</f>
        <v>0.4</v>
      </c>
      <c r="I28" cm="1">
        <f t="array" ref="I28">Common_InputFunctions.Utility_DisplayArrayInTable(Agresidue_SourceData.CropAttributes_Data(),Table_SourceData_CropAttributes[[#Headers],[Crop type]], -1)</f>
        <v>8.9999999999999993E-3</v>
      </c>
      <c r="J28" cm="1">
        <f t="array" ref="J28">Common_InputFunctions.Utility_DisplayArrayInTable(Agresidue_SourceData.CropAttributes_Data(),Table_SourceData_CropAttributes[[#Headers],[Crop type]], -1)</f>
        <v>0.01</v>
      </c>
      <c r="K28" cm="1">
        <f t="array" ref="K28">Common_InputFunctions.Utility_DisplayArrayInTable(Agresidue_SourceData.CropAttributes_Data(),Table_SourceData_CropAttributes[[#Headers],[Crop type]], -1)</f>
        <v>0.5</v>
      </c>
      <c r="L28" cm="1">
        <f t="array" ref="L28">Common_InputFunctions.Utility_DisplayArrayInTable(Agresidue_SourceData.CropAttributes_Data(),Table_SourceData_CropAttributes[[#Headers],[Crop type]], -1)</f>
        <v>0.85</v>
      </c>
    </row>
    <row r="29" spans="1:14" ht="20.100000000000001" customHeight="1" x14ac:dyDescent="0.25">
      <c r="D29" t="str" cm="1">
        <f t="array" ref="D29">Common_InputFunctions.Utility_DisplayArrayInTable(Agresidue_SourceData.CropAttributes_Data(),Table_SourceData_CropAttributes[[#Headers],[Crop type]], -1)</f>
        <v>Tubers and roots</v>
      </c>
      <c r="E29" cm="1">
        <f t="array" ref="E29">Common_InputFunctions.Utility_DisplayArrayInTable(Agresidue_SourceData.CropAttributes_Data(),Table_SourceData_CropAttributes[[#Headers],[Crop type]], -1)</f>
        <v>0.34</v>
      </c>
      <c r="F29" cm="1">
        <f t="array" ref="F29">Common_InputFunctions.Utility_DisplayArrayInTable(Agresidue_SourceData.CropAttributes_Data(),Table_SourceData_CropAttributes[[#Headers],[Crop type]], -1)</f>
        <v>0.43</v>
      </c>
      <c r="G29" cm="1">
        <f t="array" ref="G29">Common_InputFunctions.Utility_DisplayArrayInTable(Agresidue_SourceData.CropAttributes_Data(),Table_SourceData_CropAttributes[[#Headers],[Crop type]], -1)</f>
        <v>0.25</v>
      </c>
      <c r="H29" cm="1">
        <f t="array" ref="H29">Common_InputFunctions.Utility_DisplayArrayInTable(Agresidue_SourceData.CropAttributes_Data(),Table_SourceData_CropAttributes[[#Headers],[Crop type]], -1)</f>
        <v>0.4</v>
      </c>
      <c r="I29" cm="1">
        <f t="array" ref="I29">Common_InputFunctions.Utility_DisplayArrayInTable(Agresidue_SourceData.CropAttributes_Data(),Table_SourceData_CropAttributes[[#Headers],[Crop type]], -1)</f>
        <v>0.02</v>
      </c>
      <c r="J29" cm="1">
        <f t="array" ref="J29">Common_InputFunctions.Utility_DisplayArrayInTable(Agresidue_SourceData.CropAttributes_Data(),Table_SourceData_CropAttributes[[#Headers],[Crop type]], -1)</f>
        <v>0.01</v>
      </c>
      <c r="K29" t="str" cm="1">
        <f t="array" ref="K29">Common_InputFunctions.Utility_DisplayArrayInTable(Agresidue_SourceData.CropAttributes_Data(),Table_SourceData_CropAttributes[[#Headers],[Crop type]], -1)</f>
        <v>n/a</v>
      </c>
      <c r="L29" cm="1">
        <f t="array" ref="L29">Common_InputFunctions.Utility_DisplayArrayInTable(Agresidue_SourceData.CropAttributes_Data(),Table_SourceData_CropAttributes[[#Headers],[Crop type]], -1)</f>
        <v>0.85</v>
      </c>
    </row>
    <row r="30" spans="1:14" ht="20.100000000000001" customHeight="1" x14ac:dyDescent="0.25">
      <c r="D30" t="str" cm="1">
        <f t="array" ref="D30">Common_InputFunctions.Utility_DisplayArrayInTable(Agresidue_SourceData.CropAttributes_Data(),Table_SourceData_CropAttributes[[#Headers],[Crop type]], -1)</f>
        <v>Peanuts</v>
      </c>
      <c r="E30" cm="1">
        <f t="array" ref="E30">Common_InputFunctions.Utility_DisplayArrayInTable(Agresidue_SourceData.CropAttributes_Data(),Table_SourceData_CropAttributes[[#Headers],[Crop type]], -1)</f>
        <v>1.07</v>
      </c>
      <c r="F30" cm="1">
        <f t="array" ref="F30">Common_InputFunctions.Utility_DisplayArrayInTable(Agresidue_SourceData.CropAttributes_Data(),Table_SourceData_CropAttributes[[#Headers],[Crop type]], -1)</f>
        <v>0.2</v>
      </c>
      <c r="G30" cm="1">
        <f t="array" ref="G30">Common_InputFunctions.Utility_DisplayArrayInTable(Agresidue_SourceData.CropAttributes_Data(),Table_SourceData_CropAttributes[[#Headers],[Crop type]], -1)</f>
        <v>0.8</v>
      </c>
      <c r="H30" cm="1">
        <f t="array" ref="H30">Common_InputFunctions.Utility_DisplayArrayInTable(Agresidue_SourceData.CropAttributes_Data(),Table_SourceData_CropAttributes[[#Headers],[Crop type]], -1)</f>
        <v>0.42</v>
      </c>
      <c r="I30" cm="1">
        <f t="array" ref="I30">Common_InputFunctions.Utility_DisplayArrayInTable(Agresidue_SourceData.CropAttributes_Data(),Table_SourceData_CropAttributes[[#Headers],[Crop type]], -1)</f>
        <v>1.6E-2</v>
      </c>
      <c r="J30" cm="1">
        <f t="array" ref="J30">Common_InputFunctions.Utility_DisplayArrayInTable(Agresidue_SourceData.CropAttributes_Data(),Table_SourceData_CropAttributes[[#Headers],[Crop type]], -1)</f>
        <v>1.4E-2</v>
      </c>
      <c r="K30" cm="1">
        <f t="array" ref="K30">Common_InputFunctions.Utility_DisplayArrayInTable(Agresidue_SourceData.CropAttributes_Data(),Table_SourceData_CropAttributes[[#Headers],[Crop type]], -1)</f>
        <v>0.5</v>
      </c>
      <c r="L30" cm="1">
        <f t="array" ref="L30">Common_InputFunctions.Utility_DisplayArrayInTable(Agresidue_SourceData.CropAttributes_Data(),Table_SourceData_CropAttributes[[#Headers],[Crop type]], -1)</f>
        <v>0.85</v>
      </c>
    </row>
    <row r="31" spans="1:14" ht="20.100000000000001" customHeight="1" x14ac:dyDescent="0.25">
      <c r="D31" t="str" cm="1">
        <f t="array" ref="D31">Common_InputFunctions.Utility_DisplayArrayInTable(Agresidue_SourceData.CropAttributes_Data(),Table_SourceData_CropAttributes[[#Headers],[Crop type]], -1)</f>
        <v>Sugar cane</v>
      </c>
      <c r="E31" cm="1">
        <f t="array" ref="E31">Common_InputFunctions.Utility_DisplayArrayInTable(Agresidue_SourceData.CropAttributes_Data(),Table_SourceData_CropAttributes[[#Headers],[Crop type]], -1)</f>
        <v>0.25</v>
      </c>
      <c r="F31" cm="1">
        <f t="array" ref="F31">Common_InputFunctions.Utility_DisplayArrayInTable(Agresidue_SourceData.CropAttributes_Data(),Table_SourceData_CropAttributes[[#Headers],[Crop type]], -1)</f>
        <v>0.45</v>
      </c>
      <c r="G31" cm="1">
        <f t="array" ref="G31">Common_InputFunctions.Utility_DisplayArrayInTable(Agresidue_SourceData.CropAttributes_Data(),Table_SourceData_CropAttributes[[#Headers],[Crop type]], -1)</f>
        <v>0.2</v>
      </c>
      <c r="H31" cm="1">
        <f t="array" ref="H31">Common_InputFunctions.Utility_DisplayArrayInTable(Agresidue_SourceData.CropAttributes_Data(),Table_SourceData_CropAttributes[[#Headers],[Crop type]], -1)</f>
        <v>0.4</v>
      </c>
      <c r="I31" cm="1">
        <f t="array" ref="I31">Common_InputFunctions.Utility_DisplayArrayInTable(Agresidue_SourceData.CropAttributes_Data(),Table_SourceData_CropAttributes[[#Headers],[Crop type]], -1)</f>
        <v>5.0000000000000001E-3</v>
      </c>
      <c r="J31" cm="1">
        <f t="array" ref="J31">Common_InputFunctions.Utility_DisplayArrayInTable(Agresidue_SourceData.CropAttributes_Data(),Table_SourceData_CropAttributes[[#Headers],[Crop type]], -1)</f>
        <v>7.0000000000000001E-3</v>
      </c>
      <c r="K31" cm="1">
        <f t="array" ref="K31">Common_InputFunctions.Utility_DisplayArrayInTable(Agresidue_SourceData.CropAttributes_Data(),Table_SourceData_CropAttributes[[#Headers],[Crop type]], -1)</f>
        <v>1</v>
      </c>
      <c r="L31" cm="1">
        <f t="array" ref="L31">Common_InputFunctions.Utility_DisplayArrayInTable(Agresidue_SourceData.CropAttributes_Data(),Table_SourceData_CropAttributes[[#Headers],[Crop type]], -1)</f>
        <v>0.8</v>
      </c>
    </row>
    <row r="32" spans="1:14" ht="20.100000000000001" customHeight="1" x14ac:dyDescent="0.25">
      <c r="D32" t="str" cm="1">
        <f t="array" ref="D32">Common_InputFunctions.Utility_DisplayArrayInTable(Agresidue_SourceData.CropAttributes_Data(),Table_SourceData_CropAttributes[[#Headers],[Crop type]], -1)</f>
        <v>Cotton</v>
      </c>
      <c r="E32" cm="1">
        <f t="array" ref="E32">Common_InputFunctions.Utility_DisplayArrayInTable(Agresidue_SourceData.CropAttributes_Data(),Table_SourceData_CropAttributes[[#Headers],[Crop type]], -1)</f>
        <v>1.9</v>
      </c>
      <c r="F32" cm="1">
        <f t="array" ref="F32">Common_InputFunctions.Utility_DisplayArrayInTable(Agresidue_SourceData.CropAttributes_Data(),Table_SourceData_CropAttributes[[#Headers],[Crop type]], -1)</f>
        <v>0.3</v>
      </c>
      <c r="G32" cm="1">
        <f t="array" ref="G32">Common_InputFunctions.Utility_DisplayArrayInTable(Agresidue_SourceData.CropAttributes_Data(),Table_SourceData_CropAttributes[[#Headers],[Crop type]], -1)</f>
        <v>0.9</v>
      </c>
      <c r="H32" cm="1">
        <f t="array" ref="H32">Common_InputFunctions.Utility_DisplayArrayInTable(Agresidue_SourceData.CropAttributes_Data(),Table_SourceData_CropAttributes[[#Headers],[Crop type]], -1)</f>
        <v>0.4</v>
      </c>
      <c r="I32" cm="1">
        <f t="array" ref="I32">Common_InputFunctions.Utility_DisplayArrayInTable(Agresidue_SourceData.CropAttributes_Data(),Table_SourceData_CropAttributes[[#Headers],[Crop type]], -1)</f>
        <v>0.01</v>
      </c>
      <c r="J32" cm="1">
        <f t="array" ref="J32">Common_InputFunctions.Utility_DisplayArrayInTable(Agresidue_SourceData.CropAttributes_Data(),Table_SourceData_CropAttributes[[#Headers],[Crop type]], -1)</f>
        <v>0.01</v>
      </c>
      <c r="K32" t="str" cm="1">
        <f t="array" ref="K32">Common_InputFunctions.Utility_DisplayArrayInTable(Agresidue_SourceData.CropAttributes_Data(),Table_SourceData_CropAttributes[[#Headers],[Crop type]], -1)</f>
        <v>n/a</v>
      </c>
      <c r="L32" cm="1">
        <f t="array" ref="L32">Common_InputFunctions.Utility_DisplayArrayInTable(Agresidue_SourceData.CropAttributes_Data(),Table_SourceData_CropAttributes[[#Headers],[Crop type]], -1)</f>
        <v>0.85</v>
      </c>
    </row>
    <row r="33" spans="4:13" ht="20.100000000000001" customHeight="1" x14ac:dyDescent="0.25">
      <c r="D33" t="str" cm="1">
        <f t="array" ref="D33">Common_InputFunctions.Utility_DisplayArrayInTable(Agresidue_SourceData.CropAttributes_Data(),Table_SourceData_CropAttributes[[#Headers],[Crop type]], -1)</f>
        <v>Hops</v>
      </c>
      <c r="E33" cm="1">
        <f t="array" ref="E33">Common_InputFunctions.Utility_DisplayArrayInTable(Agresidue_SourceData.CropAttributes_Data(),Table_SourceData_CropAttributes[[#Headers],[Crop type]], -1)</f>
        <v>1.5</v>
      </c>
      <c r="F33" cm="1">
        <f t="array" ref="F33">Common_InputFunctions.Utility_DisplayArrayInTable(Agresidue_SourceData.CropAttributes_Data(),Table_SourceData_CropAttributes[[#Headers],[Crop type]], -1)</f>
        <v>0.28999999999999998</v>
      </c>
      <c r="G33" cm="1">
        <f t="array" ref="G33">Common_InputFunctions.Utility_DisplayArrayInTable(Agresidue_SourceData.CropAttributes_Data(),Table_SourceData_CropAttributes[[#Headers],[Crop type]], -1)</f>
        <v>0.88</v>
      </c>
      <c r="H33" cm="1">
        <f t="array" ref="H33">Common_InputFunctions.Utility_DisplayArrayInTable(Agresidue_SourceData.CropAttributes_Data(),Table_SourceData_CropAttributes[[#Headers],[Crop type]], -1)</f>
        <v>0.4</v>
      </c>
      <c r="I33" cm="1">
        <f t="array" ref="I33">Common_InputFunctions.Utility_DisplayArrayInTable(Agresidue_SourceData.CropAttributes_Data(),Table_SourceData_CropAttributes[[#Headers],[Crop type]], -1)</f>
        <v>6.0000000000000001E-3</v>
      </c>
      <c r="J33" t="str" cm="1">
        <f t="array" ref="J33">Common_InputFunctions.Utility_DisplayArrayInTable(Agresidue_SourceData.CropAttributes_Data(),Table_SourceData_CropAttributes[[#Headers],[Crop type]], -1)</f>
        <v>n/a</v>
      </c>
      <c r="K33" t="str" cm="1">
        <f t="array" ref="K33">Common_InputFunctions.Utility_DisplayArrayInTable(Agresidue_SourceData.CropAttributes_Data(),Table_SourceData_CropAttributes[[#Headers],[Crop type]], -1)</f>
        <v>n/a</v>
      </c>
      <c r="L33" cm="1">
        <f t="array" ref="L33">Common_InputFunctions.Utility_DisplayArrayInTable(Agresidue_SourceData.CropAttributes_Data(),Table_SourceData_CropAttributes[[#Headers],[Crop type]], -1)</f>
        <v>0.85</v>
      </c>
    </row>
    <row r="34" spans="4:13" ht="20.100000000000001" customHeight="1" x14ac:dyDescent="0.25">
      <c r="D34" t="str" cm="1">
        <f t="array" ref="D34">Common_InputFunctions.Utility_DisplayArrayInTable(Agresidue_SourceData.CropAttributes_Data(),Table_SourceData_CropAttributes[[#Headers],[Crop type]], -1)</f>
        <v>Oilseeds</v>
      </c>
      <c r="E34" cm="1">
        <f t="array" ref="E34">Common_InputFunctions.Utility_DisplayArrayInTable(Agresidue_SourceData.CropAttributes_Data(),Table_SourceData_CropAttributes[[#Headers],[Crop type]], -1)</f>
        <v>2.08</v>
      </c>
      <c r="F34" cm="1">
        <f t="array" ref="F34">Common_InputFunctions.Utility_DisplayArrayInTable(Agresidue_SourceData.CropAttributes_Data(),Table_SourceData_CropAttributes[[#Headers],[Crop type]], -1)</f>
        <v>0.33</v>
      </c>
      <c r="G34" cm="1">
        <f t="array" ref="G34">Common_InputFunctions.Utility_DisplayArrayInTable(Agresidue_SourceData.CropAttributes_Data(),Table_SourceData_CropAttributes[[#Headers],[Crop type]], -1)</f>
        <v>0.96</v>
      </c>
      <c r="H34" cm="1">
        <f t="array" ref="H34">Common_InputFunctions.Utility_DisplayArrayInTable(Agresidue_SourceData.CropAttributes_Data(),Table_SourceData_CropAttributes[[#Headers],[Crop type]], -1)</f>
        <v>0.4</v>
      </c>
      <c r="I34" cm="1">
        <f t="array" ref="I34">Common_InputFunctions.Utility_DisplayArrayInTable(Agresidue_SourceData.CropAttributes_Data(),Table_SourceData_CropAttributes[[#Headers],[Crop type]], -1)</f>
        <v>8.9999999999999993E-3</v>
      </c>
      <c r="J34" cm="1">
        <f t="array" ref="J34">Common_InputFunctions.Utility_DisplayArrayInTable(Agresidue_SourceData.CropAttributes_Data(),Table_SourceData_CropAttributes[[#Headers],[Crop type]], -1)</f>
        <v>0.01</v>
      </c>
      <c r="K34" cm="1">
        <f t="array" ref="K34">Common_InputFunctions.Utility_DisplayArrayInTable(Agresidue_SourceData.CropAttributes_Data(),Table_SourceData_CropAttributes[[#Headers],[Crop type]], -1)</f>
        <v>0.5</v>
      </c>
      <c r="L34" cm="1">
        <f t="array" ref="L34">Common_InputFunctions.Utility_DisplayArrayInTable(Agresidue_SourceData.CropAttributes_Data(),Table_SourceData_CropAttributes[[#Headers],[Crop type]], -1)</f>
        <v>0.85</v>
      </c>
    </row>
    <row r="35" spans="4:13" ht="20.100000000000001" customHeight="1" x14ac:dyDescent="0.25">
      <c r="D35" t="str" cm="1">
        <f t="array" ref="D35">Common_InputFunctions.Utility_DisplayArrayInTable(Agresidue_SourceData.CropAttributes_Data(),Table_SourceData_CropAttributes[[#Headers],[Crop type]], -1)</f>
        <v>Forage crops</v>
      </c>
      <c r="E35" cm="1">
        <f t="array" ref="E35">Common_InputFunctions.Utility_DisplayArrayInTable(Agresidue_SourceData.CropAttributes_Data(),Table_SourceData_CropAttributes[[#Headers],[Crop type]], -1)</f>
        <v>1.34</v>
      </c>
      <c r="F35" cm="1">
        <f t="array" ref="F35">Common_InputFunctions.Utility_DisplayArrayInTable(Agresidue_SourceData.CropAttributes_Data(),Table_SourceData_CropAttributes[[#Headers],[Crop type]], -1)</f>
        <v>0.37</v>
      </c>
      <c r="G35" cm="1">
        <f t="array" ref="G35">Common_InputFunctions.Utility_DisplayArrayInTable(Agresidue_SourceData.CropAttributes_Data(),Table_SourceData_CropAttributes[[#Headers],[Crop type]], -1)</f>
        <v>0.88</v>
      </c>
      <c r="H35" cm="1">
        <f t="array" ref="H35">Common_InputFunctions.Utility_DisplayArrayInTable(Agresidue_SourceData.CropAttributes_Data(),Table_SourceData_CropAttributes[[#Headers],[Crop type]], -1)</f>
        <v>0.4</v>
      </c>
      <c r="I35" cm="1">
        <f t="array" ref="I35">Common_InputFunctions.Utility_DisplayArrayInTable(Agresidue_SourceData.CropAttributes_Data(),Table_SourceData_CropAttributes[[#Headers],[Crop type]], -1)</f>
        <v>6.0000000000000001E-3</v>
      </c>
      <c r="J35" cm="1">
        <f t="array" ref="J35">Common_InputFunctions.Utility_DisplayArrayInTable(Agresidue_SourceData.CropAttributes_Data(),Table_SourceData_CropAttributes[[#Headers],[Crop type]], -1)</f>
        <v>0.01</v>
      </c>
      <c r="K35" t="str" cm="1">
        <f t="array" ref="K35">Common_InputFunctions.Utility_DisplayArrayInTable(Agresidue_SourceData.CropAttributes_Data(),Table_SourceData_CropAttributes[[#Headers],[Crop type]], -1)</f>
        <v>n/a</v>
      </c>
      <c r="L35" cm="1">
        <f t="array" ref="L35">Common_InputFunctions.Utility_DisplayArrayInTable(Agresidue_SourceData.CropAttributes_Data(),Table_SourceData_CropAttributes[[#Headers],[Crop type]], -1)</f>
        <v>0.85</v>
      </c>
    </row>
    <row r="36" spans="4:13" ht="20.100000000000001" customHeight="1" x14ac:dyDescent="0.25">
      <c r="D36" t="str" cm="1">
        <f t="array" ref="D36">Common_InputFunctions.Utility_DisplayArrayInTable(Agresidue_SourceData.CropAttributes_Data(),Table_SourceData_CropAttributes[[#Headers],[Crop type]], -1)</f>
        <v>Other annual crops</v>
      </c>
      <c r="E36" cm="1">
        <f t="array" ref="E36">Common_InputFunctions.Utility_DisplayArrayInTable(Agresidue_SourceData.CropAttributes_Data(),Table_SourceData_CropAttributes[[#Headers],[Crop type]], -1)</f>
        <v>1</v>
      </c>
      <c r="F36" cm="1">
        <f t="array" ref="F36">Common_InputFunctions.Utility_DisplayArrayInTable(Agresidue_SourceData.CropAttributes_Data(),Table_SourceData_CropAttributes[[#Headers],[Crop type]], -1)</f>
        <v>0.22</v>
      </c>
      <c r="G36" cm="1">
        <f t="array" ref="G36">Common_InputFunctions.Utility_DisplayArrayInTable(Agresidue_SourceData.CropAttributes_Data(),Table_SourceData_CropAttributes[[#Headers],[Crop type]], -1)</f>
        <v>0.85</v>
      </c>
      <c r="H36" cm="1">
        <f t="array" ref="H36">Common_InputFunctions.Utility_DisplayArrayInTable(Agresidue_SourceData.CropAttributes_Data(),Table_SourceData_CropAttributes[[#Headers],[Crop type]], -1)</f>
        <v>0.4</v>
      </c>
      <c r="I36" cm="1">
        <f t="array" ref="I36">Common_InputFunctions.Utility_DisplayArrayInTable(Agresidue_SourceData.CropAttributes_Data(),Table_SourceData_CropAttributes[[#Headers],[Crop type]], -1)</f>
        <v>8.0000000000000002E-3</v>
      </c>
      <c r="J36" cm="1">
        <f t="array" ref="J36">Common_InputFunctions.Utility_DisplayArrayInTable(Agresidue_SourceData.CropAttributes_Data(),Table_SourceData_CropAttributes[[#Headers],[Crop type]], -1)</f>
        <v>8.9999999999999993E-3</v>
      </c>
      <c r="K36" t="str" cm="1">
        <f t="array" ref="K36">Common_InputFunctions.Utility_DisplayArrayInTable(Agresidue_SourceData.CropAttributes_Data(),Table_SourceData_CropAttributes[[#Headers],[Crop type]], -1)</f>
        <v>n/a</v>
      </c>
      <c r="L36" t="str" cm="1">
        <f t="array" ref="L36">Common_InputFunctions.Utility_DisplayArrayInTable(Agresidue_SourceData.CropAttributes_Data(),Table_SourceData_CropAttributes[[#Headers],[Crop type]], -1)</f>
        <v>n/a</v>
      </c>
    </row>
    <row r="37" spans="4:13" ht="20.100000000000001" customHeight="1" x14ac:dyDescent="0.25">
      <c r="D37" t="str" cm="1">
        <f t="array" ref="D37">Common_InputFunctions.Utility_DisplayArrayInTable(Agresidue_SourceData.CropAttributes_Data(),Table_SourceData_CropAttributes[[#Headers],[Crop type]], -1)</f>
        <v>Other perennial crops</v>
      </c>
      <c r="E37" cm="1">
        <f t="array" ref="E37">Common_InputFunctions.Utility_DisplayArrayInTable(Agresidue_SourceData.CropAttributes_Data(),Table_SourceData_CropAttributes[[#Headers],[Crop type]], -1)</f>
        <v>1.5</v>
      </c>
      <c r="F37" cm="1">
        <f t="array" ref="F37">Common_InputFunctions.Utility_DisplayArrayInTable(Agresidue_SourceData.CropAttributes_Data(),Table_SourceData_CropAttributes[[#Headers],[Crop type]], -1)</f>
        <v>0.28999999999999998</v>
      </c>
      <c r="G37" cm="1">
        <f t="array" ref="G37">Common_InputFunctions.Utility_DisplayArrayInTable(Agresidue_SourceData.CropAttributes_Data(),Table_SourceData_CropAttributes[[#Headers],[Crop type]], -1)</f>
        <v>0.88</v>
      </c>
      <c r="H37" cm="1">
        <f t="array" ref="H37">Common_InputFunctions.Utility_DisplayArrayInTable(Agresidue_SourceData.CropAttributes_Data(),Table_SourceData_CropAttributes[[#Headers],[Crop type]], -1)</f>
        <v>0.4</v>
      </c>
      <c r="I37" cm="1">
        <f t="array" ref="I37">Common_InputFunctions.Utility_DisplayArrayInTable(Agresidue_SourceData.CropAttributes_Data(),Table_SourceData_CropAttributes[[#Headers],[Crop type]], -1)</f>
        <v>6.0000000000000001E-3</v>
      </c>
      <c r="J37" t="str" cm="1">
        <f t="array" ref="J37">Common_InputFunctions.Utility_DisplayArrayInTable(Agresidue_SourceData.CropAttributes_Data(),Table_SourceData_CropAttributes[[#Headers],[Crop type]], -1)</f>
        <v>n/a</v>
      </c>
      <c r="K37" t="str" cm="1">
        <f t="array" ref="K37">Common_InputFunctions.Utility_DisplayArrayInTable(Agresidue_SourceData.CropAttributes_Data(),Table_SourceData_CropAttributes[[#Headers],[Crop type]], -1)</f>
        <v>n/a</v>
      </c>
      <c r="L37" t="str" cm="1">
        <f t="array" ref="L37">Common_InputFunctions.Utility_DisplayArrayInTable(Agresidue_SourceData.CropAttributes_Data(),Table_SourceData_CropAttributes[[#Headers],[Crop type]], -1)</f>
        <v>n/a</v>
      </c>
    </row>
    <row r="38" spans="4:13" ht="20.100000000000001" customHeight="1" x14ac:dyDescent="0.25">
      <c r="D38" s="22"/>
      <c r="E38" s="22"/>
      <c r="F38" s="22"/>
      <c r="G38" s="22"/>
      <c r="H38" s="22"/>
      <c r="I38" s="22"/>
      <c r="J38" s="22"/>
      <c r="K38" s="22"/>
      <c r="L38" s="22"/>
    </row>
    <row r="39" spans="4:13" ht="20.100000000000001" customHeight="1" x14ac:dyDescent="0.25">
      <c r="D39" s="22"/>
      <c r="E39" s="22"/>
      <c r="F39" s="22"/>
      <c r="G39" s="22"/>
      <c r="H39" s="22"/>
      <c r="I39" s="22"/>
      <c r="J39" s="22"/>
      <c r="K39" s="22"/>
      <c r="L39" s="22"/>
    </row>
    <row r="40" spans="4:13" ht="20.100000000000001" customHeight="1" x14ac:dyDescent="0.25">
      <c r="D40" s="6" t="str" cm="1">
        <f t="array" ref="D40">Agresidue_SourceData.N2OEFOrganicFertiliser_Title()</f>
        <v>Emission factor for organic fertiliser and crop residues returned to the soil</v>
      </c>
      <c r="E40" s="3"/>
      <c r="F40" s="3"/>
      <c r="G40" s="22"/>
      <c r="H40" s="22"/>
      <c r="I40" s="22"/>
      <c r="J40" s="22"/>
      <c r="K40" s="22"/>
      <c r="L40" s="22"/>
    </row>
    <row r="41" spans="4:13" ht="20.100000000000001" customHeight="1" x14ac:dyDescent="0.25">
      <c r="D41" s="5" t="str" cm="1">
        <f t="array" ref="D41">Agresidue_SourceData.N2OEFOrganicFertiliser_Source()</f>
        <v>VEERG 2026: Table A.2.1.4</v>
      </c>
      <c r="E41" s="3"/>
      <c r="F41" s="3"/>
      <c r="G41" s="22"/>
      <c r="H41" s="22"/>
      <c r="I41" s="22"/>
      <c r="J41" s="22"/>
      <c r="K41" s="22"/>
      <c r="L41" s="22"/>
    </row>
    <row r="42" spans="4:13" ht="20.100000000000001" customHeight="1" x14ac:dyDescent="0.25">
      <c r="D42" s="5"/>
      <c r="E42" s="3"/>
      <c r="F42" s="3"/>
      <c r="H42" s="22"/>
      <c r="I42" s="22"/>
      <c r="M42" s="3"/>
    </row>
    <row r="43" spans="4:13" ht="20.100000000000001" customHeight="1" x14ac:dyDescent="0.25">
      <c r="D43" s="108" t="s">
        <v>178</v>
      </c>
      <c r="E43" s="108" t="s">
        <v>179</v>
      </c>
      <c r="F43" s="3"/>
      <c r="H43" s="22"/>
      <c r="I43" s="22"/>
      <c r="M43" s="3"/>
    </row>
    <row r="44" spans="4:13" ht="20.100000000000001" customHeight="1" x14ac:dyDescent="0.25">
      <c r="D44" s="36" t="str" cm="1">
        <f t="array" ref="D44">Common_InputFunctions.Utility_DisplayArrayInTable(Agresidue_SourceData.N2OEFOrganicFertiliser_Data(), Table_SourceData_N2OEFOrganicFert[[#Headers],[Climate zone type i]], 0)</f>
        <v>Wet climate zone</v>
      </c>
      <c r="E44" s="36" cm="1">
        <f t="array" ref="E44">Common_InputFunctions.Utility_DisplayArrayInTable(Agresidue_SourceData.N2OEFOrganicFertiliser_Data(), Table_SourceData_N2OEFOrganicFert[[#Headers],[Climate zone type i]], 0)</f>
        <v>6.0000000000000001E-3</v>
      </c>
      <c r="F44" s="3"/>
      <c r="H44" s="22"/>
      <c r="I44" s="22"/>
      <c r="M44" s="3"/>
    </row>
    <row r="45" spans="4:13" ht="20.100000000000001" customHeight="1" x14ac:dyDescent="0.25">
      <c r="D45" s="36" t="str" cm="1">
        <f t="array" ref="D45">Common_InputFunctions.Utility_DisplayArrayInTable(Agresidue_SourceData.N2OEFOrganicFertiliser_Data(), Table_SourceData_N2OEFOrganicFert[[#Headers],[Climate zone type i]], 0)</f>
        <v>Dry climate zone</v>
      </c>
      <c r="E45" s="36" cm="1">
        <f t="array" ref="E45">Common_InputFunctions.Utility_DisplayArrayInTable(Agresidue_SourceData.N2OEFOrganicFertiliser_Data(), Table_SourceData_N2OEFOrganicFert[[#Headers],[Climate zone type i]], 0)</f>
        <v>5.0000000000000001E-3</v>
      </c>
      <c r="F45" s="3"/>
      <c r="H45" s="22"/>
      <c r="I45" s="22"/>
      <c r="M45" s="3"/>
    </row>
    <row r="46" spans="4:13" ht="20.100000000000001" customHeight="1" x14ac:dyDescent="0.25">
      <c r="H46" s="22"/>
      <c r="I46" s="22"/>
      <c r="M46" s="3"/>
    </row>
    <row r="47" spans="4:13" ht="20.100000000000001" customHeight="1" x14ac:dyDescent="0.25">
      <c r="M47" s="3"/>
    </row>
    <row r="48" spans="4:13" ht="20.100000000000001" customHeight="1" x14ac:dyDescent="0.25">
      <c r="D48" s="6" t="str" cm="1">
        <f t="array" ref="D48">Agresidue_SourceData.PastureAttributes_Title()</f>
        <v>Table A.2.1.3 Pasture attributes</v>
      </c>
      <c r="K48" s="22"/>
      <c r="L48" s="22"/>
    </row>
    <row r="49" spans="4:12" ht="20.100000000000001" customHeight="1" x14ac:dyDescent="0.25">
      <c r="D49" s="5" t="str" cm="1">
        <f t="array" ref="D49">Agresidue_SourceData.PastureAttributes_Source()</f>
        <v>VEERG 2026: Table A.2.1.3: Pasture attributes</v>
      </c>
      <c r="K49" s="22"/>
      <c r="L49" s="22"/>
    </row>
    <row r="50" spans="4:12" ht="20.100000000000001" customHeight="1" x14ac:dyDescent="0.25">
      <c r="K50" s="22"/>
      <c r="L50" s="22"/>
    </row>
    <row r="51" spans="4:12" ht="20.100000000000001" customHeight="1" x14ac:dyDescent="0.25">
      <c r="D51" s="37" t="s">
        <v>181</v>
      </c>
      <c r="E51" s="37" t="s">
        <v>182</v>
      </c>
      <c r="F51" s="37" t="s">
        <v>183</v>
      </c>
      <c r="G51" s="37" t="s">
        <v>184</v>
      </c>
      <c r="H51" s="37" t="s">
        <v>185</v>
      </c>
      <c r="I51" s="37" t="s">
        <v>186</v>
      </c>
      <c r="K51" s="22"/>
      <c r="L51" s="22"/>
    </row>
    <row r="52" spans="4:12" ht="20.100000000000001" customHeight="1" x14ac:dyDescent="0.25">
      <c r="D52" s="37" t="str" cm="1">
        <f t="array" ref="D52">Common_InputFunctions.Utility_DisplayArrayInTable(Agresidue_SourceData.PastureAttributes_Data(), Table_SourceData_PastureAttributes[[#Headers],[Pasture type]], 0)</f>
        <v>Annual grass</v>
      </c>
      <c r="E52" s="37" cm="1">
        <f t="array" ref="E52">Common_InputFunctions.Utility_DisplayArrayInTable(Agresidue_SourceData.PastureAttributes_Data(), Table_SourceData_PastureAttributes[[#Headers],[Pasture type]], 0)</f>
        <v>4.41</v>
      </c>
      <c r="F52" s="37" cm="1">
        <f t="array" ref="F52">Common_InputFunctions.Utility_DisplayArrayInTable(Agresidue_SourceData.PastureAttributes_Data(), Table_SourceData_PastureAttributes[[#Headers],[Pasture type]], 0)</f>
        <v>0.4</v>
      </c>
      <c r="G52" s="37" cm="1">
        <f t="array" ref="G52">Common_InputFunctions.Utility_DisplayArrayInTable(Agresidue_SourceData.PastureAttributes_Data(), Table_SourceData_PastureAttributes[[#Headers],[Pasture type]], 0)</f>
        <v>1.4999999999999999E-2</v>
      </c>
      <c r="H52" s="37" cm="1">
        <f t="array" ref="H52">Common_InputFunctions.Utility_DisplayArrayInTable(Agresidue_SourceData.PastureAttributes_Data(), Table_SourceData_PastureAttributes[[#Headers],[Pasture type]], 0)</f>
        <v>1.2E-2</v>
      </c>
      <c r="I52" s="37" cm="1">
        <f t="array" ref="I52">Common_InputFunctions.Utility_DisplayArrayInTable(Agresidue_SourceData.PastureAttributes_Data(), Table_SourceData_PastureAttributes[[#Headers],[Pasture type]], 0)</f>
        <v>0.8</v>
      </c>
      <c r="L52" s="22"/>
    </row>
    <row r="53" spans="4:12" ht="20.100000000000001" customHeight="1" x14ac:dyDescent="0.25">
      <c r="D53" s="37" t="str" cm="1">
        <f t="array" ref="D53">Common_InputFunctions.Utility_DisplayArrayInTable(Agresidue_SourceData.PastureAttributes_Data(), Table_SourceData_PastureAttributes[[#Headers],[Pasture type]], 0)</f>
        <v>Grass clover mixture</v>
      </c>
      <c r="E53" s="37" cm="1">
        <f t="array" ref="E53">Common_InputFunctions.Utility_DisplayArrayInTable(Agresidue_SourceData.PastureAttributes_Data(), Table_SourceData_PastureAttributes[[#Headers],[Pasture type]], 0)</f>
        <v>8.34</v>
      </c>
      <c r="F53" s="37" cm="1">
        <f t="array" ref="F53">Common_InputFunctions.Utility_DisplayArrayInTable(Agresidue_SourceData.PastureAttributes_Data(), Table_SourceData_PastureAttributes[[#Headers],[Pasture type]], 0)</f>
        <v>0.8</v>
      </c>
      <c r="G53" s="37" cm="1">
        <f t="array" ref="G53">Common_InputFunctions.Utility_DisplayArrayInTable(Agresidue_SourceData.PastureAttributes_Data(), Table_SourceData_PastureAttributes[[#Headers],[Pasture type]], 0)</f>
        <v>2.5000000000000001E-2</v>
      </c>
      <c r="H53" s="37" cm="1">
        <f t="array" ref="H53">Common_InputFunctions.Utility_DisplayArrayInTable(Agresidue_SourceData.PastureAttributes_Data(), Table_SourceData_PastureAttributes[[#Headers],[Pasture type]], 0)</f>
        <v>1.6E-2</v>
      </c>
      <c r="I53" s="37" cm="1">
        <f t="array" ref="I53">Common_InputFunctions.Utility_DisplayArrayInTable(Agresidue_SourceData.PastureAttributes_Data(), Table_SourceData_PastureAttributes[[#Headers],[Pasture type]], 0)</f>
        <v>0.8</v>
      </c>
      <c r="L53" s="22"/>
    </row>
    <row r="54" spans="4:12" ht="20.100000000000001" customHeight="1" x14ac:dyDescent="0.25">
      <c r="D54" s="37" t="str" cm="1">
        <f t="array" ref="D54">Common_InputFunctions.Utility_DisplayArrayInTable(Agresidue_SourceData.PastureAttributes_Data(), Table_SourceData_PastureAttributes[[#Headers],[Pasture type]], 0)</f>
        <v>Lucerne</v>
      </c>
      <c r="E54" s="37" cm="1">
        <f t="array" ref="E54">Common_InputFunctions.Utility_DisplayArrayInTable(Agresidue_SourceData.PastureAttributes_Data(), Table_SourceData_PastureAttributes[[#Headers],[Pasture type]], 0)</f>
        <v>8.6199999999999992</v>
      </c>
      <c r="F54" s="37" cm="1">
        <f t="array" ref="F54">Common_InputFunctions.Utility_DisplayArrayInTable(Agresidue_SourceData.PastureAttributes_Data(), Table_SourceData_PastureAttributes[[#Headers],[Pasture type]], 0)</f>
        <v>0.4</v>
      </c>
      <c r="G54" s="37" cm="1">
        <f t="array" ref="G54">Common_InputFunctions.Utility_DisplayArrayInTable(Agresidue_SourceData.PastureAttributes_Data(), Table_SourceData_PastureAttributes[[#Headers],[Pasture type]], 0)</f>
        <v>2.7E-2</v>
      </c>
      <c r="H54" s="37" cm="1">
        <f t="array" ref="H54">Common_InputFunctions.Utility_DisplayArrayInTable(Agresidue_SourceData.PastureAttributes_Data(), Table_SourceData_PastureAttributes[[#Headers],[Pasture type]], 0)</f>
        <v>1.9E-2</v>
      </c>
      <c r="I54" s="37" cm="1">
        <f t="array" ref="I54">Common_InputFunctions.Utility_DisplayArrayInTable(Agresidue_SourceData.PastureAttributes_Data(), Table_SourceData_PastureAttributes[[#Headers],[Pasture type]], 0)</f>
        <v>0.8</v>
      </c>
    </row>
    <row r="55" spans="4:12" ht="20.100000000000001" customHeight="1" x14ac:dyDescent="0.25">
      <c r="D55" s="37" t="str" cm="1">
        <f t="array" ref="D55">Common_InputFunctions.Utility_DisplayArrayInTable(Agresidue_SourceData.PastureAttributes_Data(), Table_SourceData_PastureAttributes[[#Headers],[Pasture type]], 0)</f>
        <v>Other legume</v>
      </c>
      <c r="E55" s="37" cm="1">
        <f t="array" ref="E55">Common_InputFunctions.Utility_DisplayArrayInTable(Agresidue_SourceData.PastureAttributes_Data(), Table_SourceData_PastureAttributes[[#Headers],[Pasture type]], 0)</f>
        <v>5.62</v>
      </c>
      <c r="F55" s="37" cm="1">
        <f t="array" ref="F55">Common_InputFunctions.Utility_DisplayArrayInTable(Agresidue_SourceData.PastureAttributes_Data(), Table_SourceData_PastureAttributes[[#Headers],[Pasture type]], 0)</f>
        <v>0.4</v>
      </c>
      <c r="G55" s="37" cm="1">
        <f t="array" ref="G55">Common_InputFunctions.Utility_DisplayArrayInTable(Agresidue_SourceData.PastureAttributes_Data(), Table_SourceData_PastureAttributes[[#Headers],[Pasture type]], 0)</f>
        <v>2.7E-2</v>
      </c>
      <c r="H55" s="37" cm="1">
        <f t="array" ref="H55">Common_InputFunctions.Utility_DisplayArrayInTable(Agresidue_SourceData.PastureAttributes_Data(), Table_SourceData_PastureAttributes[[#Headers],[Pasture type]], 0)</f>
        <v>2.1999999999999999E-2</v>
      </c>
      <c r="I55" s="37" cm="1">
        <f t="array" ref="I55">Common_InputFunctions.Utility_DisplayArrayInTable(Agresidue_SourceData.PastureAttributes_Data(), Table_SourceData_PastureAttributes[[#Headers],[Pasture type]], 0)</f>
        <v>0.8</v>
      </c>
    </row>
    <row r="56" spans="4:12" ht="20.100000000000001" customHeight="1" x14ac:dyDescent="0.25">
      <c r="D56" s="37" t="str" cm="1">
        <f t="array" ref="D56">Common_InputFunctions.Utility_DisplayArrayInTable(Agresidue_SourceData.PastureAttributes_Data(), Table_SourceData_PastureAttributes[[#Headers],[Pasture type]], 0)</f>
        <v>Perennial pasture</v>
      </c>
      <c r="E56" s="37" cm="1">
        <f t="array" ref="E56">Common_InputFunctions.Utility_DisplayArrayInTable(Agresidue_SourceData.PastureAttributes_Data(), Table_SourceData_PastureAttributes[[#Headers],[Pasture type]], 0)</f>
        <v>8.35</v>
      </c>
      <c r="F56" s="37" cm="1">
        <f t="array" ref="F56">Common_InputFunctions.Utility_DisplayArrayInTable(Agresidue_SourceData.PastureAttributes_Data(), Table_SourceData_PastureAttributes[[#Headers],[Pasture type]], 0)</f>
        <v>0.8</v>
      </c>
      <c r="G56" s="37" cm="1">
        <f t="array" ref="G56">Common_InputFunctions.Utility_DisplayArrayInTable(Agresidue_SourceData.PastureAttributes_Data(), Table_SourceData_PastureAttributes[[#Headers],[Pasture type]], 0)</f>
        <v>1.4999999999999999E-2</v>
      </c>
      <c r="H56" s="37" cm="1">
        <f t="array" ref="H56">Common_InputFunctions.Utility_DisplayArrayInTable(Agresidue_SourceData.PastureAttributes_Data(), Table_SourceData_PastureAttributes[[#Headers],[Pasture type]], 0)</f>
        <v>1.2E-2</v>
      </c>
      <c r="I56" s="37" cm="1">
        <f t="array" ref="I56">Common_InputFunctions.Utility_DisplayArrayInTable(Agresidue_SourceData.PastureAttributes_Data(), Table_SourceData_PastureAttributes[[#Headers],[Pasture type]], 0)</f>
        <v>0.8</v>
      </c>
    </row>
    <row r="57" spans="4:12" ht="20.100000000000001" customHeight="1" x14ac:dyDescent="0.25">
      <c r="H57" s="22"/>
    </row>
    <row r="58" spans="4:12" ht="20.100000000000001" customHeight="1" x14ac:dyDescent="0.25"/>
    <row r="59" spans="4:12" ht="20.100000000000001" customHeight="1" x14ac:dyDescent="0.25">
      <c r="D59" s="6" t="str" cm="1">
        <f t="array" ref="D59">AgResidues_SourceData.BurningOfAgriculturalResiduesEFs_Title()</f>
        <v>Table 5.31 Burning of agricultural residues - EFs</v>
      </c>
    </row>
    <row r="60" spans="4:12" ht="20.100000000000001" customHeight="1" x14ac:dyDescent="0.25">
      <c r="D60" s="5" t="str" cm="1">
        <f t="array" ref="D60">AgResidues_SourceData.BurningOfAgriculturalResiduesEFs_Source()</f>
        <v>National Inventory Report 2023 volume 2: Table 5.31: Burning of agricultural residues - EFs</v>
      </c>
    </row>
    <row r="61" spans="4:12" ht="20.100000000000001" customHeight="1" x14ac:dyDescent="0.25"/>
    <row r="62" spans="4:12" ht="20.100000000000001" customHeight="1" x14ac:dyDescent="0.25">
      <c r="D62" s="37" t="s">
        <v>214</v>
      </c>
      <c r="E62" s="37" t="s">
        <v>215</v>
      </c>
      <c r="F62" s="37" t="s">
        <v>216</v>
      </c>
    </row>
    <row r="63" spans="4:12" ht="20.100000000000001" customHeight="1" x14ac:dyDescent="0.25">
      <c r="D63" s="37" t="str" cm="1">
        <f t="array" ref="D63">Common_InputFunctions.Utility_DisplayArrayInTable(AgResidues_SourceData.BurningOfAgriculturalResiduesEFs_Data(), Table_SourceData_BurningResidueEFs[[#Headers],[Gas species]], 0)</f>
        <v>CH4</v>
      </c>
      <c r="E63" s="37" cm="1">
        <f t="array" ref="E63">Common_InputFunctions.Utility_DisplayArrayInTable(AgResidues_SourceData.BurningOfAgriculturalResiduesEFs_Data(), Table_SourceData_BurningResidueEFs[[#Headers],[Gas species]], 0)</f>
        <v>3.5000000000000001E-3</v>
      </c>
      <c r="F63" s="37" t="str" cm="1">
        <f t="array" ref="F63">Common_InputFunctions.Utility_DisplayArrayInTable(AgResidues_SourceData.BurningOfAgriculturalResiduesEFs_Data(), Table_SourceData_BurningResidueEFs[[#Headers],[Gas species]], 0)</f>
        <v>16/12</v>
      </c>
      <c r="K63" s="22"/>
      <c r="L63" s="22"/>
    </row>
    <row r="64" spans="4:12" ht="20.100000000000001" customHeight="1" x14ac:dyDescent="0.25">
      <c r="D64" s="1" t="str" cm="1">
        <f t="array" ref="D64">Common_InputFunctions.Utility_DisplayArrayInTable(AgResidues_SourceData.BurningOfAgriculturalResiduesEFs_Data(), Table_SourceData_BurningResidueEFs[[#Headers],[Gas species]], 0)</f>
        <v>N2O</v>
      </c>
      <c r="E64" s="37" cm="1">
        <f t="array" ref="E64">Common_InputFunctions.Utility_DisplayArrayInTable(AgResidues_SourceData.BurningOfAgriculturalResiduesEFs_Data(), Table_SourceData_BurningResidueEFs[[#Headers],[Gas species]], 0)</f>
        <v>7.6E-3</v>
      </c>
      <c r="F64" s="37" t="str" cm="1">
        <f t="array" ref="F64">Common_InputFunctions.Utility_DisplayArrayInTable(AgResidues_SourceData.BurningOfAgriculturalResiduesEFs_Data(), Table_SourceData_BurningResidueEFs[[#Headers],[Gas species]], 0)</f>
        <v>44/28</v>
      </c>
      <c r="K64" s="22"/>
      <c r="L64" s="22"/>
    </row>
    <row r="65" spans="4:12" ht="20.100000000000001" customHeight="1" x14ac:dyDescent="0.25">
      <c r="D65" s="1" t="str" cm="1">
        <f t="array" ref="D65">Common_InputFunctions.Utility_DisplayArrayInTable(AgResidues_SourceData.BurningOfAgriculturalResiduesEFs_Data(), Table_SourceData_BurningResidueEFs[[#Headers],[Gas species]], 0)</f>
        <v>NOx</v>
      </c>
      <c r="E65" s="37" cm="1">
        <f t="array" ref="E65">Common_InputFunctions.Utility_DisplayArrayInTable(AgResidues_SourceData.BurningOfAgriculturalResiduesEFs_Data(), Table_SourceData_BurningResidueEFs[[#Headers],[Gas species]], 0)</f>
        <v>0.21</v>
      </c>
      <c r="F65" s="37" t="str" cm="1">
        <f t="array" ref="F65">Common_InputFunctions.Utility_DisplayArrayInTable(AgResidues_SourceData.BurningOfAgriculturalResiduesEFs_Data(), Table_SourceData_BurningResidueEFs[[#Headers],[Gas species]], 0)</f>
        <v>46/14</v>
      </c>
      <c r="K65" s="22"/>
      <c r="L65" s="22"/>
    </row>
    <row r="66" spans="4:12" ht="20.100000000000001" customHeight="1" x14ac:dyDescent="0.25">
      <c r="D66" s="1" t="str" cm="1">
        <f t="array" ref="D66">Common_InputFunctions.Utility_DisplayArrayInTable(AgResidues_SourceData.BurningOfAgriculturalResiduesEFs_Data(), Table_SourceData_BurningResidueEFs[[#Headers],[Gas species]], 0)</f>
        <v>CO</v>
      </c>
      <c r="E66" s="37" cm="1">
        <f t="array" ref="E66">Common_InputFunctions.Utility_DisplayArrayInTable(AgResidues_SourceData.BurningOfAgriculturalResiduesEFs_Data(), Table_SourceData_BurningResidueEFs[[#Headers],[Gas species]], 0)</f>
        <v>7.8E-2</v>
      </c>
      <c r="F66" s="37" t="str" cm="1">
        <f t="array" ref="F66">Common_InputFunctions.Utility_DisplayArrayInTable(AgResidues_SourceData.BurningOfAgriculturalResiduesEFs_Data(), Table_SourceData_BurningResidueEFs[[#Headers],[Gas species]], 0)</f>
        <v>28/12</v>
      </c>
      <c r="K66" s="22"/>
      <c r="L66" s="22"/>
    </row>
    <row r="67" spans="4:12" ht="20.100000000000001" customHeight="1" x14ac:dyDescent="0.25">
      <c r="D67" s="1" t="str" cm="1">
        <f t="array" ref="D67">Common_InputFunctions.Utility_DisplayArrayInTable(AgResidues_SourceData.BurningOfAgriculturalResiduesEFs_Data(), Table_SourceData_BurningResidueEFs[[#Headers],[Gas species]], 0)</f>
        <v>NMVOC</v>
      </c>
      <c r="E67" s="37" cm="1">
        <f t="array" ref="E67">Common_InputFunctions.Utility_DisplayArrayInTable(AgResidues_SourceData.BurningOfAgriculturalResiduesEFs_Data(), Table_SourceData_BurningResidueEFs[[#Headers],[Gas species]], 0)</f>
        <v>9.1000000000000004E-3</v>
      </c>
      <c r="F67" s="37" t="str" cm="1">
        <f t="array" ref="F67">Common_InputFunctions.Utility_DisplayArrayInTable(AgResidues_SourceData.BurningOfAgriculturalResiduesEFs_Data(), Table_SourceData_BurningResidueEFs[[#Headers],[Gas species]], 0)</f>
        <v>14/12</v>
      </c>
      <c r="K67" s="22"/>
      <c r="L67" s="22"/>
    </row>
    <row r="68" spans="4:12" ht="20.100000000000001" customHeight="1" x14ac:dyDescent="0.25">
      <c r="K68" s="22"/>
      <c r="L68" s="22"/>
    </row>
    <row r="69" spans="4:12" ht="20.100000000000001" customHeight="1" x14ac:dyDescent="0.25">
      <c r="K69" s="22"/>
      <c r="L69" s="22"/>
    </row>
    <row r="70" spans="4:12" ht="20.100000000000001" customHeight="1" x14ac:dyDescent="0.25">
      <c r="D70" s="6" t="str" cm="1">
        <f t="array" ref="D70">Agresidue_SourceData.CropFractionRemoved_Title()</f>
        <v>Table A.2.1.2: Crop attributes - Fraction removed (FFODc)</v>
      </c>
      <c r="E70" s="22"/>
      <c r="F70" s="22"/>
      <c r="G70" s="22"/>
      <c r="K70" s="22"/>
      <c r="L70" s="22"/>
    </row>
    <row r="71" spans="4:12" ht="20.100000000000001" customHeight="1" x14ac:dyDescent="0.25">
      <c r="D71" s="5" t="str" cm="1">
        <f t="array" ref="D71">Agresidue_SourceData.CropFractionRemoved_Source()</f>
        <v>VEERG 2026: Table A.2.1.2: Crop attributes - Fraction removed (FFODc)</v>
      </c>
      <c r="E71" s="22"/>
      <c r="F71" s="22"/>
      <c r="G71" s="22"/>
      <c r="K71" s="22"/>
      <c r="L71" s="22"/>
    </row>
    <row r="72" spans="4:12" ht="20.100000000000001" customHeight="1" x14ac:dyDescent="0.25">
      <c r="D72" s="22"/>
      <c r="E72" s="22"/>
      <c r="F72" s="22"/>
      <c r="G72" s="22"/>
      <c r="K72" s="22"/>
      <c r="L72" s="22"/>
    </row>
    <row r="73" spans="4:12" ht="20.100000000000001" customHeight="1" x14ac:dyDescent="0.25">
      <c r="D73" t="s">
        <v>167</v>
      </c>
      <c r="E73" t="s">
        <v>6</v>
      </c>
      <c r="F73" t="s">
        <v>168</v>
      </c>
      <c r="G73" s="22"/>
      <c r="K73" s="22"/>
      <c r="L73" s="22"/>
    </row>
    <row r="74" spans="4:12" ht="20.100000000000001" customHeight="1" x14ac:dyDescent="0.25">
      <c r="D74" t="str" cm="1">
        <f t="array" ref="D74">Common_InputFunctions.Utility_DisplayArrayInTable(Agresidue_SourceData.CropFractionRemoved_Data(), Table76[[#Headers],[Crop type c]], 0)</f>
        <v>Rice</v>
      </c>
      <c r="E74" t="str" cm="1">
        <f t="array" ref="E74">Common_InputFunctions.Utility_DisplayArrayInTable(Agresidue_SourceData.CropFractionRemoved_Data(), Table76[[#Headers],[Crop type c]], 0)</f>
        <v>All states</v>
      </c>
      <c r="F74" cm="1">
        <f t="array" ref="F74">Common_InputFunctions.Utility_DisplayArrayInTable(Agresidue_SourceData.CropFractionRemoved_Data(), Table76[[#Headers],[Crop type c]], 0)</f>
        <v>0.06</v>
      </c>
      <c r="G74" s="22"/>
      <c r="K74" s="22"/>
      <c r="L74" s="22"/>
    </row>
    <row r="75" spans="4:12" ht="20.100000000000001" customHeight="1" x14ac:dyDescent="0.25">
      <c r="D75" s="22" t="str" cm="1">
        <f t="array" ref="D75">Common_InputFunctions.Utility_DisplayArrayInTable(Agresidue_SourceData.CropFractionRemoved_Data(), Table76[[#Headers],[Crop type c]], 0)</f>
        <v>Tubers and roots</v>
      </c>
      <c r="E75" t="str" cm="1">
        <f t="array" ref="E75">Common_InputFunctions.Utility_DisplayArrayInTable(Agresidue_SourceData.CropFractionRemoved_Data(), Table76[[#Headers],[Crop type c]], 0)</f>
        <v>All states</v>
      </c>
      <c r="F75" cm="1">
        <f t="array" ref="F75">Common_InputFunctions.Utility_DisplayArrayInTable(Agresidue_SourceData.CropFractionRemoved_Data(), Table76[[#Headers],[Crop type c]], 0)</f>
        <v>1</v>
      </c>
      <c r="G75" s="22"/>
      <c r="H75" s="22"/>
      <c r="K75" s="22"/>
      <c r="L75" s="22"/>
    </row>
    <row r="76" spans="4:12" ht="20.100000000000001" customHeight="1" x14ac:dyDescent="0.25">
      <c r="D76" s="22" t="str" cm="1">
        <f t="array" ref="D76">Common_InputFunctions.Utility_DisplayArrayInTable(Agresidue_SourceData.CropFractionRemoved_Data(), Table76[[#Headers],[Crop type c]], 0)</f>
        <v>Cotton</v>
      </c>
      <c r="E76" t="str" cm="1">
        <f t="array" ref="E76">Common_InputFunctions.Utility_DisplayArrayInTable(Agresidue_SourceData.CropFractionRemoved_Data(), Table76[[#Headers],[Crop type c]], 0)</f>
        <v>All states</v>
      </c>
      <c r="F76" cm="1">
        <f t="array" ref="F76">Common_InputFunctions.Utility_DisplayArrayInTable(Agresidue_SourceData.CropFractionRemoved_Data(), Table76[[#Headers],[Crop type c]], 0)</f>
        <v>0</v>
      </c>
      <c r="G76" s="22"/>
      <c r="H76" s="22"/>
      <c r="K76" s="22"/>
      <c r="L76" s="22"/>
    </row>
    <row r="77" spans="4:12" ht="20.100000000000001" customHeight="1" x14ac:dyDescent="0.25">
      <c r="D77" s="22" t="str" cm="1">
        <f t="array" ref="D77">Common_InputFunctions.Utility_DisplayArrayInTable(Agresidue_SourceData.CropFractionRemoved_Data(), Table76[[#Headers],[Crop type c]], 0)</f>
        <v>Hops</v>
      </c>
      <c r="E77" t="str" cm="1">
        <f t="array" ref="E77">Common_InputFunctions.Utility_DisplayArrayInTable(Agresidue_SourceData.CropFractionRemoved_Data(), Table76[[#Headers],[Crop type c]], 0)</f>
        <v>All states</v>
      </c>
      <c r="F77" cm="1">
        <f t="array" ref="F77">Common_InputFunctions.Utility_DisplayArrayInTable(Agresidue_SourceData.CropFractionRemoved_Data(), Table76[[#Headers],[Crop type c]], 0)</f>
        <v>0</v>
      </c>
      <c r="G77" s="22"/>
      <c r="H77" s="22"/>
      <c r="I77" s="22"/>
      <c r="J77" s="22"/>
      <c r="K77" s="22"/>
      <c r="L77" s="22"/>
    </row>
    <row r="78" spans="4:12" ht="20.100000000000001" customHeight="1" x14ac:dyDescent="0.25">
      <c r="D78" s="22" t="str" cm="1">
        <f t="array" ref="D78">Common_InputFunctions.Utility_DisplayArrayInTable(Agresidue_SourceData.CropFractionRemoved_Data(), Table76[[#Headers],[Crop type c]], 0)</f>
        <v>Forage crops</v>
      </c>
      <c r="E78" t="str" cm="1">
        <f t="array" ref="E78">Common_InputFunctions.Utility_DisplayArrayInTable(Agresidue_SourceData.CropFractionRemoved_Data(), Table76[[#Headers],[Crop type c]], 0)</f>
        <v>All states</v>
      </c>
      <c r="F78" cm="1">
        <f t="array" ref="F78">Common_InputFunctions.Utility_DisplayArrayInTable(Agresidue_SourceData.CropFractionRemoved_Data(), Table76[[#Headers],[Crop type c]], 0)</f>
        <v>0.8</v>
      </c>
      <c r="G78" s="22"/>
      <c r="H78" s="22"/>
      <c r="I78" s="22"/>
      <c r="J78" s="22"/>
      <c r="K78" s="22"/>
      <c r="L78" s="22"/>
    </row>
    <row r="79" spans="4:12" ht="20.100000000000001" customHeight="1" x14ac:dyDescent="0.25">
      <c r="D79" s="22" t="str" cm="1">
        <f t="array" ref="D79">Common_InputFunctions.Utility_DisplayArrayInTable(Agresidue_SourceData.CropFractionRemoved_Data(), Table76[[#Headers],[Crop type c]], 0)</f>
        <v>Sugar Cane</v>
      </c>
      <c r="E79" t="str" cm="1">
        <f t="array" ref="E79">Common_InputFunctions.Utility_DisplayArrayInTable(Agresidue_SourceData.CropFractionRemoved_Data(), Table76[[#Headers],[Crop type c]], 0)</f>
        <v>NSW</v>
      </c>
      <c r="F79" cm="1">
        <f t="array" ref="F79">Common_InputFunctions.Utility_DisplayArrayInTable(Agresidue_SourceData.CropFractionRemoved_Data(), Table76[[#Headers],[Crop type c]], 0)</f>
        <v>0</v>
      </c>
      <c r="G79" s="22"/>
      <c r="H79" s="22"/>
      <c r="I79" s="22"/>
      <c r="J79" s="22"/>
      <c r="K79" s="22"/>
      <c r="L79" s="22"/>
    </row>
    <row r="80" spans="4:12" ht="20.100000000000001" customHeight="1" x14ac:dyDescent="0.25">
      <c r="D80" s="22" t="str" cm="1">
        <f t="array" ref="D80">Common_InputFunctions.Utility_DisplayArrayInTable(Agresidue_SourceData.CropFractionRemoved_Data(), Table76[[#Headers],[Crop type c]], 0)</f>
        <v>Sugar Cane</v>
      </c>
      <c r="E80" t="str" cm="1">
        <f t="array" ref="E80">Common_InputFunctions.Utility_DisplayArrayInTable(Agresidue_SourceData.CropFractionRemoved_Data(), Table76[[#Headers],[Crop type c]], 0)</f>
        <v>QLD</v>
      </c>
      <c r="F80" cm="1">
        <f t="array" ref="F80">Common_InputFunctions.Utility_DisplayArrayInTable(Agresidue_SourceData.CropFractionRemoved_Data(), Table76[[#Headers],[Crop type c]], 0)</f>
        <v>0.03</v>
      </c>
      <c r="G80" s="22"/>
      <c r="H80" s="22"/>
      <c r="I80" s="22"/>
      <c r="J80" s="22"/>
      <c r="K80" s="22"/>
      <c r="L80" s="22"/>
    </row>
    <row r="81" spans="4:12" ht="20.100000000000001" customHeight="1" x14ac:dyDescent="0.25">
      <c r="D81" s="22" t="str" cm="1">
        <f t="array" ref="D81">Common_InputFunctions.Utility_DisplayArrayInTable(Agresidue_SourceData.CropFractionRemoved_Data(), Table76[[#Headers],[Crop type c]], 0)</f>
        <v>Sugar Cane</v>
      </c>
      <c r="E81" t="str" cm="1">
        <f t="array" ref="E81">Common_InputFunctions.Utility_DisplayArrayInTable(Agresidue_SourceData.CropFractionRemoved_Data(), Table76[[#Headers],[Crop type c]], 0)</f>
        <v>WA</v>
      </c>
      <c r="F81" cm="1">
        <f t="array" ref="F81">Common_InputFunctions.Utility_DisplayArrayInTable(Agresidue_SourceData.CropFractionRemoved_Data(), Table76[[#Headers],[Crop type c]], 0)</f>
        <v>0</v>
      </c>
      <c r="G81" s="22"/>
      <c r="H81" s="22"/>
      <c r="I81" s="22"/>
      <c r="J81" s="22"/>
      <c r="K81" s="22"/>
      <c r="L81" s="22"/>
    </row>
    <row r="82" spans="4:12" ht="20.100000000000001" customHeight="1" x14ac:dyDescent="0.25">
      <c r="D82" s="22" t="str" cm="1">
        <f t="array" ref="D82">Common_InputFunctions.Utility_DisplayArrayInTable(Agresidue_SourceData.CropFractionRemoved_Data(), Table76[[#Headers],[Crop type c]], 0)</f>
        <v>All other crop types</v>
      </c>
      <c r="E82" t="str" cm="1">
        <f t="array" ref="E82">Common_InputFunctions.Utility_DisplayArrayInTable(Agresidue_SourceData.CropFractionRemoved_Data(), Table76[[#Headers],[Crop type c]], 0)</f>
        <v>NSW</v>
      </c>
      <c r="F82" cm="1">
        <f t="array" ref="F82">Common_InputFunctions.Utility_DisplayArrayInTable(Agresidue_SourceData.CropFractionRemoved_Data(), Table76[[#Headers],[Crop type c]], 0)</f>
        <v>0.05</v>
      </c>
      <c r="G82" s="22"/>
      <c r="H82" s="22"/>
      <c r="I82" s="22"/>
      <c r="J82" s="22"/>
      <c r="K82" s="22"/>
      <c r="L82" s="22"/>
    </row>
    <row r="83" spans="4:12" ht="20.100000000000001" customHeight="1" x14ac:dyDescent="0.25">
      <c r="D83" s="22" t="str" cm="1">
        <f t="array" ref="D83">Common_InputFunctions.Utility_DisplayArrayInTable(Agresidue_SourceData.CropFractionRemoved_Data(), Table76[[#Headers],[Crop type c]], 0)</f>
        <v>All other crop types</v>
      </c>
      <c r="E83" t="str" cm="1">
        <f t="array" ref="E83">Common_InputFunctions.Utility_DisplayArrayInTable(Agresidue_SourceData.CropFractionRemoved_Data(), Table76[[#Headers],[Crop type c]], 0)</f>
        <v>VIC</v>
      </c>
      <c r="F83" cm="1">
        <f t="array" ref="F83">Common_InputFunctions.Utility_DisplayArrayInTable(Agresidue_SourceData.CropFractionRemoved_Data(), Table76[[#Headers],[Crop type c]], 0)</f>
        <v>7.0000000000000007E-2</v>
      </c>
      <c r="G83" s="22"/>
      <c r="H83" s="22"/>
      <c r="I83" s="22"/>
      <c r="J83" s="22"/>
      <c r="K83" s="22"/>
      <c r="L83" s="22"/>
    </row>
    <row r="84" spans="4:12" ht="20.100000000000001" customHeight="1" x14ac:dyDescent="0.25">
      <c r="D84" s="22" t="str" cm="1">
        <f t="array" ref="D84">Common_InputFunctions.Utility_DisplayArrayInTable(Agresidue_SourceData.CropFractionRemoved_Data(), Table76[[#Headers],[Crop type c]], 0)</f>
        <v>All other crop types</v>
      </c>
      <c r="E84" t="str" cm="1">
        <f t="array" ref="E84">Common_InputFunctions.Utility_DisplayArrayInTable(Agresidue_SourceData.CropFractionRemoved_Data(), Table76[[#Headers],[Crop type c]], 0)</f>
        <v>QLD</v>
      </c>
      <c r="F84" cm="1">
        <f t="array" ref="F84">Common_InputFunctions.Utility_DisplayArrayInTable(Agresidue_SourceData.CropFractionRemoved_Data(), Table76[[#Headers],[Crop type c]], 0)</f>
        <v>0.04</v>
      </c>
      <c r="G84" s="22"/>
      <c r="H84" s="22"/>
      <c r="I84" s="22"/>
      <c r="J84" s="22"/>
      <c r="K84" s="22"/>
      <c r="L84" s="22"/>
    </row>
    <row r="85" spans="4:12" ht="20.100000000000001" customHeight="1" x14ac:dyDescent="0.25">
      <c r="D85" s="22" t="str" cm="1">
        <f t="array" ref="D85">Common_InputFunctions.Utility_DisplayArrayInTable(Agresidue_SourceData.CropFractionRemoved_Data(), Table76[[#Headers],[Crop type c]], 0)</f>
        <v>All other crop types</v>
      </c>
      <c r="E85" t="str" cm="1">
        <f t="array" ref="E85">Common_InputFunctions.Utility_DisplayArrayInTable(Agresidue_SourceData.CropFractionRemoved_Data(), Table76[[#Headers],[Crop type c]], 0)</f>
        <v>SA</v>
      </c>
      <c r="F85" cm="1">
        <f t="array" ref="F85">Common_InputFunctions.Utility_DisplayArrayInTable(Agresidue_SourceData.CropFractionRemoved_Data(), Table76[[#Headers],[Crop type c]], 0)</f>
        <v>0.09</v>
      </c>
      <c r="G85" s="22"/>
      <c r="H85" s="22"/>
      <c r="I85" s="22"/>
      <c r="J85" s="22"/>
      <c r="K85" s="22"/>
      <c r="L85" s="22"/>
    </row>
    <row r="86" spans="4:12" ht="20.100000000000001" customHeight="1" x14ac:dyDescent="0.25">
      <c r="D86" s="22" t="str" cm="1">
        <f t="array" ref="D86">Common_InputFunctions.Utility_DisplayArrayInTable(Agresidue_SourceData.CropFractionRemoved_Data(), Table76[[#Headers],[Crop type c]], 0)</f>
        <v>All other crop types</v>
      </c>
      <c r="E86" t="str" cm="1">
        <f t="array" ref="E86">Common_InputFunctions.Utility_DisplayArrayInTable(Agresidue_SourceData.CropFractionRemoved_Data(), Table76[[#Headers],[Crop type c]], 0)</f>
        <v>WA</v>
      </c>
      <c r="F86" cm="1">
        <f t="array" ref="F86">Common_InputFunctions.Utility_DisplayArrayInTable(Agresidue_SourceData.CropFractionRemoved_Data(), Table76[[#Headers],[Crop type c]], 0)</f>
        <v>0.11</v>
      </c>
      <c r="G86" s="22"/>
      <c r="H86" s="22"/>
      <c r="I86" s="22"/>
      <c r="J86" s="22"/>
      <c r="K86" s="22"/>
      <c r="L86" s="22"/>
    </row>
    <row r="87" spans="4:12" ht="20.100000000000001" customHeight="1" x14ac:dyDescent="0.25">
      <c r="D87" s="22" t="str" cm="1">
        <f t="array" ref="D87">Common_InputFunctions.Utility_DisplayArrayInTable(Agresidue_SourceData.CropFractionRemoved_Data(), Table76[[#Headers],[Crop type c]], 0)</f>
        <v>All other crop types</v>
      </c>
      <c r="E87" t="str" cm="1">
        <f t="array" ref="E87">Common_InputFunctions.Utility_DisplayArrayInTable(Agresidue_SourceData.CropFractionRemoved_Data(), Table76[[#Headers],[Crop type c]], 0)</f>
        <v>TAS</v>
      </c>
      <c r="F87" cm="1">
        <f t="array" ref="F87">Common_InputFunctions.Utility_DisplayArrayInTable(Agresidue_SourceData.CropFractionRemoved_Data(), Table76[[#Headers],[Crop type c]], 0)</f>
        <v>0.16</v>
      </c>
      <c r="G87" s="22"/>
      <c r="H87" s="22"/>
      <c r="I87" s="22"/>
      <c r="J87" s="22"/>
      <c r="K87" s="22"/>
      <c r="L87" s="22"/>
    </row>
    <row r="88" spans="4:12" ht="20.100000000000001" customHeight="1" x14ac:dyDescent="0.25">
      <c r="D88" s="22" t="str" cm="1">
        <f t="array" ref="D88">Common_InputFunctions.Utility_DisplayArrayInTable(Agresidue_SourceData.CropFractionRemoved_Data(), Table76[[#Headers],[Crop type c]], 0)</f>
        <v>All other crop types</v>
      </c>
      <c r="E88" t="str" cm="1">
        <f t="array" ref="E88">Common_InputFunctions.Utility_DisplayArrayInTable(Agresidue_SourceData.CropFractionRemoved_Data(), Table76[[#Headers],[Crop type c]], 0)</f>
        <v>NT</v>
      </c>
      <c r="F88" cm="1">
        <f t="array" ref="F88">Common_InputFunctions.Utility_DisplayArrayInTable(Agresidue_SourceData.CropFractionRemoved_Data(), Table76[[#Headers],[Crop type c]], 0)</f>
        <v>0.01</v>
      </c>
      <c r="G88" s="22"/>
      <c r="H88" s="22"/>
      <c r="I88" s="22"/>
      <c r="J88" s="22"/>
      <c r="K88" s="22"/>
      <c r="L88" s="22"/>
    </row>
    <row r="89" spans="4:12" ht="20.100000000000001" customHeight="1" x14ac:dyDescent="0.25">
      <c r="D89" s="22" t="str" cm="1">
        <f t="array" ref="D89">Common_InputFunctions.Utility_DisplayArrayInTable(Agresidue_SourceData.CropFractionRemoved_Data(), Table76[[#Headers],[Crop type c]], 0)</f>
        <v>All other crop types</v>
      </c>
      <c r="E89" t="str" cm="1">
        <f t="array" ref="E89">Common_InputFunctions.Utility_DisplayArrayInTable(Agresidue_SourceData.CropFractionRemoved_Data(), Table76[[#Headers],[Crop type c]], 0)</f>
        <v>ACT</v>
      </c>
      <c r="F89" cm="1">
        <f t="array" ref="F89">Common_InputFunctions.Utility_DisplayArrayInTable(Agresidue_SourceData.CropFractionRemoved_Data(), Table76[[#Headers],[Crop type c]], 0)</f>
        <v>0</v>
      </c>
      <c r="G89" s="22"/>
      <c r="H89" s="22"/>
      <c r="I89" s="22"/>
      <c r="J89" s="22"/>
      <c r="K89" s="22"/>
      <c r="L89" s="22"/>
    </row>
    <row r="90" spans="4:12" ht="20.100000000000001" customHeight="1" x14ac:dyDescent="0.25">
      <c r="D90" s="22"/>
      <c r="E90" s="22"/>
      <c r="F90" s="22"/>
      <c r="G90" s="22"/>
      <c r="H90" s="22"/>
      <c r="I90" s="22"/>
      <c r="J90" s="22"/>
      <c r="K90" s="22"/>
      <c r="L90" s="22"/>
    </row>
    <row r="91" spans="4:12" ht="20.100000000000001" customHeight="1" x14ac:dyDescent="0.25">
      <c r="D91" s="53" t="str" cm="1">
        <f t="array" ref="D91">"⚠️" &amp; Agresidue_SourceData.CropFractionRemoved_Variation()</f>
        <v>⚠️VARIATION OF SOURCE DATA: Split 'All other crop types' into individual crop types for each state. Listed all states for Sugar Cane, with 'N/A' for states where it is not grown.</v>
      </c>
      <c r="E91" s="22"/>
      <c r="F91" s="22"/>
      <c r="G91" s="22"/>
      <c r="H91" s="22"/>
      <c r="I91" s="22"/>
      <c r="J91" s="22"/>
      <c r="K91" s="22"/>
      <c r="L91" s="22"/>
    </row>
    <row r="92" spans="4:12" ht="20.100000000000001" customHeight="1" x14ac:dyDescent="0.25">
      <c r="D92" t="s">
        <v>167</v>
      </c>
      <c r="E92" t="s">
        <v>6</v>
      </c>
      <c r="F92" t="s">
        <v>168</v>
      </c>
      <c r="G92" s="22"/>
      <c r="H92" s="22"/>
      <c r="I92" s="22"/>
      <c r="J92" s="22"/>
      <c r="K92" s="22"/>
      <c r="L92" s="22"/>
    </row>
    <row r="93" spans="4:12" ht="20.100000000000001" customHeight="1" x14ac:dyDescent="0.25">
      <c r="D93" t="str" cm="1">
        <f t="array" ref="D93">Common_InputFunctions.Utility_DisplayArrayInTable(Agresidue_SourceData.CropFractionRemoved_CustomisedData(), Table77[[#Headers],[Crop type c]], 0)</f>
        <v>Rice</v>
      </c>
      <c r="E93" t="str" cm="1">
        <f t="array" ref="E93">Common_InputFunctions.Utility_DisplayArrayInTable(Agresidue_SourceData.CropFractionRemoved_CustomisedData(), Table77[[#Headers],[Crop type c]], 0)</f>
        <v>NSW</v>
      </c>
      <c r="F93" cm="1">
        <f t="array" ref="F93">Common_InputFunctions.Utility_DisplayArrayInTable(Agresidue_SourceData.CropFractionRemoved_CustomisedData(), Table77[[#Headers],[Crop type c]], 0)</f>
        <v>0.06</v>
      </c>
      <c r="G93" s="22"/>
      <c r="H93" s="22"/>
      <c r="I93" s="22"/>
      <c r="J93" s="22"/>
      <c r="K93" s="22"/>
      <c r="L93" s="22"/>
    </row>
    <row r="94" spans="4:12" ht="20.100000000000001" customHeight="1" x14ac:dyDescent="0.25">
      <c r="D94" s="22" t="str" cm="1">
        <f t="array" ref="D94">Common_InputFunctions.Utility_DisplayArrayInTable(Agresidue_SourceData.CropFractionRemoved_CustomisedData(), Table77[[#Headers],[Crop type c]], 0)</f>
        <v>Rice</v>
      </c>
      <c r="E94" t="str" cm="1">
        <f t="array" ref="E94">Common_InputFunctions.Utility_DisplayArrayInTable(Agresidue_SourceData.CropFractionRemoved_CustomisedData(), Table77[[#Headers],[Crop type c]], 0)</f>
        <v>VIC</v>
      </c>
      <c r="F94" cm="1">
        <f t="array" ref="F94">Common_InputFunctions.Utility_DisplayArrayInTable(Agresidue_SourceData.CropFractionRemoved_CustomisedData(), Table77[[#Headers],[Crop type c]], 0)</f>
        <v>0.06</v>
      </c>
      <c r="G94" s="22"/>
      <c r="H94" s="22"/>
      <c r="I94" s="22"/>
      <c r="J94" s="22"/>
      <c r="K94" s="22"/>
      <c r="L94" s="22"/>
    </row>
    <row r="95" spans="4:12" ht="20.100000000000001" customHeight="1" x14ac:dyDescent="0.25">
      <c r="D95" s="22" t="str" cm="1">
        <f t="array" ref="D95">Common_InputFunctions.Utility_DisplayArrayInTable(Agresidue_SourceData.CropFractionRemoved_CustomisedData(), Table77[[#Headers],[Crop type c]], 0)</f>
        <v>Rice</v>
      </c>
      <c r="E95" t="str" cm="1">
        <f t="array" ref="E95">Common_InputFunctions.Utility_DisplayArrayInTable(Agresidue_SourceData.CropFractionRemoved_CustomisedData(), Table77[[#Headers],[Crop type c]], 0)</f>
        <v>QLD</v>
      </c>
      <c r="F95" cm="1">
        <f t="array" ref="F95">Common_InputFunctions.Utility_DisplayArrayInTable(Agresidue_SourceData.CropFractionRemoved_CustomisedData(), Table77[[#Headers],[Crop type c]], 0)</f>
        <v>0.06</v>
      </c>
      <c r="G95" s="22"/>
      <c r="H95" s="22"/>
      <c r="I95" s="22"/>
      <c r="J95" s="22"/>
      <c r="K95" s="22"/>
      <c r="L95" s="22"/>
    </row>
    <row r="96" spans="4:12" ht="20.100000000000001" customHeight="1" x14ac:dyDescent="0.25">
      <c r="D96" s="22" t="str" cm="1">
        <f t="array" ref="D96">Common_InputFunctions.Utility_DisplayArrayInTable(Agresidue_SourceData.CropFractionRemoved_CustomisedData(), Table77[[#Headers],[Crop type c]], 0)</f>
        <v>Rice</v>
      </c>
      <c r="E96" t="str" cm="1">
        <f t="array" ref="E96">Common_InputFunctions.Utility_DisplayArrayInTable(Agresidue_SourceData.CropFractionRemoved_CustomisedData(), Table77[[#Headers],[Crop type c]], 0)</f>
        <v>SA</v>
      </c>
      <c r="F96" cm="1">
        <f t="array" ref="F96">Common_InputFunctions.Utility_DisplayArrayInTable(Agresidue_SourceData.CropFractionRemoved_CustomisedData(), Table77[[#Headers],[Crop type c]], 0)</f>
        <v>0.06</v>
      </c>
      <c r="G96" s="22"/>
      <c r="H96" s="22"/>
      <c r="I96" s="22"/>
      <c r="J96" s="22"/>
      <c r="K96" s="22"/>
      <c r="L96" s="22"/>
    </row>
    <row r="97" spans="4:12" ht="20.100000000000001" customHeight="1" x14ac:dyDescent="0.25">
      <c r="D97" s="22" t="str" cm="1">
        <f t="array" ref="D97">Common_InputFunctions.Utility_DisplayArrayInTable(Agresidue_SourceData.CropFractionRemoved_CustomisedData(), Table77[[#Headers],[Crop type c]], 0)</f>
        <v>Rice</v>
      </c>
      <c r="E97" t="str" cm="1">
        <f t="array" ref="E97">Common_InputFunctions.Utility_DisplayArrayInTable(Agresidue_SourceData.CropFractionRemoved_CustomisedData(), Table77[[#Headers],[Crop type c]], 0)</f>
        <v>WA</v>
      </c>
      <c r="F97" cm="1">
        <f t="array" ref="F97">Common_InputFunctions.Utility_DisplayArrayInTable(Agresidue_SourceData.CropFractionRemoved_CustomisedData(), Table77[[#Headers],[Crop type c]], 0)</f>
        <v>0.06</v>
      </c>
      <c r="G97" s="22"/>
      <c r="H97" s="22"/>
      <c r="I97" s="22"/>
      <c r="J97" s="22"/>
      <c r="K97" s="22"/>
      <c r="L97" s="22"/>
    </row>
    <row r="98" spans="4:12" ht="20.100000000000001" customHeight="1" x14ac:dyDescent="0.25">
      <c r="D98" s="22" t="str" cm="1">
        <f t="array" ref="D98">Common_InputFunctions.Utility_DisplayArrayInTable(Agresidue_SourceData.CropFractionRemoved_CustomisedData(), Table77[[#Headers],[Crop type c]], 0)</f>
        <v>Rice</v>
      </c>
      <c r="E98" t="str" cm="1">
        <f t="array" ref="E98">Common_InputFunctions.Utility_DisplayArrayInTable(Agresidue_SourceData.CropFractionRemoved_CustomisedData(), Table77[[#Headers],[Crop type c]], 0)</f>
        <v>TAS</v>
      </c>
      <c r="F98" cm="1">
        <f t="array" ref="F98">Common_InputFunctions.Utility_DisplayArrayInTable(Agresidue_SourceData.CropFractionRemoved_CustomisedData(), Table77[[#Headers],[Crop type c]], 0)</f>
        <v>0.06</v>
      </c>
      <c r="G98" s="22"/>
      <c r="H98" s="22"/>
      <c r="I98" s="22"/>
      <c r="J98" s="22"/>
      <c r="K98" s="22"/>
      <c r="L98" s="22"/>
    </row>
    <row r="99" spans="4:12" ht="20.100000000000001" customHeight="1" x14ac:dyDescent="0.25">
      <c r="D99" s="22" t="str" cm="1">
        <f t="array" ref="D99">Common_InputFunctions.Utility_DisplayArrayInTable(Agresidue_SourceData.CropFractionRemoved_CustomisedData(), Table77[[#Headers],[Crop type c]], 0)</f>
        <v>Rice</v>
      </c>
      <c r="E99" t="str" cm="1">
        <f t="array" ref="E99">Common_InputFunctions.Utility_DisplayArrayInTable(Agresidue_SourceData.CropFractionRemoved_CustomisedData(), Table77[[#Headers],[Crop type c]], 0)</f>
        <v>NT</v>
      </c>
      <c r="F99" cm="1">
        <f t="array" ref="F99">Common_InputFunctions.Utility_DisplayArrayInTable(Agresidue_SourceData.CropFractionRemoved_CustomisedData(), Table77[[#Headers],[Crop type c]], 0)</f>
        <v>0.06</v>
      </c>
      <c r="G99" s="22"/>
      <c r="H99" s="22"/>
      <c r="I99" s="22"/>
      <c r="J99" s="22"/>
      <c r="K99" s="22"/>
      <c r="L99" s="22"/>
    </row>
    <row r="100" spans="4:12" ht="20.100000000000001" customHeight="1" x14ac:dyDescent="0.25">
      <c r="D100" s="22" t="str" cm="1">
        <f t="array" ref="D100">Common_InputFunctions.Utility_DisplayArrayInTable(Agresidue_SourceData.CropFractionRemoved_CustomisedData(), Table77[[#Headers],[Crop type c]], 0)</f>
        <v>Rice</v>
      </c>
      <c r="E100" t="str" cm="1">
        <f t="array" ref="E100">Common_InputFunctions.Utility_DisplayArrayInTable(Agresidue_SourceData.CropFractionRemoved_CustomisedData(), Table77[[#Headers],[Crop type c]], 0)</f>
        <v>ACT</v>
      </c>
      <c r="F100" cm="1">
        <f t="array" ref="F100">Common_InputFunctions.Utility_DisplayArrayInTable(Agresidue_SourceData.CropFractionRemoved_CustomisedData(), Table77[[#Headers],[Crop type c]], 0)</f>
        <v>0.06</v>
      </c>
      <c r="G100" s="22"/>
      <c r="H100" s="22"/>
      <c r="I100" s="22"/>
      <c r="J100" s="22"/>
      <c r="K100" s="22"/>
      <c r="L100" s="22"/>
    </row>
    <row r="101" spans="4:12" ht="20.100000000000001" customHeight="1" x14ac:dyDescent="0.25">
      <c r="D101" s="22" t="str" cm="1">
        <f t="array" ref="D101">Common_InputFunctions.Utility_DisplayArrayInTable(Agresidue_SourceData.CropFractionRemoved_CustomisedData(), Table77[[#Headers],[Crop type c]], 0)</f>
        <v>Tubers and roots</v>
      </c>
      <c r="E101" t="str" cm="1">
        <f t="array" ref="E101">Common_InputFunctions.Utility_DisplayArrayInTable(Agresidue_SourceData.CropFractionRemoved_CustomisedData(), Table77[[#Headers],[Crop type c]], 0)</f>
        <v>NSW</v>
      </c>
      <c r="F101" cm="1">
        <f t="array" ref="F101">Common_InputFunctions.Utility_DisplayArrayInTable(Agresidue_SourceData.CropFractionRemoved_CustomisedData(), Table77[[#Headers],[Crop type c]], 0)</f>
        <v>1</v>
      </c>
      <c r="G101" s="22"/>
      <c r="H101" s="22"/>
      <c r="I101" s="22"/>
      <c r="J101" s="22"/>
      <c r="K101" s="22"/>
      <c r="L101" s="22"/>
    </row>
    <row r="102" spans="4:12" ht="20.100000000000001" customHeight="1" x14ac:dyDescent="0.25">
      <c r="D102" s="22" t="str" cm="1">
        <f t="array" ref="D102">Common_InputFunctions.Utility_DisplayArrayInTable(Agresidue_SourceData.CropFractionRemoved_CustomisedData(), Table77[[#Headers],[Crop type c]], 0)</f>
        <v>Tubers and roots</v>
      </c>
      <c r="E102" t="str" cm="1">
        <f t="array" ref="E102">Common_InputFunctions.Utility_DisplayArrayInTable(Agresidue_SourceData.CropFractionRemoved_CustomisedData(), Table77[[#Headers],[Crop type c]], 0)</f>
        <v>VIC</v>
      </c>
      <c r="F102" cm="1">
        <f t="array" ref="F102">Common_InputFunctions.Utility_DisplayArrayInTable(Agresidue_SourceData.CropFractionRemoved_CustomisedData(), Table77[[#Headers],[Crop type c]], 0)</f>
        <v>1</v>
      </c>
      <c r="G102" s="22"/>
      <c r="H102" s="22"/>
      <c r="I102" s="22"/>
      <c r="J102" s="22"/>
      <c r="K102" s="22"/>
      <c r="L102" s="22"/>
    </row>
    <row r="103" spans="4:12" ht="20.100000000000001" customHeight="1" x14ac:dyDescent="0.25">
      <c r="D103" s="22" t="str" cm="1">
        <f t="array" ref="D103">Common_InputFunctions.Utility_DisplayArrayInTable(Agresidue_SourceData.CropFractionRemoved_CustomisedData(), Table77[[#Headers],[Crop type c]], 0)</f>
        <v>Tubers and roots</v>
      </c>
      <c r="E103" t="str" cm="1">
        <f t="array" ref="E103">Common_InputFunctions.Utility_DisplayArrayInTable(Agresidue_SourceData.CropFractionRemoved_CustomisedData(), Table77[[#Headers],[Crop type c]], 0)</f>
        <v>QLD</v>
      </c>
      <c r="F103" cm="1">
        <f t="array" ref="F103">Common_InputFunctions.Utility_DisplayArrayInTable(Agresidue_SourceData.CropFractionRemoved_CustomisedData(), Table77[[#Headers],[Crop type c]], 0)</f>
        <v>1</v>
      </c>
      <c r="G103" s="22"/>
      <c r="H103" s="22"/>
      <c r="I103" s="22"/>
      <c r="J103" s="22"/>
      <c r="K103" s="22"/>
      <c r="L103" s="22"/>
    </row>
    <row r="104" spans="4:12" ht="20.100000000000001" customHeight="1" x14ac:dyDescent="0.25">
      <c r="D104" s="22" t="str" cm="1">
        <f t="array" ref="D104">Common_InputFunctions.Utility_DisplayArrayInTable(Agresidue_SourceData.CropFractionRemoved_CustomisedData(), Table77[[#Headers],[Crop type c]], 0)</f>
        <v>Tubers and roots</v>
      </c>
      <c r="E104" t="str" cm="1">
        <f t="array" ref="E104">Common_InputFunctions.Utility_DisplayArrayInTable(Agresidue_SourceData.CropFractionRemoved_CustomisedData(), Table77[[#Headers],[Crop type c]], 0)</f>
        <v>SA</v>
      </c>
      <c r="F104" cm="1">
        <f t="array" ref="F104">Common_InputFunctions.Utility_DisplayArrayInTable(Agresidue_SourceData.CropFractionRemoved_CustomisedData(), Table77[[#Headers],[Crop type c]], 0)</f>
        <v>1</v>
      </c>
      <c r="G104" s="22"/>
      <c r="H104" s="22"/>
      <c r="I104" s="22"/>
      <c r="J104" s="22"/>
      <c r="K104" s="22"/>
      <c r="L104" s="22"/>
    </row>
    <row r="105" spans="4:12" ht="20.100000000000001" customHeight="1" x14ac:dyDescent="0.25">
      <c r="D105" s="22" t="str" cm="1">
        <f t="array" ref="D105">Common_InputFunctions.Utility_DisplayArrayInTable(Agresidue_SourceData.CropFractionRemoved_CustomisedData(), Table77[[#Headers],[Crop type c]], 0)</f>
        <v>Tubers and roots</v>
      </c>
      <c r="E105" t="str" cm="1">
        <f t="array" ref="E105">Common_InputFunctions.Utility_DisplayArrayInTable(Agresidue_SourceData.CropFractionRemoved_CustomisedData(), Table77[[#Headers],[Crop type c]], 0)</f>
        <v>WA</v>
      </c>
      <c r="F105" cm="1">
        <f t="array" ref="F105">Common_InputFunctions.Utility_DisplayArrayInTable(Agresidue_SourceData.CropFractionRemoved_CustomisedData(), Table77[[#Headers],[Crop type c]], 0)</f>
        <v>1</v>
      </c>
      <c r="G105" s="22"/>
      <c r="H105" s="22"/>
      <c r="I105" s="22"/>
      <c r="J105" s="22"/>
      <c r="K105" s="22"/>
      <c r="L105" s="22"/>
    </row>
    <row r="106" spans="4:12" ht="20.100000000000001" customHeight="1" x14ac:dyDescent="0.25">
      <c r="D106" s="22" t="str" cm="1">
        <f t="array" ref="D106">Common_InputFunctions.Utility_DisplayArrayInTable(Agresidue_SourceData.CropFractionRemoved_CustomisedData(), Table77[[#Headers],[Crop type c]], 0)</f>
        <v>Tubers and roots</v>
      </c>
      <c r="E106" t="str" cm="1">
        <f t="array" ref="E106">Common_InputFunctions.Utility_DisplayArrayInTable(Agresidue_SourceData.CropFractionRemoved_CustomisedData(), Table77[[#Headers],[Crop type c]], 0)</f>
        <v>TAS</v>
      </c>
      <c r="F106" cm="1">
        <f t="array" ref="F106">Common_InputFunctions.Utility_DisplayArrayInTable(Agresidue_SourceData.CropFractionRemoved_CustomisedData(), Table77[[#Headers],[Crop type c]], 0)</f>
        <v>1</v>
      </c>
      <c r="G106" s="22"/>
      <c r="H106" s="22"/>
      <c r="I106" s="22"/>
      <c r="J106" s="22"/>
      <c r="K106" s="22"/>
      <c r="L106" s="22"/>
    </row>
    <row r="107" spans="4:12" ht="20.100000000000001" customHeight="1" x14ac:dyDescent="0.25">
      <c r="D107" s="22" t="str" cm="1">
        <f t="array" ref="D107">Common_InputFunctions.Utility_DisplayArrayInTable(Agresidue_SourceData.CropFractionRemoved_CustomisedData(), Table77[[#Headers],[Crop type c]], 0)</f>
        <v>Tubers and roots</v>
      </c>
      <c r="E107" t="str" cm="1">
        <f t="array" ref="E107">Common_InputFunctions.Utility_DisplayArrayInTable(Agresidue_SourceData.CropFractionRemoved_CustomisedData(), Table77[[#Headers],[Crop type c]], 0)</f>
        <v>NT</v>
      </c>
      <c r="F107" cm="1">
        <f t="array" ref="F107">Common_InputFunctions.Utility_DisplayArrayInTable(Agresidue_SourceData.CropFractionRemoved_CustomisedData(), Table77[[#Headers],[Crop type c]], 0)</f>
        <v>1</v>
      </c>
      <c r="G107" s="22"/>
      <c r="H107" s="22"/>
      <c r="I107" s="22"/>
      <c r="J107" s="22"/>
      <c r="K107" s="22"/>
      <c r="L107" s="22"/>
    </row>
    <row r="108" spans="4:12" ht="20.100000000000001" customHeight="1" x14ac:dyDescent="0.25">
      <c r="D108" s="22" t="str" cm="1">
        <f t="array" ref="D108">Common_InputFunctions.Utility_DisplayArrayInTable(Agresidue_SourceData.CropFractionRemoved_CustomisedData(), Table77[[#Headers],[Crop type c]], 0)</f>
        <v>Tubers and roots</v>
      </c>
      <c r="E108" t="str" cm="1">
        <f t="array" ref="E108">Common_InputFunctions.Utility_DisplayArrayInTable(Agresidue_SourceData.CropFractionRemoved_CustomisedData(), Table77[[#Headers],[Crop type c]], 0)</f>
        <v>ACT</v>
      </c>
      <c r="F108" cm="1">
        <f t="array" ref="F108">Common_InputFunctions.Utility_DisplayArrayInTable(Agresidue_SourceData.CropFractionRemoved_CustomisedData(), Table77[[#Headers],[Crop type c]], 0)</f>
        <v>1</v>
      </c>
      <c r="G108" s="22"/>
      <c r="H108" s="22"/>
      <c r="I108" s="22"/>
      <c r="J108" s="22"/>
      <c r="K108" s="22"/>
      <c r="L108" s="22"/>
    </row>
    <row r="109" spans="4:12" ht="20.100000000000001" customHeight="1" x14ac:dyDescent="0.25">
      <c r="D109" s="22" t="str" cm="1">
        <f t="array" ref="D109">Common_InputFunctions.Utility_DisplayArrayInTable(Agresidue_SourceData.CropFractionRemoved_CustomisedData(), Table77[[#Headers],[Crop type c]], 0)</f>
        <v>Cotton</v>
      </c>
      <c r="E109" t="str" cm="1">
        <f t="array" ref="E109">Common_InputFunctions.Utility_DisplayArrayInTable(Agresidue_SourceData.CropFractionRemoved_CustomisedData(), Table77[[#Headers],[Crop type c]], 0)</f>
        <v>NSW</v>
      </c>
      <c r="F109" cm="1">
        <f t="array" ref="F109">Common_InputFunctions.Utility_DisplayArrayInTable(Agresidue_SourceData.CropFractionRemoved_CustomisedData(), Table77[[#Headers],[Crop type c]], 0)</f>
        <v>0</v>
      </c>
      <c r="G109" s="22"/>
      <c r="H109" s="22"/>
      <c r="I109" s="22"/>
      <c r="J109" s="22"/>
      <c r="K109" s="22"/>
      <c r="L109" s="22"/>
    </row>
    <row r="110" spans="4:12" ht="20.100000000000001" customHeight="1" x14ac:dyDescent="0.25">
      <c r="D110" s="22" t="str" cm="1">
        <f t="array" ref="D110">Common_InputFunctions.Utility_DisplayArrayInTable(Agresidue_SourceData.CropFractionRemoved_CustomisedData(), Table77[[#Headers],[Crop type c]], 0)</f>
        <v>Cotton</v>
      </c>
      <c r="E110" t="str" cm="1">
        <f t="array" ref="E110">Common_InputFunctions.Utility_DisplayArrayInTable(Agresidue_SourceData.CropFractionRemoved_CustomisedData(), Table77[[#Headers],[Crop type c]], 0)</f>
        <v>VIC</v>
      </c>
      <c r="F110" cm="1">
        <f t="array" ref="F110">Common_InputFunctions.Utility_DisplayArrayInTable(Agresidue_SourceData.CropFractionRemoved_CustomisedData(), Table77[[#Headers],[Crop type c]], 0)</f>
        <v>0</v>
      </c>
      <c r="G110" s="22"/>
      <c r="H110" s="22"/>
      <c r="I110" s="22"/>
      <c r="J110" s="22"/>
      <c r="K110" s="22"/>
      <c r="L110" s="22"/>
    </row>
    <row r="111" spans="4:12" ht="20.100000000000001" customHeight="1" x14ac:dyDescent="0.25">
      <c r="D111" s="22" t="str" cm="1">
        <f t="array" ref="D111">Common_InputFunctions.Utility_DisplayArrayInTable(Agresidue_SourceData.CropFractionRemoved_CustomisedData(), Table77[[#Headers],[Crop type c]], 0)</f>
        <v>Cotton</v>
      </c>
      <c r="E111" t="str" cm="1">
        <f t="array" ref="E111">Common_InputFunctions.Utility_DisplayArrayInTable(Agresidue_SourceData.CropFractionRemoved_CustomisedData(), Table77[[#Headers],[Crop type c]], 0)</f>
        <v>QLD</v>
      </c>
      <c r="F111" cm="1">
        <f t="array" ref="F111">Common_InputFunctions.Utility_DisplayArrayInTable(Agresidue_SourceData.CropFractionRemoved_CustomisedData(), Table77[[#Headers],[Crop type c]], 0)</f>
        <v>0</v>
      </c>
      <c r="G111" s="22"/>
      <c r="H111" s="22"/>
      <c r="I111" s="22"/>
      <c r="J111" s="22"/>
      <c r="K111" s="22"/>
      <c r="L111" s="22"/>
    </row>
    <row r="112" spans="4:12" ht="20.100000000000001" customHeight="1" x14ac:dyDescent="0.25">
      <c r="D112" s="22" t="str" cm="1">
        <f t="array" ref="D112">Common_InputFunctions.Utility_DisplayArrayInTable(Agresidue_SourceData.CropFractionRemoved_CustomisedData(), Table77[[#Headers],[Crop type c]], 0)</f>
        <v>Cotton</v>
      </c>
      <c r="E112" t="str" cm="1">
        <f t="array" ref="E112">Common_InputFunctions.Utility_DisplayArrayInTable(Agresidue_SourceData.CropFractionRemoved_CustomisedData(), Table77[[#Headers],[Crop type c]], 0)</f>
        <v>SA</v>
      </c>
      <c r="F112" cm="1">
        <f t="array" ref="F112">Common_InputFunctions.Utility_DisplayArrayInTable(Agresidue_SourceData.CropFractionRemoved_CustomisedData(), Table77[[#Headers],[Crop type c]], 0)</f>
        <v>0</v>
      </c>
      <c r="G112" s="22"/>
      <c r="H112" s="22"/>
      <c r="I112" s="22"/>
      <c r="J112" s="22"/>
      <c r="K112" s="22"/>
      <c r="L112" s="22"/>
    </row>
    <row r="113" spans="4:12" ht="20.100000000000001" customHeight="1" x14ac:dyDescent="0.25">
      <c r="D113" s="22" t="str" cm="1">
        <f t="array" ref="D113">Common_InputFunctions.Utility_DisplayArrayInTable(Agresidue_SourceData.CropFractionRemoved_CustomisedData(), Table77[[#Headers],[Crop type c]], 0)</f>
        <v>Cotton</v>
      </c>
      <c r="E113" t="str" cm="1">
        <f t="array" ref="E113">Common_InputFunctions.Utility_DisplayArrayInTable(Agresidue_SourceData.CropFractionRemoved_CustomisedData(), Table77[[#Headers],[Crop type c]], 0)</f>
        <v>WA</v>
      </c>
      <c r="F113" cm="1">
        <f t="array" ref="F113">Common_InputFunctions.Utility_DisplayArrayInTable(Agresidue_SourceData.CropFractionRemoved_CustomisedData(), Table77[[#Headers],[Crop type c]], 0)</f>
        <v>0</v>
      </c>
      <c r="G113" s="22"/>
      <c r="H113" s="22"/>
      <c r="I113" s="22"/>
      <c r="J113" s="22"/>
      <c r="K113" s="22"/>
      <c r="L113" s="22"/>
    </row>
    <row r="114" spans="4:12" ht="20.100000000000001" customHeight="1" x14ac:dyDescent="0.25">
      <c r="D114" s="22" t="str" cm="1">
        <f t="array" ref="D114">Common_InputFunctions.Utility_DisplayArrayInTable(Agresidue_SourceData.CropFractionRemoved_CustomisedData(), Table77[[#Headers],[Crop type c]], 0)</f>
        <v>Cotton</v>
      </c>
      <c r="E114" t="str" cm="1">
        <f t="array" ref="E114">Common_InputFunctions.Utility_DisplayArrayInTable(Agresidue_SourceData.CropFractionRemoved_CustomisedData(), Table77[[#Headers],[Crop type c]], 0)</f>
        <v>TAS</v>
      </c>
      <c r="F114" cm="1">
        <f t="array" ref="F114">Common_InputFunctions.Utility_DisplayArrayInTable(Agresidue_SourceData.CropFractionRemoved_CustomisedData(), Table77[[#Headers],[Crop type c]], 0)</f>
        <v>0</v>
      </c>
      <c r="G114" s="22"/>
      <c r="H114" s="22"/>
      <c r="I114" s="22"/>
      <c r="J114" s="22"/>
      <c r="K114" s="22"/>
      <c r="L114" s="22"/>
    </row>
    <row r="115" spans="4:12" ht="20.100000000000001" customHeight="1" x14ac:dyDescent="0.25">
      <c r="D115" s="22" t="str" cm="1">
        <f t="array" ref="D115">Common_InputFunctions.Utility_DisplayArrayInTable(Agresidue_SourceData.CropFractionRemoved_CustomisedData(), Table77[[#Headers],[Crop type c]], 0)</f>
        <v>Cotton</v>
      </c>
      <c r="E115" t="str" cm="1">
        <f t="array" ref="E115">Common_InputFunctions.Utility_DisplayArrayInTable(Agresidue_SourceData.CropFractionRemoved_CustomisedData(), Table77[[#Headers],[Crop type c]], 0)</f>
        <v>NT</v>
      </c>
      <c r="F115" cm="1">
        <f t="array" ref="F115">Common_InputFunctions.Utility_DisplayArrayInTable(Agresidue_SourceData.CropFractionRemoved_CustomisedData(), Table77[[#Headers],[Crop type c]], 0)</f>
        <v>0</v>
      </c>
      <c r="G115" s="22"/>
      <c r="H115" s="22"/>
      <c r="I115" s="22"/>
      <c r="J115" s="22"/>
      <c r="K115" s="22"/>
      <c r="L115" s="22"/>
    </row>
    <row r="116" spans="4:12" ht="20.100000000000001" customHeight="1" x14ac:dyDescent="0.25">
      <c r="D116" s="22" t="str" cm="1">
        <f t="array" ref="D116">Common_InputFunctions.Utility_DisplayArrayInTable(Agresidue_SourceData.CropFractionRemoved_CustomisedData(), Table77[[#Headers],[Crop type c]], 0)</f>
        <v>Cotton</v>
      </c>
      <c r="E116" t="str" cm="1">
        <f t="array" ref="E116">Common_InputFunctions.Utility_DisplayArrayInTable(Agresidue_SourceData.CropFractionRemoved_CustomisedData(), Table77[[#Headers],[Crop type c]], 0)</f>
        <v>ACT</v>
      </c>
      <c r="F116" cm="1">
        <f t="array" ref="F116">Common_InputFunctions.Utility_DisplayArrayInTable(Agresidue_SourceData.CropFractionRemoved_CustomisedData(), Table77[[#Headers],[Crop type c]], 0)</f>
        <v>0</v>
      </c>
      <c r="G116" s="22"/>
      <c r="H116" s="22"/>
      <c r="I116" s="22"/>
      <c r="J116" s="22"/>
      <c r="K116" s="22"/>
      <c r="L116" s="22"/>
    </row>
    <row r="117" spans="4:12" ht="20.100000000000001" customHeight="1" x14ac:dyDescent="0.25">
      <c r="D117" s="22" t="str" cm="1">
        <f t="array" ref="D117">Common_InputFunctions.Utility_DisplayArrayInTable(Agresidue_SourceData.CropFractionRemoved_CustomisedData(), Table77[[#Headers],[Crop type c]], 0)</f>
        <v>Hops</v>
      </c>
      <c r="E117" t="str" cm="1">
        <f t="array" ref="E117">Common_InputFunctions.Utility_DisplayArrayInTable(Agresidue_SourceData.CropFractionRemoved_CustomisedData(), Table77[[#Headers],[Crop type c]], 0)</f>
        <v>NSW</v>
      </c>
      <c r="F117" cm="1">
        <f t="array" ref="F117">Common_InputFunctions.Utility_DisplayArrayInTable(Agresidue_SourceData.CropFractionRemoved_CustomisedData(), Table77[[#Headers],[Crop type c]], 0)</f>
        <v>0</v>
      </c>
      <c r="G117" s="22"/>
      <c r="H117" s="22"/>
      <c r="I117" s="22"/>
      <c r="J117" s="22"/>
      <c r="K117" s="22"/>
      <c r="L117" s="22"/>
    </row>
    <row r="118" spans="4:12" ht="20.100000000000001" customHeight="1" x14ac:dyDescent="0.25">
      <c r="D118" s="22" t="str" cm="1">
        <f t="array" ref="D118">Common_InputFunctions.Utility_DisplayArrayInTable(Agresidue_SourceData.CropFractionRemoved_CustomisedData(), Table77[[#Headers],[Crop type c]], 0)</f>
        <v>Hops</v>
      </c>
      <c r="E118" t="str" cm="1">
        <f t="array" ref="E118">Common_InputFunctions.Utility_DisplayArrayInTable(Agresidue_SourceData.CropFractionRemoved_CustomisedData(), Table77[[#Headers],[Crop type c]], 0)</f>
        <v>VIC</v>
      </c>
      <c r="F118" cm="1">
        <f t="array" ref="F118">Common_InputFunctions.Utility_DisplayArrayInTable(Agresidue_SourceData.CropFractionRemoved_CustomisedData(), Table77[[#Headers],[Crop type c]], 0)</f>
        <v>0</v>
      </c>
      <c r="G118" s="22"/>
      <c r="H118" s="22"/>
      <c r="I118" s="22"/>
      <c r="J118" s="22"/>
      <c r="K118" s="22"/>
      <c r="L118" s="22"/>
    </row>
    <row r="119" spans="4:12" ht="20.100000000000001" customHeight="1" x14ac:dyDescent="0.25">
      <c r="D119" s="22" t="str" cm="1">
        <f t="array" ref="D119">Common_InputFunctions.Utility_DisplayArrayInTable(Agresidue_SourceData.CropFractionRemoved_CustomisedData(), Table77[[#Headers],[Crop type c]], 0)</f>
        <v>Hops</v>
      </c>
      <c r="E119" t="str" cm="1">
        <f t="array" ref="E119">Common_InputFunctions.Utility_DisplayArrayInTable(Agresidue_SourceData.CropFractionRemoved_CustomisedData(), Table77[[#Headers],[Crop type c]], 0)</f>
        <v>QLD</v>
      </c>
      <c r="F119" cm="1">
        <f t="array" ref="F119">Common_InputFunctions.Utility_DisplayArrayInTable(Agresidue_SourceData.CropFractionRemoved_CustomisedData(), Table77[[#Headers],[Crop type c]], 0)</f>
        <v>0</v>
      </c>
      <c r="G119" s="22"/>
      <c r="H119" s="22"/>
      <c r="I119" s="22"/>
      <c r="J119" s="22"/>
      <c r="K119" s="22"/>
      <c r="L119" s="22"/>
    </row>
    <row r="120" spans="4:12" ht="20.100000000000001" customHeight="1" x14ac:dyDescent="0.25">
      <c r="D120" s="22" t="str" cm="1">
        <f t="array" ref="D120">Common_InputFunctions.Utility_DisplayArrayInTable(Agresidue_SourceData.CropFractionRemoved_CustomisedData(), Table77[[#Headers],[Crop type c]], 0)</f>
        <v>Hops</v>
      </c>
      <c r="E120" t="str" cm="1">
        <f t="array" ref="E120">Common_InputFunctions.Utility_DisplayArrayInTable(Agresidue_SourceData.CropFractionRemoved_CustomisedData(), Table77[[#Headers],[Crop type c]], 0)</f>
        <v>SA</v>
      </c>
      <c r="F120" cm="1">
        <f t="array" ref="F120">Common_InputFunctions.Utility_DisplayArrayInTable(Agresidue_SourceData.CropFractionRemoved_CustomisedData(), Table77[[#Headers],[Crop type c]], 0)</f>
        <v>0</v>
      </c>
      <c r="G120" s="22"/>
      <c r="H120" s="22"/>
      <c r="I120" s="22"/>
      <c r="J120" s="22"/>
      <c r="K120" s="22"/>
      <c r="L120" s="22"/>
    </row>
    <row r="121" spans="4:12" ht="20.100000000000001" customHeight="1" x14ac:dyDescent="0.25">
      <c r="D121" s="22" t="str" cm="1">
        <f t="array" ref="D121">Common_InputFunctions.Utility_DisplayArrayInTable(Agresidue_SourceData.CropFractionRemoved_CustomisedData(), Table77[[#Headers],[Crop type c]], 0)</f>
        <v>Hops</v>
      </c>
      <c r="E121" t="str" cm="1">
        <f t="array" ref="E121">Common_InputFunctions.Utility_DisplayArrayInTable(Agresidue_SourceData.CropFractionRemoved_CustomisedData(), Table77[[#Headers],[Crop type c]], 0)</f>
        <v>WA</v>
      </c>
      <c r="F121" cm="1">
        <f t="array" ref="F121">Common_InputFunctions.Utility_DisplayArrayInTable(Agresidue_SourceData.CropFractionRemoved_CustomisedData(), Table77[[#Headers],[Crop type c]], 0)</f>
        <v>0</v>
      </c>
      <c r="G121" s="22"/>
      <c r="H121" s="22"/>
      <c r="I121" s="22"/>
      <c r="J121" s="22"/>
      <c r="K121" s="22"/>
      <c r="L121" s="22"/>
    </row>
    <row r="122" spans="4:12" ht="20.100000000000001" customHeight="1" x14ac:dyDescent="0.25">
      <c r="D122" s="22" t="str" cm="1">
        <f t="array" ref="D122">Common_InputFunctions.Utility_DisplayArrayInTable(Agresidue_SourceData.CropFractionRemoved_CustomisedData(), Table77[[#Headers],[Crop type c]], 0)</f>
        <v>Hops</v>
      </c>
      <c r="E122" t="str" cm="1">
        <f t="array" ref="E122">Common_InputFunctions.Utility_DisplayArrayInTable(Agresidue_SourceData.CropFractionRemoved_CustomisedData(), Table77[[#Headers],[Crop type c]], 0)</f>
        <v>TAS</v>
      </c>
      <c r="F122" cm="1">
        <f t="array" ref="F122">Common_InputFunctions.Utility_DisplayArrayInTable(Agresidue_SourceData.CropFractionRemoved_CustomisedData(), Table77[[#Headers],[Crop type c]], 0)</f>
        <v>0</v>
      </c>
      <c r="G122" s="22"/>
      <c r="H122" s="22"/>
      <c r="I122" s="22"/>
      <c r="J122" s="22"/>
      <c r="K122" s="22"/>
      <c r="L122" s="22"/>
    </row>
    <row r="123" spans="4:12" ht="20.100000000000001" customHeight="1" x14ac:dyDescent="0.25">
      <c r="D123" s="22" t="str" cm="1">
        <f t="array" ref="D123">Common_InputFunctions.Utility_DisplayArrayInTable(Agresidue_SourceData.CropFractionRemoved_CustomisedData(), Table77[[#Headers],[Crop type c]], 0)</f>
        <v>Hops</v>
      </c>
      <c r="E123" t="str" cm="1">
        <f t="array" ref="E123">Common_InputFunctions.Utility_DisplayArrayInTable(Agresidue_SourceData.CropFractionRemoved_CustomisedData(), Table77[[#Headers],[Crop type c]], 0)</f>
        <v>NT</v>
      </c>
      <c r="F123" cm="1">
        <f t="array" ref="F123">Common_InputFunctions.Utility_DisplayArrayInTable(Agresidue_SourceData.CropFractionRemoved_CustomisedData(), Table77[[#Headers],[Crop type c]], 0)</f>
        <v>0</v>
      </c>
      <c r="G123" s="22"/>
      <c r="H123" s="22"/>
      <c r="I123" s="22"/>
      <c r="J123" s="22"/>
      <c r="K123" s="22"/>
      <c r="L123" s="22"/>
    </row>
    <row r="124" spans="4:12" ht="20.100000000000001" customHeight="1" x14ac:dyDescent="0.25">
      <c r="D124" s="22" t="str" cm="1">
        <f t="array" ref="D124">Common_InputFunctions.Utility_DisplayArrayInTable(Agresidue_SourceData.CropFractionRemoved_CustomisedData(), Table77[[#Headers],[Crop type c]], 0)</f>
        <v>Hops</v>
      </c>
      <c r="E124" t="str" cm="1">
        <f t="array" ref="E124">Common_InputFunctions.Utility_DisplayArrayInTable(Agresidue_SourceData.CropFractionRemoved_CustomisedData(), Table77[[#Headers],[Crop type c]], 0)</f>
        <v>ACT</v>
      </c>
      <c r="F124" cm="1">
        <f t="array" ref="F124">Common_InputFunctions.Utility_DisplayArrayInTable(Agresidue_SourceData.CropFractionRemoved_CustomisedData(), Table77[[#Headers],[Crop type c]], 0)</f>
        <v>0</v>
      </c>
      <c r="G124" s="22"/>
      <c r="H124" s="22"/>
      <c r="I124" s="22"/>
      <c r="J124" s="22"/>
      <c r="K124" s="22"/>
      <c r="L124" s="22"/>
    </row>
    <row r="125" spans="4:12" ht="20.100000000000001" customHeight="1" x14ac:dyDescent="0.25">
      <c r="D125" s="22" t="str" cm="1">
        <f t="array" ref="D125">Common_InputFunctions.Utility_DisplayArrayInTable(Agresidue_SourceData.CropFractionRemoved_CustomisedData(), Table77[[#Headers],[Crop type c]], 0)</f>
        <v>Forage crops</v>
      </c>
      <c r="E125" t="str" cm="1">
        <f t="array" ref="E125">Common_InputFunctions.Utility_DisplayArrayInTable(Agresidue_SourceData.CropFractionRemoved_CustomisedData(), Table77[[#Headers],[Crop type c]], 0)</f>
        <v>NSW</v>
      </c>
      <c r="F125" cm="1">
        <f t="array" ref="F125">Common_InputFunctions.Utility_DisplayArrayInTable(Agresidue_SourceData.CropFractionRemoved_CustomisedData(), Table77[[#Headers],[Crop type c]], 0)</f>
        <v>0.8</v>
      </c>
      <c r="G125" s="22"/>
      <c r="H125" s="22"/>
      <c r="I125" s="22"/>
      <c r="J125" s="22"/>
      <c r="K125" s="22"/>
      <c r="L125" s="22"/>
    </row>
    <row r="126" spans="4:12" ht="20.100000000000001" customHeight="1" x14ac:dyDescent="0.25">
      <c r="D126" s="22" t="str" cm="1">
        <f t="array" ref="D126">Common_InputFunctions.Utility_DisplayArrayInTable(Agresidue_SourceData.CropFractionRemoved_CustomisedData(), Table77[[#Headers],[Crop type c]], 0)</f>
        <v>Forage crops</v>
      </c>
      <c r="E126" t="str" cm="1">
        <f t="array" ref="E126">Common_InputFunctions.Utility_DisplayArrayInTable(Agresidue_SourceData.CropFractionRemoved_CustomisedData(), Table77[[#Headers],[Crop type c]], 0)</f>
        <v>VIC</v>
      </c>
      <c r="F126" cm="1">
        <f t="array" ref="F126">Common_InputFunctions.Utility_DisplayArrayInTable(Agresidue_SourceData.CropFractionRemoved_CustomisedData(), Table77[[#Headers],[Crop type c]], 0)</f>
        <v>0.8</v>
      </c>
      <c r="G126" s="22"/>
      <c r="H126" s="22"/>
      <c r="I126" s="22"/>
      <c r="J126" s="22"/>
      <c r="K126" s="22"/>
      <c r="L126" s="22"/>
    </row>
    <row r="127" spans="4:12" ht="20.100000000000001" customHeight="1" x14ac:dyDescent="0.25">
      <c r="D127" s="22" t="str" cm="1">
        <f t="array" ref="D127">Common_InputFunctions.Utility_DisplayArrayInTable(Agresidue_SourceData.CropFractionRemoved_CustomisedData(), Table77[[#Headers],[Crop type c]], 0)</f>
        <v>Forage crops</v>
      </c>
      <c r="E127" t="str" cm="1">
        <f t="array" ref="E127">Common_InputFunctions.Utility_DisplayArrayInTable(Agresidue_SourceData.CropFractionRemoved_CustomisedData(), Table77[[#Headers],[Crop type c]], 0)</f>
        <v>QLD</v>
      </c>
      <c r="F127" cm="1">
        <f t="array" ref="F127">Common_InputFunctions.Utility_DisplayArrayInTable(Agresidue_SourceData.CropFractionRemoved_CustomisedData(), Table77[[#Headers],[Crop type c]], 0)</f>
        <v>0.8</v>
      </c>
      <c r="G127" s="22"/>
      <c r="H127" s="22"/>
      <c r="I127" s="22"/>
      <c r="J127" s="22"/>
      <c r="K127" s="22"/>
      <c r="L127" s="22"/>
    </row>
    <row r="128" spans="4:12" ht="20.100000000000001" customHeight="1" x14ac:dyDescent="0.25">
      <c r="D128" s="22" t="str" cm="1">
        <f t="array" ref="D128">Common_InputFunctions.Utility_DisplayArrayInTable(Agresidue_SourceData.CropFractionRemoved_CustomisedData(), Table77[[#Headers],[Crop type c]], 0)</f>
        <v>Forage crops</v>
      </c>
      <c r="E128" t="str" cm="1">
        <f t="array" ref="E128">Common_InputFunctions.Utility_DisplayArrayInTable(Agresidue_SourceData.CropFractionRemoved_CustomisedData(), Table77[[#Headers],[Crop type c]], 0)</f>
        <v>SA</v>
      </c>
      <c r="F128" cm="1">
        <f t="array" ref="F128">Common_InputFunctions.Utility_DisplayArrayInTable(Agresidue_SourceData.CropFractionRemoved_CustomisedData(), Table77[[#Headers],[Crop type c]], 0)</f>
        <v>0.8</v>
      </c>
      <c r="G128" s="22"/>
      <c r="H128" s="22"/>
      <c r="I128" s="22"/>
      <c r="J128" s="22"/>
      <c r="K128" s="22"/>
      <c r="L128" s="22"/>
    </row>
    <row r="129" spans="4:12" ht="20.100000000000001" customHeight="1" x14ac:dyDescent="0.25">
      <c r="D129" s="22" t="str" cm="1">
        <f t="array" ref="D129">Common_InputFunctions.Utility_DisplayArrayInTable(Agresidue_SourceData.CropFractionRemoved_CustomisedData(), Table77[[#Headers],[Crop type c]], 0)</f>
        <v>Forage crops</v>
      </c>
      <c r="E129" t="str" cm="1">
        <f t="array" ref="E129">Common_InputFunctions.Utility_DisplayArrayInTable(Agresidue_SourceData.CropFractionRemoved_CustomisedData(), Table77[[#Headers],[Crop type c]], 0)</f>
        <v>WA</v>
      </c>
      <c r="F129" cm="1">
        <f t="array" ref="F129">Common_InputFunctions.Utility_DisplayArrayInTable(Agresidue_SourceData.CropFractionRemoved_CustomisedData(), Table77[[#Headers],[Crop type c]], 0)</f>
        <v>0.8</v>
      </c>
      <c r="G129" s="22"/>
      <c r="H129" s="22"/>
      <c r="I129" s="22"/>
      <c r="J129" s="22"/>
      <c r="K129" s="22"/>
      <c r="L129" s="22"/>
    </row>
    <row r="130" spans="4:12" ht="20.100000000000001" customHeight="1" x14ac:dyDescent="0.25">
      <c r="D130" s="22" t="str" cm="1">
        <f t="array" ref="D130">Common_InputFunctions.Utility_DisplayArrayInTable(Agresidue_SourceData.CropFractionRemoved_CustomisedData(), Table77[[#Headers],[Crop type c]], 0)</f>
        <v>Forage crops</v>
      </c>
      <c r="E130" t="str" cm="1">
        <f t="array" ref="E130">Common_InputFunctions.Utility_DisplayArrayInTable(Agresidue_SourceData.CropFractionRemoved_CustomisedData(), Table77[[#Headers],[Crop type c]], 0)</f>
        <v>TAS</v>
      </c>
      <c r="F130" cm="1">
        <f t="array" ref="F130">Common_InputFunctions.Utility_DisplayArrayInTable(Agresidue_SourceData.CropFractionRemoved_CustomisedData(), Table77[[#Headers],[Crop type c]], 0)</f>
        <v>0.8</v>
      </c>
      <c r="G130" s="22"/>
      <c r="H130" s="22"/>
      <c r="I130" s="22"/>
      <c r="J130" s="22"/>
      <c r="K130" s="22"/>
      <c r="L130" s="22"/>
    </row>
    <row r="131" spans="4:12" ht="20.100000000000001" customHeight="1" x14ac:dyDescent="0.25">
      <c r="D131" s="22" t="str" cm="1">
        <f t="array" ref="D131">Common_InputFunctions.Utility_DisplayArrayInTable(Agresidue_SourceData.CropFractionRemoved_CustomisedData(), Table77[[#Headers],[Crop type c]], 0)</f>
        <v>Forage crops</v>
      </c>
      <c r="E131" t="str" cm="1">
        <f t="array" ref="E131">Common_InputFunctions.Utility_DisplayArrayInTable(Agresidue_SourceData.CropFractionRemoved_CustomisedData(), Table77[[#Headers],[Crop type c]], 0)</f>
        <v>NT</v>
      </c>
      <c r="F131" cm="1">
        <f t="array" ref="F131">Common_InputFunctions.Utility_DisplayArrayInTable(Agresidue_SourceData.CropFractionRemoved_CustomisedData(), Table77[[#Headers],[Crop type c]], 0)</f>
        <v>0.8</v>
      </c>
      <c r="G131" s="22"/>
      <c r="H131" s="22"/>
      <c r="I131" s="22"/>
      <c r="J131" s="22"/>
      <c r="K131" s="22"/>
      <c r="L131" s="22"/>
    </row>
    <row r="132" spans="4:12" ht="20.100000000000001" customHeight="1" x14ac:dyDescent="0.25">
      <c r="D132" s="22" t="str" cm="1">
        <f t="array" ref="D132">Common_InputFunctions.Utility_DisplayArrayInTable(Agresidue_SourceData.CropFractionRemoved_CustomisedData(), Table77[[#Headers],[Crop type c]], 0)</f>
        <v>Forage crops</v>
      </c>
      <c r="E132" t="str" cm="1">
        <f t="array" ref="E132">Common_InputFunctions.Utility_DisplayArrayInTable(Agresidue_SourceData.CropFractionRemoved_CustomisedData(), Table77[[#Headers],[Crop type c]], 0)</f>
        <v>ACT</v>
      </c>
      <c r="F132" cm="1">
        <f t="array" ref="F132">Common_InputFunctions.Utility_DisplayArrayInTable(Agresidue_SourceData.CropFractionRemoved_CustomisedData(), Table77[[#Headers],[Crop type c]], 0)</f>
        <v>0.8</v>
      </c>
      <c r="G132" s="22"/>
      <c r="H132" s="22"/>
      <c r="I132" s="22"/>
      <c r="J132" s="22"/>
      <c r="K132" s="22"/>
      <c r="L132" s="22"/>
    </row>
    <row r="133" spans="4:12" ht="20.100000000000001" customHeight="1" x14ac:dyDescent="0.25">
      <c r="D133" s="22" t="str" cm="1">
        <f t="array" ref="D133">Common_InputFunctions.Utility_DisplayArrayInTable(Agresidue_SourceData.CropFractionRemoved_CustomisedData(), Table77[[#Headers],[Crop type c]], 0)</f>
        <v>Sugar Cane</v>
      </c>
      <c r="E133" t="str" cm="1">
        <f t="array" ref="E133">Common_InputFunctions.Utility_DisplayArrayInTable(Agresidue_SourceData.CropFractionRemoved_CustomisedData(), Table77[[#Headers],[Crop type c]], 0)</f>
        <v>NSW</v>
      </c>
      <c r="F133" cm="1">
        <f t="array" ref="F133">Common_InputFunctions.Utility_DisplayArrayInTable(Agresidue_SourceData.CropFractionRemoved_CustomisedData(), Table77[[#Headers],[Crop type c]], 0)</f>
        <v>0</v>
      </c>
      <c r="G133" s="22"/>
      <c r="H133" s="22"/>
      <c r="I133" s="22"/>
      <c r="J133" s="22"/>
      <c r="K133" s="22"/>
      <c r="L133" s="22"/>
    </row>
    <row r="134" spans="4:12" ht="20.100000000000001" customHeight="1" x14ac:dyDescent="0.25">
      <c r="D134" s="22" t="str" cm="1">
        <f t="array" ref="D134">Common_InputFunctions.Utility_DisplayArrayInTable(Agresidue_SourceData.CropFractionRemoved_CustomisedData(), Table77[[#Headers],[Crop type c]], 0)</f>
        <v>Sugar Cane</v>
      </c>
      <c r="E134" t="str" cm="1">
        <f t="array" ref="E134">Common_InputFunctions.Utility_DisplayArrayInTable(Agresidue_SourceData.CropFractionRemoved_CustomisedData(), Table77[[#Headers],[Crop type c]], 0)</f>
        <v>VIC</v>
      </c>
      <c r="F134" t="str" cm="1">
        <f t="array" ref="F134">Common_InputFunctions.Utility_DisplayArrayInTable(Agresidue_SourceData.CropFractionRemoved_CustomisedData(), Table77[[#Headers],[Crop type c]], 0)</f>
        <v>N/A</v>
      </c>
      <c r="G134" s="22"/>
      <c r="H134" s="22"/>
      <c r="I134" s="22"/>
      <c r="J134" s="22"/>
      <c r="K134" s="22"/>
      <c r="L134" s="22"/>
    </row>
    <row r="135" spans="4:12" ht="20.100000000000001" customHeight="1" x14ac:dyDescent="0.25">
      <c r="D135" s="22" t="str" cm="1">
        <f t="array" ref="D135">Common_InputFunctions.Utility_DisplayArrayInTable(Agresidue_SourceData.CropFractionRemoved_CustomisedData(), Table77[[#Headers],[Crop type c]], 0)</f>
        <v>Sugar Cane</v>
      </c>
      <c r="E135" t="str" cm="1">
        <f t="array" ref="E135">Common_InputFunctions.Utility_DisplayArrayInTable(Agresidue_SourceData.CropFractionRemoved_CustomisedData(), Table77[[#Headers],[Crop type c]], 0)</f>
        <v>QLD</v>
      </c>
      <c r="F135" cm="1">
        <f t="array" ref="F135">Common_InputFunctions.Utility_DisplayArrayInTable(Agresidue_SourceData.CropFractionRemoved_CustomisedData(), Table77[[#Headers],[Crop type c]], 0)</f>
        <v>0.03</v>
      </c>
      <c r="G135" s="22"/>
      <c r="H135" s="22"/>
      <c r="I135" s="22"/>
      <c r="J135" s="22"/>
      <c r="K135" s="22"/>
      <c r="L135" s="22"/>
    </row>
    <row r="136" spans="4:12" ht="20.100000000000001" customHeight="1" x14ac:dyDescent="0.25">
      <c r="D136" s="22" t="str" cm="1">
        <f t="array" ref="D136">Common_InputFunctions.Utility_DisplayArrayInTable(Agresidue_SourceData.CropFractionRemoved_CustomisedData(), Table77[[#Headers],[Crop type c]], 0)</f>
        <v>Sugar Cane</v>
      </c>
      <c r="E136" t="str" cm="1">
        <f t="array" ref="E136">Common_InputFunctions.Utility_DisplayArrayInTable(Agresidue_SourceData.CropFractionRemoved_CustomisedData(), Table77[[#Headers],[Crop type c]], 0)</f>
        <v>SA</v>
      </c>
      <c r="F136" t="str" cm="1">
        <f t="array" ref="F136">Common_InputFunctions.Utility_DisplayArrayInTable(Agresidue_SourceData.CropFractionRemoved_CustomisedData(), Table77[[#Headers],[Crop type c]], 0)</f>
        <v>N/A</v>
      </c>
      <c r="G136" s="22"/>
      <c r="H136" s="22"/>
      <c r="I136" s="22"/>
      <c r="J136" s="22"/>
      <c r="K136" s="22"/>
      <c r="L136" s="22"/>
    </row>
    <row r="137" spans="4:12" ht="20.100000000000001" customHeight="1" x14ac:dyDescent="0.25">
      <c r="D137" s="22" t="str" cm="1">
        <f t="array" ref="D137">Common_InputFunctions.Utility_DisplayArrayInTable(Agresidue_SourceData.CropFractionRemoved_CustomisedData(), Table77[[#Headers],[Crop type c]], 0)</f>
        <v>Sugar Cane</v>
      </c>
      <c r="E137" t="str" cm="1">
        <f t="array" ref="E137">Common_InputFunctions.Utility_DisplayArrayInTable(Agresidue_SourceData.CropFractionRemoved_CustomisedData(), Table77[[#Headers],[Crop type c]], 0)</f>
        <v>WA</v>
      </c>
      <c r="F137" cm="1">
        <f t="array" ref="F137">Common_InputFunctions.Utility_DisplayArrayInTable(Agresidue_SourceData.CropFractionRemoved_CustomisedData(), Table77[[#Headers],[Crop type c]], 0)</f>
        <v>0</v>
      </c>
      <c r="G137" s="22"/>
      <c r="H137" s="22"/>
      <c r="I137" s="22"/>
      <c r="J137" s="22"/>
      <c r="K137" s="22"/>
      <c r="L137" s="22"/>
    </row>
    <row r="138" spans="4:12" ht="20.100000000000001" customHeight="1" x14ac:dyDescent="0.25">
      <c r="D138" s="22" t="str" cm="1">
        <f t="array" ref="D138">Common_InputFunctions.Utility_DisplayArrayInTable(Agresidue_SourceData.CropFractionRemoved_CustomisedData(), Table77[[#Headers],[Crop type c]], 0)</f>
        <v>Sugar Cane</v>
      </c>
      <c r="E138" t="str" cm="1">
        <f t="array" ref="E138">Common_InputFunctions.Utility_DisplayArrayInTable(Agresidue_SourceData.CropFractionRemoved_CustomisedData(), Table77[[#Headers],[Crop type c]], 0)</f>
        <v>TAS</v>
      </c>
      <c r="F138" t="str" cm="1">
        <f t="array" ref="F138">Common_InputFunctions.Utility_DisplayArrayInTable(Agresidue_SourceData.CropFractionRemoved_CustomisedData(), Table77[[#Headers],[Crop type c]], 0)</f>
        <v>N/A</v>
      </c>
      <c r="G138" s="22"/>
      <c r="H138" s="22"/>
      <c r="I138" s="22"/>
      <c r="J138" s="22"/>
      <c r="K138" s="22"/>
      <c r="L138" s="22"/>
    </row>
    <row r="139" spans="4:12" ht="20.100000000000001" customHeight="1" x14ac:dyDescent="0.25">
      <c r="D139" s="22" t="str" cm="1">
        <f t="array" ref="D139">Common_InputFunctions.Utility_DisplayArrayInTable(Agresidue_SourceData.CropFractionRemoved_CustomisedData(), Table77[[#Headers],[Crop type c]], 0)</f>
        <v>Sugar Cane</v>
      </c>
      <c r="E139" t="str" cm="1">
        <f t="array" ref="E139">Common_InputFunctions.Utility_DisplayArrayInTable(Agresidue_SourceData.CropFractionRemoved_CustomisedData(), Table77[[#Headers],[Crop type c]], 0)</f>
        <v>NT</v>
      </c>
      <c r="F139" t="str" cm="1">
        <f t="array" ref="F139">Common_InputFunctions.Utility_DisplayArrayInTable(Agresidue_SourceData.CropFractionRemoved_CustomisedData(), Table77[[#Headers],[Crop type c]], 0)</f>
        <v>N/A</v>
      </c>
      <c r="G139" s="22"/>
      <c r="H139" s="22"/>
      <c r="I139" s="22"/>
      <c r="J139" s="22"/>
      <c r="K139" s="22"/>
      <c r="L139" s="22"/>
    </row>
    <row r="140" spans="4:12" ht="20.100000000000001" customHeight="1" x14ac:dyDescent="0.25">
      <c r="D140" s="22" t="str" cm="1">
        <f t="array" ref="D140">Common_InputFunctions.Utility_DisplayArrayInTable(Agresidue_SourceData.CropFractionRemoved_CustomisedData(), Table77[[#Headers],[Crop type c]], 0)</f>
        <v>Sugar Cane</v>
      </c>
      <c r="E140" t="str" cm="1">
        <f t="array" ref="E140">Common_InputFunctions.Utility_DisplayArrayInTable(Agresidue_SourceData.CropFractionRemoved_CustomisedData(), Table77[[#Headers],[Crop type c]], 0)</f>
        <v>ACT</v>
      </c>
      <c r="F140" t="str" cm="1">
        <f t="array" ref="F140">Common_InputFunctions.Utility_DisplayArrayInTable(Agresidue_SourceData.CropFractionRemoved_CustomisedData(), Table77[[#Headers],[Crop type c]], 0)</f>
        <v>N/A</v>
      </c>
      <c r="G140" s="22"/>
      <c r="H140" s="22"/>
      <c r="I140" s="22"/>
      <c r="J140" s="22"/>
      <c r="K140" s="22"/>
      <c r="L140" s="22"/>
    </row>
    <row r="141" spans="4:12" ht="20.100000000000001" customHeight="1" x14ac:dyDescent="0.25">
      <c r="D141" s="22" t="str" cm="1">
        <f t="array" ref="D141">Common_InputFunctions.Utility_DisplayArrayInTable(Agresidue_SourceData.CropFractionRemoved_CustomisedData(), Table77[[#Headers],[Crop type c]], 0)</f>
        <v>Wheat</v>
      </c>
      <c r="E141" t="str" cm="1">
        <f t="array" ref="E141">Common_InputFunctions.Utility_DisplayArrayInTable(Agresidue_SourceData.CropFractionRemoved_CustomisedData(), Table77[[#Headers],[Crop type c]], 0)</f>
        <v>NSW</v>
      </c>
      <c r="F141" cm="1">
        <f t="array" ref="F141">Common_InputFunctions.Utility_DisplayArrayInTable(Agresidue_SourceData.CropFractionRemoved_CustomisedData(), Table77[[#Headers],[Crop type c]], 0)</f>
        <v>0.05</v>
      </c>
      <c r="G141" s="22"/>
      <c r="H141" s="22"/>
      <c r="I141" s="22"/>
      <c r="J141" s="22"/>
      <c r="K141" s="22"/>
      <c r="L141" s="22"/>
    </row>
    <row r="142" spans="4:12" ht="20.100000000000001" customHeight="1" x14ac:dyDescent="0.25">
      <c r="D142" s="22" t="str" cm="1">
        <f t="array" ref="D142">Common_InputFunctions.Utility_DisplayArrayInTable(Agresidue_SourceData.CropFractionRemoved_CustomisedData(), Table77[[#Headers],[Crop type c]], 0)</f>
        <v>Wheat</v>
      </c>
      <c r="E142" t="str" cm="1">
        <f t="array" ref="E142">Common_InputFunctions.Utility_DisplayArrayInTable(Agresidue_SourceData.CropFractionRemoved_CustomisedData(), Table77[[#Headers],[Crop type c]], 0)</f>
        <v>VIC</v>
      </c>
      <c r="F142" cm="1">
        <f t="array" ref="F142">Common_InputFunctions.Utility_DisplayArrayInTable(Agresidue_SourceData.CropFractionRemoved_CustomisedData(), Table77[[#Headers],[Crop type c]], 0)</f>
        <v>7.0000000000000007E-2</v>
      </c>
      <c r="G142" s="22"/>
      <c r="H142" s="22"/>
      <c r="I142" s="22"/>
      <c r="J142" s="22"/>
      <c r="K142" s="22"/>
      <c r="L142" s="22"/>
    </row>
    <row r="143" spans="4:12" ht="20.100000000000001" customHeight="1" x14ac:dyDescent="0.25">
      <c r="D143" s="22" t="str" cm="1">
        <f t="array" ref="D143">Common_InputFunctions.Utility_DisplayArrayInTable(Agresidue_SourceData.CropFractionRemoved_CustomisedData(), Table77[[#Headers],[Crop type c]], 0)</f>
        <v>Wheat</v>
      </c>
      <c r="E143" t="str" cm="1">
        <f t="array" ref="E143">Common_InputFunctions.Utility_DisplayArrayInTable(Agresidue_SourceData.CropFractionRemoved_CustomisedData(), Table77[[#Headers],[Crop type c]], 0)</f>
        <v>QLD</v>
      </c>
      <c r="F143" cm="1">
        <f t="array" ref="F143">Common_InputFunctions.Utility_DisplayArrayInTable(Agresidue_SourceData.CropFractionRemoved_CustomisedData(), Table77[[#Headers],[Crop type c]], 0)</f>
        <v>0.04</v>
      </c>
      <c r="G143" s="22"/>
      <c r="H143" s="22"/>
      <c r="I143" s="22"/>
      <c r="J143" s="22"/>
      <c r="K143" s="22"/>
      <c r="L143" s="22"/>
    </row>
    <row r="144" spans="4:12" ht="20.100000000000001" customHeight="1" x14ac:dyDescent="0.25">
      <c r="D144" s="22" t="str" cm="1">
        <f t="array" ref="D144">Common_InputFunctions.Utility_DisplayArrayInTable(Agresidue_SourceData.CropFractionRemoved_CustomisedData(), Table77[[#Headers],[Crop type c]], 0)</f>
        <v>Wheat</v>
      </c>
      <c r="E144" t="str" cm="1">
        <f t="array" ref="E144">Common_InputFunctions.Utility_DisplayArrayInTable(Agresidue_SourceData.CropFractionRemoved_CustomisedData(), Table77[[#Headers],[Crop type c]], 0)</f>
        <v>SA</v>
      </c>
      <c r="F144" cm="1">
        <f t="array" ref="F144">Common_InputFunctions.Utility_DisplayArrayInTable(Agresidue_SourceData.CropFractionRemoved_CustomisedData(), Table77[[#Headers],[Crop type c]], 0)</f>
        <v>0.09</v>
      </c>
      <c r="G144" s="22"/>
      <c r="H144" s="22"/>
      <c r="I144" s="22"/>
      <c r="J144" s="22"/>
      <c r="K144" s="22"/>
      <c r="L144" s="22"/>
    </row>
    <row r="145" spans="4:12" ht="20.100000000000001" customHeight="1" x14ac:dyDescent="0.25">
      <c r="D145" s="22" t="str" cm="1">
        <f t="array" ref="D145">Common_InputFunctions.Utility_DisplayArrayInTable(Agresidue_SourceData.CropFractionRemoved_CustomisedData(), Table77[[#Headers],[Crop type c]], 0)</f>
        <v>Wheat</v>
      </c>
      <c r="E145" t="str" cm="1">
        <f t="array" ref="E145">Common_InputFunctions.Utility_DisplayArrayInTable(Agresidue_SourceData.CropFractionRemoved_CustomisedData(), Table77[[#Headers],[Crop type c]], 0)</f>
        <v>WA</v>
      </c>
      <c r="F145" cm="1">
        <f t="array" ref="F145">Common_InputFunctions.Utility_DisplayArrayInTable(Agresidue_SourceData.CropFractionRemoved_CustomisedData(), Table77[[#Headers],[Crop type c]], 0)</f>
        <v>0.11</v>
      </c>
      <c r="G145" s="22"/>
      <c r="H145" s="22"/>
      <c r="I145" s="22"/>
      <c r="J145" s="22"/>
      <c r="K145" s="22"/>
      <c r="L145" s="22"/>
    </row>
    <row r="146" spans="4:12" ht="20.100000000000001" customHeight="1" x14ac:dyDescent="0.25">
      <c r="D146" s="22" t="str" cm="1">
        <f t="array" ref="D146">Common_InputFunctions.Utility_DisplayArrayInTable(Agresidue_SourceData.CropFractionRemoved_CustomisedData(), Table77[[#Headers],[Crop type c]], 0)</f>
        <v>Wheat</v>
      </c>
      <c r="E146" t="str" cm="1">
        <f t="array" ref="E146">Common_InputFunctions.Utility_DisplayArrayInTable(Agresidue_SourceData.CropFractionRemoved_CustomisedData(), Table77[[#Headers],[Crop type c]], 0)</f>
        <v>TAS</v>
      </c>
      <c r="F146" cm="1">
        <f t="array" ref="F146">Common_InputFunctions.Utility_DisplayArrayInTable(Agresidue_SourceData.CropFractionRemoved_CustomisedData(), Table77[[#Headers],[Crop type c]], 0)</f>
        <v>0.16</v>
      </c>
      <c r="G146" s="22"/>
      <c r="H146" s="22"/>
      <c r="I146" s="22"/>
      <c r="J146" s="22"/>
      <c r="K146" s="22"/>
      <c r="L146" s="22"/>
    </row>
    <row r="147" spans="4:12" ht="20.100000000000001" customHeight="1" x14ac:dyDescent="0.25">
      <c r="D147" s="22" t="str" cm="1">
        <f t="array" ref="D147">Common_InputFunctions.Utility_DisplayArrayInTable(Agresidue_SourceData.CropFractionRemoved_CustomisedData(), Table77[[#Headers],[Crop type c]], 0)</f>
        <v>Wheat</v>
      </c>
      <c r="E147" t="str" cm="1">
        <f t="array" ref="E147">Common_InputFunctions.Utility_DisplayArrayInTable(Agresidue_SourceData.CropFractionRemoved_CustomisedData(), Table77[[#Headers],[Crop type c]], 0)</f>
        <v>NT</v>
      </c>
      <c r="F147" cm="1">
        <f t="array" ref="F147">Common_InputFunctions.Utility_DisplayArrayInTable(Agresidue_SourceData.CropFractionRemoved_CustomisedData(), Table77[[#Headers],[Crop type c]], 0)</f>
        <v>0.01</v>
      </c>
      <c r="G147" s="22"/>
      <c r="H147" s="22"/>
      <c r="I147" s="22"/>
      <c r="J147" s="22"/>
      <c r="K147" s="22"/>
      <c r="L147" s="22"/>
    </row>
    <row r="148" spans="4:12" ht="20.100000000000001" customHeight="1" x14ac:dyDescent="0.25">
      <c r="D148" s="22" t="str" cm="1">
        <f t="array" ref="D148">Common_InputFunctions.Utility_DisplayArrayInTable(Agresidue_SourceData.CropFractionRemoved_CustomisedData(), Table77[[#Headers],[Crop type c]], 0)</f>
        <v>Wheat</v>
      </c>
      <c r="E148" t="str" cm="1">
        <f t="array" ref="E148">Common_InputFunctions.Utility_DisplayArrayInTable(Agresidue_SourceData.CropFractionRemoved_CustomisedData(), Table77[[#Headers],[Crop type c]], 0)</f>
        <v>ACT</v>
      </c>
      <c r="F148" cm="1">
        <f t="array" ref="F148">Common_InputFunctions.Utility_DisplayArrayInTable(Agresidue_SourceData.CropFractionRemoved_CustomisedData(), Table77[[#Headers],[Crop type c]], 0)</f>
        <v>0</v>
      </c>
      <c r="G148" s="22"/>
      <c r="H148" s="22"/>
      <c r="I148" s="22"/>
      <c r="J148" s="22"/>
      <c r="K148" s="22"/>
      <c r="L148" s="22"/>
    </row>
    <row r="149" spans="4:12" ht="20.100000000000001" customHeight="1" x14ac:dyDescent="0.25">
      <c r="D149" s="22" t="str" cm="1">
        <f t="array" ref="D149">Common_InputFunctions.Utility_DisplayArrayInTable(Agresidue_SourceData.CropFractionRemoved_CustomisedData(), Table77[[#Headers],[Crop type c]], 0)</f>
        <v>Barley</v>
      </c>
      <c r="E149" t="str" cm="1">
        <f t="array" ref="E149">Common_InputFunctions.Utility_DisplayArrayInTable(Agresidue_SourceData.CropFractionRemoved_CustomisedData(), Table77[[#Headers],[Crop type c]], 0)</f>
        <v>NSW</v>
      </c>
      <c r="F149" cm="1">
        <f t="array" ref="F149">Common_InputFunctions.Utility_DisplayArrayInTable(Agresidue_SourceData.CropFractionRemoved_CustomisedData(), Table77[[#Headers],[Crop type c]], 0)</f>
        <v>0.05</v>
      </c>
      <c r="G149" s="22"/>
      <c r="H149" s="22"/>
      <c r="I149" s="22"/>
      <c r="J149" s="22"/>
      <c r="K149" s="22"/>
      <c r="L149" s="22"/>
    </row>
    <row r="150" spans="4:12" ht="20.100000000000001" customHeight="1" x14ac:dyDescent="0.25">
      <c r="D150" s="22" t="str" cm="1">
        <f t="array" ref="D150">Common_InputFunctions.Utility_DisplayArrayInTable(Agresidue_SourceData.CropFractionRemoved_CustomisedData(), Table77[[#Headers],[Crop type c]], 0)</f>
        <v>Barley</v>
      </c>
      <c r="E150" t="str" cm="1">
        <f t="array" ref="E150">Common_InputFunctions.Utility_DisplayArrayInTable(Agresidue_SourceData.CropFractionRemoved_CustomisedData(), Table77[[#Headers],[Crop type c]], 0)</f>
        <v>VIC</v>
      </c>
      <c r="F150" cm="1">
        <f t="array" ref="F150">Common_InputFunctions.Utility_DisplayArrayInTable(Agresidue_SourceData.CropFractionRemoved_CustomisedData(), Table77[[#Headers],[Crop type c]], 0)</f>
        <v>7.0000000000000007E-2</v>
      </c>
      <c r="G150" s="22"/>
      <c r="H150" s="22"/>
      <c r="I150" s="22"/>
      <c r="J150" s="22"/>
      <c r="K150" s="22"/>
      <c r="L150" s="22"/>
    </row>
    <row r="151" spans="4:12" ht="20.100000000000001" customHeight="1" x14ac:dyDescent="0.25">
      <c r="D151" s="22" t="str" cm="1">
        <f t="array" ref="D151">Common_InputFunctions.Utility_DisplayArrayInTable(Agresidue_SourceData.CropFractionRemoved_CustomisedData(), Table77[[#Headers],[Crop type c]], 0)</f>
        <v>Barley</v>
      </c>
      <c r="E151" t="str" cm="1">
        <f t="array" ref="E151">Common_InputFunctions.Utility_DisplayArrayInTable(Agresidue_SourceData.CropFractionRemoved_CustomisedData(), Table77[[#Headers],[Crop type c]], 0)</f>
        <v>QLD</v>
      </c>
      <c r="F151" cm="1">
        <f t="array" ref="F151">Common_InputFunctions.Utility_DisplayArrayInTable(Agresidue_SourceData.CropFractionRemoved_CustomisedData(), Table77[[#Headers],[Crop type c]], 0)</f>
        <v>0.04</v>
      </c>
      <c r="G151" s="22"/>
      <c r="H151" s="22"/>
      <c r="I151" s="22"/>
      <c r="J151" s="22"/>
      <c r="K151" s="22"/>
      <c r="L151" s="22"/>
    </row>
    <row r="152" spans="4:12" ht="20.100000000000001" customHeight="1" x14ac:dyDescent="0.25">
      <c r="D152" s="22" t="str" cm="1">
        <f t="array" ref="D152">Common_InputFunctions.Utility_DisplayArrayInTable(Agresidue_SourceData.CropFractionRemoved_CustomisedData(), Table77[[#Headers],[Crop type c]], 0)</f>
        <v>Barley</v>
      </c>
      <c r="E152" t="str" cm="1">
        <f t="array" ref="E152">Common_InputFunctions.Utility_DisplayArrayInTable(Agresidue_SourceData.CropFractionRemoved_CustomisedData(), Table77[[#Headers],[Crop type c]], 0)</f>
        <v>SA</v>
      </c>
      <c r="F152" cm="1">
        <f t="array" ref="F152">Common_InputFunctions.Utility_DisplayArrayInTable(Agresidue_SourceData.CropFractionRemoved_CustomisedData(), Table77[[#Headers],[Crop type c]], 0)</f>
        <v>0.09</v>
      </c>
      <c r="G152" s="22"/>
      <c r="H152" s="22"/>
      <c r="I152" s="22"/>
      <c r="J152" s="22"/>
      <c r="K152" s="22"/>
      <c r="L152" s="22"/>
    </row>
    <row r="153" spans="4:12" ht="20.100000000000001" customHeight="1" x14ac:dyDescent="0.25">
      <c r="D153" s="22" t="str" cm="1">
        <f t="array" ref="D153">Common_InputFunctions.Utility_DisplayArrayInTable(Agresidue_SourceData.CropFractionRemoved_CustomisedData(), Table77[[#Headers],[Crop type c]], 0)</f>
        <v>Barley</v>
      </c>
      <c r="E153" t="str" cm="1">
        <f t="array" ref="E153">Common_InputFunctions.Utility_DisplayArrayInTable(Agresidue_SourceData.CropFractionRemoved_CustomisedData(), Table77[[#Headers],[Crop type c]], 0)</f>
        <v>WA</v>
      </c>
      <c r="F153" cm="1">
        <f t="array" ref="F153">Common_InputFunctions.Utility_DisplayArrayInTable(Agresidue_SourceData.CropFractionRemoved_CustomisedData(), Table77[[#Headers],[Crop type c]], 0)</f>
        <v>0.11</v>
      </c>
      <c r="G153" s="22"/>
      <c r="H153" s="22"/>
      <c r="I153" s="22"/>
      <c r="J153" s="22"/>
      <c r="K153" s="22"/>
      <c r="L153" s="22"/>
    </row>
    <row r="154" spans="4:12" ht="20.100000000000001" customHeight="1" x14ac:dyDescent="0.25">
      <c r="D154" s="22" t="str" cm="1">
        <f t="array" ref="D154">Common_InputFunctions.Utility_DisplayArrayInTable(Agresidue_SourceData.CropFractionRemoved_CustomisedData(), Table77[[#Headers],[Crop type c]], 0)</f>
        <v>Barley</v>
      </c>
      <c r="E154" t="str" cm="1">
        <f t="array" ref="E154">Common_InputFunctions.Utility_DisplayArrayInTable(Agresidue_SourceData.CropFractionRemoved_CustomisedData(), Table77[[#Headers],[Crop type c]], 0)</f>
        <v>TAS</v>
      </c>
      <c r="F154" cm="1">
        <f t="array" ref="F154">Common_InputFunctions.Utility_DisplayArrayInTable(Agresidue_SourceData.CropFractionRemoved_CustomisedData(), Table77[[#Headers],[Crop type c]], 0)</f>
        <v>0.16</v>
      </c>
      <c r="G154" s="22"/>
      <c r="H154" s="22"/>
      <c r="I154" s="22"/>
      <c r="J154" s="22"/>
      <c r="K154" s="22"/>
      <c r="L154" s="22"/>
    </row>
    <row r="155" spans="4:12" ht="20.100000000000001" customHeight="1" x14ac:dyDescent="0.25">
      <c r="D155" s="22" t="str" cm="1">
        <f t="array" ref="D155">Common_InputFunctions.Utility_DisplayArrayInTable(Agresidue_SourceData.CropFractionRemoved_CustomisedData(), Table77[[#Headers],[Crop type c]], 0)</f>
        <v>Barley</v>
      </c>
      <c r="E155" t="str" cm="1">
        <f t="array" ref="E155">Common_InputFunctions.Utility_DisplayArrayInTable(Agresidue_SourceData.CropFractionRemoved_CustomisedData(), Table77[[#Headers],[Crop type c]], 0)</f>
        <v>NT</v>
      </c>
      <c r="F155" cm="1">
        <f t="array" ref="F155">Common_InputFunctions.Utility_DisplayArrayInTable(Agresidue_SourceData.CropFractionRemoved_CustomisedData(), Table77[[#Headers],[Crop type c]], 0)</f>
        <v>0.01</v>
      </c>
      <c r="G155" s="22"/>
      <c r="H155" s="22"/>
      <c r="I155" s="22"/>
      <c r="J155" s="22"/>
      <c r="K155" s="22"/>
      <c r="L155" s="22"/>
    </row>
    <row r="156" spans="4:12" ht="20.100000000000001" customHeight="1" x14ac:dyDescent="0.25">
      <c r="D156" s="22" t="str" cm="1">
        <f t="array" ref="D156">Common_InputFunctions.Utility_DisplayArrayInTable(Agresidue_SourceData.CropFractionRemoved_CustomisedData(), Table77[[#Headers],[Crop type c]], 0)</f>
        <v>Barley</v>
      </c>
      <c r="E156" t="str" cm="1">
        <f t="array" ref="E156">Common_InputFunctions.Utility_DisplayArrayInTable(Agresidue_SourceData.CropFractionRemoved_CustomisedData(), Table77[[#Headers],[Crop type c]], 0)</f>
        <v>ACT</v>
      </c>
      <c r="F156" cm="1">
        <f t="array" ref="F156">Common_InputFunctions.Utility_DisplayArrayInTable(Agresidue_SourceData.CropFractionRemoved_CustomisedData(), Table77[[#Headers],[Crop type c]], 0)</f>
        <v>0</v>
      </c>
      <c r="G156" s="22"/>
      <c r="H156" s="22"/>
      <c r="I156" s="22"/>
      <c r="J156" s="22"/>
      <c r="K156" s="22"/>
      <c r="L156" s="22"/>
    </row>
    <row r="157" spans="4:12" ht="20.100000000000001" customHeight="1" x14ac:dyDescent="0.25">
      <c r="D157" s="22" t="str" cm="1">
        <f t="array" ref="D157">Common_InputFunctions.Utility_DisplayArrayInTable(Agresidue_SourceData.CropFractionRemoved_CustomisedData(), Table77[[#Headers],[Crop type c]], 0)</f>
        <v>Maize</v>
      </c>
      <c r="E157" t="str" cm="1">
        <f t="array" ref="E157">Common_InputFunctions.Utility_DisplayArrayInTable(Agresidue_SourceData.CropFractionRemoved_CustomisedData(), Table77[[#Headers],[Crop type c]], 0)</f>
        <v>NSW</v>
      </c>
      <c r="F157" cm="1">
        <f t="array" ref="F157">Common_InputFunctions.Utility_DisplayArrayInTable(Agresidue_SourceData.CropFractionRemoved_CustomisedData(), Table77[[#Headers],[Crop type c]], 0)</f>
        <v>0.05</v>
      </c>
      <c r="G157" s="22"/>
      <c r="H157" s="22"/>
      <c r="I157" s="22"/>
      <c r="J157" s="22"/>
      <c r="K157" s="22"/>
      <c r="L157" s="22"/>
    </row>
    <row r="158" spans="4:12" ht="20.100000000000001" customHeight="1" x14ac:dyDescent="0.25">
      <c r="D158" s="22" t="str" cm="1">
        <f t="array" ref="D158">Common_InputFunctions.Utility_DisplayArrayInTable(Agresidue_SourceData.CropFractionRemoved_CustomisedData(), Table77[[#Headers],[Crop type c]], 0)</f>
        <v>Maize</v>
      </c>
      <c r="E158" t="str" cm="1">
        <f t="array" ref="E158">Common_InputFunctions.Utility_DisplayArrayInTable(Agresidue_SourceData.CropFractionRemoved_CustomisedData(), Table77[[#Headers],[Crop type c]], 0)</f>
        <v>VIC</v>
      </c>
      <c r="F158" cm="1">
        <f t="array" ref="F158">Common_InputFunctions.Utility_DisplayArrayInTable(Agresidue_SourceData.CropFractionRemoved_CustomisedData(), Table77[[#Headers],[Crop type c]], 0)</f>
        <v>7.0000000000000007E-2</v>
      </c>
      <c r="G158" s="22"/>
      <c r="H158" s="22"/>
      <c r="I158" s="22"/>
      <c r="J158" s="22"/>
      <c r="K158" s="22"/>
      <c r="L158" s="22"/>
    </row>
    <row r="159" spans="4:12" ht="20.100000000000001" customHeight="1" x14ac:dyDescent="0.25">
      <c r="D159" s="22" t="str" cm="1">
        <f t="array" ref="D159">Common_InputFunctions.Utility_DisplayArrayInTable(Agresidue_SourceData.CropFractionRemoved_CustomisedData(), Table77[[#Headers],[Crop type c]], 0)</f>
        <v>Maize</v>
      </c>
      <c r="E159" t="str" cm="1">
        <f t="array" ref="E159">Common_InputFunctions.Utility_DisplayArrayInTable(Agresidue_SourceData.CropFractionRemoved_CustomisedData(), Table77[[#Headers],[Crop type c]], 0)</f>
        <v>QLD</v>
      </c>
      <c r="F159" cm="1">
        <f t="array" ref="F159">Common_InputFunctions.Utility_DisplayArrayInTable(Agresidue_SourceData.CropFractionRemoved_CustomisedData(), Table77[[#Headers],[Crop type c]], 0)</f>
        <v>0.04</v>
      </c>
      <c r="G159" s="22"/>
      <c r="H159" s="22"/>
      <c r="I159" s="22"/>
      <c r="J159" s="22"/>
      <c r="K159" s="22"/>
      <c r="L159" s="22"/>
    </row>
    <row r="160" spans="4:12" ht="20.100000000000001" customHeight="1" x14ac:dyDescent="0.25">
      <c r="D160" s="22" t="str" cm="1">
        <f t="array" ref="D160">Common_InputFunctions.Utility_DisplayArrayInTable(Agresidue_SourceData.CropFractionRemoved_CustomisedData(), Table77[[#Headers],[Crop type c]], 0)</f>
        <v>Maize</v>
      </c>
      <c r="E160" t="str" cm="1">
        <f t="array" ref="E160">Common_InputFunctions.Utility_DisplayArrayInTable(Agresidue_SourceData.CropFractionRemoved_CustomisedData(), Table77[[#Headers],[Crop type c]], 0)</f>
        <v>SA</v>
      </c>
      <c r="F160" cm="1">
        <f t="array" ref="F160">Common_InputFunctions.Utility_DisplayArrayInTable(Agresidue_SourceData.CropFractionRemoved_CustomisedData(), Table77[[#Headers],[Crop type c]], 0)</f>
        <v>0.09</v>
      </c>
      <c r="G160" s="22"/>
      <c r="H160" s="22"/>
      <c r="I160" s="22"/>
      <c r="J160" s="22"/>
      <c r="K160" s="22"/>
      <c r="L160" s="22"/>
    </row>
    <row r="161" spans="4:12" ht="20.100000000000001" customHeight="1" x14ac:dyDescent="0.25">
      <c r="D161" s="22" t="str" cm="1">
        <f t="array" ref="D161">Common_InputFunctions.Utility_DisplayArrayInTable(Agresidue_SourceData.CropFractionRemoved_CustomisedData(), Table77[[#Headers],[Crop type c]], 0)</f>
        <v>Maize</v>
      </c>
      <c r="E161" t="str" cm="1">
        <f t="array" ref="E161">Common_InputFunctions.Utility_DisplayArrayInTable(Agresidue_SourceData.CropFractionRemoved_CustomisedData(), Table77[[#Headers],[Crop type c]], 0)</f>
        <v>WA</v>
      </c>
      <c r="F161" cm="1">
        <f t="array" ref="F161">Common_InputFunctions.Utility_DisplayArrayInTable(Agresidue_SourceData.CropFractionRemoved_CustomisedData(), Table77[[#Headers],[Crop type c]], 0)</f>
        <v>0.11</v>
      </c>
      <c r="G161" s="22"/>
      <c r="H161" s="22"/>
      <c r="I161" s="22"/>
      <c r="J161" s="22"/>
      <c r="K161" s="22"/>
      <c r="L161" s="22"/>
    </row>
    <row r="162" spans="4:12" ht="20.100000000000001" customHeight="1" x14ac:dyDescent="0.25">
      <c r="D162" s="22" t="str" cm="1">
        <f t="array" ref="D162">Common_InputFunctions.Utility_DisplayArrayInTable(Agresidue_SourceData.CropFractionRemoved_CustomisedData(), Table77[[#Headers],[Crop type c]], 0)</f>
        <v>Maize</v>
      </c>
      <c r="E162" t="str" cm="1">
        <f t="array" ref="E162">Common_InputFunctions.Utility_DisplayArrayInTable(Agresidue_SourceData.CropFractionRemoved_CustomisedData(), Table77[[#Headers],[Crop type c]], 0)</f>
        <v>TAS</v>
      </c>
      <c r="F162" cm="1">
        <f t="array" ref="F162">Common_InputFunctions.Utility_DisplayArrayInTable(Agresidue_SourceData.CropFractionRemoved_CustomisedData(), Table77[[#Headers],[Crop type c]], 0)</f>
        <v>0.16</v>
      </c>
      <c r="G162" s="22"/>
      <c r="H162" s="22"/>
      <c r="I162" s="22"/>
      <c r="J162" s="22"/>
      <c r="K162" s="22"/>
      <c r="L162" s="22"/>
    </row>
    <row r="163" spans="4:12" ht="20.100000000000001" customHeight="1" x14ac:dyDescent="0.25">
      <c r="D163" s="22" t="str" cm="1">
        <f t="array" ref="D163">Common_InputFunctions.Utility_DisplayArrayInTable(Agresidue_SourceData.CropFractionRemoved_CustomisedData(), Table77[[#Headers],[Crop type c]], 0)</f>
        <v>Maize</v>
      </c>
      <c r="E163" t="str" cm="1">
        <f t="array" ref="E163">Common_InputFunctions.Utility_DisplayArrayInTable(Agresidue_SourceData.CropFractionRemoved_CustomisedData(), Table77[[#Headers],[Crop type c]], 0)</f>
        <v>NT</v>
      </c>
      <c r="F163" cm="1">
        <f t="array" ref="F163">Common_InputFunctions.Utility_DisplayArrayInTable(Agresidue_SourceData.CropFractionRemoved_CustomisedData(), Table77[[#Headers],[Crop type c]], 0)</f>
        <v>0.01</v>
      </c>
      <c r="G163" s="22"/>
      <c r="H163" s="22"/>
      <c r="I163" s="22"/>
      <c r="J163" s="22"/>
      <c r="K163" s="22"/>
      <c r="L163" s="22"/>
    </row>
    <row r="164" spans="4:12" ht="20.100000000000001" customHeight="1" x14ac:dyDescent="0.25">
      <c r="D164" s="22" t="str" cm="1">
        <f t="array" ref="D164">Common_InputFunctions.Utility_DisplayArrayInTable(Agresidue_SourceData.CropFractionRemoved_CustomisedData(), Table77[[#Headers],[Crop type c]], 0)</f>
        <v>Maize</v>
      </c>
      <c r="E164" t="str" cm="1">
        <f t="array" ref="E164">Common_InputFunctions.Utility_DisplayArrayInTable(Agresidue_SourceData.CropFractionRemoved_CustomisedData(), Table77[[#Headers],[Crop type c]], 0)</f>
        <v>ACT</v>
      </c>
      <c r="F164" cm="1">
        <f t="array" ref="F164">Common_InputFunctions.Utility_DisplayArrayInTable(Agresidue_SourceData.CropFractionRemoved_CustomisedData(), Table77[[#Headers],[Crop type c]], 0)</f>
        <v>0</v>
      </c>
      <c r="G164" s="22"/>
      <c r="H164" s="22"/>
      <c r="I164" s="22"/>
      <c r="J164" s="22"/>
      <c r="K164" s="22"/>
      <c r="L164" s="22"/>
    </row>
    <row r="165" spans="4:12" ht="20.100000000000001" customHeight="1" x14ac:dyDescent="0.25">
      <c r="D165" s="22" t="str" cm="1">
        <f t="array" ref="D165">Common_InputFunctions.Utility_DisplayArrayInTable(Agresidue_SourceData.CropFractionRemoved_CustomisedData(), Table77[[#Headers],[Crop type c]], 0)</f>
        <v>Oats</v>
      </c>
      <c r="E165" t="str" cm="1">
        <f t="array" ref="E165">Common_InputFunctions.Utility_DisplayArrayInTable(Agresidue_SourceData.CropFractionRemoved_CustomisedData(), Table77[[#Headers],[Crop type c]], 0)</f>
        <v>NSW</v>
      </c>
      <c r="F165" cm="1">
        <f t="array" ref="F165">Common_InputFunctions.Utility_DisplayArrayInTable(Agresidue_SourceData.CropFractionRemoved_CustomisedData(), Table77[[#Headers],[Crop type c]], 0)</f>
        <v>0.05</v>
      </c>
      <c r="G165" s="22"/>
      <c r="H165" s="22"/>
      <c r="I165" s="22"/>
      <c r="J165" s="22"/>
      <c r="K165" s="22"/>
      <c r="L165" s="22"/>
    </row>
    <row r="166" spans="4:12" x14ac:dyDescent="0.25">
      <c r="D166" s="22" t="str" cm="1">
        <f t="array" ref="D166">Common_InputFunctions.Utility_DisplayArrayInTable(Agresidue_SourceData.CropFractionRemoved_CustomisedData(), Table77[[#Headers],[Crop type c]], 0)</f>
        <v>Oats</v>
      </c>
      <c r="E166" t="str" cm="1">
        <f t="array" ref="E166">Common_InputFunctions.Utility_DisplayArrayInTable(Agresidue_SourceData.CropFractionRemoved_CustomisedData(), Table77[[#Headers],[Crop type c]], 0)</f>
        <v>VIC</v>
      </c>
      <c r="F166" cm="1">
        <f t="array" ref="F166">Common_InputFunctions.Utility_DisplayArrayInTable(Agresidue_SourceData.CropFractionRemoved_CustomisedData(), Table77[[#Headers],[Crop type c]], 0)</f>
        <v>7.0000000000000007E-2</v>
      </c>
      <c r="G166" s="22"/>
      <c r="H166" s="22"/>
      <c r="I166" s="22"/>
      <c r="J166" s="22"/>
      <c r="K166" s="22"/>
      <c r="L166" s="22"/>
    </row>
    <row r="167" spans="4:12" x14ac:dyDescent="0.25">
      <c r="D167" s="22" t="str" cm="1">
        <f t="array" ref="D167">Common_InputFunctions.Utility_DisplayArrayInTable(Agresidue_SourceData.CropFractionRemoved_CustomisedData(), Table77[[#Headers],[Crop type c]], 0)</f>
        <v>Oats</v>
      </c>
      <c r="E167" t="str" cm="1">
        <f t="array" ref="E167">Common_InputFunctions.Utility_DisplayArrayInTable(Agresidue_SourceData.CropFractionRemoved_CustomisedData(), Table77[[#Headers],[Crop type c]], 0)</f>
        <v>QLD</v>
      </c>
      <c r="F167" cm="1">
        <f t="array" ref="F167">Common_InputFunctions.Utility_DisplayArrayInTable(Agresidue_SourceData.CropFractionRemoved_CustomisedData(), Table77[[#Headers],[Crop type c]], 0)</f>
        <v>0.04</v>
      </c>
      <c r="G167" s="22"/>
      <c r="H167" s="22"/>
      <c r="I167" s="22"/>
      <c r="J167" s="22"/>
      <c r="K167" s="22"/>
      <c r="L167" s="22"/>
    </row>
    <row r="168" spans="4:12" x14ac:dyDescent="0.25">
      <c r="D168" s="22" t="str" cm="1">
        <f t="array" ref="D168">Common_InputFunctions.Utility_DisplayArrayInTable(Agresidue_SourceData.CropFractionRemoved_CustomisedData(), Table77[[#Headers],[Crop type c]], 0)</f>
        <v>Oats</v>
      </c>
      <c r="E168" t="str" cm="1">
        <f t="array" ref="E168">Common_InputFunctions.Utility_DisplayArrayInTable(Agresidue_SourceData.CropFractionRemoved_CustomisedData(), Table77[[#Headers],[Crop type c]], 0)</f>
        <v>SA</v>
      </c>
      <c r="F168" cm="1">
        <f t="array" ref="F168">Common_InputFunctions.Utility_DisplayArrayInTable(Agresidue_SourceData.CropFractionRemoved_CustomisedData(), Table77[[#Headers],[Crop type c]], 0)</f>
        <v>0.09</v>
      </c>
      <c r="G168" s="22"/>
      <c r="H168" s="22"/>
      <c r="I168" s="22"/>
      <c r="J168" s="22"/>
      <c r="K168" s="22"/>
      <c r="L168" s="22"/>
    </row>
    <row r="169" spans="4:12" x14ac:dyDescent="0.25">
      <c r="D169" s="22" t="str" cm="1">
        <f t="array" ref="D169">Common_InputFunctions.Utility_DisplayArrayInTable(Agresidue_SourceData.CropFractionRemoved_CustomisedData(), Table77[[#Headers],[Crop type c]], 0)</f>
        <v>Oats</v>
      </c>
      <c r="E169" t="str" cm="1">
        <f t="array" ref="E169">Common_InputFunctions.Utility_DisplayArrayInTable(Agresidue_SourceData.CropFractionRemoved_CustomisedData(), Table77[[#Headers],[Crop type c]], 0)</f>
        <v>WA</v>
      </c>
      <c r="F169" cm="1">
        <f t="array" ref="F169">Common_InputFunctions.Utility_DisplayArrayInTable(Agresidue_SourceData.CropFractionRemoved_CustomisedData(), Table77[[#Headers],[Crop type c]], 0)</f>
        <v>0.11</v>
      </c>
      <c r="G169" s="22"/>
      <c r="H169" s="22"/>
      <c r="I169" s="22"/>
      <c r="J169" s="22"/>
      <c r="K169" s="22"/>
      <c r="L169" s="22"/>
    </row>
    <row r="170" spans="4:12" x14ac:dyDescent="0.25">
      <c r="D170" s="22" t="str" cm="1">
        <f t="array" ref="D170">Common_InputFunctions.Utility_DisplayArrayInTable(Agresidue_SourceData.CropFractionRemoved_CustomisedData(), Table77[[#Headers],[Crop type c]], 0)</f>
        <v>Oats</v>
      </c>
      <c r="E170" t="str" cm="1">
        <f t="array" ref="E170">Common_InputFunctions.Utility_DisplayArrayInTable(Agresidue_SourceData.CropFractionRemoved_CustomisedData(), Table77[[#Headers],[Crop type c]], 0)</f>
        <v>TAS</v>
      </c>
      <c r="F170" cm="1">
        <f t="array" ref="F170">Common_InputFunctions.Utility_DisplayArrayInTable(Agresidue_SourceData.CropFractionRemoved_CustomisedData(), Table77[[#Headers],[Crop type c]], 0)</f>
        <v>0.16</v>
      </c>
      <c r="G170" s="22"/>
      <c r="H170" s="22"/>
      <c r="I170" s="22"/>
      <c r="J170" s="22"/>
      <c r="K170" s="22"/>
      <c r="L170" s="22"/>
    </row>
    <row r="171" spans="4:12" x14ac:dyDescent="0.25">
      <c r="D171" s="22" t="str" cm="1">
        <f t="array" ref="D171">Common_InputFunctions.Utility_DisplayArrayInTable(Agresidue_SourceData.CropFractionRemoved_CustomisedData(), Table77[[#Headers],[Crop type c]], 0)</f>
        <v>Oats</v>
      </c>
      <c r="E171" t="str" cm="1">
        <f t="array" ref="E171">Common_InputFunctions.Utility_DisplayArrayInTable(Agresidue_SourceData.CropFractionRemoved_CustomisedData(), Table77[[#Headers],[Crop type c]], 0)</f>
        <v>NT</v>
      </c>
      <c r="F171" cm="1">
        <f t="array" ref="F171">Common_InputFunctions.Utility_DisplayArrayInTable(Agresidue_SourceData.CropFractionRemoved_CustomisedData(), Table77[[#Headers],[Crop type c]], 0)</f>
        <v>0.01</v>
      </c>
      <c r="G171" s="22"/>
      <c r="H171" s="22"/>
      <c r="I171" s="22"/>
      <c r="J171" s="22"/>
      <c r="K171" s="22"/>
      <c r="L171" s="22"/>
    </row>
    <row r="172" spans="4:12" x14ac:dyDescent="0.25">
      <c r="D172" s="22" t="str" cm="1">
        <f t="array" ref="D172">Common_InputFunctions.Utility_DisplayArrayInTable(Agresidue_SourceData.CropFractionRemoved_CustomisedData(), Table77[[#Headers],[Crop type c]], 0)</f>
        <v>Oats</v>
      </c>
      <c r="E172" t="str" cm="1">
        <f t="array" ref="E172">Common_InputFunctions.Utility_DisplayArrayInTable(Agresidue_SourceData.CropFractionRemoved_CustomisedData(), Table77[[#Headers],[Crop type c]], 0)</f>
        <v>ACT</v>
      </c>
      <c r="F172" cm="1">
        <f t="array" ref="F172">Common_InputFunctions.Utility_DisplayArrayInTable(Agresidue_SourceData.CropFractionRemoved_CustomisedData(), Table77[[#Headers],[Crop type c]], 0)</f>
        <v>0</v>
      </c>
      <c r="G172" s="22"/>
      <c r="H172" s="22"/>
      <c r="I172" s="22"/>
      <c r="J172" s="22"/>
      <c r="K172" s="22"/>
      <c r="L172" s="22"/>
    </row>
    <row r="173" spans="4:12" x14ac:dyDescent="0.25">
      <c r="D173" s="22" t="str" cm="1">
        <f t="array" ref="D173">Common_InputFunctions.Utility_DisplayArrayInTable(Agresidue_SourceData.CropFractionRemoved_CustomisedData(), Table77[[#Headers],[Crop type c]], 0)</f>
        <v>Sorghum</v>
      </c>
      <c r="E173" t="str" cm="1">
        <f t="array" ref="E173">Common_InputFunctions.Utility_DisplayArrayInTable(Agresidue_SourceData.CropFractionRemoved_CustomisedData(), Table77[[#Headers],[Crop type c]], 0)</f>
        <v>NSW</v>
      </c>
      <c r="F173" cm="1">
        <f t="array" ref="F173">Common_InputFunctions.Utility_DisplayArrayInTable(Agresidue_SourceData.CropFractionRemoved_CustomisedData(), Table77[[#Headers],[Crop type c]], 0)</f>
        <v>0.05</v>
      </c>
      <c r="G173" s="22"/>
      <c r="H173" s="22"/>
      <c r="I173" s="22"/>
      <c r="J173" s="22"/>
      <c r="K173" s="22"/>
      <c r="L173" s="22"/>
    </row>
    <row r="174" spans="4:12" x14ac:dyDescent="0.25">
      <c r="D174" s="22" t="str" cm="1">
        <f t="array" ref="D174">Common_InputFunctions.Utility_DisplayArrayInTable(Agresidue_SourceData.CropFractionRemoved_CustomisedData(), Table77[[#Headers],[Crop type c]], 0)</f>
        <v>Sorghum</v>
      </c>
      <c r="E174" t="str" cm="1">
        <f t="array" ref="E174">Common_InputFunctions.Utility_DisplayArrayInTable(Agresidue_SourceData.CropFractionRemoved_CustomisedData(), Table77[[#Headers],[Crop type c]], 0)</f>
        <v>VIC</v>
      </c>
      <c r="F174" cm="1">
        <f t="array" ref="F174">Common_InputFunctions.Utility_DisplayArrayInTable(Agresidue_SourceData.CropFractionRemoved_CustomisedData(), Table77[[#Headers],[Crop type c]], 0)</f>
        <v>7.0000000000000007E-2</v>
      </c>
      <c r="G174" s="22"/>
      <c r="H174" s="22"/>
      <c r="I174" s="22"/>
      <c r="J174" s="22"/>
      <c r="K174" s="22"/>
      <c r="L174" s="22"/>
    </row>
    <row r="175" spans="4:12" x14ac:dyDescent="0.25">
      <c r="D175" s="22" t="str" cm="1">
        <f t="array" ref="D175">Common_InputFunctions.Utility_DisplayArrayInTable(Agresidue_SourceData.CropFractionRemoved_CustomisedData(), Table77[[#Headers],[Crop type c]], 0)</f>
        <v>Sorghum</v>
      </c>
      <c r="E175" t="str" cm="1">
        <f t="array" ref="E175">Common_InputFunctions.Utility_DisplayArrayInTable(Agresidue_SourceData.CropFractionRemoved_CustomisedData(), Table77[[#Headers],[Crop type c]], 0)</f>
        <v>QLD</v>
      </c>
      <c r="F175" cm="1">
        <f t="array" ref="F175">Common_InputFunctions.Utility_DisplayArrayInTable(Agresidue_SourceData.CropFractionRemoved_CustomisedData(), Table77[[#Headers],[Crop type c]], 0)</f>
        <v>0.04</v>
      </c>
      <c r="G175" s="22"/>
      <c r="H175" s="22"/>
      <c r="I175" s="22"/>
      <c r="J175" s="22"/>
      <c r="K175" s="22"/>
      <c r="L175" s="22"/>
    </row>
    <row r="176" spans="4:12" x14ac:dyDescent="0.25">
      <c r="D176" s="22" t="str" cm="1">
        <f t="array" ref="D176">Common_InputFunctions.Utility_DisplayArrayInTable(Agresidue_SourceData.CropFractionRemoved_CustomisedData(), Table77[[#Headers],[Crop type c]], 0)</f>
        <v>Sorghum</v>
      </c>
      <c r="E176" t="str" cm="1">
        <f t="array" ref="E176">Common_InputFunctions.Utility_DisplayArrayInTable(Agresidue_SourceData.CropFractionRemoved_CustomisedData(), Table77[[#Headers],[Crop type c]], 0)</f>
        <v>SA</v>
      </c>
      <c r="F176" cm="1">
        <f t="array" ref="F176">Common_InputFunctions.Utility_DisplayArrayInTable(Agresidue_SourceData.CropFractionRemoved_CustomisedData(), Table77[[#Headers],[Crop type c]], 0)</f>
        <v>0.09</v>
      </c>
      <c r="G176" s="22"/>
      <c r="H176" s="22"/>
      <c r="I176" s="22"/>
      <c r="J176" s="22"/>
      <c r="K176" s="22"/>
      <c r="L176" s="22"/>
    </row>
    <row r="177" spans="4:12" x14ac:dyDescent="0.25">
      <c r="D177" s="22" t="str" cm="1">
        <f t="array" ref="D177">Common_InputFunctions.Utility_DisplayArrayInTable(Agresidue_SourceData.CropFractionRemoved_CustomisedData(), Table77[[#Headers],[Crop type c]], 0)</f>
        <v>Sorghum</v>
      </c>
      <c r="E177" t="str" cm="1">
        <f t="array" ref="E177">Common_InputFunctions.Utility_DisplayArrayInTable(Agresidue_SourceData.CropFractionRemoved_CustomisedData(), Table77[[#Headers],[Crop type c]], 0)</f>
        <v>WA</v>
      </c>
      <c r="F177" cm="1">
        <f t="array" ref="F177">Common_InputFunctions.Utility_DisplayArrayInTable(Agresidue_SourceData.CropFractionRemoved_CustomisedData(), Table77[[#Headers],[Crop type c]], 0)</f>
        <v>0.11</v>
      </c>
      <c r="G177" s="22"/>
      <c r="H177" s="22"/>
      <c r="I177" s="22"/>
      <c r="J177" s="22"/>
      <c r="K177" s="22"/>
      <c r="L177" s="22"/>
    </row>
    <row r="178" spans="4:12" x14ac:dyDescent="0.25">
      <c r="D178" s="22" t="str" cm="1">
        <f t="array" ref="D178">Common_InputFunctions.Utility_DisplayArrayInTable(Agresidue_SourceData.CropFractionRemoved_CustomisedData(), Table77[[#Headers],[Crop type c]], 0)</f>
        <v>Sorghum</v>
      </c>
      <c r="E178" t="str" cm="1">
        <f t="array" ref="E178">Common_InputFunctions.Utility_DisplayArrayInTable(Agresidue_SourceData.CropFractionRemoved_CustomisedData(), Table77[[#Headers],[Crop type c]], 0)</f>
        <v>TAS</v>
      </c>
      <c r="F178" cm="1">
        <f t="array" ref="F178">Common_InputFunctions.Utility_DisplayArrayInTable(Agresidue_SourceData.CropFractionRemoved_CustomisedData(), Table77[[#Headers],[Crop type c]], 0)</f>
        <v>0.16</v>
      </c>
      <c r="G178" s="22"/>
      <c r="H178" s="22"/>
      <c r="I178" s="22"/>
      <c r="J178" s="22"/>
      <c r="K178" s="22"/>
      <c r="L178" s="22"/>
    </row>
    <row r="179" spans="4:12" x14ac:dyDescent="0.25">
      <c r="D179" s="22" t="str" cm="1">
        <f t="array" ref="D179">Common_InputFunctions.Utility_DisplayArrayInTable(Agresidue_SourceData.CropFractionRemoved_CustomisedData(), Table77[[#Headers],[Crop type c]], 0)</f>
        <v>Sorghum</v>
      </c>
      <c r="E179" t="str" cm="1">
        <f t="array" ref="E179">Common_InputFunctions.Utility_DisplayArrayInTable(Agresidue_SourceData.CropFractionRemoved_CustomisedData(), Table77[[#Headers],[Crop type c]], 0)</f>
        <v>NT</v>
      </c>
      <c r="F179" cm="1">
        <f t="array" ref="F179">Common_InputFunctions.Utility_DisplayArrayInTable(Agresidue_SourceData.CropFractionRemoved_CustomisedData(), Table77[[#Headers],[Crop type c]], 0)</f>
        <v>0.01</v>
      </c>
      <c r="G179" s="22"/>
      <c r="H179" s="22"/>
      <c r="I179" s="22"/>
      <c r="J179" s="22"/>
      <c r="K179" s="22"/>
      <c r="L179" s="22"/>
    </row>
    <row r="180" spans="4:12" x14ac:dyDescent="0.25">
      <c r="D180" s="22" t="str" cm="1">
        <f t="array" ref="D180">Common_InputFunctions.Utility_DisplayArrayInTable(Agresidue_SourceData.CropFractionRemoved_CustomisedData(), Table77[[#Headers],[Crop type c]], 0)</f>
        <v>Sorghum</v>
      </c>
      <c r="E180" t="str" cm="1">
        <f t="array" ref="E180">Common_InputFunctions.Utility_DisplayArrayInTable(Agresidue_SourceData.CropFractionRemoved_CustomisedData(), Table77[[#Headers],[Crop type c]], 0)</f>
        <v>ACT</v>
      </c>
      <c r="F180" cm="1">
        <f t="array" ref="F180">Common_InputFunctions.Utility_DisplayArrayInTable(Agresidue_SourceData.CropFractionRemoved_CustomisedData(), Table77[[#Headers],[Crop type c]], 0)</f>
        <v>0</v>
      </c>
      <c r="G180" s="22"/>
      <c r="H180" s="22"/>
      <c r="I180" s="22"/>
      <c r="J180" s="22"/>
      <c r="K180" s="22"/>
      <c r="L180" s="22"/>
    </row>
    <row r="181" spans="4:12" x14ac:dyDescent="0.25">
      <c r="D181" s="22" t="str" cm="1">
        <f t="array" ref="D181">Common_InputFunctions.Utility_DisplayArrayInTable(Agresidue_SourceData.CropFractionRemoved_CustomisedData(), Table77[[#Headers],[Crop type c]], 0)</f>
        <v>Triticale</v>
      </c>
      <c r="E181" t="str" cm="1">
        <f t="array" ref="E181">Common_InputFunctions.Utility_DisplayArrayInTable(Agresidue_SourceData.CropFractionRemoved_CustomisedData(), Table77[[#Headers],[Crop type c]], 0)</f>
        <v>NSW</v>
      </c>
      <c r="F181" cm="1">
        <f t="array" ref="F181">Common_InputFunctions.Utility_DisplayArrayInTable(Agresidue_SourceData.CropFractionRemoved_CustomisedData(), Table77[[#Headers],[Crop type c]], 0)</f>
        <v>0.05</v>
      </c>
      <c r="G181" s="22"/>
      <c r="H181" s="22"/>
      <c r="I181" s="22"/>
      <c r="J181" s="22"/>
      <c r="K181" s="22"/>
      <c r="L181" s="22"/>
    </row>
    <row r="182" spans="4:12" x14ac:dyDescent="0.25">
      <c r="D182" s="22" t="str" cm="1">
        <f t="array" ref="D182">Common_InputFunctions.Utility_DisplayArrayInTable(Agresidue_SourceData.CropFractionRemoved_CustomisedData(), Table77[[#Headers],[Crop type c]], 0)</f>
        <v>Triticale</v>
      </c>
      <c r="E182" t="str" cm="1">
        <f t="array" ref="E182">Common_InputFunctions.Utility_DisplayArrayInTable(Agresidue_SourceData.CropFractionRemoved_CustomisedData(), Table77[[#Headers],[Crop type c]], 0)</f>
        <v>VIC</v>
      </c>
      <c r="F182" cm="1">
        <f t="array" ref="F182">Common_InputFunctions.Utility_DisplayArrayInTable(Agresidue_SourceData.CropFractionRemoved_CustomisedData(), Table77[[#Headers],[Crop type c]], 0)</f>
        <v>7.0000000000000007E-2</v>
      </c>
      <c r="G182" s="22"/>
      <c r="H182" s="22"/>
      <c r="I182" s="22"/>
      <c r="J182" s="22"/>
      <c r="K182" s="22"/>
      <c r="L182" s="22"/>
    </row>
    <row r="183" spans="4:12" x14ac:dyDescent="0.25">
      <c r="D183" s="22" t="str" cm="1">
        <f t="array" ref="D183">Common_InputFunctions.Utility_DisplayArrayInTable(Agresidue_SourceData.CropFractionRemoved_CustomisedData(), Table77[[#Headers],[Crop type c]], 0)</f>
        <v>Triticale</v>
      </c>
      <c r="E183" t="str" cm="1">
        <f t="array" ref="E183">Common_InputFunctions.Utility_DisplayArrayInTable(Agresidue_SourceData.CropFractionRemoved_CustomisedData(), Table77[[#Headers],[Crop type c]], 0)</f>
        <v>QLD</v>
      </c>
      <c r="F183" cm="1">
        <f t="array" ref="F183">Common_InputFunctions.Utility_DisplayArrayInTable(Agresidue_SourceData.CropFractionRemoved_CustomisedData(), Table77[[#Headers],[Crop type c]], 0)</f>
        <v>0.04</v>
      </c>
      <c r="G183" s="22"/>
      <c r="H183" s="22"/>
      <c r="I183" s="22"/>
      <c r="J183" s="22"/>
      <c r="K183" s="22"/>
      <c r="L183" s="22"/>
    </row>
    <row r="184" spans="4:12" x14ac:dyDescent="0.25">
      <c r="D184" s="22" t="str" cm="1">
        <f t="array" ref="D184">Common_InputFunctions.Utility_DisplayArrayInTable(Agresidue_SourceData.CropFractionRemoved_CustomisedData(), Table77[[#Headers],[Crop type c]], 0)</f>
        <v>Triticale</v>
      </c>
      <c r="E184" t="str" cm="1">
        <f t="array" ref="E184">Common_InputFunctions.Utility_DisplayArrayInTable(Agresidue_SourceData.CropFractionRemoved_CustomisedData(), Table77[[#Headers],[Crop type c]], 0)</f>
        <v>SA</v>
      </c>
      <c r="F184" cm="1">
        <f t="array" ref="F184">Common_InputFunctions.Utility_DisplayArrayInTable(Agresidue_SourceData.CropFractionRemoved_CustomisedData(), Table77[[#Headers],[Crop type c]], 0)</f>
        <v>0.09</v>
      </c>
      <c r="G184" s="22"/>
      <c r="H184" s="22"/>
      <c r="I184" s="22"/>
      <c r="J184" s="22"/>
      <c r="K184" s="22"/>
      <c r="L184" s="22"/>
    </row>
    <row r="185" spans="4:12" x14ac:dyDescent="0.25">
      <c r="D185" s="22" t="str" cm="1">
        <f t="array" ref="D185">Common_InputFunctions.Utility_DisplayArrayInTable(Agresidue_SourceData.CropFractionRemoved_CustomisedData(), Table77[[#Headers],[Crop type c]], 0)</f>
        <v>Triticale</v>
      </c>
      <c r="E185" t="str" cm="1">
        <f t="array" ref="E185">Common_InputFunctions.Utility_DisplayArrayInTable(Agresidue_SourceData.CropFractionRemoved_CustomisedData(), Table77[[#Headers],[Crop type c]], 0)</f>
        <v>WA</v>
      </c>
      <c r="F185" cm="1">
        <f t="array" ref="F185">Common_InputFunctions.Utility_DisplayArrayInTable(Agresidue_SourceData.CropFractionRemoved_CustomisedData(), Table77[[#Headers],[Crop type c]], 0)</f>
        <v>0.11</v>
      </c>
      <c r="G185" s="22"/>
      <c r="H185" s="22"/>
      <c r="I185" s="22"/>
      <c r="J185" s="22"/>
      <c r="K185" s="22"/>
      <c r="L185" s="22"/>
    </row>
    <row r="186" spans="4:12" x14ac:dyDescent="0.25">
      <c r="D186" s="22" t="str" cm="1">
        <f t="array" ref="D186">Common_InputFunctions.Utility_DisplayArrayInTable(Agresidue_SourceData.CropFractionRemoved_CustomisedData(), Table77[[#Headers],[Crop type c]], 0)</f>
        <v>Triticale</v>
      </c>
      <c r="E186" t="str" cm="1">
        <f t="array" ref="E186">Common_InputFunctions.Utility_DisplayArrayInTable(Agresidue_SourceData.CropFractionRemoved_CustomisedData(), Table77[[#Headers],[Crop type c]], 0)</f>
        <v>TAS</v>
      </c>
      <c r="F186" cm="1">
        <f t="array" ref="F186">Common_InputFunctions.Utility_DisplayArrayInTable(Agresidue_SourceData.CropFractionRemoved_CustomisedData(), Table77[[#Headers],[Crop type c]], 0)</f>
        <v>0.16</v>
      </c>
      <c r="G186" s="22"/>
      <c r="H186" s="22"/>
      <c r="I186" s="22"/>
      <c r="J186" s="22"/>
      <c r="K186" s="22"/>
      <c r="L186" s="22"/>
    </row>
    <row r="187" spans="4:12" x14ac:dyDescent="0.25">
      <c r="D187" s="22" t="str" cm="1">
        <f t="array" ref="D187">Common_InputFunctions.Utility_DisplayArrayInTable(Agresidue_SourceData.CropFractionRemoved_CustomisedData(), Table77[[#Headers],[Crop type c]], 0)</f>
        <v>Triticale</v>
      </c>
      <c r="E187" t="str" cm="1">
        <f t="array" ref="E187">Common_InputFunctions.Utility_DisplayArrayInTable(Agresidue_SourceData.CropFractionRemoved_CustomisedData(), Table77[[#Headers],[Crop type c]], 0)</f>
        <v>NT</v>
      </c>
      <c r="F187" cm="1">
        <f t="array" ref="F187">Common_InputFunctions.Utility_DisplayArrayInTable(Agresidue_SourceData.CropFractionRemoved_CustomisedData(), Table77[[#Headers],[Crop type c]], 0)</f>
        <v>0.01</v>
      </c>
      <c r="G187" s="22"/>
      <c r="H187" s="22"/>
      <c r="I187" s="22"/>
      <c r="J187" s="22"/>
      <c r="K187" s="22"/>
      <c r="L187" s="22"/>
    </row>
    <row r="188" spans="4:12" x14ac:dyDescent="0.25">
      <c r="D188" s="22" t="str" cm="1">
        <f t="array" ref="D188">Common_InputFunctions.Utility_DisplayArrayInTable(Agresidue_SourceData.CropFractionRemoved_CustomisedData(), Table77[[#Headers],[Crop type c]], 0)</f>
        <v>Triticale</v>
      </c>
      <c r="E188" t="str" cm="1">
        <f t="array" ref="E188">Common_InputFunctions.Utility_DisplayArrayInTable(Agresidue_SourceData.CropFractionRemoved_CustomisedData(), Table77[[#Headers],[Crop type c]], 0)</f>
        <v>ACT</v>
      </c>
      <c r="F188" cm="1">
        <f t="array" ref="F188">Common_InputFunctions.Utility_DisplayArrayInTable(Agresidue_SourceData.CropFractionRemoved_CustomisedData(), Table77[[#Headers],[Crop type c]], 0)</f>
        <v>0</v>
      </c>
      <c r="G188" s="22"/>
      <c r="H188" s="22"/>
      <c r="I188" s="22"/>
      <c r="J188" s="22"/>
      <c r="K188" s="22"/>
      <c r="L188" s="22"/>
    </row>
    <row r="189" spans="4:12" x14ac:dyDescent="0.25">
      <c r="D189" s="22" t="str" cm="1">
        <f t="array" ref="D189">Common_InputFunctions.Utility_DisplayArrayInTable(Agresidue_SourceData.CropFractionRemoved_CustomisedData(), Table77[[#Headers],[Crop type c]], 0)</f>
        <v>Other cereals</v>
      </c>
      <c r="E189" t="str" cm="1">
        <f t="array" ref="E189">Common_InputFunctions.Utility_DisplayArrayInTable(Agresidue_SourceData.CropFractionRemoved_CustomisedData(), Table77[[#Headers],[Crop type c]], 0)</f>
        <v>NSW</v>
      </c>
      <c r="F189" cm="1">
        <f t="array" ref="F189">Common_InputFunctions.Utility_DisplayArrayInTable(Agresidue_SourceData.CropFractionRemoved_CustomisedData(), Table77[[#Headers],[Crop type c]], 0)</f>
        <v>0.05</v>
      </c>
      <c r="G189" s="22"/>
      <c r="H189" s="22"/>
      <c r="I189" s="22"/>
      <c r="J189" s="22"/>
      <c r="K189" s="22"/>
      <c r="L189" s="22"/>
    </row>
    <row r="190" spans="4:12" x14ac:dyDescent="0.25">
      <c r="D190" s="22" t="str" cm="1">
        <f t="array" ref="D190">Common_InputFunctions.Utility_DisplayArrayInTable(Agresidue_SourceData.CropFractionRemoved_CustomisedData(), Table77[[#Headers],[Crop type c]], 0)</f>
        <v>Other cereals</v>
      </c>
      <c r="E190" t="str" cm="1">
        <f t="array" ref="E190">Common_InputFunctions.Utility_DisplayArrayInTable(Agresidue_SourceData.CropFractionRemoved_CustomisedData(), Table77[[#Headers],[Crop type c]], 0)</f>
        <v>VIC</v>
      </c>
      <c r="F190" cm="1">
        <f t="array" ref="F190">Common_InputFunctions.Utility_DisplayArrayInTable(Agresidue_SourceData.CropFractionRemoved_CustomisedData(), Table77[[#Headers],[Crop type c]], 0)</f>
        <v>7.0000000000000007E-2</v>
      </c>
      <c r="G190" s="22"/>
      <c r="H190" s="22"/>
      <c r="I190" s="22"/>
      <c r="J190" s="22"/>
      <c r="K190" s="22"/>
      <c r="L190" s="22"/>
    </row>
    <row r="191" spans="4:12" x14ac:dyDescent="0.25">
      <c r="D191" s="22" t="str" cm="1">
        <f t="array" ref="D191">Common_InputFunctions.Utility_DisplayArrayInTable(Agresidue_SourceData.CropFractionRemoved_CustomisedData(), Table77[[#Headers],[Crop type c]], 0)</f>
        <v>Other cereals</v>
      </c>
      <c r="E191" t="str" cm="1">
        <f t="array" ref="E191">Common_InputFunctions.Utility_DisplayArrayInTable(Agresidue_SourceData.CropFractionRemoved_CustomisedData(), Table77[[#Headers],[Crop type c]], 0)</f>
        <v>QLD</v>
      </c>
      <c r="F191" cm="1">
        <f t="array" ref="F191">Common_InputFunctions.Utility_DisplayArrayInTable(Agresidue_SourceData.CropFractionRemoved_CustomisedData(), Table77[[#Headers],[Crop type c]], 0)</f>
        <v>0.04</v>
      </c>
      <c r="G191" s="22"/>
      <c r="H191" s="22"/>
      <c r="I191" s="22"/>
      <c r="J191" s="22"/>
      <c r="K191" s="22"/>
      <c r="L191" s="22"/>
    </row>
    <row r="192" spans="4:12" x14ac:dyDescent="0.25">
      <c r="D192" s="22" t="str" cm="1">
        <f t="array" ref="D192">Common_InputFunctions.Utility_DisplayArrayInTable(Agresidue_SourceData.CropFractionRemoved_CustomisedData(), Table77[[#Headers],[Crop type c]], 0)</f>
        <v>Other cereals</v>
      </c>
      <c r="E192" t="str" cm="1">
        <f t="array" ref="E192">Common_InputFunctions.Utility_DisplayArrayInTable(Agresidue_SourceData.CropFractionRemoved_CustomisedData(), Table77[[#Headers],[Crop type c]], 0)</f>
        <v>SA</v>
      </c>
      <c r="F192" cm="1">
        <f t="array" ref="F192">Common_InputFunctions.Utility_DisplayArrayInTable(Agresidue_SourceData.CropFractionRemoved_CustomisedData(), Table77[[#Headers],[Crop type c]], 0)</f>
        <v>0.09</v>
      </c>
      <c r="G192" s="22"/>
      <c r="H192" s="22"/>
      <c r="I192" s="22"/>
      <c r="J192" s="22"/>
      <c r="K192" s="22"/>
      <c r="L192" s="22"/>
    </row>
    <row r="193" spans="4:12" x14ac:dyDescent="0.25">
      <c r="D193" s="22" t="str" cm="1">
        <f t="array" ref="D193">Common_InputFunctions.Utility_DisplayArrayInTable(Agresidue_SourceData.CropFractionRemoved_CustomisedData(), Table77[[#Headers],[Crop type c]], 0)</f>
        <v>Other cereals</v>
      </c>
      <c r="E193" t="str" cm="1">
        <f t="array" ref="E193">Common_InputFunctions.Utility_DisplayArrayInTable(Agresidue_SourceData.CropFractionRemoved_CustomisedData(), Table77[[#Headers],[Crop type c]], 0)</f>
        <v>WA</v>
      </c>
      <c r="F193" cm="1">
        <f t="array" ref="F193">Common_InputFunctions.Utility_DisplayArrayInTable(Agresidue_SourceData.CropFractionRemoved_CustomisedData(), Table77[[#Headers],[Crop type c]], 0)</f>
        <v>0.11</v>
      </c>
      <c r="G193" s="22"/>
      <c r="H193" s="22"/>
      <c r="I193" s="22"/>
      <c r="J193" s="22"/>
      <c r="K193" s="22"/>
      <c r="L193" s="22"/>
    </row>
    <row r="194" spans="4:12" x14ac:dyDescent="0.25">
      <c r="D194" s="22" t="str" cm="1">
        <f t="array" ref="D194">Common_InputFunctions.Utility_DisplayArrayInTable(Agresidue_SourceData.CropFractionRemoved_CustomisedData(), Table77[[#Headers],[Crop type c]], 0)</f>
        <v>Other cereals</v>
      </c>
      <c r="E194" t="str" cm="1">
        <f t="array" ref="E194">Common_InputFunctions.Utility_DisplayArrayInTable(Agresidue_SourceData.CropFractionRemoved_CustomisedData(), Table77[[#Headers],[Crop type c]], 0)</f>
        <v>TAS</v>
      </c>
      <c r="F194" cm="1">
        <f t="array" ref="F194">Common_InputFunctions.Utility_DisplayArrayInTable(Agresidue_SourceData.CropFractionRemoved_CustomisedData(), Table77[[#Headers],[Crop type c]], 0)</f>
        <v>0.16</v>
      </c>
      <c r="G194" s="22"/>
      <c r="H194" s="22"/>
      <c r="I194" s="22"/>
      <c r="J194" s="22"/>
      <c r="K194" s="22"/>
      <c r="L194" s="22"/>
    </row>
    <row r="195" spans="4:12" x14ac:dyDescent="0.25">
      <c r="D195" s="22" t="str" cm="1">
        <f t="array" ref="D195">Common_InputFunctions.Utility_DisplayArrayInTable(Agresidue_SourceData.CropFractionRemoved_CustomisedData(), Table77[[#Headers],[Crop type c]], 0)</f>
        <v>Other cereals</v>
      </c>
      <c r="E195" t="str" cm="1">
        <f t="array" ref="E195">Common_InputFunctions.Utility_DisplayArrayInTable(Agresidue_SourceData.CropFractionRemoved_CustomisedData(), Table77[[#Headers],[Crop type c]], 0)</f>
        <v>NT</v>
      </c>
      <c r="F195" cm="1">
        <f t="array" ref="F195">Common_InputFunctions.Utility_DisplayArrayInTable(Agresidue_SourceData.CropFractionRemoved_CustomisedData(), Table77[[#Headers],[Crop type c]], 0)</f>
        <v>0.01</v>
      </c>
      <c r="G195" s="22"/>
      <c r="H195" s="22"/>
      <c r="I195" s="22"/>
      <c r="J195" s="22"/>
      <c r="K195" s="22"/>
      <c r="L195" s="22"/>
    </row>
    <row r="196" spans="4:12" x14ac:dyDescent="0.25">
      <c r="D196" s="22" t="str" cm="1">
        <f t="array" ref="D196">Common_InputFunctions.Utility_DisplayArrayInTable(Agresidue_SourceData.CropFractionRemoved_CustomisedData(), Table77[[#Headers],[Crop type c]], 0)</f>
        <v>Other cereals</v>
      </c>
      <c r="E196" t="str" cm="1">
        <f t="array" ref="E196">Common_InputFunctions.Utility_DisplayArrayInTable(Agresidue_SourceData.CropFractionRemoved_CustomisedData(), Table77[[#Headers],[Crop type c]], 0)</f>
        <v>ACT</v>
      </c>
      <c r="F196" cm="1">
        <f t="array" ref="F196">Common_InputFunctions.Utility_DisplayArrayInTable(Agresidue_SourceData.CropFractionRemoved_CustomisedData(), Table77[[#Headers],[Crop type c]], 0)</f>
        <v>0</v>
      </c>
      <c r="G196" s="22"/>
      <c r="H196" s="22"/>
      <c r="I196" s="22"/>
      <c r="J196" s="22"/>
      <c r="K196" s="22"/>
      <c r="L196" s="22"/>
    </row>
    <row r="197" spans="4:12" x14ac:dyDescent="0.25">
      <c r="D197" s="22" t="str" cm="1">
        <f t="array" ref="D197">Common_InputFunctions.Utility_DisplayArrayInTable(Agresidue_SourceData.CropFractionRemoved_CustomisedData(), Table77[[#Headers],[Crop type c]], 0)</f>
        <v>Pulses</v>
      </c>
      <c r="E197" t="str" cm="1">
        <f t="array" ref="E197">Common_InputFunctions.Utility_DisplayArrayInTable(Agresidue_SourceData.CropFractionRemoved_CustomisedData(), Table77[[#Headers],[Crop type c]], 0)</f>
        <v>NSW</v>
      </c>
      <c r="F197" cm="1">
        <f t="array" ref="F197">Common_InputFunctions.Utility_DisplayArrayInTable(Agresidue_SourceData.CropFractionRemoved_CustomisedData(), Table77[[#Headers],[Crop type c]], 0)</f>
        <v>0.05</v>
      </c>
      <c r="G197" s="22"/>
      <c r="H197" s="22"/>
      <c r="I197" s="22"/>
      <c r="J197" s="22"/>
      <c r="K197" s="22"/>
      <c r="L197" s="22"/>
    </row>
    <row r="198" spans="4:12" x14ac:dyDescent="0.25">
      <c r="D198" s="22" t="str" cm="1">
        <f t="array" ref="D198">Common_InputFunctions.Utility_DisplayArrayInTable(Agresidue_SourceData.CropFractionRemoved_CustomisedData(), Table77[[#Headers],[Crop type c]], 0)</f>
        <v>Pulses</v>
      </c>
      <c r="E198" t="str" cm="1">
        <f t="array" ref="E198">Common_InputFunctions.Utility_DisplayArrayInTable(Agresidue_SourceData.CropFractionRemoved_CustomisedData(), Table77[[#Headers],[Crop type c]], 0)</f>
        <v>VIC</v>
      </c>
      <c r="F198" cm="1">
        <f t="array" ref="F198">Common_InputFunctions.Utility_DisplayArrayInTable(Agresidue_SourceData.CropFractionRemoved_CustomisedData(), Table77[[#Headers],[Crop type c]], 0)</f>
        <v>7.0000000000000007E-2</v>
      </c>
      <c r="G198" s="22"/>
      <c r="H198" s="22"/>
      <c r="I198" s="22"/>
      <c r="J198" s="22"/>
      <c r="K198" s="22"/>
      <c r="L198" s="22"/>
    </row>
    <row r="199" spans="4:12" x14ac:dyDescent="0.25">
      <c r="D199" s="22" t="str" cm="1">
        <f t="array" ref="D199">Common_InputFunctions.Utility_DisplayArrayInTable(Agresidue_SourceData.CropFractionRemoved_CustomisedData(), Table77[[#Headers],[Crop type c]], 0)</f>
        <v>Pulses</v>
      </c>
      <c r="E199" t="str" cm="1">
        <f t="array" ref="E199">Common_InputFunctions.Utility_DisplayArrayInTable(Agresidue_SourceData.CropFractionRemoved_CustomisedData(), Table77[[#Headers],[Crop type c]], 0)</f>
        <v>QLD</v>
      </c>
      <c r="F199" cm="1">
        <f t="array" ref="F199">Common_InputFunctions.Utility_DisplayArrayInTable(Agresidue_SourceData.CropFractionRemoved_CustomisedData(), Table77[[#Headers],[Crop type c]], 0)</f>
        <v>0.04</v>
      </c>
      <c r="G199" s="22"/>
      <c r="H199" s="22"/>
      <c r="I199" s="22"/>
      <c r="J199" s="22"/>
      <c r="K199" s="22"/>
      <c r="L199" s="22"/>
    </row>
    <row r="200" spans="4:12" x14ac:dyDescent="0.25">
      <c r="D200" s="22" t="str" cm="1">
        <f t="array" ref="D200">Common_InputFunctions.Utility_DisplayArrayInTable(Agresidue_SourceData.CropFractionRemoved_CustomisedData(), Table77[[#Headers],[Crop type c]], 0)</f>
        <v>Pulses</v>
      </c>
      <c r="E200" t="str" cm="1">
        <f t="array" ref="E200">Common_InputFunctions.Utility_DisplayArrayInTable(Agresidue_SourceData.CropFractionRemoved_CustomisedData(), Table77[[#Headers],[Crop type c]], 0)</f>
        <v>SA</v>
      </c>
      <c r="F200" cm="1">
        <f t="array" ref="F200">Common_InputFunctions.Utility_DisplayArrayInTable(Agresidue_SourceData.CropFractionRemoved_CustomisedData(), Table77[[#Headers],[Crop type c]], 0)</f>
        <v>0.09</v>
      </c>
      <c r="G200" s="22"/>
      <c r="H200" s="22"/>
      <c r="I200" s="22"/>
      <c r="J200" s="22"/>
      <c r="K200" s="22"/>
      <c r="L200" s="22"/>
    </row>
    <row r="201" spans="4:12" x14ac:dyDescent="0.25">
      <c r="D201" s="22" t="str" cm="1">
        <f t="array" ref="D201">Common_InputFunctions.Utility_DisplayArrayInTable(Agresidue_SourceData.CropFractionRemoved_CustomisedData(), Table77[[#Headers],[Crop type c]], 0)</f>
        <v>Pulses</v>
      </c>
      <c r="E201" t="str" cm="1">
        <f t="array" ref="E201">Common_InputFunctions.Utility_DisplayArrayInTable(Agresidue_SourceData.CropFractionRemoved_CustomisedData(), Table77[[#Headers],[Crop type c]], 0)</f>
        <v>WA</v>
      </c>
      <c r="F201" cm="1">
        <f t="array" ref="F201">Common_InputFunctions.Utility_DisplayArrayInTable(Agresidue_SourceData.CropFractionRemoved_CustomisedData(), Table77[[#Headers],[Crop type c]], 0)</f>
        <v>0.11</v>
      </c>
      <c r="G201" s="22"/>
      <c r="H201" s="22"/>
      <c r="I201" s="22"/>
      <c r="J201" s="22"/>
      <c r="K201" s="22"/>
      <c r="L201" s="22"/>
    </row>
    <row r="202" spans="4:12" x14ac:dyDescent="0.25">
      <c r="D202" s="22" t="str" cm="1">
        <f t="array" ref="D202">Common_InputFunctions.Utility_DisplayArrayInTable(Agresidue_SourceData.CropFractionRemoved_CustomisedData(), Table77[[#Headers],[Crop type c]], 0)</f>
        <v>Pulses</v>
      </c>
      <c r="E202" t="str" cm="1">
        <f t="array" ref="E202">Common_InputFunctions.Utility_DisplayArrayInTable(Agresidue_SourceData.CropFractionRemoved_CustomisedData(), Table77[[#Headers],[Crop type c]], 0)</f>
        <v>TAS</v>
      </c>
      <c r="F202" cm="1">
        <f t="array" ref="F202">Common_InputFunctions.Utility_DisplayArrayInTable(Agresidue_SourceData.CropFractionRemoved_CustomisedData(), Table77[[#Headers],[Crop type c]], 0)</f>
        <v>0.16</v>
      </c>
      <c r="G202" s="22"/>
      <c r="H202" s="22"/>
      <c r="I202" s="22"/>
      <c r="J202" s="22"/>
      <c r="K202" s="22"/>
      <c r="L202" s="22"/>
    </row>
    <row r="203" spans="4:12" x14ac:dyDescent="0.25">
      <c r="D203" s="22" t="str" cm="1">
        <f t="array" ref="D203">Common_InputFunctions.Utility_DisplayArrayInTable(Agresidue_SourceData.CropFractionRemoved_CustomisedData(), Table77[[#Headers],[Crop type c]], 0)</f>
        <v>Pulses</v>
      </c>
      <c r="E203" t="str" cm="1">
        <f t="array" ref="E203">Common_InputFunctions.Utility_DisplayArrayInTable(Agresidue_SourceData.CropFractionRemoved_CustomisedData(), Table77[[#Headers],[Crop type c]], 0)</f>
        <v>NT</v>
      </c>
      <c r="F203" cm="1">
        <f t="array" ref="F203">Common_InputFunctions.Utility_DisplayArrayInTable(Agresidue_SourceData.CropFractionRemoved_CustomisedData(), Table77[[#Headers],[Crop type c]], 0)</f>
        <v>0.01</v>
      </c>
      <c r="G203" s="22"/>
      <c r="H203" s="22"/>
      <c r="I203" s="22"/>
      <c r="J203" s="22"/>
      <c r="K203" s="22"/>
      <c r="L203" s="22"/>
    </row>
    <row r="204" spans="4:12" x14ac:dyDescent="0.25">
      <c r="D204" s="22" t="str" cm="1">
        <f t="array" ref="D204">Common_InputFunctions.Utility_DisplayArrayInTable(Agresidue_SourceData.CropFractionRemoved_CustomisedData(), Table77[[#Headers],[Crop type c]], 0)</f>
        <v>Pulses</v>
      </c>
      <c r="E204" t="str" cm="1">
        <f t="array" ref="E204">Common_InputFunctions.Utility_DisplayArrayInTable(Agresidue_SourceData.CropFractionRemoved_CustomisedData(), Table77[[#Headers],[Crop type c]], 0)</f>
        <v>ACT</v>
      </c>
      <c r="F204" cm="1">
        <f t="array" ref="F204">Common_InputFunctions.Utility_DisplayArrayInTable(Agresidue_SourceData.CropFractionRemoved_CustomisedData(), Table77[[#Headers],[Crop type c]], 0)</f>
        <v>0</v>
      </c>
      <c r="G204" s="22"/>
      <c r="H204" s="22"/>
      <c r="I204" s="22"/>
      <c r="J204" s="22"/>
      <c r="K204" s="22"/>
      <c r="L204" s="22"/>
    </row>
    <row r="205" spans="4:12" x14ac:dyDescent="0.25">
      <c r="D205" s="22" t="str" cm="1">
        <f t="array" ref="D205">Common_InputFunctions.Utility_DisplayArrayInTable(Agresidue_SourceData.CropFractionRemoved_CustomisedData(), Table77[[#Headers],[Crop type c]], 0)</f>
        <v>Peanuts</v>
      </c>
      <c r="E205" t="str" cm="1">
        <f t="array" ref="E205">Common_InputFunctions.Utility_DisplayArrayInTable(Agresidue_SourceData.CropFractionRemoved_CustomisedData(), Table77[[#Headers],[Crop type c]], 0)</f>
        <v>NSW</v>
      </c>
      <c r="F205" cm="1">
        <f t="array" ref="F205">Common_InputFunctions.Utility_DisplayArrayInTable(Agresidue_SourceData.CropFractionRemoved_CustomisedData(), Table77[[#Headers],[Crop type c]], 0)</f>
        <v>0.05</v>
      </c>
      <c r="G205" s="22"/>
      <c r="H205" s="22"/>
      <c r="I205" s="22"/>
      <c r="J205" s="22"/>
      <c r="K205" s="22"/>
      <c r="L205" s="22"/>
    </row>
    <row r="206" spans="4:12" x14ac:dyDescent="0.25">
      <c r="D206" s="22" t="str" cm="1">
        <f t="array" ref="D206">Common_InputFunctions.Utility_DisplayArrayInTable(Agresidue_SourceData.CropFractionRemoved_CustomisedData(), Table77[[#Headers],[Crop type c]], 0)</f>
        <v>Peanuts</v>
      </c>
      <c r="E206" t="str" cm="1">
        <f t="array" ref="E206">Common_InputFunctions.Utility_DisplayArrayInTable(Agresidue_SourceData.CropFractionRemoved_CustomisedData(), Table77[[#Headers],[Crop type c]], 0)</f>
        <v>VIC</v>
      </c>
      <c r="F206" cm="1">
        <f t="array" ref="F206">Common_InputFunctions.Utility_DisplayArrayInTable(Agresidue_SourceData.CropFractionRemoved_CustomisedData(), Table77[[#Headers],[Crop type c]], 0)</f>
        <v>7.0000000000000007E-2</v>
      </c>
      <c r="G206" s="22"/>
      <c r="H206" s="22"/>
      <c r="I206" s="22"/>
      <c r="J206" s="22"/>
      <c r="K206" s="22"/>
      <c r="L206" s="22"/>
    </row>
    <row r="207" spans="4:12" x14ac:dyDescent="0.25">
      <c r="D207" s="22" t="str" cm="1">
        <f t="array" ref="D207">Common_InputFunctions.Utility_DisplayArrayInTable(Agresidue_SourceData.CropFractionRemoved_CustomisedData(), Table77[[#Headers],[Crop type c]], 0)</f>
        <v>Peanuts</v>
      </c>
      <c r="E207" t="str" cm="1">
        <f t="array" ref="E207">Common_InputFunctions.Utility_DisplayArrayInTable(Agresidue_SourceData.CropFractionRemoved_CustomisedData(), Table77[[#Headers],[Crop type c]], 0)</f>
        <v>QLD</v>
      </c>
      <c r="F207" cm="1">
        <f t="array" ref="F207">Common_InputFunctions.Utility_DisplayArrayInTable(Agresidue_SourceData.CropFractionRemoved_CustomisedData(), Table77[[#Headers],[Crop type c]], 0)</f>
        <v>0.04</v>
      </c>
      <c r="G207" s="22"/>
      <c r="H207" s="22"/>
      <c r="I207" s="22"/>
      <c r="J207" s="22"/>
      <c r="K207" s="22"/>
      <c r="L207" s="22"/>
    </row>
    <row r="208" spans="4:12" x14ac:dyDescent="0.25">
      <c r="D208" s="22" t="str" cm="1">
        <f t="array" ref="D208">Common_InputFunctions.Utility_DisplayArrayInTable(Agresidue_SourceData.CropFractionRemoved_CustomisedData(), Table77[[#Headers],[Crop type c]], 0)</f>
        <v>Peanuts</v>
      </c>
      <c r="E208" t="str" cm="1">
        <f t="array" ref="E208">Common_InputFunctions.Utility_DisplayArrayInTable(Agresidue_SourceData.CropFractionRemoved_CustomisedData(), Table77[[#Headers],[Crop type c]], 0)</f>
        <v>SA</v>
      </c>
      <c r="F208" cm="1">
        <f t="array" ref="F208">Common_InputFunctions.Utility_DisplayArrayInTable(Agresidue_SourceData.CropFractionRemoved_CustomisedData(), Table77[[#Headers],[Crop type c]], 0)</f>
        <v>0.09</v>
      </c>
      <c r="G208" s="22"/>
      <c r="H208" s="22"/>
      <c r="I208" s="22"/>
      <c r="J208" s="22"/>
      <c r="K208" s="22"/>
      <c r="L208" s="22"/>
    </row>
    <row r="209" spans="4:12" x14ac:dyDescent="0.25">
      <c r="D209" s="22" t="str" cm="1">
        <f t="array" ref="D209">Common_InputFunctions.Utility_DisplayArrayInTable(Agresidue_SourceData.CropFractionRemoved_CustomisedData(), Table77[[#Headers],[Crop type c]], 0)</f>
        <v>Peanuts</v>
      </c>
      <c r="E209" t="str" cm="1">
        <f t="array" ref="E209">Common_InputFunctions.Utility_DisplayArrayInTable(Agresidue_SourceData.CropFractionRemoved_CustomisedData(), Table77[[#Headers],[Crop type c]], 0)</f>
        <v>WA</v>
      </c>
      <c r="F209" cm="1">
        <f t="array" ref="F209">Common_InputFunctions.Utility_DisplayArrayInTable(Agresidue_SourceData.CropFractionRemoved_CustomisedData(), Table77[[#Headers],[Crop type c]], 0)</f>
        <v>0.11</v>
      </c>
      <c r="G209" s="22"/>
      <c r="H209" s="22"/>
      <c r="I209" s="22"/>
      <c r="J209" s="22"/>
      <c r="K209" s="22"/>
      <c r="L209" s="22"/>
    </row>
    <row r="210" spans="4:12" x14ac:dyDescent="0.25">
      <c r="D210" s="22" t="str" cm="1">
        <f t="array" ref="D210">Common_InputFunctions.Utility_DisplayArrayInTable(Agresidue_SourceData.CropFractionRemoved_CustomisedData(), Table77[[#Headers],[Crop type c]], 0)</f>
        <v>Peanuts</v>
      </c>
      <c r="E210" t="str" cm="1">
        <f t="array" ref="E210">Common_InputFunctions.Utility_DisplayArrayInTable(Agresidue_SourceData.CropFractionRemoved_CustomisedData(), Table77[[#Headers],[Crop type c]], 0)</f>
        <v>TAS</v>
      </c>
      <c r="F210" cm="1">
        <f t="array" ref="F210">Common_InputFunctions.Utility_DisplayArrayInTable(Agresidue_SourceData.CropFractionRemoved_CustomisedData(), Table77[[#Headers],[Crop type c]], 0)</f>
        <v>0.16</v>
      </c>
      <c r="G210" s="22"/>
      <c r="H210" s="22"/>
      <c r="I210" s="22"/>
      <c r="J210" s="22"/>
      <c r="K210" s="22"/>
      <c r="L210" s="22"/>
    </row>
    <row r="211" spans="4:12" x14ac:dyDescent="0.25">
      <c r="D211" s="22" t="str" cm="1">
        <f t="array" ref="D211">Common_InputFunctions.Utility_DisplayArrayInTable(Agresidue_SourceData.CropFractionRemoved_CustomisedData(), Table77[[#Headers],[Crop type c]], 0)</f>
        <v>Peanuts</v>
      </c>
      <c r="E211" t="str" cm="1">
        <f t="array" ref="E211">Common_InputFunctions.Utility_DisplayArrayInTable(Agresidue_SourceData.CropFractionRemoved_CustomisedData(), Table77[[#Headers],[Crop type c]], 0)</f>
        <v>NT</v>
      </c>
      <c r="F211" cm="1">
        <f t="array" ref="F211">Common_InputFunctions.Utility_DisplayArrayInTable(Agresidue_SourceData.CropFractionRemoved_CustomisedData(), Table77[[#Headers],[Crop type c]], 0)</f>
        <v>0.01</v>
      </c>
      <c r="G211" s="22"/>
      <c r="H211" s="22"/>
      <c r="I211" s="22"/>
      <c r="J211" s="22"/>
      <c r="K211" s="22"/>
      <c r="L211" s="22"/>
    </row>
    <row r="212" spans="4:12" x14ac:dyDescent="0.25">
      <c r="D212" s="22" t="str" cm="1">
        <f t="array" ref="D212">Common_InputFunctions.Utility_DisplayArrayInTable(Agresidue_SourceData.CropFractionRemoved_CustomisedData(), Table77[[#Headers],[Crop type c]], 0)</f>
        <v>Peanuts</v>
      </c>
      <c r="E212" t="str" cm="1">
        <f t="array" ref="E212">Common_InputFunctions.Utility_DisplayArrayInTable(Agresidue_SourceData.CropFractionRemoved_CustomisedData(), Table77[[#Headers],[Crop type c]], 0)</f>
        <v>ACT</v>
      </c>
      <c r="F212" cm="1">
        <f t="array" ref="F212">Common_InputFunctions.Utility_DisplayArrayInTable(Agresidue_SourceData.CropFractionRemoved_CustomisedData(), Table77[[#Headers],[Crop type c]], 0)</f>
        <v>0</v>
      </c>
      <c r="G212" s="22"/>
      <c r="H212" s="22"/>
      <c r="I212" s="22"/>
      <c r="J212" s="22"/>
      <c r="K212" s="22"/>
      <c r="L212" s="22"/>
    </row>
    <row r="213" spans="4:12" x14ac:dyDescent="0.25">
      <c r="D213" s="22" t="str" cm="1">
        <f t="array" ref="D213">Common_InputFunctions.Utility_DisplayArrayInTable(Agresidue_SourceData.CropFractionRemoved_CustomisedData(), Table77[[#Headers],[Crop type c]], 0)</f>
        <v>Oilseeds</v>
      </c>
      <c r="E213" t="str" cm="1">
        <f t="array" ref="E213">Common_InputFunctions.Utility_DisplayArrayInTable(Agresidue_SourceData.CropFractionRemoved_CustomisedData(), Table77[[#Headers],[Crop type c]], 0)</f>
        <v>NSW</v>
      </c>
      <c r="F213" cm="1">
        <f t="array" ref="F213">Common_InputFunctions.Utility_DisplayArrayInTable(Agresidue_SourceData.CropFractionRemoved_CustomisedData(), Table77[[#Headers],[Crop type c]], 0)</f>
        <v>0.05</v>
      </c>
      <c r="G213" s="22"/>
      <c r="H213" s="22"/>
      <c r="I213" s="22"/>
      <c r="J213" s="22"/>
      <c r="K213" s="22"/>
      <c r="L213" s="22"/>
    </row>
    <row r="214" spans="4:12" x14ac:dyDescent="0.25">
      <c r="D214" s="22" t="str" cm="1">
        <f t="array" ref="D214">Common_InputFunctions.Utility_DisplayArrayInTable(Agresidue_SourceData.CropFractionRemoved_CustomisedData(), Table77[[#Headers],[Crop type c]], 0)</f>
        <v>Oilseeds</v>
      </c>
      <c r="E214" t="str" cm="1">
        <f t="array" ref="E214">Common_InputFunctions.Utility_DisplayArrayInTable(Agresidue_SourceData.CropFractionRemoved_CustomisedData(), Table77[[#Headers],[Crop type c]], 0)</f>
        <v>VIC</v>
      </c>
      <c r="F214" cm="1">
        <f t="array" ref="F214">Common_InputFunctions.Utility_DisplayArrayInTable(Agresidue_SourceData.CropFractionRemoved_CustomisedData(), Table77[[#Headers],[Crop type c]], 0)</f>
        <v>7.0000000000000007E-2</v>
      </c>
      <c r="G214" s="22"/>
      <c r="H214" s="22"/>
      <c r="I214" s="22"/>
      <c r="J214" s="22"/>
    </row>
    <row r="215" spans="4:12" x14ac:dyDescent="0.25">
      <c r="D215" s="22" t="str" cm="1">
        <f t="array" ref="D215">Common_InputFunctions.Utility_DisplayArrayInTable(Agresidue_SourceData.CropFractionRemoved_CustomisedData(), Table77[[#Headers],[Crop type c]], 0)</f>
        <v>Oilseeds</v>
      </c>
      <c r="E215" t="str" cm="1">
        <f t="array" ref="E215">Common_InputFunctions.Utility_DisplayArrayInTable(Agresidue_SourceData.CropFractionRemoved_CustomisedData(), Table77[[#Headers],[Crop type c]], 0)</f>
        <v>QLD</v>
      </c>
      <c r="F215" cm="1">
        <f t="array" ref="F215">Common_InputFunctions.Utility_DisplayArrayInTable(Agresidue_SourceData.CropFractionRemoved_CustomisedData(), Table77[[#Headers],[Crop type c]], 0)</f>
        <v>0.04</v>
      </c>
      <c r="G215" s="22"/>
      <c r="H215" s="22"/>
      <c r="I215" s="22"/>
      <c r="J215" s="22"/>
    </row>
    <row r="216" spans="4:12" x14ac:dyDescent="0.25">
      <c r="D216" s="22" t="str" cm="1">
        <f t="array" ref="D216">Common_InputFunctions.Utility_DisplayArrayInTable(Agresidue_SourceData.CropFractionRemoved_CustomisedData(), Table77[[#Headers],[Crop type c]], 0)</f>
        <v>Oilseeds</v>
      </c>
      <c r="E216" t="str" cm="1">
        <f t="array" ref="E216">Common_InputFunctions.Utility_DisplayArrayInTable(Agresidue_SourceData.CropFractionRemoved_CustomisedData(), Table77[[#Headers],[Crop type c]], 0)</f>
        <v>SA</v>
      </c>
      <c r="F216" cm="1">
        <f t="array" ref="F216">Common_InputFunctions.Utility_DisplayArrayInTable(Agresidue_SourceData.CropFractionRemoved_CustomisedData(), Table77[[#Headers],[Crop type c]], 0)</f>
        <v>0.09</v>
      </c>
      <c r="G216" s="22"/>
      <c r="H216" s="22"/>
      <c r="I216" s="22"/>
      <c r="J216" s="22"/>
    </row>
    <row r="217" spans="4:12" x14ac:dyDescent="0.25">
      <c r="D217" s="22" t="str" cm="1">
        <f t="array" ref="D217">Common_InputFunctions.Utility_DisplayArrayInTable(Agresidue_SourceData.CropFractionRemoved_CustomisedData(), Table77[[#Headers],[Crop type c]], 0)</f>
        <v>Oilseeds</v>
      </c>
      <c r="E217" t="str" cm="1">
        <f t="array" ref="E217">Common_InputFunctions.Utility_DisplayArrayInTable(Agresidue_SourceData.CropFractionRemoved_CustomisedData(), Table77[[#Headers],[Crop type c]], 0)</f>
        <v>WA</v>
      </c>
      <c r="F217" cm="1">
        <f t="array" ref="F217">Common_InputFunctions.Utility_DisplayArrayInTable(Agresidue_SourceData.CropFractionRemoved_CustomisedData(), Table77[[#Headers],[Crop type c]], 0)</f>
        <v>0.11</v>
      </c>
      <c r="G217" s="22"/>
      <c r="H217" s="22"/>
      <c r="I217" s="22"/>
      <c r="J217" s="22"/>
    </row>
    <row r="218" spans="4:12" x14ac:dyDescent="0.25">
      <c r="D218" s="22" t="str" cm="1">
        <f t="array" ref="D218">Common_InputFunctions.Utility_DisplayArrayInTable(Agresidue_SourceData.CropFractionRemoved_CustomisedData(), Table77[[#Headers],[Crop type c]], 0)</f>
        <v>Oilseeds</v>
      </c>
      <c r="E218" t="str" cm="1">
        <f t="array" ref="E218">Common_InputFunctions.Utility_DisplayArrayInTable(Agresidue_SourceData.CropFractionRemoved_CustomisedData(), Table77[[#Headers],[Crop type c]], 0)</f>
        <v>TAS</v>
      </c>
      <c r="F218" cm="1">
        <f t="array" ref="F218">Common_InputFunctions.Utility_DisplayArrayInTable(Agresidue_SourceData.CropFractionRemoved_CustomisedData(), Table77[[#Headers],[Crop type c]], 0)</f>
        <v>0.16</v>
      </c>
      <c r="G218" s="22"/>
      <c r="H218" s="22"/>
      <c r="I218" s="22"/>
      <c r="J218" s="22"/>
    </row>
    <row r="219" spans="4:12" x14ac:dyDescent="0.25">
      <c r="D219" s="22" t="str" cm="1">
        <f t="array" ref="D219">Common_InputFunctions.Utility_DisplayArrayInTable(Agresidue_SourceData.CropFractionRemoved_CustomisedData(), Table77[[#Headers],[Crop type c]], 0)</f>
        <v>Oilseeds</v>
      </c>
      <c r="E219" t="str" cm="1">
        <f t="array" ref="E219">Common_InputFunctions.Utility_DisplayArrayInTable(Agresidue_SourceData.CropFractionRemoved_CustomisedData(), Table77[[#Headers],[Crop type c]], 0)</f>
        <v>NT</v>
      </c>
      <c r="F219" cm="1">
        <f t="array" ref="F219">Common_InputFunctions.Utility_DisplayArrayInTable(Agresidue_SourceData.CropFractionRemoved_CustomisedData(), Table77[[#Headers],[Crop type c]], 0)</f>
        <v>0.01</v>
      </c>
      <c r="G219" s="22"/>
      <c r="H219" s="22"/>
      <c r="I219" s="22"/>
      <c r="J219" s="22"/>
    </row>
    <row r="220" spans="4:12" x14ac:dyDescent="0.25">
      <c r="D220" s="22" t="str" cm="1">
        <f t="array" ref="D220">Common_InputFunctions.Utility_DisplayArrayInTable(Agresidue_SourceData.CropFractionRemoved_CustomisedData(), Table77[[#Headers],[Crop type c]], 0)</f>
        <v>Oilseeds</v>
      </c>
      <c r="E220" t="str" cm="1">
        <f t="array" ref="E220">Common_InputFunctions.Utility_DisplayArrayInTable(Agresidue_SourceData.CropFractionRemoved_CustomisedData(), Table77[[#Headers],[Crop type c]], 0)</f>
        <v>ACT</v>
      </c>
      <c r="F220" cm="1">
        <f t="array" ref="F220">Common_InputFunctions.Utility_DisplayArrayInTable(Agresidue_SourceData.CropFractionRemoved_CustomisedData(), Table77[[#Headers],[Crop type c]], 0)</f>
        <v>0</v>
      </c>
      <c r="G220" s="22"/>
      <c r="H220" s="22"/>
      <c r="I220" s="22"/>
      <c r="J220" s="22"/>
    </row>
    <row r="221" spans="4:12" x14ac:dyDescent="0.25">
      <c r="D221" s="22" t="str" cm="1">
        <f t="array" ref="D221">Common_InputFunctions.Utility_DisplayArrayInTable(Agresidue_SourceData.CropFractionRemoved_CustomisedData(), Table77[[#Headers],[Crop type c]], 0)</f>
        <v>Other annual crops</v>
      </c>
      <c r="E221" t="str" cm="1">
        <f t="array" ref="E221">Common_InputFunctions.Utility_DisplayArrayInTable(Agresidue_SourceData.CropFractionRemoved_CustomisedData(), Table77[[#Headers],[Crop type c]], 0)</f>
        <v>NSW</v>
      </c>
      <c r="F221" cm="1">
        <f t="array" ref="F221">Common_InputFunctions.Utility_DisplayArrayInTable(Agresidue_SourceData.CropFractionRemoved_CustomisedData(), Table77[[#Headers],[Crop type c]], 0)</f>
        <v>0.05</v>
      </c>
      <c r="G221" s="22"/>
      <c r="H221" s="22"/>
      <c r="I221" s="22"/>
      <c r="J221" s="22"/>
    </row>
    <row r="222" spans="4:12" x14ac:dyDescent="0.25">
      <c r="D222" s="22" t="str" cm="1">
        <f t="array" ref="D222">Common_InputFunctions.Utility_DisplayArrayInTable(Agresidue_SourceData.CropFractionRemoved_CustomisedData(), Table77[[#Headers],[Crop type c]], 0)</f>
        <v>Other annual crops</v>
      </c>
      <c r="E222" t="str" cm="1">
        <f t="array" ref="E222">Common_InputFunctions.Utility_DisplayArrayInTable(Agresidue_SourceData.CropFractionRemoved_CustomisedData(), Table77[[#Headers],[Crop type c]], 0)</f>
        <v>VIC</v>
      </c>
      <c r="F222" cm="1">
        <f t="array" ref="F222">Common_InputFunctions.Utility_DisplayArrayInTable(Agresidue_SourceData.CropFractionRemoved_CustomisedData(), Table77[[#Headers],[Crop type c]], 0)</f>
        <v>7.0000000000000007E-2</v>
      </c>
      <c r="G222" s="22"/>
      <c r="H222" s="22"/>
      <c r="I222" s="22"/>
      <c r="J222" s="22"/>
    </row>
    <row r="223" spans="4:12" x14ac:dyDescent="0.25">
      <c r="D223" s="22" t="str" cm="1">
        <f t="array" ref="D223">Common_InputFunctions.Utility_DisplayArrayInTable(Agresidue_SourceData.CropFractionRemoved_CustomisedData(), Table77[[#Headers],[Crop type c]], 0)</f>
        <v>Other annual crops</v>
      </c>
      <c r="E223" t="str" cm="1">
        <f t="array" ref="E223">Common_InputFunctions.Utility_DisplayArrayInTable(Agresidue_SourceData.CropFractionRemoved_CustomisedData(), Table77[[#Headers],[Crop type c]], 0)</f>
        <v>QLD</v>
      </c>
      <c r="F223" cm="1">
        <f t="array" ref="F223">Common_InputFunctions.Utility_DisplayArrayInTable(Agresidue_SourceData.CropFractionRemoved_CustomisedData(), Table77[[#Headers],[Crop type c]], 0)</f>
        <v>0.04</v>
      </c>
      <c r="G223" s="22"/>
      <c r="H223" s="22"/>
      <c r="I223" s="22"/>
      <c r="J223" s="22"/>
    </row>
    <row r="224" spans="4:12" x14ac:dyDescent="0.25">
      <c r="D224" s="22" t="str" cm="1">
        <f t="array" ref="D224">Common_InputFunctions.Utility_DisplayArrayInTable(Agresidue_SourceData.CropFractionRemoved_CustomisedData(), Table77[[#Headers],[Crop type c]], 0)</f>
        <v>Other annual crops</v>
      </c>
      <c r="E224" t="str" cm="1">
        <f t="array" ref="E224">Common_InputFunctions.Utility_DisplayArrayInTable(Agresidue_SourceData.CropFractionRemoved_CustomisedData(), Table77[[#Headers],[Crop type c]], 0)</f>
        <v>SA</v>
      </c>
      <c r="F224" cm="1">
        <f t="array" ref="F224">Common_InputFunctions.Utility_DisplayArrayInTable(Agresidue_SourceData.CropFractionRemoved_CustomisedData(), Table77[[#Headers],[Crop type c]], 0)</f>
        <v>0.09</v>
      </c>
      <c r="G224" s="22"/>
      <c r="H224" s="22"/>
      <c r="I224" s="22"/>
      <c r="J224" s="22"/>
    </row>
    <row r="225" spans="4:10" x14ac:dyDescent="0.25">
      <c r="D225" s="22" t="str" cm="1">
        <f t="array" ref="D225">Common_InputFunctions.Utility_DisplayArrayInTable(Agresidue_SourceData.CropFractionRemoved_CustomisedData(), Table77[[#Headers],[Crop type c]], 0)</f>
        <v>Other annual crops</v>
      </c>
      <c r="E225" t="str" cm="1">
        <f t="array" ref="E225">Common_InputFunctions.Utility_DisplayArrayInTable(Agresidue_SourceData.CropFractionRemoved_CustomisedData(), Table77[[#Headers],[Crop type c]], 0)</f>
        <v>WA</v>
      </c>
      <c r="F225" cm="1">
        <f t="array" ref="F225">Common_InputFunctions.Utility_DisplayArrayInTable(Agresidue_SourceData.CropFractionRemoved_CustomisedData(), Table77[[#Headers],[Crop type c]], 0)</f>
        <v>0.11</v>
      </c>
      <c r="G225" s="22"/>
      <c r="H225" s="22"/>
      <c r="I225" s="22"/>
      <c r="J225" s="22"/>
    </row>
    <row r="226" spans="4:10" x14ac:dyDescent="0.25">
      <c r="D226" s="22" t="str" cm="1">
        <f t="array" ref="D226">Common_InputFunctions.Utility_DisplayArrayInTable(Agresidue_SourceData.CropFractionRemoved_CustomisedData(), Table77[[#Headers],[Crop type c]], 0)</f>
        <v>Other annual crops</v>
      </c>
      <c r="E226" t="str" cm="1">
        <f t="array" ref="E226">Common_InputFunctions.Utility_DisplayArrayInTable(Agresidue_SourceData.CropFractionRemoved_CustomisedData(), Table77[[#Headers],[Crop type c]], 0)</f>
        <v>TAS</v>
      </c>
      <c r="F226" cm="1">
        <f t="array" ref="F226">Common_InputFunctions.Utility_DisplayArrayInTable(Agresidue_SourceData.CropFractionRemoved_CustomisedData(), Table77[[#Headers],[Crop type c]], 0)</f>
        <v>0.16</v>
      </c>
      <c r="G226" s="22"/>
      <c r="H226" s="22"/>
      <c r="I226" s="22"/>
      <c r="J226" s="22"/>
    </row>
    <row r="227" spans="4:10" x14ac:dyDescent="0.25">
      <c r="D227" s="22" t="str" cm="1">
        <f t="array" ref="D227">Common_InputFunctions.Utility_DisplayArrayInTable(Agresidue_SourceData.CropFractionRemoved_CustomisedData(), Table77[[#Headers],[Crop type c]], 0)</f>
        <v>Other annual crops</v>
      </c>
      <c r="E227" t="str" cm="1">
        <f t="array" ref="E227">Common_InputFunctions.Utility_DisplayArrayInTable(Agresidue_SourceData.CropFractionRemoved_CustomisedData(), Table77[[#Headers],[Crop type c]], 0)</f>
        <v>NT</v>
      </c>
      <c r="F227" cm="1">
        <f t="array" ref="F227">Common_InputFunctions.Utility_DisplayArrayInTable(Agresidue_SourceData.CropFractionRemoved_CustomisedData(), Table77[[#Headers],[Crop type c]], 0)</f>
        <v>0.01</v>
      </c>
      <c r="G227" s="22"/>
      <c r="H227" s="22"/>
      <c r="I227" s="22"/>
      <c r="J227" s="22"/>
    </row>
    <row r="228" spans="4:10" x14ac:dyDescent="0.25">
      <c r="D228" s="22" t="str" cm="1">
        <f t="array" ref="D228">Common_InputFunctions.Utility_DisplayArrayInTable(Agresidue_SourceData.CropFractionRemoved_CustomisedData(), Table77[[#Headers],[Crop type c]], 0)</f>
        <v>Other annual crops</v>
      </c>
      <c r="E228" t="str" cm="1">
        <f t="array" ref="E228">Common_InputFunctions.Utility_DisplayArrayInTable(Agresidue_SourceData.CropFractionRemoved_CustomisedData(), Table77[[#Headers],[Crop type c]], 0)</f>
        <v>ACT</v>
      </c>
      <c r="F228" cm="1">
        <f t="array" ref="F228">Common_InputFunctions.Utility_DisplayArrayInTable(Agresidue_SourceData.CropFractionRemoved_CustomisedData(), Table77[[#Headers],[Crop type c]], 0)</f>
        <v>0</v>
      </c>
      <c r="G228" s="22"/>
      <c r="H228" s="22"/>
    </row>
    <row r="229" spans="4:10" x14ac:dyDescent="0.25">
      <c r="D229" s="22" t="str" cm="1">
        <f t="array" ref="D229">Common_InputFunctions.Utility_DisplayArrayInTable(Agresidue_SourceData.CropFractionRemoved_CustomisedData(), Table77[[#Headers],[Crop type c]], 0)</f>
        <v>Other perennial crops</v>
      </c>
      <c r="E229" t="str" cm="1">
        <f t="array" ref="E229">Common_InputFunctions.Utility_DisplayArrayInTable(Agresidue_SourceData.CropFractionRemoved_CustomisedData(), Table77[[#Headers],[Crop type c]], 0)</f>
        <v>NSW</v>
      </c>
      <c r="F229" cm="1">
        <f t="array" ref="F229">Common_InputFunctions.Utility_DisplayArrayInTable(Agresidue_SourceData.CropFractionRemoved_CustomisedData(), Table77[[#Headers],[Crop type c]], 0)</f>
        <v>0.05</v>
      </c>
      <c r="G229" s="22"/>
    </row>
    <row r="230" spans="4:10" x14ac:dyDescent="0.25">
      <c r="D230" s="22" t="str" cm="1">
        <f t="array" ref="D230">Common_InputFunctions.Utility_DisplayArrayInTable(Agresidue_SourceData.CropFractionRemoved_CustomisedData(), Table77[[#Headers],[Crop type c]], 0)</f>
        <v>Other perennial crops</v>
      </c>
      <c r="E230" t="str" cm="1">
        <f t="array" ref="E230">Common_InputFunctions.Utility_DisplayArrayInTable(Agresidue_SourceData.CropFractionRemoved_CustomisedData(), Table77[[#Headers],[Crop type c]], 0)</f>
        <v>VIC</v>
      </c>
      <c r="F230" cm="1">
        <f t="array" ref="F230">Common_InputFunctions.Utility_DisplayArrayInTable(Agresidue_SourceData.CropFractionRemoved_CustomisedData(), Table77[[#Headers],[Crop type c]], 0)</f>
        <v>7.0000000000000007E-2</v>
      </c>
      <c r="G230" s="22"/>
    </row>
    <row r="231" spans="4:10" x14ac:dyDescent="0.25">
      <c r="D231" s="22" t="str" cm="1">
        <f t="array" ref="D231">Common_InputFunctions.Utility_DisplayArrayInTable(Agresidue_SourceData.CropFractionRemoved_CustomisedData(), Table77[[#Headers],[Crop type c]], 0)</f>
        <v>Other perennial crops</v>
      </c>
      <c r="E231" t="str" cm="1">
        <f t="array" ref="E231">Common_InputFunctions.Utility_DisplayArrayInTable(Agresidue_SourceData.CropFractionRemoved_CustomisedData(), Table77[[#Headers],[Crop type c]], 0)</f>
        <v>QLD</v>
      </c>
      <c r="F231" cm="1">
        <f t="array" ref="F231">Common_InputFunctions.Utility_DisplayArrayInTable(Agresidue_SourceData.CropFractionRemoved_CustomisedData(), Table77[[#Headers],[Crop type c]], 0)</f>
        <v>0.04</v>
      </c>
      <c r="G231" s="22"/>
    </row>
    <row r="232" spans="4:10" x14ac:dyDescent="0.25">
      <c r="D232" s="22" t="str" cm="1">
        <f t="array" ref="D232">Common_InputFunctions.Utility_DisplayArrayInTable(Agresidue_SourceData.CropFractionRemoved_CustomisedData(), Table77[[#Headers],[Crop type c]], 0)</f>
        <v>Other perennial crops</v>
      </c>
      <c r="E232" t="str" cm="1">
        <f t="array" ref="E232">Common_InputFunctions.Utility_DisplayArrayInTable(Agresidue_SourceData.CropFractionRemoved_CustomisedData(), Table77[[#Headers],[Crop type c]], 0)</f>
        <v>SA</v>
      </c>
      <c r="F232" cm="1">
        <f t="array" ref="F232">Common_InputFunctions.Utility_DisplayArrayInTable(Agresidue_SourceData.CropFractionRemoved_CustomisedData(), Table77[[#Headers],[Crop type c]], 0)</f>
        <v>0.09</v>
      </c>
      <c r="G232" s="22"/>
    </row>
    <row r="233" spans="4:10" x14ac:dyDescent="0.25">
      <c r="D233" s="22" t="str" cm="1">
        <f t="array" ref="D233">Common_InputFunctions.Utility_DisplayArrayInTable(Agresidue_SourceData.CropFractionRemoved_CustomisedData(), Table77[[#Headers],[Crop type c]], 0)</f>
        <v>Other perennial crops</v>
      </c>
      <c r="E233" t="str" cm="1">
        <f t="array" ref="E233">Common_InputFunctions.Utility_DisplayArrayInTable(Agresidue_SourceData.CropFractionRemoved_CustomisedData(), Table77[[#Headers],[Crop type c]], 0)</f>
        <v>WA</v>
      </c>
      <c r="F233" cm="1">
        <f t="array" ref="F233">Common_InputFunctions.Utility_DisplayArrayInTable(Agresidue_SourceData.CropFractionRemoved_CustomisedData(), Table77[[#Headers],[Crop type c]], 0)</f>
        <v>0.11</v>
      </c>
      <c r="G233" s="22"/>
    </row>
    <row r="234" spans="4:10" x14ac:dyDescent="0.25">
      <c r="D234" s="22" t="str" cm="1">
        <f t="array" ref="D234">Common_InputFunctions.Utility_DisplayArrayInTable(Agresidue_SourceData.CropFractionRemoved_CustomisedData(), Table77[[#Headers],[Crop type c]], 0)</f>
        <v>Other perennial crops</v>
      </c>
      <c r="E234" t="str" cm="1">
        <f t="array" ref="E234">Common_InputFunctions.Utility_DisplayArrayInTable(Agresidue_SourceData.CropFractionRemoved_CustomisedData(), Table77[[#Headers],[Crop type c]], 0)</f>
        <v>TAS</v>
      </c>
      <c r="F234" cm="1">
        <f t="array" ref="F234">Common_InputFunctions.Utility_DisplayArrayInTable(Agresidue_SourceData.CropFractionRemoved_CustomisedData(), Table77[[#Headers],[Crop type c]], 0)</f>
        <v>0.16</v>
      </c>
      <c r="G234" s="22"/>
    </row>
    <row r="235" spans="4:10" x14ac:dyDescent="0.25">
      <c r="D235" s="22" t="str" cm="1">
        <f t="array" ref="D235">Common_InputFunctions.Utility_DisplayArrayInTable(Agresidue_SourceData.CropFractionRemoved_CustomisedData(), Table77[[#Headers],[Crop type c]], 0)</f>
        <v>Other perennial crops</v>
      </c>
      <c r="E235" t="str" cm="1">
        <f t="array" ref="E235">Common_InputFunctions.Utility_DisplayArrayInTable(Agresidue_SourceData.CropFractionRemoved_CustomisedData(), Table77[[#Headers],[Crop type c]], 0)</f>
        <v>NT</v>
      </c>
      <c r="F235" cm="1">
        <f t="array" ref="F235">Common_InputFunctions.Utility_DisplayArrayInTable(Agresidue_SourceData.CropFractionRemoved_CustomisedData(), Table77[[#Headers],[Crop type c]], 0)</f>
        <v>0.01</v>
      </c>
      <c r="G235" s="22"/>
    </row>
  </sheetData>
  <phoneticPr fontId="23" type="noConversion"/>
  <pageMargins left="0.7" right="0.7" top="0.75" bottom="0.75" header="0.3" footer="0.3"/>
  <pageSetup paperSize="9" orientation="portrait" r:id="rId1"/>
  <tableParts count="8">
    <tablePart r:id="rId2"/>
    <tablePart r:id="rId3"/>
    <tablePart r:id="rId4"/>
    <tablePart r:id="rId5"/>
    <tablePart r:id="rId6"/>
    <tablePart r:id="rId7"/>
    <tablePart r:id="rId8"/>
    <tablePart r:id="rId9"/>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AC3B84-7EA6-4A99-AEF7-7326AE57C45D}">
  <dimension ref="A1:BY259"/>
  <sheetViews>
    <sheetView showGridLines="0" topLeftCell="A86" zoomScale="85" zoomScaleNormal="85" workbookViewId="0">
      <selection activeCell="H102" sqref="H102"/>
    </sheetView>
  </sheetViews>
  <sheetFormatPr defaultColWidth="9.140625" defaultRowHeight="15.75" x14ac:dyDescent="0.25"/>
  <cols>
    <col min="1" max="1" width="30.7109375" style="7" customWidth="1"/>
    <col min="2" max="2" width="2.7109375" style="7" customWidth="1"/>
    <col min="3" max="3" width="4.7109375" style="1" customWidth="1"/>
    <col min="4" max="4" width="48" style="1" customWidth="1"/>
    <col min="5" max="6" width="20.7109375" style="1" customWidth="1"/>
    <col min="7" max="7" width="30.28515625" style="1" customWidth="1"/>
    <col min="8" max="9" width="20.7109375" style="1" customWidth="1"/>
    <col min="10" max="10" width="34.28515625" style="1" customWidth="1"/>
    <col min="11" max="13" width="20.7109375" style="1" customWidth="1"/>
    <col min="14" max="14" width="33.140625" style="1" customWidth="1"/>
    <col min="15" max="15" width="36.42578125" style="1" customWidth="1"/>
    <col min="16" max="16" width="21" style="1" customWidth="1"/>
    <col min="17" max="17" width="21.28515625" style="1" customWidth="1"/>
    <col min="18" max="18" width="31.140625" style="1" customWidth="1"/>
    <col min="19" max="20" width="20.7109375" style="1" customWidth="1"/>
    <col min="21" max="21" width="4.7109375" style="1" customWidth="1"/>
    <col min="22" max="33" width="20.7109375" style="7" customWidth="1"/>
    <col min="34" max="39" width="21.85546875" style="7" customWidth="1"/>
    <col min="40" max="44" width="20.7109375" style="7" customWidth="1"/>
    <col min="45" max="65" width="9.140625" style="7"/>
    <col min="66" max="16384" width="9.140625" style="3"/>
  </cols>
  <sheetData>
    <row r="1" spans="1:65" s="8" customFormat="1" ht="30" customHeight="1" x14ac:dyDescent="0.35">
      <c r="A1" s="8" t="e" vm="1">
        <v>#VALUE!</v>
      </c>
      <c r="C1" s="8" t="s">
        <v>70</v>
      </c>
    </row>
    <row r="2" spans="1:65" s="9" customFormat="1" ht="20.100000000000001" customHeight="1" x14ac:dyDescent="0.25"/>
    <row r="3" spans="1:65" ht="20.100000000000001" customHeight="1" x14ac:dyDescent="0.25">
      <c r="A3"/>
      <c r="C3" s="4"/>
      <c r="D3" s="4"/>
      <c r="E3" s="4"/>
      <c r="F3" s="4"/>
      <c r="G3" s="4"/>
      <c r="H3" s="4"/>
      <c r="I3" s="4"/>
      <c r="J3" s="4"/>
      <c r="K3" s="4"/>
      <c r="L3" s="4"/>
      <c r="M3" s="4"/>
      <c r="N3" s="4"/>
      <c r="O3" s="4"/>
      <c r="P3" s="4"/>
      <c r="Q3" s="4"/>
      <c r="R3" s="4"/>
      <c r="S3" s="4"/>
      <c r="T3" s="4"/>
      <c r="U3" s="4"/>
      <c r="V3" s="11"/>
      <c r="W3" s="11"/>
    </row>
    <row r="4" spans="1:65" ht="20.100000000000001" customHeight="1" x14ac:dyDescent="0.25">
      <c r="A4"/>
      <c r="BM4" s="3"/>
    </row>
    <row r="5" spans="1:65" ht="20.100000000000001" customHeight="1" x14ac:dyDescent="0.25">
      <c r="A5"/>
      <c r="D5" s="6" t="str" cm="1">
        <f t="array" ref="D5">Common_SourceData.Common_SourceData_AustralianStatesTerritories_Title()</f>
        <v>Australian states and territories</v>
      </c>
      <c r="BM5" s="3"/>
    </row>
    <row r="6" spans="1:65" ht="20.100000000000001" customHeight="1" x14ac:dyDescent="0.25">
      <c r="A6"/>
      <c r="D6" s="37" t="s">
        <v>17</v>
      </c>
      <c r="E6" s="37" t="s">
        <v>18</v>
      </c>
      <c r="F6" s="37" t="s">
        <v>19</v>
      </c>
    </row>
    <row r="7" spans="1:65" ht="20.100000000000001" customHeight="1" x14ac:dyDescent="0.25">
      <c r="A7"/>
      <c r="D7" s="37" t="str" cm="1">
        <f t="array" ref="D7">Common_InputFunctions.Utility_DisplayArrayInTable(Common_SourceData.Common_SourceData_AustralianStatesTerritories_Data(),Table_AustralianStates[[#Headers],[State/Territory]],0)</f>
        <v>New South Wales</v>
      </c>
      <c r="E7" s="37" t="str" cm="1">
        <f t="array" ref="E7">Common_InputFunctions.Utility_DisplayArrayInTable(Common_SourceData.Common_SourceData_AustralianStatesTerritories_Data(),Table_AustralianStates[[#Headers],[State/Territory]],0)</f>
        <v>New South Wales</v>
      </c>
      <c r="F7" s="37" t="str" cm="1">
        <f t="array" ref="F7">Common_InputFunctions.Utility_DisplayArrayInTable(Common_SourceData.Common_SourceData_AustralianStatesTerritories_Data(),Table_AustralianStates[[#Headers],[State/Territory]],0)</f>
        <v>NSW</v>
      </c>
    </row>
    <row r="8" spans="1:65" ht="20.100000000000001" customHeight="1" x14ac:dyDescent="0.25">
      <c r="A8"/>
      <c r="D8" s="37" t="str" cm="1">
        <f t="array" ref="D8">Common_InputFunctions.Utility_DisplayArrayInTable(Common_SourceData.Common_SourceData_AustralianStatesTerritories_Data(),Table_AustralianStates[[#Headers],[State/Territory]],0)</f>
        <v>Australian Capital Territory</v>
      </c>
      <c r="E8" s="37" t="str" cm="1">
        <f t="array" ref="E8">Common_InputFunctions.Utility_DisplayArrayInTable(Common_SourceData.Common_SourceData_AustralianStatesTerritories_Data(),Table_AustralianStates[[#Headers],[State/Territory]],0)</f>
        <v>ACT</v>
      </c>
      <c r="F8" s="37" t="str" cm="1">
        <f t="array" ref="F8">Common_InputFunctions.Utility_DisplayArrayInTable(Common_SourceData.Common_SourceData_AustralianStatesTerritories_Data(),Table_AustralianStates[[#Headers],[State/Territory]],0)</f>
        <v>ACT</v>
      </c>
    </row>
    <row r="9" spans="1:65" ht="20.100000000000001" customHeight="1" x14ac:dyDescent="0.25">
      <c r="A9"/>
      <c r="D9" s="37" t="str" cm="1">
        <f t="array" ref="D9">Common_InputFunctions.Utility_DisplayArrayInTable(Common_SourceData.Common_SourceData_AustralianStatesTerritories_Data(),Table_AustralianStates[[#Headers],[State/Territory]],0)</f>
        <v>Victoria</v>
      </c>
      <c r="E9" s="37" t="str" cm="1">
        <f t="array" ref="E9">Common_InputFunctions.Utility_DisplayArrayInTable(Common_SourceData.Common_SourceData_AustralianStatesTerritories_Data(),Table_AustralianStates[[#Headers],[State/Territory]],0)</f>
        <v>Victoria</v>
      </c>
      <c r="F9" s="37" t="str" cm="1">
        <f t="array" ref="F9">Common_InputFunctions.Utility_DisplayArrayInTable(Common_SourceData.Common_SourceData_AustralianStatesTerritories_Data(),Table_AustralianStates[[#Headers],[State/Territory]],0)</f>
        <v>VIC</v>
      </c>
    </row>
    <row r="10" spans="1:65" ht="20.100000000000001" customHeight="1" x14ac:dyDescent="0.25">
      <c r="A10"/>
      <c r="D10" s="37" t="str" cm="1">
        <f t="array" ref="D10">Common_InputFunctions.Utility_DisplayArrayInTable(Common_SourceData.Common_SourceData_AustralianStatesTerritories_Data(),Table_AustralianStates[[#Headers],[State/Territory]],0)</f>
        <v>Queensland</v>
      </c>
      <c r="E10" s="37" t="str" cm="1">
        <f t="array" ref="E10">Common_InputFunctions.Utility_DisplayArrayInTable(Common_SourceData.Common_SourceData_AustralianStatesTerritories_Data(),Table_AustralianStates[[#Headers],[State/Territory]],0)</f>
        <v>Queensland</v>
      </c>
      <c r="F10" s="37" t="str" cm="1">
        <f t="array" ref="F10">Common_InputFunctions.Utility_DisplayArrayInTable(Common_SourceData.Common_SourceData_AustralianStatesTerritories_Data(),Table_AustralianStates[[#Headers],[State/Territory]],0)</f>
        <v>QLD</v>
      </c>
    </row>
    <row r="11" spans="1:65" ht="20.100000000000001" customHeight="1" x14ac:dyDescent="0.25">
      <c r="A11"/>
      <c r="D11" s="37" t="str" cm="1">
        <f t="array" ref="D11">Common_InputFunctions.Utility_DisplayArrayInTable(Common_SourceData.Common_SourceData_AustralianStatesTerritories_Data(),Table_AustralianStates[[#Headers],[State/Territory]],0)</f>
        <v>South Australia</v>
      </c>
      <c r="E11" s="37" t="str" cm="1">
        <f t="array" ref="E11">Common_InputFunctions.Utility_DisplayArrayInTable(Common_SourceData.Common_SourceData_AustralianStatesTerritories_Data(),Table_AustralianStates[[#Headers],[State/Territory]],0)</f>
        <v>South Australia</v>
      </c>
      <c r="F11" s="37" t="str" cm="1">
        <f t="array" ref="F11">Common_InputFunctions.Utility_DisplayArrayInTable(Common_SourceData.Common_SourceData_AustralianStatesTerritories_Data(),Table_AustralianStates[[#Headers],[State/Territory]],0)</f>
        <v>SA</v>
      </c>
      <c r="BM11" s="3"/>
    </row>
    <row r="12" spans="1:65" ht="20.100000000000001" customHeight="1" x14ac:dyDescent="0.25">
      <c r="A12"/>
      <c r="D12" s="37" t="str" cm="1">
        <f t="array" ref="D12">Common_InputFunctions.Utility_DisplayArrayInTable(Common_SourceData.Common_SourceData_AustralianStatesTerritories_Data(),Table_AustralianStates[[#Headers],[State/Territory]],0)</f>
        <v>Western Australia</v>
      </c>
      <c r="E12" s="37" t="str" cm="1">
        <f t="array" ref="E12">Common_InputFunctions.Utility_DisplayArrayInTable(Common_SourceData.Common_SourceData_AustralianStatesTerritories_Data(),Table_AustralianStates[[#Headers],[State/Territory]],0)</f>
        <v>Western Australia</v>
      </c>
      <c r="F12" s="37" t="str" cm="1">
        <f t="array" ref="F12">Common_InputFunctions.Utility_DisplayArrayInTable(Common_SourceData.Common_SourceData_AustralianStatesTerritories_Data(),Table_AustralianStates[[#Headers],[State/Territory]],0)</f>
        <v>WA</v>
      </c>
      <c r="BM12" s="3"/>
    </row>
    <row r="13" spans="1:65" ht="20.100000000000001" customHeight="1" x14ac:dyDescent="0.25">
      <c r="A13"/>
      <c r="D13" s="37" t="str" cm="1">
        <f t="array" ref="D13">Common_InputFunctions.Utility_DisplayArrayInTable(Common_SourceData.Common_SourceData_AustralianStatesTerritories_Data(),Table_AustralianStates[[#Headers],[State/Territory]],0)</f>
        <v>Tasmania</v>
      </c>
      <c r="E13" s="37" t="str" cm="1">
        <f t="array" ref="E13">Common_InputFunctions.Utility_DisplayArrayInTable(Common_SourceData.Common_SourceData_AustralianStatesTerritories_Data(),Table_AustralianStates[[#Headers],[State/Territory]],0)</f>
        <v>Tasmania</v>
      </c>
      <c r="F13" s="37" t="str" cm="1">
        <f t="array" ref="F13">Common_InputFunctions.Utility_DisplayArrayInTable(Common_SourceData.Common_SourceData_AustralianStatesTerritories_Data(),Table_AustralianStates[[#Headers],[State/Territory]],0)</f>
        <v>TAS</v>
      </c>
    </row>
    <row r="14" spans="1:65" ht="20.100000000000001" customHeight="1" x14ac:dyDescent="0.25">
      <c r="A14"/>
      <c r="D14" s="37" t="str" cm="1">
        <f t="array" ref="D14">Common_InputFunctions.Utility_DisplayArrayInTable(Common_SourceData.Common_SourceData_AustralianStatesTerritories_Data(),Table_AustralianStates[[#Headers],[State/Territory]],0)</f>
        <v>Northern Territory</v>
      </c>
      <c r="E14" s="37" t="str" cm="1">
        <f t="array" ref="E14">Common_InputFunctions.Utility_DisplayArrayInTable(Common_SourceData.Common_SourceData_AustralianStatesTerritories_Data(),Table_AustralianStates[[#Headers],[State/Territory]],0)</f>
        <v>Northern Territory</v>
      </c>
      <c r="F14" s="37" t="str" cm="1">
        <f t="array" ref="F14">Common_InputFunctions.Utility_DisplayArrayInTable(Common_SourceData.Common_SourceData_AustralianStatesTerritories_Data(),Table_AustralianStates[[#Headers],[State/Territory]],0)</f>
        <v>NT</v>
      </c>
    </row>
    <row r="15" spans="1:65" ht="20.100000000000001" customHeight="1" x14ac:dyDescent="0.25">
      <c r="A15"/>
    </row>
    <row r="16" spans="1:65" ht="20.100000000000001" customHeight="1" x14ac:dyDescent="0.25">
      <c r="A16"/>
    </row>
    <row r="17" spans="1:4" ht="20.100000000000001" customHeight="1" x14ac:dyDescent="0.25">
      <c r="A17"/>
    </row>
    <row r="18" spans="1:4" ht="20.100000000000001" customHeight="1" x14ac:dyDescent="0.25">
      <c r="A18"/>
      <c r="D18" s="6" t="str" cm="1">
        <f t="array" ref="D18">Common_SourceData.Common_SourceData_WASA4Areas_Title()</f>
        <v>ABS Statistcal Areas Level 4 - Western Australia</v>
      </c>
    </row>
    <row r="19" spans="1:4" ht="20.100000000000001" customHeight="1" x14ac:dyDescent="0.25">
      <c r="A19"/>
      <c r="D19" s="5" t="str" cm="1">
        <f t="array" ref="D19">Common_SourceData.Common_SourceData_WASA4Areas_Source()</f>
        <v>Australian Bureau of Statistics (ABS) - Statistical Areas Level 2 - 2021 - Shapefile</v>
      </c>
    </row>
    <row r="20" spans="1:4" ht="20.100000000000001" customHeight="1" x14ac:dyDescent="0.25">
      <c r="A20"/>
      <c r="D20" s="37" t="s">
        <v>20</v>
      </c>
    </row>
    <row r="21" spans="1:4" ht="20.100000000000001" customHeight="1" x14ac:dyDescent="0.25">
      <c r="A21"/>
      <c r="D21" s="37" t="str" cm="1">
        <f t="array" ref="D21">Common_InputFunctions.Utility_DisplayArrayInTable(Common_SourceData.Common_SourceData_WASA4Areas_Data(), Table_WASA4Areas[[#Headers],[SA 4 Name]], 0)</f>
        <v>Bunbury</v>
      </c>
    </row>
    <row r="22" spans="1:4" ht="20.100000000000001" customHeight="1" x14ac:dyDescent="0.25">
      <c r="A22"/>
      <c r="D22" s="37" t="str" cm="1">
        <f t="array" ref="D22">Common_InputFunctions.Utility_DisplayArrayInTable(Common_SourceData.Common_SourceData_WASA4Areas_Data(), Table_WASA4Areas[[#Headers],[SA 4 Name]], 0)</f>
        <v>Mandurah</v>
      </c>
    </row>
    <row r="23" spans="1:4" ht="20.100000000000001" customHeight="1" x14ac:dyDescent="0.25">
      <c r="A23"/>
      <c r="D23" s="37" t="str" cm="1">
        <f t="array" ref="D23">Common_InputFunctions.Utility_DisplayArrayInTable(Common_SourceData.Common_SourceData_WASA4Areas_Data(), Table_WASA4Areas[[#Headers],[SA 4 Name]], 0)</f>
        <v>Perth - Inner</v>
      </c>
    </row>
    <row r="24" spans="1:4" ht="20.100000000000001" customHeight="1" x14ac:dyDescent="0.25">
      <c r="A24"/>
      <c r="D24" s="37" t="str" cm="1">
        <f t="array" ref="D24">Common_InputFunctions.Utility_DisplayArrayInTable(Common_SourceData.Common_SourceData_WASA4Areas_Data(), Table_WASA4Areas[[#Headers],[SA 4 Name]], 0)</f>
        <v>Perth - North East</v>
      </c>
    </row>
    <row r="25" spans="1:4" ht="20.100000000000001" customHeight="1" x14ac:dyDescent="0.25">
      <c r="A25"/>
      <c r="D25" s="37" t="str" cm="1">
        <f t="array" ref="D25">Common_InputFunctions.Utility_DisplayArrayInTable(Common_SourceData.Common_SourceData_WASA4Areas_Data(), Table_WASA4Areas[[#Headers],[SA 4 Name]], 0)</f>
        <v>Perth - North West</v>
      </c>
    </row>
    <row r="26" spans="1:4" ht="20.100000000000001" customHeight="1" x14ac:dyDescent="0.25">
      <c r="A26"/>
      <c r="D26" s="37" t="str" cm="1">
        <f t="array" ref="D26">Common_InputFunctions.Utility_DisplayArrayInTable(Common_SourceData.Common_SourceData_WASA4Areas_Data(), Table_WASA4Areas[[#Headers],[SA 4 Name]], 0)</f>
        <v>Perth - South East</v>
      </c>
    </row>
    <row r="27" spans="1:4" ht="20.100000000000001" customHeight="1" x14ac:dyDescent="0.25">
      <c r="A27"/>
      <c r="D27" s="37" t="str" cm="1">
        <f t="array" ref="D27">Common_InputFunctions.Utility_DisplayArrayInTable(Common_SourceData.Common_SourceData_WASA4Areas_Data(), Table_WASA4Areas[[#Headers],[SA 4 Name]], 0)</f>
        <v>Perth - South West</v>
      </c>
    </row>
    <row r="28" spans="1:4" ht="20.100000000000001" customHeight="1" x14ac:dyDescent="0.25">
      <c r="A28"/>
      <c r="D28" s="37" t="str" cm="1">
        <f t="array" ref="D28">Common_InputFunctions.Utility_DisplayArrayInTable(Common_SourceData.Common_SourceData_WASA4Areas_Data(), Table_WASA4Areas[[#Headers],[SA 4 Name]], 0)</f>
        <v>Western Australia - Wheat Belt</v>
      </c>
    </row>
    <row r="29" spans="1:4" ht="20.100000000000001" customHeight="1" x14ac:dyDescent="0.25">
      <c r="A29"/>
      <c r="D29" s="37" t="str" cm="1">
        <f t="array" ref="D29">Common_InputFunctions.Utility_DisplayArrayInTable(Common_SourceData.Common_SourceData_WASA4Areas_Data(), Table_WASA4Areas[[#Headers],[SA 4 Name]], 0)</f>
        <v>Western Australia - Outback (North)</v>
      </c>
    </row>
    <row r="30" spans="1:4" ht="20.100000000000001" customHeight="1" x14ac:dyDescent="0.25">
      <c r="A30"/>
      <c r="D30" s="37" t="str" cm="1">
        <f t="array" ref="D30">Common_InputFunctions.Utility_DisplayArrayInTable(Common_SourceData.Common_SourceData_WASA4Areas_Data(), Table_WASA4Areas[[#Headers],[SA 4 Name]], 0)</f>
        <v>Western Australia - Outback (South)</v>
      </c>
    </row>
    <row r="31" spans="1:4" ht="20.100000000000001" customHeight="1" x14ac:dyDescent="0.25">
      <c r="A31"/>
    </row>
    <row r="32" spans="1:4" ht="20.100000000000001" customHeight="1" x14ac:dyDescent="0.25">
      <c r="A32"/>
    </row>
    <row r="33" spans="1:8" ht="20.100000000000001" customHeight="1" x14ac:dyDescent="0.25">
      <c r="A33"/>
    </row>
    <row r="34" spans="1:8" ht="20.100000000000001" customHeight="1" x14ac:dyDescent="0.25">
      <c r="A34"/>
      <c r="D34" s="6" t="str" cm="1">
        <f t="array" ref="D34">Common_SourceData.Common_SourceData_GWP_Title()</f>
        <v>Global warming potential for greenhouse gases</v>
      </c>
    </row>
    <row r="35" spans="1:8" ht="20.100000000000001" customHeight="1" x14ac:dyDescent="0.25">
      <c r="A35"/>
      <c r="D35" s="5" t="str" cm="1">
        <f t="array" ref="D35">Common_SourceData.Common_SourceData_GWP_Source()</f>
        <v>XXXXXXX</v>
      </c>
    </row>
    <row r="36" spans="1:8" ht="20.100000000000001" customHeight="1" x14ac:dyDescent="0.25">
      <c r="A36"/>
      <c r="D36" s="37" t="s">
        <v>23</v>
      </c>
      <c r="E36" s="37" t="s">
        <v>24</v>
      </c>
    </row>
    <row r="37" spans="1:8" ht="20.100000000000001" customHeight="1" x14ac:dyDescent="0.25">
      <c r="A37"/>
      <c r="D37" s="37" t="str" cm="1">
        <f t="array" ref="D37">Common_InputFunctions.Utility_DisplayArrayInTable(Common_SourceData.Common_SourceData_GWP_Data(), Table_GWPData[[#Headers],[Gas]], 0)</f>
        <v>CO2</v>
      </c>
      <c r="E37" s="37" cm="1">
        <f t="array" ref="E37">Common_InputFunctions.Utility_DisplayArrayInTable(Common_SourceData.Common_SourceData_GWP_Data(), Table_GWPData[[#Headers],[Gas]], 0)</f>
        <v>1</v>
      </c>
    </row>
    <row r="38" spans="1:8" ht="20.100000000000001" customHeight="1" x14ac:dyDescent="0.25">
      <c r="A38"/>
      <c r="D38" s="37" t="str" cm="1">
        <f t="array" ref="D38">Common_InputFunctions.Utility_DisplayArrayInTable(Common_SourceData.Common_SourceData_GWP_Data(), Table_GWPData[[#Headers],[Gas]], 0)</f>
        <v>CH4</v>
      </c>
      <c r="E38" s="37" cm="1">
        <f t="array" ref="E38">Common_InputFunctions.Utility_DisplayArrayInTable(Common_SourceData.Common_SourceData_GWP_Data(), Table_GWPData[[#Headers],[Gas]], 0)</f>
        <v>28</v>
      </c>
    </row>
    <row r="39" spans="1:8" ht="20.100000000000001" customHeight="1" x14ac:dyDescent="0.25">
      <c r="A39"/>
      <c r="D39" s="37" t="str" cm="1">
        <f t="array" ref="D39">Common_InputFunctions.Utility_DisplayArrayInTable(Common_SourceData.Common_SourceData_GWP_Data(), Table_GWPData[[#Headers],[Gas]], 0)</f>
        <v>N2O</v>
      </c>
      <c r="E39" s="37" cm="1">
        <f t="array" ref="E39">Common_InputFunctions.Utility_DisplayArrayInTable(Common_SourceData.Common_SourceData_GWP_Data(), Table_GWPData[[#Headers],[Gas]], 0)</f>
        <v>265</v>
      </c>
    </row>
    <row r="40" spans="1:8" ht="20.100000000000001" customHeight="1" x14ac:dyDescent="0.25">
      <c r="A40"/>
      <c r="D40" s="37" t="str" cm="1">
        <f t="array" ref="D40">Common_InputFunctions.Utility_DisplayArrayInTable(Common_SourceData.Common_SourceData_GWP_Data(), Table_GWPData[[#Headers],[Gas]], 0)</f>
        <v>CF4</v>
      </c>
      <c r="E40" s="37" cm="1">
        <f t="array" ref="E40">Common_InputFunctions.Utility_DisplayArrayInTable(Common_SourceData.Common_SourceData_GWP_Data(), Table_GWPData[[#Headers],[Gas]], 0)</f>
        <v>6630</v>
      </c>
    </row>
    <row r="41" spans="1:8" ht="20.100000000000001" customHeight="1" x14ac:dyDescent="0.25">
      <c r="A41"/>
      <c r="D41" s="37" t="str" cm="1">
        <f t="array" ref="D41">Common_InputFunctions.Utility_DisplayArrayInTable(Common_SourceData.Common_SourceData_GWP_Data(), Table_GWPData[[#Headers],[Gas]], 0)</f>
        <v>C2F6</v>
      </c>
      <c r="E41" s="37" cm="1">
        <f t="array" ref="E41">Common_InputFunctions.Utility_DisplayArrayInTable(Common_SourceData.Common_SourceData_GWP_Data(), Table_GWPData[[#Headers],[Gas]], 0)</f>
        <v>12200</v>
      </c>
    </row>
    <row r="42" spans="1:8" ht="20.100000000000001" customHeight="1" x14ac:dyDescent="0.25">
      <c r="D42" s="37" t="str" cm="1">
        <f t="array" ref="D42">Common_InputFunctions.Utility_DisplayArrayInTable(Common_SourceData.Common_SourceData_GWP_Data(), Table_GWPData[[#Headers],[Gas]], 0)</f>
        <v>SF6</v>
      </c>
      <c r="E42" s="37" cm="1">
        <f t="array" ref="E42">Common_InputFunctions.Utility_DisplayArrayInTable(Common_SourceData.Common_SourceData_GWP_Data(), Table_GWPData[[#Headers],[Gas]], 0)</f>
        <v>22800</v>
      </c>
    </row>
    <row r="43" spans="1:8" ht="20.100000000000001" customHeight="1" x14ac:dyDescent="0.25">
      <c r="D43" s="37" t="str" cm="1">
        <f t="array" ref="D43">Common_InputFunctions.Utility_DisplayArrayInTable(Common_SourceData.Common_SourceData_GWP_Data(), Table_GWPData[[#Headers],[Gas]], 0)</f>
        <v>NF3</v>
      </c>
      <c r="E43" s="37" cm="1">
        <f t="array" ref="E43">Common_InputFunctions.Utility_DisplayArrayInTable(Common_SourceData.Common_SourceData_GWP_Data(), Table_GWPData[[#Headers],[Gas]], 0)</f>
        <v>17200</v>
      </c>
    </row>
    <row r="44" spans="1:8" ht="20.100000000000001" customHeight="1" x14ac:dyDescent="0.25"/>
    <row r="45" spans="1:8" ht="20.100000000000001" customHeight="1" x14ac:dyDescent="0.25">
      <c r="D45" s="6" t="str" cm="1">
        <f t="array" ref="D45">Common_SourceData.Common_SourceData_ConvertGasElementalToMolecular_Title()</f>
        <v>Factor to convert elemental mass of gas to molecular mass</v>
      </c>
    </row>
    <row r="46" spans="1:8" ht="20.100000000000001" customHeight="1" x14ac:dyDescent="0.25">
      <c r="D46" s="5" t="str" cm="1">
        <f t="array" ref="D46">Common_SourceData.Common_SourceData_ConvertGasElementalToMolecular_Source()</f>
        <v>XXXXXXX</v>
      </c>
    </row>
    <row r="47" spans="1:8" ht="20.100000000000001" customHeight="1" x14ac:dyDescent="0.25">
      <c r="D47" s="37" t="s">
        <v>23</v>
      </c>
      <c r="E47" s="37" t="s">
        <v>26</v>
      </c>
      <c r="F47" s="37" t="s">
        <v>27</v>
      </c>
      <c r="G47" s="37" t="s">
        <v>28</v>
      </c>
      <c r="H47" s="37" t="s">
        <v>29</v>
      </c>
    </row>
    <row r="48" spans="1:8" ht="20.100000000000001" customHeight="1" x14ac:dyDescent="0.25">
      <c r="D48" s="37" t="str" cm="1">
        <f t="array" ref="D48">Common_InputFunctions.Utility_DisplayArrayInTable(Common_SourceData.Common_SourceData_ConvertGasElementalToMolecular_Data(),Table_GasToMolecularConversionFactor[[#Headers],[Gas]], 0)</f>
        <v>CO2</v>
      </c>
      <c r="E48" s="37" t="str" cm="1">
        <f t="array" ref="E48">Common_InputFunctions.Utility_DisplayArrayInTable(Common_SourceData.Common_SourceData_ConvertGasElementalToMolecular_Data(),Table_GasToMolecularConversionFactor[[#Headers],[Gas]], 0)</f>
        <v>44/12</v>
      </c>
      <c r="F48" s="37" cm="1">
        <f t="array" ref="F48">Common_InputFunctions.Utility_DisplayArrayInTable(Common_SourceData.Common_SourceData_ConvertGasElementalToMolecular_Data(),Table_GasToMolecularConversionFactor[[#Headers],[Gas]], 0)</f>
        <v>44</v>
      </c>
      <c r="G48" s="37" cm="1">
        <f t="array" ref="G48">Common_InputFunctions.Utility_DisplayArrayInTable(Common_SourceData.Common_SourceData_ConvertGasElementalToMolecular_Data(),Table_GasToMolecularConversionFactor[[#Headers],[Gas]], 0)</f>
        <v>12</v>
      </c>
      <c r="H48" s="37">
        <f>Table_GasToMolecularConversionFactor[[#This Row],[Conversion factor 1]]/Table_GasToMolecularConversionFactor[[#This Row],[Conversion factor 2]]</f>
        <v>3.6666666666666665</v>
      </c>
    </row>
    <row r="49" spans="4:8" ht="20.100000000000001" customHeight="1" x14ac:dyDescent="0.25">
      <c r="D49" s="37" t="str" cm="1">
        <f t="array" ref="D49">Common_InputFunctions.Utility_DisplayArrayInTable(Common_SourceData.Common_SourceData_ConvertGasElementalToMolecular_Data(),Table_GasToMolecularConversionFactor[[#Headers],[Gas]], 0)</f>
        <v>CH4</v>
      </c>
      <c r="E49" s="37" t="str" cm="1">
        <f t="array" ref="E49">Common_InputFunctions.Utility_DisplayArrayInTable(Common_SourceData.Common_SourceData_ConvertGasElementalToMolecular_Data(),Table_GasToMolecularConversionFactor[[#Headers],[Gas]], 0)</f>
        <v>16/12</v>
      </c>
      <c r="F49" s="37" cm="1">
        <f t="array" ref="F49">Common_InputFunctions.Utility_DisplayArrayInTable(Common_SourceData.Common_SourceData_ConvertGasElementalToMolecular_Data(),Table_GasToMolecularConversionFactor[[#Headers],[Gas]], 0)</f>
        <v>16</v>
      </c>
      <c r="G49" s="37" cm="1">
        <f t="array" ref="G49">Common_InputFunctions.Utility_DisplayArrayInTable(Common_SourceData.Common_SourceData_ConvertGasElementalToMolecular_Data(),Table_GasToMolecularConversionFactor[[#Headers],[Gas]], 0)</f>
        <v>12</v>
      </c>
      <c r="H49" s="37">
        <f>Table_GasToMolecularConversionFactor[[#This Row],[Conversion factor 1]]/Table_GasToMolecularConversionFactor[[#This Row],[Conversion factor 2]]</f>
        <v>1.3333333333333333</v>
      </c>
    </row>
    <row r="50" spans="4:8" ht="20.100000000000001" customHeight="1" x14ac:dyDescent="0.25">
      <c r="D50" s="37" t="str" cm="1">
        <f t="array" ref="D50">Common_InputFunctions.Utility_DisplayArrayInTable(Common_SourceData.Common_SourceData_ConvertGasElementalToMolecular_Data(),Table_GasToMolecularConversionFactor[[#Headers],[Gas]], 0)</f>
        <v>N2O</v>
      </c>
      <c r="E50" s="37" t="str" cm="1">
        <f t="array" ref="E50">Common_InputFunctions.Utility_DisplayArrayInTable(Common_SourceData.Common_SourceData_ConvertGasElementalToMolecular_Data(),Table_GasToMolecularConversionFactor[[#Headers],[Gas]], 0)</f>
        <v>44/28</v>
      </c>
      <c r="F50" s="37" cm="1">
        <f t="array" ref="F50">Common_InputFunctions.Utility_DisplayArrayInTable(Common_SourceData.Common_SourceData_ConvertGasElementalToMolecular_Data(),Table_GasToMolecularConversionFactor[[#Headers],[Gas]], 0)</f>
        <v>44</v>
      </c>
      <c r="G50" s="37" cm="1">
        <f t="array" ref="G50">Common_InputFunctions.Utility_DisplayArrayInTable(Common_SourceData.Common_SourceData_ConvertGasElementalToMolecular_Data(),Table_GasToMolecularConversionFactor[[#Headers],[Gas]], 0)</f>
        <v>28</v>
      </c>
      <c r="H50" s="37">
        <f>Table_GasToMolecularConversionFactor[[#This Row],[Conversion factor 1]]/Table_GasToMolecularConversionFactor[[#This Row],[Conversion factor 2]]</f>
        <v>1.5714285714285714</v>
      </c>
    </row>
    <row r="51" spans="4:8" ht="20.100000000000001" customHeight="1" x14ac:dyDescent="0.25">
      <c r="D51" s="37" t="str" cm="1">
        <f t="array" ref="D51">Common_InputFunctions.Utility_DisplayArrayInTable(Common_SourceData.Common_SourceData_ConvertGasElementalToMolecular_Data(),Table_GasToMolecularConversionFactor[[#Headers],[Gas]], 0)</f>
        <v>Nox</v>
      </c>
      <c r="E51" s="37" t="str" cm="1">
        <f t="array" ref="E51">Common_InputFunctions.Utility_DisplayArrayInTable(Common_SourceData.Common_SourceData_ConvertGasElementalToMolecular_Data(),Table_GasToMolecularConversionFactor[[#Headers],[Gas]], 0)</f>
        <v>46/14</v>
      </c>
      <c r="F51" s="37" cm="1">
        <f t="array" ref="F51">Common_InputFunctions.Utility_DisplayArrayInTable(Common_SourceData.Common_SourceData_ConvertGasElementalToMolecular_Data(),Table_GasToMolecularConversionFactor[[#Headers],[Gas]], 0)</f>
        <v>46</v>
      </c>
      <c r="G51" s="37" cm="1">
        <f t="array" ref="G51">Common_InputFunctions.Utility_DisplayArrayInTable(Common_SourceData.Common_SourceData_ConvertGasElementalToMolecular_Data(),Table_GasToMolecularConversionFactor[[#Headers],[Gas]], 0)</f>
        <v>14</v>
      </c>
      <c r="H51" s="37">
        <f>Table_GasToMolecularConversionFactor[[#This Row],[Conversion factor 1]]/Table_GasToMolecularConversionFactor[[#This Row],[Conversion factor 2]]</f>
        <v>3.2857142857142856</v>
      </c>
    </row>
    <row r="52" spans="4:8" ht="20.100000000000001" customHeight="1" x14ac:dyDescent="0.25">
      <c r="D52" s="37" t="str" cm="1">
        <f t="array" ref="D52">Common_InputFunctions.Utility_DisplayArrayInTable(Common_SourceData.Common_SourceData_ConvertGasElementalToMolecular_Data(),Table_GasToMolecularConversionFactor[[#Headers],[Gas]], 0)</f>
        <v>CO</v>
      </c>
      <c r="E52" s="37" t="str" cm="1">
        <f t="array" ref="E52">Common_InputFunctions.Utility_DisplayArrayInTable(Common_SourceData.Common_SourceData_ConvertGasElementalToMolecular_Data(),Table_GasToMolecularConversionFactor[[#Headers],[Gas]], 0)</f>
        <v>28/12</v>
      </c>
      <c r="F52" s="37" cm="1">
        <f t="array" ref="F52">Common_InputFunctions.Utility_DisplayArrayInTable(Common_SourceData.Common_SourceData_ConvertGasElementalToMolecular_Data(),Table_GasToMolecularConversionFactor[[#Headers],[Gas]], 0)</f>
        <v>28</v>
      </c>
      <c r="G52" s="37" cm="1">
        <f t="array" ref="G52">Common_InputFunctions.Utility_DisplayArrayInTable(Common_SourceData.Common_SourceData_ConvertGasElementalToMolecular_Data(),Table_GasToMolecularConversionFactor[[#Headers],[Gas]], 0)</f>
        <v>12</v>
      </c>
      <c r="H52" s="37">
        <f>Table_GasToMolecularConversionFactor[[#This Row],[Conversion factor 1]]/Table_GasToMolecularConversionFactor[[#This Row],[Conversion factor 2]]</f>
        <v>2.3333333333333335</v>
      </c>
    </row>
    <row r="53" spans="4:8" ht="20.100000000000001" customHeight="1" x14ac:dyDescent="0.25">
      <c r="D53" s="37" t="str" cm="1">
        <f t="array" ref="D53">Common_InputFunctions.Utility_DisplayArrayInTable(Common_SourceData.Common_SourceData_ConvertGasElementalToMolecular_Data(),Table_GasToMolecularConversionFactor[[#Headers],[Gas]], 0)</f>
        <v>CO2 Lime</v>
      </c>
      <c r="E53" s="37" t="str" cm="1">
        <f t="array" ref="E53">Common_InputFunctions.Utility_DisplayArrayInTable(Common_SourceData.Common_SourceData_ConvertGasElementalToMolecular_Data(),Table_GasToMolecularConversionFactor[[#Headers],[Gas]], 0)</f>
        <v>44/12</v>
      </c>
      <c r="F53" s="37" cm="1">
        <f t="array" ref="F53">Common_InputFunctions.Utility_DisplayArrayInTable(Common_SourceData.Common_SourceData_ConvertGasElementalToMolecular_Data(),Table_GasToMolecularConversionFactor[[#Headers],[Gas]], 0)</f>
        <v>44</v>
      </c>
      <c r="G53" s="37" cm="1">
        <f t="array" ref="G53">Common_InputFunctions.Utility_DisplayArrayInTable(Common_SourceData.Common_SourceData_ConvertGasElementalToMolecular_Data(),Table_GasToMolecularConversionFactor[[#Headers],[Gas]], 0)</f>
        <v>12</v>
      </c>
      <c r="H53" s="37">
        <f>Table_GasToMolecularConversionFactor[[#This Row],[Conversion factor 1]]/Table_GasToMolecularConversionFactor[[#This Row],[Conversion factor 2]]</f>
        <v>3.6666666666666665</v>
      </c>
    </row>
    <row r="54" spans="4:8" ht="20.100000000000001" customHeight="1" x14ac:dyDescent="0.25">
      <c r="D54" s="37" t="str" cm="1">
        <f t="array" ref="D54">Common_InputFunctions.Utility_DisplayArrayInTable(Common_SourceData.Common_SourceData_ConvertGasElementalToMolecular_Data(),Table_GasToMolecularConversionFactor[[#Headers],[Gas]], 0)</f>
        <v>NMVOC</v>
      </c>
      <c r="E54" s="37" t="str" cm="1">
        <f t="array" ref="E54">Common_InputFunctions.Utility_DisplayArrayInTable(Common_SourceData.Common_SourceData_ConvertGasElementalToMolecular_Data(),Table_GasToMolecularConversionFactor[[#Headers],[Gas]], 0)</f>
        <v>14/12</v>
      </c>
      <c r="F54" s="37" cm="1">
        <f t="array" ref="F54">Common_InputFunctions.Utility_DisplayArrayInTable(Common_SourceData.Common_SourceData_ConvertGasElementalToMolecular_Data(),Table_GasToMolecularConversionFactor[[#Headers],[Gas]], 0)</f>
        <v>14</v>
      </c>
      <c r="G54" s="37" cm="1">
        <f t="array" ref="G54">Common_InputFunctions.Utility_DisplayArrayInTable(Common_SourceData.Common_SourceData_ConvertGasElementalToMolecular_Data(),Table_GasToMolecularConversionFactor[[#Headers],[Gas]], 0)</f>
        <v>12</v>
      </c>
      <c r="H54" s="37">
        <f>Table_GasToMolecularConversionFactor[[#This Row],[Conversion factor 1]]/Table_GasToMolecularConversionFactor[[#This Row],[Conversion factor 2]]</f>
        <v>1.1666666666666667</v>
      </c>
    </row>
    <row r="55" spans="4:8" ht="20.100000000000001" customHeight="1" x14ac:dyDescent="0.25"/>
    <row r="56" spans="4:8" ht="20.100000000000001" customHeight="1" x14ac:dyDescent="0.25"/>
    <row r="57" spans="4:8" ht="20.100000000000001" customHeight="1" x14ac:dyDescent="0.25">
      <c r="D57" s="6" t="str" cm="1">
        <f t="array" ref="D57">Common_SourceData.Common_SourceData_WetAndDryZones_Title()</f>
        <v>VEERG Australian wet and dry zones</v>
      </c>
    </row>
    <row r="58" spans="4:8" ht="20.100000000000001" customHeight="1" x14ac:dyDescent="0.25">
      <c r="D58" s="5" t="str" cm="1">
        <f t="array" ref="D58">Common_SourceData.Common_SourceData_WetAndDryZones_Source()</f>
        <v>VEERG 2026: Table 1.2: Translating climate zones to wet and dry zones</v>
      </c>
    </row>
    <row r="59" spans="4:8" ht="20.100000000000001" customHeight="1" x14ac:dyDescent="0.25">
      <c r="D59" s="53" t="str" cm="1">
        <f t="array" ref="D59:D61">"⚠️" &amp; Common_SourceData.Common_SourceData_WetAndDryZones_Variation()</f>
        <v>⚠️VARIATION OF SOURCE DATA:</v>
      </c>
    </row>
    <row r="60" spans="4:8" ht="20.100000000000001" customHeight="1" x14ac:dyDescent="0.25">
      <c r="D60" s="53" t="str">
        <v>⚠️Added warm / cool temperate moist / dry - low frost and high temp classes to accommodate climate scenarios excluded by VEERG criteria.</v>
      </c>
    </row>
    <row r="61" spans="4:8" ht="20.100000000000001" customHeight="1" x14ac:dyDescent="0.25">
      <c r="D61" s="53" t="str">
        <v>⚠️Fixed typo - Changed 'Fry' to 'Dry'.</v>
      </c>
    </row>
    <row r="62" spans="4:8" ht="20.100000000000001" customHeight="1" x14ac:dyDescent="0.25"/>
    <row r="63" spans="4:8" ht="20.100000000000001" customHeight="1" x14ac:dyDescent="0.25">
      <c r="D63" s="37" t="s">
        <v>8</v>
      </c>
      <c r="E63" s="37" t="s">
        <v>44</v>
      </c>
    </row>
    <row r="64" spans="4:8" ht="20.100000000000001" customHeight="1" x14ac:dyDescent="0.25">
      <c r="D64" s="37" t="str" cm="1">
        <f t="array" ref="D64">Common_InputFunctions.Utility_DisplayArrayInTable(Common_SourceData.Common_SourceData_WetAndDryZones_Data(), Table_SourceData_WetDryZones[[#Headers],[Climate zone]], 0)</f>
        <v>Tropical montane</v>
      </c>
      <c r="E64" s="37" t="str" cm="1">
        <f t="array" ref="E64">Common_InputFunctions.Utility_DisplayArrayInTable(Common_SourceData.Common_SourceData_WetAndDryZones_Data(), Table_SourceData_WetDryZones[[#Headers],[Climate zone]], 0)</f>
        <v>Wet climate zone</v>
      </c>
    </row>
    <row r="65" spans="4:5" ht="20.100000000000001" customHeight="1" x14ac:dyDescent="0.25">
      <c r="D65" s="37" t="str" cm="1">
        <f t="array" ref="D65">Common_InputFunctions.Utility_DisplayArrayInTable(Common_SourceData.Common_SourceData_WetAndDryZones_Data(), Table_SourceData_WetDryZones[[#Headers],[Climate zone]], 0)</f>
        <v>Tropical wet</v>
      </c>
      <c r="E65" s="37" t="str" cm="1">
        <f t="array" ref="E65">Common_InputFunctions.Utility_DisplayArrayInTable(Common_SourceData.Common_SourceData_WetAndDryZones_Data(), Table_SourceData_WetDryZones[[#Headers],[Climate zone]], 0)</f>
        <v>Wet climate zone</v>
      </c>
    </row>
    <row r="66" spans="4:5" ht="20.100000000000001" customHeight="1" x14ac:dyDescent="0.25">
      <c r="D66" s="37" t="str" cm="1">
        <f t="array" ref="D66">Common_InputFunctions.Utility_DisplayArrayInTable(Common_SourceData.Common_SourceData_WetAndDryZones_Data(), Table_SourceData_WetDryZones[[#Headers],[Climate zone]], 0)</f>
        <v>Tropical moist</v>
      </c>
      <c r="E66" s="37" t="str" cm="1">
        <f t="array" ref="E66">Common_InputFunctions.Utility_DisplayArrayInTable(Common_SourceData.Common_SourceData_WetAndDryZones_Data(), Table_SourceData_WetDryZones[[#Headers],[Climate zone]], 0)</f>
        <v>Wet climate zone</v>
      </c>
    </row>
    <row r="67" spans="4:5" ht="20.100000000000001" customHeight="1" x14ac:dyDescent="0.25">
      <c r="D67" s="37" t="str" cm="1">
        <f t="array" ref="D67">Common_InputFunctions.Utility_DisplayArrayInTable(Common_SourceData.Common_SourceData_WetAndDryZones_Data(), Table_SourceData_WetDryZones[[#Headers],[Climate zone]], 0)</f>
        <v>Tropical dry</v>
      </c>
      <c r="E67" s="37" t="str" cm="1">
        <f t="array" ref="E67">Common_InputFunctions.Utility_DisplayArrayInTable(Common_SourceData.Common_SourceData_WetAndDryZones_Data(), Table_SourceData_WetDryZones[[#Headers],[Climate zone]], 0)</f>
        <v>Dry climate zone</v>
      </c>
    </row>
    <row r="68" spans="4:5" ht="20.100000000000001" customHeight="1" x14ac:dyDescent="0.25">
      <c r="D68" s="37" t="str" cm="1">
        <f t="array" ref="D68">Common_InputFunctions.Utility_DisplayArrayInTable(Common_SourceData.Common_SourceData_WetAndDryZones_Data(), Table_SourceData_WetDryZones[[#Headers],[Climate zone]], 0)</f>
        <v>Warm temperate moist</v>
      </c>
      <c r="E68" s="37" t="str" cm="1">
        <f t="array" ref="E68">Common_InputFunctions.Utility_DisplayArrayInTable(Common_SourceData.Common_SourceData_WetAndDryZones_Data(), Table_SourceData_WetDryZones[[#Headers],[Climate zone]], 0)</f>
        <v>Wet climate zone</v>
      </c>
    </row>
    <row r="69" spans="4:5" ht="20.100000000000001" customHeight="1" x14ac:dyDescent="0.25">
      <c r="D69" s="37" t="str" cm="1">
        <f t="array" ref="D69">Common_InputFunctions.Utility_DisplayArrayInTable(Common_SourceData.Common_SourceData_WetAndDryZones_Data(), Table_SourceData_WetDryZones[[#Headers],[Climate zone]], 0)</f>
        <v>Warm temperate dry</v>
      </c>
      <c r="E69" s="37" t="str" cm="1">
        <f t="array" ref="E69">Common_InputFunctions.Utility_DisplayArrayInTable(Common_SourceData.Common_SourceData_WetAndDryZones_Data(), Table_SourceData_WetDryZones[[#Headers],[Climate zone]], 0)</f>
        <v>Dry climate zone</v>
      </c>
    </row>
    <row r="70" spans="4:5" ht="20.100000000000001" customHeight="1" x14ac:dyDescent="0.25">
      <c r="D70" s="37" t="str" cm="1">
        <f t="array" ref="D70">Common_InputFunctions.Utility_DisplayArrayInTable(Common_SourceData.Common_SourceData_WetAndDryZones_Data(), Table_SourceData_WetDryZones[[#Headers],[Climate zone]], 0)</f>
        <v>Cool temperate moist</v>
      </c>
      <c r="E70" s="37" t="str" cm="1">
        <f t="array" ref="E70">Common_InputFunctions.Utility_DisplayArrayInTable(Common_SourceData.Common_SourceData_WetAndDryZones_Data(), Table_SourceData_WetDryZones[[#Headers],[Climate zone]], 0)</f>
        <v>Wet climate zone</v>
      </c>
    </row>
    <row r="71" spans="4:5" ht="20.100000000000001" customHeight="1" x14ac:dyDescent="0.25">
      <c r="D71" s="37" t="str" cm="1">
        <f t="array" ref="D71">Common_InputFunctions.Utility_DisplayArrayInTable(Common_SourceData.Common_SourceData_WetAndDryZones_Data(), Table_SourceData_WetDryZones[[#Headers],[Climate zone]], 0)</f>
        <v>Cool temperate dry</v>
      </c>
      <c r="E71" s="37" t="str" cm="1">
        <f t="array" ref="E71">Common_InputFunctions.Utility_DisplayArrayInTable(Common_SourceData.Common_SourceData_WetAndDryZones_Data(), Table_SourceData_WetDryZones[[#Headers],[Climate zone]], 0)</f>
        <v>Dry climate zone</v>
      </c>
    </row>
    <row r="72" spans="4:5" ht="20.100000000000001" customHeight="1" x14ac:dyDescent="0.25">
      <c r="D72" s="37" t="str" cm="1">
        <f t="array" ref="D72">Common_InputFunctions.Utility_DisplayArrayInTable(Common_SourceData.Common_SourceData_WetAndDryZones_Data(), Table_SourceData_WetDryZones[[#Headers],[Climate zone]], 0)</f>
        <v>Warm temperate moist - low frost</v>
      </c>
      <c r="E72" s="37" t="str" cm="1">
        <f t="array" ref="E72">Common_InputFunctions.Utility_DisplayArrayInTable(Common_SourceData.Common_SourceData_WetAndDryZones_Data(), Table_SourceData_WetDryZones[[#Headers],[Climate zone]], 0)</f>
        <v>Wet climate zone</v>
      </c>
    </row>
    <row r="73" spans="4:5" ht="20.100000000000001" customHeight="1" x14ac:dyDescent="0.25">
      <c r="D73" s="37" t="str" cm="1">
        <f t="array" ref="D73">Common_InputFunctions.Utility_DisplayArrayInTable(Common_SourceData.Common_SourceData_WetAndDryZones_Data(), Table_SourceData_WetDryZones[[#Headers],[Climate zone]], 0)</f>
        <v>Warm temperate dry - low frost</v>
      </c>
      <c r="E73" s="37" t="str" cm="1">
        <f t="array" ref="E73">Common_InputFunctions.Utility_DisplayArrayInTable(Common_SourceData.Common_SourceData_WetAndDryZones_Data(), Table_SourceData_WetDryZones[[#Headers],[Climate zone]], 0)</f>
        <v>Dry climate zone</v>
      </c>
    </row>
    <row r="74" spans="4:5" ht="20.100000000000001" customHeight="1" x14ac:dyDescent="0.25">
      <c r="D74" s="37" t="str" cm="1">
        <f t="array" ref="D74">Common_InputFunctions.Utility_DisplayArrayInTable(Common_SourceData.Common_SourceData_WetAndDryZones_Data(), Table_SourceData_WetDryZones[[#Headers],[Climate zone]], 0)</f>
        <v>Warm temperate moist - high temp</v>
      </c>
      <c r="E74" s="37" t="str" cm="1">
        <f t="array" ref="E74">Common_InputFunctions.Utility_DisplayArrayInTable(Common_SourceData.Common_SourceData_WetAndDryZones_Data(), Table_SourceData_WetDryZones[[#Headers],[Climate zone]], 0)</f>
        <v>Wet climate zone</v>
      </c>
    </row>
    <row r="75" spans="4:5" ht="20.100000000000001" customHeight="1" x14ac:dyDescent="0.25">
      <c r="D75" s="37" t="str" cm="1">
        <f t="array" ref="D75">Common_InputFunctions.Utility_DisplayArrayInTable(Common_SourceData.Common_SourceData_WetAndDryZones_Data(), Table_SourceData_WetDryZones[[#Headers],[Climate zone]], 0)</f>
        <v>Warm temperate dry - high temp</v>
      </c>
      <c r="E75" s="37" t="str" cm="1">
        <f t="array" ref="E75">Common_InputFunctions.Utility_DisplayArrayInTable(Common_SourceData.Common_SourceData_WetAndDryZones_Data(), Table_SourceData_WetDryZones[[#Headers],[Climate zone]], 0)</f>
        <v>Dry climate zone</v>
      </c>
    </row>
    <row r="76" spans="4:5" ht="20.100000000000001" customHeight="1" x14ac:dyDescent="0.25">
      <c r="D76" s="37" t="str" cm="1">
        <f t="array" ref="D76">Common_InputFunctions.Utility_DisplayArrayInTable(Common_SourceData.Common_SourceData_WetAndDryZones_Data(), Table_SourceData_WetDryZones[[#Headers],[Climate zone]], 0)</f>
        <v>Cool temperate moist - low frost</v>
      </c>
      <c r="E76" s="37" t="str" cm="1">
        <f t="array" ref="E76">Common_InputFunctions.Utility_DisplayArrayInTable(Common_SourceData.Common_SourceData_WetAndDryZones_Data(), Table_SourceData_WetDryZones[[#Headers],[Climate zone]], 0)</f>
        <v>Wet climate zone</v>
      </c>
    </row>
    <row r="77" spans="4:5" ht="20.100000000000001" customHeight="1" x14ac:dyDescent="0.25">
      <c r="D77" s="37" t="str" cm="1">
        <f t="array" ref="D77">Common_InputFunctions.Utility_DisplayArrayInTable(Common_SourceData.Common_SourceData_WetAndDryZones_Data(), Table_SourceData_WetDryZones[[#Headers],[Climate zone]], 0)</f>
        <v>Cool temperate dry - low frost</v>
      </c>
      <c r="E77" s="37" t="str" cm="1">
        <f t="array" ref="E77">Common_InputFunctions.Utility_DisplayArrayInTable(Common_SourceData.Common_SourceData_WetAndDryZones_Data(), Table_SourceData_WetDryZones[[#Headers],[Climate zone]], 0)</f>
        <v>Dry climate zone</v>
      </c>
    </row>
    <row r="78" spans="4:5" ht="20.100000000000001" customHeight="1" x14ac:dyDescent="0.25"/>
    <row r="79" spans="4:5" ht="20.100000000000001" customHeight="1" x14ac:dyDescent="0.25"/>
    <row r="80" spans="4:5" ht="20.100000000000001" customHeight="1" x14ac:dyDescent="0.25"/>
    <row r="81" spans="4:20" ht="20.100000000000001" customHeight="1" x14ac:dyDescent="0.25">
      <c r="D81" s="6" t="str" cm="1">
        <f t="array" ref="D81">Common_SourceData.Common_SourceData_ClimateZones_Title()</f>
        <v>VEERG Australian climate zones</v>
      </c>
    </row>
    <row r="82" spans="4:20" ht="20.100000000000001" customHeight="1" x14ac:dyDescent="0.25">
      <c r="D82" s="5" t="str" cm="1">
        <f t="array" ref="D82">Common_SourceData.Common_SourceData_ClimateZones_Source()</f>
        <v>VEERG 2026: Table 1.3: Climate and Rainfall zone classifications and definitions</v>
      </c>
    </row>
    <row r="83" spans="4:20" ht="20.100000000000001" customHeight="1" x14ac:dyDescent="0.25">
      <c r="D83" s="53" t="str" cm="1">
        <f t="array" ref="D83:D87">"⚠️" &amp; Common_SourceData.Common_SourceData_ClimateZones_Variation()</f>
        <v>⚠️VARIATION OF SOURCE DATA:</v>
      </c>
    </row>
    <row r="84" spans="4:20" ht="20.100000000000001" customHeight="1" x14ac:dyDescent="0.25">
      <c r="D84" s="53" t="str">
        <v>⚠️Added warm / cool temperate moist / dry - low frost and high temp classes to accommodate climate scenarios excluded by VEERG criteria.</v>
      </c>
    </row>
    <row r="85" spans="4:20" ht="20.100000000000001" customHeight="1" x14ac:dyDescent="0.25">
      <c r="D85" s="53" t="str">
        <v>⚠️Fixed typo in MAT value for warm temperate dry - changed 10 to 11.</v>
      </c>
    </row>
    <row r="86" spans="4:20" ht="20.100000000000001" customHeight="1" x14ac:dyDescent="0.25">
      <c r="D86" s="53" t="str">
        <v>⚠️Added min and max columns for MAT, MAP, frost days per year, elevation, MAP:PET to calculate zones from real climate data.</v>
      </c>
    </row>
    <row r="87" spans="4:20" ht="20.100000000000001" customHeight="1" x14ac:dyDescent="0.25">
      <c r="D87" s="53" t="str">
        <v>⚠️GAF accepts rainfall as a proxy for precipitation.</v>
      </c>
    </row>
    <row r="88" spans="4:20" ht="20.100000000000001" customHeight="1" x14ac:dyDescent="0.25"/>
    <row r="89" spans="4:20" ht="20.100000000000001" customHeight="1" x14ac:dyDescent="0.25">
      <c r="D89" s="37" t="s">
        <v>8</v>
      </c>
      <c r="E89" s="37" t="s">
        <v>32</v>
      </c>
      <c r="F89" s="37" t="s">
        <v>33</v>
      </c>
      <c r="G89" s="37" t="s">
        <v>34</v>
      </c>
      <c r="H89" s="37" t="s">
        <v>35</v>
      </c>
      <c r="I89" s="37" t="s">
        <v>36</v>
      </c>
      <c r="J89" s="37" t="s">
        <v>37</v>
      </c>
      <c r="K89" s="37" t="s">
        <v>38</v>
      </c>
      <c r="L89" s="37" t="s">
        <v>39</v>
      </c>
      <c r="M89" s="37" t="s">
        <v>40</v>
      </c>
      <c r="N89" s="37" t="s">
        <v>41</v>
      </c>
      <c r="O89" s="37" t="s">
        <v>45</v>
      </c>
      <c r="P89" s="37" t="s">
        <v>42</v>
      </c>
      <c r="Q89" s="37" t="s">
        <v>46</v>
      </c>
      <c r="R89" s="37" t="s">
        <v>43</v>
      </c>
      <c r="S89" s="37" t="s">
        <v>47</v>
      </c>
      <c r="T89" s="37"/>
    </row>
    <row r="90" spans="4:20" ht="20.100000000000001" customHeight="1" x14ac:dyDescent="0.25">
      <c r="D90" s="37" t="str" cm="1">
        <f t="array" ref="D90">Common_InputFunctions.Utility_DisplayArrayInTable(Common_SourceData.Common_SourceData_ClimateZones_Data(), Table_SourceData_ClimateZones[[#Headers],[Climate zone]], 0)</f>
        <v>Tropical montane</v>
      </c>
      <c r="E90" s="37" t="str" cm="1">
        <f t="array" ref="E90">Common_InputFunctions.Utility_DisplayArrayInTable(Common_SourceData.Common_SourceData_ClimateZones_Data(), Table_SourceData_ClimateZones[[#Headers],[Climate zone]], 0)</f>
        <v>&gt; 18 C</v>
      </c>
      <c r="F90" s="37" t="str" cm="1">
        <f t="array" ref="F90">Common_InputFunctions.Utility_DisplayArrayInTable(Common_SourceData.Common_SourceData_ClimateZones_Data(), Table_SourceData_ClimateZones[[#Headers],[Climate zone]], 0)</f>
        <v>Any</v>
      </c>
      <c r="G90" s="37" t="str" cm="1">
        <f t="array" ref="G90">Common_InputFunctions.Utility_DisplayArrayInTable(Common_SourceData.Common_SourceData_ClimateZones_Data(), Table_SourceData_ClimateZones[[#Headers],[Climate zone]], 0)</f>
        <v>≤ 7</v>
      </c>
      <c r="H90" s="37" t="str" cm="1">
        <f t="array" ref="H90">Common_InputFunctions.Utility_DisplayArrayInTable(Common_SourceData.Common_SourceData_ClimateZones_Data(), Table_SourceData_ClimateZones[[#Headers],[Climate zone]], 0)</f>
        <v>&gt; 1000 m</v>
      </c>
      <c r="I90" s="37" t="str" cm="1">
        <f t="array" ref="I90">Common_InputFunctions.Utility_DisplayArrayInTable(Common_SourceData.Common_SourceData_ClimateZones_Data(), Table_SourceData_ClimateZones[[#Headers],[Climate zone]], 0)</f>
        <v>Any</v>
      </c>
      <c r="J90" s="37" cm="1">
        <f t="array" ref="J90">Common_InputFunctions.Utility_DisplayArrayInTable(Common_SourceData.Common_SourceData_ClimateZones_Data(), Table_SourceData_ClimateZones[[#Headers],[Climate zone]], 0)</f>
        <v>18.001000000000001</v>
      </c>
      <c r="K90" s="37" cm="1">
        <f t="array" ref="K90">Common_InputFunctions.Utility_DisplayArrayInTable(Common_SourceData.Common_SourceData_ClimateZones_Data(), Table_SourceData_ClimateZones[[#Headers],[Climate zone]], 0)</f>
        <v>999999</v>
      </c>
      <c r="L90" s="37" cm="1">
        <f t="array" ref="L90">Common_InputFunctions.Utility_DisplayArrayInTable(Common_SourceData.Common_SourceData_ClimateZones_Data(), Table_SourceData_ClimateZones[[#Headers],[Climate zone]], 0)</f>
        <v>-999999</v>
      </c>
      <c r="M90" s="37" cm="1">
        <f t="array" ref="M90">Common_InputFunctions.Utility_DisplayArrayInTable(Common_SourceData.Common_SourceData_ClimateZones_Data(), Table_SourceData_ClimateZones[[#Headers],[Climate zone]], 0)</f>
        <v>999999</v>
      </c>
      <c r="N90" s="37" cm="1">
        <f t="array" ref="N90">Common_InputFunctions.Utility_DisplayArrayInTable(Common_SourceData.Common_SourceData_ClimateZones_Data(), Table_SourceData_ClimateZones[[#Headers],[Climate zone]], 0)</f>
        <v>-999999</v>
      </c>
      <c r="O90" s="37" cm="1">
        <f t="array" ref="O90">Common_InputFunctions.Utility_DisplayArrayInTable(Common_SourceData.Common_SourceData_ClimateZones_Data(), Table_SourceData_ClimateZones[[#Headers],[Climate zone]], 0)</f>
        <v>7</v>
      </c>
      <c r="P90" s="37" cm="1">
        <f t="array" ref="P90">Common_InputFunctions.Utility_DisplayArrayInTable(Common_SourceData.Common_SourceData_ClimateZones_Data(), Table_SourceData_ClimateZones[[#Headers],[Climate zone]], 0)</f>
        <v>1000</v>
      </c>
      <c r="Q90" s="37" cm="1">
        <f t="array" ref="Q90">Common_InputFunctions.Utility_DisplayArrayInTable(Common_SourceData.Common_SourceData_ClimateZones_Data(), Table_SourceData_ClimateZones[[#Headers],[Climate zone]], 0)</f>
        <v>999999</v>
      </c>
      <c r="R90" s="37" cm="1">
        <f t="array" ref="R90">Common_InputFunctions.Utility_DisplayArrayInTable(Common_SourceData.Common_SourceData_ClimateZones_Data(), Table_SourceData_ClimateZones[[#Headers],[Climate zone]], 0)</f>
        <v>-999999</v>
      </c>
      <c r="S90" s="37" cm="1">
        <f t="array" ref="S90">Common_InputFunctions.Utility_DisplayArrayInTable(Common_SourceData.Common_SourceData_ClimateZones_Data(), Table_SourceData_ClimateZones[[#Headers],[Climate zone]], 0)</f>
        <v>999999</v>
      </c>
      <c r="T90" s="37"/>
    </row>
    <row r="91" spans="4:20" ht="20.100000000000001" customHeight="1" x14ac:dyDescent="0.25">
      <c r="D91" s="37" t="str" cm="1">
        <f t="array" ref="D91">Common_InputFunctions.Utility_DisplayArrayInTable(Common_SourceData.Common_SourceData_ClimateZones_Data(), Table_SourceData_ClimateZones[[#Headers],[Climate zone]], 0)</f>
        <v>Tropical wet</v>
      </c>
      <c r="E91" s="37" t="str" cm="1">
        <f t="array" ref="E91">Common_InputFunctions.Utility_DisplayArrayInTable(Common_SourceData.Common_SourceData_ClimateZones_Data(), Table_SourceData_ClimateZones[[#Headers],[Climate zone]], 0)</f>
        <v>&gt; 18 C</v>
      </c>
      <c r="F91" s="37" t="str" cm="1">
        <f t="array" ref="F91">Common_InputFunctions.Utility_DisplayArrayInTable(Common_SourceData.Common_SourceData_ClimateZones_Data(), Table_SourceData_ClimateZones[[#Headers],[Climate zone]], 0)</f>
        <v>&gt; 2000 mm</v>
      </c>
      <c r="G91" s="37" t="str" cm="1">
        <f t="array" ref="G91">Common_InputFunctions.Utility_DisplayArrayInTable(Common_SourceData.Common_SourceData_ClimateZones_Data(), Table_SourceData_ClimateZones[[#Headers],[Climate zone]], 0)</f>
        <v>≤ 7</v>
      </c>
      <c r="H91" s="37" t="str" cm="1">
        <f t="array" ref="H91">Common_InputFunctions.Utility_DisplayArrayInTable(Common_SourceData.Common_SourceData_ClimateZones_Data(), Table_SourceData_ClimateZones[[#Headers],[Climate zone]], 0)</f>
        <v>≤ 1000 m</v>
      </c>
      <c r="I91" s="37" t="str" cm="1">
        <f t="array" ref="I91">Common_InputFunctions.Utility_DisplayArrayInTable(Common_SourceData.Common_SourceData_ClimateZones_Data(), Table_SourceData_ClimateZones[[#Headers],[Climate zone]], 0)</f>
        <v>Any</v>
      </c>
      <c r="J91" s="37" cm="1">
        <f t="array" ref="J91">Common_InputFunctions.Utility_DisplayArrayInTable(Common_SourceData.Common_SourceData_ClimateZones_Data(), Table_SourceData_ClimateZones[[#Headers],[Climate zone]], 0)</f>
        <v>18.001000000000001</v>
      </c>
      <c r="K91" s="37" cm="1">
        <f t="array" ref="K91">Common_InputFunctions.Utility_DisplayArrayInTable(Common_SourceData.Common_SourceData_ClimateZones_Data(), Table_SourceData_ClimateZones[[#Headers],[Climate zone]], 0)</f>
        <v>999999</v>
      </c>
      <c r="L91" s="37" cm="1">
        <f t="array" ref="L91">Common_InputFunctions.Utility_DisplayArrayInTable(Common_SourceData.Common_SourceData_ClimateZones_Data(), Table_SourceData_ClimateZones[[#Headers],[Climate zone]], 0)</f>
        <v>2000.001</v>
      </c>
      <c r="M91" s="37" cm="1">
        <f t="array" ref="M91">Common_InputFunctions.Utility_DisplayArrayInTable(Common_SourceData.Common_SourceData_ClimateZones_Data(), Table_SourceData_ClimateZones[[#Headers],[Climate zone]], 0)</f>
        <v>999999</v>
      </c>
      <c r="N91" s="37" cm="1">
        <f t="array" ref="N91">Common_InputFunctions.Utility_DisplayArrayInTable(Common_SourceData.Common_SourceData_ClimateZones_Data(), Table_SourceData_ClimateZones[[#Headers],[Climate zone]], 0)</f>
        <v>-999999</v>
      </c>
      <c r="O91" s="37" cm="1">
        <f t="array" ref="O91">Common_InputFunctions.Utility_DisplayArrayInTable(Common_SourceData.Common_SourceData_ClimateZones_Data(), Table_SourceData_ClimateZones[[#Headers],[Climate zone]], 0)</f>
        <v>7</v>
      </c>
      <c r="P91" s="37" cm="1">
        <f t="array" ref="P91">Common_InputFunctions.Utility_DisplayArrayInTable(Common_SourceData.Common_SourceData_ClimateZones_Data(), Table_SourceData_ClimateZones[[#Headers],[Climate zone]], 0)</f>
        <v>-999999</v>
      </c>
      <c r="Q91" s="37" cm="1">
        <f t="array" ref="Q91">Common_InputFunctions.Utility_DisplayArrayInTable(Common_SourceData.Common_SourceData_ClimateZones_Data(), Table_SourceData_ClimateZones[[#Headers],[Climate zone]], 0)</f>
        <v>999.99900000000002</v>
      </c>
      <c r="R91" s="37" cm="1">
        <f t="array" ref="R91">Common_InputFunctions.Utility_DisplayArrayInTable(Common_SourceData.Common_SourceData_ClimateZones_Data(), Table_SourceData_ClimateZones[[#Headers],[Climate zone]], 0)</f>
        <v>-999999</v>
      </c>
      <c r="S91" s="37" cm="1">
        <f t="array" ref="S91">Common_InputFunctions.Utility_DisplayArrayInTable(Common_SourceData.Common_SourceData_ClimateZones_Data(), Table_SourceData_ClimateZones[[#Headers],[Climate zone]], 0)</f>
        <v>999999</v>
      </c>
      <c r="T91" s="37"/>
    </row>
    <row r="92" spans="4:20" ht="20.100000000000001" customHeight="1" x14ac:dyDescent="0.25">
      <c r="D92" s="37" t="str" cm="1">
        <f t="array" ref="D92">Common_InputFunctions.Utility_DisplayArrayInTable(Common_SourceData.Common_SourceData_ClimateZones_Data(), Table_SourceData_ClimateZones[[#Headers],[Climate zone]], 0)</f>
        <v>Tropical moist</v>
      </c>
      <c r="E92" s="37" t="str" cm="1">
        <f t="array" ref="E92">Common_InputFunctions.Utility_DisplayArrayInTable(Common_SourceData.Common_SourceData_ClimateZones_Data(), Table_SourceData_ClimateZones[[#Headers],[Climate zone]], 0)</f>
        <v>&gt; 18 C</v>
      </c>
      <c r="F92" s="37" t="str" cm="1">
        <f t="array" ref="F92">Common_InputFunctions.Utility_DisplayArrayInTable(Common_SourceData.Common_SourceData_ClimateZones_Data(), Table_SourceData_ClimateZones[[#Headers],[Climate zone]], 0)</f>
        <v>&gt; 1000 mm - ≤ 2000 mm</v>
      </c>
      <c r="G92" s="37" t="str" cm="1">
        <f t="array" ref="G92">Common_InputFunctions.Utility_DisplayArrayInTable(Common_SourceData.Common_SourceData_ClimateZones_Data(), Table_SourceData_ClimateZones[[#Headers],[Climate zone]], 0)</f>
        <v>≤ 7</v>
      </c>
      <c r="H92" s="37" t="str" cm="1">
        <f t="array" ref="H92">Common_InputFunctions.Utility_DisplayArrayInTable(Common_SourceData.Common_SourceData_ClimateZones_Data(), Table_SourceData_ClimateZones[[#Headers],[Climate zone]], 0)</f>
        <v>≤ 1000 m</v>
      </c>
      <c r="I92" s="37" t="str" cm="1">
        <f t="array" ref="I92">Common_InputFunctions.Utility_DisplayArrayInTable(Common_SourceData.Common_SourceData_ClimateZones_Data(), Table_SourceData_ClimateZones[[#Headers],[Climate zone]], 0)</f>
        <v>Any</v>
      </c>
      <c r="J92" s="37" cm="1">
        <f t="array" ref="J92">Common_InputFunctions.Utility_DisplayArrayInTable(Common_SourceData.Common_SourceData_ClimateZones_Data(), Table_SourceData_ClimateZones[[#Headers],[Climate zone]], 0)</f>
        <v>18.001000000000001</v>
      </c>
      <c r="K92" s="37" cm="1">
        <f t="array" ref="K92">Common_InputFunctions.Utility_DisplayArrayInTable(Common_SourceData.Common_SourceData_ClimateZones_Data(), Table_SourceData_ClimateZones[[#Headers],[Climate zone]], 0)</f>
        <v>999999</v>
      </c>
      <c r="L92" s="37" cm="1">
        <f t="array" ref="L92">Common_InputFunctions.Utility_DisplayArrayInTable(Common_SourceData.Common_SourceData_ClimateZones_Data(), Table_SourceData_ClimateZones[[#Headers],[Climate zone]], 0)</f>
        <v>1000.001</v>
      </c>
      <c r="M92" s="37" cm="1">
        <f t="array" ref="M92">Common_InputFunctions.Utility_DisplayArrayInTable(Common_SourceData.Common_SourceData_ClimateZones_Data(), Table_SourceData_ClimateZones[[#Headers],[Climate zone]], 0)</f>
        <v>2000</v>
      </c>
      <c r="N92" s="37" cm="1">
        <f t="array" ref="N92">Common_InputFunctions.Utility_DisplayArrayInTable(Common_SourceData.Common_SourceData_ClimateZones_Data(), Table_SourceData_ClimateZones[[#Headers],[Climate zone]], 0)</f>
        <v>-999999</v>
      </c>
      <c r="O92" s="37" cm="1">
        <f t="array" ref="O92">Common_InputFunctions.Utility_DisplayArrayInTable(Common_SourceData.Common_SourceData_ClimateZones_Data(), Table_SourceData_ClimateZones[[#Headers],[Climate zone]], 0)</f>
        <v>7</v>
      </c>
      <c r="P92" s="37" cm="1">
        <f t="array" ref="P92">Common_InputFunctions.Utility_DisplayArrayInTable(Common_SourceData.Common_SourceData_ClimateZones_Data(), Table_SourceData_ClimateZones[[#Headers],[Climate zone]], 0)</f>
        <v>-999999</v>
      </c>
      <c r="Q92" s="37" cm="1">
        <f t="array" ref="Q92">Common_InputFunctions.Utility_DisplayArrayInTable(Common_SourceData.Common_SourceData_ClimateZones_Data(), Table_SourceData_ClimateZones[[#Headers],[Climate zone]], 0)</f>
        <v>999.99900000000002</v>
      </c>
      <c r="R92" s="37" cm="1">
        <f t="array" ref="R92">Common_InputFunctions.Utility_DisplayArrayInTable(Common_SourceData.Common_SourceData_ClimateZones_Data(), Table_SourceData_ClimateZones[[#Headers],[Climate zone]], 0)</f>
        <v>-999999</v>
      </c>
      <c r="S92" s="37" cm="1">
        <f t="array" ref="S92">Common_InputFunctions.Utility_DisplayArrayInTable(Common_SourceData.Common_SourceData_ClimateZones_Data(), Table_SourceData_ClimateZones[[#Headers],[Climate zone]], 0)</f>
        <v>999999</v>
      </c>
      <c r="T92" s="37"/>
    </row>
    <row r="93" spans="4:20" ht="20.100000000000001" customHeight="1" x14ac:dyDescent="0.25">
      <c r="D93" s="37" t="str" cm="1">
        <f t="array" ref="D93">Common_InputFunctions.Utility_DisplayArrayInTable(Common_SourceData.Common_SourceData_ClimateZones_Data(), Table_SourceData_ClimateZones[[#Headers],[Climate zone]], 0)</f>
        <v>Tropical dry</v>
      </c>
      <c r="E93" s="37" t="str" cm="1">
        <f t="array" ref="E93">Common_InputFunctions.Utility_DisplayArrayInTable(Common_SourceData.Common_SourceData_ClimateZones_Data(), Table_SourceData_ClimateZones[[#Headers],[Climate zone]], 0)</f>
        <v>&gt; 18 C</v>
      </c>
      <c r="F93" s="37" t="str" cm="1">
        <f t="array" ref="F93">Common_InputFunctions.Utility_DisplayArrayInTable(Common_SourceData.Common_SourceData_ClimateZones_Data(), Table_SourceData_ClimateZones[[#Headers],[Climate zone]], 0)</f>
        <v>≤ 1000 mm</v>
      </c>
      <c r="G93" s="37" t="str" cm="1">
        <f t="array" ref="G93">Common_InputFunctions.Utility_DisplayArrayInTable(Common_SourceData.Common_SourceData_ClimateZones_Data(), Table_SourceData_ClimateZones[[#Headers],[Climate zone]], 0)</f>
        <v>≤ 7</v>
      </c>
      <c r="H93" s="37" t="str" cm="1">
        <f t="array" ref="H93">Common_InputFunctions.Utility_DisplayArrayInTable(Common_SourceData.Common_SourceData_ClimateZones_Data(), Table_SourceData_ClimateZones[[#Headers],[Climate zone]], 0)</f>
        <v>≤ 1000 m</v>
      </c>
      <c r="I93" s="37" t="str" cm="1">
        <f t="array" ref="I93">Common_InputFunctions.Utility_DisplayArrayInTable(Common_SourceData.Common_SourceData_ClimateZones_Data(), Table_SourceData_ClimateZones[[#Headers],[Climate zone]], 0)</f>
        <v>Any</v>
      </c>
      <c r="J93" s="37" cm="1">
        <f t="array" ref="J93">Common_InputFunctions.Utility_DisplayArrayInTable(Common_SourceData.Common_SourceData_ClimateZones_Data(), Table_SourceData_ClimateZones[[#Headers],[Climate zone]], 0)</f>
        <v>18.001000000000001</v>
      </c>
      <c r="K93" s="37" cm="1">
        <f t="array" ref="K93">Common_InputFunctions.Utility_DisplayArrayInTable(Common_SourceData.Common_SourceData_ClimateZones_Data(), Table_SourceData_ClimateZones[[#Headers],[Climate zone]], 0)</f>
        <v>999999</v>
      </c>
      <c r="L93" s="37" cm="1">
        <f t="array" ref="L93">Common_InputFunctions.Utility_DisplayArrayInTable(Common_SourceData.Common_SourceData_ClimateZones_Data(), Table_SourceData_ClimateZones[[#Headers],[Climate zone]], 0)</f>
        <v>-999999</v>
      </c>
      <c r="M93" s="37" cm="1">
        <f t="array" ref="M93">Common_InputFunctions.Utility_DisplayArrayInTable(Common_SourceData.Common_SourceData_ClimateZones_Data(), Table_SourceData_ClimateZones[[#Headers],[Climate zone]], 0)</f>
        <v>1000</v>
      </c>
      <c r="N93" s="37" cm="1">
        <f t="array" ref="N93">Common_InputFunctions.Utility_DisplayArrayInTable(Common_SourceData.Common_SourceData_ClimateZones_Data(), Table_SourceData_ClimateZones[[#Headers],[Climate zone]], 0)</f>
        <v>-999999</v>
      </c>
      <c r="O93" s="37" cm="1">
        <f t="array" ref="O93">Common_InputFunctions.Utility_DisplayArrayInTable(Common_SourceData.Common_SourceData_ClimateZones_Data(), Table_SourceData_ClimateZones[[#Headers],[Climate zone]], 0)</f>
        <v>7</v>
      </c>
      <c r="P93" s="37" cm="1">
        <f t="array" ref="P93">Common_InputFunctions.Utility_DisplayArrayInTable(Common_SourceData.Common_SourceData_ClimateZones_Data(), Table_SourceData_ClimateZones[[#Headers],[Climate zone]], 0)</f>
        <v>-999999</v>
      </c>
      <c r="Q93" s="37" cm="1">
        <f t="array" ref="Q93">Common_InputFunctions.Utility_DisplayArrayInTable(Common_SourceData.Common_SourceData_ClimateZones_Data(), Table_SourceData_ClimateZones[[#Headers],[Climate zone]], 0)</f>
        <v>999.99900000000002</v>
      </c>
      <c r="R93" s="37" cm="1">
        <f t="array" ref="R93">Common_InputFunctions.Utility_DisplayArrayInTable(Common_SourceData.Common_SourceData_ClimateZones_Data(), Table_SourceData_ClimateZones[[#Headers],[Climate zone]], 0)</f>
        <v>-999999</v>
      </c>
      <c r="S93" s="37" cm="1">
        <f t="array" ref="S93">Common_InputFunctions.Utility_DisplayArrayInTable(Common_SourceData.Common_SourceData_ClimateZones_Data(), Table_SourceData_ClimateZones[[#Headers],[Climate zone]], 0)</f>
        <v>999999</v>
      </c>
      <c r="T93" s="37"/>
    </row>
    <row r="94" spans="4:20" ht="20.100000000000001" customHeight="1" x14ac:dyDescent="0.25">
      <c r="D94" s="37" t="str" cm="1">
        <f t="array" ref="D94">Common_InputFunctions.Utility_DisplayArrayInTable(Common_SourceData.Common_SourceData_ClimateZones_Data(), Table_SourceData_ClimateZones[[#Headers],[Climate zone]], 0)</f>
        <v>Warm temperate moist</v>
      </c>
      <c r="E94" s="37" t="str" cm="1">
        <f t="array" ref="E94">Common_InputFunctions.Utility_DisplayArrayInTable(Common_SourceData.Common_SourceData_ClimateZones_Data(), Table_SourceData_ClimateZones[[#Headers],[Climate zone]], 0)</f>
        <v>&gt; 10 C</v>
      </c>
      <c r="F94" s="37" t="str" cm="1">
        <f t="array" ref="F94">Common_InputFunctions.Utility_DisplayArrayInTable(Common_SourceData.Common_SourceData_ClimateZones_Data(), Table_SourceData_ClimateZones[[#Headers],[Climate zone]], 0)</f>
        <v>Any</v>
      </c>
      <c r="G94" s="37" t="str" cm="1">
        <f t="array" ref="G94">Common_InputFunctions.Utility_DisplayArrayInTable(Common_SourceData.Common_SourceData_ClimateZones_Data(), Table_SourceData_ClimateZones[[#Headers],[Climate zone]], 0)</f>
        <v>Any</v>
      </c>
      <c r="H94" s="37" t="str" cm="1">
        <f t="array" ref="H94">Common_InputFunctions.Utility_DisplayArrayInTable(Common_SourceData.Common_SourceData_ClimateZones_Data(), Table_SourceData_ClimateZones[[#Headers],[Climate zone]], 0)</f>
        <v>Any</v>
      </c>
      <c r="I94" s="37" t="str" cm="1">
        <f t="array" ref="I94">Common_InputFunctions.Utility_DisplayArrayInTable(Common_SourceData.Common_SourceData_ClimateZones_Data(), Table_SourceData_ClimateZones[[#Headers],[Climate zone]], 0)</f>
        <v>&gt; 1</v>
      </c>
      <c r="J94" s="37" cm="1">
        <f t="array" ref="J94">Common_InputFunctions.Utility_DisplayArrayInTable(Common_SourceData.Common_SourceData_ClimateZones_Data(), Table_SourceData_ClimateZones[[#Headers],[Climate zone]], 0)</f>
        <v>10.000999999999999</v>
      </c>
      <c r="K94" s="37" cm="1">
        <f t="array" ref="K94">Common_InputFunctions.Utility_DisplayArrayInTable(Common_SourceData.Common_SourceData_ClimateZones_Data(), Table_SourceData_ClimateZones[[#Headers],[Climate zone]], 0)</f>
        <v>999999</v>
      </c>
      <c r="L94" s="37" cm="1">
        <f t="array" ref="L94">Common_InputFunctions.Utility_DisplayArrayInTable(Common_SourceData.Common_SourceData_ClimateZones_Data(), Table_SourceData_ClimateZones[[#Headers],[Climate zone]], 0)</f>
        <v>-999999</v>
      </c>
      <c r="M94" s="37" cm="1">
        <f t="array" ref="M94">Common_InputFunctions.Utility_DisplayArrayInTable(Common_SourceData.Common_SourceData_ClimateZones_Data(), Table_SourceData_ClimateZones[[#Headers],[Climate zone]], 0)</f>
        <v>999999</v>
      </c>
      <c r="N94" s="37" cm="1">
        <f t="array" ref="N94">Common_InputFunctions.Utility_DisplayArrayInTable(Common_SourceData.Common_SourceData_ClimateZones_Data(), Table_SourceData_ClimateZones[[#Headers],[Climate zone]], 0)</f>
        <v>-999999</v>
      </c>
      <c r="O94" s="37" cm="1">
        <f t="array" ref="O94">Common_InputFunctions.Utility_DisplayArrayInTable(Common_SourceData.Common_SourceData_ClimateZones_Data(), Table_SourceData_ClimateZones[[#Headers],[Climate zone]], 0)</f>
        <v>999999</v>
      </c>
      <c r="P94" s="37" cm="1">
        <f t="array" ref="P94">Common_InputFunctions.Utility_DisplayArrayInTable(Common_SourceData.Common_SourceData_ClimateZones_Data(), Table_SourceData_ClimateZones[[#Headers],[Climate zone]], 0)</f>
        <v>-999999</v>
      </c>
      <c r="Q94" s="37" cm="1">
        <f t="array" ref="Q94">Common_InputFunctions.Utility_DisplayArrayInTable(Common_SourceData.Common_SourceData_ClimateZones_Data(), Table_SourceData_ClimateZones[[#Headers],[Climate zone]], 0)</f>
        <v>999999</v>
      </c>
      <c r="R94" s="37" cm="1">
        <f t="array" ref="R94">Common_InputFunctions.Utility_DisplayArrayInTable(Common_SourceData.Common_SourceData_ClimateZones_Data(), Table_SourceData_ClimateZones[[#Headers],[Climate zone]], 0)</f>
        <v>1.0009999999999999</v>
      </c>
      <c r="S94" s="37" cm="1">
        <f t="array" ref="S94">Common_InputFunctions.Utility_DisplayArrayInTable(Common_SourceData.Common_SourceData_ClimateZones_Data(), Table_SourceData_ClimateZones[[#Headers],[Climate zone]], 0)</f>
        <v>999999</v>
      </c>
      <c r="T94" s="37"/>
    </row>
    <row r="95" spans="4:20" ht="20.100000000000001" customHeight="1" x14ac:dyDescent="0.25">
      <c r="D95" s="37" t="str" cm="1">
        <f t="array" ref="D95">Common_InputFunctions.Utility_DisplayArrayInTable(Common_SourceData.Common_SourceData_ClimateZones_Data(), Table_SourceData_ClimateZones[[#Headers],[Climate zone]], 0)</f>
        <v>Warm temperate dry</v>
      </c>
      <c r="E95" s="37" t="str" cm="1">
        <f t="array" ref="E95">Common_InputFunctions.Utility_DisplayArrayInTable(Common_SourceData.Common_SourceData_ClimateZones_Data(), Table_SourceData_ClimateZones[[#Headers],[Climate zone]], 0)</f>
        <v>&gt; 10 C</v>
      </c>
      <c r="F95" s="37" t="str" cm="1">
        <f t="array" ref="F95">Common_InputFunctions.Utility_DisplayArrayInTable(Common_SourceData.Common_SourceData_ClimateZones_Data(), Table_SourceData_ClimateZones[[#Headers],[Climate zone]], 0)</f>
        <v>Any</v>
      </c>
      <c r="G95" s="37" t="str" cm="1">
        <f t="array" ref="G95">Common_InputFunctions.Utility_DisplayArrayInTable(Common_SourceData.Common_SourceData_ClimateZones_Data(), Table_SourceData_ClimateZones[[#Headers],[Climate zone]], 0)</f>
        <v>Any</v>
      </c>
      <c r="H95" s="37" t="str" cm="1">
        <f t="array" ref="H95">Common_InputFunctions.Utility_DisplayArrayInTable(Common_SourceData.Common_SourceData_ClimateZones_Data(), Table_SourceData_ClimateZones[[#Headers],[Climate zone]], 0)</f>
        <v>Any</v>
      </c>
      <c r="I95" s="37" t="str" cm="1">
        <f t="array" ref="I95">Common_InputFunctions.Utility_DisplayArrayInTable(Common_SourceData.Common_SourceData_ClimateZones_Data(), Table_SourceData_ClimateZones[[#Headers],[Climate zone]], 0)</f>
        <v>≤ 1</v>
      </c>
      <c r="J95" s="37" cm="1">
        <f t="array" ref="J95">Common_InputFunctions.Utility_DisplayArrayInTable(Common_SourceData.Common_SourceData_ClimateZones_Data(), Table_SourceData_ClimateZones[[#Headers],[Climate zone]], 0)</f>
        <v>10.000999999999999</v>
      </c>
      <c r="K95" s="37" cm="1">
        <f t="array" ref="K95">Common_InputFunctions.Utility_DisplayArrayInTable(Common_SourceData.Common_SourceData_ClimateZones_Data(), Table_SourceData_ClimateZones[[#Headers],[Climate zone]], 0)</f>
        <v>999999</v>
      </c>
      <c r="L95" s="37" cm="1">
        <f t="array" ref="L95">Common_InputFunctions.Utility_DisplayArrayInTable(Common_SourceData.Common_SourceData_ClimateZones_Data(), Table_SourceData_ClimateZones[[#Headers],[Climate zone]], 0)</f>
        <v>-999999</v>
      </c>
      <c r="M95" s="37" cm="1">
        <f t="array" ref="M95">Common_InputFunctions.Utility_DisplayArrayInTable(Common_SourceData.Common_SourceData_ClimateZones_Data(), Table_SourceData_ClimateZones[[#Headers],[Climate zone]], 0)</f>
        <v>999999</v>
      </c>
      <c r="N95" s="37" cm="1">
        <f t="array" ref="N95">Common_InputFunctions.Utility_DisplayArrayInTable(Common_SourceData.Common_SourceData_ClimateZones_Data(), Table_SourceData_ClimateZones[[#Headers],[Climate zone]], 0)</f>
        <v>-999999</v>
      </c>
      <c r="O95" s="37" cm="1">
        <f t="array" ref="O95">Common_InputFunctions.Utility_DisplayArrayInTable(Common_SourceData.Common_SourceData_ClimateZones_Data(), Table_SourceData_ClimateZones[[#Headers],[Climate zone]], 0)</f>
        <v>999999</v>
      </c>
      <c r="P95" s="37" cm="1">
        <f t="array" ref="P95">Common_InputFunctions.Utility_DisplayArrayInTable(Common_SourceData.Common_SourceData_ClimateZones_Data(), Table_SourceData_ClimateZones[[#Headers],[Climate zone]], 0)</f>
        <v>-999999</v>
      </c>
      <c r="Q95" s="37" cm="1">
        <f t="array" ref="Q95">Common_InputFunctions.Utility_DisplayArrayInTable(Common_SourceData.Common_SourceData_ClimateZones_Data(), Table_SourceData_ClimateZones[[#Headers],[Climate zone]], 0)</f>
        <v>999999</v>
      </c>
      <c r="R95" s="37" cm="1">
        <f t="array" ref="R95">Common_InputFunctions.Utility_DisplayArrayInTable(Common_SourceData.Common_SourceData_ClimateZones_Data(), Table_SourceData_ClimateZones[[#Headers],[Climate zone]], 0)</f>
        <v>-999999</v>
      </c>
      <c r="S95" s="37" cm="1">
        <f t="array" ref="S95">Common_InputFunctions.Utility_DisplayArrayInTable(Common_SourceData.Common_SourceData_ClimateZones_Data(), Table_SourceData_ClimateZones[[#Headers],[Climate zone]], 0)</f>
        <v>1</v>
      </c>
      <c r="T95" s="37"/>
    </row>
    <row r="96" spans="4:20" ht="20.100000000000001" customHeight="1" x14ac:dyDescent="0.25">
      <c r="D96" s="37" t="str" cm="1">
        <f t="array" ref="D96">Common_InputFunctions.Utility_DisplayArrayInTable(Common_SourceData.Common_SourceData_ClimateZones_Data(), Table_SourceData_ClimateZones[[#Headers],[Climate zone]], 0)</f>
        <v>Cool temperate moist</v>
      </c>
      <c r="E96" s="37" t="str" cm="1">
        <f t="array" ref="E96">Common_InputFunctions.Utility_DisplayArrayInTable(Common_SourceData.Common_SourceData_ClimateZones_Data(), Table_SourceData_ClimateZones[[#Headers],[Climate zone]], 0)</f>
        <v>&gt; 0 C - ≤ 10 C</v>
      </c>
      <c r="F96" s="37" t="str" cm="1">
        <f t="array" ref="F96">Common_InputFunctions.Utility_DisplayArrayInTable(Common_SourceData.Common_SourceData_ClimateZones_Data(), Table_SourceData_ClimateZones[[#Headers],[Climate zone]], 0)</f>
        <v>Any</v>
      </c>
      <c r="G96" s="37" t="str" cm="1">
        <f t="array" ref="G96">Common_InputFunctions.Utility_DisplayArrayInTable(Common_SourceData.Common_SourceData_ClimateZones_Data(), Table_SourceData_ClimateZones[[#Headers],[Climate zone]], 0)</f>
        <v>Any</v>
      </c>
      <c r="H96" s="37" t="str" cm="1">
        <f t="array" ref="H96">Common_InputFunctions.Utility_DisplayArrayInTable(Common_SourceData.Common_SourceData_ClimateZones_Data(), Table_SourceData_ClimateZones[[#Headers],[Climate zone]], 0)</f>
        <v>Any</v>
      </c>
      <c r="I96" s="37" t="str" cm="1">
        <f t="array" ref="I96">Common_InputFunctions.Utility_DisplayArrayInTable(Common_SourceData.Common_SourceData_ClimateZones_Data(), Table_SourceData_ClimateZones[[#Headers],[Climate zone]], 0)</f>
        <v>&gt; 1</v>
      </c>
      <c r="J96" s="37" cm="1">
        <f t="array" ref="J96">Common_InputFunctions.Utility_DisplayArrayInTable(Common_SourceData.Common_SourceData_ClimateZones_Data(), Table_SourceData_ClimateZones[[#Headers],[Climate zone]], 0)</f>
        <v>-999999</v>
      </c>
      <c r="K96" s="37" cm="1">
        <f t="array" ref="K96">Common_InputFunctions.Utility_DisplayArrayInTable(Common_SourceData.Common_SourceData_ClimateZones_Data(), Table_SourceData_ClimateZones[[#Headers],[Climate zone]], 0)</f>
        <v>10</v>
      </c>
      <c r="L96" s="37" cm="1">
        <f t="array" ref="L96">Common_InputFunctions.Utility_DisplayArrayInTable(Common_SourceData.Common_SourceData_ClimateZones_Data(), Table_SourceData_ClimateZones[[#Headers],[Climate zone]], 0)</f>
        <v>-999999</v>
      </c>
      <c r="M96" s="37" cm="1">
        <f t="array" ref="M96">Common_InputFunctions.Utility_DisplayArrayInTable(Common_SourceData.Common_SourceData_ClimateZones_Data(), Table_SourceData_ClimateZones[[#Headers],[Climate zone]], 0)</f>
        <v>999999</v>
      </c>
      <c r="N96" s="37" cm="1">
        <f t="array" ref="N96">Common_InputFunctions.Utility_DisplayArrayInTable(Common_SourceData.Common_SourceData_ClimateZones_Data(), Table_SourceData_ClimateZones[[#Headers],[Climate zone]], 0)</f>
        <v>-999999</v>
      </c>
      <c r="O96" s="37" cm="1">
        <f t="array" ref="O96">Common_InputFunctions.Utility_DisplayArrayInTable(Common_SourceData.Common_SourceData_ClimateZones_Data(), Table_SourceData_ClimateZones[[#Headers],[Climate zone]], 0)</f>
        <v>999999</v>
      </c>
      <c r="P96" s="37" cm="1">
        <f t="array" ref="P96">Common_InputFunctions.Utility_DisplayArrayInTable(Common_SourceData.Common_SourceData_ClimateZones_Data(), Table_SourceData_ClimateZones[[#Headers],[Climate zone]], 0)</f>
        <v>-999999</v>
      </c>
      <c r="Q96" s="37" cm="1">
        <f t="array" ref="Q96">Common_InputFunctions.Utility_DisplayArrayInTable(Common_SourceData.Common_SourceData_ClimateZones_Data(), Table_SourceData_ClimateZones[[#Headers],[Climate zone]], 0)</f>
        <v>999999</v>
      </c>
      <c r="R96" s="37" cm="1">
        <f t="array" ref="R96">Common_InputFunctions.Utility_DisplayArrayInTable(Common_SourceData.Common_SourceData_ClimateZones_Data(), Table_SourceData_ClimateZones[[#Headers],[Climate zone]], 0)</f>
        <v>1.0009999999999999</v>
      </c>
      <c r="S96" s="37" cm="1">
        <f t="array" ref="S96">Common_InputFunctions.Utility_DisplayArrayInTable(Common_SourceData.Common_SourceData_ClimateZones_Data(), Table_SourceData_ClimateZones[[#Headers],[Climate zone]], 0)</f>
        <v>999999</v>
      </c>
      <c r="T96" s="37"/>
    </row>
    <row r="97" spans="4:20" ht="20.100000000000001" customHeight="1" x14ac:dyDescent="0.25">
      <c r="D97" s="37" t="str" cm="1">
        <f t="array" ref="D97">Common_InputFunctions.Utility_DisplayArrayInTable(Common_SourceData.Common_SourceData_ClimateZones_Data(), Table_SourceData_ClimateZones[[#Headers],[Climate zone]], 0)</f>
        <v>Cool temperate dry</v>
      </c>
      <c r="E97" s="37" t="str" cm="1">
        <f t="array" ref="E97">Common_InputFunctions.Utility_DisplayArrayInTable(Common_SourceData.Common_SourceData_ClimateZones_Data(), Table_SourceData_ClimateZones[[#Headers],[Climate zone]], 0)</f>
        <v>&gt; 0 C - ≤ 10 C</v>
      </c>
      <c r="F97" s="37" t="str" cm="1">
        <f t="array" ref="F97">Common_InputFunctions.Utility_DisplayArrayInTable(Common_SourceData.Common_SourceData_ClimateZones_Data(), Table_SourceData_ClimateZones[[#Headers],[Climate zone]], 0)</f>
        <v>Any</v>
      </c>
      <c r="G97" s="37" t="str" cm="1">
        <f t="array" ref="G97">Common_InputFunctions.Utility_DisplayArrayInTable(Common_SourceData.Common_SourceData_ClimateZones_Data(), Table_SourceData_ClimateZones[[#Headers],[Climate zone]], 0)</f>
        <v>Any</v>
      </c>
      <c r="H97" s="37" t="str" cm="1">
        <f t="array" ref="H97">Common_InputFunctions.Utility_DisplayArrayInTable(Common_SourceData.Common_SourceData_ClimateZones_Data(), Table_SourceData_ClimateZones[[#Headers],[Climate zone]], 0)</f>
        <v>Any</v>
      </c>
      <c r="I97" s="37" t="str" cm="1">
        <f t="array" ref="I97">Common_InputFunctions.Utility_DisplayArrayInTable(Common_SourceData.Common_SourceData_ClimateZones_Data(), Table_SourceData_ClimateZones[[#Headers],[Climate zone]], 0)</f>
        <v>≤ 1</v>
      </c>
      <c r="J97" s="37" cm="1">
        <f t="array" ref="J97">Common_InputFunctions.Utility_DisplayArrayInTable(Common_SourceData.Common_SourceData_ClimateZones_Data(), Table_SourceData_ClimateZones[[#Headers],[Climate zone]], 0)</f>
        <v>-999999</v>
      </c>
      <c r="K97" s="37" cm="1">
        <f t="array" ref="K97">Common_InputFunctions.Utility_DisplayArrayInTable(Common_SourceData.Common_SourceData_ClimateZones_Data(), Table_SourceData_ClimateZones[[#Headers],[Climate zone]], 0)</f>
        <v>10</v>
      </c>
      <c r="L97" s="37" cm="1">
        <f t="array" ref="L97">Common_InputFunctions.Utility_DisplayArrayInTable(Common_SourceData.Common_SourceData_ClimateZones_Data(), Table_SourceData_ClimateZones[[#Headers],[Climate zone]], 0)</f>
        <v>-999999</v>
      </c>
      <c r="M97" s="37" cm="1">
        <f t="array" ref="M97">Common_InputFunctions.Utility_DisplayArrayInTable(Common_SourceData.Common_SourceData_ClimateZones_Data(), Table_SourceData_ClimateZones[[#Headers],[Climate zone]], 0)</f>
        <v>999999</v>
      </c>
      <c r="N97" s="37" cm="1">
        <f t="array" ref="N97">Common_InputFunctions.Utility_DisplayArrayInTable(Common_SourceData.Common_SourceData_ClimateZones_Data(), Table_SourceData_ClimateZones[[#Headers],[Climate zone]], 0)</f>
        <v>-999999</v>
      </c>
      <c r="O97" s="37" cm="1">
        <f t="array" ref="O97">Common_InputFunctions.Utility_DisplayArrayInTable(Common_SourceData.Common_SourceData_ClimateZones_Data(), Table_SourceData_ClimateZones[[#Headers],[Climate zone]], 0)</f>
        <v>999999</v>
      </c>
      <c r="P97" s="37" cm="1">
        <f t="array" ref="P97">Common_InputFunctions.Utility_DisplayArrayInTable(Common_SourceData.Common_SourceData_ClimateZones_Data(), Table_SourceData_ClimateZones[[#Headers],[Climate zone]], 0)</f>
        <v>-999999</v>
      </c>
      <c r="Q97" s="37" cm="1">
        <f t="array" ref="Q97">Common_InputFunctions.Utility_DisplayArrayInTable(Common_SourceData.Common_SourceData_ClimateZones_Data(), Table_SourceData_ClimateZones[[#Headers],[Climate zone]], 0)</f>
        <v>999999</v>
      </c>
      <c r="R97" s="37" cm="1">
        <f t="array" ref="R97">Common_InputFunctions.Utility_DisplayArrayInTable(Common_SourceData.Common_SourceData_ClimateZones_Data(), Table_SourceData_ClimateZones[[#Headers],[Climate zone]], 0)</f>
        <v>-999999</v>
      </c>
      <c r="S97" s="37" cm="1">
        <f t="array" ref="S97">Common_InputFunctions.Utility_DisplayArrayInTable(Common_SourceData.Common_SourceData_ClimateZones_Data(), Table_SourceData_ClimateZones[[#Headers],[Climate zone]], 0)</f>
        <v>1</v>
      </c>
      <c r="T97" s="37"/>
    </row>
    <row r="98" spans="4:20" ht="20.100000000000001" customHeight="1" x14ac:dyDescent="0.25"/>
    <row r="99" spans="4:20" ht="20.100000000000001" customHeight="1" x14ac:dyDescent="0.25">
      <c r="D99" s="52" t="str" cm="1">
        <f t="array" ref="D99:D102">Common_SourceData.Common_SourceData_ClimateZones_Appendices()</f>
        <v>Note:</v>
      </c>
    </row>
    <row r="100" spans="4:20" ht="20.100000000000001" customHeight="1" x14ac:dyDescent="0.25">
      <c r="D100" s="52" t="str">
        <v>MAT = mean annual temperature</v>
      </c>
    </row>
    <row r="101" spans="4:20" ht="20.100000000000001" customHeight="1" x14ac:dyDescent="0.25">
      <c r="D101" s="52" t="str">
        <v>MAP = mean annual precipitation</v>
      </c>
    </row>
    <row r="102" spans="4:20" ht="20.100000000000001" customHeight="1" x14ac:dyDescent="0.25">
      <c r="D102" s="52" t="str">
        <v>PET = potential evapotranspiration</v>
      </c>
    </row>
    <row r="103" spans="4:20" ht="20.100000000000001" customHeight="1" x14ac:dyDescent="0.25">
      <c r="D103" s="52"/>
    </row>
    <row r="104" spans="4:20" ht="20.100000000000001" customHeight="1" x14ac:dyDescent="0.25"/>
    <row r="105" spans="4:20" ht="20.100000000000001" customHeight="1" x14ac:dyDescent="0.25">
      <c r="D105" s="6" t="str" cm="1">
        <f t="array" ref="D105">Common_SourceData.Common_SourceData_TemperatureZones_Title()</f>
        <v>VEERG Australian temperature zones</v>
      </c>
    </row>
    <row r="106" spans="4:20" ht="20.100000000000001" customHeight="1" x14ac:dyDescent="0.25">
      <c r="D106" s="5" t="str" cm="1">
        <f t="array" ref="D106">Common_SourceData.Common_SourceData_TemperatureZones_Source()</f>
        <v>VEERG 2026: Table 1.3: Climate and Rainfall zone classifications and definitions</v>
      </c>
    </row>
    <row r="107" spans="4:20" ht="20.100000000000001" customHeight="1" x14ac:dyDescent="0.25">
      <c r="D107" s="53" t="str" cm="1">
        <f t="array" ref="D107">"⚠️" &amp; Common_SourceData.Common_SourceData_TemperatureZones_Variation()</f>
        <v>⚠️VARIATION OF SOURCE DATA: Added extra MAT min and MAT max columns to calculate zone from real temperature data.</v>
      </c>
    </row>
    <row r="108" spans="4:20" ht="20.100000000000001" customHeight="1" x14ac:dyDescent="0.25"/>
    <row r="109" spans="4:20" ht="20.100000000000001" customHeight="1" x14ac:dyDescent="0.25">
      <c r="D109" s="37" t="s">
        <v>51</v>
      </c>
      <c r="E109" s="37" t="s">
        <v>32</v>
      </c>
      <c r="F109" s="37" t="s">
        <v>52</v>
      </c>
      <c r="G109" s="37" t="s">
        <v>53</v>
      </c>
    </row>
    <row r="110" spans="4:20" ht="20.100000000000001" customHeight="1" x14ac:dyDescent="0.25">
      <c r="D110" s="37" t="str" cm="1">
        <f t="array" ref="D110">Common_InputFunctions.Utility_DisplayArrayInTable(Common_SourceData.Common_SourceData_TemperatureZones_Data(),Table_SourceData_TemperatureZones[[#Headers],[Temperature Zone]],0)</f>
        <v>Warm</v>
      </c>
      <c r="E110" s="37" t="str" cm="1">
        <f t="array" ref="E110">Common_InputFunctions.Utility_DisplayArrayInTable(Common_SourceData.Common_SourceData_TemperatureZones_Data(),Table_SourceData_TemperatureZones[[#Headers],[Temperature Zone]],0)</f>
        <v>≥ 26 C</v>
      </c>
      <c r="F110" s="37" cm="1">
        <f t="array" ref="F110">Common_InputFunctions.Utility_DisplayArrayInTable(Common_SourceData.Common_SourceData_TemperatureZones_Data(),Table_SourceData_TemperatureZones[[#Headers],[Temperature Zone]],0)</f>
        <v>26</v>
      </c>
      <c r="G110" s="37" cm="1">
        <f t="array" ref="G110">Common_InputFunctions.Utility_DisplayArrayInTable(Common_SourceData.Common_SourceData_TemperatureZones_Data(),Table_SourceData_TemperatureZones[[#Headers],[Temperature Zone]],0)</f>
        <v>999999</v>
      </c>
    </row>
    <row r="111" spans="4:20" ht="20.100000000000001" customHeight="1" x14ac:dyDescent="0.25">
      <c r="D111" s="37" t="str" cm="1">
        <f t="array" ref="D111">Common_InputFunctions.Utility_DisplayArrayInTable(Common_SourceData.Common_SourceData_TemperatureZones_Data(),Table_SourceData_TemperatureZones[[#Headers],[Temperature Zone]],0)</f>
        <v>Temperate</v>
      </c>
      <c r="E111" s="37" t="str" cm="1">
        <f t="array" ref="E111">Common_InputFunctions.Utility_DisplayArrayInTable(Common_SourceData.Common_SourceData_TemperatureZones_Data(),Table_SourceData_TemperatureZones[[#Headers],[Temperature Zone]],0)</f>
        <v>15 - 25 C</v>
      </c>
      <c r="F111" s="37" cm="1">
        <f t="array" ref="F111">Common_InputFunctions.Utility_DisplayArrayInTable(Common_SourceData.Common_SourceData_TemperatureZones_Data(),Table_SourceData_TemperatureZones[[#Headers],[Temperature Zone]],0)</f>
        <v>15</v>
      </c>
      <c r="G111" s="37" cm="1">
        <f t="array" ref="G111">Common_InputFunctions.Utility_DisplayArrayInTable(Common_SourceData.Common_SourceData_TemperatureZones_Data(),Table_SourceData_TemperatureZones[[#Headers],[Temperature Zone]],0)</f>
        <v>25.998999999999999</v>
      </c>
    </row>
    <row r="112" spans="4:20" ht="20.100000000000001" customHeight="1" x14ac:dyDescent="0.25">
      <c r="D112" s="37" t="str" cm="1">
        <f t="array" ref="D112">Common_InputFunctions.Utility_DisplayArrayInTable(Common_SourceData.Common_SourceData_TemperatureZones_Data(),Table_SourceData_TemperatureZones[[#Headers],[Temperature Zone]],0)</f>
        <v>Cool</v>
      </c>
      <c r="E112" s="37" t="str" cm="1">
        <f t="array" ref="E112">Common_InputFunctions.Utility_DisplayArrayInTable(Common_SourceData.Common_SourceData_TemperatureZones_Data(),Table_SourceData_TemperatureZones[[#Headers],[Temperature Zone]],0)</f>
        <v>≤ 14 C</v>
      </c>
      <c r="F112" s="37" cm="1">
        <f t="array" ref="F112">Common_InputFunctions.Utility_DisplayArrayInTable(Common_SourceData.Common_SourceData_TemperatureZones_Data(),Table_SourceData_TemperatureZones[[#Headers],[Temperature Zone]],0)</f>
        <v>-999999</v>
      </c>
      <c r="G112" s="37" cm="1">
        <f t="array" ref="G112">Common_InputFunctions.Utility_DisplayArrayInTable(Common_SourceData.Common_SourceData_TemperatureZones_Data(),Table_SourceData_TemperatureZones[[#Headers],[Temperature Zone]],0)</f>
        <v>14.999000000000001</v>
      </c>
    </row>
    <row r="113" spans="4:66" ht="20.100000000000001" customHeight="1" x14ac:dyDescent="0.25"/>
    <row r="114" spans="4:66" ht="20.100000000000001" customHeight="1" x14ac:dyDescent="0.25"/>
    <row r="115" spans="4:66" ht="20.100000000000001" customHeight="1" x14ac:dyDescent="0.25">
      <c r="D115" s="6" t="str" cm="1">
        <f t="array" ref="D115">Common_SourceData.Common_SourceData_RainfallZones_Title()</f>
        <v>VEERG Australian rainfall zones</v>
      </c>
      <c r="BN115" s="7"/>
    </row>
    <row r="116" spans="4:66" ht="20.100000000000001" customHeight="1" x14ac:dyDescent="0.25">
      <c r="D116" s="5" t="str" cm="1">
        <f t="array" ref="D116">Common_SourceData.Common_SourceData_RainfallZones_Source()</f>
        <v>VEERG 2026: Table 1.3: Climate and Rainfall zone classifications and definitions</v>
      </c>
      <c r="BN116" s="7"/>
    </row>
    <row r="117" spans="4:66" ht="20.100000000000001" customHeight="1" x14ac:dyDescent="0.25">
      <c r="D117" s="53" t="str" cm="1">
        <f t="array" ref="D117">"⚠️" &amp; Common_SourceData.Common_SourceData_RainfallZones_Variation()</f>
        <v>⚠️VARIATION OF SOURCE DATA: Added extra Rainfall min and Rainfall max columns to calculate zone from real rainfall data.</v>
      </c>
      <c r="BN117" s="7"/>
    </row>
    <row r="118" spans="4:66" ht="20.100000000000001" customHeight="1" x14ac:dyDescent="0.25">
      <c r="BN118" s="7"/>
    </row>
    <row r="119" spans="4:66" ht="20.100000000000001" customHeight="1" x14ac:dyDescent="0.25">
      <c r="D119" s="37" t="s">
        <v>54</v>
      </c>
      <c r="E119" s="37" t="s">
        <v>55</v>
      </c>
      <c r="F119" s="37" t="s">
        <v>39</v>
      </c>
      <c r="G119" s="37" t="s">
        <v>40</v>
      </c>
      <c r="BN119" s="7"/>
    </row>
    <row r="120" spans="4:66" ht="20.100000000000001" customHeight="1" x14ac:dyDescent="0.25">
      <c r="D120" s="37" t="str" cm="1">
        <f t="array" ref="D120">Common_InputFunctions.Utility_DisplayArrayInTable(Common_SourceData.Common_SourceData_RainfallZones_Data(),Table_SourceData_RainfallZones[[#Headers],[Rainfall Zone]],0)</f>
        <v>High rainfall</v>
      </c>
      <c r="E120" s="37" t="str" cm="1">
        <f t="array" ref="E120">Common_InputFunctions.Utility_DisplayArrayInTable(Common_SourceData.Common_SourceData_RainfallZones_Data(),Table_SourceData_RainfallZones[[#Headers],[Rainfall Zone]],0)</f>
        <v>Annual rainfall &gt; 600mm</v>
      </c>
      <c r="F120" s="37" cm="1">
        <f t="array" ref="F120">Common_InputFunctions.Utility_DisplayArrayInTable(Common_SourceData.Common_SourceData_RainfallZones_Data(),Table_SourceData_RainfallZones[[#Headers],[Rainfall Zone]],0)</f>
        <v>600.00099999999998</v>
      </c>
      <c r="G120" s="37" cm="1">
        <f t="array" ref="G120">Common_InputFunctions.Utility_DisplayArrayInTable(Common_SourceData.Common_SourceData_RainfallZones_Data(),Table_SourceData_RainfallZones[[#Headers],[Rainfall Zone]],0)</f>
        <v>999999</v>
      </c>
      <c r="BN120" s="7"/>
    </row>
    <row r="121" spans="4:66" ht="20.100000000000001" customHeight="1" x14ac:dyDescent="0.25">
      <c r="D121" s="37" t="str" cm="1">
        <f t="array" ref="D121">Common_InputFunctions.Utility_DisplayArrayInTable(Common_SourceData.Common_SourceData_RainfallZones_Data(),Table_SourceData_RainfallZones[[#Headers],[Rainfall Zone]],0)</f>
        <v>Low rainfall</v>
      </c>
      <c r="E121" s="37" t="str" cm="1">
        <f t="array" ref="E121">Common_InputFunctions.Utility_DisplayArrayInTable(Common_SourceData.Common_SourceData_RainfallZones_Data(),Table_SourceData_RainfallZones[[#Headers],[Rainfall Zone]],0)</f>
        <v>Annual rainfall ≤ 600mm</v>
      </c>
      <c r="F121" s="37" cm="1">
        <f t="array" ref="F121">Common_InputFunctions.Utility_DisplayArrayInTable(Common_SourceData.Common_SourceData_RainfallZones_Data(),Table_SourceData_RainfallZones[[#Headers],[Rainfall Zone]],0)</f>
        <v>-999999</v>
      </c>
      <c r="G121" s="37" cm="1">
        <f t="array" ref="G121">Common_InputFunctions.Utility_DisplayArrayInTable(Common_SourceData.Common_SourceData_RainfallZones_Data(),Table_SourceData_RainfallZones[[#Headers],[Rainfall Zone]],0)</f>
        <v>600</v>
      </c>
      <c r="BN121" s="7"/>
    </row>
    <row r="122" spans="4:66" ht="20.100000000000001" customHeight="1" x14ac:dyDescent="0.25">
      <c r="BN122" s="7"/>
    </row>
    <row r="123" spans="4:66" ht="20.100000000000001" customHeight="1" x14ac:dyDescent="0.25"/>
    <row r="124" spans="4:66" ht="20.100000000000001" customHeight="1" x14ac:dyDescent="0.25">
      <c r="D124" s="6" t="str" cm="1">
        <f t="array" ref="D124">Common_SourceData.Common_SourceData_LeachingZones_Title()</f>
        <v>VEERG Australian leaching zones</v>
      </c>
    </row>
    <row r="125" spans="4:66" ht="20.100000000000001" customHeight="1" x14ac:dyDescent="0.25">
      <c r="D125" s="5" t="str" cm="1">
        <f t="array" ref="D125">Common_SourceData.Common_SourceData_LeachingZones_Source()</f>
        <v>VEERG 2026: Table 1.3: Climate and Rainfall zone classifications and definitions</v>
      </c>
    </row>
    <row r="126" spans="4:66" ht="20.100000000000001" customHeight="1" x14ac:dyDescent="0.25"/>
    <row r="127" spans="4:66" ht="20.100000000000001" customHeight="1" x14ac:dyDescent="0.25">
      <c r="D127" s="37" t="s">
        <v>61</v>
      </c>
      <c r="E127" s="37" t="s">
        <v>62</v>
      </c>
    </row>
    <row r="128" spans="4:66" ht="20.100000000000001" customHeight="1" x14ac:dyDescent="0.25">
      <c r="D128" s="37" t="str" cm="1">
        <f t="array" ref="D128">Common_InputFunctions.Utility_DisplayArrayInTable(Common_SourceData.Common_SourceData_LeachingZones_Data(), Table_SourceData_LeachingZones[[#Headers],[Leaching Zone]], 0)</f>
        <v>Leaching occurs</v>
      </c>
      <c r="E128" s="37" t="str" cm="1">
        <f t="array" ref="E128">Common_InputFunctions.Utility_DisplayArrayInTable(Common_SourceData.Common_SourceData_LeachingZones_Data(), Table_SourceData_LeachingZones[[#Headers],[Leaching Zone]], 0)</f>
        <v>Σ(𝑟𝑎𝑖𝑛)&gt;Σ(𝐸𝑇0)+𝑠𝑜𝑖𝑙 𝑤𝑎𝑡𝑒𝑟 ℎ𝑜𝑙𝑑𝑖𝑛𝑔 𝑐𝑎𝑝𝑎𝑐𝑖𝑡𝑦</v>
      </c>
    </row>
    <row r="129" spans="4:77" ht="20.100000000000001" customHeight="1" x14ac:dyDescent="0.25">
      <c r="D129" s="37" t="str" cm="1">
        <f t="array" ref="D129">Common_InputFunctions.Utility_DisplayArrayInTable(Common_SourceData.Common_SourceData_LeachingZones_Data(), Table_SourceData_LeachingZones[[#Headers],[Leaching Zone]], 0)</f>
        <v>Leaching does not occur</v>
      </c>
      <c r="E129" s="37" t="str" cm="1">
        <f t="array" ref="E129">Common_InputFunctions.Utility_DisplayArrayInTable(Common_SourceData.Common_SourceData_LeachingZones_Data(), Table_SourceData_LeachingZones[[#Headers],[Leaching Zone]], 0)</f>
        <v>Σ(𝑟𝑎𝑖𝑛)≤Σ(𝐸𝑇0)+𝑠𝑜𝑖𝑙 𝑤𝑎𝑡𝑒𝑟 ℎ𝑜𝑙𝑑𝑖𝑛𝑔 𝑐𝑎𝑝𝑎𝑐𝑖𝑡𝑦</v>
      </c>
    </row>
    <row r="130" spans="4:77" ht="20.100000000000001" customHeight="1" x14ac:dyDescent="0.25"/>
    <row r="131" spans="4:77" ht="20.100000000000001" customHeight="1" x14ac:dyDescent="0.25"/>
    <row r="132" spans="4:77" ht="20.100000000000001" customHeight="1" x14ac:dyDescent="0.25">
      <c r="D132" s="6" t="str" cm="1">
        <f t="array" ref="D132">Common_SourceData.Common_SourceData_FracWET_Title()</f>
        <v>Fraction of N that is available for leaching and runoff</v>
      </c>
      <c r="E132" s="22"/>
    </row>
    <row r="133" spans="4:77" ht="20.100000000000001" customHeight="1" x14ac:dyDescent="0.25">
      <c r="D133" s="5" t="str" cm="1">
        <f t="array" ref="D133">Common_SourceData.Common_SourceData_FracWET_Source()</f>
        <v>VEERG 2026:5.5.2.3 Constant Parameters</v>
      </c>
      <c r="E133" s="22"/>
    </row>
    <row r="134" spans="4:77" ht="20.100000000000001" customHeight="1" x14ac:dyDescent="0.25">
      <c r="D134" t="s">
        <v>74</v>
      </c>
      <c r="E134" t="s">
        <v>75</v>
      </c>
    </row>
    <row r="135" spans="4:77" ht="20.100000000000001" customHeight="1" x14ac:dyDescent="0.25">
      <c r="D135" t="str" cm="1">
        <f t="array" ref="D135">Common_InputFunctions.Utility_DisplayArrayInTable(Common_SourceData.Common_SourceData_FracWET_Data(),Table_SourceData_FracWET[[#Headers],[Is in leaching zone]],0)</f>
        <v>Yes - in leaching zone</v>
      </c>
      <c r="E135" cm="1">
        <f t="array" ref="E135">Common_InputFunctions.Utility_DisplayArrayInTable(Common_SourceData.Common_SourceData_FracWET_Data(),Table_SourceData_FracWET[[#Headers],[Is in leaching zone]],0)</f>
        <v>1</v>
      </c>
    </row>
    <row r="136" spans="4:77" ht="20.100000000000001" customHeight="1" x14ac:dyDescent="0.25">
      <c r="D136" s="1" t="str" cm="1">
        <f t="array" ref="D136">Common_InputFunctions.Utility_DisplayArrayInTable(Common_SourceData.Common_SourceData_FracWET_Data(),Table_SourceData_FracWET[[#Headers],[Is in leaching zone]],0)</f>
        <v>No - not in leaching zone</v>
      </c>
      <c r="E136" s="37" cm="1">
        <f t="array" ref="E136">Common_InputFunctions.Utility_DisplayArrayInTable(Common_SourceData.Common_SourceData_FracWET_Data(),Table_SourceData_FracWET[[#Headers],[Is in leaching zone]],0)</f>
        <v>0</v>
      </c>
    </row>
    <row r="137" spans="4:77" ht="20.100000000000001" customHeight="1" x14ac:dyDescent="0.25"/>
    <row r="138" spans="4:77" ht="20.100000000000001" customHeight="1" x14ac:dyDescent="0.25">
      <c r="BN138" s="7"/>
      <c r="BO138" s="7"/>
      <c r="BP138" s="7"/>
      <c r="BQ138" s="7"/>
      <c r="BR138" s="7"/>
      <c r="BS138" s="7"/>
      <c r="BT138" s="7"/>
      <c r="BU138" s="7"/>
      <c r="BV138" s="7"/>
      <c r="BW138" s="7"/>
      <c r="BX138" s="7"/>
      <c r="BY138" s="7"/>
    </row>
    <row r="139" spans="4:77" ht="20.100000000000001" customHeight="1" x14ac:dyDescent="0.25">
      <c r="D139" s="6" t="str" cm="1">
        <f t="array" ref="D139">Common_SourceData.Common_SourceData_FracWETIrrigation_Title()</f>
        <v>FracWET for irrigation types</v>
      </c>
      <c r="BN139" s="7"/>
      <c r="BO139" s="7"/>
      <c r="BP139" s="7"/>
      <c r="BQ139" s="7"/>
      <c r="BR139" s="7"/>
      <c r="BS139" s="7"/>
      <c r="BT139" s="7"/>
      <c r="BU139" s="7"/>
      <c r="BV139" s="7"/>
      <c r="BW139" s="7"/>
      <c r="BX139" s="7"/>
      <c r="BY139" s="7"/>
    </row>
    <row r="140" spans="4:77" ht="20.100000000000001" customHeight="1" x14ac:dyDescent="0.25">
      <c r="D140" s="5" t="str" cm="1">
        <f t="array" ref="D140">Common_SourceData.Common_SourceData_FracWETIrrigation_Source()</f>
        <v>VEERG 2026: Chapter 1, section 1.8.2 Leaching, climate and rainfall zones</v>
      </c>
      <c r="BN140" s="7"/>
      <c r="BO140" s="7"/>
      <c r="BP140" s="7"/>
      <c r="BQ140" s="7"/>
      <c r="BR140" s="7"/>
      <c r="BS140" s="7"/>
      <c r="BT140" s="7"/>
      <c r="BU140" s="7"/>
      <c r="BV140" s="7"/>
      <c r="BW140" s="7"/>
      <c r="BX140" s="7"/>
      <c r="BY140" s="7"/>
    </row>
    <row r="141" spans="4:77" ht="20.100000000000001" customHeight="1" x14ac:dyDescent="0.25">
      <c r="D141" s="53" t="str" cm="1">
        <f t="array" ref="D141">Common_SourceData.Common_SourceData_FracWETIrrigation_Variation()</f>
        <v>VARIATION FROM SOURCE DATA: Table created based on VEERG text 'Areas are subject to leaching (i.e., in the leaching zone) when... the land is irrigated (except drip irrigation).'</v>
      </c>
      <c r="BN141" s="7"/>
    </row>
    <row r="142" spans="4:77" ht="20.100000000000001" customHeight="1" x14ac:dyDescent="0.25">
      <c r="D142" s="37" t="s">
        <v>91</v>
      </c>
      <c r="E142" s="37" t="s">
        <v>75</v>
      </c>
      <c r="BN142" s="7"/>
    </row>
    <row r="143" spans="4:77" ht="20.100000000000001" customHeight="1" x14ac:dyDescent="0.25">
      <c r="D143" s="37" t="str" cm="1">
        <f t="array" ref="D143">Common_InputFunctions.Utility_DisplayArrayInTable(Common_SourceData.Common_SourceData_FracWETIrrigation_Data(), Table_SourceData_FracWETIrrigation[[#Headers],[Irrigation type i]], 0)</f>
        <v>Not irrigated</v>
      </c>
      <c r="E143" s="37" cm="1">
        <f t="array" ref="E143">Common_InputFunctions.Utility_DisplayArrayInTable(Common_SourceData.Common_SourceData_FracWETIrrigation_Data(), Table_SourceData_FracWETIrrigation[[#Headers],[Irrigation type i]], 0)</f>
        <v>0</v>
      </c>
      <c r="BN143" s="7"/>
    </row>
    <row r="144" spans="4:77" ht="20.100000000000001" customHeight="1" x14ac:dyDescent="0.25">
      <c r="D144" s="1" t="str" cm="1">
        <f t="array" ref="D144">Common_InputFunctions.Utility_DisplayArrayInTable(Common_SourceData.Common_SourceData_FracWETIrrigation_Data(), Table_SourceData_FracWETIrrigation[[#Headers],[Irrigation type i]], 0)</f>
        <v>Drip irrigation</v>
      </c>
      <c r="E144" s="37" cm="1">
        <f t="array" ref="E144">Common_InputFunctions.Utility_DisplayArrayInTable(Common_SourceData.Common_SourceData_FracWETIrrigation_Data(), Table_SourceData_FracWETIrrigation[[#Headers],[Irrigation type i]], 0)</f>
        <v>0</v>
      </c>
      <c r="BN144" s="7"/>
    </row>
    <row r="145" spans="4:66" ht="20.100000000000001" customHeight="1" x14ac:dyDescent="0.25">
      <c r="D145" s="1" t="str" cm="1">
        <f t="array" ref="D145">Common_InputFunctions.Utility_DisplayArrayInTable(Common_SourceData.Common_SourceData_FracWETIrrigation_Data(), Table_SourceData_FracWETIrrigation[[#Headers],[Irrigation type i]], 0)</f>
        <v>Sprinkler irrigation</v>
      </c>
      <c r="E145" s="37" cm="1">
        <f t="array" ref="E145">Common_InputFunctions.Utility_DisplayArrayInTable(Common_SourceData.Common_SourceData_FracWETIrrigation_Data(), Table_SourceData_FracWETIrrigation[[#Headers],[Irrigation type i]], 0)</f>
        <v>1</v>
      </c>
      <c r="BN145" s="7"/>
    </row>
    <row r="146" spans="4:66" ht="20.100000000000001" customHeight="1" x14ac:dyDescent="0.25">
      <c r="D146" s="1" t="str" cm="1">
        <f t="array" ref="D146">Common_InputFunctions.Utility_DisplayArrayInTable(Common_SourceData.Common_SourceData_FracWETIrrigation_Data(), Table_SourceData_FracWETIrrigation[[#Headers],[Irrigation type i]], 0)</f>
        <v>Surface irrigation</v>
      </c>
      <c r="E146" s="37" cm="1">
        <f t="array" ref="E146">Common_InputFunctions.Utility_DisplayArrayInTable(Common_SourceData.Common_SourceData_FracWETIrrigation_Data(), Table_SourceData_FracWETIrrigation[[#Headers],[Irrigation type i]], 0)</f>
        <v>1</v>
      </c>
      <c r="BN146" s="7"/>
    </row>
    <row r="147" spans="4:66" ht="20.100000000000001" customHeight="1" x14ac:dyDescent="0.25">
      <c r="D147" s="1" t="str" cm="1">
        <f t="array" ref="D147">Common_InputFunctions.Utility_DisplayArrayInTable(Common_SourceData.Common_SourceData_FracWETIrrigation_Data(), Table_SourceData_FracWETIrrigation[[#Headers],[Irrigation type i]], 0)</f>
        <v>Other irrigation</v>
      </c>
      <c r="E147" s="37" cm="1">
        <f t="array" ref="E147">Common_InputFunctions.Utility_DisplayArrayInTable(Common_SourceData.Common_SourceData_FracWETIrrigation_Data(), Table_SourceData_FracWETIrrigation[[#Headers],[Irrigation type i]], 0)</f>
        <v>1</v>
      </c>
      <c r="BN147" s="7"/>
    </row>
    <row r="148" spans="4:66" ht="20.100000000000001" customHeight="1" x14ac:dyDescent="0.25">
      <c r="BN148" s="7"/>
    </row>
    <row r="149" spans="4:66" ht="20.100000000000001" customHeight="1" x14ac:dyDescent="0.25">
      <c r="BN149" s="7"/>
    </row>
    <row r="150" spans="4:66" ht="20.100000000000001" customHeight="1" x14ac:dyDescent="0.25">
      <c r="D150" s="6" t="str" cm="1">
        <f t="array" ref="D150">Common_SourceData.Common_SourceData_DataScores_Scope3_Title()</f>
        <v>Australian data scores for scope 3</v>
      </c>
      <c r="BN150" s="7"/>
    </row>
    <row r="151" spans="4:66" ht="20.100000000000001" customHeight="1" x14ac:dyDescent="0.25">
      <c r="D151" s="5" t="str" cm="1">
        <f t="array" ref="D151">Common_SourceData.Common_SourceData_DataScores_Scope3_Source()</f>
        <v>VEERG 2026: XXXXXXXX</v>
      </c>
      <c r="BN151" s="7"/>
    </row>
    <row r="152" spans="4:66" ht="20.100000000000001" customHeight="1" x14ac:dyDescent="0.25">
      <c r="BN152" s="7"/>
    </row>
    <row r="153" spans="4:66" ht="20.100000000000001" customHeight="1" x14ac:dyDescent="0.25">
      <c r="D153" s="37" t="s">
        <v>63</v>
      </c>
      <c r="E153" s="37" t="s">
        <v>64</v>
      </c>
      <c r="BC153" s="3"/>
      <c r="BD153" s="3"/>
      <c r="BE153" s="3"/>
      <c r="BF153" s="3"/>
      <c r="BG153" s="3"/>
      <c r="BH153" s="3"/>
      <c r="BI153" s="3"/>
      <c r="BJ153" s="3"/>
      <c r="BK153" s="3"/>
      <c r="BL153" s="3"/>
      <c r="BM153" s="3"/>
    </row>
    <row r="154" spans="4:66" ht="20.100000000000001" customHeight="1" x14ac:dyDescent="0.25">
      <c r="D154" s="37" t="str" cm="1">
        <f t="array" ref="D154">Common_InputFunctions.Utility_DisplayArrayInTable(Common_SourceData.Common_SourceData_DataScores_Scope3_Data(), Table_SourceData_DataScores_Scope3[[#Headers],[Data source]], 0)</f>
        <v>International scope 3 database</v>
      </c>
      <c r="E154" s="37" cm="1">
        <f t="array" ref="E154">Common_InputFunctions.Utility_DisplayArrayInTable(Common_SourceData.Common_SourceData_DataScores_Scope3_Data(), Table_SourceData_DataScores_Scope3[[#Headers],[Data source]], 0)</f>
        <v>1</v>
      </c>
      <c r="BC154" s="3"/>
      <c r="BD154" s="3"/>
      <c r="BE154" s="3"/>
      <c r="BF154" s="3"/>
      <c r="BG154" s="3"/>
      <c r="BH154" s="3"/>
      <c r="BI154" s="3"/>
      <c r="BJ154" s="3"/>
      <c r="BK154" s="3"/>
      <c r="BL154" s="3"/>
      <c r="BM154" s="3"/>
    </row>
    <row r="155" spans="4:66" ht="20.100000000000001" customHeight="1" x14ac:dyDescent="0.25">
      <c r="D155" s="37" t="str" cm="1">
        <f t="array" ref="D155">Common_InputFunctions.Utility_DisplayArrayInTable(Common_SourceData.Common_SourceData_DataScores_Scope3_Data(), Table_SourceData_DataScores_Scope3[[#Headers],[Data source]], 0)</f>
        <v>Australian scope 3 database</v>
      </c>
      <c r="E155" s="37" cm="1">
        <f t="array" ref="E155">Common_InputFunctions.Utility_DisplayArrayInTable(Common_SourceData.Common_SourceData_DataScores_Scope3_Data(), Table_SourceData_DataScores_Scope3[[#Headers],[Data source]], 0)</f>
        <v>2</v>
      </c>
      <c r="BC155" s="3"/>
      <c r="BD155" s="3"/>
      <c r="BE155" s="3"/>
      <c r="BF155" s="3"/>
      <c r="BG155" s="3"/>
      <c r="BH155" s="3"/>
      <c r="BI155" s="3"/>
      <c r="BJ155" s="3"/>
      <c r="BK155" s="3"/>
      <c r="BL155" s="3"/>
      <c r="BM155" s="3"/>
    </row>
    <row r="156" spans="4:66" ht="20.100000000000001" customHeight="1" x14ac:dyDescent="0.25">
      <c r="D156" s="37" t="str" cm="1">
        <f t="array" ref="D156">Common_InputFunctions.Utility_DisplayArrayInTable(Common_SourceData.Common_SourceData_DataScores_Scope3_Data(), Table_SourceData_DataScores_Scope3[[#Headers],[Data source]], 0)</f>
        <v>State or regional scope 3 database</v>
      </c>
      <c r="E156" s="37" cm="1">
        <f t="array" ref="E156">Common_InputFunctions.Utility_DisplayArrayInTable(Common_SourceData.Common_SourceData_DataScores_Scope3_Data(), Table_SourceData_DataScores_Scope3[[#Headers],[Data source]], 0)</f>
        <v>3</v>
      </c>
    </row>
    <row r="157" spans="4:66" ht="20.100000000000001" customHeight="1" x14ac:dyDescent="0.25">
      <c r="D157" s="37" t="str" cm="1">
        <f t="array" ref="D157">Common_InputFunctions.Utility_DisplayArrayInTable(Common_SourceData.Common_SourceData_DataScores_Scope3_Data(), Table_SourceData_DataScores_Scope3[[#Headers],[Data source]], 0)</f>
        <v>Emissions intensity calculated from approved method</v>
      </c>
      <c r="E157" s="37" cm="1">
        <f t="array" ref="E157">Common_InputFunctions.Utility_DisplayArrayInTable(Common_SourceData.Common_SourceData_DataScores_Scope3_Data(), Table_SourceData_DataScores_Scope3[[#Headers],[Data source]], 0)</f>
        <v>4</v>
      </c>
    </row>
    <row r="158" spans="4:66" ht="20.100000000000001" customHeight="1" x14ac:dyDescent="0.25">
      <c r="D158" s="37" t="str" cm="1">
        <f t="array" ref="D158">Common_InputFunctions.Utility_DisplayArrayInTable(Common_SourceData.Common_SourceData_DataScores_Scope3_Data(), Table_SourceData_DataScores_Scope3[[#Headers],[Data source]], 0)</f>
        <v>Verified credential matching ISO14067</v>
      </c>
      <c r="E158" s="37" cm="1">
        <f t="array" ref="E158">Common_InputFunctions.Utility_DisplayArrayInTable(Common_SourceData.Common_SourceData_DataScores_Scope3_Data(), Table_SourceData_DataScores_Scope3[[#Headers],[Data source]], 0)</f>
        <v>5</v>
      </c>
    </row>
    <row r="159" spans="4:66" ht="20.100000000000001" customHeight="1" x14ac:dyDescent="0.25"/>
    <row r="160" spans="4:66" ht="20.100000000000001" customHeight="1" x14ac:dyDescent="0.25"/>
    <row r="161" spans="4:68" ht="20.100000000000001" customHeight="1" x14ac:dyDescent="0.25">
      <c r="D161" s="6" t="str" cm="1">
        <f t="array" ref="D161">Common_SourceData.Common_SourceData_FracLEACH_Title()</f>
        <v>Fraction of N that is available for leaching and runoff</v>
      </c>
      <c r="E161" s="22"/>
    </row>
    <row r="162" spans="4:68" ht="20.100000000000001" customHeight="1" x14ac:dyDescent="0.25">
      <c r="D162" s="5" t="str" cm="1">
        <f t="array" ref="D162">Common_SourceData.Common_SourceData_FracLEACH_Source()</f>
        <v>VEERG 2026:5.5.2.3 Constant Parameters</v>
      </c>
      <c r="E162" s="22"/>
    </row>
    <row r="163" spans="4:68" ht="20.100000000000001" customHeight="1" x14ac:dyDescent="0.25">
      <c r="D163" s="5" t="str" cm="1">
        <f t="array" ref="D163">Common_SourceData.Common_SourceData_FracLEACH_NIRReference()</f>
        <v>National Inventory Report Volume 1: Leaching and runoff (3.D.b.2)</v>
      </c>
      <c r="E163" s="22"/>
    </row>
    <row r="164" spans="4:68" ht="20.100000000000001" customHeight="1" x14ac:dyDescent="0.25">
      <c r="D164" s="22" t="str" cm="1">
        <f t="array" ref="D164:E164">Common_SourceData.Common_SourceData_FracLEACH_Data()</f>
        <v>FracLEACH</v>
      </c>
      <c r="E164" s="22">
        <v>0.24</v>
      </c>
    </row>
    <row r="165" spans="4:68" ht="20.100000000000001" customHeight="1" x14ac:dyDescent="0.25">
      <c r="BN165" s="7"/>
      <c r="BO165" s="7"/>
      <c r="BP165" s="7"/>
    </row>
    <row r="166" spans="4:68" ht="20.100000000000001" customHeight="1" x14ac:dyDescent="0.25">
      <c r="BN166" s="7"/>
      <c r="BO166" s="7"/>
      <c r="BP166" s="7"/>
    </row>
    <row r="167" spans="4:68" ht="20.100000000000001" customHeight="1" x14ac:dyDescent="0.25">
      <c r="D167" s="6" t="str" cm="1">
        <f t="array" ref="D167">Common_SourceData.Common_SourceData_EFleach_Title()</f>
        <v>Emission factor for nitrogen leaching and runoff</v>
      </c>
      <c r="BN167" s="7"/>
      <c r="BO167" s="7"/>
      <c r="BP167" s="7"/>
    </row>
    <row r="168" spans="4:68" ht="20.100000000000001" customHeight="1" x14ac:dyDescent="0.25">
      <c r="D168" s="5" t="str" cm="1">
        <f t="array" ref="D168">Common_SourceData.Common_SourceData_EFleach_Source()</f>
        <v>VEERG 2026:5.5.2.3 Constant Parameters</v>
      </c>
      <c r="BN168" s="7"/>
      <c r="BO168" s="7"/>
      <c r="BP168" s="7"/>
    </row>
    <row r="169" spans="4:68" ht="20.100000000000001" customHeight="1" x14ac:dyDescent="0.25">
      <c r="D169" s="5" t="str" cm="1">
        <f t="array" ref="D169">Common_SourceData.Common_SourceData_EFleach_NIRReference()</f>
        <v>National Inventory Report Volume 1: Equation 3.D.B_10</v>
      </c>
      <c r="BN169" s="7"/>
      <c r="BO169" s="7"/>
      <c r="BP169" s="7"/>
    </row>
    <row r="170" spans="4:68" ht="20.100000000000001" customHeight="1" x14ac:dyDescent="0.25">
      <c r="D170" s="1" t="str" cm="1">
        <f t="array" ref="D170:E170">Common_SourceData.Common_SourceData_EFleach_Data()</f>
        <v>EFleach</v>
      </c>
      <c r="E170" s="1">
        <v>1.0999999999999999E-2</v>
      </c>
      <c r="BN170" s="7"/>
      <c r="BO170" s="7"/>
      <c r="BP170" s="7"/>
    </row>
    <row r="171" spans="4:68" ht="20.100000000000001" customHeight="1" x14ac:dyDescent="0.25">
      <c r="BN171" s="7"/>
      <c r="BO171" s="7"/>
      <c r="BP171" s="7"/>
    </row>
    <row r="172" spans="4:68" ht="20.100000000000001" customHeight="1" x14ac:dyDescent="0.25">
      <c r="BN172" s="7"/>
      <c r="BO172" s="7"/>
      <c r="BP172" s="7"/>
    </row>
    <row r="173" spans="4:68" ht="20.100000000000001" customHeight="1" x14ac:dyDescent="0.25">
      <c r="D173" s="6" t="str" cm="1">
        <f t="array" ref="D173">Common_SourceData.Common_SourceData_DensityOfMethane_Title()</f>
        <v>p = density of methane</v>
      </c>
      <c r="BN173" s="7"/>
      <c r="BO173" s="7"/>
      <c r="BP173" s="7"/>
    </row>
    <row r="174" spans="4:68" ht="20.100000000000001" customHeight="1" x14ac:dyDescent="0.25">
      <c r="D174" s="5" t="str" cm="1">
        <f t="array" ref="D174">Common_SourceData.Common_SourceData_DensityOfMethane_Source()</f>
        <v>National Inventory Report 2023 Volume 1: Equations 3.B.1a_2, 3.B.1c_2, 3.B.3_1, 3.B.4g_2</v>
      </c>
      <c r="BN174" s="7"/>
      <c r="BO174" s="7"/>
      <c r="BP174" s="7"/>
    </row>
    <row r="175" spans="4:68" ht="20.100000000000001" customHeight="1" x14ac:dyDescent="0.25">
      <c r="D175" s="1" cm="1">
        <f t="array" ref="D175">Common_SourceData.Common_SourceData_DensityOfMethane_Data()</f>
        <v>0.6784</v>
      </c>
      <c r="E175" s="52" t="str" cm="1">
        <f t="array" ref="E175">Common_SourceData.Common_SourceData_DensityOfMethane_Unit()</f>
        <v>kg/m3</v>
      </c>
      <c r="BN175" s="7"/>
      <c r="BO175" s="7"/>
      <c r="BP175" s="7"/>
    </row>
    <row r="176" spans="4:68" ht="20.100000000000001" customHeight="1" x14ac:dyDescent="0.25">
      <c r="BN176" s="7"/>
      <c r="BO176" s="7"/>
      <c r="BP176" s="7"/>
    </row>
    <row r="177" spans="4:68" ht="20.100000000000001" customHeight="1" x14ac:dyDescent="0.25">
      <c r="BN177" s="7"/>
      <c r="BO177" s="7"/>
      <c r="BP177" s="7"/>
    </row>
    <row r="178" spans="4:68" ht="20.100000000000001" customHeight="1" x14ac:dyDescent="0.25">
      <c r="D178" s="6" t="str" cm="1">
        <f t="array" ref="D178">Common_SourceData.Common_SourceData_EFN2O_Title()</f>
        <v>Nitrous oxide emission factors for inorganic fertiliser application</v>
      </c>
      <c r="BN178" s="7"/>
      <c r="BO178" s="7"/>
      <c r="BP178" s="7"/>
    </row>
    <row r="179" spans="4:68" ht="20.100000000000001" customHeight="1" x14ac:dyDescent="0.25">
      <c r="D179" s="5" t="str" cm="1">
        <f t="array" ref="D179">Common_SourceData.Common_SourceData_EFN2O_Source()</f>
        <v>VEERG 2026: Table A.2.2.1</v>
      </c>
      <c r="BN179" s="7"/>
      <c r="BO179" s="7"/>
      <c r="BP179" s="7"/>
    </row>
    <row r="180" spans="4:68" ht="20.100000000000001" customHeight="1" x14ac:dyDescent="0.25">
      <c r="D180" s="52" t="str" cm="1">
        <f t="array" ref="D180">Common_SourceData.Common_SourceData_EFN2O_Unit()</f>
        <v>(kg N2O-N / kg N</v>
      </c>
    </row>
    <row r="181" spans="4:68" ht="20.100000000000001" customHeight="1" x14ac:dyDescent="0.25">
      <c r="D181" s="53" t="str" cm="1">
        <f t="array" ref="D181:D185">Common_SourceData.Common_SourceData_EFN2O_Variation()</f>
        <v>VARIATION OF SOURCE DATA:</v>
      </c>
    </row>
    <row r="182" spans="4:68" ht="20.100000000000001" customHeight="1" x14ac:dyDescent="0.25">
      <c r="D182" s="53" t="str">
        <v>Removed duplicate 'Aquaculture' row.</v>
      </c>
    </row>
    <row r="183" spans="4:68" ht="20.100000000000001" customHeight="1" x14ac:dyDescent="0.25">
      <c r="D183" s="53" t="str">
        <v>Removed asterisks to aid lookup.</v>
      </c>
    </row>
    <row r="184" spans="4:68" ht="20.100000000000001" customHeight="1" x14ac:dyDescent="0.25">
      <c r="D184" s="53" t="str">
        <v>Added 'production system only', 'rainfall zone' and 'irrigation method' columns to aid lookup.</v>
      </c>
    </row>
    <row r="185" spans="4:68" ht="20.100000000000001" customHeight="1" x14ac:dyDescent="0.25">
      <c r="D185" s="53" t="str">
        <v>Duplicated 'non-irrigated pasture' row with same EF for low and high rainfall zones to aid lookup.</v>
      </c>
    </row>
    <row r="186" spans="4:68" ht="20.100000000000001" customHeight="1" x14ac:dyDescent="0.25">
      <c r="D186" s="37" t="s">
        <v>83</v>
      </c>
      <c r="E186" s="37" t="s">
        <v>84</v>
      </c>
      <c r="F186" s="37" t="s">
        <v>85</v>
      </c>
      <c r="G186" s="37" t="s">
        <v>86</v>
      </c>
      <c r="H186" s="37" t="s">
        <v>31</v>
      </c>
    </row>
    <row r="187" spans="4:68" ht="20.100000000000001" customHeight="1" x14ac:dyDescent="0.25">
      <c r="D187" s="37" t="str" cm="1">
        <f t="array" ref="D187">Common_InputFunctions.Utility_DisplayArrayInTable(Common_SourceData.Common_SourceData_EFN2O_Data(), Table_SourceData_Common_EFN2O[[#Headers],[Production system j]], 0)</f>
        <v>Irrigated pasture</v>
      </c>
      <c r="E187" s="37" cm="1">
        <f t="array" ref="E187">Common_InputFunctions.Utility_DisplayArrayInTable(Common_SourceData.Common_SourceData_EFN2O_Data(), Table_SourceData_Common_EFN2O[[#Headers],[Production system j]], 0)</f>
        <v>5.8999999999999999E-3</v>
      </c>
      <c r="F187" s="37" t="str" cm="1">
        <f t="array" ref="F187">Common_InputFunctions.Utility_DisplayArrayInTable(Common_SourceData.Common_SourceData_EFN2O_Data(), Table_SourceData_Common_EFN2O[[#Headers],[Production system j]], 0)</f>
        <v>Pasture</v>
      </c>
      <c r="G187" s="37" t="str" cm="1">
        <f t="array" ref="G187">Common_InputFunctions.Utility_DisplayArrayInTable(Common_SourceData.Common_SourceData_EFN2O_Data(), Table_SourceData_Common_EFN2O[[#Headers],[Production system j]], 0)</f>
        <v>Any</v>
      </c>
      <c r="H187" s="37" t="str" cm="1">
        <f t="array" ref="H187">Common_InputFunctions.Utility_DisplayArrayInTable(Common_SourceData.Common_SourceData_EFN2O_Data(), Table_SourceData_Common_EFN2O[[#Headers],[Production system j]], 0)</f>
        <v>Any</v>
      </c>
    </row>
    <row r="188" spans="4:68" ht="20.100000000000001" customHeight="1" x14ac:dyDescent="0.25">
      <c r="D188" s="37" t="str" cm="1">
        <f t="array" ref="D188">Common_InputFunctions.Utility_DisplayArrayInTable(Common_SourceData.Common_SourceData_EFN2O_Data(), Table_SourceData_Common_EFN2O[[#Headers],[Production system j]], 0)</f>
        <v>Irrigated crop</v>
      </c>
      <c r="E188" s="37" cm="1">
        <f t="array" ref="E188">Common_InputFunctions.Utility_DisplayArrayInTable(Common_SourceData.Common_SourceData_EFN2O_Data(), Table_SourceData_Common_EFN2O[[#Headers],[Production system j]], 0)</f>
        <v>7.0000000000000001E-3</v>
      </c>
      <c r="F188" s="37" t="str" cm="1">
        <f t="array" ref="F188">Common_InputFunctions.Utility_DisplayArrayInTable(Common_SourceData.Common_SourceData_EFN2O_Data(), Table_SourceData_Common_EFN2O[[#Headers],[Production system j]], 0)</f>
        <v>Crop</v>
      </c>
      <c r="G188" s="37" t="str" cm="1">
        <f t="array" ref="G188">Common_InputFunctions.Utility_DisplayArrayInTable(Common_SourceData.Common_SourceData_EFN2O_Data(), Table_SourceData_Common_EFN2O[[#Headers],[Production system j]], 0)</f>
        <v>Any</v>
      </c>
      <c r="H188" s="37" t="str" cm="1">
        <f t="array" ref="H188">Common_InputFunctions.Utility_DisplayArrayInTable(Common_SourceData.Common_SourceData_EFN2O_Data(), Table_SourceData_Common_EFN2O[[#Headers],[Production system j]], 0)</f>
        <v>Any</v>
      </c>
    </row>
    <row r="189" spans="4:68" ht="20.100000000000001" customHeight="1" x14ac:dyDescent="0.25">
      <c r="D189" s="37" t="str" cm="1">
        <f t="array" ref="D189">Common_InputFunctions.Utility_DisplayArrayInTable(Common_SourceData.Common_SourceData_EFN2O_Data(), Table_SourceData_Common_EFN2O[[#Headers],[Production system j]], 0)</f>
        <v>Non-irrigated pasture</v>
      </c>
      <c r="E189" s="37" cm="1">
        <f t="array" ref="E189">Common_InputFunctions.Utility_DisplayArrayInTable(Common_SourceData.Common_SourceData_EFN2O_Data(), Table_SourceData_Common_EFN2O[[#Headers],[Production system j]], 0)</f>
        <v>1.8E-3</v>
      </c>
      <c r="F189" s="37" t="str" cm="1">
        <f t="array" ref="F189">Common_InputFunctions.Utility_DisplayArrayInTable(Common_SourceData.Common_SourceData_EFN2O_Data(), Table_SourceData_Common_EFN2O[[#Headers],[Production system j]], 0)</f>
        <v>Pasture</v>
      </c>
      <c r="G189" s="37" t="str" cm="1">
        <f t="array" ref="G189">Common_InputFunctions.Utility_DisplayArrayInTable(Common_SourceData.Common_SourceData_EFN2O_Data(), Table_SourceData_Common_EFN2O[[#Headers],[Production system j]], 0)</f>
        <v>Not irrigated</v>
      </c>
      <c r="H189" s="37" t="str" cm="1">
        <f t="array" ref="H189">Common_InputFunctions.Utility_DisplayArrayInTable(Common_SourceData.Common_SourceData_EFN2O_Data(), Table_SourceData_Common_EFN2O[[#Headers],[Production system j]], 0)</f>
        <v>Low rainfall</v>
      </c>
    </row>
    <row r="190" spans="4:68" ht="20.100000000000001" customHeight="1" x14ac:dyDescent="0.25">
      <c r="D190" s="37" t="str" cm="1">
        <f t="array" ref="D190">Common_InputFunctions.Utility_DisplayArrayInTable(Common_SourceData.Common_SourceData_EFN2O_Data(), Table_SourceData_Common_EFN2O[[#Headers],[Production system j]], 0)</f>
        <v>Non-irrigated pasture</v>
      </c>
      <c r="E190" s="37" cm="1">
        <f t="array" ref="E190">Common_InputFunctions.Utility_DisplayArrayInTable(Common_SourceData.Common_SourceData_EFN2O_Data(), Table_SourceData_Common_EFN2O[[#Headers],[Production system j]], 0)</f>
        <v>1.8E-3</v>
      </c>
      <c r="F190" s="37" t="str" cm="1">
        <f t="array" ref="F190">Common_InputFunctions.Utility_DisplayArrayInTable(Common_SourceData.Common_SourceData_EFN2O_Data(), Table_SourceData_Common_EFN2O[[#Headers],[Production system j]], 0)</f>
        <v>Pasture</v>
      </c>
      <c r="G190" s="37" t="str" cm="1">
        <f t="array" ref="G190">Common_InputFunctions.Utility_DisplayArrayInTable(Common_SourceData.Common_SourceData_EFN2O_Data(), Table_SourceData_Common_EFN2O[[#Headers],[Production system j]], 0)</f>
        <v>Not irrigated</v>
      </c>
      <c r="H190" s="37" t="str" cm="1">
        <f t="array" ref="H190">Common_InputFunctions.Utility_DisplayArrayInTable(Common_SourceData.Common_SourceData_EFN2O_Data(), Table_SourceData_Common_EFN2O[[#Headers],[Production system j]], 0)</f>
        <v>High rainfall</v>
      </c>
    </row>
    <row r="191" spans="4:68" ht="20.100000000000001" customHeight="1" x14ac:dyDescent="0.25">
      <c r="D191" s="37" t="str" cm="1">
        <f t="array" ref="D191">Common_InputFunctions.Utility_DisplayArrayInTable(Common_SourceData.Common_SourceData_EFN2O_Data(), Table_SourceData_Common_EFN2O[[#Headers],[Production system j]], 0)</f>
        <v>Non-irrigated crop (low rainfall)</v>
      </c>
      <c r="E191" s="37" cm="1">
        <f t="array" ref="E191">Common_InputFunctions.Utility_DisplayArrayInTable(Common_SourceData.Common_SourceData_EFN2O_Data(), Table_SourceData_Common_EFN2O[[#Headers],[Production system j]], 0)</f>
        <v>2.8999999999999998E-3</v>
      </c>
      <c r="F191" s="37" t="str" cm="1">
        <f t="array" ref="F191">Common_InputFunctions.Utility_DisplayArrayInTable(Common_SourceData.Common_SourceData_EFN2O_Data(), Table_SourceData_Common_EFN2O[[#Headers],[Production system j]], 0)</f>
        <v>Crop</v>
      </c>
      <c r="G191" s="37" t="str" cm="1">
        <f t="array" ref="G191">Common_InputFunctions.Utility_DisplayArrayInTable(Common_SourceData.Common_SourceData_EFN2O_Data(), Table_SourceData_Common_EFN2O[[#Headers],[Production system j]], 0)</f>
        <v>Not irrigated</v>
      </c>
      <c r="H191" s="37" t="str" cm="1">
        <f t="array" ref="H191">Common_InputFunctions.Utility_DisplayArrayInTable(Common_SourceData.Common_SourceData_EFN2O_Data(), Table_SourceData_Common_EFN2O[[#Headers],[Production system j]], 0)</f>
        <v>Low rainfall</v>
      </c>
    </row>
    <row r="192" spans="4:68" ht="20.100000000000001" customHeight="1" x14ac:dyDescent="0.25">
      <c r="D192" s="37" t="str" cm="1">
        <f t="array" ref="D192">Common_InputFunctions.Utility_DisplayArrayInTable(Common_SourceData.Common_SourceData_EFN2O_Data(), Table_SourceData_Common_EFN2O[[#Headers],[Production system j]], 0)</f>
        <v>Non-irrigated crop (high rainfall)</v>
      </c>
      <c r="E192" s="37" cm="1">
        <f t="array" ref="E192">Common_InputFunctions.Utility_DisplayArrayInTable(Common_SourceData.Common_SourceData_EFN2O_Data(), Table_SourceData_Common_EFN2O[[#Headers],[Production system j]], 0)</f>
        <v>8.0000000000000002E-3</v>
      </c>
      <c r="F192" s="37" t="str" cm="1">
        <f t="array" ref="F192">Common_InputFunctions.Utility_DisplayArrayInTable(Common_SourceData.Common_SourceData_EFN2O_Data(), Table_SourceData_Common_EFN2O[[#Headers],[Production system j]], 0)</f>
        <v>Crop</v>
      </c>
      <c r="G192" s="37" t="str" cm="1">
        <f t="array" ref="G192">Common_InputFunctions.Utility_DisplayArrayInTable(Common_SourceData.Common_SourceData_EFN2O_Data(), Table_SourceData_Common_EFN2O[[#Headers],[Production system j]], 0)</f>
        <v>Not irrigated</v>
      </c>
      <c r="H192" s="37" t="str" cm="1">
        <f t="array" ref="H192">Common_InputFunctions.Utility_DisplayArrayInTable(Common_SourceData.Common_SourceData_EFN2O_Data(), Table_SourceData_Common_EFN2O[[#Headers],[Production system j]], 0)</f>
        <v>High rainfall</v>
      </c>
    </row>
    <row r="193" spans="4:8" ht="20.100000000000001" customHeight="1" x14ac:dyDescent="0.25">
      <c r="D193" s="37" t="str" cm="1">
        <f t="array" ref="D193">Common_InputFunctions.Utility_DisplayArrayInTable(Common_SourceData.Common_SourceData_EFN2O_Data(), Table_SourceData_Common_EFN2O[[#Headers],[Production system j]], 0)</f>
        <v>Sugar</v>
      </c>
      <c r="E193" s="37" cm="1">
        <f t="array" ref="E193">Common_InputFunctions.Utility_DisplayArrayInTable(Common_SourceData.Common_SourceData_EFN2O_Data(), Table_SourceData_Common_EFN2O[[#Headers],[Production system j]], 0)</f>
        <v>1.9900000000000001E-2</v>
      </c>
      <c r="F193" s="37" t="str" cm="1">
        <f t="array" ref="F193">Common_InputFunctions.Utility_DisplayArrayInTable(Common_SourceData.Common_SourceData_EFN2O_Data(), Table_SourceData_Common_EFN2O[[#Headers],[Production system j]], 0)</f>
        <v>Sugar</v>
      </c>
      <c r="G193" s="37" t="str" cm="1">
        <f t="array" ref="G193">Common_InputFunctions.Utility_DisplayArrayInTable(Common_SourceData.Common_SourceData_EFN2O_Data(), Table_SourceData_Common_EFN2O[[#Headers],[Production system j]], 0)</f>
        <v>Any</v>
      </c>
      <c r="H193" s="37" t="str" cm="1">
        <f t="array" ref="H193">Common_InputFunctions.Utility_DisplayArrayInTable(Common_SourceData.Common_SourceData_EFN2O_Data(), Table_SourceData_Common_EFN2O[[#Headers],[Production system j]], 0)</f>
        <v>Any</v>
      </c>
    </row>
    <row r="194" spans="4:8" ht="20.100000000000001" customHeight="1" x14ac:dyDescent="0.25">
      <c r="D194" s="37" t="str" cm="1">
        <f t="array" ref="D194">Common_InputFunctions.Utility_DisplayArrayInTable(Common_SourceData.Common_SourceData_EFN2O_Data(), Table_SourceData_Common_EFN2O[[#Headers],[Production system j]], 0)</f>
        <v>Cotton</v>
      </c>
      <c r="E194" s="37" cm="1">
        <f t="array" ref="E194">Common_InputFunctions.Utility_DisplayArrayInTable(Common_SourceData.Common_SourceData_EFN2O_Data(), Table_SourceData_Common_EFN2O[[#Headers],[Production system j]], 0)</f>
        <v>5.3E-3</v>
      </c>
      <c r="F194" s="37" t="str" cm="1">
        <f t="array" ref="F194">Common_InputFunctions.Utility_DisplayArrayInTable(Common_SourceData.Common_SourceData_EFN2O_Data(), Table_SourceData_Common_EFN2O[[#Headers],[Production system j]], 0)</f>
        <v>Cotton</v>
      </c>
      <c r="G194" s="37" t="str" cm="1">
        <f t="array" ref="G194">Common_InputFunctions.Utility_DisplayArrayInTable(Common_SourceData.Common_SourceData_EFN2O_Data(), Table_SourceData_Common_EFN2O[[#Headers],[Production system j]], 0)</f>
        <v>Any</v>
      </c>
      <c r="H194" s="37" t="str" cm="1">
        <f t="array" ref="H194">Common_InputFunctions.Utility_DisplayArrayInTable(Common_SourceData.Common_SourceData_EFN2O_Data(), Table_SourceData_Common_EFN2O[[#Headers],[Production system j]], 0)</f>
        <v>Any</v>
      </c>
    </row>
    <row r="195" spans="4:8" ht="20.100000000000001" customHeight="1" x14ac:dyDescent="0.25">
      <c r="D195" s="37" t="str" cm="1">
        <f t="array" ref="D195">Common_InputFunctions.Utility_DisplayArrayInTable(Common_SourceData.Common_SourceData_EFN2O_Data(), Table_SourceData_Common_EFN2O[[#Headers],[Production system j]], 0)</f>
        <v>Horticultural crops</v>
      </c>
      <c r="E195" s="37" cm="1">
        <f t="array" ref="E195">Common_InputFunctions.Utility_DisplayArrayInTable(Common_SourceData.Common_SourceData_EFN2O_Data(), Table_SourceData_Common_EFN2O[[#Headers],[Production system j]], 0)</f>
        <v>6.4000000000000003E-3</v>
      </c>
      <c r="F195" s="37" t="str" cm="1">
        <f t="array" ref="F195">Common_InputFunctions.Utility_DisplayArrayInTable(Common_SourceData.Common_SourceData_EFN2O_Data(), Table_SourceData_Common_EFN2O[[#Headers],[Production system j]], 0)</f>
        <v>Horticultural crops</v>
      </c>
      <c r="G195" s="37" t="str" cm="1">
        <f t="array" ref="G195">Common_InputFunctions.Utility_DisplayArrayInTable(Common_SourceData.Common_SourceData_EFN2O_Data(), Table_SourceData_Common_EFN2O[[#Headers],[Production system j]], 0)</f>
        <v>Any</v>
      </c>
      <c r="H195" s="37" t="str" cm="1">
        <f t="array" ref="H195">Common_InputFunctions.Utility_DisplayArrayInTable(Common_SourceData.Common_SourceData_EFN2O_Data(), Table_SourceData_Common_EFN2O[[#Headers],[Production system j]], 0)</f>
        <v>Any</v>
      </c>
    </row>
    <row r="196" spans="4:8" ht="20.100000000000001" customHeight="1" x14ac:dyDescent="0.25">
      <c r="D196" s="37" t="str" cm="1">
        <f t="array" ref="D196">Common_InputFunctions.Utility_DisplayArrayInTable(Common_SourceData.Common_SourceData_EFN2O_Data(), Table_SourceData_Common_EFN2O[[#Headers],[Production system j]], 0)</f>
        <v>Rice (continuous flooding)</v>
      </c>
      <c r="E196" s="37" cm="1">
        <f t="array" ref="E196">Common_InputFunctions.Utility_DisplayArrayInTable(Common_SourceData.Common_SourceData_EFN2O_Data(), Table_SourceData_Common_EFN2O[[#Headers],[Production system j]], 0)</f>
        <v>3.0000000000000001E-3</v>
      </c>
      <c r="F196" s="37" t="str" cm="1">
        <f t="array" ref="F196">Common_InputFunctions.Utility_DisplayArrayInTable(Common_SourceData.Common_SourceData_EFN2O_Data(), Table_SourceData_Common_EFN2O[[#Headers],[Production system j]], 0)</f>
        <v>Rice</v>
      </c>
      <c r="G196" s="37" t="str" cm="1">
        <f t="array" ref="G196">Common_InputFunctions.Utility_DisplayArrayInTable(Common_SourceData.Common_SourceData_EFN2O_Data(), Table_SourceData_Common_EFN2O[[#Headers],[Production system j]], 0)</f>
        <v>Continuous flooding</v>
      </c>
      <c r="H196" s="37" t="str" cm="1">
        <f t="array" ref="H196">Common_InputFunctions.Utility_DisplayArrayInTable(Common_SourceData.Common_SourceData_EFN2O_Data(), Table_SourceData_Common_EFN2O[[#Headers],[Production system j]], 0)</f>
        <v>Any</v>
      </c>
    </row>
    <row r="197" spans="4:8" x14ac:dyDescent="0.25">
      <c r="D197" s="37" t="str" cm="1">
        <f t="array" ref="D197">Common_InputFunctions.Utility_DisplayArrayInTable(Common_SourceData.Common_SourceData_EFN2O_Data(), Table_SourceData_Common_EFN2O[[#Headers],[Production system j]], 0)</f>
        <v>Rice (single and multiple drainage, or alternate wetting and drying)</v>
      </c>
      <c r="E197" s="37" cm="1">
        <f t="array" ref="E197">Common_InputFunctions.Utility_DisplayArrayInTable(Common_SourceData.Common_SourceData_EFN2O_Data(), Table_SourceData_Common_EFN2O[[#Headers],[Production system j]], 0)</f>
        <v>5.0000000000000001E-3</v>
      </c>
      <c r="F197" s="37" t="str" cm="1">
        <f t="array" ref="F197">Common_InputFunctions.Utility_DisplayArrayInTable(Common_SourceData.Common_SourceData_EFN2O_Data(), Table_SourceData_Common_EFN2O[[#Headers],[Production system j]], 0)</f>
        <v>Rice</v>
      </c>
      <c r="G197" s="37" t="str" cm="1">
        <f t="array" ref="G197">Common_InputFunctions.Utility_DisplayArrayInTable(Common_SourceData.Common_SourceData_EFN2O_Data(), Table_SourceData_Common_EFN2O[[#Headers],[Production system j]], 0)</f>
        <v>Single and multiple drainage, or alternate wetting and drying</v>
      </c>
      <c r="H197" s="37" t="str" cm="1">
        <f t="array" ref="H197">Common_InputFunctions.Utility_DisplayArrayInTable(Common_SourceData.Common_SourceData_EFN2O_Data(), Table_SourceData_Common_EFN2O[[#Headers],[Production system j]], 0)</f>
        <v>Any</v>
      </c>
    </row>
    <row r="198" spans="4:8" x14ac:dyDescent="0.25">
      <c r="D198" s="37" t="str" cm="1">
        <f t="array" ref="D198">Common_InputFunctions.Utility_DisplayArrayInTable(Common_SourceData.Common_SourceData_EFN2O_Data(), Table_SourceData_Common_EFN2O[[#Headers],[Production system j]], 0)</f>
        <v>Aquaculture</v>
      </c>
      <c r="E198" s="37" cm="1">
        <f t="array" ref="E198">Common_InputFunctions.Utility_DisplayArrayInTable(Common_SourceData.Common_SourceData_EFN2O_Data(), Table_SourceData_Common_EFN2O[[#Headers],[Production system j]], 0)</f>
        <v>2.5999999999999999E-3</v>
      </c>
      <c r="F198" s="37" t="str" cm="1">
        <f t="array" ref="F198">Common_InputFunctions.Utility_DisplayArrayInTable(Common_SourceData.Common_SourceData_EFN2O_Data(), Table_SourceData_Common_EFN2O[[#Headers],[Production system j]], 0)</f>
        <v>Aquaculture</v>
      </c>
      <c r="G198" s="37" t="str" cm="1">
        <f t="array" ref="G198">Common_InputFunctions.Utility_DisplayArrayInTable(Common_SourceData.Common_SourceData_EFN2O_Data(), Table_SourceData_Common_EFN2O[[#Headers],[Production system j]], 0)</f>
        <v>Any</v>
      </c>
      <c r="H198" s="37" t="str" cm="1">
        <f t="array" ref="H198">Common_InputFunctions.Utility_DisplayArrayInTable(Common_SourceData.Common_SourceData_EFN2O_Data(), Table_SourceData_Common_EFN2O[[#Headers],[Production system j]], 0)</f>
        <v>Any</v>
      </c>
    </row>
    <row r="199" spans="4:8" x14ac:dyDescent="0.25">
      <c r="D199" s="37" t="str" cm="1">
        <f t="array" ref="D199">Common_InputFunctions.Utility_DisplayArrayInTable(Common_SourceData.Common_SourceData_EFN2O_Data(), Table_SourceData_Common_EFN2O[[#Headers],[Production system j]], 0)</f>
        <v>Forestry</v>
      </c>
      <c r="E199" s="37" cm="1">
        <f t="array" ref="E199">Common_InputFunctions.Utility_DisplayArrayInTable(Common_SourceData.Common_SourceData_EFN2O_Data(), Table_SourceData_Common_EFN2O[[#Headers],[Production system j]], 0)</f>
        <v>1.8E-3</v>
      </c>
      <c r="F199" s="37" t="str" cm="1">
        <f t="array" ref="F199">Common_InputFunctions.Utility_DisplayArrayInTable(Common_SourceData.Common_SourceData_EFN2O_Data(), Table_SourceData_Common_EFN2O[[#Headers],[Production system j]], 0)</f>
        <v>Forestry</v>
      </c>
      <c r="G199" s="37" t="str" cm="1">
        <f t="array" ref="G199">Common_InputFunctions.Utility_DisplayArrayInTable(Common_SourceData.Common_SourceData_EFN2O_Data(), Table_SourceData_Common_EFN2O[[#Headers],[Production system j]], 0)</f>
        <v>Any</v>
      </c>
      <c r="H199" s="37" t="str" cm="1">
        <f t="array" ref="H199">Common_InputFunctions.Utility_DisplayArrayInTable(Common_SourceData.Common_SourceData_EFN2O_Data(), Table_SourceData_Common_EFN2O[[#Headers],[Production system j]], 0)</f>
        <v>Any</v>
      </c>
    </row>
    <row r="202" spans="4:8" ht="23.25" x14ac:dyDescent="0.25">
      <c r="D202" s="6" t="str" cm="1">
        <f t="array" ref="D202">Common_SourceData.Common_SourceData_EFPastureRangeAndPaddock_Title()</f>
        <v>Emission factor for urine and dung deposited on pasture, range or paddock</v>
      </c>
    </row>
    <row r="203" spans="4:8" x14ac:dyDescent="0.25">
      <c r="D203" s="5" t="str" cm="1">
        <f t="array" ref="D203">Common_SourceData.Common_SourceData_EFPastureRangeAndPaddock_Source()</f>
        <v>VEERG 2026: Table A.2.2.2</v>
      </c>
    </row>
    <row r="204" spans="4:8" x14ac:dyDescent="0.25">
      <c r="D204" s="53" t="str" cm="1">
        <f t="array" ref="D204">Common_SourceData.Common_SourceData_EFPastureRangeAndPaddock_Variation()</f>
        <v>VARIATION FROM SOURCE DATA: Changed 'Dry climate zones' to singular 'Dry climate zone' to aid lookup.</v>
      </c>
    </row>
    <row r="205" spans="4:8" x14ac:dyDescent="0.25">
      <c r="D205" s="52" t="str" cm="1">
        <f t="array" ref="D205">Common_SourceData.Common_SourceData_EFPastureRangeAndPaddock_Unit()</f>
        <v>kg N2O - N / kg N</v>
      </c>
    </row>
    <row r="206" spans="4:8" x14ac:dyDescent="0.25">
      <c r="D206" s="37" t="s">
        <v>8</v>
      </c>
      <c r="E206" s="37" t="s">
        <v>93</v>
      </c>
    </row>
    <row r="207" spans="4:8" x14ac:dyDescent="0.25">
      <c r="D207" s="37" t="str" cm="1">
        <f t="array" ref="D207">Common_InputFunctions.Utility_DisplayArrayInTable(Common_SourceData.Common_SourceData_EFPastureRangeAndPaddock_Data(), Table_SourceData_EFPastureRangeAndPaddock[[#Headers],[Climate zone]], 0)</f>
        <v>Wet climate zone</v>
      </c>
      <c r="E207" s="37" cm="1">
        <f t="array" ref="E207">Common_InputFunctions.Utility_DisplayArrayInTable(Common_SourceData.Common_SourceData_EFPastureRangeAndPaddock_Data(), Table_SourceData_EFPastureRangeAndPaddock[[#Headers],[Climate zone]], 0)</f>
        <v>6.0000000000000001E-3</v>
      </c>
    </row>
    <row r="208" spans="4:8" x14ac:dyDescent="0.25">
      <c r="D208" s="1" t="str" cm="1">
        <f t="array" ref="D208">Common_InputFunctions.Utility_DisplayArrayInTable(Common_SourceData.Common_SourceData_EFPastureRangeAndPaddock_Data(), Table_SourceData_EFPastureRangeAndPaddock[[#Headers],[Climate zone]], 0)</f>
        <v>Dry climate zone</v>
      </c>
      <c r="E208" s="37" cm="1">
        <f t="array" ref="E208">Common_InputFunctions.Utility_DisplayArrayInTable(Common_SourceData.Common_SourceData_EFPastureRangeAndPaddock_Data(), Table_SourceData_EFPastureRangeAndPaddock[[#Headers],[Climate zone]], 0)</f>
        <v>2E-3</v>
      </c>
    </row>
    <row r="211" spans="4:5" x14ac:dyDescent="0.25">
      <c r="D211" s="1" t="str" cm="1">
        <f t="array" ref="D211">Common_SourceData.Common_SourceData_MonthsToSeasons_Title()</f>
        <v>Months to Seasons Mapping</v>
      </c>
    </row>
    <row r="212" spans="4:5" x14ac:dyDescent="0.25">
      <c r="D212" s="37" t="s">
        <v>90</v>
      </c>
      <c r="E212" s="37" t="s">
        <v>98</v>
      </c>
    </row>
    <row r="213" spans="4:5" x14ac:dyDescent="0.25">
      <c r="D213" s="37" t="str" cm="1">
        <f t="array" ref="D213">Common_InputFunctions.Utility_DisplayArrayInTable(Common_SourceData.Common_SourceData_MonthsToSeasons_Data(), Table_SourceData_Common_MonthToSeason[[#Headers],[Month]], 0)</f>
        <v>January</v>
      </c>
      <c r="E213" s="37" t="str" cm="1">
        <f t="array" ref="E213">Common_InputFunctions.Utility_DisplayArrayInTable(Common_SourceData.Common_SourceData_MonthsToSeasons_Data(), Table_SourceData_Common_MonthToSeason[[#Headers],[Month]], 0)</f>
        <v>Summer</v>
      </c>
    </row>
    <row r="214" spans="4:5" x14ac:dyDescent="0.25">
      <c r="D214" s="1" t="str" cm="1">
        <f t="array" ref="D214">Common_InputFunctions.Utility_DisplayArrayInTable(Common_SourceData.Common_SourceData_MonthsToSeasons_Data(), Table_SourceData_Common_MonthToSeason[[#Headers],[Month]], 0)</f>
        <v>February</v>
      </c>
      <c r="E214" s="37" t="str" cm="1">
        <f t="array" ref="E214">Common_InputFunctions.Utility_DisplayArrayInTable(Common_SourceData.Common_SourceData_MonthsToSeasons_Data(), Table_SourceData_Common_MonthToSeason[[#Headers],[Month]], 0)</f>
        <v>Summer</v>
      </c>
    </row>
    <row r="215" spans="4:5" x14ac:dyDescent="0.25">
      <c r="D215" s="1" t="str" cm="1">
        <f t="array" ref="D215">Common_InputFunctions.Utility_DisplayArrayInTable(Common_SourceData.Common_SourceData_MonthsToSeasons_Data(), Table_SourceData_Common_MonthToSeason[[#Headers],[Month]], 0)</f>
        <v>March</v>
      </c>
      <c r="E215" s="37" t="str" cm="1">
        <f t="array" ref="E215">Common_InputFunctions.Utility_DisplayArrayInTable(Common_SourceData.Common_SourceData_MonthsToSeasons_Data(), Table_SourceData_Common_MonthToSeason[[#Headers],[Month]], 0)</f>
        <v>Autumn</v>
      </c>
    </row>
    <row r="216" spans="4:5" x14ac:dyDescent="0.25">
      <c r="D216" s="1" t="str" cm="1">
        <f t="array" ref="D216">Common_InputFunctions.Utility_DisplayArrayInTable(Common_SourceData.Common_SourceData_MonthsToSeasons_Data(), Table_SourceData_Common_MonthToSeason[[#Headers],[Month]], 0)</f>
        <v>April</v>
      </c>
      <c r="E216" s="37" t="str" cm="1">
        <f t="array" ref="E216">Common_InputFunctions.Utility_DisplayArrayInTable(Common_SourceData.Common_SourceData_MonthsToSeasons_Data(), Table_SourceData_Common_MonthToSeason[[#Headers],[Month]], 0)</f>
        <v>Autumn</v>
      </c>
    </row>
    <row r="217" spans="4:5" x14ac:dyDescent="0.25">
      <c r="D217" s="1" t="str" cm="1">
        <f t="array" ref="D217">Common_InputFunctions.Utility_DisplayArrayInTable(Common_SourceData.Common_SourceData_MonthsToSeasons_Data(), Table_SourceData_Common_MonthToSeason[[#Headers],[Month]], 0)</f>
        <v>May</v>
      </c>
      <c r="E217" s="37" t="str" cm="1">
        <f t="array" ref="E217">Common_InputFunctions.Utility_DisplayArrayInTable(Common_SourceData.Common_SourceData_MonthsToSeasons_Data(), Table_SourceData_Common_MonthToSeason[[#Headers],[Month]], 0)</f>
        <v>Autumn</v>
      </c>
    </row>
    <row r="218" spans="4:5" x14ac:dyDescent="0.25">
      <c r="D218" s="1" t="str" cm="1">
        <f t="array" ref="D218">Common_InputFunctions.Utility_DisplayArrayInTable(Common_SourceData.Common_SourceData_MonthsToSeasons_Data(), Table_SourceData_Common_MonthToSeason[[#Headers],[Month]], 0)</f>
        <v>June</v>
      </c>
      <c r="E218" s="37" t="str" cm="1">
        <f t="array" ref="E218">Common_InputFunctions.Utility_DisplayArrayInTable(Common_SourceData.Common_SourceData_MonthsToSeasons_Data(), Table_SourceData_Common_MonthToSeason[[#Headers],[Month]], 0)</f>
        <v>Winter</v>
      </c>
    </row>
    <row r="219" spans="4:5" x14ac:dyDescent="0.25">
      <c r="D219" s="1" t="str" cm="1">
        <f t="array" ref="D219">Common_InputFunctions.Utility_DisplayArrayInTable(Common_SourceData.Common_SourceData_MonthsToSeasons_Data(), Table_SourceData_Common_MonthToSeason[[#Headers],[Month]], 0)</f>
        <v>July</v>
      </c>
      <c r="E219" s="37" t="str" cm="1">
        <f t="array" ref="E219">Common_InputFunctions.Utility_DisplayArrayInTable(Common_SourceData.Common_SourceData_MonthsToSeasons_Data(), Table_SourceData_Common_MonthToSeason[[#Headers],[Month]], 0)</f>
        <v>Winter</v>
      </c>
    </row>
    <row r="220" spans="4:5" x14ac:dyDescent="0.25">
      <c r="D220" s="1" t="str" cm="1">
        <f t="array" ref="D220">Common_InputFunctions.Utility_DisplayArrayInTable(Common_SourceData.Common_SourceData_MonthsToSeasons_Data(), Table_SourceData_Common_MonthToSeason[[#Headers],[Month]], 0)</f>
        <v>August</v>
      </c>
      <c r="E220" s="37" t="str" cm="1">
        <f t="array" ref="E220">Common_InputFunctions.Utility_DisplayArrayInTable(Common_SourceData.Common_SourceData_MonthsToSeasons_Data(), Table_SourceData_Common_MonthToSeason[[#Headers],[Month]], 0)</f>
        <v>Winter</v>
      </c>
    </row>
    <row r="221" spans="4:5" x14ac:dyDescent="0.25">
      <c r="D221" s="1" t="str" cm="1">
        <f t="array" ref="D221">Common_InputFunctions.Utility_DisplayArrayInTable(Common_SourceData.Common_SourceData_MonthsToSeasons_Data(), Table_SourceData_Common_MonthToSeason[[#Headers],[Month]], 0)</f>
        <v>September</v>
      </c>
      <c r="E221" s="37" t="str" cm="1">
        <f t="array" ref="E221">Common_InputFunctions.Utility_DisplayArrayInTable(Common_SourceData.Common_SourceData_MonthsToSeasons_Data(), Table_SourceData_Common_MonthToSeason[[#Headers],[Month]], 0)</f>
        <v>Spring</v>
      </c>
    </row>
    <row r="222" spans="4:5" x14ac:dyDescent="0.25">
      <c r="D222" s="1" t="str" cm="1">
        <f t="array" ref="D222">Common_InputFunctions.Utility_DisplayArrayInTable(Common_SourceData.Common_SourceData_MonthsToSeasons_Data(), Table_SourceData_Common_MonthToSeason[[#Headers],[Month]], 0)</f>
        <v>October</v>
      </c>
      <c r="E222" s="37" t="str" cm="1">
        <f t="array" ref="E222">Common_InputFunctions.Utility_DisplayArrayInTable(Common_SourceData.Common_SourceData_MonthsToSeasons_Data(), Table_SourceData_Common_MonthToSeason[[#Headers],[Month]], 0)</f>
        <v>Spring</v>
      </c>
    </row>
    <row r="223" spans="4:5" x14ac:dyDescent="0.25">
      <c r="D223" s="1" t="str" cm="1">
        <f t="array" ref="D223">Common_InputFunctions.Utility_DisplayArrayInTable(Common_SourceData.Common_SourceData_MonthsToSeasons_Data(), Table_SourceData_Common_MonthToSeason[[#Headers],[Month]], 0)</f>
        <v>November</v>
      </c>
      <c r="E223" s="37" t="str" cm="1">
        <f t="array" ref="E223">Common_InputFunctions.Utility_DisplayArrayInTable(Common_SourceData.Common_SourceData_MonthsToSeasons_Data(), Table_SourceData_Common_MonthToSeason[[#Headers],[Month]], 0)</f>
        <v>Spring</v>
      </c>
    </row>
    <row r="224" spans="4:5" x14ac:dyDescent="0.25">
      <c r="D224" s="1" t="str" cm="1">
        <f t="array" ref="D224">Common_InputFunctions.Utility_DisplayArrayInTable(Common_SourceData.Common_SourceData_MonthsToSeasons_Data(), Table_SourceData_Common_MonthToSeason[[#Headers],[Month]], 0)</f>
        <v>December</v>
      </c>
      <c r="E224" s="37" t="str" cm="1">
        <f t="array" ref="E224">Common_InputFunctions.Utility_DisplayArrayInTable(Common_SourceData.Common_SourceData_MonthsToSeasons_Data(), Table_SourceData_Common_MonthToSeason[[#Headers],[Month]], 0)</f>
        <v>Summer</v>
      </c>
    </row>
    <row r="227" spans="4:19" ht="23.25" x14ac:dyDescent="0.25">
      <c r="D227" s="6" t="str" cm="1">
        <f t="array" ref="D227">Common_SourceData.Common_SourceData_MCFTemperatureZone_Title()</f>
        <v>Manure Management – Methane conversion factor per temperature zone (fraction) (MCFim)</v>
      </c>
    </row>
    <row r="228" spans="4:19" x14ac:dyDescent="0.25">
      <c r="D228" s="5" t="str" cm="1">
        <f t="array" ref="D228">Common_SourceData.Common_SourceData_MCFTemperatureZone_Source()</f>
        <v>VEERG 2026: Table A.1.8.1</v>
      </c>
    </row>
    <row r="229" spans="4:19" x14ac:dyDescent="0.25">
      <c r="D229" s="53" t="str" cm="1">
        <f t="array" ref="D229">Common_SourceData.Common_SourceData_MCFTemperatureZone_Variation()</f>
        <v>VARIATION FROM SOURCE: Added row of NIR MMA definitions to aid lookup. Duplicated 'Poultry with and without litter' column with separate NIR definitions to aid lookup. Added 'MAT raw' column to allow lookup of numbers.</v>
      </c>
    </row>
    <row r="231" spans="4:19" x14ac:dyDescent="0.25">
      <c r="D231" s="37" t="s">
        <v>48</v>
      </c>
      <c r="E231" s="37" t="s">
        <v>112</v>
      </c>
      <c r="F231" s="36" t="s">
        <v>113</v>
      </c>
      <c r="G231" s="37" t="s">
        <v>104</v>
      </c>
      <c r="H231" s="37" t="s">
        <v>114</v>
      </c>
      <c r="I231" s="37" t="s">
        <v>115</v>
      </c>
      <c r="J231" s="37" t="s">
        <v>103</v>
      </c>
      <c r="K231" s="37" t="s">
        <v>102</v>
      </c>
      <c r="L231" s="37" t="s">
        <v>116</v>
      </c>
      <c r="M231" s="37" t="s">
        <v>117</v>
      </c>
      <c r="N231" s="37" t="s">
        <v>101</v>
      </c>
      <c r="O231" s="37" t="s">
        <v>118</v>
      </c>
      <c r="P231" s="37" t="s">
        <v>106</v>
      </c>
      <c r="Q231" s="37" t="s">
        <v>107</v>
      </c>
      <c r="R231" s="37" t="s">
        <v>105</v>
      </c>
      <c r="S231" s="37" t="s">
        <v>119</v>
      </c>
    </row>
    <row r="232" spans="4:19" x14ac:dyDescent="0.25">
      <c r="D232" s="37" t="str" cm="1">
        <f t="array" ref="D232">Common_InputFunctions.Utility_DisplayArrayInTable(Common_SourceData.Common_SourceData_MCFTemperatureZone_Data(),Table_SourceData_Common_MCFTemperatureZone[[#Headers],[Temperature zone]],0)</f>
        <v>Cool</v>
      </c>
      <c r="E232" s="37" t="str" cm="1">
        <f t="array" ref="E232">Common_InputFunctions.Utility_DisplayArrayInTable(Common_SourceData.Common_SourceData_MCFTemperatureZone_Data(),Table_SourceData_Common_MCFTemperatureZone[[#Headers],[Temperature zone]],0)</f>
        <v>≤10</v>
      </c>
      <c r="F232" s="37" cm="1">
        <f t="array" ref="F232">Common_InputFunctions.Utility_DisplayArrayInTable(Common_SourceData.Common_SourceData_MCFTemperatureZone_Data(),Table_SourceData_Common_MCFTemperatureZone[[#Headers],[Temperature zone]],0)</f>
        <v>0.66</v>
      </c>
      <c r="G232" s="37" cm="1">
        <f t="array" ref="G232">Common_InputFunctions.Utility_DisplayArrayInTable(Common_SourceData.Common_SourceData_MCFTemperatureZone_Data(),Table_SourceData_Common_MCFTemperatureZone[[#Headers],[Temperature zone]],0)</f>
        <v>0.1</v>
      </c>
      <c r="H232" s="37" cm="1">
        <f t="array" ref="H232">Common_InputFunctions.Utility_DisplayArrayInTable(Common_SourceData.Common_SourceData_MCFTemperatureZone_Data(),Table_SourceData_Common_MCFTemperatureZone[[#Headers],[Temperature zone]],0)</f>
        <v>0.1</v>
      </c>
      <c r="I232" s="37" cm="1">
        <f t="array" ref="I232">Common_InputFunctions.Utility_DisplayArrayInTable(Common_SourceData.Common_SourceData_MCFTemperatureZone_Data(),Table_SourceData_Common_MCFTemperatureZone[[#Headers],[Temperature zone]],0)</f>
        <v>1E-3</v>
      </c>
      <c r="J232" s="37" cm="1">
        <f t="array" ref="J232">Common_InputFunctions.Utility_DisplayArrayInTable(Common_SourceData.Common_SourceData_MCFTemperatureZone_Data(),Table_SourceData_Common_MCFTemperatureZone[[#Headers],[Temperature zone]],0)</f>
        <v>5.0000000000000001E-3</v>
      </c>
      <c r="K232" s="37" cm="1">
        <f t="array" ref="K232">Common_InputFunctions.Utility_DisplayArrayInTable(Common_SourceData.Common_SourceData_MCFTemperatureZone_Data(),Table_SourceData_Common_MCFTemperatureZone[[#Headers],[Temperature zone]],0)</f>
        <v>0.02</v>
      </c>
      <c r="L232" s="37" cm="1">
        <f t="array" ref="L232">Common_InputFunctions.Utility_DisplayArrayInTable(Common_SourceData.Common_SourceData_MCFTemperatureZone_Data(),Table_SourceData_Common_MCFTemperatureZone[[#Headers],[Temperature zone]],0)</f>
        <v>0.03</v>
      </c>
      <c r="M232" s="37" cm="1">
        <f t="array" ref="M232">Common_InputFunctions.Utility_DisplayArrayInTable(Common_SourceData.Common_SourceData_MCFTemperatureZone_Data(),Table_SourceData_Common_MCFTemperatureZone[[#Headers],[Temperature zone]],0)</f>
        <v>0.04</v>
      </c>
      <c r="N232" s="37" cm="1">
        <f t="array" ref="N232">Common_InputFunctions.Utility_DisplayArrayInTable(Common_SourceData.Common_SourceData_MCFTemperatureZone_Data(),Table_SourceData_Common_MCFTemperatureZone[[#Headers],[Temperature zone]],0)</f>
        <v>1.4999999999999999E-2</v>
      </c>
      <c r="O232" s="37" cm="1">
        <f t="array" ref="O232">Common_InputFunctions.Utility_DisplayArrayInTable(Common_SourceData.Common_SourceData_MCFTemperatureZone_Data(),Table_SourceData_Common_MCFTemperatureZone[[#Headers],[Temperature zone]],0)</f>
        <v>1.4999999999999999E-2</v>
      </c>
      <c r="P232" s="37" cm="1">
        <f t="array" ref="P232">Common_InputFunctions.Utility_DisplayArrayInTable(Common_SourceData.Common_SourceData_MCFTemperatureZone_Data(),Table_SourceData_Common_MCFTemperatureZone[[#Headers],[Temperature zone]],0)</f>
        <v>0</v>
      </c>
      <c r="Q232" s="37" cm="1">
        <f t="array" ref="Q232">Common_InputFunctions.Utility_DisplayArrayInTable(Common_SourceData.Common_SourceData_MCFTemperatureZone_Data(),Table_SourceData_Common_MCFTemperatureZone[[#Headers],[Temperature zone]],0)</f>
        <v>0</v>
      </c>
      <c r="R232" s="37" cm="1">
        <f t="array" ref="R232">Common_InputFunctions.Utility_DisplayArrayInTable(Common_SourceData.Common_SourceData_MCFTemperatureZone_Data(),Table_SourceData_Common_MCFTemperatureZone[[#Headers],[Temperature zone]],0)</f>
        <v>4.7000000000000002E-3</v>
      </c>
      <c r="S232" s="37" cm="1">
        <f t="array" ref="S232">Common_InputFunctions.Utility_DisplayArrayInTable(Common_SourceData.Common_SourceData_MCFTemperatureZone_Data(),Table_SourceData_Common_MCFTemperatureZone[[#Headers],[Temperature zone]],0)</f>
        <v>10</v>
      </c>
    </row>
    <row r="233" spans="4:19" x14ac:dyDescent="0.25">
      <c r="D233" s="1" t="str" cm="1">
        <f t="array" ref="D233">Common_InputFunctions.Utility_DisplayArrayInTable(Common_SourceData.Common_SourceData_MCFTemperatureZone_Data(),Table_SourceData_Common_MCFTemperatureZone[[#Headers],[Temperature zone]],0)</f>
        <v>Cool</v>
      </c>
      <c r="E233" s="37" cm="1">
        <f t="array" ref="E233">Common_InputFunctions.Utility_DisplayArrayInTable(Common_SourceData.Common_SourceData_MCFTemperatureZone_Data(),Table_SourceData_Common_MCFTemperatureZone[[#Headers],[Temperature zone]],0)</f>
        <v>11</v>
      </c>
      <c r="F233" s="37" cm="1">
        <f t="array" ref="F233">Common_InputFunctions.Utility_DisplayArrayInTable(Common_SourceData.Common_SourceData_MCFTemperatureZone_Data(),Table_SourceData_Common_MCFTemperatureZone[[#Headers],[Temperature zone]],0)</f>
        <v>0.68</v>
      </c>
      <c r="G233" s="37" cm="1">
        <f t="array" ref="G233">Common_InputFunctions.Utility_DisplayArrayInTable(Common_SourceData.Common_SourceData_MCFTemperatureZone_Data(),Table_SourceData_Common_MCFTemperatureZone[[#Headers],[Temperature zone]],0)</f>
        <v>0.1</v>
      </c>
      <c r="H233" s="37" cm="1">
        <f t="array" ref="H233">Common_InputFunctions.Utility_DisplayArrayInTable(Common_SourceData.Common_SourceData_MCFTemperatureZone_Data(),Table_SourceData_Common_MCFTemperatureZone[[#Headers],[Temperature zone]],0)</f>
        <v>0.11</v>
      </c>
      <c r="I233" s="37" cm="1">
        <f t="array" ref="I233">Common_InputFunctions.Utility_DisplayArrayInTable(Common_SourceData.Common_SourceData_MCFTemperatureZone_Data(),Table_SourceData_Common_MCFTemperatureZone[[#Headers],[Temperature zone]],0)</f>
        <v>1E-3</v>
      </c>
      <c r="J233" s="37" cm="1">
        <f t="array" ref="J233">Common_InputFunctions.Utility_DisplayArrayInTable(Common_SourceData.Common_SourceData_MCFTemperatureZone_Data(),Table_SourceData_Common_MCFTemperatureZone[[#Headers],[Temperature zone]],0)</f>
        <v>5.0000000000000001E-3</v>
      </c>
      <c r="K233" s="37" cm="1">
        <f t="array" ref="K233">Common_InputFunctions.Utility_DisplayArrayInTable(Common_SourceData.Common_SourceData_MCFTemperatureZone_Data(),Table_SourceData_Common_MCFTemperatureZone[[#Headers],[Temperature zone]],0)</f>
        <v>0.02</v>
      </c>
      <c r="L233" s="37" cm="1">
        <f t="array" ref="L233">Common_InputFunctions.Utility_DisplayArrayInTable(Common_SourceData.Common_SourceData_MCFTemperatureZone_Data(),Table_SourceData_Common_MCFTemperatureZone[[#Headers],[Temperature zone]],0)</f>
        <v>0.03</v>
      </c>
      <c r="M233" s="37" cm="1">
        <f t="array" ref="M233">Common_InputFunctions.Utility_DisplayArrayInTable(Common_SourceData.Common_SourceData_MCFTemperatureZone_Data(),Table_SourceData_Common_MCFTemperatureZone[[#Headers],[Temperature zone]],0)</f>
        <v>0.04</v>
      </c>
      <c r="N233" s="37" cm="1">
        <f t="array" ref="N233">Common_InputFunctions.Utility_DisplayArrayInTable(Common_SourceData.Common_SourceData_MCFTemperatureZone_Data(),Table_SourceData_Common_MCFTemperatureZone[[#Headers],[Temperature zone]],0)</f>
        <v>1.4999999999999999E-2</v>
      </c>
      <c r="O233" s="37" cm="1">
        <f t="array" ref="O233">Common_InputFunctions.Utility_DisplayArrayInTable(Common_SourceData.Common_SourceData_MCFTemperatureZone_Data(),Table_SourceData_Common_MCFTemperatureZone[[#Headers],[Temperature zone]],0)</f>
        <v>1.4999999999999999E-2</v>
      </c>
      <c r="P233" s="37" cm="1">
        <f t="array" ref="P233">Common_InputFunctions.Utility_DisplayArrayInTable(Common_SourceData.Common_SourceData_MCFTemperatureZone_Data(),Table_SourceData_Common_MCFTemperatureZone[[#Headers],[Temperature zone]],0)</f>
        <v>0</v>
      </c>
      <c r="Q233" s="37" cm="1">
        <f t="array" ref="Q233">Common_InputFunctions.Utility_DisplayArrayInTable(Common_SourceData.Common_SourceData_MCFTemperatureZone_Data(),Table_SourceData_Common_MCFTemperatureZone[[#Headers],[Temperature zone]],0)</f>
        <v>0</v>
      </c>
      <c r="R233" s="37" cm="1">
        <f t="array" ref="R233">Common_InputFunctions.Utility_DisplayArrayInTable(Common_SourceData.Common_SourceData_MCFTemperatureZone_Data(),Table_SourceData_Common_MCFTemperatureZone[[#Headers],[Temperature zone]],0)</f>
        <v>4.7000000000000002E-3</v>
      </c>
      <c r="S233" s="37" cm="1">
        <f t="array" ref="S233">Common_InputFunctions.Utility_DisplayArrayInTable(Common_SourceData.Common_SourceData_MCFTemperatureZone_Data(),Table_SourceData_Common_MCFTemperatureZone[[#Headers],[Temperature zone]],0)</f>
        <v>11</v>
      </c>
    </row>
    <row r="234" spans="4:19" x14ac:dyDescent="0.25">
      <c r="D234" s="1" t="str" cm="1">
        <f t="array" ref="D234">Common_InputFunctions.Utility_DisplayArrayInTable(Common_SourceData.Common_SourceData_MCFTemperatureZone_Data(),Table_SourceData_Common_MCFTemperatureZone[[#Headers],[Temperature zone]],0)</f>
        <v>Cool</v>
      </c>
      <c r="E234" s="37" cm="1">
        <f t="array" ref="E234">Common_InputFunctions.Utility_DisplayArrayInTable(Common_SourceData.Common_SourceData_MCFTemperatureZone_Data(),Table_SourceData_Common_MCFTemperatureZone[[#Headers],[Temperature zone]],0)</f>
        <v>12</v>
      </c>
      <c r="F234" s="37" cm="1">
        <f t="array" ref="F234">Common_InputFunctions.Utility_DisplayArrayInTable(Common_SourceData.Common_SourceData_MCFTemperatureZone_Data(),Table_SourceData_Common_MCFTemperatureZone[[#Headers],[Temperature zone]],0)</f>
        <v>0.7</v>
      </c>
      <c r="G234" s="37" cm="1">
        <f t="array" ref="G234">Common_InputFunctions.Utility_DisplayArrayInTable(Common_SourceData.Common_SourceData_MCFTemperatureZone_Data(),Table_SourceData_Common_MCFTemperatureZone[[#Headers],[Temperature zone]],0)</f>
        <v>0.1</v>
      </c>
      <c r="H234" s="37" cm="1">
        <f t="array" ref="H234">Common_InputFunctions.Utility_DisplayArrayInTable(Common_SourceData.Common_SourceData_MCFTemperatureZone_Data(),Table_SourceData_Common_MCFTemperatureZone[[#Headers],[Temperature zone]],0)</f>
        <v>0.13</v>
      </c>
      <c r="I234" s="37" cm="1">
        <f t="array" ref="I234">Common_InputFunctions.Utility_DisplayArrayInTable(Common_SourceData.Common_SourceData_MCFTemperatureZone_Data(),Table_SourceData_Common_MCFTemperatureZone[[#Headers],[Temperature zone]],0)</f>
        <v>1E-3</v>
      </c>
      <c r="J234" s="37" cm="1">
        <f t="array" ref="J234">Common_InputFunctions.Utility_DisplayArrayInTable(Common_SourceData.Common_SourceData_MCFTemperatureZone_Data(),Table_SourceData_Common_MCFTemperatureZone[[#Headers],[Temperature zone]],0)</f>
        <v>5.0000000000000001E-3</v>
      </c>
      <c r="K234" s="37" cm="1">
        <f t="array" ref="K234">Common_InputFunctions.Utility_DisplayArrayInTable(Common_SourceData.Common_SourceData_MCFTemperatureZone_Data(),Table_SourceData_Common_MCFTemperatureZone[[#Headers],[Temperature zone]],0)</f>
        <v>0.02</v>
      </c>
      <c r="L234" s="37" cm="1">
        <f t="array" ref="L234">Common_InputFunctions.Utility_DisplayArrayInTable(Common_SourceData.Common_SourceData_MCFTemperatureZone_Data(),Table_SourceData_Common_MCFTemperatureZone[[#Headers],[Temperature zone]],0)</f>
        <v>0.03</v>
      </c>
      <c r="M234" s="37" cm="1">
        <f t="array" ref="M234">Common_InputFunctions.Utility_DisplayArrayInTable(Common_SourceData.Common_SourceData_MCFTemperatureZone_Data(),Table_SourceData_Common_MCFTemperatureZone[[#Headers],[Temperature zone]],0)</f>
        <v>0.04</v>
      </c>
      <c r="N234" s="37" cm="1">
        <f t="array" ref="N234">Common_InputFunctions.Utility_DisplayArrayInTable(Common_SourceData.Common_SourceData_MCFTemperatureZone_Data(),Table_SourceData_Common_MCFTemperatureZone[[#Headers],[Temperature zone]],0)</f>
        <v>1.4999999999999999E-2</v>
      </c>
      <c r="O234" s="37" cm="1">
        <f t="array" ref="O234">Common_InputFunctions.Utility_DisplayArrayInTable(Common_SourceData.Common_SourceData_MCFTemperatureZone_Data(),Table_SourceData_Common_MCFTemperatureZone[[#Headers],[Temperature zone]],0)</f>
        <v>1.4999999999999999E-2</v>
      </c>
      <c r="P234" s="37" cm="1">
        <f t="array" ref="P234">Common_InputFunctions.Utility_DisplayArrayInTable(Common_SourceData.Common_SourceData_MCFTemperatureZone_Data(),Table_SourceData_Common_MCFTemperatureZone[[#Headers],[Temperature zone]],0)</f>
        <v>0</v>
      </c>
      <c r="Q234" s="37" cm="1">
        <f t="array" ref="Q234">Common_InputFunctions.Utility_DisplayArrayInTable(Common_SourceData.Common_SourceData_MCFTemperatureZone_Data(),Table_SourceData_Common_MCFTemperatureZone[[#Headers],[Temperature zone]],0)</f>
        <v>0</v>
      </c>
      <c r="R234" s="37" cm="1">
        <f t="array" ref="R234">Common_InputFunctions.Utility_DisplayArrayInTable(Common_SourceData.Common_SourceData_MCFTemperatureZone_Data(),Table_SourceData_Common_MCFTemperatureZone[[#Headers],[Temperature zone]],0)</f>
        <v>4.7000000000000002E-3</v>
      </c>
      <c r="S234" s="37" cm="1">
        <f t="array" ref="S234">Common_InputFunctions.Utility_DisplayArrayInTable(Common_SourceData.Common_SourceData_MCFTemperatureZone_Data(),Table_SourceData_Common_MCFTemperatureZone[[#Headers],[Temperature zone]],0)</f>
        <v>12</v>
      </c>
    </row>
    <row r="235" spans="4:19" x14ac:dyDescent="0.25">
      <c r="D235" s="1" t="str" cm="1">
        <f t="array" ref="D235">Common_InputFunctions.Utility_DisplayArrayInTable(Common_SourceData.Common_SourceData_MCFTemperatureZone_Data(),Table_SourceData_Common_MCFTemperatureZone[[#Headers],[Temperature zone]],0)</f>
        <v>Cool</v>
      </c>
      <c r="E235" s="37" cm="1">
        <f t="array" ref="E235">Common_InputFunctions.Utility_DisplayArrayInTable(Common_SourceData.Common_SourceData_MCFTemperatureZone_Data(),Table_SourceData_Common_MCFTemperatureZone[[#Headers],[Temperature zone]],0)</f>
        <v>13</v>
      </c>
      <c r="F235" s="37" cm="1">
        <f t="array" ref="F235">Common_InputFunctions.Utility_DisplayArrayInTable(Common_SourceData.Common_SourceData_MCFTemperatureZone_Data(),Table_SourceData_Common_MCFTemperatureZone[[#Headers],[Temperature zone]],0)</f>
        <v>0.71</v>
      </c>
      <c r="G235" s="37" cm="1">
        <f t="array" ref="G235">Common_InputFunctions.Utility_DisplayArrayInTable(Common_SourceData.Common_SourceData_MCFTemperatureZone_Data(),Table_SourceData_Common_MCFTemperatureZone[[#Headers],[Temperature zone]],0)</f>
        <v>0.1</v>
      </c>
      <c r="H235" s="37" cm="1">
        <f t="array" ref="H235">Common_InputFunctions.Utility_DisplayArrayInTable(Common_SourceData.Common_SourceData_MCFTemperatureZone_Data(),Table_SourceData_Common_MCFTemperatureZone[[#Headers],[Temperature zone]],0)</f>
        <v>0.14000000000000001</v>
      </c>
      <c r="I235" s="37" cm="1">
        <f t="array" ref="I235">Common_InputFunctions.Utility_DisplayArrayInTable(Common_SourceData.Common_SourceData_MCFTemperatureZone_Data(),Table_SourceData_Common_MCFTemperatureZone[[#Headers],[Temperature zone]],0)</f>
        <v>1E-3</v>
      </c>
      <c r="J235" s="37" cm="1">
        <f t="array" ref="J235">Common_InputFunctions.Utility_DisplayArrayInTable(Common_SourceData.Common_SourceData_MCFTemperatureZone_Data(),Table_SourceData_Common_MCFTemperatureZone[[#Headers],[Temperature zone]],0)</f>
        <v>5.0000000000000001E-3</v>
      </c>
      <c r="K235" s="37" cm="1">
        <f t="array" ref="K235">Common_InputFunctions.Utility_DisplayArrayInTable(Common_SourceData.Common_SourceData_MCFTemperatureZone_Data(),Table_SourceData_Common_MCFTemperatureZone[[#Headers],[Temperature zone]],0)</f>
        <v>0.02</v>
      </c>
      <c r="L235" s="37" cm="1">
        <f t="array" ref="L235">Common_InputFunctions.Utility_DisplayArrayInTable(Common_SourceData.Common_SourceData_MCFTemperatureZone_Data(),Table_SourceData_Common_MCFTemperatureZone[[#Headers],[Temperature zone]],0)</f>
        <v>0.03</v>
      </c>
      <c r="M235" s="37" cm="1">
        <f t="array" ref="M235">Common_InputFunctions.Utility_DisplayArrayInTable(Common_SourceData.Common_SourceData_MCFTemperatureZone_Data(),Table_SourceData_Common_MCFTemperatureZone[[#Headers],[Temperature zone]],0)</f>
        <v>0.04</v>
      </c>
      <c r="N235" s="37" cm="1">
        <f t="array" ref="N235">Common_InputFunctions.Utility_DisplayArrayInTable(Common_SourceData.Common_SourceData_MCFTemperatureZone_Data(),Table_SourceData_Common_MCFTemperatureZone[[#Headers],[Temperature zone]],0)</f>
        <v>1.4999999999999999E-2</v>
      </c>
      <c r="O235" s="37" cm="1">
        <f t="array" ref="O235">Common_InputFunctions.Utility_DisplayArrayInTable(Common_SourceData.Common_SourceData_MCFTemperatureZone_Data(),Table_SourceData_Common_MCFTemperatureZone[[#Headers],[Temperature zone]],0)</f>
        <v>1.4999999999999999E-2</v>
      </c>
      <c r="P235" s="37" cm="1">
        <f t="array" ref="P235">Common_InputFunctions.Utility_DisplayArrayInTable(Common_SourceData.Common_SourceData_MCFTemperatureZone_Data(),Table_SourceData_Common_MCFTemperatureZone[[#Headers],[Temperature zone]],0)</f>
        <v>0</v>
      </c>
      <c r="Q235" s="37" cm="1">
        <f t="array" ref="Q235">Common_InputFunctions.Utility_DisplayArrayInTable(Common_SourceData.Common_SourceData_MCFTemperatureZone_Data(),Table_SourceData_Common_MCFTemperatureZone[[#Headers],[Temperature zone]],0)</f>
        <v>0</v>
      </c>
      <c r="R235" s="37" cm="1">
        <f t="array" ref="R235">Common_InputFunctions.Utility_DisplayArrayInTable(Common_SourceData.Common_SourceData_MCFTemperatureZone_Data(),Table_SourceData_Common_MCFTemperatureZone[[#Headers],[Temperature zone]],0)</f>
        <v>4.7000000000000002E-3</v>
      </c>
      <c r="S235" s="37" cm="1">
        <f t="array" ref="S235">Common_InputFunctions.Utility_DisplayArrayInTable(Common_SourceData.Common_SourceData_MCFTemperatureZone_Data(),Table_SourceData_Common_MCFTemperatureZone[[#Headers],[Temperature zone]],0)</f>
        <v>13</v>
      </c>
    </row>
    <row r="236" spans="4:19" x14ac:dyDescent="0.25">
      <c r="D236" s="1" t="str" cm="1">
        <f t="array" ref="D236">Common_InputFunctions.Utility_DisplayArrayInTable(Common_SourceData.Common_SourceData_MCFTemperatureZone_Data(),Table_SourceData_Common_MCFTemperatureZone[[#Headers],[Temperature zone]],0)</f>
        <v>Cool</v>
      </c>
      <c r="E236" s="37" cm="1">
        <f t="array" ref="E236">Common_InputFunctions.Utility_DisplayArrayInTable(Common_SourceData.Common_SourceData_MCFTemperatureZone_Data(),Table_SourceData_Common_MCFTemperatureZone[[#Headers],[Temperature zone]],0)</f>
        <v>14</v>
      </c>
      <c r="F236" s="37" cm="1">
        <f t="array" ref="F236">Common_InputFunctions.Utility_DisplayArrayInTable(Common_SourceData.Common_SourceData_MCFTemperatureZone_Data(),Table_SourceData_Common_MCFTemperatureZone[[#Headers],[Temperature zone]],0)</f>
        <v>0.73</v>
      </c>
      <c r="G236" s="37" cm="1">
        <f t="array" ref="G236">Common_InputFunctions.Utility_DisplayArrayInTable(Common_SourceData.Common_SourceData_MCFTemperatureZone_Data(),Table_SourceData_Common_MCFTemperatureZone[[#Headers],[Temperature zone]],0)</f>
        <v>0.1</v>
      </c>
      <c r="H236" s="37" cm="1">
        <f t="array" ref="H236">Common_InputFunctions.Utility_DisplayArrayInTable(Common_SourceData.Common_SourceData_MCFTemperatureZone_Data(),Table_SourceData_Common_MCFTemperatureZone[[#Headers],[Temperature zone]],0)</f>
        <v>0.15</v>
      </c>
      <c r="I236" s="37" cm="1">
        <f t="array" ref="I236">Common_InputFunctions.Utility_DisplayArrayInTable(Common_SourceData.Common_SourceData_MCFTemperatureZone_Data(),Table_SourceData_Common_MCFTemperatureZone[[#Headers],[Temperature zone]],0)</f>
        <v>1E-3</v>
      </c>
      <c r="J236" s="37" cm="1">
        <f t="array" ref="J236">Common_InputFunctions.Utility_DisplayArrayInTable(Common_SourceData.Common_SourceData_MCFTemperatureZone_Data(),Table_SourceData_Common_MCFTemperatureZone[[#Headers],[Temperature zone]],0)</f>
        <v>5.0000000000000001E-3</v>
      </c>
      <c r="K236" s="37" cm="1">
        <f t="array" ref="K236">Common_InputFunctions.Utility_DisplayArrayInTable(Common_SourceData.Common_SourceData_MCFTemperatureZone_Data(),Table_SourceData_Common_MCFTemperatureZone[[#Headers],[Temperature zone]],0)</f>
        <v>0.02</v>
      </c>
      <c r="L236" s="37" cm="1">
        <f t="array" ref="L236">Common_InputFunctions.Utility_DisplayArrayInTable(Common_SourceData.Common_SourceData_MCFTemperatureZone_Data(),Table_SourceData_Common_MCFTemperatureZone[[#Headers],[Temperature zone]],0)</f>
        <v>0.03</v>
      </c>
      <c r="M236" s="37" cm="1">
        <f t="array" ref="M236">Common_InputFunctions.Utility_DisplayArrayInTable(Common_SourceData.Common_SourceData_MCFTemperatureZone_Data(),Table_SourceData_Common_MCFTemperatureZone[[#Headers],[Temperature zone]],0)</f>
        <v>0.04</v>
      </c>
      <c r="N236" s="37" cm="1">
        <f t="array" ref="N236">Common_InputFunctions.Utility_DisplayArrayInTable(Common_SourceData.Common_SourceData_MCFTemperatureZone_Data(),Table_SourceData_Common_MCFTemperatureZone[[#Headers],[Temperature zone]],0)</f>
        <v>1.4999999999999999E-2</v>
      </c>
      <c r="O236" s="37" cm="1">
        <f t="array" ref="O236">Common_InputFunctions.Utility_DisplayArrayInTable(Common_SourceData.Common_SourceData_MCFTemperatureZone_Data(),Table_SourceData_Common_MCFTemperatureZone[[#Headers],[Temperature zone]],0)</f>
        <v>1.4999999999999999E-2</v>
      </c>
      <c r="P236" s="37" cm="1">
        <f t="array" ref="P236">Common_InputFunctions.Utility_DisplayArrayInTable(Common_SourceData.Common_SourceData_MCFTemperatureZone_Data(),Table_SourceData_Common_MCFTemperatureZone[[#Headers],[Temperature zone]],0)</f>
        <v>0</v>
      </c>
      <c r="Q236" s="37" cm="1">
        <f t="array" ref="Q236">Common_InputFunctions.Utility_DisplayArrayInTable(Common_SourceData.Common_SourceData_MCFTemperatureZone_Data(),Table_SourceData_Common_MCFTemperatureZone[[#Headers],[Temperature zone]],0)</f>
        <v>0</v>
      </c>
      <c r="R236" s="37" cm="1">
        <f t="array" ref="R236">Common_InputFunctions.Utility_DisplayArrayInTable(Common_SourceData.Common_SourceData_MCFTemperatureZone_Data(),Table_SourceData_Common_MCFTemperatureZone[[#Headers],[Temperature zone]],0)</f>
        <v>4.7000000000000002E-3</v>
      </c>
      <c r="S236" s="37" cm="1">
        <f t="array" ref="S236">Common_InputFunctions.Utility_DisplayArrayInTable(Common_SourceData.Common_SourceData_MCFTemperatureZone_Data(),Table_SourceData_Common_MCFTemperatureZone[[#Headers],[Temperature zone]],0)</f>
        <v>14</v>
      </c>
    </row>
    <row r="237" spans="4:19" x14ac:dyDescent="0.25">
      <c r="D237" s="1" t="str" cm="1">
        <f t="array" ref="D237">Common_InputFunctions.Utility_DisplayArrayInTable(Common_SourceData.Common_SourceData_MCFTemperatureZone_Data(),Table_SourceData_Common_MCFTemperatureZone[[#Headers],[Temperature zone]],0)</f>
        <v>Temperate</v>
      </c>
      <c r="E237" s="37" cm="1">
        <f t="array" ref="E237">Common_InputFunctions.Utility_DisplayArrayInTable(Common_SourceData.Common_SourceData_MCFTemperatureZone_Data(),Table_SourceData_Common_MCFTemperatureZone[[#Headers],[Temperature zone]],0)</f>
        <v>15</v>
      </c>
      <c r="F237" s="37" cm="1">
        <f t="array" ref="F237">Common_InputFunctions.Utility_DisplayArrayInTable(Common_SourceData.Common_SourceData_MCFTemperatureZone_Data(),Table_SourceData_Common_MCFTemperatureZone[[#Headers],[Temperature zone]],0)</f>
        <v>0.74</v>
      </c>
      <c r="G237" s="37" cm="1">
        <f t="array" ref="G237">Common_InputFunctions.Utility_DisplayArrayInTable(Common_SourceData.Common_SourceData_MCFTemperatureZone_Data(),Table_SourceData_Common_MCFTemperatureZone[[#Headers],[Temperature zone]],0)</f>
        <v>0.1</v>
      </c>
      <c r="H237" s="37" cm="1">
        <f t="array" ref="H237">Common_InputFunctions.Utility_DisplayArrayInTable(Common_SourceData.Common_SourceData_MCFTemperatureZone_Data(),Table_SourceData_Common_MCFTemperatureZone[[#Headers],[Temperature zone]],0)</f>
        <v>0.17</v>
      </c>
      <c r="I237" s="37" cm="1">
        <f t="array" ref="I237">Common_InputFunctions.Utility_DisplayArrayInTable(Common_SourceData.Common_SourceData_MCFTemperatureZone_Data(),Table_SourceData_Common_MCFTemperatureZone[[#Headers],[Temperature zone]],0)</f>
        <v>5.0000000000000001E-3</v>
      </c>
      <c r="J237" s="37" cm="1">
        <f t="array" ref="J237">Common_InputFunctions.Utility_DisplayArrayInTable(Common_SourceData.Common_SourceData_MCFTemperatureZone_Data(),Table_SourceData_Common_MCFTemperatureZone[[#Headers],[Temperature zone]],0)</f>
        <v>0.01</v>
      </c>
      <c r="K237" s="37" cm="1">
        <f t="array" ref="K237">Common_InputFunctions.Utility_DisplayArrayInTable(Common_SourceData.Common_SourceData_MCFTemperatureZone_Data(),Table_SourceData_Common_MCFTemperatureZone[[#Headers],[Temperature zone]],0)</f>
        <v>0.02</v>
      </c>
      <c r="L237" s="37" cm="1">
        <f t="array" ref="L237">Common_InputFunctions.Utility_DisplayArrayInTable(Common_SourceData.Common_SourceData_MCFTemperatureZone_Data(),Table_SourceData_Common_MCFTemperatureZone[[#Headers],[Temperature zone]],0)</f>
        <v>0.03</v>
      </c>
      <c r="M237" s="37" cm="1">
        <f t="array" ref="M237">Common_InputFunctions.Utility_DisplayArrayInTable(Common_SourceData.Common_SourceData_MCFTemperatureZone_Data(),Table_SourceData_Common_MCFTemperatureZone[[#Headers],[Temperature zone]],0)</f>
        <v>0.04</v>
      </c>
      <c r="N237" s="37" cm="1">
        <f t="array" ref="N237">Common_InputFunctions.Utility_DisplayArrayInTable(Common_SourceData.Common_SourceData_MCFTemperatureZone_Data(),Table_SourceData_Common_MCFTemperatureZone[[#Headers],[Temperature zone]],0)</f>
        <v>1.4999999999999999E-2</v>
      </c>
      <c r="O237" s="37" cm="1">
        <f t="array" ref="O237">Common_InputFunctions.Utility_DisplayArrayInTable(Common_SourceData.Common_SourceData_MCFTemperatureZone_Data(),Table_SourceData_Common_MCFTemperatureZone[[#Headers],[Temperature zone]],0)</f>
        <v>1.4999999999999999E-2</v>
      </c>
      <c r="P237" s="37" cm="1">
        <f t="array" ref="P237">Common_InputFunctions.Utility_DisplayArrayInTable(Common_SourceData.Common_SourceData_MCFTemperatureZone_Data(),Table_SourceData_Common_MCFTemperatureZone[[#Headers],[Temperature zone]],0)</f>
        <v>0</v>
      </c>
      <c r="Q237" s="37" cm="1">
        <f t="array" ref="Q237">Common_InputFunctions.Utility_DisplayArrayInTable(Common_SourceData.Common_SourceData_MCFTemperatureZone_Data(),Table_SourceData_Common_MCFTemperatureZone[[#Headers],[Temperature zone]],0)</f>
        <v>0</v>
      </c>
      <c r="R237" s="37" cm="1">
        <f t="array" ref="R237">Common_InputFunctions.Utility_DisplayArrayInTable(Common_SourceData.Common_SourceData_MCFTemperatureZone_Data(),Table_SourceData_Common_MCFTemperatureZone[[#Headers],[Temperature zone]],0)</f>
        <v>4.7000000000000002E-3</v>
      </c>
      <c r="S237" s="37" cm="1">
        <f t="array" ref="S237">Common_InputFunctions.Utility_DisplayArrayInTable(Common_SourceData.Common_SourceData_MCFTemperatureZone_Data(),Table_SourceData_Common_MCFTemperatureZone[[#Headers],[Temperature zone]],0)</f>
        <v>15</v>
      </c>
    </row>
    <row r="238" spans="4:19" x14ac:dyDescent="0.25">
      <c r="D238" s="1" t="str" cm="1">
        <f t="array" ref="D238">Common_InputFunctions.Utility_DisplayArrayInTable(Common_SourceData.Common_SourceData_MCFTemperatureZone_Data(),Table_SourceData_Common_MCFTemperatureZone[[#Headers],[Temperature zone]],0)</f>
        <v>Temperate</v>
      </c>
      <c r="E238" s="37" cm="1">
        <f t="array" ref="E238">Common_InputFunctions.Utility_DisplayArrayInTable(Common_SourceData.Common_SourceData_MCFTemperatureZone_Data(),Table_SourceData_Common_MCFTemperatureZone[[#Headers],[Temperature zone]],0)</f>
        <v>16</v>
      </c>
      <c r="F238" s="37" cm="1">
        <f t="array" ref="F238">Common_InputFunctions.Utility_DisplayArrayInTable(Common_SourceData.Common_SourceData_MCFTemperatureZone_Data(),Table_SourceData_Common_MCFTemperatureZone[[#Headers],[Temperature zone]],0)</f>
        <v>0.75</v>
      </c>
      <c r="G238" s="37" cm="1">
        <f t="array" ref="G238">Common_InputFunctions.Utility_DisplayArrayInTable(Common_SourceData.Common_SourceData_MCFTemperatureZone_Data(),Table_SourceData_Common_MCFTemperatureZone[[#Headers],[Temperature zone]],0)</f>
        <v>0.1</v>
      </c>
      <c r="H238" s="37" cm="1">
        <f t="array" ref="H238">Common_InputFunctions.Utility_DisplayArrayInTable(Common_SourceData.Common_SourceData_MCFTemperatureZone_Data(),Table_SourceData_Common_MCFTemperatureZone[[#Headers],[Temperature zone]],0)</f>
        <v>0.18</v>
      </c>
      <c r="I238" s="37" cm="1">
        <f t="array" ref="I238">Common_InputFunctions.Utility_DisplayArrayInTable(Common_SourceData.Common_SourceData_MCFTemperatureZone_Data(),Table_SourceData_Common_MCFTemperatureZone[[#Headers],[Temperature zone]],0)</f>
        <v>5.0000000000000001E-3</v>
      </c>
      <c r="J238" s="37" cm="1">
        <f t="array" ref="J238">Common_InputFunctions.Utility_DisplayArrayInTable(Common_SourceData.Common_SourceData_MCFTemperatureZone_Data(),Table_SourceData_Common_MCFTemperatureZone[[#Headers],[Temperature zone]],0)</f>
        <v>0.01</v>
      </c>
      <c r="K238" s="37" cm="1">
        <f t="array" ref="K238">Common_InputFunctions.Utility_DisplayArrayInTable(Common_SourceData.Common_SourceData_MCFTemperatureZone_Data(),Table_SourceData_Common_MCFTemperatureZone[[#Headers],[Temperature zone]],0)</f>
        <v>0.02</v>
      </c>
      <c r="L238" s="37" cm="1">
        <f t="array" ref="L238">Common_InputFunctions.Utility_DisplayArrayInTable(Common_SourceData.Common_SourceData_MCFTemperatureZone_Data(),Table_SourceData_Common_MCFTemperatureZone[[#Headers],[Temperature zone]],0)</f>
        <v>0.03</v>
      </c>
      <c r="M238" s="37" cm="1">
        <f t="array" ref="M238">Common_InputFunctions.Utility_DisplayArrayInTable(Common_SourceData.Common_SourceData_MCFTemperatureZone_Data(),Table_SourceData_Common_MCFTemperatureZone[[#Headers],[Temperature zone]],0)</f>
        <v>0.04</v>
      </c>
      <c r="N238" s="37" cm="1">
        <f t="array" ref="N238">Common_InputFunctions.Utility_DisplayArrayInTable(Common_SourceData.Common_SourceData_MCFTemperatureZone_Data(),Table_SourceData_Common_MCFTemperatureZone[[#Headers],[Temperature zone]],0)</f>
        <v>1.4999999999999999E-2</v>
      </c>
      <c r="O238" s="37" cm="1">
        <f t="array" ref="O238">Common_InputFunctions.Utility_DisplayArrayInTable(Common_SourceData.Common_SourceData_MCFTemperatureZone_Data(),Table_SourceData_Common_MCFTemperatureZone[[#Headers],[Temperature zone]],0)</f>
        <v>1.4999999999999999E-2</v>
      </c>
      <c r="P238" s="37" cm="1">
        <f t="array" ref="P238">Common_InputFunctions.Utility_DisplayArrayInTable(Common_SourceData.Common_SourceData_MCFTemperatureZone_Data(),Table_SourceData_Common_MCFTemperatureZone[[#Headers],[Temperature zone]],0)</f>
        <v>0</v>
      </c>
      <c r="Q238" s="37" cm="1">
        <f t="array" ref="Q238">Common_InputFunctions.Utility_DisplayArrayInTable(Common_SourceData.Common_SourceData_MCFTemperatureZone_Data(),Table_SourceData_Common_MCFTemperatureZone[[#Headers],[Temperature zone]],0)</f>
        <v>0</v>
      </c>
      <c r="R238" s="37" cm="1">
        <f t="array" ref="R238">Common_InputFunctions.Utility_DisplayArrayInTable(Common_SourceData.Common_SourceData_MCFTemperatureZone_Data(),Table_SourceData_Common_MCFTemperatureZone[[#Headers],[Temperature zone]],0)</f>
        <v>4.7000000000000002E-3</v>
      </c>
      <c r="S238" s="37" cm="1">
        <f t="array" ref="S238">Common_InputFunctions.Utility_DisplayArrayInTable(Common_SourceData.Common_SourceData_MCFTemperatureZone_Data(),Table_SourceData_Common_MCFTemperatureZone[[#Headers],[Temperature zone]],0)</f>
        <v>16</v>
      </c>
    </row>
    <row r="239" spans="4:19" x14ac:dyDescent="0.25">
      <c r="D239" s="1" t="str" cm="1">
        <f t="array" ref="D239">Common_InputFunctions.Utility_DisplayArrayInTable(Common_SourceData.Common_SourceData_MCFTemperatureZone_Data(),Table_SourceData_Common_MCFTemperatureZone[[#Headers],[Temperature zone]],0)</f>
        <v>Temperate</v>
      </c>
      <c r="E239" s="37" cm="1">
        <f t="array" ref="E239">Common_InputFunctions.Utility_DisplayArrayInTable(Common_SourceData.Common_SourceData_MCFTemperatureZone_Data(),Table_SourceData_Common_MCFTemperatureZone[[#Headers],[Temperature zone]],0)</f>
        <v>17</v>
      </c>
      <c r="F239" s="37" cm="1">
        <f t="array" ref="F239">Common_InputFunctions.Utility_DisplayArrayInTable(Common_SourceData.Common_SourceData_MCFTemperatureZone_Data(),Table_SourceData_Common_MCFTemperatureZone[[#Headers],[Temperature zone]],0)</f>
        <v>0.76</v>
      </c>
      <c r="G239" s="37" cm="1">
        <f t="array" ref="G239">Common_InputFunctions.Utility_DisplayArrayInTable(Common_SourceData.Common_SourceData_MCFTemperatureZone_Data(),Table_SourceData_Common_MCFTemperatureZone[[#Headers],[Temperature zone]],0)</f>
        <v>0.1</v>
      </c>
      <c r="H239" s="37" cm="1">
        <f t="array" ref="H239">Common_InputFunctions.Utility_DisplayArrayInTable(Common_SourceData.Common_SourceData_MCFTemperatureZone_Data(),Table_SourceData_Common_MCFTemperatureZone[[#Headers],[Temperature zone]],0)</f>
        <v>0.2</v>
      </c>
      <c r="I239" s="37" cm="1">
        <f t="array" ref="I239">Common_InputFunctions.Utility_DisplayArrayInTable(Common_SourceData.Common_SourceData_MCFTemperatureZone_Data(),Table_SourceData_Common_MCFTemperatureZone[[#Headers],[Temperature zone]],0)</f>
        <v>5.0000000000000001E-3</v>
      </c>
      <c r="J239" s="37" cm="1">
        <f t="array" ref="J239">Common_InputFunctions.Utility_DisplayArrayInTable(Common_SourceData.Common_SourceData_MCFTemperatureZone_Data(),Table_SourceData_Common_MCFTemperatureZone[[#Headers],[Temperature zone]],0)</f>
        <v>0.01</v>
      </c>
      <c r="K239" s="37" cm="1">
        <f t="array" ref="K239">Common_InputFunctions.Utility_DisplayArrayInTable(Common_SourceData.Common_SourceData_MCFTemperatureZone_Data(),Table_SourceData_Common_MCFTemperatureZone[[#Headers],[Temperature zone]],0)</f>
        <v>0.02</v>
      </c>
      <c r="L239" s="37" cm="1">
        <f t="array" ref="L239">Common_InputFunctions.Utility_DisplayArrayInTable(Common_SourceData.Common_SourceData_MCFTemperatureZone_Data(),Table_SourceData_Common_MCFTemperatureZone[[#Headers],[Temperature zone]],0)</f>
        <v>0.03</v>
      </c>
      <c r="M239" s="37" cm="1">
        <f t="array" ref="M239">Common_InputFunctions.Utility_DisplayArrayInTable(Common_SourceData.Common_SourceData_MCFTemperatureZone_Data(),Table_SourceData_Common_MCFTemperatureZone[[#Headers],[Temperature zone]],0)</f>
        <v>0.04</v>
      </c>
      <c r="N239" s="37" cm="1">
        <f t="array" ref="N239">Common_InputFunctions.Utility_DisplayArrayInTable(Common_SourceData.Common_SourceData_MCFTemperatureZone_Data(),Table_SourceData_Common_MCFTemperatureZone[[#Headers],[Temperature zone]],0)</f>
        <v>1.4999999999999999E-2</v>
      </c>
      <c r="O239" s="37" cm="1">
        <f t="array" ref="O239">Common_InputFunctions.Utility_DisplayArrayInTable(Common_SourceData.Common_SourceData_MCFTemperatureZone_Data(),Table_SourceData_Common_MCFTemperatureZone[[#Headers],[Temperature zone]],0)</f>
        <v>1.4999999999999999E-2</v>
      </c>
      <c r="P239" s="37" cm="1">
        <f t="array" ref="P239">Common_InputFunctions.Utility_DisplayArrayInTable(Common_SourceData.Common_SourceData_MCFTemperatureZone_Data(),Table_SourceData_Common_MCFTemperatureZone[[#Headers],[Temperature zone]],0)</f>
        <v>0</v>
      </c>
      <c r="Q239" s="37" cm="1">
        <f t="array" ref="Q239">Common_InputFunctions.Utility_DisplayArrayInTable(Common_SourceData.Common_SourceData_MCFTemperatureZone_Data(),Table_SourceData_Common_MCFTemperatureZone[[#Headers],[Temperature zone]],0)</f>
        <v>0</v>
      </c>
      <c r="R239" s="37" cm="1">
        <f t="array" ref="R239">Common_InputFunctions.Utility_DisplayArrayInTable(Common_SourceData.Common_SourceData_MCFTemperatureZone_Data(),Table_SourceData_Common_MCFTemperatureZone[[#Headers],[Temperature zone]],0)</f>
        <v>4.7000000000000002E-3</v>
      </c>
      <c r="S239" s="37" cm="1">
        <f t="array" ref="S239">Common_InputFunctions.Utility_DisplayArrayInTable(Common_SourceData.Common_SourceData_MCFTemperatureZone_Data(),Table_SourceData_Common_MCFTemperatureZone[[#Headers],[Temperature zone]],0)</f>
        <v>17</v>
      </c>
    </row>
    <row r="240" spans="4:19" x14ac:dyDescent="0.25">
      <c r="D240" s="1" t="str" cm="1">
        <f t="array" ref="D240">Common_InputFunctions.Utility_DisplayArrayInTable(Common_SourceData.Common_SourceData_MCFTemperatureZone_Data(),Table_SourceData_Common_MCFTemperatureZone[[#Headers],[Temperature zone]],0)</f>
        <v>Temperate</v>
      </c>
      <c r="E240" s="37" cm="1">
        <f t="array" ref="E240">Common_InputFunctions.Utility_DisplayArrayInTable(Common_SourceData.Common_SourceData_MCFTemperatureZone_Data(),Table_SourceData_Common_MCFTemperatureZone[[#Headers],[Temperature zone]],0)</f>
        <v>18</v>
      </c>
      <c r="F240" s="37" cm="1">
        <f t="array" ref="F240">Common_InputFunctions.Utility_DisplayArrayInTable(Common_SourceData.Common_SourceData_MCFTemperatureZone_Data(),Table_SourceData_Common_MCFTemperatureZone[[#Headers],[Temperature zone]],0)</f>
        <v>0.77</v>
      </c>
      <c r="G240" s="37" cm="1">
        <f t="array" ref="G240">Common_InputFunctions.Utility_DisplayArrayInTable(Common_SourceData.Common_SourceData_MCFTemperatureZone_Data(),Table_SourceData_Common_MCFTemperatureZone[[#Headers],[Temperature zone]],0)</f>
        <v>0.1</v>
      </c>
      <c r="H240" s="37" cm="1">
        <f t="array" ref="H240">Common_InputFunctions.Utility_DisplayArrayInTable(Common_SourceData.Common_SourceData_MCFTemperatureZone_Data(),Table_SourceData_Common_MCFTemperatureZone[[#Headers],[Temperature zone]],0)</f>
        <v>0.22</v>
      </c>
      <c r="I240" s="37" cm="1">
        <f t="array" ref="I240">Common_InputFunctions.Utility_DisplayArrayInTable(Common_SourceData.Common_SourceData_MCFTemperatureZone_Data(),Table_SourceData_Common_MCFTemperatureZone[[#Headers],[Temperature zone]],0)</f>
        <v>5.0000000000000001E-3</v>
      </c>
      <c r="J240" s="37" cm="1">
        <f t="array" ref="J240">Common_InputFunctions.Utility_DisplayArrayInTable(Common_SourceData.Common_SourceData_MCFTemperatureZone_Data(),Table_SourceData_Common_MCFTemperatureZone[[#Headers],[Temperature zone]],0)</f>
        <v>0.01</v>
      </c>
      <c r="K240" s="37" cm="1">
        <f t="array" ref="K240">Common_InputFunctions.Utility_DisplayArrayInTable(Common_SourceData.Common_SourceData_MCFTemperatureZone_Data(),Table_SourceData_Common_MCFTemperatureZone[[#Headers],[Temperature zone]],0)</f>
        <v>0.02</v>
      </c>
      <c r="L240" s="37" cm="1">
        <f t="array" ref="L240">Common_InputFunctions.Utility_DisplayArrayInTable(Common_SourceData.Common_SourceData_MCFTemperatureZone_Data(),Table_SourceData_Common_MCFTemperatureZone[[#Headers],[Temperature zone]],0)</f>
        <v>0.03</v>
      </c>
      <c r="M240" s="37" cm="1">
        <f t="array" ref="M240">Common_InputFunctions.Utility_DisplayArrayInTable(Common_SourceData.Common_SourceData_MCFTemperatureZone_Data(),Table_SourceData_Common_MCFTemperatureZone[[#Headers],[Temperature zone]],0)</f>
        <v>0.04</v>
      </c>
      <c r="N240" s="37" cm="1">
        <f t="array" ref="N240">Common_InputFunctions.Utility_DisplayArrayInTable(Common_SourceData.Common_SourceData_MCFTemperatureZone_Data(),Table_SourceData_Common_MCFTemperatureZone[[#Headers],[Temperature zone]],0)</f>
        <v>1.4999999999999999E-2</v>
      </c>
      <c r="O240" s="37" cm="1">
        <f t="array" ref="O240">Common_InputFunctions.Utility_DisplayArrayInTable(Common_SourceData.Common_SourceData_MCFTemperatureZone_Data(),Table_SourceData_Common_MCFTemperatureZone[[#Headers],[Temperature zone]],0)</f>
        <v>1.4999999999999999E-2</v>
      </c>
      <c r="P240" s="37" cm="1">
        <f t="array" ref="P240">Common_InputFunctions.Utility_DisplayArrayInTable(Common_SourceData.Common_SourceData_MCFTemperatureZone_Data(),Table_SourceData_Common_MCFTemperatureZone[[#Headers],[Temperature zone]],0)</f>
        <v>0</v>
      </c>
      <c r="Q240" s="37" cm="1">
        <f t="array" ref="Q240">Common_InputFunctions.Utility_DisplayArrayInTable(Common_SourceData.Common_SourceData_MCFTemperatureZone_Data(),Table_SourceData_Common_MCFTemperatureZone[[#Headers],[Temperature zone]],0)</f>
        <v>0</v>
      </c>
      <c r="R240" s="37" cm="1">
        <f t="array" ref="R240">Common_InputFunctions.Utility_DisplayArrayInTable(Common_SourceData.Common_SourceData_MCFTemperatureZone_Data(),Table_SourceData_Common_MCFTemperatureZone[[#Headers],[Temperature zone]],0)</f>
        <v>4.7000000000000002E-3</v>
      </c>
      <c r="S240" s="37" cm="1">
        <f t="array" ref="S240">Common_InputFunctions.Utility_DisplayArrayInTable(Common_SourceData.Common_SourceData_MCFTemperatureZone_Data(),Table_SourceData_Common_MCFTemperatureZone[[#Headers],[Temperature zone]],0)</f>
        <v>18</v>
      </c>
    </row>
    <row r="241" spans="4:19" x14ac:dyDescent="0.25">
      <c r="D241" s="1" t="str" cm="1">
        <f t="array" ref="D241">Common_InputFunctions.Utility_DisplayArrayInTable(Common_SourceData.Common_SourceData_MCFTemperatureZone_Data(),Table_SourceData_Common_MCFTemperatureZone[[#Headers],[Temperature zone]],0)</f>
        <v>Temperate</v>
      </c>
      <c r="E241" s="37" cm="1">
        <f t="array" ref="E241">Common_InputFunctions.Utility_DisplayArrayInTable(Common_SourceData.Common_SourceData_MCFTemperatureZone_Data(),Table_SourceData_Common_MCFTemperatureZone[[#Headers],[Temperature zone]],0)</f>
        <v>19</v>
      </c>
      <c r="F241" s="37" cm="1">
        <f t="array" ref="F241">Common_InputFunctions.Utility_DisplayArrayInTable(Common_SourceData.Common_SourceData_MCFTemperatureZone_Data(),Table_SourceData_Common_MCFTemperatureZone[[#Headers],[Temperature zone]],0)</f>
        <v>0.77</v>
      </c>
      <c r="G241" s="37" cm="1">
        <f t="array" ref="G241">Common_InputFunctions.Utility_DisplayArrayInTable(Common_SourceData.Common_SourceData_MCFTemperatureZone_Data(),Table_SourceData_Common_MCFTemperatureZone[[#Headers],[Temperature zone]],0)</f>
        <v>0.1</v>
      </c>
      <c r="H241" s="37" cm="1">
        <f t="array" ref="H241">Common_InputFunctions.Utility_DisplayArrayInTable(Common_SourceData.Common_SourceData_MCFTemperatureZone_Data(),Table_SourceData_Common_MCFTemperatureZone[[#Headers],[Temperature zone]],0)</f>
        <v>0.24</v>
      </c>
      <c r="I241" s="37" cm="1">
        <f t="array" ref="I241">Common_InputFunctions.Utility_DisplayArrayInTable(Common_SourceData.Common_SourceData_MCFTemperatureZone_Data(),Table_SourceData_Common_MCFTemperatureZone[[#Headers],[Temperature zone]],0)</f>
        <v>5.0000000000000001E-3</v>
      </c>
      <c r="J241" s="37" cm="1">
        <f t="array" ref="J241">Common_InputFunctions.Utility_DisplayArrayInTable(Common_SourceData.Common_SourceData_MCFTemperatureZone_Data(),Table_SourceData_Common_MCFTemperatureZone[[#Headers],[Temperature zone]],0)</f>
        <v>0.01</v>
      </c>
      <c r="K241" s="37" cm="1">
        <f t="array" ref="K241">Common_InputFunctions.Utility_DisplayArrayInTable(Common_SourceData.Common_SourceData_MCFTemperatureZone_Data(),Table_SourceData_Common_MCFTemperatureZone[[#Headers],[Temperature zone]],0)</f>
        <v>0.02</v>
      </c>
      <c r="L241" s="37" cm="1">
        <f t="array" ref="L241">Common_InputFunctions.Utility_DisplayArrayInTable(Common_SourceData.Common_SourceData_MCFTemperatureZone_Data(),Table_SourceData_Common_MCFTemperatureZone[[#Headers],[Temperature zone]],0)</f>
        <v>0.03</v>
      </c>
      <c r="M241" s="37" cm="1">
        <f t="array" ref="M241">Common_InputFunctions.Utility_DisplayArrayInTable(Common_SourceData.Common_SourceData_MCFTemperatureZone_Data(),Table_SourceData_Common_MCFTemperatureZone[[#Headers],[Temperature zone]],0)</f>
        <v>0.04</v>
      </c>
      <c r="N241" s="37" cm="1">
        <f t="array" ref="N241">Common_InputFunctions.Utility_DisplayArrayInTable(Common_SourceData.Common_SourceData_MCFTemperatureZone_Data(),Table_SourceData_Common_MCFTemperatureZone[[#Headers],[Temperature zone]],0)</f>
        <v>1.4999999999999999E-2</v>
      </c>
      <c r="O241" s="37" cm="1">
        <f t="array" ref="O241">Common_InputFunctions.Utility_DisplayArrayInTable(Common_SourceData.Common_SourceData_MCFTemperatureZone_Data(),Table_SourceData_Common_MCFTemperatureZone[[#Headers],[Temperature zone]],0)</f>
        <v>1.4999999999999999E-2</v>
      </c>
      <c r="P241" s="37" cm="1">
        <f t="array" ref="P241">Common_InputFunctions.Utility_DisplayArrayInTable(Common_SourceData.Common_SourceData_MCFTemperatureZone_Data(),Table_SourceData_Common_MCFTemperatureZone[[#Headers],[Temperature zone]],0)</f>
        <v>0</v>
      </c>
      <c r="Q241" s="37" cm="1">
        <f t="array" ref="Q241">Common_InputFunctions.Utility_DisplayArrayInTable(Common_SourceData.Common_SourceData_MCFTemperatureZone_Data(),Table_SourceData_Common_MCFTemperatureZone[[#Headers],[Temperature zone]],0)</f>
        <v>0</v>
      </c>
      <c r="R241" s="37" cm="1">
        <f t="array" ref="R241">Common_InputFunctions.Utility_DisplayArrayInTable(Common_SourceData.Common_SourceData_MCFTemperatureZone_Data(),Table_SourceData_Common_MCFTemperatureZone[[#Headers],[Temperature zone]],0)</f>
        <v>4.7000000000000002E-3</v>
      </c>
      <c r="S241" s="37" cm="1">
        <f t="array" ref="S241">Common_InputFunctions.Utility_DisplayArrayInTable(Common_SourceData.Common_SourceData_MCFTemperatureZone_Data(),Table_SourceData_Common_MCFTemperatureZone[[#Headers],[Temperature zone]],0)</f>
        <v>19</v>
      </c>
    </row>
    <row r="242" spans="4:19" x14ac:dyDescent="0.25">
      <c r="D242" s="1" t="str" cm="1">
        <f t="array" ref="D242">Common_InputFunctions.Utility_DisplayArrayInTable(Common_SourceData.Common_SourceData_MCFTemperatureZone_Data(),Table_SourceData_Common_MCFTemperatureZone[[#Headers],[Temperature zone]],0)</f>
        <v>Temperate</v>
      </c>
      <c r="E242" s="37" cm="1">
        <f t="array" ref="E242">Common_InputFunctions.Utility_DisplayArrayInTable(Common_SourceData.Common_SourceData_MCFTemperatureZone_Data(),Table_SourceData_Common_MCFTemperatureZone[[#Headers],[Temperature zone]],0)</f>
        <v>20</v>
      </c>
      <c r="F242" s="37" cm="1">
        <f t="array" ref="F242">Common_InputFunctions.Utility_DisplayArrayInTable(Common_SourceData.Common_SourceData_MCFTemperatureZone_Data(),Table_SourceData_Common_MCFTemperatureZone[[#Headers],[Temperature zone]],0)</f>
        <v>0.78</v>
      </c>
      <c r="G242" s="37" cm="1">
        <f t="array" ref="G242">Common_InputFunctions.Utility_DisplayArrayInTable(Common_SourceData.Common_SourceData_MCFTemperatureZone_Data(),Table_SourceData_Common_MCFTemperatureZone[[#Headers],[Temperature zone]],0)</f>
        <v>0.1</v>
      </c>
      <c r="H242" s="37" cm="1">
        <f t="array" ref="H242">Common_InputFunctions.Utility_DisplayArrayInTable(Common_SourceData.Common_SourceData_MCFTemperatureZone_Data(),Table_SourceData_Common_MCFTemperatureZone[[#Headers],[Temperature zone]],0)</f>
        <v>0.26</v>
      </c>
      <c r="I242" s="37" cm="1">
        <f t="array" ref="I242">Common_InputFunctions.Utility_DisplayArrayInTable(Common_SourceData.Common_SourceData_MCFTemperatureZone_Data(),Table_SourceData_Common_MCFTemperatureZone[[#Headers],[Temperature zone]],0)</f>
        <v>5.0000000000000001E-3</v>
      </c>
      <c r="J242" s="37" cm="1">
        <f t="array" ref="J242">Common_InputFunctions.Utility_DisplayArrayInTable(Common_SourceData.Common_SourceData_MCFTemperatureZone_Data(),Table_SourceData_Common_MCFTemperatureZone[[#Headers],[Temperature zone]],0)</f>
        <v>0.01</v>
      </c>
      <c r="K242" s="37" cm="1">
        <f t="array" ref="K242">Common_InputFunctions.Utility_DisplayArrayInTable(Common_SourceData.Common_SourceData_MCFTemperatureZone_Data(),Table_SourceData_Common_MCFTemperatureZone[[#Headers],[Temperature zone]],0)</f>
        <v>0.02</v>
      </c>
      <c r="L242" s="37" cm="1">
        <f t="array" ref="L242">Common_InputFunctions.Utility_DisplayArrayInTable(Common_SourceData.Common_SourceData_MCFTemperatureZone_Data(),Table_SourceData_Common_MCFTemperatureZone[[#Headers],[Temperature zone]],0)</f>
        <v>0.03</v>
      </c>
      <c r="M242" s="37" cm="1">
        <f t="array" ref="M242">Common_InputFunctions.Utility_DisplayArrayInTable(Common_SourceData.Common_SourceData_MCFTemperatureZone_Data(),Table_SourceData_Common_MCFTemperatureZone[[#Headers],[Temperature zone]],0)</f>
        <v>0.04</v>
      </c>
      <c r="N242" s="37" cm="1">
        <f t="array" ref="N242">Common_InputFunctions.Utility_DisplayArrayInTable(Common_SourceData.Common_SourceData_MCFTemperatureZone_Data(),Table_SourceData_Common_MCFTemperatureZone[[#Headers],[Temperature zone]],0)</f>
        <v>1.4999999999999999E-2</v>
      </c>
      <c r="O242" s="37" cm="1">
        <f t="array" ref="O242">Common_InputFunctions.Utility_DisplayArrayInTable(Common_SourceData.Common_SourceData_MCFTemperatureZone_Data(),Table_SourceData_Common_MCFTemperatureZone[[#Headers],[Temperature zone]],0)</f>
        <v>1.4999999999999999E-2</v>
      </c>
      <c r="P242" s="37" cm="1">
        <f t="array" ref="P242">Common_InputFunctions.Utility_DisplayArrayInTable(Common_SourceData.Common_SourceData_MCFTemperatureZone_Data(),Table_SourceData_Common_MCFTemperatureZone[[#Headers],[Temperature zone]],0)</f>
        <v>0</v>
      </c>
      <c r="Q242" s="37" cm="1">
        <f t="array" ref="Q242">Common_InputFunctions.Utility_DisplayArrayInTable(Common_SourceData.Common_SourceData_MCFTemperatureZone_Data(),Table_SourceData_Common_MCFTemperatureZone[[#Headers],[Temperature zone]],0)</f>
        <v>0</v>
      </c>
      <c r="R242" s="37" cm="1">
        <f t="array" ref="R242">Common_InputFunctions.Utility_DisplayArrayInTable(Common_SourceData.Common_SourceData_MCFTemperatureZone_Data(),Table_SourceData_Common_MCFTemperatureZone[[#Headers],[Temperature zone]],0)</f>
        <v>4.7000000000000002E-3</v>
      </c>
      <c r="S242" s="37" cm="1">
        <f t="array" ref="S242">Common_InputFunctions.Utility_DisplayArrayInTable(Common_SourceData.Common_SourceData_MCFTemperatureZone_Data(),Table_SourceData_Common_MCFTemperatureZone[[#Headers],[Temperature zone]],0)</f>
        <v>20</v>
      </c>
    </row>
    <row r="243" spans="4:19" x14ac:dyDescent="0.25">
      <c r="D243" s="1" t="str" cm="1">
        <f t="array" ref="D243">Common_InputFunctions.Utility_DisplayArrayInTable(Common_SourceData.Common_SourceData_MCFTemperatureZone_Data(),Table_SourceData_Common_MCFTemperatureZone[[#Headers],[Temperature zone]],0)</f>
        <v>Temperate</v>
      </c>
      <c r="E243" s="37" cm="1">
        <f t="array" ref="E243">Common_InputFunctions.Utility_DisplayArrayInTable(Common_SourceData.Common_SourceData_MCFTemperatureZone_Data(),Table_SourceData_Common_MCFTemperatureZone[[#Headers],[Temperature zone]],0)</f>
        <v>21</v>
      </c>
      <c r="F243" s="37" cm="1">
        <f t="array" ref="F243">Common_InputFunctions.Utility_DisplayArrayInTable(Common_SourceData.Common_SourceData_MCFTemperatureZone_Data(),Table_SourceData_Common_MCFTemperatureZone[[#Headers],[Temperature zone]],0)</f>
        <v>0.78</v>
      </c>
      <c r="G243" s="37" cm="1">
        <f t="array" ref="G243">Common_InputFunctions.Utility_DisplayArrayInTable(Common_SourceData.Common_SourceData_MCFTemperatureZone_Data(),Table_SourceData_Common_MCFTemperatureZone[[#Headers],[Temperature zone]],0)</f>
        <v>0.1</v>
      </c>
      <c r="H243" s="37" cm="1">
        <f t="array" ref="H243">Common_InputFunctions.Utility_DisplayArrayInTable(Common_SourceData.Common_SourceData_MCFTemperatureZone_Data(),Table_SourceData_Common_MCFTemperatureZone[[#Headers],[Temperature zone]],0)</f>
        <v>0.28999999999999998</v>
      </c>
      <c r="I243" s="37" cm="1">
        <f t="array" ref="I243">Common_InputFunctions.Utility_DisplayArrayInTable(Common_SourceData.Common_SourceData_MCFTemperatureZone_Data(),Table_SourceData_Common_MCFTemperatureZone[[#Headers],[Temperature zone]],0)</f>
        <v>5.0000000000000001E-3</v>
      </c>
      <c r="J243" s="37" cm="1">
        <f t="array" ref="J243">Common_InputFunctions.Utility_DisplayArrayInTable(Common_SourceData.Common_SourceData_MCFTemperatureZone_Data(),Table_SourceData_Common_MCFTemperatureZone[[#Headers],[Temperature zone]],0)</f>
        <v>0.01</v>
      </c>
      <c r="K243" s="37" cm="1">
        <f t="array" ref="K243">Common_InputFunctions.Utility_DisplayArrayInTable(Common_SourceData.Common_SourceData_MCFTemperatureZone_Data(),Table_SourceData_Common_MCFTemperatureZone[[#Headers],[Temperature zone]],0)</f>
        <v>0.02</v>
      </c>
      <c r="L243" s="37" cm="1">
        <f t="array" ref="L243">Common_InputFunctions.Utility_DisplayArrayInTable(Common_SourceData.Common_SourceData_MCFTemperatureZone_Data(),Table_SourceData_Common_MCFTemperatureZone[[#Headers],[Temperature zone]],0)</f>
        <v>0.03</v>
      </c>
      <c r="M243" s="37" cm="1">
        <f t="array" ref="M243">Common_InputFunctions.Utility_DisplayArrayInTable(Common_SourceData.Common_SourceData_MCFTemperatureZone_Data(),Table_SourceData_Common_MCFTemperatureZone[[#Headers],[Temperature zone]],0)</f>
        <v>0.04</v>
      </c>
      <c r="N243" s="37" cm="1">
        <f t="array" ref="N243">Common_InputFunctions.Utility_DisplayArrayInTable(Common_SourceData.Common_SourceData_MCFTemperatureZone_Data(),Table_SourceData_Common_MCFTemperatureZone[[#Headers],[Temperature zone]],0)</f>
        <v>1.4999999999999999E-2</v>
      </c>
      <c r="O243" s="37" cm="1">
        <f t="array" ref="O243">Common_InputFunctions.Utility_DisplayArrayInTable(Common_SourceData.Common_SourceData_MCFTemperatureZone_Data(),Table_SourceData_Common_MCFTemperatureZone[[#Headers],[Temperature zone]],0)</f>
        <v>1.4999999999999999E-2</v>
      </c>
      <c r="P243" s="37" cm="1">
        <f t="array" ref="P243">Common_InputFunctions.Utility_DisplayArrayInTable(Common_SourceData.Common_SourceData_MCFTemperatureZone_Data(),Table_SourceData_Common_MCFTemperatureZone[[#Headers],[Temperature zone]],0)</f>
        <v>0</v>
      </c>
      <c r="Q243" s="37" cm="1">
        <f t="array" ref="Q243">Common_InputFunctions.Utility_DisplayArrayInTable(Common_SourceData.Common_SourceData_MCFTemperatureZone_Data(),Table_SourceData_Common_MCFTemperatureZone[[#Headers],[Temperature zone]],0)</f>
        <v>0</v>
      </c>
      <c r="R243" s="37" cm="1">
        <f t="array" ref="R243">Common_InputFunctions.Utility_DisplayArrayInTable(Common_SourceData.Common_SourceData_MCFTemperatureZone_Data(),Table_SourceData_Common_MCFTemperatureZone[[#Headers],[Temperature zone]],0)</f>
        <v>4.7000000000000002E-3</v>
      </c>
      <c r="S243" s="37" cm="1">
        <f t="array" ref="S243">Common_InputFunctions.Utility_DisplayArrayInTable(Common_SourceData.Common_SourceData_MCFTemperatureZone_Data(),Table_SourceData_Common_MCFTemperatureZone[[#Headers],[Temperature zone]],0)</f>
        <v>21</v>
      </c>
    </row>
    <row r="244" spans="4:19" x14ac:dyDescent="0.25">
      <c r="D244" s="1" t="str" cm="1">
        <f t="array" ref="D244">Common_InputFunctions.Utility_DisplayArrayInTable(Common_SourceData.Common_SourceData_MCFTemperatureZone_Data(),Table_SourceData_Common_MCFTemperatureZone[[#Headers],[Temperature zone]],0)</f>
        <v>Temperate</v>
      </c>
      <c r="E244" s="37" cm="1">
        <f t="array" ref="E244">Common_InputFunctions.Utility_DisplayArrayInTable(Common_SourceData.Common_SourceData_MCFTemperatureZone_Data(),Table_SourceData_Common_MCFTemperatureZone[[#Headers],[Temperature zone]],0)</f>
        <v>22</v>
      </c>
      <c r="F244" s="37" cm="1">
        <f t="array" ref="F244">Common_InputFunctions.Utility_DisplayArrayInTable(Common_SourceData.Common_SourceData_MCFTemperatureZone_Data(),Table_SourceData_Common_MCFTemperatureZone[[#Headers],[Temperature zone]],0)</f>
        <v>0.78</v>
      </c>
      <c r="G244" s="37" cm="1">
        <f t="array" ref="G244">Common_InputFunctions.Utility_DisplayArrayInTable(Common_SourceData.Common_SourceData_MCFTemperatureZone_Data(),Table_SourceData_Common_MCFTemperatureZone[[#Headers],[Temperature zone]],0)</f>
        <v>0.1</v>
      </c>
      <c r="H244" s="37" cm="1">
        <f t="array" ref="H244">Common_InputFunctions.Utility_DisplayArrayInTable(Common_SourceData.Common_SourceData_MCFTemperatureZone_Data(),Table_SourceData_Common_MCFTemperatureZone[[#Headers],[Temperature zone]],0)</f>
        <v>0.31</v>
      </c>
      <c r="I244" s="37" cm="1">
        <f t="array" ref="I244">Common_InputFunctions.Utility_DisplayArrayInTable(Common_SourceData.Common_SourceData_MCFTemperatureZone_Data(),Table_SourceData_Common_MCFTemperatureZone[[#Headers],[Temperature zone]],0)</f>
        <v>5.0000000000000001E-3</v>
      </c>
      <c r="J244" s="37" cm="1">
        <f t="array" ref="J244">Common_InputFunctions.Utility_DisplayArrayInTable(Common_SourceData.Common_SourceData_MCFTemperatureZone_Data(),Table_SourceData_Common_MCFTemperatureZone[[#Headers],[Temperature zone]],0)</f>
        <v>0.01</v>
      </c>
      <c r="K244" s="37" cm="1">
        <f t="array" ref="K244">Common_InputFunctions.Utility_DisplayArrayInTable(Common_SourceData.Common_SourceData_MCFTemperatureZone_Data(),Table_SourceData_Common_MCFTemperatureZone[[#Headers],[Temperature zone]],0)</f>
        <v>0.02</v>
      </c>
      <c r="L244" s="37" cm="1">
        <f t="array" ref="L244">Common_InputFunctions.Utility_DisplayArrayInTable(Common_SourceData.Common_SourceData_MCFTemperatureZone_Data(),Table_SourceData_Common_MCFTemperatureZone[[#Headers],[Temperature zone]],0)</f>
        <v>0.03</v>
      </c>
      <c r="M244" s="37" cm="1">
        <f t="array" ref="M244">Common_InputFunctions.Utility_DisplayArrayInTable(Common_SourceData.Common_SourceData_MCFTemperatureZone_Data(),Table_SourceData_Common_MCFTemperatureZone[[#Headers],[Temperature zone]],0)</f>
        <v>0.04</v>
      </c>
      <c r="N244" s="37" cm="1">
        <f t="array" ref="N244">Common_InputFunctions.Utility_DisplayArrayInTable(Common_SourceData.Common_SourceData_MCFTemperatureZone_Data(),Table_SourceData_Common_MCFTemperatureZone[[#Headers],[Temperature zone]],0)</f>
        <v>1.4999999999999999E-2</v>
      </c>
      <c r="O244" s="37" cm="1">
        <f t="array" ref="O244">Common_InputFunctions.Utility_DisplayArrayInTable(Common_SourceData.Common_SourceData_MCFTemperatureZone_Data(),Table_SourceData_Common_MCFTemperatureZone[[#Headers],[Temperature zone]],0)</f>
        <v>1.4999999999999999E-2</v>
      </c>
      <c r="P244" s="37" cm="1">
        <f t="array" ref="P244">Common_InputFunctions.Utility_DisplayArrayInTable(Common_SourceData.Common_SourceData_MCFTemperatureZone_Data(),Table_SourceData_Common_MCFTemperatureZone[[#Headers],[Temperature zone]],0)</f>
        <v>0</v>
      </c>
      <c r="Q244" s="37" cm="1">
        <f t="array" ref="Q244">Common_InputFunctions.Utility_DisplayArrayInTable(Common_SourceData.Common_SourceData_MCFTemperatureZone_Data(),Table_SourceData_Common_MCFTemperatureZone[[#Headers],[Temperature zone]],0)</f>
        <v>0</v>
      </c>
      <c r="R244" s="37" cm="1">
        <f t="array" ref="R244">Common_InputFunctions.Utility_DisplayArrayInTable(Common_SourceData.Common_SourceData_MCFTemperatureZone_Data(),Table_SourceData_Common_MCFTemperatureZone[[#Headers],[Temperature zone]],0)</f>
        <v>4.7000000000000002E-3</v>
      </c>
      <c r="S244" s="37" cm="1">
        <f t="array" ref="S244">Common_InputFunctions.Utility_DisplayArrayInTable(Common_SourceData.Common_SourceData_MCFTemperatureZone_Data(),Table_SourceData_Common_MCFTemperatureZone[[#Headers],[Temperature zone]],0)</f>
        <v>22</v>
      </c>
    </row>
    <row r="245" spans="4:19" x14ac:dyDescent="0.25">
      <c r="D245" s="1" t="str" cm="1">
        <f t="array" ref="D245">Common_InputFunctions.Utility_DisplayArrayInTable(Common_SourceData.Common_SourceData_MCFTemperatureZone_Data(),Table_SourceData_Common_MCFTemperatureZone[[#Headers],[Temperature zone]],0)</f>
        <v>Temperate</v>
      </c>
      <c r="E245" s="37" cm="1">
        <f t="array" ref="E245">Common_InputFunctions.Utility_DisplayArrayInTable(Common_SourceData.Common_SourceData_MCFTemperatureZone_Data(),Table_SourceData_Common_MCFTemperatureZone[[#Headers],[Temperature zone]],0)</f>
        <v>23</v>
      </c>
      <c r="F245" s="37" cm="1">
        <f t="array" ref="F245">Common_InputFunctions.Utility_DisplayArrayInTable(Common_SourceData.Common_SourceData_MCFTemperatureZone_Data(),Table_SourceData_Common_MCFTemperatureZone[[#Headers],[Temperature zone]],0)</f>
        <v>0.79</v>
      </c>
      <c r="G245" s="37" cm="1">
        <f t="array" ref="G245">Common_InputFunctions.Utility_DisplayArrayInTable(Common_SourceData.Common_SourceData_MCFTemperatureZone_Data(),Table_SourceData_Common_MCFTemperatureZone[[#Headers],[Temperature zone]],0)</f>
        <v>0.1</v>
      </c>
      <c r="H245" s="37" cm="1">
        <f t="array" ref="H245">Common_InputFunctions.Utility_DisplayArrayInTable(Common_SourceData.Common_SourceData_MCFTemperatureZone_Data(),Table_SourceData_Common_MCFTemperatureZone[[#Headers],[Temperature zone]],0)</f>
        <v>0.34</v>
      </c>
      <c r="I245" s="37" cm="1">
        <f t="array" ref="I245">Common_InputFunctions.Utility_DisplayArrayInTable(Common_SourceData.Common_SourceData_MCFTemperatureZone_Data(),Table_SourceData_Common_MCFTemperatureZone[[#Headers],[Temperature zone]],0)</f>
        <v>5.0000000000000001E-3</v>
      </c>
      <c r="J245" s="37" cm="1">
        <f t="array" ref="J245">Common_InputFunctions.Utility_DisplayArrayInTable(Common_SourceData.Common_SourceData_MCFTemperatureZone_Data(),Table_SourceData_Common_MCFTemperatureZone[[#Headers],[Temperature zone]],0)</f>
        <v>0.01</v>
      </c>
      <c r="K245" s="37" cm="1">
        <f t="array" ref="K245">Common_InputFunctions.Utility_DisplayArrayInTable(Common_SourceData.Common_SourceData_MCFTemperatureZone_Data(),Table_SourceData_Common_MCFTemperatureZone[[#Headers],[Temperature zone]],0)</f>
        <v>0.02</v>
      </c>
      <c r="L245" s="37" cm="1">
        <f t="array" ref="L245">Common_InputFunctions.Utility_DisplayArrayInTable(Common_SourceData.Common_SourceData_MCFTemperatureZone_Data(),Table_SourceData_Common_MCFTemperatureZone[[#Headers],[Temperature zone]],0)</f>
        <v>0.03</v>
      </c>
      <c r="M245" s="37" cm="1">
        <f t="array" ref="M245">Common_InputFunctions.Utility_DisplayArrayInTable(Common_SourceData.Common_SourceData_MCFTemperatureZone_Data(),Table_SourceData_Common_MCFTemperatureZone[[#Headers],[Temperature zone]],0)</f>
        <v>0.04</v>
      </c>
      <c r="N245" s="37" cm="1">
        <f t="array" ref="N245">Common_InputFunctions.Utility_DisplayArrayInTable(Common_SourceData.Common_SourceData_MCFTemperatureZone_Data(),Table_SourceData_Common_MCFTemperatureZone[[#Headers],[Temperature zone]],0)</f>
        <v>1.4999999999999999E-2</v>
      </c>
      <c r="O245" s="37" cm="1">
        <f t="array" ref="O245">Common_InputFunctions.Utility_DisplayArrayInTable(Common_SourceData.Common_SourceData_MCFTemperatureZone_Data(),Table_SourceData_Common_MCFTemperatureZone[[#Headers],[Temperature zone]],0)</f>
        <v>1.4999999999999999E-2</v>
      </c>
      <c r="P245" s="37" cm="1">
        <f t="array" ref="P245">Common_InputFunctions.Utility_DisplayArrayInTable(Common_SourceData.Common_SourceData_MCFTemperatureZone_Data(),Table_SourceData_Common_MCFTemperatureZone[[#Headers],[Temperature zone]],0)</f>
        <v>0</v>
      </c>
      <c r="Q245" s="37" cm="1">
        <f t="array" ref="Q245">Common_InputFunctions.Utility_DisplayArrayInTable(Common_SourceData.Common_SourceData_MCFTemperatureZone_Data(),Table_SourceData_Common_MCFTemperatureZone[[#Headers],[Temperature zone]],0)</f>
        <v>0</v>
      </c>
      <c r="R245" s="37" cm="1">
        <f t="array" ref="R245">Common_InputFunctions.Utility_DisplayArrayInTable(Common_SourceData.Common_SourceData_MCFTemperatureZone_Data(),Table_SourceData_Common_MCFTemperatureZone[[#Headers],[Temperature zone]],0)</f>
        <v>4.7000000000000002E-3</v>
      </c>
      <c r="S245" s="37" cm="1">
        <f t="array" ref="S245">Common_InputFunctions.Utility_DisplayArrayInTable(Common_SourceData.Common_SourceData_MCFTemperatureZone_Data(),Table_SourceData_Common_MCFTemperatureZone[[#Headers],[Temperature zone]],0)</f>
        <v>23</v>
      </c>
    </row>
    <row r="246" spans="4:19" x14ac:dyDescent="0.25">
      <c r="D246" s="1" t="str" cm="1">
        <f t="array" ref="D246">Common_InputFunctions.Utility_DisplayArrayInTable(Common_SourceData.Common_SourceData_MCFTemperatureZone_Data(),Table_SourceData_Common_MCFTemperatureZone[[#Headers],[Temperature zone]],0)</f>
        <v>Temperate</v>
      </c>
      <c r="E246" s="37" cm="1">
        <f t="array" ref="E246">Common_InputFunctions.Utility_DisplayArrayInTable(Common_SourceData.Common_SourceData_MCFTemperatureZone_Data(),Table_SourceData_Common_MCFTemperatureZone[[#Headers],[Temperature zone]],0)</f>
        <v>24</v>
      </c>
      <c r="F246" s="37" cm="1">
        <f t="array" ref="F246">Common_InputFunctions.Utility_DisplayArrayInTable(Common_SourceData.Common_SourceData_MCFTemperatureZone_Data(),Table_SourceData_Common_MCFTemperatureZone[[#Headers],[Temperature zone]],0)</f>
        <v>0.79</v>
      </c>
      <c r="G246" s="37" cm="1">
        <f t="array" ref="G246">Common_InputFunctions.Utility_DisplayArrayInTable(Common_SourceData.Common_SourceData_MCFTemperatureZone_Data(),Table_SourceData_Common_MCFTemperatureZone[[#Headers],[Temperature zone]],0)</f>
        <v>0.1</v>
      </c>
      <c r="H246" s="37" cm="1">
        <f t="array" ref="H246">Common_InputFunctions.Utility_DisplayArrayInTable(Common_SourceData.Common_SourceData_MCFTemperatureZone_Data(),Table_SourceData_Common_MCFTemperatureZone[[#Headers],[Temperature zone]],0)</f>
        <v>0.37</v>
      </c>
      <c r="I246" s="37" cm="1">
        <f t="array" ref="I246">Common_InputFunctions.Utility_DisplayArrayInTable(Common_SourceData.Common_SourceData_MCFTemperatureZone_Data(),Table_SourceData_Common_MCFTemperatureZone[[#Headers],[Temperature zone]],0)</f>
        <v>5.0000000000000001E-3</v>
      </c>
      <c r="J246" s="37" cm="1">
        <f t="array" ref="J246">Common_InputFunctions.Utility_DisplayArrayInTable(Common_SourceData.Common_SourceData_MCFTemperatureZone_Data(),Table_SourceData_Common_MCFTemperatureZone[[#Headers],[Temperature zone]],0)</f>
        <v>0.01</v>
      </c>
      <c r="K246" s="37" cm="1">
        <f t="array" ref="K246">Common_InputFunctions.Utility_DisplayArrayInTable(Common_SourceData.Common_SourceData_MCFTemperatureZone_Data(),Table_SourceData_Common_MCFTemperatureZone[[#Headers],[Temperature zone]],0)</f>
        <v>0.02</v>
      </c>
      <c r="L246" s="37" cm="1">
        <f t="array" ref="L246">Common_InputFunctions.Utility_DisplayArrayInTable(Common_SourceData.Common_SourceData_MCFTemperatureZone_Data(),Table_SourceData_Common_MCFTemperatureZone[[#Headers],[Temperature zone]],0)</f>
        <v>0.03</v>
      </c>
      <c r="M246" s="37" cm="1">
        <f t="array" ref="M246">Common_InputFunctions.Utility_DisplayArrayInTable(Common_SourceData.Common_SourceData_MCFTemperatureZone_Data(),Table_SourceData_Common_MCFTemperatureZone[[#Headers],[Temperature zone]],0)</f>
        <v>0.04</v>
      </c>
      <c r="N246" s="37" cm="1">
        <f t="array" ref="N246">Common_InputFunctions.Utility_DisplayArrayInTable(Common_SourceData.Common_SourceData_MCFTemperatureZone_Data(),Table_SourceData_Common_MCFTemperatureZone[[#Headers],[Temperature zone]],0)</f>
        <v>1.4999999999999999E-2</v>
      </c>
      <c r="O246" s="37" cm="1">
        <f t="array" ref="O246">Common_InputFunctions.Utility_DisplayArrayInTable(Common_SourceData.Common_SourceData_MCFTemperatureZone_Data(),Table_SourceData_Common_MCFTemperatureZone[[#Headers],[Temperature zone]],0)</f>
        <v>1.4999999999999999E-2</v>
      </c>
      <c r="P246" s="37" cm="1">
        <f t="array" ref="P246">Common_InputFunctions.Utility_DisplayArrayInTable(Common_SourceData.Common_SourceData_MCFTemperatureZone_Data(),Table_SourceData_Common_MCFTemperatureZone[[#Headers],[Temperature zone]],0)</f>
        <v>0</v>
      </c>
      <c r="Q246" s="37" cm="1">
        <f t="array" ref="Q246">Common_InputFunctions.Utility_DisplayArrayInTable(Common_SourceData.Common_SourceData_MCFTemperatureZone_Data(),Table_SourceData_Common_MCFTemperatureZone[[#Headers],[Temperature zone]],0)</f>
        <v>0</v>
      </c>
      <c r="R246" s="37" cm="1">
        <f t="array" ref="R246">Common_InputFunctions.Utility_DisplayArrayInTable(Common_SourceData.Common_SourceData_MCFTemperatureZone_Data(),Table_SourceData_Common_MCFTemperatureZone[[#Headers],[Temperature zone]],0)</f>
        <v>4.7000000000000002E-3</v>
      </c>
      <c r="S246" s="37" cm="1">
        <f t="array" ref="S246">Common_InputFunctions.Utility_DisplayArrayInTable(Common_SourceData.Common_SourceData_MCFTemperatureZone_Data(),Table_SourceData_Common_MCFTemperatureZone[[#Headers],[Temperature zone]],0)</f>
        <v>24</v>
      </c>
    </row>
    <row r="247" spans="4:19" x14ac:dyDescent="0.25">
      <c r="D247" s="1" t="str" cm="1">
        <f t="array" ref="D247">Common_InputFunctions.Utility_DisplayArrayInTable(Common_SourceData.Common_SourceData_MCFTemperatureZone_Data(),Table_SourceData_Common_MCFTemperatureZone[[#Headers],[Temperature zone]],0)</f>
        <v>Temperate</v>
      </c>
      <c r="E247" s="37" cm="1">
        <f t="array" ref="E247">Common_InputFunctions.Utility_DisplayArrayInTable(Common_SourceData.Common_SourceData_MCFTemperatureZone_Data(),Table_SourceData_Common_MCFTemperatureZone[[#Headers],[Temperature zone]],0)</f>
        <v>25</v>
      </c>
      <c r="F247" s="37" cm="1">
        <f t="array" ref="F247">Common_InputFunctions.Utility_DisplayArrayInTable(Common_SourceData.Common_SourceData_MCFTemperatureZone_Data(),Table_SourceData_Common_MCFTemperatureZone[[#Headers],[Temperature zone]],0)</f>
        <v>0.79</v>
      </c>
      <c r="G247" s="37" cm="1">
        <f t="array" ref="G247">Common_InputFunctions.Utility_DisplayArrayInTable(Common_SourceData.Common_SourceData_MCFTemperatureZone_Data(),Table_SourceData_Common_MCFTemperatureZone[[#Headers],[Temperature zone]],0)</f>
        <v>0.1</v>
      </c>
      <c r="H247" s="37" cm="1">
        <f t="array" ref="H247">Common_InputFunctions.Utility_DisplayArrayInTable(Common_SourceData.Common_SourceData_MCFTemperatureZone_Data(),Table_SourceData_Common_MCFTemperatureZone[[#Headers],[Temperature zone]],0)</f>
        <v>0.41</v>
      </c>
      <c r="I247" s="37" cm="1">
        <f t="array" ref="I247">Common_InputFunctions.Utility_DisplayArrayInTable(Common_SourceData.Common_SourceData_MCFTemperatureZone_Data(),Table_SourceData_Common_MCFTemperatureZone[[#Headers],[Temperature zone]],0)</f>
        <v>5.0000000000000001E-3</v>
      </c>
      <c r="J247" s="37" cm="1">
        <f t="array" ref="J247">Common_InputFunctions.Utility_DisplayArrayInTable(Common_SourceData.Common_SourceData_MCFTemperatureZone_Data(),Table_SourceData_Common_MCFTemperatureZone[[#Headers],[Temperature zone]],0)</f>
        <v>0.01</v>
      </c>
      <c r="K247" s="37" cm="1">
        <f t="array" ref="K247">Common_InputFunctions.Utility_DisplayArrayInTable(Common_SourceData.Common_SourceData_MCFTemperatureZone_Data(),Table_SourceData_Common_MCFTemperatureZone[[#Headers],[Temperature zone]],0)</f>
        <v>0.02</v>
      </c>
      <c r="L247" s="37" cm="1">
        <f t="array" ref="L247">Common_InputFunctions.Utility_DisplayArrayInTable(Common_SourceData.Common_SourceData_MCFTemperatureZone_Data(),Table_SourceData_Common_MCFTemperatureZone[[#Headers],[Temperature zone]],0)</f>
        <v>0.03</v>
      </c>
      <c r="M247" s="37" cm="1">
        <f t="array" ref="M247">Common_InputFunctions.Utility_DisplayArrayInTable(Common_SourceData.Common_SourceData_MCFTemperatureZone_Data(),Table_SourceData_Common_MCFTemperatureZone[[#Headers],[Temperature zone]],0)</f>
        <v>0.04</v>
      </c>
      <c r="N247" s="37" cm="1">
        <f t="array" ref="N247">Common_InputFunctions.Utility_DisplayArrayInTable(Common_SourceData.Common_SourceData_MCFTemperatureZone_Data(),Table_SourceData_Common_MCFTemperatureZone[[#Headers],[Temperature zone]],0)</f>
        <v>1.4999999999999999E-2</v>
      </c>
      <c r="O247" s="37" cm="1">
        <f t="array" ref="O247">Common_InputFunctions.Utility_DisplayArrayInTable(Common_SourceData.Common_SourceData_MCFTemperatureZone_Data(),Table_SourceData_Common_MCFTemperatureZone[[#Headers],[Temperature zone]],0)</f>
        <v>1.4999999999999999E-2</v>
      </c>
      <c r="P247" s="37" cm="1">
        <f t="array" ref="P247">Common_InputFunctions.Utility_DisplayArrayInTable(Common_SourceData.Common_SourceData_MCFTemperatureZone_Data(),Table_SourceData_Common_MCFTemperatureZone[[#Headers],[Temperature zone]],0)</f>
        <v>0</v>
      </c>
      <c r="Q247" s="37" cm="1">
        <f t="array" ref="Q247">Common_InputFunctions.Utility_DisplayArrayInTable(Common_SourceData.Common_SourceData_MCFTemperatureZone_Data(),Table_SourceData_Common_MCFTemperatureZone[[#Headers],[Temperature zone]],0)</f>
        <v>0</v>
      </c>
      <c r="R247" s="37" cm="1">
        <f t="array" ref="R247">Common_InputFunctions.Utility_DisplayArrayInTable(Common_SourceData.Common_SourceData_MCFTemperatureZone_Data(),Table_SourceData_Common_MCFTemperatureZone[[#Headers],[Temperature zone]],0)</f>
        <v>4.7000000000000002E-3</v>
      </c>
      <c r="S247" s="37" cm="1">
        <f t="array" ref="S247">Common_InputFunctions.Utility_DisplayArrayInTable(Common_SourceData.Common_SourceData_MCFTemperatureZone_Data(),Table_SourceData_Common_MCFTemperatureZone[[#Headers],[Temperature zone]],0)</f>
        <v>25</v>
      </c>
    </row>
    <row r="248" spans="4:19" x14ac:dyDescent="0.25">
      <c r="D248" s="1" t="str" cm="1">
        <f t="array" ref="D248">Common_InputFunctions.Utility_DisplayArrayInTable(Common_SourceData.Common_SourceData_MCFTemperatureZone_Data(),Table_SourceData_Common_MCFTemperatureZone[[#Headers],[Temperature zone]],0)</f>
        <v>Warm</v>
      </c>
      <c r="E248" s="37" cm="1">
        <f t="array" ref="E248">Common_InputFunctions.Utility_DisplayArrayInTable(Common_SourceData.Common_SourceData_MCFTemperatureZone_Data(),Table_SourceData_Common_MCFTemperatureZone[[#Headers],[Temperature zone]],0)</f>
        <v>26</v>
      </c>
      <c r="F248" s="37" cm="1">
        <f t="array" ref="F248">Common_InputFunctions.Utility_DisplayArrayInTable(Common_SourceData.Common_SourceData_MCFTemperatureZone_Data(),Table_SourceData_Common_MCFTemperatureZone[[#Headers],[Temperature zone]],0)</f>
        <v>0.79</v>
      </c>
      <c r="G248" s="37" cm="1">
        <f t="array" ref="G248">Common_InputFunctions.Utility_DisplayArrayInTable(Common_SourceData.Common_SourceData_MCFTemperatureZone_Data(),Table_SourceData_Common_MCFTemperatureZone[[#Headers],[Temperature zone]],0)</f>
        <v>0.1</v>
      </c>
      <c r="H248" s="37" cm="1">
        <f t="array" ref="H248">Common_InputFunctions.Utility_DisplayArrayInTable(Common_SourceData.Common_SourceData_MCFTemperatureZone_Data(),Table_SourceData_Common_MCFTemperatureZone[[#Headers],[Temperature zone]],0)</f>
        <v>0.44</v>
      </c>
      <c r="I248" s="37" cm="1">
        <f t="array" ref="I248">Common_InputFunctions.Utility_DisplayArrayInTable(Common_SourceData.Common_SourceData_MCFTemperatureZone_Data(),Table_SourceData_Common_MCFTemperatureZone[[#Headers],[Temperature zone]],0)</f>
        <v>0.01</v>
      </c>
      <c r="J248" s="37" cm="1">
        <f t="array" ref="J248">Common_InputFunctions.Utility_DisplayArrayInTable(Common_SourceData.Common_SourceData_MCFTemperatureZone_Data(),Table_SourceData_Common_MCFTemperatureZone[[#Headers],[Temperature zone]],0)</f>
        <v>1.4999999999999999E-2</v>
      </c>
      <c r="K248" s="37" cm="1">
        <f t="array" ref="K248">Common_InputFunctions.Utility_DisplayArrayInTable(Common_SourceData.Common_SourceData_MCFTemperatureZone_Data(),Table_SourceData_Common_MCFTemperatureZone[[#Headers],[Temperature zone]],0)</f>
        <v>0.02</v>
      </c>
      <c r="L248" s="37" cm="1">
        <f t="array" ref="L248">Common_InputFunctions.Utility_DisplayArrayInTable(Common_SourceData.Common_SourceData_MCFTemperatureZone_Data(),Table_SourceData_Common_MCFTemperatureZone[[#Headers],[Temperature zone]],0)</f>
        <v>0.03</v>
      </c>
      <c r="M248" s="37" cm="1">
        <f t="array" ref="M248">Common_InputFunctions.Utility_DisplayArrayInTable(Common_SourceData.Common_SourceData_MCFTemperatureZone_Data(),Table_SourceData_Common_MCFTemperatureZone[[#Headers],[Temperature zone]],0)</f>
        <v>0.04</v>
      </c>
      <c r="N248" s="37" cm="1">
        <f t="array" ref="N248">Common_InputFunctions.Utility_DisplayArrayInTable(Common_SourceData.Common_SourceData_MCFTemperatureZone_Data(),Table_SourceData_Common_MCFTemperatureZone[[#Headers],[Temperature zone]],0)</f>
        <v>1.4999999999999999E-2</v>
      </c>
      <c r="O248" s="37" cm="1">
        <f t="array" ref="O248">Common_InputFunctions.Utility_DisplayArrayInTable(Common_SourceData.Common_SourceData_MCFTemperatureZone_Data(),Table_SourceData_Common_MCFTemperatureZone[[#Headers],[Temperature zone]],0)</f>
        <v>1.4999999999999999E-2</v>
      </c>
      <c r="P248" s="37" cm="1">
        <f t="array" ref="P248">Common_InputFunctions.Utility_DisplayArrayInTable(Common_SourceData.Common_SourceData_MCFTemperatureZone_Data(),Table_SourceData_Common_MCFTemperatureZone[[#Headers],[Temperature zone]],0)</f>
        <v>0</v>
      </c>
      <c r="Q248" s="37" cm="1">
        <f t="array" ref="Q248">Common_InputFunctions.Utility_DisplayArrayInTable(Common_SourceData.Common_SourceData_MCFTemperatureZone_Data(),Table_SourceData_Common_MCFTemperatureZone[[#Headers],[Temperature zone]],0)</f>
        <v>0</v>
      </c>
      <c r="R248" s="37" cm="1">
        <f t="array" ref="R248">Common_InputFunctions.Utility_DisplayArrayInTable(Common_SourceData.Common_SourceData_MCFTemperatureZone_Data(),Table_SourceData_Common_MCFTemperatureZone[[#Headers],[Temperature zone]],0)</f>
        <v>4.7000000000000002E-3</v>
      </c>
      <c r="S248" s="37" cm="1">
        <f t="array" ref="S248">Common_InputFunctions.Utility_DisplayArrayInTable(Common_SourceData.Common_SourceData_MCFTemperatureZone_Data(),Table_SourceData_Common_MCFTemperatureZone[[#Headers],[Temperature zone]],0)</f>
        <v>26</v>
      </c>
    </row>
    <row r="249" spans="4:19" x14ac:dyDescent="0.25">
      <c r="D249" s="1" t="str" cm="1">
        <f t="array" ref="D249">Common_InputFunctions.Utility_DisplayArrayInTable(Common_SourceData.Common_SourceData_MCFTemperatureZone_Data(),Table_SourceData_Common_MCFTemperatureZone[[#Headers],[Temperature zone]],0)</f>
        <v>Warm</v>
      </c>
      <c r="E249" s="37" cm="1">
        <f t="array" ref="E249">Common_InputFunctions.Utility_DisplayArrayInTable(Common_SourceData.Common_SourceData_MCFTemperatureZone_Data(),Table_SourceData_Common_MCFTemperatureZone[[#Headers],[Temperature zone]],0)</f>
        <v>27</v>
      </c>
      <c r="F249" s="37" cm="1">
        <f t="array" ref="F249">Common_InputFunctions.Utility_DisplayArrayInTable(Common_SourceData.Common_SourceData_MCFTemperatureZone_Data(),Table_SourceData_Common_MCFTemperatureZone[[#Headers],[Temperature zone]],0)</f>
        <v>0.8</v>
      </c>
      <c r="G249" s="37" cm="1">
        <f t="array" ref="G249">Common_InputFunctions.Utility_DisplayArrayInTable(Common_SourceData.Common_SourceData_MCFTemperatureZone_Data(),Table_SourceData_Common_MCFTemperatureZone[[#Headers],[Temperature zone]],0)</f>
        <v>0.1</v>
      </c>
      <c r="H249" s="37" cm="1">
        <f t="array" ref="H249">Common_InputFunctions.Utility_DisplayArrayInTable(Common_SourceData.Common_SourceData_MCFTemperatureZone_Data(),Table_SourceData_Common_MCFTemperatureZone[[#Headers],[Temperature zone]],0)</f>
        <v>0.48</v>
      </c>
      <c r="I249" s="37" cm="1">
        <f t="array" ref="I249">Common_InputFunctions.Utility_DisplayArrayInTable(Common_SourceData.Common_SourceData_MCFTemperatureZone_Data(),Table_SourceData_Common_MCFTemperatureZone[[#Headers],[Temperature zone]],0)</f>
        <v>0.01</v>
      </c>
      <c r="J249" s="37" cm="1">
        <f t="array" ref="J249">Common_InputFunctions.Utility_DisplayArrayInTable(Common_SourceData.Common_SourceData_MCFTemperatureZone_Data(),Table_SourceData_Common_MCFTemperatureZone[[#Headers],[Temperature zone]],0)</f>
        <v>1.4999999999999999E-2</v>
      </c>
      <c r="K249" s="37" cm="1">
        <f t="array" ref="K249">Common_InputFunctions.Utility_DisplayArrayInTable(Common_SourceData.Common_SourceData_MCFTemperatureZone_Data(),Table_SourceData_Common_MCFTemperatureZone[[#Headers],[Temperature zone]],0)</f>
        <v>0.02</v>
      </c>
      <c r="L249" s="37" cm="1">
        <f t="array" ref="L249">Common_InputFunctions.Utility_DisplayArrayInTable(Common_SourceData.Common_SourceData_MCFTemperatureZone_Data(),Table_SourceData_Common_MCFTemperatureZone[[#Headers],[Temperature zone]],0)</f>
        <v>0.03</v>
      </c>
      <c r="M249" s="37" cm="1">
        <f t="array" ref="M249">Common_InputFunctions.Utility_DisplayArrayInTable(Common_SourceData.Common_SourceData_MCFTemperatureZone_Data(),Table_SourceData_Common_MCFTemperatureZone[[#Headers],[Temperature zone]],0)</f>
        <v>0.04</v>
      </c>
      <c r="N249" s="37" cm="1">
        <f t="array" ref="N249">Common_InputFunctions.Utility_DisplayArrayInTable(Common_SourceData.Common_SourceData_MCFTemperatureZone_Data(),Table_SourceData_Common_MCFTemperatureZone[[#Headers],[Temperature zone]],0)</f>
        <v>1.4999999999999999E-2</v>
      </c>
      <c r="O249" s="37" cm="1">
        <f t="array" ref="O249">Common_InputFunctions.Utility_DisplayArrayInTable(Common_SourceData.Common_SourceData_MCFTemperatureZone_Data(),Table_SourceData_Common_MCFTemperatureZone[[#Headers],[Temperature zone]],0)</f>
        <v>1.4999999999999999E-2</v>
      </c>
      <c r="P249" s="37" cm="1">
        <f t="array" ref="P249">Common_InputFunctions.Utility_DisplayArrayInTable(Common_SourceData.Common_SourceData_MCFTemperatureZone_Data(),Table_SourceData_Common_MCFTemperatureZone[[#Headers],[Temperature zone]],0)</f>
        <v>0</v>
      </c>
      <c r="Q249" s="37" cm="1">
        <f t="array" ref="Q249">Common_InputFunctions.Utility_DisplayArrayInTable(Common_SourceData.Common_SourceData_MCFTemperatureZone_Data(),Table_SourceData_Common_MCFTemperatureZone[[#Headers],[Temperature zone]],0)</f>
        <v>0</v>
      </c>
      <c r="R249" s="37" cm="1">
        <f t="array" ref="R249">Common_InputFunctions.Utility_DisplayArrayInTable(Common_SourceData.Common_SourceData_MCFTemperatureZone_Data(),Table_SourceData_Common_MCFTemperatureZone[[#Headers],[Temperature zone]],0)</f>
        <v>4.7000000000000002E-3</v>
      </c>
      <c r="S249" s="37" cm="1">
        <f t="array" ref="S249">Common_InputFunctions.Utility_DisplayArrayInTable(Common_SourceData.Common_SourceData_MCFTemperatureZone_Data(),Table_SourceData_Common_MCFTemperatureZone[[#Headers],[Temperature zone]],0)</f>
        <v>27</v>
      </c>
    </row>
    <row r="250" spans="4:19" x14ac:dyDescent="0.25">
      <c r="D250" s="1" t="str" cm="1">
        <f t="array" ref="D250">Common_InputFunctions.Utility_DisplayArrayInTable(Common_SourceData.Common_SourceData_MCFTemperatureZone_Data(),Table_SourceData_Common_MCFTemperatureZone[[#Headers],[Temperature zone]],0)</f>
        <v>Warm</v>
      </c>
      <c r="E250" s="37" t="str" cm="1">
        <f t="array" ref="E250">Common_InputFunctions.Utility_DisplayArrayInTable(Common_SourceData.Common_SourceData_MCFTemperatureZone_Data(),Table_SourceData_Common_MCFTemperatureZone[[#Headers],[Temperature zone]],0)</f>
        <v>≥28</v>
      </c>
      <c r="F250" s="37" cm="1">
        <f t="array" ref="F250">Common_InputFunctions.Utility_DisplayArrayInTable(Common_SourceData.Common_SourceData_MCFTemperatureZone_Data(),Table_SourceData_Common_MCFTemperatureZone[[#Headers],[Temperature zone]],0)</f>
        <v>0.8</v>
      </c>
      <c r="G250" s="37" cm="1">
        <f t="array" ref="G250">Common_InputFunctions.Utility_DisplayArrayInTable(Common_SourceData.Common_SourceData_MCFTemperatureZone_Data(),Table_SourceData_Common_MCFTemperatureZone[[#Headers],[Temperature zone]],0)</f>
        <v>0.1</v>
      </c>
      <c r="H250" s="37" cm="1">
        <f t="array" ref="H250">Common_InputFunctions.Utility_DisplayArrayInTable(Common_SourceData.Common_SourceData_MCFTemperatureZone_Data(),Table_SourceData_Common_MCFTemperatureZone[[#Headers],[Temperature zone]],0)</f>
        <v>0.5</v>
      </c>
      <c r="I250" s="37" cm="1">
        <f t="array" ref="I250">Common_InputFunctions.Utility_DisplayArrayInTable(Common_SourceData.Common_SourceData_MCFTemperatureZone_Data(),Table_SourceData_Common_MCFTemperatureZone[[#Headers],[Temperature zone]],0)</f>
        <v>0.01</v>
      </c>
      <c r="J250" s="37" cm="1">
        <f t="array" ref="J250">Common_InputFunctions.Utility_DisplayArrayInTable(Common_SourceData.Common_SourceData_MCFTemperatureZone_Data(),Table_SourceData_Common_MCFTemperatureZone[[#Headers],[Temperature zone]],0)</f>
        <v>1.4999999999999999E-2</v>
      </c>
      <c r="K250" s="37" cm="1">
        <f t="array" ref="K250">Common_InputFunctions.Utility_DisplayArrayInTable(Common_SourceData.Common_SourceData_MCFTemperatureZone_Data(),Table_SourceData_Common_MCFTemperatureZone[[#Headers],[Temperature zone]],0)</f>
        <v>0.02</v>
      </c>
      <c r="L250" s="37" cm="1">
        <f t="array" ref="L250">Common_InputFunctions.Utility_DisplayArrayInTable(Common_SourceData.Common_SourceData_MCFTemperatureZone_Data(),Table_SourceData_Common_MCFTemperatureZone[[#Headers],[Temperature zone]],0)</f>
        <v>0.03</v>
      </c>
      <c r="M250" s="37" cm="1">
        <f t="array" ref="M250">Common_InputFunctions.Utility_DisplayArrayInTable(Common_SourceData.Common_SourceData_MCFTemperatureZone_Data(),Table_SourceData_Common_MCFTemperatureZone[[#Headers],[Temperature zone]],0)</f>
        <v>0.04</v>
      </c>
      <c r="N250" s="37" cm="1">
        <f t="array" ref="N250">Common_InputFunctions.Utility_DisplayArrayInTable(Common_SourceData.Common_SourceData_MCFTemperatureZone_Data(),Table_SourceData_Common_MCFTemperatureZone[[#Headers],[Temperature zone]],0)</f>
        <v>1.4999999999999999E-2</v>
      </c>
      <c r="O250" s="37" cm="1">
        <f t="array" ref="O250">Common_InputFunctions.Utility_DisplayArrayInTable(Common_SourceData.Common_SourceData_MCFTemperatureZone_Data(),Table_SourceData_Common_MCFTemperatureZone[[#Headers],[Temperature zone]],0)</f>
        <v>1.4999999999999999E-2</v>
      </c>
      <c r="P250" s="37" cm="1">
        <f t="array" ref="P250">Common_InputFunctions.Utility_DisplayArrayInTable(Common_SourceData.Common_SourceData_MCFTemperatureZone_Data(),Table_SourceData_Common_MCFTemperatureZone[[#Headers],[Temperature zone]],0)</f>
        <v>0</v>
      </c>
      <c r="Q250" s="37" cm="1">
        <f t="array" ref="Q250">Common_InputFunctions.Utility_DisplayArrayInTable(Common_SourceData.Common_SourceData_MCFTemperatureZone_Data(),Table_SourceData_Common_MCFTemperatureZone[[#Headers],[Temperature zone]],0)</f>
        <v>0</v>
      </c>
      <c r="R250" s="37" cm="1">
        <f t="array" ref="R250">Common_InputFunctions.Utility_DisplayArrayInTable(Common_SourceData.Common_SourceData_MCFTemperatureZone_Data(),Table_SourceData_Common_MCFTemperatureZone[[#Headers],[Temperature zone]],0)</f>
        <v>4.7000000000000002E-3</v>
      </c>
      <c r="S250" s="37" cm="1">
        <f t="array" ref="S250">Common_InputFunctions.Utility_DisplayArrayInTable(Common_SourceData.Common_SourceData_MCFTemperatureZone_Data(),Table_SourceData_Common_MCFTemperatureZone[[#Headers],[Temperature zone]],0)</f>
        <v>28</v>
      </c>
    </row>
    <row r="253" spans="4:19" ht="23.25" x14ac:dyDescent="0.25">
      <c r="D253" s="6" t="str" cm="1">
        <f t="array" ref="D253">Common_SourceData.Common_SourceData_EFOrganicFertiliserAndCropResidues_Title()</f>
        <v>Emission factor for organic fertiliser and crop residues returned to the soil</v>
      </c>
    </row>
    <row r="254" spans="4:19" x14ac:dyDescent="0.25">
      <c r="D254" s="5" t="str" cm="1">
        <f t="array" ref="D254">Common_SourceData.Common_SourceData_EFOrganicFertiliserAndCropResidues_Source()</f>
        <v>VEERG 2026: Table A.2.1.4</v>
      </c>
    </row>
    <row r="255" spans="4:19" x14ac:dyDescent="0.25">
      <c r="D255" s="1" t="str" cm="1">
        <f t="array" ref="D255">Common_SourceData.Common_SourceData_EFOrganicFertiliserAndCropResidues_Variable()</f>
        <v>EFNi &amp; EFN2Oi</v>
      </c>
    </row>
    <row r="256" spans="4:19" x14ac:dyDescent="0.25">
      <c r="D256" s="52" t="str" cm="1">
        <f t="array" ref="D256">Common_SourceData.Common_SourceData_EFOrganicFertiliserAndCropResidues_Unit()</f>
        <v>kg N2O - N / kg N</v>
      </c>
    </row>
    <row r="257" spans="4:5" x14ac:dyDescent="0.25">
      <c r="D257" s="37" t="s">
        <v>120</v>
      </c>
      <c r="E257" s="37" t="s">
        <v>121</v>
      </c>
    </row>
    <row r="258" spans="4:5" x14ac:dyDescent="0.25">
      <c r="D258" s="37" t="str" cm="1">
        <f t="array" ref="D258">Common_InputFunctions.Utility_DisplayArrayInTable(Common_SourceData.Common_SourceData_EFOrganicFertiliserAndCropResidues_Data(), Table_SourceData_Common_EFOrganicFertCropResidues[[#Headers],[Climate Zone]], 0)</f>
        <v>Wet climate zone</v>
      </c>
      <c r="E258" s="37" cm="1">
        <f t="array" ref="E258">Common_InputFunctions.Utility_DisplayArrayInTable(Common_SourceData.Common_SourceData_EFOrganicFertiliserAndCropResidues_Data(), Table_SourceData_Common_EFOrganicFertCropResidues[[#Headers],[Climate Zone]], 0)</f>
        <v>6.0000000000000001E-3</v>
      </c>
    </row>
    <row r="259" spans="4:5" x14ac:dyDescent="0.25">
      <c r="D259" s="1" t="str" cm="1">
        <f t="array" ref="D259">Common_InputFunctions.Utility_DisplayArrayInTable(Common_SourceData.Common_SourceData_EFOrganicFertiliserAndCropResidues_Data(), Table_SourceData_Common_EFOrganicFertCropResidues[[#Headers],[Climate Zone]], 0)</f>
        <v>Dry climate zone</v>
      </c>
      <c r="E259" s="37" cm="1">
        <f t="array" ref="E259">Common_InputFunctions.Utility_DisplayArrayInTable(Common_SourceData.Common_SourceData_EFOrganicFertiliserAndCropResidues_Data(), Table_SourceData_Common_EFOrganicFertCropResidues[[#Headers],[Climate Zone]], 0)</f>
        <v>5.0000000000000001E-3</v>
      </c>
    </row>
  </sheetData>
  <pageMargins left="0.7" right="0.7" top="0.75" bottom="0.75" header="0.3" footer="0.3"/>
  <pageSetup paperSize="9" orientation="portrait" r:id="rId1"/>
  <tableParts count="17">
    <tablePart r:id="rId2"/>
    <tablePart r:id="rId3"/>
    <tablePart r:id="rId4"/>
    <tablePart r:id="rId5"/>
    <tablePart r:id="rId6"/>
    <tablePart r:id="rId7"/>
    <tablePart r:id="rId8"/>
    <tablePart r:id="rId9"/>
    <tablePart r:id="rId10"/>
    <tablePart r:id="rId11"/>
    <tablePart r:id="rId12"/>
    <tablePart r:id="rId13"/>
    <tablePart r:id="rId14"/>
    <tablePart r:id="rId15"/>
    <tablePart r:id="rId16"/>
    <tablePart r:id="rId17"/>
    <tablePart r:id="rId18"/>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ACB660BB23738846A00119B5826AC974" ma:contentTypeVersion="11" ma:contentTypeDescription="Create a new document." ma:contentTypeScope="" ma:versionID="3e3613359d4ae7f6bda6c57be713f101">
  <xsd:schema xmlns:xsd="http://www.w3.org/2001/XMLSchema" xmlns:xs="http://www.w3.org/2001/XMLSchema" xmlns:p="http://schemas.microsoft.com/office/2006/metadata/properties" xmlns:ns2="7291119c-fce9-4911-96ae-b800be5dccd8" xmlns:ns3="09eef6d6-daa8-4301-8f9f-b1ec38079286" targetNamespace="http://schemas.microsoft.com/office/2006/metadata/properties" ma:root="true" ma:fieldsID="87491bfad7f11426ad96486e70428b3e" ns2:_="" ns3:_="">
    <xsd:import namespace="7291119c-fce9-4911-96ae-b800be5dccd8"/>
    <xsd:import namespace="09eef6d6-daa8-4301-8f9f-b1ec38079286"/>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291119c-fce9-4911-96ae-b800be5dccd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db163b37-248a-4bdb-8038-6e8df1cc47ab"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9eef6d6-daa8-4301-8f9f-b1ec38079286"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152b9829-e58f-4759-907b-e4bc75f6ae89}" ma:internalName="TaxCatchAll" ma:showField="CatchAllData" ma:web="09eef6d6-daa8-4301-8f9f-b1ec3807928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TaxCatchAll xmlns="09eef6d6-daa8-4301-8f9f-b1ec38079286" xsi:nil="true"/>
    <lcf76f155ced4ddcb4097134ff3c332f xmlns="7291119c-fce9-4911-96ae-b800be5dccd8">
      <Terms xmlns="http://schemas.microsoft.com/office/infopath/2007/PartnerControls"/>
    </lcf76f155ced4ddcb4097134ff3c332f>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AFEJSONBlob xmlns="http://schemas.advancedformulaenvironment.officeapps.live.com/afejsonblob/1.0">ewAiAHMAYwBoAGUAbQBhACIAOgAiAGgAdAB0AHAAOgAvAC8AcwBjAGgAZQBtAGEAcwAuAGEAZAB2AGEAbgBjAGUAZABmAG8AcgBtAHUAbABhAGUAbgB2AGkAcgBvAG4AbQBlAG4AdAAuAG8AZgBmAGkAYwBlAGEAcABwAHMALgBsAGkAdgBlAC4AYwBvAG0ALwBhAGYAZQBwAHIAbwBqAGUAYwB0AHMALwAwAC4AMgAiACwAIgBmAGkAbABlAHMAIgA6AFsAewAiAHAAYQB0AGgAIgA6ACIALwBwAHIAbwBqAGUAYwB0AHMALwBXAG8AcgBrAGIAbwBvAGsAIgAsACIAdABlAHgAdAAiADoAIgAvAC8AIAAtAC0ALQAgAFcAbwByAGsAYgBvAG8AawAgAG0AbwBkAHUAbABlACAALQAtAC0AXABuAC8ALwAgAEEAIABmAGkAbABlACAAbwBmACAAbgBhAG0AZQAgAGQAZQBmAGkAbgBpAHQAaQBvAG4AcwAgAG8AZgAgAHQAaABlACAAZgBvAHIAbQA6AFwAbgAvAC8AIAAgACAAIABuAGEAbQBlACAAPQAgAGQAZQBmAGkAbgBpAHQAaQBvAG4AOwBcAG4AIgB9ACwAewAiAHAAYQB0AGgAIgA6ACIALwBwAHIAbwBqAGUAYwB0AHMALwBDAG8AbQBtAG8AbgBfAFMAbwB1AHIAYwBlAEQAYQB0AGEAIgAsACIAdABlAHgAdAAiADoAIgAvACoAXABuAD0APQA9AD0APQA9AD0APQA9AD0APQA9AD0APQA9AD0APQA9AD0APQA9AD0APQA9AD0APQA9AD0APQA9AD0APQA9AD0APQA9AD0APQA9AD0APQA9AD0APQA9AD0APQA9AD0APQA9AD0APQA9AD0APQA9AD0APQA9AD0APQA9AD0APQA9AD0APQA9AD0APQA9AD0APQA9AD0AXABuAD0APQA9AD0APQA9AD0APQA9AD0APQA9AD0APQA9AD0APQA9AD0APQA9AD0APQA9AD0APQA9AD0APQA9AD0APQA9AD0APQA9AD0APQA9AD0APQA9AD0APQA9AD0APQA9AD0APQA9AD0APQA9AD0APQA9AD0APQA9AD0APQA9AD0APQA9AD0APQA9AD0APQA9AD0APQA9AD0AXABuAFMAbwB1AHIAYwBlACAAZABhAHQAYQAgAHQAaABhAHQAIABpAHMAIABjAG8AbQBtAG8AbgAgAGEAYwByAG8AcwBzACAAYQBsAGwAIABlAG4AdABlAHIAcAByAGkAcwBlACAAdAB5AHAAZQBzAFwAbgBFAHgAYwBlAGwAIABtAG8AZAB1AGwAZQAgAG4AYQBtAGUAOgAgAEMAbwBtAG0AbwBuAF8AUwBvAHUAcgBjAGUARABhAHQAYQBcAG4APQA9AD0APQA9AD0APQA9AD0APQA9AD0APQA9AD0APQA9AD0APQA9AD0APQA9AD0APQA9AD0APQA9AD0APQA9AD0APQA9AD0APQA9AD0APQA9AD0APQA9AD0APQA9AD0APQA9AD0APQA9AD0APQA9AD0APQA9AD0APQA9AD0APQA9AD0APQA9AD0APQA9AD0APQA9AD0APQBcAG4APQA9AD0APQA9AD0APQA9AD0APQA9AD0APQA9AD0APQA9AD0APQA9AD0APQA9AD0APQA9AD0APQA9AD0APQA9AD0APQA9AD0APQA9AD0APQA9AD0APQA9AD0APQA9AD0APQA9AD0APQA9AD0APQA9AD0APQA9AD0APQA9AD0APQA9AD0APQA9AD0APQA9AD0APQA9AD0APQBcAG4AKgAvAFwAbgBcAG4ALwAqAFwAbgA9AD0APQA9AD0APQA9AD0APQA9AD0APQA9AD0APQA9AD0APQA9AD0APQA9AD0APQA9AD0APQA9AD0APQA9AD0APQA9AD0APQA9AD0AXABuAD0APQA9AD0APQA9AD0APQA9AD0APQA9AD0APQA9AD0APQA9AD0APQA9AD0APQA9AD0APQA9AD0APQA9AD0APQA9AD0APQA9AD0APQBcAG4AUwBvAHUAcgBjAGUAOgAgAE4AYQB0AGkAbwBuAGEAbAAgAEkAbgB2AGUAbgB0AG8AcgB5ACAAUgBlAHAAbwByAHQAIAAyADAAMgAzACAAVgBvAGwAdQBtAGUAIAAxAFwAbgBOAEkAUgBfADIAMAAyADMAXwBWAG8AbAAxAFwAbgA9AD0APQA9AD0APQA9AD0APQA9AD0APQA9AD0APQA9AD0APQA9AD0APQA9AD0APQA9AD0APQA9AD0APQA9AD0APQA9AD0APQA9AD0AXABuAD0APQA9AD0APQA9AD0APQA9AD0APQA9AD0APQA9AD0APQA9AD0APQA9AD0APQA9AD0APQA9AD0APQA9AD0APQA9AD0APQA9AD0APQBcAG4AKgAvAFwAbgBcAG4ALwAqACAAXABuAC0ALQAtAC0ALQAtAC0ALQAtAC0ALQAtAC0ALQAtAC0ALQAtAC0ALQAtAC0ALQAtAC0ALQAtAC0ALQAtAC0ALQAtAC0ALQAtAC0ALQBcAG4AQwBvAG0AbQBvAG4AXwBTAG8AdQByAGMAZQBEAGEAdABhAF8ARABlAG4AcwBpAHQAeQBPAGYATQBlAHQAaABhAG4AZQBcAG4AcAAgAD0AIABkAGUAbgBzAGkAdAB5ACAAbwBmACAAbQBlAHQAaABhAG4AZQAgACgAMAAuADYANwA4ADQAIABrAGcALwBtADMAKQBcAG4AVABhAGsAZQBuACAAZgByAG8AbQAgAHQAaABlACAATgBhAHQAaQBvAG4AYQBsACAARwByAGUAZQBuAGgAbwB1AHMAZQAgAGEAbgBkACAARQBuAGUAcgBnAHkAIABSAGUAcABvAHIAdABpAG4AZwAgAFwAbgAoAE0AZQBhAHMAdQByAGUAbQBlAG4AdAApACAARABlAHQAZQByAG0AaQBuAGEAdABpAG8AbgAgADIAMAAwADgAXABuAC0ALQAtAC0ALQAtAC0ALQAtAC0ALQAtAC0ALQAtAC0ALQAtAC0ALQAtAC0ALQAtAC0ALQAtAC0ALQAtAC0ALQAtAC0ALQAtAC0ALQBcAG4AKgAvAFwAbgBcAG4AQwBvAG0AbQBvAG4AXwBTAG8AdQByAGMAZQBEAGEAdABhAF8ARABlAG4AcwBpAHQAeQBPAGYATQBlAHQAaABhAG4AZQBfAFQAaQB0AGwAZQBcAG4AIAAgAD0ATABBAE0AQgBEAEEAKABcACIAcAAgAD0AIABkAGUAbgBzAGkAdAB5ACAAbwBmACAAbQBlAHQAaABhAG4AZQBcACIAKQA7AFwAbgBcAG4AQwBvAG0AbQBvAG4AXwBTAG8AdQByAGMAZQBEAGEAdABhAF8ARABlAG4AcwBpAHQAeQBPAGYATQBlAHQAaABhAG4AZQBfAFUAbgBpAHQAXABuACAAIAA9AEwAQQBNAEIARABBACgAXAAiAGsAZwAvAG0AMwBcACIAKQA7AFwAbgBcAG4AQwBvAG0AbQBvAG4AXwBTAG8AdQByAGMAZQBEAGEAdABhAF8ARABlAG4AcwBpAHQAeQBPAGYATQBlAHQAaABhAG4AZQBfAFMAbwB1AHIAYwBlAFwAbgAgACAAPQBMAEEATQBCAEQAQQAoAFwAIgBOAGEAdABpAG8AbgBhAGwAIABJAG4AdgBlAG4AdABvAHIAeQAgAFIAZQBwAG8AcgB0ACAAMgAwADIAMwAgAFYAbwBsAHUAbQBlACAAMQA6ACAARQBxAHUAYQB0AGkAbwBuAHMAIAAzAC4AQgAuADEAYQBfADIALAAgADMALgBCAC4AMQBjAF8AMgAsACAAMwAuAEIALgAzAF8AMQAsACAAMwAuAEIALgA0AGcAXwAyAFwAIgApADsAXABuAFwAbgBDAG8AbQBtAG8AbgBfAFMAbwB1AHIAYwBlAEQAYQB0AGEAXwBEAGUAbgBzAGkAdAB5AE8AZgBNAGUAdABoAGEAbgBlAF8ARABhAHQAYQBcAG4AIAAgAD0ATABBAE0AQgBEAEEAKAAwAC4ANgA3ADgANAApADsAXABuAFwAbgAvACoAIABcAG4ALQAtAC0ALQAtAC0ALQAtAC0ALQAtAC0ALQAtAC0ALQAtAC0ALQAtAC0ALQAtAC0ALQAtAC0ALQAtAC0ALQAtAC0ALQAtAC0ALQAtAFwAbgBDAG8AbQBtAG8AbgBfAFMAbwB1AHIAYwBlAEQAYQB0AGEAXwBDAG8AbgB2AGUAcgB0AE4AMgBvAEUAbABlAG0AZQBuAHQAYQBsAFQAbwBNAG8AbABlAGMAdQBsAGEAcgBDAGcAXABuAEMAZwAgAD0AIAA0ADQALwAyADgAIABmAGEAYwB0AG8AcgAgAHQAbwAgAGMAbwBuAHYAZQByAHQAIABlAGwAZQBtAGUAbgB0AGEAbAAgAG0AYQBzAHMAIABvAGYAIABOADIATwAgAHQAbwAgAG0AbwBsAGUAYwB1AGwAYQByACAAbQBhAHMAcwBcAG4ALQAtAC0ALQAtAC0ALQAtAC0ALQAtAC0ALQAtAC0ALQAtAC0ALQAtAC0ALQAtAC0ALQAtAC0ALQAtAC0ALQAtAC0ALQAtAC0ALQAtAFwAbgAqAC8AXABuAFwAbgBDAG8AbQBtAG8AbgBfAFMAbwB1AHIAYwBlAEQAYQB0AGEAXwBDAG8AbgB2AGUAcgB0AE4AMgBvAEUAbABlAG0AZQBuAHQAYQBsAFQAbwBNAG8AbABlAGMAdQBsAGEAcgBDAGcAXwBUAGkAdABsAGUAXABuACAAIAA9AEwAQQBNAEIARABBACgAXAAiAEYAYQBjAHQAbwByACAAdABvACAAYwBvAG4AdgBlAHIAdAAgAGUAbABlAG0AZQBuAHQAYQBsACAAbQBhAHMAcwAgAG8AZgAgAE4AMgBPACAAdABvACAAbQBvAGwAZQBjAHUAbABhAHIAIABtAGEAcwBzAFwAIgApADsAXABuAFwAbgBDAG8AbQBtAG8AbgBfAFMAbwB1AHIAYwBlAEQAYQB0AGEAXwBDAG8AbgB2AGUAcgB0AE4AMgBvAEUAbABlAG0AZQBuAHQAYQBsAFQAbwBNAG8AbABlAGMAdQBsAGEAcgBDAGcAXwBWAGEAcgBpAGEAYgBsAGUAXABuACAAIAA9AEwAQQBNAEIARABBACgAXAAiAEMAZwBOADIATwBcACIAKQA7AFwAbgBcAG4AQwBvAG0AbQBvAG4AXwBTAG8AdQByAGMAZQBEAGEAdABhAF8AQwBvAG4AdgBlAHIAdABOADIAbwBFAGwAZQBtAGUAbgB0AGEAbABUAG8ATQBvAGwAZQBjAHUAbABhAHIAQwBnAF8AVQBuAGkAdABcAG4AIAAgAD0ATABBAE0AQgBEAEEAKABcACIAZgBhAGMAdABvAHIAXAAiACkAOwBcAG4AXABuAEMAbwBtAG0AbwBuAF8AUwBvAHUAcgBjAGUARABhAHQAYQBfAEMAbwBuAHYAZQByAHQATgAyAG8ARQBsAGUAbQBlAG4AdABhAGwAVABvAE0AbwBsAGUAYwB1AGwAYQByAEMAZwBfAFMAbwB1AHIAYwBlAFwAbgAgACAAPQBMAEEATQBCAEQAQQAoAFwAIgBOAGEAdABpAG8AbgBhAGwAIABJAG4AdgBlAG4AdABvAHIAeQAgAFIAZQBwAG8AcgB0ACAAMgAwADIAMwAgAFYAbwBsAHUAbQBlACAAMQBcACIAKQA7AFwAbgBcAG4AQwBvAG0AbQBvAG4AXwBTAG8AdQByAGMAZQBEAGEAdABhAF8AQwBvAG4AdgBlAHIAdABOADIAbwBFAGwAZQBtAGUAbgB0AGEAbABUAG8ATQBvAGwAZQBjAHUAbABhAHIAQwBnAF8ARABhAHQAYQBcAG4AIAAgAD0ATABBAE0AQgBEAEEAKAA0ADQALwAyADgAKQA7AFwAbgBcAG4ALwAqACAAXABuAC0ALQAtAC0ALQAtAC0ALQAtAC0ALQAtAC0ALQAtAC0ALQAtAC0ALQAtAC0ALQAtAC0ALQAtAC0ALQAtAC0ALQAtAC0ALQAtAC0ALQBcAG4AQwBvAG0AbQBvAG4AXwBTAG8AdQByAGMAZQBEAGEAdABhAF8AQwBvAG4AdgBlAHIAdABHAGEAcwBFAGwAZQBtAGUAbgB0AGEAbABUAG8ATQBvAGwAZQBjAHUAbABhAHIAXABuAEYAYQBjAHQAbwByACAAdABvACAAYwBvAG4AdgBlAHIAdAAgAGUAbABlAG0AZQBuAHQAYQBsACAAbQBhAHMAcwAgAG8AZgAgAGcAYQBzACAAdABvACAAbQBvAGwAZQBjAHUAbABhAHIAIABtAGEAcwBzAFwAbgAtAC0ALQAtAC0ALQAtAC0ALQAtAC0ALQAtAC0ALQAtAC0ALQAtAC0ALQAtAC0ALQAtAC0ALQAtAC0ALQAtAC0ALQAtAC0ALQAtAC0AXABuACoALwBcAG4AXABuAEMAbwBtAG0AbwBuAF8AUwBvAHUAcgBjAGUARABhAHQAYQBfAEMAbwBuAHYAZQByAHQARwBhAHMARQBsAGUAbQBlAG4AdABhAGwAVABvAE0AbwBsAGUAYwB1AGwAYQByAF8AVABpAHQAbABlAFwAbgAgACAAPQBMAEEATQBCAEQAQQAoAFwAIgBGAGEAYwB0AG8AcgAgAHQAbwAgAGMAbwBuAHYAZQByAHQAIABlAGwAZQBtAGUAbgB0AGEAbAAgAG0AYQBzAHMAIABvAGYAIABnAGEAcwAgAHQAbwAgAG0AbwBsAGUAYwB1AGwAYQByACAAbQBhAHMAcwBcACIAKQA7AFwAbgBcAG4AQwBvAG0AbQBvAG4AXwBTAG8AdQByAGMAZQBEAGEAdABhAF8AQwBvAG4AdgBlAHIAdABHAGEAcwBFAGwAZQBtAGUAbgB0AGEAbABUAG8ATQBvAGwAZQBjAHUAbABhAHIAXwBWAGEAcgBpAGEAYgBsAGUAXABuACAAIAA9AEwAQQBNAEIARABBACgAXAAiAEMAZwBcACIAKQA7AFwAbgBcAG4AQwBvAG0AbQBvAG4AXwBTAG8AdQByAGMAZQBEAGEAdABhAF8AQwBvAG4AdgBlAHIAdABHAGEAcwBFAGwAZQBtAGUAbgB0AGEAbABUAG8ATQBvAGwAZQBjAHUAbABhAHIAXwBVAG4AaQB0AFwAbgAgACAAPQBMAEEATQBCAEQAQQAoAFwAIgBmAGEAYwB0AG8AcgBcACIAKQA7AFwAbgBcAG4AQwBvAG0AbQBvAG4AXwBTAG8AdQByAGMAZQBEAGEAdABhAF8AQwBvAG4AdgBlAHIAdABHAGEAcwBFAGwAZQBtAGUAbgB0AGEAbABUAG8ATQBvAGwAZQBjAHUAbABhAHIAXwBTAG8AdQByAGMAZQBcAG4AIAAgAD0ATABBAE0AQgBEAEEAKABcACIAWABYAFgAWABYAFgAWABcACIAKQA7AFwAbgBcAG4AQwBvAG0AbQBvAG4AXwBTAG8AdQByAGMAZQBEAGEAdABhAF8AQwBvAG4AdgBlAHIAdABHAGEAcwBFAGwAZQBtAGUAbgB0AGEAbABUAG8ATQBvAGwAZQBjAHUAbABhAHIAXwBEAGEAdABhAFwAbgAgACAAPQBMAEEATQBCAEQAQQAoAFwAbgAgACAAIAAgAE0AQQBLAEUAQQBSAFIAQQBZACgAOAAsACAANAAsACAAXABuACAAIAAgACAAIAAgAEwAQQBNAEIARABBACgAcgAsAGMALAAgAFwAbgAgACAAIAAgACAAIAAgACAASQBOAEQARQBYACgAewBcAG4AIAAgACAAIAAgACAAIAAgACAAIABcACIARwBhAHMAXAAiACwAIABcACIAQwBvAG4AdgBlAHIAcwBpAG8AbgAgAGYAYQBjAHQAbwByAFwAIgAsACAAXAAiAEMAbwBuAHYAZQByAHMAaQBvAG4AIABmAGEAYwB0AG8AcgAgADEAXAAiACwAIABcACIAQwBvAG4AdgBlAHIAcwBpAG8AbgAgAGYAYQBjAHQAbwByACAAMgBcACIAOwBcAG4AIAAgACAAIAAgACAAIAAgACAAIABcACIAQwBPADIAXAAiACwAIABcACIANAA0AC8AMQAyAFwAIgAsACAANAA0ACwAIAAxADIAOwBcAG4AIAAgACAAIAAgACAAIAAgACAAIABcACIAQwBIADQAXAAiACwAIABcACIAMQA2AC8AMQAyAFwAIgAsACAAMQA2ACwAIAAxADIAOwBcAG4AIAAgACAAIAAgACAAIAAgACAAIABcACIATgAyAE8AXAAiACwAIABcACIANAA0AC8AMgA4AFwAIgAsACAANAA0ACwAIAAyADgAOwBcAG4AIAAgACAAIAAgACAAIAAgACAAIABcACIATgBvAHgAXAAiACwAIABcACIANAA2AC8AMQA0AFwAIgAsACAANAA2ACwAIAAxADQAOwBcAG4AIAAgACAAIAAgACAAIAAgACAAIABcACIAQwBPAFwAIgAsACAAXAAiADIAOAAvADEAMgBcACIALAAgADIAOAAsACAAMQAyADsAXABuACAAIAAgACAAIAAgACAAIAAgACAAXAAiAEMATwAyACAATABpAG0AZQBcACIALAAgAFwAIgA0ADQALwAxADIAXAAiACwAIAA0ADQALAAgADEAMgA7AFwAbgAgACAAIAAgACAAIAAgACAAIAAgAFwAIgBOAE0AVgBPAEMAXAAiACwAIABcACIAMQA0AC8AMQAyAFwAIgAsACAAMQA0ACwAIAAxADI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EcAVwBQAE4AMgBPAFwAbgBHAGwAbwBiAGEAbAAgAHcAYQByAG0AaQBuAGcAIABwAG8AdABlAG4AdABpAGEAbAAgAGYAbwByACAAZwByAGUAZQBuAGgAbwB1AHMAZQAgAGcAYQBzAGUAcwBcAG4ALQAtAC0ALQAtAC0ALQAtAC0ALQAtAC0ALQAtAC0ALQAtAC0ALQAtAC0ALQAtAC0ALQAtAC0ALQAtAC0ALQAtAC0ALQAtAC0ALQAtAFwAbgAqAC8AXABuAFwAbgBDAG8AbQBtAG8AbgBfAFMAbwB1AHIAYwBlAEQAYQB0AGEAXwBHAFcAUABfAFQAaQB0AGwAZQBcAG4AIAAgAD0ATABBAE0AQgBEAEEAKABcACIARwBsAG8AYgBhAGwAIAB3AGEAcgBtAGkAbgBnACAAcABvAHQAZQBuAHQAaQBhAGwAIABmAG8AcgAgAGcAcgBlAGUAbgBoAG8AdQBzAGUAIABnAGEAcwBlAHMAXAAiACkAOwBcAG4AXABuAEMAbwBtAG0AbwBuAF8AUwBvAHUAcgBjAGUARABhAHQAYQBfAEcAVwBQAF8AVgBhAHIAaQBhAGIAbABlAFwAbgAgACAAPQBMAEEATQBCAEQAQQAoAFwAIgBHAFcAUABOADIATwBcACIAKQA7AFwAbgBcAG4AQwBvAG0AbQBvAG4AXwBTAG8AdQByAGMAZQBEAGEAdABhAF8ARwBXAFAAXwBVAG4AaQB0AFwAbgAgACAAPQBMAEEATQBCAEQAQQAoAFwAIgBmAGEAYwB0AG8AcgBcACIAKQA7AFwAbgBcAG4AQwBvAG0AbQBvAG4AXwBTAG8AdQByAGMAZQBEAGEAdABhAF8ARwBXAFAAXwBTAG8AdQByAGMAZQBcAG4AIAAgAD0ATABBAE0AQgBEAEEAKABcACIAWABYAFgAWABYAFgAWABcACIAKQA7AFwAbgBcAG4AQwBvAG0AbQBvAG4AXwBTAG8AdQByAGMAZQBEAGEAdABhAF8ARwBXAFAAXwBEAGEAdABhAFwAbgAgACAAPQBMAEEATQBCAEQAQQAoAFwAbgAgACAAIAAgAE0AQQBLAEUAQQBSAFIAQQBZACgAOAAsACAAMgAsACAAXABuACAAIAAgACAAIAAgAEwAQQBNAEIARABBACgAcgAsAGMALAAgAFwAbgAgACAAIAAgACAAIAAgACAASQBOAEQARQBYACgAewBcAG4AIAAgACAAIAAgACAAIAAgACAAIABcACIARwBhAHMAXAAiACwAIABcACIAQwBPADIALQBlACAAZgBhAGMAdABvAHIAXAAiADsAXABuACAAIAAgACAAIAAgACAAIAAgACAAXAAiAEMATwAyAFwAIgAsACAAMQA7AFwAbgAgACAAIAAgACAAIAAgACAAIAAgAFwAIgBDAEgANABcACIALAAgADIAOAA7AFwAbgAgACAAIAAgACAAIAAgACAAIAAgAFwAIgBOADIATwBcACIALAAgADIANgA1ADsAXABuACAAIAAgACAAIAAgACAAIAAgACAAXAAiAEMARgA0AFwAIgAsACAANgA2ADMAMAA7AFwAbgAgACAAIAAgACAAIAAgACAAIAAgAFwAIgBDADIARgA2AFwAIgAsACAAMQAyADIAMAAwADsAXABuACAAIAAgACAAIAAgACAAIAAgACAAXAAiAFMARgA2AFwAIgAsACAAMgAyADgAMAAwADsAXABuACAAIAAgACAAIAAgACAAIAAgACAAXAAiAE4ARgAzAFwAIgAsACAAMQA3ADIAMAAwAFwAbgAgACAAIAAgACAAIAAgACAAfQAsACAAcgAsACAAYwApAFwAbgAgACAAIAAgACAAIAApAFwAbgAgACAAIAAgACkAXABuACAAIAApADsAXABuAFwAbgBcAG4ALwAqACAAXABuAC0ALQAtAC0ALQAtAC0ALQAtAC0ALQAtAC0ALQAtAC0ALQAtAC0ALQAtAC0ALQAtAC0ALQAtAC0ALQAtAC0ALQAtAC0ALQAtAC0ALQBcAG4AQwBvAG0AbQBvAG4AXwBTAG8AdQByAGMAZQBEAGEAdABhAF8AQQB1AHMAdAByAGEAbABpAGEAbgBTAHQAYQB0AGUAcwBUAGUAcgByAGkAdABvAHIAaQBlAHMAXABuAC0ALQAtAC0ALQAtAC0ALQAtAC0ALQAtAC0ALQAtAC0ALQAtAC0ALQAtAC0ALQAtAC0ALQAtAC0ALQAtAC0ALQAtAC0ALQAtAC0ALQBcAG4AKgAvAFwAbgBcAG4AQwBvAG0AbQBvAG4AXwBTAG8AdQByAGMAZQBEAGEAdABhAF8AQQB1AHMAdAByAGEAbABpAGEAbgBTAHQAYQB0AGUAcwBUAGUAcgByAGkAdABvAHIAaQBlAHMAXwBUAGkAdABsAGUAXABuACAAIAA9AEwAQQBNAEIARABBACgAXAAiAEEAdQBzAHQAcgBhAGwAaQBhAG4AIABzAHQAYQB0AGUAcwAgAGEAbgBkACAAdABlAHIAcgBpAHQAbwByAGkAZQBzAFwAIgApADsAXABuAFwAbgBDAG8AbQBtAG8AbgBfAFMAbwB1AHIAYwBlAEQAYQB0AGEAXwBBAHUAcwB0AHIAYQBsAGkAYQBuAFMAdABhAHQAZQBzAFQAZQByAHIAaQB0AG8AcgBpAGUAcwBfAFYAYQByAGkAYQBiAGwAZQBcAG4AIAAgAD0ATABBAE0AQgBEAEEAKABcACIAXAAiACkAOwBcAG4AXABuAEMAbwBtAG0AbwBuAF8AUwBvAHUAcgBjAGUARABhAHQAYQBfAEEAdQBzAHQAcgBhAGwAaQBhAG4AUwB0AGEAdABlAHMAVABlAHIAcgBpAHQAbwByAGkAZQBzAF8AVQBuAGkAdABcAG4AIAAgAD0ATABBAE0AQgBEAEEAKABcACIAXAAiACkAOwBcAG4AXABuAEMAbwBtAG0AbwBuAF8AUwBvAHUAcgBjAGUARABhAHQAYQBfAEEAdQBzAHQAcgBhAGwAaQBhAG4AUwB0AGEAdABlAHMAVABlAHIAcgBpAHQAbwByAGkAZQBzAF8AUwBvAHUAcgBjAGUAXABuACAAIAA9AEwAQQBNAEIARABBACgAXAAiAFwAIgApADsAXABuAFwAbgBDAG8AbQBtAG8AbgBfAFMAbwB1AHIAYwBlAEQAYQB0AGEAXwBBAHUAcwB0AHIAYQBsAGkAYQBuAFMAdABhAHQAZQBzAFQAZQByAHIAaQB0AG8AcgBpAGUAcwBfAEQAYQB0AGEAXABuACAAIAAgAD0ATABBAE0AQgBEAEEAKABcAG4AIAAgACAAIABNAEEASwBFAEEAUgBSAEEAWQAoADkALAAgADMALAAgAFwAbgAgACAAIAAgACAAIABMAEEATQBCAEQAQQAoAHIALABjACwAIABcAG4AIAAgACAAIAAgACAAIAAgAEkATgBEAEUAWAAoAHsAXABuACAAIAAgACAAIAAgACAAIAAgACAAXAAiAFMAdABhAHQAZQAvAFQAZQByAHIAaQB0AG8AcgB5AFwAIgAsACAAXAAiAEMAbwBtAG0AbwBuACAATgBhAG0AZQBcACIALAAgAFwAIgBBAGIAYgByAGUAdgBpAGEAdABpAG8AbgBcACIAOwBcAG4AIAAgACAAIAAgACAAIAAgACAAIABcACIATgBlAHcAIABTAG8AdQB0AGgAIABXAGEAbABlAHMAXAAiACwAIABcACIATgBlAHcAIABTAG8AdQB0AGgAIABXAGEAbABlAHMAXAAiACwAIABcACIATgBTAFcAXAAiADsAXABuACAAIAAgACAAIAAgACAAIAAgACAAXAAiAEEAdQBzAHQAcgBhAGwAaQBhAG4AIABDAGEAcABpAHQAYQBsACAAVABlAHIAcgBpAHQAbwByAHkAXAAiACwAIABcACIAQQBDAFQAXAAiACwAIABcACIAQQBDAFQAXAAiADsAXABuACAAIAAgACAAIAAgACAAIAAgACAAXAAiAFYAaQBjAHQAbwByAGkAYQBcACIALAAgAFwAIgBWAGkAYwB0AG8AcgBpAGEAXAAiACwAIABcACIAVgBJAEMAXAAiADsAXABuACAAIAAgACAAIAAgACAAIAAgACAAXAAiAFEAdQBlAGUAbgBzAGwAYQBuAGQAXAAiACwAIABcACIAUQB1AGUAZQBuAHMAbABhAG4AZABcACIALAAgAFwAIgBRAEwARABcACIAOwBcAG4AIAAgACAAIAAgACAAIAAgACAAIABcACIAUwBvAHUAdABoACAAQQB1AHMAdAByAGEAbABpAGEAXAAiACwAIABcACIAUwBvAHUAdABoACAAQQB1AHMAdAByAGEAbABpAGEAXAAiACwAIABcACIAUwBBAFwAIgA7AFwAbgAgACAAIAAgACAAIAAgACAAIAAgAFwAIgBXAGUAcwB0AGUAcgBuACAAQQB1AHMAdAByAGEAbABpAGEAXAAiACwAIABcACIAVwBlAHMAdABlAHIAbgAgAEEAdQBzAHQAcgBhAGwAaQBhAFwAIgAsACAAXAAiAFcAQQBcACIAOwBcAG4AIAAgACAAIAAgACAAIAAgACAAIABcACIAVABhAHMAbQBhAG4AaQBhAFwAIgAsACAAXAAiAFQAYQBzAG0AYQBuAGkAYQBcACIALAAgAFwAIgBUAEEAUwBcACIAOwBcAG4AIAAgACAAIAAgACAAIAAgACAAIABcACIATgBvAHIAdABoAGUAcgBuACAAVABlAHIAcgBpAHQAbwByAHkAXAAiACwAIABcACIATgBvAHIAdABoAGUAcgBuACAAVABlAHIAcgBpAHQAbwByAHkAXAAiACwAIABcACIATgBUAFwAIg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VwBBAFMAQQA0AEEAcgBlAGEAcwBcAG4ALQAtAC0ALQAtAC0ALQAtAC0ALQAtAC0ALQAtAC0ALQAtAC0ALQAtAC0ALQAtAC0ALQAtAC0ALQAtAC0ALQAtAC0ALQAtAC0ALQAtAFwAbgAqAC8AXABuAFwAbgBDAG8AbQBtAG8AbgBfAFMAbwB1AHIAYwBlAEQAYQB0AGEAXwBXAEEAUwBBADQAQQByAGUAYQBzAF8AVABpAHQAbABlAFwAbgAgACAAPQBMAEEATQBCAEQAQQAoAFwAIgBBAEIAUwAgAFMAdABhAHQAaQBzAHQAYwBhAGwAIABBAHIAZQBhAHMAIABMAGUAdgBlAGwAIAA0ACAALQAgAFcAZQBzAHQAZQByAG4AIABBAHUAcwB0AHIAYQBsAGkAYQBcACIAKQA7AFwAbgBcAG4AQwBvAG0AbQBvAG4AXwBTAG8AdQByAGMAZQBEAGEAdABhAF8AVwBBAFMAQQA0AEEAcgBlAGEAcwBfAFYAYQByAGkAYQBiAGwAZQBcAG4AIAAgAD0ATABBAE0AQgBEAEEAKABcACIAXAAiACkAOwBcAG4AXABuAEMAbwBtAG0AbwBuAF8AUwBvAHUAcgBjAGUARABhAHQAYQBfAFcAQQBTAEEANABBAHIAZQBhAHMAXwBVAG4AaQB0AFwAbgAgACAAPQBMAEEATQBCAEQAQQAoAFwAIgBcACIAKQA7AFwAbgBcAG4AQwBvAG0AbQBvAG4AXwBTAG8AdQByAGMAZQBEAGEAdABhAF8AVwBBAFMAQQA0AEEAcgBlAGEAcwBfAFMAbwB1AHIAYwBlAFwAbgAgACAAPQBMAEEATQBCAEQAQQAoAFwAIgBBAHUAcwB0AHIAYQBsAGkAYQBuACAAQgB1AHIAZQBhAHUAIABvAGYAIABTAHQAYQB0AGkAcwB0AGkAYwBzACAAKABBAEIAUwApACAALQAgAFMAdABhAHQAaQBzAHQAaQBjAGEAbAAgAEEAcgBlAGEAcwAgAEwAZQB2AGUAbAAgADIAIAAtACAAMgAwADIAMQAgAC0AIABTAGgAYQBwAGUAZgBpAGwAZQBcACIAKQA7AFwAbgBcAG4AQwBvAG0AbQBvAG4AXwBTAG8AdQByAGMAZQBEAGEAdABhAF8AVwBBAFMAQQA0AEEAcgBlAGEAcwBfAEQAYQB0AGEAXABuACAAIAAgAD0ATABBAE0AQgBEAEEAKABcAG4AIAAgACAAIABNAEEASwBFAEEAUgBSAEEAWQAoADEAMQAsACAAMQAsACAAXABuACAAIAAgACAAIAAgAEwAQQBNAEIARABBACgAcgAsAGMALAAgAFwAbgAgACAAIAAgACAAIAAgACAASQBOAEQARQBYACgAewBcAG4AIAAgACAAIAAgACAAIAAgACAAIABcACIAUwBBACAANAAgAE4AYQBtAGUAXAAiADsAXABuACAAIAAgACAAIAAgACAAIAAgACAAXAAiAEIAdQBuAGIAdQByAHkAXAAiADsAXABuACAAIAAgACAAIAAgACAAIAAgACAAXAAiAE0AYQBuAGQAdQByAGEAaABcACIAOwBcAG4AIAAgACAAIAAgACAAIAAgACAAIABcACIAUABlAHIAdABoACAALQAgAEkAbgBuAGUAcgBcACIAOwBcAG4AIAAgACAAIAAgACAAIAAgACAAIABcACIAUABlAHIAdABoACAALQAgAE4AbwByAHQAaAAgAEUAYQBzAHQAXAAiADsAXABuACAAIAAgACAAIAAgACAAIAAgACAAXAAiAFAAZQByAHQAaAAgAC0AIABOAG8AcgB0AGgAIABXAGUAcwB0AFwAIgA7AFwAbgAgACAAIAAgACAAIAAgACAAIAAgAFwAIgBQAGUAcgB0AGgAIAAtACAAUwBvAHUAdABoACAARQBhAHMAdABcACIAOwBcAG4AIAAgACAAIAAgACAAIAAgACAAIABcACIAUABlAHIAdABoACAALQAgAFMAbwB1AHQAaAAgAFcAZQBzAHQAXAAiADsAXABuACAAIAAgACAAIAAgACAAIAAgACAAXAAiAFcAZQBzAHQAZQByAG4AIABBAHUAcwB0AHIAYQBsAGkAYQAgAC0AIABXAGgAZQBhAHQAIABCAGUAbAB0AFwAIgA7AFwAbgAgACAAIAAgACAAIAAgACAAIAAgAFwAIgBXAGUAcwB0AGUAcgBuACAAQQB1AHMAdAByAGEAbABpAGEAIAAtACAATwB1AHQAYgBhAGMAawAgACgATgBvAHIAdABoACkAXAAiADsAXABuACAAIAAgACAAIAAgACAAIAAgACAAXAAiAFcAZQBzAHQAZQByAG4AIABBAHUAcwB0AHIAYQBsAGkAYQAgAC0AIABPAHUAdABiAGEAYwBrACAAKABTAG8AdQB0AGgAKQBcACI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FcAZQB0AEEAbgBkAEQAcgB5AFoAbwBuAGUAcwBcAG4ALQAtAC0ALQAtAC0ALQAtAC0ALQAtAC0ALQAtAC0ALQAtAC0ALQAtAC0ALQAtAC0ALQAtAC0ALQAtAC0ALQAtAC0ALQAtAC0ALQAtAFwAbgAqAC8AXABuAFwAbgBDAG8AbQBtAG8AbgBfAFMAbwB1AHIAYwBlAEQAYQB0AGEAXwBXAGUAdABBAG4AZABEAHIAeQBaAG8AbgBlAHMAXwBUAGkAdABsAGUAXABuACAAIAA9AEwAQQBNAEIARABBACgAXAAiAFYARQBFAFIARwAgAEEAdQBzAHQAcgBhAGwAaQBhAG4AIAB3AGUAdAAgAGEAbgBkACAAZAByAHkAIAB6AG8AbgBlAHMAXAAiACkAOwBcAG4AXABuAEMAbwBtAG0AbwBuAF8AUwBvAHUAcgBjAGUARABhAHQAYQBfAFcAZQB0AEEAbgBkAEQAcgB5AFoAbwBuAGUAcwBfAFYAYQByAGkAYQBiAGwAZQBcAG4AIAAgAD0ATABBAE0AQgBEAEEAKABcACIAXAAiACkAOwBcAG4AXABuAEMAbwBtAG0AbwBuAF8AUwBvAHUAcgBjAGUARABhAHQAYQBfAFcAZQB0AEEAbgBkAEQAcgB5AFoAbwBuAGUAcwBfAFUAbgBpAHQAXABuACAAIAA9AEwAQQBNAEIARABBACgAXAAiAFwAIgApADsAXABuAFwAbgBDAG8AbQBtAG8AbgBfAFMAbwB1AHIAYwBlAEQAYQB0AGEAXwBXAGUAdABBAG4AZABEAHIAeQBaAG8AbgBlAHMAXwBTAG8AdQByAGMAZQBcAG4AIAAgAD0ATABBAE0AQgBEAEEAKABcACIAVgBFAEUAUgBHACAAMgAwADIANgA6ACAAVABhAGIAbABlACAAMQAuADIAOgAgAFQAcgBhAG4AcwBsAGEAdABpAG4AZwAgAGMAbABpAG0AYQB0AGUAIAB6AG8AbgBlAHMAIAB0AG8AIAB3AGUAdAAgAGEAbgBkACAAZAByAHkAIAB6AG8AbgBlAHMAXAAiACkAOwBcAG4AXABuAEMAbwBtAG0AbwBuAF8AUwBvAHUAcgBjAGUARABhAHQAYQBfAFcAZQB0AEEAbgBkAEQAcgB5AFoAbwBuAGUAcwBfAFYAYQByAGkAYQB0AGkAbwBuAFwAbgAgACAAIAA9AEwAQQBNAEIARABBACgAXABuACAAIAAgACAATQBBAEsARQBBAFIAUgBBAFkAKAAzACwAIAAxACwAIABcAG4AIAAgACAAIAAgACAATABBAE0AQgBEAEEAKAByACwAYwAsACAAXABuACAAIAAgACAAIAAgACAAIABJAE4ARABFAFgAKAB7AFwAbgAgACAAIAAgACAAIAAgACAAIAAgAFwAIgBWAEEAUgBJAEEAVABJAE8ATgAgAE8ARgAgAFMATwBVAFIAQwBFACAARABBAFQAQQA6AFwAIgA7AFwAbgAgACAAIAAgACAAIAAgACAAIAAgAFwAIgBBAGQAZABlAGQAIAB3AGEAcgBtACAALwAgAGMAbwBvAGwAIAB0AGUAbQBwAGUAcgBhAHQAZQAgAG0AbwBpAHMAdAAgAC8AIABkAHIAeQAgAC0AIABsAG8AdwAgAGYAcgBvAHMAdAAgAGEAbgBkACAAaABpAGcAaAAgAHQAZQBtAHAAIABjAGwAYQBzAHMAZQBzACAAdABvACAAYQBjAGMAbwBtAG0AbwBkAGEAdABlACAAYwBsAGkAbQBhAHQAZQAgAHMAYwBlAG4AYQByAGkAbwBzACAAZQB4AGMAbAB1AGQAZQBkACAAYgB5ACAAVgBFAEUAUgBHACAAYwByAGkAdABlAHIAaQBhAC4AXAAiADsAXABuACAAIAAgACAAIAAgACAAIAAgACAAXAAiAEYAaQB4AGUAZAAgAHQAeQBwAG8AIAAtACAAQwBoAGEAbgBnAGUAZAAgACcARgByAHkAJwAgAHQAbwAgACcARAByAHkAJwAuAFwAIgBcAG4AIAAgACAAIAAgACAAIAAgAH0ALAAgAHIALAAgAGMAKQBcAG4AIAAgACAAIAAgACAAKQBcAG4AIAAgACAAIAApAFwAbgAgACAAKQA7AFwAbgBcAG4AQwBvAG0AbQBvAG4AXwBTAG8AdQByAGMAZQBEAGEAdABhAF8AVwBlAHQAQQBuAGQARAByAHkAWgBvAG4AZQBzAF8ARABhAHQAYQBcAG4AIAAgACAAPQBMAEEATQBCAEQAQQAoAFwAbgAgACAAIAAgAE0AQQBLAEUAQQBSAFIAQQBZACgAMQA1ACwAIAAyACwAIABcAG4AIAAgACAAIAAgACAATABBAE0AQgBEAEEAKAByACwAYwAsACAAXABuACAAIAAgACAAIAAgACAAIABJAE4ARABFAFgAKAB7AFwAbgAgACAAIAAgACAAIAAgACAAIAAgAFwAIgBDAGwAaQBtAGEAdABlACAAWgBvAG4AZQBcACIALAAgAFwAIgBXAGUAdAAgAG8AcgAgAEQAcgB5ACAAWgBvAG4AZQBcACIAOwBcAG4AIAAgACAAIAAgACAAIAAgACAAIABcACIAVAByAG8AcABpAGMAYQBsACAAbQBvAG4AdABhAG4AZQBcACIALAAgAFwAIgBXAGUAdAAgAGMAbABpAG0AYQB0AGUAIAB6AG8AbgBlAFwAIgA7AFwAbgAgACAAIAAgACAAIAAgACAAIAAgAFwAIgBUAHIAbwBwAGkAYwBhAGwAIAB3AGUAdABcACIALAAgAFwAIgBXAGUAdAAgAGMAbABpAG0AYQB0AGUAIAB6AG8AbgBlAFwAIgA7AFwAbgAgACAAIAAgACAAIAAgACAAIAAgAFwAIgBUAHIAbwBwAGkAYwBhAGwAIABtAG8AaQBzAHQAXAAiACwAIABcACIAVwBlAHQAIABjAGwAaQBtAGEAdABlACAAegBvAG4AZQBcACIAOwBcAG4AIAAgACAAIAAgACAAIAAgACAAIABcACIAVAByAG8AcABpAGMAYQBsACAAZAByAHkAXAAiACwAIABcACIARAByAHkAIABjAGwAaQBtAGEAdABlACAAegBvAG4AZQBcACIAOwBcAG4AIAAgACAAIAAgACAAIAAgACAAIABcACIAVwBhAHIAbQAgAHQAZQBtAHAAZQByAGEAdABlACAAbQBvAGkAcwB0AFwAIgAsACAAXAAiAFcAZQB0ACAAYwBsAGkAbQBhAHQAZQAgAHoAbwBuAGUAXAAiADsAXABuACAAIAAgACAAIAAgACAAIAAgACAAXAAiAFcAYQByAG0AIAB0AGUAbQBwAGUAcgBhAHQAZQAgAGQAcgB5AFwAIgAsACAAXAAiAEQAcgB5ACAAYwBsAGkAbQBhAHQAZQAgAHoAbwBuAGUAXAAiADsAXABuACAAIAAgACAAIAAgACAAIAAgACAAXAAiAEMAbwBvAGwAIAB0AGUAbQBwAGUAcgBhAHQAZQAgAG0AbwBpAHMAdABcACIALAAgAFwAIgBXAGUAdAAgAGMAbABpAG0AYQB0AGUAIAB6AG8AbgBlAFwAIgA7AFwAbgAgACAAIAAgACAAIAAgACAAIAAgAFwAIgBDAG8AbwBsACAAdABlAG0AcABlAHIAYQB0AGUAIABkAHIAeQBcACIALAAgAFwAIgBEAHIAeQAgAGMAbABpAG0AYQB0AGUAIAB6AG8AbgBlAFwAIgA7AFwAbgAgACAAIAAgACAAIAAgACAAIAAgAFwAIgBXAGEAcgBtACAAdABlAG0AcABlAHIAYQB0AGUAIABtAG8AaQBzAHQAIAAtACAAbABvAHcAIABmAHIAbwBzAHQAXAAiACwAIABcACIAVwBlAHQAIABjAGwAaQBtAGEAdABlACAAegBvAG4AZQBcACIAOwBcAG4AIAAgACAAIAAgACAAIAAgACAAIABcACIAVwBhAHIAbQAgAHQAZQBtAHAAZQByAGEAdABlACAAZAByAHkAIAAtACAAbABvAHcAIABmAHIAbwBzAHQAXAAiACwAIABcACIARAByAHkAIABjAGwAaQBtAGEAdABlACAAegBvAG4AZQBcACIAOwBcAG4AIAAgACAAIAAgACAAIAAgACAAIABcACIAVwBhAHIAbQAgAHQAZQBtAHAAZQByAGEAdABlACAAbQBvAGkAcwB0ACAALQAgAGgAaQBnAGgAIAB0AGUAbQBwAFwAIgAsACAAXAAiAFcAZQB0ACAAYwBsAGkAbQBhAHQAZQAgAHoAbwBuAGUAXAAiADsAXABuACAAIAAgACAAIAAgACAAIAAgACAAXAAiAFcAYQByAG0AIAB0AGUAbQBwAGUAcgBhAHQAZQAgAGQAcgB5ACAALQAgAGgAaQBnAGgAIAB0AGUAbQBwAFwAIgAsACAAXAAiAEQAcgB5ACAAYwBsAGkAbQBhAHQAZQAgAHoAbwBuAGUAXAAiADsAXABuACAAIAAgACAAIAAgACAAIAAgACAAXAAiAEMAbwBvAGwAIAB0AGUAbQBwAGUAcgBhAHQAZQAgAG0AbwBpAHMAdAAgAC0AIABsAG8AdwAgAGYAcgBvAHMAdABcACIALAAgAFwAIgBXAGUAdAAgAGMAbABpAG0AYQB0AGUAIAB6AG8AbgBlAFwAIgA7AFwAbgAgACAAIAAgACAAIAAgACAAIAAgAFwAIgBDAG8AbwBsACAAdABlAG0AcABlAHIAYQB0AGUAIABkAHIAeQAgAC0AIABsAG8AdwAgAGYAcgBvAHMAdABcACIALAAgAFwAIgBEAHIAeQAgAGMAbABpAG0AYQB0AGUAIAB6AG8AbgBlAFwAIg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QwBsAGkAbQBhAHQAZQBaAG8AbgBlAHMAXABuAC0ALQAtAC0ALQAtAC0ALQAtAC0ALQAtAC0ALQAtAC0ALQAtAC0ALQAtAC0ALQAtAC0ALQAtAC0ALQAtAC0ALQAtAC0ALQAtAC0ALQBcAG4AKgAvAFwAbgBcAG4AQwBvAG0AbQBvAG4AXwBTAG8AdQByAGMAZQBEAGEAdABhAF8AQwBsAGkAbQBhAHQAZQBaAG8AbgBlAHMAXwBUAGkAdABsAGUAXABuACAAIAA9AEwAQQBNAEIARABBACgAXAAiAFYARQBFAFIARwAgAEEAdQBzAHQAcgBhAGwAaQBhAG4AIABjAGwAaQBtAGEAdABlACAAegBvAG4AZQBzAFwAIgApADsAXABuAFwAbgBDAG8AbQBtAG8AbgBfAFMAbwB1AHIAYwBlAEQAYQB0AGEAXwBDAGwAaQBtAGEAdABlAFoAbwBuAGUAcwBfAFYAYQByAGkAYQBiAGwAZQBcAG4AIAAgAD0ATABBAE0AQgBEAEEAKABcACIAXAAiACkAOwBcAG4AXABuAEMAbwBtAG0AbwBuAF8AUwBvAHUAcgBjAGUARABhAHQAYQBfAEMAbABpAG0AYQB0AGUAWgBvAG4AZQBzAF8AVQBuAGkAdABcAG4AIAAgAD0ATABBAE0AQgBEAEEAKABcACIAXAAiACkAOwBcAG4AXABuAEMAbwBtAG0AbwBuAF8AUwBvAHUAcgBjAGUARABhAHQAYQBfAEMAbABpAG0AYQB0AGUAWgBvAG4AZQBzAF8AUwBvAHUAcgBjAGUAXABuACAAIAA9AEwAQQBNAEIARABBACgAXAAiAFYARQBFAFIARwAgADIAMAAyADYAOgAgAFQAYQBiAGwAZQAgADEALgAzADoAIABDAGwAaQBtAGEAdABlACAAYQBuAGQAIABSAGEAaQBuAGYAYQBsAGwAIAB6AG8AbgBlACAAYwBsAGEAcwBzAGkAZgBpAGMAYQB0AGkAbwBuAHMAIABhAG4AZAAgAGQAZQBmAGkAbgBpAHQAaQBvAG4AcwBcACIAKQA7AFwAbgBcAG4AQwBvAG0AbQBvAG4AXwBTAG8AdQByAGMAZQBEAGEAdABhAF8AQwBsAGkAbQBhAHQAZQBaAG8AbgBlAHMAXwBWAGEAcgBpAGEAdABpAG8AbgBcAG4AIAAgACAAPQBMAEEATQBCAEQAQQAoAFwAbgAgACAAIAAgAE0AQQBLAEUAQQBSAFIAQQBZACgANQAsACAAMQAsACAAXABuACAAIAAgACAAIAAgAEwAQQBNAEIARABBACgAcgAsAGMALAAgAFwAbgAgACAAIAAgACAAIAAgACAASQBOAEQARQBYACgAewBcAG4AIAAgACAAIAAgACAAIAAgACAAIABcACIAVgBBAFIASQBBAFQASQBPAE4AIABPAEYAIABTAE8AVQBSAEMARQAgAEQAQQBUAEEAOgBcACIAOwBcAG4AIAAgACAAIAAgACAAIAAgACAAIABcACIAQQBkAGQAZQBkACAAdwBhAHIAbQAgAC8AIABjAG8AbwBsACAAdABlAG0AcABlAHIAYQB0AGUAIABtAG8AaQBzAHQAIAAvACAAZAByAHkAIAAtACAAbABvAHcAIABmAHIAbwBzAHQAIABhAG4AZAAgAGgAaQBnAGgAIAB0AGUAbQBwACAAYwBsAGEAcwBzAGUAcwAgAHQAbwAgAGEAYwBjAG8AbQBtAG8AZABhAHQAZQAgAGMAbABpAG0AYQB0AGUAIABzAGMAZQBuAGEAcgBpAG8AcwAgAGUAeABjAGwAdQBkAGUAZAAgAGIAeQAgAFYARQBFAFIARwAgAGMAcgBpAHQAZQByAGkAYQAuAFwAIgA7AFwAbgAgACAAIAAgACAAIAAgACAAIAAgAFwAIgBGAGkAeABlAGQAIAB0AHkAcABvACAAaQBuACAATQBBAFQAIAB2AGEAbAB1AGUAIABmAG8AcgAgAHcAYQByAG0AIAB0AGUAbQBwAGUAcgBhAHQAZQAgAGQAcgB5ACAALQAgAGMAaABhAG4AZwBlAGQAIAAxADAAIAB0AG8AIAAxADEALgBcACIAOwBcAG4AIAAgACAAIAAgACAAIAAgACAAIABcACIAQQBkAGQAZQBkACAAbQBpAG4AIABhAG4AZAAgAG0AYQB4ACAAYwBvAGwAdQBtAG4AcwAgAGYAbwByACAATQBBAFQALAAgAE0AQQBQACwAIABmAHIAbwBzAHQAIABkAGEAeQBzACAAcABlAHIAIAB5AGUAYQByACwAIABlAGwAZQB2AGEAdABpAG8AbgAsACAATQBBAFAAOgBQAEUAVAAgAHQAbwAgAGMAYQBsAGMAdQBsAGEAdABlACAAegBvAG4AZQBzACAAZgByAG8AbQAgAHIAZQBhAGwAIABjAGwAaQBtAGEAdABlACAAZABhAHQAYQAuAFwAIgA7AFwAbgAgACAAIAAgACAAIAAgACAAIAAgAFwAIgBHAEEARgAgAGEAYwBjAGUAcAB0AHMAIAByAGEAaQBuAGYAYQBsAGwAIABhAHMAIABhACAAcAByAG8AeAB5ACAAZgBvAHIAIABwAHIAZQBjAGkAcABpAHQAYQB0AGkAbwBuAC4AXAAiAFwAbgAgACAAIAAgACAAIAAgACAAfQAsACAAcgAsACAAYwApAFwAbgAgACAAIAAgACAAIAApAFwAbgAgACAAIAAgACkAXABuACAAIAApADsAXABuAFwAbgBDAG8AbQBtAG8AbgBfAFMAbwB1AHIAYwBlAEQAYQB0AGEAXwBDAGwAaQBtAGEAdABlAFoAbwBuAGUAcwBfAEQAYQB0AGEAXABuACAAIAAgAD0ATABBAE0AQgBEAEEAKABcAG4AIAAgACAAIABNAEEASwBFAEEAUgBSAEEAWQAoADkALAAgADEANgAsACAAXABuACAAIAAgACAAIAAgAEwAQQBNAEIARABBACgAcgAsAGMALAAgAFwAbgAgACAAIAAgACAAIAAgACAASQBOAEQARQBYACgAewBcAG4AIAAgACAAIAAgACAAIAAgACAAIABcACIAQwBsAGkAbQBhAHQAZQAgAFoAbwBuAGUAXAAiACwAIABcACIATQBBAFQAXAAiACwAIABcACIATQBBAFAAXAAiACwAIABcACIARgByAG8AcwB0ACAAZABhAHkAcwAgAHAAZQByACAAeQBlAGEAcgBcACIALAAgAFwAIgBFAGwAZQB2AGEAdABpAG8AbgBcACIALAAgAFwAIgBNAEEAUAA6AFAARQBUAFwAIgAsACAAXAAiAE0AaQBuACAAdABlAG0AcABcACIALAAgAFwAIgBNAGEAeAAgAHQAZQBtAHAAXAAiACwAIABcACIATQBpAG4AIAByAGEAaQBuAGYAYQBsAGwAXAAiACwAIABcACIATQBhAHgAIAByAGEAaQBuAGYAYQBsAGwAXAAiACwAIABcACIATQBpAG4AIABmAHIAbwBzAHQAIABkAGEAeQBzAFwAIgAsACAAXAAiAE0AYQB4ACAAZgByAG8AcwB0ACAAZABhAHkAcwBcACIALAAgAFwAIgBNAGkAbgAgAGUAbABlAHYAYQB0AGkAbwBuAFwAIgAsACAAXAAiAE0AYQB4ACAAZQBsAGUAdgBhAHQAaQBvAG4AXAAiACwAIABcACIATQBpAG4AIABNAEEAUAA6AFAARQBUAFwAIgAsACAAXAAiAE0AaQBuACAATQBBAFAAOgBQAEUAVABcACIAOwBcAG4AIAAgACAAIAAgACAAIAAgACAAIABcACIAVAByAG8AcABpAGMAYQBsACAAbQBvAG4AdABhAG4AZQBcACIALAAgAFwAIgA+ACAAMQA4ACAAQwBcACIALAAgAFwAIgBBAG4AeQBcACIALAAgAFwAIgBkIiAANwBcACIALAAgAFwAIgA+ACAAMQAwADAAMAAgAG0AXAAiACwAIABcACIAQQBuAHkAXAAiACwAIAAxADgALgAwADAAMQAsACAAOQA5ADkAOQA5ADkALAAgAC0AOQA5ADkAOQA5ADkALAAgADkAOQA5ADkAOQA5ACwAIAAtADkAOQA5ADkAOQA5ACwAIAA3ACwAIAAxADAAMAAwACwAIAA5ADkAOQA5ADkAOQAsACAALQA5ADkAOQA5ADkAOQAsACAAOQA5ADkAOQA5ADkAOwBcAG4AIAAgACAAIAAgACAAIAAgACAAIABcACIAVAByAG8AcABpAGMAYQBsACAAdwBlAHQAXAAiACwAIABcACIAPgAgADEAOAAgAEMAXAAiACwAIABcACIAPgAgADIAMAAwADAAIABtAG0AXAAiACwAIABcACIAZCIgADcAXAAiACwAIABcACIAZCIgADEAMAAwADAAIABtAFwAIgAsACAAXAAiAEEAbgB5AFwAIgAsACAAMQA4AC4AMAAwADEALAAgADkAOQA5ADkAOQA5ACwAIAAyADAAMAAwAC4AMAAwADEALAAgADkAOQA5ADkAOQA5ACwAIAAtADkAOQA5ADkAOQA5ACwAIAA3ACwAIAAtADkAOQA5ADkAOQA5ACwAIAA5ADkAOQAuADkAOQA5ACwAIAAgAC0AOQA5ADkAOQA5ADkALAAgADkAOQA5ADkAOQA5ADsAXABuACAAIAAgACAAIAAgACAAIAAgACAAXAAiAFQAcgBvAHAAaQBjAGEAbAAgAG0AbwBpAHMAdABcACIALAAgAFwAIgA+ACAAMQA4ACAAQwBcACIALAAgAFwAIgA+ACAAMQAwADAAMAAgAG0AbQAgAC0AIABkIiAAMgAwADAAMAAgAG0AbQBcACIALAAgAFwAIgBkIiAANwBcACIALAAgAFwAIgBkIiAAMQAwADAAMAAgAG0AXAAiACwAIABcACIAQQBuAHkAXAAiACwAIAAxADgALgAwADAAMQAsACAAOQA5ADkAOQA5ADkALAAgADEAMAAwADAALgAwADAAMQAsACAAMgAwADAAMAAsACAALQA5ADkAOQA5ADkAOQAsACAANwAsACAALQA5ADkAOQA5ADkAOQAsACAAOQA5ADkALgA5ADkAOQAsACAAIAAtADkAOQA5ADkAOQA5ACwAIAA5ADkAOQA5ADkAOQA7AFwAbgAgACAAIAAgACAAIAAgACAAIAAgAFwAIgBUAHIAbwBwAGkAYwBhAGwAIABkAHIAeQBcACIALAAgAFwAIgA+ACAAMQA4ACAAQwBcACIALAAgAFwAIgBkIiAAMQAwADAAMAAgAG0AbQBcACIALAAgAFwAIgBkIiAANwBcACIALAAgAFwAIgBkIiAAMQAwADAAMAAgAG0AXAAiACwAIABcACIAQQBuAHkAXAAiACwAIAAxADgALgAwADAAMQAsACAAOQA5ADkAOQA5ADkALAAgAC0AOQA5ADkAOQA5ADkALAAgADEAMAAwADAALAAgAC0AOQA5ADkAOQA5ADkALAAgADcALAAgAC0AOQA5ADkAOQA5ADkALAAgADkAOQA5AC4AOQA5ADkALAAgACAALQA5ADkAOQA5ADkAOQAsACAAOQA5ADkAOQA5ADkAOwBcAG4AIAAgACAAIAAgACAAIAAgACAAIABcACIAVwBhAHIAbQAgAHQAZQBtAHAAZQByAGEAdABlACAAbQBvAGkAcwB0AFwAIgAsACAAXAAiAD4AIAAxADAAIABDAFwAIgAsACAAXAAiAEEAbgB5AFwAIgAsACAAXAAiAEEAbgB5AFwAIgAsACAAXAAiAEEAbgB5AFwAIgAsACAAXAAiAD4AIAAxAFwAIgAsACAAMQAwAC4AMAAwADEALAAgADkAOQA5ADkAOQA5ACwAIAAtADkAOQA5ADkAOQA5ACwAIAA5ADkAOQA5ADkAOQAsACAALQA5ADkAOQA5ADkAOQAsACAAOQA5ADkAOQA5ADkALAAgAC0AOQA5ADkAOQA5ADkALAAgADkAOQA5ADkAOQA5ACwAIAAxAC4AMAAwADEALAAgADkAOQA5ADkAOQA5ADsAXABuACAAIAAgACAAIAAgACAAIAAgACAAXAAiAFcAYQByAG0AIAB0AGUAbQBwAGUAcgBhAHQAZQAgAGQAcgB5AFwAIgAsACAAXAAiAD4AIAAxADAAIABDAFwAIgAsACAAXAAiAEEAbgB5AFwAIgAsACAAXAAiAEEAbgB5AFwAIgAsACAAXAAiAEEAbgB5AFwAIgAsACAAXAAiAGQiIAAxAFwAIgAsACAAMQAwAC4AMAAwADEALAAgADkAOQA5ADkAOQA5ACwAIAAtADkAOQA5ADkAOQA5ACwAIAA5ADkAOQA5ADkAOQAsACAALQA5ADkAOQA5ADkAOQAsACAAOQA5ADkAOQA5ADkALAAgAC0AOQA5ADkAOQA5ADkALAAgADkAOQA5ADkAOQA5ACwAIAAgAC0AOQA5ADkAOQA5ADkALAAgADEAOwBcAG4AIAAgACAAIAAgACAAIAAgACAAIABcACIAQwBvAG8AbAAgAHQAZQBtAHAAZQByAGEAdABlACAAbQBvAGkAcwB0AFwAIgAsACAAXAAiAD4AIAAwACAAQwAgAC0AIABkIiAAMQAwACAAQwBcACIALAAgAFwAIgBBAG4AeQBcACIALAAgAFwAIgBBAG4AeQBcACIALAAgAFwAIgBBAG4AeQBcACIALAAgAFwAIgA+ACAAMQBcACIALAAgAC0AOQA5ADkAOQA5ADkALAAgADEAMAAsACAALQA5ADkAOQA5ADkAOQAsACAAOQA5ADkAOQA5ADkALAAgAC0AOQA5ADkAOQA5ADkALAAgADkAOQA5ADkAOQA5ACwAIAAtADkAOQA5ADkAOQA5ACwAIAA5ADkAOQA5ADkAOQAsACAAMQAuADAAMAAxACwAIAA5ADkAOQA5ADkAOQA7AFwAbgAgACAAIAAgACAAIAAgACAAIAAgAFwAIgBDAG8AbwBsACAAdABlAG0AcABlAHIAYQB0AGUAIABkAHIAeQBcACIALAAgAFwAIgA+ACAAMAAgAEMAIAAtACAAZCIgADEAMAAgAEMAXAAiACwAIABcACIAQQBuAHkAXAAiACwAIABcACIAQQBuAHkAXAAiACwAIABcACIAQQBuAHkAXAAiACwAIABcACIAZCIgADEAXAAiACwAIAAtADkAOQA5ADkAOQA5ACwAIAAxADAALAAgAC0AOQA5ADkAOQA5ADkALAAgADkAOQA5ADkAOQA5ACwAIAAtADkAOQA5ADkAOQA5ACwAIAA5ADkAOQA5ADkAOQAsACAALQA5ADkAOQA5ADkAOQAsACAAOQA5ADkAOQA5ADkALAAgACAALQA5ADkAOQA5ADkAOQAsACAAMQBcAG4AIAAgACAAIAAgACAAIAAgAH0ALAAgAHIALAAgAGMAKQBcAG4AIAAgACAAIAAgACAAKQBcAG4AIAAgACAAIAApAFwAbgAgACAAKQA7AFwAbgBcAG4AQwBvAG0AbQBvAG4AXwBTAG8AdQByAGMAZQBEAGEAdABhAF8AQwBsAGkAbQBhAHQAZQBaAG8AbgBlAHMAXwBBAHAAcABlAG4AZABpAGMAZQBzAFwAbgAgACAAIAA9AEwAQQBNAEIARABBACgAXABuACAAIAAgACAATQBBAEsARQBBAFIAUgBBAFkAKAA0ACwAIAAxACwAIABcAG4AIAAgACAAIAAgACAATABBAE0AQgBEAEEAKAByACwAYwAsACAAXABuACAAIAAgACAAIAAgACAAIABJAE4ARABFAFgAKAB7AFwAbgAgACAAIAAgACAAIAAgACAAIAAgAFwAIgBOAG8AdABlADoAXAAiADsAXABuACAAIAAgACAAIAAgACAAIAAgACAAXAAiAE0AQQBUACAAPQAgAG0AZQBhAG4AIABhAG4AbgB1AGEAbAAgAHQAZQBtAHAAZQByAGEAdAB1AHIAZQBcACIAOwBcAG4AIAAgACAAIAAgACAAIAAgACAAIABcACIATQBBAFAAIAA9ACAAbQBlAGEAbgAgAGEAbgBuAHUAYQBsACAAcAByAGUAYwBpAHAAaQB0AGEAdABpAG8AbgBcACIAOwBcAG4AIAAgACAAIAAgACAAIAAgACAAIABcACIAUABFAFQAIAA9ACAAcABvAHQAZQBuAHQAaQBhAGwAIABlAHYAYQBwAG8AdAByAGEAbgBzAHAAaQByAGEAdABpAG8AbgBcACIAXABuACAAIAAgACAAIAAgACAAIAB9ACwAIAByACwAIABjACkAXABuACAAIAAgACAAIAAgACkAXABuACAAIAAgACAAKQBcAG4AIAAgACkAOwBcAG4AXABuAFwAbgAvACoAIABcAG4ALQAtAC0ALQAtAC0ALQAtAC0ALQAtAC0ALQAtAC0ALQAtAC0ALQAtAC0ALQAtAC0ALQAtAC0ALQAtAC0ALQAtAC0ALQAtAC0ALQAtAFwAbgBDAG8AbQBtAG8AbgBfAFMAbwB1AHIAYwBlAEQAYQB0AGEAXwBUAGUAbQBwAGUAcgBhAHQAdQByAGUAWgBvAG4AZQBzAFwAbgAtAC0ALQAtAC0ALQAtAC0ALQAtAC0ALQAtAC0ALQAtAC0ALQAtAC0ALQAtAC0ALQAtAC0ALQAtAC0ALQAtAC0ALQAtAC0ALQAtAC0AXABuACoALwBcAG4AXABuAEMAbwBtAG0AbwBuAF8AUwBvAHUAcgBjAGUARABhAHQAYQBfAFQAZQBtAHAAZQByAGEAdAB1AHIAZQBaAG8AbgBlAHMAXwBUAGkAdABsAGUAXABuACAAIAA9AEwAQQBNAEIARABBACgAXAAiAFYARQBFAFIARwAgAEEAdQBzAHQAcgBhAGwAaQBhAG4AIAB0AGUAbQBwAGUAcgBhAHQAdQByAGUAIAB6AG8AbgBlAHMAXAAiACkAOwBcAG4AXABuAEMAbwBtAG0AbwBuAF8AUwBvAHUAcgBjAGUARABhAHQAYQBfAFQAZQBtAHAAZQByAGEAdAB1AHIAZQBaAG8AbgBlAHMAXwBWAGEAcgBpAGEAYgBsAGUAXABuACAAIAA9AEwAQQBNAEIARABBACgAXAAiAFwAIgApADsAXABuAFwAbgBDAG8AbQBtAG8AbgBfAFMAbwB1AHIAYwBlAEQAYQB0AGEAXwBUAGUAbQBwAGUAcgBhAHQAdQByAGUAWgBvAG4AZQBzAF8AVQBuAGkAdABcAG4AIAAgAD0ATABBAE0AQgBEAEEAKABcACIAXAAiACkAOwBcAG4AXABuAEMAbwBtAG0AbwBuAF8AUwBvAHUAcgBjAGUARABhAHQAYQBfAFQAZQBtAHAAZQByAGEAdAB1AHIAZQBaAG8AbgBlAHMAXwBTAG8AdQByAGMAZQBcAG4AIAAgAD0ATABBAE0AQgBEAEEAKABcACIAVgBFAEUAUgBHACAAMgAwADIANgA6ACAAVABhAGIAbABlACAAMQAuADMAOgAgAEMAbABpAG0AYQB0AGUAIABhAG4AZAAgAFIAYQBpAG4AZgBhAGwAbAAgAHoAbwBuAGUAIABjAGwAYQBzAHMAaQBmAGkAYwBhAHQAaQBvAG4AcwAgAGEAbgBkACAAZABlAGYAaQBuAGkAdABpAG8AbgBzAFwAIgApADsAXABuAFwAbgBDAG8AbQBtAG8AbgBfAFMAbwB1AHIAYwBlAEQAYQB0AGEAXwBUAGUAbQBwAGUAcgBhAHQAdQByAGUAWgBvAG4AZQBzAF8AVgBhAHIAaQBhAHQAaQBvAG4AXABuACAAIAA9AEwAQQBNAEIARABBACgAXAAiAFYAQQBSAEkAQQBUAEkATwBOACAATwBGACAAUwBPAFUAUgBDAEUAIABEAEEAVABBADoAIABBAGQAZABlAGQAIABlAHgAdAByAGEAIABNAEEAVAAgAG0AaQBuACAAYQBuAGQAIABNAEEAVAAgAG0AYQB4ACAAYwBvAGwAdQBtAG4AcwAgAHQAbwAgAGMAYQBsAGMAdQBsAGEAdABlACAAegBvAG4AZQAgAGYAcgBvAG0AIAByAGUAYQBsACAAdABlAG0AcABlAHIAYQB0AHUAcgBlACAAZABhAHQAYQAuAFwAIgApADsAXABuAFwAbgBDAG8AbQBtAG8AbgBfAFMAbwB1AHIAYwBlAEQAYQB0AGEAXwBUAGUAbQBwAGUAcgBhAHQAdQByAGUAWgBvAG4AZQBzAF8ARABhAHQAYQBcAG4AIAAgACAAPQBMAEEATQBCAEQAQQAoAFwAbgAgACAAIAAgAE0AQQBLAEUAQQBSAFIAQQBZACgANAAsACAANAAsACAAXABuACAAIAAgACAAIAAgAEwAQQBNAEIARABBACgAcgAsAGMALAAgAFwAbgAgACAAIAAgACAAIAAgACAASQBOAEQARQBYACgAewBcAG4AIAAgACAAIAAgACAAIAAgACAAIABcACIAVABlAG0AcABlAHIAYQB0AHUAcgBlACAAWgBvAG4AZQBcACIALAAgAFwAIgBNAGUAZABpAGEAbgAgAEEAbgBuAHUAYQBsACAAVABlAG0AcABlAHIAYQB0AHUAcgBlACAAKABNAEEAVAApAFwAIgAsACAAXAAiAE0AaQBuACAATQBBAFQAXAAiACwAIABcACIATQBhAHgAIABNAEEAVABcACIAOwBcAG4AIAAgACAAIAAgACAAIAAgACAAIABcACIAVwBhAHIAbQBcACIALAAgAFwAIgBlIiAAMgA2ACAAQwBcACIALAAgADIANgAsACAAOQA5ADkAOQA5ADkAOwBcAG4AIAAgACAAIAAgACAAIAAgACAAIABcACIAVABlAG0AcABlAHIAYQB0AGUAXAAiACwAIABcACIAMQA1ACAALQAgADIANQAgAEMAXAAiACwAIAAxADUALAAgADIANQAuADkAOQA5ADsAXABuACAAIAAgACAAIAAgACAAIAAgACAAXAAiAEMAbwBvAGwAXAAiACwAIABcACIAZCIgADEANAAgAEMAXAAiACwAIAAtADkAOQA5ADkAOQA5ACwAIAAxADQALgA5ADkAOQ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UgBhAGkAbgBmAGEAbABsAFoAbwBuAGUAcwBcAG4ALQAtAC0ALQAtAC0ALQAtAC0ALQAtAC0ALQAtAC0ALQAtAC0ALQAtAC0ALQAtAC0ALQAtAC0ALQAtAC0ALQAtAC0ALQAtAC0ALQAtAFwAbgAqAC8AXABuAFwAbgBDAG8AbQBtAG8AbgBfAFMAbwB1AHIAYwBlAEQAYQB0AGEAXwBSAGEAaQBuAGYAYQBsAGwAWgBvAG4AZQBzAF8AVABpAHQAbABlAFwAbgAgACAAPQBMAEEATQBCAEQAQQAoAFwAIgBWAEUARQBSAEcAIABBAHUAcwB0AHIAYQBsAGkAYQBuACAAcgBhAGkAbgBmAGEAbABsACAAegBvAG4AZQBzAFwAIgApADsAXABuAFwAbgBDAG8AbQBtAG8AbgBfAFMAbwB1AHIAYwBlAEQAYQB0AGEAXwBSAGEAaQBuAGYAYQBsAGwAWgBvAG4AZQBzAF8AVgBhAHIAaQBhAGIAbABlAFwAbgAgACAAPQBMAEEATQBCAEQAQQAoAFwAIgBcACIAKQA7AFwAbgBcAG4AQwBvAG0AbQBvAG4AXwBTAG8AdQByAGMAZQBEAGEAdABhAF8AUgBhAGkAbgBmAGEAbABsAFoAbwBuAGUAcwBfAFUAbgBpAHQAXABuACAAIAA9AEwAQQBNAEIARABBACgAXAAiAFwAIgApADsAXABuAFwAbgBDAG8AbQBtAG8AbgBfAFMAbwB1AHIAYwBlAEQAYQB0AGEAXwBSAGEAaQBuAGYAYQBsAGwAWgBvAG4AZQBzAF8AUwBvAHUAcgBjAGUAXABuACAAIAA9AEwAQQBNAEIARABBACgAXAAiAFYARQBFAFIARwAgADIAMAAyADYAOgAgAFQAYQBiAGwAZQAgADEALgAzADoAIABDAGwAaQBtAGEAdABlACAAYQBuAGQAIABSAGEAaQBuAGYAYQBsAGwAIAB6AG8AbgBlACAAYwBsAGEAcwBzAGkAZgBpAGMAYQB0AGkAbwBuAHMAIABhAG4AZAAgAGQAZQBmAGkAbgBpAHQAaQBvAG4AcwBcACIAKQA7AFwAbgBcAG4AQwBvAG0AbQBvAG4AXwBTAG8AdQByAGMAZQBEAGEAdABhAF8AUgBhAGkAbgBmAGEAbABsAFoAbwBuAGUAcwBfAFYAYQByAGkAYQB0AGkAbwBuAFwAbgAgACAAPQBMAEEATQBCAEQAQQAoAFwAIgBWAEEAUgBJAEEAVABJAE8ATgAgAE8ARgAgAFMATwBVAFIAQwBFACAARABBAFQAQQA6ACAAQQBkAGQAZQBkACAAZQB4AHQAcgBhACAAUgBhAGkAbgBmAGEAbABsACAAbQBpAG4AIABhAG4AZAAgAFIAYQBpAG4AZgBhAGwAbAAgAG0AYQB4ACAAYwBvAGwAdQBtAG4AcwAgAHQAbwAgAGMAYQBsAGMAdQBsAGEAdABlACAAegBvAG4AZQAgAGYAcgBvAG0AIAByAGUAYQBsACAAcgBhAGkAbgBmAGEAbABsACAAZABhAHQAYQAuAFwAIgApADsAXABuAFwAbgBDAG8AbQBtAG8AbgBfAFMAbwB1AHIAYwBlAEQAYQB0AGEAXwBSAGEAaQBuAGYAYQBsAGwAWgBvAG4AZQBzAF8ARABhAHQAYQBcAG4AIAAgACAAPQBMAEEATQBCAEQAQQAoAFwAbgAgACAAIAAgAE0AQQBLAEUAQQBSAFIAQQBZACgAMwAsACAANAAsACAAXABuACAAIAAgACAAIAAgAEwAQQBNAEIARABBACgAcgAsAGMALAAgAFwAbgAgACAAIAAgACAAIAAgACAASQBOAEQARQBYACgAewBcAG4AIAAgACAAIAAgACAAIAAgACAAIABcACIAUgBhAGkAbgBmAGEAbABsACAAWgBvAG4AZQBcACIALAAgAFwAIgBBAG4AbgB1AGEAbAAgAHIAYQBpAG4AZgBhAGwAbABcACIALAAgAFwAIgBSAGEAaQBuAGYAYQBsAGwAIABtAGkAbgBcACIALAAgAFwAIgBSAGEAaQBuAGYAYQBsAGwAIABtAGEAeABcACIAOwBcAG4AIAAgACAAIAAgACAAIAAgACAAIABcACIASABpAGcAaAAgAHIAYQBpAG4AZgBhAGwAbABcACIALAAgAFwAIgBBAG4AbgB1AGEAbAAgAHIAYQBpAG4AZgBhAGwAbAAgAD4AIAA2ADAAMABtAG0AXAAiACwAIAA2ADAAMAAuADAAMAAxACwAIAA5ADkAOQA5ADkAOQA7AFwAbgAgACAAIAAgACAAIAAgACAAIAAgAFwAIgBMAG8AdwAgAHIAYQBpAG4AZgBhAGwAbABcACIALAAgAFwAIgBBAG4AbgB1AGEAbAAgAHIAYQBpAG4AZgBhAGwAbAAgAGQiIAA2ADAAMABtAG0AXAAiACwAIAAtADkAOQA5ADkAOQA5ACwAIAA2ADAAMA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TABlAGEAYwBoAGkAbgBnAFoAbwBuAGUAcwBcAG4ALQAtAC0ALQAtAC0ALQAtAC0ALQAtAC0ALQAtAC0ALQAtAC0ALQAtAC0ALQAtAC0ALQAtAC0ALQAtAC0ALQAtAC0ALQAtAC0ALQAtAFwAbgAqAC8AXABuAFwAbgBDAG8AbQBtAG8AbgBfAFMAbwB1AHIAYwBlAEQAYQB0AGEAXwBMAGUAYQBjAGgAaQBuAGcAWgBvAG4AZQBzAF8AVABpAHQAbABlAFwAbgAgACAAPQBMAEEATQBCAEQAQQAoAFwAIgBWAEUARQBSAEcAIABBAHUAcwB0AHIAYQBsAGkAYQBuACAAbABlAGEAYwBoAGkAbgBnACAAegBvAG4AZQBzAFwAIgApADsAXABuAFwAbgBDAG8AbQBtAG8AbgBfAFMAbwB1AHIAYwBlAEQAYQB0AGEAXwBMAGUAYQBjAGgAaQBuAGcAWgBvAG4AZQBzAF8AVgBhAHIAaQBhAGIAbABlAFwAbgAgACAAPQBMAEEATQBCAEQAQQAoAFwAIgBcACIAKQA7AFwAbgBcAG4AQwBvAG0AbQBvAG4AXwBTAG8AdQByAGMAZQBEAGEAdABhAF8ATABlAGEAYwBoAGkAbgBnAFoAbwBuAGUAcwBfAFUAbgBpAHQAXABuACAAIAA9AEwAQQBNAEIARABBACgAXAAiAFwAIgApADsAXABuAFwAbgBDAG8AbQBtAG8AbgBfAFMAbwB1AHIAYwBlAEQAYQB0AGEAXwBMAGUAYQBjAGgAaQBuAGcAWgBvAG4AZQBzAF8AUwBvAHUAcgBjAGUAXABuACAAIAA9AEwAQQBNAEIARABBACgAXAAiAFYARQBFAFIARwAgADIAMAAyADYAOgAgAFQAYQBiAGwAZQAgADEALgAzADoAIABDAGwAaQBtAGEAdABlACAAYQBuAGQAIABSAGEAaQBuAGYAYQBsAGwAIAB6AG8AbgBlACAAYwBsAGEAcwBzAGkAZgBpAGMAYQB0AGkAbwBuAHMAIABhAG4AZAAgAGQAZQBmAGkAbgBpAHQAaQBvAG4AcwBcACIAKQA7AFwAbgBcAG4AQwBvAG0AbQBvAG4AXwBTAG8AdQByAGMAZQBEAGEAdABhAF8ATABlAGEAYwBoAGkAbgBnAFoAbwBuAGUAcwBfAFYAYQByAGkAYQB0AGkAbwBuAFwAbgAgACAAPQBMAEEATQBCAEQAQQAoAFwAIgBcACIAKQA7AFwAbgBcAG4AQwBvAG0AbQBvAG4AXwBTAG8AdQByAGMAZQBEAGEAdABhAF8ATABlAGEAYwBoAGkAbgBnAFoAbwBuAGUAcwBfAEQAYQB0AGEAXABuACAAIAAgAD0ATABBAE0AQgBEAEEAKABcAG4AIAAgACAAIABNAEEASwBFAEEAUgBSAEEAWQAoADQALAAgADIALAAgAFwAbgAgACAAIAAgACAAIABMAEEATQBCAEQAQQAoAHIALABjACwAIABcAG4AIAAgACAAIAAgACAAIAAgAEkATgBEAEUAWAAoAHsAXABuACAAIAAgACAAIAAgACAAIAAgACAAXAAiAEwAZQBhAGMAaABpAG4AZwAgAFoAbwBuAGUAXAAiACwAIABcACIATABlAGEAYwBoAGkAbgBnACAAYwByAGkAdABlAHIAaQBhAFwAIgA7AFwAbgAgACAAIAAgACAAIAAgACAAIAAgAFwAIgBMAGUAYQBjAGgAaQBuAGcAIABvAGMAYwB1AHIAcwBcACIALAAgAFwAIgCjAygANdhf3DXYTtw12FbcNdhb3CkAPgCjAygANdg43DXYR9wwACkAKwA12GDcNdhc3DXYVtw12FncIAA12GTcNdhO3DXYYdw12FLcNdhf3CAADiE12FzcNdhZ3DXYUdw12FbcNdhb3DXYVNwgADXYUNw12E7cNdhd3DXYTtw12FDcNdhW3DXYYdw12GbcXAAiADsAXABuACAAIAAgACAAIAAgACAAIAAgACAAXAAiAEwAZQBhAGMAaABpAG4AZwAgAGQAbwBlAHMAIABuAG8AdAAgAG8AYwBjAHUAcgBcACIALAAgAFwAIgCjAygANdhf3DXYTtw12FbcNdhb3CkAZCKjAygANdg43DXYR9wwACkAKwA12GDcNdhc3DXYVtw12FncIAA12GTcNdhO3DXYYdw12FLcNdhf3CAADiE12FzcNdhZ3DXYUdw12FbcNdhb3DXYVNwgADXYUNw12E7cNdhd3DXYTtw12FDcNdhW3DXYYdw12GbcXAAiAFwAbgAgACAAIAAgACAAIAAgACAAfQAsACAAcgAsACAAYwApAFwAbgAgACAAIAAgACAAIAApAFwAbgAgACAAIAAgACkAXABuACAAIAApADsAXABuAFwAbgAvACoAIABcAG4ALQAtAC0ALQAtAC0ALQAtAC0ALQAtAC0ALQAtAC0ALQAtAC0ALQAtAC0ALQAtAC0ALQAtAC0ALQAtAC0ALQAtAC0ALQAtAC0ALQAtAFwAbgBDAG8AbQBtAG8AbgBfAFMAbwB1AHIAYwBlAEQAYQB0AGEAXwBGAHIAYQBjAFcARQBUAFwAbgA1AC4ANQAuADIALgAzACAAQwBvAG4AcwB0AGEAbgB0ACAAUABhAHIAYQBtAGUAdABlAHIAcwBcAG4ARgByAGEAYwB0AGkAbwBuACAAbwBmACAATgAgAHQAaABhAHQAIABpAHMAIABhAHYAYQBpAGwAYQBiAGwAZQAgAGYAbwByACAAbABlAGEAYwBoAGkAbgBnACAAYQBuAGQAIAByAHUAbgBvAGYAZgBcAG4ALQAtAC0ALQAtAC0ALQAtAC0ALQAtAC0ALQAtAC0ALQAtAC0ALQAtAC0ALQAtAC0ALQAtAC0ALQAtAC0ALQAtAC0ALQAtAC0ALQAtAFwAbgAqAC8AXABuAFwAbgBDAG8AbQBtAG8AbgBfAFMAbwB1AHIAYwBlAEQAYQB0AGEAXwBGAHIAYQBjAFcARQBUAF8AVABpAHQAbABlAFwAbgAgACAAPQBMAEEATQBCAEQAQQAoAFwAIgBGAHIAYQBjAHQAaQBvAG4AIABvAGYAIABOACAAdABoAGEAdAAgAGkAcwAgAGEAdgBhAGkAbABhAGIAbABlACAAZgBvAHIAIABsAGUAYQBjAGgAaQBuAGcAIABhAG4AZAAgAHIAdQBuAG8AZgBmAFwAIgApADsAXABuAFwAbgBDAG8AbQBtAG8AbgBfAFMAbwB1AHIAYwBlAEQAYQB0AGEAXwBGAHIAYQBjAFcARQBUAF8AVQBuAGkAdABcAG4AIAAgAD0ATABBAE0AQgBEAEEAKABcACIAKABEAGkAbQBlAG4AcwBpAG8AbgBsAGUAcwBzAFwAIgApADsAXABuAFwAbgBDAG8AbQBtAG8AbgBfAFMAbwB1AHIAYwBlAEQAYQB0AGEAXwBGAHIAYQBjAFcARQBUAF8AUwBvAHUAcgBjAGUAXABuACAAIAA9AEwAQQBNAEIARABBACgAXAAiAFYARQBFAFIARwAgADIAMAAyADYAOgA1AC4ANQAuADIALgAzACAAQwBvAG4AcwB0AGEAbgB0ACAAUABhAHIAYQBtAGUAdABlAHIAcwBcACIAKQA7AFwAbgBcAG4AQwBvAG0AbQBvAG4AXwBTAG8AdQByAGMAZQBEAGEAdABhAF8ARgByAGEAYwBXAEUAVABfAE4ASQBSAFIAZQBmAGUAcgBlAG4AYwBlAFwAbgAgACAAPQBMAEEATQBCAEQAQQAoAFwAIgBcACIAKQA7AFwAbgBcAG4AQwBvAG0AbQBvAG4AXwBTAG8AdQByAGMAZQBEAGEAdABhAF8ARgByAGEAYwBXAEUAVABfAEQAYQB0AGEAXABuACAAIAA9AEwAQQBNAEIARABBACgAXABuACAAIAAgACAATQBBAEsARQBBAFIAUgBBAFkAKAAzACwAIAAyACwAIABcAG4AIAAgACAAIAAgACAATABBAE0AQgBEAEEAKAByACwAYwAsACAAXABuACAAIAAgACAAIAAgACAAIABJAE4ARABFAFgAKAB7AFwAbgAgACAAIAAgACAAIAAgACAAIAAgAFwAIgBJAHMAIABpAG4AIABsAGUAYQBjAGgAaQBuAGcAIAB6AG8AbgBlAFwAIgAsAFwAIgBGAHIAYQBjAFcARQBUAFwAIgA7AFwAbgAgACAAIAAgACAAIAAgACAAIAAgAFwAIgBZAGUAcwAgAC0AIABpAG4AIABsAGUAYQBjAGgAaQBuAGcAIAB6AG8AbgBlAFwAIgAsACAAMQA7AFwAbgAgACAAIAAgACAAIAAgACAAIAAgAFwAIgBOAG8AIAAtACAAbgBvAHQAIABpAG4AIABsAGUAYQBjAGgAaQBuAGcAIAB6AG8AbgBlAFwAIgAsACAAMABcAG4AIAAgACAAIAAgACAAIAAgAH0ALAAgAHIALAAgAGMAKQBcAG4AIAAgACAAIAAgACAAKQBcAG4AIAAgACAAIAApAFwAbgAgACAAKQA7AFwAbgBcAG4AIAAgAEMAbwBtAG0AbwBuAF8AUwBvAHUAcgBjAGUARABhAHQAYQBfAEYAcgBhAGMAVwBFAFQAXwBWAGEAcgBpAGEAdABpAG8AbgBcAG4AIAAgAD0ATABBAE0AQgBEAEEAKAAoAFwAIgBcACIAKQApADsAXABuAFwAbgBcAG4AXABuAC8AKgAgAFwAbgAtAC0ALQAtAC0ALQAtAC0ALQAtAC0ALQAtAC0ALQAtAC0ALQAtAC0ALQAtAC0ALQAtAC0ALQAtAC0ALQAtAC0ALQAtAC0ALQAtAC0AXABuAEMAbwBtAG0AbwBuAF8AUwBvAHUAcgBjAGUARABhAHQAYQBfAEQAYQB0AGEAUwBjAG8AcgBlAHMAXwBTAGMAbwBwAGUAMwBcAG4ALQAtAC0ALQAtAC0ALQAtAC0ALQAtAC0ALQAtAC0ALQAtAC0ALQAtAC0ALQAtAC0ALQAtAC0ALQAtAC0ALQAtAC0ALQAtAC0ALQAtAFwAbgAqAC8AXABuAFwAbgBDAG8AbQBtAG8AbgBfAFMAbwB1AHIAYwBlAEQAYQB0AGEAXwBEAGEAdABhAFMAYwBvAHIAZQBzAF8AUwBjAG8AcABlADMAXwBUAGkAdABsAGUAXABuACAAIAA9AEwAQQBNAEIARABBACgAXAAiAEEAdQBzAHQAcgBhAGwAaQBhAG4AIABkAGEAdABhACAAcwBjAG8AcgBlAHMAIABmAG8AcgAgAHMAYwBvAHAAZQAgADMAXAAiACkAOwBcAG4AXABuAEMAbwBtAG0AbwBuAF8AUwBvAHUAcgBjAGUARABhAHQAYQBfAEQAYQB0AGEAUwBjAG8AcgBlAHMAXwBTAGMAbwBwAGUAMwBfAFYAYQByAGkAYQBiAGwAZQBcAG4AIAAgAD0ATABBAE0AQgBEAEEAKABcACIAXAAiACkAOwBcAG4AXABuAEMAbwBtAG0AbwBuAF8AUwBvAHUAcgBjAGUARABhAHQAYQBfAEQAYQB0AGEAUwBjAG8AcgBlAHMAXwBTAGMAbwBwAGUAMwBfAFUAbgBpAHQAXABuACAAIAA9AEwAQQBNAEIARABBACgAXAAiAFwAIgApADsAXABuAFwAbgBDAG8AbQBtAG8AbgBfAFMAbwB1AHIAYwBlAEQAYQB0AGEAXwBEAGEAdABhAFMAYwBvAHIAZQBzAF8AUwBjAG8AcABlADMAXwBTAG8AdQByAGMAZQBcAG4AIAAgAD0ATABBAE0AQgBEAEEAKABcACIAVgBFAEUAUgBHACAAMgAwADIANgA6ACAAWABYAFgAWABYAFgAWABYAFwAIgApADsAXABuAFwAbgBDAG8AbQBtAG8AbgBfAFMAbwB1AHIAYwBlAEQAYQB0AGEAXwBEAGEAdABhAFMAYwBvAHIAZQBzAF8AUwBjAG8AcABlADMAXwBWAGEAcgBpAGEAdABpAG8AbgBcAG4AIAAgAD0ATABBAE0AQgBEAEEAKABcACIAXAAiACkAOwBcAG4AXABuAEMAbwBtAG0AbwBuAF8AUwBvAHUAcgBjAGUARABhAHQAYQBfAEQAYQB0AGEAUwBjAG8AcgBlAHMAXwBTAGMAbwBwAGUAMwBfAEQAYQB0AGEAXABuACAAIAAgAD0ATABBAE0AQgBEAEEAKABcAG4AIAAgACAAIABNAEEASwBFAEEAUgBSAEEAWQAoADYALAAgADIALAAgAFwAbgAgACAAIAAgACAAIABMAEEATQBCAEQAQQAoAHIALABjACwAIABcAG4AIAAgACAAIAAgACAAIAAgAEkATgBEAEUAWAAoAHsAXABuACAAIAAgACAAIAAgACAAIAAgACAAXAAiAEQAYQB0AGEAIABzAG8AdQByAGMAZQBcACIALAAgAFwAIgBEAGEAdABhACAAcwBjAG8AcgBlAFwAIgA7AFwAbgAgACAAIAAgACAAIAAgACAAIAAgAFwAIgBJAG4AdABlAHIAbgBhAHQAaQBvAG4AYQBsACAAcwBjAG8AcABlACAAMwAgAGQAYQB0AGEAYgBhAHMAZQBcACIALAAgADEAOwBcAG4AIAAgACAAIAAgACAAIAAgACAAIABcACIAQQB1AHMAdAByAGEAbABpAGEAbgAgAHMAYwBvAHAAZQAgADMAIABkAGEAdABhAGIAYQBzAGUAXAAiACwAIAAyADsAXABuACAAIAAgACAAIAAgACAAIAAgACAAXAAiAFMAdABhAHQAZQAgAG8AcgAgAHIAZQBnAGkAbwBuAGEAbAAgAHMAYwBvAHAAZQAgADMAIABkAGEAdABhAGIAYQBzAGUAXAAiACwAIAAzADsAXABuACAAIAAgACAAIAAgACAAIAAgACAAXAAiAEUAbQBpAHMAcwBpAG8AbgBzACAAaQBuAHQAZQBuAHMAaQB0AHkAIABjAGEAbABjAHUAbABhAHQAZQBkACAAZgByAG8AbQAgAGEAcABwAHIAbwB2AGUAZAAgAG0AZQB0AGgAbwBkAFwAIgAsACAANAA7AFwAbgAgACAAIAAgACAAIAAgACAAIAAgAFwAIgBWAGUAcgBpAGYAaQBlAGQAIABjAHIAZQBkAGUAbgB0AGkAYQBsACAAbQBhAHQAYwBoAGkAbgBnACAASQBTAE8AMQA0ADAANgA3AFwAIgAsACAANQBcAG4AIAAgACAAIAAgACAAIAAgAH0ALAAgAHIALAAgAGMAKQBcAG4AIAAgACAAIAAgACAAKQBcAG4AIAAgACAAIAApAFwAbgAgACAAKQA7AFwAbgBcAG4AXABuAC8AKgAgAFwAbgAtAC0ALQAtAC0ALQAtAC0ALQAtAC0ALQAtAC0ALQAtAC0ALQAtAC0ALQAtAC0ALQAtAC0ALQAtAC0ALQAtAC0ALQAtAC0ALQAtAC0AXABuAEMAbwBtAG0AbwBuAF8AUwBvAHUAcgBjAGUARABhAHQAYQBfAEYAcgBhAGMATABFAEEAQwBIAFwAbgA1AC4ANQAuADIALgAzACAAQwBvAG4AcwB0AGEAbgB0ACAAUABhAHIAYQBtAGUAdABlAHIAcwBcAG4ARgByAGEAYwB0AGkAbwBuACAAbwBmACAATgAgAHQAaABhAHQAIABpAHMAIABhAHYAYQBpAGwAYQBiAGwAZQAgAGYAbwByACAAbABlAGEAYwBoAGkAbgBnACAAYQBuAGQAIAByAHUAbgBvAGYAZgBcAG4ALQAtAC0ALQAtAC0ALQAtAC0ALQAtAC0ALQAtAC0ALQAtAC0ALQAtAC0ALQAtAC0ALQAtAC0ALQAtAC0ALQAtAC0ALQAtAC0ALQAtAFwAbgAqAC8AXABuAFwAbgBDAG8AbQBtAG8AbgBfAFMAbwB1AHIAYwBlAEQAYQB0AGEAXwBGAHIAYQBjAEwARQBBAEMASABfAFQAaQB0AGwAZQBcAG4AIAAgAD0ATABBAE0AQgBEAEEAKABcACIARgByAGEAYwB0AGkAbwBuACAAbwBmACAATgAgAHQAaABhAHQAIABpAHMAIABhAHYAYQBpAGwAYQBiAGwAZQAgAGYAbwByACAAbABlAGEAYwBoAGkAbgBnACAAYQBuAGQAIAByAHUAbgBvAGYAZgBcACIAKQA7AFwAbgBcAG4AQwBvAG0AbQBvAG4AXwBTAG8AdQByAGMAZQBEAGEAdABhAF8ARgByAGEAYwBMAEUAQQBDAEgAXwBVAG4AaQB0AFwAbgAgACAAPQBMAEEATQBCAEQAQQAoAFwAIgAoAEQAaQBtAGUAbgBzAGkAbwBuAGwAZQBzAHMAXAAiACkAOwBcAG4AXABuAEMAbwBtAG0AbwBuAF8AUwBvAHUAcgBjAGUARABhAHQAYQBfAEYAcgBhAGMATABFAEEAQwBIAF8AUwBvAHUAcgBjAGUAXABuACAAIAA9AEwAQQBNAEIARABBACgAXAAiAFYARQBFAFIARwAgADIAMAAyADYAOgA1AC4ANQAuADIALgAzACAAQwBvAG4AcwB0AGEAbgB0ACAAUABhAHIAYQBtAGUAdABlAHIAcwBcACIAKQA7AFwAbgBcAG4AQwBvAG0AbQBvAG4AXwBTAG8AdQByAGMAZQBEAGEAdABhAF8ARgByAGEAYwBMAEUAQQBDAEgAXwBOAEkAUgBSAGUAZgBlAHIAZQBuAGMAZQBcAG4AIAAgAD0ATABBAE0AQgBEAEEAKABcACIATgBhAHQAaQBvAG4AYQBsACAASQBuAHYAZQBuAHQAbwByAHkAIABSAGUAcABvAHIAdAAgAFYAbwBsAHUAbQBlACAAMQA6ACAATABlAGEAYwBoAGkAbgBnACAAYQBuAGQAIAByAHUAbgBvAGYAZgAgACgAMwAuAEQALgBiAC4AMgApAFwAIgApADsAXABuAFwAbgBDAG8AbQBtAG8AbgBfAFMAbwB1AHIAYwBlAEQAYQB0AGEAXwBGAHIAYQBjAEwARQBBAEMASABfAEQAYQB0AGEAXABuACAAIAA9AEwAQQBNAEIARABBACgAXABuACAAIAAgACAATQBBAEsARQBBAFIAUgBBAFkAKAAxACwAIAAyACwAIABcAG4AIAAgACAAIAAgACAATABBAE0AQgBEAEEAKAByACwAYwAsACAAXABuACAAIAAgACAAIAAgACAAIABJAE4ARABFAFgAKAB7AFwAbgAgACAAIAAgACAAIAAgACAAIAAgAFwAIgBGAHIAYQBjAEwARQBBAEMASABcACIALAAwAC4AMgA0AFwAbgAgACAAIAAgACAAIAAgACAAfQAsACAAcgAsACAAYwApAFwAbgAgACAAIAAgACAAIAApAFwAbgAgACAAIAAgACkAXABuACAAIAApADsAXABuAFwAbgAgACAAQwBvAG0AbQBvAG4AXwBTAG8AdQByAGMAZQBEAGEAdABhAF8ARgByAGEAYwBMAEUAQQBDAEgAXwBWAGEAcgBpAGEAdABpAG8AbgBcAG4AIAAgAD0ATABBAE0AQgBEAEEAKAAoAFwAIgBcACIAKQApADsAXABuAFwAbgBcAG4AXABuAC8AKgAgAFwAbgAtAC0ALQAtAC0ALQAtAC0ALQAtAC0ALQAtAC0ALQAtAC0ALQAtAC0ALQAtAC0ALQAtAC0ALQAtAC0ALQAtAC0ALQAtAC0ALQAtAC0AXABuAEMAbwBtAG0AbwBuAF8AUwBvAHUAcgBjAGUARABhAHQAYQBfAEUARgBsAGUAYQBjAGgAXABuADUALgA1AC4AMgAuADMAIABDAG8AbgBzAHQAYQBuAHQAIABQAGEAcgBhAG0AZQB0AGUAcgBzAFwAbgBFAG0AaQBzAHMAaQBvAG4AIABmAGEAYwB0AG8AcgAgAGYAbwByACAAbgBpAHQAcgBvAGcAZQBuACAAbABlAGEAYwBoAGkAbgBnACAAYQBuAGQAIAByAHUAbgBvAGYAZgBcAG4ALQAtAC0ALQAtAC0ALQAtAC0ALQAtAC0ALQAtAC0ALQAtAC0ALQAtAC0ALQAtAC0ALQAtAC0ALQAtAC0ALQAtAC0ALQAtAC0ALQAtAFwAbgAqAC8AXABuAFwAbgBDAG8AbQBtAG8AbgBfAFMAbwB1AHIAYwBlAEQAYQB0AGEAXwBFAEYAbABlAGEAYwBoAF8AVABpAHQAbABlAFwAbgAgACAAPQBMAEEATQBCAEQAQQAoAFwAIgBFAG0AaQBzAHMAaQBvAG4AIABmAGEAYwB0AG8AcgAgAGYAbwByACAAbgBpAHQAcgBvAGcAZQBuACAAbABlAGEAYwBoAGkAbgBnACAAYQBuAGQAIAByAHUAbgBvAGYAZgBcACIAKQA7AFwAbgBcAG4AQwBvAG0AbQBvAG4AXwBTAG8AdQByAGMAZQBEAGEAdABhAF8ARQBGAGwAZQBhAGMAaABfAFUAbgBpAHQAXABuACAAIAA9AEwAQQBNAEIARABBACgAXAAiACgAawBnACAATgAyAE8ALQBOACAALwAgAGsAZwAgAE4AXAAiACkAOwBcAG4AXABuAEMAbwBtAG0AbwBuAF8AUwBvAHUAcgBjAGUARABhAHQAYQBfAEUARgBsAGUAYQBjAGgAXwBTAG8AdQByAGMAZQBcAG4AIAAgAD0ATABBAE0AQgBEAEEAKABcACIAVgBFAEUAUgBHACAAMgAwADIANgA6ADUALgA1AC4AMgAuADMAIABDAG8AbgBzAHQAYQBuAHQAIABQAGEAcgBhAG0AZQB0AGUAcgBzAFwAIgApADsAXABuAFwAbgBDAG8AbQBtAG8AbgBfAFMAbwB1AHIAYwBlAEQAYQB0AGEAXwBFAEYAbABlAGEAYwBoAF8ATgBJAFIAUgBlAGYAZQByAGUAbgBjAGUAXABuACAAIAA9AEwAQQBNAEIARABBACgAXAAiAE4AYQB0AGkAbwBuAGEAbAAgAEkAbgB2AGUAbgB0AG8AcgB5ACAAUgBlAHAAbwByAHQAIABWAG8AbAB1AG0AZQAgADEAOgAgAEUAcQB1AGEAdABpAG8AbgAgADMALgBEAC4AQgBfADEAMABcACIAKQA7AFwAbgBcAG4AQwBvAG0AbQBvAG4AXwBTAG8AdQByAGMAZQBEAGEAdABhAF8ARQBGAGwAZQBhAGMAaABfAEQAYQB0AGEAXABuACAAIAA9AEwAQQBNAEIARABBACgAXABuACAAIAAgACAATQBBAEsARQBBAFIAUgBBAFkAKAAxACwAIAAyACwAIABcAG4AIAAgACAAIAAgACAATABBAE0AQgBEAEEAKAByACwAYwAsACAAXABuACAAIAAgACAAIAAgACAAIABJAE4ARABFAFgAKAB7AFwAbgAgACAAIAAgACAAIAAgACAAIAAgAFwAIgBFAEYAbABlAGEAYwBoAFwAIgAsADAALgAwADEAMQBcAG4AIAAgACAAIAAgACAAIAAgAH0ALAAgAHIALAAgAGMAKQBcAG4AIAAgACAAIAAgACAAKQBcAG4AIAAgACAAIAApAFwAbgAgACAAKQA7AFwAbgBcAG4AIAAgAEMAbwBtAG0AbwBuAF8AUwBvAHUAcgBjAGUARABhAHQAYQBfAEUARgBsAGUAYQBjAGgAXwBWAGEAcgBpAGEAdABpAG8AbgBcAG4AIAAgAD0ATABBAE0AQgBEAEEAKAAoAFwAIgBcACIAKQApADsAXABuAFwAbgBcAG4ALwAqACAAXABuAC0ALQAtAC0ALQAtAC0ALQAtAC0ALQAtAC0ALQAtAC0ALQAtAC0ALQAtAC0ALQAtAC0ALQAtAC0ALQAtAC0ALQAtAC0ALQAtAC0ALQBcAG4AQwBvAG0AbQBvAG4AXwBTAG8AdQByAGMAZQBEAGEAdABhAF8ARQBGAE4AMgBPAFwAbgBUAGEAYgBsAGUAIABBAC4AMgAuADIALgAxAFwAbgBOAGkAdAByAG8AdQBzACAAbwB4AGkAZABlACAAZQBtAGkAcwBzAGkAbwBuACAAZgBhAGMAdABvAHIAcwAgAGYAbwByACAAaQBuAG8AcgBnAGEAbgBpAGMAIABmAGUAcgB0AGkAbABpAHMAZQByACAAYQBwAHAAbABpAGMAYQB0AGkAbwBuACAAKABrAGcAIABOADIATwAtAE4ALwBrAGcAIABOACkAIAAoAEUARgBOADIATwApAFwAbgAtAC0ALQAtAC0ALQAtAC0ALQAtAC0ALQAtAC0ALQAtAC0ALQAtAC0ALQAtAC0ALQAtAC0ALQAtAC0ALQAtAC0ALQAtAC0ALQAtAC0AXABuACoALwBcAG4AXABuAEMAbwBtAG0AbwBuAF8AUwBvAHUAcgBjAGUARABhAHQAYQBfAEUARgBOADIATwBfAFQAaQB0AGwAZQBcAG4AIAAgAD0ATABBAE0AQgBEAEEAKABcACIATgBpAHQAcgBvAHUAcwAgAG8AeABpAGQAZQAgAGUAbQBpAHMAcwBpAG8AbgAgAGYAYQBjAHQAbwByAHMAIABmAG8AcgAgAGkAbgBvAHIAZwBhAG4AaQBjACAAZgBlAHIAdABpAGwAaQBzAGUAcgAgAGEAcABwAGwAaQBjAGEAdABpAG8AbgBcACIAKQA7AFwAbgBcAG4AQwBvAG0AbQBvAG4AXwBTAG8AdQByAGMAZQBEAGEAdABhAF8ARQBGAE4AMgBPAF8AVQBuAGkAdABcAG4AIAAgAD0ATABBAE0AQgBEAEEAKABcACIAKABrAGcAIABOADIATwAtAE4AIAAvACAAawBnACAATgBcACIAKQA7AFwAbgBcAG4AQwBvAG0AbQBvAG4AXwBTAG8AdQByAGMAZQBEAGEAdABhAF8ARQBGAE4AMgBPAF8AUwBvAHUAcgBjAGUAXABuACAAIAA9AEwAQQBNAEIARABBACgAXAAiAFYARQBFAFIARwAgADIAMAAyADYAOgAgAFQAYQBiAGwAZQAgAEEALgAyAC4AMgAuADEAXAAiACkAOwBcAG4AXABuAEMAbwBtAG0AbwBuAF8AUwBvAHUAcgBjAGUARABhAHQAYQBfAEUARgBOADIATwBfAE4ASQBSAFIAZQBmAGUAcgBlAG4AYwBlAFwAbgAgACAAPQBMAEEATQBCAEQAQQAoAFwAIgBcACIAKQA7AFwAbgBcAG4AQwBvAG0AbQBvAG4AXwBTAG8AdQByAGMAZQBEAGEAdABhAF8ARQBGAE4AMgBPAF8ARABhAHQAYQBcAG4AIAAgAD0ATABBAE0AQgBEAEEAKABcAG4AIAAgACAAIABNAEEASwBFAEEAUgBSAEEAWQAoADEANQAsACAANQAsACAAXABuACAAIAAgACAAIAAgAEwAQQBNAEIARABBACgAcgAsAGMALAAgAFwAbgAgACAAIAAgACAAIAAgACAASQBOAEQARQBYACgAewBcAG4AIAAgACAAIAAgACAAIAAgACAAIABcACIAUAByAG8AZAB1AGMAdABpAG8AbgAgAHMAeQBzAHQAZQBtACAAagBcACIALABcACIARQBGAE4AMgBPAFwAIgAsACAAXAAiAFAAcgBvAGQAdQBjAHQAaQBvAG4AIABzAHkAcwB0AGUAbQAgAG8AbgBsAHkAXAAiACwAIABcACIASQByAHIAaQBnAGEAdABpAG8AbgAgAG0AZQB0AGgAbwBkAFwAIgAsACAAXAAiAFIAYQBpAG4AZgBhAGwAbAAgAHoAbwBuAGUAXAAiADsAXABuACAAIAAgACAAIAAgACAAIAAgACAAXAAiAEkAcgByAGkAZwBhAHQAZQBkACAAcABhAHMAdAB1AHIAZQBcACIALAAwAC4AMAAwADUAOQAsACAAXAAiAFAAYQBzAHQAdQByAGUAXAAiACwAIABcACIAQQBuAHkAXAAiACwAIABcACIAQQBuAHkAXAAiADsAXABuACAAIAAgACAAIAAgACAAIAAgACAAXAAiAEkAcgByAGkAZwBhAHQAZQBkACAAYwByAG8AcABcACIALAAwAC4AMAAwADcALAAgAFwAIgBDAHIAbwBwAFwAIgAsACAAXAAiAEEAbgB5AFwAIgAsACAAXAAiAEEAbgB5AFwAIgA7AFwAbgAgACAAIAAgACAAIAAgACAAIAAgAFwAIgBOAG8AbgAtAGkAcgByAGkAZwBhAHQAZQBkACAAcABhAHMAdAB1AHIAZQBcACIALAAwAC4AMAAwADEAOAAsACAAXAAiAFAAYQBzAHQAdQByAGUAXAAiACwAIABcACIATgBvAHQAIABpAHIAcgBpAGcAYQB0AGUAZABcACIALAAgAFwAIgBMAG8AdwAgAHIAYQBpAG4AZgBhAGwAbABcACIAOwBcAG4AIAAgACAAIAAgACAAIAAgACAAIABcACIATgBvAG4ALQBpAHIAcgBpAGcAYQB0AGUAZAAgAHAAYQBzAHQAdQByAGUAXAAiACwAMAAuADAAMAAxADgALAAgAFwAIgBQAGEAcwB0AHUAcgBlAFwAIgAsACAAXAAiAE4AbwB0ACAAaQByAHIAaQBnAGEAdABlAGQAXAAiACwAIABcACIASABpAGcAaAAgAHIAYQBpAG4AZgBhAGwAbABcACIAOwBcAG4AIAAgACAAIAAgACAAIAAgACAAIABcACIATgBvAG4ALQBpAHIAcgBpAGcAYQB0AGUAZAAgAGMAcgBvAHAAIAAoAGwAbwB3ACAAcgBhAGkAbgBmAGEAbABsACkAXAAiACwAMAAuADAAMAAyADkALAAgAFwAIgBDAHIAbwBwAFwAIgAsACAAXAAiAE4AbwB0ACAAaQByAHIAaQBnAGEAdABlAGQAXAAiACwAIABcACIATABvAHcAIAByAGEAaQBuAGYAYQBsAGwAXAAiADsAXABuACAAIAAgACAAIAAgACAAIAAgACAAXAAiAE4AbwBuAC0AaQByAHIAaQBnAGEAdABlAGQAIABjAHIAbwBwACAAKABoAGkAZwBoACAAcgBhAGkAbgBmAGEAbABsACkAXAAiACwAMAAuADAAMAA4ACwAIABcACIAQwByAG8AcABcACIALAAgAFwAIgBOAG8AdAAgAGkAcgByAGkAZwBhAHQAZQBkAFwAIgAsACAAXAAiAEgAaQBnAGgAIAByAGEAaQBuAGYAYQBsAGwAXAAiADsAXABuACAAIAAgACAAIAAgACAAIAAgACAAXAAiAFMAdQBnAGEAcgBcACIALAAwAC4AMAAxADkAOQAsACAAXAAiAFMAdQBnAGEAcgBcACIALAAgAFwAIgBBAG4AeQBcACIALAAgAFwAIgBBAG4AeQBcACIAOwBcAG4AIAAgACAAIAAgACAAIAAgACAAIABcACIAQwBvAHQAdABvAG4AXAAiACwAMAAuADAAMAA1ADMALAAgAFwAIgBDAG8AdAB0AG8AbgBcACIALAAgAFwAIgBBAG4AeQBcACIALAAgAFwAIgBBAG4AeQBcACIAOwBcAG4AIAAgACAAIAAgACAAIAAgACAAIABcACIASABvAHIAdABpAGMAdQBsAHQAdQByAGEAbAAgAGMAcgBvAHAAcwBcACIALAAwAC4AMAAwADYANAAsACAAXAAiAEgAbwByAHQAaQBjAHUAbAB0AHUAcgBhAGwAIABjAHIAbwBwAHMAXAAiACwAIABcACIAQQBuAHkAXAAiACwAIABcACIAQQBuAHkAXAAiADsAXABuACAAIAAgACAAIAAgACAAIAAgACAAXAAiAFIAaQBjAGUAIAAoAGMAbwBuAHQAaQBuAHUAbwB1AHMAIABmAGwAbwBvAGQAaQBuAGcAKQBcACIALAAwAC4AMAAwADMALAAgAFwAIgBSAGkAYwBlAFwAIgAsACAAXAAiAEMAbwBuAHQAaQBuAHUAbwB1AHMAIABmAGwAbwBvAGQAaQBuAGcAXAAiACwAIABcACIAQQBuAHkAXAAiADsAXABuACAAIAAgACAAIAAgACAAIAAgACAAXAAiAFIAaQBjAGUAIAAoAHMAaQBuAGcAbABlACAAYQBuAGQAIABtAHUAbAB0AGkAcABsAGUAIABkAHIAYQBpAG4AYQBnAGUALAAgAG8AcgAgAGEAbAB0AGUAcgBuAGEAdABlACAAdwBlAHQAdABpAG4AZwAgAGEAbgBkACAAZAByAHkAaQBuAGcAKQBcACIALAAwAC4AMAAwADUALAAgAFwAIgBSAGkAYwBlAFwAIgAsACAAXAAiAFMAaQBuAGcAbABlACAAYQBuAGQAIABtAHUAbAB0AGkAcABsAGUAIABkAHIAYQBpAG4AYQBnAGUALAAgAG8AcgAgAGEAbAB0AGUAcgBuAGEAdABlACAAdwBlAHQAdABpAG4AZwAgAGEAbgBkACAAZAByAHkAaQBuAGcAXAAiACwAIABcACIAQQBuAHkAXAAiADsAXABuACAAIAAgACAAIAAgACAAIAAgACAAXAAiAEEAcQB1AGEAYwB1AGwAdAB1AHIAZQBcACIALAAwAC4AMAAwADIANgAsACAAXAAiAEEAcQB1AGEAYwB1AGwAdAB1AHIAZQBcACIALAAgAFwAIgBBAG4AeQBcACIALAAgAFwAIgBBAG4AeQBcACIAOwBcAG4AIAAgACAAIAAgACAAIAAgACAAIABcACIARgBvAHIAZQBzAHQAcgB5AFwAIgAsADAALgAwADAAMQA4ACwAIABcACIARgBvAHIAZQBzAHQAcgB5AFwAIgAsACAAXAAiAEEAbgB5AFwAIgAsACAAXAAiAEEAbgB5AFwAIgBcAG4AIAAgACAAIAAgACAAIAAgAH0ALAAgAHIALAAgAGMAKQBcAG4AIAAgACAAIAAgACAAKQBcAG4AIAAgACAAIAApAFwAbgAgACAAKQA7AFwAbgBcAG4AIAAgAEMAbwBtAG0AbwBuAF8AUwBvAHUAcgBjAGUARABhAHQAYQBfAEUARgBOADIATwBfAFYAYQByAGkAYQB0AGkAbwBuAFwAbgAgACAAPQBMAEEATQBCAEQAQQAoAFwAbgAgACAAIAAgAE0AQQBLAEUAQQBSAFIAQQBZACgANQAsACAAMQAsACAAXABuACAAIAAgACAAIAAgAEwAQQBNAEIARABBACgAcgAsAGMALAAgAFwAbgAgACAAIAAgACAAIAAgACAASQBOAEQARQBYACgAewBcAG4AIAAgACAAIAAgACAAIAAgACAAIABcACIAVgBBAFIASQBBAFQASQBPAE4AIABPAEYAIABTAE8AVQBSAEMARQAgAEQAQQBUAEEAOgBcACIAOwBcAG4AIAAgACAAIAAgACAAIAAgACAAIABcACIAUgBlAG0AbwB2AGUAZAAgAGQAdQBwAGwAaQBjAGEAdABlACAAJwBBAHEAdQBhAGMAdQBsAHQAdQByAGUAJwAgAHIAbwB3AC4AXAAiADsAXABuACAAIAAgACAAIAAgACAAIAAgACAAXAAiAFIAZQBtAG8AdgBlAGQAIABhAHMAdABlAHIAaQBzAGsAcwAgAHQAbwAgAGEAaQBkACAAbABvAG8AawB1AHAALgBcACIAOwBcAG4AIAAgACAAIAAgACAAIAAgACAAIABcACIAQQBkAGQAZQBkACAAJwBwAHIAbwBkAHUAYwB0AGkAbwBuACAAcwB5AHMAdABlAG0AIABvAG4AbAB5ACcALAAgACcAcgBhAGkAbgBmAGEAbABsACAAegBvAG4AZQAnACAAYQBuAGQAIAAnAGkAcgByAGkAZwBhAHQAaQBvAG4AIABtAGUAdABoAG8AZAAnACAAYwBvAGwAdQBtAG4AcwAgAHQAbwAgAGEAaQBkACAAbABvAG8AawB1AHAALgBcACIAOwBcAG4AIAAgACAAIAAgACAAIAAgACAAIABcACIARAB1AHAAbABpAGMAYQB0AGUAZAAgACcAbgBvAG4ALQBpAHIAcgBpAGcAYQB0AGUAZAAgAHAAYQBzAHQAdQByAGUAJwAgAHIAbwB3ACAAdwBpAHQAaAAgAHMAYQBtAGUAIABFAEYAIABmAG8AcgAgAGwAbwB3ACAAYQBuAGQAIABoAGkAZwBoACAAcgBhAGkAbgBmAGEAbABsACAAegBvAG4AZQBzACAAdABvACAAYQBpAGQAIABsAG8AbwBrAHUAcAAuAFwAIg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RgByAGEAYwBXAEUAVABJAHIAcgBpAGcAYQB0AGkAbwBuAFwAbgBWAEUARQBSAEcAIAAyADAAMgA2ADoAIABDAGgAYQBwAHQAZQByACAAMQAsACAAcwBlAGMAdABpAG8AbgAgADEALgA4AC4AMgAgAEwAZQBhAGMAaABpAG4AZwAsACAAYwBsAGkAbQBhAHQAZQAgAGEAbgBkACAAcgBhAGkAbgBmAGEAbABsACAAegBvAG4AZQBzAFwAbgBJAFAAQwBDADoAIABOADIATwAgAEUATQBJAFMAUwBJAE8ATgBTACAARgBSAE8ATQAgAE0AQQBOAEEARwBFAEQAIABTAE8ASQBMAFMALAAgAEEATgBEACAAQwBPADIAIABFAE0ASQBTAFMASQBPAE4AUwAgAEYAUgBPAE0AIABMAEkATQBFACAAQQBOAEQAIABVAFIARQBBACAAQQBQAFAATABJAEMAQQBUAEkATwBOAFwAbgAtAC0ALQAtAC0ALQAtAC0ALQAtAC0ALQAtAC0ALQAtAC0ALQAtAC0ALQAtAC0ALQAtAC0ALQAtAC0ALQAtAC0ALQAtAC0ALQAtAC0AXABuACoALwBcAG4AXABuAEMAbwBtAG0AbwBuAF8AUwBvAHUAcgBjAGUARABhAHQAYQBfAEYAcgBhAGMAVwBFAFQASQByAHIAaQBnAGEAdABpAG8AbgBfAFQAaQB0AGwAZQBcAG4AIAAgAD0ATABBAE0AQgBEAEEAKABcACIARgByAGEAYwBXAEUAVAAgAGYAbwByACAAaQByAHIAaQBnAGEAdABpAG8AbgAgAHQAeQBwAGUAcwBcACIAKQA7AFwAbgBcAG4AQwBvAG0AbQBvAG4AXwBTAG8AdQByAGMAZQBEAGEAdABhAF8ARgByAGEAYwBXAEUAVABJAHIAcgBpAGcAYQB0AGkAbwBuAF8AVQBuAGkAdABcAG4AIAAgAD0ATABBAE0AQgBEAEEAKABcACIAZABpAG0AZQBuAHMAaQBvAG4AbABlAHMAcwBcACIAKQA7AFwAbgBcAG4AQwBvAG0AbQBvAG4AXwBTAG8AdQByAGMAZQBEAGEAdABhAF8ARgByAGEAYwBXAEUAVABJAHIAcgBpAGcAYQB0AGkAbwBuAF8AUwBvAHUAcgBjAGUAXABuACAAIAA9AEwAQQBNAEIARABBACgAXAAiAFYARQBFAFIARwAgADIAMAAyADYAOgAgAEMAaABhAHAAdABlAHIAIAAxACwAIABzAGUAYwB0AGkAbwBuACAAMQAuADgALgAyACAATABlAGEAYwBoAGkAbgBnACwAIABjAGwAaQBtAGEAdABlACAAYQBuAGQAIAByAGEAaQBuAGYAYQBsAGwAIAB6AG8AbgBlAHMAXAAiACkAOwBcAG4AXABuAEMAbwBtAG0AbwBuAF8AUwBvAHUAcgBjAGUARABhAHQAYQBfAEYAcgBhAGMAVwBFAFQASQByAHIAaQBnAGEAdABpAG8AbgBfAE4ASQBSAFIAZQBmAGUAcgBlAG4AYwBlAFwAbgAgACAAPQBMAEEATQBCAEQAQQAoAFwAIgBJAFAAQwBDACAAMgAwADEAOQAgAFIAZQBmAGkAbgBlAG0AZQBuAHQAIABWAG8AbAB1AG0AZQAgADQAOgAgAEMAaABhAHAAdABlAHIAIAAxADEAOgAgAE4AMgBPACAARQBtAGkAcwBzAGkAbwBuAHMAIABmAHIAbwBtACAATQBhAG4AYQBnAGUAZAAgAFMAbwBpAGwAcwAsACAAYQBuAGQAIABDAE8AMgAgAEUAbQBpAHMAcwBpAG8AbgBzACAAZgByAG8AbQAgAEwAaQBtAGUAIABhAG4AZAAgAFUAcgBlAGEAIABBAHAAcABsAGkAYwBhAHQAaQBvAG4AXAAiACkAOwBcAG4AXABuAEMAbwBtAG0AbwBuAF8AUwBvAHUAcgBjAGUARABhAHQAYQBfAEYAcgBhAGMAVwBFAFQASQByAHIAaQBnAGEAdABpAG8AbgBfAEQAYQB0AGEAXABuACAAIAA9AEwAQQBNAEIARABBACgAXABuACAAIAAgACAATQBBAEsARQBBAFIAUgBBAFkAKAA2ACwAIAAyACwAIABcAG4AIAAgACAAIAAgACAATABBAE0AQgBEAEEAKAByACwAYwAsACAAXABuACAAIAAgACAAIAAgACAAIABJAE4ARABFAFgAKAB7AFwAbgAgACAAIAAgACAAIAAgACAAIAAgAFwAIgBJAHIAcgBpAGcAYQB0AGkAbwBuACAAdAB5AHAAZQAgAGkAcgBcACIALABcACIARgByAGEAYwBXAEUAVABcACIAOwBcAG4AIAAgACAAIAAgACAAIAAgACAAIABcACIATgBvAHQAIABpAHIAcgBpAGcAYQB0AGUAZABcACIALAAgADAAOwBcAG4AIAAgACAAIAAgACAAIAAgACAAIABcACIARAByAGkAcAAgAGkAcgByAGkAZwBhAHQAaQBvAG4AXAAiACwAIAAwADsAXABuACAAIAAgACAAIAAgACAAIAAgACAAXAAiAFMAcAByAGkAbgBrAGwAZQByACAAaQByAHIAaQBnAGEAdABpAG8AbgBcACIALAAgADEAOwBcAG4AIAAgACAAIAAgACAAIAAgACAAIABcACIAUwB1AHIAZgBhAGMAZQAgAGkAcgByAGkAZwBhAHQAaQBvAG4AXAAiACwAIAAxADsAXABuACAAIAAgACAAIAAgACAAIAAgACAAXAAiAE8AdABoAGUAcgAgAGkAcgByAGkAZwBhAHQAaQBvAG4AXAAiACwAIAAxAFwAbgAgACAAIAAgACAAIAAgACAAfQAsACAAcgAsACAAYwApAFwAbgAgACAAIAAgACAAIAApAFwAbgAgACAAIAAgACkAXABuACAAIAApADsAXABuAFwAbgAgACAAQwBvAG0AbQBvAG4AXwBTAG8AdQByAGMAZQBEAGEAdABhAF8ARgByAGEAYwBXAEUAVABJAHIAcgBpAGcAYQB0AGkAbwBuAF8AVgBhAHIAaQBhAHQAaQBvAG4AXABuACAAIAA9AEwAQQBNAEIARABBACgAXAAiAFYAQQBSAEkAQQBUAEkATwBOACAARgBSAE8ATQAgAFMATwBVAFIAQwBFACAARABBAFQAQQA6ACAAVABhAGIAbABlACAAYwByAGUAYQB0AGUAZAAgAGIAYQBzAGUAZAAgAG8AbgAgAFYARQBFAFIARwAgAHQAZQB4AHQAIAAnAEEAcgBlAGEAcwAgAGEAcgBlACAAcwB1AGIAagBlAGMAdAAgAHQAbwAgAGwAZQBhAGMAaABpAG4AZwAgACgAaQAuAGUALgAsACAAaQBuACAAdABoAGUAIABsAGUAYQBjAGgAaQBuAGcAIAB6AG8AbgBlACkAIAB3AGgAZQBuAC4ALgAuACAAdABoAGUAIABsAGEAbgBkACAAaQBzACAAaQByAHIAaQBnAGEAdABlAGQAIAAoAGUAeABjAGUAcAB0ACAAZAByAGkAcAAgAGkAcgByAGkAZwBhAHQAaQBvAG4AKQAuACcAXAAiACkAOwBcAG4AXABuAFwAbgAvACoAIABcAG4ALQAtAC0ALQAtAC0ALQAtAC0ALQAtAC0ALQAtAC0ALQAtAC0ALQAtAC0ALQAtAC0ALQAtAC0ALQAtAC0ALQAtAC0ALQAtAC0ALQAtAFwAbgBDAG8AbQBtAG8AbgBfAFMAbwB1AHIAYwBlAEQAYQB0AGEAXwBFAEYAUABhAHMAdAB1AHIAZQBSAGEAbgBnAGUAQQBuAGQAUABhAGQAZABvAGMAawBcAG4AVABhAGIAbABlACAAQQAuADIALgAyAC4AMgA6ACAARQBtAGkAcwBzAGkAbwBuACAAZgBhAGMAdABvAHIAIABmAG8AcgAgAHUAcgBpAG4AZQAgAGEAbgBkACAAZAB1AG4AZwAgAGQAZQBwAG8AcwBpAHQAZQBkACAAbwBuACAAcABhAHMAdAB1AHIAZQAsACAAcgBhAG4AZwBlACAAbwByACAAcABhAGQAZABvAGMAawAgACgAawBnACAATgAyAE8ALQBOAC8AawBnACAATgApACAAKABFAEYAUABSAFAAKQBcAG4ALQAtAC0ALQAtAC0ALQAtAC0ALQAtAC0ALQAtAC0ALQAtAC0ALQAtAC0ALQAtAC0ALQAtAC0ALQAtAC0ALQAtAC0ALQAtAC0ALQAtAFwAbgAqAC8AXABuAFwAbgBDAG8AbQBtAG8AbgBfAFMAbwB1AHIAYwBlAEQAYQB0AGEAXwBFAEYAUABhAHMAdAB1AHIAZQBSAGEAbgBnAGUAQQBuAGQAUABhAGQAZABvAGMAawBfAFQAaQB0AGwAZQBcAG4AIAAgAD0ATABBAE0AQgBEAEEAKABcACIARQBtAGkAcwBzAGkAbwBuACAAZgBhAGMAdABvAHIAIABmAG8AcgAgAHUAcgBpAG4AZQAgAGEAbgBkACAAZAB1AG4AZwAgAGQAZQBwAG8AcwBpAHQAZQBkACAAbwBuACAAcABhAHMAdAB1AHIAZQAsACAAcgBhAG4AZwBlACAAbwByACAAcABhAGQAZABvAGMAawBcACIAKQA7AFwAbgBcAG4AQwBvAG0AbQBvAG4AXwBTAG8AdQByAGMAZQBEAGEAdABhAF8ARQBGAFAAYQBzAHQAdQByAGUAUgBhAG4AZwBlAEEAbgBkAFAAYQBkAGQAbwBjAGsAXwBVAG4AaQB0AFwAbgAgACAAPQBMAEEATQBCAEQAQQAoAFwAIgBrAGcAIABOADIATwAgAC0AIABOACAALwAgAGsAZwAgAE4AXAAiACkAOwBcAG4AXABuAEMAbwBtAG0AbwBuAF8AUwBvAHUAcgBjAGUARABhAHQAYQBfAEUARgBQAGEAcwB0AHUAcgBlAFIAYQBuAGcAZQBBAG4AZABQAGEAZABkAG8AYwBrAF8AUwBvAHUAcgBjAGUAXABuACAAIAA9AEwAQQBNAEIARABBACgAXAAiAFYARQBFAFIARwAgADIAMAAyADYAOgAgAFQAYQBiAGwAZQAgAEEALgAyAC4AMgAuADIAXAAiACkAOwBcAG4AXABuAEMAbwBtAG0AbwBuAF8AUwBvAHUAcgBjAGUARABhAHQAYQBfAEUARgBQAGEAcwB0AHUAcgBlAFIAYQBuAGcAZQBBAG4AZABQAGEAZABkAG8AYwBrAF8ATgBJAFIAUgBlAGYAZQByAGUAbgBjAGUAXABuACAAIAA9AEwAQQBNAEIARABBACgAXAAiAFwAIgApADsAXABuAFwAbgBDAG8AbQBtAG8AbgBfAFMAbwB1AHIAYwBlAEQAYQB0AGEAXwBFAEYAUABhAHMAdAB1AHIAZQBSAGEAbgBnAGUAQQBuAGQAUABhAGQAZABvAGMAawBfAEQAYQB0AGEAXABuACAAIAA9AEwAQQBNAEIARABBACgAXABuACAAIAAgACAATQBBAEsARQBBAFIAUgBBAFkAKAAzACwAIAAyACwAIABcAG4AIAAgACAAIAAgACAATABBAE0AQgBEAEEAKAByACwAYwAsACAAXABuACAAIAAgACAAIAAgACAAIABJAE4ARABFAFgAKAB7AFwAbgAgACAAIAAgACAAIAAgACAAIAAgAFwAIgBDAGwAaQBtAGEAdABlACAAegBvAG4AZQBcACIALAAgAFwAIgBFAEYAUABSAFAAXAAiADsAXABuACAAIAAgACAAIAAgACAAIAAgACAAXAAiAFcAZQB0ACAAYwBsAGkAbQBhAHQAZQAgAHoAbwBuAGUAXAAiACwAIAAwAC4AMAAwADYAOwBcAG4AIAAgACAAIAAgACAAIAAgACAAIABcACIARAByAHkAIABjAGwAaQBtAGEAdABlACAAegBvAG4AZQBcACIALAAgADAALgAwADAAMgBcAG4AIAAgACAAIAAgACAAIAAgAH0ALAAgAHIALAAgAGMAKQBcAG4AIAAgACAAIAAgACAAKQBcAG4AIAAgACAAIAApAFwAbgAgACAAKQA7AFwAbgBcAG4AIAAgAEMAbwBtAG0AbwBuAF8AUwBvAHUAcgBjAGUARABhAHQAYQBfAEUARgBQAGEAcwB0AHUAcgBlAFIAYQBuAGcAZQBBAG4AZABQAGEAZABkAG8AYwBrAF8AVgBhAHIAaQBhAHQAaQBvAG4AXABuACAAIAA9AEwAQQBNAEIARABBACgAXAAiAFYAQQBSAEkAQQBUAEkATwBOACAARgBSAE8ATQAgAFMATwBVAFIAQwBFACAARABBAFQAQQA6ACAAQwBoAGEAbgBnAGUAZAAgACcARAByAHkAIABjAGwAaQBtAGEAdABlACAAegBvAG4AZQBzACcAIAB0AG8AIABzAGkAbgBnAHUAbABhAHIAIAAnAEQAcgB5ACAAYwBsAGkAbQBhAHQAZQAgAHoAbwBuAGUAJwAgAHQAbwAgAGEAaQBkACAAbABvAG8AawB1AHAALgBcACIAKQA7AFwAbgBcAG4AXABuAC8AKgAgAFwAbgAtAC0ALQAtAC0ALQAtAC0ALQAtAC0ALQAtAC0ALQAtAC0ALQAtAC0ALQAtAC0ALQAtAC0ALQAtAC0ALQAtAC0ALQAtAC0ALQAtAC0AXABuAEMAbwBtAG0AbwBuAF8AUwBvAHUAcgBjAGUARABhAHQAYQBfAE0AbwBuAHQAaABzAFQAbwBTAGUAYQBzAG8AbgBzAFwAbgAtAC0ALQAtAC0ALQAtAC0ALQAtAC0ALQAtAC0ALQAtAC0ALQAtAC0ALQAtAC0ALQAtAC0ALQAtAC0ALQAtAC0ALQAtAC0ALQAtAC0AXABuACoALwBcAG4AXABuAEMAbwBtAG0AbwBuAF8AUwBvAHUAcgBjAGUARABhAHQAYQBfAE0AbwBuAHQAaABzAFQAbwBTAGUAYQBzAG8AbgBzAF8AVABpAHQAbABlAFwAbgAgACAAPQBMAEEATQBCAEQAQQAoAFwAIgBNAG8AbgB0AGgAcwAgAHQAbwAgAFMAZQBhAHMAbwBuAHMAIABNAGEAcABwAGkAbgBnAFwAIgApADsAXABuAFwAbgBDAG8AbQBtAG8AbgBfAFMAbwB1AHIAYwBlAEQAYQB0AGEAXwBNAG8AbgB0AGgAcwBUAG8AUwBlAGEAcwBvAG4AcwBfAFUAbgBpAHQAXABuACAAIAA9AEwAQQBNAEIARABBACgAXAAiAFwAIgApADsAXABuAFwAbgBDAG8AbQBtAG8AbgBfAFMAbwB1AHIAYwBlAEQAYQB0AGEAXwBNAG8AbgB0AGgAcwBUAG8AUwBlAGEAcwBvAG4AcwBfAFMAbwB1AHIAYwBlAFwAbgAgACAAPQBMAEEATQBCAEQAQQAoAFwAIgBcACIAKQA7AFwAbgBcAG4AQwBvAG0AbQBvAG4AXwBTAG8AdQByAGMAZQBEAGEAdABhAF8ATQBvAG4AdABoAHMAVABvAFMAZQBhAHMAbwBuAHMAXwBOAEkAUgBSAGUAZgBlAHIAZQBuAGMAZQBcAG4AIAAgAD0ATABBAE0AQgBEAEEAKABcACIAXAAiACkAOwBcAG4AXABuAEMAbwBtAG0AbwBuAF8AUwBvAHUAcgBjAGUARABhAHQAYQBfAE0AbwBuAHQAaABzAFQAbwBTAGUAYQBzAG8AbgBzAF8ARABhAHQAYQBcAG4AIAAgAD0ATABBAE0AQgBEAEEAKABcAG4AIAAgACAAIABNAEEASwBFAEEAUgBSAEEAWQAoADEAMwAsACAAMgAsACAAXABuACAAIAAgACAAIAAgAEwAQQBNAEIARABBACgAcgAsAGMALAAgAFwAbgAgACAAIAAgACAAIAAgACAASQBOAEQARQBYACgAewBcAG4AIAAgACAAIAAgACAAIAAgACAAIABcACIATQBvAG4AdABoAFwAIgAsACAAXAAiAFMAZQBhAHMAbwBuAFwAIgA7AFwAbgAgACAAIAAgACAAIAAgACAAIAAgAFwAIgBKAGEAbgB1AGEAcgB5AFwAIgAsACAAXAAiAFMAdQBtAG0AZQByAFwAIgA7AFwAbgAgACAAIAAgACAAIAAgACAAIAAgAFwAIgBGAGUAYgByAHUAYQByAHkAXAAiACwAIABcACIAUwB1AG0AbQBlAHIAXAAiADsAXABuACAAIAAgACAAIAAgACAAIAAgACAAXAAiAE0AYQByAGMAaABcACIALAAgAFwAIgBBAHUAdAB1AG0AbgBcACIAOwBcAG4AIAAgACAAIAAgACAAIAAgACAAIABcACIAQQBwAHIAaQBsAFwAIgAsACAAXAAiAEEAdQB0AHUAbQBuAFwAIgA7AFwAbgAgACAAIAAgACAAIAAgACAAIAAgAFwAIgBNAGEAeQBcACIALAAgAFwAIgBBAHUAdAB1AG0AbgBcACIAOwBcAG4AIAAgACAAIAAgACAAIAAgACAAIABcACIASgB1AG4AZQBcACIALAAgAFwAIgBXAGkAbgB0AGUAcgBcACIAOwBcAG4AIAAgACAAIAAgACAAIAAgACAAIABcACIASgB1AGwAeQBcACIALAAgAFwAIgBXAGkAbgB0AGUAcgBcACIAOwBcAG4AIAAgACAAIAAgACAAIAAgACAAIABcACIAQQB1AGcAdQBzAHQAXAAiACwAIABcACIAVwBpAG4AdABlAHIAXAAiADsAXABuACAAIAAgACAAIAAgACAAIAAgACAAXAAiAFMAZQBwAHQAZQBtAGIAZQByAFwAIgAsACAAXAAiAFMAcAByAGkAbgBnAFwAIgA7AFwAbgAgACAAIAAgACAAIAAgACAAIAAgAFwAIgBPAGMAdABvAGIAZQByAFwAIgAsACAAXAAiAFMAcAByAGkAbgBnAFwAIgA7AFwAbgAgACAAIAAgACAAIAAgACAAIAAgAFwAIgBOAG8AdgBlAG0AYgBlAHIAXAAiACwAIABcACIAUwBwAHIAaQBuAGcAXAAiADsAXABuACAAIAAgACAAIAAgACAAIAAgACAAXAAiAEQAZQBjAGUAbQBiAGUAcgBcACIALAAgAFwAIgBTAHUAbQBtAGUAcgBcACIAXABuACAAIAAgACAAIAAgACAAIAB9ACwAIAByACwAIABjACkAXABuACAAIAAgACAAIAAgACkAXABuACAAIAAgACAAKQBcAG4AIAAgACkAOwBcAG4AXABuACAAIABDAG8AbQBtAG8AbgBfAFMAbwB1AHIAYwBlAEQAYQB0AGEAXwBNAG8AbgB0AGgAcwBUAG8AUwBlAGEAcwBvAG4AcwBfAFYAYQByAGkAYQB0AGkAbwBuAFwAbgAgACAAPQBMAEEATQBCAEQAQQAoAFwAIgBcACIAKQA7AFwAbgBcAG4AXABuAFwAbgAvACoAIABcAG4ALQAtAC0ALQAtAC0ALQAtAC0ALQAtAC0ALQAtAC0ALQAtAC0ALQAtAC0ALQAtAC0ALQAtAC0ALQAtAC0ALQAtAC0ALQAtAC0ALQAtAFwAbgBDAG8AbQBtAG8AbgBfAFMAbwB1AHIAYwBlAEQAYQB0AGEAXwBNAEMARgBUAGUAbQBwAGUAcgBhAHQAdQByAGUAWgBvAG4AZQBcAG4ALQAtAC0ALQAtAC0ALQAtAC0ALQAtAC0ALQAtAC0ALQAtAC0ALQAtAC0ALQAtAC0ALQAtAC0ALQAtAC0ALQAtAC0ALQAtAC0ALQAtAFwAbgAqAC8AXABuAFwAbgBDAG8AbQBtAG8AbgBfAFMAbwB1AHIAYwBlAEQAYQB0AGEAXwBNAEMARgBUAGUAbQBwAGUAcgBhAHQAdQByAGUAWgBvAG4AZQBfAFQAaQB0AGwAZQBcAG4AIAAgAD0ATABBAE0AQgBEAEEAKABcACIATQBhAG4AdQByAGUAIABNAGEAbgBhAGcAZQBtAGUAbgB0ACAAEyAgAE0AZQB0AGgAYQBuAGUAIABjAG8AbgB2AGUAcgBzAGkAbwBuACAAZgBhAGMAdABvAHIAIABwAGUAcgAgAHQAZQBtAHAAZQByAGEAdAB1AHIAZQAgAHoAbwBuAGUAIAAoAGYAcgBhAGMAdABpAG8AbgApACAAKABNAEMARgBpAG0AKQBcACIAKQA7AFwAbgBcAG4AQwBvAG0AbQBvAG4AXwBTAG8AdQByAGMAZQBEAGEAdABhAF8ATQBDAEYAVABlAG0AcABlAHIAYQB0AHUAcgBlAFoAbwBuAGUAXwBVAG4AaQB0AFwAbgAgACAAPQBMAEEATQBCAEQAQQAoAFwAIgBmAHIAYQBjAHQAaQBvAG4AXAAiACkAOwBcAG4AXABuAEMAbwBtAG0AbwBuAF8AUwBvAHUAcgBjAGUARABhAHQAYQBfAE0AQwBGAFQAZQBtAHAAZQByAGEAdAB1AHIAZQBaAG8AbgBlAF8AUwBvAHUAcgBjAGUAXABuACAAIAA9AEwAQQBNAEIARABBACgAXAAiAFYARQBFAFIARwAgADIAMAAyADYAOgAgAFQAYQBiAGwAZQAgAEEALgAxAC4AOAAuADEAXAAiACkAOwBcAG4AXABuAEMAbwBtAG0AbwBuAF8AUwBvAHUAcgBjAGUARABhAHQAYQBfAE0AQwBGAFQAZQBtAHAAZQByAGEAdAB1AHIAZQBaAG8AbgBlAF8ARABhAHQAYQBcAG4AIAAgAD0ATABBAE0AQgBEAEEAKABcAG4AIAAgACAAIABNAEEASwBFAEEAUgBSAEEAWQAoADIAMgAsACAAMQA2ACwAIABcAG4AIAAgACAAIAAgACAATABBAE0AQgBEAEEAKAByACwAYwAsACAAXABuACAAIAAgACAAIAAgACAAIABJAE4ARABFAFgAKAB7AFwAbgAgACAAIAAgACAAIAAgACAAIAAgAFwAIgBUAGUAbQBwAGUAcgBhAHQAdQByAGUAIAB6AG8AbgBlAFwAIgAsACAAXAAiAE0AQQBUACAAKAC6AEMAKQBcACIALAAgAFwAIgBVAG4AYwBvAHYAZQByAGUAZAAgAGEAbgBlAHIAbwBiAGkAYwAgAGwAYQBnAG8AbwBuAFwAIgAsACAAXAAiAEMAbwB2AGUAcgBlAGQAIABsAGEAZwBvAG8AbgBcACIALAAgAFwAIgBMAGkAcQB1AGkAZAAgAFMAbAB1AHIAcgB5ACAAKAB3AGkAdABoAG8AdQB0ACAAbgBhAHQAdQByAGEAbAAgAGMAcgB1AHMAdAApAFwAIgAsACAAXAAiAEQAYQBpAGwAeQAgAHMAcAByAGUAYQBkACAAKABiACkAXAAiACwAIABcACIAQwBvAG0AcABvAHMAdABpAG4AZwAgACgAcABhAHMAcwBpAHYAZQAgAHcAaQBuAGQAcgBvAHcAKQBcACIALAAgAFwAIgBTAG8AbABpAGQAIABTAHQAbwByAGEAZwBlAFwAIgAsACAAXAAiAFAAaQB0ACAAUwB0AG8AcgBhAGcAZQAgADwAMQAgAG0AbwBuAHQAaABcACIALAAgAFwAIgBEAGUAZQBwACAATABpAHQAdABlAHIAXAAiACwAIABcACIAUABvAHUAbAB0AHIAeQAgAE0AYQBuAHUAcgBlACAAKAB3AGkAdABoAC8AdwBpAHQAaABvAHUAdAAgAGwAaQB0AHQAZQByACkAXAAiACwAIABcACIAXAAiACwAIABcACIARABpAHIAZQBjAHQAIABwAHIAbwBjAGUAcwBzAGkAbgBnACAAaQBuAHQAbwAgAHAAZQBsAGwAZQB0AGkAegBlAGQAIABmAGUAcgB0AGkAbABpAHMAZQByAFwAIgAsACAAXAAiAEQAaQByAGUAYwB0ACAAYQBwAHAAbABpAGMAYQB0AGkAbwBuACAAdABvACAAcwBvAGkAbABcACIALAAgAFwAIgBQAGEAcwB0AHUAcgBlACwAIABSAGEAbgBnAGUAIABhAG4AZAAgAFAAYQBkAGQAbwBjAGsAIAAoAGMAKQAoAGQAKQBcACIALAAgAFwAIgBNAEEAVAAgAHIAYQB3AFwAIgA7AFwAbgAgACAAIAAgACAAIAAgACAAIAAgAFwAIgBDAG8AbwBsAFwAIgAsACAAXAAiAGQiMQAwAFwAIgAsACAAMAAuADYANgAsACAAMAAuADEALAAgADAALgAxACwAIAAwAC4AMAAwADEALAAgADAALgAwADAANQAsACAAMAAuADAAMgAsACAAMAAuADAAMwAsACAAMAAuADAANAAsACAAMAAuADAAMQA1ACwAIAAwAC4AMAAxADUALAAgADAALAAgADAALAAgADAALgAwADAANAA3ACwAIAAxADAAOwBcAG4AIAAgACAAIAAgACAAIAAgACAAIABcACIAQwBvAG8AbABcACIALAAgADEAMQAsACAAMAAuADYAOAAsACAAMAAuADEALAAgADAALgAxADEALAAgADAALgAwADAAMQAsACAAMAAuADAAMAA1ACwAIAAwAC4AMAAyACwAIAAwAC4AMAAzACwAIAAwAC4AMAA0ACwAIAAwAC4AMAAxADUALAAgADAALgAwADEANQAsACAAMAAsACAAMAAsACAAMAAuADAAMAA0ADcALAAgADEAMQA7AFwAbgAgACAAIAAgACAAIAAgACAAIAAgAFwAIgBDAG8AbwBsAFwAIgAsACAAMQAyACwAIAAwAC4ANwAsACAAMAAuADEALAAgADAALgAxADMALAAgADAALgAwADAAMQAsACAAMAAuADAAMAA1ACwAIAAwAC4AMAAyACwAIAAwAC4AMAAzACwAIAAwAC4AMAA0ACwAIAAwAC4AMAAxADUALAAgADAALgAwADEANQAsACAAMAAsACAAMAAsACAAMAAuADAAMAA0ADcALAAgADEAMgA7AFwAbgAgACAAIAAgACAAIAAgACAAIAAgAFwAIgBDAG8AbwBsAFwAIgAsACAAMQAzACwAIAAwAC4ANwAxACwAIAAwAC4AMQAsACAAMAAuADEANAAsACAAMAAuADAAMAAxACwAIAAwAC4AMAAwADUALAAgADAALgAwADIALAAgADAALgAwADMALAAgADAALgAwADQALAAgADAALgAwADEANQAsACAAMAAuADAAMQA1ACwAIAAwACwAIAAwACwAIAAwAC4AMAAwADQANwAsACAAMQAzADsAXABuACAAIAAgACAAIAAgACAAIAAgACAAXAAiAEMAbwBvAGwAXAAiACwAIAAxADQALAAgADAALgA3ADMALAAgADAALgAxACwAIAAwAC4AMQA1ACwAIAAwAC4AMAAwADEALAAgADAALgAwADAANQAsACAAMAAuADAAMgAsACAAMAAuADAAMwAsACAAMAAuADAANAAsACAAMAAuADAAMQA1ACwAIAAwAC4AMAAxADUALAAgADAALAAgADAALAAgADAALgAwADAANAA3ACwAIAAxADQAOwBcAG4AIAAgACAAIAAgACAAIAAgACAAIABcACIAVABlAG0AcABlAHIAYQB0AGUAXAAiACwAIAAxADUALAAgADAALgA3ADQALAAgADAALgAxACwAIAAwAC4AMQA3ACwAIAAwAC4AMAAwADUALAAgADAALgAwADEALAAgADAALgAwADIALAAgADAALgAwADMALAAgADAALgAwADQALAAgADAALgAwADEANQAsACAAMAAuADAAMQA1ACwAIAAwACwAIAAwACwAIAAwAC4AMAAwADQANwAsACAAMQA1ADsAXABuACAAIAAgACAAIAAgACAAIAAgACAAXAAiAFQAZQBtAHAAZQByAGEAdABlAFwAIgAsACAAMQA2ACwAIAAwAC4ANwA1ACwAIAAwAC4AMQAsACAAMAAuADEAOAAsACAAMAAuADAAMAA1ACwAIAAwAC4AMAAxACwAIAAwAC4AMAAyACwAIAAwAC4AMAAzACwAIAAwAC4AMAA0ACwAIAAwAC4AMAAxADUALAAgADAALgAwADEANQAsACAAMAAsACAAMAAsACAAMAAuADAAMAA0ADcALAAgADEANgA7AFwAbgAgACAAIAAgACAAIAAgACAAIAAgAFwAIgBUAGUAbQBwAGUAcgBhAHQAZQBcACIALAAgADEANwAsACAAMAAuADcANgAsACAAMAAuADEALAAgADAALgAyACwAIAAwAC4AMAAwADUALAAgADAALgAwADEALAAgADAALgAwADIALAAgADAALgAwADMALAAgADAALgAwADQALAAgADAALgAwADEANQAsACAAMAAuADAAMQA1ACwAIAAwACwAIAAwACwAIAAwAC4AMAAwADQANwAsACAAMQA3ADsAXABuACAAIAAgACAAIAAgACAAIAAgACAAXAAiAFQAZQBtAHAAZQByAGEAdABlAFwAIgAsACAAMQA4ACwAIAAwAC4ANwA3ACwAIAAwAC4AMQAsACAAMAAuADIAMgAsACAAMAAuADAAMAA1ACwAIAAwAC4AMAAxACwAIAAwAC4AMAAyACwAIAAwAC4AMAAzACwAIAAwAC4AMAA0ACwAIAAwAC4AMAAxADUALAAgADAALgAwADEANQAsACAAMAAsACAAMAAsACAAMAAuADAAMAA0ADcALAAgADEAOAA7AFwAbgAgACAAIAAgACAAIAAgACAAIAAgAFwAIgBUAGUAbQBwAGUAcgBhAHQAZQBcACIALAAgADEAOQAsACAAMAAuADcANwAsACAAMAAuADEALAAgADAALgAyADQALAAgADAALgAwADAANQAsACAAMAAuADAAMQAsACAAMAAuADAAMgAsACAAMAAuADAAMwAsACAAMAAuADAANAAsACAAMAAuADAAMQA1ACwAIAAwAC4AMAAxADUALAAgADAALAAgADAALAAgADAALgAwADAANAA3ACwAIAAxADkAOwBcAG4AIAAgACAAIAAgACAAIAAgACAAIABcACIAVABlAG0AcABlAHIAYQB0AGUAXAAiACwAIAAyADAALAAgADAALgA3ADgALAAgADAALgAxACwAIAAwAC4AMgA2ACwAIAAwAC4AMAAwADUALAAgADAALgAwADEALAAgADAALgAwADIALAAgADAALgAwADMALAAgADAALgAwADQALAAgADAALgAwADEANQAsACAAMAAuADAAMQA1ACwAIAAwACwAIAAwACwAIAAwAC4AMAAwADQANwAsACAAMgAwADsAXABuACAAIAAgACAAIAAgACAAIAAgACAAXAAiAFQAZQBtAHAAZQByAGEAdABlAFwAIgAsACAAMgAxACwAIAAwAC4ANwA4ACwAIAAwAC4AMQAsACAAMAAuADIAOQAsACAAMAAuADAAMAA1ACwAIAAwAC4AMAAxACwAIAAwAC4AMAAyACwAIAAwAC4AMAAzACwAIAAwAC4AMAA0ACwAIAAwAC4AMAAxADUALAAgADAALgAwADEANQAsACAAMAAsACAAMAAsACAAMAAuADAAMAA0ADcALAAgADIAMQA7AFwAbgAgACAAIAAgACAAIAAgACAAIAAgAFwAIgBUAGUAbQBwAGUAcgBhAHQAZQBcACIALAAgADIAMgAsACAAMAAuADcAOAAsACAAMAAuADEALAAgADAALgAzADEALAAgADAALgAwADAANQAsACAAMAAuADAAMQAsACAAMAAuADAAMgAsACAAMAAuADAAMwAsACAAMAAuADAANAAsACAAMAAuADAAMQA1ACwAIAAwAC4AMAAxADUALAAgADAALAAgADAALAAgADAALgAwADAANAA3ACwAIAAyADIAOwBcAG4AIAAgACAAIAAgACAAIAAgACAAIABcACIAVABlAG0AcABlAHIAYQB0AGUAXAAiACwAIAAyADMALAAgADAALgA3ADkALAAgADAALgAxACwAIAAwAC4AMwA0ACwAIAAwAC4AMAAwADUALAAgADAALgAwADEALAAgADAALgAwADIALAAgADAALgAwADMALAAgADAALgAwADQALAAgADAALgAwADEANQAsACAAMAAuADAAMQA1ACwAIAAwACwAIAAwACwAIAAwAC4AMAAwADQANwAsACAAMgAzADsAXABuACAAIAAgACAAIAAgACAAIAAgACAAXAAiAFQAZQBtAHAAZQByAGEAdABlAFwAIgAsACAAMgA0ACwAIAAwAC4ANwA5ACwAIAAwAC4AMQAsACAAMAAuADMANwAsACAAMAAuADAAMAA1ACwAIAAwAC4AMAAxACwAIAAwAC4AMAAyACwAIAAwAC4AMAAzACwAIAAwAC4AMAA0ACwAIAAwAC4AMAAxADUALAAgADAALgAwADEANQAsACAAMAAsACAAMAAsACAAMAAuADAAMAA0ADcALAAgADIANAA7AFwAbgAgACAAIAAgACAAIAAgACAAIAAgAFwAIgBUAGUAbQBwAGUAcgBhAHQAZQBcACIALAAgADIANQAsACAAMAAuADcAOQAsACAAMAAuADEALAAgADAALgA0ADEALAAgADAALgAwADAANQAsACAAMAAuADAAMQAsACAAMAAuADAAMgAsACAAMAAuADAAMwAsACAAMAAuADAANAAsACAAMAAuADAAMQA1ACwAIAAwAC4AMAAxADUALAAgADAALAAgADAALAAgADAALgAwADAANAA3ACwAIAAyADUAOwBcAG4AIAAgACAAIAAgACAAIAAgACAAIABcACIAVwBhAHIAbQBcACIALAAgADIANgAsACAAMAAuADcAOQAsACAAMAAuADEALAAgADAALgA0ADQALAAgADAALgAwADEALAAgADAALgAwADEANQAsACAAMAAuADAAMgAsACAAMAAuADAAMwAsACAAMAAuADAANAAsACAAMAAuADAAMQA1ACwAIAAwAC4AMAAxADUALAAgADAALAAgADAALAAgADAALgAwADAANAA3ACwAIAAyADYAOwBcAG4AIAAgACAAIAAgACAAIAAgACAAIABcACIAVwBhAHIAbQBcACIALAAgADIANwAsACAAMAAuADgALAAgADAALgAxACwAIAAwAC4ANAA4ACwAIAAwAC4AMAAxACwAIAAwAC4AMAAxADUALAAgADAALgAwADIALAAgADAALgAwADMALAAgADAALgAwADQALAAgADAALgAwADEANQAsACAAMAAuADAAMQA1ACwAIAAwACwAIAAwACwAIAAwAC4AMAAwADQANwAsACAAMgA3ADsAXABuACAAIAAgACAAIAAgACAAIAAgACAAXAAiAFcAYQByAG0AXAAiACwAIABcACIAZSIyADgAXAAiACwAIAAwAC4AOAAsACAAMAAuADEALAAgADAALgA1ACwAIAAwAC4AMAAxACwAIAAwAC4AMAAxADUALAAgADAALgAwADIALAAgADAALgAwADMALAAgADAALgAwADQALAAgADAALgAwADEANQAsACAAMAAuADAAMQA1ACwAIAAwACwAIAAwACwAIAAwAC4AMAAwADQANwAsACAAMgA4ADsAXABuACAAIAAgACAAIAAgACAAIAAgACAAXAAiAFwAIgAsACAAXAAiAFwAIgAsACAAXAAiAEEAbgBhAGUAcgBvAGIAaQBjACAAbABhAGcAbwBvAG4AXAAiACwAIABcACIARABpAGcAZQBzAHQAZQByACAALwAgAGMAbwB2AGUAcgBlAGQAIABsAGEAZwBvAG8AbgBzAFwAIgAsACAAXAAiAEwAaQBxAHUAaQBkACAAcwB5AHMAdABlAG0AcwBcACIALAAgAFwAIgBEAGEAaQBsAHkAIABzAHAAcgBlAGEAZABcACIALAAgAFwAIgBDAG8AbQBwAG8AcwB0AGkAbgBnACAAKABwAGEAcwBzAGkAdgBlACAAdwBpAG4AZAByAG8AdwApAFwAIgAsACAAXAAiAFMAbwBsAGkAZAAgAHMAdABvAHIAYQBnAGUAXAAiACwAIABcACIAUABpAHQAIABzAHQAbwByAGEAZwBlAFwAIgAsACAAXAAiAEQAZQBlAHAAIABsAGkAdAB0AGUAcgBcACIALAAgAFwAIgBQAG8AdQBsAHQAcgB5ACAAbQBhAG4AdQByAGUAIAB3AGkAdABoACAAYgBlAGQAZABpAG4AZwBcACIALAAgAFwAIgBQAG8AdQBsAHQAcgB5ACAAbQBhAG4AdQByAGUAIAB3AGkAdABoAG8AdQB0ACAAYgBlAGQAZABpAG4AZwBcACIALAAgAFwAIgBEAGkAcgBlAGMAdAAgAHAAcgBvAGMAZQBzAHMAaQBuAGcAXAAiACwAIABcACIARABpAHIAZQBjAHQAIABhAHAAcABsAGkAYwBhAHQAaQBvAG4AXAAiACwAIABcACIAUABhAHMAdAB1AHIAZQAgAHIAYQBuAGcAZQAgAGEAbgBkACAAcABhAGQAZABvAGMAawBcACIALAAgAFwAIgBNAEEAVAAgAHIAYQB3AFwAIgAgAFwAbgAgACAAIAAgACAAIAAgACAAfQAsACAAcgAsACAAYwApAFwAbgAgACAAIAAgACAAIAApAFwAbgAgACAAIAAgACkAXABuACAAIAApADsAXABuAFwAbgBDAG8AbQBtAG8AbgBfAFMAbwB1AHIAYwBlAEQAYQB0AGEAXwBNAEMARgBUAGUAbQBwAGUAcgBhAHQAdQByAGUAWgBvAG4AZQBfAFYAYQByAGkAYQB0AGkAbwBuAFwAbgAgACAAPQBMAEEATQBCAEQAQQAoAFwAIgBWAEEAUgBJAEEAVABJAE8ATgAgAEYAUgBPAE0AIABTAE8AVQBSAEMARQA6ACAAQQBkAGQAZQBkACAAcgBvAHcAIABvAGYAIABOAEkAUgAgAE0ATQBBACAAZABlAGYAaQBuAGkAdABpAG8AbgBzACAAdABvACAAYQBpAGQAIABsAG8AbwBrAHUAcAAuACAARAB1AHAAbABpAGMAYQB0AGUAZAAgACcAUABvAHUAbAB0AHIAeQAgAHcAaQB0AGgAIABhAG4AZAAgAHcAaQB0AGgAbwB1AHQAIABsAGkAdAB0AGUAcgAnACAAYwBvAGwAdQBtAG4AIAB3AGkAdABoACAAcwBlAHAAYQByAGEAdABlACAATgBJAFIAIABkAGUAZgBpAG4AaQB0AGkAbwBuAHMAIAB0AG8AIABhAGkAZAAgAGwAbwBvAGsAdQBwAC4AIABBAGQAZABlAGQAIAAnAE0AQQBUACAAcgBhAHcAJwAgAGMAbwBsAHUAbQBuACAAdABvACAAYQBsAGwAbwB3ACAAbABvAG8AawB1AHAAIABvAGYAIABuAHUAbQBiAGUAcgBzAC4AXAAiACkAOwBcAG4AXABuAFwAbgBcAG4ALwAqACAAXABuAC0ALQAtAC0ALQAtAC0ALQAtAC0ALQAtAC0ALQAtAC0ALQAtAC0ALQAtAC0ALQAtAC0ALQAtAC0ALQAtAC0ALQAtAC0ALQAtAC0ALQBcAG4AQwBvAG0AbQBvAG4AXwBTAG8AdQByAGMAZQBEAGEAdABhAF8ARQBGAE8AcgBnAGEAbgBpAGMARgBlAHIAdABpAGwAaQBzAGUAcgBBAG4AZABDAHIAbwBwAFIAZQBzAGkAZAB1AGUAcwBcAG4ALQAtAC0ALQAtAC0ALQAtAC0ALQAtAC0ALQAtAC0ALQAtAC0ALQAtAC0ALQAtAC0ALQAtAC0ALQAtAC0ALQAtAC0ALQAtAC0ALQAtAFwAbgAqAC8AXABuAFwAbgBDAG8AbQBtAG8AbgBfAFMAbwB1AHIAYwBlAEQAYQB0AGEAXwBFAEYATwByAGcAYQBuAGkAYwBGAGUAcgB0AGkAbABpAHMAZQByAEEAbgBkAEMAcgBvAHAAUgBlAHMAaQBkAHUAZQBzAF8AVABpAHQAbABlAFwAbgAgACAAPQBMAEEATQBCAEQAQQAoAFwAIgBFAG0AaQBzAHMAaQBvAG4AIABmAGEAYwB0AG8AcgAgAGYAbwByACAAbwByAGcAYQBuAGkAYwAgAGYAZQByAHQAaQBsAGkAcwBlAHIAIABhAG4AZAAgAGMAcgBvAHAAIAByAGUAcwBpAGQAdQBlAHMAIAByAGUAdAB1AHIAbgBlAGQAIAB0AG8AIAB0AGgAZQAgAHMAbwBpAGwAXAAiACkAOwBcAG4AXABuAEMAbwBtAG0AbwBuAF8AUwBvAHUAcgBjAGUARABhAHQAYQBfAEUARgBPAHIAZwBhAG4AaQBjAEYAZQByAHQAaQBsAGkAcwBlAHIAQQBuAGQAQwByAG8AcABSAGUAcwBpAGQAdQBlAHMAXwBWAGEAcgBpAGEAYgBsAGUAXABuACAAIAA9AEwAQQBNAEIARABBACgAXAAiAEUARgBOAGkAIAAmACAARQBGAE4AMgBPAGkAXAAiACkAOwBcAG4AXABuAEMAbwBtAG0AbwBuAF8AUwBvAHUAcgBjAGUARABhAHQAYQBfAEUARgBPAHIAZwBhAG4AaQBjAEYAZQByAHQAaQBsAGkAcwBlAHIAQQBuAGQAQwByAG8AcABSAGUAcwBpAGQAdQBlAHMAXwBVAG4AaQB0AFwAbgAgACAAPQBMAEEATQBCAEQAQQAoAFwAIgBrAGcAIABOADIATwAgAC0AIABOACAALwAgAGsAZwAgAE4AXAAiACkAOwBcAG4AXABuAEMAbwBtAG0AbwBuAF8AUwBvAHUAcgBjAGUARABhAHQAYQBfAEUARgBPAHIAZwBhAG4AaQBjAEYAZQByAHQAaQBsAGkAcwBlAHIAQQBuAGQAQwByAG8AcABSAGUAcwBpAGQAdQBlAHMAXwBTAG8AdQByAGMAZQBcAG4AIAAgAD0ATABBAE0AQgBEAEEAKABcACIAVgBFAEUAUgBHACAAMgAwADIANgA6ACAAVABhAGIAbABlACAAQQAuADIALgAxAC4ANABcACIAKQA7AFwAbgBcAG4AQwBvAG0AbQBvAG4AXwBTAG8AdQByAGMAZQBEAGEAdABhAF8ARQBGAE8AcgBnAGEAbgBpAGMARgBlAHIAdABpAGwAaQBzAGUAcgBBAG4AZABDAHIAbwBwAFIAZQBzAGkAZAB1AGUAcwBfAE4ASQBSAFIAZQBmAGUAcgBlAG4AYwBlAFwAbgAgACAAPQBMAEEATQBCAEQAQQAoAFwAIgBcACIAKQA7AFwAbgBcAG4AQwBvAG0AbQBvAG4AXwBTAG8AdQByAGMAZQBEAGEAdABhAF8ARQBGAE8AcgBnAGEAbgBpAGMARgBlAHIAdABpAGwAaQBzAGUAcgBBAG4AZABDAHIAbwBwAFIAZQBzAGkAZAB1AGUAcwBfAEQAYQB0AGEAXABuACAAIAA9AEwAQQBNAEIARABBACgAXABuACAAIAAgACAATQBBAEsARQBBAFIAUgBBAFkAKAAzACwAIAAyACwAIABcAG4AIAAgACAAIAAgACAATABBAE0AQgBEAEEAKAByACwAYwAsACAAXABuACAAIAAgACAAIAAgACAAIABJAE4ARABFAFgAKAB7AFwAbgAgACAAIAAgACAAIAAgACAAIAAgAFwAIgBDAGwAaQBtAGEAdABlACAAegBvAG4AZQBcACIALAAgAFwAIgBFAEYATgBpACAAJgAgAEUARgBOADIATwBcACIAOwBcAG4AIAAgACAAIAAgACAAIAAgACAAIABcACIAVwBlAHQAIABjAGwAaQBtAGEAdABlACAAegBvAG4AZQBcACIALAAgADAALgAwADAANgA7AFwAbgAgACAAIAAgACAAIAAgACAAIAAgAFwAIgBEAHIAeQAgAGMAbABpAG0AYQB0AGUAIAB6AG8AbgBlAFwAIgAsACAAMAAuADAAMAA1AFwAbgAgACAAIAAgACAAIAAgACAAfQAsACAAcgAsACAAYwApAFwAbgAgACAAIAAgACAAIAApAFwAbgAgACAAIAAgACkAXABuACAAIAApADsAXABuAFwAbgBDAG8AbQBtAG8AbgBfAFMAbwB1AHIAYwBlAEQAYQB0AGEAXwBFAEYATwByAGcAYQBuAGkAYwBGAGUAcgB0AGkAbABpAHMAZQByAEEAbgBkAEMAcgBvAHAAUgBlAHMAaQBkAHUAZQBzAF8AVgBhAHIAaQBhAHQAaQBvAG4AXABuACAAIAA9AEwAQQBNAEIARABBACgAXAAiAFwAIgApADsAXABuAFwAbgBcAG4AXABuAFwAbgBcAG4AXABuAFwAbgBcAG4AXABuAFwAbgBcAG4AXABuAFwAbgBcAG4AXABuAFwAbgAiAH0ALAB7ACIAcABhAHQAaAAiADoAIgAvAHAAcgBvAGoAZQBjAHQAcwAvAEMAbwBtAG0AbwBuAF8ARQBxAHUAYQB0AGkAbwBuAHMAIgAsACIAdABlAHgAdAAiADoAIgBcAG4ALwAqACAAXABuAC0ALQAtAC0ALQAtAC0ALQAtAC0ALQAtAC0ALQAtAC0ALQAtAC0ALQAtAC0ALQAtAC0ALQAtAC0ALQAtAC0ALQAtAC0ALQAtAC0ALQBcAG4AQwBvAG0AbQBvAG4AXwBDAG8AbgB2AGUAcgB0AE4AMgBPAFQAbwBDAE8AMgBlAFwAbgBDAG8AbgB2AGUAcgB0ACAAbgBpAHQAcgBvAHUAcwAgAG8AeABpAGQAZQAgAGUAbQBpAHMAcwBpAG8AbgBzACAAdABvACAAYwBhAHIAYgBvAG4AIABkAGkAbwB4AGkAZABlACAAZQBxAHUAaQB2AGEAbABlAG4AdAAgAGUAbQBpAHMAcwBpAG8AbgBzAFwAbgBFAE4AMgBPACAAQwBPADIAZQBcAG4AdAAgAEMATwAyAGUAXABuAEUATgAyAE8AOgAgAG4AaQB0AHIAbwB1AHMAIABvAHgAaQBkAGUAIABlAG0AaQBzAHMAaQBvAG4AcwAgACgAdAAgAE4AMgBPACkAXABuAEcAVwBQAE4AMgBPADoAIABnAGwAbwBiAGEAbAAgAHcAYQByAG0AaQBuAGcAIABwAG8AdABlAG4AdABpAGEAbAAgAGYAbwByACAAbgBpAHQAcgBvAHUAcwAgAG8AeABpAGQAZQAgACgAdAAgAEMATwAyAC0AZQAgAC8AIAB0ACAATgAyAE8AKQBcAG4ALQAtAC0ALQAtAC0ALQAtAC0ALQAtAC0ALQAtAC0ALQAtAC0ALQAtAC0ALQAtAC0ALQAtAC0ALQAtAC0ALQAtAC0ALQAtAC0ALQAtAFwAbgAqAC8AXABuAFwAbgBcAG4AQwBvAG0AbQBvAG4AXwBDAG8AbgB2AGUAcgB0AE4AMgBPAFQAbwBDAE8AMgBlAFwAbgAgACAAPQBMAEEATQBCAEQAQQAoAFwAbgAgACAAIAAgAEUAXwBOADIATwAsACAARwBXAFAAXwBOADIATwAsAFwAbgAgACAAIAAgAEUAXwBOADIATwAgACoAIABHAFcAUABfAE4AMgBPAFwAbgAgACAAKQBcAG4AOwBcAG4AXABuAEMAbwBtAG0AbwBuAF8AQwBvAG4AdgBlAHIAdABOADIATwBUAG8AQwBPADIAZQBfAFQAaQB0AGwAZQBcAG4AIAAgAD0ATABBAE0AQgBEAEEAKABcACIAQwBvAG4AdgBlAHIAdAAgAG4AaQB0AHIAbwB1AHMAIABvAHgAaQBkAGUAIABlAG0AaQBzAHMAaQBvAG4AcwAgAHQAbwAgAGMAYQByAGIAbwBuACAAZABpAG8AeABpAGQAZQAgAGUAcQB1AGkAdgBhAGwAZQBuAHQAIABlAG0AaQBzAHMAaQBvAG4AcwBcACIAKQA7AFwAbgBcAG4AQwBvAG0AbQBvAG4AXwBDAG8AbgB2AGUAcgB0AE4AMgBPAFQAbwBDAE8AMgBlAF8AVgBhAHIAaQBhAGIAbABlAFwAbgAgACAAPQBMAEEATQBCAEQAQQAoAFwAIgBFAE4AMgBPACAAQwBPADIAZQBcACIAKQA7AFwAbgBcAG4AQwBvAG0AbQBvAG4AXwBDAG8AbgB2AGUAcgB0AE4AMgBPAFQAbwBDAE8AMgBlAF8AVQBuAGkAdABcAG4AIAAgAD0ATABBAE0AQgBEAEEAKABcACIAdAAgAEMATwAyAGUAXAAiACkAOwBcAG4AXABuAEMAbwBtAG0AbwBuAF8AQwBvAG4AdgBlAHIAdABOADIATwBUAG8AQwBPADIAZQBfAE4ASQBSAFIAZQBmAGUAcgBlAG4AYwBlAFwAbgAgACAAPQBMAEEATQBCAEQAQQAoAFwAIgBcACIAKQA7AFwAbgBcAG4AQwBvAG0AbQBvAG4AXwBDAG8AbgB2AGUAcgB0AE4AMgBPAFQAbwBDAE8AMgBlAF8ATABhAHQAZQB4AEUAcQB1AGEAdABpAG8AbgBcAG4AIAAgAD0ATABBAE0AQgBEAEEAKABcACIAQwBPADIAXwBlACAAPQAgAEUAXwB7AE4AMgBPAH0AIABcAFwAdABpAG0AZQBzACAARwBXAFAAXwB7AE4AMgBPAH0AXAAiACkAOwBcAG4AXABuAEMAbwBtAG0AbwBuAF8AQwBvAG4AdgBlAHIAdABOADIATwBUAG8AQwBPADIAZQBfAEEAcgBnAHUAbQBlAG4AdABzAFwAbgAgACAAPQBMAEEATQBCAEQAQQAoAFwAbgAgACAAIAAgAE0AQQBLAEUAQQBSAFIAQQBZACgAMgAsACAAMgAsACAAXABuACAAIAAgACAAIAAgAEwAQQBNAEIARABBACgAcgAsAGMALAAgAFwAbgAgACAAIAAgACAAIAAgACAASQBOAEQARQBYACgAewBcAG4AIAAgACAAIAAgACAAIAAgACAAIABcACIARQBOADIATwBcACIALABcACIATgBpAHQAcgBvAHUAcwAgAG8AeABpAGQAZQAgAGUAbQBpAHMAcwBpAG8AbgBzACAAKAB0ACAATgAyAE8AKQBcACIAOwBcAG4AIAAgACAAIAAgACAAIAAgACAAIABcACIARwBXAFAATgAyAE8AXAAiACwAXAAiAEcAbABvAGIAYQBsACAAdwBhAHIAbQBpAG4AZwAgAHAAbwB0AGUAbgB0AGkAYQBsACAAZgBvAHIAIABuAGkAdAByAG8AdQBzACAAbwB4AGkAZABlACAAKAB0ACAAQwBPADIALQBlACAALwAgAHQAIABOADIATwApAFwAIgBcAG4AIAAgACAAIAAgACAAIAAgAH0ALAAgAHIALAAgAGMAKQBcAG4AIAAgACAAIAAgACAAKQBcAG4AIAAgACAAIAApAFwAbgAgACAAKQA7AFwAbgBcAG4ALwAqACAAXABuAC0ALQAtAC0ALQAtAC0ALQAtAC0ALQAtAC0ALQAtAC0ALQAtAC0ALQAtAC0ALQAtAC0ALQAtAC0ALQAtAC0ALQAtAC0ALQAtAC0ALQBcAG4AQwBvAG0AbQBvAG4AXwBDAG8AbgB2AGUAcgB0AEMASAA0AFQAbwBDAE8AMgBlAFwAbgBDAG8AbgB2AGUAcgB0ACAAbQBlAHQAaABhAG4AZQAgAGUAbQBpAHMAcwBpAG8AbgBzACAAdABvACAAYwBhAHIAYgBvAG4AIABkAGkAbwB4AGkAZABlACAAZQBxAHUAaQB2AGEAbABlAG4AdAAgAGUAbQBpAHMAcwBpAG8AbgBzAFwAbgBFAEMASAA0ACAAQwBPADIAZQBcAG4AdAAgAEMATwAyAGUAXABuAEUAQwBIADQAOgAgAG0AZQB0AGgAYQBuAGUAIABlAG0AaQBzAHMAaQBvAG4AcwAgACgAdAAgAEMASAA0ACkAXABuAEcAVwBQAEMASAA0ADoAIABnAGwAbwBiAGEAbAAgAHcAYQByAG0AaQBuAGcAIABwAG8AdABlAG4AdABpAGEAbAAgAGYAbwByACAAbQBlAHQAaABhAG4AZQAgACgAdAAgAEMATwAyAC0AZQAgAC8AIAB0ACAAQwBIADQAKQBcAG4ALQAtAC0ALQAtAC0ALQAtAC0ALQAtAC0ALQAtAC0ALQAtAC0ALQAtAC0ALQAtAC0ALQAtAC0ALQAtAC0ALQAtAC0ALQAtAC0ALQAtAFwAbgAqAC8AXABuAFwAbgBcAG4AQwBvAG0AbQBvAG4AXwBDAG8AbgB2AGUAcgB0AEMASAA0AFQAbwBDAE8AMgBlAFwAbgAgACAAPQBMAEEATQBCAEQAQQAoAFwAbgAgACAAIAAgAEUAXwBDAEgANAAsACAARwBXAFAAXwBDAEgANAAsAFwAbgAgACAAIAAgAEUAXwBDAEgANAAgACoAIABHAFcAUABfAEMASAA0AFwAbgAgACAAKQBcAG4AOwBcAG4AXABuAEMAbwBtAG0AbwBuAF8AQwBvAG4AdgBlAHIAdABDAEgANABUAG8AQwBPADIAZQBfAFQAaQB0AGwAZQBcAG4AIAAgAD0ATABBAE0AQgBEAEEAKABcACIAQwBvAG4AdgBlAHIAdAAgAG0AZQB0AGgAYQBuAGUAIABlAG0AaQBzAHMAaQBvAG4AcwAgAHQAbwAgAGMAYQByAGIAbwBuACAAZABpAG8AeABpAGQAZQAgAGUAcQB1AGkAdgBhAGwAZQBuAHQAIABlAG0AaQBzAHMAaQBvAG4AcwBcACIAKQA7AFwAbgBcAG4AQwBvAG0AbQBvAG4AXwBDAG8AbgB2AGUAcgB0AEMASAA0AFQAbwBDAE8AMgBlAF8AVgBhAHIAaQBhAGIAbABlAFwAbgAgACAAPQBMAEEATQBCAEQAQQAoAFwAIgBFAEMASAA0ACAAQwBPADIAZQBcACIAKQA7AFwAbgBcAG4AQwBvAG0AbQBvAG4AXwBDAG8AbgB2AGUAcgB0AEMASAA0AFQAbwBDAE8AMgBlAF8AVQBuAGkAdABcAG4AIAAgAD0ATABBAE0AQgBEAEEAKABcACIAdAAgAEMATwAyAGUAXAAiACkAOwBcAG4AXABuAEMAbwBtAG0AbwBuAF8AQwBvAG4AdgBlAHIAdABDAEgANABUAG8AQwBPADIAZQBfAE4ASQBSAFIAZQBmAGUAcgBlAG4AYwBlAFwAbgAgACAAPQBMAEEATQBCAEQAQQAoAFwAIgBcACIAKQA7AFwAbgBcAG4AQwBvAG0AbQBvAG4AXwBDAG8AbgB2AGUAcgB0AEMASAA0AFQAbwBDAE8AMgBlAF8ATABhAHQAZQB4AEUAcQB1AGEAdABpAG8AbgBcAG4AIAAgAD0ATABBAE0AQgBEAEEAKABcACIAQwBPADIAXwBlACAAPQAgAEUAXwB7AEMASAA0AH0AIABcAFwAdABpAG0AZQBzACAARwBXAFAAXwB7AEMASAA0AH0AXAAiACkAOwBcAG4AXABuAEMAbwBtAG0AbwBuAF8AQwBvAG4AdgBlAHIAdABDAEgANABUAG8AQwBPADIAZQBfAEEAcgBnAHUAbQBlAG4AdABzAFwAbgAgACAAPQBMAEEATQBCAEQAQQAoAFwAbgAgACAAIAAgAE0AQQBLAEUAQQBSAFIAQQBZACgAMgAsACAAMgAsACAAXABuACAAIAAgACAAIAAgAEwAQQBNAEIARABBACgAcgAsAGMALAAgAFwAbgAgACAAIAAgACAAIAAgACAASQBOAEQARQBYACgAewBcAG4AIAAgACAAIAAgACAAIAAgACAAIABcACIARQBDAEgANABcACIALABcACIATQBlAHQAaABhAG4AZQAgAGUAbQBpAHMAcwBpAG8AbgBzACAAKAB0ACAAQwBIADQAKQBcACIAOwBcAG4AIAAgACAAIAAgACAAIAAgACAAIABcACIARwBXAFAAQwBIADQAXAAiACwAXAAiAEcAbABvAGIAYQBsACAAdwBhAHIAbQBpAG4AZwAgAHAAbwB0AGUAbgB0AGkAYQBsACAAZgBvAHIAIABtAGUAdABoAGEAbgBlACAAKAB0ACAAQwBPADIALQBlACAALwAgAHQAIABDAEgANAApAFwAIgBcAG4AIAAgACAAIAAgACAAIAAgAH0ALAAgAHIALAAgAGMAKQBcAG4AIAAgACAAIAAgACAAKQBcAG4AIAAgACAAIAApAFwAbgAgACAAKQA7ACIAfQAsAHsAIgBwAGEAdABoACIAOgAiAC8AcAByAG8AagBlAGMAdABzAC8AQwBvAG0AbQBvAG4ATABpAHYAZQBzAHQAbwBjAGsAXwBTAG8AdQByAGMAZQBEAGEAdABhACIALAAiAHQAZQB4AHQAIgA6ACIALwAqAFwAbgA9AD0APQA9AD0APQA9AD0APQA9AD0APQA9AD0APQA9AD0APQA9AD0APQA9AD0APQA9AD0APQA9AD0APQA9AD0APQA9AD0APQA9AD0APQA9AD0APQA9AD0APQA9AD0APQA9AD0APQA9AD0APQA9AD0APQA9AD0APQA9AD0APQA9AD0APQA9AD0APQA9AD0APQA9AD0APQA9AFwAbgA9AD0APQA9AD0APQA9AD0APQA9AD0APQA9AD0APQA9AD0APQA9AD0APQA9AD0APQA9AD0APQA9AD0APQA9AD0APQA9AD0APQA9AD0APQA9AD0APQA9AD0APQA9AD0APQA9AD0APQA9AD0APQA9AD0APQA9AD0APQA9AD0APQA9AD0APQA9AD0APQA9AD0APQA9AD0APQA9AFwAbgBTAG8AdQByAGMAZQAgAGQAYQB0AGEAIAB0AGgAYQB0ACAAaQBzACAAYwBvAG0AbQBvAG4AIABhAGMAcgBvAHMAcwAgAGEAbABsACAAbABpAHYAZQBzAHQAbwBjAGsAIAB0AHkAcABlAHMAXABuAEUAeABjAGUAbAAgAG0AbwBkAHUAbABlACAAbgBhAG0AZQA6ACAAUwBvAHUAcgBjAGUARABhAHQAYQBfAEwAaQB2AGUAcwB0AG8AYwBrAF8AQwBvAG0AbQBvAG4AXABuAD0APQA9AD0APQA9AD0APQA9AD0APQA9AD0APQA9AD0APQA9AD0APQA9AD0APQA9AD0APQA9AD0APQA9AD0APQA9AD0APQA9AD0APQA9AD0APQA9AD0APQA9AD0APQA9AD0APQA9AD0APQA9AD0APQA9AD0APQA9AD0APQA9AD0APQA9AD0APQA9AD0APQA9AD0APQA9AD0AXABuAD0APQA9AD0APQA9AD0APQA9AD0APQA9AD0APQA9AD0APQA9AD0APQA9AD0APQA9AD0APQA9AD0APQA9AD0APQA9AD0APQA9AD0APQA9AD0APQA9AD0APQA9AD0APQA9AD0APQA9AD0APQA9AD0APQA9AD0APQA9AD0APQA9AD0APQA9AD0APQA9AD0APQA9AD0APQA9AD0AXABuACoALwBcAG4AXABuAC8AKgBcAG4APQA9AD0APQA9AD0APQA9AD0APQA9AD0APQA9AD0APQA9AD0APQA9AD0APQA9AD0APQA9AD0APQA9AD0APQA9AD0APQA9AD0APQA9AFwAbgA9AD0APQA9AD0APQA9AD0APQA9AD0APQA9AD0APQA9AD0APQA9AD0APQA9AD0APQA9AD0APQA9AD0APQA9AD0APQA9AD0APQA9AD0AXABuAFMAbwB1AHIAYwBlADoAIABOAGEAdABpAG8AbgBhAGwAIABJAG4AdgBlAG4AdABvAHIAeQAgAFIAZQBwAG8AcgB0ACAAMgAwADIAMwAgAFYAbwBsAHUAbQBlACAAMQBcAG4ATgBJAFIAXwAyADAAMgAzAF8AVgBvAGwAMQBcAG4APQA9AD0APQA9AD0APQA9AD0APQA9AD0APQA9AD0APQA9AD0APQA9AD0APQA9AD0APQA9AD0APQA9AD0APQA9AD0APQA9AD0APQA9AFwAbgA9AD0APQA9AD0APQA9AD0APQA9AD0APQA9AD0APQA9AD0APQA9AD0APQA9AD0APQA9AD0APQA9AD0APQA9AD0APQA9AD0APQA9AD0AXABuACoALwBcAG4AXABuAC8AKgAgAFwAbgAtAC0ALQAtAC0ALQAtAC0ALQAtAC0ALQAtAC0ALQAtAC0ALQAtAC0ALQAtAC0ALQAtAC0ALQAtAC0ALQAtAC0ALQAtAC0ALQAtAC0AXABuAFMAbwB1AHIAYwBlAEQAYQB0AGEAXwBMAGkAdgBlAHMAdABvAGMAawBfAEMAbwBtAG0AbwBuAF8ARgByAGEAYwBXAEUAVABNAE0AUwBcAG4ARgByAGEAYwBXAEUAVABNAE0AUwBpACAAPQAgAEYAcgBhAGMAdABpAG8AbgAgAG8AZgAgAE4AIABhAHYAYQBpAGwAYQBiAGwAZQAgAGYAbwByACAAbABlAGEAYwBoAGkAbgBnACAAYQBuAGQAIAByAHUAbgBvAGYAZgBcAG4AKABUAGEAYgBsAGUAIABBADUALgA1AC4AMQAwAC4AMgAgAGkAcwAgAHIAZQBmAGUAcgBlAG4AYwBlAGQAIABpAG4AIABOAEkAUgAgAGIAdQB0ACAAMQAgAGkAcwAgAHUAcwBlAGQAKQBcAG4ALQAtAC0ALQAtAC0ALQAtAC0ALQAtAC0ALQAtAC0ALQAtAC0ALQAtAC0ALQAtAC0ALQAtAC0ALQAtAC0ALQAtAC0ALQAtAC0ALQAtAFwAbgAqAC8AXABuAFwAbgBTAG8AdQByAGMAZQBEAGEAdABhAF8ATABpAHYAZQBzAHQAbwBjAGsAXwBDAG8AbQBtAG8AbgBfAEYAcgBhAGMAVwBFAFQATQBNAFMAXwBUAGkAdABsAGUAXABuACAAIAA9AEwAQQBNAEIARABBACgAXAAiAEYAcgBhAGMAdABpAG8AbgAgAG8AZgAgAE4AIABhAHYAYQBpAGwAYQBiAGwAZQAgAGYAbwByACAAbABlAGEAYwBoAGkAbgBnACAAYQBuAGQAIAByAHUAbgBvAGYAZgBcACIAKQA7AFwAbgBcAG4AUwBvAHUAcgBjAGUARABhAHQAYQBfAEwAaQB2AGUAcwB0AG8AYwBrAF8AQwBvAG0AbQBvAG4AXwBGAHIAYQBjAFcARQBUAE0ATQBTAF8AVQBuAGkAdABcAG4AIAAgAD0ATABBAE0AQgBEAEEAKABcACIARgByAGEAYwB0AGkAbwBuAFwAIgApADsAXABuAFwAbgBTAG8AdQByAGMAZQBEAGEAdABhAF8ATABpAHYAZQBzAHQAbwBjAGsAXwBDAG8AbQBtAG8AbgBfAEYAcgBhAGMAVwBFAFQATQBNAFMAXwBTAG8AdQByAGMAZQBcAG4AIAAgAD0ATABBAE0AQgBEAEEAKABcACIATgBhAHQAaQBvAG4AYQBsACAASQBuAHYAZQBuAHQAbwByAHkAIABSAGUAcABvAHIAdAAgADIAMAAyADMAIABWAG8AbAB1AG0AZQAgADEAOgAgAEUAcQB1AGEAdABpAG8AbgBzACAAMwAuAEIALgA1AGEAXwAzACwAIAAzAC4AQgAuADUAYwBfADMALAAgADMALgBCAC4ANQBkAF8AMwBcACIAKQA7AFwAbgBcAG4AUwBvAHUAcgBjAGUARABhAHQAYQBfAEwAaQB2AGUAcwB0AG8AYwBrAF8AQwBvAG0AbQBvAG4AXwBGAHIAYQBjAFcARQBUAE0ATQBTAF8ARABhAHQAYQBcAG4AIAAgAD0ATABBAE0AQgBEAEEAKAAxACkAOwBcAG4AXABuAC8AKgAgAFwAbgAtAC0ALQAtAC0ALQAtAC0ALQAtAC0ALQAtAC0ALQAtAC0ALQAtAC0ALQAtAC0ALQAtAC0ALQAtAC0ALQAtAC0ALQAtAC0ALQAtAC0AXABuAFMAbwB1AHIAYwBlAEQAYQB0AGEAXwBMAGkAdgBlAHMAdABvAGMAawBfAEMAbwBtAG0AbwBuAF8ARgByAGEAYwBMAEUAQQBDAEgAXwBNAFMAXABuAEYAcgBhAGMATABFAEEAQwBIAF8ATQBTACAAPQAgADAALgAwADIAIAAoAEcAZwAgAE4ALwBHAGcAIABhAHAAcABsAGkAZQBkACkAIAAoAEMAUwAgAEUARgAsACAAcwBvAHUAcgBjAGUAIABJAFAAQwBDACAAKAAyADAAMQA5ACkAKQAgAFwAbgBmAHIAYQBjAHQAaQBvAG4AIABvAGYAIABOACAAbABvAHMAdAAgAHQAaAByAG8AdQBnAGgAIABsAGUAYQBjAGgAaQBuAGcAIABhAG4AZAAgAHIAdQBuAG8AZgBmAFwAbgAtAC0ALQAtAC0ALQAtAC0ALQAtAC0ALQAtAC0ALQAtAC0ALQAtAC0ALQAtAC0ALQAtAC0ALQAtAC0ALQAtAC0ALQAtAC0ALQAtAC0AXABuACoALwBcAG4AXABuAFMAbwB1AHIAYwBlAEQAYQB0AGEAXwBMAGkAdgBlAHMAdABvAGMAawBfAEMAbwBtAG0AbwBuAF8ARgByAGEAYwBMAEUAQQBDAEgAXwBNAFMAXwBUAGkAdABsAGUAXABuACAAIAA9AEwAQQBNAEIARABBACgAXAAiAEYAcgBhAGMAdABpAG8AbgAgAG8AZgAgAE4AIABsAG8AcwB0ACAAdABoAHIAbwB1AGcAaAAgAGwAZQBhAGMAaABpAG4AZwAgAGEAbgBkACAAcgB1AG4AbwBmAGYAXAAiACkAOwBcAG4AXABuAFMAbwB1AHIAYwBlAEQAYQB0AGEAXwBMAGkAdgBlAHMAdABvAGMAawBfAEMAbwBtAG0AbwBuAF8ARgByAGEAYwBMAEUAQQBDAEgAXwBNAFMAXwBVAG4AaQB0AFwAbgAgACAAPQBMAEEATQBCAEQAQQAoAFwAIgBGAHIAYQBjAHQAaQBvAG4AXAAiACkAOwBcAG4AXABuAFMAbwB1AHIAYwBlAEQAYQB0AGEAXwBMAGkAdgBlAHMAdABvAGMAawBfAEMAbwBtAG0AbwBuAF8ARgByAGEAYwBMAEUAQQBDAEgAXwBNAFMAXwBTAG8AdQByAGMAZQBcAG4AIAAgAD0ATABBAE0AQgBEAEEAKABcACIATgBhAHQAaQBvAG4AYQBsACAASQBuAHYAZQBuAHQAbwByAHkAIABSAGUAcABvAHIAdAAgADIAMAAyADMAIABWAG8AbAB1AG0AZQAgADEAOgAgAEUAcQB1AGEAdABpAG8AbgBzACAAMwAuAEIALgA1AGEAXwAzACwAIAAzAC4AQgAuADUAYwBfADMALAAgADMALgBCAC4ANQBkAF8AMwBcACIAKQA7AFwAbgBcAG4AUwBvAHUAcgBjAGUARABhAHQAYQBfAEwAaQB2AGUAcwB0AG8AYwBrAF8AQwBvAG0AbQBvAG4AXwBGAHIAYQBjAEwARQBBAEMASABfAE0AUwBfAEQAYQB0AGEAXABuACAAIAA9AEwAQQBNAEIARABBACgAXABuACAAIAAgACAATQBBAEsARQBBAFIAUgBBAFkAKAA4ACwAIAAyACwAIABcAG4AIAAgACAAIAAgACAATABBAE0AQgBEAEEAKAByACwAYwAsACAAXABuACAAIAAgACAAIAAgACAAIABJAE4ARABFAFgAKAB7AFwAbgAgACAAIAAgACAAIAAgACAAIAAgAFwAIgBQAHIAbwBkAHUAYwB0AGkAbwBuACAAcwB5AHMAdABlAG0AXAAiACwAIABcACIARQBtAGkAcwBzAGkAbwBuACAAZgBhAGMAdABvAHIAXAAiADsAXABuACAAIAAgACAAIAAgACAAIAAgACAAIAAgAFwAIgBJAHIAcgBpAGcAYQB0AGUAZAAgAHAAYQBzAHQAdQByAGUAXAAiACwAIAAwAC4AMAAwADUAOQA7AFwAbgAgACAAIAAgACAAIAAgACAAIAAgACAAIABcACIASQByAHIAaQBnAGEAdABlAGQAIABjAHIAbwBwAFwAIgAsACAAMAAuADAAMAA3ADsAXABuACAAIAAgACAAIAAgACAAIAAgACAAIAAgAFwAIgBOAG8AbgAtAGkAcgByAGkAZwBhAHQAZQBkACAAcABhAHMAdAB1AHIAZQBcACIALAAgADAALgAwADAAMQA4ADsAXABuACAAIAAgACAAIAAgACAAIAAgACAAIAAgAFwAIgBOAG8AbgAtAGkAcgByAGkAZwBhAHQAZQBkACAAYwByAG8AcABcACIALAAgADAALgAwADAANAAxADsAXABuACAAIAAgACAAIAAgACAAIAAgACAAIAAgAFwAIgBTAHUAZwBhAHIAIABjAGEAbgBlAFwAIgAsACAAMAAuADAAMQA5ADkAOwBcAG4AIAAgACAAIAAgACAAIAAgACAAIAAgACAAXAAiAEMAbwB0AHQAbwBuAFwAIgAsACAAMAAuADAAMAA1ADMAOwBcAG4AIAAgACAAIAAgACAAIAAgACAAIAAgACAAXAAiAEgAbwByAHQAaQBjAHUAbAB0AHUAcgBlAFwAIgAsACAAMAAuADAAMAA2ADQAXABuACAAIAAgACAAIAAgACAAIAB9ACwAIAByACwAIABjACkAXABuACAAIAAgACAAIAAgACkAXABuACAAIAAgACAAKQBcAG4AIAAgACkAOwBcAG4AXABuAFwAbgAvACoAIABcAG4ALQAtAC0ALQAtAC0ALQAtAC0ALQAtAC0ALQAtAC0ALQAtAC0ALQAtAC0ALQAtAC0ALQAtAC0ALQAtAC0ALQAtAC0ALQAtAC0ALQAtAFwAbgBTAG8AdQByAGMAZQBEAGEAdABhAF8ATABpAHYAZQBzAHQAbwBjAGsAXwBDAG8AbQBtAG8AbgBfAFMAeQBtAGIAbwBsAHMATQBNAFMAXABuAFQAYQBiAGwAZQAgADUALgAxADIAIABBAGQAZABpAHQAaQBvAG4AYQBsACAAcwB5AG0AYgBvAGwAcwAgAHUAcwBlAGQAIABpAG4AIABhAGwAZwBvAHIAaQB0AGgAbQBzACAAZgBvAHIAIABtAGEAbgB1AHIAZQAgAHIAZQBsAGEAdABlAGQAIABlAG0AaQBzAHMAaQBvAG4AcwBcAG4ALQAtAC0ALQAtAC0ALQAtAC0ALQAtAC0ALQAtAC0ALQAtAC0ALQAtAC0ALQAtAC0ALQAtAC0ALQAtAC0ALQAtAC0ALQAtAC0ALQAtAFwAbgAqAC8AXABuAFwAbgBTAG8AdQByAGMAZQBEAGEAdABhAF8ATABpAHYAZQBzAHQAbwBjAGsAXwBDAG8AbQBtAG8AbgBfAFMAeQBtAGIAbwBsAHMATQBNAFMAXwBUAGkAdABsAGUAXABuACAAIAA9AEwAQQBNAEIARABBACgAXAAiAFQAYQBiAGwAZQAgADUALgAxADIAIABBAGQAZABpAHQAaQBvAG4AYQBsACAAcwB5AG0AYgBvAGwAcwAgAHUAcwBlAGQAIABpAG4AIABhAGwAZwBvAHIAaQB0AGgAbQBzACAAZgBvAHIAIABtAGEAbgB1AHIAZQAgAHIAZQBsAGEAdABlAGQAIABlAG0AaQBzAHMAaQBvAG4AcwBcACIAKQA7AFwAbgBcAG4AUwBvAHUAcgBjAGUARABhAHQAYQBfAEwAaQB2AGUAcwB0AG8AYwBrAF8AQwBvAG0AbQBvAG4AXwBTAHkAbQBiAG8AbABzAE0ATQBTAF8AVgBhAGkAcgBhAGIAbABlAFwAbgAgACAAPQBMAEEATQBCAEQAQQAoAFwAIgBNAE0AUwBcACIAKQA7AFwAbgBcAG4AUwBvAHUAcgBjAGUARABhAHQAYQBfAEwAaQB2AGUAcwB0AG8AYwBrAF8AQwBvAG0AbQBvAG4AXwBTAHkAbQBiAG8AbABzAE0ATQBTAF8AVQBuAGkAdABcAG4AIAAgAD0ATABBAE0AQgBEAEEAKABcACIAXAAiACkAOwBcAG4AXABuAFMAbwB1AHIAYwBlAEQAYQB0AGEAXwBMAGkAdgBlAHMAdABvAGMAawBfAEMAbwBtAG0AbwBuAF8AUwB5AG0AYgBvAGwAcwBNAE0AUwBfAFMAbwB1AHIAYwBlAFwAbgAgACAAPQBMAEEATQBCAEQAQQAoAFwAIgBOAGEAdABpAG8AbgBhAGwAIABJAG4AdgBlAG4AdABvAHIAeQAgAFIAZQBwAG8AcgB0ACAAMgAwADIAMwAgAFYAbwBsAHUAbQBlACAAMQA6ACAAVABhAGIAbABlACAANQAuADEAMgBcACIAKQA7AFwAbgBcAG4AUwBvAHUAcgBjAGUARABhAHQAYQBfAEwAaQB2AGUAcwB0AG8AYwBrAF8AQwBvAG0AbQBvAG4AXwBTAHkAbQBiAG8AbABzAE0ATQBTAF8ARABhAHQAYQBcAG4AIAAgAD0ATABBAE0AQgBEAEEAKABcAG4AIAAgACAAIABNAEEASwBFAEEAUgBSAEEAWQAoADEAOQAsACAAMwAsACAAXABuACAAIAAgACAAIAAgAEwAQQBNAEIARABBACgAcgAsAGMALAAgAFwAbgAgACAAIAAgACAAIAAgACAASQBOAEQARQBYACgAewBcAG4AIAAgACAAIAAgACAAIAAgACAAIABcACIAUwB5AG0AYgBvAGwAXAAiACwAIABcACIATQBhAG4AdQByAGUAIABtAGEAbgBhAGcAZQBtAGUAbgB0ACAAcwB5AHMAdABlAG0AXAAiACwAIABcACIAXAAiADsAXABuACAAIAAgACAAIAAgACAAIAAgACAAIAAgAFwAIgAxAFwAIgAsACAAXAAiAEEAbgBhAGUAcgBvAGIAaQBjACAAbABhAGcAbwBvAG4AXAAiACwAIABcACIAQQBuAGEAZQByAG8AYgBpAGMAIABsAGEAZwBvAG8AbgAgACgAbQA9ADEAKQBcACIAOwBcAG4AIAAgACAAIAAgACAAIAAgACAAIAAgACAAXAAiADIAXAAiACwAIABcACIATABpAHEAdQBpAGQAIABzAHkAcwB0AGUAbQBzAFwAIgAsACAAXAAiAEwAaQBxAHUAaQBkACAAcwB5AHMAdABlAG0AcwAgACgAbQA9ADIAKQBcACIAOwBcAG4AIAAgACAAIAAgACAAIAAgACAAIAAgACAAXAAiADMAXAAiACwAIABcACIARABhAGkAbAB5ACAAcwBwAHIAZQBhAGQAXAAiACwAIABcACIARABhAGkAbAB5ACAAcwBwAHIAZQBhAGQAIAAoAG0APQAzACkAXAAiADsAXABuACAAIAAgACAAIAAgACAAIAAgACAAIAAgAFwAIgAzAGEAXAAiACwAIABcACIAUwB1AG0AcAAgAGEAbgBkACAAZABpAHMAcABlAHIAcwBhAGwAIABzAHkAcwB0AGUAbQBcACIALAAgAFwAIgBTAHUAbQBwACAAYQBuAGQAIABkAGkAcwBwAGUAcgBzAGEAbAAgAHMAeQBzAHQAZQBtACAAKABtAD0AMwBhACkAXAAiADsAXABuACAAIAAgACAAIAAgACAAIAAgACAAIAAgAFwAIgAzAGIAXAAiACwAIABcACIARAByAGEAaQBuAHMAIAB0AG8AIABwAGEAZABkAG8AYwBrAFwAIgAsACAAXAAiAEQAcgBhAGkAbgBzACAAdABvACAAcABhAGQAZABvAGMAawAgACgAbQA9ADMAYgApAFwAIgA7AFwAbgAgACAAIAAgACAAIAAgACAAIAAgACAAIABcACIANABcACIALAAgAFwAIgBTAG8AbABpAGQAIABzAHQAbwByAGEAZwBlAFwAIgAsACAAXAAiAFMAbwBsAGkAZAAgAHMAdABvAHIAYQBnAGUAIAAoAG0APQA0ACkAXAAiADsAXABuACAAIAAgACAAIAAgACAAIAAgACAAIAAgAFwAIgA1AFwAIgAsACAAXAAiAEQAcgB5AGwAbwB0ACAAKABmAGUAZQBkACAAcABhAGQAKQBcACIALAAgAFwAIgBEAHIAeQBsAG8AdAAgACgAZgBlAGUAZAAgAHAAYQBkACkAIAAoAG0APQA1ACkAXAAiADsAXABuACAAIAAgACAAIAAgACAAIAAgACAAIAAgAFwAIgA2AFwAIgAsACAAXAAiAEMAbwBtAHAAbwBzAHQAaQBuAGcAIAAoAHAAYQBzAHMAaQB2AGUAIAB3AGkAbgBkAHIAbwB3ACkAXAAiACwAIABcACIAQwBvAG0AcABvAHMAdABpAG4AZwAgACgAcABhAHMAcwBpAHYAZQAgAHcAaQBuAGQAcgBvAHcAKQAgACgAbQA9ADYAKQBcACIAOwBcAG4AIAAgACAAIAAgACAAIAAgACAAIAAgACAAXAAiADcAXAAiACwAIABcACIARABpAGcAZQBzAHQAZQByACAALwAgAGMAbwB2AGUAcgBlAGQAIABsAGEAZwBvAG8AbgBzAFwAIgAsACAAXAAiAEQAaQBnAGUAcwB0AGUAcgAgAC8AIABjAG8AdgBlAHIAZQBkACAAbABhAGcAbwBvAG4AcwAgACgAbQA9ADcAKQBcACIAOwBcAG4AIAAgACAAIAAgACAAIAAgACAAIAAgACAAXAAiADgAXAAiACwAIABcACIARABlAGUAcAAgAGwAaQB0AHQAZQByAFwAIgAsACAAXAAiAEQAZQBlAHAAIABsAGkAdAB0AGUAcgAgACgAbQA9ADgAKQBcACIAOwBcAG4AIAAgACAAIAAgACAAIAAgACAAIAAgACAAXAAiADkAXAAiACwAIABcACIAUABpAHQAIABzAHQAbwByAGEAZwBlAFwAIgAsACAAXAAiAFAAaQB0ACAAcwB0AG8AcgBhAGcAZQAgACgAbQA9ADkAKQBcACIAOwBcAG4AIAAgACAAIAAgACAAIAAgACAAIAAgACAAXAAiADEAMABcACIALAAgAFwAIgBQAG8AdQBsAHQAcgB5ACAAbQBhAG4AdQByAGUAIAB3AGkAdABoACAAYgBlAGQAZABpAG4AZwBcACIALAAgAFwAIgBQAG8AdQBsAHQAcgB5ACAAbQBhAG4AdQByAGUAIAB3AGkAdABoACAAYgBlAGQAZABpAG4AZwAgACgAbQA9ADEAMAApAFwAIgA7AFwAbgAgACAAIAAgACAAIAAgACAAIAAgACAAIABcACIAMQAxAFwAIgAsACAAXAAiAFAAbwB1AGwAdAByAHkAIABtAGEAbgB1AHIAZQAgAHcAaQB0AGgAbwB1AHQAIABiAGUAZABkAGkAbgBnAFwAIgAsACAAXAAiAFAAbwB1AGwAdAByAHkAIABtAGEAbgB1AHIAZQAgAHcAaQB0AGgAbwB1AHQAIABiAGUAZABkAGkAbgBnACAAKABtAD0AMQAxACkAXAAiADsAXABuACAAIAAgACAAIAAgACAAIAAgACAAIAAgAFwAIgAxADEAYQBcACIALAAgAFwAIgBCAGUAbAB0ACAAbQBhAG4AdQByAGUAIAByAGUAbQBvAHYAYQBsAFwAIgAsACAAXAAiAEIAZQBsAHQAIABtAGEAbgB1AHIAZQAgAHIAZQBtAG8AdgBhAGwAIAAoAG0APQAxADEAYQApAFwAIgA7AFwAbgAgACAAIAAgACAAIAAgACAAIAAgACAAIABcACIAMQAxAGIAXAAiACwAIABcACIATQBhAG4AdQByAGUAIABzAHQAbwByAGUAZAAgAGkAbgAgAGgAbwB1AHMAZQBcACIALAAgAFwAIgBNAGEAbgB1AHIAZQAgAHMAdABvAHIAZQBkACAAaQBuACAAaABvAHUAcwBlACAAKABtAD0AMQAxAGIAKQBcACIAOwBcAG4AIAAgACAAIAAgACAAIAAgACAAIAAgACAAXAAiADEAMgBcACIALAAgAFwAIgBEAGkAcgBlAGMAdAAgAHAAcgBvAGMAZQBzAHMAaQBuAGcAXAAiACwAIABcACIARABpAHIAZQBjAHQAIABwAHIAbwBjAGUAcwBzAGkAbgBnACAAKABtAD0AMQAyACkAXAAiADsAXABuACAAIAAgACAAIAAgACAAIAAgACAAIAAgAFwAIgAxADMAXAAiACwAIABcACIARABpAHIAZQBjAHQAIABhAHAAcABsAGkAYwBhAHQAaQBvAG4AXAAiACwAIABcACIARABpAHIAZQBjAHQAIABhAHAAcABsAGkAYwBhAHQAaQBvAG4AIAAoAG0APQAxADMAKQBcACIAOwBcAG4AIAAgACAAIAAgACAAIAAgACAAIAAgACAAXAAiADEANABcACIALAAgAFwAIgBQAGEAcwB0AHUAcgBlACAAcgBhAG4AZwBlACAAYQBuAGQAIABwAGEAZABkAG8AYwBrAFwAIgAsACAAXAAiAFAAYQBzAHQAdQByAGUAIAByAGEAbgBnAGUAIABhAG4AZAAgAHAAYQBkAGQAbwBjAGsAIAAoAG0APQAxADQAKQBcACIAXABuACAAIAAgACAAIAAgACAAIAB9ACwAIAByACwAIABjACkAXABuACAAIAAgACAAIAAgACkAXABuACAAIAAgACAAKQBcAG4AIAAgACkAOwBcAG4AXABuAFwAbgAvACoAIABcAG4ALQAtAC0ALQAtAC0ALQAtAC0ALQAtAC0ALQAtAC0ALQAtAC0ALQAtAC0ALQAtAC0ALQAtAC0ALQAtAC0ALQAtAC0ALQAtAC0ALQAtAFwAbgBTAG8AdQByAGMAZQBEAGEAdABhAF8ATABpAHYAZQBzAHQAbwBjAGsAXwBQAHIAbwBkAHUAYwB0AF8AQgBlAGUAZgBDAGEAdAB0AGwAZQBcAG4ALQAtAC0ALQAtAC0ALQAtAC0ALQAtAC0ALQAtAC0ALQAtAC0ALQAtAC0ALQAtAC0ALQAtAC0ALQAtAC0ALQAtAC0ALQAtAC0ALQAtAFwAbgAqAC8AXABuAFwAbgBTAG8AdQByAGMAZQBEAGEAdABhAF8ATABpAHYAZQBzAHQAbwBjAGsAXwBQAHIAbwBkAHUAYwB0AF8AQgBlAGUAZgBDAGEAdAB0AGwAZQBfAFQAaQB0AGwAZQBcAG4AIAAgAD0ATABBAE0AQgBEAEEAKABcACIAQgBlAGUAZgAgAGMAYQB0AHQAbABlACAAcAByAG8AZAB1AGMAdABzACAAZgBvAHIAIABzAGMAbwBwAGUAIAAzAFwAIgApADsAXABuAFwAbgBTAG8AdQByAGMAZQBEAGEAdABhAF8ATABpAHYAZQBzAHQAbwBjAGsAXwBQAHIAbwBkAHUAYwB0AF8AQgBlAGUAZgBDAGEAdAB0AGwAZQBfAFYAYQBpAHIAYQBiAGwAZQBcAG4AIAAgAD0ATABBAE0AQgBEAEEAKABcACIAXAAiACkAOwBcAG4AXABuAFMAbwB1AHIAYwBlAEQAYQB0AGEAXwBMAGkAdgBlAHMAdABvAGMAawBfAFAAcgBvAGQAdQBjAHQAXwBCAGUAZQBmAEMAYQB0AHQAbABlAF8AVQBuAGkAdABcAG4AIAAgAD0ATABBAE0AQgBEAEEAKABcACIAXAAiACkAOwBcAG4AXABuAFMAbwB1AHIAYwBlAEQAYQB0AGEAXwBMAGkAdgBlAHMAdABvAGMAawBfAFAAcgBvAGQAdQBjAHQAXwBCAGUAZQBmAEMAYQB0AHQAbABlAF8AUwBvAHUAcgBjAGUAXABuACAAIAA9AEwAQQBNAEIARABBACgAXAAiAEwAaQBmAGUAYwB5AGMAbABlAHMALgAgACgAMgAwADIANgApAC4AIABHAHIAZQBlAG4AaABvAHUAcwBlACAARwBhAHMAIABFAG0AaQBzAHMAaQBvAG4AIABJAG4AdABlAG4AcwBpAHQAaQBlAHMAIABmAG8AcgAgAE0AYQB0AGUAcgBpAGEAbAAgAEkAbgBwAHUAdABzACAAdABvACAAQQB1AHMAdAByAGEAbABpAGEAbgAgAEEAZwByAGkAYwB1AGwAdAB1AHIAZQAsACAARgBpAHMAaABlAHIAaQBlAHMAIABhAG4AZAAgAEYAbwByAGUAcwB0AHIAeQAuACAAVgBlAHIAcwBpAG8AbgAgADQAOAAuACAAZABvAGkAIAAxADAALgA1ADIAOAAxAC8AegBlAG4AbwBkAG8ALgAxADkANgA1ADYANQA4ADAAXAAiACkAOwBcAG4AXABuAFMAbwB1AHIAYwBlAEQAYQB0AGEAXwBMAGkAdgBlAHMAdABvAGMAawBfAFAAcgBvAGQAdQBjAHQAXwBCAGUAZQBmAEMAYQB0AHQAbABlAF8ARABhAHQAYQBcAG4AIAAgAD0ATABBAE0AQgBEAEEAKABcAG4AIAAgACAAIABNAEEASwBFAEEAUgBSAEEAWQAoADkALAAgADIALAAgAFwAbgAgACAAIAAgACAAIABMAEEATQBCAEQAQQAoAHIALABjACwAIABcAG4AIAAgACAAIAAgACAAIAAgAEkATgBEAEUAWAAoAHsAXABuACAAIAAgACAAIAAgACAAIAAgACAAXAAiAFAAcgBvAGQAdQBjAHQAXAAiACwAIABcACIAUwBvAHUAcgBjAGUAIAByAGUAZwBpAG8AbgBcACIAOwBcAG4AIAAgACAAIAAgACAAIAAgACAAIAAgACAAXAAiAEMAYQB0AHQAbABlACwAIABmAG8AcgAgAG0AYQBuAHUAZgBhAGMAdAB1AHIAaQBuAGcAIABiAGUAZQBmAFwAIgAsACAAXAAiAEEAdQBzAHQAcgBhAGwAaQBhAFwAIgA7AFwAbgAgACAAIAAgACAAIAAgACAAIAAgACAAIABcACIAQwBhAHQAdABsAGUALAAgAGYAbwByACAAcAByAGkAbQBlACAAYgBlAGUAZgBcACIALAAgAFwAIgBOAFMAVwBcACIAOwBcAG4AIAAgACAAIAAgACAAIAAgACAAIAAgACAAXAAiAEMAYQB0AHQAbABlACwAIAB3AGUAYQBuAGUAcgBzAFwAIgAsACAAXAAiAE4AVABcACIAOwBcAG4AIAAgACAAIAAgACAAIAAgACAAIAAgACAAXAAiAFwAIgAsACAAXAAiAFEATABEAFwAIgA7AFwAbgAgACAAIAAgACAAIAAgACAAIAAgACAAIABcACIAXAAiACwAIABcACIAUwBBAFwAIgA7AFwAbgAgACAAIAAgACAAIAAgACAAIAAgACAAIABcACIAXAAiACwAIABcACIAVABBAFMAXAAiADsAXABuACAAIAAgACAAIAAgACAAIAAgACAAIAAgAFwAIgBcACIALAAgAFwAIgBWAEkAQwBcACIAOwBcAG4AIAAgACAAIAAgACAAIAAgACAAIAAgACAAXAAiAFwAIgAsACAAXAAiAFcAQQBcACIAXABuACAAIAAgACAAIAAgACAAIAB9ACwAIAByACwAIABjACkAXABuACAAIAAgACAAIAAgACkAXABuACAAIAAgACAAKQBcAG4AIAAgACkAOwBcAG4AXABuAC8AKgAgAFwAbgAtAC0ALQAtAC0ALQAtAC0ALQAtAC0ALQAtAC0ALQAtAC0ALQAtAC0ALQAtAC0ALQAtAC0ALQAtAC0ALQAtAC0ALQAtAC0ALQAtAC0AXABuAFMAbwB1AHIAYwBlAEQAYQB0AGEAXwBMAGkAdgBlAHMAdABvAGMAawBfAFAAcgBvAGQAdQBjAHQAXwBDAGgAaQBjAGsAZQBuAHMAXABuAC0ALQAtAC0ALQAtAC0ALQAtAC0ALQAtAC0ALQAtAC0ALQAtAC0ALQAtAC0ALQAtAC0ALQAtAC0ALQAtAC0ALQAtAC0ALQAtAC0ALQBcAG4AKgAvAFwAbgBcAG4AUwBvAHUAcgBjAGUARABhAHQAYQBfAEwAaQB2AGUAcwB0AG8AYwBrAF8AUAByAG8AZAB1AGMAdABfAEMAaABpAGMAawBlAG4AcwBfAFQAaQB0AGwAZQBcAG4AIAAgAD0ATABBAE0AQgBEAEEAKABcACIAQwBoAGkAYwBrAGUAbgBzACAAcAByAG8AZAB1AGMAdABzACAAZgBvAHIAIABzAGMAbwBwAGUAIAAzAFwAIgApADsAXABuAFwAbgBTAG8AdQByAGMAZQBEAGEAdABhAF8ATABpAHYAZQBzAHQAbwBjAGsAXwBQAHIAbwBkAHUAYwB0AF8AQwBoAGkAYwBrAGUAbgBzAF8AVgBhAGkAcgBhAGIAbABlAFwAbgAgACAAPQBMAEEATQBCAEQAQQAoAFwAIgBcACIAKQA7AFwAbgBcAG4AUwBvAHUAcgBjAGUARABhAHQAYQBfAEwAaQB2AGUAcwB0AG8AYwBrAF8AUAByAG8AZAB1AGMAdABfAEMAaABpAGMAawBlAG4AcwBfAFUAbgBpAHQAXABuACAAIAA9AEwAQQBNAEIARABBACgAXAAiAFwAIgApADsAXABuAFwAbgBTAG8AdQByAGMAZQBEAGEAdABhAF8ATABpAHYAZQBzAHQAbwBjAGsAXwBQAHIAbwBkAHUAYwB0AF8AQwBoAGkAYwBrAGUAbgBzAF8AUwBvAHUAcgBjAGUAXABuACAAIAA9AEwAQQBNAEIARABBACgAXAAiAEwAaQBmAGUAYwB5AGMAbABlAHMALgAgACgAMgAwADIANgApAC4AIABHAHIAZQBlAG4AaABvAHUAcwBlACAARwBhAHMAIABFAG0AaQBzAHMAaQBvAG4AIABJAG4AdABlAG4AcwBpAHQAaQBlAHMAIABmAG8AcgAgAE0AYQB0AGUAcgBpAGEAbAAgAEkAbgBwAHUAdABzACAAdABvACAAQQB1AHMAdAByAGEAbABpAGEAbgAgAEEAZwByAGkAYwB1AGwAdAB1AHIAZQAsACAARgBpAHMAaABlAHIAaQBlAHMAIABhAG4AZAAgAEYAbwByAGUAcwB0AHIAeQAuACAAVgBlAHIAcwBpAG8AbgAgADQAOAAuACAAZABvAGkAIAAxADAALgA1ADIAOAAxAC8AegBlAG4AbwBkAG8ALgAxADkANgA1ADYANQA4ADAAXAAiACkAOwBcAG4AXABuAFMAbwB1AHIAYwBlAEQAYQB0AGEAXwBMAGkAdgBlAHMAdABvAGMAawBfAFAAcgBvAGQAdQBjAHQAXwBDAGgAaQBjAGsAZQBuAHMAXwBEAGEAdABhAFwAbgAgACAAPQBMAEEATQBCAEQAQQAoAFwAbgAgACAAIAAgAE0AQQBLAEUAQQBSAFIAQQBZACgAMgAsACAAMgAsACAAXABuACAAIAAgACAAIAAgAEwAQQBNAEIARABBACgAcgAsAGMALAAgAFwAbgAgACAAIAAgACAAIAAgACAASQBOAEQARQBYACgAewBcAG4AIAAgACAAIAAgACAAIAAgACAAIABcACIAUAByAG8AZAB1AGMAdABcACIALAAgAFwAIgBTAG8AdQByAGMAZQAgAHIAZQBnAGkAbwBuAFwAIgA7AFwAbgAgACAAIAAgACAAIAAgACAAIAAgACAAIABcACIAQwBoAGkAYwBrAGUAbgBzAFwAIgAsACAAXAAiAEEAdQBzAHQAcgBhAGwAaQBhAFwAIgBcAG4AIAAgACAAIAAgACAAIAAgAH0ALAAgAHIALAAgAGMAKQBcAG4AIAAgACAAIAAgACAAKQBcAG4AIAAgACAAIAApAFwAbgAgACAAKQA7AFwAbgBcAG4AXABuAC8AKgAgAFwAbgAtAC0ALQAtAC0ALQAtAC0ALQAtAC0ALQAtAC0ALQAtAC0ALQAtAC0ALQAtAC0ALQAtAC0ALQAtAC0ALQAtAC0ALQAtAC0ALQAtAC0AXABuAFMAbwB1AHIAYwBlAEQAYQB0AGEAXwBMAGkAdgBlAHMAdABvAGMAawBfAFAAcgBvAGQAdQBjAHQAXwBEAGEAaQByAHkAYwBhAHQAdABsAGUAXABuAC0ALQAtAC0ALQAtAC0ALQAtAC0ALQAtAC0ALQAtAC0ALQAtAC0ALQAtAC0ALQAtAC0ALQAtAC0ALQAtAC0ALQAtAC0ALQAtAC0ALQBcAG4AKgAvAFwAbgBcAG4AUwBvAHUAcgBjAGUARABhAHQAYQBfAEwAaQB2AGUAcwB0AG8AYwBrAF8AUAByAG8AZAB1AGMAdABfAEQAYQBpAHIAeQBjAGEAdAB0AGwAZQBfAFQAaQB0AGwAZQBcAG4AIAAgAD0ATABBAE0AQgBEAEEAKABcACIARABhAGkAcgB5ACAAYwBhAHQAdABsAGUAIABwAHIAbwBkAHUAYwB0AHMAIABmAG8AcgAgAHMAYwBvAHAAZQAgADMAXAAiACkAOwBcAG4AXABuAFMAbwB1AHIAYwBlAEQAYQB0AGEAXwBMAGkAdgBlAHMAdABvAGMAawBfAFAAcgBvAGQAdQBjAHQAXwBEAGEAaQByAHkAYwBhAHQAdABsAGUAXwBWAGEAaQByAGEAYgBsAGUAXABuACAAIAA9AEwAQQBNAEIARABBACgAXAAiAFwAIgApADsAXABuAFwAbgBTAG8AdQByAGMAZQBEAGEAdABhAF8ATABpAHYAZQBzAHQAbwBjAGsAXwBQAHIAbwBkAHUAYwB0AF8ARABhAGkAcgB5AGMAYQB0AHQAbABlAF8AVQBuAGkAdABcAG4AIAAgAD0ATABBAE0AQgBEAEEAKABcACIAXAAiACkAOwBcAG4AXABuAFMAbwB1AHIAYwBlAEQAYQB0AGEAXwBMAGkAdgBlAHMAdABvAGMAawBfAFAAcgBvAGQAdQBjAHQAXwBEAGEAaQByAHkAYwBhAHQAdABsAGUAXwBTAG8AdQByAGMAZQBcAG4AIAAgAD0ATABBAE0AQgBEAEEAKABcACIATABpAGYAZQBjAHkAYwBsAGUAcwAuACAAKAAyADAAMgA2ACkALgAgAEcAcgBlAGUAbgBoAG8AdQBzAGUAIABHAGEAcwAgAEUAbQBpAHMAcwBpAG8AbgAgAEkAbgB0AGUAbgBzAGkAdABpAGUAcwAgAGYAbwByACAATQBhAHQAZQByAGkAYQBsACAASQBuAHAAdQB0AHMAIAB0AG8AIABBAHUAcwB0AHIAYQBsAGkAYQBuACAAQQBnAHIAaQBjAHUAbAB0AHUAcgBlACwAIABGAGkAcwBoAGUAcgBpAGUAcwAgAGEAbgBkACAARgBvAHIAZQBzAHQAcgB5AC4AIABWAGUAcgBzAGkAbwBuACAANAA4AC4AIABkAG8AaQAgADEAMAAuADUAMgA4ADEALwB6AGUAbgBvAGQAbwAuADEAOQA2ADUANgA1ADgAMABcACIAKQA7AFwAbgBcAG4AUwBvAHUAcgBjAGUARABhAHQAYQBfAEwAaQB2AGUAcwB0AG8AYwBrAF8AUAByAG8AZAB1AGMAdABfAEQAYQBpAHIAeQBjAGEAdAB0AGwAZQBfAEQAYQB0AGEAXABuACAAIAA9AEwAQQBNAEIARABBACgAXABuACAAIAAgACAATQBBAEsARQBBAFIAUgBBAFkAKAAyACwAIAAyACwAIABcAG4AIAAgACAAIAAgACAATABBAE0AQgBEAEEAKAByACwAYwAsACAAXABuACAAIAAgACAAIAAgACAAIABJAE4ARABFAFgAKAB7AFwAbgAgACAAIAAgACAAIAAgACAAIAAgAFwAIgBQAHIAbwBkAHUAYwB0AFwAIgAsACAAXAAiAFMAbwB1AHIAYwBlACAAcgBlAGcAaQBvAG4AXAAiADsAXABuACAAIAAgACAAIAAgACAAIAAgACAAIAAgAFwAIgBEAGEAaQByAHkAIABjAG8AdwBzAFwAIgAsACAAXAAiAFYASQBDAFwAIgBcAG4AIAAgACAAIAAgACAAIAAgAH0ALAAgAHIALAAgAGMAKQBcAG4AIAAgACAAIAAgACAAKQBcAG4AIAAgACAAIAApAFwAbgAgACAAKQA7AFwAbgBcAG4AXABuAC8AKgAgAFwAbgAtAC0ALQAtAC0ALQAtAC0ALQAtAC0ALQAtAC0ALQAtAC0ALQAtAC0ALQAtAC0ALQAtAC0ALQAtAC0ALQAtAC0ALQAtAC0ALQAtAC0AXABuAFMAbwB1AHIAYwBlAEQAYQB0AGEAXwBMAGkAdgBlAHMAdABvAGMAawBfAFAAcgBvAGQAdQBjAHQAXwBQAGkAZwBzAFwAbgAtAC0ALQAtAC0ALQAtAC0ALQAtAC0ALQAtAC0ALQAtAC0ALQAtAC0ALQAtAC0ALQAtAC0ALQAtAC0ALQAtAC0ALQAtAC0ALQAtAC0AXABuACoALwBcAG4AXABuAFMAbwB1AHIAYwBlAEQAYQB0AGEAXwBMAGkAdgBlAHMAdABvAGMAawBfAFAAcgBvAGQAdQBjAHQAXwBQAGkAZwBzAF8AVABpAHQAbABlAFwAbgAgACAAPQBMAEEATQBCAEQAQQAoAFwAIgBQAGkAZwBzACAAcAByAG8AZAB1AGMAdABzACAAZgBvAHIAIABzAGMAbwBwAGUAIAAzAFwAIgApADsAXABuAFwAbgBTAG8AdQByAGMAZQBEAGEAdABhAF8ATABpAHYAZQBzAHQAbwBjAGsAXwBQAHIAbwBkAHUAYwB0AF8AUABpAGcAcwBfAFYAYQBpAHIAYQBiAGwAZQBcAG4AIAAgAD0ATABBAE0AQgBEAEEAKABcACIAXAAiACkAOwBcAG4AXABuAFMAbwB1AHIAYwBlAEQAYQB0AGEAXwBMAGkAdgBlAHMAdABvAGMAawBfAFAAcgBvAGQAdQBjAHQAXwBQAGkAZwBzAF8AVQBuAGkAdABcAG4AIAAgAD0ATABBAE0AQgBEAEEAKABcACIAXAAiACkAOwBcAG4AXABuAFMAbwB1AHIAYwBlAEQAYQB0AGEAXwBMAGkAdgBlAHMAdABvAGMAawBfAFAAcgBvAGQAdQBjAHQAXwBQAGkAZwBzAF8AUwBvAHUAcgBjAGUAXABuACAAIAA9AEwAQQBNAEIARABBACgAXAAiAEwAaQBmAGUAYwB5AGMAbABlAHMALgAgACgAMgAwADIANgApAC4AIABHAHIAZQBlAG4AaABvAHUAcwBlACAARwBhAHMAIABFAG0AaQBzAHMAaQBvAG4AIABJAG4AdABlAG4AcwBpAHQAaQBlAHMAIABmAG8AcgAgAE0AYQB0AGUAcgBpAGEAbAAgAEkAbgBwAHUAdABzACAAdABvACAAQQB1AHMAdAByAGEAbABpAGEAbgAgAEEAZwByAGkAYwB1AGwAdAB1AHIAZQAsACAARgBpAHMAaABlAHIAaQBlAHMAIABhAG4AZAAgAEYAbwByAGUAcwB0AHIAeQAuACAAVgBlAHIAcwBpAG8AbgAgADQAOAAuACAAZABvAGkAIAAxADAALgA1ADIAOAAxAC8AegBlAG4AbwBkAG8ALgAxADkANgA1ADYANQA4ADAAXAAiACkAOwBcAG4AXABuAFMAbwB1AHIAYwBlAEQAYQB0AGEAXwBMAGkAdgBlAHMAdABvAGMAawBfAFAAcgBvAGQAdQBjAHQAXwBQAGkAZwBzAF8ARABhAHQAYQBcAG4AIAAgAD0ATABBAE0AQgBEAEEAKABcAG4AIAAgACAAIABNAEEASwBFAEEAUgBSAEEAWQAoADIALAAgADIALAAgAFwAbgAgACAAIAAgACAAIABMAEEATQBCAEQAQQAoAHIALABjACwAIABcAG4AIAAgACAAIAAgACAAIAAgAEkATgBEAEUAWAAoAHsAXABuACAAIAAgACAAIAAgACAAIAAgACAAXAAiAFAAcgBvAGQAdQBjAHQAXAAiACwAIABcACIAUwBvAHUAcgBjAGUAIAByAGUAZwBpAG8AbgBcACIAOwBcAG4AIAAgACAAIAAgACAAIAAgACAAIAAgACAAXAAiAFAAaQBnAHMAXAAiACwAIABcACIAQQB1AHMAdAByAGEAbABpAGEAXAAiAFwAbgAgACAAIAAgACAAIAAgACAAfQAsACAAcgAsACAAYwApAFwAbgAgACAAIAAgACAAIAApAFwAbgAgACAAIAAgACkAXABuACAAIAApADsAXABuAFwAbgAvACoAIABcAG4ALQAtAC0ALQAtAC0ALQAtAC0ALQAtAC0ALQAtAC0ALQAtAC0ALQAtAC0ALQAtAC0ALQAtAC0ALQAtAC0ALQAtAC0ALQAtAC0ALQAtAFwAbgBTAG8AdQByAGMAZQBEAGEAdABhAF8ATABpAHYAZQBzAHQAbwBjAGsAXwBQAHIAbwBkAHUAYwB0AF8AUwBoAGUAZQBwAFwAbgAtAC0ALQAtAC0ALQAtAC0ALQAtAC0ALQAtAC0ALQAtAC0ALQAtAC0ALQAtAC0ALQAtAC0ALQAtAC0ALQAtAC0ALQAtAC0ALQAtAC0AXABuACoALwBcAG4AXABuAFMAbwB1AHIAYwBlAEQAYQB0AGEAXwBMAGkAdgBlAHMAdABvAGMAawBfAFAAcgBvAGQAdQBjAHQAXwBTAGgAZQBlAHAAXwBUAGkAdABsAGUAXABuACAAIAA9AEwAQQBNAEIARABBACgAXAAiAFMAaABlAGUAcAAgAHAAcgBvAGQAdQBjAHQAcwAgAGYAbwByACAAcwBjAG8AcABlACAAMwBcACIAKQA7AFwAbgBcAG4AUwBvAHUAcgBjAGUARABhAHQAYQBfAEwAaQB2AGUAcwB0AG8AYwBrAF8AUAByAG8AZAB1AGMAdABfAFMAaABlAGUAcABfAFYAYQBpAHIAYQBiAGwAZQBcAG4AIAAgAD0ATABBAE0AQgBEAEEAKABcACIAXAAiACkAOwBcAG4AXABuAFMAbwB1AHIAYwBlAEQAYQB0AGEAXwBMAGkAdgBlAHMAdABvAGMAawBfAFAAcgBvAGQAdQBjAHQAXwBTAGgAZQBlAHAAXwBVAG4AaQB0AFwAbgAgACAAPQBMAEEATQBCAEQAQQAoAFwAIgBcACIAKQA7AFwAbgBcAG4AUwBvAHUAcgBjAGUARABhAHQAYQBfAEwAaQB2AGUAcwB0AG8AYwBrAF8AUAByAG8AZAB1AGMAdABfAFMAaABlAGUAcABfAFMAbwB1AHIAYwBlAFwAbgAgACAAPQBMAEEATQBCAEQAQQAoAFwAIgBMAGkAZgBlAGMAeQBjAGwAZQBzAC4AIAAoADIAMAAyADYAKQAuACAARwByAGUAZQBuAGgAbwB1AHMAZQAgAEcAYQBzACAARQBtAGkAcwBzAGkAbwBuACAASQBuAHQAZQBuAHMAaQB0AGkAZQBzACAAZgBvAHIAIABNAGEAdABlAHIAaQBhAGwAIABJAG4AcAB1AHQAcwAgAHQAbwAgAEEAdQBzAHQAcgBhAGwAaQBhAG4AIABBAGcAcgBpAGMAdQBsAHQAdQByAGUALAAgAEYAaQBzAGgAZQByAGkAZQBzACAAYQBuAGQAIABGAG8AcgBlAHMAdAByAHkALgAgAFYAZQByAHMAaQBvAG4AIAA0ADgALgAgAGQAbwBpACAAMQAwAC4ANQAyADgAMQAvAHoAZQBuAG8AZABvAC4AMQA5ADYANQA2ADUAOAAwAFwAIgApADsAXABuAFwAbgBTAG8AdQByAGMAZQBEAGEAdABhAF8ATABpAHYAZQBzAHQAbwBjAGsAXwBQAHIAbwBkAHUAYwB0AF8AUwBoAGUAZQBwAF8ARABhAHQAYQBcAG4AIAAgAD0ATABBAE0AQgBEAEEAKABcAG4AIAAgACAAIABNAEEASwBFAEEAUgBSAEEAWQAoADgALAAgADIALAAgAFwAbgAgACAAIAAgACAAIABMAEEATQBCAEQAQQAoAHIALABjACwAIABcAG4AIAAgACAAIAAgACAAIAAgAEkATgBEAEUAWAAoAHsAXABuACAAIAAgACAAIAAgACAAIAAgACAAXAAiAFAAcgBvAGQAdQBjAHQAXAAiACwAIABcACIAUwBvAHUAcgBjAGUAIAByAGUAZwBpAG8AbgBcACIAOwBcAG4AIAAgACAAIAAgACAAIAAgACAAIAAgACAAXAAiAFMAaABlAGUAcAAsACAAZgBvAHIAIABtAHUAdAB0AG8AbgBcACIALAAgAFwAIgBBAHUAcwB0AHIAYQBsAGkAYQBcACIAOwBcAG4AIAAgACAAIAAgACAAIAAgACAAIAAgACAAXAAiAFMAaABlAGUAcAAsACAAZgBvAHIAIABwAHIAaQBtAGUAIABsAGEAbQBiAFwAIgAsACAAXAAiAE4AUwBXAFwAIgA7AFwAbgAgACAAIAAgACAAIAAgACAAIAAgACAAIABcACIAXAAiACwAIABcACIAUQBMAEQAXAAiADsAXABuACAAIAAgACAAIAAgACAAIAAgACAAIAAgAFwAIgBcACIALAAgAFwAIgBTAEEAXAAiADsAXABuACAAIAAgACAAIAAgACAAIAAgACAAIAAgAFwAIgBcACIALAAgAFwAIgBUAEEAUwBcACIAOwBcAG4AIAAgACAAIAAgACAAIAAgACAAIAAgACAAXAAiAFwAIgAsACAAXAAiAFYASQBDAFwAIgA7AFwAbgAgACAAIAAgACAAIAAgACAAIAAgACAAIABcACIAXAAiACwAIABcACIAVwBBAFwAIgBcAG4AIAAgACAAIAAgACAAIAAgAH0ALAAgAHIALAAgAGMAKQBcAG4AIAAgACAAIAAgACAAKQBcAG4AIAAgACAAIAApAFwAbgAgACAAKQA7AFwAbgBcAG4AIgB9ACwAewAiAHAAYQB0AGgAIgA6ACIALwBwAHIAbwBqAGUAYwB0AHMALwBDAG8AbQBtAG8AbgBfAEkAbgBwAHUAdABGAHUAbgBjAHQAaQBvAG4AcwAiACwAIgB0AGUAeAB0ACIAOgAiAFUAdABpAGwAaQB0AHkAXwBHAGUAdABBAHIAcgBhAHkAVABhAGIAbABlAFIAbwB3AFMAdABhAHIAdABOAHUAbQBiAGUAcgBcAG4APQBMAEEATQBCAEQAQQAoAFwAbgAgACAAIAAgAFQAYQBiAGwAZQBoAGUAYQBkAGUAcgBDAGUAbABsACwAUgBvAHcAcwBCAGUAdAB3AGUAZQBuAEgAZQBhAGQAZQByAGEAbgBkAEEAcgByAGEAeQAsAFwAbgAgACAAIAAgAFIATwBXACgAVABhAGIAbABlAGgAZQBhAGQAZQByAEMAZQBsAGwAKQAgACsAIABSAG8AdwBzAEIAZQB0AHcAZQBlAG4ASABlAGEAZABlAHIAYQBuAGQAQQByAHIAYQB5ACAALQAgADEAXABuACkAOwBcAG4AXABuAFUAdABpAGwAaQB0AHkAXwBHAGUAdABBAHIAcgBhAHkAVABhAGIAbABlAEMAbwBsAHUAbQBuAFMAdABhAHIAdABOAHUAbQBiAGUAcgBcAG4APQBMAEEATQBCAEQAQQAoAFwAbgAgACAAVABhAGIAbABlAEgAZQBhAGQAZQByAEMAZQBsAGwALABcAG4AIAAgAEMATwBMAFUATQBOACgAVABhAGIAbABlAEgAZQBhAGQAZQByAEMAZQBsAGwAKQBcAG4AKQA7AFwAbgBcAG4AVQB0AGkAbABpAHQAeQBfAEQAaQBzAHAAbABhAHkAQQByAHIAYQB5AEkAbgBUAGEAYgBsAGUAXABuAD0ATABBAE0AQgBEAEEAKABcAG4AIABBAHIAcgBhAHkARABhAHQAYQAsACAAVABhAGIAbABlAGgAZQBhAGQAZQByAEMAZQBsAGwALAAgAFIAbwB3AHMAQgBlAHQAdwBlAGUAbgBIAGUAYQBkAGUAcgBhAG4AZABBAHIAcgBhAHkALAAgAFsAQwBvAGwAdQBtAG4AcwBCAGUAdAB3AGUAZQBuAEgAZQBhAGQAZQByAEEAbgBkAEEAcgByAGEAeQBdACwAXABuACAASQBGAEUAUgBSAE8AUgAoAFwAbgAgACAAIAAgACAASQBOAEQARQBYACgAXABuACAAIAAgACAAIAAgACAAIAAgACAAIAAgAFUATgBJAFEAVQBFACgAQQByAHIAYQB5AEQAYQB0AGEAKQAsACAAXABuACAAIAAgACAAIAAgACAAIAAgACAAIAAgAFIATwBXACgAKQAtAFUAdABpAGwAaQB0AHkAXwBHAGUAdABBAHIAcgBhAHkAVABhAGIAbABlAFIAbwB3AFMAdABhAHIAdABOAHUAbQBiAGUAcgAoAFQAYQBiAGwAZQBoAGUAYQBkAGUAcgBDAGUAbABsACwAIABSAG8AdwBzAEIAZQB0AHcAZQBlAG4ASABlAGEAZABlAHIAYQBuAGQAQQByAHIAYQB5ACkALAAgAFwAbgAgACAAIAAgACAAIAAgACAAIAAgACAAIABDAE8ATABVAE0ATgAoACkALQBVAHQAaQBsAGkAdAB5AF8ARwBlAHQAQQByAHIAYQB5AFQAYQBiAGwAZQBDAG8AbAB1AG0AbgBTAHQAYQByAHQATgB1AG0AYgBlAHIAKABUAGEAYgBsAGUAaABlAGEAZABlAHIAQwBlAGwAbAApACAAKwBcAG4AIAAgACAAIAAgACAAIAAgACAAIAAgACAASQBGACgASQBTAE8ATQBJAFQAVABFAEQAKABDAG8AbAB1AG0AbgBzAEIAZQB0AHcAZQBlAG4ASABlAGEAZABlAHIAQQBuAGQAQQByAHIAYQB5ACkALAAgADEALAAgAEMAbwBsAHUAbQBuAHMAQgBlAHQAdwBlAGUAbgBIAGUAYQBkAGUAcgBBAG4AZABBAHIAcgBhAHkAKQBcAG4AIAAgACAAIAAgACAAIAAgACkALAAgAFwAIgBcACIAXABuACAAIAAgACAAKQBcAG4AKQA7AFwAbgBcAG4AVQB0AGkAbABpAHQAeQBfAEwAbwBvAGsAdQBwAFYAYQBsAHUAZQBJAG4AVABhAGIAbABlAFwAbgA9AEwAQQBNAEIARABBACgAXABuACAAIAAgACAATABvAG8AawB1AHAAVgBhAGwAdQBlACwAIABMAG8AbwBrAHUAcABBAHIAcgBhAHkALAAgAFIAZQB0AHUAcgBuAEEAcgByAGEAeQAsAFwAbgAgACAAIAAgAFgATABPAE8ASwBVAFAAKABMAG8AbwBrAHUAcABWAGEAbAB1AGUALAAgAEwAbwBvAGsAdQBwAEEAcgByAGEAeQAsACAAUgBlAHQAdQByAG4AQQByAHIAYQB5ACwAIABcACIAXAAiACkAXABuACkAOwBcAG4AXABuAFUAdABpAGwAaQB0AHkAXwBMAG8AbwBrAHUAcABWAGEAbAB1AGUASQBuAFQAYQBiAGwAZQBOAHUAbQBiAGUAcgBcAG4APQBMAEEATQBCAEQAQQAoAFwAbgAgACAAIAAgAEwAbwBvAGsAdQBwAFYAYQBsAHUAZQAsACAATABvAG8AawB1AHAAQQByAHIAYQB5ACwAIABSAGUAdAB1AHIAbgBBAHIAcgBhAHkALABcAG4AIAAgACAAIABJAEYAKABJAFMATgBVAE0AQgBFAFIAKABcAG4AIAAgACAAIAAgACAAIAAgAFgATABPAE8ASwBVAFAAKABMAG8AbwBrAHUAcABWAGEAbAB1AGUALAAgAEwAbwBvAGsAdQBwAEEAcgByAGEAeQAsACAAUgBlAHQAdQByAG4AQQByAHIAYQB5ACwAIABcACIAXAAiACkAXABuACAAIAAgACAAKQAsACAAWABMAE8ATwBLAFUAUAAoAEwAbwBvAGsAdQBwAFYAYQBsAHUAZQAsACAATABvAG8AawB1AHAAQQByAHIAYQB5ACwAIABSAGUAdAB1AHIAbgBBAHIAcgBhAHkALAAgAFwAIgBcACIAKQAsACAAMAApAFwAbgApADsAXABuAFwAbgBVAHQAaQBsAGkAdAB5AF8ATABvAG8AawB1AHAAVgBhAGwAdQBlAEkAbgBUAGEAYgBsAGUAVAB3AG8AQwBvAGwAdQBtAG4AcwBcAG4APQBMAEEATQBCAEQAQQAoAFwAbgAgACAAIAAgAEwAbwBvAGsAdQBwAFYAYQBsAHUAZQAxACwAIABMAG8AbwBrAHUAcABWAGEAbAB1AGUAMgAsACAATABvAG8AawB1AHAAQQByAHIAYQB5ADEALAAgAEwAbwBvAGsAdQBwAEEAcgByAGEAeQAyACwAIABSAGUAdAB1AHIAbgBBAHIAcgBhAHkALAAgAFsAVgBhAGwAdQBlAEkARgBGAGEAbABzAGUAXQAsAFwAbgAgACAAIAAgAFgATABPAE8ASwBVAFAAKAAxACwAIAAoAEwAbwBvAGsAdQBwAEEAcgByAGEAeQAxAD0ATABvAG8AawB1AHAAVgBhAGwAdQBlADEAKQAqACgATABvAG8AawB1AHAAQQByAHIAYQB5ADIAPQBMAG8AbwBrAHUAcABWAGEAbAB1AGUAMgApACwAIABSAGUAdAB1AHIAbgBBAHIAcgBhAHkALAAgAEkARgAoAEkAUwBPAE0ASQBUAFQARQBEACgAVgBhAGwAdQBlAEkARgBGAGEAbABzAGUAKQAsACAAXAAiAFwAIgAsACAAVgBhAGwAdQBlAEkARgBGAGEAbABzAGUAKQApAFwAbgApADsAXABuAFwAbgBVAHQAaQBsAGkAdAB5AF8ATABvAG8AawB1AHAAVgBhAGwAdQBlAEkAbgBUAGEAYgBsAGUATwBuAGUAQwBvAGwAdQBtAG4AQQBuAGQASABlAGEAZABlAHIAXABuAD0ATABBAE0AQgBEAEEAKABcAG4AIAAgACAAIABMAG8AbwBrAHUAcABWAGEAbAB1AGUAMQAsACAATABvAG8AawB1AHAAVgBhAGwAdQBlADIALAAgAEwAbwBvAGsAdQBwAEEAcgByAGEAeQAxACwAIABMAG8AbwBrAHUAcABBAHIAcgBhAHkAMgAsACAAUgBlAHQAdQByAG4AQQByAHIAYQB5ACwAIABbAFYAYQBsAHUAZQBJAGYARgBhAGwAcwBlAF0ALABcAG4AIAAgACAAIABJAEYARQBSAFIATwBSACgAXABuACAAIAAgACAAIAAgACAAIABYAEwATwBPAEsAVQBQACgATABvAG8AawB1AHAAVgBhAGwAdQBlADEALAAgAEwAbwBvAGsAdQBwAEEAcgByAGEAeQAxACwAXABuACAAIAAgACAAIAAgACAAIAAgACAAIAAgAFgATABPAE8ASwBVAFAAKABMAG8AbwBrAHUAcABWAGEAbAB1AGUAMgAsACAATABvAG8AawB1AHAAQQByAHIAYQB5ADIALAAgAFIAZQB0AHUAcgBuAEEAcgByAGEAeQApAFwAbgAgACAAIAAgACAAIAAgACAAKQAsAFwAbgAgACAAIAAgACAAIAAgACAASQBGACgASQBTAE8ATQBJAFQAVABFAEQAKABWAGEAbAB1AGUASQBmAEYAYQBsAHMAZQApACwAIABcACIAXAAiACwAIABWAGEAbAB1AGUASQBmAEYAYQBsAHMAZQApAFwAbgAgACAAIAAgACkAXABuACkAOwBcAG4AXABuAFUAdABpAGwAaQB0AHkAXwBTAHAAbABpAHQAUwB0AHIAaQBuAGcASQBuAHQAbwBBAHIAcgBhAHkAXABuAD0ATABBAE0AQgBEAEEAKABcAG4AIAAgACAAIABDAGUAbABsACwAIABEAGUAbABpAG0AaQB0AGUAcgAsACAAWwBDAGgAYQByAGEAYwB0AGUAcgBUAG8AUgBlAG0AbwB2AGUAMQBdACwAIABbAEMAaABhAHIAYQBjAHQAZQByAFQAbwBSAGUAbQBvAHYAZQAyAF0ALABcAG4AIAAgACAAIAAgACAAIAAgAEYASQBMAFQARQBSAFgATQBMACgAXABuACAAIAAgACAAIAAgACAAIABcACIAPAB0AD4APABzAD4AXAAiACAAJgBcAG4AIAAgACAAIAAgACAAIAAgAFMAVQBCAFMAVABJAFQAVQBUAEUAKABcAG4AIAAgACAAIAAgACAAIAAgACAAIAAgACAAUwBVAEIAUwBUAEkAVABVAFQARQAoAFMAVQBCAFMAVABJAFQAVQBUAEUAKABDAGUAbABsACwAQwBoAGEAcgBhAGMAdABlAHIAVABvAFIAZQBtAG8AdgBlADEALABcACIAXAAiACkALABDAGgAYQByAGEAYwB0AGUAcgBUAG8AUgBlAG0AbwB2AGUAMgAsAFwAIgBcACIAKQAsAFwAbgAgACAAIAAgACAAIAAgACAAIAAgACAAIABEAGUAbABpAG0AaQB0AGUAcgAsAFwAIgA8AC8AcwA+ADwAcwA+AFwAIgBcAG4AIAAgACAAIAAgACAAIAAgACkAIAAmAFwAbgAgACAAIAAgACAAIAAgACAAXAAiADwALwBzAD4APAAvAHQAPgBcACIALABcAG4AIAAgACAAIAAgACAAIAAgAFwAIgAvAC8AcwBcACIAXABuACAAIAAgACAAKQBcAG4AKQA7AFwAbgBcAG4AVQB0AGkAbABpAHQAeQBfAEcAZQB0AEMAbABpAG0AYQB0AGUAWgBvAG4AZQBcAG4APQBMAEEATQBCAEQAQQAoAFwAbgAgACAAIAAgAGEAdgBnAFQAZQBtAHAALABhAHYAZwBSAGEAaQBuACwAZgByAG8AcwB0AEQAYQB5AHMALABlAGwAZQB2ACwAbQBhAHAAXwBwAGUAdAAsAFwAbgAgACAAIAAgAG0AaQBuAFQAZQBtAHAAQQByAHIAYQB5ACwAbQBhAHgAVABlAG0AcABBAHIAcgBhAHkALABcAG4AIAAgACAAIABtAGkAbgBSAGEAaQBuAGYAYQBsAGwAQQByAHIAYQB5ACwAbQBhAHgAUgBhAGkAbgBmAGEAbABsAEEAcgByAGEAeQAsAFwAbgAgACAAIAAgAG0AaQBuAEYAcgBvAHMAdABBAHIAcgBhAHkALABtAGEAeABGAHIAbwBzAHQAQQByAHIAYQB5ACwAXABuACAAIAAgACAAbQBpAG4ARQBsAGUAdgBhAHQAaQBvAG4AQQByAHIAYQB5ACwAbQBhAHgARQBsAGUAdgBhAHQAaQBvAG4AQQByAHIAYQB5ACwAXABuACAAIAAgACAAbQBpAG4AUABFAFQAQQByAHIAYQB5ACwAbQBhAHgAUABFAFQAQQByAHIAYQB5ACwAXABuACAAIAAgACAAYwBsAGkAbQBhAHQAZQBaAG8AbgBlAEEAcgByAGEAeQAsAFwAbgAgACAAIAAgAEwARQBUACgAXABuACAAIAAgACAAIAAgACAAIABtAGEAcwBrACwAXABuACAAIAAgACAAIAAgACAAIAAoAFYAQQBMAFUARQAoAG0AaQBuAFQAZQBtAHAAQQByAHIAYQB5ACkAPAA9AGEAdgBnAFQAZQBtAHAAKQAqAFwAbgAgACAAIAAgACAAIAAgACAAKABWAEEATABVAEUAKABtAGEAeABUAGUAbQBwAEEAcgByAGEAeQApAD4APQBhAHYAZwBUAGUAbQBwACkAKgBcAG4AIAAgACAAIAAgACAAIAAgACgAVgBBAEwAVQBFACgAbQBpAG4AUgBhAGkAbgBmAGEAbABsAEEAcgByAGEAeQApADwAPQBhAHYAZwBSAGEAaQBuACkAKgBcAG4AIAAgACAAIAAgACAAIAAgACgAVgBBAEwAVQBFACgAbQBhAHgAUgBhAGkAbgBmAGEAbABsAEEAcgByAGEAeQApAD4APQBhAHYAZwBSAGEAaQBuACkAKgBcAG4AIAAgACAAIAAgACAAIAAgACgAVgBBAEwAVQBFACgAbQBpAG4ARgByAG8AcwB0AEEAcgByAGEAeQApADwAPQBmAHIAbwBzAHQARABhAHkAcwApACoAXABuACAAIAAgACAAIAAgACAAIAAoAFYAQQBMAFUARQAoAG0AYQB4AEYAcgBvAHMAdABBAHIAcgBhAHkAKQA+AD0AZgByAG8AcwB0AEQAYQB5AHMAKQAqAFwAbgAgACAAIAAgACAAIAAgACAAKABWAEEATABVAEUAKABtAGkAbgBFAGwAZQB2AGEAdABpAG8AbgBBAHIAcgBhAHkAKQA8AD0AZQBsAGUAdgApACoAXABuACAAIAAgACAAIAAgACAAIAAoAFYAQQBMAFUARQAoAG0AYQB4AEUAbABlAHYAYQB0AGkAbwBuAEEAcgByAGEAeQApAD4APQBlAGwAZQB2ACkAKgBcAG4AIAAgACAAIAAgACAAIAAgACgAVgBBAEwAVQBFACgAbQBpAG4AUABFAFQAQQByAHIAYQB5ACkAPAA9AG0AYQBwAF8AcABlAHQAKQAqAFwAbgAgACAAIAAgACAAIAAgACAAKABWAEEATABVAEUAKABtAGEAeABQAEUAVABBAHIAcgBhAHkAKQA+AD0AbQBhAHAAXwBwAGUAdAApACwAXABuACAAIAAgACAAIAAgACAAIABUAEEASwBFACgAXABuACAAIAAgACAAIAAgACAAIAAgACAAIAAgAEYASQBMAFQARQBSACgAYwBsAGkAbQBhAHQAZQBaAG8AbgBlAEEAcgByAGEAeQAsAG0AYQBzAGsALAAgAFwAIgBOAG8AIABtAGEAdABjAGgAXAAiACkALABcAG4AIAAgACAAIAAgACAAIAAgACAAIAAgACAAMQBcAG4AIAAgACAAIAAgACAAIAAgACkAXABuACAAIAAgACAAKQBcAG4AKQA7AFwAbgBcAG4AVQB0AGkAbABpAHQAeQBfAEwAbwBvAGsAdQBwAEkAdABlAG0ARgByAG8AbQBNAGkAbgBNAGEAeABcAG4APQBMAEEATQBCAEQAQQAoAFwAbgAgACAAIAAgAEwAbwBvAGsAdQBwAFYAYQBsAHUAZQAsACAATQBpAG4AQQByAHIAYQB5ACwAIABNAGEAeABBAHIAcgBhAHkALAAgAEkAdABlAG0AQQByAHIAYQB5ACwAXABuACAAIAAgACAATABFAFQAKABcAG4AIAAgACAAIAAgACAAIAAgAG0AYQBzAGsALABcAG4AIAAgACAAIAAgACAAIAAgACgAVgBBAEwAVQBFACgATQBpAG4AQQByAHIAYQB5ACkAPAA9AEwAbwBvAGsAdQBwAFYAYQBsAHUAZQApACoAXABuACAAIAAgACAAIAAgACAAIAAoAFYAQQBMAFUARQAoAE0AYQB4AEEAcgByAGEAeQApAD4APQBMAG8AbwBrAHUAcABWAGEAbAB1AGUAKQAsAFwAbgAgACAAIAAgACAAIAAgACAARgBJAEwAVABFAFIAKABJAHQAZQBtAEEAcgByAGEAeQAsACAAbQBhAHMAawAsACAAXAAiAE4AbwAgAG0AYQB0AGMAaABcACIAKQBcAG4AIAAgACAAIAApAFwAbgApADsAXABuAFwAbgBcAG4AVQB0AGkAbABpAHQAeQBfAFMAdQBtAFEAdQBhAG4AdABpAHQAeQBGAHIAbwBtAEMAcgBpAHQAZQByAGkAYQBcAG4APQBMAEEATQBCAEQAQQAoAFwAbgAgACAAQwByAGkAdABlAHIAaQBhADEALAAgAEMAcgBpAHQAZQByAGkAYQAxAFQAeQBwAGUAQQByAHIAYQB5ACwAIABRAHUAYQBuAHQAaQB0AHkALAAgAFsATQB1AGwAdABpAHAAbABpAGUAcgBdACwAIABbAEMAcgBpAHQAZQByAGkAYQAyAF0ALABbAEMAcgBpAHQAZQByAGkAYQAyAEEAcgByAGEAeQBdACwAXABuACAAIABMAEUAVAAoAFwAbgAgACAAIAAgAG0AdQBsAHQAaQBwAGwAaQBlAHIALAAgAEkARgAoAEkAUwBPAE0ASQBUAFQARQBEACgATQB1AGwAdABpAHAAbABpAGUAcgApACwAMQAsAE0AdQBsAHQAaQBwAGwAaQBlAHIAKQAsAFwAbgAgACAAIAAgAHEAdQBhAG4AdABpAHQAeQAsACAAUQB1AGEAbgB0AGkAdAB5ACoATQB1AGwAdABpAHAAbABpAGUAcgAsAFwAbgAgACAAIAAgAGMAcgBpAHQAZQByAGkAYQAxACwALQAtACgAQwByAGkAdABlAHIAaQBhADEAVAB5AHAAZQBBAHIAcgBhAHkAPQBDAHIAaQB0AGUAcgBpAGEAMQApACwAXABuACAAIAAgACAAYwByAGkAdABlAHIAaQBhADIALABJAEYAKABJAFMATwBNAEkAVABUAEUARAAoAEMAcgBpAHQAZQByAGkAYQAyACkALAAxACwALQAtACgAQwByAGkAdABlAHIAaQBhADIAQQByAHIAYQB5AD0AQwByAGkAdABlAHIAaQBhADIAKQApACwAXABuACAAIAAgACAAUwBVAE0AUABSAE8ARABVAEMAVAAoAGMAcgBpAHQAZQByAGkAYQAxACoAYwByAGkAdABlAHIAaQBhADIAKgBxAHUAYQBuAHQAaQB0AHkAKQBcAG4AIAAgACkAXABuACkAOwBcAG4AXABuAGcAZQB0AE8AdgBlAHIAbABhAHAAcABpAG4AZwBSAGUAcABvAHIAdABpAG4AZwBDAHkAYwBsAGUAcwBcAG4APQBMAEEATQBCAEQAQQAoAFwAbgAgACAAIAAgAFAAcgBvAGQAdQBjAHQAaQBvAG4AQwB5AGMAbABlAFMAdABhAHIAdAAsAFAAcgBvAGQAdQBjAHQAaQBvAG4AQwB5AGMAbABlAEUAbgBkACwAUgBlAHAAbwByAHQAaQBuAGcAQwB5AGMAbABlAFMAdABhAHIAdAAsAFwAbgAgACAAIAAgAEwARQBUACgAXABuACAAIAAgACAAIAAgACAAIABTACwAUAByAG8AZAB1AGMAdABpAG8AbgBDAHkAYwBsAGUAUwB0AGEAcgB0ACwAXABuACAAIAAgACAAIAAgACAAIABFACwAUAByAG8AZAB1AGMAdABpAG8AbgBDAHkAYwBsAGUARQBuAGQALABcAG4AIAAgACAAIAAgACAAIAAgAG0ALABNAE8ATgBUAEgAKABSAGUAcABvAHIAdABpAG4AZwBDAHkAYwBsAGUAUwB0AGEAcgB0ACkALABcAG4AIAAgACAAIAAgACAAIAAgAGQALABEAEEAWQAoAFIAZQBwAG8AcgB0AGkAbgBnAEMAeQBjAGwAZQBTAHQAYQByAHQAKQAsAFwAbgAgACAAIAAgACAAIAAgACAAUABlAHIAaQBvAGQARQBuAGQALABMAEEATQBCAEQAQQAoAHMAdAAsAEUARABBAFQARQAoAHMAdAAsADEAMgApAC0AMQApACwAXABuACAAIAAgACAAIAAgACAAIABBACwAUwAtADMANgA1ACwAXABuACAAIAAgACAAIAAgACAAIAB5AGEALABZAEUAQQBSACgAQQApACwAXABuACAAIAAgACAAIAAgACAAIAB5AGIALABZAEUAQQBSACgARQApACwAXABuACAAIAAgACAAIAAgACAAIABmAGkAcgBzAHQAWQBlAGEAcgAsAHkAYQArACgAUABlAHIAaQBvAGQARQBuAGQAKABEAEEAVABFACgAeQBhACwAbQAsAGQAKQApADwAIABTACkALABcAG4AIAAgACAAIAAgACAAIAAgAGwAYQBzAHQAWQBlAGEAcgAsAHkAYgAtACgARABBAFQARQAoAHkAYgAsAG0ALABkACkAPgAgAEUAKQAsAFwAbgAgACAAIAAgACAAIAAgACAATQBBAFgAKAAwACwAbABhAHMAdABZAGUAYQByAC0AZgBpAHIAcwB0AFkAZQBhAHIAKwAxACkAXABuACAAIAAgACAAKQBcAG4AKQA7AFwAbgBcAG4AZwBlAHQATwB2AGUAcgBsAGEAcABwAGkAbgBnAFIAZQBwAG8AcgB0AGkAbgBnAFAAZQByAGkAbwBkAHMAXABuAD0ATABBAE0AQgBEAEEAKABcAG4AIAAgACAAIABQAHIAbwBkAHUAYwB0AGkAbwBuAEMAeQBjAGwAZQBTAHQAYQByAHQALABQAHIAbwBkAHUAYwB0AGkAbwBuAEMAeQBjAGwAZQBFAG4AZAAsAFIAZQBwAG8AcgB0AGkAbgBnAEMAeQBjAGwAZQBTAHQAYQByAHQALABcAG4AIAAgACAAIABMAEUAVAAoAFwAbgAgACAAIAAgACAAIAAgACAAUwAsAFAAcgBvAGQAdQBjAHQAaQBvAG4AQwB5AGMAbABlAFMAdABhAHIAdAAsAFwAbgAgACAAIAAgACAAIAAgACAARQAsAFAAcgBvAGQAdQBjAHQAaQBvAG4AQwB5AGMAbABlAEUAbgBkACwAXABuACAAIAAgACAAIAAgACAAIABtACwATQBPAE4AVABIACgAUgBlAHAAbwByAHQAaQBuAGcAQwB5AGMAbABlAFMAdABhAHIAdAApACwAXABuACAAIAAgACAAIAAgACAAIABkACwARABBAFkAKABSAGUAcABvAHIAdABpAG4AZwBDAHkAYwBsAGUAUwB0AGEAcgB0ACkALAAgAC8AKgBoAGUAbABwAGUAcgA6ACAAZQBuAGQAIABkAGEAdABlACAAZgBvAHIAIABhACAAcgBlAHAAbwByAHQAaQBuAGcAIABwAGUAcgBpAG8AZAAgAHMAdABhAHIAdABpAG4AZwAgAGEAdAAgAGEAIABnAGkAdgBlAG4AIABkAGEAdABlACoALwBcAG4AIAAgACAAIAAgACAAIAAgAFAAZQByAGkAbwBkAEUAbgBkACwATABBAE0AQgBEAEEAKABzAHQALABFAEQAQQBUAEUAKABzAHQALAAxADIAKQAtADEAKQAsACAALwAqAG8AbgBsAHkAIABuAGUAZQBkACAAdABvACAAbABvAG8AawAgAGIAYQBjAGsAIAAzADYANQAgAGQAYQB5AHMAKABtAGEAeAAgAG8AdgBlAHIAbABhAHAAIAB3AGkAbgBkAG8AdwApACoALwBcAG4AIAAgACAAIAAgACAAIAAgAEEALABTAC0AMwA2ADUALABcAG4AIAAgACAAIAAgACAAIAAgAHkAYQAsAFkARQBBAFIAKABBACkALABcAG4AIAAgACAAIAAgACAAIAAgAHkAYgAsAFkARQBBAFIAKABFACkALAAgAC8AKgBpAGYAIAB0AGgAZQAgAGEAbgBjAGgAbwByACAAZgBvAHIAIAB5AGEAIABlAG4AZABzACAAYgBlAGYAbwByAGUAIABTACwAaQB0ACAAYwBhAG4AJwB0ACAAbwB2AGUAcgBsAGEAcAA7ACAAbQBvAHYAZQAgAHQAbwAgAG4AZQB4AHQAIAB5AGUAYQByACoALwBcAG4AIAAgACAAIAAgACAAIAAgAGYAaQByAHMAdABZAGUAYQByACwAeQBhACsAKABQAGUAcgBpAG8AZABFAG4AZAAoAEQAQQBUAEUAKAB5AGEALABtACwAZAApACkAPABTACkALAAgAC8AKgBpAGYAIAB0AGgAZQAgAGEAbgBjAGgAbwByACAAZgBvAHIAIAB5AGIAIABzAHQAYQByAHQAcwAgAGEAZgB0AGUAcgAgAEUALABpAHQAIABjAGEAbgAnAHQAIABvAHYAZQByAGwAYQBwADsAIABtAG8AdgBlACAAdABvACAAcAByAGUAdgBpAG8AdQBzACAAeQBlAGEAcgAqAC8AXABuACAAIAAgACAAIAAgACAAIABsAGEAcwB0AFkAZQBhAHIALAB5AGIALQAoAEQAQQBUAEUAKAB5AGIALABtACwAZAApAD4ARQApACwAXABuACAAIAAgACAAIAAgACAAIABuACwATQBBAFgAKAAwACwAbABhAHMAdABZAGUAYQByAC0AZgBpAHIAcwB0AFkAZQBhAHIAKwAxACkALABcAG4AIAAgACAAIAAgACAAIAAgAHkAcgBzACwAUwBFAFEAVQBFAE4AQwBFACgAbgAsADEALABmAGkAcgBzAHQAWQBlAGEAcgAsADEAKQAsAFwAbgAgACAAIAAgACAAIAAgACAAcwB0AGEAcgB0AHMALABEAEEAVABFACgAeQByAHMALABtACwAZAApACwAXABuACAAIAAgACAAIAAgACAAIABlAG4AZABzACwATQBBAFAAKABzAHQAYQByAHQAcwAsAFAAZQByAGkAbwBkAEUAbgBkACkALABcAG4AIAAgACAAIAAgACAAIAAgAHQAYQBnACwASQBGACgAcwB0AGEAcgB0AHMAPQBSAGUAcABvAHIAdABpAG4AZwBDAHkAYwBsAGUAUwB0AGEAcgB0ACwAXAAiACAAKABUAGgAaQBzACAAcgBlAHAAbwByAHQAaQBuAGcAIABjAHkAYwBsAGUAKQBcACIALABcACIAXAAiACkALABcAG4AIAAgACAAIAAgACAAIAAgAHMAdABhAHIAdABzAFQAZQB4AHQALABUAEUAWABUACgAcwB0AGEAcgB0AHMALABcACIAZABkACAAbQBtAG0AIAB5AHkAeQB5AFwAIgApACwAXABuACAAIAAgACAAIAAgACAAIABlAG4AZABzAFQAZQB4AHQALABUAEUAWABUACgAZQBuAGQAcwAsAFwAIgBkAGQAIABtAG0AbQAgAHkAeQB5AHkAXAAiACkALABcAG4AIAAgACAAIAAgACAAIAAgAEkARgAoAG4APQAwACwAXAAiAFwAIgAsAEgAUwBUAEEAQwBLACgAcwB0AGEAcgB0AHMAVABlAHgAdAAgACYAIABcACIAIAB0AG8AIABcACIAIAAmACAAZQBuAGQAcwBUAGUAeAB0ACAAJgAgAHQAYQBnACkAKQBcAG4AIAAgACAAIAApAFwAbgApADsAXABuAFwAbgBVAHQAaQBsAGkAdAB5AF8ARABpAHMAcABsAGEAeQBGAHUAbgBjAHQAaQBvAG4ATgBhAG0AZQBcAG4APQBMAEEATQBCAEQAQQAoAEYAdQBuAGMAdABpAG8AbgAsACAAVABFAFgAVABCAEUARgBPAFIARQAoAEYATwBSAE0AVQBMAEEAVABFAFgAVAAoAEYAdQBuAGMAdABpAG8AbgApACwAIABcACIAKABcACIAKQApADsAXABuAFwAbgBVAHQAaQBsAGkAdAB5AF8ATABvAG8AawB1AHAATgAyAE8ARQBGAEYAcgBvAG0AUAByAG8AZABJAHIAcgBpAGcAYQB0AGkAbwBuAFIAYQBpAG4AZgBhAGwAbABcAG4APQBMAEEATQBCAEQAQQAoAFwAbgAgACAAIAAgAFAAcgBvAGQAdQBjAHQAaQBvAG4AUwB5AHMAdABlAG0ALAAgAEkAcgByAGkAZwBhAHQAaQBvAG4ATQBlAHQAaABvAGQALAAgAFIAYQBpAG4AZgBhAGwAbABaAG8AbgBlACwAXABuACAAIAAgACAAUAByAG8AZAB1AGMAdABpAG8AbgBTAHkAcwB0AGUAbQBBAHIAcgBhAHkALAAgAEkAcgByAGkAZwBhAHQAaQBvAG4ATQBlAHQAaABvAGQAQQByAHIAYQB5ACwAIABSAGEAaQBuAGYAYQBsAGwAWgBvAG4AZQBBAHIAcgBhAHkALABSAGUAdAB1AHIAbgBBAHIAcgBhAHkALABcAG4AIAAgACAAIABMAEUAVAAoAFwAbgAgACAAIAAgACAAIAAgACAASQByAHIAaQBnAGEAdABpAG8AbgBNAGUAdABoAG8AZAAsACAASQBGACgASQByAHIAaQBnAGEAdABpAG8AbgBNAGUAdABoAG8AZAA9AFwAIgBOAG8AdAAgAGkAcgByAGkAZwBhAHQAZQBkAFwAIgAsACAAXAAiAE4AbwB0ACAAaQByAHIAaQBnAGEAdABlAGQAXAAiACwAIABcACIAQQBuAHkAXAAiACkALABcAG4AIAAgACAAIAAgACAAIAAgAFIAYQBpAG4AZgBhAGwAbABaAG8AbgBlACwAIABJAEYAKABJAHIAcgBpAGcAYQB0AGkAbwBuAE0AZQB0AGgAbwBkACAAPQAgAFwAIgBOAG8AdAAgAGkAcgByAGkAZwBhAHQAZQBkAFwAIgAsACAAUgBhAGkAbgBmAGEAbABsAFoAbwBuAGUALAAgAFwAIgBBAG4AeQBcACIAKQAsAFwAbgAgACAAIAAgACAAIAAgACAAWABMAE8ATwBLAFUAUAAoADEALAAgAFwAbgAgACAAIAAgACAAIAAgACAAIAAgACAAIAAoAFAAcgBvAGQAdQBjAHQAaQBvAG4AUwB5AHMAdABlAG0AQQByAHIAYQB5AD0AUAByAG8AZAB1AGMAdABpAG8AbgBTAHkAcwB0AGUAbQApACoAXABuACAAIAAgACAAIAAgACAAIAAgACAAIAAgACgASQByAHIAaQBnAGEAdABpAG8AbgBNAGUAdABoAG8AZABBAHIAcgBhAHkAPQBJAHIAcgBpAGcAYQB0AGkAbwBuAE0AZQB0AGgAbwBkACkAKgBcAG4AIAAgACAAIAAgACAAIAAgACAAIAAgACAAKABSAGEAaQBuAGYAYQBsAGwAWgBvAG4AZQBBAHIAcgBhAHkAPQBSAGEAaQBuAGYAYQBsAGwAWgBvAG4AZQApACwAIABcAG4AIAAgACAAIAAgACAAIAAgACAAIAAgACAAUgBlAHQAdQByAG4AQQByAHIAYQB5ACkAXABuACAAIAAgACAAKQBcAG4AKQA7AFwAbgBcAG4AQwBvAG0AbQBvAG4AQwByAG8AcABwAGkAbgBnAF8ARwBlAHQARgByAGEAYwBXAEUAVABcAG4APQBMAEEATQBCAEQAQQAoAFwAbgAgACAAIAAgAEwAZQBhAGMAaABpAG4AZwBaAG8AbgBlACwAXABuACAAIAAgACAAUAByAG8AZAB1AGMAdABpAG8AbgBTAHkAcwB0AGUAbQAsAFwAbgAgACAAIAAgAEwAZQBhAGMAaABpAG4AZwBaAG8AbgBlAEwAbwBvAGsAdQBwACwAXABuACAAIAAgACAATABlAGEAYwBoAGkAbgBnAFoAbwBuAGUARgByAGEAYwBXAEUAVABMAG8AbwBrAHUAcAAsAFwAbgAgACAAIAAgAFAAcgBvAGQAdQBjAHQAaQBvAG4AUwB5AHMAdABlAG0ATABvAG8AawB1AHAALABcAG4AIAAgACAAIABQAHIAbwBkAHUAYwB0AGkAbwBuAFMAeQBzAHQAZQBtAEYAcgBhAGMAVwBFAFQATABvAG8AawB1AHAALABcAG4AIAAgACAAIABMAEUAVAAoAFwAbgAgACAAIAAgACAAIAAgACAATABlAGEAYwBoAGkAbgBnAFoAbwBuAGUARgByAGEAYwBXAEUAVAAsACAAXABuACAAIAAgACAAIAAgACAAIABDAG8AbQBtAG8AbgBfAEkAbgBwAHUAdABGAHUAbgBjAHQAaQBvAG4AcwAuAFUAdABpAGwAaQB0AHkAXwBMAG8AbwBrAHUAcABWAGEAbAB1AGUASQBuAFQAYQBiAGwAZQBOAHUAbQBiAGUAcgAoAFwAbgAgACAAIAAgACAAIAAgACAAIAAgACAAIABMAGUAYQBjAGgAaQBuAGcAWgBvAG4AZQAsAEwAZQBhAGMAaABpAG4AZwBaAG8AbgBlAEwAbwBvAGsAdQBwACwATABlAGEAYwBoAGkAbgBnAFoAbwBuAGUARgByAGEAYwBXAEUAVABMAG8AbwBrAHUAcABcAG4AIAAgACAAIAAgACAAIAAgACkALABcAG4AIAAgACAAIAAgACAAIAAgAFAAcgBvAGQAdQBjAHQAaQBvAG4AUwB5AHMAdABlAG0ARgByAGEAYwBXAEUAVAAsACAAXABuACAAIAAgACAAIAAgACAAIABDAG8AbQBtAG8AbgBfAEkAbgBwAHUAdABGAHUAbgBjAHQAaQBvAG4AcwAuAFUAdABpAGwAaQB0AHkAXwBMAG8AbwBrAHUAcABWAGEAbAB1AGUASQBuAFQAYQBiAGwAZQBOAHUAbQBiAGUAcgAoAFwAbgAgACAAIAAgACAAIAAgACAAIAAgACAAIABQAHIAbwBkAHUAYwB0AGkAbwBuAFMAeQBzAHQAZQBtACwAUAByAG8AZAB1AGMAdABpAG8AbgBTAHkAcwB0AGUAbQBMAG8AbwBrAHUAcAAsAFAAcgBvAGQAdQBjAHQAaQBvAG4AUwB5AHMAdABlAG0ARgByAGEAYwBXAEUAVABMAG8AbwBrAHUAcABcAG4AIAAgACAAIAAgACAAIAAgACkALABcAG4AIAAgACAAIAAgACAAIAAgAEkARgAoAEwAZQBhAGMAaABpAG4AZwBaAG8AbgBlAEYAcgBhAGMAVwBFAFQAIAArACAAUAByAG8AZAB1AGMAdABpAG8AbgBTAHkAcwB0AGUAbQBGAHIAYQBjAFcARQBUAD4AMAAsACAAMQAsACAAMAApAFwAbgAgACAAIAAgACkAKQA7AFwAbgBcAG4AXABuAFUAdABpAGwAaQB0AHkAXwBDAG8AbgB2AGUAcgB0AFMAdABhAHQAZQBDAG8AbQBtAG8AbgBOAGEAbQBlAFQAbwBBAGIAYgByAGUAdgBpAGEAdABpAG8AbgBcAG4APQBMAEEATQBCAEQAQQAoAFwAbgAgACAAIAAgAFMAdABhAHQAZQBDAG8AbQBtAG8AbgBOAGEAbQBlACwAXABuACAAIAAgACAAUwB0AGEAdABlAEMAbwBtAG0AbwBuAE4AYQBtAGUAQQByAHIAYQB5ACwAIABTAHQAYQB0AGUAQQBiAGIAcgBlAHYAaQBhAHQAaQBvAG4AQQByAHIAYQB5ACwAXABuACAAIAAgACAAWABMAE8ATwBLAFUAUAAoAFMAdABhAHQAZQBDAG8AbQBtAG8AbgBOAGEAbQBlACwAIABTAHQAYQB0AGUAQwBvAG0AbQBvAG4ATgBhAG0AZQBBAHIAcgBhAHkALAAgAFMAdABhAHQAZQBBAGIAYgByAGUAdgBpAGEAdABpAG8AbgBBAHIAcgBhAHkALAAgAFwAIgBcACIAKQBcAG4AKQA7AFwAbgBcAG4AVQB0AGkAbABpAHQAeQBfAFMAbwB1AHIAYwBlAEgAeQBwAGUAcgBsAGkAbgBrAFwAbgA9AEwAQQBNAEIARABBACgAVABhAHIAZwBlAHQAQwBlAGwAbAAsAFwAbgAgACAATABFAFQAKABcAG4AIAAgACAAIABzAGgALAAgAFQARQBYAFQAQQBGAFQARQBSACgAQwBFAEwATAAoAFwAIgBmAGkAbABlAG4AYQBtAGUAXAAiACwAIABUAGEAcgBnAGUAdABDAGUAbABsACkALAAgAFwAIgBdAFwAIgApACwAXABuACAAIAAgACAAYQBkAGQAcgAsACAAQwBFAEwATAAoAFwAIgBhAGQAZAByAGUAcwBzAFwAIgAsACAAVABhAHIAZwBlAHQAQwBlAGwAbAApACwAXABuACAAIAAgACAAXAAiACMAJwBcACIAIAAmACAAcwBoACAAJgAgAFwAIgAnACEAXAAiACAAJgAgAGEAZABkAHIAXABuACAAIAApAFwAbgApADsAXABuAFwAbgBVAHQAaQBsAGkAdAB5AF8AUwBvAHUAcgBjAGUASAB5AHAAZQByAGwAaQBuAGsARABpAGYAZgBlAHIAZQBuAHQAUwBoAGUAZQB0AFwAbgA9AEwAQQBNAEIARABBACgAVABhAHIAZwBlAHQAQwBlAGwAbAAsAFwAbgAgACAATABFAFQAKABcAG4AIAAgACAAIABzAGgALAAgAFQARQBYAFQAQQBGAFQARQBSACgAQwBFAEwATAAoAFwAIgBmAGkAbABlAG4AYQBtAGUAXAAiACwAIABUAGEAcgBnAGUAdABDAGUAbABsACkALAAgAFwAIgBdAFwAIgApACwAXABuACAAIAAgACAAYQBkAGQAcgAsACAAQwBFAEwATAAoAFwAIgBhAGQAZAByAGUAcwBzAFwAIgAsACAAVABhAHIAZwBlAHQAQwBlAGwAbAApACwAXABuACAAIAAgACAAXAAiACMAXAAiACAAJgAgAGEAZABkAHIAXABuACAAIAApAFwAbgApADsAXABuAFwAbgBVAHQAaQBsAGkAdAB5AF8ARABpAHMAcABsAGEAeQBBAHIAZwB1AG0AZQBuAHQAcwBfADEAXwAyAFwAbgA9AEwAQQBNAEIARABBACgAXABuACAAIAAgACAAQQByAGcAdQBtAGUAbgB0AHMAQQByAHIAYQB5ACwAXABuACAAIAAgACAAQwBIAE8ATwBTAEUAQwBPAEwAUwAoAEEAcgBnAHUAbQBlAG4AdABzAEEAcgByAGEAeQAsACAAMQAsACAAMgApAFwAbgApADsAXABuAFwAbgBVAHQAaQBsAGkAdAB5AF8ARABpAHMAcABsAGEAeQBBAHIAZwB1AG0AZQBuAHQAcwBfADMAXwA0AFwAbgA9AEwAQQBNAEIARABBACgAXABuACAAIAAgACAAQQByAGcAdQBtAGUAbgB0AHMAQQByAHIAYQB5ACwAXABuACAAIAAgACAAQwBIAE8ATwBTAEUAQwBPAEwAUwAoAEEAcgBnAHUAbQBlAG4AdABzAEEAcgByAGEAeQAsACAAMwAsACAANAApAFwAbgApADsAXABuAFwAbgBDAG8AbQBtAG8AbgBfAEcAZQB0AE0AQwBGAFQAZQBtAHAAZQByAGEAdAB1AHIAZQBaAG8AbgBlAFwAbgA9AEwAQQBNAEIARABBACgAXABuACAAIAAgACAAVABlAG0AcABlAHIAYQB0AHUAcgBlACwAIABNAE0AUwAsACAAVABlAG0AcABlAHIAYQB0AHUAcgBlAEEAcgByAGEAeQAsACAATQBNAFMAQQByAHIAYQB5ACwAIABSAGUAdAB1AHIAbgBBAHIAcgBhAHkALABcAG4AIAAgACAAIABYAEwATwBPAEsAVQBQACgAXABuACAAIAAgACAAIAAgACAAIABNAEUARABJAEEATgAoAFwAbgAgACAAIAAgACAAIAAgACAAIAAgACAAIABUAGUAbQBwAGUAcgBhAHQAdQByAGUALAAgAFwAbgAgACAAIAAgACAAIAAgACAAIAAgACAAIABNAEkATgAoAFQAZQBtAHAAZQByAGEAdAB1AHIAZQBBAHIAcgBhAHkAKQAsACAAXABuACAAIAAgACAAIAAgACAAIAAgACAAIAAgAE0AQQBYACgAVABlAG0AcABlAHIAYQB0AHUAcgBlAEEAcgByAGEAeQApAFwAbgAgACAAIAAgACAAIAAgACAAKQAsAFwAbgAgACAAIAAgACAAIAAgACAAVABlAG0AcABlAHIAYQB0AHUAcgBlAEEAcgByAGEAeQAsAFwAbgAgACAAIAAgACAAIAAgACAAWABMAE8ATwBLAFUAUAAoAE0ATQBTACwAIABNAE0AUwBBAHIAcgBhAHkALAAgAFIAZQB0AHUAcgBuAEEAcgByAGEAeQApAFwAbgAgACAAIAAgACkAXABuACkAOwBcAG4AXABuAFwAbgBVAHQAaQBsAGkAdAB5AF8AUgBlAHMAdQBsAHQAcwBJAHQAZQBtAEYAcgBvAG0ARQBxAHUAYQB0AGkAbwBuAFQAaQB0AGwAZQBBAG4AZABTAG8AdQByAGMAZQBcAG4APQBMAEEATQBCAEQAQQAoAFwAbgAgACAAIAAgAFQAaQB0AGwAZQBDAGUAbABsACwAIABTAG8AdQByAGMAZQBDAGUAbABsACwAXABuACAAIAAgACAAUwBVAEIAUwBUAEkAVABVAFQARQAoAEwARQBGAFQAKABTAG8AdQByAGMAZQBDAGUAbABsACwAIABGAEkATgBEACgAXAAiACwAXAAiACwAIABTAG8AdQByAGMAZQBDAGUAbABsACkAIAAtADEAKQAsACAAXAAiAFYARQBFAFIARwAgADIAMAAyADYAOgAgAFwAIgAsACAAXAAiAFwAIgApACAAJgAgAFwAIgAgAFwAIgAgACYAIABUAGkAdABsAGUAQwBlAGwAbABcAG4AKQA7ACIAfQAsAHsAIgBwAGEAdABoACIAOgAiAC8AcAByAG8AagBlAGMAdABzAC8AQwBvAG0AbQBvAG4AQwByAG8AcABwAGkAbgBnAF8ASQBuAHAAdQB0AEYAdQBuAGMAdABpAG8AbgBzACIALAAiAHQAZQB4AHQAIgA6ACIAXABuAEMAbwBtAG0AbwBuAEMAcgBvAHAAcABpAG4AZwBfAEcAZQB0AEYAcgBhAGMAVwBFAFQAXABuAD0ATABBAE0AQgBEAEEAKABcAG4AIAAgACAAIABMAGUAYQBjAGgAaQBuAGcAWgBvAG4AZQAsAFwAbgAgACAAIAAgAFAAcgBvAGQAdQBjAHQAaQBvAG4AUwB5AHMAdABlAG0ALABcAG4AIAAgACAAIABMAGUAYQBjAGgAaQBuAGcAWgBvAG4AZQBMAG8AbwBrAHUAcAAsAFwAbgAgACAAIAAgAEwAZQBhAGMAaABpAG4AZwBaAG8AbgBlAEYAcgBhAGMAVwBFAFQATABvAG8AawB1AHAALABcAG4AIAAgACAAIABQAHIAbwBkAHUAYwB0AGkAbwBuAFMAeQBzAHQAZQBtAEwAbwBvAGsAdQBwACwAXABuACAAIAAgACAAUAByAG8AZAB1AGMAdABpAG8AbgBTAHkAcwB0AGUAbQBGAHIAYQBjAFcARQBUAEwAbwBvAGsAdQBwACwAXABuACAAIAAgACAATABFAFQAKABcAG4AIAAgACAAIAAgACAAIAAgAEwAZQBhAGMAaABpAG4AZwBaAG8AbgBlAEYAcgBhAGMAVwBFAFQALAAgAFwAbgAgACAAIAAgACAAIAAgACAAQwBvAG0AbQBvAG4AXwBJAG4AcAB1AHQARgB1AG4AYwB0AGkAbwBuAHMALgBVAHQAaQBsAGkAdAB5AF8ATABvAG8AawB1AHAAVgBhAGwAdQBlAEkAbgBUAGEAYgBsAGUATgB1AG0AYgBlAHIAKABcAG4AIAAgACAAIAAgACAAIAAgACAAIAAgACAATABlAGEAYwBoAGkAbgBnAFoAbwBuAGUALABMAGUAYQBjAGgAaQBuAGcAWgBvAG4AZQBMAG8AbwBrAHUAcAAsAEwAZQBhAGMAaABpAG4AZwBaAG8AbgBlAEYAcgBhAGMAVwBFAFQATABvAG8AawB1AHAAXABuACAAIAAgACAAIAAgACAAIAApACwAXABuACAAIAAgACAAIAAgACAAIABQAHIAbwBkAHUAYwB0AGkAbwBuAFMAeQBzAHQAZQBtAEYAcgBhAGMAVwBFAFQALAAgAFwAbgAgACAAIAAgACAAIAAgACAAQwBvAG0AbQBvAG4AXwBJAG4AcAB1AHQARgB1AG4AYwB0AGkAbwBuAHMALgBVAHQAaQBsAGkAdAB5AF8ATABvAG8AawB1AHAAVgBhAGwAdQBlAEkAbgBUAGEAYgBsAGUATgB1AG0AYgBlAHIAKABcAG4AIAAgACAAIAAgACAAIAAgACAAIAAgACAAUAByAG8AZAB1AGMAdABpAG8AbgBTAHkAcwB0AGUAbQAsAFAAcgBvAGQAdQBjAHQAaQBvAG4AUwB5AHMAdABlAG0ATABvAG8AawB1AHAALABQAHIAbwBkAHUAYwB0AGkAbwBuAFMAeQBzAHQAZQBtAEYAcgBhAGMAVwBFAFQATABvAG8AawB1AHAAXABuACAAIAAgACAAIAAgACAAIAApACwAXABuACAAIAAgACAAIAAgACAAIABJAEYAKABMAGUAYQBjAGgAaQBuAGcAWgBvAG4AZQBGAHIAYQBjAFcARQBUACAAKwAgAFAAcgBvAGQAdQBjAHQAaQBvAG4AUwB5AHMAdABlAG0ARgByAGEAYwBXAEUAVAA+ADAALAAgADEALAAgADAAKQBcAG4AIAAgACAAIAApACkAOwBcAG4AXABuAFwAbgBDAG8AbQBtAG8AbgBDAHIAbwBwAHAAaQBuAGcAXwBDAGEAbABjAHUAbABhAHQAZQBIAGEAcgB2AGUAcwB0AEkAbgBkAGUAeABcAG4APQBMAEEATQBCAEQAQQAoAFwAbgAgACAAIAAgAEMAcgBvAHAAVAB5AHAAZQAsACAAQwByAG8AcABUAHkAcABlAEEAcgByAGEAeQAsACAAUgBlAHMAaQBkAHUAZQBDAHIAbwBwAFIAYQB0AGkAbwBBAHIAcgBhAHkALABcAG4AIAAgACAAIAAxAC8AKAAxACsAQwBvAG0AbQBvAG4AXwBJAG4AcAB1AHQARgB1AG4AYwB0AGkAbwBuAHMALgBVAHQAaQBsAGkAdAB5AF8ATABvAG8AawB1AHAAVgBhAGwAdQBlAEkAbgBUAGEAYgBsAGUATgB1AG0AYgBlAHIAKABDAHIAbwBwAFQAeQBwAGUALAAgAEMAcgBvAHAAVAB5AHAAZQBBAHIAcgBhAHkALAAgAFIAZQBzAGkAZAB1AGUAQwByAG8AcABSAGEAdABpAG8AQQByAHIAYQB5ACkAKQBcAG4AKQA7AFwAbgBcAG4AQwBvAG0AbQBvAG4AQwByAG8AcABwAGkAbgBnAF8AQwBhAGwAYwB1AGwAYQB0AGUAUgBlAHMAaQBkAHUAZQBDAHIAbwBwAFIAYQB0AGkAbwBcAG4APQBMAEEATQBCAEQAQQAoAFwAbgAgACAAIAAgAEgAYQByAHYAZQBzAHQASQBuAGQAZQB4ACwAXABuACAAIAAgACAAKAAxAC0ASABhAHIAdgBlAHMAdABJAG4AZABlAHgAKQAvAEgAYQByAHYAZQBzAHQASQBuAGQAZQB4AFwAbgApADsAXABuAFwAbgBcAG4AQwBvAG0AbQBvAG4AQwByAG8AcABwAGkAbgBnAF8AQwBhAGwAYwB1AGwAYQB0AGUARgByAGEAYwB0AGkAbwBuAFIAZQBzAGkAZAB1AGUAUgBlAG0AbwB2AGUAZABcAG4APQBMAEEATQBCAEQAQQAoAFwAbgAgACAAIAAgAFQAbwB0AGEAbABSAGUAcwBpAGQAdQBlACwAIABBAG0AbwB1AG4AdABSAGUAbQBvAHYAZQBkACwAXABuACAAIAAgACAAKABBAG0AbwB1AG4AdABSAGUAbQBvAHYAZQBkACoAMQAwAF4AMwApAC8AKABUAG8AdABhAGwAUgBlAHMAaQBkAHUAZQAqADEAMABeADMAKQBcAG4AKQAiAH0ALAB7ACIAcABhAHQAaAAiADoAIgAvAHAAcgBvAGoAZQBjAHQAcwAvAEYAZQByAHQAaQBsAGkAcwBlAHIAXwBJAG4AcAB1AHQARgB1AG4AYwB0AGkAbwBuAHMAIgAsACIAdABlAHgAdAAiADoAIgBGAGUAcgB0AGkAbABpAHMAZQByAF8ARgBlAHIAdABpAGwAaQBzAGUAcgBQAHIAbwBkAHUAYwB0AEwAbwBvAGsAdQBwAFwAbgA9AEwAQQBNAEIARABBACgAXABuACAAIABQAHIAbwBkAHUAYwB0ACwAXABuACAAIABQAHIAbwBkAHUAYwB0AEEAdAB0AHIAaQBiAHUAdABlACwAXABuACAAIABQAHIAbwBkAHUAYwB0AEEAcgByAGEAeQAsAFwAbgAgACAAUAByAG8AZAB1AGMAdABBAHIAcgBhAHkAQwBvAGwAdQBtAG4ALABcAG4AIAAgAFAAcgBvAGQAdQBjAHQAQQByAHIAYQB5AEgAZQBhAGQAZQByAHMALABcAG4AIAAgAEkARgBFAFIAUgBPAFIAKABcAG4AIAAgACAAIABJAE4ARABFAFgAKABcAG4AIAAgACAAIAAgACAAUAByAG8AZAB1AGMAdABBAHIAcgBhAHkALABcAG4AIAAgACAAIAAgACAAWABNAEEAVABDAEgAKABcAG4AIAAgACAAIAAgACAAIAAgAFQAUgBJAE0AKABcAG4AIAAgACAAIAAgACAAIAAgACAAIABQAHIAbwBkAHUAYwB0AFwAbgAgACAAIAAgACAAIAAgACAAKQAsAFwAbgAgACAAIAAgACAAIAAgACAAUAByAG8AZAB1AGMAdABBAHIAcgBhAHkAQwBvAGwAdQBtAG4ALABcAG4AIAAgACAAIAAgACAAIAAgADAAXABuACAAIAAgACAAIAAgACkALABcAG4AIAAgACAAIAAgACAAWABNAEEAVABDAEgAKABcAG4AIAAgACAAIAAgACAAIAAgAFQAUgBJAE0AKABcAG4AIAAgACAAIAAgACAAIAAgACAAIABQAHIAbwBkAHUAYwB0AEEAdAB0AHIAaQBiAHUAdABlAFwAbgAgACAAIAAgACAAIAAgACAAKQAsAFwAbgAgACAAIAAgACAAIAAgACAAUAByAG8AZAB1AGMAdABBAHIAcgBhAHkASABlAGEAZABlAHIAcwAsAFwAbgAgACAAIAAgACAAIAAgACAAMABcAG4AIAAgACAAIAAgACAAKQBcAG4AIAAgACAAIAApACwAXABuACAAIAAgACAAXAAiAFwAIgBcAG4AIAAgACkAXABuACkAOwBcAG4AXABuAEYAZQByAHQAaQBsAGkAcwBlAHIAXwBTAHUAbQBQAHIAbwBkAHUAYwB0AEEAcABwAGwAaQBlAGQAXABuAD0ATABBAE0AQgBEAEEAKABcAG4AIAAgAEwAbwBvAGsAdQBwAFQAYQByAGcAZQB0ADEALABcAG4AIAAgAEwAbwBvAGsAdQBwAEEAcgByAGEAeQAxACwAXABuACAAIABBAG0AbwB1AG4AdABBAHAAcABsAGkAZQBkACwAXABuACAAIABbAEwAbwBvAGsAdQBwAFQAYQByAGcAZQB0ADIAXQAsAFwAbgAgACAAWwBMAG8AbwBrAHUAcABBAHIAcgBhAHkAMgBdACwAXABuACAAIABMAEUAVAAoAFwAbgAgACAAIAAgAGMAcgBpAHQAZQByAGkAYQAxACwAXABuACAAIAAgACAALQAtACgAXABuACAAIAAgACAAIAAgAEwAbwBvAGsAdQBwAEEAcgByAGEAeQAxACAAPQAgAEwAbwBvAGsAdQBwAFQAYQByAGcAZQB0ADEAXABuACAAIAAgACAAKQAsAFwAbgAgACAAIAAgAGMAcgBpAHQAZQByAGkAYQAyACwAXABuACAAIAAgACAASQBGACgAXABuACAAIAAgACAAIAAgAEkAUwBPAE0ASQBUAFQARQBEACgAXABuACAAIAAgACAAIAAgACAAIABMAG8AbwBrAHUAcABUAGEAcgBnAGUAdAAyAFwAbgAgACAAIAAgACAAIAApACwAXABuACAAIAAgACAAIAAgADEALABcAG4AIAAgACAAIAAgACAALQAtACgAXABuACAAIAAgACAAIAAgACAAIABMAG8AbwBrAHUAcABBAHIAcgBhAHkAMgAgAD0AIABMAG8AbwBrAHUAcABUAGEAcgBnAGUAdAAyAFwAbgAgACAAIAAgACAAIAApAFwAbgAgACAAIAAgACkALABcAG4AIAAgACAAIABTAFUATQBQAFIATwBEAFUAQwBUACgAXABuACAAIAAgACAAIAAgAGMAcgBpAHQAZQByAGkAYQAxACAAKgAgAGMAcgBpAHQAZQByAGkAYQAyACAAKgAgAEEAbQBvAHUAbgB0AEEAcABwAGwAaQBlAGQAXABuACAAIAAgACAAKQBcAG4AIAAgACkAXABuACkAOwBcAG4AXABuAEYAZQByAHQAaQBsAGkAcwBlAHIAXwBUAG8AdABhAGwAUwBvAGkAbABBAG0AZQBuAGQAbQBlAG4AdABBAHAAcABsAGkAZQBkAFwAbgA9AEwAQQBNAEIARABBACgAXABuACAAIABBAG0AbwB1AG4AdABBAHAAcABsAGkAZQBkACwAXABuACAAIABBAG0AZQBuAGQAbQBlAG4AdABQAGUAcgBjAGUAbgB0ACwAXABuACAAIABTAFUATQBQAFIATwBEAFUAQwBUACgAXABuACAAIAAgACAAQQBtAG8AdQBuAHQAQQBwAHAAbABpAGUAZAAgACoAIABBAG0AZQBuAGQAbQBlAG4AdABQAGUAcgBjAGUAbgB0AFwAbgAgACAAKQBcAG4AKQA7AFwAbgBcAG4ARgBlAHIAdABpAGwAaQBzAGUAcgBfAFQAbwB0AGEAbABDAGgAZQBtAGkAYwBhAGwAQwBvAG0AcABvAHUAbgBkAEEAcABwAGwAaQBlAGQAQQBsAGwASQBuAGcAcgBlAGQAaQBlAG4AdABzAFwAbgA9AEwAQQBNAEIARABBACgAXABuACAAIABDAGgAZQBtAGkAYwBhAGwAQwBvAG0AcABvAHUAbgBkACwAXABuACAAIABBAG0AbwB1AG4AdABBAHAAcABsAGkAZQBkACwAXABuACAAIABQAHIAbwBkAHUAYwB0AEkAbgBnAHIAZQBkAGkAZQBuAHQAMQAsAFwAbgAgACAAUAByAG8AZAB1AGMAdABJAG4AZwByAGUAZABpAGUAbgB0AFAAZQByAGMAZQBuAHQAMQAsAFwAbgAgACAAWwBQAHIAbwBkAHUAYwB0AEkAbgBnAHIAZQBkAGkAZQBuAHQAMgBdACwAXABuACAAIABbAFAAcgBvAGQAdQBjAHQASQBuAGcAcgBlAGQAaQBlAG4AdABQAGUAcgBjAGUAbgB0ADIAXQAsAFwAbgAgACAAWwBQAHIAbwBkAHUAYwB0AEkAbgBnAHIAZQBkAGkAZQBuAHQAMwBdACwAXABuACAAIABbAFAAcgBvAGQAdQBjAHQASQBuAGcAcgBlAGQAaQBlAG4AdABQAGUAcgBjAGUAbgB0ADMAXQAsAFwAbgAgACAAWwBQAHIAbwBkAHUAYwB0AEkAbgBnAHIAZQBkAGkAZQBuAHQANABdACwAXABuACAAIABbAFAAcgBvAGQAdQBjAHQASQBuAGcAcgBlAGQAaQBlAG4AdABQAGUAcgBjAGUAbgB0ADQAXQAsAFwAbgAgACAAWwBQAHIAbwBkAHUAYwB0AEkAbgBnAHIAZQBkAGkAZQBuAHQANQBdACwAXABuACAAIABbAFAAcgBvAGQAdQBjAHQASQBuAGcAcgBlAGQAaQBlAG4AdABQAGUAcgBjAGUAbgB0ADUAXQAsAFwAbgAgACAAWwBQAHIAbwBkAHUAYwB0AEkAbgBnAHIAZQBkAGkAZQBuAHQANgBdACwAXABuACAAIABbAFAAcgBvAGQAdQBjAHQASQBuAGcAcgBlAGQAaQBlAG4AdABQAGUAcgBjAGUAbgB0ADYAXQAsAFwAbgAgACAATABFAFQAKABcAG4AIAAgACAAIABjAGEAbABjAHUAbABhAHQAZQBkAEEAbQBvAHUAbgB0ADEALABcAG4AIAAgACAAIAAoAFwAbgAgACAAIAAgACAAIABBAG0AbwB1AG4AdABBAHAAcABsAGkAZQBkACAAKgAgAFAAcgBvAGQAdQBjAHQASQBuAGcAcgBlAGQAaQBlAG4AdABQAGUAcgBjAGUAbgB0ADEAXABuACAAIAAgACAAKQAsAFwAbgAgACAAIAAgAGMAYQBsAGMAdQBsAGEAdABlAGQAQQBtAG8AdQBuAHQAMgAsAFwAbgAgACAAIAAgACgAXABuACAAIAAgACAAIAAgAEEAbQBvAHUAbgB0AEEAcABwAGwAaQBlAGQAIAAqACAAUAByAG8AZAB1AGMAdABJAG4AZwByAGUAZABpAGUAbgB0AFAAZQByAGMAZQBuAHQAMgBcAG4AIAAgACAAIAApACwAXABuACAAIAAgACAAYwBhAGwAYwB1AGwAYQB0AGUAZABBAG0AbwB1AG4AdAAzACwAXABuACAAIAAgACAAKABcAG4AIAAgACAAIAAgACAAQQBtAG8AdQBuAHQAQQBwAHAAbABpAGUAZAAgACoAIABQAHIAbwBkAHUAYwB0AEkAbgBnAHIAZQBkAGkAZQBuAHQAUABlAHIAYwBlAG4AdAAzAFwAbgAgACAAIAAgACkALABcAG4AIAAgACAAIABjAGEAbABjAHUAbABhAHQAZQBkAEEAbQBvAHUAbgB0ADQALABcAG4AIAAgACAAIAAoAFwAbgAgACAAIAAgACAAIABBAG0AbwB1AG4AdABBAHAAcABsAGkAZQBkACAAKgAgAFAAcgBvAGQAdQBjAHQASQBuAGcAcgBlAGQAaQBlAG4AdABQAGUAcgBjAGUAbgB0ADQAXABuACAAIAAgACAAKQAsAFwAbgAgACAAIAAgAGMAYQBsAGMAdQBsAGEAdABlAGQAQQBtAG8AdQBuAHQANQAsAFwAbgAgACAAIAAgACgAXABuACAAIAAgACAAIAAgAEEAbQBvAHUAbgB0AEEAcABwAGwAaQBlAGQAIAAqACAAUAByAG8AZAB1AGMAdABJAG4AZwByAGUAZABpAGUAbgB0AFAAZQByAGMAZQBuAHQANQBcAG4AIAAgACAAIAApACwAXABuACAAIAAgACAAYwBhAGwAYwB1AGwAYQB0AGUAZABBAG0AbwB1AG4AdAA2ACwAXABuACAAIAAgACAAKABcAG4AIAAgACAAIAAgACAAQQBtAG8AdQBuAHQAQQBwAHAAbABpAGUAZAAgACoAIABQAHIAbwBkAHUAYwB0AEkAbgBnAHIAZQBkAGkAZQBuAHQAUABlAHIAYwBlAG4AdAA2AFwAbgAgACAAIAAgACkALABcAG4AIAAgACAAIABGAGUAcgB0AGkAbABpAHMAZQByAF8AUwB1AG0AUAByAG8AZAB1AGMAdABBAHAAcABsAGkAZQBkACgAXABuACAAIAAgACAAIAAgAEMAaABlAG0AaQBjAGEAbABDAG8AbQBwAG8AdQBuAGQALABcAG4AIAAgACAAIAAgACAAUAByAG8AZAB1AGMAdABJAG4AZwByAGUAZABpAGUAbgB0ADEALABcAG4AIAAgACAAIAAgACAAYwBhAGwAYwB1AGwAYQB0AGUAZABBAG0AbwB1AG4AdAAxAFwAbgAgACAAIAAgACkAIAArACAASQBGAEUAUgBSAE8AUgAoAFwAbgAgACAAIAAgACAAIABGAGUAcgB0AGkAbABpAHMAZQByAF8AUwB1AG0AUAByAG8AZAB1AGMAdABBAHAAcABsAGkAZQBkACgAXABuACAAIAAgACAAIAAgACAAIABDAGgAZQBtAGkAYwBhAGwAQwBvAG0AcABvAHUAbgBkACwAXABuACAAIAAgACAAIAAgACAAIABQAHIAbwBkAHUAYwB0AEkAbgBnAHIAZQBkAGkAZQBuAHQAMgAsAFwAbgAgACAAIAAgACAAIAAgACAAYwBhAGwAYwB1AGwAYQB0AGUAZABBAG0AbwB1AG4AdAAyAFwAbgAgACAAIAAgACAAIAApACwAXABuACAAIAAgACAAIAAgADAAXABuACAAIAAgACAAKQAgACsAIABJAEYARQBSAFIATwBSACgAXABuACAAIAAgACAAIAAgAEYAZQByAHQAaQBsAGkAcwBlAHIAXwBTAHUAbQBQAHIAbwBkAHUAYwB0AEEAcABwAGwAaQBlAGQAKABcAG4AIAAgACAAIAAgACAAIAAgAEMAaABlAG0AaQBjAGEAbABDAG8AbQBwAG8AdQBuAGQALABcAG4AIAAgACAAIAAgACAAIAAgAFAAcgBvAGQAdQBjAHQASQBuAGcAcgBlAGQAaQBlAG4AdAAzACwAXABuACAAIAAgACAAIAAgACAAIABjAGEAbABjAHUAbABhAHQAZQBkAEEAbQBvAHUAbgB0ADMAXABuACAAIAAgACAAIAAgACkALABcAG4AIAAgACAAIAAgACAAMABcAG4AIAAgACAAIAApACAAKwAgAEkARgBFAFIAUgBPAFIAKABcAG4AIAAgACAAIAAgACAARgBlAHIAdABpAGwAaQBzAGUAcgBfAFMAdQBtAFAAcgBvAGQAdQBjAHQAQQBwAHAAbABpAGUAZAAoAFwAbgAgACAAIAAgACAAIAAgACAAQwBoAGUAbQBpAGMAYQBsAEMAbwBtAHAAbwB1AG4AZAAsAFwAbgAgACAAIAAgACAAIAAgACAAUAByAG8AZAB1AGMAdABJAG4AZwByAGUAZABpAGUAbgB0ADQALABcAG4AIAAgACAAIAAgACAAIAAgAGMAYQBsAGMAdQBsAGEAdABlAGQAQQBtAG8AdQBuAHQANABcAG4AIAAgACAAIAAgACAAKQAsAFwAbgAgACAAIAAgACAAIAAwAFwAbgAgACAAIAAgACkAIAArACAASQBGAEUAUgBSAE8AUgAoAFwAbgAgACAAIAAgACAAIABGAGUAcgB0AGkAbABpAHMAZQByAF8AUwB1AG0AUAByAG8AZAB1AGMAdABBAHAAcABsAGkAZQBkACgAXABuACAAIAAgACAAIAAgACAAIABDAGgAZQBtAGkAYwBhAGwAQwBvAG0AcABvAHUAbgBkACwAXABuACAAIAAgACAAIAAgACAAIABQAHIAbwBkAHUAYwB0AEkAbgBnAHIAZQBkAGkAZQBuAHQANQAsAFwAbgAgACAAIAAgACAAIAAgACAAYwBhAGwAYwB1AGwAYQB0AGUAZABBAG0AbwB1AG4AdAA1AFwAbgAgACAAIAAgACAAIAApACwAXABuACAAIAAgACAAIAAgADAAXABuACAAIAAgACAAKQAgACsAIABJAEYARQBSAFIATwBSACgAXABuACAAIAAgACAAIAAgAEYAZQByAHQAaQBsAGkAcwBlAHIAXwBTAHUAbQBQAHIAbwBkAHUAYwB0AEEAcABwAGwAaQBlAGQAKABcAG4AIAAgACAAIAAgACAAIAAgAEMAaABlAG0AaQBjAGEAbABDAG8AbQBwAG8AdQBuAGQALABcAG4AIAAgACAAIAAgACAAIAAgAFAAcgBvAGQAdQBjAHQASQBuAGcAcgBlAGQAaQBlAG4AdAA2ACwAXABuACAAIAAgACAAIAAgACAAIABjAGEAbABjAHUAbABhAHQAZQBkAEEAbQBvAHUAbgB0ADYAXABuACAAIAAgACAAIAAgACkALABcAG4AIAAgACAAIAAgACAAMABcAG4AIAAgACAAIAApAFwAbgAgACAAKQBcAG4AKQA7AFwAbgBcAG4ARgBlAHIAdABpAGwAaQBzAGUAcgBfAFQAbwB0AGEAbABDAGgAZQBtAGkAYwBhAGwAQwBvAG0AcABvAHUAbgBkAHQAQQBwAHAAbABpAGUAZABCAHkAUwBvAHUAcgBjAGUAQQBsAGwASQBuAGcAcgBlAGQAaQBlAG4AdABzAFwAbgA9AEwAQQBNAEIARABBACgAXABuACAAIABDAGgAZQBtAGkAYwBhAGwAQwBvAG0AcABvAHUAbgBkACwAXABuACAAIABTAG8AdQByAGMAZQAsAFwAbgAgACAAQQBtAG8AdQBuAHQAQQBwAHAAbABpAGUAZAAsAFwAbgAgACAAUAByAG8AZAB1AGMAdABJAG4AZwByAGUAZABpAGUAbgB0ADEALABcAG4AIAAgAFAAcgBvAGQAdQBjAHQASQBuAGcAcgBlAGQAaQBlAG4AdABQAGUAcgBjAGUAbgB0ADEALABcAG4AIAAgAFsAUAByAG8AZAB1AGMAdABJAG4AZwByAGUAZABpAGUAbgB0AFMAbwB1AHIAYwBlAF0ALABcAG4AIAAgAFsAUAByAG8AZAB1AGMAdABJAG4AZwByAGUAZABpAGUAbgB0ADIAXQAsAFwAbgAgACAAWwBQAHIAbwBkAHUAYwB0AEkAbgBnAHIAZQBkAGkAZQBuAHQAUABlAHIAYwBlAG4AdAAyAF0ALABcAG4AIAAgAFsAUAByAG8AZAB1AGMAdABJAG4AZwByAGUAZABpAGUAbgB0ADMAXQAsAFwAbgAgACAAWwBQAHIAbwBkAHUAYwB0AEkAbgBnAHIAZQBkAGkAZQBuAHQAUABlAHIAYwBlAG4AdAAzAF0ALABcAG4AIAAgAFsAUAByAG8AZAB1AGMAdABJAG4AZwByAGUAZABpAGUAbgB0ADQAXQAsAFwAbgAgACAAWwBQAHIAbwBkAHUAYwB0AEkAbgBnAHIAZQBkAGkAZQBuAHQAUABlAHIAYwBlAG4AdAA0AF0ALABcAG4AIAAgAFsAUAByAG8AZAB1AGMAdABJAG4AZwByAGUAZABpAGUAbgB0ADUAXQAsAFwAbgAgACAAWwBQAHIAbwBkAHUAYwB0AEkAbgBnAHIAZQBkAGkAZQBuAHQAUABlAHIAYwBlAG4AdAA1AF0ALABcAG4AIAAgAFsAUAByAG8AZAB1AGMAdABJAG4AZwByAGUAZABpAGUAbgB0ADYAXQAsAFwAbgAgACAAWwBQAHIAbwBkAHUAYwB0AEkAbgBnAHIAZQBkAGkAZQBuAHQAUABlAHIAYwBlAG4AdAA2AF0ALABcAG4AIAAgAEwARQBUACgAXABuACAAIAAgACAAYwBhAGwAYwB1AGwAYQB0AGUAZABBAG0AbwB1AG4AdAAxACwAXABuACAAIAAgACAAKABcAG4AIAAgACAAIAAgACAAQQBtAG8AdQBuAHQAQQBwAHAAbABpAGUAZAAgACoAIABQAHIAbwBkAHUAYwB0AEkAbgBnAHIAZQBkAGkAZQBuAHQAUABlAHIAYwBlAG4AdAAxAFwAbgAgACAAIAAgACkALABcAG4AIAAgACAAIABjAGEAbABjAHUAbABhAHQAZQBkAEEAbQBvAHUAbgB0ADIALABcAG4AIAAgACAAIAAoAFwAbgAgACAAIAAgACAAIABBAG0AbwB1AG4AdABBAHAAcABsAGkAZQBkACAAKgAgAFAAcgBvAGQAdQBjAHQASQBuAGcAcgBlAGQAaQBlAG4AdABQAGUAcgBjAGUAbgB0ADIAXABuACAAIAAgACAAKQAsAFwAbgAgACAAIAAgAGMAYQBsAGMAdQBsAGEAdABlAGQAQQBtAG8AdQBuAHQAMwAsAFwAbgAgACAAIAAgACgAXABuACAAIAAgACAAIAAgAEEAbQBvAHUAbgB0AEEAcABwAGwAaQBlAGQAIAAqACAAUAByAG8AZAB1AGMAdABJAG4AZwByAGUAZABpAGUAbgB0AFAAZQByAGMAZQBuAHQAMwBcAG4AIAAgACAAIAApACwAXABuACAAIAAgACAAYwBhAGwAYwB1AGwAYQB0AGUAZABBAG0AbwB1AG4AdAA0ACwAXABuACAAIAAgACAAKABcAG4AIAAgACAAIAAgACAAQQBtAG8AdQBuAHQAQQBwAHAAbABpAGUAZAAgACoAIABQAHIAbwBkAHUAYwB0AEkAbgBnAHIAZQBkAGkAZQBuAHQAUABlAHIAYwBlAG4AdAA0AFwAbgAgACAAIAAgACkALABcAG4AIAAgACAAIABjAGEAbABjAHUAbABhAHQAZQBkAEEAbQBvAHUAbgB0ADUALABcAG4AIAAgACAAIAAoAFwAbgAgACAAIAAgACAAIABBAG0AbwB1AG4AdABBAHAAcABsAGkAZQBkACAAKgAgAFAAcgBvAGQAdQBjAHQASQBuAGcAcgBlAGQAaQBlAG4AdABQAGUAcgBjAGUAbgB0ADUAXABuACAAIAAgACAAKQAsAFwAbgAgACAAIAAgAGMAYQBsAGMAdQBsAGEAdABlAGQAQQBtAG8AdQBuAHQANgAsAFwAbgAgACAAIAAgACgAXABuACAAIAAgACAAIAAgAEEAbQBvAHUAbgB0AEEAcABwAGwAaQBlAGQAIAAqACAAUAByAG8AZAB1AGMAdABJAG4AZwByAGUAZABpAGUAbgB0AFAAZQByAGMAZQBuAHQANgBcAG4AIAAgACAAIAApACwAXABuACAAIAAgACAAUAByAG8AZAB1AGMAdABJAG4AZwByAGUAZABpAGUAbgB0AFMAbwB1AHIAYwBlACwAXABuACAAIAAgACAASQBGACgAXABuACAAIAAgACAAIAAgAFAAcgBvAGQAdQBjAHQASQBuAGcAcgBlAGQAaQBlAG4AdABTAG8AdQByAGMAZQAgAD0AIABcACIAXAAiACwAXABuACAAIAAgACAAIAAgAFwAIgBHAGwAbwBiAGEAbABcACIALABcAG4AIAAgACAAIAAgACAAUAByAG8AZAB1AGMAdABJAG4AZwByAGUAZABpAGUAbgB0AFMAbwB1AHIAYwBlAFwAbgAgACAAIAAgACkALABcAG4AIAAgACAAIABGAGUAcgB0AGkAbABpAHMAZQByAF8AUwB1AG0AUAByAG8AZAB1AGMAdABBAHAAcABsAGkAZQBkACgAXABuACAAIAAgACAAIAAgAEMAaABlAG0AaQBjAGEAbABDAG8AbQBwAG8AdQBuAGQALABcAG4AIAAgACAAIAAgACAAUAByAG8AZAB1AGMAdABJAG4AZwByAGUAZABpAGUAbgB0ADEALABcAG4AIAAgACAAIAAgACAAYwBhAGwAYwB1AGwAYQB0AGUAZABBAG0AbwB1AG4AdAAxACwAXABuACAAIAAgACAAIAAgAFMAbwB1AHIAYwBlACwAXABuACAAIAAgACAAIAAgAFAAcgBvAGQAdQBjAHQASQBuAGcAcgBlAGQAaQBlAG4AdABTAG8AdQByAGMAZQBcAG4AIAAgACAAIAApACAAKwAgAEkARgBFAFIAUgBPAFIAKABcAG4AIAAgACAAIAAgACAARgBlAHIAdABpAGwAaQBzAGUAcgBfAFMAdQBtAFAAcgBvAGQAdQBjAHQAQQBwAHAAbABpAGUAZAAoAFwAbgAgACAAIAAgACAAIAAgACAAQwBoAGUAbQBpAGMAYQBsAEMAbwBtAHAAbwB1AG4AZAAsAFwAbgAgACAAIAAgACAAIAAgACAAUAByAG8AZAB1AGMAdABJAG4AZwByAGUAZABpAGUAbgB0ADIALABcAG4AIAAgACAAIAAgACAAIAAgAGMAYQBsAGMAdQBsAGEAdABlAGQAQQBtAG8AdQBuAHQAMgAsAFwAbgAgACAAIAAgACAAIAAgACAAUwBvAHUAcgBjAGUALABcAG4AIAAgACAAIAAgACAAIAAgAFAAcgBvAGQAdQBjAHQASQBuAGcAcgBlAGQAaQBlAG4AdABTAG8AdQByAGMAZQBcAG4AIAAgACAAIAAgACAAKQAsAFwAbgAgACAAIAAgACAAIAAwAFwAbgAgACAAIAAgACkAIAArACAASQBGAEUAUgBSAE8AUgAoAFwAbgAgACAAIAAgACAAIABGAGUAcgB0AGkAbABpAHMAZQByAF8AUwB1AG0AUAByAG8AZAB1AGMAdABBAHAAcABsAGkAZQBkACgAXABuACAAIAAgACAAIAAgACAAIABDAGgAZQBtAGkAYwBhAGwAQwBvAG0AcABvAHUAbgBkACwAXABuACAAIAAgACAAIAAgACAAIABQAHIAbwBkAHUAYwB0AEkAbgBnAHIAZQBkAGkAZQBuAHQAMwAsAFwAbgAgACAAIAAgACAAIAAgACAAYwBhAGwAYwB1AGwAYQB0AGUAZABBAG0AbwB1AG4AdAAzACwAXABuACAAIAAgACAAIAAgACAAIABTAG8AdQByAGMAZQAsAFwAbgAgACAAIAAgACAAIAAgACAAUAByAG8AZAB1AGMAdABJAG4AZwByAGUAZABpAGUAbgB0AFMAbwB1AHIAYwBlAFwAbgAgACAAIAAgACAAIAApACwAXABuACAAIAAgACAAIAAgADAAXABuACAAIAAgACAAKQAgACsAIABJAEYARQBSAFIATwBSACgAXABuACAAIAAgACAAIAAgAEYAZQByAHQAaQBsAGkAcwBlAHIAXwBTAHUAbQBQAHIAbwBkAHUAYwB0AEEAcABwAGwAaQBlAGQAKABcAG4AIAAgACAAIAAgACAAIAAgAEMAaABlAG0AaQBjAGEAbABDAG8AbQBwAG8AdQBuAGQALABcAG4AIAAgACAAIAAgACAAIAAgAFAAcgBvAGQAdQBjAHQASQBuAGcAcgBlAGQAaQBlAG4AdAA0ACwAXABuACAAIAAgACAAIAAgACAAIABjAGEAbABjAHUAbABhAHQAZQBkAEEAbQBvAHUAbgB0ADQALABcAG4AIAAgACAAIAAgACAAIAAgAFMAbwB1AHIAYwBlACwAXABuACAAIAAgACAAIAAgACAAIABQAHIAbwBkAHUAYwB0AEkAbgBnAHIAZQBkAGkAZQBuAHQAUwBvAHUAcgBjAGUAXABuACAAIAAgACAAIAAgACkALABcAG4AIAAgACAAIAAgACAAMABcAG4AIAAgACAAIAApACAAKwAgAEkARgBFAFIAUgBPAFIAKABcAG4AIAAgACAAIAAgACAARgBlAHIAdABpAGwAaQBzAGUAcgBfAFMAdQBtAFAAcgBvAGQAdQBjAHQAQQBwAHAAbABpAGUAZAAoAFwAbgAgACAAIAAgACAAIAAgACAAQwBoAGUAbQBpAGMAYQBsAEMAbwBtAHAAbwB1AG4AZAAsAFwAbgAgACAAIAAgACAAIAAgACAAUAByAG8AZAB1AGMAdABJAG4AZwByAGUAZABpAGUAbgB0ADUALABcAG4AIAAgACAAIAAgACAAIAAgAGMAYQBsAGMAdQBsAGEAdABlAGQAQQBtAG8AdQBuAHQANQAsAFwAbgAgACAAIAAgACAAIAAgACAAUwBvAHUAcgBjAGUALABcAG4AIAAgACAAIAAgACAAIAAgAFAAcgBvAGQAdQBjAHQASQBuAGcAcgBlAGQAaQBlAG4AdABTAG8AdQByAGMAZQBcAG4AIAAgACAAIAAgACAAKQAsAFwAbgAgACAAIAAgACAAIAAwAFwAbgAgACAAIAAgACkAIAArACAASQBGAEUAUgBSAE8AUgAoAFwAbgAgACAAIAAgACAAIABGAGUAcgB0AGkAbABpAHMAZQByAF8AUwB1AG0AUAByAG8AZAB1AGMAdABBAHAAcABsAGkAZQBkACgAXABuACAAIAAgACAAIAAgACAAIABDAGgAZQBtAGkAYwBhAGwAQwBvAG0AcABvAHUAbgBkACwAXABuACAAIAAgACAAIAAgACAAIABQAHIAbwBkAHUAYwB0AEkAbgBnAHIAZQBkAGkAZQBuAHQANgAsAFwAbgAgACAAIAAgACAAIAAgACAAYwBhAGwAYwB1AGwAYQB0AGUAZABBAG0AbwB1AG4AdAA2ACwAXABuACAAIAAgACAAIAAgACAAIABTAG8AdQByAGMAZQAsAFwAbgAgACAAIAAgACAAIAAgACAAUAByAG8AZAB1AGMAdABJAG4AZwByAGUAZABpAGUAbgB0AFMAbwB1AHIAYwBlAFwAbgAgACAAIAAgACAAIAApACwAXABuACAAIAAgACAAIAAgADAAXABuACAAIAAgACAAKQBcAG4AIAAgACkAXABuACkAOwBcAG4AXABuAEYAZQByAHQAaQBsAGkAcwBlAHIAXwBHAGUAdABTAGMAbwBwAGUAMwBFAEYAXABuAD0ATABBAE0AQgBEAEEAKABcAG4AIAAgAEMAaABlAG0AaQBjAGEAbABDAG8AbQBwAG8AdQBuAGQALABcAG4AIAAgAFMAYwBvAHAAZQAzAEEAcgByAGEAeQAsAFwAbgAgACAAQwBoAGUAbQBpAGMAYQBsAEMAbwBtAHAAbwB1AG4AZABDAG8AbAB1AG0AbgAsAFwAbgAgACAAUwBvAHUAcgBjAGUALABcAG4AIAAgAFMAbwB1AHIAYwBlAFIAbwB3ACwAXABuACAAIABJAE4ARABFAFgAKABcAG4AIAAgACAAIABTAGMAbwBwAGUAMwBBAHIAcgBhAHkALABcAG4AIAAgACAAIABNAEEAVABDAEgAKABcAG4AIAAgACAAIAAgACAAQwBoAGUAbQBpAGMAYQBsAEMAbwBtAHAAbwB1AG4AZAAsAFwAbgAgACAAIAAgACAAIABDAGgAZQBtAGkAYwBhAGwAQwBvAG0AcABvAHUAbgBkAEMAbwBsAHUAbQBuACwAXABuACAAIAAgACAAIAAgADAAXABuACAAIAAgACAAKQAsAFwAbgAgACAAIAAgAE0AQQBUAEMASAAoAFwAbgAgACAAIAAgACAAIABTAG8AdQByAGMAZQAsAFwAbgAgACAAIAAgACAAIABTAG8AdQByAGMAZQBSAG8AdwAsAFwAbgAgACAAIAAgACAAIAAwAFwAbgAgACAAIAAgACkAXABuACAAIAApAFwAbgApADsAXABuAFwAbgBGAGUAcgB0AGkAbABpAHMAZQByAF8ARwBlAHQAQwBoAGUAbQBpAGMAYQBsAEMAbwBtAHAAbwB1AG4AZABFAGwAZQBtAGUAbgB0AEYAcgBhAGMAdABpAG8AbgBcAG4APQBMAEEATQBCAEQAQQAoAFwAbgAgACAAQwBoAGUAbQBpAGMAYQBsAEMAbwBtAHAAbwB1AG4AZAAsAFwAbgAgACAARQBsAGUAbQBlAG4AdAAsAFwAbgAgACAAQwBoAGUAbQBpAGMAYQBsAEMAbwBtAHAAbwB1AG4AZABBAHIAcgBhAHkALABcAG4AIAAgAEMAaABlAG0AaQBjAGEAbABDAG8AbQBwAG8AdQBuAGQAQwBvAGwAdQBtAG4ALABcAG4AIAAgAEUAbABlAG0AZQBuAHQAUgBvAHcALABcAG4AIAAgAEkATgBEAEUAWAAoAFwAbgAgACAAIAAgAEMAaABlAG0AaQBjAGEAbABDAG8AbQBwAG8AdQBuAGQAQQByAHIAYQB5ACwAXABuACAAIAAgACAATQBBAFQAQwBIACgAXABuACAAIAAgACAAIAAgAEMAaABlAG0AaQBjAGEAbABDAG8AbQBwAG8AdQBuAGQALABcAG4AIAAgACAAIAAgACAAQwBoAGUAbQBpAGMAYQBsAEMAbwBtAHAAbwB1AG4AZABDAG8AbAB1AG0AbgAsAFwAbgAgACAAIAAgACAAIAAwAFwAbgAgACAAIAAgACkALABcAG4AIAAgACAAIABNAEEAVABDAEgAKABcAG4AIAAgACAAIAAgACAARQBsAGUAbQBlAG4AdAAsAFwAbgAgACAAIAAgACAAIABFAGwAZQBtAGUAbgB0AFIAbwB3ACwAXABuACAAIAAgACAAIAAgADAAXABuACAAIAAgACAAKQBcAG4AIAAgACkAXABuACkAOwBcAG4AXABuAEYAZQByAHQAaQBsAGkAcwBlAHIAXwBUAG8AdABhAGwAQQBjAHQAaQB2AGUASQBuAGcAcgBlAGQAaQBlAG4AdABBAHAAcABsAGkAZQBkAEEAbABsAEkAbgBnAHIAZQBkAGkAZQBuAHQAcwBcAG4APQBMAEEATQBCAEQAQQAoAFwAbgAgACAAQwBoAGUAbQBpAGMAYQBsAEMAbwBtAHAAbwB1AG4AZAAsAFwAbgAgACAAQQBtAG8AdQBuAHQAQQBwAHAAbABpAGUAZAAsAFwAbgAgACAAUAByAG8AZAB1AGMAdABJAG4AZwByAGUAZABpAGUAbgB0ADEALABcAG4AIAAgAFAAcgBvAGQAdQBjAHQASQBuAGcAcgBlAGQAaQBlAG4AdABVAG4AaQB0ADEALABcAG4AIAAgAFAAcgBvAGQAdQBjAHQASQBuAGcAcgBlAGQAaQBlAG4AdABQAGUAcgBjAGUAbgB0ADEALABcAG4AIAAgAFsAUAByAG8AZAB1AGMAdABJAG4AZwByAGUAZABpAGUAbgB0ADIAXQAsAFwAbgAgACAAWwBQAHIAbwBkAHUAYwB0AEkAbgBnAHIAZQBkAGkAZQBuAHQAVQBuAGkAdAAyAF0ALABcAG4AIAAgAFsAUAByAG8AZAB1AGMAdABJAG4AZwByAGUAZABpAGUAbgB0AFAAZQByAGMAZQBuAHQAMgBdACwAXABuACAAIABbAFAAcgBvAGQAdQBjAHQASQBuAGcAcgBlAGQAaQBlAG4AdAAzAF0ALABcAG4AIAAgAFsAUAByAG8AZAB1AGMAdABJAG4AZwByAGUAZABpAGUAbgB0AFUAbgBpAHQAMwBdACwAXABuACAAIABbAFAAcgBvAGQAdQBjAHQASQBuAGcAcgBlAGQAaQBlAG4AdABQAGUAcgBjAGUAbgB0ADMAXQAsAFwAbgAgACAATABFAFQAKABcAG4AIAAgACAAIABjAGEAbABjAHUAbABhAHQAZQBkAEEAbQBvAHUAbgB0ADEALABcAG4AIAAgACAAIAAoAFwAbgAgACAAIAAgACAAIABJAEYAKABcAG4AIAAgACAAIAAgACAAIAAgAFAAcgBvAGQAdQBjAHQASQBuAGcAcgBlAGQAaQBlAG4AdABVAG4AaQB0ADEAIAA9ACAAXAAiAFAAZQByAGMAZQBuAHQAIABvAGYAIABwAHIAbwBkAHUAYwB0AFwAIgAsAFwAbgAgACAAIAAgACAAIAAgACAAQQBtAG8AdQBuAHQAQQBwAHAAbABpAGUAZAAgACoAIABQAHIAbwBkAHUAYwB0AEkAbgBnAHIAZQBkAGkAZQBuAHQAUABlAHIAYwBlAG4AdAAxACwAXABuACAAIAAgACAAIAAgACAAIABBAG0AbwB1AG4AdABBAHAAcABsAGkAZQBkACAAKgAoAFwAbgAgACAAIAAgACAAIAAgACAAIAAgAFAAcgBvAGQAdQBjAHQASQBuAGcAcgBlAGQAaQBlAG4AdABQAGUAcgBjAGUAbgB0ADEAIAAqACAAMQAwACAAXgAgAC0AIAAzAFwAbgAgACAAIAAgACAAIAAgACAAKQBcAG4AIAAgACAAIAAgACAAKQBcAG4AIAAgACAAIAApACwAXABuACAAIAAgACAAYwBhAGwAYwB1AGwAYQB0AGUAZABBAG0AbwB1AG4AdAAyACwAXABuACAAIAAgACAAKABcAG4AIAAgACAAIAAgACAASQBGACgAXABuACAAIAAgACAAIAAgACAAIABQAHIAbwBkAHUAYwB0AEkAbgBnAHIAZQBkAGkAZQBuAHQAVQBuAGkAdAAxACAAPQAgAFwAIgBQAGUAcgBjAGUAbgB0ACAAbwBmACAAcAByAG8AZAB1AGMAdABcACIALABcAG4AIAAgACAAIAAgACAAIAAgAEEAbQBvAHUAbgB0AEEAcABwAGwAaQBlAGQAIAAqACAAUAByAG8AZAB1AGMAdABJAG4AZwByAGUAZABpAGUAbgB0AFAAZQByAGMAZQBuAHQAMgAsAFwAbgAgACAAIAAgACAAIAAgACAAQQBtAG8AdQBuAHQAQQBwAHAAbABpAGUAZAAgACoAKABcAG4AIAAgACAAIAAgACAAIAAgACAAIABQAHIAbwBkAHUAYwB0AEkAbgBnAHIAZQBkAGkAZQBuAHQAUABlAHIAYwBlAG4AdAAyACAAKgAgADEAMAAgAF4AIAAtACAAMwBcAG4AIAAgACAAIAAgACAAIAAgACkAXABuACAAIAAgACAAIAAgACkAXABuACAAIAAgACAAKQAsAFwAbgAgACAAIAAgAGMAYQBsAGMAdQBsAGEAdABlAGQAQQBtAG8AdQBuAHQAMwAsAFwAbgAgACAAIAAgACgAXABuACAAIAAgACAAIAAgAEkARgAoAFwAbgAgACAAIAAgACAAIAAgACAAUAByAG8AZAB1AGMAdABJAG4AZwByAGUAZABpAGUAbgB0AFUAbgBpAHQAMQAgAD0AIABcACIAUABlAHIAYwBlAG4AdAAgAG8AZgAgAHAAcgBvAGQAdQBjAHQAXAAiACwAXABuACAAIAAgACAAIAAgACAAIABBAG0AbwB1AG4AdABBAHAAcABsAGkAZQBkACAAKgAgAFAAcgBvAGQAdQBjAHQASQBuAGcAcgBlAGQAaQBlAG4AdABQAGUAcgBjAGUAbgB0ADMALABcAG4AIAAgACAAIAAgACAAIAAgAEEAbQBvAHUAbgB0AEEAcABwAGwAaQBlAGQAIAAqACgAXABuACAAIAAgACAAIAAgACAAIAAgACAAUAByAG8AZAB1AGMAdABJAG4AZwByAGUAZABpAGUAbgB0AFAAZQByAGMAZQBuAHQAMwAgACoAIAAxADAAIABeACAALQAgADMAXABuACAAIAAgACAAIAAgACAAIAApAFwAbgAgACAAIAAgACAAIAApAFwAbgAgACAAIAAgACkALABcAG4AIAAgACAAIABGAGUAcgB0AGkAbABpAHMAZQByAF8ASQBuAHAAdQB0AEYAdQBuAGMAdABpAG8AbgBzAC4ARgBlAHIAdABpAGwAaQBzAGUAcgBfAFMAdQBtAFAAcgBvAGQAdQBjAHQAQQBwAHAAbABpAGUAZAAoAFwAbgAgACAAIAAgACAAIABDAGgAZQBtAGkAYwBhAGwAQwBvAG0AcABvAHUAbgBkACwAXABuACAAIAAgACAAIAAgAFAAcgBvAGQAdQBjAHQASQBuAGcAcgBlAGQAaQBlAG4AdAAxACwAXABuACAAIAAgACAAIAAgAGMAYQBsAGMAdQBsAGEAdABlAGQAQQBtAG8AdQBuAHQAMQBcAG4AIAAgACAAIAApACAAKwAgAEkARgBFAFIAUgBPAFIAKABcAG4AIAAgACAAIAAgACAARgBlAHIAdABpAGwAaQBzAGUAcgBfAEkAbgBwAHUAdABGAHUAbgBjAHQAaQBvAG4AcwAuAEYAZQByAHQAaQBsAGkAcwBlAHIAXwBTAHUAbQBQAHIAbwBkAHUAYwB0AEEAcABwAGwAaQBlAGQAKABcAG4AIAAgACAAIAAgACAAIAAgAEMAaABlAG0AaQBjAGEAbABDAG8AbQBwAG8AdQBuAGQALABcAG4AIAAgACAAIAAgACAAIAAgAFAAcgBvAGQAdQBjAHQASQBuAGcAcgBlAGQAaQBlAG4AdAAyACwAXABuACAAIAAgACAAIAAgACAAIABjAGEAbABjAHUAbABhAHQAZQBkAEEAbQBvAHUAbgB0ADIAXABuACAAIAAgACAAIAAgACkALABcAG4AIAAgACAAIAAgACAAMABcAG4AIAAgACAAIAApACAAKwAgAEkARgBFAFIAUgBPAFIAKABcAG4AIAAgACAAIAAgACAARgBlAHIAdABpAGwAaQBzAGUAcgBfAEkAbgBwAHUAdABGAHUAbgBjAHQAaQBvAG4AcwAuAEYAZQByAHQAaQBsAGkAcwBlAHIAXwBTAHUAbQBQAHIAbwBkAHUAYwB0AEEAcABwAGwAaQBlAGQAKABcAG4AIAAgACAAIAAgACAAIAAgAEMAaABlAG0AaQBjAGEAbABDAG8AbQBwAG8AdQBuAGQALABcAG4AIAAgACAAIAAgACAAIAAgAFAAcgBvAGQAdQBjAHQASQBuAGcAcgBlAGQAaQBlAG4AdAAzACwAXABuACAAIAAgACAAIAAgACAAIABjAGEAbABjAHUAbABhAHQAZQBkAEEAbQBvAHUAbgB0ADMAXABuACAAIAAgACAAIAAgACkALABcAG4AIAAgACAAIAAgACAAMABcAG4AIAAgACAAIAApAFwAbgAgACAAKQBcAG4AKQAiAH0ALAB7ACIAcABhAHQAaAAiADoAIgAvAHAAcgBvAGoAZQBjAHQAcwAvAEYAZQByAHQAaQBsAGkAcwBlAHIAXwBFAHEAdQBhAHQAaQBvAG4AcwBfAEkAbgBvAHIAZwBhAG4AaQBjAE4AMgBPACIALAAiAHQAZQB4AHQAIgA6ACIALwAqAFwAbgA9AD0APQA9AD0APQA9AD0APQA9AD0APQA9AD0APQA9AD0APQA9AD0APQA9AD0APQA9AD0APQA9AD0APQA9AD0APQA9AD0APQA9AD0AXABuADUAOgAgAEYAZQByAHQAaQBsAGkAcwBlAHIAIABVAHMAZQBcAG4APQA9AD0APQA9AD0APQA9AD0APQA9AD0APQA9AD0APQA9AD0APQA9AD0APQA9AD0APQA9AD0APQA9AD0APQA9AD0APQA9AD0APQA9AFwAbgA1AC4AMQAgAEkAbgBvAHIAZwBhAG4AaQBjACAAZgBlAHIAdABpAGwAaQBzAGUAcgAgAGEAcABwAGwAaQBjAGEAdABpAG8AbgBcAG4APQA9AD0APQA9AD0APQA9AD0APQA9AD0APQA9AD0APQA9AD0APQA9AD0APQA9AD0APQA9AD0APQA9AD0APQA9AD0APQA9AD0APQA9AFwAbgAqAC8AXABuAFwAbgAvACoAIABcAG4ALQAtAC0ALQAtAC0ALQAtAC0ALQAtAC0ALQAtAC0ALQAtAC0ALQAtAC0ALQAtAC0ALQAtAC0ALQAtAC0ALQAtAC0ALQAtAC0ALQAtAFwAbgBWAEUARQBSAEcAXwA1AF8AMQBfADEAXwAxAF8AXwAxAF8ASQBuAG8AcgBnAGEAbgBpAGMARgBlAHIAdABpAGwAaQBzAGUAcgBBAHAAcABsAGkAYwBhAHQAaQBvAG4ATgAyAE8ARQBtAGkAcwBzAGkAbwBuAHMAXABuAE4AaQB0AHIAbwB1AHMAIABvAHgAaQBkAGUAIABlAG0AaQBzAHMAaQBvAG4AcwAgAGYAcgBvAG0AIAB0AGgAZQAgAGEAcABwAGwAaQBjAGEAdABpAG8AbgAgAG8AZgAgAGEAbABsACAAaQBuAG8AcgBnAGEAbgBpAGMAIABmAGUAcgB0AGkAbABpAHMAZQByACAAdAB5AHAAZQBzACAAZgAgAHQAbwAgAGEAbABsACAAcAByAG8AZAB1AGMAdABpAG8AbgAgAHMAeQBzAHQAZQBtAHMAIABqAFwAbgBFAF8ATgAyAE8AXABuAHQAIABOADIATwBcAG4AXABcAHMAdQBtAF8AewBqAH0AXABcAHMAdQBtAF8AewBmAH0AKAAoAE0ATgBfAHsAagBmAH0AXABcAHQAaQBtAGUAcwAgAEUARgBfAHsAagAsAE4AMgBPAH0AXABcAHQAaQBtAGUAcwAgAEMAXwB7AE4AMgBPAH0AKQBcAFwAdABpAG0AZQBzACAAMQAwAF4AewAtADMAfQApAFwAbgBNAE4AXwBqAGYAXABuAEUARgBfAGoATgAyAE8AXABuAEMAXwBOADIATwBcAG4AagBcAG4AZgBcAG4ALQAtAC0ALQAtAC0ALQAtAC0ALQAtAC0ALQAtAC0ALQAtAC0ALQAtAC0ALQAtAC0ALQAtAC0ALQAtAC0ALQAtAC0ALQAtAC0ALQAtAFwAbgAqAC8AXABuAFwAbgBWAEUARQBSAEcAXwA1AF8AMQBfADEAXwAxAF8AXwAxAF8ASQBuAG8AcgBnAGEAbgBpAGMARgBlAHIAdABpAGwAaQBzAGUAcgBBAHAAcABsAGkAYwBhAHQAaQBvAG4ATgAyAE8ARQBtAGkAcwBzAGkAbwBuAHMAXABuACAAIAA9AEwAQQBNAEIARABBACgAXABuACAAIAAgACAATQBOAF8AagBmACwAIABFAEYAXwBqAE4AMgBPACwAIABDAF8ATgAyAE8ALABcAG4AIAAgACAAIAAoAE0ATgBfAGoAZgAgACoAIABFAEYAXwBqAE4AMgBPACAAKgAgAEMAXwBOADIATwApACAAKgAgADEAMAAgAF4AIAAtADMAXABuACAAIAApADsAXABuAFwAbgBWAEUARQBSAEcAXwA1AF8AMQBfADEAXwAxAF8AXwAxAF8ASQBuAG8AcgBnAGEAbgBpAGMARgBlAHIAdABpAGwAaQBzAGUAcgBBAHAAcABsAGkAYwBhAHQAaQBvAG4ATgAyAE8ARQBtAGkAcwBzAGkAbwBuAHMAXwBUAGkAdABsAGUAXABuACAAIAA9AEwAQQBNAEIARABBACgAXAAiAE4AaQB0AHIAbwB1AHMAIABvAHgAaQBkAGUAIABlAG0AaQBzAHMAaQBvAG4AcwAgAGYAcgBvAG0AIAB0AGgAZQAgAGEAcABwAGwAaQBjAGEAdABpAG8AbgAgAG8AZgAgAGEAbABsACAAaQBuAG8AcgBnAGEAbgBpAGMAIABmAGUAcgB0AGkAbABpAHMAZQByACAAdAB5AHAAZQBzACAAZgAgAHQAbwAgAGEAbABsACAAcAByAG8AZAB1AGMAdABpAG8AbgAgAHMAeQBzAHQAZQBtAHMAIABqAFwAIgApADsAXABuAFwAbgBWAEUARQBSAEcAXwA1AF8AMQBfADEAXwAxAF8AXwAxAF8ASQBuAG8AcgBnAGEAbgBpAGMARgBlAHIAdABpAGwAaQBzAGUAcgBBAHAAcABsAGkAYwBhAHQAaQBvAG4ATgAyAE8ARQBtAGkAcwBzAGkAbwBuAHMAXwBWAGEAcgBpAGEAYgBsAGUAXABuACAAIAA9AEwAQQBNAEIARABBACgAXAAiAEUAXwBOADIATwBcACIAKQA7AFwAbgBcAG4AVgBFAEUAUgBHAF8ANQBfADEAXwAxAF8AMQBfAF8AMQBfAEkAbgBvAHIAZwBhAG4AaQBjAEYAZQByAHQAaQBsAGkAcwBlAHIAQQBwAHAAbABpAGMAYQB0AGkAbwBuAE4AMgBPAEUAbQBpAHMAcwBpAG8AbgBzAF8AVQBuAGkAdABcAG4AIAAgAD0ATABBAE0AQgBEAEEAKABcACIAdAAgAE4AMgBPAFwAIgApADsAXABuAFwAbgBWAEUARQBSAEcAXwA1AF8AMQBfADEAXwAxAF8AXwAxAF8ASQBuAG8AcgBnAGEAbgBpAGMARgBlAHIAdABpAGwAaQBzAGUAcgBBAHAAcABsAGkAYwBhAHQAaQBvAG4ATgAyAE8ARQBtAGkAcwBzAGkAbwBuAHMAXwBTAG8AdQByAGMAZQBcAG4AIAAgAD0ATABBAE0AQgBEAEEAKABcACIAVgBFAEUAUgBHACAAMgAwADIANgA6ACAANQAuADEALgAxAC4AMQAsACAARQBxAHUAYQB0AGkAbwBuACAAKAAxACkAXAAiACkAOwBcAG4AXABuAFYARQBFAFIARwBfADUAXwAxAF8AMQBfADEAXwBfADEAXwBJAG4AbwByAGcAYQBuAGkAYwBGAGUAcgB0AGkAbABpAHMAZQByAEEAcABwAGwAaQBjAGEAdABpAG8AbgBOADIATwBFAG0AaQBzAHMAaQBvAG4AcwBfAE4ASQBSAFIAZQBmAGUAcgBlAG4AYwBlAFwAbgAgACAAPQBMAEEATQBCAEQAQQAoAFwAIgBcACIAKQA7AFwAbgBcAG4AVgBFAEUAUgBHAF8ANQBfADEAXwAxAF8AMQBfAF8AMQBfAEkAbgBvAHIAZwBhAG4AaQBjAEYAZQByAHQAaQBsAGkAcwBlAHIAQQBwAHAAbABpAGMAYQB0AGkAbwBuAE4AMgBPAEUAbQBpAHMAcwBpAG8AbgBzAF8ATABhAHQAZQB4AEUAcQB1AGEAdABpAG8AbgBcAG4AIAAgAD0ATABBAE0AQgBEAEEAKABcACIARQBfAHsATgAyAE8AfQA9AFwAXABzAHUAbQBfAHsAagB9AFwAXABzAHUAbQBfAHsAZgB9ACgAKABNAE4AXwB7AGoAZgB9AFwAXAB0AGkAbQBlAHMAIABFAEYAXwB7AGoALABOADIATwB9AFwAXAB0AGkAbQBlAHMAIABDAF8AewBOADIATwB9ACkAXABcAHQAaQBtAGUAcwAgADEAMABeAHsALQAzAH0AKQBcACIAKQA7AFwAbgBcAG4AVgBFAEUAUgBHAF8ANQBfADEAXwAxAF8AMQBfAF8AMQBfAEkAbgBvAHIAZwBhAG4AaQBjAEYAZQByAHQAaQBsAGkAcwBlAHIAQQBwAHAAbABpAGMAYQB0AGkAbwBuAE4AMgBPAEUAbQBpAHMAcwBpAG8AbgBzAF8AQQByAGcAdQBtAGUAbgB0AHMAXABuACAAIAA9AEwAQQBNAEIARABBACgAXABuACAAIAAgACAATQBBAEsARQBBAFIAUgBBAFkAKAA3ACwAIAA0ACwAIABcAG4AIAAgACAAIAAgACAATABBAE0AQgBEAEEAKAByACwAYwAsACAAXABuACAAIAAgACAAIAAgACAAIABJAE4ARABFAFgAKAB7AFwAbgAgACAAIAAgACAAIAAgACAAIAAgAFwAIgBNAE4AXwBqAGYAXAAiACwAXAAiAG0AYQBzAHMAIABvAGYAIABuAGkAdAByAG8AZwBlAG4AIABpAG4AIABpAG4AbwByAGcAYQBuAGkAYwAgAGYAZQByAHQAaQBsAGkAcwBlAHIAIAB0AHkAcABlACAAZgAgAGEAcABwAGwAaQBlAGQAIAB0AG8AIABwAHIAbwBkAHUAYwB0AGkAbwBuACAAcwB5AHMAdABlAG0AIABqAFwAIgAsACAAXAAiAGsAZwAgAE4AXAAiACwAIABcACIAQwBhAGwAYwB1AGwAYQB0AGUAZAAgAGYAcgBvAG0AIAA1AC4AMQAuADEALgAxACAAKAAyACkAXAAiADsAXABuACAAIAAgACAAIAAgACAAIAAgACAAXAAiAEUARgBfAGoATgAyAE8AXAAiACwAXAAiAGUAbQBpAHMAcwBpAG8AbgAgAGYAYQBjAHQAbwByACAAZgBvAHIAIABuAGkAdAByAG8AdQBzACAAbwB4AGkAZABlACAAZgBvAHIAIABpAG4AbwByAGcAYQBuAGkAYwAgAGYAZQByAHQAaQBsAGkAcwBlAHIAcwBcACIALAAgAFwAIgBrAGcAIABOADIATwAtAE4ALwBrAGcAIABOACAAYQBwAHAAbABpAGUAZABcACIALAAgAFwAIgBDAG8AbgBzAHQAYQBuAHQAXAAiADsAXABuACAAIAAgACAAIAAgACAAIAAgACAAXAAiAEMAXwBOADIATwBcACIALABcACIAZgBhAGMAdABvAHIAIAB0AG8AIABjAG8AbgB2AGUAcgB0ACAAZQBsAGUAbQBlAG4AdABhAGwAIABtAGEAcwBzACAAbwBmACAAbgBpAHQAcgBvAHUAcwAgAG8AeABpAGQAZQAgAHQAbwAgAG0AbwBsAGUAYwB1AGwAYQByACAAbQBhAHMAcwBcACIALAAgAFwAIgBcACIALAAgAFwAIgBDAG8AbgBzAHQAYQBuAHQAXAAiADsAXABuACAAIAAgACAAIAAgACAAIAAgACAAXAAiAGoAXAAiACwAXAAiAFAAcgBvAGQAdQBjAHQAaQBvAG4AIABzAHkAcwB0AGUAbQBcACIALAAgAFwAIgBcACIALAAgAFwAIgBJAG4AcAB1AHQAXAAiADsAXABuACAAIAAgACAAIAAgACAAIAAgACAAXAAiAGYAXAAiACwAXAAiAEkAbgBvAHIAZwBhAG4AaQBjACAAZgBlAHIAdABpAGwAaQBzAGUAcgAgAHQAeQBwAGUAXAAiACwAIABcACIAXAAiACwAIABcACIAQwBvAG4AcwB0AGEAbgB0AFwAIgA7AFwAbgAgACAAIAAgACAAIAAgACAAIAAgAFwAIgBpAHIAXAAiACwAIABcACIAaQByAHIAaQBnAGEAdABpAG8AbgAgAG0AZQB0AGgAbwBkAFwAIgAsACAAXAAiAFwAIgAsACAAXAAiAEkAbgBwAHUAdABcACIAOwBcAG4AIAAgACAAIAAgACAAIAAgACAAIABcACIAegBcACIALAAgAFwAIgByAGEAaQBuAGYAYQBsAGwAIAB6AG8AbgBlAFwAIgAsACAAXAAiAFwAIgAsACAAXAAiAEkAbgBwAHUAdABcACIAXABuACAAIAAgACAAIAAgACAAIAB9ACwAIAByACwAIABjACkAXABuACAAIAAgACAAIAAgACkAXABuACAAIAAgACAAKQBcAG4AIAAgACkAOwBcAG4AXABuAFYARQBFAFIARwBfADUAXwAxAF8AMQBfADEAXwBfADEAXwBJAG4AbwByAGcAYQBuAGkAYwBGAGUAcgB0AGkAbABpAHMAZQByAEEAcABwAGwAaQBjAGEAdABpAG8AbgBOADIATwBFAG0AaQBzAHMAaQBvAG4AcwBfAEEAcgBnAHUAbQBlAG4AdABzAF8ATQBlAHQAaABvAGQAMgBcAG4AIAAgAD0ATABBAE0AQgBEAEEAKABcAG4AIAAgACAAIABNAEEASwBFAEEAUgBSAEEAWQAoADgALAAgADQALAAgAFwAbgAgACAAIAAgACAAIABMAEEATQBCAEQAQQAoAHIALABjACwAIABcAG4AIAAgACAAIAAgACAAIAAgAEkATgBEAEUAWAAoAHsAXABuACAAIAAgACAAIAAgACAAIAAgACAAXAAiAE0ATgBfAGoAZgBcACIALABcACIAbQBhAHMAcwAgAG8AZgAgAG4AaQB0AHIAbwBnAGUAbgAgAGkAbgAgAGkAbgBvAHIAZwBhAG4AaQBjACAAZgBlAHIAdABpAGwAaQBzAGUAcgAgAHQAeQBwAGUAIABmACAAYQBwAHAAbABpAGUAZAAgAHQAbwAgAHAAcgBvAGQAdQBjAHQAaQBvAG4AIABzAHkAcwB0AGUAbQAgAGoAXAAiACwAIABcACIAawBnACAATgBcACIALAAgAFwAIgBDAGEAbABjAHUAbABhAHQAZQBkACAAZgByAG8AbQAgADUALgAxAC4AMQAuADEAIAAoADIAKQBcACIAOwBcAG4AIAAgACAAIAAgACAAIAAgACAAIABcACIARQBGAF8AagBOADIATwBcACIALABcACIAZQBtAGkAcwBzAGkAbwBuACAAZgBhAGMAdABvAHIAIABmAG8AcgAgAG4AaQB0AHIAbwB1AHMAIABvAHgAaQBkAGUAIABmAG8AcgAgAGkAbgBvAHIAZwBhAG4AaQBjACAAZgBlAHIAdABpAGwAaQBzAGUAcgBzAFwAIgAsACAAXAAiAGsAZwAgAE4AMgBPAC0ATgAvAGsAZwAgAE4AIABhAHAAcABsAGkAZQBkAFwAIgAsACAAXAAiAEMAYQBsAGMAdQBsAGEAdABlAGQAIABmAHIAbwBtACAANQAuADEALgAxAC4AMgAgACgAMQApACgAMgApACgAMwApAFwAIgA7AFwAbgAgACAAIAAgACAAIAAgACAAIAAgAFwAIgBDAF8ATgAyAE8AXAAiACwAXAAiAGYAYQBjAHQAbwByACAAdABvACAAYwBvAG4AdgBlAHIAdAAgAGUAbABlAG0AZQBuAHQAYQBsACAAbQBhAHMAcwAgAG8AZgAgAG4AaQB0AHIAbwB1AHMAIABvAHgAaQBkAGUAIAB0AG8AIABtAG8AbABlAGMAdQBsAGEAcgAgAG0AYQBzAHMAXAAiACwAIABcACIAXAAiACwAIABcACIAQwBvAG4AcwB0AGEAbgB0AFwAIgA7AFwAbgAgACAAIAAgACAAIAAgACAAIAAgAFwAIgBqAFwAIgAsAFwAIgBQAHIAbwBkAHUAYwB0AGkAbwBuACAAcwB5AHMAdABlAG0AXAAiACwAIABcACIAXAAiACwAIABcACIASQBuAHAAdQB0AFwAIgA7AFwAbgAgACAAIAAgACAAIAAgACAAIAAgAFwAIgBjAFwAIgAsAFwAIgBDAHIAbwBwACAAdAB5AHAAZQBcACIALAAgAFwAIgBcACIALAAgAFwAIgBJAG4AcAB1AHQAXAAiADsAXABuACAAIAAgACAAIAAgACAAIAAgACAAXAAiAGYAXAAiACwAXAAiAEkAbgBvAHIAZwBhAG4AaQBjACAAZgBlAHIAdABpAGwAaQBzAGUAcgAgAHQAeQBwAGUAXAAiACwAIABcACIAXAAiACwAIABcACIAQwBvAG4AcwB0AGEAbgB0AFwAIgA7AFwAbgAgACAAIAAgACAAIAAgACAAIAAgAFwAIgBpAHIAXAAiACwAIABcACIAaQByAHIAaQBnAGEAdABpAG8AbgAgAG0AZQB0AGgAbwBkAFwAIgAsACAAXAAiAFwAIgAsACAAXAAiAEkAbgBwAHUAdABcACIAOwBcAG4AIAAgACAAIAAgACAAIAAgACAAIABcACIAegBcACIALAAgAFwAIgByAGEAaQBuAGYAYQBsAGwAIAB6AG8AbgBlAFwAIgAsACAAXAAiAFwAIgAsACAAXAAiAEkAbgBwAHUAdABcACIAXABuACAAIAAgACAAIAAgACAAIAB9ACwAIAByACwAIABjACkAXABuACAAIAAgACAAIAAgACkAXABuACAAIAAgACAAKQBcAG4AIAAgACkAOwBcAG4AXABuAC8AKgAgAFwAbgAtAC0ALQAtAC0ALQAtAC0ALQAtAC0ALQAtAC0ALQAtAC0ALQAtAC0ALQAtAC0ALQAtAC0ALQAtAC0ALQAtAC0ALQAtAC0ALQAtAC0AXABuAFYARQBFAFIARwBfADUAXwAxAF8AMQBfADEAXwBfADIAXwBNAGEAcwBzAE8AZgBOAGkAdAByAG8AZwBlAG4ASQBuAEkAbgBvAHIAZwBhAG4AaQBjAEYAZQByAHQAaQBsAGkAcwBlAHIAXABuAE0AYQBzAHMAIABvAGYAIABuAGkAdAByAG8AZwBlAG4AIABpAG4AIABpAG4AbwByAGcAYQBuAGkAYwAgAGYAZQByAHQAaQBsAGkAcwBlAHIAIABhAHAAcABsAGkAZQBkACAAdABvACAAcAByAG8AZAB1AGMAdABpAG8AbgAgAHMAeQBzAHQAZQBtAFwAbgBNAE4AXwBqAGYAXABuAGsAZwAgAE4AXABuAHsATQBOAH0AXwB7AGoAZgB9AD0AVABNAF8AewBqAGYAfQBcAFwAdABpAG0AZQBzACAARgBOAF8AewBpAG4AbwByAGcAYQBuAGkAYwAsAGYAfQBcAG4AVABNAF8AagBmAFwAbgBGAE4AXwBpAG4AbwByAGcAYQBuAGkAYwBmAFwAbgBqAFwAbgBpAG4AbwByAGcAYQBuAGkAYwBcAG4AZgBcAG4ALQAtAC0ALQAtAC0ALQAtAC0ALQAtAC0ALQAtAC0ALQAtAC0ALQAtAC0ALQAtAC0ALQAtAC0ALQAtAC0ALQAtAC0ALQAtAC0ALQAtAFwAbgAqAC8AXABuAFwAbgBWAEUARQBSAEcAXwA1AF8AMQBfADEAXwAxAF8AXwAyAF8ATQBhAHMAcwBPAGYATgBpAHQAcgBvAGcAZQBuAEkAbgBJAG4AbwByAGcAYQBuAGkAYwBGAGUAcgB0AGkAbABpAHMAZQByAFwAbgAgACAAPQBMAEEATQBCAEQAQQAoAFwAbgAgACAAIAAgAFQATQBfAGoAZgAsACAARgBOAF8AaQBuAG8AcgBnAGEAbgBpAGMAZgAsAFwAbgAgACAAIAAgAFQATQBfAGoAZgAgACoAIABGAE4AXwBpAG4AbwByAGcAYQBuAGkAYwBmAFwAbgAgACAAKQA7AFwAbgBcAG4AVgBFAEUAUgBHAF8ANQBfADEAXwAxAF8AMQBfAF8AMgBfAE0AYQBzAHMATwBmAE4AaQB0AHIAbwBnAGUAbgBJAG4ASQBuAG8AcgBnAGEAbgBpAGMARgBlAHIAdABpAGwAaQBzAGUAcgBfAFQAaQB0AGwAZQBcAG4AIAAgAD0ATABBAE0AQgBEAEEAKABcACIATQBhAHMAcwAgAG8AZgAgAG4AaQB0AHIAbwBnAGUAbgAgAGkAbgAgAGkAbgBvAHIAZwBhAG4AaQBjACAAZgBlAHIAdABpAGwAaQBzAGUAcgAgAGEAcABwAGwAaQBlAGQAIAB0AG8AIABwAHIAbwBkAHUAYwB0AGkAbwBuACAAcwB5AHMAdABlAG0AXAAiACkAOwBcAG4AXABuAFYARQBFAFIARwBfADUAXwAxAF8AMQBfADEAXwBfADIAXwBNAGEAcwBzAE8AZgBOAGkAdAByAG8AZwBlAG4ASQBuAEkAbgBvAHIAZwBhAG4AaQBjAEYAZQByAHQAaQBsAGkAcwBlAHIAXwBWAGEAcgBpAGEAYgBsAGUAXABuACAAIAA9AEwAQQBNAEIARABBACgAXAAiAE0ATgBfAGoAZgBcACIAKQA7AFwAbgBcAG4AVgBFAEUAUgBHAF8ANQBfADEAXwAxAF8AMQBfAF8AMgBfAE0AYQBzAHMATwBmAE4AaQB0AHIAbwBnAGUAbgBJAG4ASQBuAG8AcgBnAGEAbgBpAGMARgBlAHIAdABpAGwAaQBzAGUAcgBfAFUAbgBpAHQAXABuACAAIAA9AEwAQQBNAEIARABBACgAXAAiAGsAZwAgAE4AXAAiACkAOwBcAG4AXABuAFYARQBFAFIARwBfADUAXwAxAF8AMQBfADEAXwBfADIAXwBNAGEAcwBzAE8AZgBOAGkAdAByAG8AZwBlAG4ASQBuAEkAbgBvAHIAZwBhAG4AaQBjAEYAZQByAHQAaQBsAGkAcwBlAHIAXwBTAG8AdQByAGMAZQBcAG4AIAAgAD0ATABBAE0AQgBEAEEAKABcACIAVgBFAEUAUgBHACAAMgAwADIANgA6ACAANQAuADEALgAxAC4AMQAsACAARQBxAHUAYQB0AGkAbwBuACAAKAAyACkAXAAiACkAOwBcAG4AXABuAFYARQBFAFIARwBfADUAXwAxAF8AMQBfADEAXwBfADIAXwBNAGEAcwBzAE8AZgBOAGkAdAByAG8AZwBlAG4ASQBuAEkAbgBvAHIAZwBhAG4AaQBjAEYAZQByAHQAaQBsAGkAcwBlAHIAXwBOAEkAUgBSAGUAZgBlAHIAZQBuAGMAZQBcAG4AIAAgAD0ATABBAE0AQgBEAEEAKABcACIAXAAiACkAOwBcAG4AXABuAFYARQBFAFIARwBfADUAXwAxAF8AMQBfADEAXwBfADIAXwBNAGEAcwBzAE8AZgBOAGkAdAByAG8AZwBlAG4ASQBuAEkAbgBvAHIAZwBhAG4AaQBjAEYAZQByAHQAaQBsAGkAcwBlAHIAXwBMAGEAdABlAHgARQBxAHUAYQB0AGkAbwBuAFwAbgAgACAAPQBMAEEATQBCAEQAQQAoAFwAIgB7AE0ATgB9AF8AewBqAGYAfQA9AFQATQBfAHsAagBmAH0AXABcAHQAaQBtAGUAcwAgAEYATgBfAHsAaQBuAG8AcgBnAGEAbgBpAGMALABmAH0AXAAiACkAOwBcAG4AXABuAFYARQBFAFIARwBfADUAXwAxAF8AMQBfADEAXwBfADIAXwBNAGEAcwBzAE8AZgBOAGkAdAByAG8AZwBlAG4ASQBuAEkAbgBvAHIAZwBhAG4AaQBjAEYAZQByAHQAaQBsAGkAcwBlAHIAXwBBAHIAZwB1AG0AZQBuAHQAcwBcAG4AIAAgAD0ATABBAE0AQgBEAEEAKABcAG4AIAAgACAAIABNAEEASwBFAEEAUgBSAEEAWQAoADIALAAgADQALAAgAFwAbgAgACAAIAAgACAAIABMAEEATQBCAEQAQQAoAHIALABjACwAIABcAG4AIAAgACAAIAAgACAAIAAgAEkATgBEAEUAWAAoAHsAXABuACAAIAAgACAAIAAgACAAIAAgACAAXAAiAFQATQBfAGoAZgBcACIALABcACIAdABvAHQAYQBsACAAbQBhAHMAcwAgAG8AZgAgAGkAbgBvAHIAZwBhAG4AaQBjACAAZgBlAHIAdABpAGwAaQBzAGUAcgAgAHQAeQBwAGUAIABmACAAYQBwAHAAbABpAGUAZAAgAHQAbwAgAHAAcgBvAGQAdQBjAHQAaQBvAG4AIABzAHkAcwB0AGUAbQAgAGoAXAAiACwAIABcACIAawBnAFwAIgAsACAAXAAiAEkAbgBwAHUAdABcACIAOwBcAG4AIAAgACAAIAAgACAAIAAgACAAIABcACIARgBOAF8AaQBuAG8AcgBnAGEAbgBpAGMAZgBcACIALABcACIAZgByAGEAYwB0AGkAbwBuACAAbwBmACAAbgBpAHQAcgBvAGcAZQBuACAAaQBuACAAaQBuAG8AcgBnAGEAbgBpAGMAIABmAGUAcgB0AGkAbABpAHMAZQByACAAdAB5AHAAZQAgAGYAIABcACIALAAgAFwAIgBrAGcAIABOAC8AawBnAFwAIgAsACAAXAAiAEMAbwBuAHMAdABhAG4AdABcACIAXABuACAAIAAgACAAIAAgACAAIAB9ACwAIAByACwAIABjACkAXABuACAAIAAgACAAIAAgACkAXABuACAAIAAgACAAKQBcAG4AIAAgACkAOwBcAG4AXABuAFwAbgAvACoAIABcAG4ALQAtAC0ALQAtAC0ALQAtAC0ALQAtAC0ALQAtAC0ALQAtAC0ALQAtAC0ALQAtAC0ALQAtAC0ALQAtAC0ALQAtAC0ALQAtAC0ALQAtAFwAbgBWAEUARQBSAEcAXwA1AF8AMQBfADEAXwAyAF8AXwAxAF8ARQBtAGkAcwBzAGkAbwBuAEYAYQBjAHQAbwByAEkAcgByAGkAZwBhAHQAZQBkAE0AYQBpAHoAZQBcAG4ARQBtAGkAcwBzAGkAbwBuACAAZgBhAGMAdABvAHIAIABmAG8AcgAgAG4AaQB0AHIAbwB1AHMAIABvAHgAaQBkAGUAIABmAG8AcgAgAGkAcgByAGkAZwBhAHQAZQBkACAAbQBhAGkAegBlAFwAbgBFAEYAXwBmAGoASQByAHIAaQBnAGEAdABlAGQATQBhAGkAegBlAE4AMgBPAFwAbgBrAGcAIABOADIATwAtAE4ALwBrAGcAIABOACAAYQBwAHAAbABpAGUAZABcAG4ARQBGAF8AewBmAGoAPQBpAHIAcgBpAGcAYQB0AGUAZABtAGEAaQB6AGUALABOADIATwB9AD0AKAAtADAALgAxADQANwA0ACsAKAAwAC4AMAAwADYAMQBcAFwAdABpAG0AZQBzACAATgBfAHsAZgBqAD0AaQByAHIAaQBnAGEAdABlAGQAbQBhAGkAegBlAH0AKQApAFwAXAB0AGkAbQBlAHMAIAAxADAAXgB7AC0AMgB9AFwAbgBOAF8AZgBqAEkAcgByAGkAZwBhAHQAZQBkAE0AYQBpAHoAZQBcAG4AZgBcAG4ALQAtAC0ALQAtAC0ALQAtAC0ALQAtAC0ALQAtAC0ALQAtAC0ALQAtAC0ALQAtAC0ALQAtAC0ALQAtAC0ALQAtAC0ALQAtAC0ALQAtAFwAbgAqAC8AXABuAFwAbgBWAEUARQBSAEcAXwA1AF8AMQBfADEAXwAyAF8AXwAxAF8ARQBtAGkAcwBzAGkAbwBuAEYAYQBjAHQAbwByAEkAcgByAGkAZwBhAHQAZQBkAE0AYQBpAHoAZQBcAG4AIAAgAD0ATABBAE0AQgBEAEEAKABcAG4AIAAgACAAIABOAF8AZgBqAEkAcgByAGkAZwBhAHQAZQBkAE0AYQBpAHoAZQAsAFwAbgAgACAAIAAgACgALQAwAC4AMQA0ADcANAAgACsAIAAoADAALgAwADAANgAxACAAKgAgAE4AXwBmAGoASQByAHIAaQBnAGEAdABlAGQATQBhAGkAegBlACkAKQAgACoAIAAxADAAIABeACAALQAyAFwAbgAgACAAKQA7AFwAbgBcAG4AVgBFAEUAUgBHAF8ANQBfADEAXwAxAF8AMgBfAF8AMQBfAEUAbQBpAHMAcwBpAG8AbgBGAGEAYwB0AG8AcgBJAHIAcgBpAGcAYQB0AGUAZABNAGEAaQB6AGUAXwBUAGkAdABsAGUAXABuACAAIAA9AEwAQQBNAEIARABBACgAXAAiAEUAbQBpAHMAcwBpAG8AbgAgAGYAYQBjAHQAbwByACAAZgBvAHIAIABuAGkAdAByAG8AdQBzACAAbwB4AGkAZABlACAAZgBvAHIAIABpAHIAcgBpAGcAYQB0AGUAZAAgAG0AYQBpAHoAZQBcACIAKQA7AFwAbgBcAG4AVgBFAEUAUgBHAF8ANQBfADEAXwAxAF8AMgBfAF8AMQBfAEUAbQBpAHMAcwBpAG8AbgBGAGEAYwB0AG8AcgBJAHIAcgBpAGcAYQB0AGUAZABNAGEAaQB6AGUAXwBWAGEAcgBpAGEAYgBsAGUAXABuACAAIAA9AEwAQQBNAEIARABBACgAXAAiAEUARgBfAGYAagBJAHIAcgBpAGcAYQB0AGUAZABNAGEAaQB6AGUATgAyAE8AXAAiACkAOwBcAG4AXABuAFYARQBFAFIARwBfADUAXwAxAF8AMQBfADIAXwBfADEAXwBFAG0AaQBzAHMAaQBvAG4ARgBhAGMAdABvAHIASQByAHIAaQBnAGEAdABlAGQATQBhAGkAegBlAF8AVQBuAGkAdABcAG4AIAAgAD0ATABBAE0AQgBEAEEAKABcACIAawBnACAATgAyAE8ALQBOAC8AawBnACAATgAgAGEAcABwAGwAaQBlAGQAXAAiACkAOwBcAG4AXABuAFYARQBFAFIARwBfADUAXwAxAF8AMQBfADIAXwBfADEAXwBFAG0AaQBzAHMAaQBvAG4ARgBhAGMAdABvAHIASQByAHIAaQBnAGEAdABlAGQATQBhAGkAegBlAF8AUwBvAHUAcgBjAGUAXABuACAAIAA9AEwAQQBNAEIARABBACgAXAAiAFYARQBFAFIARwAgADIAMAAyADYAOgAgADUALgAxAC4AMQAuADIALAAgAEUAcQB1AGEAdABpAG8AbgAgACgAMQApAFwAIgApADsAXABuAFwAbgBWAEUARQBSAEcAXwA1AF8AMQBfADEAXwAyAF8AXwAxAF8ARQBtAGkAcwBzAGkAbwBuAEYAYQBjAHQAbwByAEkAcgByAGkAZwBhAHQAZQBkAE0AYQBpAHoAZQBfAE4ASQBSAFIAZQBmAGUAcgBlAG4AYwBlAFwAbgAgACAAPQBMAEEATQBCAEQAQQAoAFwAIgBcACIAKQA7AFwAbgBcAG4AVgBFAEUAUgBHAF8ANQBfADEAXwAxAF8AMgBfAF8AMQBfAEUAbQBpAHMAcwBpAG8AbgBGAGEAYwB0AG8AcgBJAHIAcgBpAGcAYQB0AGUAZABNAGEAaQB6AGUAXwBMAGEAdABlAHgARQBxAHUAYQB0AGkAbwBuAFwAbgAgACAAPQBMAEEATQBCAEQAQQAoAFwAIgBFAEYAXwB7AGYAagA9AGkAcgByAGkAZwBhAHQAZQBkAG0AYQBpAHoAZQAsAE4AMgBPAH0APQAoAC0AMAAuADEANAA3ADQAKwAoADAALgAwADAANgAxAFwAXAB0AGkAbQBlAHMAIABOAF8AewBmAGoAPQBpAHIAcgBpAGcAYQB0AGUAZABtAGEAaQB6AGUAfQApACkAXABcAHQAaQBtAGUAcwAgADEAMABeAHsALQAyAH0AXAAiACkAOwBcAG4AXABuAFYARQBFAFIARwBfADUAXwAxAF8AMQBfADIAXwBfADEAXwBFAG0AaQBzAHMAaQBvAG4ARgBhAGMAdABvAHIASQByAHIAaQBnAGEAdABlAGQATQBhAGkAegBlAF8AQQByAGcAdQBtAGUAbgB0AHMAXABuACAAIAA9AEwAQQBNAEIARABBACgAXABuACAAIAAgACAATQBBAEsARQBBAFIAUgBBAFkAKAAyACwAIAA0ACwAIABcAG4AIAAgACAAIAAgACAATABBAE0AQgBEAEEAKAByACwAYwAsACAAXABuACAAIAAgACAAIAAgACAAIABJAE4ARABFAFgAKAB7AFwAbgAgACAAIAAgACAAIAAgACAAIAAgAFwAIgBOAF8AZgBqAEkAcgByAGkAZwBhAHQAZQBkAE0AYQBpAHoAZQBcACIALABcACIAYQBwAHAAbABpAGMAYQB0AGkAbwBuACAAcgBhAHQAZQAgAG8AZgAgAGkAbgBvAHIAZwBhAG4AaQBjACAAZgBlAHIAdABpAGwAaQBzAGUAcgAgAHQAeQBwAGUAIABmACAAaQBuACAAdABoAGUAIABpAHIAcgBpAGcAYQB0AGUAZAAgAG0AYQBpAHoAZQAgAGMAcgBvAHAAXAAiACwAIABcACIAawBnACAATgAvAGgAYQBcACIALAAgAFwAIgBJAG4AcAB1AHQAXAAiADsAXABuACAAIAAgACAAIAAgACAAIAAgACAAXAAiAGYAXAAiACwAXAAiAEkAbgBvAHIAZwBhAG4AaQBjACAAZgBlAHIAdABpAGwAaQBzAGUAcgAgAHQAeQBwAGUAXAAiACwAIABcACIAXAAiACwAIABcACIAQwBvAG4AcwB0AGEAbgB0AFwAIgBcAG4AIAAgACAAIAAgACAAIAAgAH0ALAAgAHIALAAgAGMAKQBcAG4AIAAgACAAIAAgACAAKQBcAG4AIAAgACAAIAApAFwAbgAgACAAKQA7AFwAbgBcAG4ALwAqACAAXABuAC0ALQAtAC0ALQAtAC0ALQAtAC0ALQAtAC0ALQAtAC0ALQAtAC0ALQAtAC0ALQAtAC0ALQAtAC0ALQAtAC0ALQAtAC0ALQAtAC0ALQBcAG4AVgBFAEUAUgBHAF8ANQBfADEAXwAxAF8AMgBfAF8AMgBfAEUAbQBpAHMAcwBpAG8AbgBGAGEAYwB0AG8AcgBOAG8AbgBJAHIAcgBpAGcAYQB0AGUAZABHAHIAYQBpAG4AcwBIAGkAZwBoAFIAYQBpAG4AZgBhAGwAbABcAG4ARQBtAGkAcwBzAGkAbwBuACAAZgBhAGMAdABvAHIAIABmAG8AcgAgAG4AaQB0AHIAbwB1AHMAIABvAHgAaQBkAGUAIABmAG8AcgAgAG4AbwBuAC0AaQByAHIAaQBnAGEAdABlAGQAIABnAHIAYQBpAG4AcwAgAGkAbgAgAGgAaQBnAGgAIAByAGEAaQBuAGYAYQBsAGwAIAB6AG8AbgBlAFwAbgBFAEYAXwBmAGoATgBvAG4ASQByAHIAaQBnAGEAdABlAGQARwByAGEAaQBuAHMATgAyAE8AXABuAGsAZwAgAE4AMgBPAC0ATgAvAGsAZwAgAE4AIABhAHAAcABsAGkAZQBkAFwAbgBFAEYAXwB7AGYAagA9AG4AbwBuAGkAcgByAGkAZwBhAHQAZQBkAGcAcgBhAGkAbgBzACwATgAyAE8AfQA9ACgAMAAuADAANwA4ADEAKwAoADAALgAwADAANwA1AFwAXAB0AGkAbQBlAHMAIABOAF8AewBmAGoAPQBuAG8AbgBpAHIAcgBpAGcAYQB0AGUAZABnAHIAYQBpAG4AcwB9ACkAKQBcAFwAdABpAG0AZQBzACAAMQAwAF4AewAtADIAfQBcAG4ATgBfAGYAagBOAG8AbgBJAHIAcgBpAGcAYQB0AGUAZABHAHIAYQBpAG4AcwBcAG4AZgBcAG4ALQAtAC0ALQAtAC0ALQAtAC0ALQAtAC0ALQAtAC0ALQAtAC0ALQAtAC0ALQAtAC0ALQAtAC0ALQAtAC0ALQAtAC0ALQAtAC0ALQAtAFwAbgAqAC8AXABuAFwAbgBWAEUARQBSAEcAXwA1AF8AMQBfADEAXwAyAF8AXwAyAF8ARQBtAGkAcwBzAGkAbwBuAEYAYQBjAHQAbwByAE4AbwBuAEkAcgByAGkAZwBhAHQAZQBkAEcAcgBhAGkAbgBzAEgAaQBnAGgAUgBhAGkAbgBmAGEAbABsAFwAbgAgACAAPQBMAEEATQBCAEQAQQAoAFwAbgAgACAAIAAgAE4AXwBmAGoATgBvAG4ASQByAHIAaQBnAGEAdABlAGQARwByAGEAaQBuAHMALABcAG4AIAAgACAAIAAoADAALgAwADcAOAAxACAAKwAgACgAMAAuADAAMAA3ADUAIAAqACAATgBfAGYAagBOAG8AbgBJAHIAcgBpAGcAYQB0AGUAZABHAHIAYQBpAG4AcwApACkAIAAqACAAMQAwACAAXgAgAC0AMgBcAG4AIAAgACkAOwBcAG4AXABuAFYARQBFAFIARwBfADUAXwAxAF8AMQBfADIAXwBfADIAXwBFAG0AaQBzAHMAaQBvAG4ARgBhAGMAdABvAHIATgBvAG4ASQByAHIAaQBnAGEAdABlAGQARwByAGEAaQBuAHMASABpAGcAaABSAGEAaQBuAGYAYQBsAGwAXwBUAGkAdABsAGUAXABuACAAIAA9AEwAQQBNAEIARABBACgAXAAiAEUAbQBpAHMAcwBpAG8AbgAgAGYAYQBjAHQAbwByACAAZgBvAHIAIABuAGkAdAByAG8AdQBzACAAbwB4AGkAZABlACAAZgBvAHIAIABuAG8AbgAtAGkAcgByAGkAZwBhAHQAZQBkACAAZwByAGEAaQBuAHMAIABpAG4AIABoAGkAZwBoACAAcgBhAGkAbgBmAGEAbABsACAAegBvAG4AZQBcACIAKQA7AFwAbgBcAG4AVgBFAEUAUgBHAF8ANQBfADEAXwAxAF8AMgBfAF8AMgBfAEUAbQBpAHMAcwBpAG8AbgBGAGEAYwB0AG8AcgBOAG8AbgBJAHIAcgBpAGcAYQB0AGUAZABHAHIAYQBpAG4AcwBIAGkAZwBoAFIAYQBpAG4AZgBhAGwAbABfAFYAYQByAGkAYQBiAGwAZQBcAG4AIAAgAD0ATABBAE0AQgBEAEEAKABcACIARQBGAF8AZgBqAE4AbwBuAEkAcgByAGkAZwBhAHQAZQBkAEcAcgBhAGkAbgBzAE4AMgBPAFwAIgApADsAXABuAFwAbgBWAEUARQBSAEcAXwA1AF8AMQBfADEAXwAyAF8AXwAyAF8ARQBtAGkAcwBzAGkAbwBuAEYAYQBjAHQAbwByAE4AbwBuAEkAcgByAGkAZwBhAHQAZQBkAEcAcgBhAGkAbgBzAEgAaQBnAGgAUgBhAGkAbgBmAGEAbABsAF8AVQBuAGkAdABcAG4AIAAgAD0ATABBAE0AQgBEAEEAKABcACIAawBnACAATgAyAE8ALQBOAC8AawBnACAATgAgAGEAcABwAGwAaQBlAGQAXAAiACkAOwBcAG4AXABuAFYARQBFAFIARwBfADUAXwAxAF8AMQBfADIAXwBfADIAXwBFAG0AaQBzAHMAaQBvAG4ARgBhAGMAdABvAHIATgBvAG4ASQByAHIAaQBnAGEAdABlAGQARwByAGEAaQBuAHMASABpAGcAaABSAGEAaQBuAGYAYQBsAGwAXwBTAG8AdQByAGMAZQBcAG4AIAAgAD0ATABBAE0AQgBEAEEAKABcACIAVgBFAEUAUgBHACAAMgAwADIANgA6ACAANQAuADEALgAxAC4AMgAsACAARQBxAHUAYQB0AGkAbwBuACAAKAAyACkAXAAiACkAOwBcAG4AXABuAFYARQBFAFIARwBfADUAXwAxAF8AMQBfADIAXwBfADIAXwBFAG0AaQBzAHMAaQBvAG4ARgBhAGMAdABvAHIATgBvAG4ASQByAHIAaQBnAGEAdABlAGQARwByAGEAaQBuAHMASABpAGcAaABSAGEAaQBuAGYAYQBsAGwAXwBOAEkAUgBSAGUAZgBlAHIAZQBuAGMAZQBcAG4AIAAgAD0ATABBAE0AQgBEAEEAKABcACIAXAAiACkAOwBcAG4AXABuAFYARQBFAFIARwBfADUAXwAxAF8AMQBfADIAXwBfADIAXwBFAG0AaQBzAHMAaQBvAG4ARgBhAGMAdABvAHIATgBvAG4ASQByAHIAaQBnAGEAdABlAGQARwByAGEAaQBuAHMASABpAGcAaABSAGEAaQBuAGYAYQBsAGwAXwBMAGEAdABlAHgARQBxAHUAYQB0AGkAbwBuAFwAbgAgACAAPQBMAEEATQBCAEQAQQAoAFwAIgBFAEYAXwB7AGYAagA9AG4AbwBuAGkAcgByAGkAZwBhAHQAZQBkAGcAcgBhAGkAbgBzACwATgAyAE8AfQA9ACgAMAAuADAANwA4ADEAKwAoADAALgAwADAANwA1AFwAXAB0AGkAbQBlAHMAIABOAF8AewBmAGoAPQBuAG8AbgBpAHIAcgBpAGcAYQB0AGUAZABnAHIAYQBpAG4AcwB9ACkAKQBcAFwAdABpAG0AZQBzACAAMQAwAF4AewAtADIAfQBcACIAKQA7AFwAbgBcAG4AVgBFAEUAUgBHAF8ANQBfADEAXwAxAF8AMgBfAF8AMgBfAEUAbQBpAHMAcwBpAG8AbgBGAGEAYwB0AG8AcgBOAG8AbgBJAHIAcgBpAGcAYQB0AGUAZABHAHIAYQBpAG4AcwBIAGkAZwBoAFIAYQBpAG4AZgBhAGwAbABfAEEAcgBnAHUAbQBlAG4AdABzAFwAbgAgACAAPQBMAEEATQBCAEQAQQAoAFwAbgAgACAAIAAgAE0AQQBLAEUAQQBSAFIAQQBZACgAMgAsACAANAAsACAAXABuACAAIAAgACAAIAAgAEwAQQBNAEIARABBACgAcgAsAGMALAAgAFwAbgAgACAAIAAgACAAIAAgACAASQBOAEQARQBYACgAewBcAG4AIAAgACAAIAAgACAAIAAgACAAIABcACIATgBfAGYAagBOAG8AbgBJAHIAcgBpAGcAYQB0AGUAZABHAHIAYQBpAG4AcwBcACIALABcACIAYQBwAHAAbABpAGMAYQB0AGkAbwBuACAAcgBhAHQAZQAgAG8AZgAgAGkAbgBvAHIAZwBhAG4AaQBjACAAZgBlAHIAdABpAGwAaQBzAGUAcgAgAHQAeQBwAGUAIABmACAAaQBuACAAdABoAGUAIABnAHIAYQBpAG4AcwAgAGMAcgBvAHAAXAAiACwAIABcACIAawBnACAATgAvAGgAYQBcACIALAAgAFwAIgBJAG4AcAB1AHQAXAAiADsAXABuACAAIAAgACAAIAAgACAAIAAgACAAXAAiAGYAXAAiACwAXAAiAEkAbgBvAHIAZwBhAG4AaQBjACAAZgBlAHIAdABpAGwAaQBzAGUAcgAgAHQAeQBwAGUAXAAiACwAIABcACIAXAAiACwAIABcACIAQwBvAG4AcwB0AGEAbgB0AFwAIgBcAG4AIAAgACAAIAAgACAAIAAgAH0ALAAgAHIALAAgAGMAKQBcAG4AIAAgACAAIAAgACAAKQBcAG4AIAAgACAAIAApAFwAbgAgACAAKQA7AFwAbgBcAG4ALwAqACAAXABuAC0ALQAtAC0ALQAtAC0ALQAtAC0ALQAtAC0ALQAtAC0ALQAtAC0ALQAtAC0ALQAtAC0ALQAtAC0ALQAtAC0ALQAtAC0ALQAtAC0ALQBcAG4AVgBFAEUAUgBHAF8ANQBfADEAXwAxAF8AMgBfAF8AMwBfAEUAbQBpAHMAcwBpAG8AbgBGAGEAYwB0AG8AcgBDAG8AdAB0AG8AbgBcAG4ARQBtAGkAcwBzAGkAbwBuACAAZgBhAGMAdABvAHIAIABmAG8AcgAgAG4AaQB0AHIAbwB1AHMAIABvAHgAaQBkAGUAIABmAG8AcgAgAGMAbwB0AHQAbwBuAFwAbgBFAEYAXwBmAGoAQwBvAHQAdABvAG4ATgAyAE8AXABuAGsAZwAgAE4AMgBPAC0ATgAvAGsAZwAgAE4AIABhAHAAcABsAGkAZQBkAFwAbgBFAEYAXwB7AGYAagA9AGMAbwB0AHQAbwBuACwATgAyAE8AfQA9AFwAXABtAGkAbgBcAFwAbABlAGYAdAAoACgAMAAuADAAMQBcAFwAdABpAG0AZQBzACgAMAAuADIAOQArADAALgAwADAANwBcAFwAdABpAG0AZQBzACgAKABlAF4AewAoADAALgAwADMANwBcAFwAdABpAG0AZQBzACAATgBfAHsAZgBqAD0AYwBvAHQAdABvAG4AfQApAH0ALQAxACkALwBOAF8AewBmAGoAPQBjAG8AdAB0AG8AbgB9ACkAKQApAFwAXAB0AGkAbQBlAHMAIAAxADAAXgB7AC0AMgB9ACwAMAAuADAAMQA4ADMAXABcAHIAaQBnAGgAdAApAFwAbgBOAF8AZgBqAEMAbwB0AHQAbwBuAFwAbgBmAFwAbgAtAC0ALQAtAC0ALQAtAC0ALQAtAC0ALQAtAC0ALQAtAC0ALQAtAC0ALQAtAC0ALQAtAC0ALQAtAC0ALQAtAC0ALQAtAC0ALQAtAC0AXABuACoALwBcAG4AXABuAFYARQBFAFIARwBfADUAXwAxAF8AMQBfADIAXwBfADMAXwBFAG0AaQBzAHMAaQBvAG4ARgBhAGMAdABvAHIAQwBvAHQAdABvAG4AXABuACAAIAA9AEwAQQBNAEIARABBACgAXABuACAAIAAgACAATgBfAGYAagBDAG8AdAB0AG8AbgAsAFwAbgAgACAAIAAgACgAMAAuADAAMQAgACoAIAAoADAALgAyADkAIAArACAAKAAgACAAKAAwAC4AMAAwADcAIAAqACAAKABFAFgAUAAoADAALgAwADMANwAgACoAIABOAF8AZgBqAEMAbwB0AHQAbwBuACkAIAAtACAAMQApACkAIAAvACAATgBfAGYAagBDAG8AdAB0AG8AbgAgACAAKQAgACkAKQAgACoAIAAxADAAIABeACAALQAyAFwAbgAgACAAKQA7AFwAbgBcAG4AVgBFAEUAUgBHAF8ANQBfADEAXwAxAF8AMgBfAF8AMwBfAEUAbQBpAHMAcwBpAG8AbgBGAGEAYwB0AG8AcgBDAG8AdAB0AG8AbgBfAFQAaQB0AGwAZQBcAG4AIAAgAD0ATABBAE0AQgBEAEEAKABcACIARQBtAGkAcwBzAGkAbwBuACAAZgBhAGMAdABvAHIAIABmAG8AcgAgAG4AaQB0AHIAbwB1AHMAIABvAHgAaQBkAGUAIABmAG8AcgAgAGMAbwB0AHQAbwBuAFwAIgApADsAXABuAFwAbgBWAEUARQBSAEcAXwA1AF8AMQBfADEAXwAyAF8AXwAzAF8ARQBtAGkAcwBzAGkAbwBuAEYAYQBjAHQAbwByAEMAbwB0AHQAbwBuAF8AVgBhAHIAaQBhAGIAbABlAFwAbgAgACAAPQBMAEEATQBCAEQAQQAoAFwAIgBFAEYAXwBmAGoAQwBvAHQAdABvAG4ATgAyAE8AXAAiACkAOwBcAG4AXABuAFYARQBFAFIARwBfADUAXwAxAF8AMQBfADIAXwBfADMAXwBFAG0AaQBzAHMAaQBvAG4ARgBhAGMAdABvAHIAQwBvAHQAdABvAG4AXwBVAG4AaQB0AFwAbgAgACAAPQBMAEEATQBCAEQAQQAoAFwAIgBrAGcAIABOADIATwAtAE4ALwBrAGcAIABOACAAYQBwAHAAbABpAGUAZABcACIAKQA7AFwAbgBcAG4AVgBFAEUAUgBHAF8ANQBfADEAXwAxAF8AMgBfAF8AMwBfAEUAbQBpAHMAcwBpAG8AbgBGAGEAYwB0AG8AcgBDAG8AdAB0AG8AbgBfAFMAbwB1AHIAYwBlAFwAbgAgACAAPQBMAEEATQBCAEQAQQAoAFwAIgBWAEUARQBSAEcAIAAyADAAMgA2ADoAIAA1AC4AMQAuADEALgAyACwAIABFAHEAdQBhAHQAaQBvAG4AIAAoADMAKQBcACIAKQA7AFwAbgBcAG4AVgBFAEUAUgBHAF8ANQBfADEAXwAxAF8AMgBfAF8AMwBfAEUAbQBpAHMAcwBpAG8AbgBGAGEAYwB0AG8AcgBDAG8AdAB0AG8AbgBfAE4ASQBSAFIAZQBmAGUAcgBlAG4AYwBlAFwAbgAgACAAPQBMAEEATQBCAEQAQQAoAFwAIgBcACIAKQA7AFwAbgBcAG4AVgBFAEUAUgBHAF8ANQBfADEAXwAxAF8AMgBfAF8AMwBfAEUAbQBpAHMAcwBpAG8AbgBGAGEAYwB0AG8AcgBDAG8AdAB0AG8AbgBfAEwAYQB0AGUAeABFAHEAdQBhAHQAaQBvAG4AXABuACAAIAA9AEwAQQBNAEIARABBACgAXAAiAEUARgBfAHsAZgBqAD0AYwBvAHQAdABvAG4ALABOADIATwB9AD0AKAAwAC4AMAAxACAAXABcAHQAaQBtAGUAcwAgACgAMAAuADIAOQAgACsAIABcAFwAZgByAGEAYwB7ADAALgAwADAANwAoAGUAXgB7ADAALgAwADMANwAgAFwAXAB0AGkAbQBlAHMAIABOAF8AewBmAGoAPQBjAG8AdAB0AG8AbgB9AH0ALQAxACkAfQB7AE4AXwB7AGYAagA9AGMAbwB0AHQAbwBuAH0AfQApACkAIABcAFwAdABpAG0AZQBzACAAMQAwAF4AewAtADIAfQBcAG4AXAAiACkAOwBcAG4AXABuAFYARQBFAFIARwBfADUAXwAxAF8AMQBfADIAXwBfADMAXwBFAG0AaQBzAHMAaQBvAG4ARgBhAGMAdABvAHIAQwBvAHQAdABvAG4AXwBBAHIAZwB1AG0AZQBuAHQAcwBcAG4AIAAgAD0ATABBAE0AQgBEAEEAKABcAG4AIAAgACAAIABNAEEASwBFAEEAUgBSAEEAWQAoADIALAAgADQALAAgAFwAbgAgACAAIAAgACAAIABMAEEATQBCAEQAQQAoAHIALABjACwAIABcAG4AIAAgACAAIAAgACAAIAAgAEkATgBEAEUAWAAoAHsAXABuACAAIAAgACAAIAAgACAAIAAgACAAXAAiAE4AXwBmAGoAQwBvAHQAdABvAG4AXAAiACwAXAAiAGEAcABwAGwAaQBjAGEAdABpAG8AbgAgAHIAYQB0AGUAIABvAGYAIABpAG4AbwByAGcAYQBuAGkAYwAgAGYAZQByAHQAaQBsAGkAcwBlAHIAIAB0AHkAcABlACAAZgAgAGkAbgAgAHQAaABlACAAYwBvAHQAdABvAG4AIABjAHIAbwBwAFwAIgAsACAAXAAiAGsAZwAgAE4ALwBoAGEAXAAiACwAIABcACIASQBuAHAAdQB0AFwAIgA7AFwAbgAgACAAIAAgACAAIAAgACAAIAAgAFwAIgBmAFwAIgAsAFwAIgBJAG4AbwByAGcAYQBuAGkAYwAgAGYAZQByAHQAaQBsAGkAcwBlAHIAIAB0AHkAcABlAFwAIgAsACAAXAAiAFwAIgAsACAAXAAiAEMAbwBuAHMAdABhAG4AdABcACIAXABuACAAIAAgACAAIAAgACAAIAB9ACwAIAByACwAIABjACkAXABuACAAIAAgACAAIAAgACkAXABuACAAIAAgACAAKQBcAG4AIAAgACkAOwBcAG4AXABuACIAfQAsAHsAIgBwAGEAdABoACIAOgAiAC8AcAByAG8AagBlAGMAdABzAC8ARgBlAHIAdABpAGwAaQBzAGUAcgBfAEUAcQB1AGEAdABpAG8AbgBzAF8ASQBuAG8AcgBnAGEAbgBpAGMAQwBPADIAIgAsACIAdABlAHgAdAAiADoAIgAvACoAXABuAD0APQA9AD0APQA9AD0APQA9AD0APQA9AD0APQA9AD0APQA9AD0APQA9AD0APQA9AD0APQA9AD0APQA9AD0APQA9AD0APQA9AD0APQBcAG4ANQA6ACAARgBlAHIAdABpAGwAaQBzAGUAcgAgAFUAcwBlAFwAbgA9AD0APQA9AD0APQA9AD0APQA9AD0APQA9AD0APQA9AD0APQA9AD0APQA9AD0APQA9AD0APQA9AD0APQA9AD0APQA9AD0APQA9AD0AXABuADUALgAxACAASQBuAG8AcgBnAGEAbgBpAGMAIABmAGUAcgB0AGkAbABpAHMAZQByACAAYQBwAHAAbABpAGMAYQB0AGkAbwBuAFwAbgA9AD0APQA9AD0APQA9AD0APQA9AD0APQA9AD0APQA9AD0APQA9AD0APQA9AD0APQA9AD0APQA9AD0APQA9AD0APQA9AD0APQA9AD0AXABuACoALwBcAG4AXABuAC8AKgAgAFwAbgAtAC0ALQAtAC0ALQAtAC0ALQAtAC0ALQAtAC0ALQAtAC0ALQAtAC0ALQAtAC0ALQAtAC0ALQAtAC0ALQAtAC0ALQAtAC0ALQAtAC0AXABuAFYARQBFAFIARwBfADUAXwAxAF8AMQBfADMAXwBfADEAXwBJAG4AbwByAGcAYQBuAGkAYwBGAGUAcgB0AGkAbABpAHMAZQByAEEAcABwAGwAaQBjAGEAdABpAG8AbgBDAE8AMgBFAG0AaQBzAHMAaQBvAG4AcwBcAG4AQwBhAHIAYgBvAG4AIABkAGkAbwB4AGkAZABlACAAZQBtAGkAcwBzAGkAbwBuAHMAIAByAGUAcwB1AGwAdABpAG4AZwAgAGYAcgBvAG0AIAB0AGgAZQAgAHUAcwBlACAAbwBmACAAYQBsAGwAIABpAG4AbwByAGcAYQBuAGkAYwAsACAAdQByAGUAYQAtAGIAYQBzAGUAZAAgAGYAZQByAHQAaQBsAGkAcwBlAHIAcwBcAG4ARQBfAEMATwAyAFwAbgB0ACAAQwBPADIAXABuAEUAXwB7AEMATwAyAH0APQBcAFwAcwB1AG0AXwB7AGoAfQBcAFwAcwB1AG0AXwB7AGYAfQAoACgATQBVAF8AewBqAGYAfQBcAFwAdABpAG0AZQBzACAARQBGAF8AewB1AHIAZQBhACwAQwBPADIAfQBcAFwAdABpAG0AZQBzACAAQwBfAHsAQwBPADIAfQApAFwAXAB0AGkAbQBlAHMAIAAxADAAXgB7AC0AMwB9ACkAXABuAE0AVQBfAGoAZgBcAG4ARQBGAF8AdQByAGUAYQBDAE8AMgBcAG4AQwBfAEMATwAyAFwAbgBqAFwAbgBmAFwAbgAtAC0ALQAtAC0ALQAtAC0ALQAtAC0ALQAtAC0ALQAtAC0ALQAtAC0ALQAtAC0ALQAtAC0ALQAtAC0ALQAtAC0ALQAtAC0ALQAtAC0AXABuACoALwBcAG4AXABuAFYARQBFAFIARwBfADUAXwAxAF8AMQBfADMAXwBfADEAXwBJAG4AbwByAGcAYQBuAGkAYwBGAGUAcgB0AGkAbABpAHMAZQByAEEAcABwAGwAaQBjAGEAdABpAG8AbgBDAE8AMgBFAG0AaQBzAHMAaQBvAG4AcwBcAG4AIAAgAD0ATABBAE0AQgBEAEEAKABcAG4AIAAgACAAIABNAFUAXwBqAGYALAAgAEUARgBfAHUAcgBlAGEAQwBPADIALAAgAEMAXwBDAE8AMgAsAFwAbgAgACAAIAAgACgATQBVAF8AagBmACAAKgAgAEUARgBfAHUAcgBlAGEAQwBPADIAIAAqACAAQwBfAEMATwAyACkAIAAqACAAMQAwACAAXgAgAC0AMwBcAG4AIAAgACkAOwBcAG4AXABuAFYARQBFAFIARwBfADUAXwAxAF8AMQBfADMAXwBfADEAXwBJAG4AbwByAGcAYQBuAGkAYwBGAGUAcgB0AGkAbABpAHMAZQByAEEAcABwAGwAaQBjAGEAdABpAG8AbgBDAE8AMgBFAG0AaQBzAHMAaQBvAG4AcwBfAFQAaQB0AGwAZQBcAG4AIAAgAD0ATABBAE0AQgBEAEEAKABcACIAQwBhAHIAYgBvAG4AIABkAGkAbwB4AGkAZABlACAAZQBtAGkAcwBzAGkAbwBuAHMAIAByAGUAcwB1AGwAdABpAG4AZwAgAGYAcgBvAG0AIAB0AGgAZQAgAHUAcwBlACAAbwBmACAAYQBsAGwAIABpAG4AbwByAGcAYQBuAGkAYwAsACAAdQByAGUAYQAtAGIAYQBzAGUAZAAgAGYAZQByAHQAaQBsAGkAcwBlAHIAcwBcACIAKQA7AFwAbgBcAG4AVgBFAEUAUgBHAF8ANQBfADEAXwAxAF8AMwBfAF8AMQBfAEkAbgBvAHIAZwBhAG4AaQBjAEYAZQByAHQAaQBsAGkAcwBlAHIAQQBwAHAAbABpAGMAYQB0AGkAbwBuAEMATwAyAEUAbQBpAHMAcwBpAG8AbgBzAF8AVgBhAHIAaQBhAGIAbABlAFwAbgAgACAAPQBMAEEATQBCAEQAQQAoAFwAIgBFAF8AQwBPADIAXAAiACkAOwBcAG4AXABuAFYARQBFAFIARwBfADUAXwAxAF8AMQBfADMAXwBfADEAXwBJAG4AbwByAGcAYQBuAGkAYwBGAGUAcgB0AGkAbABpAHMAZQByAEEAcABwAGwAaQBjAGEAdABpAG8AbgBDAE8AMgBFAG0AaQBzAHMAaQBvAG4AcwBfAFUAbgBpAHQAXABuACAAIAA9AEwAQQBNAEIARABBACgAXAAiAHQAIABDAE8AMgBcACIAKQA7AFwAbgBcAG4AVgBFAEUAUgBHAF8ANQBfADEAXwAxAF8AMwBfAF8AMQBfAEkAbgBvAHIAZwBhAG4AaQBjAEYAZQByAHQAaQBsAGkAcwBlAHIAQQBwAHAAbABpAGMAYQB0AGkAbwBuAEMATwAyAEUAbQBpAHMAcwBpAG8AbgBzAF8AUwBvAHUAcgBjAGUAXABuACAAIAA9AEwAQQBNAEIARABBACgAXAAiAFYARQBFAFIARwAgADIAMAAyADYAOgAgADUALgAxAC4AMQAuADMALAAgAEUAcQB1AGEAdABpAG8AbgAgACgAMQApAFwAIgApADsAXABuAFwAbgBWAEUARQBSAEcAXwA1AF8AMQBfADEAXwAzAF8AXwAxAF8ASQBuAG8AcgBnAGEAbgBpAGMARgBlAHIAdABpAGwAaQBzAGUAcgBBAHAAcABsAGkAYwBhAHQAaQBvAG4AQwBPADIARQBtAGkAcwBzAGkAbwBuAHMAXwBOAEkAUgBSAGUAZgBlAHIAZQBuAGMAZQBcAG4AIAAgAD0ATABBAE0AQgBEAEEAKABcACIAXAAiACkAOwBcAG4AXABuAFYARQBFAFIARwBfADUAXwAxAF8AMQBfADMAXwBfADEAXwBJAG4AbwByAGcAYQBuAGkAYwBGAGUAcgB0AGkAbABpAHMAZQByAEEAcABwAGwAaQBjAGEAdABpAG8AbgBDAE8AMgBFAG0AaQBzAHMAaQBvAG4AcwBfAEwAYQB0AGUAeABFAHEAdQBhAHQAaQBvAG4AXABuACAAIAA9AEwAQQBNAEIARABBACgAXAAiAEUAXwB7AEMATwAyAH0APQBcAFwAcwB1AG0AXwB7AGoAfQBcAFwAcwB1AG0AXwB7AGYAfQAoACgATQBVAF8AewBqAGYAfQBcAFwAdABpAG0AZQBzACAARQBGAF8AewB1AHIAZQBhACwAQwBPADIAfQBcAFwAdABpAG0AZQBzACAAQwBfAHsAQwBPADIAfQApAFwAXAB0AGkAbQBlAHMAIAAxADAAXgB7AC0AMwB9ACkAXAAiACkAOwBcAG4AXABuAFYARQBFAFIARwBfADUAXwAxAF8AMQBfADMAXwBfADEAXwBJAG4AbwByAGcAYQBuAGkAYwBGAGUAcgB0AGkAbABpAHMAZQByAEEAcABwAGwAaQBjAGEAdABpAG8AbgBDAE8AMgBFAG0AaQBzAHMAaQBvAG4AcwBfAEEAcgBnAHUAbQBlAG4AdABzAFwAbgAgACAAPQBMAEEATQBCAEQAQQAoAFwAbgAgACAAIAAgAE0AQQBLAEUAQQBSAFIAQQBZACgANQAsACAANAAsACAAXABuACAAIAAgACAAIAAgAEwAQQBNAEIARABBACgAcgAsAGMALAAgAFwAbgAgACAAIAAgACAAIAAgACAASQBOAEQARQBYACgAewBcAG4AIAAgACAAIAAgACAAIAAgACAAIABcACIATQBVAF8AagBmAFwAIgAsAFwAIgBtAGEAcwBzACAAbwBmACAAdQByAGUAYQAgAG8AZgAgAGkAbgBvAHIAZwBhAG4AaQBjACAAZgBlAHIAdABpAGwAaQBzAGUAcgAgAHQAeQBwAGUAIABmACAAYQBwAHAAbABpAGUAZAAgAHQAbwAgAHAAcgBvAGQAdQBjAHQAaQBvAG4AIABzAHkAcwB0AGUAbQAgAGoAXAAiACwAIABcACIAawBnACAAdQByAGUAYQBcACIALAAgAFwAIgBDAGEAbABjAHUAbABhAHQAZQBkAFwAIgA7AFwAbgAgACAAIAAgACAAIAAgACAAIAAgAFwAIgBFAEYAXwB1AHIAZQBhAEMATwAyAFwAIgAsAFwAIgBlAG0AaQBzAHMAaQBvAG4AIABmAGEAYwB0AG8AcgAgAGYAbwByACAAYwBhAHIAYgBvAG4AIABlAG0AaQBzAHMAaQBvAG4AcwAgAGYAcgBvAG0AIAB1AHIAZQBhAC0AYgBhAHMAZQBkACAAZgBlAHIAdABpAGwAaQBzAGUAcgBzAFwAIgAsACAAXAAiAGsAZwAgAEMALwBrAGcAIAB1AHIAZQBhAFwAIgAsACAAXAAiAEMAbwBuAHMAdABhAG4AdABcACIAOwBcAG4AIAAgACAAIAAgACAAIAAgACAAIABcACIAQwBfAEMATwAyAFwAIgAsAFwAIgBmAGEAYwB0AG8AcgAgAHQAbwAgAGMAbwBuAHYAZQByAHQAIABlAGwAZQBtAGUAbgB0AGEAbAAgAG0AYQBzAHMAIABvAGYAIABjAGEAcgBiAG8AbgAgAHQAbwAgAG0AbwBsAGUAYwB1AGwAYQByACAAbQBhAHMAcwAgAG8AZgAgAGMAYQByAGIAbwBuACAAZABpAG8AeABpAGQAZQBcACIALAAgAFwAIgBcACIALAAgAFwAIgBDAG8AbgBzAHQAYQBuAHQAXAAiADsAXABuACAAIAAgACAAIAAgACAAIAAgACAAXAAiAGoAXAAiACwAXAAiAFAAcgBvAGQAdQBjAHQAaQBvAG4AIABzAHkAcwB0AGUAbQBcACIALAAgAFwAIgBcACIALAAgAFwAIgBJAG4AcAB1AHQAXAAiADsAXABuACAAIAAgACAAIAAgACAAIAAgACAAXAAiAGYAXAAiACwAXAAiAEkAbgBvAHIAZwBhAG4AaQBjACAAZgBlAHIAdABpAGwAaQBzAGUAcgAgAHQAeQBwAGUAXAAiACwAIABcACIAXAAiACwAIABcACIATABvAG8AawB1AHAAXAAiAFwAbgAgACAAIAAgACAAIAAgACAAfQAsACAAcgAsACAAYwApAFwAbgAgACAAIAAgACAAIAApAFwAbgAgACAAIAAgACkAXABuACAAIAApADsAXABuAFwAbgAvACoAIABcAG4ALQAtAC0ALQAtAC0ALQAtAC0ALQAtAC0ALQAtAC0ALQAtAC0ALQAtAC0ALQAtAC0ALQAtAC0ALQAtAC0ALQAtAC0ALQAtAC0ALQAtAFwAbgBWAEUARQBSAEcAXwA1AF8AMQBfADEAXwAzAF8AXwAyAF8ATQBhAHMAcwBPAGYAVQByAGUAYQBJAG4ASQBuAG8AcgBnAGEAbgBpAGMARgBlAHIAdABpAGwAaQBzAGUAcgBcAG4ATQBhAHMAcwAgAG8AZgAgAHUAcgBlAGEAIABhAHAAcABsAGkAZQBkACAAdABvACAAcAByAG8AZAB1AGMAdABpAG8AbgAgAHMAeQBzAHQAZQBtAFwAbgBNAFUAXwBqAGYAXABuAGsAZwAgAHUAcgBlAGEAXABuAHsATQBVAH0AXwB7AGoAZgB9AD0AVABNAF8AewBqAGYAfQBcAFwAdABpAG0AZQBzACAARgBVAF8AZgBcAG4AVABNAF8AagBmAFwAbgBGAFUAXwBmAFwAbgBqAFwAbgBmAFwAbgAtAC0ALQAtAC0ALQAtAC0ALQAtAC0ALQAtAC0ALQAtAC0ALQAtAC0ALQAtAC0ALQAtAC0ALQAtAC0ALQAtAC0ALQAtAC0ALQAtAC0AXABuACoALwBcAG4AXABuAFYARQBFAFIARwBfADUAXwAxAF8AMQBfADMAXwBfADIAXwBNAGEAcwBzAE8AZgBVAHIAZQBhAEkAbgBJAG4AbwByAGcAYQBuAGkAYwBGAGUAcgB0AGkAbABpAHMAZQByAFwAbgAgACAAPQBMAEEATQBCAEQAQQAoAFwAbgAgACAAIAAgAFQATQBfAGoAZgAsACAARgBVAF8AZgAsAFwAbgAgACAAIAAgAFQATQBfAGoAZgAgACoAIABGAFUAXwBmAFwAbgAgACAAKQA7AFwAbgBcAG4AVgBFAEUAUgBHAF8ANQBfADEAXwAxAF8AMwBfAF8AMgBfAE0AYQBzAHMATwBmAFUAcgBlAGEASQBuAEkAbgBvAHIAZwBhAG4AaQBjAEYAZQByAHQAaQBsAGkAcwBlAHIAXwBUAGkAdABsAGUAXABuACAAIAA9AEwAQQBNAEIARABBACgAXAAiAE0AYQBzAHMAIABvAGYAIAB1AHIAZQBhACAAYQBwAHAAbABpAGUAZAAgAHQAbwAgAHAAcgBvAGQAdQBjAHQAaQBvAG4AIABzAHkAcwB0AGUAbQBcACIAKQA7AFwAbgBcAG4AVgBFAEUAUgBHAF8ANQBfADEAXwAxAF8AMwBfAF8AMgBfAE0AYQBzAHMATwBmAFUAcgBlAGEASQBuAEkAbgBvAHIAZwBhAG4AaQBjAEYAZQByAHQAaQBsAGkAcwBlAHIAXwBWAGEAcgBpAGEAYgBsAGUAXABuACAAIAA9AEwAQQBNAEIARABBACgAXAAiAE0AVQBfAGoAZgBcACIAKQA7AFwAbgBcAG4AVgBFAEUAUgBHAF8ANQBfADEAXwAxAF8AMwBfAF8AMgBfAE0AYQBzAHMATwBmAFUAcgBlAGEASQBuAEkAbgBvAHIAZwBhAG4AaQBjAEYAZQByAHQAaQBsAGkAcwBlAHIAXwBVAG4AaQB0AFwAbgAgACAAPQBMAEEATQBCAEQAQQAoAFwAIgBrAGcAIAB1AHIAZQBhAFwAIgApADsAXABuAFwAbgBWAEUARQBSAEcAXwA1AF8AMQBfADEAXwAzAF8AXwAyAF8ATQBhAHMAcwBPAGYAVQByAGUAYQBJAG4ASQBuAG8AcgBnAGEAbgBpAGMARgBlAHIAdABpAGwAaQBzAGUAcgBfAFMAbwB1AHIAYwBlAFwAbgAgACAAPQBMAEEATQBCAEQAQQAoAFwAIgBWAEUARQBSAEcAIAAyADAAMgA2ADoAIAA1AC4AMQAuADEALgAzACwAIABFAHEAdQBhAHQAaQBvAG4AIAAoADIAKQBcACIAKQA7AFwAbgBcAG4AVgBFAEUAUgBHAF8ANQBfADEAXwAxAF8AMwBfAF8AMgBfAE0AYQBzAHMATwBmAFUAcgBlAGEASQBuAEkAbgBvAHIAZwBhAG4AaQBjAEYAZQByAHQAaQBsAGkAcwBlAHIAXwBOAEkAUgBSAGUAZgBlAHIAZQBuAGMAZQBcAG4AIAAgAD0ATABBAE0AQgBEAEEAKABcACIAXAAiACkAOwBcAG4AXABuAFYARQBFAFIARwBfADUAXwAxAF8AMQBfADMAXwBfADIAXwBNAGEAcwBzAE8AZgBVAHIAZQBhAEkAbgBJAG4AbwByAGcAYQBuAGkAYwBGAGUAcgB0AGkAbABpAHMAZQByAF8ATABhAHQAZQB4AEUAcQB1AGEAdABpAG8AbgBcAG4AIAAgAD0ATABBAE0AQgBEAEEAKABcACIAewBNAFUAfQBfAHsAagBmAH0APQBUAE0AXwB7AGoAZgB9AFwAXAB0AGkAbQBlAHMAIABGAFUAXwBmAFwAIgApADsAXABuAFwAbgBWAEUARQBSAEcAXwA1AF8AMQBfADEAXwAzAF8AXwAyAF8ATQBhAHMAcwBPAGYAVQByAGUAYQBJAG4ASQBuAG8AcgBnAGEAbgBpAGMARgBlAHIAdABpAGwAaQBzAGUAcgBfAEEAcgBnAHUAbQBlAG4AdABzAFwAbgAgACAAPQBMAEEATQBCAEQAQQAoAFwAbgAgACAAIAAgAE0AQQBLAEUAQQBSAFIAQQBZACgAMgAsACAANAAsACAAXABuACAAIAAgACAAIAAgAEwAQQBNAEIARABBACgAcgAsAGMALAAgAFwAbgAgACAAIAAgACAAIAAgACAASQBOAEQARQBYACgAewBcAG4AIAAgACAAIAAgACAAIAAgACAAIABcACIAVABNAF8AagBmAFwAIgAsAFwAIgB0AG8AdABhAGwAIABtAGEAcwBzACAAbwBmACAAaQBuAG8AcgBnAGEAbgBpAGMAIABmAGUAcgB0AGkAbABpAHMAZQByACAAdAB5AHAAZQAgAGYAIABhAHAAcABsAGkAZQBkACAAdABvACAAcAByAG8AZAB1AGMAdABpAG8AbgAgAHMAeQBzAHQAZQBtACAAagBcACIALABcACIAawBnAFwAIgAsACAAXAAiAEkAbgBwAHUAdABcACIAOwBcAG4AIAAgACAAIAAgACAAIAAgACAAIABcACIARgBVAF8AZgBcACIALABcACIAZgByAGEAYwB0AGkAbwBuACAAbwBmACAAdQByAGUAYQAgAGkAbgAgAGYAZQByAHQAaQBsAGkAcwBlAHIAIAB0AHkAcABlACAAZgBcACIALABcACIAawBnACAAdQByAGUAYQAvAGsAZwBcACIALAAgAFwAIgBMAG8AbwBrAHUAcABcACIAXABuACAAIAAgACAAIAAgACAAIAB9ACwAIAByACwAIABjACkAXABuACAAIAAgACAAIAAgACkAXABuACAAIAAgACAAKQBcAG4AIAAgACkAOwBcAG4AIgB9ACwAewAiAHAAYQB0AGgAIgA6ACIALwBwAHIAbwBqAGUAYwB0AHMALwBGAGUAcgB0AGkAbABpAHMAZQByAF8ARQBxAHUAYQB0AGkAbwBuAHMAXwBPAHIAZwBhAG4AaQBjAE4AMgBPACIALAAiAHQAZQB4AHQAIgA6ACIALwAqAFwAbgA9AD0APQA9AD0APQA9AD0APQA9AD0APQA9AD0APQA9AD0APQA9AD0APQA9AD0APQA9AD0APQA9AD0APQA9AD0APQA9AD0APQA9AD0AXABuADUAOgAgAEYAZQByAHQAaQBsAGkAcwBlAHIAIABVAHMAZQBcAG4APQA9AD0APQA9AD0APQA9AD0APQA9AD0APQA9AD0APQA9AD0APQA9AD0APQA9AD0APQA9AD0APQA9AD0APQA9AD0APQA9AD0APQA9AFwAbgA1AC4AMgAgAE8AcgBnAGEAbgBpAGMAIABmAGUAcgB0AGkAbABpAHMAZQByACAAYQBwAHAAbABpAGMAYQB0AGkAbwBuAFwAbgA9AD0APQA9AD0APQA9AD0APQA9AD0APQA9AD0APQA9AD0APQA9AD0APQA9AD0APQA9AD0APQA9AD0APQA9AD0APQA9AD0APQA9AD0AXABuACoALwBcAG4AXABuAC8AKgAgAFwAbgAtAC0ALQAtAC0ALQAtAC0ALQAtAC0ALQAtAC0ALQAtAC0ALQAtAC0ALQAtAC0ALQAtAC0ALQAtAC0ALQAtAC0ALQAtAC0ALQAtAC0AXABuAFYARQBFAFIARwBfADUAXwAyAF8AMQBfADEAXwBfADEAXwBPAHIAZwBhAG4AaQBjAEYAZQByAHQAaQBsAGkAcwBlAHIAQQBwAHAAbABpAGMAYQB0AGkAbwBuAE4AMgBPAEUAbQBpAHMAcwBpAG8AbgBzAFwAbgBOAGkAdAByAG8AdQBzACAAbwB4AGkAZABlACAAZQBtAGkAcwBzAGkAbwBuAHMAIABmAHIAbwBtACAAdABoAGUAIABhAHAAcABsAGkAYwBhAHQAaQBvAG4AIABvAGYAIABhAGwAbAAgAG8AcgBnAGEAbgBpAGMAIABmAGUAcgB0AGkAbABpAHMAZQByACAAdAB5AHAAZQBzACAAZgAgAHQAbwAgAGEAbABsACAAcAByAG8AZAB1AGMAdABpAG8AbgAgAHMAeQBzAHQAZQBtAHMAIABqAFwAbgBFAF8ATgAyAE8AXABuAHQAIABOADIATwBcAG4ARQBfAHsATgAyAE8AfQA9AFwAXABzAHUAbQBfAHsAagB9AFwAXABzAHUAbQBfAHsAZgB9ACgAKABNAE4AUwBvAGkAbABfAHsAagBmAH0AXABcAHQAaQBtAGUAcwAgAEUARgBfAHsATgAyAE8ALABpAH0AXABcAHQAaQBtAGUAcwAgAEMAXwB7AE4AMgBPAH0AKQBcAFwAdABpAG0AZQBzACAAMQAwAF4AewAtADMAfQApAFwAbgBNAE4AUwBvAGkAbABfAGoAZgBcAG4ARQBGAF8ATgAyAE8AaQBcAG4AQwBfAE4AMgBPAFwAbgBqAFwAbgBpAFwAbgBmAFwAbgAtAC0ALQAtAC0ALQAtAC0ALQAtAC0ALQAtAC0ALQAtAC0ALQAtAC0ALQAtAC0ALQAtAC0ALQAtAC0ALQAtAC0ALQAtAC0ALQAtAC0AXABuACoALwBcAG4AXABuAFYARQBFAFIARwBfADUAXwAyAF8AMQBfADEAXwBfADEAXwBPAHIAZwBhAG4AaQBjAEYAZQByAHQAaQBsAGkAcwBlAHIAQQBwAHAAbABpAGMAYQB0AGkAbwBuAE4AMgBPAEUAbQBpAHMAcwBpAG8AbgBzAFwAbgAgACAAPQBMAEEATQBCAEQAQQAoAFwAbgAgACAAIAAgAE0ATgBTAG8AaQBsAF8AagBmACwAIABFAEYAXwBOADIATwBpACwAIABDAF8ATgAyAE8ALABcAG4AIAAgACAAIAAoAE0ATgBTAG8AaQBsAF8AagBmACAAKgAgAEUARgBfAE4AMgBPAGkAIAAqACAAQwBfAE4AMgBPACkAIAAqACAAMQAwACAAXgAgAC0AMwBcAG4AIAAgACkAOwBcAG4AXABuAFYARQBFAFIARwBfADUAXwAyAF8AMQBfADEAXwBfADEAXwBPAHIAZwBhAG4AaQBjAEYAZQByAHQAaQBsAGkAcwBlAHIAQQBwAHAAbABpAGMAYQB0AGkAbwBuAE4AMgBPAEUAbQBpAHMAcwBpAG8AbgBzAF8AVABpAHQAbABlAFwAbgAgACAAPQBMAEEATQBCAEQAQQAoAFwAIgBOAGkAdAByAG8AdQBzACAAbwB4AGkAZABlACAAZQBtAGkAcwBzAGkAbwBuAHMAIABmAHIAbwBtACAAdABoAGUAIABhAHAAcABsAGkAYwBhAHQAaQBvAG4AIABvAGYAIABhAGwAbAAgAG8AcgBnAGEAbgBpAGMAIABmAGUAcgB0AGkAbABpAHMAZQByACAAdAB5AHAAZQBzACAAZgAgAHQAbwAgAGEAbABsACAAcAByAG8AZAB1AGMAdABpAG8AbgAgAHMAeQBzAHQAZQBtAHMAIABqAFwAIgApADsAXABuAFwAbgBWAEUARQBSAEcAXwA1AF8AMgBfADEAXwAxAF8AXwAxAF8ATwByAGcAYQBuAGkAYwBGAGUAcgB0AGkAbABpAHMAZQByAEEAcABwAGwAaQBjAGEAdABpAG8AbgBOADIATwBFAG0AaQBzAHMAaQBvAG4AcwBfAFYAYQByAGkAYQBiAGwAZQBcAG4AIAAgAD0ATABBAE0AQgBEAEEAKABcACIARQBfAE4AMgBPAFwAIgApADsAXABuAFwAbgBWAEUARQBSAEcAXwA1AF8AMgBfADEAXwAxAF8AXwAxAF8ATwByAGcAYQBuAGkAYwBGAGUAcgB0AGkAbABpAHMAZQByAEEAcABwAGwAaQBjAGEAdABpAG8AbgBOADIATwBFAG0AaQBzAHMAaQBvAG4AcwBfAFUAbgBpAHQAXABuACAAIAA9AEwAQQBNAEIARABBACgAXAAiAHQAIABOADIATwBcACIAKQA7AFwAbgBcAG4AVgBFAEUAUgBHAF8ANQBfADIAXwAxAF8AMQBfAF8AMQBfAE8AcgBnAGEAbgBpAGMARgBlAHIAdABpAGwAaQBzAGUAcgBBAHAAcABsAGkAYwBhAHQAaQBvAG4ATgAyAE8ARQBtAGkAcwBzAGkAbwBuAHMAXwBTAG8AdQByAGMAZQBcAG4AIAAgAD0ATABBAE0AQgBEAEEAKABcACIAVgBFAEUAUgBHACAAMgAwADIANgA6ACAANQAuADIALgAxAC4AMQAsACAARQBxAHUAYQB0AGkAbwBuACAAKAAxACkAXAAiACkAOwBcAG4AXABuAFYARQBFAFIARwBfADUAXwAyAF8AMQBfADEAXwBfADEAXwBPAHIAZwBhAG4AaQBjAEYAZQByAHQAaQBsAGkAcwBlAHIAQQBwAHAAbABpAGMAYQB0AGkAbwBuAE4AMgBPAEUAbQBpAHMAcwBpAG8AbgBzAF8ATgBJAFIAUgBlAGYAZQByAGUAbgBjAGUAXABuACAAIAA9AEwAQQBNAEIARABBACgAXAAiAFwAIgApADsAXABuAFwAbgBWAEUARQBSAEcAXwA1AF8AMgBfADEAXwAxAF8AXwAxAF8ATwByAGcAYQBuAGkAYwBGAGUAcgB0AGkAbABpAHMAZQByAEEAcABwAGwAaQBjAGEAdABpAG8AbgBOADIATwBFAG0AaQBzAHMAaQBvAG4AcwBfAEwAYQB0AGUAeABFAHEAdQBhAHQAaQBvAG4AXABuACAAIAA9AEwAQQBNAEIARABBACgAXAAiAEUAXwB7AE4AMgBPAH0APQBcAFwAcwB1AG0AXwB7AGoAfQBcAFwAcwB1AG0AXwB7AGYAfQAoACgATQBOAFMAbwBpAGwAXwB7AGoAZgB9AFwAXAB0AGkAbQBlAHMAIABFAEYAXwB7AE4AMgBPACwAaQB9AFwAXAB0AGkAbQBlAHMAIABDAF8AewBOADIATwB9ACkAXABcAHQAaQBtAGUAcwAgADEAMABeAHsALQAzAH0AKQBcACIAKQA7AFwAbgBcAG4AVgBFAEUAUgBHAF8ANQBfADIAXwAxAF8AMQBfAF8AMQBfAE8AcgBnAGEAbgBpAGMARgBlAHIAdABpAGwAaQBzAGUAcgBBAHAAcABsAGkAYwBhAHQAaQBvAG4ATgAyAE8ARQBtAGkAcwBzAGkAbwBuAHMAXwBBAHIAZwB1AG0AZQBuAHQAcwBcAG4AIAAgAD0ATABBAE0AQgBEAEEAKABcAG4AIAAgACAAIABNAEEASwBFAEEAUgBSAEEAWQAoADUALAAgADQALAAgAFwAbgAgACAAIAAgACAAIABMAEEATQBCAEQAQQAoAHIALABjACwAIABcAG4AIAAgACAAIAAgACAAIAAgAEkATgBEAEUAWAAoAHsAXABuACAAIAAgACAAIAAgACAAIAAgACAAXAAiAE0ATgBTAG8AaQBsAF8AagBmAFwAIgAsAFwAIgBtAGEAcwBzACAAbwBmACAAbgBpAHQAcgBvAGcAZQBuACAAaQBuACAAbwByAGcAYQBuAGkAYwAgAGYAZQByAHQAaQBsAGkAcwBlAHIAIAB0AHkAcABlACAAZgAgAGEAcABwAGwAaQBlAGQAIAB0AG8AIABwAHIAbwBkAHUAYwB0AGkAbwBuACAAcwB5AHMAdABlAG0AIABqAFwAIgAsACAAXAAiAGsAZwAgAE4AXAAiACwAIABcACIAQwBhAGwAYwB1AGwAYQB0AGUAZAAgAGYAcgBvAG0AIAA1AC4AMgAuADEALgAxACAAKAAyACkAXAAiADsAXABuACAAIAAgACAAIAAgACAAIAAgACAAXAAiAEUARgBfAE4AMgBPAGkAXAAiACwAXAAiAGUAbQBpAHMAcwBpAG8AbgAgAGYAYQBjAHQAbwByACAAZgBvAHIAIABkAGkAcgBlAGMAdAAgAG4AaQB0AHIAbwB1AHMAIABvAHgAaQBkAGUAIABlAG0AaQBzAHMAaQBvAG4AcwAgAGYAcgBvAG0AIABvAHIAZwBhAG4AaQBjACAAZgBlAHIAdABpAGwAaQBzAGUAcgAgAGEAcABwAGwAaQBlAGQAIAB0AG8AIABzAG8AaQBsAHMAIABhAG4AZAAgAGEAcQB1AGEAdABpAGMAIABzAHkAcwB0AGUAbQBzACAAaQBuACAAYwBsAGkAbQBhAHQAZQAgAHoAbwBuAGUAIABpAFwAIgAsACAAXAAiAGsAZwAgAE4AMgBPAC0ATgAvAGsAZwAgAE4AXAAiACwAIABcACIATABvAG8AawB1AHAAXAAiADsAXABuACAAIAAgACAAIAAgACAAIAAgACAAXAAiAEMAXwBOADIATwBcACIALABcACIAZgBhAGMAdABvAHIAIAB0AG8AIABjAG8AbgB2AGUAcgB0ACAAZQBsAGUAbQBlAG4AdABhAGwAIABtAGEAcwBzACAAbwBmACAAbgBpAHQAcgBvAHUAcwAgAG8AeABpAGQAZQAgAHQAbwAgAG0AbwBsAGUAYwB1AGwAYQByACAAbQBhAHMAcwBcACIALAAgAFwAIgBcACIALAAgAFwAIgBDAG8AbgBzAHQAYQBuAHQAXAAiADsAXABuACAAIAAgACAAIAAgACAAIAAgACAAXAAiAGoAXAAiACwAXAAiAFAAcgBvAGQAdQBjAHQAaQBvAG4AIABzAHkAcwB0AGUAbQBcACIALAAgAFwAIgBcACIALAAgAFwAIgBJAG4AcAB1AHQAXAAiADsAXABuACAAIAAgACAAIAAgACAAIAAgACAAXAAiAGkAXAAiACwAXAAiAFcAZQB0ACAAbwByACAAZAByAHkAIABjAGwAaQBtAGEAdABlACAAegBvAG4AZQBcACIALAAgAFwAIgBcACIALAAgAFwAIgBJAG4AcAB1AHQAXAAiAFwAbgAgACAAIAAgACAAIAAgACAAfQAsACAAcgAsACAAYwApAFwAbgAgACAAIAAgACAAIAApAFwAbgAgACAAIAAgACkAXABuACAAIAApADsAXABuAFwAbgAvACoAIABcAG4ALQAtAC0ALQAtAC0ALQAtAC0ALQAtAC0ALQAtAC0ALQAtAC0ALQAtAC0ALQAtAC0ALQAtAC0ALQAtAC0ALQAtAC0ALQAtAC0ALQAtAFwAbgBWAEUARQBSAEcAXwA1AF8AMgBfADEAXwAxAF8AXwAyAF8ATQBhAHMAcwBPAGYATgBpAHQAcgBvAGcAZQBuAEkAbgBPAHIAZwBhAG4AaQBjAEYAZQByAHQAaQBsAGkAcwBlAHIAXABuAE0AYQBzAHMAIABvAGYAIABuAGkAdAByAG8AZwBlAG4AIABpAG4AIABwAHUAcgBjAGgAYQBzAGUAZAAgAG8AcgBnAGEAbgBpAGMAIABmAGUAcgB0AGkAbABpAHMAZQByAHMAIABhAHAAcABsAGkAZQBkACAAdABvACAAcAByAG8AZAB1AGMAdABpAG8AbgAgAHMAeQBzAHQAZQBtAFwAbgBNAE4AUwBvAGkAbABfAGoAZgBcAG4AawBnACAATgBcAG4ATQBOAFMAbwBpAGwAXwB7AGoAZgB9AD0ATQBfAHsAbwByAGcAYQBuAGkAYwAsAGoAZgB9AFwAXAB0AGkAbQBlAHMAIABGAE4AXwB7AG8AcgBnAGEAbgBpAGMALABmAH0AXABuAE0AXwBvAHIAZwBhAG4AaQBjAGoAZgBcAG4ARgBOAF8AbwByAGcAYQBuAGkAYwBmAFwAbgBqAFwAbgBmAFwAbgAtAC0ALQAtAC0ALQAtAC0ALQAtAC0ALQAtAC0ALQAtAC0ALQAtAC0ALQAtAC0ALQAtAC0ALQAtAC0ALQAtAC0ALQAtAC0ALQAtAC0AXABuACoALwBcAG4AXABuAFYARQBFAFIARwBfADUAXwAyAF8AMQBfADEAXwBfADIAXwBNAGEAcwBzAE8AZgBOAGkAdAByAG8AZwBlAG4ASQBuAE8AcgBnAGEAbgBpAGMARgBlAHIAdABpAGwAaQBzAGUAcgBcAG4AIAAgAD0ATABBAE0AQgBEAEEAKABcAG4AIAAgACAAIABNAF8AbwByAGcAYQBuAGkAYwBqAGYALAAgAEYATgBfAG8AcgBnAGEAbgBpAGMAZgAsAFwAbgAgACAAIAAgAE0AXwBvAHIAZwBhAG4AaQBjAGoAZgAgACoAIABGAE4AXwBvAHIAZwBhAG4AaQBjAGYAXABuACAAIAApADsAXABuAFwAbgBWAEUARQBSAEcAXwA1AF8AMgBfADEAXwAxAF8AXwAyAF8ATQBhAHMAcwBPAGYATgBpAHQAcgBvAGcAZQBuAEkAbgBPAHIAZwBhAG4AaQBjAEYAZQByAHQAaQBsAGkAcwBlAHIAXwBUAGkAdABsAGUAXABuACAAIAA9AEwAQQBNAEIARABBACgAXAAiAE0AYQBzAHMAIABvAGYAIABuAGkAdAByAG8AZwBlAG4AIABpAG4AIABwAHUAcgBjAGgAYQBzAGUAZAAgAG8AcgBnAGEAbgBpAGMAIABmAGUAcgB0AGkAbABpAHMAZQByAHMAIABhAHAAcABsAGkAZQBkACAAdABvACAAcAByAG8AZAB1AGMAdABpAG8AbgAgAHMAeQBzAHQAZQBtAFwAIgApADsAXABuAFwAbgBWAEUARQBSAEcAXwA1AF8AMgBfADEAXwAxAF8AXwAyAF8ATQBhAHMAcwBPAGYATgBpAHQAcgBvAGcAZQBuAEkAbgBPAHIAZwBhAG4AaQBjAEYAZQByAHQAaQBsAGkAcwBlAHIAXwBWAGEAcgBpAGEAYgBsAGUAXABuACAAIAA9AEwAQQBNAEIARABBACgAXAAiAE0ATgBTAG8AaQBsAF8AagBmAFwAIgApADsAXABuAFwAbgBWAEUARQBSAEcAXwA1AF8AMgBfADEAXwAxAF8AXwAyAF8ATQBhAHMAcwBPAGYATgBpAHQAcgBvAGcAZQBuAEkAbgBPAHIAZwBhAG4AaQBjAEYAZQByAHQAaQBsAGkAcwBlAHIAXwBVAG4AaQB0AFwAbgAgACAAPQBMAEEATQBCAEQAQQAoAFwAIgBrAGcAIABOAFwAIgApADsAXABuAFwAbgBWAEUARQBSAEcAXwA1AF8AMgBfADEAXwAxAF8AXwAyAF8ATQBhAHMAcwBPAGYATgBpAHQAcgBvAGcAZQBuAEkAbgBPAHIAZwBhAG4AaQBjAEYAZQByAHQAaQBsAGkAcwBlAHIAXwBTAG8AdQByAGMAZQBcAG4AIAAgAD0ATABBAE0AQgBEAEEAKABcACIAVgBFAEUAUgBHACAAMgAwADIANgA6ACAANQAuADIALgAxAC4AMQAsACAARQBxAHUAYQB0AGkAbwBuACAAKAAyACkAXAAiACkAOwBcAG4AXABuAFYARQBFAFIARwBfADUAXwAyAF8AMQBfADEAXwBfADIAXwBNAGEAcwBzAE8AZgBOAGkAdAByAG8AZwBlAG4ASQBuAE8AcgBnAGEAbgBpAGMARgBlAHIAdABpAGwAaQBzAGUAcgBfAE4ASQBSAFIAZQBmAGUAcgBlAG4AYwBlAFwAbgAgACAAPQBMAEEATQBCAEQAQQAoAFwAIgBcACIAKQA7AFwAbgBcAG4AVgBFAEUAUgBHAF8ANQBfADIAXwAxAF8AMQBfAF8AMgBfAE0AYQBzAHMATwBmAE4AaQB0AHIAbwBnAGUAbgBJAG4ATwByAGcAYQBuAGkAYwBGAGUAcgB0AGkAbABpAHMAZQByAF8ATABhAHQAZQB4AEUAcQB1AGEAdABpAG8AbgBcAG4AIAAgAD0ATABBAE0AQgBEAEEAKABcACIATQBOAFMAbwBpAGwAXwB7AGoAZgB9AD0ATQBfAHsAbwByAGcAYQBuAGkAYwAsAGoAZgB9AFwAXAB0AGkAbQBlAHMAIABGAE4AXwB7AG8AcgBnAGEAbgBpAGMALABmAH0AXAAiACkAOwBcAG4AXABuAFYARQBFAFIARwBfADUAXwAyAF8AMQBfADEAXwBfADIAXwBNAGEAcwBzAE8AZgBOAGkAdAByAG8AZwBlAG4ASQBuAE8AcgBnAGEAbgBpAGMARgBlAHIAdABpAGwAaQBzAGUAcgBfAEEAcgBnAHUAbQBlAG4AdABzAFwAbgAgACAAPQBMAEEATQBCAEQAQQAoAFwAbgAgACAAIAAgAE0AQQBLAEUAQQBSAFIAQQBZACgAMwAsACAANAAsACAAXABuACAAIAAgACAAIAAgAEwAQQBNAEIARABBACgAcgAsAGMALAAgAFwAbgAgACAAIAAgACAAIAAgACAASQBOAEQARQBYACgAewBcAG4AIAAgACAAIAAgACAAIAAgACAAIABcACIATQBfAG8AcgBnAGEAbgBpAGMAagBmAFwAIgAsAFwAIgBtAGEAcwBzACAAbwBmACAAbwByAGcAYQBuAGkAYwAgAGYAZQByAHQAaQBsAGkAcwBlAHIAIAB0AHkAcABlACAAZgAgAGEAcABwAGwAaQBlAGQAIAB0AG8AIABwAHIAbwBkAHUAYwB0AGkAbwBuACAAcwB5AHMAdABlAG0AIABqAFwAIgAsACAAXAAiAGsAZwBcACIALAAgAFwAIgBJAG4AcAB1AHQAXAAiADsAXABuACAAIAAgACAAIAAgACAAIAAgACAAXAAiAEYATgBfAG8AcgBnAGEAbgBpAGMAZgBcACIALABcACIAbgBpAHQAcgBvAGcAZQBuACAAZgByAGEAYwB0AGkAbwBuACAAbwBmACAAbwByAGcAYQBuAGkAYwAgAGYAZQByAHQAaQBsAGkAcwBlAHIAIAB0AHkAcABlACAAZgBcACIALAAgAFwAIgBrAGcAIABOAC8AawBnAFwAIgAsACAAXAAiAEkAbgBwAHUAdABcACIAOwBcAG4AIAAgACAAIAAgACAAIAAgACAAIABcACIAZgBcACIALABcACIATwByAGcAYQBuAGkAYwAgAGYAZQByAHQAaQBsAGkAcwBlAHIAIAB0AHkAcABlAFwAIgAsACAAXAAiAFwAIgAsACAAXAAiAEkAbgBwAHUAdABcACIAXABuACAAIAAgACAAIAAgACAAIAB9ACwAIAByACwAIABjACkAXABuACAAIAAgACAAIAAgACkAXABuACAAIAAgACAAKQBcAG4AIAAgACkAOwBcAG4AIgB9ACwAewAiAHAAYQB0AGgAIgA6ACIALwBwAHIAbwBqAGUAYwB0AHMALwBGAGUAcgB0AGkAbABpAHMAZQByAF8ARQBxAHUAYQB0AGkAbwBuAHMAXwBMAGkAbQBlACIALAAiAHQAZQB4AHQAIgA6ACIALwAqAFwAbgA9AD0APQA9AD0APQA9AD0APQA9AD0APQA9AD0APQA9AD0APQA9AD0APQA9AD0APQA9AD0APQA9AD0APQA9AD0APQA9AD0APQA9AD0AXABuADUAOgAgAEYAZQByAHQAaQBsAGkAcwBlAHIAIABVAHMAZQBcAG4APQA9AD0APQA9AD0APQA9AD0APQA9AD0APQA9AD0APQA9AD0APQA9AD0APQA9AD0APQA9AD0APQA9AD0APQA9AD0APQA9AD0APQA9AFwAbgA1AC4AMwAgAEwAaQBtAGUAIABhAHAAcABsAGkAYwBhAHQAaQBvAG4AXABuAD0APQA9AD0APQA9AD0APQA9AD0APQA9AD0APQA9AD0APQA9AD0APQA9AD0APQA9AD0APQA9AD0APQA9AD0APQA9AD0APQA9AD0APQBcAG4AKgAvAFwAbgBcAG4ALwAqACAAXABuAC0ALQAtAC0ALQAtAC0ALQAtAC0ALQAtAC0ALQAtAC0ALQAtAC0ALQAtAC0ALQAtAC0ALQAtAC0ALQAtAC0ALQAtAC0ALQAtAC0ALQBcAG4AVgBFAEUAUgBHAF8ANQBfADMAXwAxAF8AMQBfAF8AMQBfAEwAaQBtAGUAQQBwAHAAbABpAGMAYQB0AGkAbwBuAEMATwAyAEUAbQBpAHMAcwBpAG8AbgBzAFwAbgBFAG0AaQBzAHMAaQBvAG4AcwAgAGYAcgBvAG0AIAB0AGgAZQAgAGEAcABwAGwAaQBjAGEAdABpAG8AbgAgAG8AZgAgAGwAaQBtAGUAIABhAG4AZAAgAGQAbwBsAG8AbQBpAHQAZQAgAHQAbwAgAHAAcgBvAGQAdQBjAHQAaQBvAG4AIABzAHkAcwB0AGUAbQBzAFwAbgBFAF8AbABpAG0AZQBcAG4AdAAgAEMATwAyAFwAbgBFAF8AewBsAGkAbQBlAH0APQBbACgATQBfAHsAbABpAG0AZQB9AFwAXAB0AGkAbQBlAHMAIABGAHIAYQBjAEwAaQBtAGUAXABcAHQAaQBtAGUAcwAgAFAAXwB7AGwAaQBtAGUAfQBcAFwAdABpAG0AZQBzACAARQBGAF8AewBsAGkAbQBlAH0AKQArACgATQBfAHsAbABpAG0AZQB9AFwAXAB0AGkAbQBlAHMAIABGAHIAYQBjAEQAbwBsAFwAXAB0AGkAbQBlAHMAIABQAF8AewBkAG8AbAB9AFwAXAB0AGkAbQBlAHMAIABFAEYAXwB7AGQAbwBsAH0AKQBdAFwAXAB0AGkAbQBlAHMAIABDAF8AewBDAE8AMgB9AFwAXAB0AGkAbQBlAHMAIAAxADAAXgB7AC0AMwB9AFwAbgBNAF8AbABpAG0AZQBcAG4ARgByAGEAYwBMAGkAbQBlAFwAbgBQAF8AbABpAG0AZQBcAG4ARQBGAF8AbABpAG0AZQBcAG4ARgByAGEAYwBEAG8AbABcAG4AUABfAGQAbwBsAFwAbgBFAEYAXwBkAG8AbABcAG4AQwBfAEMATwAyAFwAbgAtAC0ALQAtAC0ALQAtAC0ALQAtAC0ALQAtAC0ALQAtAC0ALQAtAC0ALQAtAC0ALQAtAC0ALQAtAC0ALQAtAC0ALQAtAC0ALQAtAC0AXABuACoALwBcAG4AXABuAFYARQBFAFIARwBfADUAXwAzAF8AMQBfADEAXwBfADEAXwBMAGkAbQBlAEEAcABwAGwAaQBjAGEAdABpAG8AbgBDAE8AMgBFAG0AaQBzAHMAaQBvAG4AcwBcAG4AIAAgAD0ATABBAE0AQgBEAEEAKABcAG4AIAAgACAAIABNAF8AbABpAG0AZQAsACAARgByAGEAYwBMAGkAbQBlACwAIABQAF8AbABpAG0AZQAsACAARQBGAF8AbABpAG0AZQAsACAARgByAGEAYwBEAG8AbAAsACAAUABfAGQAbwBsACwAIABFAEYAXwBkAG8AbAAsACAAQwBfAEMATwAyACwAXABuACAAIAAgACAAKAAoAE0AXwBsAGkAbQBlACAAKgAgAEYAcgBhAGMATABpAG0AZQAgACoAIABQAF8AbABpAG0AZQAgACoAIABFAEYAXwBsAGkAbQBlACkAIAArACAAKABNAF8AbABpAG0AZQAgACoAIABGAHIAYQBjAEQAbwBsACAAKgAgAFAAXwBkAG8AbAAgACoAIABFAEYAXwBkAG8AbAApACkAIAAqACAAQwBfAEMATwAyACAAKgAgADEAMAAgAF4AIAAtADMAXABuACAAIAApADsAXABuAFwAbgBWAEUARQBSAEcAXwA1AF8AMwBfADEAXwAxAF8AXwAxAF8ATABpAG0AZQBBAHAAcABsAGkAYwBhAHQAaQBvAG4AQwBPADIARQBtAGkAcwBzAGkAbwBuAHMAXwBUAGkAdABsAGUAXABuACAAIAA9AEwAQQBNAEIARABBACgAXAAiAEUAbQBpAHMAcwBpAG8AbgBzACAAZgByAG8AbQAgAHQAaABlACAAYQBwAHAAbABpAGMAYQB0AGkAbwBuACAAbwBmACAAbABpAG0AZQAgAGEAbgBkACAAZABvAGwAbwBtAGkAdABlACAAdABvACAAcAByAG8AZAB1AGMAdABpAG8AbgAgAHMAeQBzAHQAZQBtAHMAXAAiACkAOwBcAG4AXABuAFYARQBFAFIARwBfADUAXwAzAF8AMQBfADEAXwBfADEAXwBMAGkAbQBlAEEAcABwAGwAaQBjAGEAdABpAG8AbgBDAE8AMgBFAG0AaQBzAHMAaQBvAG4AcwBfAFYAYQByAGkAYQBiAGwAZQBcAG4AIAAgAD0ATABBAE0AQgBEAEEAKABcACIARQBfAGwAaQBtAGUAXAAiACkAOwBcAG4AXABuAFYARQBFAFIARwBfADUAXwAzAF8AMQBfADEAXwBfADEAXwBMAGkAbQBlAEEAcABwAGwAaQBjAGEAdABpAG8AbgBDAE8AMgBFAG0AaQBzAHMAaQBvAG4AcwBfAFUAbgBpAHQAXABuACAAIAA9AEwAQQBNAEIARABBACgAXAAiAHQAIABDAE8AMgBcACIAKQA7AFwAbgBcAG4AVgBFAEUAUgBHAF8ANQBfADMAXwAxAF8AMQBfAF8AMQBfAEwAaQBtAGUAQQBwAHAAbABpAGMAYQB0AGkAbwBuAEMATwAyAEUAbQBpAHMAcwBpAG8AbgBzAF8AUwBvAHUAcgBjAGUAXABuACAAIAA9AEwAQQBNAEIARABBACgAXAAiAFYARQBFAFIARwAgADIAMAAyADYAOgAgADUALgAzAC4AMQAuADEALAAgAEUAcQB1AGEAdABpAG8AbgAgACgAMQApAFwAIgApADsAXABuAFwAbgBWAEUARQBSAEcAXwA1AF8AMwBfADEAXwAxAF8AXwAxAF8ATABpAG0AZQBBAHAAcABsAGkAYwBhAHQAaQBvAG4AQwBPADIARQBtAGkAcwBzAGkAbwBuAHMAXwBOAEkAUgBSAGUAZgBlAHIAZQBuAGMAZQBcAG4AIAAgAD0ATABBAE0AQgBEAEEAKABcACIAXAAiACkAOwBcAG4AXABuAFYARQBFAFIARwBfADUAXwAzAF8AMQBfADEAXwBfADEAXwBMAGkAbQBlAEEAcABwAGwAaQBjAGEAdABpAG8AbgBDAE8AMgBFAG0AaQBzAHMAaQBvAG4AcwBfAEwAYQB0AGUAeABFAHEAdQBhAHQAaQBvAG4AXABuACAAIAA9AEwAQQBNAEIARABBACgAXAAiAEUAXwB7AGwAaQBtAGUAfQA9AFsAKABNAF8AewBsAGkAbQBlAH0AXABcAHQAaQBtAGUAcwAgAEYAcgBhAGMATABpAG0AZQBcAFwAdABpAG0AZQBzACAAUABfAHsAbABpAG0AZQB9AFwAXAB0AGkAbQBlAHMAIABFAEYAXwB7AGwAaQBtAGUAfQApACsAKABNAF8AewBsAGkAbQBlAH0AXABcAHQAaQBtAGUAcwAgAEYAcgBhAGMARABvAGwAXABcAHQAaQBtAGUAcwAgAFAAXwB7AGQAbwBsAH0AXABcAHQAaQBtAGUAcwAgAEUARgBfAHsAZABvAGwAfQApAF0AXABcAHQAaQBtAGUAcwAgAEMAXwB7AEMATwAyAH0AXABcAHQAaQBtAGUAcwAgADEAMABeAHsALQAzAH0AXAAiACkAOwBcAG4AXABuAFYARQBFAFIARwBfADUAXwAzAF8AMQBfADEAXwBfADEAXwBMAGkAbQBlAEEAcABwAGwAaQBjAGEAdABpAG8AbgBDAE8AMgBFAG0AaQBzAHMAaQBvAG4AcwBfAEEAcgBnAHUAbQBlAG4AdABzAFwAbgAgACAAPQBMAEEATQBCAEQAQQAoAFwAbgAgACAAIAAgAE0AQQBLAEUAQQBSAFIAQQBZACgAOAAsACAANAAsACAAXABuACAAIAAgACAAIAAgAEwAQQBNAEIARABBACgAcgAsAGMALAAgAFwAbgAgACAAIAAgACAAIAAgACAASQBOAEQARQBYACgAewBcAG4AIAAgACAAIAAgACAAIAAgACAAIABcACIATQBfAGwAaQBtAGUAXAAiACwAXAAiAHQAbwB0AGEAbAAgAG0AYQBzAHMAIABvAGYAIABsAGkAbQBlACAAYQBwAHAAbABpAGUAZAAgAHQAbwAgAHAAcgBvAGQAdQBjAHQAaQBvAG4AIABzAHkAcwB0AGUAbQBcACIALAAgAFwAIgBrAGcAXAAiACwAIABcACIASQBuAHAAdQB0AFwAIgA7AFwAbgAgACAAIAAgACAAIAAgACAAIAAgAFwAIgBGAHIAYQBjAEwAaQBtAGUAXAAiACwAXAAiAGYAcgBhAGMAdABpAG8AbgAgAG8AZgAgAGwAaQBtAGUAIABhAHMAIABsAGkAbQBlAHMAdABvAG4AZQAgACgAQwBhAEMATwAzACkAXAAiACwAIABcACIAZgByAGEAYwB0AGkAbwBuAFwAIgAsACAAXAAiAEkAbgBwAHUAdABcACIAOwBcAG4AIAAgACAAIAAgACAAIAAgACAAIABcACIAUABfAGwAaQBtAGUAXAAiACwAXAAiAGYAcgBhAGMAdABpAG8AbgBhAGwAIABwAHUAcgBpAHQAeQAgAG8AZgAgAGwAaQBtAGUAcwB0AG8AbgBlAFwAIgAsACAAXAAiAGYAcgBhAGMAdABpAG8AbgBcACIALAAgAFwAIgBDAG8AbgBzAHQAYQBuAHQAXAAiADsAXABuACAAIAAgACAAIAAgACAAIAAgACAAXAAiAEUARgBfAGwAaQBtAGUAXAAiACwAXAAiAGUAbQBpAHMAcwBpAG8AbgAgAGYAYQBjAHQAbwByACAAZgBvAHIAIABsAGkAbQBlAHMAdABvAG4AZQAgAGYAcgBhAGMAdABpAG8AbgAgAG8AZgAgAGwAaQBtAGUAXAAiACwAIABcACIAawBnACAAQwAvAGsAZwBcACIALAAgAFwAIgBDAG8AbgBzAHQAYQBuAHQAXAAiADsAXABuACAAIAAgACAAIAAgACAAIAAgACAAXAAiAEYAcgBhAGMARABvAGwAXAAiACwAXAAiAGYAcgBhAGMAdABpAG8AbgAgAG8AZgAgAGwAaQBtAGUAIABhAHMAIABkAG8AbABvAG0AaQB0AGUAXAAiACwAIABcACIAZgByAGEAYwB0AGkAbwBuAFwAIgAsACAAXAAiAEkAbgBwAHUAdABcACIAOwBcAG4AIAAgACAAIAAgACAAIAAgACAAIABcACIAUABfAGQAbwBsAFwAIgAsAFwAIgBmAHIAYQBjAHQAaQBvAG4AYQBsACAAcAB1AHIAaQB0AHkAIABvAGYAIABkAG8AbABvAG0AaQB0AGUAXAAiACwAIABcACIAZgByAGEAYwB0AGkAbwBuAFwAIgAsACAAXAAiAEMAbwBuAHMAdABhAG4AdABcACIAOwBcAG4AIAAgACAAIAAgACAAIAAgACAAIABcACIARQBGAF8AZABvAGwAXAAiACwAXAAiAGUAbQBpAHMAcwBpAG8AbgAgAGYAYQBjAHQAbwByACAAZgBvAHIAIABkAG8AbABvAG0AaQB0AGUAIABmAHIAYQBjAHQAaQBvAG4AIABvAGYAIABsAGkAbQBlAFwAIgAsACAAXAAiAGsAZwAgAEMALwBrAGcAXAAiACwAIABcACIAQwBvAG4AcwB0AGEAbgB0AFwAIgA7AFwAbgAgACAAIAAgACAAIAAgACAAIAAgAFwAIgBDAF8AQwBPADIAXAAiACwAXAAiAGYAYQBjAHQAbwByACAAdABvACAAYwBvAG4AdgBlAHIAdAAgAGUAbABlAG0AZQBuAHQAYQBsACAAbQBhAHMAcwAgAG8AZgAgAGMAYQByAGIAbwBuACAAZABpAG8AeABpAGQAZQAgAHQAbwAgAG0AbwBsAGUAYwB1AGwAYQByACAAbQBhAHMAcwBcACIALAAgAFwAIgBcACIALAAgAFwAIgBDAG8AbgBzAHQAYQBuAHQAXAAiAFwAbgAgACAAIAAgACAAIAAgACAAfQAsACAAcgAsACAAYwApAFwAbgAgACAAIAAgACAAIAApAFwAbgAgACAAIAAgACkAXABuACAAIAApADsAXABuAFwAbgBcAG4AIgB9ACwAewAiAHAAYQB0AGgAIgA6ACIALwBwAHIAbwBqAGUAYwB0AHMALwBGAGUAcgB0AGkAbABpAHMAZQByAF8ARQBxAHUAYQB0AGkAbwBuAHMAXwBBAHQAbQBvAHMAcABoAGUAcgBpAGMARABlAHAAbwBzAGkAdABpAG8AbgAiACwAIgB0AGUAeAB0ACIAOgAiAC8AKgBcAG4APQA9AD0APQA9AD0APQA9AD0APQA9AD0APQA9AD0APQA9AD0APQA9AD0APQA9AD0APQA9AD0APQA9AD0APQA9AD0APQA9AD0APQA9AFwAbgA1ADoAIABGAGUAcgB0AGkAbABpAHMAZQByACAAVQBzAGUAXABuAD0APQA9AD0APQA9AD0APQA9AD0APQA9AD0APQA9AD0APQA9AD0APQA9AD0APQA9AD0APQA9AD0APQA9AD0APQA9AD0APQA9AD0APQBcAG4ANQAuADQAIABJAG4AbwByAGcAYQBuAGkAYwAgAGYAZQByAHQAaQBsAGkAcwBlAHIAIABhAHQAbQBvAHMAcABoAGUAcgBpAGMAIABkAGUAcABvAHMAaQB0AGkAbwBuAFwAbgA9AD0APQA9AD0APQA9AD0APQA9AD0APQA9AD0APQA9AD0APQA9AD0APQA9AD0APQA9AD0APQA9AD0APQA9AD0APQA9AD0APQA9AD0AXABuACoALwBcAG4AXABuAC8AKgAgAFwAbgAtAC0ALQAtAC0ALQAtAC0ALQAtAC0ALQAtAC0ALQAtAC0ALQAtAC0ALQAtAC0ALQAtAC0ALQAtAC0ALQAtAC0ALQAtAC0ALQAtAC0AXABuAFYARQBFAFIARwBfADUAXwA0AF8AMQBfADEAXwBfADEAXwBJAG4AbwByAGcAYQBuAGkAYwBGAGUAcgB0AGkAbABpAHMAZQByAEEAdABtAG8AcwBwAGgAZQByAGkAYwBEAGUAcABvAHMAaQB0AGkAbwBuAE4AMgBPAEUAbQBpAHMAcwBpAG8AbgBzAFwAbgBOAGkAdAByAG8AdQBzACAAbwB4AGkAZABlACAAZQBtAGkAcwBzAGkAbwBuAHMAIABmAHIAbwBtACAAYQB0AG0AbwBzAHAAaABlAHIAaQBjACAAZABlAHAAbwBzAGkAdABpAG8AbgAgAGYAcgBvAG0AIABhAGwAbAAgAGkAbgBvAHIAZwBhAG4AaQBjACAAZgBlAHIAdABpAGwAaQBzAGUAcgAgAHQAeQBwAGUAcwAgAGYAIABhAG4AZAAgAGEAbABsACAAcAByAG8AZAB1AGMAdABpAG8AbgAgAHMAeQBzAHQAZQBtAHMAIABqAFwAbgBFAF8AYQBkAGkAbgBvAHIAZwBhAG4AaQBjAFwAbgB0ACAATgAyAE8AXABuAEUAXwB7AGEAZAAsAGkAbgBvAHIAZwBhAG4AaQBjAH0APQBcAFwAcwB1AG0AXwB7AGoAfQBcAFwAcwB1AG0AXwB7AGYAfQAoACgATQBfAHsAdgBvAGwALABpAG4AbwByAGcAYQBuAGkAYwAsAGoAZgB9AFwAXAB0AGkAbQBlAHMAIABFAEYAXwB7AE4AMgBPACwAagB9ACkAXABcAHQAaQBtAGUAcwAgAEMAXwB7AE4AMgBPAH0AXABcAHQAaQBtAGUAcwAgADEAMABeAHsALQAzAH0AKQBcAG4ATQBfAHYAbwBsAGkAbgBvAHIAZwBhAG4AaQBjAGoAZgBcAG4ARQBGAF8ATgAyAE8AagBcAG4AQwBfAE4AMgBPAFwAbgBqAFwAbgBmAFwAbgAtAC0ALQAtAC0ALQAtAC0ALQAtAC0ALQAtAC0ALQAtAC0ALQAtAC0ALQAtAC0ALQAtAC0ALQAtAC0ALQAtAC0ALQAtAC0ALQAtAC0AXABuACoALwBcAG4AXABuAFYARQBFAFIARwBfADUAXwA0AF8AMQBfADEAXwBfADEAXwBJAG4AbwByAGcAYQBuAGkAYwBGAGUAcgB0AGkAbABpAHMAZQByAEEAdABtAG8AcwBwAGgAZQByAGkAYwBEAGUAcABvAHMAaQB0AGkAbwBuAE4AMgBPAEUAbQBpAHMAcwBpAG8AbgBzAFwAbgAgACAAPQBMAEEATQBCAEQAQQAoAFwAbgAgACAAIAAgAE0AXwB2AG8AbABpAG4AbwByAGcAYQBuAGkAYwBqAGYALAAgAEUARgBfAE4AMgBPAGoALAAgAEMAXwBOADIATwAsAFwAbgAgACAAIAAgACgATQBfAHYAbwBsAGkAbgBvAHIAZwBhAG4AaQBjAGoAZgAgACoAIABFAEYAXwBOADIATwBqACkAIAAqACAAQwBfAE4AMgBPACAAKgAgADEAMAAgAF4AIAAtADMAXABuACAAIAApADsAXABuAFwAbgBWAEUARQBSAEcAXwA1AF8ANABfADEAXwAxAF8AXwAxAF8ASQBuAG8AcgBnAGEAbgBpAGMARgBlAHIAdABpAGwAaQBzAGUAcgBBAHQAbQBvAHMAcABoAGUAcgBpAGMARABlAHAAbwBzAGkAdABpAG8AbgBOADIATwBFAG0AaQBzAHMAaQBvAG4AcwBfAFQAaQB0AGwAZQBcAG4AIAAgAD0ATABBAE0AQgBEAEEAKABcACIATgBpAHQAcgBvAHUAcwAgAG8AeABpAGQAZQAgAGUAbQBpAHMAcwBpAG8AbgBzACAAZgByAG8AbQAgAGEAdABtAG8AcwBwAGgAZQByAGkAYwAgAGQAZQBwAG8AcwBpAHQAaQBvAG4AIABmAHIAbwBtACAAYQBsAGwAIABpAG4AbwByAGcAYQBuAGkAYwAgAGYAZQByAHQAaQBsAGkAcwBlAHIAIAB0AHkAcABlAHMAIABmACAAYQBuAGQAIABhAGwAbAAgAHAAcgBvAGQAdQBjAHQAaQBvAG4AIABzAHkAcwB0AGUAbQBzACAAagBcACIAKQA7AFwAbgBcAG4AVgBFAEUAUgBHAF8ANQBfADQAXwAxAF8AMQBfAF8AMQBfAEkAbgBvAHIAZwBhAG4AaQBjAEYAZQByAHQAaQBsAGkAcwBlAHIAQQB0AG0AbwBzAHAAaABlAHIAaQBjAEQAZQBwAG8AcwBpAHQAaQBvAG4ATgAyAE8ARQBtAGkAcwBzAGkAbwBuAHMAXwBWAGEAcgBpAGEAYgBsAGUAXABuACAAIAA9AEwAQQBNAEIARABBACgAXAAiAEUAXwBhAGQAaQBuAG8AcgBnAGEAbgBpAGMAXAAiACkAOwBcAG4AXABuAFYARQBFAFIARwBfADUAXwA0AF8AMQBfADEAXwBfADEAXwBJAG4AbwByAGcAYQBuAGkAYwBGAGUAcgB0AGkAbABpAHMAZQByAEEAdABtAG8AcwBwAGgAZQByAGkAYwBEAGUAcABvAHMAaQB0AGkAbwBuAE4AMgBPAEUAbQBpAHMAcwBpAG8AbgBzAF8AVQBuAGkAdABcAG4AIAAgAD0ATABBAE0AQgBEAEEAKABcACIAdAAgAE4AMgBPAFwAIgApADsAXABuAFwAbgBWAEUARQBSAEcAXwA1AF8ANABfADEAXwAxAF8AXwAxAF8ASQBuAG8AcgBnAGEAbgBpAGMARgBlAHIAdABpAGwAaQBzAGUAcgBBAHQAbQBvAHMAcABoAGUAcgBpAGMARABlAHAAbwBzAGkAdABpAG8AbgBOADIATwBFAG0AaQBzAHMAaQBvAG4AcwBfAFMAbwB1AHIAYwBlAFwAbgAgACAAPQBMAEEATQBCAEQAQQAoAFwAIgBWAEUARQBSAEcAIAAyADAAMgA2ADoAIAA1AC4ANAAuADEALgAxACwAIABFAHEAdQBhAHQAaQBvAG4AIAAoADEAKQBcACIAKQA7AFwAbgBcAG4AVgBFAEUAUgBHAF8ANQBfADQAXwAxAF8AMQBfAF8AMQBfAEkAbgBvAHIAZwBhAG4AaQBjAEYAZQByAHQAaQBsAGkAcwBlAHIAQQB0AG0AbwBzAHAAaABlAHIAaQBjAEQAZQBwAG8AcwBpAHQAaQBvAG4ATgAyAE8ARQBtAGkAcwBzAGkAbwBuAHMAXwBOAEkAUgBSAGUAZgBlAHIAZQBuAGMAZQBcAG4AIAAgAD0ATABBAE0AQgBEAEEAKABcACIAXAAiACkAOwBcAG4AXABuAFYARQBFAFIARwBfADUAXwA0AF8AMQBfADEAXwBfADEAXwBJAG4AbwByAGcAYQBuAGkAYwBGAGUAcgB0AGkAbABpAHMAZQByAEEAdABtAG8AcwBwAGgAZQByAGkAYwBEAGUAcABvAHMAaQB0AGkAbwBuAE4AMgBPAEUAbQBpAHMAcwBpAG8AbgBzAF8ATABhAHQAZQB4AEUAcQB1AGEAdABpAG8AbgBcAG4AIAAgAD0ATABBAE0AQgBEAEEAKABcACIARQBfAHsAYQBkACwAaQBuAG8AcgBnAGEAbgBpAGMAfQA9AFwAXABzAHUAbQBcAFwAbgBvAGwAaQBtAGkAdABzAF8AewBqAH0AXABcAHMAdQBtAFwAXABuAG8AbABpAG0AaQB0AHMAXwB7AGYAfQAoACgATQBfAHsAdgBvAGwALABpAG4AbwByAGcAYQBuAGkAYwAsAGoAZgB9AFwAXAB0AGkAbQBlAHMAIABFAEYAXwB7AE4AMgBPACwAagB9ACkAXABcAHQAaQBtAGUAcwAgAEMAXwB7AE4AMgBPAH0AXABcAHQAaQBtAGUAcwAgADEAMABeAHsALQAzAH0AKQBcACIAKQA7AFwAbgBcAG4AVgBFAEUAUgBHAF8ANQBfADQAXwAxAF8AMQBfAF8AMQBfAEkAbgBvAHIAZwBhAG4AaQBjAEYAZQByAHQAaQBsAGkAcwBlAHIAQQB0AG0AbwBzAHAAaABlAHIAaQBjAEQAZQBwAG8AcwBpAHQAaQBvAG4ATgAyAE8ARQBtAGkAcwBzAGkAbwBuAHMAXwBBAHIAZwB1AG0AZQBuAHQAcwBcAG4AIAAgAD0ATABBAE0AQgBEAEEAKABcAG4AIAAgACAAIABNAEEASwBFAEEAUgBSAEEAWQAoADYALAAgADQALAAgAFwAbgAgACAAIAAgACAAIABMAEEATQBCAEQAQQAoAHIALABjACwAIABcAG4AIAAgACAAIAAgACAAIAAgAEkATgBEAEUAWAAoAHsAXABuACAAIAAgACAAIAAgACAAIAAgACAAXAAiAE0AXwB2AG8AbABpAG4AbwByAGcAYQBuAGkAYwBqAGYAXAAiACwAXAAiAG0AYQBzAHMAIABvAGYAIABuAGkAdAByAG8AZwBlAG4AIAB2AG8AbABhAHQAaQBsAGkAcwBlAGQAIABmAHIAbwBtACAAaQBuAG8AcgBnAGEAbgBpAGMAIABmAGUAcgB0AGkAbABpAHMAZQByACAAYQBwAHAAbABpAGUAZAAgAHQAbwAgAHAAcgBvAGQAdQBjAHQAaQBvAG4AIABzAHkAcwB0AGUAbQBcACIALAAgAFwAIgBrAGcAIABOAFwAIgAsACAAXAAiAEMAYQBsAGMAdQBsAGEAdABlAGQAIABmAHIAbwBtACAANQAuADQALgAxAC4AMQAgACgAMgApAFwAIgA7AFwAbgAgACAAIAAgACAAIAAgACAAIAAgAFwAIgBFAEYAXwBOADIATwBqAFwAIgAsAFwAIgBlAG0AaQBzAHMAaQBvAG4AIABmAGEAYwB0AG8AcgAgAGYAbwByACAAYQB0AG0AbwBzAHAAaABlAHIAaQBjACAAZABlAHAAbwBzAGkAdABpAG8AbgBcACIALAAgAFwAIgBrAGcAIABOADIATwAtAE4ALwBrAGcAIABOAFwAIgAsACAAXAAiAEMAbwBuAHMAdABhAG4AdABcACIAOwBcAG4AIAAgACAAIAAgACAAIAAgACAAIABcACIAQwBfAE4AMgBPAFwAIgAsAFwAIgBmAGEAYwB0AG8AcgAgAHQAbwAgAGMAbwBuAHYAZQByAHQAIABlAGwAZQBtAGUAbgB0AGEAbAAgAG0AYQBzAHMAIABvAGYAIABuAGkAdAByAG8AdQBzACAAbwB4AGkAZABlACAAdABvACAAbQBvAGwAZQBjAHUAbABhAHIAIABtAGEAcwBzAFwAIgAsACAAXAAiAFwAIgAsACAAXAAiAEMAbwBuAHMAdABhAG4AdABcACIAOwBcAG4AIAAgACAAIAAgACAAIAAgACAAIABcACIAagBcACIALABcACIAUAByAG8AZAB1AGMAdABpAG8AbgAgAHMAeQBzAHQAZQBtAFwAIgAsACAAXAAiAFwAIgAsACAAXAAiAEkAbgBwAHUAdABcACIAOwBcAG4AIAAgACAAIAAgACAAIAAgACAAIABcACIAaQByAFwAIgAsAFwAIgBpAHIAcgBpAGcAYQB0AGkAbwBuACAAbQBlAHQAaABvAGQAXAAiACwAIABcACIAXAAiACwAIABcACIASQBuAHAAdQB0AFwAIgA7AFwAbgAgACAAIAAgACAAIAAgACAAIAAgAFwAIgByAFwAIgAsAFwAIgByAGEAaQBuAGYAYQBsAGwAIAByAGUAZwBpAG8AbgBcACIALAAgAFwAIgBcACIALAAgAFwAIgBJAG4AcAB1AHQAXAAiAFwAbgAgACAAIAAgACAAIAAgACAAfQAsACAAcgAsACAAYwApAFwAbgAgACAAIAAgACAAIAApAFwAbgAgACAAIAAgACkAXABuACAAIAApADsAXABuAFwAbgAvACoAIABcAG4ALQAtAC0ALQAtAC0ALQAtAC0ALQAtAC0ALQAtAC0ALQAtAC0ALQAtAC0ALQAtAC0ALQAtAC0ALQAtAC0ALQAtAC0ALQAtAC0ALQAtAFwAbgBWAEUARQBSAEcAXwA1AF8ANABfADEAXwAxAF8AXwAyAF8ATQBhAHMAcwBPAGYATgBpAHQAcgBvAGcAZQBuAFYAbwBsAGEAdABpAGwAaQBzAGUAZABGAHIAbwBtAEkAbgBvAHIAZwBhAG4AaQBjAEYAZQByAHQAaQBsAGkAcwBlAHIAXABuAE0AYQBzAHMAIABvAGYAIABuAGkAdAByAG8AZwBlAG4AIAB2AG8AbABhAHQAaQBsAGkAcwBlAGQAIABmAHIAbwBtACAAaQBuAG8AcgBnAGEAbgBpAGMAIABmAGUAcgB0AGkAbABpAHMAZQByACAAYQBwAHAAbABpAGUAZAAgAHQAbwAgAHAAcgBvAGQAdQBjAHQAaQBvAG4AIABzAHkAcwB0AGUAbQBcAG4ATQBfAHYAbwBsAGkAbgBvAHIAZwBhAG4AaQBjAGoAZgBcAG4AawBnACAATgBcAG4ATQBfAHsAdgBvAGwALABpAG4AbwByAGcAYQBuAGkAYwAsAGoAZgB9AD0AewBNAE4AfQBfAHsAagBmAH0AXABcAHQAaQBtAGUAcwAgAEYAcgBhAGMARwBBAFMARgBfAHsAZgB9AFwAbgBNAE4AXwBqAGYAXABuAEYAcgBhAGMARwBBAFMARgBfAGYAXABuAGoAXABuAGYAXABuAC0ALQAtAC0ALQAtAC0ALQAtAC0ALQAtAC0ALQAtAC0ALQAtAC0ALQAtAC0ALQAtAC0ALQAtAC0ALQAtAC0ALQAtAC0ALQAtAC0ALQBcAG4AKgAvAFwAbgBcAG4AVgBFAEUAUgBHAF8ANQBfADQAXwAxAF8AMQBfAF8AMgBfAE0AYQBzAHMATwBmAE4AaQB0AHIAbwBnAGUAbgBWAG8AbABhAHQAaQBsAGkAcwBlAGQARgByAG8AbQBJAG4AbwByAGcAYQBuAGkAYwBGAGUAcgB0AGkAbABpAHMAZQByAFwAbgAgACAAPQBMAEEATQBCAEQAQQAoAFwAbgAgACAAIAAgAE0ATgBfAGoAZgAsACAARgByAGEAYwBHAEEAUwBGAF8AZgAsAFwAbgAgACAAIAAgAE0ATgBfAGoAZgAgACoAIABGAHIAYQBjAEcAQQBTAEYAXwBmAFwAbgAgACAAKQA7AFwAbgBcAG4AVgBFAEUAUgBHAF8ANQBfADQAXwAxAF8AMQBfAF8AMgBfAE0AYQBzAHMATwBmAE4AaQB0AHIAbwBnAGUAbgBWAG8AbABhAHQAaQBsAGkAcwBlAGQARgByAG8AbQBJAG4AbwByAGcAYQBuAGkAYwBGAGUAcgB0AGkAbABpAHMAZQByAF8AVABpAHQAbABlAFwAbgAgACAAPQBMAEEATQBCAEQAQQAoAFwAIgBNAGEAcwBzACAAbwBmACAAbgBpAHQAcgBvAGcAZQBuACAAdgBvAGwAYQB0AGkAbABpAHMAZQBkACAAZgByAG8AbQAgAGkAbgBvAHIAZwBhAG4AaQBjACAAZgBlAHIAdABpAGwAaQBzAGUAcgAgAGEAcABwAGwAaQBlAGQAIAB0AG8AIABwAHIAbwBkAHUAYwB0AGkAbwBuACAAcwB5AHMAdABlAG0AXAAiACkAOwBcAG4AXABuAFYARQBFAFIARwBfADUAXwA0AF8AMQBfADEAXwBfADIAXwBNAGEAcwBzAE8AZgBOAGkAdAByAG8AZwBlAG4AVgBvAGwAYQB0AGkAbABpAHMAZQBkAEYAcgBvAG0ASQBuAG8AcgBnAGEAbgBpAGMARgBlAHIAdABpAGwAaQBzAGUAcgBfAFYAYQByAGkAYQBiAGwAZQBcAG4AIAAgAD0ATABBAE0AQgBEAEEAKABcACIATQBfAHYAbwBsAGkAbgBvAHIAZwBhAG4AaQBjAGoAZgBcACIAKQA7AFwAbgBcAG4AVgBFAEUAUgBHAF8ANQBfADQAXwAxAF8AMQBfAF8AMgBfAE0AYQBzAHMATwBmAE4AaQB0AHIAbwBnAGUAbgBWAG8AbABhAHQAaQBsAGkAcwBlAGQARgByAG8AbQBJAG4AbwByAGcAYQBuAGkAYwBGAGUAcgB0AGkAbABpAHMAZQByAF8AVQBuAGkAdABcAG4AIAAgAD0ATABBAE0AQgBEAEEAKABcACIAawBnACAATgBcACIAKQA7AFwAbgBcAG4AVgBFAEUAUgBHAF8ANQBfADQAXwAxAF8AMQBfAF8AMgBfAE0AYQBzAHMATwBmAE4AaQB0AHIAbwBnAGUAbgBWAG8AbABhAHQAaQBsAGkAcwBlAGQARgByAG8AbQBJAG4AbwByAGcAYQBuAGkAYwBGAGUAcgB0AGkAbABpAHMAZQByAF8AUwBvAHUAcgBjAGUAXABuACAAIAA9AEwAQQBNAEIARABBACgAXAAiAFYARQBFAFIARwAgADIAMAAyADYAOgAgADUALgA0AC4AMQAuADEALAAgAEUAcQB1AGEAdABpAG8AbgAgACgAMgApAFwAIgApADsAXABuAFwAbgBWAEUARQBSAEcAXwA1AF8ANABfADEAXwAxAF8AXwAyAF8ATQBhAHMAcwBPAGYATgBpAHQAcgBvAGcAZQBuAFYAbwBsAGEAdABpAGwAaQBzAGUAZABGAHIAbwBtAEkAbgBvAHIAZwBhAG4AaQBjAEYAZQByAHQAaQBsAGkAcwBlAHIAXwBOAEkAUgBSAGUAZgBlAHIAZQBuAGMAZQBcAG4AIAAgAD0ATABBAE0AQgBEAEEAKABcACIAXAAiACkAOwBcAG4AXABuAFYARQBFAFIARwBfADUAXwA0AF8AMQBfADEAXwBfADIAXwBNAGEAcwBzAE8AZgBOAGkAdAByAG8AZwBlAG4AVgBvAGwAYQB0AGkAbABpAHMAZQBkAEYAcgBvAG0ASQBuAG8AcgBnAGEAbgBpAGMARgBlAHIAdABpAGwAaQBzAGUAcgBfAEwAYQB0AGUAeABFAHEAdQBhAHQAaQBvAG4AXABuACAAIAA9AEwAQQBNAEIARABBACgAXAAiAE0AXwB7AHYAbwBsACwAaQBuAG8AcgBnAGEAbgBpAGMALABqAGYAfQA9AHsATQBOAH0AXwB7AGoAZgB9AFwAXAB0AGkAbQBlAHMAIABGAHIAYQBjAEcAQQBTAEYAXwB7AGYAfQBcACIAKQA7AFwAbgBcAG4AVgBFAEUAUgBHAF8ANQBfADQAXwAxAF8AMQBfAF8AMgBfAE0AYQBzAHMATwBmAE4AaQB0AHIAbwBnAGUAbgBWAG8AbABhAHQAaQBsAGkAcwBlAGQARgByAG8AbQBJAG4AbwByAGcAYQBuAGkAYwBGAGUAcgB0AGkAbABpAHMAZQByAF8AQQByAGcAdQBtAGUAbgB0AHMAXABuACAAIAA9AEwAQQBNAEIARABBACgAXABuACAAIAAgACAATQBBAEsARQBBAFIAUgBBAFkAKAAyACwAIAA0ACwAIABcAG4AIAAgACAAIAAgACAATABBAE0AQgBEAEEAKAByACwAYwAsACAAXABuACAAIAAgACAAIAAgACAAIABJAE4ARABFAFgAKAB7AFwAbgAgACAAIAAgACAAIAAgACAAIAAgAFwAIgBNAE4AXwBqAGYAXAAiACwAXAAiAG0AYQBzAHMAIABvAGYAIABuAGkAdAByAG8AZwBlAG4AIABpAG4AIABpAG4AbwByAGcAYQBuAGkAYwAgAGYAZQByAHQAaQBsAGkAcwBlAHIAIABhAHAAcABsAGkAZQBkAFwAIgAsACAAXAAiAGsAZwAgAE4AXAAiACwAIABcACIAQwBhAGwAYwB1AGwAYQB0AGUAZAAgAGYAcgBvAG0AIAA1AC4AMQAuADEALgAxACAAKAAyACkAXAAiADsAXABuACAAIAAgACAAIAAgACAAIAAgACAAXAAiAEYAcgBhAGMARwBBAFMARgBfAGYAXAAiACwAXAAiAGYAcgBhAGMAdABpAG8AbgAgAG8AZgAgAGkAbgBvAHIAZwBhAG4AaQBjACAAZgBlAHIAdABpAGwAaQBzAGUAcgAgAHQAaABhAHQAIAB2AG8AbABhAHQAaQBsAGkAcwBlAHMAXAAiACwAIABcACIAKABrAGcAIABOAEgAMwAtAE4AIAArACAATgBPAHgALQBOACkALwBrAGcAIABOAFwAIgAsACAAXAAiAEMAbwBuAHMAdABhAG4AdABcACIAXABuACAAIAAgACAAIAAgACAAIAB9ACwAIAByACwAIABjACkAXABuACAAIAAgACAAIAAgACkAXABuACAAIAAgACAAKQBcAG4AIAAgACkAOwBcAG4AXABuAFwAbgAvACoAIABcAG4ALQAtAC0ALQAtAC0ALQAtAC0ALQAtAC0ALQAtAC0ALQAtAC0ALQAtAC0ALQAtAC0ALQAtAC0ALQAtAC0ALQAtAC0ALQAtAC0ALQAtAFwAbgBWAEUARQBSAEcAXwA1AF8ANABfADEAXwAzAF8AXwAxAF8ATwByAGcAYQBuAGkAYwBGAGUAcgB0AGkAbABpAHMAZQByAEEAdABtAG8AcwBwAGgAZQByAGkAYwBEAGUAcABvAHMAaQB0AGkAbwBuAE4AMgBPAEUAbQBpAHMAcwBpAG8AbgBzAFwAbgBOAGkAdAByAG8AdQBzACAAbwB4AGkAZABlACAAZQBtAGkAcwBzAGkAbwBuAHMAIABmAHIAbwBtACAAYQB0AG0AbwBzAHAAaABlAHIAaQBjACAAZABlAHAAbwBzAGkAdABpAG8AbgAgAG8AZgAgAGEAbABsACAAbwByAGcAYQBuAGkAYwAgAGYAZQByAHQAaQBsAGkAcwBlAHIAIAB0AHkAcABlAHMAIABmACAAYQBuAGQAIABhAGwAbAAgAHAAcgBvAGQAdQBjAHQAaQBvAG4AIABzAHkAcwB0AGUAbQBzACAAagBcAG4ARQBfAGEAZABvAHIAZwBhAG4AaQBjAFwAbgB0ACAATgAyAE8AXABuAEUAXwB7AGEAZAAsAG8AcgBnAGEAbgBpAGMAfQA9AFwAXABzAHUAbQBfAHsAagB9AFwAXABzAHUAbQBfAHsAZgB9ACgAKABNAF8AewB2AG8AbAAsAG8AcgBnAGEAbgBpAGMALABqAGYAfQBcAFwAdABpAG0AZQBzACAARQBGAF8AewBOADIATwAsAGoAfQApAFwAXAB0AGkAbQBlAHMAIABDAF8AewBOADIATwB9AFwAXAB0AGkAbQBlAHMAIAAxADAAXgB7AC0AMwB9ACkAXABuAE0AXwB2AG8AbABvAHIAZwBhAG4AaQBjAGoAZgBcAG4ARQBGAF8ATgAyAE8AagBcAG4AQwBfAE4AMgBPAFwAbgBqAFwAbgBmAFwAbgAtAC0ALQAtAC0ALQAtAC0ALQAtAC0ALQAtAC0ALQAtAC0ALQAtAC0ALQAtAC0ALQAtAC0ALQAtAC0ALQAtAC0ALQAtAC0ALQAtAC0AXABuACoALwBcAG4AXABuAFYARQBFAFIARwBfADUAXwA0AF8AMQBfADMAXwBfADEAXwBPAHIAZwBhAG4AaQBjAEYAZQByAHQAaQBsAGkAcwBlAHIAQQB0AG0AbwBzAHAAaABlAHIAaQBjAEQAZQBwAG8AcwBpAHQAaQBvAG4ATgAyAE8ARQBtAGkAcwBzAGkAbwBuAHMAXABuACAAIAA9AEwAQQBNAEIARABBACgAXABuACAAIAAgACAATQBfAHYAbwBsAG8AcgBnAGEAbgBpAGMAagBmACwAIABFAEYAXwBOADIATwBqACwAIABDAF8ATgAyAE8ALABcAG4AIAAgACAAIAAoAE0AXwB2AG8AbABvAHIAZwBhAG4AaQBjAGoAZgAgACoAIABFAEYAXwBOADIATwBqACkAIAAqACAAQwBfAE4AMgBPACAAKgAgADEAMAAgAF4AIAAtADMAXABuACAAIAApADsAXABuAFwAbgBWAEUARQBSAEcAXwA1AF8ANABfADEAXwAzAF8AXwAxAF8ATwByAGcAYQBuAGkAYwBGAGUAcgB0AGkAbABpAHMAZQByAEEAdABtAG8AcwBwAGgAZQByAGkAYwBEAGUAcABvAHMAaQB0AGkAbwBuAE4AMgBPAEUAbQBpAHMAcwBpAG8AbgBzAF8AVABpAHQAbABlAFwAbgAgACAAPQBMAEEATQBCAEQAQQAoAFwAIgBOAGkAdAByAG8AdQBzACAAbwB4AGkAZABlACAAZQBtAGkAcwBzAGkAbwBuAHMAIABmAHIAbwBtACAAYQB0AG0AbwBzAHAAaABlAHIAaQBjACAAZABlAHAAbwBzAGkAdABpAG8AbgAgAG8AZgAgAGEAbABsACAAbwByAGcAYQBuAGkAYwAgAGYAZQByAHQAaQBsAGkAcwBlAHIAIAB0AHkAcABlAHMAIABmACAAYQBuAGQAIABhAGwAbAAgAHAAcgBvAGQAdQBjAHQAaQBvAG4AIABzAHkAcwB0AGUAbQBzACAAagBcACIAKQA7AFwAbgBcAG4AVgBFAEUAUgBHAF8ANQBfADQAXwAxAF8AMwBfAF8AMQBfAE8AcgBnAGEAbgBpAGMARgBlAHIAdABpAGwAaQBzAGUAcgBBAHQAbQBvAHMAcABoAGUAcgBpAGMARABlAHAAbwBzAGkAdABpAG8AbgBOADIATwBFAG0AaQBzAHMAaQBvAG4AcwBfAFYAYQByAGkAYQBiAGwAZQBcAG4AIAAgAD0ATABBAE0AQgBEAEEAKABcACIARQBfAGEAZABvAHIAZwBhAG4AaQBjAFwAIgApADsAXABuAFwAbgBWAEUARQBSAEcAXwA1AF8ANABfADEAXwAzAF8AXwAxAF8ATwByAGcAYQBuAGkAYwBGAGUAcgB0AGkAbABpAHMAZQByAEEAdABtAG8AcwBwAGgAZQByAGkAYwBEAGUAcABvAHMAaQB0AGkAbwBuAE4AMgBPAEUAbQBpAHMAcwBpAG8AbgBzAF8AVQBuAGkAdABcAG4AIAAgAD0ATABBAE0AQgBEAEEAKABcACIAdAAgAE4AMgBPAFwAIgApADsAXABuAFwAbgBWAEUARQBSAEcAXwA1AF8ANABfADEAXwAzAF8AXwAxAF8ATwByAGcAYQBuAGkAYwBGAGUAcgB0AGkAbABpAHMAZQByAEEAdABtAG8AcwBwAGgAZQByAGkAYwBEAGUAcABvAHMAaQB0AGkAbwBuAE4AMgBPAEUAbQBpAHMAcwBpAG8AbgBzAF8AUwBvAHUAcgBjAGUAXABuACAAIAA9AEwAQQBNAEIARABBACgAXAAiAFYARQBFAFIARwAgADIAMAAyADYAOgAgADUALgA0AC4AMQAuADMALAAgAEUAcQB1AGEAdABpAG8AbgAgACgAMQApAFwAIgApADsAXABuAFwAbgBWAEUARQBSAEcAXwA1AF8ANABfADEAXwAzAF8AXwAxAF8ATwByAGcAYQBuAGkAYwBGAGUAcgB0AGkAbABpAHMAZQByAEEAdABtAG8AcwBwAGgAZQByAGkAYwBEAGUAcABvAHMAaQB0AGkAbwBuAE4AMgBPAEUAbQBpAHMAcwBpAG8AbgBzAF8ATgBJAFIAUgBlAGYAZQByAGUAbgBjAGUAXABuACAAIAA9AEwAQQBNAEIARABBACgAXAAiAFwAIgApADsAXABuAFwAbgBWAEUARQBSAEcAXwA1AF8ANABfADEAXwAzAF8AXwAxAF8ATwByAGcAYQBuAGkAYwBGAGUAcgB0AGkAbABpAHMAZQByAEEAdABtAG8AcwBwAGgAZQByAGkAYwBEAGUAcABvAHMAaQB0AGkAbwBuAE4AMgBPAEUAbQBpAHMAcwBpAG8AbgBzAF8ATABhAHQAZQB4AEUAcQB1AGEAdABpAG8AbgBcAG4AIAAgAD0ATABBAE0AQgBEAEEAKABcACIARQBfAHsAYQBkACwAbwByAGcAYQBuAGkAYwB9AD0AXABcAHMAdQBtAFwAXABuAG8AbABpAG0AaQB0AHMAXwB7AGoAfQBcAFwAcwB1AG0AXABcAG4AbwBsAGkAbQBpAHQAcwBfAHsAZgB9ACgAKABNAF8AewB2AG8AbAAsAG8AcgBnAGEAbgBpAGMALABqAGYAfQBcAFwAdABpAG0AZQBzACAARQBGAF8AewBOADIATwAsAGoAfQApAFwAXAB0AGkAbQBlAHMAIABDAF8AewBOADIATwB9AFwAXAB0AGkAbQBlAHMAIAAxADAAXgB7AC0AMwB9ACkAXAAiACkAOwBcAG4AXABuAFYARQBFAFIARwBfADUAXwA0AF8AMQBfADMAXwBfADEAXwBPAHIAZwBhAG4AaQBjAEYAZQByAHQAaQBsAGkAcwBlAHIAQQB0AG0AbwBzAHAAaABlAHIAaQBjAEQAZQBwAG8AcwBpAHQAaQBvAG4ATgAyAE8ARQBtAGkAcwBzAGkAbwBuAHMAXwBBAHIAZwB1AG0AZQBuAHQAcwBcAG4AIAAgAD0ATABBAE0AQgBEAEEAKABcAG4AIAAgACAAIABNAEEASwBFAEEAUgBSAEEAWQAoADYALAAgADQALAAgAFwAbgAgACAAIAAgACAAIABMAEEATQBCAEQAQQAoAHIALABjACwAIABcAG4AIAAgACAAIAAgACAAIAAgAEkATgBEAEUAWAAoAHsAXABuACAAIAAgACAAIAAgACAAIAAgACAAXAAiAE0AXwB2AG8AbABvAHIAZwBhAG4AaQBjAGoAZgBcACIALABcACIAbQBhAHMAcwAgAG8AZgAgAG4AaQB0AHIAbwBnAGUAbgAgAHYAbwBsAGEAdABpAGwAaQBzAGUAZAAgAGYAcgBvAG0AIABvAHIAZwBhAG4AaQBjACAAZgBlAHIAdABpAGwAaQBzAGUAcgAgAGEAcABwAGwAaQBlAGQAIAB0AG8AIABwAHIAbwBkAHUAYwB0AGkAbwBuACAAcwB5AHMAdABlAG0AXAAiACwAIABcACIAawBnACAATgBcACIALAAgAFwAIgBDAGEAbABjAHUAbABhAHQAZQBkACAAZgByAG8AbQAgADUALgA0AC4AMQAuADMAIAAoADIAKQBcACIAOwBcAG4AIAAgACAAIAAgACAAIAAgACAAIABcACIARQBGAF8ATgAyAE8AagBcACIALABcACIAZQBtAGkAcwBzAGkAbwBuACAAZgBhAGMAdABvAHIAIABmAG8AcgAgAGEAdABtAG8AcwBwAGgAZQByAGkAYwAgAGQAZQBwAG8AcwBpAHQAaQBvAG4AIABpAG4AIABwAHIAbwBkAHUAYwB0AGkAbwBuACAAcwB5AHMAdABlAG0AIABqAFwAIgAsACAAXAAiAGsAZwAgAE4AMgBPAC0ATgAvAGsAZwAgAE4AXAAiACwAIABcACIAQwBvAG4AcwB0AGEAbgB0AFwAIgA7AFwAbgAgACAAIAAgACAAIAAgACAAIAAgAFwAIgBDAF8ATgAyAE8AXAAiACwAXAAiAGYAYQBjAHQAbwByACAAdABvACAAYwBvAG4AdgBlAHIAdAAgAGUAbABlAG0AZQBuAHQAYQBsACAAbQBhAHMAcwAgAG8AZgAgAG4AaQB0AHIAbwB1AHMAIABvAHgAaQBkAGUAIAB0AG8AIABtAG8AbABlAGMAdQBsAGEAcgAgAG0AYQBzAHMAXAAiACwAIABcACIAXAAiACwAIABcACIAQwBvAG4AcwB0AGEAbgB0AFwAIgA7AFwAbgAgACAAIAAgACAAIAAgACAAIAAgAFwAIgBqAFwAIgAsAFwAIgBQAHIAbwBkAHUAYwB0AGkAbwBuACAAcwB5AHMAdABlAG0AXAAiACwAIABcACIAXAAiACwAIABcACIASQBuAHAAdQB0AFwAIgA7AFwAbgAgACAAIAAgACAAIAAgACAAIAAgAFwAIgBpAHIAXAAiACwAXAAiAGkAcgByAGkAZwBhAHQAaQBvAG4AIABtAGUAdABoAG8AZABcACIALAAgAFwAIgBcACIALAAgAFwAIgBJAG4AcAB1AHQAXAAiADsAXABuACAAIAAgACAAIAAgACAAIAAgACAAXAAiAHIAXAAiACwAXAAiAHIAYQBpAG4AZgBhAGwAbAAgAHIAZQBnAGkAbwBuAFwAIgAsACAAXAAiAFwAIgAsACAAXAAiAEkAbgBwAHUAdABcACIAXABuACAAIAAgACAAIAAgACAAIAB9ACwAIAByACwAIABjACkAXABuACAAIAAgACAAIAAgACkAXABuACAAIAAgACAAKQBcAG4AIAAgACkAOwBcAG4AXABuAC8AKgAgAFwAbgAtAC0ALQAtAC0ALQAtAC0ALQAtAC0ALQAtAC0ALQAtAC0ALQAtAC0ALQAtAC0ALQAtAC0ALQAtAC0ALQAtAC0ALQAtAC0ALQAtAC0AXABuAFYARQBFAFIARwBfADUAXwA0AF8AMQBfADMAXwBfADIAXwBNAGEAcwBzAE8AZgBOAGkAdAByAG8AZwBlAG4AVgBvAGwAYQB0AGkAbABpAHMAZQBkAEYAcgBvAG0ATwByAGcAYQBuAGkAYwBGAGUAcgB0AGkAbABpAHMAZQByAFwAbgBNAGEAcwBzACAAbwBmACAAbgBpAHQAcgBvAGcAZQBuACAAdgBvAGwAYQB0AGkAbABpAHMAZQBkACAAZgByAG8AbQAgAG8AcgBnAGEAbgBpAGMAIABmAGUAcgB0AGkAbABpAHMAZQByACAAYQBwAHAAbABpAGUAZAAgAHQAbwAgAHAAcgBvAGQAdQBjAHQAaQBvAG4AIABzAHkAcwB0AGUAbQBcAG4ATQBfAHYAbwBsAG8AcgBnAGEAbgBpAGMAagBmAFwAbgBrAGcAIABOAFwAbgBNAF8AewB2AG8AbAAsAG8AcgBnAGEAbgBpAGMALABqAGYAfQA9AE0ATgBTAG8AaQBsAF8AewBqAGYAfQBcAFwAdABpAG0AZQBzACAARgByAGEAYwBHAEEAUwBNAF8AewBzAG8AaQBsAH0AXABuAE0ATgBTAG8AaQBsAF8AagBmAFwAbgBGAHIAYQBjAEcAQQBTAE0AXwBzAG8AaQBsAFwAbgBqAFwAbgBmAFwAbgAtAC0ALQAtAC0ALQAtAC0ALQAtAC0ALQAtAC0ALQAtAC0ALQAtAC0ALQAtAC0ALQAtAC0ALQAtAC0ALQAtAC0ALQAtAC0ALQAtAC0AXABuACoALwBcAG4AXABuAFYARQBFAFIARwBfADUAXwA0AF8AMQBfADMAXwBfADIAXwBNAGEAcwBzAE8AZgBOAGkAdAByAG8AZwBlAG4AVgBvAGwAYQB0AGkAbABpAHMAZQBkAEYAcgBvAG0ATwByAGcAYQBuAGkAYwBGAGUAcgB0AGkAbABpAHMAZQByAFwAbgAgACAAPQBMAEEATQBCAEQAQQAoAFwAbgAgACAAIAAgAE0ATgBTAG8AaQBsAF8AagBmACwAIABGAHIAYQBjAEcAQQBTAE0AXwBzAG8AaQBsACwAXABuACAAIAAgACAATQBOAFMAbwBpAGwAXwBqAGYAIAAqACAARgByAGEAYwBHAEEAUwBNAF8AcwBvAGkAbABcAG4AIAAgACkAOwBcAG4AXABuAFYARQBFAFIARwBfADUAXwA0AF8AMQBfADMAXwBfADIAXwBNAGEAcwBzAE8AZgBOAGkAdAByAG8AZwBlAG4AVgBvAGwAYQB0AGkAbABpAHMAZQBkAEYAcgBvAG0ATwByAGcAYQBuAGkAYwBGAGUAcgB0AGkAbABpAHMAZQByAF8AVABpAHQAbABlAFwAbgAgACAAPQBMAEEATQBCAEQAQQAoAFwAIgBNAGEAcwBzACAAbwBmACAAbgBpAHQAcgBvAGcAZQBuACAAdgBvAGwAYQB0AGkAbABpAHMAZQBkACAAZgByAG8AbQAgAG8AcgBnAGEAbgBpAGMAIABmAGUAcgB0AGkAbABpAHMAZQByACAAYQBwAHAAbABpAGUAZAAgAHQAbwAgAHAAcgBvAGQAdQBjAHQAaQBvAG4AIABzAHkAcwB0AGUAbQBcACIAKQA7AFwAbgBcAG4AVgBFAEUAUgBHAF8ANQBfADQAXwAxAF8AMwBfAF8AMgBfAE0AYQBzAHMATwBmAE4AaQB0AHIAbwBnAGUAbgBWAG8AbABhAHQAaQBsAGkAcwBlAGQARgByAG8AbQBPAHIAZwBhAG4AaQBjAEYAZQByAHQAaQBsAGkAcwBlAHIAXwBWAGEAcgBpAGEAYgBsAGUAXABuACAAIAA9AEwAQQBNAEIARABBACgAXAAiAE0AXwB2AG8AbABvAHIAZwBhAG4AaQBjAGoAZgBcACIAKQA7AFwAbgBcAG4AVgBFAEUAUgBHAF8ANQBfADQAXwAxAF8AMwBfAF8AMgBfAE0AYQBzAHMATwBmAE4AaQB0AHIAbwBnAGUAbgBWAG8AbABhAHQAaQBsAGkAcwBlAGQARgByAG8AbQBPAHIAZwBhAG4AaQBjAEYAZQByAHQAaQBsAGkAcwBlAHIAXwBVAG4AaQB0AFwAbgAgACAAPQBMAEEATQBCAEQAQQAoAFwAIgBrAGcAIABOAFwAIgApADsAXABuAFwAbgBWAEUARQBSAEcAXwA1AF8ANABfADEAXwAzAF8AXwAyAF8ATQBhAHMAcwBPAGYATgBpAHQAcgBvAGcAZQBuAFYAbwBsAGEAdABpAGwAaQBzAGUAZABGAHIAbwBtAE8AcgBnAGEAbgBpAGMARgBlAHIAdABpAGwAaQBzAGUAcgBfAFMAbwB1AHIAYwBlAFwAbgAgACAAPQBMAEEATQBCAEQAQQAoAFwAIgBWAEUARQBSAEcAIAAyADAAMgA2ADoAIAA1AC4ANAAuADEALgAzACwAIABFAHEAdQBhAHQAaQBvAG4AIAAoADIAKQBcACIAKQA7AFwAbgBcAG4AVgBFAEUAUgBHAF8ANQBfADQAXwAxAF8AMwBfAF8AMgBfAE0AYQBzAHMATwBmAE4AaQB0AHIAbwBnAGUAbgBWAG8AbABhAHQAaQBsAGkAcwBlAGQARgByAG8AbQBPAHIAZwBhAG4AaQBjAEYAZQByAHQAaQBsAGkAcwBlAHIAXwBOAEkAUgBSAGUAZgBlAHIAZQBuAGMAZQBcAG4AIAAgAD0ATABBAE0AQgBEAEEAKABcACIAXAAiACkAOwBcAG4AXABuAFYARQBFAFIARwBfADUAXwA0AF8AMQBfADMAXwBfADIAXwBNAGEAcwBzAE8AZgBOAGkAdAByAG8AZwBlAG4AVgBvAGwAYQB0AGkAbABpAHMAZQBkAEYAcgBvAG0ATwByAGcAYQBuAGkAYwBGAGUAcgB0AGkAbABpAHMAZQByAF8ATABhAHQAZQB4AEUAcQB1AGEAdABpAG8AbgBcAG4AIAAgAD0ATABBAE0AQgBEAEEAKABcACIATQBfAHsAdgBvAGwALABvAHIAZwBhAG4AaQBjACwAagBmAH0APQBNAE4AUwBvAGkAbABfAHsAagBmAH0AXABcAHQAaQBtAGUAcwAgAEYAcgBhAGMARwBBAFMATQBfAHsAcwBvAGkAbAB9AFwAIgApADsAXABuAFwAbgBWAEUARQBSAEcAXwA1AF8ANABfADEAXwAzAF8AXwAyAF8ATQBhAHMAcwBPAGYATgBpAHQAcgBvAGcAZQBuAFYAbwBsAGEAdABpAGwAaQBzAGUAZABGAHIAbwBtAE8AcgBnAGEAbgBpAGMARgBlAHIAdABpAGwAaQBzAGUAcgBfAEEAcgBnAHUAbQBlAG4AdABzAFwAbgAgACAAPQBMAEEATQBCAEQAQQAoAFwAbgAgACAAIAAgAE0AQQBLAEUAQQBSAFIAQQBZACgAMgAsACAANAAsACAAXABuACAAIAAgACAAIAAgAEwAQQBNAEIARABBACgAcgAsAGMALAAgAFwAbgAgACAAIAAgACAAIAAgACAASQBOAEQARQBYACgAewBcAG4AIAAgACAAIAAgACAAIAAgACAAIABcACIATQBOAFMAbwBpAGwAXwBqAGYAXAAiACwAXAAiAG0AYQBzAHMAIABvAGYAIABuAGkAdAByAG8AZwBlAG4AIABpAG4AIABvAHIAZwBhAG4AaQBjACAAZgBlAHIAdABpAGwAaQBzAGUAcgAgAHQAeQBwAGUAIABmACAAYQBwAHAAbABpAGUAZAAgAHQAbwAgAHAAcgBvAGQAdQBjAHQAaQBvAG4AIABzAHkAcwB0AGUAbQAgAGoAXAAiACwAIABcACIAawBnACAATgBcACIALAAgAFwAIgBDAGEAbABjAHUAbABhAHQAZQBkACAAZgByAG8AbQAgADUALgAyAC4AMQAuADEAIAAoADIAKQBcACIAOwBcAG4AIAAgACAAIAAgACAAIAAgACAAIABcACIARgByAGEAYwBHAEEAUwBNAF8AcwBvAGkAbABcACIALABcACIAZgByAGEAYwB0AGkAbwBuACAAbwBmACAAbwByAGcAYQBuAGkAYwAgAGYAZQByAHQAaQBsAGkAcwBlAHIAIABOACAAdABoAGEAdAAgAHYAbwBsAGEAdABpAGwAaQBzAGUAcwBcACIALAAgAFwAIgAoAGsAZwAgAE4ASAAzAC0ATgAgACsAIABOAE8AeAAtAE4AKQAvAGsAZwAgAE4AXAAiACwAIABcACIAQwBvAG4AcwB0AGEAbgB0AFwAIgBcAG4AIAAgACAAIAAgACAAIAAgAH0ALAAgAHIALAAgAGMAKQBcAG4AIAAgACAAIAAgACAAKQBcAG4AIAAgACAAIAApAFwAbgAgACAAKQA7AFwAbgAiAH0ALAB7ACIAcABhAHQAaAAiADoAIgAvAHAAcgBvAGoAZQBjAHQAcwAvAEYAZQByAHQAaQBsAGkAcwBlAHIAXwBFAHEAdQBhAHQAaQBvAG4AcwBfAEwAZQBhAGMAaABpAG4AZwBBAG4AZABSAHUAbgBvAGYAZgAiACwAIgB0AGUAeAB0ACIAOgAiAC8AKgBcAG4APQA9AD0APQA9AD0APQA9AD0APQA9AD0APQA9AD0APQA9AD0APQA9AD0APQA9AD0APQA9AD0APQA9AD0APQA9AD0APQA9AD0APQA9AFwAbgA1ADoAIABGAGUAcgB0AGkAbABpAHMAZQByACAAVQBzAGUAXABuAD0APQA9AD0APQA9AD0APQA9AD0APQA9AD0APQA9AD0APQA9AD0APQA9AD0APQA9AD0APQA9AD0APQA9AD0APQA9AD0APQA9AD0APQBcAG4ANQAuADUAIABMAGUAYQBjAGgAaQBuAGcAIABhAG4AZAAgAHIAdQBuAC0AbwBmAGYAIAByAGUAcwB1AGwAdABpAG4AZwAgAGYAcgBvAG0AIABmAGUAcgB0AGkAbABpAHMAZQByACAAYQBwAHAAbABpAGMAYQB0AGkAbwBuAFwAbgA9AD0APQA9AD0APQA9AD0APQA9AD0APQA9AD0APQA9AD0APQA9AD0APQA9AD0APQA9AD0APQA9AD0APQA9AD0APQA9AD0APQA9AD0AXABuACoALwBcAG4AXABuAC8AKgAgAFwAbgAtAC0ALQAtAC0ALQAtAC0ALQAtAC0ALQAtAC0ALQAtAC0ALQAtAC0ALQAtAC0ALQAtAC0ALQAtAC0ALQAtAC0ALQAtAC0ALQAtAC0AXABuAFYARQBFAFIARwBfADUAXwA1AF8AMQBfADEAXwBfADEAXwBGAGUAcgB0AGkAbABpAHMAZQByAEwAZQBhAGMAaABpAG4AZwBBAG4AZABSAHUAbgBvAGYAZgBOADIATwBFAG0AaQBzAHMAaQBvAG4AcwBcAG4ATgBpAHQAcgBvAHUAcwAgAG8AeABpAGQAZQAgAGUAbQBpAHMAcwBpAG8AbgBzACAAZgByAG8AbQAgAG4AaQB0AHIAbwBnAGUAbgAgAGwAZQBhAGMAaABpAG4AZwAgAGEAbgBkACAAcgB1AG4AbwBmAGYAIABmAHIAbwBtACAAdABoAGUAIABhAHAAcABsAGkAYwBhAHQAaQBvAG4AIABvAGYAIABhAGwAbAAgAGYAZQByAHQAaQBsAGkAcwBlAHIAcwAgAGEAYwByAG8AcwBzACAAYQBsAGwAIABwAHIAbwBkAHUAYwB0AGkAbwBuACAAcwB5AHMAdABlAG0AcwAgAGoAXABuAEUAXwBmAGUAcgB0AGwAZQBhAGMAaABcAG4AdAAgAE4AMgBPAFwAbgBFAF8AewBmAGUAcgB0ACwAbABlAGEAYwBoAH0APQBcAFwAcwB1AG0AXwB7AGoAfQAoACgATQBfAHsAbABlAGEAYwBoACwAaQBuAG8AcgBnAGEAbgBpAGMALABqAH0AKwBNAF8AewBsAGUAYQBjAGgALABvAHIAZwBhAG4AaQBjACwAagB9ACkAXABcAHQAaQBtAGUAcwAgAEUARgBfAHsAbABlAGEAYwBoAH0AXABcAHQAaQBtAGUAcwAgAEMAXwB7AE4AMgBPAH0AXABcAHQAaQBtAGUAcwAgADEAMABeAHsALQAzAH0AKQBcAG4ATQBfAGwAZQBhAGMAaABpAG4AbwByAGcAYQBuAGkAYwBqAFwAbgBNAF8AbABlAGEAYwBoAG8AcgBnAGEAbgBpAGMAagBcAG4ARQBGAF8AbABlAGEAYwBoAFwAbgBDAF8ATgAyAE8AXABuAGoAXABuAC0ALQAtAC0ALQAtAC0ALQAtAC0ALQAtAC0ALQAtAC0ALQAtAC0ALQAtAC0ALQAtAC0ALQAtAC0ALQAtAC0ALQAtAC0ALQAtAC0ALQBcAG4AKgAvAFwAbgBcAG4AVgBFAEUAUgBHAF8ANQBfADUAXwAxAF8AMQBfAF8AMQBfAEYAZQByAHQAaQBsAGkAcwBlAHIATABlAGEAYwBoAGkAbgBnAEEAbgBkAFIAdQBuAG8AZgBmAE4AMgBPAEUAbQBpAHMAcwBpAG8AbgBzAFwAbgAgACAAPQBMAEEATQBCAEQAQQAoAFwAbgAgACAAIAAgAE0AXwBsAGUAYQBjAGgAaQBuAG8AcgBnAGEAbgBpAGMAagAsACAATQBfAGwAZQBhAGMAaABvAHIAZwBhAG4AaQBjAGoALAAgAEUARgBfAGwAZQBhAGMAaAAsACAAQwBfAE4AMgBPACwAXABuACAAIAAgACAAKABNAF8AbABlAGEAYwBoAGkAbgBvAHIAZwBhAG4AaQBjAGoAIAArACAATQBfAGwAZQBhAGMAaABvAHIAZwBhAG4AaQBjAGoAKQAgACoAIABFAEYAXwBsAGUAYQBjAGgAIAAqACAAQwBfAE4AMgBPACAAKgAgADEAMAAgAF4AIAAtADMAXABuACAAIAApADsAXABuAFwAbgBWAEUARQBSAEcAXwA1AF8ANQBfADEAXwAxAF8AXwAxAF8ARgBlAHIAdABpAGwAaQBzAGUAcgBMAGUAYQBjAGgAaQBuAGcAQQBuAGQAUgB1AG4AbwBmAGYATgAyAE8ARQBtAGkAcwBzAGkAbwBuAHMAXwBUAGkAdABsAGUAXABuACAAIAA9AEwAQQBNAEIARABBACgAXAAiAE4AaQB0AHIAbwB1AHMAIABvAHgAaQBkAGUAIABlAG0AaQBzAHMAaQBvAG4AcwAgAGYAcgBvAG0AIABuAGkAdAByAG8AZwBlAG4AIABsAGUAYQBjAGgAaQBuAGcAIABhAG4AZAAgAHIAdQBuAG8AZgBmACAAZgByAG8AbQAgAHQAaABlACAAYQBwAHAAbABpAGMAYQB0AGkAbwBuACAAbwBmACAAYQBsAGwAIABmAGUAcgB0AGkAbABpAHMAZQByAHMAIABhAGMAcgBvAHMAcwAgAGEAbABsACAAcAByAG8AZAB1AGMAdABpAG8AbgAgAHMAeQBzAHQAZQBtAHMAIABqAFwAIgApADsAXABuAFwAbgBWAEUARQBSAEcAXwA1AF8ANQBfADEAXwAxAF8AXwAxAF8ARgBlAHIAdABpAGwAaQBzAGUAcgBMAGUAYQBjAGgAaQBuAGcAQQBuAGQAUgB1AG4AbwBmAGYATgAyAE8ARQBtAGkAcwBzAGkAbwBuAHMAXwBWAGEAcgBpAGEAYgBsAGUAXABuACAAIAA9AEwAQQBNAEIARABBACgAXAAiAEUAXwBmAGUAcgB0AGwAZQBhAGMAaABcACIAKQA7AFwAbgBcAG4AVgBFAEUAUgBHAF8ANQBfADUAXwAxAF8AMQBfAF8AMQBfAEYAZQByAHQAaQBsAGkAcwBlAHIATABlAGEAYwBoAGkAbgBnAEEAbgBkAFIAdQBuAG8AZgBmAE4AMgBPAEUAbQBpAHMAcwBpAG8AbgBzAF8AVQBuAGkAdABcAG4AIAAgAD0ATABBAE0AQgBEAEEAKABcACIAdAAgAE4AMgBPAFwAIgApADsAXABuAFwAbgBWAEUARQBSAEcAXwA1AF8ANQBfADEAXwAxAF8AXwAxAF8ARgBlAHIAdABpAGwAaQBzAGUAcgBMAGUAYQBjAGgAaQBuAGcAQQBuAGQAUgB1AG4AbwBmAGYATgAyAE8ARQBtAGkAcwBzAGkAbwBuAHMAXwBTAG8AdQByAGMAZQBcAG4AIAAgAD0ATABBAE0AQgBEAEEAKABcACIAVgBFAEUAUgBHACAAMgAwADIANgA6ACAANQAuADUALAAgAEUAcQB1AGEAdABpAG8AbgAgACgAMQApAFwAIgApADsAXABuAFwAbgBWAEUARQBSAEcAXwA1AF8ANQBfADEAXwAxAF8AXwAxAF8ARgBlAHIAdABpAGwAaQBzAGUAcgBMAGUAYQBjAGgAaQBuAGcAQQBuAGQAUgB1AG4AbwBmAGYATgAyAE8ARQBtAGkAcwBzAGkAbwBuAHMAXwBOAEkAUgBSAGUAZgBlAHIAZQBuAGMAZQBcAG4AIAAgAD0ATABBAE0AQgBEAEEAKABcACIAXAAiACkAOwBcAG4AXABuAFYARQBFAFIARwBfADUAXwA1AF8AMQBfADEAXwBfADEAXwBGAGUAcgB0AGkAbABpAHMAZQByAEwAZQBhAGMAaABpAG4AZwBBAG4AZABSAHUAbgBvAGYAZgBOADIATwBFAG0AaQBzAHMAaQBvAG4AcwBfAEwAYQB0AGUAeABFAHEAdQBhAHQAaQBvAG4AXABuACAAIAA9AEwAQQBNAEIARABBACgAXAAiAEUAXwB7AGYAZQByAHQALABsAGUAYQBjAGgAfQA9AFwAXABzAHUAbQBfAHsAagB9ACgAKABNAF8AewBsAGUAYQBjAGgALABpAG4AbwByAGcAYQBuAGkAYwAsAGoAfQArAE0AXwB7AGwAZQBhAGMAaAAsAG8AcgBnAGEAbgBpAGMALABqAH0AKQBcAFwAdABpAG0AZQBzACAARQBGAF8AewBsAGUAYQBjAGgAfQBcAFwAdABpAG0AZQBzACAAQwBfAHsATgAyAE8AfQBcAFwAdABpAG0AZQBzACAAMQAwAF4AewAtADMAfQApAFwAIgApADsAXABuAFwAbgBWAEUARQBSAEcAXwA1AF8ANQBfADEAXwAxAF8AXwAxAF8ARgBlAHIAdABpAGwAaQBzAGUAcgBMAGUAYQBjAGgAaQBuAGcAQQBuAGQAUgB1AG4AbwBmAGYATgAyAE8ARQBtAGkAcwBzAGkAbwBuAHMAXwBBAHIAZwB1AG0AZQBuAHQAcwBcAG4AIAAgAD0ATABBAE0AQgBEAEEAKABcAG4AIAAgACAAIABNAEEASwBFAEEAUgBSAEEAWQAoADQALAAgADQALAAgAFwAbgAgACAAIAAgACAAIABMAEEATQBCAEQAQQAoAHIALABjACwAIABcAG4AIAAgACAAIAAgACAAIAAgAEkATgBEAEUAWAAoAHsAXABuACAAIAAgACAAIAAgACAAIAAgACAAXAAiAE0AXwBsAGUAYQBjAGgAaQBuAG8AcgBnAGEAbgBpAGMAagBcACIALABcACIAbQBhAHMAcwAgAG8AZgAgAG4AaQB0AHIAbwBnAGUAbgAgAGwAbwBzAHQAIAB0AGgAcgBvAHUAZwBoACAAbABlAGEAYwBoAGkAbgBnACAAYQBuAGQAIAByAHUAbgBvAGYAZgAgAGYAcgBvAG0AIABpAG4AbwByAGcAYQBuAGkAYwAgAGYAZQByAHQAaQBsAGkAcwBlAHIAIABhAHAAcABsAGkAYwBhAHQAaQBvAG4AIABpAG4AIABwAHIAbwBkAHUAYwB0AGkAbwBuACAAcwB5AHMAdABlAG0AIABqAFwAIgAsACAAXAAiAGsAZwAgAE4AXAAiACwAIABcACIAQwBhAGwAYwB1AGwAYQB0AGUAZAAgAGYAcgBvAG0AIAA1AC4ANQAuADEALgAxACAAKAAyACkAXAAiADsAXABuACAAIAAgACAAIAAgACAAIAAgACAAXAAiAE0AXwBsAGUAYQBjAGgAbwByAGcAYQBuAGkAYwBqAFwAIgAsAFwAIgBtAGEAcwBzACAAbwBmACAAbgBpAHQAcgBvAGcAZQBuACAAbABvAHMAdAAgAHQAaAByAG8AdQBnAGgAIABsAGUAYQBjAGgAaQBuAGcAIABhAG4AZAAgAHIAdQBuAG8AZgBmACAAZgByAG8AbQAgAG8AcgBnAGEAbgBpAGMAIABmAGUAcgB0AGkAbABpAHMAZQByACAAYQBwAHAAbABpAGMAYQB0AGkAbwBuAFwAIgAsACAAXAAiAGsAZwAgAE4AXAAiACwAIABcACIAQwBhAGwAYwB1AGwAYQB0AGUAZAAgAGYAcgBvAG0AIAA1AC4ANQAuADEALgAxACAAKAAzACkAXAAiADsAXABuACAAIAAgACAAIAAgACAAIAAgACAAXAAiAEUARgBfAGwAZQBhAGMAaABcACIALABcACIAZQBtAGkAcwBzAGkAbwBuACAAZgBhAGMAdABvAHIAIABmAG8AcgAgAG4AaQB0AHIAbwBnAGUAbgAgAGwAZQBhAGMAaABpAG4AZwAgAGEAbgBkACAAcgB1AG4AbwBmAGYAXAAiACwAIABcACIAawBnACAATgAyAE8ALQBOAC8AawBnACAATgBcACIALAAgAFwAIgBDAG8AbgBzAHQAYQBuAHQAXAAiADsAXABuACAAIAAgACAAIAAgACAAIAAgACAAXAAiAEMAXwBOADIATwBcACIALABcACIAZgBhAGMAdABvAHIAIAB0AG8AIABjAG8AbgB2AGUAcgB0ACAAZQBsAGUAbQBlAG4AdABhAGwAIABtAGEAcwBzACAAbwBmACAAbgBpAHQAcgBvAHUAcwAgAG8AeABpAGQAZQAgAHQAbwAgAG0AbwBsAGUAYwB1AGwAYQByACAAbQBhAHMAcwBcACIALAAgAFwAIgBcACIALAAgAFwAIgBDAG8AbgBzAHQAYQBuAHQAXAAiAFwAbgAgACAAIAAgACAAIAAgACAAfQAsACAAcgAsACAAYwApAFwAbgAgACAAIAAgACAAIAApAFwAbgAgACAAIAAgACkAXABuACAAIAApADsAXABuAFwAbgAvACoAIABcAG4ALQAtAC0ALQAtAC0ALQAtAC0ALQAtAC0ALQAtAC0ALQAtAC0ALQAtAC0ALQAtAC0ALQAtAC0ALQAtAC0ALQAtAC0ALQAtAC0ALQAtAFwAbgBWAEUARQBSAEcAXwA1AF8ANQBfADEAXwAxAF8AXwAyAF8ATQBhAHMAcwBPAGYATgBpAHQAcgBvAGcAZQBuAEwAZQBhAGMAaABlAGQARgByAG8AbQBJAG4AbwByAGcAYQBuAGkAYwBGAGUAcgB0AGkAbABpAHMAZQByAFwAbgBNAGEAcwBzACAAbwBmACAAbgBpAHQAcgBvAGcAZQBuACAAbABvAHMAdAAgAHQAaAByAG8AdQBnAGgAIABsAGUAYQBjAGgAaQBuAGcAIABhAG4AZAAgAHIAdQBuAG8AZgBmACAAZgByAG8AbQAgAGkAbgBvAHIAZwBhAG4AaQBjACAAZgBlAHIAdABpAGwAaQBzAGUAcgAgAGEAcABwAGwAaQBjAGEAdABpAG8AbgAgAGkAbgAgAHAAcgBvAGQAdQBjAHQAaQBvAG4AIABzAHkAcwB0AGUAbQAgAGoAXABuAE0AXwBsAGUAYQBjAGgAaQBuAG8AcgBnAGEAbgBpAGMAagBcAG4AawBnACAATgBcAG4ATQBfAHsAbABlAGEAYwBoACwAaQBuAG8AcgBnAGEAbgBpAGMALABqAH0APQBcAFwAcwB1AG0AXwB7AGYAfQAoAHsATQBOAH0AXwB7AGoAZgB9AFwAXAB0AGkAbQBlAHMAIABGAHIAYQBjAF8AewBXAEUAVAAsAGoAfQBcAFwAdABpAG0AZQBzACAARgByAGEAYwBfAHsATABFAEEAQwBIAH0AKQBcAG4ATQBOAF8AagBmAFwAbgBGAHIAYQBjAFcARQBUAGoAXABuAEYAcgBhAGMATABFAEEAQwBIAFwAbgBqAFwAbgBmAFwAbgAtAC0ALQAtAC0ALQAtAC0ALQAtAC0ALQAtAC0ALQAtAC0ALQAtAC0ALQAtAC0ALQAtAC0ALQAtAC0ALQAtAC0ALQAtAC0ALQAtAC0AXABuACoALwBcAG4AXABuAFYARQBFAFIARwBfADUAXwA1AF8AMQBfADEAXwBfADIAXwBNAGEAcwBzAE8AZgBOAGkAdAByAG8AZwBlAG4ATABlAGEAYwBoAGUAZABGAHIAbwBtAEkAbgBvAHIAZwBhAG4AaQBjAEYAZQByAHQAaQBsAGkAcwBlAHIAXABuACAAIAA9AEwAQQBNAEIARABBACgAXABuACAAIAAgACAATQBOAF8AagBmACwAIABGAHIAYQBjAFcARQBUAGoALAAgAEYAcgBhAGMATABFAEEAQwBIACwAXABuACAAIAAgACAATQBOAF8AagBmACAAKgAgAEYAcgBhAGMAVwBFAFQAagAgACoAIABGAHIAYQBjAEwARQBBAEMASABcAG4AIAAgACkAOwBcAG4AXABuAFYARQBFAFIARwBfADUAXwA1AF8AMQBfADEAXwBfADIAXwBNAGEAcwBzAE8AZgBOAGkAdAByAG8AZwBlAG4ATABlAGEAYwBoAGUAZABGAHIAbwBtAEkAbgBvAHIAZwBhAG4AaQBjAEYAZQByAHQAaQBsAGkAcwBlAHIAXwBUAGkAdABsAGUAXABuACAAIAA9AEwAQQBNAEIARABBACgAXAAiAE0AYQBzAHMAIABvAGYAIABuAGkAdAByAG8AZwBlAG4AIABsAG8AcwB0ACAAdABoAHIAbwB1AGcAaAAgAGwAZQBhAGMAaABpAG4AZwAgAGEAbgBkACAAcgB1AG4AbwBmAGYAIABmAHIAbwBtACAAaQBuAG8AcgBnAGEAbgBpAGMAIABmAGUAcgB0AGkAbABpAHMAZQByACAAYQBwAHAAbABpAGMAYQB0AGkAbwBuACAAaQBuACAAcAByAG8AZAB1AGMAdABpAG8AbgAgAHMAeQBzAHQAZQBtACAAagBcACIAKQA7AFwAbgBcAG4AVgBFAEUAUgBHAF8ANQBfADUAXwAxAF8AMQBfAF8AMgBfAE0AYQBzAHMATwBmAE4AaQB0AHIAbwBnAGUAbgBMAGUAYQBjAGgAZQBkAEYAcgBvAG0ASQBuAG8AcgBnAGEAbgBpAGMARgBlAHIAdABpAGwAaQBzAGUAcgBfAFYAYQByAGkAYQBiAGwAZQBcAG4AIAAgAD0ATABBAE0AQgBEAEEAKABcACIATQBfAGwAZQBhAGMAaABpAG4AbwByAGcAYQBuAGkAYwBqAFwAIgApADsAXABuAFwAbgBWAEUARQBSAEcAXwA1AF8ANQBfADEAXwAxAF8AXwAyAF8ATQBhAHMAcwBPAGYATgBpAHQAcgBvAGcAZQBuAEwAZQBhAGMAaABlAGQARgByAG8AbQBJAG4AbwByAGcAYQBuAGkAYwBGAGUAcgB0AGkAbABpAHMAZQByAF8AVQBuAGkAdABcAG4AIAAgAD0ATABBAE0AQgBEAEEAKABcACIAawBnACAATgBcACIAKQA7AFwAbgBcAG4AVgBFAEUAUgBHAF8ANQBfADUAXwAxAF8AMQBfAF8AMgBfAE0AYQBzAHMATwBmAE4AaQB0AHIAbwBnAGUAbgBMAGUAYQBjAGgAZQBkAEYAcgBvAG0ASQBuAG8AcgBnAGEAbgBpAGMARgBlAHIAdABpAGwAaQBzAGUAcgBfAFMAbwB1AHIAYwBlAFwAbgAgACAAPQBMAEEATQBCAEQAQQAoAFwAIgBWAEUARQBSAEcAIAAyADAAMgA2ADoAIAA1AC4ANQAsACAARQBxAHUAYQB0AGkAbwBuACAAKAAyACkAXAAiACkAOwBcAG4AXABuAFYARQBFAFIARwBfADUAXwA1AF8AMQBfADEAXwBfADIAXwBNAGEAcwBzAE8AZgBOAGkAdAByAG8AZwBlAG4ATABlAGEAYwBoAGUAZABGAHIAbwBtAEkAbgBvAHIAZwBhAG4AaQBjAEYAZQByAHQAaQBsAGkAcwBlAHIAXwBOAEkAUgBSAGUAZgBlAHIAZQBuAGMAZQBcAG4AIAAgAD0ATABBAE0AQgBEAEEAKABcACIAXAAiACkAOwBcAG4AXABuAFYARQBFAFIARwBfADUAXwA1AF8AMQBfADEAXwBfADIAXwBNAGEAcwBzAE8AZgBOAGkAdAByAG8AZwBlAG4ATABlAGEAYwBoAGUAZABGAHIAbwBtAEkAbgBvAHIAZwBhAG4AaQBjAEYAZQByAHQAaQBsAGkAcwBlAHIAXwBMAGEAdABlAHgARQBxAHUAYQB0AGkAbwBuAFwAbgAgACAAPQBMAEEATQBCAEQAQQAoAFwAIgBNAF8AewBsAGUAYQBjAGgALABpAG4AbwByAGcAYQBuAGkAYwAsAGoAfQA9AFwAXABzAHUAbQBcAFwAbgBvAGwAaQBtAGkAdABzAF8AewBmAH0AXABcAGwAZQBmAHQAKAB7AE0ATgB9AF8AewBqAGYAfQBcAFwAdABpAG0AZQBzACAARgByAGEAYwBfAHsAVwBFAFQALABqAH0AXABcAHQAaQBtAGUAcwAgAEYAcgBhAGMAXwB7AEwARQBBAEMASAB9AFwAXAByAGkAZwBoAHQAKQBcACIAKQA7AFwAbgBcAG4AVgBFAEUAUgBHAF8ANQBfADUAXwAxAF8AMQBfAF8AMgBfAE0AYQBzAHMATwBmAE4AaQB0AHIAbwBnAGUAbgBMAGUAYQBjAGgAZQBkAEYAcgBvAG0ASQBuAG8AcgBnAGEAbgBpAGMARgBlAHIAdABpAGwAaQBzAGUAcgBfAEEAcgBnAHUAbQBlAG4AdABzAFwAbgAgACAAPQBMAEEATQBCAEQAQQAoAFwAbgAgACAAIAAgAE0AQQBLAEUAQQBSAFIAQQBZACgANgAsACAANAAsACAAXABuACAAIAAgACAAIAAgAEwAQQBNAEIARABBACgAcgAsAGMALAAgAFwAbgAgACAAIAAgACAAIAAgACAASQBOAEQARQBYACgAewBcAG4AIAAgACAAIAAgACAAIAAgACAAIABcACIATQBOAF8AagBmAFwAIgAsAFwAIgBtAGEAcwBzACAAbwBmACAAbgBpAHQAcgBvAGcAZQBuACAAaQBuACAAaQBuAG8AcgBnAGEAbgBpAGMAIABmAGUAcgB0AGkAbABpAHMAZQByAFwAIgAsACAAXAAiAGsAZwAgAE4AXAAiACwAIABcACIAQwBhAGwAYwB1AGwAYQB0AGUAZAAgAGYAcgBvAG0AIAA1AC4AMQAuADEALgAxACAAKAAyACkAXAAiADsAXABuACAAIAAgACAAIAAgACAAIAAgACAAXAAiAEYAcgBhAGMAVwBFAFQAagBcACIALABcACIAZgByAGEAYwB0AGkAbwBuACAAbwBmACAATgAgAGEAdgBhAGkAbABhAGIAbABlACAAZgBvAHIAIABsAGUAYQBjAGgAaQBuAGcAIABhAG4AZAAgAHIAdQBuAG8AZgBmAFwAIgAsACAAXAAiAGYAcgBhAGMAdABpAG8AbgBcACIALAAgAFwAIgBDAG8AbgBzAHQAYQBuAHQAXAAiADsAXABuACAAIAAgACAAIAAgACAAIAAgACAAXAAiAEYAcgBhAGMATABFAEEAQwBIAFwAIgAsAFwAIgBmAHIAYQBjAHQAaQBvAG4AIABvAGYAIABOACAAdABoAGEAdAAgAGkAcwAgAGwAbwBzAHQAIAB0AGgAcgBvAHUAZwBoACAAbABlAGEAYwBoAGkAbgBnACAAYQBuAGQAIAByAHUAbgBvAGYAZgBcACIALAAgAFwAIgBmAHIAYQBjAHQAaQBvAG4AXAAiACwAIABcACIAQwBvAG4AcwB0AGEAbgB0AFwAIgA7AFwAbgAgACAAIAAgACAAIAAgACAAIAAgACAAIABcACIAegBcACIALABcACIAbABvAGMAYQB0AGkAbwBuACAAaQBuACAAbABlAGEAYwBoAGkAbgBnACAAegBvAG4AZQBcACIALAAgAFwAIgBcACIALAAgAFwAIgBJAG4AcAB1AHQAXAAiADsAXABuACAAIAAgACAAIAAgACAAIAAgACAAIAAgAFwAIgBqAFwAIgAsAFwAIgBwAHIAbwBkAHUAYwB0AGkAbwBuACAAcwB5AHMAdABlAG0AXAAiACwAIABcACIAXAAiACwAIABcACIASQBuAHAAdQB0AFwAIgA7AFwAbgAgACAAIAAgACAAIAAgACAAIAAgACAAIABcACIAaQByAFwAIgAsAFwAIgBpAHIAcgBpAGcAYQB0AGkAbwBuACAAbQBlAHQAaABvAGQAXAAiACwAIABcACIAXAAiACwAIABcACIASQBuAHAAdQB0AFwAIgBcAG4AIAAgACAAIAAgACAAIAAgAH0ALAAgAHIALAAgAGMAKQBcAG4AIAAgACAAIAAgACAAKQBcAG4AIAAgACAAIAApAFwAbgAgACAAKQA7AFwAbgBcAG4ALwAqACAAXABuAC0ALQAtAC0ALQAtAC0ALQAtAC0ALQAtAC0ALQAtAC0ALQAtAC0ALQAtAC0ALQAtAC0ALQAtAC0ALQAtAC0ALQAtAC0ALQAtAC0ALQBcAG4AVgBFAEUAUgBHAF8ANQBfADUAXwAxAF8AMQBfAF8AMwBfAE0AYQBzAHMATwBmAE4AaQB0AHIAbwBnAGUAbgBMAGUAYQBjAGgAZQBkAEYAcgBvAG0ATwByAGcAYQBuAGkAYwBGAGUAcgB0AGkAbABpAHMAZQByAFwAbgBNAGEAcwBzACAAbwBmACAAbgBpAHQAcgBvAGcAZQBuACAAbABvAHMAdAAgAHQAaAByAG8AdQBnAGgAIABsAGUAYQBjAGgAaQBuAGcAIABhAG4AZAAgAHIAdQBuAG8AZgBmACAAZgByAG8AbQAgAG8AcgBnAGEAbgBpAGMAIABmAGUAcgB0AGkAbABpAHMAZQByACAAYQBwAHAAbABpAGMAYQB0AGkAbwBuACAAaQBuACAAcAByAG8AZAB1AGMAdABpAG8AbgAgAHMAeQBzAHQAZQBtACAAagBcAG4ATQBfAGwAZQBhAGMAaABvAHIAZwBhAG4AaQBjAGoAXABuAGsAZwAgAE4AXABuAE0AXwB7AGwAZQBhAGMAaAAsAG8AcgBnAGEAbgBpAGMALABqAH0APQBcAFwAcwB1AG0AXwB7AGYAfQAoAHsATQBOAFMAbwBpAGwAfQBfAHsAagBmAH0AXABcAHQAaQBtAGUAcwAgAEYAcgBhAGMAXwB7AFcARQBUACwAagB9AFwAXAB0AGkAbQBlAHMAIABGAHIAYQBjAF8AewBMAEUAQQBDAEgAfQApAFwAbgBNAE4AUwBvAGkAbABfAGoAZgBcAG4ARgByAGEAYwBXAEUAVABqAFwAbgBGAHIAYQBjAEwARQBBAEMASABcAG4AagBcAG4AZgBcAG4ALQAtAC0ALQAtAC0ALQAtAC0ALQAtAC0ALQAtAC0ALQAtAC0ALQAtAC0ALQAtAC0ALQAtAC0ALQAtAC0ALQAtAC0ALQAtAC0ALQAtAFwAbgAqAC8AXABuAFwAbgBWAEUARQBSAEcAXwA1AF8ANQBfADEAXwAxAF8AXwAzAF8ATQBhAHMAcwBPAGYATgBpAHQAcgBvAGcAZQBuAEwAZQBhAGMAaABlAGQARgByAG8AbQBPAHIAZwBhAG4AaQBjAEYAZQByAHQAaQBsAGkAcwBlAHIAXABuACAAIAA9AEwAQQBNAEIARABBACgAXABuACAAIAAgACAATQBOAFMAbwBpAGwAXwBqAGYALAAgAEYAcgBhAGMAVwBFAFQAagAsACAARgByAGEAYwBMAEUAQQBDAEgALABcAG4AIAAgACAAIABNAE4AUwBvAGkAbABfAGoAZgAgACoAIABGAHIAYQBjAFcARQBUAGoAIAAqACAARgByAGEAYwBMAEUAQQBDAEgAXABuACAAIAApADsAXABuAFwAbgBWAEUARQBSAEcAXwA1AF8ANQBfADEAXwAxAF8AXwAzAF8ATQBhAHMAcwBPAGYATgBpAHQAcgBvAGcAZQBuAEwAZQBhAGMAaABlAGQARgByAG8AbQBPAHIAZwBhAG4AaQBjAEYAZQByAHQAaQBsAGkAcwBlAHIAXwBUAGkAdABsAGUAXABuACAAIAA9AEwAQQBNAEIARABBACgAXAAiAE0AYQBzAHMAIABvAGYAIABuAGkAdAByAG8AZwBlAG4AIABsAG8AcwB0ACAAdABoAHIAbwB1AGcAaAAgAGwAZQBhAGMAaABpAG4AZwAgAGEAbgBkACAAcgB1AG4AbwBmAGYAIABmAHIAbwBtACAAbwByAGcAYQBuAGkAYwAgAGYAZQByAHQAaQBsAGkAcwBlAHIAIABhAHAAcABsAGkAYwBhAHQAaQBvAG4AIABpAG4AIABwAHIAbwBkAHUAYwB0AGkAbwBuACAAcwB5AHMAdABlAG0AIABqAFwAIgApADsAXABuAFwAbgBWAEUARQBSAEcAXwA1AF8ANQBfADEAXwAxAF8AXwAzAF8ATQBhAHMAcwBPAGYATgBpAHQAcgBvAGcAZQBuAEwAZQBhAGMAaABlAGQARgByAG8AbQBPAHIAZwBhAG4AaQBjAEYAZQByAHQAaQBsAGkAcwBlAHIAXwBWAGEAcgBpAGEAYgBsAGUAXABuACAAIAA9AEwAQQBNAEIARABBACgAXAAiAE0AXwBsAGUAYQBjAGgAbwByAGcAYQBuAGkAYwBqAFwAIgApADsAXABuAFwAbgBWAEUARQBSAEcAXwA1AF8ANQBfADEAXwAxAF8AXwAzAF8ATQBhAHMAcwBPAGYATgBpAHQAcgBvAGcAZQBuAEwAZQBhAGMAaABlAGQARgByAG8AbQBPAHIAZwBhAG4AaQBjAEYAZQByAHQAaQBsAGkAcwBlAHIAXwBVAG4AaQB0AFwAbgAgACAAPQBMAEEATQBCAEQAQQAoAFwAIgBrAGcAIABOAFwAIgApADsAXABuAFwAbgBWAEUARQBSAEcAXwA1AF8ANQBfADEAXwAxAF8AXwAzAF8ATQBhAHMAcwBPAGYATgBpAHQAcgBvAGcAZQBuAEwAZQBhAGMAaABlAGQARgByAG8AbQBPAHIAZwBhAG4AaQBjAEYAZQByAHQAaQBsAGkAcwBlAHIAXwBTAG8AdQByAGMAZQBcAG4AIAAgAD0ATABBAE0AQgBEAEEAKABcACIAVgBFAEUAUgBHACAAMgAwADIANgA6ACAANQAuADUALAAgAEUAcQB1AGEAdABpAG8AbgAgACgAMwApAFwAIgApADsAXABuAFwAbgBWAEUARQBSAEcAXwA1AF8ANQBfADEAXwAxAF8AXwAzAF8ATQBhAHMAcwBPAGYATgBpAHQAcgBvAGcAZQBuAEwAZQBhAGMAaABlAGQARgByAG8AbQBPAHIAZwBhAG4AaQBjAEYAZQByAHQAaQBsAGkAcwBlAHIAXwBOAEkAUgBSAGUAZgBlAHIAZQBuAGMAZQBcAG4AIAAgAD0ATABBAE0AQgBEAEEAKABcACIAXAAiACkAOwBcAG4AXABuAFYARQBFAFIARwBfADUAXwA1AF8AMQBfADEAXwBfADMAXwBNAGEAcwBzAE8AZgBOAGkAdAByAG8AZwBlAG4ATABlAGEAYwBoAGUAZABGAHIAbwBtAE8AcgBnAGEAbgBpAGMARgBlAHIAdABpAGwAaQBzAGUAcgBfAEwAYQB0AGUAeABFAHEAdQBhAHQAaQBvAG4AXABuACAAIAA9AEwAQQBNAEIARABBACgAXAAiAE0AXwB7AGwAZQBhAGMAaAAsAG8AcgBnAGEAbgBpAGMALABqAH0APQBcAFwAcwB1AG0AXABcAG4AbwBsAGkAbQBpAHQAcwBfAHsAZgB9AFwAXABsAGUAZgB0ACgAewBNAE4AUwBvAGkAbAB9AF8AewBqAGYAfQBcAFwAdABpAG0AZQBzACAARgByAGEAYwBfAHsAVwBFAFQALABqAH0AXABcAHQAaQBtAGUAcwAgAEYAcgBhAGMAXwB7AEwARQBBAEMASAB9AFwAXAByAGkAZwBoAHQAKQBcACIAKQA7AFwAbgBcAG4AVgBFAEUAUgBHAF8ANQBfADUAXwAxAF8AMQBfAF8AMwBfAE0AYQBzAHMATwBmAE4AaQB0AHIAbwBnAGUAbgBMAGUAYQBjAGgAZQBkAEYAcgBvAG0ATwByAGcAYQBuAGkAYwBGAGUAcgB0AGkAbABpAHMAZQByAF8AQQByAGcAdQBtAGUAbgB0AHMAXABuACAAIAA9AEwAQQBNAEIARABBACgAXABuACAAIAAgACAATQBBAEsARQBBAFIAUgBBAFkAKAA2ACwAIAA0ACwAIABcAG4AIAAgACAAIAAgACAATABBAE0AQgBEAEEAKAByACwAYwAsACAAXABuACAAIAAgACAAIAAgACAAIABJAE4ARABFAFgAKAB7AFwAbgAgACAAIAAgACAAIAAgACAAIAAgAFwAIgBNAE4AUwBvAGkAbABfAGoAZgBcACIALABcACIAbQBhAHMAcwAgAG8AZgAgAG4AaQB0AHIAbwBnAGUAbgAgAGkAbgAgAG8AcgBnAGEAbgBpAGMAIABmAGUAcgB0AGkAbABpAHMAZQByAFwAIgAsACAAXAAiAGsAZwAgAE4AXAAiACwAIABcACIAQwBhAGwAYwB1AGwAYQB0AGUAZAAgAGYAcgBvAG0AIAA1AC4AMgAuADEALgAxACAAKAAyACkAXAAiADsAXABuACAAIAAgACAAIAAgACAAIAAgACAAXAAiAEYAcgBhAGMAVwBFAFQAagBcACIALABcACIAZgByAGEAYwB0AGkAbwBuACAAbwBmACAATgAgAGEAdgBhAGkAbABhAGIAbABlACAAZgBvAHIAIABsAGUAYQBjAGgAaQBuAGcAIABhAG4AZAAgAHIAdQBuAG8AZgBmAFwAIgAsACAAXAAiAGYAcgBhAGMAdABpAG8AbgBcACIALAAgAFwAIgBDAG8AbgBzAHQAYQBuAHQAXAAiADsAXABuACAAIAAgACAAIAAgACAAIAAgACAAXAAiAEYAcgBhAGMATABFAEEAQwBIAFwAIgAsAFwAIgBmAHIAYQBjAHQAaQBvAG4AIABvAGYAIABOACAAdABoAGEAdAAgAGkAcwAgAGwAbwBzAHQAIAB0AGgAcgBvAHUAZwBoACAAbABlAGEAYwBoAGkAbgBnACAAYQBuAGQAIAByAHUAbgBvAGYAZgBcACIALAAgAFwAIgBmAHIAYQBjAHQAaQBvAG4AXAAiACwAIABcACIAQwBvAG4AcwB0AGEAbgB0AFwAIgA7AFwAbgAgACAAIAAgACAAIAAgACAAIAAgAFwAIgB6AFwAIgAsAFwAIgBsAG8AYwBhAHQAaQBvAG4AIABpAG4AIABsAGUAYQBjAGgAaQBuAGcAIAB6AG8AbgBlAFwAIgAsACAAXAAiAFwAIgAsACAAXAAiAEkAbgBwAHUAdABcACIAOwBcAG4AIAAgACAAIAAgACAAIAAgACAAIABcACIAagBcACIALABcACIAcAByAG8AZAB1AGMAdABpAG8AbgAgAHMAeQBzAHQAZQBtAFwAIgAsACAAXAAiAFwAIgAsACAAXAAiAEkAbgBwAHUAdABcACIAOwBcAG4AIAAgACAAIAAgACAAIAAgACAAIABcACIAaQByAFwAIgAsAFwAIgBpAHIAcgBpAGcAYQB0AGkAbwBuACAAbQBlAHQAaABvAGQAXAAiACwAIABcACIAXAAiACwAIABcACIASQBuAHAAdQB0AFwAIgBcAG4AIAAgACAAIAAgACAAIAAgAH0ALAAgAHIALAAgAGMAKQBcAG4AIAAgACAAIAAgACAAKQBcAG4AIAAgACAAIAApAFwAbgAgACAAKQA7AFwAbgAiAH0ALAB7ACIAcABhAHQAaAAiADoAIgAvAHAAcgBvAGoAZQBjAHQAcwAvAEEAZwByAGUAcwBpAGQAdQBlAF8AUwBvAHUAcgBjAGUARABhAHQAYQAiACwAIgB0AGUAeAB0ACIAOgAiAC8AKgBcAG4APQA9AD0APQA9AD0APQA9AD0APQA9AD0APQA9AD0APQA9AD0APQA9AD0APQA9AD0APQA9AD0APQA9AD0APQA9AD0APQA9AD0APQA9AD0APQA9AD0APQA9AD0APQA9AD0APQA9AD0APQA9AD0APQA9AD0APQA9AD0APQA9AD0APQA9AD0APQA9AD0APQA9AD0APQA9AD0APQBcAG4AQwByAG8AcAAgAHAAdQByAHAAbwBzAGUAIABhAG4AZAAgAHkAaQBlAGwAZABcAG4APQA9AD0APQA9AD0APQA9AD0APQA9AD0APQA9AD0APQA9AD0APQA9AD0APQA9AD0APQA9AD0APQA9AD0APQA9AD0APQA9AD0APQA9AD0APQA9AD0APQA9AD0APQA9AD0APQA9AD0APQA9AD0APQA9AD0APQA9AD0APQA9AD0APQA9AD0APQA9AD0APQA9AD0APQA9AD0APQBcAG4AKgAvAFwAbgBcAG4AQwByAG8AcABQAHUAcgBwAG8AcwBlAEEAbgBkAFkAaQBlAGwAZABfAFQAaQB0AGwAZQBcAG4APQBMAEEATQBCAEQAQQAoACgAXAAiAEMAcgBvAHAAIABwAHUAcgBwAG8AcwBlACAAYQBuAGQAIAB5AGkAZQBsAGQAXAAiACkAKQA7AFwAbgBcAG4AQwByAG8AcABQAHUAcgBwAG8AcwBlAEEAbgBkAFkAaQBlAGwAZABfAEQAYQB0AGEAXABuAD0ATABBAE0AQgBEAEEAKABcAG4AIAAgAE0AQQBLAEUAQQBSAFIAQQBZACgANAAsACAAOAAsAFwAbgAgACAAIAAgAEwAQQBNAEIARABBACgAcgAsAGMALABcAG4AIAAgACAAIAAgACAASQBOAEQARQBYACgAewBcAG4AIAAgACAAIAAgACAAIAAgAFwAIgBQAHUAcgBwAG8AcwBlAFwAIgAsACAAXAAiAFAAZQByACAAaABlAGMAdABhAHIAZQAgAHUAbgBpAHQAXAAiACwAIABcACIAaABhAHIAdgBlAHMAdAAgAHQAZQByAG0AXAAiACwAIABcACIAaABhAHIAdgBlAHMAdAAgAGUAbgBkAHAAbwBpAG4AdABcACIALAAgAFwAIgBIAGEAcgB2AGUAcwB0ACAAdQBpAHQAXAAiACwAIABcACIAWQBpAGUAbABkACAAbgBvAHQAZQBcACIALAAgAFwAIgBSAGUAcwBpAGQAdQBlACAAYwByAG8AcAAgAHIAYQB0AGkAbwAgAG4AbwB0AGUAXAAiACwAIABcACIAVABvAHQAYQBsACAAcAByAG8AZAB1AGMAdABpAG8AbgAgAG4AbwB0AGUAXAAiADsAXABuACAAIAAgACAAIAAgACAAIABcACIAQwBhAHMAaAAgAGcAcgBhAGkAbgAgAGMAcgBvAHAAXAAiACwAIABcACIAZwByAGEAaQBuAFwAIgAsACAAXAAiAHkAaQBlAGwAZABcACIALAAgAFwAIgBoAGEAcgB2AGUAcwB0AFwAIgAsACAAXAAiAGcAcgBhAGkAbgBcACIALAAgAFwAIgBZAGkAZQBsAGQAIABpAHMAIAB0AGgAZQAgAGcAcgBhAGkAbgAgAGgAYQByAHYAZQBzAHQAZQBkACAAZgByAG8AbQAgAHQAaABlACAAcABsAGEAbgB0AFwAIgAsACAAXAAiAFIAZQBzAGkAZAB1AGUAIAB0AG8AIABjAHIAbwBwACAAcgBhAHQAaQBvACAAaQBzACAAcAByAG8AdgBpAGQAZQBkACAAZgByAG8AbQAgAGQAZQBmAGEAdQBsAHQAIAB2AGEAbAB1AGUAcwBcACIALAAgAFwAIgBUAG8AdABhAGwAIABwAHIAbwBkAHUAYwB0AGkAbwBuACAAaQBzACAAdABoAGUAIAB0AG8AdABhAGwAIABnAHIAYQBpAG4AIABoAGEAcgB2AGUAcwB0AGUAZABcACIAOwBcAG4AIAAgACAAIAAgACAAIAAgAFwAIgBDAGEAcwBoACAAYwByAG8AcAAgAGYAbwByACAAaABhAHkALwBzAGkAbABhAGcAZQBcACIALAAgAFwAIgBhAGIAbwB2AGUAIABnAHIAbwB1AG4AZAAgAGIAaQBvAG0AYQBzAHMAXAAiACwAIABcACIAeQBpAGUAbABkAFwAIgAsACAAXAAiAGgAYQByAHYAZQBzAHQAXAAiACwAIABcACIAcABsAGEAbgB0ACAAYgBpAG8AbQBhAHMAcwBcACIALAAgAFwAIgBZAGkAZQBsAGQAIABpAHMAIAB0AGgAZQAgAHcAaABvAGwAZQAgAHAAbABhAG4AdAAgAGgAYQByAHYAZQBzAHQAZQBkACAAZgBvAHIAIABoAGEAeQAvAHMAaQBsAGEAZwBlAFwAIgAsACAAXAAiAFIAZQBzAGkAZAB1AGUAIAB0AG8AIABjAHIAbwBwACAAcgBhAHQAaQBvACAAaQBzACAAMAAgAGEAcwBzAHUAbQBpAG4AZwAgAHQAaABlACAAdwBoAG8AbABlACAAcABsAGEAbgB0ACAAaQBzACAAaABhAHIAdgBlAHMAdABlAGQAIABmAG8AcgAgAGgAYQB5AC8AcwBpAGwAYQBnAGUAXAAiACwAIABcACIAVABvAHQAYQBsACAAcAByAG8AZAB1AGMAdABpAG8AbgAgAGkAcwAgAHQAaABlACAAdABvAHQAYQBsACAAdwBoAG8AbABlACAAcABsAGEAbgB0ACAAYgBpAG8AbQBhAHMAcwAgAGgAYQByAHYAZQBzAHQAZQBkACAAYQBzACAAaABhAHkALwBzAGkAbABhAGcAZQBcACIAOwBcAG4AIAAgACAAIAAgACAAIAAgAFwAIgBDAG8AdgBlAHIAIABjAHIAbwBwAFwAIgAsACAAXAAiAGEAYgBvAHYAZQAgAGcAcgBvAHUAbgBkACAAYgBpAG8AbQBhAHMAcwBcACIALAAgAFwAIgBtAGEAcwBzAFwAIgAsACAAXAAiAGUAbgBkACAAbwBmACAAYwByAG8AcAAgAGMAeQBjAGwAZQBcACIALAAgAFwAIgBhAGIAbwB2AGUAIABnAHIAbwB1AG4AZAAgAGIAaQBvAG0AYQBzAHMAXAAiACwAIABcACIAWQBpAGUAbABkACAAaQBzACAAdABoAGUAIAB3AGgAbwBsAGUAIABwAGwAYQBuAHQAIABrAGUAcAB0ACAAYQBzACAAYwBvAHYAZQByACAAYwByAG8AcABcACIALAAgAFwAIgBSAGUAcwBpAGQAdQBlACAAdABvACAAYwByAG8AcAAgAHIAYQB0AGkAbwAgAGkAcwAgADEAIABhAHMAcwB1AG0AaQBuAGcAIAB0AGgAZQAgAHcAaABvAGwAZQAgAHAAbABhAG4AdAAgAGkAcwAgAGsAZQBwAHQAIABhAHMAIABjAG8AdgBlAHIAIABjAHIAbwBwAFwAIgAsACAAXAAiAFQAbwB0AGEAbAAgAHAAcgBvAGQAdQBjAHQAaQBvAG4AIABpAHMAIAB0AGgAZQAgAHQAbwB0AGEAbAAgAHcAaABvAGwAZQAgAHAAbABhAG4AdAAgAGIAaQBvAG0AYQBzAHMAIABrAGUAcAB0ACAAYQBzACAAYwBvAHYAZQByACAAYwByAG8AcABcACIAXABuACAAIAAgACAAIAAgAH0ALAAgAHIALAAgAGMAKQBcAG4AKQApACkAOwBcAG4AXABuAC8AKgBcAG4APQA9AD0APQA9AD0APQA9AD0APQA9AD0APQA9AD0APQA9AD0APQA9AD0APQA9AD0APQA9AD0APQA9AD0APQA9AD0APQA9AD0APQA9AD0APQA9AD0APQA9AD0APQA9AD0APQA9AD0APQA9AD0APQA9AD0APQA9AD0APQA9AD0APQA9AD0APQA9AD0APQA9AD0APQA9AD0APQBcAG4AQwByAG8AcAAgAGEAdAB0AHIAaQBiAHUAdABlAHMAXABuAD0APQA9AD0APQA9AD0APQA9AD0APQA9AD0APQA9AD0APQA9AD0APQA9AD0APQA9AD0APQA9AD0APQA9AD0APQA9AD0APQA9AD0APQA9AD0APQA9AD0APQA9AD0APQA9AD0APQA9AD0APQA9AD0APQA9AD0APQA9AD0APQA9AD0APQA9AD0APQA9AD0APQA9AD0APQA9AD0AXABuACoALwBcAG4AXABuAEMAcgBvAHAAQQB0AHQAcgBpAGIAdQB0AGUAcwBfAFQAaQB0AGwAZQBcAG4APQBMAEEATQBCAEQAQQAoACgAXAAiAFQAYQBiAGwAZQAgAEEALgAyAC4AMQAuADEAOgAgAEMAcgBvAHAAIABhAHQAdAByAGkAYgB1AHQAZQBzAFwAIgApACkAOwBcAG4AXABuAEMAcgBvAHAAQQB0AHQAcgBpAGIAdQB0AGUAcwBfAEQAZQBzAGMAcgBpAHAAdABpAG8AbgBcAG4APQBMAEEATQBCAEQAQQAoACgAXAAiAEMAcgBvAHAAIABhAHQAdAByAGkAYgB1AHQAZQBzAFwAIgApACkAOwBcAG4AXABuAEMAcgBvAHAAQQB0AHQAcgBpAGIAdQB0AGUAcwBfAFMAbwB1AHIAYwBlAFwAbgA9AEwAQQBNAEIARABBACgAKABcACIAVgBFAEUAUgBHACAAMgAwADIANgA6ACAAVABhAGIAbABlACAAQQAuADIALgAxAC4AMQA6ACAAQwByAG8AcAAgAGEAdAB0AHIAaQBiAHUAdABlAHMAXAAiACkAKQA7AFwAbgBcAG4AQwByAG8AcABBAHQAdAByAGkAYgB1AHQAZQBzAF8ARABhAHQAYQBcAG4APQBMAEEATQBCAEQAQQAoAFwAbgAgACAATQBBAEsARQBBAFIAUgBBAFkAKAAyADAALAAgADkALABcAG4AIAAgACAAIABMAEEATQBCAEQAQQAoAHIALABjACwAXABuACAAIAAgACAAIAAgAEkATgBEAEUAWAAoAHsAXABuACAAIAAgACAAIAAgACAAIABcACIAQwByAG8AcAAgAHQAeQBwAGUAXAAiACwAIABcACIAUgBlAHMAaQBkAHUAZQA6ACAAQwByAG8AcAAgAHIAYQB0AGkAbwBcACIALAAgAFwAIgBCAGUAbABvAHcALQBnAHIAbwB1AG4AZAA6ACAAYQBiAG8AdgBlAC0AZwByAG8AdQBuAGQAIAByAGUAcwBpAGQAdQBlACAAcgBhAHQAaQBvAFwAIgAsACAAXAAiAEQAcgB5ACAAbQBhAHQAdABlAHIAIABjAG8AbgB0AGUAbgB0AFwAIgAsACAAXAAiAEMAYQByAGIAbwBuACAAZgByAGEAYwB0AGkAbwBuACAAaQBuACAAZAByAHkAIABtAGEAdAB0AGUAcgBcACIALAAgAFwAIgBOACAAYwBvAG4AdABlAG4AdAAgAGEAYgBvAHYAZQAtAGcAcgBvAHUAbgBkAFwAIgAsACAAXAAiAE4AIABjAG8AbgB0AGUAbgB0ACAAYgBlAGwAbwB3AC0AZwByAG8AdQBuAGQAXAAiACwAIABcACIARgByAGEAYwB0AGkAbwBuACAAbwBmACAAcgBlAHMAaQBkAHUAZQAgAHIAZQBtAGEAaQBuAGkAbgBnACAAYQB0ACAAdABpAG0AZQAgAG8AZgAgAGIAdQByAG4AaQBuAGcAXAAiACwAIABcACIAQgB1AHIAbgBpAG4AZwAgAGUAZgBmAGkAYwBpAGUAbgBjAHkAdABcACIAOwBcAG4AIAAgACAAIAAgACAAIAAgAFwAIgBjAFwAIgAsACAAXAAiAFIAQQBHAGMAXAAiACwAIABcACIAUgBCAEcAYwBcACIALAAgAFwAIgBEAE0AYwBcACIALAAgAFwAIgBDAEMAYwBcACIALAAgAFwAIgBOAEMAQQBHAGMAXAAiACwAIABcACIATgBDAEIARwBjAFwAIgAsACAAXAAiAFMAYwBcACIALAAgAFwAIgBaAGMAXAAiADsAXABuACAAIAAgACAAIAAgACAAIABcACIAVwBoAGUAYQB0AFwAIgAsACAAMQAuADUAMAAsACAAMAAuADIAOQAsACAAMAAuADgAOAAsACAAMAAuADQAMAAsACAAMAAuADAAMAA2ACwAIAAwAC4AMAAxADAALAAgADAALgA1ACwAIAAwAC4AOQAwADsAXABuACAAIAAgACAAIAAgACAAIABcACIAQgBhAHIAbABlAHkAXAAiACwAIAAxAC4AMgA0ACwAIAAwAC4AMwAyACwAIAAwAC4AOAA4ACwAIAAwAC4ANAAwACwAIAAwAC4AMAAwADcALAAgADAALgAwADEAMAAsACAAMAAuADUALAAgADAALgA4ADUAOwBcAG4AIAAgACAAIAAgACAAIAAgAFwAIgBNAGEAaQB6AGUAXAAiACwAIAAwAC4AOAAxACwAIAAwAC4AMwA5ACwAIAAwAC4AOAA1ACwAIAAwAC4ANAAyACwAIAAwAC4AMAAwADUALAAgADAALgAwADAANwAsACAAMQAuADAALAAgADAALgA4ADAAOwBcAG4AIAAgACAAIAAgACAAIAAgAFwAIgBPAGEAdABzAFwAIgAsACAAMQAuADQAMgAsACAAMAAuADQAMwAsACAAMAAuADgAOAAsACAAMAAuADQAMAAsACAAMAAuADAAMAA2ACwAIAAwAC4AMAAxADAALAAgADAALgA1ACwAIAAwAC4AOAA1ADsAXABuACAAIAAgACAAIAAgACAAIABcACIAUgBpAGMAZQBcACIALAAgADEALgAzADEALAAgADAALgAxADYALAAgADAALgA4ADAALAAgADAALgA0ADIALAAgADAALgAwADAANwAsACAAMAAuADAAMQAwACwAIAAxAC4AMAAsACAAMAAuADgAMAA7AFwAbgAgACAAIAAgACAAIAAgACAAXAAiAFMAbwByAGcAaAB1AG0AXAAiACwAIAAxAC4ANQAwACwAIAAwAC4AMgAyACwAIAAwAC4AOAAwACwAIAAwAC4ANAAwACwAIAAwAC4AMAAwADgALAAgADAALgAwADAANwAsACAAMAAuADUALAAgADAALgA4ADUAOwBcAG4AIAAgACAAIAAgACAAIAAgAFwAIgBUAHIAaQB0AGkAYwBhAGwAZQBcACIALAAgADEALgA1ADAALAAgADAALgA0ADIALAAgADAALgA4ADgALAAgADAALgA0ADAALAAgADAALgAwADAANgAsACAAMAAuADAAMQAwACwAIAAwAC4ANQAsACAAMAAuADgANQA7AFwAbgAgACAAIAAgACAAIAAgACAAXAAiAE8AdABoAGUAcgAgAGMAZQByAGUAYQBsAHMAXAAiACwAIAAxAC4ANAA2ACwAIAAwAC4AMwA2ACwAIAAwAC4AOAA4ACwAIAAwAC4ANAAwACwAIAAwAC4AMAAwADYALAAgADAALgAwADEAMAAsACAAMAAuADUALAAgADAALgA4ADUAOwBcAG4AIAAgACAAIAAgACAAIAAgAFwAIgBQAHUAbABzAGUAcwBcACIALAAgADEALgAzADcALAAgADAALgA1ADEALAAgADAALgA4ADcALAAgADAALgA0ADAALAAgADAALgAwADAAOQAsACAAMAAuADAAMQAwACwAIAAwAC4ANQAsACAAMAAuADgANQA7AFwAbgAgACAAIAAgACAAIAAgACAAXAAiAFQAdQBiAGUAcgBzACAAYQBuAGQAIAByAG8AbwB0AHMAXAAiACwAIAAwAC4AMwA0ACwAIAAwAC4ANAAzACwAIAAwAC4AMgA1ACwAIAAwAC4ANAAwACwAIAAwAC4AMAAyADAALAAgADAALgAwADEAMAAsACAAXAAiAG4ALwBhAFwAIgAsACAAMAAuADgANQA7AFwAbgAgACAAIAAgACAAIAAgACAAXAAiAFAAZQBhAG4AdQB0AHMAXAAiACwAIAAxAC4AMAA3ACwAIAAwAC4AMgAwACwAIAAwAC4AOAAwACwAIAAwAC4ANAAyACwAIAAwAC4AMAAxADYALAAgADAALgAwADEANAAsACAAMAAuADUALAAgADAALgA4ADUAOwBcAG4AIAAgACAAIAAgACAAIAAgAFwAIgBTAHUAZwBhAHIAIABjAGEAbgBlAFwAIgAsACAAMAAuADIANQAsACAAMAAuADQANQAsACAAMAAuADIAMAAsACAAMAAuADQAMAAsACAAMAAuADAAMAA1ACwAIAAwAC4AMAAwADcALAAgADEALgAwACwAIAAwAC4AOAAwADsAXABuACAAIAAgACAAIAAgACAAIABcACIAQwBvAHQAdABvAG4AXAAiACwAIAAxAC4AOQAwACwAIAAwAC4AMwAwACwAIAAwAC4AOQAwACwAIAAwAC4ANAAwACwAIAAwAC4AMAAxACwAIAAwAC4AMAAxACwAIABcACIAbgAvAGEAXAAiACwAIAAwAC4AOAA1ADsAXABuACAAIAAgACAAIAAgACAAIABcACIASABvAHAAcwBcACIALAAgADEALgA1ADAALAAgADAALgAyADkALAAgADAALgA4ADgALAAgADAALgA0ADAALAAgADAALgAwADAANgAsACAAXAAiAG4ALwBhAFwAIgAsACAAXAAiAG4ALwBhAFwAIgAsACAAMAAuADgANQA7AFwAbgAgACAAIAAgACAAIAAgACAAXAAiAE8AaQBsAHMAZQBlAGQAcwBcACIALAAgADIALgAwADgALAAgADAALgAzADMALAAgADAALgA5ADYALAAgADAALgA0ADAALAAgADAALgAwADAAOQAsACAAMAAuADAAMQAwACwAIAAwAC4ANQAsACAAMAAuADgANQA7AFwAbgAgACAAIAAgACAAIAAgACAAXAAiAEYAbwByAGEAZwBlACAAYwByAG8AcABzAFwAIgAsACAAMQAuADMANAAsACAAMAAuADMANwAsACAAMAAuADgAOAAsACAAMAAuADQAMAAsACAAMAAuADAAMAA2ACwAIAAwAC4AMAAxADAALAAgAFwAIgBuAC8AYQBcACIALAAgADAALgA4ADUAOwBcAG4AIAAgACAAIAAgACAAIAAgAFwAIgBPAHQAaABlAHIAIABhAG4AbgB1AGEAbAAgAGMAcgBvAHAAcwBcACIALAAgADEALgAwADAALAAgADAALgAyADIALAAgADAALgA4ADUALAAgADAALgA0ADAALAAgADAALgAwADAAOAAsACAAMAAuADAAMAA5ACwAIABcACIAbgAvAGEAXAAiACwAIABcACIAbgAvAGEAXAAiADsAXABuACAAIAAgACAAIAAgACAAIABcACIATwB0AGgAZQByACAAcABlAHIAZQBuAG4AaQBhAGwAIABjAHIAbwBwAHMAXAAiACwAIAAxAC4ANQAsACAAMAAuADIAOQAsACAAMAAuADgAOAAsACAAMAAuADQALAAgADAALgAwADAANgAsACAAXAAiAG4ALwBhAFwAIgAsACAAXAAiAG4ALwBhAFwAIgAsACAAXAAiAG4ALwBhAFwAIgBcAG4AIAAgACAAIAAgACAAfQAsACAAcgAsACAAYwApAFwAbgApACkAKQA7AFwAbgBcAG4AQwByAG8AcABBAHQAdAByAGkAYgB1AHQAZQBzAF8AVgBhAHIAaQBhAHQAaQBvAG4AXABuAD0ATABBAE0AQgBEAEEAKAAoAFwAIgBWAEEAUgBJAEEAVABJAE8ATgAgAEYAUgBPAE0AIABTAE8AVQBSAEMARQA6ACAAJwBOAC8AQQAnACAAdgBhAGwAdQBlAHMAIABwAGEAcwBzAGUAZAAgAGEAcwAgAHoAZQByAG8AIABmAG8AcgAgAGMAYQBsAGMAdQBsAGEAdABpAG8AbgBzAC4AXAAiACkAKQA7AFwAbgBcAG4ALwAqAFwAbgA9AD0APQA9AD0APQA9AD0APQA9AD0APQA9AD0APQA9AD0APQA9AD0APQA9AD0APQA9AD0APQA9AD0APQA9AD0APQA9AD0APQA9AD0APQA9AD0APQA9AD0APQA9AD0APQA9AD0APQA9AD0APQA9AD0APQA9AD0APQA9AD0APQA9AD0APQA9AD0APQA9AD0APQA9AD0APQA9AFwAbgBDAHIAbwBwACAAYQB0AHQAcgBpAGIAdQB0AGUAcwAgAC0AIABGAHIAYQBjAHQAaQBvAG4AIAByAGUAbQBvAHYAZQBkACAAKABGAEYATwBEAGMAKQBcAG4APQA9AD0APQA9AD0APQA9AD0APQA9AD0APQA9AD0APQA9AD0APQA9AD0APQA9AD0APQA9AD0APQA9AD0APQA9AD0APQA9AD0APQA9AD0APQA9AD0APQA9AD0APQA9AD0APQA9AD0APQA9AD0APQA9AD0APQA9AD0APQA9AD0APQA9AD0APQA9AD0APQA9AD0APQA9AD0APQBcAG4AKgAvAFwAbgBcAG4AQwByAG8AcABGAHIAYQBjAHQAaQBvAG4AUgBlAG0AbwB2AGUAZABfAFQAaQB0AGwAZQBcAG4APQBMAEEATQBCAEQAQQAoACgAXAAiAFQAYQBiAGwAZQAgAEEALgAyAC4AMQAuADIAOgAgAEMAcgBvAHAAIABhAHQAdAByAGkAYgB1AHQAZQBzACAALQAgAEYAcgBhAGMAdABpAG8AbgAgAHIAZQBtAG8AdgBlAGQAIAAoAEYARgBPAEQAYwApAFwAIgApACkAOwBcAG4AXABuAEMAcgBvAHAARgByAGEAYwB0AGkAbwBuAFIAZQBtAG8AdgBlAGQAXwBEAGUAcwBjAHIAaQBwAHQAaQBvAG4AXABuAD0ATABBAE0AQgBEAEEAKAAoAFwAIgBDAHIAbwBwACAAYQB0AHQAcgBpAGIAdQB0AGUAcwAgAC0AIABGAHIAYQBjAHQAaQBvAG4AIAByAGUAbQBvAHYAZQBkACAAKABGAEYATwBEAGMAKQBcACIAKQApADsAXABuAFwAbgBDAHIAbwBwAEYAcgBhAGMAdABpAG8AbgBSAGUAbQBvAHYAZQBkAF8AUwBvAHUAcgBjAGUAXABuAD0ATABBAE0AQgBEAEEAKAAoAFwAIgBWAEUARQBSAEcAIAAyADAAMgA2ADoAIABUAGEAYgBsAGUAIABBAC4AMgAuADEALgAyADoAIABDAHIAbwBwACAAYQB0AHQAcgBpAGIAdQB0AGUAcwAgAC0AIABGAHIAYQBjAHQAaQBvAG4AIAByAGUAbQBvAHYAZQBkACAAKABGAEYATwBEAGMAKQBcACIAKQApADsAXABuAFwAbgBDAHIAbwBwAEYAcgBhAGMAdABpAG8AbgBSAGUAbQBvAHYAZQBkAF8ARABhAHQAYQBcAG4APQBMAEEATQBCAEQAQQAoAFwAbgAgACAATQBBAEsARQBBAFIAUgBBAFkAKAAyADAALAAgADMALABcAG4AIAAgACAAIABMAEEATQBCAEQAQQAoAHIALABjACwAXABuACAAIAAgACAAIAAgAEkATgBEAEUAWAAoAHsAXABuACAAIAAgACAAIAAgACAAIABcACIAQwByAG8AcAAgAHQAeQBwAGUAIABjAFwAIgAsACAAXAAiAFMAdABhAHQAZQBcACIALAAgAFwAIgBGAHIAYQBjAHQAaQBvAG4AIAByAGUAbQBvAHYAZQBkACAARgBGAE8ARABjAFwAIgA7AFwAbgAgACAAIAAgACAAIAAgACAAXAAiAFIAaQBjAGUAXAAiACwAIABcACIAQQBsAGwAIABzAHQAYQB0AGUAcwBcACIALAAgADAALgAwADYAOwBcAG4AIAAgACAAIAAgACAAIAAgAFwAIgBUAHUAYgBlAHIAcwAgAGEAbgBkACAAcgBvAG8AdABzAFwAIgAsACAAXAAiAEEAbABsACAAcwB0AGEAdABlAHMAXAAiACwAIAAxADsAXABuACAAIAAgACAAIAAgACAAIABcACIAQwBvAHQAdABvAG4AXAAiACwAIABcACIAQQBsAGwAIABzAHQAYQB0AGUAcwBcACIALAAgADAAOwBcAG4AIAAgACAAIAAgACAAIAAgAFwAIgBIAG8AcABzAFwAIgAsACAAXAAiAEEAbABsACAAcwB0AGEAdABlAHMAXAAiACwAIAAwADsAXABuACAAIAAgACAAIAAgACAAIABcACIARgBvAHIAYQBnAGUAIABjAHIAbwBwAHMAXAAiACwAIABcACIAQQBsAGwAIABzAHQAYQB0AGUAcwBcACIALAAgADAALgA4ADsAXABuACAAIAAgACAAIAAgACAAIABcACIAUwB1AGcAYQByACAAQwBhAG4AZQBcACIALAAgAFwAIgBOAFMAVwBcACIALAAgADAAOwBcAG4AIAAgACAAIAAgACAAIAAgAFwAIgBTAHUAZwBhAHIAIABDAGEAbgBlAFwAIgAsACAAXAAiAFEATABEAFwAIgAsACAAMAAuADAAMwA7AFwAbgAgACAAIAAgACAAIAAgACAAXAAiAFMAdQBnAGEAcgAgAEMAYQBuAGUAXAAiACwAIABcACIAVwBBAFwAIgAsACAAMAA7AFwAbgAgACAAIAAgACAAIAAgACAAXAAiAEEAbABsACAAbwB0AGgAZQByACAAYwByAG8AcAAgAHQAeQBwAGUAcwBcACIALAAgAFwAIgBOAFMAVwBcACIALAAgADAALgAwADUAOwBcAG4AIAAgACAAIAAgACAAIAAgAFwAIgBBAGwAbAAgAG8AdABoAGUAcgAgAGMAcgBvAHAAIAB0AHkAcABlAHMAXAAiACwAIABcACIAVgBJAEMAXAAiACwAIAAwAC4AMAA3ADsAXABuACAAIAAgACAAIAAgACAAIABcACIAQQBsAGwAIABvAHQAaABlAHIAIABjAHIAbwBwACAAdAB5AHAAZQBzAFwAIgAsACAAXAAiAFEATABEAFwAIgAsACAAMAAuADAANAA7AFwAbgAgACAAIAAgACAAIAAgACAAXAAiAEEAbABsACAAbwB0AGgAZQByACAAYwByAG8AcAAgAHQAeQBwAGUAcwBcACIALAAgAFwAIgBTAEEAXAAiACwAIAAwAC4AMAA5ADsAXABuACAAIAAgACAAIAAgACAAIABcACIAQQBsAGwAIABvAHQAaABlAHIAIABjAHIAbwBwACAAdAB5AHAAZQBzAFwAIgAsACAAXAAiAFcAQQBcACIALAAgADAALgAxADEAOwBcAG4AIAAgACAAIAAgACAAIAAgAFwAIgBBAGwAbAAgAG8AdABoAGUAcgAgAGMAcgBvAHAAIAB0AHkAcABlAHMAXAAiACwAIABcACIAVABBAFMAXAAiACwAIAAwAC4AMQA2ADsAXABuACAAIAAgACAAIAAgACAAIABcACIAQQBsAGwAIABvAHQAaABlAHIAIABjAHIAbwBwACAAdAB5AHAAZQBzAFwAIgAsACAAXAAiAE4AVABcACIALAAgADAALgAwADEAOwBcAG4AIAAgACAAIAAgACAAIAAgAFwAIgBBAGwAbAAgAG8AdABoAGUAcgAgAGMAcgBvAHAAIAB0AHkAcABlAHMAXAAiACwAIABcACIAQQBDAFQAXAAiACwAIAAwAC4AMAAwAFwAbgAgACAAIAAgACAAIAB9ACwAIAByACwAIABjACkAXABuACkAKQApADsAXABuAFwAbgBDAHIAbwBwAEYAcgBhAGMAdABpAG8AbgBSAGUAbQBvAHYAZQBkAF8AQwB1AHMAdABvAG0AaQBzAGUAZABEAGEAdABhAFwAbgA9AEwAQQBNAEIARABBACgAXABuACAAIABNAEEASwBFAEEAUgBSAEEAWQAoADEANAA0ACwAIAAzACwAXABuACAAIAAgACAATABBAE0AQgBEAEEAKAByACwAYwAsAFwAbgAgACAAIAAgACAAIABJAE4ARABFAFgAKAB7AFwAbgAgACAAIAAgACAAIAAgACAAXAAiAEMAcgBvAHAAIAB0AHkAcABlACAAYwBcACIALAAgAFwAIgBTAHQAYQB0AGUAXAAiACwAIABcACIARgByAGEAYwB0AGkAbwBuACAAcgBlAG0AbwB2AGUAZAAgAEYARgBPAEQAYwBcACIAOwBcAG4AIAAgACAAIAAgACAAIAAgAFwAIgBSAGkAYwBlAFwAIgAsACAAXAAiAE4AUwBXAFwAIgAsACAAMAAuADAANgA7AFwAbgAgACAAIAAgACAAIAAgACAAXAAiAFIAaQBjAGUAXAAiACwAIABcACIAVgBJAEMAXAAiACwAIAAwAC4AMAA2ADsAXABuACAAIAAgACAAIAAgACAAIABcACIAUgBpAGMAZQBcACIALAAgAFwAIgBRAEwARABcACIALAAgADAALgAwADYAOwBcAG4AIAAgACAAIAAgACAAIAAgAFwAIgBSAGkAYwBlAFwAIgAsACAAXAAiAFMAQQBcACIALAAgADAALgAwADYAOwBcAG4AIAAgACAAIAAgACAAIAAgAFwAIgBSAGkAYwBlAFwAIgAsACAAXAAiAFcAQQBcACIALAAgADAALgAwADYAOwBcAG4AIAAgACAAIAAgACAAIAAgAFwAIgBSAGkAYwBlAFwAIgAsACAAXAAiAFQAQQBTAFwAIgAsACAAMAAuADAANgA7AFwAbgAgACAAIAAgACAAIAAgACAAXAAiAFIAaQBjAGUAXAAiACwAIABcACIATgBUAFwAIgAsACAAMAAuADAANgA7AFwAbgAgACAAIAAgACAAIAAgACAAXAAiAFIAaQBjAGUAXAAiACwAIABcACIAQQBDAFQAXAAiACwAIAAwAC4AMAA2ADsAXABuACAAIAAgACAAIAAgACAAIABcACIAVAB1AGIAZQByAHMAIABhAG4AZAAgAHIAbwBvAHQAcwBcACIALAAgAFwAIgBOAFMAVwBcACIALAAgADEAOwBcAG4AIAAgACAAIAAgACAAIAAgAFwAIgBUAHUAYgBlAHIAcwAgAGEAbgBkACAAcgBvAG8AdABzAFwAIgAsACAAXAAiAFYASQBDAFwAIgAsACAAMQA7AFwAbgAgACAAIAAgACAAIAAgACAAXAAiAFQAdQBiAGUAcgBzACAAYQBuAGQAIAByAG8AbwB0AHMAXAAiACwAIABcACIAUQBMAEQAXAAiACwAIAAxADsAXABuACAAIAAgACAAIAAgACAAIABcACIAVAB1AGIAZQByAHMAIABhAG4AZAAgAHIAbwBvAHQAcwBcACIALAAgAFwAIgBTAEEAXAAiACwAIAAxADsAXABuACAAIAAgACAAIAAgACAAIABcACIAVAB1AGIAZQByAHMAIABhAG4AZAAgAHIAbwBvAHQAcwBcACIALAAgAFwAIgBXAEEAXAAiACwAIAAxADsAXABuACAAIAAgACAAIAAgACAAIABcACIAVAB1AGIAZQByAHMAIABhAG4AZAAgAHIAbwBvAHQAcwBcACIALAAgAFwAIgBUAEEAUwBcACIALAAgADEAOwBcAG4AIAAgACAAIAAgACAAIAAgAFwAIgBUAHUAYgBlAHIAcwAgAGEAbgBkACAAcgBvAG8AdABzAFwAIgAsACAAXAAiAE4AVABcACIALAAgADEAOwBcAG4AIAAgACAAIAAgACAAIAAgAFwAIgBUAHUAYgBlAHIAcwAgAGEAbgBkACAAcgBvAG8AdABzAFwAIgAsACAAXAAiAEEAQwBUAFwAIgAsACAAMQA7AFwAbgAgACAAIAAgACAAIAAgACAAXAAiAEMAbwB0AHQAbwBuAFwAIgAsACAAXAAiAE4AUwBXAFwAIgAsACAAMAA7AFwAbgAgACAAIAAgACAAIAAgACAAXAAiAEMAbwB0AHQAbwBuAFwAIgAsACAAXAAiAFYASQBDAFwAIgAsACAAMAA7AFwAbgAgACAAIAAgACAAIAAgACAAXAAiAEMAbwB0AHQAbwBuAFwAIgAsACAAXAAiAFEATABEAFwAIgAsACAAMAA7AFwAbgAgACAAIAAgACAAIAAgACAAXAAiAEMAbwB0AHQAbwBuAFwAIgAsACAAXAAiAFMAQQBcACIALAAgADAAOwBcAG4AIAAgACAAIAAgACAAIAAgAFwAIgBDAG8AdAB0AG8AbgBcACIALAAgAFwAIgBXAEEAXAAiACwAIAAwADsAXABuACAAIAAgACAAIAAgACAAIABcACIAQwBvAHQAdABvAG4AXAAiACwAIABcACIAVABBAFMAXAAiACwAIAAwADsAXABuACAAIAAgACAAIAAgACAAIABcACIAQwBvAHQAdABvAG4AXAAiACwAIABcACIATgBUAFwAIgAsACAAMAA7AFwAbgAgACAAIAAgACAAIAAgACAAXAAiAEMAbwB0AHQAbwBuAFwAIgAsACAAXAAiAEEAQwBUAFwAIgAsACAAMAA7AFwAbgAgACAAIAAgACAAIAAgACAAXAAiAEgAbwBwAHMAXAAiACwAIABcACIATgBTAFcAXAAiACwAIAAwADsAXABuACAAIAAgACAAIAAgACAAIABcACIASABvAHAAcwBcACIALAAgAFwAIgBWAEkAQwBcACIALAAgADAAOwBcAG4AIAAgACAAIAAgACAAIAAgAFwAIgBIAG8AcABzAFwAIgAsACAAXAAiAFEATABEAFwAIgAsACAAMAA7AFwAbgAgACAAIAAgACAAIAAgACAAXAAiAEgAbwBwAHMAXAAiACwAIABcACIAUwBBAFwAIgAsACAAMAA7AFwAbgAgACAAIAAgACAAIAAgACAAXAAiAEgAbwBwAHMAXAAiACwAIABcACIAVwBBAFwAIgAsACAAMAA7AFwAbgAgACAAIAAgACAAIAAgACAAXAAiAEgAbwBwAHMAXAAiACwAIABcACIAVABBAFMAXAAiACwAIAAwADsAXABuACAAIAAgACAAIAAgACAAIABcACIASABvAHAAcwBcACIALAAgAFwAIgBOAFQAXAAiACwAIAAwADsAXABuACAAIAAgACAAIAAgACAAIABcACIASABvAHAAcwBcACIALAAgAFwAIgBBAEMAVABcACIALAAgADAAOwBcAG4AIAAgACAAIAAgACAAIAAgAFwAIgBGAG8AcgBhAGcAZQAgAGMAcgBvAHAAcwBcACIALAAgAFwAIgBOAFMAVwBcACIALAAgADAALgA4ADsAXABuACAAIAAgACAAIAAgACAAIABcACIARgBvAHIAYQBnAGUAIABjAHIAbwBwAHMAXAAiACwAIABcACIAVgBJAEMAXAAiACwAIAAwAC4AOAA7AFwAbgAgACAAIAAgACAAIAAgACAAXAAiAEYAbwByAGEAZwBlACAAYwByAG8AcABzAFwAIgAsACAAXAAiAFEATABEAFwAIgAsACAAMAAuADgAOwBcAG4AIAAgACAAIAAgACAAIAAgAFwAIgBGAG8AcgBhAGcAZQAgAGMAcgBvAHAAcwBcACIALAAgAFwAIgBTAEEAXAAiACwAIAAwAC4AOAA7AFwAbgAgACAAIAAgACAAIAAgACAAXAAiAEYAbwByAGEAZwBlACAAYwByAG8AcABzAFwAIgAsACAAXAAiAFcAQQBcACIALAAgADAALgA4ADsAXABuACAAIAAgACAAIAAgACAAIABcACIARgBvAHIAYQBnAGUAIABjAHIAbwBwAHMAXAAiACwAIABcACIAVABBAFMAXAAiACwAIAAwAC4AOAA7AFwAbgAgACAAIAAgACAAIAAgACAAXAAiAEYAbwByAGEAZwBlACAAYwByAG8AcABzAFwAIgAsACAAXAAiAE4AVABcACIALAAgADAALgA4ADsAXABuACAAIAAgACAAIAAgACAAIABcACIARgBvAHIAYQBnAGUAIABjAHIAbwBwAHMAXAAiACwAIABcACIAQQBDAFQAXAAiACwAIAAwAC4AOAA7AFwAbgAgACAAIAAgACAAIAAgACAAXAAiAFMAdQBnAGEAcgAgAEMAYQBuAGUAXAAiACwAIABcACIATgBTAFcAXAAiACwAIAAwADsAXABuACAAIAAgACAAIAAgACAAIABcACIAUwB1AGcAYQByACAAQwBhAG4AZQBcACIALAAgAFwAIgBWAEkAQwBcACIALAAgAFwAIgBOAC8AQQBcACIAOwBcAG4AIAAgACAAIAAgACAAIAAgAFwAIgBTAHUAZwBhAHIAIABDAGEAbgBlAFwAIgAsACAAXAAiAFEATABEAFwAIgAsACAAMAAuADAAMwA7AFwAbgAgACAAIAAgACAAIAAgACAAXAAiAFMAdQBnAGEAcgAgAEMAYQBuAGUAXAAiACwAIABcACIAUwBBAFwAIgAsACAAXAAiAE4ALwBBAFwAIgA7AFwAbgAgACAAIAAgACAAIAAgACAAXAAiAFMAdQBnAGEAcgAgAEMAYQBuAGUAXAAiACwAIABcACIAVwBBAFwAIgAsACAAMAA7AFwAbgAgACAAIAAgACAAIAAgACAAXAAiAFMAdQBnAGEAcgAgAEMAYQBuAGUAXAAiACwAIABcACIAVABBAFMAXAAiACwAIABcACIATgAvAEEAXAAiADsAXABuACAAIAAgACAAIAAgACAAIABcACIAUwB1AGcAYQByACAAQwBhAG4AZQBcACIALAAgAFwAIgBOAFQAXAAiACwAIABcACIATgAvAEEAXAAiADsAXABuACAAIAAgACAAIAAgACAAIABcACIAUwB1AGcAYQByACAAQwBhAG4AZQBcACIALAAgAFwAIgBBAEMAVABcACIALAAgAFwAIgBOAC8AQQBcACIAOwBcAG4AIAAgACAAIAAgACAAIAAgAFwAIgBXAGgAZQBhAHQAXAAiACwAIABcACIATgBTAFcAXAAiACwAIAAwAC4AMAA1ADsAXABuACAAIAAgACAAIAAgACAAIABcACIAVwBoAGUAYQB0AFwAIgAsACAAXAAiAFYASQBDAFwAIgAsACAAMAAuADAANwA7AFwAbgAgACAAIAAgACAAIAAgACAAXAAiAFcAaABlAGEAdABcACIALAAgAFwAIgBRAEwARABcACIALAAgADAALgAwADQAOwBcAG4AIAAgACAAIAAgACAAIAAgAFwAIgBXAGgAZQBhAHQAXAAiACwAIABcACIAUwBBAFwAIgAsACAAMAAuADAAOQA7AFwAbgAgACAAIAAgACAAIAAgACAAXAAiAFcAaABlAGEAdABcACIALAAgAFwAIgBXAEEAXAAiACwAIAAwAC4AMQAxADsAXABuACAAIAAgACAAIAAgACAAIABcACIAVwBoAGUAYQB0AFwAIgAsACAAXAAiAFQAQQBTAFwAIgAsACAAMAAuADEANgA7AFwAbgAgACAAIAAgACAAIAAgACAAXAAiAFcAaABlAGEAdABcACIALAAgAFwAIgBOAFQAXAAiACwAIAAwAC4AMAAxADsAXABuACAAIAAgACAAIAAgACAAIABcACIAVwBoAGUAYQB0AFwAIgAsACAAXAAiAEEAQwBUAFwAIgAsACAAMAAuADAAMAA7AFwAbgAgACAAIAAgACAAIAAgACAAXAAiAEIAYQByAGwAZQB5AFwAIgAsACAAXAAiAE4AUwBXAFwAIgAsACAAMAAuADAANQA7AFwAbgAgACAAIAAgACAAIAAgACAAXAAiAEIAYQByAGwAZQB5AFwAIgAsACAAXAAiAFYASQBDAFwAIgAsACAAMAAuADAANwA7AFwAbgAgACAAIAAgACAAIAAgACAAXAAiAEIAYQByAGwAZQB5AFwAIgAsACAAXAAiAFEATABEAFwAIgAsACAAMAAuADAANAA7AFwAbgAgACAAIAAgACAAIAAgACAAXAAiAEIAYQByAGwAZQB5AFwAIgAsACAAXAAiAFMAQQBcACIALAAgADAALgAwADkAOwBcAG4AIAAgACAAIAAgACAAIAAgAFwAIgBCAGEAcgBsAGUAeQBcACIALAAgAFwAIgBXAEEAXAAiACwAIAAwAC4AMQAxADsAXABuACAAIAAgACAAIAAgACAAIABcACIAQgBhAHIAbABlAHkAXAAiACwAIABcACIAVABBAFMAXAAiACwAIAAwAC4AMQA2ADsAXABuACAAIAAgACAAIAAgACAAIABcACIAQgBhAHIAbABlAHkAXAAiACwAIABcACIATgBUAFwAIgAsACAAMAAuADAAMQA7AFwAbgAgACAAIAAgACAAIAAgACAAXAAiAEIAYQByAGwAZQB5AFwAIgAsACAAXAAiAEEAQwBUAFwAIgAsACAAMAAuADAAMAA7AFwAbgAgACAAIAAgACAAIAAgACAAXAAiAE0AYQBpAHoAZQBcACIALAAgAFwAIgBOAFMAVwBcACIALAAgADAALgAwADUAOwBcAG4AIAAgACAAIAAgACAAIAAgAFwAIgBNAGEAaQB6AGUAXAAiACwAIABcACIAVgBJAEMAXAAiACwAIAAwAC4AMAA3ADsAXABuACAAIAAgACAAIAAgACAAIABcACIATQBhAGkAegBlAFwAIgAsACAAXAAiAFEATABEAFwAIgAsACAAMAAuADAANAA7AFwAbgAgACAAIAAgACAAIAAgACAAXAAiAE0AYQBpAHoAZQBcACIALAAgAFwAIgBTAEEAXAAiACwAIAAwAC4AMAA5ADsAXABuACAAIAAgACAAIAAgACAAIABcACIATQBhAGkAegBlAFwAIgAsACAAXAAiAFcAQQBcACIALAAgADAALgAxADEAOwBcAG4AIAAgACAAIAAgACAAIAAgAFwAIgBNAGEAaQB6AGUAXAAiACwAIABcACIAVABBAFMAXAAiACwAIAAwAC4AMQA2ADsAXABuACAAIAAgACAAIAAgACAAIABcACIATQBhAGkAegBlAFwAIgAsACAAXAAiAE4AVABcACIALAAgADAALgAwADEAOwBcAG4AIAAgACAAIAAgACAAIAAgAFwAIgBNAGEAaQB6AGUAXAAiACwAIABcACIAQQBDAFQAXAAiACwAIAAwAC4AMAAwADsAXABuACAAIAAgACAAIAAgACAAIABcACIATwBhAHQAcwBcACIALAAgAFwAIgBOAFMAVwBcACIALAAgADAALgAwADUAOwBcAG4AIAAgACAAIAAgACAAIAAgAFwAIgBPAGEAdABzAFwAIgAsACAAXAAiAFYASQBDAFwAIgAsACAAMAAuADAANwA7AFwAbgAgACAAIAAgACAAIAAgACAAXAAiAE8AYQB0AHMAXAAiACwAIABcACIAUQBMAEQAXAAiACwAIAAwAC4AMAA0ADsAXABuACAAIAAgACAAIAAgACAAIABcACIATwBhAHQAcwBcACIALAAgAFwAIgBTAEEAXAAiACwAIAAwAC4AMAA5ADsAXABuACAAIAAgACAAIAAgACAAIABcACIATwBhAHQAcwBcACIALAAgAFwAIgBXAEEAXAAiACwAIAAwAC4AMQAxADsAXABuACAAIAAgACAAIAAgACAAIABcACIATwBhAHQAcwBcACIALAAgAFwAIgBUAEEAUwBcACIALAAgADAALgAxADYAOwBcAG4AIAAgACAAIAAgACAAIAAgAFwAIgBPAGEAdABzAFwAIgAsACAAXAAiAE4AVABcACIALAAgADAALgAwADEAOwBcAG4AIAAgACAAIAAgACAAIAAgAFwAIgBPAGEAdABzAFwAIgAsACAAXAAiAEEAQwBUAFwAIgAsACAAMAAuADAAMAA7AFwAbgAgACAAIAAgACAAIAAgACAAXAAiAFMAbwByAGcAaAB1AG0AXAAiACwAIABcACIATgBTAFcAXAAiACwAIAAwAC4AMAA1ADsAXABuACAAIAAgACAAIAAgACAAIABcACIAUwBvAHIAZwBoAHUAbQBcACIALAAgAFwAIgBWAEkAQwBcACIALAAgADAALgAwADcAOwBcAG4AIAAgACAAIAAgACAAIAAgAFwAIgBTAG8AcgBnAGgAdQBtAFwAIgAsACAAXAAiAFEATABEAFwAIgAsACAAMAAuADAANAA7AFwAbgAgACAAIAAgACAAIAAgACAAXAAiAFMAbwByAGcAaAB1AG0AXAAiACwAIABcACIAUwBBAFwAIgAsACAAMAAuADAAOQA7AFwAbgAgACAAIAAgACAAIAAgACAAXAAiAFMAbwByAGcAaAB1AG0AXAAiACwAIABcACIAVwBBAFwAIgAsACAAMAAuADEAMQA7AFwAbgAgACAAIAAgACAAIAAgACAAXAAiAFMAbwByAGcAaAB1AG0AXAAiACwAIABcACIAVABBAFMAXAAiACwAIAAwAC4AMQA2ADsAXABuACAAIAAgACAAIAAgACAAIABcACIAUwBvAHIAZwBoAHUAbQBcACIALAAgAFwAIgBOAFQAXAAiACwAIAAwAC4AMAAxADsAXABuACAAIAAgACAAIAAgACAAIABcACIAUwBvAHIAZwBoAHUAbQBcACIALAAgAFwAIgBBAEMAVABcACIALAAgADAALgAwADAAOwBcAG4AIAAgACAAIAAgACAAIAAgAFwAIgBUAHIAaQB0AGkAYwBhAGwAZQBcACIALAAgAFwAIgBOAFMAVwBcACIALAAgADAALgAwADUAOwBcAG4AIAAgACAAIAAgACAAIAAgAFwAIgBUAHIAaQB0AGkAYwBhAGwAZQBcACIALAAgAFwAIgBWAEkAQwBcACIALAAgADAALgAwADcAOwBcAG4AIAAgACAAIAAgACAAIAAgAFwAIgBUAHIAaQB0AGkAYwBhAGwAZQBcACIALAAgAFwAIgBRAEwARABcACIALAAgADAALgAwADQAOwBcAG4AIAAgACAAIAAgACAAIAAgAFwAIgBUAHIAaQB0AGkAYwBhAGwAZQBcACIALAAgAFwAIgBTAEEAXAAiACwAIAAwAC4AMAA5ADsAXABuACAAIAAgACAAIAAgACAAIABcACIAVAByAGkAdABpAGMAYQBsAGUAXAAiACwAIABcACIAVwBBAFwAIgAsACAAMAAuADEAMQA7AFwAbgAgACAAIAAgACAAIAAgACAAXAAiAFQAcgBpAHQAaQBjAGEAbABlAFwAIgAsACAAXAAiAFQAQQBTAFwAIgAsACAAMAAuADEANgA7AFwAbgAgACAAIAAgACAAIAAgACAAXAAiAFQAcgBpAHQAaQBjAGEAbABlAFwAIgAsACAAXAAiAE4AVABcACIALAAgADAALgAwADEAOwBcAG4AIAAgACAAIAAgACAAIAAgAFwAIgBUAHIAaQB0AGkAYwBhAGwAZQBcACIALAAgAFwAIgBBAEMAVABcACIALAAgADAALgAwADAAOwBcAG4AIAAgACAAIAAgACAAIAAgAFwAIgBPAHQAaABlAHIAIABjAGUAcgBlAGEAbABzAFwAIgAsACAAXAAiAE4AUwBXAFwAIgAsACAAMAAuADAANQA7AFwAbgAgACAAIAAgACAAIAAgACAAXAAiAE8AdABoAGUAcgAgAGMAZQByAGUAYQBsAHMAXAAiACwAIABcACIAVgBJAEMAXAAiACwAIAAwAC4AMAA3ADsAXABuACAAIAAgACAAIAAgACAAIABcACIATwB0AGgAZQByACAAYwBlAHIAZQBhAGwAcwBcACIALAAgAFwAIgBRAEwARABcACIALAAgADAALgAwADQAOwBcAG4AIAAgACAAIAAgACAAIAAgAFwAIgBPAHQAaABlAHIAIABjAGUAcgBlAGEAbABzAFwAIgAsACAAXAAiAFMAQQBcACIALAAgADAALgAwADkAOwBcAG4AIAAgACAAIAAgACAAIAAgAFwAIgBPAHQAaABlAHIAIABjAGUAcgBlAGEAbABzAFwAIgAsACAAXAAiAFcAQQBcACIALAAgADAALgAxADEAOwBcAG4AIAAgACAAIAAgACAAIAAgAFwAIgBPAHQAaABlAHIAIABjAGUAcgBlAGEAbABzAFwAIgAsACAAXAAiAFQAQQBTAFwAIgAsACAAMAAuADEANgA7AFwAbgAgACAAIAAgACAAIAAgACAAXAAiAE8AdABoAGUAcgAgAGMAZQByAGUAYQBsAHMAXAAiACwAIABcACIATgBUAFwAIgAsACAAMAAuADAAMQA7AFwAbgAgACAAIAAgACAAIAAgACAAXAAiAE8AdABoAGUAcgAgAGMAZQByAGUAYQBsAHMAXAAiACwAIABcACIAQQBDAFQAXAAiACwAIAAwAC4AMAAwADsAXABuACAAIAAgACAAIAAgACAAIABcACIAUAB1AGwAcwBlAHMAXAAiACwAIABcACIATgBTAFcAXAAiACwAIAAwAC4AMAA1ADsAXABuACAAIAAgACAAIAAgACAAIABcACIAUAB1AGwAcwBlAHMAXAAiACwAIABcACIAVgBJAEMAXAAiACwAIAAwAC4AMAA3ADsAXABuACAAIAAgACAAIAAgACAAIABcACIAUAB1AGwAcwBlAHMAXAAiACwAIABcACIAUQBMAEQAXAAiACwAIAAwAC4AMAA0ADsAXABuACAAIAAgACAAIAAgACAAIABcACIAUAB1AGwAcwBlAHMAXAAiACwAIABcACIAUwBBAFwAIgAsACAAMAAuADAAOQA7AFwAbgAgACAAIAAgACAAIAAgACAAXAAiAFAAdQBsAHMAZQBzAFwAIgAsACAAXAAiAFcAQQBcACIALAAgADAALgAxADEAOwBcAG4AIAAgACAAIAAgACAAIAAgAFwAIgBQAHUAbABzAGUAcwBcACIALAAgAFwAIgBUAEEAUwBcACIALAAgADAALgAxADYAOwBcAG4AIAAgACAAIAAgACAAIAAgAFwAIgBQAHUAbABzAGUAcwBcACIALAAgAFwAIgBOAFQAXAAiACwAIAAwAC4AMAAxADsAXABuACAAIAAgACAAIAAgACAAIABcACIAUAB1AGwAcwBlAHMAXAAiACwAIABcACIAQQBDAFQAXAAiACwAIAAwAC4AMAAwADsAXABuACAAIAAgACAAIAAgACAAIABcACIAUABlAGEAbgB1AHQAcwBcACIALAAgAFwAIgBOAFMAVwBcACIALAAgADAALgAwADUAOwBcAG4AIAAgACAAIAAgACAAIAAgAFwAIgBQAGUAYQBuAHUAdABzAFwAIgAsACAAXAAiAFYASQBDAFwAIgAsACAAMAAuADAANwA7AFwAbgAgACAAIAAgACAAIAAgACAAXAAiAFAAZQBhAG4AdQB0AHMAXAAiACwAIABcACIAUQBMAEQAXAAiACwAIAAwAC4AMAA0ADsAXABuACAAIAAgACAAIAAgACAAIABcACIAUABlAGEAbgB1AHQAcwBcACIALAAgAFwAIgBTAEEAXAAiACwAIAAwAC4AMAA5ADsAXABuACAAIAAgACAAIAAgACAAIABcACIAUABlAGEAbgB1AHQAcwBcACIALAAgAFwAIgBXAEEAXAAiACwAIAAwAC4AMQAxADsAXABuACAAIAAgACAAIAAgACAAIABcACIAUABlAGEAbgB1AHQAcwBcACIALAAgAFwAIgBUAEEAUwBcACIALAAgADAALgAxADYAOwBcAG4AIAAgACAAIAAgACAAIAAgAFwAIgBQAGUAYQBuAHUAdABzAFwAIgAsACAAXAAiAE4AVABcACIALAAgADAALgAwADEAOwBcAG4AIAAgACAAIAAgACAAIAAgAFwAIgBQAGUAYQBuAHUAdABzAFwAIgAsACAAXAAiAEEAQwBUAFwAIgAsACAAMAAuADAAMAA7AFwAbgAgACAAIAAgACAAIAAgACAAXAAiAE8AaQBsAHMAZQBlAGQAcwBcACIALAAgAFwAIgBOAFMAVwBcACIALAAgADAALgAwADUAOwBcAG4AIAAgACAAIAAgACAAIAAgAFwAIgBPAGkAbABzAGUAZQBkAHMAXAAiACwAIABcACIAVgBJAEMAXAAiACwAIAAwAC4AMAA3ADsAXABuACAAIAAgACAAIAAgACAAIABcACIATwBpAGwAcwBlAGUAZABzAFwAIgAsACAAXAAiAFEATABEAFwAIgAsACAAMAAuADAANAA7AFwAbgAgACAAIAAgACAAIAAgACAAXAAiAE8AaQBsAHMAZQBlAGQAcwBcACIALAAgAFwAIgBTAEEAXAAiACwAIAAwAC4AMAA5ADsAXABuACAAIAAgACAAIAAgACAAIABcACIATwBpAGwAcwBlAGUAZABzAFwAIgAsACAAXAAiAFcAQQBcACIALAAgADAALgAxADEAOwBcAG4AIAAgACAAIAAgACAAIAAgAFwAIgBPAGkAbABzAGUAZQBkAHMAXAAiACwAIABcACIAVABBAFMAXAAiACwAIAAwAC4AMQA2ADsAXABuACAAIAAgACAAIAAgACAAIABcACIATwBpAGwAcwBlAGUAZABzAFwAIgAsACAAXAAiAE4AVABcACIALAAgADAALgAwADEAOwBcAG4AIAAgACAAIAAgACAAIAAgAFwAIgBPAGkAbABzAGUAZQBkAHMAXAAiACwAIABcACIAQQBDAFQAXAAiACwAIAAwAC4AMAAwADsAXABuACAAIAAgACAAIAAgACAAIABcACIATwB0AGgAZQByACAAYQBuAG4AdQBhAGwAIABjAHIAbwBwAHMAXAAiACwAIABcACIATgBTAFcAXAAiACwAIAAwAC4AMAA1ADsAXABuACAAIAAgACAAIAAgACAAIABcACIATwB0AGgAZQByACAAYQBuAG4AdQBhAGwAIABjAHIAbwBwAHMAXAAiACwAIABcACIAVgBJAEMAXAAiACwAIAAwAC4AMAA3ADsAXABuACAAIAAgACAAIAAgACAAIABcACIATwB0AGgAZQByACAAYQBuAG4AdQBhAGwAIABjAHIAbwBwAHMAXAAiACwAIABcACIAUQBMAEQAXAAiACwAIAAwAC4AMAA0ADsAXABuACAAIAAgACAAIAAgACAAIABcACIATwB0AGgAZQByACAAYQBuAG4AdQBhAGwAIABjAHIAbwBwAHMAXAAiACwAIABcACIAUwBBAFwAIgAsACAAMAAuADAAOQA7AFwAbgAgACAAIAAgACAAIAAgACAAXAAiAE8AdABoAGUAcgAgAGEAbgBuAHUAYQBsACAAYwByAG8AcABzAFwAIgAsACAAXAAiAFcAQQBcACIALAAgADAALgAxADEAOwBcAG4AIAAgACAAIAAgACAAIAAgAFwAIgBPAHQAaABlAHIAIABhAG4AbgB1AGEAbAAgAGMAcgBvAHAAcwBcACIALAAgAFwAIgBUAEEAUwBcACIALAAgADAALgAxADYAOwBcAG4AIAAgACAAIAAgACAAIAAgAFwAIgBPAHQAaABlAHIAIABhAG4AbgB1AGEAbAAgAGMAcgBvAHAAcwBcACIALAAgAFwAIgBOAFQAXAAiACwAIAAwAC4AMAAxADsAXABuACAAIAAgACAAIAAgACAAIABcACIATwB0AGgAZQByACAAYQBuAG4AdQBhAGwAIABjAHIAbwBwAHMAXAAiACwAIABcACIAQQBDAFQAXAAiACwAIAAwAC4AMAAwADsAXABuACAAIAAgACAAIAAgACAAIABcACIATwB0AGgAZQByACAAcABlAHIAZQBuAG4AaQBhAGwAIABjAHIAbwBwAHMAXAAiACwAIABcACIATgBTAFcAXAAiACwAIAAwAC4AMAA1ADsAXABuACAAIAAgACAAIAAgACAAIABcACIATwB0AGgAZQByACAAcABlAHIAZQBuAG4AaQBhAGwAIABjAHIAbwBwAHMAXAAiACwAIABcACIAVgBJAEMAXAAiACwAIAAwAC4AMAA3ADsAXABuACAAIAAgACAAIAAgACAAIABcACIATwB0AGgAZQByACAAcABlAHIAZQBuAG4AaQBhAGwAIABjAHIAbwBwAHMAXAAiACwAIABcACIAUQBMAEQAXAAiACwAIAAwAC4AMAA0ADsAXABuACAAIAAgACAAIAAgACAAIABcACIATwB0AGgAZQByACAAcABlAHIAZQBuAG4AaQBhAGwAIABjAHIAbwBwAHMAXAAiACwAIABcACIAUwBBAFwAIgAsACAAMAAuADAAOQA7AFwAbgAgACAAIAAgACAAIAAgACAAXAAiAE8AdABoAGUAcgAgAHAAZQByAGUAbgBuAGkAYQBsACAAYwByAG8AcABzAFwAIgAsACAAXAAiAFcAQQBcACIALAAgADAALgAxADEAOwBcAG4AIAAgACAAIAAgACAAIAAgAFwAIgBPAHQAaABlAHIAIABwAGUAcgBlAG4AbgBpAGEAbAAgAGMAcgBvAHAAcwBcACIALAAgAFwAIgBUAEEAUwBcACIALAAgADAALgAxADYAOwBcAG4AIAAgACAAIAAgACAAIAAgAFwAIgBPAHQAaABlAHIAIABwAGUAcgBlAG4AbgBpAGEAbAAgAGMAcgBvAHAAcwBcACIALAAgAFwAIgBOAFQAXAAiACwAIAAwAC4AMAAxADsAXABuACAAIAAgACAAIAAgACAAIABcACIATwB0AGgAZQByACAAcABlAHIAZQBuAG4AaQBhAGwAIABjAHIAbwBwAHMAXAAiACwAIABcACIAQQBDAFQAXAAiACwAIAAwAC4AMAAwAFwAbgAgACAAIAAgACAAIAB9ACwAIAByACwAIABjACkAXABuACkAKQApADsAXABuAFwAbgBDAHIAbwBwAEYAcgBhAGMAdABpAG8AbgBSAGUAbQBvAHYAZQBkAF8AVgBhAHIAaQBhAHQAaQBvAG4AXABuAD0ATABBAE0AQgBEAEEAKAAoAFwAIgBWAEEAUgBJAEEAVABJAE8ATgAgAE8ARgAgAFMATwBVAFIAQwBFACAARABBAFQAQQA6ACAAUwBwAGwAaQB0ACAAJwBBAGwAbAAgAG8AdABoAGUAcgAgAGMAcgBvAHAAIAB0AHkAcABlAHMAJwAgAGkAbgB0AG8AIABpAG4AZABpAHYAaQBkAHUAYQBsACAAYwByAG8AcAAgAHQAeQBwAGUAcwAgAGYAbwByACAAZQBhAGMAaAAgAHMAdABhAHQAZQAuACAATABpAHMAdABlAGQAIABhAGwAbAAgAHMAdABhAHQAZQBzACAAZgBvAHIAIABTAHUAZwBhAHIAIABDAGEAbgBlACwAIAB3AGkAdABoACAAJwBOAC8AQQAnACAAZgBvAHIAIABzAHQAYQB0AGUAcwAgAHcAaABlAHIAZQAgAGkAdAAgAGkAcwAgAG4AbwB0ACAAZwByAG8AdwBuAC4AXAAiACkAKQA7AFwAbgBcAG4AXABuAC8AKgBcAG4APQA9AD0APQA9AD0APQA9AD0APQA9AD0APQA9AD0APQA9AD0APQA9AD0APQA9AD0APQA9AD0APQA9AD0APQA9AD0APQA9AD0APQA9AD0APQA9AD0APQA9AD0APQA9AD0APQA9AD0APQA9AD0APQA9AD0APQA9AD0APQA9AD0APQA9AD0APQA9AD0APQA9AD0APQA9AD0APQBcAG4AUABhAHMAdAB1AHIAZQAgAGEAdAB0AHIAaQBiAHUAdABlAHMAXABuAD0APQA9AD0APQA9AD0APQA9AD0APQA9AD0APQA9AD0APQA9AD0APQA9AD0APQA9AD0APQA9AD0APQA9AD0APQA9AD0APQA9AD0APQA9AD0APQA9AD0APQA9AD0APQA9AD0APQA9AD0APQA9AD0APQA9AD0APQA9AD0APQA9AD0APQA9AD0APQA9AD0APQA9AD0APQA9AD0AXABuACoALwBcAG4AXABuAFAAYQBzAHQAdQByAGUAQQB0AHQAcgBpAGIAdQB0AGUAcwBfAFQAaQB0AGwAZQBcAG4APQBMAEEATQBCAEQAQQAoACgAXAAiAFQAYQBiAGwAZQAgAEEALgAyAC4AMQAuADMAIABQAGEAcwB0AHUAcgBlACAAYQB0AHQAcgBpAGIAdQB0AGUAcwBcACIAKQApADsAXABuAFwAbgBQAGEAcwB0AHUAcgBlAEEAdAB0AHIAaQBiAHUAdABlAHMAXwBEAGUAcwBjAHIAaQBwAHQAaQBvAG4AXABuAD0ATABBAE0AQgBEAEEAKAAoAFwAIgBQAGEAcwB0AHUAcgBlACAAYQB0AHQAcgBpAGIAdQB0AGUAcwBcACIAKQApADsAXABuAFwAbgBQAGEAcwB0AHUAcgBlAEEAdAB0AHIAaQBiAHUAdABlAHMAXwBTAG8AdQByAGMAZQBcAG4APQBMAEEATQBCAEQAQQAoACgAXAAiAFYARQBFAFIARwAgADIAMAAyADYAOgAgAFQAYQBiAGwAZQAgAEEALgAyAC4AMQAuADMAOgAgAFAAYQBzAHQAdQByAGUAIABhAHQAdAByAGkAYgB1AHQAZQBzAFwAIgApACkAOwBcAG4AXABuAFAAYQBzAHQAdQByAGUAQQB0AHQAcgBpAGIAdQB0AGUAcwBfAEQAYQB0AGEAXABuAD0ATABBAE0AQgBEAEEAKABcAG4AIAAgAE0AQQBLAEUAQQBSAFIAQQBZACgANgAsACAANgAsAFwAbgAgACAAIAAgAEwAQQBNAEIARABBACgAcgAsAGMALABcAG4AIAAgACAAIAAgACAASQBOAEQARQBYACgAewBcAG4AIAAgACAAIAAgACAAIAAgAFwAIgBQAGEAcwB0AHUAcgBlACAAdAB5AHAAZQBcACIALAAgAFwAIgBBAHYAZQByAGEAZwBlACAAWQBpAGUAbABkACAAKAB0ACAARABNACAAaABhACkAIABZAHAAXAAiACwAIABcACIAQgBlAGwAbwB3AC0AZwByAG8AdQBuAGQAOgAgAGEAYgBvAHYAZQAtAGcAcgBvAHUAbgBkACAAcgBlAHMAaQBkAHUAZQAgAHIAYQB0AGkAbwAgAFIAQgBHAHAAXAAiACwAIABcACIATgAgAGMAbwBuAHQAZQBuAHQAIABBAGIAbwB2AGUALQBnAHIAbwB1AG4AZAAgAE4AQwBBAEcAcABcACIALAAgAFwAIgBOACAAYwBvAG4AdABlAG4AdAAgAEIAZQBsAG8AdwAtAGcAcgBvAHUAbgBkACAATgBDAEIARwBwAFwAIgAsACAAXAAiAEYAcgBhAGMAdABpAG8AbgAgAG8AZgAgAHAAYQBzAHQAdQByAGUAIAB5AGkAZQBsAGQAIAB0AGgAYQB0ACAAaQBzACAAcgBlAG0AbwB2AGUAZAAgAEYARgBPAEQAcABcACIAOwBcAG4AIAAgACAAIAAgACAAIAAgAFwAIgBBAG4AbgB1AGEAbAAgAGcAcgBhAHMAcwBcACIALAAgADQALgA0ADEALAAgADAALgA0ACwAIAAwAC4AMAAxADUALAAgADAALgAwADEAMgAsACAAMAAuADgAOwBcAG4AIAAgACAAIAAgACAAIAAgAFwAIgBHAHIAYQBzAHMAIABjAGwAbwB2AGUAcgAgAG0AaQB4AHQAdQByAGUAXAAiACwAIAA4AC4AMwA0ACwAIAAwAC4AOAAsACAAMAAuADAAMgA1ACwAIAAwAC4AMAAxADYALAAgADAALgA4ADsAXABuACAAIAAgACAAIAAgACAAIABcACIATAB1AGMAZQByAG4AZQBcACIALAAgADgALgA2ADIALAAgADAALgA0ACwAIAAwAC4AMAAyADcALAAgADAALgAwADEAOQAsACAAMAAuADgAOwBcAG4AIAAgACAAIAAgACAAIAAgAFwAIgBPAHQAaABlAHIAIABsAGUAZwB1AG0AZQBcACIALAAgADUALgA2ADIALAAgADAALgA0ACwAIAAwAC4AMAAyADcALAAgADAALgAwADIAMgAsACAAMAAuADgAOwBcAG4AIAAgACAAIAAgACAAIAAgAFwAIgBQAGUAcgBlAG4AbgBpAGEAbAAgAHAAYQBzAHQAdQByAGUAXAAiACwAIAA4AC4AMwA1ACwAIAAwAC4AOAAsACAAMAAuADAAMQA1ACwAIAAwAC4AMAAxADIALAAgADAALgA4AFwAbgAgACAAIAAgACAAIAB9ACwAIAByACwAIABjACkAXABuACkAKQApADsAXABuAFwAbgBcAG4ALwAqAFwAbgA9AD0APQA9AD0APQA9AD0APQA9AD0APQA9AD0APQA9AD0APQA9AD0APQA9AD0APQA9AD0APQA9AD0APQA9AD0APQA9AD0APQA9AD0APQA9AD0APQA9AD0APQA9AD0APQA9AD0APQA9AD0APQA9AD0APQA9AD0APQA9AD0APQA9AD0APQA9AD0APQA9AD0APQA9AD0APQA9AFwAbgBUAGEAYgBsAGUAIAA1AC4AMwAxACAAQgB1AHIAbgBpAG4AZwAgAG8AZgAgAGEAZwByAGkAYwB1AGwAdAB1AHIAYQBsACAAcgBlAHMAaQBkAHUAZQBzACAALQAgAEUARgBzAFwAbgA9AD0APQA9AD0APQA9AD0APQA9AD0APQA9AD0APQA9AD0APQA9AD0APQA9AD0APQA9AD0APQA9AD0APQA9AD0APQA9AD0APQA9AD0APQA9AD0APQA9AD0APQA9AD0APQA9AD0APQA9AD0APQA9AD0APQA9AD0APQA9AD0APQA9AD0APQA9AD0APQA9AD0APQA9AD0APQA9AFwAbgAqAC8AXABuAFwAbgBCAHUAcgBuAGkAbgBnAE8AZgBBAGcAcgBpAGMAdQBsAHQAdQByAGEAbABSAGUAcwBpAGQAdQBlAHMARQBGAHMAXwBUAGkAdABsAGUAXABuAD0ATABBAE0AQgBEAEEAKAAoAFwAIgBUAGEAYgBsAGUAIAA1AC4AMwAxACAAQgB1AHIAbgBpAG4AZwAgAG8AZgAgAGEAZwByAGkAYwB1AGwAdAB1AHIAYQBsACAAcgBlAHMAaQBkAHUAZQBzACAALQAgAEUARgBzAFwAIgApACkAOwBcAG4AXABuAEIAdQByAG4AaQBuAGcATwBmAEEAZwByAGkAYwB1AGwAdAB1AHIAYQBsAFIAZQBzAGkAZAB1AGUAcwBFAEYAcwBfAEQAZQBzAGMAcgBpAHAAdABpAG8AbgBcAG4APQBMAEEATQBCAEQAQQAoACgAXAAiAEIAdQByAG4AaQBuAGcAIABvAGYAIABhAGcAcgBpAGMAdQBsAHQAdQByAGEAbAAgAHIAZQBzAGkAZAB1AGUAcwAgAC0AIABFAEYAcwBcACIAKQApADsAXABuAFwAbgBCAHUAcgBuAGkAbgBnAE8AZgBBAGcAcgBpAGMAdQBsAHQAdQByAGEAbABSAGUAcwBpAGQAdQBlAHMARQBGAHMAXwBTAG8AdQByAGMAZQBcAG4APQBMAEEATQBCAEQAQQAoACgAXAAiAE4AYQB0AGkAbwBuAGEAbAAgAEkAbgB2AGUAbgB0AG8AcgB5ACAAUgBlAHAAbwByAHQAIAAyADAAMgAzACAAdgBvAGwAdQBtAGUAIAAyADoAIABUAGEAYgBsAGUAIAA1AC4AMwAxADoAIABCAHUAcgBuAGkAbgBnACAAbwBmACAAYQBnAHIAaQBjAHUAbAB0AHUAcgBhAGwAIAByAGUAcwBpAGQAdQBlAHMAIAAtACAARQBGAHMAXAAiACkAKQA7AFwAbgBcAG4AQgB1AHIAbgBpAG4AZwBPAGYAQQBnAHIAaQBjAHUAbAB0AHUAcgBhAGwAUgBlAHMAaQBkAHUAZQBzAEUARgBzAF8ARABhAHQAYQBcAG4APQBMAEEATQBCAEQAQQAoAFwAbgAgACAATQBBAEsARQBBAFIAUgBBAFkAKAA2ACwAIAAzACwAXABuACAAIAAgACAATABBAE0AQgBEAEEAKAByACwAYwAsAFwAbgAgACAAIAAgACAAIABJAE4ARABFAFgAKAB7AFwAbgAgACAAIAAgACAAIAAgACAAXAAiAEcAYQBzACAAcwBwAGUAYwBpAGUAcwBcACIALAAgAFwAIgBFAG0AaQBzAHMAaQBvAG4AIABmAGEAYwB0AG8AcgAgAEUARgBnACAAKABHAGcAIABlAGwAZQBtAGUAbgB0ACAAaQBuACAAcwBwAGUAYwBpAGUAcwAvACAARwBnACAAZQBsAGUAbQBlAG4AdAAgAGkAbgAgAGYAdQBlAGwAIABiAHUAcgBuAHQAKQBcACIALAAgAFwAIgBFAGwAZQBtAGUAbgB0AGEAbAAgAHQAbwAgAG0AbwBsAGUAYwB1AGwAYQByACAAbQBhAHMAcwAgAGMAbwBuAHYAZQByAHMAaQBvAG4AIABmAGEAYwB0AG8AcgAgACgAQwBnACkAXAAiADsAXABuACAAIAAgACAAIAAgACAAIABcACIAQwBIADQAXAAiACwAIAAwAC4AMAAwADMANQAsACAAXAAiADEANgAvADEAMgBcACIAOwBcAG4AIAAgACAAIAAgACAAIAAgAFwAIgBOADIATwBcACIALAAgADAALgAwADAANwA2ACwAIABcACIANAA0AC8AMgA4AFwAIgA7AFwAbgAgACAAIAAgACAAIAAgACAAXAAiAE4ATwB4AFwAIgAsACAAMAAuADIAMQAwADAALAAgAFwAIgA0ADYALwAxADQAXAAiADsAXABuACAAIAAgACAAIAAgACAAIABcACIAQwBPAFwAIgAsACAAMAAuADAANwA4ADAALAAgAFwAIgAyADgALwAxADIAXAAiADsAXABuACAAIAAgACAAIAAgACAAIABcACIATgBNAFYATwBDAFwAIgAsACAAMAAuADAAMAA5ADEALAAgAFwAIgAxADQALwAxADIAXAAiAFwAbgAgACAAIAAgACAAIAB9ACwAIAByACwAIABjACkAXABuACkAKQApADsAXABuAFwAbgBcAG4ALwAqACAAXABuAC0ALQAtAC0ALQAtAC0ALQAtAC0ALQAtAC0ALQAtAC0ALQAtAC0ALQAtAC0ALQAtAC0ALQAtAC0ALQAtAC0ALQAtAC0ALQAtAC0ALQBcAG4ATgAyAE8ARQBGAE8AcgBnAGEAbgBpAGMARgBlAHIAdABpAGwAaQBzAGUAcgBcAG4AVgBFAEUAUgBHACAAMgAwADIANgA6ACAAVABhAGIAbABlACAAQQAuADIALgAxAC4ANAAgAEUAbQBpAHMAcwBpAG8AbgAgAGYAYQBjAHQAbwByACAAZgBvAHIAIABvAHIAZwBhAG4AaQBjACAAZgBlAHIAdABpAGwAaQBzAGUAcgAgAGEAbgBkACAAYwByAG8AcAAgAHIAZQBzAGkAZAB1AGUAcwAgAHIAZQB0AHUAcgBuAGUAZAAgAHQAbwAgAHQAaABlACAAcwBvAGkAbABcAG4ALQAtAC0ALQAtAC0ALQAtAC0ALQAtAC0ALQAtAC0ALQAtAC0ALQAtAC0ALQAtAC0ALQAtAC0ALQAtAC0ALQAtAC0ALQAtAC0ALQAtAFwAbgAqAC8AXABuAFwAbgBOADIATwBFAEYATwByAGcAYQBuAGkAYwBGAGUAcgB0AGkAbABpAHMAZQByAF8AVABpAHQAbABlAFwAbgAgACAAPQBMAEEATQBCAEQAQQAoAFwAIgBFAG0AaQBzAHMAaQBvAG4AIABmAGEAYwB0AG8AcgAgAGYAbwByACAAbwByAGcAYQBuAGkAYwAgAGYAZQByAHQAaQBsAGkAcwBlAHIAIABhAG4AZAAgAGMAcgBvAHAAIAByAGUAcwBpAGQAdQBlAHMAIAByAGUAdAB1AHIAbgBlAGQAIAB0AG8AIAB0AGgAZQAgAHMAbwBpAGwAXAAiACkAOwBcAG4AXABuAE4AMgBPAEUARgBPAHIAZwBhAG4AaQBjAEYAZQByAHQAaQBsAGkAcwBlAHIAXwBVAG4AaQB0AFwAbgAgACAAPQBMAEEATQBCAEQAQQAoAFwAIgBrAGcAIABOADIATwAgAC0AIABOACAALwAgAGsAZwAgAE4AXAAiACkAOwBcAG4AXABuAE4AMgBPAEUARgBPAHIAZwBhAG4AaQBjAEYAZQByAHQAaQBsAGkAcwBlAHIAXwBTAG8AdQByAGMAZQBcAG4AIAAgAD0ATABBAE0AQgBEAEEAKABcACIAVgBFAEUAUgBHACAAMgAwADIANgA6ACAAVABhAGIAbABlACAAQQAuADIALgAxAC4ANABcACIAKQA7AFwAbgBcAG4ATgAyAE8ARQBGAE8AcgBnAGEAbgBpAGMARgBlAHIAdABpAGwAaQBzAGUAcgBfAE4ASQBSAFIAZQBmAGUAcgBlAG4AYwBlAFwAbgAgACAAPQBMAEEATQBCAEQAQQAoAFwAIgBJAFAAQwBDACAAMgAwADEAOQAgAFIAZQBmAGkAbgBlAG0AZQBuAHQAIABWAG8AbAB1AG0AZQAgADQAIABUAGEAYgBsAGUAIAAxADEALgAxACAAWwAxACwAIABwAC4AIAAxADEAXQBcACIAKQA7AFwAbgBcAG4ATgAyAE8ARQBGAE8AcgBnAGEAbgBpAGMARgBlAHIAdABpAGwAaQBzAGUAcgBfAEQAYQB0AGEAXABuACAAIAA9AEwAQQBNAEIARABBACgAXABuACAAIAAgACAATQBBAEsARQBBAFIAUgBBAFkAKAAzACwAIAAyACwAIABcAG4AIAAgACAAIAAgACAATABBAE0AQgBEAEEAKAByACwAYwAsACAAXABuACAAIAAgACAAIAAgACAAIABJAE4ARABFAFgAKAB7AFwAbgAgACAAIAAgACAAIAAgACAAIAAgAFwAIgBDAGwAaQBtAGEAdABlACAAegBvAG4AZQAgAGkAXAAiACwAIABcACIARQBGACAAaQAgAE4AMgBPAFwAIgA7AFwAbgAgACAAIAAgACAAIAAgACAAIAAgACAAIABcACIAVwBlAHQAIABjAGwAaQBtAGEAdABlACAAegBvAG4AZQBcACIALAAgADAALgAwADAANgA7AFwAbgAgACAAIAAgACAAIAAgACAAIAAgACAAIABcACIARAByAHkAIABjAGwAaQBtAGEAdABlACAAegBvAG4AZQBcACIALAAgADAALgAwADAANQBcAG4AIAAgACAAIAAgACAAIAAgAH0ALAAgAHIALAAgAGMAKQBcAG4AIAAgACAAIAAgACAAKQBcAG4AIAAgACAAIAApAFwAbgAgACAAKQA7AFwAbgBcAG4AXABuAFwAbgAiAH0ALAB7ACIAcABhAHQAaAAiADoAIgAvAHAAcgBvAGoAZQBjAHQAcwAvAEEAZwBSAGUAcwBpAGQAdQBlAF8ARQBxAHUAYQB0AGkAbwBuAHMAXwBDAHIAbwBwAFIAZQBzAGkAZAB1AGUAIgAsACIAdABlAHgAdAAiADoAIgAvACoAIABcAG4ALQAtAC0ALQAtAC0ALQAtAC0ALQAtAC0ALQAtAC0ALQAtAC0ALQAtAC0ALQAtAC0ALQAtAC0ALQAtAC0ALQAtAC0ALQAtAC0ALQAtAFwAbgBWAEUARQBSAEcAXwA2AF8AMQBfADEAXwAxAF8AXwAxAF8AXwBOAGkAdAByAG8AdQBzAE8AeABpAGQAZQBFAG0AaQBzAHMAaQBvAG4AcwBGAHIAbwBtAEMAcgBvAHAAUgBlAHMAaQBkAHUAZQBzAFwAbgBOAGkAdAByAG8AdQBzACAAbwB4AGkAZABlACAAZQBtAGkAcwBzAGkAbwBuAHMAIABmAHIAbwBtACAAdABoAGUAIAByAGUAdAB1AHIAbgAgAG8AZgAgAGMAcgBvAHAAIAByAGUAcwBpAGQAdQBlAHMAIABhAGMAcgBvAHMAcwAgAGEAbABsACAAYwByAG8AcABzACAAYwAgAHQAbwAgAHQAaABlACAAcwBvAGkAbABcAG4ARQBcAG4AdAAgAE4AMgBPAFwAbgBFAD0AXABcAHMAdQBtAF8AewBjAH0AewBNAF8AewBjAH0AXABcAHQAaQBtAGUAcwAgAEUARgBfAHsATgB9AFwAXAB0AGkAbQBlAHMAIABDAF8AewBnACwATgAyAE8AfQBcAFwAdABpAG0AZQBzACAAMQAwAF4AewAtADMAfQB9AFwAbgBNAGMAIAA9ACAAbQBhAHMAcwAgAG8AZgAgAG4AaQB0AHIAbwBnAGUAbgAgAGkAbgAgAGMAcgBvAHAAIABjACAAcgBlAHMAaQBkAHUAZQBzACAAcgBlAHQAdQByAG4AZQBkACAAdABvACAAdABoAGUAIABzAG8AaQBsACAAKABrAGcAIABOACkAXABuAEUARgBOAGkAIAA9ACAAZQBtAGkAcwBzAGkAbwBuACAAZgBhAGMAdABvAHIAIABmAG8AcgAgAGMAcgBvAHAAIAByAGUAcwBpAGQAdQBlAHMAIAByAGUAdAB1AHIAbgBlAGQAIAB0AG8AIAB0AGgAZQAgAHMAbwBpAGwAIAAoAGsAZwAgAE4AMgBPAC0ATgAvAGsAZwAgAE4AKQBcAG4AQwBnAE4AMgBPACAAPQAgAGYAYQBjAHQAbwByACAAdABvACAAYwBvAG4AdgBlAHIAdAAgAGUAbABlAG0AZQBuAHQAYQBsACAAbQBhAHMAcwAgAG8AZgAgAG4AaQB0AHIAbwB1AHMAIABvAHgAaQBkAGUAIAB0AG8AIABtAG8AbABlAGMAdQBsAGEAcgAgAG0AYQBzAHMAIAAoAGQAaQBtAGUAbgBzAGkAbwBuAGwAZQBzAHMAKQBcAG4AYwAgAD0AIABDAHIAbwBwACAAdAB5AHAAZQBcAG4ALQAtAC0ALQAtAC0ALQAtAC0ALQAtAC0ALQAtAC0ALQAtAC0ALQAtAC0ALQAtAC0ALQAtAC0ALQAtAC0ALQAtAC0ALQAtAC0ALQAtAFwAbgAqAC8AXABuAFwAbgBWAEUARQBSAEcAXwA2AF8AMQBfADEAXwAxAF8AXwAxAF8AXwBOAGkAdAByAG8AdQBzAE8AeABpAGQAZQBFAG0AaQBzAHMAaQBvAG4AcwBGAHIAbwBtAEMAcgBvAHAAUgBlAHMAaQBkAHUAZQBzAFwAbgAgACAAPQBMAEEATQBCAEQAQQAoAFwAbgAgACAAIAAgAE0AXwBjACwAIABFAEYAXwBOAGkALAAgAEMAXwBOADIATwAsAFwAbgAgACAAIAAgAE0AXwBjACAAKgAgAEUARgBfAE4AaQAgACoAIABDAF8ATgAyAE8AIAAqACAAMQAwAF4AKAAtADMAKQBcAG4AIAAgACkAXABuADsAXABuAFwAbgBWAEUARQBSAEcAXwA2AF8AMQBfADEAXwAxAF8AXwAxAF8AXwBOAGkAdAByAG8AdQBzAE8AeABpAGQAZQBFAG0AaQBzAHMAaQBvAG4AcwBGAHIAbwBtAEMAcgBvAHAAUgBlAHMAaQBkAHUAZQBzAF8ARgB1AG4AYwB0AGkAbwBuAE4AYQBtAGUAXABuACAAIAA9AEwAQQBNAEIARABBACgAXAAiAFYARQBFAFIARwBfADYAXwAxAF8AMQBfADEAXwBfADEAXwBfAE4AaQB0AHIAbwB1AHMATwB4AGkAZABlAEUAbQBpAHMAcwBpAG8AbgBzAEYAcgBvAG0AQwByAG8AcABSAGUAcwBpAGQAdQBlAHMAXAAiACkAOwBcAG4AXABuAFYARQBFAFIARwBfADYAXwAxAF8AMQBfADEAXwBfADEAXwBfAE4AaQB0AHIAbwB1AHMATwB4AGkAZABlAEUAbQBpAHMAcwBpAG8AbgBzAEYAcgBvAG0AQwByAG8AcABSAGUAcwBpAGQAdQBlAHMAXwBUAGkAdABsAGUAXABuACAAIAA9AEwAQQBNAEIARABBACgAXAAiAE4AaQB0AHIAbwB1AHMAIABvAHgAaQBkAGUAIABlAG0AaQBzAHMAaQBvAG4AcwAgAGYAcgBvAG0AIAB0AGgAZQAgAHIAZQB0AHUAcgBuACAAbwBmACAAYwByAG8AcAAgAHIAZQBzAGkAZAB1AGUAcwAgAGEAYwByAG8AcwBzACAAYQBsAGwAIABjAHIAbwBwAHMAIABjACAAdABvACAAdABoAGUAIABzAG8AaQBsAFwAIgApADsAXABuAFwAbgBWAEUARQBSAEcAXwA2AF8AMQBfADEAXwAxAF8AXwAxAF8AXwBOAGkAdAByAG8AdQBzAE8AeABpAGQAZQBFAG0AaQBzAHMAaQBvAG4AcwBGAHIAbwBtAEMAcgBvAHAAUgBlAHMAaQBkAHUAZQBzAF8AVgBhAHIAaQBhAGIAbABlAFwAbgAgACAAPQBMAEEATQBCAEQAQQAoAFwAIgBFAFwAIgApADsAXABuAFwAbgBWAEUARQBSAEcAXwA2AF8AMQBfADEAXwAxAF8AXwAxAF8AXwBOAGkAdAByAG8AdQBzAE8AeABpAGQAZQBFAG0AaQBzAHMAaQBvAG4AcwBGAHIAbwBtAEMAcgBvAHAAUgBlAHMAaQBkAHUAZQBzAF8AVQBuAGkAdABcAG4AIAAgAD0ATABBAE0AQgBEAEEAKABcACIAdAAgAE4AMgBPAFwAIgApADsAXABuAFwAbgBWAEUARQBSAEcAXwA2AF8AMQBfADEAXwAxAF8AXwAxAF8AXwBOAGkAdAByAG8AdQBzAE8AeABpAGQAZQBFAG0AaQBzAHMAaQBvAG4AcwBGAHIAbwBtAEMAcgBvAHAAUgBlAHMAaQBkAHUAZQBzAF8AUwBvAHUAcgBjAGUAXABuACAAIAA9AEwAQQBNAEIARABBACgAXAAiAFYARQBFAFIARwAgADIAMAAyADYAOgAgADYALgAxAC4AMQAuADEALAAgAEUAcQB1AGEAdABpAG8AbgAgACgAMQApAFwAIgApADsAXABuAFwAbgBWAEUARQBSAEcAXwA2AF8AMQBfADEAXwAxAF8AXwAxAF8AXwBOAGkAdAByAG8AdQBzAE8AeABpAGQAZQBFAG0AaQBzAHMAaQBvAG4AcwBGAHIAbwBtAEMAcgBvAHAAUgBlAHMAaQBkAHUAZQBzAF8ATgBJAFIAUgBlAGYAZQByAGUAbgBjAGUAXABuACAAIAA9AEwAQQBNAEIARABBACgAXAAiAFwAIgApADsAXABuAFwAbgBWAEUARQBSAEcAXwA2AF8AMQBfADEAXwAxAF8AXwAxAF8AXwBOAGkAdAByAG8AdQBzAE8AeABpAGQAZQBFAG0AaQBzAHMAaQBvAG4AcwBGAHIAbwBtAEMAcgBvAHAAUgBlAHMAaQBkAHUAZQBzAF8ATABhAHQAZQB4AEUAcQB1AGEAdABpAG8AbgBcAG4AIAAgAD0ATABBAE0AQgBEAEEAKABcACIARQA9AFwAXABzAHUAbQBcAFwAbgBvAGwAaQBtAGkAdABzAF8AYwBcAFwAbABlAGYAdAAoAE0AXwB7AGMAfQBcAFwAdABpAG0AZQBzACAARQBGAF8AewBOAH0AXABcAHIAaQBnAGgAdAApAFwAXAB0AGkAbQBlAHMAIABDAF8AewBnACwATgAyAE8AfQBcAFwAdABpAG0AZQBzACAAMQAwAF4AewAtADMAfQBcACIAKQA7AFwAbgBcAG4AVgBFAEUAUgBHAF8ANgBfADEAXwAxAF8AMQBfAF8AMQBfAF8ATgBpAHQAcgBvAHUAcwBPAHgAaQBkAGUARQBtAGkAcwBzAGkAbwBuAHMARgByAG8AbQBDAHIAbwBwAFIAZQBzAGkAZAB1AGUAcwBfAEEAcgBnAHUAbQBlAG4AdABzAFwAbgAgACAAPQBMAEEATQBCAEQAQQAoAFwAbgAgACAAIAAgAE0AQQBLAEUAQQBSAFIAQQBZACgANQAsACAANAAsACAAXABuACAAIAAgACAAIAAgAEwAQQBNAEIARABBACgAcgAsAGMALAAgAFwAbgAgACAAIAAgACAAIAAgACAASQBOAEQARQBYACgAewBcAG4AIAAgACAAIAAgACAAIAAgACAAIABcACIATQBfAGMAXAAiACwAXAAiAG0AYQBzAHMAIABvAGYAIABuAGkAdAByAG8AZwBlAG4AIABpAG4AIABjAHIAbwBwACAAYwAgAHIAZQBzAGkAZAB1AGUAcwAgAHIAZQB0AHUAcgBuAGUAZAAgAHQAbwAgAHQAaABlACAAcwBvAGkAbABcACIALAAgAFwAIgBrAGcAIABOAFwAIgAsACAAXAAiAEMAYQBsAGMAdQBsAGEAdABlAGQAIABmAHIAbwBtACAANgAuADEALgAxAC4AMQAgACgAMgApAFwAIgA7AFwAbgAgACAAIAAgACAAIAAgACAAIAAgAFwAIgBFAEYAXwBOAGkAXAAiACwAXAAiAGUAbQBpAHMAcwBpAG8AbgAgAGYAYQBjAHQAbwByACAAZgBvAHIAIABjAHIAbwBwACAAcgBlAHMAaQBkAHUAZQBzACAAcgBlAHQAdQByAG4AZQBkACAAdABvACAAdABoAGUAIABzAG8AaQBsAFwAIgAsACAAXAAiAGsAZwAgAE4AMgBPAC0ATgAvAGsAZwAgAE4AXAAiACwAIABcACIAQwBvAG4AcwB0AGEAbgB0AFwAIgA7AFwAbgAgACAAIAAgACAAIAAgACAAIAAgAFwAIgBDAF8ATgAyAE8AXAAiACwAXAAiAGYAYQBjAHQAbwByACAAdABvACAAYwBvAG4AdgBlAHIAdAAgAGUAbABlAG0AZQBuAHQAYQBsACAAbQBhAHMAcwAgAG8AZgAgAG4AaQB0AHIAbwB1AHMAIABvAHgAaQBkAGUAIAB0AG8AIABtAG8AbABlAGMAdQBsAGEAcgAgAG0AYQBzAHMAXAAiACwAIABcACIAZABpAG0AZQBuAHMAaQBvAG4AbABlAHMAcwBcACIALAAgAFwAIgBDAG8AbgBzAHQAYQBuAHQAXAAiADsAXABuACAAIAAgACAAIAAgACAAIAAgACAAXAAiAGMAXAAiACwAXAAiAEMAcgBvAHAAIAB0AHkAcABlAFwAIgAsACAAXAAiAFwAIgAsACAAXAAiAEkAbgBwAHUAdABcACIAOwBcAG4AIAAgACAAIAAgACAAIAAgACAAIABcACIAaQBcACIALABcACIAVwBlAHQAIABvAHIAIABkAHIAeQAgAGMAbABpAG0AYQB0AGUAIAB6AG8AbgBlAFwAIgAsACAAXAAiAFwAIgAsACAAXAAiAEkAbgBwAHUAdABcACIAXABuACAAIAAgACAAIAAgACAAIAB9ACwAIAByACwAIABjACkAXABuACAAIAAgACAAIAAgACkAXABuACAAIAAgACAAKQBcAG4AIAAgACkAOwBcAG4AXABuAC8AKgAgAFwAbgAtAC0ALQAtAC0ALQAtAC0ALQAtAC0ALQAtAC0ALQAtAC0ALQAtAC0ALQAtAC0ALQAtAC0ALQAtAC0ALQAtAC0ALQAtAC0ALQAtAC0AXABuAFYARQBFAFIARwBfADYAXwAxAF8AMQBfADEAXwBfADIAXwBfAE0AYQBzAHMATwBmAE4AaQB0AHIAbwBnAGUAbgBJAG4AQwByAG8AcABSAGUAcwBpAGQAdQBlAHMAXABuAE0AYQBzAHMAIABvAGYAIABuAGkAdAByAG8AZwBlAG4AIABpAG4AIABjAHIAbwBwACAAcgBlAHMAaQBkAHUAZQBzACAAcgBlAHQAdQByAG4AZQBkACAAdABvACAAdABoAGUAIABzAG8AaQBsAFwAbgBNAGMAXABuAGsAZwAgAE4AXABuAE0AXwB7AGMAfQA9ACgAUABfAHsAYwB9AFwAXAB0AGkAbQBlAHMAIABSAF8AewBBAEcAYwB9AFwAXAB0AGkAbQBlAHMAKAAxAC0ARgBfAHsAYwB9AC0ARgBGAE8ARABfAHsAYwB9ACkAXABcAHQAaQBtAGUAcwAgAEQATQBfAHsAYwB9AFwAXAB0AGkAbQBlAHMAIABOAEMAXwB7AEEARwBjAH0AKQArACgAUABfAHsAYwB9AFwAXAB0AGkAbQBlAHMAIABSAF8AewBBAEcAYwB9AFwAXAB0AGkAbQBlAHMAIABSAF8AewBCAEcAYwB9AFwAXAB0AGkAbQBlAHMAIABEAE0AXwB7AGMAfQBcAFwAdABpAG0AZQBzACAATgBDAF8AewBCAEcAYwB9ACkAXABuAFAAYwAgAD0AIABhAG4AbgB1AGEAbAAgAHAAcgBvAGQAdQBjAHQAaQBvAG4AIABvAGYAIABjAHIAbwBwACAAYwAgACgAawBnACkAXABuAFIAQQBHAGMAIAA9ACAAcgBlAHMAaQBkAHUAZQAgAHQAbwAgAGMAcgBvAHAAIAByAGEAdABpAG8AIABmAG8AcgAgAGMAcgBvAHAAIABjACAAKABkAGkAbQBlAG4AcwBpAG8AbgBsAGUAcwBzACkAXABuAFIAQgBHAGMAIAA9ACAAYgBlAGwAbwB3ACAAZwByAG8AdQBuAGQALQByAGUAcwBpAGQAdQBlACAAdABvACAAYQBiAG8AdgBlACAAZwByAG8AdQBuAGQAIAByAGUAcwBpAGQAdQBlACAAcgBhAHQAaQBvACAAZgBvAHIAIABjAHIAbwBwACAAYwAgACgAZABpAG0AZQBuAHMAaQBvAG4AbABlAHMAcwApAFwAbgBGAGMAIAA9ACAAZgByAGEAYwB0AGkAbwBuACAAbwBmACAAYwByAG8AcAAgAHIAZQBzAGkAZAB1AGUAIAB0AGgAYQB0ACAAaQBzACAAYgB1AHIAbgB0ACAAZgBvAHIAIABjAHIAbwBwACAAYwAgACgAZABpAG0AZQBuAHMAaQBvAG4AbABlAHMAcwApAFwAbgBGAEYATwBEAGMAIAA9ACAAZgByAGEAYwB0AGkAbwBuACAAbwBmACAAdABoAGUAIABjAHIAbwBwACAAcgBlAHMAaQBkAHUAZQAgAHQAaABhAHQAIABpAHMAIAByAGUAbQBvAHYAZQBkACAAZgBvAHIAIABjAHIAbwBwACAAYwAgACgAZABpAG0AZQBuAHMAaQBvAG4AbABlAHMAcwApAFwAbgBEAE0AYwAgAD0AIABkAHIAeQAgAG0AYQB0AHQAZQByACAAYwBvAG4AdABlAG4AdAAgAG8AZgAgAGMAcgBvAHAAIABjACAAKABrAGcAIABkAHIAeQAgAHcAZQBpAGcAaAB0AC8AawBnACAAYwByAG8AcAAgAHIAZQBzAGkAZAB1AGUAKQBcAG4ATgBDAEEARwBjACAAPQAgAG4AaQB0AHIAbwBnAGUAbgAgAGMAbwBuAHQAZQBuAHQAIABvAGYAIABhAGIAbwB2AGUALQBnAHIAbwB1AG4AZAAgAGMAcgBvAHAAIAByAGUAcwBpAGQAdQBlACAAbwBmACAAYwByAG8AcAAgAGMAIAAoAGsAZwAgAE4ALwBrAGcAIABEAE0AKQBcAG4ATgBDAEIARwBjACAAPQAgAG4AaQB0AHIAbwBnAGUAbgAgAGMAbwBuAHQAZQBuAHQAIABvAGYAIABiAGUAbABvAHcALQBnAHIAbwB1AG4AZAAgAGMAcgBvAHAAIAByAGUAcwBpAGQAdQBlACAAbwBmACAAYwByAG8AcAAgAGMAIAAoAGsAZwAgAE4ALwBrAGcAIABEAE0AKQBcAG4AYwAgAD0AIABDAHIAbwBwACAAdAB5AHAAZQBcAG4ALQAtAC0ALQAtAC0ALQAtAC0ALQAtAC0ALQAtAC0ALQAtAC0ALQAtAC0ALQAtAC0ALQAtAC0ALQAtAC0ALQAtAC0ALQAtAC0ALQAtAFwAbgAqAC8AXABuAFwAbgBWAEUARQBSAEcAXwA2AF8AMQBfADEAXwAxAF8AXwAyAF8AXwBNAGEAcwBzAE8AZgBOAGkAdAByAG8AZwBlAG4ASQBuAEMAcgBvAHAAUgBlAHMAaQBkAHUAZQBzAFwAbgAgACAAPQBMAEEATQBCAEQAQQAoAFwAbgAgACAAIAAgAFAAXwBjACwAIABSAF8AQQBHAGMALAAgAEYAXwBjACwAIABGAEYATwBEAF8AYwAsACAARABNAF8AYwAsACAATgBDAF8AQQBHAGMALAAgAFIAXwBCAEcAYwAsACAATgBDAF8AQgBHAGMALABcAG4AIAAgACAAIAAoAFAAXwBjACAAKgAgAFIAXwBBAEcAYwAgACoAIAAoADEAIAAtACAARgBfAGMAIAAtACAARgBGAE8ARABfAGMAKQAgACoAIABEAE0AXwBjACAAKgAgAE4AQwBfAEEARwBjACkAIAArACAAKABQAF8AYwAgACoAIABSAF8AQQBHAGMAIAAqACAAUgBfAEIARwBjACAAKgAgAEQATQBfAGMAIAAqACAATgBDAF8AQgBHAGMAKQBcAG4AIAAgACkAXABuADsAXABuAFwAbgBWAEUARQBSAEcAXwA2AF8AMQBfADEAXwAxAF8AXwAyAF8AXwBNAGEAcwBzAE8AZgBOAGkAdAByAG8AZwBlAG4ASQBuAEMAcgBvAHAAUgBlAHMAaQBkAHUAZQBzAF8AVABpAHQAbABlAFwAbgAgACAAPQBMAEEATQBCAEQAQQAoAFwAIgBNAGEAcwBzACAAbwBmACAAbgBpAHQAcgBvAGcAZQBuACAAaQBuACAAYwByAG8AcAAgAHIAZQBzAGkAZAB1AGUAcwAgAHIAZQB0AHUAcgBuAGUAZAAgAHQAbwAgAHQAaABlACAAcwBvAGkAbABcACIAKQA7AFwAbgBcAG4AVgBFAEUAUgBHAF8ANgBfADEAXwAxAF8AMQBfAF8AMgBfAF8ATQBhAHMAcwBPAGYATgBpAHQAcgBvAGcAZQBuAEkAbgBDAHIAbwBwAFIAZQBzAGkAZAB1AGUAcwBfAFYAYQByAGkAYQBiAGwAZQBcAG4AIAAgAD0ATABBAE0AQgBEAEEAKABcACIATQBfAGMAXAAiACkAOwBcAG4AXABuAFYARQBFAFIARwBfADYAXwAxAF8AMQBfADEAXwBfADIAXwBfAE0AYQBzAHMATwBmAE4AaQB0AHIAbwBnAGUAbgBJAG4AQwByAG8AcABSAGUAcwBpAGQAdQBlAHMAXwBVAG4AaQB0AFwAbgAgACAAPQBMAEEATQBCAEQAQQAoAFwAIgBrAGcAIABOAFwAIgApADsAXABuAFwAbgBWAEUARQBSAEcAXwA2AF8AMQBfADEAXwAxAF8AXwAyAF8AXwBNAGEAcwBzAE8AZgBOAGkAdAByAG8AZwBlAG4ASQBuAEMAcgBvAHAAUgBlAHMAaQBkAHUAZQBzAF8AUwBvAHUAcgBjAGUAXABuACAAIAA9AEwAQQBNAEIARABBACgAXAAiAFYARQBFAFIARwAgADIAMAAyADYAOgAgADYALgAxAC4AMQAuADEALAAgAEUAcQB1AGEAdABpAG8AbgAgACgAMgApAFwAIgApADsAXABuAFwAbgBWAEUARQBSAEcAXwA2AF8AMQBfADEAXwAxAF8AXwAyAF8AXwBNAGEAcwBzAE8AZgBOAGkAdAByAG8AZwBlAG4ASQBuAEMAcgBvAHAAUgBlAHMAaQBkAHUAZQBzAF8ATgBJAFIAUgBlAGYAZQByAGUAbgBjAGUAXABuACAAIAA9AEwAQQBNAEIARABBACgAXAAiAFwAIgApADsAXABuAFwAbgBWAEUARQBSAEcAXwA2AF8AMQBfADEAXwAxAF8AXwAyAF8AXwBNAGEAcwBzAE8AZgBOAGkAdAByAG8AZwBlAG4ASQBuAEMAcgBvAHAAUgBlAHMAaQBkAHUAZQBzAF8ATABhAHQAZQB4AEUAcQB1AGEAdABpAG8AbgBcAG4AIAAgAD0ATABBAE0AQgBEAEEAKABcACIATQBfAHsAYwB9AD0AKABQAF8AewBjAH0AXABcAHQAaQBtAGUAcwAgAFIAXwB7AEEARwBjAH0AXABcAHQAaQBtAGUAcwAoADEALQBGAF8AewBjAH0ALQBGAEYATwBEAF8AewBjAH0AKQBcAFwAdABpAG0AZQBzACAARABNAF8AewBjAH0AXABcAHQAaQBtAGUAcwAgAE4AQwBfAHsAQQBHAGMAfQApACsAKABQAF8AewBjAH0AXABcAHQAaQBtAGUAcwAgAFIAXwB7AEEARwBjAH0AXABcAHQAaQBtAGUAcwAgAFIAXwB7AEIARwBjAH0AXABcAHQAaQBtAGUAcwAgAEQATQBfAHsAYwB9AFwAXAB0AGkAbQBlAHMAIABOAEMAXwB7AEIARwBjAH0AKQBcACIAKQA7AFwAbgBcAG4AVgBFAEUAUgBHAF8ANgBfADEAXwAxAF8AMQBfAF8AMgBfAF8ATQBhAHMAcwBPAGYATgBpAHQAcgBvAGcAZQBuAEkAbgBDAHIAbwBwAFIAZQBzAGkAZAB1AGUAcwBfAEEAcgBnAHUAbQBlAG4AdABzAFwAbgAgACAAPQBMAEEATQBCAEQAQQAoAFwAbgAgACAAIAAgAE0AQQBLAEUAQQBSAFIAQQBZACgAMQAwACwAIAA0ACwAIABcAG4AIAAgACAAIAAgACAATABBAE0AQgBEAEEAKAByACwAYwAsACAAXABuACAAIAAgACAAIAAgACAAIABJAE4ARABFAFgAKAB7AFwAbgAgACAAIAAgACAAIAAgACAAIAAgAFwAIgBQAF8AYwBcACIALABcACIAYQBuAG4AdQBhAGwAIABwAHIAbwBkAHUAYwB0AGkAbwBuACAAbwBmACAAYwByAG8AcAAgAGMAXAAiACwAIABcACIAawBnAFwAIgAsACAAXAAiAEkAbgBwAHUAdABcACIAOwBcAG4AIAAgACAAIAAgACAAIAAgACAAIABcACIAUgBfAEEARwBjAFwAIgAsAFwAIgByAGUAcwBpAGQAdQBlACAAdABvACAAYwByAG8AcAAgAHIAYQB0AGkAbwAgAGYAbwByACAAYwByAG8AcAAgAGMAXAAiACwAIABcACIAXAAiACwAIABcACIAQwBvAG4AcwB0AGEAbgB0AFwAIgA7AFwAbgAgACAAIAAgACAAIAAgACAAIAAgAFwAIgBSAF8AQgBHAGMAXAAiACwAXAAiAGIAZQBsAG8AdwAgAGcAcgBvAHUAbgBkAC0AcgBlAHMAaQBkAHUAZQAgAHQAbwAgAGEAYgBvAHYAZQAgAGcAcgBvAHUAbgBkACAAcgBlAHMAaQBkAHUAZQAgAHIAYQB0AGkAbwAgAGYAbwByACAAYwByAG8AcAAgAGMAXAAiACwAIABcACIAXAAiACwAIABcACIAQwBvAG4AcwB0AGEAbgB0AFwAIgA7AFwAbgAgACAAIAAgACAAIAAgACAAIAAgAFwAIgBGAF8AYwBcACIALABcACIAZgByAGEAYwB0AGkAbwBuACAAbwBmACAAYwByAG8AcAAgAHIAZQBzAGkAZAB1AGUAIAB0AGgAYQB0ACAAaQBzACAAYgB1AHIAbgB0ACAAZgBvAHIAIABjAHIAbwBwACAAYwBcACIALAAgAFwAIgBmAHIAYQBjAHQAaQBvAG4AXAAiACwAIABcACIASQBuAHAAdQB0AFwAIgA7AFwAbgAgACAAIAAgACAAIAAgACAAIAAgAFwAIgBGAEYATwBEAF8AYwBcACIALABcACIAZgByAGEAYwB0AGkAbwBuACAAbwBmACAAdABoAGUAIABjAHIAbwBwACAAcgBlAHMAaQBkAHUAZQAgAHQAaABhAHQAIABpAHMAIAByAGUAbQBvAHYAZQBkACAAZgBvAHIAIABjAHIAbwBwACAAYwBcACIALAAgAFwAIgBmAHIAYQBjAHQAaQBvAG4AXAAiACwAIABcACIAQwBvAG4AcwB0AGEAbgB0AFwAIgA7AFwAbgAgACAAIAAgACAAIAAgACAAIAAgAFwAIgBEAE0AXwBjAFwAIgAsAFwAIgBkAHIAeQAgAG0AYQB0AHQAZQByACAAYwBvAG4AdABlAG4AdAAgAG8AZgAgAGMAcgBvAHAAIABjAFwAIgAsACAAXAAiAGsAZwAgAGQAcgB5ACAAdwBlAGkAZwBoAHQALwBrAGcAIABjAHIAbwBwACAAcgBlAHMAaQBkAHUAZQBcACIALAAgAFwAIgBDAG8AbgBzAHQAYQBuAHQAXAAiADsAXABuACAAIAAgACAAIAAgACAAIAAgACAAXAAiAE4AQwBfAEEARwBjAFwAIgAsAFwAIgBuAGkAdAByAG8AZwBlAG4AIABjAG8AbgB0AGUAbgB0ACAAbwBmACAAYQBiAG8AdgBlAC0AZwByAG8AdQBuAGQAIABjAHIAbwBwACAAcgBlAHMAaQBkAHUAZQAgAG8AZgAgAGMAcgBvAHAAIABjAFwAIgAsACAAXAAiAGsAZwAgAE4ALwBrAGcAIABEAE0AXAAiACwAIABcACIAQwBvAG4AcwB0AGEAbgB0AFwAIgA7AFwAbgAgACAAIAAgACAAIAAgACAAIAAgAFwAIgBOAEMAXwBCAEcAYwBcACIALABcACIAbgBpAHQAcgBvAGcAZQBuACAAYwBvAG4AdABlAG4AdAAgAG8AZgAgAGIAZQBsAG8AdwAtAGcAcgBvAHUAbgBkACAAYwByAG8AcAAgAHIAZQBzAGkAZAB1AGUAIABvAGYAIABjAHIAbwBwACAAYwBcACIALAAgAFwAIgBrAGcAIABOAC8AawBnACAARABNAFwAIgAsACAAXAAiAEMAbwBuAHMAdABhAG4AdABcACIAOwBcAG4AIAAgACAAIAAgACAAIAAgACAAIABcACIAYwBcACIALABcACIAQwByAG8AcAAgAHQAeQBwAGUAXAAiACwAIABcACIAXAAiACwAIABcACIASQBuAHAAdQB0AFwAIgA7AFwAbgAgACAAIAAgACAAIAAgACAAIAAgAFwAIgBTAHQAYQB0AGUAXAAiACwAXAAiAFMAdABhAHQAZQAgAG8AcgAgAHQAZQByAHIAaQB0AG8AcgB5AFwAIgAsACAAXAAiAFwAIgAsACAAXAAiAEkAbgBwAHUAdABcACIAXABuACAAIAAgACAAIAAgACAAIAB9ACwAIAByACwAIABjACkAXABuACAAIAAgACAAIAAgACkAXABuACAAIAAgACAAKQBcAG4AIAAgACkAOwBcAG4AXABuAFYARQBFAFIARwBfADYAXwAxAF8AMQBfADEAXwBfADIAXwBfAE0AYQBzAHMATwBmAE4AaQB0AHIAbwBnAGUAbgBJAG4AQwByAG8AcABSAGUAcwBpAGQAdQBlAHMAXwBBAHIAZwB1AG0AZQBuAHQAcwBfAE0AZQB0AGgAbwBkADIAXABuACAAIAA9AEwAQQBNAEIARABBACgAXABuACAAIAAgACAATQBBAEsARQBBAFIAUgBBAFkAKAAxADAALAAgADQALAAgAFwAbgAgACAAIAAgACAAIABMAEEATQBCAEQAQQAoAHIALABjACwAIABcAG4AIAAgACAAIAAgACAAIAAgAEkATgBEAEUAWAAoAHsAXABuACAAIAAgACAAIAAgACAAIAAgACAAXAAiAFAAXwBjAFwAIgAsAFwAIgBhAG4AbgB1AGEAbAAgAHAAcgBvAGQAdQBjAHQAaQBvAG4AIABvAGYAIABjAHIAbwBwACAAYwBcACIALAAgAFwAIgBrAGcAXAAiACwAIABcACIASQBuAHAAdQB0AFwAIgA7AFwAbgAgACAAIAAgACAAIAAgACAAIAAgAFwAIgBSAF8AQQBHAGMAXAAiACwAXAAiAHIAZQBzAGkAZAB1AGUAIAB0AG8AIABjAHIAbwBwACAAcgBhAHQAaQBvACAAZgBvAHIAIABjAHIAbwBwACAAYwBcACIALAAgAFwAIgBcACIALAAgAFwAIgBDAG8AbgBzAHQAYQBuAHQAXAAiADsAXABuACAAIAAgACAAIAAgACAAIAAgACAAXAAiAFIAXwBCAEcAYwBcACIALABcACIAYgBlAGwAbwB3ACAAZwByAG8AdQBuAGQALQByAGUAcwBpAGQAdQBlACAAdABvACAAYQBiAG8AdgBlACAAZwByAG8AdQBuAGQAIAByAGUAcwBpAGQAdQBlACAAcgBhAHQAaQBvACAAZgBvAHIAIABjAHIAbwBwACAAYwBcACIALAAgAFwAIgBcACIALAAgAFwAIgBDAG8AbgBzAHQAYQBuAHQAXAAiADsAXABuACAAIAAgACAAIAAgACAAIAAgACAAXAAiAEYAXwBjAFwAIgAsAFwAIgBmAHIAYQBjAHQAaQBvAG4AIABvAGYAIABjAHIAbwBwACAAcgBlAHMAaQBkAHUAZQAgAHQAaABhAHQAIABpAHMAIABiAHUAcgBuAHQAIABmAG8AcgAgAGMAcgBvAHAAIABjAFwAIgAsACAAXAAiAGYAcgBhAGMAdABpAG8AbgBcACIALAAgAFwAIgBJAG4AcAB1AHQAXAAiADsAXABuACAAIAAgACAAIAAgACAAIAAgACAAXAAiAEYARgBPAEQAXwBjAFwAIgAsAFwAIgBmAHIAYQBjAHQAaQBvAG4AIABvAGYAIAB0AGgAZQAgAGMAcgBvAHAAIAByAGUAcwBpAGQAdQBlACAAdABoAGEAdAAgAGkAcwAgAHIAZQBtAG8AdgBlAGQAIABmAG8AcgAgAGMAcgBvAHAAIABjAFwAIgAsACAAXAAiAGYAcgBhAGMAdABpAG8AbgBcACIALAAgAFwAIgBDAGEAbABjAHUAbABhAHQAZQBkACAAZgByAG8AbQAgADYALgAxAC4AMQAuADIAIAAoADEAKQBcACIAOwBcAG4AIAAgACAAIAAgACAAIAAgACAAIABcACIARABNAF8AYwBcACIALABcACIAZAByAHkAIABtAGEAdAB0AGUAcgAgAGMAbwBuAHQAZQBuAHQAIABvAGYAIABjAHIAbwBwACAAYwBcACIALAAgAFwAIgBrAGcAIABkAHIAeQAgAHcAZQBpAGcAaAB0AC8AawBnACAAYwByAG8AcAAgAHIAZQBzAGkAZAB1AGUAXAAiACwAIABcACIAQwBvAG4AcwB0AGEAbgB0AFwAIgA7AFwAbgAgACAAIAAgACAAIAAgACAAIAAgAFwAIgBOAEMAXwBBAEcAYwBcACIALABcACIAbgBpAHQAcgBvAGcAZQBuACAAYwBvAG4AdABlAG4AdAAgAG8AZgAgAGEAYgBvAHYAZQAtAGcAcgBvAHUAbgBkACAAYwByAG8AcAAgAHIAZQBzAGkAZAB1AGUAIABvAGYAIABjAHIAbwBwACAAYwBcACIALAAgAFwAIgBrAGcAIABOAC8AawBnACAARABNAFwAIgAsACAAXAAiAEMAbwBuAHMAdABhAG4AdABcACIAOwBcAG4AIAAgACAAIAAgACAAIAAgACAAIABcACIATgBDAF8AQgBHAGMAXAAiACwAXAAiAG4AaQB0AHIAbwBnAGUAbgAgAGMAbwBuAHQAZQBuAHQAIABvAGYAIABiAGUAbABvAHcALQBnAHIAbwB1AG4AZAAgAGMAcgBvAHAAIAByAGUAcwBpAGQAdQBlACAAbwBmACAAYwByAG8AcAAgAGMAXAAiACwAIABcACIAawBnACAATgAvAGsAZwAgAEQATQBcACIALAAgAFwAIgBDAG8AbgBzAHQAYQBuAHQAXAAiADsAXABuACAAIAAgACAAIAAgACAAIAAgACAAXAAiAGMAXAAiACwAXAAiAEMAcgBvAHAAIAB0AHkAcABlAFwAIgAsACAAXAAiAFwAIgAsACAAXAAiAEkAbgBwAHUAdABcACIAOwBcAG4AIAAgACAAIAAgACAAIAAgACAAIABcACIAUwB0AGEAdABlAFwAIgAsAFwAIgBTAHQAYQB0AGUAIABvAHIAIAB0AGUAcgByAGkAdABvAHIAeQBcACIALAAgAFwAIgBcACIALAAgAFwAIgBJAG4AcAB1AHQAXAAiAFwAbgAgACAAIAAgACAAIAAgACAAfQAsACAAcgAsACAAYwApAFwAbgAgACAAIAAgACAAIAApAFwAbgAgACAAIAAgACkAXABuACAAIAApADsAXABuAFwAbgAvACoAIABcAG4ALQAtAC0ALQAtAC0ALQAtAC0ALQAtAC0ALQAtAC0ALQAtAC0ALQAtAC0ALQAtAC0ALQAtAC0ALQAtAC0ALQAtAC0ALQAtAC0ALQAtAFwAbgBWAEUARQBSAEcAXwA2AF8AMQBfADEAXwAyAF8AXwAxAF8AXwBGAHIAYQBjAHQAaQBvAG4ATwBmAEMAcgBvAHAAUgBlAHMAaQBkAHUAZQBSAGUAbQBvAHYAZQBkAEIAYQBsAGUAZABcAG4ARgByAGEAYwB0AGkAbwBuACAAbwBmACAAYwByAG8AcAAgAHIAZQBzAGkAZAB1AGUAIAB0AGgAYQB0ACAAaQBzACAAcgBlAG0AbwB2AGUAZAAgAGYAbwByACAAYwByAG8AcAAgAGMALAAgAGMAYQBsAGMAdQBsAGEAdABlAGQAIAB3AGgAZQByAGUAIAByAGUAcwBpAGQAdQBlAHMAIABhAHIAZQAgAGIAYQBsAGUAZABcAG4ARgBGAE8ARABjAGIAYQBsAGUAZABcAG4AZABpAG0AZQBuAHMAaQBvAG4AbABlAHMAcwBcAG4ARgBGAE8ARABfAHsAYwB9AD0AXABcAGYAcgBhAGMAewBCAFwAXAB0AGkAbQBlAHMAIABNAF8AewBCAH0AfQB7AFAAXwB7AGMAfQBcAFwAdABpAG0AZQBzACAAUgBfAHsAQQBHACwAYwB9AH0AXABuAEIAIAA9ACAAbgB1AG0AYgBlAHIAIABvAGYAIABiAGEAbABlAHMAIABnAGUAbgBlAHIAYQB0AGUAZAAgACgAZABpAG0AZQBuAHMAaQBvAG4AbABlAHMAcwApAFwAbgBNAEIAIAA9ACAAbQBhAHMAcwAgAG8AZgAgAGUAYQBjAGgAIABiAGEAbABlACAAKABrAGcAKQBcAG4AUABjACAAPQAgAGEAbgBuAHUAYQBsACAAcAByAG8AZAB1AGMAdABpAG8AbgAgAG8AZgAgAGMAcgBvAHAAIABjACAAKABrAGcAKQBcAG4AUgBBAEcAYwAgAD0AIAByAGUAcwBpAGQAdQBlACAAdABvACAAYwByAG8AcAAgAHIAYQB0AGkAbwAgAGYAbwByACAAYwByAG8AcAAgAGMAIAAoAGQAaQBtAGUAbgBzAGkAbwBuAGwAZQBzAHMAKQBcAG4AYwAgAD0AIABDAHIAbwBwACAAdAB5AHAAZQBcAG4ALQAtAC0ALQAtAC0ALQAtAC0ALQAtAC0ALQAtAC0ALQAtAC0ALQAtAC0ALQAtAC0ALQAtAC0ALQAtAC0ALQAtAC0ALQAtAC0ALQAtAFwAbgAqAC8AXABuAFwAbgBWAEUARQBSAEcAXwA2AF8AMQBfADEAXwAyAF8AXwAxAF8AXwBGAHIAYQBjAHQAaQBvAG4ATwBmAEMAcgBvAHAAUgBlAHMAaQBkAHUAZQBSAGUAbQBvAHYAZQBkAEIAYQBsAGUAZABcAG4AIAAgAD0ATABBAE0AQgBEAEEAKABcAG4AIAAgACAAIABCACwAIABNAF8AQgAsACAAUABfAGMALAAgAFIAXwBBAEcAYwAsAFwAbgAgACAAIAAgAEkARgBFAFIAUgBPAFIAKAAoAEIAIAAqACAATQBfAEIAKQAgAC8AIAAoAFAAXwBjACAAKgAgAFIAXwBBAEcAYwApACwAIAAwACkAXABuACAAIAApAFwAbgA7AFwAbgBcAG4AVgBFAEUAUgBHAF8ANgBfADEAXwAxAF8AMgBfAF8AMQBfAF8ARgByAGEAYwB0AGkAbwBuAE8AZgBDAHIAbwBwAFIAZQBzAGkAZAB1AGUAUgBlAG0AbwB2AGUAZABCAGEAbABlAGQAXwBUAGkAdABsAGUAXABuACAAIAA9AEwAQQBNAEIARABBACgAXAAiAEYAcgBhAGMAdABpAG8AbgAgAG8AZgAgAGMAcgBvAHAAIAByAGUAcwBpAGQAdQBlACAAdABoAGEAdAAgAGkAcwAgAHIAZQBtAG8AdgBlAGQAIABmAG8AcgAgAGMAcgBvAHAAIABjACwAIABjAGEAbABjAHUAbABhAHQAZQBkACAAdwBoAGUAcgBlACAAcgBlAHMAaQBkAHUAZQBzACAAYQByAGUAIABiAGEAbABlAGQAXAAiACkAOwBcAG4AXABuAFYARQBFAFIARwBfADYAXwAxAF8AMQBfADIAXwBfADEAXwBfAEYAcgBhAGMAdABpAG8AbgBPAGYAQwByAG8AcABSAGUAcwBpAGQAdQBlAFIAZQBtAG8AdgBlAGQAQgBhAGwAZQBkAF8AVgBhAHIAaQBhAGIAbABlAFwAbgAgACAAPQBMAEEATQBCAEQAQQAoAFwAIgBGAEYATwBEAF8AYwBiAGEAbABlAGQAXAAiACkAOwBcAG4AXABuAFYARQBFAFIARwBfADYAXwAxAF8AMQBfADIAXwBfADEAXwBfAEYAcgBhAGMAdABpAG8AbgBPAGYAQwByAG8AcABSAGUAcwBpAGQAdQBlAFIAZQBtAG8AdgBlAGQAQgBhAGwAZQBkAF8AVQBuAGkAdABcAG4AIAAgAD0ATABBAE0AQgBEAEEAKABcACIAZABpAG0AZQBuAHMAaQBvAG4AbABlAHMAcwBcACIAKQA7AFwAbgBcAG4AVgBFAEUAUgBHAF8ANgBfADEAXwAxAF8AMgBfAF8AMQBfAF8ARgByAGEAYwB0AGkAbwBuAE8AZgBDAHIAbwBwAFIAZQBzAGkAZAB1AGUAUgBlAG0AbwB2AGUAZABCAGEAbABlAGQAXwBTAG8AdQByAGMAZQBcAG4AIAAgAD0ATABBAE0AQgBEAEEAKABcACIAVgBFAEUAUgBHACAAMgAwADIANgA6ACAANgAuADEALgAxAC4AMgAsACAARQBxAHUAYQB0AGkAbwBuACAAKAAxACkAXAAiACkAOwBcAG4AXABuAFYARQBFAFIARwBfADYAXwAxAF8AMQBfADIAXwBfADEAXwBfAEYAcgBhAGMAdABpAG8AbgBPAGYAQwByAG8AcABSAGUAcwBpAGQAdQBlAFIAZQBtAG8AdgBlAGQAQgBhAGwAZQBkAF8ATgBJAFIAUgBlAGYAZQByAGUAbgBjAGUAXABuACAAIAA9AEwAQQBNAEIARABBACgAXAAiAFwAIgApADsAXABuAFwAbgBWAEUARQBSAEcAXwA2AF8AMQBfADEAXwAyAF8AXwAxAF8AXwBGAHIAYQBjAHQAaQBvAG4ATwBmAEMAcgBvAHAAUgBlAHMAaQBkAHUAZQBSAGUAbQBvAHYAZQBkAEIAYQBsAGUAZABfAEwAYQB0AGUAeABFAHEAdQBhAHQAaQBvAG4AXABuACAAIAA9AEwAQQBNAEIARABBACgAXAAiAEYARgBPAEQAXwB7AGMALABiAGEAbABlAGQAfQA9AFwAXABmAHIAYQBjAHsAQgBcAFwAdABpAG0AZQBzACAATQBfAHsAQgB9AH0AewBQAF8AewBjAH0AXABcAHQAaQBtAGUAcwAgAFIAXwB7AEEARwAsAGMAfQB9AFwAIgApADsAXABuAFwAbgBWAEUARQBSAEcAXwA2AF8AMQBfADEAXwAyAF8AXwAxAF8AXwBGAHIAYQBjAHQAaQBvAG4ATwBmAEMAcgBvAHAAUgBlAHMAaQBkAHUAZQBSAGUAbQBvAHYAZQBkAEIAYQBsAGUAZABfAEEAcgBnAHUAbQBlAG4AdABzAFwAbgAgACAAPQBMAEEATQBCAEQAQQAoAFwAbgAgACAAIAAgAE0AQQBLAEUAQQBSAFIAQQBZACgANQAsACAANAAsACAAXABuACAAIAAgACAAIAAgAEwAQQBNAEIARABBACgAcgAsAGMALAAgAFwAbgAgACAAIAAgACAAIAAgACAASQBOAEQARQBYACgAewBcAG4AIAAgACAAIAAgACAAIAAgACAAIABcACIAQgBcACIALABcACIAbgB1AG0AYgBlAHIAIABvAGYAIABiAGEAbABlAHMAIABnAGUAbgBlAHIAYQB0AGUAZABcACIALAAgAFwAIgBcACIALAAgAFwAIgBJAG4AcAB1AHQAXAAiADsAXABuACAAIAAgACAAIAAgACAAIAAgACAAXAAiAE0AXwBCAFwAIgAsAFwAIgBtAGEAcwBzACAAbwBmACAAZQBhAGMAaAAgAGIAYQBsAGUAXAAiACwAIABcACIAawBnAFwAIgAsACAAXAAiAEkAbgBwAHUAdABcACIAOwBcAG4AIAAgACAAIAAgACAAIAAgACAAIABcACIAUABfAGMAXAAiACwAXAAiAGEAbgBuAHUAYQBsACAAcAByAG8AZAB1AGMAdABpAG8AbgAgAG8AZgAgAGMAcgBvAHAAIABjAFwAIgAsACAAXAAiAGsAZwBcACIALAAgAFwAIgBJAG4AcAB1AHQAXAAiADsAXABuACAAIAAgACAAIAAgACAAIAAgACAAXAAiAFIAXwBBAEcAYwBcACIALABcACIAcgBlAHMAaQBkAHUAZQAgAHQAbwAgAGMAcgBvAHAAIAByAGEAdABpAG8AIABmAG8AcgAgAGMAcgBvAHAAIABjAFwAIgAsACAAXAAiAFwAIgAsACAAXAAiAEkAbgBwAHUAdABcACIAOwBcAG4AIAAgACAAIAAgACAAIAAgACAAIABcACIAYwBcACIALABcACIAQwByAG8AcAAgAHQAeQBwAGUAXAAiACwAIABcACIAXAAiACwAIABcACIASQBuAHAAdQB0AFwAIgBcAG4AIAAgACAAIAAgACAAIAAgAH0ALAAgAHIALAAgAGMAKQBcAG4AIAAgACAAIAAgACAAKQBcAG4AIAAgACAAIAApAFwAbgAgACAAKQA7AFwAbgBcAG4AVgBFAEUAUgBHAF8ANgBfADEAXwAxAF8AMgBfAF8AMQBfAF8ARgByAGEAYwB0AGkAbwBuAE8AZgBDAHIAbwBwAFIAZQBzAGkAZAB1AGUAUgBlAG0AbwB2AGUAZABCAGEAbABlAGQAXwBWAGEAcgBpAGEAdABpAG8AbgBcAG4AIAAgAD0ATABBAE0AQgBEAEEAKABcACIAVgBBAFIASQBBAFQASQBPAE4AIABGAFIATwBNACAAUwBPAFUAUgBDAEUAOgAgAEEAZABkAGUAZAAgACcAYgBhAGwAZQBkACcAIAB0AG8AIAB2AGEAcgBpAGEAYgBsAGUAIABzAHUAYgBzAGMAcgBpAHAAdABcACIAKQA7AFwAbgBcAG4AXABuAFwAbgAvACoAIABcAG4ALQAtAC0ALQAtAC0ALQAtAC0ALQAtAC0ALQAtAC0ALQAtAC0ALQAtAC0ALQAtAC0ALQAtAC0ALQAtAC0ALQAtAC0ALQAtAC0ALQAtAFwAbgBWAEUARQBSAEcAXwA2AF8AMQBfADEAXwAyAF8AXwAxAGEAXwBfAEYAcgBhAGMAdABpAG8AbgBPAGYAQwByAG8AcABSAGUAcwBpAGQAdQBlAFIAZQBtAG8AdgBlAGQAXABuAEYAcgBhAGMAdABpAG8AbgAgAG8AZgAgAGMAcgBvAHAAIAByAGUAcwBpAGQAdQBlACAAdABoAGEAdAAgAGkAcwAgAHIAZQBtAG8AdgBlAGQAIABmAG8AcgAgAGMAcgBvAHAAIABjAFwAbgBGAEYATwBEAGMAXABuAGQAaQBtAGUAbgBzAGkAbwBuAGwAZQBzAHMAXABuAFwAbgAtAC0ALQAtAC0ALQAtAC0ALQAtAC0ALQAtAC0ALQAtAC0ALQAtAC0ALQAtAC0ALQAtAC0ALQAtAC0ALQAtAC0ALQAtAC0ALQAtAC0AXABuACoALwBcAG4AXABuAFYARQBFAFIARwBfADYAXwAxAF8AMQBfADIAXwBfADEAYQBfAF8ARgByAGEAYwB0AGkAbwBuAE8AZgBDAHIAbwBwAFIAZQBzAGkAZAB1AGUAUgBlAG0AbwB2AGUAZABcAG4AIAAgAD0ATABBAE0AQgBEAEEAKABcAG4AIAAgACAAIABGAEYATwBEAF8AYwBiAGEAbABlAGQALAAgAEYARgBPAEQAXwBjAG8AdABoAGUAcgAsAFwAbgAgACAAIAAgAEYARgBPAEQAXwBjAGIAYQBsAGUAZAAgACsAIABGAEYATwBEAF8AYwBvAHQAaABlAHIAXABuACAAIAApAFwAbgA7AFwAbgBcAG4AVgBFAEUAUgBHAF8ANgBfADEAXwAxAF8AMgBfAF8AMQBhAF8AXwBGAHIAYQBjAHQAaQBvAG4ATwBmAEMAcgBvAHAAUgBlAHMAaQBkAHUAZQBSAGUAbQBvAHYAZQBkAF8AVABpAHQAbABlAFwAbgAgACAAPQBMAEEATQBCAEQAQQAoAFwAIgBGAHIAYQBjAHQAaQBvAG4AIABvAGYAIABjAHIAbwBwACAAcgBlAHMAaQBkAHUAZQAgAHQAaABhAHQAIABpAHMAIAByAGUAbQBvAHYAZQBkACAAZgBvAHIAIABjAHIAbwBwACAAYwBcACIAKQA7AFwAbgBcAG4AVgBFAEUAUgBHAF8ANgBfADEAXwAxAF8AMgBfAF8AMQBhAF8AXwBGAHIAYQBjAHQAaQBvAG4ATwBmAEMAcgBvAHAAUgBlAHMAaQBkAHUAZQBSAGUAbQBvAHYAZQBkAF8AVgBhAHIAaQBhAGIAbABlAFwAbgAgACAAPQBMAEEATQBCAEQAQQAoAFwAIgBGAEYATwBEAF8AYwBcACIAKQA7AFwAbgBcAG4AVgBFAEUAUgBHAF8ANgBfADEAXwAxAF8AMgBfAF8AMQBhAF8AXwBGAHIAYQBjAHQAaQBvAG4ATwBmAEMAcgBvAHAAUgBlAHMAaQBkAHUAZQBSAGUAbQBvAHYAZQBkAF8AVQBuAGkAdABcAG4AIAAgAD0ATABBAE0AQgBEAEEAKABcACIAZABpAG0AZQBuAHMAaQBvAG4AbABlAHMAcwBcACIAKQA7AFwAbgBcAG4AVgBFAEUAUgBHAF8ANgBfADEAXwAxAF8AMgBfAF8AMQBhAF8AXwBGAHIAYQBjAHQAaQBvAG4ATwBmAEMAcgBvAHAAUgBlAHMAaQBkAHUAZQBSAGUAbQBvAHYAZQBkAF8AUwBvAHUAcgBjAGUAXABuACAAIAA9AEwAQQBNAEIARABBACgAXAAiAFwAIgApADsAXABuAFwAbgBWAEUARQBSAEcAXwA2AF8AMQBfADEAXwAyAF8AXwAxAGEAXwBfAEYAcgBhAGMAdABpAG8AbgBPAGYAQwByAG8AcABSAGUAcwBpAGQAdQBlAFIAZQBtAG8AdgBlAGQAXwBOAEkAUgBSAGUAZgBlAHIAZQBuAGMAZQBcAG4AIAAgAD0ATABBAE0AQgBEAEEAKABcACIAXAAiACkAOwBcAG4AXABuAFYARQBFAFIARwBfADYAXwAxAF8AMQBfADIAXwBfADEAYQBfAF8ARgByAGEAYwB0AGkAbwBuAE8AZgBDAHIAbwBwAFIAZQBzAGkAZAB1AGUAUgBlAG0AbwB2AGUAZABfAEwAYQB0AGUAeABFAHEAdQBhAHQAaQBvAG4AXABuACAAIAA9AEwAQQBNAEIARABBACgAXAAiAEYARgBPAEQAXwB7AGMAfQAgAD0AIABGAEYATwBEAF8AewBjACwAYgBhAGwAZQBkAH0AIAArACAARgBGAE8ARABfAHsAYwAsAG8AdABoAGUAcgB9AFwAIgApADsAXABuAFwAbgBWAEUARQBSAEcAXwA2AF8AMQBfADEAXwAyAF8AXwAxAGEAXwBfAEYAcgBhAGMAdABpAG8AbgBPAGYAQwByAG8AcABSAGUAcwBpAGQAdQBlAFIAZQBtAG8AdgBlAGQAXwBBAHIAZwB1AG0AZQBuAHQAcwBcAG4AIAAgAD0ATABBAE0AQgBEAEEAKABcAG4AIAAgACAAIABNAEEASwBFAEEAUgBSAEEAWQAoADIALAAgADQALAAgAFwAbgAgACAAIAAgACAAIABMAEEATQBCAEQAQQAoAHIALABjACwAIABcAG4AIAAgACAAIAAgACAAIAAgAEkATgBEAEUAWAAoAHsAXABuACAAIAAgACAAIAAgACAAIAAgACAAXAAiAEYARgBPAEQAXwBjAGIAYQBsAGUAZABcACIALABcACIARgByAGEAYwB0AGkAbwBuACAAbwBmACAAYwByAG8AcAAgAHIAZQBzAGkAZAB1AGUAIAB0AGgAYQB0ACAAaQBzACAAcgBlAG0AbwB2AGUAZAAgAGYAbwByACAAYwByAG8AcAAgAGMALAAgAGMAYQBsAGMAdQBsAGEAdABlAGQAIAB3AGgAZQByAGUAIAByAGUAcwBpAGQAdQBlAHMAIABhAHIAZQAgAGIAYQBsAGUAZABcACIALAAgAFwAIgBmAHIAYQBjAHQAaQBvAG4AXAAiACwAIABcACIAQwBhAGwAYwB1AGwAYQB0AGUAZAAgAGYAcgBvAG0AIAA2AC4AMQAuADEALgAyACwAIAAoADEAKQBcACIAOwBcAG4AIAAgACAAIAAgACAAIAAgACAAIABcACIARgBGAE8ARABfAGMAbwB0AGgAZQByAFwAIgAsAFwAIgBGAHIAYQBjAHQAaQBvAG4AIABvAGYAIABjAHIAbwBwACAAcgBlAHMAaQBkAHUAZQAgAHQAaABhAHQAIABpAHMAIAByAGUAbQBvAHYAZQBkACAAZgBvAHIAIABjAHIAbwBwACAAYwAsACAAYwBhAGwAYwB1AGwAYQB0AGUAZAAgAHcAaABlAHIAZQAgAHIAZQBzAGkAZAB1AGUAcwAgAGEAcgBlACAAcgBlAG0AbwB2AGUAZAAgAGIAeQAgAG8AdABoAGUAcgAgAG0AZQBhAG4AcwBcACIALAAgAFwAIgBmAHIAYQBjAHQAaQBvAG4AXAAiACwAIABcACIASQBuAHAAdQB0AFwAIgBcAG4AIAAgACAAIAAgACAAIAAgAH0ALAAgAHIALAAgAGMAKQBcAG4AIAAgACAAIAAgACAAKQBcAG4AIAAgACAAIAApAFwAbgAgACAAKQA7AFwAbgBcAG4AVgBFAEUAUgBHAF8ANgBfADEAXwAxAF8AMgBfAF8AMQBhAF8AXwBGAHIAYQBjAHQAaQBvAG4ATwBmAEMAcgBvAHAAUgBlAHMAaQBkAHUAZQBSAGUAbQBvAHYAZQBkAF8AVgBhAHIAaQBhAHQAaQBvAG4AXABuACAAIAA9AEwAQQBNAEIARABBACgAXAAiAFYAQQBSAEkAQQBUAEkATwBOACAARgBSAE8ATQAgAFMATwBVAFIAQwBFADoAIABBAGQAZABlAGQAIAB0AGgAaQBzACAAZQBxAHUAYQB0AGkAbwBuACAAdABvACAAYQBjAGMAbwBtAG0AbwBkAGEAdABlACAAdQBzAGUAcgAtAGQAZQBmAGkAbgBlAGQAIAByAGUAcwBpAGQAdQBlACAAcgBlAG0AbwB2AGEAbAAgAG8AdABoAGUAcgAgAHQAaABhAG4AIABiAGEAbABpAG4AZwAuAFwAIgApADsAIgB9ACwAewAiAHAAYQB0AGgAIgA6ACIALwBwAHIAbwBqAGUAYwB0AHMALwBBAGcAUgBlAHMAaQBkAHUAZQBfAEUAcQB1AGEAdABpAG8AbgBzAF8ARgBpAGUAbABkAEIAdQByAG4AaQBuAGcAIgAsACIAdABlAHgAdAAiADoAIgAvACoAIABcAG4ALQAtAC0ALQAtAC0ALQAtAC0ALQAtAC0ALQAtAC0ALQAtAC0ALQAtAC0ALQAtAC0ALQAtAC0ALQAtAC0ALQAtAC0ALQAtAC0ALQAtAFwAbgBWAEUARQBSAEcAXwA2AF8ANABfADEAXwAxAF8AXwAxAF8AXwBNAGUAdABoAGEAbgBlAEUAbQBpAHMAcwBpAG8AbgBzAEYAcgBvAG0AQgB1AHIAbgBpAG4AZwBPAGYAQwByAG8AcABSAGUAcwBpAGQAdQBlAHMAXABuAE0AZQB0AGgAYQBuAGUAIABlAG0AaQBzAHMAaQBvAG4AcwAgAGYAcgBvAG0AIAB0AGgAZQAgAGIAdQByAG4AaQBuAGcAIABvAGYAIABjAHIAbwBwACAAcgBlAHMAaQBkAHUAZQBzAFwAbgBFAEMASAA0AFwAbgB0ACAAQwBIADQAXABuAEUAXwB7AEMASAA0AH0APQBcAG4AXABcAHMAdQBtAF8AewBjAH0AKABNAF8AewBiAHUAcgBuACwAYwB9AFwAXAB0AGkAbQBlAHMAIABDAEMAXwB7AGMAfQBcAFwAdABpAG0AZQBzACAARQBGAF8AewBDAEgANAB9AFwAXAB0AGkAbQBlAHMAIABDAF8AewBDAEgANAB9AFwAXAB0AGkAbQBlAHMAIAAxADAAXgB7AC0AMwB9ACkAXABuAE0AXwBiAHUAcgBuAGMAIAA9ACAAbQBhAHMAcwAgAG8AZgAgAHIAZQBzAGkAZAB1AGUAIABiAHUAcgBuAHQAIABmAG8AcgAgAGMAcgBvAHAAIAB0AHkAcABlACAAYwAgACgAawBnACkAXABuAEMAQwBfAGMAIAA9ACAAYwBhAHIAYgBvAG4AIABtAGEAcwBzACAAZgByAGEAYwB0AGkAbwBuACAAaQBuACAAdABoAGUAIAByAGUAcwBpAGQAdQBlAHMAIABvAGYAIABjAHIAbwBwACAAdAB5AHAAZQAgAGMAIAAoAGQAaQBtAGUAbgBzAGkAbwBuAGwAZQBzAHMAKQBcAG4ARQBGAF8AQwBIADQAIAA9ACAAZQBtAGkAcwBzAGkAbwBuACAAZgBhAGMAdABvAHIAIABmAG8AcgAgAG0AZQB0AGgAYQBuAGUAIABmAHIAbwBtACAAYgB1AHIAbgBpAG4AZwAgAG8AZgAgAGMAcgBvAHAAIAByAGUAcwBpAGQAdQBlAHMAIAAoAGsAZwAgAEMASAA0AC8AawBnACAAQwBIADQAIABiAHUAcgBuAHQAKQBcAG4AQwBDAEgANAAgAD0AIABmAGEAYwB0AG8AcgAgAHQAbwAgAGMAbwBuAHYAZQByAHQAIABlAGwAZQBtAGUAbgB0AGEAbAAgAG0AYQBzAHMAIABvAGYAIABtAGUAdABoAGEAbgBlACAAdABvACAAbQBvAGwAZQBjAHUAbABhAHIAIABtAGEAcwBzACAAKABkAGkAbQBlAG4AcwBpAG8AbgBsAGUAcwBzACkAXABuAGMAIAA9ACAAQwByAG8AcAAgAHQAeQBwAGUAXABuAC0ALQAtAC0ALQAtAC0ALQAtAC0ALQAtAC0ALQAtAC0ALQAtAC0ALQAtAC0ALQAtAC0ALQAtAC0ALQAtAC0ALQAtAC0ALQAtAC0ALQBcAG4AKgAvAFwAbgBcAG4AVgBFAEUAUgBHAF8ANgBfADQAXwAxAF8AMQBfAF8AMQBfAF8ATQBlAHQAaABhAG4AZQBFAG0AaQBzAHMAaQBvAG4AcwBGAHIAbwBtAEIAdQByAG4AaQBuAGcATwBmAEMAcgBvAHAAUgBlAHMAaQBkAHUAZQBzAFwAbgAgACAAPQBMAEEATQBCAEQAQQAoAFwAbgAgACAAIAAgAE0AXwBiAHUAcgBuAGMALAAgAEMAQwBfAGMALAAgAEUARgBfAEMASAA0ACwAIABDAF8AQwBIADQALABcAG4AIAAgACAAIAAoAE0AXwBiAHUAcgBuAGMAIAAqACAAQwBDAF8AYwApACAAKgAgAEUARgBfAEMASAA0ACAAKgAgAEMAXwBDAEgANAAgACoAIAAxADAAXgAoAC0AMwApAFwAbgAgACAAKQA7AFwAbgBcAG4AVgBFAEUAUgBHAF8ANgBfADQAXwAxAF8AMQBfAF8AMQBfAF8ATQBlAHQAaABhAG4AZQBFAG0AaQBzAHMAaQBvAG4AcwBGAHIAbwBtAEIAdQByAG4AaQBuAGcATwBmAEMAcgBvAHAAUgBlAHMAaQBkAHUAZQBzAF8ARgB1AG4AYwB0AGkAbwBuAE4AYQBtAGUAXABuACAAIAA9AEwAQQBNAEIARABBACgAXAAiAFYARQBFAFIARwBfADYAXwA0AF8AMQBfADEAXwBfADEAXwBfAE0AZQB0AGgAYQBuAGUARQBtAGkAcwBzAGkAbwBuAHMARgByAG8AbQBCAHUAcgBuAGkAbgBnAE8AZgBDAHIAbwBwAFIAZQBzAGkAZAB1AGUAcwBcACIAKQA7AFwAbgBcAG4AVgBFAEUAUgBHAF8ANgBfADQAXwAxAF8AMQBfAF8AMQBfAF8ATQBlAHQAaABhAG4AZQBFAG0AaQBzAHMAaQBvAG4AcwBGAHIAbwBtAEIAdQByAG4AaQBuAGcATwBmAEMAcgBvAHAAUgBlAHMAaQBkAHUAZQBzAF8AVABpAHQAbABlAFwAbgAgACAAPQBMAEEATQBCAEQAQQAoAFwAIgBNAGUAdABoAGEAbgBlACAAZQBtAGkAcwBzAGkAbwBuAHMAIABmAHIAbwBtACAAdABoAGUAIABiAHUAcgBuAGkAbgBnACAAbwBmACAAYwByAG8AcAAgAHIAZQBzAGkAZAB1AGUAcwBcACIAKQA7AFwAbgBcAG4AVgBFAEUAUgBHAF8ANgBfADQAXwAxAF8AMQBfAF8AMQBfAF8ATQBlAHQAaABhAG4AZQBFAG0AaQBzAHMAaQBvAG4AcwBGAHIAbwBtAEIAdQByAG4AaQBuAGcATwBmAEMAcgBvAHAAUgBlAHMAaQBkAHUAZQBzAF8AVgBhAHIAaQBhAGIAbABlAFwAbgAgACAAPQBMAEEATQBCAEQAQQAoAFwAIgBFAEMASAA0AFwAIgApADsAXABuAFwAbgBWAEUARQBSAEcAXwA2AF8ANABfADEAXwAxAF8AXwAxAF8AXwBNAGUAdABoAGEAbgBlAEUAbQBpAHMAcwBpAG8AbgBzAEYAcgBvAG0AQgB1AHIAbgBpAG4AZwBPAGYAQwByAG8AcABSAGUAcwBpAGQAdQBlAHMAXwBVAG4AaQB0AFwAbgAgACAAPQBMAEEATQBCAEQAQQAoAFwAIgB0ACAAQwBIADQAXAAiACkAOwBcAG4AXABuAFYARQBFAFIARwBfADYAXwA0AF8AMQBfADEAXwBfADEAXwBfAE0AZQB0AGgAYQBuAGUARQBtAGkAcwBzAGkAbwBuAHMARgByAG8AbQBCAHUAcgBuAGkAbgBnAE8AZgBDAHIAbwBwAFIAZQBzAGkAZAB1AGUAcwBfAFMAbwB1AHIAYwBlAFwAbgAgACAAPQBMAEEATQBCAEQAQQAoAFwAIgBWAEUARQBSAEcAIAAyADAAMgA2ADoAIAA2AC4ANAAuADEALgAxACwAIABFAHEAdQBhAHQAaQBvAG4AIAAoADEAKQBcACIAKQA7AFwAbgBcAG4AVgBFAEUAUgBHAF8ANgBfADQAXwAxAF8AMQBfAF8AMQBfAF8ATQBlAHQAaABhAG4AZQBFAG0AaQBzAHMAaQBvAG4AcwBGAHIAbwBtAEIAdQByAG4AaQBuAGcATwBmAEMAcgBvAHAAUgBlAHMAaQBkAHUAZQBzAF8ATgBJAFIAUgBlAGYAZQByAGUAbgBjAGUAXABuACAAIAA9AEwAQQBNAEIARABBACgAXAAiAFwAIgApADsAXABuAFwAbgBWAEUARQBSAEcAXwA2AF8ANABfADEAXwAxAF8AXwAxAF8AXwBNAGUAdABoAGEAbgBlAEUAbQBpAHMAcwBpAG8AbgBzAEYAcgBvAG0AQgB1AHIAbgBpAG4AZwBPAGYAQwByAG8AcABSAGUAcwBpAGQAdQBlAHMAXwBMAGEAdABlAHgARQBxAHUAYQB0AGkAbwBuAFwAbgAgACAAPQBMAEEATQBCAEQAQQAoAFwAIgBFAF8AewBDAEgANAB9AD0AXABcAHMAdQBtAFwAXABuAG8AbABpAG0AaQB0AHMAXwBjACgATQBfAHsAYgB1AHIAbgAsAGMAfQBcAFwAdABpAG0AZQBzACAAQwBDAF8AewBjAH0AKQBcAFwAdABpAG0AZQBzACAARQBGAF8AewBDAEgANAB9AFwAXAB0AGkAbQBlAHMAIABDAF8AewBDAEgANAB9AFwAXAB0AGkAbQBlAHMAIAAxADAAXgB7AC0AMwB9AFwAIgApADsAXABuAFwAbgBWAEUARQBSAEcAXwA2AF8ANABfADEAXwAxAF8AXwAxAF8AXwBNAGUAdABoAGEAbgBlAEUAbQBpAHMAcwBpAG8AbgBzAEYAcgBvAG0AQgB1AHIAbgBpAG4AZwBPAGYAQwByAG8AcABSAGUAcwBpAGQAdQBlAHMAXwBBAHIAZwB1AG0AZQBuAHQAcwBcAG4AIAAgAD0ATABBAE0AQgBEAEEAKABcAG4AIAAgACAAIABNAEEASwBFAEEAUgBSAEEAWQAoADUALAAgADQALABcAG4AIAAgACAAIAAgACAATABBAE0AQgBEAEEAKAByACwAYwAsAFwAbgAgACAAIAAgACAAIAAgACAASQBOAEQARQBYACgAewBcAG4AIAAgACAAIAAgACAAIAAgACAAIABcACIATQBfAGIAdQByAG4AYwBcACIALABcACIAbQBhAHMAcwAgAG8AZgAgAHIAZQBzAGkAZAB1AGUAIABiAHUAcgBuAHQAIABmAG8AcgAgAGMAcgBvAHAAIAB0AHkAcABlACAAYwBcACIALAAgAFwAIgBrAGcAXAAiACwAIABcACIAQwBhAGwAYwB1AGwAYQB0AGUAZAAgAGYAcgBvAG0AIAA2AC4ANAAuADEALgAxACAAKAAzACkAXAAiADsAXABuACAAIAAgACAAIAAgACAAIAAgACAAXAAiAEMAQwBfAGMAXAAiACwAXAAiAGMAYQByAGIAbwBuACAAbQBhAHMAcwAgAGYAcgBhAGMAdABpAG8AbgAgAGkAbgAgAHQAaABlACAAcgBlAHMAaQBkAHUAZQBzACAAbwBmACAAYwByAG8AcAAgAHQAeQBwAGUAIABjAFwAIgAsACAAXAAiAGYAcgBhAGMAdABpAG8AbgBcACIALAAgAFwAIgBDAG8AbgBzAHQAYQBuAHQAXAAiADsAXABuACAAIAAgACAAIAAgACAAIAAgACAAXAAiAEUARgBfAEMASAA0AFwAIgAsAFwAIgBlAG0AaQBzAHMAaQBvAG4AIABmAGEAYwB0AG8AcgAgAGYAbwByACAAbQBlAHQAaABhAG4AZQAgAGYAcgBvAG0AIABiAHUAcgBuAGkAbgBnACAAbwBmACAAYwByAG8AcAAgAHIAZQBzAGkAZAB1AGUAcwBcACIALAAgAFwAIgBrAGcAIABDAEgANAAgAC8AIABrAGcAIABDAEgANAAgAGIAdQByAG4AdABcACIALAAgAFwAIgBDAG8AbgBzAHQAYQBuAHQAXAAiADsAXABuACAAIAAgACAAIAAgACAAIAAgACAAXAAiAEMAXwBDAEgANABcACIALABcACIAZgBhAGMAdABvAHIAIAB0AG8AIABjAG8AbgB2AGUAcgB0ACAAZQBsAGUAbQBlAG4AdABhAGwAIABtAGEAcwBzACAAbwBmACAAbQBlAHQAaABhAG4AZQAgAHQAbwAgAG0AbwBsAGUAYwB1AGwAYQByACAAbQBhAHMAcwBcACIALAAgAFwAIgBkAGkAbQBlAG4AcwBpAG8AbgBsAGUAcwBzAFwAIgAsACAAXAAiAEMAbwBuAHMAdABhAG4AdABcACIAOwBcAG4AIAAgACAAIAAgACAAIAAgACAAIABcACIAYwBcACIALABcACIAQwByAG8AcAAgAHQAeQBwAGUAXAAiACwAIABcACIAXAAiACwAIABcACIASQBuAHAAdQB0AFwAIgBcAG4AIAAgACAAIAAgACAAIAAgAH0ALAAgAHIALAAgAGMAKQBcAG4AIAAgACAAIAAgACAAKQBcAG4AIAAgACAAIAApAFwAbgAgACAAKQA7AFwAbgBcAG4ALwAqACAAXABuAC0ALQAtAC0ALQAtAC0ALQAtAC0ALQAtAC0ALQAtAC0ALQAtAC0ALQAtAC0ALQAtAC0ALQAtAC0ALQAtAC0ALQAtAC0ALQAtAC0ALQBcAG4AVgBFAEUAUgBHAF8ANgBfADQAXwAxAF8AMQBfAF8AMgBfAF8ATgBpAHQAcgBvAHUAcwBPAHgAaQBkAGUARQBtAGkAcwBzAGkAbwBuAHMARgByAG8AbQBCAHUAcgBuAGkAbgBnAE8AZgBDAHIAbwBwAFIAZQBzAGkAZAB1AGUAcwBcAG4ATgBpAHQAcgBvAHUAcwAgAG8AeABpAGQAZQAgAGUAbQBpAHMAcwBpAG8AbgBzACAAZgByAG8AbQAgAHQAaABlACAAYgB1AHIAbgBpAG4AZwAgAG8AZgAgAGMAcgBvAHAAIAByAGUAcwBpAGQAdQBlAHMAXABuAEUATgAyAE8AXABuAHQAIABOADIATwBcAG4ARQBfAHsATgAyAE8AfQA9AFwAXABzAHUAbQBfAHsAYwB9ACgATQBfAHsAYgB1AHIAbgAsAGMAfQBcAFwAdABpAG0AZQBzACAATgBDAF8AewBBAEcAYwB9AFwAXAB0AGkAbQBlAHMAIABFAEYAXwB7AE4AMgBPAH0AXABcAHQAaQBtAGUAcwAgAEMAXwB7AE4AMgBPAH0AXABcAHQAaQBtAGUAcwAgADEAMABeAHsALQAzAH0AKQBcAG4ATQBfAGIAdQByAG4AYwAgAD0AIABtAGEAcwBzACAAbwBmACAAcgBlAHMAaQBkAHUAZQAgAGIAdQByAG4AdAAgAGYAbwByACAAYwByAG8AcAAgAHQAeQBwAGUAIABjACAAKABrAGcAKQBcAG4ATgBDAF8AQQBHAGMAIAA9ACAAbgBpAHQAcgBvAGcAZQBuACAAYwBvAG4AdABlAG4AdAAgAGkAbgAgAHQAaABlACAAYQBiAG8AdgBlAC0AZwByAG8AdQBuAGQAIAByAGUAcwBpAGQAdQBlACAAbwBmACAAYwByAG8AcAAgAHQAeQBwAGUAIABjACAAKABrAGcAIABOAC8AawBnACAARABNACkAXABuAEUARgBfAE4AMgBPACAAPQAgAGUAbQBpAHMAcwBpAG8AbgAgAGYAYQBjAHQAbwByACAAZgBvAHIAIABuAGkAdAByAG8AdQBzACAAbwB4AGkAZABlACAAZgByAG8AbQAgAGIAdQByAG4AaQBuAGcAIABvAGYAIABjAHIAbwBwACAAcgBlAHMAaQBkAHUAZQBzACAAKABrAGcAIABOADIATwAvAGsAZwAgAE4AMgBPACAAYgB1AHIAbgB0ACkAXABuAEMAXwBOADIATwAgAD0AIABmAGEAYwB0AG8AcgAgAHQAbwAgAGMAbwBuAHYAZQByAHQAIABlAGwAZQBtAGUAbgB0AGEAbAAgAG0AYQBzAHMAIABvAGYAIABuAGkAdAByAG8AdQBzACAAbwB4AGkAZABlACAAdABvACAAbQBvAGwAZQBjAHUAbABhAHIAIABtAGEAcwBzACAAKABkAGkAbQBlAG4AcwBpAG8AbgBsAGUAcwBzACkAXABuAGMAIAA9ACAAQwByAG8AcAAgAHQAeQBwAGUAXABuAC0ALQAtAC0ALQAtAC0ALQAtAC0ALQAtAC0ALQAtAC0ALQAtAC0ALQAtAC0ALQAtAC0ALQAtAC0ALQAtAC0ALQAtAC0ALQAtAC0ALQBcAG4AKgAvAFwAbgBcAG4AVgBFAEUAUgBHAF8ANgBfADQAXwAxAF8AMQBfAF8AMgBfAF8ATgBpAHQAcgBvAHUAcwBPAHgAaQBkAGUARQBtAGkAcwBzAGkAbwBuAHMARgByAG8AbQBCAHUAcgBuAGkAbgBnAE8AZgBDAHIAbwBwAFIAZQBzAGkAZAB1AGUAcwBcAG4AIAAgAD0ATABBAE0AQgBEAEEAKABcAG4AIAAgACAAIABNAF8AYgB1AHIAbgBjACwAIABOAEMAXwBBAEcAYwAsACAARQBGAF8ATgAyAE8ALAAgAEMAXwBOADIATwAsAFwAbgAgACAAIAAgACgATQBfAGIAdQByAG4AYwAgACoAIABOAEMAXwBBAEcAYwApACAAKgAgAEUARgBfAE4AMgBPACAAKgAgAEMAXwBOADIATwAgACoAIAAxADAAXgAoAC0AMwApAFwAbgAgACAAKQA7AFwAbgBcAG4AVgBFAEUAUgBHAF8ANgBfADQAXwAxAF8AMQBfAF8AMgBfAF8ATgBpAHQAcgBvAHUAcwBPAHgAaQBkAGUARQBtAGkAcwBzAGkAbwBuAHMARgByAG8AbQBCAHUAcgBuAGkAbgBnAE8AZgBDAHIAbwBwAFIAZQBzAGkAZAB1AGUAcwBfAEYAdQBuAGMAdABpAG8AbgBOAGEAbQBlAFwAbgAgACAAPQBMAEEATQBCAEQAQQAoAFwAIgBWAEUARQBSAEcAXwA2AF8ANABfADEAXwAxAF8AXwAyAF8AXwBOAGkAdAByAG8AdQBzAE8AeABpAGQAZQBFAG0AaQBzAHMAaQBvAG4AcwBGAHIAbwBtAEIAdQByAG4AaQBuAGcATwBmAEMAcgBvAHAAUgBlAHMAaQBkAHUAZQBzAFwAIgApADsAXABuAFwAbgBWAEUARQBSAEcAXwA2AF8ANABfADEAXwAxAF8AXwAyAF8AXwBOAGkAdAByAG8AdQBzAE8AeABpAGQAZQBFAG0AaQBzAHMAaQBvAG4AcwBGAHIAbwBtAEIAdQByAG4AaQBuAGcATwBmAEMAcgBvAHAAUgBlAHMAaQBkAHUAZQBzAF8AVABpAHQAbABlAFwAbgAgACAAPQBMAEEATQBCAEQAQQAoAFwAIgBOAGkAdAByAG8AdQBzACAAbwB4AGkAZABlACAAZQBtAGkAcwBzAGkAbwBuAHMAIABmAHIAbwBtACAAdABoAGUAIABiAHUAcgBuAGkAbgBnACAAbwBmACAAYwByAG8AcAAgAHIAZQBzAGkAZAB1AGUAcwBcACIAKQA7AFwAbgBcAG4AVgBFAEUAUgBHAF8ANgBfADQAXwAxAF8AMQBfAF8AMgBfAF8ATgBpAHQAcgBvAHUAcwBPAHgAaQBkAGUARQBtAGkAcwBzAGkAbwBuAHMARgByAG8AbQBCAHUAcgBuAGkAbgBnAE8AZgBDAHIAbwBwAFIAZQBzAGkAZAB1AGUAcwBfAFYAYQByAGkAYQBiAGwAZQBcAG4AIAAgAD0ATABBAE0AQgBEAEEAKABcACIARQBOADIATwBcACIAKQA7AFwAbgBcAG4AVgBFAEUAUgBHAF8ANgBfADQAXwAxAF8AMQBfAF8AMgBfAF8ATgBpAHQAcgBvAHUAcwBPAHgAaQBkAGUARQBtAGkAcwBzAGkAbwBuAHMARgByAG8AbQBCAHUAcgBuAGkAbgBnAE8AZgBDAHIAbwBwAFIAZQBzAGkAZAB1AGUAcwBfAFUAbgBpAHQAXABuACAAIAA9AEwAQQBNAEIARABBACgAXAAiAHQAIABOADIATwBcACIAKQA7AFwAbgBcAG4AVgBFAEUAUgBHAF8ANgBfADQAXwAxAF8AMQBfAF8AMgBfAF8ATgBpAHQAcgBvAHUAcwBPAHgAaQBkAGUARQBtAGkAcwBzAGkAbwBuAHMARgByAG8AbQBCAHUAcgBuAGkAbgBnAE8AZgBDAHIAbwBwAFIAZQBzAGkAZAB1AGUAcwBfAFMAbwB1AHIAYwBlAFwAbgAgACAAPQBMAEEATQBCAEQAQQAoAFwAIgBWAEUARQBSAEcAIAAyADAAMgA2ADoAIAA2AC4ANAAuADEALgAxACwAIABFAHEAdQBhAHQAaQBvAG4AIAAoADIAKQBcACIAKQA7AFwAbgBcAG4AVgBFAEUAUgBHAF8ANgBfADQAXwAxAF8AMQBfAF8AMgBfAF8ATgBpAHQAcgBvAHUAcwBPAHgAaQBkAGUARQBtAGkAcwBzAGkAbwBuAHMARgByAG8AbQBCAHUAcgBuAGkAbgBnAE8AZgBDAHIAbwBwAFIAZQBzAGkAZAB1AGUAcwBfAE4ASQBSAFIAZQBmAGUAcgBlAG4AYwBlAFwAbgAgACAAPQBMAEEATQBCAEQAQQAoAFwAIgBcACIAKQA7AFwAbgBcAG4AVgBFAEUAUgBHAF8ANgBfADQAXwAxAF8AMQBfAF8AMgBfAF8ATgBpAHQAcgBvAHUAcwBPAHgAaQBkAGUARQBtAGkAcwBzAGkAbwBuAHMARgByAG8AbQBCAHUAcgBuAGkAbgBnAE8AZgBDAHIAbwBwAFIAZQBzAGkAZAB1AGUAcwBfAEwAYQB0AGUAeABFAHEAdQBhAHQAaQBvAG4AXABuACAAIAA9AEwAQQBNAEIARABBACgAXAAiAEUAXwB7AE4AMgBPAH0APQBcAFwAcwB1AG0AXABcAG4AbwBsAGkAbQBpAHQAcwBfAGMAKABNAF8AewBiAHUAcgBuACwAYwB9AFwAXAB0AGkAbQBlAHMAIABOAEMAXwB7AEEARwBjAH0AKQBcAFwAdABpAG0AZQBzACAARQBGAF8AewBOADIATwB9AFwAXAB0AGkAbQBlAHMAIABDAF8AewBOADIATwB9AFwAXAB0AGkAbQBlAHMAIAAxADAAXgB7AC0AMwB9AFwAIgApADsAXABuAFwAbgBWAEUARQBSAEcAXwA2AF8ANABfADEAXwAxAF8AXwAyAF8AXwBOAGkAdAByAG8AdQBzAE8AeABpAGQAZQBFAG0AaQBzAHMAaQBvAG4AcwBGAHIAbwBtAEIAdQByAG4AaQBuAGcATwBmAEMAcgBvAHAAUgBlAHMAaQBkAHUAZQBzAF8AQQByAGcAdQBtAGUAbgB0AHMAXABuACAAIAA9AEwAQQBNAEIARABBACgAXABuACAAIAAgACAATQBBAEsARQBBAFIAUgBBAFkAKAA1ACwAIAA0ACwAXABuACAAIAAgACAAIAAgAEwAQQBNAEIARABBACgAcgAsAGMALABcAG4AIAAgACAAIAAgACAAIAAgAEkATgBEAEUAWAAoAHsAXABuACAAIAAgACAAIAAgACAAIAAgACAAXAAiAE0AXwBiAHUAcgBuAGMAXAAiACwAXAAiAG0AYQBzAHMAIABvAGYAIAByAGUAcwBpAGQAdQBlACAAYgB1AHIAbgB0ACAAZgBvAHIAIABjAHIAbwBwACAAdAB5AHAAZQAgAGMAXAAiACwAIABcACIAawBnAFwAIgAsACAAXAAiAEMAYQBsAGMAdQBsAGEAdABlAGQAIABmAHIAbwBtACAANgAuADQALgAxAC4AMQAgACgAMwApAFwAIgA7AFwAbgAgACAAIAAgACAAIAAgACAAIAAgAFwAIgBOAEMAXwBBAEcAYwBcACIALABcACIAbgBpAHQAcgBvAGcAZQBuACAAYwBvAG4AdABlAG4AdAAgAGkAbgAgAHQAaABlACAAYQBiAG8AdgBlAC0AZwByAG8AdQBuAGQAIAByAGUAcwBpAGQAdQBlACAAbwBmACAAYwByAG8AcAAgAHQAeQBwAGUAIABjAFwAIgAsACAAXAAiAGsAZwAgAE4ALwBrAGcAIABEAE0AXAAiACwAIABcACIAQwBvAG4AcwB0AGEAbgB0AFwAIgA7AFwAbgAgACAAIAAgACAAIAAgACAAIAAgAFwAIgBFAEYAXwBOADIATwBcACIALABcACIAZQBtAGkAcwBzAGkAbwBuACAAZgBhAGMAdABvAHIAIABmAG8AcgAgAG4AaQB0AHIAbwB1AHMAIABvAHgAaQBkAGUAIABmAHIAbwBtACAAYgB1AHIAbgBpAG4AZwAgAG8AZgAgAGMAcgBvAHAAIAByAGUAcwBpAGQAdQBlAHMAXAAiACwAIABcACIAawBnACAATgAyAE8ALwBrAGcAIABOADIATwAgAGIAdQByAG4AdABcACIALAAgAFwAIgBDAG8AbgBzAHQAYQBuAHQAXAAiADsAXABuACAAIAAgACAAIAAgACAAIAAgACAAXAAiAEMAXwBOADIATwBcACIALABcACIAZgBhAGMAdABvAHIAIAB0AG8AIABjAG8AbgB2AGUAcgB0ACAAZQBsAGUAbQBlAG4AdABhAGwAIABtAGEAcwBzACAAbwBmACAAbgBpAHQAcgBvAHUAcwAgAG8AeABpAGQAZQAgAHQAbwAgAG0AbwBsAGUAYwB1AGwAYQByACAAbQBhAHMAcwBcACIALAAgAFwAIgBkAGkAbQBlAG4AcwBpAG8AbgBsAGUAcwBzAFwAIgAsACAAXAAiAEMAbwBuAHMAdABhAG4AdABcACIAOwBcAG4AIAAgACAAIAAgACAAIAAgACAAIABcACIAYwBcACIALABcACIAQwByAG8AcAAgAHQAeQBwAGUAXAAiACwAIABcACIAXAAiACwAIABcACIASQBuAHAAdQB0AFwAIgBcAG4AIAAgACAAIAAgACAAIAAgAH0ALAAgAHIALAAgAGMAKQBcAG4AIAAgACAAIAAgACAAKQBcAG4AIAAgACAAIAApAFwAbgAgACAAKQA7AFwAbgBcAG4ALwAqACAAXABuAC0ALQAtAC0ALQAtAC0ALQAtAC0ALQAtAC0ALQAtAC0ALQAtAC0ALQAtAC0ALQAtAC0ALQAtAC0ALQAtAC0ALQAtAC0ALQAtAC0ALQBcAG4AVgBFAEUAUgBHAF8ANgBfADQAXwAxAF8AMQBfAF8AMwBfAF8ATQBhAHMAcwBPAGYAQwByAG8AcABSAGUAcwBpAGQAdQBlAEIAdQByAG4AdABcAG4ATQBhAHMAcwAgAG8AZgAgAHIAZQBzAGkAZAB1AGUAIABvAGYAIABjAHIAbwBwACAAYwAgAGIAdQByAG4AdABcAG4ATQBfAGIAdQByAG4AYwBcAG4AawBnAFwAbgBNAF8AewBiAHUAcgBuACwAYwB9AD0AUABfAHsAYwB9AFwAXAB0AGkAbQBlAHMAIABSAF8AewBBAEcAYwB9AFwAXAB0AGkAbQBlAHMAIABTAF8AewBjAH0AXABcAHQAaQBtAGUAcwAgAEQATQBfAHsAYwB9AFwAXAB0AGkAbQBlAHMAIABaAF8AewBjAH0AXABcAHQAaQBtAGUAcwAgAEYAXwB7AGMAfQBcAG4AUABfAGMAIAA9ACAAYQBuAG4AdQBhAGwAIABwAHIAbwBkAHUAYwB0AGkAbwBuACAAbwBmACAAYwByAG8AcAAgAHQAeQBwAGUAIABjACAAKABrAGcAKQBcAG4AUgBfAEEARwBjACAAPQAgAHIAZQBzAGkAZAB1AGUAIAB0AG8AIABjAHIAbwBwACAAcgBhAHQAaQBvACAAbwBmACAAYwByAG8AcAAgAHQAeQBwAGUAIABjACAAKABrAGcAIABjAHIAbwBwACAAcgBlAHMAaQBkAHUAZQAvAGsAZwAgAGMAcgBvAHAAKQBcAG4AUwBfAGMAIAA9ACAAZgByAGEAYwB0AGkAbwBuACAAbwBmACAAcgBlAHMAaQBkAHUAZQBzACAAbwBmACAAYwByAG8AcAAgAHQAeQBwAGUAIABjACAAcgBlAG0AYQBpAG4AaQBuAGcAIABhAHQAIABiAHUAcgBuAGkAbgBnACAAKABkAGkAbQBlAG4AcwBpAG8AbgBsAGUAcwBzACkAXABuAEQATQBfAGMAIAA9ACAAZAByAHkAIABtAGEAdAB0AGUAcgAgAGMAbwBuAHQAZQBuAHQAIABvAGYAIABjAHIAbwBwACAAdAB5AHAAZQAgAGMAIAAoAGsAZwAgAGQAcgB5ACAAdwBlAGkAZwBoAHQALwBrAGcAIABjAHIAbwBwACAAcgBlAHMAaQBkAHUAZQApAFwAbgBaAF8AYwAgAD0AIABiAHUAcgBuAGkAbgBnACAAZQBmAGYAaQBjAGkAZQBuAGMAeQAgACgAcgBhAHQAaQBvACAAbwBmACAAZgB1AGUAbAAgAGIAdQByAG4AdAAgAHQAbwAgAGYAdQBlAGwAIABsAG8AYQBkACkAIABvAGYAIABjAHIAbwBwACAAdAB5AHAAZQAgAGMAIAAoAGQAaQBtAGUAbgBzAGkAbwBuAGwAZQBzAHMAKQBcAG4ARgBfAGMAIAA9ACAAZgByAGEAYwB0AGkAbwBuACAAbwBmACAAdABoAGUAIABhAG4AbgB1AGEAbAAgAHAAcgBvAGQAdQBjAHQAaQBvAG4AIABvAGYAIABjAHIAbwBwACAAdAB5AHAAZQAgAGMAIAB0AGgAYQB0ACAAaQBzACAAYgB1AHIAbgB0ACAAKABkAGkAbQBlAG4AcwBpAG8AbgBsAGUAcwBzACkAXABuAGMAIAA9ACAAQwByAG8AcAAgAHQAeQBwAGUAXABuAC0ALQAtAC0ALQAtAC0ALQAtAC0ALQAtAC0ALQAtAC0ALQAtAC0ALQAtAC0ALQAtAC0ALQAtAC0ALQAtAC0ALQAtAC0ALQAtAC0ALQBcAG4AKgAvAFwAbgBcAG4AVgBFAEUAUgBHAF8ANgBfADQAXwAxAF8AMQBfAF8AMwBfAF8ATQBhAHMAcwBPAGYAQwByAG8AcABSAGUAcwBpAGQAdQBlAEIAdQByAG4AdABcAG4AIAAgAD0ATABBAE0AQgBEAEEAKABcAG4AIAAgACAAIABQAF8AYwAsACAAUgBfAEEARwBjACwAIABTAF8AYwAsACAARABNAF8AYwAsACAAWgBfAGMALAAgAEYAXwBjACwAXABuACAAIAAgACAAUABfAGMAIAAqACAAUgBfAEEARwBjACAAKgAgAFMAXwBjACAAKgAgAEQATQBfAGMAIAAqACAAWgBfAGMAIAAqACAARgBfAGMAXABuACAAIAApADsAXABuAFwAbgBWAEUARQBSAEcAXwA2AF8ANABfADEAXwAxAF8AXwAzAF8AXwBNAGEAcwBzAE8AZgBDAHIAbwBwAFIAZQBzAGkAZAB1AGUAQgB1AHIAbgB0AF8ARgB1AG4AYwB0AGkAbwBuAE4AYQBtAGUAXABuACAAIAA9AEwAQQBNAEIARABBACgAXAAiAFYARQBFAFIARwBfADYAXwA0AF8AMQBfADEAXwBfADMAXwBfAE0AYQBzAHMATwBmAEMAcgBvAHAAUgBlAHMAaQBkAHUAZQBCAHUAcgBuAHQAXAAiACkAOwBcAG4AXABuAFYARQBFAFIARwBfADYAXwA0AF8AMQBfADEAXwBfADMAXwBfAE0AYQBzAHMATwBmAEMAcgBvAHAAUgBlAHMAaQBkAHUAZQBCAHUAcgBuAHQAXwBUAGkAdABsAGUAXABuACAAIAA9AEwAQQBNAEIARABBACgAXAAiAE0AYQBzAHMAIABvAGYAIAByAGUAcwBpAGQAdQBlACAAbwBmACAAYwByAG8AcAAgAGMAIABiAHUAcgBuAHQAXAAiACkAOwBcAG4AXABuAFYARQBFAFIARwBfADYAXwA0AF8AMQBfADEAXwBfADMAXwBfAE0AYQBzAHMATwBmAEMAcgBvAHAAUgBlAHMAaQBkAHUAZQBCAHUAcgBuAHQAXwBWAGEAcgBpAGEAYgBsAGUAXABuACAAIAA9AEwAQQBNAEIARABBACgAXAAiAE0AXwBiAHUAcgBuAGMAXAAiACkAOwBcAG4AXABuAFYARQBFAFIARwBfADYAXwA0AF8AMQBfADEAXwBfADMAXwBfAE0AYQBzAHMATwBmAEMAcgBvAHAAUgBlAHMAaQBkAHUAZQBCAHUAcgBuAHQAXwBVAG4AaQB0AFwAbgAgACAAPQBMAEEATQBCAEQAQQAoAFwAIgBrAGcAXAAiACkAOwBcAG4AXABuAFYARQBFAFIARwBfADYAXwA0AF8AMQBfADEAXwBfADMAXwBfAE0AYQBzAHMATwBmAEMAcgBvAHAAUgBlAHMAaQBkAHUAZQBCAHUAcgBuAHQAXwBTAG8AdQByAGMAZQBcAG4AIAAgAD0ATABBAE0AQgBEAEEAKABcACIAVgBFAEUAUgBHACAAMgAwADIANgA6ACAANgAuADQALgAxAC4AMQAsACAARQBxAHUAYQB0AGkAbwBuACAAKAAzACkAXAAiACkAOwBcAG4AXABuAFYARQBFAFIARwBfADYAXwA0AF8AMQBfADEAXwBfADMAXwBfAE0AYQBzAHMATwBmAEMAcgBvAHAAUgBlAHMAaQBkAHUAZQBCAHUAcgBuAHQAXwBOAEkAUgBSAGUAZgBlAHIAZQBuAGMAZQBcAG4AIAAgAD0ATABBAE0AQgBEAEEAKABcACIAXAAiACkAOwBcAG4AXABuAFYARQBFAFIARwBfADYAXwA0AF8AMQBfADEAXwBfADMAXwBfAE0AYQBzAHMATwBmAEMAcgBvAHAAUgBlAHMAaQBkAHUAZQBCAHUAcgBuAHQAXwBMAGEAdABlAHgARQBxAHUAYQB0AGkAbwBuAFwAbgAgACAAPQBMAEEATQBCAEQAQQAoAFwAIgBNAF8AewBiAHUAcgBuACwAYwB9AD0AUABfAHsAYwB9AFwAXAB0AGkAbQBlAHMAIABSAF8AewBBAEcAYwB9AFwAXAB0AGkAbQBlAHMAIABTAF8AewBjAH0AXABcAHQAaQBtAGUAcwAgAEQATQBfAHsAYwB9AFwAXAB0AGkAbQBlAHMAIABaAF8AewBjAH0AXABcAHQAaQBtAGUAcwAgAEYAXwB7AGMAfQBcACIAKQA7AFwAbgBcAG4AVgBFAEUAUgBHAF8ANgBfADQAXwAxAF8AMQBfAF8AMwBfAF8ATQBhAHMAcwBPAGYAQwByAG8AcABSAGUAcwBpAGQAdQBlAEIAdQByAG4AdABfAEEAcgBnAHUAbQBlAG4AdABzAFwAbgAgACAAPQBMAEEATQBCAEQAQQAoAFwAbgAgACAAIAAgAE0AQQBLAEUAQQBSAFIAQQBZACgANwAsACAANAAsAFwAbgAgACAAIAAgACAAIABMAEEATQBCAEQAQQAoAHIALABjACwAXABuACAAIAAgACAAIAAgACAAIABJAE4ARABFAFgAKAB7AFwAbgAgACAAIAAgACAAIAAgACAAIAAgAFwAIgBQAF8AYwBcACIALABcACIAYQBuAG4AdQBhAGwAIABwAHIAbwBkAHUAYwB0AGkAbwBuACAAbwBmACAAYwByAG8AcAAgAHQAeQBwAGUAIABjAFwAIgAsACAAXAAiAGsAZwBcACIALAAgAFwAIgBJAG4AcAB1AHQAXAAiADsAXABuACAAIAAgACAAIAAgACAAIAAgACAAXAAiAFIAXwBBAEcAYwBcACIALABcACIAcgBlAHMAaQBkAHUAZQAgAHQAbwAgAGMAcgBvAHAAIAByAGEAdABpAG8AIABvAGYAIABjAHIAbwBwACAAdAB5AHAAZQAgAGMAXAAiACwAIABcACIAawBnACAAYwByAG8AcAAgAHIAZQBzAGkAZAB1AGUALwBrAGcAIABjAHIAbwBwAFwAIgAsACAAXAAiAEMAbwBuAHMAdABhAG4AdABcACIAOwBcAG4AIAAgACAAIAAgACAAIAAgACAAIABcACIAUwBfAGMAXAAiACwAXAAiAGYAcgBhAGMAdABpAG8AbgAgAG8AZgAgAHIAZQBzAGkAZAB1AGUAcwAgAG8AZgAgAGMAcgBvAHAAIAB0AHkAcABlACAAYwAgAHIAZQBtAGEAaQBuAGkAbgBnACAAYQB0ACAAYgB1AHIAbgBpAG4AZwBcACIALAAgAFwAIgBmAHIAYQBjAHQAaQBvAG4AXAAiACwAIABcACIAQwBvAG4AcwB0AGEAbgB0AFwAIgA7AFwAbgAgACAAIAAgACAAIAAgACAAIAAgAFwAIgBEAE0AXwBjAFwAIgAsAFwAIgBkAHIAeQAgAG0AYQB0AHQAZQByACAAYwBvAG4AdABlAG4AdAAgAG8AZgAgAGMAcgBvAHAAIAB0AHkAcABlACAAYwBcACIALAAgAFwAIgBrAGcAIABkAHIAeQAgAHcAZQBpAGcAaAB0AC8AawBnACAAYwByAG8AcAAgAHIAZQBzAGkAZAB1AGUAXAAiACwAIABcACIAQwBvAG4AcwB0AGEAbgB0AFwAIgA7AFwAbgAgACAAIAAgACAAIAAgACAAIAAgAFwAIgBaAF8AYwBcACIALABcACIAYgB1AHIAbgBpAG4AZwAgAGUAZgBmAGkAYwBpAGUAbgBjAHkAIAAoAHIAYQB0AGkAbwAgAG8AZgAgAGYAdQBlAGwAIABiAHUAcgBuAHQAIAB0AG8AIABmAHUAZQBsACAAbABvAGEAZAApACAAbwBmACAAYwByAG8AcAAgAHQAeQBwAGUAIABjAFwAIgAsACAAXAAiAFwAIgAsACAAXAAiAEMAbwBuAHMAdABhAG4AdABcACIAOwBcAG4AIAAgACAAIAAgACAAIAAgACAAIABcACIARgBfAGMAXAAiACwAXAAiAGYAcgBhAGMAdABpAG8AbgAgAG8AZgAgAHQAaABlACAAYQBuAG4AdQBhAGwAIABwAHIAbwBkAHUAYwB0AGkAbwBuACAAbwBmACAAYwByAG8AcAAgAHQAeQBwAGUAIABjACAAdABoAGEAdAAgAGkAcwAgAGIAdQByAG4AdABcACIALAAgAFwAIgBmAHIAYQBjAHQAaQBvAG4AXAAiACwAIABcACIAQwBvAG4AcwB0AGEAbgB0AFwAIgA7AFwAbgAgACAAIAAgACAAIAAgACAAIAAgAFwAIgBjAFwAIgAsAFwAIgBDAHIAbwBwACAAdAB5AHAAZQBcACIALAAgAFwAIgBcACIALAAgAFwAIgBJAG4AcAB1AHQAXAAiAFwAbgAgACAAIAAgACAAIAAgACAAfQAsACAAcgAsACAAYwApAFwAbgAgACAAIAAgACAAIAApAFwAbgAgACAAIAAgACkAXABuACAAIAApADsAIgB9ACwAewAiAHAAYQB0AGgAIgA6ACIALwBwAHIAbwBqAGUAYwB0AHMALwBBAGcAUgBlAHMAaQBkAHUAZQBfAEUAcQB1AGEAdABpAG8AbgBzAF8ATABlAGEAYwBoAGkAbgBnACIALAAiAHQAZQB4AHQAIgA6ACIALwAqACAAXABuAC0ALQAtAC0ALQAtAC0ALQAtAC0ALQAtAC0ALQAtAC0ALQAtAC0ALQAtAC0ALQAtAC0ALQAtAC0ALQAtAC0ALQAtAC0ALQAtAC0ALQBcAG4AVgBFAEUAUgBHAF8ANgBfADMAXwAxAF8AMQBfAF8AMQBfAF8ATABlAGEAYwBoAGkAbgBnAEEAbgBkAFIAdQBuAG8AZgBmAEUAbQBpAHMAcwBpAG8AbgBzAEMAcgBvAHAAQQBuAGQAUABhAHMAdAB1AHIAZQBSAGUAcwBpAGQAdQBlAFwAbgBOAGkAdAByAG8AdQBzACAAbwB4AGkAZABlACAAbABlAGEAYwBoAGkAbgBnACAAYQBuAGQAIAByAHUAbgBvAGYAZgAgAGUAbQBpAHMAcwBpAG8AbgBzACAAZgByAG8AbQAgAGMAcgBvAHAAIABhAG4AZAAgAHAAYQBzAHQAdQByAGUAIAByAGUAcwBpAGQAdQBlAHMAIAByAGUAdAB1AHIAbgBlAGQAIAB0AG8AIAB0AGgAZQAgAHMAbwBpAGwALAAgAGEAYwByAG8AcwBzACAAYQBsAGwAIABjAHIAbwBwACAAcgBlAHMAaQBkAHUAZQBzACAAYwAgAGEAbgBkACAAcABhAHMAdAB1AHIAZQAgAHIAZQBzAGkAZAB1AGUAcwAgAHAAXABuAEUATgAyAE8AXABuAHQAIABOADIATwBcAG4ARQBfAHsATgAyAE8AfQA9AFwAXABzAHUAbQBfAHsAYwB9AFwAXABzAHUAbQBfAHsAcAB9ACgATQBfAHsAbABlAGEAYwBoACwAYwBwAH0AXABcAHQAaQBtAGUAcwAgAEUARgBfAHsAbABlAGEAYwBoAH0AXABcAHQAaQBtAGUAcwAgAEMAXwB7AE4AMgBPAH0AXABcAHQAaQBtAGUAcwAgADEAMABeAHsALQAzAH0AKQBcAG4ATQBfAGwAZQBhAGMAaABjAHAAIAA9ACAAbQBhAHMAcwAgAG8AZgAgAG4AaQB0AHIAbwBnAGUAbgAgAGwAbwBzAHQAIAB0AGgAcgBvAHUAZwBoACAAbABlAGEAYwBoAGkAbgBnACAAYQBuAGQAIAByAHUAbgBvAGYAZgAgAGYAcgBvAG0AIAB0AGgAZQAgAGMAcgBvAHAAIAByAGUAcwBpAGQAdQBlACAAYwAgAG8AcgAgAHAAYQBzAHQAdQByAGUAIAByAGUAcwBpAGQAdQBlACAAcAAgACgAawBnACAATgApAFwAbgBFAEYAXwBsAGUAYQBjAGgAIAA9ACAAZQBtAGkAcwBzAGkAbwBuACAAZgBhAGMAdABvAHIAIABmAG8AcgAgAGwAZQBhAGMAaABpAG4AZwAgAGEAbgBkACAAcgB1AG4AbwBmAGYAIAAoAGsAZwAgAE4AMgBPAC0ATgAvAGsAZwAgAE4AKQBcAG4AQwBOADIATwAgAD0AIABmAGEAYwB0AG8AcgAgAHQAbwAgAGMAbwBuAHYAZQByAHQAIABlAGwAZQBtAGUAbgB0AGEAbAAgAG0AYQBzAHMAIABvAGYAIABuAGkAdAByAG8AdQBzACAAbwB4AGkAZABlACAAdABvACAAbQBvAGwAZQBjAHUAbABhAHIAIABtAGEAcwBzACAAKABkAGkAbQBlAG4AcwBpAG8AbgBsAGUAcwBzACkAXABuAGMAIAA9ACAAQwByAG8AcAAgAHIAZQBzAGkAZAB1AGUAIAB0AHkAcABlAFwAbgBwACAAPQAgAFAAYQBzAHQAdQByAGUAIAByAGUAcwBpAGQAdQBlACAAdAB5AHAAZQBcAG4ALQAtAC0ALQAtAC0ALQAtAC0ALQAtAC0ALQAtAC0ALQAtAC0ALQAtAC0ALQAtAC0ALQAtAC0ALQAtAC0ALQAtAC0ALQAtAC0ALQAtAFwAbgAqAC8AXABuAFwAbgBWAEUARQBSAEcAXwA2AF8AMwBfADEAXwAxAF8AXwAxAF8AXwBMAGUAYQBjAGgAaQBuAGcAQQBuAGQAUgB1AG4AbwBmAGYARQBtAGkAcwBzAGkAbwBuAHMAQwByAG8AcABBAG4AZABQAGEAcwB0AHUAcgBlAFIAZQBzAGkAZAB1AGUAXABuACAAIAA9AEwAQQBNAEIARABBACgAXABuACAAIAAgACAATQBfAGwAZQBhAGMAaABjAHAALAAgAEUARgBfAGwAZQBhAGMAaAAsACAAQwBfAE4AMgBPACwAXABuACAAIAAgACAAKABNAF8AbABlAGEAYwBoAGMAcAAgACoAIABFAEYAXwBsAGUAYQBjAGgAKQAgACoAIABDAF8ATgAyAE8AIAAqACAAMQAwAF4AKAAtADMAKQBcAG4AIAAgACkAXABuADsAXABuAFwAbgBWAEUARQBSAEcAXwA2AF8AMwBfADEAXwAxAF8AXwAxAF8AXwBMAGUAYQBjAGgAaQBuAGcAQQBuAGQAUgB1AG4AbwBmAGYARQBtAGkAcwBzAGkAbwBuAHMAQwByAG8AcABBAG4AZABQAGEAcwB0AHUAcgBlAFIAZQBzAGkAZAB1AGUAXwBUAGkAdABsAGUAXABuACAAIAA9AEwAQQBNAEIARABBACgAXAAiAE4AaQB0AHIAbwB1AHMAIABvAHgAaQBkAGUAIABsAGUAYQBjAGgAaQBuAGcAIABhAG4AZAAgAHIAdQBuAG8AZgBmACAAZQBtAGkAcwBzAGkAbwBuAHMAIABmAHIAbwBtACAAYwByAG8AcAAgAGEAbgBkACAAcABhAHMAdAB1AHIAZQAgAHIAZQBzAGkAZAB1AGUAcwAgAHIAZQB0AHUAcgBuAGUAZAAgAHQAbwAgAHQAaABlACAAcwBvAGkAbABcACIAKQA7AFwAbgBcAG4AVgBFAEUAUgBHAF8ANgBfADMAXwAxAF8AMQBfAF8AMQBfAF8ATABlAGEAYwBoAGkAbgBnAEEAbgBkAFIAdQBuAG8AZgBmAEUAbQBpAHMAcwBpAG8AbgBzAEMAcgBvAHAAQQBuAGQAUABhAHMAdAB1AHIAZQBSAGUAcwBpAGQAdQBlAF8AVgBhAHIAaQBhAGIAbABlAFwAbgAgACAAPQBMAEEATQBCAEQAQQAoAFwAIgBFAE4AMgBPAFwAIgApADsAXABuAFwAbgBWAEUARQBSAEcAXwA2AF8AMwBfADEAXwAxAF8AXwAxAF8AXwBMAGUAYQBjAGgAaQBuAGcAQQBuAGQAUgB1AG4AbwBmAGYARQBtAGkAcwBzAGkAbwBuAHMAQwByAG8AcABBAG4AZABQAGEAcwB0AHUAcgBlAFIAZQBzAGkAZAB1AGUAXwBVAG4AaQB0AFwAbgAgACAAPQBMAEEATQBCAEQAQQAoAFwAIgB0ACAATgAyAE8AXAAiACkAOwBcAG4AXABuAFYARQBFAFIARwBfADYAXwAzAF8AMQBfADEAXwBfADEAXwBfAEwAZQBhAGMAaABpAG4AZwBBAG4AZABSAHUAbgBvAGYAZgBFAG0AaQBzAHMAaQBvAG4AcwBDAHIAbwBwAEEAbgBkAFAAYQBzAHQAdQByAGUAUgBlAHMAaQBkAHUAZQBfAFMAbwB1AHIAYwBlAFwAbgAgACAAPQBMAEEATQBCAEQAQQAoAFwAIgBWAEUARQBSAEcAIAAyADAAMgA2ADoAIAA2AC4AMwAuADEALgAxACwAIABFAHEAdQBhAHQAaQBvAG4AIAAoADEAKQBcACIAKQA7AFwAbgBcAG4AVgBFAEUAUgBHAF8ANgBfADMAXwAxAF8AMQBfAF8AMQBfAF8ATABlAGEAYwBoAGkAbgBnAEEAbgBkAFIAdQBuAG8AZgBmAEUAbQBpAHMAcwBpAG8AbgBzAEMAcgBvAHAAQQBuAGQAUABhAHMAdAB1AHIAZQBSAGUAcwBpAGQAdQBlAF8ATgBJAFIAUgBlAGYAZQByAGUAbgBjAGUAXABuACAAIAA9AEwAQQBNAEIARABBACgAXAAiAFwAIgApADsAXABuAFwAbgBWAEUARQBSAEcAXwA2AF8AMwBfADEAXwAxAF8AXwAxAF8AXwBMAGUAYQBjAGgAaQBuAGcAQQBuAGQAUgB1AG4AbwBmAGYARQBtAGkAcwBzAGkAbwBuAHMAQwByAG8AcABBAG4AZABQAGEAcwB0AHUAcgBlAFIAZQBzAGkAZAB1AGUAXwBMAGEAdABlAHgARQBxAHUAYQB0AGkAbwBuAFwAbgAgACAAPQBMAEEATQBCAEQAQQAoAFwAIgBFAF8AewBOADIATwB9AD0AXABcAHMAdQBtAFwAXABuAG8AbABpAG0AaQB0AHMAXwBjAFwAXABzAHUAbQBcAFwAbgBvAGwAaQBtAGkAdABzAF8AcAAoAE0AXwB7AGwAZQBhAGMAaAAsAGMAcAB9AFwAXAB0AGkAbQBlAHMAIABFAEYAXwB7AGwAZQBhAGMAaAB9AFwAXAB0AGkAbQBlAHMAIABDAF8AewBOADIATwB9AFwAXAB0AGkAbQBlAHMAIAAxADAAXgB7AC0AMwB9ACkAXAAiACkAOwBcAG4AXABuAFYARQBFAFIARwBfADYAXwAzAF8AMQBfADEAXwBfADEAXwBfAEwAZQBhAGMAaABpAG4AZwBBAG4AZABSAHUAbgBvAGYAZgBFAG0AaQBzAHMAaQBvAG4AcwBDAHIAbwBwAEEAbgBkAFAAYQBzAHQAdQByAGUAUgBlAHMAaQBkAHUAZQBfAEEAcgBnAHUAbQBlAG4AdABzAFwAbgAgACAAPQBMAEEATQBCAEQAQQAoAFwAbgAgACAAIAAgAE0AQQBLAEUAQQBSAFIAQQBZACgANQAsACAANAAsACAAXABuACAAIAAgACAAIAAgAEwAQQBNAEIARABBACgAcgAsAGMALAAgAFwAbgAgACAAIAAgACAAIAAgACAASQBOAEQARQBYACgAewBcAG4AIAAgACAAIAAgACAAIAAgACAAIABcACIATQBfAGwAZQBhAGMAaABjAHAAXAAiACwAXAAiAG0AYQBzAHMAIABvAGYAIABuAGkAdAByAG8AZwBlAG4AIABsAG8AcwB0ACAAdABoAHIAbwB1AGcAaAAgAGwAZQBhAGMAaABpAG4AZwAgAGEAbgBkACAAcgB1AG4AbwBmAGYAIABmAHIAbwBtACAAdABoAGUAIABjAHIAbwBwACAAcgBlAHMAaQBkAHUAZQAgAGMAIABvAHIAIABwAGEAcwB0AHUAcgBlACAAcgBlAHMAaQBkAHUAZQAgAHAAXAAiACwAIABcACIAawBnACAATgBcACIALAAgAFwAIgBDAGEAbABjAHUAbABhAHQAZQBkACAAZgByAG8AbQAgADYALgAzAC4AMQAuADEAIAAoADIAKQBcACIAOwBcAG4AIAAgACAAIAAgACAAIAAgACAAIABcACIARQBGAF8AbABlAGEAYwBoAFwAIgAsAFwAIgBlAG0AaQBzAHMAaQBvAG4AIABmAGEAYwB0AG8AcgAgAGYAbwByACAAbABlAGEAYwBoAGkAbgBnACAAYQBuAGQAIAByAHUAbgBvAGYAZgBcACIALAAgAFwAIgBrAGcAIABOADIATwAtAE4ALwBrAGcAIABOAFwAIgAsACAAXAAiAEMAbwBuAHMAdABhAG4AdABcACIAOwBcAG4AIAAgACAAIAAgACAAIAAgACAAIABcACIAQwBfAE4AMgBPAFwAIgAsAFwAIgBmAGEAYwB0AG8AcgAgAHQAbwAgAGMAbwBuAHYAZQByAHQAIABlAGwAZQBtAGUAbgB0AGEAbAAgAG0AYQBzAHMAIABvAGYAIABuAGkAdAByAG8AdQBzACAAbwB4AGkAZABlACAAdABvACAAbQBvAGwAZQBjAHUAbABhAHIAIABtAGEAcwBzAFwAIgAsACAAXAAiAGQAaQBtAGUAbgBzAGkAbwBuAGwAZQBzAHMAXAAiACwAIABcACIAQwBvAG4AcwB0AGEAbgB0AFwAIgA7AFwAbgAgACAAIAAgACAAIAAgACAAIAAgAFwAIgBjAFwAIgAsAFwAIgBDAHIAbwBwACAAcgBlAHMAaQBkAHUAZQAgAHQAeQBwAGUAXAAiACwAIABcACIAXAAiACwAIABcACIASQBuAHAAdQB0AFwAIgA7AFwAbgAgACAAIAAgACAAIAAgACAAIAAgAFwAIgBwAFwAIgAsAFwAIgBQAGEAcwB0AHUAcgBlACAAcgBlAHMAaQBkAHUAZQAgAHQAeQBwAGUAXAAiACwAIABcACIAXAAiACwAIABcACIASQBuAHAAdQB0AFwAIgBcAG4AIAAgACAAIAAgACAAIAAgAH0ALAAgAHIALAAgAGMAKQBcAG4AIAAgACAAIAAgACAAKQBcAG4AIAAgACAAIAApAFwAbgAgACAAKQA7AFwAbgBcAG4ALwAqACAAXABuAC0ALQAtAC0ALQAtAC0ALQAtAC0ALQAtAC0ALQAtAC0ALQAtAC0ALQAtAC0ALQAtAC0ALQAtAC0ALQAtAC0ALQAtAC0ALQAtAC0ALQBcAG4AVgBFAEUAUgBHAF8ANgBfADMAXwAxAF8AMQBfAF8AMgBfAF8ATQBhAHMAcwBPAGYATgBpAHQAcgBvAGcAZQBuAEwAbwBzAHQAVABoAHIAbwB1AGcAaABMAGUAYQBjAGgAaQBuAGcAQQBuAGQAUgB1AG4AbwBmAGYAXABuAE0AYQBzAHMAIABvAGYAIABuAGkAdAByAG8AZwBlAG4AIABsAG8AcwB0ACAAdABoAHIAbwB1AGcAaAAgAGwAZQBhAGMAaABpAG4AZwAgAGEAbgBkACAAcgB1AG4AbwBmAGYAXABuAE0AXwBsAGUAYQBjAGgAYwBwAFwAbgBrAGcAIABOAFwAbgBNAF8AewBsAGUAYQBjAGgALABjAHAAfQA9AE0AXwB7AGMAcAB9AFwAXAB0AGkAbQBlAHMAIABGAHIAYQBjAFcARQBUAF8AewBqAH0AXABcAHQAaQBtAGUAcwAgAEYAcgBhAGMATABFAEEAQwBIAFwAbgBNAF8AYwBwACAAPQAgAG0AYQBzAHMAIABvAGYAIABuAGkAdAByAG8AZwBlAG4AIABpAG4AIABjAHIAbwBwACAAcgBlAHMAaQBkAHUAZQBzACAAYwAgAG8AcgAgAHAAYQBzAHQAdQByAGUAIAByAGUAcwBpAGQAdQBlAHMAIABwACAAYQBwAHAAbABpAGUAZAAgAHQAbwAgAHMAbwBpAGwAcwAgACgAawBnACAATgApAFwAbgBGAHIAYQBjAFcARQBUAGoAIAA9ACAAZgByAGEAYwB0AGkAbwBuACAAbwBmACAATgAgAHQAaABhAHQAIABpAHMAIABhAHYAYQBpAGwAYQBiAGwAZQAgAGYAbwByACAAbABlAGEAYwBoAGkAbgBnACAAYQBuAGQAIAByAHUAbgBvAGYAZgAgAGYAcgBvAG0AIABwAHIAbwBkAHUAYwB0AGkAbwBuACAAcwB5AHMAdABlAG0AIABqACAAKABkAGkAbQBlAG4AcwBpAG8AbgBsAGUAcwBzACkAXABuAEYAcgBhAGMATABFAEEAQwBIACAAPQAgAGYAcgBhAGMAdABpAG8AbgAgAG8AZgAgAE4AIAB0AGgAYQB0ACAAaQBzACAAbABvAHMAdAAgAHQAaAByAG8AdQBnAGgAIABsAGUAYQBjAGgAaQBuAGcAIABhAG4AZAAgAHIAdQBuAG8AZgBmACAAKABkAGkAbQBlAG4AcwBpAG8AbgBsAGUAcwBzACkAXABuAGMAIAA9ACAAQwByAG8AcAAgAHIAZQBzAGkAZAB1AGUAIAB0AHkAcABlAFwAbgBwACAAPQAgAFAAYQBzAHQAdQByAGUAIAByAGUAcwBpAGQAdQBlACAAdAB5AHAAZQBcAG4AaQByACAAPQAgAGkAcgByAGkAZwBhAHQAaQBvAG4AIAB0AHkAcABlAFwAbgAtAC0ALQAtAC0ALQAtAC0ALQAtAC0ALQAtAC0ALQAtAC0ALQAtAC0ALQAtAC0ALQAtAC0ALQAtAC0ALQAtAC0ALQAtAC0ALQAtAC0AXABuACoALwBcAG4AXABuAFYARQBFAFIARwBfADYAXwAzAF8AMQBfADEAXwBfADIAXwBfAE0AYQBzAHMATwBmAE4AaQB0AHIAbwBnAGUAbgBMAG8AcwB0AFQAaAByAG8AdQBnAGgATABlAGEAYwBoAGkAbgBnAEEAbgBkAFIAdQBuAG8AZgBmAFwAbgAgACAAPQBMAEEATQBCAEQAQQAoAFwAbgAgACAAIAAgAE0AXwBjAHAALAAgAEYAcgBhAGMAVwBFAFQAXwBqACwAIABGAHIAYQBjAEwARQBBAEMASAAsAFwAbgAgACAAIAAgAE0AXwBjAHAAIAAqACAARgByAGEAYwBXAEUAVABfAGoAIAAqACAARgByAGEAYwBMAEUAQQBDAEgAXABuACAAIAApAFwAbgA7AFwAbgBcAG4AVgBFAEUAUgBHAF8ANgBfADMAXwAxAF8AMQBfAF8AMgBfAF8ATQBhAHMAcwBPAGYATgBpAHQAcgBvAGcAZQBuAEwAbwBzAHQAVABoAHIAbwB1AGcAaABMAGUAYQBjAGgAaQBuAGcAQQBuAGQAUgB1AG4AbwBmAGYAXwBUAGkAdABsAGUAXABuACAAIAA9AEwAQQBNAEIARABBACgAXAAiAE0AYQBzAHMAIABvAGYAIABuAGkAdAByAG8AZwBlAG4AIABsAG8AcwB0ACAAdABoAHIAbwB1AGcAaAAgAGwAZQBhAGMAaABpAG4AZwAgAGEAbgBkACAAcgB1AG4AbwBmAGYAXAAiACkAOwBcAG4AXABuAFYARQBFAFIARwBfADYAXwAzAF8AMQBfADEAXwBfADIAXwBfAE0AYQBzAHMATwBmAE4AaQB0AHIAbwBnAGUAbgBMAG8AcwB0AFQAaAByAG8AdQBnAGgATABlAGEAYwBoAGkAbgBnAEEAbgBkAFIAdQBuAG8AZgBmAF8AVgBhAHIAaQBhAGIAbABlAFwAbgAgACAAPQBMAEEATQBCAEQAQQAoAFwAIgBNAF8AbABlAGEAYwBoAGMAcABcACIAKQA7AFwAbgBcAG4AVgBFAEUAUgBHAF8ANgBfADMAXwAxAF8AMQBfAF8AMgBfAF8ATQBhAHMAcwBPAGYATgBpAHQAcgBvAGcAZQBuAEwAbwBzAHQAVABoAHIAbwB1AGcAaABMAGUAYQBjAGgAaQBuAGcAQQBuAGQAUgB1AG4AbwBmAGYAXwBVAG4AaQB0AFwAbgAgACAAPQBMAEEATQBCAEQAQQAoAFwAIgBrAGcAIABOAFwAIgApADsAXABuAFwAbgBWAEUARQBSAEcAXwA2AF8AMwBfADEAXwAxAF8AXwAyAF8AXwBNAGEAcwBzAE8AZgBOAGkAdAByAG8AZwBlAG4ATABvAHMAdABUAGgAcgBvAHUAZwBoAEwAZQBhAGMAaABpAG4AZwBBAG4AZABSAHUAbgBvAGYAZgBfAFMAbwB1AHIAYwBlAFwAbgAgACAAPQBMAEEATQBCAEQAQQAoAFwAIgBWAEUARQBSAEcAIAAyADAAMgA2ADoAIAA2AC4AMwAuADEALgAxACwAIABFAHEAdQBhAHQAaQBvAG4AIAAoADIAKQBcACIAKQA7AFwAbgBcAG4AVgBFAEUAUgBHAF8ANgBfADMAXwAxAF8AMQBfAF8AMgBfAF8ATQBhAHMAcwBPAGYATgBpAHQAcgBvAGcAZQBuAEwAbwBzAHQAVABoAHIAbwB1AGcAaABMAGUAYQBjAGgAaQBuAGcAQQBuAGQAUgB1AG4AbwBmAGYAXwBOAEkAUgBSAGUAZgBlAHIAZQBuAGMAZQBcAG4AIAAgAD0ATABBAE0AQgBEAEEAKABcACIAXAAiACkAOwBcAG4AXABuAFYARQBFAFIARwBfADYAXwAzAF8AMQBfADEAXwBfADIAXwBfAE0AYQBzAHMATwBmAE4AaQB0AHIAbwBnAGUAbgBMAG8AcwB0AFQAaAByAG8AdQBnAGgATABlAGEAYwBoAGkAbgBnAEEAbgBkAFIAdQBuAG8AZgBmAF8ATABhAHQAZQB4AEUAcQB1AGEAdABpAG8AbgBcAG4AIAAgAD0ATABBAE0AQgBEAEEAKABcACIATQBfAHsAbABlAGEAYwBoACwAYwBwAH0APQBNAF8AewBjAHAAfQBcAFwAdABpAG0AZQBzACAARgByAGEAYwBXAEUAVABfAHsAagB9AFwAXAB0AGkAbQBlAHMAIABGAHIAYQBjAEwARQBBAEMASABcACIAKQA7AFwAbgBcAG4AVgBFAEUAUgBHAF8ANgBfADMAXwAxAF8AMQBfAF8AMgBfAF8ATQBhAHMAcwBPAGYATgBpAHQAcgBvAGcAZQBuAEwAbwBzAHQAVABoAHIAbwB1AGcAaABMAGUAYQBjAGgAaQBuAGcAQQBuAGQAUgB1AG4AbwBmAGYAXwBBAHIAZwB1AG0AZQBuAHQAcwBcAG4AIAAgAD0ATABBAE0AQgBEAEEAKABcAG4AIAAgACAAIABNAEEASwBFAEEAUgBSAEEAWQAoADcALAAgADQALAAgAFwAbgAgACAAIAAgACAAIABMAEEATQBCAEQAQQAoAHIALABjACwAIABcAG4AIAAgACAAIAAgACAAIAAgAEkATgBEAEUAWAAoAHsAXABuACAAIAAgACAAIAAgACAAIAAgACAAXAAiAE0AXwBjAHAAXAAiACwAXAAiAG0AYQBzAHMAIABvAGYAIABuAGkAdAByAG8AZwBlAG4AIABpAG4AIABjAHIAbwBwACAAcgBlAHMAaQBkAHUAZQBzACAAYwAgAG8AcgAgAHAAYQBzAHQAdQByAGUAIAByAGUAcwBpAGQAdQBlAHMAIABwACAAYQBwAHAAbABpAGUAZAAgAHQAbwAgAHMAbwBpAGwAcwBcACIALAAgAFwAIgBrAGcAIABOAFwAIgAsACAAXAAiAEMAYQBsAGMAIABmAHIAbwBtACAANgAuADEALgAxAC4AMQAgACgAMgApACAAYQBuAGQAIAA2AC4AMgAuADEALgAxACAAKAAyACkAXAAiADsAXABuACAAIAAgACAAIAAgACAAIAAgACAAXAAiAEYAcgBhAGMAVwBFAFQAXwBqAFwAIgAsAFwAIgBmAHIAYQBjAHQAaQBvAG4AIABvAGYAIABOACAAdABoAGEAdAAgAGkAcwAgAGEAdgBhAGkAbABhAGIAbABlACAAZgBvAHIAIABsAGUAYQBjAGgAaQBuAGcAIABhAG4AZAAgAHIAdQBuAG8AZgBmACAAZgByAG8AbQAgAHQAaABlACAAbABlAGEAYwBoAGkAbgBnACAAegBvAG4AZQAgAHoAIABhAG4AZAAgAGkAcgByAGkAZwBhAHQAaQBvAG4AIAB0AHkAcABlACAAaQByAFwAIgAsACAAXAAiAGYAcgBhAGMAdABpAG8AbgBcACIALAAgAFwAIgBDAG8AbgBzAHQAYQBuAHQAXAAiADsAXABuACAAIAAgACAAIAAgACAAIAAgACAAXAAiAEYAcgBhAGMATABFAEEAQwBIAFwAIgAsAFwAIgBmAHIAYQBjAHQAaQBvAG4AIABvAGYAIABOACAAdABoAGEAdAAgAGkAcwAgAGwAbwBzAHQAIAB0AGgAcgBvAHUAZwBoACAAbABlAGEAYwBoAGkAbgBnACAAYQBuAGQAIAByAHUAbgBvAGYAZgBcACIALAAgAFwAIgBmAHIAYQBjAHQAaQBvAG4AXAAiACwAIABcACIAQwBvAG4AcwB0AGEAbgB0AFwAIgA7AFwAbgAgACAAIAAgACAAIAAgACAAIAAgAFwAIgB6AFwAIgAsACAAXAAiAEwAbwBjAGEAdABpAG8AbgAgAGkAbgAgAGwAZQBhAGMAaABpAG4AZwAgAHoAbwBuAGUAXAAiACwAIABcACIAXAAiACwAIABcACIASQBuAHAAdQB0AFwAIgA7AFwAbgAgACAAIAAgACAAIAAgACAAIAAgAFwAIgBjAFwAIgAsAFwAIgBDAHIAbwBwACAAcgBlAHMAaQBkAHUAZQAgAHQAeQBwAGUAXAAiACwAIABcACIAXAAiACwAIABcACIASQBuAHAAdQB0AFwAIgA7AFwAbgAgACAAIAAgACAAIAAgACAAIAAgAFwAIgBwAFwAIgAsAFwAIgBQAGEAcwB0AHUAcgBlACAAcgBlAHMAaQBkAHUAZQAgAHQAeQBwAGUAXAAiACwAIABcACIAXAAiACwAIABcACIASQBuAHAAdQB0AFwAIgA7AFwAbgAgACAAIAAgACAAIAAgACAAIAAgAFwAIgBpAHIAXAAiACwAIABcACIASQByAHIAaQBnAGEAdABpAG8AbgAgAHQAeQBwAGUAXAAiACwAIABcACIAXAAiACwAIABcACIASQBuAHAAdQB0AFwAIgBcAG4AIAAgACAAIAAgACAAIAAgAH0ALAAgAHIALAAgAGMAKQBcAG4AIAAgACAAIAAgACAAKQBcAG4AIAAgACAAIAApAFwAbgAgACAAKQA7AFwAbgBcAG4AIAAgAFYARQBFAFIARwBfADYAXwAzAF8AMQBfADEAXwBfADIAXwBfAE0AYQBzAHMATwBmAE4AaQB0AHIAbwBnAGUAbgBMAG8AcwB0AFQAaAByAG8AdQBnAGgATABlAGEAYwBoAGkAbgBnAEEAbgBkAFIAdQBuAG8AZgBmAF8AVgBhAHIAaQBhAHQAaQBvAG4AXABuACAAIAA9AEwAQQBNAEIARABBACgAXAAiAFwAIgApADsAXABuAFwAbgBcAG4AXABuACIAfQAsAHsAIgBwAGEAdABoACIAOgAiAC8AcAByAG8AagBlAGMAdABzAC8AQQBnAFIAZQBzAGkAZAB1AGUAXwBFAHEAdQBhAHQAaQBvAG4AcwBfAFAAYQBzAHQAdQByAGUAUgBlAHMAaQBkAHUAZQAiACwAIgB0AGUAeAB0ACIAOgAiAC8AKgAgAFwAbgAtAC0ALQAtAC0ALQAtAC0ALQAtAC0ALQAtAC0ALQAtAC0ALQAtAC0ALQAtAC0ALQAtAC0ALQAtAC0ALQAtAC0ALQAtAC0ALQAtAC0AXABuAFYARQBFAFIARwBfADYAXwAyAF8AMQBfADEAXwBfADEAXwBfAE4AaQB0AHIAbwB1AHMATwB4AGkAZABlAEUAbQBpAHMAcwBpAG8AbgBzAEYAcgBvAG0AUABhAHMAdAB1AHIAZQBSAGUAcwBpAGQAdQBlAHMAXABuAE4AaQB0AHIAbwB1AHMAIABvAHgAaQBkAGUAIABlAG0AaQBzAHMAaQBvAG4AcwAgAGYAcgBvAG0AIAB0AGgAZQAgAHIAZQB0AHUAcgBuACAAbwBmACAAcABhAHMAdAB1AHIAZQAgAHIAZQBzAGkAZAB1AGUAcwAgAGYAcgBvAG0AIABhAGwAbAAgAHAAYQBzAHQAdQByAGUAIAB0AHkAcABlAHMAIAB0AG8AIAB0AGgAZQAgAHMAbwBpAGwAXABuAEUATgAyAE8AXABuAHQAIABOADIATwBcAG4ARQBfAHsATgAyAE8AfQA9AFwAXABzAHUAbQBfAHsAcAB9AFwAXABsAGUAZgB0ACgATQBfAHAAXABcAHQAaQBtAGUAcwAgAEUARgBfAHsATgBpAH0AXABcAHQAaQBtAGUAcwAgAEMAXwB7AE4AMgBPAH0AXABcAHQAaQBtAGUAcwB7ADEAMAB9AF4AewAtADMAfQBcAFwAcgBpAGcAaAB0ACkAXABuAE0AcAAgAD0AIABtAGEAcwBzACAAbwBmACAAbgBpAHQAcgBvAGcAZQBuACAAaQBuACAAcABhAHMAdAB1AHIAZQAgAHAAIAByAGUAcwBpAGQAdQBlAHMAIAByAGUAdAB1AHIAbgBlAGQAIAB0AG8AIAB0AGgAZQAgAHMAbwBpAGwAIAAoAGsAZwAgAE4AKQBcAG4ARQBGAE4AaQAgAD0AIABlAG0AaQBzAHMAaQBvAG4AIABmAGEAYwB0AG8AcgAgAGYAbwByACAAYwByAG8AcAAgAHIAZQBzAGkAZAB1AGUAcwAgAHIAZQB0AHUAcgBuAGUAZAAgAHQAbwAgAHQAaABlACAAcwBvAGkAbAAgAGkAbgAgAGMAbABpAG0AYQB0AGUAIAB6AG8AbgBlACAAaQAgACgAawBnACAATgAyAE8ALQBOAC8AawBnACAATgApAFwAbgBDAE4AMgBPACAAPQAgAGYAYQBjAHQAbwByACAAdABvACAAYwBvAG4AdgBlAHIAdAAgAGUAbABlAG0AZQBuAHQAYQBsACAAbQBhAHMAcwAgAG8AZgAgAG4AaQB0AHIAbwB1AHMAIABvAHgAaQBkAGUAIAB0AG8AIABtAG8AbABlAGMAdQBsAGEAcgAgAG0AYQBzAHMAIAAoAGQAaQBtAGUAbgBzAGkAbwBuAGwAZQBzAHMAKQBcAG4AcAAgAD0AIABQAGEAcwB0AHUAcgBlACAAdAB5AHAAZQBcAG4AaQAgAD0AIABDAGwAaQBtAGEAdABlACAAegBvAG4AZQBcAG4ALQAtAC0ALQAtAC0ALQAtAC0ALQAtAC0ALQAtAC0ALQAtAC0ALQAtAC0ALQAtAC0ALQAtAC0ALQAtAC0ALQAtAC0ALQAtAC0ALQAtAFwAbgAqAC8AXABuAFwAbgBWAEUARQBSAEcAXwA2AF8AMgBfADEAXwAxAF8AXwAxAF8AXwBOAGkAdAByAG8AdQBzAE8AeABpAGQAZQBFAG0AaQBzAHMAaQBvAG4AcwBGAHIAbwBtAFAAYQBzAHQAdQByAGUAUgBlAHMAaQBkAHUAZQBzAFwAbgAgACAAPQBMAEEATQBCAEQAQQAoAFwAbgAgACAAIAAgAE0AXwBwACwAIABFAEYAXwBOAGkALAAgAEMAXwBOADIATwAsAFwAbgAgACAAIAAgACgATQBfAHAAIAAqACAARQBGAF8ATgBpACkAIAAqACAAQwBfAE4AMgBPACAAKgAgADEAMABeACgALQAzACkAXABuACAAIAApADsAXABuAFwAbgBWAEUARQBSAEcAXwA2AF8AMgBfADEAXwAxAF8AXwAxAF8AXwBOAGkAdAByAG8AdQBzAE8AeABpAGQAZQBFAG0AaQBzAHMAaQBvAG4AcwBGAHIAbwBtAFAAYQBzAHQAdQByAGUAUgBlAHMAaQBkAHUAZQBzAF8AVABpAHQAbABlAFwAbgAgACAAPQBMAEEATQBCAEQAQQAoAFwAIgBOAGkAdAByAG8AdQBzACAAbwB4AGkAZABlACAAZQBtAGkAcwBzAGkAbwBuAHMAIABmAHIAbwBtACAAdABoAGUAIAByAGUAdAB1AHIAbgAgAG8AZgAgAHAAYQBzAHQAdQByAGUAIAByAGUAcwBpAGQAdQBlAHMAIABmAHIAbwBtACAAYQBsAGwAIABwAGEAcwB0AHUAcgBlACAAdAB5AHAAZQBzACAAdABvACAAdABoAGUAIABzAG8AaQBsAFwAIgApADsAXABuAFwAbgBWAEUARQBSAEcAXwA2AF8AMgBfADEAXwAxAF8AXwAxAF8AXwBOAGkAdAByAG8AdQBzAE8AeABpAGQAZQBFAG0AaQBzAHMAaQBvAG4AcwBGAHIAbwBtAFAAYQBzAHQAdQByAGUAUgBlAHMAaQBkAHUAZQBzAF8AVgBhAHIAaQBhAGIAbABlAFwAbgAgACAAPQBMAEEATQBCAEQAQQAoAFwAIgBFAE4AMgBPAFwAIgApADsAXABuAFwAbgBWAEUARQBSAEcAXwA2AF8AMgBfADEAXwAxAF8AXwAxAF8AXwBOAGkAdAByAG8AdQBzAE8AeABpAGQAZQBFAG0AaQBzAHMAaQBvAG4AcwBGAHIAbwBtAFAAYQBzAHQAdQByAGUAUgBlAHMAaQBkAHUAZQBzAF8AVQBuAGkAdABcAG4AIAAgAD0ATABBAE0AQgBEAEEAKABcACIAdAAgAE4AMgBPAFwAIgApADsAXABuAFwAbgBWAEUARQBSAEcAXwA2AF8AMgBfADEAXwAxAF8AXwAxAF8AXwBOAGkAdAByAG8AdQBzAE8AeABpAGQAZQBFAG0AaQBzAHMAaQBvAG4AcwBGAHIAbwBtAFAAYQBzAHQAdQByAGUAUgBlAHMAaQBkAHUAZQBzAF8AUwBvAHUAcgBjAGUAXABuACAAIAA9AEwAQQBNAEIARABBACgAXAAiAFYARQBFAFIARwAgADIAMAAyADYAOgAgADYALgAyAC4AMQAuADEALAAgAEUAcQB1AGEAdABpAG8AbgAgACgAMQApAFwAIgApADsAXABuAFwAbgBWAEUARQBSAEcAXwA2AF8AMgBfADEAXwAxAF8AXwAxAF8AXwBOAGkAdAByAG8AdQBzAE8AeABpAGQAZQBFAG0AaQBzAHMAaQBvAG4AcwBGAHIAbwBtAFAAYQBzAHQAdQByAGUAUgBlAHMAaQBkAHUAZQBzAF8ATgBJAFIAUgBlAGYAZQByAGUAbgBjAGUAXABuACAAIAA9AEwAQQBNAEIARABBACgAXAAiAFwAIgApADsAXABuAFwAbgBWAEUARQBSAEcAXwA2AF8AMgBfADEAXwAxAF8AXwAxAF8AXwBOAGkAdAByAG8AdQBzAE8AeABpAGQAZQBFAG0AaQBzAHMAaQBvAG4AcwBGAHIAbwBtAFAAYQBzAHQAdQByAGUAUgBlAHMAaQBkAHUAZQBzAF8ATABhAHQAZQB4AEUAcQB1AGEAdABpAG8AbgBcAG4AIAAgAD0ATABBAE0AQgBEAEEAKABcACIARQBfAHsATgAyAE8AfQA9AFwAXABzAHUAbQBcAFwAbgBvAGwAaQBtAGkAdABzAF8AcABcAFwAbABlAGYAdAAoAE0AXwBwAFwAXAB0AGkAbQBlAHMAIABFAEYAXwB7AE4AaQB9AFwAXAByAGkAZwBoAHQAKQBcAFwAdABpAG0AZQBzACAAQwBfAHsATgAyAE8AfQBcAFwAdABpAG0AZQBzAHsAMQAwAH0AXgB7AC0AMwB9AFwAIgApADsAXABuAFwAbgBWAEUARQBSAEcAXwA2AF8AMgBfADEAXwAxAF8AXwAxAF8AXwBOAGkAdAByAG8AdQBzAE8AeABpAGQAZQBFAG0AaQBzAHMAaQBvAG4AcwBGAHIAbwBtAFAAYQBzAHQAdQByAGUAUgBlAHMAaQBkAHUAZQBzAF8AQQByAGcAdQBtAGUAbgB0AHMAXABuACAAIAA9AEwAQQBNAEIARABBACgAXABuACAAIAAgACAATQBBAEsARQBBAFIAUgBBAFkAKAA1ACwAIAA0ACwAIABcAG4AIAAgACAAIAAgACAATABBAE0AQgBEAEEAKAByACwAYwAsACAAXABuACAAIAAgACAAIAAgACAAIABJAE4ARABFAFgAKAB7AFwAbgAgACAAIAAgACAAIAAgACAAIAAgAFwAIgBNAF8AcABcACIALABcACIAbQBhAHMAcwAgAG8AZgAgAG4AaQB0AHIAbwBnAGUAbgAgAGkAbgAgAHAAYQBzAHQAdQByAGUAIABwACAAcgBlAHMAaQBkAHUAZQBzACAAcgBlAHQAdQByAG4AZQBkACAAdABvACAAdABoAGUAIABzAG8AaQBsAFwAIgAsACAAXAAiAGsAZwAgAE4AXAAiACwAIABcACIAQwBhAGwAYwB1AGwAYQB0AGUAZAAgAGYAcgBvAG0AIAA2AC4AMgAuADEALgAxACAAKAAyACkAXAAiADsAXABuACAAIAAgACAAIAAgACAAIAAgACAAXAAiAEUARgBfAE4AaQBcACIALABcACIAZQBtAGkAcwBzAGkAbwBuACAAZgBhAGMAdABvAHIAIABmAG8AcgAgAGMAcgBvAHAAIAByAGUAcwBpAGQAdQBlAHMAIAByAGUAdAB1AHIAbgBlAGQAIAB0AG8AIAB0AGgAZQAgAHMAbwBpAGwAIABpAG4AIABjAGwAaQBtAGEAdABlACAAegBvAG4AZQAgAGkAXAAiACwAIABcACIAawBnACAATgAyAE8ALQBOAC8AawBnACAATgBcACIALAAgAFwAIgBDAG8AbgBzAHQAYQBuAHQAXAAiADsAXABuACAAIAAgACAAIAAgACAAIAAgACAAXAAiAEMAXwBOADIATwBcACIALABcACIAZgBhAGMAdABvAHIAIAB0AG8AIABjAG8AbgB2AGUAcgB0ACAAZQBsAGUAbQBlAG4AdABhAGwAIABtAGEAcwBzACAAbwBmACAAbgBpAHQAcgBvAHUAcwAgAG8AeABpAGQAZQAgAHQAbwAgAG0AbwBsAGUAYwB1AGwAYQByACAAbQBhAHMAcwBcACIALAAgAFwAIgBkAGkAbQBlAG4AcwBpAG8AbgBsAGUAcwBzAFwAIgAsACAAXAAiAEMAbwBuAHMAdABhAG4AdABcACIAOwBcAG4AIAAgACAAIAAgACAAIAAgACAAIABcACIAcABcACIALABcACIAUABhAHMAdAB1AHIAZQAgAHQAeQBwAGUAXAAiACwAIABcACIAXAAiACwAIABcACIASQBuAHAAdQB0AFwAIgA7AFwAbgAgACAAIAAgACAAIAAgACAAIAAgAFwAIgBpAFwAIgAsAFwAIgBXAGUAdAAgAG8AcgAgAGQAcgB5ACAAYwBsAGkAbQBhAHQAZQAgAHoAbwBuAGUAXAAiACwAIABcACIAXAAiACwAIABcACIASQBuAHAAdQB0AFwAIgBcAG4AIAAgACAAIAAgACAAIAAgAH0ALAAgAHIALAAgAGMAKQBcAG4AIAAgACAAIAAgACAAKQBcAG4AIAAgACAAIAApAFwAbgAgACAAKQA7AFwAbgBcAG4ALwAqACAAXABuAC0ALQAtAC0ALQAtAC0ALQAtAC0ALQAtAC0ALQAtAC0ALQAtAC0ALQAtAC0ALQAtAC0ALQAtAC0ALQAtAC0ALQAtAC0ALQAtAC0ALQBcAG4AVgBFAEUAUgBHAF8ANgBfADIAXwAxAF8AMQBfAF8AMgBfAF8ATQBhAHMAcwBPAGYATgBpAHQAcgBvAGcAZQBuAEkAbgBQAGEAcwB0AHUAcgBlAFIAZQBzAGkAZAB1AGUAcwBcAG4ATQBhAHMAcwAgAG8AZgAgAG4AaQB0AHIAbwBnAGUAbgAgAGkAbgAgAHAAYQBzAHQAdQByAGUAIAByAGUAcwBpAGQAdQBlAHMAIAByAGUAdAB1AHIAbgBlAGQAIAB0AG8AIAB0AGgAZQAgAHMAbwBpAGwAXABuAE0AcABcAG4AawBnACAATgBcAG4ATQBfAHAAIAA9ACAAKABBAF8AcAAgANcAKABZAF8AcAAgAFwAXAB0AGkAbQBlAHMAIAAxADAAXgB7AC0AMwB9ACkAIABcAFwAdABpAG0AZQBzACAAKAAxAC0AIABGAEYATwBEAF8AcAApACAAXABcAHQAaQBtAGUAcwAgAE4AQwBfAHsAQQBHAHAAfQApACAAKwAgACgAQQBfAHAAIABcAFwAdABpAG0AZQBzACAAKABZAF8AcAAgAFwAXAB0AGkAbQBlAHMAIAAxADAAXgB7AC0AMwB9ACkAXABcAHQAaQBtAGUAcwAgAFIAXwB7AEIARwBwAH0AIABcAFwAdABpAG0AZQBzACAATgBDAF8AewBCAEcAcAB9ACkAXABuAEEAXwBwACAAPQAgAGEAcgBlAGEAIABvAGYAIABwAGEAcwB0AHUAcgBlACAAcgBlAG4AZQB3AGUAZAAgAG8AcgAgAHIAZQBtAG8AdgBlAGQAIAAoAGgAYQApAFwAbgBZAHAAIAA9ACAAYQB2AGUAcgBhAGcAZQAgAHkAaQBlAGwAZAAgAG8AZgAgAHAAYQBzAHQAdQByAGUAIABjAHIAbwBwACAAKAB0ACAARABNAC8AaABhACkAXABuAE4AQwBBAEcAcAAgAD0AIABOACAAYwBvAG4AdABlAG4AdAAgAG8AZgAgAGEAYgBvAHYAZQAtAGcAcgBvAHUAbgBkACAAcABhAHMAdAB1AHIAZQAgAHIAZQBzAGkAZAB1AGUAIAAoAGsAZwAgAE4ALwBrAGcAIABEAE0AKQBcAG4AUgBfAEIARwBwACAAPQAgAGIAZQBsAG8AdwAtAGcAcgBvAHUAbgBkACAAcgBlAHMAaQBkAHUAZQAgAHQAbwAgAGEAYgBvAHYAZQAtAGcAcgBvAHUAbgBkACAAcgBlAHMAaQBkAHUAZQAgAHIAYQB0AGkAbwAgAGYAbwByACAAcABhAHMAdAB1AHIAZQAgAGMAcgBvAHAAIAAoAGQAaQBtAGUAbgBzAGkAbwBuAGwAZQBzAHMAKQBcAG4ATgBDAF8AQgBHAHAAIAA9ACAATgAgAGMAbwBuAHQAZQBuAHQAIABvAGYAIABiAGUAbABvAHcALQBnAHIAbwB1AG4AZAAgAHAAYQBzAHQAdQByAGUAIABjAHIAbwBwACAAcgBlAHMAaQBkAHUAZQAgACgAawBnACAATgAvAGsAZwAgAEQATQApAFwAbgBGAEYATwBEAHAAIAA9ACAAZgByAGEAYwB0AGkAbwBuACAAbwBmACAAcABhAHMAdAB1AHIAZQAgAHkAaQBlAGwAZAAgAHQAaABhAHQAIABpAHMAIAByAGUAbQBvAHYAZQBkACAAKABkAGkAbQBlAG4AcwBpAG8AbgBsAGUAcwBzACkAXABuAHAAIAA9ACAAUABhAHMAdAB1AHIAZQAgAHQAeQBwAGUAXABuAC0ALQAtAC0ALQAtAC0ALQAtAC0ALQAtAC0ALQAtAC0ALQAtAC0ALQAtAC0ALQAtAC0ALQAtAC0ALQAtAC0ALQAtAC0ALQAtAC0ALQBcAG4AKgAvAFwAbgBcAG4AVgBFAEUAUgBHAF8ANgBfADIAXwAxAF8AMQBfAF8AMgBfAF8ATQBhAHMAcwBPAGYATgBpAHQAcgBvAGcAZQBuAEkAbgBQAGEAcwB0AHUAcgBlAFIAZQBzAGkAZAB1AGUAcwBcAG4AIAAgAD0ATABBAE0AQgBEAEEAKABcAG4AIAAgACAAIABBAF8AcAAsACAAWQBfAHAALAAgAEYARgBPAEQAXwBwACwAIABOAEMAXwBBAEcAcAAsACAAUgBfAEIARwBwACwAIABOAEMAXwBCAEcAcAAsAFwAbgAgACAAIAAgACgAQQBfAHAAIAAqACAAKABZAF8AcAAgACoAIAAxADAAXgAoAC0AMwApACkAIAAqACAAKAAxACAALQAgAEYARgBPAEQAXwBwACkAIAAqACAATgBDAF8AQQBHAHAAKQAgACsAIAAoAEEAXwBwACAAKgAgACgAWQBfAHAAIAAqACAAMQAwAF4AKAAtADMAKQApACAAKgAgAFIAXwBCAEcAcAAgACoAIABOAEMAXwBCAEcAcAApAFwAbgAgACAAKQA7AFwAbgBcAG4AVgBFAEUAUgBHAF8ANgBfADIAXwAxAF8AMQBfAF8AMgBfAF8ATQBhAHMAcwBPAGYATgBpAHQAcgBvAGcAZQBuAEkAbgBQAGEAcwB0AHUAcgBlAFIAZQBzAGkAZAB1AGUAcwBfAFQAaQB0AGwAZQBcAG4AIAAgAD0ATABBAE0AQgBEAEEAKABcACIATQBhAHMAcwAgAG8AZgAgAG4AaQB0AHIAbwBnAGUAbgAgAGkAbgAgAHAAYQBzAHQAdQByAGUAIAByAGUAcwBpAGQAdQBlAHMAIAByAGUAdAB1AHIAbgBlAGQAIAB0AG8AIAB0AGgAZQAgAHMAbwBpAGwAXAAiACkAOwBcAG4AXABuAFYARQBFAFIARwBfADYAXwAyAF8AMQBfADEAXwBfADIAXwBfAE0AYQBzAHMATwBmAE4AaQB0AHIAbwBnAGUAbgBJAG4AUABhAHMAdAB1AHIAZQBSAGUAcwBpAGQAdQBlAHMAXwBWAGEAcgBpAGEAYgBsAGUAXABuACAAIAA9AEwAQQBNAEIARABBACgAXAAiAE0AcABcACIAKQA7AFwAbgBcAG4AVgBFAEUAUgBHAF8ANgBfADIAXwAxAF8AMQBfAF8AMgBfAF8ATQBhAHMAcwBPAGYATgBpAHQAcgBvAGcAZQBuAEkAbgBQAGEAcwB0AHUAcgBlAFIAZQBzAGkAZAB1AGUAcwBfAFUAbgBpAHQAXABuACAAIAA9AEwAQQBNAEIARABBACgAXAAiAGsAZwAgAE4AXAAiACkAOwBcAG4AXABuAFYARQBFAFIARwBfADYAXwAyAF8AMQBfADEAXwBfADIAXwBfAE0AYQBzAHMATwBmAE4AaQB0AHIAbwBnAGUAbgBJAG4AUABhAHMAdAB1AHIAZQBSAGUAcwBpAGQAdQBlAHMAXwBTAG8AdQByAGMAZQBcAG4AIAAgAD0ATABBAE0AQgBEAEEAKABcACIAVgBFAEUAUgBHACAAMgAwADIANgA6ACAANgAuADIALgAxAC4AMQAsACAARQBxAHUAYQB0AGkAbwBuACAAKAAyACkAXAAiACkAOwBcAG4AXABuAFYARQBFAFIARwBfADYAXwAyAF8AMQBfADEAXwBfADIAXwBfAE0AYQBzAHMATwBmAE4AaQB0AHIAbwBnAGUAbgBJAG4AUABhAHMAdAB1AHIAZQBSAGUAcwBpAGQAdQBlAHMAXwBOAEkAUgBSAGUAZgBlAHIAZQBuAGMAZQBcAG4AIAAgAD0ATABBAE0AQgBEAEEAKABcACIAXAAiACkAOwBcAG4AXABuAFYARQBFAFIARwBfADYAXwAyAF8AMQBfADEAXwBfADIAXwBfAE0AYQBzAHMATwBmAE4AaQB0AHIAbwBnAGUAbgBJAG4AUABhAHMAdAB1AHIAZQBSAGUAcwBpAGQAdQBlAHMAXwBMAGEAdABlAHgARQBxAHUAYQB0AGkAbwBuAFwAbgAgACAAPQBMAEEATQBCAEQAQQAoAFwAIgBNAF8AcAAgAD0AIAAoAEEAXwBwACAAXABcAHQAaQBtAGUAcwAgACgAWQBfAHAAIABcAFwAdABpAG0AZQBzACAAMQAwAF4AewAtADMAfQApACAAXABcAHQAaQBtAGUAcwAgACgAMQAtACAARgBGAE8ARABfAHAAKQAgAFwAXAB0AGkAbQBlAHMAIABOAEMAXwB7AEEARwBwAH0AKQAgACsAIAAoAEEAXwBwACAAXABcAHQAaQBtAGUAcwAgACgAWQBfAHAAIABcAFwAdABpAG0AZQBzACAAMQAwAF4AewAtADMAfQApAFwAXAB0AGkAbQBlAHMAIABSAF8AewBCAEcAcAB9ACAAXABcAHQAaQBtAGUAcwAgAE4AQwBfAHsAQgBHAHAAfQApAFwAIgApADsAXABuAFwAbgBWAEUARQBSAEcAXwA2AF8AMgBfADEAXwAxAF8AXwAyAF8AXwBNAGEAcwBzAE8AZgBOAGkAdAByAG8AZwBlAG4ASQBuAFAAYQBzAHQAdQByAGUAUgBlAHMAaQBkAHUAZQBzAF8AQQByAGcAdQBtAGUAbgB0AHMAXABuACAAIAA9AEwAQQBNAEIARABBACgAXABuACAAIAAgACAATQBBAEsARQBBAFIAUgBBAFkAKAA3ACwAIAA0ACwAIABcAG4AIAAgACAAIAAgACAATABBAE0AQgBEAEEAKAByACwAYwAsACAAXABuACAAIAAgACAAIAAgACAAIABJAE4ARABFAFgAKAB7AFwAbgAgACAAIAAgACAAIAAgACAAIAAgAFwAIgBBAF8AcABcACIALABcACIAYQByAGUAYQAgAG8AZgAgAHAAYQBzAHQAdQByAGUAIAByAGUAbgBlAHcAZQBkACAAbwByACAAcgBlAG0AbwB2AGUAZABcACIALAAgAFwAIgBoAGEAXAAiACwAIABcACIASQBuAHAAdQB0AFwAIgA7AFwAbgAgACAAIAAgACAAIAAgACAAIAAgAFwAIgBZAF8AcABcACIALABcACIAYQB2AGUAcgBhAGcAZQAgAHkAaQBlAGwAZAAgAG8AZgAgAHAAYQBzAHQAdQByAGUAIABjAHIAbwBwAFwAIgAsACAAXAAiAHQAIABEAE0ALwBoAGEAXAAiACwAIABcACIAQwBvAG4AcwB0AGEAbgB0AFwAIgA7AFwAbgAgACAAIAAgACAAIAAgACAAIAAgAFwAIgBOAEMAXwBBAEcAcABcACIALABcACIATgAgAGMAbwBuAHQAZQBuAHQAIABvAGYAIABhAGIAbwB2AGUALQBnAHIAbwB1AG4AZAAgAHAAYQBzAHQAdQByAGUAIAByAGUAcwBpAGQAdQBlAFwAIgAsACAAXAAiAGsAZwAgAE4ALwBrAGcAIABEAE0AXAAiACwAIABcACIAQwBvAG4AcwB0AGEAbgB0AFwAIgA7AFwAbgAgACAAIAAgACAAIAAgACAAIAAgAFwAIgBSAF8AQgBHAHAAXAAiACwAXAAiAGIAZQBsAG8AdwAtAGcAcgBvAHUAbgBkACAAcgBlAHMAaQBkAHUAZQAgAHQAbwAgAGEAYgBvAHYAZQAtAGcAcgBvAHUAbgBkACAAcgBlAHMAaQBkAHUAZQAgAHIAYQB0AGkAbwAgAGYAbwByACAAcABhAHMAdAB1AHIAZQAgAGMAcgBvAHAAXAAiACwAIABcACIAXAAiACwAIABcACIAQwBvAG4AcwB0AGEAbgB0AFwAIgA7AFwAbgAgACAAIAAgACAAIAAgACAAIAAgAFwAIgBOAEMAXwBCAEcAcABcACIALABcACIATgAgAGMAbwBuAHQAZQBuAHQAIABvAGYAIABiAGUAbABvAHcALQBnAHIAbwB1AG4AZAAgAHAAYQBzAHQAdQByAGUAIABjAHIAbwBwACAAcgBlAHMAaQBkAHUAZQBcACIALAAgAFwAIgBrAGcAIABOAC8AawBnACAARABNAFwAIgAsACAAXAAiAEMAbwBuAHMAdABhAG4AdABcACIAOwBcAG4AIAAgACAAIAAgACAAIAAgACAAIABcACIARgBGAE8ARABfAHAAXAAiACwAXAAiAGYAcgBhAGMAdABpAG8AbgAgAG8AZgAgAHAAYQBzAHQAdQByAGUAIAB5AGkAZQBsAGQAIAB0AGgAYQB0ACAAaQBzACAAcgBlAG0AbwB2AGUAZABcACIALAAgAFwAIgBmAHIAYQBjAHQAaQBvAG4AXAAiACwAIABcACIAQwBvAG4AcwB0AGEAbgB0AFwAIgA7AFwAbgAgACAAIAAgACAAIAAgACAAIAAgAFwAIgBwAFwAIgAsAFwAIgBQAGEAcwB0AHUAcgBlACAAdAB5AHAAZQBcACIALAAgAFwAIgBcACIALAAgAFwAIgBJAG4AcAB1AHQAXAAiAFwAbgAgACAAIAAgACAAIAAgACAAfQAsACAAcgAsACAAYwApAFwAbgAgACAAIAAgACAAIAApAFwAbgAgACAAIAAgACkAXABuACAAIAApADsAXABuAFwAbgBcAG4AVgBFAEUAUgBHAF8ANgBfADIAXwAxAF8AMQBfAF8AMgBfAF8ATQBhAHMAcwBPAGYATgBpAHQAcgBvAGcAZQBuAEkAbgBQAGEAcwB0AHUAcgBlAFIAZQBzAGkAZAB1AGUAcwBfAEEAcgBnAHUAbQBlAG4AdABzAF8ATQBlAHQAaABvAGQAMgBcAG4AIAAgAD0ATABBAE0AQgBEAEEAKABcAG4AIAAgACAAIABNAEEASwBFAEEAUgBSAEEAWQAoADcALAAgADQALAAgAFwAbgAgACAAIAAgACAAIABMAEEATQBCAEQAQQAoAHIALABjACwAIABcAG4AIAAgACAAIAAgACAAIAAgAEkATgBEAEUAWAAoAHsAXABuACAAIAAgACAAIAAgACAAIAAgACAAXAAiAEEAXwBwAFwAIgAsAFwAIgBhAHIAZQBhACAAbwBmACAAcABhAHMAdAB1AHIAZQAgAHIAZQBuAGUAdwBlAGQAIABvAHIAIAByAGUAbQBvAHYAZQBkAFwAIgAsACAAXAAiAGgAYQBcACIALAAgAFwAIgBJAG4AcAB1AHQAXAAiADsAXABuACAAIAAgACAAIAAgACAAIAAgACAAXAAiAFkAXwBwAFwAIgAsAFwAIgBhAHYAZQByAGEAZwBlACAAeQBpAGUAbABkACAAbwBmACAAcABhAHMAdAB1AHIAZQAgAGMAcgBvAHAAXAAiACwAIABcACIAdAAgAEQATQAvAGgAYQBcACIALAAgAFwAIgBJAG4AcAB1AHQAXAAiADsAXABuACAAIAAgACAAIAAgACAAIAAgACAAXAAiAE4AQwBfAEEARwBwAFwAIgAsAFwAIgBOACAAYwBvAG4AdABlAG4AdAAgAG8AZgAgAGEAYgBvAHYAZQAtAGcAcgBvAHUAbgBkACAAcABhAHMAdAB1AHIAZQAgAHIAZQBzAGkAZAB1AGUAXAAiACwAIABcACIAawBnACAATgAvAGsAZwAgAEQATQBcACIALAAgAFwAIgBDAG8AbgBzAHQAYQBuAHQAXAAiADsAXABuACAAIAAgACAAIAAgACAAIAAgACAAXAAiAFIAXwBCAEcAcABcACIALABcACIAYgBlAGwAbwB3AC0AZwByAG8AdQBuAGQAIAByAGUAcwBpAGQAdQBlACAAdABvACAAYQBiAG8AdgBlAC0AZwByAG8AdQBuAGQAIAByAGUAcwBpAGQAdQBlACAAcgBhAHQAaQBvACAAZgBvAHIAIABwAGEAcwB0AHUAcgBlACAAYwByAG8AcABcACIALAAgAFwAIgBcACIALAAgAFwAIgBDAG8AbgBzAHQAYQBuAHQAXAAiADsAXABuACAAIAAgACAAIAAgACAAIAAgACAAXAAiAE4AQwBfAEIARwBwAFwAIgAsAFwAIgBOACAAYwBvAG4AdABlAG4AdAAgAG8AZgAgAGIAZQBsAG8AdwAtAGcAcgBvAHUAbgBkACAAcABhAHMAdAB1AHIAZQAgAGMAcgBvAHAAIAByAGUAcwBpAGQAdQBlAFwAIgAsACAAXAAiAGsAZwAgAE4ALwBrAGcAIABEAE0AXAAiACwAIABcACIAQwBvAG4AcwB0AGEAbgB0AFwAIgA7AFwAbgAgACAAIAAgACAAIAAgACAAIAAgAFwAIgBGAEYATwBEAF8AcABcACIALABcACIAZgByAGEAYwB0AGkAbwBuACAAbwBmACAAcABhAHMAdAB1AHIAZQAgAHkAaQBlAGwAZAAgAHQAaABhAHQAIABpAHMAIAByAGUAbQBvAHYAZQBkAFwAIgAsACAAXAAiAGYAcgBhAGMAdABpAG8AbgBcACIALAAgAFwAIgBDAG8AbgBzAHQAYQBuAHQAXAAiADsAXABuACAAIAAgACAAIAAgACAAIAAgACAAXAAiAHAAXAAiACwAXAAiAFAAYQBzAHQAdQByAGUAIAB0AHkAcABlAFwAIgAsACAAXAAiAFwAIgAsACAAXAAiAEkAbgBwAHUAdABcACIAXABuACAAIAAgACAAIAAgACAAIAB9ACwAIAByACwAIABjACkAXABuACAAIAAgACAAIAAgACkAXABuACAAIAAgACAAKQBcAG4AIAAgACkAOwBcAG4AXABuAFwAbgBcAG4AXABuACIAfQBdACwAIgBwAHIAbwBqAGUAYwB0AE4AYQBtAGUAcwAiADoAWwAiAEMAbwBtAG0AbwBuAF8AUwBvAHUAcgBjAGUARABhAHQAYQAuAEMAbwBtAG0AbwBuAF8AUwBvAHUAcgBjAGUARABhAHQAYQBfAEQAZQBuAHMAaQB0AHkATwBmAE0AZQB0AGgAYQBuAGUAXwBUAGkAdABsAGUAIgAsACIAQwBvAG0AbQBvAG4AXwBTAG8AdQByAGMAZQBEAGEAdABhAC4AQwBvAG0AbQBvAG4AXwBTAG8AdQByAGMAZQBEAGEAdABhAF8ARABlAG4AcwBpAHQAeQBPAGYATQBlAHQAaABhAG4AZQBfAFUAbgBpAHQAIgAsACIAQwBvAG0AbQBvAG4AXwBTAG8AdQByAGMAZQBEAGEAdABhAC4AQwBvAG0AbQBvAG4AXwBTAG8AdQByAGMAZQBEAGEAdABhAF8ARABlAG4AcwBpAHQAeQBPAGYATQBlAHQAaABhAG4AZQBfAFMAbwB1AHIAYwBlACIALAAiAEMAbwBtAG0AbwBuAF8AUwBvAHUAcgBjAGUARABhAHQAYQAuAEMAbwBtAG0AbwBuAF8AUwBvAHUAcgBjAGUARABhAHQAYQBfAEQAZQBuAHMAaQB0AHkATwBmAE0AZQB0AGgAYQBuAGUAXwBEAGEAdABhACIALAAiAEMAbwBtAG0AbwBuAF8AUwBvAHUAcgBjAGUARABhAHQAYQAuAEMAbwBtAG0AbwBuAF8AUwBvAHUAcgBjAGUARABhAHQAYQBfAEMAbwBuAHYAZQByAHQATgAyAG8ARQBsAGUAbQBlAG4AdABhAGwAVABvAE0AbwBsAGUAYwB1AGwAYQByAEMAZwBfAFQAaQB0AGwAZQAiACwAIgBDAG8AbQBtAG8AbgBfAFMAbwB1AHIAYwBlAEQAYQB0AGEALgBDAG8AbQBtAG8AbgBfAFMAbwB1AHIAYwBlAEQAYQB0AGEAXwBDAG8AbgB2AGUAcgB0AE4AMgBvAEUAbABlAG0AZQBuAHQAYQBsAFQAbwBNAG8AbABlAGMAdQBsAGEAcgBDAGcAXwBWAGEAcgBpAGEAYgBsAGUAIgAsACIAQwBvAG0AbQBvAG4AXwBTAG8AdQByAGMAZQBEAGEAdABhAC4AQwBvAG0AbQBvAG4AXwBTAG8AdQByAGMAZQBEAGEAdABhAF8AQwBvAG4AdgBlAHIAdABOADIAbwBFAGwAZQBtAGUAbgB0AGEAbABUAG8ATQBvAGwAZQBjAHUAbABhAHIAQwBnAF8AVQBuAGkAdAAiACwAIgBDAG8AbQBtAG8AbgBfAFMAbwB1AHIAYwBlAEQAYQB0AGEALgBDAG8AbQBtAG8AbgBfAFMAbwB1AHIAYwBlAEQAYQB0AGEAXwBDAG8AbgB2AGUAcgB0AE4AMgBvAEUAbABlAG0AZQBuAHQAYQBsAFQAbwBNAG8AbABlAGMAdQBsAGEAcgBDAGcAXwBTAG8AdQByAGMAZQAiACwAIgBDAG8AbQBtAG8AbgBfAFMAbwB1AHIAYwBlAEQAYQB0AGEALgBDAG8AbQBtAG8AbgBfAFMAbwB1AHIAYwBlAEQAYQB0AGEAXwBDAG8AbgB2AGUAcgB0AE4AMgBvAEUAbABlAG0AZQBuAHQAYQBsAFQAbwBNAG8AbABlAGMAdQBsAGEAcgBDAGcAXwBEAGEAdABhACIALAAiAEMAbwBtAG0AbwBuAF8AUwBvAHUAcgBjAGUARABhAHQAYQAuAEMAbwBtAG0AbwBuAF8AUwBvAHUAcgBjAGUARABhAHQAYQBfAEMAbwBuAHYAZQByAHQARwBhAHMARQBsAGUAbQBlAG4AdABhAGwAVABvAE0AbwBsAGUAYwB1AGwAYQByAF8AVABpAHQAbABlACIALAAiAEMAbwBtAG0AbwBuAF8AUwBvAHUAcgBjAGUARABhAHQAYQAuAEMAbwBtAG0AbwBuAF8AUwBvAHUAcgBjAGUARABhAHQAYQBfAEMAbwBuAHYAZQByAHQARwBhAHMARQBsAGUAbQBlAG4AdABhAGwAVABvAE0AbwBsAGUAYwB1AGwAYQByAF8AVgBhAHIAaQBhAGIAbABlACIALAAiAEMAbwBtAG0AbwBuAF8AUwBvAHUAcgBjAGUARABhAHQAYQAuAEMAbwBtAG0AbwBuAF8AUwBvAHUAcgBjAGUARABhAHQAYQBfAEMAbwBuAHYAZQByAHQARwBhAHMARQBsAGUAbQBlAG4AdABhAGwAVABvAE0AbwBsAGUAYwB1AGwAYQByAF8AVQBuAGkAdAAiACwAIgBDAG8AbQBtAG8AbgBfAFMAbwB1AHIAYwBlAEQAYQB0AGEALgBDAG8AbQBtAG8AbgBfAFMAbwB1AHIAYwBlAEQAYQB0AGEAXwBDAG8AbgB2AGUAcgB0AEcAYQBzAEUAbABlAG0AZQBuAHQAYQBsAFQAbwBNAG8AbABlAGMAdQBsAGEAcgBfAFMAbwB1AHIAYwBlACIALAAiAEMAbwBtAG0AbwBuAF8AUwBvAHUAcgBjAGUARABhAHQAYQAuAEMAbwBtAG0AbwBuAF8AUwBvAHUAcgBjAGUARABhAHQAYQBfAEMAbwBuAHYAZQByAHQARwBhAHMARQBsAGUAbQBlAG4AdABhAGwAVABvAE0AbwBsAGUAYwB1AGwAYQByAF8ARABhAHQAYQAiACwAIgBDAG8AbQBtAG8AbgBfAFMAbwB1AHIAYwBlAEQAYQB0AGEALgBDAG8AbQBtAG8AbgBfAFMAbwB1AHIAYwBlAEQAYQB0AGEAXwBHAFcAUABfAFQAaQB0AGwAZQAiACwAIgBDAG8AbQBtAG8AbgBfAFMAbwB1AHIAYwBlAEQAYQB0AGEALgBDAG8AbQBtAG8AbgBfAFMAbwB1AHIAYwBlAEQAYQB0AGEAXwBHAFcAUABfAFYAYQByAGkAYQBiAGwAZQAiACwAIgBDAG8AbQBtAG8AbgBfAFMAbwB1AHIAYwBlAEQAYQB0AGEALgBDAG8AbQBtAG8AbgBfAFMAbwB1AHIAYwBlAEQAYQB0AGEAXwBHAFcAUABfAFUAbgBpAHQAIgAsACIAQwBvAG0AbQBvAG4AXwBTAG8AdQByAGMAZQBEAGEAdABhAC4AQwBvAG0AbQBvAG4AXwBTAG8AdQByAGMAZQBEAGEAdABhAF8ARwBXAFAAXwBTAG8AdQByAGMAZQAiACwAIgBDAG8AbQBtAG8AbgBfAFMAbwB1AHIAYwBlAEQAYQB0AGEALgBDAG8AbQBtAG8AbgBfAFMAbwB1AHIAYwBlAEQAYQB0AGEAXwBHAFcAUABfAEQAYQB0AGEAIgAsACIAQwBvAG0AbQBvAG4AXwBTAG8AdQByAGMAZQBEAGEAdABhAC4AQwBvAG0AbQBvAG4AXwBTAG8AdQByAGMAZQBEAGEAdABhAF8AQQB1AHMAdAByAGEAbABpAGEAbgBTAHQAYQB0AGUAcwBUAGUAcgByAGkAdABvAHIAaQBlAHMAXwBUAGkAdABsAGUAIgAsACIAQwBvAG0AbQBvAG4AXwBTAG8AdQByAGMAZQBEAGEAdABhAC4AQwBvAG0AbQBvAG4AXwBTAG8AdQByAGMAZQBEAGEAdABhAF8AQQB1AHMAdAByAGEAbABpAGEAbgBTAHQAYQB0AGUAcwBUAGUAcgByAGkAdABvAHIAaQBlAHMAXwBWAGEAcgBpAGEAYgBsAGUAIgAsACIAQwBvAG0AbQBvAG4AXwBTAG8AdQByAGMAZQBEAGEAdABhAC4AQwBvAG0AbQBvAG4AXwBTAG8AdQByAGMAZQBEAGEAdABhAF8AQQB1AHMAdAByAGEAbABpAGEAbgBTAHQAYQB0AGUAcwBUAGUAcgByAGkAdABvAHIAaQBlAHMAXwBVAG4AaQB0ACIALAAiAEMAbwBtAG0AbwBuAF8AUwBvAHUAcgBjAGUARABhAHQAYQAuAEMAbwBtAG0AbwBuAF8AUwBvAHUAcgBjAGUARABhAHQAYQBfAEEAdQBzAHQAcgBhAGwAaQBhAG4AUwB0AGEAdABlAHMAVABlAHIAcgBpAHQAbwByAGkAZQBzAF8AUwBvAHUAcgBjAGUAIgAsACIAQwBvAG0AbQBvAG4AXwBTAG8AdQByAGMAZQBEAGEAdABhAC4AQwBvAG0AbQBvAG4AXwBTAG8AdQByAGMAZQBEAGEAdABhAF8AQQB1AHMAdAByAGEAbABpAGEAbgBTAHQAYQB0AGUAcwBUAGUAcgByAGkAdABvAHIAaQBlAHMAXwBEAGEAdABhACIALAAiAEMAbwBtAG0AbwBuAF8AUwBvAHUAcgBjAGUARABhAHQAYQAuAEMAbwBtAG0AbwBuAF8AUwBvAHUAcgBjAGUARABhAHQAYQBfAFcAQQBTAEEANABBAHIAZQBhAHMAXwBUAGkAdABsAGUAIgAsACIAQwBvAG0AbQBvAG4AXwBTAG8AdQByAGMAZQBEAGEAdABhAC4AQwBvAG0AbQBvAG4AXwBTAG8AdQByAGMAZQBEAGEAdABhAF8AVwBBAFMAQQA0AEEAcgBlAGEAcwBfAFYAYQByAGkAYQBiAGwAZQAiACwAIgBDAG8AbQBtAG8AbgBfAFMAbwB1AHIAYwBlAEQAYQB0AGEALgBDAG8AbQBtAG8AbgBfAFMAbwB1AHIAYwBlAEQAYQB0AGEAXwBXAEEAUwBBADQAQQByAGUAYQBzAF8AVQBuAGkAdAAiACwAIgBDAG8AbQBtAG8AbgBfAFMAbwB1AHIAYwBlAEQAYQB0AGEALgBDAG8AbQBtAG8AbgBfAFMAbwB1AHIAYwBlAEQAYQB0AGEAXwBXAEEAUwBBADQAQQByAGUAYQBzAF8AUwBvAHUAcgBjAGUAIgAsACIAQwBvAG0AbQBvAG4AXwBTAG8AdQByAGMAZQBEAGEAdABhAC4AQwBvAG0AbQBvAG4AXwBTAG8AdQByAGMAZQBEAGEAdABhAF8AVwBBAFMAQQA0AEEAcgBlAGEAcwBfAEQAYQB0AGEAIgAsACIAQwBvAG0AbQBvAG4AXwBTAG8AdQByAGMAZQBEAGEAdABhAC4AQwBvAG0AbQBvAG4AXwBTAG8AdQByAGMAZQBEAGEAdABhAF8AVwBlAHQAQQBuAGQARAByAHkAWgBvAG4AZQBzAF8AVABpAHQAbABlACIALAAiAEMAbwBtAG0AbwBuAF8AUwBvAHUAcgBjAGUARABhAHQAYQAuAEMAbwBtAG0AbwBuAF8AUwBvAHUAcgBjAGUARABhAHQAYQBfAFcAZQB0AEEAbgBkAEQAcgB5AFoAbwBuAGUAcwBfAFYAYQByAGkAYQBiAGwAZQAiACwAIgBDAG8AbQBtAG8AbgBfAFMAbwB1AHIAYwBlAEQAYQB0AGEALgBDAG8AbQBtAG8AbgBfAFMAbwB1AHIAYwBlAEQAYQB0AGEAXwBXAGUAdABBAG4AZABEAHIAeQBaAG8AbgBlAHMAXwBVAG4AaQB0ACIALAAiAEMAbwBtAG0AbwBuAF8AUwBvAHUAcgBjAGUARABhAHQAYQAuAEMAbwBtAG0AbwBuAF8AUwBvAHUAcgBjAGUARABhAHQAYQBfAFcAZQB0AEEAbgBkAEQAcgB5AFoAbwBuAGUAcwBfAFMAbwB1AHIAYwBlACIALAAiAEMAbwBtAG0AbwBuAF8AUwBvAHUAcgBjAGUARABhAHQAYQAuAEMAbwBtAG0AbwBuAF8AUwBvAHUAcgBjAGUARABhAHQAYQBfAFcAZQB0AEEAbgBkAEQAcgB5AFoAbwBuAGUAcwBfAFYAYQByAGkAYQB0AGkAbwBuACIALAAiAEMAbwBtAG0AbwBuAF8AUwBvAHUAcgBjAGUARABhAHQAYQAuAEMAbwBtAG0AbwBuAF8AUwBvAHUAcgBjAGUARABhAHQAYQBfAFcAZQB0AEEAbgBkAEQAcgB5AFoAbwBuAGUAcwBfAEQAYQB0AGEAIgAsACIAQwBvAG0AbQBvAG4AXwBTAG8AdQByAGMAZQBEAGEAdABhAC4AQwBvAG0AbQBvAG4AXwBTAG8AdQByAGMAZQBEAGEAdABhAF8AQwBsAGkAbQBhAHQAZQBaAG8AbgBlAHMAXwBUAGkAdABsAGUAIgAsACIAQwBvAG0AbQBvAG4AXwBTAG8AdQByAGMAZQBEAGEAdABhAC4AQwBvAG0AbQBvAG4AXwBTAG8AdQByAGMAZQBEAGEAdABhAF8AQwBsAGkAbQBhAHQAZQBaAG8AbgBlAHMAXwBWAGEAcgBpAGEAYgBsAGUAIgAsACIAQwBvAG0AbQBvAG4AXwBTAG8AdQByAGMAZQBEAGEAdABhAC4AQwBvAG0AbQBvAG4AXwBTAG8AdQByAGMAZQBEAGEAdABhAF8AQwBsAGkAbQBhAHQAZQBaAG8AbgBlAHMAXwBVAG4AaQB0ACIALAAiAEMAbwBtAG0AbwBuAF8AUwBvAHUAcgBjAGUARABhAHQAYQAuAEMAbwBtAG0AbwBuAF8AUwBvAHUAcgBjAGUARABhAHQAYQBfAEMAbABpAG0AYQB0AGUAWgBvAG4AZQBzAF8AUwBvAHUAcgBjAGUAIgAsACIAQwBvAG0AbQBvAG4AXwBTAG8AdQByAGMAZQBEAGEAdABhAC4AQwBvAG0AbQBvAG4AXwBTAG8AdQByAGMAZQBEAGEAdABhAF8AQwBsAGkAbQBhAHQAZQBaAG8AbgBlAHMAXwBWAGEAcgBpAGEAdABpAG8AbgAiACwAIgBDAG8AbQBtAG8AbgBfAFMAbwB1AHIAYwBlAEQAYQB0AGEALgBDAG8AbQBtAG8AbgBfAFMAbwB1AHIAYwBlAEQAYQB0AGEAXwBDAGwAaQBtAGEAdABlAFoAbwBuAGUAcwBfAEQAYQB0AGEAIgAsACIAQwBvAG0AbQBvAG4AXwBTAG8AdQByAGMAZQBEAGEAdABhAC4AQwBvAG0AbQBvAG4AXwBTAG8AdQByAGMAZQBEAGEAdABhAF8AQwBsAGkAbQBhAHQAZQBaAG8AbgBlAHMAXwBBAHAAcABlAG4AZABpAGMAZQBzACIALAAiAEMAbwBtAG0AbwBuAF8AUwBvAHUAcgBjAGUARABhAHQAYQAuAEMAbwBtAG0AbwBuAF8AUwBvAHUAcgBjAGUARABhAHQAYQBfAFQAZQBtAHAAZQByAGEAdAB1AHIAZQBaAG8AbgBlAHMAXwBUAGkAdABsAGUAIgAsACIAQwBvAG0AbQBvAG4AXwBTAG8AdQByAGMAZQBEAGEAdABhAC4AQwBvAG0AbQBvAG4AXwBTAG8AdQByAGMAZQBEAGEAdABhAF8AVABlAG0AcABlAHIAYQB0AHUAcgBlAFoAbwBuAGUAcwBfAFYAYQByAGkAYQBiAGwAZQAiACwAIgBDAG8AbQBtAG8AbgBfAFMAbwB1AHIAYwBlAEQAYQB0AGEALgBDAG8AbQBtAG8AbgBfAFMAbwB1AHIAYwBlAEQAYQB0AGEAXwBUAGUAbQBwAGUAcgBhAHQAdQByAGUAWgBvAG4AZQBzAF8AVQBuAGkAdAAiACwAIgBDAG8AbQBtAG8AbgBfAFMAbwB1AHIAYwBlAEQAYQB0AGEALgBDAG8AbQBtAG8AbgBfAFMAbwB1AHIAYwBlAEQAYQB0AGEAXwBUAGUAbQBwAGUAcgBhAHQAdQByAGUAWgBvAG4AZQBzAF8AUwBvAHUAcgBjAGUAIgAsACIAQwBvAG0AbQBvAG4AXwBTAG8AdQByAGMAZQBEAGEAdABhAC4AQwBvAG0AbQBvAG4AXwBTAG8AdQByAGMAZQBEAGEAdABhAF8AVABlAG0AcABlAHIAYQB0AHUAcgBlAFoAbwBuAGUAcwBfAFYAYQByAGkAYQB0AGkAbwBuACIALAAiAEMAbwBtAG0AbwBuAF8AUwBvAHUAcgBjAGUARABhAHQAYQAuAEMAbwBtAG0AbwBuAF8AUwBvAHUAcgBjAGUARABhAHQAYQBfAFQAZQBtAHAAZQByAGEAdAB1AHIAZQBaAG8AbgBlAHMAXwBEAGEAdABhACIALAAiAEMAbwBtAG0AbwBuAF8AUwBvAHUAcgBjAGUARABhAHQAYQAuAEMAbwBtAG0AbwBuAF8AUwBvAHUAcgBjAGUARABhAHQAYQBfAFIAYQBpAG4AZgBhAGwAbABaAG8AbgBlAHMAXwBUAGkAdABsAGUAIgAsACIAQwBvAG0AbQBvAG4AXwBTAG8AdQByAGMAZQBEAGEAdABhAC4AQwBvAG0AbQBvAG4AXwBTAG8AdQByAGMAZQBEAGEAdABhAF8AUgBhAGkAbgBmAGEAbABsAFoAbwBuAGUAcwBfAFYAYQByAGkAYQBiAGwAZQAiACwAIgBDAG8AbQBtAG8AbgBfAFMAbwB1AHIAYwBlAEQAYQB0AGEALgBDAG8AbQBtAG8AbgBfAFMAbwB1AHIAYwBlAEQAYQB0AGEAXwBSAGEAaQBuAGYAYQBsAGwAWgBvAG4AZQBzAF8AVQBuAGkAdAAiACwAIgBDAG8AbQBtAG8AbgBfAFMAbwB1AHIAYwBlAEQAYQB0AGEALgBDAG8AbQBtAG8AbgBfAFMAbwB1AHIAYwBlAEQAYQB0AGEAXwBSAGEAaQBuAGYAYQBsAGwAWgBvAG4AZQBzAF8AUwBvAHUAcgBjAGUAIgAsACIAQwBvAG0AbQBvAG4AXwBTAG8AdQByAGMAZQBEAGEAdABhAC4AQwBvAG0AbQBvAG4AXwBTAG8AdQByAGMAZQBEAGEAdABhAF8AUgBhAGkAbgBmAGEAbABsAFoAbwBuAGUAcwBfAFYAYQByAGkAYQB0AGkAbwBuACIALAAiAEMAbwBtAG0AbwBuAF8AUwBvAHUAcgBjAGUARABhAHQAYQAuAEMAbwBtAG0AbwBuAF8AUwBvAHUAcgBjAGUARABhAHQAYQBfAFIAYQBpAG4AZgBhAGwAbABaAG8AbgBlAHMAXwBEAGEAdABhACIALAAiAEMAbwBtAG0AbwBuAF8AUwBvAHUAcgBjAGUARABhAHQAYQAuAEMAbwBtAG0AbwBuAF8AUwBvAHUAcgBjAGUARABhAHQAYQBfAEwAZQBhAGMAaABpAG4AZwBaAG8AbgBlAHMAXwBUAGkAdABsAGUAIgAsACIAQwBvAG0AbQBvAG4AXwBTAG8AdQByAGMAZQBEAGEAdABhAC4AQwBvAG0AbQBvAG4AXwBTAG8AdQByAGMAZQBEAGEAdABhAF8ATABlAGEAYwBoAGkAbgBnAFoAbwBuAGUAcwBfAFYAYQByAGkAYQBiAGwAZQAiACwAIgBDAG8AbQBtAG8AbgBfAFMAbwB1AHIAYwBlAEQAYQB0AGEALgBDAG8AbQBtAG8AbgBfAFMAbwB1AHIAYwBlAEQAYQB0AGEAXwBMAGUAYQBjAGgAaQBuAGcAWgBvAG4AZQBzAF8AVQBuAGkAdAAiACwAIgBDAG8AbQBtAG8AbgBfAFMAbwB1AHIAYwBlAEQAYQB0AGEALgBDAG8AbQBtAG8AbgBfAFMAbwB1AHIAYwBlAEQAYQB0AGEAXwBMAGUAYQBjAGgAaQBuAGcAWgBvAG4AZQBzAF8AUwBvAHUAcgBjAGUAIgAsACIAQwBvAG0AbQBvAG4AXwBTAG8AdQByAGMAZQBEAGEAdABhAC4AQwBvAG0AbQBvAG4AXwBTAG8AdQByAGMAZQBEAGEAdABhAF8ATABlAGEAYwBoAGkAbgBnAFoAbwBuAGUAcwBfAFYAYQByAGkAYQB0AGkAbwBuACIALAAiAEMAbwBtAG0AbwBuAF8AUwBvAHUAcgBjAGUARABhAHQAYQAuAEMAbwBtAG0AbwBuAF8AUwBvAHUAcgBjAGUARABhAHQAYQBfAEwAZQBhAGMAaABpAG4AZwBaAG8AbgBlAHMAXwBEAGEAdABhACIALAAiAEMAbwBtAG0AbwBuAF8AUwBvAHUAcgBjAGUARABhAHQAYQAuAEMAbwBtAG0AbwBuAF8AUwBvAHUAcgBjAGUARABhAHQAYQBfAEYAcgBhAGMAVwBFAFQAXwBUAGkAdABsAGUAIgAsACIAQwBvAG0AbQBvAG4AXwBTAG8AdQByAGMAZQBEAGEAdABhAC4AQwBvAG0AbQBvAG4AXwBTAG8AdQByAGMAZQBEAGEAdABhAF8ARgByAGEAYwBXAEUAVABfAFUAbgBpAHQAIgAsACIAQwBvAG0AbQBvAG4AXwBTAG8AdQByAGMAZQBEAGEAdABhAC4AQwBvAG0AbQBvAG4AXwBTAG8AdQByAGMAZQBEAGEAdABhAF8ARgByAGEAYwBXAEUAVABfAFMAbwB1AHIAYwBlACIALAAiAEMAbwBtAG0AbwBuAF8AUwBvAHUAcgBjAGUARABhAHQAYQAuAEMAbwBtAG0AbwBuAF8AUwBvAHUAcgBjAGUARABhAHQAYQBfAEYAcgBhAGMAVwBFAFQAXwBOAEkAUgBSAGUAZgBlAHIAZQBuAGMAZQAiACwAIgBDAG8AbQBtAG8AbgBfAFMAbwB1AHIAYwBlAEQAYQB0AGEALgBDAG8AbQBtAG8AbgBfAFMAbwB1AHIAYwBlAEQAYQB0AGEAXwBGAHIAYQBjAFcARQBUAF8ARABhAHQAYQAiACwAIgBDAG8AbQBtAG8AbgBfAFMAbwB1AHIAYwBlAEQAYQB0AGEALgBDAG8AbQBtAG8AbgBfAFMAbwB1AHIAYwBlAEQAYQB0AGEAXwBGAHIAYQBjAFcARQBUAF8AVgBhAHIAaQBhAHQAaQBvAG4AIgAsACIAQwBvAG0AbQBvAG4AXwBTAG8AdQByAGMAZQBEAGEAdABhAC4AQwBvAG0AbQBvAG4AXwBTAG8AdQByAGMAZQBEAGEAdABhAF8ARABhAHQAYQBTAGMAbwByAGUAcwBfAFMAYwBvAHAAZQAzAF8AVABpAHQAbABlACIALAAiAEMAbwBtAG0AbwBuAF8AUwBvAHUAcgBjAGUARABhAHQAYQAuAEMAbwBtAG0AbwBuAF8AUwBvAHUAcgBjAGUARABhAHQAYQBfAEQAYQB0AGEAUwBjAG8AcgBlAHMAXwBTAGMAbwBwAGUAMwBfAFYAYQByAGkAYQBiAGwAZQAiACwAIgBDAG8AbQBtAG8AbgBfAFMAbwB1AHIAYwBlAEQAYQB0AGEALgBDAG8AbQBtAG8AbgBfAFMAbwB1AHIAYwBlAEQAYQB0AGEAXwBEAGEAdABhAFMAYwBvAHIAZQBzAF8AUwBjAG8AcABlADMAXwBVAG4AaQB0ACIALAAiAEMAbwBtAG0AbwBuAF8AUwBvAHUAcgBjAGUARABhAHQAYQAuAEMAbwBtAG0AbwBuAF8AUwBvAHUAcgBjAGUARABhAHQAYQBfAEQAYQB0AGEAUwBjAG8AcgBlAHMAXwBTAGMAbwBwAGUAMwBfAFMAbwB1AHIAYwBlACIALAAiAEMAbwBtAG0AbwBuAF8AUwBvAHUAcgBjAGUARABhAHQAYQAuAEMAbwBtAG0AbwBuAF8AUwBvAHUAcgBjAGUARABhAHQAYQBfAEQAYQB0AGEAUwBjAG8AcgBlAHMAXwBTAGMAbwBwAGUAMwBfAFYAYQByAGkAYQB0AGkAbwBuACIALAAiAEMAbwBtAG0AbwBuAF8AUwBvAHUAcgBjAGUARABhAHQAYQAuAEMAbwBtAG0AbwBuAF8AUwBvAHUAcgBjAGUARABhAHQAYQBfAEQAYQB0AGEAUwBjAG8AcgBlAHMAXwBTAGMAbwBwAGUAMwBfAEQAYQB0AGEAIgAsACIAQwBvAG0AbQBvAG4AXwBTAG8AdQByAGMAZQBEAGEAdABhAC4AQwBvAG0AbQBvAG4AXwBTAG8AdQByAGMAZQBEAGEAdABhAF8ARgByAGEAYwBMAEUAQQBDAEgAXwBUAGkAdABsAGUAIgAsACIAQwBvAG0AbQBvAG4AXwBTAG8AdQByAGMAZQBEAGEAdABhAC4AQwBvAG0AbQBvAG4AXwBTAG8AdQByAGMAZQBEAGEAdABhAF8ARgByAGEAYwBMAEUAQQBDAEgAXwBVAG4AaQB0ACIALAAiAEMAbwBtAG0AbwBuAF8AUwBvAHUAcgBjAGUARABhAHQAYQAuAEMAbwBtAG0AbwBuAF8AUwBvAHUAcgBjAGUARABhAHQAYQBfAEYAcgBhAGMATABFAEEAQwBIAF8AUwBvAHUAcgBjAGUAIgAsACIAQwBvAG0AbQBvAG4AXwBTAG8AdQByAGMAZQBEAGEAdABhAC4AQwBvAG0AbQBvAG4AXwBTAG8AdQByAGMAZQBEAGEAdABhAF8ARgByAGEAYwBMAEUAQQBDAEgAXwBOAEkAUgBSAGUAZgBlAHIAZQBuAGMAZQAiACwAIgBDAG8AbQBtAG8AbgBfAFMAbwB1AHIAYwBlAEQAYQB0AGEALgBDAG8AbQBtAG8AbgBfAFMAbwB1AHIAYwBlAEQAYQB0AGEAXwBGAHIAYQBjAEwARQBBAEMASABfAEQAYQB0AGEAIgAsACIAQwBvAG0AbQBvAG4AXwBTAG8AdQByAGMAZQBEAGEAdABhAC4AQwBvAG0AbQBvAG4AXwBTAG8AdQByAGMAZQBEAGEAdABhAF8ARgByAGEAYwBMAEUAQQBDAEgAXwBWAGEAcgBpAGEAdABpAG8AbgAiACwAIgBDAG8AbQBtAG8AbgBfAFMAbwB1AHIAYwBlAEQAYQB0AGEALgBDAG8AbQBtAG8AbgBfAFMAbwB1AHIAYwBlAEQAYQB0AGEAXwBFAEYAbABlAGEAYwBoAF8AVABpAHQAbABlACIALAAiAEMAbwBtAG0AbwBuAF8AUwBvAHUAcgBjAGUARABhAHQAYQAuAEMAbwBtAG0AbwBuAF8AUwBvAHUAcgBjAGUARABhAHQAYQBfAEUARgBsAGUAYQBjAGgAXwBVAG4AaQB0ACIALAAiAEMAbwBtAG0AbwBuAF8AUwBvAHUAcgBjAGUARABhAHQAYQAuAEMAbwBtAG0AbwBuAF8AUwBvAHUAcgBjAGUARABhAHQAYQBfAEUARgBsAGUAYQBjAGgAXwBTAG8AdQByAGMAZQAiACwAIgBDAG8AbQBtAG8AbgBfAFMAbwB1AHIAYwBlAEQAYQB0AGEALgBDAG8AbQBtAG8AbgBfAFMAbwB1AHIAYwBlAEQAYQB0AGEAXwBFAEYAbABlAGEAYwBoAF8ATgBJAFIAUgBlAGYAZQByAGUAbgBjAGUAIgAsACIAQwBvAG0AbQBvAG4AXwBTAG8AdQByAGMAZQBEAGEAdABhAC4AQwBvAG0AbQBvAG4AXwBTAG8AdQByAGMAZQBEAGEAdABhAF8ARQBGAGwAZQBhAGMAaABfAEQAYQB0AGEAIgAsACIAQwBvAG0AbQBvAG4AXwBTAG8AdQByAGMAZQBEAGEAdABhAC4AQwBvAG0AbQBvAG4AXwBTAG8AdQByAGMAZQBEAGEAdABhAF8ARQBGAGwAZQBhAGMAaABfAFYAYQByAGkAYQB0AGkAbwBuACIALAAiAEMAbwBtAG0AbwBuAF8AUwBvAHUAcgBjAGUARABhAHQAYQAuAEMAbwBtAG0AbwBuAF8AUwBvAHUAcgBjAGUARABhAHQAYQBfAEUARgBOADIATwBfAFQAaQB0AGwAZQAiACwAIgBDAG8AbQBtAG8AbgBfAFMAbwB1AHIAYwBlAEQAYQB0AGEALgBDAG8AbQBtAG8AbgBfAFMAbwB1AHIAYwBlAEQAYQB0AGEAXwBFAEYATgAyAE8AXwBVAG4AaQB0ACIALAAiAEMAbwBtAG0AbwBuAF8AUwBvAHUAcgBjAGUARABhAHQAYQAuAEMAbwBtAG0AbwBuAF8AUwBvAHUAcgBjAGUARABhAHQAYQBfAEUARgBOADIATwBfAFMAbwB1AHIAYwBlACIALAAiAEMAbwBtAG0AbwBuAF8AUwBvAHUAcgBjAGUARABhAHQAYQAuAEMAbwBtAG0AbwBuAF8AUwBvAHUAcgBjAGUARABhAHQAYQBfAEUARgBOADIATwBfAE4ASQBSAFIAZQBmAGUAcgBlAG4AYwBlACIALAAiAEMAbwBtAG0AbwBuAF8AUwBvAHUAcgBjAGUARABhAHQAYQAuAEMAbwBtAG0AbwBuAF8AUwBvAHUAcgBjAGUARABhAHQAYQBfAEUARgBOADIATwBfAEQAYQB0AGEAIgAsACIAQwBvAG0AbQBvAG4AXwBTAG8AdQByAGMAZQBEAGEAdABhAC4AQwBvAG0AbQBvAG4AXwBTAG8AdQByAGMAZQBEAGEAdABhAF8ARQBGAE4AMgBPAF8AVgBhAHIAaQBhAHQAaQBvAG4AIgAsACIAQwBvAG0AbQBvAG4AXwBTAG8AdQByAGMAZQBEAGEAdABhAC4AQwBvAG0AbQBvAG4AXwBTAG8AdQByAGMAZQBEAGEAdABhAF8ARgByAGEAYwBXAEUAVABJAHIAcgBpAGcAYQB0AGkAbwBuAF8AVABpAHQAbABlACIALAAiAEMAbwBtAG0AbwBuAF8AUwBvAHUAcgBjAGUARABhAHQAYQAuAEMAbwBtAG0AbwBuAF8AUwBvAHUAcgBjAGUARABhAHQAYQBfAEYAcgBhAGMAVwBFAFQASQByAHIAaQBnAGEAdABpAG8AbgBfAFUAbgBpAHQAIgAsACIAQwBvAG0AbQBvAG4AXwBTAG8AdQByAGMAZQBEAGEAdABhAC4AQwBvAG0AbQBvAG4AXwBTAG8AdQByAGMAZQBEAGEAdABhAF8ARgByAGEAYwBXAEUAVABJAHIAcgBpAGcAYQB0AGkAbwBuAF8AUwBvAHUAcgBjAGUAIgAsACIAQwBvAG0AbQBvAG4AXwBTAG8AdQByAGMAZQBEAGEAdABhAC4AQwBvAG0AbQBvAG4AXwBTAG8AdQByAGMAZQBEAGEAdABhAF8ARgByAGEAYwBXAEUAVABJAHIAcgBpAGcAYQB0AGkAbwBuAF8ATgBJAFIAUgBlAGYAZQByAGUAbgBjAGUAIgAsACIAQwBvAG0AbQBvAG4AXwBTAG8AdQByAGMAZQBEAGEAdABhAC4AQwBvAG0AbQBvAG4AXwBTAG8AdQByAGMAZQBEAGEAdABhAF8ARgByAGEAYwBXAEUAVABJAHIAcgBpAGcAYQB0AGkAbwBuAF8ARABhAHQAYQAiACwAIgBDAG8AbQBtAG8AbgBfAFMAbwB1AHIAYwBlAEQAYQB0AGEALgBDAG8AbQBtAG8AbgBfAFMAbwB1AHIAYwBlAEQAYQB0AGEAXwBGAHIAYQBjAFcARQBUAEkAcgByAGkAZwBhAHQAaQBvAG4AXwBWAGEAcgBpAGEAdABpAG8AbgAiACwAIgBDAG8AbQBtAG8AbgBfAFMAbwB1AHIAYwBlAEQAYQB0AGEALgBDAG8AbQBtAG8AbgBfAFMAbwB1AHIAYwBlAEQAYQB0AGEAXwBFAEYAUABhAHMAdAB1AHIAZQBSAGEAbgBnAGUAQQBuAGQAUABhAGQAZABvAGMAawBfAFQAaQB0AGwAZQAiACwAIgBDAG8AbQBtAG8AbgBfAFMAbwB1AHIAYwBlAEQAYQB0AGEALgBDAG8AbQBtAG8AbgBfAFMAbwB1AHIAYwBlAEQAYQB0AGEAXwBFAEYAUABhAHMAdAB1AHIAZQBSAGEAbgBnAGUAQQBuAGQAUABhAGQAZABvAGMAawBfAFUAbgBpAHQAIgAsACIAQwBvAG0AbQBvAG4AXwBTAG8AdQByAGMAZQBEAGEAdABhAC4AQwBvAG0AbQBvAG4AXwBTAG8AdQByAGMAZQBEAGEAdABhAF8ARQBGAFAAYQBzAHQAdQByAGUAUgBhAG4AZwBlAEEAbgBkAFAAYQBkAGQAbwBjAGsAXwBTAG8AdQByAGMAZQAiACwAIgBDAG8AbQBtAG8AbgBfAFMAbwB1AHIAYwBlAEQAYQB0AGEALgBDAG8AbQBtAG8AbgBfAFMAbwB1AHIAYwBlAEQAYQB0AGEAXwBFAEYAUABhAHMAdAB1AHIAZQBSAGEAbgBnAGUAQQBuAGQAUABhAGQAZABvAGMAawBfAE4ASQBSAFIAZQBmAGUAcgBlAG4AYwBlACIALAAiAEMAbwBtAG0AbwBuAF8AUwBvAHUAcgBjAGUARABhAHQAYQAuAEMAbwBtAG0AbwBuAF8AUwBvAHUAcgBjAGUARABhAHQAYQBfAEUARgBQAGEAcwB0AHUAcgBlAFIAYQBuAGcAZQBBAG4AZABQAGEAZABkAG8AYwBrAF8ARABhAHQAYQAiACwAIgBDAG8AbQBtAG8AbgBfAFMAbwB1AHIAYwBlAEQAYQB0AGEALgBDAG8AbQBtAG8AbgBfAFMAbwB1AHIAYwBlAEQAYQB0AGEAXwBFAEYAUABhAHMAdAB1AHIAZQBSAGEAbgBnAGUAQQBuAGQAUABhAGQAZABvAGMAawBfAFYAYQByAGkAYQB0AGkAbwBuACIALAAiAEMAbwBtAG0AbwBuAF8AUwBvAHUAcgBjAGUARABhAHQAYQAuAEMAbwBtAG0AbwBuAF8AUwBvAHUAcgBjAGUARABhAHQAYQBfAE0AbwBuAHQAaABzAFQAbwBTAGUAYQBzAG8AbgBzAF8AVABpAHQAbABlACIALAAiAEMAbwBtAG0AbwBuAF8AUwBvAHUAcgBjAGUARABhAHQAYQAuAEMAbwBtAG0AbwBuAF8AUwBvAHUAcgBjAGUARABhAHQAYQBfAE0AbwBuAHQAaABzAFQAbwBTAGUAYQBzAG8AbgBzAF8AVQBuAGkAdAAiACwAIgBDAG8AbQBtAG8AbgBfAFMAbwB1AHIAYwBlAEQAYQB0AGEALgBDAG8AbQBtAG8AbgBfAFMAbwB1AHIAYwBlAEQAYQB0AGEAXwBNAG8AbgB0AGgAcwBUAG8AUwBlAGEAcwBvAG4AcwBfAFMAbwB1AHIAYwBlACIALAAiAEMAbwBtAG0AbwBuAF8AUwBvAHUAcgBjAGUARABhAHQAYQAuAEMAbwBtAG0AbwBuAF8AUwBvAHUAcgBjAGUARABhAHQAYQBfAE0AbwBuAHQAaABzAFQAbwBTAGUAYQBzAG8AbgBzAF8ATgBJAFIAUgBlAGYAZQByAGUAbgBjAGUAIgAsACIAQwBvAG0AbQBvAG4AXwBTAG8AdQByAGMAZQBEAGEAdABhAC4AQwBvAG0AbQBvAG4AXwBTAG8AdQByAGMAZQBEAGEAdABhAF8ATQBvAG4AdABoAHMAVABvAFMAZQBhAHMAbwBuAHMAXwBEAGEAdABhACIALAAiAEMAbwBtAG0AbwBuAF8AUwBvAHUAcgBjAGUARABhAHQAYQAuAEMAbwBtAG0AbwBuAF8AUwBvAHUAcgBjAGUARABhAHQAYQBfAE0AbwBuAHQAaABzAFQAbwBTAGUAYQBzAG8AbgBzAF8AVgBhAHIAaQBhAHQAaQBvAG4AIgAsACIAQwBvAG0AbQBvAG4AXwBTAG8AdQByAGMAZQBEAGEAdABhAC4AQwBvAG0AbQBvAG4AXwBTAG8AdQByAGMAZQBEAGEAdABhAF8ARQBGAE8AcgBnAGEAbgBpAGMARgBlAHIAdABpAGwAaQBzAGUAcgBBAG4AZABDAHIAbwBwAFIAZQBzAGkAZAB1AGUAcwBfAFQAaQB0AGwAZQAiACwAIgBDAG8AbQBtAG8AbgBfAFMAbwB1AHIAYwBlAEQAYQB0AGEALgBDAG8AbQBtAG8AbgBfAFMAbwB1AHIAYwBlAEQAYQB0AGEAXwBFAEYATwByAGcAYQBuAGkAYwBGAGUAcgB0AGkAbABpAHMAZQByAEEAbgBkAEMAcgBvAHAAUgBlAHMAaQBkAHUAZQBzAF8AVgBhAHIAaQBhAGIAbABlACIALAAiAEMAbwBtAG0AbwBuAF8AUwBvAHUAcgBjAGUARABhAHQAYQAuAEMAbwBtAG0AbwBuAF8AUwBvAHUAcgBjAGUARABhAHQAYQBfAEUARgBPAHIAZwBhAG4AaQBjAEYAZQByAHQAaQBsAGkAcwBlAHIAQQBuAGQAQwByAG8AcABSAGUAcwBpAGQAdQBlAHMAXwBVAG4AaQB0ACIALAAiAEMAbwBtAG0AbwBuAF8AUwBvAHUAcgBjAGUARABhAHQAYQAuAEMAbwBtAG0AbwBuAF8AUwBvAHUAcgBjAGUARABhAHQAYQBfAEUARgBPAHIAZwBhAG4AaQBjAEYAZQByAHQAaQBsAGkAcwBlAHIAQQBuAGQAQwByAG8AcABSAGUAcwBpAGQAdQBlAHMAXwBTAG8AdQByAGMAZQAiACwAIgBDAG8AbQBtAG8AbgBfAFMAbwB1AHIAYwBlAEQAYQB0AGEALgBDAG8AbQBtAG8AbgBfAFMAbwB1AHIAYwBlAEQAYQB0AGEAXwBFAEYATwByAGcAYQBuAGkAYwBGAGUAcgB0AGkAbABpAHMAZQByAEEAbgBkAEMAcgBvAHAAUgBlAHMAaQBkAHUAZQBzAF8ATgBJAFIAUgBlAGYAZQByAGUAbgBjAGUAIgAsACIAQwBvAG0AbQBvAG4AXwBTAG8AdQByAGMAZQBEAGEAdABhAC4AQwBvAG0AbQBvAG4AXwBTAG8AdQByAGMAZQBEAGEAdABhAF8ARQBGAE8AcgBnAGEAbgBpAGMARgBlAHIAdABpAGwAaQBzAGUAcgBBAG4AZABDAHIAbwBwAFIAZQBzAGkAZAB1AGUAcwBfAEQAYQB0AGEAIgAsACIAQwBvAG0AbQBvAG4AXwBTAG8AdQByAGMAZQBEAGEAdABhAC4AQwBvAG0AbQBvAG4AXwBTAG8AdQByAGMAZQBEAGEAdABhAF8ARQBGAE8AcgBnAGEAbgBpAGMARgBlAHIAdABpAGwAaQBzAGUAcgBBAG4AZABDAHIAbwBwAFIAZQBzAGkAZAB1AGUAcwBfAFYAYQByAGkAYQB0AGkAbwBuACIALAAiAEMAbwBtAG0AbwBuAF8ARQBxAHUAYQB0AGkAbwBuAHMALgBDAG8AbQBtAG8AbgBfAEMAbwBuAHYAZQByAHQATgAyAE8AVABvAEMATwAyAGUAIgAsACIAQwBvAG0AbQBvAG4AXwBFAHEAdQBhAHQAaQBvAG4AcwAuAEMAbwBtAG0AbwBuAF8AQwBvAG4AdgBlAHIAdABOADIATwBUAG8AQwBPADIAZQBfAFQAaQB0AGwAZQAiACwAIgBDAG8AbQBtAG8AbgBfAEUAcQB1AGEAdABpAG8AbgBzAC4AQwBvAG0AbQBvAG4AXwBDAG8AbgB2AGUAcgB0AE4AMgBPAFQAbwBDAE8AMgBlAF8AVgBhAHIAaQBhAGIAbABlACIALAAiAEMAbwBtAG0AbwBuAF8ARQBxAHUAYQB0AGkAbwBuAHMALgBDAG8AbQBtAG8AbgBfAEMAbwBuAHYAZQByAHQATgAyAE8AVABvAEMATwAyAGUAXwBVAG4AaQB0ACIALAAiAEMAbwBtAG0AbwBuAF8ARQBxAHUAYQB0AGkAbwBuAHMALgBDAG8AbQBtAG8AbgBfAEMAbwBuAHYAZQByAHQATgAyAE8AVABvAEMATwAyAGUAXwBOAEkAUgBSAGUAZgBlAHIAZQBuAGMAZQAiACwAIgBDAG8AbQBtAG8AbgBfAEUAcQB1AGEAdABpAG8AbgBzAC4AQwBvAG0AbQBvAG4AXwBDAG8AbgB2AGUAcgB0AE4AMgBPAFQAbwBDAE8AMgBlAF8ATABhAHQAZQB4AEUAcQB1AGEAdABpAG8AbgAiACwAIgBDAG8AbQBtAG8AbgBfAEUAcQB1AGEAdABpAG8AbgBzAC4AQwBvAG0AbQBvAG4AXwBDAG8AbgB2AGUAcgB0AE4AMgBPAFQAbwBDAE8AMgBlAF8AQQByAGcAdQBtAGUAbgB0AHMAIgAsACIAQwBvAG0AbQBvAG4AXwBFAHEAdQBhAHQAaQBvAG4AcwAuAEMAbwBtAG0AbwBuAF8AQwBvAG4AdgBlAHIAdABDAEgANABUAG8AQwBPADIAZQAiACwAIgBDAG8AbQBtAG8AbgBfAEUAcQB1AGEAdABpAG8AbgBzAC4AQwBvAG0AbQBvAG4AXwBDAG8AbgB2AGUAcgB0AEMASAA0AFQAbwBDAE8AMgBlAF8AVABpAHQAbABlACIALAAiAEMAbwBtAG0AbwBuAF8ARQBxAHUAYQB0AGkAbwBuAHMALgBDAG8AbQBtAG8AbgBfAEMAbwBuAHYAZQByAHQAQwBIADQAVABvAEMATwAyAGUAXwBWAGEAcgBpAGEAYgBsAGUAIgAsACIAQwBvAG0AbQBvAG4AXwBFAHEAdQBhAHQAaQBvAG4AcwAuAEMAbwBtAG0AbwBuAF8AQwBvAG4AdgBlAHIAdABDAEgANABUAG8AQwBPADIAZQBfAFUAbgBpAHQAIgAsACIAQwBvAG0AbQBvAG4AXwBFAHEAdQBhAHQAaQBvAG4AcwAuAEMAbwBtAG0AbwBuAF8AQwBvAG4AdgBlAHIAdABDAEgANABUAG8AQwBPADIAZQBfAE4ASQBSAFIAZQBmAGUAcgBlAG4AYwBlACIALAAiAEMAbwBtAG0AbwBuAF8ARQBxAHUAYQB0AGkAbwBuAHMALgBDAG8AbQBtAG8AbgBfAEMAbwBuAHYAZQByAHQAQwBIADQAVABvAEMATwAyAGUAXwBMAGEAdABlAHgARQBxAHUAYQB0AGkAbwBuACIALAAiAEMAbwBtAG0AbwBuAF8ARQBxAHUAYQB0AGkAbwBuAHMALgBDAG8AbQBtAG8AbgBfAEMAbwBuAHYAZQByAHQAQwBIADQAVABvAEMATwAyAGUAXwBBAHIAZwB1AG0AZQBuAHQAcwAiACwAIgBDAG8AbQBtAG8AbgBMAGkAdgBlAHMAdABvAGMAawBfAFMAbwB1AHIAYwBlAEQAYQB0AGEALgBTAG8AdQByAGMAZQBEAGEAdABhAF8ATABpAHYAZQBzAHQAbwBjAGsAXwBDAG8AbQBtAG8AbgBfAEYAcgBhAGMAVwBFAFQATQBNAFMAXwBUAGkAdABsAGUAIgAsACIAQwBvAG0AbQBvAG4ATABpAHYAZQBzAHQAbwBjAGsAXwBTAG8AdQByAGMAZQBEAGEAdABhAC4AUwBvAHUAcgBjAGUARABhAHQAYQBfAEwAaQB2AGUAcwB0AG8AYwBrAF8AQwBvAG0AbQBvAG4AXwBGAHIAYQBjAFcARQBUAE0ATQBTAF8AVQBuAGkAdAAiACwAIgBDAG8AbQBtAG8AbgBMAGkAdgBlAHMAdABvAGMAawBfAFMAbwB1AHIAYwBlAEQAYQB0AGEALgBTAG8AdQByAGMAZQBEAGEAdABhAF8ATABpAHYAZQBzAHQAbwBjAGsAXwBDAG8AbQBtAG8AbgBfAEYAcgBhAGMAVwBFAFQATQBNAFMAXwBTAG8AdQByAGMAZQAiACwAIgBDAG8AbQBtAG8AbgBMAGkAdgBlAHMAdABvAGMAawBfAFMAbwB1AHIAYwBlAEQAYQB0AGEALgBTAG8AdQByAGMAZQBEAGEAdABhAF8ATABpAHYAZQBzAHQAbwBjAGsAXwBDAG8AbQBtAG8AbgBfAEYAcgBhAGMAVwBFAFQATQBNAFMAXwBEAGEAdABhACIALAAiAEMAbwBtAG0AbwBuAEwAaQB2AGUAcwB0AG8AYwBrAF8AUwBvAHUAcgBjAGUARABhAHQAYQAuAFMAbwB1AHIAYwBlAEQAYQB0AGEAXwBMAGkAdgBlAHMAdABvAGMAawBfAEMAbwBtAG0AbwBuAF8ARgByAGEAYwBMAEUAQQBDAEgAXwBNAFMAXwBUAGkAdABsAGUAIgAsACIAQwBvAG0AbQBvAG4ATABpAHYAZQBzAHQAbwBjAGsAXwBTAG8AdQByAGMAZQBEAGEAdABhAC4AUwBvAHUAcgBjAGUARABhAHQAYQBfAEwAaQB2AGUAcwB0AG8AYwBrAF8AQwBvAG0AbQBvAG4AXwBGAHIAYQBjAEwARQBBAEMASABfAE0AUwBfAFUAbgBpAHQAIgAsACIAQwBvAG0AbQBvAG4ATABpAHYAZQBzAHQAbwBjAGsAXwBTAG8AdQByAGMAZQBEAGEAdABhAC4AUwBvAHUAcgBjAGUARABhAHQAYQBfAEwAaQB2AGUAcwB0AG8AYwBrAF8AQwBvAG0AbQBvAG4AXwBGAHIAYQBjAEwARQBBAEMASABfAE0AUwBfAFMAbwB1AHIAYwBlACIALAAiAEMAbwBtAG0AbwBuAEwAaQB2AGUAcwB0AG8AYwBrAF8AUwBvAHUAcgBjAGUARABhAHQAYQAuAFMAbwB1AHIAYwBlAEQAYQB0AGEAXwBMAGkAdgBlAHMAdABvAGMAawBfAEMAbwBtAG0AbwBuAF8ARgByAGEAYwBMAEUAQQBDAEgAXwBNAFMAXwBEAGEAdABhACIALAAiAEMAbwBtAG0AbwBuAEwAaQB2AGUAcwB0AG8AYwBrAF8AUwBvAHUAcgBjAGUARABhAHQAYQAuAFMAbwB1AHIAYwBlAEQAYQB0AGEAXwBMAGkAdgBlAHMAdABvAGMAawBfAEMAbwBtAG0AbwBuAF8AUwB5AG0AYgBvAGwAcwBNAE0AUwBfAFQAaQB0AGwAZQAiACwAIgBDAG8AbQBtAG8AbgBMAGkAdgBlAHMAdABvAGMAawBfAFMAbwB1AHIAYwBlAEQAYQB0AGEALgBTAG8AdQByAGMAZQBEAGEAdABhAF8ATABpAHYAZQBzAHQAbwBjAGsAXwBDAG8AbQBtAG8AbgBfAFMAeQBtAGIAbwBsAHMATQBNAFMAXwBWAGEAaQByAGEAYgBsAGUAIgAsACIAQwBvAG0AbQBvAG4ATABpAHYAZQBzAHQAbwBjAGsAXwBTAG8AdQByAGMAZQBEAGEAdABhAC4AUwBvAHUAcgBjAGUARABhAHQAYQBfAEwAaQB2AGUAcwB0AG8AYwBrAF8AQwBvAG0AbQBvAG4AXwBTAHkAbQBiAG8AbABzAE0ATQBTAF8AVQBuAGkAdAAiACwAIgBDAG8AbQBtAG8AbgBMAGkAdgBlAHMAdABvAGMAawBfAFMAbwB1AHIAYwBlAEQAYQB0AGEALgBTAG8AdQByAGMAZQBEAGEAdABhAF8ATABpAHYAZQBzAHQAbwBjAGsAXwBDAG8AbQBtAG8AbgBfAFMAeQBtAGIAbwBsAHMATQBNAFMAXwBTAG8AdQByAGMAZQAiACwAIgBDAG8AbQBtAG8AbgBMAGkAdgBlAHMAdABvAGMAawBfAFMAbwB1AHIAYwBlAEQAYQB0AGEALgBTAG8AdQByAGMAZQBEAGEAdABhAF8ATABpAHYAZQBzAHQAbwBjAGsAXwBDAG8AbQBtAG8AbgBfAFMAeQBtAGIAbwBsAHMATQBNAFMAXwBEAGEAdABhACIALAAiAEMAbwBtAG0AbwBuAEwAaQB2AGUAcwB0AG8AYwBrAF8AUwBvAHUAcgBjAGUARABhAHQAYQAuAFMAbwB1AHIAYwBlAEQAYQB0AGEAXwBMAGkAdgBlAHMAdABvAGMAawBfAFAAcgBvAGQAdQBjAHQAXwBCAGUAZQBmAEMAYQB0AHQAbABlAF8AVABpAHQAbABlACIALAAiAEMAbwBtAG0AbwBuAEwAaQB2AGUAcwB0AG8AYwBrAF8AUwBvAHUAcgBjAGUARABhAHQAYQAuAFMAbwB1AHIAYwBlAEQAYQB0AGEAXwBMAGkAdgBlAHMAdABvAGMAawBfAFAAcgBvAGQAdQBjAHQAXwBCAGUAZQBmAEMAYQB0AHQAbABlAF8AVgBhAGkAcgBhAGIAbABlACIALAAiAEMAbwBtAG0AbwBuAEwAaQB2AGUAcwB0AG8AYwBrAF8AUwBvAHUAcgBjAGUARABhAHQAYQAuAFMAbwB1AHIAYwBlAEQAYQB0AGEAXwBMAGkAdgBlAHMAdABvAGMAawBfAFAAcgBvAGQAdQBjAHQAXwBCAGUAZQBmAEMAYQB0AHQAbABlAF8AVQBuAGkAdAAiACwAIgBDAG8AbQBtAG8AbgBMAGkAdgBlAHMAdABvAGMAawBfAFMAbwB1AHIAYwBlAEQAYQB0AGEALgBTAG8AdQByAGMAZQBEAGEAdABhAF8ATABpAHYAZQBzAHQAbwBjAGsAXwBQAHIAbwBkAHUAYwB0AF8AQgBlAGUAZgBDAGEAdAB0AGwAZQBfAFMAbwB1AHIAYwBlACIALAAiAEMAbwBtAG0AbwBuAEwAaQB2AGUAcwB0AG8AYwBrAF8AUwBvAHUAcgBjAGUARABhAHQAYQAuAFMAbwB1AHIAYwBlAEQAYQB0AGEAXwBMAGkAdgBlAHMAdABvAGMAawBfAFAAcgBvAGQAdQBjAHQAXwBCAGUAZQBmAEMAYQB0AHQAbABlAF8ARABhAHQAYQAiACwAIgBDAG8AbQBtAG8AbgBMAGkAdgBlAHMAdABvAGMAawBfAFMAbwB1AHIAYwBlAEQAYQB0AGEALgBTAG8AdQByAGMAZQBEAGEAdABhAF8ATABpAHYAZQBzAHQAbwBjAGsAXwBQAHIAbwBkAHUAYwB0AF8AQwBoAGkAYwBrAGUAbgBzAF8AVABpAHQAbABlACIALAAiAEMAbwBtAG0AbwBuAEwAaQB2AGUAcwB0AG8AYwBrAF8AUwBvAHUAcgBjAGUARABhAHQAYQAuAFMAbwB1AHIAYwBlAEQAYQB0AGEAXwBMAGkAdgBlAHMAdABvAGMAawBfAFAAcgBvAGQAdQBjAHQAXwBDAGgAaQBjAGsAZQBuAHMAXwBWAGEAaQByAGEAYgBsAGUAIgAsACIAQwBvAG0AbQBvAG4ATABpAHYAZQBzAHQAbwBjAGsAXwBTAG8AdQByAGMAZQBEAGEAdABhAC4AUwBvAHUAcgBjAGUARABhAHQAYQBfAEwAaQB2AGUAcwB0AG8AYwBrAF8AUAByAG8AZAB1AGMAdABfAEMAaABpAGMAawBlAG4AcwBfAFUAbgBpAHQAIgAsACIAQwBvAG0AbQBvAG4ATABpAHYAZQBzAHQAbwBjAGsAXwBTAG8AdQByAGMAZQBEAGEAdABhAC4AUwBvAHUAcgBjAGUARABhAHQAYQBfAEwAaQB2AGUAcwB0AG8AYwBrAF8AUAByAG8AZAB1AGMAdABfAEMAaABpAGMAawBlAG4AcwBfAFMAbwB1AHIAYwBlACIALAAiAEMAbwBtAG0AbwBuAEwAaQB2AGUAcwB0AG8AYwBrAF8AUwBvAHUAcgBjAGUARABhAHQAYQAuAFMAbwB1AHIAYwBlAEQAYQB0AGEAXwBMAGkAdgBlAHMAdABvAGMAawBfAFAAcgBvAGQAdQBjAHQAXwBDAGgAaQBjAGsAZQBuAHMAXwBEAGEAdABhACIALAAiAEMAbwBtAG0AbwBuAEwAaQB2AGUAcwB0AG8AYwBrAF8AUwBvAHUAcgBjAGUARABhAHQAYQAuAFMAbwB1AHIAYwBlAEQAYQB0AGEAXwBMAGkAdgBlAHMAdABvAGMAawBfAFAAcgBvAGQAdQBjAHQAXwBEAGEAaQByAHkAYwBhAHQAdABsAGUAXwBUAGkAdABsAGUAIgAsACIAQwBvAG0AbQBvAG4ATABpAHYAZQBzAHQAbwBjAGsAXwBTAG8AdQByAGMAZQBEAGEAdABhAC4AUwBvAHUAcgBjAGUARABhAHQAYQBfAEwAaQB2AGUAcwB0AG8AYwBrAF8AUAByAG8AZAB1AGMAdABfAEQAYQBpAHIAeQBjAGEAdAB0AGwAZQBfAFYAYQBpAHIAYQBiAGwAZQAiACwAIgBDAG8AbQBtAG8AbgBMAGkAdgBlAHMAdABvAGMAawBfAFMAbwB1AHIAYwBlAEQAYQB0AGEALgBTAG8AdQByAGMAZQBEAGEAdABhAF8ATABpAHYAZQBzAHQAbwBjAGsAXwBQAHIAbwBkAHUAYwB0AF8ARABhAGkAcgB5AGMAYQB0AHQAbABlAF8AVQBuAGkAdAAiACwAIgBDAG8AbQBtAG8AbgBMAGkAdgBlAHMAdABvAGMAawBfAFMAbwB1AHIAYwBlAEQAYQB0AGEALgBTAG8AdQByAGMAZQBEAGEAdABhAF8ATABpAHYAZQBzAHQAbwBjAGsAXwBQAHIAbwBkAHUAYwB0AF8ARABhAGkAcgB5AGMAYQB0AHQAbABlAF8AUwBvAHUAcgBjAGUAIgAsACIAQwBvAG0AbQBvAG4ATABpAHYAZQBzAHQAbwBjAGsAXwBTAG8AdQByAGMAZQBEAGEAdABhAC4AUwBvAHUAcgBjAGUARABhAHQAYQBfAEwAaQB2AGUAcwB0AG8AYwBrAF8AUAByAG8AZAB1AGMAdABfAEQAYQBpAHIAeQBjAGEAdAB0AGwAZQBfAEQAYQB0AGEAIgAsACIAQwBvAG0AbQBvAG4ATABpAHYAZQBzAHQAbwBjAGsAXwBTAG8AdQByAGMAZQBEAGEAdABhAC4AUwBvAHUAcgBjAGUARABhAHQAYQBfAEwAaQB2AGUAcwB0AG8AYwBrAF8AUAByAG8AZAB1AGMAdABfAFAAaQBnAHMAXwBUAGkAdABsAGUAIgAsACIAQwBvAG0AbQBvAG4ATABpAHYAZQBzAHQAbwBjAGsAXwBTAG8AdQByAGMAZQBEAGEAdABhAC4AUwBvAHUAcgBjAGUARABhAHQAYQBfAEwAaQB2AGUAcwB0AG8AYwBrAF8AUAByAG8AZAB1AGMAdABfAFAAaQBnAHMAXwBWAGEAaQByAGEAYgBsAGUAIgAsACIAQwBvAG0AbQBvAG4ATABpAHYAZQBzAHQAbwBjAGsAXwBTAG8AdQByAGMAZQBEAGEAdABhAC4AUwBvAHUAcgBjAGUARABhAHQAYQBfAEwAaQB2AGUAcwB0AG8AYwBrAF8AUAByAG8AZAB1AGMAdABfAFAAaQBnAHMAXwBVAG4AaQB0ACIALAAiAEMAbwBtAG0AbwBuAEwAaQB2AGUAcwB0AG8AYwBrAF8AUwBvAHUAcgBjAGUARABhAHQAYQAuAFMAbwB1AHIAYwBlAEQAYQB0AGEAXwBMAGkAdgBlAHMAdABvAGMAawBfAFAAcgBvAGQAdQBjAHQAXwBQAGkAZwBzAF8AUwBvAHUAcgBjAGUAIgAsACIAQwBvAG0AbQBvAG4ATABpAHYAZQBzAHQAbwBjAGsAXwBTAG8AdQByAGMAZQBEAGEAdABhAC4AUwBvAHUAcgBjAGUARABhAHQAYQBfAEwAaQB2AGUAcwB0AG8AYwBrAF8AUAByAG8AZAB1AGMAdABfAFAAaQBnAHMAXwBEAGEAdABhACIALAAiAEMAbwBtAG0AbwBuAEwAaQB2AGUAcwB0AG8AYwBrAF8AUwBvAHUAcgBjAGUARABhAHQAYQAuAFMAbwB1AHIAYwBlAEQAYQB0AGEAXwBMAGkAdgBlAHMAdABvAGMAawBfAFAAcgBvAGQAdQBjAHQAXwBTAGgAZQBlAHAAXwBUAGkAdABsAGUAIgAsACIAQwBvAG0AbQBvAG4ATABpAHYAZQBzAHQAbwBjAGsAXwBTAG8AdQByAGMAZQBEAGEAdABhAC4AUwBvAHUAcgBjAGUARABhAHQAYQBfAEwAaQB2AGUAcwB0AG8AYwBrAF8AUAByAG8AZAB1AGMAdABfAFMAaABlAGUAcABfAFYAYQBpAHIAYQBiAGwAZQAiACwAIgBDAG8AbQBtAG8AbgBMAGkAdgBlAHMAdABvAGMAawBfAFMAbwB1AHIAYwBlAEQAYQB0AGEALgBTAG8AdQByAGMAZQBEAGEAdABhAF8ATABpAHYAZQBzAHQAbwBjAGsAXwBQAHIAbwBkAHUAYwB0AF8AUwBoAGUAZQBwAF8AVQBuAGkAdAAiACwAIgBDAG8AbQBtAG8AbgBMAGkAdgBlAHMAdABvAGMAawBfAFMAbwB1AHIAYwBlAEQAYQB0AGEALgBTAG8AdQByAGMAZQBEAGEAdABhAF8ATABpAHYAZQBzAHQAbwBjAGsAXwBQAHIAbwBkAHUAYwB0AF8AUwBoAGUAZQBwAF8AUwBvAHUAcgBjAGUAIgAsACIAQwBvAG0AbQBvAG4ATABpAHYAZQBzAHQAbwBjAGsAXwBTAG8AdQByAGMAZQBEAGEAdABhAC4AUwBvAHUAcgBjAGUARABhAHQAYQBfAEwAaQB2AGUAcwB0AG8AYwBrAF8AUAByAG8AZAB1AGMAdABfAFMAaABlAGUAcABfAEQAYQB0AGEAIgAsACIAQwBvAG0AbQBvAG4AXwBJAG4AcAB1AHQARgB1AG4AYwB0AGkAbwBuAHMALgBVAHQAaQBsAGkAdAB5AF8ARwBlAHQAQQByAHIAYQB5AFQAYQBiAGwAZQBSAG8AdwBTAHQAYQByAHQATgB1AG0AYgBlAHIAIgAsACIAQwBvAG0AbQBvAG4AXwBJAG4AcAB1AHQARgB1AG4AYwB0AGkAbwBuAHMALgBVAHQAaQBsAGkAdAB5AF8ARwBlAHQAQQByAHIAYQB5AFQAYQBiAGwAZQBDAG8AbAB1AG0AbgBTAHQAYQByAHQATgB1AG0AYgBlAHIAIgAsACIAQwBvAG0AbQBvAG4AXwBJAG4AcAB1AHQARgB1AG4AYwB0AGkAbwBuAHMALgBVAHQAaQBsAGkAdAB5AF8ARABpAHMAcABsAGEAeQBBAHIAcgBhAHkASQBuAFQAYQBiAGwAZQAiACwAIgBDAG8AbQBtAG8AbgBfAEkAbgBwAHUAdABGAHUAbgBjAHQAaQBvAG4AcwAuAFUAdABpAGwAaQB0AHkAXwBMAG8AbwBrAHUAcABWAGEAbAB1AGUASQBuAFQAYQBiAGwAZQAiACwAIgBDAG8AbQBtAG8AbgBfAEkAbgBwAHUAdABGAHUAbgBjAHQAaQBvAG4AcwAuAFUAdABpAGwAaQB0AHkAXwBMAG8AbwBrAHUAcABWAGEAbAB1AGUASQBuAFQAYQBiAGwAZQBOAHUAbQBiAGUAcgAiACwAIgBDAG8AbQBtAG8AbgBfAEkAbgBwAHUAdABGAHUAbgBjAHQAaQBvAG4AcwAuAFUAdABpAGwAaQB0AHkAXwBMAG8AbwBrAHUAcABWAGEAbAB1AGUASQBuAFQAYQBiAGwAZQBUAHcAbwBDAG8AbAB1AG0AbgBzACIALAAiAEMAbwBtAG0AbwBuAF8ASQBuAHAAdQB0AEYAdQBuAGMAdABpAG8AbgBzAC4AVQB0AGkAbABpAHQAeQBfAEwAbwBvAGsAdQBwAFYAYQBsAHUAZQBJAG4AVABhAGIAbABlAE8AbgBlAEMAbwBsAHUAbQBuAEEAbgBkAEgAZQBhAGQAZQByACIALAAiAEMAbwBtAG0AbwBuAF8ASQBuAHAAdQB0AEYAdQBuAGMAdABpAG8AbgBzAC4AVQB0AGkAbABpAHQAeQBfAFMAcABsAGkAdABTAHQAcgBpAG4AZwBJAG4AdABvAEEAcgByAGEAeQAiACwAIgBDAG8AbQBtAG8AbgBfAEkAbgBwAHUAdABGAHUAbgBjAHQAaQBvAG4AcwAuAFUAdABpAGwAaQB0AHkAXwBHAGUAdABDAGwAaQBtAGEAdABlAFoAbwBuAGUAIgAsACIAQwBvAG0AbQBvAG4AXwBJAG4AcAB1AHQARgB1AG4AYwB0AGkAbwBuAHMALgBVAHQAaQBsAGkAdAB5AF8ATABvAG8AawB1AHAASQB0AGUAbQBGAHIAbwBtAE0AaQBuAE0AYQB4ACIALAAiAEMAbwBtAG0AbwBuAF8ASQBuAHAAdQB0AEYAdQBuAGMAdABpAG8AbgBzAC4AVQB0AGkAbABpAHQAeQBfAFMAdQBtAFEAdQBhAG4AdABpAHQAeQBGAHIAbwBtAEMAcgBpAHQAZQByAGkAYQAiACwAIgBDAG8AbQBtAG8AbgBfAEkAbgBwAHUAdABGAHUAbgBjAHQAaQBvAG4AcwAuAGcAZQB0AE8AdgBlAHIAbABhAHAAcABpAG4AZwBSAGUAcABvAHIAdABpAG4AZwBDAHkAYwBsAGUAcwAiACwAIgBDAG8AbQBtAG8AbgBfAEkAbgBwAHUAdABGAHUAbgBjAHQAaQBvAG4AcwAuAGcAZQB0AE8AdgBlAHIAbABhAHAAcABpAG4AZwBSAGUAcABvAHIAdABpAG4AZwBQAGUAcgBpAG8AZABzACIALAAiAEMAbwBtAG0AbwBuAF8ASQBuAHAAdQB0AEYAdQBuAGMAdABpAG8AbgBzAC4AVQB0AGkAbABpAHQAeQBfAEQAaQBzAHAAbABhAHkARgB1AG4AYwB0AGkAbwBuAE4AYQBtAGUAIgAsACIAQwBvAG0AbQBvAG4AXwBJAG4AcAB1AHQARgB1AG4AYwB0AGkAbwBuAHMALgBVAHQAaQBsAGkAdAB5AF8ATABvAG8AawB1AHAATgAyAE8ARQBGAEYAcgBvAG0AUAByAG8AZABJAHIAcgBpAGcAYQB0AGkAbwBuAFIAYQBpAG4AZgBhAGwAbAAiACwAIgBDAG8AbQBtAG8AbgBfAEkAbgBwAHUAdABGAHUAbgBjAHQAaQBvAG4AcwAuAEMAbwBtAG0AbwBuAEMAcgBvAHAAcABpAG4AZwBfAEcAZQB0AEYAcgBhAGMAVwBFAFQAIgAsACIAQwBvAG0AbQBvAG4AXwBJAG4AcAB1AHQARgB1AG4AYwB0AGkAbwBuAHMALgBVAHQAaQBsAGkAdAB5AF8AQwBvAG4AdgBlAHIAdABTAHQAYQB0AGUAQwBvAG0AbQBvAG4ATgBhAG0AZQBUAG8AQQBiAGIAcgBlAHYAaQBhAHQAaQBvAG4AIgAsACIAQwBvAG0AbQBvAG4AXwBJAG4AcAB1AHQARgB1AG4AYwB0AGkAbwBuAHMALgBVAHQAaQBsAGkAdAB5AF8AUwBvAHUAcgBjAGUASAB5AHAAZQByAGwAaQBuAGsARABpAGYAZgBlAHIAZQBuAHQAUwBoAGUAZQB0ACIALAAiAEMAbwBtAG0AbwBuAF8ASQBuAHAAdQB0AEYAdQBuAGMAdABpAG8AbgBzAC4AVQB0AGkAbABpAHQAeQBfAFIAZQBzAHUAbAB0AHMASQB0AGUAbQBGAHIAbwBtAEUAcQB1AGEAdABpAG8AbgBUAGkAdABsAGUAQQBuAGQAUwBvAHUAcgBjAGUAIgAsACIAQwBvAG0AbQBvAG4AQwByAG8AcABwAGkAbgBnAF8ASQBuAHAAdQB0AEYAdQBuAGMAdABpAG8AbgBzAC4AQwBvAG0AbQBvAG4AQwByAG8AcABwAGkAbgBnAF8ARwBlAHQARgByAGEAYwBXAEUAVAAiACwAIgBDAG8AbQBtAG8AbgBDAHIAbwBwAHAAaQBuAGcAXwBJAG4AcAB1AHQARgB1AG4AYwB0AGkAbwBuAHMALgBDAG8AbQBtAG8AbgBDAHIAbwBwAHAAaQBuAGcAXwBDAGEAbABjAHUAbABhAHQAZQBIAGEAcgB2AGUAcwB0AEkAbgBkAGUAeAAiACwAIgBDAG8AbQBtAG8AbgBDAHIAbwBwAHAAaQBuAGcAXwBJAG4AcAB1AHQARgB1AG4AYwB0AGkAbwBuAHMALgBDAG8AbQBtAG8AbgBDAHIAbwBwAHAAaQBuAGcAXwBDAGEAbABjAHUAbABhAHQAZQBSAGUAcwBpAGQAdQBlAEMAcgBvAHAAUgBhAHQAaQBvACIALAAiAEMAbwBtAG0AbwBuAEMAcgBvAHAAcABpAG4AZwBfAEkAbgBwAHUAdABGAHUAbgBjAHQAaQBvAG4AcwAuAEMAbwBtAG0AbwBuAEMAcgBvAHAAcABpAG4AZwBfAEMAYQBsAGMAdQBsAGEAdABlAEYAcgBhAGMAdABpAG8AbgBSAGUAcwBpAGQAdQBlAFIAZQBtAG8AdgBlAGQAIgAsACIARgBlAHIAdABpAGwAaQBzAGUAcgBfAEkAbgBwAHUAdABGAHUAbgBjAHQAaQBvAG4AcwAuAEYAZQByAHQAaQBsAGkAcwBlAHIAXwBGAGUAcgB0AGkAbABpAHMAZQByAFAAcgBvAGQAdQBjAHQATABvAG8AawB1AHAAIgAsACIARgBlAHIAdABpAGwAaQBzAGUAcgBfAEkAbgBwAHUAdABGAHUAbgBjAHQAaQBvAG4AcwAuAEYAZQByAHQAaQBsAGkAcwBlAHIAXwBTAHUAbQBQAHIAbwBkAHUAYwB0AEEAcABwAGwAaQBlAGQAIgAsACIARgBlAHIAdABpAGwAaQBzAGUAcgBfAEkAbgBwAHUAdABGAHUAbgBjAHQAaQBvAG4AcwAuAEYAZQByAHQAaQBsAGkAcwBlAHIAXwBUAG8AdABhAGwAUwBvAGkAbABBAG0AZQBuAGQAbQBlAG4AdABBAHAAcABsAGkAZQBkACIALAAiAEYAZQByAHQAaQBsAGkAcwBlAHIAXwBJAG4AcAB1AHQARgB1AG4AYwB0AGkAbwBuAHMALgBGAGUAcgB0AGkAbABpAHMAZQByAF8AVABvAHQAYQBsAEMAaABlAG0AaQBjAGEAbABDAG8AbQBwAG8AdQBuAGQAQQBwAHAAbABpAGUAZABBAGwAbABJAG4AZwByAGUAZABpAGUAbgB0AHMAIgAsACIARgBlAHIAdABpAGwAaQBzAGUAcgBfAEkAbgBwAHUAdABGAHUAbgBjAHQAaQBvAG4AcwAuAEYAZQByAHQAaQBsAGkAcwBlAHIAXwBUAG8AdABhAGwAQwBoAGUAbQBpAGMAYQBsAEMAbwBtAHAAbwB1AG4AZAB0AEEAcABwAGwAaQBlAGQAQgB5AFMAbwB1AHIAYwBlAEEAbABsAEkAbgBnAHIAZQBkAGkAZQBuAHQAcwAiACwAIgBGAGUAcgB0AGkAbABpAHMAZQByAF8ASQBuAHAAdQB0AEYAdQBuAGMAdABpAG8AbgBzAC4ARgBlAHIAdABpAGwAaQBzAGUAcgBfAEcAZQB0AFMAYwBvAHAAZQAzAEUARgAiACwAIgBGAGUAcgB0AGkAbABpAHMAZQByAF8ASQBuAHAAdQB0AEYAdQBuAGMAdABpAG8AbgBzAC4ARgBlAHIAdABpAGwAaQBzAGUAcgBfAEcAZQB0AEMAaABlAG0AaQBjAGEAbABDAG8AbQBwAG8AdQBuAGQARQBsAGUAbQBlAG4AdABGAHIAYQBjAHQAaQBvAG4AIgAsACIARgBlAHIAdABpAGwAaQBzAGUAcgBfAEkAbgBwAHUAdABGAHUAbgBjAHQAaQBvAG4AcwAuAEYAZQByAHQAaQBsAGkAcwBlAHIAXwBUAG8AdABhAGwAQQBjAHQAaQB2AGUASQBuAGcAcgBlAGQAaQBlAG4AdABBAHAAcABsAGkAZQBkAEEAbABsAEkAbgBnAHIAZQBkAGkAZQBuAHQAcwAiACwAIgBGAGUAcgB0AGkAbABpAHMAZQByAF8ARQBxAHUAYQB0AGkAbwBuAHMAXwBJAG4AbwByAGcAYQBuAGkAYwBOADIATwAuAFYARQBFAFIARwBfADUAXwAxAF8AMQBfADEAXwBfADEAXwBJAG4AbwByAGcAYQBuAGkAYwBGAGUAcgB0AGkAbABpAHMAZQByAEEAcABwAGwAaQBjAGEAdABpAG8AbgBOADIATwBFAG0AaQBzAHMAaQBvAG4AcwAiACwAIgBGAGUAcgB0AGkAbABpAHMAZQByAF8ARQBxAHUAYQB0AGkAbwBuAHMAXwBJAG4AbwByAGcAYQBuAGkAYwBOADIATwAuAFYARQBFAFIARwBfADUAXwAxAF8AMQBfADEAXwBfADEAXwBJAG4AbwByAGcAYQBuAGkAYwBGAGUAcgB0AGkAbABpAHMAZQByAEEAcABwAGwAaQBjAGEAdABpAG8AbgBOADIATwBFAG0AaQBzAHMAaQBvAG4AcwBfAFQAaQB0AGwAZQAiACwAIgBGAGUAcgB0AGkAbABpAHMAZQByAF8ARQBxAHUAYQB0AGkAbwBuAHMAXwBJAG4AbwByAGcAYQBuAGkAYwBOADIATwAuAFYARQBFAFIARwBfADUAXwAxAF8AMQBfADEAXwBfADEAXwBJAG4AbwByAGcAYQBuAGkAYwBGAGUAcgB0AGkAbABpAHMAZQByAEEAcABwAGwAaQBjAGEAdABpAG8AbgBOADIATwBFAG0AaQBzAHMAaQBvAG4AcwBfAFYAYQByAGkAYQBiAGwAZQAiACwAIgBGAGUAcgB0AGkAbABpAHMAZQByAF8ARQBxAHUAYQB0AGkAbwBuAHMAXwBJAG4AbwByAGcAYQBuAGkAYwBOADIATwAuAFYARQBFAFIARwBfADUAXwAxAF8AMQBfADEAXwBfADEAXwBJAG4AbwByAGcAYQBuAGkAYwBGAGUAcgB0AGkAbABpAHMAZQByAEEAcABwAGwAaQBjAGEAdABpAG8AbgBOADIATwBFAG0AaQBzAHMAaQBvAG4AcwBfAFUAbgBpAHQAIgAsACIARgBlAHIAdABpAGwAaQBzAGUAcgBfAEUAcQB1AGEAdABpAG8AbgBzAF8ASQBuAG8AcgBnAGEAbgBpAGMATgAyAE8ALgBWAEUARQBSAEcAXwA1AF8AMQBfADEAXwAxAF8AXwAxAF8ASQBuAG8AcgBnAGEAbgBpAGMARgBlAHIAdABpAGwAaQBzAGUAcgBBAHAAcABsAGkAYwBhAHQAaQBvAG4ATgAyAE8ARQBtAGkAcwBzAGkAbwBuAHMAXwBTAG8AdQByAGMAZQAiACwAIgBGAGUAcgB0AGkAbABpAHMAZQByAF8ARQBxAHUAYQB0AGkAbwBuAHMAXwBJAG4AbwByAGcAYQBuAGkAYwBOADIATwAuAFYARQBFAFIARwBfADUAXwAxAF8AMQBfADEAXwBfADEAXwBJAG4AbwByAGcAYQBuAGkAYwBGAGUAcgB0AGkAbABpAHMAZQByAEEAcABwAGwAaQBjAGEAdABpAG8AbgBOADIATwBFAG0AaQBzAHMAaQBvAG4AcwBfAE4ASQBSAFIAZQBmAGUAcgBlAG4AYwBlACIALAAiAEYAZQByAHQAaQBsAGkAcwBlAHIAXwBFAHEAdQBhAHQAaQBvAG4AcwBfAEkAbgBvAHIAZwBhAG4AaQBjAE4AMgBPAC4AVgBFAEUAUgBHAF8ANQBfADEAXwAxAF8AMQBfAF8AMQBfAEkAbgBvAHIAZwBhAG4AaQBjAEYAZQByAHQAaQBsAGkAcwBlAHIAQQBwAHAAbABpAGMAYQB0AGkAbwBuAE4AMgBPAEUAbQBpAHMAcwBpAG8AbgBzAF8ATABhAHQAZQB4AEUAcQB1AGEAdABpAG8AbgAiACwAIgBGAGUAcgB0AGkAbABpAHMAZQByAF8ARQBxAHUAYQB0AGkAbwBuAHMAXwBJAG4AbwByAGcAYQBuAGkAYwBOADIATwAuAFYARQBFAFIARwBfADUAXwAxAF8AMQBfADEAXwBfADEAXwBJAG4AbwByAGcAYQBuAGkAYwBGAGUAcgB0AGkAbABpAHMAZQByAEEAcABwAGwAaQBjAGEAdABpAG8AbgBOADIATwBFAG0AaQBzAHMAaQBvAG4AcwBfAEEAcgBnAHUAbQBlAG4AdABzACIALAAiAEYAZQByAHQAaQBsAGkAcwBlAHIAXwBFAHEAdQBhAHQAaQBvAG4AcwBfAEkAbgBvAHIAZwBhAG4AaQBjAE4AMgBPAC4AVgBFAEUAUgBHAF8ANQBfADEAXwAxAF8AMQBfAF8AMQBfAEkAbgBvAHIAZwBhAG4AaQBjAEYAZQByAHQAaQBsAGkAcwBlAHIAQQBwAHAAbABpAGMAYQB0AGkAbwBuAE4AMgBPAEUAbQBpAHMAcwBpAG8AbgBzAF8AQQByAGcAdQBtAGUAbgB0AHMAXwBNAGUAdABoAG8AZAAyACIALAAiAEYAZQByAHQAaQBsAGkAcwBlAHIAXwBFAHEAdQBhAHQAaQBvAG4AcwBfAEkAbgBvAHIAZwBhAG4AaQBjAE4AMgBPAC4AVgBFAEUAUgBHAF8ANQBfADEAXwAxAF8AMQBfAF8AMgBfAE0AYQBzAHMATwBmAE4AaQB0AHIAbwBnAGUAbgBJAG4ASQBuAG8AcgBnAGEAbgBpAGMARgBlAHIAdABpAGwAaQBzAGUAcgAiACwAIgBGAGUAcgB0AGkAbABpAHMAZQByAF8ARQBxAHUAYQB0AGkAbwBuAHMAXwBJAG4AbwByAGcAYQBuAGkAYwBOADIATwAuAFYARQBFAFIARwBfADUAXwAxAF8AMQBfADEAXwBfADIAXwBNAGEAcwBzAE8AZgBOAGkAdAByAG8AZwBlAG4ASQBuAEkAbgBvAHIAZwBhAG4AaQBjAEYAZQByAHQAaQBsAGkAcwBlAHIAXwBUAGkAdABsAGUAIgAsACIARgBlAHIAdABpAGwAaQBzAGUAcgBfAEUAcQB1AGEAdABpAG8AbgBzAF8ASQBuAG8AcgBnAGEAbgBpAGMATgAyAE8ALgBWAEUARQBSAEcAXwA1AF8AMQBfADEAXwAxAF8AXwAyAF8ATQBhAHMAcwBPAGYATgBpAHQAcgBvAGcAZQBuAEkAbgBJAG4AbwByAGcAYQBuAGkAYwBGAGUAcgB0AGkAbABpAHMAZQByAF8AVgBhAHIAaQBhAGIAbABlACIALAAiAEYAZQByAHQAaQBsAGkAcwBlAHIAXwBFAHEAdQBhAHQAaQBvAG4AcwBfAEkAbgBvAHIAZwBhAG4AaQBjAE4AMgBPAC4AVgBFAEUAUgBHAF8ANQBfADEAXwAxAF8AMQBfAF8AMgBfAE0AYQBzAHMATwBmAE4AaQB0AHIAbwBnAGUAbgBJAG4ASQBuAG8AcgBnAGEAbgBpAGMARgBlAHIAdABpAGwAaQBzAGUAcgBfAFUAbgBpAHQAIgAsACIARgBlAHIAdABpAGwAaQBzAGUAcgBfAEUAcQB1AGEAdABpAG8AbgBzAF8ASQBuAG8AcgBnAGEAbgBpAGMATgAyAE8ALgBWAEUARQBSAEcAXwA1AF8AMQBfADEAXwAxAF8AXwAyAF8ATQBhAHMAcwBPAGYATgBpAHQAcgBvAGcAZQBuAEkAbgBJAG4AbwByAGcAYQBuAGkAYwBGAGUAcgB0AGkAbABpAHMAZQByAF8AUwBvAHUAcgBjAGUAIgAsACIARgBlAHIAdABpAGwAaQBzAGUAcgBfAEUAcQB1AGEAdABpAG8AbgBzAF8ASQBuAG8AcgBnAGEAbgBpAGMATgAyAE8ALgBWAEUARQBSAEcAXwA1AF8AMQBfADEAXwAxAF8AXwAyAF8ATQBhAHMAcwBPAGYATgBpAHQAcgBvAGcAZQBuAEkAbgBJAG4AbwByAGcAYQBuAGkAYwBGAGUAcgB0AGkAbABpAHMAZQByAF8ATgBJAFIAUgBlAGYAZQByAGUAbgBjAGUAIgAsACIARgBlAHIAdABpAGwAaQBzAGUAcgBfAEUAcQB1AGEAdABpAG8AbgBzAF8ASQBuAG8AcgBnAGEAbgBpAGMATgAyAE8ALgBWAEUARQBSAEcAXwA1AF8AMQBfADEAXwAxAF8AXwAyAF8ATQBhAHMAcwBPAGYATgBpAHQAcgBvAGcAZQBuAEkAbgBJAG4AbwByAGcAYQBuAGkAYwBGAGUAcgB0AGkAbABpAHMAZQByAF8ATABhAHQAZQB4AEUAcQB1AGEAdABpAG8AbgAiACwAIgBGAGUAcgB0AGkAbABpAHMAZQByAF8ARQBxAHUAYQB0AGkAbwBuAHMAXwBJAG4AbwByAGcAYQBuAGkAYwBOADIATwAuAFYARQBFAFIARwBfADUAXwAxAF8AMQBfADEAXwBfADIAXwBNAGEAcwBzAE8AZgBOAGkAdAByAG8AZwBlAG4ASQBuAEkAbgBvAHIAZwBhAG4AaQBjAEYAZQByAHQAaQBsAGkAcwBlAHIAXwBBAHIAZwB1AG0AZQBuAHQAcwAiACwAIgBGAGUAcgB0AGkAbABpAHMAZQByAF8ARQBxAHUAYQB0AGkAbwBuAHMAXwBJAG4AbwByAGcAYQBuAGkAYwBOADIATwAuAFYARQBFAFIARwBfADUAXwAxAF8AMQBfADIAXwBfADEAXwBFAG0AaQBzAHMAaQBvAG4ARgBhAGMAdABvAHIASQByAHIAaQBnAGEAdABlAGQATQBhAGkAegBlACIALAAiAEYAZQByAHQAaQBsAGkAcwBlAHIAXwBFAHEAdQBhAHQAaQBvAG4AcwBfAEkAbgBvAHIAZwBhAG4AaQBjAE4AMgBPAC4AVgBFAEUAUgBHAF8ANQBfADEAXwAxAF8AMgBfAF8AMQBfAEUAbQBpAHMAcwBpAG8AbgBGAGEAYwB0AG8AcgBJAHIAcgBpAGcAYQB0AGUAZABNAGEAaQB6AGUAXwBUAGkAdABsAGUAIgAsACIARgBlAHIAdABpAGwAaQBzAGUAcgBfAEUAcQB1AGEAdABpAG8AbgBzAF8ASQBuAG8AcgBnAGEAbgBpAGMATgAyAE8ALgBWAEUARQBSAEcAXwA1AF8AMQBfADEAXwAyAF8AXwAxAF8ARQBtAGkAcwBzAGkAbwBuAEYAYQBjAHQAbwByAEkAcgByAGkAZwBhAHQAZQBkAE0AYQBpAHoAZQBfAFYAYQByAGkAYQBiAGwAZQAiACwAIgBGAGUAcgB0AGkAbABpAHMAZQByAF8ARQBxAHUAYQB0AGkAbwBuAHMAXwBJAG4AbwByAGcAYQBuAGkAYwBOADIATwAuAFYARQBFAFIARwBfADUAXwAxAF8AMQBfADIAXwBfADEAXwBFAG0AaQBzAHMAaQBvAG4ARgBhAGMAdABvAHIASQByAHIAaQBnAGEAdABlAGQATQBhAGkAegBlAF8AVQBuAGkAdAAiACwAIgBGAGUAcgB0AGkAbABpAHMAZQByAF8ARQBxAHUAYQB0AGkAbwBuAHMAXwBJAG4AbwByAGcAYQBuAGkAYwBOADIATwAuAFYARQBFAFIARwBfADUAXwAxAF8AMQBfADIAXwBfADEAXwBFAG0AaQBzAHMAaQBvAG4ARgBhAGMAdABvAHIASQByAHIAaQBnAGEAdABlAGQATQBhAGkAegBlAF8AUwBvAHUAcgBjAGUAIgAsACIARgBlAHIAdABpAGwAaQBzAGUAcgBfAEUAcQB1AGEAdABpAG8AbgBzAF8ASQBuAG8AcgBnAGEAbgBpAGMATgAyAE8ALgBWAEUARQBSAEcAXwA1AF8AMQBfADEAXwAyAF8AXwAxAF8ARQBtAGkAcwBzAGkAbwBuAEYAYQBjAHQAbwByAEkAcgByAGkAZwBhAHQAZQBkAE0AYQBpAHoAZQBfAE4ASQBSAFIAZQBmAGUAcgBlAG4AYwBlACIALAAiAEYAZQByAHQAaQBsAGkAcwBlAHIAXwBFAHEAdQBhAHQAaQBvAG4AcwBfAEkAbgBvAHIAZwBhAG4AaQBjAE4AMgBPAC4AVgBFAEUAUgBHAF8ANQBfADEAXwAxAF8AMgBfAF8AMQBfAEUAbQBpAHMAcwBpAG8AbgBGAGEAYwB0AG8AcgBJAHIAcgBpAGcAYQB0AGUAZABNAGEAaQB6AGUAXwBMAGEAdABlAHgARQBxAHUAYQB0AGkAbwBuACIALAAiAEYAZQByAHQAaQBsAGkAcwBlAHIAXwBFAHEAdQBhAHQAaQBvAG4AcwBfAEkAbgBvAHIAZwBhAG4AaQBjAE4AMgBPAC4AVgBFAEUAUgBHAF8ANQBfADEAXwAxAF8AMgBfAF8AMQBfAEUAbQBpAHMAcwBpAG8AbgBGAGEAYwB0AG8AcgBJAHIAcgBpAGcAYQB0AGUAZABNAGEAaQB6AGUAXwBBAHIAZwB1AG0AZQBuAHQAcwAiACwAIgBGAGUAcgB0AGkAbABpAHMAZQByAF8ARQBxAHUAYQB0AGkAbwBuAHMAXwBJAG4AbwByAGcAYQBuAGkAYwBOADIATwAuAFYARQBFAFIARwBfADUAXwAxAF8AMQBfADIAXwBfADIAXwBFAG0AaQBzAHMAaQBvAG4ARgBhAGMAdABvAHIATgBvAG4ASQByAHIAaQBnAGEAdABlAGQARwByAGEAaQBuAHMASABpAGcAaABSAGEAaQBuAGYAYQBsAGwAIgAsACIARgBlAHIAdABpAGwAaQBzAGUAcgBfAEUAcQB1AGEAdABpAG8AbgBzAF8ASQBuAG8AcgBnAGEAbgBpAGMATgAyAE8ALgBWAEUARQBSAEcAXwA1AF8AMQBfADEAXwAyAF8AXwAyAF8ARQBtAGkAcwBzAGkAbwBuAEYAYQBjAHQAbwByAE4AbwBuAEkAcgByAGkAZwBhAHQAZQBkAEcAcgBhAGkAbgBzAEgAaQBnAGgAUgBhAGkAbgBmAGEAbABsAF8AVABpAHQAbABlACIALAAiAEYAZQByAHQAaQBsAGkAcwBlAHIAXwBFAHEAdQBhAHQAaQBvAG4AcwBfAEkAbgBvAHIAZwBhAG4AaQBjAE4AMgBPAC4AVgBFAEUAUgBHAF8ANQBfADEAXwAxAF8AMgBfAF8AMgBfAEUAbQBpAHMAcwBpAG8AbgBGAGEAYwB0AG8AcgBOAG8AbgBJAHIAcgBpAGcAYQB0AGUAZABHAHIAYQBpAG4AcwBIAGkAZwBoAFIAYQBpAG4AZgBhAGwAbABfAFYAYQByAGkAYQBiAGwAZQAiACwAIgBGAGUAcgB0AGkAbABpAHMAZQByAF8ARQBxAHUAYQB0AGkAbwBuAHMAXwBJAG4AbwByAGcAYQBuAGkAYwBOADIATwAuAFYARQBFAFIARwBfADUAXwAxAF8AMQBfADIAXwBfADIAXwBFAG0AaQBzAHMAaQBvAG4ARgBhAGMAdABvAHIATgBvAG4ASQByAHIAaQBnAGEAdABlAGQARwByAGEAaQBuAHMASABpAGcAaABSAGEAaQBuAGYAYQBsAGwAXwBVAG4AaQB0ACIALAAiAEYAZQByAHQAaQBsAGkAcwBlAHIAXwBFAHEAdQBhAHQAaQBvAG4AcwBfAEkAbgBvAHIAZwBhAG4AaQBjAE4AMgBPAC4AVgBFAEUAUgBHAF8ANQBfADEAXwAxAF8AMgBfAF8AMgBfAEUAbQBpAHMAcwBpAG8AbgBGAGEAYwB0AG8AcgBOAG8AbgBJAHIAcgBpAGcAYQB0AGUAZABHAHIAYQBpAG4AcwBIAGkAZwBoAFIAYQBpAG4AZgBhAGwAbABfAFMAbwB1AHIAYwBlACIALAAiAEYAZQByAHQAaQBsAGkAcwBlAHIAXwBFAHEAdQBhAHQAaQBvAG4AcwBfAEkAbgBvAHIAZwBhAG4AaQBjAE4AMgBPAC4AVgBFAEUAUgBHAF8ANQBfADEAXwAxAF8AMgBfAF8AMgBfAEUAbQBpAHMAcwBpAG8AbgBGAGEAYwB0AG8AcgBOAG8AbgBJAHIAcgBpAGcAYQB0AGUAZABHAHIAYQBpAG4AcwBIAGkAZwBoAFIAYQBpAG4AZgBhAGwAbABfAE4ASQBSAFIAZQBmAGUAcgBlAG4AYwBlACIALAAiAEYAZQByAHQAaQBsAGkAcwBlAHIAXwBFAHEAdQBhAHQAaQBvAG4AcwBfAEkAbgBvAHIAZwBhAG4AaQBjAE4AMgBPAC4AVgBFAEUAUgBHAF8ANQBfADEAXwAxAF8AMgBfAF8AMgBfAEUAbQBpAHMAcwBpAG8AbgBGAGEAYwB0AG8AcgBOAG8AbgBJAHIAcgBpAGcAYQB0AGUAZABHAHIAYQBpAG4AcwBIAGkAZwBoAFIAYQBpAG4AZgBhAGwAbABfAEwAYQB0AGUAeABFAHEAdQBhAHQAaQBvAG4AIgAsACIARgBlAHIAdABpAGwAaQBzAGUAcgBfAEUAcQB1AGEAdABpAG8AbgBzAF8ASQBuAG8AcgBnAGEAbgBpAGMATgAyAE8ALgBWAEUARQBSAEcAXwA1AF8AMQBfADEAXwAyAF8AXwAyAF8ARQBtAGkAcwBzAGkAbwBuAEYAYQBjAHQAbwByAE4AbwBuAEkAcgByAGkAZwBhAHQAZQBkAEcAcgBhAGkAbgBzAEgAaQBnAGgAUgBhAGkAbgBmAGEAbABsAF8AQQByAGcAdQBtAGUAbgB0AHMAIgAsACIARgBlAHIAdABpAGwAaQBzAGUAcgBfAEUAcQB1AGEAdABpAG8AbgBzAF8ASQBuAG8AcgBnAGEAbgBpAGMATgAyAE8ALgBWAEUARQBSAEcAXwA1AF8AMQBfADEAXwAyAF8AXwAzAF8ARQBtAGkAcwBzAGkAbwBuAEYAYQBjAHQAbwByAEMAbwB0AHQAbwBuACIALAAiAEYAZQByAHQAaQBsAGkAcwBlAHIAXwBFAHEAdQBhAHQAaQBvAG4AcwBfAEkAbgBvAHIAZwBhAG4AaQBjAE4AMgBPAC4AVgBFAEUAUgBHAF8ANQBfADEAXwAxAF8AMgBfAF8AMwBfAEUAbQBpAHMAcwBpAG8AbgBGAGEAYwB0AG8AcgBDAG8AdAB0AG8AbgBfAFQAaQB0AGwAZQAiACwAIgBGAGUAcgB0AGkAbABpAHMAZQByAF8ARQBxAHUAYQB0AGkAbwBuAHMAXwBJAG4AbwByAGcAYQBuAGkAYwBOADIATwAuAFYARQBFAFIARwBfADUAXwAxAF8AMQBfADIAXwBfADMAXwBFAG0AaQBzAHMAaQBvAG4ARgBhAGMAdABvAHIAQwBvAHQAdABvAG4AXwBWAGEAcgBpAGEAYgBsAGUAIgAsACIARgBlAHIAdABpAGwAaQBzAGUAcgBfAEUAcQB1AGEAdABpAG8AbgBzAF8ASQBuAG8AcgBnAGEAbgBpAGMATgAyAE8ALgBWAEUARQBSAEcAXwA1AF8AMQBfADEAXwAyAF8AXwAzAF8ARQBtAGkAcwBzAGkAbwBuAEYAYQBjAHQAbwByAEMAbwB0AHQAbwBuAF8AVQBuAGkAdAAiACwAIgBGAGUAcgB0AGkAbABpAHMAZQByAF8ARQBxAHUAYQB0AGkAbwBuAHMAXwBJAG4AbwByAGcAYQBuAGkAYwBOADIATwAuAFYARQBFAFIARwBfADUAXwAxAF8AMQBfADIAXwBfADMAXwBFAG0AaQBzAHMAaQBvAG4ARgBhAGMAdABvAHIAQwBvAHQAdABvAG4AXwBTAG8AdQByAGMAZQAiACwAIgBGAGUAcgB0AGkAbABpAHMAZQByAF8ARQBxAHUAYQB0AGkAbwBuAHMAXwBJAG4AbwByAGcAYQBuAGkAYwBOADIATwAuAFYARQBFAFIARwBfADUAXwAxAF8AMQBfADIAXwBfADMAXwBFAG0AaQBzAHMAaQBvAG4ARgBhAGMAdABvAHIAQwBvAHQAdABvAG4AXwBOAEkAUgBSAGUAZgBlAHIAZQBuAGMAZQAiACwAIgBGAGUAcgB0AGkAbABpAHMAZQByAF8ARQBxAHUAYQB0AGkAbwBuAHMAXwBJAG4AbwByAGcAYQBuAGkAYwBOADIATwAuAFYARQBFAFIARwBfADUAXwAxAF8AMQBfADIAXwBfADMAXwBFAG0AaQBzAHMAaQBvAG4ARgBhAGMAdABvAHIAQwBvAHQAdABvAG4AXwBMAGEAdABlAHgARQBxAHUAYQB0AGkAbwBuACIALAAiAEYAZQByAHQAaQBsAGkAcwBlAHIAXwBFAHEAdQBhAHQAaQBvAG4AcwBfAEkAbgBvAHIAZwBhAG4AaQBjAE4AMgBPAC4AVgBFAEUAUgBHAF8ANQBfADEAXwAxAF8AMgBfAF8AMwBfAEUAbQBpAHMAcwBpAG8AbgBGAGEAYwB0AG8AcgBDAG8AdAB0AG8AbgBfAEEAcgBnAHUAbQBlAG4AdABzACIALAAiAEYAZQByAHQAaQBsAGkAcwBlAHIAXwBFAHEAdQBhAHQAaQBvAG4AcwBfAEkAbgBvAHIAZwBhAG4AaQBjAEMATwAyAC4AVgBFAEUAUgBHAF8ANQBfADEAXwAxAF8AMwBfAF8AMQBfAEkAbgBvAHIAZwBhAG4AaQBjAEYAZQByAHQAaQBsAGkAcwBlAHIAQQBwAHAAbABpAGMAYQB0AGkAbwBuAEMATwAyAEUAbQBpAHMAcwBpAG8AbgBzACIALAAiAEYAZQByAHQAaQBsAGkAcwBlAHIAXwBFAHEAdQBhAHQAaQBvAG4AcwBfAEkAbgBvAHIAZwBhAG4AaQBjAEMATwAyAC4AVgBFAEUAUgBHAF8ANQBfADEAXwAxAF8AMwBfAF8AMQBfAEkAbgBvAHIAZwBhAG4AaQBjAEYAZQByAHQAaQBsAGkAcwBlAHIAQQBwAHAAbABpAGMAYQB0AGkAbwBuAEMATwAyAEUAbQBpAHMAcwBpAG8AbgBzAF8AVABpAHQAbABlACIALAAiAEYAZQByAHQAaQBsAGkAcwBlAHIAXwBFAHEAdQBhAHQAaQBvAG4AcwBfAEkAbgBvAHIAZwBhAG4AaQBjAEMATwAyAC4AVgBFAEUAUgBHAF8ANQBfADEAXwAxAF8AMwBfAF8AMQBfAEkAbgBvAHIAZwBhAG4AaQBjAEYAZQByAHQAaQBsAGkAcwBlAHIAQQBwAHAAbABpAGMAYQB0AGkAbwBuAEMATwAyAEUAbQBpAHMAcwBpAG8AbgBzAF8AVgBhAHIAaQBhAGIAbABlACIALAAiAEYAZQByAHQAaQBsAGkAcwBlAHIAXwBFAHEAdQBhAHQAaQBvAG4AcwBfAEkAbgBvAHIAZwBhAG4AaQBjAEMATwAyAC4AVgBFAEUAUgBHAF8ANQBfADEAXwAxAF8AMwBfAF8AMQBfAEkAbgBvAHIAZwBhAG4AaQBjAEYAZQByAHQAaQBsAGkAcwBlAHIAQQBwAHAAbABpAGMAYQB0AGkAbwBuAEMATwAyAEUAbQBpAHMAcwBpAG8AbgBzAF8AVQBuAGkAdAAiACwAIgBGAGUAcgB0AGkAbABpAHMAZQByAF8ARQBxAHUAYQB0AGkAbwBuAHMAXwBJAG4AbwByAGcAYQBuAGkAYwBDAE8AMgAuAFYARQBFAFIARwBfADUAXwAxAF8AMQBfADMAXwBfADEAXwBJAG4AbwByAGcAYQBuAGkAYwBGAGUAcgB0AGkAbABpAHMAZQByAEEAcABwAGwAaQBjAGEAdABpAG8AbgBDAE8AMgBFAG0AaQBzAHMAaQBvAG4AcwBfAFMAbwB1AHIAYwBlACIALAAiAEYAZQByAHQAaQBsAGkAcwBlAHIAXwBFAHEAdQBhAHQAaQBvAG4AcwBfAEkAbgBvAHIAZwBhAG4AaQBjAEMATwAyAC4AVgBFAEUAUgBHAF8ANQBfADEAXwAxAF8AMwBfAF8AMQBfAEkAbgBvAHIAZwBhAG4AaQBjAEYAZQByAHQAaQBsAGkAcwBlAHIAQQBwAHAAbABpAGMAYQB0AGkAbwBuAEMATwAyAEUAbQBpAHMAcwBpAG8AbgBzAF8ATgBJAFIAUgBlAGYAZQByAGUAbgBjAGUAIgAsACIARgBlAHIAdABpAGwAaQBzAGUAcgBfAEUAcQB1AGEAdABpAG8AbgBzAF8ASQBuAG8AcgBnAGEAbgBpAGMAQwBPADIALgBWAEUARQBSAEcAXwA1AF8AMQBfADEAXwAzAF8AXwAxAF8ASQBuAG8AcgBnAGEAbgBpAGMARgBlAHIAdABpAGwAaQBzAGUAcgBBAHAAcABsAGkAYwBhAHQAaQBvAG4AQwBPADIARQBtAGkAcwBzAGkAbwBuAHMAXwBMAGEAdABlAHgARQBxAHUAYQB0AGkAbwBuACIALAAiAEYAZQByAHQAaQBsAGkAcwBlAHIAXwBFAHEAdQBhAHQAaQBvAG4AcwBfAEkAbgBvAHIAZwBhAG4AaQBjAEMATwAyAC4AVgBFAEUAUgBHAF8ANQBfADEAXwAxAF8AMwBfAF8AMQBfAEkAbgBvAHIAZwBhAG4AaQBjAEYAZQByAHQAaQBsAGkAcwBlAHIAQQBwAHAAbABpAGMAYQB0AGkAbwBuAEMATwAyAEUAbQBpAHMAcwBpAG8AbgBzAF8AQQByAGcAdQBtAGUAbgB0AHMAIgAsACIARgBlAHIAdABpAGwAaQBzAGUAcgBfAEUAcQB1AGEAdABpAG8AbgBzAF8ASQBuAG8AcgBnAGEAbgBpAGMAQwBPADIALgBWAEUARQBSAEcAXwA1AF8AMQBfADEAXwAzAF8AXwAyAF8ATQBhAHMAcwBPAGYAVQByAGUAYQBJAG4ASQBuAG8AcgBnAGEAbgBpAGMARgBlAHIAdABpAGwAaQBzAGUAcgAiACwAIgBGAGUAcgB0AGkAbABpAHMAZQByAF8ARQBxAHUAYQB0AGkAbwBuAHMAXwBJAG4AbwByAGcAYQBuAGkAYwBDAE8AMgAuAFYARQBFAFIARwBfADUAXwAxAF8AMQBfADMAXwBfADIAXwBNAGEAcwBzAE8AZgBVAHIAZQBhAEkAbgBJAG4AbwByAGcAYQBuAGkAYwBGAGUAcgB0AGkAbABpAHMAZQByAF8AVABpAHQAbABlACIALAAiAEYAZQByAHQAaQBsAGkAcwBlAHIAXwBFAHEAdQBhAHQAaQBvAG4AcwBfAEkAbgBvAHIAZwBhAG4AaQBjAEMATwAyAC4AVgBFAEUAUgBHAF8ANQBfADEAXwAxAF8AMwBfAF8AMgBfAE0AYQBzAHMATwBmAFUAcgBlAGEASQBuAEkAbgBvAHIAZwBhAG4AaQBjAEYAZQByAHQAaQBsAGkAcwBlAHIAXwBWAGEAcgBpAGEAYgBsAGUAIgAsACIARgBlAHIAdABpAGwAaQBzAGUAcgBfAEUAcQB1AGEAdABpAG8AbgBzAF8ASQBuAG8AcgBnAGEAbgBpAGMAQwBPADIALgBWAEUARQBSAEcAXwA1AF8AMQBfADEAXwAzAF8AXwAyAF8ATQBhAHMAcwBPAGYAVQByAGUAYQBJAG4ASQBuAG8AcgBnAGEAbgBpAGMARgBlAHIAdABpAGwAaQBzAGUAcgBfAFUAbgBpAHQAIgAsACIARgBlAHIAdABpAGwAaQBzAGUAcgBfAEUAcQB1AGEAdABpAG8AbgBzAF8ASQBuAG8AcgBnAGEAbgBpAGMAQwBPADIALgBWAEUARQBSAEcAXwA1AF8AMQBfADEAXwAzAF8AXwAyAF8ATQBhAHMAcwBPAGYAVQByAGUAYQBJAG4ASQBuAG8AcgBnAGEAbgBpAGMARgBlAHIAdABpAGwAaQBzAGUAcgBfAFMAbwB1AHIAYwBlACIALAAiAEYAZQByAHQAaQBsAGkAcwBlAHIAXwBFAHEAdQBhAHQAaQBvAG4AcwBfAEkAbgBvAHIAZwBhAG4AaQBjAEMATwAyAC4AVgBFAEUAUgBHAF8ANQBfADEAXwAxAF8AMwBfAF8AMgBfAE0AYQBzAHMATwBmAFUAcgBlAGEASQBuAEkAbgBvAHIAZwBhAG4AaQBjAEYAZQByAHQAaQBsAGkAcwBlAHIAXwBOAEkAUgBSAGUAZgBlAHIAZQBuAGMAZQAiACwAIgBGAGUAcgB0AGkAbABpAHMAZQByAF8ARQBxAHUAYQB0AGkAbwBuAHMAXwBJAG4AbwByAGcAYQBuAGkAYwBDAE8AMgAuAFYARQBFAFIARwBfADUAXwAxAF8AMQBfADMAXwBfADIAXwBNAGEAcwBzAE8AZgBVAHIAZQBhAEkAbgBJAG4AbwByAGcAYQBuAGkAYwBGAGUAcgB0AGkAbABpAHMAZQByAF8ATABhAHQAZQB4AEUAcQB1AGEAdABpAG8AbgAiACwAIgBGAGUAcgB0AGkAbABpAHMAZQByAF8ARQBxAHUAYQB0AGkAbwBuAHMAXwBJAG4AbwByAGcAYQBuAGkAYwBDAE8AMgAuAFYARQBFAFIARwBfADUAXwAxAF8AMQBfADMAXwBfADIAXwBNAGEAcwBzAE8AZgBVAHIAZQBhAEkAbgBJAG4AbwByAGcAYQBuAGkAYwBGAGUAcgB0AGkAbABpAHMAZQByAF8AQQByAGcAdQBtAGUAbgB0AHMAIgAsACIARgBlAHIAdABpAGwAaQBzAGUAcgBfAEUAcQB1AGEAdABpAG8AbgBzAF8ATwByAGcAYQBuAGkAYwBOADIATwAuAFYARQBFAFIARwBfADUAXwAyAF8AMQBfADEAXwBfADEAXwBPAHIAZwBhAG4AaQBjAEYAZQByAHQAaQBsAGkAcwBlAHIAQQBwAHAAbABpAGMAYQB0AGkAbwBuAE4AMgBPAEUAbQBpAHMAcwBpAG8AbgBzACIALAAiAEYAZQByAHQAaQBsAGkAcwBlAHIAXwBFAHEAdQBhAHQAaQBvAG4AcwBfAE8AcgBnAGEAbgBpAGMATgAyAE8ALgBWAEUARQBSAEcAXwA1AF8AMgBfADEAXwAxAF8AXwAxAF8ATwByAGcAYQBuAGkAYwBGAGUAcgB0AGkAbABpAHMAZQByAEEAcABwAGwAaQBjAGEAdABpAG8AbgBOADIATwBFAG0AaQBzAHMAaQBvAG4AcwBfAFQAaQB0AGwAZQAiACwAIgBGAGUAcgB0AGkAbABpAHMAZQByAF8ARQBxAHUAYQB0AGkAbwBuAHMAXwBPAHIAZwBhAG4AaQBjAE4AMgBPAC4AVgBFAEUAUgBHAF8ANQBfADIAXwAxAF8AMQBfAF8AMQBfAE8AcgBnAGEAbgBpAGMARgBlAHIAdABpAGwAaQBzAGUAcgBBAHAAcABsAGkAYwBhAHQAaQBvAG4ATgAyAE8ARQBtAGkAcwBzAGkAbwBuAHMAXwBWAGEAcgBpAGEAYgBsAGUAIgAsACIARgBlAHIAdABpAGwAaQBzAGUAcgBfAEUAcQB1AGEAdABpAG8AbgBzAF8ATwByAGcAYQBuAGkAYwBOADIATwAuAFYARQBFAFIARwBfADUAXwAyAF8AMQBfADEAXwBfADEAXwBPAHIAZwBhAG4AaQBjAEYAZQByAHQAaQBsAGkAcwBlAHIAQQBwAHAAbABpAGMAYQB0AGkAbwBuAE4AMgBPAEUAbQBpAHMAcwBpAG8AbgBzAF8AVQBuAGkAdAAiACwAIgBGAGUAcgB0AGkAbABpAHMAZQByAF8ARQBxAHUAYQB0AGkAbwBuAHMAXwBPAHIAZwBhAG4AaQBjAE4AMgBPAC4AVgBFAEUAUgBHAF8ANQBfADIAXwAxAF8AMQBfAF8AMQBfAE8AcgBnAGEAbgBpAGMARgBlAHIAdABpAGwAaQBzAGUAcgBBAHAAcABsAGkAYwBhAHQAaQBvAG4ATgAyAE8ARQBtAGkAcwBzAGkAbwBuAHMAXwBTAG8AdQByAGMAZQAiACwAIgBGAGUAcgB0AGkAbABpAHMAZQByAF8ARQBxAHUAYQB0AGkAbwBuAHMAXwBPAHIAZwBhAG4AaQBjAE4AMgBPAC4AVgBFAEUAUgBHAF8ANQBfADIAXwAxAF8AMQBfAF8AMQBfAE8AcgBnAGEAbgBpAGMARgBlAHIAdABpAGwAaQBzAGUAcgBBAHAAcABsAGkAYwBhAHQAaQBvAG4ATgAyAE8ARQBtAGkAcwBzAGkAbwBuAHMAXwBOAEkAUgBSAGUAZgBlAHIAZQBuAGMAZQAiACwAIgBGAGUAcgB0AGkAbABpAHMAZQByAF8ARQBxAHUAYQB0AGkAbwBuAHMAXwBPAHIAZwBhAG4AaQBjAE4AMgBPAC4AVgBFAEUAUgBHAF8ANQBfADIAXwAxAF8AMQBfAF8AMQBfAE8AcgBnAGEAbgBpAGMARgBlAHIAdABpAGwAaQBzAGUAcgBBAHAAcABsAGkAYwBhAHQAaQBvAG4ATgAyAE8ARQBtAGkAcwBzAGkAbwBuAHMAXwBMAGEAdABlAHgARQBxAHUAYQB0AGkAbwBuACIALAAiAEYAZQByAHQAaQBsAGkAcwBlAHIAXwBFAHEAdQBhAHQAaQBvAG4AcwBfAE8AcgBnAGEAbgBpAGMATgAyAE8ALgBWAEUARQBSAEcAXwA1AF8AMgBfADEAXwAxAF8AXwAxAF8ATwByAGcAYQBuAGkAYwBGAGUAcgB0AGkAbABpAHMAZQByAEEAcABwAGwAaQBjAGEAdABpAG8AbgBOADIATwBFAG0AaQBzAHMAaQBvAG4AcwBfAEEAcgBnAHUAbQBlAG4AdABzACIALAAiAEYAZQByAHQAaQBsAGkAcwBlAHIAXwBFAHEAdQBhAHQAaQBvAG4AcwBfAE8AcgBnAGEAbgBpAGMATgAyAE8ALgBWAEUARQBSAEcAXwA1AF8AMgBfADEAXwAxAF8AXwAyAF8ATQBhAHMAcwBPAGYATgBpAHQAcgBvAGcAZQBuAEkAbgBPAHIAZwBhAG4AaQBjAEYAZQByAHQAaQBsAGkAcwBlAHIAIgAsACIARgBlAHIAdABpAGwAaQBzAGUAcgBfAEUAcQB1AGEAdABpAG8AbgBzAF8ATwByAGcAYQBuAGkAYwBOADIATwAuAFYARQBFAFIARwBfADUAXwAyAF8AMQBfADEAXwBfADIAXwBNAGEAcwBzAE8AZgBOAGkAdAByAG8AZwBlAG4ASQBuAE8AcgBnAGEAbgBpAGMARgBlAHIAdABpAGwAaQBzAGUAcgBfAFQAaQB0AGwAZQAiACwAIgBGAGUAcgB0AGkAbABpAHMAZQByAF8ARQBxAHUAYQB0AGkAbwBuAHMAXwBPAHIAZwBhAG4AaQBjAE4AMgBPAC4AVgBFAEUAUgBHAF8ANQBfADIAXwAxAF8AMQBfAF8AMgBfAE0AYQBzAHMATwBmAE4AaQB0AHIAbwBnAGUAbgBJAG4ATwByAGcAYQBuAGkAYwBGAGUAcgB0AGkAbABpAHMAZQByAF8AVgBhAHIAaQBhAGIAbABlACIALAAiAEYAZQByAHQAaQBsAGkAcwBlAHIAXwBFAHEAdQBhAHQAaQBvAG4AcwBfAE8AcgBnAGEAbgBpAGMATgAyAE8ALgBWAEUARQBSAEcAXwA1AF8AMgBfADEAXwAxAF8AXwAyAF8ATQBhAHMAcwBPAGYATgBpAHQAcgBvAGcAZQBuAEkAbgBPAHIAZwBhAG4AaQBjAEYAZQByAHQAaQBsAGkAcwBlAHIAXwBVAG4AaQB0ACIALAAiAEYAZQByAHQAaQBsAGkAcwBlAHIAXwBFAHEAdQBhAHQAaQBvAG4AcwBfAE8AcgBnAGEAbgBpAGMATgAyAE8ALgBWAEUARQBSAEcAXwA1AF8AMgBfADEAXwAxAF8AXwAyAF8ATQBhAHMAcwBPAGYATgBpAHQAcgBvAGcAZQBuAEkAbgBPAHIAZwBhAG4AaQBjAEYAZQByAHQAaQBsAGkAcwBlAHIAXwBTAG8AdQByAGMAZQAiACwAIgBGAGUAcgB0AGkAbABpAHMAZQByAF8ARQBxAHUAYQB0AGkAbwBuAHMAXwBPAHIAZwBhAG4AaQBjAE4AMgBPAC4AVgBFAEUAUgBHAF8ANQBfADIAXwAxAF8AMQBfAF8AMgBfAE0AYQBzAHMATwBmAE4AaQB0AHIAbwBnAGUAbgBJAG4ATwByAGcAYQBuAGkAYwBGAGUAcgB0AGkAbABpAHMAZQByAF8ATgBJAFIAUgBlAGYAZQByAGUAbgBjAGUAIgAsACIARgBlAHIAdABpAGwAaQBzAGUAcgBfAEUAcQB1AGEAdABpAG8AbgBzAF8ATwByAGcAYQBuAGkAYwBOADIATwAuAFYARQBFAFIARwBfADUAXwAyAF8AMQBfADEAXwBfADIAXwBNAGEAcwBzAE8AZgBOAGkAdAByAG8AZwBlAG4ASQBuAE8AcgBnAGEAbgBpAGMARgBlAHIAdABpAGwAaQBzAGUAcgBfAEwAYQB0AGUAeABFAHEAdQBhAHQAaQBvAG4AIgAsACIARgBlAHIAdABpAGwAaQBzAGUAcgBfAEUAcQB1AGEAdABpAG8AbgBzAF8ATwByAGcAYQBuAGkAYwBOADIATwAuAFYARQBFAFIARwBfADUAXwAyAF8AMQBfADEAXwBfADIAXwBNAGEAcwBzAE8AZgBOAGkAdAByAG8AZwBlAG4ASQBuAE8AcgBnAGEAbgBpAGMARgBlAHIAdABpAGwAaQBzAGUAcgBfAEEAcgBnAHUAbQBlAG4AdABzACIALAAiAEYAZQByAHQAaQBsAGkAcwBlAHIAXwBFAHEAdQBhAHQAaQBvAG4AcwBfAEwAaQBtAGUALgBWAEUARQBSAEcAXwA1AF8AMwBfADEAXwAxAF8AXwAxAF8ATABpAG0AZQBBAHAAcABsAGkAYwBhAHQAaQBvAG4AQwBPADIARQBtAGkAcwBzAGkAbwBuAHMAIgAsACIARgBlAHIAdABpAGwAaQBzAGUAcgBfAEUAcQB1AGEAdABpAG8AbgBzAF8ATABpAG0AZQAuAFYARQBFAFIARwBfADUAXwAzAF8AMQBfADEAXwBfADEAXwBMAGkAbQBlAEEAcABwAGwAaQBjAGEAdABpAG8AbgBDAE8AMgBFAG0AaQBzAHMAaQBvAG4AcwBfAFQAaQB0AGwAZQAiACwAIgBGAGUAcgB0AGkAbABpAHMAZQByAF8ARQBxAHUAYQB0AGkAbwBuAHMAXwBMAGkAbQBlAC4AVgBFAEUAUgBHAF8ANQBfADMAXwAxAF8AMQBfAF8AMQBfAEwAaQBtAGUAQQBwAHAAbABpAGMAYQB0AGkAbwBuAEMATwAyAEUAbQBpAHMAcwBpAG8AbgBzAF8AVgBhAHIAaQBhAGIAbABlACIALAAiAEYAZQByAHQAaQBsAGkAcwBlAHIAXwBFAHEAdQBhAHQAaQBvAG4AcwBfAEwAaQBtAGUALgBWAEUARQBSAEcAXwA1AF8AMwBfADEAXwAxAF8AXwAxAF8ATABpAG0AZQBBAHAAcABsAGkAYwBhAHQAaQBvAG4AQwBPADIARQBtAGkAcwBzAGkAbwBuAHMAXwBVAG4AaQB0ACIALAAiAEYAZQByAHQAaQBsAGkAcwBlAHIAXwBFAHEAdQBhAHQAaQBvAG4AcwBfAEwAaQBtAGUALgBWAEUARQBSAEcAXwA1AF8AMwBfADEAXwAxAF8AXwAxAF8ATABpAG0AZQBBAHAAcABsAGkAYwBhAHQAaQBvAG4AQwBPADIARQBtAGkAcwBzAGkAbwBuAHMAXwBTAG8AdQByAGMAZQAiACwAIgBGAGUAcgB0AGkAbABpAHMAZQByAF8ARQBxAHUAYQB0AGkAbwBuAHMAXwBMAGkAbQBlAC4AVgBFAEUAUgBHAF8ANQBfADMAXwAxAF8AMQBfAF8AMQBfAEwAaQBtAGUAQQBwAHAAbABpAGMAYQB0AGkAbwBuAEMATwAyAEUAbQBpAHMAcwBpAG8AbgBzAF8ATgBJAFIAUgBlAGYAZQByAGUAbgBjAGUAIgAsACIARgBlAHIAdABpAGwAaQBzAGUAcgBfAEUAcQB1AGEAdABpAG8AbgBzAF8ATABpAG0AZQAuAFYARQBFAFIARwBfADUAXwAzAF8AMQBfADEAXwBfADEAXwBMAGkAbQBlAEEAcABwAGwAaQBjAGEAdABpAG8AbgBDAE8AMgBFAG0AaQBzAHMAaQBvAG4AcwBfAEwAYQB0AGUAeABFAHEAdQBhAHQAaQBvAG4AIgAsACIARgBlAHIAdABpAGwAaQBzAGUAcgBfAEUAcQB1AGEAdABpAG8AbgBzAF8ATABpAG0AZQAuAFYARQBFAFIARwBfADUAXwAzAF8AMQBfADEAXwBfADEAXwBMAGkAbQBlAEEAcABwAGwAaQBjAGEAdABpAG8AbgBDAE8AMgBFAG0AaQBzAHMAaQBvAG4AcwBfAEEAcgBnAHUAbQBlAG4AdABzACIALAAiAEYAZQByAHQAaQBsAGkAcwBlAHIAXwBFAHEAdQBhAHQAaQBvAG4AcwBfAEEAdABtAG8AcwBwAGgAZQByAGkAYwBEAGUAcABvAHMAaQB0AGkAbwBuAC4AVgBFAEUAUgBHAF8ANQBfADQAXwAxAF8AMQBfAF8AMQBfAEkAbgBvAHIAZwBhAG4AaQBjAEYAZQByAHQAaQBsAGkAcwBlAHIAQQB0AG0AbwBzAHAAaABlAHIAaQBjAEQAZQBwAG8AcwBpAHQAaQBvAG4ATgAyAE8ARQBtAGkAcwBzAGkAbwBuAHMAIgAsACIARgBlAHIAdABpAGwAaQBzAGUAcgBfAEUAcQB1AGEAdABpAG8AbgBzAF8AQQB0AG0AbwBzAHAAaABlAHIAaQBjAEQAZQBwAG8AcwBpAHQAaQBvAG4ALgBWAEUARQBSAEcAXwA1AF8ANABfADEAXwAxAF8AXwAxAF8ASQBuAG8AcgBnAGEAbgBpAGMARgBlAHIAdABpAGwAaQBzAGUAcgBBAHQAbQBvAHMAcABoAGUAcgBpAGMARABlAHAAbwBzAGkAdABpAG8AbgBOADIATwBFAG0AaQBzAHMAaQBvAG4AcwBfAFQAaQB0AGwAZQAiACwAIgBGAGUAcgB0AGkAbABpAHMAZQByAF8ARQBxAHUAYQB0AGkAbwBuAHMAXwBBAHQAbQBvAHMAcABoAGUAcgBpAGMARABlAHAAbwBzAGkAdABpAG8AbgAuAFYARQBFAFIARwBfADUAXwA0AF8AMQBfADEAXwBfADEAXwBJAG4AbwByAGcAYQBuAGkAYwBGAGUAcgB0AGkAbABpAHMAZQByAEEAdABtAG8AcwBwAGgAZQByAGkAYwBEAGUAcABvAHMAaQB0AGkAbwBuAE4AMgBPAEUAbQBpAHMAcwBpAG8AbgBzAF8AVgBhAHIAaQBhAGIAbABlACIALAAiAEYAZQByAHQAaQBsAGkAcwBlAHIAXwBFAHEAdQBhAHQAaQBvAG4AcwBfAEEAdABtAG8AcwBwAGgAZQByAGkAYwBEAGUAcABvAHMAaQB0AGkAbwBuAC4AVgBFAEUAUgBHAF8ANQBfADQAXwAxAF8AMQBfAF8AMQBfAEkAbgBvAHIAZwBhAG4AaQBjAEYAZQByAHQAaQBsAGkAcwBlAHIAQQB0AG0AbwBzAHAAaABlAHIAaQBjAEQAZQBwAG8AcwBpAHQAaQBvAG4ATgAyAE8ARQBtAGkAcwBzAGkAbwBuAHMAXwBVAG4AaQB0ACIALAAiAEYAZQByAHQAaQBsAGkAcwBlAHIAXwBFAHEAdQBhAHQAaQBvAG4AcwBfAEEAdABtAG8AcwBwAGgAZQByAGkAYwBEAGUAcABvAHMAaQB0AGkAbwBuAC4AVgBFAEUAUgBHAF8ANQBfADQAXwAxAF8AMQBfAF8AMQBfAEkAbgBvAHIAZwBhAG4AaQBjAEYAZQByAHQAaQBsAGkAcwBlAHIAQQB0AG0AbwBzAHAAaABlAHIAaQBjAEQAZQBwAG8AcwBpAHQAaQBvAG4ATgAyAE8ARQBtAGkAcwBzAGkAbwBuAHMAXwBTAG8AdQByAGMAZQAiACwAIgBGAGUAcgB0AGkAbABpAHMAZQByAF8ARQBxAHUAYQB0AGkAbwBuAHMAXwBBAHQAbQBvAHMAcABoAGUAcgBpAGMARABlAHAAbwBzAGkAdABpAG8AbgAuAFYARQBFAFIARwBfADUAXwA0AF8AMQBfADEAXwBfADEAXwBJAG4AbwByAGcAYQBuAGkAYwBGAGUAcgB0AGkAbABpAHMAZQByAEEAdABtAG8AcwBwAGgAZQByAGkAYwBEAGUAcABvAHMAaQB0AGkAbwBuAE4AMgBPAEUAbQBpAHMAcwBpAG8AbgBzAF8ATgBJAFIAUgBlAGYAZQByAGUAbgBjAGUAIgAsACIARgBlAHIAdABpAGwAaQBzAGUAcgBfAEUAcQB1AGEAdABpAG8AbgBzAF8AQQB0AG0AbwBzAHAAaABlAHIAaQBjAEQAZQBwAG8AcwBpAHQAaQBvAG4ALgBWAEUARQBSAEcAXwA1AF8ANABfADEAXwAxAF8AXwAxAF8ASQBuAG8AcgBnAGEAbgBpAGMARgBlAHIAdABpAGwAaQBzAGUAcgBBAHQAbQBvAHMAcABoAGUAcgBpAGMARABlAHAAbwBzAGkAdABpAG8AbgBOADIATwBFAG0AaQBzAHMAaQBvAG4AcwBfAEwAYQB0AGUAeABFAHEAdQBhAHQAaQBvAG4AIgAsACIARgBlAHIAdABpAGwAaQBzAGUAcgBfAEUAcQB1AGEAdABpAG8AbgBzAF8AQQB0AG0AbwBzAHAAaABlAHIAaQBjAEQAZQBwAG8AcwBpAHQAaQBvAG4ALgBWAEUARQBSAEcAXwA1AF8ANABfADEAXwAxAF8AXwAxAF8ASQBuAG8AcgBnAGEAbgBpAGMARgBlAHIAdABpAGwAaQBzAGUAcgBBAHQAbQBvAHMAcABoAGUAcgBpAGMARABlAHAAbwBzAGkAdABpAG8AbgBOADIATwBFAG0AaQBzAHMAaQBvAG4AcwBfAEEAcgBnAHUAbQBlAG4AdABzACIALAAiAEYAZQByAHQAaQBsAGkAcwBlAHIAXwBFAHEAdQBhAHQAaQBvAG4AcwBfAEEAdABtAG8AcwBwAGgAZQByAGkAYwBEAGUAcABvAHMAaQB0AGkAbwBuAC4AVgBFAEUAUgBHAF8ANQBfADQAXwAxAF8AMQBfAF8AMgBfAE0AYQBzAHMATwBmAE4AaQB0AHIAbwBnAGUAbgBWAG8AbABhAHQAaQBsAGkAcwBlAGQARgByAG8AbQBJAG4AbwByAGcAYQBuAGkAYwBGAGUAcgB0AGkAbABpAHMAZQByACIALAAiAEYAZQByAHQAaQBsAGkAcwBlAHIAXwBFAHEAdQBhAHQAaQBvAG4AcwBfAEEAdABtAG8AcwBwAGgAZQByAGkAYwBEAGUAcABvAHMAaQB0AGkAbwBuAC4AVgBFAEUAUgBHAF8ANQBfADQAXwAxAF8AMQBfAF8AMgBfAE0AYQBzAHMATwBmAE4AaQB0AHIAbwBnAGUAbgBWAG8AbABhAHQAaQBsAGkAcwBlAGQARgByAG8AbQBJAG4AbwByAGcAYQBuAGkAYwBGAGUAcgB0AGkAbABpAHMAZQByAF8AVABpAHQAbABlACIALAAiAEYAZQByAHQAaQBsAGkAcwBlAHIAXwBFAHEAdQBhAHQAaQBvAG4AcwBfAEEAdABtAG8AcwBwAGgAZQByAGkAYwBEAGUAcABvAHMAaQB0AGkAbwBuAC4AVgBFAEUAUgBHAF8ANQBfADQAXwAxAF8AMQBfAF8AMgBfAE0AYQBzAHMATwBmAE4AaQB0AHIAbwBnAGUAbgBWAG8AbABhAHQAaQBsAGkAcwBlAGQARgByAG8AbQBJAG4AbwByAGcAYQBuAGkAYwBGAGUAcgB0AGkAbABpAHMAZQByAF8AVgBhAHIAaQBhAGIAbABlACIALAAiAEYAZQByAHQAaQBsAGkAcwBlAHIAXwBFAHEAdQBhAHQAaQBvAG4AcwBfAEEAdABtAG8AcwBwAGgAZQByAGkAYwBEAGUAcABvAHMAaQB0AGkAbwBuAC4AVgBFAEUAUgBHAF8ANQBfADQAXwAxAF8AMQBfAF8AMgBfAE0AYQBzAHMATwBmAE4AaQB0AHIAbwBnAGUAbgBWAG8AbABhAHQAaQBsAGkAcwBlAGQARgByAG8AbQBJAG4AbwByAGcAYQBuAGkAYwBGAGUAcgB0AGkAbABpAHMAZQByAF8AVQBuAGkAdAAiACwAIgBGAGUAcgB0AGkAbABpAHMAZQByAF8ARQBxAHUAYQB0AGkAbwBuAHMAXwBBAHQAbQBvAHMAcABoAGUAcgBpAGMARABlAHAAbwBzAGkAdABpAG8AbgAuAFYARQBFAFIARwBfADUAXwA0AF8AMQBfADEAXwBfADIAXwBNAGEAcwBzAE8AZgBOAGkAdAByAG8AZwBlAG4AVgBvAGwAYQB0AGkAbABpAHMAZQBkAEYAcgBvAG0ASQBuAG8AcgBnAGEAbgBpAGMARgBlAHIAdABpAGwAaQBzAGUAcgBfAFMAbwB1AHIAYwBlACIALAAiAEYAZQByAHQAaQBsAGkAcwBlAHIAXwBFAHEAdQBhAHQAaQBvAG4AcwBfAEEAdABtAG8AcwBwAGgAZQByAGkAYwBEAGUAcABvAHMAaQB0AGkAbwBuAC4AVgBFAEUAUgBHAF8ANQBfADQAXwAxAF8AMQBfAF8AMgBfAE0AYQBzAHMATwBmAE4AaQB0AHIAbwBnAGUAbgBWAG8AbABhAHQAaQBsAGkAcwBlAGQARgByAG8AbQBJAG4AbwByAGcAYQBuAGkAYwBGAGUAcgB0AGkAbABpAHMAZQByAF8ATgBJAFIAUgBlAGYAZQByAGUAbgBjAGUAIgAsACIARgBlAHIAdABpAGwAaQBzAGUAcgBfAEUAcQB1AGEAdABpAG8AbgBzAF8AQQB0AG0AbwBzAHAAaABlAHIAaQBjAEQAZQBwAG8AcwBpAHQAaQBvAG4ALgBWAEUARQBSAEcAXwA1AF8ANABfADEAXwAxAF8AXwAyAF8ATQBhAHMAcwBPAGYATgBpAHQAcgBvAGcAZQBuAFYAbwBsAGEAdABpAGwAaQBzAGUAZABGAHIAbwBtAEkAbgBvAHIAZwBhAG4AaQBjAEYAZQByAHQAaQBsAGkAcwBlAHIAXwBMAGEAdABlAHgARQBxAHUAYQB0AGkAbwBuACIALAAiAEYAZQByAHQAaQBsAGkAcwBlAHIAXwBFAHEAdQBhAHQAaQBvAG4AcwBfAEEAdABtAG8AcwBwAGgAZQByAGkAYwBEAGUAcABvAHMAaQB0AGkAbwBuAC4AVgBFAEUAUgBHAF8ANQBfADQAXwAxAF8AMQBfAF8AMgBfAE0AYQBzAHMATwBmAE4AaQB0AHIAbwBnAGUAbgBWAG8AbABhAHQAaQBsAGkAcwBlAGQARgByAG8AbQBJAG4AbwByAGcAYQBuAGkAYwBGAGUAcgB0AGkAbABpAHMAZQByAF8AQQByAGcAdQBtAGUAbgB0AHMAIgAsACIARgBlAHIAdABpAGwAaQBzAGUAcgBfAEUAcQB1AGEAdABpAG8AbgBzAF8AQQB0AG0AbwBzAHAAaABlAHIAaQBjAEQAZQBwAG8AcwBpAHQAaQBvAG4ALgBWAEUARQBSAEcAXwA1AF8ANABfADEAXwAzAF8AXwAxAF8ATwByAGcAYQBuAGkAYwBGAGUAcgB0AGkAbABpAHMAZQByAEEAdABtAG8AcwBwAGgAZQByAGkAYwBEAGUAcABvAHMAaQB0AGkAbwBuAE4AMgBPAEUAbQBpAHMAcwBpAG8AbgBzACIALAAiAEYAZQByAHQAaQBsAGkAcwBlAHIAXwBFAHEAdQBhAHQAaQBvAG4AcwBfAEEAdABtAG8AcwBwAGgAZQByAGkAYwBEAGUAcABvAHMAaQB0AGkAbwBuAC4AVgBFAEUAUgBHAF8ANQBfADQAXwAxAF8AMwBfAF8AMQBfAE8AcgBnAGEAbgBpAGMARgBlAHIAdABpAGwAaQBzAGUAcgBBAHQAbQBvAHMAcABoAGUAcgBpAGMARABlAHAAbwBzAGkAdABpAG8AbgBOADIATwBFAG0AaQBzAHMAaQBvAG4AcwBfAFQAaQB0AGwAZQAiACwAIgBGAGUAcgB0AGkAbABpAHMAZQByAF8ARQBxAHUAYQB0AGkAbwBuAHMAXwBBAHQAbQBvAHMAcABoAGUAcgBpAGMARABlAHAAbwBzAGkAdABpAG8AbgAuAFYARQBFAFIARwBfADUAXwA0AF8AMQBfADMAXwBfADEAXwBPAHIAZwBhAG4AaQBjAEYAZQByAHQAaQBsAGkAcwBlAHIAQQB0AG0AbwBzAHAAaABlAHIAaQBjAEQAZQBwAG8AcwBpAHQAaQBvAG4ATgAyAE8ARQBtAGkAcwBzAGkAbwBuAHMAXwBWAGEAcgBpAGEAYgBsAGUAIgAsACIARgBlAHIAdABpAGwAaQBzAGUAcgBfAEUAcQB1AGEAdABpAG8AbgBzAF8AQQB0AG0AbwBzAHAAaABlAHIAaQBjAEQAZQBwAG8AcwBpAHQAaQBvAG4ALgBWAEUARQBSAEcAXwA1AF8ANABfADEAXwAzAF8AXwAxAF8ATwByAGcAYQBuAGkAYwBGAGUAcgB0AGkAbABpAHMAZQByAEEAdABtAG8AcwBwAGgAZQByAGkAYwBEAGUAcABvAHMAaQB0AGkAbwBuAE4AMgBPAEUAbQBpAHMAcwBpAG8AbgBzAF8AVQBuAGkAdAAiACwAIgBGAGUAcgB0AGkAbABpAHMAZQByAF8ARQBxAHUAYQB0AGkAbwBuAHMAXwBBAHQAbQBvAHMAcABoAGUAcgBpAGMARABlAHAAbwBzAGkAdABpAG8AbgAuAFYARQBFAFIARwBfADUAXwA0AF8AMQBfADMAXwBfADEAXwBPAHIAZwBhAG4AaQBjAEYAZQByAHQAaQBsAGkAcwBlAHIAQQB0AG0AbwBzAHAAaABlAHIAaQBjAEQAZQBwAG8AcwBpAHQAaQBvAG4ATgAyAE8ARQBtAGkAcwBzAGkAbwBuAHMAXwBTAG8AdQByAGMAZQAiACwAIgBGAGUAcgB0AGkAbABpAHMAZQByAF8ARQBxAHUAYQB0AGkAbwBuAHMAXwBBAHQAbQBvAHMAcABoAGUAcgBpAGMARABlAHAAbwBzAGkAdABpAG8AbgAuAFYARQBFAFIARwBfADUAXwA0AF8AMQBfADMAXwBfADEAXwBPAHIAZwBhAG4AaQBjAEYAZQByAHQAaQBsAGkAcwBlAHIAQQB0AG0AbwBzAHAAaABlAHIAaQBjAEQAZQBwAG8AcwBpAHQAaQBvAG4ATgAyAE8ARQBtAGkAcwBzAGkAbwBuAHMAXwBOAEkAUgBSAGUAZgBlAHIAZQBuAGMAZQAiACwAIgBGAGUAcgB0AGkAbABpAHMAZQByAF8ARQBxAHUAYQB0AGkAbwBuAHMAXwBBAHQAbQBvAHMAcABoAGUAcgBpAGMARABlAHAAbwBzAGkAdABpAG8AbgAuAFYARQBFAFIARwBfADUAXwA0AF8AMQBfADMAXwBfADEAXwBPAHIAZwBhAG4AaQBjAEYAZQByAHQAaQBsAGkAcwBlAHIAQQB0AG0AbwBzAHAAaABlAHIAaQBjAEQAZQBwAG8AcwBpAHQAaQBvAG4ATgAyAE8ARQBtAGkAcwBzAGkAbwBuAHMAXwBMAGEAdABlAHgARQBxAHUAYQB0AGkAbwBuACIALAAiAEYAZQByAHQAaQBsAGkAcwBlAHIAXwBFAHEAdQBhAHQAaQBvAG4AcwBfAEEAdABtAG8AcwBwAGgAZQByAGkAYwBEAGUAcABvAHMAaQB0AGkAbwBuAC4AVgBFAEUAUgBHAF8ANQBfADQAXwAxAF8AMwBfAF8AMQBfAE8AcgBnAGEAbgBpAGMARgBlAHIAdABpAGwAaQBzAGUAcgBBAHQAbQBvAHMAcABoAGUAcgBpAGMARABlAHAAbwBzAGkAdABpAG8AbgBOADIATwBFAG0AaQBzAHMAaQBvAG4AcwBfAEEAcgBnAHUAbQBlAG4AdABzACIALAAiAEYAZQByAHQAaQBsAGkAcwBlAHIAXwBFAHEAdQBhAHQAaQBvAG4AcwBfAEEAdABtAG8AcwBwAGgAZQByAGkAYwBEAGUAcABvAHMAaQB0AGkAbwBuAC4AVgBFAEUAUgBHAF8ANQBfADQAXwAxAF8AMwBfAF8AMgBfAE0AYQBzAHMATwBmAE4AaQB0AHIAbwBnAGUAbgBWAG8AbABhAHQAaQBsAGkAcwBlAGQARgByAG8AbQBPAHIAZwBhAG4AaQBjAEYAZQByAHQAaQBsAGkAcwBlAHIAIgAsACIARgBlAHIAdABpAGwAaQBzAGUAcgBfAEUAcQB1AGEAdABpAG8AbgBzAF8AQQB0AG0AbwBzAHAAaABlAHIAaQBjAEQAZQBwAG8AcwBpAHQAaQBvAG4ALgBWAEUARQBSAEcAXwA1AF8ANABfADEAXwAzAF8AXwAyAF8ATQBhAHMAcwBPAGYATgBpAHQAcgBvAGcAZQBuAFYAbwBsAGEAdABpAGwAaQBzAGUAZABGAHIAbwBtAE8AcgBnAGEAbgBpAGMARgBlAHIAdABpAGwAaQBzAGUAcgBfAFQAaQB0AGwAZQAiACwAIgBGAGUAcgB0AGkAbABpAHMAZQByAF8ARQBxAHUAYQB0AGkAbwBuAHMAXwBBAHQAbQBvAHMAcABoAGUAcgBpAGMARABlAHAAbwBzAGkAdABpAG8AbgAuAFYARQBFAFIARwBfADUAXwA0AF8AMQBfADMAXwBfADIAXwBNAGEAcwBzAE8AZgBOAGkAdAByAG8AZwBlAG4AVgBvAGwAYQB0AGkAbABpAHMAZQBkAEYAcgBvAG0ATwByAGcAYQBuAGkAYwBGAGUAcgB0AGkAbABpAHMAZQByAF8AVgBhAHIAaQBhAGIAbABlACIALAAiAEYAZQByAHQAaQBsAGkAcwBlAHIAXwBFAHEAdQBhAHQAaQBvAG4AcwBfAEEAdABtAG8AcwBwAGgAZQByAGkAYwBEAGUAcABvAHMAaQB0AGkAbwBuAC4AVgBFAEUAUgBHAF8ANQBfADQAXwAxAF8AMwBfAF8AMgBfAE0AYQBzAHMATwBmAE4AaQB0AHIAbwBnAGUAbgBWAG8AbABhAHQAaQBsAGkAcwBlAGQARgByAG8AbQBPAHIAZwBhAG4AaQBjAEYAZQByAHQAaQBsAGkAcwBlAHIAXwBVAG4AaQB0ACIALAAiAEYAZQByAHQAaQBsAGkAcwBlAHIAXwBFAHEAdQBhAHQAaQBvAG4AcwBfAEEAdABtAG8AcwBwAGgAZQByAGkAYwBEAGUAcABvAHMAaQB0AGkAbwBuAC4AVgBFAEUAUgBHAF8ANQBfADQAXwAxAF8AMwBfAF8AMgBfAE0AYQBzAHMATwBmAE4AaQB0AHIAbwBnAGUAbgBWAG8AbABhAHQAaQBsAGkAcwBlAGQARgByAG8AbQBPAHIAZwBhAG4AaQBjAEYAZQByAHQAaQBsAGkAcwBlAHIAXwBTAG8AdQByAGMAZQAiACwAIgBGAGUAcgB0AGkAbABpAHMAZQByAF8ARQBxAHUAYQB0AGkAbwBuAHMAXwBBAHQAbQBvAHMAcABoAGUAcgBpAGMARABlAHAAbwBzAGkAdABpAG8AbgAuAFYARQBFAFIARwBfADUAXwA0AF8AMQBfADMAXwBfADIAXwBNAGEAcwBzAE8AZgBOAGkAdAByAG8AZwBlAG4AVgBvAGwAYQB0AGkAbABpAHMAZQBkAEYAcgBvAG0ATwByAGcAYQBuAGkAYwBGAGUAcgB0AGkAbABpAHMAZQByAF8ATgBJAFIAUgBlAGYAZQByAGUAbgBjAGUAIgAsACIARgBlAHIAdABpAGwAaQBzAGUAcgBfAEUAcQB1AGEAdABpAG8AbgBzAF8AQQB0AG0AbwBzAHAAaABlAHIAaQBjAEQAZQBwAG8AcwBpAHQAaQBvAG4ALgBWAEUARQBSAEcAXwA1AF8ANABfADEAXwAzAF8AXwAyAF8ATQBhAHMAcwBPAGYATgBpAHQAcgBvAGcAZQBuAFYAbwBsAGEAdABpAGwAaQBzAGUAZABGAHIAbwBtAE8AcgBnAGEAbgBpAGMARgBlAHIAdABpAGwAaQBzAGUAcgBfAEwAYQB0AGUAeABFAHEAdQBhAHQAaQBvAG4AIgAsACIARgBlAHIAdABpAGwAaQBzAGUAcgBfAEUAcQB1AGEAdABpAG8AbgBzAF8AQQB0AG0AbwBzAHAAaABlAHIAaQBjAEQAZQBwAG8AcwBpAHQAaQBvAG4ALgBWAEUARQBSAEcAXwA1AF8ANABfADEAXwAzAF8AXwAyAF8ATQBhAHMAcwBPAGYATgBpAHQAcgBvAGcAZQBuAFYAbwBsAGEAdABpAGwAaQBzAGUAZABGAHIAbwBtAE8AcgBnAGEAbgBpAGMARgBlAHIAdABpAGwAaQBzAGUAcgBfAEEAcgBnAHUAbQBlAG4AdABzACIALAAiAEYAZQByAHQAaQBsAGkAcwBlAHIAXwBFAHEAdQBhAHQAaQBvAG4AcwBfAEwAZQBhAGMAaABpAG4AZwBBAG4AZABSAHUAbgBvAGYAZgAuAFYARQBFAFIARwBfADUAXwA1AF8AMQBfADEAXwBfADEAXwBGAGUAcgB0AGkAbABpAHMAZQByAEwAZQBhAGMAaABpAG4AZwBBAG4AZABSAHUAbgBvAGYAZgBOADIATwBFAG0AaQBzAHMAaQBvAG4AcwAiACwAIgBGAGUAcgB0AGkAbABpAHMAZQByAF8ARQBxAHUAYQB0AGkAbwBuAHMAXwBMAGUAYQBjAGgAaQBuAGcAQQBuAGQAUgB1AG4AbwBmAGYALgBWAEUARQBSAEcAXwA1AF8ANQBfADEAXwAxAF8AXwAxAF8ARgBlAHIAdABpAGwAaQBzAGUAcgBMAGUAYQBjAGgAaQBuAGcAQQBuAGQAUgB1AG4AbwBmAGYATgAyAE8ARQBtAGkAcwBzAGkAbwBuAHMAXwBUAGkAdABsAGUAIgAsACIARgBlAHIAdABpAGwAaQBzAGUAcgBfAEUAcQB1AGEAdABpAG8AbgBzAF8ATABlAGEAYwBoAGkAbgBnAEEAbgBkAFIAdQBuAG8AZgBmAC4AVgBFAEUAUgBHAF8ANQBfADUAXwAxAF8AMQBfAF8AMQBfAEYAZQByAHQAaQBsAGkAcwBlAHIATABlAGEAYwBoAGkAbgBnAEEAbgBkAFIAdQBuAG8AZgBmAE4AMgBPAEUAbQBpAHMAcwBpAG8AbgBzAF8AVgBhAHIAaQBhAGIAbABlACIALAAiAEYAZQByAHQAaQBsAGkAcwBlAHIAXwBFAHEAdQBhAHQAaQBvAG4AcwBfAEwAZQBhAGMAaABpAG4AZwBBAG4AZABSAHUAbgBvAGYAZgAuAFYARQBFAFIARwBfADUAXwA1AF8AMQBfADEAXwBfADEAXwBGAGUAcgB0AGkAbABpAHMAZQByAEwAZQBhAGMAaABpAG4AZwBBAG4AZABSAHUAbgBvAGYAZgBOADIATwBFAG0AaQBzAHMAaQBvAG4AcwBfAFUAbgBpAHQAIgAsACIARgBlAHIAdABpAGwAaQBzAGUAcgBfAEUAcQB1AGEAdABpAG8AbgBzAF8ATABlAGEAYwBoAGkAbgBnAEEAbgBkAFIAdQBuAG8AZgBmAC4AVgBFAEUAUgBHAF8ANQBfADUAXwAxAF8AMQBfAF8AMQBfAEYAZQByAHQAaQBsAGkAcwBlAHIATABlAGEAYwBoAGkAbgBnAEEAbgBkAFIAdQBuAG8AZgBmAE4AMgBPAEUAbQBpAHMAcwBpAG8AbgBzAF8AUwBvAHUAcgBjAGUAIgAsACIARgBlAHIAdABpAGwAaQBzAGUAcgBfAEUAcQB1AGEAdABpAG8AbgBzAF8ATABlAGEAYwBoAGkAbgBnAEEAbgBkAFIAdQBuAG8AZgBmAC4AVgBFAEUAUgBHAF8ANQBfADUAXwAxAF8AMQBfAF8AMQBfAEYAZQByAHQAaQBsAGkAcwBlAHIATABlAGEAYwBoAGkAbgBnAEEAbgBkAFIAdQBuAG8AZgBmAE4AMgBPAEUAbQBpAHMAcwBpAG8AbgBzAF8ATgBJAFIAUgBlAGYAZQByAGUAbgBjAGUAIgAsACIARgBlAHIAdABpAGwAaQBzAGUAcgBfAEUAcQB1AGEAdABpAG8AbgBzAF8ATABlAGEAYwBoAGkAbgBnAEEAbgBkAFIAdQBuAG8AZgBmAC4AVgBFAEUAUgBHAF8ANQBfADUAXwAxAF8AMQBfAF8AMQBfAEYAZQByAHQAaQBsAGkAcwBlAHIATABlAGEAYwBoAGkAbgBnAEEAbgBkAFIAdQBuAG8AZgBmAE4AMgBPAEUAbQBpAHMAcwBpAG8AbgBzAF8ATABhAHQAZQB4AEUAcQB1AGEAdABpAG8AbgAiACwAIgBGAGUAcgB0AGkAbABpAHMAZQByAF8ARQBxAHUAYQB0AGkAbwBuAHMAXwBMAGUAYQBjAGgAaQBuAGcAQQBuAGQAUgB1AG4AbwBmAGYALgBWAEUARQBSAEcAXwA1AF8ANQBfADEAXwAxAF8AXwAxAF8ARgBlAHIAdABpAGwAaQBzAGUAcgBMAGUAYQBjAGgAaQBuAGcAQQBuAGQAUgB1AG4AbwBmAGYATgAyAE8ARQBtAGkAcwBzAGkAbwBuAHMAXwBBAHIAZwB1AG0AZQBuAHQAcwAiACwAIgBGAGUAcgB0AGkAbABpAHMAZQByAF8ARQBxAHUAYQB0AGkAbwBuAHMAXwBMAGUAYQBjAGgAaQBuAGcAQQBuAGQAUgB1AG4AbwBmAGYALgBWAEUARQBSAEcAXwA1AF8ANQBfADEAXwAxAF8AXwAyAF8ATQBhAHMAcwBPAGYATgBpAHQAcgBvAGcAZQBuAEwAZQBhAGMAaABlAGQARgByAG8AbQBJAG4AbwByAGcAYQBuAGkAYwBGAGUAcgB0AGkAbABpAHMAZQByACIALAAiAEYAZQByAHQAaQBsAGkAcwBlAHIAXwBFAHEAdQBhAHQAaQBvAG4AcwBfAEwAZQBhAGMAaABpAG4AZwBBAG4AZABSAHUAbgBvAGYAZgAuAFYARQBFAFIARwBfADUAXwA1AF8AMQBfADEAXwBfADIAXwBNAGEAcwBzAE8AZgBOAGkAdAByAG8AZwBlAG4ATABlAGEAYwBoAGUAZABGAHIAbwBtAEkAbgBvAHIAZwBhAG4AaQBjAEYAZQByAHQAaQBsAGkAcwBlAHIAXwBUAGkAdABsAGUAIgAsACIARgBlAHIAdABpAGwAaQBzAGUAcgBfAEUAcQB1AGEAdABpAG8AbgBzAF8ATABlAGEAYwBoAGkAbgBnAEEAbgBkAFIAdQBuAG8AZgBmAC4AVgBFAEUAUgBHAF8ANQBfADUAXwAxAF8AMQBfAF8AMgBfAE0AYQBzAHMATwBmAE4AaQB0AHIAbwBnAGUAbgBMAGUAYQBjAGgAZQBkAEYAcgBvAG0ASQBuAG8AcgBnAGEAbgBpAGMARgBlAHIAdABpAGwAaQBzAGUAcgBfAFYAYQByAGkAYQBiAGwAZQAiACwAIgBGAGUAcgB0AGkAbABpAHMAZQByAF8ARQBxAHUAYQB0AGkAbwBuAHMAXwBMAGUAYQBjAGgAaQBuAGcAQQBuAGQAUgB1AG4AbwBmAGYALgBWAEUARQBSAEcAXwA1AF8ANQBfADEAXwAxAF8AXwAyAF8ATQBhAHMAcwBPAGYATgBpAHQAcgBvAGcAZQBuAEwAZQBhAGMAaABlAGQARgByAG8AbQBJAG4AbwByAGcAYQBuAGkAYwBGAGUAcgB0AGkAbABpAHMAZQByAF8AVQBuAGkAdAAiACwAIgBGAGUAcgB0AGkAbABpAHMAZQByAF8ARQBxAHUAYQB0AGkAbwBuAHMAXwBMAGUAYQBjAGgAaQBuAGcAQQBuAGQAUgB1AG4AbwBmAGYALgBWAEUARQBSAEcAXwA1AF8ANQBfADEAXwAxAF8AXwAyAF8ATQBhAHMAcwBPAGYATgBpAHQAcgBvAGcAZQBuAEwAZQBhAGMAaABlAGQARgByAG8AbQBJAG4AbwByAGcAYQBuAGkAYwBGAGUAcgB0AGkAbABpAHMAZQByAF8AUwBvAHUAcgBjAGUAIgAsACIARgBlAHIAdABpAGwAaQBzAGUAcgBfAEUAcQB1AGEAdABpAG8AbgBzAF8ATABlAGEAYwBoAGkAbgBnAEEAbgBkAFIAdQBuAG8AZgBmAC4AVgBFAEUAUgBHAF8ANQBfADUAXwAxAF8AMQBfAF8AMgBfAE0AYQBzAHMATwBmAE4AaQB0AHIAbwBnAGUAbgBMAGUAYQBjAGgAZQBkAEYAcgBvAG0ASQBuAG8AcgBnAGEAbgBpAGMARgBlAHIAdABpAGwAaQBzAGUAcgBfAE4ASQBSAFIAZQBmAGUAcgBlAG4AYwBlACIALAAiAEYAZQByAHQAaQBsAGkAcwBlAHIAXwBFAHEAdQBhAHQAaQBvAG4AcwBfAEwAZQBhAGMAaABpAG4AZwBBAG4AZABSAHUAbgBvAGYAZgAuAFYARQBFAFIARwBfADUAXwA1AF8AMQBfADEAXwBfADIAXwBNAGEAcwBzAE8AZgBOAGkAdAByAG8AZwBlAG4ATABlAGEAYwBoAGUAZABGAHIAbwBtAEkAbgBvAHIAZwBhAG4AaQBjAEYAZQByAHQAaQBsAGkAcwBlAHIAXwBMAGEAdABlAHgARQBxAHUAYQB0AGkAbwBuACIALAAiAEYAZQByAHQAaQBsAGkAcwBlAHIAXwBFAHEAdQBhAHQAaQBvAG4AcwBfAEwAZQBhAGMAaABpAG4AZwBBAG4AZABSAHUAbgBvAGYAZgAuAFYARQBFAFIARwBfADUAXwA1AF8AMQBfADEAXwBfADIAXwBNAGEAcwBzAE8AZgBOAGkAdAByAG8AZwBlAG4ATABlAGEAYwBoAGUAZABGAHIAbwBtAEkAbgBvAHIAZwBhAG4AaQBjAEYAZQByAHQAaQBsAGkAcwBlAHIAXwBBAHIAZwB1AG0AZQBuAHQAcwAiACwAIgBGAGUAcgB0AGkAbABpAHMAZQByAF8ARQBxAHUAYQB0AGkAbwBuAHMAXwBMAGUAYQBjAGgAaQBuAGcAQQBuAGQAUgB1AG4AbwBmAGYALgBWAEUARQBSAEcAXwA1AF8ANQBfADEAXwAxAF8AXwAzAF8ATQBhAHMAcwBPAGYATgBpAHQAcgBvAGcAZQBuAEwAZQBhAGMAaABlAGQARgByAG8AbQBPAHIAZwBhAG4AaQBjAEYAZQByAHQAaQBsAGkAcwBlAHIAIgAsACIARgBlAHIAdABpAGwAaQBzAGUAcgBfAEUAcQB1AGEAdABpAG8AbgBzAF8ATABlAGEAYwBoAGkAbgBnAEEAbgBkAFIAdQBuAG8AZgBmAC4AVgBFAEUAUgBHAF8ANQBfADUAXwAxAF8AMQBfAF8AMwBfAE0AYQBzAHMATwBmAE4AaQB0AHIAbwBnAGUAbgBMAGUAYQBjAGgAZQBkAEYAcgBvAG0ATwByAGcAYQBuAGkAYwBGAGUAcgB0AGkAbABpAHMAZQByAF8AVABpAHQAbABlACIALAAiAEYAZQByAHQAaQBsAGkAcwBlAHIAXwBFAHEAdQBhAHQAaQBvAG4AcwBfAEwAZQBhAGMAaABpAG4AZwBBAG4AZABSAHUAbgBvAGYAZgAuAFYARQBFAFIARwBfADUAXwA1AF8AMQBfADEAXwBfADMAXwBNAGEAcwBzAE8AZgBOAGkAdAByAG8AZwBlAG4ATABlAGEAYwBoAGUAZABGAHIAbwBtAE8AcgBnAGEAbgBpAGMARgBlAHIAdABpAGwAaQBzAGUAcgBfAFYAYQByAGkAYQBiAGwAZQAiACwAIgBGAGUAcgB0AGkAbABpAHMAZQByAF8ARQBxAHUAYQB0AGkAbwBuAHMAXwBMAGUAYQBjAGgAaQBuAGcAQQBuAGQAUgB1AG4AbwBmAGYALgBWAEUARQBSAEcAXwA1AF8ANQBfADEAXwAxAF8AXwAzAF8ATQBhAHMAcwBPAGYATgBpAHQAcgBvAGcAZQBuAEwAZQBhAGMAaABlAGQARgByAG8AbQBPAHIAZwBhAG4AaQBjAEYAZQByAHQAaQBsAGkAcwBlAHIAXwBVAG4AaQB0ACIALAAiAEYAZQByAHQAaQBsAGkAcwBlAHIAXwBFAHEAdQBhAHQAaQBvAG4AcwBfAEwAZQBhAGMAaABpAG4AZwBBAG4AZABSAHUAbgBvAGYAZgAuAFYARQBFAFIARwBfADUAXwA1AF8AMQBfADEAXwBfADMAXwBNAGEAcwBzAE8AZgBOAGkAdAByAG8AZwBlAG4ATABlAGEAYwBoAGUAZABGAHIAbwBtAE8AcgBnAGEAbgBpAGMARgBlAHIAdABpAGwAaQBzAGUAcgBfAFMAbwB1AHIAYwBlACIALAAiAEYAZQByAHQAaQBsAGkAcwBlAHIAXwBFAHEAdQBhAHQAaQBvAG4AcwBfAEwAZQBhAGMAaABpAG4AZwBBAG4AZABSAHUAbgBvAGYAZgAuAFYARQBFAFIARwBfADUAXwA1AF8AMQBfADEAXwBfADMAXwBNAGEAcwBzAE8AZgBOAGkAdAByAG8AZwBlAG4ATABlAGEAYwBoAGUAZABGAHIAbwBtAE8AcgBnAGEAbgBpAGMARgBlAHIAdABpAGwAaQBzAGUAcgBfAE4ASQBSAFIAZQBmAGUAcgBlAG4AYwBlACIALAAiAEYAZQByAHQAaQBsAGkAcwBlAHIAXwBFAHEAdQBhAHQAaQBvAG4AcwBfAEwAZQBhAGMAaABpAG4AZwBBAG4AZABSAHUAbgBvAGYAZgAuAFYARQBFAFIARwBfADUAXwA1AF8AMQBfADEAXwBfADMAXwBNAGEAcwBzAE8AZgBOAGkAdAByAG8AZwBlAG4ATABlAGEAYwBoAGUAZABGAHIAbwBtAE8AcgBnAGEAbgBpAGMARgBlAHIAdABpAGwAaQBzAGUAcgBfAEwAYQB0AGUAeABFAHEAdQBhAHQAaQBvAG4AIgAsACIARgBlAHIAdABpAGwAaQBzAGUAcgBfAEUAcQB1AGEAdABpAG8AbgBzAF8ATABlAGEAYwBoAGkAbgBnAEEAbgBkAFIAdQBuAG8AZgBmAC4AVgBFAEUAUgBHAF8ANQBfADUAXwAxAF8AMQBfAF8AMwBfAE0AYQBzAHMATwBmAE4AaQB0AHIAbwBnAGUAbgBMAGUAYQBjAGgAZQBkAEYAcgBvAG0ATwByAGcAYQBuAGkAYwBGAGUAcgB0AGkAbABpAHMAZQByAF8AQQByAGcAdQBtAGUAbgB0AHMAIgAsACIAQQBnAHIAZQBzAGkAZAB1AGUAXwBTAG8AdQByAGMAZQBEAGEAdABhAC4AQwByAG8AcABQAHUAcgBwAG8AcwBlAEEAbgBkAFkAaQBlAGwAZABfAFQAaQB0AGwAZQAiACwAIgBBAGcAcgBlAHMAaQBkAHUAZQBfAFMAbwB1AHIAYwBlAEQAYQB0AGEALgBDAHIAbwBwAFAAdQByAHAAbwBzAGUAQQBuAGQAWQBpAGUAbABkAF8ARABhAHQAYQAiACwAIgBBAGcAcgBlAHMAaQBkAHUAZQBfAFMAbwB1AHIAYwBlAEQAYQB0AGEALgBDAHIAbwBwAEEAdAB0AHIAaQBiAHUAdABlAHMAXwBUAGkAdABsAGUAIgAsACIAQQBnAHIAZQBzAGkAZAB1AGUAXwBTAG8AdQByAGMAZQBEAGEAdABhAC4AQwByAG8AcABBAHQAdAByAGkAYgB1AHQAZQBzAF8ARABlAHMAYwByAGkAcAB0AGkAbwBuACIALAAiAEEAZwByAGUAcwBpAGQAdQBlAF8AUwBvAHUAcgBjAGUARABhAHQAYQAuAEMAcgBvAHAAQQB0AHQAcgBpAGIAdQB0AGUAcwBfAFMAbwB1AHIAYwBlACIALAAiAEEAZwByAGUAcwBpAGQAdQBlAF8AUwBvAHUAcgBjAGUARABhAHQAYQAuAEMAcgBvAHAAQQB0AHQAcgBpAGIAdQB0AGUAcwBfAEQAYQB0AGEAIgAsACIAQQBnAHIAZQBzAGkAZAB1AGUAXwBTAG8AdQByAGMAZQBEAGEAdABhAC4AQwByAG8AcABBAHQAdAByAGkAYgB1AHQAZQBzAF8AVgBhAHIAaQBhAHQAaQBvAG4AIgAsACIAQQBnAHIAZQBzAGkAZAB1AGUAXwBTAG8AdQByAGMAZQBEAGEAdABhAC4AQwByAG8AcABGAHIAYQBjAHQAaQBvAG4AUgBlAG0AbwB2AGUAZABfAFQAaQB0AGwAZQAiACwAIgBBAGcAcgBlAHMAaQBkAHUAZQBfAFMAbwB1AHIAYwBlAEQAYQB0AGEALgBDAHIAbwBwAEYAcgBhAGMAdABpAG8AbgBSAGUAbQBvAHYAZQBkAF8ARABlAHMAYwByAGkAcAB0AGkAbwBuACIALAAiAEEAZwByAGUAcwBpAGQAdQBlAF8AUwBvAHUAcgBjAGUARABhAHQAYQAuAEMAcgBvAHAARgByAGEAYwB0AGkAbwBuAFIAZQBtAG8AdgBlAGQAXwBTAG8AdQByAGMAZQAiACwAIgBBAGcAcgBlAHMAaQBkAHUAZQBfAFMAbwB1AHIAYwBlAEQAYQB0AGEALgBDAHIAbwBwAEYAcgBhAGMAdABpAG8AbgBSAGUAbQBvAHYAZQBkAF8ARABhAHQAYQAiACwAIgBBAGcAcgBlAHMAaQBkAHUAZQBfAFMAbwB1AHIAYwBlAEQAYQB0AGEALgBDAHIAbwBwAEYAcgBhAGMAdABpAG8AbgBSAGUAbQBvAHYAZQBkAF8AQwB1AHMAdABvAG0AaQBzAGUAZABEAGEAdABhACIALAAiAEEAZwByAGUAcwBpAGQAdQBlAF8AUwBvAHUAcgBjAGUARABhAHQAYQAuAEMAcgBvAHAARgByAGEAYwB0AGkAbwBuAFIAZQBtAG8AdgBlAGQAXwBWAGEAcgBpAGEAdABpAG8AbgAiACwAIgBBAGcAcgBlAHMAaQBkAHUAZQBfAFMAbwB1AHIAYwBlAEQAYQB0AGEALgBQAGEAcwB0AHUAcgBlAEEAdAB0AHIAaQBiAHUAdABlAHMAXwBUAGkAdABsAGUAIgAsACIAQQBnAHIAZQBzAGkAZAB1AGUAXwBTAG8AdQByAGMAZQBEAGEAdABhAC4AUABhAHMAdAB1AHIAZQBBAHQAdAByAGkAYgB1AHQAZQBzAF8ARABlAHMAYwByAGkAcAB0AGkAbwBuACIALAAiAEEAZwByAGUAcwBpAGQAdQBlAF8AUwBvAHUAcgBjAGUARABhAHQAYQAuAFAAYQBzAHQAdQByAGUAQQB0AHQAcgBpAGIAdQB0AGUAcwBfAFMAbwB1AHIAYwBlACIALAAiAEEAZwByAGUAcwBpAGQAdQBlAF8AUwBvAHUAcgBjAGUARABhAHQAYQAuAFAAYQBzAHQAdQByAGUAQQB0AHQAcgBpAGIAdQB0AGUAcwBfAEQAYQB0AGEAIgAsACIAQQBnAHIAZQBzAGkAZAB1AGUAXwBTAG8AdQByAGMAZQBEAGEAdABhAC4AQgB1AHIAbgBpAG4AZwBPAGYAQQBnAHIAaQBjAHUAbAB0AHUAcgBhAGwAUgBlAHMAaQBkAHUAZQBzAEUARgBzAF8AVABpAHQAbABlACIALAAiAEEAZwByAGUAcwBpAGQAdQBlAF8AUwBvAHUAcgBjAGUARABhAHQAYQAuAEIAdQByAG4AaQBuAGcATwBmAEEAZwByAGkAYwB1AGwAdAB1AHIAYQBsAFIAZQBzAGkAZAB1AGUAcwBFAEYAcwBfAEQAZQBzAGMAcgBpAHAAdABpAG8AbgAiACwAIgBBAGcAcgBlAHMAaQBkAHUAZQBfAFMAbwB1AHIAYwBlAEQAYQB0AGEALgBCAHUAcgBuAGkAbgBnAE8AZgBBAGcAcgBpAGMAdQBsAHQAdQByAGEAbABSAGUAcwBpAGQAdQBlAHMARQBGAHMAXwBTAG8AdQByAGMAZQAiACwAIgBBAGcAcgBlAHMAaQBkAHUAZQBfAFMAbwB1AHIAYwBlAEQAYQB0AGEALgBCAHUAcgBuAGkAbgBnAE8AZgBBAGcAcgBpAGMAdQBsAHQAdQByAGEAbABSAGUAcwBpAGQAdQBlAHMARQBGAHMAXwBEAGEAdABhACIALAAiAEEAZwByAGUAcwBpAGQAdQBlAF8AUwBvAHUAcgBjAGUARABhAHQAYQAuAE4AMgBPAEUARgBPAHIAZwBhAG4AaQBjAEYAZQByAHQAaQBsAGkAcwBlAHIAXwBUAGkAdABsAGUAIgAsACIAQQBnAHIAZQBzAGkAZAB1AGUAXwBTAG8AdQByAGMAZQBEAGEAdABhAC4ATgAyAE8ARQBGAE8AcgBnAGEAbgBpAGMARgBlAHIAdABpAGwAaQBzAGUAcgBfAFUAbgBpAHQAIgAsACIAQQBnAHIAZQBzAGkAZAB1AGUAXwBTAG8AdQByAGMAZQBEAGEAdABhAC4ATgAyAE8ARQBGAE8AcgBnAGEAbgBpAGMARgBlAHIAdABpAGwAaQBzAGUAcgBfAFMAbwB1AHIAYwBlACIALAAiAEEAZwByAGUAcwBpAGQAdQBlAF8AUwBvAHUAcgBjAGUARABhAHQAYQAuAE4AMgBPAEUARgBPAHIAZwBhAG4AaQBjAEYAZQByAHQAaQBsAGkAcwBlAHIAXwBOAEkAUgBSAGUAZgBlAHIAZQBuAGMAZQAiACwAIgBBAGcAcgBlAHMAaQBkAHUAZQBfAFMAbwB1AHIAYwBlAEQAYQB0AGEALgBOADIATwBFAEYATwByAGcAYQBuAGkAYwBGAGUAcgB0AGkAbABpAHMAZQByAF8ARABhAHQAYQAiACwAIgBBAGcAUgBlAHMAaQBkAHUAZQBfAEUAcQB1AGEAdABpAG8AbgBzAF8AQwByAG8AcABSAGUAcwBpAGQAdQBlAC4AVgBFAEUAUgBHAF8ANgBfADEAXwAxAF8AMQBfAF8AMQBfAF8ATgBpAHQAcgBvAHUAcwBPAHgAaQBkAGUARQBtAGkAcwBzAGkAbwBuAHMARgByAG8AbQBDAHIAbwBwAFIAZQBzAGkAZAB1AGUAcwAiACwAIgBBAGcAUgBlAHMAaQBkAHUAZQBfAEUAcQB1AGEAdABpAG8AbgBzAF8AQwByAG8AcABSAGUAcwBpAGQAdQBlAC4AVgBFAEUAUgBHAF8ANgBfADEAXwAxAF8AMQBfAF8AMQBfAF8ATgBpAHQAcgBvAHUAcwBPAHgAaQBkAGUARQBtAGkAcwBzAGkAbwBuAHMARgByAG8AbQBDAHIAbwBwAFIAZQBzAGkAZAB1AGUAcwBfAEYAdQBuAGMAdABpAG8AbgBOAGEAbQBlACIALAAiAEEAZwBSAGUAcwBpAGQAdQBlAF8ARQBxAHUAYQB0AGkAbwBuAHMAXwBDAHIAbwBwAFIAZQBzAGkAZAB1AGUALgBWAEUARQBSAEcAXwA2AF8AMQBfADEAXwAxAF8AXwAxAF8AXwBOAGkAdAByAG8AdQBzAE8AeABpAGQAZQBFAG0AaQBzAHMAaQBvAG4AcwBGAHIAbwBtAEMAcgBvAHAAUgBlAHMAaQBkAHUAZQBzAF8AVABpAHQAbABlACIALAAiAEEAZwBSAGUAcwBpAGQAdQBlAF8ARQBxAHUAYQB0AGkAbwBuAHMAXwBDAHIAbwBwAFIAZQBzAGkAZAB1AGUALgBWAEUARQBSAEcAXwA2AF8AMQBfADEAXwAxAF8AXwAxAF8AXwBOAGkAdAByAG8AdQBzAE8AeABpAGQAZQBFAG0AaQBzAHMAaQBvAG4AcwBGAHIAbwBtAEMAcgBvAHAAUgBlAHMAaQBkAHUAZQBzAF8AVgBhAHIAaQBhAGIAbABlACIALAAiAEEAZwBSAGUAcwBpAGQAdQBlAF8ARQBxAHUAYQB0AGkAbwBuAHMAXwBDAHIAbwBwAFIAZQBzAGkAZAB1AGUALgBWAEUARQBSAEcAXwA2AF8AMQBfADEAXwAxAF8AXwAxAF8AXwBOAGkAdAByAG8AdQBzAE8AeABpAGQAZQBFAG0AaQBzAHMAaQBvAG4AcwBGAHIAbwBtAEMAcgBvAHAAUgBlAHMAaQBkAHUAZQBzAF8AVQBuAGkAdAAiACwAIgBBAGcAUgBlAHMAaQBkAHUAZQBfAEUAcQB1AGEAdABpAG8AbgBzAF8AQwByAG8AcABSAGUAcwBpAGQAdQBlAC4AVgBFAEUAUgBHAF8ANgBfADEAXwAxAF8AMQBfAF8AMQBfAF8ATgBpAHQAcgBvAHUAcwBPAHgAaQBkAGUARQBtAGkAcwBzAGkAbwBuAHMARgByAG8AbQBDAHIAbwBwAFIAZQBzAGkAZAB1AGUAcwBfAFMAbwB1AHIAYwBlACIALAAiAEEAZwBSAGUAcwBpAGQAdQBlAF8ARQBxAHUAYQB0AGkAbwBuAHMAXwBDAHIAbwBwAFIAZQBzAGkAZAB1AGUALgBWAEUARQBSAEcAXwA2AF8AMQBfADEAXwAxAF8AXwAxAF8AXwBOAGkAdAByAG8AdQBzAE8AeABpAGQAZQBFAG0AaQBzAHMAaQBvAG4AcwBGAHIAbwBtAEMAcgBvAHAAUgBlAHMAaQBkAHUAZQBzAF8ATgBJAFIAUgBlAGYAZQByAGUAbgBjAGUAIgAsACIAQQBnAFIAZQBzAGkAZAB1AGUAXwBFAHEAdQBhAHQAaQBvAG4AcwBfAEMAcgBvAHAAUgBlAHMAaQBkAHUAZQAuAFYARQBFAFIARwBfADYAXwAxAF8AMQBfADEAXwBfADEAXwBfAE4AaQB0AHIAbwB1AHMATwB4AGkAZABlAEUAbQBpAHMAcwBpAG8AbgBzAEYAcgBvAG0AQwByAG8AcABSAGUAcwBpAGQAdQBlAHMAXwBMAGEAdABlAHgARQBxAHUAYQB0AGkAbwBuACIALAAiAEEAZwBSAGUAcwBpAGQAdQBlAF8ARQBxAHUAYQB0AGkAbwBuAHMAXwBDAHIAbwBwAFIAZQBzAGkAZAB1AGUALgBWAEUARQBSAEcAXwA2AF8AMQBfADEAXwAxAF8AXwAxAF8AXwBOAGkAdAByAG8AdQBzAE8AeABpAGQAZQBFAG0AaQBzAHMAaQBvAG4AcwBGAHIAbwBtAEMAcgBvAHAAUgBlAHMAaQBkAHUAZQBzAF8AQQByAGcAdQBtAGUAbgB0AHMAIgAsACIAQQBnAFIAZQBzAGkAZAB1AGUAXwBFAHEAdQBhAHQAaQBvAG4AcwBfAEMAcgBvAHAAUgBlAHMAaQBkAHUAZQAuAFYARQBFAFIARwBfADYAXwAxAF8AMQBfADEAXwBfADIAXwBfAE0AYQBzAHMATwBmAE4AaQB0AHIAbwBnAGUAbgBJAG4AQwByAG8AcABSAGUAcwBpAGQAdQBlAHMAIgAsACIAQQBnAFIAZQBzAGkAZAB1AGUAXwBFAHEAdQBhAHQAaQBvAG4AcwBfAEMAcgBvAHAAUgBlAHMAaQBkAHUAZQAuAFYARQBFAFIARwBfADYAXwAxAF8AMQBfADEAXwBfADIAXwBfAE0AYQBzAHMATwBmAE4AaQB0AHIAbwBnAGUAbgBJAG4AQwByAG8AcABSAGUAcwBpAGQAdQBlAHMAXwBUAGkAdABsAGUAIgAsACIAQQBnAFIAZQBzAGkAZAB1AGUAXwBFAHEAdQBhAHQAaQBvAG4AcwBfAEMAcgBvAHAAUgBlAHMAaQBkAHUAZQAuAFYARQBFAFIARwBfADYAXwAxAF8AMQBfADEAXwBfADIAXwBfAE0AYQBzAHMATwBmAE4AaQB0AHIAbwBnAGUAbgBJAG4AQwByAG8AcABSAGUAcwBpAGQAdQBlAHMAXwBWAGEAcgBpAGEAYgBsAGUAIgAsACIAQQBnAFIAZQBzAGkAZAB1AGUAXwBFAHEAdQBhAHQAaQBvAG4AcwBfAEMAcgBvAHAAUgBlAHMAaQBkAHUAZQAuAFYARQBFAFIARwBfADYAXwAxAF8AMQBfADEAXwBfADIAXwBfAE0AYQBzAHMATwBmAE4AaQB0AHIAbwBnAGUAbgBJAG4AQwByAG8AcABSAGUAcwBpAGQAdQBlAHMAXwBVAG4AaQB0ACIALAAiAEEAZwBSAGUAcwBpAGQAdQBlAF8ARQBxAHUAYQB0AGkAbwBuAHMAXwBDAHIAbwBwAFIAZQBzAGkAZAB1AGUALgBWAEUARQBSAEcAXwA2AF8AMQBfADEAXwAxAF8AXwAyAF8AXwBNAGEAcwBzAE8AZgBOAGkAdAByAG8AZwBlAG4ASQBuAEMAcgBvAHAAUgBlAHMAaQBkAHUAZQBzAF8AUwBvAHUAcgBjAGUAIgAsACIAQQBnAFIAZQBzAGkAZAB1AGUAXwBFAHEAdQBhAHQAaQBvAG4AcwBfAEMAcgBvAHAAUgBlAHMAaQBkAHUAZQAuAFYARQBFAFIARwBfADYAXwAxAF8AMQBfADEAXwBfADIAXwBfAE0AYQBzAHMATwBmAE4AaQB0AHIAbwBnAGUAbgBJAG4AQwByAG8AcABSAGUAcwBpAGQAdQBlAHMAXwBOAEkAUgBSAGUAZgBlAHIAZQBuAGMAZQAiACwAIgBBAGcAUgBlAHMAaQBkAHUAZQBfAEUAcQB1AGEAdABpAG8AbgBzAF8AQwByAG8AcABSAGUAcwBpAGQAdQBlAC4AVgBFAEUAUgBHAF8ANgBfADEAXwAxAF8AMQBfAF8AMgBfAF8ATQBhAHMAcwBPAGYATgBpAHQAcgBvAGcAZQBuAEkAbgBDAHIAbwBwAFIAZQBzAGkAZAB1AGUAcwBfAEwAYQB0AGUAeABFAHEAdQBhAHQAaQBvAG4AIgAsACIAQQBnAFIAZQBzAGkAZAB1AGUAXwBFAHEAdQBhAHQAaQBvAG4AcwBfAEMAcgBvAHAAUgBlAHMAaQBkAHUAZQAuAFYARQBFAFIARwBfADYAXwAxAF8AMQBfADEAXwBfADIAXwBfAE0AYQBzAHMATwBmAE4AaQB0AHIAbwBnAGUAbgBJAG4AQwByAG8AcABSAGUAcwBpAGQAdQBlAHMAXwBBAHIAZwB1AG0AZQBuAHQAcwAiACwAIgBBAGcAUgBlAHMAaQBkAHUAZQBfAEUAcQB1AGEAdABpAG8AbgBzAF8AQwByAG8AcABSAGUAcwBpAGQAdQBlAC4AVgBFAEUAUgBHAF8ANgBfADEAXwAxAF8AMQBfAF8AMgBfAF8ATQBhAHMAcwBPAGYATgBpAHQAcgBvAGcAZQBuAEkAbgBDAHIAbwBwAFIAZQBzAGkAZAB1AGUAcwBfAEEAcgBnAHUAbQBlAG4AdABzAF8ATQBlAHQAaABvAGQAMgAiACwAIgBBAGcAUgBlAHMAaQBkAHUAZQBfAEUAcQB1AGEAdABpAG8AbgBzAF8AQwByAG8AcABSAGUAcwBpAGQAdQBlAC4AVgBFAEUAUgBHAF8ANgBfADEAXwAxAF8AMgBfAF8AMQBfAF8ARgByAGEAYwB0AGkAbwBuAE8AZgBDAHIAbwBwAFIAZQBzAGkAZAB1AGUAUgBlAG0AbwB2AGUAZABCAGEAbABlAGQAIgAsACIAQQBnAFIAZQBzAGkAZAB1AGUAXwBFAHEAdQBhAHQAaQBvAG4AcwBfAEMAcgBvAHAAUgBlAHMAaQBkAHUAZQAuAFYARQBFAFIARwBfADYAXwAxAF8AMQBfADIAXwBfADEAXwBfAEYAcgBhAGMAdABpAG8AbgBPAGYAQwByAG8AcABSAGUAcwBpAGQAdQBlAFIAZQBtAG8AdgBlAGQAQgBhAGwAZQBkAF8AVABpAHQAbABlACIALAAiAEEAZwBSAGUAcwBpAGQAdQBlAF8ARQBxAHUAYQB0AGkAbwBuAHMAXwBDAHIAbwBwAFIAZQBzAGkAZAB1AGUALgBWAEUARQBSAEcAXwA2AF8AMQBfADEAXwAyAF8AXwAxAF8AXwBGAHIAYQBjAHQAaQBvAG4ATwBmAEMAcgBvAHAAUgBlAHMAaQBkAHUAZQBSAGUAbQBvAHYAZQBkAEIAYQBsAGUAZABfAFYAYQByAGkAYQBiAGwAZQAiACwAIgBBAGcAUgBlAHMAaQBkAHUAZQBfAEUAcQB1AGEAdABpAG8AbgBzAF8AQwByAG8AcABSAGUAcwBpAGQAdQBlAC4AVgBFAEUAUgBHAF8ANgBfADEAXwAxAF8AMgBfAF8AMQBfAF8ARgByAGEAYwB0AGkAbwBuAE8AZgBDAHIAbwBwAFIAZQBzAGkAZAB1AGUAUgBlAG0AbwB2AGUAZABCAGEAbABlAGQAXwBVAG4AaQB0ACIALAAiAEEAZwBSAGUAcwBpAGQAdQBlAF8ARQBxAHUAYQB0AGkAbwBuAHMAXwBDAHIAbwBwAFIAZQBzAGkAZAB1AGUALgBWAEUARQBSAEcAXwA2AF8AMQBfADEAXwAyAF8AXwAxAF8AXwBGAHIAYQBjAHQAaQBvAG4ATwBmAEMAcgBvAHAAUgBlAHMAaQBkAHUAZQBSAGUAbQBvAHYAZQBkAEIAYQBsAGUAZABfAFMAbwB1AHIAYwBlACIALAAiAEEAZwBSAGUAcwBpAGQAdQBlAF8ARQBxAHUAYQB0AGkAbwBuAHMAXwBDAHIAbwBwAFIAZQBzAGkAZAB1AGUALgBWAEUARQBSAEcAXwA2AF8AMQBfADEAXwAyAF8AXwAxAF8AXwBGAHIAYQBjAHQAaQBvAG4ATwBmAEMAcgBvAHAAUgBlAHMAaQBkAHUAZQBSAGUAbQBvAHYAZQBkAEIAYQBsAGUAZABfAE4ASQBSAFIAZQBmAGUAcgBlAG4AYwBlACIALAAiAEEAZwBSAGUAcwBpAGQAdQBlAF8ARQBxAHUAYQB0AGkAbwBuAHMAXwBDAHIAbwBwAFIAZQBzAGkAZAB1AGUALgBWAEUARQBSAEcAXwA2AF8AMQBfADEAXwAyAF8AXwAxAF8AXwBGAHIAYQBjAHQAaQBvAG4ATwBmAEMAcgBvAHAAUgBlAHMAaQBkAHUAZQBSAGUAbQBvAHYAZQBkAEIAYQBsAGUAZABfAEwAYQB0AGUAeABFAHEAdQBhAHQAaQBvAG4AIgAsACIAQQBnAFIAZQBzAGkAZAB1AGUAXwBFAHEAdQBhAHQAaQBvAG4AcwBfAEMAcgBvAHAAUgBlAHMAaQBkAHUAZQAuAFYARQBFAFIARwBfADYAXwAxAF8AMQBfADIAXwBfADEAXwBfAEYAcgBhAGMAdABpAG8AbgBPAGYAQwByAG8AcABSAGUAcwBpAGQAdQBlAFIAZQBtAG8AdgBlAGQAQgBhAGwAZQBkAF8AQQByAGcAdQBtAGUAbgB0AHMAIgAsACIAQQBnAFIAZQBzAGkAZAB1AGUAXwBFAHEAdQBhAHQAaQBvAG4AcwBfAEMAcgBvAHAAUgBlAHMAaQBkAHUAZQAuAFYARQBFAFIARwBfADYAXwAxAF8AMQBfADIAXwBfADEAXwBfAEYAcgBhAGMAdABpAG8AbgBPAGYAQwByAG8AcABSAGUAcwBpAGQAdQBlAFIAZQBtAG8AdgBlAGQAQgBhAGwAZQBkAF8AVgBhAHIAaQBhAHQAaQBvAG4AIgAsACIAQQBnAFIAZQBzAGkAZAB1AGUAXwBFAHEAdQBhAHQAaQBvAG4AcwBfAEMAcgBvAHAAUgBlAHMAaQBkAHUAZQAuAFYARQBFAFIARwBfADYAXwAxAF8AMQBfADIAXwBfADEAYQBfAF8ARgByAGEAYwB0AGkAbwBuAE8AZgBDAHIAbwBwAFIAZQBzAGkAZAB1AGUAUgBlAG0AbwB2AGUAZAAiACwAIgBBAGcAUgBlAHMAaQBkAHUAZQBfAEUAcQB1AGEAdABpAG8AbgBzAF8AQwByAG8AcABSAGUAcwBpAGQAdQBlAC4AVgBFAEUAUgBHAF8ANgBfADEAXwAxAF8AMgBfAF8AMQBhAF8AXwBGAHIAYQBjAHQAaQBvAG4ATwBmAEMAcgBvAHAAUgBlAHMAaQBkAHUAZQBSAGUAbQBvAHYAZQBkAF8AVABpAHQAbABlACIALAAiAEEAZwBSAGUAcwBpAGQAdQBlAF8ARQBxAHUAYQB0AGkAbwBuAHMAXwBDAHIAbwBwAFIAZQBzAGkAZAB1AGUALgBWAEUARQBSAEcAXwA2AF8AMQBfADEAXwAyAF8AXwAxAGEAXwBfAEYAcgBhAGMAdABpAG8AbgBPAGYAQwByAG8AcABSAGUAcwBpAGQAdQBlAFIAZQBtAG8AdgBlAGQAXwBWAGEAcgBpAGEAYgBsAGUAIgAsACIAQQBnAFIAZQBzAGkAZAB1AGUAXwBFAHEAdQBhAHQAaQBvAG4AcwBfAEMAcgBvAHAAUgBlAHMAaQBkAHUAZQAuAFYARQBFAFIARwBfADYAXwAxAF8AMQBfADIAXwBfADEAYQBfAF8ARgByAGEAYwB0AGkAbwBuAE8AZgBDAHIAbwBwAFIAZQBzAGkAZAB1AGUAUgBlAG0AbwB2AGUAZABfAFUAbgBpAHQAIgAsACIAQQBnAFIAZQBzAGkAZAB1AGUAXwBFAHEAdQBhAHQAaQBvAG4AcwBfAEMAcgBvAHAAUgBlAHMAaQBkAHUAZQAuAFYARQBFAFIARwBfADYAXwAxAF8AMQBfADIAXwBfADEAYQBfAF8ARgByAGEAYwB0AGkAbwBuAE8AZgBDAHIAbwBwAFIAZQBzAGkAZAB1AGUAUgBlAG0AbwB2AGUAZABfAFMAbwB1AHIAYwBlACIALAAiAEEAZwBSAGUAcwBpAGQAdQBlAF8ARQBxAHUAYQB0AGkAbwBuAHMAXwBDAHIAbwBwAFIAZQBzAGkAZAB1AGUALgBWAEUARQBSAEcAXwA2AF8AMQBfADEAXwAyAF8AXwAxAGEAXwBfAEYAcgBhAGMAdABpAG8AbgBPAGYAQwByAG8AcABSAGUAcwBpAGQAdQBlAFIAZQBtAG8AdgBlAGQAXwBOAEkAUgBSAGUAZgBlAHIAZQBuAGMAZQAiACwAIgBBAGcAUgBlAHMAaQBkAHUAZQBfAEUAcQB1AGEAdABpAG8AbgBzAF8AQwByAG8AcABSAGUAcwBpAGQAdQBlAC4AVgBFAEUAUgBHAF8ANgBfADEAXwAxAF8AMgBfAF8AMQBhAF8AXwBGAHIAYQBjAHQAaQBvAG4ATwBmAEMAcgBvAHAAUgBlAHMAaQBkAHUAZQBSAGUAbQBvAHYAZQBkAF8ATABhAHQAZQB4AEUAcQB1AGEAdABpAG8AbgAiACwAIgBBAGcAUgBlAHMAaQBkAHUAZQBfAEUAcQB1AGEAdABpAG8AbgBzAF8AQwByAG8AcABSAGUAcwBpAGQAdQBlAC4AVgBFAEUAUgBHAF8ANgBfADEAXwAxAF8AMgBfAF8AMQBhAF8AXwBGAHIAYQBjAHQAaQBvAG4ATwBmAEMAcgBvAHAAUgBlAHMAaQBkAHUAZQBSAGUAbQBvAHYAZQBkAF8AQQByAGcAdQBtAGUAbgB0AHMAIgAsACIAQQBnAFIAZQBzAGkAZAB1AGUAXwBFAHEAdQBhAHQAaQBvAG4AcwBfAEMAcgBvAHAAUgBlAHMAaQBkAHUAZQAuAFYARQBFAFIARwBfADYAXwAxAF8AMQBfADIAXwBfADEAYQBfAF8ARgByAGEAYwB0AGkAbwBuAE8AZgBDAHIAbwBwAFIAZQBzAGkAZAB1AGUAUgBlAG0AbwB2AGUAZABfAFYAYQByAGkAYQB0AGkAbwBuACIALAAiAEEAZwBSAGUAcwBpAGQAdQBlAF8ARQBxAHUAYQB0AGkAbwBuAHMAXwBGAGkAZQBsAGQAQgB1AHIAbgBpAG4AZwAuAFYARQBFAFIARwBfADYAXwA0AF8AMQBfADEAXwBfADEAXwBfAE0AZQB0AGgAYQBuAGUARQBtAGkAcwBzAGkAbwBuAHMARgByAG8AbQBCAHUAcgBuAGkAbgBnAE8AZgBDAHIAbwBwAFIAZQBzAGkAZAB1AGUAcwAiACwAIgBBAGcAUgBlAHMAaQBkAHUAZQBfAEUAcQB1AGEAdABpAG8AbgBzAF8ARgBpAGUAbABkAEIAdQByAG4AaQBuAGcALgBWAEUARQBSAEcAXwA2AF8ANABfADEAXwAxAF8AXwAxAF8AXwBNAGUAdABoAGEAbgBlAEUAbQBpAHMAcwBpAG8AbgBzAEYAcgBvAG0AQgB1AHIAbgBpAG4AZwBPAGYAQwByAG8AcABSAGUAcwBpAGQAdQBlAHMAXwBGAHUAbgBjAHQAaQBvAG4ATgBhAG0AZQAiACwAIgBBAGcAUgBlAHMAaQBkAHUAZQBfAEUAcQB1AGEAdABpAG8AbgBzAF8ARgBpAGUAbABkAEIAdQByAG4AaQBuAGcALgBWAEUARQBSAEcAXwA2AF8ANABfADEAXwAxAF8AXwAxAF8AXwBNAGUAdABoAGEAbgBlAEUAbQBpAHMAcwBpAG8AbgBzAEYAcgBvAG0AQgB1AHIAbgBpAG4AZwBPAGYAQwByAG8AcABSAGUAcwBpAGQAdQBlAHMAXwBUAGkAdABsAGUAIgAsACIAQQBnAFIAZQBzAGkAZAB1AGUAXwBFAHEAdQBhAHQAaQBvAG4AcwBfAEYAaQBlAGwAZABCAHUAcgBuAGkAbgBnAC4AVgBFAEUAUgBHAF8ANgBfADQAXwAxAF8AMQBfAF8AMQBfAF8ATQBlAHQAaABhAG4AZQBFAG0AaQBzAHMAaQBvAG4AcwBGAHIAbwBtAEIAdQByAG4AaQBuAGcATwBmAEMAcgBvAHAAUgBlAHMAaQBkAHUAZQBzAF8AVgBhAHIAaQBhAGIAbABlACIALAAiAEEAZwBSAGUAcwBpAGQAdQBlAF8ARQBxAHUAYQB0AGkAbwBuAHMAXwBGAGkAZQBsAGQAQgB1AHIAbgBpAG4AZwAuAFYARQBFAFIARwBfADYAXwA0AF8AMQBfADEAXwBfADEAXwBfAE0AZQB0AGgAYQBuAGUARQBtAGkAcwBzAGkAbwBuAHMARgByAG8AbQBCAHUAcgBuAGkAbgBnAE8AZgBDAHIAbwBwAFIAZQBzAGkAZAB1AGUAcwBfAFUAbgBpAHQAIgAsACIAQQBnAFIAZQBzAGkAZAB1AGUAXwBFAHEAdQBhAHQAaQBvAG4AcwBfAEYAaQBlAGwAZABCAHUAcgBuAGkAbgBnAC4AVgBFAEUAUgBHAF8ANgBfADQAXwAxAF8AMQBfAF8AMQBfAF8ATQBlAHQAaABhAG4AZQBFAG0AaQBzAHMAaQBvAG4AcwBGAHIAbwBtAEIAdQByAG4AaQBuAGcATwBmAEMAcgBvAHAAUgBlAHMAaQBkAHUAZQBzAF8AUwBvAHUAcgBjAGUAIgAsACIAQQBnAFIAZQBzAGkAZAB1AGUAXwBFAHEAdQBhAHQAaQBvAG4AcwBfAEYAaQBlAGwAZABCAHUAcgBuAGkAbgBnAC4AVgBFAEUAUgBHAF8ANgBfADQAXwAxAF8AMQBfAF8AMQBfAF8ATQBlAHQAaABhAG4AZQBFAG0AaQBzAHMAaQBvAG4AcwBGAHIAbwBtAEIAdQByAG4AaQBuAGcATwBmAEMAcgBvAHAAUgBlAHMAaQBkAHUAZQBzAF8ATgBJAFIAUgBlAGYAZQByAGUAbgBjAGUAIgAsACIAQQBnAFIAZQBzAGkAZAB1AGUAXwBFAHEAdQBhAHQAaQBvAG4AcwBfAEYAaQBlAGwAZABCAHUAcgBuAGkAbgBnAC4AVgBFAEUAUgBHAF8ANgBfADQAXwAxAF8AMQBfAF8AMQBfAF8ATQBlAHQAaABhAG4AZQBFAG0AaQBzAHMAaQBvAG4AcwBGAHIAbwBtAEIAdQByAG4AaQBuAGcATwBmAEMAcgBvAHAAUgBlAHMAaQBkAHUAZQBzAF8ATABhAHQAZQB4AEUAcQB1AGEAdABpAG8AbgAiACwAIgBBAGcAUgBlAHMAaQBkAHUAZQBfAEUAcQB1AGEAdABpAG8AbgBzAF8ARgBpAGUAbABkAEIAdQByAG4AaQBuAGcALgBWAEUARQBSAEcAXwA2AF8ANABfADEAXwAxAF8AXwAxAF8AXwBNAGUAdABoAGEAbgBlAEUAbQBpAHMAcwBpAG8AbgBzAEYAcgBvAG0AQgB1AHIAbgBpAG4AZwBPAGYAQwByAG8AcABSAGUAcwBpAGQAdQBlAHMAXwBBAHIAZwB1AG0AZQBuAHQAcwAiACwAIgBBAGcAUgBlAHMAaQBkAHUAZQBfAEUAcQB1AGEAdABpAG8AbgBzAF8ARgBpAGUAbABkAEIAdQByAG4AaQBuAGcALgBWAEUARQBSAEcAXwA2AF8ANABfADEAXwAxAF8AXwAyAF8AXwBOAGkAdAByAG8AdQBzAE8AeABpAGQAZQBFAG0AaQBzAHMAaQBvAG4AcwBGAHIAbwBtAEIAdQByAG4AaQBuAGcATwBmAEMAcgBvAHAAUgBlAHMAaQBkAHUAZQBzACIALAAiAEEAZwBSAGUAcwBpAGQAdQBlAF8ARQBxAHUAYQB0AGkAbwBuAHMAXwBGAGkAZQBsAGQAQgB1AHIAbgBpAG4AZwAuAFYARQBFAFIARwBfADYAXwA0AF8AMQBfADEAXwBfADIAXwBfAE4AaQB0AHIAbwB1AHMATwB4AGkAZABlAEUAbQBpAHMAcwBpAG8AbgBzAEYAcgBvAG0AQgB1AHIAbgBpAG4AZwBPAGYAQwByAG8AcABSAGUAcwBpAGQAdQBlAHMAXwBGAHUAbgBjAHQAaQBvAG4ATgBhAG0AZQAiACwAIgBBAGcAUgBlAHMAaQBkAHUAZQBfAEUAcQB1AGEAdABpAG8AbgBzAF8ARgBpAGUAbABkAEIAdQByAG4AaQBuAGcALgBWAEUARQBSAEcAXwA2AF8ANABfADEAXwAxAF8AXwAyAF8AXwBOAGkAdAByAG8AdQBzAE8AeABpAGQAZQBFAG0AaQBzAHMAaQBvAG4AcwBGAHIAbwBtAEIAdQByAG4AaQBuAGcATwBmAEMAcgBvAHAAUgBlAHMAaQBkAHUAZQBzAF8AVABpAHQAbABlACIALAAiAEEAZwBSAGUAcwBpAGQAdQBlAF8ARQBxAHUAYQB0AGkAbwBuAHMAXwBGAGkAZQBsAGQAQgB1AHIAbgBpAG4AZwAuAFYARQBFAFIARwBfADYAXwA0AF8AMQBfADEAXwBfADIAXwBfAE4AaQB0AHIAbwB1AHMATwB4AGkAZABlAEUAbQBpAHMAcwBpAG8AbgBzAEYAcgBvAG0AQgB1AHIAbgBpAG4AZwBPAGYAQwByAG8AcABSAGUAcwBpAGQAdQBlAHMAXwBWAGEAcgBpAGEAYgBsAGUAIgAsACIAQQBnAFIAZQBzAGkAZAB1AGUAXwBFAHEAdQBhAHQAaQBvAG4AcwBfAEYAaQBlAGwAZABCAHUAcgBuAGkAbgBnAC4AVgBFAEUAUgBHAF8ANgBfADQAXwAxAF8AMQBfAF8AMgBfAF8ATgBpAHQAcgBvAHUAcwBPAHgAaQBkAGUARQBtAGkAcwBzAGkAbwBuAHMARgByAG8AbQBCAHUAcgBuAGkAbgBnAE8AZgBDAHIAbwBwAFIAZQBzAGkAZAB1AGUAcwBfAFUAbgBpAHQAIgAsACIAQQBnAFIAZQBzAGkAZAB1AGUAXwBFAHEAdQBhAHQAaQBvAG4AcwBfAEYAaQBlAGwAZABCAHUAcgBuAGkAbgBnAC4AVgBFAEUAUgBHAF8ANgBfADQAXwAxAF8AMQBfAF8AMgBfAF8ATgBpAHQAcgBvAHUAcwBPAHgAaQBkAGUARQBtAGkAcwBzAGkAbwBuAHMARgByAG8AbQBCAHUAcgBuAGkAbgBnAE8AZgBDAHIAbwBwAFIAZQBzAGkAZAB1AGUAcwBfAFMAbwB1AHIAYwBlACIALAAiAEEAZwBSAGUAcwBpAGQAdQBlAF8ARQBxAHUAYQB0AGkAbwBuAHMAXwBGAGkAZQBsAGQAQgB1AHIAbgBpAG4AZwAuAFYARQBFAFIARwBfADYAXwA0AF8AMQBfADEAXwBfADIAXwBfAE4AaQB0AHIAbwB1AHMATwB4AGkAZABlAEUAbQBpAHMAcwBpAG8AbgBzAEYAcgBvAG0AQgB1AHIAbgBpAG4AZwBPAGYAQwByAG8AcABSAGUAcwBpAGQAdQBlAHMAXwBOAEkAUgBSAGUAZgBlAHIAZQBuAGMAZQAiACwAIgBBAGcAUgBlAHMAaQBkAHUAZQBfAEUAcQB1AGEAdABpAG8AbgBzAF8ARgBpAGUAbABkAEIAdQByAG4AaQBuAGcALgBWAEUARQBSAEcAXwA2AF8ANABfADEAXwAxAF8AXwAyAF8AXwBOAGkAdAByAG8AdQBzAE8AeABpAGQAZQBFAG0AaQBzAHMAaQBvAG4AcwBGAHIAbwBtAEIAdQByAG4AaQBuAGcATwBmAEMAcgBvAHAAUgBlAHMAaQBkAHUAZQBzAF8ATABhAHQAZQB4AEUAcQB1AGEAdABpAG8AbgAiACwAIgBBAGcAUgBlAHMAaQBkAHUAZQBfAEUAcQB1AGEAdABpAG8AbgBzAF8ARgBpAGUAbABkAEIAdQByAG4AaQBuAGcALgBWAEUARQBSAEcAXwA2AF8ANABfADEAXwAxAF8AXwAyAF8AXwBOAGkAdAByAG8AdQBzAE8AeABpAGQAZQBFAG0AaQBzAHMAaQBvAG4AcwBGAHIAbwBtAEIAdQByAG4AaQBuAGcATwBmAEMAcgBvAHAAUgBlAHMAaQBkAHUAZQBzAF8AQQByAGcAdQBtAGUAbgB0AHMAIgAsACIAQQBnAFIAZQBzAGkAZAB1AGUAXwBFAHEAdQBhAHQAaQBvAG4AcwBfAEYAaQBlAGwAZABCAHUAcgBuAGkAbgBnAC4AVgBFAEUAUgBHAF8ANgBfADQAXwAxAF8AMQBfAF8AMwBfAF8ATQBhAHMAcwBPAGYAQwByAG8AcABSAGUAcwBpAGQAdQBlAEIAdQByAG4AdAAiACwAIgBBAGcAUgBlAHMAaQBkAHUAZQBfAEUAcQB1AGEAdABpAG8AbgBzAF8ARgBpAGUAbABkAEIAdQByAG4AaQBuAGcALgBWAEUARQBSAEcAXwA2AF8ANABfADEAXwAxAF8AXwAzAF8AXwBNAGEAcwBzAE8AZgBDAHIAbwBwAFIAZQBzAGkAZAB1AGUAQgB1AHIAbgB0AF8ARgB1AG4AYwB0AGkAbwBuAE4AYQBtAGUAIgAsACIAQQBnAFIAZQBzAGkAZAB1AGUAXwBFAHEAdQBhAHQAaQBvAG4AcwBfAEYAaQBlAGwAZABCAHUAcgBuAGkAbgBnAC4AVgBFAEUAUgBHAF8ANgBfADQAXwAxAF8AMQBfAF8AMwBfAF8ATQBhAHMAcwBPAGYAQwByAG8AcABSAGUAcwBpAGQAdQBlAEIAdQByAG4AdABfAFQAaQB0AGwAZQAiACwAIgBBAGcAUgBlAHMAaQBkAHUAZQBfAEUAcQB1AGEAdABpAG8AbgBzAF8ARgBpAGUAbABkAEIAdQByAG4AaQBuAGcALgBWAEUARQBSAEcAXwA2AF8ANABfADEAXwAxAF8AXwAzAF8AXwBNAGEAcwBzAE8AZgBDAHIAbwBwAFIAZQBzAGkAZAB1AGUAQgB1AHIAbgB0AF8AVgBhAHIAaQBhAGIAbABlACIALAAiAEEAZwBSAGUAcwBpAGQAdQBlAF8ARQBxAHUAYQB0AGkAbwBuAHMAXwBGAGkAZQBsAGQAQgB1AHIAbgBpAG4AZwAuAFYARQBFAFIARwBfADYAXwA0AF8AMQBfADEAXwBfADMAXwBfAE0AYQBzAHMATwBmAEMAcgBvAHAAUgBlAHMAaQBkAHUAZQBCAHUAcgBuAHQAXwBVAG4AaQB0ACIALAAiAEEAZwBSAGUAcwBpAGQAdQBlAF8ARQBxAHUAYQB0AGkAbwBuAHMAXwBGAGkAZQBsAGQAQgB1AHIAbgBpAG4AZwAuAFYARQBFAFIARwBfADYAXwA0AF8AMQBfADEAXwBfADMAXwBfAE0AYQBzAHMATwBmAEMAcgBvAHAAUgBlAHMAaQBkAHUAZQBCAHUAcgBuAHQAXwBTAG8AdQByAGMAZQAiACwAIgBBAGcAUgBlAHMAaQBkAHUAZQBfAEUAcQB1AGEAdABpAG8AbgBzAF8ARgBpAGUAbABkAEIAdQByAG4AaQBuAGcALgBWAEUARQBSAEcAXwA2AF8ANABfADEAXwAxAF8AXwAzAF8AXwBNAGEAcwBzAE8AZgBDAHIAbwBwAFIAZQBzAGkAZAB1AGUAQgB1AHIAbgB0AF8ATgBJAFIAUgBlAGYAZQByAGUAbgBjAGUAIgAsACIAQQBnAFIAZQBzAGkAZAB1AGUAXwBFAHEAdQBhAHQAaQBvAG4AcwBfAEYAaQBlAGwAZABCAHUAcgBuAGkAbgBnAC4AVgBFAEUAUgBHAF8ANgBfADQAXwAxAF8AMQBfAF8AMwBfAF8ATQBhAHMAcwBPAGYAQwByAG8AcABSAGUAcwBpAGQAdQBlAEIAdQByAG4AdABfAEwAYQB0AGUAeABFAHEAdQBhAHQAaQBvAG4AIgAsACIAQQBnAFIAZQBzAGkAZAB1AGUAXwBFAHEAdQBhAHQAaQBvAG4AcwBfAEYAaQBlAGwAZABCAHUAcgBuAGkAbgBnAC4AVgBFAEUAUgBHAF8ANgBfADQAXwAxAF8AMQBfAF8AMwBfAF8ATQBhAHMAcwBPAGYAQwByAG8AcABSAGUAcwBpAGQAdQBlAEIAdQByAG4AdABfAEEAcgBnAHUAbQBlAG4AdABzACIALAAiAEEAZwBSAGUAcwBpAGQAdQBlAF8ARQBxAHUAYQB0AGkAbwBuAHMAXwBMAGUAYQBjAGgAaQBuAGcALgBWAEUARQBSAEcAXwA2AF8AMwBfADEAXwAxAF8AXwAxAF8AXwBMAGUAYQBjAGgAaQBuAGcAQQBuAGQAUgB1AG4AbwBmAGYARQBtAGkAcwBzAGkAbwBuAHMAQwByAG8AcABBAG4AZABQAGEAcwB0AHUAcgBlAFIAZQBzAGkAZAB1AGUAIgAsACIAQQBnAFIAZQBzAGkAZAB1AGUAXwBFAHEAdQBhAHQAaQBvAG4AcwBfAEwAZQBhAGMAaABpAG4AZwAuAFYARQBFAFIARwBfADYAXwAzAF8AMQBfADEAXwBfADEAXwBfAEwAZQBhAGMAaABpAG4AZwBBAG4AZABSAHUAbgBvAGYAZgBFAG0AaQBzAHMAaQBvAG4AcwBDAHIAbwBwAEEAbgBkAFAAYQBzAHQAdQByAGUAUgBlAHMAaQBkAHUAZQBfAFQAaQB0AGwAZQAiACwAIgBBAGcAUgBlAHMAaQBkAHUAZQBfAEUAcQB1AGEAdABpAG8AbgBzAF8ATABlAGEAYwBoAGkAbgBnAC4AVgBFAEUAUgBHAF8ANgBfADMAXwAxAF8AMQBfAF8AMQBfAF8ATABlAGEAYwBoAGkAbgBnAEEAbgBkAFIAdQBuAG8AZgBmAEUAbQBpAHMAcwBpAG8AbgBzAEMAcgBvAHAAQQBuAGQAUABhAHMAdAB1AHIAZQBSAGUAcwBpAGQAdQBlAF8AVgBhAHIAaQBhAGIAbABlACIALAAiAEEAZwBSAGUAcwBpAGQAdQBlAF8ARQBxAHUAYQB0AGkAbwBuAHMAXwBMAGUAYQBjAGgAaQBuAGcALgBWAEUARQBSAEcAXwA2AF8AMwBfADEAXwAxAF8AXwAxAF8AXwBMAGUAYQBjAGgAaQBuAGcAQQBuAGQAUgB1AG4AbwBmAGYARQBtAGkAcwBzAGkAbwBuAHMAQwByAG8AcABBAG4AZABQAGEAcwB0AHUAcgBlAFIAZQBzAGkAZAB1AGUAXwBVAG4AaQB0ACIALAAiAEEAZwBSAGUAcwBpAGQAdQBlAF8ARQBxAHUAYQB0AGkAbwBuAHMAXwBMAGUAYQBjAGgAaQBuAGcALgBWAEUARQBSAEcAXwA2AF8AMwBfADEAXwAxAF8AXwAxAF8AXwBMAGUAYQBjAGgAaQBuAGcAQQBuAGQAUgB1AG4AbwBmAGYARQBtAGkAcwBzAGkAbwBuAHMAQwByAG8AcABBAG4AZABQAGEAcwB0AHUAcgBlAFIAZQBzAGkAZAB1AGUAXwBTAG8AdQByAGMAZQAiACwAIgBBAGcAUgBlAHMAaQBkAHUAZQBfAEUAcQB1AGEAdABpAG8AbgBzAF8ATABlAGEAYwBoAGkAbgBnAC4AVgBFAEUAUgBHAF8ANgBfADMAXwAxAF8AMQBfAF8AMQBfAF8ATABlAGEAYwBoAGkAbgBnAEEAbgBkAFIAdQBuAG8AZgBmAEUAbQBpAHMAcwBpAG8AbgBzAEMAcgBvAHAAQQBuAGQAUABhAHMAdAB1AHIAZQBSAGUAcwBpAGQAdQBlAF8ATgBJAFIAUgBlAGYAZQByAGUAbgBjAGUAIgAsACIAQQBnAFIAZQBzAGkAZAB1AGUAXwBFAHEAdQBhAHQAaQBvAG4AcwBfAEwAZQBhAGMAaABpAG4AZwAuAFYARQBFAFIARwBfADYAXwAzAF8AMQBfADEAXwBfADEAXwBfAEwAZQBhAGMAaABpAG4AZwBBAG4AZABSAHUAbgBvAGYAZgBFAG0AaQBzAHMAaQBvAG4AcwBDAHIAbwBwAEEAbgBkAFAAYQBzAHQAdQByAGUAUgBlAHMAaQBkAHUAZQBfAEwAYQB0AGUAeABFAHEAdQBhAHQAaQBvAG4AIgAsACIAQQBnAFIAZQBzAGkAZAB1AGUAXwBFAHEAdQBhAHQAaQBvAG4AcwBfAEwAZQBhAGMAaABpAG4AZwAuAFYARQBFAFIARwBfADYAXwAzAF8AMQBfADEAXwBfADEAXwBfAEwAZQBhAGMAaABpAG4AZwBBAG4AZABSAHUAbgBvAGYAZgBFAG0AaQBzAHMAaQBvAG4AcwBDAHIAbwBwAEEAbgBkAFAAYQBzAHQAdQByAGUAUgBlAHMAaQBkAHUAZQBfAEEAcgBnAHUAbQBlAG4AdABzACIALAAiAEEAZwBSAGUAcwBpAGQAdQBlAF8ARQBxAHUAYQB0AGkAbwBuAHMAXwBMAGUAYQBjAGgAaQBuAGcALgBWAEUARQBSAEcAXwA2AF8AMwBfADEAXwAxAF8AXwAyAF8AXwBNAGEAcwBzAE8AZgBOAGkAdAByAG8AZwBlAG4ATABvAHMAdABUAGgAcgBvAHUAZwBoAEwAZQBhAGMAaABpAG4AZwBBAG4AZABSAHUAbgBvAGYAZgAiACwAIgBBAGcAUgBlAHMAaQBkAHUAZQBfAEUAcQB1AGEAdABpAG8AbgBzAF8ATABlAGEAYwBoAGkAbgBnAC4AVgBFAEUAUgBHAF8ANgBfADMAXwAxAF8AMQBfAF8AMgBfAF8ATQBhAHMAcwBPAGYATgBpAHQAcgBvAGcAZQBuAEwAbwBzAHQAVABoAHIAbwB1AGcAaABMAGUAYQBjAGgAaQBuAGcAQQBuAGQAUgB1AG4AbwBmAGYAXwBUAGkAdABsAGUAIgAsACIAQQBnAFIAZQBzAGkAZAB1AGUAXwBFAHEAdQBhAHQAaQBvAG4AcwBfAEwAZQBhAGMAaABpAG4AZwAuAFYARQBFAFIARwBfADYAXwAzAF8AMQBfADEAXwBfADIAXwBfAE0AYQBzAHMATwBmAE4AaQB0AHIAbwBnAGUAbgBMAG8AcwB0AFQAaAByAG8AdQBnAGgATABlAGEAYwBoAGkAbgBnAEEAbgBkAFIAdQBuAG8AZgBmAF8AVgBhAHIAaQBhAGIAbABlACIALAAiAEEAZwBSAGUAcwBpAGQAdQBlAF8ARQBxAHUAYQB0AGkAbwBuAHMAXwBMAGUAYQBjAGgAaQBuAGcALgBWAEUARQBSAEcAXwA2AF8AMwBfADEAXwAxAF8AXwAyAF8AXwBNAGEAcwBzAE8AZgBOAGkAdAByAG8AZwBlAG4ATABvAHMAdABUAGgAcgBvAHUAZwBoAEwAZQBhAGMAaABpAG4AZwBBAG4AZABSAHUAbgBvAGYAZgBfAFUAbgBpAHQAIgAsACIAQQBnAFIAZQBzAGkAZAB1AGUAXwBFAHEAdQBhAHQAaQBvAG4AcwBfAEwAZQBhAGMAaABpAG4AZwAuAFYARQBFAFIARwBfADYAXwAzAF8AMQBfADEAXwBfADIAXwBfAE0AYQBzAHMATwBmAE4AaQB0AHIAbwBnAGUAbgBMAG8AcwB0AFQAaAByAG8AdQBnAGgATABlAGEAYwBoAGkAbgBnAEEAbgBkAFIAdQBuAG8AZgBmAF8AUwBvAHUAcgBjAGUAIgAsACIAQQBnAFIAZQBzAGkAZAB1AGUAXwBFAHEAdQBhAHQAaQBvAG4AcwBfAEwAZQBhAGMAaABpAG4AZwAuAFYARQBFAFIARwBfADYAXwAzAF8AMQBfADEAXwBfADIAXwBfAE0AYQBzAHMATwBmAE4AaQB0AHIAbwBnAGUAbgBMAG8AcwB0AFQAaAByAG8AdQBnAGgATABlAGEAYwBoAGkAbgBnAEEAbgBkAFIAdQBuAG8AZgBmAF8ATgBJAFIAUgBlAGYAZQByAGUAbgBjAGUAIgAsACIAQQBnAFIAZQBzAGkAZAB1AGUAXwBFAHEAdQBhAHQAaQBvAG4AcwBfAEwAZQBhAGMAaABpAG4AZwAuAFYARQBFAFIARwBfADYAXwAzAF8AMQBfADEAXwBfADIAXwBfAE0AYQBzAHMATwBmAE4AaQB0AHIAbwBnAGUAbgBMAG8AcwB0AFQAaAByAG8AdQBnAGgATABlAGEAYwBoAGkAbgBnAEEAbgBkAFIAdQBuAG8AZgBmAF8ATABhAHQAZQB4AEUAcQB1AGEAdABpAG8AbgAiACwAIgBBAGcAUgBlAHMAaQBkAHUAZQBfAEUAcQB1AGEAdABpAG8AbgBzAF8ATABlAGEAYwBoAGkAbgBnAC4AVgBFAEUAUgBHAF8ANgBfADMAXwAxAF8AMQBfAF8AMgBfAF8ATQBhAHMAcwBPAGYATgBpAHQAcgBvAGcAZQBuAEwAbwBzAHQAVABoAHIAbwB1AGcAaABMAGUAYQBjAGgAaQBuAGcAQQBuAGQAUgB1AG4AbwBmAGYAXwBBAHIAZwB1AG0AZQBuAHQAcwAiACwAIgBBAGcAUgBlAHMAaQBkAHUAZQBfAEUAcQB1AGEAdABpAG8AbgBzAF8ATABlAGEAYwBoAGkAbgBnAC4AVgBFAEUAUgBHAF8ANgBfADMAXwAxAF8AMQBfAF8AMgBfAF8ATQBhAHMAcwBPAGYATgBpAHQAcgBvAGcAZQBuAEwAbwBzAHQAVABoAHIAbwB1AGcAaABMAGUAYQBjAGgAaQBuAGcAQQBuAGQAUgB1AG4AbwBmAGYAXwBWAGEAcgBpAGEAdABpAG8AbgAiACwAIgBBAGcAUgBlAHMAaQBkAHUAZQBfAEUAcQB1AGEAdABpAG8AbgBzAF8AUABhAHMAdAB1AHIAZQBSAGUAcwBpAGQAdQBlAC4AVgBFAEUAUgBHAF8ANgBfADIAXwAxAF8AMQBfAF8AMQBfAF8ATgBpAHQAcgBvAHUAcwBPAHgAaQBkAGUARQBtAGkAcwBzAGkAbwBuAHMARgByAG8AbQBQAGEAcwB0AHUAcgBlAFIAZQBzAGkAZAB1AGUAcwAiACwAIgBBAGcAUgBlAHMAaQBkAHUAZQBfAEUAcQB1AGEAdABpAG8AbgBzAF8AUABhAHMAdAB1AHIAZQBSAGUAcwBpAGQAdQBlAC4AVgBFAEUAUgBHAF8ANgBfADIAXwAxAF8AMQBfAF8AMQBfAF8ATgBpAHQAcgBvAHUAcwBPAHgAaQBkAGUARQBtAGkAcwBzAGkAbwBuAHMARgByAG8AbQBQAGEAcwB0AHUAcgBlAFIAZQBzAGkAZAB1AGUAcwBfAFQAaQB0AGwAZQAiACwAIgBBAGcAUgBlAHMAaQBkAHUAZQBfAEUAcQB1AGEAdABpAG8AbgBzAF8AUABhAHMAdAB1AHIAZQBSAGUAcwBpAGQAdQBlAC4AVgBFAEUAUgBHAF8ANgBfADIAXwAxAF8AMQBfAF8AMQBfAF8ATgBpAHQAcgBvAHUAcwBPAHgAaQBkAGUARQBtAGkAcwBzAGkAbwBuAHMARgByAG8AbQBQAGEAcwB0AHUAcgBlAFIAZQBzAGkAZAB1AGUAcwBfAFYAYQByAGkAYQBiAGwAZQAiACwAIgBBAGcAUgBlAHMAaQBkAHUAZQBfAEUAcQB1AGEAdABpAG8AbgBzAF8AUABhAHMAdAB1AHIAZQBSAGUAcwBpAGQAdQBlAC4AVgBFAEUAUgBHAF8ANgBfADIAXwAxAF8AMQBfAF8AMQBfAF8ATgBpAHQAcgBvAHUAcwBPAHgAaQBkAGUARQBtAGkAcwBzAGkAbwBuAHMARgByAG8AbQBQAGEAcwB0AHUAcgBlAFIAZQBzAGkAZAB1AGUAcwBfAFUAbgBpAHQAIgAsACIAQQBnAFIAZQBzAGkAZAB1AGUAXwBFAHEAdQBhAHQAaQBvAG4AcwBfAFAAYQBzAHQAdQByAGUAUgBlAHMAaQBkAHUAZQAuAFYARQBFAFIARwBfADYAXwAyAF8AMQBfADEAXwBfADEAXwBfAE4AaQB0AHIAbwB1AHMATwB4AGkAZABlAEUAbQBpAHMAcwBpAG8AbgBzAEYAcgBvAG0AUABhAHMAdAB1AHIAZQBSAGUAcwBpAGQAdQBlAHMAXwBTAG8AdQByAGMAZQAiACwAIgBBAGcAUgBlAHMAaQBkAHUAZQBfAEUAcQB1AGEAdABpAG8AbgBzAF8AUABhAHMAdAB1AHIAZQBSAGUAcwBpAGQAdQBlAC4AVgBFAEUAUgBHAF8ANgBfADIAXwAxAF8AMQBfAF8AMQBfAF8ATgBpAHQAcgBvAHUAcwBPAHgAaQBkAGUARQBtAGkAcwBzAGkAbwBuAHMARgByAG8AbQBQAGEAcwB0AHUAcgBlAFIAZQBzAGkAZAB1AGUAcwBfAE4ASQBSAFIAZQBmAGUAcgBlAG4AYwBlACIALAAiAEEAZwBSAGUAcwBpAGQAdQBlAF8ARQBxAHUAYQB0AGkAbwBuAHMAXwBQAGEAcwB0AHUAcgBlAFIAZQBzAGkAZAB1AGUALgBWAEUARQBSAEcAXwA2AF8AMgBfADEAXwAxAF8AXwAxAF8AXwBOAGkAdAByAG8AdQBzAE8AeABpAGQAZQBFAG0AaQBzAHMAaQBvAG4AcwBGAHIAbwBtAFAAYQBzAHQAdQByAGUAUgBlAHMAaQBkAHUAZQBzAF8ATABhAHQAZQB4AEUAcQB1AGEAdABpAG8AbgAiACwAIgBBAGcAUgBlAHMAaQBkAHUAZQBfAEUAcQB1AGEAdABpAG8AbgBzAF8AUABhAHMAdAB1AHIAZQBSAGUAcwBpAGQAdQBlAC4AVgBFAEUAUgBHAF8ANgBfADIAXwAxAF8AMQBfAF8AMQBfAF8ATgBpAHQAcgBvAHUAcwBPAHgAaQBkAGUARQBtAGkAcwBzAGkAbwBuAHMARgByAG8AbQBQAGEAcwB0AHUAcgBlAFIAZQBzAGkAZAB1AGUAcwBfAEEAcgBnAHUAbQBlAG4AdABzACIALAAiAEEAZwBSAGUAcwBpAGQAdQBlAF8ARQBxAHUAYQB0AGkAbwBuAHMAXwBQAGEAcwB0AHUAcgBlAFIAZQBzAGkAZAB1AGUALgBWAEUARQBSAEcAXwA2AF8AMgBfADEAXwAxAF8AXwAyAF8AXwBNAGEAcwBzAE8AZgBOAGkAdAByAG8AZwBlAG4ASQBuAFAAYQBzAHQAdQByAGUAUgBlAHMAaQBkAHUAZQBzACIALAAiAEEAZwBSAGUAcwBpAGQAdQBlAF8ARQBxAHUAYQB0AGkAbwBuAHMAXwBQAGEAcwB0AHUAcgBlAFIAZQBzAGkAZAB1AGUALgBWAEUARQBSAEcAXwA2AF8AMgBfADEAXwAxAF8AXwAyAF8AXwBNAGEAcwBzAE8AZgBOAGkAdAByAG8AZwBlAG4ASQBuAFAAYQBzAHQAdQByAGUAUgBlAHMAaQBkAHUAZQBzAF8AVABpAHQAbABlACIALAAiAEEAZwBSAGUAcwBpAGQAdQBlAF8ARQBxAHUAYQB0AGkAbwBuAHMAXwBQAGEAcwB0AHUAcgBlAFIAZQBzAGkAZAB1AGUALgBWAEUARQBSAEcAXwA2AF8AMgBfADEAXwAxAF8AXwAyAF8AXwBNAGEAcwBzAE8AZgBOAGkAdAByAG8AZwBlAG4ASQBuAFAAYQBzAHQAdQByAGUAUgBlAHMAaQBkAHUAZQBzAF8AVgBhAHIAaQBhAGIAbABlACIALAAiAEEAZwBSAGUAcwBpAGQAdQBlAF8ARQBxAHUAYQB0AGkAbwBuAHMAXwBQAGEAcwB0AHUAcgBlAFIAZQBzAGkAZAB1AGUALgBWAEUARQBSAEcAXwA2AF8AMgBfADEAXwAxAF8AXwAyAF8AXwBNAGEAcwBzAE8AZgBOAGkAdAByAG8AZwBlAG4ASQBuAFAAYQBzAHQAdQByAGUAUgBlAHMAaQBkAHUAZQBzAF8AVQBuAGkAdAAiACwAIgBBAGcAUgBlAHMAaQBkAHUAZQBfAEUAcQB1AGEAdABpAG8AbgBzAF8AUABhAHMAdAB1AHIAZQBSAGUAcwBpAGQAdQBlAC4AVgBFAEUAUgBHAF8ANgBfADIAXwAxAF8AMQBfAF8AMgBfAF8ATQBhAHMAcwBPAGYATgBpAHQAcgBvAGcAZQBuAEkAbgBQAGEAcwB0AHUAcgBlAFIAZQBzAGkAZAB1AGUAcwBfAFMAbwB1AHIAYwBlACIALAAiAEEAZwBSAGUAcwBpAGQAdQBlAF8ARQBxAHUAYQB0AGkAbwBuAHMAXwBQAGEAcwB0AHUAcgBlAFIAZQBzAGkAZAB1AGUALgBWAEUARQBSAEcAXwA2AF8AMgBfADEAXwAxAF8AXwAyAF8AXwBNAGEAcwBzAE8AZgBOAGkAdAByAG8AZwBlAG4ASQBuAFAAYQBzAHQAdQByAGUAUgBlAHMAaQBkAHUAZQBzAF8ATgBJAFIAUgBlAGYAZQByAGUAbgBjAGUAIgAsACIAQQBnAFIAZQBzAGkAZAB1AGUAXwBFAHEAdQBhAHQAaQBvAG4AcwBfAFAAYQBzAHQAdQByAGUAUgBlAHMAaQBkAHUAZQAuAFYARQBFAFIARwBfADYAXwAyAF8AMQBfADEAXwBfADIAXwBfAE0AYQBzAHMATwBmAE4AaQB0AHIAbwBnAGUAbgBJAG4AUABhAHMAdAB1AHIAZQBSAGUAcwBpAGQAdQBlAHMAXwBMAGEAdABlAHgARQBxAHUAYQB0AGkAbwBuACIALAAiAEEAZwBSAGUAcwBpAGQAdQBlAF8ARQBxAHUAYQB0AGkAbwBuAHMAXwBQAGEAcwB0AHUAcgBlAFIAZQBzAGkAZAB1AGUALgBWAEUARQBSAEcAXwA2AF8AMgBfADEAXwAxAF8AXwAyAF8AXwBNAGEAcwBzAE8AZgBOAGkAdAByAG8AZwBlAG4ASQBuAFAAYQBzAHQAdQByAGUAUgBlAHMAaQBkAHUAZQBzAF8AQQByAGcAdQBtAGUAbgB0AHMAIgAsACIAQQBnAFIAZQBzAGkAZAB1AGUAXwBFAHEAdQBhAHQAaQBvAG4AcwBfAFAAYQBzAHQAdQByAGUAUgBlAHMAaQBkAHUAZQAuAFYARQBFAFIARwBfADYAXwAyAF8AMQBfADEAXwBfADIAXwBfAE0AYQBzAHMATwBmAE4AaQB0AHIAbwBnAGUAbgBJAG4AUABhAHMAdAB1AHIAZQBSAGUAcwBpAGQAdQBlAHMAXwBBAHIAZwB1AG0AZQBuAHQAcwBfAE0AZQB0AGgAbwBkADIAIgBdACwAIgBsAG8AYwBhAGwAZQAiADoAewAiAGwAaQBzAHQAUwBlAHAAYQByAGEAdABvAHIAIgA6ACIALAAiACwAIgByAG8AdwBTAGUAcABhAHIAYQB0AG8AcgAiADoAIgA7ACIALAAiAGMAbwBsAHUAbQBuAFMAZQBwAGEAcgBhAHQAbwByACIAOgAiACwAIgAsACIAdABoAG8AdQBzAGEAbgBkAHMAUwBlAHAAYQByAGEAdABvAHIAIgA6ACIALAAiACwAIgB0AGgAbwB1AHMAYQBuAGQAcwBQAG8AcwBpAHQAaQBvAG4AcwAiADoAWwAzAF0ALAAiAGQAZQBjAGkAbQBhAGwAUwBlAHAAYQByAGEAdABvAHIAIgA6ACIALgAiACwAIgBkAGEAdABlAE8AcgBkAGUAcgAiADoAIgBEAE0AWQAiACwAIgBjAHUAcgByAGUAbgBjAHkAUwB5AG0AYgBvAGwAIgA6ACIAJAAiACwAIgBpAHMAQwB1AHIAcgBlAG4AYwB5AFMAeQBtAGIAbwBsAEwAZQBhAGQAIgA6AHQAcgB1AGUALAAiAGkAcwBDAHUAcgByAGUAbgBjAHkAUwBlAHAAQgB5AFMAcABhAGMAZQAiADoAZgBhAGwAcwBlACwAIgByAG8AdwBMAGUAdAB0AGUAcgAiADoAIgBSACIALAAiAGMAbwBsAHUAbQBuAEwAZQB0AHQAZQByACIAOgAiAEMAIgAsACIAcgBjAEwAZQBmAHQAQgByAGEAYwBrAGUAdAAiADoAIgBbACIALAAiAHIAYwBSAGkAZwBoAHQAQgByAGEAYwBrAGUAdAAiADoAIgBdACIALAAiAHMAdABhAHQAZQBtAGUAbgB0AFMAZQBwAGEAcgBhAHQAbwByACIAOgAiADsAIgAsACIAbABvAGMAYQBsAGUATgBhAG0AZQAiADoAIgBlAG4ALQB1AHMAIgB9AH0A</AFEJSONBlob>
</file>

<file path=customXml/itemProps1.xml><?xml version="1.0" encoding="utf-8"?>
<ds:datastoreItem xmlns:ds="http://schemas.openxmlformats.org/officeDocument/2006/customXml" ds:itemID="{809E3D44-A88D-4EBF-A307-6B8CE77A336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291119c-fce9-4911-96ae-b800be5dccd8"/>
    <ds:schemaRef ds:uri="09eef6d6-daa8-4301-8f9f-b1ec3807928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CD460F9D-420A-4723-B323-396E4D19EC9B}">
  <ds:schemaRefs>
    <ds:schemaRef ds:uri="http://schemas.microsoft.com/office/2006/metadata/properties"/>
    <ds:schemaRef ds:uri="http://schemas.microsoft.com/office/infopath/2007/PartnerControls"/>
    <ds:schemaRef ds:uri="09eef6d6-daa8-4301-8f9f-b1ec38079286"/>
    <ds:schemaRef ds:uri="7291119c-fce9-4911-96ae-b800be5dccd8"/>
  </ds:schemaRefs>
</ds:datastoreItem>
</file>

<file path=customXml/itemProps3.xml><?xml version="1.0" encoding="utf-8"?>
<ds:datastoreItem xmlns:ds="http://schemas.openxmlformats.org/officeDocument/2006/customXml" ds:itemID="{9A9CF321-0D35-4044-BC72-33748FE2B865}">
  <ds:schemaRefs>
    <ds:schemaRef ds:uri="http://schemas.microsoft.com/sharepoint/v3/contenttype/forms"/>
  </ds:schemaRefs>
</ds:datastoreItem>
</file>

<file path=customXml/itemProps4.xml><?xml version="1.0" encoding="utf-8"?>
<ds:datastoreItem xmlns:ds="http://schemas.openxmlformats.org/officeDocument/2006/customXml" ds:itemID="{B6BE249C-20B1-4A62-BBCD-F2A46D88BCAB}">
  <ds:schemaRefs>
    <ds:schemaRef ds:uri="http://schemas.advancedformulaenvironment.officeapps.live.com/afejsonblob/1.0"/>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12</vt:i4>
      </vt:variant>
      <vt:variant>
        <vt:lpstr>Named Ranges</vt:lpstr>
      </vt:variant>
      <vt:variant>
        <vt:i4>34</vt:i4>
      </vt:variant>
    </vt:vector>
  </HeadingPairs>
  <TitlesOfParts>
    <vt:vector size="46" baseType="lpstr">
      <vt:lpstr>Home</vt:lpstr>
      <vt:lpstr>Overview</vt:lpstr>
      <vt:lpstr>Results</vt:lpstr>
      <vt:lpstr>Input - Site</vt:lpstr>
      <vt:lpstr>Input - Crop</vt:lpstr>
      <vt:lpstr>Input - Pasture</vt:lpstr>
      <vt:lpstr>6.1.1.1-2 Crop residue N2O</vt:lpstr>
      <vt:lpstr>6.2.1.1-2 Pasture residue N2O</vt:lpstr>
      <vt:lpstr>6.3.1.1-2 Leaching and runoff</vt:lpstr>
      <vt:lpstr>6.4.1.1-2 Residue burning</vt:lpstr>
      <vt:lpstr>Constants - Ag Residue</vt:lpstr>
      <vt:lpstr>Constants - Common</vt:lpstr>
      <vt:lpstr>VEERG_6_1_1_1__1__NitrousOxideEmissionsFromCropResidues_Result_Method1</vt:lpstr>
      <vt:lpstr>VEERG_6_1_1_1__1__NitrousOxideEmissionsFromCropResidues_Result_Method2</vt:lpstr>
      <vt:lpstr>VEERG_6_2_1_1__1__NitrousOxideEmissionsFromPastureResidues_Result_Method1</vt:lpstr>
      <vt:lpstr>VEERG_6_2_1_1__1__NitrousOxideEmissionsFromPastureResidues_Result_Method2</vt:lpstr>
      <vt:lpstr>VEERG_6_3_1_1__1__LeachingAndRunoffEmissionsCropAndPastureResidue_Result_Method1</vt:lpstr>
      <vt:lpstr>VEERG_6_3_1_1__1__LeachingAndRunoffEmissionsCropAndPastureResidue_Result_Method2</vt:lpstr>
      <vt:lpstr>VEERG_6_4_1_1__1__MethaneEmissionsFromBurningOfCropResidues_Result_Method1</vt:lpstr>
      <vt:lpstr>VEERG_6_4_1_1__2__NitrousOxideEmissionsFromBurningOfCropResidues_Result_Method1</vt:lpstr>
      <vt:lpstr>X_Cell_Crop_AreaUnderCropping</vt:lpstr>
      <vt:lpstr>X_Cell_Crop_AverageWeightPerBale</vt:lpstr>
      <vt:lpstr>X_Cell_Crop_CropPurpose</vt:lpstr>
      <vt:lpstr>X_Cell_Crop_CropType</vt:lpstr>
      <vt:lpstr>X_Cell_Crop_IrrigationMethod</vt:lpstr>
      <vt:lpstr>X_Cell_Crop_NumberOfBales</vt:lpstr>
      <vt:lpstr>X_Cell_Crop_PercentResidueBaled</vt:lpstr>
      <vt:lpstr>X_Cell_Crop_PercentResidueBurned</vt:lpstr>
      <vt:lpstr>X_Cell_Crop_PercentResidueGrazed</vt:lpstr>
      <vt:lpstr>X_Cell_Crop_YieldPerHectare</vt:lpstr>
      <vt:lpstr>X_Cell_Pasture_AreaRemovedOrRenewed</vt:lpstr>
      <vt:lpstr>X_Cell_Pasture_AreaUnderPasture</vt:lpstr>
      <vt:lpstr>X_Cell_Pasture_IrrigationMethod</vt:lpstr>
      <vt:lpstr>X_Cell_Pasture_PastureType</vt:lpstr>
      <vt:lpstr>X_Cell_Pasture_YieldPerHectare</vt:lpstr>
      <vt:lpstr>X_Cell_Site_AverageTemperature</vt:lpstr>
      <vt:lpstr>X_Cell_Site_Elevation</vt:lpstr>
      <vt:lpstr>X_Cell_Site_FarmName</vt:lpstr>
      <vt:lpstr>X_Cell_Site_FrostDays</vt:lpstr>
      <vt:lpstr>X_Cell_Site_LeachingZone</vt:lpstr>
      <vt:lpstr>X_Cell_Site_PotentialEvapotranspiration</vt:lpstr>
      <vt:lpstr>X_Cell_Site_Region</vt:lpstr>
      <vt:lpstr>X_Cell_Site_ReportingEntityName</vt:lpstr>
      <vt:lpstr>X_Cell_Site_StartDate</vt:lpstr>
      <vt:lpstr>X_Cell_Site_State</vt:lpstr>
      <vt:lpstr>X_Cell_Site_TotalRainfall</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Paul Kotz</dc:creator>
  <cp:lastModifiedBy>Paul Kotz</cp:lastModifiedBy>
  <dcterms:created xsi:type="dcterms:W3CDTF">2025-11-17T03:37:23Z</dcterms:created>
  <dcterms:modified xsi:type="dcterms:W3CDTF">2026-06-17T06:30:47Z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0x010100ACB660BB23738846A00119B5826AC974</vt:lpwstr>
  </property>
  <property fmtid="{D5CDD505-2E9C-101B-9397-08002B2CF9AE}" pid="3" name="MediaServiceImageTags">
    <vt:lpwstr/>
  </property>
</Properties>
</file>