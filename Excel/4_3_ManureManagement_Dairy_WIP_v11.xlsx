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D0CB081D-E5BB-4F7D-9FBD-25094AD57CE6}" xr6:coauthVersionLast="47" xr6:coauthVersionMax="47" xr10:uidLastSave="{00000000-0000-0000-0000-000000000000}"/>
  <bookViews>
    <workbookView xWindow="30" yWindow="150" windowWidth="37695" windowHeight="19995" activeTab="2"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Dairy'!$E$126</definedName>
    <definedName name="X_Cell_Dairy_ManureAppliedProductionSystem">'Input - Dairy'!$E$125</definedName>
    <definedName name="X_Cell_Dairy_MilkProductionAmount">'Input - Dairy'!$E$52</definedName>
    <definedName name="X_Cell_Dairy_MilkProductionUnit">'Input - Dairy'!$E$49</definedName>
    <definedName name="X_Cell_Dairy_ProductionSystemTemplate">'Input - Dairy'!$E$62</definedName>
    <definedName name="X_Cell_Dairy_Stage1MMS_1_AnaerobicLagoon_AmountSeparated_Method1">'Input - Dairy'!$E$83</definedName>
    <definedName name="X_Cell_Dairy_Stage1MMS_1_AnaerobicLagoon_AmountSeparated_Method2">'Input - Dairy'!$E$84</definedName>
    <definedName name="X_Cell_Dairy_Stage1MMS_1_AnaerobicLagoon_SolidsSeparated">'Input - Dairy'!$E$82</definedName>
    <definedName name="X_Cell_Dairy_Stage1MMS_1_DrainsToPaddock_AmountSeparated_Method1">'Input - Dairy'!$E$93</definedName>
    <definedName name="X_Cell_Dairy_Stage1MMS_1_DrainsToPaddock_AmountSeparated_Method2">'Input - Dairy'!$E$94</definedName>
    <definedName name="X_Cell_Dairy_Stage1MMS_1_DrainsToPaddock_SolidsSeparated">'Input - Dairy'!$E$92</definedName>
    <definedName name="X_Cell_Dairy_Stage1MMS_1_SumpAndDispersal_AmountSeparated_Method1">'Input - Dairy'!$E$88</definedName>
    <definedName name="X_Cell_Dairy_Stage1MMS_1_SumpAndDispersal_AmountSeparated_Method2">'Input - Dairy'!$E$89</definedName>
    <definedName name="X_Cell_Dairy_Stage1MMS_1_SumpAndDispersal_SolidsSeparated">'Input - Dairy'!$E$87</definedName>
    <definedName name="X_Cell_Dairy_Stage1MMS_2_AnaerobicLagoon_AmountSeparated_Method1">'Input - Dairy'!$E$107</definedName>
    <definedName name="X_Cell_Dairy_Stage1MMS_2_AnaerobicLagoon_AmountSeparated_Method2">'Input - Dairy'!$E$108</definedName>
    <definedName name="X_Cell_Dairy_Stage1MMS_2_AnaerobicLagoon_SolidsSeparated">'Input - Dairy'!$E$106</definedName>
    <definedName name="X_Cell_Dairy_Stage1MMS_2_DrainsToPaddock_AmountSeparated_Method1">'Input - Dairy'!$E$117</definedName>
    <definedName name="X_Cell_Dairy_Stage1MMS_2_DrainsToPaddock_AmountSeparated_Method2">'Input - Dairy'!$E$118</definedName>
    <definedName name="X_Cell_Dairy_Stage1MMS_2_DrainsToPaddock_SolidsSeparated">'Input - Dairy'!$E$116</definedName>
    <definedName name="X_Cell_Dairy_Stage1MMS_2_SumpAndDispersal_AmountSeparated_Method1">'Input - Dairy'!$E$112</definedName>
    <definedName name="X_Cell_Dairy_Stage1MMS_2_SumpAndDispersal_AmountSeparated_Method2">'Input - Dairy'!$E$113</definedName>
    <definedName name="X_Cell_Dairy_Stage1MMS_2_SumpAndDispersal_SolidsSeparated">'Input - Dairy'!$E$111</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Dairy'!$D$54:$F$56</definedName>
    <definedName name="X_Table_Dairy_ProductionSystems_Method1">'Input - Dairy'!$D$64:$I$67</definedName>
    <definedName name="X_Table_Dairy_ProductionSystems_Method2">'Input - Dairy'!$D$69:$I$72</definedName>
    <definedName name="X_Table_Dairy_Stage1MMS_1_AnaerobicLagoon">'Input - Dairy'!$D$81:$I$81</definedName>
    <definedName name="X_Table_Dairy_Stage1MMS_1_AnaerobicLagoon_Destinations">'Input - Dairy'!$K$81:$M$81</definedName>
    <definedName name="X_Table_Dairy_Stage1MMS_1_DrainsToPaddock">'Input - Dairy'!$D$91:$I$91</definedName>
    <definedName name="X_Table_Dairy_Stage1MMS_1_DrainsToPaddock_Destinations">'Input - Dairy'!$K$91:$M$91</definedName>
    <definedName name="X_Table_Dairy_Stage1MMS_1_SolidStorage">'Input - Dairy'!$D$96:$I$96</definedName>
    <definedName name="X_Table_Dairy_Stage1MMS_1_SolidStorage_Destinations">'Input - Dairy'!$K$96:$M$96</definedName>
    <definedName name="X_Table_Dairy_Stage1MMS_1_SumpAndDispersal">'Input - Dairy'!$D$86:$I$86</definedName>
    <definedName name="X_Table_Dairy_Stage1MMS_1_SumpAndDispersal_Destinations">'Input - Dairy'!$K$86:$M$86</definedName>
    <definedName name="X_Table_Dairy_Stage1MMS_2_AnaerobicLagoon">'Input - Dairy'!$D$105:$I$105</definedName>
    <definedName name="X_Table_Dairy_Stage1MMS_2_AnaerobicLagoon_Destinations">'Input - Dairy'!$K$105:$M$105</definedName>
    <definedName name="X_Table_Dairy_Stage1MMS_2_DrainsToPaddock">'Input - Dairy'!$D$115:$I$115</definedName>
    <definedName name="X_Table_Dairy_Stage1MMS_2_DrainsToPaddock_Destinations">'Input - Dairy'!$K$115:$M$115</definedName>
    <definedName name="X_Table_Dairy_Stage1MMS_2_SolidStorage">'Input - Dairy'!$D$120:$I$120</definedName>
    <definedName name="X_Table_Dairy_Stage1MMS_2_SolidStorage_Destinations">'Input - Dairy'!$K$120:$M$120</definedName>
    <definedName name="X_Table_Dairy_Stage1MMS_2_SumpAndDispersal">'Input - Dairy'!$D$110:$I$110</definedName>
    <definedName name="X_Table_Dairy_Stage1MMS_2_SumpAndDispersal_Destinations">'Input - Dairy'!$K$110:$M$110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15" l="1"/>
  <c r="E31" i="15"/>
  <c r="E32" i="15" s="1"/>
  <c r="E30" i="15"/>
  <c r="E29" i="15"/>
  <c r="E13" i="15"/>
  <c r="Q85" i="81"/>
  <c r="G9" i="79"/>
  <c r="G8" i="79"/>
  <c r="I222" i="69"/>
  <c r="J45" i="98"/>
  <c r="I40" i="97"/>
  <c r="J45" i="96"/>
  <c r="I44" i="95"/>
  <c r="I63" i="82"/>
  <c r="I264" i="76"/>
  <c r="R50" i="98"/>
  <c r="G50" i="98"/>
  <c r="R48" i="97"/>
  <c r="G48" i="97"/>
  <c r="R56" i="96"/>
  <c r="G56" i="96"/>
  <c r="R55" i="95"/>
  <c r="G55" i="95"/>
  <c r="R71" i="82"/>
  <c r="G71" i="82"/>
  <c r="Q290" i="76"/>
  <c r="G290" i="76"/>
  <c r="R303" i="69"/>
  <c r="G303" i="69"/>
  <c r="I223"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c r="L243" i="108" a="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c r="D180" i="108" a="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c r="D82" i="108" a="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c r="D57" i="108" a="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215" i="79" a="1"/>
  <c r="D215" i="79" s="1"/>
  <c r="J15" i="95" s="1"/>
  <c r="D214" i="79" a="1"/>
  <c r="D214" i="79" s="1"/>
  <c r="D213" i="79" a="1"/>
  <c r="D213" i="79" s="1"/>
  <c r="D212" i="79" a="1"/>
  <c r="D212" i="79" s="1"/>
  <c r="D211" i="79" a="1"/>
  <c r="D211" i="79" s="1"/>
  <c r="E83" i="70"/>
  <c r="E93" i="70"/>
  <c r="E88" i="70"/>
  <c r="H51" i="108" l="1"/>
  <c r="H53" i="108"/>
  <c r="H54" i="108"/>
  <c r="H48" i="108"/>
  <c r="H52" i="108"/>
  <c r="H50" i="108"/>
  <c r="D7" i="69" a="1"/>
  <c r="D7" i="69" s="1"/>
  <c r="D233" i="79" l="1" a="1"/>
  <c r="D233" i="79" s="1"/>
  <c r="D232" i="79" a="1"/>
  <c r="D232" i="79" s="1"/>
  <c r="D231" i="79" a="1"/>
  <c r="D231" i="79" s="1"/>
  <c r="D230" i="79" a="1"/>
  <c r="D230" i="79" s="1"/>
  <c r="D229" i="79" a="1"/>
  <c r="D229" i="79" s="1"/>
  <c r="D227" i="79" a="1"/>
  <c r="D227" i="79" s="1"/>
  <c r="F55" i="70" s="1"/>
  <c r="D226" i="79" a="1"/>
  <c r="D226" i="79" s="1"/>
  <c r="D225" i="79" a="1"/>
  <c r="D225" i="79" s="1"/>
  <c r="D224" i="79" a="1"/>
  <c r="D224" i="79" s="1"/>
  <c r="D223" i="79" a="1"/>
  <c r="D223" i="79" s="1"/>
  <c r="F56" i="70" l="1"/>
  <c r="T40" i="69" s="1"/>
  <c r="E56" i="70"/>
  <c r="E55" i="70"/>
  <c r="I39" i="69" s="1"/>
  <c r="D71" i="76" a="1"/>
  <c r="D71" i="76" s="1"/>
  <c r="I80" i="76" a="1"/>
  <c r="I80" i="76" s="1"/>
  <c r="I78" i="76"/>
  <c r="G78" i="76" a="1"/>
  <c r="G78" i="76" s="1"/>
  <c r="D78" i="76" a="1"/>
  <c r="D78" i="76" s="1"/>
  <c r="T39" i="69"/>
  <c r="R37" i="69" a="1"/>
  <c r="R37" i="69" s="1"/>
  <c r="O37" i="69" a="1"/>
  <c r="O37" i="69" s="1"/>
  <c r="I64" i="69" a="1"/>
  <c r="I64" i="69" s="1"/>
  <c r="I40" i="69"/>
  <c r="I37" i="69"/>
  <c r="D45" i="69" s="1"/>
  <c r="I38" i="69" a="1"/>
  <c r="I38" i="69" s="1"/>
  <c r="G37" i="69" a="1"/>
  <c r="G37" i="69" s="1"/>
  <c r="D37" i="69" a="1"/>
  <c r="D37" i="69" s="1"/>
  <c r="E35" i="69" a="1"/>
  <c r="E35" i="69" s="1"/>
  <c r="E34" i="69" a="1"/>
  <c r="E34" i="69" s="1"/>
  <c r="D30" i="69" a="1"/>
  <c r="D30" i="69" s="1"/>
  <c r="D29" i="69" a="1"/>
  <c r="D29" i="69" s="1"/>
  <c r="D28" i="69" a="1"/>
  <c r="D2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F134" i="81"/>
  <c r="F133" i="81"/>
  <c r="F132" i="81"/>
  <c r="F131" i="81"/>
  <c r="F130" i="81"/>
  <c r="F129" i="81"/>
  <c r="F128" i="81"/>
  <c r="F127" i="81"/>
  <c r="M120" i="70"/>
  <c r="F71" i="81" s="1"/>
  <c r="M115" i="70"/>
  <c r="F70" i="81" s="1"/>
  <c r="M110" i="70"/>
  <c r="F69" i="81" s="1"/>
  <c r="M105" i="70"/>
  <c r="F68" i="81" s="1"/>
  <c r="M96" i="70"/>
  <c r="F67" i="81" s="1"/>
  <c r="M91" i="70"/>
  <c r="F66" i="81" s="1"/>
  <c r="M86" i="70"/>
  <c r="F65" i="81" s="1"/>
  <c r="M81" i="70"/>
  <c r="F64" i="81" s="1"/>
  <c r="E31" i="69" a="1"/>
  <c r="I88" i="76" l="1"/>
  <c r="I93" i="76"/>
  <c r="I98" i="76"/>
  <c r="S98" i="76"/>
  <c r="S88" i="76"/>
  <c r="I45" i="69"/>
  <c r="D50" i="69" a="1"/>
  <c r="D50" i="69" s="1"/>
  <c r="D88" i="76" s="1"/>
  <c r="O50" i="69" a="1"/>
  <c r="O50" i="69" s="1"/>
  <c r="N88" i="76" s="1"/>
  <c r="D93" i="76"/>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V23" i="95"/>
  <c r="I42" i="95" a="1"/>
  <c r="I42" i="95" s="1"/>
  <c r="J13" i="95" a="1"/>
  <c r="J13" i="95" s="1"/>
  <c r="G42" i="95" a="1"/>
  <c r="G42" i="95" s="1"/>
  <c r="D42" i="95" a="1"/>
  <c r="D42" i="95" s="1"/>
  <c r="H13" i="95" a="1"/>
  <c r="H13" i="95" s="1"/>
  <c r="K23" i="95" s="1"/>
  <c r="D13" i="95" a="1"/>
  <c r="D13" i="95" s="1"/>
  <c r="G61" i="82" a="1"/>
  <c r="G61" i="82" s="1"/>
  <c r="D61" i="82" a="1"/>
  <c r="D61" i="82" s="1"/>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O290" i="69"/>
  <c r="D290" i="69"/>
  <c r="O237" i="69"/>
  <c r="D237" i="69"/>
  <c r="O151" i="69"/>
  <c r="O162" i="69"/>
  <c r="O173" i="69"/>
  <c r="D173" i="69"/>
  <c r="D162" i="69"/>
  <c r="D151" i="69"/>
  <c r="G97" i="81" l="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T223" i="69" l="1"/>
  <c r="J265" i="69"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29" i="69" l="1"/>
  <c r="P231" i="69"/>
  <c r="P230" i="69"/>
  <c r="P232" i="69"/>
  <c r="G145" i="69"/>
  <c r="G162" i="69"/>
  <c r="R162" i="69"/>
  <c r="K151" i="69" l="1"/>
  <c r="V152" i="69"/>
  <c r="G14" i="69" l="1" a="1"/>
  <c r="G14" i="69" s="1"/>
  <c r="D14" i="69" a="1"/>
  <c r="D14" i="69"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O146" i="81" l="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I14" i="98" s="1"/>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39" i="97" s="1"/>
  <c r="I41" i="97"/>
  <c r="O38" i="97"/>
  <c r="E36" i="97" a="1"/>
  <c r="E36" i="97" s="1"/>
  <c r="F45" i="97" s="1"/>
  <c r="G12" i="13" s="1"/>
  <c r="E35" i="97" a="1"/>
  <c r="E35" i="97" s="1"/>
  <c r="D31" i="97" a="1"/>
  <c r="D31" i="97" s="1"/>
  <c r="D30" i="97" a="1"/>
  <c r="D30" i="97" s="1"/>
  <c r="O24" i="97"/>
  <c r="D24" i="97"/>
  <c r="D221" i="79" a="1"/>
  <c r="D221" i="79" s="1"/>
  <c r="I14" i="97" s="1"/>
  <c r="D220" i="79" a="1"/>
  <c r="D220" i="79" s="1"/>
  <c r="D219" i="79" a="1"/>
  <c r="D219" i="79" s="1"/>
  <c r="D218" i="79" a="1"/>
  <c r="D218" i="79" s="1"/>
  <c r="D217" i="79" a="1"/>
  <c r="D217"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V106"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V76"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37" i="98" a="1"/>
  <c r="E91" i="81" a="1"/>
  <c r="E37" i="96" a="1"/>
  <c r="E7" i="98" a="1"/>
  <c r="E32" i="97" a="1"/>
  <c r="E7" i="81" a="1"/>
  <c r="E7" i="96" a="1"/>
  <c r="E55" i="82" a="1"/>
  <c r="E7" i="95" a="1"/>
  <c r="E36" i="95" a="1"/>
  <c r="E7" i="97" a="1"/>
  <c r="F148" i="81" l="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D6" i="95"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70" i="69"/>
  <c r="G270" i="69"/>
  <c r="F270" i="69"/>
  <c r="E270" i="69"/>
  <c r="D270"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E256" i="69" a="1"/>
  <c r="E256" i="69" s="1"/>
  <c r="Q300" i="69" s="1"/>
  <c r="E255" i="69" a="1"/>
  <c r="E255" i="69" s="1"/>
  <c r="D251" i="69" a="1"/>
  <c r="D251" i="69" s="1"/>
  <c r="D250" i="69" a="1"/>
  <c r="D250" i="69" s="1"/>
  <c r="D245" i="69"/>
  <c r="D244" i="69"/>
  <c r="D243" i="69"/>
  <c r="D242" i="69"/>
  <c r="D241" i="69"/>
  <c r="D240" i="69"/>
  <c r="D239" i="69"/>
  <c r="D238" i="69"/>
  <c r="D195" i="79" a="1"/>
  <c r="D195" i="79" s="1"/>
  <c r="D194" i="79" a="1"/>
  <c r="D194" i="79" s="1"/>
  <c r="D193" i="79" a="1"/>
  <c r="D193" i="79" s="1"/>
  <c r="D192" i="79" a="1"/>
  <c r="D192" i="79" s="1"/>
  <c r="D191" i="79" a="1"/>
  <c r="D191" i="79" s="1"/>
  <c r="E215" i="69" a="1"/>
  <c r="E215" i="69" s="1"/>
  <c r="D211" i="69" a="1"/>
  <c r="D211" i="69" s="1"/>
  <c r="E216" i="69" a="1"/>
  <c r="E216" i="69" s="1"/>
  <c r="D210" i="69" a="1"/>
  <c r="D210" i="69" s="1"/>
  <c r="O206" i="69"/>
  <c r="O205" i="69"/>
  <c r="O200" i="69"/>
  <c r="O199" i="69"/>
  <c r="D185" i="69" a="1"/>
  <c r="D185" i="69" s="1"/>
  <c r="D206" i="69"/>
  <c r="D205" i="69"/>
  <c r="D200" i="69"/>
  <c r="D199" i="69"/>
  <c r="E190" i="69" a="1"/>
  <c r="E190" i="69" s="1"/>
  <c r="V206" i="69" s="1"/>
  <c r="E189" i="69" a="1"/>
  <c r="E189" i="69" s="1"/>
  <c r="D184" i="69" a="1"/>
  <c r="D184" i="69" s="1"/>
  <c r="D183" i="69" a="1"/>
  <c r="D183" i="69" s="1"/>
  <c r="O179" i="69"/>
  <c r="O178" i="69"/>
  <c r="O177" i="69"/>
  <c r="O176" i="69"/>
  <c r="O175" i="69"/>
  <c r="O174" i="69"/>
  <c r="D138" i="69" a="1"/>
  <c r="D138" i="69" s="1"/>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19" i="69"/>
  <c r="S24" i="69" s="1" a="1"/>
  <c r="S24" i="69" s="1"/>
  <c r="R19" i="69"/>
  <c r="R24" i="69" s="1" a="1"/>
  <c r="R24" i="69" s="1"/>
  <c r="Q19" i="69"/>
  <c r="Q24" i="69" s="1" a="1"/>
  <c r="Q24" i="69" s="1"/>
  <c r="P19" i="69"/>
  <c r="P24" i="69" s="1" a="1"/>
  <c r="P24" i="69" s="1"/>
  <c r="O19" i="69"/>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E36" i="70" s="1"/>
  <c r="D19" i="69" s="1"/>
  <c r="D159" i="79" a="1"/>
  <c r="D159" i="79" s="1"/>
  <c r="D158" i="79" a="1"/>
  <c r="D158" i="79" s="1"/>
  <c r="D157" i="79" a="1"/>
  <c r="D157" i="79" s="1"/>
  <c r="D156" i="79" a="1"/>
  <c r="D156" i="79" s="1"/>
  <c r="D150" i="79" a="1"/>
  <c r="D150" i="79" s="1"/>
  <c r="D151" i="79" a="1"/>
  <c r="D151" i="79" s="1"/>
  <c r="D152" i="79" a="1"/>
  <c r="D152" i="79" s="1"/>
  <c r="D153" i="79" a="1"/>
  <c r="D153" i="79" s="1"/>
  <c r="F37" i="70" s="1"/>
  <c r="E121" i="76" s="1"/>
  <c r="D149" i="79" a="1"/>
  <c r="D149" i="79" s="1"/>
  <c r="D119" i="69" a="1"/>
  <c r="D119" i="69" s="1"/>
  <c r="E123" i="69" a="1"/>
  <c r="E123" i="69" s="1"/>
  <c r="E124" i="69" a="1"/>
  <c r="E124" i="69" s="1"/>
  <c r="I133" i="69" s="1"/>
  <c r="D118" i="69" a="1"/>
  <c r="D118" i="69" s="1"/>
  <c r="E118" i="70"/>
  <c r="Q168" i="69" s="1"/>
  <c r="E117" i="70"/>
  <c r="F168" i="69" s="1"/>
  <c r="E113" i="70"/>
  <c r="Q167" i="69" s="1"/>
  <c r="E112" i="70"/>
  <c r="F167" i="69" s="1"/>
  <c r="E108" i="70"/>
  <c r="E107" i="70"/>
  <c r="D77" i="70"/>
  <c r="D101" i="70"/>
  <c r="E153" i="76" a="1"/>
  <c r="E109" i="76" a="1"/>
  <c r="E72" i="76" a="1"/>
  <c r="E256" i="76" a="1"/>
  <c r="E252" i="69" a="1"/>
  <c r="E8" i="69" a="1"/>
  <c r="E85" i="69" a="1"/>
  <c r="E7" i="76" a="1"/>
  <c r="E219" i="76" a="1"/>
  <c r="E35" i="76" a="1"/>
  <c r="E132" i="76" a="1"/>
  <c r="E183" i="76" a="1"/>
  <c r="E212" i="69" a="1"/>
  <c r="E186" i="69" a="1"/>
  <c r="E56" i="69" a="1"/>
  <c r="E120" i="69" a="1"/>
  <c r="E7" i="82" a="1"/>
  <c r="E139" i="69" a="1"/>
  <c r="I62" i="82" l="1"/>
  <c r="J14" i="95"/>
  <c r="V40" i="82"/>
  <c r="K40" i="82"/>
  <c r="D24" i="69" a="1"/>
  <c r="D24" i="69" s="1"/>
  <c r="D79" i="69" s="1" a="1"/>
  <c r="D79" i="69" s="1"/>
  <c r="D60" i="76" s="1"/>
  <c r="O24" i="69" a="1"/>
  <c r="O24" i="69" s="1"/>
  <c r="O79" i="69" s="1" a="1"/>
  <c r="O79" i="69" s="1"/>
  <c r="F166" i="69"/>
  <c r="F121" i="70"/>
  <c r="E121" i="70"/>
  <c r="I121" i="70"/>
  <c r="H121" i="70"/>
  <c r="G121" i="70"/>
  <c r="Q166" i="69"/>
  <c r="I122" i="70"/>
  <c r="H122" i="70"/>
  <c r="G122" i="70"/>
  <c r="F122" i="70"/>
  <c r="E122" i="70"/>
  <c r="S146" i="76"/>
  <c r="F49" i="82"/>
  <c r="Q49" i="82"/>
  <c r="O61" i="82"/>
  <c r="P61" i="82"/>
  <c r="I221" i="69"/>
  <c r="S29" i="76"/>
  <c r="S213" i="76"/>
  <c r="I213" i="76"/>
  <c r="I176" i="76"/>
  <c r="K29" i="95"/>
  <c r="S103" i="76"/>
  <c r="I126" i="76"/>
  <c r="F287" i="76"/>
  <c r="G8" i="13" s="1"/>
  <c r="T114" i="69"/>
  <c r="S50" i="76" s="1"/>
  <c r="T133" i="69"/>
  <c r="I65" i="76"/>
  <c r="F36" i="70"/>
  <c r="E19" i="69" s="1"/>
  <c r="V205" i="69"/>
  <c r="K206" i="69"/>
  <c r="K205" i="69"/>
  <c r="G36" i="70"/>
  <c r="F19" i="69" s="1"/>
  <c r="H36" i="70"/>
  <c r="G19" i="69" s="1"/>
  <c r="G37" i="70"/>
  <c r="F121" i="76" s="1"/>
  <c r="I37" i="70"/>
  <c r="H121" i="76" s="1"/>
  <c r="H37" i="70"/>
  <c r="G121" i="76" s="1"/>
  <c r="E37" i="70"/>
  <c r="D121" i="76" s="1"/>
  <c r="I36" i="70"/>
  <c r="H19" i="69" s="1"/>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8" i="76" l="1"/>
  <c r="Q208" i="76"/>
  <c r="G285" i="69"/>
  <c r="P203" i="76"/>
  <c r="Q275" i="69"/>
  <c r="G29" i="70"/>
  <c r="H275" i="69"/>
  <c r="H203" i="76"/>
  <c r="F208" i="76"/>
  <c r="F285" i="69"/>
  <c r="F275" i="69"/>
  <c r="F203" i="76"/>
  <c r="E171" i="76"/>
  <c r="E275" i="69"/>
  <c r="R203" i="76"/>
  <c r="S275" i="69"/>
  <c r="I29" i="70"/>
  <c r="D275" i="69"/>
  <c r="D171" i="76"/>
  <c r="D208" i="76"/>
  <c r="N208" i="76"/>
  <c r="D285" i="69"/>
  <c r="P275" i="69"/>
  <c r="F29" i="70"/>
  <c r="P285" i="69" s="1"/>
  <c r="O171" i="76"/>
  <c r="H208" i="76"/>
  <c r="H285" i="69"/>
  <c r="G275" i="69"/>
  <c r="G171" i="76"/>
  <c r="E208" i="76"/>
  <c r="E285" i="69"/>
  <c r="O208" i="76"/>
  <c r="Q171" i="76"/>
  <c r="R275" i="69"/>
  <c r="H29" i="70"/>
  <c r="R285" i="69" s="1"/>
  <c r="N171" i="76"/>
  <c r="O275" i="69"/>
  <c r="E29" i="70"/>
  <c r="O285" i="69" s="1"/>
  <c r="P208" i="76" l="1"/>
  <c r="Q285" i="69"/>
  <c r="S285"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2" i="70" a="1"/>
  <c r="G72" i="70" s="1"/>
  <c r="H67" i="70" a="1"/>
  <c r="H67" i="70" s="1"/>
  <c r="E72" i="70" a="1"/>
  <c r="E72" i="70" s="1"/>
  <c r="I71" i="70" a="1"/>
  <c r="I71" i="70" s="1"/>
  <c r="I65" i="70" a="1"/>
  <c r="I65" i="70" s="1"/>
  <c r="J151" i="69" s="1"/>
  <c r="J173" i="69" s="1" a="1"/>
  <c r="J173" i="69" s="1"/>
  <c r="G70" i="70" a="1"/>
  <c r="G70" i="70" s="1"/>
  <c r="H72" i="70" a="1"/>
  <c r="H72" i="70" s="1"/>
  <c r="F72" i="70" a="1"/>
  <c r="F72" i="70" s="1"/>
  <c r="G67" i="70" a="1"/>
  <c r="G67" i="70" s="1"/>
  <c r="F67" i="70" a="1"/>
  <c r="F67" i="70" s="1"/>
  <c r="E67" i="70" a="1"/>
  <c r="E67" i="70" s="1"/>
  <c r="E65" i="70" a="1"/>
  <c r="E65" i="70" s="1"/>
  <c r="H71" i="70" a="1"/>
  <c r="H71" i="70" s="1"/>
  <c r="I66" i="70" a="1"/>
  <c r="I66" i="70" s="1"/>
  <c r="J199" i="69" s="1"/>
  <c r="E71" i="70" a="1"/>
  <c r="E71" i="70" s="1"/>
  <c r="E66" i="70" a="1"/>
  <c r="E66" i="70" s="1"/>
  <c r="I67" i="70" a="1"/>
  <c r="I67" i="70" s="1"/>
  <c r="G71" i="70" a="1"/>
  <c r="G71" i="70" s="1"/>
  <c r="H66" i="70" a="1"/>
  <c r="H66" i="70" s="1"/>
  <c r="I199" i="69" s="1"/>
  <c r="F66" i="70" a="1"/>
  <c r="F66" i="70" s="1"/>
  <c r="G199" i="69" s="1"/>
  <c r="H70" i="70" a="1"/>
  <c r="H70" i="70" s="1"/>
  <c r="F71" i="70" a="1"/>
  <c r="F71" i="70" s="1"/>
  <c r="G66" i="70" a="1"/>
  <c r="G66" i="70" s="1"/>
  <c r="H199" i="69" s="1"/>
  <c r="I70" i="70" a="1"/>
  <c r="I70" i="70" s="1"/>
  <c r="H65" i="70" a="1"/>
  <c r="H65" i="70" s="1"/>
  <c r="I151" i="69" s="1"/>
  <c r="I173" i="69" s="1" a="1"/>
  <c r="I173" i="69" s="1"/>
  <c r="F70" i="70" a="1"/>
  <c r="F70" i="70" s="1"/>
  <c r="G65" i="70" a="1"/>
  <c r="G65" i="70" s="1"/>
  <c r="H151" i="69" s="1"/>
  <c r="H173" i="69" s="1" a="1"/>
  <c r="H173" i="69" s="1"/>
  <c r="I72" i="70" a="1"/>
  <c r="I72" i="70" s="1"/>
  <c r="E70" i="70" a="1"/>
  <c r="E70" i="70" s="1"/>
  <c r="F65" i="70" a="1"/>
  <c r="F65" i="70" s="1"/>
  <c r="G151" i="69" s="1"/>
  <c r="G173" i="69" s="1" a="1"/>
  <c r="G173" i="69" s="1"/>
  <c r="F199" i="69" l="1"/>
  <c r="F152" i="69"/>
  <c r="Q25" i="96"/>
  <c r="Q151" i="69"/>
  <c r="Q173" i="69" s="1" a="1"/>
  <c r="Q173" i="69" s="1"/>
  <c r="S25" i="96"/>
  <c r="S151" i="69"/>
  <c r="S173" i="69" s="1" a="1"/>
  <c r="S173" i="69" s="1"/>
  <c r="F25" i="96"/>
  <c r="F151" i="69"/>
  <c r="F173" i="69" s="1" a="1"/>
  <c r="F173" i="69" s="1"/>
  <c r="T25" i="96"/>
  <c r="T151" i="69"/>
  <c r="T173" i="69" s="1" a="1"/>
  <c r="T173" i="69" s="1"/>
  <c r="R25" i="96"/>
  <c r="R151" i="69"/>
  <c r="R173" i="69" s="1" a="1"/>
  <c r="R173" i="69" s="1"/>
  <c r="U25" i="96"/>
  <c r="U151" i="69"/>
  <c r="U173" i="69" s="1" a="1"/>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a="1"/>
  <c r="O29" i="76" s="1"/>
  <c r="S231" i="76" a="1"/>
  <c r="S231" i="76" s="1"/>
  <c r="S233" i="76" a="1"/>
  <c r="S233" i="76" s="1"/>
  <c r="S232" i="76" a="1"/>
  <c r="S232" i="76" s="1"/>
  <c r="S234" i="76" a="1"/>
  <c r="S234" i="76" s="1"/>
  <c r="P104" i="69"/>
  <c r="O98" i="76"/>
  <c r="E99" i="69"/>
  <c r="E19" i="76"/>
  <c r="E29" i="76" s="1" a="1"/>
  <c r="E29" i="76" s="1"/>
  <c r="O104" i="69"/>
  <c r="N98" i="76"/>
  <c r="Q99" i="69"/>
  <c r="P19" i="76"/>
  <c r="P29" i="76" s="1" a="1"/>
  <c r="P29" i="76" s="1"/>
  <c r="F235" i="76" a="1"/>
  <c r="F235" i="76" s="1"/>
  <c r="F237" i="76" a="1"/>
  <c r="F237" i="76" s="1"/>
  <c r="F236" i="76" a="1"/>
  <c r="F236" i="76" s="1"/>
  <c r="F238" i="76" a="1"/>
  <c r="F238" i="76" s="1"/>
  <c r="D104" i="69"/>
  <c r="D98" i="76"/>
  <c r="F99" i="69"/>
  <c r="F19" i="76"/>
  <c r="F29" i="76" s="1" a="1"/>
  <c r="F29" i="76" s="1"/>
  <c r="G235" i="76" a="1"/>
  <c r="G235" i="76" s="1"/>
  <c r="G237" i="76" a="1"/>
  <c r="G237" i="76" s="1"/>
  <c r="G238" i="76" a="1"/>
  <c r="G238" i="76" s="1"/>
  <c r="G236" i="76" a="1"/>
  <c r="G236" i="76" s="1"/>
  <c r="H99" i="69"/>
  <c r="H19" i="76"/>
  <c r="H29" i="76" s="1" a="1"/>
  <c r="H29" i="76" s="1"/>
  <c r="O99"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a="1"/>
  <c r="R29" i="76" s="1"/>
  <c r="D99"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a="1"/>
  <c r="G29" i="76" s="1"/>
  <c r="S236" i="76" a="1"/>
  <c r="S236" i="76" s="1"/>
  <c r="S238" i="76" a="1"/>
  <c r="S238" i="76" s="1"/>
  <c r="S235" i="76" a="1"/>
  <c r="S235" i="76" s="1"/>
  <c r="S237" i="76" a="1"/>
  <c r="S237" i="76" s="1"/>
  <c r="R99" i="69"/>
  <c r="R114" i="69" s="1" a="1"/>
  <c r="R114" i="69" s="1"/>
  <c r="Q19" i="76"/>
  <c r="Q29" i="76" s="1" a="1"/>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a="1"/>
  <c r="J177" i="69" s="1"/>
  <c r="J157" i="69"/>
  <c r="J179" i="69" s="1" a="1"/>
  <c r="J179" i="69" s="1"/>
  <c r="J156" i="69"/>
  <c r="J178" i="69" s="1" a="1"/>
  <c r="J178" i="69" s="1"/>
  <c r="J200" i="69"/>
  <c r="Q155" i="69"/>
  <c r="Q177" i="69" s="1" a="1"/>
  <c r="Q177" i="69" s="1"/>
  <c r="Q156" i="69"/>
  <c r="Q178" i="69" s="1" a="1"/>
  <c r="Q178" i="69" s="1"/>
  <c r="Q157" i="69"/>
  <c r="Q179" i="69" s="1" a="1"/>
  <c r="Q179" i="69" s="1"/>
  <c r="Q200" i="69"/>
  <c r="S157" i="69"/>
  <c r="S179" i="69" s="1" a="1"/>
  <c r="S179" i="69" s="1"/>
  <c r="S156" i="69"/>
  <c r="S178" i="69" s="1" a="1"/>
  <c r="S178" i="69" s="1"/>
  <c r="S155" i="69"/>
  <c r="S177" i="69" s="1" a="1"/>
  <c r="S177" i="69" s="1"/>
  <c r="S200" i="69"/>
  <c r="T199" i="69"/>
  <c r="T154" i="69"/>
  <c r="T176" i="69" s="1" a="1"/>
  <c r="T176" i="69" s="1"/>
  <c r="T153" i="69"/>
  <c r="T175" i="69" s="1" a="1"/>
  <c r="T175" i="69" s="1"/>
  <c r="T152" i="69"/>
  <c r="T174" i="69" s="1" a="1"/>
  <c r="T174" i="69" s="1"/>
  <c r="F154" i="69"/>
  <c r="F176" i="69" s="1" a="1"/>
  <c r="F176" i="69" s="1"/>
  <c r="F153" i="69"/>
  <c r="F175" i="69" s="1" a="1"/>
  <c r="F175" i="69" s="1"/>
  <c r="F174" i="69" a="1"/>
  <c r="F174" i="69" s="1"/>
  <c r="U157" i="69"/>
  <c r="U179" i="69" s="1" a="1"/>
  <c r="U179" i="69" s="1"/>
  <c r="U156" i="69"/>
  <c r="U178" i="69" s="1" a="1"/>
  <c r="U178" i="69" s="1"/>
  <c r="U155" i="69"/>
  <c r="U177" i="69" s="1" a="1"/>
  <c r="U177" i="69" s="1"/>
  <c r="U200" i="69"/>
  <c r="F156" i="69"/>
  <c r="F178" i="69" s="1" a="1"/>
  <c r="F178" i="69" s="1"/>
  <c r="F200" i="69"/>
  <c r="F155" i="69"/>
  <c r="F177" i="69" s="1" a="1"/>
  <c r="F177" i="69" s="1"/>
  <c r="F157" i="69"/>
  <c r="F179" i="69" s="1" a="1"/>
  <c r="F179" i="69" s="1"/>
  <c r="H155" i="69"/>
  <c r="H177" i="69" s="1" a="1"/>
  <c r="H177" i="69" s="1"/>
  <c r="H200" i="69"/>
  <c r="H157" i="69"/>
  <c r="H179" i="69" s="1" a="1"/>
  <c r="H179" i="69" s="1"/>
  <c r="H156" i="69"/>
  <c r="H178" i="69" s="1" a="1"/>
  <c r="H178" i="69" s="1"/>
  <c r="J154" i="69"/>
  <c r="J176" i="69" s="1" a="1"/>
  <c r="J176" i="69" s="1"/>
  <c r="J153" i="69"/>
  <c r="J175" i="69" s="1" a="1"/>
  <c r="J175" i="69" s="1"/>
  <c r="J152" i="69"/>
  <c r="J174" i="69" s="1" a="1"/>
  <c r="J174" i="69" s="1"/>
  <c r="G155" i="69"/>
  <c r="G177" i="69" s="1" a="1"/>
  <c r="G177" i="69" s="1"/>
  <c r="G200" i="69"/>
  <c r="G157" i="69"/>
  <c r="G179" i="69" s="1" a="1"/>
  <c r="G179" i="69" s="1"/>
  <c r="G156" i="69"/>
  <c r="G178" i="69" s="1" a="1"/>
  <c r="G178" i="69" s="1"/>
  <c r="H152" i="69"/>
  <c r="H174" i="69" s="1" a="1"/>
  <c r="H174" i="69" s="1"/>
  <c r="H154" i="69"/>
  <c r="H176" i="69" s="1" a="1"/>
  <c r="H176" i="69" s="1"/>
  <c r="H153" i="69"/>
  <c r="H175" i="69" s="1" a="1"/>
  <c r="H175" i="69" s="1"/>
  <c r="R152" i="69"/>
  <c r="R174" i="69" s="1" a="1"/>
  <c r="R174" i="69" s="1"/>
  <c r="R199" i="69"/>
  <c r="R154" i="69"/>
  <c r="R176" i="69" s="1" a="1"/>
  <c r="R176" i="69" s="1"/>
  <c r="R153" i="69"/>
  <c r="R175" i="69" s="1" a="1"/>
  <c r="R175" i="69" s="1"/>
  <c r="T200" i="69"/>
  <c r="T156" i="69"/>
  <c r="T178" i="69" s="1" a="1"/>
  <c r="T178" i="69" s="1"/>
  <c r="T155" i="69"/>
  <c r="T177" i="69" s="1" a="1"/>
  <c r="T177" i="69" s="1"/>
  <c r="T157" i="69"/>
  <c r="T179" i="69" s="1" a="1"/>
  <c r="T179" i="69" s="1"/>
  <c r="I200" i="69"/>
  <c r="I157" i="69"/>
  <c r="I179" i="69" s="1" a="1"/>
  <c r="I179" i="69" s="1"/>
  <c r="I156" i="69"/>
  <c r="I178" i="69" s="1" a="1"/>
  <c r="I178" i="69" s="1"/>
  <c r="I155" i="69"/>
  <c r="I177" i="69" s="1" a="1"/>
  <c r="I177" i="69" s="1"/>
  <c r="G154" i="69"/>
  <c r="G176" i="69" s="1" a="1"/>
  <c r="G176" i="69" s="1"/>
  <c r="G153" i="69"/>
  <c r="G175" i="69" s="1" a="1"/>
  <c r="G175" i="69" s="1"/>
  <c r="G152" i="69"/>
  <c r="G174" i="69" s="1" a="1"/>
  <c r="G174" i="69" s="1"/>
  <c r="Q199" i="69"/>
  <c r="Q153" i="69"/>
  <c r="Q175" i="69" s="1" a="1"/>
  <c r="Q175" i="69" s="1"/>
  <c r="Q154" i="69"/>
  <c r="Q176" i="69" s="1" a="1"/>
  <c r="Q176" i="69" s="1"/>
  <c r="Q152" i="69"/>
  <c r="Q174" i="69" s="1" a="1"/>
  <c r="Q174" i="69" s="1"/>
  <c r="R155" i="69"/>
  <c r="R177" i="69" s="1" a="1"/>
  <c r="R177" i="69" s="1"/>
  <c r="R157" i="69"/>
  <c r="R179" i="69" s="1" a="1"/>
  <c r="R179" i="69" s="1"/>
  <c r="R156" i="69"/>
  <c r="R178" i="69" s="1" a="1"/>
  <c r="R178" i="69" s="1"/>
  <c r="R200" i="69"/>
  <c r="I152" i="69"/>
  <c r="I174" i="69" s="1" a="1"/>
  <c r="I174" i="69" s="1"/>
  <c r="I154" i="69"/>
  <c r="I176" i="69" s="1" a="1"/>
  <c r="I176" i="69" s="1"/>
  <c r="I153" i="69"/>
  <c r="I175" i="69" s="1" a="1"/>
  <c r="I175" i="69" s="1"/>
  <c r="S152" i="69"/>
  <c r="S174" i="69" s="1" a="1"/>
  <c r="S174" i="69" s="1"/>
  <c r="S199" i="69"/>
  <c r="S154" i="69"/>
  <c r="S176" i="69" s="1" a="1"/>
  <c r="S176" i="69" s="1"/>
  <c r="S153" i="69"/>
  <c r="S175" i="69" s="1" a="1"/>
  <c r="S175" i="69" s="1"/>
  <c r="U199" i="69"/>
  <c r="U153" i="69"/>
  <c r="U175" i="69" s="1" a="1"/>
  <c r="U175" i="69" s="1"/>
  <c r="U152" i="69"/>
  <c r="U174" i="69" s="1" a="1"/>
  <c r="U174" i="69" s="1"/>
  <c r="U154" i="69"/>
  <c r="U176" i="69" s="1" a="1"/>
  <c r="U176" i="69" s="1"/>
  <c r="J46" i="96"/>
  <c r="J44" i="96" s="1"/>
  <c r="D114" i="69" l="1" a="1"/>
  <c r="D114" i="69" s="1"/>
  <c r="D133" i="69" s="1" a="1"/>
  <c r="D133" i="69" s="1"/>
  <c r="G114" i="69" a="1"/>
  <c r="G114" i="69" s="1"/>
  <c r="G50" i="76" s="1"/>
  <c r="F114" i="69" a="1"/>
  <c r="F114" i="69" s="1"/>
  <c r="F133" i="69" s="1" a="1"/>
  <c r="F133" i="69" s="1"/>
  <c r="E114" i="69" a="1"/>
  <c r="E114" i="69" s="1"/>
  <c r="E133" i="69" s="1" a="1"/>
  <c r="E133" i="69" s="1"/>
  <c r="H114" i="69" a="1"/>
  <c r="H114" i="69" s="1"/>
  <c r="H133" i="69" s="1" a="1"/>
  <c r="H133" i="69" s="1"/>
  <c r="I43" i="97"/>
  <c r="I66" i="82"/>
  <c r="Q114" i="69" a="1"/>
  <c r="Q114" i="69" s="1"/>
  <c r="P50" i="76" s="1"/>
  <c r="P114" i="69" a="1"/>
  <c r="P114" i="69" s="1"/>
  <c r="O50" i="76" s="1"/>
  <c r="S114" i="69" a="1"/>
  <c r="S114" i="69" s="1"/>
  <c r="S133" i="69" s="1" a="1"/>
  <c r="S133" i="69" s="1"/>
  <c r="O114" i="69" a="1"/>
  <c r="O114" i="69" s="1"/>
  <c r="O133" i="69" s="1" a="1"/>
  <c r="O133"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Q50" i="76"/>
  <c r="T206" i="69" a="1"/>
  <c r="T206" i="69" s="1"/>
  <c r="G205" i="69" a="1"/>
  <c r="G205" i="69" s="1"/>
  <c r="S206" i="69" a="1"/>
  <c r="S206" i="69" s="1"/>
  <c r="H205" i="69" a="1"/>
  <c r="H205" i="69" s="1"/>
  <c r="U205" i="69" a="1"/>
  <c r="U205" i="69" s="1"/>
  <c r="Q205" i="69" a="1"/>
  <c r="Q205" i="69" s="1"/>
  <c r="R205" i="69" a="1"/>
  <c r="R205" i="69" s="1"/>
  <c r="H206" i="69" a="1"/>
  <c r="H206" i="69" s="1"/>
  <c r="F205" i="69" a="1"/>
  <c r="F205" i="69" s="1"/>
  <c r="J205" i="69" a="1"/>
  <c r="J205" i="69" s="1"/>
  <c r="T205" i="69" a="1"/>
  <c r="T205" i="69" s="1"/>
  <c r="I205" i="69" a="1"/>
  <c r="I205" i="69" s="1"/>
  <c r="F50" i="76" l="1"/>
  <c r="F65" i="76" s="1" a="1"/>
  <c r="F65" i="76" s="1"/>
  <c r="F103" i="76" s="1" a="1"/>
  <c r="F103" i="76" s="1"/>
  <c r="G133" i="69" a="1"/>
  <c r="G133" i="69" s="1"/>
  <c r="D50" i="76"/>
  <c r="D126" i="76" s="1" a="1"/>
  <c r="D126" i="76" s="1"/>
  <c r="H50" i="76"/>
  <c r="H65" i="76" s="1" a="1"/>
  <c r="H65" i="76" s="1"/>
  <c r="H103" i="76" s="1" a="1"/>
  <c r="H103" i="76" s="1"/>
  <c r="R50" i="76"/>
  <c r="R126" i="76" s="1" a="1"/>
  <c r="R126" i="76" s="1"/>
  <c r="Q133" i="69" a="1"/>
  <c r="Q133" i="69" s="1"/>
  <c r="E50" i="76"/>
  <c r="E65" i="76" s="1" a="1"/>
  <c r="E65" i="76" s="1"/>
  <c r="E103" i="76" s="1" a="1"/>
  <c r="E103" i="76" s="1"/>
  <c r="P133" i="69" a="1"/>
  <c r="P133"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T31" i="96" s="1" a="1"/>
  <c r="T31"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F176" i="76" a="1"/>
  <c r="F176" i="7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R31" i="96" s="1" a="1"/>
  <c r="R31" i="96" s="1"/>
  <c r="O213" i="76" a="1"/>
  <c r="O213" i="76" s="1"/>
  <c r="E176" i="76" a="1"/>
  <c r="E176" i="76" s="1"/>
  <c r="E19" i="96" s="1"/>
  <c r="E213" i="76" a="1"/>
  <c r="E213" i="76" s="1"/>
  <c r="N176" i="76" a="1"/>
  <c r="N176" i="76" s="1"/>
  <c r="O19" i="96" s="1"/>
  <c r="Q31" i="96" s="1" a="1"/>
  <c r="Q31" i="96" s="1"/>
  <c r="N213" i="76" a="1"/>
  <c r="N213" i="76" s="1"/>
  <c r="P176" i="76" a="1"/>
  <c r="P176" i="76" s="1"/>
  <c r="P213" i="76" a="1"/>
  <c r="P213" i="76" s="1"/>
  <c r="Q19" i="96" s="1"/>
  <c r="S31" i="96" s="1" a="1"/>
  <c r="S31" i="96" s="1"/>
  <c r="R176" i="76" l="1" a="1"/>
  <c r="R176" i="76" s="1"/>
  <c r="R213" i="76" a="1"/>
  <c r="R213" i="76" s="1"/>
  <c r="T244" i="76" s="1" a="1"/>
  <c r="T244" i="76" s="1"/>
  <c r="U41" i="81" s="1"/>
  <c r="D213" i="76" a="1"/>
  <c r="D213" i="76" s="1"/>
  <c r="D176" i="76" a="1"/>
  <c r="D176" i="76" s="1"/>
  <c r="D19" i="96" s="1"/>
  <c r="Q23" i="98" s="1"/>
  <c r="Q28" i="98" s="1" a="1"/>
  <c r="Q28" i="98" s="1"/>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51" i="96" a="1"/>
  <c r="T51" i="96" s="1"/>
  <c r="I247" i="76" a="1"/>
  <c r="I247" i="76" s="1"/>
  <c r="I44" i="81" s="1"/>
  <c r="J248" i="76" a="1"/>
  <c r="J248" i="76" s="1"/>
  <c r="J45" i="81" s="1"/>
  <c r="J246" i="76" a="1"/>
  <c r="J246" i="76" s="1"/>
  <c r="J43" i="81" s="1"/>
  <c r="J243" i="76" a="1"/>
  <c r="J243" i="76" s="1"/>
  <c r="J249" i="76" a="1"/>
  <c r="J249" i="76" s="1"/>
  <c r="J25" i="82" s="1"/>
  <c r="J46" i="82" s="1" a="1"/>
  <c r="J46" i="82" s="1"/>
  <c r="J31" i="96" a="1"/>
  <c r="J31" i="96" s="1"/>
  <c r="J51" i="96" s="1" a="1"/>
  <c r="J51" i="96" s="1"/>
  <c r="J250" i="76" a="1"/>
  <c r="J250" i="76" s="1"/>
  <c r="J247" i="76" a="1"/>
  <c r="J247" i="76" s="1"/>
  <c r="J245" i="76" a="1"/>
  <c r="J245" i="76" s="1"/>
  <c r="J280" i="76" s="1" a="1"/>
  <c r="J280" i="76" s="1"/>
  <c r="J244" i="76" a="1"/>
  <c r="J244" i="76" s="1"/>
  <c r="J41" i="81" s="1"/>
  <c r="H23" i="98"/>
  <c r="H28" i="98" s="1" a="1"/>
  <c r="H28" i="98" s="1"/>
  <c r="H19" i="97"/>
  <c r="H24" i="97" s="1" a="1"/>
  <c r="H24" i="97" s="1"/>
  <c r="S23" i="98"/>
  <c r="S28" i="98" s="1" a="1"/>
  <c r="S28" i="98" s="1"/>
  <c r="S19" i="97"/>
  <c r="S24" i="97" s="1" a="1"/>
  <c r="S24" i="97" s="1"/>
  <c r="I19" i="97"/>
  <c r="I24" i="97" s="1" a="1"/>
  <c r="I24" i="97" s="1"/>
  <c r="I23" i="98"/>
  <c r="I28" i="98" s="1" a="1"/>
  <c r="I28" i="98" s="1"/>
  <c r="H51" i="96" a="1"/>
  <c r="H51" i="96" s="1"/>
  <c r="S51" i="96" a="1"/>
  <c r="S51" i="96" s="1"/>
  <c r="I51" i="96" a="1"/>
  <c r="I5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T248" i="76" l="1" a="1"/>
  <c r="T248" i="76" s="1"/>
  <c r="T283" i="76" s="1" a="1"/>
  <c r="T283" i="76" s="1"/>
  <c r="T249" i="76" a="1"/>
  <c r="T249" i="76" s="1"/>
  <c r="U46" i="81" s="1"/>
  <c r="T250" i="76" a="1"/>
  <c r="T250" i="76" s="1"/>
  <c r="U47" i="81" s="1"/>
  <c r="T245" i="76" a="1"/>
  <c r="T245" i="76" s="1"/>
  <c r="U42" i="81" s="1"/>
  <c r="S19" i="96"/>
  <c r="U31" i="96" s="1" a="1"/>
  <c r="U31" i="96" s="1"/>
  <c r="T247" i="76" a="1"/>
  <c r="T247" i="76" s="1"/>
  <c r="U44" i="81" s="1"/>
  <c r="T243" i="76" a="1"/>
  <c r="T243" i="76" s="1"/>
  <c r="U40" i="81" s="1"/>
  <c r="T246" i="76" a="1"/>
  <c r="T246" i="76" s="1"/>
  <c r="U43" i="81" s="1"/>
  <c r="F249" i="76" a="1"/>
  <c r="F249" i="76" s="1"/>
  <c r="F284" i="76" s="1" a="1"/>
  <c r="F284"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H50" i="95" a="1"/>
  <c r="H50" i="95" s="1"/>
  <c r="H59" i="81"/>
  <c r="J24" i="95"/>
  <c r="J30" i="95" s="1" a="1"/>
  <c r="J30" i="95" s="1"/>
  <c r="J47" i="81"/>
  <c r="J19" i="82"/>
  <c r="J40" i="82" s="1" a="1"/>
  <c r="J40" i="82" s="1"/>
  <c r="J40" i="81"/>
  <c r="T49" i="95" a="1"/>
  <c r="T49" i="95" s="1"/>
  <c r="T55" i="81"/>
  <c r="J284" i="76" a="1"/>
  <c r="J284" i="76" s="1"/>
  <c r="J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T279" i="76" a="1"/>
  <c r="T279"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O230" i="69" l="1"/>
  <c r="D230" i="69"/>
  <c r="E230" i="69" s="1" a="1"/>
  <c r="E230" i="69" s="1"/>
  <c r="D228" i="69"/>
  <c r="E228" i="69" s="1" a="1"/>
  <c r="E228" i="69" s="1"/>
  <c r="P151" i="69"/>
  <c r="P162" i="69"/>
  <c r="E290" i="69"/>
  <c r="E173" i="69"/>
  <c r="P237" i="69"/>
  <c r="E162" i="69"/>
  <c r="E237" i="69"/>
  <c r="P290" i="69"/>
  <c r="P173" i="69"/>
  <c r="E151" i="69"/>
  <c r="O228" i="69"/>
  <c r="P228" i="69" s="1" a="1"/>
  <c r="P228" i="69" s="1"/>
  <c r="D81" i="70"/>
  <c r="O229" i="69"/>
  <c r="D229" i="69"/>
  <c r="E229" i="69" s="1" a="1"/>
  <c r="E229" i="69" s="1"/>
  <c r="U25" i="82"/>
  <c r="U46" i="82" s="1" a="1"/>
  <c r="U46" i="82" s="1"/>
  <c r="D96" i="70"/>
  <c r="D120" i="70"/>
  <c r="O232" i="69"/>
  <c r="D232" i="69"/>
  <c r="E232" i="69" s="1" a="1"/>
  <c r="E232" i="69" s="1"/>
  <c r="O231" i="69"/>
  <c r="D231" i="69"/>
  <c r="E231" i="69" s="1" a="1"/>
  <c r="E231" i="69" s="1"/>
  <c r="T284" i="76" a="1"/>
  <c r="T284" i="76" s="1"/>
  <c r="U51" i="96" a="1"/>
  <c r="U51" i="96" s="1"/>
  <c r="P53" i="96" s="1"/>
  <c r="R55" i="96" s="1"/>
  <c r="P58" i="96" s="1" a="1"/>
  <c r="P58" i="96" s="1"/>
  <c r="I11" i="13" s="1"/>
  <c r="U23" i="98"/>
  <c r="U28" i="98" s="1" a="1"/>
  <c r="U28" i="98" s="1"/>
  <c r="P30" i="98" s="1"/>
  <c r="U43" i="98" s="1"/>
  <c r="P47" i="98" s="1" a="1"/>
  <c r="P47" i="98" s="1"/>
  <c r="F13" i="13" s="1"/>
  <c r="U19" i="97"/>
  <c r="U24" i="97" s="1" a="1"/>
  <c r="U24" i="97" s="1"/>
  <c r="P26" i="97" s="1"/>
  <c r="S38" i="97" s="1"/>
  <c r="P45" i="97" s="1" a="1"/>
  <c r="P45" i="97" s="1"/>
  <c r="F12" i="13" s="1"/>
  <c r="T280" i="76" a="1"/>
  <c r="T280" i="76" s="1"/>
  <c r="T282" i="76" a="1"/>
  <c r="T282" i="76" s="1"/>
  <c r="U26" i="82"/>
  <c r="U47" i="82" s="1" a="1"/>
  <c r="U47" i="82" s="1"/>
  <c r="T285" i="76" a="1"/>
  <c r="T285" i="76" s="1"/>
  <c r="T281" i="76" a="1"/>
  <c r="T281" i="76" s="1"/>
  <c r="U23" i="82"/>
  <c r="U44" i="82" s="1" a="1"/>
  <c r="U44" i="82" s="1"/>
  <c r="F283" i="76" a="1"/>
  <c r="F283" i="76" s="1"/>
  <c r="F19" i="97"/>
  <c r="F24" i="97" s="1" a="1"/>
  <c r="F24" i="97" s="1"/>
  <c r="E26" i="97" s="1"/>
  <c r="I38" i="97" s="1"/>
  <c r="E45" i="97" s="1" a="1"/>
  <c r="E45" i="97" s="1"/>
  <c r="E12" i="13" s="1"/>
  <c r="U45" i="81"/>
  <c r="U24" i="82"/>
  <c r="U45" i="82" s="1" a="1"/>
  <c r="U45" i="82" s="1"/>
  <c r="F44" i="81"/>
  <c r="F282" i="76" a="1"/>
  <c r="F282" i="76" s="1"/>
  <c r="U21" i="82"/>
  <c r="U42" i="82" s="1" a="1"/>
  <c r="U42" i="82" s="1"/>
  <c r="T278" i="76" a="1"/>
  <c r="T278" i="76" s="1"/>
  <c r="U19" i="82"/>
  <c r="U40" i="82" s="1" a="1"/>
  <c r="U40" i="82" s="1"/>
  <c r="U23" i="95"/>
  <c r="U29" i="95" s="1" a="1"/>
  <c r="U29" i="95" s="1"/>
  <c r="U55" i="81" s="1"/>
  <c r="U22" i="82"/>
  <c r="U43" i="82" s="1" a="1"/>
  <c r="U43" i="82" s="1"/>
  <c r="U24" i="95"/>
  <c r="U30" i="95" s="1" a="1"/>
  <c r="U30" i="95" s="1"/>
  <c r="U50" i="95" s="1" a="1"/>
  <c r="U50" i="95" s="1"/>
  <c r="F46" i="81"/>
  <c r="F25" i="82"/>
  <c r="F46" i="82" s="1" a="1"/>
  <c r="F46" i="82" s="1"/>
  <c r="F51" i="96" a="1"/>
  <c r="F51" i="96" s="1"/>
  <c r="E53" i="96" s="1"/>
  <c r="G55" i="96" s="1"/>
  <c r="E58" i="96" s="1" a="1"/>
  <c r="E58" i="96" s="1"/>
  <c r="H11" i="13" s="1"/>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J50" i="95" a="1"/>
  <c r="J50" i="95" s="1"/>
  <c r="J59" i="81"/>
  <c r="G49" i="95" a="1"/>
  <c r="G49" i="95" s="1"/>
  <c r="G55" i="81"/>
  <c r="G50" i="95" a="1"/>
  <c r="G50" i="95" s="1"/>
  <c r="G59" i="81"/>
  <c r="R50" i="95" a="1"/>
  <c r="R50" i="95" s="1"/>
  <c r="R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8" i="98"/>
  <c r="P28" i="98"/>
  <c r="E23" i="98"/>
  <c r="P23" i="98"/>
  <c r="P19" i="97"/>
  <c r="E19" i="97"/>
  <c r="P24" i="97"/>
  <c r="E24" i="97"/>
  <c r="P51" i="96"/>
  <c r="P25" i="96"/>
  <c r="E25" i="96"/>
  <c r="P31" i="96"/>
  <c r="E51" i="96"/>
  <c r="E31" i="96"/>
  <c r="D86" i="70"/>
  <c r="D110" i="70"/>
  <c r="D91" i="70"/>
  <c r="D115" i="70"/>
  <c r="D105" i="70"/>
  <c r="J237" i="69" l="1"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3" i="70"/>
  <c r="D82" i="70"/>
  <c r="D84" i="70"/>
  <c r="D106" i="70"/>
  <c r="D107" i="70"/>
  <c r="D108" i="70"/>
  <c r="D118" i="70"/>
  <c r="D117" i="70"/>
  <c r="D116" i="70"/>
  <c r="D113" i="70"/>
  <c r="D112" i="70"/>
  <c r="D111" i="70"/>
  <c r="D94" i="70"/>
  <c r="D93" i="70"/>
  <c r="D92" i="70"/>
  <c r="D89" i="70"/>
  <c r="D88" i="70"/>
  <c r="D87" i="70"/>
  <c r="O287" i="76"/>
  <c r="Q289" i="76" s="1"/>
  <c r="P49" i="82"/>
  <c r="R61" i="82" s="1"/>
  <c r="P68" i="82" s="1" a="1"/>
  <c r="P68" i="82" s="1"/>
  <c r="F9" i="13" s="1"/>
  <c r="U59" i="81"/>
  <c r="F11" i="13"/>
  <c r="U49" i="95" a="1"/>
  <c r="U49" i="95" s="1"/>
  <c r="P52" i="95" s="1"/>
  <c r="R54" i="95" s="1"/>
  <c r="P57" i="95" s="1" a="1"/>
  <c r="P57" i="95" s="1"/>
  <c r="I10" i="13" s="1"/>
  <c r="E287" i="76"/>
  <c r="E49" i="82"/>
  <c r="I61" i="82" s="1"/>
  <c r="E68" i="82" s="1" a="1"/>
  <c r="E68" i="82" s="1"/>
  <c r="E9" i="13" s="1"/>
  <c r="F49" i="95" a="1"/>
  <c r="F49" i="95" s="1"/>
  <c r="F50" i="95" a="1"/>
  <c r="F50" i="95" s="1"/>
  <c r="R47" i="97"/>
  <c r="P50" i="97" s="1" a="1"/>
  <c r="P50" i="97" s="1"/>
  <c r="I12" i="13" s="1"/>
  <c r="R49" i="98"/>
  <c r="P52" i="98" s="1" a="1"/>
  <c r="P52" i="98" s="1"/>
  <c r="I13"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7" i="69"/>
  <c r="E249" i="76"/>
  <c r="E46" i="82"/>
  <c r="P25" i="82"/>
  <c r="O284" i="76"/>
  <c r="E284" i="76"/>
  <c r="E297" i="69"/>
  <c r="P179" i="69"/>
  <c r="P244" i="69"/>
  <c r="E179" i="69"/>
  <c r="E244" i="69"/>
  <c r="G244" i="69" s="1" a="1"/>
  <c r="G244" i="69" s="1"/>
  <c r="O237" i="76"/>
  <c r="P46" i="82"/>
  <c r="E25" i="82"/>
  <c r="O249" i="76"/>
  <c r="E237" i="76"/>
  <c r="P157" i="69"/>
  <c r="E157" i="69"/>
  <c r="P168" i="69"/>
  <c r="E168" i="69"/>
  <c r="P45" i="82"/>
  <c r="E296" i="69"/>
  <c r="P296" i="69"/>
  <c r="E248" i="76"/>
  <c r="E45" i="82"/>
  <c r="P24" i="82"/>
  <c r="E283" i="76"/>
  <c r="O248" i="76"/>
  <c r="P243" i="69"/>
  <c r="E243" i="69"/>
  <c r="H243" i="69" s="1" a="1"/>
  <c r="H243" i="69" s="1"/>
  <c r="P178" i="69"/>
  <c r="O236" i="76"/>
  <c r="O283" i="76"/>
  <c r="E24" i="82"/>
  <c r="E236" i="76"/>
  <c r="P167" i="69"/>
  <c r="E167" i="69"/>
  <c r="E178" i="69"/>
  <c r="P156" i="69"/>
  <c r="E156" i="69"/>
  <c r="P239" i="69"/>
  <c r="P164" i="69"/>
  <c r="P41" i="82"/>
  <c r="O232" i="76"/>
  <c r="E164" i="69"/>
  <c r="E153" i="69"/>
  <c r="E20" i="82"/>
  <c r="E232" i="76"/>
  <c r="O279" i="76"/>
  <c r="E41" i="82"/>
  <c r="P20" i="82"/>
  <c r="E279" i="76"/>
  <c r="O244" i="76"/>
  <c r="E292" i="69"/>
  <c r="E175" i="69"/>
  <c r="P153" i="69"/>
  <c r="E244" i="76"/>
  <c r="P175" i="69"/>
  <c r="E239" i="69"/>
  <c r="F239" i="69" s="1" a="1"/>
  <c r="F239" i="69" s="1"/>
  <c r="P292" i="69"/>
  <c r="E40" i="82"/>
  <c r="P19" i="82"/>
  <c r="E278" i="76"/>
  <c r="E291" i="69"/>
  <c r="P174" i="69"/>
  <c r="P152" i="69"/>
  <c r="P163" i="69"/>
  <c r="E152" i="69"/>
  <c r="O278" i="76"/>
  <c r="O231" i="76"/>
  <c r="E163" i="69"/>
  <c r="E19" i="82"/>
  <c r="E231" i="76"/>
  <c r="P40" i="82"/>
  <c r="E243" i="76"/>
  <c r="O243" i="76"/>
  <c r="E174" i="69"/>
  <c r="P238" i="69"/>
  <c r="P291" i="69"/>
  <c r="E238" i="69"/>
  <c r="H238" i="69" s="1" a="1"/>
  <c r="H238" i="69" s="1"/>
  <c r="O233" i="76"/>
  <c r="P240" i="69"/>
  <c r="O280" i="76"/>
  <c r="E165" i="69"/>
  <c r="E154" i="69"/>
  <c r="O245" i="76"/>
  <c r="E21" i="82"/>
  <c r="E233" i="76"/>
  <c r="P42" i="82"/>
  <c r="E245" i="76"/>
  <c r="E240" i="69"/>
  <c r="J240" i="69" s="1" a="1"/>
  <c r="J240"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a="1"/>
  <c r="F242" i="69" s="1"/>
  <c r="E177" i="69"/>
  <c r="P155" i="69"/>
  <c r="E155" i="69"/>
  <c r="O238" i="76"/>
  <c r="E200" i="69"/>
  <c r="P200" i="69"/>
  <c r="J245" i="69" a="1"/>
  <c r="J245" i="69" s="1"/>
  <c r="H241" i="69" a="1"/>
  <c r="H241" i="69" s="1"/>
  <c r="E199" i="69"/>
  <c r="P199" i="69"/>
  <c r="E52" i="95" l="1"/>
  <c r="G54" i="95" s="1"/>
  <c r="E57" i="95" s="1" a="1"/>
  <c r="E57" i="95" s="1"/>
  <c r="H10" i="13" s="1"/>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E10" i="13"/>
  <c r="F292" i="69" a="1"/>
  <c r="F292" i="69" s="1"/>
  <c r="F295" i="69" a="1"/>
  <c r="F295" i="69" s="1"/>
  <c r="H294" i="69" a="1"/>
  <c r="H294" i="69" s="1"/>
  <c r="J298" i="69" a="1"/>
  <c r="J298" i="69" s="1"/>
  <c r="J293" i="69" a="1"/>
  <c r="J293" i="69" s="1"/>
  <c r="H296" i="69" a="1"/>
  <c r="H296" i="69" s="1"/>
  <c r="H291" i="69" a="1"/>
  <c r="H291" i="69" s="1"/>
  <c r="G297" i="69" a="1"/>
  <c r="G297" i="69" s="1"/>
  <c r="F10" i="13"/>
  <c r="G70" i="82"/>
  <c r="E73" i="82" s="1" a="1"/>
  <c r="E73" i="82" s="1"/>
  <c r="H9" i="13" s="1"/>
  <c r="F8" i="13"/>
  <c r="P85" i="81" l="1"/>
  <c r="F20" i="13" s="1"/>
  <c r="P300" i="69"/>
  <c r="R302" i="69" s="1"/>
  <c r="P305" i="69" s="1" a="1"/>
  <c r="P305" i="69" s="1"/>
  <c r="I7" i="13" s="1"/>
  <c r="E300" i="69"/>
  <c r="G302" i="69" s="1"/>
  <c r="E305" i="69" s="1" a="1"/>
  <c r="E305" i="69" s="1"/>
  <c r="H7" i="13" s="1"/>
  <c r="E85" i="81"/>
  <c r="E20" i="13" s="1"/>
  <c r="P115" i="81"/>
  <c r="F22" i="13" s="1"/>
  <c r="E115" i="81"/>
  <c r="E22" i="13" s="1"/>
  <c r="E148" i="81"/>
  <c r="E21" i="13" s="1"/>
  <c r="P148" i="81"/>
  <c r="F21" i="13" s="1"/>
  <c r="O292" i="76"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<sst xmlns="http://schemas.openxmlformats.org/spreadsheetml/2006/main" count="1636" uniqueCount="475">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</sst>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7">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5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10.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427</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437</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426</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317</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141</v>
      </c>
      <c r="E6" s="122" t="s">
        <v>382</v>
      </c>
      <c r="F6" s="122" t="s">
        <v>383</v>
      </c>
      <c r="G6" s="122" t="s">
        <v>158</v>
      </c>
      <c r="H6" s="122" t="s">
        <v>388</v>
      </c>
      <c r="I6" s="122" t="s">
        <v>389</v>
      </c>
      <c r="J6" s="122" t="s">
        <v>159</v>
      </c>
      <c r="K6" s="24"/>
    </row>
    <row r="7" spans="1:11" ht="20.100000000000001" customHeight="1" x14ac:dyDescent="0.25">
      <c r="A7" s="20" t="s">
        <v>3</v>
      </c>
      <c r="C7" s="24"/>
      <c r="D7" s="1" t="s">
        <v>384</v>
      </c>
      <c r="E7" s="117">
        <f>'4.3.1.1-2 Methane'!$E$300</f>
        <v>10.314345551795777</v>
      </c>
      <c r="F7" s="117">
        <f>'4.3.1.1-2 Methane'!$P$300</f>
        <v>10.64070664267806</v>
      </c>
      <c r="G7" s="57" t="str">
        <f>'4.3.1.1-2 Methane'!$F$300</f>
        <v>t CH4</v>
      </c>
      <c r="H7" s="117">
        <f>'4.3.1.1-2 Methane'!$E$305</f>
        <v>288.80167545028172</v>
      </c>
      <c r="I7" s="117">
        <f>'4.3.1.1-2 Methane'!$P$305</f>
        <v>297.9397859949857</v>
      </c>
      <c r="J7" s="57" t="str">
        <f>'4.3.1.1-2 Methane'!$F$305</f>
        <v>t CO2e</v>
      </c>
      <c r="K7" s="24"/>
    </row>
    <row r="8" spans="1:11" ht="20.100000000000001" customHeight="1" x14ac:dyDescent="0.25">
      <c r="A8" s="17" t="str">
        <f>HYPERLINK("#'Input - Site'!A1", "Site")</f>
        <v>Site</v>
      </c>
      <c r="C8" s="24"/>
      <c r="D8" s="1" t="s">
        <v>385</v>
      </c>
      <c r="E8" s="117">
        <f>'4.3.1.3-4 Direct N20'!$E$287</f>
        <v>6.3172161253287021E-2</v>
      </c>
      <c r="F8" s="117">
        <f>'4.3.1.3-4 Direct N20'!$O$287</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386</v>
      </c>
      <c r="E9" s="117">
        <f>'4.3.1.5 Atmos deposition'!$E$68</f>
        <v>5.0665467159299066E-2</v>
      </c>
      <c r="F9" s="117">
        <f>'4.3.1.5 Atmos deposition'!$P$68</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387</v>
      </c>
      <c r="E10" s="117">
        <f>'4.3.1.6-7 Leaching and runoff'!$E$52</f>
        <v>2.779575095144629E-3</v>
      </c>
      <c r="F10" s="117">
        <f>'4.3.1.6-7 Leaching and runoff'!$P$52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78</v>
      </c>
      <c r="C11" s="24"/>
      <c r="D11" s="1" t="s">
        <v>354</v>
      </c>
      <c r="E11" s="117">
        <f>'4.3.1.9 Soil direct N2O'!$E$53</f>
        <v>8.0033058384947273E-2</v>
      </c>
      <c r="F11" s="117">
        <f>'4.3.1.9 Soil direct N2O'!$P$53</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370</v>
      </c>
      <c r="E12" s="117">
        <f>'4.3.1.10-11 Soil Atmos Dep'!$E$45</f>
        <v>4.958047966947482E-2</v>
      </c>
      <c r="F12" s="117">
        <f>'4.3.1.10-11 Soil Atmos Dep'!$P$45</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371</v>
      </c>
      <c r="E13" s="117">
        <f>'4.3.1.12-13 Soil leach runoff'!$E$47</f>
        <v>0.10564363706813039</v>
      </c>
      <c r="F13" s="117">
        <f>'4.3.1.12-13 Soil leach runoff'!$P$47</f>
        <v>0.10564363706813039</v>
      </c>
      <c r="G13" s="57" t="str">
        <f>'4.3.1.12-13 Soil leach runoff'!$F$47</f>
        <v>t N2O</v>
      </c>
      <c r="H13" s="117">
        <f>'4.3.1.12-13 Soil leach runoff'!$E$52</f>
        <v>27.995563823054553</v>
      </c>
      <c r="I13" s="117">
        <f>'4.3.1.12-13 Soil leach runoff'!$P$52</f>
        <v>27.995563823054553</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156</v>
      </c>
      <c r="E14" s="25"/>
      <c r="F14" s="25"/>
      <c r="G14" s="31"/>
      <c r="H14" s="119">
        <f>SUM(H7:H13)</f>
        <v>382.04838578730676</v>
      </c>
      <c r="I14" s="119">
        <f>SUM(I7:I13)</f>
        <v>391.18649633201073</v>
      </c>
      <c r="J14" s="112" t="s">
        <v>352</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340</v>
      </c>
      <c r="E16" s="1"/>
      <c r="F16" s="1"/>
      <c r="G16" s="1"/>
      <c r="H16" s="26"/>
      <c r="I16" s="1"/>
      <c r="J16" s="1"/>
      <c r="K16" s="24"/>
    </row>
    <row r="17" spans="1:11" ht="20.100000000000001" customHeight="1" x14ac:dyDescent="0.25">
      <c r="A17" s="17" t="str">
        <f>HYPERLINK("#'4.3.1.9 Soil direct N2O'!A1", "4.3.1.9 Soil direct N2O")</f>
        <v>4.3.1.9 Soil direct N2O</v>
      </c>
      <c r="C17" s="24"/>
      <c r="D17" s="113" t="s">
        <v>163</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169</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164</v>
      </c>
      <c r="E19" s="122" t="s">
        <v>472</v>
      </c>
      <c r="F19" s="122" t="s">
        <v>473</v>
      </c>
      <c r="G19" s="122" t="s">
        <v>162</v>
      </c>
      <c r="H19" s="122" t="s">
        <v>157</v>
      </c>
      <c r="I19" s="122" t="s">
        <v>168</v>
      </c>
      <c r="J19" s="1"/>
      <c r="K19" s="24"/>
    </row>
    <row r="20" spans="1:11" ht="20.100000000000001" customHeight="1" x14ac:dyDescent="0.25">
      <c r="A20" s="17"/>
      <c r="C20" s="24"/>
      <c r="D20" s="1" t="s">
        <v>396</v>
      </c>
      <c r="E20" s="121">
        <f>'4.3.1.8 Manure applied to soils'!$E$85</f>
        <v>12417.473379475077</v>
      </c>
      <c r="F20" s="121">
        <f>'4.3.1.8 Manure applied to soils'!$P$85</f>
        <v>12417.473379475077</v>
      </c>
      <c r="G20" s="57" t="s">
        <v>132</v>
      </c>
      <c r="H20" s="1" t="s">
        <v>390</v>
      </c>
      <c r="I20" s="1" t="s">
        <v>167</v>
      </c>
      <c r="J20" s="1"/>
      <c r="K20" s="24"/>
    </row>
    <row r="21" spans="1:11" ht="20.100000000000001" customHeight="1" x14ac:dyDescent="0.25">
      <c r="A21" s="18" t="s">
        <v>4</v>
      </c>
      <c r="C21" s="24"/>
      <c r="D21" s="1" t="s">
        <v>165</v>
      </c>
      <c r="E21" s="121">
        <f>'4.3.1.8 Manure applied to soils'!$E$148</f>
        <v>4139.1577931583588</v>
      </c>
      <c r="F21" s="121">
        <f>'4.3.1.8 Manure applied to soils'!$P$148</f>
        <v>4139.1577931583588</v>
      </c>
      <c r="G21" s="57" t="s">
        <v>132</v>
      </c>
      <c r="H21" s="1" t="s">
        <v>390</v>
      </c>
      <c r="I21" s="1" t="s">
        <v>167</v>
      </c>
      <c r="J21" s="1"/>
      <c r="K21" s="24"/>
    </row>
    <row r="22" spans="1:11" ht="20.100000000000001" customHeight="1" x14ac:dyDescent="0.25">
      <c r="A22" s="17" t="str">
        <f>HYPERLINK("#'Constants - Dairy'!A1", "Constants - Dairy")</f>
        <v>Constants - Dairy</v>
      </c>
      <c r="C22" s="24"/>
      <c r="D22" s="1" t="s">
        <v>160</v>
      </c>
      <c r="E22" s="121">
        <f>'4.3.1.8 Manure applied to soils'!$E$115</f>
        <v>4139.1577931583588</v>
      </c>
      <c r="F22" s="121">
        <f>'4.3.1.8 Manure applied to soils'!$P$115</f>
        <v>4139.1577931583588</v>
      </c>
      <c r="G22" s="57" t="s">
        <v>132</v>
      </c>
      <c r="H22" s="1" t="s">
        <v>161</v>
      </c>
      <c r="I22" s="1" t="s">
        <v>166</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74</v>
      </c>
      <c r="E8" s="35" t="s">
        <v>75</v>
      </c>
    </row>
    <row r="9" spans="1:24" ht="20.100000000000001" customHeight="1" x14ac:dyDescent="0.25">
      <c r="A9" s="17" t="str">
        <f>HYPERLINK("#'Input - Dairy'!A1", "Dairy")</f>
        <v>Dairy</v>
      </c>
      <c r="N9" s="45"/>
    </row>
    <row r="10" spans="1:24" ht="20.100000000000001" customHeight="1" x14ac:dyDescent="0.25">
      <c r="A10" s="17"/>
      <c r="D10" s="98" t="s">
        <v>92</v>
      </c>
      <c r="E10" s="96"/>
      <c r="F10" s="99"/>
      <c r="G10" s="93"/>
      <c r="N10" s="45"/>
    </row>
    <row r="11" spans="1:24" ht="20.100000000000001" customHeight="1" x14ac:dyDescent="0.25">
      <c r="A11" s="19" t="s">
        <v>78</v>
      </c>
      <c r="N11" s="46"/>
    </row>
    <row r="12" spans="1:24" ht="20.100000000000001" customHeight="1" x14ac:dyDescent="0.25">
      <c r="A12" s="17" t="str">
        <f>HYPERLINK("#'4.3.1.1-2 Methane'!A1", "4.3.1.1-2 Methane")</f>
        <v>4.3.1.1-2 Methane</v>
      </c>
      <c r="D12" s="10" t="s">
        <v>98</v>
      </c>
      <c r="E12" s="67">
        <v>45292</v>
      </c>
      <c r="F12" s="2" t="s">
        <v>72</v>
      </c>
    </row>
    <row r="13" spans="1:24" ht="20.100000000000001" customHeight="1" x14ac:dyDescent="0.25">
      <c r="A13" s="17" t="str">
        <f>HYPERLINK("#'4.3.1.3-4 Direct N20'!A1", "4.3.1.3-4 Direct N2O")</f>
        <v>4.3.1.3-4 Direct N2O</v>
      </c>
      <c r="D13" s="10" t="s">
        <v>99</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73</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474</v>
      </c>
      <c r="F21" s="2" t="s">
        <v>11</v>
      </c>
    </row>
    <row r="22" spans="1:25" ht="20.100000000000001" customHeight="1" x14ac:dyDescent="0.25">
      <c r="A22" s="17" t="str">
        <f>HYPERLINK("#'Constants - Dairy'!A1", "Constants - Dairy")</f>
        <v>Constants - Dairy</v>
      </c>
      <c r="D22" s="1" t="s">
        <v>27</v>
      </c>
      <c r="E22" s="42" t="s">
        <v>36</v>
      </c>
      <c r="F22" s="2" t="s">
        <v>11</v>
      </c>
      <c r="G22" s="1"/>
    </row>
    <row r="23" spans="1:25" ht="20.100000000000001" customHeight="1" x14ac:dyDescent="0.25">
      <c r="A23" s="17" t="str">
        <f>HYPERLINK("#'Constants - Livestock'!A1", "Constants - Livestock")</f>
        <v>Constants - Livestock</v>
      </c>
      <c r="D23" s="1" t="s">
        <v>9</v>
      </c>
      <c r="E23" s="42" t="s">
        <v>97</v>
      </c>
      <c r="F23" s="2" t="s">
        <v>11</v>
      </c>
    </row>
    <row r="24" spans="1:25" ht="20.100000000000001" customHeight="1" x14ac:dyDescent="0.25">
      <c r="A24" s="17" t="str">
        <f>HYPERLINK("#'Constants - Common'!A1", "Constants - Common")</f>
        <v>Constants - Common</v>
      </c>
      <c r="D24" s="1" t="s">
        <v>41</v>
      </c>
      <c r="E24" s="35">
        <v>307.7</v>
      </c>
      <c r="F24" s="2" t="s">
        <v>55</v>
      </c>
    </row>
    <row r="25" spans="1:25" ht="20.100000000000001" customHeight="1" x14ac:dyDescent="0.25">
      <c r="A25" s="17" t="str">
        <f>HYPERLINK("#'Acknowledgements'!A1", "Acknowledgements")</f>
        <v>Acknowledgements</v>
      </c>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97" workbookViewId="0">
      <selection activeCell="E7" sqref="E7"/>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194</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105</v>
      </c>
      <c r="N5" s="3"/>
      <c r="R5" s="7"/>
    </row>
    <row r="6" spans="1:23" ht="20.100000000000001" customHeight="1" x14ac:dyDescent="0.25">
      <c r="A6" s="16"/>
      <c r="N6" s="3"/>
      <c r="R6" s="7"/>
    </row>
    <row r="7" spans="1:23" ht="20.100000000000001" customHeight="1" x14ac:dyDescent="0.25">
      <c r="A7" s="20" t="s">
        <v>3</v>
      </c>
      <c r="D7" s="1" t="s">
        <v>172</v>
      </c>
      <c r="E7" s="42" t="s">
        <v>215</v>
      </c>
      <c r="F7" s="2" t="s">
        <v>11</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173</v>
      </c>
      <c r="F9" s="41" t="s">
        <v>190</v>
      </c>
      <c r="G9" s="41" t="s">
        <v>191</v>
      </c>
      <c r="H9" s="41" t="s">
        <v>192</v>
      </c>
      <c r="I9" s="41" t="s">
        <v>193</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107</v>
      </c>
      <c r="K10" s="2"/>
      <c r="L10" s="2"/>
      <c r="M10" s="2"/>
      <c r="R10" s="7"/>
    </row>
    <row r="11" spans="1:23" ht="20.100000000000001" customHeight="1" x14ac:dyDescent="0.25">
      <c r="A11" s="19" t="s">
        <v>78</v>
      </c>
      <c r="R11" s="7"/>
    </row>
    <row r="12" spans="1:23" ht="20.100000000000001" customHeight="1" x14ac:dyDescent="0.25">
      <c r="A12" s="17" t="str">
        <f>HYPERLINK("#'4.3.1.1-2 Methane'!A1", "4.3.1.1-2 Methane")</f>
        <v>4.3.1.1-2 Methane</v>
      </c>
      <c r="D12" s="51" t="s">
        <v>212</v>
      </c>
      <c r="R12" s="7"/>
    </row>
    <row r="13" spans="1:23" ht="20.100000000000001" customHeight="1" x14ac:dyDescent="0.25">
      <c r="A13" s="17" t="str">
        <f>HYPERLINK("#'4.3.1.3-4 Direct N20'!A1", "4.3.1.3-4 Direct N2O")</f>
        <v>4.3.1.3-4 Direct N2O</v>
      </c>
      <c r="D13" s="66" t="s">
        <v>206</v>
      </c>
      <c r="E13" s="41" t="s">
        <v>173</v>
      </c>
      <c r="F13" s="41" t="s">
        <v>190</v>
      </c>
      <c r="G13" s="41" t="s">
        <v>191</v>
      </c>
      <c r="H13" s="41" t="s">
        <v>192</v>
      </c>
      <c r="I13" s="41" t="s">
        <v>193</v>
      </c>
      <c r="R13" s="40"/>
    </row>
    <row r="14" spans="1:23" ht="20.100000000000001" customHeight="1" x14ac:dyDescent="0.25">
      <c r="A14" s="17" t="str">
        <f>HYPERLINK("#'4.3.1.5 Atmos Deposition'!A1", "4.3.1.5 Atmospheric deposition")</f>
        <v>4.3.1.5 Atmospheric deposition</v>
      </c>
      <c r="D14" s="1" t="s">
        <v>213</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195</v>
      </c>
      <c r="K14" s="2"/>
      <c r="L14" s="2"/>
      <c r="M14" s="2"/>
      <c r="R14" s="40"/>
    </row>
    <row r="15" spans="1:23" ht="20.100000000000001" customHeight="1" x14ac:dyDescent="0.25">
      <c r="A15" s="17" t="str">
        <f>HYPERLINK("#'4.3.1.6-7 Leaching and runoff'!A1", "4.3.1.6-7 Leaching and runoff")</f>
        <v>4.3.1.6-7 Leaching and runoff</v>
      </c>
      <c r="D15" s="1" t="s">
        <v>214</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196</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205</v>
      </c>
      <c r="E17" s="41" t="s">
        <v>173</v>
      </c>
      <c r="F17" s="41" t="s">
        <v>190</v>
      </c>
      <c r="G17" s="41" t="s">
        <v>191</v>
      </c>
      <c r="H17" s="41" t="s">
        <v>192</v>
      </c>
      <c r="I17" s="41" t="s">
        <v>193</v>
      </c>
      <c r="R17" s="7"/>
    </row>
    <row r="18" spans="1:18" ht="20.100000000000001" customHeight="1" x14ac:dyDescent="0.25">
      <c r="A18" s="17" t="str">
        <f>HYPERLINK("#'4.3.1.10-11 Soil Atmos Dep'!A1", "4.3.1.10-11 Soil atm. deposition")</f>
        <v>4.3.1.10-11 Soil atm. deposition</v>
      </c>
      <c r="D18" s="1" t="s">
        <v>213</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195</v>
      </c>
      <c r="K18" s="2"/>
      <c r="L18" s="2"/>
      <c r="M18" s="2"/>
      <c r="R18" s="7"/>
    </row>
    <row r="19" spans="1:18" ht="20.100000000000001" customHeight="1" x14ac:dyDescent="0.25">
      <c r="A19" s="17" t="str">
        <f>HYPERLINK("#'4.3.1.12-13 Soil leach runoff'!A1", "4.3.1.12-13 Soil leach &amp; runoff")</f>
        <v>4.3.1.12-13 Soil leach &amp; runoff</v>
      </c>
      <c r="D19" s="1" t="s">
        <v>214</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196</v>
      </c>
      <c r="K19" s="2"/>
      <c r="L19" s="2"/>
      <c r="M19" s="2"/>
      <c r="R19" s="7"/>
    </row>
    <row r="20" spans="1:18" ht="20.100000000000001" customHeight="1" x14ac:dyDescent="0.25">
      <c r="A20" s="17"/>
      <c r="R20" s="7"/>
    </row>
    <row r="21" spans="1:18" ht="20.100000000000001" customHeight="1" x14ac:dyDescent="0.25">
      <c r="A21" s="18" t="s">
        <v>4</v>
      </c>
      <c r="D21" s="51" t="s">
        <v>106</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206</v>
      </c>
      <c r="E23" s="41" t="s">
        <v>173</v>
      </c>
      <c r="F23" s="41" t="s">
        <v>190</v>
      </c>
      <c r="G23" s="41" t="s">
        <v>191</v>
      </c>
      <c r="H23" s="41" t="s">
        <v>192</v>
      </c>
      <c r="I23" s="41" t="s">
        <v>193</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K25" s="2"/>
      <c r="L25" s="2"/>
      <c r="M25" s="2"/>
      <c r="R25" s="7"/>
    </row>
    <row r="26" spans="1:18" ht="20.100000000000001" customHeight="1" x14ac:dyDescent="0.25">
      <c r="R26" s="7"/>
    </row>
    <row r="27" spans="1:18" ht="20.100000000000001" customHeight="1" x14ac:dyDescent="0.25">
      <c r="D27" s="66" t="s">
        <v>205</v>
      </c>
      <c r="E27" s="41" t="s">
        <v>173</v>
      </c>
      <c r="F27" s="41" t="s">
        <v>190</v>
      </c>
      <c r="G27" s="41" t="s">
        <v>191</v>
      </c>
      <c r="H27" s="41" t="s">
        <v>192</v>
      </c>
      <c r="I27" s="41" t="s">
        <v>193</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211</v>
      </c>
      <c r="R33" s="7"/>
    </row>
    <row r="34" spans="1:18" ht="20.100000000000001" customHeight="1" x14ac:dyDescent="0.25">
      <c r="D34" s="51"/>
      <c r="R34" s="7"/>
    </row>
    <row r="35" spans="1:18" ht="20.100000000000001" customHeight="1" x14ac:dyDescent="0.25">
      <c r="D35" s="66" t="s">
        <v>206</v>
      </c>
      <c r="E35" s="41" t="s">
        <v>173</v>
      </c>
      <c r="F35" s="41" t="s">
        <v>190</v>
      </c>
      <c r="G35" s="41" t="s">
        <v>191</v>
      </c>
      <c r="H35" s="41" t="s">
        <v>192</v>
      </c>
      <c r="I35" s="41" t="s">
        <v>193</v>
      </c>
      <c r="R35" s="7"/>
    </row>
    <row r="36" spans="1:18" ht="20.100000000000001" customHeight="1" x14ac:dyDescent="0.25">
      <c r="D36" s="1" t="s">
        <v>19</v>
      </c>
      <c r="E36" s="55">
        <f>'Constants - Dairy'!$D$160</f>
        <v>0.75</v>
      </c>
      <c r="F36" s="55">
        <f>'Constants - Dairy'!$D$160</f>
        <v>0.75</v>
      </c>
      <c r="G36" s="55">
        <f>'Constants - Dairy'!$D$160</f>
        <v>0.75</v>
      </c>
      <c r="H36" s="55">
        <f>'Constants - Dairy'!$D$160</f>
        <v>0.75</v>
      </c>
      <c r="I36" s="55">
        <f>'Constants - Dairy'!$D$160</f>
        <v>0.75</v>
      </c>
      <c r="J36" s="2" t="s">
        <v>101</v>
      </c>
      <c r="K36" s="2"/>
      <c r="L36" s="2"/>
      <c r="M36" s="2"/>
      <c r="R36" s="7"/>
    </row>
    <row r="37" spans="1:18" ht="20.100000000000001" customHeight="1" x14ac:dyDescent="0.25">
      <c r="D37" s="1" t="s">
        <v>112</v>
      </c>
      <c r="E37" s="55">
        <f>'Constants - Dairy'!$D$153</f>
        <v>0.2</v>
      </c>
      <c r="F37" s="55">
        <f>'Constants - Dairy'!$D$153</f>
        <v>0.2</v>
      </c>
      <c r="G37" s="55">
        <f>'Constants - Dairy'!$D$153</f>
        <v>0.2</v>
      </c>
      <c r="H37" s="55">
        <f>'Constants - Dairy'!$D$153</f>
        <v>0.2</v>
      </c>
      <c r="I37" s="55">
        <f>'Constants - Dairy'!$D$153</f>
        <v>0.2</v>
      </c>
      <c r="J37" s="2" t="s">
        <v>101</v>
      </c>
      <c r="K37" s="2"/>
      <c r="L37" s="2"/>
      <c r="M37" s="2"/>
      <c r="R37" s="7"/>
    </row>
    <row r="38" spans="1:18" ht="20.100000000000001" customHeight="1" x14ac:dyDescent="0.25">
      <c r="L38" s="2"/>
      <c r="M38" s="2"/>
      <c r="R38" s="7"/>
    </row>
    <row r="39" spans="1:18" ht="20.100000000000001" customHeight="1" x14ac:dyDescent="0.25">
      <c r="A39" s="17"/>
      <c r="D39" s="66" t="s">
        <v>205</v>
      </c>
      <c r="E39" s="41" t="s">
        <v>173</v>
      </c>
      <c r="F39" s="41" t="s">
        <v>190</v>
      </c>
      <c r="G39" s="41" t="s">
        <v>191</v>
      </c>
      <c r="H39" s="41" t="s">
        <v>192</v>
      </c>
      <c r="I39" s="41" t="s">
        <v>193</v>
      </c>
      <c r="R39" s="7"/>
    </row>
    <row r="40" spans="1:18" ht="20.100000000000001" customHeight="1" x14ac:dyDescent="0.25">
      <c r="D40" s="1" t="s">
        <v>19</v>
      </c>
      <c r="E40" s="69">
        <v>0.75</v>
      </c>
      <c r="F40" s="69">
        <v>0.75</v>
      </c>
      <c r="G40" s="69">
        <v>0.75</v>
      </c>
      <c r="H40" s="69">
        <v>0.75</v>
      </c>
      <c r="I40" s="69">
        <v>0.75</v>
      </c>
      <c r="J40" s="2" t="s">
        <v>101</v>
      </c>
      <c r="K40" s="2"/>
      <c r="R40" s="7"/>
    </row>
    <row r="41" spans="1:18" ht="20.100000000000001" customHeight="1" x14ac:dyDescent="0.25">
      <c r="A41" s="47"/>
      <c r="D41" s="1" t="s">
        <v>112</v>
      </c>
      <c r="E41" s="69">
        <v>0.2</v>
      </c>
      <c r="F41" s="69">
        <v>0.2</v>
      </c>
      <c r="G41" s="69">
        <v>0.2</v>
      </c>
      <c r="H41" s="69">
        <v>0.2</v>
      </c>
      <c r="I41" s="69">
        <v>0.2</v>
      </c>
      <c r="J41" s="2" t="s">
        <v>101</v>
      </c>
      <c r="K41" s="2"/>
      <c r="L41" s="2"/>
      <c r="M41" s="2"/>
      <c r="R41" s="7"/>
    </row>
    <row r="42" spans="1:18" ht="20.100000000000001" customHeight="1" x14ac:dyDescent="0.25">
      <c r="K42" s="2"/>
      <c r="L42" s="2"/>
      <c r="M42" s="2"/>
      <c r="R42" s="7"/>
    </row>
    <row r="43" spans="1:18" ht="20.100000000000001" customHeight="1" x14ac:dyDescent="0.25">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197</v>
      </c>
      <c r="E47" s="3"/>
      <c r="F47" s="3"/>
      <c r="G47" s="3"/>
      <c r="H47" s="3"/>
      <c r="I47" s="3"/>
      <c r="J47" s="3"/>
      <c r="K47" s="3"/>
      <c r="L47" s="3"/>
      <c r="M47" s="3"/>
      <c r="R47" s="7"/>
    </row>
    <row r="48" spans="1:18" ht="20.100000000000001" customHeight="1" x14ac:dyDescent="0.25">
      <c r="D48" s="23" t="s">
        <v>454</v>
      </c>
      <c r="G48" s="6"/>
      <c r="H48" s="6"/>
      <c r="I48" s="6"/>
      <c r="J48" s="126"/>
      <c r="K48" s="126"/>
      <c r="L48" s="126"/>
      <c r="M48" s="126"/>
      <c r="R48" s="7"/>
    </row>
    <row r="49" spans="3:18" ht="20.100000000000001" customHeight="1" x14ac:dyDescent="0.25">
      <c r="D49" s="1" t="s">
        <v>439</v>
      </c>
      <c r="E49" s="42" t="s">
        <v>452</v>
      </c>
      <c r="F49" s="2" t="s">
        <v>11</v>
      </c>
      <c r="R49" s="7"/>
    </row>
    <row r="50" spans="3:18" ht="20.100000000000001" customHeight="1" x14ac:dyDescent="0.25">
      <c r="R50" s="7"/>
    </row>
    <row r="51" spans="3:18" ht="20.100000000000001" customHeight="1" x14ac:dyDescent="0.25">
      <c r="E51" s="41" t="s">
        <v>173</v>
      </c>
      <c r="R51" s="7"/>
    </row>
    <row r="52" spans="3:18" ht="20.100000000000001" customHeight="1" x14ac:dyDescent="0.25">
      <c r="D52" s="1" t="s">
        <v>198</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440</v>
      </c>
      <c r="E54" s="41" t="s">
        <v>441</v>
      </c>
      <c r="F54" s="41" t="s">
        <v>442</v>
      </c>
      <c r="R54" s="7"/>
    </row>
    <row r="55" spans="3:18" ht="20.100000000000001" customHeight="1" x14ac:dyDescent="0.25">
      <c r="D55" s="1" t="s">
        <v>443</v>
      </c>
      <c r="E55" s="140">
        <f>'Constants - Dairy'!$D$227/100</f>
        <v>0.04</v>
      </c>
      <c r="F55" s="155">
        <f>'Constants - Dairy'!$D$227/100</f>
        <v>0.04</v>
      </c>
      <c r="G55" s="2" t="s">
        <v>444</v>
      </c>
      <c r="R55" s="7"/>
    </row>
    <row r="56" spans="3:18" ht="20.100000000000001" customHeight="1" x14ac:dyDescent="0.25">
      <c r="D56" s="1" t="s">
        <v>445</v>
      </c>
      <c r="E56" s="140">
        <f>'Constants - Dairy'!$D$233/100</f>
        <v>3.3000000000000002E-2</v>
      </c>
      <c r="F56" s="155">
        <f>'Constants - Dairy'!$D$233/100</f>
        <v>3.3000000000000002E-2</v>
      </c>
      <c r="G56" s="2" t="s">
        <v>444</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208</v>
      </c>
      <c r="R60" s="7"/>
    </row>
    <row r="61" spans="3:18" ht="20.100000000000001" customHeight="1" x14ac:dyDescent="0.25">
      <c r="D61" s="51" t="s">
        <v>201</v>
      </c>
      <c r="R61" s="7"/>
    </row>
    <row r="62" spans="3:18" ht="20.100000000000001" customHeight="1" x14ac:dyDescent="0.25">
      <c r="D62" s="1" t="s">
        <v>203</v>
      </c>
      <c r="E62" s="42" t="s">
        <v>210</v>
      </c>
      <c r="F62" s="2" t="s">
        <v>11</v>
      </c>
      <c r="N62" s="3"/>
      <c r="R62" s="7"/>
    </row>
    <row r="63" spans="3:18" ht="20.100000000000001" customHeight="1" x14ac:dyDescent="0.25">
      <c r="N63" s="3"/>
      <c r="R63" s="7"/>
    </row>
    <row r="64" spans="3:18" ht="20.100000000000001" customHeight="1" x14ac:dyDescent="0.25">
      <c r="D64" s="66" t="s">
        <v>206</v>
      </c>
      <c r="E64" s="41" t="s">
        <v>173</v>
      </c>
      <c r="F64" s="41" t="s">
        <v>190</v>
      </c>
      <c r="G64" s="41" t="s">
        <v>191</v>
      </c>
      <c r="H64" s="41" t="s">
        <v>192</v>
      </c>
      <c r="I64" s="41" t="s">
        <v>193</v>
      </c>
      <c r="N64" s="3"/>
      <c r="R64" s="7"/>
    </row>
    <row r="65" spans="3:18" ht="20.100000000000001" customHeight="1" x14ac:dyDescent="0.25">
      <c r="D65" s="1" t="s">
        <v>147</v>
      </c>
      <c r="E65" s="140" cm="1">
        <f t="array" ref="E65">Common_InputFunctions.Utility_LookupValueInTableNumber($E$62, Table_SourceData_Dairy_ProductionSystemTemplates[Area],Table_SourceData_Dairy_ProductionSystemTemplates[Pasture])</f>
        <v>0.53400000000000003</v>
      </c>
      <c r="F65" s="140" cm="1">
        <f t="array" ref="F65">Common_InputFunctions.Utility_LookupValueInTableNumber($E$62, Table_SourceData_Dairy_ProductionSystemTemplates[Area],Table_SourceData_Dairy_ProductionSystemTemplates[Pasture])</f>
        <v>0.53400000000000003</v>
      </c>
      <c r="G65" s="140" cm="1">
        <f t="array" ref="G65">Common_InputFunctions.Utility_LookupValueInTableNumber($E$62, Table_SourceData_Dairy_ProductionSystemTemplates[Area],Table_SourceData_Dairy_ProductionSystemTemplates[Pasture])</f>
        <v>0.53400000000000003</v>
      </c>
      <c r="H65" s="140" cm="1">
        <f t="array" ref="H65">Common_InputFunctions.Utility_LookupValueInTableNumber($E$62, Table_SourceData_Dairy_ProductionSystemTemplates[Area],Table_SourceData_Dairy_ProductionSystemTemplates[Pasture])</f>
        <v>0.53400000000000003</v>
      </c>
      <c r="I65" s="140" cm="1">
        <f t="array" ref="I65">Common_InputFunctions.Utility_LookupValueInTableNumber($E$62, Table_SourceData_Dairy_ProductionSystemTemplates[Area],Table_SourceData_Dairy_ProductionSystemTemplates[Pasture])</f>
        <v>0.53400000000000003</v>
      </c>
      <c r="J65" s="2" t="s">
        <v>20</v>
      </c>
      <c r="K65" s="2"/>
      <c r="L65" s="2"/>
      <c r="M65" s="2"/>
      <c r="N65" s="3"/>
    </row>
    <row r="66" spans="3:18" ht="20.100000000000001" customHeight="1" x14ac:dyDescent="0.25">
      <c r="D66" s="1" t="s">
        <v>187</v>
      </c>
      <c r="E66" s="140" cm="1">
        <f t="array" ref="E66">Common_InputFunctions.Utility_LookupValueInTableNumber($E$62, Table_SourceData_Dairy_ProductionSystemTemplates[Area],Table_SourceData_Dairy_ProductionSystemTemplates[Milking shed])</f>
        <v>0.11</v>
      </c>
      <c r="F66" s="140" cm="1">
        <f t="array" ref="F66">Common_InputFunctions.Utility_LookupValueInTableNumber($E$62, Table_SourceData_Dairy_ProductionSystemTemplates[Area],Table_SourceData_Dairy_ProductionSystemTemplates[Milking shed])</f>
        <v>0.11</v>
      </c>
      <c r="G66" s="140" cm="1">
        <f t="array" ref="G66">Common_InputFunctions.Utility_LookupValueInTableNumber($E$62, Table_SourceData_Dairy_ProductionSystemTemplates[Area],Table_SourceData_Dairy_ProductionSystemTemplates[Milking shed])</f>
        <v>0.11</v>
      </c>
      <c r="H66" s="140" cm="1">
        <f t="array" ref="H66">Common_InputFunctions.Utility_LookupValueInTableNumber($E$62, Table_SourceData_Dairy_ProductionSystemTemplates[Area],Table_SourceData_Dairy_ProductionSystemTemplates[Milking shed])</f>
        <v>0.11</v>
      </c>
      <c r="I66" s="140" cm="1">
        <f t="array" ref="I66">Common_InputFunctions.Utility_LookupValueInTableNumber($E$62, Table_SourceData_Dairy_ProductionSystemTemplates[Area],Table_SourceData_Dairy_ProductionSystemTemplates[Milking shed])</f>
        <v>0.11</v>
      </c>
      <c r="J66" s="2" t="s">
        <v>20</v>
      </c>
      <c r="K66" s="2"/>
      <c r="L66" s="2"/>
      <c r="M66" s="2"/>
      <c r="N66" s="3"/>
    </row>
    <row r="67" spans="3:18" ht="20.100000000000001" customHeight="1" x14ac:dyDescent="0.25">
      <c r="D67" s="1" t="s">
        <v>202</v>
      </c>
      <c r="E67" s="140" cm="1">
        <f t="array" ref="E67">Common_InputFunctions.Utility_LookupValueInTableNumber($E$62, Table_SourceData_Dairy_ProductionSystemTemplates[Area],Table_SourceData_Dairy_ProductionSystemTemplates[Feedpad])</f>
        <v>0.35599999999999998</v>
      </c>
      <c r="F67" s="140" cm="1">
        <f t="array" ref="F67">Common_InputFunctions.Utility_LookupValueInTableNumber($E$62, Table_SourceData_Dairy_ProductionSystemTemplates[Area],Table_SourceData_Dairy_ProductionSystemTemplates[Feedpad])</f>
        <v>0.35599999999999998</v>
      </c>
      <c r="G67" s="140" cm="1">
        <f t="array" ref="G67">Common_InputFunctions.Utility_LookupValueInTableNumber($E$62, Table_SourceData_Dairy_ProductionSystemTemplates[Area],Table_SourceData_Dairy_ProductionSystemTemplates[Feedpad])</f>
        <v>0.35599999999999998</v>
      </c>
      <c r="H67" s="140" cm="1">
        <f t="array" ref="H67">Common_InputFunctions.Utility_LookupValueInTableNumber($E$62, Table_SourceData_Dairy_ProductionSystemTemplates[Area],Table_SourceData_Dairy_ProductionSystemTemplates[Feedpad])</f>
        <v>0.35599999999999998</v>
      </c>
      <c r="I67" s="140" cm="1">
        <f t="array" ref="I67">Common_InputFunctions.Utility_LookupValueInTableNumber($E$62, Table_SourceData_Dairy_ProductionSystemTemplates[Area],Table_SourceData_Dairy_ProductionSystemTemplates[Feedpad])</f>
        <v>0.35599999999999998</v>
      </c>
      <c r="J67" s="2" t="s">
        <v>20</v>
      </c>
      <c r="K67" s="2"/>
      <c r="L67" s="2"/>
      <c r="M67" s="2"/>
      <c r="N67" s="3"/>
    </row>
    <row r="68" spans="3:18" ht="20.100000000000001" customHeight="1" x14ac:dyDescent="0.25">
      <c r="N68" s="3"/>
    </row>
    <row r="69" spans="3:18" ht="20.100000000000001" customHeight="1" x14ac:dyDescent="0.25">
      <c r="D69" s="66" t="s">
        <v>205</v>
      </c>
      <c r="E69" s="41" t="s">
        <v>173</v>
      </c>
      <c r="F69" s="41" t="s">
        <v>190</v>
      </c>
      <c r="G69" s="41" t="s">
        <v>191</v>
      </c>
      <c r="H69" s="41" t="s">
        <v>192</v>
      </c>
      <c r="I69" s="41" t="s">
        <v>193</v>
      </c>
      <c r="N69" s="3"/>
    </row>
    <row r="70" spans="3:18" ht="20.100000000000001" customHeight="1" x14ac:dyDescent="0.25">
      <c r="D70" s="1" t="s">
        <v>147</v>
      </c>
      <c r="E70" s="139" cm="1">
        <f t="array" ref="E70">Common_InputFunctions.Utility_LookupValueInTableNumber($E$62, Table_SourceData_Dairy_ProductionSystemTemplates[Area],Table_SourceData_Dairy_ProductionSystemTemplates[Pasture])</f>
        <v>0.53400000000000003</v>
      </c>
      <c r="F70" s="139" cm="1">
        <f t="array" ref="F70">Common_InputFunctions.Utility_LookupValueInTableNumber($E$62, Table_SourceData_Dairy_ProductionSystemTemplates[Area],Table_SourceData_Dairy_ProductionSystemTemplates[Pasture])</f>
        <v>0.53400000000000003</v>
      </c>
      <c r="G70" s="139" cm="1">
        <f t="array" ref="G70">Common_InputFunctions.Utility_LookupValueInTableNumber($E$62, Table_SourceData_Dairy_ProductionSystemTemplates[Area],Table_SourceData_Dairy_ProductionSystemTemplates[Pasture])</f>
        <v>0.53400000000000003</v>
      </c>
      <c r="H70" s="139" cm="1">
        <f t="array" ref="H70">Common_InputFunctions.Utility_LookupValueInTableNumber($E$62, Table_SourceData_Dairy_ProductionSystemTemplates[Area],Table_SourceData_Dairy_ProductionSystemTemplates[Pasture])</f>
        <v>0.53400000000000003</v>
      </c>
      <c r="I70" s="139" cm="1">
        <f t="array" ref="I70">Common_InputFunctions.Utility_LookupValueInTableNumber($E$62, Table_SourceData_Dairy_ProductionSystemTemplates[Area],Table_SourceData_Dairy_ProductionSystemTemplates[Pasture])</f>
        <v>0.53400000000000003</v>
      </c>
      <c r="J70" s="2" t="s">
        <v>20</v>
      </c>
      <c r="K70" s="2"/>
      <c r="L70" s="2"/>
      <c r="M70" s="2"/>
      <c r="N70" s="3"/>
    </row>
    <row r="71" spans="3:18" ht="20.100000000000001" customHeight="1" x14ac:dyDescent="0.25">
      <c r="D71" s="1" t="s">
        <v>187</v>
      </c>
      <c r="E71" s="139" cm="1">
        <f t="array" ref="E71">Common_InputFunctions.Utility_LookupValueInTableNumber($E$62, Table_SourceData_Dairy_ProductionSystemTemplates[Area],Table_SourceData_Dairy_ProductionSystemTemplates[Milking shed])</f>
        <v>0.11</v>
      </c>
      <c r="F71" s="139" cm="1">
        <f t="array" ref="F71">Common_InputFunctions.Utility_LookupValueInTableNumber($E$62, Table_SourceData_Dairy_ProductionSystemTemplates[Area],Table_SourceData_Dairy_ProductionSystemTemplates[Milking shed])</f>
        <v>0.11</v>
      </c>
      <c r="G71" s="139" cm="1">
        <f t="array" ref="G71">Common_InputFunctions.Utility_LookupValueInTableNumber($E$62, Table_SourceData_Dairy_ProductionSystemTemplates[Area],Table_SourceData_Dairy_ProductionSystemTemplates[Milking shed])</f>
        <v>0.11</v>
      </c>
      <c r="H71" s="139" cm="1">
        <f t="array" ref="H71">Common_InputFunctions.Utility_LookupValueInTableNumber($E$62, Table_SourceData_Dairy_ProductionSystemTemplates[Area],Table_SourceData_Dairy_ProductionSystemTemplates[Milking shed])</f>
        <v>0.11</v>
      </c>
      <c r="I71" s="139" cm="1">
        <f t="array" ref="I71">Common_InputFunctions.Utility_LookupValueInTableNumber($E$62, Table_SourceData_Dairy_ProductionSystemTemplates[Area],Table_SourceData_Dairy_ProductionSystemTemplates[Milking shed])</f>
        <v>0.11</v>
      </c>
      <c r="J71" s="2" t="s">
        <v>20</v>
      </c>
      <c r="K71" s="2"/>
      <c r="L71" s="2"/>
      <c r="M71" s="2"/>
      <c r="N71" s="3"/>
    </row>
    <row r="72" spans="3:18" ht="20.100000000000001" customHeight="1" x14ac:dyDescent="0.25">
      <c r="D72" s="1" t="s">
        <v>202</v>
      </c>
      <c r="E72" s="139" cm="1">
        <f t="array" ref="E72">Common_InputFunctions.Utility_LookupValueInTableNumber($E$62, Table_SourceData_Dairy_ProductionSystemTemplates[Area],Table_SourceData_Dairy_ProductionSystemTemplates[Feedpad])</f>
        <v>0.35599999999999998</v>
      </c>
      <c r="F72" s="139" cm="1">
        <f t="array" ref="F72">Common_InputFunctions.Utility_LookupValueInTableNumber($E$62, Table_SourceData_Dairy_ProductionSystemTemplates[Area],Table_SourceData_Dairy_ProductionSystemTemplates[Feedpad])</f>
        <v>0.35599999999999998</v>
      </c>
      <c r="G72" s="139" cm="1">
        <f t="array" ref="G72">Common_InputFunctions.Utility_LookupValueInTableNumber($E$62, Table_SourceData_Dairy_ProductionSystemTemplates[Area],Table_SourceData_Dairy_ProductionSystemTemplates[Feedpad])</f>
        <v>0.35599999999999998</v>
      </c>
      <c r="H72" s="139" cm="1">
        <f t="array" ref="H72">Common_InputFunctions.Utility_LookupValueInTableNumber($E$62, Table_SourceData_Dairy_ProductionSystemTemplates[Area],Table_SourceData_Dairy_ProductionSystemTemplates[Feedpad])</f>
        <v>0.35599999999999998</v>
      </c>
      <c r="I72" s="139" cm="1">
        <f t="array" ref="I72">Common_InputFunctions.Utility_LookupValueInTableNumber($E$62, Table_SourceData_Dairy_ProductionSystemTemplates[Area],Table_SourceData_Dairy_ProductionSystemTemplates[Feedpad])</f>
        <v>0.35599999999999998</v>
      </c>
      <c r="J72" s="2" t="s">
        <v>20</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1"/>
    </row>
    <row r="76" spans="3:18" ht="20.100000000000001" customHeight="1" x14ac:dyDescent="0.25">
      <c r="D76" s="6" t="s">
        <v>104</v>
      </c>
      <c r="F76" s="127"/>
      <c r="N76" s="3"/>
    </row>
    <row r="77" spans="3:18" ht="20.100000000000001" customHeight="1" x14ac:dyDescent="0.25">
      <c r="D77" s="51" t="str">
        <f>"From " &amp; $D$66</f>
        <v>From Milking shed</v>
      </c>
      <c r="N77" s="3"/>
    </row>
    <row r="78" spans="3:18" ht="20.100000000000001" customHeight="1" x14ac:dyDescent="0.25">
      <c r="N78" s="3"/>
    </row>
    <row r="79" spans="3:18" ht="20.100000000000001" customHeight="1" x14ac:dyDescent="0.25">
      <c r="D79" s="148" t="s">
        <v>103</v>
      </c>
      <c r="E79" s="41" t="s">
        <v>173</v>
      </c>
      <c r="F79" s="41" t="s">
        <v>190</v>
      </c>
      <c r="G79" s="41" t="s">
        <v>191</v>
      </c>
      <c r="H79" s="41" t="s">
        <v>192</v>
      </c>
      <c r="I79" s="41" t="s">
        <v>193</v>
      </c>
      <c r="J79" s="146" t="s">
        <v>429</v>
      </c>
      <c r="K79" s="66" t="s">
        <v>428</v>
      </c>
      <c r="L79" s="66"/>
      <c r="M79" s="41"/>
      <c r="N79" s="3"/>
    </row>
    <row r="80" spans="3:18" ht="20.100000000000001" customHeight="1" x14ac:dyDescent="0.25">
      <c r="K80" s="121" t="s">
        <v>430</v>
      </c>
      <c r="L80" s="121" t="s">
        <v>431</v>
      </c>
      <c r="M80" s="121" t="s">
        <v>432</v>
      </c>
      <c r="N80" s="3"/>
      <c r="R80" s="7"/>
    </row>
    <row r="81" spans="4:18" ht="20.100000000000001" customHeight="1" x14ac:dyDescent="0.25">
      <c r="D81" s="149" t="str">
        <f>'Constants - Dairy'!$D$8</f>
        <v>Anaerobic lagoon</v>
      </c>
      <c r="E81" s="49">
        <v>0.25</v>
      </c>
      <c r="F81" s="49">
        <v>0.25</v>
      </c>
      <c r="G81" s="49">
        <v>0.25</v>
      </c>
      <c r="H81" s="49">
        <v>0.25</v>
      </c>
      <c r="I81" s="49">
        <v>0.25</v>
      </c>
      <c r="J81" s="2" t="s">
        <v>20</v>
      </c>
      <c r="K81" s="49">
        <v>0.25</v>
      </c>
      <c r="L81" s="49">
        <v>0.25</v>
      </c>
      <c r="M81" s="101">
        <f>1-SUM(K81:L81)</f>
        <v>0.5</v>
      </c>
      <c r="N81" s="3"/>
      <c r="R81" s="7"/>
    </row>
    <row r="82" spans="4:18" ht="20.100000000000001" customHeight="1" x14ac:dyDescent="0.25">
      <c r="D82" s="156" t="str">
        <f>"Were solids separated from " &amp; D81 &amp; "?"</f>
        <v>Were solids separated from Anaerobic lagoon?</v>
      </c>
      <c r="E82" s="42" t="s">
        <v>207</v>
      </c>
      <c r="N82" s="3"/>
      <c r="R82" s="7"/>
    </row>
    <row r="83" spans="4:18" ht="20.100000000000001" customHeight="1" x14ac:dyDescent="0.25">
      <c r="D83" s="156" t="str">
        <f>"Percent solids separated from " &amp; D81 &amp; " (Method 1)"</f>
        <v>Percent solids separated from Anaerobic lagoon (Method 1)</v>
      </c>
      <c r="E83" s="101">
        <f>IF(E82="Yes", 20%, 0)</f>
        <v>0.2</v>
      </c>
      <c r="N83" s="3"/>
      <c r="R83" s="7"/>
    </row>
    <row r="84" spans="4:18" ht="20.100000000000001" customHeight="1" x14ac:dyDescent="0.25">
      <c r="D84" s="156" t="str">
        <f>"Percent solids separated from " &amp; D81 &amp; " (Method 2)"</f>
        <v>Percent solids separated from Anaerobic lagoon (Method 2)</v>
      </c>
      <c r="E84" s="49">
        <v>0.2</v>
      </c>
      <c r="N84" s="3"/>
      <c r="R84" s="7"/>
    </row>
    <row r="85" spans="4:18" ht="20.100000000000001" customHeight="1" x14ac:dyDescent="0.25">
      <c r="R85" s="7"/>
    </row>
    <row r="86" spans="4:18" ht="20.100000000000001" customHeight="1" x14ac:dyDescent="0.25">
      <c r="D86" s="149" t="str">
        <f>'Constants - Dairy'!$D$9</f>
        <v>Sump and dispersal system</v>
      </c>
      <c r="E86" s="49">
        <v>0.25</v>
      </c>
      <c r="F86" s="49">
        <v>0.25</v>
      </c>
      <c r="G86" s="49">
        <v>0.25</v>
      </c>
      <c r="H86" s="49">
        <v>0.25</v>
      </c>
      <c r="I86" s="49">
        <v>0.25</v>
      </c>
      <c r="J86" s="2" t="s">
        <v>20</v>
      </c>
      <c r="K86" s="49">
        <v>0.25</v>
      </c>
      <c r="L86" s="49">
        <v>0.25</v>
      </c>
      <c r="M86" s="101">
        <f t="shared" ref="M86" si="1">1-SUM(K86:L86)</f>
        <v>0.5</v>
      </c>
      <c r="R86" s="7"/>
    </row>
    <row r="87" spans="4:18" ht="20.100000000000001" customHeight="1" x14ac:dyDescent="0.25">
      <c r="D87" s="156" t="str">
        <f>"Were solids separated from " &amp; D86 &amp; "?"</f>
        <v>Were solids separated from Sump and dispersal system?</v>
      </c>
      <c r="E87" s="42" t="s">
        <v>207</v>
      </c>
      <c r="R87" s="7"/>
    </row>
    <row r="88" spans="4:18" ht="20.100000000000001" customHeight="1" x14ac:dyDescent="0.25">
      <c r="D88" s="156" t="str">
        <f>"Percent solids separated from " &amp; D86 &amp; " (Method 1)"</f>
        <v>Percent solids separated from Sump and dispersal system (Method 1)</v>
      </c>
      <c r="E88" s="101">
        <f>IF(E87="Yes", 20%, 0)</f>
        <v>0.2</v>
      </c>
      <c r="R88" s="7"/>
    </row>
    <row r="89" spans="4:18" ht="20.100000000000001" customHeight="1" x14ac:dyDescent="0.25">
      <c r="D89" s="156" t="str">
        <f>"Percent solids separated from " &amp; D86 &amp; " (Method 2)"</f>
        <v>Percent solids separated from Sump and dispersal system (Method 2)</v>
      </c>
      <c r="E89" s="49">
        <v>0.2</v>
      </c>
      <c r="R89" s="7"/>
    </row>
    <row r="90" spans="4:18" ht="20.100000000000001" customHeight="1" x14ac:dyDescent="0.25">
      <c r="R90" s="7"/>
    </row>
    <row r="91" spans="4:18" ht="20.100000000000001" customHeight="1" x14ac:dyDescent="0.25">
      <c r="D91" s="149" t="str">
        <f>'Constants - Dairy'!$D$10</f>
        <v>Drains to paddock</v>
      </c>
      <c r="E91" s="49">
        <v>0.25</v>
      </c>
      <c r="F91" s="49">
        <v>0.25</v>
      </c>
      <c r="G91" s="49">
        <v>0.25</v>
      </c>
      <c r="H91" s="49">
        <v>0.25</v>
      </c>
      <c r="I91" s="49">
        <v>0.25</v>
      </c>
      <c r="J91" s="2" t="s">
        <v>20</v>
      </c>
      <c r="K91" s="49">
        <v>0.25</v>
      </c>
      <c r="L91" s="49">
        <v>0.25</v>
      </c>
      <c r="M91" s="101">
        <f>1-SUM(K91:L91)</f>
        <v>0.5</v>
      </c>
      <c r="R91" s="7"/>
    </row>
    <row r="92" spans="4:18" ht="20.100000000000001" customHeight="1" x14ac:dyDescent="0.25">
      <c r="D92" s="156" t="str">
        <f>"Were solids separated from " &amp; D91 &amp; "?"</f>
        <v>Were solids separated from Drains to paddock?</v>
      </c>
      <c r="E92" s="42" t="s">
        <v>207</v>
      </c>
      <c r="R92" s="7"/>
    </row>
    <row r="93" spans="4:18" ht="20.100000000000001" customHeight="1" x14ac:dyDescent="0.25">
      <c r="D93" s="156" t="str">
        <f>"Percent solids separated from " &amp; D91 &amp; " (Method 1)"</f>
        <v>Percent solids separated from Drains to paddock (Method 1)</v>
      </c>
      <c r="E93" s="101">
        <f>IF(E92="Yes", 20%, 0)</f>
        <v>0.2</v>
      </c>
      <c r="R93" s="7"/>
    </row>
    <row r="94" spans="4:18" ht="20.100000000000001" customHeight="1" x14ac:dyDescent="0.25">
      <c r="D94" s="156" t="str">
        <f>"Percent solids separated from " &amp; D91 &amp; " (Method 2)"</f>
        <v>Percent solids separated from Drains to paddock (Method 2)</v>
      </c>
      <c r="E94" s="49">
        <v>0.2</v>
      </c>
      <c r="R94" s="7"/>
    </row>
    <row r="95" spans="4:18" ht="20.100000000000001" customHeight="1" x14ac:dyDescent="0.25">
      <c r="R95" s="7"/>
    </row>
    <row r="96" spans="4:18" ht="20.100000000000001" customHeight="1" x14ac:dyDescent="0.25">
      <c r="D96" s="149" t="str">
        <f>'Constants - Dairy'!$D$11 &amp; " (before solid separation)"</f>
        <v>Solid storage (before solid separation)</v>
      </c>
      <c r="E96" s="49">
        <v>0.25</v>
      </c>
      <c r="F96" s="49">
        <v>0.25</v>
      </c>
      <c r="G96" s="49">
        <v>0.25</v>
      </c>
      <c r="H96" s="49">
        <v>0.25</v>
      </c>
      <c r="I96" s="49">
        <v>0.25</v>
      </c>
      <c r="J96" s="2" t="s">
        <v>20</v>
      </c>
      <c r="K96" s="49">
        <v>0.25</v>
      </c>
      <c r="L96" s="49">
        <v>0.25</v>
      </c>
      <c r="M96" s="101">
        <f t="shared" ref="M96" si="2">1-SUM(K96:L96)</f>
        <v>0.5</v>
      </c>
      <c r="R96" s="7"/>
    </row>
    <row r="97" spans="4:18" ht="20.100000000000001" customHeight="1" x14ac:dyDescent="0.25">
      <c r="D97" s="150" t="s">
        <v>435</v>
      </c>
      <c r="E97" s="101">
        <f>E96+(E81*$E83)+(E86*$E88)+(E91*$E93)</f>
        <v>0.39999999999999997</v>
      </c>
      <c r="F97" s="101">
        <f>F96+(F81*$E83)+(F86*$E88)+(F91*$E93)</f>
        <v>0.39999999999999997</v>
      </c>
      <c r="G97" s="101">
        <f>G96+(G81*$E83)+(G86*$E88)+(G91*$E93)</f>
        <v>0.39999999999999997</v>
      </c>
      <c r="H97" s="101">
        <f>H96+(H81*$E83)+(H86*$E88)+(H91*$E93)</f>
        <v>0.39999999999999997</v>
      </c>
      <c r="I97" s="101">
        <f>I96+(I81*$E83)+(I86*$E88)+(I91*$E93)</f>
        <v>0.39999999999999997</v>
      </c>
      <c r="J97" s="2" t="s">
        <v>20</v>
      </c>
      <c r="K97" s="2"/>
      <c r="L97" s="2"/>
      <c r="M97" s="2"/>
      <c r="R97" s="7"/>
    </row>
    <row r="98" spans="4:18" ht="20.100000000000001" customHeight="1" x14ac:dyDescent="0.25">
      <c r="D98" s="150" t="s">
        <v>436</v>
      </c>
      <c r="E98" s="101">
        <f>E96+(E81*$E84)+(E86*$E89)+(E91*$E94)</f>
        <v>0.39999999999999997</v>
      </c>
      <c r="F98" s="101">
        <f>F96+(F81*$E84)+(F86*$E89)+(F91*$E94)</f>
        <v>0.39999999999999997</v>
      </c>
      <c r="G98" s="101">
        <f>G96+(G81*$E84)+(G86*$E89)+(G91*$E94)</f>
        <v>0.39999999999999997</v>
      </c>
      <c r="H98" s="101">
        <f>H96+(H81*$E84)+(H86*$E89)+(H91*$E94)</f>
        <v>0.39999999999999997</v>
      </c>
      <c r="I98" s="101">
        <f>I96+(I81*$E84)+(I86*$E89)+(I91*$E94)</f>
        <v>0.39999999999999997</v>
      </c>
      <c r="J98" s="2" t="s">
        <v>20</v>
      </c>
      <c r="R98" s="7"/>
    </row>
    <row r="99" spans="4:18" ht="20.100000000000001" customHeight="1" x14ac:dyDescent="0.25">
      <c r="F99" s="2"/>
      <c r="R99" s="7"/>
    </row>
    <row r="100" spans="4:18" ht="20.100000000000001" customHeight="1" x14ac:dyDescent="0.25">
      <c r="F100" s="147"/>
      <c r="R100" s="7"/>
    </row>
    <row r="101" spans="4:18" ht="20.100000000000001" customHeight="1" x14ac:dyDescent="0.25">
      <c r="D101" s="51" t="str">
        <f>"From " &amp; $D$67</f>
        <v>From Feed pad</v>
      </c>
      <c r="R101" s="7"/>
    </row>
    <row r="102" spans="4:18" ht="20.100000000000001" customHeight="1" x14ac:dyDescent="0.25">
      <c r="R102" s="7"/>
    </row>
    <row r="103" spans="4:18" ht="20.100000000000001" customHeight="1" x14ac:dyDescent="0.25">
      <c r="D103" s="148" t="s">
        <v>103</v>
      </c>
      <c r="E103" s="41" t="s">
        <v>173</v>
      </c>
      <c r="F103" s="41" t="s">
        <v>190</v>
      </c>
      <c r="G103" s="41" t="s">
        <v>191</v>
      </c>
      <c r="H103" s="41" t="s">
        <v>192</v>
      </c>
      <c r="I103" s="41" t="s">
        <v>193</v>
      </c>
      <c r="J103" s="146" t="s">
        <v>429</v>
      </c>
      <c r="K103" s="66" t="s">
        <v>428</v>
      </c>
      <c r="L103" s="66"/>
      <c r="M103" s="41"/>
      <c r="R103" s="7"/>
    </row>
    <row r="104" spans="4:18" ht="20.100000000000001" customHeight="1" x14ac:dyDescent="0.25">
      <c r="D104" s="150"/>
      <c r="K104" s="121" t="s">
        <v>430</v>
      </c>
      <c r="L104" s="121" t="s">
        <v>431</v>
      </c>
      <c r="M104" s="121" t="s">
        <v>432</v>
      </c>
      <c r="R104" s="7"/>
    </row>
    <row r="105" spans="4:18" ht="20.100000000000001" customHeight="1" x14ac:dyDescent="0.25">
      <c r="D105" s="149" t="str">
        <f>'Constants - Dairy'!$D$8</f>
        <v>Anaerobic lagoon</v>
      </c>
      <c r="E105" s="49">
        <v>0.25</v>
      </c>
      <c r="F105" s="49">
        <v>0.25</v>
      </c>
      <c r="G105" s="49">
        <v>0.25</v>
      </c>
      <c r="H105" s="49">
        <v>0.25</v>
      </c>
      <c r="I105" s="49">
        <v>0.25</v>
      </c>
      <c r="J105" s="2" t="s">
        <v>20</v>
      </c>
      <c r="K105" s="49">
        <v>0.25</v>
      </c>
      <c r="L105" s="49">
        <v>0.25</v>
      </c>
      <c r="M105" s="101">
        <f>1-SUM(K105:L105)</f>
        <v>0.5</v>
      </c>
      <c r="R105" s="7"/>
    </row>
    <row r="106" spans="4:18" ht="20.100000000000001" customHeight="1" x14ac:dyDescent="0.25">
      <c r="D106" s="156" t="str">
        <f>"Were solids separated from " &amp; D105 &amp; "?"</f>
        <v>Were solids separated from Anaerobic lagoon?</v>
      </c>
      <c r="E106" s="42" t="s">
        <v>209</v>
      </c>
      <c r="R106" s="7"/>
    </row>
    <row r="107" spans="4:18" ht="20.100000000000001" customHeight="1" x14ac:dyDescent="0.25">
      <c r="D107" s="156" t="str">
        <f>"Percent solids separated from " &amp; D105 &amp; " (Method 1)"</f>
        <v>Percent solids separated from Anaerobic lagoon (Method 1)</v>
      </c>
      <c r="E107" s="101">
        <f>IF(E106="Yes", 20%, 0)</f>
        <v>0</v>
      </c>
    </row>
    <row r="108" spans="4:18" ht="20.100000000000001" customHeight="1" x14ac:dyDescent="0.25">
      <c r="D108" s="156" t="str">
        <f>"Percent solids separated from " &amp; D105 &amp; " (Method 2)"</f>
        <v>Percent solids separated from Anaerobic lagoon (Method 2)</v>
      </c>
      <c r="E108" s="49">
        <f>IF(E106="Yes", 20%, 0)</f>
        <v>0</v>
      </c>
    </row>
    <row r="109" spans="4:18" ht="20.100000000000001" customHeight="1" x14ac:dyDescent="0.25"/>
    <row r="110" spans="4:18" ht="20.100000000000001" customHeight="1" x14ac:dyDescent="0.25">
      <c r="D110" s="149" t="str">
        <f>'Constants - Dairy'!$D$9</f>
        <v>Sump and dispersal system</v>
      </c>
      <c r="E110" s="49">
        <v>0.25</v>
      </c>
      <c r="F110" s="49">
        <v>0.25</v>
      </c>
      <c r="G110" s="49">
        <v>0.25</v>
      </c>
      <c r="H110" s="49">
        <v>0.25</v>
      </c>
      <c r="I110" s="49">
        <v>0.25</v>
      </c>
      <c r="J110" s="2" t="s">
        <v>20</v>
      </c>
      <c r="K110" s="49">
        <v>0.25</v>
      </c>
      <c r="L110" s="49">
        <v>0.25</v>
      </c>
      <c r="M110" s="101">
        <f t="shared" ref="M110" si="3">1-SUM(K110:L110)</f>
        <v>0.5</v>
      </c>
    </row>
    <row r="111" spans="4:18" ht="20.100000000000001" customHeight="1" x14ac:dyDescent="0.25">
      <c r="D111" s="156" t="str">
        <f>"Were solids separated from " &amp; D110 &amp; "?"</f>
        <v>Were solids separated from Sump and dispersal system?</v>
      </c>
      <c r="E111" s="42" t="s">
        <v>207</v>
      </c>
    </row>
    <row r="112" spans="4:18" ht="20.100000000000001" customHeight="1" x14ac:dyDescent="0.25">
      <c r="D112" s="156" t="str">
        <f>"Percent solids separated from " &amp; D110 &amp; " (Method 1)"</f>
        <v>Percent solids separated from Sump and dispersal system (Method 1)</v>
      </c>
      <c r="E112" s="101">
        <f>IF(E111="Yes", 20%, 0)</f>
        <v>0.2</v>
      </c>
    </row>
    <row r="113" spans="4:13" ht="20.100000000000001" customHeight="1" x14ac:dyDescent="0.25">
      <c r="D113" s="156" t="str">
        <f>"Percent solids separated from " &amp; D110 &amp; " (Method 2)"</f>
        <v>Percent solids separated from Sump and dispersal system (Method 2)</v>
      </c>
      <c r="E113" s="49">
        <f>IF(E111="Yes", 20%, 0)</f>
        <v>0.2</v>
      </c>
    </row>
    <row r="114" spans="4:13" ht="20.100000000000001" customHeight="1" x14ac:dyDescent="0.25"/>
    <row r="115" spans="4:13" ht="20.100000000000001" customHeight="1" x14ac:dyDescent="0.25">
      <c r="D115" s="149" t="str">
        <f>'Constants - Dairy'!$D$10</f>
        <v>Drains to paddock</v>
      </c>
      <c r="E115" s="49">
        <v>0.25</v>
      </c>
      <c r="F115" s="49">
        <v>0.25</v>
      </c>
      <c r="G115" s="49">
        <v>0.25</v>
      </c>
      <c r="H115" s="49">
        <v>0.25</v>
      </c>
      <c r="I115" s="49">
        <v>0.25</v>
      </c>
      <c r="J115" s="2" t="s">
        <v>20</v>
      </c>
      <c r="K115" s="49">
        <v>0.25</v>
      </c>
      <c r="L115" s="49">
        <v>0.25</v>
      </c>
      <c r="M115" s="101">
        <f>1-SUM(K115:L115)</f>
        <v>0.5</v>
      </c>
    </row>
    <row r="116" spans="4:13" ht="20.100000000000001" customHeight="1" x14ac:dyDescent="0.25">
      <c r="D116" s="156" t="str">
        <f>"Were solids separated from " &amp; D115 &amp; "?"</f>
        <v>Were solids separated from Drains to paddock?</v>
      </c>
      <c r="E116" s="42" t="s">
        <v>207</v>
      </c>
    </row>
    <row r="117" spans="4:13" ht="20.100000000000001" customHeight="1" x14ac:dyDescent="0.25">
      <c r="D117" s="156" t="str">
        <f>"Percent solids separated from " &amp; D115 &amp; " (Method 1)"</f>
        <v>Percent solids separated from Drains to paddock (Method 1)</v>
      </c>
      <c r="E117" s="101">
        <f>IF(E116="Yes", 20%, 0)</f>
        <v>0.2</v>
      </c>
    </row>
    <row r="118" spans="4:13" ht="20.100000000000001" customHeight="1" x14ac:dyDescent="0.25">
      <c r="D118" s="156" t="str">
        <f>"Percent solids separated from " &amp; D115 &amp; " (Method 2)"</f>
        <v>Percent solids separated from Drains to paddock (Method 2)</v>
      </c>
      <c r="E118" s="49">
        <f>IF(E116="Yes", 20%, 0)</f>
        <v>0.2</v>
      </c>
    </row>
    <row r="119" spans="4:13" ht="20.100000000000001" customHeight="1" x14ac:dyDescent="0.25"/>
    <row r="120" spans="4:13" ht="20.100000000000001" customHeight="1" x14ac:dyDescent="0.25">
      <c r="D120" s="149" t="str">
        <f>'Constants - Dairy'!$D$11 &amp; " (before solid separation)"</f>
        <v>Solid storage (before solid separation)</v>
      </c>
      <c r="E120" s="49">
        <v>0.25</v>
      </c>
      <c r="F120" s="49">
        <v>0.25</v>
      </c>
      <c r="G120" s="49">
        <v>0.25</v>
      </c>
      <c r="H120" s="49">
        <v>0.25</v>
      </c>
      <c r="I120" s="49">
        <v>0.25</v>
      </c>
      <c r="J120" s="2" t="s">
        <v>20</v>
      </c>
      <c r="K120" s="49">
        <v>0.25</v>
      </c>
      <c r="L120" s="49">
        <v>0.25</v>
      </c>
      <c r="M120" s="101">
        <f>1-SUM(K120:L120)</f>
        <v>0.5</v>
      </c>
    </row>
    <row r="121" spans="4:13" ht="20.100000000000001" customHeight="1" x14ac:dyDescent="0.25">
      <c r="D121" s="150" t="s">
        <v>435</v>
      </c>
      <c r="E121" s="101">
        <f>E120+(E105*$E107)+(E110*$E112)+(E115*$E117)</f>
        <v>0.35</v>
      </c>
      <c r="F121" s="101">
        <f>F120+(F105*$E107)+(F110*$E112)+(F115*$E117)</f>
        <v>0.35</v>
      </c>
      <c r="G121" s="101">
        <f>G120+(G105*$E107)+(G110*$E112)+(G115*$E117)</f>
        <v>0.35</v>
      </c>
      <c r="H121" s="101">
        <f>H120+(H105*$E107)+(H110*$E112)+(H115*$E117)</f>
        <v>0.35</v>
      </c>
      <c r="I121" s="101">
        <f>I120+(I105*$E107)+(I110*$E112)+(I115*$E117)</f>
        <v>0.35</v>
      </c>
      <c r="J121" s="2" t="s">
        <v>20</v>
      </c>
      <c r="K121" s="2"/>
      <c r="L121" s="2"/>
      <c r="M121" s="2"/>
    </row>
    <row r="122" spans="4:13" ht="20.100000000000001" customHeight="1" x14ac:dyDescent="0.25">
      <c r="D122" s="150" t="s">
        <v>436</v>
      </c>
      <c r="E122" s="101">
        <f>E120+(E105*$E108)+(E110*$E113)+(E115*$E118)</f>
        <v>0.35</v>
      </c>
      <c r="F122" s="101">
        <f>F120+(F105*$E108)+(F110*$E113)+(F115*$E118)</f>
        <v>0.35</v>
      </c>
      <c r="G122" s="101">
        <f>G120+(G105*$E108)+(G110*$E113)+(G115*$E118)</f>
        <v>0.35</v>
      </c>
      <c r="H122" s="101">
        <f>H120+(H105*$E108)+(H110*$E113)+(H115*$E118)</f>
        <v>0.35</v>
      </c>
      <c r="I122" s="101">
        <f>I120+(I105*$E108)+(I110*$E113)+(I115*$E118)</f>
        <v>0.35</v>
      </c>
      <c r="J122" s="2" t="s">
        <v>20</v>
      </c>
    </row>
    <row r="123" spans="4:13" ht="20.100000000000001" customHeight="1" x14ac:dyDescent="0.25"/>
    <row r="124" spans="4:13" ht="20.100000000000001" customHeight="1" x14ac:dyDescent="0.25"/>
    <row r="125" spans="4:13" ht="20.100000000000001" customHeight="1" x14ac:dyDescent="0.25">
      <c r="D125" s="1" t="s">
        <v>142</v>
      </c>
      <c r="E125" s="42" t="s">
        <v>147</v>
      </c>
      <c r="F125" s="2" t="s">
        <v>11</v>
      </c>
    </row>
    <row r="126" spans="4:13" ht="20.100000000000001" customHeight="1" x14ac:dyDescent="0.25">
      <c r="E126" s="42" t="s">
        <v>152</v>
      </c>
      <c r="F126" s="2" t="s">
        <v>11</v>
      </c>
      <c r="K126" s="2"/>
      <c r="L126" s="2"/>
      <c r="M126" s="2"/>
    </row>
    <row r="127" spans="4:13" ht="20.100000000000001" customHeight="1" x14ac:dyDescent="0.25"/>
    <row r="128" spans="4: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1 J86 F91 J91 F96 J96:J98 K97:M97 F102 J105 J110 J115 J120:J122 K121:M121 K126:M126 L36:M38 E36:K37 L41:M43 K40:K42 E40:J41">
    <cfRule type="cellIs" dxfId="5" priority="30" operator="lessThan">
      <formula>0</formula>
    </cfRule>
  </conditionalFormatting>
  <conditionalFormatting sqref="E14:M15">
    <cfRule type="cellIs" dxfId="4" priority="2" operator="lessThan">
      <formula>0</formula>
    </cfRule>
  </conditionalFormatting>
  <conditionalFormatting sqref="E18:M19">
    <cfRule type="cellIs" dxfId="3" priority="1" operator="lessThan">
      <formula>0</formula>
    </cfRule>
  </conditionalFormatting>
  <conditionalFormatting sqref="F99">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58" zoomScale="85" zoomScaleNormal="85" workbookViewId="0">
      <selection activeCell="I303" sqref="I30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281</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28</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78</v>
      </c>
      <c r="D11" s="56" t="s">
        <v>31</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21</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125</v>
      </c>
      <c r="O16" s="104" t="s">
        <v>128</v>
      </c>
    </row>
    <row r="17" spans="1:23" ht="20.100000000000001" customHeight="1" x14ac:dyDescent="0.25">
      <c r="A17" s="17" t="str">
        <f>HYPERLINK("#'4.3.1.9 Soil direct N2O'!A1", "4.3.1.9 Soil direct N2O")</f>
        <v>4.3.1.9 Soil direct N2O</v>
      </c>
      <c r="D17" s="103" t="s">
        <v>127</v>
      </c>
      <c r="O17" s="103" t="s">
        <v>237</v>
      </c>
    </row>
    <row r="18" spans="1:23" ht="20.100000000000001" customHeight="1" x14ac:dyDescent="0.25">
      <c r="A18" s="17" t="str">
        <f>HYPERLINK("#'4.3.1.10-11 Soil Atmos Dep'!A1", "4.3.1.10-11 Soil atm. deposition")</f>
        <v>4.3.1.10-11 Soil atm. deposition</v>
      </c>
      <c r="D18" s="41" t="s">
        <v>173</v>
      </c>
      <c r="E18" s="41" t="s">
        <v>190</v>
      </c>
      <c r="F18" s="41" t="s">
        <v>191</v>
      </c>
      <c r="G18" s="41" t="s">
        <v>192</v>
      </c>
      <c r="H18" s="41" t="s">
        <v>193</v>
      </c>
      <c r="O18" s="41" t="s">
        <v>173</v>
      </c>
      <c r="P18" s="41" t="s">
        <v>190</v>
      </c>
      <c r="Q18" s="41" t="s">
        <v>191</v>
      </c>
      <c r="R18" s="41" t="s">
        <v>192</v>
      </c>
      <c r="S18" s="41" t="s">
        <v>193</v>
      </c>
    </row>
    <row r="19" spans="1:23" ht="20.100000000000001" customHeight="1" x14ac:dyDescent="0.25">
      <c r="A19" s="17" t="str">
        <f>HYPERLINK("#'4.3.1.12-13 Soil leach runoff'!A1", "4.3.1.12-13 Soil leach &amp; runoff")</f>
        <v>4.3.1.12-13 Soil leach &amp; runoff</v>
      </c>
      <c r="D19" s="55">
        <f>'Input - Dairy'!$E$36</f>
        <v>0.75</v>
      </c>
      <c r="E19" s="55">
        <f>'Input - Dairy'!$F$36</f>
        <v>0.75</v>
      </c>
      <c r="F19" s="55">
        <f>'Input - Dairy'!$G$36</f>
        <v>0.75</v>
      </c>
      <c r="G19" s="55">
        <f>'Input - Dairy'!$H$36</f>
        <v>0.75</v>
      </c>
      <c r="H19" s="55">
        <f>'Input - Dairy'!$I$36</f>
        <v>0.75</v>
      </c>
      <c r="I19" s="2" t="s">
        <v>226</v>
      </c>
      <c r="J19" s="2"/>
      <c r="K19" s="2"/>
      <c r="O19" s="55">
        <f>'Input - Dairy'!$E$40</f>
        <v>0.75</v>
      </c>
      <c r="P19" s="55">
        <f>'Input - Dairy'!$F$40</f>
        <v>0.75</v>
      </c>
      <c r="Q19" s="55">
        <f>'Input - Dairy'!$G$40</f>
        <v>0.75</v>
      </c>
      <c r="R19" s="55">
        <f>'Input - Dairy'!$H$40</f>
        <v>0.75</v>
      </c>
      <c r="S19" s="55">
        <f>'Input - Dairy'!$I$40</f>
        <v>0.75</v>
      </c>
      <c r="T19" s="2" t="s">
        <v>226</v>
      </c>
      <c r="U19" s="2"/>
      <c r="V19" s="2"/>
    </row>
    <row r="20" spans="1:23" ht="20.100000000000001" customHeight="1" x14ac:dyDescent="0.25">
      <c r="A20" s="17"/>
    </row>
    <row r="21" spans="1:23" ht="20.100000000000001" customHeight="1" x14ac:dyDescent="0.25">
      <c r="A21" s="18" t="s">
        <v>4</v>
      </c>
      <c r="D21" s="104" t="s">
        <v>227</v>
      </c>
      <c r="O21" s="104" t="s">
        <v>229</v>
      </c>
    </row>
    <row r="22" spans="1:23" ht="20.100000000000001" customHeight="1" x14ac:dyDescent="0.25">
      <c r="A22" s="17" t="str">
        <f>HYPERLINK("#'Constants - Dairy'!A1", "Constants - Dairy")</f>
        <v>Constants - Dairy</v>
      </c>
      <c r="D22" s="103" t="s">
        <v>228</v>
      </c>
      <c r="O22" s="103" t="s">
        <v>230</v>
      </c>
    </row>
    <row r="23" spans="1:23" ht="20.100000000000001" customHeight="1" x14ac:dyDescent="0.25">
      <c r="A23" s="17" t="str">
        <f>HYPERLINK("#'Constants - Livestock'!A1", "Constants - Livestock")</f>
        <v>Constants - Livestock</v>
      </c>
      <c r="D23" s="54" t="s">
        <v>173</v>
      </c>
      <c r="E23" s="54" t="s">
        <v>190</v>
      </c>
      <c r="F23" s="54" t="s">
        <v>191</v>
      </c>
      <c r="G23" s="54" t="s">
        <v>192</v>
      </c>
      <c r="H23" s="54" t="s">
        <v>193</v>
      </c>
      <c r="O23" s="54" t="s">
        <v>173</v>
      </c>
      <c r="P23" s="54" t="s">
        <v>190</v>
      </c>
      <c r="Q23" s="54" t="s">
        <v>191</v>
      </c>
      <c r="R23" s="54" t="s">
        <v>192</v>
      </c>
      <c r="S23" s="54" t="s">
        <v>193</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28</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31</v>
      </c>
      <c r="E34" s="1" t="str" cm="1">
        <f t="array" ref="E34">EntericMethane_Dairy_Equations.VEERG_3_3_1_1__5_MilkProductionFromMilkSolids_Variable()</f>
        <v>MP_j</v>
      </c>
    </row>
    <row r="35" spans="4:20" ht="20.100000000000001" customHeight="1" x14ac:dyDescent="0.25">
      <c r="D35" s="56" t="s">
        <v>21</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'Input - Dairy'!$E$49</f>
        <v>Litres of milk</v>
      </c>
      <c r="O37" s="137" t="str" cm="1">
        <f t="array" ref="O37:P40">_xlfn.CHOOSECOLS(EntericMethane_Dairy_Equations.VEERG_3_3_1_1__5_MilkProductionFromMilkSolids_Arguments(),1,2)</f>
        <v>MPU</v>
      </c>
      <c r="P37" s="136" t="str">
        <v>input milk production unit</v>
      </c>
      <c r="Q37" s="138"/>
      <c r="R37" s="137" t="str" cm="1">
        <f t="array" ref="R37:S40">_xlfn.CHOOSECOLS(EntericMethane_Dairy_Equations.VEERG_3_3_1_1__5_MilkProductionFromMilkSolids_Arguments(),3,4)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3" t="str">
        <v>Constant</v>
      </c>
      <c r="I39" s="137">
        <f>'Input - Dairy'!E55*100</f>
        <v>4</v>
      </c>
      <c r="O39" s="137" t="str">
        <v>FC_j</v>
      </c>
      <c r="P39" s="136" t="str">
        <v>fat content in fat and protein corrected milk</v>
      </c>
      <c r="Q39" s="138"/>
      <c r="R39" s="137" t="str">
        <v>per cent</v>
      </c>
      <c r="S39" s="133" t="str">
        <v>Constant</v>
      </c>
      <c r="T39" s="137">
        <f>'Input - Dairy'!$F$55*100</f>
        <v>4</v>
      </c>
    </row>
    <row r="40" spans="4:20" ht="20.100000000000001" customHeight="1" x14ac:dyDescent="0.25">
      <c r="D40" s="137" t="str">
        <v>PC_j</v>
      </c>
      <c r="E40" s="137" t="str">
        <v>protein content in fat and protein corrected milk</v>
      </c>
      <c r="F40" s="137"/>
      <c r="G40" s="137" t="str">
        <v>per cent</v>
      </c>
      <c r="H40" s="133" t="str">
        <v>Constant</v>
      </c>
      <c r="I40" s="137">
        <f>'Input - Dairy'!E56*100</f>
        <v>3.3000000000000003</v>
      </c>
      <c r="O40" s="137" t="str">
        <v>PC_j</v>
      </c>
      <c r="P40" s="137" t="str">
        <v>protein content in fat and protein corrected milk</v>
      </c>
      <c r="Q40" s="137"/>
      <c r="R40" s="137" t="str">
        <v>per cent</v>
      </c>
      <c r="S40" s="133" t="str">
        <v>Constant</v>
      </c>
      <c r="T40" s="137">
        <f>'Input - Dairy'!$F$56*100</f>
        <v>3.3000000000000003</v>
      </c>
    </row>
    <row r="41" spans="4:20" ht="20.100000000000001" customHeight="1" x14ac:dyDescent="0.25"/>
    <row r="42" spans="4:20" ht="20.100000000000001" customHeight="1" x14ac:dyDescent="0.25">
      <c r="D42" s="104" t="s">
        <v>446</v>
      </c>
    </row>
    <row r="43" spans="4:20" ht="20.100000000000001" customHeight="1" x14ac:dyDescent="0.25">
      <c r="D43" s="103" t="s">
        <v>447</v>
      </c>
    </row>
    <row r="44" spans="4:20" ht="20.100000000000001" customHeight="1" x14ac:dyDescent="0.25">
      <c r="D44" s="41" t="s">
        <v>173</v>
      </c>
      <c r="E44" s="41" t="s">
        <v>190</v>
      </c>
      <c r="F44" s="41" t="s">
        <v>191</v>
      </c>
      <c r="G44" s="41" t="s">
        <v>192</v>
      </c>
      <c r="H44" s="41" t="s">
        <v>193</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448</v>
      </c>
      <c r="O47" s="104" t="s">
        <v>450</v>
      </c>
    </row>
    <row r="48" spans="4:20" ht="20.100000000000001" customHeight="1" x14ac:dyDescent="0.25">
      <c r="D48" s="103" t="s">
        <v>449</v>
      </c>
      <c r="O48" s="103" t="s">
        <v>451</v>
      </c>
    </row>
    <row r="49" spans="1:23" ht="20.100000000000001" customHeight="1" x14ac:dyDescent="0.25">
      <c r="D49" s="54" t="s">
        <v>173</v>
      </c>
      <c r="E49" s="54" t="s">
        <v>190</v>
      </c>
      <c r="F49" s="54" t="s">
        <v>191</v>
      </c>
      <c r="G49" s="54" t="s">
        <v>192</v>
      </c>
      <c r="H49" s="54" t="s">
        <v>193</v>
      </c>
      <c r="O49" s="54" t="s">
        <v>173</v>
      </c>
      <c r="P49" s="54" t="s">
        <v>190</v>
      </c>
      <c r="Q49" s="54" t="s">
        <v>191</v>
      </c>
      <c r="R49" s="54" t="s">
        <v>192</v>
      </c>
      <c r="S49" s="54" t="s">
        <v>193</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233</v>
      </c>
      <c r="O50" s="55" cm="1">
        <f t="array" ref="O50">EntericMethane_Dairy_Equations.VEERG_3_3_1_1__5_MilkProductionFromMilkSolids(D45,$T$39,$T$40)</f>
        <v>0</v>
      </c>
      <c r="P50" s="55">
        <v>0</v>
      </c>
      <c r="Q50" s="55">
        <v>0</v>
      </c>
      <c r="R50" s="55">
        <v>0</v>
      </c>
      <c r="S50" s="55">
        <v>0</v>
      </c>
      <c r="T50" s="2" t="s">
        <v>233</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28</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31</v>
      </c>
      <c r="E59" s="1" t="str" cm="1">
        <f t="array" ref="E59">EntericMethane_Dairy_Equations.VEERG_3_3_1_1__4_AdditionalIntakeForMilkProduction_Variable()</f>
        <v>MI_j</v>
      </c>
    </row>
    <row r="60" spans="1:23" ht="20.100000000000001" customHeight="1" x14ac:dyDescent="0.25">
      <c r="D60" s="56" t="s">
        <v>21</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'Input - Dairy'!$E$49</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236</v>
      </c>
    </row>
    <row r="72" spans="4:22" ht="20.100000000000001" customHeight="1" x14ac:dyDescent="0.25">
      <c r="D72" s="103" t="s">
        <v>197</v>
      </c>
    </row>
    <row r="73" spans="4:22" ht="20.100000000000001" customHeight="1" x14ac:dyDescent="0.25">
      <c r="D73" s="41" t="s">
        <v>173</v>
      </c>
      <c r="E73" s="41" t="s">
        <v>190</v>
      </c>
      <c r="F73" s="41" t="s">
        <v>191</v>
      </c>
      <c r="G73" s="41" t="s">
        <v>192</v>
      </c>
      <c r="H73" s="41" t="s">
        <v>193</v>
      </c>
    </row>
    <row r="74" spans="4:22" ht="20.100000000000001" customHeight="1" x14ac:dyDescent="0.25">
      <c r="D74" s="55">
        <f>IF(I62="Milk solids", 0, 'Input - Dairy'!$E$52)</f>
        <v>20</v>
      </c>
      <c r="E74" s="55">
        <v>0</v>
      </c>
      <c r="F74" s="55">
        <v>0</v>
      </c>
      <c r="G74" s="55">
        <v>0</v>
      </c>
      <c r="H74" s="55">
        <v>0</v>
      </c>
      <c r="I74" s="2" t="s">
        <v>233</v>
      </c>
      <c r="J74" s="2"/>
      <c r="K74" s="2"/>
    </row>
    <row r="75" spans="4:22" ht="20.100000000000001" customHeight="1" x14ac:dyDescent="0.25"/>
    <row r="76" spans="4:22" ht="20.100000000000001" customHeight="1" x14ac:dyDescent="0.25">
      <c r="D76" s="104" t="s">
        <v>231</v>
      </c>
      <c r="O76" s="104" t="s">
        <v>234</v>
      </c>
    </row>
    <row r="77" spans="4:22" ht="20.100000000000001" customHeight="1" x14ac:dyDescent="0.25">
      <c r="D77" s="103" t="s">
        <v>232</v>
      </c>
      <c r="O77" s="103" t="s">
        <v>235</v>
      </c>
    </row>
    <row r="78" spans="4:22" ht="20.100000000000001" customHeight="1" x14ac:dyDescent="0.25">
      <c r="D78" s="54" t="s">
        <v>173</v>
      </c>
      <c r="E78" s="54" t="s">
        <v>190</v>
      </c>
      <c r="F78" s="54" t="s">
        <v>191</v>
      </c>
      <c r="G78" s="54" t="s">
        <v>192</v>
      </c>
      <c r="H78" s="54" t="s">
        <v>193</v>
      </c>
      <c r="O78" s="54" t="s">
        <v>173</v>
      </c>
      <c r="P78" s="54" t="s">
        <v>190</v>
      </c>
      <c r="Q78" s="54" t="s">
        <v>191</v>
      </c>
      <c r="R78" s="54" t="s">
        <v>192</v>
      </c>
      <c r="S78" s="54" t="s">
        <v>193</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28</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31</v>
      </c>
      <c r="E88" s="1" t="str" cm="1">
        <f t="array" ref="E88">EntericMethane_Dairy_Equations.VEERG_3_3_1_1__3_DryMatterFeedIntake_Variable()</f>
        <v>I_j</v>
      </c>
    </row>
    <row r="89" spans="3:23" ht="20.100000000000001" customHeight="1" x14ac:dyDescent="0.25">
      <c r="D89" s="56" t="s">
        <v>21</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216</v>
      </c>
      <c r="O96" s="104" t="s">
        <v>218</v>
      </c>
    </row>
    <row r="97" spans="1:22" ht="20.100000000000001" customHeight="1" x14ac:dyDescent="0.25">
      <c r="D97" s="103" t="s">
        <v>217</v>
      </c>
      <c r="O97" s="103" t="s">
        <v>219</v>
      </c>
    </row>
    <row r="98" spans="1:22" ht="20.100000000000001" customHeight="1" x14ac:dyDescent="0.25">
      <c r="D98" s="41" t="s">
        <v>173</v>
      </c>
      <c r="E98" s="41" t="s">
        <v>190</v>
      </c>
      <c r="F98" s="41" t="s">
        <v>191</v>
      </c>
      <c r="G98" s="41" t="s">
        <v>192</v>
      </c>
      <c r="H98" s="41" t="s">
        <v>193</v>
      </c>
      <c r="O98" s="41" t="s">
        <v>173</v>
      </c>
      <c r="P98" s="41" t="s">
        <v>190</v>
      </c>
      <c r="Q98" s="41" t="s">
        <v>191</v>
      </c>
      <c r="R98" s="41" t="s">
        <v>192</v>
      </c>
      <c r="S98" s="41" t="s">
        <v>193</v>
      </c>
    </row>
    <row r="99" spans="1:22" ht="20.100000000000001" customHeight="1" x14ac:dyDescent="0.25">
      <c r="D99" s="55">
        <f>'Input - Dairy'!$E$14</f>
        <v>550</v>
      </c>
      <c r="E99" s="55">
        <f>'Input - Dairy'!$F$14</f>
        <v>380</v>
      </c>
      <c r="F99" s="55">
        <f>'Input - Dairy'!$G$14</f>
        <v>155</v>
      </c>
      <c r="G99" s="55">
        <f>'Input - Dairy'!$H$14</f>
        <v>600</v>
      </c>
      <c r="H99" s="55">
        <f>'Input - Dairy'!$I$14</f>
        <v>225</v>
      </c>
      <c r="I99" s="2" t="s">
        <v>195</v>
      </c>
      <c r="J99" s="2"/>
      <c r="K99" s="2"/>
      <c r="O99" s="55">
        <f>'Input - Dairy'!$E$18</f>
        <v>550</v>
      </c>
      <c r="P99" s="55">
        <f>'Input - Dairy'!$F$18</f>
        <v>380</v>
      </c>
      <c r="Q99" s="55">
        <f>'Input - Dairy'!$G$18</f>
        <v>155</v>
      </c>
      <c r="R99" s="55">
        <f>'Input - Dairy'!$H$18</f>
        <v>600</v>
      </c>
      <c r="S99" s="55">
        <f>'Input - Dairy'!$I$18</f>
        <v>225</v>
      </c>
      <c r="T99" s="2" t="s">
        <v>195</v>
      </c>
      <c r="U99" s="2"/>
      <c r="V99" s="2"/>
    </row>
    <row r="100" spans="1:22" ht="20.100000000000001" customHeight="1" x14ac:dyDescent="0.25"/>
    <row r="101" spans="1:22" ht="20.100000000000001" customHeight="1" x14ac:dyDescent="0.25">
      <c r="D101" s="104" t="s">
        <v>220</v>
      </c>
      <c r="O101" s="104" t="s">
        <v>222</v>
      </c>
    </row>
    <row r="102" spans="1:22" ht="20.100000000000001" customHeight="1" x14ac:dyDescent="0.25">
      <c r="D102" s="103" t="s">
        <v>221</v>
      </c>
      <c r="O102" s="103" t="s">
        <v>223</v>
      </c>
    </row>
    <row r="103" spans="1:22" ht="20.100000000000001" customHeight="1" x14ac:dyDescent="0.25">
      <c r="D103" s="41" t="s">
        <v>173</v>
      </c>
      <c r="E103" s="41" t="s">
        <v>190</v>
      </c>
      <c r="F103" s="41" t="s">
        <v>191</v>
      </c>
      <c r="G103" s="41" t="s">
        <v>192</v>
      </c>
      <c r="H103" s="41" t="s">
        <v>193</v>
      </c>
      <c r="O103" s="41" t="s">
        <v>173</v>
      </c>
      <c r="P103" s="41" t="s">
        <v>190</v>
      </c>
      <c r="Q103" s="41" t="s">
        <v>191</v>
      </c>
      <c r="R103" s="41" t="s">
        <v>192</v>
      </c>
      <c r="S103" s="41" t="s">
        <v>193</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196</v>
      </c>
      <c r="J104" s="2"/>
      <c r="K104" s="2"/>
      <c r="O104" s="55">
        <f>'Input - Dairy'!$E$19</f>
        <v>1.6E-2</v>
      </c>
      <c r="P104" s="55">
        <f>'Input - Dairy'!$F$19</f>
        <v>0.6</v>
      </c>
      <c r="Q104" s="55">
        <f>'Input - Dairy'!$G$19</f>
        <v>0.56999999999999995</v>
      </c>
      <c r="R104" s="55">
        <f>'Input - Dairy'!$H$19</f>
        <v>0.1</v>
      </c>
      <c r="S104" s="55">
        <f>'Input - Dairy'!$I$19</f>
        <v>0.8</v>
      </c>
      <c r="T104" s="2" t="s">
        <v>196</v>
      </c>
      <c r="U104" s="2"/>
      <c r="V104" s="2"/>
    </row>
    <row r="105" spans="1:22" ht="20.100000000000001" customHeight="1" x14ac:dyDescent="0.25">
      <c r="A105" s="141" t="str">
        <f>HYPERLINK("#A1", "▲ Back to top")</f>
        <v>▲ Back to top</v>
      </c>
    </row>
    <row r="106" spans="1:22" ht="20.100000000000001" customHeight="1" x14ac:dyDescent="0.25">
      <c r="D106" s="104" t="s">
        <v>224</v>
      </c>
    </row>
    <row r="107" spans="1:22" ht="20.100000000000001" customHeight="1" x14ac:dyDescent="0.25">
      <c r="D107" s="103" t="s">
        <v>225</v>
      </c>
    </row>
    <row r="108" spans="1:22" ht="20.100000000000001" customHeight="1" x14ac:dyDescent="0.25">
      <c r="D108" s="54" t="s">
        <v>173</v>
      </c>
      <c r="E108" s="54" t="s">
        <v>190</v>
      </c>
      <c r="F108" s="54" t="s">
        <v>191</v>
      </c>
      <c r="G108" s="54" t="s">
        <v>192</v>
      </c>
      <c r="H108" s="54" t="s">
        <v>193</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101</v>
      </c>
      <c r="J109" s="2"/>
      <c r="K109" s="2"/>
    </row>
    <row r="110" spans="1:22" ht="20.100000000000001" customHeight="1" x14ac:dyDescent="0.25"/>
    <row r="111" spans="1:22" ht="20.100000000000001" customHeight="1" x14ac:dyDescent="0.25">
      <c r="D111" s="104" t="s">
        <v>113</v>
      </c>
      <c r="O111" s="104" t="s">
        <v>115</v>
      </c>
    </row>
    <row r="112" spans="1:22" ht="20.100000000000001" customHeight="1" x14ac:dyDescent="0.25">
      <c r="D112" s="103" t="s">
        <v>239</v>
      </c>
      <c r="O112" s="103" t="s">
        <v>238</v>
      </c>
    </row>
    <row r="113" spans="3:23" ht="20.100000000000001" customHeight="1" x14ac:dyDescent="0.25">
      <c r="D113" s="54" t="s">
        <v>173</v>
      </c>
      <c r="E113" s="54" t="s">
        <v>190</v>
      </c>
      <c r="F113" s="54" t="s">
        <v>191</v>
      </c>
      <c r="G113" s="54" t="s">
        <v>192</v>
      </c>
      <c r="H113" s="54" t="s">
        <v>193</v>
      </c>
      <c r="O113" s="54" t="s">
        <v>173</v>
      </c>
      <c r="P113" s="54" t="s">
        <v>190</v>
      </c>
      <c r="Q113" s="54" t="s">
        <v>191</v>
      </c>
      <c r="R113" s="54" t="s">
        <v>192</v>
      </c>
      <c r="S113" s="54" t="s">
        <v>193</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28</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31</v>
      </c>
      <c r="E123" s="1" t="str" cm="1">
        <f t="array" ref="E123">MMS_Dairy_Methane_Equations.VEERG_4_3_1_1__3_VolatileSolidsForWeanedDairyCattle_Variable()</f>
        <v>VS_j</v>
      </c>
    </row>
    <row r="124" spans="3:23" ht="20.100000000000001" customHeight="1" x14ac:dyDescent="0.25">
      <c r="D124" s="56" t="s">
        <v>21</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126</v>
      </c>
      <c r="O130" s="104" t="s">
        <v>129</v>
      </c>
    </row>
    <row r="131" spans="3:23" ht="20.100000000000001" customHeight="1" x14ac:dyDescent="0.25">
      <c r="D131" s="103" t="s">
        <v>240</v>
      </c>
      <c r="O131" s="103" t="s">
        <v>241</v>
      </c>
    </row>
    <row r="132" spans="3:23" ht="20.100000000000001" customHeight="1" x14ac:dyDescent="0.25">
      <c r="D132" s="54" t="s">
        <v>173</v>
      </c>
      <c r="E132" s="54" t="s">
        <v>190</v>
      </c>
      <c r="F132" s="54" t="s">
        <v>191</v>
      </c>
      <c r="G132" s="54" t="s">
        <v>192</v>
      </c>
      <c r="H132" s="54" t="s">
        <v>193</v>
      </c>
      <c r="O132" s="54" t="s">
        <v>173</v>
      </c>
      <c r="P132" s="54" t="s">
        <v>190</v>
      </c>
      <c r="Q132" s="54" t="s">
        <v>191</v>
      </c>
      <c r="R132" s="54" t="s">
        <v>192</v>
      </c>
      <c r="S132" s="54" t="s">
        <v>193</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28</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31</v>
      </c>
      <c r="E142" s="1" t="str" cm="1">
        <f t="array" ref="E142">MMS_Dairy_Methane_Equations.VEERG_4_3_1_1__4_FractionVolatileSolidsNotSolidStorage_Variable()</f>
        <v>FVS_jm</v>
      </c>
    </row>
    <row r="143" spans="3:23" ht="20.100000000000001" customHeight="1" x14ac:dyDescent="0.25">
      <c r="D143" s="56" t="s">
        <v>21</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246</v>
      </c>
      <c r="O148" s="104" t="s">
        <v>248</v>
      </c>
    </row>
    <row r="149" spans="1:22" ht="20.100000000000001" customHeight="1" x14ac:dyDescent="0.25">
      <c r="D149" s="103" t="s">
        <v>247</v>
      </c>
      <c r="O149" s="103" t="s">
        <v>249</v>
      </c>
    </row>
    <row r="150" spans="1:22" ht="20.100000000000001" customHeight="1" x14ac:dyDescent="0.25">
      <c r="D150" s="41" t="s">
        <v>148</v>
      </c>
      <c r="E150" s="41" t="s">
        <v>69</v>
      </c>
      <c r="F150" s="41" t="s">
        <v>173</v>
      </c>
      <c r="G150" s="41" t="s">
        <v>190</v>
      </c>
      <c r="H150" s="41" t="s">
        <v>191</v>
      </c>
      <c r="I150" s="41" t="s">
        <v>192</v>
      </c>
      <c r="J150" s="41" t="s">
        <v>193</v>
      </c>
      <c r="O150" s="41" t="s">
        <v>148</v>
      </c>
      <c r="P150" s="41" t="s">
        <v>69</v>
      </c>
      <c r="Q150" s="41" t="s">
        <v>173</v>
      </c>
      <c r="R150" s="41" t="s">
        <v>190</v>
      </c>
      <c r="S150" s="41" t="s">
        <v>191</v>
      </c>
      <c r="T150" s="41" t="s">
        <v>192</v>
      </c>
      <c r="U150" s="41" t="s">
        <v>193</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244</v>
      </c>
      <c r="O159" s="104" t="s">
        <v>250</v>
      </c>
    </row>
    <row r="160" spans="1:22" ht="20.100000000000001" customHeight="1" x14ac:dyDescent="0.25">
      <c r="D160" s="103" t="s">
        <v>253</v>
      </c>
      <c r="O160" s="103" t="s">
        <v>254</v>
      </c>
    </row>
    <row r="161" spans="4:22" ht="20.100000000000001" customHeight="1" x14ac:dyDescent="0.25">
      <c r="D161" s="41" t="s">
        <v>148</v>
      </c>
      <c r="E161" s="41" t="s">
        <v>69</v>
      </c>
      <c r="F161" s="41" t="s">
        <v>245</v>
      </c>
      <c r="O161" s="41" t="s">
        <v>148</v>
      </c>
      <c r="P161" s="41" t="s">
        <v>69</v>
      </c>
      <c r="Q161" s="41" t="s">
        <v>245</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0.2</v>
      </c>
      <c r="O163" s="55" t="str">
        <f>'Input - Dairy'!$D$66</f>
        <v>Milking shed</v>
      </c>
      <c r="P163" s="55" t="str">
        <f>'Input - Dairy'!$D$81</f>
        <v>Anaerobic lagoon</v>
      </c>
      <c r="Q163" s="55">
        <f>'Input - Dairy'!$E$84</f>
        <v>0.2</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v>
      </c>
      <c r="G166" s="2"/>
      <c r="O166" s="55" t="str">
        <f>'Input - Dairy'!$D$67</f>
        <v>Feed pad</v>
      </c>
      <c r="P166" s="55" t="str">
        <f>'Input - Dairy'!$D$105</f>
        <v>Anaerobic lagoon</v>
      </c>
      <c r="Q166" s="55">
        <f>'Input - Dairy'!$E$108</f>
        <v>0</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243</v>
      </c>
      <c r="O170" s="104" t="s">
        <v>243</v>
      </c>
    </row>
    <row r="171" spans="4:22" ht="20.100000000000001" customHeight="1" x14ac:dyDescent="0.25">
      <c r="D171" s="103" t="s">
        <v>242</v>
      </c>
      <c r="O171" s="103" t="s">
        <v>455</v>
      </c>
    </row>
    <row r="172" spans="4:22" ht="20.100000000000001" customHeight="1" x14ac:dyDescent="0.25">
      <c r="D172" s="54" t="s">
        <v>148</v>
      </c>
      <c r="E172" s="54" t="s">
        <v>69</v>
      </c>
      <c r="F172" s="54" t="s">
        <v>173</v>
      </c>
      <c r="G172" s="54" t="s">
        <v>190</v>
      </c>
      <c r="H172" s="54" t="s">
        <v>191</v>
      </c>
      <c r="I172" s="54" t="s">
        <v>192</v>
      </c>
      <c r="J172" s="54" t="s">
        <v>193</v>
      </c>
      <c r="O172" s="54" t="s">
        <v>148</v>
      </c>
      <c r="P172" s="54" t="s">
        <v>69</v>
      </c>
      <c r="Q172" s="54" t="s">
        <v>173</v>
      </c>
      <c r="R172" s="54" t="s">
        <v>190</v>
      </c>
      <c r="S172" s="54" t="s">
        <v>191</v>
      </c>
      <c r="T172" s="54" t="s">
        <v>192</v>
      </c>
      <c r="U172" s="54" t="s">
        <v>193</v>
      </c>
    </row>
    <row r="173" spans="4:22" ht="20.100000000000001" customHeight="1" x14ac:dyDescent="0.25">
      <c r="D173" s="55" t="str">
        <f>'Input - Dairy'!$D$65</f>
        <v>Pasture</v>
      </c>
      <c r="E173" s="55" t="str">
        <f>'Constants - Livestock'!$E$27</f>
        <v>Pasture range and paddock</v>
      </c>
      <c r="F173" s="55" cm="1">
        <f t="array" ref="F173">MMS_Dairy_Methane_Equations.VEERG_4_3_1_1__4_FractionVolatileSolidsNotSolidStorage(F151,$F162)</f>
        <v>0.53400000000000003</v>
      </c>
      <c r="G173" s="55" cm="1">
        <f t="array" ref="G173">MMS_Dairy_Methane_Equations.VEERG_4_3_1_1__4_FractionVolatileSolidsNotSolidStorage(G151,$F162)</f>
        <v>0.53400000000000003</v>
      </c>
      <c r="H173" s="55" cm="1">
        <f t="array" ref="H173">MMS_Dairy_Methane_Equations.VEERG_4_3_1_1__4_FractionVolatileSolidsNotSolidStorage(H151,$F162)</f>
        <v>0.53400000000000003</v>
      </c>
      <c r="I173" s="55" cm="1">
        <f t="array" ref="I173">MMS_Dairy_Methane_Equations.VEERG_4_3_1_1__4_FractionVolatileSolidsNotSolidStorage(I151,$F162)</f>
        <v>0.53400000000000003</v>
      </c>
      <c r="J173" s="55" cm="1">
        <f t="array" ref="J173">MMS_Dairy_Methane_Equations.VEERG_4_3_1_1__4_FractionVolatileSolidsNotSolidStorage(J151,$F162)</f>
        <v>0.53400000000000003</v>
      </c>
      <c r="K173" s="2" t="str">
        <f>$E$143</f>
        <v>fraction</v>
      </c>
      <c r="O173" s="55" t="str">
        <f>'Input - Dairy'!$D$65</f>
        <v>Pasture</v>
      </c>
      <c r="P173" s="55" t="str">
        <f>'Constants - Livestock'!$E$27</f>
        <v>Pasture range and paddock</v>
      </c>
      <c r="Q173" s="55" cm="1">
        <f t="array" ref="Q173">MMS_Dairy_Methane_Equations.VEERG_4_3_1_1__4_FractionVolatileSolidsNotSolidStorage(Q151,$Q162)</f>
        <v>0.53400000000000003</v>
      </c>
      <c r="R173" s="55" cm="1">
        <f t="array" ref="R173">MMS_Dairy_Methane_Equations.VEERG_4_3_1_1__4_FractionVolatileSolidsNotSolidStorage(R151,$Q162)</f>
        <v>0.53400000000000003</v>
      </c>
      <c r="S173" s="55" cm="1">
        <f t="array" ref="S173">MMS_Dairy_Methane_Equations.VEERG_4_3_1_1__4_FractionVolatileSolidsNotSolidStorage(S151,$Q162)</f>
        <v>0.53400000000000003</v>
      </c>
      <c r="T173" s="55" cm="1">
        <f t="array" ref="T173">MMS_Dairy_Methane_Equations.VEERG_4_3_1_1__4_FractionVolatileSolidsNotSolidStorage(T151,$Q162)</f>
        <v>0.53400000000000003</v>
      </c>
      <c r="U173" s="55" cm="1">
        <f t="array" ref="U173">MMS_Dairy_Methane_Equations.VEERG_4_3_1_1__4_FractionVolatileSolidsNotSolidStorage(U151,$Q162)</f>
        <v>0.53400000000000003</v>
      </c>
      <c r="V173" s="2" t="str">
        <f>$E$143</f>
        <v>fraction</v>
      </c>
    </row>
    <row r="174" spans="4:22" ht="20.100000000000001" customHeight="1" x14ac:dyDescent="0.25">
      <c r="D174" s="55" t="str">
        <f>'Input - Dairy'!$D$66</f>
        <v>Milking shed</v>
      </c>
      <c r="E174" s="55" t="str">
        <f>'Input - Dairy'!$D$81</f>
        <v>Anaerobic lagoon</v>
      </c>
      <c r="F174" s="55" cm="1">
        <f t="array" ref="F174">MMS_Dairy_Methane_Equations.VEERG_4_3_1_1__4_FractionVolatileSolidsNotSolidStorage(F152,$F163)</f>
        <v>2.2000000000000002E-2</v>
      </c>
      <c r="G174" s="55" cm="1">
        <f t="array" ref="G174">MMS_Dairy_Methane_Equations.VEERG_4_3_1_1__4_FractionVolatileSolidsNotSolidStorage(G152,$F163)</f>
        <v>2.2000000000000002E-2</v>
      </c>
      <c r="H174" s="55" cm="1">
        <f t="array" ref="H174">MMS_Dairy_Methane_Equations.VEERG_4_3_1_1__4_FractionVolatileSolidsNotSolidStorage(H152,$F163)</f>
        <v>2.2000000000000002E-2</v>
      </c>
      <c r="I174" s="55" cm="1">
        <f t="array" ref="I174">MMS_Dairy_Methane_Equations.VEERG_4_3_1_1__4_FractionVolatileSolidsNotSolidStorage(I152,$F163)</f>
        <v>2.2000000000000002E-2</v>
      </c>
      <c r="J174" s="55" cm="1">
        <f t="array" ref="J174">MMS_Dairy_Methane_Equations.VEERG_4_3_1_1__4_FractionVolatileSolidsNotSolidStorage(J152,$F163)</f>
        <v>2.2000000000000002E-2</v>
      </c>
      <c r="O174" s="55" t="str">
        <f>'Input - Dairy'!$D$66</f>
        <v>Milking shed</v>
      </c>
      <c r="P174" s="55" t="str">
        <f>'Input - Dairy'!$D$81</f>
        <v>Anaerobic lagoon</v>
      </c>
      <c r="Q174" s="55" cm="1">
        <f t="array" ref="Q174">MMS_Dairy_Methane_Equations.VEERG_4_3_1_1__4_FractionVolatileSolidsNotSolidStorage(Q152,$Q163)</f>
        <v>2.2000000000000002E-2</v>
      </c>
      <c r="R174" s="55" cm="1">
        <f t="array" ref="R174">MMS_Dairy_Methane_Equations.VEERG_4_3_1_1__4_FractionVolatileSolidsNotSolidStorage(R152,$Q163)</f>
        <v>2.2000000000000002E-2</v>
      </c>
      <c r="S174" s="55" cm="1">
        <f t="array" ref="S174">MMS_Dairy_Methane_Equations.VEERG_4_3_1_1__4_FractionVolatileSolidsNotSolidStorage(S152,$Q163)</f>
        <v>2.2000000000000002E-2</v>
      </c>
      <c r="T174" s="55" cm="1">
        <f t="array" ref="T174">MMS_Dairy_Methane_Equations.VEERG_4_3_1_1__4_FractionVolatileSolidsNotSolidStorage(T152,$Q163)</f>
        <v>2.2000000000000002E-2</v>
      </c>
      <c r="U174" s="55" cm="1">
        <f t="array" ref="U174">MMS_Dairy_Methane_Equations.VEERG_4_3_1_1__4_FractionVolatileSolidsNotSolidStorage(U152,$Q163)</f>
        <v>2.2000000000000002E-2</v>
      </c>
    </row>
    <row r="175" spans="4:22" ht="20.100000000000001" customHeight="1" x14ac:dyDescent="0.25">
      <c r="D175" s="55" t="str">
        <f>'Input - Dairy'!$D$66</f>
        <v>Milking shed</v>
      </c>
      <c r="E175" s="55" t="str">
        <f>'Input - Dairy'!$D$86</f>
        <v>Sump and dispersal system</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Dairy'!$D$86</f>
        <v>Sump and dispersal system</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Dairy'!$D$66</f>
        <v>Milking shed</v>
      </c>
      <c r="E176" s="55" t="str">
        <f>'Input - Dairy'!$D$91</f>
        <v>Drains to paddock</v>
      </c>
      <c r="F176" s="55" cm="1">
        <f t="array" ref="F176">MMS_Dairy_Methane_Equations.VEERG_4_3_1_1__4_FractionVolatileSolidsNotSolidStorage(F154,$F165)</f>
        <v>2.2000000000000002E-2</v>
      </c>
      <c r="G176" s="55" cm="1">
        <f t="array" ref="G176">MMS_Dairy_Methane_Equations.VEERG_4_3_1_1__4_FractionVolatileSolidsNotSolidStorage(G154,$F165)</f>
        <v>2.2000000000000002E-2</v>
      </c>
      <c r="H176" s="55" cm="1">
        <f t="array" ref="H176">MMS_Dairy_Methane_Equations.VEERG_4_3_1_1__4_FractionVolatileSolidsNotSolidStorage(H154,$F165)</f>
        <v>2.2000000000000002E-2</v>
      </c>
      <c r="I176" s="55" cm="1">
        <f t="array" ref="I176">MMS_Dairy_Methane_Equations.VEERG_4_3_1_1__4_FractionVolatileSolidsNotSolidStorage(I154,$F165)</f>
        <v>2.2000000000000002E-2</v>
      </c>
      <c r="J176" s="55" cm="1">
        <f t="array" ref="J176">MMS_Dairy_Methane_Equations.VEERG_4_3_1_1__4_FractionVolatileSolidsNotSolidStorage(J154,$F165)</f>
        <v>2.2000000000000002E-2</v>
      </c>
      <c r="K176" s="2"/>
      <c r="O176" s="55" t="str">
        <f>'Input - Dairy'!$D$66</f>
        <v>Milking shed</v>
      </c>
      <c r="P176" s="55" t="str">
        <f>'Input - Dairy'!$D$91</f>
        <v>Drains to paddock</v>
      </c>
      <c r="Q176" s="55" cm="1">
        <f t="array" ref="Q176">MMS_Dairy_Methane_Equations.VEERG_4_3_1_1__4_FractionVolatileSolidsNotSolidStorage(Q154,$Q165)</f>
        <v>2.2000000000000002E-2</v>
      </c>
      <c r="R176" s="55" cm="1">
        <f t="array" ref="R176">MMS_Dairy_Methane_Equations.VEERG_4_3_1_1__4_FractionVolatileSolidsNotSolidStorage(R154,$Q165)</f>
        <v>2.2000000000000002E-2</v>
      </c>
      <c r="S176" s="55" cm="1">
        <f t="array" ref="S176">MMS_Dairy_Methane_Equations.VEERG_4_3_1_1__4_FractionVolatileSolidsNotSolidStorage(S154,$Q165)</f>
        <v>2.2000000000000002E-2</v>
      </c>
      <c r="T176" s="55" cm="1">
        <f t="array" ref="T176">MMS_Dairy_Methane_Equations.VEERG_4_3_1_1__4_FractionVolatileSolidsNotSolidStorage(T154,$Q165)</f>
        <v>2.2000000000000002E-2</v>
      </c>
      <c r="U176" s="55" cm="1">
        <f t="array" ref="U176">MMS_Dairy_Methane_Equations.VEERG_4_3_1_1__4_FractionVolatileSolidsNotSolidStorage(U154,$Q165)</f>
        <v>2.2000000000000002E-2</v>
      </c>
      <c r="V176" s="2"/>
    </row>
    <row r="177" spans="1:23" ht="20.100000000000001" customHeight="1" x14ac:dyDescent="0.25">
      <c r="D177" s="55" t="str">
        <f>'Input - Dairy'!$D$67</f>
        <v>Feed pad</v>
      </c>
      <c r="E177" s="55" t="str">
        <f>'Input - Dairy'!$D$105</f>
        <v>Anaerobic lagoon</v>
      </c>
      <c r="F177" s="55" cm="1">
        <f t="array" ref="F177">MMS_Dairy_Methane_Equations.VEERG_4_3_1_1__4_FractionVolatileSolidsNotSolidStorage(F155,$F166)</f>
        <v>8.8999999999999996E-2</v>
      </c>
      <c r="G177" s="55" cm="1">
        <f t="array" ref="G177">MMS_Dairy_Methane_Equations.VEERG_4_3_1_1__4_FractionVolatileSolidsNotSolidStorage(G155,$F166)</f>
        <v>8.8999999999999996E-2</v>
      </c>
      <c r="H177" s="55" cm="1">
        <f t="array" ref="H177">MMS_Dairy_Methane_Equations.VEERG_4_3_1_1__4_FractionVolatileSolidsNotSolidStorage(H155,$F166)</f>
        <v>8.8999999999999996E-2</v>
      </c>
      <c r="I177" s="55" cm="1">
        <f t="array" ref="I177">MMS_Dairy_Methane_Equations.VEERG_4_3_1_1__4_FractionVolatileSolidsNotSolidStorage(I155,$F166)</f>
        <v>8.8999999999999996E-2</v>
      </c>
      <c r="J177" s="55" cm="1">
        <f t="array" ref="J177">MMS_Dairy_Methane_Equations.VEERG_4_3_1_1__4_FractionVolatileSolidsNotSolidStorage(J155,$F166)</f>
        <v>8.8999999999999996E-2</v>
      </c>
      <c r="K177" s="2"/>
      <c r="O177" s="55" t="str">
        <f>'Input - Dairy'!$D$67</f>
        <v>Feed pad</v>
      </c>
      <c r="P177" s="55" t="str">
        <f>'Input - Dairy'!$D$105</f>
        <v>Anaerobic lagoon</v>
      </c>
      <c r="Q177" s="55" cm="1">
        <f t="array" ref="Q177">MMS_Dairy_Methane_Equations.VEERG_4_3_1_1__4_FractionVolatileSolidsNotSolidStorage(Q155,$Q166)</f>
        <v>8.8999999999999996E-2</v>
      </c>
      <c r="R177" s="55" cm="1">
        <f t="array" ref="R177">MMS_Dairy_Methane_Equations.VEERG_4_3_1_1__4_FractionVolatileSolidsNotSolidStorage(R155,$Q166)</f>
        <v>8.8999999999999996E-2</v>
      </c>
      <c r="S177" s="55" cm="1">
        <f t="array" ref="S177">MMS_Dairy_Methane_Equations.VEERG_4_3_1_1__4_FractionVolatileSolidsNotSolidStorage(S155,$Q166)</f>
        <v>8.8999999999999996E-2</v>
      </c>
      <c r="T177" s="55" cm="1">
        <f t="array" ref="T177">MMS_Dairy_Methane_Equations.VEERG_4_3_1_1__4_FractionVolatileSolidsNotSolidStorage(T155,$Q166)</f>
        <v>8.8999999999999996E-2</v>
      </c>
      <c r="U177" s="55" cm="1">
        <f t="array" ref="U177">MMS_Dairy_Methane_Equations.VEERG_4_3_1_1__4_FractionVolatileSolidsNotSolidStorage(U155,$Q166)</f>
        <v>8.8999999999999996E-2</v>
      </c>
      <c r="V177" s="2"/>
    </row>
    <row r="178" spans="1:23" ht="20.100000000000001" customHeight="1" x14ac:dyDescent="0.25">
      <c r="A178" s="141" t="str">
        <f>HYPERLINK("#A1", "▲ Back to top")</f>
        <v>▲ Back to top</v>
      </c>
      <c r="D178" s="55" t="str">
        <f>'Input - Dairy'!$D$67</f>
        <v>Feed pad</v>
      </c>
      <c r="E178" s="55" t="str">
        <f>'Input - Dairy'!$D$110</f>
        <v>Sump and dispersal system</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Dairy'!$D$110</f>
        <v>Sump and dispersal system</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c r="D179" s="55" t="str">
        <f>'Input - Dairy'!$D$67</f>
        <v>Feed pad</v>
      </c>
      <c r="E179" s="55" t="str">
        <f>'Input - Dairy'!$D$115</f>
        <v>Drains to paddock</v>
      </c>
      <c r="F179" s="55" cm="1">
        <f t="array" ref="F179">MMS_Dairy_Methane_Equations.VEERG_4_3_1_1__4_FractionVolatileSolidsNotSolidStorage(F157,$F168)</f>
        <v>7.1199999999999999E-2</v>
      </c>
      <c r="G179" s="55" cm="1">
        <f t="array" ref="G179">MMS_Dairy_Methane_Equations.VEERG_4_3_1_1__4_FractionVolatileSolidsNotSolidStorage(G157,$F168)</f>
        <v>7.1199999999999999E-2</v>
      </c>
      <c r="H179" s="55" cm="1">
        <f t="array" ref="H179">MMS_Dairy_Methane_Equations.VEERG_4_3_1_1__4_FractionVolatileSolidsNotSolidStorage(H157,$F168)</f>
        <v>7.1199999999999999E-2</v>
      </c>
      <c r="I179" s="55" cm="1">
        <f t="array" ref="I179">MMS_Dairy_Methane_Equations.VEERG_4_3_1_1__4_FractionVolatileSolidsNotSolidStorage(I157,$F168)</f>
        <v>7.1199999999999999E-2</v>
      </c>
      <c r="J179" s="55" cm="1">
        <f t="array" ref="J179">MMS_Dairy_Methane_Equations.VEERG_4_3_1_1__4_FractionVolatileSolidsNotSolidStorage(J157,$F168)</f>
        <v>7.1199999999999999E-2</v>
      </c>
      <c r="K179" s="2"/>
      <c r="O179" s="55" t="str">
        <f>'Input - Dairy'!$D$67</f>
        <v>Feed pad</v>
      </c>
      <c r="P179" s="55" t="str">
        <f>'Input - Dairy'!$D$115</f>
        <v>Drains to paddock</v>
      </c>
      <c r="Q179" s="55" cm="1">
        <f t="array" ref="Q179">MMS_Dairy_Methane_Equations.VEERG_4_3_1_1__4_FractionVolatileSolidsNotSolidStorage(Q157,$Q168)</f>
        <v>7.1199999999999999E-2</v>
      </c>
      <c r="R179" s="55" cm="1">
        <f t="array" ref="R179">MMS_Dairy_Methane_Equations.VEERG_4_3_1_1__4_FractionVolatileSolidsNotSolidStorage(R157,$Q168)</f>
        <v>7.1199999999999999E-2</v>
      </c>
      <c r="S179" s="55" cm="1">
        <f t="array" ref="S179">MMS_Dairy_Methane_Equations.VEERG_4_3_1_1__4_FractionVolatileSolidsNotSolidStorage(S157,$Q168)</f>
        <v>7.1199999999999999E-2</v>
      </c>
      <c r="T179" s="55" cm="1">
        <f t="array" ref="T179">MMS_Dairy_Methane_Equations.VEERG_4_3_1_1__4_FractionVolatileSolidsNotSolidStorage(T157,$Q168)</f>
        <v>7.1199999999999999E-2</v>
      </c>
      <c r="U179" s="55" cm="1">
        <f t="array" ref="U179">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28</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31</v>
      </c>
      <c r="E189" s="1" t="str" cm="1">
        <f t="array" ref="E189">MMS_Dairy_Methane_Equations.VEERG_4_3_1_1__5_FractionVolatileSolidsSolidStorage_Variable()</f>
        <v>FVS_jm4</v>
      </c>
    </row>
    <row r="190" spans="1:23" ht="20.100000000000001" customHeight="1" x14ac:dyDescent="0.25">
      <c r="D190" s="56" t="s">
        <v>21</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251</v>
      </c>
      <c r="O196" s="104" t="s">
        <v>257</v>
      </c>
    </row>
    <row r="197" spans="4:22" ht="20.100000000000001" customHeight="1" x14ac:dyDescent="0.25">
      <c r="D197" s="103" t="s">
        <v>252</v>
      </c>
      <c r="O197" s="103" t="s">
        <v>258</v>
      </c>
    </row>
    <row r="198" spans="4:22" ht="20.100000000000001" customHeight="1" x14ac:dyDescent="0.25">
      <c r="D198" s="41" t="s">
        <v>148</v>
      </c>
      <c r="E198" s="41" t="s">
        <v>69</v>
      </c>
      <c r="F198" s="41" t="s">
        <v>173</v>
      </c>
      <c r="G198" s="41" t="s">
        <v>190</v>
      </c>
      <c r="H198" s="41" t="s">
        <v>191</v>
      </c>
      <c r="I198" s="41" t="s">
        <v>192</v>
      </c>
      <c r="J198" s="41" t="s">
        <v>193</v>
      </c>
      <c r="O198" s="41" t="s">
        <v>148</v>
      </c>
      <c r="P198" s="41" t="s">
        <v>69</v>
      </c>
      <c r="Q198" s="41" t="s">
        <v>173</v>
      </c>
      <c r="R198" s="41" t="s">
        <v>190</v>
      </c>
      <c r="S198" s="41" t="s">
        <v>191</v>
      </c>
      <c r="T198" s="41" t="s">
        <v>192</v>
      </c>
      <c r="U198" s="41" t="s">
        <v>193</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101</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101</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101</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101</v>
      </c>
    </row>
    <row r="201" spans="4:22" ht="20.100000000000001" customHeight="1" x14ac:dyDescent="0.25"/>
    <row r="202" spans="4:22" ht="20.100000000000001" customHeight="1" x14ac:dyDescent="0.25">
      <c r="D202" s="104" t="s">
        <v>255</v>
      </c>
      <c r="O202" s="104" t="s">
        <v>259</v>
      </c>
    </row>
    <row r="203" spans="4:22" ht="20.100000000000001" customHeight="1" x14ac:dyDescent="0.25">
      <c r="D203" s="103" t="s">
        <v>256</v>
      </c>
      <c r="O203" s="103" t="s">
        <v>260</v>
      </c>
    </row>
    <row r="204" spans="4:22" ht="20.100000000000001" customHeight="1" x14ac:dyDescent="0.25">
      <c r="D204" s="54" t="s">
        <v>148</v>
      </c>
      <c r="E204" s="54" t="s">
        <v>69</v>
      </c>
      <c r="F204" s="54" t="s">
        <v>173</v>
      </c>
      <c r="G204" s="54" t="s">
        <v>190</v>
      </c>
      <c r="H204" s="54" t="s">
        <v>191</v>
      </c>
      <c r="I204" s="54" t="s">
        <v>192</v>
      </c>
      <c r="J204" s="54" t="s">
        <v>193</v>
      </c>
      <c r="O204" s="54" t="s">
        <v>148</v>
      </c>
      <c r="P204" s="54" t="s">
        <v>69</v>
      </c>
      <c r="Q204" s="54" t="s">
        <v>173</v>
      </c>
      <c r="R204" s="54" t="s">
        <v>190</v>
      </c>
      <c r="S204" s="54" t="s">
        <v>191</v>
      </c>
      <c r="T204" s="54" t="s">
        <v>192</v>
      </c>
      <c r="U204" s="54" t="s">
        <v>193</v>
      </c>
    </row>
    <row r="205" spans="4:22" ht="20.100000000000001" customHeight="1" x14ac:dyDescent="0.25">
      <c r="D205" s="55" t="str">
        <f>'Input - Dairy'!$D$66</f>
        <v>Milking shed</v>
      </c>
      <c r="E205" s="55" t="s">
        <v>407</v>
      </c>
      <c r="F205" s="55" cm="1">
        <f t="array" ref="F205">MMS_Dairy_Methane_Equations.VEERG_4_3_1_1__5_FractionVolatileSolidsSolidStorageVariation(F199,F152,$F163,F153,$F164,F154,$F165)</f>
        <v>4.3999999999999997E-2</v>
      </c>
      <c r="G205" s="55" cm="1">
        <f t="array" ref="G205">MMS_Dairy_Methane_Equations.VEERG_4_3_1_1__5_FractionVolatileSolidsSolidStorageVariation(G199,G152,$F163,G153,$F164,G154,$F165)</f>
        <v>4.3999999999999997E-2</v>
      </c>
      <c r="H205" s="55" cm="1">
        <f t="array" ref="H205">MMS_Dairy_Methane_Equations.VEERG_4_3_1_1__5_FractionVolatileSolidsSolidStorageVariation(H199,H152,$F163,H153,$F164,H154,$F165)</f>
        <v>4.3999999999999997E-2</v>
      </c>
      <c r="I205" s="55" cm="1">
        <f t="array" ref="I205">MMS_Dairy_Methane_Equations.VEERG_4_3_1_1__5_FractionVolatileSolidsSolidStorageVariation(I199,I152,$F163,I153,$F164,I154,$F165)</f>
        <v>4.3999999999999997E-2</v>
      </c>
      <c r="J205" s="55" cm="1">
        <f t="array" ref="J205">MMS_Dairy_Methane_Equations.VEERG_4_3_1_1__5_FractionVolatileSolidsSolidStorageVariation(J199,J152,$F163,J153,$F164,J154,$F165)</f>
        <v>4.3999999999999997E-2</v>
      </c>
      <c r="K205" s="2" t="str">
        <f>$E$190</f>
        <v>fraction</v>
      </c>
      <c r="O205" s="55" t="str">
        <f>'Input - Dairy'!$D$66</f>
        <v>Milking shed</v>
      </c>
      <c r="P205" s="55" t="s">
        <v>407</v>
      </c>
      <c r="Q205" s="55" cm="1">
        <f t="array" ref="Q205">MMS_Dairy_Methane_Equations.VEERG_4_3_1_1__5_FractionVolatileSolidsSolidStorageVariation(Q199,Q152,$Q163,Q153,$Q164,Q154,$Q165)</f>
        <v>4.3999999999999997E-2</v>
      </c>
      <c r="R205" s="55" cm="1">
        <f t="array" ref="R205">MMS_Dairy_Methane_Equations.VEERG_4_3_1_1__5_FractionVolatileSolidsSolidStorageVariation(R199,R152,$Q163,R153,$Q164,R154,$Q165)</f>
        <v>4.3999999999999997E-2</v>
      </c>
      <c r="S205" s="55" cm="1">
        <f t="array" ref="S205">MMS_Dairy_Methane_Equations.VEERG_4_3_1_1__5_FractionVolatileSolidsSolidStorageVariation(S199,S152,$Q163,S153,$Q164,S154,$Q165)</f>
        <v>4.3999999999999997E-2</v>
      </c>
      <c r="T205" s="55" cm="1">
        <f t="array" ref="T205">MMS_Dairy_Methane_Equations.VEERG_4_3_1_1__5_FractionVolatileSolidsSolidStorageVariation(T199,T152,$Q163,T153,$Q164,T154,$Q165)</f>
        <v>4.3999999999999997E-2</v>
      </c>
      <c r="U205" s="55" cm="1">
        <f t="array" ref="U205">MMS_Dairy_Methane_Equations.VEERG_4_3_1_1__5_FractionVolatileSolidsSolidStorageVariation(U199,U152,$Q163,U153,$Q164,U154,$Q165)</f>
        <v>4.3999999999999997E-2</v>
      </c>
      <c r="V205" s="2" t="str">
        <f>$E$190</f>
        <v>fraction</v>
      </c>
    </row>
    <row r="206" spans="4:22" ht="20.100000000000001" customHeight="1" x14ac:dyDescent="0.25">
      <c r="D206" s="55" t="str">
        <f>'Input - Dairy'!$D$67</f>
        <v>Feed pad</v>
      </c>
      <c r="E206" s="55" t="s">
        <v>407</v>
      </c>
      <c r="F206" s="55" cm="1">
        <f t="array" ref="F206">MMS_Dairy_Methane_Equations.VEERG_4_3_1_1__5_FractionVolatileSolidsSolidStorageVariation(F200,F155,$F166,F156,$F167,F157,$F168)</f>
        <v>0.12459999999999999</v>
      </c>
      <c r="G206" s="55" cm="1">
        <f t="array" ref="G206">MMS_Dairy_Methane_Equations.VEERG_4_3_1_1__5_FractionVolatileSolidsSolidStorageVariation(G200,G155,$F166,G156,$F167,G157,$F168)</f>
        <v>0.12459999999999999</v>
      </c>
      <c r="H206" s="55" cm="1">
        <f t="array" ref="H206">MMS_Dairy_Methane_Equations.VEERG_4_3_1_1__5_FractionVolatileSolidsSolidStorageVariation(H200,H155,$F166,H156,$F167,H157,$F168)</f>
        <v>0.12459999999999999</v>
      </c>
      <c r="I206" s="55" cm="1">
        <f t="array" ref="I206">MMS_Dairy_Methane_Equations.VEERG_4_3_1_1__5_FractionVolatileSolidsSolidStorageVariation(I200,I155,$F166,I156,$F167,I157,$F168)</f>
        <v>0.12459999999999999</v>
      </c>
      <c r="J206" s="55" cm="1">
        <f t="array" ref="J206">MMS_Dairy_Methane_Equations.VEERG_4_3_1_1__5_FractionVolatileSolidsSolidStorageVariation(J200,J155,$F166,J156,$F167,J157,$F168)</f>
        <v>0.12459999999999999</v>
      </c>
      <c r="K206" s="2" t="str">
        <f>$E$190</f>
        <v>fraction</v>
      </c>
      <c r="O206" s="55" t="str">
        <f>'Input - Dairy'!$D$67</f>
        <v>Feed pad</v>
      </c>
      <c r="P206" s="55" t="s">
        <v>407</v>
      </c>
      <c r="Q206" s="55" cm="1">
        <f t="array" ref="Q206">MMS_Dairy_Methane_Equations.VEERG_4_3_1_1__5_FractionVolatileSolidsSolidStorageVariation(Q200,Q155,$Q166,Q156,$Q167,Q157,$Q168)</f>
        <v>0.12459999999999999</v>
      </c>
      <c r="R206" s="55" cm="1">
        <f t="array" ref="R206">MMS_Dairy_Methane_Equations.VEERG_4_3_1_1__5_FractionVolatileSolidsSolidStorageVariation(R200,R155,$Q166,R156,$Q167,R157,$Q168)</f>
        <v>0.12459999999999999</v>
      </c>
      <c r="S206" s="55" cm="1">
        <f t="array" ref="S206">MMS_Dairy_Methane_Equations.VEERG_4_3_1_1__5_FractionVolatileSolidsSolidStorageVariation(S200,S155,$Q166,S156,$Q167,S157,$Q168)</f>
        <v>0.12459999999999999</v>
      </c>
      <c r="T206" s="55" cm="1">
        <f t="array" ref="T206">MMS_Dairy_Methane_Equations.VEERG_4_3_1_1__5_FractionVolatileSolidsSolidStorageVariation(T200,T155,$Q166,T156,$Q167,T157,$Q168)</f>
        <v>0.12459999999999999</v>
      </c>
      <c r="U206" s="55" cm="1">
        <f t="array" ref="U206">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28</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31</v>
      </c>
      <c r="E215" s="1" t="str" cm="1">
        <f t="array" ref="E215">MMS_Dairy_Methane_Equations.VEERG_4_3_1_1__2_MethaneFromManureProduction_Variable()</f>
        <v>M_jm</v>
      </c>
    </row>
    <row r="216" spans="1:23" ht="20.100000000000001" customHeight="1" x14ac:dyDescent="0.25">
      <c r="D216" s="56" t="s">
        <v>21</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'Input - Site'!$E$25</f>
        <v>18</v>
      </c>
    </row>
    <row r="224" spans="1:23" ht="20.100000000000001" customHeight="1" x14ac:dyDescent="0.25"/>
    <row r="225" spans="4:22" ht="20.100000000000001" customHeight="1" x14ac:dyDescent="0.25">
      <c r="D225" s="128" t="s">
        <v>261</v>
      </c>
      <c r="O225" s="128" t="s">
        <v>418</v>
      </c>
    </row>
    <row r="226" spans="4:22" ht="20.100000000000001" customHeight="1" x14ac:dyDescent="0.25">
      <c r="D226" s="129" t="s">
        <v>262</v>
      </c>
      <c r="O226" s="129" t="s">
        <v>419</v>
      </c>
    </row>
    <row r="227" spans="4:22" ht="20.100000000000001" customHeight="1" x14ac:dyDescent="0.25">
      <c r="D227" s="54" t="s">
        <v>69</v>
      </c>
      <c r="E227" s="54" t="s">
        <v>100</v>
      </c>
      <c r="O227" s="54" t="s">
        <v>69</v>
      </c>
      <c r="P227" s="54" t="s">
        <v>100</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420</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417</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416</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263</v>
      </c>
      <c r="O234" s="128" t="s">
        <v>277</v>
      </c>
    </row>
    <row r="235" spans="4:22" ht="20.100000000000001" customHeight="1" x14ac:dyDescent="0.25">
      <c r="D235" s="129" t="s">
        <v>279</v>
      </c>
      <c r="O235" s="129" t="s">
        <v>278</v>
      </c>
    </row>
    <row r="236" spans="4:22" ht="20.100000000000001" customHeight="1" x14ac:dyDescent="0.25">
      <c r="D236" s="54" t="s">
        <v>148</v>
      </c>
      <c r="E236" s="54" t="s">
        <v>69</v>
      </c>
      <c r="F236" s="54" t="s">
        <v>173</v>
      </c>
      <c r="G236" s="54" t="s">
        <v>190</v>
      </c>
      <c r="H236" s="54" t="s">
        <v>191</v>
      </c>
      <c r="I236" s="54" t="s">
        <v>192</v>
      </c>
      <c r="J236" s="54" t="s">
        <v>193</v>
      </c>
      <c r="O236" s="54" t="s">
        <v>148</v>
      </c>
      <c r="P236" s="54" t="s">
        <v>69</v>
      </c>
      <c r="Q236" s="54" t="s">
        <v>173</v>
      </c>
      <c r="R236" s="54" t="s">
        <v>190</v>
      </c>
      <c r="S236" s="54" t="s">
        <v>191</v>
      </c>
      <c r="T236" s="54" t="s">
        <v>192</v>
      </c>
      <c r="U236" s="54" t="s">
        <v>193</v>
      </c>
    </row>
    <row r="237" spans="4:22" ht="20.100000000000001" customHeight="1" x14ac:dyDescent="0.25">
      <c r="D237" s="55" t="str">
        <f>'Input - Dairy'!$D$65</f>
        <v>Pasture</v>
      </c>
      <c r="E237" s="55" t="str">
        <f>'Constants - Livestock'!$E$27</f>
        <v>Pasture range and paddock</v>
      </c>
      <c r="F237" s="55" cm="1">
        <f t="array" ref="F237">MMS_Dairy_Methane_Equations.VEERG_4_3_1_1__2_MethaneFromManureProduction(D$133,F173,_xlfn.XLOOKUP($E237,$D$228:$D$232,$E$228:$E$232),$I$221,$I$222)</f>
        <v>4.3689196218983364E-3</v>
      </c>
      <c r="G237" s="55" cm="1">
        <f t="array" ref="G237">MMS_Dairy_Methane_Equations.VEERG_4_3_1_1__2_MethaneFromManureProduction(E$133,G173,_xlfn.XLOOKUP($E237,$D$228:$D$232,$E$228:$E$232),$I$221,$I$222)</f>
        <v>1.7209245840165332E-3</v>
      </c>
      <c r="H237" s="55" cm="1">
        <f t="array" ref="H237">MMS_Dairy_Methane_Equations.VEERG_4_3_1_1__2_MethaneFromManureProduction(F$133,H173,_xlfn.XLOOKUP($E237,$D$228:$D$232,$E$228:$E$232),$I$221,$I$222)</f>
        <v>9.3323909012537774E-4</v>
      </c>
      <c r="I237" s="55" cm="1">
        <f t="array" ref="I237">MMS_Dairy_Methane_Equations.VEERG_4_3_1_1__2_MethaneFromManureProduction(G$133,I173,_xlfn.XLOOKUP($E237,$D$228:$D$232,$E$228:$E$232),$I$221,$I$222)</f>
        <v>2.0939609577804406E-3</v>
      </c>
      <c r="J237" s="55" cm="1">
        <f t="array" ref="J237">MMS_Dairy_Methane_Equations.VEERG_4_3_1_1__2_MethaneFromManureProduction(H$133,J173,_xlfn.XLOOKUP($E237,$D$228:$D$232,$E$228:$E$232),$I$221,$I$222)</f>
        <v>1.2559439850690533E-3</v>
      </c>
      <c r="K237" s="2" t="str">
        <f>$E$216</f>
        <v>kg CH4/head/day</v>
      </c>
      <c r="O237" s="55" t="str">
        <f>'Input - Dairy'!$D$65</f>
        <v>Pasture</v>
      </c>
      <c r="P237" s="55" t="str">
        <f>'Constants - Livestock'!$E$27</f>
        <v>Pasture range and paddock</v>
      </c>
      <c r="Q237" s="55" cm="1">
        <f t="array" ref="Q237">MMS_Dairy_Methane_Equations.VEERG_4_3_1_1__2_MethaneFromManureProduction(O$133,Q173,_xlfn.XLOOKUP($P237,$O$228:$O$232,$P$228:$P$232),$I$221,$I$222)</f>
        <v>4.3689196218983364E-3</v>
      </c>
      <c r="R237" s="55" cm="1">
        <f t="array" ref="R237">MMS_Dairy_Methane_Equations.VEERG_4_3_1_1__2_MethaneFromManureProduction(P$133,R173,_xlfn.XLOOKUP($P237,$O$228:$O$232,$P$228:$P$232),$I$221,$I$222)</f>
        <v>1.7209245840165332E-3</v>
      </c>
      <c r="S237" s="55" cm="1">
        <f t="array" ref="S237">MMS_Dairy_Methane_Equations.VEERG_4_3_1_1__2_MethaneFromManureProduction(Q$133,S173,_xlfn.XLOOKUP($P237,$O$228:$O$232,$P$228:$P$232),$I$221,$I$222)</f>
        <v>9.3323909012537774E-4</v>
      </c>
      <c r="T237" s="55" cm="1">
        <f t="array" ref="T237">MMS_Dairy_Methane_Equations.VEERG_4_3_1_1__2_MethaneFromManureProduction(R$133,T173,_xlfn.XLOOKUP($P237,$O$228:$O$232,$P$228:$P$232),$I$221,$I$222)</f>
        <v>2.0939609577804406E-3</v>
      </c>
      <c r="U237" s="55" cm="1">
        <f t="array" ref="U237">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'Input - Dairy'!$D$66</f>
        <v>Milking shed</v>
      </c>
      <c r="E238" s="55" t="str">
        <f>'Input - Dairy'!$D$81</f>
        <v>Anaerobic lagoon</v>
      </c>
      <c r="F238" s="55" cm="1">
        <f t="array" ref="F238">MMS_Dairy_Methane_Equations.VEERG_4_3_1_1__2_MethaneFromManureProduction(D$133,F174,_xlfn.XLOOKUP($E238,$D$228:$D$232,$E$228:$E$232),$I$221,$I$222)</f>
        <v>1.367946368504498E-2</v>
      </c>
      <c r="G238" s="55" cm="1">
        <f t="array" ref="G238">MMS_Dairy_Methane_Equations.VEERG_4_3_1_1__2_MethaneFromManureProduction(E$133,G174,_xlfn.XLOOKUP($E238,$D$228:$D$232,$E$228:$E$232),$I$221,$I$222)</f>
        <v>5.3883631169955861E-3</v>
      </c>
      <c r="H238" s="55" cm="1">
        <f t="array" ref="H238">MMS_Dairy_Methane_Equations.VEERG_4_3_1_1__2_MethaneFromManureProduction(F$133,H174,_xlfn.XLOOKUP($E238,$D$228:$D$232,$E$228:$E$232),$I$221,$I$222)</f>
        <v>2.922051982564853E-3</v>
      </c>
      <c r="I238" s="55" cm="1">
        <f t="array" ref="I238">MMS_Dairy_Methane_Equations.VEERG_4_3_1_1__2_MethaneFromManureProduction(G$133,I174,_xlfn.XLOOKUP($E238,$D$228:$D$232,$E$228:$E$232),$I$221,$I$222)</f>
        <v>6.556372137469845E-3</v>
      </c>
      <c r="J238" s="55" cm="1">
        <f t="array" ref="J238">MMS_Dairy_Methane_Equations.VEERG_4_3_1_1__2_MethaneFromManureProduction(H$133,J174,_xlfn.XLOOKUP($E238,$D$228:$D$232,$E$228:$E$232),$I$221,$I$222)</f>
        <v>3.9324688071825046E-3</v>
      </c>
      <c r="O238" s="55" t="str">
        <f>'Input - Dairy'!$D$66</f>
        <v>Milking shed</v>
      </c>
      <c r="P238" s="55" t="str">
        <f>'Input - Dairy'!$D$81</f>
        <v>Anaerobic lagoon</v>
      </c>
      <c r="Q238" s="55" cm="1">
        <f t="array" ref="Q238">MMS_Dairy_Methane_Equations.VEERG_4_3_1_1__2_MethaneFromManureProduction(O$133,Q174,_xlfn.XLOOKUP($P238,$O$228:$O$232,$P$228:$P$232),$I$221,$I$222)</f>
        <v>1.3859456628269253E-2</v>
      </c>
      <c r="R238" s="55" cm="1">
        <f t="array" ref="R238">MMS_Dairy_Methane_Equations.VEERG_4_3_1_1__2_MethaneFromManureProduction(P$133,R174,_xlfn.XLOOKUP($P238,$O$228:$O$232,$P$228:$P$232),$I$221,$I$222)</f>
        <v>5.4592626316928971E-3</v>
      </c>
      <c r="S238" s="55" cm="1">
        <f t="array" ref="S238">MMS_Dairy_Methane_Equations.VEERG_4_3_1_1__2_MethaneFromManureProduction(Q$133,S174,_xlfn.XLOOKUP($P238,$O$228:$O$232,$P$228:$P$232),$I$221,$I$222)</f>
        <v>2.9605000349670215E-3</v>
      </c>
      <c r="T238" s="55" cm="1">
        <f t="array" ref="T238">MMS_Dairy_Methane_Equations.VEERG_4_3_1_1__2_MethaneFromManureProduction(R$133,T174,_xlfn.XLOOKUP($P238,$O$228:$O$232,$P$228:$P$232),$I$221,$I$222)</f>
        <v>6.6426401919102386E-3</v>
      </c>
      <c r="U238" s="55" cm="1">
        <f t="array" ref="U238">MMS_Dairy_Methane_Equations.VEERG_4_3_1_1__2_MethaneFromManureProduction(S$133,U174,_xlfn.XLOOKUP($P238,$O$228:$O$232,$P$228:$P$232),$I$221,$I$222)</f>
        <v>3.9842118178033264E-3</v>
      </c>
    </row>
    <row r="239" spans="4:22" ht="20.100000000000001" customHeight="1" x14ac:dyDescent="0.25">
      <c r="D239" s="55" t="str">
        <f>'Input - Dairy'!$D$66</f>
        <v>Milking shed</v>
      </c>
      <c r="E239" s="55" t="str">
        <f>'Input - Dairy'!$D$86</f>
        <v>Sump and dispersal system</v>
      </c>
      <c r="F239" s="55" cm="1">
        <f t="array" ref="F239">MMS_Dairy_Methane_Equations.VEERG_4_3_1_1__2_MethaneFromManureProduction(D$133,F175,_xlfn.XLOOKUP($E239,$D$228:$D$232,$E$228:$E$232),$I$221,$I$222)</f>
        <v>8.9996471612138024E-5</v>
      </c>
      <c r="G239" s="55" cm="1">
        <f t="array" ref="G239">MMS_Dairy_Methane_Equations.VEERG_4_3_1_1__2_MethaneFromManureProduction(E$133,G175,_xlfn.XLOOKUP($E239,$D$228:$D$232,$E$228:$E$232),$I$221,$I$222)</f>
        <v>3.5449757348655176E-5</v>
      </c>
      <c r="H239" s="55" cm="1">
        <f t="array" ref="H239">MMS_Dairy_Methane_Equations.VEERG_4_3_1_1__2_MethaneFromManureProduction(F$133,H175,_xlfn.XLOOKUP($E239,$D$228:$D$232,$E$228:$E$232),$I$221,$I$222)</f>
        <v>1.9224026201084556E-5</v>
      </c>
      <c r="I239" s="55" cm="1">
        <f t="array" ref="I239">MMS_Dairy_Methane_Equations.VEERG_4_3_1_1__2_MethaneFromManureProduction(G$133,I175,_xlfn.XLOOKUP($E239,$D$228:$D$232,$E$228:$E$232),$I$221,$I$222)</f>
        <v>4.313402722019635E-5</v>
      </c>
      <c r="J239" s="55" cm="1">
        <f t="array" ref="J239">MMS_Dairy_Methane_Equations.VEERG_4_3_1_1__2_MethaneFromManureProduction(H$133,J175,_xlfn.XLOOKUP($E239,$D$228:$D$232,$E$228:$E$232),$I$221,$I$222)</f>
        <v>2.587150531041121E-5</v>
      </c>
      <c r="K239" s="2"/>
      <c r="O239" s="55" t="str">
        <f>'Input - Dairy'!$D$66</f>
        <v>Milking shed</v>
      </c>
      <c r="P239" s="55" t="str">
        <f>'Input - Dairy'!$D$86</f>
        <v>Sump and dispersal system</v>
      </c>
      <c r="Q239" s="55" cm="1">
        <f t="array" ref="Q239">MMS_Dairy_Methane_Equations.VEERG_4_3_1_1__2_MethaneFromManureProduction(O$133,Q175,_xlfn.XLOOKUP($P239,$O$228:$O$232,$P$228:$P$232),$I$221,$I$222)</f>
        <v>8.9996471612138024E-5</v>
      </c>
      <c r="R239" s="55" cm="1">
        <f t="array" ref="R239">MMS_Dairy_Methane_Equations.VEERG_4_3_1_1__2_MethaneFromManureProduction(P$133,R175,_xlfn.XLOOKUP($P239,$O$228:$O$232,$P$228:$P$232),$I$221,$I$222)</f>
        <v>3.5449757348655176E-5</v>
      </c>
      <c r="S239" s="55" cm="1">
        <f t="array" ref="S239">MMS_Dairy_Methane_Equations.VEERG_4_3_1_1__2_MethaneFromManureProduction(Q$133,S175,_xlfn.XLOOKUP($P239,$O$228:$O$232,$P$228:$P$232),$I$221,$I$222)</f>
        <v>1.9224026201084556E-5</v>
      </c>
      <c r="T239" s="55" cm="1">
        <f t="array" ref="T239">MMS_Dairy_Methane_Equations.VEERG_4_3_1_1__2_MethaneFromManureProduction(R$133,T175,_xlfn.XLOOKUP($P239,$O$228:$O$232,$P$228:$P$232),$I$221,$I$222)</f>
        <v>4.313402722019635E-5</v>
      </c>
      <c r="U239" s="55" cm="1">
        <f t="array" ref="U239">MMS_Dairy_Methane_Equations.VEERG_4_3_1_1__2_MethaneFromManureProduction(S$133,U175,_xlfn.XLOOKUP($P239,$O$228:$O$232,$P$228:$P$232),$I$221,$I$222)</f>
        <v>2.587150531041121E-5</v>
      </c>
      <c r="V239" s="2"/>
    </row>
    <row r="240" spans="4:22" ht="20.100000000000001" customHeight="1" x14ac:dyDescent="0.25">
      <c r="D240" s="55" t="str">
        <f>'Input - Dairy'!$D$66</f>
        <v>Milking shed</v>
      </c>
      <c r="E240" s="55" t="str">
        <f>'Input - Dairy'!$D$91</f>
        <v>Drains to paddock</v>
      </c>
      <c r="F240" s="55" cm="1">
        <f t="array" ref="F240">MMS_Dairy_Methane_Equations.VEERG_4_3_1_1__2_MethaneFromManureProduction(D$133,F176,_xlfn.XLOOKUP($E240,$D$228:$D$232,$E$228:$E$232),$I$221,$I$222)</f>
        <v>3.2398729780369687E-3</v>
      </c>
      <c r="G240" s="55" cm="1">
        <f t="array" ref="G240">MMS_Dairy_Methane_Equations.VEERG_4_3_1_1__2_MethaneFromManureProduction(E$133,G176,_xlfn.XLOOKUP($E240,$D$228:$D$232,$E$228:$E$232),$I$221,$I$222)</f>
        <v>1.2761912645515865E-3</v>
      </c>
      <c r="H240" s="55" cm="1">
        <f t="array" ref="H240">MMS_Dairy_Methane_Equations.VEERG_4_3_1_1__2_MethaneFromManureProduction(F$133,H176,_xlfn.XLOOKUP($E240,$D$228:$D$232,$E$228:$E$232),$I$221,$I$222)</f>
        <v>6.9206494323904399E-4</v>
      </c>
      <c r="I240" s="55" cm="1">
        <f t="array" ref="I240">MMS_Dairy_Methane_Equations.VEERG_4_3_1_1__2_MethaneFromManureProduction(G$133,I176,_xlfn.XLOOKUP($E240,$D$228:$D$232,$E$228:$E$232),$I$221,$I$222)</f>
        <v>1.5528249799270685E-3</v>
      </c>
      <c r="J240" s="55" cm="1">
        <f t="array" ref="J240">MMS_Dairy_Methane_Equations.VEERG_4_3_1_1__2_MethaneFromManureProduction(H$133,J176,_xlfn.XLOOKUP($E240,$D$228:$D$232,$E$228:$E$232),$I$221,$I$222)</f>
        <v>9.3137419117480342E-4</v>
      </c>
      <c r="K240" s="2"/>
      <c r="O240" s="55" t="str">
        <f>'Input - Dairy'!$D$66</f>
        <v>Milking shed</v>
      </c>
      <c r="P240" s="55" t="str">
        <f>'Input - Dairy'!$D$91</f>
        <v>Drains to paddock</v>
      </c>
      <c r="Q240" s="55" cm="1">
        <f t="array" ref="Q240">MMS_Dairy_Methane_Equations.VEERG_4_3_1_1__2_MethaneFromManureProduction(O$133,Q176,_xlfn.XLOOKUP($P240,$O$228:$O$232,$P$228:$P$232),$I$221,$I$222)</f>
        <v>3.9598447509340724E-3</v>
      </c>
      <c r="R240" s="55" cm="1">
        <f t="array" ref="R240">MMS_Dairy_Methane_Equations.VEERG_4_3_1_1__2_MethaneFromManureProduction(P$133,R176,_xlfn.XLOOKUP($P240,$O$228:$O$232,$P$228:$P$232),$I$221,$I$222)</f>
        <v>1.5597893233408276E-3</v>
      </c>
      <c r="S240" s="55" cm="1">
        <f t="array" ref="S240">MMS_Dairy_Methane_Equations.VEERG_4_3_1_1__2_MethaneFromManureProduction(Q$133,S176,_xlfn.XLOOKUP($P240,$O$228:$O$232,$P$228:$P$232),$I$221,$I$222)</f>
        <v>8.4585715284772047E-4</v>
      </c>
      <c r="T240" s="55" cm="1">
        <f t="array" ref="T240">MMS_Dairy_Methane_Equations.VEERG_4_3_1_1__2_MethaneFromManureProduction(R$133,T176,_xlfn.XLOOKUP($P240,$O$228:$O$232,$P$228:$P$232),$I$221,$I$222)</f>
        <v>1.8978971976886393E-3</v>
      </c>
      <c r="U240" s="55" cm="1">
        <f t="array" ref="U240">MMS_Dairy_Methane_Equations.VEERG_4_3_1_1__2_MethaneFromManureProduction(S$133,U176,_xlfn.XLOOKUP($P240,$O$228:$O$232,$P$228:$P$232),$I$221,$I$222)</f>
        <v>1.1383462336580932E-3</v>
      </c>
      <c r="V240" s="2"/>
    </row>
    <row r="241" spans="3:23" ht="20.100000000000001" customHeight="1" x14ac:dyDescent="0.25">
      <c r="D241" s="55" t="str">
        <f>'Input - Dairy'!$D$66</f>
        <v>Milking shed</v>
      </c>
      <c r="E241" s="55" t="s">
        <v>407</v>
      </c>
      <c r="F241" s="55" cm="1">
        <f t="array" ref="F241">MMS_Dairy_Methane_Equations.VEERG_4_3_1_1__2_MethaneFromManureProduction(D$133,F205,_xlfn.XLOOKUP($E241,$D$228:$D$232,$E$228:$E$232),$I$221,$I$222)</f>
        <v>7.1997177289710409E-4</v>
      </c>
      <c r="G241" s="55" cm="1">
        <f t="array" ref="G241">MMS_Dairy_Methane_Equations.VEERG_4_3_1_1__2_MethaneFromManureProduction(E$133,G205,_xlfn.XLOOKUP($E241,$D$228:$D$232,$E$228:$E$232),$I$221,$I$222)</f>
        <v>2.8359805878924141E-4</v>
      </c>
      <c r="H241" s="55" cm="1">
        <f t="array" ref="H241">MMS_Dairy_Methane_Equations.VEERG_4_3_1_1__2_MethaneFromManureProduction(F$133,H205,_xlfn.XLOOKUP($E241,$D$228:$D$232,$E$228:$E$232),$I$221,$I$222)</f>
        <v>1.5379220960867642E-4</v>
      </c>
      <c r="I241" s="55" cm="1">
        <f t="array" ref="I241">MMS_Dairy_Methane_Equations.VEERG_4_3_1_1__2_MethaneFromManureProduction(G$133,I205,_xlfn.XLOOKUP($E241,$D$228:$D$232,$E$228:$E$232),$I$221,$I$222)</f>
        <v>3.4507221776157069E-4</v>
      </c>
      <c r="J241" s="55" cm="1">
        <f t="array" ref="J241">MMS_Dairy_Methane_Equations.VEERG_4_3_1_1__2_MethaneFromManureProduction(H$133,J205,_xlfn.XLOOKUP($E241,$D$228:$D$232,$E$228:$E$232),$I$221,$I$222)</f>
        <v>2.0697204248328968E-4</v>
      </c>
      <c r="K241" s="2"/>
      <c r="O241" s="55" t="str">
        <f>'Input - Dairy'!$D$66</f>
        <v>Milking shed</v>
      </c>
      <c r="P241" s="55" t="s">
        <v>407</v>
      </c>
      <c r="Q241" s="55" cm="1">
        <f t="array" ref="Q241">MMS_Dairy_Methane_Equations.VEERG_4_3_1_1__2_MethaneFromManureProduction(O$133,Q205,_xlfn.XLOOKUP($P241,$O$228:$O$232,$P$228:$P$232),$I$221,$I$222)</f>
        <v>7.1997177289710409E-4</v>
      </c>
      <c r="R241" s="55" cm="1">
        <f t="array" ref="R241">MMS_Dairy_Methane_Equations.VEERG_4_3_1_1__2_MethaneFromManureProduction(P$133,R205,_xlfn.XLOOKUP($P241,$O$228:$O$232,$P$228:$P$232),$I$221,$I$222)</f>
        <v>2.8359805878924141E-4</v>
      </c>
      <c r="S241" s="55" cm="1">
        <f t="array" ref="S241">MMS_Dairy_Methane_Equations.VEERG_4_3_1_1__2_MethaneFromManureProduction(Q$133,S205,_xlfn.XLOOKUP($P241,$O$228:$O$232,$P$228:$P$232),$I$221,$I$222)</f>
        <v>1.5379220960867642E-4</v>
      </c>
      <c r="T241" s="55" cm="1">
        <f t="array" ref="T241">MMS_Dairy_Methane_Equations.VEERG_4_3_1_1__2_MethaneFromManureProduction(R$133,T205,_xlfn.XLOOKUP($P241,$O$228:$O$232,$P$228:$P$232),$I$221,$I$222)</f>
        <v>3.4507221776157069E-4</v>
      </c>
      <c r="U241" s="55" cm="1">
        <f t="array" ref="U241">MMS_Dairy_Methane_Equations.VEERG_4_3_1_1__2_MethaneFromManureProduction(S$133,U205,_xlfn.XLOOKUP($P241,$O$228:$O$232,$P$228:$P$232),$I$221,$I$222)</f>
        <v>2.0697204248328968E-4</v>
      </c>
      <c r="V241" s="2"/>
    </row>
    <row r="242" spans="3:23" ht="20.100000000000001" customHeight="1" x14ac:dyDescent="0.25">
      <c r="D242" s="55" t="str">
        <f>'Input - Dairy'!$D$67</f>
        <v>Feed pad</v>
      </c>
      <c r="E242" s="55" t="str">
        <f>'Input - Dairy'!$D$105</f>
        <v>Anaerobic lagoon</v>
      </c>
      <c r="F242" s="55" cm="1">
        <f t="array" ref="F242">MMS_Dairy_Methane_Equations.VEERG_4_3_1_1__2_MethaneFromManureProduction(D$133,F177,_xlfn.XLOOKUP($E242,$D$228:$D$232,$E$228:$E$232),$I$221,$I$222)</f>
        <v>5.5339648544045585E-2</v>
      </c>
      <c r="G242" s="55" cm="1">
        <f t="array" ref="G242">MMS_Dairy_Methane_Equations.VEERG_4_3_1_1__2_MethaneFromManureProduction(E$133,G177,_xlfn.XLOOKUP($E242,$D$228:$D$232,$E$228:$E$232),$I$221,$I$222)</f>
        <v>2.1798378064209416E-2</v>
      </c>
      <c r="H242" s="55" cm="1">
        <f t="array" ref="H242">MMS_Dairy_Methane_Equations.VEERG_4_3_1_1__2_MethaneFromManureProduction(F$133,H177,_xlfn.XLOOKUP($E242,$D$228:$D$232,$E$228:$E$232),$I$221,$I$222)</f>
        <v>1.1821028474921448E-2</v>
      </c>
      <c r="I242" s="55" cm="1">
        <f t="array" ref="I242">MMS_Dairy_Methane_Equations.VEERG_4_3_1_1__2_MethaneFromManureProduction(G$133,I177,_xlfn.XLOOKUP($E242,$D$228:$D$232,$E$228:$E$232),$I$221,$I$222)</f>
        <v>2.6523505465218911E-2</v>
      </c>
      <c r="J242" s="55" cm="1">
        <f t="array" ref="J242">MMS_Dairy_Methane_Equations.VEERG_4_3_1_1__2_MethaneFromManureProduction(H$133,J177,_xlfn.XLOOKUP($E242,$D$228:$D$232,$E$228:$E$232),$I$221,$I$222)</f>
        <v>1.5908623810874673E-2</v>
      </c>
      <c r="K242" s="2"/>
      <c r="O242" s="55" t="str">
        <f>'Input - Dairy'!$D$67</f>
        <v>Feed pad</v>
      </c>
      <c r="P242" s="55" t="str">
        <f>'Input - Dairy'!$D$105</f>
        <v>Anaerobic lagoon</v>
      </c>
      <c r="Q242" s="55" cm="1">
        <f t="array" ref="Q242">MMS_Dairy_Methane_Equations.VEERG_4_3_1_1__2_MethaneFromManureProduction(O$133,Q177,_xlfn.XLOOKUP($P242,$O$228:$O$232,$P$228:$P$232),$I$221,$I$222)</f>
        <v>5.6067801814361974E-2</v>
      </c>
      <c r="R242" s="55" cm="1">
        <f t="array" ref="R242">MMS_Dairy_Methane_Equations.VEERG_4_3_1_1__2_MethaneFromManureProduction(P$133,R177,_xlfn.XLOOKUP($P242,$O$228:$O$232,$P$228:$P$232),$I$221,$I$222)</f>
        <v>2.2085198828212176E-2</v>
      </c>
      <c r="S242" s="55" cm="1">
        <f t="array" ref="S242">MMS_Dairy_Methane_Equations.VEERG_4_3_1_1__2_MethaneFromManureProduction(Q$133,S177,_xlfn.XLOOKUP($P242,$O$228:$O$232,$P$228:$P$232),$I$221,$I$222)</f>
        <v>1.197656832327568E-2</v>
      </c>
      <c r="T242" s="55" cm="1">
        <f t="array" ref="T242">MMS_Dairy_Methane_Equations.VEERG_4_3_1_1__2_MethaneFromManureProduction(R$133,T177,_xlfn.XLOOKUP($P242,$O$228:$O$232,$P$228:$P$232),$I$221,$I$222)</f>
        <v>2.687249895818232E-2</v>
      </c>
      <c r="U242" s="55" cm="1">
        <f t="array" ref="U242">MMS_Dairy_Methane_Equations.VEERG_4_3_1_1__2_MethaneFromManureProduction(S$133,U177,_xlfn.XLOOKUP($P242,$O$228:$O$232,$P$228:$P$232),$I$221,$I$222)</f>
        <v>1.6117947808386185E-2</v>
      </c>
      <c r="V242" s="2"/>
    </row>
    <row r="243" spans="3:23" ht="20.100000000000001" customHeight="1" x14ac:dyDescent="0.25">
      <c r="D243" s="55" t="str">
        <f>'Input - Dairy'!$D$67</f>
        <v>Feed pad</v>
      </c>
      <c r="E243" s="55" t="str">
        <f>'Input - Dairy'!$D$110</f>
        <v>Sump and dispersal system</v>
      </c>
      <c r="F243" s="55" cm="1">
        <f t="array" ref="F243">MMS_Dairy_Methane_Equations.VEERG_4_3_1_1__2_MethaneFromManureProduction(D$133,F178,_xlfn.XLOOKUP($E243,$D$228:$D$232,$E$228:$E$232),$I$221,$I$222)</f>
        <v>2.9126130812655575E-4</v>
      </c>
      <c r="G243" s="55" cm="1">
        <f t="array" ref="G243">MMS_Dairy_Methane_Equations.VEERG_4_3_1_1__2_MethaneFromManureProduction(E$133,G178,_xlfn.XLOOKUP($E243,$D$228:$D$232,$E$228:$E$232),$I$221,$I$222)</f>
        <v>1.1472830560110218E-4</v>
      </c>
      <c r="H243" s="55" cm="1">
        <f t="array" ref="H243">MMS_Dairy_Methane_Equations.VEERG_4_3_1_1__2_MethaneFromManureProduction(F$133,H178,_xlfn.XLOOKUP($E243,$D$228:$D$232,$E$228:$E$232),$I$221,$I$222)</f>
        <v>6.2215939341691832E-5</v>
      </c>
      <c r="I243" s="55" cm="1">
        <f t="array" ref="I243">MMS_Dairy_Methane_Equations.VEERG_4_3_1_1__2_MethaneFromManureProduction(G$133,I178,_xlfn.XLOOKUP($E243,$D$228:$D$232,$E$228:$E$232),$I$221,$I$222)</f>
        <v>1.3959739718536268E-4</v>
      </c>
      <c r="J243" s="55" cm="1">
        <f t="array" ref="J243">MMS_Dairy_Methane_Equations.VEERG_4_3_1_1__2_MethaneFromManureProduction(H$133,J178,_xlfn.XLOOKUP($E243,$D$228:$D$232,$E$228:$E$232),$I$221,$I$222)</f>
        <v>8.3729599004603552E-5</v>
      </c>
      <c r="K243" s="2"/>
      <c r="O243" s="55" t="str">
        <f>'Input - Dairy'!$D$67</f>
        <v>Feed pad</v>
      </c>
      <c r="P243" s="55" t="str">
        <f>'Input - Dairy'!$D$110</f>
        <v>Sump and dispersal system</v>
      </c>
      <c r="Q243" s="55" cm="1">
        <f t="array" ref="Q243">MMS_Dairy_Methane_Equations.VEERG_4_3_1_1__2_MethaneFromManureProduction(O$133,Q178,_xlfn.XLOOKUP($P243,$O$228:$O$232,$P$228:$P$232),$I$221,$I$222)</f>
        <v>2.9126130812655575E-4</v>
      </c>
      <c r="R243" s="55" cm="1">
        <f t="array" ref="R243">MMS_Dairy_Methane_Equations.VEERG_4_3_1_1__2_MethaneFromManureProduction(P$133,R178,_xlfn.XLOOKUP($P243,$O$228:$O$232,$P$228:$P$232),$I$221,$I$222)</f>
        <v>1.1472830560110218E-4</v>
      </c>
      <c r="S243" s="55" cm="1">
        <f t="array" ref="S243">MMS_Dairy_Methane_Equations.VEERG_4_3_1_1__2_MethaneFromManureProduction(Q$133,S178,_xlfn.XLOOKUP($P243,$O$228:$O$232,$P$228:$P$232),$I$221,$I$222)</f>
        <v>6.2215939341691832E-5</v>
      </c>
      <c r="T243" s="55" cm="1">
        <f t="array" ref="T243">MMS_Dairy_Methane_Equations.VEERG_4_3_1_1__2_MethaneFromManureProduction(R$133,T178,_xlfn.XLOOKUP($P243,$O$228:$O$232,$P$228:$P$232),$I$221,$I$222)</f>
        <v>1.3959739718536268E-4</v>
      </c>
      <c r="U243" s="55" cm="1">
        <f t="array" ref="U243">MMS_Dairy_Methane_Equations.VEERG_4_3_1_1__2_MethaneFromManureProduction(S$133,U178,_xlfn.XLOOKUP($P243,$O$228:$O$232,$P$228:$P$232),$I$221,$I$222)</f>
        <v>8.3729599004603552E-5</v>
      </c>
      <c r="V243" s="2"/>
    </row>
    <row r="244" spans="3:23" ht="20.100000000000001" customHeight="1" x14ac:dyDescent="0.25">
      <c r="D244" s="55" t="str">
        <f>'Input - Dairy'!$D$67</f>
        <v>Feed pad</v>
      </c>
      <c r="E244" s="55" t="str">
        <f>'Input - Dairy'!$D$115</f>
        <v>Drains to paddock</v>
      </c>
      <c r="F244" s="55" cm="1">
        <f t="array" ref="F244">MMS_Dairy_Methane_Equations.VEERG_4_3_1_1__2_MethaneFromManureProduction(D$133,F179,_xlfn.XLOOKUP($E244,$D$228:$D$232,$E$228:$E$232),$I$221,$I$222)</f>
        <v>1.0485407092556005E-2</v>
      </c>
      <c r="G244" s="55" cm="1">
        <f t="array" ref="G244">MMS_Dairy_Methane_Equations.VEERG_4_3_1_1__2_MethaneFromManureProduction(E$133,G179,_xlfn.XLOOKUP($E244,$D$228:$D$232,$E$228:$E$232),$I$221,$I$222)</f>
        <v>4.1302190016396789E-3</v>
      </c>
      <c r="H244" s="55" cm="1">
        <f t="array" ref="H244">MMS_Dairy_Methane_Equations.VEERG_4_3_1_1__2_MethaneFromManureProduction(F$133,H179,_xlfn.XLOOKUP($E244,$D$228:$D$232,$E$228:$E$232),$I$221,$I$222)</f>
        <v>2.2397738163009058E-3</v>
      </c>
      <c r="I244" s="55" cm="1">
        <f t="array" ref="I244">MMS_Dairy_Methane_Equations.VEERG_4_3_1_1__2_MethaneFromManureProduction(G$133,I179,_xlfn.XLOOKUP($E244,$D$228:$D$232,$E$228:$E$232),$I$221,$I$222)</f>
        <v>5.0255062986730567E-3</v>
      </c>
      <c r="J244" s="55" cm="1">
        <f t="array" ref="J244">MMS_Dairy_Methane_Equations.VEERG_4_3_1_1__2_MethaneFromManureProduction(H$133,J179,_xlfn.XLOOKUP($E244,$D$228:$D$232,$E$228:$E$232),$I$221,$I$222)</f>
        <v>3.0142655641657275E-3</v>
      </c>
      <c r="K244" s="2"/>
      <c r="O244" s="55" t="str">
        <f>'Input - Dairy'!$D$67</f>
        <v>Feed pad</v>
      </c>
      <c r="P244" s="55" t="str">
        <f>'Input - Dairy'!$D$115</f>
        <v>Drains to paddock</v>
      </c>
      <c r="Q244" s="55" cm="1">
        <f t="array" ref="Q244">MMS_Dairy_Methane_Equations.VEERG_4_3_1_1__2_MethaneFromManureProduction(O$133,Q179,_xlfn.XLOOKUP($P244,$O$228:$O$232,$P$228:$P$232),$I$221,$I$222)</f>
        <v>1.2815497557568452E-2</v>
      </c>
      <c r="R244" s="55" cm="1">
        <f t="array" ref="R244">MMS_Dairy_Methane_Equations.VEERG_4_3_1_1__2_MethaneFromManureProduction(P$133,R179,_xlfn.XLOOKUP($P244,$O$228:$O$232,$P$228:$P$232),$I$221,$I$222)</f>
        <v>5.0480454464484964E-3</v>
      </c>
      <c r="S244" s="55" cm="1">
        <f t="array" ref="S244">MMS_Dairy_Methane_Equations.VEERG_4_3_1_1__2_MethaneFromManureProduction(Q$133,S179,_xlfn.XLOOKUP($P244,$O$228:$O$232,$P$228:$P$232),$I$221,$I$222)</f>
        <v>2.7375013310344406E-3</v>
      </c>
      <c r="T244" s="55" cm="1">
        <f t="array" ref="T244">MMS_Dairy_Methane_Equations.VEERG_4_3_1_1__2_MethaneFromManureProduction(R$133,T179,_xlfn.XLOOKUP($P244,$O$228:$O$232,$P$228:$P$232),$I$221,$I$222)</f>
        <v>6.1422854761559592E-3</v>
      </c>
      <c r="U244" s="55" cm="1">
        <f t="array" ref="U244">MMS_Dairy_Methane_Equations.VEERG_4_3_1_1__2_MethaneFromManureProduction(S$133,U179,_xlfn.XLOOKUP($P244,$O$228:$O$232,$P$228:$P$232),$I$221,$I$222)</f>
        <v>3.684102356202556E-3</v>
      </c>
      <c r="V244" s="2"/>
    </row>
    <row r="245" spans="3:23" ht="20.100000000000001" customHeight="1" x14ac:dyDescent="0.25">
      <c r="D245" s="55" t="str">
        <f>'Input - Dairy'!$D$67</f>
        <v>Feed pad</v>
      </c>
      <c r="E245" s="55" t="s">
        <v>407</v>
      </c>
      <c r="F245" s="55" cm="1">
        <f t="array" ref="F245">MMS_Dairy_Methane_Equations.VEERG_4_3_1_1__2_MethaneFromManureProduction(D$133,F206,_xlfn.XLOOKUP($E245,$D$228:$D$232,$E$228:$E$232),$I$221,$I$222)</f>
        <v>2.0388291568858899E-3</v>
      </c>
      <c r="G245" s="55" cm="1">
        <f t="array" ref="G245">MMS_Dairy_Methane_Equations.VEERG_4_3_1_1__2_MethaneFromManureProduction(E$133,G206,_xlfn.XLOOKUP($E245,$D$228:$D$232,$E$228:$E$232),$I$221,$I$222)</f>
        <v>8.0309813920771526E-4</v>
      </c>
      <c r="H245" s="55" cm="1">
        <f t="array" ref="H245">MMS_Dairy_Methane_Equations.VEERG_4_3_1_1__2_MethaneFromManureProduction(F$133,H206,_xlfn.XLOOKUP($E245,$D$228:$D$232,$E$228:$E$232),$I$221,$I$222)</f>
        <v>4.3551157539184287E-4</v>
      </c>
      <c r="I245" s="55" cm="1">
        <f t="array" ref="I245">MMS_Dairy_Methane_Equations.VEERG_4_3_1_1__2_MethaneFromManureProduction(G$133,I206,_xlfn.XLOOKUP($E245,$D$228:$D$232,$E$228:$E$232),$I$221,$I$222)</f>
        <v>9.7718178029753897E-4</v>
      </c>
      <c r="J245" s="55" cm="1">
        <f t="array" ref="J245">MMS_Dairy_Methane_Equations.VEERG_4_3_1_1__2_MethaneFromManureProduction(H$133,J206,_xlfn.XLOOKUP($E245,$D$228:$D$232,$E$228:$E$232),$I$221,$I$222)</f>
        <v>5.8610719303222485E-4</v>
      </c>
      <c r="K245" s="2"/>
      <c r="O245" s="55" t="str">
        <f>'Input - Dairy'!$D$67</f>
        <v>Feed pad</v>
      </c>
      <c r="P245" s="55" t="s">
        <v>407</v>
      </c>
      <c r="Q245" s="55" cm="1">
        <f t="array" ref="Q245">MMS_Dairy_Methane_Equations.VEERG_4_3_1_1__2_MethaneFromManureProduction(O$133,Q206,_xlfn.XLOOKUP($P245,$O$228:$O$232,$P$228:$P$232),$I$221,$I$222)</f>
        <v>2.0388291568858899E-3</v>
      </c>
      <c r="R245" s="55" cm="1">
        <f t="array" ref="R245">MMS_Dairy_Methane_Equations.VEERG_4_3_1_1__2_MethaneFromManureProduction(P$133,R206,_xlfn.XLOOKUP($P245,$O$228:$O$232,$P$228:$P$232),$I$221,$I$222)</f>
        <v>8.0309813920771526E-4</v>
      </c>
      <c r="S245" s="55" cm="1">
        <f t="array" ref="S245">MMS_Dairy_Methane_Equations.VEERG_4_3_1_1__2_MethaneFromManureProduction(Q$133,S206,_xlfn.XLOOKUP($P245,$O$228:$O$232,$P$228:$P$232),$I$221,$I$222)</f>
        <v>4.3551157539184287E-4</v>
      </c>
      <c r="T245" s="55" cm="1">
        <f t="array" ref="T245">MMS_Dairy_Methane_Equations.VEERG_4_3_1_1__2_MethaneFromManureProduction(R$133,T206,_xlfn.XLOOKUP($P245,$O$228:$O$232,$P$228:$P$232),$I$221,$I$222)</f>
        <v>9.7718178029753897E-4</v>
      </c>
      <c r="U245" s="55" cm="1">
        <f t="array" ref="U245">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28</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31</v>
      </c>
      <c r="E255" s="1" t="str" cm="1">
        <f t="array" ref="E255">MMS_Dairy_Methane_Equations.VEERG_4_3_1_1__1_TotalAnnualMethaneFromManureManagement_Variable()</f>
        <v>E_CH4</v>
      </c>
    </row>
    <row r="256" spans="3:23" ht="20.100000000000001" customHeight="1" x14ac:dyDescent="0.25">
      <c r="D256" s="56" t="s">
        <v>21</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108</v>
      </c>
    </row>
    <row r="268" spans="4:15" ht="20.100000000000001" customHeight="1" x14ac:dyDescent="0.25">
      <c r="D268" s="103" t="s">
        <v>264</v>
      </c>
    </row>
    <row r="269" spans="4:15" ht="20.100000000000001" customHeight="1" x14ac:dyDescent="0.25">
      <c r="D269" s="41" t="s">
        <v>173</v>
      </c>
      <c r="E269" s="41" t="s">
        <v>190</v>
      </c>
      <c r="F269" s="41" t="s">
        <v>191</v>
      </c>
      <c r="G269" s="41" t="s">
        <v>192</v>
      </c>
      <c r="H269" s="41" t="s">
        <v>193</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109</v>
      </c>
    </row>
    <row r="271" spans="4:15" ht="20.100000000000001" customHeight="1" x14ac:dyDescent="0.25"/>
    <row r="272" spans="4:15" x14ac:dyDescent="0.25">
      <c r="D272" s="104" t="s">
        <v>265</v>
      </c>
      <c r="O272" s="104" t="s">
        <v>275</v>
      </c>
    </row>
    <row r="273" spans="1:20" x14ac:dyDescent="0.25">
      <c r="D273" s="103" t="s">
        <v>273</v>
      </c>
      <c r="O273" s="103" t="s">
        <v>276</v>
      </c>
    </row>
    <row r="274" spans="1:20" x14ac:dyDescent="0.25">
      <c r="D274" s="41" t="s">
        <v>173</v>
      </c>
      <c r="E274" s="41" t="s">
        <v>190</v>
      </c>
      <c r="F274" s="41" t="s">
        <v>191</v>
      </c>
      <c r="G274" s="41" t="s">
        <v>192</v>
      </c>
      <c r="H274" s="41" t="s">
        <v>193</v>
      </c>
      <c r="O274" s="41" t="s">
        <v>173</v>
      </c>
      <c r="P274" s="41" t="s">
        <v>190</v>
      </c>
      <c r="Q274" s="41" t="s">
        <v>191</v>
      </c>
      <c r="R274" s="41" t="s">
        <v>192</v>
      </c>
      <c r="S274" s="41" t="s">
        <v>193</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56</v>
      </c>
      <c r="O275" s="55">
        <f>'Input - Dairy'!$E$28</f>
        <v>365</v>
      </c>
      <c r="P275" s="55">
        <f>'Input - Dairy'!$F$28</f>
        <v>365</v>
      </c>
      <c r="Q275" s="55">
        <f>'Input - Dairy'!$G$28</f>
        <v>281</v>
      </c>
      <c r="R275" s="55">
        <f>'Input - Dairy'!$H$28</f>
        <v>365</v>
      </c>
      <c r="S275" s="55">
        <f>'Input - Dairy'!$I$28</f>
        <v>281</v>
      </c>
      <c r="T275" s="2" t="s">
        <v>56</v>
      </c>
    </row>
    <row r="277" spans="1:20" x14ac:dyDescent="0.25">
      <c r="D277" s="104" t="s">
        <v>267</v>
      </c>
    </row>
    <row r="278" spans="1:20" x14ac:dyDescent="0.25">
      <c r="D278" s="103" t="s">
        <v>268</v>
      </c>
    </row>
    <row r="279" spans="1:20" x14ac:dyDescent="0.25">
      <c r="D279" s="54" t="s">
        <v>173</v>
      </c>
      <c r="E279" s="54" t="s">
        <v>190</v>
      </c>
      <c r="F279" s="54" t="s">
        <v>191</v>
      </c>
      <c r="G279" s="54" t="s">
        <v>192</v>
      </c>
      <c r="H279" s="54" t="s">
        <v>193</v>
      </c>
    </row>
    <row r="280" spans="1:20" x14ac:dyDescent="0.25">
      <c r="D280" s="55">
        <v>0</v>
      </c>
      <c r="E280" s="55">
        <v>0</v>
      </c>
      <c r="F280" s="55">
        <f>'Constants - Dairy'!$E$63</f>
        <v>1.7600000000000001E-2</v>
      </c>
      <c r="G280" s="55">
        <v>0</v>
      </c>
      <c r="H280" s="55">
        <f>'Constants - Dairy'!$E$64</f>
        <v>2.0400000000000001E-2</v>
      </c>
      <c r="I280" s="2" t="s">
        <v>270</v>
      </c>
    </row>
    <row r="282" spans="1:20" x14ac:dyDescent="0.25">
      <c r="D282" s="104" t="s">
        <v>266</v>
      </c>
      <c r="O282" s="104" t="s">
        <v>266</v>
      </c>
    </row>
    <row r="283" spans="1:20" x14ac:dyDescent="0.25">
      <c r="D283" s="103" t="s">
        <v>274</v>
      </c>
      <c r="O283" s="103" t="s">
        <v>274</v>
      </c>
    </row>
    <row r="284" spans="1:20" x14ac:dyDescent="0.25">
      <c r="D284" s="54" t="s">
        <v>173</v>
      </c>
      <c r="E284" s="54" t="s">
        <v>190</v>
      </c>
      <c r="F284" s="54" t="s">
        <v>191</v>
      </c>
      <c r="G284" s="54" t="s">
        <v>192</v>
      </c>
      <c r="H284" s="54" t="s">
        <v>193</v>
      </c>
      <c r="O284" s="41" t="s">
        <v>173</v>
      </c>
      <c r="P284" s="41" t="s">
        <v>190</v>
      </c>
      <c r="Q284" s="41" t="s">
        <v>191</v>
      </c>
      <c r="R284" s="41" t="s">
        <v>192</v>
      </c>
      <c r="S284" s="41" t="s">
        <v>193</v>
      </c>
    </row>
    <row r="285" spans="1:20" x14ac:dyDescent="0.25">
      <c r="D285" s="55">
        <f>'Input - Dairy'!$E$25</f>
        <v>0</v>
      </c>
      <c r="E285" s="55">
        <f>'Input - Dairy'!$F$25</f>
        <v>0</v>
      </c>
      <c r="F285" s="55">
        <f>'Input - Dairy'!$G$25</f>
        <v>84</v>
      </c>
      <c r="G285" s="55">
        <f>'Input - Dairy'!$H$25</f>
        <v>0</v>
      </c>
      <c r="H285" s="55">
        <f>'Input - Dairy'!$I$25</f>
        <v>84</v>
      </c>
      <c r="I285" s="2" t="s">
        <v>56</v>
      </c>
      <c r="O285" s="55">
        <f>'Input - Dairy'!$E$29</f>
        <v>0</v>
      </c>
      <c r="P285" s="55">
        <f>'Input - Dairy'!$F$29</f>
        <v>0</v>
      </c>
      <c r="Q285" s="55">
        <f>'Input - Dairy'!$G$29</f>
        <v>84</v>
      </c>
      <c r="R285" s="55">
        <f>'Input - Dairy'!$H$29</f>
        <v>0</v>
      </c>
      <c r="S285" s="55">
        <f>'Input - Dairy'!$I$29</f>
        <v>84</v>
      </c>
      <c r="T285" s="2" t="s">
        <v>56</v>
      </c>
    </row>
    <row r="287" spans="1:20" x14ac:dyDescent="0.25">
      <c r="D287" s="104" t="s">
        <v>269</v>
      </c>
      <c r="O287" s="104" t="s">
        <v>269</v>
      </c>
    </row>
    <row r="288" spans="1:20" x14ac:dyDescent="0.25">
      <c r="D288" s="103" t="s">
        <v>280</v>
      </c>
      <c r="O288" s="103" t="s">
        <v>453</v>
      </c>
    </row>
    <row r="289" spans="4:21" x14ac:dyDescent="0.25">
      <c r="D289" s="54" t="s">
        <v>148</v>
      </c>
      <c r="E289" s="54" t="s">
        <v>69</v>
      </c>
      <c r="F289" s="54" t="s">
        <v>173</v>
      </c>
      <c r="G289" s="54" t="s">
        <v>190</v>
      </c>
      <c r="H289" s="54" t="s">
        <v>191</v>
      </c>
      <c r="I289" s="54" t="s">
        <v>192</v>
      </c>
      <c r="J289" s="54" t="s">
        <v>193</v>
      </c>
      <c r="O289" s="54" t="s">
        <v>148</v>
      </c>
      <c r="P289" s="54" t="s">
        <v>69</v>
      </c>
      <c r="Q289" s="54" t="s">
        <v>173</v>
      </c>
      <c r="R289" s="54" t="s">
        <v>190</v>
      </c>
      <c r="S289" s="54" t="s">
        <v>191</v>
      </c>
      <c r="T289" s="54" t="s">
        <v>192</v>
      </c>
      <c r="U289" s="54" t="s">
        <v>193</v>
      </c>
    </row>
    <row r="290" spans="4:21" x14ac:dyDescent="0.25">
      <c r="D290" s="55" t="str">
        <f>'Input - Dairy'!$D$65</f>
        <v>Pasture</v>
      </c>
      <c r="E290" s="55" t="str">
        <f>'Constants - Livestock'!$E$27</f>
        <v>Pasture range and paddock</v>
      </c>
      <c r="F290" s="55" cm="1">
        <f t="array" ref="F290">MMS_Dairy_Methane_Equations.VEERG_4_3_1_1__1_TotalAnnualMethaneFromManureManagementVariation(D$270,F237,D$275,0,0,0,0,0)</f>
        <v>0.15946556619928928</v>
      </c>
      <c r="G290" s="55" cm="1">
        <f t="array" ref="G290">MMS_Dairy_Methane_Equations.VEERG_4_3_1_1__1_TotalAnnualMethaneFromManureManagementVariation(E$270,G237,E$275,0,0,0,0,0)</f>
        <v>6.2813747316603469E-2</v>
      </c>
      <c r="H290" s="55" cm="1">
        <f t="array" ref="H290">MMS_Dairy_Methane_Equations.VEERG_4_3_1_1__1_TotalAnnualMethaneFromManureManagementVariation(0,0,0,F$270,H237,F$275,F$280,F$285)</f>
        <v>0.17406401843252312</v>
      </c>
      <c r="I290" s="55" cm="1">
        <f t="array" ref="I290">MMS_Dairy_Methane_Equations.VEERG_4_3_1_1__1_TotalAnnualMethaneFromManureManagementVariation(G$270,I237,G$275,0,0,0,0,0)</f>
        <v>7.6429574958986099E-2</v>
      </c>
      <c r="J290" s="55" cm="1">
        <f t="array" ref="J290">MMS_Dairy_Methane_Equations.VEERG_4_3_1_1__1_TotalAnnualMethaneFromManureManagementVariation(0,0,0,H$270,J237,H$275,H$280,H$285)</f>
        <v>0.20665202598044041</v>
      </c>
      <c r="O290" s="55" t="str">
        <f>'Input - Dairy'!$D$65</f>
        <v>Pasture</v>
      </c>
      <c r="P290" s="55" t="str">
        <f>'Constants - Livestock'!$E$27</f>
        <v>Pasture range and paddock</v>
      </c>
      <c r="Q290" s="55" cm="1">
        <f t="array" ref="Q290">MMS_Dairy_Methane_Equations.VEERG_4_3_1_1__1_TotalAnnualMethaneFromManureManagementVariation(D$270,Q237,O$275,0,0,0,0,0)</f>
        <v>0.15946556619928928</v>
      </c>
      <c r="R290" s="55" cm="1">
        <f t="array" ref="R290">MMS_Dairy_Methane_Equations.VEERG_4_3_1_1__1_TotalAnnualMethaneFromManureManagementVariation(E$270,R237,P$275,0,0,0,0,0)</f>
        <v>6.2813747316603469E-2</v>
      </c>
      <c r="S290" s="55" cm="1">
        <f t="array" ref="S290">MMS_Dairy_Methane_Equations.VEERG_4_3_1_1__1_TotalAnnualMethaneFromManureManagementVariation(0,0,0,F$270,S237,Q$275,F$280,Q$285)</f>
        <v>0.17406401843252312</v>
      </c>
      <c r="T290" s="55" cm="1">
        <f t="array" ref="T290">MMS_Dairy_Methane_Equations.VEERG_4_3_1_1__1_TotalAnnualMethaneFromManureManagementVariation(G$270,T237,R$275,0,0,0,0,0)</f>
        <v>7.6429574958986099E-2</v>
      </c>
      <c r="U290" s="55" cm="1">
        <f t="array" ref="U290">MMS_Dairy_Methane_Equations.VEERG_4_3_1_1__1_TotalAnnualMethaneFromManureManagementVariation(0,0,0,H$270,U237,S$275,H$280,S$285)</f>
        <v>0.20665202598044041</v>
      </c>
    </row>
    <row r="291" spans="4:21" x14ac:dyDescent="0.25">
      <c r="D291" s="55" t="str">
        <f>'Input - Dairy'!$D$66</f>
        <v>Milking shed</v>
      </c>
      <c r="E291" s="55" t="str">
        <f>'Input - Dairy'!$D$81</f>
        <v>Anaerobic lagoon</v>
      </c>
      <c r="F291" s="55" cm="1">
        <f t="array" ref="F291">MMS_Dairy_Methane_Equations.VEERG_4_3_1_1__1_TotalAnnualMethaneFromManureManagementVariation(D$270,F238,D$275,0,0,0,0,0)</f>
        <v>0.49930042450414175</v>
      </c>
      <c r="G291" s="55" cm="1">
        <f t="array" ref="G291">MMS_Dairy_Methane_Equations.VEERG_4_3_1_1__1_TotalAnnualMethaneFromManureManagementVariation(E$270,G238,E$275,0,0,0,0,0)</f>
        <v>0.1966752537703389</v>
      </c>
      <c r="H291" s="55" cm="1">
        <f t="array" ref="H291">MMS_Dairy_Methane_Equations.VEERG_4_3_1_1__1_TotalAnnualMethaneFromManureManagementVariation(0,0,0,F$270,H238,F$275,F$280,F$285)</f>
        <v>0.22994966071007236</v>
      </c>
      <c r="I291" s="55" cm="1">
        <f t="array" ref="I291">MMS_Dairy_Methane_Equations.VEERG_4_3_1_1__1_TotalAnnualMethaneFromManureManagementVariation(G$270,I238,G$275,0,0,0,0,0)</f>
        <v>0.23930758301764934</v>
      </c>
      <c r="J291" s="55" cm="1">
        <f t="array" ref="J291">MMS_Dairy_Methane_Equations.VEERG_4_3_1_1__1_TotalAnnualMethaneFromManureManagementVariation(0,0,0,H$270,J238,H$275,H$280,H$285)</f>
        <v>0.28186237348182841</v>
      </c>
      <c r="O291" s="55" t="str">
        <f>'Input - Dairy'!$D$66</f>
        <v>Milking shed</v>
      </c>
      <c r="P291" s="55" t="str">
        <f>'Input - Dairy'!$D$81</f>
        <v>Anaerobic lagoon</v>
      </c>
      <c r="Q291" s="55" cm="1">
        <f t="array" ref="Q291">MMS_Dairy_Methane_Equations.VEERG_4_3_1_1__1_TotalAnnualMethaneFromManureManagementVariation(D$270,Q238,O$275,0,0,0,0,0)</f>
        <v>0.50587016693182774</v>
      </c>
      <c r="R291" s="55" cm="1">
        <f t="array" ref="R291">MMS_Dairy_Methane_Equations.VEERG_4_3_1_1__1_TotalAnnualMethaneFromManureManagementVariation(E$270,R238,P$275,0,0,0,0,0)</f>
        <v>0.19926308605679074</v>
      </c>
      <c r="S291" s="55" cm="1">
        <f t="array" ref="S291">MMS_Dairy_Methane_Equations.VEERG_4_3_1_1__1_TotalAnnualMethaneFromManureManagementVariation(0,0,0,F$270,S238,Q$275,F$280,Q$285)</f>
        <v>0.23103005098257332</v>
      </c>
      <c r="T291" s="55" cm="1">
        <f t="array" ref="T291">MMS_Dairy_Methane_Equations.VEERG_4_3_1_1__1_TotalAnnualMethaneFromManureManagementVariation(G$270,T238,R$275,0,0,0,0,0)</f>
        <v>0.24245636700472373</v>
      </c>
      <c r="U291" s="55" cm="1">
        <f t="array" ref="U291">MMS_Dairy_Methane_Equations.VEERG_4_3_1_1__1_TotalAnnualMethaneFromManureManagementVariation(0,0,0,H$270,U238,S$275,H$280,S$285)</f>
        <v>0.2833163520802735</v>
      </c>
    </row>
    <row r="292" spans="4:21" x14ac:dyDescent="0.25">
      <c r="D292" s="55" t="str">
        <f>'Input - Dairy'!$D$66</f>
        <v>Milking shed</v>
      </c>
      <c r="E292" s="55" t="str">
        <f>'Input - Dairy'!$D$86</f>
        <v>Sump and dispersal system</v>
      </c>
      <c r="F292" s="55" cm="1">
        <f t="array" ref="F292">MMS_Dairy_Methane_Equations.VEERG_4_3_1_1__1_TotalAnnualMethaneFromManureManagementVariation(D$270,F239,D$275,0,0,0,0,0)</f>
        <v>3.2848712138430379E-3</v>
      </c>
      <c r="G292" s="55" cm="1">
        <f t="array" ref="G292">MMS_Dairy_Methane_Equations.VEERG_4_3_1_1__1_TotalAnnualMethaneFromManureManagementVariation(E$270,G239,E$275,0,0,0,0,0)</f>
        <v>1.293916143225914E-3</v>
      </c>
      <c r="H292" s="55" cm="1">
        <f t="array" ref="H292">MMS_Dairy_Methane_Equations.VEERG_4_3_1_1__1_TotalAnnualMethaneFromManureManagementVariation(0,0,0,F$270,H239,F$275,F$280,F$285)</f>
        <v>0.14838019513625048</v>
      </c>
      <c r="I292" s="55" cm="1">
        <f t="array" ref="I292">MMS_Dairy_Methane_Equations.VEERG_4_3_1_1__1_TotalAnnualMethaneFromManureManagementVariation(G$270,I239,G$275,0,0,0,0,0)</f>
        <v>1.5743919935371669E-3</v>
      </c>
      <c r="J292" s="55" cm="1">
        <f t="array" ref="J292">MMS_Dairy_Methane_Equations.VEERG_4_3_1_1__1_TotalAnnualMethaneFromManureManagementVariation(0,0,0,H$270,J239,H$275,H$280,H$285)</f>
        <v>0.17208698929922259</v>
      </c>
      <c r="O292" s="55" t="str">
        <f>'Input - Dairy'!$D$66</f>
        <v>Milking shed</v>
      </c>
      <c r="P292" s="55" t="str">
        <f>'Input - Dairy'!$D$86</f>
        <v>Sump and dispersal system</v>
      </c>
      <c r="Q292" s="55" cm="1">
        <f t="array" ref="Q292">MMS_Dairy_Methane_Equations.VEERG_4_3_1_1__1_TotalAnnualMethaneFromManureManagementVariation(D$270,Q239,O$275,0,0,0,0,0)</f>
        <v>3.2848712138430379E-3</v>
      </c>
      <c r="R292" s="55" cm="1">
        <f t="array" ref="R292">MMS_Dairy_Methane_Equations.VEERG_4_3_1_1__1_TotalAnnualMethaneFromManureManagementVariation(E$270,R239,P$275,0,0,0,0,0)</f>
        <v>1.293916143225914E-3</v>
      </c>
      <c r="S292" s="55" cm="1">
        <f t="array" ref="S292">MMS_Dairy_Methane_Equations.VEERG_4_3_1_1__1_TotalAnnualMethaneFromManureManagementVariation(0,0,0,F$270,S239,Q$275,F$280,Q$285)</f>
        <v>0.14838019513625048</v>
      </c>
      <c r="T292" s="55" cm="1">
        <f t="array" ref="T292">MMS_Dairy_Methane_Equations.VEERG_4_3_1_1__1_TotalAnnualMethaneFromManureManagementVariation(G$270,T239,R$275,0,0,0,0,0)</f>
        <v>1.5743919935371669E-3</v>
      </c>
      <c r="U292" s="55" cm="1">
        <f t="array" ref="U292">MMS_Dairy_Methane_Equations.VEERG_4_3_1_1__1_TotalAnnualMethaneFromManureManagementVariation(0,0,0,H$270,U239,S$275,H$280,S$285)</f>
        <v>0.17208698929922259</v>
      </c>
    </row>
    <row r="293" spans="4:21" x14ac:dyDescent="0.25">
      <c r="D293" s="55" t="str">
        <f>'Input - Dairy'!$D$66</f>
        <v>Milking shed</v>
      </c>
      <c r="E293" s="55" t="str">
        <f>'Input - Dairy'!$D$91</f>
        <v>Drains to paddock</v>
      </c>
      <c r="F293" s="55" cm="1">
        <f t="array" ref="F293">MMS_Dairy_Methane_Equations.VEERG_4_3_1_1__1_TotalAnnualMethaneFromManureManagementVariation(D$270,F240,D$275,0,0,0,0,0)</f>
        <v>0.11825536369834934</v>
      </c>
      <c r="G293" s="55" cm="1">
        <f t="array" ref="G293">MMS_Dairy_Methane_Equations.VEERG_4_3_1_1__1_TotalAnnualMethaneFromManureManagementVariation(E$270,G240,E$275,0,0,0,0,0)</f>
        <v>4.6580981156132899E-2</v>
      </c>
      <c r="H293" s="55" cm="1">
        <f t="array" ref="H293">MMS_Dairy_Methane_Equations.VEERG_4_3_1_1__1_TotalAnnualMethaneFromManureManagementVariation(0,0,0,F$270,H240,F$275,F$280,F$285)</f>
        <v>0.16728702490501715</v>
      </c>
      <c r="I293" s="55" cm="1">
        <f t="array" ref="I293">MMS_Dairy_Methane_Equations.VEERG_4_3_1_1__1_TotalAnnualMethaneFromManureManagementVariation(G$270,I240,G$275,0,0,0,0,0)</f>
        <v>5.6678111767338002E-2</v>
      </c>
      <c r="J293" s="55" cm="1">
        <f t="array" ref="J293">MMS_Dairy_Methane_Equations.VEERG_4_3_1_1__1_TotalAnnualMethaneFromManureManagementVariation(0,0,0,H$270,J240,H$275,H$280,H$285)</f>
        <v>0.197531614772012</v>
      </c>
      <c r="O293" s="55" t="str">
        <f>'Input - Dairy'!$D$66</f>
        <v>Milking shed</v>
      </c>
      <c r="P293" s="55" t="str">
        <f>'Input - Dairy'!$D$91</f>
        <v>Drains to paddock</v>
      </c>
      <c r="Q293" s="55" cm="1">
        <f t="array" ref="Q293">MMS_Dairy_Methane_Equations.VEERG_4_3_1_1__1_TotalAnnualMethaneFromManureManagementVariation(D$270,Q240,O$275,0,0,0,0,0)</f>
        <v>0.14453433340909366</v>
      </c>
      <c r="R293" s="55" cm="1">
        <f t="array" ref="R293">MMS_Dairy_Methane_Equations.VEERG_4_3_1_1__1_TotalAnnualMethaneFromManureManagementVariation(E$270,R240,P$275,0,0,0,0,0)</f>
        <v>5.6932310301940216E-2</v>
      </c>
      <c r="S293" s="55" cm="1">
        <f t="array" ref="S293">MMS_Dairy_Methane_Equations.VEERG_4_3_1_1__1_TotalAnnualMethaneFromManureManagementVariation(0,0,0,F$270,S240,Q$275,F$280,Q$285)</f>
        <v>0.17160858599502096</v>
      </c>
      <c r="T293" s="55" cm="1">
        <f t="array" ref="T293">MMS_Dairy_Methane_Equations.VEERG_4_3_1_1__1_TotalAnnualMethaneFromManureManagementVariation(G$270,T240,R$275,0,0,0,0,0)</f>
        <v>6.9273247715635339E-2</v>
      </c>
      <c r="U293" s="55" cm="1">
        <f t="array" ref="U293">MMS_Dairy_Methane_Equations.VEERG_4_3_1_1__1_TotalAnnualMethaneFromManureManagementVariation(0,0,0,H$270,U240,S$275,H$280,S$285)</f>
        <v>0.20334752916579243</v>
      </c>
    </row>
    <row r="294" spans="4:21" x14ac:dyDescent="0.25">
      <c r="D294" s="55" t="str">
        <f>'Input - Dairy'!$D$66</f>
        <v>Milking shed</v>
      </c>
      <c r="E294" s="55" t="s">
        <v>407</v>
      </c>
      <c r="F294" s="55" cm="1">
        <f t="array" ref="F294">MMS_Dairy_Methane_Equations.VEERG_4_3_1_1__1_TotalAnnualMethaneFromManureManagementVariation(D$270,F241,D$275,0,0,0,0,0)</f>
        <v>2.6278969710744299E-2</v>
      </c>
      <c r="G294" s="55" cm="1">
        <f t="array" ref="G294">MMS_Dairy_Methane_Equations.VEERG_4_3_1_1__1_TotalAnnualMethaneFromManureManagementVariation(E$270,G241,E$275,0,0,0,0,0)</f>
        <v>1.0351329145807312E-2</v>
      </c>
      <c r="H294" s="55" cm="1">
        <f t="array" ref="H294">MMS_Dairy_Methane_Equations.VEERG_4_3_1_1__1_TotalAnnualMethaneFromManureManagementVariation(0,0,0,F$270,H241,F$275,F$280,F$285)</f>
        <v>0.15216156109000381</v>
      </c>
      <c r="I294" s="55" cm="1">
        <f t="array" ref="I294">MMS_Dairy_Methane_Equations.VEERG_4_3_1_1__1_TotalAnnualMethaneFromManureManagementVariation(G$270,I241,G$275,0,0,0,0,0)</f>
        <v>1.259513594829733E-2</v>
      </c>
      <c r="J294" s="55" cm="1">
        <f t="array" ref="J294">MMS_Dairy_Methane_Equations.VEERG_4_3_1_1__1_TotalAnnualMethaneFromManureManagementVariation(0,0,0,H$270,J241,H$275,H$280,H$285)</f>
        <v>0.17717591439378047</v>
      </c>
      <c r="O294" s="55" t="str">
        <f>'Input - Dairy'!$D$66</f>
        <v>Milking shed</v>
      </c>
      <c r="P294" s="55" t="s">
        <v>407</v>
      </c>
      <c r="Q294" s="55" cm="1">
        <f t="array" ref="Q294">MMS_Dairy_Methane_Equations.VEERG_4_3_1_1__1_TotalAnnualMethaneFromManureManagementVariation(D$270,Q241,O$275,0,0,0,0,0)</f>
        <v>2.6278969710744299E-2</v>
      </c>
      <c r="R294" s="55" cm="1">
        <f t="array" ref="R294">MMS_Dairy_Methane_Equations.VEERG_4_3_1_1__1_TotalAnnualMethaneFromManureManagementVariation(E$270,R241,P$275,0,0,0,0,0)</f>
        <v>1.0351329145807312E-2</v>
      </c>
      <c r="S294" s="55" cm="1">
        <f t="array" ref="S294">MMS_Dairy_Methane_Equations.VEERG_4_3_1_1__1_TotalAnnualMethaneFromManureManagementVariation(0,0,0,F$270,S241,Q$275,F$280,Q$285)</f>
        <v>0.15216156109000381</v>
      </c>
      <c r="T294" s="55" cm="1">
        <f t="array" ref="T294">MMS_Dairy_Methane_Equations.VEERG_4_3_1_1__1_TotalAnnualMethaneFromManureManagementVariation(G$270,T241,R$275,0,0,0,0,0)</f>
        <v>1.259513594829733E-2</v>
      </c>
      <c r="U294" s="55" cm="1">
        <f t="array" ref="U294">MMS_Dairy_Methane_Equations.VEERG_4_3_1_1__1_TotalAnnualMethaneFromManureManagementVariation(0,0,0,H$270,U241,S$275,H$280,S$285)</f>
        <v>0.17717591439378047</v>
      </c>
    </row>
    <row r="295" spans="4:21" x14ac:dyDescent="0.25">
      <c r="D295" s="55" t="str">
        <f>'Input - Dairy'!$D$67</f>
        <v>Feed pad</v>
      </c>
      <c r="E295" s="55" t="str">
        <f>'Input - Dairy'!$D$105</f>
        <v>Anaerobic lagoon</v>
      </c>
      <c r="F295" s="55" cm="1">
        <f t="array" ref="F295">MMS_Dairy_Methane_Equations.VEERG_4_3_1_1__1_TotalAnnualMethaneFromManureManagementVariation(D$270,F242,D$275,0,0,0,0,0)</f>
        <v>2.0198971718576639</v>
      </c>
      <c r="G295" s="55" cm="1">
        <f t="array" ref="G295">MMS_Dairy_Methane_Equations.VEERG_4_3_1_1__1_TotalAnnualMethaneFromManureManagementVariation(E$270,G242,E$275,0,0,0,0,0)</f>
        <v>0.79564079934364373</v>
      </c>
      <c r="H295" s="55" cm="1">
        <f t="array" ref="H295">MMS_Dairy_Methane_Equations.VEERG_4_3_1_1__1_TotalAnnualMethaneFromManureManagementVariation(0,0,0,F$270,H242,F$275,F$280,F$285)</f>
        <v>0.48001090014529268</v>
      </c>
      <c r="I295" s="55" cm="1">
        <f t="array" ref="I295">MMS_Dairy_Methane_Equations.VEERG_4_3_1_1__1_TotalAnnualMethaneFromManureManagementVariation(G$270,I242,G$275,0,0,0,0,0)</f>
        <v>0.96810794948049028</v>
      </c>
      <c r="J295" s="55" cm="1">
        <f t="array" ref="J295">MMS_Dairy_Methane_Equations.VEERG_4_3_1_1__1_TotalAnnualMethaneFromManureManagementVariation(0,0,0,H$270,J242,H$275,H$280,H$285)</f>
        <v>0.6183923290855784</v>
      </c>
      <c r="O295" s="55" t="str">
        <f>'Input - Dairy'!$D$67</f>
        <v>Feed pad</v>
      </c>
      <c r="P295" s="55" t="str">
        <f>'Input - Dairy'!$D$105</f>
        <v>Anaerobic lagoon</v>
      </c>
      <c r="Q295" s="55" cm="1">
        <f t="array" ref="Q295">MMS_Dairy_Methane_Equations.VEERG_4_3_1_1__1_TotalAnnualMethaneFromManureManagementVariation(D$270,Q242,O$275,0,0,0,0,0)</f>
        <v>2.046474766224212</v>
      </c>
      <c r="R295" s="55" cm="1">
        <f t="array" ref="R295">MMS_Dairy_Methane_Equations.VEERG_4_3_1_1__1_TotalAnnualMethaneFromManureManagementVariation(E$270,R242,P$275,0,0,0,0,0)</f>
        <v>0.80610975722974443</v>
      </c>
      <c r="S295" s="55" cm="1">
        <f t="array" ref="S295">MMS_Dairy_Methane_Equations.VEERG_4_3_1_1__1_TotalAnnualMethaneFromManureManagementVariation(0,0,0,F$270,S242,Q$275,F$280,Q$285)</f>
        <v>0.48438156988404663</v>
      </c>
      <c r="T295" s="55" cm="1">
        <f t="array" ref="T295">MMS_Dairy_Methane_Equations.VEERG_4_3_1_1__1_TotalAnnualMethaneFromManureManagementVariation(G$270,T242,R$275,0,0,0,0,0)</f>
        <v>0.98084621197365474</v>
      </c>
      <c r="U295" s="55" cm="1">
        <f t="array" ref="U295">MMS_Dairy_Methane_Equations.VEERG_4_3_1_1__1_TotalAnnualMethaneFromManureManagementVariation(0,0,0,H$270,U242,S$275,H$280,S$285)</f>
        <v>0.62427433341565175</v>
      </c>
    </row>
    <row r="296" spans="4:21" x14ac:dyDescent="0.25">
      <c r="D296" s="55" t="str">
        <f>'Input - Dairy'!$D$67</f>
        <v>Feed pad</v>
      </c>
      <c r="E296" s="55" t="str">
        <f>'Input - Dairy'!$D$110</f>
        <v>Sump and dispersal system</v>
      </c>
      <c r="F296" s="55" cm="1">
        <f t="array" ref="F296">MMS_Dairy_Methane_Equations.VEERG_4_3_1_1__1_TotalAnnualMethaneFromManureManagementVariation(D$270,F243,D$275,0,0,0,0,0)</f>
        <v>1.0631037746619285E-2</v>
      </c>
      <c r="G296" s="55" cm="1">
        <f t="array" ref="G296">MMS_Dairy_Methane_Equations.VEERG_4_3_1_1__1_TotalAnnualMethaneFromManureManagementVariation(E$270,G243,E$275,0,0,0,0,0)</f>
        <v>4.1875831544402296E-3</v>
      </c>
      <c r="H296" s="55" cm="1">
        <f t="array" ref="H296">MMS_Dairy_Methane_Equations.VEERG_4_3_1_1__1_TotalAnnualMethaneFromManureManagementVariation(0,0,0,F$270,H243,F$275,F$280,F$285)</f>
        <v>0.14958826789550153</v>
      </c>
      <c r="I296" s="55" cm="1">
        <f t="array" ref="I296">MMS_Dairy_Methane_Equations.VEERG_4_3_1_1__1_TotalAnnualMethaneFromManureManagementVariation(G$270,I243,G$275,0,0,0,0,0)</f>
        <v>5.095304997265738E-3</v>
      </c>
      <c r="J296" s="55" cm="1">
        <f t="array" ref="J296">MMS_Dairy_Methane_Equations.VEERG_4_3_1_1__1_TotalAnnualMethaneFromManureManagementVariation(0,0,0,H$270,J243,H$275,H$280,H$285)</f>
        <v>0.17371280173202935</v>
      </c>
      <c r="O296" s="55" t="str">
        <f>'Input - Dairy'!$D$67</f>
        <v>Feed pad</v>
      </c>
      <c r="P296" s="55" t="str">
        <f>'Input - Dairy'!$D$110</f>
        <v>Sump and dispersal system</v>
      </c>
      <c r="Q296" s="55" cm="1">
        <f t="array" ref="Q296">MMS_Dairy_Methane_Equations.VEERG_4_3_1_1__1_TotalAnnualMethaneFromManureManagementVariation(D$270,Q243,O$275,0,0,0,0,0)</f>
        <v>1.0631037746619285E-2</v>
      </c>
      <c r="R296" s="55" cm="1">
        <f t="array" ref="R296">MMS_Dairy_Methane_Equations.VEERG_4_3_1_1__1_TotalAnnualMethaneFromManureManagementVariation(E$270,R243,P$275,0,0,0,0,0)</f>
        <v>4.1875831544402296E-3</v>
      </c>
      <c r="S296" s="55" cm="1">
        <f t="array" ref="S296">MMS_Dairy_Methane_Equations.VEERG_4_3_1_1__1_TotalAnnualMethaneFromManureManagementVariation(0,0,0,F$270,S243,Q$275,F$280,Q$285)</f>
        <v>0.14958826789550153</v>
      </c>
      <c r="T296" s="55" cm="1">
        <f t="array" ref="T296">MMS_Dairy_Methane_Equations.VEERG_4_3_1_1__1_TotalAnnualMethaneFromManureManagementVariation(G$270,T243,R$275,0,0,0,0,0)</f>
        <v>5.095304997265738E-3</v>
      </c>
      <c r="U296" s="55" cm="1">
        <f t="array" ref="U296">MMS_Dairy_Methane_Equations.VEERG_4_3_1_1__1_TotalAnnualMethaneFromManureManagementVariation(0,0,0,H$270,U243,S$275,H$280,S$285)</f>
        <v>0.17371280173202935</v>
      </c>
    </row>
    <row r="297" spans="4:21" x14ac:dyDescent="0.25">
      <c r="D297" s="55" t="str">
        <f>'Input - Dairy'!$D$67</f>
        <v>Feed pad</v>
      </c>
      <c r="E297" s="55" t="str">
        <f>'Input - Dairy'!$D$115</f>
        <v>Drains to paddock</v>
      </c>
      <c r="F297" s="55" cm="1">
        <f t="array" ref="F297">MMS_Dairy_Methane_Equations.VEERG_4_3_1_1__1_TotalAnnualMethaneFromManureManagementVariation(D$270,F244,D$275,0,0,0,0,0)</f>
        <v>0.38271735887829422</v>
      </c>
      <c r="G297" s="55" cm="1">
        <f t="array" ref="G297">MMS_Dairy_Methane_Equations.VEERG_4_3_1_1__1_TotalAnnualMethaneFromManureManagementVariation(E$270,G244,E$275,0,0,0,0,0)</f>
        <v>0.15075299355984828</v>
      </c>
      <c r="H297" s="55" cm="1">
        <f t="array" ref="H297">MMS_Dairy_Methane_Equations.VEERG_4_3_1_1__1_TotalAnnualMethaneFromManureManagementVariation(0,0,0,F$270,H244,F$275,F$280,F$285)</f>
        <v>0.21077764423805545</v>
      </c>
      <c r="I297" s="55" cm="1">
        <f t="array" ref="I297">MMS_Dairy_Methane_Equations.VEERG_4_3_1_1__1_TotalAnnualMethaneFromManureManagementVariation(G$270,I244,G$275,0,0,0,0,0)</f>
        <v>0.18343097990156659</v>
      </c>
      <c r="J297" s="55" cm="1">
        <f t="array" ref="J297">MMS_Dairy_Methane_Equations.VEERG_4_3_1_1__1_TotalAnnualMethaneFromManureManagementVariation(0,0,0,H$270,J244,H$275,H$280,H$285)</f>
        <v>0.25606086235305697</v>
      </c>
      <c r="O297" s="55" t="str">
        <f>'Input - Dairy'!$D$67</f>
        <v>Feed pad</v>
      </c>
      <c r="P297" s="55" t="str">
        <f>'Input - Dairy'!$D$115</f>
        <v>Drains to paddock</v>
      </c>
      <c r="Q297" s="55" cm="1">
        <f t="array" ref="Q297">MMS_Dairy_Methane_Equations.VEERG_4_3_1_1__1_TotalAnnualMethaneFromManureManagementVariation(D$270,Q244,O$275,0,0,0,0,0)</f>
        <v>0.46776566085124849</v>
      </c>
      <c r="R297" s="55" cm="1">
        <f t="array" ref="R297">MMS_Dairy_Methane_Equations.VEERG_4_3_1_1__1_TotalAnnualMethaneFromManureManagementVariation(E$270,R244,P$275,0,0,0,0,0)</f>
        <v>0.18425365879537009</v>
      </c>
      <c r="S297" s="55" cm="1">
        <f t="array" ref="S297">MMS_Dairy_Methane_Equations.VEERG_4_3_1_1__1_TotalAnnualMethaneFromManureManagementVariation(0,0,0,F$270,S244,Q$275,F$280,Q$285)</f>
        <v>0.22476378740206779</v>
      </c>
      <c r="T297" s="55" cm="1">
        <f t="array" ref="T297">MMS_Dairy_Methane_Equations.VEERG_4_3_1_1__1_TotalAnnualMethaneFromManureManagementVariation(G$270,T244,R$275,0,0,0,0,0)</f>
        <v>0.22419341987969252</v>
      </c>
      <c r="U297" s="55" cm="1">
        <f t="array" ref="U297">MMS_Dairy_Methane_Equations.VEERG_4_3_1_1__1_TotalAnnualMethaneFromManureManagementVariation(0,0,0,H$270,U244,S$275,H$280,S$285)</f>
        <v>0.27488327620929182</v>
      </c>
    </row>
    <row r="298" spans="4:21" x14ac:dyDescent="0.25">
      <c r="D298" s="55" t="str">
        <f>'Input - Dairy'!$D$67</f>
        <v>Feed pad</v>
      </c>
      <c r="E298" s="55" t="s">
        <v>407</v>
      </c>
      <c r="F298" s="55" cm="1">
        <f t="array" ref="F298">MMS_Dairy_Methane_Equations.VEERG_4_3_1_1__1_TotalAnnualMethaneFromManureManagementVariation(D$270,F245,D$275,0,0,0,0,0)</f>
        <v>7.4417264226334975E-2</v>
      </c>
      <c r="G298" s="55" cm="1">
        <f t="array" ref="G298">MMS_Dairy_Methane_Equations.VEERG_4_3_1_1__1_TotalAnnualMethaneFromManureManagementVariation(E$270,G245,E$275,0,0,0,0,0)</f>
        <v>2.9313082081081607E-2</v>
      </c>
      <c r="H298" s="55" cm="1">
        <f t="array" ref="H298">MMS_Dairy_Methane_Equations.VEERG_4_3_1_1__1_TotalAnnualMethaneFromManureManagementVariation(0,0,0,F$270,H245,F$275,F$280,F$285)</f>
        <v>0.16007787526851078</v>
      </c>
      <c r="I298" s="55" cm="1">
        <f t="array" ref="I298">MMS_Dairy_Methane_Equations.VEERG_4_3_1_1__1_TotalAnnualMethaneFromManureManagementVariation(G$270,I245,G$275,0,0,0,0,0)</f>
        <v>3.5667134980860167E-2</v>
      </c>
      <c r="J298" s="55" cm="1">
        <f t="array" ref="J298">MMS_Dairy_Methane_Equations.VEERG_4_3_1_1__1_TotalAnnualMethaneFromManureManagementVariation(0,0,0,H$270,J245,H$275,H$280,H$285)</f>
        <v>0.18782961212420554</v>
      </c>
      <c r="O298" s="55" t="str">
        <f>'Input - Dairy'!$D$67</f>
        <v>Feed pad</v>
      </c>
      <c r="P298" s="55" t="s">
        <v>407</v>
      </c>
      <c r="Q298" s="55" cm="1">
        <f t="array" ref="Q298">MMS_Dairy_Methane_Equations.VEERG_4_3_1_1__1_TotalAnnualMethaneFromManureManagementVariation(D$270,Q245,O$275,0,0,0,0,0)</f>
        <v>7.4417264226334975E-2</v>
      </c>
      <c r="R298" s="55" cm="1">
        <f t="array" ref="R298">MMS_Dairy_Methane_Equations.VEERG_4_3_1_1__1_TotalAnnualMethaneFromManureManagementVariation(E$270,R245,P$275,0,0,0,0,0)</f>
        <v>2.9313082081081607E-2</v>
      </c>
      <c r="S298" s="55" cm="1">
        <f t="array" ref="S298">MMS_Dairy_Methane_Equations.VEERG_4_3_1_1__1_TotalAnnualMethaneFromManureManagementVariation(0,0,0,F$270,S245,Q$275,F$280,Q$285)</f>
        <v>0.16007787526851078</v>
      </c>
      <c r="T298" s="55" cm="1">
        <f t="array" ref="T298">MMS_Dairy_Methane_Equations.VEERG_4_3_1_1__1_TotalAnnualMethaneFromManureManagementVariation(G$270,T245,R$275,0,0,0,0,0)</f>
        <v>3.5667134980860167E-2</v>
      </c>
      <c r="U298" s="55" cm="1">
        <f t="array" ref="U298">MMS_Dairy_Methane_Equations.VEERG_4_3_1_1__1_TotalAnnualMethaneFromManureManagementVariation(0,0,0,H$270,U245,S$275,H$280,S$285)</f>
        <v>0.18782961212420554</v>
      </c>
    </row>
    <row r="300" spans="4:21" ht="20.25" x14ac:dyDescent="0.25">
      <c r="D300" s="108" t="s">
        <v>130</v>
      </c>
      <c r="E300" s="109">
        <f>SUM(F290:J298)</f>
        <v>10.314345551795777</v>
      </c>
      <c r="F300" s="110" t="str">
        <f>$E$256</f>
        <v>t CH4</v>
      </c>
      <c r="O300" s="108" t="s">
        <v>422</v>
      </c>
      <c r="P300" s="109">
        <f>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E300</f>
        <v>10.314345551795777</v>
      </c>
      <c r="H302" s="2"/>
      <c r="O302" s="60" t="str" cm="1">
        <f t="array" ref="O302:P303">Common_Equations.Common_ConvertCH4ToCO2e_Arguments()</f>
        <v>ECH4</v>
      </c>
      <c r="P302" s="61" t="str">
        <v>Methane emissions (t CH4)</v>
      </c>
      <c r="Q302" s="111"/>
      <c r="R302" s="55">
        <f>P300</f>
        <v>10.64070664267806</v>
      </c>
      <c r="S302" s="2" t="s">
        <v>272</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131</v>
      </c>
      <c r="E305" s="48" cm="1">
        <f t="array" ref="E305">Common_Equations.Common_ConvertCH4ToCO2e(G302,G303)</f>
        <v>288.80167545028172</v>
      </c>
      <c r="F305" s="112" t="str" cm="1">
        <f t="array" ref="F305">Common_Equations.Common_ConvertN2OToCO2e_Unit()</f>
        <v>t CO2e</v>
      </c>
      <c r="O305" s="48" t="s">
        <v>421</v>
      </c>
      <c r="P305" s="48" cm="1">
        <f t="array" ref="P305">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250" zoomScale="85" zoomScaleNormal="85" workbookViewId="0">
      <selection activeCell="O287" sqref="O28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282</v>
      </c>
    </row>
    <row r="2" spans="1:21" s="9" customFormat="1" ht="20.100000000000001" customHeight="1" x14ac:dyDescent="0.25"/>
    <row r="3" spans="1:21" ht="20.100000000000001" customHeight="1" x14ac:dyDescent="0.25">
      <c r="A3" s="17" t="str">
        <f>HYPERLINK("#'Home'!A1", "Home")</f>
        <v>Home</v>
      </c>
      <c r="C3" s="4"/>
      <c r="D3" s="4" t="s">
        <v>120</v>
      </c>
      <c r="E3" s="4"/>
      <c r="F3" s="4"/>
      <c r="G3" s="4"/>
      <c r="H3" s="4"/>
      <c r="I3" s="4"/>
      <c r="J3" s="4"/>
      <c r="K3" s="4"/>
      <c r="M3" s="4"/>
      <c r="N3" s="4" t="s">
        <v>121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31</v>
      </c>
      <c r="E10" s="1" t="str" cm="1">
        <f t="array" ref="E10">MMS_Dairy_N2ODirect_Equations.VEERG_4_3_1_3__8_RelativeSize_Variable()</f>
        <v>Z_j</v>
      </c>
    </row>
    <row r="11" spans="1:21" ht="20.100000000000001" customHeight="1" x14ac:dyDescent="0.25">
      <c r="A11" s="19" t="s">
        <v>78</v>
      </c>
      <c r="D11" s="56" t="s">
        <v>21</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216</v>
      </c>
      <c r="N16" s="104" t="s">
        <v>218</v>
      </c>
    </row>
    <row r="17" spans="1:21" ht="20.100000000000001" customHeight="1" x14ac:dyDescent="0.25">
      <c r="A17" s="17" t="str">
        <f>HYPERLINK("#'4.3.1.9 Soil direct N2O'!A1", "4.3.1.9 Soil direct N2O")</f>
        <v>4.3.1.9 Soil direct N2O</v>
      </c>
      <c r="D17" s="103" t="s">
        <v>217</v>
      </c>
      <c r="N17" s="103" t="s">
        <v>219</v>
      </c>
    </row>
    <row r="18" spans="1:21" ht="20.100000000000001" customHeight="1" x14ac:dyDescent="0.25">
      <c r="A18" s="17" t="str">
        <f>HYPERLINK("#'4.3.1.10-11 Soil Atmos Dep'!A1", "4.3.1.10-11 Soil atm. deposition")</f>
        <v>4.3.1.10-11 Soil atm. deposition</v>
      </c>
      <c r="D18" s="41" t="s">
        <v>173</v>
      </c>
      <c r="E18" s="41" t="s">
        <v>190</v>
      </c>
      <c r="F18" s="41" t="s">
        <v>191</v>
      </c>
      <c r="G18" s="41" t="s">
        <v>192</v>
      </c>
      <c r="H18" s="41" t="s">
        <v>193</v>
      </c>
      <c r="N18" s="41" t="s">
        <v>173</v>
      </c>
      <c r="O18" s="41" t="s">
        <v>190</v>
      </c>
      <c r="P18" s="41" t="s">
        <v>191</v>
      </c>
      <c r="Q18" s="41" t="s">
        <v>192</v>
      </c>
      <c r="R18" s="41" t="s">
        <v>193</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195</v>
      </c>
      <c r="N19" s="55">
        <f>'Input - Dairy'!$E$18</f>
        <v>550</v>
      </c>
      <c r="O19" s="55">
        <f>'Input - Dairy'!$F$18</f>
        <v>380</v>
      </c>
      <c r="P19" s="55">
        <f>'Input - Dairy'!$G$18</f>
        <v>155</v>
      </c>
      <c r="Q19" s="55">
        <f>'Input - Dairy'!$H$18</f>
        <v>600</v>
      </c>
      <c r="R19" s="55">
        <f>'Input - Dairy'!$I$18</f>
        <v>225</v>
      </c>
      <c r="S19" s="2" t="s">
        <v>195</v>
      </c>
    </row>
    <row r="20" spans="1:21" ht="20.100000000000001" customHeight="1" x14ac:dyDescent="0.25">
      <c r="A20" s="17"/>
    </row>
    <row r="21" spans="1:21" ht="20.100000000000001" customHeight="1" x14ac:dyDescent="0.25">
      <c r="A21" s="18" t="s">
        <v>4</v>
      </c>
      <c r="D21" s="104" t="s">
        <v>283</v>
      </c>
    </row>
    <row r="22" spans="1:21" ht="20.100000000000001" customHeight="1" x14ac:dyDescent="0.25">
      <c r="A22" s="17" t="str">
        <f>HYPERLINK("#'Constants - Dairy'!A1", "Constants - Dairy")</f>
        <v>Constants - Dairy</v>
      </c>
      <c r="D22" s="103" t="s">
        <v>284</v>
      </c>
    </row>
    <row r="23" spans="1:21" ht="20.100000000000001" customHeight="1" x14ac:dyDescent="0.25">
      <c r="A23" s="17" t="str">
        <f>HYPERLINK("#'Constants - Livestock'!A1", "Constants - Livestock")</f>
        <v>Constants - Livestock</v>
      </c>
      <c r="D23" s="54" t="s">
        <v>173</v>
      </c>
      <c r="E23" s="54" t="s">
        <v>190</v>
      </c>
      <c r="F23" s="54" t="s">
        <v>191</v>
      </c>
      <c r="G23" s="54" t="s">
        <v>192</v>
      </c>
      <c r="H23" s="54" t="s">
        <v>193</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195</v>
      </c>
    </row>
    <row r="25" spans="1:21" ht="20.100000000000001" customHeight="1" x14ac:dyDescent="0.25">
      <c r="A25" s="17" t="str">
        <f>HYPERLINK("#'Acknowledgements'!A1", "Acknowledgements")</f>
        <v>Acknowledgements</v>
      </c>
    </row>
    <row r="26" spans="1:21" ht="20.100000000000001" customHeight="1" x14ac:dyDescent="0.25">
      <c r="D26" s="104" t="s">
        <v>285</v>
      </c>
      <c r="N26" s="104" t="s">
        <v>285</v>
      </c>
    </row>
    <row r="27" spans="1:21" ht="20.100000000000001" customHeight="1" x14ac:dyDescent="0.25">
      <c r="D27" s="103" t="s">
        <v>286</v>
      </c>
      <c r="N27" s="103" t="s">
        <v>466</v>
      </c>
    </row>
    <row r="28" spans="1:21" ht="20.100000000000001" customHeight="1" x14ac:dyDescent="0.25">
      <c r="D28" s="54" t="s">
        <v>173</v>
      </c>
      <c r="E28" s="54" t="s">
        <v>190</v>
      </c>
      <c r="F28" s="54" t="s">
        <v>191</v>
      </c>
      <c r="G28" s="54" t="s">
        <v>192</v>
      </c>
      <c r="H28" s="54" t="s">
        <v>193</v>
      </c>
      <c r="N28" s="54" t="s">
        <v>173</v>
      </c>
      <c r="O28" s="54" t="s">
        <v>190</v>
      </c>
      <c r="P28" s="54" t="s">
        <v>191</v>
      </c>
      <c r="Q28" s="54" t="s">
        <v>192</v>
      </c>
      <c r="R28" s="54" t="s">
        <v>193</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113</v>
      </c>
      <c r="N47" s="104" t="s">
        <v>115</v>
      </c>
    </row>
    <row r="48" spans="4:14" ht="20.100000000000001" customHeight="1" x14ac:dyDescent="0.25">
      <c r="D48" s="103" t="s">
        <v>239</v>
      </c>
      <c r="N48" s="103" t="s">
        <v>238</v>
      </c>
    </row>
    <row r="49" spans="4:19" ht="20.100000000000001" customHeight="1" x14ac:dyDescent="0.25">
      <c r="D49" s="54" t="s">
        <v>173</v>
      </c>
      <c r="E49" s="54" t="s">
        <v>190</v>
      </c>
      <c r="F49" s="54" t="s">
        <v>191</v>
      </c>
      <c r="G49" s="54" t="s">
        <v>192</v>
      </c>
      <c r="H49" s="54" t="s">
        <v>193</v>
      </c>
      <c r="N49" s="54" t="s">
        <v>173</v>
      </c>
      <c r="O49" s="54" t="s">
        <v>190</v>
      </c>
      <c r="P49" s="54" t="s">
        <v>191</v>
      </c>
      <c r="Q49" s="54" t="s">
        <v>192</v>
      </c>
      <c r="R49" s="54" t="s">
        <v>193</v>
      </c>
    </row>
    <row r="50" spans="4:19" ht="20.100000000000001" customHeight="1" x14ac:dyDescent="0.25">
      <c r="D50" s="55">
        <f>'4.3.1.1-2 Methane'!D114</f>
        <v>18.834317684367193</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18.834317684367193</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224</v>
      </c>
    </row>
    <row r="53" spans="4:19" ht="20.100000000000001" customHeight="1" x14ac:dyDescent="0.25">
      <c r="D53" s="103" t="s">
        <v>225</v>
      </c>
    </row>
    <row r="54" spans="4:19" ht="20.100000000000001" customHeight="1" x14ac:dyDescent="0.25">
      <c r="D54" s="54" t="s">
        <v>173</v>
      </c>
      <c r="E54" s="54" t="s">
        <v>190</v>
      </c>
      <c r="F54" s="54" t="s">
        <v>191</v>
      </c>
      <c r="G54" s="54" t="s">
        <v>192</v>
      </c>
      <c r="H54" s="54" t="s">
        <v>193</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231</v>
      </c>
    </row>
    <row r="58" spans="4:19" ht="20.100000000000001" customHeight="1" x14ac:dyDescent="0.25">
      <c r="D58" s="103" t="s">
        <v>232</v>
      </c>
    </row>
    <row r="59" spans="4:19" ht="20.100000000000001" customHeight="1" x14ac:dyDescent="0.25">
      <c r="D59" s="54" t="s">
        <v>173</v>
      </c>
      <c r="E59" s="54" t="s">
        <v>190</v>
      </c>
      <c r="F59" s="54" t="s">
        <v>191</v>
      </c>
      <c r="G59" s="54" t="s">
        <v>192</v>
      </c>
      <c r="H59" s="54" t="s">
        <v>193</v>
      </c>
    </row>
    <row r="60" spans="4:19" ht="20.100000000000001" customHeight="1" x14ac:dyDescent="0.25">
      <c r="D60" s="55">
        <f>'4.3.1.1-2 Methane'!D79</f>
        <v>9.5798721636071917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287</v>
      </c>
      <c r="N62" s="104" t="s">
        <v>289</v>
      </c>
    </row>
    <row r="63" spans="4:19" ht="20.100000000000001" customHeight="1" x14ac:dyDescent="0.25">
      <c r="D63" s="103" t="s">
        <v>288</v>
      </c>
      <c r="N63" s="103" t="s">
        <v>290</v>
      </c>
    </row>
    <row r="64" spans="4:19" ht="20.100000000000001" customHeight="1" x14ac:dyDescent="0.25">
      <c r="D64" s="54" t="s">
        <v>173</v>
      </c>
      <c r="E64" s="54" t="s">
        <v>190</v>
      </c>
      <c r="F64" s="54" t="s">
        <v>191</v>
      </c>
      <c r="G64" s="54" t="s">
        <v>192</v>
      </c>
      <c r="H64" s="54" t="s">
        <v>193</v>
      </c>
      <c r="N64" s="54" t="s">
        <v>173</v>
      </c>
      <c r="O64" s="54" t="s">
        <v>190</v>
      </c>
      <c r="P64" s="54" t="s">
        <v>191</v>
      </c>
      <c r="Q64" s="54" t="s">
        <v>192</v>
      </c>
      <c r="R64" s="54" t="s">
        <v>193</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28</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31</v>
      </c>
      <c r="E75" s="1" t="str" cm="1">
        <f t="array" ref="E75">MMS_Dairy_N2ODirect_Equations.VEERG_4_3_1_3__6_NitrogenRetainedByBody_Variable()</f>
        <v>NR_j</v>
      </c>
    </row>
    <row r="76" spans="1:21" ht="20.100000000000001" customHeight="1" x14ac:dyDescent="0.25">
      <c r="D76" s="56" t="s">
        <v>21</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448</v>
      </c>
      <c r="N85" s="104" t="s">
        <v>450</v>
      </c>
    </row>
    <row r="86" spans="4:19" ht="20.100000000000001" customHeight="1" x14ac:dyDescent="0.25">
      <c r="D86" s="103" t="s">
        <v>449</v>
      </c>
      <c r="N86" s="103" t="s">
        <v>451</v>
      </c>
    </row>
    <row r="87" spans="4:19" ht="20.100000000000001" customHeight="1" x14ac:dyDescent="0.25">
      <c r="D87" s="54" t="s">
        <v>173</v>
      </c>
      <c r="E87" s="54" t="s">
        <v>190</v>
      </c>
      <c r="F87" s="54" t="s">
        <v>191</v>
      </c>
      <c r="G87" s="54" t="s">
        <v>192</v>
      </c>
      <c r="H87" s="54" t="s">
        <v>193</v>
      </c>
      <c r="N87" s="54" t="s">
        <v>173</v>
      </c>
      <c r="O87" s="54" t="s">
        <v>190</v>
      </c>
      <c r="P87" s="54" t="s">
        <v>191</v>
      </c>
      <c r="Q87" s="54" t="s">
        <v>192</v>
      </c>
      <c r="R87" s="54" t="s">
        <v>193</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236</v>
      </c>
    </row>
    <row r="91" spans="4:19" ht="20.100000000000001" customHeight="1" x14ac:dyDescent="0.25">
      <c r="D91" s="103" t="s">
        <v>197</v>
      </c>
    </row>
    <row r="92" spans="4:19" ht="20.100000000000001" customHeight="1" x14ac:dyDescent="0.25">
      <c r="D92" s="41" t="s">
        <v>173</v>
      </c>
      <c r="E92" s="41" t="s">
        <v>190</v>
      </c>
      <c r="F92" s="41" t="s">
        <v>191</v>
      </c>
      <c r="G92" s="41" t="s">
        <v>192</v>
      </c>
      <c r="H92" s="41" t="s">
        <v>193</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220</v>
      </c>
      <c r="N95" s="104" t="s">
        <v>222</v>
      </c>
    </row>
    <row r="96" spans="4:19" ht="20.100000000000001" customHeight="1" x14ac:dyDescent="0.25">
      <c r="D96" s="103" t="s">
        <v>221</v>
      </c>
      <c r="N96" s="103" t="s">
        <v>223</v>
      </c>
    </row>
    <row r="97" spans="1:21" ht="20.100000000000001" customHeight="1" x14ac:dyDescent="0.25">
      <c r="D97" s="41" t="s">
        <v>173</v>
      </c>
      <c r="E97" s="41" t="s">
        <v>190</v>
      </c>
      <c r="F97" s="41" t="s">
        <v>191</v>
      </c>
      <c r="G97" s="41" t="s">
        <v>192</v>
      </c>
      <c r="H97" s="41" t="s">
        <v>193</v>
      </c>
      <c r="N97" s="41" t="s">
        <v>173</v>
      </c>
      <c r="O97" s="41" t="s">
        <v>190</v>
      </c>
      <c r="P97" s="41" t="s">
        <v>191</v>
      </c>
      <c r="Q97" s="41" t="s">
        <v>192</v>
      </c>
      <c r="R97" s="41" t="s">
        <v>193</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116</v>
      </c>
      <c r="N100" s="104" t="s">
        <v>117</v>
      </c>
    </row>
    <row r="101" spans="1:21" ht="20.100000000000001" customHeight="1" x14ac:dyDescent="0.25">
      <c r="D101" s="103" t="s">
        <v>291</v>
      </c>
      <c r="N101" s="103" t="s">
        <v>292</v>
      </c>
    </row>
    <row r="102" spans="1:21" ht="20.100000000000001" customHeight="1" x14ac:dyDescent="0.25">
      <c r="D102" s="54" t="s">
        <v>173</v>
      </c>
      <c r="E102" s="54" t="s">
        <v>190</v>
      </c>
      <c r="F102" s="54" t="s">
        <v>191</v>
      </c>
      <c r="G102" s="54" t="s">
        <v>192</v>
      </c>
      <c r="H102" s="54" t="s">
        <v>193</v>
      </c>
      <c r="N102" s="54" t="s">
        <v>173</v>
      </c>
      <c r="O102" s="54" t="s">
        <v>190</v>
      </c>
      <c r="P102" s="54" t="s">
        <v>191</v>
      </c>
      <c r="Q102" s="54" t="s">
        <v>192</v>
      </c>
      <c r="R102" s="54" t="s">
        <v>193</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28</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31</v>
      </c>
      <c r="E112" s="1" t="str" cm="1">
        <f t="array" ref="E112">MMS_Dairy_N2ODirect_Equations.VEERG_4_3_1_3__5_CrudeProteinIntakeOfDairyCattle_Variable()</f>
        <v>CPI_j</v>
      </c>
    </row>
    <row r="113" spans="1:19" ht="20.100000000000001" customHeight="1" x14ac:dyDescent="0.25">
      <c r="D113" s="56" t="s">
        <v>21</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114</v>
      </c>
      <c r="N118" s="104" t="s">
        <v>462</v>
      </c>
    </row>
    <row r="119" spans="1:19" ht="20.100000000000001" customHeight="1" x14ac:dyDescent="0.25">
      <c r="D119" s="103" t="s">
        <v>293</v>
      </c>
      <c r="N119" s="103" t="s">
        <v>463</v>
      </c>
    </row>
    <row r="120" spans="1:19" ht="20.100000000000001" customHeight="1" x14ac:dyDescent="0.25">
      <c r="D120" s="41" t="s">
        <v>173</v>
      </c>
      <c r="E120" s="41" t="s">
        <v>190</v>
      </c>
      <c r="F120" s="41" t="s">
        <v>191</v>
      </c>
      <c r="G120" s="41" t="s">
        <v>192</v>
      </c>
      <c r="H120" s="41" t="s">
        <v>193</v>
      </c>
      <c r="N120" s="41" t="s">
        <v>173</v>
      </c>
      <c r="O120" s="41" t="s">
        <v>190</v>
      </c>
      <c r="P120" s="41" t="s">
        <v>191</v>
      </c>
      <c r="Q120" s="41" t="s">
        <v>192</v>
      </c>
      <c r="R120" s="41" t="s">
        <v>193</v>
      </c>
    </row>
    <row r="121" spans="1:19" ht="20.100000000000001" customHeight="1" x14ac:dyDescent="0.25">
      <c r="A121" s="141" t="str">
        <f>HYPERLINK("#A1", "▲ Back to top")</f>
        <v>▲ Back to top</v>
      </c>
      <c r="D121" s="55">
        <f>'Input - Dairy'!E37</f>
        <v>0.2</v>
      </c>
      <c r="E121" s="55">
        <f>'Input - Dairy'!F37</f>
        <v>0.2</v>
      </c>
      <c r="F121" s="55">
        <f>'Input - Dairy'!G37</f>
        <v>0.2</v>
      </c>
      <c r="G121" s="55">
        <f>'Input - Dairy'!H37</f>
        <v>0.2</v>
      </c>
      <c r="H121" s="55">
        <f>'Input - Dairy'!I37</f>
        <v>0.2</v>
      </c>
      <c r="I121" s="2" t="str">
        <f>$F$116</f>
        <v>fraction</v>
      </c>
      <c r="N121" s="55">
        <f>'Input - Dairy'!E41</f>
        <v>0.2</v>
      </c>
      <c r="O121" s="55">
        <f>'Input - Dairy'!F41</f>
        <v>0.2</v>
      </c>
      <c r="P121" s="55">
        <f>'Input - Dairy'!G41</f>
        <v>0.2</v>
      </c>
      <c r="Q121" s="55">
        <f>'Input - Dairy'!H41</f>
        <v>0.2</v>
      </c>
      <c r="R121" s="55">
        <f>'Input - Dairy'!I41</f>
        <v>0.2</v>
      </c>
      <c r="S121" s="2" t="str">
        <f>$F$116</f>
        <v>fraction</v>
      </c>
    </row>
    <row r="122" spans="1:19" ht="20.100000000000001" customHeight="1" x14ac:dyDescent="0.25"/>
    <row r="123" spans="1:19" ht="20.100000000000001" customHeight="1" x14ac:dyDescent="0.25">
      <c r="D123" s="104" t="s">
        <v>294</v>
      </c>
      <c r="N123" s="104" t="s">
        <v>464</v>
      </c>
    </row>
    <row r="124" spans="1:19" ht="20.100000000000001" customHeight="1" x14ac:dyDescent="0.25">
      <c r="D124" s="103" t="s">
        <v>295</v>
      </c>
      <c r="N124" s="103" t="s">
        <v>465</v>
      </c>
    </row>
    <row r="125" spans="1:19" ht="20.100000000000001" customHeight="1" x14ac:dyDescent="0.25">
      <c r="D125" s="54" t="s">
        <v>173</v>
      </c>
      <c r="E125" s="54" t="s">
        <v>190</v>
      </c>
      <c r="F125" s="54" t="s">
        <v>191</v>
      </c>
      <c r="G125" s="54" t="s">
        <v>192</v>
      </c>
      <c r="H125" s="54" t="s">
        <v>193</v>
      </c>
      <c r="N125" s="54" t="s">
        <v>173</v>
      </c>
      <c r="O125" s="54" t="s">
        <v>190</v>
      </c>
      <c r="P125" s="54" t="s">
        <v>191</v>
      </c>
      <c r="Q125" s="54" t="s">
        <v>192</v>
      </c>
      <c r="R125" s="54" t="s">
        <v>193</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28</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31</v>
      </c>
      <c r="E136" s="1" t="str" cm="1">
        <f t="array" ref="E136">MMS_Dairy_N2ODirect_Equations.VEERG_4_3_1_3__4_NitrogenExcretedByDairyCattleGreaterThanOneYear_Variable()</f>
        <v>NE_j</v>
      </c>
    </row>
    <row r="137" spans="1:21" ht="20.100000000000001" customHeight="1" x14ac:dyDescent="0.25">
      <c r="D137" s="56" t="s">
        <v>21</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118</v>
      </c>
      <c r="N143" s="104" t="s">
        <v>119</v>
      </c>
    </row>
    <row r="144" spans="1:21" ht="20.100000000000001" customHeight="1" x14ac:dyDescent="0.25">
      <c r="D144" s="103" t="s">
        <v>296</v>
      </c>
      <c r="N144" s="103" t="s">
        <v>297</v>
      </c>
    </row>
    <row r="145" spans="3:21" ht="20.100000000000001" customHeight="1" x14ac:dyDescent="0.25">
      <c r="D145" s="54" t="s">
        <v>173</v>
      </c>
      <c r="E145" s="54" t="s">
        <v>190</v>
      </c>
      <c r="F145" s="54" t="s">
        <v>191</v>
      </c>
      <c r="G145" s="54" t="s">
        <v>192</v>
      </c>
      <c r="H145" s="54" t="s">
        <v>193</v>
      </c>
      <c r="N145" s="54" t="s">
        <v>173</v>
      </c>
      <c r="O145" s="54" t="s">
        <v>190</v>
      </c>
      <c r="P145" s="54" t="s">
        <v>191</v>
      </c>
      <c r="Q145" s="54" t="s">
        <v>192</v>
      </c>
      <c r="R145" s="54" t="s">
        <v>193</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28</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31</v>
      </c>
      <c r="E156" s="1" t="str" cm="1">
        <f t="array" ref="E156">MMS_Dairy_N2ODirect_Equations.VEERG_4_3_1_3__3a_TotalAnnualNitrogenExcretedGreaterThanOneYear_Variable()</f>
        <v>AE_j124</v>
      </c>
    </row>
    <row r="157" spans="3:21" ht="20.100000000000001" customHeight="1" x14ac:dyDescent="0.25">
      <c r="D157" s="56" t="s">
        <v>21</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108</v>
      </c>
    </row>
    <row r="164" spans="1:19" ht="20.100000000000001" customHeight="1" x14ac:dyDescent="0.25">
      <c r="D164" s="103" t="s">
        <v>264</v>
      </c>
    </row>
    <row r="165" spans="1:19" ht="20.100000000000001" customHeight="1" x14ac:dyDescent="0.25">
      <c r="D165" s="41" t="s">
        <v>173</v>
      </c>
      <c r="E165" s="41" t="s">
        <v>190</v>
      </c>
      <c r="F165" s="41" t="s">
        <v>191</v>
      </c>
      <c r="G165" s="41" t="s">
        <v>192</v>
      </c>
      <c r="H165" s="41" t="s">
        <v>193</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271</v>
      </c>
      <c r="N168" s="104" t="s">
        <v>461</v>
      </c>
    </row>
    <row r="169" spans="1:19" ht="20.100000000000001" customHeight="1" x14ac:dyDescent="0.25">
      <c r="D169" s="103" t="s">
        <v>299</v>
      </c>
      <c r="N169" s="103" t="s">
        <v>300</v>
      </c>
    </row>
    <row r="170" spans="1:19" ht="20.100000000000001" customHeight="1" x14ac:dyDescent="0.25">
      <c r="D170" s="41" t="s">
        <v>173</v>
      </c>
      <c r="E170" s="41" t="s">
        <v>190</v>
      </c>
      <c r="F170" s="41" t="s">
        <v>191</v>
      </c>
      <c r="G170" s="41" t="s">
        <v>192</v>
      </c>
      <c r="H170" s="41" t="s">
        <v>193</v>
      </c>
      <c r="N170" s="41" t="s">
        <v>173</v>
      </c>
      <c r="O170" s="41" t="s">
        <v>190</v>
      </c>
      <c r="P170" s="41" t="s">
        <v>191</v>
      </c>
      <c r="Q170" s="41" t="s">
        <v>192</v>
      </c>
      <c r="R170" s="41" t="s">
        <v>193</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56</v>
      </c>
    </row>
    <row r="172" spans="1:19" ht="20.100000000000001" customHeight="1" x14ac:dyDescent="0.25"/>
    <row r="173" spans="1:19" ht="20.100000000000001" customHeight="1" x14ac:dyDescent="0.25">
      <c r="D173" s="104" t="s">
        <v>298</v>
      </c>
      <c r="N173" s="104" t="s">
        <v>459</v>
      </c>
    </row>
    <row r="174" spans="1:19" ht="20.100000000000001" customHeight="1" x14ac:dyDescent="0.25">
      <c r="D174" s="103" t="s">
        <v>306</v>
      </c>
      <c r="N174" s="103" t="s">
        <v>460</v>
      </c>
    </row>
    <row r="175" spans="1:19" ht="20.100000000000001" customHeight="1" x14ac:dyDescent="0.25">
      <c r="D175" s="54" t="s">
        <v>173</v>
      </c>
      <c r="E175" s="54" t="s">
        <v>190</v>
      </c>
      <c r="F175" s="54" t="s">
        <v>191</v>
      </c>
      <c r="G175" s="54" t="s">
        <v>192</v>
      </c>
      <c r="H175" s="54" t="s">
        <v>193</v>
      </c>
      <c r="N175" s="54" t="s">
        <v>173</v>
      </c>
      <c r="O175" s="54" t="s">
        <v>190</v>
      </c>
      <c r="P175" s="54" t="s">
        <v>191</v>
      </c>
      <c r="Q175" s="54" t="s">
        <v>192</v>
      </c>
      <c r="R175" s="54" t="s">
        <v>193</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28</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31</v>
      </c>
      <c r="E186" s="1" t="str" cm="1">
        <f t="array" ref="E186">MMS_Dairy_N2ODirect_Equations.VEERG_4_3_1_3__3b_TotalAnnualNitrogenExcretedLessThanOneYear_Variable()</f>
        <v>AE_j35</v>
      </c>
    </row>
    <row r="187" spans="3:21" ht="20.100000000000001" customHeight="1" x14ac:dyDescent="0.25">
      <c r="D187" s="56" t="s">
        <v>21</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303</v>
      </c>
    </row>
    <row r="196" spans="1:19" ht="20.100000000000001" customHeight="1" x14ac:dyDescent="0.25">
      <c r="D196" s="103" t="s">
        <v>304</v>
      </c>
    </row>
    <row r="197" spans="1:19" ht="20.100000000000001" customHeight="1" x14ac:dyDescent="0.25">
      <c r="D197" s="54" t="s">
        <v>173</v>
      </c>
      <c r="E197" s="54" t="s">
        <v>190</v>
      </c>
      <c r="F197" s="54" t="s">
        <v>191</v>
      </c>
      <c r="G197" s="54" t="s">
        <v>192</v>
      </c>
      <c r="H197" s="54" t="s">
        <v>193</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301</v>
      </c>
      <c r="N200" s="104" t="s">
        <v>301</v>
      </c>
    </row>
    <row r="201" spans="1:19" ht="20.100000000000001" customHeight="1" x14ac:dyDescent="0.25">
      <c r="D201" s="103" t="s">
        <v>302</v>
      </c>
      <c r="N201" s="103" t="s">
        <v>456</v>
      </c>
    </row>
    <row r="202" spans="1:19" ht="20.100000000000001" customHeight="1" x14ac:dyDescent="0.25">
      <c r="D202" s="41" t="s">
        <v>173</v>
      </c>
      <c r="E202" s="41" t="s">
        <v>190</v>
      </c>
      <c r="F202" s="41" t="s">
        <v>191</v>
      </c>
      <c r="G202" s="41" t="s">
        <v>192</v>
      </c>
      <c r="H202" s="41" t="s">
        <v>193</v>
      </c>
      <c r="N202" s="41" t="s">
        <v>173</v>
      </c>
      <c r="O202" s="41" t="s">
        <v>190</v>
      </c>
      <c r="P202" s="41" t="s">
        <v>191</v>
      </c>
      <c r="Q202" s="41" t="s">
        <v>192</v>
      </c>
      <c r="R202" s="41" t="s">
        <v>193</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266</v>
      </c>
      <c r="N205" s="104" t="s">
        <v>266</v>
      </c>
    </row>
    <row r="206" spans="1:19" ht="20.100000000000001" customHeight="1" x14ac:dyDescent="0.25">
      <c r="D206" s="103" t="s">
        <v>274</v>
      </c>
      <c r="N206" s="103" t="s">
        <v>457</v>
      </c>
    </row>
    <row r="207" spans="1:19" ht="20.100000000000001" customHeight="1" x14ac:dyDescent="0.25">
      <c r="D207" s="41" t="s">
        <v>173</v>
      </c>
      <c r="E207" s="41" t="s">
        <v>190</v>
      </c>
      <c r="F207" s="41" t="s">
        <v>191</v>
      </c>
      <c r="G207" s="41" t="s">
        <v>192</v>
      </c>
      <c r="H207" s="41" t="s">
        <v>193</v>
      </c>
      <c r="N207" s="41" t="s">
        <v>173</v>
      </c>
      <c r="O207" s="41" t="s">
        <v>190</v>
      </c>
      <c r="P207" s="41" t="s">
        <v>191</v>
      </c>
      <c r="Q207" s="41" t="s">
        <v>192</v>
      </c>
      <c r="R207" s="41" t="s">
        <v>193</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122</v>
      </c>
      <c r="N210" s="104" t="s">
        <v>122</v>
      </c>
    </row>
    <row r="211" spans="3:21" ht="20.100000000000001" customHeight="1" x14ac:dyDescent="0.25">
      <c r="D211" s="103" t="s">
        <v>305</v>
      </c>
      <c r="N211" s="103" t="s">
        <v>458</v>
      </c>
    </row>
    <row r="212" spans="3:21" ht="20.100000000000001" customHeight="1" x14ac:dyDescent="0.25">
      <c r="D212" s="54" t="s">
        <v>173</v>
      </c>
      <c r="E212" s="54" t="s">
        <v>190</v>
      </c>
      <c r="F212" s="54" t="s">
        <v>191</v>
      </c>
      <c r="G212" s="54" t="s">
        <v>192</v>
      </c>
      <c r="H212" s="54" t="s">
        <v>193</v>
      </c>
      <c r="N212" s="54" t="s">
        <v>173</v>
      </c>
      <c r="O212" s="54" t="s">
        <v>190</v>
      </c>
      <c r="P212" s="54" t="s">
        <v>191</v>
      </c>
      <c r="Q212" s="54" t="s">
        <v>192</v>
      </c>
      <c r="R212" s="54" t="s">
        <v>193</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28</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31</v>
      </c>
      <c r="E222" s="1" t="str" cm="1">
        <f t="array" ref="E222">MMS_Dairy_N2ODirect_Equations.VEERG_4_3_1_3__2_TotalNitrogenInEachMMS_Variable()</f>
        <v>MN_jm</v>
      </c>
    </row>
    <row r="223" spans="3:21" ht="20.100000000000001" customHeight="1" x14ac:dyDescent="0.25">
      <c r="D223" s="56" t="s">
        <v>21</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246</v>
      </c>
      <c r="N228" s="104" t="s">
        <v>248</v>
      </c>
    </row>
    <row r="229" spans="4:20" ht="20.100000000000001" customHeight="1" x14ac:dyDescent="0.25">
      <c r="D229" s="103" t="s">
        <v>307</v>
      </c>
      <c r="N229" s="103" t="s">
        <v>308</v>
      </c>
    </row>
    <row r="230" spans="4:20" ht="20.100000000000001" customHeight="1" x14ac:dyDescent="0.25">
      <c r="D230" s="41" t="s">
        <v>148</v>
      </c>
      <c r="E230" s="41" t="s">
        <v>69</v>
      </c>
      <c r="F230" s="41" t="s">
        <v>173</v>
      </c>
      <c r="G230" s="41" t="s">
        <v>190</v>
      </c>
      <c r="H230" s="41" t="s">
        <v>191</v>
      </c>
      <c r="I230" s="41" t="s">
        <v>192</v>
      </c>
      <c r="J230" s="41" t="s">
        <v>193</v>
      </c>
      <c r="N230" s="41" t="s">
        <v>148</v>
      </c>
      <c r="O230" s="41" t="s">
        <v>69</v>
      </c>
      <c r="P230" s="41" t="s">
        <v>173</v>
      </c>
      <c r="Q230" s="41" t="s">
        <v>190</v>
      </c>
      <c r="R230" s="41" t="s">
        <v>191</v>
      </c>
      <c r="S230" s="41" t="s">
        <v>192</v>
      </c>
      <c r="T230" s="41" t="s">
        <v>193</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2.2000000000000002E-2</v>
      </c>
      <c r="G231" s="55" cm="1">
        <f t="array" ref="G231">InputFunctions_Dairy.CalculateFractionInMMSAfterSolidSeparation('Input - Dairy'!F66,'Input - Dairy'!F81,'Input - Dairy'!$E$83)</f>
        <v>2.2000000000000002E-2</v>
      </c>
      <c r="H231" s="55" cm="1">
        <f t="array" ref="H231">InputFunctions_Dairy.CalculateFractionInMMSAfterSolidSeparation('Input - Dairy'!G66,'Input - Dairy'!G81,'Input - Dairy'!$E$83)</f>
        <v>2.2000000000000002E-2</v>
      </c>
      <c r="I231" s="55" cm="1">
        <f t="array" ref="I231">InputFunctions_Dairy.CalculateFractionInMMSAfterSolidSeparation('Input - Dairy'!H66,'Input - Dairy'!H81,'Input - Dairy'!$E$83)</f>
        <v>2.2000000000000002E-2</v>
      </c>
      <c r="J231" s="55" cm="1">
        <f t="array" ref="J231">InputFunctions_Dairy.CalculateFractionInMMSAfterSolidSeparation('Input - Dairy'!I66,'Input - Dairy'!I81,'Input - Dairy'!$E$83)</f>
        <v>2.2000000000000002E-2</v>
      </c>
      <c r="N231" s="55" t="str">
        <f>'Input - Dairy'!$D$66</f>
        <v>Milking shed</v>
      </c>
      <c r="O231" s="55" t="str">
        <f>'Input - Dairy'!$D$81</f>
        <v>Anaerobic lagoon</v>
      </c>
      <c r="P231" s="55" cm="1">
        <f t="array" ref="P231">InputFunctions_Dairy.CalculateFractionInMMSAfterSolidSeparation('Input - Dairy'!E71,'Input - Dairy'!E81,'Input - Dairy'!$E$84)</f>
        <v>2.2000000000000002E-2</v>
      </c>
      <c r="Q231" s="55" cm="1">
        <f t="array" ref="Q231">InputFunctions_Dairy.CalculateFractionInMMSAfterSolidSeparation('Input - Dairy'!F71,'Input - Dairy'!F81,'Input - Dairy'!$E$84)</f>
        <v>2.2000000000000002E-2</v>
      </c>
      <c r="R231" s="55" cm="1">
        <f t="array" ref="R231">InputFunctions_Dairy.CalculateFractionInMMSAfterSolidSeparation('Input - Dairy'!G71,'Input - Dairy'!G81,'Input - Dairy'!$E$84)</f>
        <v>2.2000000000000002E-2</v>
      </c>
      <c r="S231" s="55" cm="1">
        <f t="array" ref="S231">InputFunctions_Dairy.CalculateFractionInMMSAfterSolidSeparation('Input - Dairy'!H71,'Input - Dairy'!H81,'Input - Dairy'!$E$84)</f>
        <v>2.2000000000000002E-2</v>
      </c>
      <c r="T231" s="55" cm="1">
        <f t="array" ref="T231">InputFunctions_Dairy.CalculateFractionInMMSAfterSolidSeparation('Input - Dairy'!I71,'Input - Dairy'!I81,'Input - Dairy'!$E$84)</f>
        <v>2.2000000000000002E-2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407</v>
      </c>
      <c r="F234" s="55" cm="1">
        <f t="array" ref="F234">InputFunctions_Dairy.CalculateFractionInSolidStorage('Input - Dairy'!E66,'Input - Dairy'!E96,'Input - Dairy'!E81,'Input - Dairy'!$E$83,'Input - Dairy'!E86,'Input - Dairy'!$E$88,'Input - Dairy'!E91,'Input - Dairy'!$E$93)</f>
        <v>4.3999999999999997E-2</v>
      </c>
      <c r="G234" s="55" cm="1">
        <f t="array" ref="G234">InputFunctions_Dairy.CalculateFractionInSolidStorage('Input - Dairy'!F66,'Input - Dairy'!F96,'Input - Dairy'!F81,'Input - Dairy'!$E$83,'Input - Dairy'!F86,'Input - Dairy'!$E$88,'Input - Dairy'!F91,'Input - Dairy'!$E$93)</f>
        <v>4.3999999999999997E-2</v>
      </c>
      <c r="H234" s="55" cm="1">
        <f t="array" ref="H234">InputFunctions_Dairy.CalculateFractionInSolidStorage('Input - Dairy'!G66,'Input - Dairy'!G96,'Input - Dairy'!G81,'Input - Dairy'!$E$83,'Input - Dairy'!G86,'Input - Dairy'!$E$88,'Input - Dairy'!G91,'Input - Dairy'!$E$93)</f>
        <v>4.3999999999999997E-2</v>
      </c>
      <c r="I234" s="55" cm="1">
        <f t="array" ref="I234">InputFunctions_Dairy.CalculateFractionInSolidStorage('Input - Dairy'!H66,'Input - Dairy'!H96,'Input - Dairy'!H81,'Input - Dairy'!$E$83,'Input - Dairy'!H86,'Input - Dairy'!$E$88,'Input - Dairy'!H91,'Input - Dairy'!$E$93)</f>
        <v>4.3999999999999997E-2</v>
      </c>
      <c r="J234" s="55" cm="1">
        <f t="array" ref="J234">InputFunctions_Dairy.CalculateFractionInSolidStorage('Input - Dairy'!I66,'Input - Dairy'!I96,'Input - Dairy'!I81,'Input - Dairy'!$E$83,'Input - Dairy'!I86,'Input - Dairy'!$E$88,'Input - Dairy'!I91,'Input - Dairy'!$E$93)</f>
        <v>4.3999999999999997E-2</v>
      </c>
      <c r="N234" s="55" t="str">
        <f>'Input - Dairy'!$D$66</f>
        <v>Milking shed</v>
      </c>
      <c r="O234" s="55" t="s">
        <v>407</v>
      </c>
      <c r="P234" s="55" cm="1">
        <f t="array" ref="P234">InputFunctions_Dairy.CalculateFractionInSolidStorage('Input - Dairy'!E71,'Input - Dairy'!E96,'Input - Dairy'!E81,'Input - Dairy'!$E$84,'Input - Dairy'!E86,'Input - Dairy'!$E$89,'Input - Dairy'!E91,'Input - Dairy'!$E$94)</f>
        <v>4.3999999999999997E-2</v>
      </c>
      <c r="Q234" s="55" cm="1">
        <f t="array" ref="Q234">InputFunctions_Dairy.CalculateFractionInSolidStorage('Input - Dairy'!F71,'Input - Dairy'!F96,'Input - Dairy'!F81,'Input - Dairy'!$E$84,'Input - Dairy'!F86,'Input - Dairy'!$E$89,'Input - Dairy'!F91,'Input - Dairy'!$E$94)</f>
        <v>4.3999999999999997E-2</v>
      </c>
      <c r="R234" s="55" cm="1">
        <f t="array" ref="R234">InputFunctions_Dairy.CalculateFractionInSolidStorage('Input - Dairy'!G71,'Input - Dairy'!G96,'Input - Dairy'!G81,'Input - Dairy'!$E$84,'Input - Dairy'!G86,'Input - Dairy'!$E$89,'Input - Dairy'!G91,'Input - Dairy'!$E$94)</f>
        <v>4.3999999999999997E-2</v>
      </c>
      <c r="S234" s="55" cm="1">
        <f t="array" ref="S234">InputFunctions_Dairy.CalculateFractionInSolidStorage('Input - Dairy'!H71,'Input - Dairy'!H96,'Input - Dairy'!H81,'Input - Dairy'!$E$84,'Input - Dairy'!H86,'Input - Dairy'!$E$89,'Input - Dairy'!H91,'Input - Dairy'!$E$94)</f>
        <v>4.3999999999999997E-2</v>
      </c>
      <c r="T234" s="55" cm="1">
        <f t="array" ref="T234">InputFunctions_Dairy.CalculateFractionInSolidStorage('Input - Dairy'!I71,'Input - Dairy'!I96,'Input - Dairy'!I81,'Input - Dairy'!$E$84,'Input - Dairy'!I86,'Input - Dairy'!$E$89,'Input - Dairy'!I91,'Input - Dairy'!$E$94)</f>
        <v>4.3999999999999997E-2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8.8999999999999996E-2</v>
      </c>
      <c r="G235" s="55" cm="1">
        <f t="array" ref="G235">InputFunctions_Dairy.CalculateFractionInMMSAfterSolidSeparation('Input - Dairy'!F67,'Input - Dairy'!F105,'Input - Dairy'!$E$107)</f>
        <v>8.8999999999999996E-2</v>
      </c>
      <c r="H235" s="55" cm="1">
        <f t="array" ref="H235">InputFunctions_Dairy.CalculateFractionInMMSAfterSolidSeparation('Input - Dairy'!G67,'Input - Dairy'!G105,'Input - Dairy'!$E$107)</f>
        <v>8.8999999999999996E-2</v>
      </c>
      <c r="I235" s="55" cm="1">
        <f t="array" ref="I235">InputFunctions_Dairy.CalculateFractionInMMSAfterSolidSeparation('Input - Dairy'!H67,'Input - Dairy'!H105,'Input - Dairy'!$E$107)</f>
        <v>8.8999999999999996E-2</v>
      </c>
      <c r="J235" s="55" cm="1">
        <f t="array" ref="J235">InputFunctions_Dairy.CalculateFractionInMMSAfterSolidSeparation('Input - Dairy'!I67,'Input - Dairy'!I105,'Input - Dairy'!$E$107)</f>
        <v>8.8999999999999996E-2</v>
      </c>
      <c r="N235" s="55" t="str">
        <f>'Input - Dairy'!$D$67</f>
        <v>Feed pad</v>
      </c>
      <c r="O235" s="55" t="str">
        <f>'Input - Dairy'!$D$105</f>
        <v>Anaerobic lagoon</v>
      </c>
      <c r="P235" s="55" cm="1">
        <f t="array" ref="P235">InputFunctions_Dairy.CalculateFractionInMMSAfterSolidSeparation('Input - Dairy'!E72,'Input - Dairy'!E105,'Input - Dairy'!$E$108)</f>
        <v>8.8999999999999996E-2</v>
      </c>
      <c r="Q235" s="55" cm="1">
        <f t="array" ref="Q235">InputFunctions_Dairy.CalculateFractionInMMSAfterSolidSeparation('Input - Dairy'!F72,'Input - Dairy'!F105,'Input - Dairy'!$E$108)</f>
        <v>8.8999999999999996E-2</v>
      </c>
      <c r="R235" s="55" cm="1">
        <f t="array" ref="R235">InputFunctions_Dairy.CalculateFractionInMMSAfterSolidSeparation('Input - Dairy'!G72,'Input - Dairy'!G105,'Input - Dairy'!$E$108)</f>
        <v>8.8999999999999996E-2</v>
      </c>
      <c r="S235" s="55" cm="1">
        <f t="array" ref="S235">InputFunctions_Dairy.CalculateFractionInMMSAfterSolidSeparation('Input - Dairy'!H72,'Input - Dairy'!H105,'Input - Dairy'!$E$108)</f>
        <v>8.8999999999999996E-2</v>
      </c>
      <c r="T235" s="55" cm="1">
        <f t="array" ref="T235">InputFunctions_Dairy.CalculateFractionInMMSAfterSolidSeparation('Input - Dairy'!I72,'Input - Dairy'!I105,'Input - Dairy'!$E$108)</f>
        <v>8.8999999999999996E-2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407</v>
      </c>
      <c r="F238" s="55" cm="1">
        <f t="array" ref="F238">InputFunctions_Dairy.CalculateFractionInSolidStorage('Input - Dairy'!E67,'Input - Dairy'!E120,'Input - Dairy'!E105,'Input - Dairy'!$E$107,'Input - Dairy'!E110,'Input - Dairy'!$E$112,'Input - Dairy'!E115,'Input - Dairy'!$E$117)</f>
        <v>0.12459999999999999</v>
      </c>
      <c r="G238" s="55" cm="1">
        <f t="array" ref="G238">InputFunctions_Dairy.CalculateFractionInSolidStorage('Input - Dairy'!F67,'Input - Dairy'!F120,'Input - Dairy'!F105,'Input - Dairy'!$E$107,'Input - Dairy'!F110,'Input - Dairy'!$E$112,'Input - Dairy'!F115,'Input - Dairy'!$E$117)</f>
        <v>0.12459999999999999</v>
      </c>
      <c r="H238" s="55" cm="1">
        <f t="array" ref="H238">InputFunctions_Dairy.CalculateFractionInSolidStorage('Input - Dairy'!G67,'Input - Dairy'!G120,'Input - Dairy'!G105,'Input - Dairy'!$E$107,'Input - Dairy'!G110,'Input - Dairy'!$E$112,'Input - Dairy'!G115,'Input - Dairy'!$E$117)</f>
        <v>0.12459999999999999</v>
      </c>
      <c r="I238" s="55" cm="1">
        <f t="array" ref="I238">InputFunctions_Dairy.CalculateFractionInSolidStorage('Input - Dairy'!H67,'Input - Dairy'!H120,'Input - Dairy'!H105,'Input - Dairy'!$E$107,'Input - Dairy'!H110,'Input - Dairy'!$E$112,'Input - Dairy'!H115,'Input - Dairy'!$E$117)</f>
        <v>0.12459999999999999</v>
      </c>
      <c r="J238" s="55" cm="1">
        <f t="array" ref="J238">InputFunctions_Dairy.CalculateFractionInSolidStorage('Input - Dairy'!I67,'Input - Dairy'!I120,'Input - Dairy'!I105,'Input - Dairy'!$E$107,'Input - Dairy'!I110,'Input - Dairy'!$E$112,'Input - Dairy'!I115,'Input - Dairy'!$E$117)</f>
        <v>0.12459999999999999</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0.12459999999999999</v>
      </c>
      <c r="Q238" s="55" cm="1">
        <f t="array" ref="Q238">InputFunctions_Dairy.CalculateFractionInSolidStorage('Input - Dairy'!F72,'Input - Dairy'!F120,'Input - Dairy'!F105,'Input - Dairy'!$E$108, 'Input - Dairy'!F110,'Input - Dairy'!$E$113,'Input - Dairy'!F115,'Input - Dairy'!$E$118)</f>
        <v>0.12459999999999999</v>
      </c>
      <c r="R238" s="55" cm="1">
        <f t="array" ref="R238">InputFunctions_Dairy.CalculateFractionInSolidStorage('Input - Dairy'!G72,'Input - Dairy'!G120,'Input - Dairy'!G105,'Input - Dairy'!$E$108, 'Input - Dairy'!G110,'Input - Dairy'!$E$113,'Input - Dairy'!G115,'Input - Dairy'!$E$118)</f>
        <v>0.12459999999999999</v>
      </c>
      <c r="S238" s="55" cm="1">
        <f t="array" ref="S238">InputFunctions_Dairy.CalculateFractionInSolidStorage('Input - Dairy'!H72,'Input - Dairy'!H120,'Input - Dairy'!H105,'Input - Dairy'!$E$108, 'Input - Dairy'!H110,'Input - Dairy'!$E$113,'Input - Dairy'!H115,'Input - Dairy'!$E$118)</f>
        <v>0.12459999999999999</v>
      </c>
      <c r="T238" s="55" cm="1">
        <f t="array" ref="T238">InputFunctions_Dairy.CalculateFractionInSolidStorage('Input - Dairy'!I72,'Input - Dairy'!I120,'Input - Dairy'!I105,'Input - Dairy'!$E$108, 'Input - Dairy'!I110,'Input - Dairy'!$E$113,'Input - Dairy'!I115,'Input - Dairy'!$E$118)</f>
        <v>0.12459999999999999</v>
      </c>
    </row>
    <row r="239" spans="4:20" ht="20.100000000000001" customHeight="1" x14ac:dyDescent="0.25">
      <c r="Q239" s="131"/>
    </row>
    <row r="240" spans="4:20" ht="20.100000000000001" customHeight="1" x14ac:dyDescent="0.25">
      <c r="D240" s="104" t="s">
        <v>309</v>
      </c>
      <c r="N240" s="104" t="s">
        <v>312</v>
      </c>
    </row>
    <row r="241" spans="1:21" ht="20.100000000000001" customHeight="1" x14ac:dyDescent="0.25">
      <c r="D241" s="103" t="s">
        <v>310</v>
      </c>
      <c r="N241" s="103" t="s">
        <v>311</v>
      </c>
    </row>
    <row r="242" spans="1:21" ht="20.100000000000001" customHeight="1" x14ac:dyDescent="0.25">
      <c r="D242" s="54" t="s">
        <v>148</v>
      </c>
      <c r="E242" s="54" t="s">
        <v>69</v>
      </c>
      <c r="F242" s="54" t="s">
        <v>173</v>
      </c>
      <c r="G242" s="54" t="s">
        <v>190</v>
      </c>
      <c r="H242" s="54" t="s">
        <v>191</v>
      </c>
      <c r="I242" s="54" t="s">
        <v>192</v>
      </c>
      <c r="J242" s="54" t="s">
        <v>193</v>
      </c>
      <c r="N242" s="54" t="s">
        <v>148</v>
      </c>
      <c r="O242" s="54" t="s">
        <v>69</v>
      </c>
      <c r="P242" s="54" t="s">
        <v>173</v>
      </c>
      <c r="Q242" s="54" t="s">
        <v>190</v>
      </c>
      <c r="R242" s="54" t="s">
        <v>191</v>
      </c>
      <c r="S242" s="54" t="s">
        <v>192</v>
      </c>
      <c r="T242" s="54" t="s">
        <v>193</v>
      </c>
    </row>
    <row r="243" spans="1:21" ht="20.100000000000001" customHeight="1" x14ac:dyDescent="0.25">
      <c r="D243" s="55" t="str">
        <f>'Input - Dairy'!$D$66</f>
        <v>Milking shed</v>
      </c>
      <c r="E243" s="55" t="str">
        <f>'Input - Dairy'!$D$81</f>
        <v>Anaerobic lagoon</v>
      </c>
      <c r="F243" s="55" cm="1">
        <f t="array" ref="F243">MMS_Dairy_N2ODirect_Equations.VEERG_4_3_1_3__2_TotalNitrogenInEachMMS(D$176,F231)</f>
        <v>468.93940857160464</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'Input - Dairy'!$D$66</f>
        <v>Milking shed</v>
      </c>
      <c r="O243" s="55" t="str">
        <f>'Input - Dairy'!$D$81</f>
        <v>Anaerobic lagoon</v>
      </c>
      <c r="P243" s="55" cm="1">
        <f t="array" ref="P243">MMS_Dairy_N2ODirect_Equations.VEERG_4_3_1_3__2_TotalNitrogenInEachMMS(N$176,P231)</f>
        <v>468.93940857160464</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Dairy'!$D$91</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407</v>
      </c>
      <c r="F246" s="55" cm="1">
        <f t="array" ref="F246">MMS_Dairy_N2ODirect_Equations.VEERG_4_3_1_3__2_TotalNitrogenInEachMMS(D$176,F234)</f>
        <v>937.87881714320918</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'Input - Dairy'!$D$66</f>
        <v>Milking shed</v>
      </c>
      <c r="O246" s="55" t="s">
        <v>407</v>
      </c>
      <c r="P246" s="55" cm="1">
        <f t="array" ref="P246">MMS_Dairy_N2ODirect_Equations.VEERG_4_3_1_3__2_TotalNitrogenInEachMMS(N$176,P234)</f>
        <v>937.87881714320918</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'Input - Dairy'!$D$67</f>
        <v>Feed pad</v>
      </c>
      <c r="E247" s="55" t="str">
        <f>'Input - Dairy'!$D$105</f>
        <v>Anaerobic lagoon</v>
      </c>
      <c r="F247" s="55" cm="1">
        <f t="array" ref="F247">MMS_Dairy_N2ODirect_Equations.VEERG_4_3_1_3__2_TotalNitrogenInEachMMS(D$176,F235)</f>
        <v>1897.073061948764</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'Input - Dairy'!$D$67</f>
        <v>Feed pad</v>
      </c>
      <c r="O247" s="55" t="str">
        <f>'Input - Dairy'!$D$105</f>
        <v>Anaerobic lagoon</v>
      </c>
      <c r="P247" s="55" cm="1">
        <f t="array" ref="P247">MMS_Dairy_N2ODirect_Equations.VEERG_4_3_1_3__2_TotalNitrogenInEachMMS(N$176,P235)</f>
        <v>1897.073061948764</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'Input - Dairy'!$D$67</f>
        <v>Feed pad</v>
      </c>
      <c r="E248" s="55" t="str">
        <f>'Input - Dairy'!$D$110</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Dairy'!$D$110</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Dairy'!$D$115</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Dairy'!$D$115</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407</v>
      </c>
      <c r="F250" s="55" cm="1">
        <f t="array" ref="F250">MMS_Dairy_N2ODirect_Equations.VEERG_4_3_1_3__2_TotalNitrogenInEachMMS(D$176,F238)</f>
        <v>2655.9022867282697</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'Input - Dairy'!$D$67</f>
        <v>Feed pad</v>
      </c>
      <c r="O250" s="55" t="s">
        <v>407</v>
      </c>
      <c r="P250" s="55" cm="1">
        <f t="array" ref="P250">MMS_Dairy_N2ODirect_Equations.VEERG_4_3_1_3__2_TotalNitrogenInEachMMS(N$176,P238)</f>
        <v>2655.9022867282697</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28</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31</v>
      </c>
      <c r="E259" s="1" t="str" cm="1">
        <f t="array" ref="E259">MMS_Dairy_N2ODirect_Equations.VEERG_4_3_1_3__1_TotalAnnualDirectNitrousOxideEmissionsFromMMS_Variable()</f>
        <v>E_N2Odir</v>
      </c>
    </row>
    <row r="260" spans="4:9" ht="20.100000000000001" customHeight="1" x14ac:dyDescent="0.25">
      <c r="D260" s="56" t="s">
        <v>21</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313</v>
      </c>
    </row>
    <row r="267" spans="4:9" ht="20.100000000000001" customHeight="1" x14ac:dyDescent="0.25">
      <c r="D267" s="103" t="s">
        <v>314</v>
      </c>
    </row>
    <row r="268" spans="4:9" ht="20.100000000000001" customHeight="1" x14ac:dyDescent="0.25">
      <c r="D268" s="54" t="s">
        <v>69</v>
      </c>
      <c r="E268" s="54" t="s">
        <v>315</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124</v>
      </c>
      <c r="N275" s="104" t="s">
        <v>364</v>
      </c>
    </row>
    <row r="276" spans="1:20" ht="20.100000000000001" customHeight="1" x14ac:dyDescent="0.25">
      <c r="D276" s="103" t="s">
        <v>316</v>
      </c>
      <c r="N276" s="103" t="s">
        <v>467</v>
      </c>
    </row>
    <row r="277" spans="1:20" ht="20.100000000000001" customHeight="1" x14ac:dyDescent="0.25">
      <c r="D277" s="54" t="s">
        <v>148</v>
      </c>
      <c r="E277" s="54" t="s">
        <v>69</v>
      </c>
      <c r="F277" s="54" t="s">
        <v>173</v>
      </c>
      <c r="G277" s="54" t="s">
        <v>190</v>
      </c>
      <c r="H277" s="54" t="s">
        <v>191</v>
      </c>
      <c r="I277" s="54" t="s">
        <v>192</v>
      </c>
      <c r="J277" s="54" t="s">
        <v>193</v>
      </c>
      <c r="N277" s="54" t="s">
        <v>148</v>
      </c>
      <c r="O277" s="54" t="s">
        <v>69</v>
      </c>
      <c r="P277" s="54" t="s">
        <v>173</v>
      </c>
      <c r="Q277" s="54" t="s">
        <v>190</v>
      </c>
      <c r="R277" s="54" t="s">
        <v>191</v>
      </c>
      <c r="S277" s="54" t="s">
        <v>192</v>
      </c>
      <c r="T277" s="54" t="s">
        <v>193</v>
      </c>
    </row>
    <row r="278" spans="1:20" ht="20.100000000000001" customHeight="1" x14ac:dyDescent="0.25">
      <c r="D278" s="55" t="str">
        <f>'Input - Dairy'!$D$66</f>
        <v>Milking shed</v>
      </c>
      <c r="E278" s="55" t="str">
        <f>'Input - Dairy'!$D$81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Dairy'!$D$91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Dairy'!$D$91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407</v>
      </c>
      <c r="F281" s="55" cm="1">
        <f t="array" ref="F281">MMS_Dairy_N2ODirect_Equations.VEERG_4_3_1_3__1_TotalAnnualDirectNitrousOxideEmissionsFromMMS(F246,$E273,$I$264)</f>
        <v>7.3690478489823576E-3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'Input - Dairy'!$D$66</f>
        <v>Milking shed</v>
      </c>
      <c r="O281" s="55" t="s">
        <v>407</v>
      </c>
      <c r="P281" s="55" cm="1">
        <f t="array" ref="P281">MMS_Dairy_N2ODirect_Equations.VEERG_4_3_1_3__1_TotalAnnualDirectNitrousOxideEmissionsFromMMS(P246,$E273,$I$264)</f>
        <v>7.3690478489823576E-3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'Input - Dairy'!$D$67</f>
        <v>Feed pad</v>
      </c>
      <c r="E282" s="55" t="str">
        <f>'Input - Dairy'!$D$105</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Dairy'!$D$105</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Dairy'!$D$110</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Dairy'!$D$110</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Dairy'!$D$115</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Dairy'!$D$115</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407</v>
      </c>
      <c r="F285" s="55" cm="1">
        <f t="array" ref="F285">MMS_Dairy_N2ODirect_Equations.VEERG_4_3_1_3__1_TotalAnnualDirectNitrousOxideEmissionsFromMMS(F250,$E273,$I$264)</f>
        <v>2.0867803681436405E-2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'Input - Dairy'!$D$67</f>
        <v>Feed pad</v>
      </c>
      <c r="O285" s="55" t="s">
        <v>407</v>
      </c>
      <c r="P285" s="55" cm="1">
        <f t="array" ref="P285">MMS_Dairy_N2ODirect_Equations.VEERG_4_3_1_3__1_TotalAnnualDirectNitrousOxideEmissionsFromMMS(P250,$E273,$I$264)</f>
        <v>2.0867803681436405E-2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123</v>
      </c>
      <c r="E287" s="109">
        <f>SUM(F278:J285)</f>
        <v>6.3172161253287021E-2</v>
      </c>
      <c r="F287" s="110" t="str">
        <f>$E$260</f>
        <v>t N2O</v>
      </c>
      <c r="N287" s="108" t="s">
        <v>123</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110</v>
      </c>
      <c r="E292" s="48" cm="1">
        <f t="array" ref="E292">Common_Equations.Common_ConvertN2OToCO2e(G289,G290)</f>
        <v>16.740622732121061</v>
      </c>
      <c r="F292" s="112" t="str" cm="1">
        <f t="array" ref="F292">Common_Equations.Common_ConvertN2OToCO2e_Unit()</f>
        <v>t CO2e</v>
      </c>
      <c r="N292" s="48" t="s">
        <v>110</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B51" workbookViewId="0">
      <selection activeCell="P68" sqref="P6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318</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MMS_Dairy_AtmosphericDeposition_Equations.VEERG_4_3_1_5__2_TotalNitrogenVolatilisedFromMMS_Variable()</f>
        <v>MN_ATMOS</v>
      </c>
    </row>
    <row r="11" spans="1:23" ht="20.100000000000001" customHeight="1" x14ac:dyDescent="0.25">
      <c r="A11" s="19" t="s">
        <v>78</v>
      </c>
      <c r="D11" s="56" t="s">
        <v>21</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309</v>
      </c>
      <c r="O16" s="104" t="s">
        <v>312</v>
      </c>
    </row>
    <row r="17" spans="1:22" ht="20.100000000000001" customHeight="1" x14ac:dyDescent="0.25">
      <c r="A17" s="17" t="str">
        <f>HYPERLINK("#'4.3.1.9 Soil direct N2O'!A1", "4.3.1.9 Soil direct N2O")</f>
        <v>4.3.1.9 Soil direct N2O</v>
      </c>
      <c r="D17" s="103" t="s">
        <v>310</v>
      </c>
      <c r="O17" s="103" t="s">
        <v>311</v>
      </c>
    </row>
    <row r="18" spans="1:22" ht="20.100000000000001" customHeight="1" x14ac:dyDescent="0.25">
      <c r="A18" s="17" t="str">
        <f>HYPERLINK("#'4.3.1.10-11 Soil Atmos Dep'!A1", "4.3.1.10-11 Soil atm. deposition")</f>
        <v>4.3.1.10-11 Soil atm. deposition</v>
      </c>
      <c r="D18" s="54" t="s">
        <v>148</v>
      </c>
      <c r="E18" s="54" t="s">
        <v>69</v>
      </c>
      <c r="F18" s="54" t="s">
        <v>173</v>
      </c>
      <c r="G18" s="54" t="s">
        <v>190</v>
      </c>
      <c r="H18" s="54" t="s">
        <v>191</v>
      </c>
      <c r="I18" s="54" t="s">
        <v>192</v>
      </c>
      <c r="J18" s="54" t="s">
        <v>193</v>
      </c>
      <c r="O18" s="54" t="s">
        <v>148</v>
      </c>
      <c r="P18" s="54" t="s">
        <v>69</v>
      </c>
      <c r="Q18" s="54" t="s">
        <v>173</v>
      </c>
      <c r="R18" s="54" t="s">
        <v>190</v>
      </c>
      <c r="S18" s="54" t="s">
        <v>191</v>
      </c>
      <c r="T18" s="54" t="s">
        <v>192</v>
      </c>
      <c r="U18" s="54" t="s">
        <v>193</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468.93940857160464</v>
      </c>
      <c r="G19" s="55">
        <f>'4.3.1.3-4 Direct N20'!$G$243</f>
        <v>182.35790267782079</v>
      </c>
      <c r="H19" s="55">
        <f>'4.3.1.3-4 Direct N20'!$H$243</f>
        <v>72.631224123843424</v>
      </c>
      <c r="I19" s="55">
        <f>'4.3.1.3-4 Direct N20'!$I$243</f>
        <v>229.23109573986844</v>
      </c>
      <c r="J19" s="55">
        <f>'4.3.1.3-4 Direct N20'!$J$243</f>
        <v>95.962857079055411</v>
      </c>
      <c r="K19" s="2" t="str">
        <f>$G$13</f>
        <v>kg N</v>
      </c>
      <c r="O19" s="55" t="str">
        <f>'Input - Dairy'!$D$66</f>
        <v>Milking shed</v>
      </c>
      <c r="P19" s="55" t="str">
        <f>'Input - Dairy'!$D$81</f>
        <v>Anaerobic lagoon</v>
      </c>
      <c r="Q19" s="55">
        <f>'4.3.1.3-4 Direct N20'!$P$243</f>
        <v>468.93940857160464</v>
      </c>
      <c r="R19" s="55">
        <f>'4.3.1.3-4 Direct N20'!$Q$243</f>
        <v>182.35790267782079</v>
      </c>
      <c r="S19" s="55">
        <f>'4.3.1.3-4 Direct N20'!$R$243</f>
        <v>72.631224123843424</v>
      </c>
      <c r="T19" s="55">
        <f>'4.3.1.3-4 Direct N20'!$S$243</f>
        <v>229.23109573986844</v>
      </c>
      <c r="U19" s="55">
        <f>'4.3.1.3-4 Direct N20'!$T$243</f>
        <v>95.962857079055411</v>
      </c>
      <c r="V19" s="2" t="str">
        <f>$G$13</f>
        <v>kg N</v>
      </c>
    </row>
    <row r="20" spans="1:22" ht="20.100000000000001" customHeight="1" x14ac:dyDescent="0.25">
      <c r="A20" s="17"/>
      <c r="D20" s="55" t="str">
        <f>'Input - Dairy'!$D$66</f>
        <v>Milking shed</v>
      </c>
      <c r="E20" s="55" t="str">
        <f>'Input - Dairy'!$D$86</f>
        <v>Sump and dispersal system</v>
      </c>
      <c r="F20" s="55">
        <f>'4.3.1.3-4 Direct N20'!$F$244</f>
        <v>468.93940857160464</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468.93940857160464</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468.93940857160464</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468.93940857160464</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407</v>
      </c>
      <c r="F22" s="55">
        <f>'4.3.1.3-4 Direct N20'!$F$246</f>
        <v>937.87881714320918</v>
      </c>
      <c r="G22" s="55">
        <f>'4.3.1.3-4 Direct N20'!$G$246</f>
        <v>364.71580535564152</v>
      </c>
      <c r="H22" s="55">
        <f>'4.3.1.3-4 Direct N20'!$H$246</f>
        <v>145.26244824768682</v>
      </c>
      <c r="I22" s="55">
        <f>'4.3.1.3-4 Direct N20'!$I$246</f>
        <v>458.46219147973682</v>
      </c>
      <c r="J22" s="55">
        <f>'4.3.1.3-4 Direct N20'!$J$246</f>
        <v>191.92571415811079</v>
      </c>
      <c r="K22" s="2"/>
      <c r="O22" s="55" t="str">
        <f>'Input - Dairy'!$D$66</f>
        <v>Milking shed</v>
      </c>
      <c r="P22" s="55" t="s">
        <v>407</v>
      </c>
      <c r="Q22" s="55">
        <f>'4.3.1.3-4 Direct N20'!$P$246</f>
        <v>937.87881714320918</v>
      </c>
      <c r="R22" s="55">
        <f>'4.3.1.3-4 Direct N20'!$Q$246</f>
        <v>364.71580535564152</v>
      </c>
      <c r="S22" s="55">
        <f>'4.3.1.3-4 Direct N20'!$R$246</f>
        <v>145.26244824768682</v>
      </c>
      <c r="T22" s="55">
        <f>'4.3.1.3-4 Direct N20'!$S$246</f>
        <v>458.46219147973682</v>
      </c>
      <c r="U22" s="55">
        <f>'4.3.1.3-4 Direct N20'!$T$246</f>
        <v>191.92571415811079</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1897.073061948764</v>
      </c>
      <c r="G23" s="55">
        <f>'4.3.1.3-4 Direct N20'!$G$247</f>
        <v>737.72060628754764</v>
      </c>
      <c r="H23" s="55">
        <f>'4.3.1.3-4 Direct N20'!$H$247</f>
        <v>293.82631577373019</v>
      </c>
      <c r="I23" s="55">
        <f>'4.3.1.3-4 Direct N20'!$I$247</f>
        <v>927.34397822037681</v>
      </c>
      <c r="J23" s="55">
        <f>'4.3.1.3-4 Direct N20'!$J$247</f>
        <v>388.21337636526954</v>
      </c>
      <c r="K23" s="2"/>
      <c r="O23" s="55" t="str">
        <f>'Input - Dairy'!$D$67</f>
        <v>Feed pad</v>
      </c>
      <c r="P23" s="55" t="str">
        <f>'Input - Dairy'!$D$105</f>
        <v>Anaerobic lagoon</v>
      </c>
      <c r="Q23" s="55">
        <f>'4.3.1.3-4 Direct N20'!$P$247</f>
        <v>1897.073061948764</v>
      </c>
      <c r="R23" s="55">
        <f>'4.3.1.3-4 Direct N20'!$Q$247</f>
        <v>737.72060628754764</v>
      </c>
      <c r="S23" s="55">
        <f>'4.3.1.3-4 Direct N20'!$R$247</f>
        <v>293.82631577373019</v>
      </c>
      <c r="T23" s="55">
        <f>'4.3.1.3-4 Direct N20'!$S$247</f>
        <v>927.34397822037681</v>
      </c>
      <c r="U23" s="55">
        <f>'4.3.1.3-4 Direct N20'!$T$247</f>
        <v>388.21337636526954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1517.6584495590114</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1517.6584495590114</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1517.6584495590114</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1517.6584495590114</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407</v>
      </c>
      <c r="F26" s="55">
        <f>'4.3.1.3-4 Direct N20'!$F$250</f>
        <v>2655.9022867282697</v>
      </c>
      <c r="G26" s="55">
        <f>'4.3.1.3-4 Direct N20'!$G$250</f>
        <v>1032.8088488025667</v>
      </c>
      <c r="H26" s="55">
        <f>'4.3.1.3-4 Direct N20'!$H$250</f>
        <v>411.35684208322226</v>
      </c>
      <c r="I26" s="55">
        <f>'4.3.1.3-4 Direct N20'!$I$250</f>
        <v>1298.2815695085274</v>
      </c>
      <c r="J26" s="55">
        <f>'4.3.1.3-4 Direct N20'!$J$250</f>
        <v>543.49872691137739</v>
      </c>
      <c r="K26" s="2"/>
      <c r="O26" s="55" t="str">
        <f>'Input - Dairy'!$D$67</f>
        <v>Feed pad</v>
      </c>
      <c r="P26" s="55" t="s">
        <v>407</v>
      </c>
      <c r="Q26" s="55">
        <f>'4.3.1.3-4 Direct N20'!$P$250</f>
        <v>2655.9022867282697</v>
      </c>
      <c r="R26" s="55">
        <f>'4.3.1.3-4 Direct N20'!$Q$250</f>
        <v>1032.8088488025667</v>
      </c>
      <c r="S26" s="55">
        <f>'4.3.1.3-4 Direct N20'!$R$250</f>
        <v>411.35684208322226</v>
      </c>
      <c r="T26" s="55">
        <f>'4.3.1.3-4 Direct N20'!$S$250</f>
        <v>1298.2815695085274</v>
      </c>
      <c r="U26" s="55">
        <f>'4.3.1.3-4 Direct N20'!$T$250</f>
        <v>543.49872691137739</v>
      </c>
      <c r="V26" s="2"/>
    </row>
    <row r="27" spans="1:22" ht="20.100000000000001" customHeight="1" x14ac:dyDescent="0.25"/>
    <row r="28" spans="1:22" ht="20.100000000000001" customHeight="1" x14ac:dyDescent="0.25">
      <c r="D28" s="104" t="s">
        <v>319</v>
      </c>
    </row>
    <row r="29" spans="1:22" ht="20.100000000000001" customHeight="1" x14ac:dyDescent="0.25">
      <c r="D29" s="103" t="s">
        <v>321</v>
      </c>
    </row>
    <row r="30" spans="1:22" ht="20.100000000000001" customHeight="1" x14ac:dyDescent="0.25">
      <c r="D30" s="54" t="s">
        <v>69</v>
      </c>
      <c r="E30" s="54" t="s">
        <v>320</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322</v>
      </c>
      <c r="O37" s="104" t="s">
        <v>324</v>
      </c>
    </row>
    <row r="38" spans="4:22" ht="20.100000000000001" customHeight="1" x14ac:dyDescent="0.25">
      <c r="D38" s="103" t="s">
        <v>323</v>
      </c>
      <c r="O38" s="103" t="s">
        <v>325</v>
      </c>
    </row>
    <row r="39" spans="4:22" ht="20.100000000000001" customHeight="1" x14ac:dyDescent="0.25">
      <c r="D39" s="54" t="s">
        <v>148</v>
      </c>
      <c r="E39" s="54" t="s">
        <v>69</v>
      </c>
      <c r="F39" s="54" t="s">
        <v>173</v>
      </c>
      <c r="G39" s="54" t="s">
        <v>190</v>
      </c>
      <c r="H39" s="54" t="s">
        <v>191</v>
      </c>
      <c r="I39" s="54" t="s">
        <v>192</v>
      </c>
      <c r="J39" s="54" t="s">
        <v>193</v>
      </c>
      <c r="O39" s="54" t="s">
        <v>148</v>
      </c>
      <c r="P39" s="54" t="s">
        <v>69</v>
      </c>
      <c r="Q39" s="54" t="s">
        <v>173</v>
      </c>
      <c r="R39" s="54" t="s">
        <v>190</v>
      </c>
      <c r="S39" s="54" t="s">
        <v>191</v>
      </c>
      <c r="T39" s="54" t="s">
        <v>192</v>
      </c>
      <c r="U39" s="54" t="s">
        <v>193</v>
      </c>
    </row>
    <row r="40" spans="4:22" ht="20.100000000000001" customHeight="1" x14ac:dyDescent="0.25">
      <c r="D40" s="55" t="str">
        <f>'Input - Dairy'!$D$66</f>
        <v>Milking shed</v>
      </c>
      <c r="E40" s="55" t="str">
        <f>'Input - Dairy'!$D$81</f>
        <v>Anaerobic lagoon</v>
      </c>
      <c r="F40" s="55" cm="1">
        <f t="array" ref="F40">MMS_Dairy_AtmosphericDeposition_Equations.VEERG_4_3_1_5__2_TotalNitrogenVolatilisedFromMMS(F19,$E32)</f>
        <v>164.12879300006162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'Input - Dairy'!$D$66</f>
        <v>Milking shed</v>
      </c>
      <c r="P40" s="55" t="str">
        <f>'Input - Dairy'!$D$81</f>
        <v>Anaerobic lagoon</v>
      </c>
      <c r="Q40" s="55" cm="1">
        <f t="array" ref="Q40">MMS_Dairy_AtmosphericDeposition_Equations.VEERG_4_3_1_5__2_TotalNitrogenVolatilisedFromMMS(Q19,$E32)</f>
        <v>164.12879300006162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Dairy'!$D$91</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Dairy'!$D$91</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407</v>
      </c>
      <c r="F43" s="55" cm="1">
        <f t="array" ref="F43">MMS_Dairy_AtmosphericDeposition_Equations.VEERG_4_3_1_5__2_TotalNitrogenVolatilisedFromMMS(F22,$E35)</f>
        <v>281.36364514296275</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'Input - Dairy'!$D$66</f>
        <v>Milking shed</v>
      </c>
      <c r="P43" s="55" t="s">
        <v>407</v>
      </c>
      <c r="Q43" s="55" cm="1">
        <f t="array" ref="Q43">MMS_Dairy_AtmosphericDeposition_Equations.VEERG_4_3_1_5__2_TotalNitrogenVolatilisedFromMMS(Q22,$E35)</f>
        <v>281.36364514296275</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'Input - Dairy'!$D$67</f>
        <v>Feed pad</v>
      </c>
      <c r="E44" s="55" t="str">
        <f>'Input - Dairy'!$D$105</f>
        <v>Anaerobic lagoon</v>
      </c>
      <c r="F44" s="55" cm="1">
        <f t="array" ref="F44">MMS_Dairy_AtmosphericDeposition_Equations.VEERG_4_3_1_5__2_TotalNitrogenVolatilisedFromMMS(F23, $E32)</f>
        <v>663.97557168206731</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'Input - Dairy'!$D$67</f>
        <v>Feed pad</v>
      </c>
      <c r="P44" s="55" t="str">
        <f>'Input - Dairy'!$D$105</f>
        <v>Anaerobic lagoon</v>
      </c>
      <c r="Q44" s="55" cm="1">
        <f t="array" ref="Q44">MMS_Dairy_AtmosphericDeposition_Equations.VEERG_4_3_1_5__2_TotalNitrogenVolatilisedFromMMS(Q23, $E32)</f>
        <v>663.97557168206731</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'Input - Dairy'!$D$67</f>
        <v>Feed pad</v>
      </c>
      <c r="E45" s="55" t="str">
        <f>'Input - Dairy'!$D$110</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Dairy'!$D$110</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Dairy'!$D$115</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Dairy'!$D$115</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407</v>
      </c>
      <c r="F47" s="55" cm="1">
        <f t="array" ref="F47">MMS_Dairy_AtmosphericDeposition_Equations.VEERG_4_3_1_5__2_TotalNitrogenVolatilisedFromMMS(F26, $E35)</f>
        <v>796.77068601848089</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'Input - Dairy'!$D$67</f>
        <v>Feed pad</v>
      </c>
      <c r="P47" s="55" t="s">
        <v>407</v>
      </c>
      <c r="Q47" s="55" cm="1">
        <f t="array" ref="Q47">MMS_Dairy_AtmosphericDeposition_Equations.VEERG_4_3_1_5__2_TotalNitrogenVolatilisedFromMMS(Q26, $E35)</f>
        <v>796.77068601848089</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381</v>
      </c>
      <c r="E49" s="48">
        <f>SUM(F40:J47)</f>
        <v>5464.6882914498228</v>
      </c>
      <c r="F49" s="112" t="str">
        <f>$E$11</f>
        <v>kg N</v>
      </c>
      <c r="O49" s="118" t="s">
        <v>381</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423</v>
      </c>
    </row>
    <row r="58" spans="1:23" ht="20.100000000000001" customHeight="1" x14ac:dyDescent="0.25">
      <c r="D58" s="56" t="s">
        <v>31</v>
      </c>
      <c r="E58" s="1" t="str" cm="1">
        <f t="array" ref="E58">MMS_Dairy_AtmosphericDeposition_Equations.VEERG_4_3_1_5__1_AnnualAtmosphericDepositionEmissionsFromMMS_Variable()</f>
        <v>E_N2OMMSad</v>
      </c>
    </row>
    <row r="59" spans="1:23" ht="20.100000000000001" customHeight="1" x14ac:dyDescent="0.25">
      <c r="D59" s="56" t="s">
        <v>21</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5464.6882914498228</v>
      </c>
      <c r="O61" s="60" t="str">
        <f>D61</f>
        <v>MN_ATMOS</v>
      </c>
      <c r="P61" s="61" t="str">
        <f>E61</f>
        <v>mass of N volatilised from MMS</v>
      </c>
      <c r="Q61" s="62"/>
      <c r="R61" s="60">
        <f>$P$49</f>
        <v>5464.6882914498228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Dairy'!$E$125</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Dairy'!$E$126</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326</v>
      </c>
      <c r="E68" s="109" cm="1">
        <f t="array" ref="E68">MMS_Dairy_AtmosphericDeposition_Equations.VEERG_4_3_1_5__1_AnnualAtmosphericDepositionEmissionsFromMMS($I$61,$I$62,$I$63)</f>
        <v>5.0665467159299066E-2</v>
      </c>
      <c r="F68" s="110" t="str">
        <f>$E$59</f>
        <v>t N2O</v>
      </c>
      <c r="O68" s="108" t="s">
        <v>326</v>
      </c>
      <c r="P68" s="109" cm="1">
        <f t="array" ref="P68">MMS_Dairy_AtmosphericDeposition_Equations.VEERG_4_3_1_5__1_AnnualAtmosphericDepositionEmissionsFromMMS($R$61,$I$62,$I$63)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110</v>
      </c>
      <c r="E73" s="48" cm="1">
        <f t="array" ref="E73">Common_Equations.Common_ConvertN2OToCO2e(G70,G71)</f>
        <v>13.426348797214253</v>
      </c>
      <c r="F73" s="112" t="str" cm="1">
        <f t="array" ref="F73">Common_Equations.Common_ConvertN2OToCO2e_Unit()</f>
        <v>t CO2e</v>
      </c>
      <c r="O73" s="48" t="s">
        <v>110</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B33" workbookViewId="0">
      <selection activeCell="P52" sqref="P5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353</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MMS_Dairy_LeachingAndRunoff_Equations.VEERG_4_3_1_6__2_MassOfNitrogenLostToLeachingAndRunoffFromSolidStorage_Variable()</f>
        <v>MNLeach_jm4</v>
      </c>
    </row>
    <row r="11" spans="1:23" ht="20.100000000000001" customHeight="1" x14ac:dyDescent="0.25">
      <c r="A11" s="19" t="s">
        <v>78</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Dairy'!$D$215</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328</v>
      </c>
      <c r="O20" s="104" t="s">
        <v>330</v>
      </c>
    </row>
    <row r="21" spans="1:22" ht="20.100000000000001" customHeight="1" x14ac:dyDescent="0.25">
      <c r="A21" s="18" t="s">
        <v>4</v>
      </c>
      <c r="D21" s="103" t="s">
        <v>329</v>
      </c>
      <c r="O21" s="103" t="s">
        <v>331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'Input - Dairy'!$D$66</f>
        <v>Milking shed</v>
      </c>
      <c r="E23" s="55" t="s">
        <v>407</v>
      </c>
      <c r="F23" s="55">
        <f>'4.3.1.3-4 Direct N20'!F246</f>
        <v>937.87881714320918</v>
      </c>
      <c r="G23" s="55">
        <f>'4.3.1.3-4 Direct N20'!G246</f>
        <v>364.71580535564152</v>
      </c>
      <c r="H23" s="55">
        <f>'4.3.1.3-4 Direct N20'!H246</f>
        <v>145.26244824768682</v>
      </c>
      <c r="I23" s="55">
        <f>'4.3.1.3-4 Direct N20'!I246</f>
        <v>458.46219147973682</v>
      </c>
      <c r="J23" s="55">
        <f>'4.3.1.3-4 Direct N20'!J246</f>
        <v>191.92571415811079</v>
      </c>
      <c r="K23" s="2" t="str">
        <f>$H$13</f>
        <v>kg N</v>
      </c>
      <c r="O23" s="55" t="str">
        <f>'Input - Dairy'!$D$66</f>
        <v>Milking shed</v>
      </c>
      <c r="P23" s="55" t="s">
        <v>407</v>
      </c>
      <c r="Q23" s="55">
        <f>'4.3.1.3-4 Direct N20'!P246</f>
        <v>937.87881714320918</v>
      </c>
      <c r="R23" s="55">
        <f>'4.3.1.3-4 Direct N20'!Q246</f>
        <v>364.71580535564152</v>
      </c>
      <c r="S23" s="55">
        <f>'4.3.1.3-4 Direct N20'!R246</f>
        <v>145.26244824768682</v>
      </c>
      <c r="T23" s="55">
        <f>'4.3.1.3-4 Direct N20'!S246</f>
        <v>458.46219147973682</v>
      </c>
      <c r="U23" s="55">
        <f>'4.3.1.3-4 Direct N20'!T246</f>
        <v>191.92571415811079</v>
      </c>
      <c r="V23" s="2" t="str">
        <f>$H$13</f>
        <v>kg N</v>
      </c>
    </row>
    <row r="24" spans="1:22" ht="20.100000000000001" customHeight="1" x14ac:dyDescent="0.25">
      <c r="A24" s="17" t="str">
        <f>HYPERLINK("#'Constants - Common'!A1", "Constants - Common")</f>
        <v>Constants - Common</v>
      </c>
      <c r="D24" s="55" t="str">
        <f>'Input - Dairy'!$D$67</f>
        <v>Feed pad</v>
      </c>
      <c r="E24" s="55" t="s">
        <v>407</v>
      </c>
      <c r="F24" s="55">
        <f>'4.3.1.3-4 Direct N20'!F250</f>
        <v>2655.9022867282697</v>
      </c>
      <c r="G24" s="55">
        <f>'4.3.1.3-4 Direct N20'!G250</f>
        <v>1032.8088488025667</v>
      </c>
      <c r="H24" s="55">
        <f>'4.3.1.3-4 Direct N20'!H250</f>
        <v>411.35684208322226</v>
      </c>
      <c r="I24" s="55">
        <f>'4.3.1.3-4 Direct N20'!I250</f>
        <v>1298.2815695085274</v>
      </c>
      <c r="J24" s="55">
        <f>'4.3.1.3-4 Direct N20'!J250</f>
        <v>543.49872691137739</v>
      </c>
      <c r="K24" s="2"/>
      <c r="O24" s="55" t="str">
        <f>'Input - Dairy'!$D$67</f>
        <v>Feed pad</v>
      </c>
      <c r="P24" s="55" t="s">
        <v>407</v>
      </c>
      <c r="Q24" s="55">
        <f>'4.3.1.3-4 Direct N20'!P250</f>
        <v>2655.9022867282697</v>
      </c>
      <c r="R24" s="55">
        <f>'4.3.1.3-4 Direct N20'!Q250</f>
        <v>1032.8088488025667</v>
      </c>
      <c r="S24" s="55">
        <f>'4.3.1.3-4 Direct N20'!R250</f>
        <v>411.35684208322226</v>
      </c>
      <c r="T24" s="55">
        <f>'4.3.1.3-4 Direct N20'!S250</f>
        <v>1298.2815695085274</v>
      </c>
      <c r="U24" s="55">
        <f>'4.3.1.3-4 Direct N20'!T250</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333</v>
      </c>
      <c r="O26" s="104" t="s">
        <v>334</v>
      </c>
    </row>
    <row r="27" spans="1:22" ht="20.100000000000001" customHeight="1" x14ac:dyDescent="0.25">
      <c r="D27" s="103" t="s">
        <v>332</v>
      </c>
      <c r="O27" s="103" t="s">
        <v>335</v>
      </c>
    </row>
    <row r="28" spans="1:22" ht="20.100000000000001" customHeight="1" x14ac:dyDescent="0.25">
      <c r="D28" s="54" t="s">
        <v>148</v>
      </c>
      <c r="E28" s="54" t="s">
        <v>69</v>
      </c>
      <c r="F28" s="54" t="s">
        <v>173</v>
      </c>
      <c r="G28" s="54" t="s">
        <v>190</v>
      </c>
      <c r="H28" s="54" t="s">
        <v>191</v>
      </c>
      <c r="I28" s="54" t="s">
        <v>192</v>
      </c>
      <c r="J28" s="54" t="s">
        <v>193</v>
      </c>
      <c r="O28" s="54" t="s">
        <v>148</v>
      </c>
      <c r="P28" s="54" t="s">
        <v>69</v>
      </c>
      <c r="Q28" s="54" t="s">
        <v>173</v>
      </c>
      <c r="R28" s="54" t="s">
        <v>190</v>
      </c>
      <c r="S28" s="54" t="s">
        <v>191</v>
      </c>
      <c r="T28" s="54" t="s">
        <v>192</v>
      </c>
      <c r="U28" s="54" t="s">
        <v>193</v>
      </c>
    </row>
    <row r="29" spans="1:22" ht="20.100000000000001" customHeight="1" x14ac:dyDescent="0.25">
      <c r="D29" s="55" t="str">
        <f>'Input - Dairy'!$D$66</f>
        <v>Milking shed</v>
      </c>
      <c r="E29" s="55" t="s">
        <v>407</v>
      </c>
      <c r="F29" s="55" cm="1">
        <f t="array" ref="F29">MMS_Dairy_LeachingAndRunoff_Equations.VEERG_4_3_1_6__2_MassOfNitrogenLostToLeachingAndRunoffFromSolidStorage(F23,$J$14,$J$15)</f>
        <v>18.757576342864184</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'Input - Dairy'!$D$66</f>
        <v>Milking shed</v>
      </c>
      <c r="P29" s="55" t="s">
        <v>407</v>
      </c>
      <c r="Q29" s="55" cm="1">
        <f t="array" ref="Q29">MMS_Dairy_LeachingAndRunoff_Equations.VEERG_4_3_1_6__2_MassOfNitrogenLostToLeachingAndRunoffFromSolidStorage(Q23,$J$14,$J$15)</f>
        <v>18.757576342864184</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'Input - Dairy'!$D$67</f>
        <v>Feed pad</v>
      </c>
      <c r="E30" s="55" t="s">
        <v>407</v>
      </c>
      <c r="F30" s="55" cm="1">
        <f t="array" ref="F30">MMS_Dairy_LeachingAndRunoff_Equations.VEERG_4_3_1_6__2_MassOfNitrogenLostToLeachingAndRunoffFromSolidStorage(F24,$J$14,$J$15)</f>
        <v>53.118045734565392</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'Input - Dairy'!$D$67</f>
        <v>Feed pad</v>
      </c>
      <c r="P30" s="55" t="s">
        <v>407</v>
      </c>
      <c r="Q30" s="55" cm="1">
        <f t="array" ref="Q30">MMS_Dairy_LeachingAndRunoff_Equations.VEERG_4_3_1_6__2_MassOfNitrogenLostToLeachingAndRunoffFromSolidStorage(Q24,$J$14,$J$15)</f>
        <v>53.118045734565392</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336</v>
      </c>
      <c r="O46" s="104" t="s">
        <v>338</v>
      </c>
    </row>
    <row r="47" spans="3:23" ht="20.100000000000001" customHeight="1" x14ac:dyDescent="0.25">
      <c r="D47" s="103" t="s">
        <v>337</v>
      </c>
      <c r="O47" s="103" t="s">
        <v>339</v>
      </c>
    </row>
    <row r="48" spans="3:23" ht="20.100000000000001" customHeight="1" x14ac:dyDescent="0.25">
      <c r="D48" s="54" t="s">
        <v>148</v>
      </c>
      <c r="E48" s="54" t="s">
        <v>69</v>
      </c>
      <c r="F48" s="54" t="s">
        <v>173</v>
      </c>
      <c r="G48" s="54" t="s">
        <v>190</v>
      </c>
      <c r="H48" s="54" t="s">
        <v>191</v>
      </c>
      <c r="I48" s="54" t="s">
        <v>192</v>
      </c>
      <c r="J48" s="54" t="s">
        <v>193</v>
      </c>
      <c r="O48" s="54" t="s">
        <v>148</v>
      </c>
      <c r="P48" s="54" t="s">
        <v>69</v>
      </c>
      <c r="Q48" s="54" t="s">
        <v>173</v>
      </c>
      <c r="R48" s="54" t="s">
        <v>190</v>
      </c>
      <c r="S48" s="54" t="s">
        <v>191</v>
      </c>
      <c r="T48" s="54" t="s">
        <v>192</v>
      </c>
      <c r="U48" s="54" t="s">
        <v>193</v>
      </c>
    </row>
    <row r="49" spans="1:22" ht="20.100000000000001" customHeight="1" x14ac:dyDescent="0.25">
      <c r="D49" s="55" t="str">
        <f>'Input - Dairy'!$D$66</f>
        <v>Milking shed</v>
      </c>
      <c r="E49" s="55" t="s">
        <v>407</v>
      </c>
      <c r="F49" s="55" cm="1">
        <f t="array" ref="F49">MMS_Dairy_LeachingAndRunoff_Equations.VEERG_4_3_1_6__1_AnnualEmissionsFromLeachingAndRunoffFromMMS(F29,$I$43,$I$44)</f>
        <v>3.2423810535522375E-4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'Input - Dairy'!$D$66</f>
        <v>Milking shed</v>
      </c>
      <c r="P49" s="55" t="s">
        <v>407</v>
      </c>
      <c r="Q49" s="55" cm="1">
        <f t="array" ref="Q49">MMS_Dairy_LeachingAndRunoff_Equations.VEERG_4_3_1_6__1_AnnualEmissionsFromLeachingAndRunoffFromMMS(Q29,$I$43,$I$44)</f>
        <v>3.2423810535522375E-4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'Input - Dairy'!$D$67</f>
        <v>Feed pad</v>
      </c>
      <c r="E50" s="55" t="s">
        <v>407</v>
      </c>
      <c r="F50" s="55" cm="1">
        <f t="array" ref="F50">MMS_Dairy_LeachingAndRunoff_Equations.VEERG_4_3_1_6__1_AnnualEmissionsFromLeachingAndRunoffFromMMS(F30,$I$43,$I$44)</f>
        <v>9.1818336198320159E-4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'Input - Dairy'!$D$67</f>
        <v>Feed pad</v>
      </c>
      <c r="P50" s="55" t="s">
        <v>407</v>
      </c>
      <c r="Q50" s="55" cm="1">
        <f t="array" ref="Q50">MMS_Dairy_LeachingAndRunoff_Equations.VEERG_4_3_1_6__1_AnnualEmissionsFromLeachingAndRunoffFromMMS(Q30,$I$43,$I$44)</f>
        <v>9.1818336198320159E-4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326</v>
      </c>
      <c r="E52" s="109">
        <f>SUM(F49:J50)</f>
        <v>2.779575095144629E-3</v>
      </c>
      <c r="F52" s="110" t="str">
        <f>$E$40</f>
        <v>t N2O</v>
      </c>
      <c r="O52" s="108" t="s">
        <v>326</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110</v>
      </c>
      <c r="E57" s="48" cm="1">
        <f t="array" ref="E57">Common_Equations.Common_ConvertN2OToCO2e(G54,G55)</f>
        <v>0.73658740021332669</v>
      </c>
      <c r="F57" s="112" t="str" cm="1">
        <f t="array" ref="F57">Common_Equations.Common_ConvertN2OToCO2e_Unit()</f>
        <v>t CO2e</v>
      </c>
      <c r="O57" s="48" t="s">
        <v>110</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B109" zoomScaleNormal="100" workbookViewId="0">
      <selection activeCell="P85" sqref="P8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340</v>
      </c>
      <c r="M1" s="132"/>
    </row>
    <row r="2" spans="1:23" s="9" customFormat="1" ht="20.100000000000001" customHeight="1" x14ac:dyDescent="0.25">
      <c r="M2" s="132"/>
    </row>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MMS_Dairy_ManureAppliedToSoils_Equations.VEERG_4_3_1_8__1_MassOfNitrogenAppliedToSoilsScope1_Variable()</f>
        <v>MNSoil_scope1</v>
      </c>
    </row>
    <row r="11" spans="1:23" ht="20.100000000000001" customHeight="1" x14ac:dyDescent="0.25">
      <c r="A11" s="19" t="s">
        <v>78</v>
      </c>
      <c r="D11" s="56" t="s">
        <v>21</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313</v>
      </c>
    </row>
    <row r="20" spans="1:9" ht="20.100000000000001" customHeight="1" x14ac:dyDescent="0.25">
      <c r="A20" s="17"/>
      <c r="D20" s="103" t="s">
        <v>314</v>
      </c>
    </row>
    <row r="21" spans="1:9" ht="20.100000000000001" customHeight="1" x14ac:dyDescent="0.25">
      <c r="A21" s="18" t="s">
        <v>4</v>
      </c>
      <c r="D21" s="54" t="s">
        <v>69</v>
      </c>
      <c r="E21" s="54" t="s">
        <v>315</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319</v>
      </c>
    </row>
    <row r="29" spans="1:9" ht="20.100000000000001" customHeight="1" x14ac:dyDescent="0.25">
      <c r="D29" s="103" t="s">
        <v>321</v>
      </c>
    </row>
    <row r="30" spans="1:9" ht="20.100000000000001" customHeight="1" x14ac:dyDescent="0.25">
      <c r="D30" s="54" t="s">
        <v>69</v>
      </c>
      <c r="E30" s="54" t="s">
        <v>320</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309</v>
      </c>
      <c r="M37"/>
      <c r="O37" s="104" t="s">
        <v>312</v>
      </c>
    </row>
    <row r="38" spans="1:22" ht="20.100000000000001" customHeight="1" x14ac:dyDescent="0.25">
      <c r="D38" s="103" t="s">
        <v>310</v>
      </c>
      <c r="M38"/>
      <c r="O38" s="103" t="s">
        <v>311</v>
      </c>
    </row>
    <row r="39" spans="1:22" ht="20.100000000000001" customHeight="1" x14ac:dyDescent="0.25">
      <c r="A39" s="141" t="str">
        <f>HYPERLINK("#A1", "▲ Back to top")</f>
        <v>▲ Back to top</v>
      </c>
      <c r="D39" s="54" t="s">
        <v>148</v>
      </c>
      <c r="E39" s="54" t="s">
        <v>69</v>
      </c>
      <c r="F39" s="54" t="s">
        <v>173</v>
      </c>
      <c r="G39" s="54" t="s">
        <v>190</v>
      </c>
      <c r="H39" s="54" t="s">
        <v>191</v>
      </c>
      <c r="I39" s="54" t="s">
        <v>192</v>
      </c>
      <c r="J39" s="54" t="s">
        <v>193</v>
      </c>
      <c r="M39"/>
      <c r="O39" s="54" t="s">
        <v>148</v>
      </c>
      <c r="P39" s="54" t="s">
        <v>69</v>
      </c>
      <c r="Q39" s="54" t="s">
        <v>173</v>
      </c>
      <c r="R39" s="54" t="s">
        <v>190</v>
      </c>
      <c r="S39" s="54" t="s">
        <v>191</v>
      </c>
      <c r="T39" s="54" t="s">
        <v>192</v>
      </c>
      <c r="U39" s="54" t="s">
        <v>193</v>
      </c>
    </row>
    <row r="40" spans="1:22" ht="20.100000000000001" customHeight="1" x14ac:dyDescent="0.25">
      <c r="D40" s="55" t="str">
        <f>'Input - Dairy'!$D$66</f>
        <v>Milking shed</v>
      </c>
      <c r="E40" s="55" t="str">
        <f>'Input - Dairy'!$D$81</f>
        <v>Anaerobic lagoon</v>
      </c>
      <c r="F40" s="55">
        <f>'4.3.1.3-4 Direct N20'!F243</f>
        <v>468.93940857160464</v>
      </c>
      <c r="G40" s="55">
        <f>'4.3.1.3-4 Direct N20'!G243</f>
        <v>182.35790267782079</v>
      </c>
      <c r="H40" s="55">
        <f>'4.3.1.3-4 Direct N20'!H243</f>
        <v>72.631224123843424</v>
      </c>
      <c r="I40" s="55">
        <f>'4.3.1.3-4 Direct N20'!I243</f>
        <v>229.23109573986844</v>
      </c>
      <c r="J40" s="55">
        <f>'4.3.1.3-4 Direct N20'!J243</f>
        <v>95.962857079055411</v>
      </c>
      <c r="K40" s="2" t="str">
        <f>$G$13</f>
        <v>kg N</v>
      </c>
      <c r="M40"/>
      <c r="O40" s="55" t="str">
        <f>'Input - Dairy'!$D$66</f>
        <v>Milking shed</v>
      </c>
      <c r="P40" s="55" t="str">
        <f>'Input - Dairy'!$D$81</f>
        <v>Anaerobic lagoon</v>
      </c>
      <c r="Q40" s="55">
        <f>'4.3.1.3-4 Direct N20'!P243</f>
        <v>468.93940857160464</v>
      </c>
      <c r="R40" s="55">
        <f>'4.3.1.3-4 Direct N20'!Q243</f>
        <v>182.35790267782079</v>
      </c>
      <c r="S40" s="55">
        <f>'4.3.1.3-4 Direct N20'!R243</f>
        <v>72.631224123843424</v>
      </c>
      <c r="T40" s="55">
        <f>'4.3.1.3-4 Direct N20'!S243</f>
        <v>229.23109573986844</v>
      </c>
      <c r="U40" s="55">
        <f>'4.3.1.3-4 Direct N20'!T243</f>
        <v>95.962857079055411</v>
      </c>
      <c r="V40" s="2" t="str">
        <f>$G$13</f>
        <v>kg N</v>
      </c>
    </row>
    <row r="41" spans="1:22" ht="20.100000000000001" customHeight="1" x14ac:dyDescent="0.25">
      <c r="D41" s="55" t="str">
        <f>'Input - Dairy'!$D$66</f>
        <v>Milking shed</v>
      </c>
      <c r="E41" s="55" t="str">
        <f>'Input - Dairy'!$D$86</f>
        <v>Sump and dispersal system</v>
      </c>
      <c r="F41" s="55">
        <f>'4.3.1.3-4 Direct N20'!F244</f>
        <v>468.93940857160464</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468.93940857160464</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468.93940857160464</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468.93940857160464</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407</v>
      </c>
      <c r="F43" s="55">
        <f>'4.3.1.3-4 Direct N20'!F246</f>
        <v>937.87881714320918</v>
      </c>
      <c r="G43" s="55">
        <f>'4.3.1.3-4 Direct N20'!G246</f>
        <v>364.71580535564152</v>
      </c>
      <c r="H43" s="55">
        <f>'4.3.1.3-4 Direct N20'!H246</f>
        <v>145.26244824768682</v>
      </c>
      <c r="I43" s="55">
        <f>'4.3.1.3-4 Direct N20'!I246</f>
        <v>458.46219147973682</v>
      </c>
      <c r="J43" s="55">
        <f>'4.3.1.3-4 Direct N20'!J246</f>
        <v>191.92571415811079</v>
      </c>
      <c r="K43" s="2"/>
      <c r="M43"/>
      <c r="O43" s="55" t="str">
        <f>'Input - Dairy'!$D$66</f>
        <v>Milking shed</v>
      </c>
      <c r="P43" s="55" t="s">
        <v>407</v>
      </c>
      <c r="Q43" s="55">
        <f>'4.3.1.3-4 Direct N20'!P246</f>
        <v>937.87881714320918</v>
      </c>
      <c r="R43" s="55">
        <f>'4.3.1.3-4 Direct N20'!Q246</f>
        <v>364.71580535564152</v>
      </c>
      <c r="S43" s="55">
        <f>'4.3.1.3-4 Direct N20'!R246</f>
        <v>145.26244824768682</v>
      </c>
      <c r="T43" s="55">
        <f>'4.3.1.3-4 Direct N20'!S246</f>
        <v>458.46219147973682</v>
      </c>
      <c r="U43" s="55">
        <f>'4.3.1.3-4 Direct N20'!T246</f>
        <v>191.92571415811079</v>
      </c>
      <c r="V43" s="2"/>
    </row>
    <row r="44" spans="1:22" ht="20.100000000000001" customHeight="1" x14ac:dyDescent="0.25">
      <c r="D44" s="55" t="str">
        <f>'Input - Dairy'!$D$67</f>
        <v>Feed pad</v>
      </c>
      <c r="E44" s="55" t="str">
        <f>'Input - Dairy'!$D$105</f>
        <v>Anaerobic lagoon</v>
      </c>
      <c r="F44" s="55">
        <f>'4.3.1.3-4 Direct N20'!F247</f>
        <v>1897.073061948764</v>
      </c>
      <c r="G44" s="55">
        <f>'4.3.1.3-4 Direct N20'!G247</f>
        <v>737.72060628754764</v>
      </c>
      <c r="H44" s="55">
        <f>'4.3.1.3-4 Direct N20'!H247</f>
        <v>293.82631577373019</v>
      </c>
      <c r="I44" s="55">
        <f>'4.3.1.3-4 Direct N20'!I247</f>
        <v>927.34397822037681</v>
      </c>
      <c r="J44" s="55">
        <f>'4.3.1.3-4 Direct N20'!J247</f>
        <v>388.21337636526954</v>
      </c>
      <c r="K44" s="2"/>
      <c r="M44"/>
      <c r="O44" s="55" t="str">
        <f>'Input - Dairy'!$D$67</f>
        <v>Feed pad</v>
      </c>
      <c r="P44" s="55" t="str">
        <f>'Input - Dairy'!$D$105</f>
        <v>Anaerobic lagoon</v>
      </c>
      <c r="Q44" s="55">
        <f>'4.3.1.3-4 Direct N20'!P247</f>
        <v>1897.073061948764</v>
      </c>
      <c r="R44" s="55">
        <f>'4.3.1.3-4 Direct N20'!Q247</f>
        <v>737.72060628754764</v>
      </c>
      <c r="S44" s="55">
        <f>'4.3.1.3-4 Direct N20'!R247</f>
        <v>293.82631577373019</v>
      </c>
      <c r="T44" s="55">
        <f>'4.3.1.3-4 Direct N20'!S247</f>
        <v>927.34397822037681</v>
      </c>
      <c r="U44" s="55">
        <f>'4.3.1.3-4 Direct N20'!T247</f>
        <v>388.21337636526954</v>
      </c>
      <c r="V44" s="2"/>
    </row>
    <row r="45" spans="1:22" ht="20.100000000000001" customHeight="1" x14ac:dyDescent="0.25">
      <c r="D45" s="55" t="str">
        <f>'Input - Dairy'!$D$67</f>
        <v>Feed pad</v>
      </c>
      <c r="E45" s="55" t="str">
        <f>'Input - Dairy'!$D$110</f>
        <v>Sump and dispersal system</v>
      </c>
      <c r="F45" s="55">
        <f>'4.3.1.3-4 Direct N20'!F248</f>
        <v>1517.6584495590114</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1517.6584495590114</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1517.6584495590114</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1517.6584495590114</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407</v>
      </c>
      <c r="F47" s="55">
        <f>'4.3.1.3-4 Direct N20'!F250</f>
        <v>2655.9022867282697</v>
      </c>
      <c r="G47" s="55">
        <f>'4.3.1.3-4 Direct N20'!G250</f>
        <v>1032.8088488025667</v>
      </c>
      <c r="H47" s="55">
        <f>'4.3.1.3-4 Direct N20'!H250</f>
        <v>411.35684208322226</v>
      </c>
      <c r="I47" s="55">
        <f>'4.3.1.3-4 Direct N20'!I250</f>
        <v>1298.2815695085274</v>
      </c>
      <c r="J47" s="55">
        <f>'4.3.1.3-4 Direct N20'!J250</f>
        <v>543.49872691137739</v>
      </c>
      <c r="K47" s="2"/>
      <c r="M47"/>
      <c r="O47" s="55" t="str">
        <f>'Input - Dairy'!$D$67</f>
        <v>Feed pad</v>
      </c>
      <c r="P47" s="55" t="s">
        <v>407</v>
      </c>
      <c r="Q47" s="55">
        <f>'4.3.1.3-4 Direct N20'!P250</f>
        <v>2655.9022867282697</v>
      </c>
      <c r="R47" s="55">
        <f>'4.3.1.3-4 Direct N20'!Q250</f>
        <v>1032.8088488025667</v>
      </c>
      <c r="S47" s="55">
        <f>'4.3.1.3-4 Direct N20'!R250</f>
        <v>411.35684208322226</v>
      </c>
      <c r="T47" s="55">
        <f>'4.3.1.3-4 Direct N20'!S250</f>
        <v>1298.2815695085274</v>
      </c>
      <c r="U47" s="55">
        <f>'4.3.1.3-4 Direct N20'!T250</f>
        <v>543.49872691137739</v>
      </c>
      <c r="V47" s="2"/>
    </row>
    <row r="48" spans="1:22" ht="20.100000000000001" customHeight="1" x14ac:dyDescent="0.25"/>
    <row r="49" spans="4:22" ht="20.100000000000001" customHeight="1" x14ac:dyDescent="0.25">
      <c r="D49" s="104" t="s">
        <v>399</v>
      </c>
      <c r="O49" s="104" t="s">
        <v>397</v>
      </c>
    </row>
    <row r="50" spans="4:22" ht="20.100000000000001" customHeight="1" x14ac:dyDescent="0.25">
      <c r="D50" s="103" t="s">
        <v>400</v>
      </c>
      <c r="O50" s="103" t="s">
        <v>398</v>
      </c>
    </row>
    <row r="51" spans="4:22" ht="20.100000000000001" customHeight="1" x14ac:dyDescent="0.25">
      <c r="D51" s="54" t="s">
        <v>148</v>
      </c>
      <c r="E51" s="54" t="s">
        <v>69</v>
      </c>
      <c r="F51" s="54" t="s">
        <v>173</v>
      </c>
      <c r="G51" s="54" t="s">
        <v>190</v>
      </c>
      <c r="H51" s="54" t="s">
        <v>191</v>
      </c>
      <c r="I51" s="54" t="s">
        <v>192</v>
      </c>
      <c r="J51" s="54" t="s">
        <v>193</v>
      </c>
      <c r="O51" s="54" t="s">
        <v>148</v>
      </c>
      <c r="P51" s="54" t="s">
        <v>69</v>
      </c>
      <c r="Q51" s="54" t="s">
        <v>173</v>
      </c>
      <c r="R51" s="54" t="s">
        <v>190</v>
      </c>
      <c r="S51" s="54" t="s">
        <v>191</v>
      </c>
      <c r="T51" s="54" t="s">
        <v>192</v>
      </c>
      <c r="U51" s="54" t="s">
        <v>193</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407</v>
      </c>
      <c r="F55" s="55">
        <f>'4.3.1.6-7 Leaching and runoff'!F29</f>
        <v>18.757576342864184</v>
      </c>
      <c r="G55" s="55">
        <f>'4.3.1.6-7 Leaching and runoff'!G29</f>
        <v>7.2943161071128308</v>
      </c>
      <c r="H55" s="55">
        <f>'4.3.1.6-7 Leaching and runoff'!H29</f>
        <v>2.9052489649537363</v>
      </c>
      <c r="I55" s="55">
        <f>'4.3.1.6-7 Leaching and runoff'!I29</f>
        <v>9.1692438295947358</v>
      </c>
      <c r="J55" s="55">
        <f>'4.3.1.6-7 Leaching and runoff'!J29</f>
        <v>3.8385142831622159</v>
      </c>
      <c r="K55" s="2"/>
      <c r="O55" s="55" t="str">
        <f>'Input - Dairy'!$D$66</f>
        <v>Milking shed</v>
      </c>
      <c r="P55" s="55" t="s">
        <v>407</v>
      </c>
      <c r="Q55" s="55">
        <f>'4.3.1.6-7 Leaching and runoff'!Q29</f>
        <v>18.757576342864184</v>
      </c>
      <c r="R55" s="55">
        <f>'4.3.1.6-7 Leaching and runoff'!R29</f>
        <v>7.2943161071128308</v>
      </c>
      <c r="S55" s="55">
        <f>'4.3.1.6-7 Leaching and runoff'!S29</f>
        <v>2.9052489649537363</v>
      </c>
      <c r="T55" s="55">
        <f>'4.3.1.6-7 Leaching and runoff'!T29</f>
        <v>9.1692438295947358</v>
      </c>
      <c r="U55" s="55">
        <f>'4.3.1.6-7 Leaching and runoff'!U29</f>
        <v>3.8385142831622159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407</v>
      </c>
      <c r="F59" s="55">
        <f>'4.3.1.6-7 Leaching and runoff'!F30</f>
        <v>53.118045734565392</v>
      </c>
      <c r="G59" s="55">
        <f>'4.3.1.6-7 Leaching and runoff'!G30</f>
        <v>20.656176976051334</v>
      </c>
      <c r="H59" s="55">
        <f>'4.3.1.6-7 Leaching and runoff'!H30</f>
        <v>8.2271368416644446</v>
      </c>
      <c r="I59" s="55">
        <f>'4.3.1.6-7 Leaching and runoff'!I30</f>
        <v>25.965631390170547</v>
      </c>
      <c r="J59" s="55">
        <f>'4.3.1.6-7 Leaching and runoff'!J30</f>
        <v>10.869974538227549</v>
      </c>
      <c r="K59" s="2"/>
      <c r="O59" s="55" t="str">
        <f>'Input - Dairy'!$D$67</f>
        <v>Feed pad</v>
      </c>
      <c r="P59" s="55" t="s">
        <v>407</v>
      </c>
      <c r="Q59" s="55">
        <f>'4.3.1.6-7 Leaching and runoff'!Q30</f>
        <v>53.118045734565392</v>
      </c>
      <c r="R59" s="55">
        <f>'4.3.1.6-7 Leaching and runoff'!R30</f>
        <v>20.656176976051334</v>
      </c>
      <c r="S59" s="55">
        <f>'4.3.1.6-7 Leaching and runoff'!S30</f>
        <v>8.2271368416644446</v>
      </c>
      <c r="T59" s="55">
        <f>'4.3.1.6-7 Leaching and runoff'!T30</f>
        <v>25.965631390170547</v>
      </c>
      <c r="U59" s="55">
        <f>'4.3.1.6-7 Leaching and runoff'!U30</f>
        <v>10.869974538227549</v>
      </c>
      <c r="V59" s="2"/>
    </row>
    <row r="60" spans="4:22" ht="20.100000000000001" customHeight="1" x14ac:dyDescent="0.25"/>
    <row r="61" spans="4:22" ht="20.100000000000001" customHeight="1" x14ac:dyDescent="0.25">
      <c r="D61" s="104" t="s">
        <v>341</v>
      </c>
    </row>
    <row r="62" spans="4:22" ht="20.100000000000001" customHeight="1" x14ac:dyDescent="0.25">
      <c r="D62" s="103" t="s">
        <v>342</v>
      </c>
    </row>
    <row r="63" spans="4:22" ht="20.100000000000001" customHeight="1" x14ac:dyDescent="0.25">
      <c r="D63" s="41" t="s">
        <v>148</v>
      </c>
      <c r="E63" s="41" t="s">
        <v>69</v>
      </c>
      <c r="F63" s="41" t="s">
        <v>433</v>
      </c>
    </row>
    <row r="64" spans="4:22" ht="20.100000000000001" customHeight="1" x14ac:dyDescent="0.25">
      <c r="D64" s="55" t="str">
        <f>'Input - Dairy'!$D$66</f>
        <v>Milking shed</v>
      </c>
      <c r="E64" s="55" t="str">
        <f>'Input - Dairy'!$D$81</f>
        <v>Anaerobic lagoon</v>
      </c>
      <c r="F64" s="55">
        <f>'Input - Dairy'!L81+'Input - Dairy'!M81</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Dairy'!$D$91</f>
        <v>Drains to paddock</v>
      </c>
      <c r="F66" s="55">
        <f>'Input - Dairy'!L91+'Input - Dairy'!M91</f>
        <v>0.75</v>
      </c>
      <c r="G66" s="2"/>
    </row>
    <row r="67" spans="4:22" ht="20.100000000000001" customHeight="1" x14ac:dyDescent="0.25">
      <c r="D67" s="55" t="str">
        <f>'Input - Dairy'!$D$66</f>
        <v>Milking shed</v>
      </c>
      <c r="E67" s="55" t="str">
        <f>'Input - Dairy'!$D$96</f>
        <v>Solid storage (before solid separation)</v>
      </c>
      <c r="F67" s="55">
        <f>'Input - Dairy'!L96+'Input - Dairy'!M96</f>
        <v>0.75</v>
      </c>
      <c r="G67" s="2"/>
    </row>
    <row r="68" spans="4:22" ht="20.100000000000001" customHeight="1" x14ac:dyDescent="0.25">
      <c r="D68" s="55" t="str">
        <f>'Input - Dairy'!$D$67</f>
        <v>Feed pad</v>
      </c>
      <c r="E68" s="55" t="str">
        <f>'Input - Dairy'!$D$105</f>
        <v>Anaerobic lagoon</v>
      </c>
      <c r="F68" s="55">
        <f>'Input - Dairy'!L105+'Input - Dairy'!M105</f>
        <v>0.75</v>
      </c>
      <c r="G68" s="2"/>
    </row>
    <row r="69" spans="4:22" ht="20.100000000000001" customHeight="1" x14ac:dyDescent="0.25">
      <c r="D69" s="55" t="str">
        <f>'Input - Dairy'!$D$67</f>
        <v>Feed pad</v>
      </c>
      <c r="E69" s="55" t="str">
        <f>'Input - Dairy'!$D$110</f>
        <v>Sump and dispersal system</v>
      </c>
      <c r="F69" s="55">
        <f>'Input - Dairy'!L110+'Input - Dairy'!M110</f>
        <v>0.75</v>
      </c>
      <c r="G69" s="2"/>
    </row>
    <row r="70" spans="4:22" ht="20.100000000000001" customHeight="1" x14ac:dyDescent="0.25">
      <c r="D70" s="55" t="str">
        <f>'Input - Dairy'!$D$67</f>
        <v>Feed pad</v>
      </c>
      <c r="E70" s="55" t="str">
        <f>'Input - Dairy'!$D$115</f>
        <v>Drains to paddock</v>
      </c>
      <c r="F70" s="55">
        <f>'Input - Dairy'!L115+'Input - Dairy'!M115</f>
        <v>0.75</v>
      </c>
      <c r="G70" s="2"/>
    </row>
    <row r="71" spans="4:22" ht="20.100000000000001" customHeight="1" x14ac:dyDescent="0.25">
      <c r="D71" s="55" t="str">
        <f>'Input - Dairy'!$D$67</f>
        <v>Feed pad</v>
      </c>
      <c r="E71" s="55" t="str">
        <f>'Input - Dairy'!$D$120</f>
        <v>Solid storage (before solid separation)</v>
      </c>
      <c r="F71" s="55">
        <f>'Input - Dairy'!L120+'Input - Dairy'!M120</f>
        <v>0.75</v>
      </c>
      <c r="G71" s="2"/>
    </row>
    <row r="72" spans="4:22" ht="20.100000000000001" customHeight="1" x14ac:dyDescent="0.25"/>
    <row r="73" spans="4:22" ht="20.100000000000001" customHeight="1" x14ac:dyDescent="0.25">
      <c r="D73" s="104" t="s">
        <v>343</v>
      </c>
      <c r="O73" s="104" t="s">
        <v>347</v>
      </c>
    </row>
    <row r="74" spans="4:22" ht="20.100000000000001" customHeight="1" x14ac:dyDescent="0.25">
      <c r="D74" s="103" t="s">
        <v>346</v>
      </c>
      <c r="O74" s="103" t="s">
        <v>348</v>
      </c>
    </row>
    <row r="75" spans="4:22" ht="20.100000000000001" customHeight="1" x14ac:dyDescent="0.25">
      <c r="D75" s="54" t="s">
        <v>148</v>
      </c>
      <c r="E75" s="54" t="s">
        <v>69</v>
      </c>
      <c r="F75" s="54" t="s">
        <v>173</v>
      </c>
      <c r="G75" s="54" t="s">
        <v>190</v>
      </c>
      <c r="H75" s="54" t="s">
        <v>191</v>
      </c>
      <c r="I75" s="54" t="s">
        <v>192</v>
      </c>
      <c r="J75" s="54" t="s">
        <v>193</v>
      </c>
      <c r="O75" s="54" t="s">
        <v>148</v>
      </c>
      <c r="P75" s="54" t="s">
        <v>69</v>
      </c>
      <c r="Q75" s="54" t="s">
        <v>173</v>
      </c>
      <c r="R75" s="54" t="s">
        <v>190</v>
      </c>
      <c r="S75" s="54" t="s">
        <v>191</v>
      </c>
      <c r="T75" s="54" t="s">
        <v>192</v>
      </c>
      <c r="U75" s="54" t="s">
        <v>193</v>
      </c>
    </row>
    <row r="76" spans="4:22" ht="20.100000000000001" customHeight="1" x14ac:dyDescent="0.25">
      <c r="D76" s="55" t="str">
        <f>'Input - Dairy'!$D$66</f>
        <v>Milking shed</v>
      </c>
      <c r="E76" s="55" t="str">
        <f>'Input - Dairy'!$D$81</f>
        <v>Anaerobic lagoon</v>
      </c>
      <c r="F76" s="55" cm="1">
        <f t="array" ref="F76">MMS_Dairy_ManureAppliedToSoils_Equations.VEERG_4_3_1_8__1_MassOfNitrogenAppliedToSoilsScope1(F40,_xlfn.XLOOKUP($E76,$D$22:$D$26,$E$22:$E$26),_xlfn.XLOOKUP($E76, $D$31:$D$35,$E$31:$E$35),F52,$F64)</f>
        <v>228.60796167865729</v>
      </c>
      <c r="G76" s="55" cm="1">
        <f t="array" ref="G76">MMS_Dairy_ManureAppliedToSoils_Equations.VEERG_4_3_1_8__1_MassOfNitrogenAppliedToSoilsScope1(G40,_xlfn.XLOOKUP($E76,$D$22:$D$26,$E$22:$E$26),_xlfn.XLOOKUP($E76, $D$31:$D$35,$E$31:$E$35),G52,$F64)</f>
        <v>88.899477555437642</v>
      </c>
      <c r="H76" s="55" cm="1">
        <f t="array" ref="H76">MMS_Dairy_ManureAppliedToSoils_Equations.VEERG_4_3_1_8__1_MassOfNitrogenAppliedToSoilsScope1(H40,_xlfn.XLOOKUP($E76,$D$22:$D$26,$E$22:$E$26),_xlfn.XLOOKUP($E76, $D$31:$D$35,$E$31:$E$35),H52,$F64)</f>
        <v>35.407721760373668</v>
      </c>
      <c r="I76" s="55" cm="1">
        <f t="array" ref="I76">MMS_Dairy_ManureAppliedToSoils_Equations.VEERG_4_3_1_8__1_MassOfNitrogenAppliedToSoilsScope1(I40,_xlfn.XLOOKUP($E76,$D$22:$D$26,$E$22:$E$26),_xlfn.XLOOKUP($E76, $D$31:$D$35,$E$31:$E$35),I52,$F64)</f>
        <v>111.75015917318586</v>
      </c>
      <c r="J76" s="55" cm="1">
        <f t="array" ref="J76">MMS_Dairy_ManureAppliedToSoils_Equations.VEERG_4_3_1_8__1_MassOfNitrogenAppliedToSoilsScope1(J40,_xlfn.XLOOKUP($E76,$D$22:$D$26,$E$22:$E$26),_xlfn.XLOOKUP($E76, $D$31:$D$35,$E$31:$E$35),J52,$F64)</f>
        <v>46.78189282603951</v>
      </c>
      <c r="K76" s="2" t="str">
        <f t="shared" ref="K76" si="0">$E$11</f>
        <v>kg N</v>
      </c>
      <c r="O76" s="55" t="str">
        <f>'Input - Dairy'!$D$66</f>
        <v>Milking shed</v>
      </c>
      <c r="P76" s="55" t="str">
        <f>'Input - Dairy'!$D$81</f>
        <v>Anaerobic lagoon</v>
      </c>
      <c r="Q76" s="55" cm="1">
        <f t="array" ref="Q76">MMS_Dairy_ManureAppliedToSoils_Equations.VEERG_4_3_1_8__1_MassOfNitrogenAppliedToSoilsScope1(Q40,_xlfn.XLOOKUP($P76,$D$22:$D$26,$E$22:$E$26),_xlfn.XLOOKUP($P76, $D$31:$D$35,$E$31:$E$35),Q52,$F64)</f>
        <v>228.60796167865729</v>
      </c>
      <c r="R76" s="55" cm="1">
        <f t="array" ref="R76">MMS_Dairy_ManureAppliedToSoils_Equations.VEERG_4_3_1_8__1_MassOfNitrogenAppliedToSoilsScope1(R40,_xlfn.XLOOKUP($P76,$D$22:$D$26,$E$22:$E$26),_xlfn.XLOOKUP($P76, $D$31:$D$35,$E$31:$E$35),R52,$F64)</f>
        <v>88.899477555437642</v>
      </c>
      <c r="S76" s="55" cm="1">
        <f t="array" ref="S76">MMS_Dairy_ManureAppliedToSoils_Equations.VEERG_4_3_1_8__1_MassOfNitrogenAppliedToSoilsScope1(S40,_xlfn.XLOOKUP($P76,$D$22:$D$26,$E$22:$E$26),_xlfn.XLOOKUP($P76, $D$31:$D$35,$E$31:$E$35),S52,$F64)</f>
        <v>35.407721760373668</v>
      </c>
      <c r="T76" s="55" cm="1">
        <f t="array" ref="T76">MMS_Dairy_ManureAppliedToSoils_Equations.VEERG_4_3_1_8__1_MassOfNitrogenAppliedToSoilsScope1(T40,_xlfn.XLOOKUP($P76,$D$22:$D$26,$E$22:$E$26),_xlfn.XLOOKUP($P76, $D$31:$D$35,$E$31:$E$35),T52,$F64)</f>
        <v>111.75015917318586</v>
      </c>
      <c r="U76" s="55" cm="1">
        <f t="array" ref="U76">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327.08523747869424</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327.08523747869424</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Dairy'!$D$91</f>
        <v>Drains to paddock</v>
      </c>
      <c r="F78" s="55" cm="1">
        <f t="array" ref="F78">MMS_Dairy_ManureAppliedToSoils_Equations.VEERG_4_3_1_8__1_MassOfNitrogenAppliedToSoilsScope1(F42,_xlfn.XLOOKUP($E78,$D$22:$D$26,$E$22:$E$26),_xlfn.XLOOKUP($E78, $D$31:$D$35,$E$31:$E$35),F54,$F66)</f>
        <v>281.36364514296281</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Dairy'!$D$91</f>
        <v>Drains to paddock</v>
      </c>
      <c r="Q78" s="55" cm="1">
        <f t="array" ref="Q78">MMS_Dairy_ManureAppliedToSoils_Equations.VEERG_4_3_1_8__1_MassOfNitrogenAppliedToSoilsScope1(Q42,_xlfn.XLOOKUP($P78,$D$22:$D$26,$E$22:$E$26),_xlfn.XLOOKUP($P78, $D$31:$D$35,$E$31:$E$35),Q54,$F66)</f>
        <v>281.36364514296281</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407</v>
      </c>
      <c r="F79" s="55" cm="1">
        <f t="array" ref="F79">MMS_Dairy_ManureAppliedToSoils_Equations.VEERG_4_3_1_8__1_MassOfNitrogenAppliedToSoilsScope1(F43,_xlfn.XLOOKUP($E79,$D$22:$D$26,$E$22:$E$26),_xlfn.XLOOKUP($E79, $D$31:$D$35,$E$31:$E$35),F55,$F67)</f>
        <v>474.80115117874976</v>
      </c>
      <c r="G79" s="55" cm="1">
        <f t="array" ref="G79">MMS_Dairy_ManureAppliedToSoils_Equations.VEERG_4_3_1_8__1_MassOfNitrogenAppliedToSoilsScope1(G43,_xlfn.XLOOKUP($E79,$D$22:$D$26,$E$22:$E$26),_xlfn.XLOOKUP($E79, $D$31:$D$35,$E$31:$E$35),G55,$F67)</f>
        <v>184.63737646129354</v>
      </c>
      <c r="H79" s="55" cm="1">
        <f t="array" ref="H79">MMS_Dairy_ManureAppliedToSoils_Equations.VEERG_4_3_1_8__1_MassOfNitrogenAppliedToSoilsScope1(H43,_xlfn.XLOOKUP($E79,$D$22:$D$26,$E$22:$E$26),_xlfn.XLOOKUP($E79, $D$31:$D$35,$E$31:$E$35),H55,$F67)</f>
        <v>73.539114425391446</v>
      </c>
      <c r="I79" s="55" cm="1">
        <f t="array" ref="I79">MMS_Dairy_ManureAppliedToSoils_Equations.VEERG_4_3_1_8__1_MassOfNitrogenAppliedToSoilsScope1(I43,_xlfn.XLOOKUP($E79,$D$22:$D$26,$E$22:$E$26),_xlfn.XLOOKUP($E79, $D$31:$D$35,$E$31:$E$35),I55,$F67)</f>
        <v>232.09648443661678</v>
      </c>
      <c r="J79" s="55" cm="1">
        <f t="array" ref="J79">MMS_Dairy_ManureAppliedToSoils_Equations.VEERG_4_3_1_8__1_MassOfNitrogenAppliedToSoilsScope1(J43,_xlfn.XLOOKUP($E79,$D$22:$D$26,$E$22:$E$26),_xlfn.XLOOKUP($E79, $D$31:$D$35,$E$31:$E$35),J55,$F67)</f>
        <v>97.162392792543585</v>
      </c>
      <c r="K79" s="2"/>
      <c r="O79" s="55" t="str">
        <f>'Input - Dairy'!$D$66</f>
        <v>Milking shed</v>
      </c>
      <c r="P79" s="55" t="s">
        <v>407</v>
      </c>
      <c r="Q79" s="55" cm="1">
        <f t="array" ref="Q79">MMS_Dairy_ManureAppliedToSoils_Equations.VEERG_4_3_1_8__1_MassOfNitrogenAppliedToSoilsScope1(Q43,_xlfn.XLOOKUP($P79,$D$22:$D$26,$E$22:$E$26),_xlfn.XLOOKUP($P79, $D$31:$D$35,$E$31:$E$35),Q55,$F67)</f>
        <v>474.80115117874976</v>
      </c>
      <c r="R79" s="55" cm="1">
        <f t="array" ref="R79">MMS_Dairy_ManureAppliedToSoils_Equations.VEERG_4_3_1_8__1_MassOfNitrogenAppliedToSoilsScope1(R43,_xlfn.XLOOKUP($P79,$D$22:$D$26,$E$22:$E$26),_xlfn.XLOOKUP($P79, $D$31:$D$35,$E$31:$E$35),R55,$F67)</f>
        <v>184.63737646129354</v>
      </c>
      <c r="S79" s="55" cm="1">
        <f t="array" ref="S79">MMS_Dairy_ManureAppliedToSoils_Equations.VEERG_4_3_1_8__1_MassOfNitrogenAppliedToSoilsScope1(S43,_xlfn.XLOOKUP($P79,$D$22:$D$26,$E$22:$E$26),_xlfn.XLOOKUP($P79, $D$31:$D$35,$E$31:$E$35),S55,$F67)</f>
        <v>73.539114425391446</v>
      </c>
      <c r="T79" s="55" cm="1">
        <f t="array" ref="T79">MMS_Dairy_ManureAppliedToSoils_Equations.VEERG_4_3_1_8__1_MassOfNitrogenAppliedToSoilsScope1(T43,_xlfn.XLOOKUP($P79,$D$22:$D$26,$E$22:$E$26),_xlfn.XLOOKUP($P79, $D$31:$D$35,$E$31:$E$35),T55,$F67)</f>
        <v>232.09648443661678</v>
      </c>
      <c r="U79" s="55" cm="1">
        <f t="array" ref="U79">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'Input - Dairy'!$D$67</f>
        <v>Feed pad</v>
      </c>
      <c r="E80" s="55" t="str">
        <f>'Input - Dairy'!$D$105</f>
        <v>Anaerobic lagoon</v>
      </c>
      <c r="F80" s="55" cm="1">
        <f t="array" ref="F80">MMS_Dairy_ManureAppliedToSoils_Equations.VEERG_4_3_1_8__1_MassOfNitrogenAppliedToSoilsScope1(F44,_xlfn.XLOOKUP($E80,$D$22:$D$26,$E$22:$E$26),_xlfn.XLOOKUP($E80, $D$31:$D$35,$E$31:$E$35),F56,$F68)</f>
        <v>924.82311770002252</v>
      </c>
      <c r="G80" s="55" cm="1">
        <f t="array" ref="G80">MMS_Dairy_ManureAppliedToSoils_Equations.VEERG_4_3_1_8__1_MassOfNitrogenAppliedToSoilsScope1(G44,_xlfn.XLOOKUP($E80,$D$22:$D$26,$E$22:$E$26),_xlfn.XLOOKUP($E80, $D$31:$D$35,$E$31:$E$35),G56,$F68)</f>
        <v>359.63879556517946</v>
      </c>
      <c r="H80" s="55" cm="1">
        <f t="array" ref="H80">MMS_Dairy_ManureAppliedToSoils_Equations.VEERG_4_3_1_8__1_MassOfNitrogenAppliedToSoilsScope1(H44,_xlfn.XLOOKUP($E80,$D$22:$D$26,$E$22:$E$26),_xlfn.XLOOKUP($E80, $D$31:$D$35,$E$31:$E$35),H56,$F68)</f>
        <v>143.24032893969348</v>
      </c>
      <c r="I80" s="55" cm="1">
        <f t="array" ref="I80">MMS_Dairy_ManureAppliedToSoils_Equations.VEERG_4_3_1_8__1_MassOfNitrogenAppliedToSoilsScope1(I44,_xlfn.XLOOKUP($E80,$D$22:$D$26,$E$22:$E$26),_xlfn.XLOOKUP($E80, $D$31:$D$35,$E$31:$E$35),I56,$F68)</f>
        <v>452.08018938243373</v>
      </c>
      <c r="J80" s="55" cm="1">
        <f t="array" ref="J80">MMS_Dairy_ManureAppliedToSoils_Equations.VEERG_4_3_1_8__1_MassOfNitrogenAppliedToSoilsScope1(J44,_xlfn.XLOOKUP($E80,$D$22:$D$26,$E$22:$E$26),_xlfn.XLOOKUP($E80, $D$31:$D$35,$E$31:$E$35),J56,$F68)</f>
        <v>189.25402097806892</v>
      </c>
      <c r="K80" s="2"/>
      <c r="O80" s="55" t="str">
        <f>'Input - Dairy'!$D$67</f>
        <v>Feed pad</v>
      </c>
      <c r="P80" s="55" t="str">
        <f>'Input - Dairy'!$D$105</f>
        <v>Anaerobic lagoon</v>
      </c>
      <c r="Q80" s="55" cm="1">
        <f t="array" ref="Q80">MMS_Dairy_ManureAppliedToSoils_Equations.VEERG_4_3_1_8__1_MassOfNitrogenAppliedToSoilsScope1(Q44,_xlfn.XLOOKUP($P80,$D$22:$D$26,$E$22:$E$26),_xlfn.XLOOKUP($P80, $D$31:$D$35,$E$31:$E$35),Q56,$F68)</f>
        <v>924.82311770002252</v>
      </c>
      <c r="R80" s="55" cm="1">
        <f t="array" ref="R80">MMS_Dairy_ManureAppliedToSoils_Equations.VEERG_4_3_1_8__1_MassOfNitrogenAppliedToSoilsScope1(R44,_xlfn.XLOOKUP($P80,$D$22:$D$26,$E$22:$E$26),_xlfn.XLOOKUP($P80, $D$31:$D$35,$E$31:$E$35),R56,$F68)</f>
        <v>359.63879556517946</v>
      </c>
      <c r="S80" s="55" cm="1">
        <f t="array" ref="S80">MMS_Dairy_ManureAppliedToSoils_Equations.VEERG_4_3_1_8__1_MassOfNitrogenAppliedToSoilsScope1(S44,_xlfn.XLOOKUP($P80,$D$22:$D$26,$E$22:$E$26),_xlfn.XLOOKUP($P80, $D$31:$D$35,$E$31:$E$35),S56,$F68)</f>
        <v>143.24032893969348</v>
      </c>
      <c r="T80" s="55" cm="1">
        <f t="array" ref="T80">MMS_Dairy_ManureAppliedToSoils_Equations.VEERG_4_3_1_8__1_MassOfNitrogenAppliedToSoilsScope1(T44,_xlfn.XLOOKUP($P80,$D$22:$D$26,$E$22:$E$26),_xlfn.XLOOKUP($P80, $D$31:$D$35,$E$31:$E$35),T56,$F68)</f>
        <v>452.08018938243373</v>
      </c>
      <c r="U80" s="55" cm="1">
        <f t="array" ref="U80">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'Input - Dairy'!$D$67</f>
        <v>Feed pad</v>
      </c>
      <c r="E81" s="55" t="str">
        <f>'Input - Dairy'!$D$110</f>
        <v>Sump and dispersal system</v>
      </c>
      <c r="F81" s="55" cm="1">
        <f t="array" ref="F81">MMS_Dairy_ManureAppliedToSoils_Equations.VEERG_4_3_1_8__1_MassOfNitrogenAppliedToSoilsScope1(F45,_xlfn.XLOOKUP($E81,$D$22:$D$26,$E$22:$E$26),_xlfn.XLOOKUP($E81, $D$31:$D$35,$E$31:$E$35),F57,$F69)</f>
        <v>1058.5667685674102</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Dairy'!$D$110</f>
        <v>Sump and dispersal system</v>
      </c>
      <c r="Q81" s="55" cm="1">
        <f t="array" ref="Q81">MMS_Dairy_ManureAppliedToSoils_Equations.VEERG_4_3_1_8__1_MassOfNitrogenAppliedToSoilsScope1(Q45,_xlfn.XLOOKUP($P81,$D$22:$D$26,$E$22:$E$26),_xlfn.XLOOKUP($P81, $D$31:$D$35,$E$31:$E$35),Q57,$F69)</f>
        <v>1058.5667685674102</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Dairy'!$D$115</f>
        <v>Drains to paddock</v>
      </c>
      <c r="F82" s="55" cm="1">
        <f t="array" ref="F82">MMS_Dairy_ManureAppliedToSoils_Equations.VEERG_4_3_1_8__1_MassOfNitrogenAppliedToSoilsScope1(F46,_xlfn.XLOOKUP($E82,$D$22:$D$26,$E$22:$E$26),_xlfn.XLOOKUP($E82, $D$31:$D$35,$E$31:$E$35),F58,$F70)</f>
        <v>910.59506973540692</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Dairy'!$D$115</f>
        <v>Drains to paddock</v>
      </c>
      <c r="Q82" s="55" cm="1">
        <f t="array" ref="Q82">MMS_Dairy_ManureAppliedToSoils_Equations.VEERG_4_3_1_8__1_MassOfNitrogenAppliedToSoilsScope1(Q46,_xlfn.XLOOKUP($P82,$D$22:$D$26,$E$22:$E$26),_xlfn.XLOOKUP($P82, $D$31:$D$35,$E$31:$E$35),Q58,$F70)</f>
        <v>910.59506973540692</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407</v>
      </c>
      <c r="F83" s="55" cm="1">
        <f t="array" ref="F83">MMS_Dairy_ManureAppliedToSoils_Equations.VEERG_4_3_1_8__1_MassOfNitrogenAppliedToSoilsScope1(F47,_xlfn.XLOOKUP($E83,$D$22:$D$26,$E$22:$E$26),_xlfn.XLOOKUP($E83, $D$31:$D$35,$E$31:$E$35),F59,$F71)</f>
        <v>1344.5505326561865</v>
      </c>
      <c r="G83" s="55" cm="1">
        <f t="array" ref="G83">MMS_Dairy_ManureAppliedToSoils_Equations.VEERG_4_3_1_8__1_MassOfNitrogenAppliedToSoilsScope1(G47,_xlfn.XLOOKUP($E83,$D$22:$D$26,$E$22:$E$26),_xlfn.XLOOKUP($E83, $D$31:$D$35,$E$31:$E$35),G59,$F71)</f>
        <v>522.85947970629945</v>
      </c>
      <c r="H83" s="55" cm="1">
        <f t="array" ref="H83">MMS_Dairy_ManureAppliedToSoils_Equations.VEERG_4_3_1_8__1_MassOfNitrogenAppliedToSoilsScope1(H47,_xlfn.XLOOKUP($E83,$D$22:$D$26,$E$22:$E$26),_xlfn.XLOOKUP($E83, $D$31:$D$35,$E$31:$E$35),H59,$F71)</f>
        <v>208.24940130463128</v>
      </c>
      <c r="I83" s="55" cm="1">
        <f t="array" ref="I83">MMS_Dairy_ManureAppliedToSoils_Equations.VEERG_4_3_1_8__1_MassOfNitrogenAppliedToSoilsScope1(I47,_xlfn.XLOOKUP($E83,$D$22:$D$26,$E$22:$E$26),_xlfn.XLOOKUP($E83, $D$31:$D$35,$E$31:$E$35),I59,$F71)</f>
        <v>657.25504456369208</v>
      </c>
      <c r="J83" s="55" cm="1">
        <f t="array" ref="J83">MMS_Dairy_ManureAppliedToSoils_Equations.VEERG_4_3_1_8__1_MassOfNitrogenAppliedToSoilsScope1(J47,_xlfn.XLOOKUP($E83,$D$22:$D$26,$E$22:$E$26),_xlfn.XLOOKUP($E83, $D$31:$D$35,$E$31:$E$35),J59,$F71)</f>
        <v>275.14623049888485</v>
      </c>
      <c r="K83" s="2"/>
      <c r="O83" s="55" t="str">
        <f>'Input - Dairy'!$D$67</f>
        <v>Feed pad</v>
      </c>
      <c r="P83" s="55" t="s">
        <v>407</v>
      </c>
      <c r="Q83" s="55" cm="1">
        <f t="array" ref="Q83">MMS_Dairy_ManureAppliedToSoils_Equations.VEERG_4_3_1_8__1_MassOfNitrogenAppliedToSoilsScope1(Q47,_xlfn.XLOOKUP($P83,$D$22:$D$26,$E$22:$E$26),_xlfn.XLOOKUP($P83, $D$31:$D$35,$E$31:$E$35),Q59,$F71)</f>
        <v>1344.5505326561865</v>
      </c>
      <c r="R83" s="55" cm="1">
        <f t="array" ref="R83">MMS_Dairy_ManureAppliedToSoils_Equations.VEERG_4_3_1_8__1_MassOfNitrogenAppliedToSoilsScope1(R47,_xlfn.XLOOKUP($P83,$D$22:$D$26,$E$22:$E$26),_xlfn.XLOOKUP($P83, $D$31:$D$35,$E$31:$E$35),R59,$F71)</f>
        <v>522.85947970629945</v>
      </c>
      <c r="S83" s="55" cm="1">
        <f t="array" ref="S83">MMS_Dairy_ManureAppliedToSoils_Equations.VEERG_4_3_1_8__1_MassOfNitrogenAppliedToSoilsScope1(S47,_xlfn.XLOOKUP($P83,$D$22:$D$26,$E$22:$E$26),_xlfn.XLOOKUP($P83, $D$31:$D$35,$E$31:$E$35),S59,$F71)</f>
        <v>208.24940130463128</v>
      </c>
      <c r="T83" s="55" cm="1">
        <f t="array" ref="T83">MMS_Dairy_ManureAppliedToSoils_Equations.VEERG_4_3_1_8__1_MassOfNitrogenAppliedToSoilsScope1(T47,_xlfn.XLOOKUP($P83,$D$22:$D$26,$E$22:$E$26),_xlfn.XLOOKUP($P83, $D$31:$D$35,$E$31:$E$35),T59,$F71)</f>
        <v>657.25504456369208</v>
      </c>
      <c r="U83" s="55" cm="1">
        <f t="array" ref="U83">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133</v>
      </c>
      <c r="E85" s="109">
        <f>SUM(F76:J83)</f>
        <v>12417.473379475077</v>
      </c>
      <c r="F85" s="110" t="str">
        <f>$E$11</f>
        <v>kg N</v>
      </c>
      <c r="O85" s="108" t="s">
        <v>133</v>
      </c>
      <c r="P85" s="109">
        <f>SUM(Q76:U83)</f>
        <v>12417.473379475077</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31</v>
      </c>
      <c r="E94" s="1" t="str" cm="1">
        <f t="array" ref="E94">MMS_Dairy_ManureAppliedToSoils_Equations.VEERG_4_3_1_8__2_MassOfNitrogenAppliedToSoilsScope3_Variable()</f>
        <v>MNSoil_scope3</v>
      </c>
    </row>
    <row r="95" spans="1:23" ht="20.100000000000001" customHeight="1" x14ac:dyDescent="0.25">
      <c r="D95" s="56" t="s">
        <v>21</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344</v>
      </c>
      <c r="O103" s="104" t="s">
        <v>350</v>
      </c>
    </row>
    <row r="104" spans="4:22" ht="20.100000000000001" customHeight="1" x14ac:dyDescent="0.25">
      <c r="D104" s="103" t="s">
        <v>345</v>
      </c>
      <c r="O104" s="103" t="s">
        <v>351</v>
      </c>
    </row>
    <row r="105" spans="4:22" ht="20.100000000000001" customHeight="1" x14ac:dyDescent="0.25">
      <c r="D105" s="54" t="s">
        <v>148</v>
      </c>
      <c r="E105" s="54" t="s">
        <v>69</v>
      </c>
      <c r="F105" s="54" t="s">
        <v>173</v>
      </c>
      <c r="G105" s="54" t="s">
        <v>190</v>
      </c>
      <c r="H105" s="54" t="s">
        <v>191</v>
      </c>
      <c r="I105" s="54" t="s">
        <v>192</v>
      </c>
      <c r="J105" s="54" t="s">
        <v>193</v>
      </c>
      <c r="O105" s="54" t="s">
        <v>148</v>
      </c>
      <c r="P105" s="54" t="s">
        <v>69</v>
      </c>
      <c r="Q105" s="54" t="s">
        <v>173</v>
      </c>
      <c r="R105" s="54" t="s">
        <v>190</v>
      </c>
      <c r="S105" s="54" t="s">
        <v>191</v>
      </c>
      <c r="T105" s="54" t="s">
        <v>192</v>
      </c>
      <c r="U105" s="54" t="s">
        <v>193</v>
      </c>
    </row>
    <row r="106" spans="4:22" ht="20.100000000000001" customHeight="1" x14ac:dyDescent="0.25">
      <c r="D106" s="55" t="str">
        <f>'Input - Dairy'!$D$66</f>
        <v>Milking shed</v>
      </c>
      <c r="E106" s="55" t="str">
        <f>'Input - Dairy'!$D$81</f>
        <v>Anaerobic lagoon</v>
      </c>
      <c r="F106" s="55" cm="1">
        <f t="array" ref="F106">MMS_Dairy_ManureAppliedToSoils_Equations.VEERG_4_3_1_8__2_MassOfNitrogenAppliedToSoilsScope3(F40, _xlfn.XLOOKUP($E106, $D$22:$D$26,$E$22:$E$26), _xlfn.XLOOKUP($E106,$D$31:$D$35,$E$31:$E$35),F52, $F64)</f>
        <v>76.202653892885763</v>
      </c>
      <c r="G106" s="55" cm="1">
        <f t="array" ref="G106">MMS_Dairy_ManureAppliedToSoils_Equations.VEERG_4_3_1_8__2_MassOfNitrogenAppliedToSoilsScope3(G40, _xlfn.XLOOKUP($E106, $D$22:$D$26,$E$22:$E$26), _xlfn.XLOOKUP($E106,$D$31:$D$35,$E$31:$E$35),G52, $F64)</f>
        <v>29.633159185145878</v>
      </c>
      <c r="H106" s="55" cm="1">
        <f t="array" ref="H106">MMS_Dairy_ManureAppliedToSoils_Equations.VEERG_4_3_1_8__2_MassOfNitrogenAppliedToSoilsScope3(H40, _xlfn.XLOOKUP($E106, $D$22:$D$26,$E$22:$E$26), _xlfn.XLOOKUP($E106,$D$31:$D$35,$E$31:$E$35),H52, $F64)</f>
        <v>11.802573920124557</v>
      </c>
      <c r="I106" s="55" cm="1">
        <f t="array" ref="I106">MMS_Dairy_ManureAppliedToSoils_Equations.VEERG_4_3_1_8__2_MassOfNitrogenAppliedToSoilsScope3(I40, _xlfn.XLOOKUP($E106, $D$22:$D$26,$E$22:$E$26), _xlfn.XLOOKUP($E106,$D$31:$D$35,$E$31:$E$35),I52, $F64)</f>
        <v>37.250053057728621</v>
      </c>
      <c r="J106" s="55" cm="1">
        <f t="array" ref="J106">MMS_Dairy_ManureAppliedToSoils_Equations.VEERG_4_3_1_8__2_MassOfNitrogenAppliedToSoilsScope3(J40, _xlfn.XLOOKUP($E106, $D$22:$D$26,$E$22:$E$26), _xlfn.XLOOKUP($E106,$D$31:$D$35,$E$31:$E$35),J52, $F64)</f>
        <v>15.593964275346504</v>
      </c>
      <c r="K106" s="2" t="str">
        <f t="shared" ref="K106" si="2">$E$95</f>
        <v>kg N</v>
      </c>
      <c r="O106" s="55" t="str">
        <f>'Input - Dairy'!$D$66</f>
        <v>Milking shed</v>
      </c>
      <c r="P106" s="55" t="str">
        <f>'Input - Dairy'!$D$81</f>
        <v>Anaerobic lagoon</v>
      </c>
      <c r="Q106" s="55" cm="1">
        <f t="array" ref="Q106">MMS_Dairy_ManureAppliedToSoils_Equations.VEERG_4_3_1_8__2_MassOfNitrogenAppliedToSoilsScope3(Q40, _xlfn.XLOOKUP($P106, $D$22:$D$26,$E$22:$E$26), _xlfn.XLOOKUP($P106,$D$31:$D$35,$E$31:$E$35),Q52, $F64)</f>
        <v>76.202653892885763</v>
      </c>
      <c r="R106" s="55" cm="1">
        <f t="array" ref="R106">MMS_Dairy_ManureAppliedToSoils_Equations.VEERG_4_3_1_8__2_MassOfNitrogenAppliedToSoilsScope3(R40, _xlfn.XLOOKUP($P106, $D$22:$D$26,$E$22:$E$26), _xlfn.XLOOKUP($P106,$D$31:$D$35,$E$31:$E$35),R52, $F64)</f>
        <v>29.633159185145878</v>
      </c>
      <c r="S106" s="55" cm="1">
        <f t="array" ref="S106">MMS_Dairy_ManureAppliedToSoils_Equations.VEERG_4_3_1_8__2_MassOfNitrogenAppliedToSoilsScope3(S40, _xlfn.XLOOKUP($P106, $D$22:$D$26,$E$22:$E$26), _xlfn.XLOOKUP($P106,$D$31:$D$35,$E$31:$E$35),S52, $F64)</f>
        <v>11.802573920124557</v>
      </c>
      <c r="T106" s="55" cm="1">
        <f t="array" ref="T106">MMS_Dairy_ManureAppliedToSoils_Equations.VEERG_4_3_1_8__2_MassOfNitrogenAppliedToSoilsScope3(T40, _xlfn.XLOOKUP($P106, $D$22:$D$26,$E$22:$E$26), _xlfn.XLOOKUP($P106,$D$31:$D$35,$E$31:$E$35),T52, $F64)</f>
        <v>37.250053057728621</v>
      </c>
      <c r="U106" s="55" cm="1">
        <f t="array" ref="U106">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109.02841249289807</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109.02841249289807</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Dairy'!$D$91</f>
        <v>Drains to paddock</v>
      </c>
      <c r="F108" s="55" cm="1">
        <f t="array" ref="F108">MMS_Dairy_ManureAppliedToSoils_Equations.VEERG_4_3_1_8__2_MassOfNitrogenAppliedToSoilsScope3(F42, _xlfn.XLOOKUP($E108, $D$22:$D$26,$E$22:$E$26), _xlfn.XLOOKUP($E108,$D$31:$D$35,$E$31:$E$35),F54, $F66)</f>
        <v>93.787881714320932</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Dairy'!$D$91</f>
        <v>Drains to paddock</v>
      </c>
      <c r="Q108" s="55" cm="1">
        <f t="array" ref="Q108">MMS_Dairy_ManureAppliedToSoils_Equations.VEERG_4_3_1_8__2_MassOfNitrogenAppliedToSoilsScope3(Q42, _xlfn.XLOOKUP($P108, $D$22:$D$26,$E$22:$E$26), _xlfn.XLOOKUP($P108,$D$31:$D$35,$E$31:$E$35),Q54, $F66)</f>
        <v>93.787881714320932</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407</v>
      </c>
      <c r="F109" s="55" cm="1">
        <f t="array" ref="F109">MMS_Dairy_ManureAppliedToSoils_Equations.VEERG_4_3_1_8__2_MassOfNitrogenAppliedToSoilsScope3(F43, _xlfn.XLOOKUP($E109, $D$22:$D$26,$E$22:$E$26), _xlfn.XLOOKUP($E109,$D$31:$D$35,$E$31:$E$35),F55, $F67)</f>
        <v>158.26705039291659</v>
      </c>
      <c r="G109" s="55" cm="1">
        <f t="array" ref="G109">MMS_Dairy_ManureAppliedToSoils_Equations.VEERG_4_3_1_8__2_MassOfNitrogenAppliedToSoilsScope3(G43, _xlfn.XLOOKUP($E109, $D$22:$D$26,$E$22:$E$26), _xlfn.XLOOKUP($E109,$D$31:$D$35,$E$31:$E$35),G55, $F67)</f>
        <v>61.545792153764516</v>
      </c>
      <c r="H109" s="55" cm="1">
        <f t="array" ref="H109">MMS_Dairy_ManureAppliedToSoils_Equations.VEERG_4_3_1_8__2_MassOfNitrogenAppliedToSoilsScope3(H43, _xlfn.XLOOKUP($E109, $D$22:$D$26,$E$22:$E$26), _xlfn.XLOOKUP($E109,$D$31:$D$35,$E$31:$E$35),H55, $F67)</f>
        <v>24.51303814179715</v>
      </c>
      <c r="I109" s="55" cm="1">
        <f t="array" ref="I109">MMS_Dairy_ManureAppliedToSoils_Equations.VEERG_4_3_1_8__2_MassOfNitrogenAppliedToSoilsScope3(I43, _xlfn.XLOOKUP($E109, $D$22:$D$26,$E$22:$E$26), _xlfn.XLOOKUP($E109,$D$31:$D$35,$E$31:$E$35),I55, $F67)</f>
        <v>77.365494812205597</v>
      </c>
      <c r="J109" s="55" cm="1">
        <f t="array" ref="J109">MMS_Dairy_ManureAppliedToSoils_Equations.VEERG_4_3_1_8__2_MassOfNitrogenAppliedToSoilsScope3(J43, _xlfn.XLOOKUP($E109, $D$22:$D$26,$E$22:$E$26), _xlfn.XLOOKUP($E109,$D$31:$D$35,$E$31:$E$35),J55, $F67)</f>
        <v>32.387464264181197</v>
      </c>
      <c r="K109" s="2"/>
      <c r="O109" s="55" t="str">
        <f>'Input - Dairy'!$D$66</f>
        <v>Milking shed</v>
      </c>
      <c r="P109" s="55" t="s">
        <v>407</v>
      </c>
      <c r="Q109" s="55" cm="1">
        <f t="array" ref="Q109">MMS_Dairy_ManureAppliedToSoils_Equations.VEERG_4_3_1_8__2_MassOfNitrogenAppliedToSoilsScope3(Q43, _xlfn.XLOOKUP($P109, $D$22:$D$26,$E$22:$E$26), _xlfn.XLOOKUP($P109,$D$31:$D$35,$E$31:$E$35),Q55, $F67)</f>
        <v>158.26705039291659</v>
      </c>
      <c r="R109" s="55" cm="1">
        <f t="array" ref="R109">MMS_Dairy_ManureAppliedToSoils_Equations.VEERG_4_3_1_8__2_MassOfNitrogenAppliedToSoilsScope3(R43, _xlfn.XLOOKUP($P109, $D$22:$D$26,$E$22:$E$26), _xlfn.XLOOKUP($P109,$D$31:$D$35,$E$31:$E$35),R55, $F67)</f>
        <v>61.545792153764516</v>
      </c>
      <c r="S109" s="55" cm="1">
        <f t="array" ref="S109">MMS_Dairy_ManureAppliedToSoils_Equations.VEERG_4_3_1_8__2_MassOfNitrogenAppliedToSoilsScope3(S43, _xlfn.XLOOKUP($P109, $D$22:$D$26,$E$22:$E$26), _xlfn.XLOOKUP($P109,$D$31:$D$35,$E$31:$E$35),S55, $F67)</f>
        <v>24.51303814179715</v>
      </c>
      <c r="T109" s="55" cm="1">
        <f t="array" ref="T109">MMS_Dairy_ManureAppliedToSoils_Equations.VEERG_4_3_1_8__2_MassOfNitrogenAppliedToSoilsScope3(T43, _xlfn.XLOOKUP($P109, $D$22:$D$26,$E$22:$E$26), _xlfn.XLOOKUP($P109,$D$31:$D$35,$E$31:$E$35),T55, $F67)</f>
        <v>77.365494812205597</v>
      </c>
      <c r="U109" s="55" cm="1">
        <f t="array" ref="U109">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'Input - Dairy'!$D$67</f>
        <v>Feed pad</v>
      </c>
      <c r="E110" s="55" t="str">
        <f>'Input - Dairy'!$D$105</f>
        <v>Anaerobic lagoon</v>
      </c>
      <c r="F110" s="55" cm="1">
        <f t="array" ref="F110">MMS_Dairy_ManureAppliedToSoils_Equations.VEERG_4_3_1_8__2_MassOfNitrogenAppliedToSoilsScope3(F44, _xlfn.XLOOKUP($E110, $D$22:$D$26,$E$22:$E$26), _xlfn.XLOOKUP($E110,$D$31:$D$35,$E$31:$E$35),F56, $F68)</f>
        <v>308.27437256667417</v>
      </c>
      <c r="G110" s="55" cm="1">
        <f t="array" ref="G110">MMS_Dairy_ManureAppliedToSoils_Equations.VEERG_4_3_1_8__2_MassOfNitrogenAppliedToSoilsScope3(G44, _xlfn.XLOOKUP($E110, $D$22:$D$26,$E$22:$E$26), _xlfn.XLOOKUP($E110,$D$31:$D$35,$E$31:$E$35),G56, $F68)</f>
        <v>119.87959852172649</v>
      </c>
      <c r="H110" s="55" cm="1">
        <f t="array" ref="H110">MMS_Dairy_ManureAppliedToSoils_Equations.VEERG_4_3_1_8__2_MassOfNitrogenAppliedToSoilsScope3(H44, _xlfn.XLOOKUP($E110, $D$22:$D$26,$E$22:$E$26), _xlfn.XLOOKUP($E110,$D$31:$D$35,$E$31:$E$35),H56, $F68)</f>
        <v>47.746776313231159</v>
      </c>
      <c r="I110" s="55" cm="1">
        <f t="array" ref="I110">MMS_Dairy_ManureAppliedToSoils_Equations.VEERG_4_3_1_8__2_MassOfNitrogenAppliedToSoilsScope3(I44, _xlfn.XLOOKUP($E110, $D$22:$D$26,$E$22:$E$26), _xlfn.XLOOKUP($E110,$D$31:$D$35,$E$31:$E$35),I56, $F68)</f>
        <v>150.69339646081124</v>
      </c>
      <c r="J110" s="55" cm="1">
        <f t="array" ref="J110">MMS_Dairy_ManureAppliedToSoils_Equations.VEERG_4_3_1_8__2_MassOfNitrogenAppliedToSoilsScope3(J44, _xlfn.XLOOKUP($E110, $D$22:$D$26,$E$22:$E$26), _xlfn.XLOOKUP($E110,$D$31:$D$35,$E$31:$E$35),J56, $F68)</f>
        <v>63.084673659356305</v>
      </c>
      <c r="K110" s="2"/>
      <c r="O110" s="55" t="str">
        <f>'Input - Dairy'!$D$67</f>
        <v>Feed pad</v>
      </c>
      <c r="P110" s="55" t="str">
        <f>'Input - Dairy'!$D$105</f>
        <v>Anaerobic lagoon</v>
      </c>
      <c r="Q110" s="55" cm="1">
        <f t="array" ref="Q110">MMS_Dairy_ManureAppliedToSoils_Equations.VEERG_4_3_1_8__2_MassOfNitrogenAppliedToSoilsScope3(Q44, _xlfn.XLOOKUP($P110, $D$22:$D$26,$E$22:$E$26), _xlfn.XLOOKUP($P110,$D$31:$D$35,$E$31:$E$35),Q56, $F68)</f>
        <v>308.27437256667417</v>
      </c>
      <c r="R110" s="55" cm="1">
        <f t="array" ref="R110">MMS_Dairy_ManureAppliedToSoils_Equations.VEERG_4_3_1_8__2_MassOfNitrogenAppliedToSoilsScope3(R44, _xlfn.XLOOKUP($P110, $D$22:$D$26,$E$22:$E$26), _xlfn.XLOOKUP($P110,$D$31:$D$35,$E$31:$E$35),R56, $F68)</f>
        <v>119.87959852172649</v>
      </c>
      <c r="S110" s="55" cm="1">
        <f t="array" ref="S110">MMS_Dairy_ManureAppliedToSoils_Equations.VEERG_4_3_1_8__2_MassOfNitrogenAppliedToSoilsScope3(S44, _xlfn.XLOOKUP($P110, $D$22:$D$26,$E$22:$E$26), _xlfn.XLOOKUP($P110,$D$31:$D$35,$E$31:$E$35),S56, $F68)</f>
        <v>47.746776313231159</v>
      </c>
      <c r="T110" s="55" cm="1">
        <f t="array" ref="T110">MMS_Dairy_ManureAppliedToSoils_Equations.VEERG_4_3_1_8__2_MassOfNitrogenAppliedToSoilsScope3(T44, _xlfn.XLOOKUP($P110, $D$22:$D$26,$E$22:$E$26), _xlfn.XLOOKUP($P110,$D$31:$D$35,$E$31:$E$35),T56, $F68)</f>
        <v>150.69339646081124</v>
      </c>
      <c r="U110" s="55" cm="1">
        <f t="array" ref="U110">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'Input - Dairy'!$D$67</f>
        <v>Feed pad</v>
      </c>
      <c r="E111" s="55" t="str">
        <f>'Input - Dairy'!$D$110</f>
        <v>Sump and dispersal system</v>
      </c>
      <c r="F111" s="55" cm="1">
        <f t="array" ref="F111">MMS_Dairy_ManureAppliedToSoils_Equations.VEERG_4_3_1_8__2_MassOfNitrogenAppliedToSoilsScope3(F45, _xlfn.XLOOKUP($E111, $D$22:$D$26,$E$22:$E$26), _xlfn.XLOOKUP($E111,$D$31:$D$35,$E$31:$E$35),F57, $F69)</f>
        <v>352.8555895224701</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Dairy'!$D$110</f>
        <v>Sump and dispersal system</v>
      </c>
      <c r="Q111" s="55" cm="1">
        <f t="array" ref="Q111">MMS_Dairy_ManureAppliedToSoils_Equations.VEERG_4_3_1_8__2_MassOfNitrogenAppliedToSoilsScope3(Q45, _xlfn.XLOOKUP($P111, $D$22:$D$26,$E$22:$E$26), _xlfn.XLOOKUP($P111,$D$31:$D$35,$E$31:$E$35),Q57, $F69)</f>
        <v>352.8555895224701</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Dairy'!$D$115</f>
        <v>Drains to paddock</v>
      </c>
      <c r="F112" s="55" cm="1">
        <f t="array" ref="F112">MMS_Dairy_ManureAppliedToSoils_Equations.VEERG_4_3_1_8__2_MassOfNitrogenAppliedToSoilsScope3(F46, _xlfn.XLOOKUP($E112, $D$22:$D$26,$E$22:$E$26), _xlfn.XLOOKUP($E112,$D$31:$D$35,$E$31:$E$35),F58, $F70)</f>
        <v>303.53168991180229</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Dairy'!$D$115</f>
        <v>Drains to paddock</v>
      </c>
      <c r="Q112" s="55" cm="1">
        <f t="array" ref="Q112">MMS_Dairy_ManureAppliedToSoils_Equations.VEERG_4_3_1_8__2_MassOfNitrogenAppliedToSoilsScope3(Q46, _xlfn.XLOOKUP($P112, $D$22:$D$26,$E$22:$E$26), _xlfn.XLOOKUP($P112,$D$31:$D$35,$E$31:$E$35),Q58, $F70)</f>
        <v>303.53168991180229</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407</v>
      </c>
      <c r="F113" s="55" cm="1">
        <f t="array" ref="F113">MMS_Dairy_ManureAppliedToSoils_Equations.VEERG_4_3_1_8__2_MassOfNitrogenAppliedToSoilsScope3(F47, _xlfn.XLOOKUP($E113, $D$22:$D$26,$E$22:$E$26), _xlfn.XLOOKUP($E113,$D$31:$D$35,$E$31:$E$35),F59, $F71)</f>
        <v>448.18351088539555</v>
      </c>
      <c r="G113" s="55" cm="1">
        <f t="array" ref="G113">MMS_Dairy_ManureAppliedToSoils_Equations.VEERG_4_3_1_8__2_MassOfNitrogenAppliedToSoilsScope3(G47, _xlfn.XLOOKUP($E113, $D$22:$D$26,$E$22:$E$26), _xlfn.XLOOKUP($E113,$D$31:$D$35,$E$31:$E$35),G59, $F71)</f>
        <v>174.28649323543314</v>
      </c>
      <c r="H113" s="55" cm="1">
        <f t="array" ref="H113">MMS_Dairy_ManureAppliedToSoils_Equations.VEERG_4_3_1_8__2_MassOfNitrogenAppliedToSoilsScope3(H47, _xlfn.XLOOKUP($E113, $D$22:$D$26,$E$22:$E$26), _xlfn.XLOOKUP($E113,$D$31:$D$35,$E$31:$E$35),H59, $F71)</f>
        <v>69.416467101543759</v>
      </c>
      <c r="I113" s="55" cm="1">
        <f t="array" ref="I113">MMS_Dairy_ManureAppliedToSoils_Equations.VEERG_4_3_1_8__2_MassOfNitrogenAppliedToSoilsScope3(I47, _xlfn.XLOOKUP($E113, $D$22:$D$26,$E$22:$E$26), _xlfn.XLOOKUP($E113,$D$31:$D$35,$E$31:$E$35),I59, $F71)</f>
        <v>219.08501485456401</v>
      </c>
      <c r="J113" s="55" cm="1">
        <f t="array" ref="J113">MMS_Dairy_ManureAppliedToSoils_Equations.VEERG_4_3_1_8__2_MassOfNitrogenAppliedToSoilsScope3(J47, _xlfn.XLOOKUP($E113, $D$22:$D$26,$E$22:$E$26), _xlfn.XLOOKUP($E113,$D$31:$D$35,$E$31:$E$35),J59, $F71)</f>
        <v>91.715410166294944</v>
      </c>
      <c r="K113" s="2"/>
      <c r="O113" s="55" t="str">
        <f>'Input - Dairy'!$D$67</f>
        <v>Feed pad</v>
      </c>
      <c r="P113" s="55" t="s">
        <v>407</v>
      </c>
      <c r="Q113" s="55" cm="1">
        <f t="array" ref="Q113">MMS_Dairy_ManureAppliedToSoils_Equations.VEERG_4_3_1_8__2_MassOfNitrogenAppliedToSoilsScope3(Q47, _xlfn.XLOOKUP($P113, $D$22:$D$26,$E$22:$E$26), _xlfn.XLOOKUP($P113,$D$31:$D$35,$E$31:$E$35),Q59, $F71)</f>
        <v>448.18351088539555</v>
      </c>
      <c r="R113" s="55" cm="1">
        <f t="array" ref="R113">MMS_Dairy_ManureAppliedToSoils_Equations.VEERG_4_3_1_8__2_MassOfNitrogenAppliedToSoilsScope3(R47, _xlfn.XLOOKUP($P113, $D$22:$D$26,$E$22:$E$26), _xlfn.XLOOKUP($P113,$D$31:$D$35,$E$31:$E$35),R59, $F71)</f>
        <v>174.28649323543314</v>
      </c>
      <c r="S113" s="55" cm="1">
        <f t="array" ref="S113">MMS_Dairy_ManureAppliedToSoils_Equations.VEERG_4_3_1_8__2_MassOfNitrogenAppliedToSoilsScope3(S47, _xlfn.XLOOKUP($P113, $D$22:$D$26,$E$22:$E$26), _xlfn.XLOOKUP($P113,$D$31:$D$35,$E$31:$E$35),S59, $F71)</f>
        <v>69.416467101543759</v>
      </c>
      <c r="T113" s="55" cm="1">
        <f t="array" ref="T113">MMS_Dairy_ManureAppliedToSoils_Equations.VEERG_4_3_1_8__2_MassOfNitrogenAppliedToSoilsScope3(T47, _xlfn.XLOOKUP($P113, $D$22:$D$26,$E$22:$E$26), _xlfn.XLOOKUP($P113,$D$31:$D$35,$E$31:$E$35),T59, $F71)</f>
        <v>219.08501485456401</v>
      </c>
      <c r="U113" s="55" cm="1">
        <f t="array" ref="U113">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349</v>
      </c>
      <c r="E115" s="109">
        <f>SUM(F106:J113)</f>
        <v>4139.1577931583588</v>
      </c>
      <c r="F115" s="110" t="str">
        <f>$E$11</f>
        <v>kg N</v>
      </c>
      <c r="O115" s="108" t="s">
        <v>349</v>
      </c>
      <c r="P115" s="109">
        <f>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395</v>
      </c>
      <c r="E120" s="94"/>
      <c r="F120" s="94"/>
      <c r="G120" s="94"/>
      <c r="H120" s="92"/>
    </row>
    <row r="121" spans="1:23" ht="20.100000000000001" customHeight="1" x14ac:dyDescent="0.25"/>
    <row r="122" spans="1:23" ht="20.100000000000001" customHeight="1" x14ac:dyDescent="0.25">
      <c r="D122" s="6" t="s">
        <v>394</v>
      </c>
    </row>
    <row r="123" spans="1:23" ht="20.100000000000001" customHeight="1" x14ac:dyDescent="0.25"/>
    <row r="124" spans="1:23" ht="20.100000000000001" customHeight="1" x14ac:dyDescent="0.25">
      <c r="D124" s="104" t="s">
        <v>134</v>
      </c>
    </row>
    <row r="125" spans="1:23" ht="20.100000000000001" customHeight="1" x14ac:dyDescent="0.25">
      <c r="D125" s="103" t="s">
        <v>135</v>
      </c>
    </row>
    <row r="126" spans="1:23" ht="20.100000000000001" customHeight="1" x14ac:dyDescent="0.25">
      <c r="D126" s="54" t="s">
        <v>148</v>
      </c>
      <c r="E126" s="54" t="s">
        <v>69</v>
      </c>
      <c r="F126" s="54" t="s">
        <v>434</v>
      </c>
    </row>
    <row r="127" spans="1:23" ht="20.100000000000001" customHeight="1" x14ac:dyDescent="0.25">
      <c r="D127" s="55" t="str">
        <f>'Input - Dairy'!$D$66</f>
        <v>Milking shed</v>
      </c>
      <c r="E127" s="55" t="str">
        <f>'Input - Dairy'!$D$81</f>
        <v>Anaerobic lagoon</v>
      </c>
      <c r="F127" s="55">
        <f>'Input - Dairy'!L81</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Dairy'!$D$91</f>
        <v>Drains to paddock</v>
      </c>
      <c r="F129" s="55">
        <f>'Input - Dairy'!L91</f>
        <v>0.25</v>
      </c>
      <c r="G129" s="2"/>
    </row>
    <row r="130" spans="4:22" ht="20.100000000000001" customHeight="1" x14ac:dyDescent="0.25">
      <c r="D130" s="55" t="str">
        <f>'Input - Dairy'!$D$66</f>
        <v>Milking shed</v>
      </c>
      <c r="E130" s="55" t="s">
        <v>407</v>
      </c>
      <c r="F130" s="55">
        <f>'Input - Dairy'!L96</f>
        <v>0.25</v>
      </c>
      <c r="G130" s="2"/>
    </row>
    <row r="131" spans="4:22" ht="20.100000000000001" customHeight="1" x14ac:dyDescent="0.25">
      <c r="D131" s="55" t="str">
        <f>'Input - Dairy'!$D$67</f>
        <v>Feed pad</v>
      </c>
      <c r="E131" s="55" t="str">
        <f>'Input - Dairy'!$D$105</f>
        <v>Anaerobic lagoon</v>
      </c>
      <c r="F131" s="55">
        <f>'Input - Dairy'!L105</f>
        <v>0.25</v>
      </c>
      <c r="G131" s="2"/>
    </row>
    <row r="132" spans="4:22" ht="20.100000000000001" customHeight="1" x14ac:dyDescent="0.25">
      <c r="D132" s="55" t="str">
        <f>'Input - Dairy'!$D$67</f>
        <v>Feed pad</v>
      </c>
      <c r="E132" s="55" t="str">
        <f>'Input - Dairy'!$D$110</f>
        <v>Sump and dispersal system</v>
      </c>
      <c r="F132" s="55">
        <f>'Input - Dairy'!L110</f>
        <v>0.25</v>
      </c>
      <c r="G132" s="2"/>
    </row>
    <row r="133" spans="4:22" ht="20.100000000000001" customHeight="1" x14ac:dyDescent="0.25">
      <c r="D133" s="55" t="str">
        <f>'Input - Dairy'!$D$67</f>
        <v>Feed pad</v>
      </c>
      <c r="E133" s="55" t="str">
        <f>'Input - Dairy'!$D$115</f>
        <v>Drains to paddock</v>
      </c>
      <c r="F133" s="55">
        <f>'Input - Dairy'!L115</f>
        <v>0.25</v>
      </c>
      <c r="G133" s="2"/>
    </row>
    <row r="134" spans="4:22" ht="20.100000000000001" customHeight="1" x14ac:dyDescent="0.25">
      <c r="D134" s="55" t="str">
        <f>'Input - Dairy'!$D$67</f>
        <v>Feed pad</v>
      </c>
      <c r="E134" s="55" t="s">
        <v>407</v>
      </c>
      <c r="F134" s="55">
        <f>'Input - Dairy'!L120</f>
        <v>0.25</v>
      </c>
      <c r="G134" s="2"/>
    </row>
    <row r="135" spans="4:22" ht="20.100000000000001" customHeight="1" x14ac:dyDescent="0.25"/>
    <row r="136" spans="4:22" ht="20.100000000000001" customHeight="1" x14ac:dyDescent="0.25">
      <c r="D136" s="104" t="s">
        <v>136</v>
      </c>
      <c r="O136" s="104" t="s">
        <v>137</v>
      </c>
    </row>
    <row r="137" spans="4:22" ht="20.100000000000001" customHeight="1" x14ac:dyDescent="0.25">
      <c r="D137" s="103" t="s">
        <v>139</v>
      </c>
      <c r="O137" s="103" t="s">
        <v>138</v>
      </c>
    </row>
    <row r="138" spans="4:22" ht="20.100000000000001" customHeight="1" x14ac:dyDescent="0.25">
      <c r="D138" s="54" t="s">
        <v>148</v>
      </c>
      <c r="E138" s="54" t="s">
        <v>69</v>
      </c>
      <c r="F138" s="54" t="s">
        <v>173</v>
      </c>
      <c r="G138" s="54" t="s">
        <v>190</v>
      </c>
      <c r="H138" s="54" t="s">
        <v>191</v>
      </c>
      <c r="I138" s="54" t="s">
        <v>192</v>
      </c>
      <c r="J138" s="54" t="s">
        <v>193</v>
      </c>
      <c r="O138" s="54" t="s">
        <v>148</v>
      </c>
      <c r="P138" s="54" t="s">
        <v>69</v>
      </c>
      <c r="Q138" s="54" t="s">
        <v>173</v>
      </c>
      <c r="R138" s="54" t="s">
        <v>190</v>
      </c>
      <c r="S138" s="54" t="s">
        <v>191</v>
      </c>
      <c r="T138" s="54" t="s">
        <v>192</v>
      </c>
      <c r="U138" s="54" t="s">
        <v>193</v>
      </c>
    </row>
    <row r="139" spans="4:22" ht="20.100000000000001" customHeight="1" x14ac:dyDescent="0.25">
      <c r="D139" s="55" t="str">
        <f>'Input - Dairy'!$D$66</f>
        <v>Milking shed</v>
      </c>
      <c r="E139" s="55" t="str">
        <f>'Input - Dairy'!$D$81</f>
        <v>Anaerobic lagoon</v>
      </c>
      <c r="F139" s="55" cm="1">
        <f t="array" ref="F139">MMS_Dairy_ManureAppliedToSoils_Equations.VEERG_4_3_1_8__1_MassOfNitrogenAppliedToSoilsScope1(F40,_xlfn.XLOOKUP($E139,$D$22:$D$26,$E$22:$E$26),_xlfn.XLOOKUP($E139,$D$31:$D$35,$E$31:$E$35),F52,$F127)</f>
        <v>76.202653892885763</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'Input - Dairy'!$D$66</f>
        <v>Milking shed</v>
      </c>
      <c r="P139" s="55" t="str">
        <f>'Input - Dairy'!$D$81</f>
        <v>Anaerobic lagoon</v>
      </c>
      <c r="Q139" s="55" cm="1">
        <f t="array" ref="Q139">MMS_Dairy_ManureAppliedToSoils_Equations.VEERG_4_3_1_8__1_MassOfNitrogenAppliedToSoilsScope1(Q40,_xlfn.XLOOKUP($P139,$D$22:$D$26,$E$22:$E$26),_xlfn.XLOOKUP($P139,$D$31:$D$35,$E$31:$E$35),Q52,$F127)</f>
        <v>76.202653892885763</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Dairy'!$D$91</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Dairy'!$D$91</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407</v>
      </c>
      <c r="F142" s="55" cm="1">
        <f t="array" ref="F142">MMS_Dairy_ManureAppliedToSoils_Equations.VEERG_4_3_1_8__1_MassOfNitrogenAppliedToSoilsScope1(F43,_xlfn.XLOOKUP($E142,$D$22:$D$26,$E$22:$E$26),_xlfn.XLOOKUP($E142,$D$31:$D$35,$E$31:$E$35),F55,$F130)</f>
        <v>158.26705039291659</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'Input - Dairy'!$D$66</f>
        <v>Milking shed</v>
      </c>
      <c r="P142" s="55" t="s">
        <v>407</v>
      </c>
      <c r="Q142" s="55" cm="1">
        <f t="array" ref="Q142">MMS_Dairy_ManureAppliedToSoils_Equations.VEERG_4_3_1_8__1_MassOfNitrogenAppliedToSoilsScope1(Q43,_xlfn.XLOOKUP($P142,$D$22:$D$26,$E$22:$E$26),_xlfn.XLOOKUP($P142,$D$31:$D$35,$E$31:$E$35),Q55,$F130)</f>
        <v>158.26705039291659</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'Input - Dairy'!$D$67</f>
        <v>Feed pad</v>
      </c>
      <c r="E143" s="55" t="str">
        <f>'Input - Dairy'!$D$105</f>
        <v>Anaerobic lagoon</v>
      </c>
      <c r="F143" s="55" cm="1">
        <f t="array" ref="F143">MMS_Dairy_ManureAppliedToSoils_Equations.VEERG_4_3_1_8__1_MassOfNitrogenAppliedToSoilsScope1(F44,_xlfn.XLOOKUP($E143,$D$22:$D$26,$E$22:$E$26),_xlfn.XLOOKUP($E143,$D$31:$D$35,$E$31:$E$35),F56,$F131)</f>
        <v>308.27437256667417</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'Input - Dairy'!$D$67</f>
        <v>Feed pad</v>
      </c>
      <c r="P143" s="55" t="str">
        <f>'Input - Dairy'!$D$105</f>
        <v>Anaerobic lagoon</v>
      </c>
      <c r="Q143" s="55" cm="1">
        <f t="array" ref="Q143">MMS_Dairy_ManureAppliedToSoils_Equations.VEERG_4_3_1_8__1_MassOfNitrogenAppliedToSoilsScope1(Q44,_xlfn.XLOOKUP($P143,$D$22:$D$26,$E$22:$E$26),_xlfn.XLOOKUP($P143,$D$31:$D$35,$E$31:$E$35),Q56,$F131)</f>
        <v>308.27437256667417</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'Input - Dairy'!$D$67</f>
        <v>Feed pad</v>
      </c>
      <c r="E144" s="55" t="str">
        <f>'Input - Dairy'!$D$110</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Dairy'!$D$110</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Dairy'!$D$115</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Dairy'!$D$115</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407</v>
      </c>
      <c r="F146" s="55" cm="1">
        <f t="array" ref="F146">MMS_Dairy_ManureAppliedToSoils_Equations.VEERG_4_3_1_8__1_MassOfNitrogenAppliedToSoilsScope1(F47,_xlfn.XLOOKUP($E146,$D$22:$D$26,$E$22:$E$26),_xlfn.XLOOKUP($E146,$D$31:$D$35,$E$31:$E$35),F59,$F134)</f>
        <v>448.18351088539555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'Input - Dairy'!$D$67</f>
        <v>Feed pad</v>
      </c>
      <c r="P146" s="55" t="s">
        <v>407</v>
      </c>
      <c r="Q146" s="55" cm="1">
        <f t="array" ref="Q146">MMS_Dairy_ManureAppliedToSoils_Equations.VEERG_4_3_1_8__1_MassOfNitrogenAppliedToSoilsScope1(Q47,_xlfn.XLOOKUP($P146,$D$22:$D$26,$E$22:$E$26),_xlfn.XLOOKUP($P146,$D$31:$D$35,$E$31:$E$35),Q59,$F134)</f>
        <v>448.18351088539555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140</v>
      </c>
      <c r="E148" s="109">
        <f>SUM(F139:J146)</f>
        <v>4139.1577931583588</v>
      </c>
      <c r="F148" s="110" t="str">
        <f>$E$95</f>
        <v>kg N</v>
      </c>
      <c r="O148" s="108" t="s">
        <v>140</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27" workbookViewId="0">
      <selection activeCell="P53" sqref="P5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354</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31</v>
      </c>
      <c r="E10" s="1" t="str" cm="1">
        <f t="array" ref="E10">MMS_Dairy_N2ODirect_Equations.VEERG_4_3_1_3__2_TotalNitrogenInEachMMS_Variable()</f>
        <v>MN_jm</v>
      </c>
    </row>
    <row r="11" spans="1:23" ht="20.100000000000001" customHeight="1" x14ac:dyDescent="0.25">
      <c r="A11" s="19" t="s">
        <v>78</v>
      </c>
      <c r="D11" s="56" t="s">
        <v>21</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122</v>
      </c>
      <c r="O16" s="104" t="s">
        <v>469</v>
      </c>
    </row>
    <row r="17" spans="1:22" ht="20.100000000000001" customHeight="1" x14ac:dyDescent="0.25">
      <c r="A17" s="22" t="str">
        <f>HYPERLINK("#'4.3.1.9 Soil direct N2O'!A1", "4.3.1.9 Soil direct N2O")</f>
        <v>4.3.1.9 Soil direct N2O</v>
      </c>
      <c r="D17" s="103" t="s">
        <v>357</v>
      </c>
      <c r="O17" s="103" t="s">
        <v>468</v>
      </c>
    </row>
    <row r="18" spans="1:22" ht="20.100000000000001" customHeight="1" x14ac:dyDescent="0.25">
      <c r="A18" s="17" t="str">
        <f>HYPERLINK("#'4.3.1.10-11 Soil Atmos Dep'!A1", "4.3.1.10-11 Soil atm. deposition")</f>
        <v>4.3.1.10-11 Soil atm. deposition</v>
      </c>
      <c r="D18" s="54" t="s">
        <v>173</v>
      </c>
      <c r="E18" s="54" t="s">
        <v>190</v>
      </c>
      <c r="F18" s="54" t="s">
        <v>191</v>
      </c>
      <c r="G18" s="54" t="s">
        <v>192</v>
      </c>
      <c r="H18" s="54" t="s">
        <v>193</v>
      </c>
      <c r="O18" s="54" t="s">
        <v>173</v>
      </c>
      <c r="P18" s="54" t="s">
        <v>190</v>
      </c>
      <c r="Q18" s="54" t="s">
        <v>191</v>
      </c>
      <c r="R18" s="54" t="s">
        <v>192</v>
      </c>
      <c r="S18" s="54" t="s">
        <v>193</v>
      </c>
    </row>
    <row r="19" spans="1:22" ht="20.100000000000001" customHeight="1" x14ac:dyDescent="0.25">
      <c r="A19" s="17" t="str">
        <f>HYPERLINK("#'4.3.1.12-13 Soil leach runoff'!A1", "4.3.1.12-13 Soil leach &amp; runoff")</f>
        <v>4.3.1.12-13 Soil leach &amp; runoff</v>
      </c>
      <c r="D19" s="55">
        <f>'4.3.1.3-4 Direct N20'!D176</f>
        <v>21315.427662345664</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21315.427662345664</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355</v>
      </c>
      <c r="O22" s="104" t="s">
        <v>424</v>
      </c>
    </row>
    <row r="23" spans="1:22" ht="20.100000000000001" customHeight="1" x14ac:dyDescent="0.25">
      <c r="A23" s="17" t="str">
        <f>HYPERLINK("#'Constants - Livestock'!A1", "Constants - Livestock")</f>
        <v>Constants - Livestock</v>
      </c>
      <c r="D23" s="103" t="s">
        <v>356</v>
      </c>
      <c r="O23" s="103" t="s">
        <v>425</v>
      </c>
    </row>
    <row r="24" spans="1:22" ht="20.100000000000001" customHeight="1" x14ac:dyDescent="0.25">
      <c r="A24" s="17" t="str">
        <f>HYPERLINK("#'Constants - Common'!A1", "Constants - Common")</f>
        <v>Constants - Common</v>
      </c>
      <c r="D24" s="41" t="s">
        <v>148</v>
      </c>
      <c r="E24" s="41" t="s">
        <v>69</v>
      </c>
      <c r="F24" s="41" t="s">
        <v>173</v>
      </c>
      <c r="G24" s="41" t="s">
        <v>190</v>
      </c>
      <c r="H24" s="41" t="s">
        <v>191</v>
      </c>
      <c r="I24" s="41" t="s">
        <v>192</v>
      </c>
      <c r="J24" s="41" t="s">
        <v>193</v>
      </c>
      <c r="O24" s="41" t="s">
        <v>148</v>
      </c>
      <c r="P24" s="41" t="s">
        <v>69</v>
      </c>
      <c r="Q24" s="41" t="s">
        <v>173</v>
      </c>
      <c r="R24" s="41" t="s">
        <v>190</v>
      </c>
      <c r="S24" s="41" t="s">
        <v>191</v>
      </c>
      <c r="T24" s="41" t="s">
        <v>192</v>
      </c>
      <c r="U24" s="41" t="s">
        <v>193</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358</v>
      </c>
      <c r="O28" s="104" t="s">
        <v>360</v>
      </c>
    </row>
    <row r="29" spans="1:22" ht="20.100000000000001" customHeight="1" x14ac:dyDescent="0.25">
      <c r="D29" s="103" t="s">
        <v>359</v>
      </c>
      <c r="O29" s="103" t="s">
        <v>361</v>
      </c>
    </row>
    <row r="30" spans="1:22" ht="20.100000000000001" customHeight="1" x14ac:dyDescent="0.25">
      <c r="D30" s="54" t="s">
        <v>148</v>
      </c>
      <c r="E30" s="54" t="s">
        <v>69</v>
      </c>
      <c r="F30" s="54" t="s">
        <v>173</v>
      </c>
      <c r="G30" s="54" t="s">
        <v>190</v>
      </c>
      <c r="H30" s="54" t="s">
        <v>191</v>
      </c>
      <c r="I30" s="54" t="s">
        <v>192</v>
      </c>
      <c r="J30" s="54" t="s">
        <v>193</v>
      </c>
      <c r="O30" s="54" t="s">
        <v>148</v>
      </c>
      <c r="P30" s="54" t="s">
        <v>69</v>
      </c>
      <c r="Q30" s="54" t="s">
        <v>173</v>
      </c>
      <c r="R30" s="54" t="s">
        <v>190</v>
      </c>
      <c r="S30" s="54" t="s">
        <v>191</v>
      </c>
      <c r="T30" s="54" t="s">
        <v>192</v>
      </c>
      <c r="U30" s="54" t="s">
        <v>193</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MMS_Dairy_N2ODirect_Equations.VEERG_4_3_1_3__2_TotalNitrogenInEachMMS(O19,Q25)</f>
        <v>11382.438371692586</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111</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124</v>
      </c>
      <c r="O48" s="104" t="s">
        <v>364</v>
      </c>
    </row>
    <row r="49" spans="1:22" ht="20.100000000000001" customHeight="1" x14ac:dyDescent="0.25">
      <c r="D49" s="103" t="s">
        <v>363</v>
      </c>
      <c r="O49" s="103" t="s">
        <v>365</v>
      </c>
    </row>
    <row r="50" spans="1:22" ht="20.100000000000001" customHeight="1" x14ac:dyDescent="0.25">
      <c r="D50" s="54" t="s">
        <v>148</v>
      </c>
      <c r="E50" s="54" t="s">
        <v>69</v>
      </c>
      <c r="F50" s="54" t="s">
        <v>173</v>
      </c>
      <c r="G50" s="54" t="s">
        <v>190</v>
      </c>
      <c r="H50" s="54" t="s">
        <v>191</v>
      </c>
      <c r="I50" s="54" t="s">
        <v>192</v>
      </c>
      <c r="J50" s="54" t="s">
        <v>193</v>
      </c>
      <c r="O50" s="54" t="s">
        <v>148</v>
      </c>
      <c r="P50" s="54" t="s">
        <v>69</v>
      </c>
      <c r="Q50" s="54" t="s">
        <v>173</v>
      </c>
      <c r="R50" s="54" t="s">
        <v>190</v>
      </c>
      <c r="S50" s="54" t="s">
        <v>191</v>
      </c>
      <c r="T50" s="54" t="s">
        <v>192</v>
      </c>
      <c r="U50" s="54" t="s">
        <v>193</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123</v>
      </c>
      <c r="E53" s="109">
        <f>SUM(F51:J51)</f>
        <v>8.0033058384947273E-2</v>
      </c>
      <c r="F53" s="110" t="str">
        <f>$E$41</f>
        <v>t N2O</v>
      </c>
      <c r="O53" s="108" t="s">
        <v>123</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110</v>
      </c>
      <c r="E58" s="48" cm="1">
        <f t="array" ref="E58">Common_Equations.Common_ConvertN2OToCO2e(G55,G56)</f>
        <v>21.208760472011026</v>
      </c>
      <c r="F58" s="112" t="str" cm="1">
        <f t="array" ref="F58">Common_Equations.Common_ConvertN2OToCO2e_Unit()</f>
        <v>t CO2e</v>
      </c>
      <c r="O58" s="48" t="s">
        <v>110</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H22" workbookViewId="0">
      <selection activeCell="P45" sqref="P4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373</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MMS_Dairy_Soil_AtmosphericDeposition_Equations.VEERG_4_3_1_10__2_MassOfNitrogenVolatilisedOnPasture_Variable()</f>
        <v>M_vol_m14</v>
      </c>
    </row>
    <row r="11" spans="1:23" ht="20.100000000000001" customHeight="1" x14ac:dyDescent="0.25">
      <c r="A11" s="19" t="s">
        <v>78</v>
      </c>
      <c r="D11" s="56" t="s">
        <v>21</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Dairy'!$D$221</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358</v>
      </c>
      <c r="M16" s="59"/>
      <c r="O16" s="104" t="s">
        <v>360</v>
      </c>
    </row>
    <row r="17" spans="1:23" ht="20.100000000000001" customHeight="1" x14ac:dyDescent="0.25">
      <c r="A17" s="17" t="str">
        <f>HYPERLINK("#'4.3.1.9 Soil direct N2O'!A1", "4.3.1.9 Soil direct N2O")</f>
        <v>4.3.1.9 Soil direct N2O</v>
      </c>
      <c r="D17" s="103" t="s">
        <v>359</v>
      </c>
      <c r="M17" s="59"/>
      <c r="O17" s="103" t="s">
        <v>361</v>
      </c>
    </row>
    <row r="18" spans="1:23" ht="20.100000000000001" customHeight="1" x14ac:dyDescent="0.25">
      <c r="A18" s="22" t="str">
        <f>HYPERLINK("#'4.3.1.10-11 Soil Atmos Dep'!A1", "4.3.1.10-11 Soil atm. deposition")</f>
        <v>4.3.1.10-11 Soil atm. deposition</v>
      </c>
      <c r="D18" s="54" t="s">
        <v>148</v>
      </c>
      <c r="E18" s="54" t="s">
        <v>69</v>
      </c>
      <c r="F18" s="54" t="s">
        <v>173</v>
      </c>
      <c r="G18" s="54" t="s">
        <v>190</v>
      </c>
      <c r="H18" s="54" t="s">
        <v>191</v>
      </c>
      <c r="I18" s="54" t="s">
        <v>192</v>
      </c>
      <c r="J18" s="54" t="s">
        <v>193</v>
      </c>
      <c r="M18" s="59"/>
      <c r="O18" s="54" t="s">
        <v>148</v>
      </c>
      <c r="P18" s="54" t="s">
        <v>69</v>
      </c>
      <c r="Q18" s="54" t="s">
        <v>173</v>
      </c>
      <c r="R18" s="54" t="s">
        <v>190</v>
      </c>
      <c r="S18" s="54" t="s">
        <v>191</v>
      </c>
      <c r="T18" s="54" t="s">
        <v>192</v>
      </c>
      <c r="U18" s="54" t="s">
        <v>193</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11382.438371692586</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11382.438371692586</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366</v>
      </c>
      <c r="O21" s="104" t="s">
        <v>368</v>
      </c>
    </row>
    <row r="22" spans="1:23" ht="20.100000000000001" customHeight="1" x14ac:dyDescent="0.25">
      <c r="A22" s="17" t="str">
        <f>HYPERLINK("#'Constants - Dairy'!A1", "Constants - Dairy")</f>
        <v>Constants - Dairy</v>
      </c>
      <c r="D22" s="103" t="s">
        <v>367</v>
      </c>
      <c r="O22" s="103" t="s">
        <v>369</v>
      </c>
    </row>
    <row r="23" spans="1:23" ht="20.100000000000001" customHeight="1" x14ac:dyDescent="0.25">
      <c r="A23" s="17" t="str">
        <f>HYPERLINK("#'Constants - Livestock'!A1", "Constants - Livestock")</f>
        <v>Constants - Livestock</v>
      </c>
      <c r="D23" s="54" t="s">
        <v>148</v>
      </c>
      <c r="E23" s="54" t="s">
        <v>69</v>
      </c>
      <c r="F23" s="54" t="s">
        <v>173</v>
      </c>
      <c r="G23" s="54" t="s">
        <v>190</v>
      </c>
      <c r="H23" s="54" t="s">
        <v>191</v>
      </c>
      <c r="I23" s="54" t="s">
        <v>192</v>
      </c>
      <c r="J23" s="54" t="s">
        <v>193</v>
      </c>
      <c r="O23" s="54" t="s">
        <v>148</v>
      </c>
      <c r="P23" s="54" t="s">
        <v>69</v>
      </c>
      <c r="Q23" s="54" t="s">
        <v>173</v>
      </c>
      <c r="R23" s="54" t="s">
        <v>190</v>
      </c>
      <c r="S23" s="54" t="s">
        <v>191</v>
      </c>
      <c r="T23" s="54" t="s">
        <v>192</v>
      </c>
      <c r="U23" s="54" t="s">
        <v>193</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380</v>
      </c>
      <c r="E26" s="48">
        <f>SUM(F24:J24)</f>
        <v>5347.6634466305668</v>
      </c>
      <c r="F26" s="112" t="str">
        <f>$E$11</f>
        <v>kg N</v>
      </c>
      <c r="O26" s="118" t="s">
        <v>380</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Dairy'!$E$125</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Dairy'!$E$126</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155</v>
      </c>
      <c r="E45" s="109" cm="1">
        <f t="array" ref="E45">MMS_Dairy_Soil_AtmosphericDeposition_Equations.VEERG_4_3_1_10__1_AtmosphericDepositionEmissionsFromUrineAndDungOnPasture($I$38,$I$39,$I$40)</f>
        <v>4.958047966947482E-2</v>
      </c>
      <c r="F45" s="110" t="str">
        <f>$E$36</f>
        <v>t N2O</v>
      </c>
      <c r="O45" s="108" t="s">
        <v>155</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110</v>
      </c>
      <c r="E50" s="48" cm="1">
        <f t="array" ref="E50">Common_Equations.Common_ConvertN2OToCO2e(G47,G48)</f>
        <v>13.138827112410826</v>
      </c>
      <c r="F50" s="112" t="str" cm="1">
        <f t="array" ref="F50">Common_Equations.Common_ConvertN2OToCO2e_Unit()</f>
        <v>t CO2e</v>
      </c>
      <c r="O50" s="48" t="s">
        <v>110</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topLeftCell="H22"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372</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MMS_Dairy_Soil_LeachingAndRunoff.VEERG_4_3_1_12__2_MassOfNitrogenLostToLeachingAndRunoffOnPasture_Variable()</f>
        <v>M_leach_m14</v>
      </c>
    </row>
    <row r="11" spans="1:23" ht="20.100000000000001" customHeight="1" x14ac:dyDescent="0.25">
      <c r="A11" s="19" t="s">
        <v>78</v>
      </c>
      <c r="D11" s="56" t="s">
        <v>21</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Dairy'!$E$125</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358</v>
      </c>
      <c r="M20" s="59"/>
      <c r="O20" s="104" t="s">
        <v>360</v>
      </c>
    </row>
    <row r="21" spans="1:22" ht="20.100000000000001" customHeight="1" x14ac:dyDescent="0.25">
      <c r="A21" s="18" t="s">
        <v>4</v>
      </c>
      <c r="D21" s="103" t="s">
        <v>359</v>
      </c>
      <c r="M21" s="59"/>
      <c r="O21" s="103" t="s">
        <v>361</v>
      </c>
    </row>
    <row r="22" spans="1:22" ht="20.100000000000001" customHeight="1" x14ac:dyDescent="0.25">
      <c r="A22" s="17" t="str">
        <f>HYPERLINK("#'Constants - Dairy'!A1", "Constants - Dairy")</f>
        <v>Constants - Dairy</v>
      </c>
      <c r="D22" s="54" t="s">
        <v>148</v>
      </c>
      <c r="E22" s="54" t="s">
        <v>69</v>
      </c>
      <c r="F22" s="54" t="s">
        <v>173</v>
      </c>
      <c r="G22" s="54" t="s">
        <v>190</v>
      </c>
      <c r="H22" s="54" t="s">
        <v>191</v>
      </c>
      <c r="I22" s="54" t="s">
        <v>192</v>
      </c>
      <c r="J22" s="54" t="s">
        <v>193</v>
      </c>
      <c r="M22" s="59"/>
      <c r="O22" s="54" t="s">
        <v>148</v>
      </c>
      <c r="P22" s="54" t="s">
        <v>69</v>
      </c>
      <c r="Q22" s="54" t="s">
        <v>173</v>
      </c>
      <c r="R22" s="54" t="s">
        <v>190</v>
      </c>
      <c r="S22" s="54" t="s">
        <v>191</v>
      </c>
      <c r="T22" s="54" t="s">
        <v>192</v>
      </c>
      <c r="U22" s="54" t="s">
        <v>193</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11382.438371692586</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11382.438371692586</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374</v>
      </c>
      <c r="O25" s="104" t="s">
        <v>376</v>
      </c>
    </row>
    <row r="26" spans="1:22" ht="20.100000000000001" customHeight="1" x14ac:dyDescent="0.25">
      <c r="D26" s="103" t="s">
        <v>375</v>
      </c>
      <c r="O26" s="103" t="s">
        <v>377</v>
      </c>
    </row>
    <row r="27" spans="1:22" ht="20.100000000000001" customHeight="1" x14ac:dyDescent="0.25">
      <c r="D27" s="54" t="s">
        <v>148</v>
      </c>
      <c r="E27" s="54" t="s">
        <v>69</v>
      </c>
      <c r="F27" s="54" t="s">
        <v>173</v>
      </c>
      <c r="G27" s="54" t="s">
        <v>190</v>
      </c>
      <c r="H27" s="54" t="s">
        <v>191</v>
      </c>
      <c r="I27" s="54" t="s">
        <v>192</v>
      </c>
      <c r="J27" s="54" t="s">
        <v>193</v>
      </c>
      <c r="O27" s="54" t="s">
        <v>148</v>
      </c>
      <c r="P27" s="54" t="s">
        <v>69</v>
      </c>
      <c r="Q27" s="54" t="s">
        <v>173</v>
      </c>
      <c r="R27" s="54" t="s">
        <v>190</v>
      </c>
      <c r="S27" s="54" t="s">
        <v>191</v>
      </c>
      <c r="T27" s="54" t="s">
        <v>192</v>
      </c>
      <c r="U27" s="54" t="s">
        <v>193</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2731.7852092062203</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2731.7852092062203</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379</v>
      </c>
      <c r="E30" s="48">
        <f>SUM(F28:J28)</f>
        <v>6111.6153675777914</v>
      </c>
      <c r="F30" s="112" t="str">
        <f>$E$11</f>
        <v>kg N</v>
      </c>
      <c r="O30" s="118" t="s">
        <v>379</v>
      </c>
      <c r="P30" s="48">
        <f>SUM(Q28:U28)</f>
        <v>6111.6153675777914</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6111.6153675777914</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6111.6153675777914</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378</v>
      </c>
      <c r="E47" s="109" cm="1">
        <f t="array" ref="E47">MMS_Dairy_Soil_LeachingAndRunoff.VEERG_4_3_1_12__1_LeachingAndRunoffEmissionsFromUrineAndDungOnPasture($J$43,$J$44,$J$45)</f>
        <v>0.10564363706813039</v>
      </c>
      <c r="F47" s="110" t="str">
        <f>$E$41</f>
        <v>t N2O</v>
      </c>
      <c r="O47" s="108" t="s">
        <v>378</v>
      </c>
      <c r="P47" s="109" cm="1">
        <f t="array" ref="P47">MMS_Dairy_Soil_LeachingAndRunoff.VEERG_4_3_1_12__1_LeachingAndRunoffEmissionsFromUrineAndDungOnPasture($U$43,$J$44,$J$45)</f>
        <v>0.10564363706813039</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0.10564363706813039</v>
      </c>
      <c r="O49" s="60" t="str" cm="1">
        <f t="array" ref="O49:P50">Common_Equations.Common_ConvertN2OToCO2e_Arguments()</f>
        <v>EN2O</v>
      </c>
      <c r="P49" s="61" t="str">
        <v>Nitrous oxide emissions (t N2O)</v>
      </c>
      <c r="Q49" s="111"/>
      <c r="R49" s="55">
        <f>P47</f>
        <v>0.10564363706813039</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110</v>
      </c>
      <c r="E52" s="48" cm="1">
        <f t="array" ref="E52">Common_Equations.Common_ConvertN2OToCO2e(G49,G50)</f>
        <v>27.995563823054553</v>
      </c>
      <c r="F52" s="112" t="str" cm="1">
        <f t="array" ref="F52">Common_Equations.Common_ConvertN2OToCO2e_Unit()</f>
        <v>t CO2e</v>
      </c>
      <c r="O52" s="48" t="s">
        <v>110</v>
      </c>
      <c r="P52" s="48" cm="1">
        <f t="array" ref="P52">Common_Equations.Common_ConvertN2OToCO2e(R49,R50)</f>
        <v>27.995563823054553</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92" zoomScale="85" zoomScaleNormal="85" workbookViewId="0">
      <selection activeCell="D215" sqref="D215"/>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438</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170</v>
      </c>
      <c r="G5" s="6" t="s">
        <v>171</v>
      </c>
      <c r="J5" s="6" t="s">
        <v>149</v>
      </c>
      <c r="M5" s="1"/>
    </row>
    <row r="6" spans="1:21" ht="20.100000000000001" customHeight="1" x14ac:dyDescent="0.25">
      <c r="A6" s="16"/>
      <c r="M6" s="1"/>
    </row>
    <row r="7" spans="1:21" ht="20.100000000000001" customHeight="1" x14ac:dyDescent="0.25">
      <c r="A7" s="20" t="s">
        <v>3</v>
      </c>
      <c r="D7" s="102" t="s">
        <v>69</v>
      </c>
      <c r="E7" s="39" t="s">
        <v>83</v>
      </c>
      <c r="G7" s="39" t="s">
        <v>148</v>
      </c>
      <c r="J7" s="39" t="s">
        <v>146</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150</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151</v>
      </c>
      <c r="M9" s="1"/>
    </row>
    <row r="10" spans="1:21" ht="20.100000000000001" customHeight="1" x14ac:dyDescent="0.25">
      <c r="A10" s="17"/>
      <c r="D10" s="39" t="str">
        <f>'Constants - Livestock'!$E$14</f>
        <v>Drains to paddock</v>
      </c>
      <c r="E10" s="39" t="str">
        <f>'Constants - Livestock'!$F$14</f>
        <v>Drains to paddock (m=3b)</v>
      </c>
      <c r="J10" s="1" t="s">
        <v>152</v>
      </c>
      <c r="M10" s="1"/>
    </row>
    <row r="11" spans="1:21" ht="20.100000000000001" customHeight="1" x14ac:dyDescent="0.25">
      <c r="A11" s="19" t="s">
        <v>78</v>
      </c>
      <c r="D11" s="39" t="str">
        <f>'Constants - Livestock'!$E$15</f>
        <v>Solid storage</v>
      </c>
      <c r="E11" s="39" t="str">
        <f>'Constants - Livestock'!$F$15</f>
        <v>Solid storage (m=4)</v>
      </c>
      <c r="J11" s="1" t="s">
        <v>153</v>
      </c>
      <c r="M11" s="1"/>
    </row>
    <row r="12" spans="1:21" ht="20.100000000000001" customHeight="1" x14ac:dyDescent="0.25">
      <c r="A12" s="17" t="str">
        <f>HYPERLINK("#'4.3.1.1-2 Methane'!A1", "4.3.1.1-2 Methane")</f>
        <v>4.3.1.1-2 Methane</v>
      </c>
      <c r="J12" s="1" t="s">
        <v>154</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172</v>
      </c>
      <c r="E21" s="39" t="s">
        <v>173</v>
      </c>
      <c r="F21" s="39" t="s">
        <v>174</v>
      </c>
      <c r="G21" s="39" t="s">
        <v>175</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172</v>
      </c>
      <c r="E38" s="39" t="s">
        <v>177</v>
      </c>
      <c r="F38" s="39" t="s">
        <v>176</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173</v>
      </c>
      <c r="E46" s="39" t="s">
        <v>174</v>
      </c>
      <c r="F46" s="39" t="s">
        <v>175</v>
      </c>
      <c r="G46" s="39" t="s">
        <v>177</v>
      </c>
      <c r="H46" s="39" t="s">
        <v>176</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173</v>
      </c>
      <c r="E54" s="125" t="s">
        <v>174</v>
      </c>
      <c r="F54" s="125" t="s">
        <v>175</v>
      </c>
      <c r="G54" s="125" t="s">
        <v>177</v>
      </c>
      <c r="H54" s="125" t="s">
        <v>176</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178</v>
      </c>
      <c r="E62" s="39" t="s">
        <v>179</v>
      </c>
      <c r="F62" s="39" t="s">
        <v>180</v>
      </c>
      <c r="G62" s="39" t="s">
        <v>181</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102</v>
      </c>
      <c r="E72" s="39" t="s">
        <v>84</v>
      </c>
      <c r="F72" s="39" t="s">
        <v>85</v>
      </c>
      <c r="G72" s="39" t="s">
        <v>86</v>
      </c>
      <c r="H72" s="39" t="s">
        <v>87</v>
      </c>
      <c r="I72" s="39" t="s">
        <v>88</v>
      </c>
      <c r="J72" s="39" t="s">
        <v>89</v>
      </c>
      <c r="K72" s="39" t="s">
        <v>90</v>
      </c>
      <c r="L72" s="39" t="s">
        <v>91</v>
      </c>
      <c r="M72" s="39" t="s">
        <v>189</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182</v>
      </c>
      <c r="F86" s="39" t="s">
        <v>183</v>
      </c>
      <c r="G86" s="39" t="s">
        <v>189</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178</v>
      </c>
      <c r="E98" s="39" t="s">
        <v>184</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178</v>
      </c>
      <c r="E107" s="39" t="s">
        <v>185</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186</v>
      </c>
      <c r="E116" s="39" t="s">
        <v>147</v>
      </c>
      <c r="F116" s="39" t="s">
        <v>187</v>
      </c>
      <c r="G116" s="39" t="s">
        <v>188</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182</v>
      </c>
      <c r="F128" s="39" t="s">
        <v>189</v>
      </c>
      <c r="G128" s="114" t="s">
        <v>204</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178</v>
      </c>
      <c r="E141" s="39" t="s">
        <v>199</v>
      </c>
      <c r="F141" s="39" t="s">
        <v>200</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327</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143</v>
      </c>
      <c r="E186" s="39" t="s">
        <v>144</v>
      </c>
      <c r="F186" s="39" t="s">
        <v>145</v>
      </c>
      <c r="G186" s="39" t="s">
        <v>146</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362</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391</v>
      </c>
      <c r="E212" s="39" t="s">
        <v>392</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401</v>
      </c>
      <c r="F231" s="38" t="s">
        <v>402</v>
      </c>
      <c r="G231" s="39" t="s">
        <v>403</v>
      </c>
      <c r="H231" s="39" t="s">
        <v>404</v>
      </c>
      <c r="I231" s="39" t="s">
        <v>405</v>
      </c>
      <c r="J231" s="39" t="s">
        <v>406</v>
      </c>
      <c r="K231" s="39" t="s">
        <v>407</v>
      </c>
      <c r="L231" s="39" t="s">
        <v>408</v>
      </c>
      <c r="M231" s="39" t="s">
        <v>409</v>
      </c>
      <c r="N231" s="39" t="s">
        <v>410</v>
      </c>
      <c r="O231" s="39" t="s">
        <v>411</v>
      </c>
      <c r="P231" s="39" t="s">
        <v>412</v>
      </c>
      <c r="Q231" s="39" t="s">
        <v>413</v>
      </c>
      <c r="R231" s="39" t="s">
        <v>414</v>
      </c>
      <c r="S231" s="39" t="s">
        <v>415</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470</v>
      </c>
      <c r="E257" s="39" t="s">
        <v>471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82</v>
      </c>
      <c r="E9" s="39" t="s">
        <v>22</v>
      </c>
      <c r="F9" s="39" t="s">
        <v>83</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78</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FwAdQAwADAAMgA3AFIAZQBmAGUAcgBlAG4AYwBlAFwAdQAwADAAMgA3ACwAIABhAHMAIAB0AGgAZQAgAHYAYQBsAHUAZQAgAGkAcwAgAGMAbwBuAHMAaQBzAHQAZQBuAHQAbAB5ACAAXAB1ADAAMAAyADcARABhAGkAcgB5ACAAQQB1AHMAdAByAGEAbABpAGEAIABbADEAXQBcAHUAMAAwADIANwAgAGEAbgBkACAAaQBzACAAbgBvAHQAIAB1AHMAZQBkACAAaQBuACAAYwBhAGwAYwB1AGwAYQB0AGkAbwBuAC4AXAAiACkAOwBcAG4AXABuAFMAbwB1AHIAYwBlAEQAYQB0AGEAXwBEAGEAaQByAHkAXwBMAGkAdgBlAHcAZQBpAGcAaAB0AEMAbwB3AHMAQQBuAGQASABlAGkAZgBlAHIAcwBfAEQAYQB0AGEAXABuACAAIAA9AEwAQQBNAEIARABBACgAXABuACAAIAAgACAATQBBAEsARQBBAFIAUgBBAFkAKAAxADEALAAgADQALABcAG4AIAAgACAAIAAgACAATABBAE0AQgBEAEEAKAByACwAYwAsAFwAbgAgACAAIAAgACAAIAAgACAASQBOAEQARQBYACgAewBcAG4AIAAgACAAIAAgACAAIAAgACAAIABcACIAQgByAGUAZQBkAFwAIgAsACAAXAAiAE0AaQBsAGsAaQBuAGcAIABDAG8AdwBzAFwAIgAsACAAXAAiAEgAZQBpAGYAZQByAHMAIABcAHUAMAAwADMAZQAxAFwAIgAsACAAXAAiAEgAZQBpAGYAZQByAHMAIABcAHUAMAAwADMAYw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BcAHUAMAAwADMAZQAxAFwAIgAsACAAXAAiAEIAdQBsAGwAcwAgAFwAdQAwADAAMwBj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UAOQAwACwAIAA1ADkAMAAsACAANQA5ADAALAAgADcANwAwACwAIAA3ADc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AAcgBlAFcAZQBhAG4AZQBkAEMAYQBsAHYAZQBzAFwAbgBUAGEAYgBsAGUAIABBAC4AMQAuADMALgA1ADoAIABEAGEAaQByAHkAIABjAGEAdAB0AGwAZQAgAC0AIABEAGEAdABhACAAZgBvAHIAIABwAHIAZQAgAC0AIAB3AGUAYQBuAGUAZAAgAGMAYQBsAHYAZQBzAFwAbgAtAC0ALQAtAC0ALQAtAC0ALQAtAC0ALQAtAC0ALQAtAC0ALQAtAC0ALQAtAC0ALQAtAC0ALQAtAC0ALQAtAC0ALQAtAC0ALQAtAC0AXABuACoALwBcAG4AXABuAFMAbwB1AHIAYwBlAEQAYQB0AGEAXwBEAGEAaQByAHkAXwBQAHIAZQBXAGUAYQBuAGUAZABDAGEAbAB2AGUAcwBfAFQAaQB0AGwAZQBcAG4AIAAgAD0ATABBAE0AQgBEAEEAKABcACIAVABhAGIAbABlACAAQQAuADEALgAzAC4ANQA6ACAARABhAGkAcgB5ACAAYwBhAHQAdABsAGUAIAAtACAARABhAHQAYQAgAGYAbwByACAAcAByAGUAIAAtACAAdwBlAGEAbgBlAGQAIABjAGEAbAB2AGUAcwBcACIAKQA7AFwAbgBcAG4AUwBvAHUAcgBjAGUARABhAHQAYQBfAEQAYQBpAHIAeQBfAFAAcgBlAFcAZQBhAG4AZQBkAEMAYQBsAHYAZQBzAF8AVgBhAHIAaQBhAGIAbABlAFwAbgAgACAAPQBMAEEATQBCAEQAQQAoAFwAIgBWAFMAagA9ADMALAA1ADsAIABOAFAAVwBqAD0AMwAsADUAXAAiACkAOwBcAG4AXABuAFMAbwB1AHIAYwBlAEQAYQB0AGEAXwBEAGEAaQByAHkAXwBQAHIAZQBXAGUAYQBuAGUAZABDAGEAbAB2AGUAcwBfAFUAbgBpAHQAXABuACAAIAA9AEwAQQBNAEIARABBACgAXAAiAGsAZwAvAGQAYQB5AFwAIgApADsAXABuAFwAbgBTAG8AdQByAGMAZQBEAGEAdABhAF8ARABhAGkAcgB5AF8AUAByAGUAVwBlAGEAbgBlAGQAQwBhAGwAdgBlAHMAXwBTAG8AdQByAGMAZQBcAG4AIAAgAD0ATABBAE0AQgBEAEEAKABcACIAVgBFAEUAUgBHACAAMgAwADIANgA6ACAAVABhAGIAbABlACAAQQAuADEALgAzAC4ANQBcACIAKQA7AFwAbgBcAG4AUwBvAHUAcgBjAGUARABhAHQAYQBfAEQAYQBpAHIAeQBfAFAAcgBlAFcAZQBhAG4AZQBkAEMAYQBsAHYAZQBzAF8AVgBhAHIAaQBhAHQAaQBvAG4AXABuACAAIAA9AEwAQQBNAEIARABBACgAXAAiAFYAQQBSAEkAQQBUAEkATwBOACAATwBGACAAUwBPAFUAUgBDAEUAOgAgAEEAZABkAGUAZAAgAFwAdQAwADAAMgA3AEEAbgBpAG0AYQBsACAAYwBsAGEAcwBzACAAagBcAHUAMAAwADIAN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BcAHUAMAAwADMAYwAxAFwAIgAsACAAMAAuADAAMQA3ADYALAAgADAALgAyADYAOAA1ACwAIAAwAC4AMAAxADMANwA7AFwAbgAgACAAIAAgACAAIAAgACAAIAAgAFwAIgBCAHUAbABsAHMAXAB1ADAAMAAzAGM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NAEMARgBfAEQAYQB0AGEAXABuACAAIAA9AEwAQQBNAEIARABBACgAXABuACAAIAAgACAATQBBAEsARQBBAFIAUgBBAFkAKAA3ACwAIAAxADAALABcAG4AIAAgACAAIAAgACAATABBAE0AQgBEAEEAKAByACwAYwAsAFwAbgAgACAAIAAgACAAIAAgACAASQBOAEQARQBYACgAewBcAG4AIAAgACAAIAAgACAAIAAgACAAIABcACIATQBNAFMAIABtAFwAIgAsACAAXAAiAEEAQwBUAFwAIgAsACAAXAAiAE4AUwBXAFwAIgAsACAAXAAiAE4AVABcACIALAAgAFwAIgBRAEwARABcACIALAAgAFwAIgBTAEEAXAAiACwAIABcACIAVABBAFMAXAAiACwAIABcACIAVgBJAEMAXAAiACwAIABcACIAVwBBAFwAIgAsACAAXAAiAE4ASQBSACAAcgBlAGYAZQByAGUAbgBjAGUAXAAiADsAXABuACAAIAAgACAAIAAgACAAIAAgACAAXAAiAFAAYQBzAHQAdQByAGUAXAAiACwAIAAwAC4AMAAxACwAIAAwAC4AMAAxACwAIAAwAC4AMAAyACwAIAAwAC4AMAAxACwAIAAwAC4AMAAxACwAIAAwAC4AMAAxACwAIAAwAC4AMAAxACwAIAAwAC4AMAAxACwAIABcACIAUABhAHMAdAB1AHIAZQAgAHIAYQBuAGcAZQAgAGEAbgBkACAAcABhAGQAZABvAGMAawBcACIAOwBcAG4AIAAgACAAIAAgACAAIAAgACAAIABcACIAQQBuAGEAZQByAG8AYgBpAGMAIABsAGEAZwBvAG8AbgBcACIALAAgADAALgA3ADIALAAgADAALgA3ADYALAAgADAALgA4ACwAIAAwAC4ANwA4ACwAIAAwAC4ANwA0ACwAIAAwAC4ANgA5ACwAIAAwAC4ANwAzACwAIAAwAC4ANwA2ACwAIABcACIAQQBuAGEAZQByAG8AYgBpAGMAIABsAGEAZwBvAG8AbgBcACIAOwBcAG4AIAAgACAAIAAgACAAIAAgACAAIABcACIARABhAGkAbAB5ACAAcwBwAHIAZQBhAGQAIAAtACAAUwB1AG0AcAAgAGEAbgBkACAAZABpAHMAcABlAHIAcwBhAGwAIABzAHkAcwB0AGUAbQBzAFwAIgAsACAAMAAuADAAMAA1ACwAIAAwAC4AMAAwADUALAAgADAALgAwADEALAAgADAALgAwADAANQAsACAAMAAuADAAMAA1ACwAIAAwAC4AMAAwADEALAAgADAALgAwADAANQAsACAAMAAuADAAMAA1ACwAIABcACIAUwB1AG0AcAAgAGEAbgBkACAAZABpAHMAcABlAHIAcwBhAGwAIABzAHkAcwB0AGUAbQBcACIAOwBcAG4AIAAgACAAIAAgACAAIAAgACAAIABcACIARABhAGkAbAB5ACAAcwBwAHIAZQBhAGQAIAAtACAARAByAGEAaQBuAHMAIAB0AG8AIABwAGEAZABkAG8AYwBrAHMAIAAoAGEAKQBcACIALAAgADAALgAxADUALAAgADAALgAxADgALAAgADAALgA1ADAALAAgADAALgAyADQALAAgADAALgAxADcALAAgADAALgAxADMALAAgADAALgAxADcALAAgADAALgAxADgALAAgAFwAIgBEAHIAYQBpAG4AcwAgAHQAbwAgAHAAYQBkAGQAbwBjAGsAXAAiADsAXABuACAAIAAgACAAIAAgACAAIAAgACAAXAAiAFMAbwBsAGkAZAAgAFMAdABvAHIAYQBnAGUAXAAiACwAIAAwAC4AMAAyACwAIAAwAC4AMAAyACwAIAAwAC4AMAAyACwAIAAwAC4AMAAyACwAIAAwAC4AMAAyACwAIAAwAC4AMAAyACwAIAAwAC4AMAAyACwAIAAwAC4AMAAyACwAIABcACIAUwBvAGwAaQBkACAAcwB0AG8AcgBhAGcAZQBcACIAOw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4AaQB0AHIAbwB1AHMATwB4AGkAZABlAEUARgBzAEEAbgBkAEYAcgBhAGMARwBBAFMATQBcAG4AVABhAGIAbABlACAAQQAuADEALgAzAC4ANwA6ACAARABhAGkAcgB5ACAAYwBhAHQAdABsAGUAIAAtACAATgBpAHQAcgBvAHUAcwAgAG8AeABpAGQAZQAgAEUARgBzACAAYQBuAGQAIABmAHIAYQBjAHQAaQBvAG4AIABvAGYAIABOACAAdgBvAGwAYQB0AGkAbABpAHMAZQBkACAAYgB5ACAATQBNAFMAXABuAC0ALQAtAC0ALQAtAC0ALQAtAC0ALQAtAC0ALQAtAC0ALQAtAC0ALQAtAC0ALQAtAC0ALQAtAC0ALQAtAC0ALQAtAC0ALQAtAC0ALQBcAG4AKgAvAFwAbgBcAG4AUwBvAHUAcgBjAGUARABhAHQAYQBfAEQAYQBpAHIAeQBfAE4AaQB0AHIAbwB1AHMATwB4AGkAZABlAEUARgBzAEEAbgBkAEYAcgBhAGMARwBBAFMATQBfAFQAaQB0AGwAZQBcAG4AIAAgAD0ATABBAE0AQgBEAEEAKABcACIAVABhAGIAbABlACAAQQAuADEALgAzAC4ANwA6ACAARABhAGkAcgB5ACAAYwBhAHQAdABsAGUAIAAtACAATgBpAHQAcgBvAHUAcwAgAG8AeABpAGQAZQAgAEUARgBzACAAYQBuAGQAIABmAHIAYQBjAHQAaQBvAG4AIABvAGYAIABOACAAdgBvAGwAYQB0AGkAbABpAHMAZQBkACAAYgB5ACAATQBNAFMAXAAiACkAOwBcAG4AXABuAFMAbwB1AHIAYwBlAEQAYQB0AGEAXwBEAGEAaQByAHkAXwBOAGkAdAByAG8AdQBzAE8AeABpAGQAZQBFAEYAcwBBAG4AZABGAHIAYQBjAEcAQQBTAE0AXwBWAGEAcgBpAGEAYgBsAGUAXABuACAAIAA9AEwAQQBNAEIARABBACgAXAAiAEUARgBtADsAIABGAHIAYQBjAEcAQQBTAE0AbQBcACIAKQA7AFwAbgBcAG4AUwBvAHUAcgBjAGUARABhAHQAYQBfAEQAYQBpAHIAeQBfAE4AaQB0AHIAbwB1AHMATwB4AGkAZABlAEUARgBzAEEAbgBkAEYAcgBhAGMARwBBAFMATQBfAFUAbgBpAHQAXABuACAAIAA9AEwAQQBNAEIARABBACgAXAAiAGsAZwAgAE4AMgBPAC0ATgAvAGsAZwAgAE4AIABlAHgAYwByAGUAdABlAGQAXAAiACkAOwBcAG4AXABuAFMAbwB1AHIAYwBlAEQAYQB0AGEAXwBEAGEAaQByAHkAXwBOAGkAdAByAG8AdQBzAE8AeABpAGQAZQBFAEYAcwBBAG4AZABGAHIAYQBjAEcAQQBTAE0AXwBTAG8AdQByAGMAZQBcAG4AIAAgAD0ATABBAE0AQgBEAEEAKABcACIAVgBFAEUAUgBHACAAMgAwADIANgA6ACAAVABhAGIAbABlACAAQQAuADEALgAzAC4ANwBcACIAKQA7AFwAbgBcAG4AUwBvAHUAcgBjAGUARABhAHQAYQBfAEQAYQBpAHIAeQBfAE4AaQB0AHIAbwB1AHMATwB4AGkAZABlAEUARgBzAEEAbgBkAEYAcgBhAGMARwBBAFMATQ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FwAdQAwADAAMwBjACAAMQAgAHkAZQBhAHIAXAAiACwAIAAwAC4AMAAxADcANgA7AFwAbgAgACAAIAAgACAAIAAgACAAIAAgAFwAIgBCAHUAbABsAHMAIABcAHUAMAAwADMAYw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QwBvAG4AcwB0AGEAbgB0AFwAIgA7AFwAbgAgACAAIAAgACAAIAAgACAAIAAgAFwAIgBQAEMAXwBqAFwAIgAsACAAXAAiAHAAcgBvAHQAZQBpAG4AIABjAG8AbgB0AGUAbgB0ACAAaQBuACAAZgBhAHQAIABhAG4AZAAgAHAAcgBvAHQAZQBpAG4AIABjAG8AcgByAGUAYwB0AGUAZAAgAG0AaQBsAGsAXAAiACwAIABcACIAcABlAHIAIABjAGUAbgB0AFwAIgAsACAAXAAiAEMAbwBuAHMAdABhAG4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79</vt:i4>
      </vt:variant>
    </vt:vector>
  </HeadingPairs>
  <TitlesOfParts>
    <vt:vector size="97"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2026-06-16T00:26:25Z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