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6E7EC26-77E9-4BDD-9872-D79F1B6B3C38}" xr6:coauthVersionLast="47" xr6:coauthVersionMax="47" xr10:uidLastSave="{00000000-0000-0000-0000-000000000000}"/>
  <bookViews>
    <workbookView xWindow="1350" yWindow="360" windowWidth="36255" windowHeight="19140" firstSheet="7" activeTab="10"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103" r:id="rId11"/>
    <sheet name="Constants - Livestock" sheetId="43" r:id="rId12"/>
    <sheet name="Acknowledgements" sheetId="72" r:id="rId13"/>
    <sheet name="Tab template" sheetId="74" r:id="rId14"/>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AE_j">'4.1.1.3-4 Direct N20'!$D$82:$F$83</definedName>
    <definedName name="M1_Table_CP_j">'4.1.1.3-4 Direct N20'!$D$24:$F$25</definedName>
    <definedName name="M1_Table_DMD_j">'4.1.1.1-2 Methane'!$D$24:$F$25</definedName>
    <definedName name="M1_Table_E_N2O_dir">'4.1.1.3-4 Direct N20'!$D$205:$G$210</definedName>
    <definedName name="M1_Table_I_j">'4.1.1.3-4 Direct N20'!$D$19:$F$20</definedName>
    <definedName name="M1_Table_I_j_Consumer_1">'4.1.1.1-2 Methane'!$D$19:$F$20</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N2O_dir">'4.1.1.3-4 Direct N20'!$O$205:$R$210</definedName>
    <definedName name="M2_Table_I_j">'4.1.1.3-4 Direct N20'!$O$19:$Q$20</definedName>
    <definedName name="M2_Table_I_j_Consumer_1">'4.1.1.1-2 Methane'!$M$19:$O$20</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Range_LivestockStartingValues">#REF!</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tep1">#REF!</definedName>
    <definedName name="Step2">#REF!</definedName>
    <definedName name="Step3">#REF!</definedName>
    <definedName name="Table_D_j">'4.1.1.3-4 Direct N20'!$D$77:$F$78</definedName>
    <definedName name="Table_D_j_Consumer_1">'4.1.1.1-2 Methane'!$D$144:$F$145</definedName>
    <definedName name="Table_E_CH4">'4.1.1.1-2 Methane'!$M$163:$Q$168</definedName>
    <definedName name="Table_E_CH4_Consumer_1">'4.1.1.1-2 Methane'!$D$163:$H$168</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Feedlot_HerdMovement">'Input - Feedlot'!$D$7:$G$9</definedName>
    <definedName name="X_Table_Feedlot_Intake_Method1">'Input - Feedlot'!$D$13:$G$17</definedName>
    <definedName name="X_Table_Feedlot_Intake_Method2">'Input - Feedlot'!$D$19:$G$23</definedName>
    <definedName name="X_Table_Feedlot_MMS_Stage1">'Input - Feedlot'!$D$27:$G$28</definedName>
    <definedName name="X_Table_Feedlot_MMS_Stage2">'Input - Feedlot'!$D$30:$G$34</definedName>
    <definedName name="X_Table_Feedlot_MMS_Stage2_Destinations">'Input - Feedlot'!$I$30:$K$34</definedName>
    <definedName name="X_Table_Feedlot_MMS_Stage3">'Input - Feedlot'!$D$36:$G$38</definedName>
    <definedName name="X_Table_Feedlot_MMS_Stage3_Destinations">'Input - Feedlot'!$I$36:$K$38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79" l="1"/>
  <c r="G28" i="79"/>
  <c r="I114" i="69"/>
  <c r="I74" i="69"/>
  <c r="R46" i="69"/>
  <c r="I46" i="69"/>
  <c r="R113" i="69"/>
  <c r="O89" i="69"/>
  <c r="O88" i="69"/>
  <c r="O87" i="69"/>
  <c r="I59" i="82"/>
  <c r="E30" i="15"/>
  <c r="E33" i="15"/>
  <c r="E32" i="15"/>
  <c r="E31" i="15"/>
  <c r="I60" i="82"/>
  <c r="I190" i="76"/>
  <c r="P68" i="82"/>
  <c r="G68" i="82"/>
  <c r="R215" i="76"/>
  <c r="G215" i="76"/>
  <c r="P174" i="69"/>
  <c r="G174" i="69"/>
  <c r="I115" i="69"/>
  <c r="I75" i="69"/>
  <c r="R47" i="69"/>
  <c r="I47" i="69"/>
  <c r="E259" i="103" a="1"/>
  <c r="E259" i="103" s="1"/>
  <c r="D259" i="103" a="1"/>
  <c r="D259" i="103" s="1"/>
  <c r="E258" i="103" a="1"/>
  <c r="E258" i="103" s="1"/>
  <c r="D258" i="103" a="1"/>
  <c r="D258" i="103" s="1"/>
  <c r="D256" i="103" a="1"/>
  <c r="D256" i="103" s="1"/>
  <c r="D255" i="103" a="1"/>
  <c r="D255" i="103" s="1"/>
  <c r="D254" i="103" a="1"/>
  <c r="D254" i="103" s="1"/>
  <c r="D253" i="103" a="1"/>
  <c r="D253" i="103" s="1"/>
  <c r="S250" i="103" a="1"/>
  <c r="S250" i="103" s="1"/>
  <c r="R250" i="103" a="1"/>
  <c r="R250" i="103" s="1"/>
  <c r="Q250" i="103" a="1"/>
  <c r="Q250" i="103" s="1"/>
  <c r="P250" i="103" a="1"/>
  <c r="P250" i="103" s="1"/>
  <c r="O250" i="103" a="1"/>
  <c r="O250" i="103" s="1"/>
  <c r="N250" i="103" a="1"/>
  <c r="N250" i="103" s="1"/>
  <c r="M250" i="103" a="1"/>
  <c r="M250" i="103" s="1"/>
  <c r="L250" i="103" a="1"/>
  <c r="L250" i="103" s="1"/>
  <c r="K250" i="103" a="1"/>
  <c r="K250" i="103" s="1"/>
  <c r="J250" i="103" a="1"/>
  <c r="J250" i="103" s="1"/>
  <c r="I250" i="103" a="1"/>
  <c r="I250" i="103" s="1"/>
  <c r="H250" i="103" a="1"/>
  <c r="H250" i="103" s="1"/>
  <c r="G250" i="103" a="1"/>
  <c r="G250" i="103" s="1"/>
  <c r="F250" i="103" a="1"/>
  <c r="F250" i="103" s="1"/>
  <c r="E250" i="103" a="1"/>
  <c r="E250" i="103" s="1"/>
  <c r="D250" i="103" a="1"/>
  <c r="D250" i="103" s="1"/>
  <c r="S249" i="103" a="1"/>
  <c r="S249" i="103" s="1"/>
  <c r="R249" i="103" a="1"/>
  <c r="R249" i="103" s="1"/>
  <c r="Q249" i="103" a="1"/>
  <c r="Q249" i="103" s="1"/>
  <c r="P249" i="103" a="1"/>
  <c r="P249" i="103" s="1"/>
  <c r="O249" i="103" a="1"/>
  <c r="O249" i="103" s="1"/>
  <c r="N249" i="103" a="1"/>
  <c r="N249" i="103" s="1"/>
  <c r="M249" i="103" a="1"/>
  <c r="M249" i="103" s="1"/>
  <c r="L249" i="103" a="1"/>
  <c r="L249" i="103" s="1"/>
  <c r="K249" i="103" a="1"/>
  <c r="K249" i="103" s="1"/>
  <c r="J249" i="103" a="1"/>
  <c r="J249" i="103" s="1"/>
  <c r="I249" i="103" a="1"/>
  <c r="I249" i="103" s="1"/>
  <c r="H249" i="103" a="1"/>
  <c r="H249" i="103" s="1"/>
  <c r="G249" i="103" a="1"/>
  <c r="G249" i="103" s="1"/>
  <c r="F249" i="103" a="1"/>
  <c r="F249" i="103" s="1"/>
  <c r="E249" i="103" a="1"/>
  <c r="E249" i="103" s="1"/>
  <c r="D249" i="103" a="1"/>
  <c r="D249" i="103" s="1"/>
  <c r="S248" i="103" a="1"/>
  <c r="S248" i="103" s="1"/>
  <c r="R248" i="103" a="1"/>
  <c r="R248" i="103" s="1"/>
  <c r="Q248" i="103" a="1"/>
  <c r="Q248" i="103" s="1"/>
  <c r="P248" i="103" a="1"/>
  <c r="P248" i="103" s="1"/>
  <c r="O248" i="103" a="1"/>
  <c r="O248" i="103" s="1"/>
  <c r="N248" i="103" a="1"/>
  <c r="N248" i="103" s="1"/>
  <c r="M248" i="103" a="1"/>
  <c r="M248" i="103" s="1"/>
  <c r="L248" i="103" a="1"/>
  <c r="L248" i="103" s="1"/>
  <c r="K248" i="103" a="1"/>
  <c r="K248" i="103" s="1"/>
  <c r="J248" i="103" a="1"/>
  <c r="J248" i="103" s="1"/>
  <c r="I248" i="103" a="1"/>
  <c r="I248" i="103" s="1"/>
  <c r="H248" i="103" a="1"/>
  <c r="H248" i="103" s="1"/>
  <c r="G248" i="103" a="1"/>
  <c r="G248" i="103" s="1"/>
  <c r="F248" i="103" a="1"/>
  <c r="F248" i="103" s="1"/>
  <c r="E248" i="103" a="1"/>
  <c r="E248" i="103" s="1"/>
  <c r="D248" i="103" a="1"/>
  <c r="D248" i="103" s="1"/>
  <c r="S247" i="103" a="1"/>
  <c r="S247" i="103" s="1"/>
  <c r="R247" i="103" a="1"/>
  <c r="R247" i="103" s="1"/>
  <c r="Q247" i="103" a="1"/>
  <c r="Q247" i="103" s="1"/>
  <c r="P247" i="103" a="1"/>
  <c r="P247" i="103" s="1"/>
  <c r="O247" i="103" a="1"/>
  <c r="O247" i="103" s="1"/>
  <c r="N247" i="103" a="1"/>
  <c r="N247" i="103" s="1"/>
  <c r="M247" i="103" a="1"/>
  <c r="M247" i="103" s="1"/>
  <c r="L247" i="103" a="1"/>
  <c r="L247" i="103" s="1"/>
  <c r="K247" i="103" a="1"/>
  <c r="K247" i="103" s="1"/>
  <c r="J247" i="103" a="1"/>
  <c r="J247" i="103" s="1"/>
  <c r="I247" i="103" a="1"/>
  <c r="I247" i="103" s="1"/>
  <c r="H247" i="103" a="1"/>
  <c r="H247" i="103" s="1"/>
  <c r="G247" i="103" a="1"/>
  <c r="G247" i="103" s="1"/>
  <c r="F247" i="103" a="1"/>
  <c r="F247" i="103" s="1"/>
  <c r="E247" i="103" a="1"/>
  <c r="E247" i="103" s="1"/>
  <c r="D247" i="103" a="1"/>
  <c r="D247" i="103" s="1"/>
  <c r="S246" i="103" a="1"/>
  <c r="S246" i="103" s="1"/>
  <c r="R246" i="103" a="1"/>
  <c r="R246" i="103" s="1"/>
  <c r="Q246" i="103" a="1"/>
  <c r="Q246" i="103" s="1"/>
  <c r="P246" i="103" a="1"/>
  <c r="P246" i="103" s="1"/>
  <c r="O246" i="103" a="1"/>
  <c r="O246" i="103" s="1"/>
  <c r="N246" i="103" a="1"/>
  <c r="N246" i="103" s="1"/>
  <c r="M246" i="103" a="1"/>
  <c r="M246" i="103" s="1"/>
  <c r="L246" i="103" a="1"/>
  <c r="L246" i="103" s="1"/>
  <c r="K246" i="103" a="1"/>
  <c r="K246" i="103" s="1"/>
  <c r="J246" i="103" a="1"/>
  <c r="J246" i="103" s="1"/>
  <c r="I246" i="103" a="1"/>
  <c r="I246" i="103" s="1"/>
  <c r="H246" i="103" a="1"/>
  <c r="H246" i="103" s="1"/>
  <c r="G246" i="103" a="1"/>
  <c r="G246" i="103" s="1"/>
  <c r="F246" i="103" a="1"/>
  <c r="F246" i="103" s="1"/>
  <c r="E246" i="103" a="1"/>
  <c r="E246" i="103" s="1"/>
  <c r="D246" i="103" a="1"/>
  <c r="D246" i="103" s="1"/>
  <c r="S245" i="103" a="1"/>
  <c r="S245" i="103" s="1"/>
  <c r="R245" i="103" a="1"/>
  <c r="R245" i="103" s="1"/>
  <c r="Q245" i="103" a="1"/>
  <c r="Q245" i="103" s="1"/>
  <c r="P245" i="103" a="1"/>
  <c r="P245" i="103" s="1"/>
  <c r="O245" i="103" a="1"/>
  <c r="O245" i="103" s="1"/>
  <c r="N245" i="103" a="1"/>
  <c r="N245" i="103" s="1"/>
  <c r="M245" i="103" a="1"/>
  <c r="M245" i="103" s="1"/>
  <c r="L245" i="103" a="1"/>
  <c r="L245" i="103" s="1"/>
  <c r="K245" i="103" a="1"/>
  <c r="K245" i="103" s="1"/>
  <c r="J245" i="103" a="1"/>
  <c r="J245" i="103" s="1"/>
  <c r="I245" i="103" a="1"/>
  <c r="I245" i="103" s="1"/>
  <c r="H245" i="103" a="1"/>
  <c r="H245" i="103" s="1"/>
  <c r="G245" i="103" a="1"/>
  <c r="G245" i="103" s="1"/>
  <c r="F245" i="103" a="1"/>
  <c r="F245" i="103" s="1"/>
  <c r="E245" i="103" a="1"/>
  <c r="E245" i="103" s="1"/>
  <c r="D245" i="103" a="1"/>
  <c r="D245" i="103" s="1"/>
  <c r="S244" i="103" a="1"/>
  <c r="S244" i="103" s="1"/>
  <c r="R244" i="103" a="1"/>
  <c r="R244" i="103" s="1"/>
  <c r="Q244" i="103" a="1"/>
  <c r="Q244" i="103" s="1"/>
  <c r="P244" i="103" a="1"/>
  <c r="P244" i="103" s="1"/>
  <c r="O244" i="103" a="1"/>
  <c r="O244" i="103" s="1"/>
  <c r="N244" i="103" a="1"/>
  <c r="N244" i="103" s="1"/>
  <c r="M244" i="103" a="1"/>
  <c r="M244" i="103" s="1"/>
  <c r="L244" i="103" a="1"/>
  <c r="L244" i="103" s="1"/>
  <c r="K244" i="103" a="1"/>
  <c r="K244" i="103" s="1"/>
  <c r="J244" i="103" a="1"/>
  <c r="J244" i="103" s="1"/>
  <c r="I244" i="103" a="1"/>
  <c r="I244" i="103" s="1"/>
  <c r="H244" i="103" a="1"/>
  <c r="H244" i="103" s="1"/>
  <c r="G244" i="103" a="1"/>
  <c r="G244" i="103" s="1"/>
  <c r="F244" i="103" a="1"/>
  <c r="F244" i="103" s="1"/>
  <c r="E244" i="103" a="1"/>
  <c r="E244" i="103" s="1"/>
  <c r="D244" i="103" a="1"/>
  <c r="D244" i="103" s="1"/>
  <c r="S243" i="103" a="1"/>
  <c r="S243" i="103" s="1"/>
  <c r="R243" i="103" a="1"/>
  <c r="R243" i="103" s="1"/>
  <c r="Q243" i="103" a="1"/>
  <c r="Q243" i="103" s="1"/>
  <c r="P243" i="103" a="1"/>
  <c r="P243" i="103" s="1"/>
  <c r="O243" i="103" a="1"/>
  <c r="O243" i="103" s="1"/>
  <c r="N243" i="103" a="1"/>
  <c r="N243" i="103" s="1"/>
  <c r="M243" i="103" a="1"/>
  <c r="M243" i="103" s="1"/>
  <c r="L243" i="103" a="1"/>
  <c r="L243" i="103" s="1"/>
  <c r="K243" i="103" a="1"/>
  <c r="K243" i="103" s="1"/>
  <c r="J243" i="103" a="1"/>
  <c r="J243" i="103" s="1"/>
  <c r="I243" i="103" a="1"/>
  <c r="I243" i="103" s="1"/>
  <c r="H243" i="103" a="1"/>
  <c r="H243" i="103" s="1"/>
  <c r="G243" i="103" a="1"/>
  <c r="G243" i="103" s="1"/>
  <c r="F243" i="103" a="1"/>
  <c r="F243" i="103" s="1"/>
  <c r="E243" i="103" a="1"/>
  <c r="E243" i="103" s="1"/>
  <c r="D243" i="103" a="1"/>
  <c r="D243" i="103" s="1"/>
  <c r="S242" i="103" a="1"/>
  <c r="S242" i="103" s="1"/>
  <c r="R242" i="103" a="1"/>
  <c r="R242" i="103" s="1"/>
  <c r="Q242" i="103" a="1"/>
  <c r="Q242" i="103" s="1"/>
  <c r="P242" i="103" a="1"/>
  <c r="P242" i="103" s="1"/>
  <c r="O242" i="103" a="1"/>
  <c r="O242" i="103" s="1"/>
  <c r="N242" i="103" a="1"/>
  <c r="N242" i="103" s="1"/>
  <c r="M242" i="103" a="1"/>
  <c r="M242" i="103" s="1"/>
  <c r="L242" i="103" a="1"/>
  <c r="L242" i="103" s="1"/>
  <c r="K242" i="103" a="1"/>
  <c r="K242" i="103" s="1"/>
  <c r="J242" i="103" a="1"/>
  <c r="J242" i="103" s="1"/>
  <c r="I242" i="103" a="1"/>
  <c r="I242" i="103" s="1"/>
  <c r="H242" i="103" a="1"/>
  <c r="H242" i="103" s="1"/>
  <c r="G242" i="103" a="1"/>
  <c r="G242" i="103" s="1"/>
  <c r="F242" i="103" a="1"/>
  <c r="F242" i="103" s="1"/>
  <c r="E242" i="103" a="1"/>
  <c r="E242" i="103" s="1"/>
  <c r="D242" i="103" a="1"/>
  <c r="D242" i="103" s="1"/>
  <c r="S241" i="103" a="1"/>
  <c r="S241" i="103" s="1"/>
  <c r="R241" i="103"/>
  <c r="R241" i="103" a="1"/>
  <c r="Q241" i="103" a="1"/>
  <c r="Q241" i="103" s="1"/>
  <c r="P241" i="103" a="1"/>
  <c r="P241" i="103" s="1"/>
  <c r="O241" i="103" a="1"/>
  <c r="O241" i="103" s="1"/>
  <c r="N241" i="103" a="1"/>
  <c r="N241" i="103" s="1"/>
  <c r="M241" i="103" a="1"/>
  <c r="M241" i="103" s="1"/>
  <c r="L241" i="103" a="1"/>
  <c r="L241" i="103" s="1"/>
  <c r="K241" i="103" a="1"/>
  <c r="K241" i="103" s="1"/>
  <c r="J241" i="103" a="1"/>
  <c r="J241" i="103" s="1"/>
  <c r="I241" i="103" a="1"/>
  <c r="I241" i="103" s="1"/>
  <c r="H241" i="103" a="1"/>
  <c r="H241" i="103" s="1"/>
  <c r="G241" i="103" a="1"/>
  <c r="G241" i="103" s="1"/>
  <c r="F241" i="103" a="1"/>
  <c r="F241" i="103" s="1"/>
  <c r="E241" i="103" a="1"/>
  <c r="E241" i="103" s="1"/>
  <c r="D241" i="103" a="1"/>
  <c r="D241" i="103" s="1"/>
  <c r="S240" i="103" a="1"/>
  <c r="S240" i="103" s="1"/>
  <c r="R240" i="103" a="1"/>
  <c r="R240" i="103" s="1"/>
  <c r="Q240" i="103" a="1"/>
  <c r="Q240" i="103" s="1"/>
  <c r="P240" i="103" a="1"/>
  <c r="P240" i="103" s="1"/>
  <c r="O240" i="103" a="1"/>
  <c r="O240" i="103" s="1"/>
  <c r="N240" i="103" a="1"/>
  <c r="N240" i="103" s="1"/>
  <c r="M240" i="103" a="1"/>
  <c r="M240" i="103" s="1"/>
  <c r="L240" i="103" a="1"/>
  <c r="L240" i="103" s="1"/>
  <c r="K240" i="103" a="1"/>
  <c r="K240" i="103" s="1"/>
  <c r="J240" i="103" a="1"/>
  <c r="J240" i="103" s="1"/>
  <c r="I240" i="103" a="1"/>
  <c r="I240" i="103" s="1"/>
  <c r="H240" i="103" a="1"/>
  <c r="H240" i="103" s="1"/>
  <c r="G240" i="103" a="1"/>
  <c r="G240" i="103" s="1"/>
  <c r="F240" i="103" a="1"/>
  <c r="F240" i="103" s="1"/>
  <c r="E240" i="103" a="1"/>
  <c r="E240" i="103" s="1"/>
  <c r="D240" i="103" a="1"/>
  <c r="D240" i="103" s="1"/>
  <c r="S239" i="103" a="1"/>
  <c r="S239" i="103" s="1"/>
  <c r="R239" i="103" a="1"/>
  <c r="R239" i="103" s="1"/>
  <c r="Q239" i="103" a="1"/>
  <c r="Q239" i="103" s="1"/>
  <c r="P239" i="103" a="1"/>
  <c r="P239" i="103" s="1"/>
  <c r="O239" i="103" a="1"/>
  <c r="O239" i="103" s="1"/>
  <c r="N239" i="103" a="1"/>
  <c r="N239" i="103" s="1"/>
  <c r="M239" i="103" a="1"/>
  <c r="M239" i="103" s="1"/>
  <c r="L239" i="103" a="1"/>
  <c r="L239" i="103" s="1"/>
  <c r="K239" i="103" a="1"/>
  <c r="K239" i="103" s="1"/>
  <c r="J239" i="103" a="1"/>
  <c r="J239" i="103" s="1"/>
  <c r="I239" i="103" a="1"/>
  <c r="I239" i="103" s="1"/>
  <c r="H239" i="103" a="1"/>
  <c r="H239" i="103" s="1"/>
  <c r="G239" i="103" a="1"/>
  <c r="G239" i="103" s="1"/>
  <c r="F239" i="103" a="1"/>
  <c r="F239" i="103" s="1"/>
  <c r="E239" i="103" a="1"/>
  <c r="E239" i="103" s="1"/>
  <c r="D239" i="103" a="1"/>
  <c r="D239" i="103" s="1"/>
  <c r="S238" i="103" a="1"/>
  <c r="S238" i="103" s="1"/>
  <c r="R238" i="103" a="1"/>
  <c r="R238" i="103" s="1"/>
  <c r="Q238" i="103" a="1"/>
  <c r="Q238" i="103" s="1"/>
  <c r="P238" i="103" a="1"/>
  <c r="P238" i="103" s="1"/>
  <c r="O238" i="103" a="1"/>
  <c r="O238" i="103" s="1"/>
  <c r="N238" i="103" a="1"/>
  <c r="N238" i="103" s="1"/>
  <c r="M238" i="103" a="1"/>
  <c r="M238" i="103" s="1"/>
  <c r="L238" i="103" a="1"/>
  <c r="L238" i="103" s="1"/>
  <c r="K238" i="103" a="1"/>
  <c r="K238" i="103" s="1"/>
  <c r="J238" i="103" a="1"/>
  <c r="J238" i="103" s="1"/>
  <c r="I238" i="103" a="1"/>
  <c r="I238" i="103" s="1"/>
  <c r="H238" i="103" a="1"/>
  <c r="H238" i="103" s="1"/>
  <c r="G238" i="103" a="1"/>
  <c r="G238" i="103" s="1"/>
  <c r="F238" i="103" a="1"/>
  <c r="F238" i="103" s="1"/>
  <c r="E238" i="103" a="1"/>
  <c r="E238" i="103" s="1"/>
  <c r="D238" i="103" a="1"/>
  <c r="D238" i="103" s="1"/>
  <c r="S237" i="103" a="1"/>
  <c r="S237" i="103" s="1"/>
  <c r="R237" i="103" a="1"/>
  <c r="R237" i="103" s="1"/>
  <c r="Q237" i="103" a="1"/>
  <c r="Q237" i="103" s="1"/>
  <c r="P237" i="103" a="1"/>
  <c r="P237" i="103" s="1"/>
  <c r="O237" i="103" a="1"/>
  <c r="O237" i="103" s="1"/>
  <c r="N237" i="103" a="1"/>
  <c r="N237" i="103" s="1"/>
  <c r="M237" i="103" a="1"/>
  <c r="M237" i="103" s="1"/>
  <c r="L237" i="103" a="1"/>
  <c r="L237" i="103" s="1"/>
  <c r="K237" i="103" a="1"/>
  <c r="K237" i="103" s="1"/>
  <c r="J237" i="103" a="1"/>
  <c r="J237" i="103" s="1"/>
  <c r="I237" i="103" a="1"/>
  <c r="I237" i="103" s="1"/>
  <c r="H237" i="103" a="1"/>
  <c r="H237" i="103" s="1"/>
  <c r="G237" i="103" a="1"/>
  <c r="G237" i="103" s="1"/>
  <c r="F237" i="103" a="1"/>
  <c r="F237" i="103" s="1"/>
  <c r="E237" i="103" a="1"/>
  <c r="E237" i="103" s="1"/>
  <c r="D237" i="103" a="1"/>
  <c r="D237" i="103" s="1"/>
  <c r="S236" i="103" a="1"/>
  <c r="S236" i="103" s="1"/>
  <c r="R236" i="103" a="1"/>
  <c r="R236" i="103" s="1"/>
  <c r="Q236" i="103" a="1"/>
  <c r="Q236" i="103" s="1"/>
  <c r="P236" i="103" a="1"/>
  <c r="P236" i="103" s="1"/>
  <c r="O236" i="103" a="1"/>
  <c r="O236" i="103" s="1"/>
  <c r="N236" i="103" a="1"/>
  <c r="N236" i="103" s="1"/>
  <c r="M236" i="103" a="1"/>
  <c r="M236" i="103" s="1"/>
  <c r="L236" i="103" a="1"/>
  <c r="L236" i="103" s="1"/>
  <c r="K236" i="103" a="1"/>
  <c r="K236" i="103" s="1"/>
  <c r="J236" i="103" a="1"/>
  <c r="J236" i="103" s="1"/>
  <c r="I236" i="103" a="1"/>
  <c r="I236" i="103" s="1"/>
  <c r="H236" i="103" a="1"/>
  <c r="H236" i="103" s="1"/>
  <c r="G236" i="103" a="1"/>
  <c r="G236" i="103" s="1"/>
  <c r="F236" i="103" a="1"/>
  <c r="F236" i="103" s="1"/>
  <c r="E236" i="103" a="1"/>
  <c r="E236" i="103" s="1"/>
  <c r="D236" i="103" a="1"/>
  <c r="D236" i="103" s="1"/>
  <c r="S235" i="103" a="1"/>
  <c r="S235" i="103" s="1"/>
  <c r="R235" i="103" a="1"/>
  <c r="R235" i="103" s="1"/>
  <c r="Q235" i="103" a="1"/>
  <c r="Q235" i="103" s="1"/>
  <c r="P235" i="103" a="1"/>
  <c r="P235" i="103" s="1"/>
  <c r="O235" i="103" a="1"/>
  <c r="O235" i="103" s="1"/>
  <c r="N235" i="103" a="1"/>
  <c r="N235" i="103" s="1"/>
  <c r="M235" i="103" a="1"/>
  <c r="M235" i="103" s="1"/>
  <c r="L235" i="103" a="1"/>
  <c r="L235" i="103" s="1"/>
  <c r="K235" i="103" a="1"/>
  <c r="K235" i="103" s="1"/>
  <c r="J235" i="103" a="1"/>
  <c r="J235" i="103" s="1"/>
  <c r="I235" i="103" a="1"/>
  <c r="I235" i="103" s="1"/>
  <c r="H235" i="103" a="1"/>
  <c r="H235" i="103" s="1"/>
  <c r="G235" i="103" a="1"/>
  <c r="G235" i="103" s="1"/>
  <c r="F235" i="103" a="1"/>
  <c r="F235" i="103" s="1"/>
  <c r="E235" i="103" a="1"/>
  <c r="E235" i="103" s="1"/>
  <c r="D235" i="103" a="1"/>
  <c r="D235" i="103" s="1"/>
  <c r="S234" i="103" a="1"/>
  <c r="S234" i="103" s="1"/>
  <c r="R234" i="103" a="1"/>
  <c r="R234" i="103" s="1"/>
  <c r="Q234" i="103" a="1"/>
  <c r="Q234" i="103" s="1"/>
  <c r="P234" i="103" a="1"/>
  <c r="P234" i="103" s="1"/>
  <c r="O234" i="103" a="1"/>
  <c r="O234" i="103" s="1"/>
  <c r="N234" i="103" a="1"/>
  <c r="N234" i="103" s="1"/>
  <c r="M234" i="103" a="1"/>
  <c r="M234" i="103" s="1"/>
  <c r="L234" i="103" a="1"/>
  <c r="L234" i="103" s="1"/>
  <c r="K234" i="103" a="1"/>
  <c r="K234" i="103" s="1"/>
  <c r="J234" i="103" a="1"/>
  <c r="J234" i="103" s="1"/>
  <c r="I234" i="103" a="1"/>
  <c r="I234" i="103" s="1"/>
  <c r="H234" i="103" a="1"/>
  <c r="H234" i="103" s="1"/>
  <c r="G234" i="103" a="1"/>
  <c r="G234" i="103" s="1"/>
  <c r="F234" i="103" a="1"/>
  <c r="F234" i="103" s="1"/>
  <c r="E234" i="103" a="1"/>
  <c r="E234" i="103" s="1"/>
  <c r="D234" i="103" a="1"/>
  <c r="D234" i="103" s="1"/>
  <c r="S233" i="103" a="1"/>
  <c r="S233" i="103" s="1"/>
  <c r="R233" i="103" a="1"/>
  <c r="R233" i="103" s="1"/>
  <c r="Q233" i="103" a="1"/>
  <c r="Q233" i="103" s="1"/>
  <c r="P233" i="103" a="1"/>
  <c r="P233" i="103" s="1"/>
  <c r="O233" i="103" a="1"/>
  <c r="O233" i="103" s="1"/>
  <c r="N233" i="103" a="1"/>
  <c r="N233" i="103" s="1"/>
  <c r="M233" i="103" a="1"/>
  <c r="M233" i="103" s="1"/>
  <c r="L233" i="103" a="1"/>
  <c r="L233" i="103" s="1"/>
  <c r="K233" i="103" a="1"/>
  <c r="K233" i="103" s="1"/>
  <c r="J233" i="103" a="1"/>
  <c r="J233" i="103" s="1"/>
  <c r="I233" i="103" a="1"/>
  <c r="I233" i="103" s="1"/>
  <c r="H233" i="103" a="1"/>
  <c r="H233" i="103" s="1"/>
  <c r="G233" i="103" a="1"/>
  <c r="G233" i="103" s="1"/>
  <c r="F233" i="103" a="1"/>
  <c r="F233" i="103" s="1"/>
  <c r="E233" i="103" a="1"/>
  <c r="E233" i="103" s="1"/>
  <c r="D233" i="103" a="1"/>
  <c r="D233" i="103" s="1"/>
  <c r="S232" i="103" a="1"/>
  <c r="S232" i="103" s="1"/>
  <c r="R232" i="103" a="1"/>
  <c r="R232" i="103" s="1"/>
  <c r="Q232" i="103" a="1"/>
  <c r="Q232" i="103" s="1"/>
  <c r="P232" i="103" a="1"/>
  <c r="P232" i="103" s="1"/>
  <c r="O232" i="103" a="1"/>
  <c r="O232" i="103" s="1"/>
  <c r="N232" i="103" a="1"/>
  <c r="N232" i="103" s="1"/>
  <c r="M232" i="103" a="1"/>
  <c r="M232" i="103" s="1"/>
  <c r="L232" i="103" a="1"/>
  <c r="L232" i="103" s="1"/>
  <c r="K232" i="103" a="1"/>
  <c r="K232" i="103" s="1"/>
  <c r="J232" i="103" a="1"/>
  <c r="J232" i="103" s="1"/>
  <c r="I232" i="103" a="1"/>
  <c r="I232" i="103" s="1"/>
  <c r="H232" i="103" a="1"/>
  <c r="H232" i="103" s="1"/>
  <c r="G232" i="103" a="1"/>
  <c r="G232" i="103" s="1"/>
  <c r="F232" i="103" a="1"/>
  <c r="F232" i="103" s="1"/>
  <c r="E232" i="103" a="1"/>
  <c r="E232" i="103" s="1"/>
  <c r="D232" i="103" a="1"/>
  <c r="D232" i="103" s="1"/>
  <c r="D229" i="103" a="1"/>
  <c r="D229" i="103" s="1"/>
  <c r="D228" i="103" a="1"/>
  <c r="D228" i="103" s="1"/>
  <c r="D227" i="103" a="1"/>
  <c r="D227" i="103" s="1"/>
  <c r="E224" i="103" a="1"/>
  <c r="E224" i="103" s="1"/>
  <c r="D224" i="103" a="1"/>
  <c r="D224" i="103" s="1"/>
  <c r="E223" i="103" a="1"/>
  <c r="E223" i="103" s="1"/>
  <c r="D223" i="103" a="1"/>
  <c r="D223" i="103" s="1"/>
  <c r="E222" i="103" a="1"/>
  <c r="E222" i="103" s="1"/>
  <c r="D222" i="103" a="1"/>
  <c r="D222" i="103" s="1"/>
  <c r="E221" i="103" a="1"/>
  <c r="E221" i="103" s="1"/>
  <c r="D221" i="103" a="1"/>
  <c r="D221" i="103" s="1"/>
  <c r="E220" i="103" a="1"/>
  <c r="E220" i="103" s="1"/>
  <c r="D220" i="103" a="1"/>
  <c r="D220" i="103" s="1"/>
  <c r="E219" i="103" a="1"/>
  <c r="E219" i="103" s="1"/>
  <c r="D219" i="103" a="1"/>
  <c r="D219" i="103" s="1"/>
  <c r="E218" i="103" a="1"/>
  <c r="E218" i="103" s="1"/>
  <c r="D218" i="103" a="1"/>
  <c r="D218" i="103" s="1"/>
  <c r="E217" i="103" a="1"/>
  <c r="E217" i="103" s="1"/>
  <c r="D217" i="103" a="1"/>
  <c r="D217" i="103" s="1"/>
  <c r="E216" i="103" a="1"/>
  <c r="E216" i="103" s="1"/>
  <c r="D216" i="103" a="1"/>
  <c r="D216" i="103" s="1"/>
  <c r="E215" i="103" a="1"/>
  <c r="E215" i="103" s="1"/>
  <c r="D215" i="103" a="1"/>
  <c r="D215" i="103" s="1"/>
  <c r="E214" i="103" a="1"/>
  <c r="E214" i="103" s="1"/>
  <c r="D214" i="103" a="1"/>
  <c r="D214" i="103" s="1"/>
  <c r="E213" i="103" a="1"/>
  <c r="E213" i="103" s="1"/>
  <c r="D213" i="103" a="1"/>
  <c r="D213" i="103" s="1"/>
  <c r="D211" i="103" a="1"/>
  <c r="D211" i="103" s="1"/>
  <c r="E208" i="103" a="1"/>
  <c r="E208" i="103" s="1"/>
  <c r="D208" i="103" a="1"/>
  <c r="D208" i="103" s="1"/>
  <c r="E207" i="103" a="1"/>
  <c r="E207" i="103" s="1"/>
  <c r="D207" i="103" a="1"/>
  <c r="D207" i="103" s="1"/>
  <c r="D205" i="103" a="1"/>
  <c r="D205" i="103" s="1"/>
  <c r="D204" i="103" a="1"/>
  <c r="D204" i="103" s="1"/>
  <c r="D203" i="103" a="1"/>
  <c r="D203" i="103" s="1"/>
  <c r="D202" i="103" a="1"/>
  <c r="D202" i="103" s="1"/>
  <c r="H199" i="103" a="1"/>
  <c r="H199" i="103" s="1"/>
  <c r="G199" i="103" a="1"/>
  <c r="G199" i="103" s="1"/>
  <c r="F199" i="103" a="1"/>
  <c r="F199" i="103" s="1"/>
  <c r="E199" i="103" a="1"/>
  <c r="E199" i="103" s="1"/>
  <c r="D199" i="103" a="1"/>
  <c r="D199" i="103" s="1"/>
  <c r="H198" i="103" a="1"/>
  <c r="H198" i="103" s="1"/>
  <c r="G198" i="103" a="1"/>
  <c r="G198" i="103" s="1"/>
  <c r="F198" i="103" a="1"/>
  <c r="F198" i="103" s="1"/>
  <c r="E198" i="103" a="1"/>
  <c r="E198" i="103" s="1"/>
  <c r="D198" i="103" a="1"/>
  <c r="D198" i="103" s="1"/>
  <c r="H197" i="103" a="1"/>
  <c r="H197" i="103" s="1"/>
  <c r="G197" i="103" a="1"/>
  <c r="G197" i="103" s="1"/>
  <c r="F197" i="103" a="1"/>
  <c r="F197" i="103" s="1"/>
  <c r="E197" i="103" a="1"/>
  <c r="E197" i="103" s="1"/>
  <c r="D197" i="103" a="1"/>
  <c r="D197" i="103" s="1"/>
  <c r="H196" i="103" a="1"/>
  <c r="H196" i="103" s="1"/>
  <c r="G196" i="103" a="1"/>
  <c r="G196" i="103" s="1"/>
  <c r="F196" i="103" a="1"/>
  <c r="F196" i="103" s="1"/>
  <c r="E196" i="103" a="1"/>
  <c r="E196" i="103" s="1"/>
  <c r="D196" i="103" a="1"/>
  <c r="D196" i="103" s="1"/>
  <c r="H195" i="103" a="1"/>
  <c r="H195" i="103" s="1"/>
  <c r="G195" i="103" a="1"/>
  <c r="G195" i="103" s="1"/>
  <c r="F195" i="103" a="1"/>
  <c r="F195" i="103" s="1"/>
  <c r="E195" i="103" a="1"/>
  <c r="E195" i="103" s="1"/>
  <c r="D195" i="103" a="1"/>
  <c r="D195" i="103" s="1"/>
  <c r="H194" i="103" a="1"/>
  <c r="H194" i="103" s="1"/>
  <c r="G194" i="103" a="1"/>
  <c r="G194" i="103" s="1"/>
  <c r="F194" i="103" a="1"/>
  <c r="F194" i="103" s="1"/>
  <c r="E194" i="103" a="1"/>
  <c r="E194" i="103" s="1"/>
  <c r="D194" i="103" a="1"/>
  <c r="D194" i="103" s="1"/>
  <c r="H193" i="103" a="1"/>
  <c r="H193" i="103" s="1"/>
  <c r="G193" i="103" a="1"/>
  <c r="G193" i="103" s="1"/>
  <c r="F193" i="103" a="1"/>
  <c r="F193" i="103" s="1"/>
  <c r="E193" i="103" a="1"/>
  <c r="E193" i="103" s="1"/>
  <c r="D193" i="103" a="1"/>
  <c r="D193" i="103" s="1"/>
  <c r="H192" i="103" a="1"/>
  <c r="H192" i="103" s="1"/>
  <c r="G192" i="103" a="1"/>
  <c r="G192" i="103" s="1"/>
  <c r="F192" i="103" a="1"/>
  <c r="F192" i="103" s="1"/>
  <c r="E192" i="103" a="1"/>
  <c r="E192" i="103" s="1"/>
  <c r="D192" i="103" a="1"/>
  <c r="D192" i="103" s="1"/>
  <c r="H191" i="103" a="1"/>
  <c r="H191" i="103" s="1"/>
  <c r="G191" i="103" a="1"/>
  <c r="G191" i="103" s="1"/>
  <c r="F191" i="103" a="1"/>
  <c r="F191" i="103" s="1"/>
  <c r="E191" i="103" a="1"/>
  <c r="E191" i="103" s="1"/>
  <c r="D191" i="103" a="1"/>
  <c r="D191" i="103" s="1"/>
  <c r="H190" i="103" a="1"/>
  <c r="H190" i="103" s="1"/>
  <c r="G190" i="103" a="1"/>
  <c r="G190" i="103" s="1"/>
  <c r="F190" i="103" a="1"/>
  <c r="F190" i="103" s="1"/>
  <c r="E190" i="103" a="1"/>
  <c r="E190" i="103" s="1"/>
  <c r="D190" i="103" a="1"/>
  <c r="D190" i="103" s="1"/>
  <c r="H189" i="103" a="1"/>
  <c r="H189" i="103" s="1"/>
  <c r="G189" i="103" a="1"/>
  <c r="G189" i="103" s="1"/>
  <c r="F189" i="103" a="1"/>
  <c r="F189" i="103" s="1"/>
  <c r="E189" i="103" a="1"/>
  <c r="E189" i="103" s="1"/>
  <c r="D189" i="103" a="1"/>
  <c r="D189" i="103" s="1"/>
  <c r="H188" i="103" a="1"/>
  <c r="H188" i="103" s="1"/>
  <c r="G188" i="103" a="1"/>
  <c r="G188" i="103" s="1"/>
  <c r="F188" i="103" a="1"/>
  <c r="F188" i="103" s="1"/>
  <c r="E188" i="103" a="1"/>
  <c r="E188" i="103" s="1"/>
  <c r="D188" i="103" a="1"/>
  <c r="D188" i="103" s="1"/>
  <c r="H187" i="103" a="1"/>
  <c r="H187" i="103" s="1"/>
  <c r="G187" i="103" a="1"/>
  <c r="G187" i="103" s="1"/>
  <c r="F187" i="103" a="1"/>
  <c r="F187" i="103" s="1"/>
  <c r="E187" i="103" a="1"/>
  <c r="E187" i="103" s="1"/>
  <c r="D187" i="103" a="1"/>
  <c r="D187" i="103" s="1"/>
  <c r="D181" i="103" a="1"/>
  <c r="D181" i="103" s="1"/>
  <c r="D180" i="103" a="1"/>
  <c r="D180" i="103" s="1"/>
  <c r="D179" i="103" a="1"/>
  <c r="D179" i="103" s="1"/>
  <c r="D178" i="103" a="1"/>
  <c r="D178" i="103" s="1"/>
  <c r="E175" i="103" a="1"/>
  <c r="E175" i="103" s="1"/>
  <c r="D175" i="103" a="1"/>
  <c r="D175" i="103" s="1"/>
  <c r="D174" i="103" a="1"/>
  <c r="D174" i="103" s="1"/>
  <c r="D173" i="103" a="1"/>
  <c r="D173" i="103" s="1"/>
  <c r="D170" i="103" a="1"/>
  <c r="D170" i="103" s="1"/>
  <c r="D169" i="103" a="1"/>
  <c r="D169" i="103" s="1"/>
  <c r="D168" i="103" a="1"/>
  <c r="D168" i="103" s="1"/>
  <c r="D167" i="103" a="1"/>
  <c r="D167" i="103" s="1"/>
  <c r="D164" i="103" a="1"/>
  <c r="D164" i="103" s="1"/>
  <c r="D163" i="103" a="1"/>
  <c r="D163" i="103" s="1"/>
  <c r="D162" i="103" a="1"/>
  <c r="D162" i="103" s="1"/>
  <c r="D161" i="103" a="1"/>
  <c r="D161" i="103" s="1"/>
  <c r="E158" i="103" a="1"/>
  <c r="E158" i="103" s="1"/>
  <c r="D158" i="103" a="1"/>
  <c r="D158" i="103" s="1"/>
  <c r="E157" i="103" a="1"/>
  <c r="E157" i="103" s="1"/>
  <c r="D157" i="103" a="1"/>
  <c r="D157" i="103" s="1"/>
  <c r="E156" i="103" a="1"/>
  <c r="E156" i="103" s="1"/>
  <c r="D156" i="103" a="1"/>
  <c r="D156" i="103" s="1"/>
  <c r="E155" i="103" a="1"/>
  <c r="E155" i="103" s="1"/>
  <c r="D155" i="103" a="1"/>
  <c r="D155" i="103" s="1"/>
  <c r="E154" i="103" a="1"/>
  <c r="E154" i="103" s="1"/>
  <c r="D154" i="103" a="1"/>
  <c r="D154" i="103" s="1"/>
  <c r="D151" i="103" a="1"/>
  <c r="D151" i="103" s="1"/>
  <c r="D150" i="103" a="1"/>
  <c r="D150" i="103" s="1"/>
  <c r="E147" i="103" a="1"/>
  <c r="E147" i="103" s="1"/>
  <c r="D147" i="103" a="1"/>
  <c r="D147" i="103" s="1"/>
  <c r="E146" i="103" a="1"/>
  <c r="E146" i="103" s="1"/>
  <c r="D146" i="103" a="1"/>
  <c r="D146" i="103" s="1"/>
  <c r="E145" i="103" a="1"/>
  <c r="E145" i="103" s="1"/>
  <c r="D145" i="103" a="1"/>
  <c r="D145" i="103" s="1"/>
  <c r="E144" i="103" a="1"/>
  <c r="E144" i="103" s="1"/>
  <c r="D144" i="103" a="1"/>
  <c r="D144" i="103" s="1"/>
  <c r="E143" i="103" a="1"/>
  <c r="E143" i="103" s="1"/>
  <c r="D143" i="103" a="1"/>
  <c r="D143" i="103" s="1"/>
  <c r="D141" i="103" a="1"/>
  <c r="D141" i="103" s="1"/>
  <c r="D140" i="103"/>
  <c r="D140" i="103" a="1"/>
  <c r="D139" i="103" a="1"/>
  <c r="D139" i="103" s="1"/>
  <c r="E136" i="103" a="1"/>
  <c r="E136" i="103" s="1"/>
  <c r="D136" i="103" a="1"/>
  <c r="D136" i="103" s="1"/>
  <c r="E135" i="103" a="1"/>
  <c r="E135" i="103" s="1"/>
  <c r="D135" i="103" a="1"/>
  <c r="D135" i="103" s="1"/>
  <c r="D133" i="103" a="1"/>
  <c r="D133" i="103" s="1"/>
  <c r="D132" i="103" a="1"/>
  <c r="D132" i="103" s="1"/>
  <c r="E129" i="103" a="1"/>
  <c r="E129" i="103" s="1"/>
  <c r="D129" i="103" a="1"/>
  <c r="D129" i="103" s="1"/>
  <c r="E128" i="103" a="1"/>
  <c r="E128" i="103" s="1"/>
  <c r="D128" i="103" a="1"/>
  <c r="D128" i="103" s="1"/>
  <c r="D125" i="103" a="1"/>
  <c r="D125" i="103" s="1"/>
  <c r="D124" i="103" a="1"/>
  <c r="D124" i="103" s="1"/>
  <c r="G121" i="103" a="1"/>
  <c r="G121" i="103" s="1"/>
  <c r="F121" i="103" a="1"/>
  <c r="F121" i="103" s="1"/>
  <c r="E121" i="103" a="1"/>
  <c r="E121" i="103" s="1"/>
  <c r="D121" i="103" a="1"/>
  <c r="D121" i="103" s="1"/>
  <c r="G120" i="103" a="1"/>
  <c r="G120" i="103" s="1"/>
  <c r="F120" i="103" a="1"/>
  <c r="F120" i="103" s="1"/>
  <c r="E120" i="103" a="1"/>
  <c r="E120" i="103" s="1"/>
  <c r="D120" i="103" a="1"/>
  <c r="D120" i="103" s="1"/>
  <c r="D117" i="103" a="1"/>
  <c r="D117" i="103" s="1"/>
  <c r="D116" i="103" a="1"/>
  <c r="D116" i="103" s="1"/>
  <c r="D115" i="103" a="1"/>
  <c r="D115" i="103" s="1"/>
  <c r="G112" i="103" a="1"/>
  <c r="G112" i="103" s="1"/>
  <c r="F112" i="103" a="1"/>
  <c r="F112" i="103" s="1"/>
  <c r="E112" i="103" a="1"/>
  <c r="E112" i="103" s="1"/>
  <c r="D112" i="103" a="1"/>
  <c r="D112" i="103" s="1"/>
  <c r="G111" i="103" a="1"/>
  <c r="G111" i="103" s="1"/>
  <c r="F111" i="103" a="1"/>
  <c r="F111" i="103" s="1"/>
  <c r="E111" i="103" a="1"/>
  <c r="E111" i="103" s="1"/>
  <c r="D111" i="103" a="1"/>
  <c r="D111" i="103" s="1"/>
  <c r="G110" i="103" a="1"/>
  <c r="G110" i="103" s="1"/>
  <c r="F110" i="103" a="1"/>
  <c r="F110" i="103" s="1"/>
  <c r="E110" i="103" a="1"/>
  <c r="E110" i="103" s="1"/>
  <c r="D110" i="103" a="1"/>
  <c r="D110" i="103" s="1"/>
  <c r="D107" i="103" a="1"/>
  <c r="D107" i="103" s="1"/>
  <c r="D106" i="103" a="1"/>
  <c r="D106" i="103" s="1"/>
  <c r="D105" i="103" a="1"/>
  <c r="D105" i="103" s="1"/>
  <c r="D99" i="103" a="1"/>
  <c r="D99" i="103" s="1"/>
  <c r="S97" i="103" a="1"/>
  <c r="S97" i="103" s="1"/>
  <c r="R97" i="103" a="1"/>
  <c r="R97" i="103" s="1"/>
  <c r="Q97" i="103" a="1"/>
  <c r="Q97" i="103" s="1"/>
  <c r="P97" i="103" a="1"/>
  <c r="P97" i="103" s="1"/>
  <c r="O97" i="103" a="1"/>
  <c r="O97" i="103" s="1"/>
  <c r="N97" i="103" a="1"/>
  <c r="N97" i="103" s="1"/>
  <c r="M97" i="103" a="1"/>
  <c r="M97" i="103" s="1"/>
  <c r="L97" i="103" a="1"/>
  <c r="L97" i="103" s="1"/>
  <c r="K97" i="103" a="1"/>
  <c r="K97" i="103" s="1"/>
  <c r="J97" i="103" a="1"/>
  <c r="J97" i="103" s="1"/>
  <c r="I97" i="103" a="1"/>
  <c r="I97" i="103" s="1"/>
  <c r="H97" i="103" a="1"/>
  <c r="H97" i="103" s="1"/>
  <c r="G97" i="103" a="1"/>
  <c r="G97" i="103" s="1"/>
  <c r="F97" i="103" a="1"/>
  <c r="F97" i="103" s="1"/>
  <c r="E97" i="103" a="1"/>
  <c r="E97" i="103" s="1"/>
  <c r="D97" i="103" a="1"/>
  <c r="D97" i="103" s="1"/>
  <c r="S96" i="103" a="1"/>
  <c r="S96" i="103" s="1"/>
  <c r="R96" i="103" a="1"/>
  <c r="R96" i="103" s="1"/>
  <c r="Q96" i="103" a="1"/>
  <c r="Q96" i="103" s="1"/>
  <c r="P96" i="103" a="1"/>
  <c r="P96" i="103" s="1"/>
  <c r="O96" i="103" a="1"/>
  <c r="O96" i="103" s="1"/>
  <c r="N96" i="103" a="1"/>
  <c r="N96" i="103" s="1"/>
  <c r="M96" i="103" a="1"/>
  <c r="M96" i="103" s="1"/>
  <c r="L96" i="103" a="1"/>
  <c r="L96" i="103" s="1"/>
  <c r="K96" i="103" a="1"/>
  <c r="K96" i="103" s="1"/>
  <c r="J96" i="103" a="1"/>
  <c r="J96" i="103" s="1"/>
  <c r="I96" i="103" a="1"/>
  <c r="I96" i="103" s="1"/>
  <c r="H96" i="103" a="1"/>
  <c r="H96" i="103" s="1"/>
  <c r="G96" i="103" a="1"/>
  <c r="G96" i="103" s="1"/>
  <c r="F96" i="103" a="1"/>
  <c r="F96" i="103" s="1"/>
  <c r="E96" i="103" a="1"/>
  <c r="E96" i="103" s="1"/>
  <c r="D96" i="103" a="1"/>
  <c r="D96" i="103" s="1"/>
  <c r="S95" i="103" a="1"/>
  <c r="S95" i="103" s="1"/>
  <c r="R95" i="103" a="1"/>
  <c r="R95" i="103" s="1"/>
  <c r="Q95" i="103" a="1"/>
  <c r="Q95" i="103" s="1"/>
  <c r="P95" i="103" a="1"/>
  <c r="P95" i="103" s="1"/>
  <c r="O95" i="103" a="1"/>
  <c r="O95" i="103" s="1"/>
  <c r="N95" i="103" a="1"/>
  <c r="N95" i="103" s="1"/>
  <c r="M95" i="103" a="1"/>
  <c r="M95" i="103" s="1"/>
  <c r="L95" i="103" a="1"/>
  <c r="L95" i="103" s="1"/>
  <c r="K95" i="103" a="1"/>
  <c r="K95" i="103" s="1"/>
  <c r="J95" i="103" a="1"/>
  <c r="J95" i="103" s="1"/>
  <c r="I95" i="103" a="1"/>
  <c r="I95" i="103" s="1"/>
  <c r="H95" i="103" a="1"/>
  <c r="H95" i="103" s="1"/>
  <c r="G95" i="103" a="1"/>
  <c r="G95" i="103" s="1"/>
  <c r="F95" i="103" a="1"/>
  <c r="F95" i="103" s="1"/>
  <c r="E95" i="103" a="1"/>
  <c r="E95" i="103" s="1"/>
  <c r="D95" i="103" a="1"/>
  <c r="D95" i="103" s="1"/>
  <c r="S94" i="103" a="1"/>
  <c r="S94" i="103" s="1"/>
  <c r="R94" i="103" a="1"/>
  <c r="R94" i="103" s="1"/>
  <c r="Q94" i="103" a="1"/>
  <c r="Q94" i="103" s="1"/>
  <c r="P94" i="103" a="1"/>
  <c r="P94" i="103" s="1"/>
  <c r="O94" i="103" a="1"/>
  <c r="O94" i="103" s="1"/>
  <c r="N94" i="103" a="1"/>
  <c r="N94" i="103" s="1"/>
  <c r="M94" i="103" a="1"/>
  <c r="M94" i="103" s="1"/>
  <c r="L94" i="103" a="1"/>
  <c r="L94" i="103" s="1"/>
  <c r="K94" i="103" a="1"/>
  <c r="K94" i="103" s="1"/>
  <c r="J94" i="103" a="1"/>
  <c r="J94" i="103" s="1"/>
  <c r="I94" i="103" a="1"/>
  <c r="I94" i="103" s="1"/>
  <c r="H94" i="103" a="1"/>
  <c r="H94" i="103" s="1"/>
  <c r="G94" i="103" a="1"/>
  <c r="G94" i="103" s="1"/>
  <c r="F94" i="103" a="1"/>
  <c r="F94" i="103" s="1"/>
  <c r="E94" i="103" a="1"/>
  <c r="E94" i="103" s="1"/>
  <c r="D94" i="103" a="1"/>
  <c r="D94" i="103" s="1"/>
  <c r="S93" i="103" a="1"/>
  <c r="S93" i="103" s="1"/>
  <c r="R93" i="103" a="1"/>
  <c r="R93" i="103" s="1"/>
  <c r="Q93" i="103" a="1"/>
  <c r="Q93" i="103" s="1"/>
  <c r="P93" i="103" a="1"/>
  <c r="P93" i="103" s="1"/>
  <c r="O93" i="103" a="1"/>
  <c r="O93" i="103" s="1"/>
  <c r="N93" i="103" a="1"/>
  <c r="N93" i="103" s="1"/>
  <c r="M93" i="103" a="1"/>
  <c r="M93" i="103" s="1"/>
  <c r="L93" i="103" a="1"/>
  <c r="L93" i="103" s="1"/>
  <c r="K93" i="103" a="1"/>
  <c r="K93" i="103" s="1"/>
  <c r="J93" i="103" a="1"/>
  <c r="J93" i="103" s="1"/>
  <c r="I93" i="103" a="1"/>
  <c r="I93" i="103" s="1"/>
  <c r="H93" i="103" a="1"/>
  <c r="H93" i="103" s="1"/>
  <c r="G93" i="103" a="1"/>
  <c r="G93" i="103" s="1"/>
  <c r="F93" i="103" a="1"/>
  <c r="F93" i="103" s="1"/>
  <c r="E93" i="103" a="1"/>
  <c r="E93" i="103" s="1"/>
  <c r="D93" i="103" a="1"/>
  <c r="D93" i="103" s="1"/>
  <c r="S92" i="103" a="1"/>
  <c r="S92" i="103" s="1"/>
  <c r="R92" i="103" a="1"/>
  <c r="R92" i="103" s="1"/>
  <c r="Q92" i="103" a="1"/>
  <c r="Q92" i="103" s="1"/>
  <c r="P92" i="103" a="1"/>
  <c r="P92" i="103" s="1"/>
  <c r="O92" i="103" a="1"/>
  <c r="O92" i="103" s="1"/>
  <c r="N92" i="103" a="1"/>
  <c r="N92" i="103" s="1"/>
  <c r="M92" i="103" a="1"/>
  <c r="M92" i="103" s="1"/>
  <c r="L92" i="103" a="1"/>
  <c r="L92" i="103" s="1"/>
  <c r="K92" i="103" a="1"/>
  <c r="K92" i="103" s="1"/>
  <c r="J92" i="103" a="1"/>
  <c r="J92" i="103" s="1"/>
  <c r="I92" i="103" a="1"/>
  <c r="I92" i="103" s="1"/>
  <c r="H92" i="103" a="1"/>
  <c r="H92" i="103" s="1"/>
  <c r="G92" i="103" a="1"/>
  <c r="G92" i="103" s="1"/>
  <c r="F92" i="103" a="1"/>
  <c r="F92" i="103" s="1"/>
  <c r="E92" i="103" a="1"/>
  <c r="E92" i="103" s="1"/>
  <c r="D92" i="103" a="1"/>
  <c r="D92" i="103" s="1"/>
  <c r="S91" i="103" a="1"/>
  <c r="S91" i="103" s="1"/>
  <c r="R91" i="103" a="1"/>
  <c r="R91" i="103" s="1"/>
  <c r="Q91" i="103" a="1"/>
  <c r="Q91" i="103" s="1"/>
  <c r="P91" i="103" a="1"/>
  <c r="P91" i="103" s="1"/>
  <c r="O91" i="103" a="1"/>
  <c r="O91" i="103" s="1"/>
  <c r="N91" i="103" a="1"/>
  <c r="N91" i="103" s="1"/>
  <c r="M91" i="103" a="1"/>
  <c r="M91" i="103" s="1"/>
  <c r="L91" i="103" a="1"/>
  <c r="L91" i="103" s="1"/>
  <c r="K91" i="103" a="1"/>
  <c r="K91" i="103" s="1"/>
  <c r="J91" i="103" a="1"/>
  <c r="J91" i="103" s="1"/>
  <c r="I91" i="103" a="1"/>
  <c r="I91" i="103" s="1"/>
  <c r="H91" i="103" a="1"/>
  <c r="H91" i="103" s="1"/>
  <c r="G91" i="103" a="1"/>
  <c r="G91" i="103" s="1"/>
  <c r="F91" i="103" a="1"/>
  <c r="F91" i="103" s="1"/>
  <c r="E91" i="103" a="1"/>
  <c r="E91" i="103" s="1"/>
  <c r="D91" i="103" a="1"/>
  <c r="D91" i="103" s="1"/>
  <c r="S90" i="103" a="1"/>
  <c r="S90" i="103" s="1"/>
  <c r="R90" i="103" a="1"/>
  <c r="R90" i="103" s="1"/>
  <c r="Q90" i="103" a="1"/>
  <c r="Q90" i="103" s="1"/>
  <c r="P90" i="103" a="1"/>
  <c r="P90" i="103" s="1"/>
  <c r="O90" i="103" a="1"/>
  <c r="O90" i="103" s="1"/>
  <c r="N90" i="103" a="1"/>
  <c r="N90" i="103" s="1"/>
  <c r="M90" i="103" a="1"/>
  <c r="M90" i="103" s="1"/>
  <c r="L90" i="103" a="1"/>
  <c r="L90" i="103" s="1"/>
  <c r="K90" i="103" a="1"/>
  <c r="K90" i="103" s="1"/>
  <c r="J90" i="103" a="1"/>
  <c r="J90" i="103" s="1"/>
  <c r="I90" i="103" a="1"/>
  <c r="I90" i="103" s="1"/>
  <c r="H90" i="103" a="1"/>
  <c r="H90" i="103" s="1"/>
  <c r="G90" i="103" a="1"/>
  <c r="G90" i="103" s="1"/>
  <c r="F90" i="103" a="1"/>
  <c r="F90" i="103" s="1"/>
  <c r="E90" i="103" a="1"/>
  <c r="E90" i="103" s="1"/>
  <c r="D90" i="103" a="1"/>
  <c r="D90" i="103" s="1"/>
  <c r="D83" i="103" a="1"/>
  <c r="D83" i="103" s="1"/>
  <c r="D82" i="103" a="1"/>
  <c r="D82" i="103" s="1"/>
  <c r="D81" i="103"/>
  <c r="D81" i="103" a="1"/>
  <c r="E77" i="103" a="1"/>
  <c r="E77" i="103" s="1"/>
  <c r="D77" i="103" a="1"/>
  <c r="D77" i="103" s="1"/>
  <c r="E76" i="103" a="1"/>
  <c r="E76" i="103" s="1"/>
  <c r="D76" i="103" a="1"/>
  <c r="D76" i="103" s="1"/>
  <c r="E75" i="103" a="1"/>
  <c r="E75" i="103" s="1"/>
  <c r="D75" i="103" a="1"/>
  <c r="D75" i="103" s="1"/>
  <c r="E74" i="103" a="1"/>
  <c r="E74" i="103" s="1"/>
  <c r="D74" i="103" a="1"/>
  <c r="D74" i="103" s="1"/>
  <c r="E73" i="103" a="1"/>
  <c r="E73" i="103" s="1"/>
  <c r="D73" i="103" a="1"/>
  <c r="D73" i="103" s="1"/>
  <c r="E72" i="103" a="1"/>
  <c r="E72" i="103" s="1"/>
  <c r="D72" i="103" a="1"/>
  <c r="D72" i="103" s="1"/>
  <c r="E71" i="103" a="1"/>
  <c r="E71" i="103" s="1"/>
  <c r="D71" i="103" a="1"/>
  <c r="D71" i="103" s="1"/>
  <c r="E70" i="103" a="1"/>
  <c r="E70" i="103" s="1"/>
  <c r="D70" i="103" a="1"/>
  <c r="D70" i="103" s="1"/>
  <c r="E69" i="103" a="1"/>
  <c r="E69" i="103" s="1"/>
  <c r="D69" i="103" a="1"/>
  <c r="D69" i="103" s="1"/>
  <c r="E68" i="103" a="1"/>
  <c r="E68" i="103" s="1"/>
  <c r="D68" i="103" a="1"/>
  <c r="D68" i="103" s="1"/>
  <c r="E67" i="103" a="1"/>
  <c r="E67" i="103" s="1"/>
  <c r="D67" i="103" a="1"/>
  <c r="D67" i="103" s="1"/>
  <c r="E66" i="103" a="1"/>
  <c r="E66" i="103" s="1"/>
  <c r="D66" i="103" a="1"/>
  <c r="D66" i="103" s="1"/>
  <c r="E65" i="103" a="1"/>
  <c r="E65" i="103" s="1"/>
  <c r="D65" i="103" a="1"/>
  <c r="D65" i="103" s="1"/>
  <c r="E64" i="103" a="1"/>
  <c r="E64" i="103" s="1"/>
  <c r="D64" i="103" a="1"/>
  <c r="D64" i="103" s="1"/>
  <c r="D59" i="103" a="1"/>
  <c r="D59" i="103" s="1"/>
  <c r="D58" i="103" a="1"/>
  <c r="D58" i="103" s="1"/>
  <c r="D57" i="103" a="1"/>
  <c r="D57" i="103" s="1"/>
  <c r="G54" i="103" a="1"/>
  <c r="G54" i="103" s="1"/>
  <c r="F54" i="103" a="1"/>
  <c r="F54" i="103" s="1"/>
  <c r="E54" i="103" a="1"/>
  <c r="E54" i="103" s="1"/>
  <c r="D54" i="103" a="1"/>
  <c r="D54" i="103" s="1"/>
  <c r="G53" i="103" a="1"/>
  <c r="G53" i="103" s="1"/>
  <c r="F53" i="103" a="1"/>
  <c r="F53" i="103" s="1"/>
  <c r="E53" i="103" a="1"/>
  <c r="E53" i="103" s="1"/>
  <c r="D53" i="103" a="1"/>
  <c r="D53" i="103" s="1"/>
  <c r="G52" i="103" a="1"/>
  <c r="G52" i="103" s="1"/>
  <c r="F52" i="103" a="1"/>
  <c r="F52" i="103" s="1"/>
  <c r="E52" i="103" a="1"/>
  <c r="E52" i="103" s="1"/>
  <c r="D52" i="103" a="1"/>
  <c r="D52" i="103" s="1"/>
  <c r="G51" i="103" a="1"/>
  <c r="G51" i="103" s="1"/>
  <c r="F51" i="103" a="1"/>
  <c r="F51" i="103" s="1"/>
  <c r="E51" i="103" a="1"/>
  <c r="E51" i="103" s="1"/>
  <c r="D51" i="103" a="1"/>
  <c r="D51" i="103" s="1"/>
  <c r="G50" i="103" a="1"/>
  <c r="G50" i="103" s="1"/>
  <c r="F50" i="103" a="1"/>
  <c r="F50" i="103" s="1"/>
  <c r="E50" i="103" a="1"/>
  <c r="E50" i="103" s="1"/>
  <c r="D50" i="103" a="1"/>
  <c r="D50" i="103" s="1"/>
  <c r="G49" i="103" a="1"/>
  <c r="G49" i="103" s="1"/>
  <c r="F49" i="103" a="1"/>
  <c r="F49" i="103" s="1"/>
  <c r="E49" i="103" a="1"/>
  <c r="E49" i="103" s="1"/>
  <c r="D49" i="103" a="1"/>
  <c r="D49" i="103" s="1"/>
  <c r="G48" i="103" a="1"/>
  <c r="G48" i="103" s="1"/>
  <c r="F48" i="103" a="1"/>
  <c r="F48" i="103" s="1"/>
  <c r="E48" i="103" a="1"/>
  <c r="E48" i="103" s="1"/>
  <c r="D48" i="103" a="1"/>
  <c r="D48" i="103" s="1"/>
  <c r="D46" i="103" a="1"/>
  <c r="D46" i="103" s="1"/>
  <c r="D45" i="103" a="1"/>
  <c r="D45" i="103" s="1"/>
  <c r="E43" i="103" a="1"/>
  <c r="E43" i="103" s="1"/>
  <c r="D43" i="103" a="1"/>
  <c r="D43" i="103" s="1"/>
  <c r="E42" i="103" a="1"/>
  <c r="E42" i="103" s="1"/>
  <c r="D42" i="103" a="1"/>
  <c r="D42" i="103" s="1"/>
  <c r="E41" i="103" a="1"/>
  <c r="E41" i="103" s="1"/>
  <c r="D41" i="103" a="1"/>
  <c r="D41" i="103" s="1"/>
  <c r="E40" i="103" a="1"/>
  <c r="E40" i="103" s="1"/>
  <c r="D40" i="103" a="1"/>
  <c r="D40" i="103" s="1"/>
  <c r="E39" i="103" a="1"/>
  <c r="E39" i="103" s="1"/>
  <c r="D39" i="103" a="1"/>
  <c r="D39" i="103" s="1"/>
  <c r="E38" i="103" a="1"/>
  <c r="E38" i="103" s="1"/>
  <c r="D38" i="103" a="1"/>
  <c r="D38" i="103" s="1"/>
  <c r="E37" i="103" a="1"/>
  <c r="E37" i="103" s="1"/>
  <c r="D37" i="103" a="1"/>
  <c r="D37" i="103" s="1"/>
  <c r="D35" i="103" a="1"/>
  <c r="D35" i="103" s="1"/>
  <c r="D34" i="103" a="1"/>
  <c r="D34"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19" i="103" a="1"/>
  <c r="D19" i="103" s="1"/>
  <c r="D18" i="103" a="1"/>
  <c r="D18"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F9" i="103" a="1"/>
  <c r="F9" i="103" s="1"/>
  <c r="E9" i="103" a="1"/>
  <c r="E9" i="103" s="1"/>
  <c r="D9" i="103" a="1"/>
  <c r="D9" i="103" s="1"/>
  <c r="F8" i="103" a="1"/>
  <c r="F8" i="103" s="1"/>
  <c r="E8" i="103" a="1"/>
  <c r="E8" i="103" s="1"/>
  <c r="D8" i="103" a="1"/>
  <c r="D8" i="103" s="1"/>
  <c r="F7" i="103" a="1"/>
  <c r="F7" i="103" s="1"/>
  <c r="E7" i="103" a="1"/>
  <c r="E7" i="103" s="1"/>
  <c r="D7" i="103" a="1"/>
  <c r="D7" i="103" s="1"/>
  <c r="D5" i="103" a="1"/>
  <c r="D5" i="103" s="1"/>
  <c r="E51" i="81"/>
  <c r="E50" i="81"/>
  <c r="E49" i="81"/>
  <c r="E48" i="81"/>
  <c r="D26" i="82"/>
  <c r="D23" i="82"/>
  <c r="E101" i="76" a="1"/>
  <c r="E101" i="76" s="1"/>
  <c r="D78" i="76" a="1"/>
  <c r="D78" i="76" s="1"/>
  <c r="D73" i="76" a="1"/>
  <c r="D73" i="76" s="1"/>
  <c r="D159" i="69" a="1"/>
  <c r="D159" i="69" s="1"/>
  <c r="D145" i="69" a="1"/>
  <c r="D145" i="69" s="1"/>
  <c r="R112" i="69" a="1"/>
  <c r="R112" i="69" s="1"/>
  <c r="E52" i="69" a="1"/>
  <c r="E52" i="69" s="1"/>
  <c r="N108" i="81"/>
  <c r="D108" i="81"/>
  <c r="E101" i="81"/>
  <c r="D100" i="81"/>
  <c r="E99" i="81"/>
  <c r="E98" i="81"/>
  <c r="N84" i="81"/>
  <c r="D84" i="81"/>
  <c r="N58" i="81"/>
  <c r="D58" i="81"/>
  <c r="D50" i="81"/>
  <c r="D42" i="81"/>
  <c r="D39" i="81"/>
  <c r="D30" i="81"/>
  <c r="N24" i="81"/>
  <c r="D24" i="81"/>
  <c r="M43" i="82"/>
  <c r="D43" i="82"/>
  <c r="M40" i="82"/>
  <c r="D40" i="82"/>
  <c r="D32" i="82"/>
  <c r="M26" i="82"/>
  <c r="M23" i="82"/>
  <c r="O209" i="76"/>
  <c r="D209" i="76"/>
  <c r="O206" i="76"/>
  <c r="D206" i="76"/>
  <c r="D195" i="76"/>
  <c r="O176" i="76"/>
  <c r="D176" i="76"/>
  <c r="O106" i="76"/>
  <c r="D106" i="76"/>
  <c r="N167" i="69"/>
  <c r="E167" i="69"/>
  <c r="N164" i="69"/>
  <c r="E164" i="69"/>
  <c r="N153" i="69"/>
  <c r="E153" i="69"/>
  <c r="N150" i="69"/>
  <c r="E150" i="69"/>
  <c r="R115" i="69"/>
  <c r="M98" i="69"/>
  <c r="D98" i="69"/>
  <c r="N89" i="69"/>
  <c r="M89" i="69"/>
  <c r="E89" i="69"/>
  <c r="M88" i="69"/>
  <c r="M87" i="69"/>
  <c r="R75" i="69"/>
  <c r="M57" i="69"/>
  <c r="D57" i="69"/>
  <c r="D52" i="69"/>
  <c r="A21" i="43"/>
  <c r="A20" i="43"/>
  <c r="A19" i="43"/>
  <c r="A18" i="43"/>
  <c r="A15" i="43"/>
  <c r="A14" i="43"/>
  <c r="A13" i="43"/>
  <c r="A12" i="43"/>
  <c r="A9" i="43"/>
  <c r="A8" i="43"/>
  <c r="A5" i="43"/>
  <c r="A4" i="43"/>
  <c r="A3" i="43"/>
  <c r="A21" i="79"/>
  <c r="A20" i="79"/>
  <c r="A19" i="79"/>
  <c r="A18" i="79"/>
  <c r="A15" i="79"/>
  <c r="A14" i="79"/>
  <c r="A13" i="79"/>
  <c r="A12" i="79"/>
  <c r="A9" i="79"/>
  <c r="A8" i="79"/>
  <c r="A5" i="79"/>
  <c r="A4" i="79"/>
  <c r="A3" i="79"/>
  <c r="A21" i="81"/>
  <c r="A20" i="81"/>
  <c r="A19" i="81"/>
  <c r="A18" i="81"/>
  <c r="A15" i="81"/>
  <c r="A14" i="81"/>
  <c r="A13" i="81"/>
  <c r="A12" i="81"/>
  <c r="A9" i="81"/>
  <c r="A8" i="81"/>
  <c r="A5" i="81"/>
  <c r="A4" i="81"/>
  <c r="A3" i="81"/>
  <c r="A21" i="82"/>
  <c r="A20" i="82"/>
  <c r="A19" i="82"/>
  <c r="A18" i="82"/>
  <c r="A15" i="82"/>
  <c r="A14" i="82"/>
  <c r="A13" i="82"/>
  <c r="A12" i="82"/>
  <c r="A9" i="82"/>
  <c r="A8" i="82"/>
  <c r="A5" i="82"/>
  <c r="A4" i="82"/>
  <c r="A3" i="82"/>
  <c r="A21" i="76"/>
  <c r="A20" i="76"/>
  <c r="A19" i="76"/>
  <c r="A18" i="76"/>
  <c r="A15" i="76"/>
  <c r="A14" i="76"/>
  <c r="A13" i="76"/>
  <c r="A12" i="76"/>
  <c r="A9" i="76"/>
  <c r="A8" i="76"/>
  <c r="A5" i="76"/>
  <c r="A4" i="76"/>
  <c r="A3" i="76"/>
  <c r="A21" i="69"/>
  <c r="A20" i="69"/>
  <c r="A19" i="69"/>
  <c r="A18" i="69"/>
  <c r="A15" i="69"/>
  <c r="A14" i="69"/>
  <c r="A13" i="69"/>
  <c r="A12" i="69"/>
  <c r="A9" i="69"/>
  <c r="A8" i="69"/>
  <c r="A5" i="69"/>
  <c r="A4" i="69"/>
  <c r="A3" i="69"/>
  <c r="A21" i="13"/>
  <c r="A20" i="13"/>
  <c r="A19" i="13"/>
  <c r="A18" i="13"/>
  <c r="A15" i="13"/>
  <c r="A14" i="13"/>
  <c r="A13" i="13"/>
  <c r="A12" i="13"/>
  <c r="A9" i="13"/>
  <c r="A8" i="13"/>
  <c r="A5" i="13"/>
  <c r="A4" i="13"/>
  <c r="A3" i="13"/>
  <c r="A21" i="100"/>
  <c r="A20" i="100"/>
  <c r="A19" i="100"/>
  <c r="A18" i="100"/>
  <c r="A15" i="100"/>
  <c r="A14" i="100"/>
  <c r="A13" i="100"/>
  <c r="A12" i="100"/>
  <c r="A9" i="100"/>
  <c r="A8" i="100"/>
  <c r="A5" i="100"/>
  <c r="A4" i="100"/>
  <c r="A3" i="100"/>
  <c r="A21" i="15"/>
  <c r="A20" i="15"/>
  <c r="A19" i="15"/>
  <c r="A18" i="15"/>
  <c r="A15" i="15"/>
  <c r="A14" i="15"/>
  <c r="A13" i="15"/>
  <c r="A12" i="15"/>
  <c r="A9" i="15"/>
  <c r="A8" i="15"/>
  <c r="A5" i="15"/>
  <c r="A4" i="15"/>
  <c r="A3" i="15"/>
  <c r="A4" i="70"/>
  <c r="H50" i="103" l="1"/>
  <c r="H51" i="103"/>
  <c r="H48" i="103"/>
  <c r="H53" i="103"/>
  <c r="H54" i="103"/>
  <c r="H49" i="103"/>
  <c r="H52" i="103"/>
  <c r="I140" i="69" a="1"/>
  <c r="I140" i="69" s="1"/>
  <c r="I139" i="69" a="1"/>
  <c r="I139" i="69" s="1"/>
  <c r="I138" i="69" a="1"/>
  <c r="I138" i="69" s="1"/>
  <c r="G138" i="69" a="1"/>
  <c r="G138" i="69" s="1"/>
  <c r="G145" i="69" s="1"/>
  <c r="D138" i="69" a="1"/>
  <c r="D138" i="69" s="1"/>
  <c r="P110" i="69" a="1"/>
  <c r="P110" i="69" s="1"/>
  <c r="M110" i="69" a="1"/>
  <c r="M110" i="69" s="1"/>
  <c r="I112" i="69" a="1"/>
  <c r="I112" i="69" s="1"/>
  <c r="I110" i="69" a="1"/>
  <c r="I110" i="69" s="1"/>
  <c r="G110" i="69" a="1"/>
  <c r="G110" i="69" s="1"/>
  <c r="D110" i="69" a="1"/>
  <c r="D110" i="69" s="1"/>
  <c r="R73" i="69" a="1"/>
  <c r="R73" i="69" s="1"/>
  <c r="P69" i="69" a="1"/>
  <c r="P69" i="69" s="1"/>
  <c r="M69" i="69" a="1"/>
  <c r="M69" i="69" s="1"/>
  <c r="I73" i="69" a="1"/>
  <c r="I73" i="69" s="1"/>
  <c r="I72" i="69" a="1"/>
  <c r="I72" i="69" s="1"/>
  <c r="I70" i="69" a="1"/>
  <c r="I70" i="69" s="1"/>
  <c r="G69" i="69" a="1"/>
  <c r="G69" i="69" s="1"/>
  <c r="D69" i="69" a="1"/>
  <c r="D69" i="69" s="1"/>
  <c r="R150" i="69" l="1"/>
  <c r="P87" i="69"/>
  <c r="G159" i="69"/>
  <c r="G87" i="69"/>
  <c r="I150" i="69"/>
  <c r="I80" i="69"/>
  <c r="H120" i="69"/>
  <c r="P42" i="69" a="1"/>
  <c r="P42" i="69" s="1"/>
  <c r="M42" i="69" a="1"/>
  <c r="M42" i="69" s="1"/>
  <c r="R44" i="69" a="1"/>
  <c r="R44" i="69" s="1"/>
  <c r="R42" i="69" a="1"/>
  <c r="R42" i="69" s="1"/>
  <c r="I44" i="69" a="1"/>
  <c r="I44" i="69" s="1"/>
  <c r="I42" i="69" a="1"/>
  <c r="I42" i="69" s="1"/>
  <c r="G42" i="69" a="1"/>
  <c r="G42" i="69" s="1"/>
  <c r="D42" i="69" a="1"/>
  <c r="D42" i="69" s="1"/>
  <c r="H14" i="69" a="1"/>
  <c r="H14" i="69" s="1"/>
  <c r="H13" i="69" a="1"/>
  <c r="H13" i="69" s="1"/>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K34" i="70"/>
  <c r="K33" i="70"/>
  <c r="K32" i="70"/>
  <c r="K38" i="70"/>
  <c r="D37" i="70"/>
  <c r="D31" i="70"/>
  <c r="G34" i="70"/>
  <c r="F34" i="70"/>
  <c r="E34" i="70"/>
  <c r="G14" i="82" l="1"/>
  <c r="F32" i="82"/>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A21" i="70"/>
  <c r="A20" i="70"/>
  <c r="A19" i="70"/>
  <c r="A18" i="70"/>
  <c r="A15" i="70"/>
  <c r="A14" i="70"/>
  <c r="A13" i="70"/>
  <c r="A12" i="70"/>
  <c r="A9" i="70"/>
  <c r="A8" i="70"/>
  <c r="A5" i="70"/>
  <c r="A3" i="70"/>
  <c r="O70" i="82" a="1"/>
  <c r="O70" i="82" s="1"/>
  <c r="M67" i="82" a="1"/>
  <c r="M67" i="82" s="1"/>
  <c r="F70" i="82" a="1"/>
  <c r="F70" i="82" s="1"/>
  <c r="D67" i="82" a="1"/>
  <c r="D67" i="82" s="1"/>
  <c r="D51" i="82" a="1"/>
  <c r="D51" i="82" s="1"/>
  <c r="I61" i="82"/>
  <c r="I62" i="82"/>
  <c r="E52" i="82" a="1"/>
  <c r="E52" i="82" l="1"/>
  <c r="E56" i="82" a="1"/>
  <c r="E56" i="82" s="1"/>
  <c r="E55" i="82" a="1"/>
  <c r="E55" i="82" s="1"/>
  <c r="D50" i="82" a="1"/>
  <c r="D50" i="82" s="1"/>
  <c r="D6" i="82" a="1"/>
  <c r="D6" i="82" s="1"/>
  <c r="E11" i="82" a="1"/>
  <c r="E11" i="82" s="1"/>
  <c r="E12" i="82" a="1"/>
  <c r="E12" i="82" s="1"/>
  <c r="Q40" i="82" s="1"/>
  <c r="D5" i="82" a="1"/>
  <c r="D5" i="82" s="1"/>
  <c r="D66" i="81" a="1"/>
  <c r="D66" i="81" s="1"/>
  <c r="E71" i="81" a="1"/>
  <c r="E71" i="81" s="1"/>
  <c r="E72" i="81" a="1"/>
  <c r="E72" i="81" s="1"/>
  <c r="D65" i="81" a="1"/>
  <c r="D65" i="81" s="1"/>
  <c r="D6" i="81" a="1"/>
  <c r="D6" i="81" s="1"/>
  <c r="D91" i="81" s="1"/>
  <c r="E11" i="81" a="1"/>
  <c r="E11" i="81" s="1"/>
  <c r="E12" i="81" a="1"/>
  <c r="E12" i="81" s="1"/>
  <c r="D5" i="81" a="1"/>
  <c r="D5" i="81" s="1"/>
  <c r="O176" i="69" a="1"/>
  <c r="O176" i="69" s="1"/>
  <c r="M173" i="69" a="1"/>
  <c r="M173" i="69" s="1"/>
  <c r="Q217" i="76" a="1"/>
  <c r="Q217" i="76" s="1"/>
  <c r="O214" i="76" a="1"/>
  <c r="O214" i="76" s="1"/>
  <c r="D214" i="76" a="1"/>
  <c r="D214" i="76" s="1"/>
  <c r="F217" i="76" a="1"/>
  <c r="F217" i="76" s="1"/>
  <c r="E67" i="81" a="1"/>
  <c r="E7" i="81" a="1"/>
  <c r="E7" i="82" a="1"/>
  <c r="E181" i="76" a="1"/>
  <c r="R84" i="81" l="1"/>
  <c r="H84" i="81"/>
  <c r="R108" i="81"/>
  <c r="H108" i="81"/>
  <c r="F46" i="82"/>
  <c r="F87" i="81"/>
  <c r="G18" i="13" s="1"/>
  <c r="H58" i="81"/>
  <c r="R58" i="81"/>
  <c r="I63" i="82"/>
  <c r="O65" i="82"/>
  <c r="F65" i="82"/>
  <c r="G9" i="13" s="1"/>
  <c r="H57" i="81"/>
  <c r="H40" i="82"/>
  <c r="O46" i="82"/>
  <c r="E7" i="82"/>
  <c r="R56" i="81"/>
  <c r="R59" i="81"/>
  <c r="P61" i="81"/>
  <c r="R107" i="81"/>
  <c r="R109" i="81"/>
  <c r="P87" i="81"/>
  <c r="E67" i="81"/>
  <c r="E7" i="81"/>
  <c r="H82" i="81"/>
  <c r="H85" i="81"/>
  <c r="H106" i="81"/>
  <c r="H107" i="81"/>
  <c r="H83" i="81"/>
  <c r="R82" i="81"/>
  <c r="R83" i="81"/>
  <c r="H56" i="81"/>
  <c r="H109" i="81"/>
  <c r="R106" i="81"/>
  <c r="R85" i="81"/>
  <c r="H59" i="81"/>
  <c r="R57" i="81"/>
  <c r="F111" i="81"/>
  <c r="G17" i="13" s="1"/>
  <c r="P111" i="81"/>
  <c r="F61" i="81"/>
  <c r="G16" i="13" s="1"/>
  <c r="E181" i="76"/>
  <c r="G149" i="76" l="1"/>
  <c r="S106"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R45" i="69" s="1"/>
  <c r="E89" i="79" a="1"/>
  <c r="E89" i="79" s="1"/>
  <c r="D89" i="79" a="1"/>
  <c r="D89" i="79" s="1"/>
  <c r="D83" i="79" a="1"/>
  <c r="D83" i="79" s="1"/>
  <c r="D82" i="79" a="1"/>
  <c r="D82" i="79" s="1"/>
  <c r="D81" i="79" a="1"/>
  <c r="D81" i="79" s="1"/>
  <c r="F22" i="79" a="1"/>
  <c r="F22" i="79" s="1"/>
  <c r="E22" i="79" a="1"/>
  <c r="E22" i="79" s="1"/>
  <c r="R43" i="6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R30" i="76"/>
  <c r="A39" i="74"/>
  <c r="A38" i="74"/>
  <c r="A37" i="74"/>
  <c r="A36" i="74"/>
  <c r="A33" i="74"/>
  <c r="A30" i="74"/>
  <c r="A29" i="74"/>
  <c r="A28" i="74"/>
  <c r="A27" i="74"/>
  <c r="A26" i="74"/>
  <c r="A25" i="74"/>
  <c r="A24" i="74"/>
  <c r="A19" i="74"/>
  <c r="A18" i="74"/>
  <c r="A15" i="74"/>
  <c r="A14" i="74"/>
  <c r="A13" i="74"/>
  <c r="A12" i="74"/>
  <c r="A11" i="74"/>
  <c r="A10" i="74"/>
  <c r="A9" i="74"/>
  <c r="A8" i="74"/>
  <c r="A7" i="74"/>
  <c r="A4" i="74"/>
  <c r="E89" i="76" a="1"/>
  <c r="E155" i="76" a="1"/>
  <c r="E36" i="76" a="1"/>
  <c r="E60" i="76" a="1"/>
  <c r="E7" i="76" a="1"/>
  <c r="E135" i="76" a="1"/>
  <c r="E112" i="76" a="1"/>
  <c r="F89" i="69" l="1" a="1"/>
  <c r="F89" i="69" s="1"/>
  <c r="E33" i="81"/>
  <c r="E42" i="81"/>
  <c r="H129" i="76"/>
  <c r="E32" i="82"/>
  <c r="E195" i="76"/>
  <c r="E30" i="81"/>
  <c r="G17" i="70" a="1"/>
  <c r="G17" i="70" s="1"/>
  <c r="E20" i="70" a="1"/>
  <c r="E20" i="70" s="1"/>
  <c r="E39" i="81"/>
  <c r="E23" i="70" a="1"/>
  <c r="E23" i="70" s="1"/>
  <c r="O49" i="76" s="1" a="1"/>
  <c r="O49" i="76" s="1"/>
  <c r="F23" i="70" a="1"/>
  <c r="F23" i="70" s="1"/>
  <c r="G23" i="70" a="1"/>
  <c r="G23" i="70" s="1"/>
  <c r="E17" i="70" a="1"/>
  <c r="E17" i="70" s="1"/>
  <c r="F17" i="70" a="1"/>
  <c r="F17" i="70"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E15" i="70" a="1"/>
  <c r="E15" i="70" s="1"/>
  <c r="F14" i="70" a="1"/>
  <c r="F14" i="70" s="1"/>
  <c r="E14" i="70" a="1"/>
  <c r="E14" i="70" s="1"/>
  <c r="G22" i="70" a="1"/>
  <c r="G22" i="70" s="1"/>
  <c r="F20" i="70" a="1"/>
  <c r="F20" i="70" s="1"/>
  <c r="G20" i="70" a="1"/>
  <c r="G20" i="70" s="1"/>
  <c r="G15" i="70" a="1"/>
  <c r="G15" i="70" s="1"/>
  <c r="E16" i="70" a="1"/>
  <c r="E16" i="70" s="1"/>
  <c r="F16" i="70" a="1"/>
  <c r="F16" i="70" s="1"/>
  <c r="G16" i="70" a="1"/>
  <c r="G16" i="70" s="1"/>
  <c r="E21" i="70" a="1"/>
  <c r="E21" i="70" s="1"/>
  <c r="M25" i="69" s="1" a="1"/>
  <c r="M25" i="69" s="1"/>
  <c r="E22" i="70" a="1"/>
  <c r="E22" i="70" s="1"/>
  <c r="F22" i="70" a="1"/>
  <c r="F22" i="70" s="1"/>
  <c r="F15" i="70" a="1"/>
  <c r="F15" i="70" s="1"/>
  <c r="F21" i="70" a="1"/>
  <c r="F21" i="70" s="1"/>
  <c r="G21" i="70" a="1"/>
  <c r="G21" i="70" s="1"/>
  <c r="I15" i="76"/>
  <c r="D173" i="69" a="1"/>
  <c r="D173" i="69" s="1"/>
  <c r="F176" i="69" a="1"/>
  <c r="F176" i="69" s="1"/>
  <c r="E131" i="69" a="1"/>
  <c r="D49" i="76" l="1" a="1"/>
  <c r="D49" i="76" s="1"/>
  <c r="O25" i="76" a="1"/>
  <c r="O25" i="76" s="1"/>
  <c r="D25" i="76" a="1"/>
  <c r="D25" i="76" s="1"/>
  <c r="M20" i="69" a="1"/>
  <c r="M20" i="69" s="1"/>
  <c r="O20" i="76" a="1"/>
  <c r="O20" i="76" s="1"/>
  <c r="D20" i="69" a="1"/>
  <c r="D20" i="69" s="1"/>
  <c r="D20" i="76" a="1"/>
  <c r="D20" i="76" s="1"/>
  <c r="D25" i="69" a="1"/>
  <c r="D25" i="69" s="1"/>
  <c r="E131" i="69"/>
  <c r="D30" i="76" l="1" a="1"/>
  <c r="D30" i="76" s="1"/>
  <c r="D54" i="76" s="1" a="1"/>
  <c r="D54" i="76" s="1"/>
  <c r="D83" i="76" s="1" a="1"/>
  <c r="D83" i="76" s="1"/>
  <c r="E106" i="76" s="1" a="1"/>
  <c r="E106" i="76" s="1"/>
  <c r="E23" i="82" s="1"/>
  <c r="F30" i="76" a="1"/>
  <c r="F30" i="76" s="1"/>
  <c r="F54" i="76" s="1" a="1"/>
  <c r="F54" i="76" s="1"/>
  <c r="F83" i="76" s="1" a="1"/>
  <c r="F83" i="76" s="1"/>
  <c r="G106" i="76" s="1" a="1"/>
  <c r="G106" i="76" s="1"/>
  <c r="G23" i="82" s="1"/>
  <c r="G40" i="82" s="1" a="1"/>
  <c r="G40" i="82" s="1"/>
  <c r="E30" i="76" a="1"/>
  <c r="E30" i="76" s="1"/>
  <c r="E54" i="76" s="1" a="1"/>
  <c r="E54" i="76" s="1"/>
  <c r="E83" i="76" s="1" a="1"/>
  <c r="E83" i="76" s="1"/>
  <c r="F106" i="76" s="1" a="1"/>
  <c r="F106" i="76" s="1"/>
  <c r="F23" i="82" s="1"/>
  <c r="F40" i="82" s="1" a="1"/>
  <c r="F40" i="82" s="1"/>
  <c r="Q30" i="76" a="1"/>
  <c r="Q30" i="76" s="1"/>
  <c r="Q54" i="76" s="1" a="1"/>
  <c r="Q54" i="76" s="1"/>
  <c r="Q83" i="76" s="1" a="1"/>
  <c r="Q83" i="76" s="1"/>
  <c r="P30" i="76" a="1"/>
  <c r="P30" i="76" s="1"/>
  <c r="P54" i="76" s="1" a="1"/>
  <c r="P54" i="76" s="1"/>
  <c r="P83" i="76" s="1" a="1"/>
  <c r="P83" i="76" s="1"/>
  <c r="O30" i="76" a="1"/>
  <c r="O30" i="76" s="1"/>
  <c r="O54" i="76" s="1" a="1"/>
  <c r="O54" i="76" s="1"/>
  <c r="O83" i="76" s="1" a="1"/>
  <c r="O83" i="76" s="1"/>
  <c r="D8" i="70"/>
  <c r="D9" i="70"/>
  <c r="G206" i="76" l="1" a="1"/>
  <c r="G206" i="76" s="1"/>
  <c r="F206" i="76" a="1"/>
  <c r="F206" i="76" s="1"/>
  <c r="P106" i="76" a="1"/>
  <c r="P106" i="76" s="1"/>
  <c r="N23" i="82" s="1"/>
  <c r="Q106" i="76" a="1"/>
  <c r="Q106" i="76" s="1"/>
  <c r="O23" i="82" s="1"/>
  <c r="E206" i="76" a="1"/>
  <c r="E206" i="76" s="1"/>
  <c r="R106" i="76" a="1"/>
  <c r="R106" i="76" s="1"/>
  <c r="P23" i="82" s="1"/>
  <c r="E40" i="82"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E104" i="69" a="1"/>
  <c r="E63" i="69" a="1"/>
  <c r="P206" i="76" l="1" a="1"/>
  <c r="P206" i="76" s="1"/>
  <c r="N40" i="82" a="1"/>
  <c r="N40" i="82" s="1"/>
  <c r="Q206" i="76" a="1"/>
  <c r="Q206" i="76" s="1"/>
  <c r="O40" i="82" a="1"/>
  <c r="O40" i="82" s="1"/>
  <c r="R206" i="76" a="1"/>
  <c r="R206" i="76" s="1"/>
  <c r="P40" i="82" a="1"/>
  <c r="P40" i="82" s="1"/>
  <c r="G30" i="69"/>
  <c r="P30" i="69"/>
  <c r="I45" i="69"/>
  <c r="R164" i="69"/>
  <c r="H173" i="69"/>
  <c r="Q173" i="69"/>
  <c r="I164" i="69"/>
  <c r="O171" i="69"/>
  <c r="F171" i="69"/>
  <c r="G7" i="13" s="1"/>
  <c r="H125" i="69"/>
  <c r="Q125" i="69"/>
  <c r="H96" i="69"/>
  <c r="Q96" i="69"/>
  <c r="H57" i="69"/>
  <c r="Q57" i="69"/>
  <c r="E63" i="69"/>
  <c r="E104" i="69"/>
  <c r="H15" i="69"/>
  <c r="I69" i="69"/>
  <c r="E36" i="69" a="1"/>
  <c r="E7" i="69" a="1"/>
  <c r="D30" i="69" l="1" a="1"/>
  <c r="D30" i="69" s="1"/>
  <c r="M30" i="69" a="1"/>
  <c r="M30" i="69" s="1"/>
  <c r="O30" i="69" a="1"/>
  <c r="O30" i="69" s="1"/>
  <c r="N30" i="69" a="1"/>
  <c r="N30" i="69" s="1"/>
  <c r="G38" i="70"/>
  <c r="F38" i="70"/>
  <c r="E38" i="70"/>
  <c r="E30" i="69" a="1"/>
  <c r="E30" i="69" s="1"/>
  <c r="I43" i="69"/>
  <c r="I111" i="69"/>
  <c r="F30" i="69" a="1"/>
  <c r="F30" i="69" s="1"/>
  <c r="I113" i="69"/>
  <c r="I71" i="69"/>
  <c r="D58" i="69"/>
  <c r="E36" i="69"/>
  <c r="E7" i="69"/>
  <c r="O57" i="69" l="1" a="1"/>
  <c r="O57" i="69" s="1"/>
  <c r="P150" i="69" s="1"/>
  <c r="P164" i="69" s="1" a="1"/>
  <c r="P164" i="69" s="1"/>
  <c r="P57" i="69" a="1"/>
  <c r="P57" i="69" s="1"/>
  <c r="Q150" i="69" s="1"/>
  <c r="Q164" i="69" s="1" a="1"/>
  <c r="Q164" i="69" s="1"/>
  <c r="N57" i="69" a="1"/>
  <c r="N57" i="69" s="1"/>
  <c r="O150" i="69" s="1"/>
  <c r="O164" i="69" s="1" a="1"/>
  <c r="O164" i="69" s="1"/>
  <c r="G57" i="69" a="1"/>
  <c r="G57" i="69" s="1"/>
  <c r="H150" i="69" s="1"/>
  <c r="H164" i="69" s="1" a="1"/>
  <c r="H164" i="69" s="1"/>
  <c r="E57" i="69" a="1"/>
  <c r="E57" i="69" s="1"/>
  <c r="F57" i="69" a="1"/>
  <c r="F57" i="69" s="1"/>
  <c r="G150" i="69" s="1"/>
  <c r="G164" i="69" s="1" a="1"/>
  <c r="G164" i="69" s="1"/>
  <c r="F150" i="69" l="1"/>
  <c r="F164" i="69" s="1" a="1"/>
  <c r="F164"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2" i="70" s="1"/>
  <c r="D30" i="79"/>
  <c r="D33" i="70" s="1"/>
  <c r="D38" i="70"/>
  <c r="N152" i="69" l="1"/>
  <c r="D99" i="81"/>
  <c r="M25" i="82"/>
  <c r="D197" i="76"/>
  <c r="E197" i="76" s="1"/>
  <c r="E152" i="69"/>
  <c r="N57" i="81"/>
  <c r="D32" i="81"/>
  <c r="E32" i="81" s="1"/>
  <c r="D57" i="81"/>
  <c r="M42" i="82"/>
  <c r="D42" i="82"/>
  <c r="N166" i="69"/>
  <c r="N88" i="69"/>
  <c r="D25" i="82"/>
  <c r="E166" i="69"/>
  <c r="O175" i="76"/>
  <c r="E88" i="69"/>
  <c r="N107" i="81"/>
  <c r="D175" i="76"/>
  <c r="D107" i="81"/>
  <c r="N83" i="81"/>
  <c r="D49" i="81"/>
  <c r="O208" i="76"/>
  <c r="D83" i="81"/>
  <c r="N23" i="81"/>
  <c r="D208" i="76"/>
  <c r="D23" i="81"/>
  <c r="D34" i="82"/>
  <c r="E34" i="82" s="1"/>
  <c r="M97" i="69"/>
  <c r="D41" i="81"/>
  <c r="D97" i="69"/>
  <c r="D40" i="81"/>
  <c r="M96" i="69"/>
  <c r="D96" i="69"/>
  <c r="M24" i="82"/>
  <c r="D196" i="76"/>
  <c r="N151" i="69"/>
  <c r="D98" i="81"/>
  <c r="D31" i="81"/>
  <c r="E151" i="69"/>
  <c r="D24" i="82"/>
  <c r="N56" i="81"/>
  <c r="D56" i="81"/>
  <c r="M41" i="82"/>
  <c r="D41" i="82"/>
  <c r="N165" i="69"/>
  <c r="E165" i="69"/>
  <c r="N87" i="69"/>
  <c r="O174" i="76"/>
  <c r="D167" i="76" a="1"/>
  <c r="D167" i="76" s="1"/>
  <c r="N106" i="81"/>
  <c r="D48" i="81"/>
  <c r="D174" i="76"/>
  <c r="E87" i="69"/>
  <c r="D106" i="81"/>
  <c r="N82" i="81"/>
  <c r="O207" i="76"/>
  <c r="E80" i="69" a="1"/>
  <c r="E80" i="69" s="1"/>
  <c r="D82" i="81"/>
  <c r="N22" i="81"/>
  <c r="D33" i="82"/>
  <c r="D207" i="76"/>
  <c r="D22" i="81"/>
  <c r="D59" i="81"/>
  <c r="M44" i="82"/>
  <c r="M27" i="82"/>
  <c r="D44" i="82"/>
  <c r="D198" i="76"/>
  <c r="E198" i="76" s="1"/>
  <c r="N168" i="69"/>
  <c r="D34" i="81"/>
  <c r="E34" i="81" s="1"/>
  <c r="E168" i="69"/>
  <c r="N109" i="81"/>
  <c r="D109" i="81"/>
  <c r="N85" i="81"/>
  <c r="O210" i="76"/>
  <c r="D85" i="81"/>
  <c r="N25" i="81"/>
  <c r="D210" i="76"/>
  <c r="D51" i="81"/>
  <c r="D25" i="81"/>
  <c r="M125" i="69"/>
  <c r="D27" i="82"/>
  <c r="D125" i="69"/>
  <c r="D120" i="69" a="1"/>
  <c r="D35" i="82"/>
  <c r="E35" i="82" s="1"/>
  <c r="D124" i="76" a="1"/>
  <c r="D43" i="81"/>
  <c r="E43" i="81" s="1"/>
  <c r="O129" i="76"/>
  <c r="N154" i="69"/>
  <c r="D129" i="76"/>
  <c r="E154" i="69"/>
  <c r="D101" i="81"/>
  <c r="N59" i="81"/>
  <c r="E33" i="82"/>
  <c r="E41" i="81"/>
  <c r="E40" i="81"/>
  <c r="F88" i="69" a="1"/>
  <c r="F88" i="69" s="1"/>
  <c r="N98" i="69" l="1" a="1"/>
  <c r="N98" i="69" s="1"/>
  <c r="P98" i="69" a="1"/>
  <c r="P98" i="69" s="1"/>
  <c r="O98" i="69" a="1"/>
  <c r="O98" i="69" s="1"/>
  <c r="D120" i="69"/>
  <c r="G125" i="69" a="1"/>
  <c r="G125" i="69" s="1"/>
  <c r="H154" i="69" s="1"/>
  <c r="H168" i="69" s="1" a="1"/>
  <c r="H168" i="69" s="1"/>
  <c r="E125" i="69" a="1"/>
  <c r="E125" i="69" s="1"/>
  <c r="F154" i="69" s="1"/>
  <c r="F168" i="69" s="1" a="1"/>
  <c r="F168" i="69" s="1"/>
  <c r="F125" i="69" a="1"/>
  <c r="F125" i="69" s="1"/>
  <c r="G154" i="69" s="1"/>
  <c r="G168" i="69" s="1" a="1"/>
  <c r="G168" i="69" s="1"/>
  <c r="D124" i="76"/>
  <c r="G129" i="76" a="1"/>
  <c r="G129" i="76" s="1"/>
  <c r="G210" i="76" s="1" a="1"/>
  <c r="G210" i="76" s="1"/>
  <c r="P129" i="76" a="1"/>
  <c r="P129" i="76" s="1"/>
  <c r="R129" i="76" a="1"/>
  <c r="R129" i="76" s="1"/>
  <c r="F129" i="76" a="1"/>
  <c r="F129" i="76" s="1"/>
  <c r="Q129" i="76" a="1"/>
  <c r="Q129" i="76" s="1"/>
  <c r="E129" i="76" a="1"/>
  <c r="E129" i="76" s="1"/>
  <c r="F87" i="69" a="1"/>
  <c r="F87" i="69" s="1"/>
  <c r="G96" i="69" s="1" a="1"/>
  <c r="G96" i="69" s="1"/>
  <c r="H151" i="69" s="1"/>
  <c r="H165" i="69" s="1" a="1"/>
  <c r="H165" i="69" s="1"/>
  <c r="E98" i="69" a="1"/>
  <c r="E98" i="69" s="1"/>
  <c r="G98" i="69" a="1"/>
  <c r="G98" i="69" s="1"/>
  <c r="F98" i="69" a="1"/>
  <c r="F98" i="69" s="1"/>
  <c r="E97" i="69" a="1"/>
  <c r="E97" i="69" s="1"/>
  <c r="F152" i="69" s="1"/>
  <c r="F166" i="69" s="1" a="1"/>
  <c r="F166" i="69" s="1"/>
  <c r="G97" i="69" a="1"/>
  <c r="G97" i="69" s="1"/>
  <c r="H152" i="69" s="1"/>
  <c r="H166" i="69" s="1" a="1"/>
  <c r="H166" i="69" s="1"/>
  <c r="F97" i="69" a="1"/>
  <c r="F97" i="69" s="1"/>
  <c r="G152" i="69" s="1"/>
  <c r="G166" i="69" s="1" a="1"/>
  <c r="G166" i="69" s="1"/>
  <c r="P97" i="69" a="1"/>
  <c r="P97" i="69" s="1"/>
  <c r="Q152" i="69" s="1"/>
  <c r="Q166" i="69" s="1" a="1"/>
  <c r="Q166" i="69" s="1"/>
  <c r="O97" i="69" a="1"/>
  <c r="O97" i="69" s="1"/>
  <c r="P152" i="69" s="1"/>
  <c r="P166" i="69" s="1" a="1"/>
  <c r="P166" i="69" s="1"/>
  <c r="N97" i="69" a="1"/>
  <c r="N97" i="69" s="1"/>
  <c r="O152" i="69" s="1"/>
  <c r="O166" i="69" s="1" a="1"/>
  <c r="O166" i="69" s="1"/>
  <c r="N125" i="69" a="1"/>
  <c r="N125" i="69" s="1"/>
  <c r="O154" i="69" s="1"/>
  <c r="O168" i="69" s="1" a="1"/>
  <c r="O168" i="69" s="1"/>
  <c r="O125" i="69" a="1"/>
  <c r="O125" i="69" s="1"/>
  <c r="P154" i="69" s="1"/>
  <c r="P168" i="69" s="1" a="1"/>
  <c r="P168" i="69" s="1"/>
  <c r="P125" i="69" a="1"/>
  <c r="P125" i="69" s="1"/>
  <c r="Q154" i="69" s="1"/>
  <c r="Q168" i="69" s="1" a="1"/>
  <c r="Q168" i="69" s="1"/>
  <c r="O96" i="69" a="1"/>
  <c r="O96" i="69" s="1"/>
  <c r="P151" i="69" s="1"/>
  <c r="P165" i="69" s="1" a="1"/>
  <c r="P165" i="69" s="1"/>
  <c r="N96" i="69" a="1"/>
  <c r="N96" i="69" s="1"/>
  <c r="O151" i="69" s="1"/>
  <c r="O165" i="69" s="1" a="1"/>
  <c r="O165" i="69" s="1"/>
  <c r="P96" i="69" a="1"/>
  <c r="P96" i="69" s="1"/>
  <c r="Q151" i="69" s="1"/>
  <c r="Q165" i="69" s="1" a="1"/>
  <c r="Q165" i="69" s="1"/>
  <c r="E31" i="81"/>
  <c r="E196" i="76"/>
  <c r="O149" i="76" l="1" a="1"/>
  <c r="O149" i="76" s="1"/>
  <c r="O25" i="81"/>
  <c r="N27" i="82"/>
  <c r="N44" i="82" s="1" a="1"/>
  <c r="N44" i="82" s="1"/>
  <c r="G27" i="82"/>
  <c r="G44" i="82" s="1" a="1"/>
  <c r="G44" i="82" s="1"/>
  <c r="F149" i="76" a="1"/>
  <c r="F149" i="76" s="1"/>
  <c r="G25" i="81"/>
  <c r="P25" i="81"/>
  <c r="P149" i="76" a="1"/>
  <c r="P149" i="76" s="1"/>
  <c r="O27" i="82"/>
  <c r="O44" i="82" s="1" a="1"/>
  <c r="O44" i="82" s="1"/>
  <c r="Q210" i="76" a="1"/>
  <c r="Q210" i="76" s="1"/>
  <c r="E27" i="82"/>
  <c r="E44" i="82" s="1" a="1"/>
  <c r="E44" i="82" s="1"/>
  <c r="E25" i="81"/>
  <c r="D149" i="76" a="1"/>
  <c r="D149" i="76" s="1"/>
  <c r="Q149" i="76" a="1"/>
  <c r="Q149" i="76" s="1"/>
  <c r="Q25" i="81"/>
  <c r="P27" i="82"/>
  <c r="P44" i="82" s="1" a="1"/>
  <c r="P44" i="82" s="1"/>
  <c r="P210" i="76" a="1"/>
  <c r="P210" i="76" s="1"/>
  <c r="E210" i="76" a="1"/>
  <c r="E210" i="76" s="1"/>
  <c r="F27" i="82"/>
  <c r="F44" i="82" s="1" a="1"/>
  <c r="F44" i="82" s="1"/>
  <c r="E149" i="76" a="1"/>
  <c r="E149" i="76" s="1"/>
  <c r="F25" i="81"/>
  <c r="R210" i="76" a="1"/>
  <c r="R210" i="76" s="1"/>
  <c r="F210" i="76" a="1"/>
  <c r="F210" i="76" s="1"/>
  <c r="F96" i="69" a="1"/>
  <c r="F96" i="69" s="1"/>
  <c r="G151" i="69" s="1"/>
  <c r="G165" i="69" s="1" a="1"/>
  <c r="G165" i="69" s="1"/>
  <c r="E96" i="69" a="1"/>
  <c r="E96" i="69" s="1"/>
  <c r="F151" i="69" s="1"/>
  <c r="F165" i="69" s="1" a="1"/>
  <c r="F165" i="69" s="1"/>
  <c r="G153" i="69"/>
  <c r="G167" i="69" s="1" a="1"/>
  <c r="G167" i="69" s="1"/>
  <c r="H153" i="69"/>
  <c r="H167" i="69" s="1" a="1"/>
  <c r="H167" i="69" s="1"/>
  <c r="F153" i="69"/>
  <c r="F167" i="69" s="1" a="1"/>
  <c r="F167" i="69" s="1"/>
  <c r="O153" i="69"/>
  <c r="O167" i="69" s="1" a="1"/>
  <c r="O167" i="69" s="1"/>
  <c r="Q153" i="69"/>
  <c r="Q167" i="69" s="1" a="1"/>
  <c r="Q167" i="69" s="1"/>
  <c r="P153" i="69"/>
  <c r="P167" i="69" s="1" a="1"/>
  <c r="P167" i="69" s="1"/>
  <c r="E29" i="15"/>
  <c r="P59" i="81" l="1" a="1"/>
  <c r="P59" i="81" s="1"/>
  <c r="P109" i="81" a="1"/>
  <c r="P109" i="81" s="1"/>
  <c r="P85" i="81" a="1"/>
  <c r="P85" i="81" s="1"/>
  <c r="E176" i="76" a="1"/>
  <c r="E176" i="76" s="1"/>
  <c r="E24" i="81" s="1"/>
  <c r="E174" i="76" a="1"/>
  <c r="E174" i="76" s="1"/>
  <c r="E175" i="76" a="1"/>
  <c r="E175" i="76" s="1"/>
  <c r="E85" i="81" a="1"/>
  <c r="E85" i="81" s="1"/>
  <c r="E59" i="81" a="1"/>
  <c r="E59" i="81" s="1"/>
  <c r="E109" i="81" a="1"/>
  <c r="E109" i="81" s="1"/>
  <c r="G85" i="81" a="1"/>
  <c r="G85" i="81" s="1"/>
  <c r="G59" i="81" a="1"/>
  <c r="G59" i="81" s="1"/>
  <c r="G109" i="81" a="1"/>
  <c r="G109" i="81" s="1"/>
  <c r="G176" i="76" a="1"/>
  <c r="G176" i="76" s="1"/>
  <c r="G24" i="81" s="1"/>
  <c r="G174" i="76" a="1"/>
  <c r="G174" i="76" s="1"/>
  <c r="G175" i="76" a="1"/>
  <c r="G175" i="76" s="1"/>
  <c r="O109" i="81" a="1"/>
  <c r="O109" i="81" s="1"/>
  <c r="O59" i="81" a="1"/>
  <c r="O59" i="81" s="1"/>
  <c r="O85" i="81" a="1"/>
  <c r="O85" i="81" s="1"/>
  <c r="F109" i="81" a="1"/>
  <c r="F109" i="81" s="1"/>
  <c r="F85" i="81" a="1"/>
  <c r="F85" i="81" s="1"/>
  <c r="F59" i="81" a="1"/>
  <c r="F59" i="81" s="1"/>
  <c r="Q59" i="81" a="1"/>
  <c r="Q59" i="81" s="1"/>
  <c r="Q85" i="81" a="1"/>
  <c r="Q85" i="81" s="1"/>
  <c r="Q109" i="81" a="1"/>
  <c r="Q109" i="81" s="1"/>
  <c r="P176" i="76" a="1"/>
  <c r="P176" i="76" s="1"/>
  <c r="O24" i="81" s="1"/>
  <c r="P174" i="76" a="1"/>
  <c r="P174" i="76" s="1"/>
  <c r="P175" i="76" a="1"/>
  <c r="P175" i="76" s="1"/>
  <c r="Q176" i="76" a="1"/>
  <c r="Q176" i="76" s="1"/>
  <c r="P24" i="81" s="1"/>
  <c r="Q175" i="76" a="1"/>
  <c r="Q175" i="76" s="1"/>
  <c r="Q174" i="76" a="1"/>
  <c r="Q174" i="76" s="1"/>
  <c r="F176" i="76" a="1"/>
  <c r="F176" i="76" s="1"/>
  <c r="F24" i="81" s="1"/>
  <c r="F175" i="76" a="1"/>
  <c r="F175" i="76" s="1"/>
  <c r="F174" i="76" a="1"/>
  <c r="F174" i="76" s="1"/>
  <c r="R176" i="76" a="1"/>
  <c r="R176" i="76" s="1"/>
  <c r="Q24" i="81" s="1"/>
  <c r="R175" i="76" a="1"/>
  <c r="R175" i="76" s="1"/>
  <c r="R174" i="76" a="1"/>
  <c r="R174" i="76" s="1"/>
  <c r="N171" i="69"/>
  <c r="E171" i="69"/>
  <c r="P108" i="81" l="1" a="1"/>
  <c r="P108" i="81" s="1"/>
  <c r="P84" i="81" a="1"/>
  <c r="P84" i="81" s="1"/>
  <c r="P58" i="81" a="1"/>
  <c r="P58" i="81" s="1"/>
  <c r="G24" i="82"/>
  <c r="G41" i="82" s="1" a="1"/>
  <c r="G41" i="82" s="1"/>
  <c r="G22" i="81"/>
  <c r="G207" i="76" a="1"/>
  <c r="G207" i="76" s="1"/>
  <c r="O23" i="81"/>
  <c r="N25" i="82"/>
  <c r="N42" i="82" s="1" a="1"/>
  <c r="N42" i="82" s="1"/>
  <c r="P208" i="76" a="1"/>
  <c r="P208" i="76" s="1"/>
  <c r="G108" i="81" a="1"/>
  <c r="G108" i="81" s="1"/>
  <c r="G84" i="81" a="1"/>
  <c r="G84" i="81" s="1"/>
  <c r="G58" i="81" a="1"/>
  <c r="G58" i="81" s="1"/>
  <c r="O22" i="81"/>
  <c r="N24" i="82"/>
  <c r="N41" i="82" s="1" a="1"/>
  <c r="N41" i="82" s="1"/>
  <c r="P207" i="76" a="1"/>
  <c r="P207" i="76" s="1"/>
  <c r="P25" i="82"/>
  <c r="P42" i="82" s="1" a="1"/>
  <c r="P42" i="82" s="1"/>
  <c r="Q23" i="81"/>
  <c r="R208" i="76" a="1"/>
  <c r="R208" i="76" s="1"/>
  <c r="E24" i="82"/>
  <c r="E41" i="82" s="1" a="1"/>
  <c r="E41" i="82" s="1"/>
  <c r="E22" i="81"/>
  <c r="E207" i="76" a="1"/>
  <c r="E207" i="76" s="1"/>
  <c r="Q58" i="81" a="1"/>
  <c r="Q58" i="81" s="1"/>
  <c r="Q84" i="81" a="1"/>
  <c r="Q84" i="81" s="1"/>
  <c r="Q108" i="81" a="1"/>
  <c r="Q108" i="81" s="1"/>
  <c r="E58" i="81" a="1"/>
  <c r="E58" i="81" s="1"/>
  <c r="E108" i="81" a="1"/>
  <c r="E108" i="81" s="1"/>
  <c r="E84" i="81" a="1"/>
  <c r="E84" i="81" s="1"/>
  <c r="Q22" i="81"/>
  <c r="P24" i="82"/>
  <c r="P41" i="82" s="1" a="1"/>
  <c r="P41" i="82" s="1"/>
  <c r="R207" i="76" a="1"/>
  <c r="R207" i="76" s="1"/>
  <c r="E25" i="82"/>
  <c r="E42" i="82" s="1" a="1"/>
  <c r="E42" i="82" s="1"/>
  <c r="E23" i="81"/>
  <c r="E208" i="76" a="1"/>
  <c r="E208" i="76" s="1"/>
  <c r="F58" i="81" a="1"/>
  <c r="F58" i="81" s="1"/>
  <c r="F84" i="81" a="1"/>
  <c r="F84" i="81" s="1"/>
  <c r="F108" i="81" a="1"/>
  <c r="F108" i="81" s="1"/>
  <c r="P22" i="81"/>
  <c r="O24" i="82"/>
  <c r="O41" i="82" s="1" a="1"/>
  <c r="O41" i="82" s="1"/>
  <c r="Q207" i="76" a="1"/>
  <c r="Q207" i="76" s="1"/>
  <c r="O58" i="81" a="1"/>
  <c r="O58" i="81" s="1"/>
  <c r="O108" i="81" a="1"/>
  <c r="O108" i="81" s="1"/>
  <c r="O84" i="81" a="1"/>
  <c r="O84" i="81" s="1"/>
  <c r="F24" i="82"/>
  <c r="F41" i="82" s="1" a="1"/>
  <c r="F41" i="82" s="1"/>
  <c r="F22" i="81"/>
  <c r="F207" i="76" a="1"/>
  <c r="F207" i="76" s="1"/>
  <c r="F25" i="82"/>
  <c r="F42" i="82" s="1" a="1"/>
  <c r="F42" i="82" s="1"/>
  <c r="F23" i="81"/>
  <c r="F208" i="76" a="1"/>
  <c r="F208" i="76" s="1"/>
  <c r="P23" i="81"/>
  <c r="O25" i="82"/>
  <c r="O42" i="82" s="1" a="1"/>
  <c r="O42" i="82" s="1"/>
  <c r="Q208" i="76" a="1"/>
  <c r="Q208" i="76" s="1"/>
  <c r="G23" i="81"/>
  <c r="G25" i="82"/>
  <c r="G42" i="82" s="1" a="1"/>
  <c r="G42" i="82" s="1"/>
  <c r="G208" i="76" a="1"/>
  <c r="G208" i="76" s="1"/>
  <c r="G173" i="69"/>
  <c r="E176" i="69" s="1" a="1"/>
  <c r="E176" i="69" s="1"/>
  <c r="H7" i="13" s="1"/>
  <c r="E7" i="13"/>
  <c r="P173" i="69"/>
  <c r="N176" i="69" s="1" a="1"/>
  <c r="N176" i="69" s="1"/>
  <c r="I7" i="13" s="1"/>
  <c r="F7" i="13"/>
  <c r="E13" i="15"/>
  <c r="E212" i="76" l="1"/>
  <c r="E8" i="13" s="1"/>
  <c r="E56" i="81" a="1"/>
  <c r="E56" i="81" s="1"/>
  <c r="E82" i="81" a="1"/>
  <c r="E82" i="81" s="1"/>
  <c r="E106" i="81" a="1"/>
  <c r="E106" i="81" s="1"/>
  <c r="Q82" i="81" a="1"/>
  <c r="Q82" i="81" s="1"/>
  <c r="Q56" i="81" a="1"/>
  <c r="Q56" i="81" s="1"/>
  <c r="Q106" i="81" a="1"/>
  <c r="Q106" i="81" s="1"/>
  <c r="N46" i="82"/>
  <c r="R58" i="82" s="1"/>
  <c r="N65" i="82" s="1" a="1"/>
  <c r="N65" i="82" s="1"/>
  <c r="O56" i="81" a="1"/>
  <c r="O56" i="81" s="1"/>
  <c r="O82" i="81" a="1"/>
  <c r="O82" i="81" s="1"/>
  <c r="O106" i="81" a="1"/>
  <c r="O106" i="81" s="1"/>
  <c r="P82" i="81" a="1"/>
  <c r="P82" i="81" s="1"/>
  <c r="P56" i="81" a="1"/>
  <c r="P56" i="81" s="1"/>
  <c r="P106" i="81" a="1"/>
  <c r="P106" i="81" s="1"/>
  <c r="F57" i="81" a="1"/>
  <c r="F57" i="81" s="1"/>
  <c r="F107" i="81" a="1"/>
  <c r="F107" i="81" s="1"/>
  <c r="F83" i="81" a="1"/>
  <c r="F83" i="81" s="1"/>
  <c r="E46" i="82"/>
  <c r="I58" i="82" s="1"/>
  <c r="E65" i="82" s="1" a="1"/>
  <c r="E65" i="82" s="1"/>
  <c r="G56" i="81" a="1"/>
  <c r="G56" i="81" s="1"/>
  <c r="G82" i="81" a="1"/>
  <c r="G82" i="81" s="1"/>
  <c r="G106" i="81" a="1"/>
  <c r="G106" i="81" s="1"/>
  <c r="E57" i="81" a="1"/>
  <c r="E57" i="81" s="1"/>
  <c r="E107" i="81" a="1"/>
  <c r="E107" i="81" s="1"/>
  <c r="E83" i="81" a="1"/>
  <c r="E83" i="81" s="1"/>
  <c r="P107" i="81" a="1"/>
  <c r="P107" i="81" s="1"/>
  <c r="P57" i="81" a="1"/>
  <c r="P57" i="81" s="1"/>
  <c r="P83" i="81" a="1"/>
  <c r="P83" i="81" s="1"/>
  <c r="O83" i="81" a="1"/>
  <c r="O83" i="81" s="1"/>
  <c r="O107" i="81" a="1"/>
  <c r="O107" i="81" s="1"/>
  <c r="O57" i="81" a="1"/>
  <c r="O57" i="81" s="1"/>
  <c r="Q107" i="81" a="1"/>
  <c r="Q107" i="81" s="1"/>
  <c r="Q83" i="81" a="1"/>
  <c r="Q83" i="81" s="1"/>
  <c r="Q57" i="81" a="1"/>
  <c r="Q57" i="81" s="1"/>
  <c r="F82" i="81" a="1"/>
  <c r="F82" i="81" s="1"/>
  <c r="F56" i="81" a="1"/>
  <c r="F56" i="81" s="1"/>
  <c r="F106" i="81" a="1"/>
  <c r="F106" i="81" s="1"/>
  <c r="G57" i="81" a="1"/>
  <c r="G57" i="81" s="1"/>
  <c r="G107" i="81" a="1"/>
  <c r="G107" i="81" s="1"/>
  <c r="G83" i="81" a="1"/>
  <c r="G83" i="81" s="1"/>
  <c r="P212" i="76"/>
  <c r="G214" i="76" l="1"/>
  <c r="E217" i="76" s="1" a="1"/>
  <c r="E217" i="76" s="1"/>
  <c r="H8" i="13" s="1"/>
  <c r="O111" i="81"/>
  <c r="F18" i="13" s="1"/>
  <c r="F8" i="13"/>
  <c r="R214" i="76"/>
  <c r="P217" i="76" s="1" a="1"/>
  <c r="P217" i="76" s="1"/>
  <c r="I8" i="13" s="1"/>
  <c r="O87" i="81"/>
  <c r="F17" i="13" s="1"/>
  <c r="O61" i="81"/>
  <c r="F16" i="13" s="1"/>
  <c r="F9" i="13"/>
  <c r="P67" i="82"/>
  <c r="N70" i="82" s="1" a="1"/>
  <c r="N70" i="82" s="1"/>
  <c r="I9" i="13" s="1"/>
  <c r="E9" i="13"/>
  <c r="G67" i="82"/>
  <c r="E70" i="82" s="1" a="1"/>
  <c r="E70" i="82" s="1"/>
  <c r="H9" i="13" s="1"/>
  <c r="E111" i="81"/>
  <c r="E17" i="13" s="1"/>
  <c r="E87" i="81"/>
  <c r="E18" i="13" s="1"/>
  <c r="E61" i="81"/>
  <c r="E16" i="13" s="1"/>
  <c r="H10" i="13" l="1"/>
  <c r="I1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<sst xmlns="http://schemas.openxmlformats.org/spreadsheetml/2006/main" count="846" uniqueCount="364">
  <si>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</si>
  <si>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</si>
  <si>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</si>
  <si>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</si>
  <si>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</si>
  <si>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</si>
  <si>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</si>
  <si>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</si>
  <si>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</si>
  <si>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</si>
  <si>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</si>
  <si>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</si>
  <si>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</si>
  <si>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</si>
  <si>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</si>
  <si>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</si>
  <si>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</si>
  <si>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</si>
  <si>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</si>
  <si>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</si>
  <si>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</si>
  <si>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</si>
  <si>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</si>
  <si>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</si>
  <si>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</si>
  <si>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</si>
  <si>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</si>
  <si>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</si>
  <si>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</si>
  <si>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</si>
  <si>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</si>
  <si>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</si>
  <si>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</si>
  <si>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</si>
  <si>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</si>
  <si>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</si>
  <si>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</si>
  <si>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</si>
  <si>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</si>
  <si>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</si>
  <si>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</si>
  <si>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</si>
  <si>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</si>
  <si>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</si>
  <si>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</si>
  <si>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</si>
  <si>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</si>
  <si>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</si>
  <si>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</si>
  <si>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</si>
  <si>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</si>
  <si>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</si>
  <si>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</si>
  <si>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</si>
  <si>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</si>
  <si>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</si>
  <si>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</si>
  <si>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</si>
  <si>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</si>
  <si>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</si>
  <si>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</si>
  <si>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</si>
  <si>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</si>
  <si>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</si>
  <si>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</si>
  <si>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</si>
  <si>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</si>
  <si>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</si>
  <si>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</si>
  <si>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</si>
  <si>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</si>
  <si>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</si>
  <si>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</si>
  <si>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</si>
  <si>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</si>
  <si>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</si>
  <si>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</si>
  <si>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</si>
  <si>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</si>
  <si>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</si>
  <si>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</si>
  <si>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</si>
  <si>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</si>
  <si>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</si>
  <si>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</si>
  <si>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</si>
  <si>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</si>
  <si>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</si>
  <si>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</si>
  <si>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</si>
  <si>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</si>
  <si>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</si>
  <si>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</si>
  <si>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</si>
  <si>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</si>
  <si>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</si>
  <si>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</si>
  <si>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</si>
  <si>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</si>
  <si>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</si>
  <si>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</si>
  <si>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</si>
  <si>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</si>
  <si>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</si>
  <si>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</si>
  <si>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</si>
  <si>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</si>
  <si>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</si>
  <si>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</si>
  <si>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</si>
  <si>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</si>
  <si>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</si>
  <si>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</si>
  <si>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</si>
  <si>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</si>
  <si>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</si>
  <si>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</si>
  <si>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</si>
  <si>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</si>
  <si>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</si>
  <si>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</si>
  <si>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</si>
  <si>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</si>
  <si>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</si>
  <si>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</si>
  <si>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</si>
  <si>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</si>
  <si>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</si>
  <si>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</si>
  <si>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</si>
  <si>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</si>
  <si>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</si>
  <si>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</si>
  <si>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</si>
  <si>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</si>
  <si>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</si>
  <si>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</si>
  <si>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</si>
  <si>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</si>
  <si>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</si>
  <si>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</si>
  <si>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</si>
  <si>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</si>
  <si>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</si>
  <si>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</si>
  <si>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</si>
  <si>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</si>
  <si>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</si>
  <si>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</si>
  <si>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</si>
  <si>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</si>
  <si>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</si>
  <si>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</si>
  <si>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</si>
  <si>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</si>
  <si>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</si>
  <si>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</si>
  <si>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</si>
  <si>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</si>
  <si>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</si>
  <si>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</si>
  <si>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</si>
  <si>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</si>
  <si>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</si>
  <si>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</si>
  <si>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</si>
  <si>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</si>
  <si>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</si>
  <si>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</si>
  <si>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</si>
  <si>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</si>
  <si>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</si>
  <si>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</si>
  <si>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</si>
  <si>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</si>
  <si>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</si>
  <si>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</si>
  <si>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</si>
  <si>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</si>
  <si>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</si>
  <si>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</si>
  <si>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</si>
  <si>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</si>
  <si>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</si>
  <si>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</si>
  <si>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</si>
  <si>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</si>
  <si>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</si>
  <si>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</si>
  <si>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</si>
  <si>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</si>
  <si>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</si>
  <si>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</si>
  <si>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</si>
  <si>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</si>
  <si>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</si>
  <si>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</si>
  <si>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</si>
  <si>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</si>
  <si>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</si>
  <si>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</si>
  <si>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</si>
  <si>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</si>
  <si>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</si>
  <si>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</si>
  <si>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</si>
  <si>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</si>
  <si>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</si>
  <si>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</si>
  <si>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</si>
  <si>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</si>
  <si>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</si>
  <si>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</si>
  <si>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</si>
  <si>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</si>
  <si>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</si>
  <si>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</si>
  <si>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</si>
  <si>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</si>
  <si>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</si>
  <si>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</si>
  <si>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</si>
  <si>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</si>
  <si>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</si>
  <si>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</si>
  <si>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</si>
  <si>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</si>
  <si>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</si>
  <si>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</si>
  <si>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</si>
  <si>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</si>
  <si>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</si>
  <si>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</si>
  <si>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</si>
  <si>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</si>
  <si>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</si>
  <si>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</si>
  <si>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</si>
  <si>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</si>
  <si>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</si>
  <si>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</si>
  <si>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</si>
  <si>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</si>
  <si>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</si>
  <si>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</si>
  <si>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</si>
  <si>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</si>
  <si>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</si>
  <si>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</si>
  <si>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</si>
  <si>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</si>
  <si>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</si>
  <si>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</si>
  <si>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</si>
  <si>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</si>
  <si>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</si>
  <si>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</si>
  <si>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</si>
  <si>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</si>
  <si>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</si>
  <si>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</si>
  <si>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</si>
  <si>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</si>
  <si>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</si>
  <si>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</si>
  <si>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</si>
  <si>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</si>
  <si>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</si>
  <si>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</si>
  <si>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</si>
  <si>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</si>
  <si>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</si>
  <si>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</si>
  <si>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</si>
  <si>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</si>
  <si>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</si>
  <si>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</si>
  <si>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</si>
  <si>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</si>
  <si>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</si>
  <si>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</si>
  <si>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</si>
  <si>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</si>
  <si>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</si>
  <si>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</si>
  <si>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</si>
  <si>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</si>
  <si>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</si>
  <si>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</si>
  <si>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</si>
  <si>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</si>
  <si>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</si>
  <si>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</si>
  <si>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</si>
  <si>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</si>
  <si>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</si>
  <si>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</si>
  <si>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</si>
  <si>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</si>
  <si>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</si>
  <si>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Scope 1 - This feedlot</t>
  </si>
  <si>
    <t>Month</t>
  </si>
  <si>
    <t>Season</t>
  </si>
  <si>
    <t>Acknowledgements</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</si>
  <si>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</si>
  <si>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</si>
  <si>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</si>
  <si>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</si>
  <si>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</si>
  <si>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</si>
  <si>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</si>
  <si>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</si>
  <si>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</si>
  <si>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</si>
  <si>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</si>
  <si>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</si>
  <si>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</si>
  <si>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</si>
  <si>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</si>
  <si>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</si>
  <si>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</si>
  <si>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</si>
  <si>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</si>
  <si>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</si>
  <si>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</si>
  <si>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</si>
  <si>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</si>
  <si>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</si>
  <si>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</si>
  <si>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</si>
  <si>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</si>
  <si>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</si>
  <si>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</si>
  <si>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</si>
  <si>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</si>
  <si>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</si>
  <si>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</si>
  <si>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</si>
  <si>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</si>
  <si>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</si>
  <si>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</si>
  <si>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</si>
  <si>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</si>
  <si>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</si>
  <si>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</si>
  <si>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</si>
  <si>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</si>
  <si>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</si>
  <si>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</si>
  <si>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</si>
  <si>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</si>
  <si>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</si>
  <si>
    <t>Climate Zone</t>
  </si>
  <si>
    <t>EFNi &amp; EFN2Oi</t>
  </si>
  <si>
    <t>Dry matter digestibility (Method 2)</t>
  </si>
  <si>
    <t>M2_Table_MCF_i_m</t>
  </si>
  <si>
    <t>Methane conversion factor for state and MMS (Method 2)</t>
  </si>
  <si>
    <t>M1_Table_MCF_i_m</t>
  </si>
  <si>
    <t>Methane conversion factor for state and MMS (Method 1)</t>
  </si>
  <si>
    <t>M2_Table_E_N2O_dir</t>
  </si>
  <si>
    <t>M2_Table_MMS_ATMOS</t>
  </si>
  <si>
    <t xml:space="preserve">N in manure (Method 1) </t>
  </si>
  <si>
    <t xml:space="preserve">N in manure (Method 2) </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</si>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</sst>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7"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7"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50" fillId="4" borderId="0">
      <alignment horizontal="left" vertical="center"/>
    </xf>
    <xf numFmtId="0" fontId="51" fillId="4" borderId="0">
      <alignment horizontal="left" vertical="center"/>
    </xf>
    <xf numFmtId="0" fontId="58" fillId="4" borderId="0">
      <alignment horizontal="left" vertical="center"/>
    </xf>
    <xf numFmtId="0" fontId="49" fillId="11" borderId="0">
      <alignment horizontal="center" vertical="center"/>
    </xf>
    <xf numFmtId="0" fontId="22" fillId="11" borderId="0">
      <alignment horizontal="left" vertical="center" indent="1"/>
    </xf>
    <xf numFmtId="0" fontId="64" fillId="14" borderId="2">
      <alignment horizontal="center" vertical="center"/>
    </xf>
    <xf numFmtId="0" fontId="65" fillId="15" borderId="2">
      <alignment horizontal="center" vertical="center"/>
    </xf>
    <xf numFmtId="0" fontId="35" fillId="4" borderId="2">
      <alignment horizontal="left" vertical="center"/>
    </xf>
    <xf numFmtId="0" fontId="68" fillId="4" borderId="2">
      <alignment horizontal="left" vertical="center"/>
    </xf>
  </cellStyleXfs>
  <cellXfs count="149">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7"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7"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6"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7" fillId="13" borderId="11"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4"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7" fillId="13" borderId="12" xfId="41" applyBorder="1">
      <alignment horizontal="left" vertical="center"/>
    </xf>
    <xf numFmtId="0" fontId="47" fillId="13" borderId="17" xfId="41" applyBorder="1">
      <alignment horizontal="left" vertical="center"/>
    </xf>
    <xf numFmtId="0" fontId="47" fillId="13" borderId="19" xfId="41" applyBorder="1">
      <alignment horizontal="left" vertical="center"/>
    </xf>
    <xf numFmtId="0" fontId="48" fillId="13" borderId="10" xfId="41" applyFont="1" applyBorder="1">
      <alignment horizontal="left" vertical="center"/>
    </xf>
    <xf numFmtId="0" fontId="45"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1" fillId="4" borderId="0" xfId="61">
      <alignment horizontal="left" vertical="center"/>
    </xf>
    <xf numFmtId="0" fontId="50" fillId="4" borderId="0" xfId="60">
      <alignment horizontal="left" vertical="center"/>
    </xf>
    <xf numFmtId="0" fontId="52"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3" fillId="4" borderId="1" xfId="8" applyFont="1" applyBorder="1">
      <alignment horizontal="left" vertical="center"/>
    </xf>
    <xf numFmtId="0" fontId="54" fillId="4" borderId="1" xfId="8" applyFont="1" applyBorder="1">
      <alignment horizontal="left" vertical="center"/>
    </xf>
    <xf numFmtId="0" fontId="55"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8" fillId="4" borderId="0" xfId="62">
      <alignment horizontal="left" vertical="center"/>
    </xf>
    <xf numFmtId="0" fontId="59" fillId="2" borderId="0" xfId="8" applyFont="1" applyFill="1">
      <alignment horizontal="left" vertical="center"/>
    </xf>
    <xf numFmtId="0" fontId="5" fillId="2" borderId="0" xfId="1">
      <alignment horizontal="left" vertical="center" indent="1"/>
      <protection locked="0"/>
    </xf>
    <xf numFmtId="0" fontId="47"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0" fillId="4" borderId="6" xfId="8" applyBorder="1">
      <alignment horizontal="left"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2" fillId="4" borderId="0" xfId="62" applyFont="1">
      <alignment horizontal="left" vertical="center"/>
    </xf>
    <xf numFmtId="0" fontId="40" fillId="4" borderId="0" xfId="8" applyAlignment="1">
      <alignment horizontal="center" vertical="center"/>
    </xf>
    <xf numFmtId="0" fontId="49" fillId="11" borderId="0" xfId="63">
      <alignment horizontal="center" vertical="center"/>
    </xf>
    <xf numFmtId="0" fontId="22" fillId="11" borderId="0" xfId="64">
      <alignment horizontal="left" vertical="center" indent="1"/>
    </xf>
    <xf numFmtId="0" fontId="63" fillId="0" borderId="0" xfId="2" applyFont="1"/>
    <xf numFmtId="0" fontId="64" fillId="14" borderId="2" xfId="65">
      <alignment horizontal="center" vertical="center"/>
    </xf>
    <xf numFmtId="0" fontId="65" fillId="15" borderId="2" xfId="66">
      <alignment horizontal="center" vertical="center"/>
    </xf>
    <xf numFmtId="0" fontId="66" fillId="4" borderId="0" xfId="62" applyFont="1" applyAlignment="1">
      <alignment horizontal="left" vertical="center" indent="2"/>
    </xf>
    <xf numFmtId="0" fontId="45" fillId="6" borderId="0" xfId="30" applyFont="1" applyAlignment="1" applyProtection="1">
      <alignment horizontal="left" vertical="center" indent="3"/>
    </xf>
    <xf numFmtId="0" fontId="13" fillId="6" borderId="0" xfId="29" applyAlignment="1">
      <alignment horizontal="left" vertical="center" indent="3"/>
    </xf>
    <xf numFmtId="0" fontId="40" fillId="4" borderId="0" xfId="8" applyAlignment="1">
      <alignment horizontal="left" vertical="center" indent="3"/>
    </xf>
    <xf numFmtId="0" fontId="42" fillId="4" borderId="0" xfId="8" applyFont="1" applyAlignment="1">
      <alignment horizontal="left" vertical="center" indent="6"/>
    </xf>
    <xf numFmtId="0" fontId="40" fillId="4" borderId="0" xfId="8" applyAlignment="1">
      <alignment horizontal="left" vertical="center" indent="6"/>
    </xf>
    <xf numFmtId="0" fontId="66" fillId="4" borderId="0" xfId="62" applyFont="1">
      <alignment horizontal="left" vertical="center"/>
    </xf>
    <xf numFmtId="0" fontId="35" fillId="4" borderId="2" xfId="67">
      <alignment horizontal="left" vertical="center"/>
    </xf>
    <xf numFmtId="0" fontId="68"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70" fillId="9" borderId="0" xfId="33" applyFont="1" applyFill="1"/>
    <xf numFmtId="0" fontId="40" fillId="9" borderId="0" xfId="8" applyFill="1">
      <alignment horizontal="left" vertical="center"/>
    </xf>
    <xf numFmtId="0" fontId="17" fillId="11" borderId="0" xfId="32" applyFill="1">
      <alignment vertical="center"/>
    </xf>
    <xf numFmtId="0" fontId="47" fillId="13" borderId="21" xfId="41" applyBorder="1">
      <alignment horizontal="left" vertical="center"/>
    </xf>
    <xf numFmtId="0" fontId="48" fillId="13" borderId="22" xfId="41" applyFont="1" applyBorder="1">
      <alignment horizontal="left" vertical="center"/>
    </xf>
    <xf numFmtId="0" fontId="47" fillId="13" borderId="22" xfId="41" applyBorder="1">
      <alignment horizontal="left"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6">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27"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26"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25"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24"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23"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22"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21"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20"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19"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18"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17"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16"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15"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14"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13"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12"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11"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1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9"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8"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2"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1"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0"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2FEBD1-5BBC-485B-8B8C-A247A724984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EC72F4C-3613-46B1-BFA8-5202281D2918}" name="State/Territory">
      <calculatedColumnFormula array="1">Common_InputFunctions.Utility_DisplayArrayInTable(Common_SourceData.Common_SourceData_AustralianStatesTerritories_Data(),Table_AustralianStates[[#Headers],[State/Territory]],0)</calculatedColumnFormula>
    </tableColumn>
    <tableColumn id="2" xr3:uid="{49B43E18-B0CB-4892-8703-43378EAC8726}" name="Common Name">
      <calculatedColumnFormula array="1">Common_InputFunctions.Utility_DisplayArrayInTable(Common_SourceData.Common_SourceData_AustralianStatesTerritories_Data(),Table_AustralianStates[[#Headers],[State/Territory]],0)</calculatedColumnFormula>
    </tableColumn>
    <tableColumn id="3" xr3:uid="{55D9CE52-259C-482C-ADB1-CC41B91975E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F1B06-9D49-4EA7-B8DF-BA0C642A9EC2}" name="Table_WASA4Areas" displayName="Table_WASA4Areas" ref="D20:D30" totalsRowShown="0">
  <autoFilter ref="D20:D30" xr:uid="{5FA81339-C6C8-4D36-BEEA-6C4AEDD9E676}">
    <filterColumn colId="0" hiddenButton="1"/>
  </autoFilter>
  <tableColumns count="1">
    <tableColumn id="1" xr3:uid="{37D14293-00A8-4494-A38D-75933389C4F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73B6EF1-DDE2-48C2-A047-DEB454089BE6}" name="Table_GWPData" displayName="Table_GWPData" ref="D36:E43" totalsRowShown="0">
  <autoFilter ref="D36:E43" xr:uid="{B8E87A66-3E41-4AD3-925D-01EE21B43D7A}">
    <filterColumn colId="0" hiddenButton="1"/>
    <filterColumn colId="1" hiddenButton="1"/>
  </autoFilter>
  <tableColumns count="2">
    <tableColumn id="1" xr3:uid="{2965E6C7-D892-47C4-BAE5-DA4ED62B229C}" name="Gas">
      <calculatedColumnFormula array="1">Common_InputFunctions.Utility_DisplayArrayInTable(Common_SourceData.Common_SourceData_GWP_Data(), Table_GWPData[[#Headers],[Gas]], 0)</calculatedColumnFormula>
    </tableColumn>
    <tableColumn id="2" xr3:uid="{4F818865-EEF3-4DA2-8BBF-CF5F6FFE8BA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5CE987EE-B7C5-429A-9394-4B70D98AC18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0CC32A6-CDB2-4C7D-9B7A-D29E93BE9DDE}" name="Gas">
      <calculatedColumnFormula array="1">Common_InputFunctions.Utility_DisplayArrayInTable(Common_SourceData.Common_SourceData_ConvertGasElementalToMolecular_Data(),Table_GasToMolecularConversionFactor[[#Headers],[Gas]], 0)</calculatedColumnFormula>
    </tableColumn>
    <tableColumn id="5" xr3:uid="{F91CF510-29B9-441B-B85A-2498B80D0AF9}" name="Conversion factor">
      <calculatedColumnFormula array="1">Common_InputFunctions.Utility_DisplayArrayInTable(Common_SourceData.Common_SourceData_ConvertGasElementalToMolecular_Data(),Table_GasToMolecularConversionFactor[[#Headers],[Gas]], 0)</calculatedColumnFormula>
    </tableColumn>
    <tableColumn id="2" xr3:uid="{CE65806A-974B-4778-86F3-84CF1829DDF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51A57ECD-9D70-41F3-988B-5C720BEC253C}"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5DB6DBB-9E48-4665-97EF-C59E8FF59DC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848074B0-A1DC-4ADD-B5BB-7B7EC668805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FAB9B2E-9F94-4826-86DB-51B547FEE5C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F8A7892-D281-4F68-8E66-87582B98A94A}"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2E6A85C5-AEDF-4EEB-AD9F-660EE2AECC03}"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7D6823E2-40D9-4FC3-A8DE-3AB37B202C8E}"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01732D48-8C84-4B5E-9DA8-EA9BFEB724B0}"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A72B114D-A88A-4EF1-B8F1-B60871A79C77}"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67607517-3EE3-42E8-AE78-5DA7C653FFA9}"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0E8DCE6C-4F37-4071-988F-500E93EB5BEC}"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41046D78-BD5A-4DA9-ADCD-251BF2E6490F}"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A1CC4846-E594-468F-B58A-FC1EE42C473D}"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E9CCA8D3-04F5-47CF-8455-66E7EE446AD2}"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950B42BB-9CC1-45C9-B1FD-73648BB9F8F3}"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EE25F10E-7E1D-42C1-909F-1EDDD344B6B5}"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8DD06C5E-6C89-4771-83A1-DD1EBA771231}"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AB609911-30F6-4390-AF17-4015D8FB1D49}"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8D54EFEC-1424-4037-90F8-C27BAAD5C977}"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DDB227B-CB62-45EC-A8A1-CAFDED52E20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0020968-DD83-4D1C-9197-79C83176576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251B184-D966-4992-9D59-4BA2AE86F07C}"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C31106A-2EB5-4059-8C51-C39F07102AD6}"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CB6606A-0DD8-4D58-AC18-4EAC23DE4845}" name="Temperature Zone">
      <calculatedColumnFormula array="1">Common_InputFunctions.Utility_DisplayArrayInTable(Common_SourceData.Common_SourceData_TemperatureZones_Data(),Table_SourceData_TemperatureZones[[#Headers],[Temperature Zone]],0)</calculatedColumnFormula>
    </tableColumn>
    <tableColumn id="2" xr3:uid="{5E85EDCB-341C-4524-8261-D39109247510}" name="MAT">
      <calculatedColumnFormula array="1">Common_InputFunctions.Utility_DisplayArrayInTable(Common_SourceData.Common_SourceData_TemperatureZones_Data(),Table_SourceData_TemperatureZones[[#Headers],[Temperature Zone]],0)</calculatedColumnFormula>
    </tableColumn>
    <tableColumn id="3" xr3:uid="{7E4AF4BD-3C97-4E91-AA2E-3184E87D7A28}" name="Min MAT">
      <calculatedColumnFormula array="1">Common_InputFunctions.Utility_DisplayArrayInTable(Common_SourceData.Common_SourceData_TemperatureZones_Data(),Table_SourceData_TemperatureZones[[#Headers],[Temperature Zone]],0)</calculatedColumnFormula>
    </tableColumn>
    <tableColumn id="4" xr3:uid="{FD16B9E8-9470-49C6-A19E-33288FB6A3E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30E636D-5191-4712-8A95-7B8C994B0C4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2528BAD-A625-4E9B-80CC-154C29561D7A}" name="Rainfall Zone">
      <calculatedColumnFormula array="1">Common_InputFunctions.Utility_DisplayArrayInTable(Common_SourceData.Common_SourceData_RainfallZones_Data(),Table_SourceData_RainfallZones[[#Headers],[Rainfall Zone]],0)</calculatedColumnFormula>
    </tableColumn>
    <tableColumn id="2" xr3:uid="{09556179-4A4D-4F22-90CC-DF1E352FA9EF}" name="Annual rainfall">
      <calculatedColumnFormula array="1">Common_InputFunctions.Utility_DisplayArrayInTable(Common_SourceData.Common_SourceData_RainfallZones_Data(),Table_SourceData_RainfallZones[[#Headers],[Rainfall Zone]],0)</calculatedColumnFormula>
    </tableColumn>
    <tableColumn id="3" xr3:uid="{DDB09676-3C03-43B4-BC0E-A043316EBD94}" name="Min rainfall">
      <calculatedColumnFormula array="1">Common_InputFunctions.Utility_DisplayArrayInTable(Common_SourceData.Common_SourceData_RainfallZones_Data(),Table_SourceData_RainfallZones[[#Headers],[Rainfall Zone]],0)</calculatedColumnFormula>
    </tableColumn>
    <tableColumn id="4" xr3:uid="{0EDCC601-96EF-4F7E-921C-2233469C1B9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5605374-EA69-43C5-B971-0FB249AD539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1AF005F-A464-4844-84E8-0EFE2E026D71}" name="Leaching Zone">
      <calculatedColumnFormula array="1">Common_InputFunctions.Utility_DisplayArrayInTable(Common_SourceData.Common_SourceData_LeachingZones_Data(), Table_SourceData_LeachingZones[[#Headers],[Leaching Zone]], 0)</calculatedColumnFormula>
    </tableColumn>
    <tableColumn id="2" xr3:uid="{57B8E42C-5548-4CB5-9EEA-361E699DFC1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9B6BEEC-5856-43E8-A682-33F7AC8E332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E4B9331-7D0E-4CAD-9CD7-FBA8F716B4C0}" name="Data source">
      <calculatedColumnFormula array="1">Common_InputFunctions.Utility_DisplayArrayInTable(Common_SourceData.Common_SourceData_DataScores_Scope3_Data(), Table_SourceData_DataScores_Scope3[[#Headers],[Data source]], 0)</calculatedColumnFormula>
    </tableColumn>
    <tableColumn id="2" xr3:uid="{8415C1AB-EBDB-4771-B3F0-60B65C55537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F5E4E40-B487-43D5-804F-D0A91738E1CB}" name="Table_SourceData_FracWET" displayName="Table_SourceData_FracWET" ref="D134:E136" totalsRowShown="0">
  <autoFilter ref="D134:E136" xr:uid="{308E99BE-FE1F-47A4-B2CA-97217277C4E9}">
    <filterColumn colId="0" hiddenButton="1"/>
    <filterColumn colId="1" hiddenButton="1"/>
  </autoFilter>
  <tableColumns count="2">
    <tableColumn id="1" xr3:uid="{862DD832-F071-4FB0-B8D9-0E08579AFF36}" name="Is in leaching zone">
      <calculatedColumnFormula array="1">Common_InputFunctions.Utility_DisplayArrayInTable(Common_SourceData.Common_SourceData_FracWET_Data(),Table_SourceData_FracWET[[#Headers],[Is in leaching zone]],0)</calculatedColumnFormula>
    </tableColumn>
    <tableColumn id="2" xr3:uid="{F1CD4561-F550-4370-B098-816836367338}"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4FBA030-3D89-4CEF-B35F-6CC0ADF741B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B1AC575-86F4-4F94-9FA0-7DC981191A2F}" name="Production system j">
      <calculatedColumnFormula array="1">Common_InputFunctions.Utility_DisplayArrayInTable(Common_SourceData.Common_SourceData_EFN2O_Data(), Table_SourceData_Common_EFN2O[[#Headers],[Production system j]], 0)</calculatedColumnFormula>
    </tableColumn>
    <tableColumn id="2" xr3:uid="{166710C3-5B9D-400C-A453-40C88DB86E4F}" name="EFN2O">
      <calculatedColumnFormula array="1">Common_InputFunctions.Utility_DisplayArrayInTable(Common_SourceData.Common_SourceData_EFN2O_Data(), Table_SourceData_Common_EFN2O[[#Headers],[Production system j]], 0)</calculatedColumnFormula>
    </tableColumn>
    <tableColumn id="3" xr3:uid="{FAA31D8E-8E1C-4523-9C84-E9D12B7294A5}" name="Production system only">
      <calculatedColumnFormula array="1">Common_InputFunctions.Utility_DisplayArrayInTable(Common_SourceData.Common_SourceData_EFN2O_Data(), Table_SourceData_Common_EFN2O[[#Headers],[Production system j]], 0)</calculatedColumnFormula>
    </tableColumn>
    <tableColumn id="4" xr3:uid="{480ADF26-8F20-4997-BA5C-919B72BF7E7B}" name="Irrigation method">
      <calculatedColumnFormula array="1">Common_InputFunctions.Utility_DisplayArrayInTable(Common_SourceData.Common_SourceData_EFN2O_Data(), Table_SourceData_Common_EFN2O[[#Headers],[Production system j]], 0)</calculatedColumnFormula>
    </tableColumn>
    <tableColumn id="5" xr3:uid="{6FE80B66-B203-46D2-A8C4-74B6C78103B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5A32D60-B0BB-470D-9F81-1932D856840F}"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E4698FC-EAC0-4DA0-A560-1828BF1E955D}" name="Irrigation type i">
      <calculatedColumnFormula array="1">Common_InputFunctions.Utility_DisplayArrayInTable(Common_SourceData.Common_SourceData_FracWETIrrigation_Data(), Table_SourceData_FracWETIrrigation[[#Headers],[Irrigation type i]], 0)</calculatedColumnFormula>
    </tableColumn>
    <tableColumn id="2" xr3:uid="{52362339-6966-4532-BB09-D5F456392CBE}"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97F5615-D8D0-42DE-AC75-F489CA70DC0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542EA4B8-BB77-4402-A180-698BBAF97CA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B0AE2DF-75B2-4123-870D-19E95AFBF752}"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7BDBA4EC-BC77-4C58-89DD-157B31E7C9F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31E3873-DFC4-4487-A04C-0B64C52F325A}" name="Month">
      <calculatedColumnFormula array="1">Common_InputFunctions.Utility_DisplayArrayInTable(Common_SourceData.Common_SourceData_MonthsToSeasons_Data(), Table_SourceData_Common_MonthToSeason[[#Headers],[Month]], 0)</calculatedColumnFormula>
    </tableColumn>
    <tableColumn id="2" xr3:uid="{7606D346-1E4C-462B-A236-67325950A8E1}"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0E4A90A-7B9F-4DF8-9BF8-2CFE6B90676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39BAED3-6E6C-4227-B9EF-37677158691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2FFAFC1-59BC-4010-98A9-27DB3FE1DD06}"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9CD30ED-E312-41FE-B999-135312000A9B}"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3334F9C-475A-46F7-8FDB-B331B5004438}"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91C38BE-E003-476F-9A56-B5D5995410A2}"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B1BA2C3-CED1-4338-AE7B-DA8F480D6820}"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17D52E2-6B96-4464-A611-F11451B8F531}"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EA2BD3EE-44AA-4547-BCB4-F83E6A34CB40}"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AE2526D-3F4A-4226-87C1-2DFC34C8854F}"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17E67D5-0F95-415E-AEF4-7D5D97C1A1AD}"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9392A42-1A72-4C3D-8384-16B2733E04A1}"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B6EFA24-F2FE-4460-889C-E85A1F51BEF2}"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B813547-A82C-4D7F-97E7-78E95D84A299}"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C3958C5-023B-44D5-8AD8-C36B187C92AC}"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A34FD90-D8D6-49B5-854F-D0ADA88F7BCE}"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E8DE8B3-2F07-4F14-83C6-2425934C727B}"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BCF96BE1-B849-4247-A448-7DD3E9B27EA2}"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F6562D6-0447-4BE3-BC8D-CF2E5B826F5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A5BF372-098B-4BBD-ABE6-B946BA1A2656}"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7.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70" t="e" vm="1">
        <v>#VALUE!</v>
      </c>
      <c r="C1" s="143" t="s">
        <v>351</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46" t="s">
        <v>349</v>
      </c>
      <c r="E5" s="146"/>
      <c r="F5" s="146"/>
      <c r="G5" s="146"/>
      <c r="H5" s="146"/>
      <c r="I5" s="116"/>
      <c r="J5" s="94"/>
      <c r="K5" s="94"/>
      <c r="L5" s="94"/>
      <c r="M5" s="94"/>
      <c r="N5" s="94"/>
      <c r="O5" s="94"/>
      <c r="P5" s="94"/>
      <c r="Q5" s="94"/>
      <c r="R5" s="94"/>
      <c r="S5" s="94"/>
      <c r="T5" s="94"/>
      <c r="U5" s="94"/>
      <c r="V5" s="90"/>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47" t="s">
        <v>350</v>
      </c>
      <c r="E6" s="148"/>
      <c r="F6" s="148"/>
      <c r="G6" s="148"/>
      <c r="H6" s="148"/>
      <c r="I6" s="96"/>
      <c r="J6" s="93"/>
      <c r="K6" s="93"/>
      <c r="L6" s="93"/>
      <c r="M6" s="93"/>
      <c r="N6" s="93"/>
      <c r="O6" s="93"/>
      <c r="P6" s="93"/>
      <c r="Q6" s="93"/>
      <c r="R6" s="93"/>
      <c r="S6" s="93"/>
      <c r="T6" s="93"/>
      <c r="U6" s="93"/>
      <c r="V6" s="9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76</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HYPERLINK("#'4.1.1.1-2 Methane'!A1", "4.1.1.1-2 Methane")</f>
        <v>4.1.1.1-2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HYPERLINK("#'4.1.1.3-4 Direct N20'!A1", "4.1.1.3-4 Direct N2O")</f>
        <v>4.1.1.3-4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HYPERLINK("#'4.1.1.5-6 Atmos Deposition'!A1", "4.1.1.5-6 Atmospheric deposition")</f>
        <v>4.1.1.5-6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HYPERLINK("#'4.1.1.9 Manure applied to soils'!A1", "4.1.1.9 Manure applied to soils")</f>
        <v>4.1.1.9 Manure applied to soils</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4</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Feedlot'!A1", "Constants - Feedlot")</f>
        <v>Constants - Feedlot</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C1" sqref="C1"/>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70" t="e" vm="1">
        <v>#VALUE!</v>
      </c>
      <c r="C1" s="128" t="s">
        <v>295</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27" t="str">
        <f>HYPERLINK("#'Results'!A1", "Results")</f>
        <v>Results</v>
      </c>
      <c r="C5" s="24"/>
      <c r="D5" s="28"/>
      <c r="E5" s="29"/>
      <c r="F5" s="29"/>
      <c r="G5" s="29"/>
      <c r="H5" s="26"/>
      <c r="I5" s="24"/>
      <c r="J5" s="24"/>
      <c r="K5" s="24"/>
      <c r="L5" s="24"/>
    </row>
    <row r="6" spans="1:12" ht="20.100000000000001" customHeight="1" x14ac:dyDescent="0.25">
      <c r="A6" s="16"/>
      <c r="C6" s="24"/>
      <c r="D6" s="126" t="s">
        <v>257</v>
      </c>
      <c r="E6" s="126" t="s">
        <v>310</v>
      </c>
      <c r="F6" s="126" t="s">
        <v>311</v>
      </c>
      <c r="G6" s="126" t="s">
        <v>283</v>
      </c>
      <c r="H6" s="126" t="s">
        <v>312</v>
      </c>
      <c r="I6" s="126" t="s">
        <v>314</v>
      </c>
      <c r="J6" s="126" t="s">
        <v>284</v>
      </c>
      <c r="K6" s="24"/>
      <c r="L6" s="24"/>
    </row>
    <row r="7" spans="1:12" ht="20.100000000000001" customHeight="1" x14ac:dyDescent="0.25">
      <c r="A7" s="20" t="s">
        <v>3</v>
      </c>
      <c r="C7" s="24"/>
      <c r="D7" s="1" t="s">
        <v>307</v>
      </c>
      <c r="E7" s="119">
        <f ca="1">VEERG_4_1_1_1__1_TotalAnnualMethaneEmissions_Result_Method1</f>
        <v>2.6279077661491193</v>
      </c>
      <c r="F7" s="119">
        <f ca="1">VEERG_4_1_1_1__1_TotalAnnualMethaneEmissions_Result_Method2</f>
        <v>2.6279077661491193</v>
      </c>
      <c r="G7" s="57" t="str">
        <f>'4.1.1.1-2 Methane'!F171</f>
        <v>t CH4</v>
      </c>
      <c r="H7" s="119">
        <f ca="1">'4.1.1.1-2 Methane'!E176</f>
        <v>73.581417452175344</v>
      </c>
      <c r="I7" s="119">
        <f ca="1">'4.1.1.1-2 Methane'!N176</f>
        <v>73.581417452175344</v>
      </c>
      <c r="J7" s="57" t="s">
        <v>313</v>
      </c>
      <c r="K7" s="24"/>
      <c r="L7" s="24"/>
    </row>
    <row r="8" spans="1:12" ht="20.100000000000001" customHeight="1" x14ac:dyDescent="0.25">
      <c r="A8" s="17" t="str">
        <f>HYPERLINK("#'Input - Site'!A1", "Site")</f>
        <v>Site</v>
      </c>
      <c r="C8" s="24"/>
      <c r="D8" s="1" t="s">
        <v>308</v>
      </c>
      <c r="E8" s="119">
        <f ca="1">VEERG_4_1_1_3__1_TotalAnnualDirectNitrousOxideEmissions_Result_Method1</f>
        <v>0.80616789491492569</v>
      </c>
      <c r="F8" s="119">
        <f ca="1">VEERG_4_1_1_3__1_TotalAnnualDirectNitrousOxideEmissions_Result_Method2</f>
        <v>0.80616789491492569</v>
      </c>
      <c r="G8" s="57" t="str">
        <f>'4.1.1.3-4 Direct N20'!F212</f>
        <v>t N2O</v>
      </c>
      <c r="H8" s="119">
        <f ca="1">'4.1.1.3-4 Direct N20'!E217</f>
        <v>213.63449215245529</v>
      </c>
      <c r="I8" s="119">
        <f ca="1">'4.1.1.3-4 Direct N20'!P217</f>
        <v>213.63449215245529</v>
      </c>
      <c r="J8" s="57" t="s">
        <v>313</v>
      </c>
      <c r="K8" s="24"/>
      <c r="L8" s="24"/>
    </row>
    <row r="9" spans="1:12" ht="20.100000000000001" customHeight="1" x14ac:dyDescent="0.25">
      <c r="A9" s="17" t="str">
        <f>HYPERLINK("#'Input - Feedlot'!A1", "Feedlot")</f>
        <v>Feedlot</v>
      </c>
      <c r="C9" s="24"/>
      <c r="D9" s="1" t="s">
        <v>309</v>
      </c>
      <c r="E9" s="119">
        <f ca="1">VEERG_4_1_1_5__1_TotalAnnualAtmosphericDepositionEmissions_Result_Method1</f>
        <v>0.1458482506281413</v>
      </c>
      <c r="F9" s="119">
        <f ca="1">VEERG_4_1_1_5__1_TotalAnnualAtmosphericDepositionEmissions_Result_Method2</f>
        <v>0.1458482506281413</v>
      </c>
      <c r="G9" s="57" t="str">
        <f>'4.1.1.5-6 Atmos Deposition'!$F$65</f>
        <v>t N2O</v>
      </c>
      <c r="H9" s="119">
        <f ca="1">'4.1.1.5-6 Atmos Deposition'!$E$70</f>
        <v>38.649786416457445</v>
      </c>
      <c r="I9" s="119">
        <f ca="1">'4.1.1.5-6 Atmos Deposition'!$N$70</f>
        <v>38.649786416457445</v>
      </c>
      <c r="J9" s="57" t="s">
        <v>313</v>
      </c>
      <c r="K9" s="24"/>
      <c r="L9" s="24"/>
    </row>
    <row r="10" spans="1:12" ht="20.100000000000001" customHeight="1" x14ac:dyDescent="0.3">
      <c r="A10" s="17"/>
      <c r="C10" s="24"/>
      <c r="D10" s="31" t="s">
        <v>281</v>
      </c>
      <c r="E10" s="25"/>
      <c r="F10" s="31"/>
      <c r="G10" s="31"/>
      <c r="H10" s="123">
        <f ca="1">SUM(H7:H9)</f>
        <v>325.86569602108807</v>
      </c>
      <c r="I10" s="123">
        <f ca="1">SUM(I7:I9)</f>
        <v>325.86569602108807</v>
      </c>
      <c r="J10" s="112" t="s">
        <v>313</v>
      </c>
      <c r="K10" s="24"/>
      <c r="L10" s="24"/>
    </row>
    <row r="11" spans="1:12" ht="20.100000000000001" customHeight="1" x14ac:dyDescent="0.25">
      <c r="A11" s="19" t="s">
        <v>76</v>
      </c>
      <c r="C11" s="24"/>
      <c r="D11" s="1"/>
      <c r="E11" s="1"/>
      <c r="F11" s="1"/>
      <c r="G11" s="26"/>
      <c r="H11" s="24"/>
      <c r="I11" s="1"/>
      <c r="J11" s="1"/>
      <c r="K11" s="24"/>
      <c r="L11" s="24"/>
    </row>
    <row r="12" spans="1:12" ht="20.100000000000001" customHeight="1" x14ac:dyDescent="0.25">
      <c r="A12" s="17" t="str">
        <f>HYPERLINK("#'4.1.1.1-2 Methane'!A1", "4.1.1.1-2 Methane")</f>
        <v>4.1.1.1-2 Methane</v>
      </c>
      <c r="C12" s="24"/>
      <c r="D12" s="51" t="s">
        <v>226</v>
      </c>
      <c r="E12" s="1"/>
      <c r="F12" s="1"/>
      <c r="G12" s="1"/>
      <c r="H12" s="26"/>
      <c r="I12" s="24"/>
      <c r="J12" s="24"/>
      <c r="K12" s="24"/>
      <c r="L12" s="24"/>
    </row>
    <row r="13" spans="1:12" ht="20.100000000000001" customHeight="1" x14ac:dyDescent="0.25">
      <c r="A13" s="17" t="str">
        <f>HYPERLINK("#'4.1.1.3-4 Direct N20'!A1", "4.1.1.3-4 Direct N2O")</f>
        <v>4.1.1.3-4 Direct N2O</v>
      </c>
      <c r="C13" s="24"/>
      <c r="D13" s="113" t="s">
        <v>288</v>
      </c>
      <c r="E13" s="1"/>
      <c r="F13" s="1"/>
      <c r="G13" s="1"/>
      <c r="H13" s="1"/>
      <c r="I13" s="1"/>
      <c r="J13" s="1"/>
      <c r="K13" s="24"/>
      <c r="L13" s="24"/>
    </row>
    <row r="14" spans="1:12" ht="20.100000000000001" customHeight="1" x14ac:dyDescent="0.25">
      <c r="A14" s="17" t="str">
        <f>HYPERLINK("#'4.1.1.5-6 Atmos Deposition'!A1", "4.1.1.5-6 Atmospheric deposition")</f>
        <v>4.1.1.5-6 Atmospheric deposition</v>
      </c>
      <c r="C14" s="24"/>
      <c r="D14" s="124" t="s">
        <v>294</v>
      </c>
      <c r="E14" s="1"/>
      <c r="F14" s="1"/>
      <c r="G14" s="1"/>
      <c r="H14" s="1"/>
      <c r="I14" s="1"/>
      <c r="J14" s="1"/>
      <c r="K14" s="24"/>
      <c r="L14" s="24"/>
    </row>
    <row r="15" spans="1:12" ht="20.100000000000001" customHeight="1" x14ac:dyDescent="0.25">
      <c r="A15" s="17" t="str">
        <f>HYPERLINK("#'4.1.1.9 Manure applied to soils'!A1", "4.1.1.9 Manure applied to soils")</f>
        <v>4.1.1.9 Manure applied to soils</v>
      </c>
      <c r="C15" s="24"/>
      <c r="D15" s="126" t="s">
        <v>289</v>
      </c>
      <c r="E15" s="126" t="s">
        <v>361</v>
      </c>
      <c r="F15" s="126" t="s">
        <v>362</v>
      </c>
      <c r="G15" s="126" t="s">
        <v>287</v>
      </c>
      <c r="H15" s="126" t="s">
        <v>282</v>
      </c>
      <c r="I15" s="126" t="s">
        <v>293</v>
      </c>
      <c r="J15" s="1"/>
      <c r="K15" s="24"/>
      <c r="L15" s="24"/>
    </row>
    <row r="16" spans="1:12" ht="20.100000000000001" customHeight="1" x14ac:dyDescent="0.25">
      <c r="C16" s="24"/>
      <c r="D16" s="1" t="s">
        <v>306</v>
      </c>
      <c r="E16" s="125">
        <f ca="1">VEERG_4_1_1_9__1_MassOfNitrogenAppliedToSoilsScope1_Result_Method1</f>
        <v>24340.194998288636</v>
      </c>
      <c r="F16" s="125">
        <f ca="1">VEERG_4_1_1_9__1_MassOfNitrogenAppliedToSoilsScope1_Result_Method2</f>
        <v>24340.194998288636</v>
      </c>
      <c r="G16" s="57" t="str">
        <f>'4.1.1.9 Manure applied to soils'!$F$61</f>
        <v>kg N</v>
      </c>
      <c r="H16" s="1" t="s">
        <v>300</v>
      </c>
      <c r="I16" s="1" t="s">
        <v>292</v>
      </c>
      <c r="J16" s="1"/>
      <c r="K16" s="24"/>
      <c r="L16" s="24"/>
    </row>
    <row r="17" spans="1:12" ht="20.100000000000001" customHeight="1" x14ac:dyDescent="0.25">
      <c r="A17" s="18" t="s">
        <v>4</v>
      </c>
      <c r="C17" s="24"/>
      <c r="D17" s="1" t="s">
        <v>290</v>
      </c>
      <c r="E17" s="125">
        <f ca="1">'4.1.1.9 Manure applied to soils'!$E$111</f>
        <v>2221.8698202508799</v>
      </c>
      <c r="F17" s="125">
        <f ca="1">VEERG_4_1_1_9__2_MassOfNitrogenAppliedToSoilsScope3_Result_Method2</f>
        <v>2221.8698202508799</v>
      </c>
      <c r="G17" s="57" t="str">
        <f>'4.1.1.9 Manure applied to soils'!$F$111</f>
        <v>kg N</v>
      </c>
      <c r="H17" s="1" t="s">
        <v>300</v>
      </c>
      <c r="I17" s="1" t="s">
        <v>292</v>
      </c>
      <c r="J17" s="1"/>
      <c r="K17" s="24"/>
      <c r="L17" s="24"/>
    </row>
    <row r="18" spans="1:12" ht="20.100000000000001" customHeight="1" x14ac:dyDescent="0.25">
      <c r="A18" s="17" t="str">
        <f>HYPERLINK("#'Constants - Feedlot'!A1", "Constants - Feedlot")</f>
        <v>Constants - Feedlot</v>
      </c>
      <c r="C18" s="24"/>
      <c r="D18" s="1" t="s">
        <v>285</v>
      </c>
      <c r="E18" s="125">
        <f ca="1">VEERG_4_1_1_9__2_MassOfNitrogenAppliedToSoilsScope3_Result_Method1</f>
        <v>2221.8698202508799</v>
      </c>
      <c r="F18" s="125">
        <f ca="1">'4.1.1.9 Manure applied to soils'!O111</f>
        <v>2221.8698202508799</v>
      </c>
      <c r="G18" s="57" t="str">
        <f>'4.1.1.9 Manure applied to soils'!F87</f>
        <v>kg N</v>
      </c>
      <c r="H18" s="1" t="s">
        <v>286</v>
      </c>
      <c r="I18" s="1" t="s">
        <v>291</v>
      </c>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18"/>
      <c r="J38" s="118"/>
      <c r="K38" s="118"/>
      <c r="L38" s="24"/>
    </row>
    <row r="39" spans="3:12" ht="20.100000000000001" customHeight="1" x14ac:dyDescent="0.25">
      <c r="C39" s="24"/>
      <c r="D39" s="1"/>
      <c r="E39" s="1"/>
      <c r="F39" s="1"/>
      <c r="G39" s="1"/>
      <c r="H39" s="1"/>
      <c r="I39" s="118"/>
      <c r="J39" s="118"/>
      <c r="K39" s="118"/>
      <c r="L39" s="24"/>
    </row>
    <row r="40" spans="3:12" ht="20.100000000000001" customHeight="1" x14ac:dyDescent="0.25">
      <c r="C40" s="24"/>
      <c r="D40" s="1"/>
      <c r="E40" s="1"/>
      <c r="F40" s="1"/>
      <c r="G40" s="1"/>
      <c r="H40" s="1"/>
      <c r="I40" s="118"/>
      <c r="J40" s="118"/>
      <c r="K40" s="118"/>
      <c r="L40" s="24"/>
    </row>
    <row r="41" spans="3:12" ht="20.100000000000001" customHeight="1" x14ac:dyDescent="0.25">
      <c r="C41" s="24"/>
      <c r="D41" s="1"/>
      <c r="E41" s="1"/>
      <c r="F41" s="1"/>
      <c r="G41" s="1"/>
      <c r="H41" s="1"/>
      <c r="I41" s="118"/>
      <c r="J41" s="118"/>
      <c r="K41" s="118"/>
      <c r="L41" s="24"/>
    </row>
    <row r="42" spans="3:12" ht="20.100000000000001" customHeight="1" x14ac:dyDescent="0.25">
      <c r="C42" s="24"/>
      <c r="D42" s="1"/>
      <c r="E42" s="1"/>
      <c r="F42" s="1"/>
      <c r="G42" s="1"/>
      <c r="H42" s="1"/>
      <c r="I42" s="118"/>
      <c r="J42" s="118"/>
      <c r="K42" s="118"/>
      <c r="L42" s="24"/>
    </row>
    <row r="43" spans="3:12" ht="20.100000000000001" customHeight="1" x14ac:dyDescent="0.25">
      <c r="C43" s="24"/>
      <c r="D43" s="1"/>
      <c r="E43" s="1"/>
      <c r="F43" s="1"/>
      <c r="G43" s="1"/>
      <c r="H43" s="1"/>
      <c r="I43" s="118"/>
      <c r="J43" s="118"/>
      <c r="K43" s="118"/>
      <c r="L43" s="24"/>
    </row>
    <row r="44" spans="3:12" ht="20.100000000000001" customHeight="1" x14ac:dyDescent="0.25">
      <c r="C44" s="24"/>
      <c r="D44" s="1"/>
      <c r="E44" s="1"/>
      <c r="F44" s="1"/>
      <c r="G44" s="1"/>
      <c r="H44" s="1"/>
      <c r="I44" s="118"/>
      <c r="J44" s="118"/>
      <c r="K44" s="118"/>
      <c r="L44" s="24"/>
    </row>
    <row r="45" spans="3:12" ht="20.100000000000001" customHeight="1" x14ac:dyDescent="0.25">
      <c r="C45" s="24"/>
      <c r="D45" s="1"/>
      <c r="E45" s="1"/>
      <c r="F45" s="1"/>
      <c r="G45" s="1"/>
      <c r="H45" s="1"/>
      <c r="I45" s="118"/>
      <c r="J45" s="118"/>
      <c r="K45" s="118"/>
      <c r="L45" s="24"/>
    </row>
    <row r="46" spans="3:12" ht="20.100000000000001" customHeight="1" x14ac:dyDescent="0.25">
      <c r="C46" s="24"/>
      <c r="D46" s="1"/>
      <c r="E46" s="1"/>
      <c r="F46" s="1"/>
      <c r="G46" s="1"/>
      <c r="H46" s="1"/>
      <c r="I46" s="118"/>
      <c r="J46" s="118"/>
      <c r="K46" s="118"/>
      <c r="L46" s="24"/>
    </row>
    <row r="47" spans="3:12" ht="20.100000000000001" customHeight="1" x14ac:dyDescent="0.25">
      <c r="C47" s="24"/>
      <c r="D47" s="1"/>
      <c r="E47" s="1"/>
      <c r="F47" s="1"/>
      <c r="G47" s="1"/>
      <c r="H47" s="1"/>
      <c r="I47" s="118"/>
      <c r="J47" s="118"/>
      <c r="K47" s="118"/>
      <c r="L47" s="24"/>
    </row>
    <row r="48" spans="3:12" ht="20.100000000000001" customHeight="1" x14ac:dyDescent="0.25">
      <c r="C48" s="24"/>
      <c r="D48" s="1"/>
      <c r="E48" s="1"/>
      <c r="F48" s="1"/>
      <c r="G48" s="1"/>
      <c r="H48" s="1"/>
      <c r="I48" s="118"/>
      <c r="J48" s="118"/>
      <c r="K48" s="118"/>
      <c r="L48" s="24"/>
    </row>
    <row r="49" spans="3:12" ht="20.100000000000001" customHeight="1" x14ac:dyDescent="0.25">
      <c r="C49" s="24"/>
      <c r="D49" s="1"/>
      <c r="E49" s="1"/>
      <c r="F49" s="1"/>
      <c r="G49" s="1"/>
      <c r="H49" s="118"/>
      <c r="I49" s="118"/>
      <c r="J49" s="118"/>
      <c r="K49" s="118"/>
      <c r="L49" s="24"/>
    </row>
    <row r="50" spans="3:12" ht="20.100000000000001" customHeight="1" x14ac:dyDescent="0.25">
      <c r="C50" s="24"/>
      <c r="D50" s="1"/>
      <c r="E50" s="1"/>
      <c r="F50" s="1"/>
      <c r="G50" s="1"/>
      <c r="H50" s="118"/>
      <c r="I50" s="118"/>
      <c r="J50" s="118"/>
      <c r="K50" s="118"/>
      <c r="L50" s="24"/>
    </row>
    <row r="51" spans="3:12" ht="20.100000000000001" customHeight="1" x14ac:dyDescent="0.25">
      <c r="C51" s="24"/>
      <c r="D51" s="1"/>
      <c r="E51" s="1"/>
      <c r="F51" s="1"/>
      <c r="G51" s="1"/>
      <c r="H51" s="118"/>
      <c r="I51" s="118"/>
      <c r="J51" s="118"/>
      <c r="K51" s="118"/>
      <c r="L51" s="24"/>
    </row>
    <row r="52" spans="3:12" ht="20.100000000000001" customHeight="1" x14ac:dyDescent="0.25">
      <c r="C52" s="24"/>
      <c r="D52" s="1"/>
      <c r="E52" s="1"/>
      <c r="F52" s="1"/>
      <c r="G52" s="1"/>
      <c r="H52" s="118"/>
      <c r="I52" s="118"/>
      <c r="J52" s="118"/>
      <c r="K52" s="118"/>
      <c r="L52" s="24"/>
    </row>
    <row r="53" spans="3:12" ht="20.100000000000001" customHeight="1" x14ac:dyDescent="0.25">
      <c r="C53" s="24"/>
      <c r="D53" s="1"/>
      <c r="E53" s="1"/>
      <c r="F53" s="1"/>
      <c r="G53" s="1"/>
      <c r="H53" s="118"/>
      <c r="I53" s="118"/>
      <c r="J53" s="118"/>
      <c r="K53" s="118"/>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I23" sqref="I2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0"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2"/>
      <c r="D4" s="72"/>
      <c r="E4" s="72"/>
      <c r="F4" s="72"/>
      <c r="G4" s="72"/>
      <c r="H4" s="72"/>
      <c r="I4" s="72"/>
      <c r="J4" s="72"/>
      <c r="K4" s="72"/>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72</v>
      </c>
      <c r="E8" s="35" t="s">
        <v>73</v>
      </c>
    </row>
    <row r="9" spans="1:24" ht="20.100000000000001" customHeight="1" x14ac:dyDescent="0.25">
      <c r="A9" s="17" t="str">
        <f>HYPERLINK("#'Input - Feedlot'!A1", "Feedlot")</f>
        <v>Feedlot</v>
      </c>
      <c r="N9" s="45"/>
    </row>
    <row r="10" spans="1:24" ht="20.100000000000001" customHeight="1" x14ac:dyDescent="0.25">
      <c r="A10" s="17"/>
      <c r="D10" s="97" t="s">
        <v>90</v>
      </c>
      <c r="E10" s="95"/>
      <c r="F10" s="98"/>
      <c r="G10" s="92"/>
      <c r="N10" s="45"/>
    </row>
    <row r="11" spans="1:24" ht="20.100000000000001" customHeight="1" x14ac:dyDescent="0.25">
      <c r="A11" s="19" t="s">
        <v>76</v>
      </c>
      <c r="N11" s="46"/>
    </row>
    <row r="12" spans="1:24" ht="20.100000000000001" customHeight="1" x14ac:dyDescent="0.25">
      <c r="A12" s="17" t="str">
        <f>HYPERLINK("#'4.1.1.1-2 Methane'!A1", "4.1.1.1-2 Methane")</f>
        <v>4.1.1.1-2 Methane</v>
      </c>
      <c r="D12" s="10" t="s">
        <v>96</v>
      </c>
      <c r="E12" s="66">
        <v>45292</v>
      </c>
      <c r="F12" s="2" t="s">
        <v>70</v>
      </c>
    </row>
    <row r="13" spans="1:24" ht="20.100000000000001" customHeight="1" x14ac:dyDescent="0.25">
      <c r="A13" s="17" t="str">
        <f>HYPERLINK("#'4.1.1.3-4 Direct N20'!A1", "4.1.1.3-4 Direct N2O")</f>
        <v>4.1.1.3-4 Direct N2O</v>
      </c>
      <c r="D13" s="10" t="s">
        <v>97</v>
      </c>
      <c r="E13" s="73">
        <f>DATE(YEAR(E12)+1,MONTH(E12),DAY(E12))-1</f>
        <v>45657</v>
      </c>
      <c r="F13" s="2" t="s">
        <v>17</v>
      </c>
      <c r="N13" s="40"/>
      <c r="O13" s="40"/>
    </row>
    <row r="14" spans="1:24" ht="20.100000000000001" customHeight="1" x14ac:dyDescent="0.25">
      <c r="A14" s="17" t="str">
        <f>HYPERLINK("#'4.1.1.5-6 Atmos Deposition'!A1", "4.1.1.5-6 Atmospheric deposition")</f>
        <v>4.1.1.5-6 Atmospheric deposition</v>
      </c>
      <c r="N14" s="40"/>
      <c r="O14" s="40"/>
    </row>
    <row r="15" spans="1:24" ht="20.100000000000001" customHeight="1" x14ac:dyDescent="0.25">
      <c r="A15" s="17" t="str">
        <f>HYPERLINK("#'4.1.1.9 Manure applied to soils'!A1", "4.1.1.9 Manure applied to soils")</f>
        <v>4.1.1.9 Manure applied to soils</v>
      </c>
      <c r="N15" s="40"/>
      <c r="O15" s="40"/>
    </row>
    <row r="16" spans="1:24" ht="20.100000000000001" customHeight="1" x14ac:dyDescent="0.25">
      <c r="A16"/>
      <c r="D16" s="6" t="s">
        <v>14</v>
      </c>
      <c r="N16" s="40"/>
      <c r="O16" s="40"/>
    </row>
    <row r="17" spans="1:25" ht="20.100000000000001" customHeight="1" x14ac:dyDescent="0.25">
      <c r="A17" s="18" t="s">
        <v>4</v>
      </c>
    </row>
    <row r="18" spans="1:25" ht="20.100000000000001" customHeight="1" x14ac:dyDescent="0.25">
      <c r="A18" s="17" t="str">
        <f>HYPERLINK("#'Constants - Feedlot'!A1", "Constants - Feedlot")</f>
        <v>Constants - Feedlot</v>
      </c>
      <c r="D18" s="99" t="s">
        <v>16</v>
      </c>
      <c r="E18" s="94"/>
      <c r="F18" s="94"/>
      <c r="G18" s="90"/>
    </row>
    <row r="19" spans="1:25" ht="20.100000000000001" customHeight="1" x14ac:dyDescent="0.25">
      <c r="A19" s="17" t="str">
        <f>HYPERLINK("#'Constants - Livestock'!A1", "Constants - Livestock")</f>
        <v>Constants - Livestock</v>
      </c>
      <c r="D19" s="96" t="s">
        <v>71</v>
      </c>
      <c r="E19" s="93"/>
      <c r="F19" s="93"/>
      <c r="G19" s="91"/>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8</v>
      </c>
      <c r="E21" s="42" t="s">
        <v>363</v>
      </c>
      <c r="F21" s="2" t="s">
        <v>11</v>
      </c>
    </row>
    <row r="22" spans="1:25" ht="20.100000000000001" customHeight="1" x14ac:dyDescent="0.25">
      <c r="A22"/>
      <c r="D22" s="1" t="s">
        <v>25</v>
      </c>
      <c r="E22" s="42" t="s">
        <v>34</v>
      </c>
      <c r="F22" s="2" t="s">
        <v>11</v>
      </c>
      <c r="G22" s="1"/>
    </row>
    <row r="23" spans="1:25" ht="20.100000000000001" customHeight="1" x14ac:dyDescent="0.25">
      <c r="A23"/>
      <c r="D23" s="1" t="s">
        <v>9</v>
      </c>
      <c r="E23" s="42" t="s">
        <v>95</v>
      </c>
      <c r="F23" s="2" t="s">
        <v>11</v>
      </c>
    </row>
    <row r="24" spans="1:25" ht="20.100000000000001" customHeight="1" x14ac:dyDescent="0.25">
      <c r="A24"/>
      <c r="D24" s="1" t="s">
        <v>39</v>
      </c>
      <c r="E24" s="35">
        <v>307.7</v>
      </c>
      <c r="F24" s="2" t="s">
        <v>53</v>
      </c>
    </row>
    <row r="25" spans="1:25" ht="20.100000000000001" customHeight="1" x14ac:dyDescent="0.25">
      <c r="A25"/>
      <c r="D25" s="1" t="s">
        <v>61</v>
      </c>
      <c r="E25" s="35">
        <v>18</v>
      </c>
      <c r="F25" s="2" t="s">
        <v>12</v>
      </c>
      <c r="N25" s="44"/>
    </row>
    <row r="26" spans="1:25" ht="20.100000000000001" customHeight="1" x14ac:dyDescent="0.25">
      <c r="A26"/>
      <c r="D26" s="1" t="s">
        <v>62</v>
      </c>
      <c r="E26" s="35">
        <v>601</v>
      </c>
      <c r="F26" s="2" t="s">
        <v>13</v>
      </c>
    </row>
    <row r="27" spans="1:25" ht="20.100000000000001" customHeight="1" x14ac:dyDescent="0.25">
      <c r="A27"/>
      <c r="D27" s="10" t="s">
        <v>63</v>
      </c>
      <c r="E27" s="35">
        <v>1326</v>
      </c>
      <c r="F27" s="2" t="s">
        <v>13</v>
      </c>
    </row>
    <row r="28" spans="1:25" ht="20.100000000000001" customHeight="1" x14ac:dyDescent="0.25">
      <c r="A28"/>
      <c r="D28" s="1" t="s">
        <v>64</v>
      </c>
      <c r="E28" s="35">
        <v>7</v>
      </c>
      <c r="F28" s="2" t="s">
        <v>54</v>
      </c>
    </row>
    <row r="29" spans="1:25" ht="20.100000000000001" customHeight="1" x14ac:dyDescent="0.25">
      <c r="A29"/>
      <c r="D29" s="10" t="s">
        <v>60</v>
      </c>
      <c r="E29" s="55">
        <f>E26/E27</f>
        <v>0.45324283559577677</v>
      </c>
      <c r="F29" s="2"/>
    </row>
    <row r="30" spans="1:25" ht="20.100000000000001" customHeight="1" x14ac:dyDescent="0.25">
      <c r="A30"/>
      <c r="D30" s="10" t="s">
        <v>35</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92</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52</v>
      </c>
      <c r="E33" s="55" t="str">
        <f>Common_InputFunctions.Utility_LookupItemFromMinMax(E25,Table_SourceData_TemperatureZones[Min MAT],Table_SourceData_TemperatureZones[Max MAT],Table_SourceData_TemperatureZones[Temperature Zone])</f>
        <v>Temperate</v>
      </c>
      <c r="G33" s="74"/>
      <c r="L33" s="50"/>
      <c r="M33" s="50"/>
      <c r="N33" s="50"/>
      <c r="O33" s="50"/>
      <c r="P33" s="50"/>
      <c r="Q33" s="50"/>
      <c r="R33" s="50"/>
      <c r="S33" s="50"/>
      <c r="T33" s="50"/>
      <c r="U33" s="50"/>
      <c r="V33" s="50"/>
      <c r="W33" s="50"/>
      <c r="X33" s="50"/>
      <c r="Y33" s="50"/>
    </row>
    <row r="34" spans="1:25" ht="20.100000000000001" customHeight="1" x14ac:dyDescent="0.25">
      <c r="A34"/>
      <c r="J34" s="63"/>
      <c r="K34" s="77"/>
      <c r="L34" s="50"/>
      <c r="M34" s="50"/>
      <c r="N34" s="50"/>
      <c r="O34" s="50"/>
      <c r="P34" s="50"/>
      <c r="Q34" s="50"/>
      <c r="R34" s="50"/>
      <c r="S34" s="50"/>
      <c r="T34" s="50"/>
      <c r="U34" s="50"/>
      <c r="V34" s="50"/>
      <c r="W34" s="50"/>
      <c r="X34" s="50"/>
      <c r="Y34" s="50"/>
    </row>
    <row r="35" spans="1:25" ht="20.100000000000001" customHeight="1" x14ac:dyDescent="0.25">
      <c r="A35"/>
      <c r="J35" s="63"/>
      <c r="K35" s="77"/>
      <c r="L35" s="50"/>
      <c r="M35" s="50"/>
      <c r="N35" s="50"/>
      <c r="O35" s="50"/>
      <c r="P35" s="50"/>
      <c r="Q35" s="50"/>
      <c r="R35" s="50"/>
      <c r="S35" s="50"/>
      <c r="T35" s="50"/>
      <c r="U35" s="50"/>
      <c r="V35" s="50"/>
      <c r="W35" s="50"/>
      <c r="X35" s="50"/>
      <c r="Y35" s="50"/>
    </row>
    <row r="36" spans="1:25" ht="20.100000000000001" customHeight="1" x14ac:dyDescent="0.25">
      <c r="A36"/>
      <c r="D36" s="75"/>
      <c r="E36" s="75"/>
      <c r="F36" s="76"/>
      <c r="G36" s="63"/>
      <c r="H36" s="63"/>
      <c r="I36" s="64"/>
      <c r="J36" s="63"/>
      <c r="K36" s="77"/>
      <c r="L36" s="50"/>
      <c r="M36" s="50"/>
      <c r="N36" s="50"/>
      <c r="O36" s="50"/>
      <c r="P36" s="50"/>
      <c r="Q36" s="50"/>
      <c r="R36" s="50"/>
      <c r="S36" s="50"/>
      <c r="T36" s="50"/>
      <c r="U36" s="50"/>
      <c r="V36" s="50"/>
      <c r="W36" s="50"/>
      <c r="X36" s="50"/>
      <c r="Y36" s="50"/>
    </row>
    <row r="37" spans="1:25" ht="20.100000000000001" customHeight="1" x14ac:dyDescent="0.25">
      <c r="A37"/>
      <c r="D37" s="75"/>
      <c r="E37" s="75"/>
      <c r="F37" s="76"/>
      <c r="G37" s="63"/>
      <c r="H37" s="63"/>
      <c r="I37" s="64"/>
      <c r="J37" s="63"/>
      <c r="K37" s="77"/>
      <c r="L37" s="50"/>
      <c r="M37" s="50"/>
      <c r="N37" s="50"/>
      <c r="O37" s="50"/>
      <c r="P37" s="50"/>
      <c r="Q37" s="50"/>
      <c r="R37" s="50"/>
      <c r="S37" s="50"/>
      <c r="T37" s="50"/>
      <c r="U37" s="50"/>
      <c r="V37" s="50"/>
      <c r="W37" s="50"/>
      <c r="X37" s="50"/>
      <c r="Y37" s="50"/>
    </row>
    <row r="38" spans="1:25" ht="20.100000000000001" customHeight="1" x14ac:dyDescent="0.25">
      <c r="A38"/>
      <c r="D38" s="75"/>
      <c r="E38" s="75"/>
      <c r="F38" s="76"/>
      <c r="G38" s="63"/>
      <c r="H38" s="63"/>
      <c r="I38" s="64"/>
      <c r="J38" s="63"/>
      <c r="K38" s="77"/>
      <c r="L38" s="50"/>
      <c r="M38" s="50"/>
      <c r="N38" s="50"/>
      <c r="O38" s="50"/>
      <c r="P38" s="50"/>
      <c r="Q38" s="50"/>
      <c r="R38" s="50"/>
      <c r="S38" s="50"/>
      <c r="T38" s="50"/>
      <c r="U38" s="50"/>
      <c r="V38" s="50"/>
      <c r="W38" s="50"/>
      <c r="X38" s="50"/>
      <c r="Y38" s="50"/>
    </row>
    <row r="39" spans="1:25" ht="20.100000000000001" customHeight="1" x14ac:dyDescent="0.25">
      <c r="A39"/>
      <c r="D39" s="75"/>
      <c r="E39" s="75"/>
      <c r="F39" s="76"/>
      <c r="G39" s="63"/>
      <c r="H39" s="63"/>
      <c r="I39" s="64"/>
      <c r="J39" s="63"/>
      <c r="K39" s="77"/>
      <c r="L39" s="50"/>
      <c r="M39" s="50"/>
      <c r="N39" s="50"/>
      <c r="O39" s="50"/>
      <c r="P39" s="50"/>
      <c r="Q39" s="50"/>
      <c r="R39" s="50"/>
      <c r="S39" s="50"/>
      <c r="T39" s="50"/>
      <c r="U39" s="50"/>
      <c r="V39" s="50"/>
      <c r="W39" s="50"/>
      <c r="X39" s="50"/>
      <c r="Y39" s="50"/>
    </row>
    <row r="40" spans="1:25" ht="20.100000000000001" customHeight="1" x14ac:dyDescent="0.25">
      <c r="A40"/>
      <c r="D40" s="78"/>
      <c r="E40" s="78"/>
      <c r="F40" s="78"/>
      <c r="G40" s="79"/>
      <c r="H40" s="80"/>
      <c r="I40" s="80"/>
      <c r="J40" s="80"/>
      <c r="K40" s="80"/>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1"/>
      <c r="E47" s="81"/>
      <c r="F47" s="81"/>
      <c r="G47" s="81"/>
      <c r="H47" s="81"/>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2"/>
      <c r="E51" s="83"/>
      <c r="F51" s="83"/>
      <c r="G51" s="83"/>
      <c r="H51" s="84"/>
    </row>
    <row r="52" spans="4:8" ht="20.100000000000001" customHeight="1" x14ac:dyDescent="0.25"/>
    <row r="53" spans="4:8" ht="20.100000000000001" customHeight="1" x14ac:dyDescent="0.25"/>
    <row r="54" spans="4:8" ht="20.100000000000001" customHeight="1" x14ac:dyDescent="0.25">
      <c r="G54" s="85"/>
    </row>
    <row r="55" spans="4:8" ht="20.100000000000001" customHeight="1" x14ac:dyDescent="0.25">
      <c r="D55" s="6"/>
    </row>
    <row r="56" spans="4:8" ht="20.100000000000001" customHeight="1" x14ac:dyDescent="0.25"/>
    <row r="57" spans="4:8" ht="20.100000000000001" customHeight="1" x14ac:dyDescent="0.25">
      <c r="D57" s="23"/>
      <c r="F57" s="86"/>
    </row>
    <row r="58" spans="4:8" ht="20.100000000000001" customHeight="1" x14ac:dyDescent="0.25">
      <c r="D58" s="1"/>
      <c r="E58" s="87"/>
    </row>
    <row r="59" spans="4:8" ht="20.100000000000001" customHeight="1" x14ac:dyDescent="0.25">
      <c r="D59" s="1"/>
      <c r="E59" s="87"/>
    </row>
    <row r="60" spans="4:8" ht="20.100000000000001" customHeight="1" x14ac:dyDescent="0.25">
      <c r="D60" s="1"/>
      <c r="E60" s="88"/>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7"/>
    </row>
    <row r="65" spans="4:9" ht="20.100000000000001" customHeight="1" x14ac:dyDescent="0.25">
      <c r="D65" s="1"/>
      <c r="E65" s="87"/>
    </row>
    <row r="66" spans="4:9" ht="20.100000000000001" customHeight="1" x14ac:dyDescent="0.25">
      <c r="D66" s="1"/>
      <c r="E66" s="88"/>
    </row>
    <row r="67" spans="4:9" ht="20.100000000000001" customHeight="1" x14ac:dyDescent="0.25"/>
    <row r="68" spans="4:9" ht="20.100000000000001" customHeight="1" x14ac:dyDescent="0.25"/>
    <row r="69" spans="4:9" ht="20.100000000000001" customHeight="1" x14ac:dyDescent="0.25">
      <c r="D69" s="62"/>
      <c r="E69" s="62"/>
      <c r="F69" s="62"/>
      <c r="G69" s="62"/>
      <c r="H69" s="62"/>
      <c r="I69" s="62"/>
    </row>
    <row r="70" spans="4:9" ht="20.100000000000001" customHeight="1" x14ac:dyDescent="0.25">
      <c r="D70" s="62"/>
      <c r="E70" s="62"/>
      <c r="F70" s="62"/>
      <c r="G70" s="62"/>
      <c r="H70" s="62"/>
      <c r="I70" s="62"/>
    </row>
    <row r="71" spans="4:9" ht="20.100000000000001" customHeight="1" x14ac:dyDescent="0.25">
      <c r="D71" s="62"/>
      <c r="E71" s="62"/>
      <c r="F71" s="62"/>
      <c r="G71" s="62"/>
      <c r="H71" s="62"/>
      <c r="I71" s="62"/>
    </row>
    <row r="72" spans="4:9" ht="20.100000000000001" customHeight="1" x14ac:dyDescent="0.25">
      <c r="D72" s="62"/>
      <c r="E72" s="62"/>
      <c r="F72" s="62"/>
      <c r="G72" s="62"/>
      <c r="H72" s="62"/>
      <c r="I72" s="62"/>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9"/>
    </row>
    <row r="79" spans="4:9" ht="20.100000000000001" customHeight="1" x14ac:dyDescent="0.25">
      <c r="D79" s="89"/>
    </row>
    <row r="80" spans="4:9" ht="20.100000000000001" customHeight="1" x14ac:dyDescent="0.25">
      <c r="D80" s="89"/>
    </row>
    <row r="81" spans="4:4" ht="20.100000000000001" customHeight="1" x14ac:dyDescent="0.25">
      <c r="D81" s="89"/>
    </row>
    <row r="82" spans="4:4" ht="20.100000000000001" customHeight="1" x14ac:dyDescent="0.25">
      <c r="D82" s="89"/>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7" zoomScaleNormal="100" workbookViewId="0">
      <selection activeCell="I30" sqref="I30:K34"/>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9" customWidth="1"/>
    <col min="15" max="20" width="30.7109375" style="59" customWidth="1"/>
    <col min="21" max="21" width="4.7109375" style="59" customWidth="1"/>
  </cols>
  <sheetData>
    <row r="1" spans="1:21" s="70" customFormat="1" ht="30" customHeight="1" x14ac:dyDescent="0.35">
      <c r="A1" s="70" t="e" vm="1">
        <v>#VALUE!</v>
      </c>
      <c r="C1" s="70" t="s">
        <v>106</v>
      </c>
      <c r="N1" s="59"/>
      <c r="O1" s="59"/>
      <c r="P1" s="59"/>
      <c r="Q1" s="59"/>
      <c r="R1" s="59"/>
      <c r="S1" s="59"/>
      <c r="T1" s="59"/>
      <c r="U1" s="59"/>
    </row>
    <row r="2" spans="1:21" s="9" customFormat="1" ht="20.100000000000001" customHeight="1" x14ac:dyDescent="0.25">
      <c r="N2" s="59"/>
      <c r="O2" s="59"/>
      <c r="P2" s="59"/>
      <c r="Q2" s="59"/>
      <c r="R2" s="59"/>
      <c r="S2" s="59"/>
      <c r="T2" s="59"/>
      <c r="U2" s="59"/>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118</v>
      </c>
    </row>
    <row r="6" spans="1:21" ht="20.100000000000001" customHeight="1" x14ac:dyDescent="0.25">
      <c r="A6" s="16"/>
    </row>
    <row r="7" spans="1:21" ht="20.100000000000001" customHeight="1" x14ac:dyDescent="0.25">
      <c r="A7" s="20" t="s">
        <v>3</v>
      </c>
      <c r="D7" s="65"/>
      <c r="E7" s="41" t="s">
        <v>137</v>
      </c>
      <c r="F7" s="41" t="s">
        <v>138</v>
      </c>
      <c r="G7" s="41" t="s">
        <v>139</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106">
        <v>1000</v>
      </c>
      <c r="F8" s="106">
        <v>1000</v>
      </c>
      <c r="G8" s="106">
        <v>1000</v>
      </c>
      <c r="H8" s="2" t="s">
        <v>120</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106">
        <v>90</v>
      </c>
      <c r="F9" s="106">
        <v>140</v>
      </c>
      <c r="G9" s="106">
        <v>250</v>
      </c>
      <c r="H9" s="2" t="s">
        <v>323</v>
      </c>
      <c r="I9" s="2"/>
      <c r="J9" s="2"/>
      <c r="K9" s="2"/>
    </row>
    <row r="10" spans="1:21" ht="20.100000000000001" customHeight="1" x14ac:dyDescent="0.25">
      <c r="A10" s="17"/>
    </row>
    <row r="11" spans="1:21" ht="20.100000000000001" customHeight="1" x14ac:dyDescent="0.25">
      <c r="A11" s="19" t="s">
        <v>76</v>
      </c>
      <c r="D11" s="6" t="s">
        <v>102</v>
      </c>
    </row>
    <row r="12" spans="1:21" ht="20.100000000000001" customHeight="1" x14ac:dyDescent="0.25">
      <c r="A12" s="17" t="str">
        <f>HYPERLINK("#'4.1.1.1-2 Methane'!A1", "4.1.1.1-2 Methane")</f>
        <v>4.1.1.1-2 Methane</v>
      </c>
    </row>
    <row r="13" spans="1:21" ht="20.100000000000001" customHeight="1" x14ac:dyDescent="0.25">
      <c r="A13" s="17" t="str">
        <f>HYPERLINK("#'4.1.1.3-4 Direct N20'!A1", "4.1.1.3-4 Direct N2O")</f>
        <v>4.1.1.3-4 Direct N2O</v>
      </c>
      <c r="D13" s="65" t="s">
        <v>296</v>
      </c>
      <c r="E13" s="41" t="s">
        <v>137</v>
      </c>
      <c r="F13" s="41" t="s">
        <v>138</v>
      </c>
      <c r="G13" s="41" t="s">
        <v>139</v>
      </c>
    </row>
    <row r="14" spans="1:21" ht="20.100000000000001" customHeight="1" x14ac:dyDescent="0.25">
      <c r="A14" s="17" t="str">
        <f>HYPERLINK("#'4.1.1.5-6 Atmos Deposition'!A1", "4.1.1.5-6 Atmospheric deposition")</f>
        <v>4.1.1.5-6 Atmospheric deposition</v>
      </c>
      <c r="D14" s="1" t="s">
        <v>143</v>
      </c>
      <c r="E14" s="55" cm="1">
        <f t="array" ref="E14">_xlfn.XLOOKUP(1, (Table_SourceData_Feedlot_AnimalCharacteristics[Feedlot type] = E$13) * (Table_SourceData_Feedlot_AnimalCharacteristics[Characteristic] = $D$14), Table_SourceData_Feedlot_AnimalCharacteristics[2020-2023], "Not Found")</f>
        <v>10.4</v>
      </c>
      <c r="F14" s="55" cm="1">
        <f t="array" ref="F14">_xlfn.XLOOKUP(1, (Table_SourceData_Feedlot_AnimalCharacteristics[Feedlot type] = F$13) * (Table_SourceData_Feedlot_AnimalCharacteristics[Characteristic] = $D$14), Table_SourceData_Feedlot_AnimalCharacteristics[2020-2023], "Not Found")</f>
        <v>10.8</v>
      </c>
      <c r="G14" s="55" cm="1">
        <f t="array" ref="G14">_xlfn.XLOOKUP(1, (Table_SourceData_Feedlot_AnimalCharacteristics[Feedlot type] = G$13) * (Table_SourceData_Feedlot_AnimalCharacteristics[Characteristic] = $D$14), Table_SourceData_Feedlot_AnimalCharacteristics[2020-2023], "Not Found")</f>
        <v>8.1999999999999993</v>
      </c>
      <c r="H14" s="2" t="s">
        <v>107</v>
      </c>
      <c r="I14" s="2"/>
      <c r="J14" s="2"/>
      <c r="K14" s="2"/>
    </row>
    <row r="15" spans="1:21" ht="20.100000000000001" customHeight="1" x14ac:dyDescent="0.25">
      <c r="A15" s="17" t="str">
        <f>HYPERLINK("#'4.1.1.9 Manure applied to soils'!A1", "4.1.1.9 Manure applied to soils")</f>
        <v>4.1.1.9 Manure applied to soils</v>
      </c>
      <c r="D15" s="1" t="s">
        <v>18</v>
      </c>
      <c r="E15" s="55" cm="1">
        <f t="array" ref="E15">_xlfn.XLOOKUP(1, (Table_SourceData_Feedlot_DietProperties[Feedlot type] = E$13) * (Table_SourceData_Feedlot_DietProperties[Nutrient analysis] = $D$15), Table_SourceData_Feedlot_DietProperties[2020-2023 Converted to fraction], "Not Found")</f>
        <v>0.81</v>
      </c>
      <c r="F15" s="55" cm="1">
        <f t="array" ref="F15">_xlfn.XLOOKUP(1, (Table_SourceData_Feedlot_DietProperties[Feedlot type] = F$13) * (Table_SourceData_Feedlot_DietProperties[Nutrient analysis] = $D$15), Table_SourceData_Feedlot_DietProperties[2020-2023 Converted to fraction], "Not Found")</f>
        <v>0.81</v>
      </c>
      <c r="G15" s="55" cm="1">
        <f t="array" ref="G15">_xlfn.XLOOKUP(1, (Table_SourceData_Feedlot_DietProperties[Feedlot type] = G$13) * (Table_SourceData_Feedlot_DietProperties[Nutrient analysis] = $D$15), Table_SourceData_Feedlot_DietProperties[2020-2023 Converted to fraction], "Not Found")</f>
        <v>0.81</v>
      </c>
      <c r="H15" s="2" t="s">
        <v>324</v>
      </c>
      <c r="I15" s="2"/>
      <c r="J15" s="2"/>
      <c r="K15" s="2"/>
    </row>
    <row r="16" spans="1:21" ht="20.100000000000001" customHeight="1" x14ac:dyDescent="0.25">
      <c r="D16" s="1" t="s">
        <v>130</v>
      </c>
      <c r="E16" s="55" cm="1">
        <f t="array" ref="E16">_xlfn.XLOOKUP(1, (Table_SourceData_Feedlot_DietProperties[Feedlot type] = E$13) * (Table_SourceData_Feedlot_DietProperties[Nutrient analysis] = $D$16), Table_SourceData_Feedlot_DietProperties[2020-2023 Converted to fraction], "Not Found")</f>
        <v>0.14000000000000001</v>
      </c>
      <c r="F16" s="55" cm="1">
        <f t="array" ref="F16">_xlfn.XLOOKUP(1, (Table_SourceData_Feedlot_DietProperties[Feedlot type] = F$13) * (Table_SourceData_Feedlot_DietProperties[Nutrient analysis] = $D$16), Table_SourceData_Feedlot_DietProperties[2020-2023 Converted to fraction], "Not Found")</f>
        <v>0.12</v>
      </c>
      <c r="G16" s="55" cm="1">
        <f t="array" ref="G16">_xlfn.XLOOKUP(1, (Table_SourceData_Feedlot_DietProperties[Feedlot type] = G$13) * (Table_SourceData_Feedlot_DietProperties[Nutrient analysis] = $D$16), Table_SourceData_Feedlot_DietProperties[2020-2023 Converted to fraction], "Not Found")</f>
        <v>0.12</v>
      </c>
      <c r="H16" s="2" t="s">
        <v>324</v>
      </c>
      <c r="I16" s="2"/>
      <c r="J16" s="2"/>
      <c r="K16" s="2"/>
    </row>
    <row r="17" spans="1:11" ht="20.100000000000001" customHeight="1" x14ac:dyDescent="0.25">
      <c r="A17" s="18" t="s">
        <v>4</v>
      </c>
      <c r="D17" s="1" t="s">
        <v>147</v>
      </c>
      <c r="E17" s="55" cm="1">
        <f t="array" ref="E17">_xlfn.XLOOKUP(1, (Table_SourceData_Feedlot_AnimalCharacteristics[Feedlot type] = E$13) * (Table_SourceData_Feedlot_AnimalCharacteristics[Characteristic] = $D$17), Table_SourceData_Feedlot_AnimalCharacteristics[2020-2023], "Not Found")</f>
        <v>20.399999999999999</v>
      </c>
      <c r="F17" s="55" cm="1">
        <f t="array" ref="F17">_xlfn.XLOOKUP(1, (Table_SourceData_Feedlot_AnimalCharacteristics[Feedlot type] = F$13) * (Table_SourceData_Feedlot_AnimalCharacteristics[Characteristic] = $D$17), Table_SourceData_Feedlot_AnimalCharacteristics[2020-2023], "Not Found")</f>
        <v>12.7</v>
      </c>
      <c r="G17" s="55" cm="1">
        <f t="array" ref="G17">_xlfn.XLOOKUP(1, (Table_SourceData_Feedlot_AnimalCharacteristics[Feedlot type] = G$13) * (Table_SourceData_Feedlot_AnimalCharacteristics[Characteristic] = $D$17), Table_SourceData_Feedlot_AnimalCharacteristics[2020-2023], "Not Found")</f>
        <v>7</v>
      </c>
      <c r="H17" s="2" t="s">
        <v>326</v>
      </c>
      <c r="I17" s="2"/>
      <c r="J17" s="2"/>
      <c r="K17" s="2"/>
    </row>
    <row r="18" spans="1:11" ht="20.100000000000001" customHeight="1" x14ac:dyDescent="0.25">
      <c r="A18" s="17" t="str">
        <f>HYPERLINK("#'Constants - Feedlot'!A1", "Constants - Feedlot")</f>
        <v>Constants - Feedlot</v>
      </c>
    </row>
    <row r="19" spans="1:11" ht="20.100000000000001" customHeight="1" x14ac:dyDescent="0.25">
      <c r="A19" s="17" t="str">
        <f>HYPERLINK("#'Constants - Livestock'!A1", "Constants - Livestock")</f>
        <v>Constants - Livestock</v>
      </c>
      <c r="D19" s="65" t="s">
        <v>297</v>
      </c>
      <c r="E19" s="41" t="s">
        <v>137</v>
      </c>
      <c r="F19" s="41" t="s">
        <v>138</v>
      </c>
      <c r="G19" s="41" t="s">
        <v>139</v>
      </c>
    </row>
    <row r="20" spans="1:11" ht="20.100000000000001" customHeight="1" x14ac:dyDescent="0.25">
      <c r="A20" s="17" t="str">
        <f>HYPERLINK("#'Constants - Common'!A1", "Constants - Common")</f>
        <v>Constants - Common</v>
      </c>
      <c r="D20" s="1" t="s">
        <v>143</v>
      </c>
      <c r="E20" s="68" cm="1">
        <f t="array" ref="E20">_xlfn.XLOOKUP(1, (Table_SourceData_Feedlot_AnimalCharacteristics[Feedlot type] = E$19) * (Table_SourceData_Feedlot_AnimalCharacteristics[Characteristic] = $D$20), Table_SourceData_Feedlot_AnimalCharacteristics[2020-2023], "Not Found")</f>
        <v>10.4</v>
      </c>
      <c r="F20" s="68" cm="1">
        <f t="array" ref="F20">_xlfn.XLOOKUP(1, (Table_SourceData_Feedlot_AnimalCharacteristics[Feedlot type] = F$19) * (Table_SourceData_Feedlot_AnimalCharacteristics[Characteristic] = $D$20), Table_SourceData_Feedlot_AnimalCharacteristics[2020-2023], "Not Found")</f>
        <v>10.8</v>
      </c>
      <c r="G20" s="68" cm="1">
        <f t="array" ref="G20">_xlfn.XLOOKUP(1, (Table_SourceData_Feedlot_AnimalCharacteristics[Feedlot type] = G$19) * (Table_SourceData_Feedlot_AnimalCharacteristics[Characteristic] = $D$20), Table_SourceData_Feedlot_AnimalCharacteristics[2020-2023], "Not Found")</f>
        <v>8.1999999999999993</v>
      </c>
      <c r="H20" s="2" t="s">
        <v>107</v>
      </c>
      <c r="I20" s="2"/>
      <c r="J20" s="2"/>
      <c r="K20" s="2"/>
    </row>
    <row r="21" spans="1:11" ht="20.100000000000001" customHeight="1" x14ac:dyDescent="0.25">
      <c r="A21" s="17" t="str">
        <f>HYPERLINK("#'Acknowledgements'!A1", "Acknowledgements")</f>
        <v>Acknowledgements</v>
      </c>
      <c r="D21" s="1" t="s">
        <v>18</v>
      </c>
      <c r="E21" s="68" cm="1">
        <f t="array" ref="E21">_xlfn.XLOOKUP(1, (Table_SourceData_Feedlot_DietProperties[Feedlot type] = E$19) * (Table_SourceData_Feedlot_DietProperties[Nutrient analysis] = $D$21), Table_SourceData_Feedlot_DietProperties[2020-2023 Converted to fraction], "Not Found")</f>
        <v>0.81</v>
      </c>
      <c r="F21" s="68" cm="1">
        <f t="array" ref="F21">_xlfn.XLOOKUP(1, (Table_SourceData_Feedlot_DietProperties[Feedlot type] = F$19) * (Table_SourceData_Feedlot_DietProperties[Nutrient analysis] = $D$21), Table_SourceData_Feedlot_DietProperties[2020-2023 Converted to fraction], "Not Found")</f>
        <v>0.81</v>
      </c>
      <c r="G21" s="68" cm="1">
        <f t="array" ref="G21">_xlfn.XLOOKUP(1, (Table_SourceData_Feedlot_DietProperties[Feedlot type] = G$19) * (Table_SourceData_Feedlot_DietProperties[Nutrient analysis] = $D$21), Table_SourceData_Feedlot_DietProperties[2020-2023 Converted to fraction], "Not Found")</f>
        <v>0.81</v>
      </c>
      <c r="H21" s="2" t="s">
        <v>324</v>
      </c>
      <c r="I21" s="2"/>
      <c r="J21" s="2"/>
      <c r="K21" s="2"/>
    </row>
    <row r="22" spans="1:11" ht="20.100000000000001" customHeight="1" x14ac:dyDescent="0.25">
      <c r="D22" s="1" t="s">
        <v>130</v>
      </c>
      <c r="E22" s="68" cm="1">
        <f t="array" ref="E22">_xlfn.XLOOKUP(1, (Table_SourceData_Feedlot_DietProperties[Feedlot type] = E$19) * (Table_SourceData_Feedlot_DietProperties[Nutrient analysis] = $D$22), Table_SourceData_Feedlot_DietProperties[2020-2023 Converted to fraction], "Not Found")</f>
        <v>0.14000000000000001</v>
      </c>
      <c r="F22" s="68" cm="1">
        <f t="array" ref="F22">_xlfn.XLOOKUP(1, (Table_SourceData_Feedlot_DietProperties[Feedlot type] = F$19) * (Table_SourceData_Feedlot_DietProperties[Nutrient analysis] = $D$22), Table_SourceData_Feedlot_DietProperties[2020-2023 Converted to fraction], "Not Found")</f>
        <v>0.12</v>
      </c>
      <c r="G22" s="68" cm="1">
        <f t="array" ref="G22">_xlfn.XLOOKUP(1, (Table_SourceData_Feedlot_DietProperties[Feedlot type] = G$19) * (Table_SourceData_Feedlot_DietProperties[Nutrient analysis] = $D$22), Table_SourceData_Feedlot_DietProperties[2020-2023 Converted to fraction], "Not Found")</f>
        <v>0.12</v>
      </c>
      <c r="H22" s="2" t="s">
        <v>324</v>
      </c>
      <c r="I22" s="2"/>
      <c r="J22" s="2"/>
      <c r="K22" s="2"/>
    </row>
    <row r="23" spans="1:11" ht="20.100000000000001" customHeight="1" x14ac:dyDescent="0.25">
      <c r="D23" s="1" t="s">
        <v>147</v>
      </c>
      <c r="E23" s="68" cm="1">
        <f t="array" ref="E23">_xlfn.XLOOKUP(1, (Table_SourceData_Feedlot_AnimalCharacteristics[Feedlot type] = E$19) * (Table_SourceData_Feedlot_AnimalCharacteristics[Characteristic] = $D$23), Table_SourceData_Feedlot_AnimalCharacteristics[2020-2023], "Not Found")</f>
        <v>20.399999999999999</v>
      </c>
      <c r="F23" s="68" cm="1">
        <f t="array" ref="F23">_xlfn.XLOOKUP(1, (Table_SourceData_Feedlot_AnimalCharacteristics[Feedlot type] = F$19) * (Table_SourceData_Feedlot_AnimalCharacteristics[Characteristic] = $D$23), Table_SourceData_Feedlot_AnimalCharacteristics[2020-2023], "Not Found")</f>
        <v>12.7</v>
      </c>
      <c r="G23" s="68" cm="1">
        <f t="array" ref="G23">_xlfn.XLOOKUP(1, (Table_SourceData_Feedlot_AnimalCharacteristics[Feedlot type] = G$19) * (Table_SourceData_Feedlot_AnimalCharacteristics[Characteristic] = $D$23), Table_SourceData_Feedlot_AnimalCharacteristics[2020-2023], "Not Found")</f>
        <v>7</v>
      </c>
      <c r="H23" s="2" t="s">
        <v>326</v>
      </c>
      <c r="I23" s="2"/>
      <c r="J23" s="2"/>
      <c r="K23" s="2"/>
    </row>
    <row r="24" spans="1:11" ht="20.100000000000001" customHeight="1" x14ac:dyDescent="0.25"/>
    <row r="25" spans="1:11" ht="20.100000000000001" customHeight="1" x14ac:dyDescent="0.25">
      <c r="A25" s="17"/>
      <c r="D25" s="6" t="s">
        <v>111</v>
      </c>
    </row>
    <row r="26" spans="1:11" ht="20.100000000000001" customHeight="1" x14ac:dyDescent="0.25">
      <c r="A26" s="17"/>
    </row>
    <row r="27" spans="1:11" ht="20.100000000000001" customHeight="1" x14ac:dyDescent="0.25">
      <c r="A27" s="17"/>
      <c r="D27" s="65" t="s">
        <v>105</v>
      </c>
      <c r="E27" s="100" t="s">
        <v>137</v>
      </c>
      <c r="F27" s="100" t="s">
        <v>138</v>
      </c>
      <c r="G27" s="100" t="s">
        <v>139</v>
      </c>
    </row>
    <row r="28" spans="1:11" ht="20.100000000000001" customHeight="1" x14ac:dyDescent="0.25">
      <c r="A28" s="17"/>
      <c r="D28" s="134" t="s">
        <v>100</v>
      </c>
      <c r="E28" s="101">
        <v>1</v>
      </c>
      <c r="F28" s="101">
        <v>1</v>
      </c>
      <c r="G28" s="101">
        <v>1</v>
      </c>
      <c r="H28" s="2" t="s">
        <v>325</v>
      </c>
      <c r="I28" s="2"/>
      <c r="J28" s="2"/>
      <c r="K28" s="2"/>
    </row>
    <row r="29" spans="1:11" ht="20.100000000000001" customHeight="1" x14ac:dyDescent="0.25">
      <c r="A29" s="17"/>
      <c r="D29" s="131" t="s">
        <v>317</v>
      </c>
    </row>
    <row r="30" spans="1:11" ht="20.100000000000001" customHeight="1" x14ac:dyDescent="0.25">
      <c r="A30" s="17"/>
      <c r="D30" s="132" t="s">
        <v>101</v>
      </c>
      <c r="E30" s="100" t="s">
        <v>137</v>
      </c>
      <c r="F30" s="100" t="s">
        <v>138</v>
      </c>
      <c r="G30" s="100" t="s">
        <v>139</v>
      </c>
      <c r="H30" s="137" t="s">
        <v>321</v>
      </c>
      <c r="I30" s="65" t="s">
        <v>328</v>
      </c>
      <c r="J30" s="65"/>
      <c r="K30" s="65"/>
    </row>
    <row r="31" spans="1:11" ht="20.100000000000001" customHeight="1" x14ac:dyDescent="0.25">
      <c r="A31" s="69"/>
      <c r="D31" s="135" t="str">
        <f>"From Stage 1: " &amp; $D$28 &amp; " to:"</f>
        <v>From Stage 1: Drylot (feed pad) to:</v>
      </c>
      <c r="E31" s="58"/>
      <c r="I31" s="125" t="s">
        <v>318</v>
      </c>
      <c r="J31" s="125" t="s">
        <v>319</v>
      </c>
      <c r="K31" s="125" t="s">
        <v>320</v>
      </c>
    </row>
    <row r="32" spans="1:11" ht="20.100000000000001" customHeight="1" x14ac:dyDescent="0.25">
      <c r="A32" s="69"/>
      <c r="D32" s="136" t="str">
        <f>'Constants - Feedlot'!D29</f>
        <v>Solid storage</v>
      </c>
      <c r="E32" s="49">
        <v>0.2</v>
      </c>
      <c r="F32" s="49">
        <v>0.2</v>
      </c>
      <c r="G32" s="49">
        <v>0.2</v>
      </c>
      <c r="H32" s="2" t="s">
        <v>325</v>
      </c>
      <c r="I32" s="49">
        <v>0.25</v>
      </c>
      <c r="J32" s="49">
        <v>0.25</v>
      </c>
      <c r="K32" s="101">
        <f t="shared" ref="K32:K34" si="0">1-SUM(I32:J32)</f>
        <v>0.5</v>
      </c>
    </row>
    <row r="33" spans="1:11" ht="20.100000000000001" customHeight="1" x14ac:dyDescent="0.25">
      <c r="A33" s="17"/>
      <c r="D33" s="136" t="str">
        <f>'Constants - Feedlot'!D30</f>
        <v>Composting (passive windrow)</v>
      </c>
      <c r="E33" s="49">
        <v>0.2</v>
      </c>
      <c r="F33" s="49">
        <v>0.2</v>
      </c>
      <c r="G33" s="49">
        <v>0.2</v>
      </c>
      <c r="H33" s="2" t="s">
        <v>325</v>
      </c>
      <c r="I33" s="49">
        <v>0.25</v>
      </c>
      <c r="J33" s="49">
        <v>0.25</v>
      </c>
      <c r="K33" s="101">
        <f t="shared" si="0"/>
        <v>0.5</v>
      </c>
    </row>
    <row r="34" spans="1:11" ht="20.100000000000001" customHeight="1" x14ac:dyDescent="0.25">
      <c r="D34" s="136" t="s">
        <v>316</v>
      </c>
      <c r="E34" s="101">
        <f>1-SUM(E32, E33)</f>
        <v>0.6</v>
      </c>
      <c r="F34" s="101">
        <f t="shared" ref="F34:G34" si="1">1-SUM(F32, F33)</f>
        <v>0.6</v>
      </c>
      <c r="G34" s="101">
        <f t="shared" si="1"/>
        <v>0.6</v>
      </c>
      <c r="H34" s="2" t="s">
        <v>325</v>
      </c>
      <c r="I34" s="101">
        <v>0</v>
      </c>
      <c r="J34" s="101">
        <v>0</v>
      </c>
      <c r="K34" s="101">
        <f t="shared" si="0"/>
        <v>1</v>
      </c>
    </row>
    <row r="35" spans="1:11" ht="20.100000000000001" customHeight="1" x14ac:dyDescent="0.25"/>
    <row r="36" spans="1:11" ht="20.100000000000001" customHeight="1" x14ac:dyDescent="0.25">
      <c r="D36" s="133" t="s">
        <v>116</v>
      </c>
      <c r="E36" s="100" t="s">
        <v>137</v>
      </c>
      <c r="F36" s="100" t="s">
        <v>138</v>
      </c>
      <c r="G36" s="100" t="s">
        <v>139</v>
      </c>
      <c r="H36" s="137" t="s">
        <v>321</v>
      </c>
      <c r="I36" s="65" t="s">
        <v>327</v>
      </c>
      <c r="J36" s="65"/>
      <c r="K36" s="65"/>
    </row>
    <row r="37" spans="1:11" ht="20.100000000000001" customHeight="1" x14ac:dyDescent="0.25">
      <c r="D37" s="135" t="str">
        <f>"From Stage 1: " &amp; $D$28 &amp; " to:"</f>
        <v>From Stage 1: Drylot (feed pad) to:</v>
      </c>
      <c r="I37" s="125" t="s">
        <v>318</v>
      </c>
      <c r="J37" s="125" t="s">
        <v>319</v>
      </c>
      <c r="K37" s="125" t="s">
        <v>320</v>
      </c>
    </row>
    <row r="38" spans="1:11" ht="20.100000000000001" customHeight="1" x14ac:dyDescent="0.25">
      <c r="D38" s="136" t="str">
        <f>'Constants - Feedlot'!$D$32</f>
        <v>Anaerobic lagoon</v>
      </c>
      <c r="E38" s="101">
        <f>'Constants - Feedlot'!$E$12</f>
        <v>0.02</v>
      </c>
      <c r="F38" s="101">
        <f>'Constants - Feedlot'!$E$12</f>
        <v>0.02</v>
      </c>
      <c r="G38" s="101">
        <f>'Constants - Feedlot'!$E$12</f>
        <v>0.02</v>
      </c>
      <c r="H38" s="2" t="s">
        <v>325</v>
      </c>
      <c r="I38" s="49">
        <v>0.25</v>
      </c>
      <c r="J38" s="49">
        <v>0.25</v>
      </c>
      <c r="K38" s="101">
        <f>1-SUM(I38:J38)</f>
        <v>0.5</v>
      </c>
    </row>
    <row r="39" spans="1:11" ht="20.100000000000001" customHeight="1" x14ac:dyDescent="0.25">
      <c r="A39" s="17"/>
    </row>
    <row r="40" spans="1:11" ht="20.100000000000001" customHeight="1" x14ac:dyDescent="0.25"/>
    <row r="41" spans="1:11" ht="20.100000000000001" customHeight="1" x14ac:dyDescent="0.25">
      <c r="A41" s="47"/>
      <c r="D41" s="1" t="s">
        <v>304</v>
      </c>
      <c r="E41" s="42" t="s">
        <v>271</v>
      </c>
      <c r="F41" s="2" t="s">
        <v>11</v>
      </c>
    </row>
    <row r="42" spans="1:11" ht="20.100000000000001" customHeight="1" x14ac:dyDescent="0.25">
      <c r="E42" s="42" t="s">
        <v>275</v>
      </c>
      <c r="F42" s="2" t="s">
        <v>11</v>
      </c>
    </row>
    <row r="43" spans="1:11" ht="20.100000000000001" customHeight="1" x14ac:dyDescent="0.25">
      <c r="I43" s="2"/>
      <c r="J43" s="2"/>
      <c r="K43" s="2"/>
    </row>
    <row r="44" spans="1:11" ht="20.100000000000001" customHeight="1" x14ac:dyDescent="0.25">
      <c r="I44" s="2"/>
      <c r="J44" s="2"/>
      <c r="K44" s="2"/>
    </row>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13"/>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4">
    <dataValidation type="whole" operator="equal" allowBlank="1" showInputMessage="1" showErrorMessage="1" sqref="E28:G28" xr:uid="{AD2F5710-950E-4169-B1DB-B494F727C0BB}">
      <formula1>1</formula1>
    </dataValidation>
    <dataValidation operator="equal" allowBlank="1" showInputMessage="1" showErrorMessage="1" sqref="E38:G38" xr:uid="{C4745536-8208-45E9-8F7A-99B1E2C94379}"/>
    <dataValidation type="list" allowBlank="1" showInputMessage="1" showErrorMessage="1" sqref="E41" xr:uid="{AF94BFC8-A9BD-4286-932B-111409BF1EB6}">
      <formula1>INDIRECT("Table_SourceData_Feedlot_CropProdSystems[Production system]")</formula1>
    </dataValidation>
    <dataValidation type="list" allowBlank="1" showInputMessage="1" showErrorMessage="1" sqref="E42"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65" zoomScaleNormal="100" workbookViewId="0">
      <selection activeCell="E80" sqref="E80:H8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70" t="e" vm="1">
        <v>#VALUE!</v>
      </c>
      <c r="C1" s="8" t="s">
        <v>258</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L3" s="4"/>
      <c r="M3" s="4" t="s">
        <v>159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A6" s="16"/>
      <c r="D6" s="5" t="str" cm="1">
        <f t="array" ref="D6">MMS_Feedlot_Methane_Equations.VEERG_4_1_1_1__5_VolatileSolidProduction_Source()</f>
        <v>VEERG 2026: 4.1.1.1, Equation (5)</v>
      </c>
    </row>
    <row r="7" spans="1:19" ht="20.100000000000001" customHeight="1" x14ac:dyDescent="0.25">
      <c r="A7" s="20" t="s">
        <v>3</v>
      </c>
      <c r="D7" s="13" t="s">
        <v>26</v>
      </c>
      <c r="E7" s="13" t="str" cm="1">
        <f t="array" aca="1" ref="E7" ca="1">Common_InputFunctions.Utility_DisplayFunctionName(D30)</f>
        <v>=MMS_Feedlot_Methane_Equations.VEERG_4_1_1_1__5_VolatileSolidProduction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6" t="s">
        <v>29</v>
      </c>
      <c r="E10" s="1" t="str" cm="1">
        <f t="array" ref="E10">MMS_Feedlot_Methane_Equations.VEERG_4_1_1_1__5_VolatileSolidProduction_Variable()</f>
        <v>VS_j</v>
      </c>
    </row>
    <row r="11" spans="1:19" ht="20.100000000000001" customHeight="1" x14ac:dyDescent="0.25">
      <c r="A11" s="19" t="s">
        <v>76</v>
      </c>
      <c r="D11" s="56" t="s">
        <v>19</v>
      </c>
      <c r="E11" s="57" t="str" cm="1">
        <f t="array" ref="E11">MMS_Feedlot_Methane_Equations.VEERG_4_1_1_1__5_VolatileSolidProduction_Unit()</f>
        <v>kg/head/day</v>
      </c>
    </row>
    <row r="12" spans="1:19" ht="20.100000000000001" customHeight="1" x14ac:dyDescent="0.25">
      <c r="A12" s="22" t="str">
        <f>HYPERLINK("#'4.1.1.1-2 Methane'!A1", "4.1.1.1-2 Methane")</f>
        <v>4.1.1.1-2 Methane</v>
      </c>
    </row>
    <row r="13" spans="1:19" ht="20.100000000000001" customHeight="1" x14ac:dyDescent="0.25">
      <c r="A13" s="17" t="str">
        <f>HYPERLINK("#'4.1.1.3-4 Direct N20'!A1", "4.1.1.3-4 Direct N2O")</f>
        <v>4.1.1.3-4 Direct N2O</v>
      </c>
      <c r="D13" s="138" t="str" cm="1">
        <f t="array" ref="D13:G15">MMS_Feedlot_Methane_Equations.VEERG_4_1_1_1__5_VolatileSolidProduction_Arguments()</f>
        <v>I_j</v>
      </c>
      <c r="E13" s="138" t="str">
        <v>dry matter intake for each group j</v>
      </c>
      <c r="F13" s="138" t="str">
        <v>kg DM/head/day</v>
      </c>
      <c r="G13" s="129" t="str">
        <v>Input</v>
      </c>
      <c r="H13" s="139" t="str" cm="1">
        <f t="array" aca="1" ref="H13" ca="1">HYPERLINK(Common_InputFunctions.Utility_SourceHyperlink($D$17),$D$17)</f>
        <v>M1_Table_I_j</v>
      </c>
    </row>
    <row r="14" spans="1:19" ht="20.100000000000001" customHeight="1" x14ac:dyDescent="0.25">
      <c r="A14" s="17" t="str">
        <f>HYPERLINK("#'4.1.1.5-6 Atmos Deposition'!A1", "4.1.1.5-6 Atmospheric deposition")</f>
        <v>4.1.1.5-6 Atmospheric deposition</v>
      </c>
      <c r="D14" s="138" t="str">
        <v>DMD_j</v>
      </c>
      <c r="E14" s="138" t="str">
        <v>dry matter digestibility for each group j</v>
      </c>
      <c r="F14" s="138" t="str">
        <v>fraction</v>
      </c>
      <c r="G14" s="129" t="str">
        <v>Input</v>
      </c>
      <c r="H14" s="139" t="str" cm="1">
        <f t="array" aca="1" ref="H14" ca="1">HYPERLINK(Common_InputFunctions.Utility_SourceHyperlink($D$22),$D$22)</f>
        <v>M1_Table_DMD_j</v>
      </c>
    </row>
    <row r="15" spans="1:19" ht="20.100000000000001" customHeight="1" x14ac:dyDescent="0.25">
      <c r="A15" s="17" t="str">
        <f>HYPERLINK("#'4.1.1.9 Manure applied to soils'!A1", "4.1.1.9 Manure applied to soils")</f>
        <v>4.1.1.9 Manure applied to soils</v>
      </c>
      <c r="D15" s="138" t="str">
        <v>A</v>
      </c>
      <c r="E15" s="138" t="str">
        <v>ash content of manure</v>
      </c>
      <c r="F15" s="138" t="str">
        <v>fraction</v>
      </c>
      <c r="G15" s="130" t="str">
        <v>Constant</v>
      </c>
      <c r="H15" s="138">
        <f>'Constants - Feedlot'!$E$17</f>
        <v>0.16</v>
      </c>
    </row>
    <row r="16" spans="1:19" ht="20.100000000000001" customHeight="1" x14ac:dyDescent="0.25"/>
    <row r="17" spans="1:16" ht="20.100000000000001" customHeight="1" x14ac:dyDescent="0.25">
      <c r="A17" s="18" t="s">
        <v>4</v>
      </c>
      <c r="D17" s="104" t="s">
        <v>148</v>
      </c>
      <c r="M17" s="104" t="s">
        <v>151</v>
      </c>
    </row>
    <row r="18" spans="1:16" ht="20.100000000000001" customHeight="1" x14ac:dyDescent="0.25">
      <c r="A18" s="17" t="str">
        <f>HYPERLINK("#'Constants - Feedlot'!A1", "Constants - Feedlot")</f>
        <v>Constants - Feedlot</v>
      </c>
      <c r="D18" s="103" t="s">
        <v>195</v>
      </c>
      <c r="M18" s="103" t="s">
        <v>196</v>
      </c>
    </row>
    <row r="19" spans="1:16" ht="20.100000000000001" customHeight="1" x14ac:dyDescent="0.25">
      <c r="A19" s="17" t="str">
        <f>HYPERLINK("#'Constants - Livestock'!A1", "Constants - Livestock")</f>
        <v>Constants - Livestock</v>
      </c>
      <c r="D19" s="41" t="s">
        <v>137</v>
      </c>
      <c r="E19" s="41" t="s">
        <v>138</v>
      </c>
      <c r="F19" s="41" t="s">
        <v>139</v>
      </c>
      <c r="M19" s="41" t="s">
        <v>137</v>
      </c>
      <c r="N19" s="41" t="s">
        <v>138</v>
      </c>
      <c r="O19" s="41" t="s">
        <v>139</v>
      </c>
    </row>
    <row r="20" spans="1:16" ht="20.100000000000001" customHeight="1" x14ac:dyDescent="0.25">
      <c r="A20" s="17" t="str">
        <f>HYPERLINK("#'Constants - Common'!A1", "Constants - Common")</f>
        <v>Constants - Common</v>
      </c>
      <c r="D20" s="55" cm="1">
        <f t="array" aca="1" ref="D20:F20" ca="1">OFFSET(X_Table_Feedlot_Intake_Method1, 1, 1, 1, 3)</f>
        <v>10.4</v>
      </c>
      <c r="E20" s="55">
        <f ca="1"/>
        <v>10.8</v>
      </c>
      <c r="F20" s="55">
        <f ca="1"/>
        <v>8.1999999999999993</v>
      </c>
      <c r="G20" s="2" t="s">
        <v>103</v>
      </c>
      <c r="M20" s="55" cm="1">
        <f t="array" aca="1" ref="M20:O20" ca="1">OFFSET(X_Table_Feedlot_Intake_Method2, 1, 1, 1, 3)</f>
        <v>10.4</v>
      </c>
      <c r="N20" s="55">
        <f ca="1"/>
        <v>10.8</v>
      </c>
      <c r="O20" s="55">
        <f ca="1"/>
        <v>8.1999999999999993</v>
      </c>
      <c r="P20" s="2" t="s">
        <v>103</v>
      </c>
    </row>
    <row r="21" spans="1:16" ht="20.100000000000001" customHeight="1" x14ac:dyDescent="0.25">
      <c r="A21" s="17" t="str">
        <f>HYPERLINK("#'Acknowledgements'!A1", "Acknowledgements")</f>
        <v>Acknowledgements</v>
      </c>
    </row>
    <row r="22" spans="1:16" ht="20.100000000000001" customHeight="1" x14ac:dyDescent="0.25">
      <c r="D22" s="104" t="s">
        <v>199</v>
      </c>
      <c r="M22" s="104" t="s">
        <v>203</v>
      </c>
    </row>
    <row r="23" spans="1:16" ht="20.100000000000001" customHeight="1" x14ac:dyDescent="0.25">
      <c r="D23" s="103" t="s">
        <v>202</v>
      </c>
      <c r="M23" s="103" t="s">
        <v>354</v>
      </c>
    </row>
    <row r="24" spans="1:16" ht="20.100000000000001" customHeight="1" x14ac:dyDescent="0.25">
      <c r="A24" s="17"/>
      <c r="D24" s="41" t="s">
        <v>137</v>
      </c>
      <c r="E24" s="41" t="s">
        <v>138</v>
      </c>
      <c r="F24" s="41" t="s">
        <v>139</v>
      </c>
      <c r="M24" s="41" t="s">
        <v>137</v>
      </c>
      <c r="N24" s="41" t="s">
        <v>138</v>
      </c>
      <c r="O24" s="41" t="s">
        <v>139</v>
      </c>
    </row>
    <row r="25" spans="1:16" ht="20.100000000000001" customHeight="1" x14ac:dyDescent="0.25">
      <c r="A25" s="17"/>
      <c r="D25" s="55" cm="1">
        <f t="array" aca="1" ref="D25:F25" ca="1">OFFSET(X_Table_Feedlot_Intake_Method1, 2, 1, 1, 3)</f>
        <v>0.81</v>
      </c>
      <c r="E25" s="55">
        <f ca="1"/>
        <v>0.81</v>
      </c>
      <c r="F25" s="55">
        <f ca="1"/>
        <v>0.81</v>
      </c>
      <c r="G25" s="2" t="s">
        <v>324</v>
      </c>
      <c r="M25" s="55" cm="1">
        <f t="array" aca="1" ref="M25:O25" ca="1">OFFSET(X_Table_Feedlot_Intake_Method2, 2, 1, 1, 3)</f>
        <v>0.81</v>
      </c>
      <c r="N25" s="55">
        <f ca="1"/>
        <v>0.81</v>
      </c>
      <c r="O25" s="55">
        <f ca="1"/>
        <v>0.81</v>
      </c>
      <c r="P25" s="2" t="s">
        <v>324</v>
      </c>
    </row>
    <row r="26" spans="1:16" ht="20.100000000000001" customHeight="1" x14ac:dyDescent="0.25"/>
    <row r="27" spans="1:16" ht="20.100000000000001" customHeight="1" x14ac:dyDescent="0.25">
      <c r="D27" s="104" t="s">
        <v>200</v>
      </c>
      <c r="M27" s="104" t="s">
        <v>204</v>
      </c>
    </row>
    <row r="28" spans="1:16" ht="20.100000000000001" customHeight="1" x14ac:dyDescent="0.25">
      <c r="D28" s="103" t="s">
        <v>201</v>
      </c>
      <c r="M28" s="103" t="s">
        <v>205</v>
      </c>
    </row>
    <row r="29" spans="1:16" ht="20.100000000000001" customHeight="1" x14ac:dyDescent="0.25">
      <c r="D29" s="54" t="s">
        <v>137</v>
      </c>
      <c r="E29" s="54" t="s">
        <v>138</v>
      </c>
      <c r="F29" s="54" t="s">
        <v>139</v>
      </c>
      <c r="M29" s="54" t="s">
        <v>137</v>
      </c>
      <c r="N29" s="54" t="s">
        <v>138</v>
      </c>
      <c r="O29" s="54" t="s">
        <v>139</v>
      </c>
    </row>
    <row r="30" spans="1:16" ht="20.100000000000001" customHeight="1" x14ac:dyDescent="0.25">
      <c r="D30" s="55" cm="1">
        <f t="array" aca="1" ref="D30" ca="1">MMS_Feedlot_Methane_Equations.VEERG_4_1_1_1__5_VolatileSolidProduction(D20,D25,$H$15)</f>
        <v>1.6598399999999995</v>
      </c>
      <c r="E30" s="55" cm="1">
        <f t="array" aca="1" ref="E30" ca="1">MMS_Feedlot_Methane_Equations.VEERG_4_1_1_1__5_VolatileSolidProduction(E20,E25,$H$15)</f>
        <v>1.7236799999999997</v>
      </c>
      <c r="F30" s="55" cm="1">
        <f t="array" aca="1" ref="F30" ca="1">MMS_Feedlot_Methane_Equations.VEERG_4_1_1_1__5_VolatileSolidProduction(F20,F25,$H$15)</f>
        <v>1.3087199999999994</v>
      </c>
      <c r="G30" s="2" t="str">
        <f>$E$11</f>
        <v>kg/head/day</v>
      </c>
      <c r="M30" s="55" cm="1">
        <f t="array" aca="1" ref="M30" ca="1">MMS_Feedlot_Methane_Equations.VEERG_4_1_1_1__5_VolatileSolidProduction(M20,M25,$H$15)</f>
        <v>1.6598399999999995</v>
      </c>
      <c r="N30" s="55" cm="1">
        <f t="array" aca="1" ref="N30" ca="1">MMS_Feedlot_Methane_Equations.VEERG_4_1_1_1__5_VolatileSolidProduction(N20,N25,$H$15)</f>
        <v>1.7236799999999997</v>
      </c>
      <c r="O30" s="55" cm="1">
        <f t="array" aca="1" ref="O30" ca="1">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8"/>
      <c r="D33" s="48"/>
      <c r="E33" s="48"/>
      <c r="F33" s="48"/>
      <c r="G33" s="48"/>
      <c r="H33" s="48"/>
      <c r="I33" s="48"/>
      <c r="J33" s="48"/>
      <c r="L33" s="48"/>
      <c r="M33" s="48"/>
      <c r="N33" s="48"/>
      <c r="O33" s="48"/>
      <c r="P33" s="48"/>
      <c r="Q33" s="48"/>
      <c r="R33" s="48"/>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26</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6" t="s">
        <v>29</v>
      </c>
      <c r="E39" s="1" t="str" cm="1">
        <f t="array" ref="E39">MMS_Feedlot_Methane_Equations.VEERG_4_1_1_1__2_Stage1MethaneProductionDrylot_Variable()</f>
        <v>M_jm5T1</v>
      </c>
    </row>
    <row r="40" spans="3:18" ht="20.100000000000001" customHeight="1" x14ac:dyDescent="0.25">
      <c r="D40" s="56" t="s">
        <v>19</v>
      </c>
      <c r="E40" s="57" t="str" cm="1">
        <f t="array" ref="E40">MMS_Feedlot_Methane_Equations.VEERG_4_1_1_1__2_Stage1MethaneProductionDrylot_Unit()</f>
        <v>kg CH4/head/day</v>
      </c>
      <c r="M40" s="97" t="s">
        <v>348</v>
      </c>
      <c r="N40" s="92"/>
    </row>
    <row r="41" spans="3:18" ht="20.100000000000001" customHeight="1" x14ac:dyDescent="0.25"/>
    <row r="42" spans="3:18" ht="20.100000000000001" customHeight="1" x14ac:dyDescent="0.25">
      <c r="D42" s="138" t="str" cm="1">
        <f t="array" ref="D42:E47">_xlfn.CHOOSECOLS(MMS_Feedlot_Methane_Equations.VEERG_4_1_1_1__2_Stage1MethaneProductionDrylot_Arguments(),1,2)</f>
        <v>VS_j</v>
      </c>
      <c r="E42" s="141" t="str">
        <v>volatile solid production from feedlot cattle in each group</v>
      </c>
      <c r="F42" s="140"/>
      <c r="G42" s="138" t="str" cm="1">
        <f t="array" ref="G42:H47">_xlfn.CHOOSECOLS(MMS_Feedlot_Methane_Equations.VEERG_4_1_1_1__2_Stage1MethaneProductionDrylot_Arguments(),3,4)</f>
        <v>kg/head/day</v>
      </c>
      <c r="H42" s="130" t="str">
        <v>Calculated from 4.1.1.1 (5)</v>
      </c>
      <c r="I42" s="139" t="str" cm="1">
        <f t="array" aca="1" ref="I42" ca="1">HYPERLINK(Common_InputFunctions.Utility_SourceHyperlink($D$27),$D$27)</f>
        <v>M1_Table_VS_j</v>
      </c>
      <c r="M42" s="138" t="str" cm="1">
        <f t="array" ref="M42:N47">_xlfn.CHOOSECOLS(MMS_Feedlot_Methane_Equations.VEERG_4_1_1_1__2_Stage1MethaneProductionDrylot_Arguments_Method2(),1,2)</f>
        <v>VS_j</v>
      </c>
      <c r="N42" s="141" t="str">
        <v>volatile solid production from feedlot cattle in each group</v>
      </c>
      <c r="O42" s="140"/>
      <c r="P42" s="138" t="str" cm="1">
        <f t="array" ref="P42:Q47">_xlfn.CHOOSECOLS(MMS_Feedlot_Methane_Equations.VEERG_4_1_1_1__2_Stage1MethaneProductionDrylot_Arguments_Method2(),3,4)</f>
        <v>kg/head/day</v>
      </c>
      <c r="Q42" s="130" t="str">
        <v>Calculated from 4.1.1.1 (5)</v>
      </c>
      <c r="R42" s="139" t="str" cm="1">
        <f t="array" aca="1" ref="R42" ca="1">HYPERLINK(Common_InputFunctions.Utility_SourceHyperlink($D$27),$D$27)</f>
        <v>M1_Table_VS_j</v>
      </c>
    </row>
    <row r="43" spans="3:18" ht="20.100000000000001" customHeight="1" x14ac:dyDescent="0.25">
      <c r="D43" s="138" t="str">
        <v>BO</v>
      </c>
      <c r="E43" s="141" t="str">
        <v>emissions potential</v>
      </c>
      <c r="F43" s="140"/>
      <c r="G43" s="138" t="str">
        <v>m3 CH4/kg VS</v>
      </c>
      <c r="H43" s="130" t="str">
        <v>Constant</v>
      </c>
      <c r="I43" s="138">
        <f>'Constants - Feedlot'!$E$22</f>
        <v>0.19</v>
      </c>
      <c r="M43" s="138" t="str">
        <v>BO</v>
      </c>
      <c r="N43" s="141" t="str">
        <v>emissions potential</v>
      </c>
      <c r="O43" s="140"/>
      <c r="P43" s="138" t="str">
        <v>m3 CH4/kg VS</v>
      </c>
      <c r="Q43" s="130" t="str">
        <v>Constant</v>
      </c>
      <c r="R43" s="138">
        <f>'Constants - Feedlot'!$E$22</f>
        <v>0.19</v>
      </c>
    </row>
    <row r="44" spans="3:18" ht="20.100000000000001" customHeight="1" x14ac:dyDescent="0.25">
      <c r="D44" s="138" t="str">
        <v>MMS_m5T1</v>
      </c>
      <c r="E44" s="141" t="str">
        <v>fraction of manure in primary system drylot MMS</v>
      </c>
      <c r="F44" s="140"/>
      <c r="G44" s="138" t="str">
        <v>fraction</v>
      </c>
      <c r="H44" s="129" t="str">
        <v>Input</v>
      </c>
      <c r="I44" s="139" t="str" cm="1">
        <f t="array" aca="1" ref="I44" ca="1">HYPERLINK(Common_InputFunctions.Utility_SourceHyperlink($D$49),$D$49)</f>
        <v>Table_MMS_m-5_T-1</v>
      </c>
      <c r="M44" s="138" t="str">
        <v>MMS_m5T1</v>
      </c>
      <c r="N44" s="141" t="str">
        <v>fraction of manure in primary system drylot MMS</v>
      </c>
      <c r="O44" s="140"/>
      <c r="P44" s="138" t="str">
        <v>fraction</v>
      </c>
      <c r="Q44" s="129" t="str">
        <v>Input</v>
      </c>
      <c r="R44" s="139" t="str" cm="1">
        <f t="array" aca="1" ref="R44" ca="1">HYPERLINK(Common_InputFunctions.Utility_SourceHyperlink($D$49),$D$49)</f>
        <v>Table_MMS_m-5_T-1</v>
      </c>
    </row>
    <row r="45" spans="3:18" ht="20.100000000000001" customHeight="1" x14ac:dyDescent="0.25">
      <c r="D45" s="138" t="str">
        <v>MCF_im5</v>
      </c>
      <c r="E45" s="141" t="str">
        <v>methane conversion factor for state and drylot system</v>
      </c>
      <c r="F45" s="140"/>
      <c r="G45" s="138" t="str">
        <v>fraction</v>
      </c>
      <c r="H45" s="130" t="str">
        <v>Constant</v>
      </c>
      <c r="I45" s="138">
        <f>HLOOKUP(I47, Table_SourceData_Feedlot_MCF[#All], 2, FALSE)</f>
        <v>0.01</v>
      </c>
      <c r="M45" s="138" t="str">
        <v>MCF_im5</v>
      </c>
      <c r="N45" s="141" t="str">
        <v>methane conversion factor for state and drylot system</v>
      </c>
      <c r="O45" s="140"/>
      <c r="P45" s="138" t="str">
        <v>fraction</v>
      </c>
      <c r="Q45" s="130" t="str">
        <v>Constant</v>
      </c>
      <c r="R45" s="138">
        <f>HLOOKUP(I47, Table_SourceData_Feedlot_MCF[#All], 2, FALSE)</f>
        <v>0.01</v>
      </c>
    </row>
    <row r="46" spans="3:18" ht="20.100000000000001" customHeight="1" x14ac:dyDescent="0.25">
      <c r="D46" s="138" t="str">
        <v>rho</v>
      </c>
      <c r="E46" s="141" t="str">
        <v>density of methane</v>
      </c>
      <c r="F46" s="140"/>
      <c r="G46" s="138" t="str">
        <v>kg/m3</v>
      </c>
      <c r="H46" s="130" t="str">
        <v>Constant</v>
      </c>
      <c r="I46" s="138">
        <f>'Constants - Common'!$D$175</f>
        <v>0.6784</v>
      </c>
      <c r="M46" s="138" t="str">
        <v>rho</v>
      </c>
      <c r="N46" s="141" t="str">
        <v>density of methane</v>
      </c>
      <c r="O46" s="140"/>
      <c r="P46" s="138" t="str">
        <v>kg/m3</v>
      </c>
      <c r="Q46" s="130" t="str">
        <v>Constant</v>
      </c>
      <c r="R46" s="138">
        <f>'Constants - Common'!$D$175</f>
        <v>0.6784</v>
      </c>
    </row>
    <row r="47" spans="3:18" ht="20.100000000000001" customHeight="1" x14ac:dyDescent="0.25">
      <c r="D47" s="138" t="str">
        <v>i</v>
      </c>
      <c r="E47" s="141" t="str">
        <v>state</v>
      </c>
      <c r="F47" s="140"/>
      <c r="G47" s="138" t="str">
        <v/>
      </c>
      <c r="H47" s="129" t="str">
        <v>Input</v>
      </c>
      <c r="I47" s="138" t="str">
        <f>Common_InputFunctions.Utility_LookupValueInTable('Input - Site'!$E$21,Table_AustralianStates[Common Name],Table_AustralianStates[Abbreviation])</f>
        <v>WA</v>
      </c>
      <c r="M47" s="138" t="str">
        <v>i</v>
      </c>
      <c r="N47" s="141" t="str">
        <v>state</v>
      </c>
      <c r="O47" s="140"/>
      <c r="P47" s="138" t="str">
        <v/>
      </c>
      <c r="Q47" s="129" t="str">
        <v>Input</v>
      </c>
      <c r="R47" s="138" t="str">
        <f>Common_InputFunctions.Utility_LookupValueInTable('Input - Site'!$E$21,Table_AustralianStates[Common Name],Table_AustralianStates[Abbreviation])</f>
        <v>WA</v>
      </c>
    </row>
    <row r="48" spans="3:18" ht="20.100000000000001" customHeight="1" x14ac:dyDescent="0.25"/>
    <row r="49" spans="3:18" ht="20.100000000000001" customHeight="1" x14ac:dyDescent="0.25">
      <c r="D49" s="104" t="s">
        <v>110</v>
      </c>
    </row>
    <row r="50" spans="3:18" ht="20.100000000000001" customHeight="1" x14ac:dyDescent="0.25">
      <c r="D50" s="103" t="s">
        <v>108</v>
      </c>
    </row>
    <row r="51" spans="3:18" ht="20.100000000000001" customHeight="1" x14ac:dyDescent="0.25">
      <c r="D51" s="41" t="s">
        <v>105</v>
      </c>
      <c r="E51" s="41" t="s">
        <v>137</v>
      </c>
      <c r="F51" s="41" t="s">
        <v>138</v>
      </c>
      <c r="G51" s="41" t="s">
        <v>139</v>
      </c>
    </row>
    <row r="52" spans="3:18" ht="20.100000000000001" customHeight="1" x14ac:dyDescent="0.25">
      <c r="D52" s="55" t="str">
        <f>INDEX(X_Table_Feedlot_MMS_Stage1,2,1)</f>
        <v>Drylot (feed pad)</v>
      </c>
      <c r="E52" s="55" cm="1">
        <f t="array" aca="1" ref="E52:G52" ca="1">OFFSET(X_Table_Feedlot_MMS_Stage1, 1,1,1,3)</f>
        <v>1</v>
      </c>
      <c r="F52" s="55">
        <f ca="1"/>
        <v>1</v>
      </c>
      <c r="G52" s="55">
        <f ca="1"/>
        <v>1</v>
      </c>
      <c r="H52" s="2" t="s">
        <v>324</v>
      </c>
    </row>
    <row r="53" spans="3:18" ht="20.100000000000001" customHeight="1" x14ac:dyDescent="0.25"/>
    <row r="54" spans="3:18" ht="20.100000000000001" customHeight="1" x14ac:dyDescent="0.25">
      <c r="D54" s="104" t="s">
        <v>206</v>
      </c>
      <c r="M54" s="104" t="s">
        <v>208</v>
      </c>
    </row>
    <row r="55" spans="3:18" ht="20.100000000000001" customHeight="1" x14ac:dyDescent="0.25">
      <c r="D55" s="103" t="s">
        <v>207</v>
      </c>
      <c r="M55" s="103" t="s">
        <v>209</v>
      </c>
    </row>
    <row r="56" spans="3:18" ht="20.100000000000001" customHeight="1" x14ac:dyDescent="0.25">
      <c r="D56" s="54" t="s">
        <v>105</v>
      </c>
      <c r="E56" s="54" t="s">
        <v>137</v>
      </c>
      <c r="F56" s="54" t="s">
        <v>138</v>
      </c>
      <c r="G56" s="54" t="s">
        <v>139</v>
      </c>
      <c r="M56" s="54" t="s">
        <v>105</v>
      </c>
      <c r="N56" s="54" t="s">
        <v>137</v>
      </c>
      <c r="O56" s="54" t="s">
        <v>138</v>
      </c>
      <c r="P56" s="54" t="s">
        <v>139</v>
      </c>
    </row>
    <row r="57" spans="3:18" ht="20.100000000000001" customHeight="1" x14ac:dyDescent="0.25">
      <c r="D57" s="55" t="str">
        <f>INDEX(X_Table_Feedlot_MMS_Stage1,2,1)</f>
        <v>Drylot (feed pad)</v>
      </c>
      <c r="E57" s="55" cm="1">
        <f t="array" aca="1" ref="E57" ca="1">MMS_Feedlot_Methane_Equations.VEERG_4_1_1_1__2_Stage1MethaneProductionDrylot(D30,$I$43,E52,$I$45,$I$46)</f>
        <v>2.1394673663999997E-3</v>
      </c>
      <c r="F57" s="55" cm="1">
        <f t="array" aca="1" ref="F57" ca="1">MMS_Feedlot_Methane_Equations.VEERG_4_1_1_1__2_Stage1MethaneProductionDrylot(E30,$I$43,F52,$I$45,$I$46)</f>
        <v>2.2217545727999995E-3</v>
      </c>
      <c r="G57" s="55" cm="1">
        <f t="array" aca="1" ref="G57" ca="1">MMS_Feedlot_Methane_Equations.VEERG_4_1_1_1__2_Stage1MethaneProductionDrylot(F30,$I$43,G52,$I$45,$I$46)</f>
        <v>1.6868877311999992E-3</v>
      </c>
      <c r="H57" s="2" t="str">
        <f>$E$40</f>
        <v>kg CH4/head/day</v>
      </c>
      <c r="M57" s="55" t="str">
        <f>INDEX(X_Table_Feedlot_MMS_Stage1,2,1)</f>
        <v>Drylot (feed pad)</v>
      </c>
      <c r="N57" s="55" cm="1">
        <f t="array" aca="1" ref="N57" ca="1">MMS_Feedlot_Methane_Equations.VEERG_4_1_1_1__2_Stage1MethaneProductionDrylot(M30,$I$43,E52,$I$45,$I$46)</f>
        <v>2.1394673663999997E-3</v>
      </c>
      <c r="O57" s="55" cm="1">
        <f t="array" aca="1" ref="O57" ca="1">MMS_Feedlot_Methane_Equations.VEERG_4_1_1_1__2_Stage1MethaneProductionDrylot(N30,$I$43,F52,$I$45,$I$46)</f>
        <v>2.2217545727999995E-3</v>
      </c>
      <c r="P57" s="55" cm="1">
        <f t="array" aca="1" ref="P57" ca="1">MMS_Feedlot_Methane_Equations.VEERG_4_1_1_1__2_Stage1MethaneProductionDrylot(O30,$I$43,G52,$I$45,$I$46)</f>
        <v>1.6868877311999992E-3</v>
      </c>
      <c r="Q57" s="2" t="str">
        <f>$E$40</f>
        <v>kg CH4/head/day</v>
      </c>
    </row>
    <row r="58" spans="3:18" ht="20.100000000000001" customHeight="1" x14ac:dyDescent="0.25">
      <c r="D58" s="105" t="str">
        <f>IF(ISNUMBER($I$45),"", "⚠️ ALERT: No MCFim5 data provided. Zero is used instead.")</f>
        <v/>
      </c>
    </row>
    <row r="59" spans="3:18" ht="20.100000000000001" customHeight="1" x14ac:dyDescent="0.25"/>
    <row r="60" spans="3:18" ht="20.100000000000001" customHeight="1" x14ac:dyDescent="0.25">
      <c r="C60" s="48"/>
      <c r="D60" s="48"/>
      <c r="E60" s="48"/>
      <c r="F60" s="48"/>
      <c r="G60" s="48"/>
      <c r="H60" s="48"/>
      <c r="I60" s="48"/>
      <c r="J60" s="48"/>
      <c r="L60" s="48"/>
      <c r="M60" s="48"/>
      <c r="N60" s="48"/>
      <c r="O60" s="48"/>
      <c r="P60" s="48"/>
      <c r="Q60" s="48"/>
      <c r="R60" s="48"/>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26</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6" t="s">
        <v>29</v>
      </c>
      <c r="E66" s="1" t="str" cm="1">
        <f t="array" ref="E66">MMS_Feedlot_Methane_Equations.VEERG_4_1_1_1__3_Stage2MethaneProduction_Variable()</f>
        <v>M_jmT2</v>
      </c>
    </row>
    <row r="67" spans="4:18" ht="20.100000000000001" customHeight="1" x14ac:dyDescent="0.25">
      <c r="D67" s="56" t="s">
        <v>19</v>
      </c>
      <c r="E67" s="57" t="str" cm="1">
        <f t="array" ref="E67">MMS_Feedlot_Methane_Equations.VEERG_4_1_1_1__3_Stage2MethaneProduction_Unit()</f>
        <v>kg CH4/head/day</v>
      </c>
    </row>
    <row r="68" spans="4:18" ht="20.100000000000001" customHeight="1" x14ac:dyDescent="0.25"/>
    <row r="69" spans="4:18" ht="20.100000000000001" customHeight="1" x14ac:dyDescent="0.25">
      <c r="D69" s="138" t="str" cm="1">
        <f t="array" ref="D69:E75">_xlfn.CHOOSECOLS(MMS_Feedlot_Methane_Equations.VEERG_4_1_1_1__3_Stage2MethaneProduction_Arguments(),1,2)</f>
        <v>VSL</v>
      </c>
      <c r="E69" s="141" t="str">
        <v>fraction of volatile solids lost during storage in the primary system</v>
      </c>
      <c r="F69" s="140"/>
      <c r="G69" s="138" t="str" cm="1">
        <f t="array" ref="G69:H75">_xlfn.CHOOSECOLS(MMS_Feedlot_Methane_Equations.VEERG_4_1_1_1__3_Stage2MethaneProduction_Arguments(),3,4)</f>
        <v>fraction</v>
      </c>
      <c r="H69" s="130" t="str">
        <v>Constant</v>
      </c>
      <c r="I69" s="60">
        <f>'Constants - Feedlot'!$E$7</f>
        <v>0.5</v>
      </c>
      <c r="M69" s="138" t="str" cm="1">
        <f t="array" ref="M69:N75">_xlfn.CHOOSECOLS(MMS_Feedlot_Methane_Equations.VEERG_4_1_1_1__3_Stage2MethaneProduction_Arguments_Method2(),1,2)</f>
        <v>VSL</v>
      </c>
      <c r="N69" s="141" t="str">
        <v>fraction of volatile solids lost during storage in the primary system</v>
      </c>
      <c r="O69" s="140"/>
      <c r="P69" s="138" t="str" cm="1">
        <f t="array" ref="P69:Q75">_xlfn.CHOOSECOLS(MMS_Feedlot_Methane_Equations.VEERG_4_1_1_1__3_Stage2MethaneProduction_Arguments_Method2(),3,4)</f>
        <v>fraction</v>
      </c>
      <c r="Q69" s="130" t="str">
        <v>Constant</v>
      </c>
      <c r="R69" s="60"/>
    </row>
    <row r="70" spans="4:18" ht="20.100000000000001" customHeight="1" x14ac:dyDescent="0.25">
      <c r="D70" s="138" t="str">
        <v>VS_j</v>
      </c>
      <c r="E70" s="141" t="str">
        <v>volatile solid production from feedlot cattle in each group</v>
      </c>
      <c r="F70" s="140"/>
      <c r="G70" s="138" t="str">
        <v>kg/head/day</v>
      </c>
      <c r="H70" s="130" t="str">
        <v>Calculated from 4.1.1.1 (5)</v>
      </c>
      <c r="I70" s="139" t="str" cm="1">
        <f t="array" aca="1" ref="I70" ca="1">HYPERLINK(Common_InputFunctions.Utility_SourceHyperlink($D$27),$D$27)</f>
        <v>M1_Table_VS_j</v>
      </c>
      <c r="M70" s="138" t="str">
        <v>VS_j</v>
      </c>
      <c r="N70" s="141" t="str">
        <v>volatile solid production from feedlot cattle in each group</v>
      </c>
      <c r="O70" s="140"/>
      <c r="P70" s="138" t="str">
        <v>kg/head/day</v>
      </c>
      <c r="Q70" s="130" t="str">
        <v>Calculated from 4.1.1.1 (5)</v>
      </c>
      <c r="R70" s="139"/>
    </row>
    <row r="71" spans="4:18" ht="20.100000000000001" customHeight="1" x14ac:dyDescent="0.25">
      <c r="D71" s="138" t="str">
        <v>BO</v>
      </c>
      <c r="E71" s="141" t="str">
        <v>emissions potential</v>
      </c>
      <c r="F71" s="140"/>
      <c r="G71" s="138" t="str">
        <v>m3 CH4/kg VS</v>
      </c>
      <c r="H71" s="130" t="str">
        <v>Constant</v>
      </c>
      <c r="I71" s="60">
        <f>'Constants - Feedlot'!$E$22</f>
        <v>0.19</v>
      </c>
      <c r="M71" s="138" t="str">
        <v>BO</v>
      </c>
      <c r="N71" s="141" t="str">
        <v>emissions potential</v>
      </c>
      <c r="O71" s="140"/>
      <c r="P71" s="138" t="str">
        <v>m3 CH4/kg VS</v>
      </c>
      <c r="Q71" s="130" t="str">
        <v>Constant</v>
      </c>
      <c r="R71" s="60"/>
    </row>
    <row r="72" spans="4:18" ht="20.100000000000001" customHeight="1" x14ac:dyDescent="0.25">
      <c r="D72" s="138" t="str">
        <v>MMS_mT2</v>
      </c>
      <c r="E72" s="141" t="str">
        <v>fraction of manure in each secondary system</v>
      </c>
      <c r="F72" s="140"/>
      <c r="G72" s="138" t="str">
        <v>fraction</v>
      </c>
      <c r="H72" s="129" t="str">
        <v>Input</v>
      </c>
      <c r="I72" s="139" t="str" cm="1">
        <f t="array" aca="1" ref="I72" ca="1">HYPERLINK(Common_InputFunctions.Utility_SourceHyperlink($D$77),$D$77)</f>
        <v>Table_MMS_m_T-2</v>
      </c>
      <c r="M72" s="138" t="str">
        <v>MMS_mT2</v>
      </c>
      <c r="N72" s="141" t="str">
        <v>fraction of manure in each secondary system</v>
      </c>
      <c r="O72" s="140"/>
      <c r="P72" s="138" t="str">
        <v>fraction</v>
      </c>
      <c r="Q72" s="129" t="str">
        <v>Input</v>
      </c>
      <c r="R72" s="139"/>
    </row>
    <row r="73" spans="4:18" ht="20.100000000000001" customHeight="1" x14ac:dyDescent="0.25">
      <c r="D73" s="138" t="str">
        <v>MCF_im</v>
      </c>
      <c r="E73" s="141" t="str">
        <v>methane conversion factor for state and MMS</v>
      </c>
      <c r="F73" s="140"/>
      <c r="G73" s="138" t="str">
        <v>fraction</v>
      </c>
      <c r="H73" s="130" t="str">
        <v>Constant</v>
      </c>
      <c r="I73" s="139" t="str" cm="1">
        <f t="array" aca="1" ref="I73" ca="1">HYPERLINK(Common_InputFunctions.Utility_SourceHyperlink($D$84),$D$84)</f>
        <v>M1_Table_MCF_i_m</v>
      </c>
      <c r="M73" s="138" t="str">
        <v>MCF_im</v>
      </c>
      <c r="N73" s="141" t="str">
        <v>methane conversion factor for mean annual temperature and MMS</v>
      </c>
      <c r="O73" s="140"/>
      <c r="P73" s="138" t="str">
        <v>fraction</v>
      </c>
      <c r="Q73" s="130" t="str">
        <v>Constant</v>
      </c>
      <c r="R73" s="139" t="str" cm="1">
        <f t="array" aca="1" ref="R73" ca="1">HYPERLINK(Common_InputFunctions.Utility_SourceHyperlink($M$84),$M$84)</f>
        <v>M2_Table_MCF_i_m</v>
      </c>
    </row>
    <row r="74" spans="4:18" ht="20.100000000000001" customHeight="1" x14ac:dyDescent="0.25">
      <c r="D74" s="138" t="str">
        <v>rho</v>
      </c>
      <c r="E74" s="141" t="str">
        <v>density of methane</v>
      </c>
      <c r="F74" s="140"/>
      <c r="G74" s="138" t="str">
        <v>kg/m3</v>
      </c>
      <c r="H74" s="130" t="str">
        <v>Constant</v>
      </c>
      <c r="I74" s="60">
        <f>'Constants - Common'!$D$175</f>
        <v>0.6784</v>
      </c>
      <c r="M74" s="138" t="str">
        <v>rho</v>
      </c>
      <c r="N74" s="141" t="str">
        <v>density of methane</v>
      </c>
      <c r="O74" s="140"/>
      <c r="P74" s="138" t="str">
        <v>kg/m3</v>
      </c>
      <c r="Q74" s="130" t="str">
        <v>Constant</v>
      </c>
      <c r="R74" s="60"/>
    </row>
    <row r="75" spans="4:18" ht="20.100000000000001" customHeight="1" x14ac:dyDescent="0.25">
      <c r="D75" s="138" t="str">
        <v>i</v>
      </c>
      <c r="E75" s="141" t="str">
        <v>state</v>
      </c>
      <c r="F75" s="140"/>
      <c r="G75" s="138" t="str">
        <v/>
      </c>
      <c r="H75" s="129" t="str">
        <v>Input</v>
      </c>
      <c r="I75" s="60" t="str">
        <f>Common_InputFunctions.Utility_LookupValueInTable('Input - Site'!$E$21,Table_AustralianStates[Common Name],Table_AustralianStates[Abbreviation])</f>
        <v>WA</v>
      </c>
      <c r="M75" s="138" t="str">
        <v>i</v>
      </c>
      <c r="N75" s="141" t="str">
        <v>Mean annual temperature</v>
      </c>
      <c r="O75" s="140"/>
      <c r="P75" s="138" t="str">
        <v/>
      </c>
      <c r="Q75" s="129" t="str">
        <v>Input</v>
      </c>
      <c r="R75" s="60">
        <f>X_Cell_Site_AverageTemperature</f>
        <v>18</v>
      </c>
    </row>
    <row r="76" spans="4:18" ht="20.100000000000001" customHeight="1" x14ac:dyDescent="0.25"/>
    <row r="77" spans="4:18" ht="20.100000000000001" customHeight="1" x14ac:dyDescent="0.25">
      <c r="D77" s="104" t="s">
        <v>112</v>
      </c>
    </row>
    <row r="78" spans="4:18" ht="20.100000000000001" customHeight="1" x14ac:dyDescent="0.25">
      <c r="D78" s="103" t="s">
        <v>113</v>
      </c>
    </row>
    <row r="79" spans="4:18" ht="20.100000000000001" customHeight="1" x14ac:dyDescent="0.25">
      <c r="D79" s="41" t="s">
        <v>105</v>
      </c>
      <c r="E79" s="41" t="s">
        <v>101</v>
      </c>
      <c r="F79" s="41" t="s">
        <v>137</v>
      </c>
      <c r="G79" s="41" t="s">
        <v>138</v>
      </c>
      <c r="H79" s="41" t="s">
        <v>139</v>
      </c>
    </row>
    <row r="80" spans="4:18" ht="20.100000000000001" customHeight="1" x14ac:dyDescent="0.25">
      <c r="D80" s="55" t="s">
        <v>100</v>
      </c>
      <c r="E80" s="55" t="str" cm="1">
        <f t="array" aca="1" ref="E80:H82" ca="1">OFFSET(X_Table_Feedlot_MMS_Stage2,2, 0, 3, 4)</f>
        <v>Solid storage</v>
      </c>
      <c r="F80" s="55">
        <f ca="1"/>
        <v>0.2</v>
      </c>
      <c r="G80" s="55">
        <f ca="1"/>
        <v>0.2</v>
      </c>
      <c r="H80" s="55">
        <f ca="1"/>
        <v>0.2</v>
      </c>
      <c r="I80" s="2" t="str">
        <f>G72</f>
        <v>fraction</v>
      </c>
    </row>
    <row r="81" spans="4:17" ht="20.100000000000001" customHeight="1" x14ac:dyDescent="0.25">
      <c r="D81" s="55" t="s">
        <v>100</v>
      </c>
      <c r="E81" s="55" t="str">
        <f ca="1"/>
        <v>Composting (passive windrow)</v>
      </c>
      <c r="F81" s="55">
        <f ca="1"/>
        <v>0.2</v>
      </c>
      <c r="G81" s="55">
        <f ca="1"/>
        <v>0.2</v>
      </c>
      <c r="H81" s="55">
        <f ca="1"/>
        <v>0.2</v>
      </c>
      <c r="I81" s="2"/>
    </row>
    <row r="82" spans="4:17" ht="20.100000000000001" customHeight="1" x14ac:dyDescent="0.25">
      <c r="D82" s="55" t="s">
        <v>100</v>
      </c>
      <c r="E82" s="55" t="str">
        <f ca="1"/>
        <v>Direct application</v>
      </c>
      <c r="F82" s="55">
        <f ca="1"/>
        <v>0.6</v>
      </c>
      <c r="G82" s="55">
        <f ca="1"/>
        <v>0.6</v>
      </c>
      <c r="H82" s="55">
        <f ca="1"/>
        <v>0.6</v>
      </c>
      <c r="I82" s="2"/>
    </row>
    <row r="83" spans="4:17" ht="20.100000000000001" customHeight="1" x14ac:dyDescent="0.25"/>
    <row r="84" spans="4:17" ht="20.100000000000001" customHeight="1" x14ac:dyDescent="0.25">
      <c r="D84" s="104" t="s">
        <v>357</v>
      </c>
      <c r="M84" s="104" t="s">
        <v>355</v>
      </c>
    </row>
    <row r="85" spans="4:17" ht="20.100000000000001" customHeight="1" x14ac:dyDescent="0.25">
      <c r="D85" s="103" t="s">
        <v>358</v>
      </c>
      <c r="M85" s="103" t="s">
        <v>356</v>
      </c>
    </row>
    <row r="86" spans="4:17" ht="20.100000000000001" customHeight="1" x14ac:dyDescent="0.25">
      <c r="D86" s="54" t="s">
        <v>105</v>
      </c>
      <c r="E86" s="54" t="s">
        <v>101</v>
      </c>
      <c r="F86" s="54" t="s">
        <v>98</v>
      </c>
      <c r="M86" s="54" t="s">
        <v>105</v>
      </c>
      <c r="N86" s="54" t="s">
        <v>101</v>
      </c>
      <c r="O86" s="54" t="s">
        <v>98</v>
      </c>
    </row>
    <row r="87" spans="4:17" ht="20.100000000000001" customHeight="1" x14ac:dyDescent="0.25">
      <c r="D87" s="55" t="s">
        <v>100</v>
      </c>
      <c r="E87" s="55" t="str">
        <f>INDEX(X_Table_Feedlot_MMS_Stage2,3,1)</f>
        <v>Solid storage</v>
      </c>
      <c r="F87" s="55" cm="1">
        <f t="array" ref="F87">_xlfn.XLOOKUP($I$75, Table_SourceData_Feedlot_MCF[#Headers], _xlfn.XLOOKUP(E87, Table_SourceData_Feedlot_MCF[NIR definition], Table_SourceData_Feedlot_MCF[]))</f>
        <v>0.02</v>
      </c>
      <c r="G87" s="2" t="str">
        <f>G73</f>
        <v>fraction</v>
      </c>
      <c r="M87" s="55" t="str">
        <f>INDEX(X_Table_Feedlot_MMS_Stage1,2,1)</f>
        <v>Drylot (feed pad)</v>
      </c>
      <c r="N87" s="55" t="str">
        <f>INDEX(X_Table_Feedlot_MMS_Stage2,3,1)</f>
        <v>Solid storage</v>
      </c>
      <c r="O87" s="55">
        <f>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5" t="s">
        <v>100</v>
      </c>
      <c r="E88" s="55" t="str">
        <f>INDEX(X_Table_Feedlot_MMS_Stage2,4,1)</f>
        <v>Composting (passive windrow)</v>
      </c>
      <c r="F88" s="55" cm="1">
        <f t="array" ref="F88">_xlfn.XLOOKUP($I$75, Table_SourceData_Feedlot_MCF[#Headers], _xlfn.XLOOKUP(E88, Table_SourceData_Feedlot_MCF[NIR definition], Table_SourceData_Feedlot_MCF[]))</f>
        <v>0.01</v>
      </c>
      <c r="G88" s="2"/>
      <c r="M88" s="55" t="str">
        <f>INDEX(X_Table_Feedlot_MMS_Stage1,2,1)</f>
        <v>Drylot (feed pad)</v>
      </c>
      <c r="N88" s="55" t="str">
        <f>INDEX(X_Table_Feedlot_MMS_Stage2,4,1)</f>
        <v>Composting (passive windrow)</v>
      </c>
      <c r="O88" s="55">
        <f>Common_InputFunctions.Common_GetMCFTemperatureZone($R$75,N88,Table_SourceData_Common_MCFTemperatureZone[MAT (ºC)],Table_SourceData_Common_MCFTemperatureZone[#Headers],Table_SourceData_Common_MCFTemperatureZone[])</f>
        <v>0.01</v>
      </c>
      <c r="P88" s="2"/>
    </row>
    <row r="89" spans="4:17" ht="20.100000000000001" customHeight="1" x14ac:dyDescent="0.25">
      <c r="D89" s="55" t="s">
        <v>100</v>
      </c>
      <c r="E89" s="55" t="str">
        <f>INDEX(X_Table_Feedlot_MMS_Stage2,5,1)</f>
        <v>Direct application</v>
      </c>
      <c r="F89" s="55" cm="1">
        <f t="array" ref="F89">_xlfn.XLOOKUP($I$75, Table_SourceData_Feedlot_MCF[#Headers], _xlfn.XLOOKUP(E89, Table_SourceData_Feedlot_MCF[NIR definition], Table_SourceData_Feedlot_MCF[]))</f>
        <v>0</v>
      </c>
      <c r="M89" s="55" t="str">
        <f>INDEX(X_Table_Feedlot_MMS_Stage1,2,1)</f>
        <v>Drylot (feed pad)</v>
      </c>
      <c r="N89" s="55" t="str">
        <f>INDEX(X_Table_Feedlot_MMS_Stage2,5,1)</f>
        <v>Direct application</v>
      </c>
      <c r="O89" s="55">
        <f>Common_InputFunctions.Common_GetMCFTemperatureZone($R$75,N89,Table_SourceData_Common_MCFTemperatureZone[MAT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7" t="s">
        <v>347</v>
      </c>
      <c r="E91" s="98"/>
      <c r="F91" s="98"/>
      <c r="G91" s="98"/>
      <c r="H91" s="92"/>
    </row>
    <row r="92" spans="4:17" ht="20.100000000000001" customHeight="1" x14ac:dyDescent="0.25"/>
    <row r="93" spans="4:17" ht="20.100000000000001" customHeight="1" x14ac:dyDescent="0.25">
      <c r="D93" s="104" t="s">
        <v>210</v>
      </c>
      <c r="M93" s="104" t="s">
        <v>212</v>
      </c>
    </row>
    <row r="94" spans="4:17" ht="20.100000000000001" customHeight="1" x14ac:dyDescent="0.25">
      <c r="D94" s="103" t="s">
        <v>211</v>
      </c>
      <c r="M94" s="103" t="s">
        <v>213</v>
      </c>
    </row>
    <row r="95" spans="4:17" ht="20.100000000000001" customHeight="1" x14ac:dyDescent="0.25">
      <c r="D95" s="54" t="s">
        <v>101</v>
      </c>
      <c r="E95" s="54" t="s">
        <v>137</v>
      </c>
      <c r="F95" s="54" t="s">
        <v>138</v>
      </c>
      <c r="G95" s="54" t="s">
        <v>139</v>
      </c>
      <c r="M95" s="54" t="s">
        <v>101</v>
      </c>
      <c r="N95" s="54" t="s">
        <v>137</v>
      </c>
      <c r="O95" s="54" t="s">
        <v>138</v>
      </c>
      <c r="P95" s="54" t="s">
        <v>139</v>
      </c>
    </row>
    <row r="96" spans="4:17" ht="20.100000000000001" customHeight="1" x14ac:dyDescent="0.25">
      <c r="D96" s="55" t="str">
        <f>INDEX(X_Table_Feedlot_MMS_Stage2,3,1)</f>
        <v>Solid storage</v>
      </c>
      <c r="E96" s="55" cm="1">
        <f t="array" aca="1" ref="E96" ca="1">MMS_Feedlot_Methane_Equations.VEERG_4_1_1_1__3_Stage2MethaneProduction($I$69,D$30,$I$71,F80,_xlfn.XLOOKUP($D96,$E$87:$E$89,$F$87:$F$89),$I$74)</f>
        <v>4.2789347327999993E-4</v>
      </c>
      <c r="F96" s="55" cm="1">
        <f t="array" aca="1" ref="F96" ca="1">MMS_Feedlot_Methane_Equations.VEERG_4_1_1_1__3_Stage2MethaneProduction($I$69,E$30,$I$71,G80,_xlfn.XLOOKUP($D96,$E$87:$E$89,$F$87:$F$89),$I$74)</f>
        <v>4.4435091455999993E-4</v>
      </c>
      <c r="G96" s="55" cm="1">
        <f t="array" aca="1" ref="G96" ca="1">MMS_Feedlot_Methane_Equations.VEERG_4_1_1_1__3_Stage2MethaneProduction($I$69,F$30,$I$71,H80,_xlfn.XLOOKUP($D96,$E$87:$E$89,$F$87:$F$89),$I$74)</f>
        <v>3.3737754623999993E-4</v>
      </c>
      <c r="H96" s="2" t="str">
        <f>$E$67</f>
        <v>kg CH4/head/day</v>
      </c>
      <c r="M96" s="55" t="str">
        <f>INDEX(X_Table_Feedlot_MMS_Stage2,3,1)</f>
        <v>Solid storage</v>
      </c>
      <c r="N96" s="55" cm="1">
        <f t="array" aca="1" ref="N96" ca="1">MMS_Feedlot_Methane_Equations.VEERG_4_1_1_1__3_Stage2MethaneProduction($I$69,M$30,$I$71,F80,_xlfn.XLOOKUP($M96,$N$87:$N$89,$O$87:$O$89),$I$74)</f>
        <v>4.2789347327999993E-4</v>
      </c>
      <c r="O96" s="55" cm="1">
        <f t="array" aca="1" ref="O96" ca="1">MMS_Feedlot_Methane_Equations.VEERG_4_1_1_1__3_Stage2MethaneProduction($I$69,N$30,$I$71,G80,_xlfn.XLOOKUP($M96,$N$87:$N$89,$O$87:$O$89),$I$74)</f>
        <v>4.4435091455999993E-4</v>
      </c>
      <c r="P96" s="55" cm="1">
        <f t="array" aca="1" ref="P96" ca="1">MMS_Feedlot_Methane_Equations.VEERG_4_1_1_1__3_Stage2MethaneProduction($I$69,O$30,$I$71,H80,_xlfn.XLOOKUP($M96,$N$87:$N$89,$O$87:$O$89),$I$74)</f>
        <v>3.3737754623999993E-4</v>
      </c>
      <c r="Q96" s="2" t="str">
        <f>$E$67</f>
        <v>kg CH4/head/day</v>
      </c>
    </row>
    <row r="97" spans="3:18" ht="20.100000000000001" customHeight="1" x14ac:dyDescent="0.25">
      <c r="D97" s="55" t="str">
        <f>INDEX(X_Table_Feedlot_MMS_Stage2,4,1)</f>
        <v>Composting (passive windrow)</v>
      </c>
      <c r="E97" s="55" cm="1">
        <f t="array" aca="1" ref="E97" ca="1">MMS_Feedlot_Methane_Equations.VEERG_4_1_1_1__3_Stage2MethaneProduction($I$69,D$30,$I$71,F81,_xlfn.XLOOKUP($D97,$E$87:$E$89,$F$87:$F$89),$I$74)</f>
        <v>2.1394673663999996E-4</v>
      </c>
      <c r="F97" s="55" cm="1">
        <f t="array" aca="1" ref="F97" ca="1">MMS_Feedlot_Methane_Equations.VEERG_4_1_1_1__3_Stage2MethaneProduction($I$69,E$30,$I$71,G81,_xlfn.XLOOKUP($D97,$E$87:$E$89,$F$87:$F$89),$I$74)</f>
        <v>2.2217545727999996E-4</v>
      </c>
      <c r="G97" s="55" cm="1">
        <f t="array" aca="1" ref="G97" ca="1">MMS_Feedlot_Methane_Equations.VEERG_4_1_1_1__3_Stage2MethaneProduction($I$69,F$30,$I$71,H81,_xlfn.XLOOKUP($D97,$E$87:$E$89,$F$87:$F$89),$I$74)</f>
        <v>1.6868877311999997E-4</v>
      </c>
      <c r="H97" s="2"/>
      <c r="M97" s="55" t="str">
        <f>INDEX(X_Table_Feedlot_MMS_Stage2,4,1)</f>
        <v>Composting (passive windrow)</v>
      </c>
      <c r="N97" s="55" cm="1">
        <f t="array" aca="1" ref="N97" ca="1">MMS_Feedlot_Methane_Equations.VEERG_4_1_1_1__3_Stage2MethaneProduction($I$69,M$30,$I$71,F81,_xlfn.XLOOKUP($M97,$N$87:$N$89,$O$87:$O$89),$I$74)</f>
        <v>2.1394673663999996E-4</v>
      </c>
      <c r="O97" s="55" cm="1">
        <f t="array" aca="1" ref="O97" ca="1">MMS_Feedlot_Methane_Equations.VEERG_4_1_1_1__3_Stage2MethaneProduction($I$69,N$30,$I$71,G81,_xlfn.XLOOKUP($M97,$N$87:$N$89,$O$87:$O$89),$I$74)</f>
        <v>2.2217545727999996E-4</v>
      </c>
      <c r="P97" s="55" cm="1">
        <f t="array" aca="1" ref="P97" ca="1">MMS_Feedlot_Methane_Equations.VEERG_4_1_1_1__3_Stage2MethaneProduction($I$69,O$30,$I$71,H81,_xlfn.XLOOKUP($M97,$N$87:$N$89,$O$87:$O$89),$I$74)</f>
        <v>1.6868877311999997E-4</v>
      </c>
      <c r="Q97" s="2"/>
    </row>
    <row r="98" spans="3:18" ht="20.100000000000001" customHeight="1" x14ac:dyDescent="0.25">
      <c r="D98" s="55" t="str">
        <f>INDEX(X_Table_Feedlot_MMS_Stage2,5,1)</f>
        <v>Direct application</v>
      </c>
      <c r="E98" s="55" cm="1">
        <f t="array" aca="1" ref="E98" ca="1">MMS_Feedlot_Methane_Equations.VEERG_4_1_1_1__3_Stage2MethaneProduction($I$69,D$30,$I$71,F82,_xlfn.XLOOKUP($D98,$E$87:$E$89,$F$87:$F$89),$I$74)</f>
        <v>0</v>
      </c>
      <c r="F98" s="55" cm="1">
        <f t="array" aca="1" ref="F98" ca="1">MMS_Feedlot_Methane_Equations.VEERG_4_1_1_1__3_Stage2MethaneProduction($I$69,E$30,$I$71,G82,_xlfn.XLOOKUP($D98,$E$87:$E$89,$F$87:$F$89),$I$74)</f>
        <v>0</v>
      </c>
      <c r="G98" s="55" cm="1">
        <f t="array" aca="1" ref="G98" ca="1">MMS_Feedlot_Methane_Equations.VEERG_4_1_1_1__3_Stage2MethaneProduction($I$69,F$30,$I$71,H82,_xlfn.XLOOKUP($D98,$E$87:$E$89,$F$87:$F$89),$I$74)</f>
        <v>0</v>
      </c>
      <c r="H98" s="2"/>
      <c r="M98" s="55" t="str">
        <f>INDEX(X_Table_Feedlot_MMS_Stage2,5,1)</f>
        <v>Direct application</v>
      </c>
      <c r="N98" s="55" cm="1">
        <f t="array" aca="1" ref="N98" ca="1">MMS_Feedlot_Methane_Equations.VEERG_4_1_1_1__3_Stage2MethaneProduction($I$69,M$30,$I$71,F82,_xlfn.XLOOKUP($M98,$N$87:$N$89,$O$87:$O$89),$I$74)</f>
        <v>0</v>
      </c>
      <c r="O98" s="55" cm="1">
        <f t="array" aca="1" ref="O98" ca="1">MMS_Feedlot_Methane_Equations.VEERG_4_1_1_1__3_Stage2MethaneProduction($I$69,N$30,$I$71,G82,_xlfn.XLOOKUP($M98,$N$87:$N$89,$O$87:$O$89),$I$74)</f>
        <v>0</v>
      </c>
      <c r="P98" s="55" cm="1">
        <f t="array" aca="1" ref="P98" ca="1">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8"/>
      <c r="D101" s="48"/>
      <c r="E101" s="48"/>
      <c r="F101" s="48"/>
      <c r="G101" s="48"/>
      <c r="H101" s="48"/>
      <c r="I101" s="48"/>
      <c r="J101" s="48"/>
      <c r="L101" s="48"/>
      <c r="M101" s="48"/>
      <c r="N101" s="48"/>
      <c r="O101" s="48"/>
      <c r="P101" s="48"/>
      <c r="Q101" s="48"/>
      <c r="R101" s="48"/>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26</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6" t="s">
        <v>29</v>
      </c>
      <c r="E107" s="1" t="str" cm="1">
        <f t="array" ref="E107">MMS_Feedlot_Methane_Equations.VEERG_4_1_1_1__4_Stage3MethaneProductionAnaerobicLagoon_Variable()</f>
        <v>M_jm1T3</v>
      </c>
    </row>
    <row r="108" spans="3:18" ht="20.100000000000001" customHeight="1" x14ac:dyDescent="0.25">
      <c r="D108" s="56" t="s">
        <v>19</v>
      </c>
      <c r="E108" s="57"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38" t="str" cm="1">
        <f t="array" ref="D110:E115">_xlfn.CHOOSECOLS(MMS_Feedlot_Methane_Equations.VEERG_4_1_1_1__4_Stage3MethaneProductionAnaerobicLagoon_Arguments(),1,2)</f>
        <v>VS_j</v>
      </c>
      <c r="E110" s="141" t="str">
        <v>volatile solid production from feedlot cattle in each group j</v>
      </c>
      <c r="F110" s="140"/>
      <c r="G110" s="138" t="str" cm="1">
        <f t="array" ref="G110:H115">_xlfn.CHOOSECOLS(MMS_Feedlot_Methane_Equations.VEERG_4_1_1_1__4_Stage3MethaneProductionAnaerobicLagoon_Arguments(),3,4)</f>
        <v>kg/head/day</v>
      </c>
      <c r="H110" s="130" t="str">
        <v>Calculated from 4.1.1.1 (5)</v>
      </c>
      <c r="I110" s="139" t="str" cm="1">
        <f t="array" aca="1" ref="I110" ca="1">HYPERLINK(Common_InputFunctions.Utility_SourceHyperlink($D$27),$D$27)</f>
        <v>M1_Table_VS_j</v>
      </c>
      <c r="M110" s="138" t="str" cm="1">
        <f t="array" ref="M110:N115">_xlfn.CHOOSECOLS(MMS_Feedlot_Methane_Equations.VEERG_4_1_1_1__4_Stage3MethaneProductionAnaerobicLagoon_Arguments_Method2(),1,2)</f>
        <v>VS_j</v>
      </c>
      <c r="N110" s="141" t="str">
        <v>volatile solid production from feedlot cattle in each group j</v>
      </c>
      <c r="O110" s="140"/>
      <c r="P110" s="138" t="str" cm="1">
        <f t="array" ref="P110:Q115">_xlfn.CHOOSECOLS(MMS_Feedlot_Methane_Equations.VEERG_4_1_1_1__4_Stage3MethaneProductionAnaerobicLagoon_Arguments_Method2(),3,4)</f>
        <v>kg/head/day</v>
      </c>
      <c r="Q110" s="130" t="str">
        <v>Calculated from 4.1.1.1 (5)</v>
      </c>
      <c r="R110" s="139"/>
    </row>
    <row r="111" spans="3:18" ht="20.100000000000001" customHeight="1" x14ac:dyDescent="0.25">
      <c r="D111" s="138" t="str">
        <v>BO</v>
      </c>
      <c r="E111" s="141" t="str">
        <v>emissions potential</v>
      </c>
      <c r="F111" s="140"/>
      <c r="G111" s="138" t="str">
        <v>m3 CH4/kg VS</v>
      </c>
      <c r="H111" s="130" t="str">
        <v>Constant</v>
      </c>
      <c r="I111" s="138">
        <f>'Constants - Feedlot'!$E$22</f>
        <v>0.19</v>
      </c>
      <c r="M111" s="138" t="str">
        <v>BO</v>
      </c>
      <c r="N111" s="141" t="str">
        <v>emissions potential</v>
      </c>
      <c r="O111" s="140"/>
      <c r="P111" s="138" t="str">
        <v>m3 CH4/kg VS</v>
      </c>
      <c r="Q111" s="130" t="str">
        <v>Constant</v>
      </c>
      <c r="R111" s="138"/>
    </row>
    <row r="112" spans="3:18" ht="20.100000000000001" customHeight="1" x14ac:dyDescent="0.25">
      <c r="D112" s="138" t="str">
        <v>MMS_m1T3</v>
      </c>
      <c r="E112" s="141" t="str">
        <v>fraction of manure to tertiary anaerobic lagoon system</v>
      </c>
      <c r="F112" s="140"/>
      <c r="G112" s="138" t="str">
        <v>fraction</v>
      </c>
      <c r="H112" s="129" t="str">
        <v>Input</v>
      </c>
      <c r="I112" s="139" t="str" cm="1">
        <f t="array" aca="1" ref="I112" ca="1">HYPERLINK(Common_InputFunctions.Utility_SourceHyperlink($D$117),$D$117)</f>
        <v>Table_MMS_m-1_T-3</v>
      </c>
      <c r="M112" s="138" t="str">
        <v>MMS_m1T3</v>
      </c>
      <c r="N112" s="141" t="str">
        <v>fraction of manure to tertiary anaerobic lagoon system</v>
      </c>
      <c r="O112" s="140"/>
      <c r="P112" s="138" t="str">
        <v>fraction</v>
      </c>
      <c r="Q112" s="129" t="str">
        <v>Input</v>
      </c>
      <c r="R112" s="139" t="str" cm="1">
        <f t="array" aca="1" ref="R112" ca="1">HYPERLINK(Common_InputFunctions.Utility_SourceHyperlink($D$117),$D$117)</f>
        <v>Table_MMS_m-1_T-3</v>
      </c>
    </row>
    <row r="113" spans="3:18" ht="20.100000000000001" customHeight="1" x14ac:dyDescent="0.25">
      <c r="D113" s="138" t="str">
        <v>MCF_im1</v>
      </c>
      <c r="E113" s="141" t="str">
        <v>methane conversion factor for state and anaerobic lagoon system</v>
      </c>
      <c r="F113" s="140"/>
      <c r="G113" s="138" t="str">
        <v>fraction</v>
      </c>
      <c r="H113" s="130" t="str">
        <v>Constant</v>
      </c>
      <c r="I113" s="138">
        <f>HLOOKUP(I115, Table_SourceData_Feedlot_MCF[#All], 6, FALSE)</f>
        <v>0.77</v>
      </c>
      <c r="M113" s="138" t="str">
        <v>MCF_im1</v>
      </c>
      <c r="N113" s="141" t="str">
        <v>methane conversion factor for mean annual temperature and anaerobic lagoon system</v>
      </c>
      <c r="O113" s="140"/>
      <c r="P113" s="138" t="str">
        <v>fraction</v>
      </c>
      <c r="Q113" s="130" t="str">
        <v>Constant</v>
      </c>
      <c r="R113" s="138">
        <f>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38" t="str">
        <v>rho</v>
      </c>
      <c r="E114" s="141" t="str">
        <v>density of methane</v>
      </c>
      <c r="F114" s="140"/>
      <c r="G114" s="138" t="str">
        <v>kg/m3</v>
      </c>
      <c r="H114" s="130" t="str">
        <v>Constant</v>
      </c>
      <c r="I114" s="138">
        <f>'Constants - Common'!$D$175</f>
        <v>0.6784</v>
      </c>
      <c r="M114" s="138" t="str">
        <v>rho</v>
      </c>
      <c r="N114" s="141" t="str">
        <v>density of methane</v>
      </c>
      <c r="O114" s="140"/>
      <c r="P114" s="138" t="str">
        <v>kg/m3</v>
      </c>
      <c r="Q114" s="130" t="str">
        <v>Constant</v>
      </c>
      <c r="R114" s="138"/>
    </row>
    <row r="115" spans="3:18" ht="20.100000000000001" customHeight="1" x14ac:dyDescent="0.25">
      <c r="D115" s="138" t="str">
        <v>i</v>
      </c>
      <c r="E115" s="141" t="str">
        <v>state</v>
      </c>
      <c r="F115" s="140"/>
      <c r="G115" s="138" t="str">
        <v/>
      </c>
      <c r="H115" s="129" t="str">
        <v>Input</v>
      </c>
      <c r="I115" s="138" t="str">
        <f>Common_InputFunctions.Utility_LookupValueInTable(X_Cell_Site_State,Table_AustralianStates[Common Name],Table_AustralianStates[Abbreviation])</f>
        <v>WA</v>
      </c>
      <c r="M115" s="138" t="str">
        <v>i</v>
      </c>
      <c r="N115" s="141" t="str">
        <v>Mean annual temperature</v>
      </c>
      <c r="O115" s="140"/>
      <c r="P115" s="138" t="str">
        <v/>
      </c>
      <c r="Q115" s="129" t="str">
        <v>Input</v>
      </c>
      <c r="R115" s="60">
        <f>X_Cell_Site_AverageTemperature</f>
        <v>18</v>
      </c>
    </row>
    <row r="116" spans="3:18" ht="20.100000000000001" customHeight="1" x14ac:dyDescent="0.25"/>
    <row r="117" spans="3:18" ht="20.100000000000001" customHeight="1" x14ac:dyDescent="0.25">
      <c r="D117" s="104" t="s">
        <v>115</v>
      </c>
    </row>
    <row r="118" spans="3:18" ht="20.100000000000001" customHeight="1" x14ac:dyDescent="0.25">
      <c r="D118" s="103" t="s">
        <v>117</v>
      </c>
    </row>
    <row r="119" spans="3:18" ht="20.100000000000001" customHeight="1" x14ac:dyDescent="0.25">
      <c r="D119" s="41" t="s">
        <v>116</v>
      </c>
      <c r="E119" s="41" t="s">
        <v>137</v>
      </c>
      <c r="F119" s="41" t="s">
        <v>138</v>
      </c>
      <c r="G119" s="41" t="s">
        <v>139</v>
      </c>
    </row>
    <row r="120" spans="3:18" ht="20.100000000000001" customHeight="1" x14ac:dyDescent="0.25">
      <c r="D120" s="55" t="str" cm="1">
        <f t="array" aca="1" ref="D120:G120" ca="1">OFFSET(X_Table_Feedlot_MMS_Stage3,2,0,1,4)</f>
        <v>Anaerobic lagoon</v>
      </c>
      <c r="E120" s="55">
        <f ca="1"/>
        <v>0.02</v>
      </c>
      <c r="F120" s="55">
        <f ca="1"/>
        <v>0.02</v>
      </c>
      <c r="G120" s="55">
        <f ca="1"/>
        <v>0.02</v>
      </c>
      <c r="H120" s="2" t="str">
        <f>G112</f>
        <v>fraction</v>
      </c>
    </row>
    <row r="121" spans="3:18" ht="20.100000000000001" customHeight="1" x14ac:dyDescent="0.25"/>
    <row r="122" spans="3:18" ht="20.100000000000001" customHeight="1" x14ac:dyDescent="0.25">
      <c r="D122" s="104" t="s">
        <v>214</v>
      </c>
      <c r="M122" s="104" t="s">
        <v>216</v>
      </c>
    </row>
    <row r="123" spans="3:18" ht="20.100000000000001" customHeight="1" x14ac:dyDescent="0.25">
      <c r="D123" s="103" t="s">
        <v>215</v>
      </c>
      <c r="M123" s="103" t="s">
        <v>217</v>
      </c>
    </row>
    <row r="124" spans="3:18" ht="20.100000000000001" customHeight="1" x14ac:dyDescent="0.25">
      <c r="D124" s="54" t="s">
        <v>116</v>
      </c>
      <c r="E124" s="54" t="s">
        <v>137</v>
      </c>
      <c r="F124" s="54" t="s">
        <v>138</v>
      </c>
      <c r="G124" s="54" t="s">
        <v>139</v>
      </c>
      <c r="M124" s="54" t="s">
        <v>116</v>
      </c>
      <c r="N124" s="54" t="s">
        <v>137</v>
      </c>
      <c r="O124" s="54" t="s">
        <v>138</v>
      </c>
      <c r="P124" s="54" t="s">
        <v>139</v>
      </c>
    </row>
    <row r="125" spans="3:18" ht="20.100000000000001" customHeight="1" x14ac:dyDescent="0.25">
      <c r="D125" s="55" t="str">
        <f>INDEX(X_Table_Feedlot_MMS_Stage3,3,1)</f>
        <v>Anaerobic lagoon</v>
      </c>
      <c r="E125" s="55" cm="1">
        <f t="array" aca="1" ref="E125" ca="1">MMS_Feedlot_Methane_Equations.VEERG_4_1_1_1__4_Stage3MethaneProductionAnaerobicLagoon(D$30, $I$111,E120,$I$113,$I$114)</f>
        <v>3.2947797442559996E-3</v>
      </c>
      <c r="F125" s="55" cm="1">
        <f t="array" aca="1" ref="F125" ca="1">MMS_Feedlot_Methane_Equations.VEERG_4_1_1_1__4_Stage3MethaneProductionAnaerobicLagoon(E$30, $I$111,F120,$I$113,$I$114)</f>
        <v>3.4215020421119995E-3</v>
      </c>
      <c r="G125" s="55" cm="1">
        <f t="array" aca="1" ref="G125" ca="1">MMS_Feedlot_Methane_Equations.VEERG_4_1_1_1__4_Stage3MethaneProductionAnaerobicLagoon(F$30, $I$111,G120,$I$113,$I$114)</f>
        <v>2.5978071060479987E-3</v>
      </c>
      <c r="H125" s="2" t="str">
        <f>$E$108</f>
        <v>kg CH4/head/day</v>
      </c>
      <c r="M125" s="55" t="str">
        <f>INDEX(X_Table_Feedlot_MMS_Stage3,3,1)</f>
        <v>Anaerobic lagoon</v>
      </c>
      <c r="N125" s="55" cm="1">
        <f t="array" aca="1" ref="N125" ca="1">MMS_Feedlot_Methane_Equations.VEERG_4_1_1_1__4_Stage3MethaneProductionAnaerobicLagoon(M$30, $I$111,E120,$R$113,$I$114)</f>
        <v>3.2947797442559996E-3</v>
      </c>
      <c r="O125" s="55" cm="1">
        <f t="array" aca="1" ref="O125" ca="1">MMS_Feedlot_Methane_Equations.VEERG_4_1_1_1__4_Stage3MethaneProductionAnaerobicLagoon(N$30, $I$111,F120,$R$113,$I$114)</f>
        <v>3.4215020421119995E-3</v>
      </c>
      <c r="P125" s="55" cm="1">
        <f t="array" aca="1" ref="P125" ca="1">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8"/>
      <c r="D128" s="48"/>
      <c r="E128" s="48"/>
      <c r="F128" s="48"/>
      <c r="G128" s="48"/>
      <c r="H128" s="48"/>
      <c r="I128" s="48"/>
      <c r="J128" s="48"/>
      <c r="L128" s="48"/>
      <c r="M128" s="48"/>
      <c r="N128" s="48"/>
      <c r="O128" s="48"/>
      <c r="P128" s="48"/>
      <c r="Q128" s="48"/>
      <c r="R128" s="48"/>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26</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6" t="s">
        <v>29</v>
      </c>
      <c r="E135" s="1" t="str" cm="1">
        <f t="array" ref="E135">MMS_Feedlot_Methane_Equations.VEERG_4_1_1_1__1_TotalAnnualMethaneEmissions_Variable()</f>
        <v>E_CH4</v>
      </c>
    </row>
    <row r="136" spans="4:9" ht="20.100000000000001" customHeight="1" x14ac:dyDescent="0.25">
      <c r="D136" s="56" t="s">
        <v>19</v>
      </c>
      <c r="E136" s="57" t="str" cm="1">
        <f t="array" ref="E136">MMS_Feedlot_Methane_Equations.VEERG_4_1_1_1__1_TotalAnnualMethaneEmissions_Unit()</f>
        <v>t CH4</v>
      </c>
    </row>
    <row r="137" spans="4:9" ht="20.100000000000001" customHeight="1" x14ac:dyDescent="0.25"/>
    <row r="138" spans="4:9" ht="20.100000000000001" customHeight="1" x14ac:dyDescent="0.25">
      <c r="D138" s="138" t="str" cm="1">
        <f t="array" ref="D138:E140">_xlfn.CHOOSECOLS(MMS_Feedlot_Methane_Equations.VEERG_4_1_1_1__1_TotalAnnualMethaneEmissions_Arguments(),1,2)</f>
        <v>D_j</v>
      </c>
      <c r="E138" s="141" t="str">
        <v>length of stay of each cattle group</v>
      </c>
      <c r="F138" s="140"/>
      <c r="G138" s="138" t="str" cm="1">
        <f t="array" ref="G138:H140">_xlfn.CHOOSECOLS(MMS_Feedlot_Methane_Equations.VEERG_4_1_1_1__1_TotalAnnualMethaneEmissions_Arguments(),3,4)</f>
        <v>days</v>
      </c>
      <c r="H138" s="129" t="str">
        <v>Input</v>
      </c>
      <c r="I138" s="139" t="str" cm="1">
        <f t="array" aca="1" ref="I138" ca="1">HYPERLINK(Common_InputFunctions.Utility_SourceHyperlink($D$142),$D$142)</f>
        <v>Table_D_j</v>
      </c>
    </row>
    <row r="139" spans="4:9" ht="20.100000000000001" customHeight="1" x14ac:dyDescent="0.25">
      <c r="D139" s="138" t="str">
        <v>M_jmT</v>
      </c>
      <c r="E139" s="141" t="str">
        <v>methane production from manure per cattle group, MMS, and treatment stage</v>
      </c>
      <c r="F139" s="140"/>
      <c r="G139" s="138" t="str">
        <v>kg CH4/head/day</v>
      </c>
      <c r="H139" s="130" t="str">
        <v>Calculated from 4.1.1.1 (2)(3)(4)</v>
      </c>
      <c r="I139" s="139" t="str" cm="1">
        <f t="array" aca="1" ref="I139" ca="1">HYPERLINK(Common_InputFunctions.Utility_SourceHyperlink($D$147),$D$147)</f>
        <v>M1_Table_M_j_m_T</v>
      </c>
    </row>
    <row r="140" spans="4:9" ht="20.100000000000001" customHeight="1" x14ac:dyDescent="0.25">
      <c r="D140" s="138" t="str">
        <v>N_j</v>
      </c>
      <c r="E140" s="141" t="str">
        <v>numbers of beef cattle in each group</v>
      </c>
      <c r="F140" s="140"/>
      <c r="G140" s="138" t="str">
        <v>head</v>
      </c>
      <c r="H140" s="129" t="str">
        <v>Input</v>
      </c>
      <c r="I140" s="139" t="str" cm="1">
        <f t="array" aca="1" ref="I140" ca="1">HYPERLINK(Common_InputFunctions.Utility_SourceHyperlink($D$156),$D$156)</f>
        <v>Table_N_j</v>
      </c>
    </row>
    <row r="141" spans="4:9" ht="20.100000000000001" customHeight="1" x14ac:dyDescent="0.25"/>
    <row r="142" spans="4:9" ht="20.100000000000001" customHeight="1" x14ac:dyDescent="0.25">
      <c r="D142" s="104" t="s">
        <v>121</v>
      </c>
    </row>
    <row r="143" spans="4:9" ht="20.100000000000001" customHeight="1" x14ac:dyDescent="0.25">
      <c r="D143" s="103" t="s">
        <v>119</v>
      </c>
    </row>
    <row r="144" spans="4:9" ht="20.100000000000001" customHeight="1" x14ac:dyDescent="0.25">
      <c r="D144" s="41" t="s">
        <v>137</v>
      </c>
      <c r="E144" s="41" t="s">
        <v>138</v>
      </c>
      <c r="F144" s="41" t="s">
        <v>139</v>
      </c>
    </row>
    <row r="145" spans="4:18" ht="20.100000000000001" customHeight="1" x14ac:dyDescent="0.25">
      <c r="D145" s="107" cm="1">
        <f t="array" aca="1" ref="D145:F145" ca="1">OFFSET(X_Table_Feedlot_HerdMovement,2,1,1,3)</f>
        <v>90</v>
      </c>
      <c r="E145" s="107">
        <f ca="1"/>
        <v>140</v>
      </c>
      <c r="F145" s="107">
        <f ca="1"/>
        <v>250</v>
      </c>
      <c r="G145" s="2" t="str">
        <f>G138</f>
        <v>days</v>
      </c>
    </row>
    <row r="146" spans="4:18" ht="20.100000000000001" customHeight="1" x14ac:dyDescent="0.25"/>
    <row r="147" spans="4:18" ht="20.100000000000001" customHeight="1" x14ac:dyDescent="0.25">
      <c r="D147" s="104" t="s">
        <v>218</v>
      </c>
      <c r="M147" s="104" t="s">
        <v>220</v>
      </c>
    </row>
    <row r="148" spans="4:18" ht="20.100000000000001" customHeight="1" x14ac:dyDescent="0.25">
      <c r="D148" s="103" t="s">
        <v>219</v>
      </c>
      <c r="M148" s="103" t="s">
        <v>221</v>
      </c>
    </row>
    <row r="149" spans="4:18" ht="20.100000000000001" customHeight="1" x14ac:dyDescent="0.25">
      <c r="D149" s="54" t="s">
        <v>125</v>
      </c>
      <c r="E149" s="54" t="s">
        <v>67</v>
      </c>
      <c r="F149" s="54" t="s">
        <v>137</v>
      </c>
      <c r="G149" s="54" t="s">
        <v>138</v>
      </c>
      <c r="H149" s="54" t="s">
        <v>139</v>
      </c>
      <c r="M149" s="54" t="s">
        <v>125</v>
      </c>
      <c r="N149" s="54" t="s">
        <v>67</v>
      </c>
      <c r="O149" s="54" t="s">
        <v>137</v>
      </c>
      <c r="P149" s="54" t="s">
        <v>138</v>
      </c>
      <c r="Q149" s="54" t="s">
        <v>139</v>
      </c>
    </row>
    <row r="150" spans="4:18" ht="20.100000000000001" customHeight="1" x14ac:dyDescent="0.25">
      <c r="D150" s="55">
        <v>1</v>
      </c>
      <c r="E150" s="55" t="str">
        <f>INDEX(X_Table_Feedlot_MMS_Stage1,2,1)</f>
        <v>Drylot (feed pad)</v>
      </c>
      <c r="F150" s="55">
        <f ca="1">$E$57</f>
        <v>2.1394673663999997E-3</v>
      </c>
      <c r="G150" s="55">
        <f ca="1">$F$57</f>
        <v>2.2217545727999995E-3</v>
      </c>
      <c r="H150" s="55">
        <f ca="1">$G$57</f>
        <v>1.6868877311999992E-3</v>
      </c>
      <c r="I150" s="2" t="str">
        <f>$G$139</f>
        <v>kg CH4/head/day</v>
      </c>
      <c r="M150" s="55">
        <v>1</v>
      </c>
      <c r="N150" s="55" t="str">
        <f>INDEX(X_Table_Feedlot_MMS_Stage1,2,1)</f>
        <v>Drylot (feed pad)</v>
      </c>
      <c r="O150" s="55">
        <f ca="1">$N$57</f>
        <v>2.1394673663999997E-3</v>
      </c>
      <c r="P150" s="55">
        <f ca="1">$O$57</f>
        <v>2.2217545727999995E-3</v>
      </c>
      <c r="Q150" s="55">
        <f ca="1">$P$57</f>
        <v>1.6868877311999992E-3</v>
      </c>
      <c r="R150" s="2" t="str">
        <f>$G$139</f>
        <v>kg CH4/head/day</v>
      </c>
    </row>
    <row r="151" spans="4:18" ht="20.100000000000001" customHeight="1" x14ac:dyDescent="0.25">
      <c r="D151" s="55">
        <v>2</v>
      </c>
      <c r="E151" s="55" t="str">
        <f>INDEX(X_Table_Feedlot_MMS_Stage2,3,1)</f>
        <v>Solid storage</v>
      </c>
      <c r="F151" s="55">
        <f ca="1">$E$96</f>
        <v>4.2789347327999993E-4</v>
      </c>
      <c r="G151" s="55">
        <f ca="1">$F$96</f>
        <v>4.4435091455999993E-4</v>
      </c>
      <c r="H151" s="55">
        <f ca="1">$G$96</f>
        <v>3.3737754623999993E-4</v>
      </c>
      <c r="I151" s="2"/>
      <c r="M151" s="55">
        <v>2</v>
      </c>
      <c r="N151" s="55" t="str">
        <f>INDEX(X_Table_Feedlot_MMS_Stage2,3,1)</f>
        <v>Solid storage</v>
      </c>
      <c r="O151" s="55">
        <f ca="1">$N$96</f>
        <v>4.2789347327999993E-4</v>
      </c>
      <c r="P151" s="55">
        <f ca="1">$O$96</f>
        <v>4.4435091455999993E-4</v>
      </c>
      <c r="Q151" s="55">
        <f ca="1">$P$96</f>
        <v>3.3737754623999993E-4</v>
      </c>
      <c r="R151" s="2"/>
    </row>
    <row r="152" spans="4:18" ht="20.100000000000001" customHeight="1" x14ac:dyDescent="0.25">
      <c r="D152" s="55">
        <v>2</v>
      </c>
      <c r="E152" s="55" t="str">
        <f>INDEX(X_Table_Feedlot_MMS_Stage2,4,1)</f>
        <v>Composting (passive windrow)</v>
      </c>
      <c r="F152" s="55">
        <f ca="1">$E$97</f>
        <v>2.1394673663999996E-4</v>
      </c>
      <c r="G152" s="55">
        <f ca="1">$F$97</f>
        <v>2.2217545727999996E-4</v>
      </c>
      <c r="H152" s="55">
        <f ca="1">$G$97</f>
        <v>1.6868877311999997E-4</v>
      </c>
      <c r="I152" s="2"/>
      <c r="M152" s="55">
        <v>2</v>
      </c>
      <c r="N152" s="55" t="str">
        <f>INDEX(X_Table_Feedlot_MMS_Stage2,4,1)</f>
        <v>Composting (passive windrow)</v>
      </c>
      <c r="O152" s="55">
        <f ca="1">$N$97</f>
        <v>2.1394673663999996E-4</v>
      </c>
      <c r="P152" s="55">
        <f ca="1">$O$97</f>
        <v>2.2217545727999996E-4</v>
      </c>
      <c r="Q152" s="55">
        <f ca="1">$P$97</f>
        <v>1.6868877311999997E-4</v>
      </c>
      <c r="R152" s="2"/>
    </row>
    <row r="153" spans="4:18" ht="20.100000000000001" customHeight="1" x14ac:dyDescent="0.25">
      <c r="D153" s="55">
        <v>2</v>
      </c>
      <c r="E153" s="55" t="str">
        <f>INDEX(X_Table_Feedlot_MMS_Stage2,5,1)</f>
        <v>Direct application</v>
      </c>
      <c r="F153" s="55">
        <f ca="1">$E$98</f>
        <v>0</v>
      </c>
      <c r="G153" s="55">
        <f ca="1">$E$98</f>
        <v>0</v>
      </c>
      <c r="H153" s="55">
        <f ca="1">$E$98</f>
        <v>0</v>
      </c>
      <c r="I153" s="2"/>
      <c r="M153" s="55">
        <v>2</v>
      </c>
      <c r="N153" s="55" t="str">
        <f>INDEX(X_Table_Feedlot_MMS_Stage2,5,1)</f>
        <v>Direct application</v>
      </c>
      <c r="O153" s="55">
        <f ca="1">$E$98</f>
        <v>0</v>
      </c>
      <c r="P153" s="55">
        <f ca="1">$E$98</f>
        <v>0</v>
      </c>
      <c r="Q153" s="55">
        <f ca="1">$E$98</f>
        <v>0</v>
      </c>
      <c r="R153" s="2"/>
    </row>
    <row r="154" spans="4:18" ht="20.100000000000001" customHeight="1" x14ac:dyDescent="0.25">
      <c r="D154" s="55">
        <v>3</v>
      </c>
      <c r="E154" s="55" t="str">
        <f>INDEX(X_Table_Feedlot_MMS_Stage3,3,1)</f>
        <v>Anaerobic lagoon</v>
      </c>
      <c r="F154" s="55">
        <f ca="1">$E$125</f>
        <v>3.2947797442559996E-3</v>
      </c>
      <c r="G154" s="55">
        <f ca="1">$F$125</f>
        <v>3.4215020421119995E-3</v>
      </c>
      <c r="H154" s="55">
        <f ca="1">$G$125</f>
        <v>2.5978071060479987E-3</v>
      </c>
      <c r="I154" s="2"/>
      <c r="M154" s="55">
        <v>3</v>
      </c>
      <c r="N154" s="55" t="str">
        <f>INDEX(X_Table_Feedlot_MMS_Stage3,3,1)</f>
        <v>Anaerobic lagoon</v>
      </c>
      <c r="O154" s="55">
        <f ca="1">$N$125</f>
        <v>3.2947797442559996E-3</v>
      </c>
      <c r="P154" s="55">
        <f ca="1">$O$125</f>
        <v>3.4215020421119995E-3</v>
      </c>
      <c r="Q154" s="55">
        <f ca="1">$P$125</f>
        <v>2.5978071060479987E-3</v>
      </c>
      <c r="R154" s="2"/>
    </row>
    <row r="155" spans="4:18" ht="20.100000000000001" customHeight="1" x14ac:dyDescent="0.25"/>
    <row r="156" spans="4:18" ht="20.100000000000001" customHeight="1" x14ac:dyDescent="0.25">
      <c r="D156" s="104" t="s">
        <v>122</v>
      </c>
    </row>
    <row r="157" spans="4:18" ht="20.100000000000001" customHeight="1" x14ac:dyDescent="0.25">
      <c r="D157" s="103" t="s">
        <v>123</v>
      </c>
    </row>
    <row r="158" spans="4:18" ht="20.100000000000001" customHeight="1" x14ac:dyDescent="0.25">
      <c r="D158" s="41" t="s">
        <v>137</v>
      </c>
      <c r="E158" s="41" t="s">
        <v>138</v>
      </c>
      <c r="F158" s="41" t="s">
        <v>139</v>
      </c>
    </row>
    <row r="159" spans="4:18" ht="20.100000000000001" customHeight="1" x14ac:dyDescent="0.25">
      <c r="D159" s="107" cm="1">
        <f t="array" aca="1" ref="D159:F159" ca="1">OFFSET(X_Table_Feedlot_HerdMovement,1,1,1,3)</f>
        <v>1000</v>
      </c>
      <c r="E159" s="107">
        <f ca="1"/>
        <v>1000</v>
      </c>
      <c r="F159" s="107">
        <f ca="1"/>
        <v>1000</v>
      </c>
      <c r="G159" s="2" t="str">
        <f>G140</f>
        <v>head</v>
      </c>
    </row>
    <row r="160" spans="4:18" ht="20.100000000000001" customHeight="1" x14ac:dyDescent="0.25"/>
    <row r="161" spans="4:18" ht="20.100000000000001" customHeight="1" x14ac:dyDescent="0.25">
      <c r="D161" s="104" t="s">
        <v>127</v>
      </c>
      <c r="M161" s="104" t="s">
        <v>127</v>
      </c>
    </row>
    <row r="162" spans="4:18" ht="20.100000000000001" customHeight="1" x14ac:dyDescent="0.25">
      <c r="D162" s="103" t="s">
        <v>128</v>
      </c>
      <c r="M162" s="103" t="s">
        <v>128</v>
      </c>
    </row>
    <row r="163" spans="4:18" ht="20.100000000000001" customHeight="1" x14ac:dyDescent="0.25">
      <c r="D163" s="54" t="s">
        <v>125</v>
      </c>
      <c r="E163" s="54" t="s">
        <v>67</v>
      </c>
      <c r="F163" s="54" t="s">
        <v>137</v>
      </c>
      <c r="G163" s="54" t="s">
        <v>138</v>
      </c>
      <c r="H163" s="54" t="s">
        <v>139</v>
      </c>
      <c r="M163" s="54" t="s">
        <v>125</v>
      </c>
      <c r="N163" s="54" t="s">
        <v>67</v>
      </c>
      <c r="O163" s="54" t="s">
        <v>137</v>
      </c>
      <c r="P163" s="54" t="s">
        <v>138</v>
      </c>
      <c r="Q163" s="54" t="s">
        <v>139</v>
      </c>
    </row>
    <row r="164" spans="4:18" ht="20.100000000000001" customHeight="1" x14ac:dyDescent="0.25">
      <c r="D164" s="55">
        <v>1</v>
      </c>
      <c r="E164" s="55" t="str">
        <f>INDEX(X_Table_Feedlot_MMS_Stage1,2,1)</f>
        <v>Drylot (feed pad)</v>
      </c>
      <c r="F164" s="55" cm="1">
        <f t="array" aca="1" ref="F164" ca="1">MMS_Feedlot_Methane_Equations.VEERG_4_1_1_1__1_TotalAnnualMethaneEmissions(D$145, F150, D$159)</f>
        <v>0.19255206297599997</v>
      </c>
      <c r="G164" s="55" cm="1">
        <f t="array" aca="1" ref="G164" ca="1">MMS_Feedlot_Methane_Equations.VEERG_4_1_1_1__1_TotalAnnualMethaneEmissions(E$145, G150, E$159)</f>
        <v>0.31104564019199998</v>
      </c>
      <c r="H164" s="55" cm="1">
        <f t="array" aca="1" ref="H164" ca="1">MMS_Feedlot_Methane_Equations.VEERG_4_1_1_1__1_TotalAnnualMethaneEmissions(F$145, H150, F$159)</f>
        <v>0.42172193279999981</v>
      </c>
      <c r="I164" s="2" t="str">
        <f>$E$136</f>
        <v>t CH4</v>
      </c>
      <c r="M164" s="55">
        <v>1</v>
      </c>
      <c r="N164" s="55" t="str">
        <f>INDEX(X_Table_Feedlot_MMS_Stage1,2,1)</f>
        <v>Drylot (feed pad)</v>
      </c>
      <c r="O164" s="55" cm="1">
        <f t="array" aca="1" ref="O164" ca="1">MMS_Feedlot_Methane_Equations.VEERG_4_1_1_1__1_TotalAnnualMethaneEmissions(D$145, O150, D$159)</f>
        <v>0.19255206297599997</v>
      </c>
      <c r="P164" s="55" cm="1">
        <f t="array" aca="1" ref="P164" ca="1">MMS_Feedlot_Methane_Equations.VEERG_4_1_1_1__1_TotalAnnualMethaneEmissions(E$145, P150, E$159)</f>
        <v>0.31104564019199998</v>
      </c>
      <c r="Q164" s="55" cm="1">
        <f t="array" aca="1" ref="Q164" ca="1">MMS_Feedlot_Methane_Equations.VEERG_4_1_1_1__1_TotalAnnualMethaneEmissions(F$145, Q150, F$159)</f>
        <v>0.42172193279999981</v>
      </c>
      <c r="R164" s="2" t="str">
        <f>$E$136</f>
        <v>t CH4</v>
      </c>
    </row>
    <row r="165" spans="4:18" ht="20.100000000000001" customHeight="1" x14ac:dyDescent="0.25">
      <c r="D165" s="55">
        <v>2</v>
      </c>
      <c r="E165" s="55" t="str">
        <f>INDEX(X_Table_Feedlot_MMS_Stage2,3,1)</f>
        <v>Solid storage</v>
      </c>
      <c r="F165" s="55" cm="1">
        <f t="array" aca="1" ref="F165" ca="1">MMS_Feedlot_Methane_Equations.VEERG_4_1_1_1__1_TotalAnnualMethaneEmissions(D$145, F151, D$159)</f>
        <v>3.8510412595199994E-2</v>
      </c>
      <c r="G165" s="55" cm="1">
        <f t="array" aca="1" ref="G165" ca="1">MMS_Feedlot_Methane_Equations.VEERG_4_1_1_1__1_TotalAnnualMethaneEmissions(E$145, G151, E$159)</f>
        <v>6.2209128038399987E-2</v>
      </c>
      <c r="H165" s="55" cm="1">
        <f t="array" aca="1" ref="H165" ca="1">MMS_Feedlot_Methane_Equations.VEERG_4_1_1_1__1_TotalAnnualMethaneEmissions(F$145, H151, F$159)</f>
        <v>8.4344386559999998E-2</v>
      </c>
      <c r="I165" s="2"/>
      <c r="M165" s="55">
        <v>2</v>
      </c>
      <c r="N165" s="55" t="str">
        <f>INDEX(X_Table_Feedlot_MMS_Stage2,3,1)</f>
        <v>Solid storage</v>
      </c>
      <c r="O165" s="55" cm="1">
        <f t="array" aca="1" ref="O165" ca="1">MMS_Feedlot_Methane_Equations.VEERG_4_1_1_1__1_TotalAnnualMethaneEmissions(D$145, O151, D$159)</f>
        <v>3.8510412595199994E-2</v>
      </c>
      <c r="P165" s="55" cm="1">
        <f t="array" aca="1" ref="P165" ca="1">MMS_Feedlot_Methane_Equations.VEERG_4_1_1_1__1_TotalAnnualMethaneEmissions(E$145, P151, E$159)</f>
        <v>6.2209128038399987E-2</v>
      </c>
      <c r="Q165" s="55" cm="1">
        <f t="array" aca="1" ref="Q165" ca="1">MMS_Feedlot_Methane_Equations.VEERG_4_1_1_1__1_TotalAnnualMethaneEmissions(F$145, Q151, F$159)</f>
        <v>8.4344386559999998E-2</v>
      </c>
      <c r="R165" s="2"/>
    </row>
    <row r="166" spans="4:18" ht="20.100000000000001" customHeight="1" x14ac:dyDescent="0.25">
      <c r="D166" s="55">
        <v>2</v>
      </c>
      <c r="E166" s="55" t="str">
        <f>INDEX(X_Table_Feedlot_MMS_Stage2,4,1)</f>
        <v>Composting (passive windrow)</v>
      </c>
      <c r="F166" s="55" cm="1">
        <f t="array" aca="1" ref="F166" ca="1">MMS_Feedlot_Methane_Equations.VEERG_4_1_1_1__1_TotalAnnualMethaneEmissions(D$145, F152, D$159)</f>
        <v>1.9255206297599997E-2</v>
      </c>
      <c r="G166" s="55" cm="1">
        <f t="array" aca="1" ref="G166" ca="1">MMS_Feedlot_Methane_Equations.VEERG_4_1_1_1__1_TotalAnnualMethaneEmissions(E$145, G152, E$159)</f>
        <v>3.1104564019199994E-2</v>
      </c>
      <c r="H166" s="55" cm="1">
        <f t="array" aca="1" ref="H166" ca="1">MMS_Feedlot_Methane_Equations.VEERG_4_1_1_1__1_TotalAnnualMethaneEmissions(F$145, H152, F$159)</f>
        <v>4.2172193279999999E-2</v>
      </c>
      <c r="I166" s="2"/>
      <c r="M166" s="55">
        <v>2</v>
      </c>
      <c r="N166" s="55" t="str">
        <f>INDEX(X_Table_Feedlot_MMS_Stage2,4,1)</f>
        <v>Composting (passive windrow)</v>
      </c>
      <c r="O166" s="55" cm="1">
        <f t="array" aca="1" ref="O166" ca="1">MMS_Feedlot_Methane_Equations.VEERG_4_1_1_1__1_TotalAnnualMethaneEmissions(D$145, O152, D$159)</f>
        <v>1.9255206297599997E-2</v>
      </c>
      <c r="P166" s="55" cm="1">
        <f t="array" aca="1" ref="P166" ca="1">MMS_Feedlot_Methane_Equations.VEERG_4_1_1_1__1_TotalAnnualMethaneEmissions(E$145, P152, E$159)</f>
        <v>3.1104564019199994E-2</v>
      </c>
      <c r="Q166" s="55" cm="1">
        <f t="array" aca="1" ref="Q166" ca="1">MMS_Feedlot_Methane_Equations.VEERG_4_1_1_1__1_TotalAnnualMethaneEmissions(F$145, Q152, F$159)</f>
        <v>4.2172193279999999E-2</v>
      </c>
      <c r="R166" s="2"/>
    </row>
    <row r="167" spans="4:18" ht="20.100000000000001" customHeight="1" x14ac:dyDescent="0.25">
      <c r="D167" s="55">
        <v>2</v>
      </c>
      <c r="E167" s="55" t="str">
        <f>INDEX(X_Table_Feedlot_MMS_Stage2,5,1)</f>
        <v>Direct application</v>
      </c>
      <c r="F167" s="55" cm="1">
        <f t="array" aca="1" ref="F167" ca="1">MMS_Feedlot_Methane_Equations.VEERG_4_1_1_1__1_TotalAnnualMethaneEmissions(D$145, F153, D$159)</f>
        <v>0</v>
      </c>
      <c r="G167" s="55" cm="1">
        <f t="array" aca="1" ref="G167" ca="1">MMS_Feedlot_Methane_Equations.VEERG_4_1_1_1__1_TotalAnnualMethaneEmissions(E$145, G153, E$159)</f>
        <v>0</v>
      </c>
      <c r="H167" s="55" cm="1">
        <f t="array" aca="1" ref="H167" ca="1">MMS_Feedlot_Methane_Equations.VEERG_4_1_1_1__1_TotalAnnualMethaneEmissions(F$145, H153, F$159)</f>
        <v>0</v>
      </c>
      <c r="I167" s="2"/>
      <c r="M167" s="55">
        <v>2</v>
      </c>
      <c r="N167" s="55" t="str">
        <f>INDEX(X_Table_Feedlot_MMS_Stage2,5,1)</f>
        <v>Direct application</v>
      </c>
      <c r="O167" s="55" cm="1">
        <f t="array" aca="1" ref="O167" ca="1">MMS_Feedlot_Methane_Equations.VEERG_4_1_1_1__1_TotalAnnualMethaneEmissions(D$145, O153, D$159)</f>
        <v>0</v>
      </c>
      <c r="P167" s="55" cm="1">
        <f t="array" aca="1" ref="P167" ca="1">MMS_Feedlot_Methane_Equations.VEERG_4_1_1_1__1_TotalAnnualMethaneEmissions(E$145, P153, E$159)</f>
        <v>0</v>
      </c>
      <c r="Q167" s="55" cm="1">
        <f t="array" aca="1" ref="Q167" ca="1">MMS_Feedlot_Methane_Equations.VEERG_4_1_1_1__1_TotalAnnualMethaneEmissions(F$145, Q153, F$159)</f>
        <v>0</v>
      </c>
      <c r="R167" s="2"/>
    </row>
    <row r="168" spans="4:18" ht="20.100000000000001" customHeight="1" x14ac:dyDescent="0.25">
      <c r="D168" s="55">
        <v>3</v>
      </c>
      <c r="E168" s="55" t="str">
        <f>INDEX(X_Table_Feedlot_MMS_Stage3,3,1)</f>
        <v>Anaerobic lagoon</v>
      </c>
      <c r="F168" s="55" cm="1">
        <f t="array" aca="1" ref="F168" ca="1">MMS_Feedlot_Methane_Equations.VEERG_4_1_1_1__1_TotalAnnualMethaneEmissions(D$145, F154, D$159)</f>
        <v>0.29653017698303996</v>
      </c>
      <c r="G168" s="55" cm="1">
        <f t="array" aca="1" ref="G168" ca="1">MMS_Feedlot_Methane_Equations.VEERG_4_1_1_1__1_TotalAnnualMethaneEmissions(E$145, G154, E$159)</f>
        <v>0.47901028589567995</v>
      </c>
      <c r="H168" s="55" cm="1">
        <f t="array" aca="1" ref="H168" ca="1">MMS_Feedlot_Methane_Equations.VEERG_4_1_1_1__1_TotalAnnualMethaneEmissions(F$145, H154, F$159)</f>
        <v>0.6494517765119997</v>
      </c>
      <c r="I168" s="2"/>
      <c r="M168" s="55">
        <v>3</v>
      </c>
      <c r="N168" s="55" t="str">
        <f>INDEX(X_Table_Feedlot_MMS_Stage3,3,1)</f>
        <v>Anaerobic lagoon</v>
      </c>
      <c r="O168" s="55" cm="1">
        <f t="array" aca="1" ref="O168" ca="1">MMS_Feedlot_Methane_Equations.VEERG_4_1_1_1__1_TotalAnnualMethaneEmissions(D$145, O154, D$159)</f>
        <v>0.29653017698303996</v>
      </c>
      <c r="P168" s="55" cm="1">
        <f t="array" aca="1" ref="P168" ca="1">MMS_Feedlot_Methane_Equations.VEERG_4_1_1_1__1_TotalAnnualMethaneEmissions(E$145, P154, E$159)</f>
        <v>0.47901028589567995</v>
      </c>
      <c r="Q168" s="55" cm="1">
        <f t="array" aca="1" ref="Q168" ca="1">MMS_Feedlot_Methane_Equations.VEERG_4_1_1_1__1_TotalAnnualMethaneEmissions(F$145, Q154, F$159)</f>
        <v>0.6494517765119997</v>
      </c>
      <c r="R168" s="2"/>
    </row>
    <row r="169" spans="4:18" ht="20.100000000000001" customHeight="1" x14ac:dyDescent="0.25"/>
    <row r="170" spans="4:18" ht="20.100000000000001" customHeight="1" x14ac:dyDescent="0.25"/>
    <row r="171" spans="4:18" ht="20.100000000000001" customHeight="1" x14ac:dyDescent="0.25">
      <c r="D171" s="108" t="s">
        <v>222</v>
      </c>
      <c r="E171" s="109">
        <f ca="1">SUM(F164:H168)</f>
        <v>2.6279077661491193</v>
      </c>
      <c r="F171" s="110" t="str">
        <f>$E$136</f>
        <v>t CH4</v>
      </c>
      <c r="M171" s="108" t="s">
        <v>223</v>
      </c>
      <c r="N171" s="109">
        <f ca="1">SUM(O164:Q168)</f>
        <v>2.6279077661491193</v>
      </c>
      <c r="O171" s="110" t="str">
        <f>$E$136</f>
        <v>t CH4</v>
      </c>
    </row>
    <row r="172" spans="4:18" ht="20.100000000000001" customHeight="1" x14ac:dyDescent="0.25"/>
    <row r="173" spans="4:18" ht="20.100000000000001" customHeight="1" x14ac:dyDescent="0.25">
      <c r="D173" s="60" t="str" cm="1">
        <f t="array" ref="D173:E174">Common_Equations.Common_ConvertCH4ToCO2e_Arguments()</f>
        <v>ECH4</v>
      </c>
      <c r="E173" s="61" t="str">
        <v>Methane emissions (t CH4)</v>
      </c>
      <c r="F173" s="111"/>
      <c r="G173" s="55">
        <f ca="1">E171</f>
        <v>2.6279077661491193</v>
      </c>
      <c r="H173" s="2" t="str">
        <f>$E$136</f>
        <v>t CH4</v>
      </c>
      <c r="M173" s="60" t="str" cm="1">
        <f t="array" ref="M173:N174">Common_Equations.Common_ConvertCH4ToCO2e_Arguments()</f>
        <v>ECH4</v>
      </c>
      <c r="N173" s="61" t="str">
        <v>Methane emissions (t CH4)</v>
      </c>
      <c r="O173" s="111"/>
      <c r="P173" s="55">
        <f ca="1">N171</f>
        <v>2.6279077661491193</v>
      </c>
      <c r="Q173" s="2" t="str">
        <f>$E$136</f>
        <v>t CH4</v>
      </c>
    </row>
    <row r="174" spans="4:18" ht="20.100000000000001" customHeight="1" x14ac:dyDescent="0.25">
      <c r="D174" s="60" t="str">
        <v>GWPCH4</v>
      </c>
      <c r="E174" s="61" t="str">
        <v>Global warming potential for methane (t CO2-e / t CH4)</v>
      </c>
      <c r="F174" s="111"/>
      <c r="G174" s="55">
        <f>Common_InputFunctions.Utility_LookupValueInTableNumber("CH4",Table_GWPData[Gas],Table_GWPData[CO2-e factor])</f>
        <v>28</v>
      </c>
      <c r="M174" s="60" t="str">
        <v>GWPCH4</v>
      </c>
      <c r="N174" s="61" t="str">
        <v>Global warming potential for methane (t CO2-e / t CH4)</v>
      </c>
      <c r="O174" s="111"/>
      <c r="P174" s="55">
        <f>Common_InputFunctions.Utility_LookupValueInTableNumber("CH4",Table_GWPData[Gas],Table_GWPData[CO2-e factor])</f>
        <v>28</v>
      </c>
    </row>
    <row r="175" spans="4:18" ht="20.100000000000001" customHeight="1" x14ac:dyDescent="0.25"/>
    <row r="176" spans="4:18" ht="20.100000000000001" customHeight="1" x14ac:dyDescent="0.25">
      <c r="D176" s="48" t="s">
        <v>224</v>
      </c>
      <c r="E176" s="48" cm="1">
        <f t="array" aca="1" ref="E176" ca="1">Common_Equations.Common_ConvertCH4ToCO2e(G173,G174)</f>
        <v>73.581417452175344</v>
      </c>
      <c r="F176" s="112" t="str" cm="1">
        <f t="array" ref="F176">Common_Equations.Common_ConvertN2OToCO2e_Unit()</f>
        <v>t CO2e</v>
      </c>
      <c r="M176" s="48" t="s">
        <v>225</v>
      </c>
      <c r="N176" s="48" cm="1">
        <f t="array" aca="1" ref="N176" ca="1">Common_Equations.Common_ConvertCH4ToCO2e(P173,P174)</f>
        <v>73.581417452175344</v>
      </c>
      <c r="O176" s="112"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52:G52 E57:G57 E120:G120 E125:G125 D145:F145 N125:P125 N57:P57 D159:F15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T217"/>
  <sheetViews>
    <sheetView showGridLines="0" topLeftCell="A184" zoomScaleNormal="100" workbookViewId="0">
      <selection activeCell="D167" sqref="D167:G16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70" t="e" vm="1">
        <v>#VALUE!</v>
      </c>
      <c r="C1" s="8" t="s">
        <v>259</v>
      </c>
    </row>
    <row r="2" spans="1:20" s="9" customFormat="1" ht="20.100000000000001" customHeight="1" x14ac:dyDescent="0.25"/>
    <row r="3" spans="1:20" ht="20.100000000000001" customHeight="1" x14ac:dyDescent="0.25">
      <c r="A3" s="17" t="str">
        <f>HYPERLINK("#'Home'!A1", "Home")</f>
        <v>Home</v>
      </c>
      <c r="C3" s="4"/>
      <c r="D3" s="4" t="s">
        <v>158</v>
      </c>
      <c r="E3" s="4"/>
      <c r="F3" s="4"/>
      <c r="G3" s="4"/>
      <c r="H3" s="4"/>
      <c r="I3" s="4"/>
      <c r="J3" s="4"/>
      <c r="K3" s="4"/>
      <c r="L3" s="4"/>
      <c r="N3" s="4"/>
      <c r="O3" s="4" t="s">
        <v>159</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A6" s="16"/>
      <c r="D6" s="5" t="str" cm="1">
        <f t="array" ref="D6">MMS_Feedlot_N2ODirect_Equations.VEERG_4_1_1_3__5_NitrogenIntake_Source()</f>
        <v>VEERG 2026: 4.1.1.3, Equation (5)</v>
      </c>
    </row>
    <row r="7" spans="1:20" ht="20.100000000000001" customHeight="1" x14ac:dyDescent="0.25">
      <c r="A7" s="20" t="s">
        <v>3</v>
      </c>
      <c r="D7" s="13" t="s">
        <v>129</v>
      </c>
      <c r="E7" s="13" t="str" cm="1">
        <f t="array" aca="1" ref="E7" ca="1">Common_InputFunctions.Utility_DisplayFunctionName(D30)</f>
        <v>=MMS_Feedlot_N2ODirect_Equations.VEERG_4_1_1_3__5_NitrogenIntake</v>
      </c>
    </row>
    <row r="8" spans="1:20" ht="20.100000000000001" customHeight="1" x14ac:dyDescent="0.25">
      <c r="A8" s="17" t="str">
        <f>HYPERLINK("#'Input - Site'!A1", "Site")</f>
        <v>Site</v>
      </c>
    </row>
    <row r="9" spans="1:20" ht="20.100000000000001" customHeight="1" x14ac:dyDescent="0.25">
      <c r="A9" s="17" t="str">
        <f>HYPERLINK("#'Input - Feedlot'!A1", "Feedlot")</f>
        <v>Feedlot</v>
      </c>
    </row>
    <row r="10" spans="1:20" ht="20.100000000000001" customHeight="1" x14ac:dyDescent="0.25">
      <c r="A10" s="17"/>
      <c r="D10" s="56" t="s">
        <v>29</v>
      </c>
      <c r="E10" s="1" t="str" cm="1">
        <f t="array" ref="E10">MMS_Feedlot_N2ODirect_Equations.VEERG_4_1_1_3__5_NitrogenIntake_Variable()</f>
        <v>NI_j</v>
      </c>
    </row>
    <row r="11" spans="1:20" ht="20.100000000000001" customHeight="1" x14ac:dyDescent="0.25">
      <c r="A11" s="19" t="s">
        <v>76</v>
      </c>
      <c r="D11" s="56" t="s">
        <v>19</v>
      </c>
      <c r="E11" s="57" t="str" cm="1">
        <f t="array" ref="E11">MMS_Feedlot_N2ODirect_Equations.VEERG_4_1_1_3__5_NitrogenIntake_Unit()</f>
        <v>kg N/head/day</v>
      </c>
    </row>
    <row r="12" spans="1:20" ht="20.100000000000001" customHeight="1" x14ac:dyDescent="0.25">
      <c r="A12" s="17" t="str">
        <f>HYPERLINK("#'4.1.1.1-2 Methane'!A1", "4.1.1.1-2 Methane")</f>
        <v>4.1.1.1-2 Methane</v>
      </c>
    </row>
    <row r="13" spans="1:20" ht="20.100000000000001" customHeight="1" x14ac:dyDescent="0.25">
      <c r="A13" s="22" t="str">
        <f>HYPERLINK("#'4.1.1.3-4 Direct N20'!A1", "4.1.1.3-4 Direct N2O")</f>
        <v>4.1.1.3-4 Direct N2O</v>
      </c>
      <c r="D13" s="138" t="str" cm="1">
        <f t="array" ref="D13:E15">_xlfn.CHOOSECOLS(MMS_Feedlot_N2ODirect_Equations.VEERG_4_1_1_3__5_NitrogenIntake_Arguments(),1,2)</f>
        <v>I_j</v>
      </c>
      <c r="E13" s="141" t="str">
        <v>dry matter intake</v>
      </c>
      <c r="F13" s="140"/>
      <c r="G13" s="138" t="str" cm="1">
        <f t="array" ref="G13:H15">_xlfn.CHOOSECOLS(MMS_Feedlot_N2ODirect_Equations.VEERG_4_1_1_3__5_NitrogenIntake_Arguments(),3,4)</f>
        <v>kg DM/head/day</v>
      </c>
      <c r="H13" s="129" t="str">
        <v>Input</v>
      </c>
      <c r="I13" s="139" t="str" cm="1">
        <f t="array" aca="1" ref="I13" ca="1">HYPERLINK(Common_InputFunctions.Utility_SourceHyperlink($D$17),$D$17)</f>
        <v>M1_Table_I_j</v>
      </c>
    </row>
    <row r="14" spans="1:20" ht="20.100000000000001" customHeight="1" x14ac:dyDescent="0.25">
      <c r="A14" s="17" t="str">
        <f>HYPERLINK("#'4.1.1.5-6 Atmos Deposition'!A1", "4.1.1.5-6 Atmospheric deposition")</f>
        <v>4.1.1.5-6 Atmospheric deposition</v>
      </c>
      <c r="D14" s="138" t="str">
        <v>CP_j</v>
      </c>
      <c r="E14" s="141" t="str">
        <v>crude protein content of feed</v>
      </c>
      <c r="F14" s="140"/>
      <c r="G14" s="138" t="str">
        <v>fraction</v>
      </c>
      <c r="H14" s="129" t="str">
        <v>Input</v>
      </c>
      <c r="I14" s="139" t="str" cm="1">
        <f t="array" aca="1" ref="I14" ca="1">HYPERLINK(Common_InputFunctions.Utility_SourceHyperlink($D$22),$D$22)</f>
        <v>M1_Table_CP_j</v>
      </c>
    </row>
    <row r="15" spans="1:20" ht="20.100000000000001" customHeight="1" x14ac:dyDescent="0.25">
      <c r="A15" s="17" t="str">
        <f>HYPERLINK("#'4.1.1.9 Manure applied to soils'!A1", "4.1.1.9 Manure applied to soils")</f>
        <v>4.1.1.9 Manure applied to soils</v>
      </c>
      <c r="D15" s="138" t="str">
        <v>6.25</v>
      </c>
      <c r="E15" s="141" t="str">
        <v>factor for converting crude protein into nitrogen</v>
      </c>
      <c r="F15" s="140"/>
      <c r="G15" s="138" t="str">
        <v>ratio</v>
      </c>
      <c r="H15" s="130" t="str">
        <v>Constant</v>
      </c>
      <c r="I15" s="138" t="str">
        <f>D15</f>
        <v>6.25</v>
      </c>
    </row>
    <row r="16" spans="1:20" ht="20.100000000000001" customHeight="1" x14ac:dyDescent="0.25"/>
    <row r="17" spans="1:19" ht="20.100000000000001" customHeight="1" x14ac:dyDescent="0.25">
      <c r="A17" s="18" t="s">
        <v>4</v>
      </c>
      <c r="D17" s="104" t="s">
        <v>148</v>
      </c>
      <c r="O17" s="104" t="s">
        <v>151</v>
      </c>
    </row>
    <row r="18" spans="1:19" ht="20.100000000000001" customHeight="1" x14ac:dyDescent="0.25">
      <c r="A18" s="17" t="str">
        <f>HYPERLINK("#'Constants - Feedlot'!A1", "Constants - Feedlot")</f>
        <v>Constants - Feedlot</v>
      </c>
      <c r="D18" s="103" t="s">
        <v>195</v>
      </c>
      <c r="O18" s="103" t="s">
        <v>196</v>
      </c>
    </row>
    <row r="19" spans="1:19" ht="20.100000000000001" customHeight="1" x14ac:dyDescent="0.25">
      <c r="A19" s="17" t="str">
        <f>HYPERLINK("#'Constants - Livestock'!A1", "Constants - Livestock")</f>
        <v>Constants - Livestock</v>
      </c>
      <c r="D19" s="41" t="s">
        <v>137</v>
      </c>
      <c r="E19" s="41" t="s">
        <v>138</v>
      </c>
      <c r="F19" s="41" t="s">
        <v>139</v>
      </c>
      <c r="O19" s="41" t="s">
        <v>137</v>
      </c>
      <c r="P19" s="41" t="s">
        <v>138</v>
      </c>
      <c r="Q19" s="41" t="s">
        <v>139</v>
      </c>
    </row>
    <row r="20" spans="1:19" ht="20.100000000000001" customHeight="1" x14ac:dyDescent="0.25">
      <c r="A20" s="17" t="str">
        <f>HYPERLINK("#'Constants - Common'!A1", "Constants - Common")</f>
        <v>Constants - Common</v>
      </c>
      <c r="D20" s="55" cm="1">
        <f t="array" aca="1" ref="D20:F20" ca="1">OFFSET(X_Table_Feedlot_Intake_Method1,1,1,1,3)</f>
        <v>10.4</v>
      </c>
      <c r="E20" s="55">
        <f ca="1"/>
        <v>10.8</v>
      </c>
      <c r="F20" s="55">
        <f ca="1"/>
        <v>8.1999999999999993</v>
      </c>
      <c r="G20" s="2" t="s">
        <v>103</v>
      </c>
      <c r="H20" s="2"/>
      <c r="I20" s="2"/>
      <c r="J20" s="2"/>
      <c r="K20" s="2"/>
      <c r="O20" s="55" cm="1">
        <f t="array" aca="1" ref="O20:Q20" ca="1">OFFSET(X_Table_Feedlot_Intake_Method2,1,1,1,3)</f>
        <v>10.4</v>
      </c>
      <c r="P20" s="55">
        <f ca="1"/>
        <v>10.8</v>
      </c>
      <c r="Q20" s="55">
        <f ca="1"/>
        <v>8.1999999999999993</v>
      </c>
      <c r="R20" s="2" t="s">
        <v>103</v>
      </c>
      <c r="S20" s="2"/>
    </row>
    <row r="21" spans="1:19" ht="20.100000000000001" customHeight="1" x14ac:dyDescent="0.25">
      <c r="A21" s="17" t="str">
        <f>HYPERLINK("#'Acknowledgements'!A1", "Acknowledgements")</f>
        <v>Acknowledgements</v>
      </c>
    </row>
    <row r="22" spans="1:19" ht="20.100000000000001" customHeight="1" x14ac:dyDescent="0.25">
      <c r="D22" s="104" t="s">
        <v>149</v>
      </c>
      <c r="O22" s="104" t="s">
        <v>152</v>
      </c>
    </row>
    <row r="23" spans="1:19" ht="20.100000000000001" customHeight="1" x14ac:dyDescent="0.25">
      <c r="D23" s="103" t="s">
        <v>194</v>
      </c>
      <c r="O23" s="103" t="s">
        <v>197</v>
      </c>
    </row>
    <row r="24" spans="1:19" ht="20.100000000000001" customHeight="1" x14ac:dyDescent="0.25">
      <c r="A24" s="17"/>
      <c r="D24" s="41" t="s">
        <v>137</v>
      </c>
      <c r="E24" s="41" t="s">
        <v>138</v>
      </c>
      <c r="F24" s="41" t="s">
        <v>139</v>
      </c>
      <c r="O24" s="41" t="s">
        <v>137</v>
      </c>
      <c r="P24" s="41" t="s">
        <v>138</v>
      </c>
      <c r="Q24" s="41" t="s">
        <v>139</v>
      </c>
    </row>
    <row r="25" spans="1:19" ht="20.100000000000001" customHeight="1" x14ac:dyDescent="0.25">
      <c r="A25" s="17"/>
      <c r="D25" s="55" cm="1">
        <f t="array" aca="1" ref="D25:F25" ca="1">OFFSET(X_Table_Feedlot_Intake_Method1,3,1,1,3)</f>
        <v>0.14000000000000001</v>
      </c>
      <c r="E25" s="55">
        <f ca="1"/>
        <v>0.12</v>
      </c>
      <c r="F25" s="55">
        <f ca="1"/>
        <v>0.12</v>
      </c>
      <c r="G25" s="2" t="s">
        <v>324</v>
      </c>
      <c r="H25" s="2"/>
      <c r="I25" s="2"/>
      <c r="J25" s="2"/>
      <c r="K25" s="2"/>
      <c r="O25" s="55" cm="1">
        <f t="array" aca="1" ref="O25:Q25" ca="1">OFFSET(X_Table_Feedlot_Intake_Method2,3,1,1,3)</f>
        <v>0.14000000000000001</v>
      </c>
      <c r="P25" s="55">
        <f ca="1"/>
        <v>0.12</v>
      </c>
      <c r="Q25" s="55">
        <f ca="1"/>
        <v>0.12</v>
      </c>
      <c r="R25" s="2" t="s">
        <v>324</v>
      </c>
      <c r="S25" s="2"/>
    </row>
    <row r="26" spans="1:19" ht="20.100000000000001" customHeight="1" x14ac:dyDescent="0.25"/>
    <row r="27" spans="1:19" ht="20.100000000000001" customHeight="1" x14ac:dyDescent="0.25">
      <c r="D27" s="104" t="s">
        <v>150</v>
      </c>
      <c r="O27" s="104" t="s">
        <v>153</v>
      </c>
    </row>
    <row r="28" spans="1:19" ht="20.100000000000001" customHeight="1" x14ac:dyDescent="0.25">
      <c r="D28" s="103" t="s">
        <v>193</v>
      </c>
      <c r="O28" s="103" t="s">
        <v>198</v>
      </c>
    </row>
    <row r="29" spans="1:19" ht="20.100000000000001" customHeight="1" x14ac:dyDescent="0.25">
      <c r="D29" s="54" t="s">
        <v>137</v>
      </c>
      <c r="E29" s="54" t="s">
        <v>138</v>
      </c>
      <c r="F29" s="54" t="s">
        <v>139</v>
      </c>
      <c r="O29" s="54" t="s">
        <v>137</v>
      </c>
      <c r="P29" s="54" t="s">
        <v>138</v>
      </c>
      <c r="Q29" s="54" t="s">
        <v>139</v>
      </c>
    </row>
    <row r="30" spans="1:19" ht="20.100000000000001" customHeight="1" x14ac:dyDescent="0.25">
      <c r="D30" s="55" cm="1">
        <f t="array" aca="1" ref="D30" ca="1">MMS_Feedlot_N2ODirect_Equations.VEERG_4_1_1_3__5_NitrogenIntake(D20,D25)</f>
        <v>0.23296000000000003</v>
      </c>
      <c r="E30" s="55" cm="1">
        <f t="array" aca="1" ref="E30" ca="1">MMS_Feedlot_N2ODirect_Equations.VEERG_4_1_1_3__5_NitrogenIntake(E20,E25)</f>
        <v>0.20736000000000002</v>
      </c>
      <c r="F30" s="55" cm="1">
        <f t="array" aca="1" ref="F30" ca="1">MMS_Feedlot_N2ODirect_Equations.VEERG_4_1_1_3__5_NitrogenIntake(F20,F25)</f>
        <v>0.15743999999999997</v>
      </c>
      <c r="G30" s="2" t="str">
        <f>$E$11</f>
        <v>kg N/head/day</v>
      </c>
      <c r="H30" s="2"/>
      <c r="I30" s="2"/>
      <c r="J30" s="2"/>
      <c r="K30" s="2"/>
      <c r="O30" s="55" cm="1">
        <f t="array" aca="1" ref="O30" ca="1">MMS_Feedlot_N2ODirect_Equations.VEERG_4_1_1_3__5_NitrogenIntake(O20,O25)</f>
        <v>0.23296000000000003</v>
      </c>
      <c r="P30" s="55" cm="1">
        <f t="array" aca="1" ref="P30" ca="1">MMS_Feedlot_N2ODirect_Equations.VEERG_4_1_1_3__5_NitrogenIntake(P20,P25)</f>
        <v>0.20736000000000002</v>
      </c>
      <c r="Q30" s="55" cm="1">
        <f t="array" aca="1" ref="Q30" ca="1">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8"/>
      <c r="D33" s="48"/>
      <c r="E33" s="48"/>
      <c r="F33" s="48"/>
      <c r="G33" s="48"/>
      <c r="H33" s="48"/>
      <c r="I33" s="48"/>
      <c r="J33" s="48"/>
      <c r="K33" s="48"/>
      <c r="L33" s="48"/>
      <c r="N33" s="48"/>
      <c r="O33" s="48"/>
      <c r="P33" s="48"/>
      <c r="Q33" s="48"/>
      <c r="R33" s="48"/>
      <c r="S33" s="48"/>
      <c r="T33" s="48"/>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26</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6" t="s">
        <v>29</v>
      </c>
      <c r="E40" s="1" t="str" cm="1">
        <f t="array" ref="E40">MMS_Feedlot_N2ODirect_Equations.VEERG_4_1_1_3__4_NitrogenExcretionPerHead_Variable()</f>
        <v>NE_j</v>
      </c>
    </row>
    <row r="41" spans="3:20" ht="20.100000000000001" customHeight="1" x14ac:dyDescent="0.25">
      <c r="D41" s="56" t="s">
        <v>19</v>
      </c>
      <c r="E41" s="57" t="str" cm="1">
        <f t="array" ref="E41">MMS_Feedlot_N2ODirect_Equations.VEERG_4_1_1_3__4_NitrogenExcretionPerHead_Unit()</f>
        <v>kg N/head/day</v>
      </c>
    </row>
    <row r="42" spans="3:20" ht="20.100000000000001" customHeight="1" x14ac:dyDescent="0.25"/>
    <row r="43" spans="3:20" ht="20.100000000000001" customHeight="1" x14ac:dyDescent="0.25">
      <c r="D43" s="138" t="str" cm="1">
        <f t="array" ref="D43:E44">_xlfn.CHOOSECOLS(MMS_Feedlot_N2ODirect_Equations.VEERG_4_1_1_3__4_NitrogenExcretionPerHead_Arguments(),1,2)</f>
        <v>NI_j</v>
      </c>
      <c r="E43" s="141" t="str">
        <v>nitrogen intake</v>
      </c>
      <c r="F43" s="140"/>
      <c r="G43" s="138" t="str" cm="1">
        <f t="array" ref="G43:H44">_xlfn.CHOOSECOLS(MMS_Feedlot_N2ODirect_Equations.VEERG_4_1_1_3__4_NitrogenExcretionPerHead_Arguments(),3,4)</f>
        <v>kg N/head/day</v>
      </c>
      <c r="H43" s="130" t="str">
        <v>Calculated from 4.1.1.3 (5)</v>
      </c>
      <c r="I43" s="139" t="str" cm="1">
        <f t="array" aca="1" ref="I43" ca="1">HYPERLINK(Common_InputFunctions.Utility_SourceHyperlink($D$27),$D$27)</f>
        <v>M1_Table_NI_j</v>
      </c>
    </row>
    <row r="44" spans="3:20" ht="20.100000000000001" customHeight="1" x14ac:dyDescent="0.25">
      <c r="D44" s="138" t="str">
        <v>NR_j</v>
      </c>
      <c r="E44" s="141" t="str">
        <v>nitrogen retention expressed as a fraction of intake</v>
      </c>
      <c r="F44" s="140"/>
      <c r="G44" s="138" t="str">
        <v>fraction</v>
      </c>
      <c r="H44" s="129" t="str">
        <v>Input</v>
      </c>
      <c r="I44" s="139" t="str" cm="1">
        <f t="array" aca="1" ref="I44" ca="1">HYPERLINK(Common_InputFunctions.Utility_SourceHyperlink($D$46),$D$46)</f>
        <v>M1_Table_NR_j</v>
      </c>
    </row>
    <row r="45" spans="3:20" ht="20.100000000000001" customHeight="1" x14ac:dyDescent="0.25"/>
    <row r="46" spans="3:20" ht="20.100000000000001" customHeight="1" x14ac:dyDescent="0.25">
      <c r="D46" s="104" t="s">
        <v>154</v>
      </c>
      <c r="E46" s="2"/>
      <c r="F46" s="2"/>
      <c r="O46" s="104" t="s">
        <v>155</v>
      </c>
      <c r="P46" s="2"/>
      <c r="Q46" s="2"/>
    </row>
    <row r="47" spans="3:20" ht="20.100000000000001" customHeight="1" x14ac:dyDescent="0.25">
      <c r="D47" s="103" t="s">
        <v>191</v>
      </c>
      <c r="O47" s="103" t="s">
        <v>192</v>
      </c>
    </row>
    <row r="48" spans="3:20" ht="20.100000000000001" customHeight="1" x14ac:dyDescent="0.25">
      <c r="D48" s="41" t="s">
        <v>137</v>
      </c>
      <c r="E48" s="41" t="s">
        <v>138</v>
      </c>
      <c r="F48" s="41" t="s">
        <v>139</v>
      </c>
      <c r="O48" s="41" t="s">
        <v>137</v>
      </c>
      <c r="P48" s="41" t="s">
        <v>138</v>
      </c>
      <c r="Q48" s="41" t="s">
        <v>139</v>
      </c>
    </row>
    <row r="49" spans="3:20" ht="20.100000000000001" customHeight="1" x14ac:dyDescent="0.25">
      <c r="D49" s="55" cm="1">
        <f t="array" aca="1" ref="D49:F49" ca="1">OFFSET(X_Table_Feedlot_Intake_Method1,4,1,1,3)/100</f>
        <v>0.20399999999999999</v>
      </c>
      <c r="E49" s="55">
        <f ca="1"/>
        <v>0.127</v>
      </c>
      <c r="F49" s="55">
        <f ca="1"/>
        <v>7.0000000000000007E-2</v>
      </c>
      <c r="G49" s="2" t="s">
        <v>160</v>
      </c>
      <c r="H49" s="2"/>
      <c r="I49" s="2"/>
      <c r="J49" s="2"/>
      <c r="K49" s="2"/>
      <c r="O49" s="55" cm="1">
        <f t="array" aca="1" ref="O49:Q49" ca="1">OFFSET(X_Table_Feedlot_Intake_Method2,4,1,1,3)/100</f>
        <v>0.20399999999999999</v>
      </c>
      <c r="P49" s="55">
        <f ca="1"/>
        <v>0.127</v>
      </c>
      <c r="Q49" s="55">
        <f ca="1"/>
        <v>7.0000000000000007E-2</v>
      </c>
      <c r="R49" s="2" t="s">
        <v>324</v>
      </c>
      <c r="S49" s="2"/>
    </row>
    <row r="50" spans="3:20" ht="20.100000000000001" customHeight="1" x14ac:dyDescent="0.25"/>
    <row r="51" spans="3:20" ht="20.100000000000001" customHeight="1" x14ac:dyDescent="0.25">
      <c r="D51" s="104" t="s">
        <v>156</v>
      </c>
      <c r="O51" s="104" t="s">
        <v>157</v>
      </c>
    </row>
    <row r="52" spans="3:20" ht="20.100000000000001" customHeight="1" x14ac:dyDescent="0.25">
      <c r="D52" s="103" t="s">
        <v>191</v>
      </c>
      <c r="O52" s="103" t="s">
        <v>192</v>
      </c>
    </row>
    <row r="53" spans="3:20" ht="20.100000000000001" customHeight="1" x14ac:dyDescent="0.25">
      <c r="D53" s="54" t="s">
        <v>137</v>
      </c>
      <c r="E53" s="54" t="s">
        <v>138</v>
      </c>
      <c r="F53" s="54" t="s">
        <v>139</v>
      </c>
      <c r="O53" s="54" t="s">
        <v>137</v>
      </c>
      <c r="P53" s="54" t="s">
        <v>138</v>
      </c>
      <c r="Q53" s="54" t="s">
        <v>139</v>
      </c>
    </row>
    <row r="54" spans="3:20" ht="20.100000000000001" customHeight="1" x14ac:dyDescent="0.25">
      <c r="D54" s="55" cm="1">
        <f t="array" aca="1" ref="D54" ca="1">MMS_Feedlot_N2ODirect_Equations.VEERG_4_1_1_3__4_NitrogenExcretionPerHead(D30,D49)</f>
        <v>0.18543616000000004</v>
      </c>
      <c r="E54" s="55" cm="1">
        <f t="array" aca="1" ref="E54" ca="1">MMS_Feedlot_N2ODirect_Equations.VEERG_4_1_1_3__4_NitrogenExcretionPerHead(E30,E49)</f>
        <v>0.18102528000000001</v>
      </c>
      <c r="F54" s="55" cm="1">
        <f t="array" aca="1" ref="F54" ca="1">MMS_Feedlot_N2ODirect_Equations.VEERG_4_1_1_3__4_NitrogenExcretionPerHead(F30,F49)</f>
        <v>0.14641919999999997</v>
      </c>
      <c r="G54" s="2" t="str">
        <f>$E$41</f>
        <v>kg N/head/day</v>
      </c>
      <c r="H54" s="2"/>
      <c r="I54" s="2"/>
      <c r="J54" s="2"/>
      <c r="K54" s="2"/>
      <c r="O54" s="55" cm="1">
        <f t="array" aca="1" ref="O54" ca="1">MMS_Feedlot_N2ODirect_Equations.VEERG_4_1_1_3__4_NitrogenExcretionPerHead(O30,O49)</f>
        <v>0.18543616000000004</v>
      </c>
      <c r="P54" s="55" cm="1">
        <f t="array" aca="1" ref="P54" ca="1">MMS_Feedlot_N2ODirect_Equations.VEERG_4_1_1_3__4_NitrogenExcretionPerHead(P30,P49)</f>
        <v>0.18102528000000001</v>
      </c>
      <c r="Q54" s="55" cm="1">
        <f t="array" aca="1" ref="Q54" ca="1">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8"/>
      <c r="D57" s="48"/>
      <c r="E57" s="48"/>
      <c r="F57" s="48"/>
      <c r="G57" s="48"/>
      <c r="H57" s="48"/>
      <c r="I57" s="48"/>
      <c r="J57" s="48"/>
      <c r="K57" s="48"/>
      <c r="L57" s="48"/>
      <c r="N57" s="48"/>
      <c r="O57" s="48"/>
      <c r="P57" s="48"/>
      <c r="Q57" s="48"/>
      <c r="R57" s="48"/>
      <c r="S57" s="48"/>
      <c r="T57" s="48"/>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26</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6" t="s">
        <v>29</v>
      </c>
      <c r="E63" s="1" t="str" cm="1">
        <f t="array" ref="E63">MMS_Feedlot_N2ODirect_Equations.VEERG_4_1_1_3__3_AnnualNitrogenExcretion_Variable()</f>
        <v>AE_j</v>
      </c>
    </row>
    <row r="64" spans="3:20" ht="20.100000000000001" customHeight="1" x14ac:dyDescent="0.25">
      <c r="D64" s="56" t="s">
        <v>19</v>
      </c>
      <c r="E64" s="57" t="str" cm="1">
        <f t="array" ref="E64">MMS_Feedlot_N2ODirect_Equations.VEERG_4_1_1_3__3_AnnualNitrogenExcretion_Unit()</f>
        <v>kg N</v>
      </c>
    </row>
    <row r="65" spans="4:15" ht="20.100000000000001" customHeight="1" x14ac:dyDescent="0.25"/>
    <row r="66" spans="4:15" ht="20.100000000000001" customHeight="1" x14ac:dyDescent="0.25">
      <c r="D66" s="138" t="str" cm="1">
        <f t="array" ref="D66:G68">MMS_Feedlot_N2ODirect_Equations.VEERG_4_1_1_3__3_AnnualNitrogenExcretion_Arguments()</f>
        <v>N_j</v>
      </c>
      <c r="E66" s="138" t="str">
        <v>number of cattle in each group</v>
      </c>
      <c r="F66" s="138" t="str">
        <v>head</v>
      </c>
      <c r="G66" s="129" t="str">
        <v>Input</v>
      </c>
      <c r="H66" s="139" t="str" cm="1">
        <f t="array" aca="1" ref="H66" ca="1">HYPERLINK(Common_InputFunctions.Utility_SourceHyperlink($D$70),$D$70)</f>
        <v>Table_N_j</v>
      </c>
    </row>
    <row r="67" spans="4:15" ht="20.100000000000001" customHeight="1" x14ac:dyDescent="0.25">
      <c r="D67" s="138" t="str">
        <v>NE_j</v>
      </c>
      <c r="E67" s="138" t="str">
        <v>nitrogen excretion</v>
      </c>
      <c r="F67" s="138" t="str">
        <v>kg N/head/day</v>
      </c>
      <c r="G67" s="130" t="str">
        <v>Calculated from 4.1.1.3 (4)</v>
      </c>
      <c r="H67" s="139" t="str" cm="1">
        <f t="array" aca="1" ref="H67" ca="1">HYPERLINK(Common_InputFunctions.Utility_SourceHyperlink($D$51),$D$51)</f>
        <v>M1_Table_NE_j</v>
      </c>
    </row>
    <row r="68" spans="4:15" ht="20.100000000000001" customHeight="1" x14ac:dyDescent="0.25">
      <c r="D68" s="138" t="str">
        <v>D_j</v>
      </c>
      <c r="E68" s="138" t="str">
        <v>duration of stay of cattle group</v>
      </c>
      <c r="F68" s="138" t="str">
        <v>days</v>
      </c>
      <c r="G68" s="129" t="str">
        <v>Input</v>
      </c>
      <c r="H68" s="139" t="str" cm="1">
        <f t="array" aca="1" ref="H68" ca="1">HYPERLINK(Common_InputFunctions.Utility_SourceHyperlink($D$75),$D$75)</f>
        <v>Table_D_j</v>
      </c>
    </row>
    <row r="69" spans="4:15" ht="20.100000000000001" customHeight="1" x14ac:dyDescent="0.25"/>
    <row r="70" spans="4:15" ht="20.100000000000001" customHeight="1" x14ac:dyDescent="0.25">
      <c r="D70" s="104" t="s">
        <v>122</v>
      </c>
    </row>
    <row r="71" spans="4:15" ht="20.100000000000001" customHeight="1" x14ac:dyDescent="0.25">
      <c r="D71" s="103" t="s">
        <v>123</v>
      </c>
    </row>
    <row r="72" spans="4:15" ht="20.100000000000001" customHeight="1" x14ac:dyDescent="0.25">
      <c r="D72" s="41" t="s">
        <v>137</v>
      </c>
      <c r="E72" s="41" t="s">
        <v>138</v>
      </c>
      <c r="F72" s="41" t="s">
        <v>139</v>
      </c>
    </row>
    <row r="73" spans="4:15" ht="20.100000000000001" customHeight="1" x14ac:dyDescent="0.25">
      <c r="D73" s="107" cm="1">
        <f t="array" aca="1" ref="D73:F73" ca="1">OFFSET(X_Table_Feedlot_HerdMovement,1,1,1,3)</f>
        <v>1000</v>
      </c>
      <c r="E73" s="107">
        <f ca="1"/>
        <v>1000</v>
      </c>
      <c r="F73" s="107">
        <f ca="1"/>
        <v>1000</v>
      </c>
      <c r="G73" s="2" t="s">
        <v>124</v>
      </c>
      <c r="H73" s="2"/>
      <c r="I73" s="2"/>
      <c r="J73" s="2"/>
      <c r="K73" s="2"/>
    </row>
    <row r="74" spans="4:15" ht="20.100000000000001" customHeight="1" x14ac:dyDescent="0.25"/>
    <row r="75" spans="4:15" ht="20.100000000000001" customHeight="1" x14ac:dyDescent="0.25">
      <c r="D75" s="104" t="s">
        <v>121</v>
      </c>
    </row>
    <row r="76" spans="4:15" ht="20.100000000000001" customHeight="1" x14ac:dyDescent="0.25">
      <c r="D76" s="103" t="s">
        <v>119</v>
      </c>
    </row>
    <row r="77" spans="4:15" ht="20.100000000000001" customHeight="1" x14ac:dyDescent="0.25">
      <c r="D77" s="41" t="s">
        <v>137</v>
      </c>
      <c r="E77" s="41" t="s">
        <v>138</v>
      </c>
      <c r="F77" s="41" t="s">
        <v>139</v>
      </c>
    </row>
    <row r="78" spans="4:15" ht="20.100000000000001" customHeight="1" x14ac:dyDescent="0.25">
      <c r="D78" s="107" cm="1">
        <f t="array" aca="1" ref="D78:F78" ca="1">OFFSET(X_Table_Feedlot_HerdMovement,2,1,1,3)</f>
        <v>90</v>
      </c>
      <c r="E78" s="107">
        <f ca="1"/>
        <v>140</v>
      </c>
      <c r="F78" s="107">
        <f ca="1"/>
        <v>250</v>
      </c>
      <c r="G78" s="2" t="s">
        <v>54</v>
      </c>
      <c r="H78" s="2"/>
      <c r="I78" s="2"/>
      <c r="J78" s="2"/>
      <c r="K78" s="2"/>
    </row>
    <row r="79" spans="4:15" ht="20.100000000000001" customHeight="1" x14ac:dyDescent="0.25"/>
    <row r="80" spans="4:15" ht="20.100000000000001" customHeight="1" x14ac:dyDescent="0.25">
      <c r="D80" s="104" t="s">
        <v>161</v>
      </c>
      <c r="O80" s="104" t="s">
        <v>162</v>
      </c>
    </row>
    <row r="81" spans="3:20" ht="20.100000000000001" customHeight="1" x14ac:dyDescent="0.25">
      <c r="D81" s="103" t="s">
        <v>189</v>
      </c>
      <c r="O81" s="103" t="s">
        <v>190</v>
      </c>
    </row>
    <row r="82" spans="3:20" ht="20.100000000000001" customHeight="1" x14ac:dyDescent="0.25">
      <c r="D82" s="54" t="s">
        <v>137</v>
      </c>
      <c r="E82" s="54" t="s">
        <v>138</v>
      </c>
      <c r="F82" s="54" t="s">
        <v>139</v>
      </c>
      <c r="O82" s="54" t="s">
        <v>137</v>
      </c>
      <c r="P82" s="54" t="s">
        <v>138</v>
      </c>
      <c r="Q82" s="54" t="s">
        <v>139</v>
      </c>
    </row>
    <row r="83" spans="3:20" ht="20.100000000000001" customHeight="1" x14ac:dyDescent="0.25">
      <c r="D83" s="107" cm="1">
        <f t="array" aca="1" ref="D83" ca="1">MMS_Feedlot_N2ODirect_Equations.VEERG_4_1_1_3__3_AnnualNitrogenExcretion(D73,D54,D78)</f>
        <v>16689.254400000005</v>
      </c>
      <c r="E83" s="107" cm="1">
        <f t="array" aca="1" ref="E83" ca="1">MMS_Feedlot_N2ODirect_Equations.VEERG_4_1_1_3__3_AnnualNitrogenExcretion(E73,E54,E78)</f>
        <v>25343.539200000003</v>
      </c>
      <c r="F83" s="107" cm="1">
        <f t="array" aca="1" ref="F83" ca="1">MMS_Feedlot_N2ODirect_Equations.VEERG_4_1_1_3__3_AnnualNitrogenExcretion(F73,F54,F78)</f>
        <v>36604.799999999988</v>
      </c>
      <c r="G83" s="2" t="str">
        <f>$E$64</f>
        <v>kg N</v>
      </c>
      <c r="H83" s="2"/>
      <c r="I83" s="2"/>
      <c r="J83" s="2"/>
      <c r="K83" s="2"/>
      <c r="O83" s="107" cm="1">
        <f t="array" aca="1" ref="O83" ca="1">MMS_Feedlot_N2ODirect_Equations.VEERG_4_1_1_3__3_AnnualNitrogenExcretion(D73,O54,D78)</f>
        <v>16689.254400000005</v>
      </c>
      <c r="P83" s="107" cm="1">
        <f t="array" aca="1" ref="P83" ca="1">MMS_Feedlot_N2ODirect_Equations.VEERG_4_1_1_3__3_AnnualNitrogenExcretion(E73,P54,E78)</f>
        <v>25343.539200000003</v>
      </c>
      <c r="Q83" s="107" cm="1">
        <f t="array" aca="1" ref="Q83" ca="1">MMS_Feedlot_N2ODirect_Equations.VEERG_4_1_1_3__3_AnnualNitrogenExcretion(F73,Q54,F78)</f>
        <v>36604.799999999988</v>
      </c>
      <c r="R83" s="2" t="str">
        <f>$E$64</f>
        <v>kg N</v>
      </c>
      <c r="S83" s="2"/>
    </row>
    <row r="84" spans="3:20" ht="20.100000000000001" customHeight="1" x14ac:dyDescent="0.25"/>
    <row r="85" spans="3:20" ht="20.100000000000001" customHeight="1" x14ac:dyDescent="0.25"/>
    <row r="86" spans="3:20" ht="20.100000000000001" customHeight="1" x14ac:dyDescent="0.25">
      <c r="C86" s="48"/>
      <c r="D86" s="48"/>
      <c r="E86" s="48"/>
      <c r="F86" s="48"/>
      <c r="G86" s="48"/>
      <c r="H86" s="48"/>
      <c r="I86" s="48"/>
      <c r="J86" s="48"/>
      <c r="K86" s="48"/>
      <c r="L86" s="48"/>
      <c r="N86" s="48"/>
      <c r="O86" s="48"/>
      <c r="P86" s="48"/>
      <c r="Q86" s="48"/>
      <c r="R86" s="48"/>
      <c r="S86" s="48"/>
      <c r="T86" s="48"/>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26</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6" t="s">
        <v>29</v>
      </c>
      <c r="E92" s="1" t="str" cm="1">
        <f t="array" ref="E92">MMS_Feedlot_N2ODirect_Equations.VEERG_4_1_1_3__2_Stage1NitrogenInMMSDrylot_Variable()</f>
        <v>MN_jm5T1</v>
      </c>
    </row>
    <row r="93" spans="3:20" ht="20.100000000000001" customHeight="1" x14ac:dyDescent="0.25">
      <c r="D93" s="56" t="s">
        <v>19</v>
      </c>
      <c r="E93" s="57" t="str" cm="1">
        <f t="array" ref="E93">MMS_Feedlot_N2ODirect_Equations.VEERG_4_1_1_3__2_Stage1NitrogenInMMSDrylot_Unit()</f>
        <v>kg N</v>
      </c>
    </row>
    <row r="94" spans="3:20" ht="20.100000000000001" customHeight="1" x14ac:dyDescent="0.25"/>
    <row r="95" spans="3:20" ht="20.100000000000001" customHeight="1" x14ac:dyDescent="0.25">
      <c r="D95" s="138" t="str" cm="1">
        <f t="array" ref="D95:E96">_xlfn.CHOOSECOLS(MMS_Feedlot_N2ODirect_Equations.VEERG_4_1_1_3__2_Stage1NitrogenInMMSDrylot_Arguments(),1,2)</f>
        <v>AE_j</v>
      </c>
      <c r="E95" s="141" t="str">
        <v>total nitrogen excreted by each cattle group</v>
      </c>
      <c r="F95" s="140"/>
      <c r="G95" s="138" t="str" cm="1">
        <f t="array" ref="G95:H96">_xlfn.CHOOSECOLS(MMS_Feedlot_N2ODirect_Equations.VEERG_4_1_1_3__2_Stage1NitrogenInMMSDrylot_Arguments(),3,4)</f>
        <v>kg N</v>
      </c>
      <c r="H95" s="130" t="str">
        <v>Calculated from 4.1.1.3 (3)</v>
      </c>
      <c r="I95" s="139" t="str" cm="1">
        <f t="array" aca="1" ref="I95" ca="1">HYPERLINK(Common_InputFunctions.Utility_SourceHyperlink($D$80),$D$80)</f>
        <v>M1_Table_AE_j</v>
      </c>
    </row>
    <row r="96" spans="3:20" ht="20.100000000000001" customHeight="1" x14ac:dyDescent="0.25">
      <c r="D96" s="138" t="str">
        <v>MMS_jm5T1</v>
      </c>
      <c r="E96" s="141" t="str">
        <v>fraction of manure in primary system drylot MMS</v>
      </c>
      <c r="F96" s="140"/>
      <c r="G96" s="138" t="str">
        <v>fraction</v>
      </c>
      <c r="H96" s="129" t="str">
        <v>Input</v>
      </c>
      <c r="I96" s="139" t="str" cm="1">
        <f t="array" aca="1" ref="I96" ca="1">HYPERLINK(Common_InputFunctions.Utility_SourceHyperlink($D$98),$D$98)</f>
        <v>Table_MMS_j_m-5_T-1</v>
      </c>
    </row>
    <row r="97" spans="3:20" ht="20.100000000000001" customHeight="1" x14ac:dyDescent="0.25"/>
    <row r="98" spans="3:20" ht="20.100000000000001" customHeight="1" x14ac:dyDescent="0.25">
      <c r="D98" s="104" t="s">
        <v>163</v>
      </c>
    </row>
    <row r="99" spans="3:20" ht="20.100000000000001" customHeight="1" x14ac:dyDescent="0.25">
      <c r="D99" s="103" t="s">
        <v>108</v>
      </c>
    </row>
    <row r="100" spans="3:20" ht="20.100000000000001" customHeight="1" x14ac:dyDescent="0.25">
      <c r="D100" s="41" t="s">
        <v>105</v>
      </c>
      <c r="E100" s="41" t="s">
        <v>137</v>
      </c>
      <c r="F100" s="41" t="s">
        <v>138</v>
      </c>
      <c r="G100" s="41" t="s">
        <v>139</v>
      </c>
    </row>
    <row r="101" spans="3:20" ht="20.100000000000001" customHeight="1" x14ac:dyDescent="0.25">
      <c r="D101" s="55" t="s">
        <v>100</v>
      </c>
      <c r="E101" s="55" cm="1">
        <f t="array" aca="1" ref="E101:G101" ca="1">OFFSET(X_Table_Feedlot_MMS_Stage1, 1,1,1,3)</f>
        <v>1</v>
      </c>
      <c r="F101" s="55">
        <f ca="1"/>
        <v>1</v>
      </c>
      <c r="G101" s="55">
        <f ca="1"/>
        <v>1</v>
      </c>
      <c r="H101" s="2" t="s">
        <v>324</v>
      </c>
      <c r="I101" s="2"/>
      <c r="J101" s="2"/>
      <c r="K101" s="2"/>
    </row>
    <row r="102" spans="3:20" ht="20.100000000000001" customHeight="1" x14ac:dyDescent="0.25"/>
    <row r="103" spans="3:20" ht="20.100000000000001" customHeight="1" x14ac:dyDescent="0.25">
      <c r="D103" s="104" t="s">
        <v>164</v>
      </c>
      <c r="O103" s="104" t="s">
        <v>165</v>
      </c>
    </row>
    <row r="104" spans="3:20" ht="20.100000000000001" customHeight="1" x14ac:dyDescent="0.25">
      <c r="D104" s="103" t="s">
        <v>187</v>
      </c>
      <c r="O104" s="103" t="s">
        <v>188</v>
      </c>
    </row>
    <row r="105" spans="3:20" ht="20.100000000000001" customHeight="1" x14ac:dyDescent="0.25">
      <c r="D105" s="54" t="s">
        <v>105</v>
      </c>
      <c r="E105" s="54" t="s">
        <v>137</v>
      </c>
      <c r="F105" s="54" t="s">
        <v>138</v>
      </c>
      <c r="G105" s="54" t="s">
        <v>139</v>
      </c>
      <c r="O105" s="54" t="s">
        <v>105</v>
      </c>
      <c r="P105" s="54" t="s">
        <v>137</v>
      </c>
      <c r="Q105" s="54" t="s">
        <v>138</v>
      </c>
      <c r="R105" s="54" t="s">
        <v>139</v>
      </c>
    </row>
    <row r="106" spans="3:20" ht="20.100000000000001" customHeight="1" x14ac:dyDescent="0.25">
      <c r="D106" s="55" t="str">
        <f>INDEX(X_Table_Feedlot_MMS_Stage1,2,1)</f>
        <v>Drylot (feed pad)</v>
      </c>
      <c r="E106" s="55" cm="1">
        <f t="array" aca="1" ref="E106" ca="1">MMS_Feedlot_N2ODirect_Equations.VEERG_4_1_1_3__2_Stage1NitrogenInMMSDrylot(D83,E101)</f>
        <v>16689.254400000005</v>
      </c>
      <c r="F106" s="55" cm="1">
        <f t="array" aca="1" ref="F106" ca="1">MMS_Feedlot_N2ODirect_Equations.VEERG_4_1_1_3__2_Stage1NitrogenInMMSDrylot(E83,F101)</f>
        <v>25343.539200000003</v>
      </c>
      <c r="G106" s="55" cm="1">
        <f t="array" aca="1" ref="G106" ca="1">MMS_Feedlot_N2ODirect_Equations.VEERG_4_1_1_3__2_Stage1NitrogenInMMSDrylot(F83,G101)</f>
        <v>36604.799999999988</v>
      </c>
      <c r="H106" s="2" t="str">
        <f>$E$93</f>
        <v>kg N</v>
      </c>
      <c r="I106" s="2"/>
      <c r="J106" s="2"/>
      <c r="K106" s="2"/>
      <c r="O106" s="55" t="str">
        <f>INDEX(X_Table_Feedlot_MMS_Stage1,2,1)</f>
        <v>Drylot (feed pad)</v>
      </c>
      <c r="P106" s="55" cm="1">
        <f t="array" aca="1" ref="P106" ca="1">MMS_Feedlot_N2ODirect_Equations.VEERG_4_1_1_3__2_Stage1NitrogenInMMSDrylot(O83,E101)</f>
        <v>16689.254400000005</v>
      </c>
      <c r="Q106" s="55" cm="1">
        <f t="array" aca="1" ref="Q106" ca="1">MMS_Feedlot_N2ODirect_Equations.VEERG_4_1_1_3__2_Stage1NitrogenInMMSDrylot(P83,F101)</f>
        <v>25343.539200000003</v>
      </c>
      <c r="R106" s="55" cm="1">
        <f t="array" aca="1" ref="R106" ca="1">MMS_Feedlot_N2ODirect_Equations.VEERG_4_1_1_3__2_Stage1NitrogenInMMSDrylot(Q83,G101)</f>
        <v>36604.799999999988</v>
      </c>
      <c r="S106" s="2" t="str">
        <f>$E$93</f>
        <v>kg N</v>
      </c>
    </row>
    <row r="107" spans="3:20" ht="20.100000000000001" customHeight="1" x14ac:dyDescent="0.25"/>
    <row r="108" spans="3:20" ht="20.100000000000001" customHeight="1" x14ac:dyDescent="0.25"/>
    <row r="109" spans="3:20" ht="20.100000000000001" customHeight="1" x14ac:dyDescent="0.25">
      <c r="C109" s="48"/>
      <c r="D109" s="48"/>
      <c r="E109" s="48"/>
      <c r="F109" s="48"/>
      <c r="G109" s="48"/>
      <c r="H109" s="48"/>
      <c r="I109" s="48"/>
      <c r="J109" s="48"/>
      <c r="K109" s="48"/>
      <c r="L109" s="48"/>
      <c r="N109" s="48"/>
      <c r="O109" s="48"/>
      <c r="P109" s="48"/>
      <c r="Q109" s="48"/>
      <c r="R109" s="48"/>
      <c r="S109" s="48"/>
      <c r="T109" s="48"/>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26</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6" t="s">
        <v>29</v>
      </c>
      <c r="E115" s="1" t="str" cm="1">
        <f t="array" ref="E115">MMS_Feedlot_N2ODirect_Equations.VEERG_4_1_1_3__8_Stage3NitrogenInMMSAnaerobicLagoon_Variable()</f>
        <v>MN_jm1T3</v>
      </c>
    </row>
    <row r="116" spans="4:18" ht="20.100000000000001" customHeight="1" x14ac:dyDescent="0.25">
      <c r="D116" s="56" t="s">
        <v>19</v>
      </c>
      <c r="E116" s="57" t="str" cm="1">
        <f t="array" ref="E116">MMS_Feedlot_N2ODirect_Equations.VEERG_4_1_1_3__8_Stage3NitrogenInMMSAnaerobicLagoon_Unit()</f>
        <v>kg N</v>
      </c>
    </row>
    <row r="117" spans="4:18" ht="20.100000000000001" customHeight="1" x14ac:dyDescent="0.25"/>
    <row r="118" spans="4:18" ht="20.100000000000001" customHeight="1" x14ac:dyDescent="0.25">
      <c r="D118" s="138" t="str" cm="1">
        <f t="array" ref="D118:E119">_xlfn.CHOOSECOLS(MMS_Feedlot_N2ODirect_Equations.VEERG_4_1_1_3__8_Stage3NitrogenInMMSAnaerobicLagoon_Arguments(),1,2)</f>
        <v>AE_j</v>
      </c>
      <c r="E118" s="141" t="str">
        <v>total nitrogen excreted by each cattle group</v>
      </c>
      <c r="F118" s="140"/>
      <c r="G118" s="138" t="str" cm="1">
        <f t="array" ref="G118:H119">_xlfn.CHOOSECOLS(MMS_Feedlot_N2ODirect_Equations.VEERG_4_1_1_3__8_Stage3NitrogenInMMSAnaerobicLagoon_Arguments(),3,4)</f>
        <v>kg N</v>
      </c>
      <c r="H118" s="130" t="str">
        <v>Calculated from 4.1.1.3 (3)</v>
      </c>
      <c r="I118" s="139" t="str" cm="1">
        <f t="array" aca="1" ref="I118" ca="1">HYPERLINK(Common_InputFunctions.Utility_SourceHyperlink($D$80),$D$80)</f>
        <v>M1_Table_AE_j</v>
      </c>
    </row>
    <row r="119" spans="4:18" ht="20.100000000000001" customHeight="1" x14ac:dyDescent="0.25">
      <c r="D119" s="138" t="str">
        <v>MMS_jm1T3</v>
      </c>
      <c r="E119" s="141" t="str">
        <v>fraction of manure to tertiary anaerobic lagoon system</v>
      </c>
      <c r="F119" s="140"/>
      <c r="G119" s="138" t="str">
        <v>fraction</v>
      </c>
      <c r="H119" s="129" t="str">
        <v>Input</v>
      </c>
      <c r="I119" s="139" t="str" cm="1">
        <f t="array" aca="1" ref="I119" ca="1">HYPERLINK(Common_InputFunctions.Utility_SourceHyperlink($D$121),$D$121)</f>
        <v>Table_MMS_j_m-1_T-3</v>
      </c>
    </row>
    <row r="120" spans="4:18" ht="20.100000000000001" customHeight="1" x14ac:dyDescent="0.25"/>
    <row r="121" spans="4:18" ht="20.100000000000001" customHeight="1" x14ac:dyDescent="0.25">
      <c r="D121" s="104" t="s">
        <v>168</v>
      </c>
    </row>
    <row r="122" spans="4:18" ht="20.100000000000001" customHeight="1" x14ac:dyDescent="0.25">
      <c r="D122" s="103" t="s">
        <v>167</v>
      </c>
    </row>
    <row r="123" spans="4:18" ht="20.100000000000001" customHeight="1" x14ac:dyDescent="0.25">
      <c r="D123" s="41" t="s">
        <v>116</v>
      </c>
      <c r="E123" s="41" t="s">
        <v>137</v>
      </c>
      <c r="F123" s="41" t="s">
        <v>138</v>
      </c>
      <c r="G123" s="41" t="s">
        <v>139</v>
      </c>
    </row>
    <row r="124" spans="4:18" ht="20.100000000000001" customHeight="1" x14ac:dyDescent="0.25">
      <c r="D124" s="55" t="str" cm="1">
        <f t="array" aca="1" ref="D124:G124" ca="1">OFFSET(X_Table_Feedlot_MMS_Stage3,2,0,1,4)</f>
        <v>Anaerobic lagoon</v>
      </c>
      <c r="E124" s="55">
        <f ca="1"/>
        <v>0.02</v>
      </c>
      <c r="F124" s="55">
        <f ca="1"/>
        <v>0.02</v>
      </c>
      <c r="G124" s="55">
        <f ca="1"/>
        <v>0.02</v>
      </c>
      <c r="H124" s="2" t="s">
        <v>324</v>
      </c>
      <c r="I124" s="2"/>
      <c r="J124" s="2"/>
      <c r="K124" s="2"/>
    </row>
    <row r="125" spans="4:18" ht="20.100000000000001" customHeight="1" x14ac:dyDescent="0.25"/>
    <row r="126" spans="4:18" ht="20.100000000000001" customHeight="1" x14ac:dyDescent="0.25">
      <c r="D126" s="104" t="s">
        <v>173</v>
      </c>
      <c r="O126" s="104" t="s">
        <v>174</v>
      </c>
    </row>
    <row r="127" spans="4:18" ht="20.100000000000001" customHeight="1" x14ac:dyDescent="0.25">
      <c r="D127" s="103" t="s">
        <v>185</v>
      </c>
      <c r="O127" s="103" t="s">
        <v>186</v>
      </c>
    </row>
    <row r="128" spans="4:18" ht="20.100000000000001" customHeight="1" x14ac:dyDescent="0.25">
      <c r="D128" s="54" t="s">
        <v>116</v>
      </c>
      <c r="E128" s="54" t="s">
        <v>137</v>
      </c>
      <c r="F128" s="54" t="s">
        <v>138</v>
      </c>
      <c r="G128" s="54" t="s">
        <v>139</v>
      </c>
      <c r="O128" s="54" t="s">
        <v>116</v>
      </c>
      <c r="P128" s="54" t="s">
        <v>137</v>
      </c>
      <c r="Q128" s="54" t="s">
        <v>138</v>
      </c>
      <c r="R128" s="54" t="s">
        <v>139</v>
      </c>
    </row>
    <row r="129" spans="3:20" ht="20.100000000000001" customHeight="1" x14ac:dyDescent="0.25">
      <c r="D129" s="55" t="str">
        <f>INDEX(X_Table_Feedlot_MMS_Stage3,3,1)</f>
        <v>Anaerobic lagoon</v>
      </c>
      <c r="E129" s="55" cm="1">
        <f t="array" aca="1" ref="E129" ca="1">MMS_Feedlot_N2ODirect_Equations.VEERG_4_1_1_3__8_Stage3NitrogenInMMSAnaerobicLagoon(D83,E124)</f>
        <v>333.78508800000009</v>
      </c>
      <c r="F129" s="55" cm="1">
        <f t="array" aca="1" ref="F129" ca="1">MMS_Feedlot_N2ODirect_Equations.VEERG_4_1_1_3__8_Stage3NitrogenInMMSAnaerobicLagoon(E83,F124)</f>
        <v>506.87078400000007</v>
      </c>
      <c r="G129" s="55" cm="1">
        <f t="array" aca="1" ref="G129" ca="1">MMS_Feedlot_N2ODirect_Equations.VEERG_4_1_1_3__8_Stage3NitrogenInMMSAnaerobicLagoon(F83,G124)</f>
        <v>732.09599999999978</v>
      </c>
      <c r="H129" s="2" t="str">
        <f>$E$116</f>
        <v>kg N</v>
      </c>
      <c r="I129" s="2"/>
      <c r="J129" s="2"/>
      <c r="K129" s="2"/>
      <c r="O129" s="55" t="str">
        <f>INDEX(X_Table_Feedlot_MMS_Stage3,3,1)</f>
        <v>Anaerobic lagoon</v>
      </c>
      <c r="P129" s="55" cm="1">
        <f t="array" aca="1" ref="P129" ca="1">MMS_Feedlot_N2ODirect_Equations.VEERG_4_1_1_3__8_Stage3NitrogenInMMSAnaerobicLagoon(O83,E124)</f>
        <v>333.78508800000009</v>
      </c>
      <c r="Q129" s="55" cm="1">
        <f t="array" aca="1" ref="Q129" ca="1">MMS_Feedlot_N2ODirect_Equations.VEERG_4_1_1_3__8_Stage3NitrogenInMMSAnaerobicLagoon(P83,F124)</f>
        <v>506.87078400000007</v>
      </c>
      <c r="R129" s="55" cm="1">
        <f t="array" aca="1" ref="R129" ca="1">MMS_Feedlot_N2ODirect_Equations.VEERG_4_1_1_3__8_Stage3NitrogenInMMSAnaerobicLagoon(Q83,G124)</f>
        <v>732.09599999999978</v>
      </c>
      <c r="S129" s="2" t="str">
        <f>$E$116</f>
        <v>kg N</v>
      </c>
    </row>
    <row r="130" spans="3:20" ht="20.100000000000001" customHeight="1" x14ac:dyDescent="0.25"/>
    <row r="131" spans="3:20" ht="20.100000000000001" customHeight="1" x14ac:dyDescent="0.25"/>
    <row r="132" spans="3:20" ht="20.100000000000001" customHeight="1" x14ac:dyDescent="0.25">
      <c r="C132" s="48"/>
      <c r="D132" s="48"/>
      <c r="E132" s="48"/>
      <c r="F132" s="48"/>
      <c r="G132" s="48"/>
      <c r="H132" s="48"/>
      <c r="I132" s="48"/>
      <c r="J132" s="48"/>
      <c r="K132" s="48"/>
      <c r="L132" s="48"/>
      <c r="N132" s="48"/>
      <c r="O132" s="48"/>
      <c r="P132" s="48"/>
      <c r="Q132" s="48"/>
      <c r="R132" s="48"/>
      <c r="S132" s="48"/>
      <c r="T132" s="48"/>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26</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6" t="s">
        <v>29</v>
      </c>
      <c r="E138" s="1" t="str" cm="1">
        <f t="array" ref="E138">MMS_Feedlot_N2ODirect_Equations.VEERG_4_1_1_3__7_NitrogenTransferredToStage2_Variable()</f>
        <v>NT_jmT2</v>
      </c>
    </row>
    <row r="139" spans="3:20" ht="20.100000000000001" customHeight="1" x14ac:dyDescent="0.25">
      <c r="D139" s="56" t="s">
        <v>19</v>
      </c>
      <c r="E139" s="57" t="str" cm="1">
        <f t="array" ref="E139">MMS_Feedlot_N2ODirect_Equations.VEERG_4_1_1_3__7_NitrogenTransferredToStage2_Unit()</f>
        <v>kg N</v>
      </c>
    </row>
    <row r="140" spans="3:20" ht="20.100000000000001" customHeight="1" x14ac:dyDescent="0.25"/>
    <row r="141" spans="3:20" ht="20.100000000000001" customHeight="1" x14ac:dyDescent="0.25">
      <c r="D141" s="138" t="str" cm="1">
        <f t="array" ref="D141:E144">_xlfn.CHOOSECOLS(MMS_Feedlot_N2ODirect_Equations.VEERG_4_1_1_3__7_NitrogenTransferredToStage2_Arguments(),1,2)</f>
        <v>MN_jm5T1</v>
      </c>
      <c r="E141" s="141" t="str">
        <v>nitrogen in MMS treatment stage 1</v>
      </c>
      <c r="F141" s="140"/>
      <c r="G141" s="138" t="str" cm="1">
        <f t="array" ref="G141:H144">_xlfn.CHOOSECOLS(MMS_Feedlot_N2ODirect_Equations.VEERG_4_1_1_3__7_NitrogenTransferredToStage2_Arguments(),3,4)</f>
        <v>kg N</v>
      </c>
      <c r="H141" s="130" t="str">
        <v>Calculated from 4.1.1.3 (2)</v>
      </c>
      <c r="I141" s="139" t="str" cm="1">
        <f t="array" aca="1" ref="I141" ca="1">HYPERLINK(Common_InputFunctions.Utility_SourceHyperlink($D$103),$D$103)</f>
        <v>M1_Table_MN_j_m-5_T-1</v>
      </c>
    </row>
    <row r="142" spans="3:20" ht="20.100000000000001" customHeight="1" x14ac:dyDescent="0.25">
      <c r="D142" s="138" t="str">
        <v>FracGASM_m5</v>
      </c>
      <c r="E142" s="141" t="str">
        <v>fraction of N volatilised from drylot MMS</v>
      </c>
      <c r="F142" s="140"/>
      <c r="G142" s="138" t="str">
        <v>fraction</v>
      </c>
      <c r="H142" s="130" t="str">
        <v>Constant</v>
      </c>
      <c r="I142" s="138">
        <f>'Constants - Feedlot'!$F$113</f>
        <v>0.6</v>
      </c>
    </row>
    <row r="143" spans="3:20" ht="20.100000000000001" customHeight="1" x14ac:dyDescent="0.25">
      <c r="D143" s="138" t="str">
        <v>EF_m5</v>
      </c>
      <c r="E143" s="141" t="str">
        <v>nitrous oxide emission factor for drylot MMS</v>
      </c>
      <c r="F143" s="140"/>
      <c r="G143" s="138" t="str">
        <v>kg N2O-N/kg N deposited</v>
      </c>
      <c r="H143" s="130" t="str">
        <v>Constant</v>
      </c>
      <c r="I143" s="138">
        <f>'Constants - Feedlot'!$F$101</f>
        <v>5.4000000000000003E-3</v>
      </c>
    </row>
    <row r="144" spans="3:20" ht="20.100000000000001" customHeight="1" x14ac:dyDescent="0.25">
      <c r="D144" s="138" t="str">
        <v>MN_jmT3</v>
      </c>
      <c r="E144" s="141" t="str">
        <v>nitrogen in MMS treatment stage 3</v>
      </c>
      <c r="F144" s="140"/>
      <c r="G144" s="138" t="str">
        <v>kg N</v>
      </c>
      <c r="H144" s="130" t="str">
        <v>Calculated from 4.1.1.3 (8)</v>
      </c>
      <c r="I144" s="139" t="str" cm="1">
        <f t="array" aca="1" ref="I144" ca="1">HYPERLINK(Common_InputFunctions.Utility_SourceHyperlink($D$126),$D$126)</f>
        <v>M1_Table_MN_j_m-1_T-3</v>
      </c>
    </row>
    <row r="145" spans="3:20" ht="20.100000000000001" customHeight="1" x14ac:dyDescent="0.25"/>
    <row r="146" spans="3:20" ht="20.100000000000001" customHeight="1" x14ac:dyDescent="0.25">
      <c r="D146" s="104" t="s">
        <v>175</v>
      </c>
      <c r="O146" s="104" t="s">
        <v>176</v>
      </c>
    </row>
    <row r="147" spans="3:20" ht="20.100000000000001" customHeight="1" x14ac:dyDescent="0.25">
      <c r="D147" s="103" t="s">
        <v>183</v>
      </c>
      <c r="O147" s="103" t="s">
        <v>184</v>
      </c>
    </row>
    <row r="148" spans="3:20" ht="20.100000000000001" customHeight="1" x14ac:dyDescent="0.25">
      <c r="D148" s="54" t="s">
        <v>137</v>
      </c>
      <c r="E148" s="54" t="s">
        <v>138</v>
      </c>
      <c r="F148" s="54" t="s">
        <v>139</v>
      </c>
      <c r="O148" s="54" t="s">
        <v>137</v>
      </c>
      <c r="P148" s="54" t="s">
        <v>138</v>
      </c>
      <c r="Q148" s="54" t="s">
        <v>139</v>
      </c>
    </row>
    <row r="149" spans="3:20" ht="20.100000000000001" customHeight="1" x14ac:dyDescent="0.25">
      <c r="D149" s="55" cm="1">
        <f t="array" aca="1" ref="D149" ca="1">MMS_Feedlot_N2ODirect_Equations.VEERG_4_1_1_3__7_NitrogenTransferredToStage2(E106,$I$142,$I$143,E129)</f>
        <v>6251.7946982400026</v>
      </c>
      <c r="E149" s="55" cm="1">
        <f t="array" aca="1" ref="E149" ca="1">MMS_Feedlot_N2ODirect_Equations.VEERG_4_1_1_3__7_NitrogenTransferredToStage2(F106,$I$142,$I$143,F129)</f>
        <v>9493.6897843200004</v>
      </c>
      <c r="F149" s="55" cm="1">
        <f t="array" aca="1" ref="F149" ca="1">MMS_Feedlot_N2ODirect_Equations.VEERG_4_1_1_3__7_NitrogenTransferredToStage2(G106,$I$142,$I$143,G129)</f>
        <v>13712.158079999996</v>
      </c>
      <c r="G149" s="2" t="str">
        <f>$E$116</f>
        <v>kg N</v>
      </c>
      <c r="O149" s="55" cm="1">
        <f t="array" aca="1" ref="O149" ca="1">MMS_Feedlot_N2ODirect_Equations.VEERG_4_1_1_3__7_NitrogenTransferredToStage2(P106,$I$142,$I$143,P129)</f>
        <v>6251.7946982400026</v>
      </c>
      <c r="P149" s="55" cm="1">
        <f t="array" aca="1" ref="P149" ca="1">MMS_Feedlot_N2ODirect_Equations.VEERG_4_1_1_3__7_NitrogenTransferredToStage2(Q106,$I$142,$I$143,Q129)</f>
        <v>9493.6897843200004</v>
      </c>
      <c r="Q149" s="55" cm="1">
        <f t="array" aca="1" ref="Q149" ca="1">MMS_Feedlot_N2ODirect_Equations.VEERG_4_1_1_3__7_NitrogenTransferredToStage2(R106,$I$142,$I$143,R129)</f>
        <v>13712.158079999996</v>
      </c>
      <c r="R149" s="2" t="str">
        <f>$E$116</f>
        <v>kg N</v>
      </c>
    </row>
    <row r="150" spans="3:20" ht="20.100000000000001" customHeight="1" x14ac:dyDescent="0.25"/>
    <row r="151" spans="3:20" ht="20.100000000000001" customHeight="1" x14ac:dyDescent="0.25"/>
    <row r="152" spans="3:20" ht="20.100000000000001" customHeight="1" x14ac:dyDescent="0.25">
      <c r="C152" s="48"/>
      <c r="D152" s="48"/>
      <c r="E152" s="48"/>
      <c r="F152" s="48"/>
      <c r="G152" s="48"/>
      <c r="H152" s="48"/>
      <c r="I152" s="48"/>
      <c r="J152" s="48"/>
      <c r="K152" s="48"/>
      <c r="L152" s="48"/>
      <c r="N152" s="48"/>
      <c r="O152" s="48"/>
      <c r="P152" s="48"/>
      <c r="Q152" s="48"/>
      <c r="R152" s="48"/>
      <c r="S152" s="48"/>
      <c r="T152" s="48"/>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26</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6" t="s">
        <v>29</v>
      </c>
      <c r="E158" s="1" t="str" cm="1">
        <f t="array" ref="E158">MMS_Feedlot_N2ODirect_Equations.VEERG_4_1_1_3__6_Stage2NitrogenInMMS_Variable()</f>
        <v>MN_jmT2</v>
      </c>
    </row>
    <row r="159" spans="3:20" ht="20.100000000000001" customHeight="1" x14ac:dyDescent="0.25">
      <c r="D159" s="56" t="s">
        <v>19</v>
      </c>
      <c r="E159" s="57" t="str" cm="1">
        <f t="array" ref="E159">MMS_Feedlot_N2ODirect_Equations.VEERG_4_1_1_3__6_Stage2NitrogenInMMS_Unit()</f>
        <v>kg N</v>
      </c>
    </row>
    <row r="160" spans="3:20" ht="20.100000000000001" customHeight="1" x14ac:dyDescent="0.25"/>
    <row r="161" spans="4:19" ht="20.100000000000001" customHeight="1" x14ac:dyDescent="0.25">
      <c r="D161" s="138" t="str" cm="1">
        <f t="array" ref="D161:E162">_xlfn.CHOOSECOLS(MMS_Feedlot_N2ODirect_Equations.VEERG_4_1_1_3__6_Stage2NitrogenInMMS_Arguments(),1,2)</f>
        <v>NT_jmT2</v>
      </c>
      <c r="E161" s="141" t="str">
        <v>nitrogen transferred to secondary treatment MMS</v>
      </c>
      <c r="F161" s="140"/>
      <c r="G161" s="138" t="str" cm="1">
        <f t="array" ref="G161:H162">_xlfn.CHOOSECOLS(MMS_Feedlot_N2ODirect_Equations.VEERG_4_1_1_3__6_Stage2NitrogenInMMS_Arguments(),3,4)</f>
        <v>kg N</v>
      </c>
      <c r="H161" s="130" t="str">
        <v>Calculated from 4.1.1.3 (7)</v>
      </c>
      <c r="I161" s="139" t="str" cm="1">
        <f t="array" aca="1" ref="I161" ca="1">HYPERLINK(Common_InputFunctions.Utility_SourceHyperlink($D$146),$D$146)</f>
        <v>M1_Table_NT_j_m-_T-2</v>
      </c>
    </row>
    <row r="162" spans="4:19" ht="20.100000000000001" customHeight="1" x14ac:dyDescent="0.25">
      <c r="D162" s="138" t="str">
        <v>MMS_jmT2</v>
      </c>
      <c r="E162" s="141" t="str">
        <v>fraction of manure in each secondary system</v>
      </c>
      <c r="F162" s="140"/>
      <c r="G162" s="138" t="str">
        <v>fraction</v>
      </c>
      <c r="H162" s="129" t="str">
        <v>Input</v>
      </c>
      <c r="I162" s="139"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4" t="s">
        <v>166</v>
      </c>
      <c r="L164" s="2"/>
    </row>
    <row r="165" spans="4:19" ht="20.100000000000001" customHeight="1" x14ac:dyDescent="0.25">
      <c r="D165" s="103" t="s">
        <v>113</v>
      </c>
    </row>
    <row r="166" spans="4:19" ht="20.100000000000001" customHeight="1" x14ac:dyDescent="0.25">
      <c r="D166" s="41" t="s">
        <v>101</v>
      </c>
      <c r="E166" s="41" t="s">
        <v>137</v>
      </c>
      <c r="F166" s="41" t="s">
        <v>138</v>
      </c>
      <c r="G166" s="41" t="s">
        <v>139</v>
      </c>
    </row>
    <row r="167" spans="4:19" ht="20.100000000000001" customHeight="1" x14ac:dyDescent="0.25">
      <c r="D167" s="55" t="str" cm="1">
        <f t="array" aca="1" ref="D167:G169" ca="1">OFFSET(X_Table_Feedlot_MMS_Stage2,2, 0, 3, 4)</f>
        <v>Solid storage</v>
      </c>
      <c r="E167" s="55">
        <f ca="1"/>
        <v>0.2</v>
      </c>
      <c r="F167" s="55">
        <f ca="1"/>
        <v>0.2</v>
      </c>
      <c r="G167" s="55">
        <f ca="1"/>
        <v>0.2</v>
      </c>
      <c r="H167" s="2" t="s">
        <v>324</v>
      </c>
      <c r="I167" s="2"/>
      <c r="J167" s="2"/>
      <c r="K167" s="2"/>
    </row>
    <row r="168" spans="4:19" ht="20.100000000000001" customHeight="1" x14ac:dyDescent="0.25">
      <c r="D168" s="55" t="str">
        <f ca="1"/>
        <v>Composting (passive windrow)</v>
      </c>
      <c r="E168" s="55">
        <f ca="1"/>
        <v>0.2</v>
      </c>
      <c r="F168" s="55">
        <f ca="1"/>
        <v>0.2</v>
      </c>
      <c r="G168" s="55">
        <f ca="1"/>
        <v>0.2</v>
      </c>
      <c r="H168" s="2" t="s">
        <v>324</v>
      </c>
      <c r="I168" s="2"/>
      <c r="J168" s="2"/>
      <c r="K168" s="2"/>
    </row>
    <row r="169" spans="4:19" ht="20.100000000000001" customHeight="1" x14ac:dyDescent="0.25">
      <c r="D169" s="55" t="str">
        <f ca="1"/>
        <v>Direct application</v>
      </c>
      <c r="E169" s="55">
        <f ca="1"/>
        <v>0.6</v>
      </c>
      <c r="F169" s="55">
        <f ca="1"/>
        <v>0.6</v>
      </c>
      <c r="G169" s="55">
        <f ca="1"/>
        <v>0.6</v>
      </c>
    </row>
    <row r="170" spans="4:19" ht="20.100000000000001" customHeight="1" x14ac:dyDescent="0.25"/>
    <row r="171" spans="4:19" ht="20.100000000000001" customHeight="1" x14ac:dyDescent="0.25">
      <c r="D171" s="104" t="s">
        <v>177</v>
      </c>
      <c r="O171" s="104" t="s">
        <v>177</v>
      </c>
    </row>
    <row r="172" spans="4:19" ht="20.100000000000001" customHeight="1" x14ac:dyDescent="0.25">
      <c r="D172" s="103" t="s">
        <v>181</v>
      </c>
      <c r="O172" s="103" t="s">
        <v>182</v>
      </c>
    </row>
    <row r="173" spans="4:19" ht="20.100000000000001" customHeight="1" x14ac:dyDescent="0.25">
      <c r="D173" s="54" t="s">
        <v>101</v>
      </c>
      <c r="E173" s="54" t="s">
        <v>137</v>
      </c>
      <c r="F173" s="54" t="s">
        <v>138</v>
      </c>
      <c r="G173" s="54" t="s">
        <v>139</v>
      </c>
      <c r="O173" s="54" t="s">
        <v>101</v>
      </c>
      <c r="P173" s="54" t="s">
        <v>137</v>
      </c>
      <c r="Q173" s="54" t="s">
        <v>138</v>
      </c>
      <c r="R173" s="54" t="s">
        <v>139</v>
      </c>
    </row>
    <row r="174" spans="4:19" ht="20.100000000000001" customHeight="1" x14ac:dyDescent="0.25">
      <c r="D174" s="55" t="str">
        <f>INDEX(X_Table_Feedlot_MMS_Stage2,3,1)</f>
        <v>Solid storage</v>
      </c>
      <c r="E174" s="55" cm="1">
        <f t="array" aca="1" ref="E174" ca="1">MMS_Feedlot_N2ODirect_Equations.VEERG_4_1_1_3__6_Stage2NitrogenInMMS(D$149,E167)</f>
        <v>1250.3589396480006</v>
      </c>
      <c r="F174" s="55" cm="1">
        <f t="array" aca="1" ref="F174" ca="1">MMS_Feedlot_N2ODirect_Equations.VEERG_4_1_1_3__6_Stage2NitrogenInMMS(E$149,F167)</f>
        <v>1898.7379568640001</v>
      </c>
      <c r="G174" s="55" cm="1">
        <f t="array" aca="1" ref="G174" ca="1">MMS_Feedlot_N2ODirect_Equations.VEERG_4_1_1_3__6_Stage2NitrogenInMMS(F$149,G167)</f>
        <v>2742.4316159999994</v>
      </c>
      <c r="H174" s="2" t="str">
        <f>$E$159</f>
        <v>kg N</v>
      </c>
      <c r="I174" s="2"/>
      <c r="J174" s="2"/>
      <c r="K174" s="2"/>
      <c r="O174" s="55" t="str">
        <f>INDEX(X_Table_Feedlot_MMS_Stage2,3,1)</f>
        <v>Solid storage</v>
      </c>
      <c r="P174" s="55" cm="1">
        <f t="array" aca="1" ref="P174" ca="1">MMS_Feedlot_N2ODirect_Equations.VEERG_4_1_1_3__6_Stage2NitrogenInMMS(O$149,E167)</f>
        <v>1250.3589396480006</v>
      </c>
      <c r="Q174" s="55" cm="1">
        <f t="array" aca="1" ref="Q174" ca="1">MMS_Feedlot_N2ODirect_Equations.VEERG_4_1_1_3__6_Stage2NitrogenInMMS(P$149,F167)</f>
        <v>1898.7379568640001</v>
      </c>
      <c r="R174" s="55" cm="1">
        <f t="array" aca="1" ref="R174" ca="1">MMS_Feedlot_N2ODirect_Equations.VEERG_4_1_1_3__6_Stage2NitrogenInMMS(Q$149,G167)</f>
        <v>2742.4316159999994</v>
      </c>
      <c r="S174" s="2" t="str">
        <f>$E$159</f>
        <v>kg N</v>
      </c>
    </row>
    <row r="175" spans="4:19" ht="20.100000000000001" customHeight="1" x14ac:dyDescent="0.25">
      <c r="D175" s="55" t="str">
        <f>INDEX(X_Table_Feedlot_MMS_Stage2,4,1)</f>
        <v>Composting (passive windrow)</v>
      </c>
      <c r="E175" s="55" cm="1">
        <f t="array" aca="1" ref="E175" ca="1">MMS_Feedlot_N2ODirect_Equations.VEERG_4_1_1_3__6_Stage2NitrogenInMMS(D$149,E168)</f>
        <v>1250.3589396480006</v>
      </c>
      <c r="F175" s="55" cm="1">
        <f t="array" aca="1" ref="F175" ca="1">MMS_Feedlot_N2ODirect_Equations.VEERG_4_1_1_3__6_Stage2NitrogenInMMS(E$149,F168)</f>
        <v>1898.7379568640001</v>
      </c>
      <c r="G175" s="55" cm="1">
        <f t="array" aca="1" ref="G175" ca="1">MMS_Feedlot_N2ODirect_Equations.VEERG_4_1_1_3__6_Stage2NitrogenInMMS(F$149,G168)</f>
        <v>2742.4316159999994</v>
      </c>
      <c r="H175" s="2" t="str">
        <f>$E$159</f>
        <v>kg N</v>
      </c>
      <c r="I175" s="2"/>
      <c r="J175" s="2"/>
      <c r="K175" s="2"/>
      <c r="O175" s="55" t="str">
        <f>INDEX(X_Table_Feedlot_MMS_Stage2,4,1)</f>
        <v>Composting (passive windrow)</v>
      </c>
      <c r="P175" s="55" cm="1">
        <f t="array" aca="1" ref="P175" ca="1">MMS_Feedlot_N2ODirect_Equations.VEERG_4_1_1_3__6_Stage2NitrogenInMMS(O$149,E168)</f>
        <v>1250.3589396480006</v>
      </c>
      <c r="Q175" s="55" cm="1">
        <f t="array" aca="1" ref="Q175" ca="1">MMS_Feedlot_N2ODirect_Equations.VEERG_4_1_1_3__6_Stage2NitrogenInMMS(P$149,F168)</f>
        <v>1898.7379568640001</v>
      </c>
      <c r="R175" s="55" cm="1">
        <f t="array" aca="1" ref="R175" ca="1">MMS_Feedlot_N2ODirect_Equations.VEERG_4_1_1_3__6_Stage2NitrogenInMMS(Q$149,G168)</f>
        <v>2742.4316159999994</v>
      </c>
      <c r="S175" s="2" t="str">
        <f>$E$159</f>
        <v>kg N</v>
      </c>
    </row>
    <row r="176" spans="4:19" ht="20.100000000000001" customHeight="1" x14ac:dyDescent="0.25">
      <c r="D176" s="55" t="str">
        <f>INDEX(X_Table_Feedlot_MMS_Stage2,5,1)</f>
        <v>Direct application</v>
      </c>
      <c r="E176" s="55" cm="1">
        <f t="array" aca="1" ref="E176" ca="1">MMS_Feedlot_N2ODirect_Equations.VEERG_4_1_1_3__6_Stage2NitrogenInMMS(D$149,E169)</f>
        <v>3751.0768189440014</v>
      </c>
      <c r="F176" s="55" cm="1">
        <f t="array" aca="1" ref="F176" ca="1">MMS_Feedlot_N2ODirect_Equations.VEERG_4_1_1_3__6_Stage2NitrogenInMMS(E$149,F169)</f>
        <v>5696.2138705919997</v>
      </c>
      <c r="G176" s="55" cm="1">
        <f t="array" aca="1" ref="G176" ca="1">MMS_Feedlot_N2ODirect_Equations.VEERG_4_1_1_3__6_Stage2NitrogenInMMS(F$149,G169)</f>
        <v>8227.2948479999977</v>
      </c>
      <c r="H176" s="2" t="str">
        <f>$E$159</f>
        <v>kg N</v>
      </c>
      <c r="I176" s="2"/>
      <c r="J176" s="2"/>
      <c r="K176" s="2"/>
      <c r="O176" s="55" t="str">
        <f>INDEX(X_Table_Feedlot_MMS_Stage2,5,1)</f>
        <v>Direct application</v>
      </c>
      <c r="P176" s="55" cm="1">
        <f t="array" aca="1" ref="P176" ca="1">MMS_Feedlot_N2ODirect_Equations.VEERG_4_1_1_3__6_Stage2NitrogenInMMS(O$149,E169)</f>
        <v>3751.0768189440014</v>
      </c>
      <c r="Q176" s="55" cm="1">
        <f t="array" aca="1" ref="Q176" ca="1">MMS_Feedlot_N2ODirect_Equations.VEERG_4_1_1_3__6_Stage2NitrogenInMMS(P$149,F169)</f>
        <v>5696.2138705919997</v>
      </c>
      <c r="R176" s="55" cm="1">
        <f t="array" aca="1" ref="R176" ca="1">MMS_Feedlot_N2ODirect_Equations.VEERG_4_1_1_3__6_Stage2NitrogenInMMS(Q$149,G169)</f>
        <v>8227.2948479999977</v>
      </c>
      <c r="S176" s="2" t="str">
        <f>$E$159</f>
        <v>kg N</v>
      </c>
    </row>
    <row r="177" spans="3:20" ht="20.100000000000001" customHeight="1" x14ac:dyDescent="0.25"/>
    <row r="178" spans="3:20" ht="20.100000000000001" customHeight="1" x14ac:dyDescent="0.25">
      <c r="C178" s="48"/>
      <c r="D178" s="48"/>
      <c r="E178" s="48"/>
      <c r="F178" s="48"/>
      <c r="G178" s="48"/>
      <c r="H178" s="48"/>
      <c r="I178" s="48"/>
      <c r="J178" s="48"/>
      <c r="K178" s="48"/>
      <c r="L178" s="48"/>
      <c r="N178" s="48"/>
      <c r="O178" s="48"/>
      <c r="P178" s="48"/>
      <c r="Q178" s="48"/>
      <c r="R178" s="48"/>
      <c r="S178" s="48"/>
      <c r="T178" s="48"/>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26</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6" t="s">
        <v>29</v>
      </c>
      <c r="E185" s="1" t="str" cm="1">
        <f t="array" ref="E185">MMS_Feedlot_N2ODirect_Equations.VEERG_4_1_1_3__1_TotalAnnualDirectNitrousOxideEmissions_Variable()</f>
        <v>E_N2Odir</v>
      </c>
    </row>
    <row r="186" spans="3:20" ht="20.100000000000001" customHeight="1" x14ac:dyDescent="0.25">
      <c r="D186" s="56" t="s">
        <v>19</v>
      </c>
      <c r="E186" s="57"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38" t="str" cm="1">
        <f t="array" ref="D188:E190">_xlfn.CHOOSECOLS(MMS_Feedlot_N2ODirect_Equations.VEERG_4_1_1_3__1_TotalAnnualDirectNitrousOxideEmissions_Arguments(),1,2)</f>
        <v>MN_jmT</v>
      </c>
      <c r="E188" s="141" t="str">
        <v>nitrogen per cattle group, MMS and treatment stage</v>
      </c>
      <c r="F188" s="140"/>
      <c r="G188" s="138" t="str" cm="1">
        <f t="array" ref="G188:H190">_xlfn.CHOOSECOLS(MMS_Feedlot_N2ODirect_Equations.VEERG_4_1_1_3__1_TotalAnnualDirectNitrousOxideEmissions_Arguments(),3,4)</f>
        <v>kg N</v>
      </c>
      <c r="H188" s="130" t="str">
        <v>Calculated from 4.1.1.3 (2)(6)(8)</v>
      </c>
      <c r="I188" s="139" t="str" cm="1">
        <f t="array" aca="1" ref="I188" ca="1">HYPERLINK(Common_InputFunctions.Utility_SourceHyperlink($D$103),$D$103)</f>
        <v>M1_Table_MN_j_m-5_T-1</v>
      </c>
      <c r="J188" s="139" t="str" cm="1">
        <f t="array" aca="1" ref="J188" ca="1">HYPERLINK(Common_InputFunctions.Utility_SourceHyperlink($D$171),$D$171)</f>
        <v>M1_Table_MN_j_m_T-2</v>
      </c>
      <c r="K188" s="139" t="str" cm="1">
        <f t="array" aca="1" ref="K188" ca="1">HYPERLINK(Common_InputFunctions.Utility_SourceHyperlink($D$126),$D$126)</f>
        <v>M1_Table_MN_j_m-1_T-3</v>
      </c>
    </row>
    <row r="189" spans="3:20" ht="20.100000000000001" customHeight="1" x14ac:dyDescent="0.25">
      <c r="D189" s="138" t="str">
        <v>EF_jm</v>
      </c>
      <c r="E189" s="141" t="str">
        <v>nitrous oxide emission factor for MMS</v>
      </c>
      <c r="F189" s="140"/>
      <c r="G189" s="138" t="str">
        <v>kg N2O-N/kg N</v>
      </c>
      <c r="H189" s="130" t="str">
        <v>Constant</v>
      </c>
      <c r="I189" s="139" t="str" cm="1">
        <f t="array" aca="1" ref="I189" ca="1">HYPERLINK(Common_InputFunctions.Utility_SourceHyperlink($D$192),$D$192)</f>
        <v>Table_EF_j_m</v>
      </c>
      <c r="J189" s="138"/>
      <c r="K189" s="138"/>
    </row>
    <row r="190" spans="3:20" ht="20.100000000000001" customHeight="1" x14ac:dyDescent="0.25">
      <c r="D190" s="138" t="str">
        <v>C_N2O</v>
      </c>
      <c r="E190" s="141" t="str">
        <v>factor to convert elemental mass of nitrous oxide to molecular mass</v>
      </c>
      <c r="F190" s="140"/>
      <c r="G190" s="138" t="str">
        <v>ratio</v>
      </c>
      <c r="H190" s="130" t="str">
        <v>Constant</v>
      </c>
      <c r="I190" s="138">
        <f>Common_InputFunctions.Utility_LookupValueInTableNumber("N2O",Table_GasToMolecularConversionFactor[Gas],Table_GasToMolecularConversionFactor[Conversion factor combined])</f>
        <v>1.5714285714285714</v>
      </c>
      <c r="J190" s="138"/>
      <c r="K190" s="138"/>
    </row>
    <row r="191" spans="3:20" ht="20.100000000000001" customHeight="1" x14ac:dyDescent="0.25"/>
    <row r="192" spans="3:20" ht="20.100000000000001" customHeight="1" x14ac:dyDescent="0.25">
      <c r="D192" s="104" t="s">
        <v>169</v>
      </c>
    </row>
    <row r="193" spans="4:19" ht="20.100000000000001" customHeight="1" x14ac:dyDescent="0.25">
      <c r="D193" s="103" t="s">
        <v>170</v>
      </c>
    </row>
    <row r="194" spans="4:19" ht="20.100000000000001" customHeight="1" x14ac:dyDescent="0.25">
      <c r="D194" s="115" t="s">
        <v>67</v>
      </c>
      <c r="E194" s="115" t="s">
        <v>171</v>
      </c>
    </row>
    <row r="195" spans="4:19" ht="20.100000000000001" customHeight="1" x14ac:dyDescent="0.25">
      <c r="D195" s="55" t="str">
        <f>INDEX(X_Table_Feedlot_MMS_Stage1,2,1)</f>
        <v>Drylot (feed pad)</v>
      </c>
      <c r="E195" s="55">
        <f>_xlfn.XLOOKUP($D$195, Table_SourceData_Feedlot_NO2EFs[NIR definition], Table_SourceData_Feedlot_NO2EFs[EF mT])</f>
        <v>5.4000000000000003E-3</v>
      </c>
    </row>
    <row r="196" spans="4:19" ht="20.100000000000001" customHeight="1" x14ac:dyDescent="0.25">
      <c r="D196" s="55" t="str">
        <f>INDEX(X_Table_Feedlot_MMS_Stage2,3,1)</f>
        <v>Solid storage</v>
      </c>
      <c r="E196" s="55">
        <f>_xlfn.XLOOKUP($D$196, Table_SourceData_Feedlot_NO2EFs[NIR definition], Table_SourceData_Feedlot_NO2EFs[EF mT])</f>
        <v>5.0000000000000001E-3</v>
      </c>
    </row>
    <row r="197" spans="4:19" ht="20.100000000000001" customHeight="1" x14ac:dyDescent="0.25">
      <c r="D197" s="55" t="str">
        <f>INDEX(X_Table_Feedlot_MMS_Stage2,4,1)</f>
        <v>Composting (passive windrow)</v>
      </c>
      <c r="E197" s="55">
        <f>_xlfn.XLOOKUP($D$197, Table_SourceData_Feedlot_NO2EFs[NIR definition], Table_SourceData_Feedlot_NO2EFs[EF mT])</f>
        <v>0.01</v>
      </c>
    </row>
    <row r="198" spans="4:19" ht="20.100000000000001" customHeight="1" x14ac:dyDescent="0.25">
      <c r="D198" s="55" t="str">
        <f>INDEX(X_Table_Feedlot_MMS_Stage3,3,1)</f>
        <v>Anaerobic lagoon</v>
      </c>
      <c r="E198" s="55">
        <f>_xlfn.XLOOKUP($D$198, Table_SourceData_Feedlot_NO2EFs[NIR definition], Table_SourceData_Feedlot_NO2EFs[EF mT])</f>
        <v>0</v>
      </c>
    </row>
    <row r="199" spans="4:19" ht="20.100000000000001" customHeight="1" x14ac:dyDescent="0.25"/>
    <row r="200" spans="4:19" ht="20.100000000000001" customHeight="1" x14ac:dyDescent="0.25">
      <c r="D200" s="116" t="s">
        <v>346</v>
      </c>
      <c r="E200" s="94"/>
      <c r="F200" s="94"/>
      <c r="G200" s="90"/>
    </row>
    <row r="201" spans="4:19" ht="20.100000000000001" customHeight="1" x14ac:dyDescent="0.25">
      <c r="D201" s="96" t="s">
        <v>329</v>
      </c>
      <c r="E201" s="93"/>
      <c r="F201" s="93"/>
      <c r="G201" s="91"/>
    </row>
    <row r="202" spans="4:19" ht="20.100000000000001" customHeight="1" x14ac:dyDescent="0.25"/>
    <row r="203" spans="4:19" ht="20.100000000000001" customHeight="1" x14ac:dyDescent="0.25">
      <c r="D203" s="104" t="s">
        <v>178</v>
      </c>
      <c r="O203" s="104" t="s">
        <v>359</v>
      </c>
    </row>
    <row r="204" spans="4:19" ht="20.100000000000001" customHeight="1" x14ac:dyDescent="0.25">
      <c r="D204" s="103" t="s">
        <v>179</v>
      </c>
      <c r="O204" s="103" t="s">
        <v>180</v>
      </c>
    </row>
    <row r="205" spans="4:19" ht="20.100000000000001" customHeight="1" x14ac:dyDescent="0.25">
      <c r="D205" s="115" t="s">
        <v>67</v>
      </c>
      <c r="E205" s="54" t="s">
        <v>137</v>
      </c>
      <c r="F205" s="54" t="s">
        <v>138</v>
      </c>
      <c r="G205" s="54" t="s">
        <v>139</v>
      </c>
      <c r="O205" s="115" t="s">
        <v>67</v>
      </c>
      <c r="P205" s="54" t="s">
        <v>137</v>
      </c>
      <c r="Q205" s="54" t="s">
        <v>138</v>
      </c>
      <c r="R205" s="54" t="s">
        <v>139</v>
      </c>
    </row>
    <row r="206" spans="4:19" ht="20.100000000000001" customHeight="1" x14ac:dyDescent="0.25">
      <c r="D206" s="55" t="str">
        <f>INDEX(X_Table_Feedlot_MMS_Stage1,2,1)</f>
        <v>Drylot (feed pad)</v>
      </c>
      <c r="E206" s="55" cm="1">
        <f t="array" aca="1" ref="E206" ca="1">MMS_Feedlot_N2ODirect_Equations.VEERG_4_1_1_3__1_TotalAnnualDirectNitrousOxideEmissions(E$106,$E195,$I$190)</f>
        <v>0.14162024448000005</v>
      </c>
      <c r="F206" s="55" cm="1">
        <f t="array" aca="1" ref="F206" ca="1">MMS_Feedlot_N2ODirect_Equations.VEERG_4_1_1_3__1_TotalAnnualDirectNitrousOxideEmissions(F$106,$E195,$I$190)</f>
        <v>0.21505803264000004</v>
      </c>
      <c r="G206" s="55" cm="1">
        <f t="array" aca="1" ref="G206" ca="1">MMS_Feedlot_N2ODirect_Equations.VEERG_4_1_1_3__1_TotalAnnualDirectNitrousOxideEmissions(G$106,$E195,$I$190)</f>
        <v>0.31061787428571419</v>
      </c>
      <c r="H206" s="2" t="str">
        <f>$E$186</f>
        <v>t N2O</v>
      </c>
      <c r="I206" s="2"/>
      <c r="J206" s="2"/>
      <c r="K206" s="2"/>
      <c r="O206" s="55" t="str">
        <f>INDEX(X_Table_Feedlot_MMS_Stage1,2,1)</f>
        <v>Drylot (feed pad)</v>
      </c>
      <c r="P206" s="55" cm="1">
        <f t="array" aca="1" ref="P206" ca="1">MMS_Feedlot_N2ODirect_Equations.VEERG_4_1_1_3__1_TotalAnnualDirectNitrousOxideEmissions(P$106,$E195,$I$190)</f>
        <v>0.14162024448000005</v>
      </c>
      <c r="Q206" s="55" cm="1">
        <f t="array" aca="1" ref="Q206" ca="1">MMS_Feedlot_N2ODirect_Equations.VEERG_4_1_1_3__1_TotalAnnualDirectNitrousOxideEmissions(Q$106,$E195,$I$190)</f>
        <v>0.21505803264000004</v>
      </c>
      <c r="R206" s="55" cm="1">
        <f t="array" aca="1" ref="R206" ca="1">MMS_Feedlot_N2ODirect_Equations.VEERG_4_1_1_3__1_TotalAnnualDirectNitrousOxideEmissions(R$106,$E195,$I$190)</f>
        <v>0.31061787428571419</v>
      </c>
      <c r="S206" s="2" t="str">
        <f>$E$186</f>
        <v>t N2O</v>
      </c>
    </row>
    <row r="207" spans="4:19" ht="20.100000000000001" customHeight="1" x14ac:dyDescent="0.25">
      <c r="D207" s="55" t="str">
        <f>INDEX(X_Table_Feedlot_MMS_Stage2,3,1)</f>
        <v>Solid storage</v>
      </c>
      <c r="E207" s="55" cm="1">
        <f t="array" aca="1" ref="E207" ca="1">MMS_Feedlot_N2ODirect_Equations.VEERG_4_1_1_3__1_TotalAnnualDirectNitrousOxideEmissions(E$174,$E196,$I$190)</f>
        <v>9.8242488115200047E-3</v>
      </c>
      <c r="F207" s="55" cm="1">
        <f t="array" aca="1" ref="F207" ca="1">MMS_Feedlot_N2ODirect_Equations.VEERG_4_1_1_3__1_TotalAnnualDirectNitrousOxideEmissions(F$174,$E196,$I$190)</f>
        <v>1.4918655375360001E-2</v>
      </c>
      <c r="G207" s="55" cm="1">
        <f t="array" aca="1" ref="G207" ca="1">MMS_Feedlot_N2ODirect_Equations.VEERG_4_1_1_3__1_TotalAnnualDirectNitrousOxideEmissions(G$174,$E196,$I$190)</f>
        <v>2.1547676982857138E-2</v>
      </c>
      <c r="H207" s="2" t="str">
        <f>$E$186</f>
        <v>t N2O</v>
      </c>
      <c r="I207" s="2"/>
      <c r="J207" s="2"/>
      <c r="K207" s="2"/>
      <c r="O207" s="55" t="str">
        <f>INDEX(X_Table_Feedlot_MMS_Stage2,3,1)</f>
        <v>Solid storage</v>
      </c>
      <c r="P207" s="55" cm="1">
        <f t="array" aca="1" ref="P207" ca="1">MMS_Feedlot_N2ODirect_Equations.VEERG_4_1_1_3__1_TotalAnnualDirectNitrousOxideEmissions(P$174,$E196,$I$190)</f>
        <v>9.8242488115200047E-3</v>
      </c>
      <c r="Q207" s="55" cm="1">
        <f t="array" aca="1" ref="Q207" ca="1">MMS_Feedlot_N2ODirect_Equations.VEERG_4_1_1_3__1_TotalAnnualDirectNitrousOxideEmissions(Q$174,$E196,$I$190)</f>
        <v>1.4918655375360001E-2</v>
      </c>
      <c r="R207" s="55" cm="1">
        <f t="array" aca="1" ref="R207" ca="1">MMS_Feedlot_N2ODirect_Equations.VEERG_4_1_1_3__1_TotalAnnualDirectNitrousOxideEmissions(R$174,$E196,$I$190)</f>
        <v>2.1547676982857138E-2</v>
      </c>
      <c r="S207" s="2" t="str">
        <f>$E$186</f>
        <v>t N2O</v>
      </c>
    </row>
    <row r="208" spans="4:19" ht="20.100000000000001" customHeight="1" x14ac:dyDescent="0.25">
      <c r="D208" s="55" t="str">
        <f>INDEX(X_Table_Feedlot_MMS_Stage2,4,1)</f>
        <v>Composting (passive windrow)</v>
      </c>
      <c r="E208" s="55" cm="1">
        <f t="array" aca="1" ref="E208" ca="1">MMS_Feedlot_N2ODirect_Equations.VEERG_4_1_1_3__1_TotalAnnualDirectNitrousOxideEmissions(E$175,$E197,$I$190)</f>
        <v>1.9648497623040009E-2</v>
      </c>
      <c r="F208" s="55" cm="1">
        <f t="array" aca="1" ref="F208" ca="1">MMS_Feedlot_N2ODirect_Equations.VEERG_4_1_1_3__1_TotalAnnualDirectNitrousOxideEmissions(F$175,$E197,$I$190)</f>
        <v>2.9837310750720002E-2</v>
      </c>
      <c r="G208" s="55" cm="1">
        <f t="array" aca="1" ref="G208" ca="1">MMS_Feedlot_N2ODirect_Equations.VEERG_4_1_1_3__1_TotalAnnualDirectNitrousOxideEmissions(G$175,$E197,$I$190)</f>
        <v>4.3095353965714275E-2</v>
      </c>
      <c r="H208" s="2" t="str">
        <f>$E$186</f>
        <v>t N2O</v>
      </c>
      <c r="I208" s="2"/>
      <c r="J208" s="2"/>
      <c r="K208" s="2"/>
      <c r="O208" s="55" t="str">
        <f>INDEX(X_Table_Feedlot_MMS_Stage2,4,1)</f>
        <v>Composting (passive windrow)</v>
      </c>
      <c r="P208" s="55" cm="1">
        <f t="array" aca="1" ref="P208" ca="1">MMS_Feedlot_N2ODirect_Equations.VEERG_4_1_1_3__1_TotalAnnualDirectNitrousOxideEmissions(P$175,$E197,$I$190)</f>
        <v>1.9648497623040009E-2</v>
      </c>
      <c r="Q208" s="55" cm="1">
        <f t="array" aca="1" ref="Q208" ca="1">MMS_Feedlot_N2ODirect_Equations.VEERG_4_1_1_3__1_TotalAnnualDirectNitrousOxideEmissions(Q$175,$E197,$I$190)</f>
        <v>2.9837310750720002E-2</v>
      </c>
      <c r="R208" s="55" cm="1">
        <f t="array" aca="1" ref="R208" ca="1">MMS_Feedlot_N2ODirect_Equations.VEERG_4_1_1_3__1_TotalAnnualDirectNitrousOxideEmissions(R$175,$E197,$I$190)</f>
        <v>4.3095353965714275E-2</v>
      </c>
      <c r="S208" s="2" t="str">
        <f>$E$186</f>
        <v>t N2O</v>
      </c>
    </row>
    <row r="209" spans="4:19" ht="20.100000000000001" customHeight="1" x14ac:dyDescent="0.25">
      <c r="D209" s="55" t="str">
        <f>INDEX(X_Table_Feedlot_MMS_Stage2,5,1)</f>
        <v>Direct application</v>
      </c>
      <c r="E209" s="55" t="s">
        <v>315</v>
      </c>
      <c r="F209" s="55" t="s">
        <v>315</v>
      </c>
      <c r="G209" s="55" t="s">
        <v>315</v>
      </c>
      <c r="H209" s="2" t="str">
        <f>$E$186</f>
        <v>t N2O</v>
      </c>
      <c r="I209" s="2"/>
      <c r="J209" s="2"/>
      <c r="K209" s="2"/>
      <c r="O209" s="55" t="str">
        <f>INDEX(X_Table_Feedlot_MMS_Stage2,5,1)</f>
        <v>Direct application</v>
      </c>
      <c r="P209" s="55" t="s">
        <v>315</v>
      </c>
      <c r="Q209" s="55" t="s">
        <v>315</v>
      </c>
      <c r="R209" s="55" t="s">
        <v>315</v>
      </c>
      <c r="S209" s="2" t="str">
        <f>$E$186</f>
        <v>t N2O</v>
      </c>
    </row>
    <row r="210" spans="4:19" ht="20.100000000000001" customHeight="1" x14ac:dyDescent="0.25">
      <c r="D210" s="55" t="str">
        <f>INDEX(X_Table_Feedlot_MMS_Stage3,3,1)</f>
        <v>Anaerobic lagoon</v>
      </c>
      <c r="E210" s="55" cm="1">
        <f t="array" aca="1" ref="E210" ca="1">MMS_Feedlot_N2ODirect_Equations.VEERG_4_1_1_3__1_TotalAnnualDirectNitrousOxideEmissions(E$129,$E198,$I$190)</f>
        <v>0</v>
      </c>
      <c r="F210" s="55" cm="1">
        <f t="array" aca="1" ref="F210" ca="1">MMS_Feedlot_N2ODirect_Equations.VEERG_4_1_1_3__1_TotalAnnualDirectNitrousOxideEmissions(F$129,$E198,$I$190)</f>
        <v>0</v>
      </c>
      <c r="G210" s="55" cm="1">
        <f t="array" aca="1" ref="G210" ca="1">MMS_Feedlot_N2ODirect_Equations.VEERG_4_1_1_3__1_TotalAnnualDirectNitrousOxideEmissions(G$129,$E198,$I$190)</f>
        <v>0</v>
      </c>
      <c r="H210" s="2" t="str">
        <f>$E$186</f>
        <v>t N2O</v>
      </c>
      <c r="I210" s="2"/>
      <c r="J210" s="2"/>
      <c r="K210" s="2"/>
      <c r="O210" s="55" t="str">
        <f>INDEX(X_Table_Feedlot_MMS_Stage3,3,1)</f>
        <v>Anaerobic lagoon</v>
      </c>
      <c r="P210" s="55" cm="1">
        <f t="array" aca="1" ref="P210" ca="1">MMS_Feedlot_N2ODirect_Equations.VEERG_4_1_1_3__1_TotalAnnualDirectNitrousOxideEmissions(P$129,$E198,$I$190)</f>
        <v>0</v>
      </c>
      <c r="Q210" s="55" cm="1">
        <f t="array" aca="1" ref="Q210" ca="1">MMS_Feedlot_N2ODirect_Equations.VEERG_4_1_1_3__1_TotalAnnualDirectNitrousOxideEmissions(Q$129,$E198,$I$190)</f>
        <v>0</v>
      </c>
      <c r="R210" s="55" cm="1">
        <f t="array" aca="1" ref="R210" ca="1">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8" t="s">
        <v>172</v>
      </c>
      <c r="E212" s="109">
        <f ca="1">SUM(E206:G210)</f>
        <v>0.80616789491492569</v>
      </c>
      <c r="F212" s="110" t="str">
        <f>$E$186</f>
        <v>t N2O</v>
      </c>
      <c r="O212" s="108" t="s">
        <v>172</v>
      </c>
      <c r="P212" s="109">
        <f ca="1">SUM(P206:R210)</f>
        <v>0.80616789491492569</v>
      </c>
      <c r="Q212" s="110" t="str">
        <f>$E$186</f>
        <v>t N2O</v>
      </c>
    </row>
    <row r="213" spans="4:19" ht="20.100000000000001" customHeight="1" x14ac:dyDescent="0.25"/>
    <row r="214" spans="4:19" ht="20.100000000000001" customHeight="1" x14ac:dyDescent="0.25">
      <c r="D214" s="60" t="str" cm="1">
        <f t="array" ref="D214:E215">Common_Equations.Common_ConvertN2OToCO2e_Arguments()</f>
        <v>EN2O</v>
      </c>
      <c r="E214" s="61" t="str">
        <v>Nitrous oxide emissions (t N2O)</v>
      </c>
      <c r="F214" s="111"/>
      <c r="G214" s="55">
        <f ca="1">E212</f>
        <v>0.80616789491492569</v>
      </c>
      <c r="O214" s="60" t="str" cm="1">
        <f t="array" ref="O214:P215">Common_Equations.Common_ConvertN2OToCO2e_Arguments()</f>
        <v>EN2O</v>
      </c>
      <c r="P214" s="61" t="str">
        <v>Nitrous oxide emissions (t N2O)</v>
      </c>
      <c r="Q214" s="111"/>
      <c r="R214" s="55">
        <f ca="1">P212</f>
        <v>0.80616789491492569</v>
      </c>
    </row>
    <row r="215" spans="4:19" ht="20.100000000000001" customHeight="1" x14ac:dyDescent="0.25">
      <c r="D215" s="60" t="str">
        <v>GWPN2O</v>
      </c>
      <c r="E215" s="61" t="str">
        <v>Global warming potential for nitrous oxide (t CO2-e / t N2O)</v>
      </c>
      <c r="F215" s="111"/>
      <c r="G215" s="55">
        <f>Common_InputFunctions.Utility_LookupValueInTableNumber("N2O",Table_GWPData[Gas],Table_GWPData[CO2-e factor])</f>
        <v>265</v>
      </c>
      <c r="O215" s="60" t="str">
        <v>GWPN2O</v>
      </c>
      <c r="P215" s="61" t="str">
        <v>Global warming potential for nitrous oxide (t CO2-e / t N2O)</v>
      </c>
      <c r="Q215" s="111"/>
      <c r="R215" s="55">
        <f>Common_InputFunctions.Utility_LookupValueInTableNumber("N2O",Table_GWPData[Gas],Table_GWPData[CO2-e factor])</f>
        <v>265</v>
      </c>
    </row>
    <row r="216" spans="4:19" ht="20.100000000000001" customHeight="1" x14ac:dyDescent="0.25"/>
    <row r="217" spans="4:19" ht="20.100000000000001" customHeight="1" x14ac:dyDescent="0.25">
      <c r="D217" s="48" t="s">
        <v>126</v>
      </c>
      <c r="E217" s="48" cm="1">
        <f t="array" aca="1" ref="E217" ca="1">Common_Equations.Common_ConvertN2OToCO2e(G214,G215)</f>
        <v>213.63449215245529</v>
      </c>
      <c r="F217" s="112" t="str" cm="1">
        <f t="array" ref="F217">Common_Equations.Common_ConvertN2OToCO2e_Unit()</f>
        <v>t CO2e</v>
      </c>
      <c r="O217" s="48" t="s">
        <v>126</v>
      </c>
      <c r="P217" s="48" cm="1">
        <f t="array" aca="1" ref="P217" ca="1">Common_Equations.Common_ConvertN2OToCO2e(R214,R215)</f>
        <v>213.63449215245529</v>
      </c>
      <c r="Q217" s="112" t="str" cm="1">
        <f t="array" ref="Q217">Common_Equations.Common_ConvertN2OToCO2e_Unit()</f>
        <v>t CO2e</v>
      </c>
    </row>
  </sheetData>
  <dataValidations count="1">
    <dataValidation operator="equal" allowBlank="1" showInputMessage="1" showErrorMessage="1" sqref="P106:S106 D73:F73 D83:F83 O83:Q83 E106:K106 D78:F78 E101:K101 E124:G124"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S165"/>
  <sheetViews>
    <sheetView showGridLines="0" topLeftCell="A15" zoomScale="85" zoomScaleNormal="85" workbookViewId="0">
      <selection activeCell="E23" sqref="E2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260</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L3" s="4"/>
      <c r="M3" s="4" t="s">
        <v>159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A6" s="16"/>
      <c r="D6" s="5" t="str" cm="1">
        <f t="array" ref="D6">MMS_Feedlot_AtmosphericDeposition_Equations.VEERG_4_1_1_5__2_VolatilisedNitrogenFromManureManagement_Source()</f>
        <v>VEERG 2026: 4.1.1.5, Equation (2)</v>
      </c>
    </row>
    <row r="7" spans="1:19" ht="20.100000000000001" customHeight="1" x14ac:dyDescent="0.25">
      <c r="A7" s="20" t="s">
        <v>3</v>
      </c>
      <c r="D7" s="13" t="s">
        <v>26</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row>
    <row r="11" spans="1:19" ht="20.100000000000001" customHeight="1" x14ac:dyDescent="0.25">
      <c r="A11" s="19" t="s">
        <v>76</v>
      </c>
      <c r="D11" s="56" t="s">
        <v>29</v>
      </c>
      <c r="E11" s="1" t="str" cm="1">
        <f t="array" ref="E11">MMS_Feedlot_AtmosphericDeposition_Equations.VEERG_4_1_1_5__2_VolatilisedNitrogenFromManureManagement_Variable()</f>
        <v>MMS_ATMOS</v>
      </c>
    </row>
    <row r="12" spans="1:19" ht="20.100000000000001" customHeight="1" x14ac:dyDescent="0.25">
      <c r="A12" s="17" t="str">
        <f>HYPERLINK("#'4.1.1.1-2 Methane'!A1", "4.1.1.1-2 Methane")</f>
        <v>4.1.1.1-2 Methane</v>
      </c>
      <c r="D12" s="56" t="s">
        <v>19</v>
      </c>
      <c r="E12" s="57" t="str" cm="1">
        <f t="array" ref="E12">MMS_Feedlot_AtmosphericDeposition_Equations.VEERG_4_1_1_5__2_VolatilisedNitrogenFromManureManagement_Unit()</f>
        <v>kg N</v>
      </c>
    </row>
    <row r="13" spans="1:19" ht="20.100000000000001" customHeight="1" x14ac:dyDescent="0.25">
      <c r="A13" s="17" t="str">
        <f>HYPERLINK("#'4.1.1.3-4 Direct N20'!A1", "4.1.1.3-4 Direct N2O")</f>
        <v>4.1.1.3-4 Direct N2O</v>
      </c>
    </row>
    <row r="14" spans="1:19" ht="20.100000000000001" customHeight="1" x14ac:dyDescent="0.25">
      <c r="A14" s="22" t="str">
        <f>HYPERLINK("#'4.1.1.5-6 Atmos Deposition'!A1", "4.1.1.5-6 Atmospheric deposition")</f>
        <v>4.1.1.5-6 Atmospheric deposition</v>
      </c>
      <c r="D14" s="138" t="str" cm="1">
        <f t="array" ref="D14:E15">_xlfn.CHOOSECOLS(MMS_Feedlot_AtmosphericDeposition_Equations.VEERG_4_1_1_5__2_VolatilisedNitrogenFromManureManagement_Arguments(),1,2)</f>
        <v>MN_jmT</v>
      </c>
      <c r="E14" s="138" t="str">
        <v>nitrogen in each treatment stage MMS (excluding MN_ijm13T2)</v>
      </c>
      <c r="F14" s="138"/>
      <c r="G14" s="138" t="str" cm="1">
        <f t="array" ref="G14:H15">_xlfn.CHOOSECOLS(MMS_Feedlot_AtmosphericDeposition_Equations.VEERG_4_1_1_5__2_VolatilisedNitrogenFromManureManagement_Arguments(),3,4)</f>
        <v>kg N</v>
      </c>
      <c r="H14" s="130" t="str">
        <v>Calculated from 4.1.1.3 (2)(6)(8)</v>
      </c>
      <c r="I14" s="139" t="str" cm="1">
        <f t="array" aca="1" ref="I14" ca="1">HYPERLINK(Common_InputFunctions.Utility_SourceHyperlink($D$20),$D$20)</f>
        <v>M1_Table_MN_j_m_T</v>
      </c>
    </row>
    <row r="15" spans="1:19" ht="20.100000000000001" customHeight="1" x14ac:dyDescent="0.25">
      <c r="A15" s="17" t="str">
        <f>HYPERLINK("#'4.1.1.9 Manure applied to soils'!A1", "4.1.1.9 Manure applied to soils")</f>
        <v>4.1.1.9 Manure applied to soils</v>
      </c>
      <c r="D15" s="138" t="str">
        <v>FracGASM_mT</v>
      </c>
      <c r="E15" s="138" t="str">
        <v>fraction of N volatilised in each MMS</v>
      </c>
      <c r="F15" s="138"/>
      <c r="G15" s="138" t="str">
        <v>(kg NH3-N + NOx-N)/kg N</v>
      </c>
      <c r="H15" s="130" t="str">
        <v>Constant</v>
      </c>
      <c r="I15" s="139" t="str" cm="1">
        <f t="array" aca="1" ref="I15" ca="1">HYPERLINK(Common_InputFunctions.Utility_SourceHyperlink($D$29),$D$29)</f>
        <v>Table_FracGASM_m_T-2-3</v>
      </c>
    </row>
    <row r="16" spans="1:19" ht="20.100000000000001" customHeight="1" x14ac:dyDescent="0.25"/>
    <row r="17" spans="1:18" ht="20.100000000000001" customHeight="1" x14ac:dyDescent="0.25">
      <c r="A17" s="18" t="s">
        <v>4</v>
      </c>
      <c r="D17" s="116" t="s">
        <v>330</v>
      </c>
      <c r="E17" s="94"/>
      <c r="F17" s="94"/>
      <c r="G17" s="90"/>
    </row>
    <row r="18" spans="1:18" ht="20.100000000000001" customHeight="1" x14ac:dyDescent="0.25">
      <c r="A18" s="17" t="str">
        <f>HYPERLINK("#'Constants - Feedlot'!A1", "Constants - Feedlot")</f>
        <v>Constants - Feedlot</v>
      </c>
      <c r="D18" s="96" t="s">
        <v>329</v>
      </c>
      <c r="E18" s="93"/>
      <c r="F18" s="93"/>
      <c r="G18" s="91"/>
    </row>
    <row r="19" spans="1:18" ht="20.100000000000001" customHeight="1" x14ac:dyDescent="0.25">
      <c r="A19" s="17" t="str">
        <f>HYPERLINK("#'Constants - Livestock'!A1", "Constants - Livestock")</f>
        <v>Constants - Livestock</v>
      </c>
    </row>
    <row r="20" spans="1:18" ht="20.100000000000001" customHeight="1" x14ac:dyDescent="0.25">
      <c r="A20" s="17" t="str">
        <f>HYPERLINK("#'Constants - Common'!A1", "Constants - Common")</f>
        <v>Constants - Common</v>
      </c>
      <c r="D20" s="104" t="s">
        <v>261</v>
      </c>
      <c r="M20" s="104" t="s">
        <v>264</v>
      </c>
    </row>
    <row r="21" spans="1:18" ht="20.100000000000001" customHeight="1" x14ac:dyDescent="0.25">
      <c r="A21" s="17" t="str">
        <f>HYPERLINK("#'Acknowledgements'!A1", "Acknowledgements")</f>
        <v>Acknowledgements</v>
      </c>
      <c r="D21" s="103" t="s">
        <v>263</v>
      </c>
      <c r="M21" s="103" t="s">
        <v>265</v>
      </c>
    </row>
    <row r="22" spans="1:18" ht="20.100000000000001" customHeight="1" x14ac:dyDescent="0.25">
      <c r="D22" s="115" t="s">
        <v>67</v>
      </c>
      <c r="E22" s="54" t="s">
        <v>137</v>
      </c>
      <c r="F22" s="54" t="s">
        <v>138</v>
      </c>
      <c r="G22" s="54" t="s">
        <v>139</v>
      </c>
      <c r="M22" s="115" t="s">
        <v>67</v>
      </c>
      <c r="N22" s="54" t="s">
        <v>137</v>
      </c>
      <c r="O22" s="54" t="s">
        <v>138</v>
      </c>
      <c r="P22" s="54" t="s">
        <v>139</v>
      </c>
    </row>
    <row r="23" spans="1:18" ht="20.100000000000001" customHeight="1" x14ac:dyDescent="0.25">
      <c r="D23" s="55" t="str">
        <f>INDEX(X_Table_Feedlot_MMS_Stage1,2,1)</f>
        <v>Drylot (feed pad)</v>
      </c>
      <c r="E23" s="55">
        <f ca="1">INDEX(M1_Table_MN_j_m5_T1,2,2)</f>
        <v>16689.254400000005</v>
      </c>
      <c r="F23" s="55">
        <f ca="1">INDEX(M1_Table_MN_j_m5_T1,2,3)</f>
        <v>25343.539200000003</v>
      </c>
      <c r="G23" s="55">
        <f ca="1">INDEX(M1_Table_MN_j_m5_T1,2,4)</f>
        <v>36604.799999999988</v>
      </c>
      <c r="H23" s="2" t="str">
        <f>$G$14</f>
        <v>kg N</v>
      </c>
      <c r="I23" s="2"/>
      <c r="M23" s="55" t="str">
        <f>INDEX(X_Table_Feedlot_MMS_Stage1,2,1)</f>
        <v>Drylot (feed pad)</v>
      </c>
      <c r="N23" s="55">
        <f ca="1">INDEX(M2_Table_MN_j_m5_T1,2,2)</f>
        <v>16689.254400000005</v>
      </c>
      <c r="O23" s="55">
        <f ca="1">INDEX(M2_Table_MN_j_m5_T1,2,3)</f>
        <v>25343.539200000003</v>
      </c>
      <c r="P23" s="55">
        <f ca="1">INDEX(M2_Table_MN_j_m5_T1,2,4)</f>
        <v>36604.799999999988</v>
      </c>
      <c r="Q23" s="2" t="str">
        <f>$G$14</f>
        <v>kg N</v>
      </c>
      <c r="R23" s="2"/>
    </row>
    <row r="24" spans="1:18" ht="20.100000000000001" customHeight="1" x14ac:dyDescent="0.25">
      <c r="A24" s="17"/>
      <c r="D24" s="55" t="str">
        <f>INDEX(X_Table_Feedlot_MMS_Stage2,3,1)</f>
        <v>Solid storage</v>
      </c>
      <c r="E24" s="55">
        <f ca="1">INDEX(M1_Table_MN_j_m_T2_Consumer_1,2,2)</f>
        <v>1250.3589396480006</v>
      </c>
      <c r="F24" s="55">
        <f ca="1">INDEX(M1_Table_MN_j_m_T2_Consumer_1,2,3)</f>
        <v>1898.7379568640001</v>
      </c>
      <c r="G24" s="55">
        <f ca="1">INDEX(M1_Table_MN_j_m_T2_Consumer_1,2,4)</f>
        <v>2742.4316159999994</v>
      </c>
      <c r="H24" s="2"/>
      <c r="I24" s="2"/>
      <c r="M24" s="55" t="str">
        <f>INDEX(X_Table_Feedlot_MMS_Stage2,3,1)</f>
        <v>Solid storage</v>
      </c>
      <c r="N24" s="55">
        <f ca="1">INDEX(M1_Table_MN_j_m_T2,2,2)</f>
        <v>1250.3589396480006</v>
      </c>
      <c r="O24" s="55">
        <f ca="1">INDEX(M1_Table_MN_j_m_T2,2,3)</f>
        <v>1898.7379568640001</v>
      </c>
      <c r="P24" s="55">
        <f ca="1">INDEX(M1_Table_MN_j_m_T2,2,4)</f>
        <v>2742.4316159999994</v>
      </c>
      <c r="Q24" s="2"/>
      <c r="R24" s="2"/>
    </row>
    <row r="25" spans="1:18" ht="20.100000000000001" customHeight="1" x14ac:dyDescent="0.25">
      <c r="A25" s="17"/>
      <c r="D25" s="55" t="str">
        <f>INDEX(X_Table_Feedlot_MMS_Stage2,4,1)</f>
        <v>Composting (passive windrow)</v>
      </c>
      <c r="E25" s="55">
        <f ca="1">INDEX(M1_Table_MN_j_m_T2_Consumer_1,3,2)</f>
        <v>1250.3589396480006</v>
      </c>
      <c r="F25" s="55">
        <f ca="1">INDEX(M1_Table_MN_j_m_T2_Consumer_1,3,3)</f>
        <v>1898.7379568640001</v>
      </c>
      <c r="G25" s="55">
        <f ca="1">INDEX(M1_Table_MN_j_m_T2_Consumer_1,3,4)</f>
        <v>2742.4316159999994</v>
      </c>
      <c r="H25" s="2"/>
      <c r="I25" s="2"/>
      <c r="M25" s="55" t="str">
        <f>INDEX(X_Table_Feedlot_MMS_Stage2,4,1)</f>
        <v>Composting (passive windrow)</v>
      </c>
      <c r="N25" s="55">
        <f ca="1">INDEX(M1_Table_MN_j_m_T2,3,2)</f>
        <v>1250.3589396480006</v>
      </c>
      <c r="O25" s="55">
        <f ca="1">INDEX(M1_Table_MN_j_m_T2,3,3)</f>
        <v>1898.7379568640001</v>
      </c>
      <c r="P25" s="55">
        <f ca="1">INDEX(M1_Table_MN_j_m_T2,3,4)</f>
        <v>2742.4316159999994</v>
      </c>
      <c r="Q25" s="2"/>
      <c r="R25" s="2"/>
    </row>
    <row r="26" spans="1:18" ht="20.100000000000001" customHeight="1" x14ac:dyDescent="0.25">
      <c r="D26" s="55" t="str">
        <f>INDEX(X_Table_Feedlot_MMS_Stage2,5,1)</f>
        <v>Direct application</v>
      </c>
      <c r="E26" s="55" t="s">
        <v>315</v>
      </c>
      <c r="F26" s="55" t="s">
        <v>315</v>
      </c>
      <c r="G26" s="55" t="s">
        <v>315</v>
      </c>
      <c r="H26" s="2"/>
      <c r="I26" s="2"/>
      <c r="M26" s="55" t="str">
        <f>INDEX(X_Table_Feedlot_MMS_Stage2,5,1)</f>
        <v>Direct application</v>
      </c>
      <c r="N26" s="55" t="s">
        <v>315</v>
      </c>
      <c r="O26" s="55" t="s">
        <v>315</v>
      </c>
      <c r="P26" s="55" t="s">
        <v>315</v>
      </c>
      <c r="Q26" s="2"/>
      <c r="R26" s="2"/>
    </row>
    <row r="27" spans="1:18" ht="20.100000000000001" customHeight="1" x14ac:dyDescent="0.25">
      <c r="D27" s="55" t="str">
        <f>INDEX(X_Table_Feedlot_MMS_Stage3,3,1)</f>
        <v>Anaerobic lagoon</v>
      </c>
      <c r="E27" s="55">
        <f ca="1">INDEX(M1_Table_MN_j_m1_T3,2,2)</f>
        <v>333.78508800000009</v>
      </c>
      <c r="F27" s="55">
        <f ca="1">INDEX(M1_Table_MN_j_m1_T3,2,3)</f>
        <v>506.87078400000007</v>
      </c>
      <c r="G27" s="55">
        <f ca="1">INDEX(M1_Table_MN_j_m1_T3,2,4)</f>
        <v>732.09599999999978</v>
      </c>
      <c r="H27" s="2"/>
      <c r="I27" s="2"/>
      <c r="M27" s="55" t="str">
        <f>INDEX(X_Table_Feedlot_MMS_Stage3,3,1)</f>
        <v>Anaerobic lagoon</v>
      </c>
      <c r="N27" s="55">
        <f ca="1">INDEX(M2_Table_MN_j_m1_T3,2,2)</f>
        <v>333.78508800000009</v>
      </c>
      <c r="O27" s="55">
        <f ca="1">INDEX(M2_Table_MN_j_m1_T3,2,3)</f>
        <v>506.87078400000007</v>
      </c>
      <c r="P27" s="55">
        <f ca="1">INDEX(M2_Table_MN_j_m1_T3,2,4)</f>
        <v>732.09599999999978</v>
      </c>
      <c r="Q27" s="2"/>
      <c r="R27" s="2"/>
    </row>
    <row r="28" spans="1:18" ht="20.100000000000001" customHeight="1" x14ac:dyDescent="0.25"/>
    <row r="29" spans="1:18" ht="20.100000000000001" customHeight="1" x14ac:dyDescent="0.25">
      <c r="D29" s="104" t="s">
        <v>229</v>
      </c>
    </row>
    <row r="30" spans="1:18" ht="20.100000000000001" customHeight="1" x14ac:dyDescent="0.25">
      <c r="D30" s="103" t="s">
        <v>231</v>
      </c>
    </row>
    <row r="31" spans="1:18" ht="20.100000000000001" customHeight="1" x14ac:dyDescent="0.25">
      <c r="D31" s="115" t="s">
        <v>67</v>
      </c>
      <c r="E31" s="115" t="s">
        <v>171</v>
      </c>
    </row>
    <row r="32" spans="1:18" ht="20.100000000000001" customHeight="1" x14ac:dyDescent="0.25">
      <c r="D32" s="55" t="str">
        <f>INDEX(X_Table_Feedlot_MMS_Stage1,2,1)</f>
        <v>Drylot (feed pad)</v>
      </c>
      <c r="E32" s="55">
        <f>_xlfn.XLOOKUP(D32, Table_SourceData_Feedlot_FracGASMmT[NIR definition], Table_SourceData_Feedlot_FracGASMmT[FracGASMmT])</f>
        <v>0.6</v>
      </c>
      <c r="F32" s="2" t="str">
        <f>G15</f>
        <v>(kg NH3-N + NOx-N)/kg N</v>
      </c>
    </row>
    <row r="33" spans="3:19" ht="20.100000000000001" customHeight="1" x14ac:dyDescent="0.25">
      <c r="D33" s="55" t="str">
        <f>INDEX(X_Table_Feedlot_MMS_Stage2,3,1)</f>
        <v>Solid storage</v>
      </c>
      <c r="E33" s="55">
        <f>_xlfn.XLOOKUP(D33, Table_SourceData_Feedlot_FracGASMmT[NIR definition], Table_SourceData_Feedlot_FracGASMmT[FracGASMmT])</f>
        <v>0.25</v>
      </c>
      <c r="F33" s="2"/>
    </row>
    <row r="34" spans="3:19" ht="20.100000000000001" customHeight="1" x14ac:dyDescent="0.25">
      <c r="D34" s="55" t="str">
        <f>INDEX(X_Table_Feedlot_MMS_Stage2,4,1)</f>
        <v>Composting (passive windrow)</v>
      </c>
      <c r="E34" s="55">
        <f>_xlfn.XLOOKUP(D34, Table_SourceData_Feedlot_FracGASMmT[NIR definition], Table_SourceData_Feedlot_FracGASMmT[FracGASMmT])</f>
        <v>0.4</v>
      </c>
      <c r="F34" s="2"/>
    </row>
    <row r="35" spans="3:19" ht="20.100000000000001" customHeight="1" x14ac:dyDescent="0.25">
      <c r="D35" s="55" t="str">
        <f>INDEX(X_Table_Feedlot_MMS_Stage3,3,1)</f>
        <v>Anaerobic lagoon</v>
      </c>
      <c r="E35" s="55">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4" t="s">
        <v>262</v>
      </c>
      <c r="M37" s="104" t="s">
        <v>360</v>
      </c>
    </row>
    <row r="38" spans="3:19" ht="20.100000000000001" customHeight="1" x14ac:dyDescent="0.25">
      <c r="D38" s="103" t="s">
        <v>263</v>
      </c>
      <c r="M38" s="103" t="s">
        <v>265</v>
      </c>
    </row>
    <row r="39" spans="3:19" ht="20.100000000000001" customHeight="1" x14ac:dyDescent="0.25">
      <c r="D39" s="115" t="s">
        <v>67</v>
      </c>
      <c r="E39" s="54" t="s">
        <v>137</v>
      </c>
      <c r="F39" s="54" t="s">
        <v>138</v>
      </c>
      <c r="G39" s="54" t="s">
        <v>139</v>
      </c>
      <c r="M39" s="115" t="s">
        <v>67</v>
      </c>
      <c r="N39" s="54" t="s">
        <v>137</v>
      </c>
      <c r="O39" s="54" t="s">
        <v>138</v>
      </c>
      <c r="P39" s="54" t="s">
        <v>139</v>
      </c>
    </row>
    <row r="40" spans="3:19" ht="20.100000000000001" customHeight="1" x14ac:dyDescent="0.25">
      <c r="D40" s="55" t="str">
        <f>INDEX(X_Table_Feedlot_MMS_Stage1,2,1)</f>
        <v>Drylot (feed pad)</v>
      </c>
      <c r="E40" s="55" cm="1">
        <f t="array" aca="1" ref="E40" ca="1">MMS_Feedlot_AtmosphericDeposition_Equations.VEERG_4_1_1_5__2_VolatilisedNitrogenFromManureManagement(E23,$E32)</f>
        <v>10013.552640000004</v>
      </c>
      <c r="F40" s="55" cm="1">
        <f t="array" aca="1" ref="F40" ca="1">MMS_Feedlot_AtmosphericDeposition_Equations.VEERG_4_1_1_5__2_VolatilisedNitrogenFromManureManagement(F23,$E32)</f>
        <v>15206.123520000001</v>
      </c>
      <c r="G40" s="55" cm="1">
        <f t="array" aca="1" ref="G40" ca="1">MMS_Feedlot_AtmosphericDeposition_Equations.VEERG_4_1_1_5__2_VolatilisedNitrogenFromManureManagement(G23,$E32)</f>
        <v>21962.879999999994</v>
      </c>
      <c r="H40" s="2" t="str">
        <f>$E$12</f>
        <v>kg N</v>
      </c>
      <c r="I40" s="2"/>
      <c r="M40" s="55" t="str">
        <f>INDEX(X_Table_Feedlot_MMS_Stage1,2,1)</f>
        <v>Drylot (feed pad)</v>
      </c>
      <c r="N40" s="55" cm="1">
        <f t="array" aca="1" ref="N40" ca="1">MMS_Feedlot_AtmosphericDeposition_Equations.VEERG_4_1_1_5__2_VolatilisedNitrogenFromManureManagement(N23,$E32)</f>
        <v>10013.552640000004</v>
      </c>
      <c r="O40" s="55" cm="1">
        <f t="array" aca="1" ref="O40" ca="1">MMS_Feedlot_AtmosphericDeposition_Equations.VEERG_4_1_1_5__2_VolatilisedNitrogenFromManureManagement(O23,$E32)</f>
        <v>15206.123520000001</v>
      </c>
      <c r="P40" s="55" cm="1">
        <f t="array" aca="1" ref="P40" ca="1">MMS_Feedlot_AtmosphericDeposition_Equations.VEERG_4_1_1_5__2_VolatilisedNitrogenFromManureManagement(P23,$E32)</f>
        <v>21962.879999999994</v>
      </c>
      <c r="Q40" s="2" t="str">
        <f>$E$12</f>
        <v>kg N</v>
      </c>
      <c r="R40" s="2"/>
    </row>
    <row r="41" spans="3:19" ht="20.100000000000001" customHeight="1" x14ac:dyDescent="0.25">
      <c r="D41" s="55" t="str">
        <f>INDEX(X_Table_Feedlot_MMS_Stage2,3,1)</f>
        <v>Solid storage</v>
      </c>
      <c r="E41" s="55" cm="1">
        <f t="array" aca="1" ref="E41" ca="1">MMS_Feedlot_AtmosphericDeposition_Equations.VEERG_4_1_1_5__2_VolatilisedNitrogenFromManureManagement(E24,$E33)</f>
        <v>312.58973491200015</v>
      </c>
      <c r="F41" s="55" cm="1">
        <f t="array" aca="1" ref="F41" ca="1">MMS_Feedlot_AtmosphericDeposition_Equations.VEERG_4_1_1_5__2_VolatilisedNitrogenFromManureManagement(F24,$E33)</f>
        <v>474.68448921600003</v>
      </c>
      <c r="G41" s="55" cm="1">
        <f t="array" aca="1" ref="G41" ca="1">MMS_Feedlot_AtmosphericDeposition_Equations.VEERG_4_1_1_5__2_VolatilisedNitrogenFromManureManagement(G24,$E33)</f>
        <v>685.60790399999985</v>
      </c>
      <c r="H41" s="2"/>
      <c r="I41" s="2"/>
      <c r="M41" s="55" t="str">
        <f>INDEX(X_Table_Feedlot_MMS_Stage2,3,1)</f>
        <v>Solid storage</v>
      </c>
      <c r="N41" s="55" cm="1">
        <f t="array" aca="1" ref="N41" ca="1">MMS_Feedlot_AtmosphericDeposition_Equations.VEERG_4_1_1_5__2_VolatilisedNitrogenFromManureManagement(N24,$E33)</f>
        <v>312.58973491200015</v>
      </c>
      <c r="O41" s="55" cm="1">
        <f t="array" aca="1" ref="O41" ca="1">MMS_Feedlot_AtmosphericDeposition_Equations.VEERG_4_1_1_5__2_VolatilisedNitrogenFromManureManagement(O24,$E33)</f>
        <v>474.68448921600003</v>
      </c>
      <c r="P41" s="55" cm="1">
        <f t="array" aca="1" ref="P41" ca="1">MMS_Feedlot_AtmosphericDeposition_Equations.VEERG_4_1_1_5__2_VolatilisedNitrogenFromManureManagement(P24,$E33)</f>
        <v>685.60790399999985</v>
      </c>
    </row>
    <row r="42" spans="3:19" ht="20.100000000000001" customHeight="1" x14ac:dyDescent="0.25">
      <c r="D42" s="55" t="str">
        <f>INDEX(X_Table_Feedlot_MMS_Stage2,4,1)</f>
        <v>Composting (passive windrow)</v>
      </c>
      <c r="E42" s="55" cm="1">
        <f t="array" aca="1" ref="E42" ca="1">MMS_Feedlot_AtmosphericDeposition_Equations.VEERG_4_1_1_5__2_VolatilisedNitrogenFromManureManagement(E25,$E34)</f>
        <v>500.14357585920027</v>
      </c>
      <c r="F42" s="55" cm="1">
        <f t="array" aca="1" ref="F42" ca="1">MMS_Feedlot_AtmosphericDeposition_Equations.VEERG_4_1_1_5__2_VolatilisedNitrogenFromManureManagement(F25,$E34)</f>
        <v>759.49518274560012</v>
      </c>
      <c r="G42" s="55" cm="1">
        <f t="array" aca="1" ref="G42" ca="1">MMS_Feedlot_AtmosphericDeposition_Equations.VEERG_4_1_1_5__2_VolatilisedNitrogenFromManureManagement(G25,$E34)</f>
        <v>1096.9726463999998</v>
      </c>
      <c r="H42" s="2"/>
      <c r="I42" s="2"/>
      <c r="M42" s="55" t="str">
        <f>INDEX(X_Table_Feedlot_MMS_Stage2,4,1)</f>
        <v>Composting (passive windrow)</v>
      </c>
      <c r="N42" s="55" cm="1">
        <f t="array" aca="1" ref="N42" ca="1">MMS_Feedlot_AtmosphericDeposition_Equations.VEERG_4_1_1_5__2_VolatilisedNitrogenFromManureManagement(N25,$E34)</f>
        <v>500.14357585920027</v>
      </c>
      <c r="O42" s="55" cm="1">
        <f t="array" aca="1" ref="O42" ca="1">MMS_Feedlot_AtmosphericDeposition_Equations.VEERG_4_1_1_5__2_VolatilisedNitrogenFromManureManagement(O25,$E34)</f>
        <v>759.49518274560012</v>
      </c>
      <c r="P42" s="55" cm="1">
        <f t="array" aca="1" ref="P42" ca="1">MMS_Feedlot_AtmosphericDeposition_Equations.VEERG_4_1_1_5__2_VolatilisedNitrogenFromManureManagement(P25,$E34)</f>
        <v>1096.9726463999998</v>
      </c>
    </row>
    <row r="43" spans="3:19" ht="20.100000000000001" customHeight="1" x14ac:dyDescent="0.25">
      <c r="D43" s="55" t="str">
        <f>INDEX(X_Table_Feedlot_MMS_Stage2,5,1)</f>
        <v>Direct application</v>
      </c>
      <c r="E43" s="55" t="s">
        <v>315</v>
      </c>
      <c r="F43" s="55" t="s">
        <v>315</v>
      </c>
      <c r="G43" s="55" t="s">
        <v>315</v>
      </c>
      <c r="H43" s="2"/>
      <c r="I43" s="2"/>
      <c r="M43" s="55" t="str">
        <f>INDEX(X_Table_Feedlot_MMS_Stage2,5,1)</f>
        <v>Direct application</v>
      </c>
      <c r="N43" s="55" t="s">
        <v>315</v>
      </c>
      <c r="O43" s="55" t="s">
        <v>315</v>
      </c>
      <c r="P43" s="55" t="s">
        <v>315</v>
      </c>
    </row>
    <row r="44" spans="3:19" ht="20.100000000000001" customHeight="1" x14ac:dyDescent="0.25">
      <c r="D44" s="55" t="str">
        <f>INDEX(X_Table_Feedlot_MMS_Stage3,3,1)</f>
        <v>Anaerobic lagoon</v>
      </c>
      <c r="E44" s="55" cm="1">
        <f t="array" aca="1" ref="E44" ca="1">MMS_Feedlot_AtmosphericDeposition_Equations.VEERG_4_1_1_5__2_VolatilisedNitrogenFromManureManagement(E27,$E35)</f>
        <v>116.82478080000003</v>
      </c>
      <c r="F44" s="55" cm="1">
        <f t="array" aca="1" ref="F44" ca="1">MMS_Feedlot_AtmosphericDeposition_Equations.VEERG_4_1_1_5__2_VolatilisedNitrogenFromManureManagement(F27,$E35)</f>
        <v>177.40477440000001</v>
      </c>
      <c r="G44" s="55" cm="1">
        <f t="array" aca="1" ref="G44" ca="1">MMS_Feedlot_AtmosphericDeposition_Equations.VEERG_4_1_1_5__2_VolatilisedNitrogenFromManureManagement(G27,$E35)</f>
        <v>256.23359999999991</v>
      </c>
      <c r="H44" s="2"/>
      <c r="I44" s="2"/>
      <c r="M44" s="55" t="str">
        <f>INDEX(X_Table_Feedlot_MMS_Stage3,3,1)</f>
        <v>Anaerobic lagoon</v>
      </c>
      <c r="N44" s="55" cm="1">
        <f t="array" aca="1" ref="N44" ca="1">MMS_Feedlot_AtmosphericDeposition_Equations.VEERG_4_1_1_5__2_VolatilisedNitrogenFromManureManagement(N27,$E35)</f>
        <v>116.82478080000003</v>
      </c>
      <c r="O44" s="55" cm="1">
        <f t="array" aca="1" ref="O44" ca="1">MMS_Feedlot_AtmosphericDeposition_Equations.VEERG_4_1_1_5__2_VolatilisedNitrogenFromManureManagement(O27,$E35)</f>
        <v>177.40477440000001</v>
      </c>
      <c r="P44" s="55" cm="1">
        <f t="array" aca="1" ref="P44" ca="1">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22" t="s">
        <v>266</v>
      </c>
      <c r="E46" s="48">
        <f ca="1">SUM(E40:G44)</f>
        <v>51562.512848332786</v>
      </c>
      <c r="F46" s="120" t="str">
        <f>$E$12</f>
        <v>kg N</v>
      </c>
      <c r="M46" s="122" t="s">
        <v>266</v>
      </c>
      <c r="N46" s="48">
        <f ca="1">SUM(N40:P44)</f>
        <v>51562.512848332786</v>
      </c>
      <c r="O46" s="120" t="str">
        <f>$E$12</f>
        <v>kg N</v>
      </c>
    </row>
    <row r="47" spans="3:19" ht="20.100000000000001" customHeight="1" x14ac:dyDescent="0.25"/>
    <row r="48" spans="3:19" ht="20.100000000000001" customHeight="1" x14ac:dyDescent="0.25">
      <c r="C48" s="121"/>
      <c r="D48" s="121"/>
      <c r="E48" s="121"/>
      <c r="F48" s="121"/>
      <c r="G48" s="121"/>
      <c r="H48" s="121"/>
      <c r="I48" s="121"/>
      <c r="J48" s="121"/>
      <c r="L48" s="121"/>
      <c r="M48" s="121"/>
      <c r="N48" s="121"/>
      <c r="O48" s="121"/>
      <c r="P48" s="121"/>
      <c r="Q48" s="121"/>
      <c r="R48" s="121"/>
      <c r="S48" s="121"/>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26</v>
      </c>
      <c r="E52" s="13" t="str" cm="1">
        <f t="array" aca="1" ref="E52" ca="1">Common_InputFunctions.Utility_DisplayFunctionName(E65)</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6" t="s">
        <v>29</v>
      </c>
      <c r="E55" s="1" t="str" cm="1">
        <f t="array" ref="E55">MMS_Feedlot_AtmosphericDeposition_Equations.VEERG_4_1_1_5__1_TotalAnnualAtmosphericDepositionEmissions_Variable()</f>
        <v>E_N2Oad</v>
      </c>
    </row>
    <row r="56" spans="4:18" ht="20.100000000000001" customHeight="1" x14ac:dyDescent="0.25">
      <c r="D56" s="56" t="s">
        <v>19</v>
      </c>
      <c r="E56" s="57"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38" t="str" cm="1">
        <f t="array" ref="D58:E63">_xlfn.CHOOSECOLS(MMS_Feedlot_AtmosphericDeposition_Equations.VEERG_4_1_1_5__1_TotalAnnualAtmosphericDepositionEmissions_Arguments(),1,2)</f>
        <v>MMS_ATMOS</v>
      </c>
      <c r="E58" s="141" t="str">
        <v>mass of N volatilised from MMS</v>
      </c>
      <c r="F58" s="140"/>
      <c r="G58" s="138" t="str" cm="1">
        <f t="array" ref="G58:H63">_xlfn.CHOOSECOLS(MMS_Feedlot_AtmosphericDeposition_Equations.VEERG_4_1_1_5__1_TotalAnnualAtmosphericDepositionEmissions_Arguments(),3,4)</f>
        <v>kg N</v>
      </c>
      <c r="H58" s="130" t="str">
        <v>Calculated from 4.1.1.5 (2)</v>
      </c>
      <c r="I58" s="138">
        <f ca="1">$E$46</f>
        <v>51562.512848332786</v>
      </c>
      <c r="M58" s="138" t="str" cm="1">
        <f t="array" ref="M58:N63">_xlfn.CHOOSECOLS(MMS_Feedlot_AtmosphericDeposition_Equations.VEERG_4_1_1_5__1_TotalAnnualAtmosphericDepositionEmissions_Arguments(),1,2)</f>
        <v>MMS_ATMOS</v>
      </c>
      <c r="N58" s="141" t="str">
        <v>mass of N volatilised from MMS</v>
      </c>
      <c r="O58" s="140"/>
      <c r="P58" s="138" t="str" cm="1">
        <f t="array" ref="P58:Q63">_xlfn.CHOOSECOLS(MMS_Feedlot_AtmosphericDeposition_Equations.VEERG_4_1_1_5__1_TotalAnnualAtmosphericDepositionEmissions_Arguments(),3,4)</f>
        <v>kg N</v>
      </c>
      <c r="Q58" s="130" t="str">
        <v>Calculated from 4.1.1.5 (2)</v>
      </c>
      <c r="R58" s="60">
        <f ca="1">$N$46</f>
        <v>51562.512848332786</v>
      </c>
    </row>
    <row r="59" spans="4:18" ht="20.100000000000001" customHeight="1" x14ac:dyDescent="0.25">
      <c r="D59" s="138" t="str">
        <v>EF_N2O</v>
      </c>
      <c r="E59" s="141" t="str">
        <v>nitrous oxide emission factor for atmospheric deposition</v>
      </c>
      <c r="F59" s="140"/>
      <c r="G59" s="138" t="str">
        <v>kg N2O-N/kg N</v>
      </c>
      <c r="H59" s="130" t="str">
        <v>Constant</v>
      </c>
      <c r="I59" s="138">
        <f>Common_InputFunctions.Utility_LookupN2OEFFromProdIrrigationRainfall($I$61,$I$62,$I$63,Table_SourceData_Common_EFN2O[Production system only],Table_SourceData_Common_EFN2O[Irrigation method],Table_SourceData_Common_EFN2O[Rainfall zone],Table_SourceData_Common_EFN2O[EFN2O])</f>
        <v>1.8E-3</v>
      </c>
      <c r="M59" s="138" t="str">
        <v>EF_N2O</v>
      </c>
      <c r="N59" s="141" t="str">
        <v>nitrous oxide emission factor for atmospheric deposition</v>
      </c>
      <c r="O59" s="140"/>
      <c r="P59" s="138" t="str">
        <v>kg N2O-N/kg N</v>
      </c>
      <c r="Q59" s="130" t="str">
        <v>Constant</v>
      </c>
      <c r="R59" s="60"/>
    </row>
    <row r="60" spans="4:18" ht="20.100000000000001" customHeight="1" x14ac:dyDescent="0.25">
      <c r="D60" s="138" t="str">
        <v>C_N2O</v>
      </c>
      <c r="E60" s="141" t="str">
        <v>factor to convert elemental mass of nitrous oxide to molecular mass</v>
      </c>
      <c r="F60" s="140"/>
      <c r="G60" s="138" t="str">
        <v/>
      </c>
      <c r="H60" s="130" t="str">
        <v>Constant</v>
      </c>
      <c r="I60" s="138">
        <f>Common_InputFunctions.Utility_LookupValueInTableNumber("N2O",Table_GasToMolecularConversionFactor[Gas],Table_GasToMolecularConversionFactor[Conversion factor combined])</f>
        <v>1.5714285714285714</v>
      </c>
      <c r="M60" s="138" t="str">
        <v>C_N2O</v>
      </c>
      <c r="N60" s="141" t="str">
        <v>factor to convert elemental mass of nitrous oxide to molecular mass</v>
      </c>
      <c r="O60" s="140"/>
      <c r="P60" s="138" t="str">
        <v/>
      </c>
      <c r="Q60" s="130" t="str">
        <v>Constant</v>
      </c>
      <c r="R60" s="60"/>
    </row>
    <row r="61" spans="4:18" ht="20.100000000000001" customHeight="1" x14ac:dyDescent="0.25">
      <c r="D61" s="138" t="str">
        <v>j</v>
      </c>
      <c r="E61" s="141" t="str">
        <v>production system</v>
      </c>
      <c r="F61" s="140"/>
      <c r="G61" s="138" t="str">
        <v/>
      </c>
      <c r="H61" s="129" t="str">
        <v>Input</v>
      </c>
      <c r="I61" s="138" t="str">
        <f>'Input - Feedlot'!$E$41</f>
        <v>Pasture</v>
      </c>
      <c r="M61" s="138" t="str">
        <v>j</v>
      </c>
      <c r="N61" s="141" t="str">
        <v>production system</v>
      </c>
      <c r="O61" s="140"/>
      <c r="P61" s="138" t="str">
        <v/>
      </c>
      <c r="Q61" s="129" t="str">
        <v>Input</v>
      </c>
      <c r="R61" s="60"/>
    </row>
    <row r="62" spans="4:18" ht="20.100000000000001" customHeight="1" x14ac:dyDescent="0.25">
      <c r="D62" s="138" t="str">
        <v>i</v>
      </c>
      <c r="E62" s="141" t="str">
        <v>irrigation method</v>
      </c>
      <c r="F62" s="140"/>
      <c r="G62" s="138" t="str">
        <v/>
      </c>
      <c r="H62" s="129" t="str">
        <v>Input</v>
      </c>
      <c r="I62" s="138" t="str">
        <f>'Input - Feedlot'!$E$42</f>
        <v>Not irrigated</v>
      </c>
      <c r="M62" s="138" t="str">
        <v>i</v>
      </c>
      <c r="N62" s="141" t="str">
        <v>irrigation method</v>
      </c>
      <c r="O62" s="140"/>
      <c r="P62" s="138" t="str">
        <v/>
      </c>
      <c r="Q62" s="129" t="str">
        <v>Input</v>
      </c>
      <c r="R62" s="60"/>
    </row>
    <row r="63" spans="4:18" ht="20.100000000000001" customHeight="1" x14ac:dyDescent="0.25">
      <c r="D63" s="138" t="str">
        <v>r</v>
      </c>
      <c r="E63" s="141" t="str">
        <v>rainfall zone</v>
      </c>
      <c r="F63" s="140"/>
      <c r="G63" s="138" t="str">
        <v/>
      </c>
      <c r="H63" s="129" t="str">
        <v>Input</v>
      </c>
      <c r="I63" s="138" t="str">
        <f>'Input - Site'!$E$30</f>
        <v>High rainfall</v>
      </c>
      <c r="M63" s="138" t="str">
        <v>r</v>
      </c>
      <c r="N63" s="141" t="str">
        <v>rainfall zone</v>
      </c>
      <c r="O63" s="140"/>
      <c r="P63" s="138" t="str">
        <v/>
      </c>
      <c r="Q63" s="129" t="str">
        <v>Input</v>
      </c>
      <c r="R63" s="60"/>
    </row>
    <row r="64" spans="4:18" ht="20.100000000000001" customHeight="1" x14ac:dyDescent="0.25"/>
    <row r="65" spans="4:16" ht="20.100000000000001" customHeight="1" x14ac:dyDescent="0.25">
      <c r="D65" s="108" t="s">
        <v>280</v>
      </c>
      <c r="E65" s="109" cm="1">
        <f t="array" aca="1" ref="E65" ca="1">MMS_Feedlot_AtmosphericDeposition_Equations.VEERG_4_1_1_5__1_TotalAnnualAtmosphericDepositionEmissions(I58,I59,I60)</f>
        <v>0.1458482506281413</v>
      </c>
      <c r="F65" s="110" t="str">
        <f>$E$56</f>
        <v>t N2O</v>
      </c>
      <c r="M65" s="108" t="s">
        <v>280</v>
      </c>
      <c r="N65" s="109" cm="1">
        <f t="array" aca="1" ref="N65" ca="1">MMS_Feedlot_AtmosphericDeposition_Equations.VEERG_4_1_1_5__1_TotalAnnualAtmosphericDepositionEmissions(R58,I59,I60)</f>
        <v>0.1458482506281413</v>
      </c>
      <c r="O65" s="110" t="str">
        <f>$E$56</f>
        <v>t N2O</v>
      </c>
    </row>
    <row r="66" spans="4:16" ht="20.100000000000001" customHeight="1" x14ac:dyDescent="0.25"/>
    <row r="67" spans="4:16" ht="20.100000000000001" customHeight="1" x14ac:dyDescent="0.25">
      <c r="D67" s="60" t="str" cm="1">
        <f t="array" ref="D67:E68">Common_Equations.Common_ConvertN2OToCO2e_Arguments()</f>
        <v>EN2O</v>
      </c>
      <c r="E67" s="61" t="str">
        <v>Nitrous oxide emissions (t N2O)</v>
      </c>
      <c r="F67" s="111"/>
      <c r="G67" s="55">
        <f ca="1">E65</f>
        <v>0.1458482506281413</v>
      </c>
      <c r="M67" s="60" t="str" cm="1">
        <f t="array" ref="M67:N68">Common_Equations.Common_ConvertN2OToCO2e_Arguments()</f>
        <v>EN2O</v>
      </c>
      <c r="N67" s="61" t="str">
        <v>Nitrous oxide emissions (t N2O)</v>
      </c>
      <c r="O67" s="111"/>
      <c r="P67" s="55">
        <f ca="1">N65</f>
        <v>0.1458482506281413</v>
      </c>
    </row>
    <row r="68" spans="4:16" ht="20.100000000000001" customHeight="1" x14ac:dyDescent="0.25">
      <c r="D68" s="60" t="str">
        <v>GWPN2O</v>
      </c>
      <c r="E68" s="61" t="str">
        <v>Global warming potential for nitrous oxide (t CO2-e / t N2O)</v>
      </c>
      <c r="F68" s="111"/>
      <c r="G68" s="55">
        <f>Common_InputFunctions.Utility_LookupValueInTableNumber("N2O",Table_GWPData[Gas],Table_GWPData[CO2-e factor])</f>
        <v>265</v>
      </c>
      <c r="M68" s="60" t="str">
        <v>GWPN2O</v>
      </c>
      <c r="N68" s="61" t="str">
        <v>Global warming potential for nitrous oxide (t CO2-e / t N2O)</v>
      </c>
      <c r="O68" s="111"/>
      <c r="P68" s="55">
        <f>Common_InputFunctions.Utility_LookupValueInTableNumber("N2O",Table_GWPData[Gas],Table_GWPData[CO2-e factor])</f>
        <v>265</v>
      </c>
    </row>
    <row r="69" spans="4:16" ht="20.100000000000001" customHeight="1" x14ac:dyDescent="0.25"/>
    <row r="70" spans="4:16" ht="20.100000000000001" customHeight="1" x14ac:dyDescent="0.25">
      <c r="D70" s="48" t="s">
        <v>126</v>
      </c>
      <c r="E70" s="48" cm="1">
        <f t="array" aca="1" ref="E70" ca="1">Common_Equations.Common_ConvertN2OToCO2e(G67,G68)</f>
        <v>38.649786416457445</v>
      </c>
      <c r="F70" s="112" t="str" cm="1">
        <f t="array" ref="F70">Common_Equations.Common_ConvertN2OToCO2e_Unit()</f>
        <v>t CO2e</v>
      </c>
      <c r="M70" s="48" t="s">
        <v>126</v>
      </c>
      <c r="N70" s="48" cm="1">
        <f t="array" aca="1" ref="N70" ca="1">Common_Equations.Common_ConvertN2OToCO2e(P67,P68)</f>
        <v>38.649786416457445</v>
      </c>
      <c r="O70" s="112"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S165"/>
  <sheetViews>
    <sheetView showGridLines="0" topLeftCell="A85" zoomScaleNormal="100" workbookViewId="0">
      <selection activeCell="E99" sqref="E9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8" t="e" vm="1">
        <v>#VALUE!</v>
      </c>
      <c r="C1" s="8" t="s">
        <v>226</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K3" s="4"/>
      <c r="M3" s="4"/>
      <c r="N3" s="4" t="s">
        <v>159</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A6" s="16"/>
      <c r="D6" s="5" t="str" cm="1">
        <f t="array" ref="D6">MMS_Feedlot_ManureAppliedToSoils_Equations.VEERG_4_1_1_9__1_MassOfNitrogenAppliedToSoilsScope1_Source()</f>
        <v>VEERG 2026: 4.1.1.9, Equation (1)</v>
      </c>
    </row>
    <row r="7" spans="1:19" ht="20.100000000000001" customHeight="1" x14ac:dyDescent="0.25">
      <c r="A7" s="20" t="s">
        <v>3</v>
      </c>
      <c r="D7" s="13" t="s">
        <v>26</v>
      </c>
      <c r="E7" s="13" t="str" cm="1">
        <f t="array" aca="1" ref="E7" ca="1">Common_InputFunctions.Utility_DisplayFunctionName(E56)</f>
        <v>=MMS_Feedlot_ManureAppliedToSoils_Equations.VEERG_4_1_1_9__1_MassOfNitrogenAppliedToSoilsScope1</v>
      </c>
    </row>
    <row r="8" spans="1:19" ht="20.100000000000001" customHeight="1" x14ac:dyDescent="0.25">
      <c r="A8" s="17" t="str">
        <f>HYPERLINK("#'Input - Site'!A1", "Site")</f>
        <v>Site</v>
      </c>
    </row>
    <row r="9" spans="1:19" ht="20.100000000000001" customHeight="1" x14ac:dyDescent="0.25">
      <c r="A9" s="17" t="str">
        <f>HYPERLINK("#'Input - Feedlot'!A1", "Feedlot")</f>
        <v>Feedlot</v>
      </c>
      <c r="D9" s="6"/>
    </row>
    <row r="10" spans="1:19" ht="20.100000000000001" customHeight="1" x14ac:dyDescent="0.25">
      <c r="A10" s="17"/>
    </row>
    <row r="11" spans="1:19" ht="20.100000000000001" customHeight="1" x14ac:dyDescent="0.25">
      <c r="A11" s="19" t="s">
        <v>76</v>
      </c>
      <c r="D11" s="56" t="s">
        <v>29</v>
      </c>
      <c r="E11" s="1" t="str" cm="1">
        <f t="array" ref="E11">MMS_Feedlot_ManureAppliedToSoils_Equations.VEERG_4_1_1_9__1_MassOfNitrogenAppliedToSoilsScope1_Variable()</f>
        <v>MNSoil_scope1</v>
      </c>
    </row>
    <row r="12" spans="1:19" ht="20.100000000000001" customHeight="1" x14ac:dyDescent="0.25">
      <c r="A12" s="17" t="str">
        <f>HYPERLINK("#'4.1.1.1-2 Methane'!A1", "4.1.1.1-2 Methane")</f>
        <v>4.1.1.1-2 Methane</v>
      </c>
      <c r="D12" s="56" t="s">
        <v>19</v>
      </c>
      <c r="E12" s="57" t="str" cm="1">
        <f t="array" ref="E12">MMS_Feedlot_ManureAppliedToSoils_Equations.VEERG_4_1_1_9__1_MassOfNitrogenAppliedToSoilsScope1_Unit()</f>
        <v>kg N</v>
      </c>
    </row>
    <row r="13" spans="1:19" ht="20.100000000000001" customHeight="1" x14ac:dyDescent="0.25">
      <c r="A13" s="17" t="str">
        <f>HYPERLINK("#'4.1.1.3-4 Direct N20'!A1", "4.1.1.3-4 Direct N2O")</f>
        <v>4.1.1.3-4 Direct N2O</v>
      </c>
    </row>
    <row r="14" spans="1:19" ht="20.100000000000001" customHeight="1" x14ac:dyDescent="0.25">
      <c r="A14" s="17" t="str">
        <f>HYPERLINK("#'4.1.1.5-6 Atmos Deposition'!A1", "4.1.1.5-6 Atmospheric deposition")</f>
        <v>4.1.1.5-6 Atmospheric deposition</v>
      </c>
      <c r="D14" s="138" t="str" cm="1">
        <f t="array" ref="D14:E17">_xlfn.CHOOSECOLS(MMS_Feedlot_ManureAppliedToSoils_Equations.VEERG_4_1_1_9__1_MassOfNitrogenAppliedToSoilsScope1_Arguments(),1,2)</f>
        <v>MN_jmT23</v>
      </c>
      <c r="E14" s="141" t="str">
        <v>mass of N in secondary and tertiary treatment MMS stages as calculated for manure management</v>
      </c>
      <c r="F14" s="142"/>
      <c r="G14" s="140"/>
      <c r="H14" s="138" t="str" cm="1">
        <f t="array" ref="H14:I17">_xlfn.CHOOSECOLS(MMS_Feedlot_ManureAppliedToSoils_Equations.VEERG_4_1_1_9__1_MassOfNitrogenAppliedToSoilsScope1_Arguments(),3,4)</f>
        <v>kg N</v>
      </c>
      <c r="I14" s="130" t="str">
        <v>Calculated from 4.1.1.3 (6)(8)</v>
      </c>
      <c r="J14" s="139" t="str" cm="1">
        <f t="array" aca="1" ref="J14" ca="1">HYPERLINK(Common_InputFunctions.Utility_SourceHyperlink($D$19),$D$19)</f>
        <v>M1_Table_MN_j_m_T-2-3</v>
      </c>
    </row>
    <row r="15" spans="1:19" ht="20.100000000000001" customHeight="1" x14ac:dyDescent="0.25">
      <c r="A15" s="22" t="str">
        <f>HYPERLINK("#'4.1.1.9 Manure applied to soils'!A1", "4.1.1.9 Manure applied to soils")</f>
        <v>4.1.1.9 Manure applied to soils</v>
      </c>
      <c r="D15" s="138" t="str">
        <v>EF_mT23</v>
      </c>
      <c r="E15" s="141" t="str">
        <v>nitrous oxide emission factor for each MMS</v>
      </c>
      <c r="F15" s="142"/>
      <c r="G15" s="140"/>
      <c r="H15" s="138" t="str">
        <v>kg N2O-N/kg N</v>
      </c>
      <c r="I15" s="130" t="str">
        <v>Constant</v>
      </c>
      <c r="J15" s="139" t="str" cm="1">
        <f t="array" aca="1" ref="J15" ca="1">HYPERLINK(Common_InputFunctions.Utility_SourceHyperlink($D$27),$D$27)</f>
        <v>Table_EF_j_m_T-2-3</v>
      </c>
    </row>
    <row r="16" spans="1:19" ht="20.100000000000001" customHeight="1" x14ac:dyDescent="0.25">
      <c r="D16" s="138" t="str">
        <v>FracGASM_mT23</v>
      </c>
      <c r="E16" s="141" t="str">
        <v>fraction of animal waste N volatilised in each MMS for each cattle group</v>
      </c>
      <c r="F16" s="142"/>
      <c r="G16" s="140"/>
      <c r="H16" s="138" t="str">
        <v>(kg NH3-N + NOx-N)/kg N</v>
      </c>
      <c r="I16" s="130" t="str">
        <v>Constant</v>
      </c>
      <c r="J16" s="139" t="str" cm="1">
        <f t="array" aca="1" ref="J16" ca="1">HYPERLINK(Common_InputFunctions.Utility_SourceHyperlink($D$36),$D$36)</f>
        <v>Table_FracGASM_m_T-2-3</v>
      </c>
    </row>
    <row r="17" spans="1:18" ht="20.100000000000001" customHeight="1" x14ac:dyDescent="0.25">
      <c r="A17" s="18" t="s">
        <v>4</v>
      </c>
      <c r="D17" s="138" t="str">
        <v>PF</v>
      </c>
      <c r="E17" s="141" t="str">
        <v>fraction of manure applied to soil within the feedlot boundary</v>
      </c>
      <c r="F17" s="142"/>
      <c r="G17" s="140"/>
      <c r="H17" s="138" t="str">
        <v>fraction</v>
      </c>
      <c r="I17" s="129" t="str">
        <v>Input</v>
      </c>
      <c r="J17" s="139" t="str" cm="1">
        <f t="array" aca="1" ref="J17" ca="1">HYPERLINK(Common_InputFunctions.Utility_SourceHyperlink($D$45),$D$45)</f>
        <v>Table_PF</v>
      </c>
    </row>
    <row r="18" spans="1:18" ht="20.100000000000001" customHeight="1" x14ac:dyDescent="0.25">
      <c r="A18" s="17" t="str">
        <f>HYPERLINK("#'Constants - Feedlot'!A1", "Constants - Feedlot")</f>
        <v>Constants - Feedlot</v>
      </c>
    </row>
    <row r="19" spans="1:18" ht="20.100000000000001" customHeight="1" x14ac:dyDescent="0.25">
      <c r="A19" s="17" t="str">
        <f>HYPERLINK("#'Constants - Livestock'!A1", "Constants - Livestock")</f>
        <v>Constants - Livestock</v>
      </c>
      <c r="D19" s="104" t="s">
        <v>228</v>
      </c>
      <c r="N19" s="104" t="s">
        <v>236</v>
      </c>
    </row>
    <row r="20" spans="1:18" ht="20.100000000000001" customHeight="1" x14ac:dyDescent="0.25">
      <c r="A20" s="17" t="str">
        <f>HYPERLINK("#'Constants - Common'!A1", "Constants - Common")</f>
        <v>Constants - Common</v>
      </c>
      <c r="D20" s="103" t="s">
        <v>238</v>
      </c>
      <c r="N20" s="103" t="s">
        <v>237</v>
      </c>
    </row>
    <row r="21" spans="1:18" ht="20.100000000000001" customHeight="1" x14ac:dyDescent="0.25">
      <c r="A21" s="17" t="str">
        <f>HYPERLINK("#'Acknowledgements'!A1", "Acknowledgements")</f>
        <v>Acknowledgements</v>
      </c>
      <c r="D21" s="54" t="s">
        <v>67</v>
      </c>
      <c r="E21" s="54" t="s">
        <v>137</v>
      </c>
      <c r="F21" s="54" t="s">
        <v>138</v>
      </c>
      <c r="G21" s="54" t="s">
        <v>139</v>
      </c>
      <c r="N21" s="54" t="s">
        <v>67</v>
      </c>
      <c r="O21" s="54" t="s">
        <v>137</v>
      </c>
      <c r="P21" s="54" t="s">
        <v>138</v>
      </c>
      <c r="Q21" s="54" t="s">
        <v>139</v>
      </c>
    </row>
    <row r="22" spans="1:18" ht="20.100000000000001" customHeight="1" x14ac:dyDescent="0.25">
      <c r="D22" s="55" t="str">
        <f>INDEX(X_Table_Feedlot_MMS_Stage2,3,1)</f>
        <v>Solid storage</v>
      </c>
      <c r="E22" s="55">
        <f ca="1">INDEX(M1_Table_MN_j_m_T2_Consumer_1,2,2)</f>
        <v>1250.3589396480006</v>
      </c>
      <c r="F22" s="55">
        <f ca="1">INDEX(M1_Table_MN_j_m_T2_Consumer_1,2,3)</f>
        <v>1898.7379568640001</v>
      </c>
      <c r="G22" s="55">
        <f ca="1">INDEX(M1_Table_MN_j_m_T2_Consumer_1,2,4)</f>
        <v>2742.4316159999994</v>
      </c>
      <c r="H22" s="2" t="s">
        <v>227</v>
      </c>
      <c r="I22" s="2"/>
      <c r="J22" s="2"/>
      <c r="N22" s="55" t="str">
        <f>INDEX(X_Table_Feedlot_MMS_Stage2,3,1)</f>
        <v>Solid storage</v>
      </c>
      <c r="O22" s="55">
        <f ca="1">INDEX(M1_Table_MN_j_m_T2,2,2)</f>
        <v>1250.3589396480006</v>
      </c>
      <c r="P22" s="55">
        <f ca="1">INDEX(M1_Table_MN_j_m_T2,2,3)</f>
        <v>1898.7379568640001</v>
      </c>
      <c r="Q22" s="55">
        <f ca="1">INDEX(M1_Table_MN_j_m_T2,2,4)</f>
        <v>2742.4316159999994</v>
      </c>
      <c r="R22" s="2" t="s">
        <v>227</v>
      </c>
    </row>
    <row r="23" spans="1:18" ht="20.100000000000001" customHeight="1" x14ac:dyDescent="0.25">
      <c r="D23" s="55" t="str">
        <f>INDEX(X_Table_Feedlot_MMS_Stage2,4,1)</f>
        <v>Composting (passive windrow)</v>
      </c>
      <c r="E23" s="55">
        <f ca="1">INDEX(M1_Table_MN_j_m_T2_Consumer_1,3,2)</f>
        <v>1250.3589396480006</v>
      </c>
      <c r="F23" s="55">
        <f ca="1">INDEX(M1_Table_MN_j_m_T2_Consumer_1,3,3)</f>
        <v>1898.7379568640001</v>
      </c>
      <c r="G23" s="55">
        <f ca="1">INDEX(M1_Table_MN_j_m_T2_Consumer_1,3,4)</f>
        <v>2742.4316159999994</v>
      </c>
      <c r="H23" s="2" t="s">
        <v>227</v>
      </c>
      <c r="I23" s="2"/>
      <c r="J23" s="2"/>
      <c r="N23" s="55" t="str">
        <f>INDEX(X_Table_Feedlot_MMS_Stage2,4,1)</f>
        <v>Composting (passive windrow)</v>
      </c>
      <c r="O23" s="55">
        <f ca="1">INDEX(M1_Table_MN_j_m_T2,3,2)</f>
        <v>1250.3589396480006</v>
      </c>
      <c r="P23" s="55">
        <f ca="1">INDEX(M1_Table_MN_j_m_T2,3,3)</f>
        <v>1898.7379568640001</v>
      </c>
      <c r="Q23" s="55">
        <f ca="1">INDEX(M1_Table_MN_j_m_T2,3,4)</f>
        <v>2742.4316159999994</v>
      </c>
      <c r="R23" s="2" t="s">
        <v>227</v>
      </c>
    </row>
    <row r="24" spans="1:18" ht="20.100000000000001" customHeight="1" x14ac:dyDescent="0.25">
      <c r="A24" s="17"/>
      <c r="D24" s="55" t="str">
        <f>INDEX(X_Table_Feedlot_MMS_Stage2,5,1)</f>
        <v>Direct application</v>
      </c>
      <c r="E24" s="55">
        <f ca="1">INDEX(M1_Table_MN_j_m_T2_Consumer_1,4,2)</f>
        <v>3751.0768189440014</v>
      </c>
      <c r="F24" s="55">
        <f ca="1">INDEX(M1_Table_MN_j_m_T2_Consumer_1,4,3)</f>
        <v>5696.2138705919997</v>
      </c>
      <c r="G24" s="55">
        <f ca="1">INDEX(M1_Table_MN_j_m_T2_Consumer_1,4,4)</f>
        <v>8227.2948479999977</v>
      </c>
      <c r="N24" s="55" t="str">
        <f>INDEX(X_Table_Feedlot_MMS_Stage2,5,1)</f>
        <v>Direct application</v>
      </c>
      <c r="O24" s="55">
        <f ca="1">INDEX(M1_Table_MN_j_m_T2,4,2)</f>
        <v>3751.0768189440014</v>
      </c>
      <c r="P24" s="55">
        <f ca="1">INDEX(M1_Table_MN_j_m_T2,4,3)</f>
        <v>5696.2138705919997</v>
      </c>
      <c r="Q24" s="55">
        <f ca="1">INDEX(M1_Table_MN_j_m_T2,4,4)</f>
        <v>8227.2948479999977</v>
      </c>
      <c r="R24" s="2" t="s">
        <v>227</v>
      </c>
    </row>
    <row r="25" spans="1:18" ht="20.100000000000001" customHeight="1" x14ac:dyDescent="0.25">
      <c r="A25" s="17"/>
      <c r="D25" s="55" t="str">
        <f>INDEX(X_Table_Feedlot_MMS_Stage3,3,1)</f>
        <v>Anaerobic lagoon</v>
      </c>
      <c r="E25" s="55">
        <f ca="1">INDEX(M1_Table_MN_j_m1_T3,2,2)</f>
        <v>333.78508800000009</v>
      </c>
      <c r="F25" s="55">
        <f ca="1">INDEX(M1_Table_MN_j_m1_T3,2,3)</f>
        <v>506.87078400000007</v>
      </c>
      <c r="G25" s="55">
        <f ca="1">INDEX(M1_Table_MN_j_m1_T3,2,4)</f>
        <v>732.09599999999978</v>
      </c>
      <c r="H25" s="2" t="s">
        <v>227</v>
      </c>
      <c r="I25" s="2"/>
      <c r="J25" s="2"/>
      <c r="N25" s="55" t="str">
        <f>INDEX(X_Table_Feedlot_MMS_Stage3,3,1)</f>
        <v>Anaerobic lagoon</v>
      </c>
      <c r="O25" s="55">
        <f ca="1">INDEX(M2_Table_MN_j_m1_T3,2,2)</f>
        <v>333.78508800000009</v>
      </c>
      <c r="P25" s="55">
        <f ca="1">INDEX(M2_Table_MN_j_m1_T3,2,3)</f>
        <v>506.87078400000007</v>
      </c>
      <c r="Q25" s="55">
        <f ca="1">INDEX(M2_Table_MN_j_m1_T3,2,4)</f>
        <v>732.09599999999978</v>
      </c>
      <c r="R25" s="2" t="s">
        <v>227</v>
      </c>
    </row>
    <row r="26" spans="1:18" ht="20.100000000000001" customHeight="1" x14ac:dyDescent="0.25"/>
    <row r="27" spans="1:18" ht="20.100000000000001" customHeight="1" x14ac:dyDescent="0.25">
      <c r="D27" s="104" t="s">
        <v>230</v>
      </c>
    </row>
    <row r="28" spans="1:18" ht="20.100000000000001" customHeight="1" x14ac:dyDescent="0.25">
      <c r="D28" s="103" t="s">
        <v>170</v>
      </c>
    </row>
    <row r="29" spans="1:18" ht="20.100000000000001" customHeight="1" x14ac:dyDescent="0.25">
      <c r="D29" s="115" t="s">
        <v>67</v>
      </c>
      <c r="E29" s="115" t="s">
        <v>171</v>
      </c>
    </row>
    <row r="30" spans="1:18" ht="20.100000000000001" customHeight="1" x14ac:dyDescent="0.25">
      <c r="D30" s="55" t="str">
        <f>INDEX(X_Table_Feedlot_MMS_Stage1,2,1)</f>
        <v>Drylot (feed pad)</v>
      </c>
      <c r="E30" s="55">
        <f>_xlfn.XLOOKUP(D30, Table_SourceData_Feedlot_NO2EFs[NIR definition], Table_SourceData_Feedlot_NO2EFs[EF mT])</f>
        <v>5.4000000000000003E-3</v>
      </c>
      <c r="F30" s="2" t="s">
        <v>234</v>
      </c>
    </row>
    <row r="31" spans="1:18" ht="20.100000000000001" customHeight="1" x14ac:dyDescent="0.25">
      <c r="D31" s="55" t="str">
        <f>INDEX(X_Table_Feedlot_MMS_Stage2,3,1)</f>
        <v>Solid storage</v>
      </c>
      <c r="E31" s="55">
        <f>_xlfn.XLOOKUP($D$31, Table_SourceData_Feedlot_NO2EFs[NIR definition], Table_SourceData_Feedlot_NO2EFs[EF mT])</f>
        <v>5.0000000000000001E-3</v>
      </c>
      <c r="F31" s="2" t="s">
        <v>234</v>
      </c>
    </row>
    <row r="32" spans="1:18" ht="20.100000000000001" customHeight="1" x14ac:dyDescent="0.25">
      <c r="D32" s="55" t="str">
        <f>INDEX(X_Table_Feedlot_MMS_Stage2,4,1)</f>
        <v>Composting (passive windrow)</v>
      </c>
      <c r="E32" s="55">
        <f>_xlfn.XLOOKUP($D$32, Table_SourceData_Feedlot_NO2EFs[NIR definition], Table_SourceData_Feedlot_NO2EFs[EF mT])</f>
        <v>0.01</v>
      </c>
      <c r="F32" s="2" t="s">
        <v>234</v>
      </c>
    </row>
    <row r="33" spans="4:10" ht="20.100000000000001" customHeight="1" x14ac:dyDescent="0.25">
      <c r="D33" s="55" t="s">
        <v>316</v>
      </c>
      <c r="E33" s="55">
        <f>_xlfn.XLOOKUP($D$33, Table_SourceData_Feedlot_NO2EFs[NIR definition], Table_SourceData_Feedlot_NO2EFs[EF mT])</f>
        <v>0</v>
      </c>
      <c r="F33" s="2" t="s">
        <v>234</v>
      </c>
    </row>
    <row r="34" spans="4:10" ht="20.100000000000001" customHeight="1" x14ac:dyDescent="0.25">
      <c r="D34" s="55" t="str">
        <f>INDEX(X_Table_Feedlot_MMS_Stage3,3,1)</f>
        <v>Anaerobic lagoon</v>
      </c>
      <c r="E34" s="55">
        <f>_xlfn.XLOOKUP($D$34, Table_SourceData_Feedlot_NO2EFs[NIR definition], Table_SourceData_Feedlot_NO2EFs[EF mT])</f>
        <v>0</v>
      </c>
      <c r="F34" s="2" t="s">
        <v>234</v>
      </c>
    </row>
    <row r="35" spans="4:10" ht="20.100000000000001" customHeight="1" x14ac:dyDescent="0.25"/>
    <row r="36" spans="4:10" ht="20.100000000000001" customHeight="1" x14ac:dyDescent="0.25">
      <c r="D36" s="104" t="s">
        <v>229</v>
      </c>
    </row>
    <row r="37" spans="4:10" ht="20.100000000000001" customHeight="1" x14ac:dyDescent="0.25">
      <c r="D37" s="103" t="s">
        <v>231</v>
      </c>
    </row>
    <row r="38" spans="4:10" ht="20.100000000000001" customHeight="1" x14ac:dyDescent="0.25">
      <c r="D38" s="115" t="s">
        <v>67</v>
      </c>
      <c r="E38" s="115" t="s">
        <v>171</v>
      </c>
    </row>
    <row r="39" spans="4:10" ht="20.100000000000001" customHeight="1" x14ac:dyDescent="0.25">
      <c r="D39" s="55" t="str">
        <f>INDEX(X_Table_Feedlot_MMS_Stage1,2,1)</f>
        <v>Drylot (feed pad)</v>
      </c>
      <c r="E39" s="55">
        <f>_xlfn.XLOOKUP(D39, Table_SourceData_Feedlot_FracGASMmT[NIR definition], Table_SourceData_Feedlot_FracGASMmT[FracGASMmT])</f>
        <v>0.6</v>
      </c>
      <c r="F39" s="2" t="s">
        <v>235</v>
      </c>
    </row>
    <row r="40" spans="4:10" ht="20.100000000000001" customHeight="1" x14ac:dyDescent="0.25">
      <c r="D40" s="55" t="str">
        <f>INDEX(X_Table_Feedlot_MMS_Stage2,3,1)</f>
        <v>Solid storage</v>
      </c>
      <c r="E40" s="55">
        <f>_xlfn.XLOOKUP(D40, Table_SourceData_Feedlot_FracGASMmT[NIR definition], Table_SourceData_Feedlot_FracGASMmT[FracGASMmT])</f>
        <v>0.25</v>
      </c>
      <c r="F40" s="2" t="s">
        <v>235</v>
      </c>
    </row>
    <row r="41" spans="4:10" ht="20.100000000000001" customHeight="1" x14ac:dyDescent="0.25">
      <c r="D41" s="55" t="str">
        <f>INDEX(X_Table_Feedlot_MMS_Stage2,4,1)</f>
        <v>Composting (passive windrow)</v>
      </c>
      <c r="E41" s="55">
        <f>_xlfn.XLOOKUP(D41, Table_SourceData_Feedlot_FracGASMmT[NIR definition], Table_SourceData_Feedlot_FracGASMmT[FracGASMmT])</f>
        <v>0.4</v>
      </c>
      <c r="F41" s="2" t="s">
        <v>235</v>
      </c>
    </row>
    <row r="42" spans="4:10" ht="20.100000000000001" customHeight="1" x14ac:dyDescent="0.25">
      <c r="D42" s="55" t="str">
        <f>INDEX(X_Table_Feedlot_MMS_Stage2,5,1)</f>
        <v>Direct application</v>
      </c>
      <c r="E42" s="55">
        <f>_xlfn.XLOOKUP(D42, Table_SourceData_Feedlot_FracGASMmT[NIR definition], Table_SourceData_Feedlot_FracGASMmT[FracGASMmT])</f>
        <v>0</v>
      </c>
      <c r="F42" s="2" t="s">
        <v>235</v>
      </c>
    </row>
    <row r="43" spans="4:10" ht="20.100000000000001" customHeight="1" x14ac:dyDescent="0.25">
      <c r="D43" s="55" t="str">
        <f>INDEX(X_Table_Feedlot_MMS_Stage3,3,1)</f>
        <v>Anaerobic lagoon</v>
      </c>
      <c r="E43" s="55">
        <f>_xlfn.XLOOKUP(D43, Table_SourceData_Feedlot_FracGASMmT[NIR definition], Table_SourceData_Feedlot_FracGASMmT[FracGASMmT])</f>
        <v>0.35</v>
      </c>
      <c r="F43" s="2" t="s">
        <v>235</v>
      </c>
    </row>
    <row r="44" spans="4:10" ht="20.100000000000001" customHeight="1" x14ac:dyDescent="0.25"/>
    <row r="45" spans="4:10" ht="20.100000000000001" customHeight="1" x14ac:dyDescent="0.25">
      <c r="D45" s="104" t="s">
        <v>232</v>
      </c>
    </row>
    <row r="46" spans="4:10" ht="20.100000000000001" customHeight="1" x14ac:dyDescent="0.25">
      <c r="D46" s="103" t="s">
        <v>233</v>
      </c>
    </row>
    <row r="47" spans="4:10" ht="20.100000000000001" customHeight="1" x14ac:dyDescent="0.25">
      <c r="D47" s="65" t="s">
        <v>67</v>
      </c>
      <c r="E47" s="65" t="s">
        <v>322</v>
      </c>
    </row>
    <row r="48" spans="4:10" ht="20.100000000000001" customHeight="1" x14ac:dyDescent="0.25">
      <c r="D48" s="55" t="str">
        <f>INDEX(X_Table_Feedlot_MMS_Stage2,3,1)</f>
        <v>Solid storage</v>
      </c>
      <c r="E48" s="55">
        <f ca="1">SUM(OFFSET(X_Table_Feedlot_MMS_Stage2_Destinations, 2,1,1,2))</f>
        <v>0.75</v>
      </c>
      <c r="F48" s="2" t="s">
        <v>324</v>
      </c>
      <c r="H48" s="2"/>
      <c r="I48" s="2"/>
      <c r="J48" s="2"/>
    </row>
    <row r="49" spans="3:19" ht="20.100000000000001" customHeight="1" x14ac:dyDescent="0.25">
      <c r="D49" s="55" t="str">
        <f>INDEX(X_Table_Feedlot_MMS_Stage2,4,1)</f>
        <v>Composting (passive windrow)</v>
      </c>
      <c r="E49" s="55">
        <f ca="1">SUM(OFFSET(X_Table_Feedlot_MMS_Stage2_Destinations, 3,1,1,2))</f>
        <v>0.75</v>
      </c>
      <c r="F49" s="2" t="s">
        <v>324</v>
      </c>
      <c r="H49" s="2"/>
      <c r="I49" s="2"/>
      <c r="J49" s="2"/>
    </row>
    <row r="50" spans="3:19" ht="20.100000000000001" customHeight="1" x14ac:dyDescent="0.25">
      <c r="D50" s="55" t="str">
        <f>INDEX(X_Table_Feedlot_MMS_Stage2,5,1)</f>
        <v>Direct application</v>
      </c>
      <c r="E50" s="55">
        <f ca="1">SUM(OFFSET(X_Table_Feedlot_MMS_Stage2_Destinations, 4,1,1,2))</f>
        <v>1</v>
      </c>
      <c r="F50" s="2" t="s">
        <v>324</v>
      </c>
      <c r="H50" s="2"/>
      <c r="I50" s="2"/>
      <c r="J50" s="2"/>
    </row>
    <row r="51" spans="3:19" ht="20.100000000000001" customHeight="1" x14ac:dyDescent="0.25">
      <c r="D51" s="55" t="str">
        <f>INDEX(X_Table_Feedlot_MMS_Stage3,3,1)</f>
        <v>Anaerobic lagoon</v>
      </c>
      <c r="E51" s="55">
        <f ca="1">SUM(OFFSET(X_Table_Feedlot_MMS_Stage3_Destinations, 2,1,1,2))</f>
        <v>0.75</v>
      </c>
      <c r="F51" s="2" t="s">
        <v>324</v>
      </c>
      <c r="H51" s="2"/>
      <c r="I51" s="2"/>
      <c r="J51" s="2"/>
    </row>
    <row r="52" spans="3:19" ht="20.100000000000001" customHeight="1" x14ac:dyDescent="0.25"/>
    <row r="53" spans="3:19" ht="20.100000000000001" customHeight="1" x14ac:dyDescent="0.25">
      <c r="D53" s="104" t="s">
        <v>239</v>
      </c>
      <c r="N53" s="104" t="s">
        <v>252</v>
      </c>
    </row>
    <row r="54" spans="3:19" ht="20.100000000000001" customHeight="1" x14ac:dyDescent="0.25">
      <c r="D54" s="103" t="s">
        <v>254</v>
      </c>
      <c r="N54" s="103" t="s">
        <v>253</v>
      </c>
    </row>
    <row r="55" spans="3:19" ht="20.100000000000001" customHeight="1" x14ac:dyDescent="0.25">
      <c r="D55" s="54" t="s">
        <v>67</v>
      </c>
      <c r="E55" s="54" t="s">
        <v>137</v>
      </c>
      <c r="F55" s="54" t="s">
        <v>138</v>
      </c>
      <c r="G55" s="54" t="s">
        <v>139</v>
      </c>
      <c r="N55" s="54" t="s">
        <v>67</v>
      </c>
      <c r="O55" s="54" t="s">
        <v>137</v>
      </c>
      <c r="P55" s="54" t="s">
        <v>138</v>
      </c>
      <c r="Q55" s="54" t="s">
        <v>139</v>
      </c>
    </row>
    <row r="56" spans="3:19" ht="20.100000000000001" customHeight="1" x14ac:dyDescent="0.25">
      <c r="D56" s="55" t="str">
        <f>INDEX(X_Table_Feedlot_MMS_Stage2,3,1)</f>
        <v>Solid storage</v>
      </c>
      <c r="E56" s="55" cm="1">
        <f t="array" aca="1" ref="E56" ca="1">MMS_Feedlot_ManureAppliedToSoils_Equations.VEERG_4_1_1_9__1_MassOfNitrogenAppliedToSoilsScope1(E22,_xlfn.XLOOKUP($D56,$D$30:$D$34,$E$30:$E$34),_xlfn.XLOOKUP($D56,$D$39:$D$43,$E$39:$E$43),$E48)</f>
        <v>698.63805752832036</v>
      </c>
      <c r="F56" s="55" cm="1">
        <f t="array" aca="1" ref="F56" ca="1">MMS_Feedlot_ManureAppliedToSoils_Equations.VEERG_4_1_1_9__1_MassOfNitrogenAppliedToSoilsScope1(F22,_xlfn.XLOOKUP($D56,$D$30:$D$34,$E$30:$E$34),_xlfn.XLOOKUP($D56,$D$39:$D$43,$E$39:$E$43),$E48)</f>
        <v>1060.9198333977599</v>
      </c>
      <c r="G56" s="55" cm="1">
        <f t="array" aca="1" ref="G56" ca="1">MMS_Feedlot_ManureAppliedToSoils_Equations.VEERG_4_1_1_9__1_MassOfNitrogenAppliedToSoilsScope1(G22,_xlfn.XLOOKUP($D56,$D$30:$D$34,$E$30:$E$34),_xlfn.XLOOKUP($D56,$D$39:$D$43,$E$39:$E$43),$E48)</f>
        <v>1532.3336654399995</v>
      </c>
      <c r="H56" s="2" t="str">
        <f>$E$12</f>
        <v>kg N</v>
      </c>
      <c r="I56" s="2"/>
      <c r="J56" s="2"/>
      <c r="N56" s="55" t="str">
        <f>INDEX(X_Table_Feedlot_MMS_Stage2,3,1)</f>
        <v>Solid storage</v>
      </c>
      <c r="O56" s="55" cm="1">
        <f t="array" aca="1" ref="O56" ca="1">MMS_Feedlot_ManureAppliedToSoils_Equations.VEERG_4_1_1_9__1_MassOfNitrogenAppliedToSoilsScope1(O22,_xlfn.XLOOKUP($N56,$D$30:$D$34,$E$30:$E$34),_xlfn.XLOOKUP($N56,$D$39:$D$43,$E$39:$E$43),$E48)</f>
        <v>698.63805752832036</v>
      </c>
      <c r="P56" s="55" cm="1">
        <f t="array" aca="1" ref="P56" ca="1">MMS_Feedlot_ManureAppliedToSoils_Equations.VEERG_4_1_1_9__1_MassOfNitrogenAppliedToSoilsScope1(P22,_xlfn.XLOOKUP($N56,$D$30:$D$34,$E$30:$E$34),_xlfn.XLOOKUP($N56,$D$39:$D$43,$E$39:$E$43),$E48)</f>
        <v>1060.9198333977599</v>
      </c>
      <c r="Q56" s="55" cm="1">
        <f t="array" aca="1" ref="Q56" ca="1">MMS_Feedlot_ManureAppliedToSoils_Equations.VEERG_4_1_1_9__1_MassOfNitrogenAppliedToSoilsScope1(Q22,_xlfn.XLOOKUP($N56,$D$30:$D$34,$E$30:$E$34),_xlfn.XLOOKUP($N56,$D$39:$D$43,$E$39:$E$43),$E48)</f>
        <v>1532.3336654399995</v>
      </c>
      <c r="R56" s="2" t="str">
        <f>$E$12</f>
        <v>kg N</v>
      </c>
    </row>
    <row r="57" spans="3:19" ht="20.100000000000001" customHeight="1" x14ac:dyDescent="0.25">
      <c r="D57" s="55" t="str">
        <f>INDEX(X_Table_Feedlot_MMS_Stage2,4,1)</f>
        <v>Composting (passive windrow)</v>
      </c>
      <c r="E57" s="55" cm="1">
        <f t="array" aca="1" ref="E57" ca="1">MMS_Feedlot_ManureAppliedToSoils_Equations.VEERG_4_1_1_9__1_MassOfNitrogenAppliedToSoilsScope1(E23,_xlfn.XLOOKUP($D57,$D$30:$D$34,$E$30:$E$34),_xlfn.XLOOKUP($D57,$D$39:$D$43,$E$39:$E$43),$E49)</f>
        <v>553.2838307942402</v>
      </c>
      <c r="F57" s="55" cm="1">
        <f t="array" aca="1" ref="F57" ca="1">MMS_Feedlot_ManureAppliedToSoils_Equations.VEERG_4_1_1_9__1_MassOfNitrogenAppliedToSoilsScope1(F23,_xlfn.XLOOKUP($D57,$D$30:$D$34,$E$30:$E$34),_xlfn.XLOOKUP($D57,$D$39:$D$43,$E$39:$E$43),$E49)</f>
        <v>840.19154591231995</v>
      </c>
      <c r="G57" s="55" cm="1">
        <f t="array" aca="1" ref="G57" ca="1">MMS_Feedlot_ManureAppliedToSoils_Equations.VEERG_4_1_1_9__1_MassOfNitrogenAppliedToSoilsScope1(G23,_xlfn.XLOOKUP($D57,$D$30:$D$34,$E$30:$E$34),_xlfn.XLOOKUP($D57,$D$39:$D$43,$E$39:$E$43),$E49)</f>
        <v>1213.5259900799997</v>
      </c>
      <c r="H57" s="2" t="str">
        <f>$E$12</f>
        <v>kg N</v>
      </c>
      <c r="I57" s="2"/>
      <c r="J57" s="2"/>
      <c r="N57" s="55" t="str">
        <f>INDEX(X_Table_Feedlot_MMS_Stage2,4,1)</f>
        <v>Composting (passive windrow)</v>
      </c>
      <c r="O57" s="55" cm="1">
        <f t="array" aca="1" ref="O57" ca="1">MMS_Feedlot_ManureAppliedToSoils_Equations.VEERG_4_1_1_9__1_MassOfNitrogenAppliedToSoilsScope1(O23,_xlfn.XLOOKUP($N57,$D$30:$D$34,$E$30:$E$34),_xlfn.XLOOKUP($N57,$D$39:$D$43,$E$39:$E$43),$E49)</f>
        <v>553.2838307942402</v>
      </c>
      <c r="P57" s="55" cm="1">
        <f t="array" aca="1" ref="P57" ca="1">MMS_Feedlot_ManureAppliedToSoils_Equations.VEERG_4_1_1_9__1_MassOfNitrogenAppliedToSoilsScope1(P23,_xlfn.XLOOKUP($N57,$D$30:$D$34,$E$30:$E$34),_xlfn.XLOOKUP($N57,$D$39:$D$43,$E$39:$E$43),$E49)</f>
        <v>840.19154591231995</v>
      </c>
      <c r="Q57" s="55" cm="1">
        <f t="array" aca="1" ref="Q57" ca="1">MMS_Feedlot_ManureAppliedToSoils_Equations.VEERG_4_1_1_9__1_MassOfNitrogenAppliedToSoilsScope1(Q23,_xlfn.XLOOKUP($N57,$D$30:$D$34,$E$30:$E$34),_xlfn.XLOOKUP($N57,$D$39:$D$43,$E$39:$E$43),$E49)</f>
        <v>1213.5259900799997</v>
      </c>
      <c r="R57" s="2" t="str">
        <f>$E$12</f>
        <v>kg N</v>
      </c>
    </row>
    <row r="58" spans="3:19" ht="20.100000000000001" customHeight="1" x14ac:dyDescent="0.25">
      <c r="D58" s="55" t="str">
        <f>INDEX(X_Table_Feedlot_MMS_Stage2,5,1)</f>
        <v>Direct application</v>
      </c>
      <c r="E58" s="55" cm="1">
        <f t="array" aca="1" ref="E58" ca="1">MMS_Feedlot_ManureAppliedToSoils_Equations.VEERG_4_1_1_9__1_MassOfNitrogenAppliedToSoilsScope1(E24,_xlfn.XLOOKUP($D58,$D$30:$D$34,$E$30:$E$34),_xlfn.XLOOKUP($D58,$D$39:$D$43,$E$39:$E$43),$E50)</f>
        <v>3751.0768189440014</v>
      </c>
      <c r="F58" s="55" cm="1">
        <f t="array" aca="1" ref="F58" ca="1">MMS_Feedlot_ManureAppliedToSoils_Equations.VEERG_4_1_1_9__1_MassOfNitrogenAppliedToSoilsScope1(F24,_xlfn.XLOOKUP($D58,$D$30:$D$34,$E$30:$E$34),_xlfn.XLOOKUP($D58,$D$39:$D$43,$E$39:$E$43),$E50)</f>
        <v>5696.2138705919997</v>
      </c>
      <c r="G58" s="55" cm="1">
        <f t="array" aca="1" ref="G58" ca="1">MMS_Feedlot_ManureAppliedToSoils_Equations.VEERG_4_1_1_9__1_MassOfNitrogenAppliedToSoilsScope1(G24,_xlfn.XLOOKUP($D58,$D$30:$D$34,$E$30:$E$34),_xlfn.XLOOKUP($D58,$D$39:$D$43,$E$39:$E$43),$E50)</f>
        <v>8227.2948479999977</v>
      </c>
      <c r="H58" s="2" t="str">
        <f>$E$12</f>
        <v>kg N</v>
      </c>
      <c r="I58" s="2"/>
      <c r="J58" s="2"/>
      <c r="N58" s="55" t="str">
        <f>INDEX(X_Table_Feedlot_MMS_Stage2,5,1)</f>
        <v>Direct application</v>
      </c>
      <c r="O58" s="55" cm="1">
        <f t="array" aca="1" ref="O58" ca="1">MMS_Feedlot_ManureAppliedToSoils_Equations.VEERG_4_1_1_9__1_MassOfNitrogenAppliedToSoilsScope1(O24,_xlfn.XLOOKUP($N58,$D$30:$D$34,$E$30:$E$34),_xlfn.XLOOKUP($N58,$D$39:$D$43,$E$39:$E$43),$E50)</f>
        <v>3751.0768189440014</v>
      </c>
      <c r="P58" s="55" cm="1">
        <f t="array" aca="1" ref="P58" ca="1">MMS_Feedlot_ManureAppliedToSoils_Equations.VEERG_4_1_1_9__1_MassOfNitrogenAppliedToSoilsScope1(P24,_xlfn.XLOOKUP($N58,$D$30:$D$34,$E$30:$E$34),_xlfn.XLOOKUP($N58,$D$39:$D$43,$E$39:$E$43),$E50)</f>
        <v>5696.2138705919997</v>
      </c>
      <c r="Q58" s="55" cm="1">
        <f t="array" aca="1" ref="Q58" ca="1">MMS_Feedlot_ManureAppliedToSoils_Equations.VEERG_4_1_1_9__1_MassOfNitrogenAppliedToSoilsScope1(Q24,_xlfn.XLOOKUP($N58,$D$30:$D$34,$E$30:$E$34),_xlfn.XLOOKUP($N58,$D$39:$D$43,$E$39:$E$43),$E50)</f>
        <v>8227.2948479999977</v>
      </c>
      <c r="R58" s="2" t="str">
        <f>$E$12</f>
        <v>kg N</v>
      </c>
    </row>
    <row r="59" spans="3:19" ht="20.100000000000001" customHeight="1" x14ac:dyDescent="0.25">
      <c r="D59" s="55" t="str">
        <f>INDEX(X_Table_Feedlot_MMS_Stage3,3,1)</f>
        <v>Anaerobic lagoon</v>
      </c>
      <c r="E59" s="55" cm="1">
        <f t="array" aca="1" ref="E59" ca="1">MMS_Feedlot_ManureAppliedToSoils_Equations.VEERG_4_1_1_9__1_MassOfNitrogenAppliedToSoilsScope1(E25,_xlfn.XLOOKUP($D59,$D$30:$D$34,$E$30:$E$34),_xlfn.XLOOKUP($D59,$D$39:$D$43,$E$39:$E$43),$E51)</f>
        <v>162.72023040000005</v>
      </c>
      <c r="F59" s="55" cm="1">
        <f t="array" aca="1" ref="F59" ca="1">MMS_Feedlot_ManureAppliedToSoils_Equations.VEERG_4_1_1_9__1_MassOfNitrogenAppliedToSoilsScope1(F25,_xlfn.XLOOKUP($D59,$D$30:$D$34,$E$30:$E$34),_xlfn.XLOOKUP($D59,$D$39:$D$43,$E$39:$E$43),$E51)</f>
        <v>247.09950720000006</v>
      </c>
      <c r="G59" s="55" cm="1">
        <f t="array" aca="1" ref="G59" ca="1">MMS_Feedlot_ManureAppliedToSoils_Equations.VEERG_4_1_1_9__1_MassOfNitrogenAppliedToSoilsScope1(G25,_xlfn.XLOOKUP($D59,$D$30:$D$34,$E$30:$E$34),_xlfn.XLOOKUP($D59,$D$39:$D$43,$E$39:$E$43),$E51)</f>
        <v>356.89679999999987</v>
      </c>
      <c r="H59" s="2" t="str">
        <f>$E$12</f>
        <v>kg N</v>
      </c>
      <c r="I59" s="2"/>
      <c r="J59" s="2"/>
      <c r="N59" s="55" t="str">
        <f>INDEX(X_Table_Feedlot_MMS_Stage3,3,1)</f>
        <v>Anaerobic lagoon</v>
      </c>
      <c r="O59" s="55" cm="1">
        <f t="array" aca="1" ref="O59" ca="1">MMS_Feedlot_ManureAppliedToSoils_Equations.VEERG_4_1_1_9__1_MassOfNitrogenAppliedToSoilsScope1(O25,_xlfn.XLOOKUP($N59,$D$30:$D$34,$E$30:$E$34),_xlfn.XLOOKUP($N59,$D$39:$D$43,$E$39:$E$43),$E51)</f>
        <v>162.72023040000005</v>
      </c>
      <c r="P59" s="55" cm="1">
        <f t="array" aca="1" ref="P59" ca="1">MMS_Feedlot_ManureAppliedToSoils_Equations.VEERG_4_1_1_9__1_MassOfNitrogenAppliedToSoilsScope1(P25,_xlfn.XLOOKUP($N59,$D$30:$D$34,$E$30:$E$34),_xlfn.XLOOKUP($N59,$D$39:$D$43,$E$39:$E$43),$E51)</f>
        <v>247.09950720000006</v>
      </c>
      <c r="Q59" s="55" cm="1">
        <f t="array" aca="1" ref="Q59" ca="1">MMS_Feedlot_ManureAppliedToSoils_Equations.VEERG_4_1_1_9__1_MassOfNitrogenAppliedToSoilsScope1(Q25,_xlfn.XLOOKUP($N59,$D$30:$D$34,$E$30:$E$34),_xlfn.XLOOKUP($N59,$D$39:$D$43,$E$39:$E$43),$E51)</f>
        <v>356.89679999999987</v>
      </c>
      <c r="R59" s="2" t="str">
        <f>$E$12</f>
        <v>kg N</v>
      </c>
    </row>
    <row r="60" spans="3:19" ht="20.100000000000001" customHeight="1" x14ac:dyDescent="0.25"/>
    <row r="61" spans="3:19" ht="20.100000000000001" customHeight="1" x14ac:dyDescent="0.25">
      <c r="D61" s="108" t="s">
        <v>240</v>
      </c>
      <c r="E61" s="109">
        <f ca="1">SUM(E56:G59)</f>
        <v>24340.194998288636</v>
      </c>
      <c r="F61" s="110" t="str">
        <f>$E$12</f>
        <v>kg N</v>
      </c>
      <c r="N61" s="108" t="s">
        <v>240</v>
      </c>
      <c r="O61" s="109">
        <f ca="1">SUM(O56:Q59)</f>
        <v>24340.194998288636</v>
      </c>
      <c r="P61" s="110" t="str">
        <f>$E$12</f>
        <v>kg N</v>
      </c>
    </row>
    <row r="62" spans="3:19" ht="20.100000000000001" customHeight="1" x14ac:dyDescent="0.25"/>
    <row r="63" spans="3:19" ht="20.100000000000001" customHeight="1" x14ac:dyDescent="0.25"/>
    <row r="64" spans="3:19" ht="20.100000000000001" customHeight="1" x14ac:dyDescent="0.25">
      <c r="C64" s="48"/>
      <c r="D64" s="48"/>
      <c r="E64" s="48"/>
      <c r="F64" s="48"/>
      <c r="G64" s="48"/>
      <c r="H64" s="48"/>
      <c r="I64" s="48"/>
      <c r="J64" s="48"/>
      <c r="K64" s="48"/>
      <c r="M64" s="48"/>
      <c r="N64" s="48"/>
      <c r="O64" s="48"/>
      <c r="P64" s="48"/>
      <c r="Q64" s="48"/>
      <c r="R64" s="48"/>
      <c r="S64" s="48"/>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26</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6" t="s">
        <v>29</v>
      </c>
      <c r="E71" s="1" t="str" cm="1">
        <f t="array" ref="E71">MMS_Feedlot_ManureAppliedToSoils_Equations.VEERG_4_1_1_9__2_MassOfNitrogenAppliedToSoilsScope3_Variable()</f>
        <v>MNSoil_scope3</v>
      </c>
    </row>
    <row r="72" spans="4:14" ht="20.100000000000001" customHeight="1" x14ac:dyDescent="0.25">
      <c r="D72" s="56" t="s">
        <v>19</v>
      </c>
      <c r="E72" s="57"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38" t="str" cm="1">
        <f t="array" ref="D74:E77">_xlfn.CHOOSECOLS(MMS_Feedlot_ManureAppliedToSoils_Equations.VEERG_4_1_1_9__2_MassOfNitrogenAppliedToSoilsScope3_Arguments(),1,2)</f>
        <v>MN_jmT23</v>
      </c>
      <c r="E74" s="141" t="str">
        <v>mass of N in secondary and tertiary treatment MMS stages as calculated for manure management</v>
      </c>
      <c r="F74" s="142"/>
      <c r="G74" s="140"/>
      <c r="H74" s="138" t="str" cm="1">
        <f t="array" ref="H74:I77">_xlfn.CHOOSECOLS(MMS_Feedlot_ManureAppliedToSoils_Equations.VEERG_4_1_1_9__2_MassOfNitrogenAppliedToSoilsScope3_Arguments(),3,4)</f>
        <v>kg N</v>
      </c>
      <c r="I74" s="130" t="str">
        <v>Calculated from 4.1.1.3 (6)(8)</v>
      </c>
      <c r="J74" s="139" t="str" cm="1">
        <f t="array" aca="1" ref="J74" ca="1">HYPERLINK(Common_InputFunctions.Utility_SourceHyperlink($D$19),$D$19)</f>
        <v>M1_Table_MN_j_m_T-2-3</v>
      </c>
    </row>
    <row r="75" spans="4:14" ht="20.100000000000001" customHeight="1" x14ac:dyDescent="0.25">
      <c r="D75" s="138" t="str">
        <v>EF_mT23</v>
      </c>
      <c r="E75" s="141" t="str">
        <v>nitrous oxide emission factor for each MMS</v>
      </c>
      <c r="F75" s="142"/>
      <c r="G75" s="140"/>
      <c r="H75" s="138" t="str">
        <v>kg N2O-N/kg N</v>
      </c>
      <c r="I75" s="130" t="str">
        <v>Constant</v>
      </c>
      <c r="J75" s="139" t="str" cm="1">
        <f t="array" aca="1" ref="J75" ca="1">HYPERLINK(Common_InputFunctions.Utility_SourceHyperlink($D$27),$D$27)</f>
        <v>Table_EF_j_m_T-2-3</v>
      </c>
    </row>
    <row r="76" spans="4:14" ht="20.100000000000001" customHeight="1" x14ac:dyDescent="0.25">
      <c r="D76" s="138" t="str">
        <v>FracGASM_mT23</v>
      </c>
      <c r="E76" s="141" t="str">
        <v>fraction of animal waste N volatilised in each MMS for each cattle group</v>
      </c>
      <c r="F76" s="142"/>
      <c r="G76" s="140"/>
      <c r="H76" s="138" t="str">
        <v>(kg NH3-N + NOx-N)/kg N</v>
      </c>
      <c r="I76" s="130" t="str">
        <v>Constant</v>
      </c>
      <c r="J76" s="139" t="str" cm="1">
        <f t="array" aca="1" ref="J76" ca="1">HYPERLINK(Common_InputFunctions.Utility_SourceHyperlink($D$36),$D$36)</f>
        <v>Table_FracGASM_m_T-2-3</v>
      </c>
    </row>
    <row r="77" spans="4:14" ht="20.100000000000001" customHeight="1" x14ac:dyDescent="0.25">
      <c r="D77" s="138" t="str">
        <v>PF</v>
      </c>
      <c r="E77" s="141" t="str">
        <v>fraction of manure applied to soil within the feedlot boundary</v>
      </c>
      <c r="F77" s="142"/>
      <c r="G77" s="140"/>
      <c r="H77" s="138" t="str">
        <v>fraction</v>
      </c>
      <c r="I77" s="129" t="str">
        <v>Input</v>
      </c>
      <c r="J77" s="139" t="str" cm="1">
        <f t="array" aca="1" ref="J77" ca="1">HYPERLINK(Common_InputFunctions.Utility_SourceHyperlink($D$45),$D$45)</f>
        <v>Table_PF</v>
      </c>
    </row>
    <row r="78" spans="4:14" ht="20.100000000000001" customHeight="1" x14ac:dyDescent="0.25"/>
    <row r="79" spans="4:14" ht="20.100000000000001" customHeight="1" x14ac:dyDescent="0.25">
      <c r="D79" s="104" t="s">
        <v>243</v>
      </c>
      <c r="N79" s="104" t="s">
        <v>248</v>
      </c>
    </row>
    <row r="80" spans="4:14" ht="20.100000000000001" customHeight="1" x14ac:dyDescent="0.25">
      <c r="D80" s="103" t="s">
        <v>251</v>
      </c>
      <c r="N80" s="103" t="s">
        <v>249</v>
      </c>
    </row>
    <row r="81" spans="3:19" ht="20.100000000000001" customHeight="1" x14ac:dyDescent="0.25">
      <c r="D81" s="54" t="s">
        <v>67</v>
      </c>
      <c r="E81" s="54" t="s">
        <v>137</v>
      </c>
      <c r="F81" s="54" t="s">
        <v>138</v>
      </c>
      <c r="G81" s="54" t="s">
        <v>139</v>
      </c>
      <c r="N81" s="54" t="s">
        <v>67</v>
      </c>
      <c r="O81" s="54" t="s">
        <v>137</v>
      </c>
      <c r="P81" s="54" t="s">
        <v>138</v>
      </c>
      <c r="Q81" s="54" t="s">
        <v>139</v>
      </c>
    </row>
    <row r="82" spans="3:19" ht="20.100000000000001" customHeight="1" x14ac:dyDescent="0.25">
      <c r="D82" s="55" t="str">
        <f>INDEX(X_Table_Feedlot_MMS_Stage2,3,1)</f>
        <v>Solid storage</v>
      </c>
      <c r="E82" s="55" cm="1">
        <f t="array" aca="1" ref="E82" ca="1">MMS_Feedlot_ManureAppliedToSoils_Equations.VEERG_4_1_1_9__2_MassOfNitrogenAppliedToSoilsScope3(E22,_xlfn.XLOOKUP($D82, $D$30:$D$34,$E$30:$E$34),_xlfn.XLOOKUP($D82,$D$39:$D$43,$E$39:$E$43),$E48)</f>
        <v>232.87935250944011</v>
      </c>
      <c r="F82" s="55" cm="1">
        <f t="array" aca="1" ref="F82" ca="1">MMS_Feedlot_ManureAppliedToSoils_Equations.VEERG_4_1_1_9__2_MassOfNitrogenAppliedToSoilsScope3(F22,_xlfn.XLOOKUP($D82, $D$30:$D$34,$E$30:$E$34),_xlfn.XLOOKUP($D82,$D$39:$D$43,$E$39:$E$43),$E48)</f>
        <v>353.63994446592</v>
      </c>
      <c r="G82" s="55" cm="1">
        <f t="array" aca="1" ref="G82" ca="1">MMS_Feedlot_ManureAppliedToSoils_Equations.VEERG_4_1_1_9__2_MassOfNitrogenAppliedToSoilsScope3(G22,_xlfn.XLOOKUP($D82, $D$30:$D$34,$E$30:$E$34),_xlfn.XLOOKUP($D82,$D$39:$D$43,$E$39:$E$43),$E48)</f>
        <v>510.77788847999989</v>
      </c>
      <c r="H82" s="2" t="str">
        <f>$E$12</f>
        <v>kg N</v>
      </c>
      <c r="I82" s="2"/>
      <c r="J82" s="2"/>
      <c r="N82" s="55" t="str">
        <f>INDEX(X_Table_Feedlot_MMS_Stage2,3,1)</f>
        <v>Solid storage</v>
      </c>
      <c r="O82" s="55" cm="1">
        <f t="array" aca="1" ref="O82" ca="1">MMS_Feedlot_ManureAppliedToSoils_Equations.VEERG_4_1_1_9__2_MassOfNitrogenAppliedToSoilsScope3(O22,_xlfn.XLOOKUP($N82, $D$30:$D$34,$E$30:$E$34),_xlfn.XLOOKUP($N82,$D$39:$D$43,$E$39:$E$43),$E48)</f>
        <v>232.87935250944011</v>
      </c>
      <c r="P82" s="55" cm="1">
        <f t="array" aca="1" ref="P82" ca="1">MMS_Feedlot_ManureAppliedToSoils_Equations.VEERG_4_1_1_9__2_MassOfNitrogenAppliedToSoilsScope3(P22,_xlfn.XLOOKUP($N82, $D$30:$D$34,$E$30:$E$34),_xlfn.XLOOKUP($N82,$D$39:$D$43,$E$39:$E$43),$E48)</f>
        <v>353.63994446592</v>
      </c>
      <c r="Q82" s="55" cm="1">
        <f t="array" aca="1" ref="Q82" ca="1">MMS_Feedlot_ManureAppliedToSoils_Equations.VEERG_4_1_1_9__2_MassOfNitrogenAppliedToSoilsScope3(Q22,_xlfn.XLOOKUP($N82, $D$30:$D$34,$E$30:$E$34),_xlfn.XLOOKUP($N82,$D$39:$D$43,$E$39:$E$43),$E48)</f>
        <v>510.77788847999989</v>
      </c>
      <c r="R82" s="2" t="str">
        <f>$E$12</f>
        <v>kg N</v>
      </c>
    </row>
    <row r="83" spans="3:19" ht="20.100000000000001" customHeight="1" x14ac:dyDescent="0.25">
      <c r="D83" s="55" t="str">
        <f>INDEX(X_Table_Feedlot_MMS_Stage2,4,1)</f>
        <v>Composting (passive windrow)</v>
      </c>
      <c r="E83" s="55" cm="1">
        <f t="array" aca="1" ref="E83" ca="1">MMS_Feedlot_ManureAppliedToSoils_Equations.VEERG_4_1_1_9__2_MassOfNitrogenAppliedToSoilsScope3(E23,_xlfn.XLOOKUP($D83, $D$30:$D$34,$E$30:$E$34),_xlfn.XLOOKUP($D83,$D$39:$D$43,$E$39:$E$43),$E49)</f>
        <v>184.42794359808008</v>
      </c>
      <c r="F83" s="55" cm="1">
        <f t="array" aca="1" ref="F83" ca="1">MMS_Feedlot_ManureAppliedToSoils_Equations.VEERG_4_1_1_9__2_MassOfNitrogenAppliedToSoilsScope3(F23,_xlfn.XLOOKUP($D83, $D$30:$D$34,$E$30:$E$34),_xlfn.XLOOKUP($D83,$D$39:$D$43,$E$39:$E$43),$E49)</f>
        <v>280.06384863744</v>
      </c>
      <c r="G83" s="55" cm="1">
        <f t="array" aca="1" ref="G83" ca="1">MMS_Feedlot_ManureAppliedToSoils_Equations.VEERG_4_1_1_9__2_MassOfNitrogenAppliedToSoilsScope3(G23,_xlfn.XLOOKUP($D83, $D$30:$D$34,$E$30:$E$34),_xlfn.XLOOKUP($D83,$D$39:$D$43,$E$39:$E$43),$E49)</f>
        <v>404.5086633599999</v>
      </c>
      <c r="H83" s="2" t="str">
        <f>$E$12</f>
        <v>kg N</v>
      </c>
      <c r="I83" s="2"/>
      <c r="J83" s="2"/>
      <c r="N83" s="55" t="str">
        <f>INDEX(X_Table_Feedlot_MMS_Stage2,4,1)</f>
        <v>Composting (passive windrow)</v>
      </c>
      <c r="O83" s="55" cm="1">
        <f t="array" aca="1" ref="O83" ca="1">MMS_Feedlot_ManureAppliedToSoils_Equations.VEERG_4_1_1_9__2_MassOfNitrogenAppliedToSoilsScope3(O23,_xlfn.XLOOKUP($N83, $D$30:$D$34,$E$30:$E$34),_xlfn.XLOOKUP($N83,$D$39:$D$43,$E$39:$E$43),$E49)</f>
        <v>184.42794359808008</v>
      </c>
      <c r="P83" s="55" cm="1">
        <f t="array" aca="1" ref="P83" ca="1">MMS_Feedlot_ManureAppliedToSoils_Equations.VEERG_4_1_1_9__2_MassOfNitrogenAppliedToSoilsScope3(P23,_xlfn.XLOOKUP($N83, $D$30:$D$34,$E$30:$E$34),_xlfn.XLOOKUP($N83,$D$39:$D$43,$E$39:$E$43),$E49)</f>
        <v>280.06384863744</v>
      </c>
      <c r="Q83" s="55" cm="1">
        <f t="array" aca="1" ref="Q83" ca="1">MMS_Feedlot_ManureAppliedToSoils_Equations.VEERG_4_1_1_9__2_MassOfNitrogenAppliedToSoilsScope3(Q23,_xlfn.XLOOKUP($N83, $D$30:$D$34,$E$30:$E$34),_xlfn.XLOOKUP($N83,$D$39:$D$43,$E$39:$E$43),$E49)</f>
        <v>404.5086633599999</v>
      </c>
      <c r="R83" s="2" t="str">
        <f>$E$12</f>
        <v>kg N</v>
      </c>
    </row>
    <row r="84" spans="3:19" ht="20.100000000000001" customHeight="1" x14ac:dyDescent="0.25">
      <c r="D84" s="55" t="str">
        <f>INDEX(X_Table_Feedlot_MMS_Stage2,5,1)</f>
        <v>Direct application</v>
      </c>
      <c r="E84" s="55" cm="1">
        <f t="array" aca="1" ref="E84" ca="1">MMS_Feedlot_ManureAppliedToSoils_Equations.VEERG_4_1_1_9__2_MassOfNitrogenAppliedToSoilsScope3(E24,_xlfn.XLOOKUP($D84, $D$30:$D$34,$E$30:$E$34),_xlfn.XLOOKUP($D84,$D$39:$D$43,$E$39:$E$43),$E50)</f>
        <v>0</v>
      </c>
      <c r="F84" s="55" cm="1">
        <f t="array" aca="1" ref="F84" ca="1">MMS_Feedlot_ManureAppliedToSoils_Equations.VEERG_4_1_1_9__2_MassOfNitrogenAppliedToSoilsScope3(F24,_xlfn.XLOOKUP($D84, $D$30:$D$34,$E$30:$E$34),_xlfn.XLOOKUP($D84,$D$39:$D$43,$E$39:$E$43),$E50)</f>
        <v>0</v>
      </c>
      <c r="G84" s="55" cm="1">
        <f t="array" aca="1" ref="G84" ca="1">MMS_Feedlot_ManureAppliedToSoils_Equations.VEERG_4_1_1_9__2_MassOfNitrogenAppliedToSoilsScope3(G24,_xlfn.XLOOKUP($D84, $D$30:$D$34,$E$30:$E$34),_xlfn.XLOOKUP($D84,$D$39:$D$43,$E$39:$E$43),$E50)</f>
        <v>0</v>
      </c>
      <c r="H84" s="2" t="str">
        <f>$E$12</f>
        <v>kg N</v>
      </c>
      <c r="I84" s="2"/>
      <c r="J84" s="2"/>
      <c r="N84" s="55" t="str">
        <f>INDEX(X_Table_Feedlot_MMS_Stage2,5,1)</f>
        <v>Direct application</v>
      </c>
      <c r="O84" s="55" cm="1">
        <f t="array" aca="1" ref="O84" ca="1">MMS_Feedlot_ManureAppliedToSoils_Equations.VEERG_4_1_1_9__2_MassOfNitrogenAppliedToSoilsScope3(O24,_xlfn.XLOOKUP($N84, $D$30:$D$34,$E$30:$E$34),_xlfn.XLOOKUP($N84,$D$39:$D$43,$E$39:$E$43),$E50)</f>
        <v>0</v>
      </c>
      <c r="P84" s="55" cm="1">
        <f t="array" aca="1" ref="P84" ca="1">MMS_Feedlot_ManureAppliedToSoils_Equations.VEERG_4_1_1_9__2_MassOfNitrogenAppliedToSoilsScope3(P24,_xlfn.XLOOKUP($N84, $D$30:$D$34,$E$30:$E$34),_xlfn.XLOOKUP($N84,$D$39:$D$43,$E$39:$E$43),$E50)</f>
        <v>0</v>
      </c>
      <c r="Q84" s="55" cm="1">
        <f t="array" aca="1" ref="Q84" ca="1">MMS_Feedlot_ManureAppliedToSoils_Equations.VEERG_4_1_1_9__2_MassOfNitrogenAppliedToSoilsScope3(Q24,_xlfn.XLOOKUP($N84, $D$30:$D$34,$E$30:$E$34),_xlfn.XLOOKUP($N84,$D$39:$D$43,$E$39:$E$43),$E50)</f>
        <v>0</v>
      </c>
      <c r="R84" s="2" t="str">
        <f>$E$12</f>
        <v>kg N</v>
      </c>
    </row>
    <row r="85" spans="3:19" ht="20.100000000000001" customHeight="1" x14ac:dyDescent="0.25">
      <c r="D85" s="55" t="str">
        <f>INDEX(X_Table_Feedlot_MMS_Stage3,3,1)</f>
        <v>Anaerobic lagoon</v>
      </c>
      <c r="E85" s="55" cm="1">
        <f t="array" aca="1" ref="E85" ca="1">MMS_Feedlot_ManureAppliedToSoils_Equations.VEERG_4_1_1_9__2_MassOfNitrogenAppliedToSoilsScope3(E25,_xlfn.XLOOKUP($D85, $D$30:$D$34,$E$30:$E$34),_xlfn.XLOOKUP($D85,$D$39:$D$43,$E$39:$E$43),$E51)</f>
        <v>54.240076800000018</v>
      </c>
      <c r="F85" s="55" cm="1">
        <f t="array" aca="1" ref="F85" ca="1">MMS_Feedlot_ManureAppliedToSoils_Equations.VEERG_4_1_1_9__2_MassOfNitrogenAppliedToSoilsScope3(F25,_xlfn.XLOOKUP($D85, $D$30:$D$34,$E$30:$E$34),_xlfn.XLOOKUP($D85,$D$39:$D$43,$E$39:$E$43),$E51)</f>
        <v>82.366502400000016</v>
      </c>
      <c r="G85" s="55" cm="1">
        <f t="array" aca="1" ref="G85" ca="1">MMS_Feedlot_ManureAppliedToSoils_Equations.VEERG_4_1_1_9__2_MassOfNitrogenAppliedToSoilsScope3(G25,_xlfn.XLOOKUP($D85, $D$30:$D$34,$E$30:$E$34),_xlfn.XLOOKUP($D85,$D$39:$D$43,$E$39:$E$43),$E51)</f>
        <v>118.96559999999997</v>
      </c>
      <c r="H85" s="2" t="str">
        <f>$E$12</f>
        <v>kg N</v>
      </c>
      <c r="I85" s="2"/>
      <c r="J85" s="2"/>
      <c r="N85" s="55" t="str">
        <f>INDEX(X_Table_Feedlot_MMS_Stage3,3,1)</f>
        <v>Anaerobic lagoon</v>
      </c>
      <c r="O85" s="55" cm="1">
        <f t="array" aca="1" ref="O85" ca="1">MMS_Feedlot_ManureAppliedToSoils_Equations.VEERG_4_1_1_9__2_MassOfNitrogenAppliedToSoilsScope3(O25,_xlfn.XLOOKUP($N85, $D$30:$D$34,$E$30:$E$34),_xlfn.XLOOKUP($N85,$D$39:$D$43,$E$39:$E$43),$E51)</f>
        <v>54.240076800000018</v>
      </c>
      <c r="P85" s="55" cm="1">
        <f t="array" aca="1" ref="P85" ca="1">MMS_Feedlot_ManureAppliedToSoils_Equations.VEERG_4_1_1_9__2_MassOfNitrogenAppliedToSoilsScope3(P25,_xlfn.XLOOKUP($N85, $D$30:$D$34,$E$30:$E$34),_xlfn.XLOOKUP($N85,$D$39:$D$43,$E$39:$E$43),$E51)</f>
        <v>82.366502400000016</v>
      </c>
      <c r="Q85" s="55" cm="1">
        <f t="array" aca="1" ref="Q85" ca="1">MMS_Feedlot_ManureAppliedToSoils_Equations.VEERG_4_1_1_9__2_MassOfNitrogenAppliedToSoilsScope3(Q25,_xlfn.XLOOKUP($N85, $D$30:$D$34,$E$30:$E$34),_xlfn.XLOOKUP($N85,$D$39:$D$43,$E$39:$E$43),$E51)</f>
        <v>118.96559999999997</v>
      </c>
      <c r="R85" s="2" t="str">
        <f>$E$12</f>
        <v>kg N</v>
      </c>
    </row>
    <row r="86" spans="3:19" ht="20.100000000000001" customHeight="1" x14ac:dyDescent="0.25"/>
    <row r="87" spans="3:19" ht="20.100000000000001" customHeight="1" x14ac:dyDescent="0.25">
      <c r="D87" s="108" t="s">
        <v>245</v>
      </c>
      <c r="E87" s="109">
        <f ca="1">SUM(E82:G85)</f>
        <v>2221.8698202508799</v>
      </c>
      <c r="F87" s="110" t="str">
        <f>$E$12</f>
        <v>kg N</v>
      </c>
      <c r="N87" s="108" t="s">
        <v>245</v>
      </c>
      <c r="O87" s="109">
        <f ca="1">SUM(O82:Q85)</f>
        <v>2221.8698202508799</v>
      </c>
      <c r="P87" s="110" t="str">
        <f>$E$12</f>
        <v>kg N</v>
      </c>
    </row>
    <row r="88" spans="3:19" ht="20.100000000000001" customHeight="1" x14ac:dyDescent="0.25"/>
    <row r="89" spans="3:19" ht="20.100000000000001" customHeight="1" x14ac:dyDescent="0.25"/>
    <row r="90" spans="3:19" ht="20.100000000000001" customHeight="1" x14ac:dyDescent="0.25">
      <c r="C90" s="48"/>
      <c r="D90" s="48"/>
      <c r="E90" s="48"/>
      <c r="F90" s="48"/>
      <c r="G90" s="48"/>
      <c r="H90" s="48"/>
      <c r="I90" s="48"/>
      <c r="J90" s="48"/>
      <c r="K90" s="48"/>
      <c r="L90" s="117"/>
      <c r="M90" s="48"/>
      <c r="N90" s="48"/>
      <c r="O90" s="48"/>
      <c r="P90" s="48"/>
      <c r="Q90" s="48"/>
      <c r="R90" s="48"/>
      <c r="S90" s="48"/>
    </row>
    <row r="91" spans="3:19" ht="20.100000000000001" customHeight="1" x14ac:dyDescent="0.25">
      <c r="D91" s="116" t="str">
        <f>"Below are applications of " &amp; D6 &amp; " that are applied to the following contexts:"</f>
        <v>Below are applications of VEERG 2026: 4.1.1.9, Equation (1) that are applied to the following contexts:</v>
      </c>
      <c r="E91" s="94"/>
      <c r="F91" s="94"/>
      <c r="G91" s="94"/>
      <c r="H91" s="90"/>
    </row>
    <row r="92" spans="3:19" ht="20.100000000000001" customHeight="1" x14ac:dyDescent="0.25">
      <c r="D92" s="96" t="s">
        <v>255</v>
      </c>
      <c r="E92" s="93"/>
      <c r="F92" s="93"/>
      <c r="G92" s="93"/>
      <c r="H92" s="91"/>
    </row>
    <row r="93" spans="3:19" ht="20.100000000000001" customHeight="1" x14ac:dyDescent="0.25"/>
    <row r="94" spans="3:19" ht="20.100000000000001" customHeight="1" x14ac:dyDescent="0.25">
      <c r="D94" s="6" t="s">
        <v>305</v>
      </c>
    </row>
    <row r="95" spans="3:19" ht="20.100000000000001" customHeight="1" x14ac:dyDescent="0.25">
      <c r="D95" s="104" t="s">
        <v>241</v>
      </c>
    </row>
    <row r="96" spans="3:19" ht="20.100000000000001" customHeight="1" x14ac:dyDescent="0.25">
      <c r="D96" s="103" t="s">
        <v>242</v>
      </c>
    </row>
    <row r="97" spans="4:18" ht="20.100000000000001" customHeight="1" x14ac:dyDescent="0.25">
      <c r="D97" s="65" t="s">
        <v>67</v>
      </c>
      <c r="E97" s="65" t="s">
        <v>345</v>
      </c>
    </row>
    <row r="98" spans="4:18" ht="20.100000000000001" customHeight="1" x14ac:dyDescent="0.25">
      <c r="D98" s="55" t="str">
        <f>INDEX(X_Table_Feedlot_MMS_Stage2,3,1)</f>
        <v>Solid storage</v>
      </c>
      <c r="E98" s="55">
        <f>INDEX(X_Table_Feedlot_MMS_Stage2_Destinations,3,2)</f>
        <v>0.25</v>
      </c>
      <c r="F98" s="2" t="s">
        <v>324</v>
      </c>
    </row>
    <row r="99" spans="4:18" ht="20.100000000000001" customHeight="1" x14ac:dyDescent="0.25">
      <c r="D99" s="55" t="str">
        <f>INDEX(X_Table_Feedlot_MMS_Stage2,4,1)</f>
        <v>Composting (passive windrow)</v>
      </c>
      <c r="E99" s="55">
        <f>INDEX(X_Table_Feedlot_MMS_Stage2_Destinations,4,2)</f>
        <v>0.25</v>
      </c>
      <c r="F99" s="2" t="s">
        <v>324</v>
      </c>
    </row>
    <row r="100" spans="4:18" ht="20.100000000000001" customHeight="1" x14ac:dyDescent="0.25">
      <c r="D100" s="55" t="str">
        <f>INDEX(X_Table_Feedlot_MMS_Stage2,5,1)</f>
        <v>Direct application</v>
      </c>
      <c r="E100" s="55">
        <v>0</v>
      </c>
      <c r="F100" s="2" t="s">
        <v>324</v>
      </c>
    </row>
    <row r="101" spans="4:18" ht="20.100000000000001" customHeight="1" x14ac:dyDescent="0.25">
      <c r="D101" s="55" t="str">
        <f>INDEX(X_Table_Feedlot_MMS_Stage3,3,1)</f>
        <v>Anaerobic lagoon</v>
      </c>
      <c r="E101" s="55">
        <f>INDEX(X_Table_Feedlot_MMS_Stage3_Destinations,3,2)</f>
        <v>0.25</v>
      </c>
      <c r="F101" s="2" t="s">
        <v>324</v>
      </c>
    </row>
    <row r="102" spans="4:18" ht="20.100000000000001" customHeight="1" x14ac:dyDescent="0.25"/>
    <row r="103" spans="4:18" ht="20.100000000000001" customHeight="1" x14ac:dyDescent="0.25">
      <c r="D103" s="104" t="s">
        <v>244</v>
      </c>
      <c r="N103" s="104" t="s">
        <v>246</v>
      </c>
    </row>
    <row r="104" spans="4:18" ht="20.100000000000001" customHeight="1" x14ac:dyDescent="0.25">
      <c r="D104" s="103" t="s">
        <v>250</v>
      </c>
      <c r="N104" s="103" t="s">
        <v>247</v>
      </c>
    </row>
    <row r="105" spans="4:18" ht="20.100000000000001" customHeight="1" x14ac:dyDescent="0.25">
      <c r="D105" s="54" t="s">
        <v>67</v>
      </c>
      <c r="E105" s="54" t="s">
        <v>137</v>
      </c>
      <c r="F105" s="54" t="s">
        <v>138</v>
      </c>
      <c r="G105" s="54" t="s">
        <v>139</v>
      </c>
      <c r="N105" s="54" t="s">
        <v>67</v>
      </c>
      <c r="O105" s="54" t="s">
        <v>137</v>
      </c>
      <c r="P105" s="54" t="s">
        <v>138</v>
      </c>
      <c r="Q105" s="54" t="s">
        <v>139</v>
      </c>
    </row>
    <row r="106" spans="4:18" ht="20.100000000000001" customHeight="1" x14ac:dyDescent="0.25">
      <c r="D106" s="55" t="str">
        <f>INDEX(X_Table_Feedlot_MMS_Stage2,3,1)</f>
        <v>Solid storage</v>
      </c>
      <c r="E106" s="55" cm="1">
        <f t="array" aca="1" ref="E106" ca="1">MMS_Feedlot_ManureAppliedToSoils_Equations.VEERG_4_1_1_9__1_MassOfNitrogenAppliedToSoilsScope1(E22,_xlfn.XLOOKUP($D106,$D$30:$D$34,$E$30:$E$34),_xlfn.XLOOKUP($D106,$D$39:$D$43,$E$39:$E$43),$E98)</f>
        <v>232.87935250944011</v>
      </c>
      <c r="F106" s="55" cm="1">
        <f t="array" aca="1" ref="F106" ca="1">MMS_Feedlot_ManureAppliedToSoils_Equations.VEERG_4_1_1_9__1_MassOfNitrogenAppliedToSoilsScope1(F22,_xlfn.XLOOKUP($D106,$D$30:$D$34,$E$30:$E$34),_xlfn.XLOOKUP($D106,$D$39:$D$43,$E$39:$E$43),$E98)</f>
        <v>353.63994446592</v>
      </c>
      <c r="G106" s="55" cm="1">
        <f t="array" aca="1" ref="G106" ca="1">MMS_Feedlot_ManureAppliedToSoils_Equations.VEERG_4_1_1_9__1_MassOfNitrogenAppliedToSoilsScope1(G22,_xlfn.XLOOKUP($D106,$D$30:$D$34,$E$30:$E$34),_xlfn.XLOOKUP($D106,$D$39:$D$43,$E$39:$E$43),$E98)</f>
        <v>510.77788847999989</v>
      </c>
      <c r="H106" s="2" t="str">
        <f>$E$12</f>
        <v>kg N</v>
      </c>
      <c r="I106" s="2"/>
      <c r="J106" s="2"/>
      <c r="N106" s="55" t="str">
        <f>INDEX(X_Table_Feedlot_MMS_Stage2,3,1)</f>
        <v>Solid storage</v>
      </c>
      <c r="O106" s="55" cm="1">
        <f t="array" aca="1" ref="O106" ca="1">MMS_Feedlot_ManureAppliedToSoils_Equations.VEERG_4_1_1_9__1_MassOfNitrogenAppliedToSoilsScope1(O22,_xlfn.XLOOKUP($N106,$D$30:$D$34,$E$30:$E$34),_xlfn.XLOOKUP($N106,$D$39:$D$43,$E$39:$E$43),$E98)</f>
        <v>232.87935250944011</v>
      </c>
      <c r="P106" s="55" cm="1">
        <f t="array" aca="1" ref="P106" ca="1">MMS_Feedlot_ManureAppliedToSoils_Equations.VEERG_4_1_1_9__1_MassOfNitrogenAppliedToSoilsScope1(P22,_xlfn.XLOOKUP($N106,$D$30:$D$34,$E$30:$E$34),_xlfn.XLOOKUP($N106,$D$39:$D$43,$E$39:$E$43),$E98)</f>
        <v>353.63994446592</v>
      </c>
      <c r="Q106" s="55" cm="1">
        <f t="array" aca="1" ref="Q106" ca="1">MMS_Feedlot_ManureAppliedToSoils_Equations.VEERG_4_1_1_9__1_MassOfNitrogenAppliedToSoilsScope1(Q22,_xlfn.XLOOKUP($N106,$D$30:$D$34,$E$30:$E$34),_xlfn.XLOOKUP($N106,$D$39:$D$43,$E$39:$E$43),$E98)</f>
        <v>510.77788847999989</v>
      </c>
      <c r="R106" s="2" t="str">
        <f>$E$12</f>
        <v>kg N</v>
      </c>
    </row>
    <row r="107" spans="4:18" ht="20.100000000000001" customHeight="1" x14ac:dyDescent="0.25">
      <c r="D107" s="55" t="str">
        <f>INDEX(X_Table_Feedlot_MMS_Stage2,4,1)</f>
        <v>Composting (passive windrow)</v>
      </c>
      <c r="E107" s="55" cm="1">
        <f t="array" aca="1" ref="E107" ca="1">MMS_Feedlot_ManureAppliedToSoils_Equations.VEERG_4_1_1_9__1_MassOfNitrogenAppliedToSoilsScope1(E23,_xlfn.XLOOKUP($D107,$D$30:$D$34,$E$30:$E$34),_xlfn.XLOOKUP($D107,$D$39:$D$43,$E$39:$E$43),$E99)</f>
        <v>184.42794359808008</v>
      </c>
      <c r="F107" s="55" cm="1">
        <f t="array" aca="1" ref="F107" ca="1">MMS_Feedlot_ManureAppliedToSoils_Equations.VEERG_4_1_1_9__1_MassOfNitrogenAppliedToSoilsScope1(F23,_xlfn.XLOOKUP($D107,$D$30:$D$34,$E$30:$E$34),_xlfn.XLOOKUP($D107,$D$39:$D$43,$E$39:$E$43),$E99)</f>
        <v>280.06384863744</v>
      </c>
      <c r="G107" s="55" cm="1">
        <f t="array" aca="1" ref="G107" ca="1">MMS_Feedlot_ManureAppliedToSoils_Equations.VEERG_4_1_1_9__1_MassOfNitrogenAppliedToSoilsScope1(G23,_xlfn.XLOOKUP($D107,$D$30:$D$34,$E$30:$E$34),_xlfn.XLOOKUP($D107,$D$39:$D$43,$E$39:$E$43),$E99)</f>
        <v>404.5086633599999</v>
      </c>
      <c r="H107" s="2" t="str">
        <f>$E$12</f>
        <v>kg N</v>
      </c>
      <c r="I107" s="2"/>
      <c r="J107" s="2"/>
      <c r="N107" s="55" t="str">
        <f>INDEX(X_Table_Feedlot_MMS_Stage2,4,1)</f>
        <v>Composting (passive windrow)</v>
      </c>
      <c r="O107" s="55" cm="1">
        <f t="array" aca="1" ref="O107" ca="1">MMS_Feedlot_ManureAppliedToSoils_Equations.VEERG_4_1_1_9__1_MassOfNitrogenAppliedToSoilsScope1(O23,_xlfn.XLOOKUP($N107,$D$30:$D$34,$E$30:$E$34),_xlfn.XLOOKUP($N107,$D$39:$D$43,$E$39:$E$43),$E99)</f>
        <v>184.42794359808008</v>
      </c>
      <c r="P107" s="55" cm="1">
        <f t="array" aca="1" ref="P107" ca="1">MMS_Feedlot_ManureAppliedToSoils_Equations.VEERG_4_1_1_9__1_MassOfNitrogenAppliedToSoilsScope1(P23,_xlfn.XLOOKUP($N107,$D$30:$D$34,$E$30:$E$34),_xlfn.XLOOKUP($N107,$D$39:$D$43,$E$39:$E$43),$E99)</f>
        <v>280.06384863744</v>
      </c>
      <c r="Q107" s="55" cm="1">
        <f t="array" aca="1" ref="Q107" ca="1">MMS_Feedlot_ManureAppliedToSoils_Equations.VEERG_4_1_1_9__1_MassOfNitrogenAppliedToSoilsScope1(Q23,_xlfn.XLOOKUP($N107,$D$30:$D$34,$E$30:$E$34),_xlfn.XLOOKUP($N107,$D$39:$D$43,$E$39:$E$43),$E99)</f>
        <v>404.5086633599999</v>
      </c>
      <c r="R107" s="2" t="str">
        <f>$E$12</f>
        <v>kg N</v>
      </c>
    </row>
    <row r="108" spans="4:18" ht="20.100000000000001" customHeight="1" x14ac:dyDescent="0.25">
      <c r="D108" s="55" t="str">
        <f>INDEX(X_Table_Feedlot_MMS_Stage2,5,1)</f>
        <v>Direct application</v>
      </c>
      <c r="E108" s="55" cm="1">
        <f t="array" aca="1" ref="E108" ca="1">MMS_Feedlot_ManureAppliedToSoils_Equations.VEERG_4_1_1_9__1_MassOfNitrogenAppliedToSoilsScope1(E24,_xlfn.XLOOKUP($D108,$D$30:$D$34,$E$30:$E$34),_xlfn.XLOOKUP($D108,$D$39:$D$43,$E$39:$E$43),$E100)</f>
        <v>0</v>
      </c>
      <c r="F108" s="55" cm="1">
        <f t="array" aca="1" ref="F108" ca="1">MMS_Feedlot_ManureAppliedToSoils_Equations.VEERG_4_1_1_9__1_MassOfNitrogenAppliedToSoilsScope1(F24,_xlfn.XLOOKUP($D108,$D$30:$D$34,$E$30:$E$34),_xlfn.XLOOKUP($D108,$D$39:$D$43,$E$39:$E$43),$E100)</f>
        <v>0</v>
      </c>
      <c r="G108" s="55" cm="1">
        <f t="array" aca="1" ref="G108" ca="1">MMS_Feedlot_ManureAppliedToSoils_Equations.VEERG_4_1_1_9__1_MassOfNitrogenAppliedToSoilsScope1(G24,_xlfn.XLOOKUP($D108,$D$30:$D$34,$E$30:$E$34),_xlfn.XLOOKUP($D108,$D$39:$D$43,$E$39:$E$43),$E100)</f>
        <v>0</v>
      </c>
      <c r="H108" s="2" t="str">
        <f>$E$12</f>
        <v>kg N</v>
      </c>
      <c r="I108" s="2"/>
      <c r="J108" s="2"/>
      <c r="N108" s="55" t="str">
        <f>INDEX(X_Table_Feedlot_MMS_Stage2,5,1)</f>
        <v>Direct application</v>
      </c>
      <c r="O108" s="55" cm="1">
        <f t="array" aca="1" ref="O108" ca="1">MMS_Feedlot_ManureAppliedToSoils_Equations.VEERG_4_1_1_9__1_MassOfNitrogenAppliedToSoilsScope1(O24,_xlfn.XLOOKUP($N108,$D$30:$D$34,$E$30:$E$34),_xlfn.XLOOKUP($N108,$D$39:$D$43,$E$39:$E$43),$E100)</f>
        <v>0</v>
      </c>
      <c r="P108" s="55" cm="1">
        <f t="array" aca="1" ref="P108" ca="1">MMS_Feedlot_ManureAppliedToSoils_Equations.VEERG_4_1_1_9__1_MassOfNitrogenAppliedToSoilsScope1(P24,_xlfn.XLOOKUP($N108,$D$30:$D$34,$E$30:$E$34),_xlfn.XLOOKUP($N108,$D$39:$D$43,$E$39:$E$43),$E100)</f>
        <v>0</v>
      </c>
      <c r="Q108" s="55" cm="1">
        <f t="array" aca="1" ref="Q108" ca="1">MMS_Feedlot_ManureAppliedToSoils_Equations.VEERG_4_1_1_9__1_MassOfNitrogenAppliedToSoilsScope1(Q24,_xlfn.XLOOKUP($N108,$D$30:$D$34,$E$30:$E$34),_xlfn.XLOOKUP($N108,$D$39:$D$43,$E$39:$E$43),$E100)</f>
        <v>0</v>
      </c>
      <c r="R108" s="2" t="str">
        <f>$E$12</f>
        <v>kg N</v>
      </c>
    </row>
    <row r="109" spans="4:18" ht="20.100000000000001" customHeight="1" x14ac:dyDescent="0.25">
      <c r="D109" s="55" t="str">
        <f>INDEX(X_Table_Feedlot_MMS_Stage3,3,1)</f>
        <v>Anaerobic lagoon</v>
      </c>
      <c r="E109" s="55" cm="1">
        <f t="array" aca="1" ref="E109" ca="1">MMS_Feedlot_ManureAppliedToSoils_Equations.VEERG_4_1_1_9__1_MassOfNitrogenAppliedToSoilsScope1(E25,_xlfn.XLOOKUP($D109,$D$30:$D$34,$E$30:$E$34),_xlfn.XLOOKUP($D109,$D$39:$D$43,$E$39:$E$43),$E101)</f>
        <v>54.240076800000018</v>
      </c>
      <c r="F109" s="55" cm="1">
        <f t="array" aca="1" ref="F109" ca="1">MMS_Feedlot_ManureAppliedToSoils_Equations.VEERG_4_1_1_9__1_MassOfNitrogenAppliedToSoilsScope1(F25,_xlfn.XLOOKUP($D109,$D$30:$D$34,$E$30:$E$34),_xlfn.XLOOKUP($D109,$D$39:$D$43,$E$39:$E$43),$E101)</f>
        <v>82.366502400000016</v>
      </c>
      <c r="G109" s="55" cm="1">
        <f t="array" aca="1" ref="G109" ca="1">MMS_Feedlot_ManureAppliedToSoils_Equations.VEERG_4_1_1_9__1_MassOfNitrogenAppliedToSoilsScope1(G25,_xlfn.XLOOKUP($D109,$D$30:$D$34,$E$30:$E$34),_xlfn.XLOOKUP($D109,$D$39:$D$43,$E$39:$E$43),$E101)</f>
        <v>118.96559999999997</v>
      </c>
      <c r="H109" s="2" t="str">
        <f>$E$12</f>
        <v>kg N</v>
      </c>
      <c r="I109" s="2"/>
      <c r="J109" s="2"/>
      <c r="N109" s="55" t="str">
        <f>INDEX(X_Table_Feedlot_MMS_Stage3,3,1)</f>
        <v>Anaerobic lagoon</v>
      </c>
      <c r="O109" s="55" cm="1">
        <f t="array" aca="1" ref="O109" ca="1">MMS_Feedlot_ManureAppliedToSoils_Equations.VEERG_4_1_1_9__1_MassOfNitrogenAppliedToSoilsScope1(O25,_xlfn.XLOOKUP($N109,$D$30:$D$34,$E$30:$E$34),_xlfn.XLOOKUP($N109,$D$39:$D$43,$E$39:$E$43),$E101)</f>
        <v>54.240076800000018</v>
      </c>
      <c r="P109" s="55" cm="1">
        <f t="array" aca="1" ref="P109" ca="1">MMS_Feedlot_ManureAppliedToSoils_Equations.VEERG_4_1_1_9__1_MassOfNitrogenAppliedToSoilsScope1(P25,_xlfn.XLOOKUP($N109,$D$30:$D$34,$E$30:$E$34),_xlfn.XLOOKUP($N109,$D$39:$D$43,$E$39:$E$43),$E101)</f>
        <v>82.366502400000016</v>
      </c>
      <c r="Q109" s="55" cm="1">
        <f t="array" aca="1" ref="Q109" ca="1">MMS_Feedlot_ManureAppliedToSoils_Equations.VEERG_4_1_1_9__1_MassOfNitrogenAppliedToSoilsScope1(Q25,_xlfn.XLOOKUP($N109,$D$30:$D$34,$E$30:$E$34),_xlfn.XLOOKUP($N109,$D$39:$D$43,$E$39:$E$43),$E101)</f>
        <v>118.96559999999997</v>
      </c>
      <c r="R109" s="2" t="str">
        <f>$E$12</f>
        <v>kg N</v>
      </c>
    </row>
    <row r="110" spans="4:18" ht="20.100000000000001" customHeight="1" x14ac:dyDescent="0.25"/>
    <row r="111" spans="4:18" ht="20.100000000000001" customHeight="1" x14ac:dyDescent="0.25">
      <c r="D111" s="108" t="s">
        <v>256</v>
      </c>
      <c r="E111" s="109">
        <f ca="1">SUM(E106:G109)</f>
        <v>2221.8698202508799</v>
      </c>
      <c r="F111" s="110" t="str">
        <f>$E$12</f>
        <v>kg N</v>
      </c>
      <c r="N111" s="108" t="s">
        <v>256</v>
      </c>
      <c r="O111" s="109">
        <f ca="1">SUM(O106:Q109)</f>
        <v>2221.8698202508799</v>
      </c>
      <c r="P111" s="110"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6" workbookViewId="0">
      <selection activeCell="I98" sqref="I98"/>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136</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6" t="str" cm="1">
        <f t="array" ref="D7">SourceData_Feedlot.SourceData_Feedlot_VSL_Variable()</f>
        <v>VSL</v>
      </c>
      <c r="E7" s="1" cm="1">
        <f t="array" ref="E7">SourceData_Feedlot.SourceData_Feedlot_VSL_Data()</f>
        <v>0.5</v>
      </c>
      <c r="F7" s="57"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76</v>
      </c>
      <c r="D11" s="5" t="str" cm="1">
        <f t="array" ref="D11">SourceData_Feedlot.SourceData_Feedlot_MMSm1T3_Source()</f>
        <v>VEERG 2026: 4.1.2.3 CONSTANTS</v>
      </c>
      <c r="M11" s="1"/>
    </row>
    <row r="12" spans="1:21" ht="20.100000000000001" customHeight="1" x14ac:dyDescent="0.25">
      <c r="A12" s="17" t="str">
        <f>HYPERLINK("#'4.1.1.1-2 Methane'!A1", "4.1.1.1-2 Methane")</f>
        <v>4.1.1.1-2 Methane</v>
      </c>
      <c r="D12" s="56" t="str" cm="1">
        <f t="array" ref="D12">SourceData_Feedlot.SourceData_Feedlot_MMSm1T3_Variable()</f>
        <v>MMSm1T3</v>
      </c>
      <c r="E12" s="1" cm="1">
        <f t="array" ref="E12">SourceData_Feedlot.SourceData_Feedlot_MMSm1T3_Data()</f>
        <v>0.02</v>
      </c>
      <c r="F12" s="57" t="str" cm="1">
        <f t="array" ref="F12">SourceData_Feedlot.SourceData_Feedlot_MMSm1T3_Unit()</f>
        <v>Fraction</v>
      </c>
      <c r="M12" s="1"/>
    </row>
    <row r="13" spans="1:21" ht="20.100000000000001" customHeight="1" x14ac:dyDescent="0.25">
      <c r="A13" s="17" t="str">
        <f>HYPERLINK("#'4.1.1.3-4 Direct N20'!A1", "4.1.1.3-4 Direct N2O")</f>
        <v>4.1.1.3-4 Direct N2O</v>
      </c>
      <c r="M13" s="1"/>
    </row>
    <row r="14" spans="1:21" ht="20.100000000000001" customHeight="1" x14ac:dyDescent="0.25">
      <c r="A14" s="17" t="str">
        <f>HYPERLINK("#'4.1.1.5-6 Atmos Deposition'!A1", "4.1.1.5-6 Atmospheric deposition")</f>
        <v>4.1.1.5-6 Atmospheric deposition</v>
      </c>
      <c r="M14" s="1"/>
    </row>
    <row r="15" spans="1:21" ht="20.100000000000001" customHeight="1" x14ac:dyDescent="0.25">
      <c r="A15" s="17" t="str">
        <f>HYPERLINK("#'4.1.1.9 Manure applied to soils'!A1", "4.1.1.9 Manure applied to soils")</f>
        <v>4.1.1.9 Manure applied to soils</v>
      </c>
      <c r="D15" s="6" t="str" cm="1">
        <f t="array" ref="D15">SourceData_Feedlot.SourceData_Feedlot_AshContent_Title()</f>
        <v>Ash content of manure.</v>
      </c>
      <c r="M15" s="1"/>
    </row>
    <row r="16" spans="1:21" ht="20.100000000000001" customHeight="1" x14ac:dyDescent="0.25">
      <c r="D16" s="5" t="str" cm="1">
        <f t="array" ref="D16">SourceData_Feedlot.SourceData_Feedlot_AshContent_Source()</f>
        <v>VEERG 2026: 4.1.2.3 CONSTANTS</v>
      </c>
      <c r="M16" s="1"/>
    </row>
    <row r="17" spans="1:13" ht="20.100000000000001" customHeight="1" x14ac:dyDescent="0.25">
      <c r="A17" s="18" t="s">
        <v>4</v>
      </c>
      <c r="D17" s="56" t="str" cm="1">
        <f t="array" ref="D17">SourceData_Feedlot.SourceData_Feedlot_AshContent_Variable()</f>
        <v>A</v>
      </c>
      <c r="E17" s="1" cm="1">
        <f t="array" ref="E17">SourceData_Feedlot.SourceData_Feedlot_AshContent_Data()</f>
        <v>0.16</v>
      </c>
      <c r="F17" s="57" t="str" cm="1">
        <f t="array" ref="F17">SourceData_Feedlot.SourceData_Feedlot_AshContent_Unit()</f>
        <v>Fraction</v>
      </c>
      <c r="M17" s="1"/>
    </row>
    <row r="18" spans="1:13" ht="20.100000000000001" customHeight="1" x14ac:dyDescent="0.25">
      <c r="A18" s="71" t="str">
        <f>HYPERLINK("#'Constants - Feedlot'!A1", "Constants - Feedlot")</f>
        <v>Constants - Feedlot</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SourceData_Feedlot.SourceData_Feedlot_MethaneEmissionsPotential_Title()</f>
        <v>Methane emissions potential.</v>
      </c>
      <c r="M20" s="1"/>
    </row>
    <row r="21" spans="1:13" ht="20.100000000000001" customHeight="1" x14ac:dyDescent="0.25">
      <c r="A21" s="17" t="str">
        <f>HYPERLINK("#'Acknowledgements'!A1", "Acknowledgements")</f>
        <v>Acknowledgements</v>
      </c>
      <c r="D21" s="5" t="str" cm="1">
        <f t="array" ref="D21">SourceData_Feedlot.SourceData_Feedlot_MethaneEmissionsPotential_Source()</f>
        <v>VEERG 2026: 4.1.2.3 CONSTANTS</v>
      </c>
      <c r="M21" s="1"/>
    </row>
    <row r="22" spans="1:13" ht="20.100000000000001" customHeight="1" x14ac:dyDescent="0.25">
      <c r="D22" s="56" t="str" cm="1">
        <f t="array" ref="D22">SourceData_Feedlot.SourceData_Feedlot_MethaneEmissionsPotential_Variable()</f>
        <v>B0</v>
      </c>
      <c r="E22" s="1" cm="1">
        <f t="array" ref="E22">SourceData_Feedlot.SourceData_Feedlot_MethaneEmissionsPotential_Data()</f>
        <v>0.19</v>
      </c>
      <c r="F22" s="57"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A24" s="17"/>
      <c r="M24" s="1"/>
    </row>
    <row r="25" spans="1:13" ht="20.100000000000001" customHeight="1" x14ac:dyDescent="0.25">
      <c r="A25" s="17"/>
      <c r="D25" s="6" t="s">
        <v>114</v>
      </c>
      <c r="G25" s="6" t="s">
        <v>272</v>
      </c>
      <c r="J25" s="6" t="s">
        <v>274</v>
      </c>
      <c r="M25" s="1"/>
    </row>
    <row r="26" spans="1:13" ht="20.100000000000001" customHeight="1" x14ac:dyDescent="0.25">
      <c r="M26" s="1"/>
    </row>
    <row r="27" spans="1:13" ht="20.100000000000001" customHeight="1" x14ac:dyDescent="0.25">
      <c r="D27" s="102" t="s">
        <v>67</v>
      </c>
      <c r="E27" s="39" t="s">
        <v>81</v>
      </c>
      <c r="G27" s="39" t="s">
        <v>273</v>
      </c>
      <c r="J27" s="39" t="s">
        <v>270</v>
      </c>
      <c r="M27" s="1"/>
    </row>
    <row r="28" spans="1:13" ht="20.100000000000001" customHeight="1" x14ac:dyDescent="0.25">
      <c r="D28" s="39" t="str">
        <f>'Constants - Livestock'!$E$16</f>
        <v>Drylot (feed pad)</v>
      </c>
      <c r="E28" s="39" t="str">
        <f>'Constants - Livestock'!$F$16</f>
        <v>Drylot (feed pad) (m=5)</v>
      </c>
      <c r="G28" s="39" t="str">
        <f>'Constants - Common'!$F$188</f>
        <v>Crop</v>
      </c>
      <c r="J28" s="39" t="s">
        <v>275</v>
      </c>
      <c r="M28" s="1"/>
    </row>
    <row r="29" spans="1:13" ht="20.100000000000001" customHeight="1" x14ac:dyDescent="0.25">
      <c r="D29" s="39" t="str">
        <f>'Constants - Livestock'!$E$15</f>
        <v>Solid storage</v>
      </c>
      <c r="E29" s="39" t="str">
        <f>'Constants - Livestock'!$F$15</f>
        <v>Solid storage (m=4)</v>
      </c>
      <c r="G29" s="1" t="str">
        <f>'Constants - Common'!$F$187</f>
        <v>Pasture</v>
      </c>
      <c r="J29" s="39" t="s">
        <v>276</v>
      </c>
      <c r="M29" s="1"/>
    </row>
    <row r="30" spans="1:13" ht="20.100000000000001" customHeight="1" x14ac:dyDescent="0.25">
      <c r="D30" s="39" t="str">
        <f>'Constants - Livestock'!$E$17</f>
        <v>Composting (passive windrow)</v>
      </c>
      <c r="E30" s="39" t="str">
        <f>'Constants - Livestock'!$F$17</f>
        <v>Composting (passive windrow) (m=6)</v>
      </c>
      <c r="J30" s="1" t="s">
        <v>277</v>
      </c>
      <c r="M30" s="1"/>
    </row>
    <row r="31" spans="1:13" ht="20.100000000000001" customHeight="1" x14ac:dyDescent="0.25">
      <c r="D31" s="39" t="str">
        <f>'Constants - Livestock'!$E$26</f>
        <v>Direct application</v>
      </c>
      <c r="E31" s="39" t="str">
        <f>'Constants - Livestock'!$F$26</f>
        <v>Direct application (m=13)</v>
      </c>
      <c r="J31" s="1" t="s">
        <v>278</v>
      </c>
      <c r="M31" s="1"/>
    </row>
    <row r="32" spans="1:13" ht="20.100000000000001" customHeight="1" x14ac:dyDescent="0.25">
      <c r="D32" s="1" t="str">
        <f>'Constants - Livestock'!$E$10</f>
        <v>Anaerobic lagoon</v>
      </c>
      <c r="E32" s="1" t="str">
        <f>'Constants - Livestock'!$F$10</f>
        <v>Anaerobic lagoon (m=1)</v>
      </c>
      <c r="J32" s="1" t="s">
        <v>279</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9" t="s">
        <v>131</v>
      </c>
      <c r="E38" s="39" t="s">
        <v>144</v>
      </c>
      <c r="M38" s="1"/>
    </row>
    <row r="39" spans="4:13" ht="20.100000000000001" customHeight="1" x14ac:dyDescent="0.25">
      <c r="D39" s="39" t="str" cm="1">
        <f t="array" ref="D39">Common_InputFunctions.Utility_DisplayArrayInTable(SourceData_Feedlot.SourceData_Feedlot_DurationOfStay_Data(), Table_SourceData_Feedlot_LengthOfStay[[#Headers],[Feedlot type]], 0)</f>
        <v>Domestic</v>
      </c>
      <c r="E39" s="39"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9"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9"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8" t="str" cm="1">
        <f t="array" ref="D46:D48">SourceData_Feedlot.SourceData_Feedlot_AnimalCharacteristics_Variation()</f>
        <v>VARIATION ON SOURCE:</v>
      </c>
      <c r="M46" s="24"/>
    </row>
    <row r="47" spans="4:13" ht="20.100000000000001" customHeight="1" x14ac:dyDescent="0.25">
      <c r="D47" s="58" t="str">
        <v>Moved feedlot types to a separate column to aid lookup.</v>
      </c>
      <c r="M47" s="24"/>
    </row>
    <row r="48" spans="4:13" ht="20.100000000000001" customHeight="1" x14ac:dyDescent="0.25">
      <c r="D48" s="58" t="str">
        <v>Named 'characteristic' column - original has header 'Unit' which covers two columns)</v>
      </c>
      <c r="M48" s="24"/>
    </row>
    <row r="49" spans="4:13" ht="20.100000000000001" customHeight="1" x14ac:dyDescent="0.25">
      <c r="D49" s="39" t="s">
        <v>131</v>
      </c>
      <c r="E49" s="39" t="s">
        <v>141</v>
      </c>
      <c r="F49" s="39" t="s">
        <v>19</v>
      </c>
      <c r="G49" s="39" t="s">
        <v>142</v>
      </c>
      <c r="H49" s="39" t="s">
        <v>133</v>
      </c>
      <c r="I49" s="39" t="s">
        <v>134</v>
      </c>
      <c r="J49" s="39" t="s">
        <v>135</v>
      </c>
      <c r="M49" s="24"/>
    </row>
    <row r="50" spans="4:13" ht="20.100000000000001" customHeight="1" x14ac:dyDescent="0.25">
      <c r="D50" s="39" t="str" cm="1">
        <f t="array" ref="D50">Common_InputFunctions.Utility_DisplayArrayInTable(SourceData_Feedlot.SourceData_Feedlot_AnimalCharacteristics_Data(), Table_SourceData_Feedlot_AnimalCharacteristics[[#Headers],[Feedlot type]], 0)</f>
        <v>Domestic</v>
      </c>
      <c r="E50" s="39" t="str" cm="1">
        <f t="array" ref="E50">Common_InputFunctions.Utility_DisplayArrayInTable(SourceData_Feedlot.SourceData_Feedlot_AnimalCharacteristics_Data(), Table_SourceData_Feedlot_AnimalCharacteristics[[#Headers],[Feedlot type]], 0)</f>
        <v>Days on feed</v>
      </c>
      <c r="F50" s="39" t="str" cm="1">
        <f t="array" ref="F50">Common_InputFunctions.Utility_DisplayArrayInTable(SourceData_Feedlot.SourceData_Feedlot_AnimalCharacteristics_Data(), Table_SourceData_Feedlot_AnimalCharacteristics[[#Headers],[Feedlot type]], 0)</f>
        <v>days</v>
      </c>
      <c r="G50" s="39" cm="1">
        <f t="array" ref="G50">Common_InputFunctions.Utility_DisplayArrayInTable(SourceData_Feedlot.SourceData_Feedlot_AnimalCharacteristics_Data(), Table_SourceData_Feedlot_AnimalCharacteristics[[#Headers],[Feedlot type]], 0)</f>
        <v>70</v>
      </c>
      <c r="H50" s="39" cm="1">
        <f t="array" ref="H50">Common_InputFunctions.Utility_DisplayArrayInTable(SourceData_Feedlot.SourceData_Feedlot_AnimalCharacteristics_Data(), Table_SourceData_Feedlot_AnimalCharacteristics[[#Headers],[Feedlot type]], 0)</f>
        <v>70</v>
      </c>
      <c r="I50" s="39" cm="1">
        <f t="array" ref="I50">Common_InputFunctions.Utility_DisplayArrayInTable(SourceData_Feedlot.SourceData_Feedlot_AnimalCharacteristics_Data(), Table_SourceData_Feedlot_AnimalCharacteristics[[#Headers],[Feedlot type]], 0)</f>
        <v>70</v>
      </c>
      <c r="J50" s="39"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9" t="str" cm="1">
        <f t="array" ref="E51">Common_InputFunctions.Utility_DisplayArrayInTable(SourceData_Feedlot.SourceData_Feedlot_AnimalCharacteristics_Data(), Table_SourceData_Feedlot_AnimalCharacteristics[[#Headers],[Feedlot type]], 0)</f>
        <v>Feed intake</v>
      </c>
      <c r="F51" s="39" t="str" cm="1">
        <f t="array" ref="F51">Common_InputFunctions.Utility_DisplayArrayInTable(SourceData_Feedlot.SourceData_Feedlot_AnimalCharacteristics_Data(), Table_SourceData_Feedlot_AnimalCharacteristics[[#Headers],[Feedlot type]], 0)</f>
        <v>kg DM/day</v>
      </c>
      <c r="G51" s="39" cm="1">
        <f t="array" ref="G51">Common_InputFunctions.Utility_DisplayArrayInTable(SourceData_Feedlot.SourceData_Feedlot_AnimalCharacteristics_Data(), Table_SourceData_Feedlot_AnimalCharacteristics[[#Headers],[Feedlot type]], 0)</f>
        <v>10</v>
      </c>
      <c r="H51" s="39" cm="1">
        <f t="array" ref="H51">Common_InputFunctions.Utility_DisplayArrayInTable(SourceData_Feedlot.SourceData_Feedlot_AnimalCharacteristics_Data(), Table_SourceData_Feedlot_AnimalCharacteristics[[#Headers],[Feedlot type]], 0)</f>
        <v>10</v>
      </c>
      <c r="I51" s="39" cm="1">
        <f t="array" ref="I51">Common_InputFunctions.Utility_DisplayArrayInTable(SourceData_Feedlot.SourceData_Feedlot_AnimalCharacteristics_Data(), Table_SourceData_Feedlot_AnimalCharacteristics[[#Headers],[Feedlot type]], 0)</f>
        <v>10.4</v>
      </c>
      <c r="J51" s="39"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9" t="str" cm="1">
        <f t="array" ref="E52">Common_InputFunctions.Utility_DisplayArrayInTable(SourceData_Feedlot.SourceData_Feedlot_AnimalCharacteristics_Data(), Table_SourceData_Feedlot_AnimalCharacteristics[[#Headers],[Feedlot type]], 0)</f>
        <v>N retention</v>
      </c>
      <c r="F52" s="39" t="str" cm="1">
        <f t="array" ref="F52">Common_InputFunctions.Utility_DisplayArrayInTable(SourceData_Feedlot.SourceData_Feedlot_AnimalCharacteristics_Data(), Table_SourceData_Feedlot_AnimalCharacteristics[[#Headers],[Feedlot type]], 0)</f>
        <v>per cent of intake</v>
      </c>
      <c r="G52" s="39" cm="1">
        <f t="array" ref="G52">Common_InputFunctions.Utility_DisplayArrayInTable(SourceData_Feedlot.SourceData_Feedlot_AnimalCharacteristics_Data(), Table_SourceData_Feedlot_AnimalCharacteristics[[#Headers],[Feedlot type]], 0)</f>
        <v>21.1</v>
      </c>
      <c r="H52" s="39" cm="1">
        <f t="array" ref="H52">Common_InputFunctions.Utility_DisplayArrayInTable(SourceData_Feedlot.SourceData_Feedlot_AnimalCharacteristics_Data(), Table_SourceData_Feedlot_AnimalCharacteristics[[#Headers],[Feedlot type]], 0)</f>
        <v>20.399999999999999</v>
      </c>
      <c r="I52" s="39" cm="1">
        <f t="array" ref="I52">Common_InputFunctions.Utility_DisplayArrayInTable(SourceData_Feedlot.SourceData_Feedlot_AnimalCharacteristics_Data(), Table_SourceData_Feedlot_AnimalCharacteristics[[#Headers],[Feedlot type]], 0)</f>
        <v>20.399999999999999</v>
      </c>
      <c r="J52" s="39"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9" t="str" cm="1">
        <f t="array" ref="E53">Common_InputFunctions.Utility_DisplayArrayInTable(SourceData_Feedlot.SourceData_Feedlot_AnimalCharacteristics_Data(), Table_SourceData_Feedlot_AnimalCharacteristics[[#Headers],[Feedlot type]], 0)</f>
        <v>Days on feed</v>
      </c>
      <c r="F53" s="39" t="str" cm="1">
        <f t="array" ref="F53">Common_InputFunctions.Utility_DisplayArrayInTable(SourceData_Feedlot.SourceData_Feedlot_AnimalCharacteristics_Data(), Table_SourceData_Feedlot_AnimalCharacteristics[[#Headers],[Feedlot type]], 0)</f>
        <v>days</v>
      </c>
      <c r="G53" s="39" cm="1">
        <f t="array" ref="G53">Common_InputFunctions.Utility_DisplayArrayInTable(SourceData_Feedlot.SourceData_Feedlot_AnimalCharacteristics_Data(), Table_SourceData_Feedlot_AnimalCharacteristics[[#Headers],[Feedlot type]], 0)</f>
        <v>115</v>
      </c>
      <c r="H53" s="39" cm="1">
        <f t="array" ref="H53">Common_InputFunctions.Utility_DisplayArrayInTable(SourceData_Feedlot.SourceData_Feedlot_AnimalCharacteristics_Data(), Table_SourceData_Feedlot_AnimalCharacteristics[[#Headers],[Feedlot type]], 0)</f>
        <v>115</v>
      </c>
      <c r="I53" s="39" cm="1">
        <f t="array" ref="I53">Common_InputFunctions.Utility_DisplayArrayInTable(SourceData_Feedlot.SourceData_Feedlot_AnimalCharacteristics_Data(), Table_SourceData_Feedlot_AnimalCharacteristics[[#Headers],[Feedlot type]], 0)</f>
        <v>120</v>
      </c>
      <c r="J53" s="39"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9" t="str" cm="1">
        <f t="array" ref="E54">Common_InputFunctions.Utility_DisplayArrayInTable(SourceData_Feedlot.SourceData_Feedlot_AnimalCharacteristics_Data(), Table_SourceData_Feedlot_AnimalCharacteristics[[#Headers],[Feedlot type]], 0)</f>
        <v>Feed intake</v>
      </c>
      <c r="F54" s="39" t="str" cm="1">
        <f t="array" ref="F54">Common_InputFunctions.Utility_DisplayArrayInTable(SourceData_Feedlot.SourceData_Feedlot_AnimalCharacteristics_Data(), Table_SourceData_Feedlot_AnimalCharacteristics[[#Headers],[Feedlot type]], 0)</f>
        <v>kg DM/day</v>
      </c>
      <c r="G54" s="39" cm="1">
        <f t="array" ref="G54">Common_InputFunctions.Utility_DisplayArrayInTable(SourceData_Feedlot.SourceData_Feedlot_AnimalCharacteristics_Data(), Table_SourceData_Feedlot_AnimalCharacteristics[[#Headers],[Feedlot type]], 0)</f>
        <v>11.2</v>
      </c>
      <c r="H54" s="39" cm="1">
        <f t="array" ref="H54">Common_InputFunctions.Utility_DisplayArrayInTable(SourceData_Feedlot.SourceData_Feedlot_AnimalCharacteristics_Data(), Table_SourceData_Feedlot_AnimalCharacteristics[[#Headers],[Feedlot type]], 0)</f>
        <v>10.8</v>
      </c>
      <c r="I54" s="39" cm="1">
        <f t="array" ref="I54">Common_InputFunctions.Utility_DisplayArrayInTable(SourceData_Feedlot.SourceData_Feedlot_AnimalCharacteristics_Data(), Table_SourceData_Feedlot_AnimalCharacteristics[[#Headers],[Feedlot type]], 0)</f>
        <v>10.8</v>
      </c>
      <c r="J54" s="39"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9" t="str" cm="1">
        <f t="array" ref="E55">Common_InputFunctions.Utility_DisplayArrayInTable(SourceData_Feedlot.SourceData_Feedlot_AnimalCharacteristics_Data(), Table_SourceData_Feedlot_AnimalCharacteristics[[#Headers],[Feedlot type]], 0)</f>
        <v>N retention</v>
      </c>
      <c r="F55" s="39" t="str" cm="1">
        <f t="array" ref="F55">Common_InputFunctions.Utility_DisplayArrayInTable(SourceData_Feedlot.SourceData_Feedlot_AnimalCharacteristics_Data(), Table_SourceData_Feedlot_AnimalCharacteristics[[#Headers],[Feedlot type]], 0)</f>
        <v>per cent of intake</v>
      </c>
      <c r="G55" s="39" cm="1">
        <f t="array" ref="G55">Common_InputFunctions.Utility_DisplayArrayInTable(SourceData_Feedlot.SourceData_Feedlot_AnimalCharacteristics_Data(), Table_SourceData_Feedlot_AnimalCharacteristics[[#Headers],[Feedlot type]], 0)</f>
        <v>12.5</v>
      </c>
      <c r="H55" s="39" cm="1">
        <f t="array" ref="H55">Common_InputFunctions.Utility_DisplayArrayInTable(SourceData_Feedlot.SourceData_Feedlot_AnimalCharacteristics_Data(), Table_SourceData_Feedlot_AnimalCharacteristics[[#Headers],[Feedlot type]], 0)</f>
        <v>12.7</v>
      </c>
      <c r="I55" s="39" cm="1">
        <f t="array" ref="I55">Common_InputFunctions.Utility_DisplayArrayInTable(SourceData_Feedlot.SourceData_Feedlot_AnimalCharacteristics_Data(), Table_SourceData_Feedlot_AnimalCharacteristics[[#Headers],[Feedlot type]], 0)</f>
        <v>12.7</v>
      </c>
      <c r="J55" s="39"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9" t="str" cm="1">
        <f t="array" ref="E56">Common_InputFunctions.Utility_DisplayArrayInTable(SourceData_Feedlot.SourceData_Feedlot_AnimalCharacteristics_Data(), Table_SourceData_Feedlot_AnimalCharacteristics[[#Headers],[Feedlot type]], 0)</f>
        <v>Days on feed</v>
      </c>
      <c r="F56" s="39" t="str" cm="1">
        <f t="array" ref="F56">Common_InputFunctions.Utility_DisplayArrayInTable(SourceData_Feedlot.SourceData_Feedlot_AnimalCharacteristics_Data(), Table_SourceData_Feedlot_AnimalCharacteristics[[#Headers],[Feedlot type]], 0)</f>
        <v>days</v>
      </c>
      <c r="G56" s="39" cm="1">
        <f t="array" ref="G56">Common_InputFunctions.Utility_DisplayArrayInTable(SourceData_Feedlot.SourceData_Feedlot_AnimalCharacteristics_Data(), Table_SourceData_Feedlot_AnimalCharacteristics[[#Headers],[Feedlot type]], 0)</f>
        <v>250</v>
      </c>
      <c r="H56" s="39" cm="1">
        <f t="array" ref="H56">Common_InputFunctions.Utility_DisplayArrayInTable(SourceData_Feedlot.SourceData_Feedlot_AnimalCharacteristics_Data(), Table_SourceData_Feedlot_AnimalCharacteristics[[#Headers],[Feedlot type]], 0)</f>
        <v>250</v>
      </c>
      <c r="I56" s="39" cm="1">
        <f t="array" ref="I56">Common_InputFunctions.Utility_DisplayArrayInTable(SourceData_Feedlot.SourceData_Feedlot_AnimalCharacteristics_Data(), Table_SourceData_Feedlot_AnimalCharacteristics[[#Headers],[Feedlot type]], 0)</f>
        <v>250</v>
      </c>
      <c r="J56" s="39"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9" t="str" cm="1">
        <f t="array" ref="E57">Common_InputFunctions.Utility_DisplayArrayInTable(SourceData_Feedlot.SourceData_Feedlot_AnimalCharacteristics_Data(), Table_SourceData_Feedlot_AnimalCharacteristics[[#Headers],[Feedlot type]], 0)</f>
        <v>Feed intake</v>
      </c>
      <c r="F57" s="39" t="str" cm="1">
        <f t="array" ref="F57">Common_InputFunctions.Utility_DisplayArrayInTable(SourceData_Feedlot.SourceData_Feedlot_AnimalCharacteristics_Data(), Table_SourceData_Feedlot_AnimalCharacteristics[[#Headers],[Feedlot type]], 0)</f>
        <v>kg DM/day</v>
      </c>
      <c r="G57" s="39" cm="1">
        <f t="array" ref="G57">Common_InputFunctions.Utility_DisplayArrayInTable(SourceData_Feedlot.SourceData_Feedlot_AnimalCharacteristics_Data(), Table_SourceData_Feedlot_AnimalCharacteristics[[#Headers],[Feedlot type]], 0)</f>
        <v>9</v>
      </c>
      <c r="H57" s="39" cm="1">
        <f t="array" ref="H57">Common_InputFunctions.Utility_DisplayArrayInTable(SourceData_Feedlot.SourceData_Feedlot_AnimalCharacteristics_Data(), Table_SourceData_Feedlot_AnimalCharacteristics[[#Headers],[Feedlot type]], 0)</f>
        <v>8.5</v>
      </c>
      <c r="I57" s="39" cm="1">
        <f t="array" ref="I57">Common_InputFunctions.Utility_DisplayArrayInTable(SourceData_Feedlot.SourceData_Feedlot_AnimalCharacteristics_Data(), Table_SourceData_Feedlot_AnimalCharacteristics[[#Headers],[Feedlot type]], 0)</f>
        <v>8.1999999999999993</v>
      </c>
      <c r="J57" s="39"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9" t="str" cm="1">
        <f t="array" ref="E58">Common_InputFunctions.Utility_DisplayArrayInTable(SourceData_Feedlot.SourceData_Feedlot_AnimalCharacteristics_Data(), Table_SourceData_Feedlot_AnimalCharacteristics[[#Headers],[Feedlot type]], 0)</f>
        <v>N retention</v>
      </c>
      <c r="F58" s="39" t="str" cm="1">
        <f t="array" ref="F58">Common_InputFunctions.Utility_DisplayArrayInTable(SourceData_Feedlot.SourceData_Feedlot_AnimalCharacteristics_Data(), Table_SourceData_Feedlot_AnimalCharacteristics[[#Headers],[Feedlot type]], 0)</f>
        <v>per cent of intake</v>
      </c>
      <c r="G58" s="39" cm="1">
        <f t="array" ref="G58">Common_InputFunctions.Utility_DisplayArrayInTable(SourceData_Feedlot.SourceData_Feedlot_AnimalCharacteristics_Data(), Table_SourceData_Feedlot_AnimalCharacteristics[[#Headers],[Feedlot type]], 0)</f>
        <v>6.6</v>
      </c>
      <c r="H58" s="39" cm="1">
        <f t="array" ref="H58">Common_InputFunctions.Utility_DisplayArrayInTable(SourceData_Feedlot.SourceData_Feedlot_AnimalCharacteristics_Data(), Table_SourceData_Feedlot_AnimalCharacteristics[[#Headers],[Feedlot type]], 0)</f>
        <v>7</v>
      </c>
      <c r="I58" s="39" cm="1">
        <f t="array" ref="I58">Common_InputFunctions.Utility_DisplayArrayInTable(SourceData_Feedlot.SourceData_Feedlot_AnimalCharacteristics_Data(), Table_SourceData_Feedlot_AnimalCharacteristics[[#Headers],[Feedlot type]], 0)</f>
        <v>7</v>
      </c>
      <c r="J58" s="39"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8" t="str" cm="1">
        <f t="array" ref="D63:D65">SourceData_Feedlot.SourceData_Feedlot_DietProperties_Variation()</f>
        <v>VARIATION ON SOURCE:</v>
      </c>
      <c r="M63" s="24"/>
    </row>
    <row r="64" spans="4:13" ht="20.100000000000001" customHeight="1" x14ac:dyDescent="0.25">
      <c r="D64" s="58" t="str">
        <v>Added 'Converted to fraction column and converted NDF and Ether extract values to fractions.</v>
      </c>
      <c r="M64" s="24"/>
    </row>
    <row r="65" spans="4:13" ht="20.100000000000001" customHeight="1" x14ac:dyDescent="0.25">
      <c r="D65" s="58" t="str">
        <v>Moved feedlot types to a separate column to aid lookup.</v>
      </c>
      <c r="M65" s="24"/>
    </row>
    <row r="66" spans="4:13" ht="20.100000000000001" customHeight="1" x14ac:dyDescent="0.25">
      <c r="D66" s="39" t="s">
        <v>131</v>
      </c>
      <c r="E66" s="39" t="s">
        <v>132</v>
      </c>
      <c r="F66" s="39" t="s">
        <v>19</v>
      </c>
      <c r="G66" s="39" t="s">
        <v>133</v>
      </c>
      <c r="H66" s="39" t="s">
        <v>134</v>
      </c>
      <c r="I66" s="39" t="s">
        <v>135</v>
      </c>
      <c r="J66" s="39" t="s">
        <v>140</v>
      </c>
      <c r="M66" s="24"/>
    </row>
    <row r="67" spans="4:13" ht="20.100000000000001" customHeight="1" x14ac:dyDescent="0.25">
      <c r="D67" s="39" t="str" cm="1">
        <f t="array" ref="D67">Common_InputFunctions.Utility_DisplayArrayInTable(SourceData_Feedlot.SourceData_Feedlot_DietProperties_Data(), Table_SourceData_Feedlot_DietProperties[[#Headers],[Feedlot type]], 0)</f>
        <v>Domestic</v>
      </c>
      <c r="E67" s="39" t="str" cm="1">
        <f t="array" ref="E67">Common_InputFunctions.Utility_DisplayArrayInTable(SourceData_Feedlot.SourceData_Feedlot_DietProperties_Data(), Table_SourceData_Feedlot_DietProperties[[#Headers],[Feedlot type]], 0)</f>
        <v>Dry matter digestibility</v>
      </c>
      <c r="F67" s="39" t="str" cm="1">
        <f t="array" ref="F67">Common_InputFunctions.Utility_DisplayArrayInTable(SourceData_Feedlot.SourceData_Feedlot_DietProperties_Data(), Table_SourceData_Feedlot_DietProperties[[#Headers],[Feedlot type]], 0)</f>
        <v>fraction</v>
      </c>
      <c r="G67" s="39" cm="1">
        <f t="array" ref="G67">Common_InputFunctions.Utility_DisplayArrayInTable(SourceData_Feedlot.SourceData_Feedlot_DietProperties_Data(), Table_SourceData_Feedlot_DietProperties[[#Headers],[Feedlot type]], 0)</f>
        <v>0.81</v>
      </c>
      <c r="H67" s="39" cm="1">
        <f t="array" ref="H67">Common_InputFunctions.Utility_DisplayArrayInTable(SourceData_Feedlot.SourceData_Feedlot_DietProperties_Data(), Table_SourceData_Feedlot_DietProperties[[#Headers],[Feedlot type]], 0)</f>
        <v>0.81</v>
      </c>
      <c r="I67" s="39" cm="1">
        <f t="array" ref="I67">Common_InputFunctions.Utility_DisplayArrayInTable(SourceData_Feedlot.SourceData_Feedlot_DietProperties_Data(), Table_SourceData_Feedlot_DietProperties[[#Headers],[Feedlot type]], 0)</f>
        <v>0.81</v>
      </c>
      <c r="J67" s="39"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9" t="str" cm="1">
        <f t="array" ref="E68">Common_InputFunctions.Utility_DisplayArrayInTable(SourceData_Feedlot.SourceData_Feedlot_DietProperties_Data(), Table_SourceData_Feedlot_DietProperties[[#Headers],[Feedlot type]], 0)</f>
        <v>Crude protein</v>
      </c>
      <c r="F68" s="39" t="str" cm="1">
        <f t="array" ref="F68">Common_InputFunctions.Utility_DisplayArrayInTable(SourceData_Feedlot.SourceData_Feedlot_DietProperties_Data(), Table_SourceData_Feedlot_DietProperties[[#Headers],[Feedlot type]], 0)</f>
        <v>fraction</v>
      </c>
      <c r="G68" s="39" cm="1">
        <f t="array" ref="G68">Common_InputFunctions.Utility_DisplayArrayInTable(SourceData_Feedlot.SourceData_Feedlot_DietProperties_Data(), Table_SourceData_Feedlot_DietProperties[[#Headers],[Feedlot type]], 0)</f>
        <v>0.14000000000000001</v>
      </c>
      <c r="H68" s="39" cm="1">
        <f t="array" ref="H68">Common_InputFunctions.Utility_DisplayArrayInTable(SourceData_Feedlot.SourceData_Feedlot_DietProperties_Data(), Table_SourceData_Feedlot_DietProperties[[#Headers],[Feedlot type]], 0)</f>
        <v>0.14000000000000001</v>
      </c>
      <c r="I68" s="39" cm="1">
        <f t="array" ref="I68">Common_InputFunctions.Utility_DisplayArrayInTable(SourceData_Feedlot.SourceData_Feedlot_DietProperties_Data(), Table_SourceData_Feedlot_DietProperties[[#Headers],[Feedlot type]], 0)</f>
        <v>0.14000000000000001</v>
      </c>
      <c r="J68" s="39"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9" t="str" cm="1">
        <f t="array" ref="E69">Common_InputFunctions.Utility_DisplayArrayInTable(SourceData_Feedlot.SourceData_Feedlot_DietProperties_Data(), Table_SourceData_Feedlot_DietProperties[[#Headers],[Feedlot type]], 0)</f>
        <v>NDF</v>
      </c>
      <c r="F69" s="39" t="str" cm="1">
        <f t="array" ref="F69">Common_InputFunctions.Utility_DisplayArrayInTable(SourceData_Feedlot.SourceData_Feedlot_DietProperties_Data(), Table_SourceData_Feedlot_DietProperties[[#Headers],[Feedlot type]], 0)</f>
        <v>per cent</v>
      </c>
      <c r="G69" s="39" cm="1">
        <f t="array" ref="G69">Common_InputFunctions.Utility_DisplayArrayInTable(SourceData_Feedlot.SourceData_Feedlot_DietProperties_Data(), Table_SourceData_Feedlot_DietProperties[[#Headers],[Feedlot type]], 0)</f>
        <v>23</v>
      </c>
      <c r="H69" s="39" cm="1">
        <f t="array" ref="H69">Common_InputFunctions.Utility_DisplayArrayInTable(SourceData_Feedlot.SourceData_Feedlot_DietProperties_Data(), Table_SourceData_Feedlot_DietProperties[[#Headers],[Feedlot type]], 0)</f>
        <v>22</v>
      </c>
      <c r="I69" s="39" cm="1">
        <f t="array" ref="I69">Common_InputFunctions.Utility_DisplayArrayInTable(SourceData_Feedlot.SourceData_Feedlot_DietProperties_Data(), Table_SourceData_Feedlot_DietProperties[[#Headers],[Feedlot type]], 0)</f>
        <v>22</v>
      </c>
      <c r="J69" s="39"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9" t="str" cm="1">
        <f t="array" ref="E70">Common_InputFunctions.Utility_DisplayArrayInTable(SourceData_Feedlot.SourceData_Feedlot_DietProperties_Data(), Table_SourceData_Feedlot_DietProperties[[#Headers],[Feedlot type]], 0)</f>
        <v>Ether Extract</v>
      </c>
      <c r="F70" s="39" t="str" cm="1">
        <f t="array" ref="F70">Common_InputFunctions.Utility_DisplayArrayInTable(SourceData_Feedlot.SourceData_Feedlot_DietProperties_Data(), Table_SourceData_Feedlot_DietProperties[[#Headers],[Feedlot type]], 0)</f>
        <v>per cent</v>
      </c>
      <c r="G70" s="39" cm="1">
        <f t="array" ref="G70">Common_InputFunctions.Utility_DisplayArrayInTable(SourceData_Feedlot.SourceData_Feedlot_DietProperties_Data(), Table_SourceData_Feedlot_DietProperties[[#Headers],[Feedlot type]], 0)</f>
        <v>4.5</v>
      </c>
      <c r="H70" s="39" cm="1">
        <f t="array" ref="H70">Common_InputFunctions.Utility_DisplayArrayInTable(SourceData_Feedlot.SourceData_Feedlot_DietProperties_Data(), Table_SourceData_Feedlot_DietProperties[[#Headers],[Feedlot type]], 0)</f>
        <v>4.5</v>
      </c>
      <c r="I70" s="39" cm="1">
        <f t="array" ref="I70">Common_InputFunctions.Utility_DisplayArrayInTable(SourceData_Feedlot.SourceData_Feedlot_DietProperties_Data(), Table_SourceData_Feedlot_DietProperties[[#Headers],[Feedlot type]], 0)</f>
        <v>4.8</v>
      </c>
      <c r="J70" s="39"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9" t="str" cm="1">
        <f t="array" ref="E71">Common_InputFunctions.Utility_DisplayArrayInTable(SourceData_Feedlot.SourceData_Feedlot_DietProperties_Data(), Table_SourceData_Feedlot_DietProperties[[#Headers],[Feedlot type]], 0)</f>
        <v>Dry matter digestibility</v>
      </c>
      <c r="F71" s="39" t="str" cm="1">
        <f t="array" ref="F71">Common_InputFunctions.Utility_DisplayArrayInTable(SourceData_Feedlot.SourceData_Feedlot_DietProperties_Data(), Table_SourceData_Feedlot_DietProperties[[#Headers],[Feedlot type]], 0)</f>
        <v>fraction</v>
      </c>
      <c r="G71" s="39" cm="1">
        <f t="array" ref="G71">Common_InputFunctions.Utility_DisplayArrayInTable(SourceData_Feedlot.SourceData_Feedlot_DietProperties_Data(), Table_SourceData_Feedlot_DietProperties[[#Headers],[Feedlot type]], 0)</f>
        <v>0.81</v>
      </c>
      <c r="H71" s="39" cm="1">
        <f t="array" ref="H71">Common_InputFunctions.Utility_DisplayArrayInTable(SourceData_Feedlot.SourceData_Feedlot_DietProperties_Data(), Table_SourceData_Feedlot_DietProperties[[#Headers],[Feedlot type]], 0)</f>
        <v>0.81</v>
      </c>
      <c r="I71" s="39" cm="1">
        <f t="array" ref="I71">Common_InputFunctions.Utility_DisplayArrayInTable(SourceData_Feedlot.SourceData_Feedlot_DietProperties_Data(), Table_SourceData_Feedlot_DietProperties[[#Headers],[Feedlot type]], 0)</f>
        <v>0.81</v>
      </c>
      <c r="J71" s="39"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9" t="str" cm="1">
        <f t="array" ref="E72">Common_InputFunctions.Utility_DisplayArrayInTable(SourceData_Feedlot.SourceData_Feedlot_DietProperties_Data(), Table_SourceData_Feedlot_DietProperties[[#Headers],[Feedlot type]], 0)</f>
        <v>Crude protein</v>
      </c>
      <c r="F72" s="39" t="str" cm="1">
        <f t="array" ref="F72">Common_InputFunctions.Utility_DisplayArrayInTable(SourceData_Feedlot.SourceData_Feedlot_DietProperties_Data(), Table_SourceData_Feedlot_DietProperties[[#Headers],[Feedlot type]], 0)</f>
        <v>fraction</v>
      </c>
      <c r="G72" s="39" cm="1">
        <f t="array" ref="G72">Common_InputFunctions.Utility_DisplayArrayInTable(SourceData_Feedlot.SourceData_Feedlot_DietProperties_Data(), Table_SourceData_Feedlot_DietProperties[[#Headers],[Feedlot type]], 0)</f>
        <v>0.13</v>
      </c>
      <c r="H72" s="39" cm="1">
        <f t="array" ref="H72">Common_InputFunctions.Utility_DisplayArrayInTable(SourceData_Feedlot.SourceData_Feedlot_DietProperties_Data(), Table_SourceData_Feedlot_DietProperties[[#Headers],[Feedlot type]], 0)</f>
        <v>0.125</v>
      </c>
      <c r="I72" s="39" cm="1">
        <f t="array" ref="I72">Common_InputFunctions.Utility_DisplayArrayInTable(SourceData_Feedlot.SourceData_Feedlot_DietProperties_Data(), Table_SourceData_Feedlot_DietProperties[[#Headers],[Feedlot type]], 0)</f>
        <v>0.12</v>
      </c>
      <c r="J72" s="39"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9" t="str" cm="1">
        <f t="array" ref="E73">Common_InputFunctions.Utility_DisplayArrayInTable(SourceData_Feedlot.SourceData_Feedlot_DietProperties_Data(), Table_SourceData_Feedlot_DietProperties[[#Headers],[Feedlot type]], 0)</f>
        <v>NDF</v>
      </c>
      <c r="F73" s="39" t="str" cm="1">
        <f t="array" ref="F73">Common_InputFunctions.Utility_DisplayArrayInTable(SourceData_Feedlot.SourceData_Feedlot_DietProperties_Data(), Table_SourceData_Feedlot_DietProperties[[#Headers],[Feedlot type]], 0)</f>
        <v>per cent</v>
      </c>
      <c r="G73" s="39" cm="1">
        <f t="array" ref="G73">Common_InputFunctions.Utility_DisplayArrayInTable(SourceData_Feedlot.SourceData_Feedlot_DietProperties_Data(), Table_SourceData_Feedlot_DietProperties[[#Headers],[Feedlot type]], 0)</f>
        <v>24</v>
      </c>
      <c r="H73" s="39" cm="1">
        <f t="array" ref="H73">Common_InputFunctions.Utility_DisplayArrayInTable(SourceData_Feedlot.SourceData_Feedlot_DietProperties_Data(), Table_SourceData_Feedlot_DietProperties[[#Headers],[Feedlot type]], 0)</f>
        <v>22</v>
      </c>
      <c r="I73" s="39" cm="1">
        <f t="array" ref="I73">Common_InputFunctions.Utility_DisplayArrayInTable(SourceData_Feedlot.SourceData_Feedlot_DietProperties_Data(), Table_SourceData_Feedlot_DietProperties[[#Headers],[Feedlot type]], 0)</f>
        <v>22</v>
      </c>
      <c r="J73" s="39"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9" t="str" cm="1">
        <f t="array" ref="E74">Common_InputFunctions.Utility_DisplayArrayInTable(SourceData_Feedlot.SourceData_Feedlot_DietProperties_Data(), Table_SourceData_Feedlot_DietProperties[[#Headers],[Feedlot type]], 0)</f>
        <v>Ether Extract</v>
      </c>
      <c r="F74" s="39" t="str" cm="1">
        <f t="array" ref="F74">Common_InputFunctions.Utility_DisplayArrayInTable(SourceData_Feedlot.SourceData_Feedlot_DietProperties_Data(), Table_SourceData_Feedlot_DietProperties[[#Headers],[Feedlot type]], 0)</f>
        <v>per cent</v>
      </c>
      <c r="G74" s="39" cm="1">
        <f t="array" ref="G74">Common_InputFunctions.Utility_DisplayArrayInTable(SourceData_Feedlot.SourceData_Feedlot_DietProperties_Data(), Table_SourceData_Feedlot_DietProperties[[#Headers],[Feedlot type]], 0)</f>
        <v>5</v>
      </c>
      <c r="H74" s="39" cm="1">
        <f t="array" ref="H74">Common_InputFunctions.Utility_DisplayArrayInTable(SourceData_Feedlot.SourceData_Feedlot_DietProperties_Data(), Table_SourceData_Feedlot_DietProperties[[#Headers],[Feedlot type]], 0)</f>
        <v>5</v>
      </c>
      <c r="I74" s="39" cm="1">
        <f t="array" ref="I74">Common_InputFunctions.Utility_DisplayArrayInTable(SourceData_Feedlot.SourceData_Feedlot_DietProperties_Data(), Table_SourceData_Feedlot_DietProperties[[#Headers],[Feedlot type]], 0)</f>
        <v>5</v>
      </c>
      <c r="J74" s="39"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9" t="str" cm="1">
        <f t="array" ref="E75">Common_InputFunctions.Utility_DisplayArrayInTable(SourceData_Feedlot.SourceData_Feedlot_DietProperties_Data(), Table_SourceData_Feedlot_DietProperties[[#Headers],[Feedlot type]], 0)</f>
        <v>Dry matter digestibility</v>
      </c>
      <c r="F75" s="39" t="str" cm="1">
        <f t="array" ref="F75">Common_InputFunctions.Utility_DisplayArrayInTable(SourceData_Feedlot.SourceData_Feedlot_DietProperties_Data(), Table_SourceData_Feedlot_DietProperties[[#Headers],[Feedlot type]], 0)</f>
        <v>fraction</v>
      </c>
      <c r="G75" s="39" cm="1">
        <f t="array" ref="G75">Common_InputFunctions.Utility_DisplayArrayInTable(SourceData_Feedlot.SourceData_Feedlot_DietProperties_Data(), Table_SourceData_Feedlot_DietProperties[[#Headers],[Feedlot type]], 0)</f>
        <v>0.81</v>
      </c>
      <c r="H75" s="39" cm="1">
        <f t="array" ref="H75">Common_InputFunctions.Utility_DisplayArrayInTable(SourceData_Feedlot.SourceData_Feedlot_DietProperties_Data(), Table_SourceData_Feedlot_DietProperties[[#Headers],[Feedlot type]], 0)</f>
        <v>0.81</v>
      </c>
      <c r="I75" s="39" cm="1">
        <f t="array" ref="I75">Common_InputFunctions.Utility_DisplayArrayInTable(SourceData_Feedlot.SourceData_Feedlot_DietProperties_Data(), Table_SourceData_Feedlot_DietProperties[[#Headers],[Feedlot type]], 0)</f>
        <v>0.81</v>
      </c>
      <c r="J75" s="39"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9" t="str" cm="1">
        <f t="array" ref="E76">Common_InputFunctions.Utility_DisplayArrayInTable(SourceData_Feedlot.SourceData_Feedlot_DietProperties_Data(), Table_SourceData_Feedlot_DietProperties[[#Headers],[Feedlot type]], 0)</f>
        <v>Crude protein</v>
      </c>
      <c r="F76" s="39" t="str" cm="1">
        <f t="array" ref="F76">Common_InputFunctions.Utility_DisplayArrayInTable(SourceData_Feedlot.SourceData_Feedlot_DietProperties_Data(), Table_SourceData_Feedlot_DietProperties[[#Headers],[Feedlot type]], 0)</f>
        <v>fraction</v>
      </c>
      <c r="G76" s="39" cm="1">
        <f t="array" ref="G76">Common_InputFunctions.Utility_DisplayArrayInTable(SourceData_Feedlot.SourceData_Feedlot_DietProperties_Data(), Table_SourceData_Feedlot_DietProperties[[#Headers],[Feedlot type]], 0)</f>
        <v>0.13</v>
      </c>
      <c r="H76" s="39" cm="1">
        <f t="array" ref="H76">Common_InputFunctions.Utility_DisplayArrayInTable(SourceData_Feedlot.SourceData_Feedlot_DietProperties_Data(), Table_SourceData_Feedlot_DietProperties[[#Headers],[Feedlot type]], 0)</f>
        <v>0.125</v>
      </c>
      <c r="I76" s="39" cm="1">
        <f t="array" ref="I76">Common_InputFunctions.Utility_DisplayArrayInTable(SourceData_Feedlot.SourceData_Feedlot_DietProperties_Data(), Table_SourceData_Feedlot_DietProperties[[#Headers],[Feedlot type]], 0)</f>
        <v>0.12</v>
      </c>
      <c r="J76" s="39"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9" t="str" cm="1">
        <f t="array" ref="E77">Common_InputFunctions.Utility_DisplayArrayInTable(SourceData_Feedlot.SourceData_Feedlot_DietProperties_Data(), Table_SourceData_Feedlot_DietProperties[[#Headers],[Feedlot type]], 0)</f>
        <v>NDF</v>
      </c>
      <c r="F77" s="39" t="str" cm="1">
        <f t="array" ref="F77">Common_InputFunctions.Utility_DisplayArrayInTable(SourceData_Feedlot.SourceData_Feedlot_DietProperties_Data(), Table_SourceData_Feedlot_DietProperties[[#Headers],[Feedlot type]], 0)</f>
        <v>per cent</v>
      </c>
      <c r="G77" s="39" cm="1">
        <f t="array" ref="G77">Common_InputFunctions.Utility_DisplayArrayInTable(SourceData_Feedlot.SourceData_Feedlot_DietProperties_Data(), Table_SourceData_Feedlot_DietProperties[[#Headers],[Feedlot type]], 0)</f>
        <v>24</v>
      </c>
      <c r="H77" s="39" cm="1">
        <f t="array" ref="H77">Common_InputFunctions.Utility_DisplayArrayInTable(SourceData_Feedlot.SourceData_Feedlot_DietProperties_Data(), Table_SourceData_Feedlot_DietProperties[[#Headers],[Feedlot type]], 0)</f>
        <v>24</v>
      </c>
      <c r="I77" s="39" cm="1">
        <f t="array" ref="I77">Common_InputFunctions.Utility_DisplayArrayInTable(SourceData_Feedlot.SourceData_Feedlot_DietProperties_Data(), Table_SourceData_Feedlot_DietProperties[[#Headers],[Feedlot type]], 0)</f>
        <v>24</v>
      </c>
      <c r="J77" s="39"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9" t="str" cm="1">
        <f t="array" ref="E78">Common_InputFunctions.Utility_DisplayArrayInTable(SourceData_Feedlot.SourceData_Feedlot_DietProperties_Data(), Table_SourceData_Feedlot_DietProperties[[#Headers],[Feedlot type]], 0)</f>
        <v>Ether Extract</v>
      </c>
      <c r="F78" s="39" t="str" cm="1">
        <f t="array" ref="F78">Common_InputFunctions.Utility_DisplayArrayInTable(SourceData_Feedlot.SourceData_Feedlot_DietProperties_Data(), Table_SourceData_Feedlot_DietProperties[[#Headers],[Feedlot type]], 0)</f>
        <v>per cent</v>
      </c>
      <c r="G78" s="39" cm="1">
        <f t="array" ref="G78">Common_InputFunctions.Utility_DisplayArrayInTable(SourceData_Feedlot.SourceData_Feedlot_DietProperties_Data(), Table_SourceData_Feedlot_DietProperties[[#Headers],[Feedlot type]], 0)</f>
        <v>5</v>
      </c>
      <c r="H78" s="39" cm="1">
        <f t="array" ref="H78">Common_InputFunctions.Utility_DisplayArrayInTable(SourceData_Feedlot.SourceData_Feedlot_DietProperties_Data(), Table_SourceData_Feedlot_DietProperties[[#Headers],[Feedlot type]], 0)</f>
        <v>5</v>
      </c>
      <c r="I78" s="39" cm="1">
        <f t="array" ref="I78">Common_InputFunctions.Utility_DisplayArrayInTable(SourceData_Feedlot.SourceData_Feedlot_DietProperties_Data(), Table_SourceData_Feedlot_DietProperties[[#Headers],[Feedlot type]], 0)</f>
        <v>5.5</v>
      </c>
      <c r="J78" s="39"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8" t="str" cm="1">
        <f t="array" ref="D83:D86">SourceData_Feedlot.SourceData_Feedlot_MCF_Variation()</f>
        <v>VARIATION ON SOURCE:</v>
      </c>
      <c r="M83" s="1"/>
    </row>
    <row r="84" spans="4:14" ht="20.100000000000001" customHeight="1" x14ac:dyDescent="0.25">
      <c r="D84" s="58" t="str">
        <v>Duplicated NSW values for ACT</v>
      </c>
      <c r="M84" s="1"/>
    </row>
    <row r="85" spans="4:14" ht="20.100000000000001" customHeight="1" x14ac:dyDescent="0.25">
      <c r="D85" s="58" t="str">
        <v>Added NT column that duplicates QLD values as per advice from source data provider.</v>
      </c>
      <c r="M85" s="1"/>
    </row>
    <row r="86" spans="4:14" ht="20.100000000000001" customHeight="1" x14ac:dyDescent="0.25">
      <c r="D86" s="58" t="str">
        <v>Added TAS column that duplicates VIC values as per advice from source data provider.</v>
      </c>
      <c r="M86" s="1"/>
    </row>
    <row r="87" spans="4:14" ht="20.100000000000001" customHeight="1" x14ac:dyDescent="0.25">
      <c r="M87" s="1"/>
    </row>
    <row r="88" spans="4:14" ht="20.100000000000001" customHeight="1" x14ac:dyDescent="0.25">
      <c r="D88" s="39" t="s">
        <v>109</v>
      </c>
      <c r="E88" s="39" t="s">
        <v>104</v>
      </c>
      <c r="F88" s="39" t="s">
        <v>83</v>
      </c>
      <c r="G88" s="39" t="s">
        <v>82</v>
      </c>
      <c r="H88" s="39" t="s">
        <v>85</v>
      </c>
      <c r="I88" s="39" t="s">
        <v>84</v>
      </c>
      <c r="J88" s="39" t="s">
        <v>86</v>
      </c>
      <c r="K88" s="39" t="s">
        <v>88</v>
      </c>
      <c r="L88" s="39" t="s">
        <v>89</v>
      </c>
      <c r="M88" s="39" t="s">
        <v>87</v>
      </c>
      <c r="N88" s="39" t="s">
        <v>99</v>
      </c>
    </row>
    <row r="89" spans="4:14" ht="20.100000000000001" customHeight="1" x14ac:dyDescent="0.25">
      <c r="D89" s="39" t="str" cm="1">
        <f t="array" ref="D89">Common_InputFunctions.Utility_DisplayArrayInTable(SourceData_Feedlot.SourceData_Feedlot_MCF_Data(), Table_SourceData_Feedlot_MCF[[#Headers],[Treatment stage T]], 0)</f>
        <v>Primary</v>
      </c>
      <c r="E89" s="39" t="str" cm="1">
        <f t="array" ref="E89">Common_InputFunctions.Utility_DisplayArrayInTable(SourceData_Feedlot.SourceData_Feedlot_MCF_Data(), Table_SourceData_Feedlot_MCF[[#Headers],[Treatment stage T]], 0)</f>
        <v>Dry lot (Feedpad)</v>
      </c>
      <c r="F89" s="39" cm="1">
        <f t="array" ref="F89">Common_InputFunctions.Utility_DisplayArrayInTable(SourceData_Feedlot.SourceData_Feedlot_MCF_Data(), Table_SourceData_Feedlot_MCF[[#Headers],[Treatment stage T]], 0)</f>
        <v>0.01</v>
      </c>
      <c r="G89" s="39" cm="1">
        <f t="array" ref="G89">Common_InputFunctions.Utility_DisplayArrayInTable(SourceData_Feedlot.SourceData_Feedlot_MCF_Data(), Table_SourceData_Feedlot_MCF[[#Headers],[Treatment stage T]], 0)</f>
        <v>0.01</v>
      </c>
      <c r="H89" s="39" cm="1">
        <f t="array" ref="H89">Common_InputFunctions.Utility_DisplayArrayInTable(SourceData_Feedlot.SourceData_Feedlot_MCF_Data(), Table_SourceData_Feedlot_MCF[[#Headers],[Treatment stage T]], 0)</f>
        <v>0.03</v>
      </c>
      <c r="I89" s="39" cm="1">
        <f t="array" ref="I89">Common_InputFunctions.Utility_DisplayArrayInTable(SourceData_Feedlot.SourceData_Feedlot_MCF_Data(), Table_SourceData_Feedlot_MCF[[#Headers],[Treatment stage T]], 0)</f>
        <v>0.03</v>
      </c>
      <c r="J89" s="39" cm="1">
        <f t="array" ref="J89">Common_InputFunctions.Utility_DisplayArrayInTable(SourceData_Feedlot.SourceData_Feedlot_MCF_Data(), Table_SourceData_Feedlot_MCF[[#Headers],[Treatment stage T]], 0)</f>
        <v>0.01</v>
      </c>
      <c r="K89" s="39" cm="1">
        <f t="array" ref="K89">Common_InputFunctions.Utility_DisplayArrayInTable(SourceData_Feedlot.SourceData_Feedlot_MCF_Data(), Table_SourceData_Feedlot_MCF[[#Headers],[Treatment stage T]], 0)</f>
        <v>0.01</v>
      </c>
      <c r="L89" s="39" cm="1">
        <f t="array" ref="L89">Common_InputFunctions.Utility_DisplayArrayInTable(SourceData_Feedlot.SourceData_Feedlot_MCF_Data(), Table_SourceData_Feedlot_MCF[[#Headers],[Treatment stage T]], 0)</f>
        <v>0.01</v>
      </c>
      <c r="M89" s="39" cm="1">
        <f t="array" ref="M89">Common_InputFunctions.Utility_DisplayArrayInTable(SourceData_Feedlot.SourceData_Feedlot_MCF_Data(), Table_SourceData_Feedlot_MCF[[#Headers],[Treatment stage T]], 0)</f>
        <v>0.01</v>
      </c>
      <c r="N89" s="39"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9" t="str" cm="1">
        <f t="array" ref="E90">Common_InputFunctions.Utility_DisplayArrayInTable(SourceData_Feedlot.SourceData_Feedlot_MCF_Data(), Table_SourceData_Feedlot_MCF[[#Headers],[Treatment stage T]], 0)</f>
        <v>Solid Storage (Stockpile)</v>
      </c>
      <c r="F90" s="39" cm="1">
        <f t="array" ref="F90">Common_InputFunctions.Utility_DisplayArrayInTable(SourceData_Feedlot.SourceData_Feedlot_MCF_Data(), Table_SourceData_Feedlot_MCF[[#Headers],[Treatment stage T]], 0)</f>
        <v>0.02</v>
      </c>
      <c r="G90" s="39" cm="1">
        <f t="array" ref="G90">Common_InputFunctions.Utility_DisplayArrayInTable(SourceData_Feedlot.SourceData_Feedlot_MCF_Data(), Table_SourceData_Feedlot_MCF[[#Headers],[Treatment stage T]], 0)</f>
        <v>0.02</v>
      </c>
      <c r="H90" s="39" cm="1">
        <f t="array" ref="H90">Common_InputFunctions.Utility_DisplayArrayInTable(SourceData_Feedlot.SourceData_Feedlot_MCF_Data(), Table_SourceData_Feedlot_MCF[[#Headers],[Treatment stage T]], 0)</f>
        <v>0.02</v>
      </c>
      <c r="I90" s="39" cm="1">
        <f t="array" ref="I90">Common_InputFunctions.Utility_DisplayArrayInTable(SourceData_Feedlot.SourceData_Feedlot_MCF_Data(), Table_SourceData_Feedlot_MCF[[#Headers],[Treatment stage T]], 0)</f>
        <v>0.02</v>
      </c>
      <c r="J90" s="39" cm="1">
        <f t="array" ref="J90">Common_InputFunctions.Utility_DisplayArrayInTable(SourceData_Feedlot.SourceData_Feedlot_MCF_Data(), Table_SourceData_Feedlot_MCF[[#Headers],[Treatment stage T]], 0)</f>
        <v>0.02</v>
      </c>
      <c r="K90" s="39" cm="1">
        <f t="array" ref="K90">Common_InputFunctions.Utility_DisplayArrayInTable(SourceData_Feedlot.SourceData_Feedlot_MCF_Data(), Table_SourceData_Feedlot_MCF[[#Headers],[Treatment stage T]], 0)</f>
        <v>0.02</v>
      </c>
      <c r="L90" s="39" cm="1">
        <f t="array" ref="L90">Common_InputFunctions.Utility_DisplayArrayInTable(SourceData_Feedlot.SourceData_Feedlot_MCF_Data(), Table_SourceData_Feedlot_MCF[[#Headers],[Treatment stage T]], 0)</f>
        <v>0.02</v>
      </c>
      <c r="M90" s="39" cm="1">
        <f t="array" ref="M90">Common_InputFunctions.Utility_DisplayArrayInTable(SourceData_Feedlot.SourceData_Feedlot_MCF_Data(), Table_SourceData_Feedlot_MCF[[#Headers],[Treatment stage T]], 0)</f>
        <v>0.02</v>
      </c>
      <c r="N90" s="39"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9" t="str" cm="1">
        <f t="array" ref="E91">Common_InputFunctions.Utility_DisplayArrayInTable(SourceData_Feedlot.SourceData_Feedlot_MCF_Data(), Table_SourceData_Feedlot_MCF[[#Headers],[Treatment stage T]], 0)</f>
        <v>Composting (Passive Windrow)</v>
      </c>
      <c r="F91" s="39" cm="1">
        <f t="array" ref="F91">Common_InputFunctions.Utility_DisplayArrayInTable(SourceData_Feedlot.SourceData_Feedlot_MCF_Data(), Table_SourceData_Feedlot_MCF[[#Headers],[Treatment stage T]], 0)</f>
        <v>0.01</v>
      </c>
      <c r="G91" s="39" cm="1">
        <f t="array" ref="G91">Common_InputFunctions.Utility_DisplayArrayInTable(SourceData_Feedlot.SourceData_Feedlot_MCF_Data(), Table_SourceData_Feedlot_MCF[[#Headers],[Treatment stage T]], 0)</f>
        <v>0.01</v>
      </c>
      <c r="H91" s="39" cm="1">
        <f t="array" ref="H91">Common_InputFunctions.Utility_DisplayArrayInTable(SourceData_Feedlot.SourceData_Feedlot_MCF_Data(), Table_SourceData_Feedlot_MCF[[#Headers],[Treatment stage T]], 0)</f>
        <v>0.01</v>
      </c>
      <c r="I91" s="39" cm="1">
        <f t="array" ref="I91">Common_InputFunctions.Utility_DisplayArrayInTable(SourceData_Feedlot.SourceData_Feedlot_MCF_Data(), Table_SourceData_Feedlot_MCF[[#Headers],[Treatment stage T]], 0)</f>
        <v>0.01</v>
      </c>
      <c r="J91" s="39" cm="1">
        <f t="array" ref="J91">Common_InputFunctions.Utility_DisplayArrayInTable(SourceData_Feedlot.SourceData_Feedlot_MCF_Data(), Table_SourceData_Feedlot_MCF[[#Headers],[Treatment stage T]], 0)</f>
        <v>0.01</v>
      </c>
      <c r="K91" s="39" cm="1">
        <f t="array" ref="K91">Common_InputFunctions.Utility_DisplayArrayInTable(SourceData_Feedlot.SourceData_Feedlot_MCF_Data(), Table_SourceData_Feedlot_MCF[[#Headers],[Treatment stage T]], 0)</f>
        <v>0.01</v>
      </c>
      <c r="L91" s="39" cm="1">
        <f t="array" ref="L91">Common_InputFunctions.Utility_DisplayArrayInTable(SourceData_Feedlot.SourceData_Feedlot_MCF_Data(), Table_SourceData_Feedlot_MCF[[#Headers],[Treatment stage T]], 0)</f>
        <v>0.01</v>
      </c>
      <c r="M91" s="39" cm="1">
        <f t="array" ref="M91">Common_InputFunctions.Utility_DisplayArrayInTable(SourceData_Feedlot.SourceData_Feedlot_MCF_Data(), Table_SourceData_Feedlot_MCF[[#Headers],[Treatment stage T]], 0)</f>
        <v>0.01</v>
      </c>
      <c r="N91" s="39"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9" t="str" cm="1">
        <f t="array" ref="E92">Common_InputFunctions.Utility_DisplayArrayInTable(SourceData_Feedlot.SourceData_Feedlot_MCF_Data(), Table_SourceData_Feedlot_MCF[[#Headers],[Treatment stage T]], 0)</f>
        <v>Direct Application to soil</v>
      </c>
      <c r="F92" s="39" cm="1">
        <f t="array" ref="F92">Common_InputFunctions.Utility_DisplayArrayInTable(SourceData_Feedlot.SourceData_Feedlot_MCF_Data(), Table_SourceData_Feedlot_MCF[[#Headers],[Treatment stage T]], 0)</f>
        <v>0</v>
      </c>
      <c r="G92" s="39" cm="1">
        <f t="array" ref="G92">Common_InputFunctions.Utility_DisplayArrayInTable(SourceData_Feedlot.SourceData_Feedlot_MCF_Data(), Table_SourceData_Feedlot_MCF[[#Headers],[Treatment stage T]], 0)</f>
        <v>0</v>
      </c>
      <c r="H92" s="39" cm="1">
        <f t="array" ref="H92">Common_InputFunctions.Utility_DisplayArrayInTable(SourceData_Feedlot.SourceData_Feedlot_MCF_Data(), Table_SourceData_Feedlot_MCF[[#Headers],[Treatment stage T]], 0)</f>
        <v>0</v>
      </c>
      <c r="I92" s="39" cm="1">
        <f t="array" ref="I92">Common_InputFunctions.Utility_DisplayArrayInTable(SourceData_Feedlot.SourceData_Feedlot_MCF_Data(), Table_SourceData_Feedlot_MCF[[#Headers],[Treatment stage T]], 0)</f>
        <v>0</v>
      </c>
      <c r="J92" s="39" cm="1">
        <f t="array" ref="J92">Common_InputFunctions.Utility_DisplayArrayInTable(SourceData_Feedlot.SourceData_Feedlot_MCF_Data(), Table_SourceData_Feedlot_MCF[[#Headers],[Treatment stage T]], 0)</f>
        <v>0</v>
      </c>
      <c r="K92" s="39" cm="1">
        <f t="array" ref="K92">Common_InputFunctions.Utility_DisplayArrayInTable(SourceData_Feedlot.SourceData_Feedlot_MCF_Data(), Table_SourceData_Feedlot_MCF[[#Headers],[Treatment stage T]], 0)</f>
        <v>0</v>
      </c>
      <c r="L92" s="39" cm="1">
        <f t="array" ref="L92">Common_InputFunctions.Utility_DisplayArrayInTable(SourceData_Feedlot.SourceData_Feedlot_MCF_Data(), Table_SourceData_Feedlot_MCF[[#Headers],[Treatment stage T]], 0)</f>
        <v>0</v>
      </c>
      <c r="M92" s="39" cm="1">
        <f t="array" ref="M92">Common_InputFunctions.Utility_DisplayArrayInTable(SourceData_Feedlot.SourceData_Feedlot_MCF_Data(), Table_SourceData_Feedlot_MCF[[#Headers],[Treatment stage T]], 0)</f>
        <v>0</v>
      </c>
      <c r="N92" s="39"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9" t="str" cm="1">
        <f t="array" ref="E93">Common_InputFunctions.Utility_DisplayArrayInTable(SourceData_Feedlot.SourceData_Feedlot_MCF_Data(), Table_SourceData_Feedlot_MCF[[#Headers],[Treatment stage T]], 0)</f>
        <v>Uncovered anaerobic lagoon (Effluent pond)</v>
      </c>
      <c r="F93" s="39" cm="1">
        <f t="array" ref="F93">Common_InputFunctions.Utility_DisplayArrayInTable(SourceData_Feedlot.SourceData_Feedlot_MCF_Data(), Table_SourceData_Feedlot_MCF[[#Headers],[Treatment stage T]], 0)</f>
        <v>0.75</v>
      </c>
      <c r="G93" s="39" cm="1">
        <f t="array" ref="G93">Common_InputFunctions.Utility_DisplayArrayInTable(SourceData_Feedlot.SourceData_Feedlot_MCF_Data(), Table_SourceData_Feedlot_MCF[[#Headers],[Treatment stage T]], 0)</f>
        <v>0.75</v>
      </c>
      <c r="H93" s="39" cm="1">
        <f t="array" ref="H93">Common_InputFunctions.Utility_DisplayArrayInTable(SourceData_Feedlot.SourceData_Feedlot_MCF_Data(), Table_SourceData_Feedlot_MCF[[#Headers],[Treatment stage T]], 0)</f>
        <v>0.77</v>
      </c>
      <c r="I93" s="39" cm="1">
        <f t="array" ref="I93">Common_InputFunctions.Utility_DisplayArrayInTable(SourceData_Feedlot.SourceData_Feedlot_MCF_Data(), Table_SourceData_Feedlot_MCF[[#Headers],[Treatment stage T]], 0)</f>
        <v>0.77</v>
      </c>
      <c r="J93" s="39" cm="1">
        <f t="array" ref="J93">Common_InputFunctions.Utility_DisplayArrayInTable(SourceData_Feedlot.SourceData_Feedlot_MCF_Data(), Table_SourceData_Feedlot_MCF[[#Headers],[Treatment stage T]], 0)</f>
        <v>0.75</v>
      </c>
      <c r="K93" s="39" cm="1">
        <f t="array" ref="K93">Common_InputFunctions.Utility_DisplayArrayInTable(SourceData_Feedlot.SourceData_Feedlot_MCF_Data(), Table_SourceData_Feedlot_MCF[[#Headers],[Treatment stage T]], 0)</f>
        <v>0.75</v>
      </c>
      <c r="L93" s="39" cm="1">
        <f t="array" ref="L93">Common_InputFunctions.Utility_DisplayArrayInTable(SourceData_Feedlot.SourceData_Feedlot_MCF_Data(), Table_SourceData_Feedlot_MCF[[#Headers],[Treatment stage T]], 0)</f>
        <v>0.77</v>
      </c>
      <c r="M93" s="39" cm="1">
        <f t="array" ref="M93">Common_InputFunctions.Utility_DisplayArrayInTable(SourceData_Feedlot.SourceData_Feedlot_MCF_Data(), Table_SourceData_Feedlot_MCF[[#Headers],[Treatment stage T]], 0)</f>
        <v>0.75</v>
      </c>
      <c r="N93" s="39"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8" t="str" cm="1">
        <f t="array" ref="D98:D99">SourceData_Feedlot.SourceData_Feedlot_NitrousOxideEFs_Variation()</f>
        <v>VARIATION ON SOURCE:</v>
      </c>
      <c r="M98" s="24"/>
    </row>
    <row r="99" spans="4:14" ht="20.100000000000001" customHeight="1" x14ac:dyDescent="0.25">
      <c r="D99" s="58" t="str">
        <v>Added 'NIR definition' column with MMS names that match NIR definitions.</v>
      </c>
      <c r="M99" s="24"/>
    </row>
    <row r="100" spans="4:14" ht="20.100000000000001" customHeight="1" x14ac:dyDescent="0.25">
      <c r="D100" s="39" t="s">
        <v>109</v>
      </c>
      <c r="E100" s="39" t="s">
        <v>104</v>
      </c>
      <c r="F100" s="39" t="s">
        <v>145</v>
      </c>
      <c r="G100" s="39" t="s">
        <v>99</v>
      </c>
      <c r="M100" s="1"/>
      <c r="N100" s="24"/>
    </row>
    <row r="101" spans="4:14" ht="20.100000000000001" customHeight="1" x14ac:dyDescent="0.25">
      <c r="D101" s="39" t="str" cm="1">
        <f t="array" ref="D101">Common_InputFunctions.Utility_DisplayArrayInTable(SourceData_Feedlot.SourceData_Feedlot_NitrousOxideEFs_Data(), Table_SourceData_Feedlot_NO2EFs[[#Headers],[Treatment stage T]], 0)</f>
        <v>Primary</v>
      </c>
      <c r="E101" s="39" t="str" cm="1">
        <f t="array" ref="E101">Common_InputFunctions.Utility_DisplayArrayInTable(SourceData_Feedlot.SourceData_Feedlot_NitrousOxideEFs_Data(), Table_SourceData_Feedlot_NO2EFs[[#Headers],[Treatment stage T]], 0)</f>
        <v>Dry lot (Feedpad)</v>
      </c>
      <c r="F101" s="39" cm="1">
        <f t="array" ref="F101">Common_InputFunctions.Utility_DisplayArrayInTable(SourceData_Feedlot.SourceData_Feedlot_NitrousOxideEFs_Data(), Table_SourceData_Feedlot_NO2EFs[[#Headers],[Treatment stage T]], 0)</f>
        <v>5.4000000000000003E-3</v>
      </c>
      <c r="G101" s="39"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9" t="str" cm="1">
        <f t="array" ref="E102">Common_InputFunctions.Utility_DisplayArrayInTable(SourceData_Feedlot.SourceData_Feedlot_NitrousOxideEFs_Data(), Table_SourceData_Feedlot_NO2EFs[[#Headers],[Treatment stage T]], 0)</f>
        <v>Solid Storage (Stockpile)</v>
      </c>
      <c r="F102" s="39" cm="1">
        <f t="array" ref="F102">Common_InputFunctions.Utility_DisplayArrayInTable(SourceData_Feedlot.SourceData_Feedlot_NitrousOxideEFs_Data(), Table_SourceData_Feedlot_NO2EFs[[#Headers],[Treatment stage T]], 0)</f>
        <v>5.0000000000000001E-3</v>
      </c>
      <c r="G102" s="39"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9" t="str" cm="1">
        <f t="array" ref="E103">Common_InputFunctions.Utility_DisplayArrayInTable(SourceData_Feedlot.SourceData_Feedlot_NitrousOxideEFs_Data(), Table_SourceData_Feedlot_NO2EFs[[#Headers],[Treatment stage T]], 0)</f>
        <v>Composting (Passive Windrow)</v>
      </c>
      <c r="F103" s="39" cm="1">
        <f t="array" ref="F103">Common_InputFunctions.Utility_DisplayArrayInTable(SourceData_Feedlot.SourceData_Feedlot_NitrousOxideEFs_Data(), Table_SourceData_Feedlot_NO2EFs[[#Headers],[Treatment stage T]], 0)</f>
        <v>0.01</v>
      </c>
      <c r="G103" s="39"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9" t="str" cm="1">
        <f t="array" ref="E104">Common_InputFunctions.Utility_DisplayArrayInTable(SourceData_Feedlot.SourceData_Feedlot_NitrousOxideEFs_Data(), Table_SourceData_Feedlot_NO2EFs[[#Headers],[Treatment stage T]], 0)</f>
        <v>Direct Application to soil</v>
      </c>
      <c r="F104" s="39" cm="1">
        <f t="array" ref="F104">Common_InputFunctions.Utility_DisplayArrayInTable(SourceData_Feedlot.SourceData_Feedlot_NitrousOxideEFs_Data(), Table_SourceData_Feedlot_NO2EFs[[#Headers],[Treatment stage T]], 0)</f>
        <v>0</v>
      </c>
      <c r="G104" s="39"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9" t="str" cm="1">
        <f t="array" ref="E105">Common_InputFunctions.Utility_DisplayArrayInTable(SourceData_Feedlot.SourceData_Feedlot_NitrousOxideEFs_Data(), Table_SourceData_Feedlot_NO2EFs[[#Headers],[Treatment stage T]], 0)</f>
        <v>Uncovered anaerobic lagoon (Effluent Pond)</v>
      </c>
      <c r="F105" s="39" cm="1">
        <f t="array" ref="F105">Common_InputFunctions.Utility_DisplayArrayInTable(SourceData_Feedlot.SourceData_Feedlot_NitrousOxideEFs_Data(), Table_SourceData_Feedlot_NO2EFs[[#Headers],[Treatment stage T]], 0)</f>
        <v>0</v>
      </c>
      <c r="G105" s="39"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8" t="str" cm="1">
        <f t="array" ref="D110:D111">SourceData_Feedlot.SourceData_Feedlot_FracNVolatilised_Variation()</f>
        <v>VARIATION ON SOURCE:</v>
      </c>
      <c r="M110" s="24"/>
    </row>
    <row r="111" spans="4:14" ht="20.100000000000001" customHeight="1" x14ac:dyDescent="0.25">
      <c r="D111" s="58" t="str">
        <v>Added 'NIR definition' column with MMS names that match NIR definitions.</v>
      </c>
      <c r="M111" s="24"/>
    </row>
    <row r="112" spans="4:14" ht="20.100000000000001" customHeight="1" x14ac:dyDescent="0.25">
      <c r="D112" s="114" t="s">
        <v>109</v>
      </c>
      <c r="E112" s="114" t="s">
        <v>104</v>
      </c>
      <c r="F112" s="114" t="s">
        <v>146</v>
      </c>
      <c r="G112" s="114" t="s">
        <v>99</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8B0A5-431A-42CB-A80C-71B5CDD0A4BD}">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21</v>
      </c>
      <c r="E6" s="39" t="s">
        <v>22</v>
      </c>
      <c r="F6" s="39" t="s">
        <v>23</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24</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27</v>
      </c>
      <c r="E36" s="39" t="s">
        <v>28</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27</v>
      </c>
      <c r="E47" s="39" t="s">
        <v>30</v>
      </c>
      <c r="F47" s="39" t="s">
        <v>31</v>
      </c>
      <c r="G47" s="39" t="s">
        <v>32</v>
      </c>
      <c r="H47" s="39" t="s">
        <v>33</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48</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36</v>
      </c>
      <c r="F89" s="39" t="s">
        <v>37</v>
      </c>
      <c r="G89" s="39" t="s">
        <v>38</v>
      </c>
      <c r="H89" s="39" t="s">
        <v>39</v>
      </c>
      <c r="I89" s="39" t="s">
        <v>40</v>
      </c>
      <c r="J89" s="39" t="s">
        <v>41</v>
      </c>
      <c r="K89" s="39" t="s">
        <v>42</v>
      </c>
      <c r="L89" s="39" t="s">
        <v>43</v>
      </c>
      <c r="M89" s="39" t="s">
        <v>44</v>
      </c>
      <c r="N89" s="39" t="s">
        <v>45</v>
      </c>
      <c r="O89" s="39" t="s">
        <v>49</v>
      </c>
      <c r="P89" s="39" t="s">
        <v>46</v>
      </c>
      <c r="Q89" s="39" t="s">
        <v>50</v>
      </c>
      <c r="R89" s="39" t="s">
        <v>47</v>
      </c>
      <c r="S89" s="39" t="s">
        <v>51</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7" t="str" cm="1">
        <f t="array" ref="D99:D102">Common_SourceData.Common_SourceData_ClimateZones_Appendices()</f>
        <v>Note:</v>
      </c>
    </row>
    <row r="100" spans="4:20" ht="20.100000000000001" customHeight="1" x14ac:dyDescent="0.25">
      <c r="D100" s="57" t="str">
        <v>MAT = mean annual temperature</v>
      </c>
    </row>
    <row r="101" spans="4:20" ht="20.100000000000001" customHeight="1" x14ac:dyDescent="0.25">
      <c r="D101" s="57" t="str">
        <v>MAP = mean annual precipitation</v>
      </c>
    </row>
    <row r="102" spans="4:20" ht="20.100000000000001" customHeight="1" x14ac:dyDescent="0.25">
      <c r="D102" s="57" t="str">
        <v>PET = potential evapotranspiration</v>
      </c>
    </row>
    <row r="103" spans="4:20" ht="20.100000000000001" customHeight="1" x14ac:dyDescent="0.25">
      <c r="D103" s="57"/>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55</v>
      </c>
      <c r="E109" s="39" t="s">
        <v>36</v>
      </c>
      <c r="F109" s="39" t="s">
        <v>56</v>
      </c>
      <c r="G109" s="39" t="s">
        <v>57</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58</v>
      </c>
      <c r="E119" s="39" t="s">
        <v>59</v>
      </c>
      <c r="F119" s="39" t="s">
        <v>43</v>
      </c>
      <c r="G119" s="39" t="s">
        <v>44</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65</v>
      </c>
      <c r="E127" s="39" t="s">
        <v>66</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298</v>
      </c>
      <c r="E142" s="39" t="s">
        <v>94</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68</v>
      </c>
      <c r="E153" s="39" t="s">
        <v>69</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267</v>
      </c>
      <c r="E186" s="39" t="s">
        <v>268</v>
      </c>
      <c r="F186" s="39" t="s">
        <v>269</v>
      </c>
      <c r="G186" s="39" t="s">
        <v>270</v>
      </c>
      <c r="H186" s="39" t="s">
        <v>35</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299</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301</v>
      </c>
      <c r="E212" s="39" t="s">
        <v>302</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52</v>
      </c>
      <c r="E231" s="39" t="s">
        <v>331</v>
      </c>
      <c r="F231" s="38" t="s">
        <v>332</v>
      </c>
      <c r="G231" s="39" t="s">
        <v>333</v>
      </c>
      <c r="H231" s="39" t="s">
        <v>334</v>
      </c>
      <c r="I231" s="39" t="s">
        <v>335</v>
      </c>
      <c r="J231" s="39" t="s">
        <v>336</v>
      </c>
      <c r="K231" s="39" t="s">
        <v>337</v>
      </c>
      <c r="L231" s="39" t="s">
        <v>338</v>
      </c>
      <c r="M231" s="39" t="s">
        <v>339</v>
      </c>
      <c r="N231" s="39" t="s">
        <v>340</v>
      </c>
      <c r="O231" s="39" t="s">
        <v>341</v>
      </c>
      <c r="P231" s="39" t="s">
        <v>342</v>
      </c>
      <c r="Q231" s="39" t="s">
        <v>316</v>
      </c>
      <c r="R231" s="39" t="s">
        <v>343</v>
      </c>
      <c r="S231" s="39" t="s">
        <v>344</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7" t="str" cm="1">
        <f t="array" ref="D256">Common_SourceData.Common_SourceData_EFOrganicFertiliserAndCropResidues_Unit()</f>
        <v>kg N2O - N / kg N</v>
      </c>
    </row>
    <row r="257" spans="4:5" x14ac:dyDescent="0.25">
      <c r="D257" s="39" t="s">
        <v>352</v>
      </c>
      <c r="E257" s="39" t="s">
        <v>353</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8" sqref="A1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79</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8" t="s">
        <v>80</v>
      </c>
      <c r="E9" s="39" t="s">
        <v>20</v>
      </c>
      <c r="F9" s="39" t="s">
        <v>81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HYPERLINK("#'4.1.1.1-2 Methane'!A1", "4.1.1.1-2 Methane")</f>
        <v>4.1.1.1-2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HYPERLINK("#'4.1.1.3-4 Direct N20'!A1", "4.1.1.3-4 Direct N2O")</f>
        <v>4.1.1.3-4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HYPERLINK("#'4.1.1.5-6 Atmos Deposition'!A1", "4.1.1.5-6 Atmospheric deposition")</f>
        <v>4.1.1.5-6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HYPERLINK("#'4.1.1.9 Manure applied to soils'!A1", "4.1.1.9 Manure applied to soils")</f>
        <v>4.1.1.9 Manure applied to soils</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4</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Feedlot'!A1", "Constants - Feedlot")</f>
        <v>Constants - Feedlot</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71"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9" t="s">
        <v>78</v>
      </c>
    </row>
    <row r="17" spans="1:1" ht="20.100000000000001" customHeight="1" x14ac:dyDescent="0.25">
      <c r="A17" s="69"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9" t="s">
        <v>1</v>
      </c>
    </row>
    <row r="23" spans="1:1" ht="20.100000000000001" customHeight="1" x14ac:dyDescent="0.25">
      <c r="A23" s="69"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9" t="s">
        <v>78</v>
      </c>
    </row>
    <row r="32" spans="1:1" ht="20.100000000000001" customHeight="1" x14ac:dyDescent="0.25">
      <c r="A32" s="69"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9"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MAbwBsAHUAbQBuACAAdABoAGEAdAAgAGQAdQBwAGwAaQBjAGEAdABlAHMAIABRAEwARAAgAHYAYQBsAHUAZQBzACAAYQBzACAAcABlAHIAIABhAGQAdgBpAGMAZQAgAGYAcgBvAG0AIABzAG8AdQByAGMAZQAgAGQAYQB0AGEAIABwAHIAbwB2AGkAZABlAHIALgBcACIAOwBcAG4AIAAgACAAIAAgACAAIAAgACAAIABcACIAQQBkAGQAZQBkACAAVABBAFMAIABjAG8AbAB1AG0AbgAgAHQAaABhAHQAIABkAHUAcABsAGkAYwBhAHQAZQBzACAAVgBJAEMAIAB2AGEAbAB1AGUAcwAgAGEAcwAgAHAAZQByACAAYQBkAHYAaQBjAGUAIABmAHIAbwBtACAAcwBvAHUAcgBjAGUAIABkAGEAdABhACAAcAByAG8AdgBpAGQAZQByAC4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0AQwBGAF8ARABhAHQAYQBcAG4AIAAgAD0ATABBAE0AQgBEAEEAKABcAG4AIAAgACAAIABNAEEASwBFAEEAUgBSAEEAWQAoADYALAAgADEAMQAsACAAXABuACAAIAAgACAAIAAgAEwAQQBNAEIARABBACgAcgAsAGMALAAgAFwAbgAgACAAIAAgACAAIAAgACAASQBOAEQARQBYACgAewBcAG4AIAAgACAAIAAgACAAIAAgACAAIABcACIAVAByAGUAYQB0AG0AZQBuAHQAIABzAHQAYQBnAGUAIABUAFwAIgAsACAAXAAiAE0ATQBTACAAbQBcACIALAAgAFwAIgBOAFMAVwBcACIALAAgAFwAIgBBAEMAVABcACIALAAgAFwAIgBRAEwARABcACIALAAgAFwAIgBOAFQAXAAiACwAIABcACIAUwBBAFwAIgAsACAAXAAiAFYASQBDAFwAIgAsACAAXAAiAFcAQQBcACIALAAgAFwAIgBUAEEAUwBcACIALAAgAFwAIgBOAEkAUgAgAGQAZQBmAGkAbgBpAHQAaQBvAG4AXAAiADsAXABuACAAIAAgACAAIAAgACAAIAAgACAAXAAiAFAAcgBpAG0AYQByAHkAXAAiACwAIABcACIARAByAHkAIABsAG8AdAAgACgARgBlAGUAZABwAGEAZAApAFwAIgAsACAAMAAuADAAMQAsACAAMAAuADAAMQAsACAAMAAuADAAMwAsACAAMAAuADAAMwAsACAAMAAuADAAMQAsACAAMAAuADAAMQAsACAAMAAuADAAMQAsACAAMAAuADAAMQAsACAAXAAiAEQAcgB5AGwAbwB0ACAAKABmAGUAZQBkACAAcABhAGQAKQBcACIAOwAgAFwAbgAgACAAIAAgACAAIAAgACAAIAAgAFwAIgBTAGUAYwBvAG4AZABhAHIAeQBcACIALAAgAFwAIgBTAG8AbABpAGQAIABTAHQAbwByAGEAZwBlACAAKABTAHQAbwBjAGsAcABpAGwAZQApAFwAIgAsACAAMAAuADAAMgAsACAAMAAuADAAMgAsACAAMAAuADAAMgAsACAAMAAuADAAMgAsACAAMAAuADAAMgAsACAAMAAuADAAMgAsACAAMAAuADAAMgAsACAAMAAuADAAMgAsACAAXAAiAFMAbwBsAGkAZAAgAHMAdABvAHIAYQBnAGUAXAAiADsAIABcAG4AIAAgACAAIAAgACAAIAAgACAAIABcACIAUwBlAGMAbwBuAGQAYQByAHkAXAAiACwAIABcACIAQwBvAG0AcABvAHMAdABpAG4AZwAgACgAUABhAHMAcwBpAHYAZQAgAFcAaQBuAGQAcgBvAHcAKQBcACIALAAgADAALgAwADEALAAgADAALgAwADEALAAgADAALgAwADEALAAgADAALgAwADEALAAgADAALgAwADEALAAgADAALgAwADEALAAgADAALgAwADEALAAgADAALgAwADEALAAgAFwAIgBDAG8AbQBwAG8AcwB0AGkAbgBnACAAKABwAGEAcwBzAGkAdgBlACAAdwBpAG4AZAByAG8AdwApAFwAIgA7ACAAXABuACAAIAAgACAAIAAgACAAIAAgACAAXAAiAFMAZQBjAG8AbgBkAGEAcgB5AFwAIgAsACAAXAAiAEQAaQByAGUAYwB0ACAAQQBwAHAAbABpAGMAYQB0AGkAbwBuACAAdABvACAAcwBvAGkAbABcACIALAAgADAALAAgADAALAAgADAALAAgADAALAAgADAALAAgADAALAAgADAALAAgADA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AwAC4ANwA3ACwAIAAwAC4ANwA1ACwAIAAwAC4ANwA1ACwAIAAwAC4ANwA3ACwAIAAwAC4ANwA1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OAGkAdAByAG8AdQBzAE8AeABpAGQAZQBFAEYAcwBcAG4AVABhAGIAbABlACAAQQAuADEALgAxAC4ANQA6ACAAQgBlAGUAZgAgAGYAZQBlAGQAbABvAHQAIABjAGEAdAB0AGwAZQAgAC0AIABOAGkAdAByAG8AdQBzACAAbwB4AGkAZABlACAARQBGAHMAIAAoAEUARgBtAFQAKQBcAG4ALQAtAC0ALQAtAC0ALQAtAC0ALQAtAC0ALQAtAC0ALQAtAC0ALQAtAC0ALQAtAC0ALQAtAC0ALQAtAC0ALQAtAC0ALQAtAC0ALQAtAFwAbgAqAC8AXABuAFwAbgBTAG8AdQByAGMAZQBEAGEAdABhAF8ARgBlAGUAZABsAG8AdABfAE4AaQB0AHIAbwB1AHMATwB4AGkAZABlAEUARgBzAF8AVABpAHQAbABlAFwAbgAgACAAPQBMAEEATQBCAEQAQQAoAFwAIgBGAGUAZQBkAGwAbwB0ACAALQAgAE4AaQB0AHIAbwB1AHMAIABvAHgAaQBkAGUAIABFAEYAcwBcACIAKQA7AFwAbgBcAG4AUwBvAHUAcgBjAGUARABhAHQAYQBfAEYAZQBlAGQAbABvAHQAXwBOAGkAdAByAG8AdQBzAE8AeABpAGQAZQBFAEYAcwBfAFUAbgBpAHQAXABuACAAIAA9AEwAQQBNAEIARABBACgAXAAiAFwAIgApADsAXABuAFwAbgBTAG8AdQByAGMAZQBEAGEAdABhAF8ARgBlAGUAZABsAG8AdABfAE4AaQB0AHIAbwB1AHMATwB4AGkAZABlAEUARgBzAF8AUwBvAHUAcgBjAGUAXABuACAAIAA9AEwAQQBNAEIARABBACgAXAAiAFYARQBFAFIARwAgADIAMAAyADYAOgAgAFQAYQBiAGwAZQAgAEEALgAxAC4AMQAuADUAOgAgAEIAZQBlAGYAIABmAGUAZQBkAGwAbwB0ACAAYwBhAHQAdABsAGUAIAAtACAATgBpAHQAcgBvAHUAcwAgAG8AeABpAGQAZQAgAEUARgBzACAAKABFAEYAbQBUACkAXAAiACkAOwBcAG4AXABuAFMAbwB1AHIAYwBlAEQAYQB0AGEAXwBGAGUAZQBkAGwAbwB0AF8ATgBpAHQAcgBvAHUAcwBPAHgAaQBkAGUARQBGAHM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gBpAHQAcgBvAHUAcwBPAHgAaQBkAGUARQBGAHM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FAEYAbQBUACAAKABrAGcAIABOADIATwAtAE4ALwBrAGcAIABOACkAXAAiACwAIABcACIATgBJAFIAIABkAGUAZgBpAG4AaQB0AGkAbwBuAFwAIgA7AFwAbgAgACAAIAAgACAAIAAgACAAIAAgAFwAIgBQAHIAaQBtAGEAcgB5AFwAIgAsACAAXAAiAEQAcgB5ACAAbABvAHQAIAAoAEYAZQBlAGQAcABhAGQAKQBcACIALAAgADAALgAwADAANQA0ACwAIABcACIARAByAHkAbABvAHQAIAAoAGYAZQBlAGQAIABwAGEAZAApAFwAIgA7AFwAbgAgACAAIAAgACAAIAAgACAAIAAgAFwAIgBTAGUAYwBvAG4AZABhAHIAeQBcACIALAAgAFwAIgBTAG8AbABpAGQAIABTAHQAbwByAGEAZwBlACAAKABTAHQAbwBjAGsAcABpAGwAZQApAFwAIgAsACAAMAAuADAAMAA1ACwAIABcACIAUwBvAGwAaQBkACAAcwB0AG8AcgBhAGcAZQBcACIAOwBcAG4AIAAgACAAIAAgACAAIAAgACAAIABcACIAUwBlAGMAbwBuAGQAYQByAHkAXAAiACwAIABcACIAQwBvAG0AcABvAHMAdABpAG4AZwAgACgAUABhAHMAcwBpAHYAZQAgAFcAaQBuAGQAcgBvAHcAKQBcACIALAAgADAALgAwADE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FAAbwBuAGQAKQBcACIALAAgADA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YAcgBhAGMATgBWAG8AbABhAHQAaQBsAGkAcwBlAGQAXABuAFQAYQBiAGwAZQAgAEEALgAxAC4AMQAuADYAOgAgAEIAZQBlAGYAIABmAGUAZQBkAGwAbwB0ACAAYwBhAHQAdABsAGUAIAAtACAARgByAGEAYwB0AGkAbwBuACAAbwBmACAATgAgAHYAbwBsAGEAdABpAGwAaQBzAGUAZAAgAGIAeQAgAE0ATQBTACAAKABGAHIAYQBjAEcAQQBTAE0AbQBUACkAXABuAC0ALQAtAC0ALQAtAC0ALQAtAC0ALQAtAC0ALQAtAC0ALQAtAC0ALQAtAC0ALQAtAC0ALQAtAC0ALQAtAC0ALQAtAC0ALQAtAC0ALQBcAG4AKgAvAFwAbgBcAG4AUwBvAHUAcgBjAGUARABhAHQAYQBfAEYAZQBlAGQAbABvAHQAXwBGAHIAYQBjAE4AVgBvAGwAYQB0AGkAbABpAHMAZQBkAF8AVABpAHQAbABlAFwAbgAgACAAPQBMAEEATQBCAEQAQQAoAFwAIgBGAGUAZQBkAGwAbwB0ACAALQAgAEYAcgBhAGMAdABpAG8AbgAgAG8AZgAgAE4AIAB2AG8AbABhAHQAaQBsAGkAcwBlAGQAIABiAHkAIABNAE0AUwAgACgARgByAGEAYwBHAEEAUwBNAG0AVAApAFwAIgApADsAXABuAFwAbgBTAG8AdQByAGMAZQBEAGEAdABhAF8ARgBlAGUAZABsAG8AdABfAEYAcgBhAGMATgBWAG8AbABhAHQAaQBsAGkAcwBlAGQAXwBVAG4AaQB0AFwAbgAgACAAPQBMAEEATQBCAEQAQQAoAFwAIgBcACIAKQA7AFwAbgBcAG4AUwBvAHUAcgBjAGUARABhAHQAYQBfAEYAZQBlAGQAbABvAHQAXwBGAHIAYQBjAE4AVgBvAGwAYQB0AGkAbABpAHMAZQBkAF8AUwBvAHUAcgBjAGUAXABuACAAIAA9AEwAQQBNAEIARABBACgAXAAiAFYARQBFAFIARwAgADIAMAAyADYAOgAgAFQAYQBiAGwAZQAgAEEALgAxAC4AMQAuADYAOgAgAEIAZQBlAGYAIABmAGUAZQBkAGwAbwB0ACAAYwBhAHQAdABsAGUAIAAtACAARgByAGEAYwB0AGkAbwBuACAAbwBmACAATgAgAHYAbwBsAGEAdABpAGwAaQBzAGUAZAAgAGIAeQAgAE0ATQBTACAAKABGAHIAYQBjAEcAQQBTAE0AbQBUACkAXAAiACkAOwBcAG4AXABuAFMAbwB1AHIAYwBlAEQAYQB0AGEAXwBGAGUAZQBkAGwAbwB0AF8ARgByAGEAYwBOAFYAbwBsAGEAdABpAGwAaQBzAGUAZA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GAHIAYQBjAE4AVgBvAGwAYQB0AGkAbABpAHMAZQBk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gByAGEAYwBHAEEAUwBNAG0AVAAgACgAawBnACAATgBIADMALQBOACAAKwAgAE4ATwB4AC0ATgApAC8AawBnACAATgBcACIALAAgAFwAIgBOAEkAUgAgAGQAZQBmAGkAbgBpAHQAaQBvAG4AXAAiADsAXABuACAAIAAgACAAIAAgACAAIAAgACAAXAAiAFAAcgBpAG0AYQByAHkAXAAiACwAIABcACIARAByAHkAIABsAG8AdAAgACgARgBlAGUAZABwAGEAZAApAFwAIgAsACAAMAAuADYALAAgAFwAIgBEAHIAeQBsAG8AdAAgACgAZgBlAGUAZAAgAHAAYQBkACkAXAAiADsAXABuACAAIAAgACAAIAAgACAAIAAgACAAXAAiAFMAZQBjAG8AbgBkAGEAcgB5AFwAIgAsACAAXAAiAFMAbwBsAGkAZAAgAFMAdABvAHIAYQBnAGUAIAAoAFMAdABvAGMAawBwAGkAbABlACkAXAAiACwAIAAwAC4AMgA1ACwAIABcACIAUwBvAGwAaQBkACAAcwB0AG8AcgBhAGcAZQBcACIAOwBcAG4AIAAgACAAIAAgACAAIAAgACAAIABcACIAUwBlAGMAbwBuAGQAYQByAHkAXAAiACwAIABcACIAQwBvAG0AcABvAHMAdABpAG4AZwAgACgAUABhAHMAcwBpAHYAZQAgAFcAaQBuAGQAcgBvAHcAKQBcACIALAAgADAALgA0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wAG8AbgBkACkAXAAiACwAIAAwAC4AMwA1ACwAIABcACIAQQBuAGEAZQByAG8AYgBpAGMAIABsAGEAZwBvAG8AbgBcACIAXABuACAAIAAgACAAIAAgACAAIAB9ACwAIAByACwAIABjACkAXABuACAAIAAgACAAIAAgACkAXABuACAAIAAgACAAKQBcAG4AIAAgACkAOw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gBfAE0AYQBzAHMATwBmAE4AaQB0AHIAbwBnAGUAbgBBAHAAcABsAGkAZQBkAFQAbwBTAG8AaQBsAHMAUwBjAG8AcABlADM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AoADEAIAAtACAAUABGACkAXABuACAAIAApADsAXABuAFwAbgBWAEUARQBSAEcAXwA0AF8AM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EAXwAxAF8AOQBfAF8AMgBfAE0AYQBzAHMATwBmAE4AaQB0AHIAbwBnAGUAbgBBAHAAcABsAGkAZQBkAFQAbwBTAG8AaQBsAHMAUwBjAG8AcABlADMAXwBWAGEAcgBpAGEAYgBsAGUAXABuACAAIAA9AEwAQQBNAEIARABBACgAXAAiAE0ATgBTAG8AaQBsAF8AcwBjAG8AcABlADMAXAAiACkAOwBcAG4AXABuAFYARQBFAFIARwBfADQAXwAxAF8AMQBfADkAXwBfADIAXwBNAGEAcwBzAE8AZgBOAGkAdAByAG8AZwBlAG4AQQBwAHAAbABpAGUAZABUAG8AUwBvAGkAbABzAFMAYwBvAHAAZQAzAF8AVQBuAGkAdABcAG4AIAAgAD0ATABBAE0AQgBEAEEAKABcACIAawBnACAATgBcACIAKQA7AFwAbgBcAG4AVgBFAEUAUgBHAF8ANABfADEAXwAxAF8AOQBfAF8AMgBfAE0AYQBzAHMATwBmAE4AaQB0AHIAbwBnAGUAbgBBAHAAcABsAGkAZQBkAFQAbwBTAG8AaQBsAHMAUwBjAG8AcABlADMAXwBTAG8AdQByAGMAZQBcAG4AIAAgAD0ATABBAE0AQgBEAEEAKABcACIAVgBFAEUAUgBHACAAMgAwADIANgA6ACAANAAuADEALgAxAC4AOQAsACAARQBxAHUAYQB0AGkAbwBuACAAKAAyACkAXAAiACkAOwBcAG4AXABuAFYARQBFAFIARwBfADQAXwAxAF8AMQBfADkAXwBfADIAXwBNAGEAcwBzAE8AZgBOAGkAdAByAG8AZwBlAG4AQQBwAHAAbABpAGUAZABUAG8AUwBvAGkAbABzAFMAYwBvAHAAZQAzAF8ATgBJAFIAUgBlAGYAZQByAGUAbgBjAGUAXABuACAAIAA9AEwAQQBNAEIARABBACgAXAAiAFwAIgApADsAXABuAFwAbgBWAEUARQBSAEcAXwA0AF8AMQBfADEAXwA5AF8AXwAyAF8ATQBhAHMAcwBPAGYATgBpAHQAcgBvAGcAZQBuAEEAcABwAGwAaQBlAGQAVABvAFMAbwBpAGwAcwBTAGMAbwBwAGUAMwBfAEwAYQB0AGUAeABFAHEAdQBhAHQAaQBvAG4AXABuACAAIAA9AEwAQQBNAEIARABBACgAXAAi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CIAKQA7AFwAbgBcAG4AVgBFAEUAUgBHAF8ANABfADEAXwAxAF8AOQBfAF8AMgBfAE0AYQBzAHMATwBmAE4AaQB0AHIAbwBnAGUAbgBBAHAAcABsAGkAZQBkAFQAbwBTAG8AaQBsAHMAUwBjAG8AcABlADM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wAgAE0AZQB0AGgAbwBkACAAMQAgAC0AIABNAGEAbgB1AHIAZQAgAEQAaQByAGUAYwB0ACAATgAyAE8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MAXwBfADEAXwBUAG8AdABhAGwAQQBuAG4AdQBhAGwARABpAHIAZQBjAHQATgBpAHQAcgBvAHUAcwBPAHgAaQBkAGUARQBtAGkAcwBzAGkAbwBuAH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GMAYQB0AHQAbABlACAAZwByAG8AdQBw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MAXwBfADEAXwBUAG8AdABhAGwAQQBuAG4AdQBhAGwARABpAHIAZQBjAHQATgBpAHQAcgBvAHUAcwBPAHgAaQBkAGUARQBtAGkAcwBzAGkAbwBuAHMAXABuACAAIAA9AEwAQQBNAEIARABBACgAXABuACAAIAAgACAATQBOAF8AagBtAFQALAAgAEUARgBfAGoAbQAsACAAQwBfAE4AMgBPACwAXABuACAAIAAgACAAUwBVAE0AUABSAE8ARABVAEMAVAAoAE0ATgBfAGoAbQBUACwAIABFAEYAXwBqAG0ALAAgAEMAXwBOADIATwApACAAKgAgADEAMAAgAF4AIAAtADMAXABuACAAIAApADsAXABuAFwAbgBWAEUARQBSAEcAXwA0AF8AMQBfADEAXwAzAF8AXwAxAF8AVABvAHQAYQBsAEEAbgBuAHUAYQBsAEQAaQByAGUAYwB0AE4AaQB0AHIAbwB1AHMATwB4AGkAZABlAEUAbQBpAHMAcwBpAG8AbgBz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xAF8AMQBfADMAXwBfADEAXwBUAG8AdABhAGwAQQBuAG4AdQBhAGwARABpAHIAZQBjAHQATgBpAHQAcgBvAHUAcwBPAHgAaQBkAGUARQBtAGkAcwBzAGkAbwBuAHMAXwBWAGEAcgBpAGEAYgBsAGUAXABuACAAIAA9AEwAQQBNAEIARABBACgAXAAiAEUAXwBOADIATwBkAGkAcgBcACIAKQA7AFwAbgBcAG4AVgBFAEUAUgBHAF8ANABfADEAXwAxAF8AMwBfAF8AMQBfAFQAbwB0AGEAbABBAG4AbgB1AGEAbABEAGkAcgBlAGMAdABOAGkAdAByAG8AdQBzAE8AeABpAGQAZQBFAG0AaQBzAHMAaQBvAG4AcwBfAFUAbgBpAHQAXABuACAAIAA9AEwAQQBNAEIARABBACgAXAAiAHQAIABOADIATwBcACIAKQA7AFwAbgBcAG4AVgBFAEUAUgBHAF8ANABfADEAXwAxAF8AMwBfAF8AMQBfAFQAbwB0AGEAbABBAG4AbgB1AGEAbABEAGkAcgBlAGMAdABOAGkAdAByAG8AdQBzAE8AeABpAGQAZQBFAG0AaQBzAHMAaQBvAG4AcwBfAFMAbwB1AHIAYwBlAFwAbgAgACAAPQBMAEEATQBCAEQAQQAoAFwAIgBWAEUARQBSAEcAIAAyADAAMgA2ADoAIAA0AC4AMQAuADEALgAzACwAIABFAHEAdQBhAHQAaQBvAG4AIAAoADEAKQBcACIAKQA7AFwAbgBcAG4AVgBFAEUAUgBHAF8ANABfADEAXwAxAF8AMwBfAF8AMQBfAFQAbwB0AGEAbABBAG4AbgB1AGEAbABEAGkAcgBlAGMAdABOAGkAdAByAG8AdQBzAE8AeABpAGQAZQBFAG0AaQBzAHMAaQBvAG4AcwBfAE4ASQBSAFIAZQBmAGUAcgBlAG4AYwBlAFwAbgAgACAAPQBMAEEATQBCAEQAQQAoAFwAIgBcACIAKQA7AFwAbgBcAG4AVgBFAEUAUgBHAF8ANABfADEAXwAxAF8AMwBfAF8AMQBfAFQAbwB0AGEAbABBAG4AbgB1AGEAbABEAGkAcgBlAGMAdABOAGkAdAByAG8AdQBzAE8AeABpAGQAZQBFAG0AaQBzAHMAaQBvAG4Ac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MQBfADEAXwAzAF8AXwAxAF8AVABvAHQAYQBsAEEAbgBuAHUAYQBsAEQAaQByAGUAYwB0AE4AaQB0AHIAbwB1AHMATwB4AGkAZABlAEUAbQBpAHMAcwBpAG8AbgBzAF8AQQByAGcAdQBtAGUAbgB0AHMAXABuACAAIAA9AEwAQQBNAEIARABBACgAXABuACAAIAAgACAATQBBAEsARQBBAFIAUgBBAFkAKAAzACwAIAA0ACwAXABuACAAIAAgACAAIAAgAEwAQQBNAEIARABBACgAcgAsAGMALABcAG4AIAAgACAAIAAgACAAIAAgAEkATgBEAEUAWAAoAHsAXABuACAAIAAgACAAIAAgACAAIAAgACAAXAAiAE0ATgBfAGoAbQBUAFwAIgAsAFwAIgBuAGkAdAByAG8AZwBlAG4AIABwAGUAcgAgAGMAYQB0AHQAbABlACAAZwByAG8AdQBwACwAIABNAE0AUwAgAGEAbgBkACAAdAByAGUAYQB0AG0AZQBuAHQAIABzAHQAYQBnAGUAXAAiACwAIABcACIAawBnACAATgBcACIALAAgAFwAIgBDAGEAbABjAHUAbABhAHQAZQBkACAAZgByAG8AbQAgADQALgAxAC4AMQAuADMAIAAoADIAKQAoADYAKQAoADgAKQBcACIAOwBcAG4AIAAgACAAIAAgACAAIAAgACAAIABcACIARQBGAF8AagBtAFwAIgAsAFwAIgBuAGkAdAByAG8AdQBzACAAbwB4AGkAZABlACAAZQBtAGkAcwBzAGkAbwBuACAAZgBhAGMAdABvAHIAIABmAG8AcgAgAE0ATQBTAFwAIgAs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IAXwBTAHQAYQBnAGUAMQBOAGkAdAByAG8AZwBlAG4ASQBuAE0ATQBTAEQAcgB5AGwAbwB0AFwAbgBOAGkAdAByAG8AZwBlAG4AIABpAG4AIAB0AHIAZQBhAHQAbQBlAG4AdAAgAHMAdABhAGcAZQAgADEAIABNAE0AUwBcAG4ATQBOAF8AagBtADUAVAAxAFwAbgBrAGcAIABOAFwAbgBNAE4AXwB7AGoAbQA9ADUALABUAD0AMQB9AD0AQQBFAF8AewBqAH0AXABcAHQAaQBtAGUAcwAgAE0ATQBTAF8AewBqAG0APQA1ACwAVAA9ADEAfQBcAG4AQQBFAF8AagAgAD0AIAB0AG8AdABhAGwAIABuAGkAdAByAG8AZwBlAG4AIABlAHgAYwByAGUAdABlAGQAIABiAHkAIABlAGEAYwBoACAAYwBhAHQAdABsAGUAIABnAHIAbwB1AHAAIAA6ACAAawBnACAATgBcAG4ATQBNAFMAXwBqAG0ANQBUADEAIAA9ACAAZgByAGEAYwB0AGkAbwBuACAAbwBmACAAbQBhAG4AdQByAGUAIABpAG4AIABwAHIAaQBtAGEAcgB5ACAAcwB5AHMAdABlAG0AIABkAHIAeQBsAG8AdAAgAE0ATQBTACAAOgAgAGYAcgBhAGMAdABpAG8AbgBcAG4ALQAtAC0ALQAtAC0ALQAtAC0ALQAtAC0ALQAtAC0ALQAtAC0ALQAtAC0ALQAtAC0ALQAtAC0ALQAtAC0ALQAtAC0ALQAtAC0ALQAtAFwAbgAqAC8AXABuAFwAbgBWAEUARQBSAEcAXwA0AF8AMQBfADEAXwAzAF8AXwAyAF8AUwB0AGEAZwBlADEATgBpAHQAcgBvAGcAZQBuAEkAbgBNAE0AUwBEAHIAeQBsAG8AdABcAG4AIAAgAD0ATABBAE0AQgBEAEEAKABcAG4AIAAgACAAIABBAEUAXwBqACwAIABNAE0AUwBfAGoAbQA1AFQAMQAsAFwAbgAgACAAIAAgAEEARQBfAGoAIAAqACAATQBNAFMAXwBqAG0ANQBUADEAXABuACAAIAApADsAXABuAFwAbgBWAEUARQBSAEcAXwA0AF8AMQBfADEAXwAzAF8AXwAyAF8AUwB0AGEAZwBlADEATgBpAHQAcgBvAGcAZQBuAEkAbgBNAE0AUwBEAHIAeQBsAG8AdABfAFQAaQB0AGwAZQBcAG4AIAAgAD0ATABBAE0AQgBEAEEAKABcACIATgBpAHQAcgBvAGcAZQBuACAAaQBuACAAdAByAGUAYQB0AG0AZQBuAHQAIABzAHQAYQBnAGUAIAAxACAATQBNAFMAXAAiACkAOwBcAG4AXABuAFYARQBFAFIARwBfADQAXwAxAF8AMQBfADMAXwBfADIAXwBTAHQAYQBnAGUAMQBOAGkAdAByAG8AZwBlAG4ASQBuAE0ATQBTAEQAcgB5AGwAbwB0AF8AVgBhAHIAaQBhAGIAbABlAFwAbgAgACAAPQBMAEEATQBCAEQAQQAoAFwAIgBNAE4AXwBqAG0ANQBUADEAXAAiACkAOwBcAG4AXABuAFYARQBFAFIARwBfADQAXwAxAF8AMQBfADMAXwBfADIAXwBTAHQAYQBnAGUAMQBOAGkAdAByAG8AZwBlAG4ASQBuAE0ATQBTAEQAcgB5AGwAbwB0AF8AVQBuAGkAdABcAG4AIAAgAD0ATABBAE0AQgBEAEEAKABcACIAawBnACAATgBcACIAKQA7AFwAbgBcAG4AVgBFAEUAUgBHAF8ANABfADEAXwAxAF8AMwBfAF8AMgBfAFMAdABhAGcAZQAxAE4AaQB0AHIAbwBnAGUAbgBJAG4ATQBNAFMARAByAHkAbABvAHQAXwBTAG8AdQByAGMAZQBcAG4AIAAgAD0ATABBAE0AQgBEAEEAKABcACIAVgBFAEUAUgBHACAAMgAwADIANgA6ACAANAAuADEALgAxAC4AMwAsACAARQBxAHUAYQB0AGkAbwBuACAAKAAyACkAXAAiACkAOwBcAG4AXABuAFYARQBFAFIARwBfADQAXwAxAF8AMQBfADMAXwBfADIAXwBTAHQAYQBnAGUAMQBOAGkAdAByAG8AZwBlAG4ASQBuAE0ATQBTAEQAcgB5AGwAbwB0AF8ATgBJAFIAUgBlAGYAZQByAGUAbgBjAGUAXABuACAAIAA9AEwAQQBNAEIARABBACgAXAAiAFwAIgApADsAXABuAFwAbgBWAEUARQBSAEcAXwA0AF8AMQBfADEAXwAzAF8AXwAyAF8AUwB0AGEAZwBlADEATgBpAHQAcgBvAGcAZQBuAEkAbgBNAE0AUwBEAHIAeQBsAG8AdABfAEwAYQB0AGUAeABFAHEAdQBhAHQAaQBvAG4AXABuACAAIAA9AEwAQQBNAEIARABBACgAXAAiAE0ATgBfAHsAagBtAD0ANQAsAFQAPQAxAH0APQBBAEUAXwB7AGoAfQBcAFwAdABpAG0AZQBzACAATQBNAFMAXwB7AGoAbQA9ADUALABUAD0AMQB9AFwAIgApADsAXABuAFwAbgBWAEUARQBSAEcAXwA0AF8AMQBfADEAXwAzAF8AXwAyAF8AUwB0AGEAZwBlADEATgBpAHQAcgBvAGcAZQBuAEkAbgBNAE0AUwBEAHIAeQBsAG8AdA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NQBUADEAXAAiACwAXAAiAGYAcgBhAGMAdABpAG8AbgAgAG8AZgAgAG0AYQBuAHUAcgBlACAAaQBuACAAcAByAGkAbQBhAHIAeQAgAHMAeQBzAHQAZQBtACAAZAByAHkAbABvAHQ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FwAIgBuAHUAbQBiAGUAcgAgAG8AZgAgAGMAYQB0AHQAbABlACAAaQBuACAAZQBhAGMAaAAgAGcAcgBvAHUAcABcACIALAAgAFwAIgBoAGUAYQBkAFwAIgAsACAAXAAiAEkAbgBwAHUAdABcACIAOwBcAG4AIAAgACAAIAAgACAAIAAgACAAIABcACIATgBFAF8AagBcACIALABcACIAbgBpAHQAcgBvAGcAZQBuACAAZQB4AGMAcgBlAHQAaQBvAG4AXAAiACwAIABcACIAawBnACAATgAvAGgAZQBhAGQALwBkAGEAeQBcACIALAAgAFwAIgBDAGEAbABjAHUAbABhAHQAZQBkACAAZgByAG8AbQAgADQALgAxAC4AMQAuADMAIAAoADQAKQBcACIAOwBcAG4AIAAgACAAIAAgACAAIAAgACAAIABcACIARABfAGoAXAAiACwAXAAiAGQAdQByAGEAdABpAG8AbgAgAG8AZgAgAHMAdABhAHkAIABvAGYAIABjAGEAdAB0AGw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0AF8ATgBpAHQAcgBvAGcAZQBuAEUAeABjAHIAZQB0AGkAbwBuAFAAZQByAEgAZQBhAGQAXABuAE4AaQB0AHIAbwBnAGUAbgAgAGUAeABjAHIAZQB0AGkAbwBuACAAcABlAHIAIABoAGUAYQBkACAAcABlAHIAIABkAGEAeQBcAG4ATgBFAF8AagBcAG4AawBnACAATgAvAGgAZQBhAGQALwBkAGEAeQBcAG4ATgBFAF8AewBqAH0APQBOAEkAXwB7AGoAfQBcAFwAdABpAG0AZQBzACgAMQAtAE4AUgBfAHsAagB9ACkAXABuAE4ASQBfAGoAIAA9ACAAbgBpAHQAcgBvAGcAZQBuACAAaQBuAHQAYQBrAGUAIAA6ACAAawBnACAATgAvAGgAZQBhAGQALwBkAGEAeQBcAG4ATgBSAF8Aag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MQBfADEAXwAzAF8AXwA0AF8ATgBpAHQAcgBvAGcAZQBuAEUAeABjAHIAZQB0AGkAbwBuAFAAZQByAEgAZQBhAGQAXABuACAAIAA9AEwAQQBNAEIARABBACgAXABuACAAIAAgACAATgBJAF8AagAsACAATgBSAF8AagAsAFwAbgAgACAAIAAgAE4ASQBfAGoAIAAqACAAKAAxACAALQAgAE4AUgBfAGoAKQBcAG4AIAAgACkAOwBcAG4AXABuAFYARQBFAFIARwBfADQAXwAxAF8AMQBfADMAXwBfADQAXwBOAGkAdAByAG8AZwBlAG4ARQB4AGMAcgBlAHQAaQBvAG4AUABlAHIASABlAGEAZABfAFQAaQB0AGwAZQBcAG4AIAAgAD0ATABBAE0AQgBEAEEAKABcACIATgBpAHQAcgBvAGcAZQBuACAAZQB4AGMAcgBlAHQAaQBvAG4AIABwAGUAcgAgAGgAZQBhAGQAIABwAGUAcgAgAGQAYQB5AFwAIgApADsAXABuAFwAbgBWAEUARQBSAEcAXwA0AF8AMQBfADEAXwAzAF8AXwA0AF8ATgBpAHQAcgBvAGcAZQBuAEUAeABjAHIAZQB0AGkAbwBuAFAAZQByAEgAZQBhAGQAXwBWAGEAcgBpAGEAYgBsAGUAXABuACAAIAA9AEwAQQBNAEIARABBACgAXAAiAE4ARQBfAGoAXAAiACkAOwBcAG4AXABuAFYARQBFAFIARwBfADQAXwAxAF8AMQBfADMAXwBfADQAXwBOAGkAdAByAG8AZwBlAG4ARQB4AGMAcgBlAHQAaQBvAG4AUABlAHIASABlAGEAZABfAFUAbgBpAHQAXABuACAAIAA9AEwAQQBNAEIARABBACgAXAAiAGsAZwAgAE4ALwBoAGUAYQBkAC8AZABhAHkAXAAiACkAOwBcAG4AXABuAFYARQBFAFIARwBfADQAXwAxAF8AMQBfADMAXwBfADQAXwBOAGkAdAByAG8AZwBlAG4ARQB4AGMAcgBlAHQAaQBvAG4AUABlAHIASABlAGEAZABfAFMAbwB1AHIAYwBlAFwAbgAgACAAPQBMAEEATQBCAEQAQQAoAFwAIgBWAEUARQBSAEcAIAAyADAAMgA2ADoAIAA0AC4AMQAuADEALgAzACwAIABFAHEAdQBhAHQAaQBvAG4AIAAoADQAKQBcACIAKQA7AFwAbgBcAG4AVgBFAEUAUgBHAF8ANABfADEAXwAxAF8AMwBfAF8ANABfAE4AaQB0AHIAbwBnAGUAbgBFAHgAYwByAGUAdABpAG8AbgBQAGUAcgBIAGUAYQBkAF8ATgBJAFIAUgBlAGYAZQByAGUAbgBjAGUAXABuACAAIAA9AEwAQQBNAEIARABBACgAXAAiAFwAIgApADsAXABuAFwAbgBWAEUARQBSAEcAXwA0AF8AMQBfADEAXwAzAF8AXwA0AF8ATgBpAHQAcgBvAGcAZQBuAEUAeABjAHIAZQB0AGkAbwBuAFAAZQByAEgAZQBhAGQAXwBMAGEAdABlAHgARQBxAHUAYQB0AGkAbwBuAFwAbgAgACAAPQBMAEEATQBCAEQAQQAoAFwAIgBOAEUAXwB7AGoAfQA9AE4ASQBfAHsAagB9AFwAXAB0AGkAbQBlAHMAKAAxAC0ATgBSAF8AewBqAH0AKQBcACIAKQA7AFwAbgBcAG4AVgBFAEUAUgBHAF8ANABfADEAXwAxAF8AMwBfAF8ANABfAE4AaQB0AHIAbwBnAGUAbgBFAHgAYwByAGUAdABpAG8AbgBQAGUAcgBIAGUAYQBkAF8AQQByAGcAdQBtAGUAbgB0AHMAXABuACAAIAA9AEwAQQBNAEIARABBACgAXABuACAAIAAgACAATQBBAEsARQBBAFIAUgBBAFkAKAAyACwAIAA0ACwAXABuACAAIAAgACAAIAAgAEwAQQBNAEIARABBACgAcgAsAGMALABcAG4AIAAgACAAIAAgACAAIAAgAEkATgBEAEUAWAAoAHsAXABuACAAIAAgACAAIAAgACAAIAAgACAAXAAiAE4ASQBfAGoAXAAiACwAXAAiAG4AaQB0AHIAbwBnAGUAbgAgAGkAbgB0AGEAawBlAFwAIgAsACAAXAAiAGsAZwAgAE4ALwBoAGUAYQBkAC8AZABhAHkAXAAiACwAIABcACIAQwBhAGwAYwB1AGwAYQB0AGUAZAAgAGYAcgBvAG0AIAA0AC4AMQAuADEALgAzACAAKAA1ACkAXAAiADsAXABuACAAIAAgACAAIAAgACAAIAAgACAAXAAiAE4AUgBfAGoAXAAiACwAXAAiAG4AaQB0AHIAbwBnAGUAbgAgAHIAZQB0AGUAbgB0AGkAbwBuACAAZQB4AHAAcgBlAHMAcwBlAGQAIABhAHMAIABhACAAZgByAGEAYwB0AGkAbwBuACAAbwBm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XAAiACwAXAAiAGQAcgB5ACAAbQBhAHQAdABlAHIAIABpAG4AdABhAGsAZQBcACIALAAgAFwAIgBrAGcAIABEAE0ALwBoAGUAYQBkAC8AZABhAHkAXAAiACwAIABcACIASQBuAHAAdQB0AFwAIgA7AFwAbgAgACAAIAAgACAAIAAgACAAIAAgAFwAIgBDAFAAXwBq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FwAIgAsACAAXAAiAGsAZwAgAE4AXAAiACwAIABcACIAQwBhAGwAYwB1AGwAYQB0AGUAZAAgAGYAcgBvAG0AIAA0AC4AMQAuADEALgAzACAAKAA3ACkAXAAiADsAXABuACAAIAAgACAAIAAgACAAIAAgACAAXAAiAE0ATQBTAF8Aag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cAXwBOAGkAdAByAG8AZwBlAG4AVAByAGEAbgBzAGYAZQByAHIAZQBkAFQAbwBTAHQAYQBnAGUAMgBcAG4ATgBpAHQAcgBvAGcAZQBuACAAdAByAGEAbgBzAGYAZQByAHIAZQBkACAAdABvACAAdAByAGUAYQB0AG0AZQBuAHQAIABzAHQAYQBnAGUAIAAyACAATQBNAFMAXABuAE4AVABfAGoAbQBUADIAXABuAGsAZwAgAE4AXABuAE4AVABfAHsAagBtACwAVAA9ADIAfQA9ACgATQBOAF8AewBqAG0APQA1ACwAVAA9ADEAfQBcAFwAdABpAG0AZQBzACgAMQAtAEYAcgBhAGMARwBBAFMATQBfAHsAbQA9ADUAfQAtAEUARgBfAHsAbQA9ADUAfQApACkALQBNAE4AXwB7AGoAbQAsAFQAPQAzAH0AXABuAE0ATgBfAGoAbQA1AFQAMQAgAD0AIABuAGkAdAByAG8AZwBlAG4AIABpAG4AIABNAE0AUwAgAHQAcgBlAGEAdABtAGUAbgB0ACAAcwB0AGEAZwBlACAAMQAgADoAIABrAGcAIABOAFwAbgBGAHIAYQBjAEcAQQBTAE0AXwBtADUAIAA9ACAAZgByAGEAYwB0AGkAbwBuACAAbwBmACAATgAgAHYAbwBsAGEAdABpAGwAaQBzAGUAZAAgAGYAcgBvAG0AIABkAHIAeQBsAG8AdAAgAE0ATQBTACAAOgAgAGYAcgBhAGMAdABpAG8AbgBcAG4ARQBGAF8AbQA1ACAAPQAgAG4AaQB0AHIAbwB1AHMAIABvAHgAaQBkAGUAIABlAG0AaQBzAHMAaQBvAG4AIABmAGEAYwB0AG8AcgAgAGYAbwByACAAZAByAHkAbABvAHQAIABNAE0AUwAgADoAIABrAGcAIABOADIATwAtAE4ALwBrAGcAIABOACAAZABlAHAAbwBzAGkAdABlAGQAXABuAE0ATgBfAGoAbQBUADMAIAA9ACAAbgBpAHQAcgBvAGcAZQBuACAAaQBuACAATQBNAFMAIAB0AHIAZQBhAHQAbQBlAG4AdAAgAHMAdABhAGcAZQAgADMAIAA6ACAAawBnACAATgBcAG4ALQAtAC0ALQAtAC0ALQAtAC0ALQAtAC0ALQAtAC0ALQAtAC0ALQAtAC0ALQAtAC0ALQAtAC0ALQAtAC0ALQAtAC0ALQAtAC0ALQAtAFwAbgAqAC8AXABuAFwAbgBWAEUARQBSAEcAXwA0AF8AMQBfADEAXwAzAF8AXwA3AF8ATgBpAHQAcgBvAGcAZQBuAFQAcgBhAG4AcwBmAGUAcgByAGUAZABUAG8AUwB0AGEAZwBlADIAXABuACAAIAA9AEwAQQBNAEIARABBACgAXABuACAAIAAgACAATQBOAF8AagBtADUAVAAxACwAIABGAHIAYQBjAEcAQQBTAE0AXwBtADUALAAgAEUARgBfAG0ANQAsACAATQBOAF8AagBtAFQAMwAsAFwAbgAgACAAIAAgACgATQBOAF8AagBtADUAVAAxACAAKgAgACgAMQAgAC0AIABGAHIAYQBjAEcAQQBTAE0AXwBtADUAIAAtACAARQBGAF8AbQA1ACkAKQAgAC0AIABNAE4AXwBqAG0AVAAzAFwAbgAgACAAKQA7AFwAbgBcAG4AVgBFAEUAUgBHAF8ANABfADEAXwAxAF8AMwBfAF8ANwBfAE4AaQB0AHIAbwBnAGUAbgBUAHIAYQBuAHMAZgBlAHIAcgBlAGQAVABvAFMAdABhAGcAZQAyAF8AVABpAHQAbABlAFwAbgAgACAAPQBMAEEATQBCAEQAQQAoAFwAIgBOAGkAdAByAG8AZwBlAG4AIAB0AHIAYQBuAHMAZgBlAHIAcgBlAGQAIAB0AG8AIAB0AHIAZQBhAHQAbQBlAG4AdAAgAHMAdABhAGcAZQAgADIAIABNAE0AUwBcACIAKQA7AFwAbgBcAG4AVgBFAEUAUgBHAF8ANABfADEAXwAxAF8AMwBfAF8ANwBfAE4AaQB0AHIAbwBnAGUAbgBUAHIAYQBuAHMAZgBlAHIAcgBlAGQAVABvAFMAdABhAGcAZQAyAF8AVgBhAHIAaQBhAGIAbABlAFwAbgAgACAAPQBMAEEATQBCAEQAQQAoAFwAIgBOAFQAXwBqAG0AVAAyAFwAIgApADsAXABuAFwAbgBWAEUARQBSAEcAXwA0AF8AMQBfADEAXwAzAF8AXwA3AF8ATgBpAHQAcgBvAGcAZQBuAFQAcgBhAG4AcwBmAGUAcgByAGUAZABUAG8AUwB0AGEAZwBlADIAXwBVAG4AaQB0AFwAbgAgACAAPQBMAEEATQBCAEQAQQAoAFwAIgBrAGcAIABOAFwAIgApADsAXABuAFwAbgBWAEUARQBSAEcAXwA0AF8AMQBfADEAXwAzAF8AXwA3AF8ATgBpAHQAcgBvAGcAZQBuAFQAcgBhAG4AcwBmAGUAcgByAGUAZABUAG8AUwB0AGEAZwBlADIAXwBTAG8AdQByAGMAZQBcAG4AIAAgAD0ATABBAE0AQgBEAEEAKABcACIAVgBFAEUAUgBHACAAMgAwADIANgA6ACAANAAuADEALgAxAC4AMwAsACAARQBxAHUAYQB0AGkAbwBuACAAKAA3ACkAXAAiACkAOwBcAG4AXABuAFYARQBFAFIARwBfADQAXwAxAF8AMQBfADMAXwBfADcAXwBOAGkAdAByAG8AZwBlAG4AVAByAGEAbgBzAGYAZQByAHIAZQBkAFQAbwBTAHQAYQBnAGUAMgBfAE4ASQBSAFIAZQBmAGUAcgBlAG4AYwBlAFwAbgAgACAAPQBMAEEATQBCAEQAQQAoAFwAIgBcACIAKQA7AFwAbgBcAG4AVgBFAEUAUgBHAF8ANABfADEAXwAxAF8AMwBfAF8ANwBfAE4AaQB0AHIAbwBnAGUAbgBUAHIAYQBuAHMAZgBlAHIAcgBlAGQAVABvAFMAdABhAGcAZQAyAF8ATABhAHQAZQB4AEUAcQB1AGEAdABpAG8AbgBcAG4AIAAgAD0ATABBAE0AQgBEAEEAKABcACIATgBUAF8AewBqAG0ALABUAD0AMgB9AD0AKABNAE4AXwB7AGoAbQA9ADUALABUAD0AMQB9AFwAXAB0AGkAbQBlAHMAKAAxAC0ARgByAGEAYwBHAEEAUwBNAF8AewBtAD0ANQB9AC0ARQBGAF8AewBtAD0ANQB9ACkAKQAtAE0ATgBfAHsAagBtACwAVAA9ADMAfQBcACIAKQA7AFwAbgBcAG4AVgBFAEUAUgBHAF8ANABfADEAXwAxAF8AMwBfAF8ANwBfAE4AaQB0AHIAbwBnAGUAbgBUAHIAYQBuAHMAZgBlAHIAcgBlAGQAVABvAFMAdABhAGcAZQAyAF8AQQByAGcAdQBtAGUAbgB0AHMAXABuACAAIAA9AEwAQQBNAEIARABBACgAXABuACAAIAAgACAATQBBAEsARQBBAFIAUgBBAFkAKAA0ACwAIAA0ACwAXABuACAAIAAgACAAIAAgAEwAQQBNAEIARABBACgAcgAsAGMALABcAG4AIAAgACAAIAAgACAAIAAgAEkATgBEAEUAWAAoAHsAXABuACAAIAAgACAAIAAgACAAIAAgACAAXAAiAE0ATgBfAGoAbQA1AFQAMQBcACIALABcACIAbgBpAHQAcgBvAGcAZQBuACAAaQBuACAATQBNAFMAIAB0AHIAZQBhAHQAbQBlAG4AdAAgAHMAdABhAGcAZQAgADEAXAAiACwAIABcACIAawBnACAATgBcACIALAAgAFwAIgBDAGEAbABjAHUAbABhAHQAZQBkACAAZgByAG8AbQAgADQALgAxAC4AMQAuADMAIAAoADIAKQBcACIAOwBcAG4AIAAgACAAIAAgACAAIAAgACAAIABcACIARgByAGEAYwBHAEEAUwBNAF8AbQA1AFwAIgAsAFwAIgBmAHIAYQBjAHQAaQBvAG4AIABvAGYAIABOACAAdgBvAGwAYQB0AGkAbABpAHMAZQBkACAAZgByAG8AbQAgAGQAcgB5AGwAbwB0ACAATQBNAFMAXAAiACwAIABcACIAZgByAGEAYwB0AGkAbwBuAFwAIgAsACAAXAAiAEMAbwBuAHMAdABhAG4AdABcACIAOwBcAG4AIAAgACAAIAAgACAAIAAgACAAIABcACIARQBGAF8AbQA1AFwAIgAsAFwAIgBuAGkAdAByAG8AdQBzACAAbwB4AGkAZABlACAAZQBtAGkAcwBzAGkAbwBuACAAZgBhAGMAdABvAHIAIABmAG8AcgAgAGQAcgB5AGwAbwB0ACAATQBNAFMAXAAiACwAIABcACIAawBnACAATgAyAE8ALQBOAC8AawBnACAATgAgAGQAZQBwAG8AcwBpAHQAZQBkAFwAIgAsACAAXAAiAEMAbwBuAHMAdABhAG4AdABcACIAOwBcAG4AIAAgACAAIAAgACAAIAAgACAAIABcACIATQBOAF8AagBtAFQAMwBcACIALABcACIAbgBpAHQAcgBvAGcAZQBuACAAaQBuACAATQBNAFMAIAB0AHIAZQBhAHQAbQBlAG4AdAAgAHMAdABhAGcAZQAgADMAXAAiACwAIABcACIAawBnACAATgBcACIALAAgAFwAIgBDAGEAbABjAHUAbABhAHQAZQBkACAAZgByAG8AbQAgADQALgAxAC4AMQAuADMAIAAoADgAKQ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MQBUADMAXAAiACwAXAAiAGYAcgBhAGMAdABpAG8AbgAgAG8AZgAgAG0AYQBuAHUAcgBlACAAdABvACAAdABlAHIAdABpAGEAcgB5ACAAYQBuAGEAZQByAG8AYgBpAGMAIABsAGEAZwBvAG8AbgAgAHMAeQBzAHQAZQBtAFwAIgAsACAAXAAiAGYAcgBhAGMAdABpAG8AbgBcACIALAAgAFwAIgBJAG4AcAB1AH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yAF8AUwB0AGEAZwBlADEATQBlAHQAaABhAG4AZQBQAHIAbwBkAHUAYwB0AGkAbwBuAEQAcgB5AGwAbwB0AF8AQQByAGcAdQBtAGUAbgB0AHMAXwBNAGUAdABoAG8AZAAyACIALAAiAE0ATQBTAF8ARgBlAGUAZABsAG8AdABfAE0AZQB0AGgAYQBuAGUAXwBFAHEAdQBhAHQAaQBvAG4AcwAuAFYARQBFAFIARwBfADQAXwAxAF8AMQBfADEAXwBfADMAXwBTAHQAYQBnAGUAMgBNAGUAdABoAGEAbgBlAFAAcgBvAGQAdQBjAHQAaQBvAG4AIgAsACIATQBNAFMAXwBGAGUAZQBkAGwAbwB0AF8ATQBlAHQAaABhAG4AZQBfAEUAcQB1AGEAdABpAG8AbgBzAC4AVgBFAEUAUgBHAF8ANABfADEAXwAxAF8AMQBfAF8AMwBfAFMAdABhAGcAZQAyAE0AZQB0AGgAYQBuAGUAUAByAG8AZAB1AGMAdABpAG8AbgBfAFQAaQB0AGwAZQAiACwAIgBNAE0AUwBfAEYAZQBlAGQAbABvAHQAXwBNAGUAdABoAGEAbgBlAF8ARQBxAHUAYQB0AGkAbwBuAHMALgBWAEUARQBSAEcAXwA0AF8AMQBfADEAXwAxAF8AXwAzAF8AUwB0AGEAZwBlADIATQBlAHQAaABhAG4AZQBQAHIAbwBkAHUAYwB0AGkAbwBuAF8AVgBhAHIAaQBhAGIAbABlACIALAAiAE0ATQBTAF8ARgBlAGUAZABsAG8AdABfAE0AZQB0AGgAYQBuAGUAXwBFAHEAdQBhAHQAaQBvAG4AcwAuAFYARQBFAFIARwBfADQAXwAxAF8AMQBfADEAXwBfADMAXwBTAHQAYQBnAGUAMgBNAGUAdABoAGEAbgBlAFAAcgBvAGQAdQBjAHQAaQBvAG4AXwBVAG4AaQB0ACIALAAiAE0ATQBTAF8ARgBlAGUAZABsAG8AdABfAE0AZQB0AGgAYQBuAGUAXwBFAHEAdQBhAHQAaQBvAG4AcwAuAFYARQBFAFIARwBfADQAXwAxAF8AMQBfADEAXwBfADMAXwBTAHQAYQBnAGUAMgBNAGUAdABoAGEAbgBlAFAAcgBvAGQAdQBjAHQAaQBvAG4AXwBTAG8AdQByAGMAZQAiACwAIgBNAE0AUwBfAEYAZQBlAGQAbABvAHQAXwBNAGUAdABoAGEAbgBlAF8ARQBxAHUAYQB0AGkAbwBuAHMALgBWAEUARQBSAEcAXwA0AF8AMQBfADEAXwAxAF8AXwAzAF8AUwB0AGEAZwBlADIATQBlAHQAaABhAG4AZQBQAHIAbwBkAHUAYwB0AGkAbwBuAF8ATgBJAFIAUgBlAGYAZQByAGUAbgBjAGUAIgAsACIATQBNAFMAXwBGAGUAZQBkAGwAbwB0AF8ATQBlAHQAaABhAG4AZQBfAEUAcQB1AGEAdABpAG8AbgBzAC4AVgBFAEUAUgBHAF8ANABfADEAXwAxAF8AMQBfAF8AMwBfAFMAdABhAGcAZQAyAE0AZQB0AGgAYQBuAGUAUAByAG8AZAB1AGMAdABpAG8AbgBfAEwAYQB0AGUAeABFAHEAdQBhAHQAaQBvAG4AIgAsACIATQBNAFMAXwBGAGUAZQBkAGwAbwB0AF8ATQBlAHQAaABhAG4AZQBfAEUAcQB1AGEAdABpAG8AbgBzAC4AVgBFAEUAUgBHAF8ANABfADEAXwAxAF8AMQBfAF8AMwBfAFMAdABhAGcAZQAyAE0AZQB0AGgAYQBuAGUAUAByAG8AZAB1AGMAdABpAG8AbgBfAEEAcgBnAHUAbQBlAG4AdABzACIALAAiAE0ATQBTAF8ARgBlAGUAZABsAG8AdABfAE0AZQB0AGgAYQBuAGUAXwBFAHEAdQBhAHQAaQBvAG4AcwAuAFYARQBFAFIARwBfADQAXwAxAF8AMQBfADEAXwBfADMAXwBTAHQAYQBnAGUAMgBNAGUAdABoAGEAbgBlAFAAcgBvAGQAdQBjAHQAaQBvAG4AXwBBAHIAZwB1AG0AZQBuAHQAcwBfAE0AZQB0AGgAbwBkADI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ABfAFMAdABhAGcAZQAzAE0AZQB0AGgAYQBuAGUAUAByAG8AZAB1AGMAdABpAG8AbgBBAG4AYQBlAHIAbwBiAGkAYwBMAGEAZwBvAG8AbgBfAEEAcgBnAHUAbQBlAG4AdABzAF8ATQBlAHQAaABvAGQAMg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98</vt:i4>
      </vt:variant>
    </vt:vector>
  </HeadingPairs>
  <TitlesOfParts>
    <vt:vector size="112"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Livestock</vt:lpstr>
      <vt:lpstr>Acknowledgements</vt:lpstr>
      <vt:lpstr>Tab template</vt:lpstr>
      <vt:lpstr>Common_SourceData_DensityOfMethane_Data</vt:lpstr>
      <vt:lpstr>M1_Table_AE_j</vt:lpstr>
      <vt:lpstr>M1_Table_CP_j</vt:lpstr>
      <vt:lpstr>M1_Table_DMD_j</vt:lpstr>
      <vt:lpstr>M1_Table_E_N2O_dir</vt:lpstr>
      <vt:lpstr>M1_Table_I_j</vt:lpstr>
      <vt:lpstr>M1_Table_I_j_Consumer_1</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M1_Table_NE_j</vt:lpstr>
      <vt:lpstr>M1_Table_NI_j</vt:lpstr>
      <vt:lpstr>M1_Table_NR_j</vt:lpstr>
      <vt:lpstr>M1_Table_NT_j_m_T2</vt:lpstr>
      <vt:lpstr>M1_Table_VS_j</vt:lpstr>
      <vt:lpstr>M2_Table_AE_j</vt:lpstr>
      <vt:lpstr>M2_Table_CP_j</vt:lpstr>
      <vt:lpstr>M2_Table_DMD_j</vt:lpstr>
      <vt:lpstr>M2_Table_E_N2O_dir</vt:lpstr>
      <vt:lpstr>M2_Table_I_j</vt:lpstr>
      <vt:lpstr>M2_Table_I_j_Consumer_1</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M2_Table_NE_j</vt:lpstr>
      <vt:lpstr>M2_Table_NI_j</vt:lpstr>
      <vt:lpstr>M2_Table_NR_j</vt:lpstr>
      <vt:lpstr>M2_Table_NT_j_m_T2</vt:lpstr>
      <vt:lpstr>M2_Table_VS_j</vt:lpstr>
      <vt:lpstr>Table_D_j</vt:lpstr>
      <vt:lpstr>Table_D_j_Consumer_1</vt:lpstr>
      <vt:lpstr>Table_E_CH4</vt:lpstr>
      <vt:lpstr>Table_E_CH4_Consumer_1</vt:lpstr>
      <vt:lpstr>Table_EF_j_m</vt:lpstr>
      <vt:lpstr>Table_EF_j_m_T23</vt:lpstr>
      <vt:lpstr>Table_FracGASM_m_T23</vt:lpstr>
      <vt:lpstr>Table_FracGASM_m_T23_Consumer_1</vt:lpstr>
      <vt:lpstr>Table_MMS_j_m_T2</vt:lpstr>
      <vt:lpstr>Table_MMS_j_m1_T3</vt:lpstr>
      <vt:lpstr>Table_MMS_j_m5_T1</vt:lpstr>
      <vt:lpstr>Table_MMS_m_T2</vt:lpstr>
      <vt:lpstr>Table_MMS_m1_T3</vt:lpstr>
      <vt:lpstr>Table_MMS_m5_T1</vt:lpstr>
      <vt:lpstr>Table_N_j</vt:lpstr>
      <vt:lpstr>Table_N_j_Consumer_1</vt:lpstr>
      <vt:lpstr>Table_PF</vt:lpstr>
      <vt:lpstr>Table_PF_fert</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2026-07-23T08:44:48Z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