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7B543264-BB37-4707-9582-D4F185AE3D72}" xr6:coauthVersionLast="47" xr6:coauthVersionMax="47" xr10:uidLastSave="{00000000-0000-0000-0000-000000000000}"/>
  <bookViews>
    <workbookView xWindow="1080" yWindow="690" windowWidth="36585" windowHeight="19950" firstSheet="1" activeTab="3" xr2:uid="{992023F3-CAB7-4E5B-A348-08D563A0EF40}"/>
  </bookViews>
  <sheets>
    <sheet name="Home" sheetId="71" r:id="rId1"/>
    <sheet name="Results" sheetId="13" r:id="rId2"/>
    <sheet name="Input - Site" sheetId="15" r:id="rId3"/>
    <sheet name="Input - Swine" sheetId="70" r:id="rId4"/>
    <sheet name="4.5.1.1-2 Methane" sheetId="69" r:id="rId5"/>
    <sheet name="4.5.1.3-4 Direct N20" sheetId="76" r:id="rId6"/>
    <sheet name="4.5.1.5-6 Atmos Dep" sheetId="97" r:id="rId7"/>
    <sheet name="4.5.1.7-8 Leaching and runoff" sheetId="98" r:id="rId8"/>
    <sheet name="4.5.1.9 Manure applied to soils" sheetId="105" r:id="rId9"/>
    <sheet name="Constants - Swine" sheetId="79" r:id="rId10"/>
    <sheet name="Constants - Common" sheetId="103" r:id="rId11"/>
    <sheet name="Constants - Livestock" sheetId="43" r:id="rId12"/>
    <sheet name="Acknowledgements" sheetId="72" r:id="rId13"/>
    <sheet name="Tab template" sheetId="74" r:id="rId14"/>
  </sheets>
  <externalReferences>
    <externalReference r:id="rId15"/>
    <externalReference r:id="rId16"/>
  </externalReference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ConvertStateCommonNameToAbbreviation">_xlfn.LAMBDA(_xlpm.StateCommonName,_xlpm.StateCommonNameArray,_xlpm.StateAbbreviationArray, _xlfn.XLOOKUP(_xlpm.StateCommonName, _xlpm.StateCommonNameArray, _xlpm.StateAbbreviationArray, ""))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LookupValueInTableOneColumnAndHeader">_xlfn.LAMBDA(_xlpm.LookupValue1,_xlpm.LookupValue2,_xlpm.LookupArray1,_xlpm.LookupArray2,_xlpm.ReturnArray, _xlfn.XLOOKUP(_xlpm.LookupValue1, _xlpm.LookupArray1, _xlfn.XLOOKUP(_xlpm.LookupValue2, _xlpm.LookupArray2, _xlpm.ReturnArray)))</definedName>
    <definedName name="Common_InputFunctions.Utility_LookupValueInTableTwoColumns">_xlfn.LAMBDA(_xlpm.LookupValue1,_xlpm.LookupValue2,_xlpm.LookupArray1,_xlpm.LookupArray2,_xlpm.ReturnArray, _xlfn.XLOOKUP(1, (_xlpm.LookupArray1 = _xlpm.LookupValue1) * (_xlpm.LookupArray2 = _xlpm.LookupValue2), _xlpm.ReturnArray, ""))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MonthsToSeasons_Data">_xlfn.LAMBDA(_xlfn.MAKEARRAY(13, 2, _xlfn.LAMBDA(_xlpm.r,_xlpm.c, INDEX({"Month","Season";"January","Summer";"February","Summer";"March","Autumn";"April","Autumn";"May","Autumn";"June","Winter";"July","Winter";"August","Winter";"September","Spring";"October","Spring";"November","Spring";"December","Summer"}, _xlpm.r, _xlpm.c))))</definedName>
    <definedName name="Common_SourceData.Common_SourceData_MonthsToSeasons_NIRReference">_xlfn.LAMBDA("")</definedName>
    <definedName name="Common_SourceData.Common_SourceData_MonthsToSeasons_Source">_xlfn.LAMBDA("")</definedName>
    <definedName name="Common_SourceData.Common_SourceData_MonthsToSeasons_Title">_xlfn.LAMBDA("Months to Seasons Mapping")</definedName>
    <definedName name="Common_SourceData.Common_SourceData_MonthsToSeasons_Unit">_xlfn.LAMBDA("")</definedName>
    <definedName name="Common_SourceData.Common_SourceData_MonthsToSeason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 localSheetId="8">_xlfn.LAMBDA(_xlpm.Month,_xlpm.LivestockClass,_xlpm.HeadAtStart,_xlpm.LiveweightAtStart,_xlpm.LiveweightGain, [0]!CommonLivestock_InputFunctions.LivestockMovement_ProportionalAverageLiveweightAddedDuringMonth(_xlpm.Month, _xlpm.LivestockClass, _xlpm.HeadAtStart) + '4.5.1.9 Manure applied to soils'!CommonLivestock_InputFunctions.LivestockMovement_ProportionalAverageLiveweightRemainingAtEndOfMonth(_xlpm.Month, _xlpm.LivestockClass, _xlpm.HeadAtStart, _xlpm.LiveweightAtStart, _xlpm.LiveweightGain))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_LookupMCFState">_xlfn.LAMBDA(_xlpm.MMS,_xlpm.MMSArray,_xlpm.State,_xlpm.StateArray,_xlpm.ReturnArray, _xlfn.XLOOKUP(_xlpm.MMS, _xlpm.MMSArray, _xlfn.XLOOKUP(_xlpm.State, _xlpm.StateArray, _xlpm.ReturnArray)))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 localSheetId="10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 localSheetId="8">_xlfn.LAMBDA(_xlpm.LivestockClass,_xlpm.MovementDate,_xlpm.WeightAtMovementDate,_xlpm.Head, IFERROR(_xlpm.Head * (_xlpm.WeightAtMovementDate + '4.5.1.9 Manure applied to soils'!CommonLivestock_InputFunctions.LivestockMovement_LiveweightGrownDuringMonthPerHead(_xlpm.LivestockClass, _xlpm.MovementDate)),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 localSheetId="8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 localSheetId="8">_xlfn.LAMBDA(_xlpm.LivestockClass,_xlpm.Month, '4.5.1.9 Manure applied to soils'!CommonLivestock_InputFunctions.LivestockMovement_LiveweightGrownDuringMonthPerHead(_xlpm.LivestockClass, EOMONTH(_xlpm.Month, -1) + 1))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 localSheetId="8">_xlfn.LAMBDA(_xlpm.LivestockClass,_xlpm.Month,_xlpm.HeadAtStartOfMonth, [0]!CommonLivestock_InputFunctions.LivestockMovement_HeadRemainingAtMonthEnd(_xlpm.Month, _xlpm.LivestockClass, _xlpm.HeadAtStartOfMonth) * '4.5.1.9 Manure applied to soils'!CommonLivestock_InputFunctions.LivestockMovement_LiveweightGrownFromMonthStartPerHead(_xlpm.LivestockClass, _xlpm.Month))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 localSheetId="8">_xlfn.LAMBDA(_xlpm.LivestockClass,_xlpm.MovementDate,_xlpm.Head, '4.5.1.9 Manure applied to soils'!CommonLivestock_InputFunctions.LivestockMovement_LiveweightGrownDuringMonthPerHead(_xlpm.LivestockClass, _xlpm.MovementDate) * _xlpm.Head)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 localSheetId="8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 localSheetId="10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 localSheetId="8">_xlfn.LAMBDA(_xlpm.Month,_xlpm.LivestockClass,_xlpm.HeadAtStart, '4.5.1.9 Manure applied to soils'!CommonLivestock_InputFunctions.LivestockMovement_LiveweightGrownFromMonthStartTotal(_xlpm.LivestockClass,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anureManagement_Swine_Methane.VEERG_4_5_1_1__1_TotalAnnualMethaneEmissions">_xlfn.LAMBDA(_xlpm.Dj,_xlpm.Mmj,_xlpm.Nj, _xlpm.Dj * _xlpm.Mmj * _xlpm.Nj * 10 ^ -3)</definedName>
    <definedName name="ManureManagement_Swine_Methane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anureManagement_Swine_Methane.VEERG_4_5_1_1__1_TotalAnnualMethaneEmissions_Source">_xlfn.LAMBDA("VEERG 2026: 4.5.1.1, Equation (1)")</definedName>
    <definedName name="ManureManagement_Swine_Methane.VEERG_4_5_1_1__1_TotalAnnualMethaneEmissions_Title">_xlfn.LAMBDA("Total annual methane emissions from manure management")</definedName>
    <definedName name="ManureManagement_Swine_Methane.VEERG_4_5_1_1__1_TotalAnnualMethaneEmissions_Unit">_xlfn.LAMBDA("t CH4")</definedName>
    <definedName name="ManureManagement_Swine_Methane.VEERG_4_5_1_1__1_TotalAnnualMethaneEmissions_Variable">_xlfn.LAMBDA("ECH4")</definedName>
    <definedName name="ManureManagement_Swine_Methane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anureManagement_Swine_Methane.VEERG_4_5_1_1__2_MethaneProductionPerClass_Source">_xlfn.LAMBDA("VEERG 2026: 4.5.1.1, Equation (2)")</definedName>
    <definedName name="ManureManagement_Swine_Methane.VEERG_4_5_1_1__2_MethaneProductionPerClass_Title">_xlfn.LAMBDA("Methane production from the manure of each class of swine")</definedName>
    <definedName name="ManureManagement_Swine_Methane.VEERG_4_5_1_1__2_MethaneProductionPerClass_Unit">_xlfn.LAMBDA("kg CH4/head/day")</definedName>
    <definedName name="ManureManagement_Swine_Methane.VEERG_4_5_1_1__2_MethaneProductionPerClass_Variable">_xlfn.LAMBDA("Mmj")</definedName>
    <definedName name="ManureManagement_Swine_Methane.VEERG_4_5_1_1__2_MethaneProductionPerClass_Variation">_xlfn.LAMBDA("VARIATION ON SOURCE: Split variable Mjm into MjmT1 and MjmT2 for stage 1 and 2 MMS.")</definedName>
    <definedName name="ManureManagement_Swine_Methane.VEERG_4_5_1_1__2_MethaneProductionPerClassVariation">_xlfn.LAMBDA(_xlpm.MjmT1,_xlpm.MjmT2, SUM(_xlpm.MjmT1, _xlpm.MjmT2))</definedName>
    <definedName name="ManureManagement_Swine_Methane.VEERG_4_5_1_1__3_Stage1MethaneProduction">_xlfn.LAMBDA(_xlpm.VSj,_xlpm.FVSjmT1,_xlpm.MCFim,_xlpm.BO,_xlpm.rho, _xlpm.VSj * _xlpm.FVSjmT1 * _xlpm.MCFim * _xlpm.BO * _xlpm.rho)</definedName>
    <definedName name="ManureManagement_Swine_Methane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anureManagement_Swine_Methane.VEERG_4_5_1_1__3_Stage1MethaneProduction_Source">_xlfn.LAMBDA("VEERG 2026: 4.5.1.1, Equation (3)")</definedName>
    <definedName name="ManureManagement_Swine_Methane.VEERG_4_5_1_1__3_Stage1MethaneProduction_Title">_xlfn.LAMBDA("Production of methane in treatment stage 1 MMS")</definedName>
    <definedName name="ManureManagement_Swine_Methane.VEERG_4_5_1_1__3_Stage1MethaneProduction_Unit">_xlfn.LAMBDA("kg CH4/head/day")</definedName>
    <definedName name="ManureManagement_Swine_Methane.VEERG_4_5_1_1__3_Stage1MethaneProduction_Variable">_xlfn.LAMBDA("MijmT1")</definedName>
    <definedName name="ManureManagement_Swine_Methane.VEERG_4_5_1_1__4_FractionVolatileSolidsPrimarySystem">_xlfn.LAMBDA(_xlpm.MMSjmT1,_xlpm.SSm, _xlfn.LET(_xlpm.ssm, IF(ISNUMBER(_xlpm.SSm), _xlpm.SSm, 0), _xlpm.MMSjmT1 * (1 - _xlpm.ssm)))</definedName>
    <definedName name="ManureManagement_Swine_Methane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anureManagement_Swine_Methane.VEERG_4_5_1_1__4_FractionVolatileSolidsPrimarySystem_Source">_xlfn.LAMBDA("VEERG 2026: 4.5.1.1, Equation (4)")</definedName>
    <definedName name="ManureManagement_Swine_Methane.VEERG_4_5_1_1__4_FractionVolatileSolidsPrimarySystem_Title">_xlfn.LAMBDA("Fraction of volatile solids in each primary system other than solid storage")</definedName>
    <definedName name="ManureManagement_Swine_Methane.VEERG_4_5_1_1__4_FractionVolatileSolidsPrimarySystem_Unit">_xlfn.LAMBDA("fraction")</definedName>
    <definedName name="ManureManagement_Swine_Methane.VEERG_4_5_1_1__4_FractionVolatileSolidsPrimarySystem_Variable">_xlfn.LAMBDA("FVSjmT1")</definedName>
    <definedName name="ManureManagement_Swine_Methane.VEERG_4_5_1_1__4_FractionVolatileSolidsPrimarySystem_Variation">_xlfn.LAMBDA("VARIATION ON SOURCE: Added check to convert 'N/A' value to zero.")</definedName>
    <definedName name="ManureManagement_Swine_Methane.VEERG_4_5_1_1__5_FractionVolatileSolidsSolidStorage">_xlfn.LAMBDA(_xlpm.MMSjm4T1,_xlpm.MMSjm179T1,_xlpm.SSm, _xlfn.LET(_xlpm.MMSjm4T1, IF(ISNUMBER(_xlpm.MMSjm4T1), _xlpm.MMSjm4T1, 0), _xlpm.MMSjm179T1, IF(ISNUMBER(_xlpm.MMSjm179T1), _xlpm.MMSjm179T1, 0), _xlpm.SSm, IF(ISNUMBER(_xlpm.SSm), _xlpm.SSm, 0), _xlpm.MMSjm4T1 + (_xlpm.MMSjm179T1 * _xlpm.SSm)))</definedName>
    <definedName name="ManureManagement_Swine_Methane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anureManagement_Swine_Methane.VEERG_4_5_1_1__5_FractionVolatileSolidsSolidStorage_Source">_xlfn.LAMBDA("VEERG 2026: 4.5.1.1, Equation (5)")</definedName>
    <definedName name="ManureManagement_Swine_Methane.VEERG_4_5_1_1__5_FractionVolatileSolidsSolidStorage_Title">_xlfn.LAMBDA("Fraction of volatile solids in solid storage")</definedName>
    <definedName name="ManureManagement_Swine_Methane.VEERG_4_5_1_1__5_FractionVolatileSolidsSolidStorage_Unit">_xlfn.LAMBDA("fraction")</definedName>
    <definedName name="ManureManagement_Swine_Methane.VEERG_4_5_1_1__5_FractionVolatileSolidsSolidStorage_Variable">_xlfn.LAMBDA("FVSjm4T1")</definedName>
    <definedName name="ManureManagement_Swine_Methane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anureManagement_Swine_Methane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anureManagement_Swine_Methane.VEERG_4_5_1_1__6_Stage2MethaneProduction_Source">_xlfn.LAMBDA("VEERG 2026: 4.5.1.1, Equation (6)")</definedName>
    <definedName name="ManureManagement_Swine_Methane.VEERG_4_5_1_1__6_Stage2MethaneProduction_Title">_xlfn.LAMBDA("Production of methane in each treatment stage 2 MMS")</definedName>
    <definedName name="ManureManagement_Swine_Methane.VEERG_4_5_1_1__6_Stage2MethaneProduction_Unit">_xlfn.LAMBDA("kg CH4/head/day")</definedName>
    <definedName name="ManureManagement_Swine_Methane.VEERG_4_5_1_1__6_Stage2MethaneProduction_Variable">_xlfn.LAMBDA("MijmT2")</definedName>
    <definedName name="ManureManagement_Swine_Methane.VEERG_4_5_1_1__7_VolatileSolidsTransferredStage2">_xlfn.LAMBDA(_xlpm.VSj,_xlpm.FVSjmT1,_xlpm.VSLmT1, _xlpm.VSj * _xlpm.FVSjmT1 * (1 - _xlpm.VSLmT1))</definedName>
    <definedName name="ManureManagement_Swine_Methane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anureManagement_Swine_Methane.VEERG_4_5_1_1__7_VolatileSolidsTransferredStage2_Source">_xlfn.LAMBDA("VEERG 2026: 4.5.1.1, Equation (7)")</definedName>
    <definedName name="ManureManagement_Swine_Methane.VEERG_4_5_1_1__7_VolatileSolidsTransferredStage2_Title">_xlfn.LAMBDA("Volatile solids transferred to treatment stage 2 MMS")</definedName>
    <definedName name="ManureManagement_Swine_Methane.VEERG_4_5_1_1__7_VolatileSolidsTransferredStage2_Unit">_xlfn.LAMBDA("kg VS")</definedName>
    <definedName name="ManureManagement_Swine_Methane.VEERG_4_5_1_1__7_VolatileSolidsTransferredStage2_Variable">_xlfn.LAMBDA("VSTijmT2")</definedName>
    <definedName name="MMS_Swine_AtmosphericDeposition_Equations.VEERG_4_5_1_5__1_AnnualAtmosphericDepositionEmissionsFromMMS">_xlfn.LAMBDA(_xlpm.MMS_ATMOS,_xlpm.EF_N2O,_xlpm.C_N2O, _xlpm.MMS_ATMOS * _xlpm.EF_N2O * _xlpm.C_N2O * 10 ^ -3)</definedName>
    <definedName name="MMS_Swine_AtmosphericDeposition_Equations.VEERG_4_5_1_5__1_AnnualAtmosphericDepositionEmissionsFromMMS_Arguments">_xlfn.LAMBDA(_xlfn.MAKEARRAY(6, 2, _xlfn.LAMBDA(_xlpm.r,_xlpm.c, INDEX({"MMS_ATMOS","mass of N volatilised from MMS (kg N)";"EF_N2O","nitrous oxide emission factor for atmospheric deposition (kg N2O-N/kg N)";"C_N2O","factor to convert elemental mass of N2O to molecular mass";"j","production system";"ir","irrigation method";"r","rainfall region"}, _xlpm.r, _xlpm.c))))</definedName>
    <definedName name="MMS_Swine_AtmosphericDeposition_Equations.VEERG_4_5_1_5__1_AnnualAtmosphericDepositionEmissionsFromMMS_LatexEquation">_xlfn.LAMBDA("E_{N2O,ad}=MMS_{ATMOS}\times EF_{N2O}\times C_{N2O}\times 10^{-3}")</definedName>
    <definedName name="MMS_Swine_AtmosphericDeposition_Equations.VEERG_4_5_1_5__1_AnnualAtmosphericDepositionEmissionsFromMMS_NIRReference">_xlfn.LAMBDA("")</definedName>
    <definedName name="MMS_Swine_AtmosphericDeposition_Equations.VEERG_4_5_1_5__1_AnnualAtmosphericDepositionEmissionsFromMMS_Source">_xlfn.LAMBDA("VEERG 2026: 4.5.1.1, Equation (1)")</definedName>
    <definedName name="MMS_Swine_AtmosphericDeposition_Equations.VEERG_4_5_1_5__1_AnnualAtmosphericDepositionEmissionsFromMMS_Title">_xlfn.LAMBDA("Annual atmospheric deposition emissions from MMS")</definedName>
    <definedName name="MMS_Swine_AtmosphericDeposition_Equations.VEERG_4_5_1_5__1_AnnualAtmosphericDepositionEmissionsFromMMS_Unit">_xlfn.LAMBDA("t N2O")</definedName>
    <definedName name="MMS_Swine_AtmosphericDeposition_Equations.VEERG_4_5_1_5__1_AnnualAtmosphericDepositionEmissionsFromMMS_Variable">_xlfn.LAMBDA("E_N2OMMSad")</definedName>
    <definedName name="MMS_Swine_AtmosphericDeposition_Equations.VEERG_4_5_1_5__2_TotalNitrogenVolatilisedFromMMS">_xlfn.LAMBDA(_xlpm.MN_jmT,_xlpm.FracGASMmT, _xlpm.MN_jmT * _xlpm.FracGASMmT)</definedName>
    <definedName name="MMS_Swine_AtmosphericDeposition_Equations.VEERG_4_5_1_5__2_TotalNitrogenVolatilisedFromMMS_Arguments">_xlfn.LAMBDA(_xlfn.MAKEARRAY(2, 2, _xlfn.LAMBDA(_xlpm.r,_xlpm.c, INDEX({"MN_jmT","nitrogen per swine class, MMS and treatment stage (kg N)";"FracGASMmT","fraction of N volatilised in each MMS ((kg NH3-N + NOx-N)/kg N)"}, _xlpm.r, _xlpm.c))))</definedName>
    <definedName name="MMS_Swine_AtmosphericDeposition_Equations.VEERG_4_5_1_5__2_TotalNitrogenVolatilisedFromMMS_LatexEquation">_xlfn.LAMBDA("MMS_{ATMOS}=\sum_{j}\sum_{m}\sum_{T}(MN_{jmT}\times FracGASM_{mT})")</definedName>
    <definedName name="MMS_Swine_AtmosphericDeposition_Equations.VEERG_4_5_1_5__2_TotalNitrogenVolatilisedFromMMS_NIRReference">_xlfn.LAMBDA("")</definedName>
    <definedName name="MMS_Swine_AtmosphericDeposition_Equations.VEERG_4_5_1_5__2_TotalNitrogenVolatilisedFromMMS_Source">_xlfn.LAMBDA("VEERG 2026: 4.5.1.1, Equation (2)")</definedName>
    <definedName name="MMS_Swine_AtmosphericDeposition_Equations.VEERG_4_5_1_5__2_TotalNitrogenVolatilisedFromMMS_Title">_xlfn.LAMBDA("Total nitrogen volatilised from MMS")</definedName>
    <definedName name="MMS_Swine_AtmosphericDeposition_Equations.VEERG_4_5_1_5__2_TotalNitrogenVolatilisedFromMMS_Unit">_xlfn.LAMBDA("kg N")</definedName>
    <definedName name="MMS_Swine_AtmosphericDeposition_Equations.VEERG_4_5_1_5__2_TotalNitrogenVolatilisedFromMMS_Variable">_xlfn.LAMBDA("MMS_ATMOS")</definedName>
    <definedName name="MMS_Swine_LeachingAndRunoff_Equations.VEERG_4_5_1_7__1_AnnualEmissionsFromLeachingAndRunoffFromMMS">_xlfn.LAMBDA(_xlpm.MNLeach_jm5,_xlpm.EF_leach,_xlpm.C_N2O, _xlpm.MNLeach_jm5 * _xlpm.EF_leach * _xlpm.C_N2O * 10 ^ -3)</definedName>
    <definedName name="MMS_Swine_LeachingAndRunoff_Equations.VEERG_4_5_1_7__1_AnnualEmissionsFromLeachingAndRunoffFromMMS_Arguments">_xlfn.LAMBDA(_xlfn.MAKEARRAY(3, 2, _xlfn.LAMBDA(_xlpm.r,_xlpm.c, INDEX({"MNLeach_jm5","mass of N lost through leaching and runoff from drylot MMS (kg N)";"EF_leach","emission factor for leaching and runoff (kg N2O-N/kg N)";"C_N2O","factor to convert elemental mass of N2O to molecular mass"}, _xlpm.r, _xlpm.c))))</definedName>
    <definedName name="MMS_Swine_LeachingAndRunoff_Equations.VEERG_4_5_1_7__1_AnnualEmissionsFromLeachingAndRunoffFromMMS_LatexEquation">_xlfn.LAMBDA("E_{N2O,leach}=MNLeach_{jm=5}\times EF_{leach}\times C_{N2O}\times 10^{-3}")</definedName>
    <definedName name="MMS_Swine_LeachingAndRunoff_Equations.VEERG_4_5_1_7__1_AnnualEmissionsFromLeachingAndRunoffFromMMS_NIRReference">_xlfn.LAMBDA("")</definedName>
    <definedName name="MMS_Swine_LeachingAndRunoff_Equations.VEERG_4_5_1_7__1_AnnualEmissionsFromLeachingAndRunoffFromMMS_Source">_xlfn.LAMBDA("VEERG 2026: 4.5.1.7, Equation (1)")</definedName>
    <definedName name="MMS_Swine_LeachingAndRunoff_Equations.VEERG_4_5_1_7__1_AnnualEmissionsFromLeachingAndRunoffFromMMS_Title">_xlfn.LAMBDA("Annual emissions from leaching and runoff from each MMS")</definedName>
    <definedName name="MMS_Swine_LeachingAndRunoff_Equations.VEERG_4_5_1_7__1_AnnualEmissionsFromLeachingAndRunoffFromMMS_Unit">_xlfn.LAMBDA("t N2O")</definedName>
    <definedName name="MMS_Swine_LeachingAndRunoff_Equations.VEERG_4_5_1_7__1_AnnualEmissionsFromLeachingAndRunoffFromMMS_Variable">_xlfn.LAMBDA("E_N2Oleach")</definedName>
    <definedName name="MMS_Swine_LeachingAndRunoff_Equations.VEERG_4_5_1_7__2_MassOfNitrogenLostToLeachingAndRunoffFromDrylotMMS">_xlfn.LAMBDA(_xlpm.MN_jm5T1,_xlpm.FracWET,_xlpm.FracLEACH_MS, _xlpm.MN_jm5T1 * _xlpm.FracWET * _xlpm.FracLEACH_MS)</definedName>
    <definedName name="MMS_Swine_LeachingAndRunoff_Equations.VEERG_4_5_1_7__2_MassOfNitrogenLostToLeachingAndRunoffFromDrylotMMS_Arguments">_xlfn.LAMBDA(_xlfn.MAKEARRAY(6, 2, _xlfn.LAMBDA(_xlpm.r,_xlpm.c, INDEX({"MN_jm5T1","nitrogen in treatment stage 1 drylot MMS (kg N)";"FracWET","fraction of N available for leaching and runoff";"FracLEACH_MS","fraction of N lost through leaching and runoff";"z","location in leaching zone";"j","production system";"ir","irrigation method"}, _xlpm.r, _xlpm.c))))</definedName>
    <definedName name="MMS_Swine_LeachingAndRunoff_Equations.VEERG_4_5_1_7__2_MassOfNitrogenLostToLeachingAndRunoffFromDrylotMMS_LatexEquation">_xlfn.LAMBDA("MNLeach_{jm=5}=MN_{jm=5,T=1}\times FracWET\times FracLEACH_{MS}")</definedName>
    <definedName name="MMS_Swine_LeachingAndRunoff_Equations.VEERG_4_5_1_7__2_MassOfNitrogenLostToLeachingAndRunoffFromDrylotMMS_NIRReference">_xlfn.LAMBDA("")</definedName>
    <definedName name="MMS_Swine_LeachingAndRunoff_Equations.VEERG_4_5_1_7__2_MassOfNitrogenLostToLeachingAndRunoffFromDrylotMMS_Source">_xlfn.LAMBDA("VEERG 2026: 4.5.1.7, Equation (2)")</definedName>
    <definedName name="MMS_Swine_LeachingAndRunoff_Equations.VEERG_4_5_1_7__2_MassOfNitrogenLostToLeachingAndRunoffFromDrylotMMS_Title">_xlfn.LAMBDA("Mass of nitrogen lost to leaching and runoff from drylot MMS")</definedName>
    <definedName name="MMS_Swine_LeachingAndRunoff_Equations.VEERG_4_5_1_7__2_MassOfNitrogenLostToLeachingAndRunoffFromDrylotMMS_Unit">_xlfn.LAMBDA("kg N")</definedName>
    <definedName name="MMS_Swine_LeachingAndRunoff_Equations.VEERG_4_5_1_7__2_MassOfNitrogenLostToLeachingAndRunoffFromDrylotMMS_Variable">_xlfn.LAMBDA("MNLeach_jm5")</definedName>
    <definedName name="MMS_Swine_ManureAppliedToSoils_Equations.VEERG_4_5_1_9__1_MassOfNitrogenAppliedToSoilsScope1">_xlfn.LAMBDA(_xlpm.MN_jmT2,_xlpm.EF_mT2,_xlpm.FracGASM_mT2,_xlpm.MNLeach_jm5,_xlpm.PF, (_xlpm.MN_jmT2 * (1 - _xlpm.EF_mT2 - _xlpm.FracGASM_mT2) - _xlpm.MNLeach_jm5) * _xlpm.PF)</definedName>
    <definedName name="MMS_Swine_ManureAppliedToSoils_Equations.VEERG_4_5_1_9__1_MassOfNitrogenAppliedToSoilsScope1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1_MassOfNitrogenAppliedToSoilsScope1_LatexEquation">_xlfn.LAMBDA("MNSoil_{scope1}=\sum_{j}\sum_{m}(MN_{jmT=2}\times(1-EF_{mT=2}-FracGASM_{mT=2})-MNLeach_{jm=5})\times PF")</definedName>
    <definedName name="MMS_Swine_ManureAppliedToSoils_Equations.VEERG_4_5_1_9__1_MassOfNitrogenAppliedToSoilsScope1_NIRReference">_xlfn.LAMBDA("")</definedName>
    <definedName name="MMS_Swine_ManureAppliedToSoils_Equations.VEERG_4_5_1_9__1_MassOfNitrogenAppliedToSoilsScope1_Source">_xlfn.LAMBDA("VEERG 2026: 4.5.1.9, Equation (1)")</definedName>
    <definedName name="MMS_Swine_ManureAppliedToSoils_Equations.VEERG_4_5_1_9__1_MassOfNitrogenAppliedToSoilsScope1_Title">_xlfn.LAMBDA("Mass of nitrogen applied to soils for scope 1 emissions")</definedName>
    <definedName name="MMS_Swine_ManureAppliedToSoils_Equations.VEERG_4_5_1_9__1_MassOfNitrogenAppliedToSoilsScope1_Unit">_xlfn.LAMBDA("kg N")</definedName>
    <definedName name="MMS_Swine_ManureAppliedToSoils_Equations.VEERG_4_5_1_9__1_MassOfNitrogenAppliedToSoilsScope1_Variable">_xlfn.LAMBDA("MNSoil_scope1")</definedName>
    <definedName name="MMS_Swine_ManureAppliedToSoils_Equations.VEERG_4_5_1_9__2_MassOfNitrogenAppliedToSoilsScope3">_xlfn.LAMBDA(_xlpm.MN_jmT2,_xlpm.EF_mT2,_xlpm.FracGASM_mT2,_xlpm.MNLeach_jm5,_xlpm.PF, (_xlpm.MN_jmT2 * (1 - _xlpm.EF_mT2 - _xlpm.FracGASM_mT2) - _xlpm.MNLeach_jm5) * (1 - _xlpm.PF))</definedName>
    <definedName name="MMS_Swine_ManureAppliedToSoils_Equations.VEERG_4_5_1_9__2_MassOfNitrogenAppliedToSoilsScope3_Arguments">_xlfn.LAMBDA(_xlfn.MAKEARRAY(5, 2, _xlfn.LAMBDA(_xlpm.r,_xlpm.c, INDEX({"MN_jmT2","mass of N in MMS at treatment stage 2 : kg N";"EF_mT2","nitrous oxide emission factor for each MMS at treatment stage 2 : kg N2O-N/kg N";"FracGASM_mT2","fraction of animal waste N volatilised in each MMS at treatment stage 2 : (kg NH3-N + NOx-N)/kg N";"MNLeach_jm5","mass of N lost to leaching and runoff from drylot MMS : kg N";"PF","fraction of manure applied to soil within the piggery boundary : fraction"}, _xlpm.r, _xlpm.c))))</definedName>
    <definedName name="MMS_Swine_ManureAppliedToSoils_Equations.VEERG_4_5_1_9__2_MassOfNitrogenAppliedToSoilsScope3_LatexEquation">_xlfn.LAMBDA("MNSoil_{scope3}=\sum_{j}\sum_{m}(MN_{jmT=2}\times(1-EF_{mT=2}-FracGASM_{mT=2})-MNLeach_{jm=5})\times(1-PF)")</definedName>
    <definedName name="MMS_Swine_ManureAppliedToSoils_Equations.VEERG_4_5_1_9__2_MassOfNitrogenAppliedToSoilsScope3_NIRReference">_xlfn.LAMBDA("")</definedName>
    <definedName name="MMS_Swine_ManureAppliedToSoils_Equations.VEERG_4_5_1_9__2_MassOfNitrogenAppliedToSoilsScope3_Source">_xlfn.LAMBDA("VEERG 2026: 4.5.1.9, Equation (2)")</definedName>
    <definedName name="MMS_Swine_ManureAppliedToSoils_Equations.VEERG_4_5_1_9__2_MassOfNitrogenAppliedToSoilsScope3_Title">_xlfn.LAMBDA("Mass of nitrogen applied to soils for scope 3 emissions")</definedName>
    <definedName name="MMS_Swine_ManureAppliedToSoils_Equations.VEERG_4_5_1_9__2_MassOfNitrogenAppliedToSoilsScope3_Unit">_xlfn.LAMBDA("kg N")</definedName>
    <definedName name="MMS_Swine_ManureAppliedToSoils_Equations.VEERG_4_5_1_9__2_MassOfNitrogenAppliedToSoilsScope3_Variable">_xlfn.LAMBDA("MNSoil_scope3")</definedName>
    <definedName name="MMS_Swine_Methane_Equations.VEERG_4_5_1_1__1_TotalAnnualMethaneEmissions">_xlfn.LAMBDA(_xlpm.Dj,_xlpm.Mmj,_xlpm.Nj, _xlpm.Dj * _xlpm.Mmj * _xlpm.Nj * 10 ^ -3)</definedName>
    <definedName name="MMS_Swine_Methane_Equations.VEERG_4_5_1_1__1_TotalAnnualMethaneEmissions_Arguments">_xlfn.LAMBDA(_xlfn.MAKEARRAY(3, 2, _xlfn.LAMBDA(_xlpm.r,_xlpm.c, INDEX({"Dj","length of stay of each class of swine : days";"Mmj","methane production from manure in each swine class : kg CH4/head/day";"Nj","numbers of swine in each class : head"}, _xlpm.r, _xlpm.c))))</definedName>
    <definedName name="MMS_Swine_Methane_Equations.VEERG_4_5_1_1__1_TotalAnnualMethaneEmissions_LatexEquation">_xlfn.LAMBDA("{E}_{CH4}=\sum_{j}(D_{j}\times M_{mj}\times N_{j})\times10^{-3}")</definedName>
    <definedName name="MMS_Swine_Methane_Equations.VEERG_4_5_1_1__1_TotalAnnualMethaneEmissions_NIRReference">_xlfn.LAMBDA("")</definedName>
    <definedName name="MMS_Swine_Methane_Equations.VEERG_4_5_1_1__1_TotalAnnualMethaneEmissions_Source">_xlfn.LAMBDA("VEERG 2026: 4.5.1.1, Equation (1)")</definedName>
    <definedName name="MMS_Swine_Methane_Equations.VEERG_4_5_1_1__1_TotalAnnualMethaneEmissions_Title">_xlfn.LAMBDA("Total annual methane emissions from manure management")</definedName>
    <definedName name="MMS_Swine_Methane_Equations.VEERG_4_5_1_1__1_TotalAnnualMethaneEmissions_Unit">_xlfn.LAMBDA("t CH4")</definedName>
    <definedName name="MMS_Swine_Methane_Equations.VEERG_4_5_1_1__1_TotalAnnualMethaneEmissions_Variable">_xlfn.LAMBDA("ECH4")</definedName>
    <definedName name="MMS_Swine_Methane_Equations.VEERG_4_5_1_1__2_MethaneProductionPerClass">_xlfn.LAMBDA(_xlpm.MjmT, SUM(_xlpm.MjmT))</definedName>
    <definedName name="MMS_Swine_Methane_Equations.VEERG_4_5_1_1__2_MethaneProductionPerClass_Arguments">_xlfn.LAMBDA(_xlfn.MAKEARRAY(1, 2, _xlfn.LAMBDA(_xlpm.r,_xlpm.c, INDEX({"MjmT","methane production from manure per class, MMS, and treatment stage : kg CH4/head/day"}, _xlpm.r, _xlpm.c))))</definedName>
    <definedName name="MMS_Swine_Methane_Equations.VEERG_4_5_1_1__2_MethaneProductionPerClass_LatexEquation">_xlfn.LAMBDA("M_{mj}=\sum_{m}\sum_{T}M_{jmT}")</definedName>
    <definedName name="MMS_Swine_Methane_Equations.VEERG_4_5_1_1__2_MethaneProductionPerClass_NIRReference">_xlfn.LAMBDA("")</definedName>
    <definedName name="MMS_Swine_Methane_Equations.VEERG_4_5_1_1__2_MethaneProductionPerClass_Source">_xlfn.LAMBDA("VEERG 2026: 4.5.1.1, Equation (2)")</definedName>
    <definedName name="MMS_Swine_Methane_Equations.VEERG_4_5_1_1__2_MethaneProductionPerClass_Title">_xlfn.LAMBDA("Methane production from the manure of each class of swine")</definedName>
    <definedName name="MMS_Swine_Methane_Equations.VEERG_4_5_1_1__2_MethaneProductionPerClass_Unit">_xlfn.LAMBDA("kg CH4/head/day")</definedName>
    <definedName name="MMS_Swine_Methane_Equations.VEERG_4_5_1_1__2_MethaneProductionPerClass_Variable">_xlfn.LAMBDA("Mmj")</definedName>
    <definedName name="MMS_Swine_Methane_Equations.VEERG_4_5_1_1__2_MethaneProductionPerClass_Variation">_xlfn.LAMBDA("VARIATION ON SOURCE: Split variable Mjm into MjmT1 and MjmT2 for stage 1 and 2 MMS.")</definedName>
    <definedName name="MMS_Swine_Methane_Equations.VEERG_4_5_1_1__2_MethaneProductionPerClassVariation">_xlfn.LAMBDA(_xlpm.MjmT1,_xlpm.MjmT2, SUM(_xlpm.MjmT1, _xlpm.MjmT2))</definedName>
    <definedName name="MMS_Swine_Methane_Equations.VEERG_4_5_1_1__3_Stage1MethaneProduction">_xlfn.LAMBDA(_xlpm.VSj,_xlpm.FVSjmT1,_xlpm.MCFim,_xlpm.BO,_xlpm.rho, _xlpm.VSj * _xlpm.FVSjmT1 * _xlpm.MCFim * _xlpm.BO * _xlpm.rho)</definedName>
    <definedName name="MMS_Swine_Methane_Equations.VEERG_4_5_1_1__3_Stage1MethaneProduction_Arguments">_xlfn.LAMBDA(_xlfn.MAKEARRAY(5, 2, _xlfn.LAMBDA(_xlpm.r,_xlpm.c, INDEX({"VSj","volatile solid production from swine in each class : kg/head/day";"FVSjmT1","fraction of volatile solids in each primary system : fraction";"MCFim","methane conversion factor for temperate zone and system : fraction";"BO","emissions potential : m3 CH4/kg VS";"rho","density of methane : kg/m3"}, _xlpm.r, _xlpm.c))))</definedName>
    <definedName name="MMS_Swine_Methane_Equations.VEERG_4_5_1_1__3_Stage1MethaneProduction_LatexEquation">_xlfn.LAMBDA("M_{ijm,T=1}=VS_{j}\times FVS_{jm,T=1}\times MCF_{im}\times BO\times \rho")</definedName>
    <definedName name="MMS_Swine_Methane_Equations.VEERG_4_5_1_1__3_Stage1MethaneProduction_NIRReference">_xlfn.LAMBDA("")</definedName>
    <definedName name="MMS_Swine_Methane_Equations.VEERG_4_5_1_1__3_Stage1MethaneProduction_Source">_xlfn.LAMBDA("VEERG 2026: 4.5.1.1, Equation (3)")</definedName>
    <definedName name="MMS_Swine_Methane_Equations.VEERG_4_5_1_1__3_Stage1MethaneProduction_Title">_xlfn.LAMBDA("Production of methane in treatment stage 1 MMS")</definedName>
    <definedName name="MMS_Swine_Methane_Equations.VEERG_4_5_1_1__3_Stage1MethaneProduction_Unit">_xlfn.LAMBDA("kg CH4/head/day")</definedName>
    <definedName name="MMS_Swine_Methane_Equations.VEERG_4_5_1_1__3_Stage1MethaneProduction_Variable">_xlfn.LAMBDA("MijmT1")</definedName>
    <definedName name="MMS_Swine_Methane_Equations.VEERG_4_5_1_1__4_FractionVolatileSolidsPrimarySystem">_xlfn.LAMBDA(_xlpm.MMSjmT1,_xlpm.SSm, _xlpm.MMSjmT1 * (1 - _xlpm.SSm))</definedName>
    <definedName name="MMS_Swine_Methane_Equations.VEERG_4_5_1_1__4_FractionVolatileSolidsPrimarySystem_Arguments">_xlfn.LAMBDA(_xlfn.MAKEARRAY(2, 2, _xlfn.LAMBDA(_xlpm.r,_xlpm.c, INDEX({"MMSjmT1","fraction of manure to each primary MMS for each class prior to solid separation : fraction";"SSm","fraction of volatile solids separated to solid storage for each MMS : fraction"}, _xlpm.r, _xlpm.c))))</definedName>
    <definedName name="MMS_Swine_Methane_Equations.VEERG_4_5_1_1__4_FractionVolatileSolidsPrimarySystem_LatexEquation">_xlfn.LAMBDA("FVS_{jm,T=1}=MMS_{jm,T=1}\times(1-SS_{m})")</definedName>
    <definedName name="MMS_Swine_Methane_Equations.VEERG_4_5_1_1__4_FractionVolatileSolidsPrimarySystem_NIRReference">_xlfn.LAMBDA("")</definedName>
    <definedName name="MMS_Swine_Methane_Equations.VEERG_4_5_1_1__4_FractionVolatileSolidsPrimarySystem_Source">_xlfn.LAMBDA("VEERG 2026: 4.5.1.1, Equation (4)")</definedName>
    <definedName name="MMS_Swine_Methane_Equations.VEERG_4_5_1_1__4_FractionVolatileSolidsPrimarySystem_Title">_xlfn.LAMBDA("Fraction of volatile solids in each primary system other than solid storage")</definedName>
    <definedName name="MMS_Swine_Methane_Equations.VEERG_4_5_1_1__4_FractionVolatileSolidsPrimarySystem_Unit">_xlfn.LAMBDA("fraction")</definedName>
    <definedName name="MMS_Swine_Methane_Equations.VEERG_4_5_1_1__4_FractionVolatileSolidsPrimarySystem_Variable">_xlfn.LAMBDA("FVSjmT1")</definedName>
    <definedName name="MMS_Swine_Methane_Equations.VEERG_4_5_1_1__4_FractionVolatileSolidsPrimarySystem_Variation">_xlfn.LAMBDA("")</definedName>
    <definedName name="MMS_Swine_Methane_Equations.VEERG_4_5_1_1__5_FractionVolatileSolidsSolidStorage">_xlfn.LAMBDA(_xlpm.MMSjm4T1,_xlpm.MMSjm179T1,_xlpm.SSm, _xlpm.MMSjm4T1 + (_xlpm.MMSjm179T1 * _xlpm.SSm))</definedName>
    <definedName name="MMS_Swine_Methane_Equations.VEERG_4_5_1_1__5_FractionVolatileSolidsSolidStorage_Arguments">_xlfn.LAMBDA(_xlfn.MAKEARRAY(3, 2, _xlfn.LAMBDA(_xlpm.r,_xlpm.c, INDEX({"MMSjm4T1","fraction of manure in solid storage primary system : fraction";"MMSjm179T1","fraction of manure in MMS 1, 7, and 9 in treatment stage 1 : fraction";"SSm","fraction of volatile solids separated to solid storage for each MMS : fraction"}, _xlpm.r, _xlpm.c))))</definedName>
    <definedName name="MMS_Swine_Methane_Equations.VEERG_4_5_1_1__5_FractionVolatileSolidsSolidStorage_LatexEquation">_xlfn.LAMBDA("FVS_{j,m=4,T=1}=MMS_{j,m=4,T=1}+(MMS_{j,m=1,7,9,T=1}\times SS_{m})")</definedName>
    <definedName name="MMS_Swine_Methane_Equations.VEERG_4_5_1_1__5_FractionVolatileSolidsSolidStorage_LatexEquationVariation">_xlfn.LAMBDA("FVS_{j,m=4,T=1}=MMS_{j,m=4,T=1}+(MMS_{j,m=1,T=1}\times SS_{m=1,T=1})+(MMS_{j,m=7,T=1}\times SS_{m=7,T=1})+(MMS_{j,m=9,T=1}\times SS_{m=9,T=1})")</definedName>
    <definedName name="MMS_Swine_Methane_Equations.VEERG_4_5_1_1__5_FractionVolatileSolidsSolidStorage_NIRReference">_xlfn.LAMBDA("")</definedName>
    <definedName name="MMS_Swine_Methane_Equations.VEERG_4_5_1_1__5_FractionVolatileSolidsSolidStorage_Source">_xlfn.LAMBDA("VEERG 2026: 4.5.1.1, Equation (5)")</definedName>
    <definedName name="MMS_Swine_Methane_Equations.VEERG_4_5_1_1__5_FractionVolatileSolidsSolidStorage_Title">_xlfn.LAMBDA("Fraction of volatile solids in solid storage")</definedName>
    <definedName name="MMS_Swine_Methane_Equations.VEERG_4_5_1_1__5_FractionVolatileSolidsSolidStorage_Unit">_xlfn.LAMBDA("fraction")</definedName>
    <definedName name="MMS_Swine_Methane_Equations.VEERG_4_5_1_1__5_FractionVolatileSolidsSolidStorage_Variable">_xlfn.LAMBDA("FVSjm4T1")</definedName>
    <definedName name="MMS_Swine_Methane_Equations.VEERG_4_5_1_1__5_FractionVolatileSolidsSolidStorage_Variation">_xlfn.LAMBDA("VARIATION ON SOURCE: Split equation for MMSm=1,7,9 into separate items to allow for calculation")</definedName>
    <definedName name="MMS_Swine_Methane_Equations.VEERG_4_5_1_1__5_FractionVolatileSolidsSolidStorageVariation">_xlfn.LAMBDA(_xlpm.MMSjm4T1,_xlpm.MMSjmT1_1,_xlpm.MMSjmT1_2,_xlpm.MMSjmT1_3,_xlpm.MMSjmT1_4,_xlpm.MMSjmT1_5,_xlpm.SSjmT1_1,_xlpm.SSjmT1_2,_xlpm.SSjmT1_3,_xlpm.SSjmT1_4,_xlpm.SSjmT1_5, _xlpm.MMSjm4T1 + (_xlpm.MMSjmT1_1 * _xlpm.SSjmT1_1) + (_xlpm.MMSjmT1_2 * _xlpm.SSjmT1_2) + (_xlpm.MMSjmT1_3 * _xlpm.SSjmT1_3) + (_xlpm.MMSjmT1_4 * _xlpm.SSjmT1_4) + (_xlpm.MMSjmT1_5 * _xlpm.SSjmT1_5))</definedName>
    <definedName name="MMS_Swine_Methane_Equations.VEERG_4_5_1_1__6_Stage2MethaneProduction">_xlfn.LAMBDA(_xlpm.VSTjmT2,_xlpm.BO,_xlpm.MMSjmT2,_xlpm.MCFim,_xlpm.rho, _xlfn.LET(_xlpm.VSTjmT2, IF(ISNUMBER(_xlpm.VSTjmT2), _xlpm.VSTjmT2, 0), _xlpm.MMSjmT2, IF(ISNUMBER(_xlpm.MMSjmT2), _xlpm.MMSjmT2, 0), _xlpm.VSTjmT2 * _xlpm.BO * _xlpm.MMSjmT2 * _xlpm.MCFim * _xlpm.rho))</definedName>
    <definedName name="MMS_Swine_Methane_Equations.VEERG_4_5_1_1__6_Stage2MethaneProduction_Arguments">_xlfn.LAMBDA(_xlfn.MAKEARRAY(6, 2, _xlfn.LAMBDA(_xlpm.r,_xlpm.c, INDEX({"VSTjmT2","volatile solids transferred to treatment stage 2 MMS : kg/head/day";"BO","emissions potential : m3 CH4/kg VS";"MMSjmT2","fraction of manure in each secondary system : fraction";"MCFim","methane conversion factor for temperate zone and system : fraction";"rho","density of methane : kg/m3";"i","state"}, _xlpm.r, _xlpm.c))))</definedName>
    <definedName name="MMS_Swine_Methane_Equations.VEERG_4_5_1_1__6_Stage2MethaneProduction_LatexEquation">_xlfn.LAMBDA("M_{ijm,T=2}=VST_{jm,T=2}\times BO\times MMS_{jm,T=2}\times MCF_{im}\times \rho")</definedName>
    <definedName name="MMS_Swine_Methane_Equations.VEERG_4_5_1_1__6_Stage2MethaneProduction_NIRReference">_xlfn.LAMBDA("")</definedName>
    <definedName name="MMS_Swine_Methane_Equations.VEERG_4_5_1_1__6_Stage2MethaneProduction_Source">_xlfn.LAMBDA("VEERG 2026: 4.5.1.1, Equation (6)")</definedName>
    <definedName name="MMS_Swine_Methane_Equations.VEERG_4_5_1_1__6_Stage2MethaneProduction_Title">_xlfn.LAMBDA("Production of methane in each treatment stage 2 MMS")</definedName>
    <definedName name="MMS_Swine_Methane_Equations.VEERG_4_5_1_1__6_Stage2MethaneProduction_Unit">_xlfn.LAMBDA("kg CH4/head/day")</definedName>
    <definedName name="MMS_Swine_Methane_Equations.VEERG_4_5_1_1__6_Stage2MethaneProduction_Variable">_xlfn.LAMBDA("MijmT2")</definedName>
    <definedName name="MMS_Swine_Methane_Equations.VEERG_4_5_1_1__7_VolatileSolidsTransferredStage2">_xlfn.LAMBDA(_xlpm.VSj,_xlpm.FVSjmT1,_xlpm.VSLmT1, _xlpm.VSj * _xlpm.FVSjmT1 * (1 - _xlpm.VSLmT1))</definedName>
    <definedName name="MMS_Swine_Methane_Equations.VEERG_4_5_1_1__7_VolatileSolidsTransferredStage2_Arguments">_xlfn.LAMBDA(_xlfn.MAKEARRAY(3, 2, _xlfn.LAMBDA(_xlpm.r,_xlpm.c, INDEX({"VSj","volatile solid production from swine in each class : kg/head/day";"FVSjmT1","fraction of volatile solids in each primary system : fraction";"VSLmT1","fraction of volatile solids lost during storage in the primary system : fraction"}, _xlpm.r, _xlpm.c))))</definedName>
    <definedName name="MMS_Swine_Methane_Equations.VEERG_4_5_1_1__7_VolatileSolidsTransferredStage2_LatexEquation">_xlfn.LAMBDA("VST_{ijm,T=2}=VS_{j}\times FVS_{jm,T=1}\times(1-VSL_{m,T=1})")</definedName>
    <definedName name="MMS_Swine_Methane_Equations.VEERG_4_5_1_1__7_VolatileSolidsTransferredStage2_NIRReference">_xlfn.LAMBDA("")</definedName>
    <definedName name="MMS_Swine_Methane_Equations.VEERG_4_5_1_1__7_VolatileSolidsTransferredStage2_Source">_xlfn.LAMBDA("VEERG 2026: 4.5.1.1, Equation (7)")</definedName>
    <definedName name="MMS_Swine_Methane_Equations.VEERG_4_5_1_1__7_VolatileSolidsTransferredStage2_Title">_xlfn.LAMBDA("Volatile solids transferred to treatment stage 2 MMS")</definedName>
    <definedName name="MMS_Swine_Methane_Equations.VEERG_4_5_1_1__7_VolatileSolidsTransferredStage2_Unit">_xlfn.LAMBDA("kg VS")</definedName>
    <definedName name="MMS_Swine_Methane_Equations.VEERG_4_5_1_1__7_VolatileSolidsTransferredStage2_Variable">_xlfn.LAMBDA("VSTijmT2")</definedName>
    <definedName name="MMS_Swine_N2ODirect_Equations.VEERG_4_5_1_3__1_TotalAnnualDirectNitrousOxideEmissionsFromMMS">_xlfn.LAMBDA(_xlpm.MN_jmT,_xlpm.EF_jm,_xlpm.C_N2O, _xlpm.MN_jmT * _xlpm.EF_jm * _xlpm.C_N2O * 10 ^ -3)</definedName>
    <definedName name="MMS_Swine_N2ODirect_Equations.VEERG_4_5_1_3__1_TotalAnnualDirectNitrousOxideEmissionsFromMMS_Arguments">_xlfn.LAMBDA(_xlfn.MAKEARRAY(3, 2, _xlfn.LAMBDA(_xlpm.r,_xlpm.c, INDEX({"MN_jmT","nitrogen per swine class, MMS and treatment stage (kg N)";"EF_jm","nitrous oxide emission factor for MMS (kg N2O-N/kg N)";"C_N2O","factor to convert elemental mass of nitrous oxide to molecular mass"}, _xlpm.r, _xlpm.c))))</definedName>
    <definedName name="MMS_Swine_N2ODirect_Equations.VEERG_4_5_1_3__1_TotalAnnualDirectNitrousOxideEmissionsFromMMS_LatexEquation">_xlfn.LAMBDA("E_{N2O,dir}=\sum_{j}\sum_{m}\sum_{T}(MN_{jmT}\times EF_{jm}\times C_{N2O})\times10^{-3}")</definedName>
    <definedName name="MMS_Swine_N2ODirect_Equations.VEERG_4_5_1_3__1_TotalAnnualDirectNitrousOxideEmissionsFromMMS_NIRReference">_xlfn.LAMBDA("")</definedName>
    <definedName name="MMS_Swine_N2ODirect_Equations.VEERG_4_5_1_3__1_TotalAnnualDirectNitrousOxideEmissionsFromMMS_Source">_xlfn.LAMBDA("VEERG 2026: 4.5.1.3, Equation (1)")</definedName>
    <definedName name="MMS_Swine_N2ODirect_Equations.VEERG_4_5_1_3__1_TotalAnnualDirectNitrousOxideEmissionsFromMMS_Title">_xlfn.LAMBDA("Total annual direct nitrous oxide emissions from manure management systems")</definedName>
    <definedName name="MMS_Swine_N2ODirect_Equations.VEERG_4_5_1_3__1_TotalAnnualDirectNitrousOxideEmissionsFromMMS_Unit">_xlfn.LAMBDA("t N2O")</definedName>
    <definedName name="MMS_Swine_N2ODirect_Equations.VEERG_4_5_1_3__1_TotalAnnualDirectNitrousOxideEmissionsFromMMS_Variable">_xlfn.LAMBDA("E_N2Odir")</definedName>
    <definedName name="MMS_Swine_N2ODirect_Equations.VEERG_4_5_1_3__2_Stage1NitrogenInMMS">_xlfn.LAMBDA(_xlpm.AE_j,_xlpm.FN_jmT1, _xlpm.AE_j * _xlpm.FN_jmT1)</definedName>
    <definedName name="MMS_Swine_N2ODirect_Equations.VEERG_4_5_1_3__2_Stage1NitrogenInMMS_Arguments">_xlfn.LAMBDA(_xlfn.MAKEARRAY(2, 2, _xlfn.LAMBDA(_xlpm.r,_xlpm.c, INDEX({"AE_j","total nitrogen excreted by each swine class (kg N)";"FN_jmT1","fraction of nitrogen in each primary MMS system"}, _xlpm.r, _xlpm.c))))</definedName>
    <definedName name="MMS_Swine_N2ODirect_Equations.VEERG_4_5_1_3__2_Stage1NitrogenInMMS_LatexEquation">_xlfn.LAMBDA("MN_{jm,T=1}=AE_{j}\times FN_{jm,T=1}")</definedName>
    <definedName name="MMS_Swine_N2ODirect_Equations.VEERG_4_5_1_3__2_Stage1NitrogenInMMS_NIRReference">_xlfn.LAMBDA("")</definedName>
    <definedName name="MMS_Swine_N2ODirect_Equations.VEERG_4_5_1_3__2_Stage1NitrogenInMMS_Source">_xlfn.LAMBDA("VEERG 2026: 4.5.1.3, Equation (2)")</definedName>
    <definedName name="MMS_Swine_N2ODirect_Equations.VEERG_4_5_1_3__2_Stage1NitrogenInMMS_Title">_xlfn.LAMBDA("Nitrogen in treatment stage 1 MMS")</definedName>
    <definedName name="MMS_Swine_N2ODirect_Equations.VEERG_4_5_1_3__2_Stage1NitrogenInMMS_Unit">_xlfn.LAMBDA("kg N")</definedName>
    <definedName name="MMS_Swine_N2ODirect_Equations.VEERG_4_5_1_3__2_Stage1NitrogenInMMS_Variable">_xlfn.LAMBDA("MN_jmT1")</definedName>
    <definedName name="MMS_Swine_N2ODirect_Equations.VEERG_4_5_1_3__3_FractionOfNitrogenInPrimaryMMS">_xlfn.LAMBDA(_xlpm.MMS_jmT1,_xlpm.SN_m, _xlpm.MMS_jmT1 * (1 - _xlpm.SN_m))</definedName>
    <definedName name="MMS_Swine_N2ODirect_Equations.VEERG_4_5_1_3__3_FractionOfNitrogenInPrimaryMMS_Arguments">_xlfn.LAMBDA(_xlfn.MAKEARRAY(2, 2, _xlfn.LAMBDA(_xlpm.r,_xlpm.c, INDEX({"MMS_jmT1","fraction of manure in primary MMS";"SN_m","fraction of nitrogen separated to solid storage for each MMS"}, _xlpm.r, _xlpm.c))))</definedName>
    <definedName name="MMS_Swine_N2ODirect_Equations.VEERG_4_5_1_3__3_FractionOfNitrogenInPrimaryMMS_LatexEquation">_xlfn.LAMBDA("FN_{jm,T=1}=MMS_{jm,T=1}\times(1-SN_{m})")</definedName>
    <definedName name="MMS_Swine_N2ODirect_Equations.VEERG_4_5_1_3__3_FractionOfNitrogenInPrimaryMMS_NIRReference">_xlfn.LAMBDA("")</definedName>
    <definedName name="MMS_Swine_N2ODirect_Equations.VEERG_4_5_1_3__3_FractionOfNitrogenInPrimaryMMS_Source">_xlfn.LAMBDA("VEERG 2026: 4.5.1.3, Equation (3)")</definedName>
    <definedName name="MMS_Swine_N2ODirect_Equations.VEERG_4_5_1_3__3_FractionOfNitrogenInPrimaryMMS_Title">_xlfn.LAMBDA("Fraction of nitrogen in each primary MMS (excluding solid storage)")</definedName>
    <definedName name="MMS_Swine_N2ODirect_Equations.VEERG_4_5_1_3__3_FractionOfNitrogenInPrimaryMMS_Unit">_xlfn.LAMBDA("fraction")</definedName>
    <definedName name="MMS_Swine_N2ODirect_Equations.VEERG_4_5_1_3__3_FractionOfNitrogenInPrimaryMMS_Variable">_xlfn.LAMBDA("FN_jmT1")</definedName>
    <definedName name="MMS_Swine_N2ODirect_Equations.VEERG_4_5_1_3__4_FractionOfNitrogenInSolidStorage">_xlfn.LAMBDA(_xlpm.MMS_jm4T1,_xlpm.MMS_jm179T1,_xlpm.SN_m, _xlpm.MMS_jm4T1 + (_xlpm.MMS_jm179T1 * _xlpm.SN_m))</definedName>
    <definedName name="MMS_Swine_N2ODirect_Equations.VEERG_4_5_1_3__4_FractionOfNitrogenInSolidStorage_Arguments">_xlfn.LAMBDA(_xlfn.MAKEARRAY(3, 2, _xlfn.LAMBDA(_xlpm.r,_xlpm.c, INDEX({"MMS_jm4T1","fraction of manure in solid storage MMS";"MMS_jm179T1","fraction of manure in primary liquid systems (m=1,7,9)";"SN_m","fraction of nitrogen separated to solid storage for each MMS"}, _xlpm.r, _xlpm.c))))</definedName>
    <definedName name="MMS_Swine_N2ODirect_Equations.VEERG_4_5_1_3__4_FractionOfNitrogenInSolidStorage_LatexEquation">_xlfn.LAMBDA("FN_{jm=4,T=1}=MMS_{jm=4,T=1}+(MMS_{jm=1,7,9,T=1}\times SN_{m})")</definedName>
    <definedName name="MMS_Swine_N2ODirect_Equations.VEERG_4_5_1_3__4_FractionOfNitrogenInSolidStorage_LatexEquationVariation">_xlfn.LAMBDA("FN_{jm=4,T=1}=MMS_{jm=4,T=1}+(MMS_{j,m=1,T=1}\times SS_{m=1,T=1})+(MMS_{j,m=7,T=1}\times SS_{m=7,T=1})+(MMS_{j,m=9,T=1}\times SS_{m=9,T=1})")</definedName>
    <definedName name="MMS_Swine_N2ODirect_Equations.VEERG_4_5_1_3__4_FractionOfNitrogenInSolidStorage_NIRReference">_xlfn.LAMBDA("")</definedName>
    <definedName name="MMS_Swine_N2ODirect_Equations.VEERG_4_5_1_3__4_FractionOfNitrogenInSolidStorage_Source">_xlfn.LAMBDA("VEERG 2026: 4.5.1.3, Equation (4)")</definedName>
    <definedName name="MMS_Swine_N2ODirect_Equations.VEERG_4_5_1_3__4_FractionOfNitrogenInSolidStorage_Title">_xlfn.LAMBDA("Fraction of nitrogen in solid storage")</definedName>
    <definedName name="MMS_Swine_N2ODirect_Equations.VEERG_4_5_1_3__4_FractionOfNitrogenInSolidStorage_Unit">_xlfn.LAMBDA("fraction")</definedName>
    <definedName name="MMS_Swine_N2ODirect_Equations.VEERG_4_5_1_3__4_FractionOfNitrogenInSolidStorage_Variable">_xlfn.LAMBDA("FN_jm4T1")</definedName>
    <definedName name="MMS_Swine_N2ODirect_Equations.VEERG_4_5_1_3__4_FractionOfNitrogenInSolidStorage_Variation">_xlfn.LAMBDA("VARIATION ON SOURCE: Split equation for MMSm=1,7,9 into separate items to allow for calculation")</definedName>
    <definedName name="MMS_Swine_N2ODirect_Equations.VEERG_4_5_1_3__4_FractionOfNitrogenInSolidStorageVariation">_xlfn.LAMBDA(_xlpm.MMS_jm4T1,_xlpm.MMSjmT1_1,_xlpm.MMSjmT1_2,_xlpm.MMSjmT1_3,_xlpm.MMSjmT1_4,_xlpm.MMSjmT1_5,_xlpm.SSjmT1_1,_xlpm.SSjmT1_2,_xlpm.SSjmT1_3,_xlpm.SSjmT1_4,_xlpm.SSjmT1_5, _xlpm.MMS_jm4T1 + (_xlpm.MMSjmT1_1 * _xlpm.SSjmT1_1) + (_xlpm.MMSjmT1_2 * _xlpm.SSjmT1_2) + (_xlpm.MMSjmT1_3 * _xlpm.SSjmT1_3) + (_xlpm.MMSjmT1_4 * _xlpm.SSjmT1_4) + (_xlpm.MMSjmT1_5 * _xlpm.SSjmT1_5))</definedName>
    <definedName name="MMS_Swine_N2ODirect_Equations.VEERG_4_5_1_3__5_AnnualNitrogenExcretion">_xlfn.LAMBDA(_xlpm.N_j,_xlpm.NW_j,_xlpm.D_j, _xlpm.N_j * _xlpm.NW_j * _xlpm.D_j)</definedName>
    <definedName name="MMS_Swine_N2ODirect_Equations.VEERG_4_5_1_3__5_AnnualNitrogenExcretion_Arguments">_xlfn.LAMBDA(_xlfn.MAKEARRAY(3, 2, _xlfn.LAMBDA(_xlpm.r,_xlpm.c, INDEX({"N_j","number of swine in each group (head)";"NW_j","nitrogen produced in swine manure and waste feed in each class (kg N/head/day)";"D_j","duration of stay of swine group (days)"}, _xlpm.r, _xlpm.c))))</definedName>
    <definedName name="MMS_Swine_N2ODirect_Equations.VEERG_4_5_1_3__5_AnnualNitrogenExcretion_LatexEquation">_xlfn.LAMBDA("AE_{j}=N_{j}\times NW_{j}\times D_{j}")</definedName>
    <definedName name="MMS_Swine_N2ODirect_Equations.VEERG_4_5_1_3__5_AnnualNitrogenExcretion_NIRReference">_xlfn.LAMBDA("")</definedName>
    <definedName name="MMS_Swine_N2ODirect_Equations.VEERG_4_5_1_3__5_AnnualNitrogenExcretion_Source">_xlfn.LAMBDA("VEERG 2026: 4.5.1.3, Equation (5)")</definedName>
    <definedName name="MMS_Swine_N2ODirect_Equations.VEERG_4_5_1_3__5_AnnualNitrogenExcretion_Title">_xlfn.LAMBDA("Annual nitrogen excretion from each swine group")</definedName>
    <definedName name="MMS_Swine_N2ODirect_Equations.VEERG_4_5_1_3__5_AnnualNitrogenExcretion_Unit">_xlfn.LAMBDA("kg N")</definedName>
    <definedName name="MMS_Swine_N2ODirect_Equations.VEERG_4_5_1_3__5_AnnualNitrogenExcretion_Variable">_xlfn.LAMBDA("AE_j")</definedName>
    <definedName name="MMS_Swine_N2ODirect_Equations.VEERG_4_5_1_3__6_Stage2NitrogenInMMS">_xlfn.LAMBDA(_xlpm.NT_jmT2,_xlpm.MMS_jmT2, _xlpm.NT_jmT2 * _xlpm.MMS_jmT2)</definedName>
    <definedName name="MMS_Swine_N2ODirect_Equations.VEERG_4_5_1_3__6_Stage2NitrogenInMMS_Arguments">_xlfn.LAMBDA(_xlfn.MAKEARRAY(2, 2, _xlfn.LAMBDA(_xlpm.r,_xlpm.c, INDEX({"NT_jmT2","nitrogen transferred to secondary treatment MMS (kg N)";"MMS_jmT2","fraction of manure in each secondary system"}, _xlpm.r, _xlpm.c))))</definedName>
    <definedName name="MMS_Swine_N2ODirect_Equations.VEERG_4_5_1_3__6_Stage2NitrogenInMMS_LatexEquation">_xlfn.LAMBDA("MN_{jm,T=2}=NT_{jm,T=2}\times MMS_{jm,T=2}")</definedName>
    <definedName name="MMS_Swine_N2ODirect_Equations.VEERG_4_5_1_3__6_Stage2NitrogenInMMS_NIRReference">_xlfn.LAMBDA("")</definedName>
    <definedName name="MMS_Swine_N2ODirect_Equations.VEERG_4_5_1_3__6_Stage2NitrogenInMMS_Source">_xlfn.LAMBDA("VEERG 2026: 4.5.1.3, Equation (6)")</definedName>
    <definedName name="MMS_Swine_N2ODirect_Equations.VEERG_4_5_1_3__6_Stage2NitrogenInMMS_Title">_xlfn.LAMBDA("Nitrogen in treatment stage 2 MMS")</definedName>
    <definedName name="MMS_Swine_N2ODirect_Equations.VEERG_4_5_1_3__6_Stage2NitrogenInMMS_Unit">_xlfn.LAMBDA("kg N")</definedName>
    <definedName name="MMS_Swine_N2ODirect_Equations.VEERG_4_5_1_3__6_Stage2NitrogenInMMS_Variable">_xlfn.LAMBDA("MN_jmT2")</definedName>
    <definedName name="MMS_Swine_N2ODirect_Equations.VEERG_4_5_1_3__7_NitrogenTransferredToStage2MMS">_xlfn.LAMBDA(_xlpm.MN_jmT1,_xlpm.FracGASMmT1,_xlpm.EF_mT1, _xlpm.MN_jmT1 * (1 - _xlpm.FracGASMmT1 - _xlpm.EF_mT1))</definedName>
    <definedName name="MMS_Swine_N2ODirect_Equations.VEERG_4_5_1_3__7_NitrogenTransferredToStage2MMS_Arguments">_xlfn.LAMBDA(_xlfn.MAKEARRAY(3, 2, _xlfn.LAMBDA(_xlpm.r,_xlpm.c, INDEX({"MN_jmT1","nitrogen per swine class in treatment stage 1 MMS (kg N)";"FracGASMmT1","fraction of N volatilised from MMS treatment at stage 1";"EF_mT1","nitrous oxide emission factor for MMS treatment at stage 1"}, _xlpm.r, _xlpm.c))))</definedName>
    <definedName name="MMS_Swine_N2ODirect_Equations.VEERG_4_5_1_3__7_NitrogenTransferredToStage2MMS_LatexEquation">_xlfn.LAMBDA("NT_{jm,T=2}=MN_{jm,T=1}\times(1-FracGASM_{m,T=1}-EF_{m,T=1})")</definedName>
    <definedName name="MMS_Swine_N2ODirect_Equations.VEERG_4_5_1_3__7_NitrogenTransferredToStage2MMS_NIRReference">_xlfn.LAMBDA("")</definedName>
    <definedName name="MMS_Swine_N2ODirect_Equations.VEERG_4_5_1_3__7_NitrogenTransferredToStage2MMS_Source">_xlfn.LAMBDA("VEERG 2026: 4.5.1.3, Equation (7)")</definedName>
    <definedName name="MMS_Swine_N2ODirect_Equations.VEERG_4_5_1_3__7_NitrogenTransferredToStage2MMS_Title">_xlfn.LAMBDA("Nitrogen transferred to treatment stage 2 MMS")</definedName>
    <definedName name="MMS_Swine_N2ODirect_Equations.VEERG_4_5_1_3__7_NitrogenTransferredToStage2MMS_Unit">_xlfn.LAMBDA("kg N")</definedName>
    <definedName name="MMS_Swine_N2ODirect_Equations.VEERG_4_5_1_3__7_NitrogenTransferredToStage2MMS_Variable">_xlfn.LAMBDA("NT_jmT2")</definedName>
    <definedName name="Range_LivestockStartingValues">#REF!</definedName>
    <definedName name="SourceData_Swine.SourceData_Swine_AverageLiveweight_Data">_xlfn.LAMBDA(_xlfn.MAKEARRAY(6, 2, _xlfn.LAMBDA(_xlpm.r,_xlpm.c, INDEX({"Livestock Type j","Average Liveweight (kg)";"Sows",188;"Boars",206;"Gilts",125;"Slaughter pigs",39;"Slaughter pigs at turnoff",97}, _xlpm.r, _xlpm.c))))</definedName>
    <definedName name="SourceData_Swine.SourceData_Swine_AverageLiveweight_Source">_xlfn.LAMBDA("VEERG 2026: Table A.1.6.5: Swine - Average liveweight (inventory defaults) (kg) (Wco)")</definedName>
    <definedName name="SourceData_Swine.SourceData_Swine_AverageLiveweight_Title">_xlfn.LAMBDA("Swine - Average liveweight (inventory defaults) (kg) (Wco)")</definedName>
    <definedName name="SourceData_Swine.SourceData_Swine_AverageLiveweight_Unit">_xlfn.LAMBDA("kg")</definedName>
    <definedName name="SourceData_Swine.SourceData_Swine_AverageLiveweight_Variation">_xlfn.LAMBDA(".")</definedName>
    <definedName name="SourceData_Swine.SourceData_Swine_FeedIntake_Data">_xlfn.LAMBDA(_xlfn.MAKEARRAY(5, 2, _xlfn.LAMBDA(_xlpm.r,_xlpm.c, INDEX({"Class","Ij";"Boars",2.62;"Sows",2.3;"Gilts",2.5;"Others",1.71}, _xlpm.r, _xlpm.c))))</definedName>
    <definedName name="SourceData_Swine.SourceData_Swine_FeedIntake_Source">_xlfn.LAMBDA("VEERG 2026: Table A.1.6.1: Swine - Intake and manure characteristics derived from PigBal")</definedName>
    <definedName name="SourceData_Swine.SourceData_Swine_FeedIntake_Title">_xlfn.LAMBDA("Swine - Feed intake - ingested as fed  (Ij) - 2020 to 2024")</definedName>
    <definedName name="SourceData_Swine.SourceData_Swine_FeedIntake_Unit">_xlfn.LAMBDA("kg/head/day")</definedName>
    <definedName name="SourceData_Swine.SourceData_Swine_FeedIntake_Variation">_xlfn.LAMBDA("VARIATION ON SOURCE DATA: Only uses data for 2020-2024. Use 'Slaughter pigs' data for 'Other j=4' class.")</definedName>
    <definedName name="SourceData_Swine.SourceData_Swine_FracLEACH_DrylotMMS_Data">_xlfn.LAMBDA(0.02)</definedName>
    <definedName name="SourceData_Swine.SourceData_Swine_FracLEACH_DrylotMMS_Source">_xlfn.LAMBDA("VEERG 2026: 4.5.2.3 CONSTANT")</definedName>
    <definedName name="SourceData_Swine.SourceData_Swine_FracLEACH_DrylotMMS_Title">_xlfn.LAMBDA("Fraction of nitrogen lost through leaching and runoff for drylot MMS")</definedName>
    <definedName name="SourceData_Swine.SourceData_Swine_FracLEACH_DrylotMMS_Unit">_xlfn.LAMBDA("fraction")</definedName>
    <definedName name="SourceData_Swine.SourceData_Swine_FracLEACH_DrylotMMS_Variable">_xlfn.LAMBDA("FracLEACH_MS")</definedName>
    <definedName name="SourceData_Swine.SourceData_Swine_FracLEACH_DrylotMMS_Variation">_xlfn.LAMBDA("VARIATION ON SOURCE: Text refers to 'solid storage' MMS, but equation refers to 'drylot' MMS.")</definedName>
    <definedName name="SourceData_Swine.SourceData_Swine_FractionNVolatilised_Data">_xlfn.LAMBDA(_xlfn.MAKEARRAY(7, 3, _xlfn.LAMBDA(_xlpm.r,_xlpm.c, INDEX({"MMSm","FracGASMmT","NIR reference";"Outdoor (Dry lot)",0.3,"Drylot (feed pad)";"Deep litter",0.125,"Deep litter";"Stockpile (Solid storage)",0.2,"Solid storage";"Effluent pond (Uncovered anaerobic lagoon)",0.55,"Anaerobic lagoon";"Anaerobic digester / Covered lagoon",0,"Digester / covered lagoons";"Short HRT tank storage &lt; 1 month (pit storage)",0.25,"Pit storage"}, _xlpm.r, _xlpm.c))))</definedName>
    <definedName name="SourceData_Swine.SourceData_Swine_FractionNVolatilised_Source">_xlfn.LAMBDA("VEERG 2026: Table A.1.6.2: Swine - Fraction of N volatilised by MMS ((kg NH3-N + NOx-N)/kgN) (FracGASMmT)")</definedName>
    <definedName name="SourceData_Swine.SourceData_Swine_FractionNVolatilised_Title">_xlfn.LAMBDA("Swine - Fraction of nitrogen volatilised (FracGASMmT)")</definedName>
    <definedName name="SourceData_Swine.SourceData_Swine_FractionNVolatilised_Unit">_xlfn.LAMBDA("(kg NH3-N + NOx-N)/kgN")</definedName>
    <definedName name="SourceData_Swine.SourceData_Swine_FractionNVolatilised_Variation">_xlfn.LAMBDA("VARIATION ON SOURCE DATA: Added 'NIR reference column to aid lookup.")</definedName>
    <definedName name="SourceData_Swine.SourceData_Swine_MethaneVolatileSolidsEmissionsPotential_Data">_xlfn.LAMBDA(0.19)</definedName>
    <definedName name="SourceData_Swine.SourceData_Swine_MethaneVolatileSolidsEmissionsPotential_Source">_xlfn.LAMBDA("IPCC (2019), Chapter 10 [4]")</definedName>
    <definedName name="SourceData_Swine.SourceData_Swine_MethaneVolatileSolidsEmissionsPotential_Title">_xlfn.LAMBDA("Emissions potential of methane per kilogram of volatile solids")</definedName>
    <definedName name="SourceData_Swine.SourceData_Swine_MethaneVolatileSolidsEmissionsPotential_Unit">_xlfn.LAMBDA("m3 CH4 / kg VS")</definedName>
    <definedName name="SourceData_Swine.SourceData_Swine_MethaneVolatileSolidsEmissionsPotential_Variable">_xlfn.LAMBDA("B0")</definedName>
    <definedName name="SourceData_Swine.SourceData_Swine_MethaneVolatileSolidsEmissionsPotential_Variation">_xlfn.LAMBDA("")</definedName>
    <definedName name="SourceData_Swine.SourceData_Swine_MMS_MCFs_Data">_xlfn.LAMBDA(_xlfn.MAKEARRAY(8, 10, _xlfn.LAMBDA(_xlpm.r,_xlpm.c, INDEX({"MMS","NSW","ACT","QLD","NT","SA","TAS","VIC","WA","NIR definition";"Outdoor (Dry lot)",0.01,0.01,0.03,0.03,0.01,0.01,0.01,0.01,"Drylot (feed pad)";"Deep litter",0.04,0.04,0.04,0.04,0.04,0.04,0.04,0.04,"Deep litter";"Stockpile (Solid storage)",0.02,0.02,0.02,0.02,0.02,0.02,0.02,0.02,"Solid storage";"Effluent pond (Uncovered anaerobic lagoon)",0.75,0.75,0.78,0.78,0.75,0.7,0.74,0.76,"Anaerobic lagoon";"Anaerobic digester / Covered lagoon",0.1,0.1,0.1,0.1,0.1,0.1,0.1,0.1,"Digester / covered lagoons";"Short HRT tank storage &lt; 1 month (pit storage)",0.03,0.03,0.03,0.03,0.03,0.03,0.03,0.03,"Pit storage";"Direct Application to soil",0,0,0,0,0,0,0,0,"Direct application"}, _xlpm.r, _xlpm.c))))</definedName>
    <definedName name="SourceData_Swine.SourceData_Swine_MMS_MCFs_Source">_xlfn.LAMBDA("VEERG 2026: Table A.1.6.4: Swine - MCFs (MCFim)")</definedName>
    <definedName name="SourceData_Swine.SourceData_Swine_MMS_MCFs_Title">_xlfn.LAMBDA("Methane conversion factor for temperature zone and manure management system.")</definedName>
    <definedName name="SourceData_Swine.SourceData_Swine_MMS_MCFs_Unit">_xlfn.LAMBDA("")</definedName>
    <definedName name="SourceData_Swine.SourceData_Swine_MMS_MCFs_Variation">_xlfn.LAMBDA("VARIATION ON SOURCE DATA: Added columns for ACT, split QLD and NT. Added extra column with MMS names that match NIR definitions")</definedName>
    <definedName name="SourceData_Swine.SourceData_Swine_NitrogenInWaste_Data">_xlfn.LAMBDA(_xlfn.MAKEARRAY(5, 4, _xlfn.LAMBDA(_xlpm.r,_xlpm.c, INDEX({"Class","NWj","NWj daily","Class name";"Boars",0.046,0.046,"Boars";"Sows",0.049,0.049,"Sows";"Gilts",0.046,0.046,"Gilts";"Others (kg/head/year)",11.4,0.0312,"Others"}, _xlpm.r, _xlpm.c))))</definedName>
    <definedName name="SourceData_Swine.SourceData_Swine_NitrogenInWaste_Source">_xlfn.LAMBDA("VEERG 2026: Table A.1.6.1: Swine - Intake and manure characteristics derived from PigBal")</definedName>
    <definedName name="SourceData_Swine.SourceData_Swine_NitrogenInWaste_Title">_xlfn.LAMBDA("Swine - Nitrogen in waste (NWj) - 2020 to 2024")</definedName>
    <definedName name="SourceData_Swine.SourceData_Swine_NitrogenInWaste_Unit">_xlfn.LAMBDA("kg/head/day")</definedName>
    <definedName name="SourceData_Swine.SourceData_Swine_NitrogenInWaste_Variation">_xlfn.LAMBDA("VARIATION ON SOURCE DATA: Only uses data for 2020-2024. Use 'Slaughter pigs' data for 'Other j=4' class. Added 'NWj daily' column to provide daily value for Others class. Added 'Class name' column to aid lookup.")</definedName>
    <definedName name="SourceData_Swine.SourceData_Swine_NitrousOxideEFs_Data">_xlfn.LAMBDA(_xlfn.MAKEARRAY(7, 3, _xlfn.LAMBDA(_xlpm.r,_xlpm.c, INDEX({"MMSm","EFmT","NIR reference";"Outdoor (Dry lot)",0.02,"Drylot (feed pad)";"Deep litter",0.01,"Deep litter";"Stockpile (Solid storage)",0.005,"Solid storage";"Effluent pond (Uncovered anaerobic lagoon)",0,"Anaerobic lagoon";"Anaerobic digestor / Covered lagoon",0,"Digester / covered lagoons";"Short HRT tank storage &lt; 1 month (pit storage)",0.002,"Pit storage"}, _xlpm.r, _xlpm.c))))</definedName>
    <definedName name="SourceData_Swine.SourceData_Swine_NitrousOxideEFs_Source">_xlfn.LAMBDA("VEERG 2026: Table A.1.6.3: Swine - Nitrous oxide EFs by MMS (kgN2O-N/kgN) (EFmT)")</definedName>
    <definedName name="SourceData_Swine.SourceData_Swine_NitrousOxideEFs_Title">_xlfn.LAMBDA("Swine - Nitrous oxide EFs by MMS (EFmT)")</definedName>
    <definedName name="SourceData_Swine.SourceData_Swine_NitrousOxideEFs_Unit">_xlfn.LAMBDA("kgN2O - N / kgN")</definedName>
    <definedName name="SourceData_Swine.SourceData_Swine_NitrousOxideEFs_Variation">_xlfn.LAMBDA("VARIATION ON SOURCE DATA: Added 'NIR reference column to aid lookup.")</definedName>
    <definedName name="SourceData_Swine.SourceData_Swine_ProductionSystems_Data">_xlfn.LAMBDA(_xlfn.MAKEARRAY(4, 1, _xlfn.LAMBDA(_xlpm.r,_xlpm.c, INDEX({"Production system";"Conventional housing";"Deep litter housing";"Outdoor/free range"}, _xlpm.r, _xlpm.c))))</definedName>
    <definedName name="SourceData_Swine.SourceData_Swine_ProductionSystems_Source">_xlfn.LAMBDA("VEERG 2026: 4.5 Swine Figure 4.8")</definedName>
    <definedName name="SourceData_Swine.SourceData_Swine_ProductionSystems_Title">_xlfn.LAMBDA("Swine production systems")</definedName>
    <definedName name="SourceData_Swine.SourceData_Swine_ProductionSystems_Unit">_xlfn.LAMBDA("")</definedName>
    <definedName name="SourceData_Swine.SourceData_Swine_ProductionSystems_Variation">_xlfn.LAMBDA("")</definedName>
    <definedName name="SourceData_Swine.SourceData_Swine_VolatileSolids_Data">_xlfn.LAMBDA(_xlfn.MAKEARRAY(5, 2, _xlfn.LAMBDA(_xlpm.r,_xlpm.c, INDEX({"Class","VSj";"Boars",0.4;"Sows",0.46;"Gilts",0.55;"Others",0.39}, _xlpm.r, _xlpm.c))))</definedName>
    <definedName name="SourceData_Swine.SourceData_Swine_VolatileSolids_Source">_xlfn.LAMBDA("VEERG 2026: Table A.1.6.1: Swine - Intake and manure characteristics derived from PigBal")</definedName>
    <definedName name="SourceData_Swine.SourceData_Swine_VolatileSolids_Title">_xlfn.LAMBDA("Swine - Volatile solids (VSj) - 2020 to 2024")</definedName>
    <definedName name="SourceData_Swine.SourceData_Swine_VolatileSolids_Unit">_xlfn.LAMBDA("kg/head/day")</definedName>
    <definedName name="SourceData_Swine.SourceData_Swine_VolatileSolids_Variation">_xlfn.LAMBDA("VARIATION ON SOURCE DATA: Only uses data for 2020-2024. Use 'Slaughter pigs' data for 'Other j=4' class.")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3" i="70" l="1"/>
  <c r="D76" i="70"/>
  <c r="D69" i="70"/>
  <c r="D62" i="70"/>
  <c r="D54" i="70"/>
  <c r="D47" i="70"/>
  <c r="A21" i="98"/>
  <c r="A20" i="98"/>
  <c r="A19" i="98"/>
  <c r="A18" i="98"/>
  <c r="A15" i="98"/>
  <c r="A14" i="98"/>
  <c r="A13" i="98"/>
  <c r="A12" i="98"/>
  <c r="A11" i="98"/>
  <c r="A8" i="98"/>
  <c r="A7" i="98"/>
  <c r="A4" i="98"/>
  <c r="A3" i="98"/>
  <c r="A21" i="97"/>
  <c r="A20" i="97"/>
  <c r="A19" i="97"/>
  <c r="A18" i="97"/>
  <c r="A15" i="97"/>
  <c r="A14" i="97"/>
  <c r="A13" i="97"/>
  <c r="A12" i="97"/>
  <c r="A11" i="97"/>
  <c r="A8" i="97"/>
  <c r="A7" i="97"/>
  <c r="A4" i="97"/>
  <c r="A3" i="97"/>
  <c r="A21" i="76"/>
  <c r="A20" i="76"/>
  <c r="A19" i="76"/>
  <c r="A18" i="76"/>
  <c r="A15" i="76"/>
  <c r="A14" i="76"/>
  <c r="A13" i="76"/>
  <c r="A12" i="76"/>
  <c r="A11" i="76"/>
  <c r="A8" i="76"/>
  <c r="A7" i="76"/>
  <c r="A4" i="76"/>
  <c r="A3" i="76"/>
  <c r="A21" i="69"/>
  <c r="A20" i="69"/>
  <c r="A19" i="69"/>
  <c r="A18" i="69"/>
  <c r="A15" i="69"/>
  <c r="A14" i="69"/>
  <c r="A13" i="69"/>
  <c r="A12" i="69"/>
  <c r="A11" i="69"/>
  <c r="A8" i="69"/>
  <c r="A7" i="69"/>
  <c r="A4" i="69"/>
  <c r="A3" i="69"/>
  <c r="A21" i="70"/>
  <c r="A20" i="70"/>
  <c r="A19" i="70"/>
  <c r="A18" i="70"/>
  <c r="A15" i="70"/>
  <c r="A14" i="70"/>
  <c r="A13" i="70"/>
  <c r="A12" i="70"/>
  <c r="A11" i="70"/>
  <c r="A8" i="70"/>
  <c r="A7" i="70"/>
  <c r="A4" i="70"/>
  <c r="A3" i="70"/>
  <c r="A21" i="15"/>
  <c r="A20" i="15"/>
  <c r="A19" i="15"/>
  <c r="A18" i="15"/>
  <c r="A15" i="15"/>
  <c r="A14" i="15"/>
  <c r="A13" i="15"/>
  <c r="A12" i="15"/>
  <c r="A11" i="15"/>
  <c r="A8" i="15"/>
  <c r="A7" i="15"/>
  <c r="A4" i="15"/>
  <c r="A3" i="15"/>
  <c r="A21" i="13"/>
  <c r="A20" i="13"/>
  <c r="A19" i="13"/>
  <c r="A18" i="13"/>
  <c r="A15" i="13"/>
  <c r="A14" i="13"/>
  <c r="A13" i="13"/>
  <c r="A12" i="13"/>
  <c r="A11" i="13"/>
  <c r="A8" i="13"/>
  <c r="A7" i="13"/>
  <c r="A4" i="13"/>
  <c r="A3" i="13"/>
  <c r="A21" i="43"/>
  <c r="A20" i="43"/>
  <c r="A19" i="43"/>
  <c r="A18" i="43"/>
  <c r="A15" i="43"/>
  <c r="A14" i="43"/>
  <c r="A13" i="43"/>
  <c r="A12" i="43"/>
  <c r="A11" i="43"/>
  <c r="A8" i="43"/>
  <c r="A7" i="43"/>
  <c r="A4" i="43"/>
  <c r="A3" i="43"/>
  <c r="A21" i="79"/>
  <c r="A20" i="79"/>
  <c r="A19" i="79"/>
  <c r="A18" i="79"/>
  <c r="A15" i="79"/>
  <c r="A14" i="79"/>
  <c r="A13" i="79"/>
  <c r="A12" i="79"/>
  <c r="A11" i="79"/>
  <c r="A8" i="79"/>
  <c r="A7" i="79"/>
  <c r="A4" i="79"/>
  <c r="A3" i="79"/>
  <c r="A14" i="105"/>
  <c r="A15" i="105"/>
  <c r="A21" i="105"/>
  <c r="A20" i="105"/>
  <c r="A19" i="105"/>
  <c r="A18" i="105"/>
  <c r="A13" i="105"/>
  <c r="A12" i="105"/>
  <c r="A11" i="105"/>
  <c r="A8" i="105"/>
  <c r="A7" i="105"/>
  <c r="A4" i="105"/>
  <c r="A3" i="105"/>
  <c r="I7" i="13"/>
  <c r="H7" i="13"/>
  <c r="F9" i="13"/>
  <c r="E9" i="13"/>
  <c r="F8" i="13"/>
  <c r="E8" i="13"/>
  <c r="F7" i="13"/>
  <c r="E7" i="13"/>
  <c r="N177" i="69"/>
  <c r="D177" i="69"/>
  <c r="D141" i="69"/>
  <c r="F19" i="13"/>
  <c r="E19" i="13"/>
  <c r="F18" i="13"/>
  <c r="E18" i="13"/>
  <c r="F17" i="13"/>
  <c r="E17" i="13"/>
  <c r="P235" i="105"/>
  <c r="T233" i="105"/>
  <c r="S233" i="105" a="1"/>
  <c r="S233" i="105" s="1"/>
  <c r="R233" i="105" a="1"/>
  <c r="R233" i="105" s="1"/>
  <c r="Q233" i="105" a="1"/>
  <c r="Q233" i="105" s="1"/>
  <c r="P233" i="105" a="1"/>
  <c r="P233" i="105" s="1"/>
  <c r="O233" i="105"/>
  <c r="T232" i="105"/>
  <c r="S232" i="105"/>
  <c r="S232" i="105" a="1"/>
  <c r="R232" i="105" a="1"/>
  <c r="R232" i="105" s="1"/>
  <c r="Q232" i="105" a="1"/>
  <c r="Q232" i="105" s="1"/>
  <c r="P232" i="105" a="1"/>
  <c r="P232" i="105" s="1"/>
  <c r="O232" i="105"/>
  <c r="T231" i="105"/>
  <c r="S231" i="105" a="1"/>
  <c r="S231" i="105" s="1"/>
  <c r="R231" i="105" a="1"/>
  <c r="R231" i="105" s="1"/>
  <c r="Q231" i="105"/>
  <c r="Q231" i="105" a="1"/>
  <c r="P231" i="105" a="1"/>
  <c r="P231" i="105" s="1"/>
  <c r="O231" i="105"/>
  <c r="T230" i="105"/>
  <c r="S230" i="105" a="1"/>
  <c r="S230" i="105" s="1"/>
  <c r="R230" i="105" a="1"/>
  <c r="R230" i="105" s="1"/>
  <c r="Q230" i="105" a="1"/>
  <c r="Q230" i="105" s="1"/>
  <c r="P230" i="105" a="1"/>
  <c r="P230" i="105" s="1"/>
  <c r="O230" i="105"/>
  <c r="N230" i="105"/>
  <c r="T229" i="105"/>
  <c r="S229" i="105"/>
  <c r="S229" i="105" a="1"/>
  <c r="R229" i="105"/>
  <c r="R229" i="105" a="1"/>
  <c r="Q229" i="105" a="1"/>
  <c r="Q229" i="105" s="1"/>
  <c r="P229" i="105"/>
  <c r="P229" i="105" a="1"/>
  <c r="O229" i="105"/>
  <c r="T228" i="105"/>
  <c r="S228" i="105" a="1"/>
  <c r="S228" i="105" s="1"/>
  <c r="R228" i="105"/>
  <c r="R228" i="105" a="1"/>
  <c r="Q228" i="105"/>
  <c r="Q228" i="105" a="1"/>
  <c r="P228" i="105"/>
  <c r="P228" i="105" a="1"/>
  <c r="O228" i="105"/>
  <c r="T227" i="105"/>
  <c r="S227" i="105"/>
  <c r="S227" i="105" a="1"/>
  <c r="R227" i="105" a="1"/>
  <c r="R227" i="105" s="1"/>
  <c r="Q227" i="105" a="1"/>
  <c r="Q227" i="105" s="1"/>
  <c r="P227" i="105"/>
  <c r="P227" i="105" a="1"/>
  <c r="O227" i="105"/>
  <c r="N227" i="105"/>
  <c r="T226" i="105"/>
  <c r="S226" i="105" a="1"/>
  <c r="S226" i="105" s="1"/>
  <c r="R226" i="105" a="1"/>
  <c r="R226" i="105" s="1"/>
  <c r="Q226" i="105" a="1"/>
  <c r="Q226" i="105" s="1"/>
  <c r="P226" i="105" a="1"/>
  <c r="P226" i="105" s="1"/>
  <c r="O226" i="105"/>
  <c r="T225" i="105"/>
  <c r="S225" i="105" a="1"/>
  <c r="S225" i="105" s="1"/>
  <c r="R225" i="105" a="1"/>
  <c r="R225" i="105" s="1"/>
  <c r="Q225" i="105" a="1"/>
  <c r="Q225" i="105" s="1"/>
  <c r="P225" i="105" a="1"/>
  <c r="P225" i="105" s="1"/>
  <c r="O225" i="105"/>
  <c r="T224" i="105"/>
  <c r="S224" i="105" a="1"/>
  <c r="S224" i="105" s="1"/>
  <c r="R224" i="105"/>
  <c r="R224" i="105" a="1"/>
  <c r="Q224" i="105" a="1"/>
  <c r="Q224" i="105" s="1"/>
  <c r="P224" i="105" a="1"/>
  <c r="P224" i="105" s="1"/>
  <c r="O224" i="105"/>
  <c r="N224" i="105"/>
  <c r="T223" i="105"/>
  <c r="S223" i="105"/>
  <c r="S223" i="105" a="1"/>
  <c r="R223" i="105" a="1"/>
  <c r="R223" i="105" s="1"/>
  <c r="Q223" i="105" a="1"/>
  <c r="Q223" i="105" s="1"/>
  <c r="P223" i="105"/>
  <c r="P223" i="105" a="1"/>
  <c r="O223" i="105"/>
  <c r="T222" i="105"/>
  <c r="S222" i="105"/>
  <c r="S222" i="105" a="1"/>
  <c r="R222" i="105" a="1"/>
  <c r="R222" i="105" s="1"/>
  <c r="Q222" i="105"/>
  <c r="Q222" i="105" a="1"/>
  <c r="P222" i="105" a="1"/>
  <c r="P222" i="105" s="1"/>
  <c r="O222" i="105"/>
  <c r="T221" i="105"/>
  <c r="S221" i="105"/>
  <c r="S221" i="105" a="1"/>
  <c r="R221" i="105"/>
  <c r="R221" i="105" a="1"/>
  <c r="Q221" i="105"/>
  <c r="Q221" i="105" a="1"/>
  <c r="P221" i="105" a="1"/>
  <c r="P221" i="105" s="1"/>
  <c r="O221" i="105"/>
  <c r="N221" i="105"/>
  <c r="T220" i="105"/>
  <c r="S220" i="105" a="1"/>
  <c r="S220" i="105" s="1"/>
  <c r="R220" i="105"/>
  <c r="R220" i="105" a="1"/>
  <c r="Q220" i="105" a="1"/>
  <c r="Q220" i="105" s="1"/>
  <c r="P220" i="105" a="1"/>
  <c r="P220" i="105" s="1"/>
  <c r="O220" i="105"/>
  <c r="T219" i="105"/>
  <c r="S219" i="105" a="1"/>
  <c r="S219" i="105" s="1"/>
  <c r="R219" i="105" a="1"/>
  <c r="R219" i="105" s="1"/>
  <c r="Q219" i="105" a="1"/>
  <c r="Q219" i="105" s="1"/>
  <c r="P219" i="105"/>
  <c r="P219" i="105" a="1"/>
  <c r="O219" i="105"/>
  <c r="T218" i="105"/>
  <c r="S218" i="105" a="1"/>
  <c r="S218" i="105" s="1"/>
  <c r="R218" i="105" a="1"/>
  <c r="R218" i="105" s="1"/>
  <c r="Q218" i="105" a="1"/>
  <c r="Q218" i="105" s="1"/>
  <c r="P218" i="105" a="1"/>
  <c r="P218" i="105" s="1"/>
  <c r="O218" i="105"/>
  <c r="T217" i="105"/>
  <c r="S217" i="105"/>
  <c r="S217" i="105" a="1"/>
  <c r="R217" i="105" a="1"/>
  <c r="R217" i="105" s="1"/>
  <c r="Q217" i="105" a="1"/>
  <c r="Q217" i="105" s="1"/>
  <c r="P217" i="105" a="1"/>
  <c r="P217" i="105" s="1"/>
  <c r="O217" i="105"/>
  <c r="N217" i="105"/>
  <c r="T216" i="105"/>
  <c r="S216" i="105" a="1"/>
  <c r="S216" i="105" s="1"/>
  <c r="R216" i="105" a="1"/>
  <c r="R216" i="105" s="1"/>
  <c r="Q216" i="105"/>
  <c r="Q216" i="105" a="1"/>
  <c r="P216" i="105"/>
  <c r="P216" i="105" a="1"/>
  <c r="O216" i="105"/>
  <c r="T215" i="105"/>
  <c r="S215" i="105" a="1"/>
  <c r="S215" i="105" s="1"/>
  <c r="R215" i="105"/>
  <c r="R215" i="105" a="1"/>
  <c r="Q215" i="105" a="1"/>
  <c r="Q215" i="105" s="1"/>
  <c r="P215" i="105" a="1"/>
  <c r="P215" i="105" s="1"/>
  <c r="O215" i="105"/>
  <c r="T214" i="105"/>
  <c r="S214" i="105"/>
  <c r="S214" i="105" a="1"/>
  <c r="R214" i="105"/>
  <c r="R214" i="105" a="1"/>
  <c r="Q214" i="105" a="1"/>
  <c r="Q214" i="105" s="1"/>
  <c r="P214" i="105"/>
  <c r="P214" i="105" a="1"/>
  <c r="O214" i="105"/>
  <c r="N214" i="105"/>
  <c r="I233" i="105" a="1"/>
  <c r="I233" i="105" s="1"/>
  <c r="H233" i="105" a="1"/>
  <c r="H233" i="105" s="1"/>
  <c r="G233" i="105" a="1"/>
  <c r="G233" i="105" s="1"/>
  <c r="F233" i="105" a="1"/>
  <c r="F233" i="105" s="1"/>
  <c r="I232" i="105" a="1"/>
  <c r="I232" i="105" s="1"/>
  <c r="H232" i="105" a="1"/>
  <c r="H232" i="105" s="1"/>
  <c r="G232" i="105" a="1"/>
  <c r="G232" i="105" s="1"/>
  <c r="F232" i="105" a="1"/>
  <c r="F232" i="105" s="1"/>
  <c r="I231" i="105" a="1"/>
  <c r="I231" i="105" s="1"/>
  <c r="H231" i="105" a="1"/>
  <c r="H231" i="105" s="1"/>
  <c r="G231" i="105" a="1"/>
  <c r="G231" i="105" s="1"/>
  <c r="F231" i="105" a="1"/>
  <c r="F231" i="105" s="1"/>
  <c r="I230" i="105" a="1"/>
  <c r="I230" i="105" s="1"/>
  <c r="H230" i="105" a="1"/>
  <c r="H230" i="105" s="1"/>
  <c r="G230" i="105" a="1"/>
  <c r="G230" i="105" s="1"/>
  <c r="F230" i="105" a="1"/>
  <c r="F230" i="105" s="1"/>
  <c r="I229" i="105" a="1"/>
  <c r="I229" i="105" s="1"/>
  <c r="H229" i="105" a="1"/>
  <c r="H229" i="105" s="1"/>
  <c r="G229" i="105" a="1"/>
  <c r="G229" i="105" s="1"/>
  <c r="F229" i="105" a="1"/>
  <c r="F229" i="105" s="1"/>
  <c r="I228" i="105" a="1"/>
  <c r="I228" i="105" s="1"/>
  <c r="H228" i="105" a="1"/>
  <c r="H228" i="105" s="1"/>
  <c r="G228" i="105" a="1"/>
  <c r="G228" i="105" s="1"/>
  <c r="F228" i="105" a="1"/>
  <c r="F228" i="105" s="1"/>
  <c r="I227" i="105" a="1"/>
  <c r="I227" i="105" s="1"/>
  <c r="H227" i="105" a="1"/>
  <c r="H227" i="105" s="1"/>
  <c r="G227" i="105" a="1"/>
  <c r="G227" i="105" s="1"/>
  <c r="F227" i="105" a="1"/>
  <c r="F227" i="105" s="1"/>
  <c r="I226" i="105" a="1"/>
  <c r="I226" i="105" s="1"/>
  <c r="H226" i="105" a="1"/>
  <c r="H226" i="105" s="1"/>
  <c r="G226" i="105" a="1"/>
  <c r="G226" i="105" s="1"/>
  <c r="F226" i="105" a="1"/>
  <c r="F226" i="105" s="1"/>
  <c r="I225" i="105" a="1"/>
  <c r="I225" i="105" s="1"/>
  <c r="H225" i="105" a="1"/>
  <c r="H225" i="105" s="1"/>
  <c r="G225" i="105" a="1"/>
  <c r="G225" i="105" s="1"/>
  <c r="F225" i="105" a="1"/>
  <c r="F225" i="105" s="1"/>
  <c r="I224" i="105" a="1"/>
  <c r="I224" i="105" s="1"/>
  <c r="H224" i="105" a="1"/>
  <c r="H224" i="105" s="1"/>
  <c r="G224" i="105" a="1"/>
  <c r="G224" i="105" s="1"/>
  <c r="F224" i="105" a="1"/>
  <c r="F224" i="105" s="1"/>
  <c r="I223" i="105" a="1"/>
  <c r="I223" i="105" s="1"/>
  <c r="H223" i="105" a="1"/>
  <c r="H223" i="105" s="1"/>
  <c r="G223" i="105" a="1"/>
  <c r="G223" i="105" s="1"/>
  <c r="F223" i="105" a="1"/>
  <c r="F223" i="105" s="1"/>
  <c r="I222" i="105" a="1"/>
  <c r="I222" i="105" s="1"/>
  <c r="H222" i="105" a="1"/>
  <c r="H222" i="105" s="1"/>
  <c r="G222" i="105" a="1"/>
  <c r="G222" i="105" s="1"/>
  <c r="F222" i="105" a="1"/>
  <c r="F222" i="105" s="1"/>
  <c r="I221" i="105" a="1"/>
  <c r="I221" i="105" s="1"/>
  <c r="H221" i="105" a="1"/>
  <c r="H221" i="105" s="1"/>
  <c r="G221" i="105" a="1"/>
  <c r="G221" i="105" s="1"/>
  <c r="F221" i="105" a="1"/>
  <c r="F221" i="105" s="1"/>
  <c r="I220" i="105" a="1"/>
  <c r="I220" i="105" s="1"/>
  <c r="H220" i="105" a="1"/>
  <c r="H220" i="105" s="1"/>
  <c r="G220" i="105" a="1"/>
  <c r="G220" i="105" s="1"/>
  <c r="F220" i="105" a="1"/>
  <c r="F220" i="105" s="1"/>
  <c r="I219" i="105" a="1"/>
  <c r="I219" i="105" s="1"/>
  <c r="H219" i="105" a="1"/>
  <c r="H219" i="105" s="1"/>
  <c r="G219" i="105" a="1"/>
  <c r="G219" i="105" s="1"/>
  <c r="F219" i="105" a="1"/>
  <c r="F219" i="105" s="1"/>
  <c r="I218" i="105" a="1"/>
  <c r="I218" i="105" s="1"/>
  <c r="H218" i="105" a="1"/>
  <c r="H218" i="105" s="1"/>
  <c r="G218" i="105" a="1"/>
  <c r="G218" i="105" s="1"/>
  <c r="F218" i="105" a="1"/>
  <c r="F218" i="105" s="1"/>
  <c r="I217" i="105" a="1"/>
  <c r="I217" i="105" s="1"/>
  <c r="H217" i="105" a="1"/>
  <c r="H217" i="105" s="1"/>
  <c r="G217" i="105" a="1"/>
  <c r="G217" i="105" s="1"/>
  <c r="F217" i="105" a="1"/>
  <c r="F217" i="105" s="1"/>
  <c r="I216" i="105" a="1"/>
  <c r="I216" i="105" s="1"/>
  <c r="H216" i="105" a="1"/>
  <c r="H216" i="105" s="1"/>
  <c r="G216" i="105" a="1"/>
  <c r="G216" i="105" s="1"/>
  <c r="F216" i="105" a="1"/>
  <c r="F216" i="105" s="1"/>
  <c r="I215" i="105" a="1"/>
  <c r="I215" i="105" s="1"/>
  <c r="H215" i="105" a="1"/>
  <c r="H215" i="105" s="1"/>
  <c r="G215" i="105" a="1"/>
  <c r="G215" i="105" s="1"/>
  <c r="F215" i="105" a="1"/>
  <c r="F215" i="105" s="1"/>
  <c r="I214" i="105" a="1"/>
  <c r="I214" i="105" s="1"/>
  <c r="H214" i="105" a="1"/>
  <c r="H214" i="105" s="1"/>
  <c r="G214" i="105" a="1"/>
  <c r="G214" i="105" s="1"/>
  <c r="F214" i="105" a="1"/>
  <c r="F214" i="105" s="1"/>
  <c r="F235" i="105"/>
  <c r="J233" i="105"/>
  <c r="E233" i="105"/>
  <c r="J232" i="105"/>
  <c r="E232" i="105"/>
  <c r="J231" i="105"/>
  <c r="E231" i="105"/>
  <c r="J230" i="105"/>
  <c r="E230" i="105"/>
  <c r="D230" i="105"/>
  <c r="J229" i="105"/>
  <c r="E229" i="105"/>
  <c r="J228" i="105"/>
  <c r="E228" i="105"/>
  <c r="J227" i="105"/>
  <c r="E227" i="105"/>
  <c r="D227" i="105"/>
  <c r="J226" i="105"/>
  <c r="E226" i="105"/>
  <c r="J225" i="105"/>
  <c r="E225" i="105"/>
  <c r="J224" i="105"/>
  <c r="E224" i="105"/>
  <c r="D224" i="105"/>
  <c r="J223" i="105"/>
  <c r="E223" i="105"/>
  <c r="J222" i="105"/>
  <c r="E222" i="105"/>
  <c r="J221" i="105"/>
  <c r="E221" i="105"/>
  <c r="D221" i="105"/>
  <c r="J220" i="105"/>
  <c r="E220" i="105"/>
  <c r="J219" i="105"/>
  <c r="E219" i="105"/>
  <c r="J218" i="105"/>
  <c r="E218" i="105"/>
  <c r="J217" i="105"/>
  <c r="E217" i="105"/>
  <c r="D217" i="105"/>
  <c r="J216" i="105"/>
  <c r="E216" i="105"/>
  <c r="J215" i="105"/>
  <c r="E215" i="105"/>
  <c r="J214" i="105"/>
  <c r="E214" i="105"/>
  <c r="D214" i="105"/>
  <c r="S176" i="105" a="1"/>
  <c r="S176" i="105" s="1"/>
  <c r="R176" i="105" a="1"/>
  <c r="R176" i="105" s="1"/>
  <c r="Q176" i="105" a="1"/>
  <c r="Q176" i="105" s="1"/>
  <c r="P176" i="105" a="1"/>
  <c r="P176" i="105" s="1"/>
  <c r="S175" i="105" a="1"/>
  <c r="S175" i="105" s="1"/>
  <c r="R175" i="105" a="1"/>
  <c r="R175" i="105" s="1"/>
  <c r="Q175" i="105" a="1"/>
  <c r="Q175" i="105" s="1"/>
  <c r="P175" i="105" a="1"/>
  <c r="P175" i="105" s="1"/>
  <c r="S174" i="105" a="1"/>
  <c r="S174" i="105" s="1"/>
  <c r="R174" i="105" a="1"/>
  <c r="R174" i="105" s="1"/>
  <c r="Q174" i="105" a="1"/>
  <c r="Q174" i="105" s="1"/>
  <c r="P174" i="105" a="1"/>
  <c r="P174" i="105" s="1"/>
  <c r="S173" i="105" a="1"/>
  <c r="S173" i="105" s="1"/>
  <c r="R173" i="105" a="1"/>
  <c r="R173" i="105" s="1"/>
  <c r="Q173" i="105" a="1"/>
  <c r="Q173" i="105" s="1"/>
  <c r="P173" i="105" a="1"/>
  <c r="P173" i="105" s="1"/>
  <c r="S172" i="105" a="1"/>
  <c r="S172" i="105" s="1"/>
  <c r="R172" i="105" a="1"/>
  <c r="R172" i="105" s="1"/>
  <c r="Q172" i="105" a="1"/>
  <c r="Q172" i="105" s="1"/>
  <c r="P172" i="105" a="1"/>
  <c r="P172" i="105" s="1"/>
  <c r="S171" i="105" a="1"/>
  <c r="S171" i="105" s="1"/>
  <c r="R171" i="105" a="1"/>
  <c r="R171" i="105" s="1"/>
  <c r="Q171" i="105" a="1"/>
  <c r="Q171" i="105" s="1"/>
  <c r="P171" i="105" a="1"/>
  <c r="P171" i="105" s="1"/>
  <c r="S170" i="105" a="1"/>
  <c r="S170" i="105" s="1"/>
  <c r="R170" i="105" a="1"/>
  <c r="R170" i="105" s="1"/>
  <c r="Q170" i="105" a="1"/>
  <c r="Q170" i="105" s="1"/>
  <c r="P170" i="105" a="1"/>
  <c r="P170" i="105" s="1"/>
  <c r="S169" i="105" a="1"/>
  <c r="S169" i="105" s="1"/>
  <c r="R169" i="105" a="1"/>
  <c r="R169" i="105" s="1"/>
  <c r="Q169" i="105" a="1"/>
  <c r="Q169" i="105" s="1"/>
  <c r="P169" i="105" a="1"/>
  <c r="P169" i="105" s="1"/>
  <c r="S168" i="105" a="1"/>
  <c r="S168" i="105" s="1"/>
  <c r="R168" i="105" a="1"/>
  <c r="R168" i="105" s="1"/>
  <c r="Q168" i="105" a="1"/>
  <c r="Q168" i="105" s="1"/>
  <c r="P168" i="105" a="1"/>
  <c r="P168" i="105" s="1"/>
  <c r="S167" i="105" a="1"/>
  <c r="S167" i="105" s="1"/>
  <c r="R167" i="105" a="1"/>
  <c r="R167" i="105" s="1"/>
  <c r="Q167" i="105" a="1"/>
  <c r="Q167" i="105" s="1"/>
  <c r="P167" i="105" a="1"/>
  <c r="P167" i="105" s="1"/>
  <c r="S166" i="105" a="1"/>
  <c r="S166" i="105" s="1"/>
  <c r="R166" i="105" a="1"/>
  <c r="R166" i="105" s="1"/>
  <c r="Q166" i="105" a="1"/>
  <c r="Q166" i="105" s="1"/>
  <c r="P166" i="105" a="1"/>
  <c r="P166" i="105" s="1"/>
  <c r="S165" i="105" a="1"/>
  <c r="S165" i="105" s="1"/>
  <c r="R165" i="105" a="1"/>
  <c r="R165" i="105" s="1"/>
  <c r="Q165" i="105" a="1"/>
  <c r="Q165" i="105" s="1"/>
  <c r="P165" i="105" a="1"/>
  <c r="P165" i="105" s="1"/>
  <c r="S164" i="105" a="1"/>
  <c r="S164" i="105" s="1"/>
  <c r="R164" i="105" a="1"/>
  <c r="R164" i="105" s="1"/>
  <c r="Q164" i="105" a="1"/>
  <c r="Q164" i="105" s="1"/>
  <c r="P164" i="105" a="1"/>
  <c r="P164" i="105" s="1"/>
  <c r="S163" i="105" a="1"/>
  <c r="S163" i="105" s="1"/>
  <c r="R163" i="105" a="1"/>
  <c r="R163" i="105" s="1"/>
  <c r="Q163" i="105" a="1"/>
  <c r="Q163" i="105" s="1"/>
  <c r="P163" i="105" a="1"/>
  <c r="P163" i="105" s="1"/>
  <c r="S162" i="105" a="1"/>
  <c r="S162" i="105" s="1"/>
  <c r="R162" i="105" a="1"/>
  <c r="R162" i="105" s="1"/>
  <c r="Q162" i="105" a="1"/>
  <c r="Q162" i="105" s="1"/>
  <c r="P162" i="105" a="1"/>
  <c r="P162" i="105" s="1"/>
  <c r="S161" i="105" a="1"/>
  <c r="S161" i="105" s="1"/>
  <c r="R161" i="105" a="1"/>
  <c r="R161" i="105" s="1"/>
  <c r="Q161" i="105" a="1"/>
  <c r="Q161" i="105" s="1"/>
  <c r="P161" i="105" a="1"/>
  <c r="P161" i="105" s="1"/>
  <c r="S160" i="105" a="1"/>
  <c r="S160" i="105" s="1"/>
  <c r="R160" i="105" a="1"/>
  <c r="R160" i="105" s="1"/>
  <c r="Q160" i="105" a="1"/>
  <c r="Q160" i="105" s="1"/>
  <c r="P160" i="105" a="1"/>
  <c r="P160" i="105" s="1"/>
  <c r="S159" i="105" a="1"/>
  <c r="S159" i="105" s="1"/>
  <c r="R159" i="105" a="1"/>
  <c r="R159" i="105" s="1"/>
  <c r="Q159" i="105" a="1"/>
  <c r="Q159" i="105" s="1"/>
  <c r="P159" i="105" a="1"/>
  <c r="P159" i="105" s="1"/>
  <c r="S158" i="105" a="1"/>
  <c r="S158" i="105" s="1"/>
  <c r="R158" i="105" a="1"/>
  <c r="R158" i="105" s="1"/>
  <c r="Q158" i="105" a="1"/>
  <c r="Q158" i="105" s="1"/>
  <c r="P158" i="105" a="1"/>
  <c r="P158" i="105" s="1"/>
  <c r="S157" i="105" a="1"/>
  <c r="S157" i="105" s="1"/>
  <c r="R157" i="105" a="1"/>
  <c r="R157" i="105" s="1"/>
  <c r="Q157" i="105" a="1"/>
  <c r="Q157" i="105" s="1"/>
  <c r="P157" i="105" a="1"/>
  <c r="P157" i="105" s="1"/>
  <c r="P178" i="105"/>
  <c r="T176" i="105"/>
  <c r="O176" i="105"/>
  <c r="T175" i="105"/>
  <c r="O175" i="105"/>
  <c r="T174" i="105"/>
  <c r="O174" i="105"/>
  <c r="T173" i="105"/>
  <c r="O173" i="105"/>
  <c r="N173" i="105"/>
  <c r="T172" i="105"/>
  <c r="O172" i="105"/>
  <c r="T171" i="105"/>
  <c r="O171" i="105"/>
  <c r="T170" i="105"/>
  <c r="O170" i="105"/>
  <c r="N170" i="105"/>
  <c r="T169" i="105"/>
  <c r="O169" i="105"/>
  <c r="T168" i="105"/>
  <c r="O168" i="105"/>
  <c r="T167" i="105"/>
  <c r="O167" i="105"/>
  <c r="N167" i="105"/>
  <c r="T166" i="105"/>
  <c r="O166" i="105"/>
  <c r="T165" i="105"/>
  <c r="O165" i="105"/>
  <c r="T164" i="105"/>
  <c r="O164" i="105"/>
  <c r="N164" i="105"/>
  <c r="T163" i="105"/>
  <c r="O163" i="105"/>
  <c r="T162" i="105"/>
  <c r="O162" i="105"/>
  <c r="T161" i="105"/>
  <c r="O161" i="105"/>
  <c r="T160" i="105"/>
  <c r="O160" i="105"/>
  <c r="N160" i="105"/>
  <c r="T159" i="105"/>
  <c r="O159" i="105"/>
  <c r="T158" i="105"/>
  <c r="O158" i="105"/>
  <c r="T157" i="105"/>
  <c r="O157" i="105"/>
  <c r="N157" i="105"/>
  <c r="F90" i="105"/>
  <c r="F89" i="105"/>
  <c r="F88" i="105"/>
  <c r="F87" i="105"/>
  <c r="F86" i="105"/>
  <c r="F85" i="105"/>
  <c r="F84" i="105"/>
  <c r="F83" i="105"/>
  <c r="F82" i="105"/>
  <c r="G168" i="105" s="1" a="1"/>
  <c r="G168" i="105" s="1"/>
  <c r="F81" i="105"/>
  <c r="F80" i="105"/>
  <c r="F79" i="105"/>
  <c r="F78" i="105"/>
  <c r="F77" i="105"/>
  <c r="F76" i="105"/>
  <c r="F75" i="105"/>
  <c r="F74" i="105"/>
  <c r="F73" i="105"/>
  <c r="F72" i="105"/>
  <c r="F71" i="105"/>
  <c r="F209" i="105"/>
  <c r="F208" i="105"/>
  <c r="F207" i="105"/>
  <c r="F206" i="105"/>
  <c r="F205" i="105"/>
  <c r="F204" i="105"/>
  <c r="F203" i="105"/>
  <c r="F202" i="105"/>
  <c r="F201" i="105"/>
  <c r="F200" i="105"/>
  <c r="F199" i="105"/>
  <c r="F198" i="105"/>
  <c r="F197" i="105"/>
  <c r="F196" i="105"/>
  <c r="F195" i="105"/>
  <c r="F194" i="105"/>
  <c r="F193" i="105"/>
  <c r="F192" i="105"/>
  <c r="F191" i="105"/>
  <c r="F190" i="105"/>
  <c r="E209" i="105"/>
  <c r="E208" i="105"/>
  <c r="E207" i="105"/>
  <c r="E206" i="105"/>
  <c r="D206" i="105"/>
  <c r="E205" i="105"/>
  <c r="E204" i="105"/>
  <c r="E203" i="105"/>
  <c r="D203" i="105"/>
  <c r="E202" i="105"/>
  <c r="E201" i="105"/>
  <c r="E200" i="105"/>
  <c r="D200" i="105"/>
  <c r="E199" i="105"/>
  <c r="E198" i="105"/>
  <c r="E197" i="105"/>
  <c r="D197" i="105"/>
  <c r="E196" i="105"/>
  <c r="E195" i="105"/>
  <c r="E194" i="105"/>
  <c r="E193" i="105"/>
  <c r="D193" i="105"/>
  <c r="E192" i="105"/>
  <c r="E191" i="105"/>
  <c r="E190" i="105"/>
  <c r="D190" i="105"/>
  <c r="D182" i="105"/>
  <c r="I171" i="105" a="1"/>
  <c r="I171" i="105" s="1"/>
  <c r="I161" i="105" a="1"/>
  <c r="I161" i="105" s="1"/>
  <c r="H165" i="105" a="1"/>
  <c r="H165" i="105" s="1"/>
  <c r="I166" i="105" a="1"/>
  <c r="I166" i="105" s="1"/>
  <c r="F168" i="105" a="1"/>
  <c r="F168" i="105" s="1"/>
  <c r="I170" i="105" a="1"/>
  <c r="I170" i="105" s="1"/>
  <c r="H175" i="105" a="1"/>
  <c r="H175" i="105" s="1"/>
  <c r="H172" i="105" a="1"/>
  <c r="H172" i="105" s="1"/>
  <c r="I169" i="105" a="1"/>
  <c r="I169" i="105" s="1"/>
  <c r="G164" i="105" a="1"/>
  <c r="G164" i="105" s="1"/>
  <c r="F163" i="105" a="1"/>
  <c r="F163" i="105" s="1"/>
  <c r="I176" i="105" a="1"/>
  <c r="I176" i="105" s="1"/>
  <c r="H176" i="105" a="1"/>
  <c r="H176" i="105" s="1"/>
  <c r="G176" i="105" a="1"/>
  <c r="G176" i="105" s="1"/>
  <c r="F176" i="105" a="1"/>
  <c r="F176" i="105" s="1"/>
  <c r="I175" i="105" a="1"/>
  <c r="I175" i="105" s="1"/>
  <c r="I174" i="105" a="1"/>
  <c r="I174" i="105" s="1"/>
  <c r="H174" i="105" a="1"/>
  <c r="H174" i="105" s="1"/>
  <c r="G174" i="105" a="1"/>
  <c r="G174" i="105" s="1"/>
  <c r="F174" i="105" a="1"/>
  <c r="F174" i="105" s="1"/>
  <c r="I173" i="105" a="1"/>
  <c r="I173" i="105" s="1"/>
  <c r="H173" i="105" a="1"/>
  <c r="H173" i="105" s="1"/>
  <c r="G173" i="105" a="1"/>
  <c r="G173" i="105" s="1"/>
  <c r="F173" i="105" a="1"/>
  <c r="F173" i="105" s="1"/>
  <c r="I172" i="105" a="1"/>
  <c r="I172" i="105" s="1"/>
  <c r="G172" i="105" a="1"/>
  <c r="G172" i="105" s="1"/>
  <c r="F172" i="105" a="1"/>
  <c r="F172" i="105" s="1"/>
  <c r="G170" i="105" a="1"/>
  <c r="G170" i="105" s="1"/>
  <c r="H169" i="105" a="1"/>
  <c r="H169" i="105" s="1"/>
  <c r="G169" i="105" a="1"/>
  <c r="G169" i="105" s="1"/>
  <c r="H168" i="105" a="1"/>
  <c r="H168" i="105" s="1"/>
  <c r="I167" i="105" a="1"/>
  <c r="I167" i="105" s="1"/>
  <c r="H167" i="105" a="1"/>
  <c r="H167" i="105" s="1"/>
  <c r="G167" i="105" a="1"/>
  <c r="G167" i="105" s="1"/>
  <c r="F167" i="105" a="1"/>
  <c r="F167" i="105" s="1"/>
  <c r="G166" i="105" a="1"/>
  <c r="G166" i="105" s="1"/>
  <c r="F166" i="105" a="1"/>
  <c r="F166" i="105" s="1"/>
  <c r="I165" i="105" a="1"/>
  <c r="I165" i="105" s="1"/>
  <c r="G165" i="105" a="1"/>
  <c r="G165" i="105" s="1"/>
  <c r="F165" i="105" a="1"/>
  <c r="F165" i="105" s="1"/>
  <c r="I164" i="105" a="1"/>
  <c r="I164" i="105" s="1"/>
  <c r="H164" i="105" a="1"/>
  <c r="H164" i="105" s="1"/>
  <c r="I162" i="105" a="1"/>
  <c r="I162" i="105" s="1"/>
  <c r="H162" i="105" a="1"/>
  <c r="H162" i="105" s="1"/>
  <c r="G162" i="105" a="1"/>
  <c r="G162" i="105" s="1"/>
  <c r="F162" i="105" a="1"/>
  <c r="F162" i="105" s="1"/>
  <c r="F161" i="105" a="1"/>
  <c r="F161" i="105" s="1"/>
  <c r="I160" i="105" a="1"/>
  <c r="I160" i="105" s="1"/>
  <c r="H160" i="105" a="1"/>
  <c r="H160" i="105" s="1"/>
  <c r="G160" i="105" a="1"/>
  <c r="G160" i="105" s="1"/>
  <c r="F160" i="105" a="1"/>
  <c r="F160" i="105" s="1"/>
  <c r="I159" i="105" a="1"/>
  <c r="I159" i="105" s="1"/>
  <c r="H159" i="105" a="1"/>
  <c r="H159" i="105" s="1"/>
  <c r="G159" i="105" a="1"/>
  <c r="G159" i="105" s="1"/>
  <c r="F159" i="105" a="1"/>
  <c r="F159" i="105" s="1"/>
  <c r="I158" i="105" a="1"/>
  <c r="I158" i="105" s="1"/>
  <c r="H158" i="105" a="1"/>
  <c r="H158" i="105" s="1"/>
  <c r="G158" i="105" a="1"/>
  <c r="G158" i="105" s="1"/>
  <c r="F158" i="105" a="1"/>
  <c r="F158" i="105" s="1"/>
  <c r="I157" i="105" a="1"/>
  <c r="I157" i="105" s="1"/>
  <c r="H157" i="105" a="1"/>
  <c r="H157" i="105" s="1"/>
  <c r="G157" i="105" a="1"/>
  <c r="G157" i="105" s="1"/>
  <c r="F157" i="105" a="1"/>
  <c r="F157" i="105" s="1"/>
  <c r="F178" i="105"/>
  <c r="J176" i="105"/>
  <c r="E176" i="105"/>
  <c r="J175" i="105"/>
  <c r="E175" i="105"/>
  <c r="J174" i="105"/>
  <c r="E174" i="105"/>
  <c r="J173" i="105"/>
  <c r="E173" i="105"/>
  <c r="D173" i="105"/>
  <c r="J172" i="105"/>
  <c r="E172" i="105"/>
  <c r="J171" i="105"/>
  <c r="E171" i="105"/>
  <c r="J170" i="105"/>
  <c r="E170" i="105"/>
  <c r="D170" i="105"/>
  <c r="J169" i="105"/>
  <c r="E169" i="105"/>
  <c r="J168" i="105"/>
  <c r="E168" i="105"/>
  <c r="J167" i="105"/>
  <c r="E167" i="105"/>
  <c r="D167" i="105"/>
  <c r="J166" i="105"/>
  <c r="E166" i="105"/>
  <c r="J165" i="105"/>
  <c r="E165" i="105"/>
  <c r="J164" i="105"/>
  <c r="E164" i="105"/>
  <c r="D164" i="105"/>
  <c r="J163" i="105"/>
  <c r="E163" i="105"/>
  <c r="J162" i="105"/>
  <c r="E162" i="105"/>
  <c r="J161" i="105"/>
  <c r="E161" i="105"/>
  <c r="J160" i="105"/>
  <c r="E160" i="105"/>
  <c r="D160" i="105"/>
  <c r="J159" i="105"/>
  <c r="E159" i="105"/>
  <c r="J158" i="105"/>
  <c r="E158" i="105"/>
  <c r="J157" i="105"/>
  <c r="E157" i="105"/>
  <c r="D157" i="105"/>
  <c r="H152" i="105"/>
  <c r="H151" i="105"/>
  <c r="H150" i="105"/>
  <c r="H149" i="105"/>
  <c r="H148" i="105"/>
  <c r="D148" i="105" a="1"/>
  <c r="D148" i="105" s="1"/>
  <c r="E146" i="105" a="1"/>
  <c r="E146" i="105" s="1"/>
  <c r="E145" i="105" a="1"/>
  <c r="E145" i="105" s="1"/>
  <c r="D141" i="105" a="1"/>
  <c r="D141" i="105" s="1"/>
  <c r="D140" i="105" a="1"/>
  <c r="D140" i="105" s="1"/>
  <c r="E142" i="105" a="1"/>
  <c r="O235" i="105" l="1"/>
  <c r="E235" i="105"/>
  <c r="O178" i="105"/>
  <c r="I168" i="105" a="1"/>
  <c r="I168" i="105" s="1"/>
  <c r="E142" i="105"/>
  <c r="F170" i="105" a="1"/>
  <c r="F170" i="105" s="1"/>
  <c r="G161" i="105" a="1"/>
  <c r="G161" i="105" s="1"/>
  <c r="F175" i="105" a="1"/>
  <c r="F175" i="105" s="1"/>
  <c r="G171" i="105" a="1"/>
  <c r="G171" i="105" s="1"/>
  <c r="H166" i="105" a="1"/>
  <c r="H166" i="105" s="1"/>
  <c r="H161" i="105" a="1"/>
  <c r="H161" i="105" s="1"/>
  <c r="H171" i="105" a="1"/>
  <c r="H171" i="105" s="1"/>
  <c r="G175" i="105" a="1"/>
  <c r="G175" i="105" s="1"/>
  <c r="H170" i="105" a="1"/>
  <c r="H170" i="105" s="1"/>
  <c r="F169" i="105" a="1"/>
  <c r="F169" i="105" s="1"/>
  <c r="G163" i="105" a="1"/>
  <c r="G163" i="105" s="1"/>
  <c r="H163" i="105" a="1"/>
  <c r="H163" i="105" s="1"/>
  <c r="I163" i="105" a="1"/>
  <c r="I163" i="105" s="1"/>
  <c r="F164" i="105" a="1"/>
  <c r="F164" i="105" s="1"/>
  <c r="F171" i="105" a="1"/>
  <c r="F171" i="105" s="1"/>
  <c r="E178" i="105" l="1"/>
  <c r="N131" i="105" l="1"/>
  <c r="S53" i="105"/>
  <c r="R53" i="105"/>
  <c r="Q53" i="105"/>
  <c r="P53" i="105"/>
  <c r="S52" i="105"/>
  <c r="R52" i="105"/>
  <c r="Q52" i="105"/>
  <c r="P52" i="105"/>
  <c r="S51" i="105"/>
  <c r="R51" i="105"/>
  <c r="Q51" i="105"/>
  <c r="P51" i="105"/>
  <c r="S50" i="105"/>
  <c r="R50" i="105"/>
  <c r="Q50" i="105"/>
  <c r="P50" i="105"/>
  <c r="T66" i="105"/>
  <c r="T65" i="105"/>
  <c r="T64" i="105"/>
  <c r="T63" i="105"/>
  <c r="N63" i="105"/>
  <c r="T62" i="105"/>
  <c r="T61" i="105"/>
  <c r="T60" i="105"/>
  <c r="T59" i="105"/>
  <c r="T58" i="105"/>
  <c r="T57" i="105"/>
  <c r="T56" i="105"/>
  <c r="T55" i="105"/>
  <c r="T54" i="105"/>
  <c r="T53" i="105"/>
  <c r="T52" i="105"/>
  <c r="T51" i="105"/>
  <c r="T50" i="105"/>
  <c r="T49" i="105"/>
  <c r="T48" i="105"/>
  <c r="T47" i="105"/>
  <c r="S41" i="105"/>
  <c r="R41" i="105"/>
  <c r="Q41" i="105"/>
  <c r="P41" i="105"/>
  <c r="S40" i="105"/>
  <c r="R40" i="105"/>
  <c r="Q40" i="105"/>
  <c r="P40" i="105"/>
  <c r="S39" i="105"/>
  <c r="R39" i="105"/>
  <c r="Q39" i="105"/>
  <c r="P39" i="105"/>
  <c r="S38" i="105"/>
  <c r="R38" i="105"/>
  <c r="Q38" i="105"/>
  <c r="P38" i="105"/>
  <c r="N38" i="105"/>
  <c r="D5" i="105" a="1"/>
  <c r="D5" i="105" s="1"/>
  <c r="D131" i="105"/>
  <c r="H14" i="105"/>
  <c r="D110" i="105"/>
  <c r="E110" i="105" s="1" a="1"/>
  <c r="E110" i="105" s="1"/>
  <c r="H15" i="105"/>
  <c r="D100" i="105"/>
  <c r="E100" i="105" s="1" a="1"/>
  <c r="E100" i="105" s="1"/>
  <c r="H17" i="105"/>
  <c r="D87" i="105"/>
  <c r="J66" i="105"/>
  <c r="J65" i="105"/>
  <c r="J64" i="105"/>
  <c r="J63" i="105"/>
  <c r="J62" i="105"/>
  <c r="J61" i="105"/>
  <c r="J60" i="105"/>
  <c r="J59" i="105"/>
  <c r="J58" i="105"/>
  <c r="J57" i="105"/>
  <c r="J56" i="105"/>
  <c r="J55" i="105"/>
  <c r="J54" i="105"/>
  <c r="J53" i="105"/>
  <c r="J52" i="105"/>
  <c r="J51" i="105"/>
  <c r="J50" i="105"/>
  <c r="J49" i="105"/>
  <c r="J48" i="105"/>
  <c r="J47" i="105"/>
  <c r="H16" i="105"/>
  <c r="I53" i="105"/>
  <c r="H53" i="105"/>
  <c r="G53" i="105"/>
  <c r="F53" i="105"/>
  <c r="I52" i="105"/>
  <c r="H52" i="105"/>
  <c r="G52" i="105"/>
  <c r="F52" i="105"/>
  <c r="I51" i="105"/>
  <c r="H51" i="105"/>
  <c r="G51" i="105"/>
  <c r="F51" i="105"/>
  <c r="I50" i="105"/>
  <c r="H50" i="105"/>
  <c r="G50" i="105"/>
  <c r="F50" i="105"/>
  <c r="D63" i="105"/>
  <c r="R123" i="76" a="1"/>
  <c r="R123" i="76" s="1"/>
  <c r="R122" i="76" a="1"/>
  <c r="R122" i="76" s="1"/>
  <c r="R121" i="76" a="1"/>
  <c r="R121" i="76" s="1"/>
  <c r="R120" i="76" a="1"/>
  <c r="R120" i="76" s="1"/>
  <c r="R119" i="76" a="1"/>
  <c r="R119" i="76" s="1"/>
  <c r="R118" i="76" a="1"/>
  <c r="R118" i="76" s="1"/>
  <c r="Q123" i="76" a="1"/>
  <c r="Q123" i="76" s="1"/>
  <c r="Q122" i="76" a="1"/>
  <c r="Q122" i="76" s="1"/>
  <c r="Q121" i="76" a="1"/>
  <c r="Q121" i="76" s="1"/>
  <c r="Q120" i="76" a="1"/>
  <c r="Q120" i="76" s="1"/>
  <c r="Q119" i="76" a="1"/>
  <c r="Q119" i="76" s="1"/>
  <c r="Q118" i="76" a="1"/>
  <c r="Q118" i="76" s="1"/>
  <c r="P123" i="76" a="1"/>
  <c r="P123" i="76" s="1"/>
  <c r="P122" i="76" a="1"/>
  <c r="P122" i="76" s="1"/>
  <c r="P121" i="76"/>
  <c r="P121" i="76" a="1"/>
  <c r="P120" i="76" a="1"/>
  <c r="P120" i="76" s="1"/>
  <c r="P119" i="76" a="1"/>
  <c r="P119" i="76" s="1"/>
  <c r="P118" i="76" a="1"/>
  <c r="P118" i="76" s="1"/>
  <c r="O123" i="76" a="1"/>
  <c r="O123" i="76" s="1"/>
  <c r="O122" i="76" a="1"/>
  <c r="O122" i="76" s="1"/>
  <c r="O121" i="76"/>
  <c r="O121" i="76" a="1"/>
  <c r="O120" i="76" a="1"/>
  <c r="O120" i="76" s="1"/>
  <c r="O119" i="76" a="1"/>
  <c r="O119" i="76" s="1"/>
  <c r="O118" i="76" a="1"/>
  <c r="O118" i="76" s="1"/>
  <c r="Q35" i="76" a="1"/>
  <c r="Q35" i="76" s="1"/>
  <c r="P35" i="76" a="1"/>
  <c r="P35" i="76" s="1"/>
  <c r="O35" i="76" a="1"/>
  <c r="O35" i="76" s="1"/>
  <c r="N35" i="76" a="1"/>
  <c r="N35" i="76" s="1"/>
  <c r="R35" i="76"/>
  <c r="Q25" i="76"/>
  <c r="P25" i="76"/>
  <c r="O25" i="76"/>
  <c r="N25" i="76"/>
  <c r="G25" i="76"/>
  <c r="F25" i="76"/>
  <c r="E25" i="76"/>
  <c r="D25" i="76"/>
  <c r="H21" i="70" a="1"/>
  <c r="H21" i="70" s="1"/>
  <c r="G21" i="70" a="1"/>
  <c r="G21" i="70" s="1"/>
  <c r="F21" i="70" a="1"/>
  <c r="F21" i="70" s="1"/>
  <c r="E21" i="70" a="1"/>
  <c r="E21" i="70" s="1"/>
  <c r="H17" i="70" a="1"/>
  <c r="H17" i="70" s="1"/>
  <c r="G17" i="70" a="1"/>
  <c r="G17" i="70" s="1"/>
  <c r="F17" i="70" a="1"/>
  <c r="F17" i="70" s="1"/>
  <c r="E17" i="70" a="1"/>
  <c r="E17" i="70" s="1"/>
  <c r="G93" i="79" a="1"/>
  <c r="G93" i="79" s="1"/>
  <c r="G92" i="79" a="1"/>
  <c r="G92" i="79" s="1"/>
  <c r="G91" i="79" a="1"/>
  <c r="G91" i="79" s="1"/>
  <c r="G90" i="79" a="1"/>
  <c r="G90" i="79" s="1"/>
  <c r="D93" i="79" a="1"/>
  <c r="D93" i="79" s="1"/>
  <c r="H13" i="105"/>
  <c r="D38" i="105"/>
  <c r="D13" i="105" a="1"/>
  <c r="D13" i="105" s="1"/>
  <c r="E11" i="105" a="1"/>
  <c r="E11" i="105" s="1"/>
  <c r="J134" i="105" s="1"/>
  <c r="E10" i="105" a="1"/>
  <c r="E10" i="105" s="1"/>
  <c r="D6" i="105" a="1"/>
  <c r="D6" i="105" s="1"/>
  <c r="O54" i="98" a="1"/>
  <c r="O54" i="98" s="1"/>
  <c r="P52" i="98"/>
  <c r="M51" i="98" a="1"/>
  <c r="M51" i="98" s="1"/>
  <c r="O49" i="98"/>
  <c r="F54" i="98" a="1"/>
  <c r="F54" i="98" s="1"/>
  <c r="G52" i="98"/>
  <c r="D51" i="98" a="1"/>
  <c r="D51" i="98" s="1"/>
  <c r="I47" i="98"/>
  <c r="G40" i="98"/>
  <c r="D40" i="98" a="1"/>
  <c r="D40" i="98" s="1"/>
  <c r="E38" i="98" a="1"/>
  <c r="E38" i="98" s="1"/>
  <c r="R47" i="98" s="1"/>
  <c r="E37" i="98" a="1"/>
  <c r="E37" i="98" s="1"/>
  <c r="D33" i="98" a="1"/>
  <c r="D33" i="98" s="1"/>
  <c r="D32" i="98" a="1"/>
  <c r="D32" i="98" s="1"/>
  <c r="D16" i="79" a="1"/>
  <c r="D16" i="79" s="1"/>
  <c r="F17" i="79" a="1"/>
  <c r="F17" i="79" s="1"/>
  <c r="E17" i="79" a="1"/>
  <c r="E17" i="79" s="1"/>
  <c r="G15" i="98" s="1"/>
  <c r="D17" i="79" a="1"/>
  <c r="D17" i="79" s="1"/>
  <c r="D15" i="79" a="1"/>
  <c r="D15" i="79" s="1"/>
  <c r="D14" i="79" a="1"/>
  <c r="D14" i="79" s="1"/>
  <c r="G18" i="98"/>
  <c r="G17" i="98"/>
  <c r="G16" i="98"/>
  <c r="G13" i="98"/>
  <c r="D13" i="98" a="1"/>
  <c r="D13" i="98" s="1"/>
  <c r="E11" i="98" a="1"/>
  <c r="E11" i="98" s="1"/>
  <c r="R28" i="98" s="1"/>
  <c r="E10" i="98" a="1"/>
  <c r="E10" i="98" s="1"/>
  <c r="D6" i="98" a="1"/>
  <c r="D6" i="98" s="1"/>
  <c r="D5" i="98" a="1"/>
  <c r="D5" i="98" s="1"/>
  <c r="N102" i="97" a="1"/>
  <c r="N102" i="97" s="1"/>
  <c r="D102" i="97" a="1"/>
  <c r="D102" i="97" s="1"/>
  <c r="O100" i="97" a="1"/>
  <c r="O100" i="97" s="1"/>
  <c r="P109" i="97" s="1"/>
  <c r="E100" i="97" a="1"/>
  <c r="E100" i="97" s="1"/>
  <c r="F109" i="97" s="1"/>
  <c r="O99" i="97" a="1"/>
  <c r="O99" i="97" s="1"/>
  <c r="E99" i="97" a="1"/>
  <c r="E99" i="97" s="1"/>
  <c r="N95" i="97" a="1"/>
  <c r="N95" i="97" s="1"/>
  <c r="D95" i="97" a="1"/>
  <c r="D95" i="97" s="1"/>
  <c r="N94" i="97" a="1"/>
  <c r="N94" i="97" s="1"/>
  <c r="D94" i="97" a="1"/>
  <c r="D94" i="97" s="1"/>
  <c r="D13" i="97" a="1"/>
  <c r="D13" i="97" s="1"/>
  <c r="E11" i="97" a="1"/>
  <c r="E11" i="97" s="1"/>
  <c r="P90" i="97" s="1"/>
  <c r="E10" i="97" a="1"/>
  <c r="E10" i="97" s="1"/>
  <c r="D6" i="97" a="1"/>
  <c r="D6" i="97" s="1"/>
  <c r="D5" i="97" a="1"/>
  <c r="D5" i="97" s="1"/>
  <c r="P114" i="97" a="1"/>
  <c r="P114" i="97" s="1"/>
  <c r="Q112" i="97"/>
  <c r="N111" i="97" a="1"/>
  <c r="N111" i="97" s="1"/>
  <c r="N85" i="97"/>
  <c r="N68" i="97"/>
  <c r="N45" i="97"/>
  <c r="N24" i="97"/>
  <c r="P279" i="76" a="1"/>
  <c r="P279" i="76" s="1"/>
  <c r="Q277" i="76"/>
  <c r="N276" i="76" a="1"/>
  <c r="N276" i="76" s="1"/>
  <c r="N269" i="76"/>
  <c r="N252" i="76"/>
  <c r="N225" i="76"/>
  <c r="N167" i="76"/>
  <c r="N123" i="76"/>
  <c r="G48" i="76"/>
  <c r="N100" i="76"/>
  <c r="R66" i="76"/>
  <c r="Q66" i="76"/>
  <c r="P66" i="76"/>
  <c r="R65" i="76"/>
  <c r="Q65" i="76"/>
  <c r="P65" i="76"/>
  <c r="R64" i="76"/>
  <c r="Q64" i="76"/>
  <c r="P64" i="76"/>
  <c r="R63" i="76"/>
  <c r="Q63" i="76"/>
  <c r="P63" i="76"/>
  <c r="R62" i="76"/>
  <c r="Q62" i="76"/>
  <c r="P62" i="76"/>
  <c r="O66" i="76"/>
  <c r="O65" i="76"/>
  <c r="O64" i="76"/>
  <c r="O63" i="76"/>
  <c r="O62" i="76"/>
  <c r="G14" i="97"/>
  <c r="G13" i="97"/>
  <c r="F114" i="97" a="1"/>
  <c r="F114" i="97" s="1"/>
  <c r="G112" i="97"/>
  <c r="D111" i="97" a="1"/>
  <c r="D111" i="97" s="1"/>
  <c r="G106" i="97"/>
  <c r="G105" i="97"/>
  <c r="D10" i="79"/>
  <c r="D9" i="79"/>
  <c r="D58" i="97"/>
  <c r="D85" i="97"/>
  <c r="D68" i="97"/>
  <c r="D45" i="97"/>
  <c r="D24" i="97"/>
  <c r="G86" i="76" a="1"/>
  <c r="G86" i="76" s="1"/>
  <c r="F279" i="76" a="1"/>
  <c r="F279" i="76" s="1"/>
  <c r="G277" i="76"/>
  <c r="D276" i="76" a="1"/>
  <c r="D276" i="76" s="1"/>
  <c r="D252" i="76"/>
  <c r="D269" i="76"/>
  <c r="G241" i="76"/>
  <c r="E7" i="97" a="1"/>
  <c r="E234" i="76" a="1"/>
  <c r="E34" i="98" a="1"/>
  <c r="E7" i="98" a="1"/>
  <c r="O96" i="97" a="1"/>
  <c r="E96" i="97" a="1"/>
  <c r="E7" i="105" a="1"/>
  <c r="T121" i="105" l="1"/>
  <c r="T129" i="105"/>
  <c r="T125" i="105"/>
  <c r="T127" i="105"/>
  <c r="T123" i="105"/>
  <c r="T115" i="105"/>
  <c r="T119" i="105"/>
  <c r="T131" i="105"/>
  <c r="T118" i="105"/>
  <c r="T120" i="105"/>
  <c r="T124" i="105"/>
  <c r="T130" i="105"/>
  <c r="T122" i="105"/>
  <c r="T132" i="105"/>
  <c r="T116" i="105"/>
  <c r="T128" i="105"/>
  <c r="T117" i="105"/>
  <c r="T126" i="105"/>
  <c r="T134" i="105"/>
  <c r="T133" i="105"/>
  <c r="P136" i="105"/>
  <c r="J121" i="105"/>
  <c r="J122" i="105"/>
  <c r="J123" i="105"/>
  <c r="J124" i="105"/>
  <c r="J125" i="105"/>
  <c r="F136" i="105"/>
  <c r="J128" i="105"/>
  <c r="J115" i="105"/>
  <c r="J129" i="105"/>
  <c r="J116" i="105"/>
  <c r="J130" i="105"/>
  <c r="J127" i="105"/>
  <c r="J117" i="105"/>
  <c r="J131" i="105"/>
  <c r="J126" i="105"/>
  <c r="J118" i="105"/>
  <c r="J132" i="105"/>
  <c r="J119" i="105"/>
  <c r="J133" i="105"/>
  <c r="J120" i="105"/>
  <c r="E7" i="105"/>
  <c r="I28" i="98"/>
  <c r="F49" i="98"/>
  <c r="E34" i="98"/>
  <c r="E7" i="98"/>
  <c r="J78" i="97"/>
  <c r="J66" i="97"/>
  <c r="J69" i="97"/>
  <c r="J81" i="97"/>
  <c r="T69" i="97"/>
  <c r="T83" i="97"/>
  <c r="T86" i="97"/>
  <c r="J70" i="97"/>
  <c r="J82" i="97"/>
  <c r="T71" i="97"/>
  <c r="T75" i="97"/>
  <c r="J71" i="97"/>
  <c r="T73" i="97"/>
  <c r="T85" i="97"/>
  <c r="J72" i="97"/>
  <c r="J83" i="97"/>
  <c r="J73" i="97"/>
  <c r="J84" i="97"/>
  <c r="J74" i="97"/>
  <c r="J85" i="97"/>
  <c r="T67" i="97"/>
  <c r="T78" i="97"/>
  <c r="T81" i="97"/>
  <c r="J75" i="97"/>
  <c r="T65" i="97"/>
  <c r="T87" i="97"/>
  <c r="J63" i="97"/>
  <c r="J76" i="97"/>
  <c r="J86" i="97"/>
  <c r="T63" i="97"/>
  <c r="T70" i="97"/>
  <c r="J64" i="97"/>
  <c r="J87" i="97"/>
  <c r="T74" i="97"/>
  <c r="J65" i="97"/>
  <c r="J77" i="97"/>
  <c r="J88" i="97"/>
  <c r="T72" i="97"/>
  <c r="T84" i="97"/>
  <c r="F90" i="97"/>
  <c r="J67" i="97"/>
  <c r="J79" i="97"/>
  <c r="T68" i="97"/>
  <c r="T76" i="97"/>
  <c r="T77" i="97"/>
  <c r="T80" i="97"/>
  <c r="J68" i="97"/>
  <c r="T88" i="97"/>
  <c r="J80" i="97"/>
  <c r="T64" i="97"/>
  <c r="T66" i="97"/>
  <c r="T79" i="97"/>
  <c r="T82" i="97"/>
  <c r="O96" i="97"/>
  <c r="E96" i="97"/>
  <c r="E7" i="97"/>
  <c r="E234" i="76"/>
  <c r="G240" i="76" l="1"/>
  <c r="D240" i="76" a="1"/>
  <c r="D240" i="76" s="1"/>
  <c r="E238" i="76" a="1"/>
  <c r="E238" i="76" s="1"/>
  <c r="E237" i="76" a="1"/>
  <c r="E237" i="76" s="1"/>
  <c r="D233" i="76" a="1"/>
  <c r="D233" i="76" s="1"/>
  <c r="D232" i="76" a="1"/>
  <c r="D232" i="76" s="1"/>
  <c r="D225" i="76"/>
  <c r="G180" i="76"/>
  <c r="I204" i="76"/>
  <c r="H204" i="76"/>
  <c r="G204" i="76"/>
  <c r="F204" i="76"/>
  <c r="I203" i="76"/>
  <c r="H203" i="76"/>
  <c r="G203" i="76"/>
  <c r="F203" i="76"/>
  <c r="I202" i="76"/>
  <c r="H202" i="76"/>
  <c r="G202" i="76"/>
  <c r="F202" i="76"/>
  <c r="I201" i="76"/>
  <c r="H201" i="76"/>
  <c r="G201" i="76"/>
  <c r="F201" i="76"/>
  <c r="I200" i="76"/>
  <c r="H200" i="76"/>
  <c r="G200" i="76"/>
  <c r="F200" i="76"/>
  <c r="I199" i="76"/>
  <c r="H199" i="76"/>
  <c r="G199" i="76"/>
  <c r="F199" i="76"/>
  <c r="I198" i="76"/>
  <c r="H198" i="76"/>
  <c r="G198" i="76"/>
  <c r="I197" i="76"/>
  <c r="H197" i="76"/>
  <c r="G197" i="76"/>
  <c r="F197" i="76"/>
  <c r="I196" i="76"/>
  <c r="H196" i="76"/>
  <c r="G196" i="76"/>
  <c r="F196" i="76"/>
  <c r="I195" i="76"/>
  <c r="H195" i="76"/>
  <c r="G195" i="76"/>
  <c r="F195" i="76"/>
  <c r="F198" i="76"/>
  <c r="I194" i="76"/>
  <c r="H194" i="76"/>
  <c r="G194" i="76"/>
  <c r="F194" i="76"/>
  <c r="I193" i="76"/>
  <c r="H193" i="76"/>
  <c r="G193" i="76"/>
  <c r="F193" i="76"/>
  <c r="I192" i="76"/>
  <c r="H192" i="76"/>
  <c r="G192" i="76"/>
  <c r="F192" i="76"/>
  <c r="I191" i="76"/>
  <c r="H191" i="76"/>
  <c r="G191" i="76"/>
  <c r="F191" i="76"/>
  <c r="I190" i="76"/>
  <c r="H190" i="76"/>
  <c r="G190" i="76"/>
  <c r="F190" i="76"/>
  <c r="I189" i="76"/>
  <c r="H189" i="76"/>
  <c r="G189" i="76"/>
  <c r="F189" i="76"/>
  <c r="I188" i="76"/>
  <c r="H188" i="76"/>
  <c r="G188" i="76"/>
  <c r="F188" i="76"/>
  <c r="I187" i="76"/>
  <c r="H187" i="76"/>
  <c r="G187" i="76"/>
  <c r="F187" i="76"/>
  <c r="I186" i="76"/>
  <c r="H186" i="76"/>
  <c r="G186" i="76"/>
  <c r="F186" i="76"/>
  <c r="I185" i="76"/>
  <c r="H185" i="76"/>
  <c r="G185" i="76"/>
  <c r="F185" i="76"/>
  <c r="D201" i="76"/>
  <c r="G179" i="76"/>
  <c r="D179" i="76" a="1"/>
  <c r="D179" i="76" s="1"/>
  <c r="E177" i="76" a="1"/>
  <c r="E177" i="76" s="1"/>
  <c r="E176" i="76" a="1"/>
  <c r="E176" i="76" s="1"/>
  <c r="D172" i="76" a="1"/>
  <c r="D172" i="76" s="1"/>
  <c r="D171" i="76" a="1"/>
  <c r="D171" i="76" s="1"/>
  <c r="D167" i="76"/>
  <c r="G137" i="76"/>
  <c r="D157" i="76"/>
  <c r="G136" i="76"/>
  <c r="D147" i="76"/>
  <c r="G135" i="76"/>
  <c r="D135" i="76" a="1"/>
  <c r="D135" i="76" s="1"/>
  <c r="E133" i="76" a="1"/>
  <c r="E133" i="76" s="1"/>
  <c r="E132" i="76" a="1"/>
  <c r="E132" i="76" s="1"/>
  <c r="D128" i="76" a="1"/>
  <c r="D128" i="76" s="1"/>
  <c r="D127" i="76" a="1"/>
  <c r="D127" i="76" s="1"/>
  <c r="D123" i="76"/>
  <c r="G113" i="76"/>
  <c r="G90" i="76"/>
  <c r="G89" i="76"/>
  <c r="G88" i="76"/>
  <c r="D81" i="76" a="1"/>
  <c r="D81" i="76" s="1"/>
  <c r="H95" i="76"/>
  <c r="G95" i="76"/>
  <c r="F95" i="76"/>
  <c r="E95" i="76"/>
  <c r="D100" i="76"/>
  <c r="D95" i="76"/>
  <c r="D88" i="76" a="1"/>
  <c r="D88" i="76" s="1"/>
  <c r="E86" i="76" a="1"/>
  <c r="E86" i="76" s="1"/>
  <c r="S100" i="76" s="1"/>
  <c r="E85" i="76" a="1"/>
  <c r="E85" i="76" s="1"/>
  <c r="D80" i="76" a="1"/>
  <c r="D80" i="76" s="1"/>
  <c r="D79" i="76" a="1"/>
  <c r="D79" i="76" s="1"/>
  <c r="D104" i="76" a="1"/>
  <c r="D104" i="76" s="1"/>
  <c r="D105" i="76" a="1"/>
  <c r="D105" i="76" s="1"/>
  <c r="H66" i="76"/>
  <c r="G66" i="76"/>
  <c r="F66" i="76"/>
  <c r="E66" i="76"/>
  <c r="H65" i="76"/>
  <c r="G65" i="76"/>
  <c r="F65" i="76"/>
  <c r="E65" i="76"/>
  <c r="H64" i="76"/>
  <c r="G64" i="76"/>
  <c r="F64" i="76"/>
  <c r="E64" i="76"/>
  <c r="H63" i="76"/>
  <c r="G63" i="76"/>
  <c r="F63" i="76"/>
  <c r="E63" i="76"/>
  <c r="H62" i="76"/>
  <c r="G62" i="76"/>
  <c r="F62" i="76"/>
  <c r="E62" i="76"/>
  <c r="E71" i="76" s="1" a="1"/>
  <c r="E71" i="76" s="1"/>
  <c r="G47" i="76"/>
  <c r="H57" i="76"/>
  <c r="G57" i="76"/>
  <c r="Q75" i="76" s="1" a="1"/>
  <c r="Q75" i="76" s="1"/>
  <c r="F57" i="76"/>
  <c r="P75" i="76" s="1" a="1"/>
  <c r="P75" i="76" s="1"/>
  <c r="E57" i="76"/>
  <c r="H56" i="76"/>
  <c r="R74" i="76" s="1" a="1"/>
  <c r="R74" i="76" s="1"/>
  <c r="G56" i="76"/>
  <c r="Q74" i="76" s="1" a="1"/>
  <c r="Q74" i="76" s="1"/>
  <c r="F56" i="76"/>
  <c r="P74" i="76" s="1" a="1"/>
  <c r="P74" i="76" s="1"/>
  <c r="E56" i="76"/>
  <c r="H55" i="76"/>
  <c r="G55" i="76"/>
  <c r="Q73" i="76" s="1" a="1"/>
  <c r="Q73" i="76" s="1"/>
  <c r="F55" i="76"/>
  <c r="P73" i="76" s="1" a="1"/>
  <c r="P73" i="76" s="1"/>
  <c r="E55" i="76"/>
  <c r="O73" i="76" s="1" a="1"/>
  <c r="O73" i="76" s="1"/>
  <c r="H54" i="76"/>
  <c r="R72" i="76" s="1" a="1"/>
  <c r="R72" i="76" s="1"/>
  <c r="G54" i="76"/>
  <c r="Q72" i="76" s="1" a="1"/>
  <c r="Q72" i="76" s="1"/>
  <c r="F54" i="76"/>
  <c r="E54" i="76"/>
  <c r="H53" i="76"/>
  <c r="R71" i="76" s="1" a="1"/>
  <c r="R71" i="76" s="1"/>
  <c r="G53" i="76"/>
  <c r="Q71" i="76" s="1" a="1"/>
  <c r="Q71" i="76" s="1"/>
  <c r="F53" i="76"/>
  <c r="P71" i="76" s="1" a="1"/>
  <c r="P71" i="76" s="1"/>
  <c r="E53" i="76"/>
  <c r="O71" i="76" s="1" a="1"/>
  <c r="O71" i="76" s="1"/>
  <c r="G45" i="76" a="1"/>
  <c r="G45" i="76" s="1"/>
  <c r="D47" i="76" a="1"/>
  <c r="D47" i="76" s="1"/>
  <c r="E45" i="76" a="1"/>
  <c r="E45" i="76" s="1"/>
  <c r="E44" i="76" a="1"/>
  <c r="E44" i="76" s="1"/>
  <c r="D40" i="76" a="1"/>
  <c r="D40" i="76" s="1"/>
  <c r="D39" i="76" a="1"/>
  <c r="D39" i="76" s="1"/>
  <c r="G112" i="76"/>
  <c r="G30" i="76"/>
  <c r="F30" i="76"/>
  <c r="E30" i="76"/>
  <c r="D30" i="76"/>
  <c r="H14" i="76"/>
  <c r="F117" i="79" a="1"/>
  <c r="F117" i="79" s="1"/>
  <c r="E117" i="79" a="1"/>
  <c r="E117" i="79" s="1"/>
  <c r="D117" i="79" a="1"/>
  <c r="D117" i="79" s="1"/>
  <c r="F116" i="79" a="1"/>
  <c r="F116" i="79" s="1"/>
  <c r="E116" i="79" a="1"/>
  <c r="E116" i="79" s="1"/>
  <c r="D116" i="79" a="1"/>
  <c r="D116" i="79" s="1"/>
  <c r="F115" i="79" a="1"/>
  <c r="F115" i="79" s="1"/>
  <c r="E115" i="79" a="1"/>
  <c r="E115" i="79" s="1"/>
  <c r="D115" i="79" a="1"/>
  <c r="D115" i="79" s="1"/>
  <c r="F114" i="79" a="1"/>
  <c r="F114" i="79" s="1"/>
  <c r="E114" i="79" a="1"/>
  <c r="E114" i="79" s="1"/>
  <c r="D114" i="79" a="1"/>
  <c r="D114" i="79" s="1"/>
  <c r="F113" i="79" a="1"/>
  <c r="F113" i="79" s="1"/>
  <c r="E113" i="79" a="1"/>
  <c r="E113" i="79" s="1"/>
  <c r="D113" i="79" a="1"/>
  <c r="D113" i="79" s="1"/>
  <c r="F112" i="79" a="1"/>
  <c r="F112" i="79" s="1"/>
  <c r="E112" i="79" a="1"/>
  <c r="E112" i="79" s="1"/>
  <c r="D112" i="79" a="1"/>
  <c r="D112" i="79" s="1"/>
  <c r="D110" i="79" a="1"/>
  <c r="D110" i="79" s="1"/>
  <c r="D109" i="79" a="1"/>
  <c r="D109" i="79" s="1"/>
  <c r="D108" i="79" a="1"/>
  <c r="D108" i="79" s="1"/>
  <c r="D105" i="79" a="1"/>
  <c r="D105" i="79" s="1"/>
  <c r="E105" i="79" a="1"/>
  <c r="E105" i="79" s="1"/>
  <c r="F105" i="79" a="1"/>
  <c r="F105" i="79" s="1"/>
  <c r="D104" i="79" a="1"/>
  <c r="D104" i="79" s="1"/>
  <c r="E104" i="79" a="1"/>
  <c r="E104" i="79" s="1"/>
  <c r="F104" i="79" a="1"/>
  <c r="F104" i="79" s="1"/>
  <c r="D103" i="79" a="1"/>
  <c r="D103" i="79" s="1"/>
  <c r="E103" i="79" a="1"/>
  <c r="E103" i="79" s="1"/>
  <c r="F103" i="79" a="1"/>
  <c r="F103" i="79" s="1"/>
  <c r="D102" i="79" a="1"/>
  <c r="D102" i="79" s="1"/>
  <c r="E102" i="79" a="1"/>
  <c r="E102" i="79" s="1"/>
  <c r="F102" i="79" a="1"/>
  <c r="F102" i="79" s="1"/>
  <c r="D101" i="79" a="1"/>
  <c r="D101" i="79" s="1"/>
  <c r="E101" i="79" a="1"/>
  <c r="E101" i="79" s="1"/>
  <c r="F101" i="79" a="1"/>
  <c r="F101" i="79" s="1"/>
  <c r="F100" i="79" a="1"/>
  <c r="F100" i="79" s="1"/>
  <c r="E100" i="79" a="1"/>
  <c r="E100" i="79" s="1"/>
  <c r="D100" i="79" a="1"/>
  <c r="D100" i="79" s="1"/>
  <c r="D98" i="79" a="1"/>
  <c r="D98" i="79" s="1"/>
  <c r="D97" i="79" a="1"/>
  <c r="D97" i="79" s="1"/>
  <c r="D96" i="79" a="1"/>
  <c r="D96" i="79" s="1"/>
  <c r="E82" i="79" a="1"/>
  <c r="E82" i="79" s="1"/>
  <c r="D82" i="79" a="1"/>
  <c r="D82" i="79" s="1"/>
  <c r="E81" i="79" a="1"/>
  <c r="E81" i="79" s="1"/>
  <c r="D81" i="79" a="1"/>
  <c r="D81" i="79" s="1"/>
  <c r="E80" i="79" a="1"/>
  <c r="E80" i="79" s="1"/>
  <c r="D80" i="79" a="1"/>
  <c r="D80" i="79" s="1"/>
  <c r="E79" i="79" a="1"/>
  <c r="E79" i="79" s="1"/>
  <c r="D79" i="79" a="1"/>
  <c r="D79" i="79" s="1"/>
  <c r="D76" i="79" a="1"/>
  <c r="D76" i="79" s="1"/>
  <c r="D75" i="79" a="1"/>
  <c r="D75" i="79" s="1"/>
  <c r="D74" i="79" a="1"/>
  <c r="D74" i="79" s="1"/>
  <c r="F93" i="79" a="1"/>
  <c r="F93" i="79" s="1"/>
  <c r="E93" i="79" a="1"/>
  <c r="E93" i="79" s="1"/>
  <c r="F92" i="79" a="1"/>
  <c r="F92" i="79" s="1"/>
  <c r="E92" i="79" a="1"/>
  <c r="E92" i="79" s="1"/>
  <c r="D92" i="79" a="1"/>
  <c r="D92" i="79" s="1"/>
  <c r="F91" i="79" a="1"/>
  <c r="F91" i="79" s="1"/>
  <c r="E91" i="79" a="1"/>
  <c r="E91" i="79" s="1"/>
  <c r="D91" i="79" a="1"/>
  <c r="D91" i="79" s="1"/>
  <c r="F90" i="79" a="1"/>
  <c r="F90" i="79" s="1"/>
  <c r="E90" i="79" a="1"/>
  <c r="E90" i="79" s="1"/>
  <c r="D90" i="79" a="1"/>
  <c r="D90" i="79" s="1"/>
  <c r="D87" i="79" a="1"/>
  <c r="D87" i="79" s="1"/>
  <c r="D86" i="79" a="1"/>
  <c r="D86" i="79" s="1"/>
  <c r="D85" i="79" a="1"/>
  <c r="D85" i="79" s="1"/>
  <c r="H13" i="76"/>
  <c r="G20" i="76"/>
  <c r="F20" i="76"/>
  <c r="E20" i="76"/>
  <c r="D20" i="76"/>
  <c r="G272" i="69"/>
  <c r="F272" i="69"/>
  <c r="E272" i="69"/>
  <c r="D272" i="69"/>
  <c r="D13" i="76" a="1"/>
  <c r="D13" i="76" s="1"/>
  <c r="E11" i="76" a="1"/>
  <c r="E11" i="76" s="1"/>
  <c r="H35" i="76" s="1"/>
  <c r="E10" i="76" a="1"/>
  <c r="E10" i="76" s="1"/>
  <c r="D6" i="76" a="1"/>
  <c r="D6" i="76" s="1"/>
  <c r="D5" i="76" a="1"/>
  <c r="D5" i="76" s="1"/>
  <c r="D112" i="76" a="1"/>
  <c r="D112" i="76" s="1"/>
  <c r="E110" i="76" a="1"/>
  <c r="E110" i="76" s="1"/>
  <c r="E109" i="76" a="1"/>
  <c r="E109" i="76" s="1"/>
  <c r="P285" i="69" a="1"/>
  <c r="P285" i="69" s="1"/>
  <c r="N282" i="69" a="1"/>
  <c r="N282" i="69" s="1"/>
  <c r="R245" i="69"/>
  <c r="N225" i="69"/>
  <c r="N73" i="69"/>
  <c r="D73" i="69"/>
  <c r="N193" i="69"/>
  <c r="I153" i="69"/>
  <c r="H153" i="69"/>
  <c r="G153" i="69"/>
  <c r="F153" i="69"/>
  <c r="I152" i="69"/>
  <c r="H152" i="69"/>
  <c r="G152" i="69"/>
  <c r="F152" i="69"/>
  <c r="I151" i="69"/>
  <c r="H151" i="69"/>
  <c r="G151" i="69"/>
  <c r="F151" i="69"/>
  <c r="I150" i="69"/>
  <c r="H150" i="69"/>
  <c r="G150" i="69"/>
  <c r="F150" i="69"/>
  <c r="I149" i="69"/>
  <c r="H149" i="69"/>
  <c r="G149" i="69"/>
  <c r="F149" i="69"/>
  <c r="I148" i="69"/>
  <c r="H148" i="69"/>
  <c r="G148" i="69"/>
  <c r="F148" i="69"/>
  <c r="N115" i="69"/>
  <c r="R34" i="69"/>
  <c r="Q34" i="69"/>
  <c r="P34" i="69"/>
  <c r="R33" i="69"/>
  <c r="Q33" i="69"/>
  <c r="P33" i="69"/>
  <c r="R32" i="69"/>
  <c r="Q32" i="69"/>
  <c r="P32" i="69"/>
  <c r="R31" i="69"/>
  <c r="Q31" i="69"/>
  <c r="P31" i="69"/>
  <c r="O34" i="69"/>
  <c r="O33" i="69"/>
  <c r="O32" i="69"/>
  <c r="O31" i="69"/>
  <c r="R30" i="69"/>
  <c r="Q30" i="69"/>
  <c r="P30" i="69"/>
  <c r="O30" i="69"/>
  <c r="E7" i="76" a="1"/>
  <c r="E82" i="76" a="1"/>
  <c r="E41" i="76" a="1"/>
  <c r="E173" i="76" a="1"/>
  <c r="E129" i="76" a="1"/>
  <c r="E106" i="76" a="1"/>
  <c r="H72" i="76" l="1" a="1"/>
  <c r="H72" i="76" s="1"/>
  <c r="E147" i="76" a="1"/>
  <c r="E147" i="76" s="1"/>
  <c r="E157" i="76" a="1"/>
  <c r="E157" i="76" s="1"/>
  <c r="E58" i="97" a="1"/>
  <c r="E58" i="97" s="1"/>
  <c r="O100" i="76" a="1"/>
  <c r="O100" i="76" s="1"/>
  <c r="H75" i="76" a="1"/>
  <c r="H75" i="76" s="1"/>
  <c r="R75" i="76" a="1"/>
  <c r="R75" i="76" s="1"/>
  <c r="P100" i="76" a="1"/>
  <c r="P100" i="76" s="1"/>
  <c r="I121" i="76"/>
  <c r="I22" i="97" s="1"/>
  <c r="S118" i="76"/>
  <c r="S19" i="97" s="1"/>
  <c r="S123" i="76"/>
  <c r="S24" i="97" s="1"/>
  <c r="S121" i="76"/>
  <c r="S22" i="97" s="1"/>
  <c r="S122" i="76"/>
  <c r="S23" i="97" s="1"/>
  <c r="S120" i="76"/>
  <c r="S21" i="97" s="1"/>
  <c r="S119" i="76"/>
  <c r="S20" i="97" s="1"/>
  <c r="I167" i="76"/>
  <c r="S167" i="76"/>
  <c r="S165" i="76"/>
  <c r="S163" i="76"/>
  <c r="S166" i="76"/>
  <c r="S164" i="76"/>
  <c r="S162" i="76"/>
  <c r="J223" i="76"/>
  <c r="J43" i="97" s="1"/>
  <c r="T218" i="76"/>
  <c r="T38" i="97" s="1"/>
  <c r="T224" i="76"/>
  <c r="T44" i="97" s="1"/>
  <c r="T227" i="76"/>
  <c r="T47" i="97" s="1"/>
  <c r="T212" i="76"/>
  <c r="T32" i="97" s="1"/>
  <c r="T209" i="76"/>
  <c r="T29" i="97" s="1"/>
  <c r="T215" i="76"/>
  <c r="T35" i="97" s="1"/>
  <c r="T222" i="76"/>
  <c r="T42" i="97" s="1"/>
  <c r="T217" i="76"/>
  <c r="T37" i="97" s="1"/>
  <c r="T226" i="76"/>
  <c r="T46" i="97" s="1"/>
  <c r="T221" i="76"/>
  <c r="T41" i="97" s="1"/>
  <c r="T211" i="76"/>
  <c r="T31" i="97" s="1"/>
  <c r="T225" i="76"/>
  <c r="T45" i="97" s="1"/>
  <c r="T220" i="76"/>
  <c r="T40" i="97" s="1"/>
  <c r="T216" i="76"/>
  <c r="T36" i="97" s="1"/>
  <c r="T210" i="76"/>
  <c r="T30" i="97" s="1"/>
  <c r="T223" i="76"/>
  <c r="T43" i="97" s="1"/>
  <c r="T214" i="76"/>
  <c r="T34" i="97" s="1"/>
  <c r="T228" i="76"/>
  <c r="T48" i="97" s="1"/>
  <c r="T213" i="76"/>
  <c r="T33" i="97" s="1"/>
  <c r="T219" i="76"/>
  <c r="T39" i="97" s="1"/>
  <c r="T268" i="76"/>
  <c r="T255" i="76"/>
  <c r="T249" i="76"/>
  <c r="T247" i="76"/>
  <c r="T250" i="76"/>
  <c r="T261" i="76"/>
  <c r="T269" i="76"/>
  <c r="T265" i="76"/>
  <c r="T258" i="76"/>
  <c r="T254" i="76"/>
  <c r="T267" i="76"/>
  <c r="P274" i="76"/>
  <c r="T253" i="76"/>
  <c r="T256" i="76"/>
  <c r="T272" i="76"/>
  <c r="T260" i="76"/>
  <c r="T270" i="76"/>
  <c r="T262" i="76"/>
  <c r="T252" i="76"/>
  <c r="T248" i="76"/>
  <c r="T271" i="76"/>
  <c r="T263" i="76"/>
  <c r="T266" i="76"/>
  <c r="T259" i="76"/>
  <c r="T257" i="76"/>
  <c r="T251" i="76"/>
  <c r="T264" i="76"/>
  <c r="E74" i="76" a="1"/>
  <c r="E74" i="76" s="1"/>
  <c r="O74" i="76" a="1"/>
  <c r="O74" i="76" s="1"/>
  <c r="I100" i="76"/>
  <c r="E75" i="76" a="1"/>
  <c r="E75" i="76" s="1"/>
  <c r="O75" i="76" a="1"/>
  <c r="O75" i="76" s="1"/>
  <c r="R100" i="76" a="1"/>
  <c r="R100" i="76" s="1"/>
  <c r="H73" i="76" a="1"/>
  <c r="H73" i="76" s="1"/>
  <c r="R73" i="76" a="1"/>
  <c r="R73" i="76" s="1"/>
  <c r="E72" i="76" a="1"/>
  <c r="E72" i="76" s="1"/>
  <c r="O72" i="76" a="1"/>
  <c r="O72" i="76" s="1"/>
  <c r="F72" i="76" a="1"/>
  <c r="F72" i="76" s="1"/>
  <c r="P72" i="76" a="1"/>
  <c r="P72" i="76" s="1"/>
  <c r="I74" i="76"/>
  <c r="S75" i="76"/>
  <c r="S73" i="76"/>
  <c r="S74" i="76"/>
  <c r="S72" i="76"/>
  <c r="S71" i="76"/>
  <c r="Q100" i="76" a="1"/>
  <c r="Q100" i="76" s="1"/>
  <c r="G100" i="76" a="1"/>
  <c r="G100" i="76" s="1"/>
  <c r="I118" i="76"/>
  <c r="I19" i="97" s="1"/>
  <c r="G75" i="76" a="1"/>
  <c r="G75" i="76" s="1"/>
  <c r="I163" i="76"/>
  <c r="G73" i="76" a="1"/>
  <c r="G73" i="76" s="1"/>
  <c r="I119" i="76"/>
  <c r="I20" i="97" s="1"/>
  <c r="J255" i="76"/>
  <c r="J263" i="76"/>
  <c r="J266" i="76"/>
  <c r="J254" i="76"/>
  <c r="F274" i="76"/>
  <c r="J265" i="76"/>
  <c r="J253" i="76"/>
  <c r="J264" i="76"/>
  <c r="J252" i="76"/>
  <c r="J269" i="76"/>
  <c r="J258" i="76"/>
  <c r="J256" i="76"/>
  <c r="J251" i="76"/>
  <c r="J250" i="76"/>
  <c r="J267" i="76"/>
  <c r="J262" i="76"/>
  <c r="J249" i="76"/>
  <c r="J272" i="76"/>
  <c r="J261" i="76"/>
  <c r="J248" i="76"/>
  <c r="J271" i="76"/>
  <c r="J247" i="76"/>
  <c r="J268" i="76"/>
  <c r="J257" i="76"/>
  <c r="J270" i="76"/>
  <c r="J260" i="76"/>
  <c r="J259" i="76"/>
  <c r="D35" i="76" a="1"/>
  <c r="D35" i="76" s="1"/>
  <c r="I122" i="76"/>
  <c r="I23" i="97" s="1"/>
  <c r="I120" i="76"/>
  <c r="I21" i="97" s="1"/>
  <c r="I123" i="76"/>
  <c r="I24" i="97" s="1"/>
  <c r="E73" i="76" a="1"/>
  <c r="E73" i="76" s="1"/>
  <c r="J214" i="76"/>
  <c r="J34" i="97" s="1"/>
  <c r="J225" i="76"/>
  <c r="J45" i="97" s="1"/>
  <c r="F74" i="76" a="1"/>
  <c r="F74" i="76" s="1"/>
  <c r="E100" i="76" a="1"/>
  <c r="E100" i="76" s="1"/>
  <c r="J215" i="76"/>
  <c r="J35" i="97" s="1"/>
  <c r="G74" i="76" a="1"/>
  <c r="G74" i="76" s="1"/>
  <c r="F100" i="76" a="1"/>
  <c r="F100" i="76" s="1"/>
  <c r="J216" i="76"/>
  <c r="J36" i="97" s="1"/>
  <c r="J226" i="76"/>
  <c r="J46" i="97" s="1"/>
  <c r="I162" i="76"/>
  <c r="J227" i="76"/>
  <c r="J47" i="97" s="1"/>
  <c r="J217" i="76"/>
  <c r="J37" i="97" s="1"/>
  <c r="J228" i="76"/>
  <c r="J48" i="97" s="1"/>
  <c r="I164" i="76"/>
  <c r="J218" i="76"/>
  <c r="J38" i="97" s="1"/>
  <c r="E35" i="76" a="1"/>
  <c r="E35" i="76" s="1"/>
  <c r="F71" i="76" a="1"/>
  <c r="F71" i="76" s="1"/>
  <c r="H74" i="76" a="1"/>
  <c r="H74" i="76" s="1"/>
  <c r="I165" i="76"/>
  <c r="J219" i="76"/>
  <c r="J39" i="97" s="1"/>
  <c r="J213" i="76"/>
  <c r="J33" i="97" s="1"/>
  <c r="G71" i="76" a="1"/>
  <c r="G71" i="76" s="1"/>
  <c r="I166" i="76"/>
  <c r="G35" i="76" a="1"/>
  <c r="G35" i="76" s="1"/>
  <c r="H71" i="76" a="1"/>
  <c r="H71" i="76" s="1"/>
  <c r="F75" i="76" a="1"/>
  <c r="F75" i="76" s="1"/>
  <c r="J220" i="76"/>
  <c r="J40" i="97" s="1"/>
  <c r="H100" i="76" a="1"/>
  <c r="H100" i="76" s="1"/>
  <c r="J222" i="76"/>
  <c r="J42" i="97" s="1"/>
  <c r="J224" i="76"/>
  <c r="J44" i="97" s="1"/>
  <c r="J209" i="76"/>
  <c r="J29" i="97" s="1"/>
  <c r="J221" i="76"/>
  <c r="J41" i="97" s="1"/>
  <c r="F73" i="76" a="1"/>
  <c r="F73" i="76" s="1"/>
  <c r="J210" i="76"/>
  <c r="J30" i="97" s="1"/>
  <c r="F35" i="76" a="1"/>
  <c r="F35" i="76" s="1"/>
  <c r="G72" i="76" a="1"/>
  <c r="G72" i="76" s="1"/>
  <c r="J211" i="76"/>
  <c r="J31" i="97" s="1"/>
  <c r="J212" i="76"/>
  <c r="J32" i="97" s="1"/>
  <c r="E173" i="76"/>
  <c r="E129" i="76"/>
  <c r="E106" i="76"/>
  <c r="I71" i="76"/>
  <c r="I72" i="76"/>
  <c r="I73" i="76"/>
  <c r="I75" i="76"/>
  <c r="E82" i="76"/>
  <c r="E41" i="76"/>
  <c r="E7" i="76"/>
  <c r="D10" i="70"/>
  <c r="D11" i="70"/>
  <c r="G266" i="69"/>
  <c r="F266" i="69"/>
  <c r="E266" i="69"/>
  <c r="D266" i="69"/>
  <c r="D225" i="69"/>
  <c r="G210" i="69"/>
  <c r="D193" i="69"/>
  <c r="G135" i="69"/>
  <c r="D171" i="69"/>
  <c r="I160" i="69"/>
  <c r="H160" i="69"/>
  <c r="G160" i="69"/>
  <c r="F160" i="69"/>
  <c r="I159" i="69"/>
  <c r="H159" i="69"/>
  <c r="G159" i="69"/>
  <c r="F159" i="69"/>
  <c r="I158" i="69"/>
  <c r="H158" i="69"/>
  <c r="G158" i="69"/>
  <c r="F158" i="69"/>
  <c r="I157" i="69"/>
  <c r="H157" i="69"/>
  <c r="G157" i="69"/>
  <c r="F157" i="69"/>
  <c r="I156" i="69"/>
  <c r="H156" i="69"/>
  <c r="G156" i="69"/>
  <c r="F156" i="69"/>
  <c r="I155" i="69"/>
  <c r="H155" i="69"/>
  <c r="G155" i="69"/>
  <c r="F155" i="69"/>
  <c r="I154" i="69"/>
  <c r="H154" i="69"/>
  <c r="G154" i="69"/>
  <c r="F154" i="69"/>
  <c r="H51" i="70"/>
  <c r="G51" i="70"/>
  <c r="F51" i="70"/>
  <c r="H80" i="70"/>
  <c r="G80" i="70"/>
  <c r="F80" i="70"/>
  <c r="H73" i="70"/>
  <c r="G73" i="70"/>
  <c r="F73" i="70"/>
  <c r="H66" i="70"/>
  <c r="G66" i="70"/>
  <c r="F66" i="70"/>
  <c r="H59" i="70"/>
  <c r="G59" i="70"/>
  <c r="F59" i="70"/>
  <c r="I147" i="69"/>
  <c r="H147" i="69"/>
  <c r="G147" i="69"/>
  <c r="F147" i="69"/>
  <c r="I146" i="69"/>
  <c r="H146" i="69"/>
  <c r="G146" i="69"/>
  <c r="F146" i="69"/>
  <c r="I145" i="69"/>
  <c r="H145" i="69"/>
  <c r="G145" i="69"/>
  <c r="F145" i="69"/>
  <c r="I144" i="69"/>
  <c r="H144" i="69"/>
  <c r="G144" i="69"/>
  <c r="F144" i="69"/>
  <c r="I143" i="69"/>
  <c r="H143" i="69"/>
  <c r="G143" i="69"/>
  <c r="F143" i="69"/>
  <c r="I142" i="69"/>
  <c r="H142" i="69"/>
  <c r="G142" i="69"/>
  <c r="F142" i="69"/>
  <c r="I141" i="69"/>
  <c r="H141" i="69"/>
  <c r="G141" i="69"/>
  <c r="F141" i="69"/>
  <c r="D157" i="69"/>
  <c r="D115" i="69"/>
  <c r="G87" i="69"/>
  <c r="D104" i="69"/>
  <c r="D51" i="69" a="1"/>
  <c r="D51" i="69" s="1"/>
  <c r="H67" i="69"/>
  <c r="G67" i="69"/>
  <c r="F67" i="69"/>
  <c r="E67" i="69"/>
  <c r="D67" i="69"/>
  <c r="H34" i="69"/>
  <c r="G34" i="69"/>
  <c r="F34" i="69"/>
  <c r="E34" i="69"/>
  <c r="H33" i="69"/>
  <c r="G33" i="69"/>
  <c r="F33" i="69"/>
  <c r="E33" i="69"/>
  <c r="H32" i="69"/>
  <c r="G32" i="69"/>
  <c r="F32" i="69"/>
  <c r="E32" i="69"/>
  <c r="H31" i="69"/>
  <c r="G31" i="69"/>
  <c r="F31" i="69"/>
  <c r="E31" i="69"/>
  <c r="H30" i="69"/>
  <c r="G30" i="69"/>
  <c r="F30" i="69"/>
  <c r="E30" i="69"/>
  <c r="H24" i="69"/>
  <c r="R44" i="69" s="1" a="1"/>
  <c r="R44" i="69" s="1"/>
  <c r="G24" i="69"/>
  <c r="Q44" i="69" s="1" a="1"/>
  <c r="Q44" i="69" s="1"/>
  <c r="F24" i="69"/>
  <c r="P44" i="69" s="1" a="1"/>
  <c r="P44" i="69" s="1"/>
  <c r="E24" i="69"/>
  <c r="O44" i="69" s="1" a="1"/>
  <c r="O44" i="69" s="1"/>
  <c r="H23" i="69"/>
  <c r="R43" i="69" s="1" a="1"/>
  <c r="R43" i="69" s="1"/>
  <c r="G23" i="69"/>
  <c r="Q43" i="69" s="1" a="1"/>
  <c r="Q43" i="69" s="1"/>
  <c r="F23" i="69"/>
  <c r="P43" i="69" s="1" a="1"/>
  <c r="P43" i="69" s="1"/>
  <c r="E23" i="69"/>
  <c r="O43" i="69" s="1" a="1"/>
  <c r="O43" i="69" s="1"/>
  <c r="H22" i="69"/>
  <c r="R42" i="69" s="1" a="1"/>
  <c r="R42" i="69" s="1"/>
  <c r="G22" i="69"/>
  <c r="Q42" i="69" s="1" a="1"/>
  <c r="Q42" i="69" s="1"/>
  <c r="F22" i="69"/>
  <c r="P42" i="69" s="1" a="1"/>
  <c r="P42" i="69" s="1"/>
  <c r="E22" i="69"/>
  <c r="O42" i="69" s="1" a="1"/>
  <c r="O42" i="69" s="1"/>
  <c r="H21" i="69"/>
  <c r="R41" i="69" s="1" a="1"/>
  <c r="R41" i="69" s="1"/>
  <c r="G21" i="69"/>
  <c r="Q41" i="69" s="1" a="1"/>
  <c r="Q41" i="69" s="1"/>
  <c r="F21" i="69"/>
  <c r="P41" i="69" s="1" a="1"/>
  <c r="P41" i="69" s="1"/>
  <c r="E21" i="69"/>
  <c r="O41" i="69" s="1" a="1"/>
  <c r="O41" i="69" s="1"/>
  <c r="H20" i="69"/>
  <c r="R40" i="69" s="1" a="1"/>
  <c r="R40" i="69" s="1"/>
  <c r="G20" i="69"/>
  <c r="Q40" i="69" s="1" a="1"/>
  <c r="Q40" i="69" s="1"/>
  <c r="F20" i="69"/>
  <c r="P40" i="69" s="1" a="1"/>
  <c r="P40" i="69" s="1"/>
  <c r="E20" i="69"/>
  <c r="O40" i="69" s="1" a="1"/>
  <c r="O40" i="69" s="1"/>
  <c r="E7" i="69" a="1"/>
  <c r="E50" i="69" a="1"/>
  <c r="Q73" i="69" l="1" a="1"/>
  <c r="Q73" i="69" s="1"/>
  <c r="R73" i="69" a="1"/>
  <c r="R73" i="69" s="1"/>
  <c r="E120" i="76" a="1"/>
  <c r="E120" i="76" s="1"/>
  <c r="E21" i="97" s="1"/>
  <c r="O73" i="69" a="1"/>
  <c r="O73" i="69" s="1"/>
  <c r="E73" i="69" a="1"/>
  <c r="E73" i="69" s="1"/>
  <c r="P73" i="69" a="1"/>
  <c r="P73" i="69" s="1"/>
  <c r="R19" i="97"/>
  <c r="R22" i="97"/>
  <c r="R24" i="97"/>
  <c r="R21" i="97"/>
  <c r="R23" i="97"/>
  <c r="E119" i="76" a="1"/>
  <c r="E119" i="76" s="1"/>
  <c r="E23" i="98" s="1"/>
  <c r="O23" i="97"/>
  <c r="O21" i="97"/>
  <c r="O24" i="97"/>
  <c r="O22" i="97"/>
  <c r="O19" i="97"/>
  <c r="P24" i="97"/>
  <c r="P22" i="97"/>
  <c r="P19" i="97"/>
  <c r="P21" i="97"/>
  <c r="P23" i="97"/>
  <c r="E123" i="76" a="1"/>
  <c r="E123" i="76" s="1"/>
  <c r="E167" i="76" s="1" a="1"/>
  <c r="E167" i="76" s="1"/>
  <c r="Q22" i="97"/>
  <c r="Q19" i="97"/>
  <c r="Q24" i="97"/>
  <c r="Q21" i="97"/>
  <c r="Q23" i="97"/>
  <c r="E121" i="76" a="1"/>
  <c r="E121" i="76" s="1"/>
  <c r="E118" i="76" a="1"/>
  <c r="E118" i="76" s="1"/>
  <c r="E122" i="76" a="1"/>
  <c r="E122" i="76" s="1"/>
  <c r="F120" i="76" a="1"/>
  <c r="F120" i="76" s="1"/>
  <c r="F123" i="76" a="1"/>
  <c r="F123" i="76" s="1"/>
  <c r="F119" i="76" a="1"/>
  <c r="F119" i="76" s="1"/>
  <c r="F23" i="98" s="1"/>
  <c r="F122" i="76" a="1"/>
  <c r="F122" i="76" s="1"/>
  <c r="F118" i="76" a="1"/>
  <c r="F118" i="76" s="1"/>
  <c r="F121" i="76" a="1"/>
  <c r="F121" i="76" s="1"/>
  <c r="H119" i="76" a="1"/>
  <c r="H119" i="76" s="1"/>
  <c r="H23" i="98" s="1"/>
  <c r="H121" i="76" a="1"/>
  <c r="H121" i="76" s="1"/>
  <c r="H123" i="76" a="1"/>
  <c r="H123" i="76" s="1"/>
  <c r="H122" i="76" a="1"/>
  <c r="H122" i="76" s="1"/>
  <c r="H118" i="76" a="1"/>
  <c r="H118" i="76" s="1"/>
  <c r="H120" i="76" a="1"/>
  <c r="H120" i="76" s="1"/>
  <c r="G123" i="76" a="1"/>
  <c r="G123" i="76" s="1"/>
  <c r="G119" i="76" a="1"/>
  <c r="G119" i="76" s="1"/>
  <c r="G23" i="98" s="1"/>
  <c r="G122" i="76" a="1"/>
  <c r="G122" i="76" s="1"/>
  <c r="G118" i="76" a="1"/>
  <c r="G118" i="76" s="1"/>
  <c r="G120" i="76" a="1"/>
  <c r="G120" i="76" s="1"/>
  <c r="G121" i="76" a="1"/>
  <c r="G121" i="76" s="1"/>
  <c r="H40" i="69" a="1"/>
  <c r="H40" i="69" s="1"/>
  <c r="G73" i="69" a="1"/>
  <c r="G73" i="69" s="1"/>
  <c r="F73" i="69" a="1"/>
  <c r="F73" i="69" s="1"/>
  <c r="H73" i="69" a="1"/>
  <c r="H73" i="69" s="1"/>
  <c r="E50" i="69"/>
  <c r="E7" i="69"/>
  <c r="E42" i="69" a="1"/>
  <c r="E42" i="69" s="1"/>
  <c r="E44" i="69" a="1"/>
  <c r="E44" i="69" s="1"/>
  <c r="F44" i="69" a="1"/>
  <c r="F44" i="69" s="1"/>
  <c r="F41" i="69" a="1"/>
  <c r="F41" i="69" s="1"/>
  <c r="E41" i="69" a="1"/>
  <c r="E41" i="69" s="1"/>
  <c r="E43" i="69" a="1"/>
  <c r="E43" i="69" s="1"/>
  <c r="H41" i="69" a="1"/>
  <c r="H41" i="69" s="1"/>
  <c r="H43" i="69" a="1"/>
  <c r="H43" i="69" s="1"/>
  <c r="F42" i="69" a="1"/>
  <c r="F42" i="69" s="1"/>
  <c r="F43" i="69" a="1"/>
  <c r="F43" i="69" s="1"/>
  <c r="G41" i="69" a="1"/>
  <c r="G41" i="69" s="1"/>
  <c r="G43" i="69" a="1"/>
  <c r="G43" i="69" s="1"/>
  <c r="E40" i="69" a="1"/>
  <c r="E40" i="69" s="1"/>
  <c r="G40" i="69" a="1"/>
  <c r="G40" i="69" s="1"/>
  <c r="G42" i="69" a="1"/>
  <c r="G42" i="69" s="1"/>
  <c r="G44" i="69" a="1"/>
  <c r="G44" i="69" s="1"/>
  <c r="F40" i="69" a="1"/>
  <c r="F40" i="69" s="1"/>
  <c r="H42" i="69" a="1"/>
  <c r="H42" i="69" s="1"/>
  <c r="H44" i="69" a="1"/>
  <c r="H44" i="69" s="1"/>
  <c r="E20" i="97" l="1"/>
  <c r="O20" i="97"/>
  <c r="N23" i="98"/>
  <c r="P23" i="98"/>
  <c r="Q20" i="97"/>
  <c r="O23" i="98"/>
  <c r="P20" i="97"/>
  <c r="Q23" i="98"/>
  <c r="R20" i="97"/>
  <c r="F227" i="76" a="1"/>
  <c r="F227" i="76" s="1"/>
  <c r="F40" i="105" s="1"/>
  <c r="F226" i="76" a="1"/>
  <c r="F226" i="76" s="1"/>
  <c r="P167" i="76" a="1"/>
  <c r="P167" i="76" s="1"/>
  <c r="O167" i="76" a="1"/>
  <c r="O167" i="76" s="1"/>
  <c r="Q167" i="76" a="1"/>
  <c r="Q167" i="76" s="1"/>
  <c r="R167" i="76" a="1"/>
  <c r="R167" i="76" s="1"/>
  <c r="E24" i="97"/>
  <c r="G167" i="76" a="1"/>
  <c r="G167" i="76" s="1"/>
  <c r="H226" i="76" s="1" a="1"/>
  <c r="H226" i="76" s="1"/>
  <c r="H39" i="105" s="1"/>
  <c r="G24" i="97"/>
  <c r="H20" i="97"/>
  <c r="E23" i="97"/>
  <c r="E19" i="97"/>
  <c r="E22" i="97"/>
  <c r="G22" i="97"/>
  <c r="G21" i="97"/>
  <c r="H19" i="97"/>
  <c r="G19" i="97"/>
  <c r="H23" i="97"/>
  <c r="F228" i="76" a="1"/>
  <c r="F228" i="76" s="1"/>
  <c r="F41" i="105" s="1"/>
  <c r="G23" i="97"/>
  <c r="H167" i="76" a="1"/>
  <c r="H167" i="76" s="1"/>
  <c r="H24" i="97"/>
  <c r="F225" i="76" a="1"/>
  <c r="F225" i="76" s="1"/>
  <c r="F38" i="105" s="1"/>
  <c r="F22" i="97"/>
  <c r="F19" i="97"/>
  <c r="F23" i="97"/>
  <c r="F20" i="97"/>
  <c r="H21" i="97"/>
  <c r="F167" i="76" a="1"/>
  <c r="F167" i="76" s="1"/>
  <c r="G226" i="76" s="1" a="1"/>
  <c r="G226" i="76" s="1"/>
  <c r="G39" i="105" s="1"/>
  <c r="F24" i="97"/>
  <c r="F21" i="97"/>
  <c r="G20" i="97"/>
  <c r="H22" i="97"/>
  <c r="H227" i="76" l="1" a="1"/>
  <c r="H227" i="76" s="1"/>
  <c r="H40" i="105" s="1"/>
  <c r="F47" i="97"/>
  <c r="F46" i="97"/>
  <c r="F39" i="105"/>
  <c r="G227" i="76" a="1"/>
  <c r="G227" i="76" s="1"/>
  <c r="G40" i="105" s="1"/>
  <c r="S225" i="76" a="1"/>
  <c r="S225" i="76" s="1"/>
  <c r="S226" i="76" a="1"/>
  <c r="S226" i="76" s="1"/>
  <c r="S228" i="76" a="1"/>
  <c r="S228" i="76" s="1"/>
  <c r="S227" i="76" a="1"/>
  <c r="S227" i="76" s="1"/>
  <c r="I228" i="76" a="1"/>
  <c r="I228" i="76" s="1"/>
  <c r="G225" i="76" a="1"/>
  <c r="G225" i="76" s="1"/>
  <c r="I226" i="76" a="1"/>
  <c r="I226" i="76" s="1"/>
  <c r="G228" i="76" a="1"/>
  <c r="G228" i="76" s="1"/>
  <c r="G41" i="105" s="1"/>
  <c r="Q227" i="76" a="1"/>
  <c r="Q227" i="76" s="1"/>
  <c r="Q225" i="76" a="1"/>
  <c r="Q225" i="76" s="1"/>
  <c r="Q228" i="76" a="1"/>
  <c r="Q228" i="76" s="1"/>
  <c r="Q226" i="76" a="1"/>
  <c r="Q226" i="76" s="1"/>
  <c r="H225" i="76" a="1"/>
  <c r="H225" i="76" s="1"/>
  <c r="R227" i="76" a="1"/>
  <c r="R227" i="76" s="1"/>
  <c r="R228" i="76" a="1"/>
  <c r="R228" i="76" s="1"/>
  <c r="R225" i="76" a="1"/>
  <c r="R225" i="76" s="1"/>
  <c r="R226" i="76" a="1"/>
  <c r="R226" i="76" s="1"/>
  <c r="P226" i="76" a="1"/>
  <c r="P226" i="76" s="1"/>
  <c r="P227" i="76" a="1"/>
  <c r="P227" i="76" s="1"/>
  <c r="P225" i="76" a="1"/>
  <c r="P225" i="76" s="1"/>
  <c r="P228" i="76" a="1"/>
  <c r="P228" i="76" s="1"/>
  <c r="H228" i="76" a="1"/>
  <c r="H228" i="76" s="1"/>
  <c r="F48" i="97"/>
  <c r="G46" i="97"/>
  <c r="G47" i="97"/>
  <c r="H46" i="97"/>
  <c r="F45" i="97"/>
  <c r="I225" i="76" a="1"/>
  <c r="I225" i="76" s="1"/>
  <c r="I38" i="105" s="1"/>
  <c r="I227" i="76" a="1"/>
  <c r="I227" i="76" s="1"/>
  <c r="I40" i="105" s="1"/>
  <c r="H47" i="97" l="1"/>
  <c r="G48" i="97"/>
  <c r="H48" i="97"/>
  <c r="H41" i="105"/>
  <c r="I48" i="97"/>
  <c r="I41" i="105"/>
  <c r="H45" i="97"/>
  <c r="H38" i="105"/>
  <c r="I46" i="97"/>
  <c r="I39" i="105"/>
  <c r="G45" i="97"/>
  <c r="G38" i="105"/>
  <c r="R48" i="97"/>
  <c r="S47" i="97"/>
  <c r="R47" i="97"/>
  <c r="S48" i="97"/>
  <c r="S46" i="97"/>
  <c r="S45" i="97"/>
  <c r="P48" i="97"/>
  <c r="P45" i="97"/>
  <c r="P47" i="97"/>
  <c r="Q46" i="97"/>
  <c r="P46" i="97"/>
  <c r="Q48" i="97"/>
  <c r="R46" i="97"/>
  <c r="Q45" i="97"/>
  <c r="R45" i="97"/>
  <c r="Q47" i="97"/>
  <c r="I47" i="97"/>
  <c r="I45" i="97"/>
  <c r="E80" i="70" l="1"/>
  <c r="E73" i="70"/>
  <c r="E66" i="70"/>
  <c r="E59" i="70"/>
  <c r="E51" i="70"/>
  <c r="H88" i="70"/>
  <c r="G88" i="70"/>
  <c r="F88" i="70"/>
  <c r="E88" i="70"/>
  <c r="L50" i="70"/>
  <c r="L49" i="70"/>
  <c r="L48" i="70"/>
  <c r="L58" i="70"/>
  <c r="L57" i="70"/>
  <c r="L56" i="70"/>
  <c r="L55" i="70"/>
  <c r="L65" i="70"/>
  <c r="L64" i="70"/>
  <c r="L63" i="70"/>
  <c r="L72" i="70"/>
  <c r="L71" i="70"/>
  <c r="L70" i="70"/>
  <c r="L79" i="70"/>
  <c r="L78" i="70"/>
  <c r="L77" i="70"/>
  <c r="L87" i="70"/>
  <c r="L86" i="70"/>
  <c r="L85" i="70"/>
  <c r="L84" i="70"/>
  <c r="E83" i="70"/>
  <c r="E76" i="70"/>
  <c r="E69" i="70"/>
  <c r="E62" i="70"/>
  <c r="E54" i="70"/>
  <c r="E47" i="70"/>
  <c r="H35" i="70"/>
  <c r="G35" i="70"/>
  <c r="F35" i="70"/>
  <c r="E35" i="70"/>
  <c r="F285" i="69" l="1" a="1"/>
  <c r="F285" i="69" s="1"/>
  <c r="D282" i="69" a="1"/>
  <c r="D282" i="69" s="1"/>
  <c r="G260" i="69"/>
  <c r="G259" i="69"/>
  <c r="G258" i="69"/>
  <c r="D258" i="69" a="1"/>
  <c r="D258" i="69" s="1"/>
  <c r="E256" i="69" a="1"/>
  <c r="E256" i="69" s="1"/>
  <c r="E255" i="69" a="1"/>
  <c r="E255" i="69" s="1"/>
  <c r="D250" i="69" a="1"/>
  <c r="D250" i="69" s="1"/>
  <c r="D249" i="69" a="1"/>
  <c r="D249" i="69" s="1"/>
  <c r="D238" i="69" a="1"/>
  <c r="D238" i="69" s="1"/>
  <c r="E236" i="69" a="1"/>
  <c r="E236" i="69" s="1"/>
  <c r="H245" i="69" s="1"/>
  <c r="E235" i="69" a="1"/>
  <c r="E235" i="69" s="1"/>
  <c r="D231" i="69" a="1"/>
  <c r="D231" i="69" s="1"/>
  <c r="D230" i="69" a="1"/>
  <c r="D230" i="69" s="1"/>
  <c r="D229" i="69" a="1"/>
  <c r="D229" i="69" s="1"/>
  <c r="G211" i="69"/>
  <c r="G209" i="69"/>
  <c r="D209" i="69" a="1"/>
  <c r="D209" i="69" s="1"/>
  <c r="E207" i="69" a="1"/>
  <c r="E207" i="69" s="1"/>
  <c r="E206" i="69" a="1"/>
  <c r="E206" i="69" s="1"/>
  <c r="D201" i="69" a="1"/>
  <c r="D201" i="69" s="1"/>
  <c r="D200" i="69" a="1"/>
  <c r="D200" i="69" s="1"/>
  <c r="G133" i="69"/>
  <c r="G132" i="69"/>
  <c r="G130" i="69"/>
  <c r="D130" i="69" a="1"/>
  <c r="D130" i="69" s="1"/>
  <c r="E128" i="69" a="1"/>
  <c r="E128" i="69" s="1"/>
  <c r="E127" i="69" a="1"/>
  <c r="E127" i="69" s="1"/>
  <c r="D122" i="69" a="1"/>
  <c r="D122" i="69" s="1"/>
  <c r="D121" i="69" a="1"/>
  <c r="D121" i="69" s="1"/>
  <c r="G88" i="69"/>
  <c r="G86" i="69"/>
  <c r="D86" i="69" a="1"/>
  <c r="D86" i="69" s="1"/>
  <c r="E84" i="69" a="1"/>
  <c r="E84" i="69" s="1"/>
  <c r="E83" i="69" a="1"/>
  <c r="E83" i="69" s="1"/>
  <c r="D78" i="69" a="1"/>
  <c r="D78" i="69" s="1"/>
  <c r="D77" i="69" a="1"/>
  <c r="D77" i="69" s="1"/>
  <c r="G61" i="69"/>
  <c r="G60" i="69"/>
  <c r="G59" i="69"/>
  <c r="D59" i="69" a="1"/>
  <c r="D59" i="69" s="1"/>
  <c r="E57" i="69" a="1"/>
  <c r="E57" i="69" s="1"/>
  <c r="E56" i="69" a="1"/>
  <c r="E56" i="69" s="1"/>
  <c r="D49" i="69" a="1"/>
  <c r="D49" i="69" s="1"/>
  <c r="D48" i="69" a="1"/>
  <c r="D48" i="69" s="1"/>
  <c r="H14" i="69"/>
  <c r="H13" i="69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G56" i="79" a="1"/>
  <c r="G56" i="79" s="1"/>
  <c r="G55" i="79" a="1"/>
  <c r="G55" i="79" s="1"/>
  <c r="G54" i="79" a="1"/>
  <c r="G54" i="79" s="1"/>
  <c r="M35" i="79" a="1"/>
  <c r="M35" i="79" s="1"/>
  <c r="L35" i="79" a="1"/>
  <c r="L35" i="79" s="1"/>
  <c r="K35" i="79" a="1"/>
  <c r="K35" i="79" s="1"/>
  <c r="J35" i="79" a="1"/>
  <c r="J35" i="79" s="1"/>
  <c r="I35" i="79" a="1"/>
  <c r="I35" i="79" s="1"/>
  <c r="H35" i="79" a="1"/>
  <c r="H35" i="79" s="1"/>
  <c r="G35" i="79" a="1"/>
  <c r="G35" i="79" s="1"/>
  <c r="F35" i="79" a="1"/>
  <c r="F35" i="79" s="1"/>
  <c r="E35" i="79" a="1"/>
  <c r="E35" i="79" s="1"/>
  <c r="D35" i="79" a="1"/>
  <c r="D35" i="79" s="1"/>
  <c r="M34" i="79" a="1"/>
  <c r="M34" i="79" s="1"/>
  <c r="L34" i="79" a="1"/>
  <c r="L34" i="79" s="1"/>
  <c r="K34" i="79" a="1"/>
  <c r="K34" i="79" s="1"/>
  <c r="J34" i="79" a="1"/>
  <c r="J34" i="79" s="1"/>
  <c r="I34" i="79" a="1"/>
  <c r="I34" i="79" s="1"/>
  <c r="H34" i="79" a="1"/>
  <c r="H34" i="79" s="1"/>
  <c r="G34" i="79" a="1"/>
  <c r="G34" i="79" s="1"/>
  <c r="F34" i="79" a="1"/>
  <c r="F34" i="79" s="1"/>
  <c r="E34" i="79" a="1"/>
  <c r="E34" i="79" s="1"/>
  <c r="D34" i="79" a="1"/>
  <c r="D34" i="79" s="1"/>
  <c r="M33" i="79" a="1"/>
  <c r="M33" i="79" s="1"/>
  <c r="L33" i="79" a="1"/>
  <c r="L33" i="79" s="1"/>
  <c r="K33" i="79" a="1"/>
  <c r="K33" i="79" s="1"/>
  <c r="J33" i="79" a="1"/>
  <c r="J33" i="79" s="1"/>
  <c r="I33" i="79" a="1"/>
  <c r="I33" i="79" s="1"/>
  <c r="H33" i="79" a="1"/>
  <c r="H33" i="79" s="1"/>
  <c r="G33" i="79" a="1"/>
  <c r="G33" i="79" s="1"/>
  <c r="F33" i="79" a="1"/>
  <c r="F33" i="79" s="1"/>
  <c r="E33" i="79" a="1"/>
  <c r="E33" i="79" s="1"/>
  <c r="D33" i="79" a="1"/>
  <c r="D33" i="79" s="1"/>
  <c r="M32" i="79" a="1"/>
  <c r="M32" i="79" s="1"/>
  <c r="L32" i="79" a="1"/>
  <c r="L32" i="79" s="1"/>
  <c r="K32" i="79" a="1"/>
  <c r="K32" i="79" s="1"/>
  <c r="J32" i="79" a="1"/>
  <c r="J32" i="79" s="1"/>
  <c r="I32" i="79" a="1"/>
  <c r="I32" i="79" s="1"/>
  <c r="H32" i="79" a="1"/>
  <c r="H32" i="79" s="1"/>
  <c r="G32" i="79" a="1"/>
  <c r="G32" i="79" s="1"/>
  <c r="F32" i="79" a="1"/>
  <c r="F32" i="79" s="1"/>
  <c r="E32" i="79" a="1"/>
  <c r="E32" i="79" s="1"/>
  <c r="D32" i="79" a="1"/>
  <c r="D32" i="79" s="1"/>
  <c r="M31" i="79" a="1"/>
  <c r="M31" i="79" s="1"/>
  <c r="L31" i="79" a="1"/>
  <c r="L31" i="79" s="1"/>
  <c r="K31" i="79" a="1"/>
  <c r="K31" i="79" s="1"/>
  <c r="J31" i="79" a="1"/>
  <c r="J31" i="79" s="1"/>
  <c r="I31" i="79" a="1"/>
  <c r="I31" i="79" s="1"/>
  <c r="H31" i="79" a="1"/>
  <c r="H31" i="79" s="1"/>
  <c r="G31" i="79" a="1"/>
  <c r="G31" i="79" s="1"/>
  <c r="F31" i="79" a="1"/>
  <c r="F31" i="79" s="1"/>
  <c r="E31" i="79" a="1"/>
  <c r="E31" i="79" s="1"/>
  <c r="D31" i="79" a="1"/>
  <c r="D31" i="79" s="1"/>
  <c r="M30" i="79" a="1"/>
  <c r="M30" i="79" s="1"/>
  <c r="L30" i="79" a="1"/>
  <c r="L30" i="79" s="1"/>
  <c r="K30" i="79" a="1"/>
  <c r="K30" i="79" s="1"/>
  <c r="J30" i="79" a="1"/>
  <c r="J30" i="79" s="1"/>
  <c r="I30" i="79" a="1"/>
  <c r="I30" i="79" s="1"/>
  <c r="H30" i="79" a="1"/>
  <c r="H30" i="79" s="1"/>
  <c r="G30" i="79" a="1"/>
  <c r="G30" i="79" s="1"/>
  <c r="F30" i="79" a="1"/>
  <c r="F30" i="79" s="1"/>
  <c r="E30" i="79" a="1"/>
  <c r="E30" i="79" s="1"/>
  <c r="D30" i="79" a="1"/>
  <c r="D30" i="79" s="1"/>
  <c r="M29" i="79" a="1"/>
  <c r="M29" i="79" s="1"/>
  <c r="L29" i="79" a="1"/>
  <c r="L29" i="79" s="1"/>
  <c r="K29" i="79" a="1"/>
  <c r="K29" i="79" s="1"/>
  <c r="J29" i="79" a="1"/>
  <c r="J29" i="79" s="1"/>
  <c r="I29" i="79" a="1"/>
  <c r="I29" i="79" s="1"/>
  <c r="H29" i="79" a="1"/>
  <c r="H29" i="79" s="1"/>
  <c r="G29" i="79" a="1"/>
  <c r="G29" i="79" s="1"/>
  <c r="F29" i="79" a="1"/>
  <c r="F29" i="79" s="1"/>
  <c r="E29" i="79" a="1"/>
  <c r="E29" i="79" s="1"/>
  <c r="D29" i="79" a="1"/>
  <c r="D29" i="79" s="1"/>
  <c r="D26" i="79" a="1"/>
  <c r="D26" i="79" s="1"/>
  <c r="D25" i="79" a="1"/>
  <c r="D25" i="79" s="1"/>
  <c r="D24" i="79" a="1"/>
  <c r="D24" i="79" s="1"/>
  <c r="F21" i="79" a="1"/>
  <c r="F21" i="79" s="1"/>
  <c r="E21" i="79" a="1"/>
  <c r="E21" i="79" s="1"/>
  <c r="D21" i="79" a="1"/>
  <c r="D21" i="79" s="1"/>
  <c r="D20" i="79" a="1"/>
  <c r="D20" i="79" s="1"/>
  <c r="D19" i="79" a="1"/>
  <c r="D19" i="79" s="1"/>
  <c r="E71" i="79" a="1"/>
  <c r="E71" i="79" s="1"/>
  <c r="D71" i="79" a="1"/>
  <c r="D71" i="79" s="1"/>
  <c r="E70" i="79" a="1"/>
  <c r="E70" i="79" s="1"/>
  <c r="D70" i="79" a="1"/>
  <c r="D70" i="79" s="1"/>
  <c r="E69" i="79" a="1"/>
  <c r="E69" i="79" s="1"/>
  <c r="D69" i="79" a="1"/>
  <c r="D69" i="79" s="1"/>
  <c r="E68" i="79" a="1"/>
  <c r="E68" i="79" s="1"/>
  <c r="D68" i="79" a="1"/>
  <c r="D68" i="79" s="1"/>
  <c r="D65" i="79" a="1"/>
  <c r="D65" i="79" s="1"/>
  <c r="D64" i="79" a="1"/>
  <c r="D64" i="79" s="1"/>
  <c r="D63" i="79" a="1"/>
  <c r="D63" i="79" s="1"/>
  <c r="E251" i="69" a="1"/>
  <c r="E202" i="69" a="1"/>
  <c r="E79" i="69" a="1"/>
  <c r="E123" i="69" a="1"/>
  <c r="E232" i="69" a="1"/>
  <c r="I73" i="69" l="1"/>
  <c r="S73" i="69"/>
  <c r="T179" i="69"/>
  <c r="T189" i="69"/>
  <c r="T177" i="69"/>
  <c r="T188" i="69"/>
  <c r="T191" i="69"/>
  <c r="T187" i="69"/>
  <c r="T178" i="69"/>
  <c r="T196" i="69"/>
  <c r="T186" i="69"/>
  <c r="T195" i="69"/>
  <c r="T185" i="69"/>
  <c r="T192" i="69"/>
  <c r="T181" i="69"/>
  <c r="T194" i="69"/>
  <c r="T182" i="69"/>
  <c r="T180" i="69"/>
  <c r="T184" i="69"/>
  <c r="T193" i="69"/>
  <c r="T183" i="69"/>
  <c r="T190" i="69"/>
  <c r="S44" i="69"/>
  <c r="S43" i="69"/>
  <c r="S42" i="69"/>
  <c r="S41" i="69"/>
  <c r="S40" i="69"/>
  <c r="I112" i="69"/>
  <c r="S111" i="69"/>
  <c r="I115" i="69"/>
  <c r="I114" i="69"/>
  <c r="S110" i="69"/>
  <c r="S114" i="69"/>
  <c r="S115" i="69"/>
  <c r="S113" i="69"/>
  <c r="S112" i="69"/>
  <c r="P280" i="69"/>
  <c r="F280" i="69"/>
  <c r="R278" i="69"/>
  <c r="S225" i="69"/>
  <c r="S223" i="69"/>
  <c r="S221" i="69"/>
  <c r="S220" i="69"/>
  <c r="S222" i="69"/>
  <c r="S224" i="69"/>
  <c r="G212" i="69"/>
  <c r="G131" i="69"/>
  <c r="H20" i="70" a="1"/>
  <c r="H20" i="70" s="1"/>
  <c r="Q94" i="69" s="1"/>
  <c r="G20" i="70" a="1"/>
  <c r="G20" i="70" s="1"/>
  <c r="P94" i="69" s="1"/>
  <c r="F20" i="70" a="1"/>
  <c r="F20" i="70" s="1"/>
  <c r="O94" i="69" s="1"/>
  <c r="E20" i="70" a="1"/>
  <c r="E20" i="70" s="1"/>
  <c r="N94" i="69" s="1"/>
  <c r="G16" i="70" a="1"/>
  <c r="G16" i="70" s="1"/>
  <c r="F94" i="69" s="1"/>
  <c r="H16" i="70" a="1"/>
  <c r="H16" i="70" s="1"/>
  <c r="G94" i="69" s="1"/>
  <c r="F16" i="70" a="1"/>
  <c r="F16" i="70" s="1"/>
  <c r="E94" i="69" s="1"/>
  <c r="E16" i="70" a="1"/>
  <c r="E16" i="70" s="1"/>
  <c r="D94" i="69" s="1"/>
  <c r="I225" i="69"/>
  <c r="I224" i="69"/>
  <c r="J180" i="69"/>
  <c r="J192" i="69"/>
  <c r="J191" i="69"/>
  <c r="J190" i="69"/>
  <c r="J187" i="69"/>
  <c r="J189" i="69"/>
  <c r="J188" i="69"/>
  <c r="J196" i="69"/>
  <c r="J195" i="69"/>
  <c r="J194" i="69"/>
  <c r="J193" i="69"/>
  <c r="I44" i="69"/>
  <c r="I43" i="69"/>
  <c r="I42" i="69"/>
  <c r="I41" i="69"/>
  <c r="I40" i="69"/>
  <c r="E251" i="69"/>
  <c r="E232" i="69"/>
  <c r="E123" i="69"/>
  <c r="E79" i="69"/>
  <c r="E202" i="69"/>
  <c r="I220" i="69"/>
  <c r="I223" i="69"/>
  <c r="I222" i="69"/>
  <c r="I221" i="69"/>
  <c r="I113" i="69"/>
  <c r="J181" i="69"/>
  <c r="J177" i="69"/>
  <c r="I110" i="69"/>
  <c r="J182" i="69"/>
  <c r="J185" i="69"/>
  <c r="J178" i="69"/>
  <c r="J186" i="69"/>
  <c r="H278" i="69"/>
  <c r="I111" i="69"/>
  <c r="J183" i="69"/>
  <c r="J179" i="69"/>
  <c r="J184" i="69"/>
  <c r="E224" i="103" l="1" a="1"/>
  <c r="E224" i="103" s="1"/>
  <c r="D224" i="103" a="1"/>
  <c r="D224" i="103" s="1"/>
  <c r="E223" i="103" a="1"/>
  <c r="E223" i="103" s="1"/>
  <c r="D223" i="103" a="1"/>
  <c r="D223" i="103" s="1"/>
  <c r="E222" i="103" a="1"/>
  <c r="E222" i="103" s="1"/>
  <c r="D222" i="103" a="1"/>
  <c r="D222" i="103" s="1"/>
  <c r="E221" i="103" a="1"/>
  <c r="E221" i="103" s="1"/>
  <c r="D221" i="103" a="1"/>
  <c r="D221" i="103" s="1"/>
  <c r="E220" i="103" a="1"/>
  <c r="E220" i="103" s="1"/>
  <c r="D220" i="103" a="1"/>
  <c r="D220" i="103" s="1"/>
  <c r="E219" i="103" a="1"/>
  <c r="E219" i="103" s="1"/>
  <c r="D219" i="103" a="1"/>
  <c r="D219" i="103" s="1"/>
  <c r="E218" i="103" a="1"/>
  <c r="E218" i="103" s="1"/>
  <c r="D218" i="103" a="1"/>
  <c r="D218" i="103" s="1"/>
  <c r="E217" i="103" a="1"/>
  <c r="E217" i="103" s="1"/>
  <c r="D217" i="103" a="1"/>
  <c r="D217" i="103" s="1"/>
  <c r="E216" i="103" a="1"/>
  <c r="E216" i="103" s="1"/>
  <c r="D216" i="103" a="1"/>
  <c r="D216" i="103" s="1"/>
  <c r="E215" i="103" a="1"/>
  <c r="E215" i="103" s="1"/>
  <c r="D215" i="103" a="1"/>
  <c r="D215" i="103" s="1"/>
  <c r="E214" i="103" a="1"/>
  <c r="E214" i="103" s="1"/>
  <c r="D214" i="103" a="1"/>
  <c r="D214" i="103" s="1"/>
  <c r="E213" i="103" a="1"/>
  <c r="E213" i="103" s="1"/>
  <c r="D213" i="103" a="1"/>
  <c r="D213" i="103" s="1"/>
  <c r="D211" i="103" a="1"/>
  <c r="D211" i="103" s="1"/>
  <c r="E208" i="103" a="1"/>
  <c r="E208" i="103" s="1"/>
  <c r="D208" i="103" a="1"/>
  <c r="D208" i="103" s="1"/>
  <c r="E207" i="103" a="1"/>
  <c r="E207" i="103" s="1"/>
  <c r="D207" i="103" a="1"/>
  <c r="D207" i="103" s="1"/>
  <c r="D205" i="103" a="1"/>
  <c r="D205" i="103" s="1"/>
  <c r="D204" i="103" a="1"/>
  <c r="D204" i="103" s="1"/>
  <c r="D203" i="103" a="1"/>
  <c r="D203" i="103" s="1"/>
  <c r="D202" i="103" a="1"/>
  <c r="D202" i="103" s="1"/>
  <c r="H199" i="103" a="1"/>
  <c r="H199" i="103" s="1"/>
  <c r="G199" i="103" a="1"/>
  <c r="G199" i="103" s="1"/>
  <c r="F199" i="103" a="1"/>
  <c r="F199" i="103" s="1"/>
  <c r="E199" i="103" a="1"/>
  <c r="E199" i="103" s="1"/>
  <c r="D199" i="103" a="1"/>
  <c r="D199" i="103" s="1"/>
  <c r="H198" i="103" a="1"/>
  <c r="H198" i="103" s="1"/>
  <c r="G198" i="103" a="1"/>
  <c r="G198" i="103" s="1"/>
  <c r="F198" i="103" a="1"/>
  <c r="F198" i="103" s="1"/>
  <c r="E198" i="103" a="1"/>
  <c r="E198" i="103" s="1"/>
  <c r="D198" i="103" a="1"/>
  <c r="D198" i="103" s="1"/>
  <c r="H197" i="103" a="1"/>
  <c r="H197" i="103" s="1"/>
  <c r="G197" i="103" a="1"/>
  <c r="G197" i="103" s="1"/>
  <c r="F197" i="103" a="1"/>
  <c r="F197" i="103" s="1"/>
  <c r="E197" i="103" a="1"/>
  <c r="E197" i="103" s="1"/>
  <c r="D197" i="103" a="1"/>
  <c r="D197" i="103" s="1"/>
  <c r="H196" i="103" a="1"/>
  <c r="H196" i="103" s="1"/>
  <c r="G196" i="103" a="1"/>
  <c r="G196" i="103" s="1"/>
  <c r="F196" i="103" a="1"/>
  <c r="F196" i="103" s="1"/>
  <c r="E196" i="103" a="1"/>
  <c r="E196" i="103" s="1"/>
  <c r="D196" i="103" a="1"/>
  <c r="D196" i="103" s="1"/>
  <c r="H195" i="103" a="1"/>
  <c r="H195" i="103" s="1"/>
  <c r="G195" i="103" a="1"/>
  <c r="G195" i="103" s="1"/>
  <c r="F195" i="103" a="1"/>
  <c r="F195" i="103" s="1"/>
  <c r="E195" i="103" a="1"/>
  <c r="E195" i="103" s="1"/>
  <c r="D195" i="103" a="1"/>
  <c r="D195" i="103" s="1"/>
  <c r="H194" i="103" a="1"/>
  <c r="H194" i="103" s="1"/>
  <c r="G194" i="103" a="1"/>
  <c r="G194" i="103" s="1"/>
  <c r="F194" i="103" a="1"/>
  <c r="F194" i="103" s="1"/>
  <c r="E194" i="103" a="1"/>
  <c r="E194" i="103" s="1"/>
  <c r="D194" i="103" a="1"/>
  <c r="D194" i="103" s="1"/>
  <c r="H193" i="103" a="1"/>
  <c r="H193" i="103" s="1"/>
  <c r="G193" i="103" a="1"/>
  <c r="G193" i="103" s="1"/>
  <c r="F193" i="103" a="1"/>
  <c r="F193" i="103" s="1"/>
  <c r="E193" i="103" a="1"/>
  <c r="E193" i="103" s="1"/>
  <c r="D193" i="103" a="1"/>
  <c r="D193" i="103" s="1"/>
  <c r="H192" i="103" a="1"/>
  <c r="H192" i="103" s="1"/>
  <c r="G192" i="103" a="1"/>
  <c r="G192" i="103" s="1"/>
  <c r="F192" i="103" a="1"/>
  <c r="F192" i="103" s="1"/>
  <c r="E192" i="103" a="1"/>
  <c r="E192" i="103" s="1"/>
  <c r="D192" i="103" a="1"/>
  <c r="D192" i="103" s="1"/>
  <c r="H191" i="103" a="1"/>
  <c r="H191" i="103" s="1"/>
  <c r="G191" i="103" a="1"/>
  <c r="G191" i="103" s="1"/>
  <c r="F191" i="103" a="1"/>
  <c r="F191" i="103" s="1"/>
  <c r="E191" i="103" a="1"/>
  <c r="E191" i="103" s="1"/>
  <c r="D191" i="103" a="1"/>
  <c r="D191" i="103" s="1"/>
  <c r="H190" i="103" a="1"/>
  <c r="H190" i="103" s="1"/>
  <c r="G190" i="103" a="1"/>
  <c r="G190" i="103" s="1"/>
  <c r="F190" i="103" a="1"/>
  <c r="F190" i="103" s="1"/>
  <c r="E190" i="103" a="1"/>
  <c r="E190" i="103" s="1"/>
  <c r="D190" i="103" a="1"/>
  <c r="D190" i="103" s="1"/>
  <c r="H189" i="103" a="1"/>
  <c r="H189" i="103" s="1"/>
  <c r="G189" i="103" a="1"/>
  <c r="G189" i="103" s="1"/>
  <c r="F189" i="103" a="1"/>
  <c r="F189" i="103" s="1"/>
  <c r="E189" i="103" a="1"/>
  <c r="E189" i="103" s="1"/>
  <c r="D189" i="103" a="1"/>
  <c r="D189" i="103" s="1"/>
  <c r="H188" i="103" a="1"/>
  <c r="H188" i="103" s="1"/>
  <c r="G188" i="103" a="1"/>
  <c r="G188" i="103" s="1"/>
  <c r="F188" i="103" a="1"/>
  <c r="F188" i="103" s="1"/>
  <c r="E188" i="103" a="1"/>
  <c r="E188" i="103" s="1"/>
  <c r="D188" i="103" a="1"/>
  <c r="D188" i="103" s="1"/>
  <c r="H187" i="103" a="1"/>
  <c r="H187" i="103" s="1"/>
  <c r="G187" i="103" a="1"/>
  <c r="G187" i="103" s="1"/>
  <c r="F187" i="103" a="1"/>
  <c r="F187" i="103" s="1"/>
  <c r="E187" i="103" a="1"/>
  <c r="E187" i="103" s="1"/>
  <c r="D187" i="103" a="1"/>
  <c r="D187" i="103" s="1"/>
  <c r="D181" i="103" a="1"/>
  <c r="D181" i="103" s="1"/>
  <c r="D180" i="103" a="1"/>
  <c r="D180" i="103" s="1"/>
  <c r="D179" i="103" a="1"/>
  <c r="D179" i="103" s="1"/>
  <c r="D178" i="103" a="1"/>
  <c r="D178" i="103" s="1"/>
  <c r="E175" i="103" a="1"/>
  <c r="E175" i="103" s="1"/>
  <c r="D175" i="103" a="1"/>
  <c r="D175" i="103" s="1"/>
  <c r="D174" i="103" a="1"/>
  <c r="D174" i="103" s="1"/>
  <c r="D173" i="103" a="1"/>
  <c r="D173" i="103" s="1"/>
  <c r="D170" i="103" a="1"/>
  <c r="D169" i="103" a="1"/>
  <c r="D169" i="103" s="1"/>
  <c r="D168" i="103" a="1"/>
  <c r="D168" i="103" s="1"/>
  <c r="D167" i="103" a="1"/>
  <c r="D167" i="103" s="1"/>
  <c r="D164" i="103" a="1"/>
  <c r="D164" i="103" s="1"/>
  <c r="D163" i="103" a="1"/>
  <c r="D163" i="103" s="1"/>
  <c r="D162" i="103" a="1"/>
  <c r="D162" i="103" s="1"/>
  <c r="D161" i="103" a="1"/>
  <c r="D161" i="103" s="1"/>
  <c r="E158" i="103" a="1"/>
  <c r="E158" i="103" s="1"/>
  <c r="D158" i="103" a="1"/>
  <c r="D158" i="103" s="1"/>
  <c r="E157" i="103" a="1"/>
  <c r="E157" i="103" s="1"/>
  <c r="D157" i="103" a="1"/>
  <c r="D157" i="103" s="1"/>
  <c r="E156" i="103" a="1"/>
  <c r="E156" i="103" s="1"/>
  <c r="D156" i="103" a="1"/>
  <c r="D156" i="103" s="1"/>
  <c r="E155" i="103" a="1"/>
  <c r="E155" i="103" s="1"/>
  <c r="D155" i="103" a="1"/>
  <c r="D155" i="103" s="1"/>
  <c r="E154" i="103" a="1"/>
  <c r="E154" i="103" s="1"/>
  <c r="D154" i="103" a="1"/>
  <c r="D154" i="103" s="1"/>
  <c r="D151" i="103" a="1"/>
  <c r="D151" i="103" s="1"/>
  <c r="D150" i="103" a="1"/>
  <c r="D150" i="103" s="1"/>
  <c r="E147" i="103" a="1"/>
  <c r="E147" i="103" s="1"/>
  <c r="D147" i="103" a="1"/>
  <c r="D147" i="103" s="1"/>
  <c r="E146" i="103" a="1"/>
  <c r="E146" i="103" s="1"/>
  <c r="D146" i="103" a="1"/>
  <c r="D146" i="103" s="1"/>
  <c r="E145" i="103" a="1"/>
  <c r="E145" i="103" s="1"/>
  <c r="D145" i="103" a="1"/>
  <c r="D145" i="103" s="1"/>
  <c r="E144" i="103" a="1"/>
  <c r="E144" i="103" s="1"/>
  <c r="D144" i="103" a="1"/>
  <c r="D144" i="103" s="1"/>
  <c r="E143" i="103" a="1"/>
  <c r="E143" i="103" s="1"/>
  <c r="D143" i="103" a="1"/>
  <c r="D143" i="103" s="1"/>
  <c r="D141" i="103" a="1"/>
  <c r="D141" i="103" s="1"/>
  <c r="D140" i="103" a="1"/>
  <c r="D140" i="103" s="1"/>
  <c r="D139" i="103" a="1"/>
  <c r="D139" i="103" s="1"/>
  <c r="E136" i="103" a="1"/>
  <c r="E136" i="103" s="1"/>
  <c r="D136" i="103" a="1"/>
  <c r="D136" i="103" s="1"/>
  <c r="E135" i="103" a="1"/>
  <c r="E135" i="103" s="1"/>
  <c r="D135" i="103" a="1"/>
  <c r="D135" i="103" s="1"/>
  <c r="D133" i="103" a="1"/>
  <c r="D133" i="103" s="1"/>
  <c r="D132" i="103" a="1"/>
  <c r="D132" i="103" s="1"/>
  <c r="E129" i="103" a="1"/>
  <c r="E129" i="103" s="1"/>
  <c r="D129" i="103" a="1"/>
  <c r="D129" i="103" s="1"/>
  <c r="E128" i="103" a="1"/>
  <c r="E128" i="103" s="1"/>
  <c r="D128" i="103" a="1"/>
  <c r="D128" i="103" s="1"/>
  <c r="D125" i="103" a="1"/>
  <c r="D125" i="103" s="1"/>
  <c r="D124" i="103" a="1"/>
  <c r="D124" i="103" s="1"/>
  <c r="G121" i="103" a="1"/>
  <c r="G121" i="103" s="1"/>
  <c r="F121" i="103" a="1"/>
  <c r="F121" i="103" s="1"/>
  <c r="E121" i="103" a="1"/>
  <c r="E121" i="103" s="1"/>
  <c r="D121" i="103" a="1"/>
  <c r="D121" i="103" s="1"/>
  <c r="G120" i="103" a="1"/>
  <c r="G120" i="103" s="1"/>
  <c r="F120" i="103" a="1"/>
  <c r="F120" i="103" s="1"/>
  <c r="E30" i="15" s="1"/>
  <c r="G107" i="97" s="1"/>
  <c r="E120" i="103" a="1"/>
  <c r="E120" i="103" s="1"/>
  <c r="D120" i="103" a="1"/>
  <c r="D120" i="103" s="1"/>
  <c r="D117" i="103" a="1"/>
  <c r="D117" i="103" s="1"/>
  <c r="D116" i="103" a="1"/>
  <c r="D116" i="103" s="1"/>
  <c r="D115" i="103" a="1"/>
  <c r="D115" i="103" s="1"/>
  <c r="G112" i="103" a="1"/>
  <c r="G112" i="103" s="1"/>
  <c r="F112" i="103" a="1"/>
  <c r="F112" i="103" s="1"/>
  <c r="E112" i="103" a="1"/>
  <c r="E112" i="103" s="1"/>
  <c r="D112" i="103" a="1"/>
  <c r="D112" i="103" s="1"/>
  <c r="G111" i="103" a="1"/>
  <c r="G111" i="103" s="1"/>
  <c r="F111" i="103" a="1"/>
  <c r="F111" i="103" s="1"/>
  <c r="E111" i="103" a="1"/>
  <c r="E111" i="103" s="1"/>
  <c r="D111" i="103" a="1"/>
  <c r="D111" i="103" s="1"/>
  <c r="G110" i="103" a="1"/>
  <c r="G110" i="103" s="1"/>
  <c r="F110" i="103" a="1"/>
  <c r="F110" i="103" s="1"/>
  <c r="E33" i="15" s="1"/>
  <c r="E110" i="103" a="1"/>
  <c r="E110" i="103" s="1"/>
  <c r="D110" i="103" a="1"/>
  <c r="D110" i="103" s="1"/>
  <c r="D107" i="103" a="1"/>
  <c r="D107" i="103" s="1"/>
  <c r="D106" i="103" a="1"/>
  <c r="D106" i="103" s="1"/>
  <c r="D105" i="103" a="1"/>
  <c r="D105" i="103" s="1"/>
  <c r="D98" i="103" a="1"/>
  <c r="D98" i="103" s="1"/>
  <c r="S97" i="103" a="1"/>
  <c r="S97" i="103" s="1"/>
  <c r="R97" i="103" a="1"/>
  <c r="R97" i="103" s="1"/>
  <c r="Q97" i="103" a="1"/>
  <c r="Q97" i="103" s="1"/>
  <c r="P97" i="103" a="1"/>
  <c r="P97" i="103" s="1"/>
  <c r="O97" i="103" a="1"/>
  <c r="O97" i="103" s="1"/>
  <c r="N97" i="103" a="1"/>
  <c r="N97" i="103" s="1"/>
  <c r="M97" i="103" a="1"/>
  <c r="M97" i="103" s="1"/>
  <c r="L97" i="103" a="1"/>
  <c r="L97" i="103" s="1"/>
  <c r="K97" i="103" a="1"/>
  <c r="K97" i="103" s="1"/>
  <c r="J97" i="103" a="1"/>
  <c r="J97" i="103" s="1"/>
  <c r="I97" i="103" a="1"/>
  <c r="I97" i="103" s="1"/>
  <c r="H97" i="103" a="1"/>
  <c r="H97" i="103" s="1"/>
  <c r="G97" i="103" a="1"/>
  <c r="G97" i="103" s="1"/>
  <c r="F97" i="103" a="1"/>
  <c r="F97" i="103" s="1"/>
  <c r="E97" i="103" a="1"/>
  <c r="E97" i="103" s="1"/>
  <c r="D97" i="103" a="1"/>
  <c r="D97" i="103" s="1"/>
  <c r="S96" i="103" a="1"/>
  <c r="S96" i="103" s="1"/>
  <c r="R96" i="103" a="1"/>
  <c r="R96" i="103" s="1"/>
  <c r="Q96" i="103" a="1"/>
  <c r="Q96" i="103" s="1"/>
  <c r="P96" i="103" a="1"/>
  <c r="P96" i="103" s="1"/>
  <c r="O96" i="103" a="1"/>
  <c r="O96" i="103" s="1"/>
  <c r="N96" i="103" a="1"/>
  <c r="N96" i="103" s="1"/>
  <c r="M96" i="103" a="1"/>
  <c r="M96" i="103" s="1"/>
  <c r="L96" i="103" a="1"/>
  <c r="L96" i="103" s="1"/>
  <c r="K96" i="103" a="1"/>
  <c r="K96" i="103" s="1"/>
  <c r="J96" i="103" a="1"/>
  <c r="J96" i="103" s="1"/>
  <c r="I96" i="103" a="1"/>
  <c r="I96" i="103" s="1"/>
  <c r="H96" i="103" a="1"/>
  <c r="H96" i="103" s="1"/>
  <c r="G96" i="103" a="1"/>
  <c r="G96" i="103" s="1"/>
  <c r="F96" i="103" a="1"/>
  <c r="F96" i="103" s="1"/>
  <c r="E96" i="103" a="1"/>
  <c r="E96" i="103" s="1"/>
  <c r="D96" i="103" a="1"/>
  <c r="D96" i="103" s="1"/>
  <c r="S95" i="103" a="1"/>
  <c r="S95" i="103" s="1"/>
  <c r="R95" i="103" a="1"/>
  <c r="R95" i="103" s="1"/>
  <c r="Q95" i="103" a="1"/>
  <c r="Q95" i="103" s="1"/>
  <c r="P95" i="103" a="1"/>
  <c r="P95" i="103" s="1"/>
  <c r="O95" i="103" a="1"/>
  <c r="O95" i="103" s="1"/>
  <c r="N95" i="103" a="1"/>
  <c r="N95" i="103" s="1"/>
  <c r="M95" i="103" a="1"/>
  <c r="M95" i="103" s="1"/>
  <c r="L95" i="103" a="1"/>
  <c r="L95" i="103" s="1"/>
  <c r="K95" i="103" a="1"/>
  <c r="K95" i="103" s="1"/>
  <c r="J95" i="103" a="1"/>
  <c r="J95" i="103" s="1"/>
  <c r="I95" i="103" a="1"/>
  <c r="I95" i="103" s="1"/>
  <c r="H95" i="103" a="1"/>
  <c r="H95" i="103" s="1"/>
  <c r="G95" i="103" a="1"/>
  <c r="G95" i="103" s="1"/>
  <c r="F95" i="103" a="1"/>
  <c r="F95" i="103" s="1"/>
  <c r="E95" i="103" a="1"/>
  <c r="E95" i="103" s="1"/>
  <c r="D95" i="103" a="1"/>
  <c r="D95" i="103" s="1"/>
  <c r="S94" i="103" a="1"/>
  <c r="S94" i="103" s="1"/>
  <c r="R94" i="103" a="1"/>
  <c r="R94" i="103" s="1"/>
  <c r="Q94" i="103" a="1"/>
  <c r="Q94" i="103" s="1"/>
  <c r="P94" i="103" a="1"/>
  <c r="P94" i="103" s="1"/>
  <c r="O94" i="103" a="1"/>
  <c r="O94" i="103" s="1"/>
  <c r="N94" i="103" a="1"/>
  <c r="N94" i="103" s="1"/>
  <c r="M94" i="103" a="1"/>
  <c r="M94" i="103" s="1"/>
  <c r="L94" i="103" a="1"/>
  <c r="L94" i="103" s="1"/>
  <c r="K94" i="103" a="1"/>
  <c r="K94" i="103" s="1"/>
  <c r="J94" i="103" a="1"/>
  <c r="J94" i="103" s="1"/>
  <c r="I94" i="103" a="1"/>
  <c r="I94" i="103" s="1"/>
  <c r="H94" i="103" a="1"/>
  <c r="H94" i="103" s="1"/>
  <c r="G94" i="103" a="1"/>
  <c r="G94" i="103" s="1"/>
  <c r="F94" i="103" a="1"/>
  <c r="F94" i="103" s="1"/>
  <c r="E94" i="103" a="1"/>
  <c r="E94" i="103" s="1"/>
  <c r="D94" i="103" a="1"/>
  <c r="D94" i="103" s="1"/>
  <c r="S93" i="103" a="1"/>
  <c r="S93" i="103" s="1"/>
  <c r="R93" i="103" a="1"/>
  <c r="R93" i="103" s="1"/>
  <c r="Q93" i="103" a="1"/>
  <c r="Q93" i="103" s="1"/>
  <c r="P93" i="103" a="1"/>
  <c r="P93" i="103" s="1"/>
  <c r="O93" i="103" a="1"/>
  <c r="O93" i="103" s="1"/>
  <c r="N93" i="103" a="1"/>
  <c r="N93" i="103" s="1"/>
  <c r="M93" i="103" a="1"/>
  <c r="M93" i="103" s="1"/>
  <c r="L93" i="103" a="1"/>
  <c r="L93" i="103" s="1"/>
  <c r="K93" i="103" a="1"/>
  <c r="K93" i="103" s="1"/>
  <c r="J93" i="103" a="1"/>
  <c r="J93" i="103" s="1"/>
  <c r="I93" i="103" a="1"/>
  <c r="I93" i="103" s="1"/>
  <c r="H93" i="103" a="1"/>
  <c r="H93" i="103" s="1"/>
  <c r="G93" i="103" a="1"/>
  <c r="G93" i="103" s="1"/>
  <c r="F93" i="103" a="1"/>
  <c r="F93" i="103" s="1"/>
  <c r="E93" i="103" a="1"/>
  <c r="E93" i="103" s="1"/>
  <c r="D93" i="103" a="1"/>
  <c r="D93" i="103" s="1"/>
  <c r="S92" i="103" a="1"/>
  <c r="S92" i="103" s="1"/>
  <c r="R92" i="103" a="1"/>
  <c r="R92" i="103" s="1"/>
  <c r="Q92" i="103" a="1"/>
  <c r="Q92" i="103" s="1"/>
  <c r="P92" i="103" a="1"/>
  <c r="P92" i="103" s="1"/>
  <c r="O92" i="103" a="1"/>
  <c r="O92" i="103" s="1"/>
  <c r="N92" i="103" a="1"/>
  <c r="N92" i="103" s="1"/>
  <c r="M92" i="103" a="1"/>
  <c r="M92" i="103" s="1"/>
  <c r="L92" i="103" a="1"/>
  <c r="L92" i="103" s="1"/>
  <c r="K92" i="103" a="1"/>
  <c r="K92" i="103" s="1"/>
  <c r="J92" i="103" a="1"/>
  <c r="J92" i="103" s="1"/>
  <c r="I92" i="103" a="1"/>
  <c r="I92" i="103" s="1"/>
  <c r="H92" i="103" a="1"/>
  <c r="H92" i="103" s="1"/>
  <c r="G92" i="103" a="1"/>
  <c r="G92" i="103" s="1"/>
  <c r="F92" i="103" a="1"/>
  <c r="F92" i="103" s="1"/>
  <c r="E92" i="103" a="1"/>
  <c r="E92" i="103" s="1"/>
  <c r="D92" i="103" a="1"/>
  <c r="D92" i="103" s="1"/>
  <c r="S91" i="103" a="1"/>
  <c r="S91" i="103" s="1"/>
  <c r="R91" i="103" a="1"/>
  <c r="R91" i="103" s="1"/>
  <c r="Q91" i="103" a="1"/>
  <c r="Q91" i="103" s="1"/>
  <c r="P91" i="103" a="1"/>
  <c r="P91" i="103" s="1"/>
  <c r="O91" i="103" a="1"/>
  <c r="O91" i="103" s="1"/>
  <c r="N91" i="103" a="1"/>
  <c r="N91" i="103" s="1"/>
  <c r="M91" i="103" a="1"/>
  <c r="M91" i="103" s="1"/>
  <c r="L91" i="103" a="1"/>
  <c r="L91" i="103" s="1"/>
  <c r="K91" i="103" a="1"/>
  <c r="K91" i="103" s="1"/>
  <c r="J91" i="103" a="1"/>
  <c r="J91" i="103" s="1"/>
  <c r="I91" i="103" a="1"/>
  <c r="I91" i="103" s="1"/>
  <c r="H91" i="103" a="1"/>
  <c r="H91" i="103" s="1"/>
  <c r="G91" i="103" a="1"/>
  <c r="G91" i="103" s="1"/>
  <c r="F91" i="103" a="1"/>
  <c r="F91" i="103" s="1"/>
  <c r="E91" i="103" a="1"/>
  <c r="E91" i="103" s="1"/>
  <c r="D91" i="103" a="1"/>
  <c r="D91" i="103" s="1"/>
  <c r="S90" i="103" a="1"/>
  <c r="S90" i="103" s="1"/>
  <c r="R90" i="103" a="1"/>
  <c r="R90" i="103" s="1"/>
  <c r="Q90" i="103" a="1"/>
  <c r="Q90" i="103" s="1"/>
  <c r="P90" i="103" a="1"/>
  <c r="P90" i="103" s="1"/>
  <c r="O90" i="103" a="1"/>
  <c r="O90" i="103" s="1"/>
  <c r="N90" i="103" a="1"/>
  <c r="N90" i="103" s="1"/>
  <c r="M90" i="103" a="1"/>
  <c r="M90" i="103" s="1"/>
  <c r="L90" i="103" a="1"/>
  <c r="L90" i="103" s="1"/>
  <c r="K90" i="103" a="1"/>
  <c r="K90" i="103" s="1"/>
  <c r="J90" i="103" a="1"/>
  <c r="J90" i="103" s="1"/>
  <c r="E31" i="15" s="1"/>
  <c r="E32" i="15" s="1"/>
  <c r="I90" i="103" a="1"/>
  <c r="I90" i="103" s="1"/>
  <c r="H90" i="103" a="1"/>
  <c r="H90" i="103" s="1"/>
  <c r="G90" i="103" a="1"/>
  <c r="G90" i="103" s="1"/>
  <c r="F90" i="103" a="1"/>
  <c r="F90" i="103" s="1"/>
  <c r="E90" i="103" a="1"/>
  <c r="E90" i="103" s="1"/>
  <c r="D90" i="103" a="1"/>
  <c r="D90" i="103" s="1"/>
  <c r="D83" i="103" a="1"/>
  <c r="D83" i="103" s="1"/>
  <c r="D82" i="103" a="1"/>
  <c r="D82" i="103" s="1"/>
  <c r="D81" i="103" a="1"/>
  <c r="D81" i="103" s="1"/>
  <c r="E77" i="103" a="1"/>
  <c r="E77" i="103" s="1"/>
  <c r="D77" i="103" a="1"/>
  <c r="D77" i="103" s="1"/>
  <c r="E76" i="103" a="1"/>
  <c r="E76" i="103" s="1"/>
  <c r="D76" i="103" a="1"/>
  <c r="D76" i="103" s="1"/>
  <c r="E75" i="103" a="1"/>
  <c r="E75" i="103" s="1"/>
  <c r="D75" i="103" a="1"/>
  <c r="D75" i="103" s="1"/>
  <c r="E74" i="103" a="1"/>
  <c r="E74" i="103" s="1"/>
  <c r="D74" i="103" a="1"/>
  <c r="D74" i="103" s="1"/>
  <c r="E73" i="103" a="1"/>
  <c r="E73" i="103" s="1"/>
  <c r="D73" i="103" a="1"/>
  <c r="D73" i="103" s="1"/>
  <c r="E72" i="103" a="1"/>
  <c r="E72" i="103" s="1"/>
  <c r="D72" i="103" a="1"/>
  <c r="D72" i="103" s="1"/>
  <c r="E71" i="103" a="1"/>
  <c r="E71" i="103" s="1"/>
  <c r="D71" i="103" a="1"/>
  <c r="D71" i="103" s="1"/>
  <c r="E70" i="103" a="1"/>
  <c r="E70" i="103" s="1"/>
  <c r="D70" i="103" a="1"/>
  <c r="D70" i="103" s="1"/>
  <c r="E69" i="103" a="1"/>
  <c r="E69" i="103" s="1"/>
  <c r="D69" i="103" a="1"/>
  <c r="D69" i="103" s="1"/>
  <c r="E68" i="103" a="1"/>
  <c r="E68" i="103" s="1"/>
  <c r="D68" i="103" a="1"/>
  <c r="D68" i="103" s="1"/>
  <c r="E67" i="103" a="1"/>
  <c r="E67" i="103" s="1"/>
  <c r="D67" i="103" a="1"/>
  <c r="D67" i="103" s="1"/>
  <c r="E66" i="103" a="1"/>
  <c r="E66" i="103" s="1"/>
  <c r="D66" i="103" a="1"/>
  <c r="D66" i="103" s="1"/>
  <c r="E65" i="103" a="1"/>
  <c r="E65" i="103" s="1"/>
  <c r="D65" i="103" a="1"/>
  <c r="D65" i="103" s="1"/>
  <c r="E64" i="103" a="1"/>
  <c r="E64" i="103" s="1"/>
  <c r="D64" i="103" a="1"/>
  <c r="D64" i="103" s="1"/>
  <c r="D59" i="103" a="1"/>
  <c r="D59" i="103" s="1"/>
  <c r="D58" i="103" a="1"/>
  <c r="D58" i="103" s="1"/>
  <c r="D57" i="103" a="1"/>
  <c r="D57" i="103" s="1"/>
  <c r="G54" i="103" a="1"/>
  <c r="G54" i="103" s="1"/>
  <c r="F54" i="103" a="1"/>
  <c r="F54" i="103" s="1"/>
  <c r="E54" i="103" a="1"/>
  <c r="E54" i="103" s="1"/>
  <c r="D54" i="103" a="1"/>
  <c r="D54" i="103" s="1"/>
  <c r="G53" i="103" a="1"/>
  <c r="G53" i="103" s="1"/>
  <c r="F53" i="103" a="1"/>
  <c r="F53" i="103" s="1"/>
  <c r="E53" i="103" a="1"/>
  <c r="E53" i="103" s="1"/>
  <c r="D53" i="103" a="1"/>
  <c r="D53" i="103" s="1"/>
  <c r="G52" i="103" a="1"/>
  <c r="G52" i="103" s="1"/>
  <c r="F52" i="103" a="1"/>
  <c r="F52" i="103" s="1"/>
  <c r="E52" i="103" a="1"/>
  <c r="E52" i="103" s="1"/>
  <c r="D52" i="103" a="1"/>
  <c r="D52" i="103" s="1"/>
  <c r="G51" i="103" a="1"/>
  <c r="G51" i="103" s="1"/>
  <c r="F51" i="103" a="1"/>
  <c r="F51" i="103" s="1"/>
  <c r="E51" i="103" a="1"/>
  <c r="E51" i="103" s="1"/>
  <c r="D51" i="103" a="1"/>
  <c r="D51" i="103" s="1"/>
  <c r="G50" i="103" a="1"/>
  <c r="G50" i="103" s="1"/>
  <c r="F50" i="103" a="1"/>
  <c r="F50" i="103" s="1"/>
  <c r="E50" i="103" a="1"/>
  <c r="E50" i="103" s="1"/>
  <c r="D50" i="103" a="1"/>
  <c r="D50" i="103" s="1"/>
  <c r="G49" i="103" a="1"/>
  <c r="G49" i="103" s="1"/>
  <c r="F49" i="103" a="1"/>
  <c r="F49" i="103" s="1"/>
  <c r="E49" i="103" a="1"/>
  <c r="E49" i="103" s="1"/>
  <c r="D49" i="103" a="1"/>
  <c r="D49" i="103" s="1"/>
  <c r="G48" i="103" a="1"/>
  <c r="G48" i="103" s="1"/>
  <c r="F48" i="103" a="1"/>
  <c r="F48" i="103" s="1"/>
  <c r="E48" i="103" a="1"/>
  <c r="E48" i="103" s="1"/>
  <c r="D48" i="103" a="1"/>
  <c r="D48" i="103" s="1"/>
  <c r="D46" i="103" a="1"/>
  <c r="D46" i="103" s="1"/>
  <c r="D45" i="103" a="1"/>
  <c r="D45" i="103" s="1"/>
  <c r="E43" i="103" a="1"/>
  <c r="E43" i="103" s="1"/>
  <c r="D43" i="103" a="1"/>
  <c r="D43" i="103" s="1"/>
  <c r="E42" i="103" a="1"/>
  <c r="E42" i="103" s="1"/>
  <c r="D42" i="103" a="1"/>
  <c r="D42" i="103" s="1"/>
  <c r="E41" i="103" a="1"/>
  <c r="E41" i="103" s="1"/>
  <c r="D41" i="103" a="1"/>
  <c r="D41" i="103" s="1"/>
  <c r="E40" i="103" a="1"/>
  <c r="E40" i="103" s="1"/>
  <c r="D40" i="103" a="1"/>
  <c r="D40" i="103" s="1"/>
  <c r="E39" i="103" a="1"/>
  <c r="E39" i="103" s="1"/>
  <c r="D39" i="103" a="1"/>
  <c r="D39" i="103" s="1"/>
  <c r="E38" i="103" a="1"/>
  <c r="E38" i="103" s="1"/>
  <c r="D38" i="103" a="1"/>
  <c r="D38" i="103" s="1"/>
  <c r="E37" i="103" a="1"/>
  <c r="E37" i="103" s="1"/>
  <c r="D37" i="103" a="1"/>
  <c r="D37" i="103" s="1"/>
  <c r="D35" i="103" a="1"/>
  <c r="D35" i="103" s="1"/>
  <c r="D34" i="103" a="1"/>
  <c r="D34" i="103" s="1"/>
  <c r="D30" i="103" a="1"/>
  <c r="D30" i="103" s="1"/>
  <c r="D29" i="103" a="1"/>
  <c r="D29" i="103" s="1"/>
  <c r="D28" i="103" a="1"/>
  <c r="D28" i="103" s="1"/>
  <c r="D27" i="103" a="1"/>
  <c r="D27" i="103" s="1"/>
  <c r="D26" i="103" a="1"/>
  <c r="D26" i="103" s="1"/>
  <c r="D25" i="103" a="1"/>
  <c r="D25" i="103" s="1"/>
  <c r="D24" i="103" a="1"/>
  <c r="D24" i="103" s="1"/>
  <c r="D23" i="103" a="1"/>
  <c r="D23" i="103" s="1"/>
  <c r="D22" i="103" a="1"/>
  <c r="D22" i="103" s="1"/>
  <c r="D21" i="103" a="1"/>
  <c r="D21" i="103" s="1"/>
  <c r="D19" i="103" a="1"/>
  <c r="D19" i="103" s="1"/>
  <c r="D18" i="103" a="1"/>
  <c r="D18" i="103" s="1"/>
  <c r="F14" i="103" a="1"/>
  <c r="F14" i="103" s="1"/>
  <c r="E14" i="103" a="1"/>
  <c r="E14" i="103" s="1"/>
  <c r="D14" i="103" a="1"/>
  <c r="D14" i="103" s="1"/>
  <c r="F13" i="103" a="1"/>
  <c r="F13" i="103" s="1"/>
  <c r="E13" i="103" a="1"/>
  <c r="E13" i="103" s="1"/>
  <c r="D13" i="103" a="1"/>
  <c r="D13" i="103" s="1"/>
  <c r="F12" i="103" a="1"/>
  <c r="F12" i="103" s="1"/>
  <c r="E12" i="103" a="1"/>
  <c r="E12" i="103" s="1"/>
  <c r="D12" i="103" a="1"/>
  <c r="D12" i="103" s="1"/>
  <c r="F11" i="103" a="1"/>
  <c r="F11" i="103" s="1"/>
  <c r="E11" i="103" a="1"/>
  <c r="E11" i="103" s="1"/>
  <c r="D11" i="103" a="1"/>
  <c r="D11" i="103" s="1"/>
  <c r="F10" i="103" a="1"/>
  <c r="F10" i="103" s="1"/>
  <c r="E10" i="103" a="1"/>
  <c r="E10" i="103" s="1"/>
  <c r="D10" i="103" a="1"/>
  <c r="D10" i="103" s="1"/>
  <c r="F9" i="103" a="1"/>
  <c r="F9" i="103" s="1"/>
  <c r="E9" i="103" a="1"/>
  <c r="E9" i="103" s="1"/>
  <c r="D9" i="103" a="1"/>
  <c r="D9" i="103" s="1"/>
  <c r="F8" i="103" a="1"/>
  <c r="F8" i="103" s="1"/>
  <c r="E8" i="103" a="1"/>
  <c r="E8" i="103" s="1"/>
  <c r="D8" i="103" a="1"/>
  <c r="D8" i="103" s="1"/>
  <c r="F7" i="103" a="1"/>
  <c r="F7" i="103" s="1"/>
  <c r="E7" i="103" a="1"/>
  <c r="E7" i="103" s="1"/>
  <c r="D7" i="103" a="1"/>
  <c r="D7" i="103" s="1"/>
  <c r="D5" i="103" a="1"/>
  <c r="D5" i="103" s="1"/>
  <c r="G14" i="98" l="1"/>
  <c r="Q283" i="69"/>
  <c r="G283" i="69"/>
  <c r="E171" i="69" a="1"/>
  <c r="E171" i="69" s="1"/>
  <c r="G103" i="97"/>
  <c r="D170" i="103"/>
  <c r="G41" i="98"/>
  <c r="G134" i="69"/>
  <c r="G213" i="69"/>
  <c r="H51" i="103"/>
  <c r="H49" i="103"/>
  <c r="H54" i="103"/>
  <c r="H50" i="103"/>
  <c r="G104" i="97" s="1"/>
  <c r="H52" i="103"/>
  <c r="H48" i="103"/>
  <c r="H53" i="103"/>
  <c r="H28" i="98" l="1" a="1"/>
  <c r="H28" i="98" s="1"/>
  <c r="G28" i="98" a="1"/>
  <c r="G28" i="98" s="1"/>
  <c r="E28" i="98" a="1"/>
  <c r="E28" i="98" s="1"/>
  <c r="F28" i="98" a="1"/>
  <c r="F28" i="98" s="1"/>
  <c r="O28" i="98" a="1"/>
  <c r="O28" i="98" s="1"/>
  <c r="P28" i="98" a="1"/>
  <c r="P28" i="98" s="1"/>
  <c r="N28" i="98" a="1"/>
  <c r="N28" i="98" s="1"/>
  <c r="Q28" i="98" a="1"/>
  <c r="Q28" i="98" s="1"/>
  <c r="G242" i="76"/>
  <c r="G42" i="98"/>
  <c r="Q47" i="98" l="1" a="1"/>
  <c r="Q47" i="98" s="1"/>
  <c r="N47" i="98" a="1"/>
  <c r="N47" i="98" s="1"/>
  <c r="P47" i="98" a="1"/>
  <c r="P47" i="98" s="1"/>
  <c r="O47" i="98" a="1"/>
  <c r="O47" i="98" s="1"/>
  <c r="F47" i="98" a="1"/>
  <c r="F47" i="98" s="1"/>
  <c r="E47" i="98" a="1"/>
  <c r="E47" i="98" s="1"/>
  <c r="G47" i="98" a="1"/>
  <c r="G47" i="98" s="1"/>
  <c r="H47" i="98" a="1"/>
  <c r="H47" i="98" s="1"/>
  <c r="N49" i="98" l="1"/>
  <c r="P51" i="98" s="1"/>
  <c r="N54" i="98" s="1" a="1"/>
  <c r="N54" i="98" s="1"/>
  <c r="I10" i="13" s="1"/>
  <c r="E49" i="98"/>
  <c r="G51" i="98" s="1"/>
  <c r="E54" i="98" s="1" a="1"/>
  <c r="E54" i="98" s="1"/>
  <c r="H10" i="13" s="1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F27" i="43" l="1" a="1"/>
  <c r="F27" i="43" s="1"/>
  <c r="E27" i="43" a="1"/>
  <c r="E27" i="43" s="1"/>
  <c r="D27" i="43" a="1"/>
  <c r="D27" i="43" s="1"/>
  <c r="F26" i="43" a="1"/>
  <c r="F26" i="43" s="1"/>
  <c r="E47" i="79" s="1"/>
  <c r="E26" i="43" a="1"/>
  <c r="E26" i="43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17" i="43" a="1"/>
  <c r="E17" i="43" s="1"/>
  <c r="D17" i="43" a="1"/>
  <c r="D17" i="43" s="1"/>
  <c r="F16" i="43" a="1"/>
  <c r="F16" i="43" s="1"/>
  <c r="E16" i="43" a="1"/>
  <c r="E16" i="43" s="1"/>
  <c r="D16" i="43" a="1"/>
  <c r="D16" i="43" s="1"/>
  <c r="F15" i="43" a="1"/>
  <c r="F15" i="43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10" i="43" a="1"/>
  <c r="E10" i="43" s="1"/>
  <c r="D10" i="43" a="1"/>
  <c r="D10" i="43" s="1"/>
  <c r="D8" i="43" a="1"/>
  <c r="D8" i="43" s="1"/>
  <c r="D7" i="43" a="1"/>
  <c r="D7" i="43" s="1"/>
  <c r="D6" i="43" a="1"/>
  <c r="D6" i="43" s="1"/>
  <c r="E44" i="79" l="1"/>
  <c r="H43" i="79"/>
  <c r="L44" i="79"/>
  <c r="D45" i="79"/>
  <c r="K45" i="79"/>
  <c r="G44" i="79"/>
  <c r="D32" i="70" s="1"/>
  <c r="D58" i="79"/>
  <c r="K41" i="79"/>
  <c r="G41" i="79"/>
  <c r="D29" i="70" s="1"/>
  <c r="D41" i="79"/>
  <c r="D54" i="79"/>
  <c r="E45" i="79"/>
  <c r="L45" i="79"/>
  <c r="H44" i="79"/>
  <c r="D42" i="79"/>
  <c r="K42" i="79"/>
  <c r="D55" i="79"/>
  <c r="E42" i="79"/>
  <c r="L42" i="79"/>
  <c r="G45" i="79"/>
  <c r="D33" i="70" s="1"/>
  <c r="K46" i="79"/>
  <c r="D46" i="79"/>
  <c r="D59" i="79"/>
  <c r="G43" i="79"/>
  <c r="D31" i="70" s="1"/>
  <c r="K44" i="79"/>
  <c r="D57" i="79"/>
  <c r="D44" i="79"/>
  <c r="L41" i="79"/>
  <c r="H41" i="79"/>
  <c r="E41" i="79"/>
  <c r="E46" i="79"/>
  <c r="H45" i="79"/>
  <c r="L46" i="79"/>
  <c r="D43" i="79"/>
  <c r="G42" i="79"/>
  <c r="D30" i="70" s="1"/>
  <c r="D56" i="79"/>
  <c r="K43" i="79"/>
  <c r="L43" i="79"/>
  <c r="H42" i="79"/>
  <c r="E43" i="79"/>
  <c r="D60" i="79"/>
  <c r="D47" i="79"/>
  <c r="E29" i="15"/>
  <c r="D29" i="105" l="1"/>
  <c r="N122" i="105"/>
  <c r="N54" i="105"/>
  <c r="D122" i="105"/>
  <c r="D107" i="105"/>
  <c r="E107" i="105" s="1" a="1"/>
  <c r="E107" i="105" s="1"/>
  <c r="D54" i="105"/>
  <c r="N29" i="105"/>
  <c r="D78" i="105"/>
  <c r="D97" i="105"/>
  <c r="E97" i="105" s="1" a="1"/>
  <c r="E97" i="105" s="1"/>
  <c r="N69" i="97"/>
  <c r="N29" i="97"/>
  <c r="D29" i="97"/>
  <c r="N253" i="76"/>
  <c r="N209" i="76"/>
  <c r="N47" i="105"/>
  <c r="D71" i="105"/>
  <c r="D253" i="76"/>
  <c r="D105" i="105"/>
  <c r="E105" i="105" s="1" a="1"/>
  <c r="E105" i="105" s="1"/>
  <c r="D209" i="76"/>
  <c r="D185" i="76"/>
  <c r="D22" i="105"/>
  <c r="D95" i="105"/>
  <c r="E95" i="105" s="1" a="1"/>
  <c r="E95" i="105" s="1"/>
  <c r="D69" i="97"/>
  <c r="D115" i="105"/>
  <c r="D47" i="105"/>
  <c r="N115" i="105"/>
  <c r="N22" i="105"/>
  <c r="D25" i="105"/>
  <c r="D74" i="105"/>
  <c r="D106" i="105"/>
  <c r="E106" i="105" s="1" a="1"/>
  <c r="E106" i="105" s="1"/>
  <c r="D118" i="105"/>
  <c r="D50" i="105"/>
  <c r="N118" i="105"/>
  <c r="N25" i="105"/>
  <c r="N50" i="105"/>
  <c r="D96" i="105"/>
  <c r="E96" i="105" s="1" a="1"/>
  <c r="E96" i="105" s="1"/>
  <c r="D35" i="105"/>
  <c r="D109" i="105"/>
  <c r="E109" i="105" s="1" a="1"/>
  <c r="E109" i="105" s="1"/>
  <c r="D84" i="105"/>
  <c r="N60" i="105"/>
  <c r="D128" i="105"/>
  <c r="D60" i="105"/>
  <c r="N128" i="105"/>
  <c r="D99" i="105"/>
  <c r="E99" i="105" s="1" a="1"/>
  <c r="E99" i="105" s="1"/>
  <c r="N35" i="105"/>
  <c r="D32" i="105"/>
  <c r="N32" i="105"/>
  <c r="D108" i="105"/>
  <c r="E108" i="105" s="1" a="1"/>
  <c r="E108" i="105" s="1"/>
  <c r="D81" i="105"/>
  <c r="N57" i="105"/>
  <c r="D98" i="105"/>
  <c r="E98" i="105" s="1" a="1"/>
  <c r="E98" i="105" s="1"/>
  <c r="D125" i="105"/>
  <c r="D57" i="105"/>
  <c r="N125" i="105"/>
  <c r="E104" i="69" a="1"/>
  <c r="E104" i="69" s="1"/>
  <c r="N21" i="97"/>
  <c r="N216" i="76"/>
  <c r="D222" i="69"/>
  <c r="D76" i="97"/>
  <c r="N64" i="76"/>
  <c r="D120" i="76"/>
  <c r="D101" i="69"/>
  <c r="E101" i="69" s="1" a="1"/>
  <c r="E101" i="69" s="1"/>
  <c r="D85" i="70"/>
  <c r="D48" i="70"/>
  <c r="N260" i="76"/>
  <c r="N164" i="76"/>
  <c r="D112" i="69"/>
  <c r="N249" i="76"/>
  <c r="D55" i="97"/>
  <c r="E55" i="97" s="1" a="1"/>
  <c r="E55" i="97" s="1"/>
  <c r="D65" i="97"/>
  <c r="N42" i="69"/>
  <c r="D148" i="69"/>
  <c r="N120" i="76"/>
  <c r="D249" i="76"/>
  <c r="D42" i="69"/>
  <c r="N32" i="69"/>
  <c r="D154" i="76"/>
  <c r="E154" i="76" s="1" a="1"/>
  <c r="E154" i="76" s="1"/>
  <c r="N184" i="69"/>
  <c r="D184" i="69"/>
  <c r="D21" i="97"/>
  <c r="N73" i="76"/>
  <c r="N36" i="97"/>
  <c r="D216" i="76"/>
  <c r="D22" i="69"/>
  <c r="D144" i="76"/>
  <c r="E144" i="76" s="1" a="1"/>
  <c r="E144" i="76" s="1"/>
  <c r="N76" i="97"/>
  <c r="D55" i="76"/>
  <c r="D56" i="70"/>
  <c r="D78" i="70"/>
  <c r="N65" i="97"/>
  <c r="D164" i="76"/>
  <c r="N222" i="69"/>
  <c r="D71" i="70"/>
  <c r="D260" i="76"/>
  <c r="D73" i="76"/>
  <c r="N112" i="69"/>
  <c r="D36" i="97"/>
  <c r="D192" i="76"/>
  <c r="D168" i="69"/>
  <c r="E168" i="69" s="1" a="1"/>
  <c r="E168" i="69" s="1"/>
  <c r="D41" i="70"/>
  <c r="D64" i="76"/>
  <c r="D32" i="69"/>
  <c r="N71" i="76"/>
  <c r="D84" i="70"/>
  <c r="D70" i="70"/>
  <c r="D63" i="70"/>
  <c r="N30" i="69"/>
  <c r="D30" i="69"/>
  <c r="D39" i="70"/>
  <c r="N162" i="76"/>
  <c r="D77" i="70"/>
  <c r="D99" i="69"/>
  <c r="E99" i="69" s="1" a="1"/>
  <c r="E99" i="69" s="1"/>
  <c r="N247" i="76"/>
  <c r="D53" i="97"/>
  <c r="N110" i="69"/>
  <c r="D63" i="97"/>
  <c r="N118" i="76"/>
  <c r="D247" i="76"/>
  <c r="N40" i="69"/>
  <c r="D110" i="69"/>
  <c r="D220" i="69"/>
  <c r="D166" i="69"/>
  <c r="D71" i="76"/>
  <c r="D118" i="76"/>
  <c r="N19" i="97"/>
  <c r="D162" i="76"/>
  <c r="N62" i="76"/>
  <c r="D142" i="76"/>
  <c r="E142" i="76" s="1" a="1"/>
  <c r="E142" i="76" s="1"/>
  <c r="N63" i="97"/>
  <c r="D55" i="70"/>
  <c r="N220" i="69"/>
  <c r="D152" i="76"/>
  <c r="D40" i="69"/>
  <c r="D62" i="76"/>
  <c r="D19" i="97"/>
  <c r="D20" i="69"/>
  <c r="D53" i="76"/>
  <c r="D47" i="98"/>
  <c r="M28" i="98"/>
  <c r="D28" i="98"/>
  <c r="M47" i="98"/>
  <c r="N212" i="76"/>
  <c r="M23" i="98"/>
  <c r="D119" i="76"/>
  <c r="N221" i="69"/>
  <c r="N31" i="69"/>
  <c r="D221" i="69"/>
  <c r="D188" i="76"/>
  <c r="N248" i="76"/>
  <c r="N163" i="76"/>
  <c r="D167" i="69"/>
  <c r="E167" i="69" s="1" a="1"/>
  <c r="E167" i="69" s="1"/>
  <c r="D40" i="70"/>
  <c r="N20" i="97"/>
  <c r="D54" i="97"/>
  <c r="E54" i="97" s="1" a="1"/>
  <c r="E54" i="97" s="1"/>
  <c r="N63" i="76"/>
  <c r="D180" i="69"/>
  <c r="N119" i="76"/>
  <c r="D248" i="76"/>
  <c r="D41" i="69"/>
  <c r="N180" i="69"/>
  <c r="D32" i="97"/>
  <c r="N32" i="97"/>
  <c r="N72" i="97"/>
  <c r="N41" i="69"/>
  <c r="N64" i="97"/>
  <c r="D23" i="98"/>
  <c r="D54" i="76"/>
  <c r="D153" i="76"/>
  <c r="E153" i="76" s="1" a="1"/>
  <c r="E153" i="76" s="1"/>
  <c r="D100" i="69"/>
  <c r="E100" i="69" s="1" a="1"/>
  <c r="E100" i="69" s="1"/>
  <c r="N256" i="76"/>
  <c r="D163" i="76"/>
  <c r="D31" i="69"/>
  <c r="D63" i="76"/>
  <c r="D144" i="69"/>
  <c r="D21" i="69"/>
  <c r="D72" i="97"/>
  <c r="N111" i="69"/>
  <c r="D256" i="76"/>
  <c r="D111" i="69"/>
  <c r="D64" i="97"/>
  <c r="D143" i="76"/>
  <c r="E143" i="76" s="1" a="1"/>
  <c r="E143" i="76" s="1"/>
  <c r="N72" i="76"/>
  <c r="D72" i="76"/>
  <c r="D20" i="97"/>
  <c r="D212" i="76"/>
  <c r="N22" i="97"/>
  <c r="N187" i="69"/>
  <c r="D49" i="70"/>
  <c r="D43" i="69"/>
  <c r="N33" i="69"/>
  <c r="D250" i="76"/>
  <c r="D165" i="76"/>
  <c r="N121" i="76"/>
  <c r="D22" i="97"/>
  <c r="N223" i="69"/>
  <c r="D57" i="70"/>
  <c r="D39" i="97"/>
  <c r="D42" i="70"/>
  <c r="D121" i="76"/>
  <c r="N66" i="97"/>
  <c r="N79" i="97"/>
  <c r="D64" i="70"/>
  <c r="D155" i="76"/>
  <c r="E155" i="76" s="1" a="1"/>
  <c r="E155" i="76" s="1"/>
  <c r="D56" i="97"/>
  <c r="E56" i="97" s="1" a="1"/>
  <c r="E56" i="97" s="1"/>
  <c r="D102" i="69"/>
  <c r="E102" i="69" s="1" a="1"/>
  <c r="E102" i="69" s="1"/>
  <c r="D219" i="76"/>
  <c r="D66" i="97"/>
  <c r="D79" i="97"/>
  <c r="D113" i="69"/>
  <c r="D187" i="69"/>
  <c r="D33" i="69"/>
  <c r="D145" i="76"/>
  <c r="E145" i="76" s="1" a="1"/>
  <c r="E145" i="76" s="1"/>
  <c r="N263" i="76"/>
  <c r="N219" i="76"/>
  <c r="D263" i="76"/>
  <c r="D74" i="76"/>
  <c r="N250" i="76"/>
  <c r="N65" i="76"/>
  <c r="D56" i="76"/>
  <c r="D79" i="70"/>
  <c r="N43" i="69"/>
  <c r="D151" i="69"/>
  <c r="D223" i="69"/>
  <c r="N39" i="97"/>
  <c r="D195" i="76"/>
  <c r="D86" i="70"/>
  <c r="N113" i="69"/>
  <c r="D23" i="69"/>
  <c r="D169" i="69"/>
  <c r="E169" i="69" s="1" a="1"/>
  <c r="E169" i="69" s="1"/>
  <c r="N74" i="76"/>
  <c r="D65" i="76"/>
  <c r="N165" i="76"/>
  <c r="N67" i="97"/>
  <c r="N23" i="97"/>
  <c r="D154" i="69"/>
  <c r="D34" i="69"/>
  <c r="D224" i="69"/>
  <c r="D65" i="70"/>
  <c r="D166" i="76"/>
  <c r="D82" i="97"/>
  <c r="D50" i="70"/>
  <c r="D190" i="69"/>
  <c r="D67" i="97"/>
  <c r="D23" i="97"/>
  <c r="N114" i="69"/>
  <c r="D24" i="69"/>
  <c r="D58" i="70"/>
  <c r="D44" i="69"/>
  <c r="N66" i="76"/>
  <c r="N42" i="97"/>
  <c r="D87" i="70"/>
  <c r="N34" i="69"/>
  <c r="D114" i="69"/>
  <c r="D42" i="97"/>
  <c r="N251" i="76"/>
  <c r="N224" i="69"/>
  <c r="N44" i="69"/>
  <c r="D103" i="69"/>
  <c r="E103" i="69" s="1" a="1"/>
  <c r="E103" i="69" s="1"/>
  <c r="D72" i="70"/>
  <c r="D170" i="69"/>
  <c r="E170" i="69" s="1" a="1"/>
  <c r="E170" i="69" s="1"/>
  <c r="D198" i="76"/>
  <c r="N122" i="76"/>
  <c r="D66" i="76"/>
  <c r="N266" i="76"/>
  <c r="D222" i="76"/>
  <c r="N190" i="69"/>
  <c r="D146" i="76"/>
  <c r="E146" i="76" s="1" a="1"/>
  <c r="E146" i="76" s="1"/>
  <c r="D266" i="76"/>
  <c r="D57" i="76"/>
  <c r="D43" i="70"/>
  <c r="N75" i="76"/>
  <c r="D156" i="76"/>
  <c r="E156" i="76" s="1" a="1"/>
  <c r="E156" i="76" s="1"/>
  <c r="D251" i="76"/>
  <c r="N222" i="76"/>
  <c r="N166" i="76"/>
  <c r="D75" i="76"/>
  <c r="N82" i="97"/>
  <c r="D57" i="97"/>
  <c r="E57" i="97" s="1" a="1"/>
  <c r="E57" i="97" s="1"/>
  <c r="D122" i="76"/>
  <c r="E10" i="13"/>
  <c r="F10" i="13"/>
  <c r="E13" i="15"/>
  <c r="S64" i="97" l="1" a="1"/>
  <c r="S64" i="97" s="1"/>
  <c r="R64" i="97" a="1"/>
  <c r="R64" i="97" s="1"/>
  <c r="Q64" i="97" a="1"/>
  <c r="Q64" i="97" s="1"/>
  <c r="P64" i="97" a="1"/>
  <c r="P64" i="97" s="1"/>
  <c r="E27" i="105"/>
  <c r="E120" i="105"/>
  <c r="E52" i="105"/>
  <c r="O120" i="105"/>
  <c r="O52" i="105"/>
  <c r="O27" i="105"/>
  <c r="E76" i="105"/>
  <c r="E34" i="105"/>
  <c r="E83" i="105"/>
  <c r="O59" i="105"/>
  <c r="O34" i="105"/>
  <c r="E127" i="105"/>
  <c r="E59" i="105"/>
  <c r="O127" i="105"/>
  <c r="E35" i="105"/>
  <c r="E84" i="105"/>
  <c r="O60" i="105"/>
  <c r="E128" i="105"/>
  <c r="E60" i="105"/>
  <c r="O128" i="105"/>
  <c r="O35" i="105"/>
  <c r="E30" i="105"/>
  <c r="E123" i="105"/>
  <c r="E55" i="105"/>
  <c r="O123" i="105"/>
  <c r="E79" i="105"/>
  <c r="O55" i="105"/>
  <c r="O30" i="105"/>
  <c r="E23" i="105"/>
  <c r="O48" i="105"/>
  <c r="E72" i="105"/>
  <c r="O23" i="105"/>
  <c r="E116" i="105"/>
  <c r="E48" i="105"/>
  <c r="O116" i="105"/>
  <c r="P67" i="97" a="1"/>
  <c r="P67" i="97" s="1"/>
  <c r="S67" i="97" a="1"/>
  <c r="S67" i="97" s="1"/>
  <c r="R67" i="97" a="1"/>
  <c r="R67" i="97" s="1"/>
  <c r="Q67" i="97" a="1"/>
  <c r="Q67" i="97" s="1"/>
  <c r="E24" i="105"/>
  <c r="O24" i="105"/>
  <c r="E73" i="105"/>
  <c r="E117" i="105"/>
  <c r="O117" i="105"/>
  <c r="O49" i="105"/>
  <c r="E49" i="105"/>
  <c r="P66" i="97" a="1"/>
  <c r="P66" i="97" s="1"/>
  <c r="S66" i="97" a="1"/>
  <c r="S66" i="97" s="1"/>
  <c r="R66" i="97" a="1"/>
  <c r="R66" i="97" s="1"/>
  <c r="Q66" i="97" a="1"/>
  <c r="Q66" i="97" s="1"/>
  <c r="E33" i="105"/>
  <c r="E82" i="105"/>
  <c r="O58" i="105"/>
  <c r="O33" i="105"/>
  <c r="E126" i="105"/>
  <c r="E58" i="105"/>
  <c r="O126" i="105"/>
  <c r="E25" i="105"/>
  <c r="E118" i="105"/>
  <c r="E50" i="105"/>
  <c r="O118" i="105"/>
  <c r="O25" i="105"/>
  <c r="O50" i="105"/>
  <c r="E74" i="105"/>
  <c r="E29" i="105"/>
  <c r="O54" i="105"/>
  <c r="E122" i="105"/>
  <c r="E54" i="105"/>
  <c r="E78" i="105"/>
  <c r="O122" i="105"/>
  <c r="O29" i="105"/>
  <c r="E32" i="105"/>
  <c r="O32" i="105"/>
  <c r="E81" i="105"/>
  <c r="O57" i="105"/>
  <c r="O125" i="105"/>
  <c r="E125" i="105"/>
  <c r="E57" i="105"/>
  <c r="E22" i="105"/>
  <c r="O47" i="105"/>
  <c r="E71" i="105"/>
  <c r="E115" i="105"/>
  <c r="E47" i="105"/>
  <c r="O115" i="105"/>
  <c r="O22" i="105"/>
  <c r="E38" i="105"/>
  <c r="E131" i="105"/>
  <c r="E63" i="105"/>
  <c r="O63" i="105"/>
  <c r="O131" i="105"/>
  <c r="O38" i="105"/>
  <c r="E87" i="105"/>
  <c r="S65" i="97" a="1"/>
  <c r="S65" i="97" s="1"/>
  <c r="Q65" i="97" a="1"/>
  <c r="Q65" i="97" s="1"/>
  <c r="R65" i="97" a="1"/>
  <c r="R65" i="97" s="1"/>
  <c r="P65" i="97" a="1"/>
  <c r="P65" i="97" s="1"/>
  <c r="E39" i="105"/>
  <c r="O132" i="105"/>
  <c r="E132" i="105"/>
  <c r="E64" i="105"/>
  <c r="O39" i="105"/>
  <c r="O64" i="105"/>
  <c r="E88" i="105"/>
  <c r="E36" i="105"/>
  <c r="E129" i="105"/>
  <c r="E61" i="105"/>
  <c r="O129" i="105"/>
  <c r="O36" i="105"/>
  <c r="E85" i="105"/>
  <c r="O61" i="105"/>
  <c r="E41" i="105"/>
  <c r="E134" i="105"/>
  <c r="E66" i="105"/>
  <c r="O134" i="105"/>
  <c r="O66" i="105"/>
  <c r="E90" i="105"/>
  <c r="O41" i="105"/>
  <c r="R68" i="97" a="1"/>
  <c r="R68" i="97" s="1"/>
  <c r="P68" i="97" a="1"/>
  <c r="P68" i="97" s="1"/>
  <c r="Q68" i="97" a="1"/>
  <c r="Q68" i="97" s="1"/>
  <c r="S68" i="97" a="1"/>
  <c r="S68" i="97" s="1"/>
  <c r="E26" i="105"/>
  <c r="E51" i="105"/>
  <c r="O51" i="105"/>
  <c r="O26" i="105"/>
  <c r="E119" i="105"/>
  <c r="O119" i="105"/>
  <c r="E75" i="105"/>
  <c r="E40" i="105"/>
  <c r="O40" i="105"/>
  <c r="E133" i="105"/>
  <c r="E65" i="105"/>
  <c r="O133" i="105"/>
  <c r="O65" i="105"/>
  <c r="E89" i="105"/>
  <c r="E31" i="105"/>
  <c r="O124" i="105"/>
  <c r="O31" i="105"/>
  <c r="E80" i="105"/>
  <c r="E124" i="105"/>
  <c r="O56" i="105"/>
  <c r="E56" i="105"/>
  <c r="E28" i="105"/>
  <c r="E121" i="105"/>
  <c r="E53" i="105"/>
  <c r="O121" i="105"/>
  <c r="O53" i="105"/>
  <c r="O28" i="105"/>
  <c r="E77" i="105"/>
  <c r="E37" i="105"/>
  <c r="O37" i="105"/>
  <c r="E62" i="105"/>
  <c r="E130" i="105"/>
  <c r="O130" i="105"/>
  <c r="E86" i="105"/>
  <c r="O62" i="105"/>
  <c r="O187" i="69"/>
  <c r="O219" i="76"/>
  <c r="O39" i="97"/>
  <c r="E39" i="97"/>
  <c r="E79" i="97"/>
  <c r="O263" i="76"/>
  <c r="O79" i="97"/>
  <c r="E219" i="76"/>
  <c r="E187" i="69"/>
  <c r="E263" i="76"/>
  <c r="E195" i="76"/>
  <c r="E151" i="69"/>
  <c r="O225" i="76"/>
  <c r="O85" i="97"/>
  <c r="E269" i="76"/>
  <c r="E45" i="97"/>
  <c r="O269" i="76"/>
  <c r="E225" i="76"/>
  <c r="E201" i="76"/>
  <c r="E193" i="69"/>
  <c r="E157" i="69"/>
  <c r="O193" i="69"/>
  <c r="E85" i="97"/>
  <c r="O45" i="97"/>
  <c r="O253" i="76"/>
  <c r="O69" i="97"/>
  <c r="E69" i="97"/>
  <c r="E177" i="69"/>
  <c r="E253" i="76"/>
  <c r="E185" i="76"/>
  <c r="E209" i="76"/>
  <c r="O29" i="97"/>
  <c r="E141" i="69"/>
  <c r="O177" i="69"/>
  <c r="O209" i="76"/>
  <c r="E29" i="97"/>
  <c r="O195" i="69"/>
  <c r="E227" i="76"/>
  <c r="O227" i="76"/>
  <c r="E159" i="69"/>
  <c r="E47" i="97"/>
  <c r="E271" i="76"/>
  <c r="O271" i="76"/>
  <c r="O47" i="97"/>
  <c r="O87" i="97"/>
  <c r="E87" i="97"/>
  <c r="E203" i="76"/>
  <c r="E195" i="69"/>
  <c r="O186" i="69"/>
  <c r="O78" i="97"/>
  <c r="E78" i="97"/>
  <c r="O218" i="76"/>
  <c r="E262" i="76"/>
  <c r="O38" i="97"/>
  <c r="E150" i="69"/>
  <c r="E38" i="97"/>
  <c r="O262" i="76"/>
  <c r="E186" i="69"/>
  <c r="E194" i="76"/>
  <c r="E218" i="76"/>
  <c r="H221" i="69" a="1"/>
  <c r="H221" i="69" s="1"/>
  <c r="O221" i="69" a="1"/>
  <c r="O221" i="69" s="1"/>
  <c r="P221" i="69" a="1"/>
  <c r="P221" i="69" s="1"/>
  <c r="F221" i="69" a="1"/>
  <c r="F221" i="69" s="1"/>
  <c r="R221" i="69" a="1"/>
  <c r="R221" i="69" s="1"/>
  <c r="Q221" i="69" a="1"/>
  <c r="Q221" i="69" s="1"/>
  <c r="G221" i="69" a="1"/>
  <c r="G221" i="69" s="1"/>
  <c r="E221" i="69" a="1"/>
  <c r="E221" i="69" s="1"/>
  <c r="F68" i="97" a="1"/>
  <c r="F68" i="97" s="1"/>
  <c r="I68" i="97" a="1"/>
  <c r="I68" i="97" s="1"/>
  <c r="E53" i="97" a="1"/>
  <c r="E53" i="97" s="1"/>
  <c r="Q63" i="97" s="1" a="1"/>
  <c r="Q63" i="97" s="1"/>
  <c r="G68" i="97" a="1"/>
  <c r="G68" i="97" s="1"/>
  <c r="H68" i="97" a="1"/>
  <c r="H68" i="97" s="1"/>
  <c r="E158" i="69"/>
  <c r="E194" i="69"/>
  <c r="E86" i="97"/>
  <c r="O226" i="76"/>
  <c r="E270" i="76"/>
  <c r="E46" i="97"/>
  <c r="O270" i="76"/>
  <c r="O46" i="97"/>
  <c r="O194" i="69"/>
  <c r="E202" i="76"/>
  <c r="E226" i="76"/>
  <c r="O86" i="97"/>
  <c r="H67" i="97" a="1"/>
  <c r="H67" i="97" s="1"/>
  <c r="G67" i="97" a="1"/>
  <c r="G67" i="97" s="1"/>
  <c r="I67" i="97" a="1"/>
  <c r="I67" i="97" s="1"/>
  <c r="F67" i="97" a="1"/>
  <c r="F67" i="97" s="1"/>
  <c r="E160" i="69"/>
  <c r="E196" i="69"/>
  <c r="O228" i="76"/>
  <c r="E48" i="97"/>
  <c r="O48" i="97"/>
  <c r="O272" i="76"/>
  <c r="O88" i="97"/>
  <c r="E88" i="97"/>
  <c r="E272" i="76"/>
  <c r="E204" i="76"/>
  <c r="E228" i="76"/>
  <c r="O196" i="69"/>
  <c r="R224" i="69" a="1"/>
  <c r="R224" i="69" s="1"/>
  <c r="Q224" i="69" a="1"/>
  <c r="Q224" i="69" s="1"/>
  <c r="P224" i="69" a="1"/>
  <c r="P224" i="69" s="1"/>
  <c r="O224" i="69" a="1"/>
  <c r="O224" i="69" s="1"/>
  <c r="H224" i="69" a="1"/>
  <c r="H224" i="69" s="1"/>
  <c r="F224" i="69" a="1"/>
  <c r="F224" i="69" s="1"/>
  <c r="E224" i="69" a="1"/>
  <c r="E224" i="69" s="1"/>
  <c r="P223" i="69" a="1"/>
  <c r="P223" i="69" s="1"/>
  <c r="R223" i="69" a="1"/>
  <c r="R223" i="69" s="1"/>
  <c r="G223" i="69" a="1"/>
  <c r="G223" i="69" s="1"/>
  <c r="Q223" i="69" a="1"/>
  <c r="Q223" i="69" s="1"/>
  <c r="H223" i="69" a="1"/>
  <c r="H223" i="69" s="1"/>
  <c r="E223" i="69" a="1"/>
  <c r="E223" i="69" s="1"/>
  <c r="F223" i="69" a="1"/>
  <c r="F223" i="69" s="1"/>
  <c r="O223" i="69" a="1"/>
  <c r="O223" i="69" s="1"/>
  <c r="E182" i="69"/>
  <c r="E258" i="76"/>
  <c r="E34" i="97"/>
  <c r="E146" i="69"/>
  <c r="O214" i="76"/>
  <c r="O182" i="69"/>
  <c r="E214" i="76"/>
  <c r="E190" i="76"/>
  <c r="E74" i="97"/>
  <c r="O34" i="97"/>
  <c r="O258" i="76"/>
  <c r="O74" i="97"/>
  <c r="F248" i="76" a="1"/>
  <c r="F248" i="76" s="1"/>
  <c r="S248" i="76" a="1"/>
  <c r="S248" i="76" s="1"/>
  <c r="Q248" i="76" a="1"/>
  <c r="Q248" i="76" s="1"/>
  <c r="P248" i="76" a="1"/>
  <c r="P248" i="76" s="1"/>
  <c r="H248" i="76" a="1"/>
  <c r="H248" i="76" s="1"/>
  <c r="R248" i="76" a="1"/>
  <c r="R248" i="76" s="1"/>
  <c r="I248" i="76" a="1"/>
  <c r="I248" i="76" s="1"/>
  <c r="G248" i="76" a="1"/>
  <c r="G248" i="76" s="1"/>
  <c r="E112" i="69" a="1"/>
  <c r="E112" i="69" s="1"/>
  <c r="F186" i="69" s="1" a="1"/>
  <c r="F186" i="69" s="1"/>
  <c r="Q112" i="69" a="1"/>
  <c r="Q112" i="69" s="1"/>
  <c r="G112" i="69" a="1"/>
  <c r="G112" i="69" s="1"/>
  <c r="F112" i="69" a="1"/>
  <c r="F112" i="69" s="1"/>
  <c r="P112" i="69" a="1"/>
  <c r="P112" i="69" s="1"/>
  <c r="R112" i="69" a="1"/>
  <c r="R112" i="69" s="1"/>
  <c r="H112" i="69" a="1"/>
  <c r="H112" i="69" s="1"/>
  <c r="I186" i="69" s="1" a="1"/>
  <c r="I186" i="69" s="1"/>
  <c r="O112" i="69" a="1"/>
  <c r="O112" i="69" s="1"/>
  <c r="H110" i="69" a="1"/>
  <c r="H110" i="69" s="1"/>
  <c r="E110" i="69" a="1"/>
  <c r="E110" i="69" s="1"/>
  <c r="R110" i="69" a="1"/>
  <c r="R110" i="69" s="1"/>
  <c r="G110" i="69" a="1"/>
  <c r="G110" i="69" s="1"/>
  <c r="F110" i="69" a="1"/>
  <c r="F110" i="69" s="1"/>
  <c r="Q110" i="69" a="1"/>
  <c r="Q110" i="69" s="1"/>
  <c r="P110" i="69" a="1"/>
  <c r="P110" i="69" s="1"/>
  <c r="O110" i="69" a="1"/>
  <c r="O110" i="69" s="1"/>
  <c r="E223" i="76"/>
  <c r="E199" i="76"/>
  <c r="E267" i="76"/>
  <c r="O43" i="97"/>
  <c r="O191" i="69"/>
  <c r="E43" i="97"/>
  <c r="E191" i="69"/>
  <c r="E155" i="69"/>
  <c r="O267" i="76"/>
  <c r="O83" i="97"/>
  <c r="E83" i="97"/>
  <c r="O223" i="76"/>
  <c r="G165" i="76" a="1"/>
  <c r="G165" i="76" s="1"/>
  <c r="O165" i="76" a="1"/>
  <c r="O165" i="76" s="1"/>
  <c r="R165" i="76" a="1"/>
  <c r="R165" i="76" s="1"/>
  <c r="P165" i="76" a="1"/>
  <c r="P165" i="76" s="1"/>
  <c r="E165" i="76" a="1"/>
  <c r="E165" i="76" s="1"/>
  <c r="H165" i="76" a="1"/>
  <c r="H165" i="76" s="1"/>
  <c r="Q165" i="76" a="1"/>
  <c r="Q165" i="76" s="1"/>
  <c r="F165" i="76" a="1"/>
  <c r="F165" i="76" s="1"/>
  <c r="F111" i="69" a="1"/>
  <c r="F111" i="69" s="1"/>
  <c r="E111" i="69" a="1"/>
  <c r="E111" i="69" s="1"/>
  <c r="H111" i="69" a="1"/>
  <c r="H111" i="69" s="1"/>
  <c r="G111" i="69" a="1"/>
  <c r="G111" i="69" s="1"/>
  <c r="P111" i="69" a="1"/>
  <c r="P111" i="69" s="1"/>
  <c r="R111" i="69" a="1"/>
  <c r="R111" i="69" s="1"/>
  <c r="O111" i="69" a="1"/>
  <c r="O111" i="69" s="1"/>
  <c r="Q111" i="69" a="1"/>
  <c r="Q111" i="69" s="1"/>
  <c r="E190" i="69"/>
  <c r="E154" i="69"/>
  <c r="E266" i="76"/>
  <c r="O266" i="76"/>
  <c r="O42" i="97"/>
  <c r="E82" i="97"/>
  <c r="O222" i="76"/>
  <c r="E222" i="76"/>
  <c r="E198" i="76"/>
  <c r="O82" i="97"/>
  <c r="O190" i="69"/>
  <c r="E42" i="97"/>
  <c r="E181" i="69"/>
  <c r="O73" i="97"/>
  <c r="O181" i="69"/>
  <c r="E73" i="97"/>
  <c r="E257" i="76"/>
  <c r="E33" i="97"/>
  <c r="O33" i="97"/>
  <c r="O257" i="76"/>
  <c r="O213" i="76"/>
  <c r="E213" i="76"/>
  <c r="E189" i="76"/>
  <c r="E145" i="69"/>
  <c r="F249" i="76" a="1"/>
  <c r="F249" i="76" s="1"/>
  <c r="Q249" i="76" a="1"/>
  <c r="Q249" i="76" s="1"/>
  <c r="R249" i="76" a="1"/>
  <c r="R249" i="76" s="1"/>
  <c r="S249" i="76" a="1"/>
  <c r="S249" i="76" s="1"/>
  <c r="P249" i="76" a="1"/>
  <c r="P249" i="76" s="1"/>
  <c r="H249" i="76" a="1"/>
  <c r="H249" i="76" s="1"/>
  <c r="G249" i="76" a="1"/>
  <c r="G249" i="76" s="1"/>
  <c r="I249" i="76" a="1"/>
  <c r="I249" i="76" s="1"/>
  <c r="E188" i="69"/>
  <c r="E152" i="69"/>
  <c r="O188" i="69"/>
  <c r="O220" i="76"/>
  <c r="O40" i="97"/>
  <c r="E40" i="97"/>
  <c r="O264" i="76"/>
  <c r="E196" i="76"/>
  <c r="O80" i="97"/>
  <c r="E80" i="97"/>
  <c r="E264" i="76"/>
  <c r="E220" i="76"/>
  <c r="E156" i="69"/>
  <c r="E44" i="97"/>
  <c r="E268" i="76"/>
  <c r="E224" i="76"/>
  <c r="E200" i="76"/>
  <c r="E84" i="97"/>
  <c r="O44" i="97"/>
  <c r="O224" i="76"/>
  <c r="E192" i="69"/>
  <c r="O192" i="69"/>
  <c r="O268" i="76"/>
  <c r="O84" i="97"/>
  <c r="F66" i="97" a="1"/>
  <c r="F66" i="97" s="1"/>
  <c r="H66" i="97" a="1"/>
  <c r="H66" i="97" s="1"/>
  <c r="I66" i="97" a="1"/>
  <c r="I66" i="97" s="1"/>
  <c r="G66" i="97" a="1"/>
  <c r="G66" i="97" s="1"/>
  <c r="E163" i="76" a="1"/>
  <c r="E163" i="76" s="1"/>
  <c r="P163" i="76" a="1"/>
  <c r="P163" i="76" s="1"/>
  <c r="H163" i="76" a="1"/>
  <c r="H163" i="76" s="1"/>
  <c r="G163" i="76" a="1"/>
  <c r="G163" i="76" s="1"/>
  <c r="Q163" i="76" a="1"/>
  <c r="Q163" i="76" s="1"/>
  <c r="F163" i="76" a="1"/>
  <c r="F163" i="76" s="1"/>
  <c r="O163" i="76" a="1"/>
  <c r="O163" i="76" s="1"/>
  <c r="R163" i="76" a="1"/>
  <c r="R163" i="76" s="1"/>
  <c r="I252" i="76" a="1"/>
  <c r="I252" i="76" s="1"/>
  <c r="E152" i="76" a="1"/>
  <c r="E152" i="76" s="1"/>
  <c r="P162" i="76" s="1" a="1"/>
  <c r="P162" i="76" s="1"/>
  <c r="F252" i="76" a="1"/>
  <c r="F252" i="76" s="1"/>
  <c r="S252" i="76" a="1"/>
  <c r="S252" i="76" s="1"/>
  <c r="G252" i="76" a="1"/>
  <c r="G252" i="76" s="1"/>
  <c r="R252" i="76" a="1"/>
  <c r="R252" i="76" s="1"/>
  <c r="P252" i="76" a="1"/>
  <c r="P252" i="76" s="1"/>
  <c r="H252" i="76" a="1"/>
  <c r="H252" i="76" s="1"/>
  <c r="Q252" i="76" a="1"/>
  <c r="Q252" i="76" s="1"/>
  <c r="G224" i="69" a="1"/>
  <c r="G224" i="69" s="1"/>
  <c r="O183" i="69"/>
  <c r="O259" i="76"/>
  <c r="O35" i="97"/>
  <c r="O75" i="97"/>
  <c r="E75" i="97"/>
  <c r="E259" i="76"/>
  <c r="E35" i="97"/>
  <c r="E147" i="69"/>
  <c r="O215" i="76"/>
  <c r="E215" i="76"/>
  <c r="E191" i="76"/>
  <c r="E183" i="69"/>
  <c r="I64" i="97" a="1"/>
  <c r="I64" i="97" s="1"/>
  <c r="H64" i="97" a="1"/>
  <c r="H64" i="97" s="1"/>
  <c r="F64" i="97" a="1"/>
  <c r="F64" i="97" s="1"/>
  <c r="G64" i="97" a="1"/>
  <c r="G64" i="97" s="1"/>
  <c r="E225" i="69" a="1"/>
  <c r="E225" i="69" s="1"/>
  <c r="P225" i="69" a="1"/>
  <c r="P225" i="69" s="1"/>
  <c r="O225" i="69" a="1"/>
  <c r="O225" i="69" s="1"/>
  <c r="Q225" i="69" a="1"/>
  <c r="Q225" i="69" s="1"/>
  <c r="R225" i="69" a="1"/>
  <c r="R225" i="69" s="1"/>
  <c r="F225" i="69" a="1"/>
  <c r="F225" i="69" s="1"/>
  <c r="H225" i="69" a="1"/>
  <c r="H225" i="69" s="1"/>
  <c r="G225" i="69" a="1"/>
  <c r="G225" i="69" s="1"/>
  <c r="E166" i="69" a="1"/>
  <c r="E166" i="69" s="1"/>
  <c r="H220" i="69" s="1" a="1"/>
  <c r="H220" i="69" s="1"/>
  <c r="E222" i="69" a="1"/>
  <c r="E222" i="69" s="1"/>
  <c r="O222" i="69" a="1"/>
  <c r="O222" i="69" s="1"/>
  <c r="G222" i="69" a="1"/>
  <c r="G222" i="69" s="1"/>
  <c r="R222" i="69" a="1"/>
  <c r="R222" i="69" s="1"/>
  <c r="F222" i="69" a="1"/>
  <c r="F222" i="69" s="1"/>
  <c r="Q222" i="69" a="1"/>
  <c r="Q222" i="69" s="1"/>
  <c r="H222" i="69" a="1"/>
  <c r="H222" i="69" s="1"/>
  <c r="P222" i="69" a="1"/>
  <c r="P222" i="69" s="1"/>
  <c r="F166" i="76" a="1"/>
  <c r="F166" i="76" s="1"/>
  <c r="R166" i="76" a="1"/>
  <c r="R166" i="76" s="1"/>
  <c r="O166" i="76" a="1"/>
  <c r="O166" i="76" s="1"/>
  <c r="Q166" i="76" a="1"/>
  <c r="Q166" i="76" s="1"/>
  <c r="P166" i="76" a="1"/>
  <c r="P166" i="76" s="1"/>
  <c r="H166" i="76" a="1"/>
  <c r="H166" i="76" s="1"/>
  <c r="G166" i="76" a="1"/>
  <c r="G166" i="76" s="1"/>
  <c r="E166" i="76" a="1"/>
  <c r="E166" i="76" s="1"/>
  <c r="S251" i="76" a="1"/>
  <c r="S251" i="76" s="1"/>
  <c r="Q251" i="76" a="1"/>
  <c r="Q251" i="76" s="1"/>
  <c r="G251" i="76" a="1"/>
  <c r="G251" i="76" s="1"/>
  <c r="I251" i="76" a="1"/>
  <c r="I251" i="76" s="1"/>
  <c r="F251" i="76" a="1"/>
  <c r="F251" i="76" s="1"/>
  <c r="H251" i="76" a="1"/>
  <c r="H251" i="76" s="1"/>
  <c r="P251" i="76" a="1"/>
  <c r="P251" i="76" s="1"/>
  <c r="R251" i="76" a="1"/>
  <c r="R251" i="76" s="1"/>
  <c r="E265" i="76"/>
  <c r="E221" i="76"/>
  <c r="E153" i="69"/>
  <c r="E197" i="76"/>
  <c r="E41" i="97"/>
  <c r="O265" i="76"/>
  <c r="E189" i="69"/>
  <c r="O81" i="97"/>
  <c r="O189" i="69"/>
  <c r="E81" i="97"/>
  <c r="O41" i="97"/>
  <c r="O221" i="76"/>
  <c r="R113" i="69" a="1"/>
  <c r="R113" i="69" s="1"/>
  <c r="G113" i="69" a="1"/>
  <c r="G113" i="69" s="1"/>
  <c r="P113" i="69" a="1"/>
  <c r="P113" i="69" s="1"/>
  <c r="F113" i="69" a="1"/>
  <c r="F113" i="69" s="1"/>
  <c r="H113" i="69" a="1"/>
  <c r="H113" i="69" s="1"/>
  <c r="Q113" i="69" a="1"/>
  <c r="Q113" i="69" s="1"/>
  <c r="E113" i="69" a="1"/>
  <c r="E113" i="69" s="1"/>
  <c r="O113" i="69" a="1"/>
  <c r="O113" i="69" s="1"/>
  <c r="Q250" i="76" a="1"/>
  <c r="Q250" i="76" s="1"/>
  <c r="F250" i="76" a="1"/>
  <c r="F250" i="76" s="1"/>
  <c r="I250" i="76" a="1"/>
  <c r="I250" i="76" s="1"/>
  <c r="S250" i="76" a="1"/>
  <c r="S250" i="76" s="1"/>
  <c r="R250" i="76" a="1"/>
  <c r="R250" i="76" s="1"/>
  <c r="H250" i="76" a="1"/>
  <c r="H250" i="76" s="1"/>
  <c r="G250" i="76" a="1"/>
  <c r="G250" i="76" s="1"/>
  <c r="P250" i="76" a="1"/>
  <c r="P250" i="76" s="1"/>
  <c r="O164" i="76" a="1"/>
  <c r="O164" i="76" s="1"/>
  <c r="H164" i="76" a="1"/>
  <c r="H164" i="76" s="1"/>
  <c r="F164" i="76" a="1"/>
  <c r="F164" i="76" s="1"/>
  <c r="Q164" i="76" a="1"/>
  <c r="Q164" i="76" s="1"/>
  <c r="E164" i="76" a="1"/>
  <c r="E164" i="76" s="1"/>
  <c r="P164" i="76" a="1"/>
  <c r="P164" i="76" s="1"/>
  <c r="G164" i="76" a="1"/>
  <c r="G164" i="76" s="1"/>
  <c r="R164" i="76" a="1"/>
  <c r="R164" i="76" s="1"/>
  <c r="O261" i="76"/>
  <c r="E261" i="76"/>
  <c r="E193" i="76"/>
  <c r="E185" i="69"/>
  <c r="E217" i="76"/>
  <c r="E149" i="69"/>
  <c r="O185" i="69"/>
  <c r="E37" i="97"/>
  <c r="O37" i="97"/>
  <c r="O77" i="97"/>
  <c r="O217" i="76"/>
  <c r="E77" i="97"/>
  <c r="O179" i="69"/>
  <c r="O211" i="76"/>
  <c r="E31" i="97"/>
  <c r="O255" i="76"/>
  <c r="O71" i="97"/>
  <c r="E71" i="97"/>
  <c r="E255" i="76"/>
  <c r="E143" i="69"/>
  <c r="O31" i="97"/>
  <c r="E211" i="76"/>
  <c r="E187" i="76"/>
  <c r="E179" i="69"/>
  <c r="E260" i="76"/>
  <c r="O184" i="69"/>
  <c r="E148" i="69"/>
  <c r="E184" i="69"/>
  <c r="O76" i="97"/>
  <c r="O36" i="97"/>
  <c r="E216" i="76"/>
  <c r="E76" i="97"/>
  <c r="O216" i="76"/>
  <c r="E192" i="76"/>
  <c r="O260" i="76"/>
  <c r="E36" i="97"/>
  <c r="F114" i="69" a="1"/>
  <c r="F114" i="69" s="1"/>
  <c r="G114" i="69" a="1"/>
  <c r="G114" i="69" s="1"/>
  <c r="P114" i="69" a="1"/>
  <c r="P114" i="69" s="1"/>
  <c r="E114" i="69" a="1"/>
  <c r="E114" i="69" s="1"/>
  <c r="R114" i="69" a="1"/>
  <c r="R114" i="69" s="1"/>
  <c r="H114" i="69" a="1"/>
  <c r="H114" i="69" s="1"/>
  <c r="O114" i="69" a="1"/>
  <c r="O114" i="69" s="1"/>
  <c r="Q114" i="69" a="1"/>
  <c r="Q114" i="69" s="1"/>
  <c r="O72" i="97"/>
  <c r="O212" i="76"/>
  <c r="E72" i="97"/>
  <c r="E180" i="69"/>
  <c r="E256" i="76"/>
  <c r="E32" i="97"/>
  <c r="O32" i="97"/>
  <c r="E212" i="76"/>
  <c r="E188" i="76"/>
  <c r="O256" i="76"/>
  <c r="E144" i="69"/>
  <c r="O180" i="69"/>
  <c r="F65" i="97" a="1"/>
  <c r="F65" i="97" s="1"/>
  <c r="I65" i="97" a="1"/>
  <c r="I65" i="97" s="1"/>
  <c r="G65" i="97" a="1"/>
  <c r="G65" i="97" s="1"/>
  <c r="H65" i="97" a="1"/>
  <c r="H65" i="97" s="1"/>
  <c r="E186" i="76"/>
  <c r="E142" i="69"/>
  <c r="O70" i="97"/>
  <c r="E178" i="69"/>
  <c r="O30" i="97"/>
  <c r="O210" i="76"/>
  <c r="O178" i="69"/>
  <c r="E254" i="76"/>
  <c r="E30" i="97"/>
  <c r="O254" i="76"/>
  <c r="E70" i="97"/>
  <c r="E210" i="76"/>
  <c r="F63" i="97" a="1"/>
  <c r="F63" i="97" s="1"/>
  <c r="G63" i="97" a="1"/>
  <c r="G63" i="97" s="1"/>
  <c r="H63" i="97" a="1"/>
  <c r="H63" i="97" s="1"/>
  <c r="I63" i="97" a="1"/>
  <c r="I63" i="97" s="1"/>
  <c r="P115" i="69" a="1"/>
  <c r="P115" i="69" s="1"/>
  <c r="F115" i="69" a="1"/>
  <c r="F115" i="69" s="1"/>
  <c r="H115" i="69" a="1"/>
  <c r="H115" i="69" s="1"/>
  <c r="G115" i="69" a="1"/>
  <c r="G115" i="69" s="1"/>
  <c r="Q115" i="69" a="1"/>
  <c r="Q115" i="69" s="1"/>
  <c r="R115" i="69" a="1"/>
  <c r="R115" i="69" s="1"/>
  <c r="O115" i="69" a="1"/>
  <c r="O115" i="69" s="1"/>
  <c r="E115" i="69" a="1"/>
  <c r="E115" i="69" s="1"/>
  <c r="Q196" i="69" l="1" a="1"/>
  <c r="Q196" i="69" s="1"/>
  <c r="R131" i="105" a="1"/>
  <c r="R131" i="105" s="1"/>
  <c r="S131" i="105" a="1"/>
  <c r="S131" i="105" s="1"/>
  <c r="Q131" i="105" a="1"/>
  <c r="Q131" i="105" s="1"/>
  <c r="P131" i="105" a="1"/>
  <c r="P131" i="105" s="1"/>
  <c r="S87" i="97" a="1"/>
  <c r="S87" i="97" s="1"/>
  <c r="R87" i="97" a="1"/>
  <c r="R87" i="97" s="1"/>
  <c r="Q87" i="97" a="1"/>
  <c r="Q87" i="97" s="1"/>
  <c r="P87" i="97" a="1"/>
  <c r="P87" i="97" s="1"/>
  <c r="F133" i="105" a="1"/>
  <c r="F133" i="105" s="1"/>
  <c r="I133" i="105" a="1"/>
  <c r="I133" i="105" s="1"/>
  <c r="H133" i="105" a="1"/>
  <c r="H133" i="105" s="1"/>
  <c r="G133" i="105" a="1"/>
  <c r="G133" i="105" s="1"/>
  <c r="S88" i="97" a="1"/>
  <c r="S88" i="97" s="1"/>
  <c r="R88" i="97" a="1"/>
  <c r="R88" i="97" s="1"/>
  <c r="Q88" i="97" a="1"/>
  <c r="Q88" i="97" s="1"/>
  <c r="P88" i="97" a="1"/>
  <c r="P88" i="97" s="1"/>
  <c r="P86" i="97" a="1"/>
  <c r="P86" i="97" s="1"/>
  <c r="Q86" i="97" a="1"/>
  <c r="Q86" i="97" s="1"/>
  <c r="R86" i="97" a="1"/>
  <c r="R86" i="97" s="1"/>
  <c r="S86" i="97" a="1"/>
  <c r="S86" i="97" s="1"/>
  <c r="F131" i="105" a="1"/>
  <c r="F131" i="105" s="1"/>
  <c r="I131" i="105" a="1"/>
  <c r="I131" i="105" s="1"/>
  <c r="H131" i="105" a="1"/>
  <c r="H131" i="105" s="1"/>
  <c r="G131" i="105" a="1"/>
  <c r="G131" i="105" s="1"/>
  <c r="S85" i="97" a="1"/>
  <c r="S85" i="97" s="1"/>
  <c r="Q85" i="97" a="1"/>
  <c r="Q85" i="97" s="1"/>
  <c r="R85" i="97" a="1"/>
  <c r="R85" i="97" s="1"/>
  <c r="P85" i="97" a="1"/>
  <c r="P85" i="97" s="1"/>
  <c r="S134" i="105" a="1"/>
  <c r="S134" i="105" s="1"/>
  <c r="R134" i="105" a="1"/>
  <c r="R134" i="105" s="1"/>
  <c r="Q134" i="105" a="1"/>
  <c r="Q134" i="105" s="1"/>
  <c r="P134" i="105" a="1"/>
  <c r="P134" i="105" s="1"/>
  <c r="G132" i="105" a="1"/>
  <c r="G132" i="105" s="1"/>
  <c r="H132" i="105" a="1"/>
  <c r="H132" i="105" s="1"/>
  <c r="F132" i="105" a="1"/>
  <c r="F132" i="105" s="1"/>
  <c r="I132" i="105" a="1"/>
  <c r="I132" i="105" s="1"/>
  <c r="R63" i="97" a="1"/>
  <c r="R63" i="97" s="1"/>
  <c r="F134" i="105" a="1"/>
  <c r="F134" i="105" s="1"/>
  <c r="G134" i="105" a="1"/>
  <c r="G134" i="105" s="1"/>
  <c r="I134" i="105" a="1"/>
  <c r="I134" i="105" s="1"/>
  <c r="H134" i="105" a="1"/>
  <c r="H134" i="105" s="1"/>
  <c r="Q132" i="105" a="1"/>
  <c r="Q132" i="105" s="1"/>
  <c r="P132" i="105" a="1"/>
  <c r="P132" i="105" s="1"/>
  <c r="S132" i="105" a="1"/>
  <c r="S132" i="105" s="1"/>
  <c r="R132" i="105" a="1"/>
  <c r="R132" i="105" s="1"/>
  <c r="P63" i="97" a="1"/>
  <c r="P63" i="97" s="1"/>
  <c r="S63" i="97" a="1"/>
  <c r="S63" i="97" s="1"/>
  <c r="Q133" i="105" a="1"/>
  <c r="Q133" i="105" s="1"/>
  <c r="S133" i="105" a="1"/>
  <c r="S133" i="105" s="1"/>
  <c r="R133" i="105" a="1"/>
  <c r="R133" i="105" s="1"/>
  <c r="P133" i="105" a="1"/>
  <c r="P133" i="105" s="1"/>
  <c r="R194" i="69" a="1"/>
  <c r="R194" i="69" s="1"/>
  <c r="H194" i="69" a="1"/>
  <c r="H194" i="69" s="1"/>
  <c r="S194" i="69" a="1"/>
  <c r="S194" i="69" s="1"/>
  <c r="G177" i="69" a="1"/>
  <c r="G177" i="69" s="1"/>
  <c r="H177" i="69" a="1"/>
  <c r="H177" i="69" s="1"/>
  <c r="G196" i="69" a="1"/>
  <c r="G196" i="69" s="1"/>
  <c r="P196" i="69" a="1"/>
  <c r="P196" i="69" s="1"/>
  <c r="H183" i="69" a="1"/>
  <c r="H183" i="69" s="1"/>
  <c r="F177" i="69" a="1"/>
  <c r="F177" i="69" s="1"/>
  <c r="R247" i="76" a="1"/>
  <c r="R247" i="76" s="1"/>
  <c r="G247" i="76" a="1"/>
  <c r="G247" i="76" s="1"/>
  <c r="Q247" i="76" a="1"/>
  <c r="Q247" i="76" s="1"/>
  <c r="P188" i="69" a="1"/>
  <c r="P188" i="69" s="1"/>
  <c r="R188" i="69" a="1"/>
  <c r="R188" i="69" s="1"/>
  <c r="G162" i="76" a="1"/>
  <c r="G162" i="76" s="1"/>
  <c r="I177" i="69" a="1"/>
  <c r="I177" i="69" s="1"/>
  <c r="S177" i="69" a="1"/>
  <c r="S177" i="69" s="1"/>
  <c r="P177" i="69" a="1"/>
  <c r="P177" i="69" s="1"/>
  <c r="R177" i="69" a="1"/>
  <c r="R177" i="69" s="1"/>
  <c r="Q177" i="69" a="1"/>
  <c r="Q177" i="69" s="1"/>
  <c r="G220" i="76" a="1"/>
  <c r="G220" i="76" s="1"/>
  <c r="G264" i="76" s="1" a="1"/>
  <c r="G264" i="76" s="1"/>
  <c r="G221" i="76" a="1"/>
  <c r="G221" i="76" s="1"/>
  <c r="G265" i="76" s="1" a="1"/>
  <c r="G265" i="76" s="1"/>
  <c r="G219" i="76" a="1"/>
  <c r="G219" i="76" s="1"/>
  <c r="R272" i="76" a="1"/>
  <c r="R272" i="76" s="1"/>
  <c r="I272" i="76" a="1"/>
  <c r="I272" i="76" s="1"/>
  <c r="Q272" i="76" a="1"/>
  <c r="Q272" i="76" s="1"/>
  <c r="F272" i="76" a="1"/>
  <c r="F272" i="76" s="1"/>
  <c r="G272" i="76" a="1"/>
  <c r="G272" i="76" s="1"/>
  <c r="H272" i="76" a="1"/>
  <c r="H272" i="76" s="1"/>
  <c r="S272" i="76" a="1"/>
  <c r="S272" i="76" s="1"/>
  <c r="P272" i="76" a="1"/>
  <c r="P272" i="76" s="1"/>
  <c r="I195" i="69" a="1"/>
  <c r="I195" i="69" s="1"/>
  <c r="F195" i="69" a="1"/>
  <c r="F195" i="69" s="1"/>
  <c r="P195" i="69" a="1"/>
  <c r="P195" i="69" s="1"/>
  <c r="R195" i="69" a="1"/>
  <c r="R195" i="69" s="1"/>
  <c r="S195" i="69" a="1"/>
  <c r="S195" i="69" s="1"/>
  <c r="H195" i="69" a="1"/>
  <c r="H195" i="69" s="1"/>
  <c r="G195" i="69" a="1"/>
  <c r="G195" i="69" s="1"/>
  <c r="Q195" i="69" a="1"/>
  <c r="Q195" i="69" s="1"/>
  <c r="H162" i="76" a="1"/>
  <c r="H162" i="76" s="1"/>
  <c r="Q220" i="69" a="1"/>
  <c r="Q220" i="69" s="1"/>
  <c r="I222" i="76" a="1"/>
  <c r="I222" i="76" s="1"/>
  <c r="I266" i="76" s="1" a="1"/>
  <c r="I266" i="76" s="1"/>
  <c r="I224" i="76" a="1"/>
  <c r="I224" i="76" s="1"/>
  <c r="I268" i="76" s="1" a="1"/>
  <c r="I268" i="76" s="1"/>
  <c r="I223" i="76" a="1"/>
  <c r="I223" i="76" s="1"/>
  <c r="I267" i="76" s="1" a="1"/>
  <c r="I267" i="76" s="1"/>
  <c r="F191" i="69" a="1"/>
  <c r="F191" i="69" s="1"/>
  <c r="I191" i="69" a="1"/>
  <c r="I191" i="69" s="1"/>
  <c r="R191" i="69" a="1"/>
  <c r="R191" i="69" s="1"/>
  <c r="H191" i="69" a="1"/>
  <c r="H191" i="69" s="1"/>
  <c r="Q191" i="69" a="1"/>
  <c r="Q191" i="69" s="1"/>
  <c r="G191" i="69" a="1"/>
  <c r="G191" i="69" s="1"/>
  <c r="P191" i="69" a="1"/>
  <c r="P191" i="69" s="1"/>
  <c r="Q222" i="76" a="1"/>
  <c r="Q222" i="76" s="1"/>
  <c r="Q223" i="76" a="1"/>
  <c r="Q223" i="76" s="1"/>
  <c r="Q224" i="76" a="1"/>
  <c r="Q224" i="76" s="1"/>
  <c r="R223" i="76" a="1"/>
  <c r="R223" i="76" s="1"/>
  <c r="R224" i="76" a="1"/>
  <c r="R224" i="76" s="1"/>
  <c r="R222" i="76" a="1"/>
  <c r="R222" i="76" s="1"/>
  <c r="G188" i="69" a="1"/>
  <c r="G188" i="69" s="1"/>
  <c r="S188" i="69" a="1"/>
  <c r="S188" i="69" s="1"/>
  <c r="H188" i="69" a="1"/>
  <c r="H188" i="69" s="1"/>
  <c r="F188" i="69" a="1"/>
  <c r="F188" i="69" s="1"/>
  <c r="I188" i="69" a="1"/>
  <c r="I188" i="69" s="1"/>
  <c r="R221" i="76" a="1"/>
  <c r="R221" i="76" s="1"/>
  <c r="R220" i="76" a="1"/>
  <c r="R220" i="76" s="1"/>
  <c r="R219" i="76" a="1"/>
  <c r="R219" i="76" s="1"/>
  <c r="Q184" i="69" a="1"/>
  <c r="Q184" i="69" s="1"/>
  <c r="H88" i="97" a="1"/>
  <c r="H88" i="97" s="1"/>
  <c r="G88" i="97" a="1"/>
  <c r="G88" i="97" s="1"/>
  <c r="F88" i="97" a="1"/>
  <c r="F88" i="97" s="1"/>
  <c r="I88" i="97" a="1"/>
  <c r="I88" i="97" s="1"/>
  <c r="Q162" i="76" a="1"/>
  <c r="Q162" i="76" s="1"/>
  <c r="S216" i="76" a="1"/>
  <c r="S216" i="76" s="1"/>
  <c r="S217" i="76" a="1"/>
  <c r="S217" i="76" s="1"/>
  <c r="S261" i="76" s="1" a="1"/>
  <c r="S261" i="76" s="1"/>
  <c r="S218" i="76" a="1"/>
  <c r="S218" i="76" s="1"/>
  <c r="S191" i="69" a="1"/>
  <c r="S191" i="69" s="1"/>
  <c r="H216" i="76" a="1"/>
  <c r="H216" i="76" s="1"/>
  <c r="H217" i="76" a="1"/>
  <c r="H217" i="76" s="1"/>
  <c r="H218" i="76" a="1"/>
  <c r="H218" i="76" s="1"/>
  <c r="H262" i="76" s="1" a="1"/>
  <c r="H262" i="76" s="1"/>
  <c r="F220" i="69" a="1"/>
  <c r="F220" i="69" s="1"/>
  <c r="Q188" i="69" a="1"/>
  <c r="Q188" i="69" s="1"/>
  <c r="P223" i="76" a="1"/>
  <c r="P223" i="76" s="1"/>
  <c r="P222" i="76" a="1"/>
  <c r="P222" i="76" s="1"/>
  <c r="P224" i="76" a="1"/>
  <c r="P224" i="76" s="1"/>
  <c r="I183" i="69" a="1"/>
  <c r="I183" i="69" s="1"/>
  <c r="Q183" i="69" a="1"/>
  <c r="Q183" i="69" s="1"/>
  <c r="R183" i="69" a="1"/>
  <c r="R183" i="69" s="1"/>
  <c r="G183" i="69" a="1"/>
  <c r="G183" i="69" s="1"/>
  <c r="S183" i="69" a="1"/>
  <c r="S183" i="69" s="1"/>
  <c r="P183" i="69" a="1"/>
  <c r="P183" i="69" s="1"/>
  <c r="Q210" i="76" a="1"/>
  <c r="Q210" i="76" s="1"/>
  <c r="Q209" i="76" a="1"/>
  <c r="Q209" i="76" s="1"/>
  <c r="Q211" i="76" a="1"/>
  <c r="Q211" i="76" s="1"/>
  <c r="I220" i="76" a="1"/>
  <c r="I220" i="76" s="1"/>
  <c r="I264" i="76" s="1" a="1"/>
  <c r="I264" i="76" s="1"/>
  <c r="I219" i="76" a="1"/>
  <c r="I219" i="76" s="1"/>
  <c r="I221" i="76" a="1"/>
  <c r="I221" i="76" s="1"/>
  <c r="F87" i="97" a="1"/>
  <c r="F87" i="97" s="1"/>
  <c r="H87" i="97" a="1"/>
  <c r="H87" i="97" s="1"/>
  <c r="G87" i="97" a="1"/>
  <c r="G87" i="97" s="1"/>
  <c r="I87" i="97" a="1"/>
  <c r="I87" i="97" s="1"/>
  <c r="F162" i="76" a="1"/>
  <c r="F162" i="76" s="1"/>
  <c r="I213" i="76" a="1"/>
  <c r="I213" i="76" s="1"/>
  <c r="I212" i="76" a="1"/>
  <c r="I212" i="76" s="1"/>
  <c r="I256" i="76" s="1" a="1"/>
  <c r="I256" i="76" s="1"/>
  <c r="I215" i="76" a="1"/>
  <c r="I215" i="76" s="1"/>
  <c r="I259" i="76" s="1" a="1"/>
  <c r="I259" i="76" s="1"/>
  <c r="I214" i="76" a="1"/>
  <c r="I214" i="76" s="1"/>
  <c r="G189" i="69" a="1"/>
  <c r="G189" i="69" s="1"/>
  <c r="Q189" i="69" a="1"/>
  <c r="Q189" i="69" s="1"/>
  <c r="R189" i="69" a="1"/>
  <c r="R189" i="69" s="1"/>
  <c r="F189" i="69" a="1"/>
  <c r="F189" i="69" s="1"/>
  <c r="P189" i="69" a="1"/>
  <c r="P189" i="69" s="1"/>
  <c r="S189" i="69" a="1"/>
  <c r="S189" i="69" s="1"/>
  <c r="I189" i="69" a="1"/>
  <c r="I189" i="69" s="1"/>
  <c r="R220" i="69" a="1"/>
  <c r="R220" i="69" s="1"/>
  <c r="G184" i="69" a="1"/>
  <c r="G184" i="69" s="1"/>
  <c r="H184" i="69" a="1"/>
  <c r="H184" i="69" s="1"/>
  <c r="I184" i="69" a="1"/>
  <c r="I184" i="69" s="1"/>
  <c r="R184" i="69" a="1"/>
  <c r="R184" i="69" s="1"/>
  <c r="S184" i="69" a="1"/>
  <c r="S184" i="69" s="1"/>
  <c r="F184" i="69" a="1"/>
  <c r="F184" i="69" s="1"/>
  <c r="E220" i="69" a="1"/>
  <c r="E220" i="69" s="1"/>
  <c r="I178" i="69" a="1"/>
  <c r="I178" i="69" s="1"/>
  <c r="F178" i="69" a="1"/>
  <c r="F178" i="69" s="1"/>
  <c r="G178" i="69" a="1"/>
  <c r="G178" i="69" s="1"/>
  <c r="H178" i="69" a="1"/>
  <c r="H178" i="69" s="1"/>
  <c r="R178" i="69" a="1"/>
  <c r="R178" i="69" s="1"/>
  <c r="Q178" i="69" a="1"/>
  <c r="Q178" i="69" s="1"/>
  <c r="S178" i="69" a="1"/>
  <c r="S178" i="69" s="1"/>
  <c r="Q218" i="76" a="1"/>
  <c r="Q218" i="76" s="1"/>
  <c r="Q217" i="76" a="1"/>
  <c r="Q217" i="76" s="1"/>
  <c r="Q216" i="76" a="1"/>
  <c r="Q216" i="76" s="1"/>
  <c r="H189" i="69" a="1"/>
  <c r="H189" i="69" s="1"/>
  <c r="S222" i="76" a="1"/>
  <c r="S222" i="76" s="1"/>
  <c r="S224" i="76" a="1"/>
  <c r="S224" i="76" s="1"/>
  <c r="S223" i="76" a="1"/>
  <c r="S223" i="76" s="1"/>
  <c r="I247" i="76" a="1"/>
  <c r="I247" i="76" s="1"/>
  <c r="F220" i="76" a="1"/>
  <c r="F220" i="76" s="1"/>
  <c r="F219" i="76" a="1"/>
  <c r="F219" i="76" s="1"/>
  <c r="F221" i="76" a="1"/>
  <c r="F221" i="76" s="1"/>
  <c r="R162" i="76" a="1"/>
  <c r="R162" i="76" s="1"/>
  <c r="S187" i="69" a="1"/>
  <c r="S187" i="69" s="1"/>
  <c r="P247" i="76" a="1"/>
  <c r="P247" i="76" s="1"/>
  <c r="S212" i="76" a="1"/>
  <c r="S212" i="76" s="1"/>
  <c r="S213" i="76" a="1"/>
  <c r="S213" i="76" s="1"/>
  <c r="S214" i="76" a="1"/>
  <c r="S214" i="76" s="1"/>
  <c r="S215" i="76" a="1"/>
  <c r="S215" i="76" s="1"/>
  <c r="Q221" i="76" a="1"/>
  <c r="Q221" i="76" s="1"/>
  <c r="Q219" i="76" a="1"/>
  <c r="Q219" i="76" s="1"/>
  <c r="Q220" i="76" a="1"/>
  <c r="Q220" i="76" s="1"/>
  <c r="G186" i="69" a="1"/>
  <c r="G186" i="69" s="1"/>
  <c r="H186" i="69" a="1"/>
  <c r="H186" i="69" s="1"/>
  <c r="R186" i="69" a="1"/>
  <c r="R186" i="69" s="1"/>
  <c r="Q186" i="69" a="1"/>
  <c r="Q186" i="69" s="1"/>
  <c r="S186" i="69" a="1"/>
  <c r="S186" i="69" s="1"/>
  <c r="P186" i="69" a="1"/>
  <c r="P186" i="69" s="1"/>
  <c r="O162" i="76" a="1"/>
  <c r="O162" i="76" s="1"/>
  <c r="I85" i="97" a="1"/>
  <c r="I85" i="97" s="1"/>
  <c r="H85" i="97" a="1"/>
  <c r="H85" i="97" s="1"/>
  <c r="F85" i="97" a="1"/>
  <c r="F85" i="97" s="1"/>
  <c r="G85" i="97" a="1"/>
  <c r="G85" i="97" s="1"/>
  <c r="G187" i="69" a="1"/>
  <c r="G187" i="69" s="1"/>
  <c r="R187" i="69" a="1"/>
  <c r="R187" i="69" s="1"/>
  <c r="Q187" i="69" a="1"/>
  <c r="Q187" i="69" s="1"/>
  <c r="H187" i="69" a="1"/>
  <c r="H187" i="69" s="1"/>
  <c r="I187" i="69" a="1"/>
  <c r="I187" i="69" s="1"/>
  <c r="P187" i="69" a="1"/>
  <c r="P187" i="69" s="1"/>
  <c r="R216" i="76" a="1"/>
  <c r="R216" i="76" s="1"/>
  <c r="R217" i="76" a="1"/>
  <c r="R217" i="76" s="1"/>
  <c r="R218" i="76" a="1"/>
  <c r="R218" i="76" s="1"/>
  <c r="F190" i="69" a="1"/>
  <c r="F190" i="69" s="1"/>
  <c r="I190" i="69" a="1"/>
  <c r="I190" i="69" s="1"/>
  <c r="Q190" i="69" a="1"/>
  <c r="Q190" i="69" s="1"/>
  <c r="G190" i="69" a="1"/>
  <c r="G190" i="69" s="1"/>
  <c r="S190" i="69" a="1"/>
  <c r="S190" i="69" s="1"/>
  <c r="R190" i="69" a="1"/>
  <c r="R190" i="69" s="1"/>
  <c r="S219" i="76" a="1"/>
  <c r="S219" i="76" s="1"/>
  <c r="S221" i="76" a="1"/>
  <c r="S221" i="76" s="1"/>
  <c r="S220" i="76" a="1"/>
  <c r="S220" i="76" s="1"/>
  <c r="P214" i="76" a="1"/>
  <c r="P214" i="76" s="1"/>
  <c r="P212" i="76" a="1"/>
  <c r="P212" i="76" s="1"/>
  <c r="P213" i="76" a="1"/>
  <c r="P213" i="76" s="1"/>
  <c r="P215" i="76" a="1"/>
  <c r="P215" i="76" s="1"/>
  <c r="G192" i="69" a="1"/>
  <c r="G192" i="69" s="1"/>
  <c r="G218" i="76" a="1"/>
  <c r="G218" i="76" s="1"/>
  <c r="G216" i="76" a="1"/>
  <c r="G216" i="76" s="1"/>
  <c r="G260" i="76" s="1" a="1"/>
  <c r="G260" i="76" s="1"/>
  <c r="G217" i="76" a="1"/>
  <c r="G217" i="76" s="1"/>
  <c r="G261" i="76" s="1" a="1"/>
  <c r="G261" i="76" s="1"/>
  <c r="F247" i="76" a="1"/>
  <c r="F247" i="76" s="1"/>
  <c r="G215" i="76" a="1"/>
  <c r="G215" i="76" s="1"/>
  <c r="G212" i="76" a="1"/>
  <c r="G212" i="76" s="1"/>
  <c r="G256" i="76" s="1" a="1"/>
  <c r="G256" i="76" s="1"/>
  <c r="G214" i="76" a="1"/>
  <c r="G214" i="76" s="1"/>
  <c r="G258" i="76" s="1" a="1"/>
  <c r="G258" i="76" s="1"/>
  <c r="G213" i="76" a="1"/>
  <c r="G213" i="76" s="1"/>
  <c r="R181" i="69" a="1"/>
  <c r="R181" i="69" s="1"/>
  <c r="P220" i="76" a="1"/>
  <c r="P220" i="76" s="1"/>
  <c r="P221" i="76" a="1"/>
  <c r="P221" i="76" s="1"/>
  <c r="P219" i="76" a="1"/>
  <c r="P219" i="76" s="1"/>
  <c r="P178" i="69" a="1"/>
  <c r="P178" i="69" s="1"/>
  <c r="F271" i="76" a="1"/>
  <c r="F271" i="76" s="1"/>
  <c r="G271" i="76" a="1"/>
  <c r="G271" i="76" s="1"/>
  <c r="H271" i="76" a="1"/>
  <c r="H271" i="76" s="1"/>
  <c r="S271" i="76" a="1"/>
  <c r="S271" i="76" s="1"/>
  <c r="I271" i="76" a="1"/>
  <c r="I271" i="76" s="1"/>
  <c r="P271" i="76" a="1"/>
  <c r="P271" i="76" s="1"/>
  <c r="R271" i="76" a="1"/>
  <c r="R271" i="76" s="1"/>
  <c r="Q271" i="76" a="1"/>
  <c r="Q271" i="76" s="1"/>
  <c r="H260" i="76" a="1"/>
  <c r="H260" i="76" s="1"/>
  <c r="G222" i="76" a="1"/>
  <c r="G222" i="76" s="1"/>
  <c r="G224" i="76" a="1"/>
  <c r="G224" i="76" s="1"/>
  <c r="G223" i="76" a="1"/>
  <c r="G223" i="76" s="1"/>
  <c r="H190" i="69" a="1"/>
  <c r="H190" i="69" s="1"/>
  <c r="I179" i="69" a="1"/>
  <c r="I179" i="69" s="1"/>
  <c r="R179" i="69" a="1"/>
  <c r="R179" i="69" s="1"/>
  <c r="S179" i="69" a="1"/>
  <c r="S179" i="69" s="1"/>
  <c r="H179" i="69" a="1"/>
  <c r="H179" i="69" s="1"/>
  <c r="F179" i="69" a="1"/>
  <c r="F179" i="69" s="1"/>
  <c r="G179" i="69" a="1"/>
  <c r="G179" i="69" s="1"/>
  <c r="P179" i="69" a="1"/>
  <c r="P179" i="69" s="1"/>
  <c r="I216" i="76" a="1"/>
  <c r="I216" i="76" s="1"/>
  <c r="I260" i="76" s="1" a="1"/>
  <c r="I260" i="76" s="1"/>
  <c r="I218" i="76" a="1"/>
  <c r="I218" i="76" s="1"/>
  <c r="I262" i="76" s="1" a="1"/>
  <c r="I262" i="76" s="1"/>
  <c r="I217" i="76" a="1"/>
  <c r="I217" i="76" s="1"/>
  <c r="I261" i="76" s="1" a="1"/>
  <c r="I261" i="76" s="1"/>
  <c r="H247" i="76" a="1"/>
  <c r="H247" i="76" s="1"/>
  <c r="R213" i="76" a="1"/>
  <c r="R213" i="76" s="1"/>
  <c r="R215" i="76" a="1"/>
  <c r="R215" i="76" s="1"/>
  <c r="R212" i="76" a="1"/>
  <c r="R212" i="76" s="1"/>
  <c r="R214" i="76" a="1"/>
  <c r="R214" i="76" s="1"/>
  <c r="I181" i="69" a="1"/>
  <c r="I181" i="69" s="1"/>
  <c r="F181" i="69" a="1"/>
  <c r="F181" i="69" s="1"/>
  <c r="H181" i="69" a="1"/>
  <c r="H181" i="69" s="1"/>
  <c r="Q181" i="69" a="1"/>
  <c r="Q181" i="69" s="1"/>
  <c r="G181" i="69" a="1"/>
  <c r="G181" i="69" s="1"/>
  <c r="P181" i="69" a="1"/>
  <c r="P181" i="69" s="1"/>
  <c r="H219" i="76" a="1"/>
  <c r="H219" i="76" s="1"/>
  <c r="H220" i="76" a="1"/>
  <c r="H220" i="76" s="1"/>
  <c r="H221" i="76" a="1"/>
  <c r="H221" i="76" s="1"/>
  <c r="Q179" i="69" a="1"/>
  <c r="Q179" i="69" s="1"/>
  <c r="I196" i="69" a="1"/>
  <c r="I196" i="69" s="1"/>
  <c r="H196" i="69" a="1"/>
  <c r="H196" i="69" s="1"/>
  <c r="S196" i="69" a="1"/>
  <c r="S196" i="69" s="1"/>
  <c r="R196" i="69" a="1"/>
  <c r="R196" i="69" s="1"/>
  <c r="F196" i="69" a="1"/>
  <c r="F196" i="69" s="1"/>
  <c r="I193" i="69" a="1"/>
  <c r="I193" i="69" s="1"/>
  <c r="P193" i="69" a="1"/>
  <c r="P193" i="69" s="1"/>
  <c r="S193" i="69" a="1"/>
  <c r="S193" i="69" s="1"/>
  <c r="H193" i="69" a="1"/>
  <c r="H193" i="69" s="1"/>
  <c r="R193" i="69" a="1"/>
  <c r="R193" i="69" s="1"/>
  <c r="Q193" i="69" a="1"/>
  <c r="Q193" i="69" s="1"/>
  <c r="G193" i="69" a="1"/>
  <c r="G193" i="69" s="1"/>
  <c r="F193" i="69" a="1"/>
  <c r="F193" i="69" s="1"/>
  <c r="H261" i="76" a="1"/>
  <c r="H261" i="76" s="1"/>
  <c r="G182" i="69" a="1"/>
  <c r="G182" i="69" s="1"/>
  <c r="P190" i="69" a="1"/>
  <c r="P190" i="69" s="1"/>
  <c r="F217" i="76" a="1"/>
  <c r="F217" i="76" s="1"/>
  <c r="F261" i="76" s="1" a="1"/>
  <c r="F261" i="76" s="1"/>
  <c r="F218" i="76" a="1"/>
  <c r="F218" i="76" s="1"/>
  <c r="F216" i="76" a="1"/>
  <c r="F216" i="76" s="1"/>
  <c r="P216" i="76" a="1"/>
  <c r="P216" i="76" s="1"/>
  <c r="P218" i="76" a="1"/>
  <c r="P218" i="76" s="1"/>
  <c r="P217" i="76" a="1"/>
  <c r="P217" i="76" s="1"/>
  <c r="S247" i="76" a="1"/>
  <c r="S247" i="76" s="1"/>
  <c r="H214" i="76" a="1"/>
  <c r="H214" i="76" s="1"/>
  <c r="H213" i="76" a="1"/>
  <c r="H213" i="76" s="1"/>
  <c r="H215" i="76" a="1"/>
  <c r="H215" i="76" s="1"/>
  <c r="H212" i="76" a="1"/>
  <c r="H212" i="76" s="1"/>
  <c r="S181" i="69" a="1"/>
  <c r="S181" i="69" s="1"/>
  <c r="F270" i="76" a="1"/>
  <c r="F270" i="76" s="1"/>
  <c r="H270" i="76" a="1"/>
  <c r="H270" i="76" s="1"/>
  <c r="G270" i="76" a="1"/>
  <c r="G270" i="76" s="1"/>
  <c r="I270" i="76" a="1"/>
  <c r="I270" i="76" s="1"/>
  <c r="P270" i="76" a="1"/>
  <c r="P270" i="76" s="1"/>
  <c r="S270" i="76" a="1"/>
  <c r="S270" i="76" s="1"/>
  <c r="Q270" i="76" a="1"/>
  <c r="Q270" i="76" s="1"/>
  <c r="R270" i="76" a="1"/>
  <c r="R270" i="76" s="1"/>
  <c r="Q180" i="69" a="1"/>
  <c r="Q180" i="69" s="1"/>
  <c r="I182" i="69" a="1"/>
  <c r="I182" i="69" s="1"/>
  <c r="R182" i="69" a="1"/>
  <c r="R182" i="69" s="1"/>
  <c r="F182" i="69" a="1"/>
  <c r="F182" i="69" s="1"/>
  <c r="S182" i="69" a="1"/>
  <c r="S182" i="69" s="1"/>
  <c r="Q182" i="69" a="1"/>
  <c r="Q182" i="69" s="1"/>
  <c r="P182" i="69" a="1"/>
  <c r="P182" i="69" s="1"/>
  <c r="H182" i="69" a="1"/>
  <c r="H182" i="69" s="1"/>
  <c r="S262" i="76" a="1"/>
  <c r="S262" i="76" s="1"/>
  <c r="F86" i="97" a="1"/>
  <c r="F86" i="97" s="1"/>
  <c r="H86" i="97" a="1"/>
  <c r="H86" i="97" s="1"/>
  <c r="I86" i="97" a="1"/>
  <c r="I86" i="97" s="1"/>
  <c r="G86" i="97" a="1"/>
  <c r="G86" i="97" s="1"/>
  <c r="I192" i="69" a="1"/>
  <c r="I192" i="69" s="1"/>
  <c r="F192" i="69" a="1"/>
  <c r="F192" i="69" s="1"/>
  <c r="P192" i="69" a="1"/>
  <c r="P192" i="69" s="1"/>
  <c r="Q192" i="69" a="1"/>
  <c r="Q192" i="69" s="1"/>
  <c r="S192" i="69" a="1"/>
  <c r="S192" i="69" s="1"/>
  <c r="R192" i="69" a="1"/>
  <c r="R192" i="69" s="1"/>
  <c r="H192" i="69" a="1"/>
  <c r="H192" i="69" s="1"/>
  <c r="G220" i="69" a="1"/>
  <c r="G220" i="69" s="1"/>
  <c r="Q213" i="76" a="1"/>
  <c r="Q213" i="76" s="1"/>
  <c r="Q215" i="76" a="1"/>
  <c r="Q215" i="76" s="1"/>
  <c r="Q212" i="76" a="1"/>
  <c r="Q212" i="76" s="1"/>
  <c r="Q214" i="76" a="1"/>
  <c r="Q214" i="76" s="1"/>
  <c r="I185" i="69" a="1"/>
  <c r="I185" i="69" s="1"/>
  <c r="G185" i="69" a="1"/>
  <c r="G185" i="69" s="1"/>
  <c r="H185" i="69" a="1"/>
  <c r="H185" i="69" s="1"/>
  <c r="S185" i="69" a="1"/>
  <c r="S185" i="69" s="1"/>
  <c r="Q185" i="69" a="1"/>
  <c r="Q185" i="69" s="1"/>
  <c r="F185" i="69" a="1"/>
  <c r="F185" i="69" s="1"/>
  <c r="P185" i="69" a="1"/>
  <c r="P185" i="69" s="1"/>
  <c r="R185" i="69" a="1"/>
  <c r="R185" i="69" s="1"/>
  <c r="P220" i="69" a="1"/>
  <c r="P220" i="69" s="1"/>
  <c r="F222" i="76" a="1"/>
  <c r="F222" i="76" s="1"/>
  <c r="F224" i="76" a="1"/>
  <c r="F224" i="76" s="1"/>
  <c r="F223" i="76" a="1"/>
  <c r="F223" i="76" s="1"/>
  <c r="F214" i="76" a="1"/>
  <c r="F214" i="76" s="1"/>
  <c r="F215" i="76" a="1"/>
  <c r="F215" i="76" s="1"/>
  <c r="F213" i="76" a="1"/>
  <c r="F213" i="76" s="1"/>
  <c r="F257" i="76" s="1" a="1"/>
  <c r="F257" i="76" s="1"/>
  <c r="F212" i="76" a="1"/>
  <c r="F212" i="76" s="1"/>
  <c r="I194" i="69" a="1"/>
  <c r="I194" i="69" s="1"/>
  <c r="Q194" i="69" a="1"/>
  <c r="Q194" i="69" s="1"/>
  <c r="G194" i="69" a="1"/>
  <c r="G194" i="69" s="1"/>
  <c r="F194" i="69" a="1"/>
  <c r="F194" i="69" s="1"/>
  <c r="P194" i="69" a="1"/>
  <c r="P194" i="69" s="1"/>
  <c r="I180" i="69" a="1"/>
  <c r="I180" i="69" s="1"/>
  <c r="P180" i="69" a="1"/>
  <c r="P180" i="69" s="1"/>
  <c r="G180" i="69" a="1"/>
  <c r="G180" i="69" s="1"/>
  <c r="S180" i="69" a="1"/>
  <c r="S180" i="69" s="1"/>
  <c r="R180" i="69" a="1"/>
  <c r="R180" i="69" s="1"/>
  <c r="H180" i="69" a="1"/>
  <c r="H180" i="69" s="1"/>
  <c r="F180" i="69" a="1"/>
  <c r="F180" i="69" s="1"/>
  <c r="O220" i="69" a="1"/>
  <c r="O220" i="69" s="1"/>
  <c r="F187" i="69" a="1"/>
  <c r="F187" i="69" s="1"/>
  <c r="H224" i="76" a="1"/>
  <c r="H224" i="76" s="1"/>
  <c r="H223" i="76" a="1"/>
  <c r="H223" i="76" s="1"/>
  <c r="H222" i="76" a="1"/>
  <c r="H222" i="76" s="1"/>
  <c r="F183" i="69" a="1"/>
  <c r="F183" i="69" s="1"/>
  <c r="P184" i="69" a="1"/>
  <c r="P184" i="69" s="1"/>
  <c r="E162" i="76" a="1"/>
  <c r="E162" i="76" s="1"/>
  <c r="F269" i="76" a="1"/>
  <c r="F269" i="76" s="1"/>
  <c r="S269" i="76" a="1"/>
  <c r="S269" i="76" s="1"/>
  <c r="P269" i="76" a="1"/>
  <c r="P269" i="76" s="1"/>
  <c r="I269" i="76" a="1"/>
  <c r="I269" i="76" s="1"/>
  <c r="G269" i="76" a="1"/>
  <c r="G269" i="76" s="1"/>
  <c r="H269" i="76" a="1"/>
  <c r="H269" i="76" s="1"/>
  <c r="R269" i="76" a="1"/>
  <c r="R269" i="76" s="1"/>
  <c r="Q269" i="76" a="1"/>
  <c r="Q269" i="76" s="1"/>
  <c r="R32" i="97" l="1"/>
  <c r="R72" i="97" s="1" a="1"/>
  <c r="R72" i="97" s="1"/>
  <c r="R25" i="105"/>
  <c r="R118" i="105" s="1" a="1"/>
  <c r="R118" i="105" s="1"/>
  <c r="P39" i="97"/>
  <c r="P79" i="97" s="1" a="1"/>
  <c r="P79" i="97" s="1"/>
  <c r="P32" i="105"/>
  <c r="P125" i="105" s="1" a="1"/>
  <c r="P125" i="105" s="1"/>
  <c r="P33" i="97"/>
  <c r="P73" i="97" s="1" a="1"/>
  <c r="P73" i="97" s="1"/>
  <c r="P26" i="105"/>
  <c r="P119" i="105" s="1" a="1"/>
  <c r="P119" i="105" s="1"/>
  <c r="R37" i="97"/>
  <c r="R77" i="97" s="1" a="1"/>
  <c r="R77" i="97" s="1"/>
  <c r="R30" i="105"/>
  <c r="R123" i="105" s="1" a="1"/>
  <c r="R123" i="105" s="1"/>
  <c r="S43" i="97"/>
  <c r="S83" i="97" s="1" a="1"/>
  <c r="S83" i="97" s="1"/>
  <c r="S36" i="105"/>
  <c r="S129" i="105" s="1" a="1"/>
  <c r="S129" i="105" s="1"/>
  <c r="P44" i="97"/>
  <c r="P84" i="97" s="1" a="1"/>
  <c r="P84" i="97" s="1"/>
  <c r="P37" i="105"/>
  <c r="P130" i="105" s="1" a="1"/>
  <c r="P130" i="105" s="1"/>
  <c r="Q33" i="97"/>
  <c r="Q73" i="97" s="1" a="1"/>
  <c r="Q73" i="97" s="1"/>
  <c r="Q26" i="105"/>
  <c r="Q119" i="105" s="1" a="1"/>
  <c r="Q119" i="105" s="1"/>
  <c r="P35" i="97"/>
  <c r="P75" i="97" s="1" a="1"/>
  <c r="P75" i="97" s="1"/>
  <c r="P28" i="105"/>
  <c r="P121" i="105" s="1" a="1"/>
  <c r="P121" i="105" s="1"/>
  <c r="S44" i="97"/>
  <c r="S84" i="97" s="1" a="1"/>
  <c r="S84" i="97" s="1"/>
  <c r="S37" i="105"/>
  <c r="S130" i="105" s="1" a="1"/>
  <c r="S130" i="105" s="1"/>
  <c r="P42" i="97"/>
  <c r="P82" i="97" s="1" a="1"/>
  <c r="P82" i="97" s="1"/>
  <c r="P35" i="105"/>
  <c r="P128" i="105" s="1" a="1"/>
  <c r="P128" i="105" s="1"/>
  <c r="R33" i="97"/>
  <c r="R73" i="97" s="1" a="1"/>
  <c r="R73" i="97" s="1"/>
  <c r="R26" i="105"/>
  <c r="R119" i="105" s="1" a="1"/>
  <c r="R119" i="105" s="1"/>
  <c r="P40" i="97"/>
  <c r="P80" i="97" s="1" a="1"/>
  <c r="P80" i="97" s="1"/>
  <c r="P33" i="105"/>
  <c r="P126" i="105" s="1" a="1"/>
  <c r="P126" i="105" s="1"/>
  <c r="P34" i="97"/>
  <c r="P74" i="97" s="1" a="1"/>
  <c r="P74" i="97" s="1"/>
  <c r="P27" i="105"/>
  <c r="P120" i="105" s="1" a="1"/>
  <c r="P120" i="105" s="1"/>
  <c r="S42" i="97"/>
  <c r="S82" i="97" s="1" a="1"/>
  <c r="S82" i="97" s="1"/>
  <c r="S35" i="105"/>
  <c r="S128" i="105" s="1" a="1"/>
  <c r="S128" i="105" s="1"/>
  <c r="P43" i="97"/>
  <c r="P83" i="97" s="1" a="1"/>
  <c r="P83" i="97" s="1"/>
  <c r="P36" i="105"/>
  <c r="P129" i="105" s="1" a="1"/>
  <c r="P129" i="105" s="1"/>
  <c r="S40" i="97"/>
  <c r="S80" i="97" s="1" a="1"/>
  <c r="S80" i="97" s="1"/>
  <c r="S33" i="105"/>
  <c r="S126" i="105" s="1" a="1"/>
  <c r="S126" i="105" s="1"/>
  <c r="R42" i="97"/>
  <c r="R82" i="97" s="1" a="1"/>
  <c r="R82" i="97" s="1"/>
  <c r="R35" i="105"/>
  <c r="R128" i="105" s="1" a="1"/>
  <c r="R128" i="105" s="1"/>
  <c r="P32" i="97"/>
  <c r="P72" i="97" s="1" a="1"/>
  <c r="P72" i="97" s="1"/>
  <c r="P25" i="105"/>
  <c r="P118" i="105" s="1" a="1"/>
  <c r="P118" i="105" s="1"/>
  <c r="S39" i="97"/>
  <c r="S79" i="97" s="1" a="1"/>
  <c r="S79" i="97" s="1"/>
  <c r="S32" i="105"/>
  <c r="S125" i="105" s="1" a="1"/>
  <c r="S125" i="105" s="1"/>
  <c r="Q37" i="97"/>
  <c r="Q77" i="97" s="1" a="1"/>
  <c r="Q77" i="97" s="1"/>
  <c r="Q30" i="105"/>
  <c r="Q123" i="105" s="1" a="1"/>
  <c r="Q123" i="105" s="1"/>
  <c r="Q31" i="97"/>
  <c r="Q71" i="97" s="1" a="1"/>
  <c r="Q71" i="97" s="1"/>
  <c r="Q24" i="105"/>
  <c r="Q117" i="105" s="1" a="1"/>
  <c r="Q117" i="105" s="1"/>
  <c r="R44" i="97"/>
  <c r="R84" i="97" s="1" a="1"/>
  <c r="R84" i="97" s="1"/>
  <c r="R37" i="105"/>
  <c r="R130" i="105" s="1" a="1"/>
  <c r="R130" i="105" s="1"/>
  <c r="Q43" i="97"/>
  <c r="Q83" i="97" s="1" a="1"/>
  <c r="Q83" i="97" s="1"/>
  <c r="Q36" i="105"/>
  <c r="Q129" i="105" s="1" a="1"/>
  <c r="Q129" i="105" s="1"/>
  <c r="R34" i="97"/>
  <c r="R74" i="97" s="1" a="1"/>
  <c r="R74" i="97" s="1"/>
  <c r="R27" i="105"/>
  <c r="R120" i="105" s="1" a="1"/>
  <c r="R120" i="105" s="1"/>
  <c r="R38" i="97"/>
  <c r="R78" i="97" s="1" a="1"/>
  <c r="R78" i="97" s="1"/>
  <c r="R31" i="105"/>
  <c r="R124" i="105" s="1" a="1"/>
  <c r="R124" i="105" s="1"/>
  <c r="R35" i="97"/>
  <c r="R75" i="97" s="1" a="1"/>
  <c r="R75" i="97" s="1"/>
  <c r="R28" i="105"/>
  <c r="R121" i="105" s="1" a="1"/>
  <c r="R121" i="105" s="1"/>
  <c r="P41" i="97"/>
  <c r="P81" i="97" s="1" a="1"/>
  <c r="P81" i="97" s="1"/>
  <c r="P34" i="105"/>
  <c r="P127" i="105" s="1" a="1"/>
  <c r="P127" i="105" s="1"/>
  <c r="S41" i="97"/>
  <c r="S81" i="97" s="1" a="1"/>
  <c r="S81" i="97" s="1"/>
  <c r="S34" i="105"/>
  <c r="S127" i="105" s="1" a="1"/>
  <c r="S127" i="105" s="1"/>
  <c r="Q36" i="97"/>
  <c r="Q76" i="97" s="1" a="1"/>
  <c r="Q76" i="97" s="1"/>
  <c r="Q29" i="105"/>
  <c r="Q122" i="105" s="1" a="1"/>
  <c r="Q122" i="105" s="1"/>
  <c r="Q40" i="97"/>
  <c r="Q80" i="97" s="1" a="1"/>
  <c r="Q80" i="97" s="1"/>
  <c r="Q33" i="105"/>
  <c r="Q126" i="105" s="1" a="1"/>
  <c r="Q126" i="105" s="1"/>
  <c r="Q38" i="97"/>
  <c r="Q78" i="97" s="1" a="1"/>
  <c r="Q78" i="97" s="1"/>
  <c r="Q31" i="105"/>
  <c r="Q124" i="105" s="1" a="1"/>
  <c r="Q124" i="105" s="1"/>
  <c r="Q29" i="97"/>
  <c r="Q69" i="97" s="1" a="1"/>
  <c r="Q69" i="97" s="1"/>
  <c r="Q22" i="105"/>
  <c r="Q115" i="105" s="1" a="1"/>
  <c r="Q115" i="105" s="1"/>
  <c r="R43" i="97"/>
  <c r="R83" i="97" s="1" a="1"/>
  <c r="R83" i="97" s="1"/>
  <c r="R36" i="105"/>
  <c r="R129" i="105" s="1" a="1"/>
  <c r="R129" i="105" s="1"/>
  <c r="P37" i="97"/>
  <c r="P77" i="97" s="1" a="1"/>
  <c r="P77" i="97" s="1"/>
  <c r="P30" i="105"/>
  <c r="P123" i="105" s="1" a="1"/>
  <c r="P123" i="105" s="1"/>
  <c r="Q41" i="97"/>
  <c r="Q81" i="97" s="1" a="1"/>
  <c r="Q81" i="97" s="1"/>
  <c r="Q34" i="105"/>
  <c r="Q127" i="105" s="1" a="1"/>
  <c r="Q127" i="105" s="1"/>
  <c r="R36" i="97"/>
  <c r="R76" i="97" s="1" a="1"/>
  <c r="R76" i="97" s="1"/>
  <c r="R29" i="105"/>
  <c r="R122" i="105" s="1" a="1"/>
  <c r="R122" i="105" s="1"/>
  <c r="Q39" i="97"/>
  <c r="Q79" i="97" s="1" a="1"/>
  <c r="Q79" i="97" s="1"/>
  <c r="Q32" i="105"/>
  <c r="Q125" i="105" s="1" a="1"/>
  <c r="Q125" i="105" s="1"/>
  <c r="Q30" i="97"/>
  <c r="Q70" i="97" s="1" a="1"/>
  <c r="Q70" i="97" s="1"/>
  <c r="Q23" i="105"/>
  <c r="Q116" i="105" s="1" a="1"/>
  <c r="Q116" i="105" s="1"/>
  <c r="Q44" i="97"/>
  <c r="Q84" i="97" s="1" a="1"/>
  <c r="Q84" i="97" s="1"/>
  <c r="Q37" i="105"/>
  <c r="Q130" i="105" s="1" a="1"/>
  <c r="Q130" i="105" s="1"/>
  <c r="P38" i="97"/>
  <c r="P78" i="97" s="1" a="1"/>
  <c r="P78" i="97" s="1"/>
  <c r="P31" i="105"/>
  <c r="P124" i="105" s="1" a="1"/>
  <c r="P124" i="105" s="1"/>
  <c r="S38" i="97"/>
  <c r="S78" i="97" s="1" a="1"/>
  <c r="S78" i="97" s="1"/>
  <c r="S31" i="105"/>
  <c r="S124" i="105" s="1" a="1"/>
  <c r="S124" i="105" s="1"/>
  <c r="Q42" i="97"/>
  <c r="Q82" i="97" s="1" a="1"/>
  <c r="Q82" i="97" s="1"/>
  <c r="Q35" i="105"/>
  <c r="Q128" i="105" s="1" a="1"/>
  <c r="Q128" i="105" s="1"/>
  <c r="P36" i="97"/>
  <c r="P76" i="97" s="1" a="1"/>
  <c r="P76" i="97" s="1"/>
  <c r="P29" i="105"/>
  <c r="P122" i="105" s="1" a="1"/>
  <c r="P122" i="105" s="1"/>
  <c r="S34" i="97"/>
  <c r="S74" i="97" s="1" a="1"/>
  <c r="S74" i="97" s="1"/>
  <c r="S27" i="105"/>
  <c r="S120" i="105" s="1" a="1"/>
  <c r="S120" i="105" s="1"/>
  <c r="R39" i="97"/>
  <c r="R79" i="97" s="1" a="1"/>
  <c r="R79" i="97" s="1"/>
  <c r="R32" i="105"/>
  <c r="R125" i="105" s="1" a="1"/>
  <c r="R125" i="105" s="1"/>
  <c r="Q34" i="97"/>
  <c r="Q74" i="97" s="1" a="1"/>
  <c r="Q74" i="97" s="1"/>
  <c r="Q27" i="105"/>
  <c r="Q120" i="105" s="1" a="1"/>
  <c r="Q120" i="105" s="1"/>
  <c r="S33" i="97"/>
  <c r="S73" i="97" s="1" a="1"/>
  <c r="S73" i="97" s="1"/>
  <c r="S26" i="105"/>
  <c r="S119" i="105" s="1" a="1"/>
  <c r="S119" i="105" s="1"/>
  <c r="S36" i="97"/>
  <c r="S76" i="97" s="1" a="1"/>
  <c r="S76" i="97" s="1"/>
  <c r="S29" i="105"/>
  <c r="S122" i="105" s="1" a="1"/>
  <c r="S122" i="105" s="1"/>
  <c r="R40" i="97"/>
  <c r="R80" i="97" s="1" a="1"/>
  <c r="R80" i="97" s="1"/>
  <c r="R33" i="105"/>
  <c r="R126" i="105" s="1" a="1"/>
  <c r="R126" i="105" s="1"/>
  <c r="S35" i="97"/>
  <c r="S75" i="97" s="1" a="1"/>
  <c r="S75" i="97" s="1"/>
  <c r="S28" i="105"/>
  <c r="S121" i="105" s="1" a="1"/>
  <c r="S121" i="105" s="1"/>
  <c r="S37" i="97"/>
  <c r="S77" i="97" s="1" a="1"/>
  <c r="S77" i="97" s="1"/>
  <c r="S30" i="105"/>
  <c r="S123" i="105" s="1" a="1"/>
  <c r="S123" i="105" s="1"/>
  <c r="Q32" i="97"/>
  <c r="Q72" i="97" s="1" a="1"/>
  <c r="Q72" i="97" s="1"/>
  <c r="Q25" i="105"/>
  <c r="Q118" i="105" s="1" a="1"/>
  <c r="Q118" i="105" s="1"/>
  <c r="Q35" i="97"/>
  <c r="Q75" i="97" s="1" a="1"/>
  <c r="Q75" i="97" s="1"/>
  <c r="Q28" i="105"/>
  <c r="Q121" i="105" s="1" a="1"/>
  <c r="Q121" i="105" s="1"/>
  <c r="S32" i="97"/>
  <c r="S72" i="97" s="1" a="1"/>
  <c r="S72" i="97" s="1"/>
  <c r="S25" i="105"/>
  <c r="S118" i="105" s="1" a="1"/>
  <c r="S118" i="105" s="1"/>
  <c r="R266" i="76" a="1"/>
  <c r="R266" i="76" s="1"/>
  <c r="R41" i="97"/>
  <c r="R81" i="97" s="1" a="1"/>
  <c r="R81" i="97" s="1"/>
  <c r="R34" i="105"/>
  <c r="R127" i="105" s="1" a="1"/>
  <c r="R127" i="105" s="1"/>
  <c r="Q253" i="76" a="1"/>
  <c r="Q253" i="76" s="1"/>
  <c r="Q260" i="76" a="1"/>
  <c r="Q260" i="76" s="1"/>
  <c r="R267" i="76" a="1"/>
  <c r="R267" i="76" s="1"/>
  <c r="S260" i="76" a="1"/>
  <c r="S260" i="76" s="1"/>
  <c r="Q255" i="76" a="1"/>
  <c r="Q255" i="76" s="1"/>
  <c r="Q262" i="76" a="1"/>
  <c r="Q262" i="76" s="1"/>
  <c r="R256" i="76" a="1"/>
  <c r="R256" i="76" s="1"/>
  <c r="R263" i="76" a="1"/>
  <c r="R263" i="76" s="1"/>
  <c r="P267" i="76" a="1"/>
  <c r="P267" i="76" s="1"/>
  <c r="Q267" i="76" a="1"/>
  <c r="Q267" i="76" s="1"/>
  <c r="Q266" i="76" a="1"/>
  <c r="Q266" i="76" s="1"/>
  <c r="R261" i="76" a="1"/>
  <c r="R261" i="76" s="1"/>
  <c r="S259" i="76" a="1"/>
  <c r="S259" i="76" s="1"/>
  <c r="Q261" i="76" a="1"/>
  <c r="Q261" i="76" s="1"/>
  <c r="R264" i="76" a="1"/>
  <c r="R264" i="76" s="1"/>
  <c r="S264" i="76" a="1"/>
  <c r="S264" i="76" s="1"/>
  <c r="Q264" i="76" a="1"/>
  <c r="Q264" i="76" s="1"/>
  <c r="R258" i="76" a="1"/>
  <c r="R258" i="76" s="1"/>
  <c r="S256" i="76" a="1"/>
  <c r="S256" i="76" s="1"/>
  <c r="Q258" i="76" a="1"/>
  <c r="Q258" i="76" s="1"/>
  <c r="G33" i="97"/>
  <c r="G73" i="97" s="1" a="1"/>
  <c r="G73" i="97" s="1"/>
  <c r="G26" i="105"/>
  <c r="G119" i="105" s="1" a="1"/>
  <c r="G119" i="105" s="1"/>
  <c r="F41" i="97"/>
  <c r="F81" i="97" s="1" a="1"/>
  <c r="F81" i="97" s="1"/>
  <c r="F34" i="105"/>
  <c r="F127" i="105" s="1" a="1"/>
  <c r="F127" i="105" s="1"/>
  <c r="F33" i="97"/>
  <c r="F73" i="97" s="1" a="1"/>
  <c r="F73" i="97" s="1"/>
  <c r="F26" i="105"/>
  <c r="F119" i="105" s="1" a="1"/>
  <c r="F119" i="105" s="1"/>
  <c r="G34" i="97"/>
  <c r="G74" i="97" s="1" a="1"/>
  <c r="G74" i="97" s="1"/>
  <c r="G27" i="105"/>
  <c r="G120" i="105" s="1" a="1"/>
  <c r="G120" i="105" s="1"/>
  <c r="H38" i="97"/>
  <c r="H78" i="97" s="1" a="1"/>
  <c r="H78" i="97" s="1"/>
  <c r="H31" i="105"/>
  <c r="H124" i="105" s="1" a="1"/>
  <c r="H124" i="105" s="1"/>
  <c r="I33" i="97"/>
  <c r="I73" i="97" s="1" a="1"/>
  <c r="I73" i="97" s="1"/>
  <c r="I26" i="105"/>
  <c r="I119" i="105" s="1" a="1"/>
  <c r="I119" i="105" s="1"/>
  <c r="F32" i="97"/>
  <c r="F72" i="97" s="1" a="1"/>
  <c r="F72" i="97" s="1"/>
  <c r="F25" i="105"/>
  <c r="F118" i="105" s="1" a="1"/>
  <c r="F118" i="105" s="1"/>
  <c r="H42" i="97"/>
  <c r="H82" i="97" s="1" a="1"/>
  <c r="H82" i="97" s="1"/>
  <c r="H35" i="105"/>
  <c r="H128" i="105" s="1" a="1"/>
  <c r="H128" i="105" s="1"/>
  <c r="F35" i="97"/>
  <c r="F75" i="97" s="1" a="1"/>
  <c r="F75" i="97" s="1"/>
  <c r="F28" i="105"/>
  <c r="F121" i="105" s="1" a="1"/>
  <c r="F121" i="105" s="1"/>
  <c r="H32" i="97"/>
  <c r="H72" i="97" s="1" a="1"/>
  <c r="H72" i="97" s="1"/>
  <c r="H25" i="105"/>
  <c r="H118" i="105" s="1" a="1"/>
  <c r="H118" i="105" s="1"/>
  <c r="G32" i="97"/>
  <c r="G72" i="97" s="1" a="1"/>
  <c r="G72" i="97" s="1"/>
  <c r="G25" i="105"/>
  <c r="G118" i="105" s="1" a="1"/>
  <c r="G118" i="105" s="1"/>
  <c r="F39" i="97"/>
  <c r="F79" i="97" s="1" a="1"/>
  <c r="F79" i="97" s="1"/>
  <c r="F32" i="105"/>
  <c r="F125" i="105" s="1" a="1"/>
  <c r="F125" i="105" s="1"/>
  <c r="H37" i="97"/>
  <c r="H77" i="97" s="1" a="1"/>
  <c r="H77" i="97" s="1"/>
  <c r="H30" i="105"/>
  <c r="H123" i="105" s="1" a="1"/>
  <c r="H123" i="105" s="1"/>
  <c r="F34" i="97"/>
  <c r="F74" i="97" s="1" a="1"/>
  <c r="F74" i="97" s="1"/>
  <c r="F27" i="105"/>
  <c r="F120" i="105" s="1" a="1"/>
  <c r="F120" i="105" s="1"/>
  <c r="H35" i="97"/>
  <c r="H75" i="97" s="1" a="1"/>
  <c r="H75" i="97" s="1"/>
  <c r="H28" i="105"/>
  <c r="H121" i="105" s="1" a="1"/>
  <c r="H121" i="105" s="1"/>
  <c r="G35" i="97"/>
  <c r="G75" i="97" s="1" a="1"/>
  <c r="G75" i="97" s="1"/>
  <c r="G28" i="105"/>
  <c r="G121" i="105" s="1" a="1"/>
  <c r="G121" i="105" s="1"/>
  <c r="F40" i="97"/>
  <c r="F80" i="97" s="1" a="1"/>
  <c r="F80" i="97" s="1"/>
  <c r="F33" i="105"/>
  <c r="F126" i="105" s="1" a="1"/>
  <c r="F126" i="105" s="1"/>
  <c r="H36" i="97"/>
  <c r="H76" i="97" s="1" a="1"/>
  <c r="H76" i="97" s="1"/>
  <c r="H29" i="105"/>
  <c r="H122" i="105" s="1" a="1"/>
  <c r="H122" i="105" s="1"/>
  <c r="H256" i="76" a="1"/>
  <c r="H256" i="76" s="1"/>
  <c r="H43" i="97"/>
  <c r="H83" i="97" s="1" a="1"/>
  <c r="H83" i="97" s="1"/>
  <c r="H36" i="105"/>
  <c r="H129" i="105" s="1" a="1"/>
  <c r="H129" i="105" s="1"/>
  <c r="F43" i="97"/>
  <c r="F83" i="97" s="1" a="1"/>
  <c r="F83" i="97" s="1"/>
  <c r="F36" i="105"/>
  <c r="F129" i="105" s="1" a="1"/>
  <c r="F129" i="105" s="1"/>
  <c r="H33" i="97"/>
  <c r="H73" i="97" s="1" a="1"/>
  <c r="H73" i="97" s="1"/>
  <c r="H26" i="105"/>
  <c r="H119" i="105" s="1" a="1"/>
  <c r="H119" i="105" s="1"/>
  <c r="G43" i="97"/>
  <c r="G83" i="97" s="1" a="1"/>
  <c r="G83" i="97" s="1"/>
  <c r="G36" i="105"/>
  <c r="G129" i="105" s="1" a="1"/>
  <c r="G129" i="105" s="1"/>
  <c r="G39" i="97"/>
  <c r="G79" i="97" s="1" a="1"/>
  <c r="G79" i="97" s="1"/>
  <c r="G32" i="105"/>
  <c r="G125" i="105" s="1" a="1"/>
  <c r="G125" i="105" s="1"/>
  <c r="G44" i="97"/>
  <c r="G84" i="97" s="1" a="1"/>
  <c r="G84" i="97" s="1"/>
  <c r="G37" i="105"/>
  <c r="G130" i="105" s="1" a="1"/>
  <c r="G130" i="105" s="1"/>
  <c r="G37" i="97"/>
  <c r="G77" i="97" s="1" a="1"/>
  <c r="G77" i="97" s="1"/>
  <c r="G30" i="105"/>
  <c r="G123" i="105" s="1" a="1"/>
  <c r="G123" i="105" s="1"/>
  <c r="F44" i="97"/>
  <c r="F84" i="97" s="1" a="1"/>
  <c r="F84" i="97" s="1"/>
  <c r="F37" i="105"/>
  <c r="F130" i="105" s="1" a="1"/>
  <c r="F130" i="105" s="1"/>
  <c r="R262" i="76" a="1"/>
  <c r="R262" i="76" s="1"/>
  <c r="F36" i="97"/>
  <c r="F76" i="97" s="1" a="1"/>
  <c r="F76" i="97" s="1"/>
  <c r="F29" i="105"/>
  <c r="F122" i="105" s="1" a="1"/>
  <c r="F122" i="105" s="1"/>
  <c r="H40" i="97"/>
  <c r="H80" i="97" s="1" a="1"/>
  <c r="H80" i="97" s="1"/>
  <c r="H33" i="105"/>
  <c r="H126" i="105" s="1" a="1"/>
  <c r="H126" i="105" s="1"/>
  <c r="I37" i="97"/>
  <c r="I77" i="97" s="1" a="1"/>
  <c r="I77" i="97" s="1"/>
  <c r="I30" i="105"/>
  <c r="I123" i="105" s="1" a="1"/>
  <c r="I123" i="105" s="1"/>
  <c r="G36" i="97"/>
  <c r="G76" i="97" s="1" a="1"/>
  <c r="G76" i="97" s="1"/>
  <c r="G29" i="105"/>
  <c r="G122" i="105" s="1" a="1"/>
  <c r="G122" i="105" s="1"/>
  <c r="Q263" i="76" a="1"/>
  <c r="Q263" i="76" s="1"/>
  <c r="S266" i="76" a="1"/>
  <c r="S266" i="76" s="1"/>
  <c r="I41" i="97"/>
  <c r="I81" i="97" s="1" a="1"/>
  <c r="I81" i="97" s="1"/>
  <c r="I34" i="105"/>
  <c r="I127" i="105" s="1" a="1"/>
  <c r="I127" i="105" s="1"/>
  <c r="G41" i="97"/>
  <c r="G81" i="97" s="1" a="1"/>
  <c r="G81" i="97" s="1"/>
  <c r="G34" i="105"/>
  <c r="G127" i="105" s="1" a="1"/>
  <c r="G127" i="105" s="1"/>
  <c r="H44" i="97"/>
  <c r="H84" i="97" s="1" a="1"/>
  <c r="H84" i="97" s="1"/>
  <c r="H37" i="105"/>
  <c r="H130" i="105" s="1" a="1"/>
  <c r="H130" i="105" s="1"/>
  <c r="F42" i="97"/>
  <c r="F82" i="97" s="1" a="1"/>
  <c r="F82" i="97" s="1"/>
  <c r="F35" i="105"/>
  <c r="F128" i="105" s="1" a="1"/>
  <c r="F128" i="105" s="1"/>
  <c r="G40" i="97"/>
  <c r="G80" i="97" s="1" a="1"/>
  <c r="G80" i="97" s="1"/>
  <c r="G33" i="105"/>
  <c r="G126" i="105" s="1" a="1"/>
  <c r="G126" i="105" s="1"/>
  <c r="I34" i="97"/>
  <c r="I74" i="97" s="1" a="1"/>
  <c r="I74" i="97" s="1"/>
  <c r="I27" i="105"/>
  <c r="I120" i="105" s="1" a="1"/>
  <c r="I120" i="105" s="1"/>
  <c r="P262" i="76" a="1"/>
  <c r="P262" i="76" s="1"/>
  <c r="F37" i="97"/>
  <c r="F77" i="97" s="1" a="1"/>
  <c r="F77" i="97" s="1"/>
  <c r="F30" i="105"/>
  <c r="F123" i="105" s="1" a="1"/>
  <c r="F123" i="105" s="1"/>
  <c r="G38" i="97"/>
  <c r="G78" i="97" s="1" a="1"/>
  <c r="G78" i="97" s="1"/>
  <c r="G31" i="105"/>
  <c r="G124" i="105" s="1" a="1"/>
  <c r="G124" i="105" s="1"/>
  <c r="H257" i="76" a="1"/>
  <c r="H257" i="76" s="1"/>
  <c r="I35" i="97"/>
  <c r="I75" i="97" s="1" a="1"/>
  <c r="I75" i="97" s="1"/>
  <c r="I28" i="105"/>
  <c r="I121" i="105" s="1" a="1"/>
  <c r="I121" i="105" s="1"/>
  <c r="I40" i="97"/>
  <c r="I80" i="97" s="1" a="1"/>
  <c r="I80" i="97" s="1"/>
  <c r="I33" i="105"/>
  <c r="I126" i="105" s="1" a="1"/>
  <c r="I126" i="105" s="1"/>
  <c r="H34" i="97"/>
  <c r="H74" i="97" s="1" a="1"/>
  <c r="H74" i="97" s="1"/>
  <c r="H27" i="105"/>
  <c r="H120" i="105" s="1" a="1"/>
  <c r="H120" i="105" s="1"/>
  <c r="H41" i="97"/>
  <c r="H81" i="97" s="1" a="1"/>
  <c r="H81" i="97" s="1"/>
  <c r="H34" i="105"/>
  <c r="H127" i="105" s="1" a="1"/>
  <c r="H127" i="105" s="1"/>
  <c r="F38" i="97"/>
  <c r="F78" i="97" s="1" a="1"/>
  <c r="F78" i="97" s="1"/>
  <c r="F31" i="105"/>
  <c r="F124" i="105" s="1" a="1"/>
  <c r="F124" i="105" s="1"/>
  <c r="H39" i="97"/>
  <c r="H79" i="97" s="1" a="1"/>
  <c r="H79" i="97" s="1"/>
  <c r="H32" i="105"/>
  <c r="H125" i="105" s="1" a="1"/>
  <c r="H125" i="105" s="1"/>
  <c r="I38" i="97"/>
  <c r="I78" i="97" s="1" a="1"/>
  <c r="I78" i="97" s="1"/>
  <c r="I31" i="105"/>
  <c r="I124" i="105" s="1" a="1"/>
  <c r="I124" i="105" s="1"/>
  <c r="G42" i="97"/>
  <c r="G82" i="97" s="1" a="1"/>
  <c r="G82" i="97" s="1"/>
  <c r="G35" i="105"/>
  <c r="G128" i="105" s="1" a="1"/>
  <c r="G128" i="105" s="1"/>
  <c r="I39" i="97"/>
  <c r="I79" i="97" s="1" a="1"/>
  <c r="I79" i="97" s="1"/>
  <c r="I32" i="105"/>
  <c r="I125" i="105" s="1" a="1"/>
  <c r="I125" i="105" s="1"/>
  <c r="G259" i="76" a="1"/>
  <c r="G259" i="76" s="1"/>
  <c r="I36" i="97"/>
  <c r="I76" i="97" s="1" a="1"/>
  <c r="I76" i="97" s="1"/>
  <c r="I29" i="105"/>
  <c r="I122" i="105" s="1" a="1"/>
  <c r="I122" i="105" s="1"/>
  <c r="P260" i="76" a="1"/>
  <c r="P260" i="76" s="1"/>
  <c r="P264" i="76" a="1"/>
  <c r="P264" i="76" s="1"/>
  <c r="S267" i="76" a="1"/>
  <c r="S267" i="76" s="1"/>
  <c r="P257" i="76" a="1"/>
  <c r="P257" i="76" s="1"/>
  <c r="I32" i="97"/>
  <c r="I72" i="97" s="1" a="1"/>
  <c r="I72" i="97" s="1"/>
  <c r="I25" i="105"/>
  <c r="I118" i="105" s="1" a="1"/>
  <c r="I118" i="105" s="1"/>
  <c r="I43" i="97"/>
  <c r="I83" i="97" s="1" a="1"/>
  <c r="I83" i="97" s="1"/>
  <c r="I36" i="105"/>
  <c r="I129" i="105" s="1" a="1"/>
  <c r="I129" i="105" s="1"/>
  <c r="I44" i="97"/>
  <c r="I84" i="97" s="1" a="1"/>
  <c r="I84" i="97" s="1"/>
  <c r="I37" i="105"/>
  <c r="I130" i="105" s="1" a="1"/>
  <c r="I130" i="105" s="1"/>
  <c r="R265" i="76" a="1"/>
  <c r="R265" i="76" s="1"/>
  <c r="I42" i="97"/>
  <c r="I82" i="97" s="1" a="1"/>
  <c r="I82" i="97" s="1"/>
  <c r="I35" i="105"/>
  <c r="I128" i="105" s="1" a="1"/>
  <c r="I128" i="105" s="1"/>
  <c r="G245" i="69" a="1"/>
  <c r="G245" i="69" s="1"/>
  <c r="G278" i="69" s="1" a="1"/>
  <c r="G278" i="69" s="1"/>
  <c r="F209" i="76" a="1"/>
  <c r="F209" i="76" s="1"/>
  <c r="F22" i="105" s="1"/>
  <c r="F115" i="105" s="1" a="1"/>
  <c r="F115" i="105" s="1"/>
  <c r="F211" i="76" a="1"/>
  <c r="F211" i="76" s="1"/>
  <c r="F24" i="105" s="1"/>
  <c r="F117" i="105" s="1" a="1"/>
  <c r="F117" i="105" s="1"/>
  <c r="F210" i="76" a="1"/>
  <c r="F210" i="76" s="1"/>
  <c r="F23" i="105" s="1"/>
  <c r="F116" i="105" s="1" a="1"/>
  <c r="F116" i="105" s="1"/>
  <c r="I258" i="76" a="1"/>
  <c r="I258" i="76" s="1"/>
  <c r="Q259" i="76" a="1"/>
  <c r="Q259" i="76" s="1"/>
  <c r="F263" i="76" a="1"/>
  <c r="F263" i="76" s="1"/>
  <c r="G262" i="76" a="1"/>
  <c r="G262" i="76" s="1"/>
  <c r="H259" i="76" a="1"/>
  <c r="H259" i="76" s="1"/>
  <c r="S209" i="76" a="1"/>
  <c r="S209" i="76" s="1"/>
  <c r="S22" i="105" s="1"/>
  <c r="S115" i="105" s="1" a="1"/>
  <c r="S115" i="105" s="1"/>
  <c r="S210" i="76" a="1"/>
  <c r="S210" i="76" s="1"/>
  <c r="S23" i="105" s="1"/>
  <c r="S116" i="105" s="1" a="1"/>
  <c r="S116" i="105" s="1"/>
  <c r="S211" i="76" a="1"/>
  <c r="S211" i="76" s="1"/>
  <c r="S24" i="105" s="1"/>
  <c r="S117" i="105" s="1" a="1"/>
  <c r="S117" i="105" s="1"/>
  <c r="G266" i="76" a="1"/>
  <c r="G266" i="76" s="1"/>
  <c r="I257" i="76" a="1"/>
  <c r="I257" i="76" s="1"/>
  <c r="F262" i="76" a="1"/>
  <c r="F262" i="76" s="1"/>
  <c r="P209" i="76" a="1"/>
  <c r="P209" i="76" s="1"/>
  <c r="P22" i="105" s="1"/>
  <c r="P115" i="105" s="1" a="1"/>
  <c r="P115" i="105" s="1"/>
  <c r="P210" i="76" a="1"/>
  <c r="P210" i="76" s="1"/>
  <c r="P23" i="105" s="1"/>
  <c r="P116" i="105" s="1" a="1"/>
  <c r="P116" i="105" s="1"/>
  <c r="P211" i="76" a="1"/>
  <c r="P211" i="76" s="1"/>
  <c r="P24" i="105" s="1"/>
  <c r="P117" i="105" s="1" a="1"/>
  <c r="P117" i="105" s="1"/>
  <c r="G211" i="76" a="1"/>
  <c r="G211" i="76" s="1"/>
  <c r="G24" i="105" s="1"/>
  <c r="G117" i="105" s="1" a="1"/>
  <c r="G117" i="105" s="1"/>
  <c r="G210" i="76" a="1"/>
  <c r="G210" i="76" s="1"/>
  <c r="G23" i="105" s="1"/>
  <c r="G116" i="105" s="1" a="1"/>
  <c r="G116" i="105" s="1"/>
  <c r="G209" i="76" a="1"/>
  <c r="G209" i="76" s="1"/>
  <c r="G22" i="105" s="1"/>
  <c r="G115" i="105" s="1" a="1"/>
  <c r="G115" i="105" s="1"/>
  <c r="Q265" i="76" a="1"/>
  <c r="Q265" i="76" s="1"/>
  <c r="P245" i="69" a="1"/>
  <c r="P245" i="69" s="1"/>
  <c r="P278" i="69" s="1" a="1"/>
  <c r="P278" i="69" s="1"/>
  <c r="F267" i="76" a="1"/>
  <c r="F267" i="76" s="1"/>
  <c r="F265" i="76" a="1"/>
  <c r="F265" i="76" s="1"/>
  <c r="H268" i="76" a="1"/>
  <c r="H268" i="76" s="1"/>
  <c r="I209" i="76" a="1"/>
  <c r="I209" i="76" s="1"/>
  <c r="I22" i="105" s="1"/>
  <c r="I115" i="105" s="1" a="1"/>
  <c r="I115" i="105" s="1"/>
  <c r="I210" i="76" a="1"/>
  <c r="I210" i="76" s="1"/>
  <c r="I23" i="105" s="1"/>
  <c r="I116" i="105" s="1" a="1"/>
  <c r="I116" i="105" s="1"/>
  <c r="I211" i="76" a="1"/>
  <c r="I211" i="76" s="1"/>
  <c r="I24" i="105" s="1"/>
  <c r="I117" i="105" s="1" a="1"/>
  <c r="I117" i="105" s="1"/>
  <c r="F260" i="76" a="1"/>
  <c r="F260" i="76" s="1"/>
  <c r="H266" i="76" a="1"/>
  <c r="H266" i="76" s="1"/>
  <c r="Q245" i="69" a="1"/>
  <c r="Q245" i="69" s="1"/>
  <c r="Q278" i="69" s="1" a="1"/>
  <c r="Q278" i="69" s="1"/>
  <c r="P265" i="76" a="1"/>
  <c r="P265" i="76" s="1"/>
  <c r="F268" i="76" a="1"/>
  <c r="F268" i="76" s="1"/>
  <c r="H265" i="76" a="1"/>
  <c r="H265" i="76" s="1"/>
  <c r="R268" i="76" a="1"/>
  <c r="R268" i="76" s="1"/>
  <c r="N245" i="69" a="1"/>
  <c r="N245" i="69" s="1"/>
  <c r="N278" i="69" s="1" a="1"/>
  <c r="N278" i="69" s="1"/>
  <c r="F245" i="69" a="1"/>
  <c r="F245" i="69" s="1"/>
  <c r="F278" i="69" s="1" a="1"/>
  <c r="F278" i="69" s="1"/>
  <c r="F256" i="76" a="1"/>
  <c r="F256" i="76" s="1"/>
  <c r="P261" i="76" a="1"/>
  <c r="P261" i="76" s="1"/>
  <c r="P263" i="76" a="1"/>
  <c r="P263" i="76" s="1"/>
  <c r="G267" i="76" a="1"/>
  <c r="G267" i="76" s="1"/>
  <c r="P266" i="76" a="1"/>
  <c r="P266" i="76" s="1"/>
  <c r="S265" i="76" a="1"/>
  <c r="S265" i="76" s="1"/>
  <c r="R210" i="76" a="1"/>
  <c r="R210" i="76" s="1"/>
  <c r="R23" i="105" s="1"/>
  <c r="R116" i="105" s="1" a="1"/>
  <c r="R116" i="105" s="1"/>
  <c r="R211" i="76" a="1"/>
  <c r="R211" i="76" s="1"/>
  <c r="R24" i="105" s="1"/>
  <c r="R117" i="105" s="1" a="1"/>
  <c r="R117" i="105" s="1"/>
  <c r="R209" i="76" a="1"/>
  <c r="R209" i="76" s="1"/>
  <c r="R22" i="105" s="1"/>
  <c r="R115" i="105" s="1" a="1"/>
  <c r="R115" i="105" s="1"/>
  <c r="P268" i="76" a="1"/>
  <c r="P268" i="76" s="1"/>
  <c r="O245" i="69" a="1"/>
  <c r="O245" i="69" s="1"/>
  <c r="O278" i="69" s="1" a="1"/>
  <c r="O278" i="69" s="1"/>
  <c r="S258" i="76" a="1"/>
  <c r="S258" i="76" s="1"/>
  <c r="P259" i="76" a="1"/>
  <c r="P259" i="76" s="1"/>
  <c r="Q256" i="76" a="1"/>
  <c r="Q256" i="76" s="1"/>
  <c r="H264" i="76" a="1"/>
  <c r="H264" i="76" s="1"/>
  <c r="F266" i="76" a="1"/>
  <c r="F266" i="76" s="1"/>
  <c r="H258" i="76" a="1"/>
  <c r="H258" i="76" s="1"/>
  <c r="F264" i="76" a="1"/>
  <c r="F264" i="76" s="1"/>
  <c r="G263" i="76" a="1"/>
  <c r="G263" i="76" s="1"/>
  <c r="H267" i="76" a="1"/>
  <c r="H267" i="76" s="1"/>
  <c r="R257" i="76" a="1"/>
  <c r="R257" i="76" s="1"/>
  <c r="I265" i="76" a="1"/>
  <c r="I265" i="76" s="1"/>
  <c r="S268" i="76" a="1"/>
  <c r="S268" i="76" s="1"/>
  <c r="F258" i="76" a="1"/>
  <c r="F258" i="76" s="1"/>
  <c r="R259" i="76" a="1"/>
  <c r="R259" i="76" s="1"/>
  <c r="I263" i="76" a="1"/>
  <c r="I263" i="76" s="1"/>
  <c r="S257" i="76" a="1"/>
  <c r="S257" i="76" s="1"/>
  <c r="G268" i="76" a="1"/>
  <c r="G268" i="76" s="1"/>
  <c r="H263" i="76" a="1"/>
  <c r="H263" i="76" s="1"/>
  <c r="G257" i="76" a="1"/>
  <c r="G257" i="76" s="1"/>
  <c r="E245" i="69" a="1"/>
  <c r="E245" i="69" s="1"/>
  <c r="E278" i="69" s="1" a="1"/>
  <c r="E278" i="69" s="1"/>
  <c r="Q268" i="76" a="1"/>
  <c r="Q268" i="76" s="1"/>
  <c r="Q254" i="76" a="1"/>
  <c r="Q254" i="76" s="1"/>
  <c r="H211" i="76" a="1"/>
  <c r="H211" i="76" s="1"/>
  <c r="H24" i="105" s="1"/>
  <c r="H117" i="105" s="1" a="1"/>
  <c r="H117" i="105" s="1"/>
  <c r="H209" i="76" a="1"/>
  <c r="H209" i="76" s="1"/>
  <c r="H22" i="105" s="1"/>
  <c r="H115" i="105" s="1" a="1"/>
  <c r="H115" i="105" s="1"/>
  <c r="H210" i="76" a="1"/>
  <c r="H210" i="76" s="1"/>
  <c r="H23" i="105" s="1"/>
  <c r="H116" i="105" s="1" a="1"/>
  <c r="H116" i="105" s="1"/>
  <c r="F259" i="76" a="1"/>
  <c r="F259" i="76" s="1"/>
  <c r="P258" i="76" a="1"/>
  <c r="P258" i="76" s="1"/>
  <c r="P256" i="76" a="1"/>
  <c r="P256" i="76" s="1"/>
  <c r="R260" i="76" a="1"/>
  <c r="R260" i="76" s="1"/>
  <c r="S263" i="76" a="1"/>
  <c r="S263" i="76" s="1"/>
  <c r="Q257" i="76" a="1"/>
  <c r="Q257" i="76" s="1"/>
  <c r="D245" i="69" a="1"/>
  <c r="D245" i="69" s="1"/>
  <c r="D278" i="69" s="1" a="1"/>
  <c r="D278" i="69" s="1"/>
  <c r="O136" i="105" l="1"/>
  <c r="E136" i="105"/>
  <c r="G30" i="97"/>
  <c r="G70" i="97" s="1" a="1"/>
  <c r="G70" i="97" s="1"/>
  <c r="G254" i="76" a="1"/>
  <c r="G254" i="76" s="1"/>
  <c r="S30" i="97"/>
  <c r="S70" i="97" s="1" a="1"/>
  <c r="S70" i="97" s="1"/>
  <c r="S254" i="76" a="1"/>
  <c r="S254" i="76" s="1"/>
  <c r="R30" i="97"/>
  <c r="R70" i="97" s="1" a="1"/>
  <c r="R70" i="97" s="1"/>
  <c r="R254" i="76" a="1"/>
  <c r="R254" i="76" s="1"/>
  <c r="S29" i="97"/>
  <c r="S69" i="97" s="1" a="1"/>
  <c r="S69" i="97" s="1"/>
  <c r="S253" i="76" a="1"/>
  <c r="S253" i="76" s="1"/>
  <c r="G31" i="97"/>
  <c r="G71" i="97" s="1" a="1"/>
  <c r="G71" i="97" s="1"/>
  <c r="G255" i="76" a="1"/>
  <c r="G255" i="76" s="1"/>
  <c r="I31" i="97"/>
  <c r="I71" i="97" s="1" a="1"/>
  <c r="I71" i="97" s="1"/>
  <c r="I255" i="76" a="1"/>
  <c r="I255" i="76" s="1"/>
  <c r="P31" i="97"/>
  <c r="P71" i="97" s="1" a="1"/>
  <c r="P71" i="97" s="1"/>
  <c r="P255" i="76" a="1"/>
  <c r="P255" i="76" s="1"/>
  <c r="P30" i="97"/>
  <c r="P70" i="97" s="1" a="1"/>
  <c r="P70" i="97" s="1"/>
  <c r="P254" i="76" a="1"/>
  <c r="P254" i="76" s="1"/>
  <c r="I30" i="97"/>
  <c r="I70" i="97" s="1" a="1"/>
  <c r="I70" i="97" s="1"/>
  <c r="I254" i="76" a="1"/>
  <c r="I254" i="76" s="1"/>
  <c r="P29" i="97"/>
  <c r="P69" i="97" s="1" a="1"/>
  <c r="P69" i="97" s="1"/>
  <c r="P253" i="76" a="1"/>
  <c r="P253" i="76" s="1"/>
  <c r="H30" i="97"/>
  <c r="H70" i="97" s="1" a="1"/>
  <c r="H70" i="97" s="1"/>
  <c r="H254" i="76" a="1"/>
  <c r="H254" i="76" s="1"/>
  <c r="H29" i="97"/>
  <c r="H69" i="97" s="1" a="1"/>
  <c r="H69" i="97" s="1"/>
  <c r="H253" i="76" a="1"/>
  <c r="H253" i="76" s="1"/>
  <c r="I29" i="97"/>
  <c r="I69" i="97" s="1" a="1"/>
  <c r="I69" i="97" s="1"/>
  <c r="I253" i="76" a="1"/>
  <c r="I253" i="76" s="1"/>
  <c r="H31" i="97"/>
  <c r="H71" i="97" s="1" a="1"/>
  <c r="H71" i="97" s="1"/>
  <c r="H255" i="76" a="1"/>
  <c r="H255" i="76" s="1"/>
  <c r="O280" i="69"/>
  <c r="Q282" i="69" s="1"/>
  <c r="O285" i="69" s="1" a="1"/>
  <c r="O285" i="69" s="1"/>
  <c r="F30" i="97"/>
  <c r="F70" i="97" s="1" a="1"/>
  <c r="F70" i="97" s="1"/>
  <c r="F254" i="76" a="1"/>
  <c r="F254" i="76" s="1"/>
  <c r="F31" i="97"/>
  <c r="F71" i="97" s="1" a="1"/>
  <c r="F71" i="97" s="1"/>
  <c r="F255" i="76" a="1"/>
  <c r="F255" i="76" s="1"/>
  <c r="R29" i="97"/>
  <c r="R69" i="97" s="1" a="1"/>
  <c r="R69" i="97" s="1"/>
  <c r="R253" i="76" a="1"/>
  <c r="R253" i="76" s="1"/>
  <c r="E280" i="69"/>
  <c r="G282" i="69" s="1"/>
  <c r="E285" i="69" s="1" a="1"/>
  <c r="E285" i="69" s="1"/>
  <c r="R31" i="97"/>
  <c r="R71" i="97" s="1" a="1"/>
  <c r="R71" i="97" s="1"/>
  <c r="R255" i="76" a="1"/>
  <c r="R255" i="76" s="1"/>
  <c r="G29" i="97"/>
  <c r="G69" i="97" s="1" a="1"/>
  <c r="G69" i="97" s="1"/>
  <c r="G253" i="76" a="1"/>
  <c r="G253" i="76" s="1"/>
  <c r="S31" i="97"/>
  <c r="S71" i="97" s="1" a="1"/>
  <c r="S71" i="97" s="1"/>
  <c r="S255" i="76" a="1"/>
  <c r="S255" i="76" s="1"/>
  <c r="F29" i="97"/>
  <c r="F69" i="97" s="1" a="1"/>
  <c r="F69" i="97" s="1"/>
  <c r="F253" i="76" a="1"/>
  <c r="F253" i="76" s="1"/>
  <c r="E274" i="76" l="1"/>
  <c r="G276" i="76" s="1"/>
  <c r="E279" i="76" s="1" a="1"/>
  <c r="E279" i="76" s="1"/>
  <c r="H8" i="13" s="1"/>
  <c r="O90" i="97"/>
  <c r="E90" i="97"/>
  <c r="O274" i="76"/>
  <c r="Q276" i="76" s="1"/>
  <c r="O279" i="76" s="1" a="1"/>
  <c r="O279" i="76" s="1"/>
  <c r="I8" i="13" s="1"/>
  <c r="G102" i="97" l="1"/>
  <c r="E109" i="97" s="1" a="1"/>
  <c r="E109" i="97" s="1"/>
  <c r="G111" i="97" s="1"/>
  <c r="E114" i="97" s="1" a="1"/>
  <c r="E114" i="97" s="1"/>
  <c r="H9" i="13" s="1"/>
  <c r="H11" i="13" s="1"/>
  <c r="Q102" i="97"/>
  <c r="O109" i="97" s="1" a="1"/>
  <c r="O109" i="97" s="1"/>
  <c r="Q111" i="97" s="1"/>
  <c r="O114" i="97" s="1" a="1"/>
  <c r="O114" i="97" s="1"/>
  <c r="I9" i="13" s="1"/>
  <c r="I11" i="1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<sst xmlns="http://schemas.openxmlformats.org/spreadsheetml/2006/main" count="1272" uniqueCount="406">
  <si>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</si>
  <si>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</si>
  <si>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</si>
  <si>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</si>
  <si>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</si>
  <si>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</si>
  <si>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</si>
  <si>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</si>
  <si>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</si>
  <si>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</si>
  <si>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</si>
  <si>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</si>
  <si>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</si>
  <si>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</si>
  <si>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</si>
  <si>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</si>
  <si>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</si>
  <si>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</si>
  <si>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</si>
  <si>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</si>
  <si>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</si>
  <si>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</si>
  <si>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</si>
  <si>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</si>
  <si>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</si>
  <si>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</si>
  <si>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</si>
  <si>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</si>
  <si>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</si>
  <si>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</si>
  <si>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</si>
  <si>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</si>
  <si>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</si>
  <si>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</si>
  <si>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</si>
  <si>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</si>
  <si>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</si>
  <si>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</si>
  <si>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</si>
  <si>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</si>
  <si>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</si>
  <si>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</si>
  <si>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</si>
  <si>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</si>
  <si>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</si>
  <si>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</si>
  <si>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</si>
  <si>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</si>
  <si>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</si>
  <si>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</si>
  <si>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</si>
  <si>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</si>
  <si>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</si>
  <si>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</si>
  <si>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</si>
  <si>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</si>
  <si>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</si>
  <si>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</si>
  <si>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</si>
  <si>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</si>
  <si>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</si>
  <si>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</si>
  <si>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</si>
  <si>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</si>
  <si>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</si>
  <si>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</si>
  <si>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</si>
  <si>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</si>
  <si>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</si>
  <si>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</si>
  <si>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</si>
  <si>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</si>
  <si>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</si>
  <si>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</si>
  <si>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</si>
  <si>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</si>
  <si>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</si>
  <si>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</si>
  <si>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</si>
  <si>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</si>
  <si>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</si>
  <si>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</si>
  <si>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</si>
  <si>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</si>
  <si>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</si>
  <si>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</si>
  <si>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</si>
  <si>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</si>
  <si>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</si>
  <si>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</si>
  <si>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</si>
  <si>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</si>
  <si>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</si>
  <si>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</si>
  <si>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</si>
  <si>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</si>
  <si>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</si>
  <si>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</si>
  <si>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</si>
  <si>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Fraction</t>
  </si>
  <si>
    <t>Head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</si>
  <si>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</si>
  <si>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Method 1</t>
  </si>
  <si>
    <t>Method 2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</si>
  <si>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</si>
  <si>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Scope 1 source</t>
  </si>
  <si>
    <t>Production system j</t>
  </si>
  <si>
    <t>EFN2O</t>
  </si>
  <si>
    <t>Production system only</t>
  </si>
  <si>
    <t>Irrigation method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</si>
  <si>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</si>
  <si>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</si>
  <si>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</si>
  <si>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</si>
  <si>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</si>
  <si>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</si>
  <si>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</si>
  <si>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t>Total</t>
  </si>
  <si>
    <t>GHG Unit</t>
  </si>
  <si>
    <t>CO2-e unit</t>
  </si>
  <si>
    <t>Month</t>
  </si>
  <si>
    <t>kg/head/day</t>
  </si>
  <si>
    <t>fraction</t>
  </si>
  <si>
    <t>M1_Table_MCF_i_m</t>
  </si>
  <si>
    <t>M1_Table_E_CH4</t>
  </si>
  <si>
    <t>t CH4</t>
  </si>
  <si>
    <t>Irrigation type i</t>
  </si>
  <si>
    <t>t CO2e</t>
  </si>
  <si>
    <t>EFPRP</t>
  </si>
  <si>
    <t>GHG emissions method 1</t>
  </si>
  <si>
    <t>GHG emissions method 2</t>
  </si>
  <si>
    <t>CO2-e emissions method 1</t>
  </si>
  <si>
    <t>CO2-e emissions method 2</t>
  </si>
  <si>
    <t>Season</t>
  </si>
  <si>
    <t>Western Australia</t>
  </si>
  <si>
    <t>M2_Table_E_CH4</t>
  </si>
  <si>
    <t>t N2O</t>
  </si>
  <si>
    <t>Crop</t>
  </si>
  <si>
    <t>Acknowledgements</t>
  </si>
  <si>
    <t>4.5 Manure management: Swine: Results</t>
  </si>
  <si>
    <t>Input -Swine</t>
  </si>
  <si>
    <t>Constants - Swine</t>
  </si>
  <si>
    <t>Manure production</t>
  </si>
  <si>
    <t>Boars</t>
  </si>
  <si>
    <t>Sows</t>
  </si>
  <si>
    <t>Gilts</t>
  </si>
  <si>
    <t>Volatile solids produced per head per day</t>
  </si>
  <si>
    <t>Nitrogen produced in swine waste per head per day</t>
  </si>
  <si>
    <t>kg N/head/day</t>
  </si>
  <si>
    <t>Conventional housing</t>
  </si>
  <si>
    <t>Solid storage</t>
  </si>
  <si>
    <t>Yes</t>
  </si>
  <si>
    <t>Class</t>
  </si>
  <si>
    <t>VSj</t>
  </si>
  <si>
    <t>CHange title to match source</t>
  </si>
  <si>
    <t>CHange source</t>
  </si>
  <si>
    <t>NIR definition</t>
  </si>
  <si>
    <t>Swine Manure management systems</t>
  </si>
  <si>
    <t>Swine Manure management systems excl. solid storage and direct application</t>
  </si>
  <si>
    <t>Swine Manure management systems excl. direct application</t>
  </si>
  <si>
    <t>Fraction volatile solids lost during storage in primary system</t>
  </si>
  <si>
    <t>Swine housing</t>
  </si>
  <si>
    <t>VSL</t>
  </si>
  <si>
    <t>4.5.1.1-2 Manure Methane</t>
  </si>
  <si>
    <t>Inconsistencies - 'primary system' vs 'stage 1'</t>
  </si>
  <si>
    <t>If this is directly related to equation 5, the mms numbers should be the same eg 1,7,9 (and probably 8,)</t>
  </si>
  <si>
    <t>SSm should be SSjm</t>
  </si>
  <si>
    <t>Table_MMS_j_m-1-7-9-8_T-1</t>
  </si>
  <si>
    <t>Fraction VS sent to MMS other than solid storage in stage 1</t>
  </si>
  <si>
    <t>Stage 1 management</t>
  </si>
  <si>
    <r>
      <t>MMS</t>
    </r>
    <r>
      <rPr>
        <b/>
        <vertAlign val="subscript"/>
        <sz val="11"/>
        <color rgb="FF183C1B"/>
        <rFont val="Times New Roman"/>
        <family val="1"/>
      </rPr>
      <t>j=1,m=1,7,9,8,13,T=1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</si>
  <si>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</si>
  <si>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j=3,m=1,7,9,8,13,T=1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</si>
  <si>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j=4,m=1,7,9,8,13,T=1</t>
    </r>
  </si>
  <si>
    <r>
      <t>SS</t>
    </r>
    <r>
      <rPr>
        <b/>
        <vertAlign val="subscript"/>
        <sz val="11"/>
        <color rgb="FF183C1B"/>
        <rFont val="Times New Roman"/>
        <family val="1"/>
      </rPr>
      <t>j=1m=1,7,9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</si>
  <si>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j=2m=1,7,9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</si>
  <si>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j=3m=1,7,9</t>
    </r>
  </si>
  <si>
    <r>
      <t>SS</t>
    </r>
    <r>
      <rPr>
        <b/>
        <vertAlign val="subscript"/>
        <sz val="11"/>
        <color rgb="FF183C1B"/>
        <rFont val="Times New Roman"/>
        <family val="1"/>
      </rPr>
      <t>j=4m=1,7,9</t>
    </r>
  </si>
  <si>
    <r>
      <t>FVS</t>
    </r>
    <r>
      <rPr>
        <b/>
        <vertAlign val="subscript"/>
        <sz val="11"/>
        <color rgb="FF183C1B"/>
        <rFont val="Times New Roman"/>
        <family val="1"/>
      </rPr>
      <t>j,m=1,7,9,T=1</t>
    </r>
  </si>
  <si>
    <t>Rename to 'Fraction of volatile solids in primary system in solid storage'</t>
  </si>
  <si>
    <t>should have mms numbers in SSm</t>
  </si>
  <si>
    <t>Table_MMS_j_m-4_T-1</t>
  </si>
  <si>
    <t>Fraction primary system solid storage</t>
  </si>
  <si>
    <r>
      <t>MMS</t>
    </r>
    <r>
      <rPr>
        <b/>
        <vertAlign val="subscript"/>
        <sz val="11"/>
        <color rgb="FF183C1B"/>
        <rFont val="Times New Roman"/>
        <family val="1"/>
      </rPr>
      <t>j=1,m=4,T=1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</si>
  <si>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</si>
  <si>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j=3,m=4,T=1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</si>
  <si>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</si>
  <si>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j=1,m=4,T=1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</si>
  <si>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j=2,m=4,T=1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</si>
  <si>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j=3,m=4,T=1</t>
    </r>
  </si>
  <si>
    <r>
      <t>FVS</t>
    </r>
    <r>
      <rPr>
        <b/>
        <vertAlign val="subscript"/>
        <sz val="11"/>
        <color rgb="FF183C1B"/>
        <rFont val="Times New Roman"/>
        <family val="1"/>
      </rPr>
      <t>j=4,m=4,T=1</t>
    </r>
  </si>
  <si>
    <t>Should be kg/head/day</t>
  </si>
  <si>
    <r>
      <t>VS</t>
    </r>
    <r>
      <rPr>
        <b/>
        <vertAlign val="subscript"/>
        <sz val="11"/>
        <color rgb="FF183C1B"/>
        <rFont val="Times New Roman"/>
        <family val="1"/>
      </rPr>
      <t>j=1</t>
    </r>
  </si>
  <si>
    <r>
      <t>VS</t>
    </r>
    <r>
      <rPr>
        <b/>
        <vertAlign val="subscript"/>
        <sz val="11"/>
        <color rgb="FF183C1B"/>
        <rFont val="Times New Roman"/>
        <family val="1"/>
      </rPr>
      <t>j=2</t>
    </r>
  </si>
  <si>
    <r>
      <t>VS</t>
    </r>
    <r>
      <rPr>
        <b/>
        <vertAlign val="subscript"/>
        <sz val="11"/>
        <color rgb="FF183C1B"/>
        <rFont val="Times New Roman"/>
        <family val="1"/>
      </rPr>
      <t>j=3</t>
    </r>
  </si>
  <si>
    <r>
      <t>VS</t>
    </r>
    <r>
      <rPr>
        <b/>
        <vertAlign val="subscript"/>
        <sz val="11"/>
        <color rgb="FF183C1B"/>
        <rFont val="Times New Roman"/>
        <family val="1"/>
      </rPr>
      <t>j=4</t>
    </r>
  </si>
  <si>
    <t>Table_VSL_m_T-1</t>
  </si>
  <si>
    <r>
      <t>VSL</t>
    </r>
    <r>
      <rPr>
        <b/>
        <vertAlign val="subscript"/>
        <sz val="11"/>
        <color rgb="FF183C1B"/>
        <rFont val="Times New Roman"/>
        <family val="1"/>
      </rPr>
      <t>m,T=1</t>
    </r>
  </si>
  <si>
    <t>create source data in sourcedata file</t>
  </si>
  <si>
    <r>
      <t>VST</t>
    </r>
    <r>
      <rPr>
        <b/>
        <vertAlign val="subscript"/>
        <sz val="11"/>
        <color rgb="FF183C1B"/>
        <rFont val="Times New Roman"/>
        <family val="1"/>
      </rPr>
      <t>j=1,m,T=2</t>
    </r>
  </si>
  <si>
    <r>
      <t>VST</t>
    </r>
    <r>
      <rPr>
        <b/>
        <vertAlign val="subscript"/>
        <sz val="11"/>
        <color rgb="FF183C1B"/>
        <rFont val="Times New Roman"/>
        <family val="1"/>
      </rPr>
      <t>j=2,m,T=1</t>
    </r>
  </si>
  <si>
    <r>
      <t>VST</t>
    </r>
    <r>
      <rPr>
        <b/>
        <vertAlign val="subscript"/>
        <sz val="11"/>
        <color rgb="FF183C1B"/>
        <rFont val="Times New Roman"/>
        <family val="1"/>
      </rPr>
      <t>j=3,m,T=1</t>
    </r>
  </si>
  <si>
    <r>
      <t>VST</t>
    </r>
    <r>
      <rPr>
        <b/>
        <vertAlign val="subscript"/>
        <sz val="11"/>
        <color rgb="FF183C1B"/>
        <rFont val="Times New Roman"/>
        <family val="1"/>
      </rPr>
      <t>j=4,m,T=1</t>
    </r>
  </si>
  <si>
    <t>Add variation - temperature zone or state</t>
  </si>
  <si>
    <t>Table_MMS_j_m_T-2</t>
  </si>
  <si>
    <t>Fraction of manure in each secondary system</t>
  </si>
  <si>
    <t>Stage 2 management</t>
  </si>
  <si>
    <r>
      <t>MMS</t>
    </r>
    <r>
      <rPr>
        <b/>
        <vertAlign val="subscript"/>
        <sz val="11"/>
        <color rgb="FF183C1B"/>
        <rFont val="Times New Roman"/>
        <family val="1"/>
      </rPr>
      <t>j=1,m,T=2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</si>
  <si>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j=2,m,T=2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</si>
  <si>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j=3,m,T=2</t>
    </r>
  </si>
  <si>
    <r>
      <t>MMS</t>
    </r>
    <r>
      <rPr>
        <b/>
        <vertAlign val="subscript"/>
        <sz val="11"/>
        <color rgb="FF183C1B"/>
        <rFont val="Times New Roman"/>
        <family val="1"/>
      </rPr>
      <t>j=4,m,T=2</t>
    </r>
  </si>
  <si>
    <t>N/A</t>
  </si>
  <si>
    <r>
      <t>M</t>
    </r>
    <r>
      <rPr>
        <b/>
        <vertAlign val="subscript"/>
        <sz val="11"/>
        <color rgb="FF183C1B"/>
        <rFont val="Times New Roman"/>
        <family val="1"/>
      </rPr>
      <t>i,j=1,m,T=2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</si>
  <si>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i,j=2,m,T=2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</si>
  <si>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i,j=3,m,T=2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</si>
  <si>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i,j=4,m,T=2</t>
    </r>
  </si>
  <si>
    <r>
      <t>M</t>
    </r>
    <r>
      <rPr>
        <b/>
        <vertAlign val="subscript"/>
        <sz val="11"/>
        <color rgb="FF183C1B"/>
        <rFont val="Times New Roman"/>
        <family val="1"/>
      </rPr>
      <t>ij=1,m,T=1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</si>
  <si>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ij=2,m,T=1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</si>
  <si>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ij=3,m,T=1</t>
    </r>
  </si>
  <si>
    <r>
      <t>M</t>
    </r>
    <r>
      <rPr>
        <b/>
        <vertAlign val="subscript"/>
        <sz val="11"/>
        <color rgb="FF183C1B"/>
        <rFont val="Times New Roman"/>
        <family val="1"/>
      </rPr>
      <t>ij=4,m,T=1</t>
    </r>
  </si>
  <si>
    <t>See table</t>
  </si>
  <si>
    <r>
      <t>M</t>
    </r>
    <r>
      <rPr>
        <b/>
        <vertAlign val="subscript"/>
        <sz val="11"/>
        <color rgb="FF183C1B"/>
        <rFont val="Times New Roman"/>
        <family val="1"/>
      </rPr>
      <t>mj=1</t>
    </r>
  </si>
  <si>
    <r>
      <t>M</t>
    </r>
    <r>
      <rPr>
        <b/>
        <vertAlign val="subscript"/>
        <sz val="11"/>
        <color rgb="FF183C1B"/>
        <rFont val="Times New Roman"/>
        <family val="1"/>
      </rPr>
      <t>mj=2</t>
    </r>
  </si>
  <si>
    <r>
      <t>M</t>
    </r>
    <r>
      <rPr>
        <b/>
        <vertAlign val="subscript"/>
        <sz val="11"/>
        <color rgb="FF183C1B"/>
        <rFont val="Times New Roman"/>
        <family val="1"/>
      </rPr>
      <t>mj=3</t>
    </r>
  </si>
  <si>
    <r>
      <t>M</t>
    </r>
    <r>
      <rPr>
        <b/>
        <vertAlign val="subscript"/>
        <sz val="11"/>
        <color rgb="FF183C1B"/>
        <rFont val="Times New Roman"/>
        <family val="1"/>
      </rPr>
      <t>mj=4</t>
    </r>
  </si>
  <si>
    <t>Table_D_j</t>
  </si>
  <si>
    <t>Duration of stay of each class of swine</t>
  </si>
  <si>
    <r>
      <t>D</t>
    </r>
    <r>
      <rPr>
        <b/>
        <vertAlign val="subscript"/>
        <sz val="11"/>
        <color rgb="FF183C1B"/>
        <rFont val="Times New Roman"/>
        <family val="1"/>
      </rPr>
      <t>j=1</t>
    </r>
  </si>
  <si>
    <r>
      <t>D</t>
    </r>
    <r>
      <rPr>
        <b/>
        <vertAlign val="subscript"/>
        <sz val="11"/>
        <color rgb="FF183C1B"/>
        <rFont val="Times New Roman"/>
        <family val="1"/>
      </rPr>
      <t>j=2</t>
    </r>
  </si>
  <si>
    <r>
      <t>D</t>
    </r>
    <r>
      <rPr>
        <b/>
        <vertAlign val="subscript"/>
        <sz val="11"/>
        <color rgb="FF183C1B"/>
        <rFont val="Times New Roman"/>
        <family val="1"/>
      </rPr>
      <t>j=3</t>
    </r>
  </si>
  <si>
    <r>
      <t>D</t>
    </r>
    <r>
      <rPr>
        <b/>
        <vertAlign val="subscript"/>
        <sz val="11"/>
        <color rgb="FF183C1B"/>
        <rFont val="Times New Roman"/>
        <family val="1"/>
      </rPr>
      <t>j=4</t>
    </r>
  </si>
  <si>
    <t>Table_N_j</t>
  </si>
  <si>
    <t>Number of head for each swine class</t>
  </si>
  <si>
    <t>ECH4</t>
  </si>
  <si>
    <t>Manure management systems</t>
  </si>
  <si>
    <t>Stage 1 MMS</t>
  </si>
  <si>
    <t>Total sent to all MMS (Must equal 100%)</t>
  </si>
  <si>
    <t>Stage 2 MMS</t>
  </si>
  <si>
    <t>Solid separation from stage 1 MMS</t>
  </si>
  <si>
    <t>Were solids separated? (select)</t>
  </si>
  <si>
    <t>Percent separated (Method 1)</t>
  </si>
  <si>
    <t>Percent separated (Method 2)</t>
  </si>
  <si>
    <t>This tool demostrates inputs for one production system.</t>
  </si>
  <si>
    <t>Because the type of production system is not relevant in emissions calculations, you can select any kind.</t>
  </si>
  <si>
    <t>Add OR statement if any solids were separated</t>
  </si>
  <si>
    <t>Destination after stage 2 MMS (Percent)</t>
  </si>
  <si>
    <t>Sold</t>
  </si>
  <si>
    <t>Fert for own farm (eg crop)</t>
  </si>
  <si>
    <t>Direct application to soil</t>
  </si>
  <si>
    <t>▼</t>
  </si>
  <si>
    <t>►</t>
  </si>
  <si>
    <t>Fraction separated solids sent from MMS other than solid storage to solid storage in stage 1 (Method 1)</t>
  </si>
  <si>
    <t>Fraction VS in MMS other than solid storage in stage 1 (Method 1)</t>
  </si>
  <si>
    <t>M1_Table_FVS_j_m-4_T-1</t>
  </si>
  <si>
    <t>Fraction VS in stage 1 solid storage (Method 1)</t>
  </si>
  <si>
    <t>Methane conversion factor for state (Method 1)</t>
  </si>
  <si>
    <t>M1_Table_M_i_j_m_T-2</t>
  </si>
  <si>
    <t>Production of methane for each MMS in stage 2 (Method 1)</t>
  </si>
  <si>
    <t>M1 Table_VST_j_m_T-2</t>
  </si>
  <si>
    <t>Volatile solids transferred from stage 1 to stage 2 (Method 1)</t>
  </si>
  <si>
    <t>Method 1 default values (Do not edit)</t>
  </si>
  <si>
    <t>Method 2 custom values (Edit if known)</t>
  </si>
  <si>
    <t>Methane emissions from manure management (Method 1)</t>
  </si>
  <si>
    <t>Others</t>
  </si>
  <si>
    <t>M2_Table_SS_m-1-7-9</t>
  </si>
  <si>
    <t>Fraction separated solids sent from MMS other than solid storage to solid storage in stage 1 (Method 2)</t>
  </si>
  <si>
    <t>Fraction VS in MMS other than solid storage in stage 1 (Method 2)</t>
  </si>
  <si>
    <t>M2_Table_FVS_j_m-4_T-1</t>
  </si>
  <si>
    <t>Fraction VS in stage 1 solid storage (Method 2)</t>
  </si>
  <si>
    <t>M1_Table_VS_j</t>
  </si>
  <si>
    <t>Daily volatile solid production (Method 1)</t>
  </si>
  <si>
    <t>M2_Table_VS_j</t>
  </si>
  <si>
    <t>Daily volatile solid production (Method 2)</t>
  </si>
  <si>
    <t>M2 Table_VST_j_m_T-2</t>
  </si>
  <si>
    <t>Volatile solids transferred from stage 1 to stage 2 (Method 2)</t>
  </si>
  <si>
    <t>M2_Table_M_i_j_m_T-2</t>
  </si>
  <si>
    <t>Production of methane for each MMS in stage 2 (Method 2)</t>
  </si>
  <si>
    <t>M2_Table_M_i_j_m_T-1</t>
  </si>
  <si>
    <t>Production of methane for each MMS in stage 1 (Method 2)</t>
  </si>
  <si>
    <t>M1_Table_M_i_j_m_T-1</t>
  </si>
  <si>
    <t>Production of methane for each MMS in stage 1 (Method 1)</t>
  </si>
  <si>
    <t>M1_Table_M_m_j</t>
  </si>
  <si>
    <t>Production of methane for all MMS in stages 1 and 2 (Method 1)</t>
  </si>
  <si>
    <t>M2_Table_M_m_j</t>
  </si>
  <si>
    <t>Production of methane for all MMS in stages 1 and 2 (Method 2)</t>
  </si>
  <si>
    <t>Methane emissions from manure management (Method 2)</t>
  </si>
  <si>
    <t>4.5.1.3-4 Manure Direct N2O</t>
  </si>
  <si>
    <t>Kg N/head/day</t>
  </si>
  <si>
    <t>NWj</t>
  </si>
  <si>
    <t>NWj Daily</t>
  </si>
  <si>
    <t>Ij</t>
  </si>
  <si>
    <t>MMSm</t>
  </si>
  <si>
    <t>FracGASMmT</t>
  </si>
  <si>
    <t>NIR reference</t>
  </si>
  <si>
    <t>M1_Table_NW_j</t>
  </si>
  <si>
    <t>Duration of stay for each swine class</t>
  </si>
  <si>
    <t xml:space="preserve">This is a duplicate of </t>
  </si>
  <si>
    <t>Fraction N sent to MMS other than solid storage in stage 1</t>
  </si>
  <si>
    <t>M1_Table_SN_m-1-7-9</t>
  </si>
  <si>
    <t>Fraction of nitrogen separated to solid storage (Method 1)</t>
  </si>
  <si>
    <t>M1_Table_FN_j_m_T-1</t>
  </si>
  <si>
    <t>M1_Table_FVS_j_m_T-1</t>
  </si>
  <si>
    <t>M2_Table_FVS_j_m_T-1</t>
  </si>
  <si>
    <t>Table_MMS_j_m_T-1</t>
  </si>
  <si>
    <t>M1_Table_SS_m</t>
  </si>
  <si>
    <t>Fraction N in each primary MMS (Method 1)</t>
  </si>
  <si>
    <t>M1_Table_MN_j_m_T-1</t>
  </si>
  <si>
    <t>Nitrogen in treatment stage 1 MMS (Method 1)</t>
  </si>
  <si>
    <t>Table_FracGASM_m_t-1</t>
  </si>
  <si>
    <t>Fraction of N volatilised from stage 1 MMS</t>
  </si>
  <si>
    <t>FracGASMm</t>
  </si>
  <si>
    <t>Table_EF_m_t-1</t>
  </si>
  <si>
    <t>Nitrous oxide emissions factor for stage 1 MMS</t>
  </si>
  <si>
    <t>EF</t>
  </si>
  <si>
    <t>EFmT</t>
  </si>
  <si>
    <t>M1_Table_NT_j_m_T-2</t>
  </si>
  <si>
    <t>Nitrogen transferred to treatment stage 2 (Method 1)</t>
  </si>
  <si>
    <t>M1_Table_MN_j_m_T-2</t>
  </si>
  <si>
    <t>Nitrogen in stage 2 MMS (Method 1)</t>
  </si>
  <si>
    <t>M1_Table_E_N2O_dir</t>
  </si>
  <si>
    <t>Total direct nitrous oxide emissions from MMS (Method 1)</t>
  </si>
  <si>
    <r>
      <t>MMS</t>
    </r>
    <r>
      <rPr>
        <b/>
        <vertAlign val="subscript"/>
        <sz val="16"/>
        <color theme="1" tint="0.24994659260841701"/>
        <rFont val="Times New Roman"/>
        <family val="1"/>
      </rPr>
      <t>ATMOS</t>
    </r>
  </si>
  <si>
    <t>Where manure was deposited on farm soils, what is the closest match?</t>
  </si>
  <si>
    <t>Swine crop or pasture production systems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</si>
  <si>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</si>
  <si>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M2_Table_SN_m-1-7-9</t>
  </si>
  <si>
    <t>Fraction of nitrogen separated to solid storage (Method 2)</t>
  </si>
  <si>
    <t>M2_Table_MN_j_m_T-1</t>
  </si>
  <si>
    <t>Nitrogen in treatment stage 1 MMS (Method 2)</t>
  </si>
  <si>
    <t>M2_Table_NT_j_m_T-2</t>
  </si>
  <si>
    <t>Nitrogen transferred to treatment stage 2 (Method 2)</t>
  </si>
  <si>
    <t>M2_Table_FN_j_m_T-1</t>
  </si>
  <si>
    <t>Fraction N in each primary MMS (Method 2)</t>
  </si>
  <si>
    <t>M2_Table_E_N2O_dir</t>
  </si>
  <si>
    <t>Total direct nitrous oxide emissions from MMS (Method 2)</t>
  </si>
  <si>
    <t>4.2.1.7-8 Leaching and runoff</t>
  </si>
  <si>
    <r>
      <t xml:space="preserve">This infers that drylot is </t>
    </r>
    <r>
      <rPr>
        <b/>
        <sz val="12"/>
        <color theme="1" tint="0.24994659260841701"/>
        <rFont val="Times New Roman"/>
        <family val="1"/>
      </rPr>
      <t>not</t>
    </r>
    <r>
      <rPr>
        <sz val="12"/>
        <color theme="1" tint="0.24994659260841701"/>
        <rFont val="Times New Roman"/>
        <family val="1"/>
      </rPr>
      <t xml:space="preserve"> a stage 2 MMS option</t>
    </r>
  </si>
  <si>
    <t>M1_Table_MN_j_m-5_T-1</t>
  </si>
  <si>
    <t>kg N</t>
  </si>
  <si>
    <t>Nitrogen in stage 1 drylot (Method 1)</t>
  </si>
  <si>
    <t>M2_Table_MN_j_m-5_T-1</t>
  </si>
  <si>
    <t>Nitrogen in stage 1 drylot (Method 2)</t>
  </si>
  <si>
    <t>Doc has typo - refers to 'solid storage'</t>
  </si>
  <si>
    <t>M1_Table_MN_leach_j_m-5</t>
  </si>
  <si>
    <t>Mass of nitrogen lost to leaching (Method 1)</t>
  </si>
  <si>
    <t>M1_Table_E_N2O_leach</t>
  </si>
  <si>
    <t>Annual emissions from leaching and runoff (Method 1)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</si>
  <si>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N2O,leach</t>
    </r>
  </si>
  <si>
    <t>M2_Table_E_N2O_leach</t>
  </si>
  <si>
    <t>Annual emissions from leaching and runoff (Method 2)</t>
  </si>
  <si>
    <t>4.5.1.7-8 Leaching and runoff</t>
  </si>
  <si>
    <t>4.5.1.5-6 Atmospheric deposition N2O</t>
  </si>
  <si>
    <t>4.5.1.9 Manure applied to soils</t>
  </si>
  <si>
    <t xml:space="preserve"> but 4.5.1.7, Equation (2) says MNleachjm=5 only comes from stage 1 MMS</t>
  </si>
  <si>
    <t>MNleachjm=5 infers stage 1 and 2 drylot MMS</t>
  </si>
  <si>
    <t>Class name</t>
  </si>
  <si>
    <t>Nitrogen produced per class (Method 1)</t>
  </si>
  <si>
    <t>M2_Table_NW_j</t>
  </si>
  <si>
    <t>Nitrogen produced per class (Method 2)</t>
  </si>
  <si>
    <t>M1_Table_AE_j</t>
  </si>
  <si>
    <t>Annual nitrogen excretion (Method 1)</t>
  </si>
  <si>
    <t>M2_Table_AE_j</t>
  </si>
  <si>
    <t>Annual nitrogen excretion (Method 2)</t>
  </si>
  <si>
    <t>N lost through leaching and runoff from stage 1 drylot MMS</t>
  </si>
  <si>
    <t>M1_Table_PF</t>
  </si>
  <si>
    <t>Fraction of manure applied to soil (Method 1)</t>
  </si>
  <si>
    <t>PF</t>
  </si>
  <si>
    <t>Table_FracGASM_m_t</t>
  </si>
  <si>
    <t>Fraction of N volatilised from MMS</t>
  </si>
  <si>
    <t>Table_EF_m_T</t>
  </si>
  <si>
    <t>Nitrous oxide emissions factor for MMS</t>
  </si>
  <si>
    <t>M1_Table_MNSoil_scope1</t>
  </si>
  <si>
    <t>Mass of nitrogen applied to soils for scope 1 emissions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</si>
  <si>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</si>
  <si>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M2_Table_MN_j_m_T-2</t>
  </si>
  <si>
    <t>Nitrogen in stage 2 MMS (Method 2)</t>
  </si>
  <si>
    <t>M1_Table_MNSoil_scope3</t>
  </si>
  <si>
    <t>Mass of nitrogen applied to soils for scope 3 emissions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</si>
  <si>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</t>
    </r>
  </si>
  <si>
    <t>* Scope 1: Manure that is removed from MMS and used as fertiliser on the farm, for other enterprises (eg crops)</t>
  </si>
  <si>
    <t>Scope 1: Mass of nitrogen applied as fertiliser on own farm</t>
  </si>
  <si>
    <t>M1_Table_PF_fert</t>
  </si>
  <si>
    <t>Fraction of manure applied as fertiliser on farm for other enterpsises (eg crops) (Method 1)</t>
  </si>
  <si>
    <r>
      <t>PF</t>
    </r>
    <r>
      <rPr>
        <b/>
        <vertAlign val="subscript"/>
        <sz val="11"/>
        <color rgb="FF183C1B"/>
        <rFont val="Times New Roman"/>
        <family val="1"/>
      </rPr>
      <t>fert</t>
    </r>
  </si>
  <si>
    <t>M1_Table_MNSoil_scope1_fert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</si>
  <si>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scope1,fert</t>
    </r>
  </si>
  <si>
    <t>M2_Table_MNSoil_scope1_fert</t>
  </si>
  <si>
    <t>Mass of nitrogen applied as fertiliser on own farm for other enterprise (eg crops) for scope 1 emissions (Method 1)</t>
  </si>
  <si>
    <t>Mass of nitrogen applied as fertiliser on own farm for other enterprise (eg crops) for scope 1 emissions (Method 2)</t>
  </si>
  <si>
    <t>WARNING: Manure nitrogen that was applied to soils must be accounted for</t>
  </si>
  <si>
    <t>See the table below for how to account for manure applied to soils for scope 1 and 3.</t>
  </si>
  <si>
    <t>Manure nitrogen use</t>
  </si>
  <si>
    <t>Amount of N in manure</t>
  </si>
  <si>
    <t>N unit</t>
  </si>
  <si>
    <t>Emissions allocated to</t>
  </si>
  <si>
    <t>VEERG Calculation method</t>
  </si>
  <si>
    <r>
      <t>Manure nitrogen deposited on farm soils (</t>
    </r>
    <r>
      <rPr>
        <i/>
        <sz val="12"/>
        <color theme="1" tint="0.24994659260841701"/>
        <rFont val="Times New Roman"/>
        <family val="1"/>
      </rPr>
      <t>including</t>
    </r>
    <r>
      <rPr>
        <sz val="12"/>
        <color theme="1" tint="0.24994659260841701"/>
        <rFont val="Times New Roman"/>
        <family val="1"/>
      </rPr>
      <t xml:space="preserve"> use as fertiliser for other enterprises on own farm eg crops)</t>
    </r>
  </si>
  <si>
    <t>5.2.2.1 (1), 5.4.1.3 (1, 2), 5.5.1.1 (1, 3)</t>
  </si>
  <si>
    <t>Manure nitrogen deposited on farm soils as fertiliser for other farm enterpsies (eg crops)</t>
  </si>
  <si>
    <t>Manure nitrogen sold</t>
  </si>
  <si>
    <t>Scope 3 (downstream)</t>
  </si>
  <si>
    <t>15.13.1.1 (1), 5.2.2.1 (1), 5.4.1.3 (1, 2), 5.5.1.1 (1, 3)</t>
  </si>
  <si>
    <t>Scope 1 - This piggery</t>
  </si>
  <si>
    <t>4.5.1.1-2 Manure methane</t>
  </si>
  <si>
    <t>4.5.1.3-4 Direct N2O</t>
  </si>
  <si>
    <t>4.5.1.5-6 Atmospheric deposition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</si>
</sst>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6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b/>
      <sz val="20"/>
      <color theme="4" tint="-0.249977111117893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b/>
      <sz val="12"/>
      <color theme="1" tint="0.499984740745262"/>
      <name val="Times New Roman"/>
      <family val="1"/>
    </font>
    <font>
      <sz val="10"/>
      <color theme="1" tint="0.499984740745262"/>
      <name val="Times New Roman"/>
      <family val="1"/>
    </font>
    <font>
      <i/>
      <sz val="12"/>
      <color theme="1" tint="0.24994659260841701"/>
      <name val="Times New Roman"/>
      <family val="1"/>
    </font>
    <font>
      <b/>
      <sz val="22"/>
      <color theme="5" tint="-0.499984740745262"/>
      <name val="Times New Roman"/>
      <family val="1"/>
    </font>
    <font>
      <sz val="12"/>
      <color rgb="FFCC6600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thin">
        <color theme="3" tint="0.749961851863155"/>
      </bottom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6" fillId="13" borderId="8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5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49" fillId="4" borderId="0">
      <alignment horizontal="left" vertical="center"/>
    </xf>
    <xf numFmtId="0" fontId="50" fillId="4" borderId="0">
      <alignment horizontal="left" vertical="center"/>
    </xf>
    <xf numFmtId="0" fontId="56" fillId="4" borderId="0">
      <alignment horizontal="left" vertical="center"/>
    </xf>
    <xf numFmtId="0" fontId="48" fillId="11" borderId="0">
      <alignment horizontal="center" vertical="center"/>
    </xf>
    <xf numFmtId="0" fontId="22" fillId="11" borderId="0">
      <alignment horizontal="left" vertical="center" indent="1"/>
    </xf>
  </cellStyleXfs>
  <cellXfs count="146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46" fillId="13" borderId="8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5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35" fillId="4" borderId="6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5" fillId="0" borderId="0" xfId="35" applyFont="1">
      <alignment horizontal="left" vertical="center" indent="1"/>
    </xf>
    <xf numFmtId="0" fontId="11" fillId="0" borderId="0" xfId="33"/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6" fillId="13" borderId="10" xfId="41" applyBorder="1">
      <alignment horizontal="left" vertical="center"/>
    </xf>
    <xf numFmtId="0" fontId="46" fillId="13" borderId="12" xfId="41" applyBorder="1">
      <alignment horizontal="left" vertical="center"/>
    </xf>
    <xf numFmtId="0" fontId="46" fillId="13" borderId="14" xfId="41" applyBorder="1">
      <alignment horizontal="left" vertical="center"/>
    </xf>
    <xf numFmtId="0" fontId="46" fillId="13" borderId="13" xfId="41" applyBorder="1">
      <alignment horizontal="left" vertical="center"/>
    </xf>
    <xf numFmtId="0" fontId="46" fillId="13" borderId="15" xfId="41" applyBorder="1">
      <alignment horizontal="left" vertical="center"/>
    </xf>
    <xf numFmtId="0" fontId="46" fillId="13" borderId="17" xfId="41" applyBorder="1">
      <alignment horizontal="left" vertical="center"/>
    </xf>
    <xf numFmtId="0" fontId="46" fillId="13" borderId="11" xfId="41" applyBorder="1">
      <alignment horizontal="left" vertical="center"/>
    </xf>
    <xf numFmtId="0" fontId="46" fillId="13" borderId="16" xfId="41" applyBorder="1">
      <alignment horizontal="left" vertical="center"/>
    </xf>
    <xf numFmtId="0" fontId="46" fillId="13" borderId="18" xfId="41" applyBorder="1">
      <alignment horizontal="left" vertical="center"/>
    </xf>
    <xf numFmtId="0" fontId="47" fillId="13" borderId="9" xfId="41" applyFont="1" applyBorder="1">
      <alignment horizontal="left" vertical="center"/>
    </xf>
    <xf numFmtId="9" fontId="35" fillId="4" borderId="2" xfId="14" applyFont="1" applyFill="1" applyBorder="1" applyAlignment="1">
      <alignment horizontal="center" vertical="center"/>
    </xf>
    <xf numFmtId="0" fontId="50" fillId="4" borderId="0" xfId="61">
      <alignment horizontal="left" vertical="center"/>
    </xf>
    <xf numFmtId="0" fontId="49" fillId="4" borderId="0" xfId="60">
      <alignment horizontal="left" vertical="center"/>
    </xf>
    <xf numFmtId="0" fontId="35" fillId="4" borderId="19" xfId="55" applyBorder="1" applyAlignment="1">
      <alignment horizontal="left" vertical="center"/>
    </xf>
    <xf numFmtId="0" fontId="51" fillId="4" borderId="1" xfId="8" applyFont="1" applyBorder="1">
      <alignment horizontal="left" vertical="center"/>
    </xf>
    <xf numFmtId="0" fontId="52" fillId="4" borderId="1" xfId="8" applyFont="1" applyBorder="1">
      <alignment horizontal="left" vertical="center"/>
    </xf>
    <xf numFmtId="0" fontId="53" fillId="4" borderId="1" xfId="56" applyFont="1" applyBorder="1">
      <alignment horizontal="left" vertical="center"/>
    </xf>
    <xf numFmtId="0" fontId="35" fillId="4" borderId="19" xfId="55" applyBorder="1">
      <alignment horizontal="center" vertical="center"/>
    </xf>
    <xf numFmtId="0" fontId="6" fillId="4" borderId="1" xfId="56" applyBorder="1">
      <alignment horizontal="left" vertical="center"/>
    </xf>
    <xf numFmtId="0" fontId="56" fillId="4" borderId="0" xfId="62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6" xfId="55" applyBorder="1" applyAlignment="1">
      <alignment vertical="center"/>
    </xf>
    <xf numFmtId="0" fontId="35" fillId="4" borderId="7" xfId="55" applyBorder="1" applyAlignment="1">
      <alignment vertical="center"/>
    </xf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48" fillId="11" borderId="0" xfId="63">
      <alignment horizontal="center" vertical="center"/>
    </xf>
    <xf numFmtId="0" fontId="59" fillId="0" borderId="0" xfId="2" applyFont="1"/>
    <xf numFmtId="0" fontId="46" fillId="13" borderId="20" xfId="41" applyBorder="1">
      <alignment horizontal="left" vertical="center"/>
    </xf>
    <xf numFmtId="0" fontId="60" fillId="6" borderId="0" xfId="30" applyFont="1" applyProtection="1">
      <alignment horizontal="center" vertical="center"/>
    </xf>
    <xf numFmtId="0" fontId="13" fillId="6" borderId="0" xfId="30">
      <alignment horizontal="center" vertical="center"/>
      <protection locked="0"/>
    </xf>
    <xf numFmtId="0" fontId="0" fillId="0" borderId="0" xfId="1" applyFont="1" applyFill="1">
      <alignment horizontal="left" vertical="center" indent="1"/>
      <protection locked="0"/>
    </xf>
    <xf numFmtId="0" fontId="61" fillId="4" borderId="0" xfId="8" applyFont="1">
      <alignment horizontal="left" vertical="center"/>
    </xf>
    <xf numFmtId="0" fontId="62" fillId="4" borderId="0" xfId="8" applyFont="1">
      <alignment horizontal="left" vertical="center"/>
    </xf>
    <xf numFmtId="0" fontId="35" fillId="4" borderId="6" xfId="55" applyBorder="1">
      <alignment horizontal="center" vertical="center"/>
    </xf>
    <xf numFmtId="0" fontId="6" fillId="14" borderId="0" xfId="12" applyFill="1">
      <alignment horizontal="left" vertical="center" indent="1"/>
    </xf>
    <xf numFmtId="3" fontId="35" fillId="4" borderId="2" xfId="55" applyNumberFormat="1">
      <alignment horizontal="center" vertical="center"/>
    </xf>
    <xf numFmtId="0" fontId="40" fillId="4" borderId="0" xfId="8" applyAlignment="1">
      <alignment horizontal="left" vertical="center" indent="3"/>
    </xf>
    <xf numFmtId="0" fontId="42" fillId="4" borderId="0" xfId="8" applyFont="1" applyAlignment="1">
      <alignment horizontal="left" vertical="center" indent="3"/>
    </xf>
    <xf numFmtId="0" fontId="40" fillId="4" borderId="0" xfId="8" applyAlignment="1">
      <alignment horizontal="left" vertical="center" indent="6"/>
    </xf>
    <xf numFmtId="0" fontId="13" fillId="6" borderId="0" xfId="29" applyAlignment="1">
      <alignment horizontal="left" vertical="center" indent="3"/>
    </xf>
    <xf numFmtId="0" fontId="60" fillId="6" borderId="0" xfId="30" applyFont="1" applyAlignment="1" applyProtection="1">
      <alignment horizontal="left" vertical="center"/>
    </xf>
    <xf numFmtId="0" fontId="13" fillId="6" borderId="0" xfId="29" applyAlignment="1">
      <alignment horizontal="left" vertical="center" indent="6"/>
    </xf>
    <xf numFmtId="0" fontId="42" fillId="4" borderId="0" xfId="8" applyFont="1" applyAlignment="1">
      <alignment horizontal="left" vertical="center" indent="9"/>
    </xf>
    <xf numFmtId="0" fontId="40" fillId="4" borderId="0" xfId="8" applyAlignment="1">
      <alignment horizontal="left" vertical="center" indent="9"/>
    </xf>
    <xf numFmtId="0" fontId="40" fillId="4" borderId="0" xfId="8" applyAlignment="1">
      <alignment horizontal="center" vertical="center"/>
    </xf>
    <xf numFmtId="0" fontId="64" fillId="4" borderId="0" xfId="62" applyFont="1" applyAlignment="1">
      <alignment horizontal="left" vertical="center" indent="6"/>
    </xf>
    <xf numFmtId="0" fontId="64" fillId="4" borderId="0" xfId="62" applyFont="1" applyAlignment="1">
      <alignment horizontal="left" vertical="center" indent="2"/>
    </xf>
    <xf numFmtId="0" fontId="64" fillId="4" borderId="0" xfId="62" applyFont="1">
      <alignment horizontal="left" vertical="center"/>
    </xf>
    <xf numFmtId="0" fontId="44" fillId="14" borderId="0" xfId="6" applyFill="1">
      <alignment vertical="center"/>
    </xf>
    <xf numFmtId="0" fontId="46" fillId="13" borderId="9" xfId="41" applyBorder="1">
      <alignment horizontal="left" vertical="center"/>
    </xf>
    <xf numFmtId="0" fontId="65" fillId="4" borderId="0" xfId="62" applyFont="1">
      <alignment horizontal="left" vertical="center"/>
    </xf>
    <xf numFmtId="0" fontId="22" fillId="10" borderId="0" xfId="37">
      <alignment horizontal="left" vertical="center" indent="1"/>
    </xf>
    <xf numFmtId="0" fontId="22" fillId="8" borderId="0" xfId="39">
      <alignment horizontal="left" vertical="center" indent="1"/>
    </xf>
    <xf numFmtId="0" fontId="22" fillId="5" borderId="0" xfId="38">
      <alignment horizontal="left" vertical="center" indent="1"/>
    </xf>
    <xf numFmtId="0" fontId="22" fillId="11" borderId="0" xfId="64">
      <alignment horizontal="left" vertical="center" indent="1"/>
    </xf>
    <xf numFmtId="0" fontId="40" fillId="15" borderId="0" xfId="8" applyFill="1" applyAlignment="1">
      <alignment horizontal="left" vertical="center" indent="9"/>
    </xf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86"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color rgb="FFC44340"/>
      </font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85"/>
      <tableStyleElement type="headerRow" dxfId="84"/>
      <tableStyleElement type="totalRow" dxfId="83"/>
      <tableStyleElement type="firstColumn" dxfId="82"/>
      <tableStyleElement type="firstRowStripe" dxfId="81"/>
      <tableStyleElement type="secondRowStripe" dxfId="80"/>
    </tableStyle>
    <tableStyle name="Equation table" pivot="0" count="6" xr9:uid="{B247698E-E41D-4CCD-AA0A-C14817E9DE65}">
      <tableStyleElement type="wholeTable" dxfId="79"/>
      <tableStyleElement type="headerRow" dxfId="78"/>
      <tableStyleElement type="totalRow" dxfId="77"/>
      <tableStyleElement type="firstColumn" dxfId="76"/>
      <tableStyleElement type="firstRowStripe" dxfId="75"/>
      <tableStyleElement type="secondRowStripe" dxfId="74"/>
    </tableStyle>
    <tableStyle name="Table Style 1" pivot="0" count="0" xr9:uid="{97B370DB-5463-4A31-9160-5A96BD6A559D}"/>
  </tableStyles>
  <colors>
    <mruColors>
      <color rgb="FFFFCCCC"/>
      <color rgb="FFC44340"/>
      <color rgb="FF0C769E"/>
      <color rgb="FF008000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eetMetadata" Target="metadata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microsoft.com/office/2017/06/relationships/rdRichValueStructure" Target="richData/rdrichvaluestructure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</xdr:colOff>
      <xdr:row>79</xdr:row>
      <xdr:rowOff>219075</xdr:rowOff>
    </xdr:from>
    <xdr:ext cx="2945165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3B6995-DA2B-4A6B-B72E-9F495168D74D}"/>
                </a:ext>
              </a:extLst>
            </xdr:cNvPr>
            <xdr:cNvSpPr txBox="1"/>
          </xdr:nvSpPr>
          <xdr:spPr>
            <a:xfrm>
              <a:off x="2686050" y="19173825"/>
              <a:ext cx="294516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𝐿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A3B6995-DA2B-4A6B-B72E-9F495168D74D}"/>
                </a:ext>
              </a:extLst>
            </xdr:cNvPr>
            <xdr:cNvSpPr txBox="1"/>
          </xdr:nvSpPr>
          <xdr:spPr>
            <a:xfrm>
              <a:off x="2686050" y="19173825"/>
              <a:ext cx="294516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𝑉𝑆𝑇_(𝑖𝑗𝑚,𝑇=2)=𝑉𝑆_𝑗×𝐹𝑉𝑆_(𝑗𝑚,𝑇=1)×(1−𝑉𝑆𝐿_(𝑚,𝑇=1)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124</xdr:row>
      <xdr:rowOff>119062</xdr:rowOff>
    </xdr:from>
    <xdr:ext cx="335848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1C9D90-28C6-427F-B03E-AB27D8998AD6}"/>
                </a:ext>
              </a:extLst>
            </xdr:cNvPr>
            <xdr:cNvSpPr txBox="1"/>
          </xdr:nvSpPr>
          <xdr:spPr>
            <a:xfrm>
              <a:off x="2652712" y="29227462"/>
              <a:ext cx="335848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𝑉𝑆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1C9D90-28C6-427F-B03E-AB27D8998AD6}"/>
                </a:ext>
              </a:extLst>
            </xdr:cNvPr>
            <xdr:cNvSpPr txBox="1"/>
          </xdr:nvSpPr>
          <xdr:spPr>
            <a:xfrm>
              <a:off x="2652712" y="29227462"/>
              <a:ext cx="335848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𝑀_(𝑖𝑗𝑚,𝑇=2)=𝑉𝑆𝑇_(𝑗𝑚,𝑇=2)×𝐵𝑂×𝑀𝑀𝑆_(𝑗𝑚,𝑇=2)×𝑀𝐶𝐹_𝑖𝑚×𝜌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27174</xdr:colOff>
      <xdr:row>7</xdr:row>
      <xdr:rowOff>152400</xdr:rowOff>
    </xdr:from>
    <xdr:ext cx="2277931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44D6FD-6FA9-430E-87ED-4FA92346A0C7}"/>
                </a:ext>
              </a:extLst>
            </xdr:cNvPr>
            <xdr:cNvSpPr txBox="1"/>
          </xdr:nvSpPr>
          <xdr:spPr>
            <a:xfrm>
              <a:off x="2705380" y="2012576"/>
              <a:ext cx="22779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144D6FD-6FA9-430E-87ED-4FA92346A0C7}"/>
                </a:ext>
              </a:extLst>
            </xdr:cNvPr>
            <xdr:cNvSpPr txBox="1"/>
          </xdr:nvSpPr>
          <xdr:spPr>
            <a:xfrm>
              <a:off x="2705380" y="2012576"/>
              <a:ext cx="2277931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𝐹𝑉𝑆_(𝑗𝑚,𝑇=1)=𝑀𝑀𝑆_(𝑗𝑚,𝑇=1)×(1−𝑆𝑆_𝑚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8</xdr:col>
      <xdr:colOff>139792</xdr:colOff>
      <xdr:row>52</xdr:row>
      <xdr:rowOff>237004</xdr:rowOff>
    </xdr:from>
    <xdr:ext cx="4196405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8A8583-DF6F-4955-AF42-FE3EDAA835E4}"/>
                </a:ext>
              </a:extLst>
            </xdr:cNvPr>
            <xdr:cNvSpPr txBox="1"/>
          </xdr:nvSpPr>
          <xdr:spPr>
            <a:xfrm>
              <a:off x="13071380" y="13191004"/>
              <a:ext cx="419640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ORIGINAL</m:t>
                    </m:r>
                    <m:r>
                      <a:rPr lang="en-AU" sz="1100" b="0" i="1">
                        <a:solidFill>
                          <a:srgbClr val="C44340"/>
                        </a:solidFill>
                        <a:latin typeface="Cambria Math" panose="02040503050406030204" pitchFamily="18" charset="0"/>
                      </a:rPr>
                      <m:t>: 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=1,7,9,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>
                <a:solidFill>
                  <a:srgbClr val="C00000"/>
                </a:solidFill>
              </a:endParaRPr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A8A8583-DF6F-4955-AF42-FE3EDAA835E4}"/>
                </a:ext>
              </a:extLst>
            </xdr:cNvPr>
            <xdr:cNvSpPr txBox="1"/>
          </xdr:nvSpPr>
          <xdr:spPr>
            <a:xfrm>
              <a:off x="13071380" y="13191004"/>
              <a:ext cx="419640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b="0" i="0">
                  <a:solidFill>
                    <a:srgbClr val="C44340"/>
                  </a:solidFill>
                  <a:latin typeface="Cambria Math" panose="02040503050406030204" pitchFamily="18" charset="0"/>
                </a:rPr>
                <a:t>ORIGINAL: </a:t>
              </a:r>
              <a:r>
                <a:rPr lang="en-AU" sz="1100" i="0">
                  <a:latin typeface="Cambria Math" panose="02040503050406030204" pitchFamily="18" charset="0"/>
                </a:rPr>
                <a:t>𝐹𝑉𝑆_(𝑗,𝑚=4,𝑇=1)=𝑀𝑀𝑆_(𝑗,𝑚=4,𝑇=1)+(𝑀𝑀𝑆_(𝑗,𝑚=1,7,9,𝑇=1)×𝑆𝑆_𝑚 )</a:t>
              </a:r>
              <a:endParaRPr lang="en-AU" sz="1100">
                <a:solidFill>
                  <a:srgbClr val="C00000"/>
                </a:solidFill>
              </a:endParaRPr>
            </a:p>
          </xdr:txBody>
        </xdr:sp>
      </mc:Fallback>
    </mc:AlternateContent>
    <xdr:clientData/>
  </xdr:oneCellAnchor>
  <xdr:oneCellAnchor>
    <xdr:from>
      <xdr:col>3</xdr:col>
      <xdr:colOff>33337</xdr:colOff>
      <xdr:row>203</xdr:row>
      <xdr:rowOff>0</xdr:rowOff>
    </xdr:from>
    <xdr:ext cx="290419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AF2FF1F-FC70-483C-980C-349CDA55527D}"/>
                </a:ext>
              </a:extLst>
            </xdr:cNvPr>
            <xdr:cNvSpPr txBox="1"/>
          </xdr:nvSpPr>
          <xdr:spPr>
            <a:xfrm>
              <a:off x="2709862" y="45453300"/>
              <a:ext cx="290419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AAF2FF1F-FC70-483C-980C-349CDA55527D}"/>
                </a:ext>
              </a:extLst>
            </xdr:cNvPr>
            <xdr:cNvSpPr txBox="1"/>
          </xdr:nvSpPr>
          <xdr:spPr>
            <a:xfrm>
              <a:off x="2709862" y="45453300"/>
              <a:ext cx="290419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𝑀_(𝑖𝑗𝑚,𝑇=1)=𝑉𝑆_𝑗×𝐹𝑉𝑆_(𝑗𝑚,𝑇=1)×𝑀𝐶𝐹_𝑖𝑚×𝐵𝑂×𝜌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285908</xdr:colOff>
      <xdr:row>232</xdr:row>
      <xdr:rowOff>18270</xdr:rowOff>
    </xdr:from>
    <xdr:ext cx="1253035" cy="41075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B8182C9-EABC-4A69-B2F2-5576F1638B12}"/>
                </a:ext>
              </a:extLst>
            </xdr:cNvPr>
            <xdr:cNvSpPr txBox="1"/>
          </xdr:nvSpPr>
          <xdr:spPr>
            <a:xfrm>
              <a:off x="2648108" y="52158120"/>
              <a:ext cx="1253035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</m:sub>
                          <m:sup/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𝑗𝑚𝑇</m:t>
                                </m:r>
                              </m:sub>
                            </m:sSub>
                          </m:e>
                        </m:nary>
                        <m:r>
                          <a:rPr lang="en-AU" sz="1100" b="0" i="1">
                            <a:latin typeface="Cambria Math" panose="02040503050406030204" pitchFamily="18" charset="0"/>
                          </a:rPr>
                          <m:t> </m:t>
                        </m:r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EB8182C9-EABC-4A69-B2F2-5576F1638B12}"/>
                </a:ext>
              </a:extLst>
            </xdr:cNvPr>
            <xdr:cNvSpPr txBox="1"/>
          </xdr:nvSpPr>
          <xdr:spPr>
            <a:xfrm>
              <a:off x="2648108" y="52158120"/>
              <a:ext cx="1253035" cy="41075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𝑀_𝑚𝑗=∑_𝑚</a:t>
              </a:r>
              <a:r>
                <a:rPr lang="en-AU" sz="1100" b="0" i="0">
                  <a:latin typeface="Cambria Math" panose="02040503050406030204" pitchFamily="18" charset="0"/>
                </a:rPr>
                <a:t>▒〖∑_</a:t>
              </a:r>
              <a:r>
                <a:rPr lang="en-AU" sz="1100" i="0">
                  <a:latin typeface="Cambria Math" panose="02040503050406030204" pitchFamily="18" charset="0"/>
                </a:rPr>
                <a:t>𝑇▒𝑀_𝑗𝑚𝑇 </a:t>
              </a:r>
              <a:r>
                <a:rPr lang="en-AU" sz="1100" b="0" i="0">
                  <a:latin typeface="Cambria Math" panose="02040503050406030204" pitchFamily="18" charset="0"/>
                </a:rPr>
                <a:t>  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271462</xdr:colOff>
      <xdr:row>251</xdr:row>
      <xdr:rowOff>142875</xdr:rowOff>
    </xdr:from>
    <xdr:ext cx="2142701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75177A-4B40-4E29-869B-18762124A3E6}"/>
                </a:ext>
              </a:extLst>
            </xdr:cNvPr>
            <xdr:cNvSpPr txBox="1"/>
          </xdr:nvSpPr>
          <xdr:spPr>
            <a:xfrm>
              <a:off x="2633662" y="56988075"/>
              <a:ext cx="214270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𝐷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𝑚𝑗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×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𝑁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𝑗</m:t>
                                </m:r>
                              </m:sub>
                            </m:sSub>
                          </m:e>
                        </m:d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675177A-4B40-4E29-869B-18762124A3E6}"/>
                </a:ext>
              </a:extLst>
            </xdr:cNvPr>
            <xdr:cNvSpPr txBox="1"/>
          </xdr:nvSpPr>
          <xdr:spPr>
            <a:xfrm>
              <a:off x="2633662" y="56988075"/>
              <a:ext cx="2142701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𝐸_𝐶𝐻4=∑_𝑗▒(𝐷_𝑗×𝑀_𝑚𝑗×𝑁_𝑗 ) 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13446</xdr:colOff>
      <xdr:row>52</xdr:row>
      <xdr:rowOff>164726</xdr:rowOff>
    </xdr:from>
    <xdr:ext cx="750474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32B4099-801B-DE9D-C67B-1465C3FBD42D}"/>
                </a:ext>
              </a:extLst>
            </xdr:cNvPr>
            <xdr:cNvSpPr txBox="1"/>
          </xdr:nvSpPr>
          <xdr:spPr>
            <a:xfrm>
              <a:off x="2691652" y="13118726"/>
              <a:ext cx="75047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632B4099-801B-DE9D-C67B-1465C3FBD42D}"/>
                </a:ext>
              </a:extLst>
            </xdr:cNvPr>
            <xdr:cNvSpPr txBox="1"/>
          </xdr:nvSpPr>
          <xdr:spPr>
            <a:xfrm>
              <a:off x="2691652" y="13118726"/>
              <a:ext cx="75047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𝐹𝑉𝑆_(𝑗,𝑚=4,𝑇=1)=𝑀𝑀𝑆_(𝑗,𝑚=4,𝑇=1)+(𝑀𝑀𝑆_(𝑗,𝑚=1,𝑇=1)×𝑆𝑆_(𝑚=1,𝑇=1) )+(𝑀𝑀𝑆_(𝑗,𝑚=7,𝑇=1)×𝑆𝑆_(𝑚=7,𝑇=1) )+(𝑀𝑀𝑆_(𝑗,𝑚=9,𝑇=1)×𝑆𝑆_(𝑚=9,𝑇=1) 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47063</xdr:colOff>
      <xdr:row>106</xdr:row>
      <xdr:rowOff>114300</xdr:rowOff>
    </xdr:from>
    <xdr:ext cx="172040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5F4E5-A2AB-2D9A-9336-D9BA205E678D}"/>
                </a:ext>
              </a:extLst>
            </xdr:cNvPr>
            <xdr:cNvSpPr txBox="1"/>
          </xdr:nvSpPr>
          <xdr:spPr>
            <a:xfrm>
              <a:off x="2725269" y="1974476"/>
              <a:ext cx="172040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A85F4E5-A2AB-2D9A-9336-D9BA205E678D}"/>
                </a:ext>
              </a:extLst>
            </xdr:cNvPr>
            <xdr:cNvSpPr txBox="1"/>
          </xdr:nvSpPr>
          <xdr:spPr>
            <a:xfrm>
              <a:off x="2725269" y="1974476"/>
              <a:ext cx="172040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𝑀𝑁_(𝑗𝑚,𝑇=1)=𝐴𝐸_𝑗×𝐹𝑁_(𝑗𝑚,𝑇=1)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13447</xdr:colOff>
      <xdr:row>7</xdr:row>
      <xdr:rowOff>125506</xdr:rowOff>
    </xdr:from>
    <xdr:ext cx="13009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3C77C9-9101-3C81-CE4D-05945C90F1D3}"/>
                </a:ext>
              </a:extLst>
            </xdr:cNvPr>
            <xdr:cNvSpPr txBox="1"/>
          </xdr:nvSpPr>
          <xdr:spPr>
            <a:xfrm>
              <a:off x="2691653" y="1985682"/>
              <a:ext cx="13009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𝑊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23C77C9-9101-3C81-CE4D-05945C90F1D3}"/>
                </a:ext>
              </a:extLst>
            </xdr:cNvPr>
            <xdr:cNvSpPr txBox="1"/>
          </xdr:nvSpPr>
          <xdr:spPr>
            <a:xfrm>
              <a:off x="2691653" y="1985682"/>
              <a:ext cx="13009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𝐴𝐸_𝑗=𝑁_𝑗×𝑁𝑊_𝑗×𝐷_𝑗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35857</xdr:colOff>
      <xdr:row>41</xdr:row>
      <xdr:rowOff>136712</xdr:rowOff>
    </xdr:from>
    <xdr:ext cx="2237023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05C6EE-0C55-69CB-E0CF-E6E14D33F154}"/>
                </a:ext>
              </a:extLst>
            </xdr:cNvPr>
            <xdr:cNvSpPr txBox="1"/>
          </xdr:nvSpPr>
          <xdr:spPr>
            <a:xfrm>
              <a:off x="2714063" y="10378888"/>
              <a:ext cx="223702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1B05C6EE-0C55-69CB-E0CF-E6E14D33F154}"/>
                </a:ext>
              </a:extLst>
            </xdr:cNvPr>
            <xdr:cNvSpPr txBox="1"/>
          </xdr:nvSpPr>
          <xdr:spPr>
            <a:xfrm>
              <a:off x="2714063" y="10378888"/>
              <a:ext cx="2237023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𝐹𝑁_(𝑗𝑚,𝑇=1)=𝑀𝑀𝑆_(𝑗𝑚,𝑇=1)×(1−𝑆𝑁_𝑚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7</xdr:col>
      <xdr:colOff>136710</xdr:colOff>
      <xdr:row>82</xdr:row>
      <xdr:rowOff>136712</xdr:rowOff>
    </xdr:from>
    <xdr:ext cx="4124912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17256B-BF80-FDAF-4B8E-A6DA8097309B}"/>
                </a:ext>
              </a:extLst>
            </xdr:cNvPr>
            <xdr:cNvSpPr txBox="1"/>
          </xdr:nvSpPr>
          <xdr:spPr>
            <a:xfrm>
              <a:off x="11017622" y="20240065"/>
              <a:ext cx="412491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ORIGINAL:</a:t>
              </a:r>
              <a:r>
                <a:rPr lang="en-AU" sz="1100"/>
                <a:t> </a:t>
              </a:r>
              <a14:m>
                <m:oMath xmlns:m="http://schemas.openxmlformats.org/officeDocument/2006/math">
                  <m:r>
                    <a:rPr lang="en-AU" sz="1100" i="1">
                      <a:latin typeface="Cambria Math" panose="02040503050406030204" pitchFamily="18" charset="0"/>
                    </a:rPr>
                    <m:t>𝐹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𝑁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𝑗𝑚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=4,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=</m:t>
                  </m:r>
                  <m:r>
                    <a:rPr lang="en-AU" sz="1100" i="1">
                      <a:latin typeface="Cambria Math" panose="02040503050406030204" pitchFamily="18" charset="0"/>
                    </a:rPr>
                    <m:t>𝑀𝑀</m:t>
                  </m:r>
                  <m:sSub>
                    <m:sSub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𝑆</m:t>
                      </m:r>
                    </m:e>
                    <m:sub>
                      <m:r>
                        <a:rPr lang="en-AU" sz="1100" i="1">
                          <a:latin typeface="Cambria Math" panose="02040503050406030204" pitchFamily="18" charset="0"/>
                        </a:rPr>
                        <m:t>𝑗𝑚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=4,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𝑇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=1</m:t>
                      </m:r>
                    </m:sub>
                  </m:sSub>
                  <m:r>
                    <a:rPr lang="en-AU" sz="1100" i="1">
                      <a:latin typeface="Cambria Math" panose="02040503050406030204" pitchFamily="18" charset="0"/>
                    </a:rPr>
                    <m:t>+</m:t>
                  </m:r>
                  <m:d>
                    <m:dPr>
                      <m:ctrlPr>
                        <a:rPr lang="en-AU" sz="1100" i="1">
                          <a:latin typeface="Cambria Math" panose="02040503050406030204" pitchFamily="18" charset="0"/>
                        </a:rPr>
                      </m:ctrlPr>
                    </m:dPr>
                    <m:e>
                      <m:r>
                        <a:rPr lang="en-AU" sz="1100" i="1">
                          <a:latin typeface="Cambria Math" panose="02040503050406030204" pitchFamily="18" charset="0"/>
                        </a:rPr>
                        <m:t>𝑀𝑀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𝑆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𝑗𝑚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=1,7,9,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𝑇</m:t>
                          </m:r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=1</m:t>
                          </m:r>
                        </m:sub>
                      </m:sSub>
                      <m:r>
                        <a:rPr lang="en-AU" sz="1100" i="1">
                          <a:latin typeface="Cambria Math" panose="02040503050406030204" pitchFamily="18" charset="0"/>
                        </a:rPr>
                        <m:t>×</m:t>
                      </m:r>
                      <m:r>
                        <a:rPr lang="en-AU" sz="1100" i="1">
                          <a:latin typeface="Cambria Math" panose="02040503050406030204" pitchFamily="18" charset="0"/>
                        </a:rPr>
                        <m:t>𝑆</m:t>
                      </m:r>
                      <m:sSub>
                        <m:sSubPr>
                          <m:ctrlPr>
                            <a:rPr lang="en-AU" sz="110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𝑁</m:t>
                          </m:r>
                        </m:e>
                        <m:sub>
                          <m:r>
                            <a:rPr lang="en-AU" sz="1100" i="1">
                              <a:latin typeface="Cambria Math" panose="02040503050406030204" pitchFamily="18" charset="0"/>
                            </a:rPr>
                            <m:t>𝑚</m:t>
                          </m:r>
                        </m:sub>
                      </m:sSub>
                    </m:e>
                  </m:d>
                </m:oMath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A217256B-BF80-FDAF-4B8E-A6DA8097309B}"/>
                </a:ext>
              </a:extLst>
            </xdr:cNvPr>
            <xdr:cNvSpPr txBox="1"/>
          </xdr:nvSpPr>
          <xdr:spPr>
            <a:xfrm>
              <a:off x="11017622" y="20240065"/>
              <a:ext cx="4124912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>
                  <a:solidFill>
                    <a:srgbClr val="C44340"/>
                  </a:solidFill>
                </a:rPr>
                <a:t>ORIGINAL:</a:t>
              </a:r>
              <a:r>
                <a:rPr lang="en-AU" sz="1100"/>
                <a:t> </a:t>
              </a:r>
              <a:r>
                <a:rPr lang="en-AU" sz="1100" i="0">
                  <a:latin typeface="Cambria Math" panose="02040503050406030204" pitchFamily="18" charset="0"/>
                </a:rPr>
                <a:t>𝐹𝑁_(𝑗𝑚=4,𝑇=1)=𝑀𝑀𝑆_(𝑗𝑚=4,𝑇=1)+(𝑀𝑀𝑆_(𝑗𝑚=1,7,9,𝑇=1)×𝑆𝑁_𝑚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304799</xdr:colOff>
      <xdr:row>82</xdr:row>
      <xdr:rowOff>136712</xdr:rowOff>
    </xdr:from>
    <xdr:ext cx="739144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6C860CD-A0A8-A5CF-0BB3-DB7AC846F0E7}"/>
                </a:ext>
              </a:extLst>
            </xdr:cNvPr>
            <xdr:cNvSpPr txBox="1"/>
          </xdr:nvSpPr>
          <xdr:spPr>
            <a:xfrm>
              <a:off x="2669240" y="20486594"/>
              <a:ext cx="73914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𝐹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=4,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=7,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+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=9,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76C860CD-A0A8-A5CF-0BB3-DB7AC846F0E7}"/>
                </a:ext>
              </a:extLst>
            </xdr:cNvPr>
            <xdr:cNvSpPr txBox="1"/>
          </xdr:nvSpPr>
          <xdr:spPr>
            <a:xfrm>
              <a:off x="2669240" y="20486594"/>
              <a:ext cx="739144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𝐹𝑁_(𝑗𝑚=4,𝑇=1)=𝑀𝑀𝑆_(𝑗𝑚=4,𝑇=1)+(𝑀𝑀𝑆_(𝑗,𝑚=1,𝑇=1)×𝑆𝑆_(𝑚=1,𝑇=1) )+(𝑀𝑀𝑆_(𝑗,𝑚=7,𝑇=1)×𝑆𝑆_(𝑚=7,𝑇=1) )+(𝑀𝑀𝑆_(𝑗,𝑚=9,𝑇=1)×𝑆𝑆_(𝑚=9,𝑇=1)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129</xdr:row>
      <xdr:rowOff>136711</xdr:rowOff>
    </xdr:from>
    <xdr:ext cx="3517245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E3BF9-9CD8-98FA-5A3E-471EDE5AD2F3}"/>
                </a:ext>
              </a:extLst>
            </xdr:cNvPr>
            <xdr:cNvSpPr txBox="1"/>
          </xdr:nvSpPr>
          <xdr:spPr>
            <a:xfrm>
              <a:off x="2646829" y="32073476"/>
              <a:ext cx="351724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𝐹𝑟𝑎𝑐𝐺𝐴𝑆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𝑀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3A7E3BF9-9CD8-98FA-5A3E-471EDE5AD2F3}"/>
                </a:ext>
              </a:extLst>
            </xdr:cNvPr>
            <xdr:cNvSpPr txBox="1"/>
          </xdr:nvSpPr>
          <xdr:spPr>
            <a:xfrm>
              <a:off x="2646829" y="32073476"/>
              <a:ext cx="3517245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𝑁𝑇_(𝑗𝑚,𝑇=2)=𝑀𝑁_(𝑗𝑚,𝑇=1)×(1−𝐹𝑟𝑎𝑐𝐺𝐴𝑆𝑀_(𝑚,𝑇=1)−𝐸𝐹_(𝑚,𝑇=1)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282388</xdr:colOff>
      <xdr:row>173</xdr:row>
      <xdr:rowOff>125506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B02DDB-690F-6EFC-CAEB-1A22900114BD}"/>
                </a:ext>
              </a:extLst>
            </xdr:cNvPr>
            <xdr:cNvSpPr txBox="1"/>
          </xdr:nvSpPr>
          <xdr:spPr>
            <a:xfrm>
              <a:off x="2646829" y="42909565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36B02DDB-690F-6EFC-CAEB-1A22900114BD}"/>
                </a:ext>
              </a:extLst>
            </xdr:cNvPr>
            <xdr:cNvSpPr txBox="1"/>
          </xdr:nvSpPr>
          <xdr:spPr>
            <a:xfrm>
              <a:off x="2646829" y="42909565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2240</xdr:colOff>
      <xdr:row>234</xdr:row>
      <xdr:rowOff>69476</xdr:rowOff>
    </xdr:from>
    <xdr:ext cx="323678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4ABA84A-1346-D30E-4497-55E3C0F69101}"/>
                </a:ext>
              </a:extLst>
            </xdr:cNvPr>
            <xdr:cNvSpPr txBox="1"/>
          </xdr:nvSpPr>
          <xdr:spPr>
            <a:xfrm>
              <a:off x="2680446" y="60357123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94ABA84A-1346-D30E-4497-55E3C0F69101}"/>
                </a:ext>
              </a:extLst>
            </xdr:cNvPr>
            <xdr:cNvSpPr txBox="1"/>
          </xdr:nvSpPr>
          <xdr:spPr>
            <a:xfrm>
              <a:off x="2680446" y="60357123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57150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B5738F73-5B01-5D6D-CCAA-34F364D0FCCE}"/>
                </a:ext>
              </a:extLst>
            </xdr:cNvPr>
            <xdr:cNvSpPr txBox="1"/>
          </xdr:nvSpPr>
          <xdr:spPr>
            <a:xfrm>
              <a:off x="2671762" y="1924050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96</xdr:row>
      <xdr:rowOff>142875</xdr:rowOff>
    </xdr:from>
    <xdr:ext cx="2797753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1BBA152-5DCE-A88E-8CAE-A189849ED403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13</xdr:col>
      <xdr:colOff>4762</xdr:colOff>
      <xdr:row>96</xdr:row>
      <xdr:rowOff>142875</xdr:rowOff>
    </xdr:from>
    <xdr:ext cx="2797753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217D665-2149-42DA-B114-442B1624E1C7}"/>
                </a:ext>
              </a:extLst>
            </xdr:cNvPr>
            <xdr:cNvSpPr txBox="1"/>
          </xdr:nvSpPr>
          <xdr:spPr>
            <a:xfrm>
              <a:off x="2681287" y="26527125"/>
              <a:ext cx="2797753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𝐸_(𝑁2𝑂,𝑎𝑑)=𝑀𝑀𝑆_𝐴𝑇𝑀𝑂𝑆×𝐸𝐹_𝑁2𝑂×𝐶_𝑁2𝑂×10^(−3)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</xdr:colOff>
      <xdr:row>7</xdr:row>
      <xdr:rowOff>171450</xdr:rowOff>
    </xdr:from>
    <xdr:ext cx="362105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𝐹𝑟𝑎𝑐𝑊𝐸𝑇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𝐹𝑟𝑎𝑐𝐿𝐸𝐴𝐶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𝐻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𝑀𝑆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83A2DC7A-E8E4-E8E7-4961-8E07C662A470}"/>
                </a:ext>
              </a:extLst>
            </xdr:cNvPr>
            <xdr:cNvSpPr txBox="1"/>
          </xdr:nvSpPr>
          <xdr:spPr>
            <a:xfrm>
              <a:off x="2681287" y="2038350"/>
              <a:ext cx="362105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𝑀𝑁𝐿𝑒𝑎𝑐ℎ_(𝑗𝑚=5)=𝑀𝑁_(𝑗𝑚=5,𝑇=1)×𝐹𝑟𝑎𝑐𝑊𝐸𝑇×𝐹𝑟𝑎𝑐𝐿𝐸𝐴𝐶𝐻_𝑀𝑆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34</xdr:row>
      <xdr:rowOff>123825</xdr:rowOff>
    </xdr:from>
    <xdr:ext cx="3207865" cy="18633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𝑀𝑁𝐿𝑒𝑎𝑐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𝑙𝑒𝑎𝑐h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1DFF59A9-9828-6685-931C-FADA6B557BAB}"/>
                </a:ext>
              </a:extLst>
            </xdr:cNvPr>
            <xdr:cNvSpPr txBox="1"/>
          </xdr:nvSpPr>
          <xdr:spPr>
            <a:xfrm>
              <a:off x="2671762" y="8677275"/>
              <a:ext cx="3207865" cy="18633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𝐸_(𝑁2𝑂,𝑙𝑒𝑎𝑐ℎ)=𝑀𝑁𝐿𝑒𝑎𝑐ℎ_(𝑗𝑚=5)×𝐸𝐹_𝑙𝑒𝑎𝑐ℎ×𝐶_𝑁2𝑂×10^(−3)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47625</xdr:rowOff>
    </xdr:from>
    <xdr:ext cx="5621219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635B234-5189-FB55-0706-EBE0B687057C}"/>
                </a:ext>
              </a:extLst>
            </xdr:cNvPr>
            <xdr:cNvSpPr txBox="1"/>
          </xdr:nvSpPr>
          <xdr:spPr>
            <a:xfrm>
              <a:off x="2690812" y="1914525"/>
              <a:ext cx="5621219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𝑀𝑁𝑆𝑜𝑖𝑙_𝑠𝑐𝑜𝑝𝑒1=∑8_𝑗▒∑8_𝑚▒(𝑀𝑁_(𝑗𝑚𝑇=2)×(1−𝐸𝐹_(𝑚𝑇=2)−𝐹𝑟𝑎𝑐𝐺𝐴𝑆𝑀_(𝑚𝑇=2) )−𝑀𝑁𝐿𝑒𝑎𝑐ℎ_(𝑗𝑚=5) 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300037</xdr:colOff>
      <xdr:row>142</xdr:row>
      <xdr:rowOff>19050</xdr:rowOff>
    </xdr:from>
    <xdr:ext cx="598452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946C70-B61B-491F-E52A-82BBDF72FC76}"/>
                </a:ext>
              </a:extLst>
            </xdr:cNvPr>
            <xdr:cNvSpPr txBox="1"/>
          </xdr:nvSpPr>
          <xdr:spPr>
            <a:xfrm>
              <a:off x="2662237" y="35318700"/>
              <a:ext cx="59845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d>
                              <m:d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𝑁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𝑗𝑚𝑇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=2</m:t>
                                    </m:r>
                                  </m:sub>
                                </m:s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×</m:t>
                                </m:r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1−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−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</m:t>
                                        </m:r>
                                      </m:sub>
                                    </m:sSub>
                                  </m:e>
                                </m:d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𝑀𝑁𝐿𝑒𝑎𝑐</m:t>
                                </m:r>
                                <m:sSub>
                                  <m:sSub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h</m:t>
                                    </m:r>
                                  </m:e>
                                  <m: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𝑗𝑚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=5</m:t>
                                    </m:r>
                                  </m:sub>
                                </m:sSub>
                              </m:e>
                            </m:d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2946C70-B61B-491F-E52A-82BBDF72FC76}"/>
                </a:ext>
              </a:extLst>
            </xdr:cNvPr>
            <xdr:cNvSpPr txBox="1"/>
          </xdr:nvSpPr>
          <xdr:spPr>
            <a:xfrm>
              <a:off x="2662237" y="35318700"/>
              <a:ext cx="598452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𝑀𝑁𝑆𝑜𝑖𝑙_𝑠𝑐𝑜𝑝𝑒3=∑8_𝑗▒∑8_𝑚▒(𝑀𝑁_(𝑗𝑚𝑇=2)×(1−𝐸𝐹_(𝑚𝑇=2)−𝐹𝑟𝑎𝑐𝐺𝐴𝑆𝑀_(𝑚𝑇=2) )−𝑀𝑁𝐿𝑒𝑎𝑐ℎ_(𝑗𝑚=5) 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Dairy_WIP_v05.xlsx" TargetMode="External"/><Relationship Id="rId1" Type="http://schemas.openxmlformats.org/officeDocument/2006/relationships/externalLinkPath" Target="4_1_ManureManagement_Dairy_WIP_v0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htdocs\zneagcrc\GAF-VEERG-Functions\Excel\4_1_ManureManagement_Feedlot_WIP_v04.xlsx" TargetMode="External"/><Relationship Id="rId1" Type="http://schemas.openxmlformats.org/officeDocument/2006/relationships/externalLinkPath" Target="4_1_ManureManagement_Feedlot_WIP_v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Dairy"/>
      <sheetName val="4.3.1.1-2 Methane"/>
      <sheetName val="4.3.1.3-4 Direct N20"/>
      <sheetName val="4.3.1.5 Atmos deposition"/>
      <sheetName val="4.3.1.6-7 Leaching and runoff"/>
      <sheetName val="4.3.1.8 Manure applied to soils"/>
      <sheetName val="4.3.1.9 Soil direct N2O"/>
      <sheetName val="4.3.1.10-11 Soil Atmos Dep"/>
      <sheetName val="4.3.1.12-13 Soil leach runoff"/>
      <sheetName val="Constants - Dairy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87">
          <cell r="F187" t="str">
            <v>Pasture</v>
          </cell>
        </row>
        <row r="188">
          <cell r="F188" t="str">
            <v>Crop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Results"/>
      <sheetName val="Input - Site"/>
      <sheetName val="Input - Feedlot"/>
      <sheetName val="4.1.1.1-2 Methane"/>
      <sheetName val="4.1.1.3-4 Direct N20"/>
      <sheetName val="4.1.1.5-6 Atmos Deposition"/>
      <sheetName val="4.1.1.9 Manure applied to soils"/>
      <sheetName val="Constants - Feedlot"/>
      <sheetName val="Constants - Common"/>
      <sheetName val="Constants - Livestock"/>
      <sheetName val="Acknowledgements"/>
      <sheetName val="Tab templ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EF5DA-4392-40D7-9550-EA401E64C221}" name="Table_SourceData_Swine_VolatileSolids" displayName="Table_SourceData_Swine_VolatileSolids" ref="D67:E71" totalsRowShown="0">
  <autoFilter ref="D67:E71" xr:uid="{9DEEF5DA-4392-40D7-9550-EA401E64C221}"/>
  <tableColumns count="2">
    <tableColumn id="1" xr3:uid="{A1AC17BE-6F0C-4EA3-88D1-F15B8A0AA6A1}" name="Class">
      <calculatedColumnFormula array="1">Common_InputFunctions.Utility_DisplayArrayInTable(SourceData_Swine.SourceData_Swine_VolatileSolids_Data(), Table_SourceData_Swine_VolatileSolids[[#Headers],[Class]], 0)</calculatedColumnFormula>
    </tableColumn>
    <tableColumn id="2" xr3:uid="{539845C7-E401-474C-86C5-B676BBD1B040}" name="VSj" dataDxfId="73" dataCellStyle="Content normal">
      <calculatedColumnFormula array="1">Common_InputFunctions.Utility_DisplayArrayInTable(SourceData_Swine.SourceData_Swine_VolatileSolids_Data(), Table_SourceData_Swine_VolatileSolids[[#Headers],[Class]],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BFD9E79-6224-4B04-B002-84DC46086DAC}" name="Table_SourceData_Swine_MMSMCF" displayName="Table_SourceData_Swine_MMSMCF" ref="D28:M35" totalsRowShown="0">
  <autoFilter ref="D28:M35" xr:uid="{8BFD9E79-6224-4B04-B002-84DC46086DAC}"/>
  <tableColumns count="10">
    <tableColumn id="1" xr3:uid="{948C8C81-0F25-4404-945E-CD16BE93BFBF}" name="MMS">
      <calculatedColumnFormula array="1">Common_InputFunctions.Utility_DisplayArrayInTable(SourceData_Swine.SourceData_Swine_MMS_MCFs_Data(),Table_SourceData_Swine_MMSMCF[[#Headers],[MMS]],0)</calculatedColumnFormula>
    </tableColumn>
    <tableColumn id="2" xr3:uid="{CC6F19AB-67BC-413A-9108-447CB795CC02}" name="NSW" dataDxfId="72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3" xr3:uid="{EFE4C41A-233A-4E7D-912F-E949B7110A0A}" name="ACT" dataDxfId="71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4" xr3:uid="{90D72B45-949A-49D4-8B76-EF78C1A193C9}" name="QLD" dataDxfId="70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5" xr3:uid="{D7D725B2-0CF9-4EB2-A5C1-09EDA961537A}" name="NT" dataDxfId="69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6" xr3:uid="{2934DF60-275E-438D-A730-DD780A8931E8}" name="SA" dataDxfId="68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7" xr3:uid="{29BE3DB6-3057-4DB9-9C8B-816C15103256}" name="TAS" dataDxfId="67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8" xr3:uid="{FF50759B-240C-4451-AB1C-3143673818F2}" name="VIC" dataDxfId="66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9" xr3:uid="{F164F2B6-4BA2-43CA-8A29-E52D5447FFC0}" name="WA" dataDxfId="65" dataCellStyle="Content normal">
      <calculatedColumnFormula array="1">Common_InputFunctions.Utility_DisplayArrayInTable(SourceData_Swine.SourceData_Swine_MMS_MCFs_Data(),Table_SourceData_Swine_MMSMCF[[#Headers],[MMS]],0)</calculatedColumnFormula>
    </tableColumn>
    <tableColumn id="10" xr3:uid="{F171BCD0-98D2-4E5E-AC27-147712A91756}" name="NIR definition" dataDxfId="64" dataCellStyle="Content normal">
      <calculatedColumnFormula array="1">Common_InputFunctions.Utility_DisplayArrayInTable(SourceData_Swine.SourceData_Swine_MMS_MCFs_Data(),Table_SourceData_Swine_MMSMCF[[#Headers],[MMS]],0)</calculatedColumnFormula>
    </tableColumn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2F7033B-606B-4A24-9223-A30737FDC1FE}" name="Table_SourceData_SwineMMS" displayName="Table_SourceData_SwineMMS" ref="D40:E47" totalsRowShown="0">
  <autoFilter ref="D40:E47" xr:uid="{42F7033B-606B-4A24-9223-A30737FDC1FE}"/>
  <tableColumns count="2">
    <tableColumn id="1" xr3:uid="{EE2AFE6D-8BE2-4C1D-92EA-668A71924A96}" name="MMS"/>
    <tableColumn id="2" xr3:uid="{58174C83-0911-44A2-9C27-90139AD99654}" name="Symbol and MMS"/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79C074C-6E98-47B5-B4E5-F8A1F12104F2}" name="Table_SourceData_SwineVSL" displayName="Table_SourceData_SwineVSL" ref="D53:E60" totalsRowShown="0">
  <autoFilter ref="D53:E60" xr:uid="{079C074C-6E98-47B5-B4E5-F8A1F12104F2}"/>
  <tableColumns count="2">
    <tableColumn id="1" xr3:uid="{76B78063-3D59-41B8-AAF7-BECA81797EB1}" name="MMS"/>
    <tableColumn id="2" xr3:uid="{80304E2C-AE1E-4612-8DE0-4A55D1D32766}" name="VSL"/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171229DD-CBF4-4099-8199-8A23112B275F}" name="Table_SourceData_SwineMMSExcSolidStorage" displayName="Table_SourceData_SwineMMSExcSolidStorage" ref="G40:H45" totalsRowShown="0">
  <autoFilter ref="G40:H45" xr:uid="{171229DD-CBF4-4099-8199-8A23112B275F}"/>
  <tableColumns count="2">
    <tableColumn id="1" xr3:uid="{C0D13436-3E27-4F37-9CCA-2D00D7C01FD4}" name="MMS"/>
    <tableColumn id="2" xr3:uid="{418916E8-5946-4F0D-8939-8D73423F7FC0}" name="Symbol and MMS"/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363E0626-9932-4FCA-A861-C95F26E527BC}" name="Table_SourceData_SwineExclDirectApplicationMMS" displayName="Table_SourceData_SwineExclDirectApplicationMMS" ref="K40:L46" totalsRowShown="0">
  <autoFilter ref="K40:L46" xr:uid="{363E0626-9932-4FCA-A861-C95F26E527BC}"/>
  <tableColumns count="2">
    <tableColumn id="1" xr3:uid="{1C3E7665-A94B-47E1-AED9-2A651F0F5EBC}" name="MMS"/>
    <tableColumn id="2" xr3:uid="{DB6F1473-C896-4813-B84D-C2E7CFF76FAF}" name="Symbol and MMS"/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A6BE3FFD-EB90-45EB-8756-16A72E0C6869}" name="Table_SourceData_Swine_ProductionSystems" displayName="Table_SourceData_Swine_ProductionSystems" ref="G53:G56" totalsRowShown="0">
  <autoFilter ref="G53:G56" xr:uid="{A6BE3FFD-EB90-45EB-8756-16A72E0C6869}"/>
  <tableColumns count="1">
    <tableColumn id="1" xr3:uid="{6D0FC1C5-CBBC-40AA-BD0A-8ED9E6F795A5}" name="Production system">
      <calculatedColumnFormula array="1">Common_InputFunctions.Utility_DisplayArrayInTable(SourceData_Swine.SourceData_Swine_ProductionSystems_Data(), Table_SourceData_Swine_ProductionSystems[[#Headers],[Production system]],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1D86DCB-D80D-4593-96F3-A897FC93073F}" name="Table_SourceData_Swine_NitrogenInWaste" displayName="Table_SourceData_Swine_NitrogenInWaste" ref="D89:G93" totalsRowShown="0" dataDxfId="63" dataCellStyle="Content normal">
  <autoFilter ref="D89:G93" xr:uid="{61D86DCB-D80D-4593-96F3-A897FC93073F}"/>
  <tableColumns count="4">
    <tableColumn id="1" xr3:uid="{1C4094D2-E798-4EA4-8FBC-50FBA0E527D4}" name="Class" dataDxfId="62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  <tableColumn id="2" xr3:uid="{0BD1910A-3F15-4C45-9A95-D2ADDB197E82}" name="NWj" dataDxfId="61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  <tableColumn id="3" xr3:uid="{06D949C0-1431-4E8B-9FED-E08C8D4D7E61}" name="NWj Daily" dataDxfId="60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  <tableColumn id="4" xr3:uid="{5C9C6F5B-830D-4A53-BEF6-FDE389E9F8CC}" name="Class name" dataDxfId="59" dataCellStyle="Content normal">
      <calculatedColumnFormula array="1">Common_InputFunctions.Utility_DisplayArrayInTable(SourceData_Swine.SourceData_Swine_NitrogenInWaste_Data(), Table_SourceData_Swine_NitrogenInWaste[[#Headers],[Class]], 0)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34928EB-73E5-43B2-830B-089F30DA4EF0}" name="Table_SourceData_Swine_FeedIntake" displayName="Table_SourceData_Swine_FeedIntake" ref="D78:E82" totalsRowShown="0" dataDxfId="58" dataCellStyle="Content normal">
  <autoFilter ref="D78:E82" xr:uid="{E34928EB-73E5-43B2-830B-089F30DA4EF0}"/>
  <tableColumns count="2">
    <tableColumn id="1" xr3:uid="{CAC8EB28-568F-4E9F-8E36-EBDFF74A58D3}" name="Class" dataDxfId="57" dataCellStyle="Content normal">
      <calculatedColumnFormula array="1">Common_InputFunctions.Utility_DisplayArrayInTable(SourceData_Swine.SourceData_Swine_FeedIntake_Data(), Table_SourceData_Swine_FeedIntake[[#Headers],[Class]], 0)</calculatedColumnFormula>
    </tableColumn>
    <tableColumn id="2" xr3:uid="{2CE09F11-701B-40A5-9E2D-B745C440FD8B}" name="Ij" dataDxfId="56" dataCellStyle="Content normal">
      <calculatedColumnFormula array="1">Common_InputFunctions.Utility_DisplayArrayInTable(SourceData_Swine.SourceData_Swine_FeedIntake_Data(), Table_SourceData_Swine_FeedIntake[[#Headers],[Class]], 0)</calculatedColumnFormula>
    </tableColumn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1184525-440F-427A-8F5F-F24C51E83194}" name="Table_SourceData_Swine_FracGASM" displayName="Table_SourceData_Swine_FracGASM" ref="D99:F105" totalsRowShown="0">
  <autoFilter ref="D99:F105" xr:uid="{11184525-440F-427A-8F5F-F24C51E83194}">
    <filterColumn colId="0" hiddenButton="1"/>
    <filterColumn colId="1" hiddenButton="1"/>
    <filterColumn colId="2" hiddenButton="1"/>
  </autoFilter>
  <tableColumns count="3">
    <tableColumn id="1" xr3:uid="{28F331F7-8BDD-4FF1-BD1F-E5995BC2EE5E}" name="MMSm">
      <calculatedColumnFormula array="1">Common_InputFunctions.Utility_DisplayArrayInTable(SourceData_Swine.SourceData_Swine_FractionNVolatilised_Data(), Table_SourceData_Swine_FracGASM[[#Headers],[MMSm]],0)</calculatedColumnFormula>
    </tableColumn>
    <tableColumn id="2" xr3:uid="{3ED5AE40-0DB0-4E45-8562-5381DA5DDC2A}" name="FracGASMmT">
      <calculatedColumnFormula array="1">Common_InputFunctions.Utility_DisplayArrayInTable(SourceData_Swine.SourceData_Swine_FractionNVolatilised_Data(), Table_SourceData_Swine_FracGASM[[#Headers],[MMSm]],0)</calculatedColumnFormula>
    </tableColumn>
    <tableColumn id="3" xr3:uid="{A6C79A8E-6FC5-410F-9934-8E7F14F11977}" name="NIR reference">
      <calculatedColumnFormula array="1">Common_InputFunctions.Utility_DisplayArrayInTable(SourceData_Swine.SourceData_Swine_FractionNVolatilised_Data(), Table_SourceData_Swine_FracGASM[[#Headers],[MMSm]],0)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1333872B-E46C-4DC7-8E2D-1F3D704794C8}" name="Table_SourceData_Swine_FracGASM28" displayName="Table_SourceData_Swine_FracGASM28" ref="D111:F117" totalsRowShown="0" dataDxfId="55" dataCellStyle="Content normal">
  <autoFilter ref="D111:F117" xr:uid="{1333872B-E46C-4DC7-8E2D-1F3D704794C8}"/>
  <tableColumns count="3">
    <tableColumn id="1" xr3:uid="{6DD7EF85-D333-4B03-BD58-78D84BEEC9B4}" name="MMSm" dataDxfId="54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  <tableColumn id="2" xr3:uid="{F61F4819-1794-4A31-843F-5F15C9F3C95F}" name="EFmT" dataDxfId="53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  <tableColumn id="3" xr3:uid="{B97B38DF-3EA9-445C-BD0D-2CBB24B993D8}" name="NIR reference" dataDxfId="52" dataCellStyle="Content normal">
      <calculatedColumnFormula array="1">Common_InputFunctions.Utility_DisplayArrayInTable(SourceData_Swine.SourceData_Swine_NitrousOxideEFs_Data(), Table_SourceData_Swine_FracGASM28[[#Headers],[MMSm]],0)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1DC3FD95-46BB-428C-8DAB-6CC542C27F2F}" name="Table_SourceData_Swine_CropProdSystems" displayName="Table_SourceData_Swine_CropProdSystems" ref="D8:D10" totalsRowShown="0">
  <autoFilter ref="D8:D10" xr:uid="{1DC3FD95-46BB-428C-8DAB-6CC542C27F2F}"/>
  <tableColumns count="1">
    <tableColumn id="1" xr3:uid="{B933B64A-0B6A-4006-B26F-51E5E064CB09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AA6B756B-6FF9-48AC-BC54-06A8937EFD12}" name="Table_SourceData_Swine_IrrigationMethods" displayName="Table_SourceData_Swine_IrrigationMethods" ref="G8:G13" totalsRowShown="0">
  <autoFilter ref="G8:G13" xr:uid="{AA6B756B-6FF9-48AC-BC54-06A8937EFD12}"/>
  <tableColumns count="1">
    <tableColumn id="1" xr3:uid="{85D1C6B9-1B3E-46A7-9944-B5E2866ADFB6}" name="Irrigation method"/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14E434-889D-47DE-ACD8-BE2A202486E8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1BD52E55-D470-4E67-B411-FE7F21B4A715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29FBE776-2EA2-4B6A-AC4A-C6BBE34D4120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FEFD51E3-66D0-435B-BD24-67520342A277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55AF0A-9700-41F1-B3C9-1ED235350471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7AACF761-606D-4089-BB17-74378191C3F0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2DD734A-FB69-4DB5-952D-2AD6D7A89E23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FC90A6A4-699A-41A3-BFAC-BB147909438D}" name="Gas">
      <calculatedColumnFormula array="1">Common_InputFunctions.Utility_DisplayArrayInTable(Common_SourceData.Common_SourceData_GWP_Data(), Table_GWPData[[#Headers],[Gas]], 0)</calculatedColumnFormula>
    </tableColumn>
    <tableColumn id="2" xr3:uid="{2CE36D17-19E0-4EEB-8214-07A18E9A7F3C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15AD6FC-302D-427F-A781-E5828A7A65E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4C6DCD0-6078-4EF7-B1BB-C0D3612B09C7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470EF58C-4CB9-4D0C-9992-015D2D3CA871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CAF92784-602B-40C5-B453-8572B81D441F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0897094-15F9-44CD-90FE-13C9ED251957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D7CF9F46-8C4B-40D3-8CF5-E5009A83EEE9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73E098-F5E4-417C-A9F6-BFF34B1FE162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8936C808-11CC-423D-A499-3035F684A245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9D023567-C6B2-4516-B815-FFF4936E21AB}" name="MAT" totalsRowDxfId="5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6EBFE4AE-75FA-4641-A4D8-E3F7C8FC3680}" name="MAP" totalsRowDxfId="5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D75DE766-1ED4-4286-8453-81FD486A9E67}" name="Frost days per year" totalsRowDxfId="4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0AC2CA51-AB88-4F72-A696-B9E0188C9FEA}" name="Elevation" totalsRowDxfId="4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D9F2F6F9-1629-4B3D-98BE-FD8ADE2F956F}" name="MAP:PET" totalsRowDxfId="4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317BAE18-3FFE-43C4-AF7E-C6E874B45E18}" name="Min temp" totalsRowDxfId="4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9460DC64-05B3-4084-8F3F-D00565895293}" name="Max temp" totalsRowDxfId="4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E98CF4A7-C810-474B-8823-2E16A44A2ED6}" name="Min rainfall" totalsRowDxfId="4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1D929ECC-61A9-46B6-9049-3F8A22CE1431}" name="Max rainfall" totalsRowDxfId="4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53E7B95D-FF52-428D-A614-859A01065E4E}" name="Min frost days" totalsRowDxfId="4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915CC739-4D0A-45CF-9541-78A464970DEA}" name="Max frost days" totalsRowDxfId="4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62BE1DA6-3AEE-4CFB-91CC-CBBB020D9734}" name="Min elevation" totalsRowDxfId="4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937C7D03-A642-49B6-81E2-894272504EDE}" name="Max elevation" totalsRowDxfId="3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82689D1B-26D8-4212-8EFA-58E5218DAD23}" name="Min MAP:PET" totalsRowDxfId="3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26145D94-0E62-4C99-AD96-F8206FC4D9FA}" name="Max MAP:PET" totalsRowDxfId="3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7E1C34-0FD0-40DE-9B42-87B2B40FD1D0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A2A21D1-D21A-4288-AA27-6201BCE7270E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259B53B9-EDAA-4996-8EAF-5810B99ACDB7}" name="Wet or Dry Zone" totalsRowDxfId="36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1F8E9F8-C781-423F-AA40-DAD57D45919D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F3FB998F-5E29-4FFF-871F-2097D6D4AF0D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EDF51FDA-99C3-4A2C-9E9F-5526EFE4C336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2F1F32E2-2C0F-4F66-9AF3-409D5BB4907B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DC7A3B3C-B9C4-4210-89CB-1E016A7A709E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75861C-0A17-4AAE-A53F-2A755616699E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4AD7AC1D-F3A2-4192-B9FE-E1BDDE484B1F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EE5A63EE-DF52-4770-904A-9A40C7F56ACC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AB659730-FBF6-426A-9650-6024CA2A6DC7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A69016EC-BD8C-42D8-B078-A560C7E151FA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D4A285F-3571-447E-B6B3-9BF7947DC69F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4E215647-CEF8-437C-AC2A-47BB6C9F0F5E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9A7A4C91-E116-4B13-9CE1-55F0563268CB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A62EB1C-5F71-4A9D-AC91-F62515AAABB9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E6F280A7-E25E-46DD-B2F5-A46896C5A8FA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0A4D6A17-AB99-4163-9F24-9CB271B53EC9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F6125330-373F-429E-AF4E-AFA0D8B5EBD5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12FE205-9822-4622-8C50-79A1510F1946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C983B818-12CF-4DF3-AC3A-2F83225637C2}" name="FracWET" dataDxfId="35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ECE0720-1884-4633-BEF5-C686AF735D54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9CEC9435-12CC-4BE2-B5A3-5226E027534C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7D2CC188-168F-4D38-9F41-91E19FBF008B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2D9449B9-0867-4E9C-ABC8-96E02D16A083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B3649442-D3F6-4651-90E6-0DD808859B3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4A541780-B6AD-480A-AE02-62D2D9E38216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96F0352-C7B5-434C-85A8-32A1131DE35B}" name="Table_SourceData_FracWETIrrigation" displayName="Table_SourceData_FracWETIrrigation" ref="D142:E147" totalsRowShown="0">
  <autoFilter ref="D142:E147" xr:uid="{1F48CA34-50DE-46D5-B32A-BB3A1E818E37}">
    <filterColumn colId="0" hiddenButton="1"/>
    <filterColumn colId="1" hiddenButton="1"/>
  </autoFilter>
  <tableColumns count="2">
    <tableColumn id="1" xr3:uid="{7BA7974A-5274-4E8F-8EFE-BA3BF6A4009A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C54ECB28-6C1A-4E5F-B2BA-C42958055C76}" name="FracWET" dataDxfId="34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52AFED5-8651-436E-9D54-3CF47EBEE874}" name="Table_SourceData_EFPastureRangeAndPaddock" displayName="Table_SourceData_EFPastureRangeAndPaddock" ref="D206:E208" totalsRowShown="0">
  <autoFilter ref="D206:E208" xr:uid="{D5BE3F89-D70E-4C53-A71C-E756622DEF38}">
    <filterColumn colId="0" hiddenButton="1"/>
    <filterColumn colId="1" hiddenButton="1"/>
  </autoFilter>
  <tableColumns count="2">
    <tableColumn id="1" xr3:uid="{E92DBF51-6421-41F8-906B-7B99C0D5AE99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C6D83246-9414-4D37-8608-3D40F5820909}" name="EFPRP" dataDxfId="33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DF0C2B1-E800-46A6-8A21-BEF6C0BD31DC}" name="Table_SourceData_Common_MonthToSeason" displayName="Table_SourceData_Common_MonthToSeason" ref="D212:E224" totalsRowShown="0">
  <autoFilter ref="D212:E224" xr:uid="{97796C3A-D95E-4077-AA20-A8FE4145DAAD}">
    <filterColumn colId="0" hiddenButton="1"/>
    <filterColumn colId="1" hiddenButton="1"/>
  </autoFilter>
  <tableColumns count="2">
    <tableColumn id="1" xr3:uid="{72EF50FF-F00E-4F8E-BEEF-C29C5F5315EA}" name="Month">
      <calculatedColumnFormula array="1">Common_InputFunctions.Utility_DisplayArrayInTable(Common_SourceData.Common_SourceData_MonthsToSeasons_Data(), Table_SourceData_Common_MonthToSeason[[#Headers],[Month]], 0)</calculatedColumnFormula>
    </tableColumn>
    <tableColumn id="2" xr3:uid="{346692E2-8620-468E-AFA1-C904D973A838}" name="Season" dataDxfId="32" dataCellStyle="Content normal">
      <calculatedColumnFormula array="1">Common_InputFunctions.Utility_DisplayArrayInTable(Common_SourceData.Common_SourceData_MonthsToSeasons_Data(), Table_SourceData_Common_MonthToSeason[[#Headers],[Month]], 0)</calculatedColumnFormula>
    </tableColumn>
  </tableColumns>
  <tableStyleInfo name="Equation table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13" Type="http://schemas.openxmlformats.org/officeDocument/2006/relationships/table" Target="../tables/table26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12" Type="http://schemas.openxmlformats.org/officeDocument/2006/relationships/table" Target="../tables/table25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6" Type="http://schemas.openxmlformats.org/officeDocument/2006/relationships/table" Target="../tables/table19.xml"/><Relationship Id="rId11" Type="http://schemas.openxmlformats.org/officeDocument/2006/relationships/table" Target="../tables/table24.xml"/><Relationship Id="rId5" Type="http://schemas.openxmlformats.org/officeDocument/2006/relationships/table" Target="../tables/table18.xml"/><Relationship Id="rId15" Type="http://schemas.openxmlformats.org/officeDocument/2006/relationships/table" Target="../tables/table28.xml"/><Relationship Id="rId10" Type="http://schemas.openxmlformats.org/officeDocument/2006/relationships/table" Target="../tables/table23.xml"/><Relationship Id="rId4" Type="http://schemas.openxmlformats.org/officeDocument/2006/relationships/table" Target="../tables/table17.xml"/><Relationship Id="rId9" Type="http://schemas.openxmlformats.org/officeDocument/2006/relationships/table" Target="../tables/table22.xml"/><Relationship Id="rId14" Type="http://schemas.openxmlformats.org/officeDocument/2006/relationships/table" Target="../tables/table2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F27" sqref="F27"/>
    </sheetView>
  </sheetViews>
  <sheetFormatPr defaultRowHeight="15" x14ac:dyDescent="0.25"/>
  <cols>
    <col min="1" max="1" width="30.7109375" customWidth="1"/>
    <col min="2" max="3" width="2.7109375" customWidth="1"/>
    <col min="4" max="4" width="97.140625" customWidth="1"/>
    <col min="5" max="10" width="30.7109375" customWidth="1"/>
    <col min="11" max="11" width="7.42578125" customWidth="1"/>
    <col min="12" max="26" width="28.7109375" customWidth="1"/>
  </cols>
  <sheetData>
    <row r="1" spans="1:11" ht="30" customHeight="1" x14ac:dyDescent="0.35">
      <c r="A1" s="68" t="e" vm="1">
        <v>#VALUE!</v>
      </c>
      <c r="C1" s="116" t="s">
        <v>139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2"/>
      <c r="D3" s="22"/>
      <c r="E3" s="22"/>
      <c r="F3" s="22"/>
      <c r="G3" s="22"/>
      <c r="H3" s="22"/>
      <c r="I3" s="22"/>
      <c r="J3" s="22"/>
      <c r="K3" s="22"/>
    </row>
    <row r="4" spans="1:11" ht="20.100000000000001" customHeight="1" x14ac:dyDescent="0.25">
      <c r="A4" s="144" t="str">
        <f>HYPERLINK("#'Results'!A1", "Results")</f>
        <v>Results</v>
      </c>
      <c r="C4" s="22"/>
      <c r="D4" s="6" t="s">
        <v>5</v>
      </c>
      <c r="E4" s="24"/>
      <c r="F4" s="24"/>
      <c r="G4" s="24"/>
      <c r="H4" s="6"/>
      <c r="I4" s="6"/>
      <c r="J4" s="6"/>
      <c r="K4" s="25"/>
    </row>
    <row r="5" spans="1:11" ht="20.100000000000001" customHeight="1" x14ac:dyDescent="0.3">
      <c r="A5" s="16"/>
      <c r="C5" s="22"/>
      <c r="D5" s="26"/>
      <c r="E5" s="27"/>
      <c r="F5" s="27"/>
      <c r="G5" s="27"/>
      <c r="H5" s="24"/>
      <c r="I5" s="22"/>
      <c r="J5" s="22"/>
      <c r="K5" s="22"/>
    </row>
    <row r="6" spans="1:11" ht="20.100000000000001" customHeight="1" x14ac:dyDescent="0.25">
      <c r="A6" s="20" t="s">
        <v>3</v>
      </c>
      <c r="C6" s="22"/>
      <c r="D6" s="115" t="s">
        <v>105</v>
      </c>
      <c r="E6" s="115" t="s">
        <v>129</v>
      </c>
      <c r="F6" s="115" t="s">
        <v>130</v>
      </c>
      <c r="G6" s="115" t="s">
        <v>118</v>
      </c>
      <c r="H6" s="115" t="s">
        <v>131</v>
      </c>
      <c r="I6" s="115" t="s">
        <v>132</v>
      </c>
      <c r="J6" s="115" t="s">
        <v>119</v>
      </c>
      <c r="K6" s="22"/>
    </row>
    <row r="7" spans="1:11" ht="20.100000000000001" customHeight="1" x14ac:dyDescent="0.25">
      <c r="A7" s="17" t="str">
        <f>HYPERLINK("#'Input - Site'!A1", "Site")</f>
        <v>Site</v>
      </c>
      <c r="C7" s="22"/>
      <c r="D7" s="1" t="s">
        <v>403</v>
      </c>
      <c r="E7" s="112">
        <f>'4.5.1.1-2 Methane'!E280</f>
        <v>2.3840372404992007</v>
      </c>
      <c r="F7" s="112">
        <f>'4.5.1.1-2 Methane'!O280</f>
        <v>2.3840372404992007</v>
      </c>
      <c r="G7" s="54" t="s">
        <v>125</v>
      </c>
      <c r="H7" s="112">
        <f>'4.5.1.1-2 Methane'!E285</f>
        <v>66.753042733977622</v>
      </c>
      <c r="I7" s="112">
        <f>'4.5.1.1-2 Methane'!O285</f>
        <v>66.753042733977622</v>
      </c>
      <c r="J7" s="54" t="s">
        <v>127</v>
      </c>
      <c r="K7" s="22"/>
    </row>
    <row r="8" spans="1:11" ht="20.100000000000001" customHeight="1" x14ac:dyDescent="0.25">
      <c r="A8" s="17" t="str">
        <f>HYPERLINK("#'Input - Swine'!A1", "Swine")</f>
        <v>Swine</v>
      </c>
      <c r="C8" s="22"/>
      <c r="D8" s="1" t="s">
        <v>404</v>
      </c>
      <c r="E8" s="112">
        <f>'4.5.1.3-4 Direct N20'!E274</f>
        <v>7.4343140661428567E-2</v>
      </c>
      <c r="F8" s="112">
        <f>'4.5.1.3-4 Direct N20'!O274</f>
        <v>7.4343140661428567E-2</v>
      </c>
      <c r="G8" s="54" t="s">
        <v>136</v>
      </c>
      <c r="H8" s="112">
        <f>'4.5.1.3-4 Direct N20'!E279</f>
        <v>19.700932275278571</v>
      </c>
      <c r="I8" s="112">
        <f>'4.5.1.3-4 Direct N20'!O279</f>
        <v>19.700932275278571</v>
      </c>
      <c r="J8" s="54" t="s">
        <v>127</v>
      </c>
      <c r="K8" s="22"/>
    </row>
    <row r="9" spans="1:11" ht="20.100000000000001" customHeight="1" x14ac:dyDescent="0.25">
      <c r="A9" s="17"/>
      <c r="C9" s="22"/>
      <c r="D9" s="1" t="s">
        <v>405</v>
      </c>
      <c r="E9" s="112">
        <f>'4.5.1.5-6 Atmos Dep'!E109</f>
        <v>2.4944401836750004E-2</v>
      </c>
      <c r="F9" s="112">
        <f>'4.5.1.5-6 Atmos Dep'!O109</f>
        <v>2.4944401836750004E-2</v>
      </c>
      <c r="G9" s="54" t="s">
        <v>136</v>
      </c>
      <c r="H9" s="112">
        <f>'4.5.1.5-6 Atmos Dep'!E114</f>
        <v>6.6102664867387508</v>
      </c>
      <c r="I9" s="112">
        <f>'4.5.1.5-6 Atmos Dep'!O114</f>
        <v>6.6102664867387508</v>
      </c>
      <c r="J9" s="54" t="s">
        <v>127</v>
      </c>
      <c r="K9" s="22"/>
    </row>
    <row r="10" spans="1:11" ht="20.100000000000001" customHeight="1" x14ac:dyDescent="0.25">
      <c r="A10" s="19" t="s">
        <v>76</v>
      </c>
      <c r="C10" s="22"/>
      <c r="D10" s="1" t="s">
        <v>335</v>
      </c>
      <c r="E10" s="112">
        <f>'4.5.1.7-8 Leaching and runoff'!$E$36</f>
        <v>0</v>
      </c>
      <c r="F10" s="112">
        <f>'4.5.1.7-8 Leaching and runoff'!$N$36</f>
        <v>0</v>
      </c>
      <c r="G10" s="54" t="s">
        <v>136</v>
      </c>
      <c r="H10" s="112">
        <f>'4.5.1.7-8 Leaching and runoff'!E54</f>
        <v>6.9098792399999998E-2</v>
      </c>
      <c r="I10" s="112">
        <f>'4.5.1.7-8 Leaching and runoff'!N54</f>
        <v>6.9098792399999998E-2</v>
      </c>
      <c r="J10" s="54" t="s">
        <v>127</v>
      </c>
      <c r="K10" s="22"/>
    </row>
    <row r="11" spans="1:11" ht="20.100000000000001" customHeight="1" x14ac:dyDescent="0.3">
      <c r="A11" s="17" t="str">
        <f>HYPERLINK("#'4.5.1.1-2 Methane'!A1", "4.5.1.1-2 Methane")</f>
        <v>4.5.1.1-2 Methane</v>
      </c>
      <c r="C11" s="22"/>
      <c r="D11" s="29" t="s">
        <v>117</v>
      </c>
      <c r="E11" s="23"/>
      <c r="F11" s="23"/>
      <c r="G11" s="29"/>
      <c r="H11" s="114">
        <f>SUM(H7:H10)</f>
        <v>93.133340288394947</v>
      </c>
      <c r="I11" s="114">
        <f>SUM(I7:I10)</f>
        <v>93.133340288394947</v>
      </c>
      <c r="J11" s="105" t="s">
        <v>127</v>
      </c>
      <c r="K11" s="22"/>
    </row>
    <row r="12" spans="1:11" ht="20.100000000000001" customHeight="1" x14ac:dyDescent="0.25">
      <c r="A12" s="17" t="str">
        <f>HYPERLINK("#'4.5.1.3-4 Direct N20'!A1", "4.5.1.3-4 Direct N2O")</f>
        <v>4.5.1.3-4 Direct N2O</v>
      </c>
      <c r="C12" s="22"/>
      <c r="D12" s="1"/>
      <c r="E12" s="1"/>
      <c r="F12" s="1"/>
      <c r="G12" s="24"/>
      <c r="H12" s="22"/>
      <c r="I12" s="1"/>
      <c r="J12" s="1"/>
      <c r="K12" s="22"/>
    </row>
    <row r="13" spans="1:11" ht="20.100000000000001" customHeight="1" x14ac:dyDescent="0.25">
      <c r="A13" s="17" t="str">
        <f>HYPERLINK("#'4.5.1.5-6 Atmos Dep'!A1", "4.5.1.5-6 Soil atm. deposition")</f>
        <v>4.5.1.5-6 Soil atm. deposition</v>
      </c>
      <c r="C13" s="22"/>
      <c r="D13" s="106" t="s">
        <v>389</v>
      </c>
      <c r="E13" s="1"/>
      <c r="F13" s="1"/>
      <c r="G13" s="1"/>
      <c r="H13" s="24"/>
      <c r="I13" s="1"/>
      <c r="J13" s="22"/>
      <c r="K13" s="22"/>
    </row>
    <row r="14" spans="1:11" ht="20.100000000000001" customHeight="1" x14ac:dyDescent="0.25">
      <c r="A14" s="17" t="str">
        <f>HYPERLINK("#'4.5.1.7-8 Leaching and runoff'!A1", "4.5.1.7-8 Leaching &amp; runoff")</f>
        <v>4.5.1.7-8 Leaching &amp; runoff</v>
      </c>
      <c r="C14" s="22"/>
      <c r="D14" s="140" t="s">
        <v>390</v>
      </c>
      <c r="E14" s="1"/>
      <c r="F14" s="1"/>
      <c r="G14" s="1"/>
      <c r="H14" s="1"/>
      <c r="I14" s="1"/>
      <c r="J14" s="22"/>
      <c r="K14" s="22"/>
    </row>
    <row r="15" spans="1:11" ht="20.100000000000001" customHeight="1" x14ac:dyDescent="0.25">
      <c r="A15" s="17" t="str">
        <f>HYPERLINK("#'4.5.1.9 Manure applied to soils'!A1", "4.5.1.9 Manure applied to soils")</f>
        <v>4.5.1.9 Manure applied to soils</v>
      </c>
      <c r="C15" s="22"/>
      <c r="D15" s="106"/>
      <c r="E15" s="1"/>
      <c r="F15" s="1"/>
      <c r="G15" s="1"/>
      <c r="H15" s="1"/>
      <c r="I15" s="1"/>
      <c r="J15" s="22"/>
      <c r="K15" s="22"/>
    </row>
    <row r="16" spans="1:11" ht="20.100000000000001" customHeight="1" x14ac:dyDescent="0.25">
      <c r="C16" s="22"/>
      <c r="D16" s="115" t="s">
        <v>391</v>
      </c>
      <c r="E16" s="115" t="s">
        <v>392</v>
      </c>
      <c r="F16" s="115" t="s">
        <v>393</v>
      </c>
      <c r="G16" s="115" t="s">
        <v>394</v>
      </c>
      <c r="H16" s="115" t="s">
        <v>395</v>
      </c>
      <c r="I16" s="1"/>
      <c r="J16" s="22"/>
      <c r="K16" s="22"/>
    </row>
    <row r="17" spans="1:11" ht="20.100000000000001" customHeight="1" x14ac:dyDescent="0.25">
      <c r="A17" s="18" t="s">
        <v>4</v>
      </c>
      <c r="C17" s="22"/>
      <c r="D17" s="1" t="s">
        <v>396</v>
      </c>
      <c r="E17" s="134">
        <f>'4.5.1.9 Manure applied to soils'!E136</f>
        <v>1959.6253885650012</v>
      </c>
      <c r="F17" s="54" t="str">
        <f>'4.5.1.9 Manure applied to soils'!F136</f>
        <v>kg N</v>
      </c>
      <c r="G17" s="1" t="s">
        <v>402</v>
      </c>
      <c r="H17" s="1" t="s">
        <v>397</v>
      </c>
      <c r="I17" s="1"/>
      <c r="J17" s="22"/>
      <c r="K17" s="22"/>
    </row>
    <row r="18" spans="1:11" ht="20.100000000000001" customHeight="1" x14ac:dyDescent="0.25">
      <c r="A18" s="17" t="str">
        <f>HYPERLINK("#'Constants - Swine'!A1", "Constants - Swine")</f>
        <v>Constants - Swine</v>
      </c>
      <c r="C18" s="22"/>
      <c r="D18" s="1" t="s">
        <v>398</v>
      </c>
      <c r="E18" s="134">
        <f>'4.5.1.9 Manure applied to soils'!E235</f>
        <v>653.20846285499988</v>
      </c>
      <c r="F18" s="54" t="str">
        <f>'4.5.1.9 Manure applied to soils'!F235</f>
        <v>kg N</v>
      </c>
      <c r="G18" s="1" t="s">
        <v>402</v>
      </c>
      <c r="H18" s="1" t="s">
        <v>397</v>
      </c>
      <c r="I18" s="22"/>
      <c r="J18" s="22"/>
      <c r="K18" s="22"/>
    </row>
    <row r="19" spans="1:11" ht="20.100000000000001" customHeight="1" x14ac:dyDescent="0.25">
      <c r="A19" s="17" t="str">
        <f>HYPERLINK("#'Constants - Livestock'!A1", "Constants - Livestock")</f>
        <v>Constants - Livestock</v>
      </c>
      <c r="C19" s="22"/>
      <c r="D19" s="1" t="s">
        <v>399</v>
      </c>
      <c r="E19" s="134">
        <f>'4.5.1.9 Manure applied to soils'!E178</f>
        <v>653.20846285499988</v>
      </c>
      <c r="F19" s="54" t="str">
        <f>'4.5.1.9 Manure applied to soils'!F178</f>
        <v>kg N</v>
      </c>
      <c r="G19" s="1" t="s">
        <v>400</v>
      </c>
      <c r="H19" s="1" t="s">
        <v>401</v>
      </c>
      <c r="I19" s="22"/>
      <c r="J19" s="22"/>
      <c r="K19" s="22"/>
    </row>
    <row r="20" spans="1:11" ht="20.100000000000001" customHeight="1" x14ac:dyDescent="0.3">
      <c r="A20" s="17" t="str">
        <f>HYPERLINK("#'Constants - Common'!A1", "Constants - Common")</f>
        <v>Constants - Common</v>
      </c>
      <c r="C20" s="22"/>
      <c r="D20" s="1"/>
      <c r="E20" s="1"/>
      <c r="F20" s="1"/>
      <c r="G20" s="1"/>
      <c r="H20" s="27"/>
      <c r="I20" s="22"/>
      <c r="J20" s="22"/>
      <c r="K20" s="22"/>
    </row>
    <row r="21" spans="1:11" ht="20.100000000000001" customHeight="1" x14ac:dyDescent="0.3">
      <c r="A21" s="17" t="str">
        <f>HYPERLINK("#'Acknowledgements'!A1", "Acknowledgements")</f>
        <v>Acknowledgements</v>
      </c>
      <c r="C21" s="22"/>
      <c r="D21" s="1"/>
      <c r="E21" s="1"/>
      <c r="F21" s="1"/>
      <c r="G21" s="1"/>
      <c r="H21" s="27"/>
      <c r="I21" s="22"/>
      <c r="J21" s="22"/>
      <c r="K21" s="22"/>
    </row>
    <row r="22" spans="1:11" ht="20.100000000000001" customHeight="1" x14ac:dyDescent="0.3">
      <c r="C22" s="22"/>
      <c r="D22" s="1"/>
      <c r="E22" s="1"/>
      <c r="F22" s="1"/>
      <c r="G22" s="1"/>
      <c r="H22" s="27"/>
      <c r="I22" s="22"/>
      <c r="J22" s="22"/>
      <c r="K22" s="22"/>
    </row>
    <row r="23" spans="1:11" ht="20.100000000000001" customHeight="1" x14ac:dyDescent="0.3">
      <c r="A23" s="17"/>
      <c r="C23" s="22"/>
      <c r="D23" s="1"/>
      <c r="E23" s="1"/>
      <c r="F23" s="1"/>
      <c r="G23" s="1"/>
      <c r="H23" s="27"/>
      <c r="I23" s="22"/>
      <c r="J23" s="22"/>
      <c r="K23" s="22"/>
    </row>
    <row r="24" spans="1:11" ht="20.100000000000001" customHeight="1" x14ac:dyDescent="0.3">
      <c r="A24" s="17"/>
      <c r="C24" s="22"/>
      <c r="D24" s="1"/>
      <c r="E24" s="1"/>
      <c r="F24" s="1"/>
      <c r="G24" s="1"/>
      <c r="H24" s="27"/>
      <c r="I24" s="22"/>
      <c r="J24" s="22"/>
      <c r="K24" s="22"/>
    </row>
    <row r="25" spans="1:11" ht="20.100000000000001" customHeight="1" x14ac:dyDescent="0.3">
      <c r="C25" s="22"/>
      <c r="D25" s="1"/>
      <c r="E25" s="1"/>
      <c r="F25" s="1"/>
      <c r="G25" s="1"/>
      <c r="H25" s="27"/>
      <c r="I25" s="22"/>
      <c r="J25" s="22"/>
      <c r="K25" s="22"/>
    </row>
    <row r="26" spans="1:11" ht="20.100000000000001" customHeight="1" x14ac:dyDescent="0.3">
      <c r="C26" s="22"/>
      <c r="D26" s="1"/>
      <c r="E26" s="1"/>
      <c r="F26" s="1"/>
      <c r="G26" s="1"/>
      <c r="H26" s="27"/>
      <c r="I26" s="22"/>
      <c r="J26" s="22"/>
      <c r="K26" s="22"/>
    </row>
    <row r="27" spans="1:11" ht="20.100000000000001" customHeight="1" x14ac:dyDescent="0.25">
      <c r="C27" s="22"/>
      <c r="D27" s="1"/>
      <c r="E27" s="1"/>
      <c r="F27" s="1"/>
      <c r="G27" s="1"/>
      <c r="H27" s="1"/>
      <c r="I27" s="1"/>
      <c r="J27" s="22"/>
      <c r="K27" s="22"/>
    </row>
    <row r="28" spans="1:11" ht="20.100000000000001" customHeight="1" x14ac:dyDescent="0.25">
      <c r="C28" s="22"/>
      <c r="D28" s="1"/>
      <c r="E28" s="1"/>
      <c r="F28" s="1"/>
      <c r="G28" s="1"/>
      <c r="H28" s="1"/>
      <c r="I28" s="1"/>
      <c r="J28" s="22"/>
      <c r="K28" s="22"/>
    </row>
    <row r="29" spans="1:11" ht="20.100000000000001" customHeight="1" x14ac:dyDescent="0.25">
      <c r="C29" s="22"/>
      <c r="D29" s="1"/>
      <c r="E29" s="1"/>
      <c r="F29" s="1"/>
      <c r="G29" s="1"/>
      <c r="H29" s="1"/>
      <c r="I29" s="1"/>
      <c r="J29" s="22"/>
      <c r="K29" s="22"/>
    </row>
    <row r="30" spans="1:11" ht="20.100000000000001" customHeight="1" x14ac:dyDescent="0.25">
      <c r="C30" s="22"/>
      <c r="D30" s="1"/>
      <c r="E30" s="1"/>
      <c r="F30" s="1"/>
      <c r="G30" s="1"/>
      <c r="H30" s="1"/>
      <c r="I30" s="1"/>
      <c r="J30" s="22"/>
      <c r="K30" s="22"/>
    </row>
    <row r="31" spans="1:11" ht="20.100000000000001" customHeight="1" x14ac:dyDescent="0.25">
      <c r="C31" s="22"/>
      <c r="D31" s="1"/>
      <c r="E31" s="1"/>
      <c r="F31" s="1"/>
      <c r="G31" s="1"/>
      <c r="H31" s="1"/>
      <c r="I31" s="1"/>
      <c r="J31" s="22"/>
      <c r="K31" s="22"/>
    </row>
    <row r="32" spans="1:11" ht="20.100000000000001" customHeight="1" x14ac:dyDescent="0.25">
      <c r="C32" s="22"/>
      <c r="D32" s="1"/>
      <c r="E32" s="1"/>
      <c r="F32" s="1"/>
      <c r="G32" s="1"/>
      <c r="H32" s="1"/>
      <c r="I32" s="1"/>
      <c r="J32" s="22"/>
      <c r="K32" s="22"/>
    </row>
    <row r="33" spans="3:11" ht="20.100000000000001" customHeight="1" x14ac:dyDescent="0.25">
      <c r="C33" s="22"/>
      <c r="D33" s="1"/>
      <c r="E33" s="1"/>
      <c r="F33" s="1"/>
      <c r="G33" s="1"/>
      <c r="H33" s="1"/>
      <c r="I33" s="1"/>
      <c r="J33" s="22"/>
      <c r="K33" s="22"/>
    </row>
    <row r="34" spans="3:11" ht="20.100000000000001" customHeight="1" x14ac:dyDescent="0.25">
      <c r="C34" s="22"/>
      <c r="D34" s="1"/>
      <c r="E34" s="1"/>
      <c r="F34" s="1"/>
      <c r="G34" s="1"/>
      <c r="H34" s="1"/>
      <c r="I34" s="22"/>
      <c r="J34" s="22"/>
      <c r="K34" s="22"/>
    </row>
    <row r="35" spans="3:11" ht="20.100000000000001" customHeight="1" x14ac:dyDescent="0.25">
      <c r="C35" s="22"/>
      <c r="D35" s="1"/>
      <c r="E35" s="1"/>
      <c r="F35" s="1"/>
      <c r="G35" s="1"/>
      <c r="H35" s="1"/>
      <c r="I35" s="22"/>
      <c r="J35" s="22"/>
      <c r="K35" s="22"/>
    </row>
    <row r="36" spans="3:11" ht="20.100000000000001" customHeight="1" x14ac:dyDescent="0.25">
      <c r="C36" s="22"/>
      <c r="D36" s="1"/>
      <c r="E36" s="1"/>
      <c r="F36" s="1"/>
      <c r="G36" s="1"/>
      <c r="H36" s="1"/>
      <c r="I36" s="22"/>
      <c r="J36" s="22"/>
      <c r="K36" s="22"/>
    </row>
    <row r="37" spans="3:11" ht="20.100000000000001" customHeight="1" x14ac:dyDescent="0.25">
      <c r="C37" s="22"/>
      <c r="D37" s="1"/>
      <c r="E37" s="1"/>
      <c r="F37" s="1"/>
      <c r="G37" s="1"/>
      <c r="H37" s="1"/>
      <c r="I37" s="22"/>
      <c r="J37" s="22"/>
      <c r="K37" s="22"/>
    </row>
    <row r="38" spans="3:11" ht="20.100000000000001" customHeight="1" x14ac:dyDescent="0.25">
      <c r="C38" s="22"/>
      <c r="D38" s="1"/>
      <c r="E38" s="1"/>
      <c r="F38" s="1"/>
      <c r="G38" s="1"/>
      <c r="H38" s="1"/>
      <c r="I38" s="111"/>
      <c r="J38" s="111"/>
      <c r="K38" s="22"/>
    </row>
    <row r="39" spans="3:11" ht="20.100000000000001" customHeight="1" x14ac:dyDescent="0.25">
      <c r="C39" s="22"/>
      <c r="D39" s="1"/>
      <c r="E39" s="1"/>
      <c r="F39" s="1"/>
      <c r="G39" s="1"/>
      <c r="H39" s="1"/>
      <c r="I39" s="111"/>
      <c r="J39" s="111"/>
      <c r="K39" s="22"/>
    </row>
    <row r="40" spans="3:11" ht="20.100000000000001" customHeight="1" x14ac:dyDescent="0.25">
      <c r="C40" s="22"/>
      <c r="D40" s="1"/>
      <c r="E40" s="1"/>
      <c r="F40" s="1"/>
      <c r="G40" s="1"/>
      <c r="H40" s="1"/>
      <c r="I40" s="111"/>
      <c r="J40" s="111"/>
      <c r="K40" s="22"/>
    </row>
    <row r="41" spans="3:11" ht="20.100000000000001" customHeight="1" x14ac:dyDescent="0.25">
      <c r="C41" s="22"/>
      <c r="D41" s="1"/>
      <c r="E41" s="1"/>
      <c r="F41" s="1"/>
      <c r="G41" s="1"/>
      <c r="H41" s="1"/>
      <c r="I41" s="111"/>
      <c r="J41" s="111"/>
      <c r="K41" s="22"/>
    </row>
    <row r="42" spans="3:11" ht="20.100000000000001" customHeight="1" x14ac:dyDescent="0.25">
      <c r="C42" s="22"/>
      <c r="D42" s="1"/>
      <c r="E42" s="1"/>
      <c r="F42" s="1"/>
      <c r="G42" s="1"/>
      <c r="H42" s="1"/>
      <c r="I42" s="111"/>
      <c r="J42" s="111"/>
      <c r="K42" s="22"/>
    </row>
    <row r="43" spans="3:11" ht="20.100000000000001" customHeight="1" x14ac:dyDescent="0.25">
      <c r="C43" s="22"/>
      <c r="D43" s="1"/>
      <c r="E43" s="1"/>
      <c r="F43" s="1"/>
      <c r="G43" s="1"/>
      <c r="H43" s="1"/>
      <c r="I43" s="111"/>
      <c r="J43" s="111"/>
      <c r="K43" s="22"/>
    </row>
    <row r="44" spans="3:11" ht="20.100000000000001" customHeight="1" x14ac:dyDescent="0.25">
      <c r="C44" s="22"/>
      <c r="D44" s="1"/>
      <c r="E44" s="1"/>
      <c r="F44" s="1"/>
      <c r="G44" s="1"/>
      <c r="H44" s="1"/>
      <c r="I44" s="111"/>
      <c r="J44" s="111"/>
      <c r="K44" s="22"/>
    </row>
    <row r="45" spans="3:11" ht="20.100000000000001" customHeight="1" x14ac:dyDescent="0.25">
      <c r="C45" s="22"/>
      <c r="D45" s="1"/>
      <c r="E45" s="1"/>
      <c r="F45" s="1"/>
      <c r="G45" s="1"/>
      <c r="H45" s="1"/>
      <c r="I45" s="111"/>
      <c r="J45" s="111"/>
      <c r="K45" s="22"/>
    </row>
    <row r="46" spans="3:11" ht="20.100000000000001" customHeight="1" x14ac:dyDescent="0.25">
      <c r="C46" s="22"/>
      <c r="D46" s="1"/>
      <c r="E46" s="1"/>
      <c r="F46" s="1"/>
      <c r="G46" s="1"/>
      <c r="H46" s="1"/>
      <c r="I46" s="111"/>
      <c r="J46" s="111"/>
      <c r="K46" s="22"/>
    </row>
    <row r="47" spans="3:11" ht="20.100000000000001" customHeight="1" x14ac:dyDescent="0.25">
      <c r="C47" s="22"/>
      <c r="D47" s="1"/>
      <c r="E47" s="1"/>
      <c r="F47" s="1"/>
      <c r="G47" s="1"/>
      <c r="H47" s="1"/>
      <c r="I47" s="111"/>
      <c r="J47" s="111"/>
      <c r="K47" s="22"/>
    </row>
    <row r="48" spans="3:11" ht="20.100000000000001" customHeight="1" x14ac:dyDescent="0.25">
      <c r="C48" s="22"/>
      <c r="D48" s="1"/>
      <c r="E48" s="1"/>
      <c r="F48" s="1"/>
      <c r="G48" s="1"/>
      <c r="H48" s="1"/>
      <c r="I48" s="111"/>
      <c r="J48" s="111"/>
      <c r="K48" s="22"/>
    </row>
    <row r="49" spans="3:11" ht="20.100000000000001" customHeight="1" x14ac:dyDescent="0.25">
      <c r="C49" s="22"/>
      <c r="D49" s="1"/>
      <c r="E49" s="1"/>
      <c r="F49" s="1"/>
      <c r="G49" s="1"/>
      <c r="H49" s="111"/>
      <c r="I49" s="111"/>
      <c r="J49" s="111"/>
      <c r="K49" s="22"/>
    </row>
    <row r="50" spans="3:11" ht="20.100000000000001" customHeight="1" x14ac:dyDescent="0.25">
      <c r="C50" s="22"/>
      <c r="D50" s="1"/>
      <c r="E50" s="1"/>
      <c r="F50" s="1"/>
      <c r="G50" s="1"/>
      <c r="H50" s="111"/>
      <c r="I50" s="111"/>
      <c r="J50" s="111"/>
      <c r="K50" s="22"/>
    </row>
    <row r="51" spans="3:11" ht="20.100000000000001" customHeight="1" x14ac:dyDescent="0.25">
      <c r="C51" s="22"/>
      <c r="D51" s="1"/>
      <c r="E51" s="1"/>
      <c r="F51" s="1"/>
      <c r="G51" s="1"/>
      <c r="H51" s="111"/>
      <c r="I51" s="111"/>
      <c r="J51" s="111"/>
      <c r="K51" s="22"/>
    </row>
    <row r="52" spans="3:11" ht="20.100000000000001" customHeight="1" x14ac:dyDescent="0.25">
      <c r="C52" s="22"/>
      <c r="D52" s="1"/>
      <c r="E52" s="1"/>
      <c r="F52" s="1"/>
      <c r="G52" s="1"/>
      <c r="H52" s="111"/>
      <c r="I52" s="111"/>
      <c r="J52" s="111"/>
      <c r="K52" s="22"/>
    </row>
    <row r="53" spans="3:11" ht="20.100000000000001" customHeight="1" x14ac:dyDescent="0.25">
      <c r="C53" s="22"/>
      <c r="D53" s="1"/>
      <c r="E53" s="1"/>
      <c r="F53" s="1"/>
      <c r="G53" s="1"/>
      <c r="H53" s="111"/>
      <c r="I53" s="111"/>
      <c r="J53" s="111"/>
      <c r="K53" s="22"/>
    </row>
    <row r="54" spans="3:11" ht="20.100000000000001" customHeight="1" x14ac:dyDescent="0.25">
      <c r="C54" s="22"/>
      <c r="D54" s="1"/>
      <c r="E54" s="1"/>
      <c r="F54" s="1"/>
      <c r="G54" s="1"/>
      <c r="H54" s="22"/>
      <c r="I54" s="22"/>
      <c r="J54" s="22"/>
      <c r="K54" s="22"/>
    </row>
    <row r="55" spans="3:11" ht="20.100000000000001" customHeight="1" x14ac:dyDescent="0.25">
      <c r="C55" s="22"/>
      <c r="D55" s="1"/>
      <c r="E55" s="1"/>
      <c r="F55" s="1"/>
      <c r="G55" s="1"/>
      <c r="H55" s="22"/>
      <c r="I55" s="22"/>
      <c r="J55" s="22"/>
      <c r="K55" s="22"/>
    </row>
    <row r="56" spans="3:11" ht="20.100000000000001" customHeight="1" x14ac:dyDescent="0.25">
      <c r="C56" s="22"/>
      <c r="D56" s="1"/>
      <c r="E56" s="1"/>
      <c r="F56" s="1"/>
      <c r="G56" s="1"/>
      <c r="H56" s="22"/>
      <c r="I56" s="22"/>
      <c r="J56" s="22"/>
      <c r="K56" s="22"/>
    </row>
    <row r="57" spans="3:11" ht="20.100000000000001" customHeight="1" x14ac:dyDescent="0.25">
      <c r="C57" s="22"/>
      <c r="D57" s="1"/>
      <c r="E57" s="1"/>
      <c r="F57" s="1"/>
      <c r="G57" s="1"/>
      <c r="H57" s="22"/>
      <c r="I57" s="22"/>
      <c r="J57" s="22"/>
      <c r="K57" s="22"/>
    </row>
    <row r="58" spans="3:11" ht="20.100000000000001" customHeight="1" x14ac:dyDescent="0.25">
      <c r="C58" s="22"/>
      <c r="D58" s="1"/>
      <c r="E58" s="30"/>
      <c r="F58" s="28"/>
      <c r="G58" s="22"/>
      <c r="H58" s="22"/>
      <c r="I58" s="22"/>
      <c r="J58" s="22"/>
      <c r="K58" s="22"/>
    </row>
    <row r="59" spans="3:11" ht="20.100000000000001" customHeight="1" x14ac:dyDescent="0.25">
      <c r="C59" s="22"/>
      <c r="D59" s="1"/>
      <c r="E59" s="1"/>
      <c r="F59" s="1"/>
      <c r="G59" s="1"/>
      <c r="H59" s="1"/>
      <c r="I59" s="1"/>
      <c r="J59" s="1"/>
      <c r="K59" s="22"/>
    </row>
    <row r="60" spans="3:11" ht="20.100000000000001" customHeight="1" x14ac:dyDescent="0.25">
      <c r="C60" s="22"/>
      <c r="D60" s="1"/>
      <c r="E60" s="1"/>
      <c r="F60" s="1"/>
      <c r="G60" s="1"/>
      <c r="H60" s="1"/>
      <c r="I60" s="1"/>
      <c r="J60" s="1"/>
      <c r="K60" s="22"/>
    </row>
    <row r="61" spans="3:11" ht="20.100000000000001" customHeight="1" x14ac:dyDescent="0.25">
      <c r="C61" s="22"/>
      <c r="D61" s="1"/>
      <c r="E61" s="1"/>
      <c r="F61" s="1"/>
      <c r="G61" s="1"/>
      <c r="H61" s="1"/>
      <c r="I61" s="1"/>
      <c r="J61" s="1"/>
      <c r="K61" s="22"/>
    </row>
    <row r="62" spans="3:11" ht="20.100000000000001" customHeight="1" x14ac:dyDescent="0.25">
      <c r="C62" s="22"/>
      <c r="D62" s="1"/>
      <c r="E62" s="1"/>
      <c r="F62" s="1"/>
      <c r="G62" s="1"/>
      <c r="H62" s="1"/>
      <c r="I62" s="1"/>
      <c r="J62" s="1"/>
      <c r="K62" s="22"/>
    </row>
    <row r="63" spans="3:11" ht="20.100000000000001" customHeight="1" x14ac:dyDescent="0.25">
      <c r="C63" s="22"/>
      <c r="D63" s="1"/>
      <c r="E63" s="1"/>
      <c r="F63" s="1"/>
      <c r="G63" s="1"/>
      <c r="H63" s="1"/>
      <c r="I63" s="1"/>
      <c r="J63" s="1"/>
      <c r="K63" s="22"/>
    </row>
    <row r="64" spans="3:11" ht="20.100000000000001" customHeight="1" x14ac:dyDescent="0.25">
      <c r="C64" s="22"/>
      <c r="D64" s="1"/>
      <c r="E64" s="1"/>
      <c r="F64" s="1"/>
      <c r="G64" s="1"/>
      <c r="H64" s="1"/>
      <c r="I64" s="1"/>
      <c r="J64" s="1"/>
      <c r="K64" s="22"/>
    </row>
    <row r="65" spans="3:11" ht="20.100000000000001" customHeight="1" x14ac:dyDescent="0.25">
      <c r="C65" s="22"/>
      <c r="D65" s="1"/>
      <c r="E65" s="1"/>
      <c r="F65" s="1"/>
      <c r="G65" s="1"/>
      <c r="H65" s="1"/>
      <c r="I65" s="1"/>
      <c r="J65" s="1"/>
      <c r="K65" s="22"/>
    </row>
    <row r="66" spans="3:11" ht="20.100000000000001" customHeight="1" x14ac:dyDescent="0.25">
      <c r="C66" s="22"/>
      <c r="D66" s="1"/>
      <c r="E66" s="1"/>
      <c r="F66" s="1"/>
      <c r="G66" s="1"/>
      <c r="H66" s="1"/>
      <c r="I66" s="1"/>
      <c r="J66" s="1"/>
      <c r="K66" s="22"/>
    </row>
    <row r="67" spans="3:11" ht="20.100000000000001" customHeight="1" x14ac:dyDescent="0.25">
      <c r="C67" s="22"/>
      <c r="D67" s="1"/>
      <c r="E67" s="1"/>
      <c r="F67" s="1"/>
      <c r="G67" s="1"/>
      <c r="H67" s="1"/>
      <c r="I67" s="1"/>
      <c r="J67" s="1"/>
      <c r="K67" s="22"/>
    </row>
    <row r="68" spans="3:11" ht="20.100000000000001" customHeight="1" x14ac:dyDescent="0.25">
      <c r="C68" s="22"/>
      <c r="D68" s="1"/>
      <c r="E68" s="1"/>
      <c r="F68" s="1"/>
      <c r="G68" s="1"/>
      <c r="H68" s="1"/>
      <c r="I68" s="1"/>
      <c r="J68" s="1"/>
      <c r="K68" s="22"/>
    </row>
    <row r="69" spans="3:11" ht="20.100000000000001" customHeight="1" x14ac:dyDescent="0.25">
      <c r="C69" s="22"/>
      <c r="D69" s="1"/>
      <c r="E69" s="1"/>
      <c r="F69" s="1"/>
      <c r="G69" s="1"/>
      <c r="H69" s="1"/>
      <c r="I69" s="1"/>
      <c r="J69" s="1"/>
      <c r="K69" s="22"/>
    </row>
    <row r="70" spans="3:11" ht="20.100000000000001" customHeight="1" x14ac:dyDescent="0.25">
      <c r="C70" s="22"/>
      <c r="D70" s="1"/>
      <c r="E70" s="1"/>
      <c r="F70" s="1"/>
      <c r="G70" s="1"/>
      <c r="H70" s="1"/>
      <c r="I70" s="1"/>
      <c r="J70" s="1"/>
      <c r="K70" s="22"/>
    </row>
    <row r="71" spans="3:11" ht="20.100000000000001" customHeight="1" x14ac:dyDescent="0.25">
      <c r="C71" s="22"/>
      <c r="D71" s="1"/>
      <c r="E71" s="1"/>
      <c r="F71" s="1"/>
      <c r="G71" s="1"/>
      <c r="H71" s="1"/>
      <c r="I71" s="1"/>
      <c r="J71" s="1"/>
      <c r="K71" s="22"/>
    </row>
    <row r="72" spans="3:11" ht="20.100000000000001" customHeight="1" x14ac:dyDescent="0.25">
      <c r="C72" s="22"/>
      <c r="D72" s="1"/>
      <c r="E72" s="1"/>
      <c r="F72" s="1"/>
      <c r="G72" s="1"/>
      <c r="H72" s="1"/>
      <c r="I72" s="1"/>
      <c r="J72" s="1"/>
      <c r="K72" s="22"/>
    </row>
    <row r="73" spans="3:11" ht="20.100000000000001" customHeight="1" x14ac:dyDescent="0.25">
      <c r="C73" s="22"/>
      <c r="D73" s="1"/>
      <c r="E73" s="1"/>
      <c r="F73" s="1"/>
      <c r="G73" s="1"/>
      <c r="H73" s="1"/>
      <c r="I73" s="1"/>
      <c r="J73" s="1"/>
      <c r="K73" s="22"/>
    </row>
    <row r="74" spans="3:11" ht="20.100000000000001" customHeight="1" x14ac:dyDescent="0.25">
      <c r="C74" s="22"/>
      <c r="D74" s="1"/>
      <c r="E74" s="1"/>
      <c r="F74" s="1"/>
      <c r="G74" s="1"/>
      <c r="H74" s="1"/>
      <c r="I74" s="1"/>
      <c r="J74" s="1"/>
      <c r="K74" s="22"/>
    </row>
    <row r="75" spans="3:11" ht="20.100000000000001" customHeight="1" x14ac:dyDescent="0.25">
      <c r="C75" s="22"/>
      <c r="D75" s="1"/>
      <c r="E75" s="1"/>
      <c r="F75" s="1"/>
      <c r="G75" s="1"/>
      <c r="H75" s="1"/>
      <c r="I75" s="1"/>
      <c r="J75" s="1"/>
      <c r="K75" s="22"/>
    </row>
    <row r="76" spans="3:11" ht="15.75" x14ac:dyDescent="0.25">
      <c r="C76" s="22"/>
      <c r="D76" s="1"/>
      <c r="E76" s="1"/>
      <c r="F76" s="1"/>
      <c r="G76" s="1"/>
      <c r="H76" s="1"/>
      <c r="I76" s="1"/>
      <c r="J76" s="1"/>
      <c r="K76" s="22"/>
    </row>
    <row r="77" spans="3:11" ht="15.75" x14ac:dyDescent="0.25">
      <c r="C77" s="22"/>
      <c r="D77" s="1"/>
      <c r="E77" s="1"/>
      <c r="F77" s="1"/>
      <c r="G77" s="1"/>
      <c r="H77" s="1"/>
      <c r="I77" s="1"/>
      <c r="J77" s="1"/>
      <c r="K77" s="22"/>
    </row>
    <row r="78" spans="3:11" ht="15.75" x14ac:dyDescent="0.25">
      <c r="C78" s="22"/>
      <c r="D78" s="1"/>
      <c r="E78" s="1"/>
      <c r="F78" s="1"/>
      <c r="G78" s="1"/>
      <c r="H78" s="1"/>
      <c r="I78" s="1"/>
      <c r="J78" s="1"/>
      <c r="K78" s="22"/>
    </row>
    <row r="79" spans="3:11" ht="15.75" x14ac:dyDescent="0.25">
      <c r="C79" s="22"/>
      <c r="D79" s="1"/>
      <c r="E79" s="1"/>
      <c r="F79" s="1"/>
      <c r="G79" s="1"/>
      <c r="H79" s="1"/>
      <c r="I79" s="1"/>
      <c r="J79" s="1"/>
      <c r="K79" s="22"/>
    </row>
    <row r="80" spans="3:11" ht="15.75" x14ac:dyDescent="0.25">
      <c r="C80" s="22"/>
      <c r="D80" s="1"/>
      <c r="E80" s="1"/>
      <c r="F80" s="1"/>
      <c r="G80" s="1"/>
      <c r="H80" s="1"/>
      <c r="I80" s="1"/>
      <c r="J80" s="1"/>
      <c r="K80" s="22"/>
    </row>
    <row r="81" spans="3:11" ht="15.75" x14ac:dyDescent="0.25">
      <c r="C81" s="22"/>
      <c r="D81" s="1"/>
      <c r="E81" s="1"/>
      <c r="F81" s="1"/>
      <c r="G81" s="1"/>
      <c r="H81" s="1"/>
      <c r="I81" s="1"/>
      <c r="J81" s="1"/>
      <c r="K81" s="22"/>
    </row>
    <row r="82" spans="3:11" ht="15.75" x14ac:dyDescent="0.25">
      <c r="C82" s="22"/>
      <c r="D82" s="1"/>
      <c r="E82" s="1"/>
      <c r="F82" s="1"/>
      <c r="G82" s="1"/>
      <c r="H82" s="1"/>
      <c r="I82" s="1"/>
      <c r="J82" s="1"/>
      <c r="K82" s="22"/>
    </row>
    <row r="83" spans="3:11" ht="15.75" x14ac:dyDescent="0.25">
      <c r="C83" s="22"/>
      <c r="D83" s="1"/>
      <c r="E83" s="1"/>
      <c r="F83" s="1"/>
      <c r="G83" s="1"/>
      <c r="H83" s="1"/>
      <c r="I83" s="1"/>
      <c r="J83" s="1"/>
      <c r="K83" s="22"/>
    </row>
    <row r="84" spans="3:11" ht="15.75" x14ac:dyDescent="0.25">
      <c r="C84" s="22"/>
      <c r="D84" s="1"/>
      <c r="E84" s="1"/>
      <c r="F84" s="1"/>
      <c r="G84" s="1"/>
      <c r="H84" s="1"/>
      <c r="I84" s="1"/>
      <c r="J84" s="1"/>
      <c r="K84" s="22"/>
    </row>
    <row r="85" spans="3:11" ht="15.75" x14ac:dyDescent="0.25">
      <c r="C85" s="22"/>
      <c r="D85" s="1"/>
      <c r="E85" s="1"/>
      <c r="F85" s="1"/>
      <c r="G85" s="1"/>
      <c r="H85" s="1"/>
      <c r="I85" s="1"/>
      <c r="J85" s="1"/>
      <c r="K85" s="22"/>
    </row>
    <row r="86" spans="3:11" x14ac:dyDescent="0.25">
      <c r="C86" s="22"/>
      <c r="D86" s="22"/>
      <c r="E86" s="22"/>
      <c r="F86" s="22"/>
      <c r="G86" s="22"/>
      <c r="H86" s="22"/>
      <c r="I86" s="22"/>
      <c r="J86" s="22"/>
      <c r="K86" s="22"/>
    </row>
    <row r="87" spans="3:11" x14ac:dyDescent="0.25">
      <c r="C87" s="22"/>
      <c r="D87" s="22"/>
      <c r="E87" s="22"/>
      <c r="F87" s="22"/>
      <c r="G87" s="22"/>
      <c r="H87" s="22"/>
      <c r="I87" s="22"/>
      <c r="J87" s="22"/>
      <c r="K87" s="2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4" sqref="A4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68" t="e" vm="1">
        <v>#VALUE!</v>
      </c>
      <c r="C1" s="12" t="s">
        <v>91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69"/>
      <c r="D4" s="69"/>
      <c r="E4" s="69"/>
      <c r="F4" s="69"/>
      <c r="G4" s="69"/>
      <c r="H4" s="69"/>
      <c r="I4" s="69"/>
      <c r="J4" s="69"/>
      <c r="K4" s="69"/>
    </row>
    <row r="5" spans="1:24" ht="20.100000000000001" customHeight="1" x14ac:dyDescent="0.25">
      <c r="D5" s="6" t="s">
        <v>15</v>
      </c>
      <c r="N5" s="40"/>
    </row>
    <row r="6" spans="1:24" ht="20.100000000000001" customHeight="1" x14ac:dyDescent="0.25">
      <c r="A6" s="20" t="s">
        <v>3</v>
      </c>
      <c r="D6" s="14"/>
      <c r="N6" s="41"/>
    </row>
    <row r="7" spans="1:24" ht="20.100000000000001" customHeight="1" x14ac:dyDescent="0.25">
      <c r="A7" s="143" t="str">
        <f>HYPERLINK("#'Input - Site'!A1", "Site")</f>
        <v>Site</v>
      </c>
      <c r="D7" s="1" t="s">
        <v>7</v>
      </c>
      <c r="E7" s="33" t="s">
        <v>6</v>
      </c>
      <c r="F7" s="2"/>
    </row>
    <row r="8" spans="1:24" ht="20.100000000000001" customHeight="1" x14ac:dyDescent="0.25">
      <c r="A8" s="17" t="str">
        <f>HYPERLINK("#'Input - Swine'!A1", "Swine")</f>
        <v>Swine</v>
      </c>
      <c r="D8" s="10" t="s">
        <v>72</v>
      </c>
      <c r="E8" s="33" t="s">
        <v>73</v>
      </c>
    </row>
    <row r="9" spans="1:24" ht="20.100000000000001" customHeight="1" x14ac:dyDescent="0.25">
      <c r="A9" s="17"/>
      <c r="N9" s="42"/>
    </row>
    <row r="10" spans="1:24" ht="20.100000000000001" customHeight="1" x14ac:dyDescent="0.25">
      <c r="A10" s="19" t="s">
        <v>76</v>
      </c>
      <c r="D10" s="94" t="s">
        <v>90</v>
      </c>
      <c r="E10" s="92"/>
      <c r="F10" s="95"/>
      <c r="G10" s="89"/>
      <c r="N10" s="42"/>
    </row>
    <row r="11" spans="1:24" ht="20.100000000000001" customHeight="1" x14ac:dyDescent="0.25">
      <c r="A11" s="17" t="str">
        <f>HYPERLINK("#'4.5.1.1-2 Methane'!A1", "4.5.1.1-2 Methane")</f>
        <v>4.5.1.1-2 Methane</v>
      </c>
      <c r="N11" s="43"/>
    </row>
    <row r="12" spans="1:24" ht="20.100000000000001" customHeight="1" x14ac:dyDescent="0.25">
      <c r="A12" s="17" t="str">
        <f>HYPERLINK("#'4.5.1.3-4 Direct N20'!A1", "4.5.1.3-4 Direct N2O")</f>
        <v>4.5.1.3-4 Direct N2O</v>
      </c>
      <c r="D12" s="10" t="s">
        <v>96</v>
      </c>
      <c r="E12" s="64">
        <v>45292</v>
      </c>
      <c r="F12" s="2" t="s">
        <v>70</v>
      </c>
    </row>
    <row r="13" spans="1:24" ht="20.100000000000001" customHeight="1" x14ac:dyDescent="0.25">
      <c r="A13" s="17" t="str">
        <f>HYPERLINK("#'4.5.1.5-6 Atmos Dep'!A1", "4.5.1.5-6 Soil atm. deposition")</f>
        <v>4.5.1.5-6 Soil atm. deposition</v>
      </c>
      <c r="D13" s="10" t="s">
        <v>97</v>
      </c>
      <c r="E13" s="70">
        <f>DATE(YEAR(E12)+1,MONTH(E12),DAY(E12))-1</f>
        <v>45657</v>
      </c>
      <c r="F13" s="2" t="s">
        <v>17</v>
      </c>
      <c r="N13" s="38"/>
      <c r="O13" s="38"/>
    </row>
    <row r="14" spans="1:24" ht="20.100000000000001" customHeight="1" x14ac:dyDescent="0.25">
      <c r="A14" s="17" t="str">
        <f>HYPERLINK("#'4.5.1.7-8 Leaching and runoff'!A1", "4.5.1.7-8 Leaching &amp; runoff")</f>
        <v>4.5.1.7-8 Leaching &amp; runoff</v>
      </c>
      <c r="N14" s="38"/>
      <c r="O14" s="38"/>
    </row>
    <row r="15" spans="1:24" ht="20.100000000000001" customHeight="1" x14ac:dyDescent="0.25">
      <c r="A15" s="17" t="str">
        <f>HYPERLINK("#'4.5.1.9 Manure applied to soils'!A1", "4.5.1.9 Manure applied to soils")</f>
        <v>4.5.1.9 Manure applied to soils</v>
      </c>
      <c r="N15" s="38"/>
      <c r="O15" s="38"/>
    </row>
    <row r="16" spans="1:24" ht="20.100000000000001" customHeight="1" x14ac:dyDescent="0.25">
      <c r="A16"/>
      <c r="D16" s="6" t="s">
        <v>14</v>
      </c>
      <c r="N16" s="38"/>
      <c r="O16" s="38"/>
    </row>
    <row r="17" spans="1:25" ht="20.100000000000001" customHeight="1" x14ac:dyDescent="0.25">
      <c r="A17" s="18" t="s">
        <v>4</v>
      </c>
    </row>
    <row r="18" spans="1:25" ht="20.100000000000001" customHeight="1" x14ac:dyDescent="0.25">
      <c r="A18" s="17" t="str">
        <f>HYPERLINK("#'Constants - Swine'!A1", "Constants - Swine")</f>
        <v>Constants - Swine</v>
      </c>
      <c r="D18" s="96" t="s">
        <v>16</v>
      </c>
      <c r="E18" s="91"/>
      <c r="F18" s="91"/>
      <c r="G18" s="87"/>
    </row>
    <row r="19" spans="1:25" ht="20.100000000000001" customHeight="1" x14ac:dyDescent="0.25">
      <c r="A19" s="17" t="str">
        <f>HYPERLINK("#'Constants - Livestock'!A1", "Constants - Livestock")</f>
        <v>Constants - Livestock</v>
      </c>
      <c r="D19" s="93" t="s">
        <v>71</v>
      </c>
      <c r="E19" s="90"/>
      <c r="F19" s="90"/>
      <c r="G19" s="88"/>
      <c r="N19" s="40"/>
    </row>
    <row r="20" spans="1:25" ht="20.100000000000001" customHeight="1" x14ac:dyDescent="0.25">
      <c r="A20" s="17" t="str">
        <f>HYPERLINK("#'Constants - Common'!A1", "Constants - Common")</f>
        <v>Constants - Common</v>
      </c>
      <c r="D20" s="1"/>
      <c r="E20" s="31"/>
      <c r="F20" s="2"/>
      <c r="N20" s="41"/>
    </row>
    <row r="21" spans="1:25" ht="20.100000000000001" customHeight="1" x14ac:dyDescent="0.25">
      <c r="A21" s="17" t="str">
        <f>HYPERLINK("#'Acknowledgements'!A1", "Acknowledgements")</f>
        <v>Acknowledgements</v>
      </c>
      <c r="D21" s="1" t="s">
        <v>8</v>
      </c>
      <c r="E21" s="39" t="s">
        <v>134</v>
      </c>
      <c r="F21" s="2" t="s">
        <v>11</v>
      </c>
    </row>
    <row r="22" spans="1:25" ht="20.100000000000001" customHeight="1" x14ac:dyDescent="0.25">
      <c r="A22"/>
      <c r="D22" s="1" t="s">
        <v>25</v>
      </c>
      <c r="E22" s="39" t="s">
        <v>34</v>
      </c>
      <c r="F22" s="2" t="s">
        <v>11</v>
      </c>
      <c r="G22" s="1"/>
    </row>
    <row r="23" spans="1:25" ht="20.100000000000001" customHeight="1" x14ac:dyDescent="0.25">
      <c r="A23" s="17"/>
      <c r="D23" s="1" t="s">
        <v>9</v>
      </c>
      <c r="E23" s="39" t="s">
        <v>95</v>
      </c>
      <c r="F23" s="2" t="s">
        <v>11</v>
      </c>
    </row>
    <row r="24" spans="1:25" ht="20.100000000000001" customHeight="1" x14ac:dyDescent="0.25">
      <c r="A24" s="17"/>
      <c r="D24" s="1" t="s">
        <v>39</v>
      </c>
      <c r="E24" s="33">
        <v>307.7</v>
      </c>
      <c r="F24" s="2" t="s">
        <v>53</v>
      </c>
    </row>
    <row r="25" spans="1:25" ht="20.100000000000001" customHeight="1" x14ac:dyDescent="0.25">
      <c r="A25"/>
      <c r="D25" s="1" t="s">
        <v>61</v>
      </c>
      <c r="E25" s="33">
        <v>18</v>
      </c>
      <c r="F25" s="2" t="s">
        <v>12</v>
      </c>
      <c r="N25" s="41"/>
    </row>
    <row r="26" spans="1:25" ht="20.100000000000001" customHeight="1" x14ac:dyDescent="0.25">
      <c r="A26"/>
      <c r="D26" s="1" t="s">
        <v>62</v>
      </c>
      <c r="E26" s="33">
        <v>601</v>
      </c>
      <c r="F26" s="2" t="s">
        <v>13</v>
      </c>
    </row>
    <row r="27" spans="1:25" ht="20.100000000000001" customHeight="1" x14ac:dyDescent="0.25">
      <c r="A27"/>
      <c r="D27" s="10" t="s">
        <v>63</v>
      </c>
      <c r="E27" s="33">
        <v>1326</v>
      </c>
      <c r="F27" s="2" t="s">
        <v>13</v>
      </c>
    </row>
    <row r="28" spans="1:25" ht="20.100000000000001" customHeight="1" x14ac:dyDescent="0.25">
      <c r="A28"/>
      <c r="D28" s="1" t="s">
        <v>64</v>
      </c>
      <c r="E28" s="33">
        <v>7</v>
      </c>
      <c r="F28" s="2" t="s">
        <v>54</v>
      </c>
    </row>
    <row r="29" spans="1:25" ht="20.100000000000001" customHeight="1" x14ac:dyDescent="0.25">
      <c r="A29"/>
      <c r="D29" s="10" t="s">
        <v>60</v>
      </c>
      <c r="E29" s="52">
        <f>E26/E27</f>
        <v>0.45324283559577677</v>
      </c>
      <c r="F29" s="2"/>
    </row>
    <row r="30" spans="1:25" ht="20.100000000000001" customHeight="1" x14ac:dyDescent="0.25">
      <c r="A30"/>
      <c r="D30" s="10" t="s">
        <v>35</v>
      </c>
      <c r="E30" s="52" t="str">
        <f>Common_InputFunctions.Utility_LookupItemFromMinMax(E26,Table_SourceData_RainfallZones[Min rainfall],Table_SourceData_RainfallZones[Max rainfall],Table_SourceData_RainfallZones[Rainfall Zone])</f>
        <v>High rainfall</v>
      </c>
      <c r="G30" s="32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</row>
    <row r="31" spans="1:25" ht="20.100000000000001" customHeight="1" x14ac:dyDescent="0.25">
      <c r="A31"/>
      <c r="D31" s="1" t="s">
        <v>10</v>
      </c>
      <c r="E31" s="52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1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</row>
    <row r="32" spans="1:25" ht="20.100000000000001" customHeight="1" x14ac:dyDescent="0.25">
      <c r="A32"/>
      <c r="D32" s="1" t="s">
        <v>92</v>
      </c>
      <c r="E32" s="52" t="str">
        <f>Common_InputFunctions.Utility_LookupValueInTable($E$31,Table_SourceData_WetDryZones[Climate zone],Table_SourceData_WetDryZones[Wet or Dry Zone])</f>
        <v>Dry climate zone</v>
      </c>
      <c r="F32" s="1"/>
      <c r="G32" s="31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</row>
    <row r="33" spans="1:25" ht="20.100000000000001" customHeight="1" x14ac:dyDescent="0.25">
      <c r="A33"/>
      <c r="D33" s="1" t="s">
        <v>52</v>
      </c>
      <c r="E33" s="52" t="str">
        <f>Common_InputFunctions.Utility_LookupItemFromMinMax(E25,Table_SourceData_TemperatureZones[Min MAT],Table_SourceData_TemperatureZones[Max MAT],Table_SourceData_TemperatureZones[Temperature Zone])</f>
        <v>Temperate</v>
      </c>
      <c r="G33" s="71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</row>
    <row r="34" spans="1:25" ht="20.100000000000001" customHeight="1" x14ac:dyDescent="0.25">
      <c r="A34"/>
      <c r="J34" s="61"/>
      <c r="K34" s="74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</row>
    <row r="35" spans="1:25" ht="20.100000000000001" customHeight="1" x14ac:dyDescent="0.25">
      <c r="A35"/>
      <c r="J35" s="61"/>
      <c r="K35" s="74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</row>
    <row r="36" spans="1:25" ht="20.100000000000001" customHeight="1" x14ac:dyDescent="0.25">
      <c r="A36"/>
      <c r="D36" s="72"/>
      <c r="E36" s="72"/>
      <c r="F36" s="73"/>
      <c r="G36" s="61"/>
      <c r="H36" s="61"/>
      <c r="I36" s="62"/>
      <c r="J36" s="61"/>
      <c r="K36" s="74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</row>
    <row r="37" spans="1:25" ht="20.100000000000001" customHeight="1" x14ac:dyDescent="0.25">
      <c r="A37"/>
      <c r="D37" s="72"/>
      <c r="E37" s="72"/>
      <c r="F37" s="73"/>
      <c r="G37" s="61"/>
      <c r="H37" s="61"/>
      <c r="I37" s="62"/>
      <c r="J37" s="61"/>
      <c r="K37" s="74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</row>
    <row r="38" spans="1:25" ht="20.100000000000001" customHeight="1" x14ac:dyDescent="0.25">
      <c r="A38"/>
      <c r="D38" s="72"/>
      <c r="E38" s="72"/>
      <c r="F38" s="73"/>
      <c r="G38" s="61"/>
      <c r="H38" s="61"/>
      <c r="I38" s="62"/>
      <c r="J38" s="61"/>
      <c r="K38" s="74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</row>
    <row r="39" spans="1:25" ht="20.100000000000001" customHeight="1" x14ac:dyDescent="0.25">
      <c r="A39"/>
      <c r="D39" s="72"/>
      <c r="E39" s="72"/>
      <c r="F39" s="73"/>
      <c r="G39" s="61"/>
      <c r="H39" s="61"/>
      <c r="I39" s="62"/>
      <c r="J39" s="61"/>
      <c r="K39" s="74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</row>
    <row r="40" spans="1:25" ht="20.100000000000001" customHeight="1" x14ac:dyDescent="0.25">
      <c r="A40"/>
      <c r="D40" s="75"/>
      <c r="E40" s="75"/>
      <c r="F40" s="75"/>
      <c r="G40" s="76"/>
      <c r="H40" s="77"/>
      <c r="I40" s="77"/>
      <c r="J40" s="77"/>
      <c r="K40" s="77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6"/>
    </row>
    <row r="47" spans="1:25" ht="20.100000000000001" customHeight="1" x14ac:dyDescent="0.25">
      <c r="D47" s="78"/>
      <c r="E47" s="78"/>
      <c r="F47" s="78"/>
      <c r="G47" s="78"/>
      <c r="H47" s="78"/>
    </row>
    <row r="48" spans="1:25" ht="20.100000000000001" customHeight="1" x14ac:dyDescent="0.25">
      <c r="D48" s="34"/>
      <c r="E48" s="34"/>
      <c r="F48" s="35"/>
      <c r="G48" s="35"/>
      <c r="H48" s="34"/>
    </row>
    <row r="49" spans="4:8" ht="20.100000000000001" customHeight="1" x14ac:dyDescent="0.25">
      <c r="D49" s="34"/>
      <c r="E49" s="34"/>
      <c r="F49" s="35"/>
      <c r="G49" s="35"/>
      <c r="H49" s="34"/>
    </row>
    <row r="50" spans="4:8" ht="20.100000000000001" customHeight="1" x14ac:dyDescent="0.25">
      <c r="D50" s="34"/>
      <c r="E50" s="34"/>
      <c r="F50" s="35"/>
      <c r="G50" s="35"/>
      <c r="H50" s="34"/>
    </row>
    <row r="51" spans="4:8" ht="20.100000000000001" customHeight="1" x14ac:dyDescent="0.25">
      <c r="D51" s="79"/>
      <c r="E51" s="80"/>
      <c r="F51" s="80"/>
      <c r="G51" s="80"/>
      <c r="H51" s="81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2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1"/>
      <c r="F57" s="83"/>
    </row>
    <row r="58" spans="4:8" ht="20.100000000000001" customHeight="1" x14ac:dyDescent="0.25">
      <c r="D58" s="1"/>
      <c r="E58" s="84"/>
    </row>
    <row r="59" spans="4:8" ht="20.100000000000001" customHeight="1" x14ac:dyDescent="0.25">
      <c r="D59" s="1"/>
      <c r="E59" s="84"/>
    </row>
    <row r="60" spans="4:8" ht="20.100000000000001" customHeight="1" x14ac:dyDescent="0.25">
      <c r="D60" s="1"/>
      <c r="E60" s="85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1"/>
    </row>
    <row r="64" spans="4:8" ht="20.100000000000001" customHeight="1" x14ac:dyDescent="0.25">
      <c r="D64" s="1"/>
      <c r="E64" s="84"/>
    </row>
    <row r="65" spans="4:9" ht="20.100000000000001" customHeight="1" x14ac:dyDescent="0.25">
      <c r="D65" s="1"/>
      <c r="E65" s="84"/>
    </row>
    <row r="66" spans="4:9" ht="20.100000000000001" customHeight="1" x14ac:dyDescent="0.25">
      <c r="D66" s="1"/>
      <c r="E66" s="85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0"/>
      <c r="E69" s="60"/>
      <c r="F69" s="60"/>
      <c r="G69" s="60"/>
      <c r="H69" s="60"/>
      <c r="I69" s="60"/>
    </row>
    <row r="70" spans="4:9" ht="20.100000000000001" customHeight="1" x14ac:dyDescent="0.25">
      <c r="D70" s="60"/>
      <c r="E70" s="60"/>
      <c r="F70" s="60"/>
      <c r="G70" s="60"/>
      <c r="H70" s="60"/>
      <c r="I70" s="60"/>
    </row>
    <row r="71" spans="4:9" ht="20.100000000000001" customHeight="1" x14ac:dyDescent="0.25">
      <c r="D71" s="60"/>
      <c r="E71" s="60"/>
      <c r="F71" s="60"/>
      <c r="G71" s="60"/>
      <c r="H71" s="60"/>
      <c r="I71" s="60"/>
    </row>
    <row r="72" spans="4:9" ht="20.100000000000001" customHeight="1" x14ac:dyDescent="0.25">
      <c r="D72" s="60"/>
      <c r="E72" s="60"/>
      <c r="F72" s="60"/>
      <c r="G72" s="60"/>
      <c r="H72" s="60"/>
      <c r="I72" s="60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86"/>
    </row>
    <row r="79" spans="4:9" ht="20.100000000000001" customHeight="1" x14ac:dyDescent="0.25">
      <c r="D79" s="86"/>
    </row>
    <row r="80" spans="4:9" ht="20.100000000000001" customHeight="1" x14ac:dyDescent="0.25">
      <c r="D80" s="86"/>
    </row>
    <row r="81" spans="4:4" ht="20.100000000000001" customHeight="1" x14ac:dyDescent="0.25">
      <c r="D81" s="86"/>
    </row>
    <row r="82" spans="4:4" ht="20.100000000000001" customHeight="1" x14ac:dyDescent="0.25">
      <c r="D82" s="86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V356"/>
  <sheetViews>
    <sheetView showGridLines="0" tabSelected="1" topLeftCell="A61" zoomScale="85" zoomScaleNormal="85" workbookViewId="0">
      <selection activeCell="D84" sqref="D8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3.28515625" style="1" customWidth="1"/>
    <col min="5" max="8" width="30.7109375" style="1" customWidth="1"/>
    <col min="9" max="9" width="20.5703125" style="1" customWidth="1"/>
    <col min="10" max="11" width="30.7109375" style="1" customWidth="1"/>
    <col min="12" max="12" width="27.140625" style="1" customWidth="1"/>
    <col min="13" max="13" width="4.7109375" style="1" customWidth="1"/>
    <col min="14" max="15" width="4.7109375" style="56" customWidth="1"/>
    <col min="16" max="21" width="30.7109375" style="56" customWidth="1"/>
    <col min="22" max="22" width="4.7109375" style="56" customWidth="1"/>
  </cols>
  <sheetData>
    <row r="1" spans="1:22" s="68" customFormat="1" ht="30" customHeight="1" x14ac:dyDescent="0.35">
      <c r="A1" s="68" t="e" vm="1">
        <v>#VALUE!</v>
      </c>
      <c r="C1" s="68" t="s">
        <v>140</v>
      </c>
      <c r="N1" s="56"/>
      <c r="O1" s="56"/>
      <c r="P1" s="56"/>
      <c r="Q1" s="56"/>
      <c r="R1" s="56"/>
      <c r="S1" s="56"/>
      <c r="T1" s="56"/>
      <c r="U1" s="56"/>
      <c r="V1" s="56"/>
    </row>
    <row r="2" spans="1:22" s="9" customFormat="1" ht="20.100000000000001" customHeight="1" x14ac:dyDescent="0.25">
      <c r="N2" s="56"/>
      <c r="O2" s="56"/>
      <c r="P2" s="56"/>
      <c r="Q2" s="56"/>
      <c r="R2" s="56"/>
      <c r="S2" s="56"/>
      <c r="T2" s="56"/>
      <c r="U2" s="56"/>
      <c r="V2" s="56"/>
    </row>
    <row r="3" spans="1:22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22" ht="20.100000000000001" customHeight="1" x14ac:dyDescent="0.25">
      <c r="A4" s="17" t="str">
        <f>HYPERLINK("#'Results'!A1", "Results")</f>
        <v>Results</v>
      </c>
    </row>
    <row r="5" spans="1:22" ht="20.100000000000001" customHeight="1" x14ac:dyDescent="0.25">
      <c r="A5" s="16"/>
      <c r="D5" s="96" t="s">
        <v>242</v>
      </c>
      <c r="E5" s="91"/>
      <c r="F5" s="91"/>
      <c r="G5" s="91"/>
      <c r="H5" s="87"/>
      <c r="M5" s="3"/>
      <c r="Q5" s="7"/>
    </row>
    <row r="6" spans="1:22" ht="20.100000000000001" customHeight="1" x14ac:dyDescent="0.25">
      <c r="A6" s="20" t="s">
        <v>3</v>
      </c>
      <c r="D6" s="93" t="s">
        <v>243</v>
      </c>
      <c r="E6" s="90"/>
      <c r="F6" s="90"/>
      <c r="G6" s="88"/>
      <c r="H6" s="117"/>
      <c r="M6" s="3"/>
      <c r="Q6" s="7"/>
    </row>
    <row r="7" spans="1:22" ht="20.100000000000001" customHeight="1" x14ac:dyDescent="0.25">
      <c r="A7" s="17" t="str">
        <f>HYPERLINK("#'Input - Site'!A1", "Site")</f>
        <v>Site</v>
      </c>
      <c r="M7" s="3"/>
      <c r="Q7" s="7"/>
    </row>
    <row r="8" spans="1:22" ht="20.100000000000001" customHeight="1" x14ac:dyDescent="0.25">
      <c r="A8" s="143" t="str">
        <f>HYPERLINK("#'Input - Swine'!A1", "Swine")</f>
        <v>Swine</v>
      </c>
      <c r="M8" s="3"/>
      <c r="Q8" s="7"/>
    </row>
    <row r="9" spans="1:22" ht="20.100000000000001" customHeight="1" x14ac:dyDescent="0.25">
      <c r="A9" s="17"/>
      <c r="E9" s="118" t="s">
        <v>143</v>
      </c>
      <c r="F9" s="118" t="s">
        <v>144</v>
      </c>
      <c r="G9" s="118" t="s">
        <v>145</v>
      </c>
      <c r="H9" s="118" t="s">
        <v>263</v>
      </c>
      <c r="Q9" s="7"/>
    </row>
    <row r="10" spans="1:22" ht="20.100000000000001" customHeight="1" x14ac:dyDescent="0.25">
      <c r="A10" s="19" t="s">
        <v>76</v>
      </c>
      <c r="D10" s="48" t="str">
        <f>"Average duration of stay between " &amp; TEXT('Input - Site'!$E$12, "dd mmm yy") &amp; " and " &amp; TEXT('Input - Site'!$E$13, "dd mmm yy")</f>
        <v>Average duration of stay between 01 Jan 24 and 31 Dec 24</v>
      </c>
      <c r="E10" s="66">
        <v>365</v>
      </c>
      <c r="F10" s="66">
        <v>365</v>
      </c>
      <c r="G10" s="66">
        <v>365</v>
      </c>
      <c r="H10" s="66">
        <v>365</v>
      </c>
      <c r="I10" s="2" t="s">
        <v>54</v>
      </c>
      <c r="Q10" s="7"/>
    </row>
    <row r="11" spans="1:22" ht="20.100000000000001" customHeight="1" x14ac:dyDescent="0.25">
      <c r="A11" s="17" t="str">
        <f>HYPERLINK("#'4.5.1.1-2 Methane'!A1", "4.5.1.1-2 Methane")</f>
        <v>4.5.1.1-2 Methane</v>
      </c>
      <c r="D11" s="48" t="str">
        <f>"Average number of head between " &amp; TEXT('Input - Site'!$E$12, "dd mmm yy") &amp; " and " &amp; TEXT('Input - Site'!$E$13, "dd mmm yy")</f>
        <v>Average number of head between 01 Jan 24 and 31 Dec 24</v>
      </c>
      <c r="E11" s="66">
        <v>100</v>
      </c>
      <c r="F11" s="66">
        <v>100</v>
      </c>
      <c r="G11" s="66">
        <v>100</v>
      </c>
      <c r="H11" s="66">
        <v>100</v>
      </c>
      <c r="I11" s="2" t="s">
        <v>100</v>
      </c>
      <c r="Q11" s="7"/>
    </row>
    <row r="12" spans="1:22" ht="20.100000000000001" customHeight="1" x14ac:dyDescent="0.25">
      <c r="A12" s="17" t="str">
        <f>HYPERLINK("#'4.5.1.3-4 Direct N20'!A1", "4.5.1.3-4 Direct N2O")</f>
        <v>4.5.1.3-4 Direct N2O</v>
      </c>
      <c r="Q12" s="7"/>
    </row>
    <row r="13" spans="1:22" ht="20.100000000000001" customHeight="1" x14ac:dyDescent="0.25">
      <c r="A13" s="17" t="str">
        <f>HYPERLINK("#'4.5.1.5-6 Atmos Dep'!A1", "4.5.1.5-6 Soil atm. deposition")</f>
        <v>4.5.1.5-6 Soil atm. deposition</v>
      </c>
      <c r="D13" s="6" t="s">
        <v>142</v>
      </c>
      <c r="Q13" s="38"/>
    </row>
    <row r="14" spans="1:22" ht="20.100000000000001" customHeight="1" x14ac:dyDescent="0.25">
      <c r="A14" s="17" t="str">
        <f>HYPERLINK("#'4.5.1.7-8 Leaching and runoff'!A1", "4.5.1.7-8 Leaching &amp; runoff")</f>
        <v>4.5.1.7-8 Leaching &amp; runoff</v>
      </c>
      <c r="Q14" s="38"/>
    </row>
    <row r="15" spans="1:22" ht="20.100000000000001" customHeight="1" x14ac:dyDescent="0.25">
      <c r="A15" s="17" t="str">
        <f>HYPERLINK("#'4.5.1.9 Manure applied to soils'!A1", "4.5.1.9 Manure applied to soils")</f>
        <v>4.5.1.9 Manure applied to soils</v>
      </c>
      <c r="D15" s="63" t="s">
        <v>260</v>
      </c>
      <c r="E15" s="118" t="s">
        <v>143</v>
      </c>
      <c r="F15" s="118" t="s">
        <v>144</v>
      </c>
      <c r="G15" s="118" t="s">
        <v>145</v>
      </c>
      <c r="H15" s="118" t="s">
        <v>263</v>
      </c>
      <c r="Q15" s="38"/>
    </row>
    <row r="16" spans="1:22" ht="20.100000000000001" customHeight="1" x14ac:dyDescent="0.25">
      <c r="D16" s="1" t="s">
        <v>146</v>
      </c>
      <c r="E16" s="52" cm="1">
        <f t="array" ref="E16">Common_InputFunctions.Utility_LookupValueInTableNumber(E15, Table_SourceData_Swine_VolatileSolids[Class], Table_SourceData_Swine_VolatileSolids[VSj])</f>
        <v>0.4</v>
      </c>
      <c r="F16" s="52" cm="1">
        <f t="array" ref="F16">Common_InputFunctions.Utility_LookupValueInTableNumber(F15, Table_SourceData_Swine_VolatileSolids[Class], Table_SourceData_Swine_VolatileSolids[VSj])</f>
        <v>0.46</v>
      </c>
      <c r="G16" s="52" cm="1">
        <f t="array" ref="G16">Common_InputFunctions.Utility_LookupValueInTableNumber(G15, Table_SourceData_Swine_VolatileSolids[Class], Table_SourceData_Swine_VolatileSolids[VSj])</f>
        <v>0.55000000000000004</v>
      </c>
      <c r="H16" s="52" cm="1">
        <f t="array" ref="H16">Common_InputFunctions.Utility_LookupValueInTableNumber(H15, Table_SourceData_Swine_VolatileSolids[Class], Table_SourceData_Swine_VolatileSolids[VSj])</f>
        <v>0.39</v>
      </c>
      <c r="I16" s="2" t="s">
        <v>121</v>
      </c>
      <c r="Q16" s="38"/>
    </row>
    <row r="17" spans="1:17" ht="20.100000000000001" customHeight="1" x14ac:dyDescent="0.25">
      <c r="A17" s="18" t="s">
        <v>4</v>
      </c>
      <c r="D17" s="1" t="s">
        <v>147</v>
      </c>
      <c r="E17" s="52" cm="1">
        <f t="array" ref="E17">Common_InputFunctions.Utility_LookupValueInTableNumber(E15, Table_SourceData_Swine_NitrogenInWaste[Class name], Table_SourceData_Swine_NitrogenInWaste[NWj Daily])</f>
        <v>4.5999999999999999E-2</v>
      </c>
      <c r="F17" s="52" cm="1">
        <f t="array" ref="F17">Common_InputFunctions.Utility_LookupValueInTableNumber(F15, Table_SourceData_Swine_NitrogenInWaste[Class name], Table_SourceData_Swine_NitrogenInWaste[NWj Daily])</f>
        <v>4.9000000000000002E-2</v>
      </c>
      <c r="G17" s="52" cm="1">
        <f t="array" ref="G17">Common_InputFunctions.Utility_LookupValueInTableNumber(G15, Table_SourceData_Swine_NitrogenInWaste[Class name], Table_SourceData_Swine_NitrogenInWaste[NWj Daily])</f>
        <v>4.5999999999999999E-2</v>
      </c>
      <c r="H17" s="52" cm="1">
        <f t="array" ref="H17">Common_InputFunctions.Utility_LookupValueInTableNumber(H15, Table_SourceData_Swine_NitrogenInWaste[Class name], Table_SourceData_Swine_NitrogenInWaste[NWj Daily])</f>
        <v>3.1199999999999999E-2</v>
      </c>
      <c r="I17" s="2" t="s">
        <v>148</v>
      </c>
      <c r="Q17" s="7"/>
    </row>
    <row r="18" spans="1:17" ht="20.100000000000001" customHeight="1" x14ac:dyDescent="0.25">
      <c r="A18" s="17" t="str">
        <f>HYPERLINK("#'Constants - Swine'!A1", "Constants - Swine")</f>
        <v>Constants - Swine</v>
      </c>
      <c r="J18" s="2"/>
      <c r="Q18" s="7"/>
    </row>
    <row r="19" spans="1:17" ht="20.100000000000001" customHeight="1" x14ac:dyDescent="0.25">
      <c r="A19" s="17" t="str">
        <f>HYPERLINK("#'Constants - Livestock'!A1", "Constants - Livestock")</f>
        <v>Constants - Livestock</v>
      </c>
      <c r="D19" s="63" t="s">
        <v>261</v>
      </c>
      <c r="E19" s="118" t="s">
        <v>143</v>
      </c>
      <c r="F19" s="118" t="s">
        <v>144</v>
      </c>
      <c r="G19" s="118" t="s">
        <v>145</v>
      </c>
      <c r="H19" s="118" t="s">
        <v>263</v>
      </c>
      <c r="Q19" s="7"/>
    </row>
    <row r="20" spans="1:17" ht="20.100000000000001" customHeight="1" x14ac:dyDescent="0.25">
      <c r="A20" s="17" t="str">
        <f>HYPERLINK("#'Constants - Common'!A1", "Constants - Common")</f>
        <v>Constants - Common</v>
      </c>
      <c r="D20" s="1" t="s">
        <v>146</v>
      </c>
      <c r="E20" s="66" cm="1">
        <f t="array" ref="E20">Common_InputFunctions.Utility_LookupValueInTableNumber(E19, Table_SourceData_Swine_VolatileSolids[Class], Table_SourceData_Swine_VolatileSolids[VSj])</f>
        <v>0.4</v>
      </c>
      <c r="F20" s="66" cm="1">
        <f t="array" ref="F20">Common_InputFunctions.Utility_LookupValueInTableNumber(F19, Table_SourceData_Swine_VolatileSolids[Class], Table_SourceData_Swine_VolatileSolids[VSj])</f>
        <v>0.46</v>
      </c>
      <c r="G20" s="66" cm="1">
        <f t="array" ref="G20">Common_InputFunctions.Utility_LookupValueInTableNumber(G19, Table_SourceData_Swine_VolatileSolids[Class], Table_SourceData_Swine_VolatileSolids[VSj])</f>
        <v>0.55000000000000004</v>
      </c>
      <c r="H20" s="66" cm="1">
        <f t="array" ref="H20">Common_InputFunctions.Utility_LookupValueInTableNumber(H19, Table_SourceData_Swine_VolatileSolids[Class], Table_SourceData_Swine_VolatileSolids[VSj])</f>
        <v>0.39</v>
      </c>
      <c r="I20" s="2" t="s">
        <v>121</v>
      </c>
      <c r="Q20" s="7"/>
    </row>
    <row r="21" spans="1:17" ht="20.100000000000001" customHeight="1" x14ac:dyDescent="0.25">
      <c r="A21" s="17" t="str">
        <f>HYPERLINK("#'Acknowledgements'!A1", "Acknowledgements")</f>
        <v>Acknowledgements</v>
      </c>
      <c r="D21" s="1" t="s">
        <v>147</v>
      </c>
      <c r="E21" s="66" cm="1">
        <f t="array" ref="E21">Common_InputFunctions.Utility_LookupValueInTableNumber(E19, Table_SourceData_Swine_NitrogenInWaste[Class name], Table_SourceData_Swine_NitrogenInWaste[NWj Daily])</f>
        <v>4.5999999999999999E-2</v>
      </c>
      <c r="F21" s="66" cm="1">
        <f t="array" ref="F21">Common_InputFunctions.Utility_LookupValueInTableNumber(F19, Table_SourceData_Swine_NitrogenInWaste[Class name], Table_SourceData_Swine_NitrogenInWaste[NWj Daily])</f>
        <v>4.9000000000000002E-2</v>
      </c>
      <c r="G21" s="66" cm="1">
        <f t="array" ref="G21">Common_InputFunctions.Utility_LookupValueInTableNumber(G19, Table_SourceData_Swine_NitrogenInWaste[Class name], Table_SourceData_Swine_NitrogenInWaste[NWj Daily])</f>
        <v>4.5999999999999999E-2</v>
      </c>
      <c r="H21" s="66" cm="1">
        <f t="array" ref="H21">Common_InputFunctions.Utility_LookupValueInTableNumber(H19, Table_SourceData_Swine_NitrogenInWaste[Class name], Table_SourceData_Swine_NitrogenInWaste[NWj Daily])</f>
        <v>3.1199999999999999E-2</v>
      </c>
      <c r="I21" s="2" t="s">
        <v>148</v>
      </c>
      <c r="Q21" s="7"/>
    </row>
    <row r="22" spans="1:17" ht="20.100000000000001" customHeight="1" x14ac:dyDescent="0.25">
      <c r="Q22" s="7"/>
    </row>
    <row r="23" spans="1:17" ht="20.100000000000001" customHeight="1" x14ac:dyDescent="0.25">
      <c r="A23" s="17"/>
      <c r="Q23" s="7"/>
    </row>
    <row r="24" spans="1:17" ht="20.100000000000001" customHeight="1" x14ac:dyDescent="0.25">
      <c r="A24" s="17"/>
      <c r="D24" s="6" t="s">
        <v>234</v>
      </c>
      <c r="Q24" s="7"/>
    </row>
    <row r="25" spans="1:17" ht="20.100000000000001" customHeight="1" x14ac:dyDescent="0.25">
      <c r="Q25" s="7"/>
    </row>
    <row r="26" spans="1:17" ht="20.100000000000001" customHeight="1" x14ac:dyDescent="0.25">
      <c r="A26" s="17"/>
      <c r="D26" s="1" t="s">
        <v>110</v>
      </c>
      <c r="E26" s="39" t="s">
        <v>149</v>
      </c>
      <c r="F26" s="2" t="s">
        <v>11</v>
      </c>
      <c r="Q26" s="7"/>
    </row>
    <row r="27" spans="1:17" ht="20.100000000000001" customHeight="1" x14ac:dyDescent="0.25">
      <c r="A27" s="17"/>
      <c r="Q27" s="7"/>
    </row>
    <row r="28" spans="1:17" ht="20.100000000000001" customHeight="1" x14ac:dyDescent="0.25">
      <c r="A28" s="17"/>
      <c r="D28" s="63" t="s">
        <v>235</v>
      </c>
      <c r="E28" s="118" t="s">
        <v>143</v>
      </c>
      <c r="F28" s="118" t="s">
        <v>144</v>
      </c>
      <c r="G28" s="118" t="s">
        <v>145</v>
      </c>
      <c r="H28" s="118" t="s">
        <v>263</v>
      </c>
      <c r="Q28" s="7"/>
    </row>
    <row r="29" spans="1:17" ht="20.100000000000001" customHeight="1" x14ac:dyDescent="0.25">
      <c r="A29" s="17"/>
      <c r="D29" s="127" t="str">
        <f>'Constants - Swine'!$G$41</f>
        <v>Anaerobic lagoon</v>
      </c>
      <c r="E29" s="46">
        <v>0.15</v>
      </c>
      <c r="F29" s="46">
        <v>0.15</v>
      </c>
      <c r="G29" s="46">
        <v>0.15</v>
      </c>
      <c r="H29" s="46">
        <v>0.15</v>
      </c>
      <c r="I29" s="2" t="s">
        <v>18</v>
      </c>
      <c r="Q29" s="7"/>
    </row>
    <row r="30" spans="1:17" ht="20.100000000000001" customHeight="1" x14ac:dyDescent="0.25">
      <c r="A30" s="17"/>
      <c r="D30" s="127" t="str">
        <f>'Constants - Swine'!$G$42</f>
        <v>Drylot (feed pad)</v>
      </c>
      <c r="E30" s="46">
        <v>0.15</v>
      </c>
      <c r="F30" s="46">
        <v>0.15</v>
      </c>
      <c r="G30" s="46">
        <v>0.15</v>
      </c>
      <c r="H30" s="46">
        <v>0.15</v>
      </c>
      <c r="I30" s="2" t="s">
        <v>18</v>
      </c>
      <c r="Q30" s="7"/>
    </row>
    <row r="31" spans="1:17" ht="20.100000000000001" customHeight="1" x14ac:dyDescent="0.25">
      <c r="A31" s="67"/>
      <c r="D31" s="127" t="str">
        <f>'Constants - Swine'!$G$43</f>
        <v>Digester / covered lagoons</v>
      </c>
      <c r="E31" s="46">
        <v>0.15</v>
      </c>
      <c r="F31" s="46">
        <v>0.15</v>
      </c>
      <c r="G31" s="46">
        <v>0.15</v>
      </c>
      <c r="H31" s="46">
        <v>0.15</v>
      </c>
      <c r="I31" s="2" t="s">
        <v>18</v>
      </c>
      <c r="Q31" s="7"/>
    </row>
    <row r="32" spans="1:17" ht="20.100000000000001" customHeight="1" x14ac:dyDescent="0.25">
      <c r="A32" s="67"/>
      <c r="D32" s="127" t="str">
        <f>'Constants - Swine'!$G$44</f>
        <v>Deep litter</v>
      </c>
      <c r="E32" s="46">
        <v>0.15</v>
      </c>
      <c r="F32" s="46">
        <v>0.15</v>
      </c>
      <c r="G32" s="46">
        <v>0.15</v>
      </c>
      <c r="H32" s="46">
        <v>0.15</v>
      </c>
      <c r="I32" s="2" t="s">
        <v>18</v>
      </c>
      <c r="Q32" s="7"/>
    </row>
    <row r="33" spans="1:17" ht="20.100000000000001" customHeight="1" x14ac:dyDescent="0.25">
      <c r="A33" s="17"/>
      <c r="D33" s="127" t="str">
        <f>'Constants - Swine'!$G$45</f>
        <v>Pit storage</v>
      </c>
      <c r="E33" s="46">
        <v>0.15</v>
      </c>
      <c r="F33" s="46">
        <v>0.15</v>
      </c>
      <c r="G33" s="46">
        <v>0.15</v>
      </c>
      <c r="H33" s="46">
        <v>0.15</v>
      </c>
      <c r="I33" s="2" t="s">
        <v>18</v>
      </c>
      <c r="Q33" s="7"/>
    </row>
    <row r="34" spans="1:17" ht="20.100000000000001" customHeight="1" x14ac:dyDescent="0.25">
      <c r="D34" s="127" t="s">
        <v>150</v>
      </c>
      <c r="E34" s="46">
        <v>0.25</v>
      </c>
      <c r="F34" s="46">
        <v>0.25</v>
      </c>
      <c r="G34" s="46">
        <v>0.25</v>
      </c>
      <c r="H34" s="46">
        <v>0.25</v>
      </c>
      <c r="I34" s="2" t="s">
        <v>18</v>
      </c>
      <c r="Q34" s="7"/>
    </row>
    <row r="35" spans="1:17" ht="20.100000000000001" customHeight="1" x14ac:dyDescent="0.25">
      <c r="D35" s="126" t="s">
        <v>236</v>
      </c>
      <c r="E35" s="97">
        <f>SUM(E29,E30,E31,E32,E33,E34)</f>
        <v>1</v>
      </c>
      <c r="F35" s="97">
        <f>SUM(F29,F30,F31,F32,F33,F34)</f>
        <v>1</v>
      </c>
      <c r="G35" s="97">
        <f>SUM(G29,G30,G31,G32,G33,G34)</f>
        <v>1</v>
      </c>
      <c r="H35" s="97">
        <f>SUM(H29,H30,H31,H32,H33,H34)</f>
        <v>1</v>
      </c>
      <c r="Q35" s="7"/>
    </row>
    <row r="36" spans="1:17" ht="20.100000000000001" customHeight="1" x14ac:dyDescent="0.25">
      <c r="Q36" s="7"/>
    </row>
    <row r="37" spans="1:17" ht="20.100000000000001" customHeight="1" x14ac:dyDescent="0.25">
      <c r="D37" s="136" t="s">
        <v>249</v>
      </c>
      <c r="Q37" s="7"/>
    </row>
    <row r="38" spans="1:17" ht="20.100000000000001" customHeight="1" x14ac:dyDescent="0.25">
      <c r="D38" s="129" t="s">
        <v>238</v>
      </c>
      <c r="E38" s="118" t="s">
        <v>239</v>
      </c>
      <c r="F38" s="118" t="s">
        <v>240</v>
      </c>
      <c r="G38" s="118" t="s">
        <v>241</v>
      </c>
      <c r="Q38" s="7"/>
    </row>
    <row r="39" spans="1:17" ht="20.100000000000001" customHeight="1" x14ac:dyDescent="0.25">
      <c r="A39" s="17"/>
      <c r="D39" s="128" t="str">
        <f>"Solids separated from " &amp; $D$29</f>
        <v>Solids separated from Anaerobic lagoon</v>
      </c>
      <c r="E39" s="39" t="s">
        <v>151</v>
      </c>
      <c r="F39" s="97">
        <v>0.2</v>
      </c>
      <c r="G39" s="46">
        <v>0.2</v>
      </c>
      <c r="Q39" s="7"/>
    </row>
    <row r="40" spans="1:17" ht="20.100000000000001" customHeight="1" x14ac:dyDescent="0.25">
      <c r="D40" s="128" t="str">
        <f>"Solids separated from " &amp; $D$30</f>
        <v>Solids separated from Drylot (feed pad)</v>
      </c>
      <c r="E40" s="39" t="s">
        <v>151</v>
      </c>
      <c r="F40" s="97">
        <v>0.2</v>
      </c>
      <c r="G40" s="46">
        <v>0.2</v>
      </c>
      <c r="Q40" s="7"/>
    </row>
    <row r="41" spans="1:17" ht="20.100000000000001" customHeight="1" x14ac:dyDescent="0.25">
      <c r="A41" s="44"/>
      <c r="D41" s="128" t="str">
        <f>"Solids separated from " &amp; $D$31</f>
        <v>Solids separated from Digester / covered lagoons</v>
      </c>
      <c r="E41" s="39" t="s">
        <v>151</v>
      </c>
      <c r="F41" s="97">
        <v>0.2</v>
      </c>
      <c r="G41" s="46">
        <v>0.2</v>
      </c>
      <c r="Q41" s="7"/>
    </row>
    <row r="42" spans="1:17" ht="20.100000000000001" customHeight="1" x14ac:dyDescent="0.25">
      <c r="D42" s="128" t="str">
        <f>"Solids separated from " &amp; $D$32</f>
        <v>Solids separated from Deep litter</v>
      </c>
      <c r="E42" s="39" t="s">
        <v>151</v>
      </c>
      <c r="F42" s="97">
        <v>0.2</v>
      </c>
      <c r="G42" s="46">
        <v>0.2</v>
      </c>
      <c r="Q42" s="7"/>
    </row>
    <row r="43" spans="1:17" ht="20.100000000000001" customHeight="1" x14ac:dyDescent="0.25">
      <c r="D43" s="128" t="str">
        <f>"Solids separated from " &amp; $D$33</f>
        <v>Solids separated from Pit storage</v>
      </c>
      <c r="E43" s="39" t="s">
        <v>151</v>
      </c>
      <c r="F43" s="97">
        <v>0.2</v>
      </c>
      <c r="G43" s="46">
        <v>0.2</v>
      </c>
      <c r="Q43" s="7"/>
    </row>
    <row r="44" spans="1:17" ht="20.100000000000001" customHeight="1" x14ac:dyDescent="0.25">
      <c r="D44" s="126"/>
      <c r="F44" s="2"/>
      <c r="Q44" s="7"/>
    </row>
    <row r="45" spans="1:17" ht="20.100000000000001" customHeight="1" x14ac:dyDescent="0.25">
      <c r="D45" s="135" t="s">
        <v>249</v>
      </c>
      <c r="Q45" s="7"/>
    </row>
    <row r="46" spans="1:17" ht="20.100000000000001" customHeight="1" x14ac:dyDescent="0.25">
      <c r="D46" s="131" t="s">
        <v>237</v>
      </c>
      <c r="E46" s="130" t="s">
        <v>143</v>
      </c>
      <c r="F46" s="130" t="s">
        <v>144</v>
      </c>
      <c r="G46" s="130" t="s">
        <v>145</v>
      </c>
      <c r="H46" s="130" t="s">
        <v>263</v>
      </c>
      <c r="I46" s="137" t="s">
        <v>250</v>
      </c>
      <c r="J46" s="63" t="s">
        <v>245</v>
      </c>
      <c r="K46" s="63"/>
      <c r="L46" s="119"/>
      <c r="Q46" s="7"/>
    </row>
    <row r="47" spans="1:17" ht="20.100000000000001" customHeight="1" x14ac:dyDescent="0.25">
      <c r="D47" s="132" t="str">
        <f>"From stage 1: " &amp; $D$29</f>
        <v>From stage 1: Anaerobic lagoon</v>
      </c>
      <c r="E47" s="106" t="str">
        <f>IF(SUM(E29:K29)&gt;0,"Manure was sent to this MMS, please complete this section.","No manure was sent to this MMS. Leave this section blank.")</f>
        <v>Manure was sent to this MMS, please complete this section.</v>
      </c>
      <c r="J47" s="134" t="s">
        <v>246</v>
      </c>
      <c r="K47" s="134" t="s">
        <v>247</v>
      </c>
      <c r="L47" s="134" t="s">
        <v>248</v>
      </c>
      <c r="Q47" s="7"/>
    </row>
    <row r="48" spans="1:17" ht="20.100000000000001" customHeight="1" x14ac:dyDescent="0.25">
      <c r="D48" s="133" t="str">
        <f>$D$31</f>
        <v>Digester / covered lagoons</v>
      </c>
      <c r="E48" s="46">
        <v>0.2</v>
      </c>
      <c r="F48" s="46">
        <v>0.25</v>
      </c>
      <c r="G48" s="46">
        <v>0.25</v>
      </c>
      <c r="H48" s="46">
        <v>0.25</v>
      </c>
      <c r="I48" s="2" t="s">
        <v>18</v>
      </c>
      <c r="J48" s="46">
        <v>0.25</v>
      </c>
      <c r="K48" s="46">
        <v>0.25</v>
      </c>
      <c r="L48" s="97">
        <f t="shared" ref="L48:L50" si="0">1-SUM(J48:K48)</f>
        <v>0.5</v>
      </c>
      <c r="Q48" s="7"/>
    </row>
    <row r="49" spans="4:17" ht="20.100000000000001" customHeight="1" x14ac:dyDescent="0.25">
      <c r="D49" s="133" t="str">
        <f>$D$32</f>
        <v>Deep litter</v>
      </c>
      <c r="E49" s="46">
        <v>0.2</v>
      </c>
      <c r="F49" s="46">
        <v>0.25</v>
      </c>
      <c r="G49" s="46">
        <v>0.25</v>
      </c>
      <c r="H49" s="46">
        <v>0.25</v>
      </c>
      <c r="I49" s="2" t="s">
        <v>18</v>
      </c>
      <c r="J49" s="46">
        <v>0.25</v>
      </c>
      <c r="K49" s="46">
        <v>0.25</v>
      </c>
      <c r="L49" s="97">
        <f t="shared" si="0"/>
        <v>0.5</v>
      </c>
      <c r="Q49" s="7"/>
    </row>
    <row r="50" spans="4:17" ht="20.100000000000001" customHeight="1" x14ac:dyDescent="0.25">
      <c r="D50" s="133" t="str">
        <f>$D$33</f>
        <v>Pit storage</v>
      </c>
      <c r="E50" s="46">
        <v>0.2</v>
      </c>
      <c r="F50" s="46">
        <v>0.25</v>
      </c>
      <c r="G50" s="46">
        <v>0.25</v>
      </c>
      <c r="H50" s="46">
        <v>0.25</v>
      </c>
      <c r="I50" s="2" t="s">
        <v>18</v>
      </c>
      <c r="J50" s="46">
        <v>0.25</v>
      </c>
      <c r="K50" s="46">
        <v>0.25</v>
      </c>
      <c r="L50" s="97">
        <f t="shared" si="0"/>
        <v>0.5</v>
      </c>
      <c r="Q50" s="7"/>
    </row>
    <row r="51" spans="4:17" ht="20.100000000000001" customHeight="1" x14ac:dyDescent="0.25">
      <c r="D51" s="145" t="s">
        <v>248</v>
      </c>
      <c r="E51" s="97">
        <f>1-SUM(E48:E50)</f>
        <v>0.39999999999999991</v>
      </c>
      <c r="F51" s="97">
        <f>1-SUM(F48:F50)</f>
        <v>0.25</v>
      </c>
      <c r="G51" s="97">
        <f>1-SUM(G48:G50)</f>
        <v>0.25</v>
      </c>
      <c r="H51" s="97">
        <f>1-SUM(H48:H50)</f>
        <v>0.25</v>
      </c>
      <c r="I51" s="2" t="s">
        <v>18</v>
      </c>
      <c r="Q51" s="7"/>
    </row>
    <row r="52" spans="4:17" ht="20.100000000000001" customHeight="1" x14ac:dyDescent="0.25">
      <c r="Q52" s="7"/>
    </row>
    <row r="53" spans="4:17" ht="20.100000000000001" customHeight="1" x14ac:dyDescent="0.25">
      <c r="D53" s="128"/>
      <c r="F53" s="2"/>
      <c r="Q53" s="7"/>
    </row>
    <row r="54" spans="4:17" ht="20.100000000000001" customHeight="1" x14ac:dyDescent="0.25">
      <c r="D54" s="132" t="str">
        <f>"From stage 1: " &amp; $D$30</f>
        <v>From stage 1: Drylot (feed pad)</v>
      </c>
      <c r="E54" s="106" t="str">
        <f>IF(SUM(E30:K30)&gt;0,"Manure was sent to this MMS, please complete this section.","No manure was sent to this MMS. Leave this section blank.")</f>
        <v>Manure was sent to this MMS, please complete this section.</v>
      </c>
      <c r="J54" s="134" t="s">
        <v>246</v>
      </c>
      <c r="K54" s="134" t="s">
        <v>247</v>
      </c>
      <c r="L54" s="134" t="s">
        <v>248</v>
      </c>
      <c r="Q54" s="7"/>
    </row>
    <row r="55" spans="4:17" ht="20.100000000000001" customHeight="1" x14ac:dyDescent="0.25">
      <c r="D55" s="133" t="str">
        <f>$D$29</f>
        <v>Anaerobic lagoon</v>
      </c>
      <c r="E55" s="46">
        <v>0.2</v>
      </c>
      <c r="F55" s="46">
        <v>0.25</v>
      </c>
      <c r="G55" s="46">
        <v>0.25</v>
      </c>
      <c r="H55" s="46">
        <v>0.25</v>
      </c>
      <c r="I55" s="2" t="s">
        <v>18</v>
      </c>
      <c r="J55" s="46">
        <v>0.25</v>
      </c>
      <c r="K55" s="46">
        <v>0.25</v>
      </c>
      <c r="L55" s="97">
        <f>1-SUM(J55:K55)</f>
        <v>0.5</v>
      </c>
      <c r="Q55" s="7"/>
    </row>
    <row r="56" spans="4:17" ht="20.100000000000001" customHeight="1" x14ac:dyDescent="0.25">
      <c r="D56" s="133" t="str">
        <f>$D$31</f>
        <v>Digester / covered lagoons</v>
      </c>
      <c r="E56" s="46">
        <v>0.2</v>
      </c>
      <c r="F56" s="46">
        <v>0.25</v>
      </c>
      <c r="G56" s="46">
        <v>0.25</v>
      </c>
      <c r="H56" s="46">
        <v>0.25</v>
      </c>
      <c r="I56" s="2" t="s">
        <v>18</v>
      </c>
      <c r="J56" s="46">
        <v>0.25</v>
      </c>
      <c r="K56" s="46">
        <v>0.25</v>
      </c>
      <c r="L56" s="97">
        <f t="shared" ref="L56:L58" si="1">1-SUM(J56:K56)</f>
        <v>0.5</v>
      </c>
      <c r="Q56" s="7"/>
    </row>
    <row r="57" spans="4:17" ht="20.100000000000001" customHeight="1" x14ac:dyDescent="0.25">
      <c r="D57" s="133" t="str">
        <f>$D$32</f>
        <v>Deep litter</v>
      </c>
      <c r="E57" s="46">
        <v>0.2</v>
      </c>
      <c r="F57" s="46">
        <v>0.25</v>
      </c>
      <c r="G57" s="46">
        <v>0.25</v>
      </c>
      <c r="H57" s="46">
        <v>0.25</v>
      </c>
      <c r="I57" s="2" t="s">
        <v>18</v>
      </c>
      <c r="J57" s="46">
        <v>0.25</v>
      </c>
      <c r="K57" s="46">
        <v>0.25</v>
      </c>
      <c r="L57" s="97">
        <f t="shared" si="1"/>
        <v>0.5</v>
      </c>
      <c r="Q57" s="7"/>
    </row>
    <row r="58" spans="4:17" ht="20.100000000000001" customHeight="1" x14ac:dyDescent="0.25">
      <c r="D58" s="133" t="str">
        <f>$D$33</f>
        <v>Pit storage</v>
      </c>
      <c r="E58" s="46">
        <v>0.2</v>
      </c>
      <c r="F58" s="46">
        <v>0.25</v>
      </c>
      <c r="G58" s="46">
        <v>0.25</v>
      </c>
      <c r="H58" s="46">
        <v>0.25</v>
      </c>
      <c r="I58" s="2" t="s">
        <v>18</v>
      </c>
      <c r="J58" s="46">
        <v>0.25</v>
      </c>
      <c r="K58" s="46">
        <v>0.25</v>
      </c>
      <c r="L58" s="97">
        <f t="shared" si="1"/>
        <v>0.5</v>
      </c>
      <c r="Q58" s="7"/>
    </row>
    <row r="59" spans="4:17" ht="20.100000000000001" customHeight="1" x14ac:dyDescent="0.25">
      <c r="D59" s="145" t="s">
        <v>248</v>
      </c>
      <c r="E59" s="97">
        <f>1-SUM(E55:E58)</f>
        <v>0.19999999999999996</v>
      </c>
      <c r="F59" s="97">
        <f t="shared" ref="F59:H59" si="2">1-SUM(F55:F58)</f>
        <v>0</v>
      </c>
      <c r="G59" s="97">
        <f t="shared" si="2"/>
        <v>0</v>
      </c>
      <c r="H59" s="97">
        <f t="shared" si="2"/>
        <v>0</v>
      </c>
      <c r="Q59" s="7"/>
    </row>
    <row r="60" spans="4:17" ht="20.100000000000001" customHeight="1" x14ac:dyDescent="0.25">
      <c r="Q60" s="7"/>
    </row>
    <row r="61" spans="4:17" ht="20.100000000000001" customHeight="1" x14ac:dyDescent="0.25">
      <c r="Q61" s="7"/>
    </row>
    <row r="62" spans="4:17" ht="20.100000000000001" customHeight="1" x14ac:dyDescent="0.25">
      <c r="D62" s="132" t="str">
        <f>"From stage 1: " &amp; $D$31</f>
        <v>From stage 1: Digester / covered lagoons</v>
      </c>
      <c r="E62" s="106" t="str">
        <f>IF(SUM(E31:K31)&gt;0,"Manure was sent to this MMS, please complete this section.","No manure was sent to this MMS. Leave this section blank.")</f>
        <v>Manure was sent to this MMS, please complete this section.</v>
      </c>
      <c r="J62" s="134" t="s">
        <v>246</v>
      </c>
      <c r="K62" s="134" t="s">
        <v>247</v>
      </c>
      <c r="L62" s="134" t="s">
        <v>248</v>
      </c>
      <c r="Q62" s="7"/>
    </row>
    <row r="63" spans="4:17" ht="20.100000000000001" customHeight="1" x14ac:dyDescent="0.25">
      <c r="D63" s="133" t="str">
        <f>$D$29</f>
        <v>Anaerobic lagoon</v>
      </c>
      <c r="E63" s="46">
        <v>0.2</v>
      </c>
      <c r="F63" s="46">
        <v>0.25</v>
      </c>
      <c r="G63" s="46">
        <v>0.25</v>
      </c>
      <c r="H63" s="46">
        <v>0.25</v>
      </c>
      <c r="I63" s="2" t="s">
        <v>18</v>
      </c>
      <c r="J63" s="46">
        <v>0.25</v>
      </c>
      <c r="K63" s="46">
        <v>0.25</v>
      </c>
      <c r="L63" s="97">
        <f>1-SUM(J63:K63)</f>
        <v>0.5</v>
      </c>
      <c r="Q63" s="7"/>
    </row>
    <row r="64" spans="4:17" ht="20.100000000000001" customHeight="1" x14ac:dyDescent="0.25">
      <c r="D64" s="133" t="str">
        <f>$D$32</f>
        <v>Deep litter</v>
      </c>
      <c r="E64" s="46">
        <v>0.2</v>
      </c>
      <c r="F64" s="46">
        <v>0.25</v>
      </c>
      <c r="G64" s="46">
        <v>0.25</v>
      </c>
      <c r="H64" s="46">
        <v>0.25</v>
      </c>
      <c r="I64" s="2" t="s">
        <v>18</v>
      </c>
      <c r="J64" s="46">
        <v>0.25</v>
      </c>
      <c r="K64" s="46">
        <v>0.25</v>
      </c>
      <c r="L64" s="97">
        <f>1-SUM(J64:K64)</f>
        <v>0.5</v>
      </c>
      <c r="Q64" s="7"/>
    </row>
    <row r="65" spans="4:17" ht="20.100000000000001" customHeight="1" x14ac:dyDescent="0.25">
      <c r="D65" s="133" t="str">
        <f>$D$33</f>
        <v>Pit storage</v>
      </c>
      <c r="E65" s="46">
        <v>0.2</v>
      </c>
      <c r="F65" s="46">
        <v>0.25</v>
      </c>
      <c r="G65" s="46">
        <v>0.25</v>
      </c>
      <c r="H65" s="46">
        <v>0.25</v>
      </c>
      <c r="I65" s="2" t="s">
        <v>18</v>
      </c>
      <c r="J65" s="46">
        <v>0.25</v>
      </c>
      <c r="K65" s="46">
        <v>0.25</v>
      </c>
      <c r="L65" s="97">
        <f>1-SUM(J65:K65)</f>
        <v>0.5</v>
      </c>
      <c r="Q65" s="7"/>
    </row>
    <row r="66" spans="4:17" ht="20.100000000000001" customHeight="1" x14ac:dyDescent="0.25">
      <c r="D66" s="145" t="s">
        <v>248</v>
      </c>
      <c r="E66" s="97">
        <f>1-SUM(E63:E65)</f>
        <v>0.39999999999999991</v>
      </c>
      <c r="F66" s="97">
        <f>1-SUM(F63:F65)</f>
        <v>0.25</v>
      </c>
      <c r="G66" s="97">
        <f>1-SUM(G63:G65)</f>
        <v>0.25</v>
      </c>
      <c r="H66" s="97">
        <f>1-SUM(H63:H65)</f>
        <v>0.25</v>
      </c>
      <c r="I66" s="2" t="s">
        <v>18</v>
      </c>
      <c r="Q66" s="7"/>
    </row>
    <row r="67" spans="4:17" ht="20.100000000000001" customHeight="1" x14ac:dyDescent="0.25">
      <c r="Q67" s="7"/>
    </row>
    <row r="68" spans="4:17" ht="20.100000000000001" customHeight="1" x14ac:dyDescent="0.25">
      <c r="D68" s="126"/>
      <c r="Q68" s="7"/>
    </row>
    <row r="69" spans="4:17" ht="20.100000000000001" customHeight="1" x14ac:dyDescent="0.25">
      <c r="D69" s="132" t="str">
        <f>"From stage 1: " &amp; $D$32</f>
        <v>From stage 1: Deep litter</v>
      </c>
      <c r="E69" s="106" t="str">
        <f>IF(SUM(E32:K32)&gt;0,"Manure was sent to this MMS, please complete this section.","No manure was sent to this MMS. Leave this section blank.")</f>
        <v>Manure was sent to this MMS, please complete this section.</v>
      </c>
      <c r="J69" s="134" t="s">
        <v>246</v>
      </c>
      <c r="K69" s="134" t="s">
        <v>247</v>
      </c>
      <c r="L69" s="134" t="s">
        <v>248</v>
      </c>
      <c r="Q69" s="7"/>
    </row>
    <row r="70" spans="4:17" ht="20.100000000000001" customHeight="1" x14ac:dyDescent="0.25">
      <c r="D70" s="133" t="str">
        <f>$D$29</f>
        <v>Anaerobic lagoon</v>
      </c>
      <c r="E70" s="46">
        <v>0.2</v>
      </c>
      <c r="F70" s="46">
        <v>0.25</v>
      </c>
      <c r="G70" s="46">
        <v>0.25</v>
      </c>
      <c r="H70" s="46">
        <v>0.25</v>
      </c>
      <c r="I70" s="2" t="s">
        <v>18</v>
      </c>
      <c r="J70" s="46">
        <v>0.25</v>
      </c>
      <c r="K70" s="46">
        <v>0.25</v>
      </c>
      <c r="L70" s="97">
        <f>1-SUM(J70:K70)</f>
        <v>0.5</v>
      </c>
      <c r="Q70" s="7"/>
    </row>
    <row r="71" spans="4:17" ht="20.100000000000001" customHeight="1" x14ac:dyDescent="0.25">
      <c r="D71" s="133" t="str">
        <f>$D$31</f>
        <v>Digester / covered lagoons</v>
      </c>
      <c r="E71" s="46">
        <v>0.2</v>
      </c>
      <c r="F71" s="46">
        <v>0.25</v>
      </c>
      <c r="G71" s="46">
        <v>0.25</v>
      </c>
      <c r="H71" s="46">
        <v>0.25</v>
      </c>
      <c r="I71" s="2" t="s">
        <v>18</v>
      </c>
      <c r="J71" s="46">
        <v>0.25</v>
      </c>
      <c r="K71" s="46">
        <v>0.25</v>
      </c>
      <c r="L71" s="97">
        <f>1-SUM(J71:K71)</f>
        <v>0.5</v>
      </c>
      <c r="Q71" s="7"/>
    </row>
    <row r="72" spans="4:17" ht="20.100000000000001" customHeight="1" x14ac:dyDescent="0.25">
      <c r="D72" s="133" t="str">
        <f>$D$33</f>
        <v>Pit storage</v>
      </c>
      <c r="E72" s="46">
        <v>0.2</v>
      </c>
      <c r="F72" s="46">
        <v>0.25</v>
      </c>
      <c r="G72" s="46">
        <v>0.25</v>
      </c>
      <c r="H72" s="46">
        <v>0.25</v>
      </c>
      <c r="I72" s="2" t="s">
        <v>18</v>
      </c>
      <c r="J72" s="46">
        <v>0.25</v>
      </c>
      <c r="K72" s="46">
        <v>0.25</v>
      </c>
      <c r="L72" s="97">
        <f>1-SUM(J72:K72)</f>
        <v>0.5</v>
      </c>
      <c r="Q72" s="7"/>
    </row>
    <row r="73" spans="4:17" ht="20.100000000000001" customHeight="1" x14ac:dyDescent="0.25">
      <c r="D73" s="145" t="s">
        <v>248</v>
      </c>
      <c r="E73" s="97">
        <f>1-SUM(E70:E72)</f>
        <v>0.39999999999999991</v>
      </c>
      <c r="F73" s="97">
        <f>1-SUM(F70:F72)</f>
        <v>0.25</v>
      </c>
      <c r="G73" s="97">
        <f>1-SUM(G70:G72)</f>
        <v>0.25</v>
      </c>
      <c r="H73" s="97">
        <f>1-SUM(H70:H72)</f>
        <v>0.25</v>
      </c>
      <c r="I73" s="2" t="s">
        <v>18</v>
      </c>
      <c r="Q73" s="7"/>
    </row>
    <row r="74" spans="4:17" ht="20.100000000000001" customHeight="1" x14ac:dyDescent="0.25">
      <c r="Q74" s="7"/>
    </row>
    <row r="75" spans="4:17" ht="20.100000000000001" customHeight="1" x14ac:dyDescent="0.25">
      <c r="Q75" s="7"/>
    </row>
    <row r="76" spans="4:17" ht="20.100000000000001" customHeight="1" x14ac:dyDescent="0.25">
      <c r="D76" s="132" t="str">
        <f>"From stage 1: " &amp; $D$33</f>
        <v>From stage 1: Pit storage</v>
      </c>
      <c r="E76" s="106" t="str">
        <f>IF(SUM(E33:K33)&gt;0,"Manure was sent to this MMS, please complete this section.","No manure was sent to this MMS. Leave this section blank.")</f>
        <v>Manure was sent to this MMS, please complete this section.</v>
      </c>
      <c r="J76" s="134" t="s">
        <v>246</v>
      </c>
      <c r="K76" s="134" t="s">
        <v>247</v>
      </c>
      <c r="L76" s="134" t="s">
        <v>248</v>
      </c>
      <c r="Q76" s="7"/>
    </row>
    <row r="77" spans="4:17" ht="20.100000000000001" customHeight="1" x14ac:dyDescent="0.25">
      <c r="D77" s="133" t="str">
        <f>$D$29</f>
        <v>Anaerobic lagoon</v>
      </c>
      <c r="E77" s="46">
        <v>0.2</v>
      </c>
      <c r="F77" s="46">
        <v>0.25</v>
      </c>
      <c r="G77" s="46">
        <v>0.25</v>
      </c>
      <c r="H77" s="46">
        <v>0.25</v>
      </c>
      <c r="I77" s="2" t="s">
        <v>18</v>
      </c>
      <c r="J77" s="46">
        <v>0.25</v>
      </c>
      <c r="K77" s="46">
        <v>0.25</v>
      </c>
      <c r="L77" s="97">
        <f>1-SUM(J77:K77)</f>
        <v>0.5</v>
      </c>
      <c r="Q77" s="7"/>
    </row>
    <row r="78" spans="4:17" ht="20.100000000000001" customHeight="1" x14ac:dyDescent="0.25">
      <c r="D78" s="133" t="str">
        <f>$D$31</f>
        <v>Digester / covered lagoons</v>
      </c>
      <c r="E78" s="46">
        <v>0.2</v>
      </c>
      <c r="F78" s="46">
        <v>0.25</v>
      </c>
      <c r="G78" s="46">
        <v>0.25</v>
      </c>
      <c r="H78" s="46">
        <v>0.25</v>
      </c>
      <c r="I78" s="2" t="s">
        <v>18</v>
      </c>
      <c r="J78" s="46">
        <v>0.25</v>
      </c>
      <c r="K78" s="46">
        <v>0.25</v>
      </c>
      <c r="L78" s="97">
        <f>1-SUM(J78:K78)</f>
        <v>0.5</v>
      </c>
      <c r="Q78" s="7"/>
    </row>
    <row r="79" spans="4:17" ht="20.100000000000001" customHeight="1" x14ac:dyDescent="0.25">
      <c r="D79" s="133" t="str">
        <f>$D$32</f>
        <v>Deep litter</v>
      </c>
      <c r="E79" s="46">
        <v>0.2</v>
      </c>
      <c r="F79" s="46">
        <v>0.25</v>
      </c>
      <c r="G79" s="46">
        <v>0.25</v>
      </c>
      <c r="H79" s="46">
        <v>0.25</v>
      </c>
      <c r="I79" s="2" t="s">
        <v>18</v>
      </c>
      <c r="J79" s="46">
        <v>0.25</v>
      </c>
      <c r="K79" s="46">
        <v>0.25</v>
      </c>
      <c r="L79" s="97">
        <f>1-SUM(J79:K79)</f>
        <v>0.5</v>
      </c>
      <c r="Q79" s="7"/>
    </row>
    <row r="80" spans="4:17" ht="20.100000000000001" customHeight="1" x14ac:dyDescent="0.25">
      <c r="D80" s="145" t="s">
        <v>248</v>
      </c>
      <c r="E80" s="97">
        <f>1-SUM(E77:E79)</f>
        <v>0.39999999999999991</v>
      </c>
      <c r="F80" s="97">
        <f>1-SUM(F77:F79)</f>
        <v>0.25</v>
      </c>
      <c r="G80" s="97">
        <f>1-SUM(G77:G79)</f>
        <v>0.25</v>
      </c>
      <c r="H80" s="97">
        <f>1-SUM(H77:H79)</f>
        <v>0.25</v>
      </c>
      <c r="I80" s="2" t="s">
        <v>18</v>
      </c>
      <c r="Q80" s="7"/>
    </row>
    <row r="81" spans="4:17" ht="20.100000000000001" customHeight="1" x14ac:dyDescent="0.25">
      <c r="Q81" s="7"/>
    </row>
    <row r="82" spans="4:17" ht="20.100000000000001" customHeight="1" x14ac:dyDescent="0.25">
      <c r="Q82" s="7"/>
    </row>
    <row r="83" spans="4:17" ht="20.100000000000001" customHeight="1" x14ac:dyDescent="0.25">
      <c r="D83" s="132" t="str">
        <f>"From stage 1: " &amp; $D$34</f>
        <v>From stage 1: Solid storage</v>
      </c>
      <c r="E83" s="106" t="str">
        <f>IF(SUM(E41:K41)&gt;0,"Manure was sent to this MMS, please complete this section.","No manure was sent to this MMS. Leave this section blank.")</f>
        <v>Manure was sent to this MMS, please complete this section.</v>
      </c>
      <c r="H83" s="107" t="s">
        <v>244</v>
      </c>
      <c r="J83" s="134" t="s">
        <v>246</v>
      </c>
      <c r="K83" s="134" t="s">
        <v>247</v>
      </c>
      <c r="L83" s="134" t="s">
        <v>248</v>
      </c>
      <c r="Q83" s="7"/>
    </row>
    <row r="84" spans="4:17" ht="20.100000000000001" customHeight="1" x14ac:dyDescent="0.25">
      <c r="D84" s="133" t="str">
        <f>$D$29</f>
        <v>Anaerobic lagoon</v>
      </c>
      <c r="E84" s="46">
        <v>0.2</v>
      </c>
      <c r="F84" s="46">
        <v>0.2</v>
      </c>
      <c r="G84" s="46">
        <v>0.2</v>
      </c>
      <c r="H84" s="46">
        <v>0.2</v>
      </c>
      <c r="I84" s="2" t="s">
        <v>18</v>
      </c>
      <c r="J84" s="46">
        <v>0.25</v>
      </c>
      <c r="K84" s="46">
        <v>0.25</v>
      </c>
      <c r="L84" s="97">
        <f>1-SUM(J84:K84)</f>
        <v>0.5</v>
      </c>
      <c r="Q84" s="7"/>
    </row>
    <row r="85" spans="4:17" ht="20.100000000000001" customHeight="1" x14ac:dyDescent="0.25">
      <c r="D85" s="133" t="str">
        <f>$D$31</f>
        <v>Digester / covered lagoons</v>
      </c>
      <c r="E85" s="46">
        <v>0.2</v>
      </c>
      <c r="F85" s="46">
        <v>0.2</v>
      </c>
      <c r="G85" s="46">
        <v>0.2</v>
      </c>
      <c r="H85" s="46">
        <v>0.2</v>
      </c>
      <c r="I85" s="2" t="s">
        <v>18</v>
      </c>
      <c r="J85" s="46">
        <v>0.25</v>
      </c>
      <c r="K85" s="46">
        <v>0.25</v>
      </c>
      <c r="L85" s="97">
        <f>1-SUM(J85:K85)</f>
        <v>0.5</v>
      </c>
      <c r="Q85" s="7"/>
    </row>
    <row r="86" spans="4:17" ht="20.100000000000001" customHeight="1" x14ac:dyDescent="0.25">
      <c r="D86" s="133" t="str">
        <f>$D$32</f>
        <v>Deep litter</v>
      </c>
      <c r="E86" s="46">
        <v>0.2</v>
      </c>
      <c r="F86" s="46">
        <v>0.2</v>
      </c>
      <c r="G86" s="46">
        <v>0.2</v>
      </c>
      <c r="H86" s="46">
        <v>0.2</v>
      </c>
      <c r="I86" s="2" t="s">
        <v>18</v>
      </c>
      <c r="J86" s="46">
        <v>0.25</v>
      </c>
      <c r="K86" s="46">
        <v>0.25</v>
      </c>
      <c r="L86" s="97">
        <f>1-SUM(J86:K86)</f>
        <v>0.5</v>
      </c>
      <c r="Q86" s="7"/>
    </row>
    <row r="87" spans="4:17" ht="20.100000000000001" customHeight="1" x14ac:dyDescent="0.25">
      <c r="D87" s="133" t="str">
        <f>$D$33</f>
        <v>Pit storage</v>
      </c>
      <c r="E87" s="46">
        <v>0.1</v>
      </c>
      <c r="F87" s="46">
        <v>0.1</v>
      </c>
      <c r="G87" s="46">
        <v>0.1</v>
      </c>
      <c r="H87" s="46">
        <v>0.1</v>
      </c>
      <c r="I87" s="2" t="s">
        <v>18</v>
      </c>
      <c r="J87" s="46">
        <v>0.25</v>
      </c>
      <c r="K87" s="46">
        <v>0.25</v>
      </c>
      <c r="L87" s="97">
        <f>1-SUM(J87:K87)</f>
        <v>0.5</v>
      </c>
      <c r="Q87" s="7"/>
    </row>
    <row r="88" spans="4:17" ht="20.100000000000001" customHeight="1" x14ac:dyDescent="0.25">
      <c r="D88" s="145" t="s">
        <v>248</v>
      </c>
      <c r="E88" s="97">
        <f>1-SUM(E84:E87)</f>
        <v>0.29999999999999993</v>
      </c>
      <c r="F88" s="97">
        <f>1-SUM(F84:F87)</f>
        <v>0.29999999999999993</v>
      </c>
      <c r="G88" s="97">
        <f>1-SUM(G84:G87)</f>
        <v>0.29999999999999993</v>
      </c>
      <c r="H88" s="97">
        <f>1-SUM(H84:H87)</f>
        <v>0.29999999999999993</v>
      </c>
      <c r="I88" s="2" t="s">
        <v>18</v>
      </c>
      <c r="Q88" s="7"/>
    </row>
    <row r="89" spans="4:17" ht="20.100000000000001" customHeight="1" x14ac:dyDescent="0.25">
      <c r="Q89" s="7"/>
    </row>
    <row r="90" spans="4:17" ht="20.100000000000001" customHeight="1" x14ac:dyDescent="0.25">
      <c r="Q90" s="7"/>
    </row>
    <row r="91" spans="4:17" ht="20.100000000000001" customHeight="1" x14ac:dyDescent="0.25">
      <c r="D91" s="1" t="s">
        <v>322</v>
      </c>
      <c r="E91" s="39" t="s">
        <v>137</v>
      </c>
      <c r="F91" s="2" t="s">
        <v>11</v>
      </c>
      <c r="Q91" s="7"/>
    </row>
    <row r="92" spans="4:17" ht="20.100000000000001" customHeight="1" x14ac:dyDescent="0.25">
      <c r="E92" s="39" t="s">
        <v>114</v>
      </c>
      <c r="F92" s="2" t="s">
        <v>11</v>
      </c>
      <c r="Q92" s="7"/>
    </row>
    <row r="93" spans="4:17" ht="20.100000000000001" customHeight="1" x14ac:dyDescent="0.25">
      <c r="Q93" s="7"/>
    </row>
    <row r="94" spans="4:17" ht="20.100000000000001" customHeight="1" x14ac:dyDescent="0.25">
      <c r="Q94" s="7"/>
    </row>
    <row r="95" spans="4:17" ht="20.100000000000001" customHeight="1" x14ac:dyDescent="0.25">
      <c r="Q95" s="7"/>
    </row>
    <row r="96" spans="4:17" ht="20.100000000000001" customHeight="1" x14ac:dyDescent="0.25">
      <c r="Q96" s="7"/>
    </row>
    <row r="97" spans="13:17" ht="20.100000000000001" customHeight="1" x14ac:dyDescent="0.25">
      <c r="Q97" s="7"/>
    </row>
    <row r="98" spans="13:17" ht="20.100000000000001" customHeight="1" x14ac:dyDescent="0.25">
      <c r="Q98" s="7"/>
    </row>
    <row r="99" spans="13:17" ht="20.100000000000001" customHeight="1" x14ac:dyDescent="0.25">
      <c r="Q99" s="7"/>
    </row>
    <row r="100" spans="13:17" ht="20.100000000000001" customHeight="1" x14ac:dyDescent="0.25">
      <c r="Q100" s="7"/>
    </row>
    <row r="101" spans="13:17" ht="20.100000000000001" customHeight="1" x14ac:dyDescent="0.25">
      <c r="Q101" s="7"/>
    </row>
    <row r="102" spans="13:17" ht="20.100000000000001" customHeight="1" x14ac:dyDescent="0.25">
      <c r="Q102" s="7"/>
    </row>
    <row r="103" spans="13:17" ht="20.100000000000001" customHeight="1" x14ac:dyDescent="0.25">
      <c r="Q103" s="7"/>
    </row>
    <row r="104" spans="13:17" ht="20.100000000000001" customHeight="1" x14ac:dyDescent="0.25">
      <c r="Q104" s="7"/>
    </row>
    <row r="105" spans="13:17" ht="20.100000000000001" customHeight="1" x14ac:dyDescent="0.25">
      <c r="Q105" s="7"/>
    </row>
    <row r="106" spans="13:17" ht="20.100000000000001" customHeight="1" x14ac:dyDescent="0.25">
      <c r="Q106" s="7"/>
    </row>
    <row r="107" spans="13:17" ht="20.100000000000001" customHeight="1" x14ac:dyDescent="0.25"/>
    <row r="108" spans="13:17" ht="20.100000000000001" customHeight="1" x14ac:dyDescent="0.25">
      <c r="M108" s="3"/>
    </row>
    <row r="109" spans="13:17" ht="20.100000000000001" customHeight="1" x14ac:dyDescent="0.25">
      <c r="M109" s="3"/>
    </row>
    <row r="110" spans="13:17" ht="20.100000000000001" customHeight="1" x14ac:dyDescent="0.25">
      <c r="M110" s="3"/>
    </row>
    <row r="111" spans="13:17" ht="20.100000000000001" customHeight="1" x14ac:dyDescent="0.25">
      <c r="M111" s="3"/>
    </row>
    <row r="112" spans="13:17" ht="20.100000000000001" customHeight="1" x14ac:dyDescent="0.25">
      <c r="M112" s="3"/>
    </row>
    <row r="113" spans="13:13" ht="20.100000000000001" customHeight="1" x14ac:dyDescent="0.25">
      <c r="M113" s="3"/>
    </row>
    <row r="114" spans="13:13" ht="20.100000000000001" customHeight="1" x14ac:dyDescent="0.25">
      <c r="M114" s="3"/>
    </row>
    <row r="115" spans="13:13" ht="20.100000000000001" customHeight="1" x14ac:dyDescent="0.25">
      <c r="M115" s="3"/>
    </row>
    <row r="116" spans="13:13" ht="20.100000000000001" customHeight="1" x14ac:dyDescent="0.25">
      <c r="M116" s="3"/>
    </row>
    <row r="117" spans="13:13" ht="20.100000000000001" customHeight="1" x14ac:dyDescent="0.25">
      <c r="M117" s="3"/>
    </row>
    <row r="118" spans="13:13" ht="20.100000000000001" customHeight="1" x14ac:dyDescent="0.25">
      <c r="M118" s="3"/>
    </row>
    <row r="119" spans="13:13" ht="20.100000000000001" customHeight="1" x14ac:dyDescent="0.25">
      <c r="M119" s="3"/>
    </row>
    <row r="120" spans="13:13" ht="20.100000000000001" customHeight="1" x14ac:dyDescent="0.25">
      <c r="M120" s="3"/>
    </row>
    <row r="121" spans="13:13" ht="20.100000000000001" customHeight="1" x14ac:dyDescent="0.25">
      <c r="M121" s="3"/>
    </row>
    <row r="122" spans="13:13" ht="20.100000000000001" customHeight="1" x14ac:dyDescent="0.25">
      <c r="M122" s="3"/>
    </row>
    <row r="123" spans="13:13" ht="20.100000000000001" customHeight="1" x14ac:dyDescent="0.25">
      <c r="M123" s="3"/>
    </row>
    <row r="124" spans="13:13" ht="20.100000000000001" customHeight="1" x14ac:dyDescent="0.25">
      <c r="M124" s="3"/>
    </row>
    <row r="125" spans="13:13" ht="20.100000000000001" customHeight="1" x14ac:dyDescent="0.25">
      <c r="M125" s="3"/>
    </row>
    <row r="126" spans="13:13" ht="20.100000000000001" customHeight="1" x14ac:dyDescent="0.25">
      <c r="M126" s="3"/>
    </row>
    <row r="127" spans="13:13" ht="20.100000000000001" customHeight="1" x14ac:dyDescent="0.25">
      <c r="M127" s="3"/>
    </row>
    <row r="128" spans="13:13" ht="20.100000000000001" customHeight="1" x14ac:dyDescent="0.25">
      <c r="M128" s="3"/>
    </row>
    <row r="129" spans="13:13" ht="20.100000000000001" customHeight="1" x14ac:dyDescent="0.25">
      <c r="M129" s="3"/>
    </row>
    <row r="130" spans="13:13" ht="20.100000000000001" customHeight="1" x14ac:dyDescent="0.25"/>
    <row r="131" spans="13:13" ht="20.100000000000001" customHeight="1" x14ac:dyDescent="0.25"/>
    <row r="132" spans="13:13" ht="20.100000000000001" customHeight="1" x14ac:dyDescent="0.25"/>
    <row r="133" spans="13:13" ht="20.100000000000001" customHeight="1" x14ac:dyDescent="0.25"/>
    <row r="134" spans="13:13" ht="20.100000000000001" customHeight="1" x14ac:dyDescent="0.25"/>
    <row r="135" spans="13:13" ht="20.100000000000001" customHeight="1" x14ac:dyDescent="0.25"/>
    <row r="136" spans="13:13" ht="20.100000000000001" customHeight="1" x14ac:dyDescent="0.25"/>
    <row r="137" spans="13:13" ht="20.100000000000001" customHeight="1" x14ac:dyDescent="0.25"/>
    <row r="138" spans="13:13" ht="20.100000000000001" customHeight="1" x14ac:dyDescent="0.25"/>
    <row r="139" spans="13:13" ht="20.100000000000001" customHeight="1" x14ac:dyDescent="0.25"/>
    <row r="140" spans="13:13" ht="20.100000000000001" customHeight="1" x14ac:dyDescent="0.25"/>
    <row r="141" spans="13:13" ht="20.100000000000001" customHeight="1" x14ac:dyDescent="0.25"/>
    <row r="142" spans="13:13" ht="20.100000000000001" customHeight="1" x14ac:dyDescent="0.25"/>
    <row r="143" spans="13:13" ht="20.100000000000001" customHeight="1" x14ac:dyDescent="0.25"/>
    <row r="144" spans="13:13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206" spans="12:12" x14ac:dyDescent="0.25">
      <c r="L206" s="2"/>
    </row>
    <row r="207" spans="12:12" x14ac:dyDescent="0.25">
      <c r="L207" s="2"/>
    </row>
    <row r="208" spans="12:12" x14ac:dyDescent="0.25">
      <c r="L208" s="2"/>
    </row>
    <row r="209" spans="12:12" x14ac:dyDescent="0.25">
      <c r="L209" s="2"/>
    </row>
    <row r="210" spans="12:12" x14ac:dyDescent="0.25">
      <c r="L210" s="2"/>
    </row>
    <row r="212" spans="12:12" x14ac:dyDescent="0.25">
      <c r="L212" s="2"/>
    </row>
    <row r="214" spans="12:12" x14ac:dyDescent="0.25">
      <c r="L214" s="2"/>
    </row>
    <row r="215" spans="12:12" x14ac:dyDescent="0.25">
      <c r="L215" s="2"/>
    </row>
    <row r="216" spans="12:12" x14ac:dyDescent="0.25">
      <c r="L216" s="2"/>
    </row>
    <row r="217" spans="12:12" x14ac:dyDescent="0.25">
      <c r="L217" s="2"/>
    </row>
    <row r="219" spans="12:12" x14ac:dyDescent="0.25">
      <c r="L219" s="2"/>
    </row>
    <row r="227" spans="12:12" x14ac:dyDescent="0.25">
      <c r="L227" s="2"/>
    </row>
    <row r="228" spans="12:12" x14ac:dyDescent="0.25">
      <c r="L228" s="2"/>
    </row>
    <row r="229" spans="12:12" x14ac:dyDescent="0.25">
      <c r="L229" s="2"/>
    </row>
    <row r="232" spans="12:12" x14ac:dyDescent="0.25">
      <c r="L232" s="2"/>
    </row>
    <row r="233" spans="12:12" x14ac:dyDescent="0.25">
      <c r="L233" s="2"/>
    </row>
    <row r="234" spans="12:12" x14ac:dyDescent="0.25">
      <c r="L234" s="2"/>
    </row>
    <row r="237" spans="12:12" x14ac:dyDescent="0.25">
      <c r="L237" s="2"/>
    </row>
    <row r="238" spans="12:12" x14ac:dyDescent="0.25">
      <c r="L238" s="2"/>
    </row>
    <row r="239" spans="12:12" x14ac:dyDescent="0.25">
      <c r="L239" s="2"/>
    </row>
    <row r="242" spans="11:12" x14ac:dyDescent="0.25">
      <c r="L242" s="2"/>
    </row>
    <row r="243" spans="11:12" x14ac:dyDescent="0.25">
      <c r="K243" s="2"/>
      <c r="L243" s="2"/>
    </row>
    <row r="244" spans="11:12" x14ac:dyDescent="0.25">
      <c r="L244" s="2"/>
    </row>
    <row r="248" spans="11:12" x14ac:dyDescent="0.25">
      <c r="K248" s="2"/>
    </row>
    <row r="251" spans="11:12" x14ac:dyDescent="0.25">
      <c r="L251" s="2"/>
    </row>
    <row r="252" spans="11:12" x14ac:dyDescent="0.25">
      <c r="L252" s="2"/>
    </row>
    <row r="253" spans="11:12" x14ac:dyDescent="0.25">
      <c r="K253" s="2"/>
      <c r="L253" s="2"/>
    </row>
    <row r="256" spans="11:12" x14ac:dyDescent="0.25">
      <c r="L256" s="2"/>
    </row>
    <row r="257" spans="11:12" x14ac:dyDescent="0.25">
      <c r="L257" s="2"/>
    </row>
    <row r="258" spans="11:12" x14ac:dyDescent="0.25">
      <c r="K258" s="2"/>
      <c r="L258" s="2"/>
    </row>
    <row r="259" spans="11:12" x14ac:dyDescent="0.25">
      <c r="K259" s="2"/>
    </row>
    <row r="260" spans="11:12" x14ac:dyDescent="0.25">
      <c r="K260" s="2"/>
    </row>
    <row r="261" spans="11:12" x14ac:dyDescent="0.25">
      <c r="K261" s="2"/>
      <c r="L261" s="2"/>
    </row>
    <row r="262" spans="11:12" x14ac:dyDescent="0.25">
      <c r="K262" s="2"/>
      <c r="L262" s="2"/>
    </row>
    <row r="263" spans="11:12" x14ac:dyDescent="0.25">
      <c r="L263" s="2"/>
    </row>
    <row r="264" spans="11:12" x14ac:dyDescent="0.25">
      <c r="K264" s="2"/>
    </row>
    <row r="266" spans="11:12" x14ac:dyDescent="0.25">
      <c r="K266" s="2"/>
      <c r="L266" s="2"/>
    </row>
    <row r="267" spans="11:12" x14ac:dyDescent="0.25">
      <c r="K267" s="2"/>
      <c r="L267" s="2"/>
    </row>
    <row r="268" spans="11:12" x14ac:dyDescent="0.25">
      <c r="K268" s="2"/>
      <c r="L268" s="2"/>
    </row>
    <row r="269" spans="11:12" x14ac:dyDescent="0.25">
      <c r="K269" s="2"/>
    </row>
    <row r="271" spans="11:12" x14ac:dyDescent="0.25">
      <c r="K271" s="2"/>
    </row>
    <row r="277" spans="11:11" x14ac:dyDescent="0.25">
      <c r="K277" s="2"/>
    </row>
    <row r="282" spans="11:11" x14ac:dyDescent="0.25">
      <c r="K282" s="2"/>
    </row>
    <row r="287" spans="11:11" x14ac:dyDescent="0.25">
      <c r="K287" s="2"/>
    </row>
    <row r="292" spans="11:11" x14ac:dyDescent="0.25">
      <c r="K292" s="2"/>
    </row>
    <row r="293" spans="11:11" x14ac:dyDescent="0.25">
      <c r="K293" s="2"/>
    </row>
    <row r="294" spans="11:11" x14ac:dyDescent="0.25">
      <c r="K294" s="2"/>
    </row>
    <row r="295" spans="11:11" x14ac:dyDescent="0.25">
      <c r="K295" s="2"/>
    </row>
    <row r="296" spans="11:11" x14ac:dyDescent="0.25">
      <c r="K296" s="2"/>
    </row>
    <row r="298" spans="11:11" x14ac:dyDescent="0.25">
      <c r="K298" s="2"/>
    </row>
    <row r="300" spans="11:11" x14ac:dyDescent="0.25">
      <c r="K300" s="2"/>
    </row>
    <row r="301" spans="11:11" x14ac:dyDescent="0.25">
      <c r="K301" s="2"/>
    </row>
    <row r="302" spans="11:11" x14ac:dyDescent="0.25">
      <c r="K302" s="2"/>
    </row>
    <row r="303" spans="11:11" x14ac:dyDescent="0.25">
      <c r="K303" s="2"/>
    </row>
    <row r="305" spans="11:11" x14ac:dyDescent="0.25">
      <c r="K305" s="2"/>
    </row>
    <row r="313" spans="11:11" x14ac:dyDescent="0.25">
      <c r="K313" s="2"/>
    </row>
    <row r="314" spans="11:11" x14ac:dyDescent="0.25">
      <c r="K314" s="2"/>
    </row>
    <row r="315" spans="11:11" x14ac:dyDescent="0.25">
      <c r="K315" s="2"/>
    </row>
    <row r="318" spans="11:11" x14ac:dyDescent="0.25">
      <c r="K318" s="2"/>
    </row>
    <row r="319" spans="11:11" x14ac:dyDescent="0.25">
      <c r="K319" s="2"/>
    </row>
    <row r="320" spans="11:11" x14ac:dyDescent="0.25">
      <c r="K320" s="2"/>
    </row>
    <row r="323" spans="11:11" x14ac:dyDescent="0.25">
      <c r="K323" s="2"/>
    </row>
    <row r="324" spans="11:11" x14ac:dyDescent="0.25">
      <c r="K324" s="2"/>
    </row>
    <row r="325" spans="11:11" x14ac:dyDescent="0.25">
      <c r="K325" s="2"/>
    </row>
    <row r="328" spans="11:11" x14ac:dyDescent="0.25">
      <c r="K328" s="2"/>
    </row>
    <row r="329" spans="11:11" x14ac:dyDescent="0.25">
      <c r="K329" s="2"/>
    </row>
    <row r="330" spans="11:11" x14ac:dyDescent="0.25">
      <c r="K330" s="2"/>
    </row>
    <row r="337" spans="11:11" x14ac:dyDescent="0.25">
      <c r="K337" s="2"/>
    </row>
    <row r="338" spans="11:11" x14ac:dyDescent="0.25">
      <c r="K338" s="2"/>
    </row>
    <row r="339" spans="11:11" x14ac:dyDescent="0.25">
      <c r="K339" s="2"/>
    </row>
    <row r="342" spans="11:11" x14ac:dyDescent="0.25">
      <c r="K342" s="2"/>
    </row>
    <row r="343" spans="11:11" x14ac:dyDescent="0.25">
      <c r="K343" s="2"/>
    </row>
    <row r="344" spans="11:11" x14ac:dyDescent="0.25">
      <c r="K344" s="2"/>
    </row>
    <row r="347" spans="11:11" x14ac:dyDescent="0.25">
      <c r="K347" s="2"/>
    </row>
    <row r="348" spans="11:11" x14ac:dyDescent="0.25">
      <c r="K348" s="2"/>
    </row>
    <row r="349" spans="11:11" x14ac:dyDescent="0.25">
      <c r="K349" s="2"/>
    </row>
    <row r="352" spans="11:11" x14ac:dyDescent="0.25">
      <c r="K352" s="2"/>
    </row>
    <row r="353" spans="4:11" x14ac:dyDescent="0.25">
      <c r="K353" s="2"/>
    </row>
    <row r="354" spans="4:11" x14ac:dyDescent="0.25">
      <c r="K354" s="2"/>
    </row>
    <row r="356" spans="4:11" x14ac:dyDescent="0.25">
      <c r="D356" s="106"/>
    </row>
  </sheetData>
  <conditionalFormatting sqref="E205:G205">
    <cfRule type="cellIs" dxfId="31" priority="79" operator="lessThan">
      <formula>0</formula>
    </cfRule>
  </conditionalFormatting>
  <conditionalFormatting sqref="F40:F41">
    <cfRule type="cellIs" dxfId="30" priority="69" operator="lessThan">
      <formula>0</formula>
    </cfRule>
  </conditionalFormatting>
  <conditionalFormatting sqref="F44">
    <cfRule type="cellIs" dxfId="29" priority="68" operator="lessThan">
      <formula>0</formula>
    </cfRule>
  </conditionalFormatting>
  <conditionalFormatting sqref="F53">
    <cfRule type="cellIs" dxfId="28" priority="62" operator="lessThan">
      <formula>0</formula>
    </cfRule>
  </conditionalFormatting>
  <conditionalFormatting sqref="F121:F122">
    <cfRule type="cellIs" dxfId="27" priority="21" operator="lessThan">
      <formula>0</formula>
    </cfRule>
  </conditionalFormatting>
  <conditionalFormatting sqref="F133:F134">
    <cfRule type="cellIs" dxfId="26" priority="20" operator="lessThan">
      <formula>0</formula>
    </cfRule>
  </conditionalFormatting>
  <conditionalFormatting sqref="F145:F146">
    <cfRule type="cellIs" dxfId="25" priority="19" operator="lessThan">
      <formula>0</formula>
    </cfRule>
  </conditionalFormatting>
  <conditionalFormatting sqref="F157:F158">
    <cfRule type="cellIs" dxfId="24" priority="18" operator="lessThan">
      <formula>0</formula>
    </cfRule>
  </conditionalFormatting>
  <conditionalFormatting sqref="F245:F246">
    <cfRule type="cellIs" dxfId="23" priority="93" operator="lessThan">
      <formula>0</formula>
    </cfRule>
  </conditionalFormatting>
  <conditionalFormatting sqref="F250:F251">
    <cfRule type="cellIs" dxfId="22" priority="92" operator="lessThan">
      <formula>0</formula>
    </cfRule>
  </conditionalFormatting>
  <conditionalFormatting sqref="F255:F256">
    <cfRule type="cellIs" dxfId="21" priority="91" operator="lessThan">
      <formula>0</formula>
    </cfRule>
  </conditionalFormatting>
  <conditionalFormatting sqref="F279:F280">
    <cfRule type="cellIs" dxfId="20" priority="85" operator="lessThan">
      <formula>0</formula>
    </cfRule>
  </conditionalFormatting>
  <conditionalFormatting sqref="F284:F285">
    <cfRule type="cellIs" dxfId="19" priority="84" operator="lessThan">
      <formula>0</formula>
    </cfRule>
  </conditionalFormatting>
  <conditionalFormatting sqref="F289:F290">
    <cfRule type="cellIs" dxfId="18" priority="83" operator="lessThan">
      <formula>0</formula>
    </cfRule>
  </conditionalFormatting>
  <conditionalFormatting sqref="I29:I34">
    <cfRule type="cellIs" dxfId="17" priority="55" operator="lessThan">
      <formula>0</formula>
    </cfRule>
  </conditionalFormatting>
  <conditionalFormatting sqref="I55:I59">
    <cfRule type="cellIs" dxfId="16" priority="6" operator="lessThan">
      <formula>0</formula>
    </cfRule>
  </conditionalFormatting>
  <conditionalFormatting sqref="I63:I66">
    <cfRule type="cellIs" dxfId="15" priority="5" operator="lessThan">
      <formula>0</formula>
    </cfRule>
  </conditionalFormatting>
  <conditionalFormatting sqref="I70:I73">
    <cfRule type="cellIs" dxfId="14" priority="4" operator="lessThan">
      <formula>0</formula>
    </cfRule>
  </conditionalFormatting>
  <conditionalFormatting sqref="I77:I80">
    <cfRule type="cellIs" dxfId="13" priority="3" operator="lessThan">
      <formula>0</formula>
    </cfRule>
  </conditionalFormatting>
  <conditionalFormatting sqref="I84:I88">
    <cfRule type="cellIs" dxfId="12" priority="1" operator="lessThan">
      <formula>0</formula>
    </cfRule>
  </conditionalFormatting>
  <conditionalFormatting sqref="J147">
    <cfRule type="cellIs" dxfId="11" priority="24" operator="lessThan">
      <formula>0</formula>
    </cfRule>
  </conditionalFormatting>
  <conditionalFormatting sqref="L113:L116">
    <cfRule type="cellIs" dxfId="10" priority="11" operator="lessThan">
      <formula>0</formula>
    </cfRule>
  </conditionalFormatting>
  <conditionalFormatting sqref="L119">
    <cfRule type="cellIs" dxfId="9" priority="17" operator="lessThan">
      <formula>0</formula>
    </cfRule>
  </conditionalFormatting>
  <conditionalFormatting sqref="L125:L128">
    <cfRule type="cellIs" dxfId="8" priority="10" operator="lessThan">
      <formula>0</formula>
    </cfRule>
  </conditionalFormatting>
  <conditionalFormatting sqref="L131">
    <cfRule type="cellIs" dxfId="7" priority="16" operator="lessThan">
      <formula>0</formula>
    </cfRule>
  </conditionalFormatting>
  <conditionalFormatting sqref="L137:L140">
    <cfRule type="cellIs" dxfId="6" priority="9" operator="lessThan">
      <formula>0</formula>
    </cfRule>
  </conditionalFormatting>
  <conditionalFormatting sqref="L143">
    <cfRule type="cellIs" dxfId="5" priority="15" operator="lessThan">
      <formula>0</formula>
    </cfRule>
  </conditionalFormatting>
  <conditionalFormatting sqref="L149:L152">
    <cfRule type="cellIs" dxfId="4" priority="8" operator="lessThan">
      <formula>0</formula>
    </cfRule>
  </conditionalFormatting>
  <conditionalFormatting sqref="L155">
    <cfRule type="cellIs" dxfId="3" priority="14" operator="lessThan">
      <formula>0</formula>
    </cfRule>
  </conditionalFormatting>
  <conditionalFormatting sqref="L159:L160">
    <cfRule type="cellIs" dxfId="2" priority="12" operator="lessThan">
      <formula>0</formula>
    </cfRule>
  </conditionalFormatting>
  <conditionalFormatting sqref="L206:L210 L212 L214:L217 L219 J223:J225 J228:J230 J243:K243 J248:K248 J253:K253 J258:K262 J264:K264 J266:K269 J271:K271 J277:K277 J282:K282 J287:K287 J292:K296 J298:K298 J300:K303 J305:K305">
    <cfRule type="cellIs" dxfId="1" priority="102" operator="lessThan">
      <formula>0</formula>
    </cfRule>
  </conditionalFormatting>
  <conditionalFormatting sqref="N43:O43 I48:I51 M101 I119:J119 K180:L180 K184:L185 K188:L189 K194:L195 K198:L198 I199:L199 I205:L205">
    <cfRule type="cellIs" dxfId="0" priority="74" operator="lessThan">
      <formula>0</formula>
    </cfRule>
  </conditionalFormatting>
  <dataValidations disablePrompts="1" count="6">
    <dataValidation type="list" allowBlank="1" showInputMessage="1" showErrorMessage="1" sqref="D272" xr:uid="{4E913AB3-F90B-4C35-BCE1-5DBB8FC05107}">
      <formula1>INDIRECT("Table_SourceData_PoultryMMSStage1[MMS]")</formula1>
    </dataValidation>
    <dataValidation type="list" allowBlank="1" showInputMessage="1" showErrorMessage="1" sqref="E220" xr:uid="{9FB53635-991F-44AA-A123-E8ABEF9EE0A6}">
      <formula1>INDIRECT("Table_SourceData_Dairy_ProductionSystemTemplates[Area]")</formula1>
    </dataValidation>
    <dataValidation type="list" allowBlank="1" showInputMessage="1" showErrorMessage="1" sqref="E244 E249 E254 E288 E283 E278 E39:E43 E156 E144 E120 E132" xr:uid="{00A4EA4C-90D3-4150-979D-4D71C7F37A31}">
      <formula1>"Yes, No"</formula1>
    </dataValidation>
    <dataValidation type="list" allowBlank="1" showInputMessage="1" showErrorMessage="1" sqref="E26" xr:uid="{7CE3F3B3-74F0-4147-9434-E417CDC75C10}">
      <formula1>INDIRECT("Table_SourceData_Swine_ProductionSystems[Production system]")</formula1>
    </dataValidation>
    <dataValidation type="list" allowBlank="1" showInputMessage="1" showErrorMessage="1" sqref="E92" xr:uid="{DBA884B0-B52E-420E-8FD2-21B082EB75E2}">
      <formula1>INDIRECT("Table_SourceData_Swine_IrrigationMethods[Irrigation method]")</formula1>
    </dataValidation>
    <dataValidation type="list" allowBlank="1" showInputMessage="1" showErrorMessage="1" sqref="E91" xr:uid="{B95E29DC-96D0-4475-A29E-3F3A3B60CEA1}">
      <formula1>INDIRECT("Table_SourceData_Swine_CropProdSystems[Production system]")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U342"/>
  <sheetViews>
    <sheetView showGridLines="0" zoomScaleNormal="100" workbookViewId="0">
      <selection activeCell="A8" sqref="A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163</v>
      </c>
    </row>
    <row r="2" spans="1:21" s="9" customFormat="1" ht="20.100000000000001" customHeight="1" x14ac:dyDescent="0.25"/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ManureManagement_Swine_Methane.VEERG_4_5_1_1__4_FractionVolatileSolidsPrimarySystem_Title()</f>
        <v>Fraction of volatile solids in each primary system other than solid storage</v>
      </c>
    </row>
    <row r="6" spans="1:21" ht="20.100000000000001" customHeight="1" x14ac:dyDescent="0.25">
      <c r="A6" s="20" t="s">
        <v>3</v>
      </c>
      <c r="D6" s="5" t="str" cm="1">
        <f t="array" ref="D6">ManureManagement_Swine_Methane.VEERG_4_5_1_1__4_FractionVolatileSolidsPrimarySystem_Source()</f>
        <v>VEERG 2026: 4.5.1.1, Equation (4)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Common_InputFunctions.Utility_DisplayFunctionName($E$40)</f>
        <v>=ManureManagement_Swine_Methane.VEERG_4_5_1_1__4_FractionVolatileSolidsPrimarySystem</v>
      </c>
    </row>
    <row r="8" spans="1:21" ht="20.100000000000001" customHeight="1" x14ac:dyDescent="0.25">
      <c r="A8" s="17" t="str">
        <f>HYPERLINK("#'Input - Swine'!A1", "Swine")</f>
        <v>Swine</v>
      </c>
      <c r="D8" s="55"/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ManureManagement_Swine_Methane.VEERG_4_5_1_1__4_FractionVolatileSolidsPrimarySystem_Variable()</f>
        <v>FVSjmT1</v>
      </c>
      <c r="G10" s="107" t="s">
        <v>164</v>
      </c>
    </row>
    <row r="11" spans="1:21" ht="20.100000000000001" customHeight="1" x14ac:dyDescent="0.25">
      <c r="A11" s="142" t="str">
        <f>HYPERLINK("#'4.5.1.1-2 Methane'!A1", "4.5.1.1-2 Methane")</f>
        <v>4.5.1.1-2 Methane</v>
      </c>
      <c r="D11" s="53" t="s">
        <v>19</v>
      </c>
      <c r="E11" s="54" t="str" cm="1">
        <f t="array" ref="E11">ManureManagement_Swine_Methane.VEERG_4_5_1_1__4_FractionVolatileSolidsPrimarySystem_Unit()</f>
        <v>fraction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4">ManureManagement_Swine_Methane.VEERG_4_5_1_1__4_FractionVolatileSolidsPrimarySystem_Arguments()</f>
        <v>MMSjmT1</v>
      </c>
      <c r="E13" s="58" t="str">
        <v>fraction of manure to each primary MMS for each class prior to solid separation : fraction</v>
      </c>
      <c r="F13" s="100"/>
      <c r="G13" s="59"/>
      <c r="H13" s="52" t="str">
        <f>"See " &amp; $D$16</f>
        <v>See Table_MMS_j_m_T-1</v>
      </c>
      <c r="I13" s="107" t="s">
        <v>165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SSm</v>
      </c>
      <c r="E14" s="58" t="str">
        <v>fraction of volatile solids separated to solid storage for each MMS : fraction</v>
      </c>
      <c r="F14" s="100"/>
      <c r="G14" s="59"/>
      <c r="H14" s="52" t="str">
        <f>"See " &amp; $D$26</f>
        <v>See M1_Table_SS_m</v>
      </c>
      <c r="I14" s="107" t="s">
        <v>166</v>
      </c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</row>
    <row r="16" spans="1:21" ht="20.100000000000001" customHeight="1" x14ac:dyDescent="0.25">
      <c r="D16" s="121" t="s">
        <v>303</v>
      </c>
    </row>
    <row r="17" spans="1:19" ht="20.100000000000001" customHeight="1" x14ac:dyDescent="0.25">
      <c r="A17" s="18" t="s">
        <v>4</v>
      </c>
      <c r="D17" s="122" t="s">
        <v>168</v>
      </c>
    </row>
    <row r="18" spans="1:19" ht="20.100000000000001" customHeight="1" x14ac:dyDescent="0.25">
      <c r="A18" s="17" t="str">
        <f>HYPERLINK("#'Constants - Swine'!A1", "Constants - Swine")</f>
        <v>Constants - Swine</v>
      </c>
      <c r="E18" s="51" t="s">
        <v>143</v>
      </c>
      <c r="F18" s="51" t="s">
        <v>144</v>
      </c>
      <c r="G18" s="51" t="s">
        <v>145</v>
      </c>
      <c r="H18" s="51" t="s">
        <v>263</v>
      </c>
    </row>
    <row r="19" spans="1:19" ht="20.100000000000001" customHeight="1" x14ac:dyDescent="0.25">
      <c r="A19" s="17" t="str">
        <f>HYPERLINK("#'Constants - Livestock'!A1", "Constants - Livestock")</f>
        <v>Constants - Livestock</v>
      </c>
      <c r="D19" s="51" t="s">
        <v>169</v>
      </c>
      <c r="E19" s="51" t="s">
        <v>170</v>
      </c>
      <c r="F19" s="51" t="s">
        <v>171</v>
      </c>
      <c r="G19" s="51" t="s">
        <v>172</v>
      </c>
      <c r="H19" s="51" t="s">
        <v>173</v>
      </c>
    </row>
    <row r="20" spans="1:19" ht="20.100000000000001" customHeight="1" x14ac:dyDescent="0.25">
      <c r="A20" s="17" t="str">
        <f>HYPERLINK("#'Constants - Common'!A1", "Constants - Common")</f>
        <v>Constants - Common</v>
      </c>
      <c r="D20" s="57" t="str">
        <f>'Input - Swine'!$D$29</f>
        <v>Anaerobic lagoon</v>
      </c>
      <c r="E20" s="52">
        <f>'Input - Swine'!E29</f>
        <v>0.15</v>
      </c>
      <c r="F20" s="52">
        <f>'Input - Swine'!F29</f>
        <v>0.15</v>
      </c>
      <c r="G20" s="52">
        <f>'Input - Swine'!G29</f>
        <v>0.15</v>
      </c>
      <c r="H20" s="52">
        <f>'Input - Swine'!H29</f>
        <v>0.15</v>
      </c>
      <c r="I20" s="2" t="s">
        <v>99</v>
      </c>
    </row>
    <row r="21" spans="1:19" ht="20.100000000000001" customHeight="1" x14ac:dyDescent="0.25">
      <c r="A21" s="17" t="str">
        <f>HYPERLINK("#'Acknowledgements'!A1", "Acknowledgements")</f>
        <v>Acknowledgements</v>
      </c>
      <c r="D21" s="57" t="str">
        <f>'Input - Swine'!$D$30</f>
        <v>Drylot (feed pad)</v>
      </c>
      <c r="E21" s="52">
        <f>'Input - Swine'!E30</f>
        <v>0.15</v>
      </c>
      <c r="F21" s="52">
        <f>'Input - Swine'!F30</f>
        <v>0.15</v>
      </c>
      <c r="G21" s="52">
        <f>'Input - Swine'!G30</f>
        <v>0.15</v>
      </c>
      <c r="H21" s="52">
        <f>'Input - Swine'!H30</f>
        <v>0.15</v>
      </c>
      <c r="I21" s="2" t="s">
        <v>99</v>
      </c>
    </row>
    <row r="22" spans="1:19" ht="20.100000000000001" customHeight="1" x14ac:dyDescent="0.25">
      <c r="D22" s="57" t="str">
        <f>'Input - Swine'!$D$31</f>
        <v>Digester / covered lagoons</v>
      </c>
      <c r="E22" s="52">
        <f>'Input - Swine'!E31</f>
        <v>0.15</v>
      </c>
      <c r="F22" s="52">
        <f>'Input - Swine'!F31</f>
        <v>0.15</v>
      </c>
      <c r="G22" s="52">
        <f>'Input - Swine'!G31</f>
        <v>0.15</v>
      </c>
      <c r="H22" s="52">
        <f>'Input - Swine'!H31</f>
        <v>0.15</v>
      </c>
      <c r="I22" s="2" t="s">
        <v>99</v>
      </c>
    </row>
    <row r="23" spans="1:19" ht="20.100000000000001" customHeight="1" x14ac:dyDescent="0.25">
      <c r="A23" s="17"/>
      <c r="D23" s="57" t="str">
        <f>'Input - Swine'!$D$32</f>
        <v>Deep litter</v>
      </c>
      <c r="E23" s="52">
        <f>'Input - Swine'!E32</f>
        <v>0.15</v>
      </c>
      <c r="F23" s="52">
        <f>'Input - Swine'!F32</f>
        <v>0.15</v>
      </c>
      <c r="G23" s="52">
        <f>'Input - Swine'!G32</f>
        <v>0.15</v>
      </c>
      <c r="H23" s="52">
        <f>'Input - Swine'!H32</f>
        <v>0.15</v>
      </c>
      <c r="I23" s="2" t="s">
        <v>99</v>
      </c>
    </row>
    <row r="24" spans="1:19" ht="20.100000000000001" customHeight="1" x14ac:dyDescent="0.25">
      <c r="D24" s="57" t="str">
        <f>'Input - Swine'!$D$33</f>
        <v>Pit storage</v>
      </c>
      <c r="E24" s="52">
        <f>'Input - Swine'!E33</f>
        <v>0.15</v>
      </c>
      <c r="F24" s="52">
        <f>'Input - Swine'!F33</f>
        <v>0.15</v>
      </c>
      <c r="G24" s="52">
        <f>'Input - Swine'!G33</f>
        <v>0.15</v>
      </c>
      <c r="H24" s="52">
        <f>'Input - Swine'!H33</f>
        <v>0.15</v>
      </c>
      <c r="I24" s="2" t="s">
        <v>99</v>
      </c>
    </row>
    <row r="25" spans="1:19" ht="20.100000000000001" customHeight="1" x14ac:dyDescent="0.25"/>
    <row r="26" spans="1:19" ht="20.100000000000001" customHeight="1" x14ac:dyDescent="0.25">
      <c r="D26" s="121" t="s">
        <v>304</v>
      </c>
      <c r="N26" s="121" t="s">
        <v>264</v>
      </c>
    </row>
    <row r="27" spans="1:19" ht="20.100000000000001" customHeight="1" x14ac:dyDescent="0.25">
      <c r="D27" s="122" t="s">
        <v>251</v>
      </c>
      <c r="N27" s="122" t="s">
        <v>265</v>
      </c>
    </row>
    <row r="28" spans="1:19" ht="20.100000000000001" customHeight="1" x14ac:dyDescent="0.25">
      <c r="E28" s="51" t="s">
        <v>143</v>
      </c>
      <c r="F28" s="51" t="s">
        <v>144</v>
      </c>
      <c r="G28" s="51" t="s">
        <v>145</v>
      </c>
      <c r="H28" s="51" t="s">
        <v>263</v>
      </c>
      <c r="O28" s="51" t="s">
        <v>143</v>
      </c>
      <c r="P28" s="51" t="s">
        <v>144</v>
      </c>
      <c r="Q28" s="51" t="s">
        <v>145</v>
      </c>
      <c r="R28" s="51" t="s">
        <v>263</v>
      </c>
    </row>
    <row r="29" spans="1:19" ht="20.100000000000001" customHeight="1" x14ac:dyDescent="0.25">
      <c r="D29" s="51" t="s">
        <v>169</v>
      </c>
      <c r="E29" s="51" t="s">
        <v>174</v>
      </c>
      <c r="F29" s="51" t="s">
        <v>175</v>
      </c>
      <c r="G29" s="51" t="s">
        <v>176</v>
      </c>
      <c r="H29" s="51" t="s">
        <v>177</v>
      </c>
      <c r="N29" s="51" t="s">
        <v>169</v>
      </c>
      <c r="O29" s="51" t="s">
        <v>174</v>
      </c>
      <c r="P29" s="51" t="s">
        <v>175</v>
      </c>
      <c r="Q29" s="51" t="s">
        <v>176</v>
      </c>
      <c r="R29" s="51" t="s">
        <v>177</v>
      </c>
    </row>
    <row r="30" spans="1:19" ht="20.100000000000001" customHeight="1" x14ac:dyDescent="0.25">
      <c r="D30" s="57" t="str">
        <f>'Input - Swine'!$D$29</f>
        <v>Anaerobic lagoon</v>
      </c>
      <c r="E30" s="52">
        <f>'Input - Swine'!$F$39</f>
        <v>0.2</v>
      </c>
      <c r="F30" s="52">
        <f>'Input - Swine'!$F$39</f>
        <v>0.2</v>
      </c>
      <c r="G30" s="52">
        <f>'Input - Swine'!$F$39</f>
        <v>0.2</v>
      </c>
      <c r="H30" s="52">
        <f>'Input - Swine'!$F$39</f>
        <v>0.2</v>
      </c>
      <c r="I30" s="2" t="s">
        <v>99</v>
      </c>
      <c r="N30" s="57" t="str">
        <f>'Input - Swine'!$D$29</f>
        <v>Anaerobic lagoon</v>
      </c>
      <c r="O30" s="52">
        <f>'Input - Swine'!$G$39</f>
        <v>0.2</v>
      </c>
      <c r="P30" s="52">
        <f>'Input - Swine'!$G$39</f>
        <v>0.2</v>
      </c>
      <c r="Q30" s="52">
        <f>'Input - Swine'!$G$39</f>
        <v>0.2</v>
      </c>
      <c r="R30" s="52">
        <f>'Input - Swine'!$G$39</f>
        <v>0.2</v>
      </c>
      <c r="S30" s="2" t="s">
        <v>99</v>
      </c>
    </row>
    <row r="31" spans="1:19" ht="20.100000000000001" customHeight="1" x14ac:dyDescent="0.25">
      <c r="D31" s="57" t="str">
        <f>'Input - Swine'!$D$30</f>
        <v>Drylot (feed pad)</v>
      </c>
      <c r="E31" s="52">
        <f>'Input - Swine'!$F$40</f>
        <v>0.2</v>
      </c>
      <c r="F31" s="52">
        <f>'Input - Swine'!$F$40</f>
        <v>0.2</v>
      </c>
      <c r="G31" s="52">
        <f>'Input - Swine'!$F$40</f>
        <v>0.2</v>
      </c>
      <c r="H31" s="52">
        <f>'Input - Swine'!$F$40</f>
        <v>0.2</v>
      </c>
      <c r="I31" s="2" t="s">
        <v>99</v>
      </c>
      <c r="N31" s="57" t="str">
        <f>'Input - Swine'!$D$30</f>
        <v>Drylot (feed pad)</v>
      </c>
      <c r="O31" s="52">
        <f>'Input - Swine'!$G$40</f>
        <v>0.2</v>
      </c>
      <c r="P31" s="52">
        <f>'Input - Swine'!$G$40</f>
        <v>0.2</v>
      </c>
      <c r="Q31" s="52">
        <f>'Input - Swine'!$G$40</f>
        <v>0.2</v>
      </c>
      <c r="R31" s="52">
        <f>'Input - Swine'!$G$40</f>
        <v>0.2</v>
      </c>
      <c r="S31" s="2" t="s">
        <v>99</v>
      </c>
    </row>
    <row r="32" spans="1:19" ht="20.100000000000001" customHeight="1" x14ac:dyDescent="0.25">
      <c r="D32" s="57" t="str">
        <f>'Input - Swine'!$D$31</f>
        <v>Digester / covered lagoons</v>
      </c>
      <c r="E32" s="52">
        <f>'Input - Swine'!$F$41</f>
        <v>0.2</v>
      </c>
      <c r="F32" s="52">
        <f>'Input - Swine'!$F$41</f>
        <v>0.2</v>
      </c>
      <c r="G32" s="52">
        <f>'Input - Swine'!$F$41</f>
        <v>0.2</v>
      </c>
      <c r="H32" s="52">
        <f>'Input - Swine'!$F$41</f>
        <v>0.2</v>
      </c>
      <c r="I32" s="2" t="s">
        <v>99</v>
      </c>
      <c r="N32" s="57" t="str">
        <f>'Input - Swine'!$D$31</f>
        <v>Digester / covered lagoons</v>
      </c>
      <c r="O32" s="52">
        <f>'Input - Swine'!$G$41</f>
        <v>0.2</v>
      </c>
      <c r="P32" s="52">
        <f>'Input - Swine'!$G$41</f>
        <v>0.2</v>
      </c>
      <c r="Q32" s="52">
        <f>'Input - Swine'!$G$41</f>
        <v>0.2</v>
      </c>
      <c r="R32" s="52">
        <f>'Input - Swine'!$G$41</f>
        <v>0.2</v>
      </c>
      <c r="S32" s="2" t="s">
        <v>99</v>
      </c>
    </row>
    <row r="33" spans="3:21" ht="20.100000000000001" customHeight="1" x14ac:dyDescent="0.25">
      <c r="D33" s="57" t="str">
        <f>'Input - Swine'!$D$32</f>
        <v>Deep litter</v>
      </c>
      <c r="E33" s="52">
        <f>'Input - Swine'!$F$42</f>
        <v>0.2</v>
      </c>
      <c r="F33" s="52">
        <f>'Input - Swine'!$F$42</f>
        <v>0.2</v>
      </c>
      <c r="G33" s="52">
        <f>'Input - Swine'!$F$42</f>
        <v>0.2</v>
      </c>
      <c r="H33" s="52">
        <f>'Input - Swine'!$F$42</f>
        <v>0.2</v>
      </c>
      <c r="I33" s="2" t="s">
        <v>99</v>
      </c>
      <c r="N33" s="57" t="str">
        <f>'Input - Swine'!$D$32</f>
        <v>Deep litter</v>
      </c>
      <c r="O33" s="52">
        <f>'Input - Swine'!$G$42</f>
        <v>0.2</v>
      </c>
      <c r="P33" s="52">
        <f>'Input - Swine'!$G$42</f>
        <v>0.2</v>
      </c>
      <c r="Q33" s="52">
        <f>'Input - Swine'!$G$42</f>
        <v>0.2</v>
      </c>
      <c r="R33" s="52">
        <f>'Input - Swine'!$G$42</f>
        <v>0.2</v>
      </c>
      <c r="S33" s="2" t="s">
        <v>99</v>
      </c>
    </row>
    <row r="34" spans="3:21" ht="20.100000000000001" customHeight="1" x14ac:dyDescent="0.25">
      <c r="D34" s="57" t="str">
        <f>'Input - Swine'!$D$33</f>
        <v>Pit storage</v>
      </c>
      <c r="E34" s="52">
        <f>'Input - Swine'!$F$43</f>
        <v>0.2</v>
      </c>
      <c r="F34" s="52">
        <f>'Input - Swine'!$F$43</f>
        <v>0.2</v>
      </c>
      <c r="G34" s="52">
        <f>'Input - Swine'!$F$43</f>
        <v>0.2</v>
      </c>
      <c r="H34" s="52">
        <f>'Input - Swine'!$F$43</f>
        <v>0.2</v>
      </c>
      <c r="I34" s="2" t="s">
        <v>99</v>
      </c>
      <c r="N34" s="57" t="str">
        <f>'Input - Swine'!$D$33</f>
        <v>Pit storage</v>
      </c>
      <c r="O34" s="52">
        <f>'Input - Swine'!$G$43</f>
        <v>0.2</v>
      </c>
      <c r="P34" s="52">
        <f>'Input - Swine'!$G$43</f>
        <v>0.2</v>
      </c>
      <c r="Q34" s="52">
        <f>'Input - Swine'!$G$43</f>
        <v>0.2</v>
      </c>
      <c r="R34" s="52">
        <f>'Input - Swine'!$G$43</f>
        <v>0.2</v>
      </c>
      <c r="S34" s="2" t="s">
        <v>99</v>
      </c>
    </row>
    <row r="35" spans="3:21" ht="20.100000000000001" customHeight="1" x14ac:dyDescent="0.25"/>
    <row r="36" spans="3:21" ht="20.100000000000001" customHeight="1" x14ac:dyDescent="0.25">
      <c r="D36" s="121" t="s">
        <v>301</v>
      </c>
      <c r="N36" s="121" t="s">
        <v>302</v>
      </c>
    </row>
    <row r="37" spans="3:21" ht="20.100000000000001" customHeight="1" x14ac:dyDescent="0.25">
      <c r="D37" s="122" t="s">
        <v>252</v>
      </c>
      <c r="N37" s="122" t="s">
        <v>266</v>
      </c>
    </row>
    <row r="38" spans="3:21" ht="20.100000000000001" customHeight="1" x14ac:dyDescent="0.25">
      <c r="E38" s="51" t="s">
        <v>143</v>
      </c>
      <c r="F38" s="51" t="s">
        <v>144</v>
      </c>
      <c r="G38" s="51" t="s">
        <v>145</v>
      </c>
      <c r="H38" s="51" t="s">
        <v>263</v>
      </c>
      <c r="O38" s="51" t="s">
        <v>143</v>
      </c>
      <c r="P38" s="51" t="s">
        <v>144</v>
      </c>
      <c r="Q38" s="51" t="s">
        <v>145</v>
      </c>
      <c r="R38" s="51" t="s">
        <v>263</v>
      </c>
    </row>
    <row r="39" spans="3:21" ht="20.100000000000001" customHeight="1" x14ac:dyDescent="0.25">
      <c r="D39" s="51" t="s">
        <v>169</v>
      </c>
      <c r="E39" s="51" t="s">
        <v>178</v>
      </c>
      <c r="F39" s="51" t="s">
        <v>178</v>
      </c>
      <c r="G39" s="51" t="s">
        <v>178</v>
      </c>
      <c r="H39" s="51" t="s">
        <v>178</v>
      </c>
      <c r="N39" s="51" t="s">
        <v>169</v>
      </c>
      <c r="O39" s="51" t="s">
        <v>178</v>
      </c>
      <c r="P39" s="51" t="s">
        <v>178</v>
      </c>
      <c r="Q39" s="51" t="s">
        <v>178</v>
      </c>
      <c r="R39" s="51" t="s">
        <v>178</v>
      </c>
    </row>
    <row r="40" spans="3:21" ht="20.100000000000001" customHeight="1" x14ac:dyDescent="0.25">
      <c r="D40" s="57" t="str">
        <f>'Input - Swine'!$D$29</f>
        <v>Anaerobic lagoon</v>
      </c>
      <c r="E40" s="52" cm="1">
        <f t="array" ref="E40">ManureManagement_Swine_Methane.VEERG_4_5_1_1__4_FractionVolatileSolidsPrimarySystem(E20,E30)</f>
        <v>0.12</v>
      </c>
      <c r="F40" s="52" cm="1">
        <f t="array" ref="F40">ManureManagement_Swine_Methane.VEERG_4_5_1_1__4_FractionVolatileSolidsPrimarySystem(F20,F30)</f>
        <v>0.12</v>
      </c>
      <c r="G40" s="52" cm="1">
        <f t="array" ref="G40">ManureManagement_Swine_Methane.VEERG_4_5_1_1__4_FractionVolatileSolidsPrimarySystem(G20,G30)</f>
        <v>0.12</v>
      </c>
      <c r="H40" s="52" cm="1">
        <f t="array" ref="H40">ManureManagement_Swine_Methane.VEERG_4_5_1_1__4_FractionVolatileSolidsPrimarySystem(H20,H30)</f>
        <v>0.12</v>
      </c>
      <c r="I40" s="2" t="str">
        <f>$E$11</f>
        <v>fraction</v>
      </c>
      <c r="N40" s="57" t="str">
        <f>'Input - Swine'!$D$29</f>
        <v>Anaerobic lagoon</v>
      </c>
      <c r="O40" s="52" cm="1">
        <f t="array" ref="O40">ManureManagement_Swine_Methane.VEERG_4_5_1_1__4_FractionVolatileSolidsPrimarySystem(E20,O30)</f>
        <v>0.12</v>
      </c>
      <c r="P40" s="52" cm="1">
        <f t="array" ref="P40">ManureManagement_Swine_Methane.VEERG_4_5_1_1__4_FractionVolatileSolidsPrimarySystem(F20,P30)</f>
        <v>0.12</v>
      </c>
      <c r="Q40" s="52" cm="1">
        <f t="array" ref="Q40">ManureManagement_Swine_Methane.VEERG_4_5_1_1__4_FractionVolatileSolidsPrimarySystem(G20,Q30)</f>
        <v>0.12</v>
      </c>
      <c r="R40" s="52" cm="1">
        <f t="array" ref="R40">ManureManagement_Swine_Methane.VEERG_4_5_1_1__4_FractionVolatileSolidsPrimarySystem(H20,R30)</f>
        <v>0.12</v>
      </c>
      <c r="S40" s="2" t="str">
        <f>$E$11</f>
        <v>fraction</v>
      </c>
    </row>
    <row r="41" spans="3:21" ht="20.100000000000001" customHeight="1" x14ac:dyDescent="0.25">
      <c r="D41" s="57" t="str">
        <f>'Input - Swine'!$D$30</f>
        <v>Drylot (feed pad)</v>
      </c>
      <c r="E41" s="52" cm="1">
        <f t="array" ref="E41">ManureManagement_Swine_Methane.VEERG_4_5_1_1__4_FractionVolatileSolidsPrimarySystem(E21,E31)</f>
        <v>0.12</v>
      </c>
      <c r="F41" s="52" cm="1">
        <f t="array" ref="F41">ManureManagement_Swine_Methane.VEERG_4_5_1_1__4_FractionVolatileSolidsPrimarySystem(F21,F31)</f>
        <v>0.12</v>
      </c>
      <c r="G41" s="52" cm="1">
        <f t="array" ref="G41">ManureManagement_Swine_Methane.VEERG_4_5_1_1__4_FractionVolatileSolidsPrimarySystem(G21,G31)</f>
        <v>0.12</v>
      </c>
      <c r="H41" s="52" cm="1">
        <f t="array" ref="H41">ManureManagement_Swine_Methane.VEERG_4_5_1_1__4_FractionVolatileSolidsPrimarySystem(H21,H31)</f>
        <v>0.12</v>
      </c>
      <c r="I41" s="2" t="str">
        <f>$E$11</f>
        <v>fraction</v>
      </c>
      <c r="N41" s="57" t="str">
        <f>'Input - Swine'!$D$30</f>
        <v>Drylot (feed pad)</v>
      </c>
      <c r="O41" s="52" cm="1">
        <f t="array" ref="O41">ManureManagement_Swine_Methane.VEERG_4_5_1_1__4_FractionVolatileSolidsPrimarySystem(E21,O31)</f>
        <v>0.12</v>
      </c>
      <c r="P41" s="52" cm="1">
        <f t="array" ref="P41">ManureManagement_Swine_Methane.VEERG_4_5_1_1__4_FractionVolatileSolidsPrimarySystem(F21,P31)</f>
        <v>0.12</v>
      </c>
      <c r="Q41" s="52" cm="1">
        <f t="array" ref="Q41">ManureManagement_Swine_Methane.VEERG_4_5_1_1__4_FractionVolatileSolidsPrimarySystem(G21,Q31)</f>
        <v>0.12</v>
      </c>
      <c r="R41" s="52" cm="1">
        <f t="array" ref="R41">ManureManagement_Swine_Methane.VEERG_4_5_1_1__4_FractionVolatileSolidsPrimarySystem(H21,R31)</f>
        <v>0.12</v>
      </c>
      <c r="S41" s="2" t="str">
        <f>$E$11</f>
        <v>fraction</v>
      </c>
    </row>
    <row r="42" spans="3:21" ht="20.100000000000001" customHeight="1" x14ac:dyDescent="0.25">
      <c r="D42" s="57" t="str">
        <f>'Input - Swine'!$D$31</f>
        <v>Digester / covered lagoons</v>
      </c>
      <c r="E42" s="52" cm="1">
        <f t="array" ref="E42">ManureManagement_Swine_Methane.VEERG_4_5_1_1__4_FractionVolatileSolidsPrimarySystem(E22,E32)</f>
        <v>0.12</v>
      </c>
      <c r="F42" s="52" cm="1">
        <f t="array" ref="F42">ManureManagement_Swine_Methane.VEERG_4_5_1_1__4_FractionVolatileSolidsPrimarySystem(F22,F32)</f>
        <v>0.12</v>
      </c>
      <c r="G42" s="52" cm="1">
        <f t="array" ref="G42">ManureManagement_Swine_Methane.VEERG_4_5_1_1__4_FractionVolatileSolidsPrimarySystem(G22,G32)</f>
        <v>0.12</v>
      </c>
      <c r="H42" s="52" cm="1">
        <f t="array" ref="H42">ManureManagement_Swine_Methane.VEERG_4_5_1_1__4_FractionVolatileSolidsPrimarySystem(H22,H32)</f>
        <v>0.12</v>
      </c>
      <c r="I42" s="2" t="str">
        <f>$E$11</f>
        <v>fraction</v>
      </c>
      <c r="N42" s="57" t="str">
        <f>'Input - Swine'!$D$31</f>
        <v>Digester / covered lagoons</v>
      </c>
      <c r="O42" s="52" cm="1">
        <f t="array" ref="O42">ManureManagement_Swine_Methane.VEERG_4_5_1_1__4_FractionVolatileSolidsPrimarySystem(E22,O32)</f>
        <v>0.12</v>
      </c>
      <c r="P42" s="52" cm="1">
        <f t="array" ref="P42">ManureManagement_Swine_Methane.VEERG_4_5_1_1__4_FractionVolatileSolidsPrimarySystem(F22,P32)</f>
        <v>0.12</v>
      </c>
      <c r="Q42" s="52" cm="1">
        <f t="array" ref="Q42">ManureManagement_Swine_Methane.VEERG_4_5_1_1__4_FractionVolatileSolidsPrimarySystem(G22,Q32)</f>
        <v>0.12</v>
      </c>
      <c r="R42" s="52" cm="1">
        <f t="array" ref="R42">ManureManagement_Swine_Methane.VEERG_4_5_1_1__4_FractionVolatileSolidsPrimarySystem(H22,R32)</f>
        <v>0.12</v>
      </c>
      <c r="S42" s="2" t="str">
        <f>$E$11</f>
        <v>fraction</v>
      </c>
    </row>
    <row r="43" spans="3:21" ht="20.100000000000001" customHeight="1" x14ac:dyDescent="0.25">
      <c r="D43" s="57" t="str">
        <f>'Input - Swine'!$D$32</f>
        <v>Deep litter</v>
      </c>
      <c r="E43" s="52" cm="1">
        <f t="array" ref="E43">ManureManagement_Swine_Methane.VEERG_4_5_1_1__4_FractionVolatileSolidsPrimarySystem(E23,E33)</f>
        <v>0.12</v>
      </c>
      <c r="F43" s="52" cm="1">
        <f t="array" ref="F43">ManureManagement_Swine_Methane.VEERG_4_5_1_1__4_FractionVolatileSolidsPrimarySystem(F23,F33)</f>
        <v>0.12</v>
      </c>
      <c r="G43" s="52" cm="1">
        <f t="array" ref="G43">ManureManagement_Swine_Methane.VEERG_4_5_1_1__4_FractionVolatileSolidsPrimarySystem(G23,G33)</f>
        <v>0.12</v>
      </c>
      <c r="H43" s="52" cm="1">
        <f t="array" ref="H43">ManureManagement_Swine_Methane.VEERG_4_5_1_1__4_FractionVolatileSolidsPrimarySystem(H23,H33)</f>
        <v>0.12</v>
      </c>
      <c r="I43" s="2" t="str">
        <f>$E$11</f>
        <v>fraction</v>
      </c>
      <c r="N43" s="57" t="str">
        <f>'Input - Swine'!$D$32</f>
        <v>Deep litter</v>
      </c>
      <c r="O43" s="52" cm="1">
        <f t="array" ref="O43">ManureManagement_Swine_Methane.VEERG_4_5_1_1__4_FractionVolatileSolidsPrimarySystem(E23,O33)</f>
        <v>0.12</v>
      </c>
      <c r="P43" s="52" cm="1">
        <f t="array" ref="P43">ManureManagement_Swine_Methane.VEERG_4_5_1_1__4_FractionVolatileSolidsPrimarySystem(F23,P33)</f>
        <v>0.12</v>
      </c>
      <c r="Q43" s="52" cm="1">
        <f t="array" ref="Q43">ManureManagement_Swine_Methane.VEERG_4_5_1_1__4_FractionVolatileSolidsPrimarySystem(G23,Q33)</f>
        <v>0.12</v>
      </c>
      <c r="R43" s="52" cm="1">
        <f t="array" ref="R43">ManureManagement_Swine_Methane.VEERG_4_5_1_1__4_FractionVolatileSolidsPrimarySystem(H23,R33)</f>
        <v>0.12</v>
      </c>
      <c r="S43" s="2" t="str">
        <f>$E$11</f>
        <v>fraction</v>
      </c>
    </row>
    <row r="44" spans="3:21" ht="20.100000000000001" customHeight="1" x14ac:dyDescent="0.25">
      <c r="D44" s="57" t="str">
        <f>'Input - Swine'!$D$33</f>
        <v>Pit storage</v>
      </c>
      <c r="E44" s="52" cm="1">
        <f t="array" ref="E44">ManureManagement_Swine_Methane.VEERG_4_5_1_1__4_FractionVolatileSolidsPrimarySystem(E24,E34)</f>
        <v>0.12</v>
      </c>
      <c r="F44" s="52" cm="1">
        <f t="array" ref="F44">ManureManagement_Swine_Methane.VEERG_4_5_1_1__4_FractionVolatileSolidsPrimarySystem(F24,F34)</f>
        <v>0.12</v>
      </c>
      <c r="G44" s="52" cm="1">
        <f t="array" ref="G44">ManureManagement_Swine_Methane.VEERG_4_5_1_1__4_FractionVolatileSolidsPrimarySystem(G24,G34)</f>
        <v>0.12</v>
      </c>
      <c r="H44" s="52" cm="1">
        <f t="array" ref="H44">ManureManagement_Swine_Methane.VEERG_4_5_1_1__4_FractionVolatileSolidsPrimarySystem(H24,H34)</f>
        <v>0.12</v>
      </c>
      <c r="I44" s="2" t="str">
        <f>$E$11</f>
        <v>fraction</v>
      </c>
      <c r="N44" s="57" t="str">
        <f>'Input - Swine'!$D$33</f>
        <v>Pit storage</v>
      </c>
      <c r="O44" s="52" cm="1">
        <f t="array" ref="O44">ManureManagement_Swine_Methane.VEERG_4_5_1_1__4_FractionVolatileSolidsPrimarySystem(E24,O34)</f>
        <v>0.12</v>
      </c>
      <c r="P44" s="52" cm="1">
        <f t="array" ref="P44">ManureManagement_Swine_Methane.VEERG_4_5_1_1__4_FractionVolatileSolidsPrimarySystem(F24,P34)</f>
        <v>0.12</v>
      </c>
      <c r="Q44" s="52" cm="1">
        <f t="array" ref="Q44">ManureManagement_Swine_Methane.VEERG_4_5_1_1__4_FractionVolatileSolidsPrimarySystem(G24,Q34)</f>
        <v>0.12</v>
      </c>
      <c r="R44" s="52" cm="1">
        <f t="array" ref="R44">ManureManagement_Swine_Methane.VEERG_4_5_1_1__4_FractionVolatileSolidsPrimarySystem(H24,R34)</f>
        <v>0.12</v>
      </c>
      <c r="S44" s="2" t="str">
        <f>$E$11</f>
        <v>fraction</v>
      </c>
    </row>
    <row r="45" spans="3:21" ht="20.100000000000001" customHeight="1" x14ac:dyDescent="0.25"/>
    <row r="46" spans="3:21" ht="20.100000000000001" customHeight="1" x14ac:dyDescent="0.25"/>
    <row r="47" spans="3:21" ht="20.100000000000001" customHeight="1" x14ac:dyDescent="0.25">
      <c r="C47" s="45"/>
      <c r="D47" s="45"/>
      <c r="E47" s="45"/>
      <c r="F47" s="45"/>
      <c r="G47" s="45"/>
      <c r="H47" s="45"/>
      <c r="I47" s="45"/>
      <c r="J47" s="45"/>
      <c r="K47" s="45"/>
      <c r="M47" s="45"/>
      <c r="N47" s="45"/>
      <c r="O47" s="45"/>
      <c r="P47" s="45"/>
      <c r="Q47" s="45"/>
      <c r="R47" s="45"/>
      <c r="S47" s="45"/>
      <c r="T47" s="45"/>
      <c r="U47" s="45"/>
    </row>
    <row r="48" spans="3:21" ht="20.100000000000001" customHeight="1" x14ac:dyDescent="0.25">
      <c r="D48" s="6" t="str" cm="1">
        <f t="array" ref="D48">ManureManagement_Swine_Methane.VEERG_4_5_1_1__5_FractionVolatileSolidsSolidStorage_Title()</f>
        <v>Fraction of volatile solids in solid storage</v>
      </c>
      <c r="F48" s="107" t="s">
        <v>179</v>
      </c>
    </row>
    <row r="49" spans="4:9" ht="20.100000000000001" customHeight="1" x14ac:dyDescent="0.25">
      <c r="D49" s="5" t="str" cm="1">
        <f t="array" ref="D49">ManureManagement_Swine_Methane.VEERG_4_5_1_1__5_FractionVolatileSolidsSolidStorage_Source()</f>
        <v>VEERG 2026: 4.5.1.1, Equation (5)</v>
      </c>
    </row>
    <row r="50" spans="4:9" ht="20.100000000000001" customHeight="1" x14ac:dyDescent="0.25">
      <c r="D50" s="13" t="s">
        <v>26</v>
      </c>
      <c r="E50" s="13" t="str" cm="1">
        <f t="array" aca="1" ref="E50" ca="1">Common_InputFunctions.Utility_DisplayFunctionName($E$73)</f>
        <v>=MMS_Swine_Methane_Equations.VEERG_4_5_1_1__5_FractionVolatileSolidsSolidStorageVariation</v>
      </c>
    </row>
    <row r="51" spans="4:9" ht="20.100000000000001" customHeight="1" x14ac:dyDescent="0.25">
      <c r="D51" s="55" t="str" cm="1">
        <f t="array" ref="D51">MMS_Swine_Methane_Equations.VEERG_4_5_1_1__5_FractionVolatileSolidsSolidStorage_Variation()</f>
        <v>VARIATION ON SOURCE: Split equation for MMSm=1,7,9 into separate items to allow for calculation</v>
      </c>
    </row>
    <row r="52" spans="4:9" ht="20.100000000000001" customHeight="1" x14ac:dyDescent="0.25"/>
    <row r="53" spans="4:9" ht="20.100000000000001" customHeight="1" x14ac:dyDescent="0.25"/>
    <row r="54" spans="4:9" ht="20.100000000000001" customHeight="1" x14ac:dyDescent="0.25">
      <c r="D54" s="6"/>
      <c r="H54" s="55"/>
    </row>
    <row r="55" spans="4:9" ht="20.100000000000001" customHeight="1" x14ac:dyDescent="0.25"/>
    <row r="56" spans="4:9" ht="20.100000000000001" customHeight="1" x14ac:dyDescent="0.25">
      <c r="D56" s="53" t="s">
        <v>29</v>
      </c>
      <c r="E56" s="1" t="str" cm="1">
        <f t="array" ref="E56">ManureManagement_Swine_Methane.VEERG_4_5_1_1__5_FractionVolatileSolidsSolidStorage_Variable()</f>
        <v>FVSjm4T1</v>
      </c>
      <c r="I56" s="107" t="s">
        <v>180</v>
      </c>
    </row>
    <row r="57" spans="4:9" ht="20.100000000000001" customHeight="1" x14ac:dyDescent="0.25">
      <c r="D57" s="53" t="s">
        <v>19</v>
      </c>
      <c r="E57" s="54" t="str" cm="1">
        <f t="array" ref="E57">ManureManagement_Swine_Methane.VEERG_4_5_1_1__5_FractionVolatileSolidsSolidStorage_Unit()</f>
        <v>fraction</v>
      </c>
    </row>
    <row r="58" spans="4:9" ht="20.100000000000001" customHeight="1" x14ac:dyDescent="0.25"/>
    <row r="59" spans="4:9" ht="20.100000000000001" customHeight="1" x14ac:dyDescent="0.25">
      <c r="D59" s="108" t="str" cm="1">
        <f t="array" ref="D59:E61">ManureManagement_Swine_Methane.VEERG_4_5_1_1__5_FractionVolatileSolidsSolidStorage_Arguments()</f>
        <v>MMSjm4T1</v>
      </c>
      <c r="E59" s="110" t="str">
        <v>fraction of manure in solid storage primary system : fraction</v>
      </c>
      <c r="F59" s="109"/>
      <c r="G59" s="52" t="str">
        <f>"See " &amp; $D$63</f>
        <v>See Table_MMS_j_m-4_T-1</v>
      </c>
    </row>
    <row r="60" spans="4:9" ht="20.100000000000001" customHeight="1" x14ac:dyDescent="0.25">
      <c r="D60" s="108" t="str">
        <v>MMSjm179T1</v>
      </c>
      <c r="E60" s="110" t="str">
        <v>fraction of manure in MMS 1, 7, and 9 in treatment stage 1 : fraction</v>
      </c>
      <c r="F60" s="109"/>
      <c r="G60" s="52" t="str">
        <f>"See " &amp; $D$16</f>
        <v>See Table_MMS_j_m_T-1</v>
      </c>
    </row>
    <row r="61" spans="4:9" ht="20.100000000000001" customHeight="1" x14ac:dyDescent="0.25">
      <c r="D61" s="108" t="str">
        <v>SSm</v>
      </c>
      <c r="E61" s="110" t="str">
        <v>fraction of volatile solids separated to solid storage for each MMS : fraction</v>
      </c>
      <c r="F61" s="109"/>
      <c r="G61" s="52" t="str">
        <f>"See " &amp; $D$26</f>
        <v>See M1_Table_SS_m</v>
      </c>
    </row>
    <row r="62" spans="4:9" ht="20.100000000000001" customHeight="1" x14ac:dyDescent="0.25"/>
    <row r="63" spans="4:9" ht="20.100000000000001" customHeight="1" x14ac:dyDescent="0.25">
      <c r="D63" s="121" t="s">
        <v>181</v>
      </c>
    </row>
    <row r="64" spans="4:9" ht="20.100000000000001" customHeight="1" x14ac:dyDescent="0.25">
      <c r="D64" s="122" t="s">
        <v>182</v>
      </c>
    </row>
    <row r="65" spans="3:21" ht="20.100000000000001" customHeight="1" x14ac:dyDescent="0.25">
      <c r="E65" s="51" t="s">
        <v>143</v>
      </c>
      <c r="F65" s="51" t="s">
        <v>144</v>
      </c>
      <c r="G65" s="51" t="s">
        <v>145</v>
      </c>
      <c r="H65" s="51" t="s">
        <v>263</v>
      </c>
    </row>
    <row r="66" spans="3:21" ht="20.100000000000001" customHeight="1" x14ac:dyDescent="0.25">
      <c r="D66" s="51" t="s">
        <v>169</v>
      </c>
      <c r="E66" s="51" t="s">
        <v>183</v>
      </c>
      <c r="F66" s="51" t="s">
        <v>184</v>
      </c>
      <c r="G66" s="51" t="s">
        <v>185</v>
      </c>
      <c r="H66" s="51" t="s">
        <v>186</v>
      </c>
    </row>
    <row r="67" spans="3:21" ht="20.100000000000001" customHeight="1" x14ac:dyDescent="0.25">
      <c r="D67" s="57" t="str">
        <f>'Input - Swine'!$D$34</f>
        <v>Solid storage</v>
      </c>
      <c r="E67" s="52">
        <f>'Input - Swine'!E34</f>
        <v>0.25</v>
      </c>
      <c r="F67" s="52">
        <f>'Input - Swine'!F34</f>
        <v>0.25</v>
      </c>
      <c r="G67" s="52">
        <f>'Input - Swine'!G34</f>
        <v>0.25</v>
      </c>
      <c r="H67" s="52">
        <f>'Input - Swine'!H34</f>
        <v>0.25</v>
      </c>
      <c r="I67" s="2" t="s">
        <v>99</v>
      </c>
    </row>
    <row r="68" spans="3:21" ht="20.100000000000001" customHeight="1" x14ac:dyDescent="0.25"/>
    <row r="69" spans="3:21" ht="20.100000000000001" customHeight="1" x14ac:dyDescent="0.25">
      <c r="D69" s="121" t="s">
        <v>253</v>
      </c>
      <c r="N69" s="121" t="s">
        <v>267</v>
      </c>
    </row>
    <row r="70" spans="3:21" ht="20.100000000000001" customHeight="1" x14ac:dyDescent="0.25">
      <c r="D70" s="122" t="s">
        <v>254</v>
      </c>
      <c r="N70" s="122" t="s">
        <v>268</v>
      </c>
    </row>
    <row r="71" spans="3:21" ht="20.100000000000001" customHeight="1" x14ac:dyDescent="0.25">
      <c r="E71" s="51" t="s">
        <v>143</v>
      </c>
      <c r="F71" s="51" t="s">
        <v>144</v>
      </c>
      <c r="G71" s="51" t="s">
        <v>145</v>
      </c>
      <c r="H71" s="51" t="s">
        <v>263</v>
      </c>
      <c r="O71" s="51" t="s">
        <v>143</v>
      </c>
      <c r="P71" s="51" t="s">
        <v>144</v>
      </c>
      <c r="Q71" s="51" t="s">
        <v>145</v>
      </c>
      <c r="R71" s="51" t="s">
        <v>263</v>
      </c>
    </row>
    <row r="72" spans="3:21" ht="20.100000000000001" customHeight="1" x14ac:dyDescent="0.25">
      <c r="D72" s="51" t="s">
        <v>169</v>
      </c>
      <c r="E72" s="51" t="s">
        <v>187</v>
      </c>
      <c r="F72" s="51" t="s">
        <v>188</v>
      </c>
      <c r="G72" s="51" t="s">
        <v>189</v>
      </c>
      <c r="H72" s="51" t="s">
        <v>190</v>
      </c>
      <c r="N72" s="51" t="s">
        <v>169</v>
      </c>
      <c r="O72" s="51" t="s">
        <v>187</v>
      </c>
      <c r="P72" s="51" t="s">
        <v>188</v>
      </c>
      <c r="Q72" s="51" t="s">
        <v>189</v>
      </c>
      <c r="R72" s="51" t="s">
        <v>190</v>
      </c>
    </row>
    <row r="73" spans="3:21" ht="20.100000000000001" customHeight="1" x14ac:dyDescent="0.25">
      <c r="D73" s="57" t="str">
        <f>'Input - Swine'!$D$34</f>
        <v>Solid storage</v>
      </c>
      <c r="E73" s="52" cm="1">
        <f t="array" ref="E73">MMS_Swine_Methane_Equations.VEERG_4_5_1_1__5_FractionVolatileSolidsSolidStorageVariation(E67,E20,E21,E22,E23,E24,E30,E31,E32,E33,E34)</f>
        <v>0.40000000000000013</v>
      </c>
      <c r="F73" s="52" cm="1">
        <f t="array" ref="F73">MMS_Swine_Methane_Equations.VEERG_4_5_1_1__5_FractionVolatileSolidsSolidStorageVariation(F67,F20,F21,F22,F23,F24,F30,F31,F32,F33,F34)</f>
        <v>0.40000000000000013</v>
      </c>
      <c r="G73" s="52" cm="1">
        <f t="array" ref="G73">MMS_Swine_Methane_Equations.VEERG_4_5_1_1__5_FractionVolatileSolidsSolidStorageVariation(G67,G20,G21,G22,G23,G24,G30,G31,G32,G33,G34)</f>
        <v>0.40000000000000013</v>
      </c>
      <c r="H73" s="52" cm="1">
        <f t="array" ref="H73">MMS_Swine_Methane_Equations.VEERG_4_5_1_1__5_FractionVolatileSolidsSolidStorageVariation(H67,H20,H21,H22,H23,H24,H30,H31,H32,H33,H34)</f>
        <v>0.40000000000000013</v>
      </c>
      <c r="I73" s="2" t="str">
        <f>$E$57</f>
        <v>fraction</v>
      </c>
      <c r="N73" s="57" t="str">
        <f>'Input - Swine'!$D$34</f>
        <v>Solid storage</v>
      </c>
      <c r="O73" s="52" cm="1">
        <f t="array" ref="O73">MMS_Swine_Methane_Equations.VEERG_4_5_1_1__5_FractionVolatileSolidsSolidStorageVariation(E67,E20,E21,E22,E23,E24,O30,O31,O32,O33,O34)</f>
        <v>0.40000000000000013</v>
      </c>
      <c r="P73" s="52" cm="1">
        <f t="array" ref="P73">MMS_Swine_Methane_Equations.VEERG_4_5_1_1__5_FractionVolatileSolidsSolidStorageVariation(F67,F20,F21,F22,F23,F24,P30,P31,P32,P33,P34)</f>
        <v>0.40000000000000013</v>
      </c>
      <c r="Q73" s="52" cm="1">
        <f t="array" ref="Q73">MMS_Swine_Methane_Equations.VEERG_4_5_1_1__5_FractionVolatileSolidsSolidStorageVariation(G67,G20,G21,G22,G23,G24,Q30,Q31,Q32,Q33,Q34)</f>
        <v>0.40000000000000013</v>
      </c>
      <c r="R73" s="52" cm="1">
        <f t="array" ref="R73">MMS_Swine_Methane_Equations.VEERG_4_5_1_1__5_FractionVolatileSolidsSolidStorageVariation(H67,H20,H21,H22,H23,H24,R30,R31,R32,R33,R34)</f>
        <v>0.40000000000000013</v>
      </c>
      <c r="S73" s="2" t="str">
        <f>$E$57</f>
        <v>fraction</v>
      </c>
    </row>
    <row r="74" spans="3:21" ht="20.100000000000001" customHeight="1" x14ac:dyDescent="0.25"/>
    <row r="75" spans="3:21" ht="20.100000000000001" customHeight="1" x14ac:dyDescent="0.25"/>
    <row r="76" spans="3:21" ht="20.100000000000001" customHeight="1" x14ac:dyDescent="0.25">
      <c r="C76" s="45"/>
      <c r="D76" s="45"/>
      <c r="E76" s="45"/>
      <c r="F76" s="45"/>
      <c r="G76" s="45"/>
      <c r="H76" s="45"/>
      <c r="I76" s="45"/>
      <c r="J76" s="45"/>
      <c r="K76" s="45"/>
      <c r="M76" s="45"/>
      <c r="N76" s="45"/>
      <c r="O76" s="45"/>
      <c r="P76" s="45"/>
      <c r="Q76" s="45"/>
      <c r="R76" s="45"/>
      <c r="S76" s="45"/>
      <c r="T76" s="45"/>
      <c r="U76" s="45"/>
    </row>
    <row r="77" spans="3:21" ht="20.100000000000001" customHeight="1" x14ac:dyDescent="0.25">
      <c r="D77" s="6" t="str" cm="1">
        <f t="array" ref="D77">ManureManagement_Swine_Methane.VEERG_4_5_1_1__7_VolatileSolidsTransferredStage2_Title()</f>
        <v>Volatile solids transferred to treatment stage 2 MMS</v>
      </c>
    </row>
    <row r="78" spans="3:21" ht="20.100000000000001" customHeight="1" x14ac:dyDescent="0.25">
      <c r="D78" s="5" t="str" cm="1">
        <f t="array" ref="D78">ManureManagement_Swine_Methane.VEERG_4_5_1_1__7_VolatileSolidsTransferredStage2_Source()</f>
        <v>VEERG 2026: 4.5.1.1, Equation (7)</v>
      </c>
    </row>
    <row r="79" spans="3:21" ht="20.100000000000001" customHeight="1" x14ac:dyDescent="0.25">
      <c r="D79" s="13" t="s">
        <v>26</v>
      </c>
      <c r="E79" s="13" t="str" cm="1">
        <f t="array" aca="1" ref="E79" ca="1">Common_InputFunctions.Utility_DisplayFunctionName(E110)</f>
        <v>=MMS_Swine_Methane_Equations.VEERG_4_5_1_1__7_VolatileSolidsTransferredStage2</v>
      </c>
    </row>
    <row r="80" spans="3:21" ht="20.100000000000001" customHeight="1" x14ac:dyDescent="0.25"/>
    <row r="81" spans="4:18" ht="20.100000000000001" customHeight="1" x14ac:dyDescent="0.25"/>
    <row r="82" spans="4:18" ht="20.100000000000001" customHeight="1" x14ac:dyDescent="0.25"/>
    <row r="83" spans="4:18" ht="20.100000000000001" customHeight="1" x14ac:dyDescent="0.25">
      <c r="D83" s="53" t="s">
        <v>29</v>
      </c>
      <c r="E83" s="1" t="str" cm="1">
        <f t="array" ref="E83">ManureManagement_Swine_Methane.VEERG_4_5_1_1__7_VolatileSolidsTransferredStage2_Variable()</f>
        <v>VSTijmT2</v>
      </c>
    </row>
    <row r="84" spans="4:18" ht="20.100000000000001" customHeight="1" x14ac:dyDescent="0.25">
      <c r="D84" s="53" t="s">
        <v>19</v>
      </c>
      <c r="E84" s="54" t="str" cm="1">
        <f t="array" ref="E84">ManureManagement_Swine_Methane.VEERG_4_5_1_1__7_VolatileSolidsTransferredStage2_Unit()</f>
        <v>kg VS</v>
      </c>
      <c r="F84" s="107" t="s">
        <v>191</v>
      </c>
    </row>
    <row r="85" spans="4:18" ht="20.100000000000001" customHeight="1" x14ac:dyDescent="0.25"/>
    <row r="86" spans="4:18" ht="20.100000000000001" customHeight="1" x14ac:dyDescent="0.25">
      <c r="D86" s="57" t="str" cm="1">
        <f t="array" ref="D86:E88">ManureManagement_Swine_Methane.VEERG_4_5_1_1__7_VolatileSolidsTransferredStage2_Arguments()</f>
        <v>VSj</v>
      </c>
      <c r="E86" s="58" t="str">
        <v>volatile solid production from swine in each class : kg/head/day</v>
      </c>
      <c r="F86" s="59"/>
      <c r="G86" s="58" t="str">
        <f>"See " &amp; $D$90</f>
        <v>See M1_Table_VS_j</v>
      </c>
      <c r="H86" s="123"/>
    </row>
    <row r="87" spans="4:18" ht="20.100000000000001" customHeight="1" x14ac:dyDescent="0.25">
      <c r="D87" s="57" t="str">
        <v>FVSjmT1</v>
      </c>
      <c r="E87" s="58" t="str">
        <v>fraction of volatile solids in each primary system : fraction</v>
      </c>
      <c r="F87" s="59"/>
      <c r="G87" s="57" t="str">
        <f>"See " &amp; $D$36 &amp; " and " &amp; $D$69</f>
        <v>See M1_Table_FVS_j_m_T-1 and M1_Table_FVS_j_m-4_T-1</v>
      </c>
      <c r="H87" s="52"/>
    </row>
    <row r="88" spans="4:18" ht="20.100000000000001" customHeight="1" x14ac:dyDescent="0.25">
      <c r="D88" s="57" t="str">
        <v>VSLmT1</v>
      </c>
      <c r="E88" s="58" t="str">
        <v>fraction of volatile solids lost during storage in the primary system : fraction</v>
      </c>
      <c r="F88" s="59"/>
      <c r="G88" s="58" t="str">
        <f>"See " &amp; $D$96</f>
        <v>See Table_VSL_m_T-1</v>
      </c>
      <c r="H88" s="123"/>
    </row>
    <row r="89" spans="4:18" ht="20.100000000000001" customHeight="1" x14ac:dyDescent="0.25"/>
    <row r="90" spans="4:18" ht="20.100000000000001" customHeight="1" x14ac:dyDescent="0.25">
      <c r="D90" s="121" t="s">
        <v>269</v>
      </c>
      <c r="N90" s="121" t="s">
        <v>271</v>
      </c>
    </row>
    <row r="91" spans="4:18" ht="20.100000000000001" customHeight="1" x14ac:dyDescent="0.25">
      <c r="D91" s="122" t="s">
        <v>270</v>
      </c>
      <c r="N91" s="122" t="s">
        <v>272</v>
      </c>
    </row>
    <row r="92" spans="4:18" ht="20.100000000000001" customHeight="1" x14ac:dyDescent="0.25">
      <c r="D92" s="51" t="s">
        <v>143</v>
      </c>
      <c r="E92" s="51" t="s">
        <v>144</v>
      </c>
      <c r="F92" s="51" t="s">
        <v>145</v>
      </c>
      <c r="G92" s="51" t="s">
        <v>263</v>
      </c>
      <c r="N92" s="51" t="s">
        <v>143</v>
      </c>
      <c r="O92" s="51" t="s">
        <v>144</v>
      </c>
      <c r="P92" s="51" t="s">
        <v>145</v>
      </c>
      <c r="Q92" s="51" t="s">
        <v>263</v>
      </c>
    </row>
    <row r="93" spans="4:18" ht="20.100000000000001" customHeight="1" x14ac:dyDescent="0.25">
      <c r="D93" s="51" t="s">
        <v>192</v>
      </c>
      <c r="E93" s="51" t="s">
        <v>193</v>
      </c>
      <c r="F93" s="51" t="s">
        <v>194</v>
      </c>
      <c r="G93" s="51" t="s">
        <v>195</v>
      </c>
      <c r="I93" s="2"/>
      <c r="J93" s="2"/>
      <c r="N93" s="51" t="s">
        <v>192</v>
      </c>
      <c r="O93" s="51" t="s">
        <v>193</v>
      </c>
      <c r="P93" s="51" t="s">
        <v>194</v>
      </c>
      <c r="Q93" s="51" t="s">
        <v>195</v>
      </c>
    </row>
    <row r="94" spans="4:18" ht="20.100000000000001" customHeight="1" x14ac:dyDescent="0.25">
      <c r="D94" s="52">
        <f>'Input - Swine'!E16</f>
        <v>0.4</v>
      </c>
      <c r="E94" s="52">
        <f>'Input - Swine'!F16</f>
        <v>0.46</v>
      </c>
      <c r="F94" s="52">
        <f>'Input - Swine'!G16</f>
        <v>0.55000000000000004</v>
      </c>
      <c r="G94" s="52">
        <f>'Input - Swine'!H16</f>
        <v>0.39</v>
      </c>
      <c r="H94" s="2" t="s">
        <v>121</v>
      </c>
      <c r="N94" s="52">
        <f>'Input - Swine'!E20</f>
        <v>0.4</v>
      </c>
      <c r="O94" s="52">
        <f>'Input - Swine'!F20</f>
        <v>0.46</v>
      </c>
      <c r="P94" s="52">
        <f>'Input - Swine'!G20</f>
        <v>0.55000000000000004</v>
      </c>
      <c r="Q94" s="52">
        <f>'Input - Swine'!H20</f>
        <v>0.39</v>
      </c>
      <c r="R94" s="2" t="s">
        <v>121</v>
      </c>
    </row>
    <row r="95" spans="4:18" ht="20.100000000000001" customHeight="1" x14ac:dyDescent="0.25"/>
    <row r="96" spans="4:18" ht="20.100000000000001" customHeight="1" x14ac:dyDescent="0.25">
      <c r="D96" s="121" t="s">
        <v>196</v>
      </c>
    </row>
    <row r="97" spans="4:19" ht="20.100000000000001" customHeight="1" x14ac:dyDescent="0.25">
      <c r="D97" s="122" t="s">
        <v>160</v>
      </c>
    </row>
    <row r="98" spans="4:19" ht="20.100000000000001" customHeight="1" x14ac:dyDescent="0.25">
      <c r="D98" s="51" t="s">
        <v>169</v>
      </c>
      <c r="E98" s="51" t="s">
        <v>197</v>
      </c>
    </row>
    <row r="99" spans="4:19" ht="20.100000000000001" customHeight="1" x14ac:dyDescent="0.25">
      <c r="D99" s="57" t="str">
        <f>'Input - Swine'!$D$29</f>
        <v>Anaerobic lagoon</v>
      </c>
      <c r="E99" s="52" cm="1">
        <f t="array" ref="E99">Common_InputFunctions.Utility_LookupValueInTableNumber(D99,Table_SourceData_SwineVSL[MMS],Table_SourceData_SwineVSL[VSL])</f>
        <v>0</v>
      </c>
      <c r="F99" s="2" t="s">
        <v>99</v>
      </c>
    </row>
    <row r="100" spans="4:19" ht="20.100000000000001" customHeight="1" x14ac:dyDescent="0.25">
      <c r="D100" s="57" t="str">
        <f>'Input - Swine'!$D$30</f>
        <v>Drylot (feed pad)</v>
      </c>
      <c r="E100" s="52" cm="1">
        <f t="array" ref="E100">Common_InputFunctions.Utility_LookupValueInTableNumber(D100,Table_SourceData_SwineVSL[MMS],Table_SourceData_SwineVSL[VSL])</f>
        <v>0</v>
      </c>
      <c r="F100" s="2" t="s">
        <v>99</v>
      </c>
    </row>
    <row r="101" spans="4:19" ht="20.100000000000001" customHeight="1" x14ac:dyDescent="0.25">
      <c r="D101" s="57" t="str">
        <f>'Input - Swine'!$D$31</f>
        <v>Digester / covered lagoons</v>
      </c>
      <c r="E101" s="52" cm="1">
        <f t="array" ref="E101">Common_InputFunctions.Utility_LookupValueInTableNumber(D101,Table_SourceData_SwineVSL[MMS],Table_SourceData_SwineVSL[VSL])</f>
        <v>0.75</v>
      </c>
      <c r="F101" s="2" t="s">
        <v>99</v>
      </c>
    </row>
    <row r="102" spans="4:19" ht="20.100000000000001" customHeight="1" x14ac:dyDescent="0.25">
      <c r="D102" s="57" t="str">
        <f>'Input - Swine'!$D$32</f>
        <v>Deep litter</v>
      </c>
      <c r="E102" s="52" cm="1">
        <f t="array" ref="E102">Common_InputFunctions.Utility_LookupValueInTableNumber(D102,Table_SourceData_SwineVSL[MMS],Table_SourceData_SwineVSL[VSL])</f>
        <v>0.05</v>
      </c>
      <c r="F102" s="2" t="s">
        <v>99</v>
      </c>
      <c r="G102" s="107" t="s">
        <v>198</v>
      </c>
    </row>
    <row r="103" spans="4:19" ht="20.100000000000001" customHeight="1" x14ac:dyDescent="0.25">
      <c r="D103" s="57" t="str">
        <f>'Input - Swine'!$D$33</f>
        <v>Pit storage</v>
      </c>
      <c r="E103" s="52" cm="1">
        <f t="array" ref="E103">Common_InputFunctions.Utility_LookupValueInTableNumber(D103,Table_SourceData_SwineVSL[MMS],Table_SourceData_SwineVSL[VSL])</f>
        <v>0</v>
      </c>
      <c r="F103" s="2" t="s">
        <v>99</v>
      </c>
    </row>
    <row r="104" spans="4:19" ht="20.100000000000001" customHeight="1" x14ac:dyDescent="0.25">
      <c r="D104" s="57" t="str">
        <f>'Input - Swine'!$D$34</f>
        <v>Solid storage</v>
      </c>
      <c r="E104" s="52" cm="1">
        <f t="array" ref="E104">Common_InputFunctions.Utility_LookupValueInTableNumber(D104,Table_SourceData_SwineVSL[MMS],Table_SourceData_SwineVSL[VSL])</f>
        <v>0</v>
      </c>
      <c r="F104" s="2" t="s">
        <v>99</v>
      </c>
    </row>
    <row r="105" spans="4:19" ht="20.100000000000001" customHeight="1" x14ac:dyDescent="0.25"/>
    <row r="106" spans="4:19" ht="20.100000000000001" customHeight="1" x14ac:dyDescent="0.25">
      <c r="D106" s="121" t="s">
        <v>258</v>
      </c>
      <c r="N106" s="121" t="s">
        <v>273</v>
      </c>
    </row>
    <row r="107" spans="4:19" ht="20.100000000000001" customHeight="1" x14ac:dyDescent="0.25">
      <c r="D107" s="122" t="s">
        <v>259</v>
      </c>
      <c r="N107" s="122" t="s">
        <v>274</v>
      </c>
    </row>
    <row r="108" spans="4:19" ht="20.100000000000001" customHeight="1" x14ac:dyDescent="0.25">
      <c r="E108" s="51" t="s">
        <v>143</v>
      </c>
      <c r="F108" s="51" t="s">
        <v>144</v>
      </c>
      <c r="G108" s="51" t="s">
        <v>145</v>
      </c>
      <c r="H108" s="51" t="s">
        <v>263</v>
      </c>
      <c r="O108" s="51" t="s">
        <v>143</v>
      </c>
      <c r="P108" s="51" t="s">
        <v>144</v>
      </c>
      <c r="Q108" s="51" t="s">
        <v>145</v>
      </c>
      <c r="R108" s="51" t="s">
        <v>263</v>
      </c>
    </row>
    <row r="109" spans="4:19" ht="20.100000000000001" customHeight="1" x14ac:dyDescent="0.25">
      <c r="D109" s="51" t="s">
        <v>169</v>
      </c>
      <c r="E109" s="51" t="s">
        <v>199</v>
      </c>
      <c r="F109" s="51" t="s">
        <v>200</v>
      </c>
      <c r="G109" s="51" t="s">
        <v>201</v>
      </c>
      <c r="H109" s="51" t="s">
        <v>202</v>
      </c>
      <c r="N109" s="51" t="s">
        <v>169</v>
      </c>
      <c r="O109" s="51" t="s">
        <v>199</v>
      </c>
      <c r="P109" s="51" t="s">
        <v>200</v>
      </c>
      <c r="Q109" s="51" t="s">
        <v>201</v>
      </c>
      <c r="R109" s="51" t="s">
        <v>202</v>
      </c>
    </row>
    <row r="110" spans="4:19" ht="20.100000000000001" customHeight="1" x14ac:dyDescent="0.25">
      <c r="D110" s="57" t="str">
        <f>'Input - Swine'!$D$29</f>
        <v>Anaerobic lagoon</v>
      </c>
      <c r="E110" s="52" cm="1">
        <f t="array" ref="E110">MMS_Swine_Methane_Equations.VEERG_4_5_1_1__7_VolatileSolidsTransferredStage2(D$94,E40,$E99)</f>
        <v>4.8000000000000001E-2</v>
      </c>
      <c r="F110" s="52" cm="1">
        <f t="array" ref="F110">MMS_Swine_Methane_Equations.VEERG_4_5_1_1__7_VolatileSolidsTransferredStage2(E$94,F40,$E99)</f>
        <v>5.5199999999999999E-2</v>
      </c>
      <c r="G110" s="52" cm="1">
        <f t="array" ref="G110">MMS_Swine_Methane_Equations.VEERG_4_5_1_1__7_VolatileSolidsTransferredStage2(F$94,G40,$E99)</f>
        <v>6.6000000000000003E-2</v>
      </c>
      <c r="H110" s="52" cm="1">
        <f t="array" ref="H110">MMS_Swine_Methane_Equations.VEERG_4_5_1_1__7_VolatileSolidsTransferredStage2(G$94,H40,$E99)</f>
        <v>4.6800000000000001E-2</v>
      </c>
      <c r="I110" s="124" t="str">
        <f>$E$84</f>
        <v>kg VS</v>
      </c>
      <c r="N110" s="57" t="str">
        <f>'Input - Swine'!$D$29</f>
        <v>Anaerobic lagoon</v>
      </c>
      <c r="O110" s="52" cm="1">
        <f t="array" ref="O110">MMS_Swine_Methane_Equations.VEERG_4_5_1_1__7_VolatileSolidsTransferredStage2(N$94,O40,$E99)</f>
        <v>4.8000000000000001E-2</v>
      </c>
      <c r="P110" s="52" cm="1">
        <f t="array" ref="P110">MMS_Swine_Methane_Equations.VEERG_4_5_1_1__7_VolatileSolidsTransferredStage2(O$94,P40,$E99)</f>
        <v>5.5199999999999999E-2</v>
      </c>
      <c r="Q110" s="52" cm="1">
        <f t="array" ref="Q110">MMS_Swine_Methane_Equations.VEERG_4_5_1_1__7_VolatileSolidsTransferredStage2(P$94,Q40,$E99)</f>
        <v>6.6000000000000003E-2</v>
      </c>
      <c r="R110" s="52" cm="1">
        <f t="array" ref="R110">MMS_Swine_Methane_Equations.VEERG_4_5_1_1__7_VolatileSolidsTransferredStage2(Q$94,R40,$E99)</f>
        <v>4.6800000000000001E-2</v>
      </c>
      <c r="S110" s="124" t="str">
        <f>$E$84</f>
        <v>kg VS</v>
      </c>
    </row>
    <row r="111" spans="4:19" ht="20.100000000000001" customHeight="1" x14ac:dyDescent="0.25">
      <c r="D111" s="57" t="str">
        <f>'Input - Swine'!$D$30</f>
        <v>Drylot (feed pad)</v>
      </c>
      <c r="E111" s="52" cm="1">
        <f t="array" ref="E111">MMS_Swine_Methane_Equations.VEERG_4_5_1_1__7_VolatileSolidsTransferredStage2(D$94,E41,$E100)</f>
        <v>4.8000000000000001E-2</v>
      </c>
      <c r="F111" s="52" cm="1">
        <f t="array" ref="F111">MMS_Swine_Methane_Equations.VEERG_4_5_1_1__7_VolatileSolidsTransferredStage2(E$94,F41,$E100)</f>
        <v>5.5199999999999999E-2</v>
      </c>
      <c r="G111" s="52" cm="1">
        <f t="array" ref="G111">MMS_Swine_Methane_Equations.VEERG_4_5_1_1__7_VolatileSolidsTransferredStage2(F$94,G41,$E100)</f>
        <v>6.6000000000000003E-2</v>
      </c>
      <c r="H111" s="52" cm="1">
        <f t="array" ref="H111">MMS_Swine_Methane_Equations.VEERG_4_5_1_1__7_VolatileSolidsTransferredStage2(G$94,H41,$E100)</f>
        <v>4.6800000000000001E-2</v>
      </c>
      <c r="I111" s="124" t="str">
        <f>$E$84</f>
        <v>kg VS</v>
      </c>
      <c r="N111" s="57" t="str">
        <f>'Input - Swine'!$D$30</f>
        <v>Drylot (feed pad)</v>
      </c>
      <c r="O111" s="52" cm="1">
        <f t="array" ref="O111">MMS_Swine_Methane_Equations.VEERG_4_5_1_1__7_VolatileSolidsTransferredStage2(N$94,O41,$E100)</f>
        <v>4.8000000000000001E-2</v>
      </c>
      <c r="P111" s="52" cm="1">
        <f t="array" ref="P111">MMS_Swine_Methane_Equations.VEERG_4_5_1_1__7_VolatileSolidsTransferredStage2(O$94,P41,$E100)</f>
        <v>5.5199999999999999E-2</v>
      </c>
      <c r="Q111" s="52" cm="1">
        <f t="array" ref="Q111">MMS_Swine_Methane_Equations.VEERG_4_5_1_1__7_VolatileSolidsTransferredStage2(P$94,Q41,$E100)</f>
        <v>6.6000000000000003E-2</v>
      </c>
      <c r="R111" s="52" cm="1">
        <f t="array" ref="R111">MMS_Swine_Methane_Equations.VEERG_4_5_1_1__7_VolatileSolidsTransferredStage2(Q$94,R41,$E100)</f>
        <v>4.6800000000000001E-2</v>
      </c>
      <c r="S111" s="124" t="str">
        <f>$E$84</f>
        <v>kg VS</v>
      </c>
    </row>
    <row r="112" spans="4:19" ht="20.100000000000001" customHeight="1" x14ac:dyDescent="0.25">
      <c r="D112" s="57" t="str">
        <f>'Input - Swine'!$D$31</f>
        <v>Digester / covered lagoons</v>
      </c>
      <c r="E112" s="52" cm="1">
        <f t="array" ref="E112">MMS_Swine_Methane_Equations.VEERG_4_5_1_1__7_VolatileSolidsTransferredStage2(D$94,E42,$E101)</f>
        <v>1.2E-2</v>
      </c>
      <c r="F112" s="52" cm="1">
        <f t="array" ref="F112">MMS_Swine_Methane_Equations.VEERG_4_5_1_1__7_VolatileSolidsTransferredStage2(E$94,F42,$E101)</f>
        <v>1.38E-2</v>
      </c>
      <c r="G112" s="52" cm="1">
        <f t="array" ref="G112">MMS_Swine_Methane_Equations.VEERG_4_5_1_1__7_VolatileSolidsTransferredStage2(F$94,G42,$E101)</f>
        <v>1.6500000000000001E-2</v>
      </c>
      <c r="H112" s="52" cm="1">
        <f t="array" ref="H112">MMS_Swine_Methane_Equations.VEERG_4_5_1_1__7_VolatileSolidsTransferredStage2(G$94,H42,$E101)</f>
        <v>1.17E-2</v>
      </c>
      <c r="I112" s="124" t="str">
        <f>$E$84</f>
        <v>kg VS</v>
      </c>
      <c r="N112" s="57" t="str">
        <f>'Input - Swine'!$D$31</f>
        <v>Digester / covered lagoons</v>
      </c>
      <c r="O112" s="52" cm="1">
        <f t="array" ref="O112">MMS_Swine_Methane_Equations.VEERG_4_5_1_1__7_VolatileSolidsTransferredStage2(N$94,O42,$E101)</f>
        <v>1.2E-2</v>
      </c>
      <c r="P112" s="52" cm="1">
        <f t="array" ref="P112">MMS_Swine_Methane_Equations.VEERG_4_5_1_1__7_VolatileSolidsTransferredStage2(O$94,P42,$E101)</f>
        <v>1.38E-2</v>
      </c>
      <c r="Q112" s="52" cm="1">
        <f t="array" ref="Q112">MMS_Swine_Methane_Equations.VEERG_4_5_1_1__7_VolatileSolidsTransferredStage2(P$94,Q42,$E101)</f>
        <v>1.6500000000000001E-2</v>
      </c>
      <c r="R112" s="52" cm="1">
        <f t="array" ref="R112">MMS_Swine_Methane_Equations.VEERG_4_5_1_1__7_VolatileSolidsTransferredStage2(Q$94,R42,$E101)</f>
        <v>1.17E-2</v>
      </c>
      <c r="S112" s="124" t="str">
        <f>$E$84</f>
        <v>kg VS</v>
      </c>
    </row>
    <row r="113" spans="3:21" ht="20.100000000000001" customHeight="1" x14ac:dyDescent="0.25">
      <c r="D113" s="57" t="str">
        <f>'Input - Swine'!$D$32</f>
        <v>Deep litter</v>
      </c>
      <c r="E113" s="52" cm="1">
        <f t="array" ref="E113">MMS_Swine_Methane_Equations.VEERG_4_5_1_1__7_VolatileSolidsTransferredStage2(D$94,E43,$E102)</f>
        <v>4.5600000000000002E-2</v>
      </c>
      <c r="F113" s="52" cm="1">
        <f t="array" ref="F113">MMS_Swine_Methane_Equations.VEERG_4_5_1_1__7_VolatileSolidsTransferredStage2(E$94,F43,$E102)</f>
        <v>5.2439999999999994E-2</v>
      </c>
      <c r="G113" s="52" cm="1">
        <f t="array" ref="G113">MMS_Swine_Methane_Equations.VEERG_4_5_1_1__7_VolatileSolidsTransferredStage2(F$94,G43,$E102)</f>
        <v>6.2700000000000006E-2</v>
      </c>
      <c r="H113" s="52" cm="1">
        <f t="array" ref="H113">MMS_Swine_Methane_Equations.VEERG_4_5_1_1__7_VolatileSolidsTransferredStage2(G$94,H43,$E102)</f>
        <v>4.446E-2</v>
      </c>
      <c r="I113" s="124" t="str">
        <f>$E$84</f>
        <v>kg VS</v>
      </c>
      <c r="N113" s="57" t="str">
        <f>'Input - Swine'!$D$32</f>
        <v>Deep litter</v>
      </c>
      <c r="O113" s="52" cm="1">
        <f t="array" ref="O113">MMS_Swine_Methane_Equations.VEERG_4_5_1_1__7_VolatileSolidsTransferredStage2(N$94,O43,$E102)</f>
        <v>4.5600000000000002E-2</v>
      </c>
      <c r="P113" s="52" cm="1">
        <f t="array" ref="P113">MMS_Swine_Methane_Equations.VEERG_4_5_1_1__7_VolatileSolidsTransferredStage2(O$94,P43,$E102)</f>
        <v>5.2439999999999994E-2</v>
      </c>
      <c r="Q113" s="52" cm="1">
        <f t="array" ref="Q113">MMS_Swine_Methane_Equations.VEERG_4_5_1_1__7_VolatileSolidsTransferredStage2(P$94,Q43,$E102)</f>
        <v>6.2700000000000006E-2</v>
      </c>
      <c r="R113" s="52" cm="1">
        <f t="array" ref="R113">MMS_Swine_Methane_Equations.VEERG_4_5_1_1__7_VolatileSolidsTransferredStage2(Q$94,R43,$E102)</f>
        <v>4.446E-2</v>
      </c>
      <c r="S113" s="124" t="str">
        <f>$E$84</f>
        <v>kg VS</v>
      </c>
    </row>
    <row r="114" spans="3:21" ht="20.100000000000001" customHeight="1" x14ac:dyDescent="0.25">
      <c r="D114" s="57" t="str">
        <f>'Input - Swine'!$D$33</f>
        <v>Pit storage</v>
      </c>
      <c r="E114" s="52" cm="1">
        <f t="array" ref="E114">MMS_Swine_Methane_Equations.VEERG_4_5_1_1__7_VolatileSolidsTransferredStage2(D$94,E44,$E103)</f>
        <v>4.8000000000000001E-2</v>
      </c>
      <c r="F114" s="52" cm="1">
        <f t="array" ref="F114">MMS_Swine_Methane_Equations.VEERG_4_5_1_1__7_VolatileSolidsTransferredStage2(E$94,F44,$E103)</f>
        <v>5.5199999999999999E-2</v>
      </c>
      <c r="G114" s="52" cm="1">
        <f t="array" ref="G114">MMS_Swine_Methane_Equations.VEERG_4_5_1_1__7_VolatileSolidsTransferredStage2(F$94,G44,$E103)</f>
        <v>6.6000000000000003E-2</v>
      </c>
      <c r="H114" s="52" cm="1">
        <f t="array" ref="H114">MMS_Swine_Methane_Equations.VEERG_4_5_1_1__7_VolatileSolidsTransferredStage2(G$94,H44,$E103)</f>
        <v>4.6800000000000001E-2</v>
      </c>
      <c r="I114" s="124" t="str">
        <f t="shared" ref="I114:I115" si="0">$E$84</f>
        <v>kg VS</v>
      </c>
      <c r="N114" s="57" t="str">
        <f>'Input - Swine'!$D$33</f>
        <v>Pit storage</v>
      </c>
      <c r="O114" s="52" cm="1">
        <f t="array" ref="O114">MMS_Swine_Methane_Equations.VEERG_4_5_1_1__7_VolatileSolidsTransferredStage2(N$94,O44,$E103)</f>
        <v>4.8000000000000001E-2</v>
      </c>
      <c r="P114" s="52" cm="1">
        <f t="array" ref="P114">MMS_Swine_Methane_Equations.VEERG_4_5_1_1__7_VolatileSolidsTransferredStage2(O$94,P44,$E103)</f>
        <v>5.5199999999999999E-2</v>
      </c>
      <c r="Q114" s="52" cm="1">
        <f t="array" ref="Q114">MMS_Swine_Methane_Equations.VEERG_4_5_1_1__7_VolatileSolidsTransferredStage2(P$94,Q44,$E103)</f>
        <v>6.6000000000000003E-2</v>
      </c>
      <c r="R114" s="52" cm="1">
        <f t="array" ref="R114">MMS_Swine_Methane_Equations.VEERG_4_5_1_1__7_VolatileSolidsTransferredStage2(Q$94,R44,$E103)</f>
        <v>4.6800000000000001E-2</v>
      </c>
      <c r="S114" s="124" t="str">
        <f t="shared" ref="S114:S115" si="1">$E$84</f>
        <v>kg VS</v>
      </c>
    </row>
    <row r="115" spans="3:21" ht="20.100000000000001" customHeight="1" x14ac:dyDescent="0.25">
      <c r="D115" s="57" t="str">
        <f>'Input - Swine'!$D$34</f>
        <v>Solid storage</v>
      </c>
      <c r="E115" s="52" cm="1">
        <f t="array" ref="E115">MMS_Swine_Methane_Equations.VEERG_4_5_1_1__7_VolatileSolidsTransferredStage2(D$94,E73,$E104)</f>
        <v>0.16000000000000006</v>
      </c>
      <c r="F115" s="52" cm="1">
        <f t="array" ref="F115">MMS_Swine_Methane_Equations.VEERG_4_5_1_1__7_VolatileSolidsTransferredStage2(E$94,F73,$E104)</f>
        <v>0.18400000000000008</v>
      </c>
      <c r="G115" s="52" cm="1">
        <f t="array" ref="G115">MMS_Swine_Methane_Equations.VEERG_4_5_1_1__7_VolatileSolidsTransferredStage2(F$94,G73,$E104)</f>
        <v>0.22000000000000008</v>
      </c>
      <c r="H115" s="52" cm="1">
        <f t="array" ref="H115">MMS_Swine_Methane_Equations.VEERG_4_5_1_1__7_VolatileSolidsTransferredStage2(G$94,H73,$E104)</f>
        <v>0.15600000000000006</v>
      </c>
      <c r="I115" s="124" t="str">
        <f t="shared" si="0"/>
        <v>kg VS</v>
      </c>
      <c r="N115" s="57" t="str">
        <f>'Input - Swine'!$D$34</f>
        <v>Solid storage</v>
      </c>
      <c r="O115" s="52" cm="1">
        <f t="array" ref="O115">MMS_Swine_Methane_Equations.VEERG_4_5_1_1__7_VolatileSolidsTransferredStage2(N$94,O73,$E104)</f>
        <v>0.16000000000000006</v>
      </c>
      <c r="P115" s="52" cm="1">
        <f t="array" ref="P115">MMS_Swine_Methane_Equations.VEERG_4_5_1_1__7_VolatileSolidsTransferredStage2(O$94,P73,$E104)</f>
        <v>0.18400000000000008</v>
      </c>
      <c r="Q115" s="52" cm="1">
        <f t="array" ref="Q115">MMS_Swine_Methane_Equations.VEERG_4_5_1_1__7_VolatileSolidsTransferredStage2(P$94,Q73,$E104)</f>
        <v>0.22000000000000008</v>
      </c>
      <c r="R115" s="52" cm="1">
        <f t="array" ref="R115">MMS_Swine_Methane_Equations.VEERG_4_5_1_1__7_VolatileSolidsTransferredStage2(Q$94,R73,$E104)</f>
        <v>0.15600000000000006</v>
      </c>
      <c r="S115" s="124" t="str">
        <f t="shared" si="1"/>
        <v>kg VS</v>
      </c>
    </row>
    <row r="116" spans="3:21" ht="20.100000000000001" customHeight="1" x14ac:dyDescent="0.25"/>
    <row r="117" spans="3:21" ht="20.100000000000001" customHeight="1" x14ac:dyDescent="0.25"/>
    <row r="118" spans="3:21" ht="20.100000000000001" customHeight="1" x14ac:dyDescent="0.25"/>
    <row r="119" spans="3:21" ht="20.100000000000001" customHeight="1" x14ac:dyDescent="0.25"/>
    <row r="120" spans="3:21" ht="20.100000000000001" customHeight="1" x14ac:dyDescent="0.25">
      <c r="C120" s="45"/>
      <c r="D120" s="45"/>
      <c r="E120" s="45"/>
      <c r="F120" s="45"/>
      <c r="G120" s="45"/>
      <c r="H120" s="45"/>
      <c r="I120" s="45"/>
      <c r="J120" s="45"/>
      <c r="K120" s="45"/>
      <c r="M120" s="45"/>
      <c r="N120" s="45"/>
      <c r="O120" s="45"/>
      <c r="P120" s="45"/>
      <c r="Q120" s="45"/>
      <c r="R120" s="45"/>
      <c r="S120" s="45"/>
      <c r="T120" s="45"/>
      <c r="U120" s="45"/>
    </row>
    <row r="121" spans="3:21" ht="20.100000000000001" customHeight="1" x14ac:dyDescent="0.25">
      <c r="D121" s="6" t="str" cm="1">
        <f t="array" ref="D121">ManureManagement_Swine_Methane.VEERG_4_5_1_1__6_Stage2MethaneProduction_Title()</f>
        <v>Production of methane in each treatment stage 2 MMS</v>
      </c>
    </row>
    <row r="122" spans="3:21" ht="20.100000000000001" customHeight="1" x14ac:dyDescent="0.25">
      <c r="D122" s="5" t="str" cm="1">
        <f t="array" ref="D122">ManureManagement_Swine_Methane.VEERG_4_5_1_1__6_Stage2MethaneProduction_Source()</f>
        <v>VEERG 2026: 4.5.1.1, Equation (6)</v>
      </c>
    </row>
    <row r="123" spans="3:21" ht="20.100000000000001" customHeight="1" x14ac:dyDescent="0.25">
      <c r="D123" s="13" t="s">
        <v>26</v>
      </c>
      <c r="E123" s="13" t="e" cm="1">
        <f t="array" aca="1" ref="E123" ca="1">Common_InputFunctions.Utility_DisplayFunctionName(#REF!)</f>
        <v>#REF!</v>
      </c>
    </row>
    <row r="124" spans="3:21" ht="20.100000000000001" customHeight="1" x14ac:dyDescent="0.25">
      <c r="D124" s="107" t="s">
        <v>203</v>
      </c>
    </row>
    <row r="125" spans="3:21" ht="20.100000000000001" customHeight="1" x14ac:dyDescent="0.25"/>
    <row r="126" spans="3:21" ht="20.100000000000001" customHeight="1" x14ac:dyDescent="0.25"/>
    <row r="127" spans="3:21" ht="20.100000000000001" customHeight="1" x14ac:dyDescent="0.25">
      <c r="D127" s="53" t="s">
        <v>29</v>
      </c>
      <c r="E127" s="1" t="str" cm="1">
        <f t="array" ref="E127">ManureManagement_Swine_Methane.VEERG_4_5_1_1__6_Stage2MethaneProduction_Variable()</f>
        <v>MijmT2</v>
      </c>
    </row>
    <row r="128" spans="3:21" ht="20.100000000000001" customHeight="1" x14ac:dyDescent="0.25">
      <c r="D128" s="53" t="s">
        <v>19</v>
      </c>
      <c r="E128" s="54" t="str" cm="1">
        <f t="array" ref="E128">ManureManagement_Swine_Methane.VEERG_4_5_1_1__6_Stage2MethaneProduction_Unit()</f>
        <v>kg CH4/head/day</v>
      </c>
    </row>
    <row r="129" spans="4:10" ht="20.100000000000001" customHeight="1" x14ac:dyDescent="0.25"/>
    <row r="130" spans="4:10" ht="20.100000000000001" customHeight="1" x14ac:dyDescent="0.25">
      <c r="D130" s="57" t="str" cm="1">
        <f t="array" ref="D130:E135">ManureManagement_Swine_Methane.VEERG_4_5_1_1__6_Stage2MethaneProduction_Arguments()</f>
        <v>VSTjmT2</v>
      </c>
      <c r="E130" s="58" t="str">
        <v>volatile solids transferred to treatment stage 2 MMS : kg/head/day</v>
      </c>
      <c r="F130" s="59"/>
      <c r="G130" s="57" t="str">
        <f>"See " &amp; D106</f>
        <v>See M1 Table_VST_j_m_T-2</v>
      </c>
    </row>
    <row r="131" spans="4:10" ht="20.100000000000001" customHeight="1" x14ac:dyDescent="0.25">
      <c r="D131" s="57" t="str">
        <v>BO</v>
      </c>
      <c r="E131" s="58" t="str">
        <v>emissions potential : m3 CH4/kg VS</v>
      </c>
      <c r="F131" s="59"/>
      <c r="G131" s="57">
        <f>'Constants - Swine'!$E$21</f>
        <v>0.19</v>
      </c>
    </row>
    <row r="132" spans="4:10" ht="20.100000000000001" customHeight="1" x14ac:dyDescent="0.25">
      <c r="D132" s="57" t="str">
        <v>MMSjmT2</v>
      </c>
      <c r="E132" s="58" t="str">
        <v>fraction of manure in each secondary system : fraction</v>
      </c>
      <c r="F132" s="59"/>
      <c r="G132" s="57" t="str">
        <f>"See " &amp; D137</f>
        <v>See Table_MMS_j_m_T-2</v>
      </c>
    </row>
    <row r="133" spans="4:10" ht="20.100000000000001" customHeight="1" x14ac:dyDescent="0.25">
      <c r="D133" s="57" t="str">
        <v>MCFim</v>
      </c>
      <c r="E133" s="58" t="str">
        <v>methane conversion factor for temperate zone and system : fraction</v>
      </c>
      <c r="F133" s="59"/>
      <c r="G133" s="57" t="str">
        <f>"See " &amp; $D$162</f>
        <v>See M1_Table_MCF_i_m</v>
      </c>
    </row>
    <row r="134" spans="4:10" ht="20.100000000000001" customHeight="1" x14ac:dyDescent="0.25">
      <c r="D134" s="57" t="str">
        <v>rho</v>
      </c>
      <c r="E134" s="58" t="str">
        <v>density of methane : kg/m3</v>
      </c>
      <c r="F134" s="59"/>
      <c r="G134" s="57">
        <f>'Constants - Common'!$D$175</f>
        <v>0.6784</v>
      </c>
    </row>
    <row r="135" spans="4:10" ht="20.100000000000001" customHeight="1" x14ac:dyDescent="0.25">
      <c r="D135" s="57" t="str">
        <v>i</v>
      </c>
      <c r="E135" s="58" t="str">
        <v>state</v>
      </c>
      <c r="F135" s="59"/>
      <c r="G135" s="57" t="str">
        <f>'Input - Site'!$E$21</f>
        <v>Western Australia</v>
      </c>
    </row>
    <row r="136" spans="4:10" ht="20.100000000000001" customHeight="1" x14ac:dyDescent="0.25"/>
    <row r="137" spans="4:10" ht="20.100000000000001" customHeight="1" x14ac:dyDescent="0.25">
      <c r="D137" s="121" t="s">
        <v>204</v>
      </c>
    </row>
    <row r="138" spans="4:10" ht="20.100000000000001" customHeight="1" x14ac:dyDescent="0.25">
      <c r="D138" s="122" t="s">
        <v>205</v>
      </c>
    </row>
    <row r="139" spans="4:10" ht="20.100000000000001" customHeight="1" x14ac:dyDescent="0.25">
      <c r="F139" s="51" t="s">
        <v>143</v>
      </c>
      <c r="G139" s="51" t="s">
        <v>144</v>
      </c>
      <c r="H139" s="51" t="s">
        <v>145</v>
      </c>
      <c r="I139" s="51" t="s">
        <v>263</v>
      </c>
    </row>
    <row r="140" spans="4:10" ht="20.100000000000001" customHeight="1" x14ac:dyDescent="0.25">
      <c r="D140" s="51" t="s">
        <v>169</v>
      </c>
      <c r="E140" s="51" t="s">
        <v>206</v>
      </c>
      <c r="F140" s="51" t="s">
        <v>207</v>
      </c>
      <c r="G140" s="51" t="s">
        <v>208</v>
      </c>
      <c r="H140" s="51" t="s">
        <v>209</v>
      </c>
      <c r="I140" s="51" t="s">
        <v>210</v>
      </c>
    </row>
    <row r="141" spans="4:10" ht="20.100000000000001" customHeight="1" x14ac:dyDescent="0.25">
      <c r="D141" s="57" t="str">
        <f>'Input - Swine'!$D$29</f>
        <v>Anaerobic lagoon</v>
      </c>
      <c r="E141" s="57" t="str">
        <f>'Input - Swine'!$D$48</f>
        <v>Digester / covered lagoons</v>
      </c>
      <c r="F141" s="52">
        <f>'Input - Swine'!E48</f>
        <v>0.2</v>
      </c>
      <c r="G141" s="52">
        <f>'Input - Swine'!F48</f>
        <v>0.25</v>
      </c>
      <c r="H141" s="52">
        <f>'Input - Swine'!G48</f>
        <v>0.25</v>
      </c>
      <c r="I141" s="52">
        <f>'Input - Swine'!H48</f>
        <v>0.25</v>
      </c>
      <c r="J141" s="2" t="s">
        <v>99</v>
      </c>
    </row>
    <row r="142" spans="4:10" ht="20.100000000000001" customHeight="1" x14ac:dyDescent="0.25">
      <c r="D142" s="57"/>
      <c r="E142" s="57" t="str">
        <f>'Input - Swine'!$D$49</f>
        <v>Deep litter</v>
      </c>
      <c r="F142" s="52">
        <f>'Input - Swine'!E49</f>
        <v>0.2</v>
      </c>
      <c r="G142" s="52">
        <f>'Input - Swine'!F49</f>
        <v>0.25</v>
      </c>
      <c r="H142" s="52">
        <f>'Input - Swine'!G49</f>
        <v>0.25</v>
      </c>
      <c r="I142" s="52">
        <f>'Input - Swine'!H49</f>
        <v>0.25</v>
      </c>
      <c r="J142" s="2" t="s">
        <v>99</v>
      </c>
    </row>
    <row r="143" spans="4:10" ht="20.100000000000001" customHeight="1" x14ac:dyDescent="0.25">
      <c r="D143" s="57"/>
      <c r="E143" s="57" t="str">
        <f>'Input - Swine'!$D$50</f>
        <v>Pit storage</v>
      </c>
      <c r="F143" s="52">
        <f>'Input - Swine'!E50</f>
        <v>0.2</v>
      </c>
      <c r="G143" s="52">
        <f>'Input - Swine'!F50</f>
        <v>0.25</v>
      </c>
      <c r="H143" s="52">
        <f>'Input - Swine'!G50</f>
        <v>0.25</v>
      </c>
      <c r="I143" s="52">
        <f>'Input - Swine'!H50</f>
        <v>0.25</v>
      </c>
      <c r="J143" s="2" t="s">
        <v>99</v>
      </c>
    </row>
    <row r="144" spans="4:10" ht="20.100000000000001" customHeight="1" x14ac:dyDescent="0.25">
      <c r="D144" s="57" t="str">
        <f>'Input - Swine'!$D$30</f>
        <v>Drylot (feed pad)</v>
      </c>
      <c r="E144" s="57" t="str">
        <f>'Input - Swine'!$D$55</f>
        <v>Anaerobic lagoon</v>
      </c>
      <c r="F144" s="52">
        <f>'Input - Swine'!E55</f>
        <v>0.2</v>
      </c>
      <c r="G144" s="52">
        <f>'Input - Swine'!F55</f>
        <v>0.25</v>
      </c>
      <c r="H144" s="52">
        <f>'Input - Swine'!G55</f>
        <v>0.25</v>
      </c>
      <c r="I144" s="52">
        <f>'Input - Swine'!H55</f>
        <v>0.25</v>
      </c>
      <c r="J144" s="2" t="s">
        <v>99</v>
      </c>
    </row>
    <row r="145" spans="4:10" ht="20.100000000000001" customHeight="1" x14ac:dyDescent="0.25">
      <c r="D145" s="57"/>
      <c r="E145" s="57" t="str">
        <f>'Input - Swine'!$D$56</f>
        <v>Digester / covered lagoons</v>
      </c>
      <c r="F145" s="52">
        <f>'Input - Swine'!E56</f>
        <v>0.2</v>
      </c>
      <c r="G145" s="52">
        <f>'Input - Swine'!F56</f>
        <v>0.25</v>
      </c>
      <c r="H145" s="52">
        <f>'Input - Swine'!G56</f>
        <v>0.25</v>
      </c>
      <c r="I145" s="52">
        <f>'Input - Swine'!H56</f>
        <v>0.25</v>
      </c>
      <c r="J145" s="2" t="s">
        <v>99</v>
      </c>
    </row>
    <row r="146" spans="4:10" ht="20.100000000000001" customHeight="1" x14ac:dyDescent="0.25">
      <c r="D146" s="57"/>
      <c r="E146" s="57" t="str">
        <f>'Input - Swine'!$D$57</f>
        <v>Deep litter</v>
      </c>
      <c r="F146" s="52">
        <f>'Input - Swine'!E57</f>
        <v>0.2</v>
      </c>
      <c r="G146" s="52">
        <f>'Input - Swine'!F57</f>
        <v>0.25</v>
      </c>
      <c r="H146" s="52">
        <f>'Input - Swine'!G57</f>
        <v>0.25</v>
      </c>
      <c r="I146" s="52">
        <f>'Input - Swine'!H57</f>
        <v>0.25</v>
      </c>
      <c r="J146" s="2" t="s">
        <v>99</v>
      </c>
    </row>
    <row r="147" spans="4:10" ht="20.100000000000001" customHeight="1" x14ac:dyDescent="0.25">
      <c r="D147" s="57"/>
      <c r="E147" s="57" t="str">
        <f>'Input - Swine'!$D$58</f>
        <v>Pit storage</v>
      </c>
      <c r="F147" s="52">
        <f>'Input - Swine'!E58</f>
        <v>0.2</v>
      </c>
      <c r="G147" s="52">
        <f>'Input - Swine'!F58</f>
        <v>0.25</v>
      </c>
      <c r="H147" s="52">
        <f>'Input - Swine'!G58</f>
        <v>0.25</v>
      </c>
      <c r="I147" s="52">
        <f>'Input - Swine'!H58</f>
        <v>0.25</v>
      </c>
      <c r="J147" s="2" t="s">
        <v>99</v>
      </c>
    </row>
    <row r="148" spans="4:10" ht="20.100000000000001" customHeight="1" x14ac:dyDescent="0.25">
      <c r="D148" s="57" t="str">
        <f>'Input - Swine'!$D$31</f>
        <v>Digester / covered lagoons</v>
      </c>
      <c r="E148" s="57" t="str">
        <f>'Input - Swine'!$D$63</f>
        <v>Anaerobic lagoon</v>
      </c>
      <c r="F148" s="52">
        <f>'Input - Swine'!E63</f>
        <v>0.2</v>
      </c>
      <c r="G148" s="52">
        <f>'Input - Swine'!F63</f>
        <v>0.25</v>
      </c>
      <c r="H148" s="52">
        <f>'Input - Swine'!G63</f>
        <v>0.25</v>
      </c>
      <c r="I148" s="52">
        <f>'Input - Swine'!H63</f>
        <v>0.25</v>
      </c>
      <c r="J148" s="2" t="s">
        <v>99</v>
      </c>
    </row>
    <row r="149" spans="4:10" ht="20.100000000000001" customHeight="1" x14ac:dyDescent="0.25">
      <c r="D149" s="57"/>
      <c r="E149" s="57" t="str">
        <f>'Input - Swine'!$D$64</f>
        <v>Deep litter</v>
      </c>
      <c r="F149" s="52">
        <f>'Input - Swine'!E64</f>
        <v>0.2</v>
      </c>
      <c r="G149" s="52">
        <f>'Input - Swine'!F64</f>
        <v>0.25</v>
      </c>
      <c r="H149" s="52">
        <f>'Input - Swine'!G64</f>
        <v>0.25</v>
      </c>
      <c r="I149" s="52">
        <f>'Input - Swine'!H64</f>
        <v>0.25</v>
      </c>
      <c r="J149" s="2" t="s">
        <v>99</v>
      </c>
    </row>
    <row r="150" spans="4:10" ht="20.100000000000001" customHeight="1" x14ac:dyDescent="0.25">
      <c r="D150" s="57"/>
      <c r="E150" s="57" t="str">
        <f>'Input - Swine'!$D$65</f>
        <v>Pit storage</v>
      </c>
      <c r="F150" s="52">
        <f>'Input - Swine'!E65</f>
        <v>0.2</v>
      </c>
      <c r="G150" s="52">
        <f>'Input - Swine'!F65</f>
        <v>0.25</v>
      </c>
      <c r="H150" s="52">
        <f>'Input - Swine'!G65</f>
        <v>0.25</v>
      </c>
      <c r="I150" s="52">
        <f>'Input - Swine'!H65</f>
        <v>0.25</v>
      </c>
      <c r="J150" s="2" t="s">
        <v>99</v>
      </c>
    </row>
    <row r="151" spans="4:10" ht="20.100000000000001" customHeight="1" x14ac:dyDescent="0.25">
      <c r="D151" s="57" t="str">
        <f>'Input - Swine'!$D$32</f>
        <v>Deep litter</v>
      </c>
      <c r="E151" s="57" t="str">
        <f>'Input - Swine'!$D$70</f>
        <v>Anaerobic lagoon</v>
      </c>
      <c r="F151" s="52">
        <f>'Input - Swine'!E70</f>
        <v>0.2</v>
      </c>
      <c r="G151" s="52">
        <f>'Input - Swine'!F70</f>
        <v>0.25</v>
      </c>
      <c r="H151" s="52">
        <f>'Input - Swine'!G70</f>
        <v>0.25</v>
      </c>
      <c r="I151" s="52">
        <f>'Input - Swine'!H70</f>
        <v>0.25</v>
      </c>
      <c r="J151" s="2" t="s">
        <v>99</v>
      </c>
    </row>
    <row r="152" spans="4:10" ht="20.100000000000001" customHeight="1" x14ac:dyDescent="0.25">
      <c r="D152" s="57"/>
      <c r="E152" s="57" t="str">
        <f>'Input - Swine'!$D$71</f>
        <v>Digester / covered lagoons</v>
      </c>
      <c r="F152" s="52">
        <f>'Input - Swine'!E71</f>
        <v>0.2</v>
      </c>
      <c r="G152" s="52">
        <f>'Input - Swine'!F71</f>
        <v>0.25</v>
      </c>
      <c r="H152" s="52">
        <f>'Input - Swine'!G71</f>
        <v>0.25</v>
      </c>
      <c r="I152" s="52">
        <f>'Input - Swine'!H71</f>
        <v>0.25</v>
      </c>
      <c r="J152" s="2" t="s">
        <v>99</v>
      </c>
    </row>
    <row r="153" spans="4:10" ht="20.100000000000001" customHeight="1" x14ac:dyDescent="0.25">
      <c r="D153" s="57"/>
      <c r="E153" s="57" t="str">
        <f>'Input - Swine'!$D$72</f>
        <v>Pit storage</v>
      </c>
      <c r="F153" s="52">
        <f>'Input - Swine'!E72</f>
        <v>0.2</v>
      </c>
      <c r="G153" s="52">
        <f>'Input - Swine'!F72</f>
        <v>0.25</v>
      </c>
      <c r="H153" s="52">
        <f>'Input - Swine'!G72</f>
        <v>0.25</v>
      </c>
      <c r="I153" s="52">
        <f>'Input - Swine'!H72</f>
        <v>0.25</v>
      </c>
      <c r="J153" s="2" t="s">
        <v>99</v>
      </c>
    </row>
    <row r="154" spans="4:10" ht="20.100000000000001" customHeight="1" x14ac:dyDescent="0.25">
      <c r="D154" s="57" t="str">
        <f>'Input - Swine'!$D$33</f>
        <v>Pit storage</v>
      </c>
      <c r="E154" s="57" t="str">
        <f>'Input - Swine'!$D$77</f>
        <v>Anaerobic lagoon</v>
      </c>
      <c r="F154" s="52">
        <f>'Input - Swine'!E77</f>
        <v>0.2</v>
      </c>
      <c r="G154" s="52">
        <f>'Input - Swine'!F77</f>
        <v>0.25</v>
      </c>
      <c r="H154" s="52">
        <f>'Input - Swine'!G77</f>
        <v>0.25</v>
      </c>
      <c r="I154" s="52">
        <f>'Input - Swine'!H77</f>
        <v>0.25</v>
      </c>
      <c r="J154" s="2" t="s">
        <v>99</v>
      </c>
    </row>
    <row r="155" spans="4:10" ht="20.100000000000001" customHeight="1" x14ac:dyDescent="0.25">
      <c r="D155" s="57"/>
      <c r="E155" s="57" t="str">
        <f>'Input - Swine'!$D$78</f>
        <v>Digester / covered lagoons</v>
      </c>
      <c r="F155" s="52">
        <f>'Input - Swine'!E78</f>
        <v>0.2</v>
      </c>
      <c r="G155" s="52">
        <f>'Input - Swine'!F78</f>
        <v>0.25</v>
      </c>
      <c r="H155" s="52">
        <f>'Input - Swine'!G78</f>
        <v>0.25</v>
      </c>
      <c r="I155" s="52">
        <f>'Input - Swine'!H78</f>
        <v>0.25</v>
      </c>
      <c r="J155" s="2" t="s">
        <v>99</v>
      </c>
    </row>
    <row r="156" spans="4:10" ht="20.100000000000001" customHeight="1" x14ac:dyDescent="0.25">
      <c r="D156" s="57"/>
      <c r="E156" s="57" t="str">
        <f>'Input - Swine'!$D$79</f>
        <v>Deep litter</v>
      </c>
      <c r="F156" s="52">
        <f>'Input - Swine'!E79</f>
        <v>0.2</v>
      </c>
      <c r="G156" s="52">
        <f>'Input - Swine'!F79</f>
        <v>0.25</v>
      </c>
      <c r="H156" s="52">
        <f>'Input - Swine'!G79</f>
        <v>0.25</v>
      </c>
      <c r="I156" s="52">
        <f>'Input - Swine'!H79</f>
        <v>0.25</v>
      </c>
      <c r="J156" s="2" t="s">
        <v>99</v>
      </c>
    </row>
    <row r="157" spans="4:10" ht="20.100000000000001" customHeight="1" x14ac:dyDescent="0.25">
      <c r="D157" s="57" t="str">
        <f>'Input - Swine'!$D$34</f>
        <v>Solid storage</v>
      </c>
      <c r="E157" s="57" t="str">
        <f>'Input - Swine'!$D$84</f>
        <v>Anaerobic lagoon</v>
      </c>
      <c r="F157" s="52">
        <f>'Input - Swine'!E84</f>
        <v>0.2</v>
      </c>
      <c r="G157" s="52">
        <f>'Input - Swine'!F84</f>
        <v>0.2</v>
      </c>
      <c r="H157" s="52">
        <f>'Input - Swine'!G84</f>
        <v>0.2</v>
      </c>
      <c r="I157" s="52">
        <f>'Input - Swine'!H84</f>
        <v>0.2</v>
      </c>
      <c r="J157" s="2" t="s">
        <v>99</v>
      </c>
    </row>
    <row r="158" spans="4:10" ht="20.100000000000001" customHeight="1" x14ac:dyDescent="0.25">
      <c r="D158" s="57"/>
      <c r="E158" s="57" t="str">
        <f>'Input - Swine'!$D$85</f>
        <v>Digester / covered lagoons</v>
      </c>
      <c r="F158" s="52">
        <f>'Input - Swine'!E85</f>
        <v>0.2</v>
      </c>
      <c r="G158" s="52">
        <f>'Input - Swine'!F85</f>
        <v>0.2</v>
      </c>
      <c r="H158" s="52">
        <f>'Input - Swine'!G85</f>
        <v>0.2</v>
      </c>
      <c r="I158" s="52">
        <f>'Input - Swine'!H85</f>
        <v>0.2</v>
      </c>
      <c r="J158" s="2" t="s">
        <v>99</v>
      </c>
    </row>
    <row r="159" spans="4:10" ht="20.100000000000001" customHeight="1" x14ac:dyDescent="0.25">
      <c r="D159" s="57"/>
      <c r="E159" s="57" t="str">
        <f>'Input - Swine'!$D$86</f>
        <v>Deep litter</v>
      </c>
      <c r="F159" s="52">
        <f>'Input - Swine'!E86</f>
        <v>0.2</v>
      </c>
      <c r="G159" s="52">
        <f>'Input - Swine'!F86</f>
        <v>0.2</v>
      </c>
      <c r="H159" s="52">
        <f>'Input - Swine'!G86</f>
        <v>0.2</v>
      </c>
      <c r="I159" s="52">
        <f>'Input - Swine'!H86</f>
        <v>0.2</v>
      </c>
      <c r="J159" s="2" t="s">
        <v>99</v>
      </c>
    </row>
    <row r="160" spans="4:10" ht="20.100000000000001" customHeight="1" x14ac:dyDescent="0.25">
      <c r="D160" s="57"/>
      <c r="E160" s="57" t="str">
        <f>'Input - Swine'!$D$87</f>
        <v>Pit storage</v>
      </c>
      <c r="F160" s="52">
        <f>'Input - Swine'!E87</f>
        <v>0.1</v>
      </c>
      <c r="G160" s="52">
        <f>'Input - Swine'!F87</f>
        <v>0.1</v>
      </c>
      <c r="H160" s="52">
        <f>'Input - Swine'!G87</f>
        <v>0.1</v>
      </c>
      <c r="I160" s="52">
        <f>'Input - Swine'!H87</f>
        <v>0.1</v>
      </c>
      <c r="J160" s="2" t="s">
        <v>99</v>
      </c>
    </row>
    <row r="161" spans="4:19" ht="20.100000000000001" customHeight="1" x14ac:dyDescent="0.25"/>
    <row r="162" spans="4:19" ht="20.100000000000001" customHeight="1" x14ac:dyDescent="0.25">
      <c r="D162" s="121" t="s">
        <v>123</v>
      </c>
    </row>
    <row r="163" spans="4:19" ht="20.100000000000001" customHeight="1" x14ac:dyDescent="0.25">
      <c r="D163" s="122" t="s">
        <v>255</v>
      </c>
    </row>
    <row r="164" spans="4:19" ht="20.100000000000001" customHeight="1" x14ac:dyDescent="0.25"/>
    <row r="165" spans="4:19" ht="20.100000000000001" customHeight="1" x14ac:dyDescent="0.25">
      <c r="D165" s="51" t="s">
        <v>67</v>
      </c>
      <c r="E165" s="51" t="s">
        <v>98</v>
      </c>
    </row>
    <row r="166" spans="4:19" ht="20.100000000000001" customHeight="1" x14ac:dyDescent="0.25">
      <c r="D166" s="57" t="str">
        <f>'Input - Swine'!$D$29</f>
        <v>Anaerobic lagoon</v>
      </c>
      <c r="E166" s="52" cm="1">
        <f t="array" ref="E166">CommonLivestock_InputFunctions.Livestock_LookupMCFState(D166,Table_SourceData_Swine_MMSMCF[NIR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0.76</v>
      </c>
    </row>
    <row r="167" spans="4:19" ht="20.100000000000001" customHeight="1" x14ac:dyDescent="0.25">
      <c r="D167" s="57" t="str">
        <f>'Input - Swine'!$D$30</f>
        <v>Drylot (feed pad)</v>
      </c>
      <c r="E167" s="52" cm="1">
        <f t="array" ref="E167">CommonLivestock_InputFunctions.Livestock_LookupMCFState(D167,Table_SourceData_Swine_MMSMCF[NIR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0.01</v>
      </c>
    </row>
    <row r="168" spans="4:19" ht="20.100000000000001" customHeight="1" x14ac:dyDescent="0.25">
      <c r="D168" s="57" t="str">
        <f>'Input - Swine'!$D$31</f>
        <v>Digester / covered lagoons</v>
      </c>
      <c r="E168" s="52" cm="1">
        <f t="array" ref="E168">CommonLivestock_InputFunctions.Livestock_LookupMCFState(D168,Table_SourceData_Swine_MMSMCF[NIR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0.1</v>
      </c>
    </row>
    <row r="169" spans="4:19" ht="20.100000000000001" customHeight="1" x14ac:dyDescent="0.25">
      <c r="D169" s="57" t="str">
        <f>'Input - Swine'!$D$32</f>
        <v>Deep litter</v>
      </c>
      <c r="E169" s="52" cm="1">
        <f t="array" ref="E169">CommonLivestock_InputFunctions.Livestock_LookupMCFState(D169,Table_SourceData_Swine_MMSMCF[NIR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0.04</v>
      </c>
    </row>
    <row r="170" spans="4:19" ht="20.100000000000001" customHeight="1" x14ac:dyDescent="0.25">
      <c r="D170" s="57" t="str">
        <f>'Input - Swine'!$D$33</f>
        <v>Pit storage</v>
      </c>
      <c r="E170" s="52" cm="1">
        <f t="array" ref="E170">CommonLivestock_InputFunctions.Livestock_LookupMCFState(D170,Table_SourceData_Swine_MMSMCF[NIR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0.03</v>
      </c>
    </row>
    <row r="171" spans="4:19" ht="20.100000000000001" customHeight="1" x14ac:dyDescent="0.25">
      <c r="D171" s="57" t="str">
        <f>'Input - Swine'!$D$34</f>
        <v>Solid storage</v>
      </c>
      <c r="E171" s="52" cm="1">
        <f t="array" ref="E171">CommonLivestock_InputFunctions.Livestock_LookupMCFState(D171,Table_SourceData_Swine_MMSMCF[NIR definition],Common_InputFunctions.Utility_ConvertStateCommonNameToAbbreviation($G$135,Table_AustralianStates[Common Name],Table_AustralianStates[Abbreviation]),Table_SourceData_Swine_MMSMCF[#Headers],Table_SourceData_Swine_MMSMCF[#Data])</f>
        <v>0.02</v>
      </c>
    </row>
    <row r="172" spans="4:19" ht="20.100000000000001" customHeight="1" x14ac:dyDescent="0.25"/>
    <row r="173" spans="4:19" ht="20.100000000000001" customHeight="1" x14ac:dyDescent="0.25">
      <c r="D173" s="121" t="s">
        <v>256</v>
      </c>
      <c r="N173" s="121" t="s">
        <v>275</v>
      </c>
    </row>
    <row r="174" spans="4:19" ht="20.100000000000001" customHeight="1" x14ac:dyDescent="0.25">
      <c r="D174" s="122" t="s">
        <v>257</v>
      </c>
      <c r="N174" s="122" t="s">
        <v>276</v>
      </c>
    </row>
    <row r="175" spans="4:19" ht="20.100000000000001" customHeight="1" x14ac:dyDescent="0.25">
      <c r="F175" s="51" t="s">
        <v>143</v>
      </c>
      <c r="G175" s="51" t="s">
        <v>144</v>
      </c>
      <c r="H175" s="51" t="s">
        <v>145</v>
      </c>
      <c r="I175" s="51" t="s">
        <v>263</v>
      </c>
      <c r="P175" s="51" t="s">
        <v>143</v>
      </c>
      <c r="Q175" s="51" t="s">
        <v>144</v>
      </c>
      <c r="R175" s="51" t="s">
        <v>145</v>
      </c>
      <c r="S175" s="51" t="s">
        <v>263</v>
      </c>
    </row>
    <row r="176" spans="4:19" ht="20.100000000000001" customHeight="1" x14ac:dyDescent="0.25">
      <c r="D176" s="51" t="s">
        <v>169</v>
      </c>
      <c r="E176" s="51" t="s">
        <v>206</v>
      </c>
      <c r="F176" s="51" t="s">
        <v>212</v>
      </c>
      <c r="G176" s="51" t="s">
        <v>213</v>
      </c>
      <c r="H176" s="51" t="s">
        <v>214</v>
      </c>
      <c r="I176" s="51" t="s">
        <v>215</v>
      </c>
      <c r="N176" s="51" t="s">
        <v>169</v>
      </c>
      <c r="O176" s="51" t="s">
        <v>206</v>
      </c>
      <c r="P176" s="51" t="s">
        <v>212</v>
      </c>
      <c r="Q176" s="51" t="s">
        <v>213</v>
      </c>
      <c r="R176" s="51" t="s">
        <v>214</v>
      </c>
      <c r="S176" s="51" t="s">
        <v>215</v>
      </c>
    </row>
    <row r="177" spans="4:20" ht="20.100000000000001" customHeight="1" x14ac:dyDescent="0.25">
      <c r="D177" s="57" t="str">
        <f>'Input - Swine'!$D$29</f>
        <v>Anaerobic lagoon</v>
      </c>
      <c r="E177" s="57" t="str">
        <f>'Input - Swine'!$D$48</f>
        <v>Digester / covered lagoons</v>
      </c>
      <c r="F177" s="52" cm="1">
        <f t="array" ref="F177">ManureManagement_Swine_Methane.VEERG_4_5_1_1__6_Stage2MethaneProduction(E$110,$G$131,F141,VLOOKUP($E177,$D$166:$E$171,2, FALSE),$G$134)</f>
        <v>1.2374016000000002E-4</v>
      </c>
      <c r="G177" s="52" cm="1">
        <f t="array" ref="G177">ManureManagement_Swine_Methane.VEERG_4_5_1_1__6_Stage2MethaneProduction(F$110,$G$131,G141,VLOOKUP($E177,$D$166:$E$171,2, FALSE),$G$134)</f>
        <v>1.7787648000000002E-4</v>
      </c>
      <c r="H177" s="52" cm="1">
        <f t="array" ref="H177">ManureManagement_Swine_Methane.VEERG_4_5_1_1__6_Stage2MethaneProduction(G$110,$G$131,H141,VLOOKUP($E177,$D$166:$E$171,2, FALSE),$G$134)</f>
        <v>2.1267840000000003E-4</v>
      </c>
      <c r="I177" s="52" cm="1">
        <f t="array" ref="I177">ManureManagement_Swine_Methane.VEERG_4_5_1_1__6_Stage2MethaneProduction(H$110,$G$131,I141,VLOOKUP($E177,$D$166:$E$171,2, FALSE),$G$134)</f>
        <v>1.5080832000000002E-4</v>
      </c>
      <c r="J177" s="2" t="str">
        <f t="shared" ref="J177:J186" si="2">$E$128</f>
        <v>kg CH4/head/day</v>
      </c>
      <c r="N177" s="57" t="str">
        <f>'Input - Swine'!$D$29</f>
        <v>Anaerobic lagoon</v>
      </c>
      <c r="O177" s="57" t="str">
        <f>'Input - Swine'!$D$48</f>
        <v>Digester / covered lagoons</v>
      </c>
      <c r="P177" s="52" cm="1">
        <f t="array" ref="P177">ManureManagement_Swine_Methane.VEERG_4_5_1_1__6_Stage2MethaneProduction(O$110,$G$131,F141,VLOOKUP($E177,$D$166:$E$171,2, FALSE),$G$134)</f>
        <v>1.2374016000000002E-4</v>
      </c>
      <c r="Q177" s="52" cm="1">
        <f t="array" ref="Q177">ManureManagement_Swine_Methane.VEERG_4_5_1_1__6_Stage2MethaneProduction(P$110,$G$131,G141,VLOOKUP($E177,$D$166:$E$171,2, FALSE),$G$134)</f>
        <v>1.7787648000000002E-4</v>
      </c>
      <c r="R177" s="52" cm="1">
        <f t="array" ref="R177">ManureManagement_Swine_Methane.VEERG_4_5_1_1__6_Stage2MethaneProduction(Q$110,$G$131,H141,VLOOKUP($E177,$D$166:$E$171,2, FALSE),$G$134)</f>
        <v>2.1267840000000003E-4</v>
      </c>
      <c r="S177" s="52" cm="1">
        <f t="array" ref="S177">ManureManagement_Swine_Methane.VEERG_4_5_1_1__6_Stage2MethaneProduction(R$110,$G$131,I141,VLOOKUP($E177,$D$166:$E$171,2, FALSE),$G$134)</f>
        <v>1.5080832000000002E-4</v>
      </c>
      <c r="T177" s="2" t="str">
        <f t="shared" ref="T177:T186" si="3">$E$128</f>
        <v>kg CH4/head/day</v>
      </c>
    </row>
    <row r="178" spans="4:20" ht="20.100000000000001" customHeight="1" x14ac:dyDescent="0.25">
      <c r="D178" s="57"/>
      <c r="E178" s="57" t="str">
        <f>'Input - Swine'!$D$49</f>
        <v>Deep litter</v>
      </c>
      <c r="F178" s="52" cm="1">
        <f t="array" ref="F178">ManureManagement_Swine_Methane.VEERG_4_5_1_1__6_Stage2MethaneProduction(E$110,$G$131,F142,VLOOKUP($E178,$D$166:$E$171,2, FALSE),$G$134)</f>
        <v>4.9496064000000004E-5</v>
      </c>
      <c r="G178" s="52" cm="1">
        <f t="array" ref="G178">ManureManagement_Swine_Methane.VEERG_4_5_1_1__6_Stage2MethaneProduction(F$110,$G$131,G142,VLOOKUP($E178,$D$166:$E$171,2, FALSE),$G$134)</f>
        <v>7.1150592000000014E-5</v>
      </c>
      <c r="H178" s="52" cm="1">
        <f t="array" ref="H178">ManureManagement_Swine_Methane.VEERG_4_5_1_1__6_Stage2MethaneProduction(G$110,$G$131,H142,VLOOKUP($E178,$D$166:$E$171,2, FALSE),$G$134)</f>
        <v>8.5071360000000011E-5</v>
      </c>
      <c r="I178" s="52" cm="1">
        <f t="array" ref="I178">ManureManagement_Swine_Methane.VEERG_4_5_1_1__6_Stage2MethaneProduction(H$110,$G$131,I142,VLOOKUP($E178,$D$166:$E$171,2, FALSE),$G$134)</f>
        <v>6.0323328000000009E-5</v>
      </c>
      <c r="J178" s="2" t="str">
        <f t="shared" si="2"/>
        <v>kg CH4/head/day</v>
      </c>
      <c r="N178" s="57"/>
      <c r="O178" s="57" t="str">
        <f>'Input - Swine'!$D$49</f>
        <v>Deep litter</v>
      </c>
      <c r="P178" s="52" cm="1">
        <f t="array" ref="P178">ManureManagement_Swine_Methane.VEERG_4_5_1_1__6_Stage2MethaneProduction(O$110,$G$131,F142,VLOOKUP($E178,$D$166:$E$171,2, FALSE),$G$134)</f>
        <v>4.9496064000000004E-5</v>
      </c>
      <c r="Q178" s="52" cm="1">
        <f t="array" ref="Q178">ManureManagement_Swine_Methane.VEERG_4_5_1_1__6_Stage2MethaneProduction(P$110,$G$131,G142,VLOOKUP($E178,$D$166:$E$171,2, FALSE),$G$134)</f>
        <v>7.1150592000000014E-5</v>
      </c>
      <c r="R178" s="52" cm="1">
        <f t="array" ref="R178">ManureManagement_Swine_Methane.VEERG_4_5_1_1__6_Stage2MethaneProduction(Q$110,$G$131,H142,VLOOKUP($E178,$D$166:$E$171,2, FALSE),$G$134)</f>
        <v>8.5071360000000011E-5</v>
      </c>
      <c r="S178" s="52" cm="1">
        <f t="array" ref="S178">ManureManagement_Swine_Methane.VEERG_4_5_1_1__6_Stage2MethaneProduction(R$110,$G$131,I142,VLOOKUP($E178,$D$166:$E$171,2, FALSE),$G$134)</f>
        <v>6.0323328000000009E-5</v>
      </c>
      <c r="T178" s="2" t="str">
        <f t="shared" si="3"/>
        <v>kg CH4/head/day</v>
      </c>
    </row>
    <row r="179" spans="4:20" ht="20.100000000000001" customHeight="1" x14ac:dyDescent="0.25">
      <c r="D179" s="57"/>
      <c r="E179" s="57" t="str">
        <f>'Input - Swine'!$D$50</f>
        <v>Pit storage</v>
      </c>
      <c r="F179" s="52" cm="1">
        <f t="array" ref="F179">ManureManagement_Swine_Methane.VEERG_4_5_1_1__6_Stage2MethaneProduction(E$110,$G$131,F143,VLOOKUP($E179,$D$166:$E$171,2, FALSE),$G$134)</f>
        <v>3.7122047999999999E-5</v>
      </c>
      <c r="G179" s="52" cm="1">
        <f t="array" ref="G179">ManureManagement_Swine_Methane.VEERG_4_5_1_1__6_Stage2MethaneProduction(F$110,$G$131,G143,VLOOKUP($E179,$D$166:$E$171,2, FALSE),$G$134)</f>
        <v>5.3362944000000004E-5</v>
      </c>
      <c r="H179" s="52" cm="1">
        <f t="array" ref="H179">ManureManagement_Swine_Methane.VEERG_4_5_1_1__6_Stage2MethaneProduction(G$110,$G$131,H143,VLOOKUP($E179,$D$166:$E$171,2, FALSE),$G$134)</f>
        <v>6.3803520000000008E-5</v>
      </c>
      <c r="I179" s="52" cm="1">
        <f t="array" ref="I179">ManureManagement_Swine_Methane.VEERG_4_5_1_1__6_Stage2MethaneProduction(H$110,$G$131,I143,VLOOKUP($E179,$D$166:$E$171,2, FALSE),$G$134)</f>
        <v>4.5242496000000002E-5</v>
      </c>
      <c r="J179" s="2" t="str">
        <f t="shared" si="2"/>
        <v>kg CH4/head/day</v>
      </c>
      <c r="N179" s="57"/>
      <c r="O179" s="57" t="str">
        <f>'Input - Swine'!$D$50</f>
        <v>Pit storage</v>
      </c>
      <c r="P179" s="52" cm="1">
        <f t="array" ref="P179">ManureManagement_Swine_Methane.VEERG_4_5_1_1__6_Stage2MethaneProduction(O$110,$G$131,F143,VLOOKUP($E179,$D$166:$E$171,2, FALSE),$G$134)</f>
        <v>3.7122047999999999E-5</v>
      </c>
      <c r="Q179" s="52" cm="1">
        <f t="array" ref="Q179">ManureManagement_Swine_Methane.VEERG_4_5_1_1__6_Stage2MethaneProduction(P$110,$G$131,G143,VLOOKUP($E179,$D$166:$E$171,2, FALSE),$G$134)</f>
        <v>5.3362944000000004E-5</v>
      </c>
      <c r="R179" s="52" cm="1">
        <f t="array" ref="R179">ManureManagement_Swine_Methane.VEERG_4_5_1_1__6_Stage2MethaneProduction(Q$110,$G$131,H143,VLOOKUP($E179,$D$166:$E$171,2, FALSE),$G$134)</f>
        <v>6.3803520000000008E-5</v>
      </c>
      <c r="S179" s="52" cm="1">
        <f t="array" ref="S179">ManureManagement_Swine_Methane.VEERG_4_5_1_1__6_Stage2MethaneProduction(R$110,$G$131,I143,VLOOKUP($E179,$D$166:$E$171,2, FALSE),$G$134)</f>
        <v>4.5242496000000002E-5</v>
      </c>
      <c r="T179" s="2" t="str">
        <f t="shared" si="3"/>
        <v>kg CH4/head/day</v>
      </c>
    </row>
    <row r="180" spans="4:20" ht="20.100000000000001" customHeight="1" x14ac:dyDescent="0.25">
      <c r="D180" s="57" t="str">
        <f>'Input - Swine'!$D$30</f>
        <v>Drylot (feed pad)</v>
      </c>
      <c r="E180" s="57" t="str">
        <f>'Input - Swine'!$D$55</f>
        <v>Anaerobic lagoon</v>
      </c>
      <c r="F180" s="52" cm="1">
        <f t="array" ref="F180">ManureManagement_Swine_Methane.VEERG_4_5_1_1__6_Stage2MethaneProduction(E$111,$G$131,F144,VLOOKUP($E180,$D$166:$E$171,2, FALSE),$G$134)</f>
        <v>9.4042521600000016E-4</v>
      </c>
      <c r="G180" s="52" cm="1">
        <f t="array" ref="G180">ManureManagement_Swine_Methane.VEERG_4_5_1_1__6_Stage2MethaneProduction(F$111,$G$131,G144,VLOOKUP($E180,$D$166:$E$171,2, FALSE),$G$134)</f>
        <v>1.3518612480000003E-3</v>
      </c>
      <c r="H180" s="52" cm="1">
        <f t="array" ref="H180">ManureManagement_Swine_Methane.VEERG_4_5_1_1__6_Stage2MethaneProduction(G$111,$G$131,H144,VLOOKUP($E180,$D$166:$E$171,2, FALSE),$G$134)</f>
        <v>1.6163558400000002E-3</v>
      </c>
      <c r="I180" s="52" cm="1">
        <f t="array" ref="I180">ManureManagement_Swine_Methane.VEERG_4_5_1_1__6_Stage2MethaneProduction(H$111,$G$131,I144,VLOOKUP($E180,$D$166:$E$171,2, FALSE),$G$134)</f>
        <v>1.146143232E-3</v>
      </c>
      <c r="J180" s="2" t="str">
        <f t="shared" si="2"/>
        <v>kg CH4/head/day</v>
      </c>
      <c r="N180" s="57" t="str">
        <f>'Input - Swine'!$D$30</f>
        <v>Drylot (feed pad)</v>
      </c>
      <c r="O180" s="57" t="str">
        <f>'Input - Swine'!$D$55</f>
        <v>Anaerobic lagoon</v>
      </c>
      <c r="P180" s="52" cm="1">
        <f t="array" ref="P180">ManureManagement_Swine_Methane.VEERG_4_5_1_1__6_Stage2MethaneProduction(O$111,$G$131,F144,VLOOKUP($E180,$D$166:$E$171,2, FALSE),$G$134)</f>
        <v>9.4042521600000016E-4</v>
      </c>
      <c r="Q180" s="52" cm="1">
        <f t="array" ref="Q180">ManureManagement_Swine_Methane.VEERG_4_5_1_1__6_Stage2MethaneProduction(P$111,$G$131,G144,VLOOKUP($E180,$D$166:$E$171,2, FALSE),$G$134)</f>
        <v>1.3518612480000003E-3</v>
      </c>
      <c r="R180" s="52" cm="1">
        <f t="array" ref="R180">ManureManagement_Swine_Methane.VEERG_4_5_1_1__6_Stage2MethaneProduction(Q$111,$G$131,H144,VLOOKUP($E180,$D$166:$E$171,2, FALSE),$G$134)</f>
        <v>1.6163558400000002E-3</v>
      </c>
      <c r="S180" s="52" cm="1">
        <f t="array" ref="S180">ManureManagement_Swine_Methane.VEERG_4_5_1_1__6_Stage2MethaneProduction(R$111,$G$131,I144,VLOOKUP($E180,$D$166:$E$171,2, FALSE),$G$134)</f>
        <v>1.146143232E-3</v>
      </c>
      <c r="T180" s="2" t="str">
        <f t="shared" si="3"/>
        <v>kg CH4/head/day</v>
      </c>
    </row>
    <row r="181" spans="4:20" ht="20.100000000000001" customHeight="1" x14ac:dyDescent="0.25">
      <c r="D181" s="57"/>
      <c r="E181" s="57" t="str">
        <f>'Input - Swine'!$D$56</f>
        <v>Digester / covered lagoons</v>
      </c>
      <c r="F181" s="52" cm="1">
        <f t="array" ref="F181">ManureManagement_Swine_Methane.VEERG_4_5_1_1__6_Stage2MethaneProduction(E$111,$G$131,F145,VLOOKUP($E181,$D$166:$E$171,2, FALSE),$G$134)</f>
        <v>1.2374016000000002E-4</v>
      </c>
      <c r="G181" s="52" cm="1">
        <f t="array" ref="G181">ManureManagement_Swine_Methane.VEERG_4_5_1_1__6_Stage2MethaneProduction(F$111,$G$131,G145,VLOOKUP($E181,$D$166:$E$171,2, FALSE),$G$134)</f>
        <v>1.7787648000000002E-4</v>
      </c>
      <c r="H181" s="52" cm="1">
        <f t="array" ref="H181">ManureManagement_Swine_Methane.VEERG_4_5_1_1__6_Stage2MethaneProduction(G$111,$G$131,H145,VLOOKUP($E181,$D$166:$E$171,2, FALSE),$G$134)</f>
        <v>2.1267840000000003E-4</v>
      </c>
      <c r="I181" s="52" cm="1">
        <f t="array" ref="I181">ManureManagement_Swine_Methane.VEERG_4_5_1_1__6_Stage2MethaneProduction(H$111,$G$131,I145,VLOOKUP($E181,$D$166:$E$171,2, FALSE),$G$134)</f>
        <v>1.5080832000000002E-4</v>
      </c>
      <c r="J181" s="2" t="str">
        <f t="shared" si="2"/>
        <v>kg CH4/head/day</v>
      </c>
      <c r="N181" s="57"/>
      <c r="O181" s="57" t="str">
        <f>'Input - Swine'!$D$56</f>
        <v>Digester / covered lagoons</v>
      </c>
      <c r="P181" s="52" cm="1">
        <f t="array" ref="P181">ManureManagement_Swine_Methane.VEERG_4_5_1_1__6_Stage2MethaneProduction(O$111,$G$131,F145,VLOOKUP($E181,$D$166:$E$171,2, FALSE),$G$134)</f>
        <v>1.2374016000000002E-4</v>
      </c>
      <c r="Q181" s="52" cm="1">
        <f t="array" ref="Q181">ManureManagement_Swine_Methane.VEERG_4_5_1_1__6_Stage2MethaneProduction(P$111,$G$131,G145,VLOOKUP($E181,$D$166:$E$171,2, FALSE),$G$134)</f>
        <v>1.7787648000000002E-4</v>
      </c>
      <c r="R181" s="52" cm="1">
        <f t="array" ref="R181">ManureManagement_Swine_Methane.VEERG_4_5_1_1__6_Stage2MethaneProduction(Q$111,$G$131,H145,VLOOKUP($E181,$D$166:$E$171,2, FALSE),$G$134)</f>
        <v>2.1267840000000003E-4</v>
      </c>
      <c r="S181" s="52" cm="1">
        <f t="array" ref="S181">ManureManagement_Swine_Methane.VEERG_4_5_1_1__6_Stage2MethaneProduction(R$111,$G$131,I145,VLOOKUP($E181,$D$166:$E$171,2, FALSE),$G$134)</f>
        <v>1.5080832000000002E-4</v>
      </c>
      <c r="T181" s="2" t="str">
        <f t="shared" si="3"/>
        <v>kg CH4/head/day</v>
      </c>
    </row>
    <row r="182" spans="4:20" ht="20.100000000000001" customHeight="1" x14ac:dyDescent="0.25">
      <c r="D182" s="57"/>
      <c r="E182" s="57" t="str">
        <f>'Input - Swine'!$D$57</f>
        <v>Deep litter</v>
      </c>
      <c r="F182" s="52" cm="1">
        <f t="array" ref="F182">ManureManagement_Swine_Methane.VEERG_4_5_1_1__6_Stage2MethaneProduction(E$111,$G$131,F146,VLOOKUP($E182,$D$166:$E$171,2, FALSE),$G$134)</f>
        <v>4.9496064000000004E-5</v>
      </c>
      <c r="G182" s="52" cm="1">
        <f t="array" ref="G182">ManureManagement_Swine_Methane.VEERG_4_5_1_1__6_Stage2MethaneProduction(F$111,$G$131,G146,VLOOKUP($E182,$D$166:$E$171,2, FALSE),$G$134)</f>
        <v>7.1150592000000014E-5</v>
      </c>
      <c r="H182" s="52" cm="1">
        <f t="array" ref="H182">ManureManagement_Swine_Methane.VEERG_4_5_1_1__6_Stage2MethaneProduction(G$111,$G$131,H146,VLOOKUP($E182,$D$166:$E$171,2, FALSE),$G$134)</f>
        <v>8.5071360000000011E-5</v>
      </c>
      <c r="I182" s="52" cm="1">
        <f t="array" ref="I182">ManureManagement_Swine_Methane.VEERG_4_5_1_1__6_Stage2MethaneProduction(H$111,$G$131,I146,VLOOKUP($E182,$D$166:$E$171,2, FALSE),$G$134)</f>
        <v>6.0323328000000009E-5</v>
      </c>
      <c r="J182" s="2" t="str">
        <f t="shared" si="2"/>
        <v>kg CH4/head/day</v>
      </c>
      <c r="N182" s="57"/>
      <c r="O182" s="57" t="str">
        <f>'Input - Swine'!$D$57</f>
        <v>Deep litter</v>
      </c>
      <c r="P182" s="52" cm="1">
        <f t="array" ref="P182">ManureManagement_Swine_Methane.VEERG_4_5_1_1__6_Stage2MethaneProduction(O$111,$G$131,F146,VLOOKUP($E182,$D$166:$E$171,2, FALSE),$G$134)</f>
        <v>4.9496064000000004E-5</v>
      </c>
      <c r="Q182" s="52" cm="1">
        <f t="array" ref="Q182">ManureManagement_Swine_Methane.VEERG_4_5_1_1__6_Stage2MethaneProduction(P$111,$G$131,G146,VLOOKUP($E182,$D$166:$E$171,2, FALSE),$G$134)</f>
        <v>7.1150592000000014E-5</v>
      </c>
      <c r="R182" s="52" cm="1">
        <f t="array" ref="R182">ManureManagement_Swine_Methane.VEERG_4_5_1_1__6_Stage2MethaneProduction(Q$111,$G$131,H146,VLOOKUP($E182,$D$166:$E$171,2, FALSE),$G$134)</f>
        <v>8.5071360000000011E-5</v>
      </c>
      <c r="S182" s="52" cm="1">
        <f t="array" ref="S182">ManureManagement_Swine_Methane.VEERG_4_5_1_1__6_Stage2MethaneProduction(R$111,$G$131,I146,VLOOKUP($E182,$D$166:$E$171,2, FALSE),$G$134)</f>
        <v>6.0323328000000009E-5</v>
      </c>
      <c r="T182" s="2" t="str">
        <f t="shared" si="3"/>
        <v>kg CH4/head/day</v>
      </c>
    </row>
    <row r="183" spans="4:20" ht="20.100000000000001" customHeight="1" x14ac:dyDescent="0.25">
      <c r="D183" s="57"/>
      <c r="E183" s="57" t="str">
        <f>'Input - Swine'!$D$58</f>
        <v>Pit storage</v>
      </c>
      <c r="F183" s="52" cm="1">
        <f t="array" ref="F183">ManureManagement_Swine_Methane.VEERG_4_5_1_1__6_Stage2MethaneProduction(E$111,$G$131,F147,VLOOKUP($E183,$D$166:$E$171,2, FALSE),$G$134)</f>
        <v>3.7122047999999999E-5</v>
      </c>
      <c r="G183" s="52" cm="1">
        <f t="array" ref="G183">ManureManagement_Swine_Methane.VEERG_4_5_1_1__6_Stage2MethaneProduction(F$111,$G$131,G147,VLOOKUP($E183,$D$166:$E$171,2, FALSE),$G$134)</f>
        <v>5.3362944000000004E-5</v>
      </c>
      <c r="H183" s="52" cm="1">
        <f t="array" ref="H183">ManureManagement_Swine_Methane.VEERG_4_5_1_1__6_Stage2MethaneProduction(G$111,$G$131,H147,VLOOKUP($E183,$D$166:$E$171,2, FALSE),$G$134)</f>
        <v>6.3803520000000008E-5</v>
      </c>
      <c r="I183" s="52" cm="1">
        <f t="array" ref="I183">ManureManagement_Swine_Methane.VEERG_4_5_1_1__6_Stage2MethaneProduction(H$111,$G$131,I147,VLOOKUP($E183,$D$166:$E$171,2, FALSE),$G$134)</f>
        <v>4.5242496000000002E-5</v>
      </c>
      <c r="J183" s="2" t="str">
        <f t="shared" si="2"/>
        <v>kg CH4/head/day</v>
      </c>
      <c r="N183" s="57"/>
      <c r="O183" s="57" t="str">
        <f>'Input - Swine'!$D$58</f>
        <v>Pit storage</v>
      </c>
      <c r="P183" s="52" cm="1">
        <f t="array" ref="P183">ManureManagement_Swine_Methane.VEERG_4_5_1_1__6_Stage2MethaneProduction(O$111,$G$131,F147,VLOOKUP($E183,$D$166:$E$171,2, FALSE),$G$134)</f>
        <v>3.7122047999999999E-5</v>
      </c>
      <c r="Q183" s="52" cm="1">
        <f t="array" ref="Q183">ManureManagement_Swine_Methane.VEERG_4_5_1_1__6_Stage2MethaneProduction(P$111,$G$131,G147,VLOOKUP($E183,$D$166:$E$171,2, FALSE),$G$134)</f>
        <v>5.3362944000000004E-5</v>
      </c>
      <c r="R183" s="52" cm="1">
        <f t="array" ref="R183">ManureManagement_Swine_Methane.VEERG_4_5_1_1__6_Stage2MethaneProduction(Q$111,$G$131,H147,VLOOKUP($E183,$D$166:$E$171,2, FALSE),$G$134)</f>
        <v>6.3803520000000008E-5</v>
      </c>
      <c r="S183" s="52" cm="1">
        <f t="array" ref="S183">ManureManagement_Swine_Methane.VEERG_4_5_1_1__6_Stage2MethaneProduction(R$111,$G$131,I147,VLOOKUP($E183,$D$166:$E$171,2, FALSE),$G$134)</f>
        <v>4.5242496000000002E-5</v>
      </c>
      <c r="T183" s="2" t="str">
        <f t="shared" si="3"/>
        <v>kg CH4/head/day</v>
      </c>
    </row>
    <row r="184" spans="4:20" ht="20.100000000000001" customHeight="1" x14ac:dyDescent="0.25">
      <c r="D184" s="57" t="str">
        <f>'Input - Swine'!$D$31</f>
        <v>Digester / covered lagoons</v>
      </c>
      <c r="E184" s="57" t="str">
        <f>'Input - Swine'!$D$63</f>
        <v>Anaerobic lagoon</v>
      </c>
      <c r="F184" s="52" cm="1">
        <f t="array" ref="F184">ManureManagement_Swine_Methane.VEERG_4_5_1_1__6_Stage2MethaneProduction(E$112,$G$131,F148,VLOOKUP($E184,$D$166:$E$171,2, FALSE),$G$134)</f>
        <v>2.3510630400000004E-4</v>
      </c>
      <c r="G184" s="52" cm="1">
        <f t="array" ref="G184">ManureManagement_Swine_Methane.VEERG_4_5_1_1__6_Stage2MethaneProduction(F$112,$G$131,G148,VLOOKUP($E184,$D$166:$E$171,2, FALSE),$G$134)</f>
        <v>3.3796531200000008E-4</v>
      </c>
      <c r="H184" s="52" cm="1">
        <f t="array" ref="H184">ManureManagement_Swine_Methane.VEERG_4_5_1_1__6_Stage2MethaneProduction(G$112,$G$131,H148,VLOOKUP($E184,$D$166:$E$171,2, FALSE),$G$134)</f>
        <v>4.0408896000000005E-4</v>
      </c>
      <c r="I184" s="52" cm="1">
        <f t="array" ref="I184">ManureManagement_Swine_Methane.VEERG_4_5_1_1__6_Stage2MethaneProduction(H$112,$G$131,I148,VLOOKUP($E184,$D$166:$E$171,2, FALSE),$G$134)</f>
        <v>2.86535808E-4</v>
      </c>
      <c r="J184" s="2" t="str">
        <f t="shared" si="2"/>
        <v>kg CH4/head/day</v>
      </c>
      <c r="N184" s="57" t="str">
        <f>'Input - Swine'!$D$31</f>
        <v>Digester / covered lagoons</v>
      </c>
      <c r="O184" s="57" t="str">
        <f>'Input - Swine'!$D$63</f>
        <v>Anaerobic lagoon</v>
      </c>
      <c r="P184" s="52" cm="1">
        <f t="array" ref="P184">ManureManagement_Swine_Methane.VEERG_4_5_1_1__6_Stage2MethaneProduction(O$112,$G$131,F148,VLOOKUP($E184,$D$166:$E$171,2, FALSE),$G$134)</f>
        <v>2.3510630400000004E-4</v>
      </c>
      <c r="Q184" s="52" cm="1">
        <f t="array" ref="Q184">ManureManagement_Swine_Methane.VEERG_4_5_1_1__6_Stage2MethaneProduction(P$112,$G$131,G148,VLOOKUP($E184,$D$166:$E$171,2, FALSE),$G$134)</f>
        <v>3.3796531200000008E-4</v>
      </c>
      <c r="R184" s="52" cm="1">
        <f t="array" ref="R184">ManureManagement_Swine_Methane.VEERG_4_5_1_1__6_Stage2MethaneProduction(Q$112,$G$131,H148,VLOOKUP($E184,$D$166:$E$171,2, FALSE),$G$134)</f>
        <v>4.0408896000000005E-4</v>
      </c>
      <c r="S184" s="52" cm="1">
        <f t="array" ref="S184">ManureManagement_Swine_Methane.VEERG_4_5_1_1__6_Stage2MethaneProduction(R$112,$G$131,I148,VLOOKUP($E184,$D$166:$E$171,2, FALSE),$G$134)</f>
        <v>2.86535808E-4</v>
      </c>
      <c r="T184" s="2" t="str">
        <f t="shared" si="3"/>
        <v>kg CH4/head/day</v>
      </c>
    </row>
    <row r="185" spans="4:20" ht="20.100000000000001" customHeight="1" x14ac:dyDescent="0.25">
      <c r="D185" s="57"/>
      <c r="E185" s="57" t="str">
        <f>'Input - Swine'!$D$64</f>
        <v>Deep litter</v>
      </c>
      <c r="F185" s="52" cm="1">
        <f t="array" ref="F185">ManureManagement_Swine_Methane.VEERG_4_5_1_1__6_Stage2MethaneProduction(E$112,$G$131,F149,VLOOKUP($E185,$D$166:$E$171,2, FALSE),$G$134)</f>
        <v>1.2374016000000001E-5</v>
      </c>
      <c r="G185" s="52" cm="1">
        <f t="array" ref="G185">ManureManagement_Swine_Methane.VEERG_4_5_1_1__6_Stage2MethaneProduction(F$112,$G$131,G149,VLOOKUP($E185,$D$166:$E$171,2, FALSE),$G$134)</f>
        <v>1.7787648000000004E-5</v>
      </c>
      <c r="H185" s="52" cm="1">
        <f t="array" ref="H185">ManureManagement_Swine_Methane.VEERG_4_5_1_1__6_Stage2MethaneProduction(G$112,$G$131,H149,VLOOKUP($E185,$D$166:$E$171,2, FALSE),$G$134)</f>
        <v>2.1267840000000003E-5</v>
      </c>
      <c r="I185" s="52" cm="1">
        <f t="array" ref="I185">ManureManagement_Swine_Methane.VEERG_4_5_1_1__6_Stage2MethaneProduction(H$112,$G$131,I149,VLOOKUP($E185,$D$166:$E$171,2, FALSE),$G$134)</f>
        <v>1.5080832000000002E-5</v>
      </c>
      <c r="J185" s="2" t="str">
        <f t="shared" si="2"/>
        <v>kg CH4/head/day</v>
      </c>
      <c r="N185" s="57"/>
      <c r="O185" s="57" t="str">
        <f>'Input - Swine'!$D$64</f>
        <v>Deep litter</v>
      </c>
      <c r="P185" s="52" cm="1">
        <f t="array" ref="P185">ManureManagement_Swine_Methane.VEERG_4_5_1_1__6_Stage2MethaneProduction(O$112,$G$131,F149,VLOOKUP($E185,$D$166:$E$171,2, FALSE),$G$134)</f>
        <v>1.2374016000000001E-5</v>
      </c>
      <c r="Q185" s="52" cm="1">
        <f t="array" ref="Q185">ManureManagement_Swine_Methane.VEERG_4_5_1_1__6_Stage2MethaneProduction(P$112,$G$131,G149,VLOOKUP($E185,$D$166:$E$171,2, FALSE),$G$134)</f>
        <v>1.7787648000000004E-5</v>
      </c>
      <c r="R185" s="52" cm="1">
        <f t="array" ref="R185">ManureManagement_Swine_Methane.VEERG_4_5_1_1__6_Stage2MethaneProduction(Q$112,$G$131,H149,VLOOKUP($E185,$D$166:$E$171,2, FALSE),$G$134)</f>
        <v>2.1267840000000003E-5</v>
      </c>
      <c r="S185" s="52" cm="1">
        <f t="array" ref="S185">ManureManagement_Swine_Methane.VEERG_4_5_1_1__6_Stage2MethaneProduction(R$112,$G$131,I149,VLOOKUP($E185,$D$166:$E$171,2, FALSE),$G$134)</f>
        <v>1.5080832000000002E-5</v>
      </c>
      <c r="T185" s="2" t="str">
        <f t="shared" si="3"/>
        <v>kg CH4/head/day</v>
      </c>
    </row>
    <row r="186" spans="4:20" ht="20.100000000000001" customHeight="1" x14ac:dyDescent="0.25">
      <c r="D186" s="57"/>
      <c r="E186" s="57" t="str">
        <f>'Input - Swine'!$D$65</f>
        <v>Pit storage</v>
      </c>
      <c r="F186" s="52" cm="1">
        <f t="array" ref="F186">ManureManagement_Swine_Methane.VEERG_4_5_1_1__6_Stage2MethaneProduction(E$112,$G$131,F150,VLOOKUP($E186,$D$166:$E$171,2, FALSE),$G$134)</f>
        <v>9.2805119999999998E-6</v>
      </c>
      <c r="G186" s="52" cm="1">
        <f t="array" ref="G186">ManureManagement_Swine_Methane.VEERG_4_5_1_1__6_Stage2MethaneProduction(F$112,$G$131,G150,VLOOKUP($E186,$D$166:$E$171,2, FALSE),$G$134)</f>
        <v>1.3340736000000001E-5</v>
      </c>
      <c r="H186" s="52" cm="1">
        <f t="array" ref="H186">ManureManagement_Swine_Methane.VEERG_4_5_1_1__6_Stage2MethaneProduction(G$112,$G$131,H150,VLOOKUP($E186,$D$166:$E$171,2, FALSE),$G$134)</f>
        <v>1.5950880000000002E-5</v>
      </c>
      <c r="I186" s="52" cm="1">
        <f t="array" ref="I186">ManureManagement_Swine_Methane.VEERG_4_5_1_1__6_Stage2MethaneProduction(H$112,$G$131,I150,VLOOKUP($E186,$D$166:$E$171,2, FALSE),$G$134)</f>
        <v>1.1310624E-5</v>
      </c>
      <c r="J186" s="2" t="str">
        <f t="shared" si="2"/>
        <v>kg CH4/head/day</v>
      </c>
      <c r="N186" s="57"/>
      <c r="O186" s="57" t="str">
        <f>'Input - Swine'!$D$65</f>
        <v>Pit storage</v>
      </c>
      <c r="P186" s="52" cm="1">
        <f t="array" ref="P186">ManureManagement_Swine_Methane.VEERG_4_5_1_1__6_Stage2MethaneProduction(O$112,$G$131,F150,VLOOKUP($E186,$D$166:$E$171,2, FALSE),$G$134)</f>
        <v>9.2805119999999998E-6</v>
      </c>
      <c r="Q186" s="52" cm="1">
        <f t="array" ref="Q186">ManureManagement_Swine_Methane.VEERG_4_5_1_1__6_Stage2MethaneProduction(P$112,$G$131,G150,VLOOKUP($E186,$D$166:$E$171,2, FALSE),$G$134)</f>
        <v>1.3340736000000001E-5</v>
      </c>
      <c r="R186" s="52" cm="1">
        <f t="array" ref="R186">ManureManagement_Swine_Methane.VEERG_4_5_1_1__6_Stage2MethaneProduction(Q$112,$G$131,H150,VLOOKUP($E186,$D$166:$E$171,2, FALSE),$G$134)</f>
        <v>1.5950880000000002E-5</v>
      </c>
      <c r="S186" s="52" cm="1">
        <f t="array" ref="S186">ManureManagement_Swine_Methane.VEERG_4_5_1_1__6_Stage2MethaneProduction(R$112,$G$131,I150,VLOOKUP($E186,$D$166:$E$171,2, FALSE),$G$134)</f>
        <v>1.1310624E-5</v>
      </c>
      <c r="T186" s="2" t="str">
        <f t="shared" si="3"/>
        <v>kg CH4/head/day</v>
      </c>
    </row>
    <row r="187" spans="4:20" ht="20.100000000000001" customHeight="1" x14ac:dyDescent="0.25">
      <c r="D187" s="57" t="str">
        <f>'Input - Swine'!$D$32</f>
        <v>Deep litter</v>
      </c>
      <c r="E187" s="57" t="str">
        <f>'Input - Swine'!$D$70</f>
        <v>Anaerobic lagoon</v>
      </c>
      <c r="F187" s="52" cm="1">
        <f t="array" ref="F187">ManureManagement_Swine_Methane.VEERG_4_5_1_1__6_Stage2MethaneProduction(E$113,$G$131,F151,VLOOKUP($E187,$D$166:$E$171,2, FALSE),$G$134)</f>
        <v>8.9340395520000001E-4</v>
      </c>
      <c r="G187" s="52" cm="1">
        <f t="array" ref="G187">ManureManagement_Swine_Methane.VEERG_4_5_1_1__6_Stage2MethaneProduction(F$113,$G$131,G151,VLOOKUP($E187,$D$166:$E$171,2, FALSE),$G$134)</f>
        <v>1.2842681856000001E-3</v>
      </c>
      <c r="H187" s="52" cm="1">
        <f t="array" ref="H187">ManureManagement_Swine_Methane.VEERG_4_5_1_1__6_Stage2MethaneProduction(G$113,$G$131,H151,VLOOKUP($E187,$D$166:$E$171,2, FALSE),$G$134)</f>
        <v>1.5355380480000004E-3</v>
      </c>
      <c r="I187" s="52" cm="1">
        <f t="array" ref="I187">ManureManagement_Swine_Methane.VEERG_4_5_1_1__6_Stage2MethaneProduction(H$113,$G$131,I151,VLOOKUP($E187,$D$166:$E$171,2, FALSE),$G$134)</f>
        <v>1.0888360704000002E-3</v>
      </c>
      <c r="J187" s="2" t="str">
        <f t="shared" ref="J187:J196" si="4">$E$128</f>
        <v>kg CH4/head/day</v>
      </c>
      <c r="N187" s="57" t="str">
        <f>'Input - Swine'!$D$32</f>
        <v>Deep litter</v>
      </c>
      <c r="O187" s="57" t="str">
        <f>'Input - Swine'!$D$70</f>
        <v>Anaerobic lagoon</v>
      </c>
      <c r="P187" s="52" cm="1">
        <f t="array" ref="P187">ManureManagement_Swine_Methane.VEERG_4_5_1_1__6_Stage2MethaneProduction(O$113,$G$131,F151,VLOOKUP($E187,$D$166:$E$171,2, FALSE),$G$134)</f>
        <v>8.9340395520000001E-4</v>
      </c>
      <c r="Q187" s="52" cm="1">
        <f t="array" ref="Q187">ManureManagement_Swine_Methane.VEERG_4_5_1_1__6_Stage2MethaneProduction(P$113,$G$131,G151,VLOOKUP($E187,$D$166:$E$171,2, FALSE),$G$134)</f>
        <v>1.2842681856000001E-3</v>
      </c>
      <c r="R187" s="52" cm="1">
        <f t="array" ref="R187">ManureManagement_Swine_Methane.VEERG_4_5_1_1__6_Stage2MethaneProduction(Q$113,$G$131,H151,VLOOKUP($E187,$D$166:$E$171,2, FALSE),$G$134)</f>
        <v>1.5355380480000004E-3</v>
      </c>
      <c r="S187" s="52" cm="1">
        <f t="array" ref="S187">ManureManagement_Swine_Methane.VEERG_4_5_1_1__6_Stage2MethaneProduction(R$113,$G$131,I151,VLOOKUP($E187,$D$166:$E$171,2, FALSE),$G$134)</f>
        <v>1.0888360704000002E-3</v>
      </c>
      <c r="T187" s="2" t="str">
        <f t="shared" ref="T187:T196" si="5">$E$128</f>
        <v>kg CH4/head/day</v>
      </c>
    </row>
    <row r="188" spans="4:20" ht="20.100000000000001" customHeight="1" x14ac:dyDescent="0.25">
      <c r="D188" s="57"/>
      <c r="E188" s="57" t="str">
        <f>'Input - Swine'!$D$71</f>
        <v>Digester / covered lagoons</v>
      </c>
      <c r="F188" s="52" cm="1">
        <f t="array" ref="F188">ManureManagement_Swine_Methane.VEERG_4_5_1_1__6_Stage2MethaneProduction(E$113,$G$131,F152,VLOOKUP($E188,$D$166:$E$171,2, FALSE),$G$134)</f>
        <v>1.1755315200000002E-4</v>
      </c>
      <c r="G188" s="52" cm="1">
        <f t="array" ref="G188">ManureManagement_Swine_Methane.VEERG_4_5_1_1__6_Stage2MethaneProduction(F$113,$G$131,G152,VLOOKUP($E188,$D$166:$E$171,2, FALSE),$G$134)</f>
        <v>1.6898265599999998E-4</v>
      </c>
      <c r="H188" s="52" cm="1">
        <f t="array" ref="H188">ManureManagement_Swine_Methane.VEERG_4_5_1_1__6_Stage2MethaneProduction(G$113,$G$131,H152,VLOOKUP($E188,$D$166:$E$171,2, FALSE),$G$134)</f>
        <v>2.0204448000000003E-4</v>
      </c>
      <c r="I188" s="52" cm="1">
        <f t="array" ref="I188">ManureManagement_Swine_Methane.VEERG_4_5_1_1__6_Stage2MethaneProduction(H$113,$G$131,I152,VLOOKUP($E188,$D$166:$E$171,2, FALSE),$G$134)</f>
        <v>1.43267904E-4</v>
      </c>
      <c r="J188" s="2" t="str">
        <f t="shared" si="4"/>
        <v>kg CH4/head/day</v>
      </c>
      <c r="N188" s="57"/>
      <c r="O188" s="57" t="str">
        <f>'Input - Swine'!$D$71</f>
        <v>Digester / covered lagoons</v>
      </c>
      <c r="P188" s="52" cm="1">
        <f t="array" ref="P188">ManureManagement_Swine_Methane.VEERG_4_5_1_1__6_Stage2MethaneProduction(O$113,$G$131,F152,VLOOKUP($E188,$D$166:$E$171,2, FALSE),$G$134)</f>
        <v>1.1755315200000002E-4</v>
      </c>
      <c r="Q188" s="52" cm="1">
        <f t="array" ref="Q188">ManureManagement_Swine_Methane.VEERG_4_5_1_1__6_Stage2MethaneProduction(P$113,$G$131,G152,VLOOKUP($E188,$D$166:$E$171,2, FALSE),$G$134)</f>
        <v>1.6898265599999998E-4</v>
      </c>
      <c r="R188" s="52" cm="1">
        <f t="array" ref="R188">ManureManagement_Swine_Methane.VEERG_4_5_1_1__6_Stage2MethaneProduction(Q$113,$G$131,H152,VLOOKUP($E188,$D$166:$E$171,2, FALSE),$G$134)</f>
        <v>2.0204448000000003E-4</v>
      </c>
      <c r="S188" s="52" cm="1">
        <f t="array" ref="S188">ManureManagement_Swine_Methane.VEERG_4_5_1_1__6_Stage2MethaneProduction(R$113,$G$131,I152,VLOOKUP($E188,$D$166:$E$171,2, FALSE),$G$134)</f>
        <v>1.43267904E-4</v>
      </c>
      <c r="T188" s="2" t="str">
        <f t="shared" si="5"/>
        <v>kg CH4/head/day</v>
      </c>
    </row>
    <row r="189" spans="4:20" ht="20.100000000000001" customHeight="1" x14ac:dyDescent="0.25">
      <c r="D189" s="57"/>
      <c r="E189" s="57" t="str">
        <f>'Input - Swine'!$D$72</f>
        <v>Pit storage</v>
      </c>
      <c r="F189" s="52" cm="1">
        <f t="array" ref="F189">ManureManagement_Swine_Methane.VEERG_4_5_1_1__6_Stage2MethaneProduction(E$113,$G$131,F153,VLOOKUP($E189,$D$166:$E$171,2, FALSE),$G$134)</f>
        <v>3.5265945600000003E-5</v>
      </c>
      <c r="G189" s="52" cm="1">
        <f t="array" ref="G189">ManureManagement_Swine_Methane.VEERG_4_5_1_1__6_Stage2MethaneProduction(F$113,$G$131,G153,VLOOKUP($E189,$D$166:$E$171,2, FALSE),$G$134)</f>
        <v>5.0694796799999996E-5</v>
      </c>
      <c r="H189" s="52" cm="1">
        <f t="array" ref="H189">ManureManagement_Swine_Methane.VEERG_4_5_1_1__6_Stage2MethaneProduction(G$113,$G$131,H153,VLOOKUP($E189,$D$166:$E$171,2, FALSE),$G$134)</f>
        <v>6.0613344000000005E-5</v>
      </c>
      <c r="I189" s="52" cm="1">
        <f t="array" ref="I189">ManureManagement_Swine_Methane.VEERG_4_5_1_1__6_Stage2MethaneProduction(H$113,$G$131,I153,VLOOKUP($E189,$D$166:$E$171,2, FALSE),$G$134)</f>
        <v>4.2980371200000003E-5</v>
      </c>
      <c r="J189" s="2" t="str">
        <f t="shared" si="4"/>
        <v>kg CH4/head/day</v>
      </c>
      <c r="N189" s="57"/>
      <c r="O189" s="57" t="str">
        <f>'Input - Swine'!$D$72</f>
        <v>Pit storage</v>
      </c>
      <c r="P189" s="52" cm="1">
        <f t="array" ref="P189">ManureManagement_Swine_Methane.VEERG_4_5_1_1__6_Stage2MethaneProduction(O$113,$G$131,F153,VLOOKUP($E189,$D$166:$E$171,2, FALSE),$G$134)</f>
        <v>3.5265945600000003E-5</v>
      </c>
      <c r="Q189" s="52" cm="1">
        <f t="array" ref="Q189">ManureManagement_Swine_Methane.VEERG_4_5_1_1__6_Stage2MethaneProduction(P$113,$G$131,G153,VLOOKUP($E189,$D$166:$E$171,2, FALSE),$G$134)</f>
        <v>5.0694796799999996E-5</v>
      </c>
      <c r="R189" s="52" cm="1">
        <f t="array" ref="R189">ManureManagement_Swine_Methane.VEERG_4_5_1_1__6_Stage2MethaneProduction(Q$113,$G$131,H153,VLOOKUP($E189,$D$166:$E$171,2, FALSE),$G$134)</f>
        <v>6.0613344000000005E-5</v>
      </c>
      <c r="S189" s="52" cm="1">
        <f t="array" ref="S189">ManureManagement_Swine_Methane.VEERG_4_5_1_1__6_Stage2MethaneProduction(R$113,$G$131,I153,VLOOKUP($E189,$D$166:$E$171,2, FALSE),$G$134)</f>
        <v>4.2980371200000003E-5</v>
      </c>
      <c r="T189" s="2" t="str">
        <f t="shared" si="5"/>
        <v>kg CH4/head/day</v>
      </c>
    </row>
    <row r="190" spans="4:20" ht="20.100000000000001" customHeight="1" x14ac:dyDescent="0.25">
      <c r="D190" s="57" t="str">
        <f>'Input - Swine'!$D$33</f>
        <v>Pit storage</v>
      </c>
      <c r="E190" s="57" t="str">
        <f>'Input - Swine'!$D$77</f>
        <v>Anaerobic lagoon</v>
      </c>
      <c r="F190" s="52" cm="1">
        <f t="array" ref="F190">ManureManagement_Swine_Methane.VEERG_4_5_1_1__6_Stage2MethaneProduction(E$114,$G$131,F154,VLOOKUP($E190,$D$166:$E$171,2, FALSE),$G$134)</f>
        <v>9.4042521600000016E-4</v>
      </c>
      <c r="G190" s="52" cm="1">
        <f t="array" ref="G190">ManureManagement_Swine_Methane.VEERG_4_5_1_1__6_Stage2MethaneProduction(F$114,$G$131,G154,VLOOKUP($E190,$D$166:$E$171,2, FALSE),$G$134)</f>
        <v>1.3518612480000003E-3</v>
      </c>
      <c r="H190" s="52" cm="1">
        <f t="array" ref="H190">ManureManagement_Swine_Methane.VEERG_4_5_1_1__6_Stage2MethaneProduction(G$114,$G$131,H154,VLOOKUP($E190,$D$166:$E$171,2, FALSE),$G$134)</f>
        <v>1.6163558400000002E-3</v>
      </c>
      <c r="I190" s="52" cm="1">
        <f t="array" ref="I190">ManureManagement_Swine_Methane.VEERG_4_5_1_1__6_Stage2MethaneProduction(H$114,$G$131,I154,VLOOKUP($E190,$D$166:$E$171,2, FALSE),$G$134)</f>
        <v>1.146143232E-3</v>
      </c>
      <c r="J190" s="2" t="str">
        <f t="shared" si="4"/>
        <v>kg CH4/head/day</v>
      </c>
      <c r="N190" s="57" t="str">
        <f>'Input - Swine'!$D$33</f>
        <v>Pit storage</v>
      </c>
      <c r="O190" s="57" t="str">
        <f>'Input - Swine'!$D$77</f>
        <v>Anaerobic lagoon</v>
      </c>
      <c r="P190" s="52" cm="1">
        <f t="array" ref="P190">ManureManagement_Swine_Methane.VEERG_4_5_1_1__6_Stage2MethaneProduction(O$114,$G$131,F154,VLOOKUP($E190,$D$166:$E$171,2, FALSE),$G$134)</f>
        <v>9.4042521600000016E-4</v>
      </c>
      <c r="Q190" s="52" cm="1">
        <f t="array" ref="Q190">ManureManagement_Swine_Methane.VEERG_4_5_1_1__6_Stage2MethaneProduction(P$114,$G$131,G154,VLOOKUP($E190,$D$166:$E$171,2, FALSE),$G$134)</f>
        <v>1.3518612480000003E-3</v>
      </c>
      <c r="R190" s="52" cm="1">
        <f t="array" ref="R190">ManureManagement_Swine_Methane.VEERG_4_5_1_1__6_Stage2MethaneProduction(Q$114,$G$131,H154,VLOOKUP($E190,$D$166:$E$171,2, FALSE),$G$134)</f>
        <v>1.6163558400000002E-3</v>
      </c>
      <c r="S190" s="52" cm="1">
        <f t="array" ref="S190">ManureManagement_Swine_Methane.VEERG_4_5_1_1__6_Stage2MethaneProduction(R$114,$G$131,I154,VLOOKUP($E190,$D$166:$E$171,2, FALSE),$G$134)</f>
        <v>1.146143232E-3</v>
      </c>
      <c r="T190" s="2" t="str">
        <f t="shared" si="5"/>
        <v>kg CH4/head/day</v>
      </c>
    </row>
    <row r="191" spans="4:20" ht="20.100000000000001" customHeight="1" x14ac:dyDescent="0.25">
      <c r="D191" s="57"/>
      <c r="E191" s="57" t="str">
        <f>'Input - Swine'!$D$78</f>
        <v>Digester / covered lagoons</v>
      </c>
      <c r="F191" s="52" cm="1">
        <f t="array" ref="F191">ManureManagement_Swine_Methane.VEERG_4_5_1_1__6_Stage2MethaneProduction(E$114,$G$131,F155,VLOOKUP($E191,$D$166:$E$171,2, FALSE),$G$134)</f>
        <v>1.2374016000000002E-4</v>
      </c>
      <c r="G191" s="52" cm="1">
        <f t="array" ref="G191">ManureManagement_Swine_Methane.VEERG_4_5_1_1__6_Stage2MethaneProduction(F$114,$G$131,G155,VLOOKUP($E191,$D$166:$E$171,2, FALSE),$G$134)</f>
        <v>1.7787648000000002E-4</v>
      </c>
      <c r="H191" s="52" cm="1">
        <f t="array" ref="H191">ManureManagement_Swine_Methane.VEERG_4_5_1_1__6_Stage2MethaneProduction(G$114,$G$131,H155,VLOOKUP($E191,$D$166:$E$171,2, FALSE),$G$134)</f>
        <v>2.1267840000000003E-4</v>
      </c>
      <c r="I191" s="52" cm="1">
        <f t="array" ref="I191">ManureManagement_Swine_Methane.VEERG_4_5_1_1__6_Stage2MethaneProduction(H$114,$G$131,I155,VLOOKUP($E191,$D$166:$E$171,2, FALSE),$G$134)</f>
        <v>1.5080832000000002E-4</v>
      </c>
      <c r="J191" s="2" t="str">
        <f t="shared" si="4"/>
        <v>kg CH4/head/day</v>
      </c>
      <c r="N191" s="57"/>
      <c r="O191" s="57" t="str">
        <f>'Input - Swine'!$D$78</f>
        <v>Digester / covered lagoons</v>
      </c>
      <c r="P191" s="52" cm="1">
        <f t="array" ref="P191">ManureManagement_Swine_Methane.VEERG_4_5_1_1__6_Stage2MethaneProduction(O$114,$G$131,F155,VLOOKUP($E191,$D$166:$E$171,2, FALSE),$G$134)</f>
        <v>1.2374016000000002E-4</v>
      </c>
      <c r="Q191" s="52" cm="1">
        <f t="array" ref="Q191">ManureManagement_Swine_Methane.VEERG_4_5_1_1__6_Stage2MethaneProduction(P$114,$G$131,G155,VLOOKUP($E191,$D$166:$E$171,2, FALSE),$G$134)</f>
        <v>1.7787648000000002E-4</v>
      </c>
      <c r="R191" s="52" cm="1">
        <f t="array" ref="R191">ManureManagement_Swine_Methane.VEERG_4_5_1_1__6_Stage2MethaneProduction(Q$114,$G$131,H155,VLOOKUP($E191,$D$166:$E$171,2, FALSE),$G$134)</f>
        <v>2.1267840000000003E-4</v>
      </c>
      <c r="S191" s="52" cm="1">
        <f t="array" ref="S191">ManureManagement_Swine_Methane.VEERG_4_5_1_1__6_Stage2MethaneProduction(R$114,$G$131,I155,VLOOKUP($E191,$D$166:$E$171,2, FALSE),$G$134)</f>
        <v>1.5080832000000002E-4</v>
      </c>
      <c r="T191" s="2" t="str">
        <f t="shared" si="5"/>
        <v>kg CH4/head/day</v>
      </c>
    </row>
    <row r="192" spans="4:20" ht="20.100000000000001" customHeight="1" x14ac:dyDescent="0.25">
      <c r="D192" s="57"/>
      <c r="E192" s="57" t="str">
        <f>'Input - Swine'!$D$79</f>
        <v>Deep litter</v>
      </c>
      <c r="F192" s="52" cm="1">
        <f t="array" ref="F192">ManureManagement_Swine_Methane.VEERG_4_5_1_1__6_Stage2MethaneProduction(E$114,$G$131,F156,VLOOKUP($E192,$D$166:$E$171,2, FALSE),$G$134)</f>
        <v>4.9496064000000004E-5</v>
      </c>
      <c r="G192" s="52" cm="1">
        <f t="array" ref="G192">ManureManagement_Swine_Methane.VEERG_4_5_1_1__6_Stage2MethaneProduction(F$114,$G$131,G156,VLOOKUP($E192,$D$166:$E$171,2, FALSE),$G$134)</f>
        <v>7.1150592000000014E-5</v>
      </c>
      <c r="H192" s="52" cm="1">
        <f t="array" ref="H192">ManureManagement_Swine_Methane.VEERG_4_5_1_1__6_Stage2MethaneProduction(G$114,$G$131,H156,VLOOKUP($E192,$D$166:$E$171,2, FALSE),$G$134)</f>
        <v>8.5071360000000011E-5</v>
      </c>
      <c r="I192" s="52" cm="1">
        <f t="array" ref="I192">ManureManagement_Swine_Methane.VEERG_4_5_1_1__6_Stage2MethaneProduction(H$114,$G$131,I156,VLOOKUP($E192,$D$166:$E$171,2, FALSE),$G$134)</f>
        <v>6.0323328000000009E-5</v>
      </c>
      <c r="J192" s="2" t="str">
        <f t="shared" si="4"/>
        <v>kg CH4/head/day</v>
      </c>
      <c r="N192" s="57"/>
      <c r="O192" s="57" t="str">
        <f>'Input - Swine'!$D$79</f>
        <v>Deep litter</v>
      </c>
      <c r="P192" s="52" cm="1">
        <f t="array" ref="P192">ManureManagement_Swine_Methane.VEERG_4_5_1_1__6_Stage2MethaneProduction(O$114,$G$131,F156,VLOOKUP($E192,$D$166:$E$171,2, FALSE),$G$134)</f>
        <v>4.9496064000000004E-5</v>
      </c>
      <c r="Q192" s="52" cm="1">
        <f t="array" ref="Q192">ManureManagement_Swine_Methane.VEERG_4_5_1_1__6_Stage2MethaneProduction(P$114,$G$131,G156,VLOOKUP($E192,$D$166:$E$171,2, FALSE),$G$134)</f>
        <v>7.1150592000000014E-5</v>
      </c>
      <c r="R192" s="52" cm="1">
        <f t="array" ref="R192">ManureManagement_Swine_Methane.VEERG_4_5_1_1__6_Stage2MethaneProduction(Q$114,$G$131,H156,VLOOKUP($E192,$D$166:$E$171,2, FALSE),$G$134)</f>
        <v>8.5071360000000011E-5</v>
      </c>
      <c r="S192" s="52" cm="1">
        <f t="array" ref="S192">ManureManagement_Swine_Methane.VEERG_4_5_1_1__6_Stage2MethaneProduction(R$114,$G$131,I156,VLOOKUP($E192,$D$166:$E$171,2, FALSE),$G$134)</f>
        <v>6.0323328000000009E-5</v>
      </c>
      <c r="T192" s="2" t="str">
        <f t="shared" si="5"/>
        <v>kg CH4/head/day</v>
      </c>
    </row>
    <row r="193" spans="3:21" ht="20.100000000000001" customHeight="1" x14ac:dyDescent="0.25">
      <c r="D193" s="57" t="str">
        <f>'Input - Swine'!$D$34</f>
        <v>Solid storage</v>
      </c>
      <c r="E193" s="57" t="str">
        <f>'Input - Swine'!$D$84</f>
        <v>Anaerobic lagoon</v>
      </c>
      <c r="F193" s="52" cm="1">
        <f t="array" ref="F193">ManureManagement_Swine_Methane.VEERG_4_5_1_1__6_Stage2MethaneProduction(E$115,$G$131,F157,VLOOKUP($E193,$D$166:$E$171,2, FALSE),$G$134)</f>
        <v>3.134750720000001E-3</v>
      </c>
      <c r="G193" s="52" cm="1">
        <f t="array" ref="G193">ManureManagement_Swine_Methane.VEERG_4_5_1_1__6_Stage2MethaneProduction(F$115,$G$131,G157,VLOOKUP($E193,$D$166:$E$171,2, FALSE),$G$134)</f>
        <v>3.6049633280000022E-3</v>
      </c>
      <c r="H193" s="52" cm="1">
        <f t="array" ref="H193">ManureManagement_Swine_Methane.VEERG_4_5_1_1__6_Stage2MethaneProduction(G$115,$G$131,H157,VLOOKUP($E193,$D$166:$E$171,2, FALSE),$G$134)</f>
        <v>4.310282240000002E-3</v>
      </c>
      <c r="I193" s="52" cm="1">
        <f t="array" ref="I193">ManureManagement_Swine_Methane.VEERG_4_5_1_1__6_Stage2MethaneProduction(H$115,$G$131,I157,VLOOKUP($E193,$D$166:$E$171,2, FALSE),$G$134)</f>
        <v>3.0563819520000013E-3</v>
      </c>
      <c r="J193" s="2" t="str">
        <f t="shared" si="4"/>
        <v>kg CH4/head/day</v>
      </c>
      <c r="N193" s="57" t="str">
        <f>'Input - Swine'!$D$34</f>
        <v>Solid storage</v>
      </c>
      <c r="O193" s="57" t="str">
        <f>'Input - Swine'!$D$84</f>
        <v>Anaerobic lagoon</v>
      </c>
      <c r="P193" s="52" cm="1">
        <f t="array" ref="P193">ManureManagement_Swine_Methane.VEERG_4_5_1_1__6_Stage2MethaneProduction(O$115,$G$131,F157,VLOOKUP($E193,$D$166:$E$171,2, FALSE),$G$134)</f>
        <v>3.134750720000001E-3</v>
      </c>
      <c r="Q193" s="52" cm="1">
        <f t="array" ref="Q193">ManureManagement_Swine_Methane.VEERG_4_5_1_1__6_Stage2MethaneProduction(P$115,$G$131,G157,VLOOKUP($E193,$D$166:$E$171,2, FALSE),$G$134)</f>
        <v>3.6049633280000022E-3</v>
      </c>
      <c r="R193" s="52" cm="1">
        <f t="array" ref="R193">ManureManagement_Swine_Methane.VEERG_4_5_1_1__6_Stage2MethaneProduction(Q$115,$G$131,H157,VLOOKUP($E193,$D$166:$E$171,2, FALSE),$G$134)</f>
        <v>4.310282240000002E-3</v>
      </c>
      <c r="S193" s="52" cm="1">
        <f t="array" ref="S193">ManureManagement_Swine_Methane.VEERG_4_5_1_1__6_Stage2MethaneProduction(R$115,$G$131,I157,VLOOKUP($E193,$D$166:$E$171,2, FALSE),$G$134)</f>
        <v>3.0563819520000013E-3</v>
      </c>
      <c r="T193" s="2" t="str">
        <f t="shared" si="5"/>
        <v>kg CH4/head/day</v>
      </c>
    </row>
    <row r="194" spans="3:21" ht="20.100000000000001" customHeight="1" x14ac:dyDescent="0.25">
      <c r="D194" s="57"/>
      <c r="E194" s="57" t="str">
        <f>'Input - Swine'!$D$85</f>
        <v>Digester / covered lagoons</v>
      </c>
      <c r="F194" s="52" cm="1">
        <f t="array" ref="F194">ManureManagement_Swine_Methane.VEERG_4_5_1_1__6_Stage2MethaneProduction(E$115,$G$131,F158,VLOOKUP($E194,$D$166:$E$171,2, FALSE),$G$134)</f>
        <v>4.124672000000002E-4</v>
      </c>
      <c r="G194" s="52" cm="1">
        <f t="array" ref="G194">ManureManagement_Swine_Methane.VEERG_4_5_1_1__6_Stage2MethaneProduction(F$115,$G$131,G158,VLOOKUP($E194,$D$166:$E$171,2, FALSE),$G$134)</f>
        <v>4.7433728000000037E-4</v>
      </c>
      <c r="H194" s="52" cm="1">
        <f t="array" ref="H194">ManureManagement_Swine_Methane.VEERG_4_5_1_1__6_Stage2MethaneProduction(G$115,$G$131,H158,VLOOKUP($E194,$D$166:$E$171,2, FALSE),$G$134)</f>
        <v>5.6714240000000032E-4</v>
      </c>
      <c r="I194" s="52" cm="1">
        <f t="array" ref="I194">ManureManagement_Swine_Methane.VEERG_4_5_1_1__6_Stage2MethaneProduction(H$115,$G$131,I158,VLOOKUP($E194,$D$166:$E$171,2, FALSE),$G$134)</f>
        <v>4.0215552000000021E-4</v>
      </c>
      <c r="J194" s="2" t="str">
        <f t="shared" si="4"/>
        <v>kg CH4/head/day</v>
      </c>
      <c r="N194" s="57"/>
      <c r="O194" s="57" t="str">
        <f>'Input - Swine'!$D$85</f>
        <v>Digester / covered lagoons</v>
      </c>
      <c r="P194" s="52" cm="1">
        <f t="array" ref="P194">ManureManagement_Swine_Methane.VEERG_4_5_1_1__6_Stage2MethaneProduction(O$115,$G$131,F158,VLOOKUP($E194,$D$166:$E$171,2, FALSE),$G$134)</f>
        <v>4.124672000000002E-4</v>
      </c>
      <c r="Q194" s="52" cm="1">
        <f t="array" ref="Q194">ManureManagement_Swine_Methane.VEERG_4_5_1_1__6_Stage2MethaneProduction(P$115,$G$131,G158,VLOOKUP($E194,$D$166:$E$171,2, FALSE),$G$134)</f>
        <v>4.7433728000000037E-4</v>
      </c>
      <c r="R194" s="52" cm="1">
        <f t="array" ref="R194">ManureManagement_Swine_Methane.VEERG_4_5_1_1__6_Stage2MethaneProduction(Q$115,$G$131,H158,VLOOKUP($E194,$D$166:$E$171,2, FALSE),$G$134)</f>
        <v>5.6714240000000032E-4</v>
      </c>
      <c r="S194" s="52" cm="1">
        <f t="array" ref="S194">ManureManagement_Swine_Methane.VEERG_4_5_1_1__6_Stage2MethaneProduction(R$115,$G$131,I158,VLOOKUP($E194,$D$166:$E$171,2, FALSE),$G$134)</f>
        <v>4.0215552000000021E-4</v>
      </c>
      <c r="T194" s="2" t="str">
        <f t="shared" si="5"/>
        <v>kg CH4/head/day</v>
      </c>
    </row>
    <row r="195" spans="3:21" ht="20.100000000000001" customHeight="1" x14ac:dyDescent="0.25">
      <c r="D195" s="57"/>
      <c r="E195" s="57" t="str">
        <f>'Input - Swine'!$D$86</f>
        <v>Deep litter</v>
      </c>
      <c r="F195" s="52" cm="1">
        <f t="array" ref="F195">ManureManagement_Swine_Methane.VEERG_4_5_1_1__6_Stage2MethaneProduction(E$115,$G$131,F159,VLOOKUP($E195,$D$166:$E$171,2, FALSE),$G$134)</f>
        <v>1.6498688000000006E-4</v>
      </c>
      <c r="G195" s="52" cm="1">
        <f t="array" ref="G195">ManureManagement_Swine_Methane.VEERG_4_5_1_1__6_Stage2MethaneProduction(F$115,$G$131,G159,VLOOKUP($E195,$D$166:$E$171,2, FALSE),$G$134)</f>
        <v>1.8973491200000015E-4</v>
      </c>
      <c r="H195" s="52" cm="1">
        <f t="array" ref="H195">ManureManagement_Swine_Methane.VEERG_4_5_1_1__6_Stage2MethaneProduction(G$115,$G$131,H159,VLOOKUP($E195,$D$166:$E$171,2, FALSE),$G$134)</f>
        <v>2.2685696000000015E-4</v>
      </c>
      <c r="I195" s="52" cm="1">
        <f t="array" ref="I195">ManureManagement_Swine_Methane.VEERG_4_5_1_1__6_Stage2MethaneProduction(H$115,$G$131,I159,VLOOKUP($E195,$D$166:$E$171,2, FALSE),$G$134)</f>
        <v>1.6086220800000007E-4</v>
      </c>
      <c r="J195" s="2" t="str">
        <f t="shared" si="4"/>
        <v>kg CH4/head/day</v>
      </c>
      <c r="N195" s="57"/>
      <c r="O195" s="57" t="str">
        <f>'Input - Swine'!$D$86</f>
        <v>Deep litter</v>
      </c>
      <c r="P195" s="52" cm="1">
        <f t="array" ref="P195">ManureManagement_Swine_Methane.VEERG_4_5_1_1__6_Stage2MethaneProduction(O$115,$G$131,F159,VLOOKUP($E195,$D$166:$E$171,2, FALSE),$G$134)</f>
        <v>1.6498688000000006E-4</v>
      </c>
      <c r="Q195" s="52" cm="1">
        <f t="array" ref="Q195">ManureManagement_Swine_Methane.VEERG_4_5_1_1__6_Stage2MethaneProduction(P$115,$G$131,G159,VLOOKUP($E195,$D$166:$E$171,2, FALSE),$G$134)</f>
        <v>1.8973491200000015E-4</v>
      </c>
      <c r="R195" s="52" cm="1">
        <f t="array" ref="R195">ManureManagement_Swine_Methane.VEERG_4_5_1_1__6_Stage2MethaneProduction(Q$115,$G$131,H159,VLOOKUP($E195,$D$166:$E$171,2, FALSE),$G$134)</f>
        <v>2.2685696000000015E-4</v>
      </c>
      <c r="S195" s="52" cm="1">
        <f t="array" ref="S195">ManureManagement_Swine_Methane.VEERG_4_5_1_1__6_Stage2MethaneProduction(R$115,$G$131,I159,VLOOKUP($E195,$D$166:$E$171,2, FALSE),$G$134)</f>
        <v>1.6086220800000007E-4</v>
      </c>
      <c r="T195" s="2" t="str">
        <f t="shared" si="5"/>
        <v>kg CH4/head/day</v>
      </c>
    </row>
    <row r="196" spans="3:21" ht="20.100000000000001" customHeight="1" x14ac:dyDescent="0.25">
      <c r="D196" s="57"/>
      <c r="E196" s="57" t="str">
        <f>'Input - Swine'!$D$87</f>
        <v>Pit storage</v>
      </c>
      <c r="F196" s="52" cm="1">
        <f t="array" ref="F196">ManureManagement_Swine_Methane.VEERG_4_5_1_1__6_Stage2MethaneProduction(E$115,$G$131,F160,VLOOKUP($E196,$D$166:$E$171,2, FALSE),$G$134)</f>
        <v>6.1870080000000021E-5</v>
      </c>
      <c r="G196" s="52" cm="1">
        <f t="array" ref="G196">ManureManagement_Swine_Methane.VEERG_4_5_1_1__6_Stage2MethaneProduction(F$115,$G$131,G160,VLOOKUP($E196,$D$166:$E$171,2, FALSE),$G$134)</f>
        <v>7.1150592000000042E-5</v>
      </c>
      <c r="H196" s="52" cm="1">
        <f t="array" ref="H196">ManureManagement_Swine_Methane.VEERG_4_5_1_1__6_Stage2MethaneProduction(G$115,$G$131,H160,VLOOKUP($E196,$D$166:$E$171,2, FALSE),$G$134)</f>
        <v>8.5071360000000051E-5</v>
      </c>
      <c r="I196" s="52" cm="1">
        <f t="array" ref="I196">ManureManagement_Swine_Methane.VEERG_4_5_1_1__6_Stage2MethaneProduction(H$115,$G$131,I160,VLOOKUP($E196,$D$166:$E$171,2, FALSE),$G$134)</f>
        <v>6.0323328000000023E-5</v>
      </c>
      <c r="J196" s="2" t="str">
        <f t="shared" si="4"/>
        <v>kg CH4/head/day</v>
      </c>
      <c r="N196" s="57"/>
      <c r="O196" s="57" t="str">
        <f>'Input - Swine'!$D$87</f>
        <v>Pit storage</v>
      </c>
      <c r="P196" s="52" cm="1">
        <f t="array" ref="P196">ManureManagement_Swine_Methane.VEERG_4_5_1_1__6_Stage2MethaneProduction(O$115,$G$131,F160,VLOOKUP($E196,$D$166:$E$171,2, FALSE),$G$134)</f>
        <v>6.1870080000000021E-5</v>
      </c>
      <c r="Q196" s="52" cm="1">
        <f t="array" ref="Q196">ManureManagement_Swine_Methane.VEERG_4_5_1_1__6_Stage2MethaneProduction(P$115,$G$131,G160,VLOOKUP($E196,$D$166:$E$171,2, FALSE),$G$134)</f>
        <v>7.1150592000000042E-5</v>
      </c>
      <c r="R196" s="52" cm="1">
        <f t="array" ref="R196">ManureManagement_Swine_Methane.VEERG_4_5_1_1__6_Stage2MethaneProduction(Q$115,$G$131,H160,VLOOKUP($E196,$D$166:$E$171,2, FALSE),$G$134)</f>
        <v>8.5071360000000051E-5</v>
      </c>
      <c r="S196" s="52" cm="1">
        <f t="array" ref="S196">ManureManagement_Swine_Methane.VEERG_4_5_1_1__6_Stage2MethaneProduction(R$115,$G$131,I160,VLOOKUP($E196,$D$166:$E$171,2, FALSE),$G$134)</f>
        <v>6.0323328000000023E-5</v>
      </c>
      <c r="T196" s="2" t="str">
        <f t="shared" si="5"/>
        <v>kg CH4/head/day</v>
      </c>
    </row>
    <row r="197" spans="3:21" ht="20.100000000000001" customHeight="1" x14ac:dyDescent="0.25"/>
    <row r="198" spans="3:21" ht="20.100000000000001" customHeight="1" x14ac:dyDescent="0.25"/>
    <row r="199" spans="3:21" ht="20.100000000000001" customHeight="1" x14ac:dyDescent="0.25">
      <c r="C199" s="45"/>
      <c r="D199" s="45"/>
      <c r="E199" s="45"/>
      <c r="F199" s="45"/>
      <c r="G199" s="45"/>
      <c r="H199" s="45"/>
      <c r="I199" s="45"/>
      <c r="J199" s="45"/>
      <c r="K199" s="45"/>
      <c r="M199" s="45"/>
      <c r="N199" s="45"/>
      <c r="O199" s="45"/>
      <c r="P199" s="45"/>
      <c r="Q199" s="45"/>
      <c r="R199" s="45"/>
      <c r="S199" s="45"/>
      <c r="T199" s="45"/>
      <c r="U199" s="45"/>
    </row>
    <row r="200" spans="3:21" ht="20.100000000000001" customHeight="1" x14ac:dyDescent="0.25">
      <c r="D200" s="6" t="str" cm="1">
        <f t="array" ref="D200">ManureManagement_Swine_Methane.VEERG_4_5_1_1__3_Stage1MethaneProduction_Title()</f>
        <v>Production of methane in treatment stage 1 MMS</v>
      </c>
    </row>
    <row r="201" spans="3:21" ht="20.100000000000001" customHeight="1" x14ac:dyDescent="0.25">
      <c r="D201" s="5" t="str" cm="1">
        <f t="array" ref="D201">ManureManagement_Swine_Methane.VEERG_4_5_1_1__3_Stage1MethaneProduction_Source()</f>
        <v>VEERG 2026: 4.5.1.1, Equation (3)</v>
      </c>
    </row>
    <row r="202" spans="3:21" ht="20.100000000000001" customHeight="1" x14ac:dyDescent="0.25">
      <c r="D202" s="13" t="s">
        <v>26</v>
      </c>
      <c r="E202" s="13" t="str" cm="1">
        <f t="array" aca="1" ref="E202" ca="1">Common_InputFunctions.Utility_DisplayFunctionName(E220)</f>
        <v>=ManureManagement_Swine_Methane.VEERG_4_5_1_1__3_Stage1MethaneProduction</v>
      </c>
    </row>
    <row r="203" spans="3:21" ht="20.100000000000001" customHeight="1" x14ac:dyDescent="0.25"/>
    <row r="204" spans="3:21" ht="20.100000000000001" customHeight="1" x14ac:dyDescent="0.25">
      <c r="D204" s="6"/>
    </row>
    <row r="205" spans="3:21" ht="20.100000000000001" customHeight="1" x14ac:dyDescent="0.25"/>
    <row r="206" spans="3:21" ht="20.100000000000001" customHeight="1" x14ac:dyDescent="0.25">
      <c r="D206" s="53" t="s">
        <v>29</v>
      </c>
      <c r="E206" s="1" t="str" cm="1">
        <f t="array" ref="E206">ManureManagement_Swine_Methane.VEERG_4_5_1_1__3_Stage1MethaneProduction_Variable()</f>
        <v>MijmT1</v>
      </c>
    </row>
    <row r="207" spans="3:21" ht="20.100000000000001" customHeight="1" x14ac:dyDescent="0.25">
      <c r="D207" s="53" t="s">
        <v>19</v>
      </c>
      <c r="E207" s="54" t="str" cm="1">
        <f t="array" ref="E207">ManureManagement_Swine_Methane.VEERG_4_5_1_1__3_Stage1MethaneProduction_Unit()</f>
        <v>kg CH4/head/day</v>
      </c>
    </row>
    <row r="208" spans="3:21" ht="20.100000000000001" customHeight="1" x14ac:dyDescent="0.25"/>
    <row r="209" spans="4:19" ht="20.100000000000001" customHeight="1" x14ac:dyDescent="0.25">
      <c r="D209" s="57" t="str" cm="1">
        <f t="array" ref="D209:E213">ManureManagement_Swine_Methane.VEERG_4_5_1_1__3_Stage1MethaneProduction_Arguments()</f>
        <v>VSj</v>
      </c>
      <c r="E209" s="58" t="str">
        <v>volatile solid production from swine in each class : kg/head/day</v>
      </c>
      <c r="F209" s="59"/>
      <c r="G209" s="58" t="str">
        <f>"See " &amp; $D$90</f>
        <v>See M1_Table_VS_j</v>
      </c>
      <c r="H209" s="59"/>
    </row>
    <row r="210" spans="4:19" ht="20.100000000000001" customHeight="1" x14ac:dyDescent="0.25">
      <c r="D210" s="57" t="str">
        <v>FVSjmT1</v>
      </c>
      <c r="E210" s="58" t="str">
        <v>fraction of volatile solids in each primary system : fraction</v>
      </c>
      <c r="F210" s="59"/>
      <c r="G210" s="58" t="str">
        <f>"See " &amp; $D$36 &amp; " and " &amp; $D$69</f>
        <v>See M1_Table_FVS_j_m_T-1 and M1_Table_FVS_j_m-4_T-1</v>
      </c>
      <c r="H210" s="59"/>
    </row>
    <row r="211" spans="4:19" ht="20.100000000000001" customHeight="1" x14ac:dyDescent="0.25">
      <c r="D211" s="57" t="str">
        <v>MCFim</v>
      </c>
      <c r="E211" s="58" t="str">
        <v>methane conversion factor for temperate zone and system : fraction</v>
      </c>
      <c r="F211" s="59"/>
      <c r="G211" s="58" t="str">
        <f>"See " &amp; $D$162</f>
        <v>See M1_Table_MCF_i_m</v>
      </c>
      <c r="H211" s="59"/>
    </row>
    <row r="212" spans="4:19" ht="20.100000000000001" customHeight="1" x14ac:dyDescent="0.25">
      <c r="D212" s="57" t="str">
        <v>BO</v>
      </c>
      <c r="E212" s="58" t="str">
        <v>emissions potential : m3 CH4/kg VS</v>
      </c>
      <c r="F212" s="59"/>
      <c r="G212" s="58">
        <f>'Constants - Swine'!$E$21</f>
        <v>0.19</v>
      </c>
      <c r="H212" s="59"/>
    </row>
    <row r="213" spans="4:19" ht="20.100000000000001" customHeight="1" x14ac:dyDescent="0.25">
      <c r="D213" s="57" t="str">
        <v>rho</v>
      </c>
      <c r="E213" s="58" t="str">
        <v>density of methane : kg/m3</v>
      </c>
      <c r="F213" s="59"/>
      <c r="G213" s="58">
        <f>'Constants - Common'!$D$175</f>
        <v>0.6784</v>
      </c>
      <c r="H213" s="59"/>
    </row>
    <row r="214" spans="4:19" ht="20.100000000000001" customHeight="1" x14ac:dyDescent="0.25"/>
    <row r="215" spans="4:19" ht="20.100000000000001" customHeight="1" x14ac:dyDescent="0.25"/>
    <row r="216" spans="4:19" ht="20.100000000000001" customHeight="1" x14ac:dyDescent="0.25">
      <c r="D216" s="121" t="s">
        <v>279</v>
      </c>
      <c r="N216" s="121" t="s">
        <v>277</v>
      </c>
    </row>
    <row r="217" spans="4:19" ht="20.100000000000001" customHeight="1" x14ac:dyDescent="0.25">
      <c r="D217" s="122" t="s">
        <v>280</v>
      </c>
      <c r="N217" s="122" t="s">
        <v>278</v>
      </c>
    </row>
    <row r="218" spans="4:19" ht="20.100000000000001" customHeight="1" x14ac:dyDescent="0.25">
      <c r="E218" s="51" t="s">
        <v>143</v>
      </c>
      <c r="F218" s="51" t="s">
        <v>144</v>
      </c>
      <c r="G218" s="51" t="s">
        <v>145</v>
      </c>
      <c r="H218" s="51" t="s">
        <v>263</v>
      </c>
      <c r="O218" s="51" t="s">
        <v>143</v>
      </c>
      <c r="P218" s="51" t="s">
        <v>144</v>
      </c>
      <c r="Q218" s="51" t="s">
        <v>145</v>
      </c>
      <c r="R218" s="51" t="s">
        <v>263</v>
      </c>
    </row>
    <row r="219" spans="4:19" ht="20.100000000000001" customHeight="1" x14ac:dyDescent="0.25">
      <c r="D219" s="51" t="s">
        <v>169</v>
      </c>
      <c r="E219" s="51" t="s">
        <v>216</v>
      </c>
      <c r="F219" s="51" t="s">
        <v>217</v>
      </c>
      <c r="G219" s="51" t="s">
        <v>218</v>
      </c>
      <c r="H219" s="51" t="s">
        <v>219</v>
      </c>
      <c r="N219" s="51" t="s">
        <v>169</v>
      </c>
      <c r="O219" s="51" t="s">
        <v>216</v>
      </c>
      <c r="P219" s="51" t="s">
        <v>217</v>
      </c>
      <c r="Q219" s="51" t="s">
        <v>218</v>
      </c>
      <c r="R219" s="51" t="s">
        <v>219</v>
      </c>
    </row>
    <row r="220" spans="4:19" ht="20.100000000000001" customHeight="1" x14ac:dyDescent="0.25">
      <c r="D220" s="57" t="str">
        <f>'Input - Swine'!$D$29</f>
        <v>Anaerobic lagoon</v>
      </c>
      <c r="E220" s="52" cm="1">
        <f t="array" ref="E220">ManureManagement_Swine_Methane.VEERG_4_5_1_1__3_Stage1MethaneProduction(D$94,E40,VLOOKUP($D220, $D$166:$E$171, 2, FALSE),$G$212,$G$213)</f>
        <v>4.7021260799999997E-3</v>
      </c>
      <c r="F220" s="52" cm="1">
        <f t="array" ref="F220">ManureManagement_Swine_Methane.VEERG_4_5_1_1__3_Stage1MethaneProduction(E$94,F40,VLOOKUP($D220, $D$166:$E$171, 2, FALSE),$G$212,$G$213)</f>
        <v>5.4074449920000012E-3</v>
      </c>
      <c r="G220" s="52" cm="1">
        <f t="array" ref="G220">ManureManagement_Swine_Methane.VEERG_4_5_1_1__3_Stage1MethaneProduction(F$94,G40,VLOOKUP($D220, $D$166:$E$171, 2, FALSE),$G$212,$G$213)</f>
        <v>6.4654233600000008E-3</v>
      </c>
      <c r="H220" s="52" cm="1">
        <f t="array" ref="H220">ManureManagement_Swine_Methane.VEERG_4_5_1_1__3_Stage1MethaneProduction(G$94,H40,VLOOKUP($D220, $D$166:$E$171, 2, FALSE),$G$212,$G$213)</f>
        <v>4.5845729280000001E-3</v>
      </c>
      <c r="I220" s="2" t="str">
        <f t="shared" ref="I220:I225" si="6">$E$207</f>
        <v>kg CH4/head/day</v>
      </c>
      <c r="N220" s="57" t="str">
        <f>'Input - Swine'!$D$29</f>
        <v>Anaerobic lagoon</v>
      </c>
      <c r="O220" s="52" cm="1">
        <f t="array" ref="O220">ManureManagement_Swine_Methane.VEERG_4_5_1_1__3_Stage1MethaneProduction(N$94,O40,VLOOKUP($D220, $D$166:$E$171, 2, FALSE),$G$212,$G$213)</f>
        <v>4.7021260799999997E-3</v>
      </c>
      <c r="P220" s="52" cm="1">
        <f t="array" ref="P220">ManureManagement_Swine_Methane.VEERG_4_5_1_1__3_Stage1MethaneProduction(O$94,P40,VLOOKUP($D220, $D$166:$E$171, 2, FALSE),$G$212,$G$213)</f>
        <v>5.4074449920000012E-3</v>
      </c>
      <c r="Q220" s="52" cm="1">
        <f t="array" ref="Q220">ManureManagement_Swine_Methane.VEERG_4_5_1_1__3_Stage1MethaneProduction(P$94,Q40,VLOOKUP($D220, $D$166:$E$171, 2, FALSE),$G$212,$G$213)</f>
        <v>6.4654233600000008E-3</v>
      </c>
      <c r="R220" s="52" cm="1">
        <f t="array" ref="R220">ManureManagement_Swine_Methane.VEERG_4_5_1_1__3_Stage1MethaneProduction(Q$94,R40,VLOOKUP($D220, $D$166:$E$171, 2, FALSE),$G$212,$G$213)</f>
        <v>4.5845729280000001E-3</v>
      </c>
      <c r="S220" s="2" t="str">
        <f t="shared" ref="S220:S225" si="7">$E$207</f>
        <v>kg CH4/head/day</v>
      </c>
    </row>
    <row r="221" spans="4:19" ht="20.100000000000001" customHeight="1" x14ac:dyDescent="0.25">
      <c r="D221" s="57" t="str">
        <f>'Input - Swine'!$D$30</f>
        <v>Drylot (feed pad)</v>
      </c>
      <c r="E221" s="52" cm="1">
        <f t="array" ref="E221">ManureManagement_Swine_Methane.VEERG_4_5_1_1__3_Stage1MethaneProduction(D$94,E41,VLOOKUP($D221, $D$166:$E$171, 2, FALSE),$G$212,$G$213)</f>
        <v>6.1870080000000008E-5</v>
      </c>
      <c r="F221" s="52" cm="1">
        <f t="array" ref="F221">ManureManagement_Swine_Methane.VEERG_4_5_1_1__3_Stage1MethaneProduction(E$94,F41,VLOOKUP($D221, $D$166:$E$171, 2, FALSE),$G$212,$G$213)</f>
        <v>7.1150592000000001E-5</v>
      </c>
      <c r="G221" s="52" cm="1">
        <f t="array" ref="G221">ManureManagement_Swine_Methane.VEERG_4_5_1_1__3_Stage1MethaneProduction(F$94,G41,VLOOKUP($D221, $D$166:$E$171, 2, FALSE),$G$212,$G$213)</f>
        <v>8.5071360000000011E-5</v>
      </c>
      <c r="H221" s="52" cm="1">
        <f t="array" ref="H221">ManureManagement_Swine_Methane.VEERG_4_5_1_1__3_Stage1MethaneProduction(G$94,H41,VLOOKUP($D221, $D$166:$E$171, 2, FALSE),$G$212,$G$213)</f>
        <v>6.0323328000000009E-5</v>
      </c>
      <c r="I221" s="2" t="str">
        <f t="shared" si="6"/>
        <v>kg CH4/head/day</v>
      </c>
      <c r="N221" s="57" t="str">
        <f>'Input - Swine'!$D$30</f>
        <v>Drylot (feed pad)</v>
      </c>
      <c r="O221" s="52" cm="1">
        <f t="array" ref="O221">ManureManagement_Swine_Methane.VEERG_4_5_1_1__3_Stage1MethaneProduction(N$94,O41,VLOOKUP($D221, $D$166:$E$171, 2, FALSE),$G$212,$G$213)</f>
        <v>6.1870080000000008E-5</v>
      </c>
      <c r="P221" s="52" cm="1">
        <f t="array" ref="P221">ManureManagement_Swine_Methane.VEERG_4_5_1_1__3_Stage1MethaneProduction(O$94,P41,VLOOKUP($D221, $D$166:$E$171, 2, FALSE),$G$212,$G$213)</f>
        <v>7.1150592000000001E-5</v>
      </c>
      <c r="Q221" s="52" cm="1">
        <f t="array" ref="Q221">ManureManagement_Swine_Methane.VEERG_4_5_1_1__3_Stage1MethaneProduction(P$94,Q41,VLOOKUP($D221, $D$166:$E$171, 2, FALSE),$G$212,$G$213)</f>
        <v>8.5071360000000011E-5</v>
      </c>
      <c r="R221" s="52" cm="1">
        <f t="array" ref="R221">ManureManagement_Swine_Methane.VEERG_4_5_1_1__3_Stage1MethaneProduction(Q$94,R41,VLOOKUP($D221, $D$166:$E$171, 2, FALSE),$G$212,$G$213)</f>
        <v>6.0323328000000009E-5</v>
      </c>
      <c r="S221" s="2" t="str">
        <f t="shared" si="7"/>
        <v>kg CH4/head/day</v>
      </c>
    </row>
    <row r="222" spans="4:19" ht="20.100000000000001" customHeight="1" x14ac:dyDescent="0.25">
      <c r="D222" s="57" t="str">
        <f>'Input - Swine'!$D$31</f>
        <v>Digester / covered lagoons</v>
      </c>
      <c r="E222" s="52" cm="1">
        <f t="array" ref="E222">ManureManagement_Swine_Methane.VEERG_4_5_1_1__3_Stage1MethaneProduction(D$94,E42,VLOOKUP($D222, $D$166:$E$171, 2, FALSE),$G$212,$G$213)</f>
        <v>6.1870080000000008E-4</v>
      </c>
      <c r="F222" s="52" cm="1">
        <f t="array" ref="F222">ManureManagement_Swine_Methane.VEERG_4_5_1_1__3_Stage1MethaneProduction(E$94,F42,VLOOKUP($D222, $D$166:$E$171, 2, FALSE),$G$212,$G$213)</f>
        <v>7.1150592000000009E-4</v>
      </c>
      <c r="G222" s="52" cm="1">
        <f t="array" ref="G222">ManureManagement_Swine_Methane.VEERG_4_5_1_1__3_Stage1MethaneProduction(F$94,G42,VLOOKUP($D222, $D$166:$E$171, 2, FALSE),$G$212,$G$213)</f>
        <v>8.5071360000000011E-4</v>
      </c>
      <c r="H222" s="52" cm="1">
        <f t="array" ref="H222">ManureManagement_Swine_Methane.VEERG_4_5_1_1__3_Stage1MethaneProduction(G$94,H42,VLOOKUP($D222, $D$166:$E$171, 2, FALSE),$G$212,$G$213)</f>
        <v>6.0323328000000008E-4</v>
      </c>
      <c r="I222" s="2" t="str">
        <f t="shared" si="6"/>
        <v>kg CH4/head/day</v>
      </c>
      <c r="N222" s="57" t="str">
        <f>'Input - Swine'!$D$31</f>
        <v>Digester / covered lagoons</v>
      </c>
      <c r="O222" s="52" cm="1">
        <f t="array" ref="O222">ManureManagement_Swine_Methane.VEERG_4_5_1_1__3_Stage1MethaneProduction(N$94,O42,VLOOKUP($D222, $D$166:$E$171, 2, FALSE),$G$212,$G$213)</f>
        <v>6.1870080000000008E-4</v>
      </c>
      <c r="P222" s="52" cm="1">
        <f t="array" ref="P222">ManureManagement_Swine_Methane.VEERG_4_5_1_1__3_Stage1MethaneProduction(O$94,P42,VLOOKUP($D222, $D$166:$E$171, 2, FALSE),$G$212,$G$213)</f>
        <v>7.1150592000000009E-4</v>
      </c>
      <c r="Q222" s="52" cm="1">
        <f t="array" ref="Q222">ManureManagement_Swine_Methane.VEERG_4_5_1_1__3_Stage1MethaneProduction(P$94,Q42,VLOOKUP($D222, $D$166:$E$171, 2, FALSE),$G$212,$G$213)</f>
        <v>8.5071360000000011E-4</v>
      </c>
      <c r="R222" s="52" cm="1">
        <f t="array" ref="R222">ManureManagement_Swine_Methane.VEERG_4_5_1_1__3_Stage1MethaneProduction(Q$94,R42,VLOOKUP($D222, $D$166:$E$171, 2, FALSE),$G$212,$G$213)</f>
        <v>6.0323328000000008E-4</v>
      </c>
      <c r="S222" s="2" t="str">
        <f t="shared" si="7"/>
        <v>kg CH4/head/day</v>
      </c>
    </row>
    <row r="223" spans="4:19" ht="20.100000000000001" customHeight="1" x14ac:dyDescent="0.25">
      <c r="D223" s="57" t="str">
        <f>'Input - Swine'!$D$32</f>
        <v>Deep litter</v>
      </c>
      <c r="E223" s="52" cm="1">
        <f t="array" ref="E223">ManureManagement_Swine_Methane.VEERG_4_5_1_1__3_Stage1MethaneProduction(D$94,E43,VLOOKUP($D223, $D$166:$E$171, 2, FALSE),$G$212,$G$213)</f>
        <v>2.4748032000000003E-4</v>
      </c>
      <c r="F223" s="52" cm="1">
        <f t="array" ref="F223">ManureManagement_Swine_Methane.VEERG_4_5_1_1__3_Stage1MethaneProduction(E$94,F43,VLOOKUP($D223, $D$166:$E$171, 2, FALSE),$G$212,$G$213)</f>
        <v>2.84602368E-4</v>
      </c>
      <c r="G223" s="52" cm="1">
        <f t="array" ref="G223">ManureManagement_Swine_Methane.VEERG_4_5_1_1__3_Stage1MethaneProduction(F$94,G43,VLOOKUP($D223, $D$166:$E$171, 2, FALSE),$G$212,$G$213)</f>
        <v>3.4028544000000004E-4</v>
      </c>
      <c r="H223" s="52" cm="1">
        <f t="array" ref="H223">ManureManagement_Swine_Methane.VEERG_4_5_1_1__3_Stage1MethaneProduction(G$94,H43,VLOOKUP($D223, $D$166:$E$171, 2, FALSE),$G$212,$G$213)</f>
        <v>2.4129331200000004E-4</v>
      </c>
      <c r="I223" s="2" t="str">
        <f t="shared" si="6"/>
        <v>kg CH4/head/day</v>
      </c>
      <c r="N223" s="57" t="str">
        <f>'Input - Swine'!$D$32</f>
        <v>Deep litter</v>
      </c>
      <c r="O223" s="52" cm="1">
        <f t="array" ref="O223">ManureManagement_Swine_Methane.VEERG_4_5_1_1__3_Stage1MethaneProduction(N$94,O43,VLOOKUP($D223, $D$166:$E$171, 2, FALSE),$G$212,$G$213)</f>
        <v>2.4748032000000003E-4</v>
      </c>
      <c r="P223" s="52" cm="1">
        <f t="array" ref="P223">ManureManagement_Swine_Methane.VEERG_4_5_1_1__3_Stage1MethaneProduction(O$94,P43,VLOOKUP($D223, $D$166:$E$171, 2, FALSE),$G$212,$G$213)</f>
        <v>2.84602368E-4</v>
      </c>
      <c r="Q223" s="52" cm="1">
        <f t="array" ref="Q223">ManureManagement_Swine_Methane.VEERG_4_5_1_1__3_Stage1MethaneProduction(P$94,Q43,VLOOKUP($D223, $D$166:$E$171, 2, FALSE),$G$212,$G$213)</f>
        <v>3.4028544000000004E-4</v>
      </c>
      <c r="R223" s="52" cm="1">
        <f t="array" ref="R223">ManureManagement_Swine_Methane.VEERG_4_5_1_1__3_Stage1MethaneProduction(Q$94,R43,VLOOKUP($D223, $D$166:$E$171, 2, FALSE),$G$212,$G$213)</f>
        <v>2.4129331200000004E-4</v>
      </c>
      <c r="S223" s="2" t="str">
        <f t="shared" si="7"/>
        <v>kg CH4/head/day</v>
      </c>
    </row>
    <row r="224" spans="4:19" ht="20.100000000000001" customHeight="1" x14ac:dyDescent="0.25">
      <c r="D224" s="57" t="str">
        <f>'Input - Swine'!$D$33</f>
        <v>Pit storage</v>
      </c>
      <c r="E224" s="52" cm="1">
        <f t="array" ref="E224">ManureManagement_Swine_Methane.VEERG_4_5_1_1__3_Stage1MethaneProduction(D$94,E44,VLOOKUP($D224, $D$166:$E$171, 2, FALSE),$G$212,$G$213)</f>
        <v>1.8561024E-4</v>
      </c>
      <c r="F224" s="52" cm="1">
        <f t="array" ref="F224">ManureManagement_Swine_Methane.VEERG_4_5_1_1__3_Stage1MethaneProduction(E$94,F44,VLOOKUP($D224, $D$166:$E$171, 2, FALSE),$G$212,$G$213)</f>
        <v>2.1345177599999999E-4</v>
      </c>
      <c r="G224" s="52" cm="1">
        <f t="array" ref="G224">ManureManagement_Swine_Methane.VEERG_4_5_1_1__3_Stage1MethaneProduction(F$94,G44,VLOOKUP($D224, $D$166:$E$171, 2, FALSE),$G$212,$G$213)</f>
        <v>2.5521407999999998E-4</v>
      </c>
      <c r="H224" s="52" cm="1">
        <f t="array" ref="H224">ManureManagement_Swine_Methane.VEERG_4_5_1_1__3_Stage1MethaneProduction(G$94,H44,VLOOKUP($D224, $D$166:$E$171, 2, FALSE),$G$212,$G$213)</f>
        <v>1.8096998400000001E-4</v>
      </c>
      <c r="I224" s="2" t="str">
        <f t="shared" si="6"/>
        <v>kg CH4/head/day</v>
      </c>
      <c r="N224" s="57" t="str">
        <f>'Input - Swine'!$D$33</f>
        <v>Pit storage</v>
      </c>
      <c r="O224" s="52" cm="1">
        <f t="array" ref="O224">ManureManagement_Swine_Methane.VEERG_4_5_1_1__3_Stage1MethaneProduction(N$94,O44,VLOOKUP($D224, $D$166:$E$171, 2, FALSE),$G$212,$G$213)</f>
        <v>1.8561024E-4</v>
      </c>
      <c r="P224" s="52" cm="1">
        <f t="array" ref="P224">ManureManagement_Swine_Methane.VEERG_4_5_1_1__3_Stage1MethaneProduction(O$94,P44,VLOOKUP($D224, $D$166:$E$171, 2, FALSE),$G$212,$G$213)</f>
        <v>2.1345177599999999E-4</v>
      </c>
      <c r="Q224" s="52" cm="1">
        <f t="array" ref="Q224">ManureManagement_Swine_Methane.VEERG_4_5_1_1__3_Stage1MethaneProduction(P$94,Q44,VLOOKUP($D224, $D$166:$E$171, 2, FALSE),$G$212,$G$213)</f>
        <v>2.5521407999999998E-4</v>
      </c>
      <c r="R224" s="52" cm="1">
        <f t="array" ref="R224">ManureManagement_Swine_Methane.VEERG_4_5_1_1__3_Stage1MethaneProduction(Q$94,R44,VLOOKUP($D224, $D$166:$E$171, 2, FALSE),$G$212,$G$213)</f>
        <v>1.8096998400000001E-4</v>
      </c>
      <c r="S224" s="2" t="str">
        <f t="shared" si="7"/>
        <v>kg CH4/head/day</v>
      </c>
    </row>
    <row r="225" spans="3:21" ht="20.100000000000001" customHeight="1" x14ac:dyDescent="0.25">
      <c r="D225" s="57" t="str">
        <f>'Input - Swine'!$D$34</f>
        <v>Solid storage</v>
      </c>
      <c r="E225" s="52" cm="1">
        <f t="array" ref="E225">ManureManagement_Swine_Methane.VEERG_4_5_1_1__3_Stage1MethaneProduction(D$94,E73,VLOOKUP($D225, $D$166:$E$171, 2, FALSE),$G$212,$G$213)</f>
        <v>4.124672000000002E-4</v>
      </c>
      <c r="F225" s="52" cm="1">
        <f t="array" ref="F225">ManureManagement_Swine_Methane.VEERG_4_5_1_1__3_Stage1MethaneProduction(E$94,F73,VLOOKUP($D225, $D$166:$E$171, 2, FALSE),$G$212,$G$213)</f>
        <v>4.7433728000000026E-4</v>
      </c>
      <c r="G225" s="52" cm="1">
        <f t="array" ref="G225">ManureManagement_Swine_Methane.VEERG_4_5_1_1__3_Stage1MethaneProduction(F$94,G73,VLOOKUP($D225, $D$166:$E$171, 2, FALSE),$G$212,$G$213)</f>
        <v>5.6714240000000022E-4</v>
      </c>
      <c r="H225" s="52" cm="1">
        <f t="array" ref="H225">ManureManagement_Swine_Methane.VEERG_4_5_1_1__3_Stage1MethaneProduction(G$94,H73,VLOOKUP($D225, $D$166:$E$171, 2, FALSE),$G$212,$G$213)</f>
        <v>4.0215552000000016E-4</v>
      </c>
      <c r="I225" s="2" t="str">
        <f t="shared" si="6"/>
        <v>kg CH4/head/day</v>
      </c>
      <c r="N225" s="57" t="str">
        <f>'Input - Swine'!$D$34</f>
        <v>Solid storage</v>
      </c>
      <c r="O225" s="52" cm="1">
        <f t="array" ref="O225">ManureManagement_Swine_Methane.VEERG_4_5_1_1__3_Stage1MethaneProduction(N$94,O73,VLOOKUP($D225, $D$166:$E$171, 2, FALSE),$G$212,$G$213)</f>
        <v>4.124672000000002E-4</v>
      </c>
      <c r="P225" s="52" cm="1">
        <f t="array" ref="P225">ManureManagement_Swine_Methane.VEERG_4_5_1_1__3_Stage1MethaneProduction(O$94,P73,VLOOKUP($D225, $D$166:$E$171, 2, FALSE),$G$212,$G$213)</f>
        <v>4.7433728000000026E-4</v>
      </c>
      <c r="Q225" s="52" cm="1">
        <f t="array" ref="Q225">ManureManagement_Swine_Methane.VEERG_4_5_1_1__3_Stage1MethaneProduction(P$94,Q73,VLOOKUP($D225, $D$166:$E$171, 2, FALSE),$G$212,$G$213)</f>
        <v>5.6714240000000022E-4</v>
      </c>
      <c r="R225" s="52" cm="1">
        <f t="array" ref="R225">ManureManagement_Swine_Methane.VEERG_4_5_1_1__3_Stage1MethaneProduction(Q$94,R73,VLOOKUP($D225, $D$166:$E$171, 2, FALSE),$G$212,$G$213)</f>
        <v>4.0215552000000016E-4</v>
      </c>
      <c r="S225" s="2" t="str">
        <f t="shared" si="7"/>
        <v>kg CH4/head/day</v>
      </c>
    </row>
    <row r="226" spans="3:21" ht="20.100000000000001" customHeight="1" x14ac:dyDescent="0.25"/>
    <row r="227" spans="3:21" ht="20.100000000000001" customHeight="1" x14ac:dyDescent="0.25"/>
    <row r="228" spans="3:21" ht="20.100000000000001" customHeight="1" x14ac:dyDescent="0.25">
      <c r="C228" s="45"/>
      <c r="D228" s="45"/>
      <c r="E228" s="45"/>
      <c r="F228" s="45"/>
      <c r="G228" s="45"/>
      <c r="H228" s="45"/>
      <c r="I228" s="45"/>
      <c r="J228" s="45"/>
      <c r="K228" s="45"/>
      <c r="M228" s="45"/>
      <c r="N228" s="45"/>
      <c r="O228" s="45"/>
      <c r="P228" s="45"/>
      <c r="Q228" s="45"/>
      <c r="R228" s="45"/>
      <c r="S228" s="45"/>
      <c r="T228" s="45"/>
      <c r="U228" s="45"/>
    </row>
    <row r="229" spans="3:21" ht="20.100000000000001" customHeight="1" x14ac:dyDescent="0.25">
      <c r="D229" s="6" t="str" cm="1">
        <f t="array" ref="D229">ManureManagement_Swine_Methane.VEERG_4_5_1_1__2_MethaneProductionPerClass_Title()</f>
        <v>Methane production from the manure of each class of swine</v>
      </c>
    </row>
    <row r="230" spans="3:21" ht="20.100000000000001" customHeight="1" x14ac:dyDescent="0.25">
      <c r="D230" s="5" t="str" cm="1">
        <f t="array" ref="D230">ManureManagement_Swine_Methane.VEERG_4_5_1_1__2_MethaneProductionPerClass_Source()</f>
        <v>VEERG 2026: 4.5.1.1, Equation (2)</v>
      </c>
    </row>
    <row r="231" spans="3:21" ht="20.100000000000001" customHeight="1" x14ac:dyDescent="0.25">
      <c r="D231" s="55" t="str" cm="1">
        <f t="array" ref="D231">ManureManagement_Swine_Methane.VEERG_4_5_1_1__2_MethaneProductionPerClass_Variation()</f>
        <v>VARIATION ON SOURCE: Split variable Mjm into MjmT1 and MjmT2 for stage 1 and 2 MMS.</v>
      </c>
    </row>
    <row r="232" spans="3:21" ht="20.100000000000001" customHeight="1" x14ac:dyDescent="0.25">
      <c r="D232" s="13" t="s">
        <v>26</v>
      </c>
      <c r="E232" s="13" t="str" cm="1">
        <f t="array" aca="1" ref="E232" ca="1">Common_InputFunctions.Utility_DisplayFunctionName(D245)</f>
        <v>=ManureManagement_Swine_Methane.VEERG_4_5_1_1__2_MethaneProductionPerClassVariation</v>
      </c>
    </row>
    <row r="233" spans="3:21" ht="20.100000000000001" customHeight="1" x14ac:dyDescent="0.25"/>
    <row r="234" spans="3:21" ht="20.100000000000001" customHeight="1" x14ac:dyDescent="0.25">
      <c r="E234" s="13"/>
    </row>
    <row r="235" spans="3:21" ht="20.100000000000001" customHeight="1" x14ac:dyDescent="0.25">
      <c r="D235" s="53" t="s">
        <v>29</v>
      </c>
      <c r="E235" s="1" t="str" cm="1">
        <f t="array" ref="E235">ManureManagement_Swine_Methane.VEERG_4_5_1_1__2_MethaneProductionPerClass_Variable()</f>
        <v>Mmj</v>
      </c>
    </row>
    <row r="236" spans="3:21" ht="20.100000000000001" customHeight="1" x14ac:dyDescent="0.25">
      <c r="D236" s="53" t="s">
        <v>19</v>
      </c>
      <c r="E236" s="54" t="str" cm="1">
        <f t="array" ref="E236">ManureManagement_Swine_Methane.VEERG_4_5_1_1__2_MethaneProductionPerClass_Unit()</f>
        <v>kg CH4/head/day</v>
      </c>
    </row>
    <row r="237" spans="3:21" ht="20.100000000000001" customHeight="1" x14ac:dyDescent="0.25"/>
    <row r="238" spans="3:21" ht="20.100000000000001" customHeight="1" x14ac:dyDescent="0.25">
      <c r="D238" s="57" t="str" cm="1">
        <f t="array" ref="D238:E238">ManureManagement_Swine_Methane.VEERG_4_5_1_1__2_MethaneProductionPerClass_Arguments()</f>
        <v>MjmT</v>
      </c>
      <c r="E238" s="58" t="str">
        <v>methane production from manure per class, MMS, and treatment stage : kg CH4/head/day</v>
      </c>
      <c r="F238" s="100"/>
      <c r="G238" s="123"/>
      <c r="H238" s="52" t="s">
        <v>220</v>
      </c>
    </row>
    <row r="239" spans="3:21" ht="20.100000000000001" customHeight="1" x14ac:dyDescent="0.25"/>
    <row r="240" spans="3:21" ht="20.100000000000001" customHeight="1" x14ac:dyDescent="0.25">
      <c r="D240" s="121" t="s">
        <v>281</v>
      </c>
      <c r="N240" s="121" t="s">
        <v>283</v>
      </c>
    </row>
    <row r="241" spans="3:21" ht="20.100000000000001" customHeight="1" x14ac:dyDescent="0.25">
      <c r="D241" s="122" t="s">
        <v>282</v>
      </c>
      <c r="N241" s="122" t="s">
        <v>284</v>
      </c>
    </row>
    <row r="242" spans="3:21" ht="20.100000000000001" customHeight="1" x14ac:dyDescent="0.25"/>
    <row r="243" spans="3:21" ht="20.100000000000001" customHeight="1" x14ac:dyDescent="0.25">
      <c r="D243" s="51" t="s">
        <v>143</v>
      </c>
      <c r="E243" s="51" t="s">
        <v>144</v>
      </c>
      <c r="F243" s="51" t="s">
        <v>145</v>
      </c>
      <c r="G243" s="51" t="s">
        <v>263</v>
      </c>
      <c r="N243" s="51" t="s">
        <v>143</v>
      </c>
      <c r="O243" s="51" t="s">
        <v>144</v>
      </c>
      <c r="P243" s="51" t="s">
        <v>145</v>
      </c>
      <c r="Q243" s="51" t="s">
        <v>263</v>
      </c>
    </row>
    <row r="244" spans="3:21" ht="20.100000000000001" customHeight="1" x14ac:dyDescent="0.25">
      <c r="D244" s="51" t="s">
        <v>221</v>
      </c>
      <c r="E244" s="51" t="s">
        <v>222</v>
      </c>
      <c r="F244" s="51" t="s">
        <v>223</v>
      </c>
      <c r="G244" s="51" t="s">
        <v>224</v>
      </c>
      <c r="N244" s="51" t="s">
        <v>221</v>
      </c>
      <c r="O244" s="51" t="s">
        <v>222</v>
      </c>
      <c r="P244" s="51" t="s">
        <v>223</v>
      </c>
      <c r="Q244" s="51" t="s">
        <v>224</v>
      </c>
    </row>
    <row r="245" spans="3:21" ht="20.100000000000001" customHeight="1" x14ac:dyDescent="0.25">
      <c r="D245" s="52" cm="1">
        <f t="array" ref="D245">ManureManagement_Swine_Methane.VEERG_4_5_1_1__2_MethaneProductionPerClassVariation(E220:E225,F177:F196)</f>
        <v>1.3780116684800005E-2</v>
      </c>
      <c r="E245" s="52" cm="1">
        <f t="array" ref="E245">ManureManagement_Swine_Methane.VEERG_4_5_1_1__2_MethaneProductionPerClassVariation(F220:F225,G177:G196)</f>
        <v>1.6933247974400007E-2</v>
      </c>
      <c r="F245" s="52" cm="1">
        <f t="array" ref="F245">ManureManagement_Swine_Methane.VEERG_4_5_1_1__2_MethaneProductionPerClassVariation(G220:G225,H177:H196)</f>
        <v>2.0246274752000006E-2</v>
      </c>
      <c r="G245" s="52" cm="1">
        <f t="array" ref="G245">ManureManagement_Swine_Methane.VEERG_4_5_1_1__2_MethaneProductionPerClassVariation(H220:H225,I177:I196)</f>
        <v>1.4356449369600002E-2</v>
      </c>
      <c r="H245" s="2" t="str">
        <f>E236</f>
        <v>kg CH4/head/day</v>
      </c>
      <c r="N245" s="52" cm="1">
        <f t="array" ref="N245">ManureManagement_Swine_Methane.VEERG_4_5_1_1__2_MethaneProductionPerClassVariation(O220:O225,P177:P196)</f>
        <v>1.3780116684800005E-2</v>
      </c>
      <c r="O245" s="52" cm="1">
        <f t="array" ref="O245">ManureManagement_Swine_Methane.VEERG_4_5_1_1__2_MethaneProductionPerClassVariation(P220:P225,Q177:Q196)</f>
        <v>1.6933247974400007E-2</v>
      </c>
      <c r="P245" s="52" cm="1">
        <f t="array" ref="P245">ManureManagement_Swine_Methane.VEERG_4_5_1_1__2_MethaneProductionPerClassVariation(Q220:Q225,R177:R196)</f>
        <v>2.0246274752000006E-2</v>
      </c>
      <c r="Q245" s="52" cm="1">
        <f t="array" ref="Q245">ManureManagement_Swine_Methane.VEERG_4_5_1_1__2_MethaneProductionPerClassVariation(R220:R225,S177:S196)</f>
        <v>1.4356449369600002E-2</v>
      </c>
      <c r="R245" s="2">
        <f>O236</f>
        <v>0</v>
      </c>
    </row>
    <row r="246" spans="3:21" ht="20.100000000000001" customHeight="1" x14ac:dyDescent="0.25"/>
    <row r="247" spans="3:21" ht="20.100000000000001" customHeight="1" x14ac:dyDescent="0.25"/>
    <row r="248" spans="3:21" ht="20.100000000000001" customHeight="1" x14ac:dyDescent="0.25">
      <c r="C248" s="45"/>
      <c r="D248" s="45"/>
      <c r="E248" s="45"/>
      <c r="F248" s="45"/>
      <c r="G248" s="45"/>
      <c r="H248" s="45"/>
      <c r="I248" s="45"/>
      <c r="J248" s="45"/>
      <c r="K248" s="45"/>
      <c r="M248" s="45"/>
      <c r="N248" s="45"/>
      <c r="O248" s="45"/>
      <c r="P248" s="45"/>
      <c r="Q248" s="45"/>
      <c r="R248" s="45"/>
      <c r="S248" s="45"/>
      <c r="T248" s="45"/>
      <c r="U248" s="45"/>
    </row>
    <row r="249" spans="3:21" ht="20.100000000000001" customHeight="1" x14ac:dyDescent="0.25">
      <c r="D249" s="6" t="str" cm="1">
        <f t="array" ref="D249">ManureManagement_Swine_Methane.VEERG_4_5_1_1__1_TotalAnnualMethaneEmissions_Title()</f>
        <v>Total annual methane emissions from manure management</v>
      </c>
    </row>
    <row r="250" spans="3:21" ht="20.100000000000001" customHeight="1" x14ac:dyDescent="0.25">
      <c r="D250" s="5" t="str" cm="1">
        <f t="array" ref="D250">ManureManagement_Swine_Methane.VEERG_4_5_1_1__1_TotalAnnualMethaneEmissions_Source()</f>
        <v>VEERG 2026: 4.5.1.1, Equation (1)</v>
      </c>
    </row>
    <row r="251" spans="3:21" ht="20.100000000000001" customHeight="1" x14ac:dyDescent="0.25">
      <c r="D251" s="13" t="s">
        <v>26</v>
      </c>
      <c r="E251" s="13" t="str" cm="1">
        <f t="array" aca="1" ref="E251" ca="1">Common_InputFunctions.Utility_DisplayFunctionName(D278)</f>
        <v>=ManureManagement_Swine_Methane.VEERG_4_5_1_1__1_TotalAnnualMethaneEmissions</v>
      </c>
    </row>
    <row r="252" spans="3:21" ht="20.100000000000001" customHeight="1" x14ac:dyDescent="0.25"/>
    <row r="253" spans="3:21" ht="20.100000000000001" customHeight="1" x14ac:dyDescent="0.25">
      <c r="D253" s="6"/>
    </row>
    <row r="254" spans="3:21" ht="20.100000000000001" customHeight="1" x14ac:dyDescent="0.25"/>
    <row r="255" spans="3:21" ht="20.100000000000001" customHeight="1" x14ac:dyDescent="0.25">
      <c r="D255" s="53" t="s">
        <v>29</v>
      </c>
      <c r="E255" s="1" t="str" cm="1">
        <f t="array" ref="E255">ManureManagement_Swine_Methane.VEERG_4_5_1_1__1_TotalAnnualMethaneEmissions_Variable()</f>
        <v>ECH4</v>
      </c>
    </row>
    <row r="256" spans="3:21" ht="20.100000000000001" customHeight="1" x14ac:dyDescent="0.25">
      <c r="D256" s="53" t="s">
        <v>19</v>
      </c>
      <c r="E256" s="54" t="str" cm="1">
        <f t="array" ref="E256">ManureManagement_Swine_Methane.VEERG_4_5_1_1__1_TotalAnnualMethaneEmissions_Unit()</f>
        <v>t CH4</v>
      </c>
    </row>
    <row r="257" spans="4:8" ht="20.100000000000001" customHeight="1" x14ac:dyDescent="0.25"/>
    <row r="258" spans="4:8" ht="20.100000000000001" customHeight="1" x14ac:dyDescent="0.25">
      <c r="D258" s="57" t="str" cm="1">
        <f t="array" ref="D258:E260">ManureManagement_Swine_Methane.VEERG_4_5_1_1__1_TotalAnnualMethaneEmissions_Arguments()</f>
        <v>Dj</v>
      </c>
      <c r="E258" s="58" t="str">
        <v>length of stay of each class of swine : days</v>
      </c>
      <c r="F258" s="59"/>
      <c r="G258" s="57" t="str">
        <f>"See " &amp; D262</f>
        <v>See Table_D_j</v>
      </c>
    </row>
    <row r="259" spans="4:8" ht="20.100000000000001" customHeight="1" x14ac:dyDescent="0.25">
      <c r="D259" s="57" t="str">
        <v>Mmj</v>
      </c>
      <c r="E259" s="58" t="str">
        <v>methane production from manure in each swine class : kg CH4/head/day</v>
      </c>
      <c r="F259" s="59"/>
      <c r="G259" s="57" t="str">
        <f>"See " &amp; D240</f>
        <v>See M1_Table_M_m_j</v>
      </c>
    </row>
    <row r="260" spans="4:8" ht="20.100000000000001" customHeight="1" x14ac:dyDescent="0.25">
      <c r="D260" s="57" t="str">
        <v>Nj</v>
      </c>
      <c r="E260" s="58" t="str">
        <v>numbers of swine in each class : head</v>
      </c>
      <c r="F260" s="59"/>
      <c r="G260" s="57" t="str">
        <f>"See " &amp; D268</f>
        <v>See Table_N_j</v>
      </c>
    </row>
    <row r="261" spans="4:8" ht="20.100000000000001" customHeight="1" x14ac:dyDescent="0.25"/>
    <row r="262" spans="4:8" ht="20.100000000000001" customHeight="1" x14ac:dyDescent="0.25">
      <c r="D262" s="121" t="s">
        <v>225</v>
      </c>
    </row>
    <row r="263" spans="4:8" ht="20.100000000000001" customHeight="1" x14ac:dyDescent="0.25">
      <c r="D263" s="122" t="s">
        <v>226</v>
      </c>
    </row>
    <row r="264" spans="4:8" ht="20.100000000000001" customHeight="1" x14ac:dyDescent="0.25">
      <c r="D264" s="51" t="s">
        <v>143</v>
      </c>
      <c r="E264" s="51" t="s">
        <v>144</v>
      </c>
      <c r="F264" s="51" t="s">
        <v>145</v>
      </c>
      <c r="G264" s="51" t="s">
        <v>263</v>
      </c>
    </row>
    <row r="265" spans="4:8" ht="20.100000000000001" customHeight="1" x14ac:dyDescent="0.25">
      <c r="D265" s="51" t="s">
        <v>227</v>
      </c>
      <c r="E265" s="51" t="s">
        <v>228</v>
      </c>
      <c r="F265" s="51" t="s">
        <v>229</v>
      </c>
      <c r="G265" s="51" t="s">
        <v>230</v>
      </c>
    </row>
    <row r="266" spans="4:8" ht="20.100000000000001" customHeight="1" x14ac:dyDescent="0.25">
      <c r="D266" s="125">
        <f>'Input - Swine'!E10</f>
        <v>365</v>
      </c>
      <c r="E266" s="125">
        <f>'Input - Swine'!F10</f>
        <v>365</v>
      </c>
      <c r="F266" s="125">
        <f>'Input - Swine'!G10</f>
        <v>365</v>
      </c>
      <c r="G266" s="125">
        <f>'Input - Swine'!H10</f>
        <v>365</v>
      </c>
      <c r="H266" s="2" t="s">
        <v>54</v>
      </c>
    </row>
    <row r="267" spans="4:8" ht="20.100000000000001" customHeight="1" x14ac:dyDescent="0.25"/>
    <row r="268" spans="4:8" ht="20.100000000000001" customHeight="1" x14ac:dyDescent="0.25">
      <c r="D268" s="121" t="s">
        <v>231</v>
      </c>
    </row>
    <row r="269" spans="4:8" ht="20.100000000000001" customHeight="1" x14ac:dyDescent="0.25">
      <c r="D269" s="122" t="s">
        <v>232</v>
      </c>
    </row>
    <row r="270" spans="4:8" ht="20.100000000000001" customHeight="1" x14ac:dyDescent="0.25">
      <c r="D270" s="51" t="s">
        <v>143</v>
      </c>
      <c r="E270" s="51" t="s">
        <v>144</v>
      </c>
      <c r="F270" s="51" t="s">
        <v>145</v>
      </c>
      <c r="G270" s="51" t="s">
        <v>263</v>
      </c>
    </row>
    <row r="271" spans="4:8" ht="20.100000000000001" customHeight="1" x14ac:dyDescent="0.25">
      <c r="D271" s="51" t="s">
        <v>227</v>
      </c>
      <c r="E271" s="51" t="s">
        <v>228</v>
      </c>
      <c r="F271" s="51" t="s">
        <v>229</v>
      </c>
      <c r="G271" s="51" t="s">
        <v>230</v>
      </c>
    </row>
    <row r="272" spans="4:8" x14ac:dyDescent="0.25">
      <c r="D272" s="125">
        <f>'Input - Swine'!$E$11</f>
        <v>100</v>
      </c>
      <c r="E272" s="125">
        <f>'Input - Swine'!$F$11</f>
        <v>100</v>
      </c>
      <c r="F272" s="125">
        <f>'Input - Swine'!$G$11</f>
        <v>100</v>
      </c>
      <c r="G272" s="125">
        <f>'Input - Swine'!$H$11</f>
        <v>100</v>
      </c>
      <c r="H272" s="2" t="s">
        <v>100</v>
      </c>
    </row>
    <row r="274" spans="4:18" x14ac:dyDescent="0.25">
      <c r="D274" s="121" t="s">
        <v>124</v>
      </c>
      <c r="N274" s="121" t="s">
        <v>135</v>
      </c>
    </row>
    <row r="275" spans="4:18" x14ac:dyDescent="0.25">
      <c r="D275" s="122" t="s">
        <v>262</v>
      </c>
      <c r="N275" s="122" t="s">
        <v>285</v>
      </c>
    </row>
    <row r="276" spans="4:18" x14ac:dyDescent="0.25">
      <c r="D276" s="51" t="s">
        <v>143</v>
      </c>
      <c r="E276" s="51" t="s">
        <v>144</v>
      </c>
      <c r="F276" s="51" t="s">
        <v>145</v>
      </c>
      <c r="G276" s="51" t="s">
        <v>263</v>
      </c>
      <c r="N276" s="51" t="s">
        <v>143</v>
      </c>
      <c r="O276" s="51" t="s">
        <v>144</v>
      </c>
      <c r="P276" s="51" t="s">
        <v>145</v>
      </c>
      <c r="Q276" s="51" t="s">
        <v>263</v>
      </c>
    </row>
    <row r="277" spans="4:18" ht="17.25" x14ac:dyDescent="0.25">
      <c r="D277" s="51" t="s">
        <v>227</v>
      </c>
      <c r="E277" s="51" t="s">
        <v>228</v>
      </c>
      <c r="F277" s="51" t="s">
        <v>229</v>
      </c>
      <c r="G277" s="51" t="s">
        <v>230</v>
      </c>
      <c r="N277" s="51" t="s">
        <v>227</v>
      </c>
      <c r="O277" s="51" t="s">
        <v>228</v>
      </c>
      <c r="P277" s="51" t="s">
        <v>229</v>
      </c>
      <c r="Q277" s="51" t="s">
        <v>230</v>
      </c>
    </row>
    <row r="278" spans="4:18" x14ac:dyDescent="0.25">
      <c r="D278" s="52" cm="1">
        <f t="array" ref="D278">ManureManagement_Swine_Methane.VEERG_4_5_1_1__1_TotalAnnualMethaneEmissions(D266,D$245,D272)</f>
        <v>0.50297425899520021</v>
      </c>
      <c r="E278" s="52" cm="1">
        <f t="array" ref="E278">ManureManagement_Swine_Methane.VEERG_4_5_1_1__1_TotalAnnualMethaneEmissions(E266,E$245,E272)</f>
        <v>0.61806355106560018</v>
      </c>
      <c r="F278" s="52" cm="1">
        <f t="array" ref="F278">ManureManagement_Swine_Methane.VEERG_4_5_1_1__1_TotalAnnualMethaneEmissions(F266,F$245,F272)</f>
        <v>0.73898902844800007</v>
      </c>
      <c r="G278" s="52" cm="1">
        <f t="array" ref="G278">ManureManagement_Swine_Methane.VEERG_4_5_1_1__1_TotalAnnualMethaneEmissions(G266,G$245,G272)</f>
        <v>0.52401040199040005</v>
      </c>
      <c r="H278" s="2" t="str">
        <f>$E$256</f>
        <v>t CH4</v>
      </c>
      <c r="N278" s="52" cm="1">
        <f t="array" ref="N278">ManureManagement_Swine_Methane.VEERG_4_5_1_1__1_TotalAnnualMethaneEmissions(D266,N$245,D272)</f>
        <v>0.50297425899520021</v>
      </c>
      <c r="O278" s="52" cm="1">
        <f t="array" ref="O278">ManureManagement_Swine_Methane.VEERG_4_5_1_1__1_TotalAnnualMethaneEmissions(E266,O$245,E272)</f>
        <v>0.61806355106560018</v>
      </c>
      <c r="P278" s="52" cm="1">
        <f t="array" ref="P278">ManureManagement_Swine_Methane.VEERG_4_5_1_1__1_TotalAnnualMethaneEmissions(F266,P$245,F272)</f>
        <v>0.73898902844800007</v>
      </c>
      <c r="Q278" s="52" cm="1">
        <f t="array" ref="Q278">ManureManagement_Swine_Methane.VEERG_4_5_1_1__1_TotalAnnualMethaneEmissions(G266,Q$245,G272)</f>
        <v>0.52401040199040005</v>
      </c>
      <c r="R278" s="2" t="str">
        <f>$E$256</f>
        <v>t CH4</v>
      </c>
    </row>
    <row r="280" spans="4:18" ht="20.25" x14ac:dyDescent="0.25">
      <c r="D280" s="101" t="s">
        <v>233</v>
      </c>
      <c r="E280" s="102">
        <f>SUM(D278:G278)</f>
        <v>2.3840372404992007</v>
      </c>
      <c r="F280" s="103" t="str">
        <f>$E$256</f>
        <v>t CH4</v>
      </c>
      <c r="N280" s="101" t="s">
        <v>233</v>
      </c>
      <c r="O280" s="102">
        <f>SUM(N278:Q278)</f>
        <v>2.3840372404992007</v>
      </c>
      <c r="P280" s="103" t="str">
        <f>$E$256</f>
        <v>t CH4</v>
      </c>
    </row>
    <row r="282" spans="4:18" x14ac:dyDescent="0.25">
      <c r="D282" s="57" t="str" cm="1">
        <f t="array" ref="D282:E283">Common_Equations.Common_ConvertCH4ToCO2e_Arguments()</f>
        <v>ECH4</v>
      </c>
      <c r="E282" s="58" t="str">
        <v>Methane emissions (t CH4)</v>
      </c>
      <c r="F282" s="104"/>
      <c r="G282" s="52">
        <f>E280</f>
        <v>2.3840372404992007</v>
      </c>
      <c r="N282" s="57" t="str" cm="1">
        <f t="array" ref="N282:O283">Common_Equations.Common_ConvertCH4ToCO2e_Arguments()</f>
        <v>ECH4</v>
      </c>
      <c r="O282" s="58" t="str">
        <v>Methane emissions (t CH4)</v>
      </c>
      <c r="P282" s="104"/>
      <c r="Q282" s="52">
        <f>O280</f>
        <v>2.3840372404992007</v>
      </c>
    </row>
    <row r="283" spans="4:18" x14ac:dyDescent="0.25">
      <c r="D283" s="57" t="str">
        <v>GWPCH4</v>
      </c>
      <c r="E283" s="58" t="str">
        <v>Global warming potential for methane (t CO2-e / t CH4)</v>
      </c>
      <c r="F283" s="104"/>
      <c r="G283" s="52">
        <f>Common_InputFunctions.Utility_LookupValueInTableNumber("CH4",Table_GWPData[Gas],Table_GWPData[CO2-e factor])</f>
        <v>28</v>
      </c>
      <c r="N283" s="57" t="str">
        <v>GWPCH4</v>
      </c>
      <c r="O283" s="58" t="str">
        <v>Global warming potential for methane (t CO2-e / t CH4)</v>
      </c>
      <c r="P283" s="104"/>
      <c r="Q283" s="52">
        <f>Common_InputFunctions.Utility_LookupValueInTableNumber("CH4",Table_GWPData[Gas],Table_GWPData[CO2-e factor])</f>
        <v>28</v>
      </c>
    </row>
    <row r="285" spans="4:18" ht="18.75" x14ac:dyDescent="0.25">
      <c r="D285" s="45" t="s">
        <v>101</v>
      </c>
      <c r="E285" s="45" cm="1">
        <f t="array" ref="E285">Common_Equations.Common_ConvertCH4ToCO2e(G282,G283)</f>
        <v>66.753042733977622</v>
      </c>
      <c r="F285" s="105" t="str" cm="1">
        <f t="array" ref="F285">Common_Equations.Common_ConvertN2OToCO2e_Unit()</f>
        <v>t CO2e</v>
      </c>
      <c r="N285" s="45" t="s">
        <v>101</v>
      </c>
      <c r="O285" s="45" cm="1">
        <f t="array" ref="O285">Common_Equations.Common_ConvertCH4ToCO2e(Q282,Q283)</f>
        <v>66.753042733977622</v>
      </c>
      <c r="P285" s="105" t="str" cm="1">
        <f t="array" ref="P285">Common_Equations.Common_ConvertN2OToCO2e_Unit()</f>
        <v>t CO2e</v>
      </c>
    </row>
    <row r="341" spans="8:8" x14ac:dyDescent="0.25">
      <c r="H341" s="22"/>
    </row>
    <row r="342" spans="8:8" x14ac:dyDescent="0.25">
      <c r="H342" s="22"/>
    </row>
  </sheetData>
  <dataValidations disablePrompts="1" count="1">
    <dataValidation operator="equal" allowBlank="1" showInputMessage="1" showErrorMessage="1" sqref="O172:T172 E128:J128 F129:J133 G212 E269 O166:T166 P143:T144 E228 P167:T167 F148:I150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U291"/>
  <sheetViews>
    <sheetView showGridLines="0" topLeftCell="A122" zoomScale="115" zoomScaleNormal="115" workbookViewId="0">
      <selection activeCell="F145" sqref="F14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68" t="e" vm="1">
        <v>#VALUE!</v>
      </c>
      <c r="C1" s="8" t="s">
        <v>286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MMS_Swine_N2ODirect_Equations.VEERG_4_5_1_3__5_AnnualNitrogenExcretion_Title()</f>
        <v>Annual nitrogen excretion from each swine group</v>
      </c>
    </row>
    <row r="6" spans="1:21" ht="20.100000000000001" customHeight="1" x14ac:dyDescent="0.25">
      <c r="A6" s="20" t="s">
        <v>3</v>
      </c>
      <c r="D6" s="5" t="str" cm="1">
        <f t="array" ref="D6">MMS_Swine_N2ODirect_Equations.VEERG_4_5_1_3__5_AnnualNitrogenExcretion_Source()</f>
        <v>VEERG 2026: 4.5.1.3, Equation (5)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Common_InputFunctions.Utility_DisplayFunctionName($E$35)</f>
        <v>=MMS_Swine_N2ODirect_Equations.VEERG_4_5_1_3__5_AnnualNitrogenExcretion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MMS_Swine_N2ODirect_Equations.VEERG_4_5_1_3__5_AnnualNitrogenExcretion_Variable()</f>
        <v>AE_j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MMS_Swine_N2ODirect_Equations.VEERG_4_5_1_3__5_AnnualNitrogenExcretion_Unit()</f>
        <v>kg N</v>
      </c>
    </row>
    <row r="12" spans="1:21" ht="20.100000000000001" customHeight="1" x14ac:dyDescent="0.25">
      <c r="A12" s="142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5">MMS_Swine_N2ODirect_Equations.VEERG_4_5_1_3__5_AnnualNitrogenExcretion_Arguments()</f>
        <v>N_j</v>
      </c>
      <c r="E13" s="58" t="str">
        <v>number of swine in each group (head)</v>
      </c>
      <c r="F13" s="100"/>
      <c r="G13" s="59"/>
      <c r="H13" s="57" t="str">
        <f>"See " &amp; D17</f>
        <v>See Table_N_j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NW_j</v>
      </c>
      <c r="E14" s="58" t="str">
        <v>nitrogen produced in swine manure and waste feed in each class (kg N/head/day)</v>
      </c>
      <c r="F14" s="100"/>
      <c r="G14" s="59"/>
      <c r="H14" s="57" t="str">
        <f>"See " &amp; D22</f>
        <v>See M1_Table_NW_j</v>
      </c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D15" s="57" t="str">
        <v>D_j</v>
      </c>
      <c r="E15" s="58" t="str">
        <v>duration of stay of swine group (days)</v>
      </c>
      <c r="F15" s="100"/>
      <c r="G15" s="59"/>
      <c r="H15" s="57"/>
    </row>
    <row r="16" spans="1:21" ht="20.100000000000001" customHeight="1" x14ac:dyDescent="0.25"/>
    <row r="17" spans="1:18" ht="20.100000000000001" customHeight="1" x14ac:dyDescent="0.25">
      <c r="A17" s="18" t="s">
        <v>4</v>
      </c>
      <c r="D17" s="121" t="s">
        <v>231</v>
      </c>
    </row>
    <row r="18" spans="1:18" ht="20.100000000000001" customHeight="1" x14ac:dyDescent="0.25">
      <c r="A18" s="17" t="str">
        <f>HYPERLINK("#'Constants - Swine'!A1", "Constants - Swine")</f>
        <v>Constants - Swine</v>
      </c>
      <c r="D18" s="122" t="s">
        <v>232</v>
      </c>
    </row>
    <row r="19" spans="1:18" ht="20.100000000000001" customHeight="1" x14ac:dyDescent="0.25">
      <c r="A19" s="17" t="str">
        <f>HYPERLINK("#'Constants - Livestock'!A1", "Constants - Livestock")</f>
        <v>Constants - Livestock</v>
      </c>
      <c r="D19" s="51" t="s">
        <v>143</v>
      </c>
      <c r="E19" s="51" t="s">
        <v>144</v>
      </c>
      <c r="F19" s="51" t="s">
        <v>145</v>
      </c>
      <c r="G19" s="51" t="s">
        <v>263</v>
      </c>
    </row>
    <row r="20" spans="1:18" ht="20.100000000000001" customHeight="1" x14ac:dyDescent="0.25">
      <c r="A20" s="17" t="str">
        <f>HYPERLINK("#'Constants - Common'!A1", "Constants - Common")</f>
        <v>Constants - Common</v>
      </c>
      <c r="D20" s="125">
        <f>'Input - Swine'!$E$11</f>
        <v>100</v>
      </c>
      <c r="E20" s="125">
        <f>'Input - Swine'!$F$11</f>
        <v>100</v>
      </c>
      <c r="F20" s="125">
        <f>'Input - Swine'!$G$11</f>
        <v>100</v>
      </c>
      <c r="G20" s="125">
        <f>'Input - Swine'!$H$11</f>
        <v>100</v>
      </c>
      <c r="H20" s="2" t="s">
        <v>100</v>
      </c>
    </row>
    <row r="21" spans="1:18" ht="20.100000000000001" customHeight="1" x14ac:dyDescent="0.25">
      <c r="A21" s="17" t="str">
        <f>HYPERLINK("#'Acknowledgements'!A1", "Acknowledgements")</f>
        <v>Acknowledgements</v>
      </c>
    </row>
    <row r="22" spans="1:18" ht="20.100000000000001" customHeight="1" x14ac:dyDescent="0.25">
      <c r="D22" s="121" t="s">
        <v>294</v>
      </c>
      <c r="N22" s="121" t="s">
        <v>357</v>
      </c>
    </row>
    <row r="23" spans="1:18" ht="20.100000000000001" customHeight="1" x14ac:dyDescent="0.25">
      <c r="A23" s="17"/>
      <c r="D23" s="122" t="s">
        <v>356</v>
      </c>
      <c r="N23" s="122" t="s">
        <v>358</v>
      </c>
    </row>
    <row r="24" spans="1:18" ht="20.100000000000001" customHeight="1" x14ac:dyDescent="0.25">
      <c r="A24" s="17"/>
      <c r="D24" s="51" t="s">
        <v>143</v>
      </c>
      <c r="E24" s="51" t="s">
        <v>144</v>
      </c>
      <c r="F24" s="51" t="s">
        <v>145</v>
      </c>
      <c r="G24" s="51" t="s">
        <v>263</v>
      </c>
      <c r="N24" s="51" t="s">
        <v>143</v>
      </c>
      <c r="O24" s="51" t="s">
        <v>144</v>
      </c>
      <c r="P24" s="51" t="s">
        <v>145</v>
      </c>
      <c r="Q24" s="51" t="s">
        <v>263</v>
      </c>
    </row>
    <row r="25" spans="1:18" ht="20.100000000000001" customHeight="1" x14ac:dyDescent="0.25">
      <c r="D25" s="52">
        <f>'Input - Swine'!E17</f>
        <v>4.5999999999999999E-2</v>
      </c>
      <c r="E25" s="52">
        <f>'Input - Swine'!F17</f>
        <v>4.9000000000000002E-2</v>
      </c>
      <c r="F25" s="52">
        <f>'Input - Swine'!G17</f>
        <v>4.5999999999999999E-2</v>
      </c>
      <c r="G25" s="52">
        <f>'Input - Swine'!H17</f>
        <v>3.1199999999999999E-2</v>
      </c>
      <c r="H25" s="2" t="s">
        <v>287</v>
      </c>
      <c r="N25" s="52">
        <f>'Input - Swine'!E21</f>
        <v>4.5999999999999999E-2</v>
      </c>
      <c r="O25" s="52">
        <f>'Input - Swine'!F21</f>
        <v>4.9000000000000002E-2</v>
      </c>
      <c r="P25" s="52">
        <f>'Input - Swine'!G21</f>
        <v>4.5999999999999999E-2</v>
      </c>
      <c r="Q25" s="52">
        <f>'Input - Swine'!H21</f>
        <v>3.1199999999999999E-2</v>
      </c>
      <c r="R25" s="2" t="s">
        <v>287</v>
      </c>
    </row>
    <row r="26" spans="1:18" ht="20.100000000000001" customHeight="1" x14ac:dyDescent="0.25"/>
    <row r="27" spans="1:18" ht="20.100000000000001" customHeight="1" x14ac:dyDescent="0.25">
      <c r="D27" s="121" t="s">
        <v>225</v>
      </c>
    </row>
    <row r="28" spans="1:18" ht="20.100000000000001" customHeight="1" x14ac:dyDescent="0.25">
      <c r="D28" s="122" t="s">
        <v>295</v>
      </c>
    </row>
    <row r="29" spans="1:18" ht="20.100000000000001" customHeight="1" x14ac:dyDescent="0.25">
      <c r="D29" s="51" t="s">
        <v>143</v>
      </c>
      <c r="E29" s="51" t="s">
        <v>144</v>
      </c>
      <c r="F29" s="51" t="s">
        <v>145</v>
      </c>
      <c r="G29" s="51" t="s">
        <v>263</v>
      </c>
    </row>
    <row r="30" spans="1:18" ht="20.100000000000001" customHeight="1" x14ac:dyDescent="0.25">
      <c r="D30" s="125">
        <f>'Input - Swine'!E10</f>
        <v>365</v>
      </c>
      <c r="E30" s="125">
        <f>'Input - Swine'!F10</f>
        <v>365</v>
      </c>
      <c r="F30" s="125">
        <f>'Input - Swine'!G10</f>
        <v>365</v>
      </c>
      <c r="G30" s="125">
        <f>'Input - Swine'!H10</f>
        <v>365</v>
      </c>
      <c r="H30" s="2" t="s">
        <v>100</v>
      </c>
    </row>
    <row r="31" spans="1:18" ht="20.100000000000001" customHeight="1" x14ac:dyDescent="0.25"/>
    <row r="32" spans="1:18" ht="20.100000000000001" customHeight="1" x14ac:dyDescent="0.25">
      <c r="D32" s="121" t="s">
        <v>359</v>
      </c>
      <c r="N32" s="121" t="s">
        <v>361</v>
      </c>
    </row>
    <row r="33" spans="3:18" ht="20.100000000000001" customHeight="1" x14ac:dyDescent="0.25">
      <c r="D33" s="122" t="s">
        <v>360</v>
      </c>
      <c r="N33" s="122" t="s">
        <v>362</v>
      </c>
    </row>
    <row r="34" spans="3:18" ht="20.100000000000001" customHeight="1" x14ac:dyDescent="0.25">
      <c r="D34" s="51" t="s">
        <v>143</v>
      </c>
      <c r="E34" s="51" t="s">
        <v>144</v>
      </c>
      <c r="F34" s="51" t="s">
        <v>145</v>
      </c>
      <c r="G34" s="51" t="s">
        <v>263</v>
      </c>
      <c r="N34" s="51" t="s">
        <v>143</v>
      </c>
      <c r="O34" s="51" t="s">
        <v>144</v>
      </c>
      <c r="P34" s="51" t="s">
        <v>145</v>
      </c>
      <c r="Q34" s="51" t="s">
        <v>263</v>
      </c>
    </row>
    <row r="35" spans="3:18" ht="20.100000000000001" customHeight="1" x14ac:dyDescent="0.25">
      <c r="D35" s="125" cm="1">
        <f t="array" ref="D35">MMS_Swine_N2ODirect_Equations.VEERG_4_5_1_3__5_AnnualNitrogenExcretion(D20,D25,D30)</f>
        <v>1678.9999999999998</v>
      </c>
      <c r="E35" s="125" cm="1">
        <f t="array" ref="E35">MMS_Swine_N2ODirect_Equations.VEERG_4_5_1_3__5_AnnualNitrogenExcretion(E20,E25,E30)</f>
        <v>1788.5000000000002</v>
      </c>
      <c r="F35" s="125" cm="1">
        <f t="array" ref="F35">MMS_Swine_N2ODirect_Equations.VEERG_4_5_1_3__5_AnnualNitrogenExcretion(F20,F25,F30)</f>
        <v>1678.9999999999998</v>
      </c>
      <c r="G35" s="125" cm="1">
        <f t="array" ref="G35">MMS_Swine_N2ODirect_Equations.VEERG_4_5_1_3__5_AnnualNitrogenExcretion(G20,G25,G30)</f>
        <v>1138.8</v>
      </c>
      <c r="H35" s="2" t="str">
        <f>$E$11</f>
        <v>kg N</v>
      </c>
      <c r="N35" s="125" cm="1">
        <f t="array" ref="N35">MMS_Swine_N2ODirect_Equations.VEERG_4_5_1_3__5_AnnualNitrogenExcretion(D20,N25,D30)</f>
        <v>1678.9999999999998</v>
      </c>
      <c r="O35" s="125" cm="1">
        <f t="array" ref="O35">MMS_Swine_N2ODirect_Equations.VEERG_4_5_1_3__5_AnnualNitrogenExcretion(E20,O25,E30)</f>
        <v>1788.5000000000002</v>
      </c>
      <c r="P35" s="125" cm="1">
        <f t="array" ref="P35">MMS_Swine_N2ODirect_Equations.VEERG_4_5_1_3__5_AnnualNitrogenExcretion(F20,P25,F30)</f>
        <v>1678.9999999999998</v>
      </c>
      <c r="Q35" s="125" cm="1">
        <f t="array" ref="Q35">MMS_Swine_N2ODirect_Equations.VEERG_4_5_1_3__5_AnnualNitrogenExcretion(G20,Q25,G30)</f>
        <v>1138.8</v>
      </c>
      <c r="R35" s="2" t="str">
        <f>$E$11</f>
        <v>kg N</v>
      </c>
    </row>
    <row r="36" spans="3:18" ht="20.100000000000001" customHeight="1" x14ac:dyDescent="0.25"/>
    <row r="37" spans="3:18" ht="20.100000000000001" customHeight="1" x14ac:dyDescent="0.25"/>
    <row r="38" spans="3:18" ht="20.100000000000001" customHeight="1" x14ac:dyDescent="0.25">
      <c r="C38" s="45"/>
      <c r="D38" s="45"/>
      <c r="E38" s="45"/>
      <c r="F38" s="45"/>
      <c r="G38" s="45"/>
      <c r="H38" s="45"/>
      <c r="I38" s="45"/>
      <c r="J38" s="45"/>
    </row>
    <row r="39" spans="3:18" ht="20.100000000000001" customHeight="1" x14ac:dyDescent="0.25">
      <c r="D39" s="6" t="str" cm="1">
        <f t="array" ref="D39">MMS_Swine_N2ODirect_Equations.VEERG_4_5_1_3__3_FractionOfNitrogenInPrimaryMMS_Title()</f>
        <v>Fraction of nitrogen in each primary MMS (excluding solid storage)</v>
      </c>
    </row>
    <row r="40" spans="3:18" ht="20.100000000000001" customHeight="1" x14ac:dyDescent="0.25">
      <c r="D40" s="5" t="str" cm="1">
        <f t="array" ref="D40">MMS_Swine_N2ODirect_Equations.VEERG_4_5_1_3__3_FractionOfNitrogenInPrimaryMMS_Source()</f>
        <v>VEERG 2026: 4.5.1.3, Equation (3)</v>
      </c>
    </row>
    <row r="41" spans="3:18" ht="20.100000000000001" customHeight="1" x14ac:dyDescent="0.25">
      <c r="D41" s="13" t="s">
        <v>26</v>
      </c>
      <c r="E41" s="13" t="str" cm="1">
        <f t="array" aca="1" ref="E41" ca="1">Common_InputFunctions.Utility_DisplayFunctionName($E$71)</f>
        <v>=MMS_Swine_N2ODirect_Equations.VEERG_4_5_1_3__3_FractionOfNitrogenInPrimaryMMS</v>
      </c>
    </row>
    <row r="42" spans="3:18" ht="20.100000000000001" customHeight="1" x14ac:dyDescent="0.25"/>
    <row r="43" spans="3:18" ht="20.100000000000001" customHeight="1" x14ac:dyDescent="0.25"/>
    <row r="44" spans="3:18" ht="20.100000000000001" customHeight="1" x14ac:dyDescent="0.25">
      <c r="D44" s="53" t="s">
        <v>29</v>
      </c>
      <c r="E44" s="1" t="str" cm="1">
        <f t="array" ref="E44">MMS_Swine_N2ODirect_Equations.VEERG_4_5_1_3__3_FractionOfNitrogenInPrimaryMMS_Variable()</f>
        <v>FN_jmT1</v>
      </c>
    </row>
    <row r="45" spans="3:18" ht="20.100000000000001" customHeight="1" x14ac:dyDescent="0.25">
      <c r="D45" s="53" t="s">
        <v>19</v>
      </c>
      <c r="E45" s="1" t="str" cm="1">
        <f t="array" ref="E45">MMS_Swine_N2ODirect_Equations.VEERG_4_5_1_3__3_FractionOfNitrogenInPrimaryMMS_Unit()</f>
        <v>fraction</v>
      </c>
      <c r="F45" s="107" t="s">
        <v>296</v>
      </c>
      <c r="G45" s="138" t="str" cm="1">
        <f t="array" ref="G45">ManureManagement_Swine_Methane.VEERG_4_5_1_1__4_FractionVolatileSolidsPrimarySystem_Source()</f>
        <v>VEERG 2026: 4.5.1.1, Equation (4)</v>
      </c>
      <c r="H45" s="107"/>
    </row>
    <row r="46" spans="3:18" ht="20.100000000000001" customHeight="1" x14ac:dyDescent="0.25"/>
    <row r="47" spans="3:18" ht="20.100000000000001" customHeight="1" x14ac:dyDescent="0.25">
      <c r="D47" s="57" t="str" cm="1">
        <f t="array" ref="D47:E48">MMS_Swine_N2ODirect_Equations.VEERG_4_5_1_3__3_FractionOfNitrogenInPrimaryMMS_Arguments()</f>
        <v>MMS_jmT1</v>
      </c>
      <c r="E47" s="58" t="str">
        <v>fraction of manure in primary MMS</v>
      </c>
      <c r="F47" s="59"/>
      <c r="G47" s="57" t="str">
        <f>"See " &amp; D50</f>
        <v>See Table_MMS_j_m-1-7-9-8_T-1</v>
      </c>
    </row>
    <row r="48" spans="3:18" ht="20.100000000000001" customHeight="1" x14ac:dyDescent="0.25">
      <c r="D48" s="57" t="str">
        <v>SN_m</v>
      </c>
      <c r="E48" s="58" t="str">
        <v>fraction of nitrogen separated to solid storage for each MMS</v>
      </c>
      <c r="F48" s="59"/>
      <c r="G48" s="57" t="str">
        <f>"See " &amp; D59</f>
        <v>See M1_Table_SN_m-1-7-9</v>
      </c>
    </row>
    <row r="49" spans="4:19" ht="20.100000000000001" customHeight="1" x14ac:dyDescent="0.25"/>
    <row r="50" spans="4:19" ht="20.100000000000001" customHeight="1" x14ac:dyDescent="0.25">
      <c r="D50" s="121" t="s">
        <v>167</v>
      </c>
    </row>
    <row r="51" spans="4:19" ht="20.100000000000001" customHeight="1" x14ac:dyDescent="0.25">
      <c r="D51" s="122" t="s">
        <v>297</v>
      </c>
    </row>
    <row r="52" spans="4:19" ht="20.100000000000001" customHeight="1" x14ac:dyDescent="0.25">
      <c r="D52" s="51" t="s">
        <v>169</v>
      </c>
      <c r="E52" s="51" t="s">
        <v>143</v>
      </c>
      <c r="F52" s="51" t="s">
        <v>144</v>
      </c>
      <c r="G52" s="51" t="s">
        <v>145</v>
      </c>
      <c r="H52" s="51" t="s">
        <v>263</v>
      </c>
    </row>
    <row r="53" spans="4:19" ht="20.100000000000001" customHeight="1" x14ac:dyDescent="0.25">
      <c r="D53" s="57" t="str">
        <f>'Input - Swine'!$D$29</f>
        <v>Anaerobic lagoon</v>
      </c>
      <c r="E53" s="52">
        <f>'Input - Swine'!E29</f>
        <v>0.15</v>
      </c>
      <c r="F53" s="52">
        <f>'Input - Swine'!F29</f>
        <v>0.15</v>
      </c>
      <c r="G53" s="52">
        <f>'Input - Swine'!G29</f>
        <v>0.15</v>
      </c>
      <c r="H53" s="52">
        <f>'Input - Swine'!H29</f>
        <v>0.15</v>
      </c>
      <c r="I53" s="2" t="s">
        <v>99</v>
      </c>
    </row>
    <row r="54" spans="4:19" ht="20.100000000000001" customHeight="1" x14ac:dyDescent="0.25">
      <c r="D54" s="57" t="str">
        <f>'Input - Swine'!$D$30</f>
        <v>Drylot (feed pad)</v>
      </c>
      <c r="E54" s="52">
        <f>'Input - Swine'!E30</f>
        <v>0.15</v>
      </c>
      <c r="F54" s="52">
        <f>'Input - Swine'!F30</f>
        <v>0.15</v>
      </c>
      <c r="G54" s="52">
        <f>'Input - Swine'!G30</f>
        <v>0.15</v>
      </c>
      <c r="H54" s="52">
        <f>'Input - Swine'!H30</f>
        <v>0.15</v>
      </c>
      <c r="I54" s="2" t="s">
        <v>99</v>
      </c>
    </row>
    <row r="55" spans="4:19" ht="20.100000000000001" customHeight="1" x14ac:dyDescent="0.25">
      <c r="D55" s="57" t="str">
        <f>'Input - Swine'!$D$31</f>
        <v>Digester / covered lagoons</v>
      </c>
      <c r="E55" s="52">
        <f>'Input - Swine'!E31</f>
        <v>0.15</v>
      </c>
      <c r="F55" s="52">
        <f>'Input - Swine'!F31</f>
        <v>0.15</v>
      </c>
      <c r="G55" s="52">
        <f>'Input - Swine'!G31</f>
        <v>0.15</v>
      </c>
      <c r="H55" s="52">
        <f>'Input - Swine'!H31</f>
        <v>0.15</v>
      </c>
      <c r="I55" s="2" t="s">
        <v>99</v>
      </c>
    </row>
    <row r="56" spans="4:19" ht="20.100000000000001" customHeight="1" x14ac:dyDescent="0.25">
      <c r="D56" s="57" t="str">
        <f>'Input - Swine'!$D$32</f>
        <v>Deep litter</v>
      </c>
      <c r="E56" s="52">
        <f>'Input - Swine'!E32</f>
        <v>0.15</v>
      </c>
      <c r="F56" s="52">
        <f>'Input - Swine'!F32</f>
        <v>0.15</v>
      </c>
      <c r="G56" s="52">
        <f>'Input - Swine'!G32</f>
        <v>0.15</v>
      </c>
      <c r="H56" s="52">
        <f>'Input - Swine'!H32</f>
        <v>0.15</v>
      </c>
      <c r="I56" s="2" t="s">
        <v>99</v>
      </c>
    </row>
    <row r="57" spans="4:19" ht="20.100000000000001" customHeight="1" x14ac:dyDescent="0.25">
      <c r="D57" s="57" t="str">
        <f>'Input - Swine'!$D$33</f>
        <v>Pit storage</v>
      </c>
      <c r="E57" s="52">
        <f>'Input - Swine'!E33</f>
        <v>0.15</v>
      </c>
      <c r="F57" s="52">
        <f>'Input - Swine'!F33</f>
        <v>0.15</v>
      </c>
      <c r="G57" s="52">
        <f>'Input - Swine'!G33</f>
        <v>0.15</v>
      </c>
      <c r="H57" s="52">
        <f>'Input - Swine'!H33</f>
        <v>0.15</v>
      </c>
      <c r="I57" s="2" t="s">
        <v>99</v>
      </c>
    </row>
    <row r="58" spans="4:19" ht="20.100000000000001" customHeight="1" x14ac:dyDescent="0.25"/>
    <row r="59" spans="4:19" ht="20.100000000000001" customHeight="1" x14ac:dyDescent="0.25">
      <c r="D59" s="121" t="s">
        <v>298</v>
      </c>
      <c r="N59" s="121" t="s">
        <v>325</v>
      </c>
    </row>
    <row r="60" spans="4:19" ht="20.100000000000001" customHeight="1" x14ac:dyDescent="0.25">
      <c r="D60" s="122" t="s">
        <v>299</v>
      </c>
      <c r="N60" s="122" t="s">
        <v>326</v>
      </c>
    </row>
    <row r="61" spans="4:19" ht="20.100000000000001" customHeight="1" x14ac:dyDescent="0.25">
      <c r="D61" s="51" t="s">
        <v>169</v>
      </c>
      <c r="E61" s="51" t="s">
        <v>143</v>
      </c>
      <c r="F61" s="51" t="s">
        <v>144</v>
      </c>
      <c r="G61" s="51" t="s">
        <v>145</v>
      </c>
      <c r="H61" s="51" t="s">
        <v>263</v>
      </c>
      <c r="N61" s="51" t="s">
        <v>169</v>
      </c>
      <c r="O61" s="51" t="s">
        <v>143</v>
      </c>
      <c r="P61" s="51" t="s">
        <v>144</v>
      </c>
      <c r="Q61" s="51" t="s">
        <v>145</v>
      </c>
      <c r="R61" s="51" t="s">
        <v>263</v>
      </c>
    </row>
    <row r="62" spans="4:19" ht="20.100000000000001" customHeight="1" x14ac:dyDescent="0.25">
      <c r="D62" s="57" t="str">
        <f>'Input - Swine'!$D$29</f>
        <v>Anaerobic lagoon</v>
      </c>
      <c r="E62" s="52">
        <f>'Input - Swine'!$F$39</f>
        <v>0.2</v>
      </c>
      <c r="F62" s="52">
        <f>'Input - Swine'!$F$39</f>
        <v>0.2</v>
      </c>
      <c r="G62" s="52">
        <f>'Input - Swine'!$F$39</f>
        <v>0.2</v>
      </c>
      <c r="H62" s="52">
        <f>'Input - Swine'!$F$39</f>
        <v>0.2</v>
      </c>
      <c r="I62" s="2" t="s">
        <v>99</v>
      </c>
      <c r="N62" s="57" t="str">
        <f>'Input - Swine'!$D$29</f>
        <v>Anaerobic lagoon</v>
      </c>
      <c r="O62" s="52">
        <f>'Input - Swine'!$G$39</f>
        <v>0.2</v>
      </c>
      <c r="P62" s="52">
        <f>'Input - Swine'!$G$39</f>
        <v>0.2</v>
      </c>
      <c r="Q62" s="52">
        <f>'Input - Swine'!$G$39</f>
        <v>0.2</v>
      </c>
      <c r="R62" s="52">
        <f>'Input - Swine'!$G$39</f>
        <v>0.2</v>
      </c>
      <c r="S62" s="2" t="s">
        <v>99</v>
      </c>
    </row>
    <row r="63" spans="4:19" ht="20.100000000000001" customHeight="1" x14ac:dyDescent="0.25">
      <c r="D63" s="57" t="str">
        <f>'Input - Swine'!$D$30</f>
        <v>Drylot (feed pad)</v>
      </c>
      <c r="E63" s="52">
        <f>'Input - Swine'!$F$40</f>
        <v>0.2</v>
      </c>
      <c r="F63" s="52">
        <f>'Input - Swine'!$F$40</f>
        <v>0.2</v>
      </c>
      <c r="G63" s="52">
        <f>'Input - Swine'!$F$40</f>
        <v>0.2</v>
      </c>
      <c r="H63" s="52">
        <f>'Input - Swine'!$F$40</f>
        <v>0.2</v>
      </c>
      <c r="I63" s="2" t="s">
        <v>99</v>
      </c>
      <c r="N63" s="57" t="str">
        <f>'Input - Swine'!$D$30</f>
        <v>Drylot (feed pad)</v>
      </c>
      <c r="O63" s="52">
        <f>'Input - Swine'!$G$40</f>
        <v>0.2</v>
      </c>
      <c r="P63" s="52">
        <f>'Input - Swine'!$G$40</f>
        <v>0.2</v>
      </c>
      <c r="Q63" s="52">
        <f>'Input - Swine'!$G$40</f>
        <v>0.2</v>
      </c>
      <c r="R63" s="52">
        <f>'Input - Swine'!$G$40</f>
        <v>0.2</v>
      </c>
      <c r="S63" s="2" t="s">
        <v>99</v>
      </c>
    </row>
    <row r="64" spans="4:19" ht="20.100000000000001" customHeight="1" x14ac:dyDescent="0.25">
      <c r="D64" s="57" t="str">
        <f>'Input - Swine'!$D$31</f>
        <v>Digester / covered lagoons</v>
      </c>
      <c r="E64" s="52">
        <f>'Input - Swine'!$F$41</f>
        <v>0.2</v>
      </c>
      <c r="F64" s="52">
        <f>'Input - Swine'!$F$41</f>
        <v>0.2</v>
      </c>
      <c r="G64" s="52">
        <f>'Input - Swine'!$F$41</f>
        <v>0.2</v>
      </c>
      <c r="H64" s="52">
        <f>'Input - Swine'!$F$41</f>
        <v>0.2</v>
      </c>
      <c r="I64" s="2" t="s">
        <v>99</v>
      </c>
      <c r="N64" s="57" t="str">
        <f>'Input - Swine'!$D$31</f>
        <v>Digester / covered lagoons</v>
      </c>
      <c r="O64" s="52">
        <f>'Input - Swine'!$G$41</f>
        <v>0.2</v>
      </c>
      <c r="P64" s="52">
        <f>'Input - Swine'!$G$41</f>
        <v>0.2</v>
      </c>
      <c r="Q64" s="52">
        <f>'Input - Swine'!$G$41</f>
        <v>0.2</v>
      </c>
      <c r="R64" s="52">
        <f>'Input - Swine'!$G$41</f>
        <v>0.2</v>
      </c>
      <c r="S64" s="2" t="s">
        <v>99</v>
      </c>
    </row>
    <row r="65" spans="3:21" ht="20.100000000000001" customHeight="1" x14ac:dyDescent="0.25">
      <c r="D65" s="57" t="str">
        <f>'Input - Swine'!$D$32</f>
        <v>Deep litter</v>
      </c>
      <c r="E65" s="52">
        <f>'Input - Swine'!$F$42</f>
        <v>0.2</v>
      </c>
      <c r="F65" s="52">
        <f>'Input - Swine'!$F$42</f>
        <v>0.2</v>
      </c>
      <c r="G65" s="52">
        <f>'Input - Swine'!$F$42</f>
        <v>0.2</v>
      </c>
      <c r="H65" s="52">
        <f>'Input - Swine'!$F$42</f>
        <v>0.2</v>
      </c>
      <c r="I65" s="2" t="s">
        <v>99</v>
      </c>
      <c r="N65" s="57" t="str">
        <f>'Input - Swine'!$D$32</f>
        <v>Deep litter</v>
      </c>
      <c r="O65" s="52">
        <f>'Input - Swine'!$G$42</f>
        <v>0.2</v>
      </c>
      <c r="P65" s="52">
        <f>'Input - Swine'!$G$42</f>
        <v>0.2</v>
      </c>
      <c r="Q65" s="52">
        <f>'Input - Swine'!$G$42</f>
        <v>0.2</v>
      </c>
      <c r="R65" s="52">
        <f>'Input - Swine'!$G$42</f>
        <v>0.2</v>
      </c>
      <c r="S65" s="2" t="s">
        <v>99</v>
      </c>
    </row>
    <row r="66" spans="3:21" ht="20.100000000000001" customHeight="1" x14ac:dyDescent="0.25">
      <c r="D66" s="57" t="str">
        <f>'Input - Swine'!$D$33</f>
        <v>Pit storage</v>
      </c>
      <c r="E66" s="52">
        <f>'Input - Swine'!$F$43</f>
        <v>0.2</v>
      </c>
      <c r="F66" s="52">
        <f>'Input - Swine'!$F$43</f>
        <v>0.2</v>
      </c>
      <c r="G66" s="52">
        <f>'Input - Swine'!$F$43</f>
        <v>0.2</v>
      </c>
      <c r="H66" s="52">
        <f>'Input - Swine'!$F$43</f>
        <v>0.2</v>
      </c>
      <c r="I66" s="2" t="s">
        <v>99</v>
      </c>
      <c r="N66" s="57" t="str">
        <f>'Input - Swine'!$D$33</f>
        <v>Pit storage</v>
      </c>
      <c r="O66" s="52">
        <f>'Input - Swine'!$G$43</f>
        <v>0.2</v>
      </c>
      <c r="P66" s="52">
        <f>'Input - Swine'!$G$43</f>
        <v>0.2</v>
      </c>
      <c r="Q66" s="52">
        <f>'Input - Swine'!$G$43</f>
        <v>0.2</v>
      </c>
      <c r="R66" s="52">
        <f>'Input - Swine'!$G$43</f>
        <v>0.2</v>
      </c>
      <c r="S66" s="2" t="s">
        <v>99</v>
      </c>
    </row>
    <row r="67" spans="3:21" ht="20.100000000000001" customHeight="1" x14ac:dyDescent="0.25"/>
    <row r="68" spans="3:21" ht="20.100000000000001" customHeight="1" x14ac:dyDescent="0.25">
      <c r="D68" s="121" t="s">
        <v>300</v>
      </c>
      <c r="N68" s="121" t="s">
        <v>331</v>
      </c>
    </row>
    <row r="69" spans="3:21" ht="20.100000000000001" customHeight="1" x14ac:dyDescent="0.25">
      <c r="D69" s="122" t="s">
        <v>305</v>
      </c>
      <c r="N69" s="122" t="s">
        <v>332</v>
      </c>
    </row>
    <row r="70" spans="3:21" ht="20.100000000000001" customHeight="1" x14ac:dyDescent="0.25">
      <c r="D70" s="51" t="s">
        <v>169</v>
      </c>
      <c r="E70" s="51" t="s">
        <v>143</v>
      </c>
      <c r="F70" s="51" t="s">
        <v>144</v>
      </c>
      <c r="G70" s="51" t="s">
        <v>145</v>
      </c>
      <c r="H70" s="51" t="s">
        <v>263</v>
      </c>
      <c r="N70" s="51" t="s">
        <v>169</v>
      </c>
      <c r="O70" s="51" t="s">
        <v>143</v>
      </c>
      <c r="P70" s="51" t="s">
        <v>144</v>
      </c>
      <c r="Q70" s="51" t="s">
        <v>145</v>
      </c>
      <c r="R70" s="51" t="s">
        <v>263</v>
      </c>
    </row>
    <row r="71" spans="3:21" ht="20.100000000000001" customHeight="1" x14ac:dyDescent="0.25">
      <c r="D71" s="57" t="str">
        <f>'Input - Swine'!$D$29</f>
        <v>Anaerobic lagoon</v>
      </c>
      <c r="E71" s="52" cm="1">
        <f t="array" ref="E71">MMS_Swine_N2ODirect_Equations.VEERG_4_5_1_3__3_FractionOfNitrogenInPrimaryMMS(E53,E62)</f>
        <v>0.12</v>
      </c>
      <c r="F71" s="52" cm="1">
        <f t="array" ref="F71">MMS_Swine_N2ODirect_Equations.VEERG_4_5_1_3__3_FractionOfNitrogenInPrimaryMMS(F53,F62)</f>
        <v>0.12</v>
      </c>
      <c r="G71" s="52" cm="1">
        <f t="array" ref="G71">MMS_Swine_N2ODirect_Equations.VEERG_4_5_1_3__3_FractionOfNitrogenInPrimaryMMS(G53,G62)</f>
        <v>0.12</v>
      </c>
      <c r="H71" s="52" cm="1">
        <f t="array" ref="H71">MMS_Swine_N2ODirect_Equations.VEERG_4_5_1_3__3_FractionOfNitrogenInPrimaryMMS(H53,H62)</f>
        <v>0.12</v>
      </c>
      <c r="I71" s="2" t="str">
        <f>$E$45</f>
        <v>fraction</v>
      </c>
      <c r="N71" s="57" t="str">
        <f>'Input - Swine'!$D$29</f>
        <v>Anaerobic lagoon</v>
      </c>
      <c r="O71" s="52" cm="1">
        <f t="array" ref="O71">MMS_Swine_N2ODirect_Equations.VEERG_4_5_1_3__3_FractionOfNitrogenInPrimaryMMS(E53,O62)</f>
        <v>0.12</v>
      </c>
      <c r="P71" s="52" cm="1">
        <f t="array" ref="P71">MMS_Swine_N2ODirect_Equations.VEERG_4_5_1_3__3_FractionOfNitrogenInPrimaryMMS(F53,P62)</f>
        <v>0.12</v>
      </c>
      <c r="Q71" s="52" cm="1">
        <f t="array" ref="Q71">MMS_Swine_N2ODirect_Equations.VEERG_4_5_1_3__3_FractionOfNitrogenInPrimaryMMS(G53,Q62)</f>
        <v>0.12</v>
      </c>
      <c r="R71" s="52" cm="1">
        <f t="array" ref="R71">MMS_Swine_N2ODirect_Equations.VEERG_4_5_1_3__3_FractionOfNitrogenInPrimaryMMS(H53,R62)</f>
        <v>0.12</v>
      </c>
      <c r="S71" s="2" t="str">
        <f>$E$45</f>
        <v>fraction</v>
      </c>
    </row>
    <row r="72" spans="3:21" ht="20.100000000000001" customHeight="1" x14ac:dyDescent="0.25">
      <c r="D72" s="57" t="str">
        <f>'Input - Swine'!$D$30</f>
        <v>Drylot (feed pad)</v>
      </c>
      <c r="E72" s="52" cm="1">
        <f t="array" ref="E72">MMS_Swine_N2ODirect_Equations.VEERG_4_5_1_3__3_FractionOfNitrogenInPrimaryMMS(E54,E63)</f>
        <v>0.12</v>
      </c>
      <c r="F72" s="52" cm="1">
        <f t="array" ref="F72">MMS_Swine_N2ODirect_Equations.VEERG_4_5_1_3__3_FractionOfNitrogenInPrimaryMMS(F54,F63)</f>
        <v>0.12</v>
      </c>
      <c r="G72" s="52" cm="1">
        <f t="array" ref="G72">MMS_Swine_N2ODirect_Equations.VEERG_4_5_1_3__3_FractionOfNitrogenInPrimaryMMS(G54,G63)</f>
        <v>0.12</v>
      </c>
      <c r="H72" s="52" cm="1">
        <f t="array" ref="H72">MMS_Swine_N2ODirect_Equations.VEERG_4_5_1_3__3_FractionOfNitrogenInPrimaryMMS(H54,H63)</f>
        <v>0.12</v>
      </c>
      <c r="I72" s="2" t="str">
        <f t="shared" ref="I72:I75" si="0">$E$45</f>
        <v>fraction</v>
      </c>
      <c r="N72" s="57" t="str">
        <f>'Input - Swine'!$D$30</f>
        <v>Drylot (feed pad)</v>
      </c>
      <c r="O72" s="52" cm="1">
        <f t="array" ref="O72">MMS_Swine_N2ODirect_Equations.VEERG_4_5_1_3__3_FractionOfNitrogenInPrimaryMMS(E54,O63)</f>
        <v>0.12</v>
      </c>
      <c r="P72" s="52" cm="1">
        <f t="array" ref="P72">MMS_Swine_N2ODirect_Equations.VEERG_4_5_1_3__3_FractionOfNitrogenInPrimaryMMS(F54,P63)</f>
        <v>0.12</v>
      </c>
      <c r="Q72" s="52" cm="1">
        <f t="array" ref="Q72">MMS_Swine_N2ODirect_Equations.VEERG_4_5_1_3__3_FractionOfNitrogenInPrimaryMMS(G54,Q63)</f>
        <v>0.12</v>
      </c>
      <c r="R72" s="52" cm="1">
        <f t="array" ref="R72">MMS_Swine_N2ODirect_Equations.VEERG_4_5_1_3__3_FractionOfNitrogenInPrimaryMMS(H54,R63)</f>
        <v>0.12</v>
      </c>
      <c r="S72" s="2" t="str">
        <f t="shared" ref="S72:S75" si="1">$E$45</f>
        <v>fraction</v>
      </c>
    </row>
    <row r="73" spans="3:21" ht="20.100000000000001" customHeight="1" x14ac:dyDescent="0.25">
      <c r="D73" s="57" t="str">
        <f>'Input - Swine'!$D$31</f>
        <v>Digester / covered lagoons</v>
      </c>
      <c r="E73" s="52" cm="1">
        <f t="array" ref="E73">MMS_Swine_N2ODirect_Equations.VEERG_4_5_1_3__3_FractionOfNitrogenInPrimaryMMS(E55,E64)</f>
        <v>0.12</v>
      </c>
      <c r="F73" s="52" cm="1">
        <f t="array" ref="F73">MMS_Swine_N2ODirect_Equations.VEERG_4_5_1_3__3_FractionOfNitrogenInPrimaryMMS(F55,F64)</f>
        <v>0.12</v>
      </c>
      <c r="G73" s="52" cm="1">
        <f t="array" ref="G73">MMS_Swine_N2ODirect_Equations.VEERG_4_5_1_3__3_FractionOfNitrogenInPrimaryMMS(G55,G64)</f>
        <v>0.12</v>
      </c>
      <c r="H73" s="52" cm="1">
        <f t="array" ref="H73">MMS_Swine_N2ODirect_Equations.VEERG_4_5_1_3__3_FractionOfNitrogenInPrimaryMMS(H55,H64)</f>
        <v>0.12</v>
      </c>
      <c r="I73" s="2" t="str">
        <f t="shared" si="0"/>
        <v>fraction</v>
      </c>
      <c r="N73" s="57" t="str">
        <f>'Input - Swine'!$D$31</f>
        <v>Digester / covered lagoons</v>
      </c>
      <c r="O73" s="52" cm="1">
        <f t="array" ref="O73">MMS_Swine_N2ODirect_Equations.VEERG_4_5_1_3__3_FractionOfNitrogenInPrimaryMMS(E55,O64)</f>
        <v>0.12</v>
      </c>
      <c r="P73" s="52" cm="1">
        <f t="array" ref="P73">MMS_Swine_N2ODirect_Equations.VEERG_4_5_1_3__3_FractionOfNitrogenInPrimaryMMS(F55,P64)</f>
        <v>0.12</v>
      </c>
      <c r="Q73" s="52" cm="1">
        <f t="array" ref="Q73">MMS_Swine_N2ODirect_Equations.VEERG_4_5_1_3__3_FractionOfNitrogenInPrimaryMMS(G55,Q64)</f>
        <v>0.12</v>
      </c>
      <c r="R73" s="52" cm="1">
        <f t="array" ref="R73">MMS_Swine_N2ODirect_Equations.VEERG_4_5_1_3__3_FractionOfNitrogenInPrimaryMMS(H55,R64)</f>
        <v>0.12</v>
      </c>
      <c r="S73" s="2" t="str">
        <f t="shared" si="1"/>
        <v>fraction</v>
      </c>
    </row>
    <row r="74" spans="3:21" ht="20.100000000000001" customHeight="1" x14ac:dyDescent="0.25">
      <c r="D74" s="57" t="str">
        <f>'Input - Swine'!$D$32</f>
        <v>Deep litter</v>
      </c>
      <c r="E74" s="52" cm="1">
        <f t="array" ref="E74">MMS_Swine_N2ODirect_Equations.VEERG_4_5_1_3__3_FractionOfNitrogenInPrimaryMMS(E56,E65)</f>
        <v>0.12</v>
      </c>
      <c r="F74" s="52" cm="1">
        <f t="array" ref="F74">MMS_Swine_N2ODirect_Equations.VEERG_4_5_1_3__3_FractionOfNitrogenInPrimaryMMS(F56,F65)</f>
        <v>0.12</v>
      </c>
      <c r="G74" s="52" cm="1">
        <f t="array" ref="G74">MMS_Swine_N2ODirect_Equations.VEERG_4_5_1_3__3_FractionOfNitrogenInPrimaryMMS(G56,G65)</f>
        <v>0.12</v>
      </c>
      <c r="H74" s="52" cm="1">
        <f t="array" ref="H74">MMS_Swine_N2ODirect_Equations.VEERG_4_5_1_3__3_FractionOfNitrogenInPrimaryMMS(H56,H65)</f>
        <v>0.12</v>
      </c>
      <c r="I74" s="2" t="str">
        <f t="shared" si="0"/>
        <v>fraction</v>
      </c>
      <c r="N74" s="57" t="str">
        <f>'Input - Swine'!$D$32</f>
        <v>Deep litter</v>
      </c>
      <c r="O74" s="52" cm="1">
        <f t="array" ref="O74">MMS_Swine_N2ODirect_Equations.VEERG_4_5_1_3__3_FractionOfNitrogenInPrimaryMMS(E56,O65)</f>
        <v>0.12</v>
      </c>
      <c r="P74" s="52" cm="1">
        <f t="array" ref="P74">MMS_Swine_N2ODirect_Equations.VEERG_4_5_1_3__3_FractionOfNitrogenInPrimaryMMS(F56,P65)</f>
        <v>0.12</v>
      </c>
      <c r="Q74" s="52" cm="1">
        <f t="array" ref="Q74">MMS_Swine_N2ODirect_Equations.VEERG_4_5_1_3__3_FractionOfNitrogenInPrimaryMMS(G56,Q65)</f>
        <v>0.12</v>
      </c>
      <c r="R74" s="52" cm="1">
        <f t="array" ref="R74">MMS_Swine_N2ODirect_Equations.VEERG_4_5_1_3__3_FractionOfNitrogenInPrimaryMMS(H56,R65)</f>
        <v>0.12</v>
      </c>
      <c r="S74" s="2" t="str">
        <f t="shared" si="1"/>
        <v>fraction</v>
      </c>
    </row>
    <row r="75" spans="3:21" ht="20.100000000000001" customHeight="1" x14ac:dyDescent="0.25">
      <c r="D75" s="57" t="str">
        <f>'Input - Swine'!$D$33</f>
        <v>Pit storage</v>
      </c>
      <c r="E75" s="52" cm="1">
        <f t="array" ref="E75">MMS_Swine_N2ODirect_Equations.VEERG_4_5_1_3__3_FractionOfNitrogenInPrimaryMMS(E57,E66)</f>
        <v>0.12</v>
      </c>
      <c r="F75" s="52" cm="1">
        <f t="array" ref="F75">MMS_Swine_N2ODirect_Equations.VEERG_4_5_1_3__3_FractionOfNitrogenInPrimaryMMS(F57,F66)</f>
        <v>0.12</v>
      </c>
      <c r="G75" s="52" cm="1">
        <f t="array" ref="G75">MMS_Swine_N2ODirect_Equations.VEERG_4_5_1_3__3_FractionOfNitrogenInPrimaryMMS(G57,G66)</f>
        <v>0.12</v>
      </c>
      <c r="H75" s="52" cm="1">
        <f t="array" ref="H75">MMS_Swine_N2ODirect_Equations.VEERG_4_5_1_3__3_FractionOfNitrogenInPrimaryMMS(H57,H66)</f>
        <v>0.12</v>
      </c>
      <c r="I75" s="2" t="str">
        <f t="shared" si="0"/>
        <v>fraction</v>
      </c>
      <c r="N75" s="57" t="str">
        <f>'Input - Swine'!$D$33</f>
        <v>Pit storage</v>
      </c>
      <c r="O75" s="52" cm="1">
        <f t="array" ref="O75">MMS_Swine_N2ODirect_Equations.VEERG_4_5_1_3__3_FractionOfNitrogenInPrimaryMMS(E57,O66)</f>
        <v>0.12</v>
      </c>
      <c r="P75" s="52" cm="1">
        <f t="array" ref="P75">MMS_Swine_N2ODirect_Equations.VEERG_4_5_1_3__3_FractionOfNitrogenInPrimaryMMS(F57,P66)</f>
        <v>0.12</v>
      </c>
      <c r="Q75" s="52" cm="1">
        <f t="array" ref="Q75">MMS_Swine_N2ODirect_Equations.VEERG_4_5_1_3__3_FractionOfNitrogenInPrimaryMMS(G57,Q66)</f>
        <v>0.12</v>
      </c>
      <c r="R75" s="52" cm="1">
        <f t="array" ref="R75">MMS_Swine_N2ODirect_Equations.VEERG_4_5_1_3__3_FractionOfNitrogenInPrimaryMMS(H57,R66)</f>
        <v>0.12</v>
      </c>
      <c r="S75" s="2" t="str">
        <f t="shared" si="1"/>
        <v>fraction</v>
      </c>
    </row>
    <row r="76" spans="3:21" ht="20.100000000000001" customHeight="1" x14ac:dyDescent="0.25"/>
    <row r="77" spans="3:21" ht="20.100000000000001" customHeight="1" x14ac:dyDescent="0.25"/>
    <row r="78" spans="3:21" ht="20.100000000000001" customHeight="1" x14ac:dyDescent="0.25">
      <c r="C78" s="45"/>
      <c r="D78" s="45"/>
      <c r="E78" s="45"/>
      <c r="F78" s="45"/>
      <c r="G78" s="45"/>
      <c r="H78" s="45"/>
      <c r="I78" s="45"/>
      <c r="J78" s="45"/>
      <c r="K78" s="45"/>
      <c r="M78" s="45"/>
      <c r="N78" s="45"/>
      <c r="O78" s="45"/>
      <c r="P78" s="45"/>
      <c r="Q78" s="45"/>
      <c r="R78" s="45"/>
      <c r="S78" s="45"/>
      <c r="T78" s="45"/>
      <c r="U78" s="45"/>
    </row>
    <row r="79" spans="3:21" ht="20.100000000000001" customHeight="1" x14ac:dyDescent="0.25">
      <c r="D79" s="6" t="str" cm="1">
        <f t="array" ref="D79">MMS_Swine_N2ODirect_Equations.VEERG_4_5_1_3__4_FractionOfNitrogenInSolidStorage_Title()</f>
        <v>Fraction of nitrogen in solid storage</v>
      </c>
    </row>
    <row r="80" spans="3:21" ht="20.100000000000001" customHeight="1" x14ac:dyDescent="0.25">
      <c r="D80" s="5" t="str" cm="1">
        <f t="array" ref="D80">MMS_Swine_N2ODirect_Equations.VEERG_4_5_1_3__4_FractionOfNitrogenInSolidStorage_Source()</f>
        <v>VEERG 2026: 4.5.1.3, Equation (4)</v>
      </c>
    </row>
    <row r="81" spans="4:9" ht="20.100000000000001" customHeight="1" x14ac:dyDescent="0.25">
      <c r="D81" s="55" t="str" cm="1">
        <f t="array" ref="D81">MMS_Swine_N2ODirect_Equations.VEERG_4_5_1_3__4_FractionOfNitrogenInSolidStorage_Variation()</f>
        <v>VARIATION ON SOURCE: Split equation for MMSm=1,7,9 into separate items to allow for calculation</v>
      </c>
    </row>
    <row r="82" spans="4:9" ht="20.100000000000001" customHeight="1" x14ac:dyDescent="0.25">
      <c r="D82" s="13" t="s">
        <v>26</v>
      </c>
      <c r="E82" s="13" t="str" cm="1">
        <f t="array" aca="1" ref="E82" ca="1">Common_InputFunctions.Utility_DisplayFunctionName($E$100)</f>
        <v>=MMS_Swine_N2ODirect_Equations.VEERG_4_5_1_3__4_FractionOfNitrogenInSolidStorageVariation</v>
      </c>
    </row>
    <row r="83" spans="4:9" ht="20.100000000000001" customHeight="1" x14ac:dyDescent="0.25">
      <c r="D83" s="55"/>
    </row>
    <row r="84" spans="4:9" ht="20.100000000000001" customHeight="1" x14ac:dyDescent="0.25"/>
    <row r="85" spans="4:9" ht="20.100000000000001" customHeight="1" x14ac:dyDescent="0.25">
      <c r="D85" s="53" t="s">
        <v>29</v>
      </c>
      <c r="E85" s="1" t="str" cm="1">
        <f t="array" ref="E85">MMS_Swine_N2ODirect_Equations.VEERG_4_5_1_3__4_FractionOfNitrogenInSolidStorage_Variable()</f>
        <v>FN_jm4T1</v>
      </c>
    </row>
    <row r="86" spans="4:9" ht="20.100000000000001" customHeight="1" x14ac:dyDescent="0.25">
      <c r="D86" s="53" t="s">
        <v>19</v>
      </c>
      <c r="E86" s="54" t="str" cm="1">
        <f t="array" ref="E86">MMS_Swine_N2ODirect_Equations.VEERG_4_5_1_3__4_FractionOfNitrogenInSolidStorage_Unit()</f>
        <v>fraction</v>
      </c>
      <c r="F86" s="107" t="s">
        <v>296</v>
      </c>
      <c r="G86" s="138" t="str" cm="1">
        <f t="array" ref="G86">ManureManagement_Swine_Methane.VEERG_4_5_1_1__5_FractionVolatileSolidsSolidStorage_Source()</f>
        <v>VEERG 2026: 4.5.1.1, Equation (5)</v>
      </c>
      <c r="H86" s="107"/>
    </row>
    <row r="87" spans="4:9" ht="20.100000000000001" customHeight="1" x14ac:dyDescent="0.25"/>
    <row r="88" spans="4:9" ht="20.100000000000001" customHeight="1" x14ac:dyDescent="0.25">
      <c r="D88" s="57" t="str" cm="1">
        <f t="array" ref="D88:E90">MMS_Swine_N2ODirect_Equations.VEERG_4_5_1_3__4_FractionOfNitrogenInSolidStorage_Arguments()</f>
        <v>MMS_jm4T1</v>
      </c>
      <c r="E88" s="58" t="str">
        <v>fraction of manure in solid storage MMS</v>
      </c>
      <c r="F88" s="59"/>
      <c r="G88" s="57" t="str">
        <f>"See " &amp; $D$92</f>
        <v>See Table_MMS_j_m-4_T-1</v>
      </c>
    </row>
    <row r="89" spans="4:9" ht="20.100000000000001" customHeight="1" x14ac:dyDescent="0.25">
      <c r="D89" s="57" t="str">
        <v>MMS_jm179T1</v>
      </c>
      <c r="E89" s="58" t="str">
        <v>fraction of manure in primary liquid systems (m=1,7,9)</v>
      </c>
      <c r="F89" s="59"/>
      <c r="G89" s="57" t="str">
        <f>"See " &amp; $D$50</f>
        <v>See Table_MMS_j_m-1-7-9-8_T-1</v>
      </c>
    </row>
    <row r="90" spans="4:9" ht="20.100000000000001" customHeight="1" x14ac:dyDescent="0.25">
      <c r="D90" s="57" t="str">
        <v>SN_m</v>
      </c>
      <c r="E90" s="58" t="str">
        <v>fraction of nitrogen separated to solid storage for each MMS</v>
      </c>
      <c r="F90" s="59"/>
      <c r="G90" s="57" t="str">
        <f>"See " &amp; $D$59</f>
        <v>See M1_Table_SN_m-1-7-9</v>
      </c>
    </row>
    <row r="91" spans="4:9" ht="20.100000000000001" customHeight="1" x14ac:dyDescent="0.25"/>
    <row r="92" spans="4:9" ht="20.100000000000001" customHeight="1" x14ac:dyDescent="0.25">
      <c r="D92" s="121" t="s">
        <v>181</v>
      </c>
    </row>
    <row r="93" spans="4:9" ht="20.100000000000001" customHeight="1" x14ac:dyDescent="0.25">
      <c r="D93" s="122" t="s">
        <v>182</v>
      </c>
    </row>
    <row r="94" spans="4:9" ht="20.100000000000001" customHeight="1" x14ac:dyDescent="0.25">
      <c r="D94" s="51" t="s">
        <v>169</v>
      </c>
      <c r="E94" s="51" t="s">
        <v>143</v>
      </c>
      <c r="F94" s="51" t="s">
        <v>144</v>
      </c>
      <c r="G94" s="51" t="s">
        <v>145</v>
      </c>
      <c r="H94" s="51" t="s">
        <v>263</v>
      </c>
    </row>
    <row r="95" spans="4:9" ht="20.100000000000001" customHeight="1" x14ac:dyDescent="0.25">
      <c r="D95" s="57" t="str">
        <f>'Input - Swine'!$D$34</f>
        <v>Solid storage</v>
      </c>
      <c r="E95" s="52">
        <f>'Input - Swine'!E34</f>
        <v>0.25</v>
      </c>
      <c r="F95" s="52">
        <f>'Input - Swine'!F34</f>
        <v>0.25</v>
      </c>
      <c r="G95" s="52">
        <f>'Input - Swine'!G34</f>
        <v>0.25</v>
      </c>
      <c r="H95" s="52">
        <f>'Input - Swine'!H34</f>
        <v>0.25</v>
      </c>
      <c r="I95" s="2" t="s">
        <v>99</v>
      </c>
    </row>
    <row r="96" spans="4:9" ht="20.100000000000001" customHeight="1" x14ac:dyDescent="0.25"/>
    <row r="97" spans="3:21" ht="20.100000000000001" customHeight="1" x14ac:dyDescent="0.25">
      <c r="D97" s="121" t="s">
        <v>253</v>
      </c>
      <c r="N97" s="121" t="s">
        <v>267</v>
      </c>
    </row>
    <row r="98" spans="3:21" ht="20.100000000000001" customHeight="1" x14ac:dyDescent="0.25">
      <c r="D98" s="122" t="s">
        <v>254</v>
      </c>
      <c r="N98" s="122" t="s">
        <v>268</v>
      </c>
    </row>
    <row r="99" spans="3:21" ht="20.100000000000001" customHeight="1" x14ac:dyDescent="0.25">
      <c r="D99" s="51" t="s">
        <v>169</v>
      </c>
      <c r="E99" s="51" t="s">
        <v>143</v>
      </c>
      <c r="F99" s="51" t="s">
        <v>144</v>
      </c>
      <c r="G99" s="51" t="s">
        <v>145</v>
      </c>
      <c r="H99" s="51" t="s">
        <v>263</v>
      </c>
      <c r="N99" s="51" t="s">
        <v>169</v>
      </c>
      <c r="O99" s="51" t="s">
        <v>143</v>
      </c>
      <c r="P99" s="51" t="s">
        <v>144</v>
      </c>
      <c r="Q99" s="51" t="s">
        <v>145</v>
      </c>
      <c r="R99" s="51" t="s">
        <v>263</v>
      </c>
    </row>
    <row r="100" spans="3:21" ht="20.100000000000001" customHeight="1" x14ac:dyDescent="0.25">
      <c r="D100" s="57" t="str">
        <f>'Input - Swine'!$D$34</f>
        <v>Solid storage</v>
      </c>
      <c r="E100" s="52" cm="1">
        <f t="array" ref="E100">MMS_Swine_N2ODirect_Equations.VEERG_4_5_1_3__4_FractionOfNitrogenInSolidStorageVariation(E95,E53,E54,E55,E56,E57,E62,E63,E64,E65,E66)</f>
        <v>0.40000000000000013</v>
      </c>
      <c r="F100" s="52" cm="1">
        <f t="array" ref="F100">MMS_Swine_N2ODirect_Equations.VEERG_4_5_1_3__4_FractionOfNitrogenInSolidStorageVariation(F95,F53,F54,F55,F56,F57,F62,F63,F64,F65,F66)</f>
        <v>0.40000000000000013</v>
      </c>
      <c r="G100" s="52" cm="1">
        <f t="array" ref="G100">MMS_Swine_N2ODirect_Equations.VEERG_4_5_1_3__4_FractionOfNitrogenInSolidStorageVariation(G95,G53,G54,G55,G56,G57,G62,G63,G64,G65,G66)</f>
        <v>0.40000000000000013</v>
      </c>
      <c r="H100" s="52" cm="1">
        <f t="array" ref="H100">MMS_Swine_N2ODirect_Equations.VEERG_4_5_1_3__4_FractionOfNitrogenInSolidStorageVariation(H95,H53,H54,H55,H56,H57,H62,H63,H64,H65,H66)</f>
        <v>0.40000000000000013</v>
      </c>
      <c r="I100" s="2" t="str">
        <f>$E$86</f>
        <v>fraction</v>
      </c>
      <c r="N100" s="57" t="str">
        <f>'Input - Swine'!$D$34</f>
        <v>Solid storage</v>
      </c>
      <c r="O100" s="52" cm="1">
        <f t="array" ref="O100">MMS_Swine_N2ODirect_Equations.VEERG_4_5_1_3__4_FractionOfNitrogenInSolidStorageVariation(E95,E53,E54,E55,E56,E57,O62,O63,O64,O65,O66)</f>
        <v>0.40000000000000013</v>
      </c>
      <c r="P100" s="52" cm="1">
        <f t="array" ref="P100">MMS_Swine_N2ODirect_Equations.VEERG_4_5_1_3__4_FractionOfNitrogenInSolidStorageVariation(F95,F53,F54,F55,F56,F57,P62,P63,P64,P65,P66)</f>
        <v>0.40000000000000013</v>
      </c>
      <c r="Q100" s="52" cm="1">
        <f t="array" ref="Q100">MMS_Swine_N2ODirect_Equations.VEERG_4_5_1_3__4_FractionOfNitrogenInSolidStorageVariation(G95,G53,G54,G55,G56,G57,Q62,Q63,Q64,Q65,Q66)</f>
        <v>0.40000000000000013</v>
      </c>
      <c r="R100" s="52" cm="1">
        <f t="array" ref="R100">MMS_Swine_N2ODirect_Equations.VEERG_4_5_1_3__4_FractionOfNitrogenInSolidStorageVariation(H95,H53,H54,H55,H56,H57,R62,R63,R64,R65,R66)</f>
        <v>0.40000000000000013</v>
      </c>
      <c r="S100" s="2" t="str">
        <f>$E$86</f>
        <v>fraction</v>
      </c>
    </row>
    <row r="101" spans="3:21" ht="20.100000000000001" customHeight="1" x14ac:dyDescent="0.25"/>
    <row r="102" spans="3:21" ht="20.100000000000001" customHeight="1" x14ac:dyDescent="0.25"/>
    <row r="103" spans="3:21" ht="20.100000000000001" customHeight="1" x14ac:dyDescent="0.25">
      <c r="C103" s="45"/>
      <c r="D103" s="45"/>
      <c r="E103" s="45"/>
      <c r="F103" s="45"/>
      <c r="G103" s="45"/>
      <c r="H103" s="45"/>
      <c r="I103" s="45"/>
      <c r="J103" s="45"/>
      <c r="K103" s="45"/>
      <c r="M103" s="45"/>
      <c r="N103" s="45"/>
      <c r="O103" s="45"/>
      <c r="P103" s="45"/>
      <c r="Q103" s="45"/>
      <c r="R103" s="45"/>
      <c r="S103" s="45"/>
      <c r="T103" s="45"/>
      <c r="U103" s="45"/>
    </row>
    <row r="104" spans="3:21" ht="20.100000000000001" customHeight="1" x14ac:dyDescent="0.25">
      <c r="D104" s="6" t="str" cm="1">
        <f t="array" ref="D104">MMS_Swine_N2ODirect_Equations.VEERG_4_5_1_3__2_Stage1NitrogenInMMS_Title()</f>
        <v>Nitrogen in treatment stage 1 MMS</v>
      </c>
    </row>
    <row r="105" spans="3:21" ht="20.100000000000001" customHeight="1" x14ac:dyDescent="0.25">
      <c r="D105" s="5" t="str" cm="1">
        <f t="array" ref="D105">MMS_Swine_N2ODirect_Equations.VEERG_4_5_1_3__2_Stage1NitrogenInMMS_Source()</f>
        <v>VEERG 2026: 4.5.1.3, Equation (2)</v>
      </c>
    </row>
    <row r="106" spans="3:21" ht="20.100000000000001" customHeight="1" x14ac:dyDescent="0.25">
      <c r="D106" s="13" t="s">
        <v>26</v>
      </c>
      <c r="E106" s="13" t="str" cm="1">
        <f t="array" aca="1" ref="E106" ca="1">Common_InputFunctions.Utility_DisplayFunctionName(E118)</f>
        <v>=MMS_Swine_N2ODirect_Equations.VEERG_4_5_1_3__2_Stage1NitrogenInMMS</v>
      </c>
    </row>
    <row r="107" spans="3:21" ht="20.100000000000001" customHeight="1" x14ac:dyDescent="0.25"/>
    <row r="108" spans="3:21" ht="20.100000000000001" customHeight="1" x14ac:dyDescent="0.25"/>
    <row r="109" spans="3:21" ht="20.100000000000001" customHeight="1" x14ac:dyDescent="0.25">
      <c r="D109" s="53" t="s">
        <v>29</v>
      </c>
      <c r="E109" s="1" t="str" cm="1">
        <f t="array" ref="E109">MMS_Swine_N2ODirect_Equations.VEERG_4_5_1_3__2_Stage1NitrogenInMMS_Variable()</f>
        <v>MN_jmT1</v>
      </c>
    </row>
    <row r="110" spans="3:21" ht="20.100000000000001" customHeight="1" x14ac:dyDescent="0.25">
      <c r="D110" s="53" t="s">
        <v>19</v>
      </c>
      <c r="E110" s="54" t="str" cm="1">
        <f t="array" ref="E110">MMS_Swine_N2ODirect_Equations.VEERG_4_5_1_3__2_Stage1NitrogenInMMS_Unit()</f>
        <v>kg N</v>
      </c>
    </row>
    <row r="111" spans="3:21" ht="20.100000000000001" customHeight="1" x14ac:dyDescent="0.25"/>
    <row r="112" spans="3:21" ht="20.100000000000001" customHeight="1" x14ac:dyDescent="0.25">
      <c r="D112" s="57" t="str" cm="1">
        <f t="array" ref="D112:E113">MMS_Swine_N2ODirect_Equations.VEERG_4_5_1_3__2_Stage1NitrogenInMMS_Arguments()</f>
        <v>AE_j</v>
      </c>
      <c r="E112" s="58" t="str">
        <v>total nitrogen excreted by each swine class (kg N)</v>
      </c>
      <c r="F112" s="59"/>
      <c r="G112" s="58" t="str">
        <f>"See " &amp; D32</f>
        <v>See M1_Table_AE_j</v>
      </c>
      <c r="H112" s="59"/>
    </row>
    <row r="113" spans="3:21" ht="20.100000000000001" customHeight="1" x14ac:dyDescent="0.25">
      <c r="D113" s="57" t="str">
        <v>FN_jmT1</v>
      </c>
      <c r="E113" s="58" t="str">
        <v>fraction of nitrogen in each primary MMS system</v>
      </c>
      <c r="F113" s="59"/>
      <c r="G113" s="58" t="str">
        <f>"See " &amp; D68 &amp; " and " &amp; D97</f>
        <v>See M1_Table_FN_j_m_T-1 and M1_Table_FVS_j_m-4_T-1</v>
      </c>
      <c r="H113" s="59"/>
    </row>
    <row r="114" spans="3:21" ht="20.100000000000001" customHeight="1" x14ac:dyDescent="0.25"/>
    <row r="115" spans="3:21" ht="20.100000000000001" customHeight="1" x14ac:dyDescent="0.25">
      <c r="D115" s="121" t="s">
        <v>306</v>
      </c>
      <c r="N115" s="121" t="s">
        <v>327</v>
      </c>
    </row>
    <row r="116" spans="3:21" ht="20.100000000000001" customHeight="1" x14ac:dyDescent="0.25">
      <c r="D116" s="122" t="s">
        <v>307</v>
      </c>
      <c r="N116" s="122" t="s">
        <v>328</v>
      </c>
    </row>
    <row r="117" spans="3:21" ht="20.100000000000001" customHeight="1" x14ac:dyDescent="0.25">
      <c r="D117" s="51" t="s">
        <v>169</v>
      </c>
      <c r="E117" s="51" t="s">
        <v>143</v>
      </c>
      <c r="F117" s="51" t="s">
        <v>144</v>
      </c>
      <c r="G117" s="51" t="s">
        <v>145</v>
      </c>
      <c r="H117" s="51" t="s">
        <v>263</v>
      </c>
      <c r="N117" s="51" t="s">
        <v>169</v>
      </c>
      <c r="O117" s="51" t="s">
        <v>143</v>
      </c>
      <c r="P117" s="51" t="s">
        <v>144</v>
      </c>
      <c r="Q117" s="51" t="s">
        <v>145</v>
      </c>
      <c r="R117" s="51" t="s">
        <v>263</v>
      </c>
    </row>
    <row r="118" spans="3:21" ht="20.100000000000001" customHeight="1" x14ac:dyDescent="0.25">
      <c r="D118" s="57" t="str">
        <f>'Input - Swine'!$D$29</f>
        <v>Anaerobic lagoon</v>
      </c>
      <c r="E118" s="52" cm="1">
        <f t="array" ref="E118">MMS_Swine_N2ODirect_Equations.VEERG_4_5_1_3__2_Stage1NitrogenInMMS(D$35,E71)</f>
        <v>201.47999999999996</v>
      </c>
      <c r="F118" s="52" cm="1">
        <f t="array" ref="F118">MMS_Swine_N2ODirect_Equations.VEERG_4_5_1_3__2_Stage1NitrogenInMMS(E$35,F71)</f>
        <v>214.62000000000003</v>
      </c>
      <c r="G118" s="52" cm="1">
        <f t="array" ref="G118">MMS_Swine_N2ODirect_Equations.VEERG_4_5_1_3__2_Stage1NitrogenInMMS(F$35,G71)</f>
        <v>201.47999999999996</v>
      </c>
      <c r="H118" s="52" cm="1">
        <f t="array" ref="H118">MMS_Swine_N2ODirect_Equations.VEERG_4_5_1_3__2_Stage1NitrogenInMMS(G$35,H71)</f>
        <v>136.65599999999998</v>
      </c>
      <c r="I118" s="2" t="str">
        <f t="shared" ref="I118:I123" si="2">$E$110</f>
        <v>kg N</v>
      </c>
      <c r="N118" s="57" t="str">
        <f>'Input - Swine'!$D$29</f>
        <v>Anaerobic lagoon</v>
      </c>
      <c r="O118" s="52" cm="1">
        <f t="array" ref="O118">MMS_Swine_N2ODirect_Equations.VEERG_4_5_1_3__2_Stage1NitrogenInMMS(N$35,O71)</f>
        <v>201.47999999999996</v>
      </c>
      <c r="P118" s="52" cm="1">
        <f t="array" ref="P118">MMS_Swine_N2ODirect_Equations.VEERG_4_5_1_3__2_Stage1NitrogenInMMS(O$35,P71)</f>
        <v>214.62000000000003</v>
      </c>
      <c r="Q118" s="52" cm="1">
        <f t="array" ref="Q118">MMS_Swine_N2ODirect_Equations.VEERG_4_5_1_3__2_Stage1NitrogenInMMS(P$35,Q71)</f>
        <v>201.47999999999996</v>
      </c>
      <c r="R118" s="52" cm="1">
        <f t="array" ref="R118">MMS_Swine_N2ODirect_Equations.VEERG_4_5_1_3__2_Stage1NitrogenInMMS(Q$35,R71)</f>
        <v>136.65599999999998</v>
      </c>
      <c r="S118" s="2" t="str">
        <f t="shared" ref="S118:S123" si="3">$E$110</f>
        <v>kg N</v>
      </c>
    </row>
    <row r="119" spans="3:21" ht="20.100000000000001" customHeight="1" x14ac:dyDescent="0.25">
      <c r="D119" s="57" t="str">
        <f>'Input - Swine'!$D$30</f>
        <v>Drylot (feed pad)</v>
      </c>
      <c r="E119" s="52" cm="1">
        <f t="array" ref="E119">MMS_Swine_N2ODirect_Equations.VEERG_4_5_1_3__2_Stage1NitrogenInMMS(D$35,E72)</f>
        <v>201.47999999999996</v>
      </c>
      <c r="F119" s="52" cm="1">
        <f t="array" ref="F119">MMS_Swine_N2ODirect_Equations.VEERG_4_5_1_3__2_Stage1NitrogenInMMS(E$35,F72)</f>
        <v>214.62000000000003</v>
      </c>
      <c r="G119" s="52" cm="1">
        <f t="array" ref="G119">MMS_Swine_N2ODirect_Equations.VEERG_4_5_1_3__2_Stage1NitrogenInMMS(F$35,G72)</f>
        <v>201.47999999999996</v>
      </c>
      <c r="H119" s="52" cm="1">
        <f t="array" ref="H119">MMS_Swine_N2ODirect_Equations.VEERG_4_5_1_3__2_Stage1NitrogenInMMS(G$35,H72)</f>
        <v>136.65599999999998</v>
      </c>
      <c r="I119" s="2" t="str">
        <f t="shared" si="2"/>
        <v>kg N</v>
      </c>
      <c r="N119" s="57" t="str">
        <f>'Input - Swine'!$D$30</f>
        <v>Drylot (feed pad)</v>
      </c>
      <c r="O119" s="52" cm="1">
        <f t="array" ref="O119">MMS_Swine_N2ODirect_Equations.VEERG_4_5_1_3__2_Stage1NitrogenInMMS(N$35,O72)</f>
        <v>201.47999999999996</v>
      </c>
      <c r="P119" s="52" cm="1">
        <f t="array" ref="P119">MMS_Swine_N2ODirect_Equations.VEERG_4_5_1_3__2_Stage1NitrogenInMMS(O$35,P72)</f>
        <v>214.62000000000003</v>
      </c>
      <c r="Q119" s="52" cm="1">
        <f t="array" ref="Q119">MMS_Swine_N2ODirect_Equations.VEERG_4_5_1_3__2_Stage1NitrogenInMMS(P$35,Q72)</f>
        <v>201.47999999999996</v>
      </c>
      <c r="R119" s="52" cm="1">
        <f t="array" ref="R119">MMS_Swine_N2ODirect_Equations.VEERG_4_5_1_3__2_Stage1NitrogenInMMS(Q$35,R72)</f>
        <v>136.65599999999998</v>
      </c>
      <c r="S119" s="2" t="str">
        <f t="shared" si="3"/>
        <v>kg N</v>
      </c>
    </row>
    <row r="120" spans="3:21" ht="20.100000000000001" customHeight="1" x14ac:dyDescent="0.25">
      <c r="D120" s="57" t="str">
        <f>'Input - Swine'!$D$31</f>
        <v>Digester / covered lagoons</v>
      </c>
      <c r="E120" s="52" cm="1">
        <f t="array" ref="E120">MMS_Swine_N2ODirect_Equations.VEERG_4_5_1_3__2_Stage1NitrogenInMMS(D$35,E73)</f>
        <v>201.47999999999996</v>
      </c>
      <c r="F120" s="52" cm="1">
        <f t="array" ref="F120">MMS_Swine_N2ODirect_Equations.VEERG_4_5_1_3__2_Stage1NitrogenInMMS(E$35,F73)</f>
        <v>214.62000000000003</v>
      </c>
      <c r="G120" s="52" cm="1">
        <f t="array" ref="G120">MMS_Swine_N2ODirect_Equations.VEERG_4_5_1_3__2_Stage1NitrogenInMMS(F$35,G73)</f>
        <v>201.47999999999996</v>
      </c>
      <c r="H120" s="52" cm="1">
        <f t="array" ref="H120">MMS_Swine_N2ODirect_Equations.VEERG_4_5_1_3__2_Stage1NitrogenInMMS(G$35,H73)</f>
        <v>136.65599999999998</v>
      </c>
      <c r="I120" s="2" t="str">
        <f t="shared" si="2"/>
        <v>kg N</v>
      </c>
      <c r="N120" s="57" t="str">
        <f>'Input - Swine'!$D$31</f>
        <v>Digester / covered lagoons</v>
      </c>
      <c r="O120" s="52" cm="1">
        <f t="array" ref="O120">MMS_Swine_N2ODirect_Equations.VEERG_4_5_1_3__2_Stage1NitrogenInMMS(N$35,O73)</f>
        <v>201.47999999999996</v>
      </c>
      <c r="P120" s="52" cm="1">
        <f t="array" ref="P120">MMS_Swine_N2ODirect_Equations.VEERG_4_5_1_3__2_Stage1NitrogenInMMS(O$35,P73)</f>
        <v>214.62000000000003</v>
      </c>
      <c r="Q120" s="52" cm="1">
        <f t="array" ref="Q120">MMS_Swine_N2ODirect_Equations.VEERG_4_5_1_3__2_Stage1NitrogenInMMS(P$35,Q73)</f>
        <v>201.47999999999996</v>
      </c>
      <c r="R120" s="52" cm="1">
        <f t="array" ref="R120">MMS_Swine_N2ODirect_Equations.VEERG_4_5_1_3__2_Stage1NitrogenInMMS(Q$35,R73)</f>
        <v>136.65599999999998</v>
      </c>
      <c r="S120" s="2" t="str">
        <f t="shared" si="3"/>
        <v>kg N</v>
      </c>
    </row>
    <row r="121" spans="3:21" ht="20.100000000000001" customHeight="1" x14ac:dyDescent="0.25">
      <c r="D121" s="57" t="str">
        <f>'Input - Swine'!$D$32</f>
        <v>Deep litter</v>
      </c>
      <c r="E121" s="52" cm="1">
        <f t="array" ref="E121">MMS_Swine_N2ODirect_Equations.VEERG_4_5_1_3__2_Stage1NitrogenInMMS(D$35,E74)</f>
        <v>201.47999999999996</v>
      </c>
      <c r="F121" s="52" cm="1">
        <f t="array" ref="F121">MMS_Swine_N2ODirect_Equations.VEERG_4_5_1_3__2_Stage1NitrogenInMMS(E$35,F74)</f>
        <v>214.62000000000003</v>
      </c>
      <c r="G121" s="52" cm="1">
        <f t="array" ref="G121">MMS_Swine_N2ODirect_Equations.VEERG_4_5_1_3__2_Stage1NitrogenInMMS(F$35,G74)</f>
        <v>201.47999999999996</v>
      </c>
      <c r="H121" s="52" cm="1">
        <f t="array" ref="H121">MMS_Swine_N2ODirect_Equations.VEERG_4_5_1_3__2_Stage1NitrogenInMMS(G$35,H74)</f>
        <v>136.65599999999998</v>
      </c>
      <c r="I121" s="2" t="str">
        <f t="shared" si="2"/>
        <v>kg N</v>
      </c>
      <c r="N121" s="57" t="str">
        <f>'Input - Swine'!$D$32</f>
        <v>Deep litter</v>
      </c>
      <c r="O121" s="52" cm="1">
        <f t="array" ref="O121">MMS_Swine_N2ODirect_Equations.VEERG_4_5_1_3__2_Stage1NitrogenInMMS(N$35,O74)</f>
        <v>201.47999999999996</v>
      </c>
      <c r="P121" s="52" cm="1">
        <f t="array" ref="P121">MMS_Swine_N2ODirect_Equations.VEERG_4_5_1_3__2_Stage1NitrogenInMMS(O$35,P74)</f>
        <v>214.62000000000003</v>
      </c>
      <c r="Q121" s="52" cm="1">
        <f t="array" ref="Q121">MMS_Swine_N2ODirect_Equations.VEERG_4_5_1_3__2_Stage1NitrogenInMMS(P$35,Q74)</f>
        <v>201.47999999999996</v>
      </c>
      <c r="R121" s="52" cm="1">
        <f t="array" ref="R121">MMS_Swine_N2ODirect_Equations.VEERG_4_5_1_3__2_Stage1NitrogenInMMS(Q$35,R74)</f>
        <v>136.65599999999998</v>
      </c>
      <c r="S121" s="2" t="str">
        <f t="shared" si="3"/>
        <v>kg N</v>
      </c>
    </row>
    <row r="122" spans="3:21" ht="20.100000000000001" customHeight="1" x14ac:dyDescent="0.25">
      <c r="D122" s="57" t="str">
        <f>'Input - Swine'!$D$33</f>
        <v>Pit storage</v>
      </c>
      <c r="E122" s="52" cm="1">
        <f t="array" ref="E122">MMS_Swine_N2ODirect_Equations.VEERG_4_5_1_3__2_Stage1NitrogenInMMS(D$35,E75)</f>
        <v>201.47999999999996</v>
      </c>
      <c r="F122" s="52" cm="1">
        <f t="array" ref="F122">MMS_Swine_N2ODirect_Equations.VEERG_4_5_1_3__2_Stage1NitrogenInMMS(E$35,F75)</f>
        <v>214.62000000000003</v>
      </c>
      <c r="G122" s="52" cm="1">
        <f t="array" ref="G122">MMS_Swine_N2ODirect_Equations.VEERG_4_5_1_3__2_Stage1NitrogenInMMS(F$35,G75)</f>
        <v>201.47999999999996</v>
      </c>
      <c r="H122" s="52" cm="1">
        <f t="array" ref="H122">MMS_Swine_N2ODirect_Equations.VEERG_4_5_1_3__2_Stage1NitrogenInMMS(G$35,H75)</f>
        <v>136.65599999999998</v>
      </c>
      <c r="I122" s="2" t="str">
        <f t="shared" si="2"/>
        <v>kg N</v>
      </c>
      <c r="N122" s="57" t="str">
        <f>'Input - Swine'!$D$33</f>
        <v>Pit storage</v>
      </c>
      <c r="O122" s="52" cm="1">
        <f t="array" ref="O122">MMS_Swine_N2ODirect_Equations.VEERG_4_5_1_3__2_Stage1NitrogenInMMS(N$35,O75)</f>
        <v>201.47999999999996</v>
      </c>
      <c r="P122" s="52" cm="1">
        <f t="array" ref="P122">MMS_Swine_N2ODirect_Equations.VEERG_4_5_1_3__2_Stage1NitrogenInMMS(O$35,P75)</f>
        <v>214.62000000000003</v>
      </c>
      <c r="Q122" s="52" cm="1">
        <f t="array" ref="Q122">MMS_Swine_N2ODirect_Equations.VEERG_4_5_1_3__2_Stage1NitrogenInMMS(P$35,Q75)</f>
        <v>201.47999999999996</v>
      </c>
      <c r="R122" s="52" cm="1">
        <f t="array" ref="R122">MMS_Swine_N2ODirect_Equations.VEERG_4_5_1_3__2_Stage1NitrogenInMMS(Q$35,R75)</f>
        <v>136.65599999999998</v>
      </c>
      <c r="S122" s="2" t="str">
        <f t="shared" si="3"/>
        <v>kg N</v>
      </c>
    </row>
    <row r="123" spans="3:21" ht="20.100000000000001" customHeight="1" x14ac:dyDescent="0.25">
      <c r="D123" s="57" t="str">
        <f>'Input - Swine'!$D$34</f>
        <v>Solid storage</v>
      </c>
      <c r="E123" s="52" cm="1">
        <f t="array" ref="E123">MMS_Swine_N2ODirect_Equations.VEERG_4_5_1_3__2_Stage1NitrogenInMMS(D$35,E100)</f>
        <v>671.60000000000014</v>
      </c>
      <c r="F123" s="52" cm="1">
        <f t="array" ref="F123">MMS_Swine_N2ODirect_Equations.VEERG_4_5_1_3__2_Stage1NitrogenInMMS(E$35,F100)</f>
        <v>715.40000000000032</v>
      </c>
      <c r="G123" s="52" cm="1">
        <f t="array" ref="G123">MMS_Swine_N2ODirect_Equations.VEERG_4_5_1_3__2_Stage1NitrogenInMMS(F$35,G100)</f>
        <v>671.60000000000014</v>
      </c>
      <c r="H123" s="52" cm="1">
        <f t="array" ref="H123">MMS_Swine_N2ODirect_Equations.VEERG_4_5_1_3__2_Stage1NitrogenInMMS(G$35,H100)</f>
        <v>455.52000000000015</v>
      </c>
      <c r="I123" s="2" t="str">
        <f t="shared" si="2"/>
        <v>kg N</v>
      </c>
      <c r="N123" s="57" t="str">
        <f>'Input - Swine'!$D$34</f>
        <v>Solid storage</v>
      </c>
      <c r="O123" s="52" cm="1">
        <f t="array" ref="O123">MMS_Swine_N2ODirect_Equations.VEERG_4_5_1_3__2_Stage1NitrogenInMMS(N$35,O100)</f>
        <v>671.60000000000014</v>
      </c>
      <c r="P123" s="52" cm="1">
        <f t="array" ref="P123">MMS_Swine_N2ODirect_Equations.VEERG_4_5_1_3__2_Stage1NitrogenInMMS(O$35,P100)</f>
        <v>715.40000000000032</v>
      </c>
      <c r="Q123" s="52" cm="1">
        <f t="array" ref="Q123">MMS_Swine_N2ODirect_Equations.VEERG_4_5_1_3__2_Stage1NitrogenInMMS(P$35,Q100)</f>
        <v>671.60000000000014</v>
      </c>
      <c r="R123" s="52" cm="1">
        <f t="array" ref="R123">MMS_Swine_N2ODirect_Equations.VEERG_4_5_1_3__2_Stage1NitrogenInMMS(Q$35,R100)</f>
        <v>455.52000000000015</v>
      </c>
      <c r="S123" s="2" t="str">
        <f t="shared" si="3"/>
        <v>kg N</v>
      </c>
    </row>
    <row r="124" spans="3:21" ht="20.100000000000001" customHeight="1" x14ac:dyDescent="0.25"/>
    <row r="125" spans="3:21" ht="20.100000000000001" customHeight="1" x14ac:dyDescent="0.25"/>
    <row r="126" spans="3:21" ht="20.100000000000001" customHeight="1" x14ac:dyDescent="0.25">
      <c r="C126" s="45"/>
      <c r="D126" s="45"/>
      <c r="E126" s="45"/>
      <c r="F126" s="45"/>
      <c r="G126" s="45"/>
      <c r="H126" s="45"/>
      <c r="I126" s="45"/>
      <c r="J126" s="45"/>
      <c r="K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 spans="3:21" ht="20.100000000000001" customHeight="1" x14ac:dyDescent="0.25">
      <c r="D127" s="6" t="str" cm="1">
        <f t="array" ref="D127">MMS_Swine_N2ODirect_Equations.VEERG_4_5_1_3__7_NitrogenTransferredToStage2MMS_Title()</f>
        <v>Nitrogen transferred to treatment stage 2 MMS</v>
      </c>
    </row>
    <row r="128" spans="3:21" ht="20.100000000000001" customHeight="1" x14ac:dyDescent="0.25">
      <c r="D128" s="5" t="str" cm="1">
        <f t="array" ref="D128">MMS_Swine_N2ODirect_Equations.VEERG_4_5_1_3__7_NitrogenTransferredToStage2MMS_Source()</f>
        <v>VEERG 2026: 4.5.1.3, Equation (7)</v>
      </c>
    </row>
    <row r="129" spans="4:7" ht="20.100000000000001" customHeight="1" x14ac:dyDescent="0.25">
      <c r="D129" s="13" t="s">
        <v>26</v>
      </c>
      <c r="E129" s="13" t="str" cm="1">
        <f t="array" aca="1" ref="E129" ca="1">Common_InputFunctions.Utility_DisplayFunctionName(E162)</f>
        <v>=MMS_Swine_N2ODirect_Equations.VEERG_4_5_1_3__7_NitrogenTransferredToStage2MMS</v>
      </c>
    </row>
    <row r="130" spans="4:7" ht="20.100000000000001" customHeight="1" x14ac:dyDescent="0.25"/>
    <row r="131" spans="4:7" ht="20.100000000000001" customHeight="1" x14ac:dyDescent="0.25"/>
    <row r="132" spans="4:7" ht="20.100000000000001" customHeight="1" x14ac:dyDescent="0.25">
      <c r="D132" s="53" t="s">
        <v>29</v>
      </c>
      <c r="E132" s="1" t="str" cm="1">
        <f t="array" ref="E132">MMS_Swine_N2ODirect_Equations.VEERG_4_5_1_3__7_NitrogenTransferredToStage2MMS_Variable()</f>
        <v>NT_jmT2</v>
      </c>
    </row>
    <row r="133" spans="4:7" ht="20.100000000000001" customHeight="1" x14ac:dyDescent="0.25">
      <c r="D133" s="53" t="s">
        <v>19</v>
      </c>
      <c r="E133" s="54" t="str" cm="1">
        <f t="array" ref="E133">MMS_Swine_N2ODirect_Equations.VEERG_4_5_1_3__7_NitrogenTransferredToStage2MMS_Unit()</f>
        <v>kg N</v>
      </c>
    </row>
    <row r="134" spans="4:7" ht="20.100000000000001" customHeight="1" x14ac:dyDescent="0.25"/>
    <row r="135" spans="4:7" ht="20.100000000000001" customHeight="1" x14ac:dyDescent="0.25">
      <c r="D135" s="57" t="str" cm="1">
        <f t="array" ref="D135:E137">MMS_Swine_N2ODirect_Equations.VEERG_4_5_1_3__7_NitrogenTransferredToStage2MMS_Arguments()</f>
        <v>MN_jmT1</v>
      </c>
      <c r="E135" s="57" t="str">
        <v>nitrogen per swine class in treatment stage 1 MMS (kg N)</v>
      </c>
      <c r="F135" s="57"/>
      <c r="G135" s="57" t="str">
        <f>"See " &amp; D115</f>
        <v>See M1_Table_MN_j_m_T-1</v>
      </c>
    </row>
    <row r="136" spans="4:7" ht="20.100000000000001" customHeight="1" x14ac:dyDescent="0.25">
      <c r="D136" s="57" t="str">
        <v>FracGASMmT1</v>
      </c>
      <c r="E136" s="57" t="str">
        <v>fraction of N volatilised from MMS treatment at stage 1</v>
      </c>
      <c r="F136" s="57"/>
      <c r="G136" s="57" t="str">
        <f>"See " &amp; D139</f>
        <v>See Table_FracGASM_m_t-1</v>
      </c>
    </row>
    <row r="137" spans="4:7" ht="20.100000000000001" customHeight="1" x14ac:dyDescent="0.25">
      <c r="D137" s="57" t="str">
        <v>EF_mT1</v>
      </c>
      <c r="E137" s="57" t="str">
        <v>nitrous oxide emission factor for MMS treatment at stage 1</v>
      </c>
      <c r="F137" s="57"/>
      <c r="G137" s="57" t="str">
        <f>"See " &amp; D149</f>
        <v>See Table_EF_m_t-1</v>
      </c>
    </row>
    <row r="138" spans="4:7" ht="20.100000000000001" customHeight="1" x14ac:dyDescent="0.25"/>
    <row r="139" spans="4:7" ht="20.100000000000001" customHeight="1" x14ac:dyDescent="0.25">
      <c r="D139" s="121" t="s">
        <v>308</v>
      </c>
    </row>
    <row r="140" spans="4:7" ht="20.100000000000001" customHeight="1" x14ac:dyDescent="0.25">
      <c r="D140" s="122" t="s">
        <v>309</v>
      </c>
    </row>
    <row r="141" spans="4:7" ht="20.100000000000001" customHeight="1" x14ac:dyDescent="0.25">
      <c r="D141" s="51" t="s">
        <v>169</v>
      </c>
      <c r="E141" s="51" t="s">
        <v>310</v>
      </c>
    </row>
    <row r="142" spans="4:7" ht="20.100000000000001" customHeight="1" x14ac:dyDescent="0.25">
      <c r="D142" s="57" t="str">
        <f>'Input - Swine'!$D$29</f>
        <v>Anaerobic lagoon</v>
      </c>
      <c r="E142" s="52" cm="1">
        <f t="array" ref="E142">Common_InputFunctions.Utility_LookupValueInTableNumber(D142, Table_SourceData_Swine_FracGASM[NIR reference],Table_SourceData_Swine_FracGASM[FracGASMmT])</f>
        <v>0.55000000000000004</v>
      </c>
    </row>
    <row r="143" spans="4:7" ht="20.100000000000001" customHeight="1" x14ac:dyDescent="0.25">
      <c r="D143" s="57" t="str">
        <f>'Input - Swine'!$D$30</f>
        <v>Drylot (feed pad)</v>
      </c>
      <c r="E143" s="52" cm="1">
        <f t="array" ref="E143">Common_InputFunctions.Utility_LookupValueInTableNumber(D143, Table_SourceData_Swine_FracGASM[NIR reference],Table_SourceData_Swine_FracGASM[FracGASMmT])</f>
        <v>0.3</v>
      </c>
    </row>
    <row r="144" spans="4:7" ht="20.100000000000001" customHeight="1" x14ac:dyDescent="0.25">
      <c r="D144" s="57" t="str">
        <f>'Input - Swine'!$D$31</f>
        <v>Digester / covered lagoons</v>
      </c>
      <c r="E144" s="52" cm="1">
        <f t="array" ref="E144">Common_InputFunctions.Utility_LookupValueInTableNumber(D144, Table_SourceData_Swine_FracGASM[NIR reference],Table_SourceData_Swine_FracGASM[FracGASMmT])</f>
        <v>0</v>
      </c>
    </row>
    <row r="145" spans="4:14" ht="20.100000000000001" customHeight="1" x14ac:dyDescent="0.25">
      <c r="D145" s="57" t="str">
        <f>'Input - Swine'!$D$32</f>
        <v>Deep litter</v>
      </c>
      <c r="E145" s="52" cm="1">
        <f t="array" ref="E145">Common_InputFunctions.Utility_LookupValueInTableNumber(D145, Table_SourceData_Swine_FracGASM[NIR reference],Table_SourceData_Swine_FracGASM[FracGASMmT])</f>
        <v>0.125</v>
      </c>
    </row>
    <row r="146" spans="4:14" ht="20.100000000000001" customHeight="1" x14ac:dyDescent="0.25">
      <c r="D146" s="57" t="str">
        <f>'Input - Swine'!$D$33</f>
        <v>Pit storage</v>
      </c>
      <c r="E146" s="52" cm="1">
        <f t="array" ref="E146">Common_InputFunctions.Utility_LookupValueInTableNumber(D146, Table_SourceData_Swine_FracGASM[NIR reference],Table_SourceData_Swine_FracGASM[FracGASMmT])</f>
        <v>0.25</v>
      </c>
    </row>
    <row r="147" spans="4:14" ht="20.100000000000001" customHeight="1" x14ac:dyDescent="0.25">
      <c r="D147" s="57" t="str">
        <f>'Input - Swine'!$D$34</f>
        <v>Solid storage</v>
      </c>
      <c r="E147" s="52" cm="1">
        <f t="array" ref="E147">Common_InputFunctions.Utility_LookupValueInTableNumber(D147, Table_SourceData_Swine_FracGASM[NIR reference],Table_SourceData_Swine_FracGASM[FracGASMmT])</f>
        <v>0.2</v>
      </c>
    </row>
    <row r="148" spans="4:14" ht="20.100000000000001" customHeight="1" x14ac:dyDescent="0.25"/>
    <row r="149" spans="4:14" ht="20.100000000000001" customHeight="1" x14ac:dyDescent="0.25">
      <c r="D149" s="121" t="s">
        <v>311</v>
      </c>
    </row>
    <row r="150" spans="4:14" ht="20.100000000000001" customHeight="1" x14ac:dyDescent="0.25">
      <c r="D150" s="122" t="s">
        <v>312</v>
      </c>
    </row>
    <row r="151" spans="4:14" ht="20.100000000000001" customHeight="1" x14ac:dyDescent="0.25">
      <c r="D151" s="51" t="s">
        <v>67</v>
      </c>
      <c r="E151" s="51" t="s">
        <v>313</v>
      </c>
    </row>
    <row r="152" spans="4:14" ht="20.100000000000001" customHeight="1" x14ac:dyDescent="0.25">
      <c r="D152" s="57" t="str">
        <f>'Input - Swine'!$D$29</f>
        <v>Anaerobic lagoon</v>
      </c>
      <c r="E152" s="52" cm="1">
        <f t="array" ref="E152">Common_InputFunctions.Utility_LookupValueInTableNumber(D152, Table_SourceData_Swine_FracGASM28[NIR reference],Table_SourceData_Swine_FracGASM28[EFmT])</f>
        <v>0</v>
      </c>
    </row>
    <row r="153" spans="4:14" ht="20.100000000000001" customHeight="1" x14ac:dyDescent="0.25">
      <c r="D153" s="57" t="str">
        <f>'Input - Swine'!$D$30</f>
        <v>Drylot (feed pad)</v>
      </c>
      <c r="E153" s="52" cm="1">
        <f t="array" ref="E153">Common_InputFunctions.Utility_LookupValueInTableNumber(D153, Table_SourceData_Swine_FracGASM28[NIR reference],Table_SourceData_Swine_FracGASM28[EFmT])</f>
        <v>0.02</v>
      </c>
    </row>
    <row r="154" spans="4:14" ht="20.100000000000001" customHeight="1" x14ac:dyDescent="0.25">
      <c r="D154" s="57" t="str">
        <f>'Input - Swine'!$D$31</f>
        <v>Digester / covered lagoons</v>
      </c>
      <c r="E154" s="52" cm="1">
        <f t="array" ref="E154">Common_InputFunctions.Utility_LookupValueInTableNumber(D154, Table_SourceData_Swine_FracGASM28[NIR reference],Table_SourceData_Swine_FracGASM28[EFmT])</f>
        <v>0</v>
      </c>
    </row>
    <row r="155" spans="4:14" ht="20.100000000000001" customHeight="1" x14ac:dyDescent="0.25">
      <c r="D155" s="57" t="str">
        <f>'Input - Swine'!$D$32</f>
        <v>Deep litter</v>
      </c>
      <c r="E155" s="52" cm="1">
        <f t="array" ref="E155">Common_InputFunctions.Utility_LookupValueInTableNumber(D155, Table_SourceData_Swine_FracGASM28[NIR reference],Table_SourceData_Swine_FracGASM28[EFmT])</f>
        <v>0.01</v>
      </c>
    </row>
    <row r="156" spans="4:14" ht="20.100000000000001" customHeight="1" x14ac:dyDescent="0.25">
      <c r="D156" s="57" t="str">
        <f>'Input - Swine'!$D$33</f>
        <v>Pit storage</v>
      </c>
      <c r="E156" s="52" cm="1">
        <f t="array" ref="E156">Common_InputFunctions.Utility_LookupValueInTableNumber(D156, Table_SourceData_Swine_FracGASM28[NIR reference],Table_SourceData_Swine_FracGASM28[EFmT])</f>
        <v>2E-3</v>
      </c>
    </row>
    <row r="157" spans="4:14" ht="20.100000000000001" customHeight="1" x14ac:dyDescent="0.25">
      <c r="D157" s="57" t="str">
        <f>'Input - Swine'!$D$34</f>
        <v>Solid storage</v>
      </c>
      <c r="E157" s="52" cm="1">
        <f t="array" ref="E157">Common_InputFunctions.Utility_LookupValueInTableNumber(D157, Table_SourceData_Swine_FracGASM28[NIR reference],Table_SourceData_Swine_FracGASM28[EFmT])</f>
        <v>5.0000000000000001E-3</v>
      </c>
    </row>
    <row r="158" spans="4:14" ht="20.100000000000001" customHeight="1" x14ac:dyDescent="0.25"/>
    <row r="159" spans="4:14" ht="20.100000000000001" customHeight="1" x14ac:dyDescent="0.25">
      <c r="D159" s="121" t="s">
        <v>315</v>
      </c>
      <c r="N159" s="121" t="s">
        <v>329</v>
      </c>
    </row>
    <row r="160" spans="4:14" ht="20.100000000000001" customHeight="1" x14ac:dyDescent="0.25">
      <c r="D160" s="122" t="s">
        <v>316</v>
      </c>
      <c r="N160" s="122" t="s">
        <v>330</v>
      </c>
    </row>
    <row r="161" spans="3:21" ht="20.100000000000001" customHeight="1" x14ac:dyDescent="0.25">
      <c r="D161" s="51" t="s">
        <v>169</v>
      </c>
      <c r="E161" s="51" t="s">
        <v>143</v>
      </c>
      <c r="F161" s="51" t="s">
        <v>144</v>
      </c>
      <c r="G161" s="51" t="s">
        <v>145</v>
      </c>
      <c r="H161" s="51" t="s">
        <v>263</v>
      </c>
      <c r="N161" s="51" t="s">
        <v>169</v>
      </c>
      <c r="O161" s="51" t="s">
        <v>143</v>
      </c>
      <c r="P161" s="51" t="s">
        <v>144</v>
      </c>
      <c r="Q161" s="51" t="s">
        <v>145</v>
      </c>
      <c r="R161" s="51" t="s">
        <v>263</v>
      </c>
    </row>
    <row r="162" spans="3:21" ht="20.100000000000001" customHeight="1" x14ac:dyDescent="0.25">
      <c r="D162" s="57" t="str">
        <f>'Input - Swine'!$D$29</f>
        <v>Anaerobic lagoon</v>
      </c>
      <c r="E162" s="52" cm="1">
        <f t="array" ref="E162">MMS_Swine_N2ODirect_Equations.VEERG_4_5_1_3__7_NitrogenTransferredToStage2MMS(E118,$E142,$E152)</f>
        <v>90.665999999999968</v>
      </c>
      <c r="F162" s="52" cm="1">
        <f t="array" ref="F162">MMS_Swine_N2ODirect_Equations.VEERG_4_5_1_3__7_NitrogenTransferredToStage2MMS(F118,$E142,$E152)</f>
        <v>96.579000000000008</v>
      </c>
      <c r="G162" s="52" cm="1">
        <f t="array" ref="G162">MMS_Swine_N2ODirect_Equations.VEERG_4_5_1_3__7_NitrogenTransferredToStage2MMS(G118,$E142,$E152)</f>
        <v>90.665999999999968</v>
      </c>
      <c r="H162" s="52" cm="1">
        <f t="array" ref="H162">MMS_Swine_N2ODirect_Equations.VEERG_4_5_1_3__7_NitrogenTransferredToStage2MMS(H118,$E142,$E152)</f>
        <v>61.495199999999983</v>
      </c>
      <c r="I162" s="2" t="str">
        <f>$E$133</f>
        <v>kg N</v>
      </c>
      <c r="N162" s="57" t="str">
        <f>'Input - Swine'!$D$29</f>
        <v>Anaerobic lagoon</v>
      </c>
      <c r="O162" s="52" cm="1">
        <f t="array" ref="O162">MMS_Swine_N2ODirect_Equations.VEERG_4_5_1_3__7_NitrogenTransferredToStage2MMS(O118,$E142,$E152)</f>
        <v>90.665999999999968</v>
      </c>
      <c r="P162" s="52" cm="1">
        <f t="array" ref="P162">MMS_Swine_N2ODirect_Equations.VEERG_4_5_1_3__7_NitrogenTransferredToStage2MMS(P118,$E142,$E152)</f>
        <v>96.579000000000008</v>
      </c>
      <c r="Q162" s="52" cm="1">
        <f t="array" ref="Q162">MMS_Swine_N2ODirect_Equations.VEERG_4_5_1_3__7_NitrogenTransferredToStage2MMS(Q118,$E142,$E152)</f>
        <v>90.665999999999968</v>
      </c>
      <c r="R162" s="52" cm="1">
        <f t="array" ref="R162">MMS_Swine_N2ODirect_Equations.VEERG_4_5_1_3__7_NitrogenTransferredToStage2MMS(R118,$E142,$E152)</f>
        <v>61.495199999999983</v>
      </c>
      <c r="S162" s="2" t="str">
        <f>$E$133</f>
        <v>kg N</v>
      </c>
    </row>
    <row r="163" spans="3:21" ht="20.100000000000001" customHeight="1" x14ac:dyDescent="0.25">
      <c r="D163" s="57" t="str">
        <f>'Input - Swine'!$D$30</f>
        <v>Drylot (feed pad)</v>
      </c>
      <c r="E163" s="52" cm="1">
        <f t="array" ref="E163">MMS_Swine_N2ODirect_Equations.VEERG_4_5_1_3__7_NitrogenTransferredToStage2MMS(E119,$E143,$E153)</f>
        <v>137.00639999999996</v>
      </c>
      <c r="F163" s="52" cm="1">
        <f t="array" ref="F163">MMS_Swine_N2ODirect_Equations.VEERG_4_5_1_3__7_NitrogenTransferredToStage2MMS(F119,$E143,$E153)</f>
        <v>145.94160000000002</v>
      </c>
      <c r="G163" s="52" cm="1">
        <f t="array" ref="G163">MMS_Swine_N2ODirect_Equations.VEERG_4_5_1_3__7_NitrogenTransferredToStage2MMS(G119,$E143,$E153)</f>
        <v>137.00639999999996</v>
      </c>
      <c r="H163" s="52" cm="1">
        <f t="array" ref="H163">MMS_Swine_N2ODirect_Equations.VEERG_4_5_1_3__7_NitrogenTransferredToStage2MMS(H119,$E143,$E153)</f>
        <v>92.92607999999997</v>
      </c>
      <c r="I163" s="2" t="str">
        <f t="shared" ref="I163:I167" si="4">$E$133</f>
        <v>kg N</v>
      </c>
      <c r="N163" s="57" t="str">
        <f>'Input - Swine'!$D$30</f>
        <v>Drylot (feed pad)</v>
      </c>
      <c r="O163" s="52" cm="1">
        <f t="array" ref="O163">MMS_Swine_N2ODirect_Equations.VEERG_4_5_1_3__7_NitrogenTransferredToStage2MMS(O119,$E143,$E153)</f>
        <v>137.00639999999996</v>
      </c>
      <c r="P163" s="52" cm="1">
        <f t="array" ref="P163">MMS_Swine_N2ODirect_Equations.VEERG_4_5_1_3__7_NitrogenTransferredToStage2MMS(P119,$E143,$E153)</f>
        <v>145.94160000000002</v>
      </c>
      <c r="Q163" s="52" cm="1">
        <f t="array" ref="Q163">MMS_Swine_N2ODirect_Equations.VEERG_4_5_1_3__7_NitrogenTransferredToStage2MMS(Q119,$E143,$E153)</f>
        <v>137.00639999999996</v>
      </c>
      <c r="R163" s="52" cm="1">
        <f t="array" ref="R163">MMS_Swine_N2ODirect_Equations.VEERG_4_5_1_3__7_NitrogenTransferredToStage2MMS(R119,$E143,$E153)</f>
        <v>92.92607999999997</v>
      </c>
      <c r="S163" s="2" t="str">
        <f t="shared" ref="S163:S167" si="5">$E$133</f>
        <v>kg N</v>
      </c>
    </row>
    <row r="164" spans="3:21" ht="20.100000000000001" customHeight="1" x14ac:dyDescent="0.25">
      <c r="D164" s="57" t="str">
        <f>'Input - Swine'!$D$31</f>
        <v>Digester / covered lagoons</v>
      </c>
      <c r="E164" s="52" cm="1">
        <f t="array" ref="E164">MMS_Swine_N2ODirect_Equations.VEERG_4_5_1_3__7_NitrogenTransferredToStage2MMS(E120,$E144,$E154)</f>
        <v>201.47999999999996</v>
      </c>
      <c r="F164" s="52" cm="1">
        <f t="array" ref="F164">MMS_Swine_N2ODirect_Equations.VEERG_4_5_1_3__7_NitrogenTransferredToStage2MMS(F120,$E144,$E154)</f>
        <v>214.62000000000003</v>
      </c>
      <c r="G164" s="52" cm="1">
        <f t="array" ref="G164">MMS_Swine_N2ODirect_Equations.VEERG_4_5_1_3__7_NitrogenTransferredToStage2MMS(G120,$E144,$E154)</f>
        <v>201.47999999999996</v>
      </c>
      <c r="H164" s="52" cm="1">
        <f t="array" ref="H164">MMS_Swine_N2ODirect_Equations.VEERG_4_5_1_3__7_NitrogenTransferredToStage2MMS(H120,$E144,$E154)</f>
        <v>136.65599999999998</v>
      </c>
      <c r="I164" s="2" t="str">
        <f t="shared" si="4"/>
        <v>kg N</v>
      </c>
      <c r="N164" s="57" t="str">
        <f>'Input - Swine'!$D$31</f>
        <v>Digester / covered lagoons</v>
      </c>
      <c r="O164" s="52" cm="1">
        <f t="array" ref="O164">MMS_Swine_N2ODirect_Equations.VEERG_4_5_1_3__7_NitrogenTransferredToStage2MMS(O120,$E144,$E154)</f>
        <v>201.47999999999996</v>
      </c>
      <c r="P164" s="52" cm="1">
        <f t="array" ref="P164">MMS_Swine_N2ODirect_Equations.VEERG_4_5_1_3__7_NitrogenTransferredToStage2MMS(P120,$E144,$E154)</f>
        <v>214.62000000000003</v>
      </c>
      <c r="Q164" s="52" cm="1">
        <f t="array" ref="Q164">MMS_Swine_N2ODirect_Equations.VEERG_4_5_1_3__7_NitrogenTransferredToStage2MMS(Q120,$E144,$E154)</f>
        <v>201.47999999999996</v>
      </c>
      <c r="R164" s="52" cm="1">
        <f t="array" ref="R164">MMS_Swine_N2ODirect_Equations.VEERG_4_5_1_3__7_NitrogenTransferredToStage2MMS(R120,$E144,$E154)</f>
        <v>136.65599999999998</v>
      </c>
      <c r="S164" s="2" t="str">
        <f t="shared" si="5"/>
        <v>kg N</v>
      </c>
    </row>
    <row r="165" spans="3:21" ht="20.100000000000001" customHeight="1" x14ac:dyDescent="0.25">
      <c r="D165" s="57" t="str">
        <f>'Input - Swine'!$D$32</f>
        <v>Deep litter</v>
      </c>
      <c r="E165" s="52" cm="1">
        <f t="array" ref="E165">MMS_Swine_N2ODirect_Equations.VEERG_4_5_1_3__7_NitrogenTransferredToStage2MMS(E121,$E145,$E155)</f>
        <v>174.28019999999995</v>
      </c>
      <c r="F165" s="52" cm="1">
        <f t="array" ref="F165">MMS_Swine_N2ODirect_Equations.VEERG_4_5_1_3__7_NitrogenTransferredToStage2MMS(F121,$E145,$E155)</f>
        <v>185.64630000000002</v>
      </c>
      <c r="G165" s="52" cm="1">
        <f t="array" ref="G165">MMS_Swine_N2ODirect_Equations.VEERG_4_5_1_3__7_NitrogenTransferredToStage2MMS(G121,$E145,$E155)</f>
        <v>174.28019999999995</v>
      </c>
      <c r="H165" s="52" cm="1">
        <f t="array" ref="H165">MMS_Swine_N2ODirect_Equations.VEERG_4_5_1_3__7_NitrogenTransferredToStage2MMS(H121,$E145,$E155)</f>
        <v>118.20743999999998</v>
      </c>
      <c r="I165" s="2" t="str">
        <f t="shared" si="4"/>
        <v>kg N</v>
      </c>
      <c r="N165" s="57" t="str">
        <f>'Input - Swine'!$D$32</f>
        <v>Deep litter</v>
      </c>
      <c r="O165" s="52" cm="1">
        <f t="array" ref="O165">MMS_Swine_N2ODirect_Equations.VEERG_4_5_1_3__7_NitrogenTransferredToStage2MMS(O121,$E145,$E155)</f>
        <v>174.28019999999995</v>
      </c>
      <c r="P165" s="52" cm="1">
        <f t="array" ref="P165">MMS_Swine_N2ODirect_Equations.VEERG_4_5_1_3__7_NitrogenTransferredToStage2MMS(P121,$E145,$E155)</f>
        <v>185.64630000000002</v>
      </c>
      <c r="Q165" s="52" cm="1">
        <f t="array" ref="Q165">MMS_Swine_N2ODirect_Equations.VEERG_4_5_1_3__7_NitrogenTransferredToStage2MMS(Q121,$E145,$E155)</f>
        <v>174.28019999999995</v>
      </c>
      <c r="R165" s="52" cm="1">
        <f t="array" ref="R165">MMS_Swine_N2ODirect_Equations.VEERG_4_5_1_3__7_NitrogenTransferredToStage2MMS(R121,$E145,$E155)</f>
        <v>118.20743999999998</v>
      </c>
      <c r="S165" s="2" t="str">
        <f t="shared" si="5"/>
        <v>kg N</v>
      </c>
    </row>
    <row r="166" spans="3:21" ht="20.100000000000001" customHeight="1" x14ac:dyDescent="0.25">
      <c r="D166" s="57" t="str">
        <f>'Input - Swine'!$D$33</f>
        <v>Pit storage</v>
      </c>
      <c r="E166" s="52" cm="1">
        <f t="array" ref="E166">MMS_Swine_N2ODirect_Equations.VEERG_4_5_1_3__7_NitrogenTransferredToStage2MMS(E122,$E146,$E156)</f>
        <v>150.70703999999998</v>
      </c>
      <c r="F166" s="52" cm="1">
        <f t="array" ref="F166">MMS_Swine_N2ODirect_Equations.VEERG_4_5_1_3__7_NitrogenTransferredToStage2MMS(F122,$E146,$E156)</f>
        <v>160.53576000000001</v>
      </c>
      <c r="G166" s="52" cm="1">
        <f t="array" ref="G166">MMS_Swine_N2ODirect_Equations.VEERG_4_5_1_3__7_NitrogenTransferredToStage2MMS(G122,$E146,$E156)</f>
        <v>150.70703999999998</v>
      </c>
      <c r="H166" s="52" cm="1">
        <f t="array" ref="H166">MMS_Swine_N2ODirect_Equations.VEERG_4_5_1_3__7_NitrogenTransferredToStage2MMS(H122,$E146,$E156)</f>
        <v>102.21868799999999</v>
      </c>
      <c r="I166" s="2" t="str">
        <f t="shared" si="4"/>
        <v>kg N</v>
      </c>
      <c r="N166" s="57" t="str">
        <f>'Input - Swine'!$D$33</f>
        <v>Pit storage</v>
      </c>
      <c r="O166" s="52" cm="1">
        <f t="array" ref="O166">MMS_Swine_N2ODirect_Equations.VEERG_4_5_1_3__7_NitrogenTransferredToStage2MMS(O122,$E146,$E156)</f>
        <v>150.70703999999998</v>
      </c>
      <c r="P166" s="52" cm="1">
        <f t="array" ref="P166">MMS_Swine_N2ODirect_Equations.VEERG_4_5_1_3__7_NitrogenTransferredToStage2MMS(P122,$E146,$E156)</f>
        <v>160.53576000000001</v>
      </c>
      <c r="Q166" s="52" cm="1">
        <f t="array" ref="Q166">MMS_Swine_N2ODirect_Equations.VEERG_4_5_1_3__7_NitrogenTransferredToStage2MMS(Q122,$E146,$E156)</f>
        <v>150.70703999999998</v>
      </c>
      <c r="R166" s="52" cm="1">
        <f t="array" ref="R166">MMS_Swine_N2ODirect_Equations.VEERG_4_5_1_3__7_NitrogenTransferredToStage2MMS(R122,$E146,$E156)</f>
        <v>102.21868799999999</v>
      </c>
      <c r="S166" s="2" t="str">
        <f t="shared" si="5"/>
        <v>kg N</v>
      </c>
    </row>
    <row r="167" spans="3:21" ht="20.100000000000001" customHeight="1" x14ac:dyDescent="0.25">
      <c r="D167" s="57" t="str">
        <f>'Input - Swine'!$D$34</f>
        <v>Solid storage</v>
      </c>
      <c r="E167" s="52" cm="1">
        <f t="array" ref="E167">MMS_Swine_N2ODirect_Equations.VEERG_4_5_1_3__7_NitrogenTransferredToStage2MMS(E123,$E147,$E157)</f>
        <v>533.92200000000014</v>
      </c>
      <c r="F167" s="52" cm="1">
        <f t="array" ref="F167">MMS_Swine_N2ODirect_Equations.VEERG_4_5_1_3__7_NitrogenTransferredToStage2MMS(F123,$E147,$E157)</f>
        <v>568.74300000000028</v>
      </c>
      <c r="G167" s="52" cm="1">
        <f t="array" ref="G167">MMS_Swine_N2ODirect_Equations.VEERG_4_5_1_3__7_NitrogenTransferredToStage2MMS(G123,$E147,$E157)</f>
        <v>533.92200000000014</v>
      </c>
      <c r="H167" s="52" cm="1">
        <f t="array" ref="H167">MMS_Swine_N2ODirect_Equations.VEERG_4_5_1_3__7_NitrogenTransferredToStage2MMS(H123,$E147,$E157)</f>
        <v>362.13840000000016</v>
      </c>
      <c r="I167" s="2" t="str">
        <f t="shared" si="4"/>
        <v>kg N</v>
      </c>
      <c r="N167" s="57" t="str">
        <f>'Input - Swine'!$D$34</f>
        <v>Solid storage</v>
      </c>
      <c r="O167" s="52" cm="1">
        <f t="array" ref="O167">MMS_Swine_N2ODirect_Equations.VEERG_4_5_1_3__7_NitrogenTransferredToStage2MMS(O123,$E147,$E157)</f>
        <v>533.92200000000014</v>
      </c>
      <c r="P167" s="52" cm="1">
        <f t="array" ref="P167">MMS_Swine_N2ODirect_Equations.VEERG_4_5_1_3__7_NitrogenTransferredToStage2MMS(P123,$E147,$E157)</f>
        <v>568.74300000000028</v>
      </c>
      <c r="Q167" s="52" cm="1">
        <f t="array" ref="Q167">MMS_Swine_N2ODirect_Equations.VEERG_4_5_1_3__7_NitrogenTransferredToStage2MMS(Q123,$E147,$E157)</f>
        <v>533.92200000000014</v>
      </c>
      <c r="R167" s="52" cm="1">
        <f t="array" ref="R167">MMS_Swine_N2ODirect_Equations.VEERG_4_5_1_3__7_NitrogenTransferredToStage2MMS(R123,$E147,$E157)</f>
        <v>362.13840000000016</v>
      </c>
      <c r="S167" s="2" t="str">
        <f t="shared" si="5"/>
        <v>kg N</v>
      </c>
    </row>
    <row r="168" spans="3:21" ht="20.100000000000001" customHeight="1" x14ac:dyDescent="0.25"/>
    <row r="169" spans="3:21" ht="20.100000000000001" customHeight="1" x14ac:dyDescent="0.25"/>
    <row r="170" spans="3:21" ht="20.100000000000001" customHeight="1" x14ac:dyDescent="0.25">
      <c r="C170" s="45"/>
      <c r="D170" s="45"/>
      <c r="E170" s="45"/>
      <c r="F170" s="45"/>
      <c r="G170" s="45"/>
      <c r="H170" s="45"/>
      <c r="I170" s="45"/>
      <c r="J170" s="45"/>
      <c r="K170" s="45"/>
      <c r="M170" s="45"/>
      <c r="N170" s="45"/>
      <c r="O170" s="45"/>
      <c r="P170" s="45"/>
      <c r="Q170" s="45"/>
      <c r="R170" s="45"/>
      <c r="S170" s="45"/>
      <c r="T170" s="45"/>
      <c r="U170" s="45"/>
    </row>
    <row r="171" spans="3:21" ht="20.100000000000001" customHeight="1" x14ac:dyDescent="0.25">
      <c r="D171" s="6" t="str" cm="1">
        <f t="array" ref="D171">MMS_Swine_N2ODirect_Equations.VEERG_4_5_1_3__6_Stage2NitrogenInMMS_Title()</f>
        <v>Nitrogen in treatment stage 2 MMS</v>
      </c>
    </row>
    <row r="172" spans="3:21" ht="20.100000000000001" customHeight="1" x14ac:dyDescent="0.25">
      <c r="D172" s="5" t="str" cm="1">
        <f t="array" ref="D172">MMS_Swine_N2ODirect_Equations.VEERG_4_5_1_3__6_Stage2NitrogenInMMS_Source()</f>
        <v>VEERG 2026: 4.5.1.3, Equation (6)</v>
      </c>
    </row>
    <row r="173" spans="3:21" ht="20.100000000000001" customHeight="1" x14ac:dyDescent="0.25">
      <c r="D173" s="13" t="s">
        <v>26</v>
      </c>
      <c r="E173" s="13" t="e" cm="1">
        <f t="array" aca="1" ref="E173" ca="1">Common_InputFunctions.Utility_DisplayFunctionName(#REF!)</f>
        <v>#REF!</v>
      </c>
    </row>
    <row r="174" spans="3:21" ht="20.100000000000001" customHeight="1" x14ac:dyDescent="0.25"/>
    <row r="175" spans="3:21" ht="20.100000000000001" customHeight="1" x14ac:dyDescent="0.25"/>
    <row r="176" spans="3:21" ht="20.100000000000001" customHeight="1" x14ac:dyDescent="0.25">
      <c r="D176" s="53" t="s">
        <v>29</v>
      </c>
      <c r="E176" s="1" t="str" cm="1">
        <f t="array" ref="E176">MMS_Swine_N2ODirect_Equations.VEERG_4_5_1_3__6_Stage2NitrogenInMMS_Variable()</f>
        <v>MN_jmT2</v>
      </c>
    </row>
    <row r="177" spans="4:10" ht="20.100000000000001" customHeight="1" x14ac:dyDescent="0.25">
      <c r="D177" s="53" t="s">
        <v>19</v>
      </c>
      <c r="E177" s="54" t="str" cm="1">
        <f t="array" ref="E177">MMS_Swine_N2ODirect_Equations.VEERG_4_5_1_3__6_Stage2NitrogenInMMS_Unit()</f>
        <v>kg N</v>
      </c>
    </row>
    <row r="178" spans="4:10" ht="20.100000000000001" customHeight="1" x14ac:dyDescent="0.25"/>
    <row r="179" spans="4:10" ht="20.100000000000001" customHeight="1" x14ac:dyDescent="0.25">
      <c r="D179" s="108" t="str" cm="1">
        <f t="array" ref="D179:E180">MMS_Swine_N2ODirect_Equations.VEERG_4_5_1_3__6_Stage2NitrogenInMMS_Arguments()</f>
        <v>NT_jmT2</v>
      </c>
      <c r="E179" s="110" t="str">
        <v>nitrogen transferred to secondary treatment MMS (kg N)</v>
      </c>
      <c r="F179" s="109"/>
      <c r="G179" s="108" t="str">
        <f>"See " &amp; D159</f>
        <v>See M1_Table_NT_j_m_T-2</v>
      </c>
    </row>
    <row r="180" spans="4:10" ht="20.100000000000001" customHeight="1" x14ac:dyDescent="0.25">
      <c r="D180" s="108" t="str">
        <v>MMS_jmT2</v>
      </c>
      <c r="E180" s="110" t="str">
        <v>fraction of manure in each secondary system</v>
      </c>
      <c r="F180" s="109"/>
      <c r="G180" s="108" t="str">
        <f>"See " &amp; D182</f>
        <v>See Table_MMS_j_m_T-2</v>
      </c>
    </row>
    <row r="181" spans="4:10" ht="20.100000000000001" customHeight="1" x14ac:dyDescent="0.25"/>
    <row r="182" spans="4:10" ht="20.100000000000001" customHeight="1" x14ac:dyDescent="0.25">
      <c r="D182" s="121" t="s">
        <v>204</v>
      </c>
    </row>
    <row r="183" spans="4:10" ht="20.100000000000001" customHeight="1" x14ac:dyDescent="0.25">
      <c r="D183" s="122" t="s">
        <v>205</v>
      </c>
    </row>
    <row r="184" spans="4:10" ht="20.100000000000001" customHeight="1" x14ac:dyDescent="0.25">
      <c r="D184" s="51" t="s">
        <v>169</v>
      </c>
      <c r="E184" s="51" t="s">
        <v>206</v>
      </c>
      <c r="F184" s="51" t="s">
        <v>143</v>
      </c>
      <c r="G184" s="51" t="s">
        <v>144</v>
      </c>
      <c r="H184" s="51" t="s">
        <v>145</v>
      </c>
      <c r="I184" s="51" t="s">
        <v>263</v>
      </c>
    </row>
    <row r="185" spans="4:10" ht="20.100000000000001" customHeight="1" x14ac:dyDescent="0.25">
      <c r="D185" s="57" t="str">
        <f>'Input - Swine'!$D$29</f>
        <v>Anaerobic lagoon</v>
      </c>
      <c r="E185" s="57" t="str">
        <f>'Input - Swine'!$D$48</f>
        <v>Digester / covered lagoons</v>
      </c>
      <c r="F185" s="52">
        <f>'Input - Swine'!E48</f>
        <v>0.2</v>
      </c>
      <c r="G185" s="52">
        <f>'Input - Swine'!F48</f>
        <v>0.25</v>
      </c>
      <c r="H185" s="52">
        <f>'Input - Swine'!G48</f>
        <v>0.25</v>
      </c>
      <c r="I185" s="52">
        <f>'Input - Swine'!H48</f>
        <v>0.25</v>
      </c>
      <c r="J185" s="2" t="s">
        <v>99</v>
      </c>
    </row>
    <row r="186" spans="4:10" ht="20.100000000000001" customHeight="1" x14ac:dyDescent="0.25">
      <c r="D186" s="57"/>
      <c r="E186" s="57" t="str">
        <f>'Input - Swine'!$D$49</f>
        <v>Deep litter</v>
      </c>
      <c r="F186" s="52">
        <f>'Input - Swine'!E49</f>
        <v>0.2</v>
      </c>
      <c r="G186" s="52">
        <f>'Input - Swine'!F49</f>
        <v>0.25</v>
      </c>
      <c r="H186" s="52">
        <f>'Input - Swine'!G49</f>
        <v>0.25</v>
      </c>
      <c r="I186" s="52">
        <f>'Input - Swine'!H49</f>
        <v>0.25</v>
      </c>
      <c r="J186" s="2" t="s">
        <v>99</v>
      </c>
    </row>
    <row r="187" spans="4:10" ht="20.100000000000001" customHeight="1" x14ac:dyDescent="0.25">
      <c r="D187" s="57"/>
      <c r="E187" s="57" t="str">
        <f>'Input - Swine'!$D$50</f>
        <v>Pit storage</v>
      </c>
      <c r="F187" s="52">
        <f>'Input - Swine'!E50</f>
        <v>0.2</v>
      </c>
      <c r="G187" s="52">
        <f>'Input - Swine'!F50</f>
        <v>0.25</v>
      </c>
      <c r="H187" s="52">
        <f>'Input - Swine'!G50</f>
        <v>0.25</v>
      </c>
      <c r="I187" s="52">
        <f>'Input - Swine'!H50</f>
        <v>0.25</v>
      </c>
      <c r="J187" s="2" t="s">
        <v>99</v>
      </c>
    </row>
    <row r="188" spans="4:10" ht="20.100000000000001" customHeight="1" x14ac:dyDescent="0.25">
      <c r="D188" s="57" t="str">
        <f>'Input - Swine'!$D$30</f>
        <v>Drylot (feed pad)</v>
      </c>
      <c r="E188" s="57" t="str">
        <f>'Input - Swine'!$D$55</f>
        <v>Anaerobic lagoon</v>
      </c>
      <c r="F188" s="52">
        <f>'Input - Swine'!E55</f>
        <v>0.2</v>
      </c>
      <c r="G188" s="52">
        <f>'Input - Swine'!F55</f>
        <v>0.25</v>
      </c>
      <c r="H188" s="52">
        <f>'Input - Swine'!G55</f>
        <v>0.25</v>
      </c>
      <c r="I188" s="52">
        <f>'Input - Swine'!H55</f>
        <v>0.25</v>
      </c>
      <c r="J188" s="2" t="s">
        <v>99</v>
      </c>
    </row>
    <row r="189" spans="4:10" ht="20.100000000000001" customHeight="1" x14ac:dyDescent="0.25">
      <c r="D189" s="57"/>
      <c r="E189" s="57" t="str">
        <f>'Input - Swine'!$D$56</f>
        <v>Digester / covered lagoons</v>
      </c>
      <c r="F189" s="52">
        <f>'Input - Swine'!E56</f>
        <v>0.2</v>
      </c>
      <c r="G189" s="52">
        <f>'Input - Swine'!F56</f>
        <v>0.25</v>
      </c>
      <c r="H189" s="52">
        <f>'Input - Swine'!G56</f>
        <v>0.25</v>
      </c>
      <c r="I189" s="52">
        <f>'Input - Swine'!H56</f>
        <v>0.25</v>
      </c>
      <c r="J189" s="2" t="s">
        <v>99</v>
      </c>
    </row>
    <row r="190" spans="4:10" ht="20.100000000000001" customHeight="1" x14ac:dyDescent="0.25">
      <c r="D190" s="57"/>
      <c r="E190" s="57" t="str">
        <f>'Input - Swine'!$D$57</f>
        <v>Deep litter</v>
      </c>
      <c r="F190" s="52">
        <f>'Input - Swine'!E57</f>
        <v>0.2</v>
      </c>
      <c r="G190" s="52">
        <f>'Input - Swine'!F57</f>
        <v>0.25</v>
      </c>
      <c r="H190" s="52">
        <f>'Input - Swine'!G57</f>
        <v>0.25</v>
      </c>
      <c r="I190" s="52">
        <f>'Input - Swine'!H57</f>
        <v>0.25</v>
      </c>
      <c r="J190" s="2" t="s">
        <v>99</v>
      </c>
    </row>
    <row r="191" spans="4:10" ht="20.100000000000001" customHeight="1" x14ac:dyDescent="0.25">
      <c r="D191" s="57"/>
      <c r="E191" s="57" t="str">
        <f>'Input - Swine'!$D$58</f>
        <v>Pit storage</v>
      </c>
      <c r="F191" s="52">
        <f>'Input - Swine'!E58</f>
        <v>0.2</v>
      </c>
      <c r="G191" s="52">
        <f>'Input - Swine'!F58</f>
        <v>0.25</v>
      </c>
      <c r="H191" s="52">
        <f>'Input - Swine'!G58</f>
        <v>0.25</v>
      </c>
      <c r="I191" s="52">
        <f>'Input - Swine'!H58</f>
        <v>0.25</v>
      </c>
      <c r="J191" s="2" t="s">
        <v>99</v>
      </c>
    </row>
    <row r="192" spans="4:10" ht="20.100000000000001" customHeight="1" x14ac:dyDescent="0.25">
      <c r="D192" s="57" t="str">
        <f>'Input - Swine'!$D$31</f>
        <v>Digester / covered lagoons</v>
      </c>
      <c r="E192" s="57" t="str">
        <f>'Input - Swine'!$D$63</f>
        <v>Anaerobic lagoon</v>
      </c>
      <c r="F192" s="52">
        <f>'Input - Swine'!E63</f>
        <v>0.2</v>
      </c>
      <c r="G192" s="52">
        <f>'Input - Swine'!F63</f>
        <v>0.25</v>
      </c>
      <c r="H192" s="52">
        <f>'Input - Swine'!G63</f>
        <v>0.25</v>
      </c>
      <c r="I192" s="52">
        <f>'Input - Swine'!H63</f>
        <v>0.25</v>
      </c>
      <c r="J192" s="2" t="s">
        <v>99</v>
      </c>
    </row>
    <row r="193" spans="4:19" ht="20.100000000000001" customHeight="1" x14ac:dyDescent="0.25">
      <c r="D193" s="57"/>
      <c r="E193" s="57" t="str">
        <f>'Input - Swine'!$D$64</f>
        <v>Deep litter</v>
      </c>
      <c r="F193" s="52">
        <f>'Input - Swine'!E64</f>
        <v>0.2</v>
      </c>
      <c r="G193" s="52">
        <f>'Input - Swine'!F64</f>
        <v>0.25</v>
      </c>
      <c r="H193" s="52">
        <f>'Input - Swine'!G64</f>
        <v>0.25</v>
      </c>
      <c r="I193" s="52">
        <f>'Input - Swine'!H64</f>
        <v>0.25</v>
      </c>
      <c r="J193" s="2" t="s">
        <v>99</v>
      </c>
    </row>
    <row r="194" spans="4:19" ht="20.100000000000001" customHeight="1" x14ac:dyDescent="0.25">
      <c r="D194" s="57"/>
      <c r="E194" s="57" t="str">
        <f>'Input - Swine'!$D$65</f>
        <v>Pit storage</v>
      </c>
      <c r="F194" s="52">
        <f>'Input - Swine'!E65</f>
        <v>0.2</v>
      </c>
      <c r="G194" s="52">
        <f>'Input - Swine'!F65</f>
        <v>0.25</v>
      </c>
      <c r="H194" s="52">
        <f>'Input - Swine'!G65</f>
        <v>0.25</v>
      </c>
      <c r="I194" s="52">
        <f>'Input - Swine'!H65</f>
        <v>0.25</v>
      </c>
      <c r="J194" s="2" t="s">
        <v>99</v>
      </c>
    </row>
    <row r="195" spans="4:19" ht="20.100000000000001" customHeight="1" x14ac:dyDescent="0.25">
      <c r="D195" s="57" t="str">
        <f>'Input - Swine'!$D$32</f>
        <v>Deep litter</v>
      </c>
      <c r="E195" s="57" t="str">
        <f>'Input - Swine'!$D$70</f>
        <v>Anaerobic lagoon</v>
      </c>
      <c r="F195" s="52">
        <f>'Input - Swine'!E70</f>
        <v>0.2</v>
      </c>
      <c r="G195" s="52">
        <f>'Input - Swine'!F70</f>
        <v>0.25</v>
      </c>
      <c r="H195" s="52">
        <f>'Input - Swine'!G70</f>
        <v>0.25</v>
      </c>
      <c r="I195" s="52">
        <f>'Input - Swine'!H70</f>
        <v>0.25</v>
      </c>
      <c r="J195" s="2" t="s">
        <v>99</v>
      </c>
    </row>
    <row r="196" spans="4:19" ht="20.100000000000001" customHeight="1" x14ac:dyDescent="0.25">
      <c r="D196" s="57"/>
      <c r="E196" s="57" t="str">
        <f>'Input - Swine'!$D$71</f>
        <v>Digester / covered lagoons</v>
      </c>
      <c r="F196" s="52">
        <f>'Input - Swine'!E71</f>
        <v>0.2</v>
      </c>
      <c r="G196" s="52">
        <f>'Input - Swine'!F71</f>
        <v>0.25</v>
      </c>
      <c r="H196" s="52">
        <f>'Input - Swine'!G71</f>
        <v>0.25</v>
      </c>
      <c r="I196" s="52">
        <f>'Input - Swine'!H71</f>
        <v>0.25</v>
      </c>
      <c r="J196" s="2" t="s">
        <v>99</v>
      </c>
    </row>
    <row r="197" spans="4:19" ht="20.100000000000001" customHeight="1" x14ac:dyDescent="0.25">
      <c r="D197" s="57"/>
      <c r="E197" s="57" t="str">
        <f>'Input - Swine'!$D$72</f>
        <v>Pit storage</v>
      </c>
      <c r="F197" s="52">
        <f>'Input - Swine'!E72</f>
        <v>0.2</v>
      </c>
      <c r="G197" s="52">
        <f>'Input - Swine'!F72</f>
        <v>0.25</v>
      </c>
      <c r="H197" s="52">
        <f>'Input - Swine'!G72</f>
        <v>0.25</v>
      </c>
      <c r="I197" s="52">
        <f>'Input - Swine'!H72</f>
        <v>0.25</v>
      </c>
      <c r="J197" s="2" t="s">
        <v>99</v>
      </c>
    </row>
    <row r="198" spans="4:19" ht="20.100000000000001" customHeight="1" x14ac:dyDescent="0.25">
      <c r="D198" s="57" t="str">
        <f>'Input - Swine'!$D$33</f>
        <v>Pit storage</v>
      </c>
      <c r="E198" s="57" t="str">
        <f>'Input - Swine'!$D$77</f>
        <v>Anaerobic lagoon</v>
      </c>
      <c r="F198" s="52">
        <f>'Input - Swine'!E77</f>
        <v>0.2</v>
      </c>
      <c r="G198" s="52">
        <f>'Input - Swine'!F77</f>
        <v>0.25</v>
      </c>
      <c r="H198" s="52">
        <f>'Input - Swine'!G77</f>
        <v>0.25</v>
      </c>
      <c r="I198" s="52">
        <f>'Input - Swine'!H77</f>
        <v>0.25</v>
      </c>
      <c r="J198" s="2" t="s">
        <v>99</v>
      </c>
    </row>
    <row r="199" spans="4:19" ht="20.100000000000001" customHeight="1" x14ac:dyDescent="0.25">
      <c r="D199" s="57"/>
      <c r="E199" s="57" t="str">
        <f>'Input - Swine'!$D$78</f>
        <v>Digester / covered lagoons</v>
      </c>
      <c r="F199" s="52">
        <f>'Input - Swine'!E78</f>
        <v>0.2</v>
      </c>
      <c r="G199" s="52">
        <f>'Input - Swine'!F78</f>
        <v>0.25</v>
      </c>
      <c r="H199" s="52">
        <f>'Input - Swine'!G78</f>
        <v>0.25</v>
      </c>
      <c r="I199" s="52">
        <f>'Input - Swine'!H78</f>
        <v>0.25</v>
      </c>
      <c r="J199" s="2" t="s">
        <v>99</v>
      </c>
    </row>
    <row r="200" spans="4:19" ht="20.100000000000001" customHeight="1" x14ac:dyDescent="0.25">
      <c r="D200" s="57"/>
      <c r="E200" s="57" t="str">
        <f>'Input - Swine'!$D$79</f>
        <v>Deep litter</v>
      </c>
      <c r="F200" s="52">
        <f>'Input - Swine'!E79</f>
        <v>0.2</v>
      </c>
      <c r="G200" s="52">
        <f>'Input - Swine'!F79</f>
        <v>0.25</v>
      </c>
      <c r="H200" s="52">
        <f>'Input - Swine'!G79</f>
        <v>0.25</v>
      </c>
      <c r="I200" s="52">
        <f>'Input - Swine'!H79</f>
        <v>0.25</v>
      </c>
      <c r="J200" s="2" t="s">
        <v>99</v>
      </c>
    </row>
    <row r="201" spans="4:19" ht="20.100000000000001" customHeight="1" x14ac:dyDescent="0.25">
      <c r="D201" s="57" t="str">
        <f>'Input - Swine'!$D$34</f>
        <v>Solid storage</v>
      </c>
      <c r="E201" s="57" t="str">
        <f>'Input - Swine'!$D$84</f>
        <v>Anaerobic lagoon</v>
      </c>
      <c r="F201" s="52">
        <f>'Input - Swine'!E84</f>
        <v>0.2</v>
      </c>
      <c r="G201" s="52">
        <f>'Input - Swine'!F84</f>
        <v>0.2</v>
      </c>
      <c r="H201" s="52">
        <f>'Input - Swine'!G84</f>
        <v>0.2</v>
      </c>
      <c r="I201" s="52">
        <f>'Input - Swine'!H84</f>
        <v>0.2</v>
      </c>
      <c r="J201" s="2" t="s">
        <v>99</v>
      </c>
    </row>
    <row r="202" spans="4:19" ht="20.100000000000001" customHeight="1" x14ac:dyDescent="0.25">
      <c r="D202" s="57"/>
      <c r="E202" s="57" t="str">
        <f>'Input - Swine'!$D$85</f>
        <v>Digester / covered lagoons</v>
      </c>
      <c r="F202" s="52">
        <f>'Input - Swine'!E85</f>
        <v>0.2</v>
      </c>
      <c r="G202" s="52">
        <f>'Input - Swine'!F85</f>
        <v>0.2</v>
      </c>
      <c r="H202" s="52">
        <f>'Input - Swine'!G85</f>
        <v>0.2</v>
      </c>
      <c r="I202" s="52">
        <f>'Input - Swine'!H85</f>
        <v>0.2</v>
      </c>
      <c r="J202" s="2" t="s">
        <v>99</v>
      </c>
    </row>
    <row r="203" spans="4:19" ht="20.100000000000001" customHeight="1" x14ac:dyDescent="0.25">
      <c r="D203" s="57"/>
      <c r="E203" s="57" t="str">
        <f>'Input - Swine'!$D$86</f>
        <v>Deep litter</v>
      </c>
      <c r="F203" s="52">
        <f>'Input - Swine'!E86</f>
        <v>0.2</v>
      </c>
      <c r="G203" s="52">
        <f>'Input - Swine'!F86</f>
        <v>0.2</v>
      </c>
      <c r="H203" s="52">
        <f>'Input - Swine'!G86</f>
        <v>0.2</v>
      </c>
      <c r="I203" s="52">
        <f>'Input - Swine'!H86</f>
        <v>0.2</v>
      </c>
      <c r="J203" s="2" t="s">
        <v>99</v>
      </c>
    </row>
    <row r="204" spans="4:19" ht="20.100000000000001" customHeight="1" x14ac:dyDescent="0.25">
      <c r="D204" s="57"/>
      <c r="E204" s="57" t="str">
        <f>'Input - Swine'!$D$87</f>
        <v>Pit storage</v>
      </c>
      <c r="F204" s="52">
        <f>'Input - Swine'!E87</f>
        <v>0.1</v>
      </c>
      <c r="G204" s="52">
        <f>'Input - Swine'!F87</f>
        <v>0.1</v>
      </c>
      <c r="H204" s="52">
        <f>'Input - Swine'!G87</f>
        <v>0.1</v>
      </c>
      <c r="I204" s="52">
        <f>'Input - Swine'!H87</f>
        <v>0.1</v>
      </c>
      <c r="J204" s="2" t="s">
        <v>99</v>
      </c>
    </row>
    <row r="205" spans="4:19" ht="20.100000000000001" customHeight="1" x14ac:dyDescent="0.25"/>
    <row r="206" spans="4:19" ht="20.100000000000001" customHeight="1" x14ac:dyDescent="0.25">
      <c r="D206" s="121" t="s">
        <v>317</v>
      </c>
      <c r="N206" s="121" t="s">
        <v>317</v>
      </c>
    </row>
    <row r="207" spans="4:19" ht="20.100000000000001" customHeight="1" x14ac:dyDescent="0.25">
      <c r="D207" s="122" t="s">
        <v>318</v>
      </c>
      <c r="N207" s="122" t="s">
        <v>318</v>
      </c>
    </row>
    <row r="208" spans="4:19" ht="20.100000000000001" customHeight="1" x14ac:dyDescent="0.25">
      <c r="D208" s="51" t="s">
        <v>169</v>
      </c>
      <c r="E208" s="51" t="s">
        <v>206</v>
      </c>
      <c r="F208" s="51" t="s">
        <v>143</v>
      </c>
      <c r="G208" s="51" t="s">
        <v>144</v>
      </c>
      <c r="H208" s="51" t="s">
        <v>145</v>
      </c>
      <c r="I208" s="51" t="s">
        <v>263</v>
      </c>
      <c r="N208" s="51" t="s">
        <v>169</v>
      </c>
      <c r="O208" s="51" t="s">
        <v>206</v>
      </c>
      <c r="P208" s="51" t="s">
        <v>143</v>
      </c>
      <c r="Q208" s="51" t="s">
        <v>144</v>
      </c>
      <c r="R208" s="51" t="s">
        <v>145</v>
      </c>
      <c r="S208" s="51" t="s">
        <v>263</v>
      </c>
    </row>
    <row r="209" spans="4:20" ht="20.100000000000001" customHeight="1" x14ac:dyDescent="0.25">
      <c r="D209" s="57" t="str">
        <f>'Input - Swine'!$D$29</f>
        <v>Anaerobic lagoon</v>
      </c>
      <c r="E209" s="57" t="str">
        <f>'Input - Swine'!$D$48</f>
        <v>Digester / covered lagoons</v>
      </c>
      <c r="F209" s="52" cm="1">
        <f t="array" ref="F209">MMS_Swine_N2ODirect_Equations.VEERG_4_5_1_3__6_Stage2NitrogenInMMS(E$162,F185)</f>
        <v>18.133199999999995</v>
      </c>
      <c r="G209" s="52" cm="1">
        <f t="array" ref="G209">MMS_Swine_N2ODirect_Equations.VEERG_4_5_1_3__6_Stage2NitrogenInMMS(F$162,G185)</f>
        <v>24.144750000000002</v>
      </c>
      <c r="H209" s="52" cm="1">
        <f t="array" ref="H209">MMS_Swine_N2ODirect_Equations.VEERG_4_5_1_3__6_Stage2NitrogenInMMS(G$162,H185)</f>
        <v>22.666499999999992</v>
      </c>
      <c r="I209" s="52" cm="1">
        <f t="array" ref="I209">MMS_Swine_N2ODirect_Equations.VEERG_4_5_1_3__6_Stage2NitrogenInMMS(H$162,I185)</f>
        <v>15.373799999999996</v>
      </c>
      <c r="J209" s="2" t="str">
        <f t="shared" ref="J209:J228" si="6">$E$177</f>
        <v>kg N</v>
      </c>
      <c r="N209" s="57" t="str">
        <f>'Input - Swine'!$D$29</f>
        <v>Anaerobic lagoon</v>
      </c>
      <c r="O209" s="57" t="str">
        <f>'Input - Swine'!$D$48</f>
        <v>Digester / covered lagoons</v>
      </c>
      <c r="P209" s="52" cm="1">
        <f t="array" ref="P209">MMS_Swine_N2ODirect_Equations.VEERG_4_5_1_3__6_Stage2NitrogenInMMS(O$162,F185)</f>
        <v>18.133199999999995</v>
      </c>
      <c r="Q209" s="52" cm="1">
        <f t="array" ref="Q209">MMS_Swine_N2ODirect_Equations.VEERG_4_5_1_3__6_Stage2NitrogenInMMS(P$162,G185)</f>
        <v>24.144750000000002</v>
      </c>
      <c r="R209" s="52" cm="1">
        <f t="array" ref="R209">MMS_Swine_N2ODirect_Equations.VEERG_4_5_1_3__6_Stage2NitrogenInMMS(Q$162,H185)</f>
        <v>22.666499999999992</v>
      </c>
      <c r="S209" s="52" cm="1">
        <f t="array" ref="S209">MMS_Swine_N2ODirect_Equations.VEERG_4_5_1_3__6_Stage2NitrogenInMMS(R$162,I185)</f>
        <v>15.373799999999996</v>
      </c>
      <c r="T209" s="2" t="str">
        <f t="shared" ref="T209:T228" si="7">$E$177</f>
        <v>kg N</v>
      </c>
    </row>
    <row r="210" spans="4:20" ht="20.100000000000001" customHeight="1" x14ac:dyDescent="0.25">
      <c r="D210" s="57"/>
      <c r="E210" s="57" t="str">
        <f>'Input - Swine'!$D$49</f>
        <v>Deep litter</v>
      </c>
      <c r="F210" s="52" cm="1">
        <f t="array" ref="F210">MMS_Swine_N2ODirect_Equations.VEERG_4_5_1_3__6_Stage2NitrogenInMMS(E$162,F186)</f>
        <v>18.133199999999995</v>
      </c>
      <c r="G210" s="52" cm="1">
        <f t="array" ref="G210">MMS_Swine_N2ODirect_Equations.VEERG_4_5_1_3__6_Stage2NitrogenInMMS(F$162,G186)</f>
        <v>24.144750000000002</v>
      </c>
      <c r="H210" s="52" cm="1">
        <f t="array" ref="H210">MMS_Swine_N2ODirect_Equations.VEERG_4_5_1_3__6_Stage2NitrogenInMMS(G$162,H186)</f>
        <v>22.666499999999992</v>
      </c>
      <c r="I210" s="52" cm="1">
        <f t="array" ref="I210">MMS_Swine_N2ODirect_Equations.VEERG_4_5_1_3__6_Stage2NitrogenInMMS(H$162,I186)</f>
        <v>15.373799999999996</v>
      </c>
      <c r="J210" s="2" t="str">
        <f t="shared" si="6"/>
        <v>kg N</v>
      </c>
      <c r="N210" s="57"/>
      <c r="O210" s="57" t="str">
        <f>'Input - Swine'!$D$49</f>
        <v>Deep litter</v>
      </c>
      <c r="P210" s="52" cm="1">
        <f t="array" ref="P210">MMS_Swine_N2ODirect_Equations.VEERG_4_5_1_3__6_Stage2NitrogenInMMS(O$162,F186)</f>
        <v>18.133199999999995</v>
      </c>
      <c r="Q210" s="52" cm="1">
        <f t="array" ref="Q210">MMS_Swine_N2ODirect_Equations.VEERG_4_5_1_3__6_Stage2NitrogenInMMS(P$162,G186)</f>
        <v>24.144750000000002</v>
      </c>
      <c r="R210" s="52" cm="1">
        <f t="array" ref="R210">MMS_Swine_N2ODirect_Equations.VEERG_4_5_1_3__6_Stage2NitrogenInMMS(Q$162,H186)</f>
        <v>22.666499999999992</v>
      </c>
      <c r="S210" s="52" cm="1">
        <f t="array" ref="S210">MMS_Swine_N2ODirect_Equations.VEERG_4_5_1_3__6_Stage2NitrogenInMMS(R$162,I186)</f>
        <v>15.373799999999996</v>
      </c>
      <c r="T210" s="2" t="str">
        <f t="shared" si="7"/>
        <v>kg N</v>
      </c>
    </row>
    <row r="211" spans="4:20" ht="20.100000000000001" customHeight="1" x14ac:dyDescent="0.25">
      <c r="D211" s="57"/>
      <c r="E211" s="57" t="str">
        <f>'Input - Swine'!$D$50</f>
        <v>Pit storage</v>
      </c>
      <c r="F211" s="52" cm="1">
        <f t="array" ref="F211">MMS_Swine_N2ODirect_Equations.VEERG_4_5_1_3__6_Stage2NitrogenInMMS(E$162,F187)</f>
        <v>18.133199999999995</v>
      </c>
      <c r="G211" s="52" cm="1">
        <f t="array" ref="G211">MMS_Swine_N2ODirect_Equations.VEERG_4_5_1_3__6_Stage2NitrogenInMMS(F$162,G187)</f>
        <v>24.144750000000002</v>
      </c>
      <c r="H211" s="52" cm="1">
        <f t="array" ref="H211">MMS_Swine_N2ODirect_Equations.VEERG_4_5_1_3__6_Stage2NitrogenInMMS(G$162,H187)</f>
        <v>22.666499999999992</v>
      </c>
      <c r="I211" s="52" cm="1">
        <f t="array" ref="I211">MMS_Swine_N2ODirect_Equations.VEERG_4_5_1_3__6_Stage2NitrogenInMMS(H$162,I187)</f>
        <v>15.373799999999996</v>
      </c>
      <c r="J211" s="2" t="str">
        <f t="shared" si="6"/>
        <v>kg N</v>
      </c>
      <c r="N211" s="57"/>
      <c r="O211" s="57" t="str">
        <f>'Input - Swine'!$D$50</f>
        <v>Pit storage</v>
      </c>
      <c r="P211" s="52" cm="1">
        <f t="array" ref="P211">MMS_Swine_N2ODirect_Equations.VEERG_4_5_1_3__6_Stage2NitrogenInMMS(O$162,F187)</f>
        <v>18.133199999999995</v>
      </c>
      <c r="Q211" s="52" cm="1">
        <f t="array" ref="Q211">MMS_Swine_N2ODirect_Equations.VEERG_4_5_1_3__6_Stage2NitrogenInMMS(P$162,G187)</f>
        <v>24.144750000000002</v>
      </c>
      <c r="R211" s="52" cm="1">
        <f t="array" ref="R211">MMS_Swine_N2ODirect_Equations.VEERG_4_5_1_3__6_Stage2NitrogenInMMS(Q$162,H187)</f>
        <v>22.666499999999992</v>
      </c>
      <c r="S211" s="52" cm="1">
        <f t="array" ref="S211">MMS_Swine_N2ODirect_Equations.VEERG_4_5_1_3__6_Stage2NitrogenInMMS(R$162,I187)</f>
        <v>15.373799999999996</v>
      </c>
      <c r="T211" s="2" t="str">
        <f t="shared" si="7"/>
        <v>kg N</v>
      </c>
    </row>
    <row r="212" spans="4:20" ht="20.100000000000001" customHeight="1" x14ac:dyDescent="0.25">
      <c r="D212" s="57" t="str">
        <f>'Input - Swine'!$D$30</f>
        <v>Drylot (feed pad)</v>
      </c>
      <c r="E212" s="57" t="str">
        <f>'Input - Swine'!$D$55</f>
        <v>Anaerobic lagoon</v>
      </c>
      <c r="F212" s="52" cm="1">
        <f t="array" ref="F212">MMS_Swine_N2ODirect_Equations.VEERG_4_5_1_3__6_Stage2NitrogenInMMS(E$163,F188)</f>
        <v>27.401279999999993</v>
      </c>
      <c r="G212" s="52" cm="1">
        <f t="array" ref="G212">MMS_Swine_N2ODirect_Equations.VEERG_4_5_1_3__6_Stage2NitrogenInMMS(F$163,G188)</f>
        <v>36.485400000000006</v>
      </c>
      <c r="H212" s="52" cm="1">
        <f t="array" ref="H212">MMS_Swine_N2ODirect_Equations.VEERG_4_5_1_3__6_Stage2NitrogenInMMS(G$163,H188)</f>
        <v>34.251599999999989</v>
      </c>
      <c r="I212" s="52" cm="1">
        <f t="array" ref="I212">MMS_Swine_N2ODirect_Equations.VEERG_4_5_1_3__6_Stage2NitrogenInMMS(H$163,I188)</f>
        <v>23.231519999999993</v>
      </c>
      <c r="J212" s="2" t="str">
        <f t="shared" si="6"/>
        <v>kg N</v>
      </c>
      <c r="N212" s="57" t="str">
        <f>'Input - Swine'!$D$30</f>
        <v>Drylot (feed pad)</v>
      </c>
      <c r="O212" s="57" t="str">
        <f>'Input - Swine'!$D$55</f>
        <v>Anaerobic lagoon</v>
      </c>
      <c r="P212" s="52" cm="1">
        <f t="array" ref="P212">MMS_Swine_N2ODirect_Equations.VEERG_4_5_1_3__6_Stage2NitrogenInMMS(O$163,F188)</f>
        <v>27.401279999999993</v>
      </c>
      <c r="Q212" s="52" cm="1">
        <f t="array" ref="Q212">MMS_Swine_N2ODirect_Equations.VEERG_4_5_1_3__6_Stage2NitrogenInMMS(P$163,G188)</f>
        <v>36.485400000000006</v>
      </c>
      <c r="R212" s="52" cm="1">
        <f t="array" ref="R212">MMS_Swine_N2ODirect_Equations.VEERG_4_5_1_3__6_Stage2NitrogenInMMS(Q$163,H188)</f>
        <v>34.251599999999989</v>
      </c>
      <c r="S212" s="52" cm="1">
        <f t="array" ref="S212">MMS_Swine_N2ODirect_Equations.VEERG_4_5_1_3__6_Stage2NitrogenInMMS(R$163,I188)</f>
        <v>23.231519999999993</v>
      </c>
      <c r="T212" s="2" t="str">
        <f t="shared" si="7"/>
        <v>kg N</v>
      </c>
    </row>
    <row r="213" spans="4:20" ht="20.100000000000001" customHeight="1" x14ac:dyDescent="0.25">
      <c r="D213" s="57"/>
      <c r="E213" s="57" t="str">
        <f>'Input - Swine'!$D$56</f>
        <v>Digester / covered lagoons</v>
      </c>
      <c r="F213" s="52" cm="1">
        <f t="array" ref="F213">MMS_Swine_N2ODirect_Equations.VEERG_4_5_1_3__6_Stage2NitrogenInMMS(E$163,F189)</f>
        <v>27.401279999999993</v>
      </c>
      <c r="G213" s="52" cm="1">
        <f t="array" ref="G213">MMS_Swine_N2ODirect_Equations.VEERG_4_5_1_3__6_Stage2NitrogenInMMS(F$163,G189)</f>
        <v>36.485400000000006</v>
      </c>
      <c r="H213" s="52" cm="1">
        <f t="array" ref="H213">MMS_Swine_N2ODirect_Equations.VEERG_4_5_1_3__6_Stage2NitrogenInMMS(G$163,H189)</f>
        <v>34.251599999999989</v>
      </c>
      <c r="I213" s="52" cm="1">
        <f t="array" ref="I213">MMS_Swine_N2ODirect_Equations.VEERG_4_5_1_3__6_Stage2NitrogenInMMS(H$163,I189)</f>
        <v>23.231519999999993</v>
      </c>
      <c r="J213" s="2" t="str">
        <f t="shared" si="6"/>
        <v>kg N</v>
      </c>
      <c r="N213" s="57"/>
      <c r="O213" s="57" t="str">
        <f>'Input - Swine'!$D$56</f>
        <v>Digester / covered lagoons</v>
      </c>
      <c r="P213" s="52" cm="1">
        <f t="array" ref="P213">MMS_Swine_N2ODirect_Equations.VEERG_4_5_1_3__6_Stage2NitrogenInMMS(O$163,F189)</f>
        <v>27.401279999999993</v>
      </c>
      <c r="Q213" s="52" cm="1">
        <f t="array" ref="Q213">MMS_Swine_N2ODirect_Equations.VEERG_4_5_1_3__6_Stage2NitrogenInMMS(P$163,G189)</f>
        <v>36.485400000000006</v>
      </c>
      <c r="R213" s="52" cm="1">
        <f t="array" ref="R213">MMS_Swine_N2ODirect_Equations.VEERG_4_5_1_3__6_Stage2NitrogenInMMS(Q$163,H189)</f>
        <v>34.251599999999989</v>
      </c>
      <c r="S213" s="52" cm="1">
        <f t="array" ref="S213">MMS_Swine_N2ODirect_Equations.VEERG_4_5_1_3__6_Stage2NitrogenInMMS(R$163,I189)</f>
        <v>23.231519999999993</v>
      </c>
      <c r="T213" s="2" t="str">
        <f t="shared" si="7"/>
        <v>kg N</v>
      </c>
    </row>
    <row r="214" spans="4:20" ht="20.100000000000001" customHeight="1" x14ac:dyDescent="0.25">
      <c r="D214" s="57"/>
      <c r="E214" s="57" t="str">
        <f>'Input - Swine'!$D$57</f>
        <v>Deep litter</v>
      </c>
      <c r="F214" s="52" cm="1">
        <f t="array" ref="F214">MMS_Swine_N2ODirect_Equations.VEERG_4_5_1_3__6_Stage2NitrogenInMMS(E$163,F190)</f>
        <v>27.401279999999993</v>
      </c>
      <c r="G214" s="52" cm="1">
        <f t="array" ref="G214">MMS_Swine_N2ODirect_Equations.VEERG_4_5_1_3__6_Stage2NitrogenInMMS(F$163,G190)</f>
        <v>36.485400000000006</v>
      </c>
      <c r="H214" s="52" cm="1">
        <f t="array" ref="H214">MMS_Swine_N2ODirect_Equations.VEERG_4_5_1_3__6_Stage2NitrogenInMMS(G$163,H190)</f>
        <v>34.251599999999989</v>
      </c>
      <c r="I214" s="52" cm="1">
        <f t="array" ref="I214">MMS_Swine_N2ODirect_Equations.VEERG_4_5_1_3__6_Stage2NitrogenInMMS(H$163,I190)</f>
        <v>23.231519999999993</v>
      </c>
      <c r="J214" s="2" t="str">
        <f t="shared" si="6"/>
        <v>kg N</v>
      </c>
      <c r="N214" s="57"/>
      <c r="O214" s="57" t="str">
        <f>'Input - Swine'!$D$57</f>
        <v>Deep litter</v>
      </c>
      <c r="P214" s="52" cm="1">
        <f t="array" ref="P214">MMS_Swine_N2ODirect_Equations.VEERG_4_5_1_3__6_Stage2NitrogenInMMS(O$163,F190)</f>
        <v>27.401279999999993</v>
      </c>
      <c r="Q214" s="52" cm="1">
        <f t="array" ref="Q214">MMS_Swine_N2ODirect_Equations.VEERG_4_5_1_3__6_Stage2NitrogenInMMS(P$163,G190)</f>
        <v>36.485400000000006</v>
      </c>
      <c r="R214" s="52" cm="1">
        <f t="array" ref="R214">MMS_Swine_N2ODirect_Equations.VEERG_4_5_1_3__6_Stage2NitrogenInMMS(Q$163,H190)</f>
        <v>34.251599999999989</v>
      </c>
      <c r="S214" s="52" cm="1">
        <f t="array" ref="S214">MMS_Swine_N2ODirect_Equations.VEERG_4_5_1_3__6_Stage2NitrogenInMMS(R$163,I190)</f>
        <v>23.231519999999993</v>
      </c>
      <c r="T214" s="2" t="str">
        <f t="shared" si="7"/>
        <v>kg N</v>
      </c>
    </row>
    <row r="215" spans="4:20" ht="20.100000000000001" customHeight="1" x14ac:dyDescent="0.25">
      <c r="D215" s="57"/>
      <c r="E215" s="57" t="str">
        <f>'Input - Swine'!$D$58</f>
        <v>Pit storage</v>
      </c>
      <c r="F215" s="52" cm="1">
        <f t="array" ref="F215">MMS_Swine_N2ODirect_Equations.VEERG_4_5_1_3__6_Stage2NitrogenInMMS(E$163,F191)</f>
        <v>27.401279999999993</v>
      </c>
      <c r="G215" s="52" cm="1">
        <f t="array" ref="G215">MMS_Swine_N2ODirect_Equations.VEERG_4_5_1_3__6_Stage2NitrogenInMMS(F$163,G191)</f>
        <v>36.485400000000006</v>
      </c>
      <c r="H215" s="52" cm="1">
        <f t="array" ref="H215">MMS_Swine_N2ODirect_Equations.VEERG_4_5_1_3__6_Stage2NitrogenInMMS(G$163,H191)</f>
        <v>34.251599999999989</v>
      </c>
      <c r="I215" s="52" cm="1">
        <f t="array" ref="I215">MMS_Swine_N2ODirect_Equations.VEERG_4_5_1_3__6_Stage2NitrogenInMMS(H$163,I191)</f>
        <v>23.231519999999993</v>
      </c>
      <c r="J215" s="2" t="str">
        <f t="shared" si="6"/>
        <v>kg N</v>
      </c>
      <c r="N215" s="57"/>
      <c r="O215" s="57" t="str">
        <f>'Input - Swine'!$D$58</f>
        <v>Pit storage</v>
      </c>
      <c r="P215" s="52" cm="1">
        <f t="array" ref="P215">MMS_Swine_N2ODirect_Equations.VEERG_4_5_1_3__6_Stage2NitrogenInMMS(O$163,F191)</f>
        <v>27.401279999999993</v>
      </c>
      <c r="Q215" s="52" cm="1">
        <f t="array" ref="Q215">MMS_Swine_N2ODirect_Equations.VEERG_4_5_1_3__6_Stage2NitrogenInMMS(P$163,G191)</f>
        <v>36.485400000000006</v>
      </c>
      <c r="R215" s="52" cm="1">
        <f t="array" ref="R215">MMS_Swine_N2ODirect_Equations.VEERG_4_5_1_3__6_Stage2NitrogenInMMS(Q$163,H191)</f>
        <v>34.251599999999989</v>
      </c>
      <c r="S215" s="52" cm="1">
        <f t="array" ref="S215">MMS_Swine_N2ODirect_Equations.VEERG_4_5_1_3__6_Stage2NitrogenInMMS(R$163,I191)</f>
        <v>23.231519999999993</v>
      </c>
      <c r="T215" s="2" t="str">
        <f t="shared" si="7"/>
        <v>kg N</v>
      </c>
    </row>
    <row r="216" spans="4:20" ht="20.100000000000001" customHeight="1" x14ac:dyDescent="0.25">
      <c r="D216" s="57" t="str">
        <f>'Input - Swine'!$D$31</f>
        <v>Digester / covered lagoons</v>
      </c>
      <c r="E216" s="57" t="str">
        <f>'Input - Swine'!$D$63</f>
        <v>Anaerobic lagoon</v>
      </c>
      <c r="F216" s="52" cm="1">
        <f t="array" ref="F216">MMS_Swine_N2ODirect_Equations.VEERG_4_5_1_3__6_Stage2NitrogenInMMS(E$164,F192)</f>
        <v>40.295999999999992</v>
      </c>
      <c r="G216" s="52" cm="1">
        <f t="array" ref="G216">MMS_Swine_N2ODirect_Equations.VEERG_4_5_1_3__6_Stage2NitrogenInMMS(F$164,G192)</f>
        <v>53.655000000000008</v>
      </c>
      <c r="H216" s="52" cm="1">
        <f t="array" ref="H216">MMS_Swine_N2ODirect_Equations.VEERG_4_5_1_3__6_Stage2NitrogenInMMS(G$164,H192)</f>
        <v>50.36999999999999</v>
      </c>
      <c r="I216" s="52" cm="1">
        <f t="array" ref="I216">MMS_Swine_N2ODirect_Equations.VEERG_4_5_1_3__6_Stage2NitrogenInMMS(H$164,I192)</f>
        <v>34.163999999999994</v>
      </c>
      <c r="J216" s="2" t="str">
        <f t="shared" si="6"/>
        <v>kg N</v>
      </c>
      <c r="N216" s="57" t="str">
        <f>'Input - Swine'!$D$31</f>
        <v>Digester / covered lagoons</v>
      </c>
      <c r="O216" s="57" t="str">
        <f>'Input - Swine'!$D$63</f>
        <v>Anaerobic lagoon</v>
      </c>
      <c r="P216" s="52" cm="1">
        <f t="array" ref="P216">MMS_Swine_N2ODirect_Equations.VEERG_4_5_1_3__6_Stage2NitrogenInMMS(O$164,F192)</f>
        <v>40.295999999999992</v>
      </c>
      <c r="Q216" s="52" cm="1">
        <f t="array" ref="Q216">MMS_Swine_N2ODirect_Equations.VEERG_4_5_1_3__6_Stage2NitrogenInMMS(P$164,G192)</f>
        <v>53.655000000000008</v>
      </c>
      <c r="R216" s="52" cm="1">
        <f t="array" ref="R216">MMS_Swine_N2ODirect_Equations.VEERG_4_5_1_3__6_Stage2NitrogenInMMS(Q$164,H192)</f>
        <v>50.36999999999999</v>
      </c>
      <c r="S216" s="52" cm="1">
        <f t="array" ref="S216">MMS_Swine_N2ODirect_Equations.VEERG_4_5_1_3__6_Stage2NitrogenInMMS(R$164,I192)</f>
        <v>34.163999999999994</v>
      </c>
      <c r="T216" s="2" t="str">
        <f t="shared" si="7"/>
        <v>kg N</v>
      </c>
    </row>
    <row r="217" spans="4:20" ht="20.100000000000001" customHeight="1" x14ac:dyDescent="0.25">
      <c r="D217" s="57"/>
      <c r="E217" s="57" t="str">
        <f>'Input - Swine'!$D$64</f>
        <v>Deep litter</v>
      </c>
      <c r="F217" s="52" cm="1">
        <f t="array" ref="F217">MMS_Swine_N2ODirect_Equations.VEERG_4_5_1_3__6_Stage2NitrogenInMMS(E$164,F193)</f>
        <v>40.295999999999992</v>
      </c>
      <c r="G217" s="52" cm="1">
        <f t="array" ref="G217">MMS_Swine_N2ODirect_Equations.VEERG_4_5_1_3__6_Stage2NitrogenInMMS(F$164,G193)</f>
        <v>53.655000000000008</v>
      </c>
      <c r="H217" s="52" cm="1">
        <f t="array" ref="H217">MMS_Swine_N2ODirect_Equations.VEERG_4_5_1_3__6_Stage2NitrogenInMMS(G$164,H193)</f>
        <v>50.36999999999999</v>
      </c>
      <c r="I217" s="52" cm="1">
        <f t="array" ref="I217">MMS_Swine_N2ODirect_Equations.VEERG_4_5_1_3__6_Stage2NitrogenInMMS(H$164,I193)</f>
        <v>34.163999999999994</v>
      </c>
      <c r="J217" s="2" t="str">
        <f t="shared" si="6"/>
        <v>kg N</v>
      </c>
      <c r="N217" s="57"/>
      <c r="O217" s="57" t="str">
        <f>'Input - Swine'!$D$64</f>
        <v>Deep litter</v>
      </c>
      <c r="P217" s="52" cm="1">
        <f t="array" ref="P217">MMS_Swine_N2ODirect_Equations.VEERG_4_5_1_3__6_Stage2NitrogenInMMS(O$164,F193)</f>
        <v>40.295999999999992</v>
      </c>
      <c r="Q217" s="52" cm="1">
        <f t="array" ref="Q217">MMS_Swine_N2ODirect_Equations.VEERG_4_5_1_3__6_Stage2NitrogenInMMS(P$164,G193)</f>
        <v>53.655000000000008</v>
      </c>
      <c r="R217" s="52" cm="1">
        <f t="array" ref="R217">MMS_Swine_N2ODirect_Equations.VEERG_4_5_1_3__6_Stage2NitrogenInMMS(Q$164,H193)</f>
        <v>50.36999999999999</v>
      </c>
      <c r="S217" s="52" cm="1">
        <f t="array" ref="S217">MMS_Swine_N2ODirect_Equations.VEERG_4_5_1_3__6_Stage2NitrogenInMMS(R$164,I193)</f>
        <v>34.163999999999994</v>
      </c>
      <c r="T217" s="2" t="str">
        <f t="shared" si="7"/>
        <v>kg N</v>
      </c>
    </row>
    <row r="218" spans="4:20" ht="20.100000000000001" customHeight="1" x14ac:dyDescent="0.25">
      <c r="D218" s="57"/>
      <c r="E218" s="57" t="str">
        <f>'Input - Swine'!$D$65</f>
        <v>Pit storage</v>
      </c>
      <c r="F218" s="52" cm="1">
        <f t="array" ref="F218">MMS_Swine_N2ODirect_Equations.VEERG_4_5_1_3__6_Stage2NitrogenInMMS(E$164,F194)</f>
        <v>40.295999999999992</v>
      </c>
      <c r="G218" s="52" cm="1">
        <f t="array" ref="G218">MMS_Swine_N2ODirect_Equations.VEERG_4_5_1_3__6_Stage2NitrogenInMMS(F$164,G194)</f>
        <v>53.655000000000008</v>
      </c>
      <c r="H218" s="52" cm="1">
        <f t="array" ref="H218">MMS_Swine_N2ODirect_Equations.VEERG_4_5_1_3__6_Stage2NitrogenInMMS(G$164,H194)</f>
        <v>50.36999999999999</v>
      </c>
      <c r="I218" s="52" cm="1">
        <f t="array" ref="I218">MMS_Swine_N2ODirect_Equations.VEERG_4_5_1_3__6_Stage2NitrogenInMMS(H$164,I194)</f>
        <v>34.163999999999994</v>
      </c>
      <c r="J218" s="2" t="str">
        <f t="shared" si="6"/>
        <v>kg N</v>
      </c>
      <c r="N218" s="57"/>
      <c r="O218" s="57" t="str">
        <f>'Input - Swine'!$D$65</f>
        <v>Pit storage</v>
      </c>
      <c r="P218" s="52" cm="1">
        <f t="array" ref="P218">MMS_Swine_N2ODirect_Equations.VEERG_4_5_1_3__6_Stage2NitrogenInMMS(O$164,F194)</f>
        <v>40.295999999999992</v>
      </c>
      <c r="Q218" s="52" cm="1">
        <f t="array" ref="Q218">MMS_Swine_N2ODirect_Equations.VEERG_4_5_1_3__6_Stage2NitrogenInMMS(P$164,G194)</f>
        <v>53.655000000000008</v>
      </c>
      <c r="R218" s="52" cm="1">
        <f t="array" ref="R218">MMS_Swine_N2ODirect_Equations.VEERG_4_5_1_3__6_Stage2NitrogenInMMS(Q$164,H194)</f>
        <v>50.36999999999999</v>
      </c>
      <c r="S218" s="52" cm="1">
        <f t="array" ref="S218">MMS_Swine_N2ODirect_Equations.VEERG_4_5_1_3__6_Stage2NitrogenInMMS(R$164,I194)</f>
        <v>34.163999999999994</v>
      </c>
      <c r="T218" s="2" t="str">
        <f t="shared" si="7"/>
        <v>kg N</v>
      </c>
    </row>
    <row r="219" spans="4:20" ht="20.100000000000001" customHeight="1" x14ac:dyDescent="0.25">
      <c r="D219" s="57" t="str">
        <f>'Input - Swine'!$D$32</f>
        <v>Deep litter</v>
      </c>
      <c r="E219" s="57" t="str">
        <f>'Input - Swine'!$D$70</f>
        <v>Anaerobic lagoon</v>
      </c>
      <c r="F219" s="52" cm="1">
        <f t="array" ref="F219">MMS_Swine_N2ODirect_Equations.VEERG_4_5_1_3__6_Stage2NitrogenInMMS(E$165,F195)</f>
        <v>34.856039999999993</v>
      </c>
      <c r="G219" s="52" cm="1">
        <f t="array" ref="G219">MMS_Swine_N2ODirect_Equations.VEERG_4_5_1_3__6_Stage2NitrogenInMMS(F$165,G195)</f>
        <v>46.411575000000006</v>
      </c>
      <c r="H219" s="52" cm="1">
        <f t="array" ref="H219">MMS_Swine_N2ODirect_Equations.VEERG_4_5_1_3__6_Stage2NitrogenInMMS(G$165,H195)</f>
        <v>43.570049999999988</v>
      </c>
      <c r="I219" s="52" cm="1">
        <f t="array" ref="I219">MMS_Swine_N2ODirect_Equations.VEERG_4_5_1_3__6_Stage2NitrogenInMMS(H$165,I195)</f>
        <v>29.551859999999994</v>
      </c>
      <c r="J219" s="2" t="str">
        <f t="shared" si="6"/>
        <v>kg N</v>
      </c>
      <c r="N219" s="57" t="str">
        <f>'Input - Swine'!$D$32</f>
        <v>Deep litter</v>
      </c>
      <c r="O219" s="57" t="str">
        <f>'Input - Swine'!$D$70</f>
        <v>Anaerobic lagoon</v>
      </c>
      <c r="P219" s="52" cm="1">
        <f t="array" ref="P219">MMS_Swine_N2ODirect_Equations.VEERG_4_5_1_3__6_Stage2NitrogenInMMS(O$165,F195)</f>
        <v>34.856039999999993</v>
      </c>
      <c r="Q219" s="52" cm="1">
        <f t="array" ref="Q219">MMS_Swine_N2ODirect_Equations.VEERG_4_5_1_3__6_Stage2NitrogenInMMS(P$165,G195)</f>
        <v>46.411575000000006</v>
      </c>
      <c r="R219" s="52" cm="1">
        <f t="array" ref="R219">MMS_Swine_N2ODirect_Equations.VEERG_4_5_1_3__6_Stage2NitrogenInMMS(Q$165,H195)</f>
        <v>43.570049999999988</v>
      </c>
      <c r="S219" s="52" cm="1">
        <f t="array" ref="S219">MMS_Swine_N2ODirect_Equations.VEERG_4_5_1_3__6_Stage2NitrogenInMMS(R$165,I195)</f>
        <v>29.551859999999994</v>
      </c>
      <c r="T219" s="2" t="str">
        <f t="shared" si="7"/>
        <v>kg N</v>
      </c>
    </row>
    <row r="220" spans="4:20" ht="20.100000000000001" customHeight="1" x14ac:dyDescent="0.25">
      <c r="D220" s="57"/>
      <c r="E220" s="57" t="str">
        <f>'Input - Swine'!$D$71</f>
        <v>Digester / covered lagoons</v>
      </c>
      <c r="F220" s="52" cm="1">
        <f t="array" ref="F220">MMS_Swine_N2ODirect_Equations.VEERG_4_5_1_3__6_Stage2NitrogenInMMS(E$165,F196)</f>
        <v>34.856039999999993</v>
      </c>
      <c r="G220" s="52" cm="1">
        <f t="array" ref="G220">MMS_Swine_N2ODirect_Equations.VEERG_4_5_1_3__6_Stage2NitrogenInMMS(F$165,G196)</f>
        <v>46.411575000000006</v>
      </c>
      <c r="H220" s="52" cm="1">
        <f t="array" ref="H220">MMS_Swine_N2ODirect_Equations.VEERG_4_5_1_3__6_Stage2NitrogenInMMS(G$165,H196)</f>
        <v>43.570049999999988</v>
      </c>
      <c r="I220" s="52" cm="1">
        <f t="array" ref="I220">MMS_Swine_N2ODirect_Equations.VEERG_4_5_1_3__6_Stage2NitrogenInMMS(H$165,I196)</f>
        <v>29.551859999999994</v>
      </c>
      <c r="J220" s="2" t="str">
        <f t="shared" si="6"/>
        <v>kg N</v>
      </c>
      <c r="N220" s="57"/>
      <c r="O220" s="57" t="str">
        <f>'Input - Swine'!$D$71</f>
        <v>Digester / covered lagoons</v>
      </c>
      <c r="P220" s="52" cm="1">
        <f t="array" ref="P220">MMS_Swine_N2ODirect_Equations.VEERG_4_5_1_3__6_Stage2NitrogenInMMS(O$165,F196)</f>
        <v>34.856039999999993</v>
      </c>
      <c r="Q220" s="52" cm="1">
        <f t="array" ref="Q220">MMS_Swine_N2ODirect_Equations.VEERG_4_5_1_3__6_Stage2NitrogenInMMS(P$165,G196)</f>
        <v>46.411575000000006</v>
      </c>
      <c r="R220" s="52" cm="1">
        <f t="array" ref="R220">MMS_Swine_N2ODirect_Equations.VEERG_4_5_1_3__6_Stage2NitrogenInMMS(Q$165,H196)</f>
        <v>43.570049999999988</v>
      </c>
      <c r="S220" s="52" cm="1">
        <f t="array" ref="S220">MMS_Swine_N2ODirect_Equations.VEERG_4_5_1_3__6_Stage2NitrogenInMMS(R$165,I196)</f>
        <v>29.551859999999994</v>
      </c>
      <c r="T220" s="2" t="str">
        <f t="shared" si="7"/>
        <v>kg N</v>
      </c>
    </row>
    <row r="221" spans="4:20" ht="20.100000000000001" customHeight="1" x14ac:dyDescent="0.25">
      <c r="D221" s="57"/>
      <c r="E221" s="57" t="str">
        <f>'Input - Swine'!$D$72</f>
        <v>Pit storage</v>
      </c>
      <c r="F221" s="52" cm="1">
        <f t="array" ref="F221">MMS_Swine_N2ODirect_Equations.VEERG_4_5_1_3__6_Stage2NitrogenInMMS(E$165,F197)</f>
        <v>34.856039999999993</v>
      </c>
      <c r="G221" s="52" cm="1">
        <f t="array" ref="G221">MMS_Swine_N2ODirect_Equations.VEERG_4_5_1_3__6_Stage2NitrogenInMMS(F$165,G197)</f>
        <v>46.411575000000006</v>
      </c>
      <c r="H221" s="52" cm="1">
        <f t="array" ref="H221">MMS_Swine_N2ODirect_Equations.VEERG_4_5_1_3__6_Stage2NitrogenInMMS(G$165,H197)</f>
        <v>43.570049999999988</v>
      </c>
      <c r="I221" s="52" cm="1">
        <f t="array" ref="I221">MMS_Swine_N2ODirect_Equations.VEERG_4_5_1_3__6_Stage2NitrogenInMMS(H$165,I197)</f>
        <v>29.551859999999994</v>
      </c>
      <c r="J221" s="2" t="str">
        <f t="shared" si="6"/>
        <v>kg N</v>
      </c>
      <c r="N221" s="57"/>
      <c r="O221" s="57" t="str">
        <f>'Input - Swine'!$D$72</f>
        <v>Pit storage</v>
      </c>
      <c r="P221" s="52" cm="1">
        <f t="array" ref="P221">MMS_Swine_N2ODirect_Equations.VEERG_4_5_1_3__6_Stage2NitrogenInMMS(O$165,F197)</f>
        <v>34.856039999999993</v>
      </c>
      <c r="Q221" s="52" cm="1">
        <f t="array" ref="Q221">MMS_Swine_N2ODirect_Equations.VEERG_4_5_1_3__6_Stage2NitrogenInMMS(P$165,G197)</f>
        <v>46.411575000000006</v>
      </c>
      <c r="R221" s="52" cm="1">
        <f t="array" ref="R221">MMS_Swine_N2ODirect_Equations.VEERG_4_5_1_3__6_Stage2NitrogenInMMS(Q$165,H197)</f>
        <v>43.570049999999988</v>
      </c>
      <c r="S221" s="52" cm="1">
        <f t="array" ref="S221">MMS_Swine_N2ODirect_Equations.VEERG_4_5_1_3__6_Stage2NitrogenInMMS(R$165,I197)</f>
        <v>29.551859999999994</v>
      </c>
      <c r="T221" s="2" t="str">
        <f t="shared" si="7"/>
        <v>kg N</v>
      </c>
    </row>
    <row r="222" spans="4:20" ht="20.100000000000001" customHeight="1" x14ac:dyDescent="0.25">
      <c r="D222" s="57" t="str">
        <f>'Input - Swine'!$D$33</f>
        <v>Pit storage</v>
      </c>
      <c r="E222" s="57" t="str">
        <f>'Input - Swine'!$D$77</f>
        <v>Anaerobic lagoon</v>
      </c>
      <c r="F222" s="52" cm="1">
        <f t="array" ref="F222">MMS_Swine_N2ODirect_Equations.VEERG_4_5_1_3__6_Stage2NitrogenInMMS(E$166,F198)</f>
        <v>30.141407999999998</v>
      </c>
      <c r="G222" s="52" cm="1">
        <f t="array" ref="G222">MMS_Swine_N2ODirect_Equations.VEERG_4_5_1_3__6_Stage2NitrogenInMMS(F$166,G198)</f>
        <v>40.133940000000003</v>
      </c>
      <c r="H222" s="52" cm="1">
        <f t="array" ref="H222">MMS_Swine_N2ODirect_Equations.VEERG_4_5_1_3__6_Stage2NitrogenInMMS(G$166,H198)</f>
        <v>37.676759999999994</v>
      </c>
      <c r="I222" s="52" cm="1">
        <f t="array" ref="I222">MMS_Swine_N2ODirect_Equations.VEERG_4_5_1_3__6_Stage2NitrogenInMMS(H$166,I198)</f>
        <v>25.554671999999997</v>
      </c>
      <c r="J222" s="2" t="str">
        <f t="shared" si="6"/>
        <v>kg N</v>
      </c>
      <c r="N222" s="57" t="str">
        <f>'Input - Swine'!$D$33</f>
        <v>Pit storage</v>
      </c>
      <c r="O222" s="57" t="str">
        <f>'Input - Swine'!$D$77</f>
        <v>Anaerobic lagoon</v>
      </c>
      <c r="P222" s="52" cm="1">
        <f t="array" ref="P222">MMS_Swine_N2ODirect_Equations.VEERG_4_5_1_3__6_Stage2NitrogenInMMS(O$166,F198)</f>
        <v>30.141407999999998</v>
      </c>
      <c r="Q222" s="52" cm="1">
        <f t="array" ref="Q222">MMS_Swine_N2ODirect_Equations.VEERG_4_5_1_3__6_Stage2NitrogenInMMS(P$166,G198)</f>
        <v>40.133940000000003</v>
      </c>
      <c r="R222" s="52" cm="1">
        <f t="array" ref="R222">MMS_Swine_N2ODirect_Equations.VEERG_4_5_1_3__6_Stage2NitrogenInMMS(Q$166,H198)</f>
        <v>37.676759999999994</v>
      </c>
      <c r="S222" s="52" cm="1">
        <f t="array" ref="S222">MMS_Swine_N2ODirect_Equations.VEERG_4_5_1_3__6_Stage2NitrogenInMMS(R$166,I198)</f>
        <v>25.554671999999997</v>
      </c>
      <c r="T222" s="2" t="str">
        <f t="shared" si="7"/>
        <v>kg N</v>
      </c>
    </row>
    <row r="223" spans="4:20" ht="20.100000000000001" customHeight="1" x14ac:dyDescent="0.25">
      <c r="D223" s="57"/>
      <c r="E223" s="57" t="str">
        <f>'Input - Swine'!$D$78</f>
        <v>Digester / covered lagoons</v>
      </c>
      <c r="F223" s="52" cm="1">
        <f t="array" ref="F223">MMS_Swine_N2ODirect_Equations.VEERG_4_5_1_3__6_Stage2NitrogenInMMS(E$166,F199)</f>
        <v>30.141407999999998</v>
      </c>
      <c r="G223" s="52" cm="1">
        <f t="array" ref="G223">MMS_Swine_N2ODirect_Equations.VEERG_4_5_1_3__6_Stage2NitrogenInMMS(F$166,G199)</f>
        <v>40.133940000000003</v>
      </c>
      <c r="H223" s="52" cm="1">
        <f t="array" ref="H223">MMS_Swine_N2ODirect_Equations.VEERG_4_5_1_3__6_Stage2NitrogenInMMS(G$166,H199)</f>
        <v>37.676759999999994</v>
      </c>
      <c r="I223" s="52" cm="1">
        <f t="array" ref="I223">MMS_Swine_N2ODirect_Equations.VEERG_4_5_1_3__6_Stage2NitrogenInMMS(H$166,I199)</f>
        <v>25.554671999999997</v>
      </c>
      <c r="J223" s="2" t="str">
        <f t="shared" si="6"/>
        <v>kg N</v>
      </c>
      <c r="N223" s="57"/>
      <c r="O223" s="57" t="str">
        <f>'Input - Swine'!$D$78</f>
        <v>Digester / covered lagoons</v>
      </c>
      <c r="P223" s="52" cm="1">
        <f t="array" ref="P223">MMS_Swine_N2ODirect_Equations.VEERG_4_5_1_3__6_Stage2NitrogenInMMS(O$166,F199)</f>
        <v>30.141407999999998</v>
      </c>
      <c r="Q223" s="52" cm="1">
        <f t="array" ref="Q223">MMS_Swine_N2ODirect_Equations.VEERG_4_5_1_3__6_Stage2NitrogenInMMS(P$166,G199)</f>
        <v>40.133940000000003</v>
      </c>
      <c r="R223" s="52" cm="1">
        <f t="array" ref="R223">MMS_Swine_N2ODirect_Equations.VEERG_4_5_1_3__6_Stage2NitrogenInMMS(Q$166,H199)</f>
        <v>37.676759999999994</v>
      </c>
      <c r="S223" s="52" cm="1">
        <f t="array" ref="S223">MMS_Swine_N2ODirect_Equations.VEERG_4_5_1_3__6_Stage2NitrogenInMMS(R$166,I199)</f>
        <v>25.554671999999997</v>
      </c>
      <c r="T223" s="2" t="str">
        <f t="shared" si="7"/>
        <v>kg N</v>
      </c>
    </row>
    <row r="224" spans="4:20" ht="20.100000000000001" customHeight="1" x14ac:dyDescent="0.25">
      <c r="D224" s="57"/>
      <c r="E224" s="57" t="str">
        <f>'Input - Swine'!$D$79</f>
        <v>Deep litter</v>
      </c>
      <c r="F224" s="52" cm="1">
        <f t="array" ref="F224">MMS_Swine_N2ODirect_Equations.VEERG_4_5_1_3__6_Stage2NitrogenInMMS(E$166,F200)</f>
        <v>30.141407999999998</v>
      </c>
      <c r="G224" s="52" cm="1">
        <f t="array" ref="G224">MMS_Swine_N2ODirect_Equations.VEERG_4_5_1_3__6_Stage2NitrogenInMMS(F$166,G200)</f>
        <v>40.133940000000003</v>
      </c>
      <c r="H224" s="52" cm="1">
        <f t="array" ref="H224">MMS_Swine_N2ODirect_Equations.VEERG_4_5_1_3__6_Stage2NitrogenInMMS(G$166,H200)</f>
        <v>37.676759999999994</v>
      </c>
      <c r="I224" s="52" cm="1">
        <f t="array" ref="I224">MMS_Swine_N2ODirect_Equations.VEERG_4_5_1_3__6_Stage2NitrogenInMMS(H$166,I200)</f>
        <v>25.554671999999997</v>
      </c>
      <c r="J224" s="2" t="str">
        <f t="shared" si="6"/>
        <v>kg N</v>
      </c>
      <c r="N224" s="57"/>
      <c r="O224" s="57" t="str">
        <f>'Input - Swine'!$D$79</f>
        <v>Deep litter</v>
      </c>
      <c r="P224" s="52" cm="1">
        <f t="array" ref="P224">MMS_Swine_N2ODirect_Equations.VEERG_4_5_1_3__6_Stage2NitrogenInMMS(O$166,F200)</f>
        <v>30.141407999999998</v>
      </c>
      <c r="Q224" s="52" cm="1">
        <f t="array" ref="Q224">MMS_Swine_N2ODirect_Equations.VEERG_4_5_1_3__6_Stage2NitrogenInMMS(P$166,G200)</f>
        <v>40.133940000000003</v>
      </c>
      <c r="R224" s="52" cm="1">
        <f t="array" ref="R224">MMS_Swine_N2ODirect_Equations.VEERG_4_5_1_3__6_Stage2NitrogenInMMS(Q$166,H200)</f>
        <v>37.676759999999994</v>
      </c>
      <c r="S224" s="52" cm="1">
        <f t="array" ref="S224">MMS_Swine_N2ODirect_Equations.VEERG_4_5_1_3__6_Stage2NitrogenInMMS(R$166,I200)</f>
        <v>25.554671999999997</v>
      </c>
      <c r="T224" s="2" t="str">
        <f t="shared" si="7"/>
        <v>kg N</v>
      </c>
    </row>
    <row r="225" spans="3:21" ht="20.100000000000001" customHeight="1" x14ac:dyDescent="0.25">
      <c r="D225" s="57" t="str">
        <f>'Input - Swine'!$D$34</f>
        <v>Solid storage</v>
      </c>
      <c r="E225" s="57" t="str">
        <f>'Input - Swine'!$D$84</f>
        <v>Anaerobic lagoon</v>
      </c>
      <c r="F225" s="52" cm="1">
        <f t="array" ref="F225">MMS_Swine_N2ODirect_Equations.VEERG_4_5_1_3__6_Stage2NitrogenInMMS(E$167,F201)</f>
        <v>106.78440000000003</v>
      </c>
      <c r="G225" s="52" cm="1">
        <f t="array" ref="G225">MMS_Swine_N2ODirect_Equations.VEERG_4_5_1_3__6_Stage2NitrogenInMMS(F$167,G201)</f>
        <v>113.74860000000007</v>
      </c>
      <c r="H225" s="52" cm="1">
        <f t="array" ref="H225">MMS_Swine_N2ODirect_Equations.VEERG_4_5_1_3__6_Stage2NitrogenInMMS(G$167,H201)</f>
        <v>106.78440000000003</v>
      </c>
      <c r="I225" s="52" cm="1">
        <f t="array" ref="I225">MMS_Swine_N2ODirect_Equations.VEERG_4_5_1_3__6_Stage2NitrogenInMMS(H$167,I201)</f>
        <v>72.427680000000038</v>
      </c>
      <c r="J225" s="2" t="str">
        <f t="shared" si="6"/>
        <v>kg N</v>
      </c>
      <c r="N225" s="57" t="str">
        <f>'Input - Swine'!$D$34</f>
        <v>Solid storage</v>
      </c>
      <c r="O225" s="57" t="str">
        <f>'Input - Swine'!$D$84</f>
        <v>Anaerobic lagoon</v>
      </c>
      <c r="P225" s="52" cm="1">
        <f t="array" ref="P225">MMS_Swine_N2ODirect_Equations.VEERG_4_5_1_3__6_Stage2NitrogenInMMS(O$167,F201)</f>
        <v>106.78440000000003</v>
      </c>
      <c r="Q225" s="52" cm="1">
        <f t="array" ref="Q225">MMS_Swine_N2ODirect_Equations.VEERG_4_5_1_3__6_Stage2NitrogenInMMS(P$167,G201)</f>
        <v>113.74860000000007</v>
      </c>
      <c r="R225" s="52" cm="1">
        <f t="array" ref="R225">MMS_Swine_N2ODirect_Equations.VEERG_4_5_1_3__6_Stage2NitrogenInMMS(Q$167,H201)</f>
        <v>106.78440000000003</v>
      </c>
      <c r="S225" s="52" cm="1">
        <f t="array" ref="S225">MMS_Swine_N2ODirect_Equations.VEERG_4_5_1_3__6_Stage2NitrogenInMMS(R$167,I201)</f>
        <v>72.427680000000038</v>
      </c>
      <c r="T225" s="2" t="str">
        <f t="shared" si="7"/>
        <v>kg N</v>
      </c>
    </row>
    <row r="226" spans="3:21" ht="20.100000000000001" customHeight="1" x14ac:dyDescent="0.25">
      <c r="D226" s="57"/>
      <c r="E226" s="57" t="str">
        <f>'Input - Swine'!$D$85</f>
        <v>Digester / covered lagoons</v>
      </c>
      <c r="F226" s="52" cm="1">
        <f t="array" ref="F226">MMS_Swine_N2ODirect_Equations.VEERG_4_5_1_3__6_Stage2NitrogenInMMS(E$167,F202)</f>
        <v>106.78440000000003</v>
      </c>
      <c r="G226" s="52" cm="1">
        <f t="array" ref="G226">MMS_Swine_N2ODirect_Equations.VEERG_4_5_1_3__6_Stage2NitrogenInMMS(F$167,G202)</f>
        <v>113.74860000000007</v>
      </c>
      <c r="H226" s="52" cm="1">
        <f t="array" ref="H226">MMS_Swine_N2ODirect_Equations.VEERG_4_5_1_3__6_Stage2NitrogenInMMS(G$167,H202)</f>
        <v>106.78440000000003</v>
      </c>
      <c r="I226" s="52" cm="1">
        <f t="array" ref="I226">MMS_Swine_N2ODirect_Equations.VEERG_4_5_1_3__6_Stage2NitrogenInMMS(H$167,I202)</f>
        <v>72.427680000000038</v>
      </c>
      <c r="J226" s="2" t="str">
        <f t="shared" si="6"/>
        <v>kg N</v>
      </c>
      <c r="N226" s="57"/>
      <c r="O226" s="57" t="str">
        <f>'Input - Swine'!$D$85</f>
        <v>Digester / covered lagoons</v>
      </c>
      <c r="P226" s="52" cm="1">
        <f t="array" ref="P226">MMS_Swine_N2ODirect_Equations.VEERG_4_5_1_3__6_Stage2NitrogenInMMS(O$167,F202)</f>
        <v>106.78440000000003</v>
      </c>
      <c r="Q226" s="52" cm="1">
        <f t="array" ref="Q226">MMS_Swine_N2ODirect_Equations.VEERG_4_5_1_3__6_Stage2NitrogenInMMS(P$167,G202)</f>
        <v>113.74860000000007</v>
      </c>
      <c r="R226" s="52" cm="1">
        <f t="array" ref="R226">MMS_Swine_N2ODirect_Equations.VEERG_4_5_1_3__6_Stage2NitrogenInMMS(Q$167,H202)</f>
        <v>106.78440000000003</v>
      </c>
      <c r="S226" s="52" cm="1">
        <f t="array" ref="S226">MMS_Swine_N2ODirect_Equations.VEERG_4_5_1_3__6_Stage2NitrogenInMMS(R$167,I202)</f>
        <v>72.427680000000038</v>
      </c>
      <c r="T226" s="2" t="str">
        <f t="shared" si="7"/>
        <v>kg N</v>
      </c>
    </row>
    <row r="227" spans="3:21" ht="20.100000000000001" customHeight="1" x14ac:dyDescent="0.25">
      <c r="D227" s="57"/>
      <c r="E227" s="57" t="str">
        <f>'Input - Swine'!$D$86</f>
        <v>Deep litter</v>
      </c>
      <c r="F227" s="52" cm="1">
        <f t="array" ref="F227">MMS_Swine_N2ODirect_Equations.VEERG_4_5_1_3__6_Stage2NitrogenInMMS(E$167,F203)</f>
        <v>106.78440000000003</v>
      </c>
      <c r="G227" s="52" cm="1">
        <f t="array" ref="G227">MMS_Swine_N2ODirect_Equations.VEERG_4_5_1_3__6_Stage2NitrogenInMMS(F$167,G203)</f>
        <v>113.74860000000007</v>
      </c>
      <c r="H227" s="52" cm="1">
        <f t="array" ref="H227">MMS_Swine_N2ODirect_Equations.VEERG_4_5_1_3__6_Stage2NitrogenInMMS(G$167,H203)</f>
        <v>106.78440000000003</v>
      </c>
      <c r="I227" s="52" cm="1">
        <f t="array" ref="I227">MMS_Swine_N2ODirect_Equations.VEERG_4_5_1_3__6_Stage2NitrogenInMMS(H$167,I203)</f>
        <v>72.427680000000038</v>
      </c>
      <c r="J227" s="2" t="str">
        <f t="shared" si="6"/>
        <v>kg N</v>
      </c>
      <c r="N227" s="57"/>
      <c r="O227" s="57" t="str">
        <f>'Input - Swine'!$D$86</f>
        <v>Deep litter</v>
      </c>
      <c r="P227" s="52" cm="1">
        <f t="array" ref="P227">MMS_Swine_N2ODirect_Equations.VEERG_4_5_1_3__6_Stage2NitrogenInMMS(O$167,F203)</f>
        <v>106.78440000000003</v>
      </c>
      <c r="Q227" s="52" cm="1">
        <f t="array" ref="Q227">MMS_Swine_N2ODirect_Equations.VEERG_4_5_1_3__6_Stage2NitrogenInMMS(P$167,G203)</f>
        <v>113.74860000000007</v>
      </c>
      <c r="R227" s="52" cm="1">
        <f t="array" ref="R227">MMS_Swine_N2ODirect_Equations.VEERG_4_5_1_3__6_Stage2NitrogenInMMS(Q$167,H203)</f>
        <v>106.78440000000003</v>
      </c>
      <c r="S227" s="52" cm="1">
        <f t="array" ref="S227">MMS_Swine_N2ODirect_Equations.VEERG_4_5_1_3__6_Stage2NitrogenInMMS(R$167,I203)</f>
        <v>72.427680000000038</v>
      </c>
      <c r="T227" s="2" t="str">
        <f t="shared" si="7"/>
        <v>kg N</v>
      </c>
    </row>
    <row r="228" spans="3:21" ht="20.100000000000001" customHeight="1" x14ac:dyDescent="0.25">
      <c r="D228" s="57"/>
      <c r="E228" s="57" t="str">
        <f>'Input - Swine'!$D$87</f>
        <v>Pit storage</v>
      </c>
      <c r="F228" s="52" cm="1">
        <f t="array" ref="F228">MMS_Swine_N2ODirect_Equations.VEERG_4_5_1_3__6_Stage2NitrogenInMMS(E$167,F204)</f>
        <v>53.392200000000017</v>
      </c>
      <c r="G228" s="52" cm="1">
        <f t="array" ref="G228">MMS_Swine_N2ODirect_Equations.VEERG_4_5_1_3__6_Stage2NitrogenInMMS(F$167,G204)</f>
        <v>56.874300000000034</v>
      </c>
      <c r="H228" s="52" cm="1">
        <f t="array" ref="H228">MMS_Swine_N2ODirect_Equations.VEERG_4_5_1_3__6_Stage2NitrogenInMMS(G$167,H204)</f>
        <v>53.392200000000017</v>
      </c>
      <c r="I228" s="52" cm="1">
        <f t="array" ref="I228">MMS_Swine_N2ODirect_Equations.VEERG_4_5_1_3__6_Stage2NitrogenInMMS(H$167,I204)</f>
        <v>36.213840000000019</v>
      </c>
      <c r="J228" s="2" t="str">
        <f t="shared" si="6"/>
        <v>kg N</v>
      </c>
      <c r="N228" s="57"/>
      <c r="O228" s="57" t="str">
        <f>'Input - Swine'!$D$87</f>
        <v>Pit storage</v>
      </c>
      <c r="P228" s="52" cm="1">
        <f t="array" ref="P228">MMS_Swine_N2ODirect_Equations.VEERG_4_5_1_3__6_Stage2NitrogenInMMS(O$167,F204)</f>
        <v>53.392200000000017</v>
      </c>
      <c r="Q228" s="52" cm="1">
        <f t="array" ref="Q228">MMS_Swine_N2ODirect_Equations.VEERG_4_5_1_3__6_Stage2NitrogenInMMS(P$167,G204)</f>
        <v>56.874300000000034</v>
      </c>
      <c r="R228" s="52" cm="1">
        <f t="array" ref="R228">MMS_Swine_N2ODirect_Equations.VEERG_4_5_1_3__6_Stage2NitrogenInMMS(Q$167,H204)</f>
        <v>53.392200000000017</v>
      </c>
      <c r="S228" s="52" cm="1">
        <f t="array" ref="S228">MMS_Swine_N2ODirect_Equations.VEERG_4_5_1_3__6_Stage2NitrogenInMMS(R$167,I204)</f>
        <v>36.213840000000019</v>
      </c>
      <c r="T228" s="2" t="str">
        <f t="shared" si="7"/>
        <v>kg N</v>
      </c>
    </row>
    <row r="229" spans="3:21" ht="20.100000000000001" customHeight="1" x14ac:dyDescent="0.25"/>
    <row r="230" spans="3:21" ht="20.100000000000001" customHeight="1" x14ac:dyDescent="0.25"/>
    <row r="231" spans="3:21" ht="20.100000000000001" customHeight="1" x14ac:dyDescent="0.25">
      <c r="C231" s="45"/>
      <c r="D231" s="45"/>
      <c r="E231" s="45"/>
      <c r="F231" s="45"/>
      <c r="G231" s="45"/>
      <c r="H231" s="45"/>
      <c r="I231" s="45"/>
      <c r="J231" s="45"/>
      <c r="K231" s="45"/>
      <c r="M231" s="45"/>
      <c r="N231" s="45"/>
      <c r="O231" s="45"/>
      <c r="P231" s="45"/>
      <c r="Q231" s="45"/>
      <c r="R231" s="45"/>
      <c r="S231" s="45"/>
      <c r="T231" s="45"/>
      <c r="U231" s="45"/>
    </row>
    <row r="232" spans="3:21" ht="20.100000000000001" customHeight="1" x14ac:dyDescent="0.25">
      <c r="D232" s="6" t="str" cm="1">
        <f t="array" ref="D232">MMS_Swine_N2ODirect_Equations.VEERG_4_5_1_3__1_TotalAnnualDirectNitrousOxideEmissionsFromMMS_Title()</f>
        <v>Total annual direct nitrous oxide emissions from manure management systems</v>
      </c>
    </row>
    <row r="233" spans="3:21" ht="20.100000000000001" customHeight="1" x14ac:dyDescent="0.25">
      <c r="D233" s="5" t="str" cm="1">
        <f t="array" ref="D233">MMS_Swine_N2ODirect_Equations.VEERG_4_5_1_3__1_TotalAnnualDirectNitrousOxideEmissionsFromMMS_Source()</f>
        <v>VEERG 2026: 4.5.1.3, Equation (1)</v>
      </c>
    </row>
    <row r="234" spans="3:21" ht="20.100000000000001" customHeight="1" x14ac:dyDescent="0.25">
      <c r="D234" s="13" t="s">
        <v>26</v>
      </c>
      <c r="E234" s="13" t="str" cm="1">
        <f t="array" aca="1" ref="E234" ca="1">Common_InputFunctions.Utility_DisplayFunctionName(F247)</f>
        <v>=MMS_Swine_N2ODirect_Equations.VEERG_4_5_1_3__1_TotalAnnualDirectNitrousOxideEmissionsFromMMS</v>
      </c>
    </row>
    <row r="235" spans="3:21" ht="20.100000000000001" customHeight="1" x14ac:dyDescent="0.25"/>
    <row r="236" spans="3:21" ht="20.100000000000001" customHeight="1" x14ac:dyDescent="0.25"/>
    <row r="237" spans="3:21" ht="20.100000000000001" customHeight="1" x14ac:dyDescent="0.25">
      <c r="D237" s="53" t="s">
        <v>29</v>
      </c>
      <c r="E237" s="1" t="str" cm="1">
        <f t="array" ref="E237">MMS_Swine_N2ODirect_Equations.VEERG_4_5_1_3__1_TotalAnnualDirectNitrousOxideEmissionsFromMMS_Variable()</f>
        <v>E_N2Odir</v>
      </c>
    </row>
    <row r="238" spans="3:21" ht="20.100000000000001" customHeight="1" x14ac:dyDescent="0.25">
      <c r="D238" s="53" t="s">
        <v>19</v>
      </c>
      <c r="E238" s="54" t="str" cm="1">
        <f t="array" ref="E238">MMS_Swine_N2ODirect_Equations.VEERG_4_5_1_3__1_TotalAnnualDirectNitrousOxideEmissionsFromMMS_Unit()</f>
        <v>t N2O</v>
      </c>
    </row>
    <row r="239" spans="3:21" ht="20.100000000000001" customHeight="1" x14ac:dyDescent="0.25"/>
    <row r="240" spans="3:21" ht="20.100000000000001" customHeight="1" x14ac:dyDescent="0.25">
      <c r="D240" s="108" t="str" cm="1">
        <f t="array" ref="D240:E242">MMS_Swine_N2ODirect_Equations.VEERG_4_5_1_3__1_TotalAnnualDirectNitrousOxideEmissionsFromMMS_Arguments()</f>
        <v>MN_jmT</v>
      </c>
      <c r="E240" s="110" t="str">
        <v>nitrogen per swine class, MMS and treatment stage (kg N)</v>
      </c>
      <c r="F240" s="109"/>
      <c r="G240" s="110" t="str">
        <f>"See " &amp; D115 &amp; " and " &amp; D206</f>
        <v>See M1_Table_MN_j_m_T-1 and M1_Table_MN_j_m_T-2</v>
      </c>
      <c r="H240" s="109"/>
    </row>
    <row r="241" spans="4:20" ht="20.100000000000001" customHeight="1" x14ac:dyDescent="0.25">
      <c r="D241" s="108" t="str">
        <v>EF_jm</v>
      </c>
      <c r="E241" s="110" t="str">
        <v>nitrous oxide emission factor for MMS (kg N2O-N/kg N)</v>
      </c>
      <c r="F241" s="109"/>
      <c r="G241" s="110" t="str">
        <f>"See " &amp; D149</f>
        <v>See Table_EF_m_t-1</v>
      </c>
      <c r="H241" s="109"/>
    </row>
    <row r="242" spans="4:20" ht="20.100000000000001" customHeight="1" x14ac:dyDescent="0.25">
      <c r="D242" s="108" t="str">
        <v>C_N2O</v>
      </c>
      <c r="E242" s="110" t="str">
        <v>factor to convert elemental mass of nitrous oxide to molecular mass</v>
      </c>
      <c r="F242" s="109"/>
      <c r="G242" s="58">
        <f>Common_InputFunctions.Utility_LookupValueInTableNumber("N2O",Table_GasToMolecularConversionFactor[Gas],Table_GasToMolecularConversionFactor[Conversion factor combined])</f>
        <v>1.5714285714285714</v>
      </c>
      <c r="H242" s="109"/>
    </row>
    <row r="243" spans="4:20" ht="20.100000000000001" customHeight="1" x14ac:dyDescent="0.25"/>
    <row r="244" spans="4:20" ht="20.100000000000001" customHeight="1" x14ac:dyDescent="0.25">
      <c r="D244" s="121" t="s">
        <v>319</v>
      </c>
      <c r="N244" s="121" t="s">
        <v>333</v>
      </c>
    </row>
    <row r="245" spans="4:20" ht="20.100000000000001" customHeight="1" x14ac:dyDescent="0.25">
      <c r="D245" s="122" t="s">
        <v>320</v>
      </c>
      <c r="N245" s="122" t="s">
        <v>334</v>
      </c>
    </row>
    <row r="246" spans="4:20" ht="20.100000000000001" customHeight="1" x14ac:dyDescent="0.25">
      <c r="D246" s="51" t="s">
        <v>169</v>
      </c>
      <c r="E246" s="51" t="s">
        <v>206</v>
      </c>
      <c r="F246" s="51" t="s">
        <v>143</v>
      </c>
      <c r="G246" s="51" t="s">
        <v>144</v>
      </c>
      <c r="H246" s="51" t="s">
        <v>145</v>
      </c>
      <c r="I246" s="51" t="s">
        <v>263</v>
      </c>
      <c r="N246" s="51" t="s">
        <v>169</v>
      </c>
      <c r="O246" s="51" t="s">
        <v>206</v>
      </c>
      <c r="P246" s="51" t="s">
        <v>143</v>
      </c>
      <c r="Q246" s="51" t="s">
        <v>144</v>
      </c>
      <c r="R246" s="51" t="s">
        <v>145</v>
      </c>
      <c r="S246" s="51" t="s">
        <v>263</v>
      </c>
    </row>
    <row r="247" spans="4:20" ht="20.100000000000001" customHeight="1" x14ac:dyDescent="0.25">
      <c r="D247" s="57" t="str">
        <f>'Input - Swine'!$D$29</f>
        <v>Anaerobic lagoon</v>
      </c>
      <c r="E247" s="57" t="s">
        <v>211</v>
      </c>
      <c r="F247" s="52" cm="1">
        <f t="array" ref="F247">MMS_Swine_N2ODirect_Equations.VEERG_4_5_1_3__1_TotalAnnualDirectNitrousOxideEmissionsFromMMS(E118, _xlfn.XLOOKUP($D247, $D$152:$D$157, $E$152:$E$157), $G$242)</f>
        <v>0</v>
      </c>
      <c r="G247" s="52" cm="1">
        <f t="array" ref="G247">MMS_Swine_N2ODirect_Equations.VEERG_4_5_1_3__1_TotalAnnualDirectNitrousOxideEmissionsFromMMS(F118, _xlfn.XLOOKUP($D247, $D$152:$D$157, $E$152:$E$157), $G$242)</f>
        <v>0</v>
      </c>
      <c r="H247" s="52" cm="1">
        <f t="array" ref="H247">MMS_Swine_N2ODirect_Equations.VEERG_4_5_1_3__1_TotalAnnualDirectNitrousOxideEmissionsFromMMS(G118, _xlfn.XLOOKUP($D247, $D$152:$D$157, $E$152:$E$157), $G$242)</f>
        <v>0</v>
      </c>
      <c r="I247" s="52" cm="1">
        <f t="array" ref="I247">MMS_Swine_N2ODirect_Equations.VEERG_4_5_1_3__1_TotalAnnualDirectNitrousOxideEmissionsFromMMS(H118, _xlfn.XLOOKUP($D247, $D$152:$D$157, $E$152:$E$157), $G$242)</f>
        <v>0</v>
      </c>
      <c r="J247" s="2" t="str">
        <f t="shared" ref="J247:J272" si="8">$E$238</f>
        <v>t N2O</v>
      </c>
      <c r="N247" s="57" t="str">
        <f>'Input - Swine'!$D$29</f>
        <v>Anaerobic lagoon</v>
      </c>
      <c r="O247" s="57" t="s">
        <v>211</v>
      </c>
      <c r="P247" s="52" cm="1">
        <f t="array" ref="P247">MMS_Swine_N2ODirect_Equations.VEERG_4_5_1_3__1_TotalAnnualDirectNitrousOxideEmissionsFromMMS(O118, _xlfn.XLOOKUP($D247, $D$152:$D$157, $E$152:$E$157), $G$242)</f>
        <v>0</v>
      </c>
      <c r="Q247" s="52" cm="1">
        <f t="array" ref="Q247">MMS_Swine_N2ODirect_Equations.VEERG_4_5_1_3__1_TotalAnnualDirectNitrousOxideEmissionsFromMMS(P118, _xlfn.XLOOKUP($D247, $D$152:$D$157, $E$152:$E$157), $G$242)</f>
        <v>0</v>
      </c>
      <c r="R247" s="52" cm="1">
        <f t="array" ref="R247">MMS_Swine_N2ODirect_Equations.VEERG_4_5_1_3__1_TotalAnnualDirectNitrousOxideEmissionsFromMMS(Q118, _xlfn.XLOOKUP($D247, $D$152:$D$157, $E$152:$E$157), $G$242)</f>
        <v>0</v>
      </c>
      <c r="S247" s="52" cm="1">
        <f t="array" ref="S247">MMS_Swine_N2ODirect_Equations.VEERG_4_5_1_3__1_TotalAnnualDirectNitrousOxideEmissionsFromMMS(R118, _xlfn.XLOOKUP($D247, $D$152:$D$157, $E$152:$E$157), $G$242)</f>
        <v>0</v>
      </c>
      <c r="T247" s="2" t="str">
        <f t="shared" ref="T247:T272" si="9">$E$238</f>
        <v>t N2O</v>
      </c>
    </row>
    <row r="248" spans="4:20" ht="20.100000000000001" customHeight="1" x14ac:dyDescent="0.25">
      <c r="D248" s="57" t="str">
        <f>'Input - Swine'!$D$30</f>
        <v>Drylot (feed pad)</v>
      </c>
      <c r="E248" s="57" t="s">
        <v>211</v>
      </c>
      <c r="F248" s="52" cm="1">
        <f t="array" ref="F248">MMS_Swine_N2ODirect_Equations.VEERG_4_5_1_3__1_TotalAnnualDirectNitrousOxideEmissionsFromMMS(E119, _xlfn.XLOOKUP($D248, $D$152:$D$157, $E$152:$E$157), $G$242)</f>
        <v>6.3322285714285699E-3</v>
      </c>
      <c r="G248" s="52" cm="1">
        <f t="array" ref="G248">MMS_Swine_N2ODirect_Equations.VEERG_4_5_1_3__1_TotalAnnualDirectNitrousOxideEmissionsFromMMS(F119, _xlfn.XLOOKUP($D248, $D$152:$D$157, $E$152:$E$157), $G$242)</f>
        <v>6.7452000000000007E-3</v>
      </c>
      <c r="H248" s="52" cm="1">
        <f t="array" ref="H248">MMS_Swine_N2ODirect_Equations.VEERG_4_5_1_3__1_TotalAnnualDirectNitrousOxideEmissionsFromMMS(G119, _xlfn.XLOOKUP($D248, $D$152:$D$157, $E$152:$E$157), $G$242)</f>
        <v>6.3322285714285699E-3</v>
      </c>
      <c r="I248" s="52" cm="1">
        <f t="array" ref="I248">MMS_Swine_N2ODirect_Equations.VEERG_4_5_1_3__1_TotalAnnualDirectNitrousOxideEmissionsFromMMS(H119, _xlfn.XLOOKUP($D248, $D$152:$D$157, $E$152:$E$157), $G$242)</f>
        <v>4.2949028571428564E-3</v>
      </c>
      <c r="J248" s="2" t="str">
        <f t="shared" si="8"/>
        <v>t N2O</v>
      </c>
      <c r="N248" s="57" t="str">
        <f>'Input - Swine'!$D$30</f>
        <v>Drylot (feed pad)</v>
      </c>
      <c r="O248" s="57" t="s">
        <v>211</v>
      </c>
      <c r="P248" s="52" cm="1">
        <f t="array" ref="P248">MMS_Swine_N2ODirect_Equations.VEERG_4_5_1_3__1_TotalAnnualDirectNitrousOxideEmissionsFromMMS(O119, _xlfn.XLOOKUP($D248, $D$152:$D$157, $E$152:$E$157), $G$242)</f>
        <v>6.3322285714285699E-3</v>
      </c>
      <c r="Q248" s="52" cm="1">
        <f t="array" ref="Q248">MMS_Swine_N2ODirect_Equations.VEERG_4_5_1_3__1_TotalAnnualDirectNitrousOxideEmissionsFromMMS(P119, _xlfn.XLOOKUP($D248, $D$152:$D$157, $E$152:$E$157), $G$242)</f>
        <v>6.7452000000000007E-3</v>
      </c>
      <c r="R248" s="52" cm="1">
        <f t="array" ref="R248">MMS_Swine_N2ODirect_Equations.VEERG_4_5_1_3__1_TotalAnnualDirectNitrousOxideEmissionsFromMMS(Q119, _xlfn.XLOOKUP($D248, $D$152:$D$157, $E$152:$E$157), $G$242)</f>
        <v>6.3322285714285699E-3</v>
      </c>
      <c r="S248" s="52" cm="1">
        <f t="array" ref="S248">MMS_Swine_N2ODirect_Equations.VEERG_4_5_1_3__1_TotalAnnualDirectNitrousOxideEmissionsFromMMS(R119, _xlfn.XLOOKUP($D248, $D$152:$D$157, $E$152:$E$157), $G$242)</f>
        <v>4.2949028571428564E-3</v>
      </c>
      <c r="T248" s="2" t="str">
        <f t="shared" si="9"/>
        <v>t N2O</v>
      </c>
    </row>
    <row r="249" spans="4:20" ht="20.100000000000001" customHeight="1" x14ac:dyDescent="0.25">
      <c r="D249" s="57" t="str">
        <f>'Input - Swine'!$D$31</f>
        <v>Digester / covered lagoons</v>
      </c>
      <c r="E249" s="57" t="s">
        <v>211</v>
      </c>
      <c r="F249" s="52" cm="1">
        <f t="array" ref="F249">MMS_Swine_N2ODirect_Equations.VEERG_4_5_1_3__1_TotalAnnualDirectNitrousOxideEmissionsFromMMS(E120, _xlfn.XLOOKUP($D249, $D$152:$D$157, $E$152:$E$157), $G$242)</f>
        <v>0</v>
      </c>
      <c r="G249" s="52" cm="1">
        <f t="array" ref="G249">MMS_Swine_N2ODirect_Equations.VEERG_4_5_1_3__1_TotalAnnualDirectNitrousOxideEmissionsFromMMS(F120, _xlfn.XLOOKUP($D249, $D$152:$D$157, $E$152:$E$157), $G$242)</f>
        <v>0</v>
      </c>
      <c r="H249" s="52" cm="1">
        <f t="array" ref="H249">MMS_Swine_N2ODirect_Equations.VEERG_4_5_1_3__1_TotalAnnualDirectNitrousOxideEmissionsFromMMS(G120, _xlfn.XLOOKUP($D249, $D$152:$D$157, $E$152:$E$157), $G$242)</f>
        <v>0</v>
      </c>
      <c r="I249" s="52" cm="1">
        <f t="array" ref="I249">MMS_Swine_N2ODirect_Equations.VEERG_4_5_1_3__1_TotalAnnualDirectNitrousOxideEmissionsFromMMS(H120, _xlfn.XLOOKUP($D249, $D$152:$D$157, $E$152:$E$157), $G$242)</f>
        <v>0</v>
      </c>
      <c r="J249" s="2" t="str">
        <f t="shared" si="8"/>
        <v>t N2O</v>
      </c>
      <c r="N249" s="57" t="str">
        <f>'Input - Swine'!$D$31</f>
        <v>Digester / covered lagoons</v>
      </c>
      <c r="O249" s="57" t="s">
        <v>211</v>
      </c>
      <c r="P249" s="52" cm="1">
        <f t="array" ref="P249">MMS_Swine_N2ODirect_Equations.VEERG_4_5_1_3__1_TotalAnnualDirectNitrousOxideEmissionsFromMMS(O120, _xlfn.XLOOKUP($D249, $D$152:$D$157, $E$152:$E$157), $G$242)</f>
        <v>0</v>
      </c>
      <c r="Q249" s="52" cm="1">
        <f t="array" ref="Q249">MMS_Swine_N2ODirect_Equations.VEERG_4_5_1_3__1_TotalAnnualDirectNitrousOxideEmissionsFromMMS(P120, _xlfn.XLOOKUP($D249, $D$152:$D$157, $E$152:$E$157), $G$242)</f>
        <v>0</v>
      </c>
      <c r="R249" s="52" cm="1">
        <f t="array" ref="R249">MMS_Swine_N2ODirect_Equations.VEERG_4_5_1_3__1_TotalAnnualDirectNitrousOxideEmissionsFromMMS(Q120, _xlfn.XLOOKUP($D249, $D$152:$D$157, $E$152:$E$157), $G$242)</f>
        <v>0</v>
      </c>
      <c r="S249" s="52" cm="1">
        <f t="array" ref="S249">MMS_Swine_N2ODirect_Equations.VEERG_4_5_1_3__1_TotalAnnualDirectNitrousOxideEmissionsFromMMS(R120, _xlfn.XLOOKUP($D249, $D$152:$D$157, $E$152:$E$157), $G$242)</f>
        <v>0</v>
      </c>
      <c r="T249" s="2" t="str">
        <f t="shared" si="9"/>
        <v>t N2O</v>
      </c>
    </row>
    <row r="250" spans="4:20" ht="20.100000000000001" customHeight="1" x14ac:dyDescent="0.25">
      <c r="D250" s="57" t="str">
        <f>'Input - Swine'!$D$32</f>
        <v>Deep litter</v>
      </c>
      <c r="E250" s="57" t="s">
        <v>211</v>
      </c>
      <c r="F250" s="52" cm="1">
        <f t="array" ref="F250">MMS_Swine_N2ODirect_Equations.VEERG_4_5_1_3__1_TotalAnnualDirectNitrousOxideEmissionsFromMMS(E121, _xlfn.XLOOKUP($D250, $D$152:$D$157, $E$152:$E$157), $G$242)</f>
        <v>3.166114285714285E-3</v>
      </c>
      <c r="G250" s="52" cm="1">
        <f t="array" ref="G250">MMS_Swine_N2ODirect_Equations.VEERG_4_5_1_3__1_TotalAnnualDirectNitrousOxideEmissionsFromMMS(F121, _xlfn.XLOOKUP($D250, $D$152:$D$157, $E$152:$E$157), $G$242)</f>
        <v>3.3726000000000003E-3</v>
      </c>
      <c r="H250" s="52" cm="1">
        <f t="array" ref="H250">MMS_Swine_N2ODirect_Equations.VEERG_4_5_1_3__1_TotalAnnualDirectNitrousOxideEmissionsFromMMS(G121, _xlfn.XLOOKUP($D250, $D$152:$D$157, $E$152:$E$157), $G$242)</f>
        <v>3.166114285714285E-3</v>
      </c>
      <c r="I250" s="52" cm="1">
        <f t="array" ref="I250">MMS_Swine_N2ODirect_Equations.VEERG_4_5_1_3__1_TotalAnnualDirectNitrousOxideEmissionsFromMMS(H121, _xlfn.XLOOKUP($D250, $D$152:$D$157, $E$152:$E$157), $G$242)</f>
        <v>2.1474514285714282E-3</v>
      </c>
      <c r="J250" s="2" t="str">
        <f t="shared" si="8"/>
        <v>t N2O</v>
      </c>
      <c r="N250" s="57" t="str">
        <f>'Input - Swine'!$D$32</f>
        <v>Deep litter</v>
      </c>
      <c r="O250" s="57" t="s">
        <v>211</v>
      </c>
      <c r="P250" s="52" cm="1">
        <f t="array" ref="P250">MMS_Swine_N2ODirect_Equations.VEERG_4_5_1_3__1_TotalAnnualDirectNitrousOxideEmissionsFromMMS(O121, _xlfn.XLOOKUP($D250, $D$152:$D$157, $E$152:$E$157), $G$242)</f>
        <v>3.166114285714285E-3</v>
      </c>
      <c r="Q250" s="52" cm="1">
        <f t="array" ref="Q250">MMS_Swine_N2ODirect_Equations.VEERG_4_5_1_3__1_TotalAnnualDirectNitrousOxideEmissionsFromMMS(P121, _xlfn.XLOOKUP($D250, $D$152:$D$157, $E$152:$E$157), $G$242)</f>
        <v>3.3726000000000003E-3</v>
      </c>
      <c r="R250" s="52" cm="1">
        <f t="array" ref="R250">MMS_Swine_N2ODirect_Equations.VEERG_4_5_1_3__1_TotalAnnualDirectNitrousOxideEmissionsFromMMS(Q121, _xlfn.XLOOKUP($D250, $D$152:$D$157, $E$152:$E$157), $G$242)</f>
        <v>3.166114285714285E-3</v>
      </c>
      <c r="S250" s="52" cm="1">
        <f t="array" ref="S250">MMS_Swine_N2ODirect_Equations.VEERG_4_5_1_3__1_TotalAnnualDirectNitrousOxideEmissionsFromMMS(R121, _xlfn.XLOOKUP($D250, $D$152:$D$157, $E$152:$E$157), $G$242)</f>
        <v>2.1474514285714282E-3</v>
      </c>
      <c r="T250" s="2" t="str">
        <f t="shared" si="9"/>
        <v>t N2O</v>
      </c>
    </row>
    <row r="251" spans="4:20" ht="20.100000000000001" customHeight="1" x14ac:dyDescent="0.25">
      <c r="D251" s="57" t="str">
        <f>'Input - Swine'!$D$33</f>
        <v>Pit storage</v>
      </c>
      <c r="E251" s="57" t="s">
        <v>211</v>
      </c>
      <c r="F251" s="52" cm="1">
        <f t="array" ref="F251">MMS_Swine_N2ODirect_Equations.VEERG_4_5_1_3__1_TotalAnnualDirectNitrousOxideEmissionsFromMMS(E122, _xlfn.XLOOKUP($D251, $D$152:$D$157, $E$152:$E$157), $G$242)</f>
        <v>6.3322285714285703E-4</v>
      </c>
      <c r="G251" s="52" cm="1">
        <f t="array" ref="G251">MMS_Swine_N2ODirect_Equations.VEERG_4_5_1_3__1_TotalAnnualDirectNitrousOxideEmissionsFromMMS(F122, _xlfn.XLOOKUP($D251, $D$152:$D$157, $E$152:$E$157), $G$242)</f>
        <v>6.7452000000000018E-4</v>
      </c>
      <c r="H251" s="52" cm="1">
        <f t="array" ref="H251">MMS_Swine_N2ODirect_Equations.VEERG_4_5_1_3__1_TotalAnnualDirectNitrousOxideEmissionsFromMMS(G122, _xlfn.XLOOKUP($D251, $D$152:$D$157, $E$152:$E$157), $G$242)</f>
        <v>6.3322285714285703E-4</v>
      </c>
      <c r="I251" s="52" cm="1">
        <f t="array" ref="I251">MMS_Swine_N2ODirect_Equations.VEERG_4_5_1_3__1_TotalAnnualDirectNitrousOxideEmissionsFromMMS(H122, _xlfn.XLOOKUP($D251, $D$152:$D$157, $E$152:$E$157), $G$242)</f>
        <v>4.294902857142856E-4</v>
      </c>
      <c r="J251" s="2" t="str">
        <f t="shared" si="8"/>
        <v>t N2O</v>
      </c>
      <c r="N251" s="57" t="str">
        <f>'Input - Swine'!$D$33</f>
        <v>Pit storage</v>
      </c>
      <c r="O251" s="57" t="s">
        <v>211</v>
      </c>
      <c r="P251" s="52" cm="1">
        <f t="array" ref="P251">MMS_Swine_N2ODirect_Equations.VEERG_4_5_1_3__1_TotalAnnualDirectNitrousOxideEmissionsFromMMS(O122, _xlfn.XLOOKUP($D251, $D$152:$D$157, $E$152:$E$157), $G$242)</f>
        <v>6.3322285714285703E-4</v>
      </c>
      <c r="Q251" s="52" cm="1">
        <f t="array" ref="Q251">MMS_Swine_N2ODirect_Equations.VEERG_4_5_1_3__1_TotalAnnualDirectNitrousOxideEmissionsFromMMS(P122, _xlfn.XLOOKUP($D251, $D$152:$D$157, $E$152:$E$157), $G$242)</f>
        <v>6.7452000000000018E-4</v>
      </c>
      <c r="R251" s="52" cm="1">
        <f t="array" ref="R251">MMS_Swine_N2ODirect_Equations.VEERG_4_5_1_3__1_TotalAnnualDirectNitrousOxideEmissionsFromMMS(Q122, _xlfn.XLOOKUP($D251, $D$152:$D$157, $E$152:$E$157), $G$242)</f>
        <v>6.3322285714285703E-4</v>
      </c>
      <c r="S251" s="52" cm="1">
        <f t="array" ref="S251">MMS_Swine_N2ODirect_Equations.VEERG_4_5_1_3__1_TotalAnnualDirectNitrousOxideEmissionsFromMMS(R122, _xlfn.XLOOKUP($D251, $D$152:$D$157, $E$152:$E$157), $G$242)</f>
        <v>4.294902857142856E-4</v>
      </c>
      <c r="T251" s="2" t="str">
        <f t="shared" si="9"/>
        <v>t N2O</v>
      </c>
    </row>
    <row r="252" spans="4:20" ht="20.100000000000001" customHeight="1" x14ac:dyDescent="0.25">
      <c r="D252" s="57" t="str">
        <f>'Input - Swine'!$D$34</f>
        <v>Solid storage</v>
      </c>
      <c r="E252" s="57" t="s">
        <v>211</v>
      </c>
      <c r="F252" s="52" cm="1">
        <f t="array" ref="F252">MMS_Swine_N2ODirect_Equations.VEERG_4_5_1_3__1_TotalAnnualDirectNitrousOxideEmissionsFromMMS(E123, _xlfn.XLOOKUP($D252, $D$152:$D$157, $E$152:$E$157), $G$242)</f>
        <v>5.2768571428571439E-3</v>
      </c>
      <c r="G252" s="52" cm="1">
        <f t="array" ref="G252">MMS_Swine_N2ODirect_Equations.VEERG_4_5_1_3__1_TotalAnnualDirectNitrousOxideEmissionsFromMMS(F123, _xlfn.XLOOKUP($D252, $D$152:$D$157, $E$152:$E$157), $G$242)</f>
        <v>5.6210000000000027E-3</v>
      </c>
      <c r="H252" s="52" cm="1">
        <f t="array" ref="H252">MMS_Swine_N2ODirect_Equations.VEERG_4_5_1_3__1_TotalAnnualDirectNitrousOxideEmissionsFromMMS(G123, _xlfn.XLOOKUP($D252, $D$152:$D$157, $E$152:$E$157), $G$242)</f>
        <v>5.2768571428571439E-3</v>
      </c>
      <c r="I252" s="52" cm="1">
        <f t="array" ref="I252">MMS_Swine_N2ODirect_Equations.VEERG_4_5_1_3__1_TotalAnnualDirectNitrousOxideEmissionsFromMMS(H123, _xlfn.XLOOKUP($D252, $D$152:$D$157, $E$152:$E$157), $G$242)</f>
        <v>3.5790857142857157E-3</v>
      </c>
      <c r="J252" s="2" t="str">
        <f t="shared" si="8"/>
        <v>t N2O</v>
      </c>
      <c r="N252" s="57" t="str">
        <f>'Input - Swine'!$D$34</f>
        <v>Solid storage</v>
      </c>
      <c r="O252" s="57" t="s">
        <v>211</v>
      </c>
      <c r="P252" s="52" cm="1">
        <f t="array" ref="P252">MMS_Swine_N2ODirect_Equations.VEERG_4_5_1_3__1_TotalAnnualDirectNitrousOxideEmissionsFromMMS(O123, _xlfn.XLOOKUP($D252, $D$152:$D$157, $E$152:$E$157), $G$242)</f>
        <v>5.2768571428571439E-3</v>
      </c>
      <c r="Q252" s="52" cm="1">
        <f t="array" ref="Q252">MMS_Swine_N2ODirect_Equations.VEERG_4_5_1_3__1_TotalAnnualDirectNitrousOxideEmissionsFromMMS(P123, _xlfn.XLOOKUP($D252, $D$152:$D$157, $E$152:$E$157), $G$242)</f>
        <v>5.6210000000000027E-3</v>
      </c>
      <c r="R252" s="52" cm="1">
        <f t="array" ref="R252">MMS_Swine_N2ODirect_Equations.VEERG_4_5_1_3__1_TotalAnnualDirectNitrousOxideEmissionsFromMMS(Q123, _xlfn.XLOOKUP($D252, $D$152:$D$157, $E$152:$E$157), $G$242)</f>
        <v>5.2768571428571439E-3</v>
      </c>
      <c r="S252" s="52" cm="1">
        <f t="array" ref="S252">MMS_Swine_N2ODirect_Equations.VEERG_4_5_1_3__1_TotalAnnualDirectNitrousOxideEmissionsFromMMS(R123, _xlfn.XLOOKUP($D252, $D$152:$D$157, $E$152:$E$157), $G$242)</f>
        <v>3.5790857142857157E-3</v>
      </c>
      <c r="T252" s="2" t="str">
        <f t="shared" si="9"/>
        <v>t N2O</v>
      </c>
    </row>
    <row r="253" spans="4:20" ht="20.100000000000001" customHeight="1" x14ac:dyDescent="0.25">
      <c r="D253" s="57" t="str">
        <f>'Input - Swine'!$D$29</f>
        <v>Anaerobic lagoon</v>
      </c>
      <c r="E253" s="57" t="str">
        <f>'Input - Swine'!$D$48</f>
        <v>Digester / covered lagoons</v>
      </c>
      <c r="F253" s="52" cm="1">
        <f t="array" ref="F253">MMS_Swine_N2ODirect_Equations.VEERG_4_5_1_3__1_TotalAnnualDirectNitrousOxideEmissionsFromMMS(F209, _xlfn.XLOOKUP($E253, $D$152:$D$157, $E$152:$E$157), $G$242)</f>
        <v>0</v>
      </c>
      <c r="G253" s="52" cm="1">
        <f t="array" ref="G253">MMS_Swine_N2ODirect_Equations.VEERG_4_5_1_3__1_TotalAnnualDirectNitrousOxideEmissionsFromMMS(G209, _xlfn.XLOOKUP($E253, $D$152:$D$157, $E$152:$E$157), $G$242)</f>
        <v>0</v>
      </c>
      <c r="H253" s="52" cm="1">
        <f t="array" ref="H253">MMS_Swine_N2ODirect_Equations.VEERG_4_5_1_3__1_TotalAnnualDirectNitrousOxideEmissionsFromMMS(H209, _xlfn.XLOOKUP($E253, $D$152:$D$157, $E$152:$E$157), $G$242)</f>
        <v>0</v>
      </c>
      <c r="I253" s="52" cm="1">
        <f t="array" ref="I253">MMS_Swine_N2ODirect_Equations.VEERG_4_5_1_3__1_TotalAnnualDirectNitrousOxideEmissionsFromMMS(I209, _xlfn.XLOOKUP($E253, $D$152:$D$157, $E$152:$E$157), $G$242)</f>
        <v>0</v>
      </c>
      <c r="J253" s="2" t="str">
        <f t="shared" si="8"/>
        <v>t N2O</v>
      </c>
      <c r="N253" s="57" t="str">
        <f>'Input - Swine'!$D$29</f>
        <v>Anaerobic lagoon</v>
      </c>
      <c r="O253" s="57" t="str">
        <f>'Input - Swine'!$D$48</f>
        <v>Digester / covered lagoons</v>
      </c>
      <c r="P253" s="52" cm="1">
        <f t="array" ref="P253">MMS_Swine_N2ODirect_Equations.VEERG_4_5_1_3__1_TotalAnnualDirectNitrousOxideEmissionsFromMMS(P209, _xlfn.XLOOKUP($E253, $D$152:$D$157, $E$152:$E$157), $G$242)</f>
        <v>0</v>
      </c>
      <c r="Q253" s="52" cm="1">
        <f t="array" ref="Q253">MMS_Swine_N2ODirect_Equations.VEERG_4_5_1_3__1_TotalAnnualDirectNitrousOxideEmissionsFromMMS(Q209, _xlfn.XLOOKUP($E253, $D$152:$D$157, $E$152:$E$157), $G$242)</f>
        <v>0</v>
      </c>
      <c r="R253" s="52" cm="1">
        <f t="array" ref="R253">MMS_Swine_N2ODirect_Equations.VEERG_4_5_1_3__1_TotalAnnualDirectNitrousOxideEmissionsFromMMS(R209, _xlfn.XLOOKUP($E253, $D$152:$D$157, $E$152:$E$157), $G$242)</f>
        <v>0</v>
      </c>
      <c r="S253" s="52" cm="1">
        <f t="array" ref="S253">MMS_Swine_N2ODirect_Equations.VEERG_4_5_1_3__1_TotalAnnualDirectNitrousOxideEmissionsFromMMS(S209, _xlfn.XLOOKUP($E253, $D$152:$D$157, $E$152:$E$157), $G$242)</f>
        <v>0</v>
      </c>
      <c r="T253" s="2" t="str">
        <f t="shared" si="9"/>
        <v>t N2O</v>
      </c>
    </row>
    <row r="254" spans="4:20" ht="20.100000000000001" customHeight="1" x14ac:dyDescent="0.25">
      <c r="D254" s="57"/>
      <c r="E254" s="57" t="str">
        <f>'Input - Swine'!$D$49</f>
        <v>Deep litter</v>
      </c>
      <c r="F254" s="52" cm="1">
        <f t="array" ref="F254">MMS_Swine_N2ODirect_Equations.VEERG_4_5_1_3__1_TotalAnnualDirectNitrousOxideEmissionsFromMMS(F210, _xlfn.XLOOKUP($E254, $D$152:$D$157, $E$152:$E$157), $G$242)</f>
        <v>2.8495028571428569E-4</v>
      </c>
      <c r="G254" s="52" cm="1">
        <f t="array" ref="G254">MMS_Swine_N2ODirect_Equations.VEERG_4_5_1_3__1_TotalAnnualDirectNitrousOxideEmissionsFromMMS(G210, _xlfn.XLOOKUP($E254, $D$152:$D$157, $E$152:$E$157), $G$242)</f>
        <v>3.7941750000000007E-4</v>
      </c>
      <c r="H254" s="52" cm="1">
        <f t="array" ref="H254">MMS_Swine_N2ODirect_Equations.VEERG_4_5_1_3__1_TotalAnnualDirectNitrousOxideEmissionsFromMMS(H210, _xlfn.XLOOKUP($E254, $D$152:$D$157, $E$152:$E$157), $G$242)</f>
        <v>3.5618785714285701E-4</v>
      </c>
      <c r="I254" s="52" cm="1">
        <f t="array" ref="I254">MMS_Swine_N2ODirect_Equations.VEERG_4_5_1_3__1_TotalAnnualDirectNitrousOxideEmissionsFromMMS(I210, _xlfn.XLOOKUP($E254, $D$152:$D$157, $E$152:$E$157), $G$242)</f>
        <v>2.4158828571428564E-4</v>
      </c>
      <c r="J254" s="2" t="str">
        <f t="shared" si="8"/>
        <v>t N2O</v>
      </c>
      <c r="N254" s="57"/>
      <c r="O254" s="57" t="str">
        <f>'Input - Swine'!$D$49</f>
        <v>Deep litter</v>
      </c>
      <c r="P254" s="52" cm="1">
        <f t="array" ref="P254">MMS_Swine_N2ODirect_Equations.VEERG_4_5_1_3__1_TotalAnnualDirectNitrousOxideEmissionsFromMMS(P210, _xlfn.XLOOKUP($E254, $D$152:$D$157, $E$152:$E$157), $G$242)</f>
        <v>2.8495028571428569E-4</v>
      </c>
      <c r="Q254" s="52" cm="1">
        <f t="array" ref="Q254">MMS_Swine_N2ODirect_Equations.VEERG_4_5_1_3__1_TotalAnnualDirectNitrousOxideEmissionsFromMMS(Q210, _xlfn.XLOOKUP($E254, $D$152:$D$157, $E$152:$E$157), $G$242)</f>
        <v>3.7941750000000007E-4</v>
      </c>
      <c r="R254" s="52" cm="1">
        <f t="array" ref="R254">MMS_Swine_N2ODirect_Equations.VEERG_4_5_1_3__1_TotalAnnualDirectNitrousOxideEmissionsFromMMS(R210, _xlfn.XLOOKUP($E254, $D$152:$D$157, $E$152:$E$157), $G$242)</f>
        <v>3.5618785714285701E-4</v>
      </c>
      <c r="S254" s="52" cm="1">
        <f t="array" ref="S254">MMS_Swine_N2ODirect_Equations.VEERG_4_5_1_3__1_TotalAnnualDirectNitrousOxideEmissionsFromMMS(S210, _xlfn.XLOOKUP($E254, $D$152:$D$157, $E$152:$E$157), $G$242)</f>
        <v>2.4158828571428564E-4</v>
      </c>
      <c r="T254" s="2" t="str">
        <f t="shared" si="9"/>
        <v>t N2O</v>
      </c>
    </row>
    <row r="255" spans="4:20" ht="20.100000000000001" customHeight="1" x14ac:dyDescent="0.25">
      <c r="D255" s="57"/>
      <c r="E255" s="57" t="str">
        <f>'Input - Swine'!$D$50</f>
        <v>Pit storage</v>
      </c>
      <c r="F255" s="52" cm="1">
        <f t="array" ref="F255">MMS_Swine_N2ODirect_Equations.VEERG_4_5_1_3__1_TotalAnnualDirectNitrousOxideEmissionsFromMMS(F211, _xlfn.XLOOKUP($E255, $D$152:$D$157, $E$152:$E$157), $G$242)</f>
        <v>5.6990057142857125E-5</v>
      </c>
      <c r="G255" s="52" cm="1">
        <f t="array" ref="G255">MMS_Swine_N2ODirect_Equations.VEERG_4_5_1_3__1_TotalAnnualDirectNitrousOxideEmissionsFromMMS(G211, _xlfn.XLOOKUP($E255, $D$152:$D$157, $E$152:$E$157), $G$242)</f>
        <v>7.5883500000000013E-5</v>
      </c>
      <c r="H255" s="52" cm="1">
        <f t="array" ref="H255">MMS_Swine_N2ODirect_Equations.VEERG_4_5_1_3__1_TotalAnnualDirectNitrousOxideEmissionsFromMMS(H211, _xlfn.XLOOKUP($E255, $D$152:$D$157, $E$152:$E$157), $G$242)</f>
        <v>7.1237571428571408E-5</v>
      </c>
      <c r="I255" s="52" cm="1">
        <f t="array" ref="I255">MMS_Swine_N2ODirect_Equations.VEERG_4_5_1_3__1_TotalAnnualDirectNitrousOxideEmissionsFromMMS(I211, _xlfn.XLOOKUP($E255, $D$152:$D$157, $E$152:$E$157), $G$242)</f>
        <v>4.831765714285713E-5</v>
      </c>
      <c r="J255" s="2" t="str">
        <f t="shared" si="8"/>
        <v>t N2O</v>
      </c>
      <c r="N255" s="57"/>
      <c r="O255" s="57" t="str">
        <f>'Input - Swine'!$D$50</f>
        <v>Pit storage</v>
      </c>
      <c r="P255" s="52" cm="1">
        <f t="array" ref="P255">MMS_Swine_N2ODirect_Equations.VEERG_4_5_1_3__1_TotalAnnualDirectNitrousOxideEmissionsFromMMS(P211, _xlfn.XLOOKUP($E255, $D$152:$D$157, $E$152:$E$157), $G$242)</f>
        <v>5.6990057142857125E-5</v>
      </c>
      <c r="Q255" s="52" cm="1">
        <f t="array" ref="Q255">MMS_Swine_N2ODirect_Equations.VEERG_4_5_1_3__1_TotalAnnualDirectNitrousOxideEmissionsFromMMS(Q211, _xlfn.XLOOKUP($E255, $D$152:$D$157, $E$152:$E$157), $G$242)</f>
        <v>7.5883500000000013E-5</v>
      </c>
      <c r="R255" s="52" cm="1">
        <f t="array" ref="R255">MMS_Swine_N2ODirect_Equations.VEERG_4_5_1_3__1_TotalAnnualDirectNitrousOxideEmissionsFromMMS(R211, _xlfn.XLOOKUP($E255, $D$152:$D$157, $E$152:$E$157), $G$242)</f>
        <v>7.1237571428571408E-5</v>
      </c>
      <c r="S255" s="52" cm="1">
        <f t="array" ref="S255">MMS_Swine_N2ODirect_Equations.VEERG_4_5_1_3__1_TotalAnnualDirectNitrousOxideEmissionsFromMMS(S211, _xlfn.XLOOKUP($E255, $D$152:$D$157, $E$152:$E$157), $G$242)</f>
        <v>4.831765714285713E-5</v>
      </c>
      <c r="T255" s="2" t="str">
        <f t="shared" si="9"/>
        <v>t N2O</v>
      </c>
    </row>
    <row r="256" spans="4:20" ht="20.100000000000001" customHeight="1" x14ac:dyDescent="0.25">
      <c r="D256" s="57" t="str">
        <f>'Input - Swine'!$D$30</f>
        <v>Drylot (feed pad)</v>
      </c>
      <c r="E256" s="57" t="str">
        <f>'Input - Swine'!$D$55</f>
        <v>Anaerobic lagoon</v>
      </c>
      <c r="F256" s="52" cm="1">
        <f t="array" ref="F256">MMS_Swine_N2ODirect_Equations.VEERG_4_5_1_3__1_TotalAnnualDirectNitrousOxideEmissionsFromMMS(F212, _xlfn.XLOOKUP($E256, $D$152:$D$157, $E$152:$E$157), $G$242)</f>
        <v>0</v>
      </c>
      <c r="G256" s="52" cm="1">
        <f t="array" ref="G256">MMS_Swine_N2ODirect_Equations.VEERG_4_5_1_3__1_TotalAnnualDirectNitrousOxideEmissionsFromMMS(G212, _xlfn.XLOOKUP($E256, $D$152:$D$157, $E$152:$E$157), $G$242)</f>
        <v>0</v>
      </c>
      <c r="H256" s="52" cm="1">
        <f t="array" ref="H256">MMS_Swine_N2ODirect_Equations.VEERG_4_5_1_3__1_TotalAnnualDirectNitrousOxideEmissionsFromMMS(H212, _xlfn.XLOOKUP($E256, $D$152:$D$157, $E$152:$E$157), $G$242)</f>
        <v>0</v>
      </c>
      <c r="I256" s="52" cm="1">
        <f t="array" ref="I256">MMS_Swine_N2ODirect_Equations.VEERG_4_5_1_3__1_TotalAnnualDirectNitrousOxideEmissionsFromMMS(I212, _xlfn.XLOOKUP($E256, $D$152:$D$157, $E$152:$E$157), $G$242)</f>
        <v>0</v>
      </c>
      <c r="J256" s="2" t="str">
        <f t="shared" si="8"/>
        <v>t N2O</v>
      </c>
      <c r="N256" s="57" t="str">
        <f>'Input - Swine'!$D$30</f>
        <v>Drylot (feed pad)</v>
      </c>
      <c r="O256" s="57" t="str">
        <f>'Input - Swine'!$D$55</f>
        <v>Anaerobic lagoon</v>
      </c>
      <c r="P256" s="52" cm="1">
        <f t="array" ref="P256">MMS_Swine_N2ODirect_Equations.VEERG_4_5_1_3__1_TotalAnnualDirectNitrousOxideEmissionsFromMMS(P212, _xlfn.XLOOKUP($E256, $D$152:$D$157, $E$152:$E$157), $G$242)</f>
        <v>0</v>
      </c>
      <c r="Q256" s="52" cm="1">
        <f t="array" ref="Q256">MMS_Swine_N2ODirect_Equations.VEERG_4_5_1_3__1_TotalAnnualDirectNitrousOxideEmissionsFromMMS(Q212, _xlfn.XLOOKUP($E256, $D$152:$D$157, $E$152:$E$157), $G$242)</f>
        <v>0</v>
      </c>
      <c r="R256" s="52" cm="1">
        <f t="array" ref="R256">MMS_Swine_N2ODirect_Equations.VEERG_4_5_1_3__1_TotalAnnualDirectNitrousOxideEmissionsFromMMS(R212, _xlfn.XLOOKUP($E256, $D$152:$D$157, $E$152:$E$157), $G$242)</f>
        <v>0</v>
      </c>
      <c r="S256" s="52" cm="1">
        <f t="array" ref="S256">MMS_Swine_N2ODirect_Equations.VEERG_4_5_1_3__1_TotalAnnualDirectNitrousOxideEmissionsFromMMS(S212, _xlfn.XLOOKUP($E256, $D$152:$D$157, $E$152:$E$157), $G$242)</f>
        <v>0</v>
      </c>
      <c r="T256" s="2" t="str">
        <f t="shared" si="9"/>
        <v>t N2O</v>
      </c>
    </row>
    <row r="257" spans="4:20" ht="20.100000000000001" customHeight="1" x14ac:dyDescent="0.25">
      <c r="D257" s="57"/>
      <c r="E257" s="57" t="str">
        <f>'Input - Swine'!$D$56</f>
        <v>Digester / covered lagoons</v>
      </c>
      <c r="F257" s="52" cm="1">
        <f t="array" ref="F257">MMS_Swine_N2ODirect_Equations.VEERG_4_5_1_3__1_TotalAnnualDirectNitrousOxideEmissionsFromMMS(F213, _xlfn.XLOOKUP($E257, $D$152:$D$157, $E$152:$E$157), $G$242)</f>
        <v>0</v>
      </c>
      <c r="G257" s="52" cm="1">
        <f t="array" ref="G257">MMS_Swine_N2ODirect_Equations.VEERG_4_5_1_3__1_TotalAnnualDirectNitrousOxideEmissionsFromMMS(G213, _xlfn.XLOOKUP($E257, $D$152:$D$157, $E$152:$E$157), $G$242)</f>
        <v>0</v>
      </c>
      <c r="H257" s="52" cm="1">
        <f t="array" ref="H257">MMS_Swine_N2ODirect_Equations.VEERG_4_5_1_3__1_TotalAnnualDirectNitrousOxideEmissionsFromMMS(H213, _xlfn.XLOOKUP($E257, $D$152:$D$157, $E$152:$E$157), $G$242)</f>
        <v>0</v>
      </c>
      <c r="I257" s="52" cm="1">
        <f t="array" ref="I257">MMS_Swine_N2ODirect_Equations.VEERG_4_5_1_3__1_TotalAnnualDirectNitrousOxideEmissionsFromMMS(I213, _xlfn.XLOOKUP($E257, $D$152:$D$157, $E$152:$E$157), $G$242)</f>
        <v>0</v>
      </c>
      <c r="J257" s="2" t="str">
        <f t="shared" si="8"/>
        <v>t N2O</v>
      </c>
      <c r="N257" s="57"/>
      <c r="O257" s="57" t="str">
        <f>'Input - Swine'!$D$56</f>
        <v>Digester / covered lagoons</v>
      </c>
      <c r="P257" s="52" cm="1">
        <f t="array" ref="P257">MMS_Swine_N2ODirect_Equations.VEERG_4_5_1_3__1_TotalAnnualDirectNitrousOxideEmissionsFromMMS(P213, _xlfn.XLOOKUP($E257, $D$152:$D$157, $E$152:$E$157), $G$242)</f>
        <v>0</v>
      </c>
      <c r="Q257" s="52" cm="1">
        <f t="array" ref="Q257">MMS_Swine_N2ODirect_Equations.VEERG_4_5_1_3__1_TotalAnnualDirectNitrousOxideEmissionsFromMMS(Q213, _xlfn.XLOOKUP($E257, $D$152:$D$157, $E$152:$E$157), $G$242)</f>
        <v>0</v>
      </c>
      <c r="R257" s="52" cm="1">
        <f t="array" ref="R257">MMS_Swine_N2ODirect_Equations.VEERG_4_5_1_3__1_TotalAnnualDirectNitrousOxideEmissionsFromMMS(R213, _xlfn.XLOOKUP($E257, $D$152:$D$157, $E$152:$E$157), $G$242)</f>
        <v>0</v>
      </c>
      <c r="S257" s="52" cm="1">
        <f t="array" ref="S257">MMS_Swine_N2ODirect_Equations.VEERG_4_5_1_3__1_TotalAnnualDirectNitrousOxideEmissionsFromMMS(S213, _xlfn.XLOOKUP($E257, $D$152:$D$157, $E$152:$E$157), $G$242)</f>
        <v>0</v>
      </c>
      <c r="T257" s="2" t="str">
        <f t="shared" si="9"/>
        <v>t N2O</v>
      </c>
    </row>
    <row r="258" spans="4:20" ht="20.100000000000001" customHeight="1" x14ac:dyDescent="0.25">
      <c r="D258" s="57"/>
      <c r="E258" s="57" t="str">
        <f>'Input - Swine'!$D$57</f>
        <v>Deep litter</v>
      </c>
      <c r="F258" s="52" cm="1">
        <f t="array" ref="F258">MMS_Swine_N2ODirect_Equations.VEERG_4_5_1_3__1_TotalAnnualDirectNitrousOxideEmissionsFromMMS(F214, _xlfn.XLOOKUP($E258, $D$152:$D$157, $E$152:$E$157), $G$242)</f>
        <v>4.3059154285714273E-4</v>
      </c>
      <c r="G258" s="52" cm="1">
        <f t="array" ref="G258">MMS_Swine_N2ODirect_Equations.VEERG_4_5_1_3__1_TotalAnnualDirectNitrousOxideEmissionsFromMMS(G214, _xlfn.XLOOKUP($E258, $D$152:$D$157, $E$152:$E$157), $G$242)</f>
        <v>5.7334200000000012E-4</v>
      </c>
      <c r="H258" s="52" cm="1">
        <f t="array" ref="H258">MMS_Swine_N2ODirect_Equations.VEERG_4_5_1_3__1_TotalAnnualDirectNitrousOxideEmissionsFromMMS(H214, _xlfn.XLOOKUP($E258, $D$152:$D$157, $E$152:$E$157), $G$242)</f>
        <v>5.3823942857142838E-4</v>
      </c>
      <c r="I258" s="52" cm="1">
        <f t="array" ref="I258">MMS_Swine_N2ODirect_Equations.VEERG_4_5_1_3__1_TotalAnnualDirectNitrousOxideEmissionsFromMMS(I214, _xlfn.XLOOKUP($E258, $D$152:$D$157, $E$152:$E$157), $G$242)</f>
        <v>3.6506674285714276E-4</v>
      </c>
      <c r="J258" s="2" t="str">
        <f t="shared" si="8"/>
        <v>t N2O</v>
      </c>
      <c r="N258" s="57"/>
      <c r="O258" s="57" t="str">
        <f>'Input - Swine'!$D$57</f>
        <v>Deep litter</v>
      </c>
      <c r="P258" s="52" cm="1">
        <f t="array" ref="P258">MMS_Swine_N2ODirect_Equations.VEERG_4_5_1_3__1_TotalAnnualDirectNitrousOxideEmissionsFromMMS(P214, _xlfn.XLOOKUP($E258, $D$152:$D$157, $E$152:$E$157), $G$242)</f>
        <v>4.3059154285714273E-4</v>
      </c>
      <c r="Q258" s="52" cm="1">
        <f t="array" ref="Q258">MMS_Swine_N2ODirect_Equations.VEERG_4_5_1_3__1_TotalAnnualDirectNitrousOxideEmissionsFromMMS(Q214, _xlfn.XLOOKUP($E258, $D$152:$D$157, $E$152:$E$157), $G$242)</f>
        <v>5.7334200000000012E-4</v>
      </c>
      <c r="R258" s="52" cm="1">
        <f t="array" ref="R258">MMS_Swine_N2ODirect_Equations.VEERG_4_5_1_3__1_TotalAnnualDirectNitrousOxideEmissionsFromMMS(R214, _xlfn.XLOOKUP($E258, $D$152:$D$157, $E$152:$E$157), $G$242)</f>
        <v>5.3823942857142838E-4</v>
      </c>
      <c r="S258" s="52" cm="1">
        <f t="array" ref="S258">MMS_Swine_N2ODirect_Equations.VEERG_4_5_1_3__1_TotalAnnualDirectNitrousOxideEmissionsFromMMS(S214, _xlfn.XLOOKUP($E258, $D$152:$D$157, $E$152:$E$157), $G$242)</f>
        <v>3.6506674285714276E-4</v>
      </c>
      <c r="T258" s="2" t="str">
        <f t="shared" si="9"/>
        <v>t N2O</v>
      </c>
    </row>
    <row r="259" spans="4:20" ht="20.100000000000001" customHeight="1" x14ac:dyDescent="0.25">
      <c r="D259" s="57"/>
      <c r="E259" s="57" t="str">
        <f>'Input - Swine'!$D$58</f>
        <v>Pit storage</v>
      </c>
      <c r="F259" s="52" cm="1">
        <f t="array" ref="F259">MMS_Swine_N2ODirect_Equations.VEERG_4_5_1_3__1_TotalAnnualDirectNitrousOxideEmissionsFromMMS(F215, _xlfn.XLOOKUP($E259, $D$152:$D$157, $E$152:$E$157), $G$242)</f>
        <v>8.6118308571428545E-5</v>
      </c>
      <c r="G259" s="52" cm="1">
        <f t="array" ref="G259">MMS_Swine_N2ODirect_Equations.VEERG_4_5_1_3__1_TotalAnnualDirectNitrousOxideEmissionsFromMMS(G215, _xlfn.XLOOKUP($E259, $D$152:$D$157, $E$152:$E$157), $G$242)</f>
        <v>1.1466840000000002E-4</v>
      </c>
      <c r="H259" s="52" cm="1">
        <f t="array" ref="H259">MMS_Swine_N2ODirect_Equations.VEERG_4_5_1_3__1_TotalAnnualDirectNitrousOxideEmissionsFromMMS(H215, _xlfn.XLOOKUP($E259, $D$152:$D$157, $E$152:$E$157), $G$242)</f>
        <v>1.0764788571428568E-4</v>
      </c>
      <c r="I259" s="52" cm="1">
        <f t="array" ref="I259">MMS_Swine_N2ODirect_Equations.VEERG_4_5_1_3__1_TotalAnnualDirectNitrousOxideEmissionsFromMMS(I215, _xlfn.XLOOKUP($E259, $D$152:$D$157, $E$152:$E$157), $G$242)</f>
        <v>7.3013348571428544E-5</v>
      </c>
      <c r="J259" s="2" t="str">
        <f t="shared" si="8"/>
        <v>t N2O</v>
      </c>
      <c r="N259" s="57"/>
      <c r="O259" s="57" t="str">
        <f>'Input - Swine'!$D$58</f>
        <v>Pit storage</v>
      </c>
      <c r="P259" s="52" cm="1">
        <f t="array" ref="P259">MMS_Swine_N2ODirect_Equations.VEERG_4_5_1_3__1_TotalAnnualDirectNitrousOxideEmissionsFromMMS(P215, _xlfn.XLOOKUP($E259, $D$152:$D$157, $E$152:$E$157), $G$242)</f>
        <v>8.6118308571428545E-5</v>
      </c>
      <c r="Q259" s="52" cm="1">
        <f t="array" ref="Q259">MMS_Swine_N2ODirect_Equations.VEERG_4_5_1_3__1_TotalAnnualDirectNitrousOxideEmissionsFromMMS(Q215, _xlfn.XLOOKUP($E259, $D$152:$D$157, $E$152:$E$157), $G$242)</f>
        <v>1.1466840000000002E-4</v>
      </c>
      <c r="R259" s="52" cm="1">
        <f t="array" ref="R259">MMS_Swine_N2ODirect_Equations.VEERG_4_5_1_3__1_TotalAnnualDirectNitrousOxideEmissionsFromMMS(R215, _xlfn.XLOOKUP($E259, $D$152:$D$157, $E$152:$E$157), $G$242)</f>
        <v>1.0764788571428568E-4</v>
      </c>
      <c r="S259" s="52" cm="1">
        <f t="array" ref="S259">MMS_Swine_N2ODirect_Equations.VEERG_4_5_1_3__1_TotalAnnualDirectNitrousOxideEmissionsFromMMS(S215, _xlfn.XLOOKUP($E259, $D$152:$D$157, $E$152:$E$157), $G$242)</f>
        <v>7.3013348571428544E-5</v>
      </c>
      <c r="T259" s="2" t="str">
        <f t="shared" si="9"/>
        <v>t N2O</v>
      </c>
    </row>
    <row r="260" spans="4:20" ht="20.100000000000001" customHeight="1" x14ac:dyDescent="0.25">
      <c r="D260" s="57" t="str">
        <f>'Input - Swine'!$D$31</f>
        <v>Digester / covered lagoons</v>
      </c>
      <c r="E260" s="57" t="str">
        <f>'Input - Swine'!$D$63</f>
        <v>Anaerobic lagoon</v>
      </c>
      <c r="F260" s="52" cm="1">
        <f t="array" ref="F260">MMS_Swine_N2ODirect_Equations.VEERG_4_5_1_3__1_TotalAnnualDirectNitrousOxideEmissionsFromMMS(F216, _xlfn.XLOOKUP($E260, $D$152:$D$157, $E$152:$E$157), $G$242)</f>
        <v>0</v>
      </c>
      <c r="G260" s="52" cm="1">
        <f t="array" ref="G260">MMS_Swine_N2ODirect_Equations.VEERG_4_5_1_3__1_TotalAnnualDirectNitrousOxideEmissionsFromMMS(G216, _xlfn.XLOOKUP($E260, $D$152:$D$157, $E$152:$E$157), $G$242)</f>
        <v>0</v>
      </c>
      <c r="H260" s="52" cm="1">
        <f t="array" ref="H260">MMS_Swine_N2ODirect_Equations.VEERG_4_5_1_3__1_TotalAnnualDirectNitrousOxideEmissionsFromMMS(H216, _xlfn.XLOOKUP($E260, $D$152:$D$157, $E$152:$E$157), $G$242)</f>
        <v>0</v>
      </c>
      <c r="I260" s="52" cm="1">
        <f t="array" ref="I260">MMS_Swine_N2ODirect_Equations.VEERG_4_5_1_3__1_TotalAnnualDirectNitrousOxideEmissionsFromMMS(I216, _xlfn.XLOOKUP($E260, $D$152:$D$157, $E$152:$E$157), $G$242)</f>
        <v>0</v>
      </c>
      <c r="J260" s="2" t="str">
        <f t="shared" si="8"/>
        <v>t N2O</v>
      </c>
      <c r="N260" s="57" t="str">
        <f>'Input - Swine'!$D$31</f>
        <v>Digester / covered lagoons</v>
      </c>
      <c r="O260" s="57" t="str">
        <f>'Input - Swine'!$D$63</f>
        <v>Anaerobic lagoon</v>
      </c>
      <c r="P260" s="52" cm="1">
        <f t="array" ref="P260">MMS_Swine_N2ODirect_Equations.VEERG_4_5_1_3__1_TotalAnnualDirectNitrousOxideEmissionsFromMMS(P216, _xlfn.XLOOKUP($E260, $D$152:$D$157, $E$152:$E$157), $G$242)</f>
        <v>0</v>
      </c>
      <c r="Q260" s="52" cm="1">
        <f t="array" ref="Q260">MMS_Swine_N2ODirect_Equations.VEERG_4_5_1_3__1_TotalAnnualDirectNitrousOxideEmissionsFromMMS(Q216, _xlfn.XLOOKUP($E260, $D$152:$D$157, $E$152:$E$157), $G$242)</f>
        <v>0</v>
      </c>
      <c r="R260" s="52" cm="1">
        <f t="array" ref="R260">MMS_Swine_N2ODirect_Equations.VEERG_4_5_1_3__1_TotalAnnualDirectNitrousOxideEmissionsFromMMS(R216, _xlfn.XLOOKUP($E260, $D$152:$D$157, $E$152:$E$157), $G$242)</f>
        <v>0</v>
      </c>
      <c r="S260" s="52" cm="1">
        <f t="array" ref="S260">MMS_Swine_N2ODirect_Equations.VEERG_4_5_1_3__1_TotalAnnualDirectNitrousOxideEmissionsFromMMS(S216, _xlfn.XLOOKUP($E260, $D$152:$D$157, $E$152:$E$157), $G$242)</f>
        <v>0</v>
      </c>
      <c r="T260" s="2" t="str">
        <f t="shared" si="9"/>
        <v>t N2O</v>
      </c>
    </row>
    <row r="261" spans="4:20" ht="20.100000000000001" customHeight="1" x14ac:dyDescent="0.25">
      <c r="D261" s="57"/>
      <c r="E261" s="57" t="str">
        <f>'Input - Swine'!$D$64</f>
        <v>Deep litter</v>
      </c>
      <c r="F261" s="52" cm="1">
        <f t="array" ref="F261">MMS_Swine_N2ODirect_Equations.VEERG_4_5_1_3__1_TotalAnnualDirectNitrousOxideEmissionsFromMMS(F217, _xlfn.XLOOKUP($E261, $D$152:$D$157, $E$152:$E$157), $G$242)</f>
        <v>6.3322285714285703E-4</v>
      </c>
      <c r="G261" s="52" cm="1">
        <f t="array" ref="G261">MMS_Swine_N2ODirect_Equations.VEERG_4_5_1_3__1_TotalAnnualDirectNitrousOxideEmissionsFromMMS(G217, _xlfn.XLOOKUP($E261, $D$152:$D$157, $E$152:$E$157), $G$242)</f>
        <v>8.4315000000000008E-4</v>
      </c>
      <c r="H261" s="52" cm="1">
        <f t="array" ref="H261">MMS_Swine_N2ODirect_Equations.VEERG_4_5_1_3__1_TotalAnnualDirectNitrousOxideEmissionsFromMMS(H217, _xlfn.XLOOKUP($E261, $D$152:$D$157, $E$152:$E$157), $G$242)</f>
        <v>7.9152857142857124E-4</v>
      </c>
      <c r="I261" s="52" cm="1">
        <f t="array" ref="I261">MMS_Swine_N2ODirect_Equations.VEERG_4_5_1_3__1_TotalAnnualDirectNitrousOxideEmissionsFromMMS(I217, _xlfn.XLOOKUP($E261, $D$152:$D$157, $E$152:$E$157), $G$242)</f>
        <v>5.3686285714285705E-4</v>
      </c>
      <c r="J261" s="2" t="str">
        <f t="shared" si="8"/>
        <v>t N2O</v>
      </c>
      <c r="N261" s="57"/>
      <c r="O261" s="57" t="str">
        <f>'Input - Swine'!$D$64</f>
        <v>Deep litter</v>
      </c>
      <c r="P261" s="52" cm="1">
        <f t="array" ref="P261">MMS_Swine_N2ODirect_Equations.VEERG_4_5_1_3__1_TotalAnnualDirectNitrousOxideEmissionsFromMMS(P217, _xlfn.XLOOKUP($E261, $D$152:$D$157, $E$152:$E$157), $G$242)</f>
        <v>6.3322285714285703E-4</v>
      </c>
      <c r="Q261" s="52" cm="1">
        <f t="array" ref="Q261">MMS_Swine_N2ODirect_Equations.VEERG_4_5_1_3__1_TotalAnnualDirectNitrousOxideEmissionsFromMMS(Q217, _xlfn.XLOOKUP($E261, $D$152:$D$157, $E$152:$E$157), $G$242)</f>
        <v>8.4315000000000008E-4</v>
      </c>
      <c r="R261" s="52" cm="1">
        <f t="array" ref="R261">MMS_Swine_N2ODirect_Equations.VEERG_4_5_1_3__1_TotalAnnualDirectNitrousOxideEmissionsFromMMS(R217, _xlfn.XLOOKUP($E261, $D$152:$D$157, $E$152:$E$157), $G$242)</f>
        <v>7.9152857142857124E-4</v>
      </c>
      <c r="S261" s="52" cm="1">
        <f t="array" ref="S261">MMS_Swine_N2ODirect_Equations.VEERG_4_5_1_3__1_TotalAnnualDirectNitrousOxideEmissionsFromMMS(S217, _xlfn.XLOOKUP($E261, $D$152:$D$157, $E$152:$E$157), $G$242)</f>
        <v>5.3686285714285705E-4</v>
      </c>
      <c r="T261" s="2" t="str">
        <f t="shared" si="9"/>
        <v>t N2O</v>
      </c>
    </row>
    <row r="262" spans="4:20" ht="20.100000000000001" customHeight="1" x14ac:dyDescent="0.25">
      <c r="D262" s="57"/>
      <c r="E262" s="57" t="str">
        <f>'Input - Swine'!$D$65</f>
        <v>Pit storage</v>
      </c>
      <c r="F262" s="52" cm="1">
        <f t="array" ref="F262">MMS_Swine_N2ODirect_Equations.VEERG_4_5_1_3__1_TotalAnnualDirectNitrousOxideEmissionsFromMMS(F218, _xlfn.XLOOKUP($E262, $D$152:$D$157, $E$152:$E$157), $G$242)</f>
        <v>1.266445714285714E-4</v>
      </c>
      <c r="G262" s="52" cm="1">
        <f t="array" ref="G262">MMS_Swine_N2ODirect_Equations.VEERG_4_5_1_3__1_TotalAnnualDirectNitrousOxideEmissionsFromMMS(G218, _xlfn.XLOOKUP($E262, $D$152:$D$157, $E$152:$E$157), $G$242)</f>
        <v>1.6863000000000004E-4</v>
      </c>
      <c r="H262" s="52" cm="1">
        <f t="array" ref="H262">MMS_Swine_N2ODirect_Equations.VEERG_4_5_1_3__1_TotalAnnualDirectNitrousOxideEmissionsFromMMS(H218, _xlfn.XLOOKUP($E262, $D$152:$D$157, $E$152:$E$157), $G$242)</f>
        <v>1.5830571428571426E-4</v>
      </c>
      <c r="I262" s="52" cm="1">
        <f t="array" ref="I262">MMS_Swine_N2ODirect_Equations.VEERG_4_5_1_3__1_TotalAnnualDirectNitrousOxideEmissionsFromMMS(I218, _xlfn.XLOOKUP($E262, $D$152:$D$157, $E$152:$E$157), $G$242)</f>
        <v>1.073725714285714E-4</v>
      </c>
      <c r="J262" s="2" t="str">
        <f t="shared" si="8"/>
        <v>t N2O</v>
      </c>
      <c r="N262" s="57"/>
      <c r="O262" s="57" t="str">
        <f>'Input - Swine'!$D$65</f>
        <v>Pit storage</v>
      </c>
      <c r="P262" s="52" cm="1">
        <f t="array" ref="P262">MMS_Swine_N2ODirect_Equations.VEERG_4_5_1_3__1_TotalAnnualDirectNitrousOxideEmissionsFromMMS(P218, _xlfn.XLOOKUP($E262, $D$152:$D$157, $E$152:$E$157), $G$242)</f>
        <v>1.266445714285714E-4</v>
      </c>
      <c r="Q262" s="52" cm="1">
        <f t="array" ref="Q262">MMS_Swine_N2ODirect_Equations.VEERG_4_5_1_3__1_TotalAnnualDirectNitrousOxideEmissionsFromMMS(Q218, _xlfn.XLOOKUP($E262, $D$152:$D$157, $E$152:$E$157), $G$242)</f>
        <v>1.6863000000000004E-4</v>
      </c>
      <c r="R262" s="52" cm="1">
        <f t="array" ref="R262">MMS_Swine_N2ODirect_Equations.VEERG_4_5_1_3__1_TotalAnnualDirectNitrousOxideEmissionsFromMMS(R218, _xlfn.XLOOKUP($E262, $D$152:$D$157, $E$152:$E$157), $G$242)</f>
        <v>1.5830571428571426E-4</v>
      </c>
      <c r="S262" s="52" cm="1">
        <f t="array" ref="S262">MMS_Swine_N2ODirect_Equations.VEERG_4_5_1_3__1_TotalAnnualDirectNitrousOxideEmissionsFromMMS(S218, _xlfn.XLOOKUP($E262, $D$152:$D$157, $E$152:$E$157), $G$242)</f>
        <v>1.073725714285714E-4</v>
      </c>
      <c r="T262" s="2" t="str">
        <f t="shared" si="9"/>
        <v>t N2O</v>
      </c>
    </row>
    <row r="263" spans="4:20" ht="20.100000000000001" customHeight="1" x14ac:dyDescent="0.25">
      <c r="D263" s="57" t="str">
        <f>'Input - Swine'!$D$32</f>
        <v>Deep litter</v>
      </c>
      <c r="E263" s="57" t="str">
        <f>'Input - Swine'!$D$70</f>
        <v>Anaerobic lagoon</v>
      </c>
      <c r="F263" s="52" cm="1">
        <f t="array" ref="F263">MMS_Swine_N2ODirect_Equations.VEERG_4_5_1_3__1_TotalAnnualDirectNitrousOxideEmissionsFromMMS(F219, _xlfn.XLOOKUP($E263, $D$152:$D$157, $E$152:$E$157), $G$242)</f>
        <v>0</v>
      </c>
      <c r="G263" s="52" cm="1">
        <f t="array" ref="G263">MMS_Swine_N2ODirect_Equations.VEERG_4_5_1_3__1_TotalAnnualDirectNitrousOxideEmissionsFromMMS(G219, _xlfn.XLOOKUP($E263, $D$152:$D$157, $E$152:$E$157), $G$242)</f>
        <v>0</v>
      </c>
      <c r="H263" s="52" cm="1">
        <f t="array" ref="H263">MMS_Swine_N2ODirect_Equations.VEERG_4_5_1_3__1_TotalAnnualDirectNitrousOxideEmissionsFromMMS(H219, _xlfn.XLOOKUP($E263, $D$152:$D$157, $E$152:$E$157), $G$242)</f>
        <v>0</v>
      </c>
      <c r="I263" s="52" cm="1">
        <f t="array" ref="I263">MMS_Swine_N2ODirect_Equations.VEERG_4_5_1_3__1_TotalAnnualDirectNitrousOxideEmissionsFromMMS(I219, _xlfn.XLOOKUP($E263, $D$152:$D$157, $E$152:$E$157), $G$242)</f>
        <v>0</v>
      </c>
      <c r="J263" s="2" t="str">
        <f t="shared" si="8"/>
        <v>t N2O</v>
      </c>
      <c r="N263" s="57" t="str">
        <f>'Input - Swine'!$D$32</f>
        <v>Deep litter</v>
      </c>
      <c r="O263" s="57" t="str">
        <f>'Input - Swine'!$D$70</f>
        <v>Anaerobic lagoon</v>
      </c>
      <c r="P263" s="52" cm="1">
        <f t="array" ref="P263">MMS_Swine_N2ODirect_Equations.VEERG_4_5_1_3__1_TotalAnnualDirectNitrousOxideEmissionsFromMMS(P219, _xlfn.XLOOKUP($E263, $D$152:$D$157, $E$152:$E$157), $G$242)</f>
        <v>0</v>
      </c>
      <c r="Q263" s="52" cm="1">
        <f t="array" ref="Q263">MMS_Swine_N2ODirect_Equations.VEERG_4_5_1_3__1_TotalAnnualDirectNitrousOxideEmissionsFromMMS(Q219, _xlfn.XLOOKUP($E263, $D$152:$D$157, $E$152:$E$157), $G$242)</f>
        <v>0</v>
      </c>
      <c r="R263" s="52" cm="1">
        <f t="array" ref="R263">MMS_Swine_N2ODirect_Equations.VEERG_4_5_1_3__1_TotalAnnualDirectNitrousOxideEmissionsFromMMS(R219, _xlfn.XLOOKUP($E263, $D$152:$D$157, $E$152:$E$157), $G$242)</f>
        <v>0</v>
      </c>
      <c r="S263" s="52" cm="1">
        <f t="array" ref="S263">MMS_Swine_N2ODirect_Equations.VEERG_4_5_1_3__1_TotalAnnualDirectNitrousOxideEmissionsFromMMS(S219, _xlfn.XLOOKUP($E263, $D$152:$D$157, $E$152:$E$157), $G$242)</f>
        <v>0</v>
      </c>
      <c r="T263" s="2" t="str">
        <f t="shared" si="9"/>
        <v>t N2O</v>
      </c>
    </row>
    <row r="264" spans="4:20" ht="20.100000000000001" customHeight="1" x14ac:dyDescent="0.25">
      <c r="D264" s="57"/>
      <c r="E264" s="57" t="str">
        <f>'Input - Swine'!$D$71</f>
        <v>Digester / covered lagoons</v>
      </c>
      <c r="F264" s="52" cm="1">
        <f t="array" ref="F264">MMS_Swine_N2ODirect_Equations.VEERG_4_5_1_3__1_TotalAnnualDirectNitrousOxideEmissionsFromMMS(F220, _xlfn.XLOOKUP($E264, $D$152:$D$157, $E$152:$E$157), $G$242)</f>
        <v>0</v>
      </c>
      <c r="G264" s="52" cm="1">
        <f t="array" ref="G264">MMS_Swine_N2ODirect_Equations.VEERG_4_5_1_3__1_TotalAnnualDirectNitrousOxideEmissionsFromMMS(G220, _xlfn.XLOOKUP($E264, $D$152:$D$157, $E$152:$E$157), $G$242)</f>
        <v>0</v>
      </c>
      <c r="H264" s="52" cm="1">
        <f t="array" ref="H264">MMS_Swine_N2ODirect_Equations.VEERG_4_5_1_3__1_TotalAnnualDirectNitrousOxideEmissionsFromMMS(H220, _xlfn.XLOOKUP($E264, $D$152:$D$157, $E$152:$E$157), $G$242)</f>
        <v>0</v>
      </c>
      <c r="I264" s="52" cm="1">
        <f t="array" ref="I264">MMS_Swine_N2ODirect_Equations.VEERG_4_5_1_3__1_TotalAnnualDirectNitrousOxideEmissionsFromMMS(I220, _xlfn.XLOOKUP($E264, $D$152:$D$157, $E$152:$E$157), $G$242)</f>
        <v>0</v>
      </c>
      <c r="J264" s="2" t="str">
        <f t="shared" si="8"/>
        <v>t N2O</v>
      </c>
      <c r="N264" s="57"/>
      <c r="O264" s="57" t="str">
        <f>'Input - Swine'!$D$71</f>
        <v>Digester / covered lagoons</v>
      </c>
      <c r="P264" s="52" cm="1">
        <f t="array" ref="P264">MMS_Swine_N2ODirect_Equations.VEERG_4_5_1_3__1_TotalAnnualDirectNitrousOxideEmissionsFromMMS(P220, _xlfn.XLOOKUP($E264, $D$152:$D$157, $E$152:$E$157), $G$242)</f>
        <v>0</v>
      </c>
      <c r="Q264" s="52" cm="1">
        <f t="array" ref="Q264">MMS_Swine_N2ODirect_Equations.VEERG_4_5_1_3__1_TotalAnnualDirectNitrousOxideEmissionsFromMMS(Q220, _xlfn.XLOOKUP($E264, $D$152:$D$157, $E$152:$E$157), $G$242)</f>
        <v>0</v>
      </c>
      <c r="R264" s="52" cm="1">
        <f t="array" ref="R264">MMS_Swine_N2ODirect_Equations.VEERG_4_5_1_3__1_TotalAnnualDirectNitrousOxideEmissionsFromMMS(R220, _xlfn.XLOOKUP($E264, $D$152:$D$157, $E$152:$E$157), $G$242)</f>
        <v>0</v>
      </c>
      <c r="S264" s="52" cm="1">
        <f t="array" ref="S264">MMS_Swine_N2ODirect_Equations.VEERG_4_5_1_3__1_TotalAnnualDirectNitrousOxideEmissionsFromMMS(S220, _xlfn.XLOOKUP($E264, $D$152:$D$157, $E$152:$E$157), $G$242)</f>
        <v>0</v>
      </c>
      <c r="T264" s="2" t="str">
        <f t="shared" si="9"/>
        <v>t N2O</v>
      </c>
    </row>
    <row r="265" spans="4:20" ht="20.100000000000001" customHeight="1" x14ac:dyDescent="0.25">
      <c r="D265" s="57"/>
      <c r="E265" s="57" t="str">
        <f>'Input - Swine'!$D$72</f>
        <v>Pit storage</v>
      </c>
      <c r="F265" s="52" cm="1">
        <f t="array" ref="F265">MMS_Swine_N2ODirect_Equations.VEERG_4_5_1_3__1_TotalAnnualDirectNitrousOxideEmissionsFromMMS(F221, _xlfn.XLOOKUP($E265, $D$152:$D$157, $E$152:$E$157), $G$242)</f>
        <v>1.0954755428571425E-4</v>
      </c>
      <c r="G265" s="52" cm="1">
        <f t="array" ref="G265">MMS_Swine_N2ODirect_Equations.VEERG_4_5_1_3__1_TotalAnnualDirectNitrousOxideEmissionsFromMMS(G221, _xlfn.XLOOKUP($E265, $D$152:$D$157, $E$152:$E$157), $G$242)</f>
        <v>1.4586495000000002E-4</v>
      </c>
      <c r="H265" s="52" cm="1">
        <f t="array" ref="H265">MMS_Swine_N2ODirect_Equations.VEERG_4_5_1_3__1_TotalAnnualDirectNitrousOxideEmissionsFromMMS(H221, _xlfn.XLOOKUP($E265, $D$152:$D$157, $E$152:$E$157), $G$242)</f>
        <v>1.3693444285714282E-4</v>
      </c>
      <c r="I265" s="52" cm="1">
        <f t="array" ref="I265">MMS_Swine_N2ODirect_Equations.VEERG_4_5_1_3__1_TotalAnnualDirectNitrousOxideEmissionsFromMMS(I221, _xlfn.XLOOKUP($E265, $D$152:$D$157, $E$152:$E$157), $G$242)</f>
        <v>9.2877274285714271E-5</v>
      </c>
      <c r="J265" s="2" t="str">
        <f t="shared" si="8"/>
        <v>t N2O</v>
      </c>
      <c r="N265" s="57"/>
      <c r="O265" s="57" t="str">
        <f>'Input - Swine'!$D$72</f>
        <v>Pit storage</v>
      </c>
      <c r="P265" s="52" cm="1">
        <f t="array" ref="P265">MMS_Swine_N2ODirect_Equations.VEERG_4_5_1_3__1_TotalAnnualDirectNitrousOxideEmissionsFromMMS(P221, _xlfn.XLOOKUP($E265, $D$152:$D$157, $E$152:$E$157), $G$242)</f>
        <v>1.0954755428571425E-4</v>
      </c>
      <c r="Q265" s="52" cm="1">
        <f t="array" ref="Q265">MMS_Swine_N2ODirect_Equations.VEERG_4_5_1_3__1_TotalAnnualDirectNitrousOxideEmissionsFromMMS(Q221, _xlfn.XLOOKUP($E265, $D$152:$D$157, $E$152:$E$157), $G$242)</f>
        <v>1.4586495000000002E-4</v>
      </c>
      <c r="R265" s="52" cm="1">
        <f t="array" ref="R265">MMS_Swine_N2ODirect_Equations.VEERG_4_5_1_3__1_TotalAnnualDirectNitrousOxideEmissionsFromMMS(R221, _xlfn.XLOOKUP($E265, $D$152:$D$157, $E$152:$E$157), $G$242)</f>
        <v>1.3693444285714282E-4</v>
      </c>
      <c r="S265" s="52" cm="1">
        <f t="array" ref="S265">MMS_Swine_N2ODirect_Equations.VEERG_4_5_1_3__1_TotalAnnualDirectNitrousOxideEmissionsFromMMS(S221, _xlfn.XLOOKUP($E265, $D$152:$D$157, $E$152:$E$157), $G$242)</f>
        <v>9.2877274285714271E-5</v>
      </c>
      <c r="T265" s="2" t="str">
        <f t="shared" si="9"/>
        <v>t N2O</v>
      </c>
    </row>
    <row r="266" spans="4:20" ht="20.100000000000001" customHeight="1" x14ac:dyDescent="0.25">
      <c r="D266" s="57" t="str">
        <f>'Input - Swine'!$D$33</f>
        <v>Pit storage</v>
      </c>
      <c r="E266" s="57" t="str">
        <f>'Input - Swine'!$D$77</f>
        <v>Anaerobic lagoon</v>
      </c>
      <c r="F266" s="52" cm="1">
        <f t="array" ref="F266">MMS_Swine_N2ODirect_Equations.VEERG_4_5_1_3__1_TotalAnnualDirectNitrousOxideEmissionsFromMMS(F222, _xlfn.XLOOKUP($E266, $D$152:$D$157, $E$152:$E$157), $G$242)</f>
        <v>0</v>
      </c>
      <c r="G266" s="52" cm="1">
        <f t="array" ref="G266">MMS_Swine_N2ODirect_Equations.VEERG_4_5_1_3__1_TotalAnnualDirectNitrousOxideEmissionsFromMMS(G222, _xlfn.XLOOKUP($E266, $D$152:$D$157, $E$152:$E$157), $G$242)</f>
        <v>0</v>
      </c>
      <c r="H266" s="52" cm="1">
        <f t="array" ref="H266">MMS_Swine_N2ODirect_Equations.VEERG_4_5_1_3__1_TotalAnnualDirectNitrousOxideEmissionsFromMMS(H222, _xlfn.XLOOKUP($E266, $D$152:$D$157, $E$152:$E$157), $G$242)</f>
        <v>0</v>
      </c>
      <c r="I266" s="52" cm="1">
        <f t="array" ref="I266">MMS_Swine_N2ODirect_Equations.VEERG_4_5_1_3__1_TotalAnnualDirectNitrousOxideEmissionsFromMMS(I222, _xlfn.XLOOKUP($E266, $D$152:$D$157, $E$152:$E$157), $G$242)</f>
        <v>0</v>
      </c>
      <c r="J266" s="2" t="str">
        <f t="shared" si="8"/>
        <v>t N2O</v>
      </c>
      <c r="N266" s="57" t="str">
        <f>'Input - Swine'!$D$33</f>
        <v>Pit storage</v>
      </c>
      <c r="O266" s="57" t="str">
        <f>'Input - Swine'!$D$77</f>
        <v>Anaerobic lagoon</v>
      </c>
      <c r="P266" s="52" cm="1">
        <f t="array" ref="P266">MMS_Swine_N2ODirect_Equations.VEERG_4_5_1_3__1_TotalAnnualDirectNitrousOxideEmissionsFromMMS(P222, _xlfn.XLOOKUP($E266, $D$152:$D$157, $E$152:$E$157), $G$242)</f>
        <v>0</v>
      </c>
      <c r="Q266" s="52" cm="1">
        <f t="array" ref="Q266">MMS_Swine_N2ODirect_Equations.VEERG_4_5_1_3__1_TotalAnnualDirectNitrousOxideEmissionsFromMMS(Q222, _xlfn.XLOOKUP($E266, $D$152:$D$157, $E$152:$E$157), $G$242)</f>
        <v>0</v>
      </c>
      <c r="R266" s="52" cm="1">
        <f t="array" ref="R266">MMS_Swine_N2ODirect_Equations.VEERG_4_5_1_3__1_TotalAnnualDirectNitrousOxideEmissionsFromMMS(R222, _xlfn.XLOOKUP($E266, $D$152:$D$157, $E$152:$E$157), $G$242)</f>
        <v>0</v>
      </c>
      <c r="S266" s="52" cm="1">
        <f t="array" ref="S266">MMS_Swine_N2ODirect_Equations.VEERG_4_5_1_3__1_TotalAnnualDirectNitrousOxideEmissionsFromMMS(S222, _xlfn.XLOOKUP($E266, $D$152:$D$157, $E$152:$E$157), $G$242)</f>
        <v>0</v>
      </c>
      <c r="T266" s="2" t="str">
        <f t="shared" si="9"/>
        <v>t N2O</v>
      </c>
    </row>
    <row r="267" spans="4:20" ht="20.100000000000001" customHeight="1" x14ac:dyDescent="0.25">
      <c r="D267" s="57"/>
      <c r="E267" s="57" t="str">
        <f>'Input - Swine'!$D$78</f>
        <v>Digester / covered lagoons</v>
      </c>
      <c r="F267" s="52" cm="1">
        <f t="array" ref="F267">MMS_Swine_N2ODirect_Equations.VEERG_4_5_1_3__1_TotalAnnualDirectNitrousOxideEmissionsFromMMS(F223, _xlfn.XLOOKUP($E267, $D$152:$D$157, $E$152:$E$157), $G$242)</f>
        <v>0</v>
      </c>
      <c r="G267" s="52" cm="1">
        <f t="array" ref="G267">MMS_Swine_N2ODirect_Equations.VEERG_4_5_1_3__1_TotalAnnualDirectNitrousOxideEmissionsFromMMS(G223, _xlfn.XLOOKUP($E267, $D$152:$D$157, $E$152:$E$157), $G$242)</f>
        <v>0</v>
      </c>
      <c r="H267" s="52" cm="1">
        <f t="array" ref="H267">MMS_Swine_N2ODirect_Equations.VEERG_4_5_1_3__1_TotalAnnualDirectNitrousOxideEmissionsFromMMS(H223, _xlfn.XLOOKUP($E267, $D$152:$D$157, $E$152:$E$157), $G$242)</f>
        <v>0</v>
      </c>
      <c r="I267" s="52" cm="1">
        <f t="array" ref="I267">MMS_Swine_N2ODirect_Equations.VEERG_4_5_1_3__1_TotalAnnualDirectNitrousOxideEmissionsFromMMS(I223, _xlfn.XLOOKUP($E267, $D$152:$D$157, $E$152:$E$157), $G$242)</f>
        <v>0</v>
      </c>
      <c r="J267" s="2" t="str">
        <f t="shared" si="8"/>
        <v>t N2O</v>
      </c>
      <c r="N267" s="57"/>
      <c r="O267" s="57" t="str">
        <f>'Input - Swine'!$D$78</f>
        <v>Digester / covered lagoons</v>
      </c>
      <c r="P267" s="52" cm="1">
        <f t="array" ref="P267">MMS_Swine_N2ODirect_Equations.VEERG_4_5_1_3__1_TotalAnnualDirectNitrousOxideEmissionsFromMMS(P223, _xlfn.XLOOKUP($E267, $D$152:$D$157, $E$152:$E$157), $G$242)</f>
        <v>0</v>
      </c>
      <c r="Q267" s="52" cm="1">
        <f t="array" ref="Q267">MMS_Swine_N2ODirect_Equations.VEERG_4_5_1_3__1_TotalAnnualDirectNitrousOxideEmissionsFromMMS(Q223, _xlfn.XLOOKUP($E267, $D$152:$D$157, $E$152:$E$157), $G$242)</f>
        <v>0</v>
      </c>
      <c r="R267" s="52" cm="1">
        <f t="array" ref="R267">MMS_Swine_N2ODirect_Equations.VEERG_4_5_1_3__1_TotalAnnualDirectNitrousOxideEmissionsFromMMS(R223, _xlfn.XLOOKUP($E267, $D$152:$D$157, $E$152:$E$157), $G$242)</f>
        <v>0</v>
      </c>
      <c r="S267" s="52" cm="1">
        <f t="array" ref="S267">MMS_Swine_N2ODirect_Equations.VEERG_4_5_1_3__1_TotalAnnualDirectNitrousOxideEmissionsFromMMS(S223, _xlfn.XLOOKUP($E267, $D$152:$D$157, $E$152:$E$157), $G$242)</f>
        <v>0</v>
      </c>
      <c r="T267" s="2" t="str">
        <f t="shared" si="9"/>
        <v>t N2O</v>
      </c>
    </row>
    <row r="268" spans="4:20" ht="20.100000000000001" customHeight="1" x14ac:dyDescent="0.25">
      <c r="D268" s="57"/>
      <c r="E268" s="57" t="str">
        <f>'Input - Swine'!$D$79</f>
        <v>Deep litter</v>
      </c>
      <c r="F268" s="52" cm="1">
        <f t="array" ref="F268">MMS_Swine_N2ODirect_Equations.VEERG_4_5_1_3__1_TotalAnnualDirectNitrousOxideEmissionsFromMMS(F224, _xlfn.XLOOKUP($E268, $D$152:$D$157, $E$152:$E$157), $G$242)</f>
        <v>4.7365069714285705E-4</v>
      </c>
      <c r="G268" s="52" cm="1">
        <f t="array" ref="G268">MMS_Swine_N2ODirect_Equations.VEERG_4_5_1_3__1_TotalAnnualDirectNitrousOxideEmissionsFromMMS(G224, _xlfn.XLOOKUP($E268, $D$152:$D$157, $E$152:$E$157), $G$242)</f>
        <v>6.306762E-4</v>
      </c>
      <c r="H268" s="52" cm="1">
        <f t="array" ref="H268">MMS_Swine_N2ODirect_Equations.VEERG_4_5_1_3__1_TotalAnnualDirectNitrousOxideEmissionsFromMMS(H224, _xlfn.XLOOKUP($E268, $D$152:$D$157, $E$152:$E$157), $G$242)</f>
        <v>5.9206337142857137E-4</v>
      </c>
      <c r="I268" s="52" cm="1">
        <f t="array" ref="I268">MMS_Swine_N2ODirect_Equations.VEERG_4_5_1_3__1_TotalAnnualDirectNitrousOxideEmissionsFromMMS(I224, _xlfn.XLOOKUP($E268, $D$152:$D$157, $E$152:$E$157), $G$242)</f>
        <v>4.0157341714285705E-4</v>
      </c>
      <c r="J268" s="2" t="str">
        <f t="shared" si="8"/>
        <v>t N2O</v>
      </c>
      <c r="N268" s="57"/>
      <c r="O268" s="57" t="str">
        <f>'Input - Swine'!$D$79</f>
        <v>Deep litter</v>
      </c>
      <c r="P268" s="52" cm="1">
        <f t="array" ref="P268">MMS_Swine_N2ODirect_Equations.VEERG_4_5_1_3__1_TotalAnnualDirectNitrousOxideEmissionsFromMMS(P224, _xlfn.XLOOKUP($E268, $D$152:$D$157, $E$152:$E$157), $G$242)</f>
        <v>4.7365069714285705E-4</v>
      </c>
      <c r="Q268" s="52" cm="1">
        <f t="array" ref="Q268">MMS_Swine_N2ODirect_Equations.VEERG_4_5_1_3__1_TotalAnnualDirectNitrousOxideEmissionsFromMMS(Q224, _xlfn.XLOOKUP($E268, $D$152:$D$157, $E$152:$E$157), $G$242)</f>
        <v>6.306762E-4</v>
      </c>
      <c r="R268" s="52" cm="1">
        <f t="array" ref="R268">MMS_Swine_N2ODirect_Equations.VEERG_4_5_1_3__1_TotalAnnualDirectNitrousOxideEmissionsFromMMS(R224, _xlfn.XLOOKUP($E268, $D$152:$D$157, $E$152:$E$157), $G$242)</f>
        <v>5.9206337142857137E-4</v>
      </c>
      <c r="S268" s="52" cm="1">
        <f t="array" ref="S268">MMS_Swine_N2ODirect_Equations.VEERG_4_5_1_3__1_TotalAnnualDirectNitrousOxideEmissionsFromMMS(S224, _xlfn.XLOOKUP($E268, $D$152:$D$157, $E$152:$E$157), $G$242)</f>
        <v>4.0157341714285705E-4</v>
      </c>
      <c r="T268" s="2" t="str">
        <f t="shared" si="9"/>
        <v>t N2O</v>
      </c>
    </row>
    <row r="269" spans="4:20" ht="20.100000000000001" customHeight="1" x14ac:dyDescent="0.25">
      <c r="D269" s="57" t="str">
        <f>'Input - Swine'!$D$34</f>
        <v>Solid storage</v>
      </c>
      <c r="E269" s="57" t="str">
        <f>'Input - Swine'!$D$84</f>
        <v>Anaerobic lagoon</v>
      </c>
      <c r="F269" s="52" cm="1">
        <f t="array" ref="F269">MMS_Swine_N2ODirect_Equations.VEERG_4_5_1_3__1_TotalAnnualDirectNitrousOxideEmissionsFromMMS(F225, _xlfn.XLOOKUP($E269, $D$152:$D$157, $E$152:$E$157), $G$242)</f>
        <v>0</v>
      </c>
      <c r="G269" s="52" cm="1">
        <f t="array" ref="G269">MMS_Swine_N2ODirect_Equations.VEERG_4_5_1_3__1_TotalAnnualDirectNitrousOxideEmissionsFromMMS(G225, _xlfn.XLOOKUP($E269, $D$152:$D$157, $E$152:$E$157), $G$242)</f>
        <v>0</v>
      </c>
      <c r="H269" s="52" cm="1">
        <f t="array" ref="H269">MMS_Swine_N2ODirect_Equations.VEERG_4_5_1_3__1_TotalAnnualDirectNitrousOxideEmissionsFromMMS(H225, _xlfn.XLOOKUP($E269, $D$152:$D$157, $E$152:$E$157), $G$242)</f>
        <v>0</v>
      </c>
      <c r="I269" s="52" cm="1">
        <f t="array" ref="I269">MMS_Swine_N2ODirect_Equations.VEERG_4_5_1_3__1_TotalAnnualDirectNitrousOxideEmissionsFromMMS(I225, _xlfn.XLOOKUP($E269, $D$152:$D$157, $E$152:$E$157), $G$242)</f>
        <v>0</v>
      </c>
      <c r="J269" s="2" t="str">
        <f t="shared" si="8"/>
        <v>t N2O</v>
      </c>
      <c r="N269" s="57" t="str">
        <f>'Input - Swine'!$D$34</f>
        <v>Solid storage</v>
      </c>
      <c r="O269" s="57" t="str">
        <f>'Input - Swine'!$D$84</f>
        <v>Anaerobic lagoon</v>
      </c>
      <c r="P269" s="52" cm="1">
        <f t="array" ref="P269">MMS_Swine_N2ODirect_Equations.VEERG_4_5_1_3__1_TotalAnnualDirectNitrousOxideEmissionsFromMMS(P225, _xlfn.XLOOKUP($E269, $D$152:$D$157, $E$152:$E$157), $G$242)</f>
        <v>0</v>
      </c>
      <c r="Q269" s="52" cm="1">
        <f t="array" ref="Q269">MMS_Swine_N2ODirect_Equations.VEERG_4_5_1_3__1_TotalAnnualDirectNitrousOxideEmissionsFromMMS(Q225, _xlfn.XLOOKUP($E269, $D$152:$D$157, $E$152:$E$157), $G$242)</f>
        <v>0</v>
      </c>
      <c r="R269" s="52" cm="1">
        <f t="array" ref="R269">MMS_Swine_N2ODirect_Equations.VEERG_4_5_1_3__1_TotalAnnualDirectNitrousOxideEmissionsFromMMS(R225, _xlfn.XLOOKUP($E269, $D$152:$D$157, $E$152:$E$157), $G$242)</f>
        <v>0</v>
      </c>
      <c r="S269" s="52" cm="1">
        <f t="array" ref="S269">MMS_Swine_N2ODirect_Equations.VEERG_4_5_1_3__1_TotalAnnualDirectNitrousOxideEmissionsFromMMS(S225, _xlfn.XLOOKUP($E269, $D$152:$D$157, $E$152:$E$157), $G$242)</f>
        <v>0</v>
      </c>
      <c r="T269" s="2" t="str">
        <f t="shared" si="9"/>
        <v>t N2O</v>
      </c>
    </row>
    <row r="270" spans="4:20" ht="20.100000000000001" customHeight="1" x14ac:dyDescent="0.25">
      <c r="D270" s="57"/>
      <c r="E270" s="57" t="str">
        <f>'Input - Swine'!$D$85</f>
        <v>Digester / covered lagoons</v>
      </c>
      <c r="F270" s="52" cm="1">
        <f t="array" ref="F270">MMS_Swine_N2ODirect_Equations.VEERG_4_5_1_3__1_TotalAnnualDirectNitrousOxideEmissionsFromMMS(F226, _xlfn.XLOOKUP($E270, $D$152:$D$157, $E$152:$E$157), $G$242)</f>
        <v>0</v>
      </c>
      <c r="G270" s="52" cm="1">
        <f t="array" ref="G270">MMS_Swine_N2ODirect_Equations.VEERG_4_5_1_3__1_TotalAnnualDirectNitrousOxideEmissionsFromMMS(G226, _xlfn.XLOOKUP($E270, $D$152:$D$157, $E$152:$E$157), $G$242)</f>
        <v>0</v>
      </c>
      <c r="H270" s="52" cm="1">
        <f t="array" ref="H270">MMS_Swine_N2ODirect_Equations.VEERG_4_5_1_3__1_TotalAnnualDirectNitrousOxideEmissionsFromMMS(H226, _xlfn.XLOOKUP($E270, $D$152:$D$157, $E$152:$E$157), $G$242)</f>
        <v>0</v>
      </c>
      <c r="I270" s="52" cm="1">
        <f t="array" ref="I270">MMS_Swine_N2ODirect_Equations.VEERG_4_5_1_3__1_TotalAnnualDirectNitrousOxideEmissionsFromMMS(I226, _xlfn.XLOOKUP($E270, $D$152:$D$157, $E$152:$E$157), $G$242)</f>
        <v>0</v>
      </c>
      <c r="J270" s="2" t="str">
        <f t="shared" si="8"/>
        <v>t N2O</v>
      </c>
      <c r="N270" s="57"/>
      <c r="O270" s="57" t="str">
        <f>'Input - Swine'!$D$85</f>
        <v>Digester / covered lagoons</v>
      </c>
      <c r="P270" s="52" cm="1">
        <f t="array" ref="P270">MMS_Swine_N2ODirect_Equations.VEERG_4_5_1_3__1_TotalAnnualDirectNitrousOxideEmissionsFromMMS(P226, _xlfn.XLOOKUP($E270, $D$152:$D$157, $E$152:$E$157), $G$242)</f>
        <v>0</v>
      </c>
      <c r="Q270" s="52" cm="1">
        <f t="array" ref="Q270">MMS_Swine_N2ODirect_Equations.VEERG_4_5_1_3__1_TotalAnnualDirectNitrousOxideEmissionsFromMMS(Q226, _xlfn.XLOOKUP($E270, $D$152:$D$157, $E$152:$E$157), $G$242)</f>
        <v>0</v>
      </c>
      <c r="R270" s="52" cm="1">
        <f t="array" ref="R270">MMS_Swine_N2ODirect_Equations.VEERG_4_5_1_3__1_TotalAnnualDirectNitrousOxideEmissionsFromMMS(R226, _xlfn.XLOOKUP($E270, $D$152:$D$157, $E$152:$E$157), $G$242)</f>
        <v>0</v>
      </c>
      <c r="S270" s="52" cm="1">
        <f t="array" ref="S270">MMS_Swine_N2ODirect_Equations.VEERG_4_5_1_3__1_TotalAnnualDirectNitrousOxideEmissionsFromMMS(S226, _xlfn.XLOOKUP($E270, $D$152:$D$157, $E$152:$E$157), $G$242)</f>
        <v>0</v>
      </c>
      <c r="T270" s="2" t="str">
        <f t="shared" si="9"/>
        <v>t N2O</v>
      </c>
    </row>
    <row r="271" spans="4:20" ht="20.100000000000001" customHeight="1" x14ac:dyDescent="0.25">
      <c r="D271" s="57"/>
      <c r="E271" s="57" t="str">
        <f>'Input - Swine'!$D$86</f>
        <v>Deep litter</v>
      </c>
      <c r="F271" s="52" cm="1">
        <f t="array" ref="F271">MMS_Swine_N2ODirect_Equations.VEERG_4_5_1_3__1_TotalAnnualDirectNitrousOxideEmissionsFromMMS(F227, _xlfn.XLOOKUP($E271, $D$152:$D$157, $E$152:$E$157), $G$242)</f>
        <v>1.6780405714285722E-3</v>
      </c>
      <c r="G271" s="52" cm="1">
        <f t="array" ref="G271">MMS_Swine_N2ODirect_Equations.VEERG_4_5_1_3__1_TotalAnnualDirectNitrousOxideEmissionsFromMMS(G227, _xlfn.XLOOKUP($E271, $D$152:$D$157, $E$152:$E$157), $G$242)</f>
        <v>1.787478000000001E-3</v>
      </c>
      <c r="H271" s="52" cm="1">
        <f t="array" ref="H271">MMS_Swine_N2ODirect_Equations.VEERG_4_5_1_3__1_TotalAnnualDirectNitrousOxideEmissionsFromMMS(H227, _xlfn.XLOOKUP($E271, $D$152:$D$157, $E$152:$E$157), $G$242)</f>
        <v>1.6780405714285722E-3</v>
      </c>
      <c r="I271" s="52" cm="1">
        <f t="array" ref="I271">MMS_Swine_N2ODirect_Equations.VEERG_4_5_1_3__1_TotalAnnualDirectNitrousOxideEmissionsFromMMS(I227, _xlfn.XLOOKUP($E271, $D$152:$D$157, $E$152:$E$157), $G$242)</f>
        <v>1.1381492571428578E-3</v>
      </c>
      <c r="J271" s="2" t="str">
        <f t="shared" si="8"/>
        <v>t N2O</v>
      </c>
      <c r="N271" s="57"/>
      <c r="O271" s="57" t="str">
        <f>'Input - Swine'!$D$86</f>
        <v>Deep litter</v>
      </c>
      <c r="P271" s="52" cm="1">
        <f t="array" ref="P271">MMS_Swine_N2ODirect_Equations.VEERG_4_5_1_3__1_TotalAnnualDirectNitrousOxideEmissionsFromMMS(P227, _xlfn.XLOOKUP($E271, $D$152:$D$157, $E$152:$E$157), $G$242)</f>
        <v>1.6780405714285722E-3</v>
      </c>
      <c r="Q271" s="52" cm="1">
        <f t="array" ref="Q271">MMS_Swine_N2ODirect_Equations.VEERG_4_5_1_3__1_TotalAnnualDirectNitrousOxideEmissionsFromMMS(Q227, _xlfn.XLOOKUP($E271, $D$152:$D$157, $E$152:$E$157), $G$242)</f>
        <v>1.787478000000001E-3</v>
      </c>
      <c r="R271" s="52" cm="1">
        <f t="array" ref="R271">MMS_Swine_N2ODirect_Equations.VEERG_4_5_1_3__1_TotalAnnualDirectNitrousOxideEmissionsFromMMS(R227, _xlfn.XLOOKUP($E271, $D$152:$D$157, $E$152:$E$157), $G$242)</f>
        <v>1.6780405714285722E-3</v>
      </c>
      <c r="S271" s="52" cm="1">
        <f t="array" ref="S271">MMS_Swine_N2ODirect_Equations.VEERG_4_5_1_3__1_TotalAnnualDirectNitrousOxideEmissionsFromMMS(S227, _xlfn.XLOOKUP($E271, $D$152:$D$157, $E$152:$E$157), $G$242)</f>
        <v>1.1381492571428578E-3</v>
      </c>
      <c r="T271" s="2" t="str">
        <f t="shared" si="9"/>
        <v>t N2O</v>
      </c>
    </row>
    <row r="272" spans="4:20" ht="20.100000000000001" customHeight="1" x14ac:dyDescent="0.25">
      <c r="D272" s="57"/>
      <c r="E272" s="57" t="str">
        <f>'Input - Swine'!$D$87</f>
        <v>Pit storage</v>
      </c>
      <c r="F272" s="52" cm="1">
        <f t="array" ref="F272">MMS_Swine_N2ODirect_Equations.VEERG_4_5_1_3__1_TotalAnnualDirectNitrousOxideEmissionsFromMMS(F228, _xlfn.XLOOKUP($E272, $D$152:$D$157, $E$152:$E$157), $G$242)</f>
        <v>1.6780405714285717E-4</v>
      </c>
      <c r="G272" s="52" cm="1">
        <f t="array" ref="G272">MMS_Swine_N2ODirect_Equations.VEERG_4_5_1_3__1_TotalAnnualDirectNitrousOxideEmissionsFromMMS(G228, _xlfn.XLOOKUP($E272, $D$152:$D$157, $E$152:$E$157), $G$242)</f>
        <v>1.7874780000000013E-4</v>
      </c>
      <c r="H272" s="52" cm="1">
        <f t="array" ref="H272">MMS_Swine_N2ODirect_Equations.VEERG_4_5_1_3__1_TotalAnnualDirectNitrousOxideEmissionsFromMMS(H228, _xlfn.XLOOKUP($E272, $D$152:$D$157, $E$152:$E$157), $G$242)</f>
        <v>1.6780405714285717E-4</v>
      </c>
      <c r="I272" s="52" cm="1">
        <f t="array" ref="I272">MMS_Swine_N2ODirect_Equations.VEERG_4_5_1_3__1_TotalAnnualDirectNitrousOxideEmissionsFromMMS(I228, _xlfn.XLOOKUP($E272, $D$152:$D$157, $E$152:$E$157), $G$242)</f>
        <v>1.1381492571428576E-4</v>
      </c>
      <c r="J272" s="2" t="str">
        <f t="shared" si="8"/>
        <v>t N2O</v>
      </c>
      <c r="N272" s="57"/>
      <c r="O272" s="57" t="str">
        <f>'Input - Swine'!$D$87</f>
        <v>Pit storage</v>
      </c>
      <c r="P272" s="52" cm="1">
        <f t="array" ref="P272">MMS_Swine_N2ODirect_Equations.VEERG_4_5_1_3__1_TotalAnnualDirectNitrousOxideEmissionsFromMMS(P228, _xlfn.XLOOKUP($E272, $D$152:$D$157, $E$152:$E$157), $G$242)</f>
        <v>1.6780405714285717E-4</v>
      </c>
      <c r="Q272" s="52" cm="1">
        <f t="array" ref="Q272">MMS_Swine_N2ODirect_Equations.VEERG_4_5_1_3__1_TotalAnnualDirectNitrousOxideEmissionsFromMMS(Q228, _xlfn.XLOOKUP($E272, $D$152:$D$157, $E$152:$E$157), $G$242)</f>
        <v>1.7874780000000013E-4</v>
      </c>
      <c r="R272" s="52" cm="1">
        <f t="array" ref="R272">MMS_Swine_N2ODirect_Equations.VEERG_4_5_1_3__1_TotalAnnualDirectNitrousOxideEmissionsFromMMS(R228, _xlfn.XLOOKUP($E272, $D$152:$D$157, $E$152:$E$157), $G$242)</f>
        <v>1.6780405714285717E-4</v>
      </c>
      <c r="S272" s="52" cm="1">
        <f t="array" ref="S272">MMS_Swine_N2ODirect_Equations.VEERG_4_5_1_3__1_TotalAnnualDirectNitrousOxideEmissionsFromMMS(S228, _xlfn.XLOOKUP($E272, $D$152:$D$157, $E$152:$E$157), $G$242)</f>
        <v>1.1381492571428576E-4</v>
      </c>
      <c r="T272" s="2" t="str">
        <f t="shared" si="9"/>
        <v>t N2O</v>
      </c>
    </row>
    <row r="273" spans="4:17" ht="20.100000000000001" customHeight="1" x14ac:dyDescent="0.25"/>
    <row r="274" spans="4:17" ht="20.100000000000001" customHeight="1" x14ac:dyDescent="0.25">
      <c r="D274" s="101" t="s">
        <v>104</v>
      </c>
      <c r="E274" s="102">
        <f>SUM(F247:I272)</f>
        <v>7.4343140661428567E-2</v>
      </c>
      <c r="F274" s="103" t="str">
        <f>$E$238</f>
        <v>t N2O</v>
      </c>
      <c r="N274" s="101" t="s">
        <v>104</v>
      </c>
      <c r="O274" s="102">
        <f>SUM(P247:S272)</f>
        <v>7.4343140661428567E-2</v>
      </c>
      <c r="P274" s="103" t="str">
        <f>$E$238</f>
        <v>t N2O</v>
      </c>
    </row>
    <row r="275" spans="4:17" ht="20.100000000000001" customHeight="1" x14ac:dyDescent="0.25"/>
    <row r="276" spans="4:17" ht="20.100000000000001" customHeight="1" x14ac:dyDescent="0.25">
      <c r="D276" s="57" t="str" cm="1">
        <f t="array" ref="D276:E277">Common_Equations.Common_ConvertN2OToCO2e_Arguments()</f>
        <v>EN2O</v>
      </c>
      <c r="E276" s="58" t="str">
        <v>Nitrous oxide emissions (t N2O)</v>
      </c>
      <c r="F276" s="104"/>
      <c r="G276" s="52">
        <f>E274</f>
        <v>7.4343140661428567E-2</v>
      </c>
      <c r="N276" s="57" t="str" cm="1">
        <f t="array" ref="N276:O277">Common_Equations.Common_ConvertN2OToCO2e_Arguments()</f>
        <v>EN2O</v>
      </c>
      <c r="O276" s="58" t="str">
        <v>Nitrous oxide emissions (t N2O)</v>
      </c>
      <c r="P276" s="104"/>
      <c r="Q276" s="52">
        <f>O274</f>
        <v>7.4343140661428567E-2</v>
      </c>
    </row>
    <row r="277" spans="4:17" ht="20.100000000000001" customHeight="1" x14ac:dyDescent="0.25">
      <c r="D277" s="57" t="str">
        <v>GWPN2O</v>
      </c>
      <c r="E277" s="58" t="str">
        <v>Global warming potential for nitrous oxide (t CO2-e / t N2O)</v>
      </c>
      <c r="F277" s="104"/>
      <c r="G277" s="52">
        <f>Common_InputFunctions.Utility_LookupValueInTableNumber("N2O",[2]!Table_GWPData[Gas],[2]!Table_GWPData[CO2-e factor])</f>
        <v>265</v>
      </c>
      <c r="N277" s="57" t="str">
        <v>GWPN2O</v>
      </c>
      <c r="O277" s="58" t="str">
        <v>Global warming potential for nitrous oxide (t CO2-e / t N2O)</v>
      </c>
      <c r="P277" s="104"/>
      <c r="Q277" s="52">
        <f>Common_InputFunctions.Utility_LookupValueInTableNumber("N2O",[2]!Table_GWPData[Gas],[2]!Table_GWPData[CO2-e factor])</f>
        <v>265</v>
      </c>
    </row>
    <row r="278" spans="4:17" ht="20.100000000000001" customHeight="1" x14ac:dyDescent="0.25"/>
    <row r="279" spans="4:17" ht="20.100000000000001" customHeight="1" x14ac:dyDescent="0.25">
      <c r="D279" s="45" t="s">
        <v>101</v>
      </c>
      <c r="E279" s="45" cm="1">
        <f t="array" ref="E279">Common_Equations.Common_ConvertN2OToCO2e(G276,G277)</f>
        <v>19.700932275278571</v>
      </c>
      <c r="F279" s="105" t="str" cm="1">
        <f t="array" ref="F279">Common_Equations.Common_ConvertN2OToCO2e_Unit()</f>
        <v>t CO2e</v>
      </c>
      <c r="N279" s="45" t="s">
        <v>101</v>
      </c>
      <c r="O279" s="45" cm="1">
        <f t="array" ref="O279">Common_Equations.Common_ConvertN2OToCO2e(Q276,Q277)</f>
        <v>19.700932275278571</v>
      </c>
      <c r="P279" s="105" t="str" cm="1">
        <f t="array" ref="P279">Common_Equations.Common_ConvertN2OToCO2e_Unit()</f>
        <v>t CO2e</v>
      </c>
    </row>
    <row r="280" spans="4:17" ht="20.100000000000001" customHeight="1" x14ac:dyDescent="0.25"/>
    <row r="281" spans="4:17" ht="20.100000000000001" customHeight="1" x14ac:dyDescent="0.25"/>
    <row r="282" spans="4:17" ht="20.100000000000001" customHeight="1" x14ac:dyDescent="0.25"/>
    <row r="283" spans="4:17" ht="20.100000000000001" customHeight="1" x14ac:dyDescent="0.25"/>
    <row r="284" spans="4:17" ht="20.100000000000001" customHeight="1" x14ac:dyDescent="0.25"/>
    <row r="285" spans="4:17" ht="20.100000000000001" customHeight="1" x14ac:dyDescent="0.25"/>
    <row r="286" spans="4:17" ht="20.100000000000001" customHeight="1" x14ac:dyDescent="0.25"/>
    <row r="287" spans="4:17" ht="20.100000000000001" customHeight="1" x14ac:dyDescent="0.25"/>
    <row r="288" spans="4:17" ht="20.100000000000001" customHeight="1" x14ac:dyDescent="0.25"/>
    <row r="289" ht="20.100000000000001" customHeight="1" x14ac:dyDescent="0.25"/>
    <row r="290" ht="20.100000000000001" customHeight="1" x14ac:dyDescent="0.25"/>
    <row r="291" ht="20.100000000000001" customHeight="1" x14ac:dyDescent="0.25"/>
  </sheetData>
  <dataValidations count="1">
    <dataValidation operator="equal" allowBlank="1" showInputMessage="1" showErrorMessage="1" sqref="E18 E28 E33 J101 J106 E23 U126 O114:T114 U103 O23 O33 F192:I194" xr:uid="{CE18DC45-74F3-46B3-972B-5F44E5579A05}"/>
  </dataValidation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B34D-36DA-422C-84BA-A4E3FCAF2C16}">
  <dimension ref="A1:U165"/>
  <sheetViews>
    <sheetView showGridLines="0" workbookViewId="0">
      <selection activeCell="A11" sqref="A11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351</v>
      </c>
      <c r="L1"/>
    </row>
    <row r="2" spans="1:21" s="9" customFormat="1" ht="20.100000000000001" customHeight="1" x14ac:dyDescent="0.25">
      <c r="L2"/>
    </row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MMS_Swine_AtmosphericDeposition_Equations.VEERG_4_5_1_5__2_TotalNitrogenVolatilisedFromMMS_Title()</f>
        <v>Total nitrogen volatilised from MMS</v>
      </c>
    </row>
    <row r="6" spans="1:21" ht="20.100000000000001" customHeight="1" x14ac:dyDescent="0.25">
      <c r="A6" s="20" t="s">
        <v>3</v>
      </c>
      <c r="D6" s="5" t="str" cm="1">
        <f t="array" ref="D6">MMS_Swine_AtmosphericDeposition_Equations.VEERG_4_5_1_5__2_TotalNitrogenVolatilisedFromMMS_Source()</f>
        <v>VEERG 2026: 4.5.1.1, Equation (2)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Common_InputFunctions.Utility_DisplayFunctionName(F63)</f>
        <v>=MMS_Swine_AtmosphericDeposition_Equations.VEERG_4_5_1_5__2_TotalNitrogenVolatilisedFromMMS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MMS_Swine_AtmosphericDeposition_Equations.VEERG_4_5_1_5__2_TotalNitrogenVolatilisedFromMMS_Variable()</f>
        <v>MMS_ATMOS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MMS_Swine_AtmosphericDeposition_Equations.VEERG_4_5_1_5__2_TotalNitrogenVolatilisedFromMMS_Unit()</f>
        <v>kg 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42" t="str">
        <f>HYPERLINK("#'4.5.1.5-6 Atmos Dep'!A1", "4.5.1.5-6 Soil atm. deposition")</f>
        <v>4.5.1.5-6 Soil atm. deposition</v>
      </c>
      <c r="D13" s="57" t="str" cm="1">
        <f t="array" ref="D13:E14">MMS_Swine_AtmosphericDeposition_Equations.VEERG_4_5_1_5__2_TotalNitrogenVolatilisedFromMMS_Arguments()</f>
        <v>MN_jmT</v>
      </c>
      <c r="E13" s="58" t="str">
        <v>nitrogen per swine class, MMS and treatment stage (kg N)</v>
      </c>
      <c r="F13" s="59"/>
      <c r="G13" s="58" t="str">
        <f>"See " &amp; D16 &amp; " and " &amp; D26</f>
        <v>See M1_Table_MN_j_m_T-1 and M1_Table_MN_j_m_T-2</v>
      </c>
      <c r="H13" s="59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FracGASMmT</v>
      </c>
      <c r="E14" s="58" t="str">
        <v>fraction of N volatilised in each MMS ((kg NH3-N + NOx-N)/kg N)</v>
      </c>
      <c r="F14" s="59"/>
      <c r="G14" s="58" t="str">
        <f>"See " &amp; D50</f>
        <v>See Table_FracGASM_m_t</v>
      </c>
      <c r="H14" s="59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</row>
    <row r="16" spans="1:21" ht="20.100000000000001" customHeight="1" x14ac:dyDescent="0.25">
      <c r="D16" s="121" t="s">
        <v>306</v>
      </c>
      <c r="N16" s="121" t="s">
        <v>306</v>
      </c>
    </row>
    <row r="17" spans="1:20" ht="20.100000000000001" customHeight="1" x14ac:dyDescent="0.25">
      <c r="A17" s="18" t="s">
        <v>4</v>
      </c>
      <c r="D17" s="122" t="s">
        <v>307</v>
      </c>
      <c r="N17" s="122" t="s">
        <v>307</v>
      </c>
    </row>
    <row r="18" spans="1:20" ht="20.100000000000001" customHeight="1" x14ac:dyDescent="0.25">
      <c r="A18" s="17" t="str">
        <f>HYPERLINK("#'Constants - Swine'!A1", "Constants - Swine")</f>
        <v>Constants - Swine</v>
      </c>
      <c r="D18" s="51" t="s">
        <v>169</v>
      </c>
      <c r="E18" s="51" t="s">
        <v>143</v>
      </c>
      <c r="F18" s="51" t="s">
        <v>144</v>
      </c>
      <c r="G18" s="51" t="s">
        <v>145</v>
      </c>
      <c r="H18" s="51" t="s">
        <v>263</v>
      </c>
      <c r="N18" s="51" t="s">
        <v>169</v>
      </c>
      <c r="O18" s="51" t="s">
        <v>143</v>
      </c>
      <c r="P18" s="51" t="s">
        <v>144</v>
      </c>
      <c r="Q18" s="51" t="s">
        <v>145</v>
      </c>
      <c r="R18" s="51" t="s">
        <v>263</v>
      </c>
    </row>
    <row r="19" spans="1:20" ht="20.100000000000001" customHeight="1" x14ac:dyDescent="0.25">
      <c r="A19" s="17" t="str">
        <f>HYPERLINK("#'Constants - Livestock'!A1", "Constants - Livestock")</f>
        <v>Constants - Livestock</v>
      </c>
      <c r="D19" s="57" t="str">
        <f>'Input - Swine'!$D$29</f>
        <v>Anaerobic lagoon</v>
      </c>
      <c r="E19" s="52">
        <f>'4.5.1.3-4 Direct N20'!E118</f>
        <v>201.47999999999996</v>
      </c>
      <c r="F19" s="52">
        <f>'4.5.1.3-4 Direct N20'!F118</f>
        <v>214.62000000000003</v>
      </c>
      <c r="G19" s="52">
        <f>'4.5.1.3-4 Direct N20'!G118</f>
        <v>201.47999999999996</v>
      </c>
      <c r="H19" s="52">
        <f>'4.5.1.3-4 Direct N20'!H118</f>
        <v>136.65599999999998</v>
      </c>
      <c r="I19" s="2" t="str">
        <f>'4.5.1.3-4 Direct N20'!I118</f>
        <v>kg N</v>
      </c>
      <c r="N19" s="57" t="str">
        <f>'Input - Swine'!$D$29</f>
        <v>Anaerobic lagoon</v>
      </c>
      <c r="O19" s="52">
        <f>'4.5.1.3-4 Direct N20'!O118</f>
        <v>201.47999999999996</v>
      </c>
      <c r="P19" s="52">
        <f>'4.5.1.3-4 Direct N20'!P118</f>
        <v>214.62000000000003</v>
      </c>
      <c r="Q19" s="52">
        <f>'4.5.1.3-4 Direct N20'!Q118</f>
        <v>201.47999999999996</v>
      </c>
      <c r="R19" s="52">
        <f>'4.5.1.3-4 Direct N20'!R118</f>
        <v>136.65599999999998</v>
      </c>
      <c r="S19" s="2" t="str">
        <f>'4.5.1.3-4 Direct N20'!S118</f>
        <v>kg N</v>
      </c>
    </row>
    <row r="20" spans="1:20" ht="20.100000000000001" customHeight="1" x14ac:dyDescent="0.25">
      <c r="A20" s="17" t="str">
        <f>HYPERLINK("#'Constants - Common'!A1", "Constants - Common")</f>
        <v>Constants - Common</v>
      </c>
      <c r="D20" s="57" t="str">
        <f>'Input - Swine'!$D$30</f>
        <v>Drylot (feed pad)</v>
      </c>
      <c r="E20" s="52">
        <f>'4.5.1.3-4 Direct N20'!E119</f>
        <v>201.47999999999996</v>
      </c>
      <c r="F20" s="52">
        <f>'4.5.1.3-4 Direct N20'!F119</f>
        <v>214.62000000000003</v>
      </c>
      <c r="G20" s="52">
        <f>'4.5.1.3-4 Direct N20'!G119</f>
        <v>201.47999999999996</v>
      </c>
      <c r="H20" s="52">
        <f>'4.5.1.3-4 Direct N20'!H119</f>
        <v>136.65599999999998</v>
      </c>
      <c r="I20" s="2" t="str">
        <f>'4.5.1.3-4 Direct N20'!I119</f>
        <v>kg N</v>
      </c>
      <c r="N20" s="57" t="str">
        <f>'Input - Swine'!$D$30</f>
        <v>Drylot (feed pad)</v>
      </c>
      <c r="O20" s="52">
        <f>'4.5.1.3-4 Direct N20'!O119</f>
        <v>201.47999999999996</v>
      </c>
      <c r="P20" s="52">
        <f>'4.5.1.3-4 Direct N20'!P119</f>
        <v>214.62000000000003</v>
      </c>
      <c r="Q20" s="52">
        <f>'4.5.1.3-4 Direct N20'!Q119</f>
        <v>201.47999999999996</v>
      </c>
      <c r="R20" s="52">
        <f>'4.5.1.3-4 Direct N20'!R119</f>
        <v>136.65599999999998</v>
      </c>
      <c r="S20" s="2" t="str">
        <f>'4.5.1.3-4 Direct N20'!S119</f>
        <v>kg N</v>
      </c>
    </row>
    <row r="21" spans="1:20" ht="20.100000000000001" customHeight="1" x14ac:dyDescent="0.25">
      <c r="A21" s="17" t="str">
        <f>HYPERLINK("#'Acknowledgements'!A1", "Acknowledgements")</f>
        <v>Acknowledgements</v>
      </c>
      <c r="D21" s="57" t="str">
        <f>'Input - Swine'!$D$31</f>
        <v>Digester / covered lagoons</v>
      </c>
      <c r="E21" s="52">
        <f>'4.5.1.3-4 Direct N20'!E120</f>
        <v>201.47999999999996</v>
      </c>
      <c r="F21" s="52">
        <f>'4.5.1.3-4 Direct N20'!F120</f>
        <v>214.62000000000003</v>
      </c>
      <c r="G21" s="52">
        <f>'4.5.1.3-4 Direct N20'!G120</f>
        <v>201.47999999999996</v>
      </c>
      <c r="H21" s="52">
        <f>'4.5.1.3-4 Direct N20'!H120</f>
        <v>136.65599999999998</v>
      </c>
      <c r="I21" s="2" t="str">
        <f>'4.5.1.3-4 Direct N20'!I120</f>
        <v>kg N</v>
      </c>
      <c r="N21" s="57" t="str">
        <f>'Input - Swine'!$D$31</f>
        <v>Digester / covered lagoons</v>
      </c>
      <c r="O21" s="52">
        <f>'4.5.1.3-4 Direct N20'!O120</f>
        <v>201.47999999999996</v>
      </c>
      <c r="P21" s="52">
        <f>'4.5.1.3-4 Direct N20'!P120</f>
        <v>214.62000000000003</v>
      </c>
      <c r="Q21" s="52">
        <f>'4.5.1.3-4 Direct N20'!Q120</f>
        <v>201.47999999999996</v>
      </c>
      <c r="R21" s="52">
        <f>'4.5.1.3-4 Direct N20'!R120</f>
        <v>136.65599999999998</v>
      </c>
      <c r="S21" s="2" t="str">
        <f>'4.5.1.3-4 Direct N20'!S120</f>
        <v>kg N</v>
      </c>
    </row>
    <row r="22" spans="1:20" ht="20.100000000000001" customHeight="1" x14ac:dyDescent="0.25">
      <c r="D22" s="57" t="str">
        <f>'Input - Swine'!$D$32</f>
        <v>Deep litter</v>
      </c>
      <c r="E22" s="52">
        <f>'4.5.1.3-4 Direct N20'!E121</f>
        <v>201.47999999999996</v>
      </c>
      <c r="F22" s="52">
        <f>'4.5.1.3-4 Direct N20'!F121</f>
        <v>214.62000000000003</v>
      </c>
      <c r="G22" s="52">
        <f>'4.5.1.3-4 Direct N20'!G121</f>
        <v>201.47999999999996</v>
      </c>
      <c r="H22" s="52">
        <f>'4.5.1.3-4 Direct N20'!H121</f>
        <v>136.65599999999998</v>
      </c>
      <c r="I22" s="2" t="str">
        <f>'4.5.1.3-4 Direct N20'!I121</f>
        <v>kg N</v>
      </c>
      <c r="N22" s="57" t="str">
        <f>'Input - Swine'!$D$32</f>
        <v>Deep litter</v>
      </c>
      <c r="O22" s="52">
        <f>'4.5.1.3-4 Direct N20'!O121</f>
        <v>201.47999999999996</v>
      </c>
      <c r="P22" s="52">
        <f>'4.5.1.3-4 Direct N20'!P121</f>
        <v>214.62000000000003</v>
      </c>
      <c r="Q22" s="52">
        <f>'4.5.1.3-4 Direct N20'!Q121</f>
        <v>201.47999999999996</v>
      </c>
      <c r="R22" s="52">
        <f>'4.5.1.3-4 Direct N20'!R121</f>
        <v>136.65599999999998</v>
      </c>
      <c r="S22" s="2" t="str">
        <f>'4.5.1.3-4 Direct N20'!S121</f>
        <v>kg N</v>
      </c>
    </row>
    <row r="23" spans="1:20" ht="20.100000000000001" customHeight="1" x14ac:dyDescent="0.25">
      <c r="A23" s="17"/>
      <c r="D23" s="57" t="str">
        <f>'Input - Swine'!$D$33</f>
        <v>Pit storage</v>
      </c>
      <c r="E23" s="52">
        <f>'4.5.1.3-4 Direct N20'!E122</f>
        <v>201.47999999999996</v>
      </c>
      <c r="F23" s="52">
        <f>'4.5.1.3-4 Direct N20'!F122</f>
        <v>214.62000000000003</v>
      </c>
      <c r="G23" s="52">
        <f>'4.5.1.3-4 Direct N20'!G122</f>
        <v>201.47999999999996</v>
      </c>
      <c r="H23" s="52">
        <f>'4.5.1.3-4 Direct N20'!H122</f>
        <v>136.65599999999998</v>
      </c>
      <c r="I23" s="2" t="str">
        <f>'4.5.1.3-4 Direct N20'!I122</f>
        <v>kg N</v>
      </c>
      <c r="N23" s="57" t="str">
        <f>'Input - Swine'!$D$33</f>
        <v>Pit storage</v>
      </c>
      <c r="O23" s="52">
        <f>'4.5.1.3-4 Direct N20'!O122</f>
        <v>201.47999999999996</v>
      </c>
      <c r="P23" s="52">
        <f>'4.5.1.3-4 Direct N20'!P122</f>
        <v>214.62000000000003</v>
      </c>
      <c r="Q23" s="52">
        <f>'4.5.1.3-4 Direct N20'!Q122</f>
        <v>201.47999999999996</v>
      </c>
      <c r="R23" s="52">
        <f>'4.5.1.3-4 Direct N20'!R122</f>
        <v>136.65599999999998</v>
      </c>
      <c r="S23" s="2" t="str">
        <f>'4.5.1.3-4 Direct N20'!S122</f>
        <v>kg N</v>
      </c>
    </row>
    <row r="24" spans="1:20" ht="20.100000000000001" customHeight="1" x14ac:dyDescent="0.25">
      <c r="A24" s="17"/>
      <c r="D24" s="57" t="str">
        <f>'Input - Swine'!$D$34</f>
        <v>Solid storage</v>
      </c>
      <c r="E24" s="52">
        <f>'4.5.1.3-4 Direct N20'!E123</f>
        <v>671.60000000000014</v>
      </c>
      <c r="F24" s="52">
        <f>'4.5.1.3-4 Direct N20'!F123</f>
        <v>715.40000000000032</v>
      </c>
      <c r="G24" s="52">
        <f>'4.5.1.3-4 Direct N20'!G123</f>
        <v>671.60000000000014</v>
      </c>
      <c r="H24" s="52">
        <f>'4.5.1.3-4 Direct N20'!H123</f>
        <v>455.52000000000015</v>
      </c>
      <c r="I24" s="2" t="str">
        <f>'4.5.1.3-4 Direct N20'!I123</f>
        <v>kg N</v>
      </c>
      <c r="N24" s="57" t="str">
        <f>'Input - Swine'!$D$34</f>
        <v>Solid storage</v>
      </c>
      <c r="O24" s="52">
        <f>'4.5.1.3-4 Direct N20'!O123</f>
        <v>671.60000000000014</v>
      </c>
      <c r="P24" s="52">
        <f>'4.5.1.3-4 Direct N20'!P123</f>
        <v>715.40000000000032</v>
      </c>
      <c r="Q24" s="52">
        <f>'4.5.1.3-4 Direct N20'!Q123</f>
        <v>671.60000000000014</v>
      </c>
      <c r="R24" s="52">
        <f>'4.5.1.3-4 Direct N20'!R123</f>
        <v>455.52000000000015</v>
      </c>
      <c r="S24" s="2" t="str">
        <f>'4.5.1.3-4 Direct N20'!S123</f>
        <v>kg N</v>
      </c>
    </row>
    <row r="25" spans="1:20" ht="20.100000000000001" customHeight="1" x14ac:dyDescent="0.25"/>
    <row r="26" spans="1:20" ht="20.100000000000001" customHeight="1" x14ac:dyDescent="0.25">
      <c r="D26" s="121" t="s">
        <v>317</v>
      </c>
      <c r="N26" s="121" t="s">
        <v>317</v>
      </c>
    </row>
    <row r="27" spans="1:20" ht="20.100000000000001" customHeight="1" x14ac:dyDescent="0.25">
      <c r="D27" s="122" t="s">
        <v>318</v>
      </c>
      <c r="N27" s="122" t="s">
        <v>318</v>
      </c>
    </row>
    <row r="28" spans="1:20" ht="20.100000000000001" customHeight="1" x14ac:dyDescent="0.25">
      <c r="D28" s="51" t="s">
        <v>169</v>
      </c>
      <c r="E28" s="51" t="s">
        <v>206</v>
      </c>
      <c r="F28" s="51" t="s">
        <v>143</v>
      </c>
      <c r="G28" s="51" t="s">
        <v>144</v>
      </c>
      <c r="H28" s="51" t="s">
        <v>145</v>
      </c>
      <c r="I28" s="51" t="s">
        <v>263</v>
      </c>
      <c r="N28" s="51" t="s">
        <v>169</v>
      </c>
      <c r="O28" s="51" t="s">
        <v>206</v>
      </c>
      <c r="P28" s="51" t="s">
        <v>143</v>
      </c>
      <c r="Q28" s="51" t="s">
        <v>144</v>
      </c>
      <c r="R28" s="51" t="s">
        <v>145</v>
      </c>
      <c r="S28" s="51" t="s">
        <v>263</v>
      </c>
    </row>
    <row r="29" spans="1:20" ht="20.100000000000001" customHeight="1" x14ac:dyDescent="0.25">
      <c r="D29" s="57" t="str">
        <f>'Input - Swine'!$D$29</f>
        <v>Anaerobic lagoon</v>
      </c>
      <c r="E29" s="57" t="str">
        <f>'Input - Swine'!$D$48</f>
        <v>Digester / covered lagoons</v>
      </c>
      <c r="F29" s="52">
        <f>'4.5.1.3-4 Direct N20'!F209</f>
        <v>18.133199999999995</v>
      </c>
      <c r="G29" s="52">
        <f>'4.5.1.3-4 Direct N20'!G209</f>
        <v>24.144750000000002</v>
      </c>
      <c r="H29" s="52">
        <f>'4.5.1.3-4 Direct N20'!H209</f>
        <v>22.666499999999992</v>
      </c>
      <c r="I29" s="52">
        <f>'4.5.1.3-4 Direct N20'!I209</f>
        <v>15.373799999999996</v>
      </c>
      <c r="J29" s="2" t="str">
        <f>'4.5.1.3-4 Direct N20'!J209</f>
        <v>kg N</v>
      </c>
      <c r="N29" s="57" t="str">
        <f>'Input - Swine'!$D$29</f>
        <v>Anaerobic lagoon</v>
      </c>
      <c r="O29" s="57" t="str">
        <f>'Input - Swine'!$D$48</f>
        <v>Digester / covered lagoons</v>
      </c>
      <c r="P29" s="52">
        <f>'4.5.1.3-4 Direct N20'!P209</f>
        <v>18.133199999999995</v>
      </c>
      <c r="Q29" s="52">
        <f>'4.5.1.3-4 Direct N20'!Q209</f>
        <v>24.144750000000002</v>
      </c>
      <c r="R29" s="52">
        <f>'4.5.1.3-4 Direct N20'!R209</f>
        <v>22.666499999999992</v>
      </c>
      <c r="S29" s="52">
        <f>'4.5.1.3-4 Direct N20'!S209</f>
        <v>15.373799999999996</v>
      </c>
      <c r="T29" s="2" t="str">
        <f>'4.5.1.3-4 Direct N20'!T209</f>
        <v>kg N</v>
      </c>
    </row>
    <row r="30" spans="1:20" ht="20.100000000000001" customHeight="1" x14ac:dyDescent="0.25">
      <c r="D30" s="57"/>
      <c r="E30" s="57" t="str">
        <f>'Input - Swine'!$D$49</f>
        <v>Deep litter</v>
      </c>
      <c r="F30" s="52">
        <f>'4.5.1.3-4 Direct N20'!F210</f>
        <v>18.133199999999995</v>
      </c>
      <c r="G30" s="52">
        <f>'4.5.1.3-4 Direct N20'!G210</f>
        <v>24.144750000000002</v>
      </c>
      <c r="H30" s="52">
        <f>'4.5.1.3-4 Direct N20'!H210</f>
        <v>22.666499999999992</v>
      </c>
      <c r="I30" s="52">
        <f>'4.5.1.3-4 Direct N20'!I210</f>
        <v>15.373799999999996</v>
      </c>
      <c r="J30" s="2" t="str">
        <f>'4.5.1.3-4 Direct N20'!J210</f>
        <v>kg N</v>
      </c>
      <c r="N30" s="57"/>
      <c r="O30" s="57" t="str">
        <f>'Input - Swine'!$D$49</f>
        <v>Deep litter</v>
      </c>
      <c r="P30" s="52">
        <f>'4.5.1.3-4 Direct N20'!P210</f>
        <v>18.133199999999995</v>
      </c>
      <c r="Q30" s="52">
        <f>'4.5.1.3-4 Direct N20'!Q210</f>
        <v>24.144750000000002</v>
      </c>
      <c r="R30" s="52">
        <f>'4.5.1.3-4 Direct N20'!R210</f>
        <v>22.666499999999992</v>
      </c>
      <c r="S30" s="52">
        <f>'4.5.1.3-4 Direct N20'!S210</f>
        <v>15.373799999999996</v>
      </c>
      <c r="T30" s="2" t="str">
        <f>'4.5.1.3-4 Direct N20'!T210</f>
        <v>kg N</v>
      </c>
    </row>
    <row r="31" spans="1:20" ht="20.100000000000001" customHeight="1" x14ac:dyDescent="0.25">
      <c r="D31" s="57"/>
      <c r="E31" s="57" t="str">
        <f>'Input - Swine'!$D$50</f>
        <v>Pit storage</v>
      </c>
      <c r="F31" s="52">
        <f>'4.5.1.3-4 Direct N20'!F211</f>
        <v>18.133199999999995</v>
      </c>
      <c r="G31" s="52">
        <f>'4.5.1.3-4 Direct N20'!G211</f>
        <v>24.144750000000002</v>
      </c>
      <c r="H31" s="52">
        <f>'4.5.1.3-4 Direct N20'!H211</f>
        <v>22.666499999999992</v>
      </c>
      <c r="I31" s="52">
        <f>'4.5.1.3-4 Direct N20'!I211</f>
        <v>15.373799999999996</v>
      </c>
      <c r="J31" s="2" t="str">
        <f>'4.5.1.3-4 Direct N20'!J211</f>
        <v>kg N</v>
      </c>
      <c r="N31" s="57"/>
      <c r="O31" s="57" t="str">
        <f>'Input - Swine'!$D$50</f>
        <v>Pit storage</v>
      </c>
      <c r="P31" s="52">
        <f>'4.5.1.3-4 Direct N20'!P211</f>
        <v>18.133199999999995</v>
      </c>
      <c r="Q31" s="52">
        <f>'4.5.1.3-4 Direct N20'!Q211</f>
        <v>24.144750000000002</v>
      </c>
      <c r="R31" s="52">
        <f>'4.5.1.3-4 Direct N20'!R211</f>
        <v>22.666499999999992</v>
      </c>
      <c r="S31" s="52">
        <f>'4.5.1.3-4 Direct N20'!S211</f>
        <v>15.373799999999996</v>
      </c>
      <c r="T31" s="2" t="str">
        <f>'4.5.1.3-4 Direct N20'!T211</f>
        <v>kg N</v>
      </c>
    </row>
    <row r="32" spans="1:20" ht="20.100000000000001" customHeight="1" x14ac:dyDescent="0.25">
      <c r="D32" s="57" t="str">
        <f>'Input - Swine'!$D$30</f>
        <v>Drylot (feed pad)</v>
      </c>
      <c r="E32" s="57" t="str">
        <f>'Input - Swine'!$D$55</f>
        <v>Anaerobic lagoon</v>
      </c>
      <c r="F32" s="52">
        <f>'4.5.1.3-4 Direct N20'!F212</f>
        <v>27.401279999999993</v>
      </c>
      <c r="G32" s="52">
        <f>'4.5.1.3-4 Direct N20'!G212</f>
        <v>36.485400000000006</v>
      </c>
      <c r="H32" s="52">
        <f>'4.5.1.3-4 Direct N20'!H212</f>
        <v>34.251599999999989</v>
      </c>
      <c r="I32" s="52">
        <f>'4.5.1.3-4 Direct N20'!I212</f>
        <v>23.231519999999993</v>
      </c>
      <c r="J32" s="2" t="str">
        <f>'4.5.1.3-4 Direct N20'!J212</f>
        <v>kg N</v>
      </c>
      <c r="N32" s="57" t="str">
        <f>'Input - Swine'!$D$30</f>
        <v>Drylot (feed pad)</v>
      </c>
      <c r="O32" s="57" t="str">
        <f>'Input - Swine'!$D$55</f>
        <v>Anaerobic lagoon</v>
      </c>
      <c r="P32" s="52">
        <f>'4.5.1.3-4 Direct N20'!P212</f>
        <v>27.401279999999993</v>
      </c>
      <c r="Q32" s="52">
        <f>'4.5.1.3-4 Direct N20'!Q212</f>
        <v>36.485400000000006</v>
      </c>
      <c r="R32" s="52">
        <f>'4.5.1.3-4 Direct N20'!R212</f>
        <v>34.251599999999989</v>
      </c>
      <c r="S32" s="52">
        <f>'4.5.1.3-4 Direct N20'!S212</f>
        <v>23.231519999999993</v>
      </c>
      <c r="T32" s="2" t="str">
        <f>'4.5.1.3-4 Direct N20'!T212</f>
        <v>kg N</v>
      </c>
    </row>
    <row r="33" spans="4:20" ht="20.100000000000001" customHeight="1" x14ac:dyDescent="0.25">
      <c r="D33" s="57"/>
      <c r="E33" s="57" t="str">
        <f>'Input - Swine'!$D$56</f>
        <v>Digester / covered lagoons</v>
      </c>
      <c r="F33" s="52">
        <f>'4.5.1.3-4 Direct N20'!F213</f>
        <v>27.401279999999993</v>
      </c>
      <c r="G33" s="52">
        <f>'4.5.1.3-4 Direct N20'!G213</f>
        <v>36.485400000000006</v>
      </c>
      <c r="H33" s="52">
        <f>'4.5.1.3-4 Direct N20'!H213</f>
        <v>34.251599999999989</v>
      </c>
      <c r="I33" s="52">
        <f>'4.5.1.3-4 Direct N20'!I213</f>
        <v>23.231519999999993</v>
      </c>
      <c r="J33" s="2" t="str">
        <f>'4.5.1.3-4 Direct N20'!J213</f>
        <v>kg N</v>
      </c>
      <c r="N33" s="57"/>
      <c r="O33" s="57" t="str">
        <f>'Input - Swine'!$D$56</f>
        <v>Digester / covered lagoons</v>
      </c>
      <c r="P33" s="52">
        <f>'4.5.1.3-4 Direct N20'!P213</f>
        <v>27.401279999999993</v>
      </c>
      <c r="Q33" s="52">
        <f>'4.5.1.3-4 Direct N20'!Q213</f>
        <v>36.485400000000006</v>
      </c>
      <c r="R33" s="52">
        <f>'4.5.1.3-4 Direct N20'!R213</f>
        <v>34.251599999999989</v>
      </c>
      <c r="S33" s="52">
        <f>'4.5.1.3-4 Direct N20'!S213</f>
        <v>23.231519999999993</v>
      </c>
      <c r="T33" s="2" t="str">
        <f>'4.5.1.3-4 Direct N20'!T213</f>
        <v>kg N</v>
      </c>
    </row>
    <row r="34" spans="4:20" ht="20.100000000000001" customHeight="1" x14ac:dyDescent="0.25">
      <c r="D34" s="57"/>
      <c r="E34" s="57" t="str">
        <f>'Input - Swine'!$D$57</f>
        <v>Deep litter</v>
      </c>
      <c r="F34" s="52">
        <f>'4.5.1.3-4 Direct N20'!F214</f>
        <v>27.401279999999993</v>
      </c>
      <c r="G34" s="52">
        <f>'4.5.1.3-4 Direct N20'!G214</f>
        <v>36.485400000000006</v>
      </c>
      <c r="H34" s="52">
        <f>'4.5.1.3-4 Direct N20'!H214</f>
        <v>34.251599999999989</v>
      </c>
      <c r="I34" s="52">
        <f>'4.5.1.3-4 Direct N20'!I214</f>
        <v>23.231519999999993</v>
      </c>
      <c r="J34" s="2" t="str">
        <f>'4.5.1.3-4 Direct N20'!J214</f>
        <v>kg N</v>
      </c>
      <c r="N34" s="57"/>
      <c r="O34" s="57" t="str">
        <f>'Input - Swine'!$D$57</f>
        <v>Deep litter</v>
      </c>
      <c r="P34" s="52">
        <f>'4.5.1.3-4 Direct N20'!P214</f>
        <v>27.401279999999993</v>
      </c>
      <c r="Q34" s="52">
        <f>'4.5.1.3-4 Direct N20'!Q214</f>
        <v>36.485400000000006</v>
      </c>
      <c r="R34" s="52">
        <f>'4.5.1.3-4 Direct N20'!R214</f>
        <v>34.251599999999989</v>
      </c>
      <c r="S34" s="52">
        <f>'4.5.1.3-4 Direct N20'!S214</f>
        <v>23.231519999999993</v>
      </c>
      <c r="T34" s="2" t="str">
        <f>'4.5.1.3-4 Direct N20'!T214</f>
        <v>kg N</v>
      </c>
    </row>
    <row r="35" spans="4:20" ht="20.100000000000001" customHeight="1" x14ac:dyDescent="0.25">
      <c r="D35" s="57"/>
      <c r="E35" s="57" t="str">
        <f>'Input - Swine'!$D$58</f>
        <v>Pit storage</v>
      </c>
      <c r="F35" s="52">
        <f>'4.5.1.3-4 Direct N20'!F215</f>
        <v>27.401279999999993</v>
      </c>
      <c r="G35" s="52">
        <f>'4.5.1.3-4 Direct N20'!G215</f>
        <v>36.485400000000006</v>
      </c>
      <c r="H35" s="52">
        <f>'4.5.1.3-4 Direct N20'!H215</f>
        <v>34.251599999999989</v>
      </c>
      <c r="I35" s="52">
        <f>'4.5.1.3-4 Direct N20'!I215</f>
        <v>23.231519999999993</v>
      </c>
      <c r="J35" s="2" t="str">
        <f>'4.5.1.3-4 Direct N20'!J215</f>
        <v>kg N</v>
      </c>
      <c r="N35" s="57"/>
      <c r="O35" s="57" t="str">
        <f>'Input - Swine'!$D$58</f>
        <v>Pit storage</v>
      </c>
      <c r="P35" s="52">
        <f>'4.5.1.3-4 Direct N20'!P215</f>
        <v>27.401279999999993</v>
      </c>
      <c r="Q35" s="52">
        <f>'4.5.1.3-4 Direct N20'!Q215</f>
        <v>36.485400000000006</v>
      </c>
      <c r="R35" s="52">
        <f>'4.5.1.3-4 Direct N20'!R215</f>
        <v>34.251599999999989</v>
      </c>
      <c r="S35" s="52">
        <f>'4.5.1.3-4 Direct N20'!S215</f>
        <v>23.231519999999993</v>
      </c>
      <c r="T35" s="2" t="str">
        <f>'4.5.1.3-4 Direct N20'!T215</f>
        <v>kg N</v>
      </c>
    </row>
    <row r="36" spans="4:20" ht="20.100000000000001" customHeight="1" x14ac:dyDescent="0.25">
      <c r="D36" s="57" t="str">
        <f>'Input - Swine'!$D$31</f>
        <v>Digester / covered lagoons</v>
      </c>
      <c r="E36" s="57" t="str">
        <f>'Input - Swine'!$D$63</f>
        <v>Anaerobic lagoon</v>
      </c>
      <c r="F36" s="52">
        <f>'4.5.1.3-4 Direct N20'!F216</f>
        <v>40.295999999999992</v>
      </c>
      <c r="G36" s="52">
        <f>'4.5.1.3-4 Direct N20'!G216</f>
        <v>53.655000000000008</v>
      </c>
      <c r="H36" s="52">
        <f>'4.5.1.3-4 Direct N20'!H216</f>
        <v>50.36999999999999</v>
      </c>
      <c r="I36" s="52">
        <f>'4.5.1.3-4 Direct N20'!I216</f>
        <v>34.163999999999994</v>
      </c>
      <c r="J36" s="2" t="str">
        <f>'4.5.1.3-4 Direct N20'!J216</f>
        <v>kg N</v>
      </c>
      <c r="N36" s="57" t="str">
        <f>'Input - Swine'!$D$31</f>
        <v>Digester / covered lagoons</v>
      </c>
      <c r="O36" s="57" t="str">
        <f>'Input - Swine'!$D$63</f>
        <v>Anaerobic lagoon</v>
      </c>
      <c r="P36" s="52">
        <f>'4.5.1.3-4 Direct N20'!P216</f>
        <v>40.295999999999992</v>
      </c>
      <c r="Q36" s="52">
        <f>'4.5.1.3-4 Direct N20'!Q216</f>
        <v>53.655000000000008</v>
      </c>
      <c r="R36" s="52">
        <f>'4.5.1.3-4 Direct N20'!R216</f>
        <v>50.36999999999999</v>
      </c>
      <c r="S36" s="52">
        <f>'4.5.1.3-4 Direct N20'!S216</f>
        <v>34.163999999999994</v>
      </c>
      <c r="T36" s="2" t="str">
        <f>'4.5.1.3-4 Direct N20'!T216</f>
        <v>kg N</v>
      </c>
    </row>
    <row r="37" spans="4:20" ht="20.100000000000001" customHeight="1" x14ac:dyDescent="0.25">
      <c r="D37" s="57"/>
      <c r="E37" s="57" t="str">
        <f>'Input - Swine'!$D$64</f>
        <v>Deep litter</v>
      </c>
      <c r="F37" s="52">
        <f>'4.5.1.3-4 Direct N20'!F217</f>
        <v>40.295999999999992</v>
      </c>
      <c r="G37" s="52">
        <f>'4.5.1.3-4 Direct N20'!G217</f>
        <v>53.655000000000008</v>
      </c>
      <c r="H37" s="52">
        <f>'4.5.1.3-4 Direct N20'!H217</f>
        <v>50.36999999999999</v>
      </c>
      <c r="I37" s="52">
        <f>'4.5.1.3-4 Direct N20'!I217</f>
        <v>34.163999999999994</v>
      </c>
      <c r="J37" s="2" t="str">
        <f>'4.5.1.3-4 Direct N20'!J217</f>
        <v>kg N</v>
      </c>
      <c r="N37" s="57"/>
      <c r="O37" s="57" t="str">
        <f>'Input - Swine'!$D$64</f>
        <v>Deep litter</v>
      </c>
      <c r="P37" s="52">
        <f>'4.5.1.3-4 Direct N20'!P217</f>
        <v>40.295999999999992</v>
      </c>
      <c r="Q37" s="52">
        <f>'4.5.1.3-4 Direct N20'!Q217</f>
        <v>53.655000000000008</v>
      </c>
      <c r="R37" s="52">
        <f>'4.5.1.3-4 Direct N20'!R217</f>
        <v>50.36999999999999</v>
      </c>
      <c r="S37" s="52">
        <f>'4.5.1.3-4 Direct N20'!S217</f>
        <v>34.163999999999994</v>
      </c>
      <c r="T37" s="2" t="str">
        <f>'4.5.1.3-4 Direct N20'!T217</f>
        <v>kg N</v>
      </c>
    </row>
    <row r="38" spans="4:20" ht="20.100000000000001" customHeight="1" x14ac:dyDescent="0.25">
      <c r="D38" s="57"/>
      <c r="E38" s="57" t="str">
        <f>'Input - Swine'!$D$65</f>
        <v>Pit storage</v>
      </c>
      <c r="F38" s="52">
        <f>'4.5.1.3-4 Direct N20'!F218</f>
        <v>40.295999999999992</v>
      </c>
      <c r="G38" s="52">
        <f>'4.5.1.3-4 Direct N20'!G218</f>
        <v>53.655000000000008</v>
      </c>
      <c r="H38" s="52">
        <f>'4.5.1.3-4 Direct N20'!H218</f>
        <v>50.36999999999999</v>
      </c>
      <c r="I38" s="52">
        <f>'4.5.1.3-4 Direct N20'!I218</f>
        <v>34.163999999999994</v>
      </c>
      <c r="J38" s="2" t="str">
        <f>'4.5.1.3-4 Direct N20'!J218</f>
        <v>kg N</v>
      </c>
      <c r="N38" s="57"/>
      <c r="O38" s="57" t="str">
        <f>'Input - Swine'!$D$65</f>
        <v>Pit storage</v>
      </c>
      <c r="P38" s="52">
        <f>'4.5.1.3-4 Direct N20'!P218</f>
        <v>40.295999999999992</v>
      </c>
      <c r="Q38" s="52">
        <f>'4.5.1.3-4 Direct N20'!Q218</f>
        <v>53.655000000000008</v>
      </c>
      <c r="R38" s="52">
        <f>'4.5.1.3-4 Direct N20'!R218</f>
        <v>50.36999999999999</v>
      </c>
      <c r="S38" s="52">
        <f>'4.5.1.3-4 Direct N20'!S218</f>
        <v>34.163999999999994</v>
      </c>
      <c r="T38" s="2" t="str">
        <f>'4.5.1.3-4 Direct N20'!T218</f>
        <v>kg N</v>
      </c>
    </row>
    <row r="39" spans="4:20" ht="20.100000000000001" customHeight="1" x14ac:dyDescent="0.25">
      <c r="D39" s="57" t="str">
        <f>'Input - Swine'!$D$32</f>
        <v>Deep litter</v>
      </c>
      <c r="E39" s="57" t="str">
        <f>'Input - Swine'!$D$70</f>
        <v>Anaerobic lagoon</v>
      </c>
      <c r="F39" s="52">
        <f>'4.5.1.3-4 Direct N20'!F219</f>
        <v>34.856039999999993</v>
      </c>
      <c r="G39" s="52">
        <f>'4.5.1.3-4 Direct N20'!G219</f>
        <v>46.411575000000006</v>
      </c>
      <c r="H39" s="52">
        <f>'4.5.1.3-4 Direct N20'!H219</f>
        <v>43.570049999999988</v>
      </c>
      <c r="I39" s="52">
        <f>'4.5.1.3-4 Direct N20'!I219</f>
        <v>29.551859999999994</v>
      </c>
      <c r="J39" s="2" t="str">
        <f>'4.5.1.3-4 Direct N20'!J219</f>
        <v>kg N</v>
      </c>
      <c r="N39" s="57" t="str">
        <f>'Input - Swine'!$D$32</f>
        <v>Deep litter</v>
      </c>
      <c r="O39" s="57" t="str">
        <f>'Input - Swine'!$D$70</f>
        <v>Anaerobic lagoon</v>
      </c>
      <c r="P39" s="52">
        <f>'4.5.1.3-4 Direct N20'!P219</f>
        <v>34.856039999999993</v>
      </c>
      <c r="Q39" s="52">
        <f>'4.5.1.3-4 Direct N20'!Q219</f>
        <v>46.411575000000006</v>
      </c>
      <c r="R39" s="52">
        <f>'4.5.1.3-4 Direct N20'!R219</f>
        <v>43.570049999999988</v>
      </c>
      <c r="S39" s="52">
        <f>'4.5.1.3-4 Direct N20'!S219</f>
        <v>29.551859999999994</v>
      </c>
      <c r="T39" s="2" t="str">
        <f>'4.5.1.3-4 Direct N20'!T219</f>
        <v>kg N</v>
      </c>
    </row>
    <row r="40" spans="4:20" ht="20.100000000000001" customHeight="1" x14ac:dyDescent="0.25">
      <c r="D40" s="57"/>
      <c r="E40" s="57" t="str">
        <f>'Input - Swine'!$D$71</f>
        <v>Digester / covered lagoons</v>
      </c>
      <c r="F40" s="52">
        <f>'4.5.1.3-4 Direct N20'!F220</f>
        <v>34.856039999999993</v>
      </c>
      <c r="G40" s="52">
        <f>'4.5.1.3-4 Direct N20'!G220</f>
        <v>46.411575000000006</v>
      </c>
      <c r="H40" s="52">
        <f>'4.5.1.3-4 Direct N20'!H220</f>
        <v>43.570049999999988</v>
      </c>
      <c r="I40" s="52">
        <f>'4.5.1.3-4 Direct N20'!I220</f>
        <v>29.551859999999994</v>
      </c>
      <c r="J40" s="2" t="str">
        <f>'4.5.1.3-4 Direct N20'!J220</f>
        <v>kg N</v>
      </c>
      <c r="N40" s="57"/>
      <c r="O40" s="57" t="str">
        <f>'Input - Swine'!$D$71</f>
        <v>Digester / covered lagoons</v>
      </c>
      <c r="P40" s="52">
        <f>'4.5.1.3-4 Direct N20'!P220</f>
        <v>34.856039999999993</v>
      </c>
      <c r="Q40" s="52">
        <f>'4.5.1.3-4 Direct N20'!Q220</f>
        <v>46.411575000000006</v>
      </c>
      <c r="R40" s="52">
        <f>'4.5.1.3-4 Direct N20'!R220</f>
        <v>43.570049999999988</v>
      </c>
      <c r="S40" s="52">
        <f>'4.5.1.3-4 Direct N20'!S220</f>
        <v>29.551859999999994</v>
      </c>
      <c r="T40" s="2" t="str">
        <f>'4.5.1.3-4 Direct N20'!T220</f>
        <v>kg N</v>
      </c>
    </row>
    <row r="41" spans="4:20" ht="20.100000000000001" customHeight="1" x14ac:dyDescent="0.25">
      <c r="D41" s="57"/>
      <c r="E41" s="57" t="str">
        <f>'Input - Swine'!$D$72</f>
        <v>Pit storage</v>
      </c>
      <c r="F41" s="52">
        <f>'4.5.1.3-4 Direct N20'!F221</f>
        <v>34.856039999999993</v>
      </c>
      <c r="G41" s="52">
        <f>'4.5.1.3-4 Direct N20'!G221</f>
        <v>46.411575000000006</v>
      </c>
      <c r="H41" s="52">
        <f>'4.5.1.3-4 Direct N20'!H221</f>
        <v>43.570049999999988</v>
      </c>
      <c r="I41" s="52">
        <f>'4.5.1.3-4 Direct N20'!I221</f>
        <v>29.551859999999994</v>
      </c>
      <c r="J41" s="2" t="str">
        <f>'4.5.1.3-4 Direct N20'!J221</f>
        <v>kg N</v>
      </c>
      <c r="N41" s="57"/>
      <c r="O41" s="57" t="str">
        <f>'Input - Swine'!$D$72</f>
        <v>Pit storage</v>
      </c>
      <c r="P41" s="52">
        <f>'4.5.1.3-4 Direct N20'!P221</f>
        <v>34.856039999999993</v>
      </c>
      <c r="Q41" s="52">
        <f>'4.5.1.3-4 Direct N20'!Q221</f>
        <v>46.411575000000006</v>
      </c>
      <c r="R41" s="52">
        <f>'4.5.1.3-4 Direct N20'!R221</f>
        <v>43.570049999999988</v>
      </c>
      <c r="S41" s="52">
        <f>'4.5.1.3-4 Direct N20'!S221</f>
        <v>29.551859999999994</v>
      </c>
      <c r="T41" s="2" t="str">
        <f>'4.5.1.3-4 Direct N20'!T221</f>
        <v>kg N</v>
      </c>
    </row>
    <row r="42" spans="4:20" ht="20.100000000000001" customHeight="1" x14ac:dyDescent="0.25">
      <c r="D42" s="57" t="str">
        <f>'Input - Swine'!$D$33</f>
        <v>Pit storage</v>
      </c>
      <c r="E42" s="57" t="str">
        <f>'Input - Swine'!$D$77</f>
        <v>Anaerobic lagoon</v>
      </c>
      <c r="F42" s="52">
        <f>'4.5.1.3-4 Direct N20'!F222</f>
        <v>30.141407999999998</v>
      </c>
      <c r="G42" s="52">
        <f>'4.5.1.3-4 Direct N20'!G222</f>
        <v>40.133940000000003</v>
      </c>
      <c r="H42" s="52">
        <f>'4.5.1.3-4 Direct N20'!H222</f>
        <v>37.676759999999994</v>
      </c>
      <c r="I42" s="52">
        <f>'4.5.1.3-4 Direct N20'!I222</f>
        <v>25.554671999999997</v>
      </c>
      <c r="J42" s="2" t="str">
        <f>'4.5.1.3-4 Direct N20'!J222</f>
        <v>kg N</v>
      </c>
      <c r="N42" s="57" t="str">
        <f>'Input - Swine'!$D$33</f>
        <v>Pit storage</v>
      </c>
      <c r="O42" s="57" t="str">
        <f>'Input - Swine'!$D$77</f>
        <v>Anaerobic lagoon</v>
      </c>
      <c r="P42" s="52">
        <f>'4.5.1.3-4 Direct N20'!P222</f>
        <v>30.141407999999998</v>
      </c>
      <c r="Q42" s="52">
        <f>'4.5.1.3-4 Direct N20'!Q222</f>
        <v>40.133940000000003</v>
      </c>
      <c r="R42" s="52">
        <f>'4.5.1.3-4 Direct N20'!R222</f>
        <v>37.676759999999994</v>
      </c>
      <c r="S42" s="52">
        <f>'4.5.1.3-4 Direct N20'!S222</f>
        <v>25.554671999999997</v>
      </c>
      <c r="T42" s="2" t="str">
        <f>'4.5.1.3-4 Direct N20'!T222</f>
        <v>kg N</v>
      </c>
    </row>
    <row r="43" spans="4:20" ht="20.100000000000001" customHeight="1" x14ac:dyDescent="0.25">
      <c r="D43" s="57"/>
      <c r="E43" s="57" t="str">
        <f>'Input - Swine'!$D$78</f>
        <v>Digester / covered lagoons</v>
      </c>
      <c r="F43" s="52">
        <f>'4.5.1.3-4 Direct N20'!F223</f>
        <v>30.141407999999998</v>
      </c>
      <c r="G43" s="52">
        <f>'4.5.1.3-4 Direct N20'!G223</f>
        <v>40.133940000000003</v>
      </c>
      <c r="H43" s="52">
        <f>'4.5.1.3-4 Direct N20'!H223</f>
        <v>37.676759999999994</v>
      </c>
      <c r="I43" s="52">
        <f>'4.5.1.3-4 Direct N20'!I223</f>
        <v>25.554671999999997</v>
      </c>
      <c r="J43" s="2" t="str">
        <f>'4.5.1.3-4 Direct N20'!J223</f>
        <v>kg N</v>
      </c>
      <c r="N43" s="57"/>
      <c r="O43" s="57" t="str">
        <f>'Input - Swine'!$D$78</f>
        <v>Digester / covered lagoons</v>
      </c>
      <c r="P43" s="52">
        <f>'4.5.1.3-4 Direct N20'!P223</f>
        <v>30.141407999999998</v>
      </c>
      <c r="Q43" s="52">
        <f>'4.5.1.3-4 Direct N20'!Q223</f>
        <v>40.133940000000003</v>
      </c>
      <c r="R43" s="52">
        <f>'4.5.1.3-4 Direct N20'!R223</f>
        <v>37.676759999999994</v>
      </c>
      <c r="S43" s="52">
        <f>'4.5.1.3-4 Direct N20'!S223</f>
        <v>25.554671999999997</v>
      </c>
      <c r="T43" s="2" t="str">
        <f>'4.5.1.3-4 Direct N20'!T223</f>
        <v>kg N</v>
      </c>
    </row>
    <row r="44" spans="4:20" ht="20.100000000000001" customHeight="1" x14ac:dyDescent="0.25">
      <c r="D44" s="57"/>
      <c r="E44" s="57" t="str">
        <f>'Input - Swine'!$D$79</f>
        <v>Deep litter</v>
      </c>
      <c r="F44" s="52">
        <f>'4.5.1.3-4 Direct N20'!F224</f>
        <v>30.141407999999998</v>
      </c>
      <c r="G44" s="52">
        <f>'4.5.1.3-4 Direct N20'!G224</f>
        <v>40.133940000000003</v>
      </c>
      <c r="H44" s="52">
        <f>'4.5.1.3-4 Direct N20'!H224</f>
        <v>37.676759999999994</v>
      </c>
      <c r="I44" s="52">
        <f>'4.5.1.3-4 Direct N20'!I224</f>
        <v>25.554671999999997</v>
      </c>
      <c r="J44" s="2" t="str">
        <f>'4.5.1.3-4 Direct N20'!J224</f>
        <v>kg N</v>
      </c>
      <c r="N44" s="57"/>
      <c r="O44" s="57" t="str">
        <f>'Input - Swine'!$D$79</f>
        <v>Deep litter</v>
      </c>
      <c r="P44" s="52">
        <f>'4.5.1.3-4 Direct N20'!P224</f>
        <v>30.141407999999998</v>
      </c>
      <c r="Q44" s="52">
        <f>'4.5.1.3-4 Direct N20'!Q224</f>
        <v>40.133940000000003</v>
      </c>
      <c r="R44" s="52">
        <f>'4.5.1.3-4 Direct N20'!R224</f>
        <v>37.676759999999994</v>
      </c>
      <c r="S44" s="52">
        <f>'4.5.1.3-4 Direct N20'!S224</f>
        <v>25.554671999999997</v>
      </c>
      <c r="T44" s="2" t="str">
        <f>'4.5.1.3-4 Direct N20'!T224</f>
        <v>kg N</v>
      </c>
    </row>
    <row r="45" spans="4:20" ht="20.100000000000001" customHeight="1" x14ac:dyDescent="0.25">
      <c r="D45" s="57" t="str">
        <f>'Input - Swine'!$D$34</f>
        <v>Solid storage</v>
      </c>
      <c r="E45" s="57" t="str">
        <f>'Input - Swine'!$D$84</f>
        <v>Anaerobic lagoon</v>
      </c>
      <c r="F45" s="52">
        <f>'4.5.1.3-4 Direct N20'!F225</f>
        <v>106.78440000000003</v>
      </c>
      <c r="G45" s="52">
        <f>'4.5.1.3-4 Direct N20'!G225</f>
        <v>113.74860000000007</v>
      </c>
      <c r="H45" s="52">
        <f>'4.5.1.3-4 Direct N20'!H225</f>
        <v>106.78440000000003</v>
      </c>
      <c r="I45" s="52">
        <f>'4.5.1.3-4 Direct N20'!I225</f>
        <v>72.427680000000038</v>
      </c>
      <c r="J45" s="2" t="str">
        <f>'4.5.1.3-4 Direct N20'!J225</f>
        <v>kg N</v>
      </c>
      <c r="N45" s="57" t="str">
        <f>'Input - Swine'!$D$34</f>
        <v>Solid storage</v>
      </c>
      <c r="O45" s="57" t="str">
        <f>'Input - Swine'!$D$84</f>
        <v>Anaerobic lagoon</v>
      </c>
      <c r="P45" s="52">
        <f>'4.5.1.3-4 Direct N20'!P225</f>
        <v>106.78440000000003</v>
      </c>
      <c r="Q45" s="52">
        <f>'4.5.1.3-4 Direct N20'!Q225</f>
        <v>113.74860000000007</v>
      </c>
      <c r="R45" s="52">
        <f>'4.5.1.3-4 Direct N20'!R225</f>
        <v>106.78440000000003</v>
      </c>
      <c r="S45" s="52">
        <f>'4.5.1.3-4 Direct N20'!S225</f>
        <v>72.427680000000038</v>
      </c>
      <c r="T45" s="2" t="str">
        <f>'4.5.1.3-4 Direct N20'!T225</f>
        <v>kg N</v>
      </c>
    </row>
    <row r="46" spans="4:20" ht="20.100000000000001" customHeight="1" x14ac:dyDescent="0.25">
      <c r="D46" s="57"/>
      <c r="E46" s="57" t="str">
        <f>'Input - Swine'!$D$85</f>
        <v>Digester / covered lagoons</v>
      </c>
      <c r="F46" s="52">
        <f>'4.5.1.3-4 Direct N20'!F226</f>
        <v>106.78440000000003</v>
      </c>
      <c r="G46" s="52">
        <f>'4.5.1.3-4 Direct N20'!G226</f>
        <v>113.74860000000007</v>
      </c>
      <c r="H46" s="52">
        <f>'4.5.1.3-4 Direct N20'!H226</f>
        <v>106.78440000000003</v>
      </c>
      <c r="I46" s="52">
        <f>'4.5.1.3-4 Direct N20'!I226</f>
        <v>72.427680000000038</v>
      </c>
      <c r="J46" s="2" t="str">
        <f>'4.5.1.3-4 Direct N20'!J226</f>
        <v>kg N</v>
      </c>
      <c r="N46" s="57"/>
      <c r="O46" s="57" t="str">
        <f>'Input - Swine'!$D$85</f>
        <v>Digester / covered lagoons</v>
      </c>
      <c r="P46" s="52">
        <f>'4.5.1.3-4 Direct N20'!P226</f>
        <v>106.78440000000003</v>
      </c>
      <c r="Q46" s="52">
        <f>'4.5.1.3-4 Direct N20'!Q226</f>
        <v>113.74860000000007</v>
      </c>
      <c r="R46" s="52">
        <f>'4.5.1.3-4 Direct N20'!R226</f>
        <v>106.78440000000003</v>
      </c>
      <c r="S46" s="52">
        <f>'4.5.1.3-4 Direct N20'!S226</f>
        <v>72.427680000000038</v>
      </c>
      <c r="T46" s="2" t="str">
        <f>'4.5.1.3-4 Direct N20'!T226</f>
        <v>kg N</v>
      </c>
    </row>
    <row r="47" spans="4:20" ht="20.100000000000001" customHeight="1" x14ac:dyDescent="0.25">
      <c r="D47" s="57"/>
      <c r="E47" s="57" t="str">
        <f>'Input - Swine'!$D$86</f>
        <v>Deep litter</v>
      </c>
      <c r="F47" s="52">
        <f>'4.5.1.3-4 Direct N20'!F227</f>
        <v>106.78440000000003</v>
      </c>
      <c r="G47" s="52">
        <f>'4.5.1.3-4 Direct N20'!G227</f>
        <v>113.74860000000007</v>
      </c>
      <c r="H47" s="52">
        <f>'4.5.1.3-4 Direct N20'!H227</f>
        <v>106.78440000000003</v>
      </c>
      <c r="I47" s="52">
        <f>'4.5.1.3-4 Direct N20'!I227</f>
        <v>72.427680000000038</v>
      </c>
      <c r="J47" s="2" t="str">
        <f>'4.5.1.3-4 Direct N20'!J227</f>
        <v>kg N</v>
      </c>
      <c r="N47" s="57"/>
      <c r="O47" s="57" t="str">
        <f>'Input - Swine'!$D$86</f>
        <v>Deep litter</v>
      </c>
      <c r="P47" s="52">
        <f>'4.5.1.3-4 Direct N20'!P227</f>
        <v>106.78440000000003</v>
      </c>
      <c r="Q47" s="52">
        <f>'4.5.1.3-4 Direct N20'!Q227</f>
        <v>113.74860000000007</v>
      </c>
      <c r="R47" s="52">
        <f>'4.5.1.3-4 Direct N20'!R227</f>
        <v>106.78440000000003</v>
      </c>
      <c r="S47" s="52">
        <f>'4.5.1.3-4 Direct N20'!S227</f>
        <v>72.427680000000038</v>
      </c>
      <c r="T47" s="2" t="str">
        <f>'4.5.1.3-4 Direct N20'!T227</f>
        <v>kg N</v>
      </c>
    </row>
    <row r="48" spans="4:20" ht="20.100000000000001" customHeight="1" x14ac:dyDescent="0.25">
      <c r="D48" s="57"/>
      <c r="E48" s="57" t="str">
        <f>'Input - Swine'!$D$87</f>
        <v>Pit storage</v>
      </c>
      <c r="F48" s="52">
        <f>'4.5.1.3-4 Direct N20'!F228</f>
        <v>53.392200000000017</v>
      </c>
      <c r="G48" s="52">
        <f>'4.5.1.3-4 Direct N20'!G228</f>
        <v>56.874300000000034</v>
      </c>
      <c r="H48" s="52">
        <f>'4.5.1.3-4 Direct N20'!H228</f>
        <v>53.392200000000017</v>
      </c>
      <c r="I48" s="52">
        <f>'4.5.1.3-4 Direct N20'!I228</f>
        <v>36.213840000000019</v>
      </c>
      <c r="J48" s="2" t="str">
        <f>'4.5.1.3-4 Direct N20'!J228</f>
        <v>kg N</v>
      </c>
      <c r="N48" s="57"/>
      <c r="O48" s="57" t="str">
        <f>'Input - Swine'!$D$87</f>
        <v>Pit storage</v>
      </c>
      <c r="P48" s="52">
        <f>'4.5.1.3-4 Direct N20'!P228</f>
        <v>53.392200000000017</v>
      </c>
      <c r="Q48" s="52">
        <f>'4.5.1.3-4 Direct N20'!Q228</f>
        <v>56.874300000000034</v>
      </c>
      <c r="R48" s="52">
        <f>'4.5.1.3-4 Direct N20'!R228</f>
        <v>53.392200000000017</v>
      </c>
      <c r="S48" s="52">
        <f>'4.5.1.3-4 Direct N20'!S228</f>
        <v>36.213840000000019</v>
      </c>
      <c r="T48" s="2" t="str">
        <f>'4.5.1.3-4 Direct N20'!T228</f>
        <v>kg N</v>
      </c>
    </row>
    <row r="49" spans="4:20" ht="20.100000000000001" customHeight="1" x14ac:dyDescent="0.25"/>
    <row r="50" spans="4:20" ht="20.100000000000001" customHeight="1" x14ac:dyDescent="0.25">
      <c r="D50" s="121" t="s">
        <v>367</v>
      </c>
    </row>
    <row r="51" spans="4:20" ht="20.100000000000001" customHeight="1" x14ac:dyDescent="0.25">
      <c r="D51" s="122" t="s">
        <v>368</v>
      </c>
    </row>
    <row r="52" spans="4:20" ht="20.100000000000001" customHeight="1" x14ac:dyDescent="0.25">
      <c r="D52" s="51" t="s">
        <v>169</v>
      </c>
      <c r="E52" s="51" t="s">
        <v>310</v>
      </c>
    </row>
    <row r="53" spans="4:20" ht="20.100000000000001" customHeight="1" x14ac:dyDescent="0.25">
      <c r="D53" s="57" t="str">
        <f>'Input - Swine'!$D$29</f>
        <v>Anaerobic lagoon</v>
      </c>
      <c r="E53" s="52" cm="1">
        <f t="array" ref="E53">Common_InputFunctions.Utility_LookupValueInTableNumber(D53, Table_SourceData_Swine_FracGASM[NIR reference],Table_SourceData_Swine_FracGASM[FracGASMmT])</f>
        <v>0.55000000000000004</v>
      </c>
    </row>
    <row r="54" spans="4:20" ht="20.100000000000001" customHeight="1" x14ac:dyDescent="0.25">
      <c r="D54" s="57" t="str">
        <f>'Input - Swine'!$D$30</f>
        <v>Drylot (feed pad)</v>
      </c>
      <c r="E54" s="52" cm="1">
        <f t="array" ref="E54">Common_InputFunctions.Utility_LookupValueInTableNumber(D54, Table_SourceData_Swine_FracGASM[NIR reference],Table_SourceData_Swine_FracGASM[FracGASMmT])</f>
        <v>0.3</v>
      </c>
    </row>
    <row r="55" spans="4:20" ht="20.100000000000001" customHeight="1" x14ac:dyDescent="0.25">
      <c r="D55" s="57" t="str">
        <f>'Input - Swine'!$D$31</f>
        <v>Digester / covered lagoons</v>
      </c>
      <c r="E55" s="52" cm="1">
        <f t="array" ref="E55">Common_InputFunctions.Utility_LookupValueInTableNumber(D55, Table_SourceData_Swine_FracGASM[NIR reference],Table_SourceData_Swine_FracGASM[FracGASMmT])</f>
        <v>0</v>
      </c>
    </row>
    <row r="56" spans="4:20" ht="20.100000000000001" customHeight="1" x14ac:dyDescent="0.25">
      <c r="D56" s="57" t="str">
        <f>'Input - Swine'!$D$32</f>
        <v>Deep litter</v>
      </c>
      <c r="E56" s="52" cm="1">
        <f t="array" ref="E56">Common_InputFunctions.Utility_LookupValueInTableNumber(D56, Table_SourceData_Swine_FracGASM[NIR reference],Table_SourceData_Swine_FracGASM[FracGASMmT])</f>
        <v>0.125</v>
      </c>
    </row>
    <row r="57" spans="4:20" ht="20.100000000000001" customHeight="1" x14ac:dyDescent="0.25">
      <c r="D57" s="57" t="str">
        <f>'Input - Swine'!$D$33</f>
        <v>Pit storage</v>
      </c>
      <c r="E57" s="52" cm="1">
        <f t="array" ref="E57">Common_InputFunctions.Utility_LookupValueInTableNumber(D57, Table_SourceData_Swine_FracGASM[NIR reference],Table_SourceData_Swine_FracGASM[FracGASMmT])</f>
        <v>0.25</v>
      </c>
    </row>
    <row r="58" spans="4:20" ht="20.100000000000001" customHeight="1" x14ac:dyDescent="0.25">
      <c r="D58" s="57" t="str">
        <f>'Input - Swine'!$D$34</f>
        <v>Solid storage</v>
      </c>
      <c r="E58" s="52" cm="1">
        <f t="array" ref="E58">Common_InputFunctions.Utility_LookupValueInTableNumber(D58, Table_SourceData_Swine_FracGASM[NIR reference],Table_SourceData_Swine_FracGASM[FracGASMmT])</f>
        <v>0.2</v>
      </c>
    </row>
    <row r="59" spans="4:20" ht="20.100000000000001" customHeight="1" x14ac:dyDescent="0.25"/>
    <row r="60" spans="4:20" ht="20.100000000000001" customHeight="1" x14ac:dyDescent="0.25">
      <c r="D60" s="121" t="s">
        <v>319</v>
      </c>
      <c r="N60" s="121" t="s">
        <v>319</v>
      </c>
    </row>
    <row r="61" spans="4:20" ht="20.100000000000001" customHeight="1" x14ac:dyDescent="0.25">
      <c r="D61" s="122" t="s">
        <v>320</v>
      </c>
      <c r="N61" s="122" t="s">
        <v>320</v>
      </c>
    </row>
    <row r="62" spans="4:20" ht="20.100000000000001" customHeight="1" x14ac:dyDescent="0.25">
      <c r="D62" s="51" t="s">
        <v>169</v>
      </c>
      <c r="E62" s="51" t="s">
        <v>206</v>
      </c>
      <c r="F62" s="51" t="s">
        <v>143</v>
      </c>
      <c r="G62" s="51" t="s">
        <v>144</v>
      </c>
      <c r="H62" s="51" t="s">
        <v>145</v>
      </c>
      <c r="I62" s="51" t="s">
        <v>263</v>
      </c>
      <c r="N62" s="51" t="s">
        <v>169</v>
      </c>
      <c r="O62" s="51" t="s">
        <v>206</v>
      </c>
      <c r="P62" s="51" t="s">
        <v>143</v>
      </c>
      <c r="Q62" s="51" t="s">
        <v>144</v>
      </c>
      <c r="R62" s="51" t="s">
        <v>145</v>
      </c>
      <c r="S62" s="51" t="s">
        <v>263</v>
      </c>
    </row>
    <row r="63" spans="4:20" ht="20.100000000000001" customHeight="1" x14ac:dyDescent="0.25">
      <c r="D63" s="57" t="str">
        <f>'Input - Swine'!$D$29</f>
        <v>Anaerobic lagoon</v>
      </c>
      <c r="E63" s="57" t="s">
        <v>211</v>
      </c>
      <c r="F63" s="52" cm="1">
        <f t="array" ref="F63">MMS_Swine_AtmosphericDeposition_Equations.VEERG_4_5_1_5__2_TotalNitrogenVolatilisedFromMMS(E19,_xlfn.XLOOKUP($D63,$D$53:$D$58,$E$53:$E$58))</f>
        <v>110.81399999999999</v>
      </c>
      <c r="G63" s="52" cm="1">
        <f t="array" ref="G63">MMS_Swine_AtmosphericDeposition_Equations.VEERG_4_5_1_5__2_TotalNitrogenVolatilisedFromMMS(F19,_xlfn.XLOOKUP($D63,$D$53:$D$58,$E$53:$E$58))</f>
        <v>118.04100000000003</v>
      </c>
      <c r="H63" s="52" cm="1">
        <f t="array" ref="H63">MMS_Swine_AtmosphericDeposition_Equations.VEERG_4_5_1_5__2_TotalNitrogenVolatilisedFromMMS(G19,_xlfn.XLOOKUP($D63,$D$53:$D$58,$E$53:$E$58))</f>
        <v>110.81399999999999</v>
      </c>
      <c r="I63" s="52" cm="1">
        <f t="array" ref="I63">MMS_Swine_AtmosphericDeposition_Equations.VEERG_4_5_1_5__2_TotalNitrogenVolatilisedFromMMS(H19,_xlfn.XLOOKUP($D63,$D$53:$D$58,$E$53:$E$58))</f>
        <v>75.160799999999995</v>
      </c>
      <c r="J63" s="2" t="str">
        <f>$E$11</f>
        <v>kg N</v>
      </c>
      <c r="N63" s="57" t="str">
        <f>'Input - Swine'!$D$29</f>
        <v>Anaerobic lagoon</v>
      </c>
      <c r="O63" s="57" t="s">
        <v>211</v>
      </c>
      <c r="P63" s="52" cm="1">
        <f t="array" ref="P63">MMS_Swine_AtmosphericDeposition_Equations.VEERG_4_5_1_5__2_TotalNitrogenVolatilisedFromMMS(O19,_xlfn.XLOOKUP($N63,$D$53:$D$58,$E$53:$E$58))</f>
        <v>110.81399999999999</v>
      </c>
      <c r="Q63" s="52" cm="1">
        <f t="array" ref="Q63">MMS_Swine_AtmosphericDeposition_Equations.VEERG_4_5_1_5__2_TotalNitrogenVolatilisedFromMMS(P19,_xlfn.XLOOKUP($N63,$D$53:$D$58,$E$53:$E$58))</f>
        <v>118.04100000000003</v>
      </c>
      <c r="R63" s="52" cm="1">
        <f t="array" ref="R63">MMS_Swine_AtmosphericDeposition_Equations.VEERG_4_5_1_5__2_TotalNitrogenVolatilisedFromMMS(Q19,_xlfn.XLOOKUP($N63,$D$53:$D$58,$E$53:$E$58))</f>
        <v>110.81399999999999</v>
      </c>
      <c r="S63" s="52" cm="1">
        <f t="array" ref="S63">MMS_Swine_AtmosphericDeposition_Equations.VEERG_4_5_1_5__2_TotalNitrogenVolatilisedFromMMS(R19,_xlfn.XLOOKUP($N63,$D$53:$D$58,$E$53:$E$58))</f>
        <v>75.160799999999995</v>
      </c>
      <c r="T63" s="2" t="str">
        <f>$E$11</f>
        <v>kg N</v>
      </c>
    </row>
    <row r="64" spans="4:20" ht="20.100000000000001" customHeight="1" x14ac:dyDescent="0.25">
      <c r="D64" s="57" t="str">
        <f>'Input - Swine'!$D$30</f>
        <v>Drylot (feed pad)</v>
      </c>
      <c r="E64" s="57" t="s">
        <v>211</v>
      </c>
      <c r="F64" s="52" cm="1">
        <f t="array" ref="F64">MMS_Swine_AtmosphericDeposition_Equations.VEERG_4_5_1_5__2_TotalNitrogenVolatilisedFromMMS(E20,_xlfn.XLOOKUP($D64,$D$53:$D$58,$E$53:$E$58))</f>
        <v>60.443999999999988</v>
      </c>
      <c r="G64" s="52" cm="1">
        <f t="array" ref="G64">MMS_Swine_AtmosphericDeposition_Equations.VEERG_4_5_1_5__2_TotalNitrogenVolatilisedFromMMS(F20,_xlfn.XLOOKUP($D64,$D$53:$D$58,$E$53:$E$58))</f>
        <v>64.38600000000001</v>
      </c>
      <c r="H64" s="52" cm="1">
        <f t="array" ref="H64">MMS_Swine_AtmosphericDeposition_Equations.VEERG_4_5_1_5__2_TotalNitrogenVolatilisedFromMMS(G20,_xlfn.XLOOKUP($D64,$D$53:$D$58,$E$53:$E$58))</f>
        <v>60.443999999999988</v>
      </c>
      <c r="I64" s="52" cm="1">
        <f t="array" ref="I64">MMS_Swine_AtmosphericDeposition_Equations.VEERG_4_5_1_5__2_TotalNitrogenVolatilisedFromMMS(H20,_xlfn.XLOOKUP($D64,$D$53:$D$58,$E$53:$E$58))</f>
        <v>40.996799999999993</v>
      </c>
      <c r="J64" s="2" t="str">
        <f t="shared" ref="J64:J88" si="0">$E$11</f>
        <v>kg N</v>
      </c>
      <c r="N64" s="57" t="str">
        <f>'Input - Swine'!$D$30</f>
        <v>Drylot (feed pad)</v>
      </c>
      <c r="O64" s="57" t="s">
        <v>211</v>
      </c>
      <c r="P64" s="52" cm="1">
        <f t="array" ref="P64">MMS_Swine_AtmosphericDeposition_Equations.VEERG_4_5_1_5__2_TotalNitrogenVolatilisedFromMMS(O20,_xlfn.XLOOKUP($N64,$D$53:$D$58,$E$53:$E$58))</f>
        <v>60.443999999999988</v>
      </c>
      <c r="Q64" s="52" cm="1">
        <f t="array" ref="Q64">MMS_Swine_AtmosphericDeposition_Equations.VEERG_4_5_1_5__2_TotalNitrogenVolatilisedFromMMS(P20,_xlfn.XLOOKUP($N64,$D$53:$D$58,$E$53:$E$58))</f>
        <v>64.38600000000001</v>
      </c>
      <c r="R64" s="52" cm="1">
        <f t="array" ref="R64">MMS_Swine_AtmosphericDeposition_Equations.VEERG_4_5_1_5__2_TotalNitrogenVolatilisedFromMMS(Q20,_xlfn.XLOOKUP($N64,$D$53:$D$58,$E$53:$E$58))</f>
        <v>60.443999999999988</v>
      </c>
      <c r="S64" s="52" cm="1">
        <f t="array" ref="S64">MMS_Swine_AtmosphericDeposition_Equations.VEERG_4_5_1_5__2_TotalNitrogenVolatilisedFromMMS(R20,_xlfn.XLOOKUP($N64,$D$53:$D$58,$E$53:$E$58))</f>
        <v>40.996799999999993</v>
      </c>
      <c r="T64" s="2" t="str">
        <f t="shared" ref="T64:T88" si="1">$E$11</f>
        <v>kg N</v>
      </c>
    </row>
    <row r="65" spans="4:20" ht="20.100000000000001" customHeight="1" x14ac:dyDescent="0.25">
      <c r="D65" s="57" t="str">
        <f>'Input - Swine'!$D$31</f>
        <v>Digester / covered lagoons</v>
      </c>
      <c r="E65" s="57" t="s">
        <v>211</v>
      </c>
      <c r="F65" s="52" cm="1">
        <f t="array" ref="F65">MMS_Swine_AtmosphericDeposition_Equations.VEERG_4_5_1_5__2_TotalNitrogenVolatilisedFromMMS(E21,_xlfn.XLOOKUP($D65,$D$53:$D$58,$E$53:$E$58))</f>
        <v>0</v>
      </c>
      <c r="G65" s="52" cm="1">
        <f t="array" ref="G65">MMS_Swine_AtmosphericDeposition_Equations.VEERG_4_5_1_5__2_TotalNitrogenVolatilisedFromMMS(F21,_xlfn.XLOOKUP($D65,$D$53:$D$58,$E$53:$E$58))</f>
        <v>0</v>
      </c>
      <c r="H65" s="52" cm="1">
        <f t="array" ref="H65">MMS_Swine_AtmosphericDeposition_Equations.VEERG_4_5_1_5__2_TotalNitrogenVolatilisedFromMMS(G21,_xlfn.XLOOKUP($D65,$D$53:$D$58,$E$53:$E$58))</f>
        <v>0</v>
      </c>
      <c r="I65" s="52" cm="1">
        <f t="array" ref="I65">MMS_Swine_AtmosphericDeposition_Equations.VEERG_4_5_1_5__2_TotalNitrogenVolatilisedFromMMS(H21,_xlfn.XLOOKUP($D65,$D$53:$D$58,$E$53:$E$58))</f>
        <v>0</v>
      </c>
      <c r="J65" s="2" t="str">
        <f t="shared" si="0"/>
        <v>kg N</v>
      </c>
      <c r="N65" s="57" t="str">
        <f>'Input - Swine'!$D$31</f>
        <v>Digester / covered lagoons</v>
      </c>
      <c r="O65" s="57" t="s">
        <v>211</v>
      </c>
      <c r="P65" s="52" cm="1">
        <f t="array" ref="P65">MMS_Swine_AtmosphericDeposition_Equations.VEERG_4_5_1_5__2_TotalNitrogenVolatilisedFromMMS(O21,_xlfn.XLOOKUP($N65,$D$53:$D$58,$E$53:$E$58))</f>
        <v>0</v>
      </c>
      <c r="Q65" s="52" cm="1">
        <f t="array" ref="Q65">MMS_Swine_AtmosphericDeposition_Equations.VEERG_4_5_1_5__2_TotalNitrogenVolatilisedFromMMS(P21,_xlfn.XLOOKUP($N65,$D$53:$D$58,$E$53:$E$58))</f>
        <v>0</v>
      </c>
      <c r="R65" s="52" cm="1">
        <f t="array" ref="R65">MMS_Swine_AtmosphericDeposition_Equations.VEERG_4_5_1_5__2_TotalNitrogenVolatilisedFromMMS(Q21,_xlfn.XLOOKUP($N65,$D$53:$D$58,$E$53:$E$58))</f>
        <v>0</v>
      </c>
      <c r="S65" s="52" cm="1">
        <f t="array" ref="S65">MMS_Swine_AtmosphericDeposition_Equations.VEERG_4_5_1_5__2_TotalNitrogenVolatilisedFromMMS(R21,_xlfn.XLOOKUP($N65,$D$53:$D$58,$E$53:$E$58))</f>
        <v>0</v>
      </c>
      <c r="T65" s="2" t="str">
        <f t="shared" si="1"/>
        <v>kg N</v>
      </c>
    </row>
    <row r="66" spans="4:20" ht="20.100000000000001" customHeight="1" x14ac:dyDescent="0.25">
      <c r="D66" s="57" t="str">
        <f>'Input - Swine'!$D$32</f>
        <v>Deep litter</v>
      </c>
      <c r="E66" s="57" t="s">
        <v>211</v>
      </c>
      <c r="F66" s="52" cm="1">
        <f t="array" ref="F66">MMS_Swine_AtmosphericDeposition_Equations.VEERG_4_5_1_5__2_TotalNitrogenVolatilisedFromMMS(E22,_xlfn.XLOOKUP($D66,$D$53:$D$58,$E$53:$E$58))</f>
        <v>25.184999999999995</v>
      </c>
      <c r="G66" s="52" cm="1">
        <f t="array" ref="G66">MMS_Swine_AtmosphericDeposition_Equations.VEERG_4_5_1_5__2_TotalNitrogenVolatilisedFromMMS(F22,_xlfn.XLOOKUP($D66,$D$53:$D$58,$E$53:$E$58))</f>
        <v>26.827500000000004</v>
      </c>
      <c r="H66" s="52" cm="1">
        <f t="array" ref="H66">MMS_Swine_AtmosphericDeposition_Equations.VEERG_4_5_1_5__2_TotalNitrogenVolatilisedFromMMS(G22,_xlfn.XLOOKUP($D66,$D$53:$D$58,$E$53:$E$58))</f>
        <v>25.184999999999995</v>
      </c>
      <c r="I66" s="52" cm="1">
        <f t="array" ref="I66">MMS_Swine_AtmosphericDeposition_Equations.VEERG_4_5_1_5__2_TotalNitrogenVolatilisedFromMMS(H22,_xlfn.XLOOKUP($D66,$D$53:$D$58,$E$53:$E$58))</f>
        <v>17.081999999999997</v>
      </c>
      <c r="J66" s="2" t="str">
        <f t="shared" si="0"/>
        <v>kg N</v>
      </c>
      <c r="N66" s="57" t="str">
        <f>'Input - Swine'!$D$32</f>
        <v>Deep litter</v>
      </c>
      <c r="O66" s="57" t="s">
        <v>211</v>
      </c>
      <c r="P66" s="52" cm="1">
        <f t="array" ref="P66">MMS_Swine_AtmosphericDeposition_Equations.VEERG_4_5_1_5__2_TotalNitrogenVolatilisedFromMMS(O22,_xlfn.XLOOKUP($N66,$D$53:$D$58,$E$53:$E$58))</f>
        <v>25.184999999999995</v>
      </c>
      <c r="Q66" s="52" cm="1">
        <f t="array" ref="Q66">MMS_Swine_AtmosphericDeposition_Equations.VEERG_4_5_1_5__2_TotalNitrogenVolatilisedFromMMS(P22,_xlfn.XLOOKUP($N66,$D$53:$D$58,$E$53:$E$58))</f>
        <v>26.827500000000004</v>
      </c>
      <c r="R66" s="52" cm="1">
        <f t="array" ref="R66">MMS_Swine_AtmosphericDeposition_Equations.VEERG_4_5_1_5__2_TotalNitrogenVolatilisedFromMMS(Q22,_xlfn.XLOOKUP($N66,$D$53:$D$58,$E$53:$E$58))</f>
        <v>25.184999999999995</v>
      </c>
      <c r="S66" s="52" cm="1">
        <f t="array" ref="S66">MMS_Swine_AtmosphericDeposition_Equations.VEERG_4_5_1_5__2_TotalNitrogenVolatilisedFromMMS(R22,_xlfn.XLOOKUP($N66,$D$53:$D$58,$E$53:$E$58))</f>
        <v>17.081999999999997</v>
      </c>
      <c r="T66" s="2" t="str">
        <f t="shared" si="1"/>
        <v>kg N</v>
      </c>
    </row>
    <row r="67" spans="4:20" ht="20.100000000000001" customHeight="1" x14ac:dyDescent="0.25">
      <c r="D67" s="57" t="str">
        <f>'Input - Swine'!$D$33</f>
        <v>Pit storage</v>
      </c>
      <c r="E67" s="57" t="s">
        <v>211</v>
      </c>
      <c r="F67" s="52" cm="1">
        <f t="array" ref="F67">MMS_Swine_AtmosphericDeposition_Equations.VEERG_4_5_1_5__2_TotalNitrogenVolatilisedFromMMS(E23,_xlfn.XLOOKUP($D67,$D$53:$D$58,$E$53:$E$58))</f>
        <v>50.36999999999999</v>
      </c>
      <c r="G67" s="52" cm="1">
        <f t="array" ref="G67">MMS_Swine_AtmosphericDeposition_Equations.VEERG_4_5_1_5__2_TotalNitrogenVolatilisedFromMMS(F23,_xlfn.XLOOKUP($D67,$D$53:$D$58,$E$53:$E$58))</f>
        <v>53.655000000000008</v>
      </c>
      <c r="H67" s="52" cm="1">
        <f t="array" ref="H67">MMS_Swine_AtmosphericDeposition_Equations.VEERG_4_5_1_5__2_TotalNitrogenVolatilisedFromMMS(G23,_xlfn.XLOOKUP($D67,$D$53:$D$58,$E$53:$E$58))</f>
        <v>50.36999999999999</v>
      </c>
      <c r="I67" s="52" cm="1">
        <f t="array" ref="I67">MMS_Swine_AtmosphericDeposition_Equations.VEERG_4_5_1_5__2_TotalNitrogenVolatilisedFromMMS(H23,_xlfn.XLOOKUP($D67,$D$53:$D$58,$E$53:$E$58))</f>
        <v>34.163999999999994</v>
      </c>
      <c r="J67" s="2" t="str">
        <f t="shared" si="0"/>
        <v>kg N</v>
      </c>
      <c r="N67" s="57" t="str">
        <f>'Input - Swine'!$D$33</f>
        <v>Pit storage</v>
      </c>
      <c r="O67" s="57" t="s">
        <v>211</v>
      </c>
      <c r="P67" s="52" cm="1">
        <f t="array" ref="P67">MMS_Swine_AtmosphericDeposition_Equations.VEERG_4_5_1_5__2_TotalNitrogenVolatilisedFromMMS(O23,_xlfn.XLOOKUP($N67,$D$53:$D$58,$E$53:$E$58))</f>
        <v>50.36999999999999</v>
      </c>
      <c r="Q67" s="52" cm="1">
        <f t="array" ref="Q67">MMS_Swine_AtmosphericDeposition_Equations.VEERG_4_5_1_5__2_TotalNitrogenVolatilisedFromMMS(P23,_xlfn.XLOOKUP($N67,$D$53:$D$58,$E$53:$E$58))</f>
        <v>53.655000000000008</v>
      </c>
      <c r="R67" s="52" cm="1">
        <f t="array" ref="R67">MMS_Swine_AtmosphericDeposition_Equations.VEERG_4_5_1_5__2_TotalNitrogenVolatilisedFromMMS(Q23,_xlfn.XLOOKUP($N67,$D$53:$D$58,$E$53:$E$58))</f>
        <v>50.36999999999999</v>
      </c>
      <c r="S67" s="52" cm="1">
        <f t="array" ref="S67">MMS_Swine_AtmosphericDeposition_Equations.VEERG_4_5_1_5__2_TotalNitrogenVolatilisedFromMMS(R23,_xlfn.XLOOKUP($N67,$D$53:$D$58,$E$53:$E$58))</f>
        <v>34.163999999999994</v>
      </c>
      <c r="T67" s="2" t="str">
        <f t="shared" si="1"/>
        <v>kg N</v>
      </c>
    </row>
    <row r="68" spans="4:20" ht="20.100000000000001" customHeight="1" x14ac:dyDescent="0.25">
      <c r="D68" s="57" t="str">
        <f>'Input - Swine'!$D$34</f>
        <v>Solid storage</v>
      </c>
      <c r="E68" s="57" t="s">
        <v>211</v>
      </c>
      <c r="F68" s="52" cm="1">
        <f t="array" ref="F68">MMS_Swine_AtmosphericDeposition_Equations.VEERG_4_5_1_5__2_TotalNitrogenVolatilisedFromMMS(E24,_xlfn.XLOOKUP($D68,$D$53:$D$58,$E$53:$E$58))</f>
        <v>134.32000000000002</v>
      </c>
      <c r="G68" s="52" cm="1">
        <f t="array" ref="G68">MMS_Swine_AtmosphericDeposition_Equations.VEERG_4_5_1_5__2_TotalNitrogenVolatilisedFromMMS(F24,_xlfn.XLOOKUP($D68,$D$53:$D$58,$E$53:$E$58))</f>
        <v>143.08000000000007</v>
      </c>
      <c r="H68" s="52" cm="1">
        <f t="array" ref="H68">MMS_Swine_AtmosphericDeposition_Equations.VEERG_4_5_1_5__2_TotalNitrogenVolatilisedFromMMS(G24,_xlfn.XLOOKUP($D68,$D$53:$D$58,$E$53:$E$58))</f>
        <v>134.32000000000002</v>
      </c>
      <c r="I68" s="52" cm="1">
        <f t="array" ref="I68">MMS_Swine_AtmosphericDeposition_Equations.VEERG_4_5_1_5__2_TotalNitrogenVolatilisedFromMMS(H24,_xlfn.XLOOKUP($D68,$D$53:$D$58,$E$53:$E$58))</f>
        <v>91.104000000000042</v>
      </c>
      <c r="J68" s="2" t="str">
        <f t="shared" si="0"/>
        <v>kg N</v>
      </c>
      <c r="N68" s="57" t="str">
        <f>'Input - Swine'!$D$34</f>
        <v>Solid storage</v>
      </c>
      <c r="O68" s="57" t="s">
        <v>211</v>
      </c>
      <c r="P68" s="52" cm="1">
        <f t="array" ref="P68">MMS_Swine_AtmosphericDeposition_Equations.VEERG_4_5_1_5__2_TotalNitrogenVolatilisedFromMMS(O24,_xlfn.XLOOKUP($N68,$D$53:$D$58,$E$53:$E$58))</f>
        <v>134.32000000000002</v>
      </c>
      <c r="Q68" s="52" cm="1">
        <f t="array" ref="Q68">MMS_Swine_AtmosphericDeposition_Equations.VEERG_4_5_1_5__2_TotalNitrogenVolatilisedFromMMS(P24,_xlfn.XLOOKUP($N68,$D$53:$D$58,$E$53:$E$58))</f>
        <v>143.08000000000007</v>
      </c>
      <c r="R68" s="52" cm="1">
        <f t="array" ref="R68">MMS_Swine_AtmosphericDeposition_Equations.VEERG_4_5_1_5__2_TotalNitrogenVolatilisedFromMMS(Q24,_xlfn.XLOOKUP($N68,$D$53:$D$58,$E$53:$E$58))</f>
        <v>134.32000000000002</v>
      </c>
      <c r="S68" s="52" cm="1">
        <f t="array" ref="S68">MMS_Swine_AtmosphericDeposition_Equations.VEERG_4_5_1_5__2_TotalNitrogenVolatilisedFromMMS(R24,_xlfn.XLOOKUP($N68,$D$53:$D$58,$E$53:$E$58))</f>
        <v>91.104000000000042</v>
      </c>
      <c r="T68" s="2" t="str">
        <f t="shared" si="1"/>
        <v>kg N</v>
      </c>
    </row>
    <row r="69" spans="4:20" ht="20.100000000000001" customHeight="1" x14ac:dyDescent="0.25">
      <c r="D69" s="57" t="str">
        <f>'Input - Swine'!$D$29</f>
        <v>Anaerobic lagoon</v>
      </c>
      <c r="E69" s="57" t="str">
        <f>'Input - Swine'!$D$48</f>
        <v>Digester / covered lagoons</v>
      </c>
      <c r="F69" s="52" cm="1">
        <f t="array" ref="F69">MMS_Swine_AtmosphericDeposition_Equations.VEERG_4_5_1_5__2_TotalNitrogenVolatilisedFromMMS(F29,_xlfn.XLOOKUP($E69,$D$53:$D$58,$E$53:$E$58))</f>
        <v>0</v>
      </c>
      <c r="G69" s="52" cm="1">
        <f t="array" ref="G69">MMS_Swine_AtmosphericDeposition_Equations.VEERG_4_5_1_5__2_TotalNitrogenVolatilisedFromMMS(G29,_xlfn.XLOOKUP($E69,$D$53:$D$58,$E$53:$E$58))</f>
        <v>0</v>
      </c>
      <c r="H69" s="52" cm="1">
        <f t="array" ref="H69">MMS_Swine_AtmosphericDeposition_Equations.VEERG_4_5_1_5__2_TotalNitrogenVolatilisedFromMMS(H29,_xlfn.XLOOKUP($E69,$D$53:$D$58,$E$53:$E$58))</f>
        <v>0</v>
      </c>
      <c r="I69" s="52" cm="1">
        <f t="array" ref="I69">MMS_Swine_AtmosphericDeposition_Equations.VEERG_4_5_1_5__2_TotalNitrogenVolatilisedFromMMS(I29,_xlfn.XLOOKUP($E69,$D$53:$D$58,$E$53:$E$58))</f>
        <v>0</v>
      </c>
      <c r="J69" s="2" t="str">
        <f t="shared" si="0"/>
        <v>kg N</v>
      </c>
      <c r="N69" s="57" t="str">
        <f>'Input - Swine'!$D$29</f>
        <v>Anaerobic lagoon</v>
      </c>
      <c r="O69" s="57" t="str">
        <f>'Input - Swine'!$D$48</f>
        <v>Digester / covered lagoons</v>
      </c>
      <c r="P69" s="52" cm="1">
        <f t="array" ref="P69">MMS_Swine_AtmosphericDeposition_Equations.VEERG_4_5_1_5__2_TotalNitrogenVolatilisedFromMMS(P29,_xlfn.XLOOKUP($O69,$D$53:$D$58,$E$53:$E$58))</f>
        <v>0</v>
      </c>
      <c r="Q69" s="52" cm="1">
        <f t="array" ref="Q69">MMS_Swine_AtmosphericDeposition_Equations.VEERG_4_5_1_5__2_TotalNitrogenVolatilisedFromMMS(Q29,_xlfn.XLOOKUP($O69,$D$53:$D$58,$E$53:$E$58))</f>
        <v>0</v>
      </c>
      <c r="R69" s="52" cm="1">
        <f t="array" ref="R69">MMS_Swine_AtmosphericDeposition_Equations.VEERG_4_5_1_5__2_TotalNitrogenVolatilisedFromMMS(R29,_xlfn.XLOOKUP($O69,$D$53:$D$58,$E$53:$E$58))</f>
        <v>0</v>
      </c>
      <c r="S69" s="52" cm="1">
        <f t="array" ref="S69">MMS_Swine_AtmosphericDeposition_Equations.VEERG_4_5_1_5__2_TotalNitrogenVolatilisedFromMMS(S29,_xlfn.XLOOKUP($O69,$D$53:$D$58,$E$53:$E$58))</f>
        <v>0</v>
      </c>
      <c r="T69" s="2" t="str">
        <f t="shared" si="1"/>
        <v>kg N</v>
      </c>
    </row>
    <row r="70" spans="4:20" ht="20.100000000000001" customHeight="1" x14ac:dyDescent="0.25">
      <c r="D70" s="57"/>
      <c r="E70" s="57" t="str">
        <f>'Input - Swine'!$D$49</f>
        <v>Deep litter</v>
      </c>
      <c r="F70" s="52" cm="1">
        <f t="array" ref="F70">MMS_Swine_AtmosphericDeposition_Equations.VEERG_4_5_1_5__2_TotalNitrogenVolatilisedFromMMS(F30,_xlfn.XLOOKUP($E70,$D$53:$D$58,$E$53:$E$58))</f>
        <v>2.2666499999999994</v>
      </c>
      <c r="G70" s="52" cm="1">
        <f t="array" ref="G70">MMS_Swine_AtmosphericDeposition_Equations.VEERG_4_5_1_5__2_TotalNitrogenVolatilisedFromMMS(G30,_xlfn.XLOOKUP($E70,$D$53:$D$58,$E$53:$E$58))</f>
        <v>3.0180937500000002</v>
      </c>
      <c r="H70" s="52" cm="1">
        <f t="array" ref="H70">MMS_Swine_AtmosphericDeposition_Equations.VEERG_4_5_1_5__2_TotalNitrogenVolatilisedFromMMS(H30,_xlfn.XLOOKUP($E70,$D$53:$D$58,$E$53:$E$58))</f>
        <v>2.833312499999999</v>
      </c>
      <c r="I70" s="52" cm="1">
        <f t="array" ref="I70">MMS_Swine_AtmosphericDeposition_Equations.VEERG_4_5_1_5__2_TotalNitrogenVolatilisedFromMMS(I30,_xlfn.XLOOKUP($E70,$D$53:$D$58,$E$53:$E$58))</f>
        <v>1.9217249999999995</v>
      </c>
      <c r="J70" s="2" t="str">
        <f t="shared" si="0"/>
        <v>kg N</v>
      </c>
      <c r="N70" s="57"/>
      <c r="O70" s="57" t="str">
        <f>'Input - Swine'!$D$49</f>
        <v>Deep litter</v>
      </c>
      <c r="P70" s="52" cm="1">
        <f t="array" ref="P70">MMS_Swine_AtmosphericDeposition_Equations.VEERG_4_5_1_5__2_TotalNitrogenVolatilisedFromMMS(P30,_xlfn.XLOOKUP($O70,$D$53:$D$58,$E$53:$E$58))</f>
        <v>2.2666499999999994</v>
      </c>
      <c r="Q70" s="52" cm="1">
        <f t="array" ref="Q70">MMS_Swine_AtmosphericDeposition_Equations.VEERG_4_5_1_5__2_TotalNitrogenVolatilisedFromMMS(Q30,_xlfn.XLOOKUP($O70,$D$53:$D$58,$E$53:$E$58))</f>
        <v>3.0180937500000002</v>
      </c>
      <c r="R70" s="52" cm="1">
        <f t="array" ref="R70">MMS_Swine_AtmosphericDeposition_Equations.VEERG_4_5_1_5__2_TotalNitrogenVolatilisedFromMMS(R30,_xlfn.XLOOKUP($O70,$D$53:$D$58,$E$53:$E$58))</f>
        <v>2.833312499999999</v>
      </c>
      <c r="S70" s="52" cm="1">
        <f t="array" ref="S70">MMS_Swine_AtmosphericDeposition_Equations.VEERG_4_5_1_5__2_TotalNitrogenVolatilisedFromMMS(S30,_xlfn.XLOOKUP($O70,$D$53:$D$58,$E$53:$E$58))</f>
        <v>1.9217249999999995</v>
      </c>
      <c r="T70" s="2" t="str">
        <f t="shared" si="1"/>
        <v>kg N</v>
      </c>
    </row>
    <row r="71" spans="4:20" ht="20.100000000000001" customHeight="1" x14ac:dyDescent="0.25">
      <c r="D71" s="57"/>
      <c r="E71" s="57" t="str">
        <f>'Input - Swine'!$D$50</f>
        <v>Pit storage</v>
      </c>
      <c r="F71" s="52" cm="1">
        <f t="array" ref="F71">MMS_Swine_AtmosphericDeposition_Equations.VEERG_4_5_1_5__2_TotalNitrogenVolatilisedFromMMS(F31,_xlfn.XLOOKUP($E71,$D$53:$D$58,$E$53:$E$58))</f>
        <v>4.5332999999999988</v>
      </c>
      <c r="G71" s="52" cm="1">
        <f t="array" ref="G71">MMS_Swine_AtmosphericDeposition_Equations.VEERG_4_5_1_5__2_TotalNitrogenVolatilisedFromMMS(G31,_xlfn.XLOOKUP($E71,$D$53:$D$58,$E$53:$E$58))</f>
        <v>6.0361875000000005</v>
      </c>
      <c r="H71" s="52" cm="1">
        <f t="array" ref="H71">MMS_Swine_AtmosphericDeposition_Equations.VEERG_4_5_1_5__2_TotalNitrogenVolatilisedFromMMS(H31,_xlfn.XLOOKUP($E71,$D$53:$D$58,$E$53:$E$58))</f>
        <v>5.666624999999998</v>
      </c>
      <c r="I71" s="52" cm="1">
        <f t="array" ref="I71">MMS_Swine_AtmosphericDeposition_Equations.VEERG_4_5_1_5__2_TotalNitrogenVolatilisedFromMMS(I31,_xlfn.XLOOKUP($E71,$D$53:$D$58,$E$53:$E$58))</f>
        <v>3.8434499999999989</v>
      </c>
      <c r="J71" s="2" t="str">
        <f t="shared" si="0"/>
        <v>kg N</v>
      </c>
      <c r="N71" s="57"/>
      <c r="O71" s="57" t="str">
        <f>'Input - Swine'!$D$50</f>
        <v>Pit storage</v>
      </c>
      <c r="P71" s="52" cm="1">
        <f t="array" ref="P71">MMS_Swine_AtmosphericDeposition_Equations.VEERG_4_5_1_5__2_TotalNitrogenVolatilisedFromMMS(P31,_xlfn.XLOOKUP($O71,$D$53:$D$58,$E$53:$E$58))</f>
        <v>4.5332999999999988</v>
      </c>
      <c r="Q71" s="52" cm="1">
        <f t="array" ref="Q71">MMS_Swine_AtmosphericDeposition_Equations.VEERG_4_5_1_5__2_TotalNitrogenVolatilisedFromMMS(Q31,_xlfn.XLOOKUP($O71,$D$53:$D$58,$E$53:$E$58))</f>
        <v>6.0361875000000005</v>
      </c>
      <c r="R71" s="52" cm="1">
        <f t="array" ref="R71">MMS_Swine_AtmosphericDeposition_Equations.VEERG_4_5_1_5__2_TotalNitrogenVolatilisedFromMMS(R31,_xlfn.XLOOKUP($O71,$D$53:$D$58,$E$53:$E$58))</f>
        <v>5.666624999999998</v>
      </c>
      <c r="S71" s="52" cm="1">
        <f t="array" ref="S71">MMS_Swine_AtmosphericDeposition_Equations.VEERG_4_5_1_5__2_TotalNitrogenVolatilisedFromMMS(S31,_xlfn.XLOOKUP($O71,$D$53:$D$58,$E$53:$E$58))</f>
        <v>3.8434499999999989</v>
      </c>
      <c r="T71" s="2" t="str">
        <f t="shared" si="1"/>
        <v>kg N</v>
      </c>
    </row>
    <row r="72" spans="4:20" ht="20.100000000000001" customHeight="1" x14ac:dyDescent="0.25">
      <c r="D72" s="57" t="str">
        <f>'Input - Swine'!$D$30</f>
        <v>Drylot (feed pad)</v>
      </c>
      <c r="E72" s="57" t="str">
        <f>'Input - Swine'!$D$55</f>
        <v>Anaerobic lagoon</v>
      </c>
      <c r="F72" s="52" cm="1">
        <f t="array" ref="F72">MMS_Swine_AtmosphericDeposition_Equations.VEERG_4_5_1_5__2_TotalNitrogenVolatilisedFromMMS(F32,_xlfn.XLOOKUP($E72,$D$53:$D$58,$E$53:$E$58))</f>
        <v>15.070703999999997</v>
      </c>
      <c r="G72" s="52" cm="1">
        <f t="array" ref="G72">MMS_Swine_AtmosphericDeposition_Equations.VEERG_4_5_1_5__2_TotalNitrogenVolatilisedFromMMS(G32,_xlfn.XLOOKUP($E72,$D$53:$D$58,$E$53:$E$58))</f>
        <v>20.066970000000005</v>
      </c>
      <c r="H72" s="52" cm="1">
        <f t="array" ref="H72">MMS_Swine_AtmosphericDeposition_Equations.VEERG_4_5_1_5__2_TotalNitrogenVolatilisedFromMMS(H32,_xlfn.XLOOKUP($E72,$D$53:$D$58,$E$53:$E$58))</f>
        <v>18.838379999999997</v>
      </c>
      <c r="I72" s="52" cm="1">
        <f t="array" ref="I72">MMS_Swine_AtmosphericDeposition_Equations.VEERG_4_5_1_5__2_TotalNitrogenVolatilisedFromMMS(I32,_xlfn.XLOOKUP($E72,$D$53:$D$58,$E$53:$E$58))</f>
        <v>12.777335999999996</v>
      </c>
      <c r="J72" s="2" t="str">
        <f t="shared" si="0"/>
        <v>kg N</v>
      </c>
      <c r="N72" s="57" t="str">
        <f>'Input - Swine'!$D$30</f>
        <v>Drylot (feed pad)</v>
      </c>
      <c r="O72" s="57" t="str">
        <f>'Input - Swine'!$D$55</f>
        <v>Anaerobic lagoon</v>
      </c>
      <c r="P72" s="52" cm="1">
        <f t="array" ref="P72">MMS_Swine_AtmosphericDeposition_Equations.VEERG_4_5_1_5__2_TotalNitrogenVolatilisedFromMMS(P32,_xlfn.XLOOKUP($O72,$D$53:$D$58,$E$53:$E$58))</f>
        <v>15.070703999999997</v>
      </c>
      <c r="Q72" s="52" cm="1">
        <f t="array" ref="Q72">MMS_Swine_AtmosphericDeposition_Equations.VEERG_4_5_1_5__2_TotalNitrogenVolatilisedFromMMS(Q32,_xlfn.XLOOKUP($O72,$D$53:$D$58,$E$53:$E$58))</f>
        <v>20.066970000000005</v>
      </c>
      <c r="R72" s="52" cm="1">
        <f t="array" ref="R72">MMS_Swine_AtmosphericDeposition_Equations.VEERG_4_5_1_5__2_TotalNitrogenVolatilisedFromMMS(R32,_xlfn.XLOOKUP($O72,$D$53:$D$58,$E$53:$E$58))</f>
        <v>18.838379999999997</v>
      </c>
      <c r="S72" s="52" cm="1">
        <f t="array" ref="S72">MMS_Swine_AtmosphericDeposition_Equations.VEERG_4_5_1_5__2_TotalNitrogenVolatilisedFromMMS(S32,_xlfn.XLOOKUP($O72,$D$53:$D$58,$E$53:$E$58))</f>
        <v>12.777335999999996</v>
      </c>
      <c r="T72" s="2" t="str">
        <f t="shared" si="1"/>
        <v>kg N</v>
      </c>
    </row>
    <row r="73" spans="4:20" ht="20.100000000000001" customHeight="1" x14ac:dyDescent="0.25">
      <c r="D73" s="57"/>
      <c r="E73" s="57" t="str">
        <f>'Input - Swine'!$D$56</f>
        <v>Digester / covered lagoons</v>
      </c>
      <c r="F73" s="52" cm="1">
        <f t="array" ref="F73">MMS_Swine_AtmosphericDeposition_Equations.VEERG_4_5_1_5__2_TotalNitrogenVolatilisedFromMMS(F33,_xlfn.XLOOKUP($E73,$D$53:$D$58,$E$53:$E$58))</f>
        <v>0</v>
      </c>
      <c r="G73" s="52" cm="1">
        <f t="array" ref="G73">MMS_Swine_AtmosphericDeposition_Equations.VEERG_4_5_1_5__2_TotalNitrogenVolatilisedFromMMS(G33,_xlfn.XLOOKUP($E73,$D$53:$D$58,$E$53:$E$58))</f>
        <v>0</v>
      </c>
      <c r="H73" s="52" cm="1">
        <f t="array" ref="H73">MMS_Swine_AtmosphericDeposition_Equations.VEERG_4_5_1_5__2_TotalNitrogenVolatilisedFromMMS(H33,_xlfn.XLOOKUP($E73,$D$53:$D$58,$E$53:$E$58))</f>
        <v>0</v>
      </c>
      <c r="I73" s="52" cm="1">
        <f t="array" ref="I73">MMS_Swine_AtmosphericDeposition_Equations.VEERG_4_5_1_5__2_TotalNitrogenVolatilisedFromMMS(I33,_xlfn.XLOOKUP($E73,$D$53:$D$58,$E$53:$E$58))</f>
        <v>0</v>
      </c>
      <c r="J73" s="2" t="str">
        <f t="shared" si="0"/>
        <v>kg N</v>
      </c>
      <c r="N73" s="57"/>
      <c r="O73" s="57" t="str">
        <f>'Input - Swine'!$D$56</f>
        <v>Digester / covered lagoons</v>
      </c>
      <c r="P73" s="52" cm="1">
        <f t="array" ref="P73">MMS_Swine_AtmosphericDeposition_Equations.VEERG_4_5_1_5__2_TotalNitrogenVolatilisedFromMMS(P33,_xlfn.XLOOKUP($O73,$D$53:$D$58,$E$53:$E$58))</f>
        <v>0</v>
      </c>
      <c r="Q73" s="52" cm="1">
        <f t="array" ref="Q73">MMS_Swine_AtmosphericDeposition_Equations.VEERG_4_5_1_5__2_TotalNitrogenVolatilisedFromMMS(Q33,_xlfn.XLOOKUP($O73,$D$53:$D$58,$E$53:$E$58))</f>
        <v>0</v>
      </c>
      <c r="R73" s="52" cm="1">
        <f t="array" ref="R73">MMS_Swine_AtmosphericDeposition_Equations.VEERG_4_5_1_5__2_TotalNitrogenVolatilisedFromMMS(R33,_xlfn.XLOOKUP($O73,$D$53:$D$58,$E$53:$E$58))</f>
        <v>0</v>
      </c>
      <c r="S73" s="52" cm="1">
        <f t="array" ref="S73">MMS_Swine_AtmosphericDeposition_Equations.VEERG_4_5_1_5__2_TotalNitrogenVolatilisedFromMMS(S33,_xlfn.XLOOKUP($O73,$D$53:$D$58,$E$53:$E$58))</f>
        <v>0</v>
      </c>
      <c r="T73" s="2" t="str">
        <f t="shared" si="1"/>
        <v>kg N</v>
      </c>
    </row>
    <row r="74" spans="4:20" ht="20.100000000000001" customHeight="1" x14ac:dyDescent="0.25">
      <c r="D74" s="57"/>
      <c r="E74" s="57" t="str">
        <f>'Input - Swine'!$D$57</f>
        <v>Deep litter</v>
      </c>
      <c r="F74" s="52" cm="1">
        <f t="array" ref="F74">MMS_Swine_AtmosphericDeposition_Equations.VEERG_4_5_1_5__2_TotalNitrogenVolatilisedFromMMS(F34,_xlfn.XLOOKUP($E74,$D$53:$D$58,$E$53:$E$58))</f>
        <v>3.4251599999999991</v>
      </c>
      <c r="G74" s="52" cm="1">
        <f t="array" ref="G74">MMS_Swine_AtmosphericDeposition_Equations.VEERG_4_5_1_5__2_TotalNitrogenVolatilisedFromMMS(G34,_xlfn.XLOOKUP($E74,$D$53:$D$58,$E$53:$E$58))</f>
        <v>4.5606750000000007</v>
      </c>
      <c r="H74" s="52" cm="1">
        <f t="array" ref="H74">MMS_Swine_AtmosphericDeposition_Equations.VEERG_4_5_1_5__2_TotalNitrogenVolatilisedFromMMS(H34,_xlfn.XLOOKUP($E74,$D$53:$D$58,$E$53:$E$58))</f>
        <v>4.2814499999999986</v>
      </c>
      <c r="I74" s="52" cm="1">
        <f t="array" ref="I74">MMS_Swine_AtmosphericDeposition_Equations.VEERG_4_5_1_5__2_TotalNitrogenVolatilisedFromMMS(I34,_xlfn.XLOOKUP($E74,$D$53:$D$58,$E$53:$E$58))</f>
        <v>2.9039399999999991</v>
      </c>
      <c r="J74" s="2" t="str">
        <f t="shared" si="0"/>
        <v>kg N</v>
      </c>
      <c r="N74" s="57"/>
      <c r="O74" s="57" t="str">
        <f>'Input - Swine'!$D$57</f>
        <v>Deep litter</v>
      </c>
      <c r="P74" s="52" cm="1">
        <f t="array" ref="P74">MMS_Swine_AtmosphericDeposition_Equations.VEERG_4_5_1_5__2_TotalNitrogenVolatilisedFromMMS(P34,_xlfn.XLOOKUP($O74,$D$53:$D$58,$E$53:$E$58))</f>
        <v>3.4251599999999991</v>
      </c>
      <c r="Q74" s="52" cm="1">
        <f t="array" ref="Q74">MMS_Swine_AtmosphericDeposition_Equations.VEERG_4_5_1_5__2_TotalNitrogenVolatilisedFromMMS(Q34,_xlfn.XLOOKUP($O74,$D$53:$D$58,$E$53:$E$58))</f>
        <v>4.5606750000000007</v>
      </c>
      <c r="R74" s="52" cm="1">
        <f t="array" ref="R74">MMS_Swine_AtmosphericDeposition_Equations.VEERG_4_5_1_5__2_TotalNitrogenVolatilisedFromMMS(R34,_xlfn.XLOOKUP($O74,$D$53:$D$58,$E$53:$E$58))</f>
        <v>4.2814499999999986</v>
      </c>
      <c r="S74" s="52" cm="1">
        <f t="array" ref="S74">MMS_Swine_AtmosphericDeposition_Equations.VEERG_4_5_1_5__2_TotalNitrogenVolatilisedFromMMS(S34,_xlfn.XLOOKUP($O74,$D$53:$D$58,$E$53:$E$58))</f>
        <v>2.9039399999999991</v>
      </c>
      <c r="T74" s="2" t="str">
        <f t="shared" si="1"/>
        <v>kg N</v>
      </c>
    </row>
    <row r="75" spans="4:20" ht="20.100000000000001" customHeight="1" x14ac:dyDescent="0.25">
      <c r="D75" s="57"/>
      <c r="E75" s="57" t="str">
        <f>'Input - Swine'!$D$58</f>
        <v>Pit storage</v>
      </c>
      <c r="F75" s="52" cm="1">
        <f t="array" ref="F75">MMS_Swine_AtmosphericDeposition_Equations.VEERG_4_5_1_5__2_TotalNitrogenVolatilisedFromMMS(F35,_xlfn.XLOOKUP($E75,$D$53:$D$58,$E$53:$E$58))</f>
        <v>6.8503199999999982</v>
      </c>
      <c r="G75" s="52" cm="1">
        <f t="array" ref="G75">MMS_Swine_AtmosphericDeposition_Equations.VEERG_4_5_1_5__2_TotalNitrogenVolatilisedFromMMS(G35,_xlfn.XLOOKUP($E75,$D$53:$D$58,$E$53:$E$58))</f>
        <v>9.1213500000000014</v>
      </c>
      <c r="H75" s="52" cm="1">
        <f t="array" ref="H75">MMS_Swine_AtmosphericDeposition_Equations.VEERG_4_5_1_5__2_TotalNitrogenVolatilisedFromMMS(H35,_xlfn.XLOOKUP($E75,$D$53:$D$58,$E$53:$E$58))</f>
        <v>8.5628999999999973</v>
      </c>
      <c r="I75" s="52" cm="1">
        <f t="array" ref="I75">MMS_Swine_AtmosphericDeposition_Equations.VEERG_4_5_1_5__2_TotalNitrogenVolatilisedFromMMS(I35,_xlfn.XLOOKUP($E75,$D$53:$D$58,$E$53:$E$58))</f>
        <v>5.8078799999999982</v>
      </c>
      <c r="J75" s="2" t="str">
        <f t="shared" si="0"/>
        <v>kg N</v>
      </c>
      <c r="N75" s="57"/>
      <c r="O75" s="57" t="str">
        <f>'Input - Swine'!$D$58</f>
        <v>Pit storage</v>
      </c>
      <c r="P75" s="52" cm="1">
        <f t="array" ref="P75">MMS_Swine_AtmosphericDeposition_Equations.VEERG_4_5_1_5__2_TotalNitrogenVolatilisedFromMMS(P35,_xlfn.XLOOKUP($O75,$D$53:$D$58,$E$53:$E$58))</f>
        <v>6.8503199999999982</v>
      </c>
      <c r="Q75" s="52" cm="1">
        <f t="array" ref="Q75">MMS_Swine_AtmosphericDeposition_Equations.VEERG_4_5_1_5__2_TotalNitrogenVolatilisedFromMMS(Q35,_xlfn.XLOOKUP($O75,$D$53:$D$58,$E$53:$E$58))</f>
        <v>9.1213500000000014</v>
      </c>
      <c r="R75" s="52" cm="1">
        <f t="array" ref="R75">MMS_Swine_AtmosphericDeposition_Equations.VEERG_4_5_1_5__2_TotalNitrogenVolatilisedFromMMS(R35,_xlfn.XLOOKUP($O75,$D$53:$D$58,$E$53:$E$58))</f>
        <v>8.5628999999999973</v>
      </c>
      <c r="S75" s="52" cm="1">
        <f t="array" ref="S75">MMS_Swine_AtmosphericDeposition_Equations.VEERG_4_5_1_5__2_TotalNitrogenVolatilisedFromMMS(S35,_xlfn.XLOOKUP($O75,$D$53:$D$58,$E$53:$E$58))</f>
        <v>5.8078799999999982</v>
      </c>
      <c r="T75" s="2" t="str">
        <f t="shared" si="1"/>
        <v>kg N</v>
      </c>
    </row>
    <row r="76" spans="4:20" ht="20.100000000000001" customHeight="1" x14ac:dyDescent="0.25">
      <c r="D76" s="57" t="str">
        <f>'Input - Swine'!$D$31</f>
        <v>Digester / covered lagoons</v>
      </c>
      <c r="E76" s="57" t="str">
        <f>'Input - Swine'!$D$63</f>
        <v>Anaerobic lagoon</v>
      </c>
      <c r="F76" s="52" cm="1">
        <f t="array" ref="F76">MMS_Swine_AtmosphericDeposition_Equations.VEERG_4_5_1_5__2_TotalNitrogenVolatilisedFromMMS(F36,_xlfn.XLOOKUP($E76,$D$53:$D$58,$E$53:$E$58))</f>
        <v>22.162799999999997</v>
      </c>
      <c r="G76" s="52" cm="1">
        <f t="array" ref="G76">MMS_Swine_AtmosphericDeposition_Equations.VEERG_4_5_1_5__2_TotalNitrogenVolatilisedFromMMS(G36,_xlfn.XLOOKUP($E76,$D$53:$D$58,$E$53:$E$58))</f>
        <v>29.510250000000006</v>
      </c>
      <c r="H76" s="52" cm="1">
        <f t="array" ref="H76">MMS_Swine_AtmosphericDeposition_Equations.VEERG_4_5_1_5__2_TotalNitrogenVolatilisedFromMMS(H36,_xlfn.XLOOKUP($E76,$D$53:$D$58,$E$53:$E$58))</f>
        <v>27.703499999999998</v>
      </c>
      <c r="I76" s="52" cm="1">
        <f t="array" ref="I76">MMS_Swine_AtmosphericDeposition_Equations.VEERG_4_5_1_5__2_TotalNitrogenVolatilisedFromMMS(I36,_xlfn.XLOOKUP($E76,$D$53:$D$58,$E$53:$E$58))</f>
        <v>18.790199999999999</v>
      </c>
      <c r="J76" s="2" t="str">
        <f t="shared" si="0"/>
        <v>kg N</v>
      </c>
      <c r="N76" s="57" t="str">
        <f>'Input - Swine'!$D$31</f>
        <v>Digester / covered lagoons</v>
      </c>
      <c r="O76" s="57" t="str">
        <f>'Input - Swine'!$D$63</f>
        <v>Anaerobic lagoon</v>
      </c>
      <c r="P76" s="52" cm="1">
        <f t="array" ref="P76">MMS_Swine_AtmosphericDeposition_Equations.VEERG_4_5_1_5__2_TotalNitrogenVolatilisedFromMMS(P36,_xlfn.XLOOKUP($O76,$D$53:$D$58,$E$53:$E$58))</f>
        <v>22.162799999999997</v>
      </c>
      <c r="Q76" s="52" cm="1">
        <f t="array" ref="Q76">MMS_Swine_AtmosphericDeposition_Equations.VEERG_4_5_1_5__2_TotalNitrogenVolatilisedFromMMS(Q36,_xlfn.XLOOKUP($O76,$D$53:$D$58,$E$53:$E$58))</f>
        <v>29.510250000000006</v>
      </c>
      <c r="R76" s="52" cm="1">
        <f t="array" ref="R76">MMS_Swine_AtmosphericDeposition_Equations.VEERG_4_5_1_5__2_TotalNitrogenVolatilisedFromMMS(R36,_xlfn.XLOOKUP($O76,$D$53:$D$58,$E$53:$E$58))</f>
        <v>27.703499999999998</v>
      </c>
      <c r="S76" s="52" cm="1">
        <f t="array" ref="S76">MMS_Swine_AtmosphericDeposition_Equations.VEERG_4_5_1_5__2_TotalNitrogenVolatilisedFromMMS(S36,_xlfn.XLOOKUP($O76,$D$53:$D$58,$E$53:$E$58))</f>
        <v>18.790199999999999</v>
      </c>
      <c r="T76" s="2" t="str">
        <f t="shared" si="1"/>
        <v>kg N</v>
      </c>
    </row>
    <row r="77" spans="4:20" ht="20.100000000000001" customHeight="1" x14ac:dyDescent="0.25">
      <c r="D77" s="57"/>
      <c r="E77" s="57" t="str">
        <f>'Input - Swine'!$D$64</f>
        <v>Deep litter</v>
      </c>
      <c r="F77" s="52" cm="1">
        <f t="array" ref="F77">MMS_Swine_AtmosphericDeposition_Equations.VEERG_4_5_1_5__2_TotalNitrogenVolatilisedFromMMS(F37,_xlfn.XLOOKUP($E77,$D$53:$D$58,$E$53:$E$58))</f>
        <v>5.036999999999999</v>
      </c>
      <c r="G77" s="52" cm="1">
        <f t="array" ref="G77">MMS_Swine_AtmosphericDeposition_Equations.VEERG_4_5_1_5__2_TotalNitrogenVolatilisedFromMMS(G37,_xlfn.XLOOKUP($E77,$D$53:$D$58,$E$53:$E$58))</f>
        <v>6.706875000000001</v>
      </c>
      <c r="H77" s="52" cm="1">
        <f t="array" ref="H77">MMS_Swine_AtmosphericDeposition_Equations.VEERG_4_5_1_5__2_TotalNitrogenVolatilisedFromMMS(H37,_xlfn.XLOOKUP($E77,$D$53:$D$58,$E$53:$E$58))</f>
        <v>6.2962499999999988</v>
      </c>
      <c r="I77" s="52" cm="1">
        <f t="array" ref="I77">MMS_Swine_AtmosphericDeposition_Equations.VEERG_4_5_1_5__2_TotalNitrogenVolatilisedFromMMS(I37,_xlfn.XLOOKUP($E77,$D$53:$D$58,$E$53:$E$58))</f>
        <v>4.2704999999999993</v>
      </c>
      <c r="J77" s="2" t="str">
        <f t="shared" si="0"/>
        <v>kg N</v>
      </c>
      <c r="N77" s="57"/>
      <c r="O77" s="57" t="str">
        <f>'Input - Swine'!$D$64</f>
        <v>Deep litter</v>
      </c>
      <c r="P77" s="52" cm="1">
        <f t="array" ref="P77">MMS_Swine_AtmosphericDeposition_Equations.VEERG_4_5_1_5__2_TotalNitrogenVolatilisedFromMMS(P37,_xlfn.XLOOKUP($O77,$D$53:$D$58,$E$53:$E$58))</f>
        <v>5.036999999999999</v>
      </c>
      <c r="Q77" s="52" cm="1">
        <f t="array" ref="Q77">MMS_Swine_AtmosphericDeposition_Equations.VEERG_4_5_1_5__2_TotalNitrogenVolatilisedFromMMS(Q37,_xlfn.XLOOKUP($O77,$D$53:$D$58,$E$53:$E$58))</f>
        <v>6.706875000000001</v>
      </c>
      <c r="R77" s="52" cm="1">
        <f t="array" ref="R77">MMS_Swine_AtmosphericDeposition_Equations.VEERG_4_5_1_5__2_TotalNitrogenVolatilisedFromMMS(R37,_xlfn.XLOOKUP($O77,$D$53:$D$58,$E$53:$E$58))</f>
        <v>6.2962499999999988</v>
      </c>
      <c r="S77" s="52" cm="1">
        <f t="array" ref="S77">MMS_Swine_AtmosphericDeposition_Equations.VEERG_4_5_1_5__2_TotalNitrogenVolatilisedFromMMS(S37,_xlfn.XLOOKUP($O77,$D$53:$D$58,$E$53:$E$58))</f>
        <v>4.2704999999999993</v>
      </c>
      <c r="T77" s="2" t="str">
        <f t="shared" si="1"/>
        <v>kg N</v>
      </c>
    </row>
    <row r="78" spans="4:20" ht="20.100000000000001" customHeight="1" x14ac:dyDescent="0.25">
      <c r="D78" s="57"/>
      <c r="E78" s="57" t="str">
        <f>'Input - Swine'!$D$65</f>
        <v>Pit storage</v>
      </c>
      <c r="F78" s="52" cm="1">
        <f t="array" ref="F78">MMS_Swine_AtmosphericDeposition_Equations.VEERG_4_5_1_5__2_TotalNitrogenVolatilisedFromMMS(F38,_xlfn.XLOOKUP($E78,$D$53:$D$58,$E$53:$E$58))</f>
        <v>10.073999999999998</v>
      </c>
      <c r="G78" s="52" cm="1">
        <f t="array" ref="G78">MMS_Swine_AtmosphericDeposition_Equations.VEERG_4_5_1_5__2_TotalNitrogenVolatilisedFromMMS(G38,_xlfn.XLOOKUP($E78,$D$53:$D$58,$E$53:$E$58))</f>
        <v>13.413750000000002</v>
      </c>
      <c r="H78" s="52" cm="1">
        <f t="array" ref="H78">MMS_Swine_AtmosphericDeposition_Equations.VEERG_4_5_1_5__2_TotalNitrogenVolatilisedFromMMS(H38,_xlfn.XLOOKUP($E78,$D$53:$D$58,$E$53:$E$58))</f>
        <v>12.592499999999998</v>
      </c>
      <c r="I78" s="52" cm="1">
        <f t="array" ref="I78">MMS_Swine_AtmosphericDeposition_Equations.VEERG_4_5_1_5__2_TotalNitrogenVolatilisedFromMMS(I38,_xlfn.XLOOKUP($E78,$D$53:$D$58,$E$53:$E$58))</f>
        <v>8.5409999999999986</v>
      </c>
      <c r="J78" s="2" t="str">
        <f t="shared" si="0"/>
        <v>kg N</v>
      </c>
      <c r="N78" s="57"/>
      <c r="O78" s="57" t="str">
        <f>'Input - Swine'!$D$65</f>
        <v>Pit storage</v>
      </c>
      <c r="P78" s="52" cm="1">
        <f t="array" ref="P78">MMS_Swine_AtmosphericDeposition_Equations.VEERG_4_5_1_5__2_TotalNitrogenVolatilisedFromMMS(P38,_xlfn.XLOOKUP($O78,$D$53:$D$58,$E$53:$E$58))</f>
        <v>10.073999999999998</v>
      </c>
      <c r="Q78" s="52" cm="1">
        <f t="array" ref="Q78">MMS_Swine_AtmosphericDeposition_Equations.VEERG_4_5_1_5__2_TotalNitrogenVolatilisedFromMMS(Q38,_xlfn.XLOOKUP($O78,$D$53:$D$58,$E$53:$E$58))</f>
        <v>13.413750000000002</v>
      </c>
      <c r="R78" s="52" cm="1">
        <f t="array" ref="R78">MMS_Swine_AtmosphericDeposition_Equations.VEERG_4_5_1_5__2_TotalNitrogenVolatilisedFromMMS(R38,_xlfn.XLOOKUP($O78,$D$53:$D$58,$E$53:$E$58))</f>
        <v>12.592499999999998</v>
      </c>
      <c r="S78" s="52" cm="1">
        <f t="array" ref="S78">MMS_Swine_AtmosphericDeposition_Equations.VEERG_4_5_1_5__2_TotalNitrogenVolatilisedFromMMS(S38,_xlfn.XLOOKUP($O78,$D$53:$D$58,$E$53:$E$58))</f>
        <v>8.5409999999999986</v>
      </c>
      <c r="T78" s="2" t="str">
        <f t="shared" si="1"/>
        <v>kg N</v>
      </c>
    </row>
    <row r="79" spans="4:20" ht="20.100000000000001" customHeight="1" x14ac:dyDescent="0.25">
      <c r="D79" s="57" t="str">
        <f>'Input - Swine'!$D$32</f>
        <v>Deep litter</v>
      </c>
      <c r="E79" s="57" t="str">
        <f>'Input - Swine'!$D$70</f>
        <v>Anaerobic lagoon</v>
      </c>
      <c r="F79" s="52" cm="1">
        <f t="array" ref="F79">MMS_Swine_AtmosphericDeposition_Equations.VEERG_4_5_1_5__2_TotalNitrogenVolatilisedFromMMS(F39,_xlfn.XLOOKUP($E79,$D$53:$D$58,$E$53:$E$58))</f>
        <v>19.170821999999998</v>
      </c>
      <c r="G79" s="52" cm="1">
        <f t="array" ref="G79">MMS_Swine_AtmosphericDeposition_Equations.VEERG_4_5_1_5__2_TotalNitrogenVolatilisedFromMMS(G39,_xlfn.XLOOKUP($E79,$D$53:$D$58,$E$53:$E$58))</f>
        <v>25.526366250000006</v>
      </c>
      <c r="H79" s="52" cm="1">
        <f t="array" ref="H79">MMS_Swine_AtmosphericDeposition_Equations.VEERG_4_5_1_5__2_TotalNitrogenVolatilisedFromMMS(H39,_xlfn.XLOOKUP($E79,$D$53:$D$58,$E$53:$E$58))</f>
        <v>23.963527499999994</v>
      </c>
      <c r="I79" s="52" cm="1">
        <f t="array" ref="I79">MMS_Swine_AtmosphericDeposition_Equations.VEERG_4_5_1_5__2_TotalNitrogenVolatilisedFromMMS(I39,_xlfn.XLOOKUP($E79,$D$53:$D$58,$E$53:$E$58))</f>
        <v>16.253522999999998</v>
      </c>
      <c r="J79" s="2" t="str">
        <f t="shared" si="0"/>
        <v>kg N</v>
      </c>
      <c r="N79" s="57" t="str">
        <f>'Input - Swine'!$D$32</f>
        <v>Deep litter</v>
      </c>
      <c r="O79" s="57" t="str">
        <f>'Input - Swine'!$D$70</f>
        <v>Anaerobic lagoon</v>
      </c>
      <c r="P79" s="52" cm="1">
        <f t="array" ref="P79">MMS_Swine_AtmosphericDeposition_Equations.VEERG_4_5_1_5__2_TotalNitrogenVolatilisedFromMMS(P39,_xlfn.XLOOKUP($O79,$D$53:$D$58,$E$53:$E$58))</f>
        <v>19.170821999999998</v>
      </c>
      <c r="Q79" s="52" cm="1">
        <f t="array" ref="Q79">MMS_Swine_AtmosphericDeposition_Equations.VEERG_4_5_1_5__2_TotalNitrogenVolatilisedFromMMS(Q39,_xlfn.XLOOKUP($O79,$D$53:$D$58,$E$53:$E$58))</f>
        <v>25.526366250000006</v>
      </c>
      <c r="R79" s="52" cm="1">
        <f t="array" ref="R79">MMS_Swine_AtmosphericDeposition_Equations.VEERG_4_5_1_5__2_TotalNitrogenVolatilisedFromMMS(R39,_xlfn.XLOOKUP($O79,$D$53:$D$58,$E$53:$E$58))</f>
        <v>23.963527499999994</v>
      </c>
      <c r="S79" s="52" cm="1">
        <f t="array" ref="S79">MMS_Swine_AtmosphericDeposition_Equations.VEERG_4_5_1_5__2_TotalNitrogenVolatilisedFromMMS(S39,_xlfn.XLOOKUP($O79,$D$53:$D$58,$E$53:$E$58))</f>
        <v>16.253522999999998</v>
      </c>
      <c r="T79" s="2" t="str">
        <f t="shared" si="1"/>
        <v>kg N</v>
      </c>
    </row>
    <row r="80" spans="4:20" ht="20.100000000000001" customHeight="1" x14ac:dyDescent="0.25">
      <c r="D80" s="57"/>
      <c r="E80" s="57" t="str">
        <f>'Input - Swine'!$D$71</f>
        <v>Digester / covered lagoons</v>
      </c>
      <c r="F80" s="52" cm="1">
        <f t="array" ref="F80">MMS_Swine_AtmosphericDeposition_Equations.VEERG_4_5_1_5__2_TotalNitrogenVolatilisedFromMMS(F40,_xlfn.XLOOKUP($E80,$D$53:$D$58,$E$53:$E$58))</f>
        <v>0</v>
      </c>
      <c r="G80" s="52" cm="1">
        <f t="array" ref="G80">MMS_Swine_AtmosphericDeposition_Equations.VEERG_4_5_1_5__2_TotalNitrogenVolatilisedFromMMS(G40,_xlfn.XLOOKUP($E80,$D$53:$D$58,$E$53:$E$58))</f>
        <v>0</v>
      </c>
      <c r="H80" s="52" cm="1">
        <f t="array" ref="H80">MMS_Swine_AtmosphericDeposition_Equations.VEERG_4_5_1_5__2_TotalNitrogenVolatilisedFromMMS(H40,_xlfn.XLOOKUP($E80,$D$53:$D$58,$E$53:$E$58))</f>
        <v>0</v>
      </c>
      <c r="I80" s="52" cm="1">
        <f t="array" ref="I80">MMS_Swine_AtmosphericDeposition_Equations.VEERG_4_5_1_5__2_TotalNitrogenVolatilisedFromMMS(I40,_xlfn.XLOOKUP($E80,$D$53:$D$58,$E$53:$E$58))</f>
        <v>0</v>
      </c>
      <c r="J80" s="2" t="str">
        <f t="shared" si="0"/>
        <v>kg N</v>
      </c>
      <c r="N80" s="57"/>
      <c r="O80" s="57" t="str">
        <f>'Input - Swine'!$D$71</f>
        <v>Digester / covered lagoons</v>
      </c>
      <c r="P80" s="52" cm="1">
        <f t="array" ref="P80">MMS_Swine_AtmosphericDeposition_Equations.VEERG_4_5_1_5__2_TotalNitrogenVolatilisedFromMMS(P40,_xlfn.XLOOKUP($O80,$D$53:$D$58,$E$53:$E$58))</f>
        <v>0</v>
      </c>
      <c r="Q80" s="52" cm="1">
        <f t="array" ref="Q80">MMS_Swine_AtmosphericDeposition_Equations.VEERG_4_5_1_5__2_TotalNitrogenVolatilisedFromMMS(Q40,_xlfn.XLOOKUP($O80,$D$53:$D$58,$E$53:$E$58))</f>
        <v>0</v>
      </c>
      <c r="R80" s="52" cm="1">
        <f t="array" ref="R80">MMS_Swine_AtmosphericDeposition_Equations.VEERG_4_5_1_5__2_TotalNitrogenVolatilisedFromMMS(R40,_xlfn.XLOOKUP($O80,$D$53:$D$58,$E$53:$E$58))</f>
        <v>0</v>
      </c>
      <c r="S80" s="52" cm="1">
        <f t="array" ref="S80">MMS_Swine_AtmosphericDeposition_Equations.VEERG_4_5_1_5__2_TotalNitrogenVolatilisedFromMMS(S40,_xlfn.XLOOKUP($O80,$D$53:$D$58,$E$53:$E$58))</f>
        <v>0</v>
      </c>
      <c r="T80" s="2" t="str">
        <f t="shared" si="1"/>
        <v>kg N</v>
      </c>
    </row>
    <row r="81" spans="3:21" ht="20.100000000000001" customHeight="1" x14ac:dyDescent="0.25">
      <c r="D81" s="57"/>
      <c r="E81" s="57" t="str">
        <f>'Input - Swine'!$D$72</f>
        <v>Pit storage</v>
      </c>
      <c r="F81" s="52" cm="1">
        <f t="array" ref="F81">MMS_Swine_AtmosphericDeposition_Equations.VEERG_4_5_1_5__2_TotalNitrogenVolatilisedFromMMS(F41,_xlfn.XLOOKUP($E81,$D$53:$D$58,$E$53:$E$58))</f>
        <v>8.7140099999999983</v>
      </c>
      <c r="G81" s="52" cm="1">
        <f t="array" ref="G81">MMS_Swine_AtmosphericDeposition_Equations.VEERG_4_5_1_5__2_TotalNitrogenVolatilisedFromMMS(G41,_xlfn.XLOOKUP($E81,$D$53:$D$58,$E$53:$E$58))</f>
        <v>11.602893750000002</v>
      </c>
      <c r="H81" s="52" cm="1">
        <f t="array" ref="H81">MMS_Swine_AtmosphericDeposition_Equations.VEERG_4_5_1_5__2_TotalNitrogenVolatilisedFromMMS(H41,_xlfn.XLOOKUP($E81,$D$53:$D$58,$E$53:$E$58))</f>
        <v>10.892512499999997</v>
      </c>
      <c r="I81" s="52" cm="1">
        <f t="array" ref="I81">MMS_Swine_AtmosphericDeposition_Equations.VEERG_4_5_1_5__2_TotalNitrogenVolatilisedFromMMS(I41,_xlfn.XLOOKUP($E81,$D$53:$D$58,$E$53:$E$58))</f>
        <v>7.3879649999999986</v>
      </c>
      <c r="J81" s="2" t="str">
        <f t="shared" si="0"/>
        <v>kg N</v>
      </c>
      <c r="N81" s="57"/>
      <c r="O81" s="57" t="str">
        <f>'Input - Swine'!$D$72</f>
        <v>Pit storage</v>
      </c>
      <c r="P81" s="52" cm="1">
        <f t="array" ref="P81">MMS_Swine_AtmosphericDeposition_Equations.VEERG_4_5_1_5__2_TotalNitrogenVolatilisedFromMMS(P41,_xlfn.XLOOKUP($O81,$D$53:$D$58,$E$53:$E$58))</f>
        <v>8.7140099999999983</v>
      </c>
      <c r="Q81" s="52" cm="1">
        <f t="array" ref="Q81">MMS_Swine_AtmosphericDeposition_Equations.VEERG_4_5_1_5__2_TotalNitrogenVolatilisedFromMMS(Q41,_xlfn.XLOOKUP($O81,$D$53:$D$58,$E$53:$E$58))</f>
        <v>11.602893750000002</v>
      </c>
      <c r="R81" s="52" cm="1">
        <f t="array" ref="R81">MMS_Swine_AtmosphericDeposition_Equations.VEERG_4_5_1_5__2_TotalNitrogenVolatilisedFromMMS(R41,_xlfn.XLOOKUP($O81,$D$53:$D$58,$E$53:$E$58))</f>
        <v>10.892512499999997</v>
      </c>
      <c r="S81" s="52" cm="1">
        <f t="array" ref="S81">MMS_Swine_AtmosphericDeposition_Equations.VEERG_4_5_1_5__2_TotalNitrogenVolatilisedFromMMS(S41,_xlfn.XLOOKUP($O81,$D$53:$D$58,$E$53:$E$58))</f>
        <v>7.3879649999999986</v>
      </c>
      <c r="T81" s="2" t="str">
        <f t="shared" si="1"/>
        <v>kg N</v>
      </c>
    </row>
    <row r="82" spans="3:21" ht="20.100000000000001" customHeight="1" x14ac:dyDescent="0.25">
      <c r="D82" s="57" t="str">
        <f>'Input - Swine'!$D$33</f>
        <v>Pit storage</v>
      </c>
      <c r="E82" s="57" t="str">
        <f>'Input - Swine'!$D$77</f>
        <v>Anaerobic lagoon</v>
      </c>
      <c r="F82" s="52" cm="1">
        <f t="array" ref="F82">MMS_Swine_AtmosphericDeposition_Equations.VEERG_4_5_1_5__2_TotalNitrogenVolatilisedFromMMS(F42,_xlfn.XLOOKUP($E82,$D$53:$D$58,$E$53:$E$58))</f>
        <v>16.577774399999999</v>
      </c>
      <c r="G82" s="52" cm="1">
        <f t="array" ref="G82">MMS_Swine_AtmosphericDeposition_Equations.VEERG_4_5_1_5__2_TotalNitrogenVolatilisedFromMMS(G42,_xlfn.XLOOKUP($E82,$D$53:$D$58,$E$53:$E$58))</f>
        <v>22.073667000000004</v>
      </c>
      <c r="H82" s="52" cm="1">
        <f t="array" ref="H82">MMS_Swine_AtmosphericDeposition_Equations.VEERG_4_5_1_5__2_TotalNitrogenVolatilisedFromMMS(H42,_xlfn.XLOOKUP($E82,$D$53:$D$58,$E$53:$E$58))</f>
        <v>20.722217999999998</v>
      </c>
      <c r="I82" s="52" cm="1">
        <f t="array" ref="I82">MMS_Swine_AtmosphericDeposition_Equations.VEERG_4_5_1_5__2_TotalNitrogenVolatilisedFromMMS(I42,_xlfn.XLOOKUP($E82,$D$53:$D$58,$E$53:$E$58))</f>
        <v>14.055069599999999</v>
      </c>
      <c r="J82" s="2" t="str">
        <f t="shared" si="0"/>
        <v>kg N</v>
      </c>
      <c r="N82" s="57" t="str">
        <f>'Input - Swine'!$D$33</f>
        <v>Pit storage</v>
      </c>
      <c r="O82" s="57" t="str">
        <f>'Input - Swine'!$D$77</f>
        <v>Anaerobic lagoon</v>
      </c>
      <c r="P82" s="52" cm="1">
        <f t="array" ref="P82">MMS_Swine_AtmosphericDeposition_Equations.VEERG_4_5_1_5__2_TotalNitrogenVolatilisedFromMMS(P42,_xlfn.XLOOKUP($O82,$D$53:$D$58,$E$53:$E$58))</f>
        <v>16.577774399999999</v>
      </c>
      <c r="Q82" s="52" cm="1">
        <f t="array" ref="Q82">MMS_Swine_AtmosphericDeposition_Equations.VEERG_4_5_1_5__2_TotalNitrogenVolatilisedFromMMS(Q42,_xlfn.XLOOKUP($O82,$D$53:$D$58,$E$53:$E$58))</f>
        <v>22.073667000000004</v>
      </c>
      <c r="R82" s="52" cm="1">
        <f t="array" ref="R82">MMS_Swine_AtmosphericDeposition_Equations.VEERG_4_5_1_5__2_TotalNitrogenVolatilisedFromMMS(R42,_xlfn.XLOOKUP($O82,$D$53:$D$58,$E$53:$E$58))</f>
        <v>20.722217999999998</v>
      </c>
      <c r="S82" s="52" cm="1">
        <f t="array" ref="S82">MMS_Swine_AtmosphericDeposition_Equations.VEERG_4_5_1_5__2_TotalNitrogenVolatilisedFromMMS(S42,_xlfn.XLOOKUP($O82,$D$53:$D$58,$E$53:$E$58))</f>
        <v>14.055069599999999</v>
      </c>
      <c r="T82" s="2" t="str">
        <f t="shared" si="1"/>
        <v>kg N</v>
      </c>
    </row>
    <row r="83" spans="3:21" ht="20.100000000000001" customHeight="1" x14ac:dyDescent="0.25">
      <c r="D83" s="57"/>
      <c r="E83" s="57" t="str">
        <f>'Input - Swine'!$D$78</f>
        <v>Digester / covered lagoons</v>
      </c>
      <c r="F83" s="52" cm="1">
        <f t="array" ref="F83">MMS_Swine_AtmosphericDeposition_Equations.VEERG_4_5_1_5__2_TotalNitrogenVolatilisedFromMMS(F43,_xlfn.XLOOKUP($E83,$D$53:$D$58,$E$53:$E$58))</f>
        <v>0</v>
      </c>
      <c r="G83" s="52" cm="1">
        <f t="array" ref="G83">MMS_Swine_AtmosphericDeposition_Equations.VEERG_4_5_1_5__2_TotalNitrogenVolatilisedFromMMS(G43,_xlfn.XLOOKUP($E83,$D$53:$D$58,$E$53:$E$58))</f>
        <v>0</v>
      </c>
      <c r="H83" s="52" cm="1">
        <f t="array" ref="H83">MMS_Swine_AtmosphericDeposition_Equations.VEERG_4_5_1_5__2_TotalNitrogenVolatilisedFromMMS(H43,_xlfn.XLOOKUP($E83,$D$53:$D$58,$E$53:$E$58))</f>
        <v>0</v>
      </c>
      <c r="I83" s="52" cm="1">
        <f t="array" ref="I83">MMS_Swine_AtmosphericDeposition_Equations.VEERG_4_5_1_5__2_TotalNitrogenVolatilisedFromMMS(I43,_xlfn.XLOOKUP($E83,$D$53:$D$58,$E$53:$E$58))</f>
        <v>0</v>
      </c>
      <c r="J83" s="2" t="str">
        <f t="shared" si="0"/>
        <v>kg N</v>
      </c>
      <c r="N83" s="57"/>
      <c r="O83" s="57" t="str">
        <f>'Input - Swine'!$D$78</f>
        <v>Digester / covered lagoons</v>
      </c>
      <c r="P83" s="52" cm="1">
        <f t="array" ref="P83">MMS_Swine_AtmosphericDeposition_Equations.VEERG_4_5_1_5__2_TotalNitrogenVolatilisedFromMMS(P43,_xlfn.XLOOKUP($O83,$D$53:$D$58,$E$53:$E$58))</f>
        <v>0</v>
      </c>
      <c r="Q83" s="52" cm="1">
        <f t="array" ref="Q83">MMS_Swine_AtmosphericDeposition_Equations.VEERG_4_5_1_5__2_TotalNitrogenVolatilisedFromMMS(Q43,_xlfn.XLOOKUP($O83,$D$53:$D$58,$E$53:$E$58))</f>
        <v>0</v>
      </c>
      <c r="R83" s="52" cm="1">
        <f t="array" ref="R83">MMS_Swine_AtmosphericDeposition_Equations.VEERG_4_5_1_5__2_TotalNitrogenVolatilisedFromMMS(R43,_xlfn.XLOOKUP($O83,$D$53:$D$58,$E$53:$E$58))</f>
        <v>0</v>
      </c>
      <c r="S83" s="52" cm="1">
        <f t="array" ref="S83">MMS_Swine_AtmosphericDeposition_Equations.VEERG_4_5_1_5__2_TotalNitrogenVolatilisedFromMMS(S43,_xlfn.XLOOKUP($O83,$D$53:$D$58,$E$53:$E$58))</f>
        <v>0</v>
      </c>
      <c r="T83" s="2" t="str">
        <f t="shared" si="1"/>
        <v>kg N</v>
      </c>
    </row>
    <row r="84" spans="3:21" ht="20.100000000000001" customHeight="1" x14ac:dyDescent="0.25">
      <c r="D84" s="57"/>
      <c r="E84" s="57" t="str">
        <f>'Input - Swine'!$D$79</f>
        <v>Deep litter</v>
      </c>
      <c r="F84" s="52" cm="1">
        <f t="array" ref="F84">MMS_Swine_AtmosphericDeposition_Equations.VEERG_4_5_1_5__2_TotalNitrogenVolatilisedFromMMS(F44,_xlfn.XLOOKUP($E84,$D$53:$D$58,$E$53:$E$58))</f>
        <v>3.7676759999999998</v>
      </c>
      <c r="G84" s="52" cm="1">
        <f t="array" ref="G84">MMS_Swine_AtmosphericDeposition_Equations.VEERG_4_5_1_5__2_TotalNitrogenVolatilisedFromMMS(G44,_xlfn.XLOOKUP($E84,$D$53:$D$58,$E$53:$E$58))</f>
        <v>5.0167425000000003</v>
      </c>
      <c r="H84" s="52" cm="1">
        <f t="array" ref="H84">MMS_Swine_AtmosphericDeposition_Equations.VEERG_4_5_1_5__2_TotalNitrogenVolatilisedFromMMS(H44,_xlfn.XLOOKUP($E84,$D$53:$D$58,$E$53:$E$58))</f>
        <v>4.7095949999999993</v>
      </c>
      <c r="I84" s="52" cm="1">
        <f t="array" ref="I84">MMS_Swine_AtmosphericDeposition_Equations.VEERG_4_5_1_5__2_TotalNitrogenVolatilisedFromMMS(I44,_xlfn.XLOOKUP($E84,$D$53:$D$58,$E$53:$E$58))</f>
        <v>3.1943339999999996</v>
      </c>
      <c r="J84" s="2" t="str">
        <f t="shared" si="0"/>
        <v>kg N</v>
      </c>
      <c r="N84" s="57"/>
      <c r="O84" s="57" t="str">
        <f>'Input - Swine'!$D$79</f>
        <v>Deep litter</v>
      </c>
      <c r="P84" s="52" cm="1">
        <f t="array" ref="P84">MMS_Swine_AtmosphericDeposition_Equations.VEERG_4_5_1_5__2_TotalNitrogenVolatilisedFromMMS(P44,_xlfn.XLOOKUP($O84,$D$53:$D$58,$E$53:$E$58))</f>
        <v>3.7676759999999998</v>
      </c>
      <c r="Q84" s="52" cm="1">
        <f t="array" ref="Q84">MMS_Swine_AtmosphericDeposition_Equations.VEERG_4_5_1_5__2_TotalNitrogenVolatilisedFromMMS(Q44,_xlfn.XLOOKUP($O84,$D$53:$D$58,$E$53:$E$58))</f>
        <v>5.0167425000000003</v>
      </c>
      <c r="R84" s="52" cm="1">
        <f t="array" ref="R84">MMS_Swine_AtmosphericDeposition_Equations.VEERG_4_5_1_5__2_TotalNitrogenVolatilisedFromMMS(R44,_xlfn.XLOOKUP($O84,$D$53:$D$58,$E$53:$E$58))</f>
        <v>4.7095949999999993</v>
      </c>
      <c r="S84" s="52" cm="1">
        <f t="array" ref="S84">MMS_Swine_AtmosphericDeposition_Equations.VEERG_4_5_1_5__2_TotalNitrogenVolatilisedFromMMS(S44,_xlfn.XLOOKUP($O84,$D$53:$D$58,$E$53:$E$58))</f>
        <v>3.1943339999999996</v>
      </c>
      <c r="T84" s="2" t="str">
        <f t="shared" si="1"/>
        <v>kg N</v>
      </c>
    </row>
    <row r="85" spans="3:21" ht="20.100000000000001" customHeight="1" x14ac:dyDescent="0.25">
      <c r="D85" s="57" t="str">
        <f>'Input - Swine'!$D$34</f>
        <v>Solid storage</v>
      </c>
      <c r="E85" s="57" t="str">
        <f>'Input - Swine'!$D$84</f>
        <v>Anaerobic lagoon</v>
      </c>
      <c r="F85" s="52" cm="1">
        <f t="array" ref="F85">MMS_Swine_AtmosphericDeposition_Equations.VEERG_4_5_1_5__2_TotalNitrogenVolatilisedFromMMS(F45,_xlfn.XLOOKUP($E85,$D$53:$D$58,$E$53:$E$58))</f>
        <v>58.731420000000021</v>
      </c>
      <c r="G85" s="52" cm="1">
        <f t="array" ref="G85">MMS_Swine_AtmosphericDeposition_Equations.VEERG_4_5_1_5__2_TotalNitrogenVolatilisedFromMMS(G45,_xlfn.XLOOKUP($E85,$D$53:$D$58,$E$53:$E$58))</f>
        <v>62.56173000000004</v>
      </c>
      <c r="H85" s="52" cm="1">
        <f t="array" ref="H85">MMS_Swine_AtmosphericDeposition_Equations.VEERG_4_5_1_5__2_TotalNitrogenVolatilisedFromMMS(H45,_xlfn.XLOOKUP($E85,$D$53:$D$58,$E$53:$E$58))</f>
        <v>58.731420000000021</v>
      </c>
      <c r="I85" s="52" cm="1">
        <f t="array" ref="I85">MMS_Swine_AtmosphericDeposition_Equations.VEERG_4_5_1_5__2_TotalNitrogenVolatilisedFromMMS(I45,_xlfn.XLOOKUP($E85,$D$53:$D$58,$E$53:$E$58))</f>
        <v>39.835224000000025</v>
      </c>
      <c r="J85" s="2" t="str">
        <f t="shared" si="0"/>
        <v>kg N</v>
      </c>
      <c r="N85" s="57" t="str">
        <f>'Input - Swine'!$D$34</f>
        <v>Solid storage</v>
      </c>
      <c r="O85" s="57" t="str">
        <f>'Input - Swine'!$D$84</f>
        <v>Anaerobic lagoon</v>
      </c>
      <c r="P85" s="52" cm="1">
        <f t="array" ref="P85">MMS_Swine_AtmosphericDeposition_Equations.VEERG_4_5_1_5__2_TotalNitrogenVolatilisedFromMMS(P45,_xlfn.XLOOKUP($O85,$D$53:$D$58,$E$53:$E$58))</f>
        <v>58.731420000000021</v>
      </c>
      <c r="Q85" s="52" cm="1">
        <f t="array" ref="Q85">MMS_Swine_AtmosphericDeposition_Equations.VEERG_4_5_1_5__2_TotalNitrogenVolatilisedFromMMS(Q45,_xlfn.XLOOKUP($O85,$D$53:$D$58,$E$53:$E$58))</f>
        <v>62.56173000000004</v>
      </c>
      <c r="R85" s="52" cm="1">
        <f t="array" ref="R85">MMS_Swine_AtmosphericDeposition_Equations.VEERG_4_5_1_5__2_TotalNitrogenVolatilisedFromMMS(R45,_xlfn.XLOOKUP($O85,$D$53:$D$58,$E$53:$E$58))</f>
        <v>58.731420000000021</v>
      </c>
      <c r="S85" s="52" cm="1">
        <f t="array" ref="S85">MMS_Swine_AtmosphericDeposition_Equations.VEERG_4_5_1_5__2_TotalNitrogenVolatilisedFromMMS(S45,_xlfn.XLOOKUP($O85,$D$53:$D$58,$E$53:$E$58))</f>
        <v>39.835224000000025</v>
      </c>
      <c r="T85" s="2" t="str">
        <f t="shared" si="1"/>
        <v>kg N</v>
      </c>
    </row>
    <row r="86" spans="3:21" ht="20.100000000000001" customHeight="1" x14ac:dyDescent="0.25">
      <c r="D86" s="57"/>
      <c r="E86" s="57" t="str">
        <f>'Input - Swine'!$D$85</f>
        <v>Digester / covered lagoons</v>
      </c>
      <c r="F86" s="52" cm="1">
        <f t="array" ref="F86">MMS_Swine_AtmosphericDeposition_Equations.VEERG_4_5_1_5__2_TotalNitrogenVolatilisedFromMMS(F46,_xlfn.XLOOKUP($E86,$D$53:$D$58,$E$53:$E$58))</f>
        <v>0</v>
      </c>
      <c r="G86" s="52" cm="1">
        <f t="array" ref="G86">MMS_Swine_AtmosphericDeposition_Equations.VEERG_4_5_1_5__2_TotalNitrogenVolatilisedFromMMS(G46,_xlfn.XLOOKUP($E86,$D$53:$D$58,$E$53:$E$58))</f>
        <v>0</v>
      </c>
      <c r="H86" s="52" cm="1">
        <f t="array" ref="H86">MMS_Swine_AtmosphericDeposition_Equations.VEERG_4_5_1_5__2_TotalNitrogenVolatilisedFromMMS(H46,_xlfn.XLOOKUP($E86,$D$53:$D$58,$E$53:$E$58))</f>
        <v>0</v>
      </c>
      <c r="I86" s="52" cm="1">
        <f t="array" ref="I86">MMS_Swine_AtmosphericDeposition_Equations.VEERG_4_5_1_5__2_TotalNitrogenVolatilisedFromMMS(I46,_xlfn.XLOOKUP($E86,$D$53:$D$58,$E$53:$E$58))</f>
        <v>0</v>
      </c>
      <c r="J86" s="2" t="str">
        <f t="shared" si="0"/>
        <v>kg N</v>
      </c>
      <c r="N86" s="57"/>
      <c r="O86" s="57" t="str">
        <f>'Input - Swine'!$D$85</f>
        <v>Digester / covered lagoons</v>
      </c>
      <c r="P86" s="52" cm="1">
        <f t="array" ref="P86">MMS_Swine_AtmosphericDeposition_Equations.VEERG_4_5_1_5__2_TotalNitrogenVolatilisedFromMMS(P46,_xlfn.XLOOKUP($O86,$D$53:$D$58,$E$53:$E$58))</f>
        <v>0</v>
      </c>
      <c r="Q86" s="52" cm="1">
        <f t="array" ref="Q86">MMS_Swine_AtmosphericDeposition_Equations.VEERG_4_5_1_5__2_TotalNitrogenVolatilisedFromMMS(Q46,_xlfn.XLOOKUP($O86,$D$53:$D$58,$E$53:$E$58))</f>
        <v>0</v>
      </c>
      <c r="R86" s="52" cm="1">
        <f t="array" ref="R86">MMS_Swine_AtmosphericDeposition_Equations.VEERG_4_5_1_5__2_TotalNitrogenVolatilisedFromMMS(R46,_xlfn.XLOOKUP($O86,$D$53:$D$58,$E$53:$E$58))</f>
        <v>0</v>
      </c>
      <c r="S86" s="52" cm="1">
        <f t="array" ref="S86">MMS_Swine_AtmosphericDeposition_Equations.VEERG_4_5_1_5__2_TotalNitrogenVolatilisedFromMMS(S46,_xlfn.XLOOKUP($O86,$D$53:$D$58,$E$53:$E$58))</f>
        <v>0</v>
      </c>
      <c r="T86" s="2" t="str">
        <f t="shared" si="1"/>
        <v>kg N</v>
      </c>
    </row>
    <row r="87" spans="3:21" ht="20.100000000000001" customHeight="1" x14ac:dyDescent="0.25">
      <c r="D87" s="57"/>
      <c r="E87" s="57" t="str">
        <f>'Input - Swine'!$D$86</f>
        <v>Deep litter</v>
      </c>
      <c r="F87" s="52" cm="1">
        <f t="array" ref="F87">MMS_Swine_AtmosphericDeposition_Equations.VEERG_4_5_1_5__2_TotalNitrogenVolatilisedFromMMS(F47,_xlfn.XLOOKUP($E87,$D$53:$D$58,$E$53:$E$58))</f>
        <v>13.348050000000004</v>
      </c>
      <c r="G87" s="52" cm="1">
        <f t="array" ref="G87">MMS_Swine_AtmosphericDeposition_Equations.VEERG_4_5_1_5__2_TotalNitrogenVolatilisedFromMMS(G47,_xlfn.XLOOKUP($E87,$D$53:$D$58,$E$53:$E$58))</f>
        <v>14.218575000000008</v>
      </c>
      <c r="H87" s="52" cm="1">
        <f t="array" ref="H87">MMS_Swine_AtmosphericDeposition_Equations.VEERG_4_5_1_5__2_TotalNitrogenVolatilisedFromMMS(H47,_xlfn.XLOOKUP($E87,$D$53:$D$58,$E$53:$E$58))</f>
        <v>13.348050000000004</v>
      </c>
      <c r="I87" s="52" cm="1">
        <f t="array" ref="I87">MMS_Swine_AtmosphericDeposition_Equations.VEERG_4_5_1_5__2_TotalNitrogenVolatilisedFromMMS(I47,_xlfn.XLOOKUP($E87,$D$53:$D$58,$E$53:$E$58))</f>
        <v>9.0534600000000047</v>
      </c>
      <c r="J87" s="2" t="str">
        <f t="shared" si="0"/>
        <v>kg N</v>
      </c>
      <c r="N87" s="57"/>
      <c r="O87" s="57" t="str">
        <f>'Input - Swine'!$D$86</f>
        <v>Deep litter</v>
      </c>
      <c r="P87" s="52" cm="1">
        <f t="array" ref="P87">MMS_Swine_AtmosphericDeposition_Equations.VEERG_4_5_1_5__2_TotalNitrogenVolatilisedFromMMS(P47,_xlfn.XLOOKUP($O87,$D$53:$D$58,$E$53:$E$58))</f>
        <v>13.348050000000004</v>
      </c>
      <c r="Q87" s="52" cm="1">
        <f t="array" ref="Q87">MMS_Swine_AtmosphericDeposition_Equations.VEERG_4_5_1_5__2_TotalNitrogenVolatilisedFromMMS(Q47,_xlfn.XLOOKUP($O87,$D$53:$D$58,$E$53:$E$58))</f>
        <v>14.218575000000008</v>
      </c>
      <c r="R87" s="52" cm="1">
        <f t="array" ref="R87">MMS_Swine_AtmosphericDeposition_Equations.VEERG_4_5_1_5__2_TotalNitrogenVolatilisedFromMMS(R47,_xlfn.XLOOKUP($O87,$D$53:$D$58,$E$53:$E$58))</f>
        <v>13.348050000000004</v>
      </c>
      <c r="S87" s="52" cm="1">
        <f t="array" ref="S87">MMS_Swine_AtmosphericDeposition_Equations.VEERG_4_5_1_5__2_TotalNitrogenVolatilisedFromMMS(S47,_xlfn.XLOOKUP($O87,$D$53:$D$58,$E$53:$E$58))</f>
        <v>9.0534600000000047</v>
      </c>
      <c r="T87" s="2" t="str">
        <f t="shared" si="1"/>
        <v>kg N</v>
      </c>
    </row>
    <row r="88" spans="3:21" ht="20.100000000000001" customHeight="1" x14ac:dyDescent="0.25">
      <c r="D88" s="57"/>
      <c r="E88" s="57" t="str">
        <f>'Input - Swine'!$D$87</f>
        <v>Pit storage</v>
      </c>
      <c r="F88" s="52" cm="1">
        <f t="array" ref="F88">MMS_Swine_AtmosphericDeposition_Equations.VEERG_4_5_1_5__2_TotalNitrogenVolatilisedFromMMS(F48,_xlfn.XLOOKUP($E88,$D$53:$D$58,$E$53:$E$58))</f>
        <v>13.348050000000004</v>
      </c>
      <c r="G88" s="52" cm="1">
        <f t="array" ref="G88">MMS_Swine_AtmosphericDeposition_Equations.VEERG_4_5_1_5__2_TotalNitrogenVolatilisedFromMMS(G48,_xlfn.XLOOKUP($E88,$D$53:$D$58,$E$53:$E$58))</f>
        <v>14.218575000000008</v>
      </c>
      <c r="H88" s="52" cm="1">
        <f t="array" ref="H88">MMS_Swine_AtmosphericDeposition_Equations.VEERG_4_5_1_5__2_TotalNitrogenVolatilisedFromMMS(H48,_xlfn.XLOOKUP($E88,$D$53:$D$58,$E$53:$E$58))</f>
        <v>13.348050000000004</v>
      </c>
      <c r="I88" s="52" cm="1">
        <f t="array" ref="I88">MMS_Swine_AtmosphericDeposition_Equations.VEERG_4_5_1_5__2_TotalNitrogenVolatilisedFromMMS(I48,_xlfn.XLOOKUP($E88,$D$53:$D$58,$E$53:$E$58))</f>
        <v>9.0534600000000047</v>
      </c>
      <c r="J88" s="2" t="str">
        <f t="shared" si="0"/>
        <v>kg N</v>
      </c>
      <c r="N88" s="57"/>
      <c r="O88" s="57" t="str">
        <f>'Input - Swine'!$D$87</f>
        <v>Pit storage</v>
      </c>
      <c r="P88" s="52" cm="1">
        <f t="array" ref="P88">MMS_Swine_AtmosphericDeposition_Equations.VEERG_4_5_1_5__2_TotalNitrogenVolatilisedFromMMS(P48,_xlfn.XLOOKUP($O88,$D$53:$D$58,$E$53:$E$58))</f>
        <v>13.348050000000004</v>
      </c>
      <c r="Q88" s="52" cm="1">
        <f t="array" ref="Q88">MMS_Swine_AtmosphericDeposition_Equations.VEERG_4_5_1_5__2_TotalNitrogenVolatilisedFromMMS(Q48,_xlfn.XLOOKUP($O88,$D$53:$D$58,$E$53:$E$58))</f>
        <v>14.218575000000008</v>
      </c>
      <c r="R88" s="52" cm="1">
        <f t="array" ref="R88">MMS_Swine_AtmosphericDeposition_Equations.VEERG_4_5_1_5__2_TotalNitrogenVolatilisedFromMMS(R48,_xlfn.XLOOKUP($O88,$D$53:$D$58,$E$53:$E$58))</f>
        <v>13.348050000000004</v>
      </c>
      <c r="S88" s="52" cm="1">
        <f t="array" ref="S88">MMS_Swine_AtmosphericDeposition_Equations.VEERG_4_5_1_5__2_TotalNitrogenVolatilisedFromMMS(S48,_xlfn.XLOOKUP($O88,$D$53:$D$58,$E$53:$E$58))</f>
        <v>9.0534600000000047</v>
      </c>
      <c r="T88" s="2" t="str">
        <f t="shared" si="1"/>
        <v>kg N</v>
      </c>
    </row>
    <row r="89" spans="3:21" ht="20.100000000000001" customHeight="1" x14ac:dyDescent="0.25"/>
    <row r="90" spans="3:21" ht="20.100000000000001" customHeight="1" x14ac:dyDescent="0.25">
      <c r="D90" s="113" t="s">
        <v>324</v>
      </c>
      <c r="E90" s="45">
        <f>SUM(F63:I88)</f>
        <v>2267.6728942500004</v>
      </c>
      <c r="F90" s="105" t="str">
        <f>$E$11</f>
        <v>kg N</v>
      </c>
      <c r="N90" s="113" t="s">
        <v>324</v>
      </c>
      <c r="O90" s="45">
        <f>SUM(P63:S88)</f>
        <v>2267.6728942500004</v>
      </c>
      <c r="P90" s="105" t="str">
        <f>$E$11</f>
        <v>kg N</v>
      </c>
    </row>
    <row r="91" spans="3:21" ht="20.100000000000001" customHeight="1" x14ac:dyDescent="0.25"/>
    <row r="92" spans="3:21" ht="20.100000000000001" customHeight="1" x14ac:dyDescent="0.25"/>
    <row r="93" spans="3:21" ht="20.100000000000001" customHeight="1" x14ac:dyDescent="0.25">
      <c r="C93" s="45"/>
      <c r="D93" s="45"/>
      <c r="E93" s="45"/>
      <c r="F93" s="45"/>
      <c r="G93" s="45"/>
      <c r="H93" s="45"/>
      <c r="I93" s="45"/>
      <c r="J93" s="45"/>
      <c r="K93" s="45"/>
      <c r="N93" s="45"/>
      <c r="O93" s="45"/>
      <c r="P93" s="45"/>
      <c r="Q93" s="45"/>
      <c r="R93" s="45"/>
      <c r="S93" s="45"/>
      <c r="T93" s="45"/>
      <c r="U93" s="45"/>
    </row>
    <row r="94" spans="3:21" ht="20.100000000000001" customHeight="1" x14ac:dyDescent="0.25">
      <c r="D94" s="6" t="str" cm="1">
        <f t="array" ref="D94">MMS_Swine_AtmosphericDeposition_Equations.VEERG_4_5_1_5__1_AnnualAtmosphericDepositionEmissionsFromMMS_Title()</f>
        <v>Annual atmospheric deposition emissions from MMS</v>
      </c>
      <c r="N94" s="6" t="str" cm="1">
        <f t="array" ref="N94">MMS_Swine_AtmosphericDeposition_Equations.VEERG_4_5_1_5__1_AnnualAtmosphericDepositionEmissionsFromMMS_Title()</f>
        <v>Annual atmospheric deposition emissions from MMS</v>
      </c>
    </row>
    <row r="95" spans="3:21" ht="20.100000000000001" customHeight="1" x14ac:dyDescent="0.25">
      <c r="D95" s="5" t="str" cm="1">
        <f t="array" ref="D95">MMS_Swine_AtmosphericDeposition_Equations.VEERG_4_5_1_5__1_AnnualAtmosphericDepositionEmissionsFromMMS_Source()</f>
        <v>VEERG 2026: 4.5.1.1, Equation (1)</v>
      </c>
      <c r="N95" s="5" t="str" cm="1">
        <f t="array" ref="N95">MMS_Swine_AtmosphericDeposition_Equations.VEERG_4_5_1_5__1_AnnualAtmosphericDepositionEmissionsFromMMS_Source()</f>
        <v>VEERG 2026: 4.5.1.1, Equation (1)</v>
      </c>
    </row>
    <row r="96" spans="3:21" ht="20.100000000000001" customHeight="1" x14ac:dyDescent="0.25">
      <c r="D96" s="13" t="s">
        <v>26</v>
      </c>
      <c r="E96" s="13" t="str" cm="1">
        <f t="array" aca="1" ref="E96" ca="1">Common_InputFunctions.Utility_DisplayFunctionName(E109)</f>
        <v>=MMS_Swine_AtmosphericDeposition_Equations.VEERG_4_5_1_5__1_AnnualAtmosphericDepositionEmissionsFromMMS</v>
      </c>
      <c r="N96" s="13" t="s">
        <v>26</v>
      </c>
      <c r="O96" s="13" t="str" cm="1">
        <f t="array" aca="1" ref="O96" ca="1">Common_InputFunctions.Utility_DisplayFunctionName(O109)</f>
        <v>=MMS_Swine_AtmosphericDeposition_Equations.VEERG_4_5_1_5__1_AnnualAtmosphericDepositionEmissionsFromMMS</v>
      </c>
    </row>
    <row r="97" spans="4:17" ht="20.100000000000001" customHeight="1" x14ac:dyDescent="0.25"/>
    <row r="98" spans="4:17" ht="20.100000000000001" customHeight="1" x14ac:dyDescent="0.25"/>
    <row r="99" spans="4:17" ht="20.100000000000001" customHeight="1" x14ac:dyDescent="0.25">
      <c r="D99" s="53" t="s">
        <v>29</v>
      </c>
      <c r="E99" s="1" t="str" cm="1">
        <f t="array" ref="E99">MMS_Swine_AtmosphericDeposition_Equations.VEERG_4_5_1_5__1_AnnualAtmosphericDepositionEmissionsFromMMS_Variable()</f>
        <v>E_N2OMMSad</v>
      </c>
      <c r="N99" s="53" t="s">
        <v>29</v>
      </c>
      <c r="O99" s="1" t="str" cm="1">
        <f t="array" ref="O99">MMS_Swine_AtmosphericDeposition_Equations.VEERG_4_5_1_5__1_AnnualAtmosphericDepositionEmissionsFromMMS_Variable()</f>
        <v>E_N2OMMSad</v>
      </c>
    </row>
    <row r="100" spans="4:17" ht="20.100000000000001" customHeight="1" x14ac:dyDescent="0.25">
      <c r="D100" s="53" t="s">
        <v>19</v>
      </c>
      <c r="E100" s="54" t="str" cm="1">
        <f t="array" ref="E100">MMS_Swine_AtmosphericDeposition_Equations.VEERG_4_5_1_5__1_AnnualAtmosphericDepositionEmissionsFromMMS_Unit()</f>
        <v>t N2O</v>
      </c>
      <c r="N100" s="53" t="s">
        <v>19</v>
      </c>
      <c r="O100" s="54" t="str" cm="1">
        <f t="array" ref="O100">MMS_Swine_AtmosphericDeposition_Equations.VEERG_4_5_1_5__1_AnnualAtmosphericDepositionEmissionsFromMMS_Unit()</f>
        <v>t N2O</v>
      </c>
    </row>
    <row r="101" spans="4:17" ht="20.100000000000001" customHeight="1" x14ac:dyDescent="0.25"/>
    <row r="102" spans="4:17" ht="20.100000000000001" customHeight="1" x14ac:dyDescent="0.25">
      <c r="D102" s="57" t="str" cm="1">
        <f t="array" ref="D102:E107">MMS_Swine_AtmosphericDeposition_Equations.VEERG_4_5_1_5__1_AnnualAtmosphericDepositionEmissionsFromMMS_Arguments()</f>
        <v>MMS_ATMOS</v>
      </c>
      <c r="E102" s="58" t="str">
        <v>mass of N volatilised from MMS (kg N)</v>
      </c>
      <c r="F102" s="59"/>
      <c r="G102" s="57">
        <f>$E$90</f>
        <v>2267.6728942500004</v>
      </c>
      <c r="N102" s="57" t="str" cm="1">
        <f t="array" ref="N102:O107">MMS_Swine_AtmosphericDeposition_Equations.VEERG_4_5_1_5__1_AnnualAtmosphericDepositionEmissionsFromMMS_Arguments()</f>
        <v>MMS_ATMOS</v>
      </c>
      <c r="O102" s="58" t="str">
        <v>mass of N volatilised from MMS (kg N)</v>
      </c>
      <c r="P102" s="59"/>
      <c r="Q102" s="57">
        <f>$E$90</f>
        <v>2267.6728942500004</v>
      </c>
    </row>
    <row r="103" spans="4:17" ht="20.100000000000001" customHeight="1" x14ac:dyDescent="0.25">
      <c r="D103" s="57" t="str">
        <v>EF_N2O</v>
      </c>
      <c r="E103" s="58" t="str">
        <v>nitrous oxide emission factor for atmospheric deposition (kg N2O-N/kg N)</v>
      </c>
      <c r="F103" s="59"/>
      <c r="G103" s="57">
        <f>Common_InputFunctions.Utility_LookupN2OEFFromProdIrrigationRainfall(G105,G106,G107,Table_SourceData_Common_EFN2O[Production system only],Table_SourceData_Common_EFN2O[Irrigation method],Table_SourceData_Common_EFN2O[Rainfall zone],Table_SourceData_Common_EFN2O[EFN2O])</f>
        <v>7.0000000000000001E-3</v>
      </c>
      <c r="N103" s="57" t="str">
        <v>EF_N2O</v>
      </c>
      <c r="O103" s="58" t="str">
        <v>nitrous oxide emission factor for atmospheric deposition (kg N2O-N/kg N)</v>
      </c>
      <c r="P103" s="59"/>
      <c r="Q103" s="57"/>
    </row>
    <row r="104" spans="4:17" ht="20.100000000000001" customHeight="1" x14ac:dyDescent="0.25">
      <c r="D104" s="57" t="str">
        <v>C_N2O</v>
      </c>
      <c r="E104" s="58" t="str">
        <v>factor to convert elemental mass of N2O to molecular mass</v>
      </c>
      <c r="F104" s="59"/>
      <c r="G104" s="57">
        <f>Common_InputFunctions.Utility_LookupValueInTableNumber("N2O",Table_GasToMolecularConversionFactor[Gas],Table_GasToMolecularConversionFactor[Conversion factor combined])</f>
        <v>1.5714285714285714</v>
      </c>
      <c r="N104" s="57" t="str">
        <v>C_N2O</v>
      </c>
      <c r="O104" s="58" t="str">
        <v>factor to convert elemental mass of N2O to molecular mass</v>
      </c>
      <c r="P104" s="59"/>
      <c r="Q104" s="57"/>
    </row>
    <row r="105" spans="4:17" ht="20.100000000000001" customHeight="1" x14ac:dyDescent="0.25">
      <c r="D105" s="57" t="str">
        <v>j</v>
      </c>
      <c r="E105" s="58" t="str">
        <v>production system</v>
      </c>
      <c r="F105" s="59"/>
      <c r="G105" s="57" t="str">
        <f>'Input - Swine'!$E$91</f>
        <v>Crop</v>
      </c>
      <c r="N105" s="57" t="str">
        <v>j</v>
      </c>
      <c r="O105" s="58" t="str">
        <v>production system</v>
      </c>
      <c r="P105" s="59"/>
      <c r="Q105" s="57"/>
    </row>
    <row r="106" spans="4:17" ht="20.100000000000001" customHeight="1" x14ac:dyDescent="0.25">
      <c r="D106" s="57" t="str">
        <v>ir</v>
      </c>
      <c r="E106" s="58" t="str">
        <v>irrigation method</v>
      </c>
      <c r="F106" s="59"/>
      <c r="G106" s="57" t="str">
        <f>'Input - Swine'!$E$92</f>
        <v>Sprinkler irrigation</v>
      </c>
      <c r="N106" s="57" t="str">
        <v>ir</v>
      </c>
      <c r="O106" s="58" t="str">
        <v>irrigation method</v>
      </c>
      <c r="P106" s="59"/>
      <c r="Q106" s="57"/>
    </row>
    <row r="107" spans="4:17" ht="20.100000000000001" customHeight="1" x14ac:dyDescent="0.25">
      <c r="D107" s="57" t="str">
        <v>r</v>
      </c>
      <c r="E107" s="58" t="str">
        <v>rainfall region</v>
      </c>
      <c r="F107" s="59"/>
      <c r="G107" s="57" t="str">
        <f>'Input - Site'!$E$30</f>
        <v>High rainfall</v>
      </c>
      <c r="N107" s="57" t="str">
        <v>r</v>
      </c>
      <c r="O107" s="58" t="str">
        <v>rainfall region</v>
      </c>
      <c r="P107" s="59"/>
      <c r="Q107" s="57"/>
    </row>
    <row r="108" spans="4:17" ht="20.100000000000001" customHeight="1" x14ac:dyDescent="0.25"/>
    <row r="109" spans="4:17" ht="20.100000000000001" customHeight="1" x14ac:dyDescent="0.25">
      <c r="D109" s="101" t="s">
        <v>321</v>
      </c>
      <c r="E109" s="102" cm="1">
        <f t="array" ref="E109">MMS_Swine_AtmosphericDeposition_Equations.VEERG_4_5_1_5__1_AnnualAtmosphericDepositionEmissionsFromMMS(G102,G103,G104)</f>
        <v>2.4944401836750004E-2</v>
      </c>
      <c r="F109" s="103" t="str">
        <f>E100</f>
        <v>t N2O</v>
      </c>
      <c r="N109" s="101" t="s">
        <v>321</v>
      </c>
      <c r="O109" s="102" cm="1">
        <f t="array" ref="O109">MMS_Swine_AtmosphericDeposition_Equations.VEERG_4_5_1_5__1_AnnualAtmosphericDepositionEmissionsFromMMS(Q102,G103,G104)</f>
        <v>2.4944401836750004E-2</v>
      </c>
      <c r="P109" s="103" t="str">
        <f>O100</f>
        <v>t N2O</v>
      </c>
    </row>
    <row r="110" spans="4:17" ht="20.100000000000001" customHeight="1" x14ac:dyDescent="0.25"/>
    <row r="111" spans="4:17" ht="20.100000000000001" customHeight="1" x14ac:dyDescent="0.25">
      <c r="D111" s="57" t="str" cm="1">
        <f t="array" ref="D111:E112">Common_Equations.Common_ConvertN2OToCO2e_Arguments()</f>
        <v>EN2O</v>
      </c>
      <c r="E111" s="58" t="str">
        <v>Nitrous oxide emissions (t N2O)</v>
      </c>
      <c r="F111" s="104"/>
      <c r="G111" s="52">
        <f>E109</f>
        <v>2.4944401836750004E-2</v>
      </c>
      <c r="N111" s="57" t="str" cm="1">
        <f t="array" ref="N111:O112">Common_Equations.Common_ConvertN2OToCO2e_Arguments()</f>
        <v>EN2O</v>
      </c>
      <c r="O111" s="58" t="str">
        <v>Nitrous oxide emissions (t N2O)</v>
      </c>
      <c r="P111" s="104"/>
      <c r="Q111" s="52">
        <f>O109</f>
        <v>2.4944401836750004E-2</v>
      </c>
    </row>
    <row r="112" spans="4:17" ht="20.100000000000001" customHeight="1" x14ac:dyDescent="0.25">
      <c r="D112" s="57" t="str">
        <v>GWPN2O</v>
      </c>
      <c r="E112" s="58" t="str">
        <v>Global warming potential for nitrous oxide (t CO2-e / t N2O)</v>
      </c>
      <c r="F112" s="104"/>
      <c r="G112" s="52">
        <f>Common_InputFunctions.Utility_LookupValueInTableNumber("N2O",[2]!Table_GWPData[Gas],[2]!Table_GWPData[CO2-e factor])</f>
        <v>265</v>
      </c>
      <c r="N112" s="57" t="str">
        <v>GWPN2O</v>
      </c>
      <c r="O112" s="58" t="str">
        <v>Global warming potential for nitrous oxide (t CO2-e / t N2O)</v>
      </c>
      <c r="P112" s="104"/>
      <c r="Q112" s="52">
        <f>Common_InputFunctions.Utility_LookupValueInTableNumber("N2O",[2]!Table_GWPData[Gas],[2]!Table_GWPData[CO2-e factor])</f>
        <v>265</v>
      </c>
    </row>
    <row r="113" spans="4:16" ht="20.100000000000001" customHeight="1" x14ac:dyDescent="0.25"/>
    <row r="114" spans="4:16" ht="20.100000000000001" customHeight="1" x14ac:dyDescent="0.25">
      <c r="D114" s="45" t="s">
        <v>101</v>
      </c>
      <c r="E114" s="45" cm="1">
        <f t="array" ref="E114">Common_Equations.Common_ConvertN2OToCO2e(G111,G112)</f>
        <v>6.6102664867387508</v>
      </c>
      <c r="F114" s="105" t="str" cm="1">
        <f t="array" ref="F114">Common_Equations.Common_ConvertN2OToCO2e_Unit()</f>
        <v>t CO2e</v>
      </c>
      <c r="N114" s="45" t="s">
        <v>101</v>
      </c>
      <c r="O114" s="45" cm="1">
        <f t="array" ref="O114">Common_Equations.Common_ConvertN2OToCO2e(Q111,Q112)</f>
        <v>6.6102664867387508</v>
      </c>
      <c r="P114" s="105" t="str" cm="1">
        <f t="array" ref="P114">Common_Equations.Common_ConvertN2OToCO2e_Unit()</f>
        <v>t CO2e</v>
      </c>
    </row>
    <row r="115" spans="4:16" ht="20.100000000000001" customHeight="1" x14ac:dyDescent="0.25"/>
    <row r="116" spans="4:16" ht="20.100000000000001" customHeight="1" x14ac:dyDescent="0.25"/>
    <row r="117" spans="4:16" ht="20.100000000000001" customHeight="1" x14ac:dyDescent="0.25"/>
    <row r="118" spans="4:16" ht="20.100000000000001" customHeight="1" x14ac:dyDescent="0.25"/>
    <row r="119" spans="4:16" ht="20.100000000000001" customHeight="1" x14ac:dyDescent="0.25"/>
    <row r="120" spans="4:16" ht="20.100000000000001" customHeight="1" x14ac:dyDescent="0.25"/>
    <row r="121" spans="4:16" ht="20.100000000000001" customHeight="1" x14ac:dyDescent="0.25"/>
    <row r="122" spans="4:16" ht="20.100000000000001" customHeight="1" x14ac:dyDescent="0.25"/>
    <row r="123" spans="4:16" ht="20.100000000000001" customHeight="1" x14ac:dyDescent="0.25"/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8BED-F848-481C-B828-A6A4B3B45E3C}">
  <dimension ref="A1:S165"/>
  <sheetViews>
    <sheetView showGridLines="0" workbookViewId="0">
      <selection activeCell="A13" sqref="A13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8" t="e" vm="1">
        <v>#VALUE!</v>
      </c>
      <c r="C1" s="8" t="s">
        <v>350</v>
      </c>
      <c r="K1"/>
    </row>
    <row r="2" spans="1:19" s="9" customFormat="1" ht="20.100000000000001" customHeight="1" x14ac:dyDescent="0.25">
      <c r="K2"/>
    </row>
    <row r="3" spans="1:19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L3" s="4"/>
      <c r="M3" s="4" t="s">
        <v>103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MMS_Swine_LeachingAndRunoff_Equations.VEERG_4_5_1_7__2_MassOfNitrogenLostToLeachingAndRunoffFromDrylotMMS_Title()</f>
        <v>Mass of nitrogen lost to leaching and runoff from drylot MMS</v>
      </c>
    </row>
    <row r="6" spans="1:19" ht="20.100000000000001" customHeight="1" x14ac:dyDescent="0.25">
      <c r="A6" s="20" t="s">
        <v>3</v>
      </c>
      <c r="D6" s="5" t="str" cm="1">
        <f t="array" ref="D6">MMS_Swine_LeachingAndRunoff_Equations.VEERG_4_5_1_7__2_MassOfNitrogenLostToLeachingAndRunoffFromDrylotMMS_Source()</f>
        <v>VEERG 2026: 4.5.1.7, Equation (2)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Common_InputFunctions.Utility_DisplayFunctionName($E$28)</f>
        <v>=MMS_Swine_LeachingAndRunoff_Equations.VEERG_4_5_1_7__2_MassOfNitrogenLostToLeachingAndRunoffFromDrylotMMS</v>
      </c>
    </row>
    <row r="8" spans="1:19" ht="20.100000000000001" customHeight="1" x14ac:dyDescent="0.25">
      <c r="A8" s="17" t="str">
        <f>HYPERLINK("#'Input - Swine'!A1", "Swine")</f>
        <v>Swine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76</v>
      </c>
      <c r="D10" s="53" t="s">
        <v>29</v>
      </c>
      <c r="E10" s="1" t="str" cm="1">
        <f t="array" ref="E10">MMS_Swine_LeachingAndRunoff_Equations.VEERG_4_5_1_7__2_MassOfNitrogenLostToLeachingAndRunoffFromDrylotMMS_Variable()</f>
        <v>MNLeach_jm5</v>
      </c>
      <c r="F10" s="107" t="s">
        <v>336</v>
      </c>
    </row>
    <row r="11" spans="1:19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MMS_Swine_LeachingAndRunoff_Equations.VEERG_4_5_1_7__2_MassOfNitrogenLostToLeachingAndRunoffFromDrylotMMS_Unit()</f>
        <v>kg N</v>
      </c>
      <c r="F11" s="107" t="s">
        <v>342</v>
      </c>
    </row>
    <row r="12" spans="1:19" ht="20.100000000000001" customHeight="1" x14ac:dyDescent="0.25">
      <c r="A12" s="17" t="str">
        <f>HYPERLINK("#'4.5.1.3-4 Direct N20'!A1", "4.5.1.3-4 Direct N2O")</f>
        <v>4.5.1.3-4 Direct N2O</v>
      </c>
    </row>
    <row r="13" spans="1:19" ht="20.100000000000001" customHeight="1" x14ac:dyDescent="0.25">
      <c r="A13" s="17" t="str">
        <f>HYPERLINK("#'4.5.1.5-6 Atmos Dep'!A1", "4.5.1.5-6 Soil atm. deposition")</f>
        <v>4.5.1.5-6 Soil atm. deposition</v>
      </c>
      <c r="D13" s="108" t="str" cm="1">
        <f t="array" ref="D13:E18">MMS_Swine_LeachingAndRunoff_Equations.VEERG_4_5_1_7__2_MassOfNitrogenLostToLeachingAndRunoffFromDrylotMMS_Arguments()</f>
        <v>MN_jm5T1</v>
      </c>
      <c r="E13" s="110" t="str">
        <v>nitrogen in treatment stage 1 drylot MMS (kg N)</v>
      </c>
      <c r="F13" s="109"/>
      <c r="G13" s="52" t="str">
        <f>"See " &amp; D20</f>
        <v>See M1_Table_MN_j_m-5_T-1</v>
      </c>
    </row>
    <row r="14" spans="1:19" ht="20.100000000000001" customHeight="1" x14ac:dyDescent="0.25">
      <c r="A14" s="142" t="str">
        <f>HYPERLINK("#'4.5.1.7-8 Leaching and runoff'!A1", "4.5.1.7-8 Leaching &amp; runoff")</f>
        <v>4.5.1.7-8 Leaching &amp; runoff</v>
      </c>
      <c r="D14" s="108" t="str">
        <v>FracWET</v>
      </c>
      <c r="E14" s="110" t="str">
        <v>fraction of N available for leaching and runoff</v>
      </c>
      <c r="F14" s="109"/>
      <c r="G14" s="52">
        <f>Common_InputFunctions.CommonCropping_GetFracWET(G16,G18,Table_SourceData_FracWET[Is in leaching zone],Table_SourceData_FracWET[FracWET],Table_SourceData_FracWETIrrigation[Irrigation type i],Table_SourceData_FracWETIrrigation[FracWET])</f>
        <v>1</v>
      </c>
    </row>
    <row r="15" spans="1:19" ht="20.100000000000001" customHeight="1" x14ac:dyDescent="0.25">
      <c r="A15" s="17" t="str">
        <f>HYPERLINK("#'4.5.1.9 Manure applied to soils'!A1", "4.5.1.9 Manure applied to soils")</f>
        <v>4.5.1.9 Manure applied to soils</v>
      </c>
      <c r="D15" s="108" t="str">
        <v>FracLEACH_MS</v>
      </c>
      <c r="E15" s="110" t="str">
        <v>fraction of N lost through leaching and runoff</v>
      </c>
      <c r="F15" s="109"/>
      <c r="G15" s="52">
        <f>'Constants - Swine'!$E$17</f>
        <v>0.02</v>
      </c>
    </row>
    <row r="16" spans="1:19" ht="20.100000000000001" customHeight="1" x14ac:dyDescent="0.25">
      <c r="D16" s="108" t="str">
        <v>z</v>
      </c>
      <c r="E16" s="110" t="str">
        <v>location in leaching zone</v>
      </c>
      <c r="F16" s="109"/>
      <c r="G16" s="108" t="str">
        <f>'Input - Site'!$E$23</f>
        <v>NO - Not in leaching zone</v>
      </c>
    </row>
    <row r="17" spans="1:19" ht="20.100000000000001" customHeight="1" x14ac:dyDescent="0.25">
      <c r="A17" s="18" t="s">
        <v>4</v>
      </c>
      <c r="D17" s="108" t="str">
        <v>j</v>
      </c>
      <c r="E17" s="110" t="str">
        <v>production system</v>
      </c>
      <c r="F17" s="109"/>
      <c r="G17" s="108" t="str">
        <f>'Input - Swine'!$E$91</f>
        <v>Crop</v>
      </c>
    </row>
    <row r="18" spans="1:19" ht="20.100000000000001" customHeight="1" x14ac:dyDescent="0.25">
      <c r="A18" s="17" t="str">
        <f>HYPERLINK("#'Constants - Swine'!A1", "Constants - Swine")</f>
        <v>Constants - Swine</v>
      </c>
      <c r="D18" s="108" t="str">
        <v>ir</v>
      </c>
      <c r="E18" s="110" t="str">
        <v>irrigation method</v>
      </c>
      <c r="F18" s="109"/>
      <c r="G18" s="108" t="str">
        <f>'Input - Swine'!$E$92</f>
        <v>Sprinkler irrigation</v>
      </c>
    </row>
    <row r="19" spans="1:19" ht="20.100000000000001" customHeight="1" x14ac:dyDescent="0.25">
      <c r="A19" s="17" t="str">
        <f>HYPERLINK("#'Constants - Livestock'!A1", "Constants - Livestock")</f>
        <v>Constants - Livestock</v>
      </c>
    </row>
    <row r="20" spans="1:19" ht="20.100000000000001" customHeight="1" x14ac:dyDescent="0.25">
      <c r="A20" s="17" t="str">
        <f>HYPERLINK("#'Constants - Common'!A1", "Constants - Common")</f>
        <v>Constants - Common</v>
      </c>
      <c r="D20" s="99" t="s">
        <v>337</v>
      </c>
      <c r="M20" s="99" t="s">
        <v>340</v>
      </c>
    </row>
    <row r="21" spans="1:19" ht="20.100000000000001" customHeight="1" x14ac:dyDescent="0.25">
      <c r="A21" s="17" t="str">
        <f>HYPERLINK("#'Acknowledgements'!A1", "Acknowledgements")</f>
        <v>Acknowledgements</v>
      </c>
      <c r="D21" s="98" t="s">
        <v>339</v>
      </c>
      <c r="M21" s="98" t="s">
        <v>341</v>
      </c>
    </row>
    <row r="22" spans="1:19" ht="20.100000000000001" customHeight="1" x14ac:dyDescent="0.25">
      <c r="D22" s="51" t="s">
        <v>169</v>
      </c>
      <c r="E22" s="51" t="s">
        <v>143</v>
      </c>
      <c r="F22" s="51" t="s">
        <v>144</v>
      </c>
      <c r="G22" s="51" t="s">
        <v>145</v>
      </c>
      <c r="H22" s="51" t="s">
        <v>263</v>
      </c>
      <c r="M22" s="51" t="s">
        <v>169</v>
      </c>
      <c r="N22" s="51" t="s">
        <v>143</v>
      </c>
      <c r="O22" s="51" t="s">
        <v>144</v>
      </c>
      <c r="P22" s="51" t="s">
        <v>145</v>
      </c>
      <c r="Q22" s="51" t="s">
        <v>263</v>
      </c>
    </row>
    <row r="23" spans="1:19" ht="20.100000000000001" customHeight="1" x14ac:dyDescent="0.25">
      <c r="A23" s="17"/>
      <c r="D23" s="52" t="str">
        <f>'Input - Swine'!$D$30</f>
        <v>Drylot (feed pad)</v>
      </c>
      <c r="E23" s="52">
        <f>'4.5.1.3-4 Direct N20'!E119</f>
        <v>201.47999999999996</v>
      </c>
      <c r="F23" s="52">
        <f>'4.5.1.3-4 Direct N20'!F119</f>
        <v>214.62000000000003</v>
      </c>
      <c r="G23" s="52">
        <f>'4.5.1.3-4 Direct N20'!G119</f>
        <v>201.47999999999996</v>
      </c>
      <c r="H23" s="52">
        <f>'4.5.1.3-4 Direct N20'!H119</f>
        <v>136.65599999999998</v>
      </c>
      <c r="I23" s="2" t="s">
        <v>338</v>
      </c>
      <c r="M23" s="52" t="str">
        <f>'Input - Swine'!$D$30</f>
        <v>Drylot (feed pad)</v>
      </c>
      <c r="N23" s="52">
        <f>'4.5.1.3-4 Direct N20'!O119</f>
        <v>201.47999999999996</v>
      </c>
      <c r="O23" s="52">
        <f>'4.5.1.3-4 Direct N20'!P119</f>
        <v>214.62000000000003</v>
      </c>
      <c r="P23" s="52">
        <f>'4.5.1.3-4 Direct N20'!Q119</f>
        <v>201.47999999999996</v>
      </c>
      <c r="Q23" s="52">
        <f>'4.5.1.3-4 Direct N20'!R119</f>
        <v>136.65599999999998</v>
      </c>
      <c r="R23" s="2" t="s">
        <v>338</v>
      </c>
    </row>
    <row r="24" spans="1:19" ht="20.100000000000001" customHeight="1" x14ac:dyDescent="0.25"/>
    <row r="25" spans="1:19" ht="20.100000000000001" customHeight="1" x14ac:dyDescent="0.25">
      <c r="D25" s="99" t="s">
        <v>343</v>
      </c>
      <c r="M25" s="99" t="s">
        <v>343</v>
      </c>
    </row>
    <row r="26" spans="1:19" ht="20.100000000000001" customHeight="1" x14ac:dyDescent="0.25">
      <c r="D26" s="98" t="s">
        <v>344</v>
      </c>
      <c r="M26" s="98" t="s">
        <v>344</v>
      </c>
    </row>
    <row r="27" spans="1:19" ht="20.100000000000001" customHeight="1" x14ac:dyDescent="0.25">
      <c r="D27" s="51" t="s">
        <v>169</v>
      </c>
      <c r="E27" s="51" t="s">
        <v>143</v>
      </c>
      <c r="F27" s="51" t="s">
        <v>144</v>
      </c>
      <c r="G27" s="51" t="s">
        <v>145</v>
      </c>
      <c r="H27" s="51" t="s">
        <v>263</v>
      </c>
      <c r="M27" s="51" t="s">
        <v>169</v>
      </c>
      <c r="N27" s="51" t="s">
        <v>143</v>
      </c>
      <c r="O27" s="51" t="s">
        <v>144</v>
      </c>
      <c r="P27" s="51" t="s">
        <v>145</v>
      </c>
      <c r="Q27" s="51" t="s">
        <v>263</v>
      </c>
    </row>
    <row r="28" spans="1:19" ht="20.100000000000001" customHeight="1" x14ac:dyDescent="0.25">
      <c r="D28" s="52" t="str">
        <f>'Input - Swine'!$D$30</f>
        <v>Drylot (feed pad)</v>
      </c>
      <c r="E28" s="52" cm="1">
        <f t="array" ref="E28">MMS_Swine_LeachingAndRunoff_Equations.VEERG_4_5_1_7__2_MassOfNitrogenLostToLeachingAndRunoffFromDrylotMMS(E23,$G$14,$G$15)</f>
        <v>4.0295999999999994</v>
      </c>
      <c r="F28" s="52" cm="1">
        <f t="array" ref="F28">MMS_Swine_LeachingAndRunoff_Equations.VEERG_4_5_1_7__2_MassOfNitrogenLostToLeachingAndRunoffFromDrylotMMS(F23,$G$14,$G$15)</f>
        <v>4.2924000000000007</v>
      </c>
      <c r="G28" s="52" cm="1">
        <f t="array" ref="G28">MMS_Swine_LeachingAndRunoff_Equations.VEERG_4_5_1_7__2_MassOfNitrogenLostToLeachingAndRunoffFromDrylotMMS(G23,$G$14,$G$15)</f>
        <v>4.0295999999999994</v>
      </c>
      <c r="H28" s="52" cm="1">
        <f t="array" ref="H28">MMS_Swine_LeachingAndRunoff_Equations.VEERG_4_5_1_7__2_MassOfNitrogenLostToLeachingAndRunoffFromDrylotMMS(H23,$G$14,$G$15)</f>
        <v>2.7331199999999995</v>
      </c>
      <c r="I28" s="2" t="str">
        <f>$E$11</f>
        <v>kg N</v>
      </c>
      <c r="M28" s="52" t="str">
        <f>'Input - Swine'!$D$30</f>
        <v>Drylot (feed pad)</v>
      </c>
      <c r="N28" s="52" cm="1">
        <f t="array" ref="N28">MMS_Swine_LeachingAndRunoff_Equations.VEERG_4_5_1_7__2_MassOfNitrogenLostToLeachingAndRunoffFromDrylotMMS(N23,$G$14,$G$15)</f>
        <v>4.0295999999999994</v>
      </c>
      <c r="O28" s="52" cm="1">
        <f t="array" ref="O28">MMS_Swine_LeachingAndRunoff_Equations.VEERG_4_5_1_7__2_MassOfNitrogenLostToLeachingAndRunoffFromDrylotMMS(O23,$G$14,$G$15)</f>
        <v>4.2924000000000007</v>
      </c>
      <c r="P28" s="52" cm="1">
        <f t="array" ref="P28">MMS_Swine_LeachingAndRunoff_Equations.VEERG_4_5_1_7__2_MassOfNitrogenLostToLeachingAndRunoffFromDrylotMMS(P23,$G$14,$G$15)</f>
        <v>4.0295999999999994</v>
      </c>
      <c r="Q28" s="52" cm="1">
        <f t="array" ref="Q28">MMS_Swine_LeachingAndRunoff_Equations.VEERG_4_5_1_7__2_MassOfNitrogenLostToLeachingAndRunoffFromDrylotMMS(Q23,$G$14,$G$15)</f>
        <v>2.7331199999999995</v>
      </c>
      <c r="R28" s="2" t="str">
        <f>$E$11</f>
        <v>kg N</v>
      </c>
    </row>
    <row r="29" spans="1:19" ht="20.100000000000001" customHeight="1" x14ac:dyDescent="0.25"/>
    <row r="30" spans="1:19" ht="20.100000000000001" customHeight="1" x14ac:dyDescent="0.25"/>
    <row r="31" spans="1:19" ht="20.100000000000001" customHeight="1" x14ac:dyDescent="0.25">
      <c r="C31" s="45"/>
      <c r="D31" s="45"/>
      <c r="E31" s="45"/>
      <c r="F31" s="45"/>
      <c r="G31" s="45"/>
      <c r="H31" s="45"/>
      <c r="I31" s="45"/>
      <c r="J31" s="45"/>
      <c r="L31" s="45"/>
      <c r="M31" s="45"/>
      <c r="N31" s="45"/>
      <c r="O31" s="45"/>
      <c r="P31" s="45"/>
      <c r="Q31" s="45"/>
      <c r="R31" s="45"/>
      <c r="S31" s="45"/>
    </row>
    <row r="32" spans="1:19" ht="20.100000000000001" customHeight="1" x14ac:dyDescent="0.25">
      <c r="D32" s="6" t="str" cm="1">
        <f t="array" ref="D32">MMS_Swine_LeachingAndRunoff_Equations.VEERG_4_5_1_7__1_AnnualEmissionsFromLeachingAndRunoffFromMMS_Title()</f>
        <v>Annual emissions from leaching and runoff from each MMS</v>
      </c>
    </row>
    <row r="33" spans="4:18" ht="20.100000000000001" customHeight="1" x14ac:dyDescent="0.25">
      <c r="D33" s="5" t="str" cm="1">
        <f t="array" ref="D33">MMS_Swine_LeachingAndRunoff_Equations.VEERG_4_5_1_7__1_AnnualEmissionsFromLeachingAndRunoffFromMMS_Source()</f>
        <v>VEERG 2026: 4.5.1.7, Equation (1)</v>
      </c>
    </row>
    <row r="34" spans="4:18" ht="20.100000000000001" customHeight="1" x14ac:dyDescent="0.25">
      <c r="D34" s="13" t="s">
        <v>26</v>
      </c>
      <c r="E34" s="13" t="str" cm="1">
        <f t="array" aca="1" ref="E34" ca="1">Common_InputFunctions.Utility_DisplayFunctionName($E$47)</f>
        <v>=MMS_Swine_LeachingAndRunoff_Equations.VEERG_4_5_1_7__1_AnnualEmissionsFromLeachingAndRunoffFromMMS</v>
      </c>
    </row>
    <row r="35" spans="4:18" ht="20.100000000000001" customHeight="1" x14ac:dyDescent="0.25"/>
    <row r="36" spans="4:18" ht="20.100000000000001" customHeight="1" x14ac:dyDescent="0.25"/>
    <row r="37" spans="4:18" ht="20.100000000000001" customHeight="1" x14ac:dyDescent="0.25">
      <c r="D37" s="53" t="s">
        <v>29</v>
      </c>
      <c r="E37" s="1" t="str" cm="1">
        <f t="array" ref="E37">MMS_Swine_LeachingAndRunoff_Equations.VEERG_4_5_1_7__1_AnnualEmissionsFromLeachingAndRunoffFromMMS_Variable()</f>
        <v>E_N2Oleach</v>
      </c>
    </row>
    <row r="38" spans="4:18" ht="20.100000000000001" customHeight="1" x14ac:dyDescent="0.25">
      <c r="D38" s="53" t="s">
        <v>19</v>
      </c>
      <c r="E38" s="54" t="str" cm="1">
        <f t="array" ref="E38">MMS_Swine_LeachingAndRunoff_Equations.VEERG_4_5_1_7__1_AnnualEmissionsFromLeachingAndRunoffFromMMS_Unit()</f>
        <v>t N2O</v>
      </c>
    </row>
    <row r="39" spans="4:18" ht="20.100000000000001" customHeight="1" x14ac:dyDescent="0.25"/>
    <row r="40" spans="4:18" ht="20.100000000000001" customHeight="1" x14ac:dyDescent="0.25">
      <c r="D40" s="57" t="str" cm="1">
        <f t="array" ref="D40:E42">MMS_Swine_LeachingAndRunoff_Equations.VEERG_4_5_1_7__1_AnnualEmissionsFromLeachingAndRunoffFromMMS_Arguments()</f>
        <v>MNLeach_jm5</v>
      </c>
      <c r="E40" s="58" t="str">
        <v>mass of N lost through leaching and runoff from drylot MMS (kg N)</v>
      </c>
      <c r="F40" s="59"/>
      <c r="G40" s="57" t="str">
        <f>"See " &amp; D25</f>
        <v>See M1_Table_MN_leach_j_m-5</v>
      </c>
    </row>
    <row r="41" spans="4:18" ht="20.100000000000001" customHeight="1" x14ac:dyDescent="0.25">
      <c r="D41" s="57" t="str">
        <v>EF_leach</v>
      </c>
      <c r="E41" s="58" t="str">
        <v>emission factor for leaching and runoff (kg N2O-N/kg N)</v>
      </c>
      <c r="F41" s="59"/>
      <c r="G41" s="57">
        <f>'Constants - Common'!$E$170</f>
        <v>1.0999999999999999E-2</v>
      </c>
    </row>
    <row r="42" spans="4:18" ht="20.100000000000001" customHeight="1" x14ac:dyDescent="0.25">
      <c r="D42" s="57" t="str">
        <v>C_N2O</v>
      </c>
      <c r="E42" s="58" t="str">
        <v>factor to convert elemental mass of N2O to molecular mass</v>
      </c>
      <c r="F42" s="59"/>
      <c r="G42" s="57">
        <f>Common_InputFunctions.Utility_LookupValueInTableNumber("N2O",Table_GasToMolecularConversionFactor[Gas],Table_GasToMolecularConversionFactor[Conversion factor combined])</f>
        <v>1.5714285714285714</v>
      </c>
    </row>
    <row r="43" spans="4:18" ht="20.100000000000001" customHeight="1" x14ac:dyDescent="0.25"/>
    <row r="44" spans="4:18" ht="20.100000000000001" customHeight="1" x14ac:dyDescent="0.25">
      <c r="D44" s="99" t="s">
        <v>345</v>
      </c>
      <c r="M44" s="99" t="s">
        <v>348</v>
      </c>
    </row>
    <row r="45" spans="4:18" ht="20.100000000000001" customHeight="1" x14ac:dyDescent="0.25">
      <c r="D45" s="98" t="s">
        <v>346</v>
      </c>
      <c r="M45" s="98" t="s">
        <v>349</v>
      </c>
    </row>
    <row r="46" spans="4:18" ht="20.100000000000001" customHeight="1" x14ac:dyDescent="0.25">
      <c r="D46" s="51" t="s">
        <v>169</v>
      </c>
      <c r="E46" s="51" t="s">
        <v>143</v>
      </c>
      <c r="F46" s="51" t="s">
        <v>144</v>
      </c>
      <c r="G46" s="51" t="s">
        <v>145</v>
      </c>
      <c r="H46" s="51" t="s">
        <v>263</v>
      </c>
      <c r="M46" s="51" t="s">
        <v>169</v>
      </c>
      <c r="N46" s="51" t="s">
        <v>143</v>
      </c>
      <c r="O46" s="51" t="s">
        <v>144</v>
      </c>
      <c r="P46" s="51" t="s">
        <v>145</v>
      </c>
      <c r="Q46" s="51" t="s">
        <v>263</v>
      </c>
    </row>
    <row r="47" spans="4:18" ht="20.100000000000001" customHeight="1" x14ac:dyDescent="0.25">
      <c r="D47" s="52" t="str">
        <f>'Input - Swine'!$D$30</f>
        <v>Drylot (feed pad)</v>
      </c>
      <c r="E47" s="52" cm="1">
        <f t="array" ref="E47">MMS_Swine_LeachingAndRunoff_Equations.VEERG_4_5_1_7__1_AnnualEmissionsFromLeachingAndRunoffFromMMS(E28,$G$41,$G$42)</f>
        <v>6.9654514285714269E-5</v>
      </c>
      <c r="F47" s="52" cm="1">
        <f t="array" ref="F47">MMS_Swine_LeachingAndRunoff_Equations.VEERG_4_5_1_7__1_AnnualEmissionsFromLeachingAndRunoffFromMMS(F28,$G$41,$G$42)</f>
        <v>7.4197200000000009E-5</v>
      </c>
      <c r="G47" s="52" cm="1">
        <f t="array" ref="G47">MMS_Swine_LeachingAndRunoff_Equations.VEERG_4_5_1_7__1_AnnualEmissionsFromLeachingAndRunoffFromMMS(G28,$G$41,$G$42)</f>
        <v>6.9654514285714269E-5</v>
      </c>
      <c r="H47" s="52" cm="1">
        <f t="array" ref="H47">MMS_Swine_LeachingAndRunoff_Equations.VEERG_4_5_1_7__1_AnnualEmissionsFromLeachingAndRunoffFromMMS(H28,$G$41,$G$42)</f>
        <v>4.7243931428571419E-5</v>
      </c>
      <c r="I47" s="2" t="str">
        <f>$E$38</f>
        <v>t N2O</v>
      </c>
      <c r="M47" s="52" t="str">
        <f>'Input - Swine'!$D$30</f>
        <v>Drylot (feed pad)</v>
      </c>
      <c r="N47" s="52" cm="1">
        <f t="array" ref="N47">MMS_Swine_LeachingAndRunoff_Equations.VEERG_4_5_1_7__1_AnnualEmissionsFromLeachingAndRunoffFromMMS(N28,$G$41,$G$42)</f>
        <v>6.9654514285714269E-5</v>
      </c>
      <c r="O47" s="52" cm="1">
        <f t="array" ref="O47">MMS_Swine_LeachingAndRunoff_Equations.VEERG_4_5_1_7__1_AnnualEmissionsFromLeachingAndRunoffFromMMS(O28,$G$41,$G$42)</f>
        <v>7.4197200000000009E-5</v>
      </c>
      <c r="P47" s="52" cm="1">
        <f t="array" ref="P47">MMS_Swine_LeachingAndRunoff_Equations.VEERG_4_5_1_7__1_AnnualEmissionsFromLeachingAndRunoffFromMMS(P28,$G$41,$G$42)</f>
        <v>6.9654514285714269E-5</v>
      </c>
      <c r="Q47" s="52" cm="1">
        <f t="array" ref="Q47">MMS_Swine_LeachingAndRunoff_Equations.VEERG_4_5_1_7__1_AnnualEmissionsFromLeachingAndRunoffFromMMS(Q28,$G$41,$G$42)</f>
        <v>4.7243931428571419E-5</v>
      </c>
      <c r="R47" s="2" t="str">
        <f>$E$38</f>
        <v>t N2O</v>
      </c>
    </row>
    <row r="48" spans="4:18" ht="20.100000000000001" customHeight="1" x14ac:dyDescent="0.25"/>
    <row r="49" spans="4:16" ht="20.100000000000001" customHeight="1" x14ac:dyDescent="0.25">
      <c r="D49" s="101" t="s">
        <v>347</v>
      </c>
      <c r="E49" s="102">
        <f>SUM(E47:H47)</f>
        <v>2.6075015999999998E-4</v>
      </c>
      <c r="F49" s="103" t="str">
        <f>$E$38</f>
        <v>t N2O</v>
      </c>
      <c r="M49" s="101" t="s">
        <v>347</v>
      </c>
      <c r="N49" s="102">
        <f>SUM(N47:Q47)</f>
        <v>2.6075015999999998E-4</v>
      </c>
      <c r="O49" s="103" t="str">
        <f>$E$38</f>
        <v>t N2O</v>
      </c>
    </row>
    <row r="50" spans="4:16" ht="20.100000000000001" customHeight="1" x14ac:dyDescent="0.25"/>
    <row r="51" spans="4:16" ht="20.100000000000001" customHeight="1" x14ac:dyDescent="0.25">
      <c r="D51" s="57" t="str" cm="1">
        <f t="array" ref="D51:E52">Common_Equations.Common_ConvertN2OToCO2e_Arguments()</f>
        <v>EN2O</v>
      </c>
      <c r="E51" s="58" t="str">
        <v>Nitrous oxide emissions (t N2O)</v>
      </c>
      <c r="F51" s="104"/>
      <c r="G51" s="52">
        <f>E49</f>
        <v>2.6075015999999998E-4</v>
      </c>
      <c r="M51" s="57" t="str" cm="1">
        <f t="array" ref="M51:N52">Common_Equations.Common_ConvertN2OToCO2e_Arguments()</f>
        <v>EN2O</v>
      </c>
      <c r="N51" s="58" t="str">
        <v>Nitrous oxide emissions (t N2O)</v>
      </c>
      <c r="O51" s="104"/>
      <c r="P51" s="52">
        <f>N49</f>
        <v>2.6075015999999998E-4</v>
      </c>
    </row>
    <row r="52" spans="4:16" ht="20.100000000000001" customHeight="1" x14ac:dyDescent="0.25">
      <c r="D52" s="57" t="str">
        <v>GWPN2O</v>
      </c>
      <c r="E52" s="58" t="str">
        <v>Global warming potential for nitrous oxide (t CO2-e / t N2O)</v>
      </c>
      <c r="F52" s="104"/>
      <c r="G52" s="52">
        <f>Common_InputFunctions.Utility_LookupValueInTableNumber("N2O",[2]!Table_GWPData[Gas],[2]!Table_GWPData[CO2-e factor])</f>
        <v>265</v>
      </c>
      <c r="M52" s="57" t="str">
        <v>GWPN2O</v>
      </c>
      <c r="N52" s="58" t="str">
        <v>Global warming potential for nitrous oxide (t CO2-e / t N2O)</v>
      </c>
      <c r="O52" s="104"/>
      <c r="P52" s="52">
        <f>Common_InputFunctions.Utility_LookupValueInTableNumber("N2O",[2]!Table_GWPData[Gas],[2]!Table_GWPData[CO2-e factor])</f>
        <v>265</v>
      </c>
    </row>
    <row r="53" spans="4:16" ht="20.100000000000001" customHeight="1" x14ac:dyDescent="0.25"/>
    <row r="54" spans="4:16" ht="20.100000000000001" customHeight="1" x14ac:dyDescent="0.25">
      <c r="D54" s="45" t="s">
        <v>101</v>
      </c>
      <c r="E54" s="45" cm="1">
        <f t="array" ref="E54">Common_Equations.Common_ConvertN2OToCO2e(G51,G52)</f>
        <v>6.9098792399999998E-2</v>
      </c>
      <c r="F54" s="105" t="str" cm="1">
        <f t="array" ref="F54">Common_Equations.Common_ConvertN2OToCO2e_Unit()</f>
        <v>t CO2e</v>
      </c>
      <c r="M54" s="45" t="s">
        <v>101</v>
      </c>
      <c r="N54" s="45" cm="1">
        <f t="array" ref="N54">Common_Equations.Common_ConvertN2OToCO2e(P51,P52)</f>
        <v>6.9098792399999998E-2</v>
      </c>
      <c r="O54" s="105" t="str" cm="1">
        <f t="array" ref="O54">Common_Equations.Common_ConvertN2OToCO2e_Unit()</f>
        <v>t CO2e</v>
      </c>
    </row>
    <row r="55" spans="4:16" ht="20.100000000000001" customHeight="1" x14ac:dyDescent="0.25"/>
    <row r="56" spans="4:16" ht="20.100000000000001" customHeight="1" x14ac:dyDescent="0.25"/>
    <row r="57" spans="4:16" ht="20.100000000000001" customHeight="1" x14ac:dyDescent="0.25"/>
    <row r="58" spans="4:16" ht="20.100000000000001" customHeight="1" x14ac:dyDescent="0.25"/>
    <row r="59" spans="4:16" ht="20.100000000000001" customHeight="1" x14ac:dyDescent="0.25"/>
    <row r="60" spans="4:16" ht="20.100000000000001" customHeight="1" x14ac:dyDescent="0.25"/>
    <row r="61" spans="4:16" ht="20.100000000000001" customHeight="1" x14ac:dyDescent="0.25"/>
    <row r="62" spans="4:16" ht="20.100000000000001" customHeight="1" x14ac:dyDescent="0.25"/>
    <row r="63" spans="4:16" ht="20.100000000000001" customHeight="1" x14ac:dyDescent="0.25"/>
    <row r="64" spans="4:16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66575-F465-4E80-A051-488250B82152}">
  <dimension ref="A1:U235"/>
  <sheetViews>
    <sheetView showGridLines="0" topLeftCell="A185" workbookViewId="0">
      <selection activeCell="D212" sqref="D21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0" width="30.7109375" style="1" customWidth="1"/>
    <col min="11" max="11" width="4.7109375" style="1" customWidth="1"/>
    <col min="12" max="12" width="4.7109375" customWidth="1"/>
    <col min="13" max="13" width="4.7109375" style="1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352</v>
      </c>
    </row>
    <row r="2" spans="1:21" s="9" customFormat="1" ht="20.100000000000001" customHeight="1" x14ac:dyDescent="0.25"/>
    <row r="3" spans="1:21" ht="20.100000000000001" customHeight="1" x14ac:dyDescent="0.25">
      <c r="A3" s="17" t="str">
        <f>HYPERLINK("#'Home'!A1", "Home")</f>
        <v>Home</v>
      </c>
      <c r="C3" s="4"/>
      <c r="D3" s="4" t="s">
        <v>102</v>
      </c>
      <c r="E3" s="4"/>
      <c r="F3" s="4"/>
      <c r="G3" s="4"/>
      <c r="H3" s="4"/>
      <c r="I3" s="4"/>
      <c r="J3" s="4"/>
      <c r="K3" s="4"/>
      <c r="M3" s="4"/>
      <c r="N3" s="4" t="s">
        <v>103</v>
      </c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  <c r="D5" s="6" t="str" cm="1">
        <f t="array" ref="D5">MMS_Swine_ManureAppliedToSoils_Equations.VEERG_4_5_1_9__1_MassOfNitrogenAppliedToSoilsScope1_Title()</f>
        <v>Mass of nitrogen applied to soils for scope 1 emissions</v>
      </c>
    </row>
    <row r="6" spans="1:21" ht="20.100000000000001" customHeight="1" x14ac:dyDescent="0.25">
      <c r="A6" s="20" t="s">
        <v>3</v>
      </c>
      <c r="D6" s="5" t="str" cm="1">
        <f t="array" ref="D6">MMS_Swine_ManureAppliedToSoils_Equations.VEERG_4_5_1_9__1_MassOfNitrogenAppliedToSoilsScope1_Source()</f>
        <v>VEERG 2026: 4.5.1.9, Equation (1)</v>
      </c>
    </row>
    <row r="7" spans="1:21" ht="20.100000000000001" customHeight="1" x14ac:dyDescent="0.25">
      <c r="A7" s="17" t="str">
        <f>HYPERLINK("#'Input - Site'!A1", "Site")</f>
        <v>Site</v>
      </c>
      <c r="D7" s="13" t="s">
        <v>26</v>
      </c>
      <c r="E7" s="13" t="str" cm="1">
        <f t="array" aca="1" ref="E7" ca="1">Common_InputFunctions.Utility_DisplayFunctionName(F115)</f>
        <v>=MMS_Swine_ManureAppliedToSoils_Equations.VEERG_4_5_1_9__1_MassOfNitrogenAppliedToSoilsScope1</v>
      </c>
    </row>
    <row r="8" spans="1:21" ht="20.100000000000001" customHeight="1" x14ac:dyDescent="0.25">
      <c r="A8" s="17" t="str">
        <f>HYPERLINK("#'Input - Swine'!A1", "Swine")</f>
        <v>Swine</v>
      </c>
    </row>
    <row r="9" spans="1:21" ht="20.100000000000001" customHeight="1" x14ac:dyDescent="0.25">
      <c r="A9" s="17"/>
      <c r="G9" s="107" t="s">
        <v>354</v>
      </c>
    </row>
    <row r="10" spans="1:21" ht="20.100000000000001" customHeight="1" x14ac:dyDescent="0.25">
      <c r="A10" s="19" t="s">
        <v>76</v>
      </c>
      <c r="D10" s="53" t="s">
        <v>29</v>
      </c>
      <c r="E10" s="1" t="str" cm="1">
        <f t="array" ref="E10">MMS_Swine_ManureAppliedToSoils_Equations.VEERG_4_5_1_9__1_MassOfNitrogenAppliedToSoilsScope1_Variable()</f>
        <v>MNSoil_scope1</v>
      </c>
      <c r="G10" s="5" t="s">
        <v>353</v>
      </c>
    </row>
    <row r="11" spans="1:21" ht="20.100000000000001" customHeight="1" x14ac:dyDescent="0.25">
      <c r="A11" s="17" t="str">
        <f>HYPERLINK("#'4.5.1.1-2 Methane'!A1", "4.5.1.1-2 Methane")</f>
        <v>4.5.1.1-2 Methane</v>
      </c>
      <c r="D11" s="53" t="s">
        <v>19</v>
      </c>
      <c r="E11" s="54" t="str" cm="1">
        <f t="array" ref="E11">MMS_Swine_ManureAppliedToSoils_Equations.VEERG_4_5_1_9__1_MassOfNitrogenAppliedToSoilsScope1_Unit()</f>
        <v>kg N</v>
      </c>
    </row>
    <row r="12" spans="1:21" ht="20.100000000000001" customHeight="1" x14ac:dyDescent="0.25">
      <c r="A12" s="17" t="str">
        <f>HYPERLINK("#'4.5.1.3-4 Direct N20'!A1", "4.5.1.3-4 Direct N2O")</f>
        <v>4.5.1.3-4 Direct N2O</v>
      </c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D13" s="57" t="str" cm="1">
        <f t="array" ref="D13:E17">MMS_Swine_ManureAppliedToSoils_Equations.VEERG_4_5_1_9__1_MassOfNitrogenAppliedToSoilsScope1_Arguments()</f>
        <v>MN_jmT2</v>
      </c>
      <c r="E13" s="58" t="str">
        <v>mass of N in MMS at treatment stage 2 : kg N</v>
      </c>
      <c r="F13" s="100"/>
      <c r="G13" s="59"/>
      <c r="H13" s="57" t="str">
        <f>"See " &amp; D19</f>
        <v>See M1_Table_MN_j_m_T-2</v>
      </c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57" t="str">
        <v>EF_mT2</v>
      </c>
      <c r="E14" s="58" t="str">
        <v>nitrous oxide emission factor for each MMS at treatment stage 2 : kg N2O-N/kg N</v>
      </c>
      <c r="F14" s="100"/>
      <c r="G14" s="59"/>
      <c r="H14" s="57" t="str">
        <f>"See " &amp; D102</f>
        <v>See Table_EF_m_T</v>
      </c>
    </row>
    <row r="15" spans="1:21" ht="20.100000000000001" customHeight="1" x14ac:dyDescent="0.25">
      <c r="A15" s="142" t="str">
        <f>HYPERLINK("#'4.5.1.9 Manure applied to soils'!A1", "4.5.1.9 Manure applied to soils")</f>
        <v>4.5.1.9 Manure applied to soils</v>
      </c>
      <c r="D15" s="57" t="str">
        <v>FracGASM_mT2</v>
      </c>
      <c r="E15" s="58" t="str">
        <v>fraction of animal waste N volatilised in each MMS at treatment stage 2 : (kg NH3-N + NOx-N)/kg N</v>
      </c>
      <c r="F15" s="100"/>
      <c r="G15" s="59"/>
      <c r="H15" s="57" t="str">
        <f>"See " &amp; D92</f>
        <v>See Table_FracGASM_m_t</v>
      </c>
    </row>
    <row r="16" spans="1:21" ht="20.100000000000001" customHeight="1" x14ac:dyDescent="0.25">
      <c r="D16" s="57" t="str">
        <v>MNLeach_jm5</v>
      </c>
      <c r="E16" s="58" t="str">
        <v>mass of N lost to leaching and runoff from drylot MMS : kg N</v>
      </c>
      <c r="F16" s="100"/>
      <c r="G16" s="59"/>
      <c r="H16" s="57" t="str">
        <f>"See " &amp; D44</f>
        <v>See M1_Table_MN_leach_j_m-5</v>
      </c>
    </row>
    <row r="17" spans="1:20" ht="20.100000000000001" customHeight="1" x14ac:dyDescent="0.25">
      <c r="A17" s="18" t="s">
        <v>4</v>
      </c>
      <c r="D17" s="57" t="str">
        <v>PF</v>
      </c>
      <c r="E17" s="58" t="str">
        <v>fraction of manure applied to soil within the piggery boundary : fraction</v>
      </c>
      <c r="F17" s="100"/>
      <c r="G17" s="59"/>
      <c r="H17" s="57" t="str">
        <f>"See " &amp; D68</f>
        <v>See M1_Table_PF</v>
      </c>
    </row>
    <row r="18" spans="1:20" ht="20.100000000000001" customHeight="1" x14ac:dyDescent="0.25">
      <c r="A18" s="17" t="str">
        <f>HYPERLINK("#'Constants - Swine'!A1", "Constants - Swine")</f>
        <v>Constants - Swine</v>
      </c>
    </row>
    <row r="19" spans="1:20" ht="20.100000000000001" customHeight="1" x14ac:dyDescent="0.25">
      <c r="A19" s="17" t="str">
        <f>HYPERLINK("#'Constants - Livestock'!A1", "Constants - Livestock")</f>
        <v>Constants - Livestock</v>
      </c>
      <c r="D19" s="121" t="s">
        <v>317</v>
      </c>
      <c r="N19" s="121" t="s">
        <v>374</v>
      </c>
    </row>
    <row r="20" spans="1:20" ht="20.100000000000001" customHeight="1" x14ac:dyDescent="0.25">
      <c r="A20" s="17" t="str">
        <f>HYPERLINK("#'Constants - Common'!A1", "Constants - Common")</f>
        <v>Constants - Common</v>
      </c>
      <c r="D20" s="122" t="s">
        <v>318</v>
      </c>
      <c r="N20" s="122" t="s">
        <v>375</v>
      </c>
    </row>
    <row r="21" spans="1:20" ht="20.100000000000001" customHeight="1" x14ac:dyDescent="0.25">
      <c r="A21" s="17" t="str">
        <f>HYPERLINK("#'Acknowledgements'!A1", "Acknowledgements")</f>
        <v>Acknowledgements</v>
      </c>
      <c r="D21" s="51" t="s">
        <v>169</v>
      </c>
      <c r="E21" s="51" t="s">
        <v>206</v>
      </c>
      <c r="F21" s="51" t="s">
        <v>143</v>
      </c>
      <c r="G21" s="51" t="s">
        <v>144</v>
      </c>
      <c r="H21" s="51" t="s">
        <v>145</v>
      </c>
      <c r="I21" s="51" t="s">
        <v>263</v>
      </c>
      <c r="N21" s="51" t="s">
        <v>169</v>
      </c>
      <c r="O21" s="51" t="s">
        <v>206</v>
      </c>
      <c r="P21" s="51" t="s">
        <v>143</v>
      </c>
      <c r="Q21" s="51" t="s">
        <v>144</v>
      </c>
      <c r="R21" s="51" t="s">
        <v>145</v>
      </c>
      <c r="S21" s="51" t="s">
        <v>263</v>
      </c>
    </row>
    <row r="22" spans="1:20" ht="20.100000000000001" customHeight="1" x14ac:dyDescent="0.25">
      <c r="D22" s="57" t="str">
        <f>'Input - Swine'!$D$29</f>
        <v>Anaerobic lagoon</v>
      </c>
      <c r="E22" s="57" t="str">
        <f>'Input - Swine'!$D$48</f>
        <v>Digester / covered lagoons</v>
      </c>
      <c r="F22" s="52">
        <f>'4.5.1.3-4 Direct N20'!F209</f>
        <v>18.133199999999995</v>
      </c>
      <c r="G22" s="52">
        <f>'4.5.1.3-4 Direct N20'!G209</f>
        <v>24.144750000000002</v>
      </c>
      <c r="H22" s="52">
        <f>'4.5.1.3-4 Direct N20'!H209</f>
        <v>22.666499999999992</v>
      </c>
      <c r="I22" s="52">
        <f>'4.5.1.3-4 Direct N20'!I209</f>
        <v>15.373799999999996</v>
      </c>
      <c r="J22" s="2" t="s">
        <v>122</v>
      </c>
      <c r="N22" s="57" t="str">
        <f>'Input - Swine'!$D$29</f>
        <v>Anaerobic lagoon</v>
      </c>
      <c r="O22" s="57" t="str">
        <f>'Input - Swine'!$D$48</f>
        <v>Digester / covered lagoons</v>
      </c>
      <c r="P22" s="52">
        <f>'4.5.1.3-4 Direct N20'!P209</f>
        <v>18.133199999999995</v>
      </c>
      <c r="Q22" s="52">
        <f>'4.5.1.3-4 Direct N20'!Q209</f>
        <v>24.144750000000002</v>
      </c>
      <c r="R22" s="52">
        <f>'4.5.1.3-4 Direct N20'!R209</f>
        <v>22.666499999999992</v>
      </c>
      <c r="S22" s="52">
        <f>'4.5.1.3-4 Direct N20'!S209</f>
        <v>15.373799999999996</v>
      </c>
      <c r="T22" s="2" t="s">
        <v>122</v>
      </c>
    </row>
    <row r="23" spans="1:20" ht="20.100000000000001" customHeight="1" x14ac:dyDescent="0.25">
      <c r="A23" s="17"/>
      <c r="D23" s="57"/>
      <c r="E23" s="57" t="str">
        <f>'Input - Swine'!$D$49</f>
        <v>Deep litter</v>
      </c>
      <c r="F23" s="52">
        <f>'4.5.1.3-4 Direct N20'!F210</f>
        <v>18.133199999999995</v>
      </c>
      <c r="G23" s="52">
        <f>'4.5.1.3-4 Direct N20'!G210</f>
        <v>24.144750000000002</v>
      </c>
      <c r="H23" s="52">
        <f>'4.5.1.3-4 Direct N20'!H210</f>
        <v>22.666499999999992</v>
      </c>
      <c r="I23" s="52">
        <f>'4.5.1.3-4 Direct N20'!I210</f>
        <v>15.373799999999996</v>
      </c>
      <c r="J23" s="2" t="s">
        <v>122</v>
      </c>
      <c r="N23" s="57"/>
      <c r="O23" s="57" t="str">
        <f>'Input - Swine'!$D$49</f>
        <v>Deep litter</v>
      </c>
      <c r="P23" s="52">
        <f>'4.5.1.3-4 Direct N20'!P210</f>
        <v>18.133199999999995</v>
      </c>
      <c r="Q23" s="52">
        <f>'4.5.1.3-4 Direct N20'!Q210</f>
        <v>24.144750000000002</v>
      </c>
      <c r="R23" s="52">
        <f>'4.5.1.3-4 Direct N20'!R210</f>
        <v>22.666499999999992</v>
      </c>
      <c r="S23" s="52">
        <f>'4.5.1.3-4 Direct N20'!S210</f>
        <v>15.373799999999996</v>
      </c>
      <c r="T23" s="2" t="s">
        <v>122</v>
      </c>
    </row>
    <row r="24" spans="1:20" ht="20.100000000000001" customHeight="1" x14ac:dyDescent="0.25">
      <c r="A24" s="17"/>
      <c r="D24" s="57"/>
      <c r="E24" s="57" t="str">
        <f>'Input - Swine'!$D$50</f>
        <v>Pit storage</v>
      </c>
      <c r="F24" s="52">
        <f>'4.5.1.3-4 Direct N20'!F211</f>
        <v>18.133199999999995</v>
      </c>
      <c r="G24" s="52">
        <f>'4.5.1.3-4 Direct N20'!G211</f>
        <v>24.144750000000002</v>
      </c>
      <c r="H24" s="52">
        <f>'4.5.1.3-4 Direct N20'!H211</f>
        <v>22.666499999999992</v>
      </c>
      <c r="I24" s="52">
        <f>'4.5.1.3-4 Direct N20'!I211</f>
        <v>15.373799999999996</v>
      </c>
      <c r="J24" s="2" t="s">
        <v>122</v>
      </c>
      <c r="N24" s="57"/>
      <c r="O24" s="57" t="str">
        <f>'Input - Swine'!$D$50</f>
        <v>Pit storage</v>
      </c>
      <c r="P24" s="52">
        <f>'4.5.1.3-4 Direct N20'!P211</f>
        <v>18.133199999999995</v>
      </c>
      <c r="Q24" s="52">
        <f>'4.5.1.3-4 Direct N20'!Q211</f>
        <v>24.144750000000002</v>
      </c>
      <c r="R24" s="52">
        <f>'4.5.1.3-4 Direct N20'!R211</f>
        <v>22.666499999999992</v>
      </c>
      <c r="S24" s="52">
        <f>'4.5.1.3-4 Direct N20'!S211</f>
        <v>15.373799999999996</v>
      </c>
      <c r="T24" s="2" t="s">
        <v>122</v>
      </c>
    </row>
    <row r="25" spans="1:20" ht="20.100000000000001" customHeight="1" x14ac:dyDescent="0.25">
      <c r="D25" s="57" t="str">
        <f>'Input - Swine'!$D$30</f>
        <v>Drylot (feed pad)</v>
      </c>
      <c r="E25" s="57" t="str">
        <f>'Input - Swine'!$D$55</f>
        <v>Anaerobic lagoon</v>
      </c>
      <c r="F25" s="52">
        <f>'4.5.1.3-4 Direct N20'!F212</f>
        <v>27.401279999999993</v>
      </c>
      <c r="G25" s="52">
        <f>'4.5.1.3-4 Direct N20'!G212</f>
        <v>36.485400000000006</v>
      </c>
      <c r="H25" s="52">
        <f>'4.5.1.3-4 Direct N20'!H212</f>
        <v>34.251599999999989</v>
      </c>
      <c r="I25" s="52">
        <f>'4.5.1.3-4 Direct N20'!I212</f>
        <v>23.231519999999993</v>
      </c>
      <c r="J25" s="2" t="s">
        <v>122</v>
      </c>
      <c r="N25" s="57" t="str">
        <f>'Input - Swine'!$D$30</f>
        <v>Drylot (feed pad)</v>
      </c>
      <c r="O25" s="57" t="str">
        <f>'Input - Swine'!$D$55</f>
        <v>Anaerobic lagoon</v>
      </c>
      <c r="P25" s="52">
        <f>'4.5.1.3-4 Direct N20'!P212</f>
        <v>27.401279999999993</v>
      </c>
      <c r="Q25" s="52">
        <f>'4.5.1.3-4 Direct N20'!Q212</f>
        <v>36.485400000000006</v>
      </c>
      <c r="R25" s="52">
        <f>'4.5.1.3-4 Direct N20'!R212</f>
        <v>34.251599999999989</v>
      </c>
      <c r="S25" s="52">
        <f>'4.5.1.3-4 Direct N20'!S212</f>
        <v>23.231519999999993</v>
      </c>
      <c r="T25" s="2" t="s">
        <v>122</v>
      </c>
    </row>
    <row r="26" spans="1:20" ht="20.100000000000001" customHeight="1" x14ac:dyDescent="0.25">
      <c r="D26" s="57"/>
      <c r="E26" s="57" t="str">
        <f>'Input - Swine'!$D$56</f>
        <v>Digester / covered lagoons</v>
      </c>
      <c r="F26" s="52">
        <f>'4.5.1.3-4 Direct N20'!F213</f>
        <v>27.401279999999993</v>
      </c>
      <c r="G26" s="52">
        <f>'4.5.1.3-4 Direct N20'!G213</f>
        <v>36.485400000000006</v>
      </c>
      <c r="H26" s="52">
        <f>'4.5.1.3-4 Direct N20'!H213</f>
        <v>34.251599999999989</v>
      </c>
      <c r="I26" s="52">
        <f>'4.5.1.3-4 Direct N20'!I213</f>
        <v>23.231519999999993</v>
      </c>
      <c r="J26" s="2" t="s">
        <v>122</v>
      </c>
      <c r="N26" s="57"/>
      <c r="O26" s="57" t="str">
        <f>'Input - Swine'!$D$56</f>
        <v>Digester / covered lagoons</v>
      </c>
      <c r="P26" s="52">
        <f>'4.5.1.3-4 Direct N20'!P213</f>
        <v>27.401279999999993</v>
      </c>
      <c r="Q26" s="52">
        <f>'4.5.1.3-4 Direct N20'!Q213</f>
        <v>36.485400000000006</v>
      </c>
      <c r="R26" s="52">
        <f>'4.5.1.3-4 Direct N20'!R213</f>
        <v>34.251599999999989</v>
      </c>
      <c r="S26" s="52">
        <f>'4.5.1.3-4 Direct N20'!S213</f>
        <v>23.231519999999993</v>
      </c>
      <c r="T26" s="2" t="s">
        <v>122</v>
      </c>
    </row>
    <row r="27" spans="1:20" ht="20.100000000000001" customHeight="1" x14ac:dyDescent="0.25">
      <c r="D27" s="57"/>
      <c r="E27" s="57" t="str">
        <f>'Input - Swine'!$D$57</f>
        <v>Deep litter</v>
      </c>
      <c r="F27" s="52">
        <f>'4.5.1.3-4 Direct N20'!F214</f>
        <v>27.401279999999993</v>
      </c>
      <c r="G27" s="52">
        <f>'4.5.1.3-4 Direct N20'!G214</f>
        <v>36.485400000000006</v>
      </c>
      <c r="H27" s="52">
        <f>'4.5.1.3-4 Direct N20'!H214</f>
        <v>34.251599999999989</v>
      </c>
      <c r="I27" s="52">
        <f>'4.5.1.3-4 Direct N20'!I214</f>
        <v>23.231519999999993</v>
      </c>
      <c r="J27" s="2" t="s">
        <v>122</v>
      </c>
      <c r="N27" s="57"/>
      <c r="O27" s="57" t="str">
        <f>'Input - Swine'!$D$57</f>
        <v>Deep litter</v>
      </c>
      <c r="P27" s="52">
        <f>'4.5.1.3-4 Direct N20'!P214</f>
        <v>27.401279999999993</v>
      </c>
      <c r="Q27" s="52">
        <f>'4.5.1.3-4 Direct N20'!Q214</f>
        <v>36.485400000000006</v>
      </c>
      <c r="R27" s="52">
        <f>'4.5.1.3-4 Direct N20'!R214</f>
        <v>34.251599999999989</v>
      </c>
      <c r="S27" s="52">
        <f>'4.5.1.3-4 Direct N20'!S214</f>
        <v>23.231519999999993</v>
      </c>
      <c r="T27" s="2" t="s">
        <v>122</v>
      </c>
    </row>
    <row r="28" spans="1:20" ht="20.100000000000001" customHeight="1" x14ac:dyDescent="0.25">
      <c r="D28" s="57"/>
      <c r="E28" s="57" t="str">
        <f>'Input - Swine'!$D$58</f>
        <v>Pit storage</v>
      </c>
      <c r="F28" s="52">
        <f>'4.5.1.3-4 Direct N20'!F215</f>
        <v>27.401279999999993</v>
      </c>
      <c r="G28" s="52">
        <f>'4.5.1.3-4 Direct N20'!G215</f>
        <v>36.485400000000006</v>
      </c>
      <c r="H28" s="52">
        <f>'4.5.1.3-4 Direct N20'!H215</f>
        <v>34.251599999999989</v>
      </c>
      <c r="I28" s="52">
        <f>'4.5.1.3-4 Direct N20'!I215</f>
        <v>23.231519999999993</v>
      </c>
      <c r="J28" s="2" t="s">
        <v>122</v>
      </c>
      <c r="N28" s="57"/>
      <c r="O28" s="57" t="str">
        <f>'Input - Swine'!$D$58</f>
        <v>Pit storage</v>
      </c>
      <c r="P28" s="52">
        <f>'4.5.1.3-4 Direct N20'!P215</f>
        <v>27.401279999999993</v>
      </c>
      <c r="Q28" s="52">
        <f>'4.5.1.3-4 Direct N20'!Q215</f>
        <v>36.485400000000006</v>
      </c>
      <c r="R28" s="52">
        <f>'4.5.1.3-4 Direct N20'!R215</f>
        <v>34.251599999999989</v>
      </c>
      <c r="S28" s="52">
        <f>'4.5.1.3-4 Direct N20'!S215</f>
        <v>23.231519999999993</v>
      </c>
      <c r="T28" s="2" t="s">
        <v>122</v>
      </c>
    </row>
    <row r="29" spans="1:20" ht="20.100000000000001" customHeight="1" x14ac:dyDescent="0.25">
      <c r="D29" s="57" t="str">
        <f>'Input - Swine'!$D$31</f>
        <v>Digester / covered lagoons</v>
      </c>
      <c r="E29" s="57" t="str">
        <f>'Input - Swine'!$D$63</f>
        <v>Anaerobic lagoon</v>
      </c>
      <c r="F29" s="52">
        <f>'4.5.1.3-4 Direct N20'!F216</f>
        <v>40.295999999999992</v>
      </c>
      <c r="G29" s="52">
        <f>'4.5.1.3-4 Direct N20'!G216</f>
        <v>53.655000000000008</v>
      </c>
      <c r="H29" s="52">
        <f>'4.5.1.3-4 Direct N20'!H216</f>
        <v>50.36999999999999</v>
      </c>
      <c r="I29" s="52">
        <f>'4.5.1.3-4 Direct N20'!I216</f>
        <v>34.163999999999994</v>
      </c>
      <c r="J29" s="2" t="s">
        <v>122</v>
      </c>
      <c r="N29" s="57" t="str">
        <f>'Input - Swine'!$D$31</f>
        <v>Digester / covered lagoons</v>
      </c>
      <c r="O29" s="57" t="str">
        <f>'Input - Swine'!$D$63</f>
        <v>Anaerobic lagoon</v>
      </c>
      <c r="P29" s="52">
        <f>'4.5.1.3-4 Direct N20'!P216</f>
        <v>40.295999999999992</v>
      </c>
      <c r="Q29" s="52">
        <f>'4.5.1.3-4 Direct N20'!Q216</f>
        <v>53.655000000000008</v>
      </c>
      <c r="R29" s="52">
        <f>'4.5.1.3-4 Direct N20'!R216</f>
        <v>50.36999999999999</v>
      </c>
      <c r="S29" s="52">
        <f>'4.5.1.3-4 Direct N20'!S216</f>
        <v>34.163999999999994</v>
      </c>
      <c r="T29" s="2" t="s">
        <v>122</v>
      </c>
    </row>
    <row r="30" spans="1:20" ht="20.100000000000001" customHeight="1" x14ac:dyDescent="0.25">
      <c r="D30" s="57"/>
      <c r="E30" s="57" t="str">
        <f>'Input - Swine'!$D$64</f>
        <v>Deep litter</v>
      </c>
      <c r="F30" s="52">
        <f>'4.5.1.3-4 Direct N20'!F217</f>
        <v>40.295999999999992</v>
      </c>
      <c r="G30" s="52">
        <f>'4.5.1.3-4 Direct N20'!G217</f>
        <v>53.655000000000008</v>
      </c>
      <c r="H30" s="52">
        <f>'4.5.1.3-4 Direct N20'!H217</f>
        <v>50.36999999999999</v>
      </c>
      <c r="I30" s="52">
        <f>'4.5.1.3-4 Direct N20'!I217</f>
        <v>34.163999999999994</v>
      </c>
      <c r="J30" s="2" t="s">
        <v>122</v>
      </c>
      <c r="N30" s="57"/>
      <c r="O30" s="57" t="str">
        <f>'Input - Swine'!$D$64</f>
        <v>Deep litter</v>
      </c>
      <c r="P30" s="52">
        <f>'4.5.1.3-4 Direct N20'!P217</f>
        <v>40.295999999999992</v>
      </c>
      <c r="Q30" s="52">
        <f>'4.5.1.3-4 Direct N20'!Q217</f>
        <v>53.655000000000008</v>
      </c>
      <c r="R30" s="52">
        <f>'4.5.1.3-4 Direct N20'!R217</f>
        <v>50.36999999999999</v>
      </c>
      <c r="S30" s="52">
        <f>'4.5.1.3-4 Direct N20'!S217</f>
        <v>34.163999999999994</v>
      </c>
      <c r="T30" s="2" t="s">
        <v>122</v>
      </c>
    </row>
    <row r="31" spans="1:20" ht="20.100000000000001" customHeight="1" x14ac:dyDescent="0.25">
      <c r="D31" s="57"/>
      <c r="E31" s="57" t="str">
        <f>'Input - Swine'!$D$65</f>
        <v>Pit storage</v>
      </c>
      <c r="F31" s="52">
        <f>'4.5.1.3-4 Direct N20'!F218</f>
        <v>40.295999999999992</v>
      </c>
      <c r="G31" s="52">
        <f>'4.5.1.3-4 Direct N20'!G218</f>
        <v>53.655000000000008</v>
      </c>
      <c r="H31" s="52">
        <f>'4.5.1.3-4 Direct N20'!H218</f>
        <v>50.36999999999999</v>
      </c>
      <c r="I31" s="52">
        <f>'4.5.1.3-4 Direct N20'!I218</f>
        <v>34.163999999999994</v>
      </c>
      <c r="J31" s="2" t="s">
        <v>122</v>
      </c>
      <c r="N31" s="57"/>
      <c r="O31" s="57" t="str">
        <f>'Input - Swine'!$D$65</f>
        <v>Pit storage</v>
      </c>
      <c r="P31" s="52">
        <f>'4.5.1.3-4 Direct N20'!P218</f>
        <v>40.295999999999992</v>
      </c>
      <c r="Q31" s="52">
        <f>'4.5.1.3-4 Direct N20'!Q218</f>
        <v>53.655000000000008</v>
      </c>
      <c r="R31" s="52">
        <f>'4.5.1.3-4 Direct N20'!R218</f>
        <v>50.36999999999999</v>
      </c>
      <c r="S31" s="52">
        <f>'4.5.1.3-4 Direct N20'!S218</f>
        <v>34.163999999999994</v>
      </c>
      <c r="T31" s="2" t="s">
        <v>122</v>
      </c>
    </row>
    <row r="32" spans="1:20" ht="20.100000000000001" customHeight="1" x14ac:dyDescent="0.25">
      <c r="D32" s="57" t="str">
        <f>'Input - Swine'!$D$32</f>
        <v>Deep litter</v>
      </c>
      <c r="E32" s="57" t="str">
        <f>'Input - Swine'!$D$70</f>
        <v>Anaerobic lagoon</v>
      </c>
      <c r="F32" s="52">
        <f>'4.5.1.3-4 Direct N20'!F219</f>
        <v>34.856039999999993</v>
      </c>
      <c r="G32" s="52">
        <f>'4.5.1.3-4 Direct N20'!G219</f>
        <v>46.411575000000006</v>
      </c>
      <c r="H32" s="52">
        <f>'4.5.1.3-4 Direct N20'!H219</f>
        <v>43.570049999999988</v>
      </c>
      <c r="I32" s="52">
        <f>'4.5.1.3-4 Direct N20'!I219</f>
        <v>29.551859999999994</v>
      </c>
      <c r="J32" s="2" t="s">
        <v>122</v>
      </c>
      <c r="N32" s="57" t="str">
        <f>'Input - Swine'!$D$32</f>
        <v>Deep litter</v>
      </c>
      <c r="O32" s="57" t="str">
        <f>'Input - Swine'!$D$70</f>
        <v>Anaerobic lagoon</v>
      </c>
      <c r="P32" s="52">
        <f>'4.5.1.3-4 Direct N20'!P219</f>
        <v>34.856039999999993</v>
      </c>
      <c r="Q32" s="52">
        <f>'4.5.1.3-4 Direct N20'!Q219</f>
        <v>46.411575000000006</v>
      </c>
      <c r="R32" s="52">
        <f>'4.5.1.3-4 Direct N20'!R219</f>
        <v>43.570049999999988</v>
      </c>
      <c r="S32" s="52">
        <f>'4.5.1.3-4 Direct N20'!S219</f>
        <v>29.551859999999994</v>
      </c>
      <c r="T32" s="2" t="s">
        <v>122</v>
      </c>
    </row>
    <row r="33" spans="4:20" ht="20.100000000000001" customHeight="1" x14ac:dyDescent="0.25">
      <c r="D33" s="57"/>
      <c r="E33" s="57" t="str">
        <f>'Input - Swine'!$D$71</f>
        <v>Digester / covered lagoons</v>
      </c>
      <c r="F33" s="52">
        <f>'4.5.1.3-4 Direct N20'!F220</f>
        <v>34.856039999999993</v>
      </c>
      <c r="G33" s="52">
        <f>'4.5.1.3-4 Direct N20'!G220</f>
        <v>46.411575000000006</v>
      </c>
      <c r="H33" s="52">
        <f>'4.5.1.3-4 Direct N20'!H220</f>
        <v>43.570049999999988</v>
      </c>
      <c r="I33" s="52">
        <f>'4.5.1.3-4 Direct N20'!I220</f>
        <v>29.551859999999994</v>
      </c>
      <c r="J33" s="2" t="s">
        <v>122</v>
      </c>
      <c r="N33" s="57"/>
      <c r="O33" s="57" t="str">
        <f>'Input - Swine'!$D$71</f>
        <v>Digester / covered lagoons</v>
      </c>
      <c r="P33" s="52">
        <f>'4.5.1.3-4 Direct N20'!P220</f>
        <v>34.856039999999993</v>
      </c>
      <c r="Q33" s="52">
        <f>'4.5.1.3-4 Direct N20'!Q220</f>
        <v>46.411575000000006</v>
      </c>
      <c r="R33" s="52">
        <f>'4.5.1.3-4 Direct N20'!R220</f>
        <v>43.570049999999988</v>
      </c>
      <c r="S33" s="52">
        <f>'4.5.1.3-4 Direct N20'!S220</f>
        <v>29.551859999999994</v>
      </c>
      <c r="T33" s="2" t="s">
        <v>122</v>
      </c>
    </row>
    <row r="34" spans="4:20" ht="20.100000000000001" customHeight="1" x14ac:dyDescent="0.25">
      <c r="D34" s="57"/>
      <c r="E34" s="57" t="str">
        <f>'Input - Swine'!$D$72</f>
        <v>Pit storage</v>
      </c>
      <c r="F34" s="52">
        <f>'4.5.1.3-4 Direct N20'!F221</f>
        <v>34.856039999999993</v>
      </c>
      <c r="G34" s="52">
        <f>'4.5.1.3-4 Direct N20'!G221</f>
        <v>46.411575000000006</v>
      </c>
      <c r="H34" s="52">
        <f>'4.5.1.3-4 Direct N20'!H221</f>
        <v>43.570049999999988</v>
      </c>
      <c r="I34" s="52">
        <f>'4.5.1.3-4 Direct N20'!I221</f>
        <v>29.551859999999994</v>
      </c>
      <c r="J34" s="2" t="s">
        <v>122</v>
      </c>
      <c r="N34" s="57"/>
      <c r="O34" s="57" t="str">
        <f>'Input - Swine'!$D$72</f>
        <v>Pit storage</v>
      </c>
      <c r="P34" s="52">
        <f>'4.5.1.3-4 Direct N20'!P221</f>
        <v>34.856039999999993</v>
      </c>
      <c r="Q34" s="52">
        <f>'4.5.1.3-4 Direct N20'!Q221</f>
        <v>46.411575000000006</v>
      </c>
      <c r="R34" s="52">
        <f>'4.5.1.3-4 Direct N20'!R221</f>
        <v>43.570049999999988</v>
      </c>
      <c r="S34" s="52">
        <f>'4.5.1.3-4 Direct N20'!S221</f>
        <v>29.551859999999994</v>
      </c>
      <c r="T34" s="2" t="s">
        <v>122</v>
      </c>
    </row>
    <row r="35" spans="4:20" ht="20.100000000000001" customHeight="1" x14ac:dyDescent="0.25">
      <c r="D35" s="57" t="str">
        <f>'Input - Swine'!$D$33</f>
        <v>Pit storage</v>
      </c>
      <c r="E35" s="57" t="str">
        <f>'Input - Swine'!$D$77</f>
        <v>Anaerobic lagoon</v>
      </c>
      <c r="F35" s="52">
        <f>'4.5.1.3-4 Direct N20'!F222</f>
        <v>30.141407999999998</v>
      </c>
      <c r="G35" s="52">
        <f>'4.5.1.3-4 Direct N20'!G222</f>
        <v>40.133940000000003</v>
      </c>
      <c r="H35" s="52">
        <f>'4.5.1.3-4 Direct N20'!H222</f>
        <v>37.676759999999994</v>
      </c>
      <c r="I35" s="52">
        <f>'4.5.1.3-4 Direct N20'!I222</f>
        <v>25.554671999999997</v>
      </c>
      <c r="J35" s="2" t="s">
        <v>122</v>
      </c>
      <c r="N35" s="57" t="str">
        <f>'Input - Swine'!$D$33</f>
        <v>Pit storage</v>
      </c>
      <c r="O35" s="57" t="str">
        <f>'Input - Swine'!$D$77</f>
        <v>Anaerobic lagoon</v>
      </c>
      <c r="P35" s="52">
        <f>'4.5.1.3-4 Direct N20'!P222</f>
        <v>30.141407999999998</v>
      </c>
      <c r="Q35" s="52">
        <f>'4.5.1.3-4 Direct N20'!Q222</f>
        <v>40.133940000000003</v>
      </c>
      <c r="R35" s="52">
        <f>'4.5.1.3-4 Direct N20'!R222</f>
        <v>37.676759999999994</v>
      </c>
      <c r="S35" s="52">
        <f>'4.5.1.3-4 Direct N20'!S222</f>
        <v>25.554671999999997</v>
      </c>
      <c r="T35" s="2" t="s">
        <v>122</v>
      </c>
    </row>
    <row r="36" spans="4:20" ht="20.100000000000001" customHeight="1" x14ac:dyDescent="0.25">
      <c r="D36" s="57"/>
      <c r="E36" s="57" t="str">
        <f>'Input - Swine'!$D$78</f>
        <v>Digester / covered lagoons</v>
      </c>
      <c r="F36" s="52">
        <f>'4.5.1.3-4 Direct N20'!F223</f>
        <v>30.141407999999998</v>
      </c>
      <c r="G36" s="52">
        <f>'4.5.1.3-4 Direct N20'!G223</f>
        <v>40.133940000000003</v>
      </c>
      <c r="H36" s="52">
        <f>'4.5.1.3-4 Direct N20'!H223</f>
        <v>37.676759999999994</v>
      </c>
      <c r="I36" s="52">
        <f>'4.5.1.3-4 Direct N20'!I223</f>
        <v>25.554671999999997</v>
      </c>
      <c r="J36" s="2" t="s">
        <v>122</v>
      </c>
      <c r="N36" s="57"/>
      <c r="O36" s="57" t="str">
        <f>'Input - Swine'!$D$78</f>
        <v>Digester / covered lagoons</v>
      </c>
      <c r="P36" s="52">
        <f>'4.5.1.3-4 Direct N20'!P223</f>
        <v>30.141407999999998</v>
      </c>
      <c r="Q36" s="52">
        <f>'4.5.1.3-4 Direct N20'!Q223</f>
        <v>40.133940000000003</v>
      </c>
      <c r="R36" s="52">
        <f>'4.5.1.3-4 Direct N20'!R223</f>
        <v>37.676759999999994</v>
      </c>
      <c r="S36" s="52">
        <f>'4.5.1.3-4 Direct N20'!S223</f>
        <v>25.554671999999997</v>
      </c>
      <c r="T36" s="2" t="s">
        <v>122</v>
      </c>
    </row>
    <row r="37" spans="4:20" ht="20.100000000000001" customHeight="1" x14ac:dyDescent="0.25">
      <c r="D37" s="57"/>
      <c r="E37" s="57" t="str">
        <f>'Input - Swine'!$D$79</f>
        <v>Deep litter</v>
      </c>
      <c r="F37" s="52">
        <f>'4.5.1.3-4 Direct N20'!F224</f>
        <v>30.141407999999998</v>
      </c>
      <c r="G37" s="52">
        <f>'4.5.1.3-4 Direct N20'!G224</f>
        <v>40.133940000000003</v>
      </c>
      <c r="H37" s="52">
        <f>'4.5.1.3-4 Direct N20'!H224</f>
        <v>37.676759999999994</v>
      </c>
      <c r="I37" s="52">
        <f>'4.5.1.3-4 Direct N20'!I224</f>
        <v>25.554671999999997</v>
      </c>
      <c r="J37" s="2" t="s">
        <v>122</v>
      </c>
      <c r="N37" s="57"/>
      <c r="O37" s="57" t="str">
        <f>'Input - Swine'!$D$79</f>
        <v>Deep litter</v>
      </c>
      <c r="P37" s="52">
        <f>'4.5.1.3-4 Direct N20'!P224</f>
        <v>30.141407999999998</v>
      </c>
      <c r="Q37" s="52">
        <f>'4.5.1.3-4 Direct N20'!Q224</f>
        <v>40.133940000000003</v>
      </c>
      <c r="R37" s="52">
        <f>'4.5.1.3-4 Direct N20'!R224</f>
        <v>37.676759999999994</v>
      </c>
      <c r="S37" s="52">
        <f>'4.5.1.3-4 Direct N20'!S224</f>
        <v>25.554671999999997</v>
      </c>
      <c r="T37" s="2" t="s">
        <v>122</v>
      </c>
    </row>
    <row r="38" spans="4:20" ht="20.100000000000001" customHeight="1" x14ac:dyDescent="0.25">
      <c r="D38" s="57" t="str">
        <f>'Input - Swine'!$D$34</f>
        <v>Solid storage</v>
      </c>
      <c r="E38" s="57" t="str">
        <f>'Input - Swine'!$D$84</f>
        <v>Anaerobic lagoon</v>
      </c>
      <c r="F38" s="52">
        <f>'4.5.1.3-4 Direct N20'!F225</f>
        <v>106.78440000000003</v>
      </c>
      <c r="G38" s="52">
        <f>'4.5.1.3-4 Direct N20'!G225</f>
        <v>113.74860000000007</v>
      </c>
      <c r="H38" s="52">
        <f>'4.5.1.3-4 Direct N20'!H225</f>
        <v>106.78440000000003</v>
      </c>
      <c r="I38" s="52">
        <f>'4.5.1.3-4 Direct N20'!I225</f>
        <v>72.427680000000038</v>
      </c>
      <c r="J38" s="2" t="s">
        <v>122</v>
      </c>
      <c r="N38" s="57" t="str">
        <f>'Input - Swine'!$D$34</f>
        <v>Solid storage</v>
      </c>
      <c r="O38" s="57" t="str">
        <f>'Input - Swine'!$D$84</f>
        <v>Anaerobic lagoon</v>
      </c>
      <c r="P38" s="52">
        <f>'4.5.1.3-4 Direct N20'!P225</f>
        <v>106.78440000000003</v>
      </c>
      <c r="Q38" s="52">
        <f>'4.5.1.3-4 Direct N20'!Q225</f>
        <v>113.74860000000007</v>
      </c>
      <c r="R38" s="52">
        <f>'4.5.1.3-4 Direct N20'!R225</f>
        <v>106.78440000000003</v>
      </c>
      <c r="S38" s="52">
        <f>'4.5.1.3-4 Direct N20'!S225</f>
        <v>72.427680000000038</v>
      </c>
      <c r="T38" s="2" t="s">
        <v>122</v>
      </c>
    </row>
    <row r="39" spans="4:20" ht="20.100000000000001" customHeight="1" x14ac:dyDescent="0.25">
      <c r="D39" s="57"/>
      <c r="E39" s="57" t="str">
        <f>'Input - Swine'!$D$85</f>
        <v>Digester / covered lagoons</v>
      </c>
      <c r="F39" s="52">
        <f>'4.5.1.3-4 Direct N20'!F226</f>
        <v>106.78440000000003</v>
      </c>
      <c r="G39" s="52">
        <f>'4.5.1.3-4 Direct N20'!G226</f>
        <v>113.74860000000007</v>
      </c>
      <c r="H39" s="52">
        <f>'4.5.1.3-4 Direct N20'!H226</f>
        <v>106.78440000000003</v>
      </c>
      <c r="I39" s="52">
        <f>'4.5.1.3-4 Direct N20'!I226</f>
        <v>72.427680000000038</v>
      </c>
      <c r="J39" s="2" t="s">
        <v>122</v>
      </c>
      <c r="N39" s="57"/>
      <c r="O39" s="57" t="str">
        <f>'Input - Swine'!$D$85</f>
        <v>Digester / covered lagoons</v>
      </c>
      <c r="P39" s="52">
        <f>'4.5.1.3-4 Direct N20'!P226</f>
        <v>106.78440000000003</v>
      </c>
      <c r="Q39" s="52">
        <f>'4.5.1.3-4 Direct N20'!Q226</f>
        <v>113.74860000000007</v>
      </c>
      <c r="R39" s="52">
        <f>'4.5.1.3-4 Direct N20'!R226</f>
        <v>106.78440000000003</v>
      </c>
      <c r="S39" s="52">
        <f>'4.5.1.3-4 Direct N20'!S226</f>
        <v>72.427680000000038</v>
      </c>
      <c r="T39" s="2" t="s">
        <v>122</v>
      </c>
    </row>
    <row r="40" spans="4:20" ht="20.100000000000001" customHeight="1" x14ac:dyDescent="0.25">
      <c r="D40" s="57"/>
      <c r="E40" s="57" t="str">
        <f>'Input - Swine'!$D$86</f>
        <v>Deep litter</v>
      </c>
      <c r="F40" s="52">
        <f>'4.5.1.3-4 Direct N20'!F227</f>
        <v>106.78440000000003</v>
      </c>
      <c r="G40" s="52">
        <f>'4.5.1.3-4 Direct N20'!G227</f>
        <v>113.74860000000007</v>
      </c>
      <c r="H40" s="52">
        <f>'4.5.1.3-4 Direct N20'!H227</f>
        <v>106.78440000000003</v>
      </c>
      <c r="I40" s="52">
        <f>'4.5.1.3-4 Direct N20'!I227</f>
        <v>72.427680000000038</v>
      </c>
      <c r="J40" s="2" t="s">
        <v>122</v>
      </c>
      <c r="N40" s="57"/>
      <c r="O40" s="57" t="str">
        <f>'Input - Swine'!$D$86</f>
        <v>Deep litter</v>
      </c>
      <c r="P40" s="52">
        <f>'4.5.1.3-4 Direct N20'!P227</f>
        <v>106.78440000000003</v>
      </c>
      <c r="Q40" s="52">
        <f>'4.5.1.3-4 Direct N20'!Q227</f>
        <v>113.74860000000007</v>
      </c>
      <c r="R40" s="52">
        <f>'4.5.1.3-4 Direct N20'!R227</f>
        <v>106.78440000000003</v>
      </c>
      <c r="S40" s="52">
        <f>'4.5.1.3-4 Direct N20'!S227</f>
        <v>72.427680000000038</v>
      </c>
      <c r="T40" s="2" t="s">
        <v>122</v>
      </c>
    </row>
    <row r="41" spans="4:20" ht="20.100000000000001" customHeight="1" x14ac:dyDescent="0.25">
      <c r="D41" s="57"/>
      <c r="E41" s="57" t="str">
        <f>'Input - Swine'!$D$87</f>
        <v>Pit storage</v>
      </c>
      <c r="F41" s="52">
        <f>'4.5.1.3-4 Direct N20'!F228</f>
        <v>53.392200000000017</v>
      </c>
      <c r="G41" s="52">
        <f>'4.5.1.3-4 Direct N20'!G228</f>
        <v>56.874300000000034</v>
      </c>
      <c r="H41" s="52">
        <f>'4.5.1.3-4 Direct N20'!H228</f>
        <v>53.392200000000017</v>
      </c>
      <c r="I41" s="52">
        <f>'4.5.1.3-4 Direct N20'!I228</f>
        <v>36.213840000000019</v>
      </c>
      <c r="J41" s="2" t="s">
        <v>122</v>
      </c>
      <c r="N41" s="57"/>
      <c r="O41" s="57" t="str">
        <f>'Input - Swine'!$D$87</f>
        <v>Pit storage</v>
      </c>
      <c r="P41" s="52">
        <f>'4.5.1.3-4 Direct N20'!P228</f>
        <v>53.392200000000017</v>
      </c>
      <c r="Q41" s="52">
        <f>'4.5.1.3-4 Direct N20'!Q228</f>
        <v>56.874300000000034</v>
      </c>
      <c r="R41" s="52">
        <f>'4.5.1.3-4 Direct N20'!R228</f>
        <v>53.392200000000017</v>
      </c>
      <c r="S41" s="52">
        <f>'4.5.1.3-4 Direct N20'!S228</f>
        <v>36.213840000000019</v>
      </c>
      <c r="T41" s="2" t="s">
        <v>122</v>
      </c>
    </row>
    <row r="42" spans="4:20" ht="20.100000000000001" customHeight="1" x14ac:dyDescent="0.25"/>
    <row r="43" spans="4:20" ht="20.100000000000001" customHeight="1" x14ac:dyDescent="0.25"/>
    <row r="44" spans="4:20" ht="20.100000000000001" customHeight="1" x14ac:dyDescent="0.25">
      <c r="D44" s="121" t="s">
        <v>343</v>
      </c>
      <c r="N44" s="121" t="s">
        <v>343</v>
      </c>
    </row>
    <row r="45" spans="4:20" ht="20.100000000000001" customHeight="1" x14ac:dyDescent="0.25">
      <c r="D45" s="122" t="s">
        <v>363</v>
      </c>
      <c r="N45" s="122" t="s">
        <v>363</v>
      </c>
    </row>
    <row r="46" spans="4:20" ht="20.100000000000001" customHeight="1" x14ac:dyDescent="0.25">
      <c r="D46" s="51" t="s">
        <v>169</v>
      </c>
      <c r="E46" s="51" t="s">
        <v>206</v>
      </c>
      <c r="F46" s="51" t="s">
        <v>143</v>
      </c>
      <c r="G46" s="51" t="s">
        <v>144</v>
      </c>
      <c r="H46" s="51" t="s">
        <v>145</v>
      </c>
      <c r="I46" s="51" t="s">
        <v>263</v>
      </c>
      <c r="N46" s="51" t="s">
        <v>169</v>
      </c>
      <c r="O46" s="51" t="s">
        <v>206</v>
      </c>
      <c r="P46" s="51" t="s">
        <v>143</v>
      </c>
      <c r="Q46" s="51" t="s">
        <v>144</v>
      </c>
      <c r="R46" s="51" t="s">
        <v>145</v>
      </c>
      <c r="S46" s="51" t="s">
        <v>263</v>
      </c>
    </row>
    <row r="47" spans="4:20" ht="20.100000000000001" customHeight="1" x14ac:dyDescent="0.25">
      <c r="D47" s="57" t="str">
        <f>'Input - Swine'!$D$29</f>
        <v>Anaerobic lagoon</v>
      </c>
      <c r="E47" s="57" t="str">
        <f>'Input - Swine'!$D$48</f>
        <v>Digester / covered lagoons</v>
      </c>
      <c r="F47" s="52">
        <v>0</v>
      </c>
      <c r="G47" s="52">
        <v>0</v>
      </c>
      <c r="H47" s="52">
        <v>0</v>
      </c>
      <c r="I47" s="52">
        <v>0</v>
      </c>
      <c r="J47" s="2" t="str">
        <f>'4.5.1.3-4 Direct N20'!J209</f>
        <v>kg N</v>
      </c>
      <c r="N47" s="57" t="str">
        <f>'Input - Swine'!$D$29</f>
        <v>Anaerobic lagoon</v>
      </c>
      <c r="O47" s="57" t="str">
        <f>'Input - Swine'!$D$48</f>
        <v>Digester / covered lagoons</v>
      </c>
      <c r="P47" s="52">
        <v>0</v>
      </c>
      <c r="Q47" s="52">
        <v>0</v>
      </c>
      <c r="R47" s="52">
        <v>0</v>
      </c>
      <c r="S47" s="52">
        <v>0</v>
      </c>
      <c r="T47" s="2" t="str">
        <f>'4.5.1.3-4 Direct N20'!T209</f>
        <v>kg N</v>
      </c>
    </row>
    <row r="48" spans="4:20" ht="20.100000000000001" customHeight="1" x14ac:dyDescent="0.25">
      <c r="D48" s="57"/>
      <c r="E48" s="57" t="str">
        <f>'Input - Swine'!$D$49</f>
        <v>Deep litter</v>
      </c>
      <c r="F48" s="52">
        <v>0</v>
      </c>
      <c r="G48" s="52">
        <v>0</v>
      </c>
      <c r="H48" s="52">
        <v>0</v>
      </c>
      <c r="I48" s="52">
        <v>0</v>
      </c>
      <c r="J48" s="2" t="str">
        <f>'4.5.1.3-4 Direct N20'!J210</f>
        <v>kg N</v>
      </c>
      <c r="N48" s="57"/>
      <c r="O48" s="57" t="str">
        <f>'Input - Swine'!$D$49</f>
        <v>Deep litter</v>
      </c>
      <c r="P48" s="52">
        <v>0</v>
      </c>
      <c r="Q48" s="52">
        <v>0</v>
      </c>
      <c r="R48" s="52">
        <v>0</v>
      </c>
      <c r="S48" s="52">
        <v>0</v>
      </c>
      <c r="T48" s="2" t="str">
        <f>'4.5.1.3-4 Direct N20'!T210</f>
        <v>kg N</v>
      </c>
    </row>
    <row r="49" spans="4:20" ht="20.100000000000001" customHeight="1" x14ac:dyDescent="0.25">
      <c r="D49" s="57"/>
      <c r="E49" s="57" t="str">
        <f>'Input - Swine'!$D$50</f>
        <v>Pit storage</v>
      </c>
      <c r="F49" s="52">
        <v>0</v>
      </c>
      <c r="G49" s="52">
        <v>0</v>
      </c>
      <c r="H49" s="52">
        <v>0</v>
      </c>
      <c r="I49" s="52">
        <v>0</v>
      </c>
      <c r="J49" s="2" t="str">
        <f>'4.5.1.3-4 Direct N20'!J211</f>
        <v>kg N</v>
      </c>
      <c r="N49" s="57"/>
      <c r="O49" s="57" t="str">
        <f>'Input - Swine'!$D$50</f>
        <v>Pit storage</v>
      </c>
      <c r="P49" s="52">
        <v>0</v>
      </c>
      <c r="Q49" s="52">
        <v>0</v>
      </c>
      <c r="R49" s="52">
        <v>0</v>
      </c>
      <c r="S49" s="52">
        <v>0</v>
      </c>
      <c r="T49" s="2" t="str">
        <f>'4.5.1.3-4 Direct N20'!T211</f>
        <v>kg N</v>
      </c>
    </row>
    <row r="50" spans="4:20" ht="20.100000000000001" customHeight="1" x14ac:dyDescent="0.25">
      <c r="D50" s="57" t="str">
        <f>'Input - Swine'!$D$30</f>
        <v>Drylot (feed pad)</v>
      </c>
      <c r="E50" s="57" t="str">
        <f>'Input - Swine'!$D$55</f>
        <v>Anaerobic lagoon</v>
      </c>
      <c r="F50" s="52">
        <f>'4.5.1.7-8 Leaching and runoff'!E$28</f>
        <v>4.0295999999999994</v>
      </c>
      <c r="G50" s="52">
        <f>'4.5.1.7-8 Leaching and runoff'!F$28</f>
        <v>4.2924000000000007</v>
      </c>
      <c r="H50" s="52">
        <f>'4.5.1.7-8 Leaching and runoff'!G$28</f>
        <v>4.0295999999999994</v>
      </c>
      <c r="I50" s="52">
        <f>'4.5.1.7-8 Leaching and runoff'!H$28</f>
        <v>2.7331199999999995</v>
      </c>
      <c r="J50" s="2" t="str">
        <f>'4.5.1.3-4 Direct N20'!J212</f>
        <v>kg N</v>
      </c>
      <c r="N50" s="57" t="str">
        <f>'Input - Swine'!$D$30</f>
        <v>Drylot (feed pad)</v>
      </c>
      <c r="O50" s="57" t="str">
        <f>'Input - Swine'!$D$55</f>
        <v>Anaerobic lagoon</v>
      </c>
      <c r="P50" s="52">
        <f>'4.5.1.7-8 Leaching and runoff'!N$28</f>
        <v>4.0295999999999994</v>
      </c>
      <c r="Q50" s="52">
        <f>'4.5.1.7-8 Leaching and runoff'!O$28</f>
        <v>4.2924000000000007</v>
      </c>
      <c r="R50" s="52">
        <f>'4.5.1.7-8 Leaching and runoff'!P$28</f>
        <v>4.0295999999999994</v>
      </c>
      <c r="S50" s="52">
        <f>'4.5.1.7-8 Leaching and runoff'!Q$28</f>
        <v>2.7331199999999995</v>
      </c>
      <c r="T50" s="2" t="str">
        <f>'4.5.1.3-4 Direct N20'!T212</f>
        <v>kg N</v>
      </c>
    </row>
    <row r="51" spans="4:20" ht="20.100000000000001" customHeight="1" x14ac:dyDescent="0.25">
      <c r="D51" s="57"/>
      <c r="E51" s="57" t="str">
        <f>'Input - Swine'!$D$56</f>
        <v>Digester / covered lagoons</v>
      </c>
      <c r="F51" s="52">
        <f>'4.5.1.7-8 Leaching and runoff'!E$28</f>
        <v>4.0295999999999994</v>
      </c>
      <c r="G51" s="52">
        <f>'4.5.1.7-8 Leaching and runoff'!F$28</f>
        <v>4.2924000000000007</v>
      </c>
      <c r="H51" s="52">
        <f>'4.5.1.7-8 Leaching and runoff'!G$28</f>
        <v>4.0295999999999994</v>
      </c>
      <c r="I51" s="52">
        <f>'4.5.1.7-8 Leaching and runoff'!H$28</f>
        <v>2.7331199999999995</v>
      </c>
      <c r="J51" s="2" t="str">
        <f>'4.5.1.3-4 Direct N20'!J213</f>
        <v>kg N</v>
      </c>
      <c r="N51" s="57"/>
      <c r="O51" s="57" t="str">
        <f>'Input - Swine'!$D$56</f>
        <v>Digester / covered lagoons</v>
      </c>
      <c r="P51" s="52">
        <f>'4.5.1.7-8 Leaching and runoff'!N$28</f>
        <v>4.0295999999999994</v>
      </c>
      <c r="Q51" s="52">
        <f>'4.5.1.7-8 Leaching and runoff'!O$28</f>
        <v>4.2924000000000007</v>
      </c>
      <c r="R51" s="52">
        <f>'4.5.1.7-8 Leaching and runoff'!P$28</f>
        <v>4.0295999999999994</v>
      </c>
      <c r="S51" s="52">
        <f>'4.5.1.7-8 Leaching and runoff'!Q$28</f>
        <v>2.7331199999999995</v>
      </c>
      <c r="T51" s="2" t="str">
        <f>'4.5.1.3-4 Direct N20'!T213</f>
        <v>kg N</v>
      </c>
    </row>
    <row r="52" spans="4:20" ht="20.100000000000001" customHeight="1" x14ac:dyDescent="0.25">
      <c r="D52" s="57"/>
      <c r="E52" s="57" t="str">
        <f>'Input - Swine'!$D$57</f>
        <v>Deep litter</v>
      </c>
      <c r="F52" s="52">
        <f>'4.5.1.7-8 Leaching and runoff'!E$28</f>
        <v>4.0295999999999994</v>
      </c>
      <c r="G52" s="52">
        <f>'4.5.1.7-8 Leaching and runoff'!F$28</f>
        <v>4.2924000000000007</v>
      </c>
      <c r="H52" s="52">
        <f>'4.5.1.7-8 Leaching and runoff'!G$28</f>
        <v>4.0295999999999994</v>
      </c>
      <c r="I52" s="52">
        <f>'4.5.1.7-8 Leaching and runoff'!H$28</f>
        <v>2.7331199999999995</v>
      </c>
      <c r="J52" s="2" t="str">
        <f>'4.5.1.3-4 Direct N20'!J214</f>
        <v>kg N</v>
      </c>
      <c r="N52" s="57"/>
      <c r="O52" s="57" t="str">
        <f>'Input - Swine'!$D$57</f>
        <v>Deep litter</v>
      </c>
      <c r="P52" s="52">
        <f>'4.5.1.7-8 Leaching and runoff'!N$28</f>
        <v>4.0295999999999994</v>
      </c>
      <c r="Q52" s="52">
        <f>'4.5.1.7-8 Leaching and runoff'!O$28</f>
        <v>4.2924000000000007</v>
      </c>
      <c r="R52" s="52">
        <f>'4.5.1.7-8 Leaching and runoff'!P$28</f>
        <v>4.0295999999999994</v>
      </c>
      <c r="S52" s="52">
        <f>'4.5.1.7-8 Leaching and runoff'!Q$28</f>
        <v>2.7331199999999995</v>
      </c>
      <c r="T52" s="2" t="str">
        <f>'4.5.1.3-4 Direct N20'!T214</f>
        <v>kg N</v>
      </c>
    </row>
    <row r="53" spans="4:20" ht="20.100000000000001" customHeight="1" x14ac:dyDescent="0.25">
      <c r="D53" s="57"/>
      <c r="E53" s="57" t="str">
        <f>'Input - Swine'!$D$58</f>
        <v>Pit storage</v>
      </c>
      <c r="F53" s="52">
        <f>'4.5.1.7-8 Leaching and runoff'!E$28</f>
        <v>4.0295999999999994</v>
      </c>
      <c r="G53" s="52">
        <f>'4.5.1.7-8 Leaching and runoff'!F$28</f>
        <v>4.2924000000000007</v>
      </c>
      <c r="H53" s="52">
        <f>'4.5.1.7-8 Leaching and runoff'!G$28</f>
        <v>4.0295999999999994</v>
      </c>
      <c r="I53" s="52">
        <f>'4.5.1.7-8 Leaching and runoff'!H$28</f>
        <v>2.7331199999999995</v>
      </c>
      <c r="J53" s="2" t="str">
        <f>'4.5.1.3-4 Direct N20'!J215</f>
        <v>kg N</v>
      </c>
      <c r="N53" s="57"/>
      <c r="O53" s="57" t="str">
        <f>'Input - Swine'!$D$58</f>
        <v>Pit storage</v>
      </c>
      <c r="P53" s="52">
        <f>'4.5.1.7-8 Leaching and runoff'!N$28</f>
        <v>4.0295999999999994</v>
      </c>
      <c r="Q53" s="52">
        <f>'4.5.1.7-8 Leaching and runoff'!O$28</f>
        <v>4.2924000000000007</v>
      </c>
      <c r="R53" s="52">
        <f>'4.5.1.7-8 Leaching and runoff'!P$28</f>
        <v>4.0295999999999994</v>
      </c>
      <c r="S53" s="52">
        <f>'4.5.1.7-8 Leaching and runoff'!Q$28</f>
        <v>2.7331199999999995</v>
      </c>
      <c r="T53" s="2" t="str">
        <f>'4.5.1.3-4 Direct N20'!T215</f>
        <v>kg N</v>
      </c>
    </row>
    <row r="54" spans="4:20" ht="20.100000000000001" customHeight="1" x14ac:dyDescent="0.25">
      <c r="D54" s="57" t="str">
        <f>'Input - Swine'!$D$31</f>
        <v>Digester / covered lagoons</v>
      </c>
      <c r="E54" s="57" t="str">
        <f>'Input - Swine'!$D$63</f>
        <v>Anaerobic lagoon</v>
      </c>
      <c r="F54" s="52">
        <v>0</v>
      </c>
      <c r="G54" s="52">
        <v>0</v>
      </c>
      <c r="H54" s="52">
        <v>0</v>
      </c>
      <c r="I54" s="52">
        <v>0</v>
      </c>
      <c r="J54" s="2" t="str">
        <f>'4.5.1.3-4 Direct N20'!J216</f>
        <v>kg N</v>
      </c>
      <c r="N54" s="57" t="str">
        <f>'Input - Swine'!$D$31</f>
        <v>Digester / covered lagoons</v>
      </c>
      <c r="O54" s="57" t="str">
        <f>'Input - Swine'!$D$63</f>
        <v>Anaerobic lagoon</v>
      </c>
      <c r="P54" s="52">
        <v>0</v>
      </c>
      <c r="Q54" s="52">
        <v>0</v>
      </c>
      <c r="R54" s="52">
        <v>0</v>
      </c>
      <c r="S54" s="52">
        <v>0</v>
      </c>
      <c r="T54" s="2" t="str">
        <f>'4.5.1.3-4 Direct N20'!T216</f>
        <v>kg N</v>
      </c>
    </row>
    <row r="55" spans="4:20" ht="20.100000000000001" customHeight="1" x14ac:dyDescent="0.25">
      <c r="D55" s="57"/>
      <c r="E55" s="57" t="str">
        <f>'Input - Swine'!$D$64</f>
        <v>Deep litter</v>
      </c>
      <c r="F55" s="52">
        <v>0</v>
      </c>
      <c r="G55" s="52">
        <v>0</v>
      </c>
      <c r="H55" s="52">
        <v>0</v>
      </c>
      <c r="I55" s="52">
        <v>0</v>
      </c>
      <c r="J55" s="2" t="str">
        <f>'4.5.1.3-4 Direct N20'!J217</f>
        <v>kg N</v>
      </c>
      <c r="N55" s="57"/>
      <c r="O55" s="57" t="str">
        <f>'Input - Swine'!$D$64</f>
        <v>Deep litter</v>
      </c>
      <c r="P55" s="52">
        <v>0</v>
      </c>
      <c r="Q55" s="52">
        <v>0</v>
      </c>
      <c r="R55" s="52">
        <v>0</v>
      </c>
      <c r="S55" s="52">
        <v>0</v>
      </c>
      <c r="T55" s="2" t="str">
        <f>'4.5.1.3-4 Direct N20'!T217</f>
        <v>kg N</v>
      </c>
    </row>
    <row r="56" spans="4:20" ht="20.100000000000001" customHeight="1" x14ac:dyDescent="0.25">
      <c r="D56" s="57"/>
      <c r="E56" s="57" t="str">
        <f>'Input - Swine'!$D$65</f>
        <v>Pit storage</v>
      </c>
      <c r="F56" s="52">
        <v>0</v>
      </c>
      <c r="G56" s="52">
        <v>0</v>
      </c>
      <c r="H56" s="52">
        <v>0</v>
      </c>
      <c r="I56" s="52">
        <v>0</v>
      </c>
      <c r="J56" s="2" t="str">
        <f>'4.5.1.3-4 Direct N20'!J218</f>
        <v>kg N</v>
      </c>
      <c r="N56" s="57"/>
      <c r="O56" s="57" t="str">
        <f>'Input - Swine'!$D$65</f>
        <v>Pit storage</v>
      </c>
      <c r="P56" s="52">
        <v>0</v>
      </c>
      <c r="Q56" s="52">
        <v>0</v>
      </c>
      <c r="R56" s="52">
        <v>0</v>
      </c>
      <c r="S56" s="52">
        <v>0</v>
      </c>
      <c r="T56" s="2" t="str">
        <f>'4.5.1.3-4 Direct N20'!T218</f>
        <v>kg N</v>
      </c>
    </row>
    <row r="57" spans="4:20" ht="20.100000000000001" customHeight="1" x14ac:dyDescent="0.25">
      <c r="D57" s="57" t="str">
        <f>'Input - Swine'!$D$32</f>
        <v>Deep litter</v>
      </c>
      <c r="E57" s="57" t="str">
        <f>'Input - Swine'!$D$70</f>
        <v>Anaerobic lagoon</v>
      </c>
      <c r="F57" s="52">
        <v>0</v>
      </c>
      <c r="G57" s="52">
        <v>0</v>
      </c>
      <c r="H57" s="52">
        <v>0</v>
      </c>
      <c r="I57" s="52">
        <v>0</v>
      </c>
      <c r="J57" s="2" t="str">
        <f>'4.5.1.3-4 Direct N20'!J219</f>
        <v>kg N</v>
      </c>
      <c r="N57" s="57" t="str">
        <f>'Input - Swine'!$D$32</f>
        <v>Deep litter</v>
      </c>
      <c r="O57" s="57" t="str">
        <f>'Input - Swine'!$D$70</f>
        <v>Anaerobic lagoon</v>
      </c>
      <c r="P57" s="52">
        <v>0</v>
      </c>
      <c r="Q57" s="52">
        <v>0</v>
      </c>
      <c r="R57" s="52">
        <v>0</v>
      </c>
      <c r="S57" s="52">
        <v>0</v>
      </c>
      <c r="T57" s="2" t="str">
        <f>'4.5.1.3-4 Direct N20'!T219</f>
        <v>kg N</v>
      </c>
    </row>
    <row r="58" spans="4:20" ht="20.100000000000001" customHeight="1" x14ac:dyDescent="0.25">
      <c r="D58" s="57"/>
      <c r="E58" s="57" t="str">
        <f>'Input - Swine'!$D$71</f>
        <v>Digester / covered lagoons</v>
      </c>
      <c r="F58" s="52">
        <v>0</v>
      </c>
      <c r="G58" s="52">
        <v>0</v>
      </c>
      <c r="H58" s="52">
        <v>0</v>
      </c>
      <c r="I58" s="52">
        <v>0</v>
      </c>
      <c r="J58" s="2" t="str">
        <f>'4.5.1.3-4 Direct N20'!J220</f>
        <v>kg N</v>
      </c>
      <c r="N58" s="57"/>
      <c r="O58" s="57" t="str">
        <f>'Input - Swine'!$D$71</f>
        <v>Digester / covered lagoons</v>
      </c>
      <c r="P58" s="52">
        <v>0</v>
      </c>
      <c r="Q58" s="52">
        <v>0</v>
      </c>
      <c r="R58" s="52">
        <v>0</v>
      </c>
      <c r="S58" s="52">
        <v>0</v>
      </c>
      <c r="T58" s="2" t="str">
        <f>'4.5.1.3-4 Direct N20'!T220</f>
        <v>kg N</v>
      </c>
    </row>
    <row r="59" spans="4:20" ht="20.100000000000001" customHeight="1" x14ac:dyDescent="0.25">
      <c r="D59" s="57"/>
      <c r="E59" s="57" t="str">
        <f>'Input - Swine'!$D$72</f>
        <v>Pit storage</v>
      </c>
      <c r="F59" s="52">
        <v>0</v>
      </c>
      <c r="G59" s="52">
        <v>0</v>
      </c>
      <c r="H59" s="52">
        <v>0</v>
      </c>
      <c r="I59" s="52">
        <v>0</v>
      </c>
      <c r="J59" s="2" t="str">
        <f>'4.5.1.3-4 Direct N20'!J221</f>
        <v>kg N</v>
      </c>
      <c r="N59" s="57"/>
      <c r="O59" s="57" t="str">
        <f>'Input - Swine'!$D$72</f>
        <v>Pit storage</v>
      </c>
      <c r="P59" s="52">
        <v>0</v>
      </c>
      <c r="Q59" s="52">
        <v>0</v>
      </c>
      <c r="R59" s="52">
        <v>0</v>
      </c>
      <c r="S59" s="52">
        <v>0</v>
      </c>
      <c r="T59" s="2" t="str">
        <f>'4.5.1.3-4 Direct N20'!T221</f>
        <v>kg N</v>
      </c>
    </row>
    <row r="60" spans="4:20" ht="20.100000000000001" customHeight="1" x14ac:dyDescent="0.25">
      <c r="D60" s="57" t="str">
        <f>'Input - Swine'!$D$33</f>
        <v>Pit storage</v>
      </c>
      <c r="E60" s="57" t="str">
        <f>'Input - Swine'!$D$77</f>
        <v>Anaerobic lagoon</v>
      </c>
      <c r="F60" s="52">
        <v>0</v>
      </c>
      <c r="G60" s="52">
        <v>0</v>
      </c>
      <c r="H60" s="52">
        <v>0</v>
      </c>
      <c r="I60" s="52">
        <v>0</v>
      </c>
      <c r="J60" s="2" t="str">
        <f>'4.5.1.3-4 Direct N20'!J222</f>
        <v>kg N</v>
      </c>
      <c r="N60" s="57" t="str">
        <f>'Input - Swine'!$D$33</f>
        <v>Pit storage</v>
      </c>
      <c r="O60" s="57" t="str">
        <f>'Input - Swine'!$D$77</f>
        <v>Anaerobic lagoon</v>
      </c>
      <c r="P60" s="52">
        <v>0</v>
      </c>
      <c r="Q60" s="52">
        <v>0</v>
      </c>
      <c r="R60" s="52">
        <v>0</v>
      </c>
      <c r="S60" s="52">
        <v>0</v>
      </c>
      <c r="T60" s="2" t="str">
        <f>'4.5.1.3-4 Direct N20'!T222</f>
        <v>kg N</v>
      </c>
    </row>
    <row r="61" spans="4:20" ht="20.100000000000001" customHeight="1" x14ac:dyDescent="0.25">
      <c r="D61" s="57"/>
      <c r="E61" s="57" t="str">
        <f>'Input - Swine'!$D$78</f>
        <v>Digester / covered lagoons</v>
      </c>
      <c r="F61" s="52">
        <v>0</v>
      </c>
      <c r="G61" s="52">
        <v>0</v>
      </c>
      <c r="H61" s="52">
        <v>0</v>
      </c>
      <c r="I61" s="52">
        <v>0</v>
      </c>
      <c r="J61" s="2" t="str">
        <f>'4.5.1.3-4 Direct N20'!J223</f>
        <v>kg N</v>
      </c>
      <c r="N61" s="57"/>
      <c r="O61" s="57" t="str">
        <f>'Input - Swine'!$D$78</f>
        <v>Digester / covered lagoons</v>
      </c>
      <c r="P61" s="52">
        <v>0</v>
      </c>
      <c r="Q61" s="52">
        <v>0</v>
      </c>
      <c r="R61" s="52">
        <v>0</v>
      </c>
      <c r="S61" s="52">
        <v>0</v>
      </c>
      <c r="T61" s="2" t="str">
        <f>'4.5.1.3-4 Direct N20'!T223</f>
        <v>kg N</v>
      </c>
    </row>
    <row r="62" spans="4:20" ht="20.100000000000001" customHeight="1" x14ac:dyDescent="0.25">
      <c r="D62" s="57"/>
      <c r="E62" s="57" t="str">
        <f>'Input - Swine'!$D$79</f>
        <v>Deep litter</v>
      </c>
      <c r="F62" s="52">
        <v>0</v>
      </c>
      <c r="G62" s="52">
        <v>0</v>
      </c>
      <c r="H62" s="52">
        <v>0</v>
      </c>
      <c r="I62" s="52">
        <v>0</v>
      </c>
      <c r="J62" s="2" t="str">
        <f>'4.5.1.3-4 Direct N20'!J224</f>
        <v>kg N</v>
      </c>
      <c r="N62" s="57"/>
      <c r="O62" s="57" t="str">
        <f>'Input - Swine'!$D$79</f>
        <v>Deep litter</v>
      </c>
      <c r="P62" s="52">
        <v>0</v>
      </c>
      <c r="Q62" s="52">
        <v>0</v>
      </c>
      <c r="R62" s="52">
        <v>0</v>
      </c>
      <c r="S62" s="52">
        <v>0</v>
      </c>
      <c r="T62" s="2" t="str">
        <f>'4.5.1.3-4 Direct N20'!T224</f>
        <v>kg N</v>
      </c>
    </row>
    <row r="63" spans="4:20" ht="20.100000000000001" customHeight="1" x14ac:dyDescent="0.25">
      <c r="D63" s="57" t="str">
        <f>'Input - Swine'!$D$34</f>
        <v>Solid storage</v>
      </c>
      <c r="E63" s="57" t="str">
        <f>'Input - Swine'!$D$84</f>
        <v>Anaerobic lagoon</v>
      </c>
      <c r="F63" s="52">
        <v>0</v>
      </c>
      <c r="G63" s="52">
        <v>0</v>
      </c>
      <c r="H63" s="52">
        <v>0</v>
      </c>
      <c r="I63" s="52">
        <v>0</v>
      </c>
      <c r="J63" s="2" t="str">
        <f>'4.5.1.3-4 Direct N20'!J225</f>
        <v>kg N</v>
      </c>
      <c r="N63" s="57" t="str">
        <f>'Input - Swine'!$D$34</f>
        <v>Solid storage</v>
      </c>
      <c r="O63" s="57" t="str">
        <f>'Input - Swine'!$D$84</f>
        <v>Anaerobic lagoon</v>
      </c>
      <c r="P63" s="52">
        <v>0</v>
      </c>
      <c r="Q63" s="52">
        <v>0</v>
      </c>
      <c r="R63" s="52">
        <v>0</v>
      </c>
      <c r="S63" s="52">
        <v>0</v>
      </c>
      <c r="T63" s="2" t="str">
        <f>'4.5.1.3-4 Direct N20'!T225</f>
        <v>kg N</v>
      </c>
    </row>
    <row r="64" spans="4:20" ht="20.100000000000001" customHeight="1" x14ac:dyDescent="0.25">
      <c r="D64" s="57"/>
      <c r="E64" s="57" t="str">
        <f>'Input - Swine'!$D$85</f>
        <v>Digester / covered lagoons</v>
      </c>
      <c r="F64" s="52">
        <v>0</v>
      </c>
      <c r="G64" s="52">
        <v>0</v>
      </c>
      <c r="H64" s="52">
        <v>0</v>
      </c>
      <c r="I64" s="52">
        <v>0</v>
      </c>
      <c r="J64" s="2" t="str">
        <f>'4.5.1.3-4 Direct N20'!J226</f>
        <v>kg N</v>
      </c>
      <c r="N64" s="57"/>
      <c r="O64" s="57" t="str">
        <f>'Input - Swine'!$D$85</f>
        <v>Digester / covered lagoons</v>
      </c>
      <c r="P64" s="52">
        <v>0</v>
      </c>
      <c r="Q64" s="52">
        <v>0</v>
      </c>
      <c r="R64" s="52">
        <v>0</v>
      </c>
      <c r="S64" s="52">
        <v>0</v>
      </c>
      <c r="T64" s="2" t="str">
        <f>'4.5.1.3-4 Direct N20'!T226</f>
        <v>kg N</v>
      </c>
    </row>
    <row r="65" spans="4:20" ht="20.100000000000001" customHeight="1" x14ac:dyDescent="0.25">
      <c r="D65" s="57"/>
      <c r="E65" s="57" t="str">
        <f>'Input - Swine'!$D$86</f>
        <v>Deep litter</v>
      </c>
      <c r="F65" s="52">
        <v>0</v>
      </c>
      <c r="G65" s="52">
        <v>0</v>
      </c>
      <c r="H65" s="52">
        <v>0</v>
      </c>
      <c r="I65" s="52">
        <v>0</v>
      </c>
      <c r="J65" s="2" t="str">
        <f>'4.5.1.3-4 Direct N20'!J227</f>
        <v>kg N</v>
      </c>
      <c r="N65" s="57"/>
      <c r="O65" s="57" t="str">
        <f>'Input - Swine'!$D$86</f>
        <v>Deep litter</v>
      </c>
      <c r="P65" s="52">
        <v>0</v>
      </c>
      <c r="Q65" s="52">
        <v>0</v>
      </c>
      <c r="R65" s="52">
        <v>0</v>
      </c>
      <c r="S65" s="52">
        <v>0</v>
      </c>
      <c r="T65" s="2" t="str">
        <f>'4.5.1.3-4 Direct N20'!T227</f>
        <v>kg N</v>
      </c>
    </row>
    <row r="66" spans="4:20" ht="20.100000000000001" customHeight="1" x14ac:dyDescent="0.25">
      <c r="D66" s="57"/>
      <c r="E66" s="57" t="str">
        <f>'Input - Swine'!$D$87</f>
        <v>Pit storage</v>
      </c>
      <c r="F66" s="52">
        <v>0</v>
      </c>
      <c r="G66" s="52">
        <v>0</v>
      </c>
      <c r="H66" s="52">
        <v>0</v>
      </c>
      <c r="I66" s="52">
        <v>0</v>
      </c>
      <c r="J66" s="2" t="str">
        <f>'4.5.1.3-4 Direct N20'!J228</f>
        <v>kg N</v>
      </c>
      <c r="N66" s="57"/>
      <c r="O66" s="57" t="str">
        <f>'Input - Swine'!$D$87</f>
        <v>Pit storage</v>
      </c>
      <c r="P66" s="52">
        <v>0</v>
      </c>
      <c r="Q66" s="52">
        <v>0</v>
      </c>
      <c r="R66" s="52">
        <v>0</v>
      </c>
      <c r="S66" s="52">
        <v>0</v>
      </c>
      <c r="T66" s="2" t="str">
        <f>'4.5.1.3-4 Direct N20'!T228</f>
        <v>kg N</v>
      </c>
    </row>
    <row r="67" spans="4:20" ht="20.100000000000001" customHeight="1" x14ac:dyDescent="0.25"/>
    <row r="68" spans="4:20" ht="20.100000000000001" customHeight="1" x14ac:dyDescent="0.25">
      <c r="D68" s="121" t="s">
        <v>364</v>
      </c>
    </row>
    <row r="69" spans="4:20" ht="20.100000000000001" customHeight="1" x14ac:dyDescent="0.25">
      <c r="D69" s="122" t="s">
        <v>365</v>
      </c>
    </row>
    <row r="70" spans="4:20" ht="20.100000000000001" customHeight="1" x14ac:dyDescent="0.25">
      <c r="D70" s="51" t="s">
        <v>169</v>
      </c>
      <c r="E70" s="51" t="s">
        <v>206</v>
      </c>
      <c r="F70" s="51" t="s">
        <v>366</v>
      </c>
    </row>
    <row r="71" spans="4:20" ht="20.100000000000001" customHeight="1" x14ac:dyDescent="0.25">
      <c r="D71" s="57" t="str">
        <f>'Input - Swine'!$D$29</f>
        <v>Anaerobic lagoon</v>
      </c>
      <c r="E71" s="57" t="str">
        <f>'Input - Swine'!$D$48</f>
        <v>Digester / covered lagoons</v>
      </c>
      <c r="F71" s="52">
        <f>'Input - Swine'!K48+'Input - Swine'!L48</f>
        <v>0.75</v>
      </c>
      <c r="G71" s="2" t="s">
        <v>122</v>
      </c>
    </row>
    <row r="72" spans="4:20" ht="20.100000000000001" customHeight="1" x14ac:dyDescent="0.25">
      <c r="D72" s="57"/>
      <c r="E72" s="57" t="str">
        <f>'Input - Swine'!$D$49</f>
        <v>Deep litter</v>
      </c>
      <c r="F72" s="52">
        <f>'Input - Swine'!K49+'Input - Swine'!L49</f>
        <v>0.75</v>
      </c>
      <c r="G72" s="2" t="s">
        <v>122</v>
      </c>
    </row>
    <row r="73" spans="4:20" ht="20.100000000000001" customHeight="1" x14ac:dyDescent="0.25">
      <c r="D73" s="57"/>
      <c r="E73" s="57" t="str">
        <f>'Input - Swine'!$D$50</f>
        <v>Pit storage</v>
      </c>
      <c r="F73" s="52">
        <f>'Input - Swine'!K50+'Input - Swine'!L50</f>
        <v>0.75</v>
      </c>
      <c r="G73" s="2" t="s">
        <v>122</v>
      </c>
    </row>
    <row r="74" spans="4:20" ht="20.100000000000001" customHeight="1" x14ac:dyDescent="0.25">
      <c r="D74" s="57" t="str">
        <f>'Input - Swine'!$D$30</f>
        <v>Drylot (feed pad)</v>
      </c>
      <c r="E74" s="57" t="str">
        <f>'Input - Swine'!$D$55</f>
        <v>Anaerobic lagoon</v>
      </c>
      <c r="F74" s="52">
        <f>'Input - Swine'!K55+'Input - Swine'!L55</f>
        <v>0.75</v>
      </c>
      <c r="G74" s="2" t="s">
        <v>122</v>
      </c>
    </row>
    <row r="75" spans="4:20" ht="20.100000000000001" customHeight="1" x14ac:dyDescent="0.25">
      <c r="D75" s="57"/>
      <c r="E75" s="57" t="str">
        <f>'Input - Swine'!$D$56</f>
        <v>Digester / covered lagoons</v>
      </c>
      <c r="F75" s="52">
        <f>'Input - Swine'!K56+'Input - Swine'!L56</f>
        <v>0.75</v>
      </c>
      <c r="G75" s="2" t="s">
        <v>122</v>
      </c>
    </row>
    <row r="76" spans="4:20" ht="20.100000000000001" customHeight="1" x14ac:dyDescent="0.25">
      <c r="D76" s="57"/>
      <c r="E76" s="57" t="str">
        <f>'Input - Swine'!$D$57</f>
        <v>Deep litter</v>
      </c>
      <c r="F76" s="52">
        <f>'Input - Swine'!K57+'Input - Swine'!L57</f>
        <v>0.75</v>
      </c>
      <c r="G76" s="2" t="s">
        <v>122</v>
      </c>
    </row>
    <row r="77" spans="4:20" ht="20.100000000000001" customHeight="1" x14ac:dyDescent="0.25">
      <c r="D77" s="57"/>
      <c r="E77" s="57" t="str">
        <f>'Input - Swine'!$D$58</f>
        <v>Pit storage</v>
      </c>
      <c r="F77" s="52">
        <f>'Input - Swine'!K58+'Input - Swine'!L58</f>
        <v>0.75</v>
      </c>
      <c r="G77" s="2" t="s">
        <v>122</v>
      </c>
    </row>
    <row r="78" spans="4:20" ht="20.100000000000001" customHeight="1" x14ac:dyDescent="0.25">
      <c r="D78" s="57" t="str">
        <f>'Input - Swine'!$D$31</f>
        <v>Digester / covered lagoons</v>
      </c>
      <c r="E78" s="57" t="str">
        <f>'Input - Swine'!$D$63</f>
        <v>Anaerobic lagoon</v>
      </c>
      <c r="F78" s="52">
        <f>'Input - Swine'!K63+'Input - Swine'!L63</f>
        <v>0.75</v>
      </c>
      <c r="G78" s="2" t="s">
        <v>122</v>
      </c>
    </row>
    <row r="79" spans="4:20" ht="20.100000000000001" customHeight="1" x14ac:dyDescent="0.25">
      <c r="D79" s="57"/>
      <c r="E79" s="57" t="str">
        <f>'Input - Swine'!$D$64</f>
        <v>Deep litter</v>
      </c>
      <c r="F79" s="52">
        <f>'Input - Swine'!K64+'Input - Swine'!L64</f>
        <v>0.75</v>
      </c>
      <c r="G79" s="2" t="s">
        <v>122</v>
      </c>
    </row>
    <row r="80" spans="4:20" ht="20.100000000000001" customHeight="1" x14ac:dyDescent="0.25">
      <c r="D80" s="57"/>
      <c r="E80" s="57" t="str">
        <f>'Input - Swine'!$D$65</f>
        <v>Pit storage</v>
      </c>
      <c r="F80" s="52">
        <f>'Input - Swine'!K65+'Input - Swine'!L65</f>
        <v>0.75</v>
      </c>
      <c r="G80" s="2" t="s">
        <v>122</v>
      </c>
    </row>
    <row r="81" spans="4:7" ht="20.100000000000001" customHeight="1" x14ac:dyDescent="0.25">
      <c r="D81" s="57" t="str">
        <f>'Input - Swine'!$D$32</f>
        <v>Deep litter</v>
      </c>
      <c r="E81" s="57" t="str">
        <f>'Input - Swine'!$D$70</f>
        <v>Anaerobic lagoon</v>
      </c>
      <c r="F81" s="52">
        <f>'Input - Swine'!K70+'Input - Swine'!L70</f>
        <v>0.75</v>
      </c>
      <c r="G81" s="2" t="s">
        <v>122</v>
      </c>
    </row>
    <row r="82" spans="4:7" ht="20.100000000000001" customHeight="1" x14ac:dyDescent="0.25">
      <c r="D82" s="57"/>
      <c r="E82" s="57" t="str">
        <f>'Input - Swine'!$D$71</f>
        <v>Digester / covered lagoons</v>
      </c>
      <c r="F82" s="52">
        <f>'Input - Swine'!K71+'Input - Swine'!L71</f>
        <v>0.75</v>
      </c>
      <c r="G82" s="2" t="s">
        <v>122</v>
      </c>
    </row>
    <row r="83" spans="4:7" ht="20.100000000000001" customHeight="1" x14ac:dyDescent="0.25">
      <c r="D83" s="57"/>
      <c r="E83" s="57" t="str">
        <f>'Input - Swine'!$D$72</f>
        <v>Pit storage</v>
      </c>
      <c r="F83" s="52">
        <f>'Input - Swine'!K72+'Input - Swine'!L72</f>
        <v>0.75</v>
      </c>
      <c r="G83" s="2" t="s">
        <v>122</v>
      </c>
    </row>
    <row r="84" spans="4:7" ht="20.100000000000001" customHeight="1" x14ac:dyDescent="0.25">
      <c r="D84" s="57" t="str">
        <f>'Input - Swine'!$D$33</f>
        <v>Pit storage</v>
      </c>
      <c r="E84" s="57" t="str">
        <f>'Input - Swine'!$D$77</f>
        <v>Anaerobic lagoon</v>
      </c>
      <c r="F84" s="52">
        <f>'Input - Swine'!K77+'Input - Swine'!L77</f>
        <v>0.75</v>
      </c>
      <c r="G84" s="2" t="s">
        <v>122</v>
      </c>
    </row>
    <row r="85" spans="4:7" ht="20.100000000000001" customHeight="1" x14ac:dyDescent="0.25">
      <c r="D85" s="57"/>
      <c r="E85" s="57" t="str">
        <f>'Input - Swine'!$D$78</f>
        <v>Digester / covered lagoons</v>
      </c>
      <c r="F85" s="52">
        <f>'Input - Swine'!K78+'Input - Swine'!L78</f>
        <v>0.75</v>
      </c>
      <c r="G85" s="2" t="s">
        <v>122</v>
      </c>
    </row>
    <row r="86" spans="4:7" ht="20.100000000000001" customHeight="1" x14ac:dyDescent="0.25">
      <c r="D86" s="57"/>
      <c r="E86" s="57" t="str">
        <f>'Input - Swine'!$D$79</f>
        <v>Deep litter</v>
      </c>
      <c r="F86" s="52">
        <f>'Input - Swine'!K79+'Input - Swine'!L79</f>
        <v>0.75</v>
      </c>
      <c r="G86" s="2" t="s">
        <v>122</v>
      </c>
    </row>
    <row r="87" spans="4:7" ht="20.100000000000001" customHeight="1" x14ac:dyDescent="0.25">
      <c r="D87" s="57" t="str">
        <f>'Input - Swine'!$D$34</f>
        <v>Solid storage</v>
      </c>
      <c r="E87" s="57" t="str">
        <f>'Input - Swine'!$D$84</f>
        <v>Anaerobic lagoon</v>
      </c>
      <c r="F87" s="52">
        <f>'Input - Swine'!K84+'Input - Swine'!L84</f>
        <v>0.75</v>
      </c>
      <c r="G87" s="2" t="s">
        <v>122</v>
      </c>
    </row>
    <row r="88" spans="4:7" ht="20.100000000000001" customHeight="1" x14ac:dyDescent="0.25">
      <c r="D88" s="57"/>
      <c r="E88" s="57" t="str">
        <f>'Input - Swine'!$D$85</f>
        <v>Digester / covered lagoons</v>
      </c>
      <c r="F88" s="52">
        <f>'Input - Swine'!K85+'Input - Swine'!L85</f>
        <v>0.75</v>
      </c>
      <c r="G88" s="2" t="s">
        <v>122</v>
      </c>
    </row>
    <row r="89" spans="4:7" ht="20.100000000000001" customHeight="1" x14ac:dyDescent="0.25">
      <c r="D89" s="57"/>
      <c r="E89" s="57" t="str">
        <f>'Input - Swine'!$D$86</f>
        <v>Deep litter</v>
      </c>
      <c r="F89" s="52">
        <f>'Input - Swine'!K86+'Input - Swine'!L86</f>
        <v>0.75</v>
      </c>
      <c r="G89" s="2" t="s">
        <v>122</v>
      </c>
    </row>
    <row r="90" spans="4:7" ht="20.100000000000001" customHeight="1" x14ac:dyDescent="0.25">
      <c r="D90" s="57"/>
      <c r="E90" s="57" t="str">
        <f>'Input - Swine'!$D$87</f>
        <v>Pit storage</v>
      </c>
      <c r="F90" s="52">
        <f>'Input - Swine'!K87+'Input - Swine'!L87</f>
        <v>0.75</v>
      </c>
      <c r="G90" s="2" t="s">
        <v>122</v>
      </c>
    </row>
    <row r="91" spans="4:7" ht="20.100000000000001" customHeight="1" x14ac:dyDescent="0.25"/>
    <row r="92" spans="4:7" ht="20.100000000000001" customHeight="1" x14ac:dyDescent="0.25">
      <c r="D92" s="121" t="s">
        <v>367</v>
      </c>
    </row>
    <row r="93" spans="4:7" ht="20.100000000000001" customHeight="1" x14ac:dyDescent="0.25">
      <c r="D93" s="122" t="s">
        <v>368</v>
      </c>
    </row>
    <row r="94" spans="4:7" ht="20.100000000000001" customHeight="1" x14ac:dyDescent="0.25">
      <c r="D94" s="51" t="s">
        <v>169</v>
      </c>
      <c r="E94" s="51" t="s">
        <v>310</v>
      </c>
    </row>
    <row r="95" spans="4:7" ht="20.100000000000001" customHeight="1" x14ac:dyDescent="0.25">
      <c r="D95" s="57" t="str">
        <f>'Input - Swine'!$D$29</f>
        <v>Anaerobic lagoon</v>
      </c>
      <c r="E95" s="52" cm="1">
        <f t="array" ref="E95">Common_InputFunctions.Utility_LookupValueInTableNumber(D95, Table_SourceData_Swine_FracGASM[NIR reference],Table_SourceData_Swine_FracGASM[FracGASMmT])</f>
        <v>0.55000000000000004</v>
      </c>
    </row>
    <row r="96" spans="4:7" ht="20.100000000000001" customHeight="1" x14ac:dyDescent="0.25">
      <c r="D96" s="57" t="str">
        <f>'Input - Swine'!$D$30</f>
        <v>Drylot (feed pad)</v>
      </c>
      <c r="E96" s="52" cm="1">
        <f t="array" ref="E96">Common_InputFunctions.Utility_LookupValueInTableNumber(D96, Table_SourceData_Swine_FracGASM[NIR reference],Table_SourceData_Swine_FracGASM[FracGASMmT])</f>
        <v>0.3</v>
      </c>
    </row>
    <row r="97" spans="4:14" ht="20.100000000000001" customHeight="1" x14ac:dyDescent="0.25">
      <c r="D97" s="57" t="str">
        <f>'Input - Swine'!$D$31</f>
        <v>Digester / covered lagoons</v>
      </c>
      <c r="E97" s="52" cm="1">
        <f t="array" ref="E97">Common_InputFunctions.Utility_LookupValueInTableNumber(D97, Table_SourceData_Swine_FracGASM[NIR reference],Table_SourceData_Swine_FracGASM[FracGASMmT])</f>
        <v>0</v>
      </c>
    </row>
    <row r="98" spans="4:14" ht="20.100000000000001" customHeight="1" x14ac:dyDescent="0.25">
      <c r="D98" s="57" t="str">
        <f>'Input - Swine'!$D$32</f>
        <v>Deep litter</v>
      </c>
      <c r="E98" s="52" cm="1">
        <f t="array" ref="E98">Common_InputFunctions.Utility_LookupValueInTableNumber(D98, Table_SourceData_Swine_FracGASM[NIR reference],Table_SourceData_Swine_FracGASM[FracGASMmT])</f>
        <v>0.125</v>
      </c>
    </row>
    <row r="99" spans="4:14" ht="20.100000000000001" customHeight="1" x14ac:dyDescent="0.25">
      <c r="D99" s="57" t="str">
        <f>'Input - Swine'!$D$33</f>
        <v>Pit storage</v>
      </c>
      <c r="E99" s="52" cm="1">
        <f t="array" ref="E99">Common_InputFunctions.Utility_LookupValueInTableNumber(D99, Table_SourceData_Swine_FracGASM[NIR reference],Table_SourceData_Swine_FracGASM[FracGASMmT])</f>
        <v>0.25</v>
      </c>
    </row>
    <row r="100" spans="4:14" ht="20.100000000000001" customHeight="1" x14ac:dyDescent="0.25">
      <c r="D100" s="57" t="str">
        <f>'Input - Swine'!$D$34</f>
        <v>Solid storage</v>
      </c>
      <c r="E100" s="52" cm="1">
        <f t="array" ref="E100">Common_InputFunctions.Utility_LookupValueInTableNumber(D100, Table_SourceData_Swine_FracGASM[NIR reference],Table_SourceData_Swine_FracGASM[FracGASMmT])</f>
        <v>0.2</v>
      </c>
    </row>
    <row r="101" spans="4:14" ht="20.100000000000001" customHeight="1" x14ac:dyDescent="0.25"/>
    <row r="102" spans="4:14" ht="20.100000000000001" customHeight="1" x14ac:dyDescent="0.25">
      <c r="D102" s="121" t="s">
        <v>369</v>
      </c>
    </row>
    <row r="103" spans="4:14" ht="20.100000000000001" customHeight="1" x14ac:dyDescent="0.25">
      <c r="D103" s="122" t="s">
        <v>370</v>
      </c>
    </row>
    <row r="104" spans="4:14" ht="20.100000000000001" customHeight="1" x14ac:dyDescent="0.25">
      <c r="D104" s="51" t="s">
        <v>67</v>
      </c>
      <c r="E104" s="51" t="s">
        <v>313</v>
      </c>
    </row>
    <row r="105" spans="4:14" ht="20.100000000000001" customHeight="1" x14ac:dyDescent="0.25">
      <c r="D105" s="57" t="str">
        <f>'Input - Swine'!$D$29</f>
        <v>Anaerobic lagoon</v>
      </c>
      <c r="E105" s="52" cm="1">
        <f t="array" ref="E105">Common_InputFunctions.Utility_LookupValueInTableNumber(D105, Table_SourceData_Swine_FracGASM28[NIR reference],Table_SourceData_Swine_FracGASM28[EFmT])</f>
        <v>0</v>
      </c>
    </row>
    <row r="106" spans="4:14" ht="20.100000000000001" customHeight="1" x14ac:dyDescent="0.25">
      <c r="D106" s="57" t="str">
        <f>'Input - Swine'!$D$30</f>
        <v>Drylot (feed pad)</v>
      </c>
      <c r="E106" s="52" cm="1">
        <f t="array" ref="E106">Common_InputFunctions.Utility_LookupValueInTableNumber(D106, Table_SourceData_Swine_FracGASM28[NIR reference],Table_SourceData_Swine_FracGASM28[EFmT])</f>
        <v>0.02</v>
      </c>
    </row>
    <row r="107" spans="4:14" ht="20.100000000000001" customHeight="1" x14ac:dyDescent="0.25">
      <c r="D107" s="57" t="str">
        <f>'Input - Swine'!$D$31</f>
        <v>Digester / covered lagoons</v>
      </c>
      <c r="E107" s="52" cm="1">
        <f t="array" ref="E107">Common_InputFunctions.Utility_LookupValueInTableNumber(D107, Table_SourceData_Swine_FracGASM28[NIR reference],Table_SourceData_Swine_FracGASM28[EFmT])</f>
        <v>0</v>
      </c>
    </row>
    <row r="108" spans="4:14" ht="20.100000000000001" customHeight="1" x14ac:dyDescent="0.25">
      <c r="D108" s="57" t="str">
        <f>'Input - Swine'!$D$32</f>
        <v>Deep litter</v>
      </c>
      <c r="E108" s="52" cm="1">
        <f t="array" ref="E108">Common_InputFunctions.Utility_LookupValueInTableNumber(D108, Table_SourceData_Swine_FracGASM28[NIR reference],Table_SourceData_Swine_FracGASM28[EFmT])</f>
        <v>0.01</v>
      </c>
    </row>
    <row r="109" spans="4:14" ht="20.100000000000001" customHeight="1" x14ac:dyDescent="0.25">
      <c r="D109" s="57" t="str">
        <f>'Input - Swine'!$D$33</f>
        <v>Pit storage</v>
      </c>
      <c r="E109" s="52" cm="1">
        <f t="array" ref="E109">Common_InputFunctions.Utility_LookupValueInTableNumber(D109, Table_SourceData_Swine_FracGASM28[NIR reference],Table_SourceData_Swine_FracGASM28[EFmT])</f>
        <v>2E-3</v>
      </c>
    </row>
    <row r="110" spans="4:14" ht="20.100000000000001" customHeight="1" x14ac:dyDescent="0.25">
      <c r="D110" s="57" t="str">
        <f>'Input - Swine'!$D$34</f>
        <v>Solid storage</v>
      </c>
      <c r="E110" s="52" cm="1">
        <f t="array" ref="E110">Common_InputFunctions.Utility_LookupValueInTableNumber(D110, Table_SourceData_Swine_FracGASM28[NIR reference],Table_SourceData_Swine_FracGASM28[EFmT])</f>
        <v>5.0000000000000001E-3</v>
      </c>
    </row>
    <row r="111" spans="4:14" ht="20.100000000000001" customHeight="1" x14ac:dyDescent="0.25"/>
    <row r="112" spans="4:14" ht="20.100000000000001" customHeight="1" x14ac:dyDescent="0.25">
      <c r="D112" s="121" t="s">
        <v>371</v>
      </c>
      <c r="N112" s="121" t="s">
        <v>371</v>
      </c>
    </row>
    <row r="113" spans="4:20" ht="20.100000000000001" customHeight="1" x14ac:dyDescent="0.25">
      <c r="D113" s="122" t="s">
        <v>372</v>
      </c>
      <c r="N113" s="122" t="s">
        <v>372</v>
      </c>
    </row>
    <row r="114" spans="4:20" ht="20.100000000000001" customHeight="1" x14ac:dyDescent="0.25">
      <c r="D114" s="51" t="s">
        <v>169</v>
      </c>
      <c r="E114" s="51" t="s">
        <v>206</v>
      </c>
      <c r="F114" s="51" t="s">
        <v>143</v>
      </c>
      <c r="G114" s="51" t="s">
        <v>144</v>
      </c>
      <c r="H114" s="51" t="s">
        <v>145</v>
      </c>
      <c r="I114" s="51" t="s">
        <v>263</v>
      </c>
      <c r="N114" s="51" t="s">
        <v>169</v>
      </c>
      <c r="O114" s="51" t="s">
        <v>206</v>
      </c>
      <c r="P114" s="51" t="s">
        <v>143</v>
      </c>
      <c r="Q114" s="51" t="s">
        <v>144</v>
      </c>
      <c r="R114" s="51" t="s">
        <v>145</v>
      </c>
      <c r="S114" s="51" t="s">
        <v>263</v>
      </c>
    </row>
    <row r="115" spans="4:20" ht="20.100000000000001" customHeight="1" x14ac:dyDescent="0.25">
      <c r="D115" s="57" t="str">
        <f>'Input - Swine'!$D$29</f>
        <v>Anaerobic lagoon</v>
      </c>
      <c r="E115" s="57" t="str">
        <f>'Input - Swine'!$D$48</f>
        <v>Digester / covered lagoons</v>
      </c>
      <c r="F115" s="52" cm="1">
        <f t="array" ref="F115">MMS_Swine_ManureAppliedToSoils_Equations.VEERG_4_5_1_9__1_MassOfNitrogenAppliedToSoilsScope1(F22,_xlfn.XLOOKUP($E115,$D$105:$D$110,$E$105:$E$110), _xlfn.XLOOKUP($E115,$D$95:$D$100,$E$95:$E$100),F47,$F71)</f>
        <v>13.599899999999996</v>
      </c>
      <c r="G115" s="52" cm="1">
        <f t="array" ref="G115">MMS_Swine_ManureAppliedToSoils_Equations.VEERG_4_5_1_9__1_MassOfNitrogenAppliedToSoilsScope1(G22,_xlfn.XLOOKUP($E115,$D$105:$D$110,$E$105:$E$110), _xlfn.XLOOKUP($E115,$D$95:$D$100,$E$95:$E$100),G47,$F71)</f>
        <v>18.108562500000001</v>
      </c>
      <c r="H115" s="52" cm="1">
        <f t="array" ref="H115">MMS_Swine_ManureAppliedToSoils_Equations.VEERG_4_5_1_9__1_MassOfNitrogenAppliedToSoilsScope1(H22,_xlfn.XLOOKUP($E115,$D$105:$D$110,$E$105:$E$110), _xlfn.XLOOKUP($E115,$D$95:$D$100,$E$95:$E$100),H47,$F71)</f>
        <v>16.999874999999996</v>
      </c>
      <c r="I115" s="52" cm="1">
        <f t="array" ref="I115">MMS_Swine_ManureAppliedToSoils_Equations.VEERG_4_5_1_9__1_MassOfNitrogenAppliedToSoilsScope1(I22,_xlfn.XLOOKUP($E115,$D$105:$D$110,$E$105:$E$110), _xlfn.XLOOKUP($E115,$D$95:$D$100,$E$95:$E$100),I47,$F71)</f>
        <v>11.530349999999997</v>
      </c>
      <c r="J115" s="2" t="str">
        <f>$E$11</f>
        <v>kg N</v>
      </c>
      <c r="N115" s="57" t="str">
        <f>'Input - Swine'!$D$29</f>
        <v>Anaerobic lagoon</v>
      </c>
      <c r="O115" s="57" t="str">
        <f>'Input - Swine'!$D$48</f>
        <v>Digester / covered lagoons</v>
      </c>
      <c r="P115" s="52" cm="1">
        <f t="array" ref="P115">MMS_Swine_ManureAppliedToSoils_Equations.VEERG_4_5_1_9__1_MassOfNitrogenAppliedToSoilsScope1(P22,_xlfn.XLOOKUP($O115,$D$105:$D$110,$E$105:$E$110), _xlfn.XLOOKUP($O115,$D$95:$D$100,$E$95:$E$100),P47,$F71)</f>
        <v>13.599899999999996</v>
      </c>
      <c r="Q115" s="52" cm="1">
        <f t="array" ref="Q115">MMS_Swine_ManureAppliedToSoils_Equations.VEERG_4_5_1_9__1_MassOfNitrogenAppliedToSoilsScope1(Q22,_xlfn.XLOOKUP($O115,$D$105:$D$110,$E$105:$E$110), _xlfn.XLOOKUP($O115,$D$95:$D$100,$E$95:$E$100),Q47,$F71)</f>
        <v>18.108562500000001</v>
      </c>
      <c r="R115" s="52" cm="1">
        <f t="array" ref="R115">MMS_Swine_ManureAppliedToSoils_Equations.VEERG_4_5_1_9__1_MassOfNitrogenAppliedToSoilsScope1(R22,_xlfn.XLOOKUP($O115,$D$105:$D$110,$E$105:$E$110), _xlfn.XLOOKUP($O115,$D$95:$D$100,$E$95:$E$100),R47,$F71)</f>
        <v>16.999874999999996</v>
      </c>
      <c r="S115" s="52" cm="1">
        <f t="array" ref="S115">MMS_Swine_ManureAppliedToSoils_Equations.VEERG_4_5_1_9__1_MassOfNitrogenAppliedToSoilsScope1(S22,_xlfn.XLOOKUP($O115,$D$105:$D$110,$E$105:$E$110), _xlfn.XLOOKUP($O115,$D$95:$D$100,$E$95:$E$100),S47,$F71)</f>
        <v>11.530349999999997</v>
      </c>
      <c r="T115" s="2" t="str">
        <f>$E$11</f>
        <v>kg N</v>
      </c>
    </row>
    <row r="116" spans="4:20" ht="20.100000000000001" customHeight="1" x14ac:dyDescent="0.25">
      <c r="D116" s="57"/>
      <c r="E116" s="57" t="str">
        <f>'Input - Swine'!$D$49</f>
        <v>Deep litter</v>
      </c>
      <c r="F116" s="52" cm="1">
        <f t="array" ref="F116">MMS_Swine_ManureAppliedToSoils_Equations.VEERG_4_5_1_9__1_MassOfNitrogenAppliedToSoilsScope1(F23,_xlfn.XLOOKUP($E116,$D$105:$D$110,$E$105:$E$110), _xlfn.XLOOKUP($E116,$D$95:$D$100,$E$95:$E$100),F48,$F72)</f>
        <v>11.763913499999997</v>
      </c>
      <c r="G116" s="52" cm="1">
        <f t="array" ref="G116">MMS_Swine_ManureAppliedToSoils_Equations.VEERG_4_5_1_9__1_MassOfNitrogenAppliedToSoilsScope1(G23,_xlfn.XLOOKUP($E116,$D$105:$D$110,$E$105:$E$110), _xlfn.XLOOKUP($E116,$D$95:$D$100,$E$95:$E$100),G48,$F72)</f>
        <v>15.663906562499999</v>
      </c>
      <c r="H116" s="52" cm="1">
        <f t="array" ref="H116">MMS_Swine_ManureAppliedToSoils_Equations.VEERG_4_5_1_9__1_MassOfNitrogenAppliedToSoilsScope1(H23,_xlfn.XLOOKUP($E116,$D$105:$D$110,$E$105:$E$110), _xlfn.XLOOKUP($E116,$D$95:$D$100,$E$95:$E$100),H48,$F72)</f>
        <v>14.704891874999994</v>
      </c>
      <c r="I116" s="52" cm="1">
        <f t="array" ref="I116">MMS_Swine_ManureAppliedToSoils_Equations.VEERG_4_5_1_9__1_MassOfNitrogenAppliedToSoilsScope1(I23,_xlfn.XLOOKUP($E116,$D$105:$D$110,$E$105:$E$110), _xlfn.XLOOKUP($E116,$D$95:$D$100,$E$95:$E$100),I48,$F72)</f>
        <v>9.9737527499999974</v>
      </c>
      <c r="J116" s="2" t="str">
        <f t="shared" ref="J116:J134" si="0">$E$11</f>
        <v>kg N</v>
      </c>
      <c r="N116" s="57"/>
      <c r="O116" s="57" t="str">
        <f>'Input - Swine'!$D$49</f>
        <v>Deep litter</v>
      </c>
      <c r="P116" s="52" cm="1">
        <f t="array" ref="P116">MMS_Swine_ManureAppliedToSoils_Equations.VEERG_4_5_1_9__1_MassOfNitrogenAppliedToSoilsScope1(P23,_xlfn.XLOOKUP($O116,$D$105:$D$110,$E$105:$E$110), _xlfn.XLOOKUP($O116,$D$95:$D$100,$E$95:$E$100),P48,$F72)</f>
        <v>11.763913499999997</v>
      </c>
      <c r="Q116" s="52" cm="1">
        <f t="array" ref="Q116">MMS_Swine_ManureAppliedToSoils_Equations.VEERG_4_5_1_9__1_MassOfNitrogenAppliedToSoilsScope1(Q23,_xlfn.XLOOKUP($O116,$D$105:$D$110,$E$105:$E$110), _xlfn.XLOOKUP($O116,$D$95:$D$100,$E$95:$E$100),Q48,$F72)</f>
        <v>15.663906562499999</v>
      </c>
      <c r="R116" s="52" cm="1">
        <f t="array" ref="R116">MMS_Swine_ManureAppliedToSoils_Equations.VEERG_4_5_1_9__1_MassOfNitrogenAppliedToSoilsScope1(R23,_xlfn.XLOOKUP($O116,$D$105:$D$110,$E$105:$E$110), _xlfn.XLOOKUP($O116,$D$95:$D$100,$E$95:$E$100),R48,$F72)</f>
        <v>14.704891874999994</v>
      </c>
      <c r="S116" s="52" cm="1">
        <f t="array" ref="S116">MMS_Swine_ManureAppliedToSoils_Equations.VEERG_4_5_1_9__1_MassOfNitrogenAppliedToSoilsScope1(S23,_xlfn.XLOOKUP($O116,$D$105:$D$110,$E$105:$E$110), _xlfn.XLOOKUP($O116,$D$95:$D$100,$E$95:$E$100),S48,$F72)</f>
        <v>9.9737527499999974</v>
      </c>
      <c r="T116" s="2" t="str">
        <f t="shared" ref="T116:T134" si="1">$E$11</f>
        <v>kg N</v>
      </c>
    </row>
    <row r="117" spans="4:20" ht="20.100000000000001" customHeight="1" x14ac:dyDescent="0.25">
      <c r="D117" s="57"/>
      <c r="E117" s="57" t="str">
        <f>'Input - Swine'!$D$50</f>
        <v>Pit storage</v>
      </c>
      <c r="F117" s="52" cm="1">
        <f t="array" ref="F117">MMS_Swine_ManureAppliedToSoils_Equations.VEERG_4_5_1_9__1_MassOfNitrogenAppliedToSoilsScope1(F24,_xlfn.XLOOKUP($E117,$D$105:$D$110,$E$105:$E$110), _xlfn.XLOOKUP($E117,$D$95:$D$100,$E$95:$E$100),F49,$F73)</f>
        <v>10.172725199999997</v>
      </c>
      <c r="G117" s="52" cm="1">
        <f t="array" ref="G117">MMS_Swine_ManureAppliedToSoils_Equations.VEERG_4_5_1_9__1_MassOfNitrogenAppliedToSoilsScope1(G24,_xlfn.XLOOKUP($E117,$D$105:$D$110,$E$105:$E$110), _xlfn.XLOOKUP($E117,$D$95:$D$100,$E$95:$E$100),G49,$F73)</f>
        <v>13.545204750000002</v>
      </c>
      <c r="H117" s="52" cm="1">
        <f t="array" ref="H117">MMS_Swine_ManureAppliedToSoils_Equations.VEERG_4_5_1_9__1_MassOfNitrogenAppliedToSoilsScope1(H24,_xlfn.XLOOKUP($E117,$D$105:$D$110,$E$105:$E$110), _xlfn.XLOOKUP($E117,$D$95:$D$100,$E$95:$E$100),H49,$F73)</f>
        <v>12.715906499999996</v>
      </c>
      <c r="I117" s="52" cm="1">
        <f t="array" ref="I117">MMS_Swine_ManureAppliedToSoils_Equations.VEERG_4_5_1_9__1_MassOfNitrogenAppliedToSoilsScope1(I24,_xlfn.XLOOKUP($E117,$D$105:$D$110,$E$105:$E$110), _xlfn.XLOOKUP($E117,$D$95:$D$100,$E$95:$E$100),I49,$F73)</f>
        <v>8.6247017999999969</v>
      </c>
      <c r="J117" s="2" t="str">
        <f t="shared" si="0"/>
        <v>kg N</v>
      </c>
      <c r="N117" s="57"/>
      <c r="O117" s="57" t="str">
        <f>'Input - Swine'!$D$50</f>
        <v>Pit storage</v>
      </c>
      <c r="P117" s="52" cm="1">
        <f t="array" ref="P117">MMS_Swine_ManureAppliedToSoils_Equations.VEERG_4_5_1_9__1_MassOfNitrogenAppliedToSoilsScope1(P24,_xlfn.XLOOKUP($O117,$D$105:$D$110,$E$105:$E$110), _xlfn.XLOOKUP($O117,$D$95:$D$100,$E$95:$E$100),P49,$F73)</f>
        <v>10.172725199999997</v>
      </c>
      <c r="Q117" s="52" cm="1">
        <f t="array" ref="Q117">MMS_Swine_ManureAppliedToSoils_Equations.VEERG_4_5_1_9__1_MassOfNitrogenAppliedToSoilsScope1(Q24,_xlfn.XLOOKUP($O117,$D$105:$D$110,$E$105:$E$110), _xlfn.XLOOKUP($O117,$D$95:$D$100,$E$95:$E$100),Q49,$F73)</f>
        <v>13.545204750000002</v>
      </c>
      <c r="R117" s="52" cm="1">
        <f t="array" ref="R117">MMS_Swine_ManureAppliedToSoils_Equations.VEERG_4_5_1_9__1_MassOfNitrogenAppliedToSoilsScope1(R24,_xlfn.XLOOKUP($O117,$D$105:$D$110,$E$105:$E$110), _xlfn.XLOOKUP($O117,$D$95:$D$100,$E$95:$E$100),R49,$F73)</f>
        <v>12.715906499999996</v>
      </c>
      <c r="S117" s="52" cm="1">
        <f t="array" ref="S117">MMS_Swine_ManureAppliedToSoils_Equations.VEERG_4_5_1_9__1_MassOfNitrogenAppliedToSoilsScope1(S24,_xlfn.XLOOKUP($O117,$D$105:$D$110,$E$105:$E$110), _xlfn.XLOOKUP($O117,$D$95:$D$100,$E$95:$E$100),S49,$F73)</f>
        <v>8.6247017999999969</v>
      </c>
      <c r="T117" s="2" t="str">
        <f t="shared" si="1"/>
        <v>kg N</v>
      </c>
    </row>
    <row r="118" spans="4:20" ht="20.100000000000001" customHeight="1" x14ac:dyDescent="0.25">
      <c r="D118" s="57" t="str">
        <f>'Input - Swine'!$D$30</f>
        <v>Drylot (feed pad)</v>
      </c>
      <c r="E118" s="57" t="str">
        <f>'Input - Swine'!$D$55</f>
        <v>Anaerobic lagoon</v>
      </c>
      <c r="F118" s="52" cm="1">
        <f t="array" ref="F118">MMS_Swine_ManureAppliedToSoils_Equations.VEERG_4_5_1_9__1_MassOfNitrogenAppliedToSoilsScope1(F25,_xlfn.XLOOKUP($E118,$D$105:$D$110,$E$105:$E$110), _xlfn.XLOOKUP($E118,$D$95:$D$100,$E$95:$E$100),F50,$F74)</f>
        <v>6.2257319999999963</v>
      </c>
      <c r="G118" s="52" cm="1">
        <f t="array" ref="G118">MMS_Swine_ManureAppliedToSoils_Equations.VEERG_4_5_1_9__1_MassOfNitrogenAppliedToSoilsScope1(G25,_xlfn.XLOOKUP($E118,$D$105:$D$110,$E$105:$E$110), _xlfn.XLOOKUP($E118,$D$95:$D$100,$E$95:$E$100),G50,$F74)</f>
        <v>9.0945225000000001</v>
      </c>
      <c r="H118" s="52" cm="1">
        <f t="array" ref="H118">MMS_Swine_ManureAppliedToSoils_Equations.VEERG_4_5_1_9__1_MassOfNitrogenAppliedToSoilsScope1(H25,_xlfn.XLOOKUP($E118,$D$105:$D$110,$E$105:$E$110), _xlfn.XLOOKUP($E118,$D$95:$D$100,$E$95:$E$100),H50,$F74)</f>
        <v>8.5377149999999951</v>
      </c>
      <c r="I118" s="52" cm="1">
        <f t="array" ref="I118">MMS_Swine_ManureAppliedToSoils_Equations.VEERG_4_5_1_9__1_MassOfNitrogenAppliedToSoilsScope1(I25,_xlfn.XLOOKUP($E118,$D$105:$D$110,$E$105:$E$110), _xlfn.XLOOKUP($E118,$D$95:$D$100,$E$95:$E$100),I50,$F74)</f>
        <v>5.790797999999997</v>
      </c>
      <c r="J118" s="2" t="str">
        <f t="shared" si="0"/>
        <v>kg N</v>
      </c>
      <c r="N118" s="57" t="str">
        <f>'Input - Swine'!$D$30</f>
        <v>Drylot (feed pad)</v>
      </c>
      <c r="O118" s="57" t="str">
        <f>'Input - Swine'!$D$55</f>
        <v>Anaerobic lagoon</v>
      </c>
      <c r="P118" s="52" cm="1">
        <f t="array" ref="P118">MMS_Swine_ManureAppliedToSoils_Equations.VEERG_4_5_1_9__1_MassOfNitrogenAppliedToSoilsScope1(P25,_xlfn.XLOOKUP($O118,$D$105:$D$110,$E$105:$E$110), _xlfn.XLOOKUP($O118,$D$95:$D$100,$E$95:$E$100),P50,$F74)</f>
        <v>6.2257319999999963</v>
      </c>
      <c r="Q118" s="52" cm="1">
        <f t="array" ref="Q118">MMS_Swine_ManureAppliedToSoils_Equations.VEERG_4_5_1_9__1_MassOfNitrogenAppliedToSoilsScope1(Q25,_xlfn.XLOOKUP($O118,$D$105:$D$110,$E$105:$E$110), _xlfn.XLOOKUP($O118,$D$95:$D$100,$E$95:$E$100),Q50,$F74)</f>
        <v>9.0945225000000001</v>
      </c>
      <c r="R118" s="52" cm="1">
        <f t="array" ref="R118">MMS_Swine_ManureAppliedToSoils_Equations.VEERG_4_5_1_9__1_MassOfNitrogenAppliedToSoilsScope1(R25,_xlfn.XLOOKUP($O118,$D$105:$D$110,$E$105:$E$110), _xlfn.XLOOKUP($O118,$D$95:$D$100,$E$95:$E$100),R50,$F74)</f>
        <v>8.5377149999999951</v>
      </c>
      <c r="S118" s="52" cm="1">
        <f t="array" ref="S118">MMS_Swine_ManureAppliedToSoils_Equations.VEERG_4_5_1_9__1_MassOfNitrogenAppliedToSoilsScope1(S25,_xlfn.XLOOKUP($O118,$D$105:$D$110,$E$105:$E$110), _xlfn.XLOOKUP($O118,$D$95:$D$100,$E$95:$E$100),S50,$F74)</f>
        <v>5.790797999999997</v>
      </c>
      <c r="T118" s="2" t="str">
        <f t="shared" si="1"/>
        <v>kg N</v>
      </c>
    </row>
    <row r="119" spans="4:20" ht="20.100000000000001" customHeight="1" x14ac:dyDescent="0.25">
      <c r="D119" s="57"/>
      <c r="E119" s="57" t="str">
        <f>'Input - Swine'!$D$56</f>
        <v>Digester / covered lagoons</v>
      </c>
      <c r="F119" s="52" cm="1">
        <f t="array" ref="F119">MMS_Swine_ManureAppliedToSoils_Equations.VEERG_4_5_1_9__1_MassOfNitrogenAppliedToSoilsScope1(F26,_xlfn.XLOOKUP($E119,$D$105:$D$110,$E$105:$E$110), _xlfn.XLOOKUP($E119,$D$95:$D$100,$E$95:$E$100),F51,$F75)</f>
        <v>17.528759999999995</v>
      </c>
      <c r="G119" s="52" cm="1">
        <f t="array" ref="G119">MMS_Swine_ManureAppliedToSoils_Equations.VEERG_4_5_1_9__1_MassOfNitrogenAppliedToSoilsScope1(G26,_xlfn.XLOOKUP($E119,$D$105:$D$110,$E$105:$E$110), _xlfn.XLOOKUP($E119,$D$95:$D$100,$E$95:$E$100),G51,$F75)</f>
        <v>24.144750000000002</v>
      </c>
      <c r="H119" s="52" cm="1">
        <f t="array" ref="H119">MMS_Swine_ManureAppliedToSoils_Equations.VEERG_4_5_1_9__1_MassOfNitrogenAppliedToSoilsScope1(H26,_xlfn.XLOOKUP($E119,$D$105:$D$110,$E$105:$E$110), _xlfn.XLOOKUP($E119,$D$95:$D$100,$E$95:$E$100),H51,$F75)</f>
        <v>22.666499999999992</v>
      </c>
      <c r="I119" s="52" cm="1">
        <f t="array" ref="I119">MMS_Swine_ManureAppliedToSoils_Equations.VEERG_4_5_1_9__1_MassOfNitrogenAppliedToSoilsScope1(I26,_xlfn.XLOOKUP($E119,$D$105:$D$110,$E$105:$E$110), _xlfn.XLOOKUP($E119,$D$95:$D$100,$E$95:$E$100),I51,$F75)</f>
        <v>15.373799999999996</v>
      </c>
      <c r="J119" s="2" t="str">
        <f t="shared" si="0"/>
        <v>kg N</v>
      </c>
      <c r="N119" s="57"/>
      <c r="O119" s="57" t="str">
        <f>'Input - Swine'!$D$56</f>
        <v>Digester / covered lagoons</v>
      </c>
      <c r="P119" s="52" cm="1">
        <f t="array" ref="P119">MMS_Swine_ManureAppliedToSoils_Equations.VEERG_4_5_1_9__1_MassOfNitrogenAppliedToSoilsScope1(P26,_xlfn.XLOOKUP($O119,$D$105:$D$110,$E$105:$E$110), _xlfn.XLOOKUP($O119,$D$95:$D$100,$E$95:$E$100),P51,$F75)</f>
        <v>17.528759999999995</v>
      </c>
      <c r="Q119" s="52" cm="1">
        <f t="array" ref="Q119">MMS_Swine_ManureAppliedToSoils_Equations.VEERG_4_5_1_9__1_MassOfNitrogenAppliedToSoilsScope1(Q26,_xlfn.XLOOKUP($O119,$D$105:$D$110,$E$105:$E$110), _xlfn.XLOOKUP($O119,$D$95:$D$100,$E$95:$E$100),Q51,$F75)</f>
        <v>24.144750000000002</v>
      </c>
      <c r="R119" s="52" cm="1">
        <f t="array" ref="R119">MMS_Swine_ManureAppliedToSoils_Equations.VEERG_4_5_1_9__1_MassOfNitrogenAppliedToSoilsScope1(R26,_xlfn.XLOOKUP($O119,$D$105:$D$110,$E$105:$E$110), _xlfn.XLOOKUP($O119,$D$95:$D$100,$E$95:$E$100),R51,$F75)</f>
        <v>22.666499999999992</v>
      </c>
      <c r="S119" s="52" cm="1">
        <f t="array" ref="S119">MMS_Swine_ManureAppliedToSoils_Equations.VEERG_4_5_1_9__1_MassOfNitrogenAppliedToSoilsScope1(S26,_xlfn.XLOOKUP($O119,$D$105:$D$110,$E$105:$E$110), _xlfn.XLOOKUP($O119,$D$95:$D$100,$E$95:$E$100),S51,$F75)</f>
        <v>15.373799999999996</v>
      </c>
      <c r="T119" s="2" t="str">
        <f t="shared" si="1"/>
        <v>kg N</v>
      </c>
    </row>
    <row r="120" spans="4:20" ht="20.100000000000001" customHeight="1" x14ac:dyDescent="0.25">
      <c r="D120" s="57"/>
      <c r="E120" s="57" t="str">
        <f>'Input - Swine'!$D$57</f>
        <v>Deep litter</v>
      </c>
      <c r="F120" s="52" cm="1">
        <f t="array" ref="F120">MMS_Swine_ManureAppliedToSoils_Equations.VEERG_4_5_1_9__1_MassOfNitrogenAppliedToSoilsScope1(F27,_xlfn.XLOOKUP($E120,$D$105:$D$110,$E$105:$E$110), _xlfn.XLOOKUP($E120,$D$95:$D$100,$E$95:$E$100),F52,$F76)</f>
        <v>14.754380399999995</v>
      </c>
      <c r="G120" s="52" cm="1">
        <f t="array" ref="G120">MMS_Swine_ManureAppliedToSoils_Equations.VEERG_4_5_1_9__1_MassOfNitrogenAppliedToSoilsScope1(G27,_xlfn.XLOOKUP($E120,$D$105:$D$110,$E$105:$E$110), _xlfn.XLOOKUP($E120,$D$95:$D$100,$E$95:$E$100),G52,$F76)</f>
        <v>20.450603250000004</v>
      </c>
      <c r="H120" s="52" cm="1">
        <f t="array" ref="H120">MMS_Swine_ManureAppliedToSoils_Equations.VEERG_4_5_1_9__1_MassOfNitrogenAppliedToSoilsScope1(H27,_xlfn.XLOOKUP($E120,$D$105:$D$110,$E$105:$E$110), _xlfn.XLOOKUP($E120,$D$95:$D$100,$E$95:$E$100),H52,$F76)</f>
        <v>19.198525499999995</v>
      </c>
      <c r="I120" s="52" cm="1">
        <f t="array" ref="I120">MMS_Swine_ManureAppliedToSoils_Equations.VEERG_4_5_1_9__1_MassOfNitrogenAppliedToSoilsScope1(I27,_xlfn.XLOOKUP($E120,$D$105:$D$110,$E$105:$E$110), _xlfn.XLOOKUP($E120,$D$95:$D$100,$E$95:$E$100),I52,$F76)</f>
        <v>13.021608599999993</v>
      </c>
      <c r="J120" s="2" t="str">
        <f t="shared" si="0"/>
        <v>kg N</v>
      </c>
      <c r="N120" s="57"/>
      <c r="O120" s="57" t="str">
        <f>'Input - Swine'!$D$57</f>
        <v>Deep litter</v>
      </c>
      <c r="P120" s="52" cm="1">
        <f t="array" ref="P120">MMS_Swine_ManureAppliedToSoils_Equations.VEERG_4_5_1_9__1_MassOfNitrogenAppliedToSoilsScope1(P27,_xlfn.XLOOKUP($O120,$D$105:$D$110,$E$105:$E$110), _xlfn.XLOOKUP($O120,$D$95:$D$100,$E$95:$E$100),P52,$F76)</f>
        <v>14.754380399999995</v>
      </c>
      <c r="Q120" s="52" cm="1">
        <f t="array" ref="Q120">MMS_Swine_ManureAppliedToSoils_Equations.VEERG_4_5_1_9__1_MassOfNitrogenAppliedToSoilsScope1(Q27,_xlfn.XLOOKUP($O120,$D$105:$D$110,$E$105:$E$110), _xlfn.XLOOKUP($O120,$D$95:$D$100,$E$95:$E$100),Q52,$F76)</f>
        <v>20.450603250000004</v>
      </c>
      <c r="R120" s="52" cm="1">
        <f t="array" ref="R120">MMS_Swine_ManureAppliedToSoils_Equations.VEERG_4_5_1_9__1_MassOfNitrogenAppliedToSoilsScope1(R27,_xlfn.XLOOKUP($O120,$D$105:$D$110,$E$105:$E$110), _xlfn.XLOOKUP($O120,$D$95:$D$100,$E$95:$E$100),R52,$F76)</f>
        <v>19.198525499999995</v>
      </c>
      <c r="S120" s="52" cm="1">
        <f t="array" ref="S120">MMS_Swine_ManureAppliedToSoils_Equations.VEERG_4_5_1_9__1_MassOfNitrogenAppliedToSoilsScope1(S27,_xlfn.XLOOKUP($O120,$D$105:$D$110,$E$105:$E$110), _xlfn.XLOOKUP($O120,$D$95:$D$100,$E$95:$E$100),S52,$F76)</f>
        <v>13.021608599999993</v>
      </c>
      <c r="T120" s="2" t="str">
        <f t="shared" si="1"/>
        <v>kg N</v>
      </c>
    </row>
    <row r="121" spans="4:20" ht="20.100000000000001" customHeight="1" x14ac:dyDescent="0.25">
      <c r="D121" s="57"/>
      <c r="E121" s="57" t="str">
        <f>'Input - Swine'!$D$58</f>
        <v>Pit storage</v>
      </c>
      <c r="F121" s="52" cm="1">
        <f t="array" ref="F121">MMS_Swine_ManureAppliedToSoils_Equations.VEERG_4_5_1_9__1_MassOfNitrogenAppliedToSoilsScope1(F28,_xlfn.XLOOKUP($E121,$D$105:$D$110,$E$105:$E$110), _xlfn.XLOOKUP($E121,$D$95:$D$100,$E$95:$E$100),F53,$F77)</f>
        <v>12.349918079999997</v>
      </c>
      <c r="G121" s="52" cm="1">
        <f t="array" ref="G121">MMS_Swine_ManureAppliedToSoils_Equations.VEERG_4_5_1_9__1_MassOfNitrogenAppliedToSoilsScope1(G28,_xlfn.XLOOKUP($E121,$D$105:$D$110,$E$105:$E$110), _xlfn.XLOOKUP($E121,$D$95:$D$100,$E$95:$E$100),G53,$F77)</f>
        <v>17.249009400000006</v>
      </c>
      <c r="H121" s="52" cm="1">
        <f t="array" ref="H121">MMS_Swine_ManureAppliedToSoils_Equations.VEERG_4_5_1_9__1_MassOfNitrogenAppliedToSoilsScope1(H28,_xlfn.XLOOKUP($E121,$D$105:$D$110,$E$105:$E$110), _xlfn.XLOOKUP($E121,$D$95:$D$100,$E$95:$E$100),H53,$F77)</f>
        <v>16.192947599999997</v>
      </c>
      <c r="I121" s="52" cm="1">
        <f t="array" ref="I121">MMS_Swine_ManureAppliedToSoils_Equations.VEERG_4_5_1_9__1_MassOfNitrogenAppliedToSoilsScope1(I28,_xlfn.XLOOKUP($E121,$D$105:$D$110,$E$105:$E$110), _xlfn.XLOOKUP($E121,$D$95:$D$100,$E$95:$E$100),I53,$F77)</f>
        <v>10.983042719999995</v>
      </c>
      <c r="J121" s="2" t="str">
        <f t="shared" si="0"/>
        <v>kg N</v>
      </c>
      <c r="N121" s="57"/>
      <c r="O121" s="57" t="str">
        <f>'Input - Swine'!$D$58</f>
        <v>Pit storage</v>
      </c>
      <c r="P121" s="52" cm="1">
        <f t="array" ref="P121">MMS_Swine_ManureAppliedToSoils_Equations.VEERG_4_5_1_9__1_MassOfNitrogenAppliedToSoilsScope1(P28,_xlfn.XLOOKUP($O121,$D$105:$D$110,$E$105:$E$110), _xlfn.XLOOKUP($O121,$D$95:$D$100,$E$95:$E$100),P53,$F77)</f>
        <v>12.349918079999997</v>
      </c>
      <c r="Q121" s="52" cm="1">
        <f t="array" ref="Q121">MMS_Swine_ManureAppliedToSoils_Equations.VEERG_4_5_1_9__1_MassOfNitrogenAppliedToSoilsScope1(Q28,_xlfn.XLOOKUP($O121,$D$105:$D$110,$E$105:$E$110), _xlfn.XLOOKUP($O121,$D$95:$D$100,$E$95:$E$100),Q53,$F77)</f>
        <v>17.249009400000006</v>
      </c>
      <c r="R121" s="52" cm="1">
        <f t="array" ref="R121">MMS_Swine_ManureAppliedToSoils_Equations.VEERG_4_5_1_9__1_MassOfNitrogenAppliedToSoilsScope1(R28,_xlfn.XLOOKUP($O121,$D$105:$D$110,$E$105:$E$110), _xlfn.XLOOKUP($O121,$D$95:$D$100,$E$95:$E$100),R53,$F77)</f>
        <v>16.192947599999997</v>
      </c>
      <c r="S121" s="52" cm="1">
        <f t="array" ref="S121">MMS_Swine_ManureAppliedToSoils_Equations.VEERG_4_5_1_9__1_MassOfNitrogenAppliedToSoilsScope1(S28,_xlfn.XLOOKUP($O121,$D$105:$D$110,$E$105:$E$110), _xlfn.XLOOKUP($O121,$D$95:$D$100,$E$95:$E$100),S53,$F77)</f>
        <v>10.983042719999995</v>
      </c>
      <c r="T121" s="2" t="str">
        <f t="shared" si="1"/>
        <v>kg N</v>
      </c>
    </row>
    <row r="122" spans="4:20" ht="20.100000000000001" customHeight="1" x14ac:dyDescent="0.25">
      <c r="D122" s="57" t="str">
        <f>'Input - Swine'!$D$31</f>
        <v>Digester / covered lagoons</v>
      </c>
      <c r="E122" s="57" t="str">
        <f>'Input - Swine'!$D$63</f>
        <v>Anaerobic lagoon</v>
      </c>
      <c r="F122" s="52" cm="1">
        <f t="array" ref="F122">MMS_Swine_ManureAppliedToSoils_Equations.VEERG_4_5_1_9__1_MassOfNitrogenAppliedToSoilsScope1(F29,_xlfn.XLOOKUP($E122,$D$105:$D$110,$E$105:$E$110), _xlfn.XLOOKUP($E122,$D$95:$D$100,$E$95:$E$100),F54,$F78)</f>
        <v>13.599899999999996</v>
      </c>
      <c r="G122" s="52" cm="1">
        <f t="array" ref="G122">MMS_Swine_ManureAppliedToSoils_Equations.VEERG_4_5_1_9__1_MassOfNitrogenAppliedToSoilsScope1(G29,_xlfn.XLOOKUP($E122,$D$105:$D$110,$E$105:$E$110), _xlfn.XLOOKUP($E122,$D$95:$D$100,$E$95:$E$100),G54,$F78)</f>
        <v>18.108562500000001</v>
      </c>
      <c r="H122" s="52" cm="1">
        <f t="array" ref="H122">MMS_Swine_ManureAppliedToSoils_Equations.VEERG_4_5_1_9__1_MassOfNitrogenAppliedToSoilsScope1(H29,_xlfn.XLOOKUP($E122,$D$105:$D$110,$E$105:$E$110), _xlfn.XLOOKUP($E122,$D$95:$D$100,$E$95:$E$100),H54,$F78)</f>
        <v>16.999874999999996</v>
      </c>
      <c r="I122" s="52" cm="1">
        <f t="array" ref="I122">MMS_Swine_ManureAppliedToSoils_Equations.VEERG_4_5_1_9__1_MassOfNitrogenAppliedToSoilsScope1(I29,_xlfn.XLOOKUP($E122,$D$105:$D$110,$E$105:$E$110), _xlfn.XLOOKUP($E122,$D$95:$D$100,$E$95:$E$100),I54,$F78)</f>
        <v>11.530349999999997</v>
      </c>
      <c r="J122" s="2" t="str">
        <f t="shared" si="0"/>
        <v>kg N</v>
      </c>
      <c r="N122" s="57" t="str">
        <f>'Input - Swine'!$D$31</f>
        <v>Digester / covered lagoons</v>
      </c>
      <c r="O122" s="57" t="str">
        <f>'Input - Swine'!$D$63</f>
        <v>Anaerobic lagoon</v>
      </c>
      <c r="P122" s="52" cm="1">
        <f t="array" ref="P122">MMS_Swine_ManureAppliedToSoils_Equations.VEERG_4_5_1_9__1_MassOfNitrogenAppliedToSoilsScope1(P29,_xlfn.XLOOKUP($O122,$D$105:$D$110,$E$105:$E$110), _xlfn.XLOOKUP($O122,$D$95:$D$100,$E$95:$E$100),P54,$F78)</f>
        <v>13.599899999999996</v>
      </c>
      <c r="Q122" s="52" cm="1">
        <f t="array" ref="Q122">MMS_Swine_ManureAppliedToSoils_Equations.VEERG_4_5_1_9__1_MassOfNitrogenAppliedToSoilsScope1(Q29,_xlfn.XLOOKUP($O122,$D$105:$D$110,$E$105:$E$110), _xlfn.XLOOKUP($O122,$D$95:$D$100,$E$95:$E$100),Q54,$F78)</f>
        <v>18.108562500000001</v>
      </c>
      <c r="R122" s="52" cm="1">
        <f t="array" ref="R122">MMS_Swine_ManureAppliedToSoils_Equations.VEERG_4_5_1_9__1_MassOfNitrogenAppliedToSoilsScope1(R29,_xlfn.XLOOKUP($O122,$D$105:$D$110,$E$105:$E$110), _xlfn.XLOOKUP($O122,$D$95:$D$100,$E$95:$E$100),R54,$F78)</f>
        <v>16.999874999999996</v>
      </c>
      <c r="S122" s="52" cm="1">
        <f t="array" ref="S122">MMS_Swine_ManureAppliedToSoils_Equations.VEERG_4_5_1_9__1_MassOfNitrogenAppliedToSoilsScope1(S29,_xlfn.XLOOKUP($O122,$D$105:$D$110,$E$105:$E$110), _xlfn.XLOOKUP($O122,$D$95:$D$100,$E$95:$E$100),S54,$F78)</f>
        <v>11.530349999999997</v>
      </c>
      <c r="T122" s="2" t="str">
        <f t="shared" si="1"/>
        <v>kg N</v>
      </c>
    </row>
    <row r="123" spans="4:20" ht="20.100000000000001" customHeight="1" x14ac:dyDescent="0.25">
      <c r="D123" s="57"/>
      <c r="E123" s="57" t="str">
        <f>'Input - Swine'!$D$64</f>
        <v>Deep litter</v>
      </c>
      <c r="F123" s="52" cm="1">
        <f t="array" ref="F123">MMS_Swine_ManureAppliedToSoils_Equations.VEERG_4_5_1_9__1_MassOfNitrogenAppliedToSoilsScope1(F30,_xlfn.XLOOKUP($E123,$D$105:$D$110,$E$105:$E$110), _xlfn.XLOOKUP($E123,$D$95:$D$100,$E$95:$E$100),F55,$F79)</f>
        <v>26.142029999999995</v>
      </c>
      <c r="G123" s="52" cm="1">
        <f t="array" ref="G123">MMS_Swine_ManureAppliedToSoils_Equations.VEERG_4_5_1_9__1_MassOfNitrogenAppliedToSoilsScope1(G30,_xlfn.XLOOKUP($E123,$D$105:$D$110,$E$105:$E$110), _xlfn.XLOOKUP($E123,$D$95:$D$100,$E$95:$E$100),G55,$F79)</f>
        <v>34.808681250000006</v>
      </c>
      <c r="H123" s="52" cm="1">
        <f t="array" ref="H123">MMS_Swine_ManureAppliedToSoils_Equations.VEERG_4_5_1_9__1_MassOfNitrogenAppliedToSoilsScope1(H30,_xlfn.XLOOKUP($E123,$D$105:$D$110,$E$105:$E$110), _xlfn.XLOOKUP($E123,$D$95:$D$100,$E$95:$E$100),H55,$F79)</f>
        <v>32.677537499999993</v>
      </c>
      <c r="I123" s="52" cm="1">
        <f t="array" ref="I123">MMS_Swine_ManureAppliedToSoils_Equations.VEERG_4_5_1_9__1_MassOfNitrogenAppliedToSoilsScope1(I30,_xlfn.XLOOKUP($E123,$D$105:$D$110,$E$105:$E$110), _xlfn.XLOOKUP($E123,$D$95:$D$100,$E$95:$E$100),I55,$F79)</f>
        <v>22.163894999999997</v>
      </c>
      <c r="J123" s="2" t="str">
        <f t="shared" si="0"/>
        <v>kg N</v>
      </c>
      <c r="N123" s="57"/>
      <c r="O123" s="57" t="str">
        <f>'Input - Swine'!$D$64</f>
        <v>Deep litter</v>
      </c>
      <c r="P123" s="52" cm="1">
        <f t="array" ref="P123">MMS_Swine_ManureAppliedToSoils_Equations.VEERG_4_5_1_9__1_MassOfNitrogenAppliedToSoilsScope1(P30,_xlfn.XLOOKUP($O123,$D$105:$D$110,$E$105:$E$110), _xlfn.XLOOKUP($O123,$D$95:$D$100,$E$95:$E$100),P55,$F79)</f>
        <v>26.142029999999995</v>
      </c>
      <c r="Q123" s="52" cm="1">
        <f t="array" ref="Q123">MMS_Swine_ManureAppliedToSoils_Equations.VEERG_4_5_1_9__1_MassOfNitrogenAppliedToSoilsScope1(Q30,_xlfn.XLOOKUP($O123,$D$105:$D$110,$E$105:$E$110), _xlfn.XLOOKUP($O123,$D$95:$D$100,$E$95:$E$100),Q55,$F79)</f>
        <v>34.808681250000006</v>
      </c>
      <c r="R123" s="52" cm="1">
        <f t="array" ref="R123">MMS_Swine_ManureAppliedToSoils_Equations.VEERG_4_5_1_9__1_MassOfNitrogenAppliedToSoilsScope1(R30,_xlfn.XLOOKUP($O123,$D$105:$D$110,$E$105:$E$110), _xlfn.XLOOKUP($O123,$D$95:$D$100,$E$95:$E$100),R55,$F79)</f>
        <v>32.677537499999993</v>
      </c>
      <c r="S123" s="52" cm="1">
        <f t="array" ref="S123">MMS_Swine_ManureAppliedToSoils_Equations.VEERG_4_5_1_9__1_MassOfNitrogenAppliedToSoilsScope1(S30,_xlfn.XLOOKUP($O123,$D$105:$D$110,$E$105:$E$110), _xlfn.XLOOKUP($O123,$D$95:$D$100,$E$95:$E$100),S55,$F79)</f>
        <v>22.163894999999997</v>
      </c>
      <c r="T123" s="2" t="str">
        <f t="shared" si="1"/>
        <v>kg N</v>
      </c>
    </row>
    <row r="124" spans="4:20" ht="20.100000000000001" customHeight="1" x14ac:dyDescent="0.25">
      <c r="D124" s="57"/>
      <c r="E124" s="57" t="str">
        <f>'Input - Swine'!$D$65</f>
        <v>Pit storage</v>
      </c>
      <c r="F124" s="52" cm="1">
        <f t="array" ref="F124">MMS_Swine_ManureAppliedToSoils_Equations.VEERG_4_5_1_9__1_MassOfNitrogenAppliedToSoilsScope1(F31,_xlfn.XLOOKUP($E124,$D$105:$D$110,$E$105:$E$110), _xlfn.XLOOKUP($E124,$D$95:$D$100,$E$95:$E$100),F56,$F80)</f>
        <v>22.606055999999995</v>
      </c>
      <c r="G124" s="52" cm="1">
        <f t="array" ref="G124">MMS_Swine_ManureAppliedToSoils_Equations.VEERG_4_5_1_9__1_MassOfNitrogenAppliedToSoilsScope1(G31,_xlfn.XLOOKUP($E124,$D$105:$D$110,$E$105:$E$110), _xlfn.XLOOKUP($E124,$D$95:$D$100,$E$95:$E$100),G56,$F80)</f>
        <v>30.100455000000004</v>
      </c>
      <c r="H124" s="52" cm="1">
        <f t="array" ref="H124">MMS_Swine_ManureAppliedToSoils_Equations.VEERG_4_5_1_9__1_MassOfNitrogenAppliedToSoilsScope1(H31,_xlfn.XLOOKUP($E124,$D$105:$D$110,$E$105:$E$110), _xlfn.XLOOKUP($E124,$D$95:$D$100,$E$95:$E$100),H56,$F80)</f>
        <v>28.257569999999994</v>
      </c>
      <c r="I124" s="52" cm="1">
        <f t="array" ref="I124">MMS_Swine_ManureAppliedToSoils_Equations.VEERG_4_5_1_9__1_MassOfNitrogenAppliedToSoilsScope1(I31,_xlfn.XLOOKUP($E124,$D$105:$D$110,$E$105:$E$110), _xlfn.XLOOKUP($E124,$D$95:$D$100,$E$95:$E$100),I56,$F80)</f>
        <v>19.166003999999997</v>
      </c>
      <c r="J124" s="2" t="str">
        <f t="shared" si="0"/>
        <v>kg N</v>
      </c>
      <c r="N124" s="57"/>
      <c r="O124" s="57" t="str">
        <f>'Input - Swine'!$D$65</f>
        <v>Pit storage</v>
      </c>
      <c r="P124" s="52" cm="1">
        <f t="array" ref="P124">MMS_Swine_ManureAppliedToSoils_Equations.VEERG_4_5_1_9__1_MassOfNitrogenAppliedToSoilsScope1(P31,_xlfn.XLOOKUP($O124,$D$105:$D$110,$E$105:$E$110), _xlfn.XLOOKUP($O124,$D$95:$D$100,$E$95:$E$100),P56,$F80)</f>
        <v>22.606055999999995</v>
      </c>
      <c r="Q124" s="52" cm="1">
        <f t="array" ref="Q124">MMS_Swine_ManureAppliedToSoils_Equations.VEERG_4_5_1_9__1_MassOfNitrogenAppliedToSoilsScope1(Q31,_xlfn.XLOOKUP($O124,$D$105:$D$110,$E$105:$E$110), _xlfn.XLOOKUP($O124,$D$95:$D$100,$E$95:$E$100),Q56,$F80)</f>
        <v>30.100455000000004</v>
      </c>
      <c r="R124" s="52" cm="1">
        <f t="array" ref="R124">MMS_Swine_ManureAppliedToSoils_Equations.VEERG_4_5_1_9__1_MassOfNitrogenAppliedToSoilsScope1(R31,_xlfn.XLOOKUP($O124,$D$105:$D$110,$E$105:$E$110), _xlfn.XLOOKUP($O124,$D$95:$D$100,$E$95:$E$100),R56,$F80)</f>
        <v>28.257569999999994</v>
      </c>
      <c r="S124" s="52" cm="1">
        <f t="array" ref="S124">MMS_Swine_ManureAppliedToSoils_Equations.VEERG_4_5_1_9__1_MassOfNitrogenAppliedToSoilsScope1(S31,_xlfn.XLOOKUP($O124,$D$105:$D$110,$E$105:$E$110), _xlfn.XLOOKUP($O124,$D$95:$D$100,$E$95:$E$100),S56,$F80)</f>
        <v>19.166003999999997</v>
      </c>
      <c r="T124" s="2" t="str">
        <f t="shared" si="1"/>
        <v>kg N</v>
      </c>
    </row>
    <row r="125" spans="4:20" ht="20.100000000000001" customHeight="1" x14ac:dyDescent="0.25">
      <c r="D125" s="57" t="str">
        <f>'Input - Swine'!$D$32</f>
        <v>Deep litter</v>
      </c>
      <c r="E125" s="57" t="str">
        <f>'Input - Swine'!$D$70</f>
        <v>Anaerobic lagoon</v>
      </c>
      <c r="F125" s="52" cm="1">
        <f t="array" ref="F125">MMS_Swine_ManureAppliedToSoils_Equations.VEERG_4_5_1_9__1_MassOfNitrogenAppliedToSoilsScope1(F32,_xlfn.XLOOKUP($E125,$D$105:$D$110,$E$105:$E$110), _xlfn.XLOOKUP($E125,$D$95:$D$100,$E$95:$E$100),F57,$F81)</f>
        <v>11.763913499999997</v>
      </c>
      <c r="G125" s="52" cm="1">
        <f t="array" ref="G125">MMS_Swine_ManureAppliedToSoils_Equations.VEERG_4_5_1_9__1_MassOfNitrogenAppliedToSoilsScope1(G32,_xlfn.XLOOKUP($E125,$D$105:$D$110,$E$105:$E$110), _xlfn.XLOOKUP($E125,$D$95:$D$100,$E$95:$E$100),G57,$F81)</f>
        <v>15.663906562499999</v>
      </c>
      <c r="H125" s="52" cm="1">
        <f t="array" ref="H125">MMS_Swine_ManureAppliedToSoils_Equations.VEERG_4_5_1_9__1_MassOfNitrogenAppliedToSoilsScope1(H32,_xlfn.XLOOKUP($E125,$D$105:$D$110,$E$105:$E$110), _xlfn.XLOOKUP($E125,$D$95:$D$100,$E$95:$E$100),H57,$F81)</f>
        <v>14.704891874999994</v>
      </c>
      <c r="I125" s="52" cm="1">
        <f t="array" ref="I125">MMS_Swine_ManureAppliedToSoils_Equations.VEERG_4_5_1_9__1_MassOfNitrogenAppliedToSoilsScope1(I32,_xlfn.XLOOKUP($E125,$D$105:$D$110,$E$105:$E$110), _xlfn.XLOOKUP($E125,$D$95:$D$100,$E$95:$E$100),I57,$F81)</f>
        <v>9.9737527499999974</v>
      </c>
      <c r="J125" s="2" t="str">
        <f t="shared" si="0"/>
        <v>kg N</v>
      </c>
      <c r="N125" s="57" t="str">
        <f>'Input - Swine'!$D$32</f>
        <v>Deep litter</v>
      </c>
      <c r="O125" s="57" t="str">
        <f>'Input - Swine'!$D$70</f>
        <v>Anaerobic lagoon</v>
      </c>
      <c r="P125" s="52" cm="1">
        <f t="array" ref="P125">MMS_Swine_ManureAppliedToSoils_Equations.VEERG_4_5_1_9__1_MassOfNitrogenAppliedToSoilsScope1(P32,_xlfn.XLOOKUP($O125,$D$105:$D$110,$E$105:$E$110), _xlfn.XLOOKUP($O125,$D$95:$D$100,$E$95:$E$100),P57,$F81)</f>
        <v>11.763913499999997</v>
      </c>
      <c r="Q125" s="52" cm="1">
        <f t="array" ref="Q125">MMS_Swine_ManureAppliedToSoils_Equations.VEERG_4_5_1_9__1_MassOfNitrogenAppliedToSoilsScope1(Q32,_xlfn.XLOOKUP($O125,$D$105:$D$110,$E$105:$E$110), _xlfn.XLOOKUP($O125,$D$95:$D$100,$E$95:$E$100),Q57,$F81)</f>
        <v>15.663906562499999</v>
      </c>
      <c r="R125" s="52" cm="1">
        <f t="array" ref="R125">MMS_Swine_ManureAppliedToSoils_Equations.VEERG_4_5_1_9__1_MassOfNitrogenAppliedToSoilsScope1(R32,_xlfn.XLOOKUP($O125,$D$105:$D$110,$E$105:$E$110), _xlfn.XLOOKUP($O125,$D$95:$D$100,$E$95:$E$100),R57,$F81)</f>
        <v>14.704891874999994</v>
      </c>
      <c r="S125" s="52" cm="1">
        <f t="array" ref="S125">MMS_Swine_ManureAppliedToSoils_Equations.VEERG_4_5_1_9__1_MassOfNitrogenAppliedToSoilsScope1(S32,_xlfn.XLOOKUP($O125,$D$105:$D$110,$E$105:$E$110), _xlfn.XLOOKUP($O125,$D$95:$D$100,$E$95:$E$100),S57,$F81)</f>
        <v>9.9737527499999974</v>
      </c>
      <c r="T125" s="2" t="str">
        <f t="shared" si="1"/>
        <v>kg N</v>
      </c>
    </row>
    <row r="126" spans="4:20" ht="20.100000000000001" customHeight="1" x14ac:dyDescent="0.25">
      <c r="D126" s="57"/>
      <c r="E126" s="57" t="str">
        <f>'Input - Swine'!$D$71</f>
        <v>Digester / covered lagoons</v>
      </c>
      <c r="F126" s="52" cm="1">
        <f t="array" ref="F126">MMS_Swine_ManureAppliedToSoils_Equations.VEERG_4_5_1_9__1_MassOfNitrogenAppliedToSoilsScope1(F33,_xlfn.XLOOKUP($E126,$D$105:$D$110,$E$105:$E$110), _xlfn.XLOOKUP($E126,$D$95:$D$100,$E$95:$E$100),F58,$F82)</f>
        <v>26.142029999999995</v>
      </c>
      <c r="G126" s="52" cm="1">
        <f t="array" ref="G126">MMS_Swine_ManureAppliedToSoils_Equations.VEERG_4_5_1_9__1_MassOfNitrogenAppliedToSoilsScope1(G33,_xlfn.XLOOKUP($E126,$D$105:$D$110,$E$105:$E$110), _xlfn.XLOOKUP($E126,$D$95:$D$100,$E$95:$E$100),G58,$F82)</f>
        <v>34.808681250000006</v>
      </c>
      <c r="H126" s="52" cm="1">
        <f t="array" ref="H126">MMS_Swine_ManureAppliedToSoils_Equations.VEERG_4_5_1_9__1_MassOfNitrogenAppliedToSoilsScope1(H33,_xlfn.XLOOKUP($E126,$D$105:$D$110,$E$105:$E$110), _xlfn.XLOOKUP($E126,$D$95:$D$100,$E$95:$E$100),H58,$F82)</f>
        <v>32.677537499999993</v>
      </c>
      <c r="I126" s="52" cm="1">
        <f t="array" ref="I126">MMS_Swine_ManureAppliedToSoils_Equations.VEERG_4_5_1_9__1_MassOfNitrogenAppliedToSoilsScope1(I33,_xlfn.XLOOKUP($E126,$D$105:$D$110,$E$105:$E$110), _xlfn.XLOOKUP($E126,$D$95:$D$100,$E$95:$E$100),I58,$F82)</f>
        <v>22.163894999999997</v>
      </c>
      <c r="J126" s="2" t="str">
        <f t="shared" si="0"/>
        <v>kg N</v>
      </c>
      <c r="N126" s="57"/>
      <c r="O126" s="57" t="str">
        <f>'Input - Swine'!$D$71</f>
        <v>Digester / covered lagoons</v>
      </c>
      <c r="P126" s="52" cm="1">
        <f t="array" ref="P126">MMS_Swine_ManureAppliedToSoils_Equations.VEERG_4_5_1_9__1_MassOfNitrogenAppliedToSoilsScope1(P33,_xlfn.XLOOKUP($O126,$D$105:$D$110,$E$105:$E$110), _xlfn.XLOOKUP($O126,$D$95:$D$100,$E$95:$E$100),P58,$F82)</f>
        <v>26.142029999999995</v>
      </c>
      <c r="Q126" s="52" cm="1">
        <f t="array" ref="Q126">MMS_Swine_ManureAppliedToSoils_Equations.VEERG_4_5_1_9__1_MassOfNitrogenAppliedToSoilsScope1(Q33,_xlfn.XLOOKUP($O126,$D$105:$D$110,$E$105:$E$110), _xlfn.XLOOKUP($O126,$D$95:$D$100,$E$95:$E$100),Q58,$F82)</f>
        <v>34.808681250000006</v>
      </c>
      <c r="R126" s="52" cm="1">
        <f t="array" ref="R126">MMS_Swine_ManureAppliedToSoils_Equations.VEERG_4_5_1_9__1_MassOfNitrogenAppliedToSoilsScope1(R33,_xlfn.XLOOKUP($O126,$D$105:$D$110,$E$105:$E$110), _xlfn.XLOOKUP($O126,$D$95:$D$100,$E$95:$E$100),R58,$F82)</f>
        <v>32.677537499999993</v>
      </c>
      <c r="S126" s="52" cm="1">
        <f t="array" ref="S126">MMS_Swine_ManureAppliedToSoils_Equations.VEERG_4_5_1_9__1_MassOfNitrogenAppliedToSoilsScope1(S33,_xlfn.XLOOKUP($O126,$D$105:$D$110,$E$105:$E$110), _xlfn.XLOOKUP($O126,$D$95:$D$100,$E$95:$E$100),S58,$F82)</f>
        <v>22.163894999999997</v>
      </c>
      <c r="T126" s="2" t="str">
        <f t="shared" si="1"/>
        <v>kg N</v>
      </c>
    </row>
    <row r="127" spans="4:20" ht="20.100000000000001" customHeight="1" x14ac:dyDescent="0.25">
      <c r="D127" s="57"/>
      <c r="E127" s="57" t="str">
        <f>'Input - Swine'!$D$72</f>
        <v>Pit storage</v>
      </c>
      <c r="F127" s="52" cm="1">
        <f t="array" ref="F127">MMS_Swine_ManureAppliedToSoils_Equations.VEERG_4_5_1_9__1_MassOfNitrogenAppliedToSoilsScope1(F34,_xlfn.XLOOKUP($E127,$D$105:$D$110,$E$105:$E$110), _xlfn.XLOOKUP($E127,$D$95:$D$100,$E$95:$E$100),F59,$F83)</f>
        <v>19.554238439999999</v>
      </c>
      <c r="G127" s="52" cm="1">
        <f t="array" ref="G127">MMS_Swine_ManureAppliedToSoils_Equations.VEERG_4_5_1_9__1_MassOfNitrogenAppliedToSoilsScope1(G34,_xlfn.XLOOKUP($E127,$D$105:$D$110,$E$105:$E$110), _xlfn.XLOOKUP($E127,$D$95:$D$100,$E$95:$E$100),G59,$F83)</f>
        <v>26.036893575000004</v>
      </c>
      <c r="H127" s="52" cm="1">
        <f t="array" ref="H127">MMS_Swine_ManureAppliedToSoils_Equations.VEERG_4_5_1_9__1_MassOfNitrogenAppliedToSoilsScope1(H34,_xlfn.XLOOKUP($E127,$D$105:$D$110,$E$105:$E$110), _xlfn.XLOOKUP($E127,$D$95:$D$100,$E$95:$E$100),H59,$F83)</f>
        <v>24.442798049999993</v>
      </c>
      <c r="I127" s="52" cm="1">
        <f t="array" ref="I127">MMS_Swine_ManureAppliedToSoils_Equations.VEERG_4_5_1_9__1_MassOfNitrogenAppliedToSoilsScope1(I34,_xlfn.XLOOKUP($E127,$D$105:$D$110,$E$105:$E$110), _xlfn.XLOOKUP($E127,$D$95:$D$100,$E$95:$E$100),I59,$F83)</f>
        <v>16.578593459999997</v>
      </c>
      <c r="J127" s="2" t="str">
        <f t="shared" si="0"/>
        <v>kg N</v>
      </c>
      <c r="N127" s="57"/>
      <c r="O127" s="57" t="str">
        <f>'Input - Swine'!$D$72</f>
        <v>Pit storage</v>
      </c>
      <c r="P127" s="52" cm="1">
        <f t="array" ref="P127">MMS_Swine_ManureAppliedToSoils_Equations.VEERG_4_5_1_9__1_MassOfNitrogenAppliedToSoilsScope1(P34,_xlfn.XLOOKUP($O127,$D$105:$D$110,$E$105:$E$110), _xlfn.XLOOKUP($O127,$D$95:$D$100,$E$95:$E$100),P59,$F83)</f>
        <v>19.554238439999999</v>
      </c>
      <c r="Q127" s="52" cm="1">
        <f t="array" ref="Q127">MMS_Swine_ManureAppliedToSoils_Equations.VEERG_4_5_1_9__1_MassOfNitrogenAppliedToSoilsScope1(Q34,_xlfn.XLOOKUP($O127,$D$105:$D$110,$E$105:$E$110), _xlfn.XLOOKUP($O127,$D$95:$D$100,$E$95:$E$100),Q59,$F83)</f>
        <v>26.036893575000004</v>
      </c>
      <c r="R127" s="52" cm="1">
        <f t="array" ref="R127">MMS_Swine_ManureAppliedToSoils_Equations.VEERG_4_5_1_9__1_MassOfNitrogenAppliedToSoilsScope1(R34,_xlfn.XLOOKUP($O127,$D$105:$D$110,$E$105:$E$110), _xlfn.XLOOKUP($O127,$D$95:$D$100,$E$95:$E$100),R59,$F83)</f>
        <v>24.442798049999993</v>
      </c>
      <c r="S127" s="52" cm="1">
        <f t="array" ref="S127">MMS_Swine_ManureAppliedToSoils_Equations.VEERG_4_5_1_9__1_MassOfNitrogenAppliedToSoilsScope1(S34,_xlfn.XLOOKUP($O127,$D$105:$D$110,$E$105:$E$110), _xlfn.XLOOKUP($O127,$D$95:$D$100,$E$95:$E$100),S59,$F83)</f>
        <v>16.578593459999997</v>
      </c>
      <c r="T127" s="2" t="str">
        <f t="shared" si="1"/>
        <v>kg N</v>
      </c>
    </row>
    <row r="128" spans="4:20" ht="20.100000000000001" customHeight="1" x14ac:dyDescent="0.25">
      <c r="D128" s="57" t="str">
        <f>'Input - Swine'!$D$33</f>
        <v>Pit storage</v>
      </c>
      <c r="E128" s="57" t="str">
        <f>'Input - Swine'!$D$77</f>
        <v>Anaerobic lagoon</v>
      </c>
      <c r="F128" s="52" cm="1">
        <f t="array" ref="F128">MMS_Swine_ManureAppliedToSoils_Equations.VEERG_4_5_1_9__1_MassOfNitrogenAppliedToSoilsScope1(F35,_xlfn.XLOOKUP($E128,$D$105:$D$110,$E$105:$E$110), _xlfn.XLOOKUP($E128,$D$95:$D$100,$E$95:$E$100),F60,$F84)</f>
        <v>10.172725199999999</v>
      </c>
      <c r="G128" s="52" cm="1">
        <f t="array" ref="G128">MMS_Swine_ManureAppliedToSoils_Equations.VEERG_4_5_1_9__1_MassOfNitrogenAppliedToSoilsScope1(G35,_xlfn.XLOOKUP($E128,$D$105:$D$110,$E$105:$E$110), _xlfn.XLOOKUP($E128,$D$95:$D$100,$E$95:$E$100),G60,$F84)</f>
        <v>13.54520475</v>
      </c>
      <c r="H128" s="52" cm="1">
        <f t="array" ref="H128">MMS_Swine_ManureAppliedToSoils_Equations.VEERG_4_5_1_9__1_MassOfNitrogenAppliedToSoilsScope1(H35,_xlfn.XLOOKUP($E128,$D$105:$D$110,$E$105:$E$110), _xlfn.XLOOKUP($E128,$D$95:$D$100,$E$95:$E$100),H60,$F84)</f>
        <v>12.715906499999997</v>
      </c>
      <c r="I128" s="52" cm="1">
        <f t="array" ref="I128">MMS_Swine_ManureAppliedToSoils_Equations.VEERG_4_5_1_9__1_MassOfNitrogenAppliedToSoilsScope1(I35,_xlfn.XLOOKUP($E128,$D$105:$D$110,$E$105:$E$110), _xlfn.XLOOKUP($E128,$D$95:$D$100,$E$95:$E$100),I60,$F84)</f>
        <v>8.6247017999999969</v>
      </c>
      <c r="J128" s="2" t="str">
        <f t="shared" si="0"/>
        <v>kg N</v>
      </c>
      <c r="N128" s="57" t="str">
        <f>'Input - Swine'!$D$33</f>
        <v>Pit storage</v>
      </c>
      <c r="O128" s="57" t="str">
        <f>'Input - Swine'!$D$77</f>
        <v>Anaerobic lagoon</v>
      </c>
      <c r="P128" s="52" cm="1">
        <f t="array" ref="P128">MMS_Swine_ManureAppliedToSoils_Equations.VEERG_4_5_1_9__1_MassOfNitrogenAppliedToSoilsScope1(P35,_xlfn.XLOOKUP($O128,$D$105:$D$110,$E$105:$E$110), _xlfn.XLOOKUP($O128,$D$95:$D$100,$E$95:$E$100),P60,$F84)</f>
        <v>10.172725199999999</v>
      </c>
      <c r="Q128" s="52" cm="1">
        <f t="array" ref="Q128">MMS_Swine_ManureAppliedToSoils_Equations.VEERG_4_5_1_9__1_MassOfNitrogenAppliedToSoilsScope1(Q35,_xlfn.XLOOKUP($O128,$D$105:$D$110,$E$105:$E$110), _xlfn.XLOOKUP($O128,$D$95:$D$100,$E$95:$E$100),Q60,$F84)</f>
        <v>13.54520475</v>
      </c>
      <c r="R128" s="52" cm="1">
        <f t="array" ref="R128">MMS_Swine_ManureAppliedToSoils_Equations.VEERG_4_5_1_9__1_MassOfNitrogenAppliedToSoilsScope1(R35,_xlfn.XLOOKUP($O128,$D$105:$D$110,$E$105:$E$110), _xlfn.XLOOKUP($O128,$D$95:$D$100,$E$95:$E$100),R60,$F84)</f>
        <v>12.715906499999997</v>
      </c>
      <c r="S128" s="52" cm="1">
        <f t="array" ref="S128">MMS_Swine_ManureAppliedToSoils_Equations.VEERG_4_5_1_9__1_MassOfNitrogenAppliedToSoilsScope1(S35,_xlfn.XLOOKUP($O128,$D$105:$D$110,$E$105:$E$110), _xlfn.XLOOKUP($O128,$D$95:$D$100,$E$95:$E$100),S60,$F84)</f>
        <v>8.6247017999999969</v>
      </c>
      <c r="T128" s="2" t="str">
        <f t="shared" si="1"/>
        <v>kg N</v>
      </c>
    </row>
    <row r="129" spans="3:21" ht="20.100000000000001" customHeight="1" x14ac:dyDescent="0.25">
      <c r="D129" s="57"/>
      <c r="E129" s="57" t="str">
        <f>'Input - Swine'!$D$78</f>
        <v>Digester / covered lagoons</v>
      </c>
      <c r="F129" s="52" cm="1">
        <f t="array" ref="F129">MMS_Swine_ManureAppliedToSoils_Equations.VEERG_4_5_1_9__1_MassOfNitrogenAppliedToSoilsScope1(F36,_xlfn.XLOOKUP($E129,$D$105:$D$110,$E$105:$E$110), _xlfn.XLOOKUP($E129,$D$95:$D$100,$E$95:$E$100),F61,$F85)</f>
        <v>22.606055999999999</v>
      </c>
      <c r="G129" s="52" cm="1">
        <f t="array" ref="G129">MMS_Swine_ManureAppliedToSoils_Equations.VEERG_4_5_1_9__1_MassOfNitrogenAppliedToSoilsScope1(G36,_xlfn.XLOOKUP($E129,$D$105:$D$110,$E$105:$E$110), _xlfn.XLOOKUP($E129,$D$95:$D$100,$E$95:$E$100),G61,$F85)</f>
        <v>30.100455000000004</v>
      </c>
      <c r="H129" s="52" cm="1">
        <f t="array" ref="H129">MMS_Swine_ManureAppliedToSoils_Equations.VEERG_4_5_1_9__1_MassOfNitrogenAppliedToSoilsScope1(H36,_xlfn.XLOOKUP($E129,$D$105:$D$110,$E$105:$E$110), _xlfn.XLOOKUP($E129,$D$95:$D$100,$E$95:$E$100),H61,$F85)</f>
        <v>28.257569999999994</v>
      </c>
      <c r="I129" s="52" cm="1">
        <f t="array" ref="I129">MMS_Swine_ManureAppliedToSoils_Equations.VEERG_4_5_1_9__1_MassOfNitrogenAppliedToSoilsScope1(I36,_xlfn.XLOOKUP($E129,$D$105:$D$110,$E$105:$E$110), _xlfn.XLOOKUP($E129,$D$95:$D$100,$E$95:$E$100),I61,$F85)</f>
        <v>19.166003999999997</v>
      </c>
      <c r="J129" s="2" t="str">
        <f t="shared" si="0"/>
        <v>kg N</v>
      </c>
      <c r="N129" s="57"/>
      <c r="O129" s="57" t="str">
        <f>'Input - Swine'!$D$78</f>
        <v>Digester / covered lagoons</v>
      </c>
      <c r="P129" s="52" cm="1">
        <f t="array" ref="P129">MMS_Swine_ManureAppliedToSoils_Equations.VEERG_4_5_1_9__1_MassOfNitrogenAppliedToSoilsScope1(P36,_xlfn.XLOOKUP($O129,$D$105:$D$110,$E$105:$E$110), _xlfn.XLOOKUP($O129,$D$95:$D$100,$E$95:$E$100),P61,$F85)</f>
        <v>22.606055999999999</v>
      </c>
      <c r="Q129" s="52" cm="1">
        <f t="array" ref="Q129">MMS_Swine_ManureAppliedToSoils_Equations.VEERG_4_5_1_9__1_MassOfNitrogenAppliedToSoilsScope1(Q36,_xlfn.XLOOKUP($O129,$D$105:$D$110,$E$105:$E$110), _xlfn.XLOOKUP($O129,$D$95:$D$100,$E$95:$E$100),Q61,$F85)</f>
        <v>30.100455000000004</v>
      </c>
      <c r="R129" s="52" cm="1">
        <f t="array" ref="R129">MMS_Swine_ManureAppliedToSoils_Equations.VEERG_4_5_1_9__1_MassOfNitrogenAppliedToSoilsScope1(R36,_xlfn.XLOOKUP($O129,$D$105:$D$110,$E$105:$E$110), _xlfn.XLOOKUP($O129,$D$95:$D$100,$E$95:$E$100),R61,$F85)</f>
        <v>28.257569999999994</v>
      </c>
      <c r="S129" s="52" cm="1">
        <f t="array" ref="S129">MMS_Swine_ManureAppliedToSoils_Equations.VEERG_4_5_1_9__1_MassOfNitrogenAppliedToSoilsScope1(S36,_xlfn.XLOOKUP($O129,$D$105:$D$110,$E$105:$E$110), _xlfn.XLOOKUP($O129,$D$95:$D$100,$E$95:$E$100),S61,$F85)</f>
        <v>19.166003999999997</v>
      </c>
      <c r="T129" s="2" t="str">
        <f t="shared" si="1"/>
        <v>kg N</v>
      </c>
    </row>
    <row r="130" spans="3:21" ht="20.100000000000001" customHeight="1" x14ac:dyDescent="0.25">
      <c r="D130" s="57"/>
      <c r="E130" s="57" t="str">
        <f>'Input - Swine'!$D$79</f>
        <v>Deep litter</v>
      </c>
      <c r="F130" s="52" cm="1">
        <f t="array" ref="F130">MMS_Swine_ManureAppliedToSoils_Equations.VEERG_4_5_1_9__1_MassOfNitrogenAppliedToSoilsScope1(F37,_xlfn.XLOOKUP($E130,$D$105:$D$110,$E$105:$E$110), _xlfn.XLOOKUP($E130,$D$95:$D$100,$E$95:$E$100),F62,$F86)</f>
        <v>19.554238439999999</v>
      </c>
      <c r="G130" s="52" cm="1">
        <f t="array" ref="G130">MMS_Swine_ManureAppliedToSoils_Equations.VEERG_4_5_1_9__1_MassOfNitrogenAppliedToSoilsScope1(G37,_xlfn.XLOOKUP($E130,$D$105:$D$110,$E$105:$E$110), _xlfn.XLOOKUP($E130,$D$95:$D$100,$E$95:$E$100),G62,$F86)</f>
        <v>26.036893575000001</v>
      </c>
      <c r="H130" s="52" cm="1">
        <f t="array" ref="H130">MMS_Swine_ManureAppliedToSoils_Equations.VEERG_4_5_1_9__1_MassOfNitrogenAppliedToSoilsScope1(H37,_xlfn.XLOOKUP($E130,$D$105:$D$110,$E$105:$E$110), _xlfn.XLOOKUP($E130,$D$95:$D$100,$E$95:$E$100),H62,$F86)</f>
        <v>24.442798049999993</v>
      </c>
      <c r="I130" s="52" cm="1">
        <f t="array" ref="I130">MMS_Swine_ManureAppliedToSoils_Equations.VEERG_4_5_1_9__1_MassOfNitrogenAppliedToSoilsScope1(I37,_xlfn.XLOOKUP($E130,$D$105:$D$110,$E$105:$E$110), _xlfn.XLOOKUP($E130,$D$95:$D$100,$E$95:$E$100),I62,$F86)</f>
        <v>16.578593459999997</v>
      </c>
      <c r="J130" s="2" t="str">
        <f t="shared" si="0"/>
        <v>kg N</v>
      </c>
      <c r="N130" s="57"/>
      <c r="O130" s="57" t="str">
        <f>'Input - Swine'!$D$79</f>
        <v>Deep litter</v>
      </c>
      <c r="P130" s="52" cm="1">
        <f t="array" ref="P130">MMS_Swine_ManureAppliedToSoils_Equations.VEERG_4_5_1_9__1_MassOfNitrogenAppliedToSoilsScope1(P37,_xlfn.XLOOKUP($O130,$D$105:$D$110,$E$105:$E$110), _xlfn.XLOOKUP($O130,$D$95:$D$100,$E$95:$E$100),P62,$F86)</f>
        <v>19.554238439999999</v>
      </c>
      <c r="Q130" s="52" cm="1">
        <f t="array" ref="Q130">MMS_Swine_ManureAppliedToSoils_Equations.VEERG_4_5_1_9__1_MassOfNitrogenAppliedToSoilsScope1(Q37,_xlfn.XLOOKUP($O130,$D$105:$D$110,$E$105:$E$110), _xlfn.XLOOKUP($O130,$D$95:$D$100,$E$95:$E$100),Q62,$F86)</f>
        <v>26.036893575000001</v>
      </c>
      <c r="R130" s="52" cm="1">
        <f t="array" ref="R130">MMS_Swine_ManureAppliedToSoils_Equations.VEERG_4_5_1_9__1_MassOfNitrogenAppliedToSoilsScope1(R37,_xlfn.XLOOKUP($O130,$D$105:$D$110,$E$105:$E$110), _xlfn.XLOOKUP($O130,$D$95:$D$100,$E$95:$E$100),R62,$F86)</f>
        <v>24.442798049999993</v>
      </c>
      <c r="S130" s="52" cm="1">
        <f t="array" ref="S130">MMS_Swine_ManureAppliedToSoils_Equations.VEERG_4_5_1_9__1_MassOfNitrogenAppliedToSoilsScope1(S37,_xlfn.XLOOKUP($O130,$D$105:$D$110,$E$105:$E$110), _xlfn.XLOOKUP($O130,$D$95:$D$100,$E$95:$E$100),S62,$F86)</f>
        <v>16.578593459999997</v>
      </c>
      <c r="T130" s="2" t="str">
        <f t="shared" si="1"/>
        <v>kg N</v>
      </c>
    </row>
    <row r="131" spans="3:21" ht="20.100000000000001" customHeight="1" x14ac:dyDescent="0.25">
      <c r="D131" s="57" t="str">
        <f>'Input - Swine'!$D$34</f>
        <v>Solid storage</v>
      </c>
      <c r="E131" s="57" t="str">
        <f>'Input - Swine'!$D$84</f>
        <v>Anaerobic lagoon</v>
      </c>
      <c r="F131" s="52" cm="1">
        <f t="array" ref="F131">MMS_Swine_ManureAppliedToSoils_Equations.VEERG_4_5_1_9__1_MassOfNitrogenAppliedToSoilsScope1(F38,_xlfn.XLOOKUP($E131,$D$105:$D$110,$E$105:$E$110), _xlfn.XLOOKUP($E131,$D$95:$D$100,$E$95:$E$100),F63,$F87)</f>
        <v>36.039735000000007</v>
      </c>
      <c r="G131" s="52" cm="1">
        <f t="array" ref="G131">MMS_Swine_ManureAppliedToSoils_Equations.VEERG_4_5_1_9__1_MassOfNitrogenAppliedToSoilsScope1(G38,_xlfn.XLOOKUP($E131,$D$105:$D$110,$E$105:$E$110), _xlfn.XLOOKUP($E131,$D$95:$D$100,$E$95:$E$100),G63,$F87)</f>
        <v>38.390152500000021</v>
      </c>
      <c r="H131" s="52" cm="1">
        <f t="array" ref="H131">MMS_Swine_ManureAppliedToSoils_Equations.VEERG_4_5_1_9__1_MassOfNitrogenAppliedToSoilsScope1(H38,_xlfn.XLOOKUP($E131,$D$105:$D$110,$E$105:$E$110), _xlfn.XLOOKUP($E131,$D$95:$D$100,$E$95:$E$100),H63,$F87)</f>
        <v>36.039735000000007</v>
      </c>
      <c r="I131" s="52" cm="1">
        <f t="array" ref="I131">MMS_Swine_ManureAppliedToSoils_Equations.VEERG_4_5_1_9__1_MassOfNitrogenAppliedToSoilsScope1(I38,_xlfn.XLOOKUP($E131,$D$105:$D$110,$E$105:$E$110), _xlfn.XLOOKUP($E131,$D$95:$D$100,$E$95:$E$100),I63,$F87)</f>
        <v>24.44434200000001</v>
      </c>
      <c r="J131" s="2" t="str">
        <f t="shared" si="0"/>
        <v>kg N</v>
      </c>
      <c r="N131" s="57" t="str">
        <f>'Input - Swine'!$D$34</f>
        <v>Solid storage</v>
      </c>
      <c r="O131" s="57" t="str">
        <f>'Input - Swine'!$D$84</f>
        <v>Anaerobic lagoon</v>
      </c>
      <c r="P131" s="52" cm="1">
        <f t="array" ref="P131">MMS_Swine_ManureAppliedToSoils_Equations.VEERG_4_5_1_9__1_MassOfNitrogenAppliedToSoilsScope1(P38,_xlfn.XLOOKUP($O131,$D$105:$D$110,$E$105:$E$110), _xlfn.XLOOKUP($O131,$D$95:$D$100,$E$95:$E$100),P63,$F87)</f>
        <v>36.039735000000007</v>
      </c>
      <c r="Q131" s="52" cm="1">
        <f t="array" ref="Q131">MMS_Swine_ManureAppliedToSoils_Equations.VEERG_4_5_1_9__1_MassOfNitrogenAppliedToSoilsScope1(Q38,_xlfn.XLOOKUP($O131,$D$105:$D$110,$E$105:$E$110), _xlfn.XLOOKUP($O131,$D$95:$D$100,$E$95:$E$100),Q63,$F87)</f>
        <v>38.390152500000021</v>
      </c>
      <c r="R131" s="52" cm="1">
        <f t="array" ref="R131">MMS_Swine_ManureAppliedToSoils_Equations.VEERG_4_5_1_9__1_MassOfNitrogenAppliedToSoilsScope1(R38,_xlfn.XLOOKUP($O131,$D$105:$D$110,$E$105:$E$110), _xlfn.XLOOKUP($O131,$D$95:$D$100,$E$95:$E$100),R63,$F87)</f>
        <v>36.039735000000007</v>
      </c>
      <c r="S131" s="52" cm="1">
        <f t="array" ref="S131">MMS_Swine_ManureAppliedToSoils_Equations.VEERG_4_5_1_9__1_MassOfNitrogenAppliedToSoilsScope1(S38,_xlfn.XLOOKUP($O131,$D$105:$D$110,$E$105:$E$110), _xlfn.XLOOKUP($O131,$D$95:$D$100,$E$95:$E$100),S63,$F87)</f>
        <v>24.44434200000001</v>
      </c>
      <c r="T131" s="2" t="str">
        <f t="shared" si="1"/>
        <v>kg N</v>
      </c>
    </row>
    <row r="132" spans="3:21" ht="20.100000000000001" customHeight="1" x14ac:dyDescent="0.25">
      <c r="D132" s="57"/>
      <c r="E132" s="57" t="str">
        <f>'Input - Swine'!$D$85</f>
        <v>Digester / covered lagoons</v>
      </c>
      <c r="F132" s="52" cm="1">
        <f t="array" ref="F132">MMS_Swine_ManureAppliedToSoils_Equations.VEERG_4_5_1_9__1_MassOfNitrogenAppliedToSoilsScope1(F39,_xlfn.XLOOKUP($E132,$D$105:$D$110,$E$105:$E$110), _xlfn.XLOOKUP($E132,$D$95:$D$100,$E$95:$E$100),F64,$F88)</f>
        <v>80.088300000000032</v>
      </c>
      <c r="G132" s="52" cm="1">
        <f t="array" ref="G132">MMS_Swine_ManureAppliedToSoils_Equations.VEERG_4_5_1_9__1_MassOfNitrogenAppliedToSoilsScope1(G39,_xlfn.XLOOKUP($E132,$D$105:$D$110,$E$105:$E$110), _xlfn.XLOOKUP($E132,$D$95:$D$100,$E$95:$E$100),G64,$F88)</f>
        <v>85.31145000000005</v>
      </c>
      <c r="H132" s="52" cm="1">
        <f t="array" ref="H132">MMS_Swine_ManureAppliedToSoils_Equations.VEERG_4_5_1_9__1_MassOfNitrogenAppliedToSoilsScope1(H39,_xlfn.XLOOKUP($E132,$D$105:$D$110,$E$105:$E$110), _xlfn.XLOOKUP($E132,$D$95:$D$100,$E$95:$E$100),H64,$F88)</f>
        <v>80.088300000000032</v>
      </c>
      <c r="I132" s="52" cm="1">
        <f t="array" ref="I132">MMS_Swine_ManureAppliedToSoils_Equations.VEERG_4_5_1_9__1_MassOfNitrogenAppliedToSoilsScope1(I39,_xlfn.XLOOKUP($E132,$D$105:$D$110,$E$105:$E$110), _xlfn.XLOOKUP($E132,$D$95:$D$100,$E$95:$E$100),I64,$F88)</f>
        <v>54.320760000000028</v>
      </c>
      <c r="J132" s="2" t="str">
        <f t="shared" si="0"/>
        <v>kg N</v>
      </c>
      <c r="N132" s="57"/>
      <c r="O132" s="57" t="str">
        <f>'Input - Swine'!$D$85</f>
        <v>Digester / covered lagoons</v>
      </c>
      <c r="P132" s="52" cm="1">
        <f t="array" ref="P132">MMS_Swine_ManureAppliedToSoils_Equations.VEERG_4_5_1_9__1_MassOfNitrogenAppliedToSoilsScope1(P39,_xlfn.XLOOKUP($O132,$D$105:$D$110,$E$105:$E$110), _xlfn.XLOOKUP($O132,$D$95:$D$100,$E$95:$E$100),P64,$F88)</f>
        <v>80.088300000000032</v>
      </c>
      <c r="Q132" s="52" cm="1">
        <f t="array" ref="Q132">MMS_Swine_ManureAppliedToSoils_Equations.VEERG_4_5_1_9__1_MassOfNitrogenAppliedToSoilsScope1(Q39,_xlfn.XLOOKUP($O132,$D$105:$D$110,$E$105:$E$110), _xlfn.XLOOKUP($O132,$D$95:$D$100,$E$95:$E$100),Q64,$F88)</f>
        <v>85.31145000000005</v>
      </c>
      <c r="R132" s="52" cm="1">
        <f t="array" ref="R132">MMS_Swine_ManureAppliedToSoils_Equations.VEERG_4_5_1_9__1_MassOfNitrogenAppliedToSoilsScope1(R39,_xlfn.XLOOKUP($O132,$D$105:$D$110,$E$105:$E$110), _xlfn.XLOOKUP($O132,$D$95:$D$100,$E$95:$E$100),R64,$F88)</f>
        <v>80.088300000000032</v>
      </c>
      <c r="S132" s="52" cm="1">
        <f t="array" ref="S132">MMS_Swine_ManureAppliedToSoils_Equations.VEERG_4_5_1_9__1_MassOfNitrogenAppliedToSoilsScope1(S39,_xlfn.XLOOKUP($O132,$D$105:$D$110,$E$105:$E$110), _xlfn.XLOOKUP($O132,$D$95:$D$100,$E$95:$E$100),S64,$F88)</f>
        <v>54.320760000000028</v>
      </c>
      <c r="T132" s="2" t="str">
        <f t="shared" si="1"/>
        <v>kg N</v>
      </c>
    </row>
    <row r="133" spans="3:21" ht="20.100000000000001" customHeight="1" x14ac:dyDescent="0.25">
      <c r="D133" s="57"/>
      <c r="E133" s="57" t="str">
        <f>'Input - Swine'!$D$86</f>
        <v>Deep litter</v>
      </c>
      <c r="F133" s="52" cm="1">
        <f t="array" ref="F133">MMS_Swine_ManureAppliedToSoils_Equations.VEERG_4_5_1_9__1_MassOfNitrogenAppliedToSoilsScope1(F40,_xlfn.XLOOKUP($E133,$D$105:$D$110,$E$105:$E$110), _xlfn.XLOOKUP($E133,$D$95:$D$100,$E$95:$E$100),F65,$F89)</f>
        <v>69.276379500000019</v>
      </c>
      <c r="G133" s="52" cm="1">
        <f t="array" ref="G133">MMS_Swine_ManureAppliedToSoils_Equations.VEERG_4_5_1_9__1_MassOfNitrogenAppliedToSoilsScope1(G40,_xlfn.XLOOKUP($E133,$D$105:$D$110,$E$105:$E$110), _xlfn.XLOOKUP($E133,$D$95:$D$100,$E$95:$E$100),G65,$F89)</f>
        <v>73.794404250000042</v>
      </c>
      <c r="H133" s="52" cm="1">
        <f t="array" ref="H133">MMS_Swine_ManureAppliedToSoils_Equations.VEERG_4_5_1_9__1_MassOfNitrogenAppliedToSoilsScope1(H40,_xlfn.XLOOKUP($E133,$D$105:$D$110,$E$105:$E$110), _xlfn.XLOOKUP($E133,$D$95:$D$100,$E$95:$E$100),H65,$F89)</f>
        <v>69.276379500000019</v>
      </c>
      <c r="I133" s="52" cm="1">
        <f t="array" ref="I133">MMS_Swine_ManureAppliedToSoils_Equations.VEERG_4_5_1_9__1_MassOfNitrogenAppliedToSoilsScope1(I40,_xlfn.XLOOKUP($E133,$D$105:$D$110,$E$105:$E$110), _xlfn.XLOOKUP($E133,$D$95:$D$100,$E$95:$E$100),I65,$F89)</f>
        <v>46.987457400000025</v>
      </c>
      <c r="J133" s="2" t="str">
        <f t="shared" si="0"/>
        <v>kg N</v>
      </c>
      <c r="N133" s="57"/>
      <c r="O133" s="57" t="str">
        <f>'Input - Swine'!$D$86</f>
        <v>Deep litter</v>
      </c>
      <c r="P133" s="52" cm="1">
        <f t="array" ref="P133">MMS_Swine_ManureAppliedToSoils_Equations.VEERG_4_5_1_9__1_MassOfNitrogenAppliedToSoilsScope1(P40,_xlfn.XLOOKUP($O133,$D$105:$D$110,$E$105:$E$110), _xlfn.XLOOKUP($O133,$D$95:$D$100,$E$95:$E$100),P65,$F89)</f>
        <v>69.276379500000019</v>
      </c>
      <c r="Q133" s="52" cm="1">
        <f t="array" ref="Q133">MMS_Swine_ManureAppliedToSoils_Equations.VEERG_4_5_1_9__1_MassOfNitrogenAppliedToSoilsScope1(Q40,_xlfn.XLOOKUP($O133,$D$105:$D$110,$E$105:$E$110), _xlfn.XLOOKUP($O133,$D$95:$D$100,$E$95:$E$100),Q65,$F89)</f>
        <v>73.794404250000042</v>
      </c>
      <c r="R133" s="52" cm="1">
        <f t="array" ref="R133">MMS_Swine_ManureAppliedToSoils_Equations.VEERG_4_5_1_9__1_MassOfNitrogenAppliedToSoilsScope1(R40,_xlfn.XLOOKUP($O133,$D$105:$D$110,$E$105:$E$110), _xlfn.XLOOKUP($O133,$D$95:$D$100,$E$95:$E$100),R65,$F89)</f>
        <v>69.276379500000019</v>
      </c>
      <c r="S133" s="52" cm="1">
        <f t="array" ref="S133">MMS_Swine_ManureAppliedToSoils_Equations.VEERG_4_5_1_9__1_MassOfNitrogenAppliedToSoilsScope1(S40,_xlfn.XLOOKUP($O133,$D$105:$D$110,$E$105:$E$110), _xlfn.XLOOKUP($O133,$D$95:$D$100,$E$95:$E$100),S65,$F89)</f>
        <v>46.987457400000025</v>
      </c>
      <c r="T133" s="2" t="str">
        <f t="shared" si="1"/>
        <v>kg N</v>
      </c>
    </row>
    <row r="134" spans="3:21" ht="20.100000000000001" customHeight="1" x14ac:dyDescent="0.25">
      <c r="D134" s="57"/>
      <c r="E134" s="57" t="str">
        <f>'Input - Swine'!$D$87</f>
        <v>Pit storage</v>
      </c>
      <c r="F134" s="52" cm="1">
        <f t="array" ref="F134">MMS_Swine_ManureAppliedToSoils_Equations.VEERG_4_5_1_9__1_MassOfNitrogenAppliedToSoilsScope1(F41,_xlfn.XLOOKUP($E134,$D$105:$D$110,$E$105:$E$110), _xlfn.XLOOKUP($E134,$D$95:$D$100,$E$95:$E$100),F66,$F90)</f>
        <v>29.953024200000009</v>
      </c>
      <c r="G134" s="52" cm="1">
        <f t="array" ref="G134">MMS_Swine_ManureAppliedToSoils_Equations.VEERG_4_5_1_9__1_MassOfNitrogenAppliedToSoilsScope1(G41,_xlfn.XLOOKUP($E134,$D$105:$D$110,$E$105:$E$110), _xlfn.XLOOKUP($E134,$D$95:$D$100,$E$95:$E$100),G66,$F90)</f>
        <v>31.906482300000018</v>
      </c>
      <c r="H134" s="52" cm="1">
        <f t="array" ref="H134">MMS_Swine_ManureAppliedToSoils_Equations.VEERG_4_5_1_9__1_MassOfNitrogenAppliedToSoilsScope1(H41,_xlfn.XLOOKUP($E134,$D$105:$D$110,$E$105:$E$110), _xlfn.XLOOKUP($E134,$D$95:$D$100,$E$95:$E$100),H66,$F90)</f>
        <v>29.953024200000009</v>
      </c>
      <c r="I134" s="52" cm="1">
        <f t="array" ref="I134">MMS_Swine_ManureAppliedToSoils_Equations.VEERG_4_5_1_9__1_MassOfNitrogenAppliedToSoilsScope1(I41,_xlfn.XLOOKUP($E134,$D$105:$D$110,$E$105:$E$110), _xlfn.XLOOKUP($E134,$D$95:$D$100,$E$95:$E$100),I66,$F90)</f>
        <v>20.31596424000001</v>
      </c>
      <c r="J134" s="2" t="str">
        <f t="shared" si="0"/>
        <v>kg N</v>
      </c>
      <c r="N134" s="57"/>
      <c r="O134" s="57" t="str">
        <f>'Input - Swine'!$D$87</f>
        <v>Pit storage</v>
      </c>
      <c r="P134" s="52" cm="1">
        <f t="array" ref="P134">MMS_Swine_ManureAppliedToSoils_Equations.VEERG_4_5_1_9__1_MassOfNitrogenAppliedToSoilsScope1(P41,_xlfn.XLOOKUP($O134,$D$105:$D$110,$E$105:$E$110), _xlfn.XLOOKUP($O134,$D$95:$D$100,$E$95:$E$100),P66,$F90)</f>
        <v>29.953024200000009</v>
      </c>
      <c r="Q134" s="52" cm="1">
        <f t="array" ref="Q134">MMS_Swine_ManureAppliedToSoils_Equations.VEERG_4_5_1_9__1_MassOfNitrogenAppliedToSoilsScope1(Q41,_xlfn.XLOOKUP($O134,$D$105:$D$110,$E$105:$E$110), _xlfn.XLOOKUP($O134,$D$95:$D$100,$E$95:$E$100),Q66,$F90)</f>
        <v>31.906482300000018</v>
      </c>
      <c r="R134" s="52" cm="1">
        <f t="array" ref="R134">MMS_Swine_ManureAppliedToSoils_Equations.VEERG_4_5_1_9__1_MassOfNitrogenAppliedToSoilsScope1(R41,_xlfn.XLOOKUP($O134,$D$105:$D$110,$E$105:$E$110), _xlfn.XLOOKUP($O134,$D$95:$D$100,$E$95:$E$100),R66,$F90)</f>
        <v>29.953024200000009</v>
      </c>
      <c r="S134" s="52" cm="1">
        <f t="array" ref="S134">MMS_Swine_ManureAppliedToSoils_Equations.VEERG_4_5_1_9__1_MassOfNitrogenAppliedToSoilsScope1(S41,_xlfn.XLOOKUP($O134,$D$105:$D$110,$E$105:$E$110), _xlfn.XLOOKUP($O134,$D$95:$D$100,$E$95:$E$100),S66,$F90)</f>
        <v>20.31596424000001</v>
      </c>
      <c r="T134" s="2" t="str">
        <f t="shared" si="1"/>
        <v>kg N</v>
      </c>
    </row>
    <row r="135" spans="3:21" ht="20.100000000000001" customHeight="1" x14ac:dyDescent="0.25"/>
    <row r="136" spans="3:21" ht="20.100000000000001" customHeight="1" x14ac:dyDescent="0.25">
      <c r="D136" s="101" t="s">
        <v>373</v>
      </c>
      <c r="E136" s="102">
        <f>SUM(F115:I134)</f>
        <v>1959.6253885650012</v>
      </c>
      <c r="F136" s="103" t="str">
        <f>$E$11</f>
        <v>kg N</v>
      </c>
      <c r="N136" s="101" t="s">
        <v>373</v>
      </c>
      <c r="O136" s="102">
        <f>SUM(P115:S134)</f>
        <v>1959.6253885650012</v>
      </c>
      <c r="P136" s="103" t="str">
        <f>$E$11</f>
        <v>kg N</v>
      </c>
    </row>
    <row r="137" spans="3:21" ht="20.100000000000001" customHeight="1" x14ac:dyDescent="0.25"/>
    <row r="138" spans="3:21" ht="20.100000000000001" customHeight="1" x14ac:dyDescent="0.25"/>
    <row r="139" spans="3:21" ht="20.100000000000001" customHeight="1" x14ac:dyDescent="0.25">
      <c r="C139" s="45"/>
      <c r="D139" s="45"/>
      <c r="E139" s="45"/>
      <c r="F139" s="45"/>
      <c r="G139" s="45"/>
      <c r="H139" s="45"/>
      <c r="I139" s="45"/>
      <c r="J139" s="45"/>
      <c r="K139" s="45"/>
      <c r="M139" s="45"/>
      <c r="N139" s="45"/>
      <c r="O139" s="45"/>
      <c r="P139" s="45"/>
      <c r="Q139" s="45"/>
      <c r="R139" s="45"/>
      <c r="S139" s="45"/>
      <c r="T139" s="45"/>
      <c r="U139" s="45"/>
    </row>
    <row r="140" spans="3:21" ht="20.100000000000001" customHeight="1" x14ac:dyDescent="0.25">
      <c r="D140" s="6" t="str" cm="1">
        <f t="array" ref="D140">MMS_Swine_ManureAppliedToSoils_Equations.VEERG_4_5_1_9__2_MassOfNitrogenAppliedToSoilsScope3_Title()</f>
        <v>Mass of nitrogen applied to soils for scope 3 emissions</v>
      </c>
    </row>
    <row r="141" spans="3:21" ht="20.100000000000001" customHeight="1" x14ac:dyDescent="0.25">
      <c r="D141" s="5" t="str" cm="1">
        <f t="array" ref="D141">MMS_Swine_ManureAppliedToSoils_Equations.VEERG_4_5_1_9__2_MassOfNitrogenAppliedToSoilsScope3_Source()</f>
        <v>VEERG 2026: 4.5.1.9, Equation (2)</v>
      </c>
    </row>
    <row r="142" spans="3:21" ht="20.100000000000001" customHeight="1" x14ac:dyDescent="0.25">
      <c r="D142" s="13" t="s">
        <v>26</v>
      </c>
      <c r="E142" s="13" t="str" cm="1">
        <f t="array" aca="1" ref="E142" ca="1">Common_InputFunctions.Utility_DisplayFunctionName(F157)</f>
        <v>=MMS_Swine_ManureAppliedToSoils_Equations.VEERG_4_5_1_9__2_MassOfNitrogenAppliedToSoilsScope3</v>
      </c>
    </row>
    <row r="143" spans="3:21" ht="20.100000000000001" customHeight="1" x14ac:dyDescent="0.25"/>
    <row r="144" spans="3:21" ht="20.100000000000001" customHeight="1" x14ac:dyDescent="0.25"/>
    <row r="145" spans="4:20" ht="20.100000000000001" customHeight="1" x14ac:dyDescent="0.25">
      <c r="D145" s="53" t="s">
        <v>29</v>
      </c>
      <c r="E145" s="1" t="str" cm="1">
        <f t="array" ref="E145">MMS_Swine_ManureAppliedToSoils_Equations.VEERG_4_5_1_9__2_MassOfNitrogenAppliedToSoilsScope3_Variable()</f>
        <v>MNSoil_scope3</v>
      </c>
    </row>
    <row r="146" spans="4:20" ht="20.100000000000001" customHeight="1" x14ac:dyDescent="0.25">
      <c r="D146" s="53" t="s">
        <v>19</v>
      </c>
      <c r="E146" s="54" t="str" cm="1">
        <f t="array" ref="E146">MMS_Swine_ManureAppliedToSoils_Equations.VEERG_4_5_1_9__2_MassOfNitrogenAppliedToSoilsScope3_Unit()</f>
        <v>kg N</v>
      </c>
    </row>
    <row r="147" spans="4:20" ht="20.100000000000001" customHeight="1" x14ac:dyDescent="0.25"/>
    <row r="148" spans="4:20" ht="20.100000000000001" customHeight="1" x14ac:dyDescent="0.25">
      <c r="D148" s="57" t="str" cm="1">
        <f t="array" ref="D148:E152">MMS_Swine_ManureAppliedToSoils_Equations.VEERG_4_5_1_9__2_MassOfNitrogenAppliedToSoilsScope3_Arguments()</f>
        <v>MN_jmT2</v>
      </c>
      <c r="E148" s="58" t="str">
        <v>mass of N in MMS at treatment stage 2 : kg N</v>
      </c>
      <c r="F148" s="100"/>
      <c r="G148" s="59"/>
      <c r="H148" s="57" t="str">
        <f>"See " &amp; D19</f>
        <v>See M1_Table_MN_j_m_T-2</v>
      </c>
    </row>
    <row r="149" spans="4:20" ht="20.100000000000001" customHeight="1" x14ac:dyDescent="0.25">
      <c r="D149" s="57" t="str">
        <v>EF_mT2</v>
      </c>
      <c r="E149" s="58" t="str">
        <v>nitrous oxide emission factor for each MMS at treatment stage 2 : kg N2O-N/kg N</v>
      </c>
      <c r="F149" s="100"/>
      <c r="G149" s="59"/>
      <c r="H149" s="57" t="str">
        <f>"See " &amp; D102</f>
        <v>See Table_EF_m_T</v>
      </c>
    </row>
    <row r="150" spans="4:20" ht="20.100000000000001" customHeight="1" x14ac:dyDescent="0.25">
      <c r="D150" s="57" t="str">
        <v>FracGASM_mT2</v>
      </c>
      <c r="E150" s="58" t="str">
        <v>fraction of animal waste N volatilised in each MMS at treatment stage 2 : (kg NH3-N + NOx-N)/kg N</v>
      </c>
      <c r="F150" s="100"/>
      <c r="G150" s="59"/>
      <c r="H150" s="57" t="str">
        <f>"See " &amp; D92</f>
        <v>See Table_FracGASM_m_t</v>
      </c>
    </row>
    <row r="151" spans="4:20" ht="20.100000000000001" customHeight="1" x14ac:dyDescent="0.25">
      <c r="D151" s="57" t="str">
        <v>MNLeach_jm5</v>
      </c>
      <c r="E151" s="58" t="str">
        <v>mass of N lost to leaching and runoff from drylot MMS : kg N</v>
      </c>
      <c r="F151" s="100"/>
      <c r="G151" s="59"/>
      <c r="H151" s="57" t="str">
        <f>"See " &amp; D44</f>
        <v>See M1_Table_MN_leach_j_m-5</v>
      </c>
    </row>
    <row r="152" spans="4:20" ht="20.100000000000001" customHeight="1" x14ac:dyDescent="0.25">
      <c r="D152" s="57" t="str">
        <v>PF</v>
      </c>
      <c r="E152" s="58" t="str">
        <v>fraction of manure applied to soil within the piggery boundary : fraction</v>
      </c>
      <c r="F152" s="100"/>
      <c r="G152" s="59"/>
      <c r="H152" s="57" t="str">
        <f>"See " &amp; D68</f>
        <v>See M1_Table_PF</v>
      </c>
    </row>
    <row r="153" spans="4:20" ht="20.100000000000001" customHeight="1" x14ac:dyDescent="0.25"/>
    <row r="154" spans="4:20" ht="20.100000000000001" customHeight="1" x14ac:dyDescent="0.25">
      <c r="D154" s="121" t="s">
        <v>376</v>
      </c>
      <c r="N154" s="121" t="s">
        <v>376</v>
      </c>
    </row>
    <row r="155" spans="4:20" ht="20.100000000000001" customHeight="1" x14ac:dyDescent="0.25">
      <c r="D155" s="122" t="s">
        <v>377</v>
      </c>
      <c r="N155" s="122" t="s">
        <v>377</v>
      </c>
    </row>
    <row r="156" spans="4:20" ht="20.100000000000001" customHeight="1" x14ac:dyDescent="0.25">
      <c r="D156" s="51" t="s">
        <v>169</v>
      </c>
      <c r="E156" s="51" t="s">
        <v>206</v>
      </c>
      <c r="F156" s="51" t="s">
        <v>143</v>
      </c>
      <c r="G156" s="51" t="s">
        <v>144</v>
      </c>
      <c r="H156" s="51" t="s">
        <v>145</v>
      </c>
      <c r="I156" s="51" t="s">
        <v>263</v>
      </c>
      <c r="N156" s="51" t="s">
        <v>169</v>
      </c>
      <c r="O156" s="51" t="s">
        <v>206</v>
      </c>
      <c r="P156" s="51" t="s">
        <v>143</v>
      </c>
      <c r="Q156" s="51" t="s">
        <v>144</v>
      </c>
      <c r="R156" s="51" t="s">
        <v>145</v>
      </c>
      <c r="S156" s="51" t="s">
        <v>263</v>
      </c>
    </row>
    <row r="157" spans="4:20" ht="20.100000000000001" customHeight="1" x14ac:dyDescent="0.25">
      <c r="D157" s="57" t="str">
        <f>'Input - Swine'!$D$29</f>
        <v>Anaerobic lagoon</v>
      </c>
      <c r="E157" s="57" t="str">
        <f>'Input - Swine'!$D$48</f>
        <v>Digester / covered lagoons</v>
      </c>
      <c r="F157" s="52" cm="1">
        <f t="array" ref="F157">MMS_Swine_ManureAppliedToSoils_Equations.VEERG_4_5_1_9__2_MassOfNitrogenAppliedToSoilsScope3(F22,_xlfn.XLOOKUP($E157,$D$105:$D$110,$E$105:$E$110), _xlfn.XLOOKUP($E157,$D$95:$D$100,$E$95:$E$100),F47,$F71)</f>
        <v>4.5332999999999988</v>
      </c>
      <c r="G157" s="52" cm="1">
        <f t="array" ref="G157">MMS_Swine_ManureAppliedToSoils_Equations.VEERG_4_5_1_9__2_MassOfNitrogenAppliedToSoilsScope3(G22,_xlfn.XLOOKUP($E157,$D$105:$D$110,$E$105:$E$110), _xlfn.XLOOKUP($E157,$D$95:$D$100,$E$95:$E$100),G47,$F71)</f>
        <v>6.0361875000000005</v>
      </c>
      <c r="H157" s="52" cm="1">
        <f t="array" ref="H157">MMS_Swine_ManureAppliedToSoils_Equations.VEERG_4_5_1_9__2_MassOfNitrogenAppliedToSoilsScope3(H22,_xlfn.XLOOKUP($E157,$D$105:$D$110,$E$105:$E$110), _xlfn.XLOOKUP($E157,$D$95:$D$100,$E$95:$E$100),H47,$F71)</f>
        <v>5.666624999999998</v>
      </c>
      <c r="I157" s="52" cm="1">
        <f t="array" ref="I157">MMS_Swine_ManureAppliedToSoils_Equations.VEERG_4_5_1_9__2_MassOfNitrogenAppliedToSoilsScope3(I22,_xlfn.XLOOKUP($E157,$D$105:$D$110,$E$105:$E$110), _xlfn.XLOOKUP($E157,$D$95:$D$100,$E$95:$E$100),I47,$F71)</f>
        <v>3.8434499999999989</v>
      </c>
      <c r="J157" s="2" t="str">
        <f>$E$11</f>
        <v>kg N</v>
      </c>
      <c r="N157" s="57" t="str">
        <f>'Input - Swine'!$D$29</f>
        <v>Anaerobic lagoon</v>
      </c>
      <c r="O157" s="57" t="str">
        <f>'Input - Swine'!$D$48</f>
        <v>Digester / covered lagoons</v>
      </c>
      <c r="P157" s="52" cm="1">
        <f t="array" ref="P157">MMS_Swine_ManureAppliedToSoils_Equations.VEERG_4_5_1_9__2_MassOfNitrogenAppliedToSoilsScope3(P22,_xlfn.XLOOKUP($O157,$D$105:$D$110,$E$105:$E$110), _xlfn.XLOOKUP($O157,$D$95:$D$100,$E$95:$E$100),P47,$F71)</f>
        <v>4.5332999999999988</v>
      </c>
      <c r="Q157" s="52" cm="1">
        <f t="array" ref="Q157">MMS_Swine_ManureAppliedToSoils_Equations.VEERG_4_5_1_9__2_MassOfNitrogenAppliedToSoilsScope3(Q22,_xlfn.XLOOKUP($O157,$D$105:$D$110,$E$105:$E$110), _xlfn.XLOOKUP($O157,$D$95:$D$100,$E$95:$E$100),Q47,$F71)</f>
        <v>6.0361875000000005</v>
      </c>
      <c r="R157" s="52" cm="1">
        <f t="array" ref="R157">MMS_Swine_ManureAppliedToSoils_Equations.VEERG_4_5_1_9__2_MassOfNitrogenAppliedToSoilsScope3(R22,_xlfn.XLOOKUP($O157,$D$105:$D$110,$E$105:$E$110), _xlfn.XLOOKUP($O157,$D$95:$D$100,$E$95:$E$100),R47,$F71)</f>
        <v>5.666624999999998</v>
      </c>
      <c r="S157" s="52" cm="1">
        <f t="array" ref="S157">MMS_Swine_ManureAppliedToSoils_Equations.VEERG_4_5_1_9__2_MassOfNitrogenAppliedToSoilsScope3(S22,_xlfn.XLOOKUP($O157,$D$105:$D$110,$E$105:$E$110), _xlfn.XLOOKUP($O157,$D$95:$D$100,$E$95:$E$100),S47,$F71)</f>
        <v>3.8434499999999989</v>
      </c>
      <c r="T157" s="2" t="str">
        <f>$E$11</f>
        <v>kg N</v>
      </c>
    </row>
    <row r="158" spans="4:20" ht="20.100000000000001" customHeight="1" x14ac:dyDescent="0.25">
      <c r="D158" s="57"/>
      <c r="E158" s="57" t="str">
        <f>'Input - Swine'!$D$49</f>
        <v>Deep litter</v>
      </c>
      <c r="F158" s="52" cm="1">
        <f t="array" ref="F158">MMS_Swine_ManureAppliedToSoils_Equations.VEERG_4_5_1_9__2_MassOfNitrogenAppliedToSoilsScope3(F23,_xlfn.XLOOKUP($E158,$D$105:$D$110,$E$105:$E$110), _xlfn.XLOOKUP($E158,$D$95:$D$100,$E$95:$E$100),F48,$F72)</f>
        <v>3.9213044999999989</v>
      </c>
      <c r="G158" s="52" cm="1">
        <f t="array" ref="G158">MMS_Swine_ManureAppliedToSoils_Equations.VEERG_4_5_1_9__2_MassOfNitrogenAppliedToSoilsScope3(G23,_xlfn.XLOOKUP($E158,$D$105:$D$110,$E$105:$E$110), _xlfn.XLOOKUP($E158,$D$95:$D$100,$E$95:$E$100),G48,$F72)</f>
        <v>5.2213021875000001</v>
      </c>
      <c r="H158" s="52" cm="1">
        <f t="array" ref="H158">MMS_Swine_ManureAppliedToSoils_Equations.VEERG_4_5_1_9__2_MassOfNitrogenAppliedToSoilsScope3(H23,_xlfn.XLOOKUP($E158,$D$105:$D$110,$E$105:$E$110), _xlfn.XLOOKUP($E158,$D$95:$D$100,$E$95:$E$100),H48,$F72)</f>
        <v>4.9016306249999984</v>
      </c>
      <c r="I158" s="52" cm="1">
        <f t="array" ref="I158">MMS_Swine_ManureAppliedToSoils_Equations.VEERG_4_5_1_9__2_MassOfNitrogenAppliedToSoilsScope3(I23,_xlfn.XLOOKUP($E158,$D$105:$D$110,$E$105:$E$110), _xlfn.XLOOKUP($E158,$D$95:$D$100,$E$95:$E$100),I48,$F72)</f>
        <v>3.3245842499999991</v>
      </c>
      <c r="J158" s="2" t="str">
        <f t="shared" ref="J158:J176" si="2">$E$11</f>
        <v>kg N</v>
      </c>
      <c r="N158" s="57"/>
      <c r="O158" s="57" t="str">
        <f>'Input - Swine'!$D$49</f>
        <v>Deep litter</v>
      </c>
      <c r="P158" s="52" cm="1">
        <f t="array" ref="P158">MMS_Swine_ManureAppliedToSoils_Equations.VEERG_4_5_1_9__2_MassOfNitrogenAppliedToSoilsScope3(P23,_xlfn.XLOOKUP($O158,$D$105:$D$110,$E$105:$E$110), _xlfn.XLOOKUP($O158,$D$95:$D$100,$E$95:$E$100),P48,$F72)</f>
        <v>3.9213044999999989</v>
      </c>
      <c r="Q158" s="52" cm="1">
        <f t="array" ref="Q158">MMS_Swine_ManureAppliedToSoils_Equations.VEERG_4_5_1_9__2_MassOfNitrogenAppliedToSoilsScope3(Q23,_xlfn.XLOOKUP($O158,$D$105:$D$110,$E$105:$E$110), _xlfn.XLOOKUP($O158,$D$95:$D$100,$E$95:$E$100),Q48,$F72)</f>
        <v>5.2213021875000001</v>
      </c>
      <c r="R158" s="52" cm="1">
        <f t="array" ref="R158">MMS_Swine_ManureAppliedToSoils_Equations.VEERG_4_5_1_9__2_MassOfNitrogenAppliedToSoilsScope3(R23,_xlfn.XLOOKUP($O158,$D$105:$D$110,$E$105:$E$110), _xlfn.XLOOKUP($O158,$D$95:$D$100,$E$95:$E$100),R48,$F72)</f>
        <v>4.9016306249999984</v>
      </c>
      <c r="S158" s="52" cm="1">
        <f t="array" ref="S158">MMS_Swine_ManureAppliedToSoils_Equations.VEERG_4_5_1_9__2_MassOfNitrogenAppliedToSoilsScope3(S23,_xlfn.XLOOKUP($O158,$D$105:$D$110,$E$105:$E$110), _xlfn.XLOOKUP($O158,$D$95:$D$100,$E$95:$E$100),S48,$F72)</f>
        <v>3.3245842499999991</v>
      </c>
      <c r="T158" s="2" t="str">
        <f t="shared" ref="T158:T176" si="3">$E$11</f>
        <v>kg N</v>
      </c>
    </row>
    <row r="159" spans="4:20" ht="20.100000000000001" customHeight="1" x14ac:dyDescent="0.25">
      <c r="D159" s="57"/>
      <c r="E159" s="57" t="str">
        <f>'Input - Swine'!$D$50</f>
        <v>Pit storage</v>
      </c>
      <c r="F159" s="52" cm="1">
        <f t="array" ref="F159">MMS_Swine_ManureAppliedToSoils_Equations.VEERG_4_5_1_9__2_MassOfNitrogenAppliedToSoilsScope3(F24,_xlfn.XLOOKUP($E159,$D$105:$D$110,$E$105:$E$110), _xlfn.XLOOKUP($E159,$D$95:$D$100,$E$95:$E$100),F49,$F73)</f>
        <v>3.3909083999999989</v>
      </c>
      <c r="G159" s="52" cm="1">
        <f t="array" ref="G159">MMS_Swine_ManureAppliedToSoils_Equations.VEERG_4_5_1_9__2_MassOfNitrogenAppliedToSoilsScope3(G24,_xlfn.XLOOKUP($E159,$D$105:$D$110,$E$105:$E$110), _xlfn.XLOOKUP($E159,$D$95:$D$100,$E$95:$E$100),G49,$F73)</f>
        <v>4.5150682500000006</v>
      </c>
      <c r="H159" s="52" cm="1">
        <f t="array" ref="H159">MMS_Swine_ManureAppliedToSoils_Equations.VEERG_4_5_1_9__2_MassOfNitrogenAppliedToSoilsScope3(H24,_xlfn.XLOOKUP($E159,$D$105:$D$110,$E$105:$E$110), _xlfn.XLOOKUP($E159,$D$95:$D$100,$E$95:$E$100),H49,$F73)</f>
        <v>4.2386354999999982</v>
      </c>
      <c r="I159" s="52" cm="1">
        <f t="array" ref="I159">MMS_Swine_ManureAppliedToSoils_Equations.VEERG_4_5_1_9__2_MassOfNitrogenAppliedToSoilsScope3(I24,_xlfn.XLOOKUP($E159,$D$105:$D$110,$E$105:$E$110), _xlfn.XLOOKUP($E159,$D$95:$D$100,$E$95:$E$100),I49,$F73)</f>
        <v>2.8749005999999993</v>
      </c>
      <c r="J159" s="2" t="str">
        <f t="shared" si="2"/>
        <v>kg N</v>
      </c>
      <c r="N159" s="57"/>
      <c r="O159" s="57" t="str">
        <f>'Input - Swine'!$D$50</f>
        <v>Pit storage</v>
      </c>
      <c r="P159" s="52" cm="1">
        <f t="array" ref="P159">MMS_Swine_ManureAppliedToSoils_Equations.VEERG_4_5_1_9__2_MassOfNitrogenAppliedToSoilsScope3(P24,_xlfn.XLOOKUP($O159,$D$105:$D$110,$E$105:$E$110), _xlfn.XLOOKUP($O159,$D$95:$D$100,$E$95:$E$100),P49,$F73)</f>
        <v>3.3909083999999989</v>
      </c>
      <c r="Q159" s="52" cm="1">
        <f t="array" ref="Q159">MMS_Swine_ManureAppliedToSoils_Equations.VEERG_4_5_1_9__2_MassOfNitrogenAppliedToSoilsScope3(Q24,_xlfn.XLOOKUP($O159,$D$105:$D$110,$E$105:$E$110), _xlfn.XLOOKUP($O159,$D$95:$D$100,$E$95:$E$100),Q49,$F73)</f>
        <v>4.5150682500000006</v>
      </c>
      <c r="R159" s="52" cm="1">
        <f t="array" ref="R159">MMS_Swine_ManureAppliedToSoils_Equations.VEERG_4_5_1_9__2_MassOfNitrogenAppliedToSoilsScope3(R24,_xlfn.XLOOKUP($O159,$D$105:$D$110,$E$105:$E$110), _xlfn.XLOOKUP($O159,$D$95:$D$100,$E$95:$E$100),R49,$F73)</f>
        <v>4.2386354999999982</v>
      </c>
      <c r="S159" s="52" cm="1">
        <f t="array" ref="S159">MMS_Swine_ManureAppliedToSoils_Equations.VEERG_4_5_1_9__2_MassOfNitrogenAppliedToSoilsScope3(S24,_xlfn.XLOOKUP($O159,$D$105:$D$110,$E$105:$E$110), _xlfn.XLOOKUP($O159,$D$95:$D$100,$E$95:$E$100),S49,$F73)</f>
        <v>2.8749005999999993</v>
      </c>
      <c r="T159" s="2" t="str">
        <f t="shared" si="3"/>
        <v>kg N</v>
      </c>
    </row>
    <row r="160" spans="4:20" ht="20.100000000000001" customHeight="1" x14ac:dyDescent="0.25">
      <c r="D160" s="57" t="str">
        <f>'Input - Swine'!$D$30</f>
        <v>Drylot (feed pad)</v>
      </c>
      <c r="E160" s="57" t="str">
        <f>'Input - Swine'!$D$55</f>
        <v>Anaerobic lagoon</v>
      </c>
      <c r="F160" s="52" cm="1">
        <f t="array" ref="F160">MMS_Swine_ManureAppliedToSoils_Equations.VEERG_4_5_1_9__2_MassOfNitrogenAppliedToSoilsScope3(F25,_xlfn.XLOOKUP($E160,$D$105:$D$110,$E$105:$E$110), _xlfn.XLOOKUP($E160,$D$95:$D$100,$E$95:$E$100),F50,$F74)</f>
        <v>2.0752439999999988</v>
      </c>
      <c r="G160" s="52" cm="1">
        <f t="array" ref="G160">MMS_Swine_ManureAppliedToSoils_Equations.VEERG_4_5_1_9__2_MassOfNitrogenAppliedToSoilsScope3(G25,_xlfn.XLOOKUP($E160,$D$105:$D$110,$E$105:$E$110), _xlfn.XLOOKUP($E160,$D$95:$D$100,$E$95:$E$100),G50,$F74)</f>
        <v>3.0315075</v>
      </c>
      <c r="H160" s="52" cm="1">
        <f t="array" ref="H160">MMS_Swine_ManureAppliedToSoils_Equations.VEERG_4_5_1_9__2_MassOfNitrogenAppliedToSoilsScope3(H25,_xlfn.XLOOKUP($E160,$D$105:$D$110,$E$105:$E$110), _xlfn.XLOOKUP($E160,$D$95:$D$100,$E$95:$E$100),H50,$F74)</f>
        <v>2.8459049999999984</v>
      </c>
      <c r="I160" s="52" cm="1">
        <f t="array" ref="I160">MMS_Swine_ManureAppliedToSoils_Equations.VEERG_4_5_1_9__2_MassOfNitrogenAppliedToSoilsScope3(I25,_xlfn.XLOOKUP($E160,$D$105:$D$110,$E$105:$E$110), _xlfn.XLOOKUP($E160,$D$95:$D$100,$E$95:$E$100),I50,$F74)</f>
        <v>1.9302659999999991</v>
      </c>
      <c r="J160" s="2" t="str">
        <f t="shared" si="2"/>
        <v>kg N</v>
      </c>
      <c r="N160" s="57" t="str">
        <f>'Input - Swine'!$D$30</f>
        <v>Drylot (feed pad)</v>
      </c>
      <c r="O160" s="57" t="str">
        <f>'Input - Swine'!$D$55</f>
        <v>Anaerobic lagoon</v>
      </c>
      <c r="P160" s="52" cm="1">
        <f t="array" ref="P160">MMS_Swine_ManureAppliedToSoils_Equations.VEERG_4_5_1_9__2_MassOfNitrogenAppliedToSoilsScope3(P25,_xlfn.XLOOKUP($O160,$D$105:$D$110,$E$105:$E$110), _xlfn.XLOOKUP($O160,$D$95:$D$100,$E$95:$E$100),P50,$F74)</f>
        <v>2.0752439999999988</v>
      </c>
      <c r="Q160" s="52" cm="1">
        <f t="array" ref="Q160">MMS_Swine_ManureAppliedToSoils_Equations.VEERG_4_5_1_9__2_MassOfNitrogenAppliedToSoilsScope3(Q25,_xlfn.XLOOKUP($O160,$D$105:$D$110,$E$105:$E$110), _xlfn.XLOOKUP($O160,$D$95:$D$100,$E$95:$E$100),Q50,$F74)</f>
        <v>3.0315075</v>
      </c>
      <c r="R160" s="52" cm="1">
        <f t="array" ref="R160">MMS_Swine_ManureAppliedToSoils_Equations.VEERG_4_5_1_9__2_MassOfNitrogenAppliedToSoilsScope3(R25,_xlfn.XLOOKUP($O160,$D$105:$D$110,$E$105:$E$110), _xlfn.XLOOKUP($O160,$D$95:$D$100,$E$95:$E$100),R50,$F74)</f>
        <v>2.8459049999999984</v>
      </c>
      <c r="S160" s="52" cm="1">
        <f t="array" ref="S160">MMS_Swine_ManureAppliedToSoils_Equations.VEERG_4_5_1_9__2_MassOfNitrogenAppliedToSoilsScope3(S25,_xlfn.XLOOKUP($O160,$D$105:$D$110,$E$105:$E$110), _xlfn.XLOOKUP($O160,$D$95:$D$100,$E$95:$E$100),S50,$F74)</f>
        <v>1.9302659999999991</v>
      </c>
      <c r="T160" s="2" t="str">
        <f t="shared" si="3"/>
        <v>kg N</v>
      </c>
    </row>
    <row r="161" spans="4:20" ht="20.100000000000001" customHeight="1" x14ac:dyDescent="0.25">
      <c r="D161" s="57"/>
      <c r="E161" s="57" t="str">
        <f>'Input - Swine'!$D$56</f>
        <v>Digester / covered lagoons</v>
      </c>
      <c r="F161" s="52" cm="1">
        <f t="array" ref="F161">MMS_Swine_ManureAppliedToSoils_Equations.VEERG_4_5_1_9__2_MassOfNitrogenAppliedToSoilsScope3(F26,_xlfn.XLOOKUP($E161,$D$105:$D$110,$E$105:$E$110), _xlfn.XLOOKUP($E161,$D$95:$D$100,$E$95:$E$100),F51,$F75)</f>
        <v>5.8429199999999986</v>
      </c>
      <c r="G161" s="52" cm="1">
        <f t="array" ref="G161">MMS_Swine_ManureAppliedToSoils_Equations.VEERG_4_5_1_9__2_MassOfNitrogenAppliedToSoilsScope3(G26,_xlfn.XLOOKUP($E161,$D$105:$D$110,$E$105:$E$110), _xlfn.XLOOKUP($E161,$D$95:$D$100,$E$95:$E$100),G51,$F75)</f>
        <v>8.0482500000000012</v>
      </c>
      <c r="H161" s="52" cm="1">
        <f t="array" ref="H161">MMS_Swine_ManureAppliedToSoils_Equations.VEERG_4_5_1_9__2_MassOfNitrogenAppliedToSoilsScope3(H26,_xlfn.XLOOKUP($E161,$D$105:$D$110,$E$105:$E$110), _xlfn.XLOOKUP($E161,$D$95:$D$100,$E$95:$E$100),H51,$F75)</f>
        <v>7.5554999999999977</v>
      </c>
      <c r="I161" s="52" cm="1">
        <f t="array" ref="I161">MMS_Swine_ManureAppliedToSoils_Equations.VEERG_4_5_1_9__2_MassOfNitrogenAppliedToSoilsScope3(I26,_xlfn.XLOOKUP($E161,$D$105:$D$110,$E$105:$E$110), _xlfn.XLOOKUP($E161,$D$95:$D$100,$E$95:$E$100),I51,$F75)</f>
        <v>5.1245999999999983</v>
      </c>
      <c r="J161" s="2" t="str">
        <f t="shared" si="2"/>
        <v>kg N</v>
      </c>
      <c r="N161" s="57"/>
      <c r="O161" s="57" t="str">
        <f>'Input - Swine'!$D$56</f>
        <v>Digester / covered lagoons</v>
      </c>
      <c r="P161" s="52" cm="1">
        <f t="array" ref="P161">MMS_Swine_ManureAppliedToSoils_Equations.VEERG_4_5_1_9__2_MassOfNitrogenAppliedToSoilsScope3(P26,_xlfn.XLOOKUP($O161,$D$105:$D$110,$E$105:$E$110), _xlfn.XLOOKUP($O161,$D$95:$D$100,$E$95:$E$100),P51,$F75)</f>
        <v>5.8429199999999986</v>
      </c>
      <c r="Q161" s="52" cm="1">
        <f t="array" ref="Q161">MMS_Swine_ManureAppliedToSoils_Equations.VEERG_4_5_1_9__2_MassOfNitrogenAppliedToSoilsScope3(Q26,_xlfn.XLOOKUP($O161,$D$105:$D$110,$E$105:$E$110), _xlfn.XLOOKUP($O161,$D$95:$D$100,$E$95:$E$100),Q51,$F75)</f>
        <v>8.0482500000000012</v>
      </c>
      <c r="R161" s="52" cm="1">
        <f t="array" ref="R161">MMS_Swine_ManureAppliedToSoils_Equations.VEERG_4_5_1_9__2_MassOfNitrogenAppliedToSoilsScope3(R26,_xlfn.XLOOKUP($O161,$D$105:$D$110,$E$105:$E$110), _xlfn.XLOOKUP($O161,$D$95:$D$100,$E$95:$E$100),R51,$F75)</f>
        <v>7.5554999999999977</v>
      </c>
      <c r="S161" s="52" cm="1">
        <f t="array" ref="S161">MMS_Swine_ManureAppliedToSoils_Equations.VEERG_4_5_1_9__2_MassOfNitrogenAppliedToSoilsScope3(S26,_xlfn.XLOOKUP($O161,$D$105:$D$110,$E$105:$E$110), _xlfn.XLOOKUP($O161,$D$95:$D$100,$E$95:$E$100),S51,$F75)</f>
        <v>5.1245999999999983</v>
      </c>
      <c r="T161" s="2" t="str">
        <f t="shared" si="3"/>
        <v>kg N</v>
      </c>
    </row>
    <row r="162" spans="4:20" ht="20.100000000000001" customHeight="1" x14ac:dyDescent="0.25">
      <c r="D162" s="57"/>
      <c r="E162" s="57" t="str">
        <f>'Input - Swine'!$D$57</f>
        <v>Deep litter</v>
      </c>
      <c r="F162" s="52" cm="1">
        <f t="array" ref="F162">MMS_Swine_ManureAppliedToSoils_Equations.VEERG_4_5_1_9__2_MassOfNitrogenAppliedToSoilsScope3(F27,_xlfn.XLOOKUP($E162,$D$105:$D$110,$E$105:$E$110), _xlfn.XLOOKUP($E162,$D$95:$D$100,$E$95:$E$100),F52,$F76)</f>
        <v>4.9181267999999987</v>
      </c>
      <c r="G162" s="52" cm="1">
        <f t="array" ref="G162">MMS_Swine_ManureAppliedToSoils_Equations.VEERG_4_5_1_9__2_MassOfNitrogenAppliedToSoilsScope3(G27,_xlfn.XLOOKUP($E162,$D$105:$D$110,$E$105:$E$110), _xlfn.XLOOKUP($E162,$D$95:$D$100,$E$95:$E$100),G52,$F76)</f>
        <v>6.816867750000001</v>
      </c>
      <c r="H162" s="52" cm="1">
        <f t="array" ref="H162">MMS_Swine_ManureAppliedToSoils_Equations.VEERG_4_5_1_9__2_MassOfNitrogenAppliedToSoilsScope3(H27,_xlfn.XLOOKUP($E162,$D$105:$D$110,$E$105:$E$110), _xlfn.XLOOKUP($E162,$D$95:$D$100,$E$95:$E$100),H52,$F76)</f>
        <v>6.3995084999999978</v>
      </c>
      <c r="I162" s="52" cm="1">
        <f t="array" ref="I162">MMS_Swine_ManureAppliedToSoils_Equations.VEERG_4_5_1_9__2_MassOfNitrogenAppliedToSoilsScope3(I27,_xlfn.XLOOKUP($E162,$D$105:$D$110,$E$105:$E$110), _xlfn.XLOOKUP($E162,$D$95:$D$100,$E$95:$E$100),I52,$F76)</f>
        <v>4.3405361999999981</v>
      </c>
      <c r="J162" s="2" t="str">
        <f t="shared" si="2"/>
        <v>kg N</v>
      </c>
      <c r="N162" s="57"/>
      <c r="O162" s="57" t="str">
        <f>'Input - Swine'!$D$57</f>
        <v>Deep litter</v>
      </c>
      <c r="P162" s="52" cm="1">
        <f t="array" ref="P162">MMS_Swine_ManureAppliedToSoils_Equations.VEERG_4_5_1_9__2_MassOfNitrogenAppliedToSoilsScope3(P27,_xlfn.XLOOKUP($O162,$D$105:$D$110,$E$105:$E$110), _xlfn.XLOOKUP($O162,$D$95:$D$100,$E$95:$E$100),P52,$F76)</f>
        <v>4.9181267999999987</v>
      </c>
      <c r="Q162" s="52" cm="1">
        <f t="array" ref="Q162">MMS_Swine_ManureAppliedToSoils_Equations.VEERG_4_5_1_9__2_MassOfNitrogenAppliedToSoilsScope3(Q27,_xlfn.XLOOKUP($O162,$D$105:$D$110,$E$105:$E$110), _xlfn.XLOOKUP($O162,$D$95:$D$100,$E$95:$E$100),Q52,$F76)</f>
        <v>6.816867750000001</v>
      </c>
      <c r="R162" s="52" cm="1">
        <f t="array" ref="R162">MMS_Swine_ManureAppliedToSoils_Equations.VEERG_4_5_1_9__2_MassOfNitrogenAppliedToSoilsScope3(R27,_xlfn.XLOOKUP($O162,$D$105:$D$110,$E$105:$E$110), _xlfn.XLOOKUP($O162,$D$95:$D$100,$E$95:$E$100),R52,$F76)</f>
        <v>6.3995084999999978</v>
      </c>
      <c r="S162" s="52" cm="1">
        <f t="array" ref="S162">MMS_Swine_ManureAppliedToSoils_Equations.VEERG_4_5_1_9__2_MassOfNitrogenAppliedToSoilsScope3(S27,_xlfn.XLOOKUP($O162,$D$105:$D$110,$E$105:$E$110), _xlfn.XLOOKUP($O162,$D$95:$D$100,$E$95:$E$100),S52,$F76)</f>
        <v>4.3405361999999981</v>
      </c>
      <c r="T162" s="2" t="str">
        <f t="shared" si="3"/>
        <v>kg N</v>
      </c>
    </row>
    <row r="163" spans="4:20" ht="20.100000000000001" customHeight="1" x14ac:dyDescent="0.25">
      <c r="D163" s="57"/>
      <c r="E163" s="57" t="str">
        <f>'Input - Swine'!$D$58</f>
        <v>Pit storage</v>
      </c>
      <c r="F163" s="52" cm="1">
        <f t="array" ref="F163">MMS_Swine_ManureAppliedToSoils_Equations.VEERG_4_5_1_9__2_MassOfNitrogenAppliedToSoilsScope3(F28,_xlfn.XLOOKUP($E163,$D$105:$D$110,$E$105:$E$110), _xlfn.XLOOKUP($E163,$D$95:$D$100,$E$95:$E$100),F53,$F77)</f>
        <v>4.1166393599999989</v>
      </c>
      <c r="G163" s="52" cm="1">
        <f t="array" ref="G163">MMS_Swine_ManureAppliedToSoils_Equations.VEERG_4_5_1_9__2_MassOfNitrogenAppliedToSoilsScope3(G28,_xlfn.XLOOKUP($E163,$D$105:$D$110,$E$105:$E$110), _xlfn.XLOOKUP($E163,$D$95:$D$100,$E$95:$E$100),G53,$F77)</f>
        <v>5.7496698000000013</v>
      </c>
      <c r="H163" s="52" cm="1">
        <f t="array" ref="H163">MMS_Swine_ManureAppliedToSoils_Equations.VEERG_4_5_1_9__2_MassOfNitrogenAppliedToSoilsScope3(H28,_xlfn.XLOOKUP($E163,$D$105:$D$110,$E$105:$E$110), _xlfn.XLOOKUP($E163,$D$95:$D$100,$E$95:$E$100),H53,$F77)</f>
        <v>5.3976491999999983</v>
      </c>
      <c r="I163" s="52" cm="1">
        <f t="array" ref="I163">MMS_Swine_ManureAppliedToSoils_Equations.VEERG_4_5_1_9__2_MassOfNitrogenAppliedToSoilsScope3(I28,_xlfn.XLOOKUP($E163,$D$105:$D$110,$E$105:$E$110), _xlfn.XLOOKUP($E163,$D$95:$D$100,$E$95:$E$100),I53,$F77)</f>
        <v>3.6610142399999983</v>
      </c>
      <c r="J163" s="2" t="str">
        <f t="shared" si="2"/>
        <v>kg N</v>
      </c>
      <c r="N163" s="57"/>
      <c r="O163" s="57" t="str">
        <f>'Input - Swine'!$D$58</f>
        <v>Pit storage</v>
      </c>
      <c r="P163" s="52" cm="1">
        <f t="array" ref="P163">MMS_Swine_ManureAppliedToSoils_Equations.VEERG_4_5_1_9__2_MassOfNitrogenAppliedToSoilsScope3(P28,_xlfn.XLOOKUP($O163,$D$105:$D$110,$E$105:$E$110), _xlfn.XLOOKUP($O163,$D$95:$D$100,$E$95:$E$100),P53,$F77)</f>
        <v>4.1166393599999989</v>
      </c>
      <c r="Q163" s="52" cm="1">
        <f t="array" ref="Q163">MMS_Swine_ManureAppliedToSoils_Equations.VEERG_4_5_1_9__2_MassOfNitrogenAppliedToSoilsScope3(Q28,_xlfn.XLOOKUP($O163,$D$105:$D$110,$E$105:$E$110), _xlfn.XLOOKUP($O163,$D$95:$D$100,$E$95:$E$100),Q53,$F77)</f>
        <v>5.7496698000000013</v>
      </c>
      <c r="R163" s="52" cm="1">
        <f t="array" ref="R163">MMS_Swine_ManureAppliedToSoils_Equations.VEERG_4_5_1_9__2_MassOfNitrogenAppliedToSoilsScope3(R28,_xlfn.XLOOKUP($O163,$D$105:$D$110,$E$105:$E$110), _xlfn.XLOOKUP($O163,$D$95:$D$100,$E$95:$E$100),R53,$F77)</f>
        <v>5.3976491999999983</v>
      </c>
      <c r="S163" s="52" cm="1">
        <f t="array" ref="S163">MMS_Swine_ManureAppliedToSoils_Equations.VEERG_4_5_1_9__2_MassOfNitrogenAppliedToSoilsScope3(S28,_xlfn.XLOOKUP($O163,$D$105:$D$110,$E$105:$E$110), _xlfn.XLOOKUP($O163,$D$95:$D$100,$E$95:$E$100),S53,$F77)</f>
        <v>3.6610142399999983</v>
      </c>
      <c r="T163" s="2" t="str">
        <f t="shared" si="3"/>
        <v>kg N</v>
      </c>
    </row>
    <row r="164" spans="4:20" ht="20.100000000000001" customHeight="1" x14ac:dyDescent="0.25">
      <c r="D164" s="57" t="str">
        <f>'Input - Swine'!$D$31</f>
        <v>Digester / covered lagoons</v>
      </c>
      <c r="E164" s="57" t="str">
        <f>'Input - Swine'!$D$63</f>
        <v>Anaerobic lagoon</v>
      </c>
      <c r="F164" s="52" cm="1">
        <f t="array" ref="F164">MMS_Swine_ManureAppliedToSoils_Equations.VEERG_4_5_1_9__2_MassOfNitrogenAppliedToSoilsScope3(F29,_xlfn.XLOOKUP($E164,$D$105:$D$110,$E$105:$E$110), _xlfn.XLOOKUP($E164,$D$95:$D$100,$E$95:$E$100),F54,$F78)</f>
        <v>4.5332999999999988</v>
      </c>
      <c r="G164" s="52" cm="1">
        <f t="array" ref="G164">MMS_Swine_ManureAppliedToSoils_Equations.VEERG_4_5_1_9__2_MassOfNitrogenAppliedToSoilsScope3(G29,_xlfn.XLOOKUP($E164,$D$105:$D$110,$E$105:$E$110), _xlfn.XLOOKUP($E164,$D$95:$D$100,$E$95:$E$100),G54,$F78)</f>
        <v>6.0361875000000005</v>
      </c>
      <c r="H164" s="52" cm="1">
        <f t="array" ref="H164">MMS_Swine_ManureAppliedToSoils_Equations.VEERG_4_5_1_9__2_MassOfNitrogenAppliedToSoilsScope3(H29,_xlfn.XLOOKUP($E164,$D$105:$D$110,$E$105:$E$110), _xlfn.XLOOKUP($E164,$D$95:$D$100,$E$95:$E$100),H54,$F78)</f>
        <v>5.666624999999998</v>
      </c>
      <c r="I164" s="52" cm="1">
        <f t="array" ref="I164">MMS_Swine_ManureAppliedToSoils_Equations.VEERG_4_5_1_9__2_MassOfNitrogenAppliedToSoilsScope3(I29,_xlfn.XLOOKUP($E164,$D$105:$D$110,$E$105:$E$110), _xlfn.XLOOKUP($E164,$D$95:$D$100,$E$95:$E$100),I54,$F78)</f>
        <v>3.8434499999999989</v>
      </c>
      <c r="J164" s="2" t="str">
        <f t="shared" si="2"/>
        <v>kg N</v>
      </c>
      <c r="N164" s="57" t="str">
        <f>'Input - Swine'!$D$31</f>
        <v>Digester / covered lagoons</v>
      </c>
      <c r="O164" s="57" t="str">
        <f>'Input - Swine'!$D$63</f>
        <v>Anaerobic lagoon</v>
      </c>
      <c r="P164" s="52" cm="1">
        <f t="array" ref="P164">MMS_Swine_ManureAppliedToSoils_Equations.VEERG_4_5_1_9__2_MassOfNitrogenAppliedToSoilsScope3(P29,_xlfn.XLOOKUP($O164,$D$105:$D$110,$E$105:$E$110), _xlfn.XLOOKUP($O164,$D$95:$D$100,$E$95:$E$100),P54,$F78)</f>
        <v>4.5332999999999988</v>
      </c>
      <c r="Q164" s="52" cm="1">
        <f t="array" ref="Q164">MMS_Swine_ManureAppliedToSoils_Equations.VEERG_4_5_1_9__2_MassOfNitrogenAppliedToSoilsScope3(Q29,_xlfn.XLOOKUP($O164,$D$105:$D$110,$E$105:$E$110), _xlfn.XLOOKUP($O164,$D$95:$D$100,$E$95:$E$100),Q54,$F78)</f>
        <v>6.0361875000000005</v>
      </c>
      <c r="R164" s="52" cm="1">
        <f t="array" ref="R164">MMS_Swine_ManureAppliedToSoils_Equations.VEERG_4_5_1_9__2_MassOfNitrogenAppliedToSoilsScope3(R29,_xlfn.XLOOKUP($O164,$D$105:$D$110,$E$105:$E$110), _xlfn.XLOOKUP($O164,$D$95:$D$100,$E$95:$E$100),R54,$F78)</f>
        <v>5.666624999999998</v>
      </c>
      <c r="S164" s="52" cm="1">
        <f t="array" ref="S164">MMS_Swine_ManureAppliedToSoils_Equations.VEERG_4_5_1_9__2_MassOfNitrogenAppliedToSoilsScope3(S29,_xlfn.XLOOKUP($O164,$D$105:$D$110,$E$105:$E$110), _xlfn.XLOOKUP($O164,$D$95:$D$100,$E$95:$E$100),S54,$F78)</f>
        <v>3.8434499999999989</v>
      </c>
      <c r="T164" s="2" t="str">
        <f t="shared" si="3"/>
        <v>kg N</v>
      </c>
    </row>
    <row r="165" spans="4:20" ht="20.100000000000001" customHeight="1" x14ac:dyDescent="0.25">
      <c r="D165" s="57"/>
      <c r="E165" s="57" t="str">
        <f>'Input - Swine'!$D$64</f>
        <v>Deep litter</v>
      </c>
      <c r="F165" s="52" cm="1">
        <f t="array" ref="F165">MMS_Swine_ManureAppliedToSoils_Equations.VEERG_4_5_1_9__2_MassOfNitrogenAppliedToSoilsScope3(F30,_xlfn.XLOOKUP($E165,$D$105:$D$110,$E$105:$E$110), _xlfn.XLOOKUP($E165,$D$95:$D$100,$E$95:$E$100),F55,$F79)</f>
        <v>8.7140099999999983</v>
      </c>
      <c r="G165" s="52" cm="1">
        <f t="array" ref="G165">MMS_Swine_ManureAppliedToSoils_Equations.VEERG_4_5_1_9__2_MassOfNitrogenAppliedToSoilsScope3(G30,_xlfn.XLOOKUP($E165,$D$105:$D$110,$E$105:$E$110), _xlfn.XLOOKUP($E165,$D$95:$D$100,$E$95:$E$100),G55,$F79)</f>
        <v>11.602893750000002</v>
      </c>
      <c r="H165" s="52" cm="1">
        <f t="array" ref="H165">MMS_Swine_ManureAppliedToSoils_Equations.VEERG_4_5_1_9__2_MassOfNitrogenAppliedToSoilsScope3(H30,_xlfn.XLOOKUP($E165,$D$105:$D$110,$E$105:$E$110), _xlfn.XLOOKUP($E165,$D$95:$D$100,$E$95:$E$100),H55,$F79)</f>
        <v>10.892512499999997</v>
      </c>
      <c r="I165" s="52" cm="1">
        <f t="array" ref="I165">MMS_Swine_ManureAppliedToSoils_Equations.VEERG_4_5_1_9__2_MassOfNitrogenAppliedToSoilsScope3(I30,_xlfn.XLOOKUP($E165,$D$105:$D$110,$E$105:$E$110), _xlfn.XLOOKUP($E165,$D$95:$D$100,$E$95:$E$100),I55,$F79)</f>
        <v>7.3879649999999986</v>
      </c>
      <c r="J165" s="2" t="str">
        <f t="shared" si="2"/>
        <v>kg N</v>
      </c>
      <c r="N165" s="57"/>
      <c r="O165" s="57" t="str">
        <f>'Input - Swine'!$D$64</f>
        <v>Deep litter</v>
      </c>
      <c r="P165" s="52" cm="1">
        <f t="array" ref="P165">MMS_Swine_ManureAppliedToSoils_Equations.VEERG_4_5_1_9__2_MassOfNitrogenAppliedToSoilsScope3(P30,_xlfn.XLOOKUP($O165,$D$105:$D$110,$E$105:$E$110), _xlfn.XLOOKUP($O165,$D$95:$D$100,$E$95:$E$100),P55,$F79)</f>
        <v>8.7140099999999983</v>
      </c>
      <c r="Q165" s="52" cm="1">
        <f t="array" ref="Q165">MMS_Swine_ManureAppliedToSoils_Equations.VEERG_4_5_1_9__2_MassOfNitrogenAppliedToSoilsScope3(Q30,_xlfn.XLOOKUP($O165,$D$105:$D$110,$E$105:$E$110), _xlfn.XLOOKUP($O165,$D$95:$D$100,$E$95:$E$100),Q55,$F79)</f>
        <v>11.602893750000002</v>
      </c>
      <c r="R165" s="52" cm="1">
        <f t="array" ref="R165">MMS_Swine_ManureAppliedToSoils_Equations.VEERG_4_5_1_9__2_MassOfNitrogenAppliedToSoilsScope3(R30,_xlfn.XLOOKUP($O165,$D$105:$D$110,$E$105:$E$110), _xlfn.XLOOKUP($O165,$D$95:$D$100,$E$95:$E$100),R55,$F79)</f>
        <v>10.892512499999997</v>
      </c>
      <c r="S165" s="52" cm="1">
        <f t="array" ref="S165">MMS_Swine_ManureAppliedToSoils_Equations.VEERG_4_5_1_9__2_MassOfNitrogenAppliedToSoilsScope3(S30,_xlfn.XLOOKUP($O165,$D$105:$D$110,$E$105:$E$110), _xlfn.XLOOKUP($O165,$D$95:$D$100,$E$95:$E$100),S55,$F79)</f>
        <v>7.3879649999999986</v>
      </c>
      <c r="T165" s="2" t="str">
        <f t="shared" si="3"/>
        <v>kg N</v>
      </c>
    </row>
    <row r="166" spans="4:20" x14ac:dyDescent="0.25">
      <c r="D166" s="57"/>
      <c r="E166" s="57" t="str">
        <f>'Input - Swine'!$D$65</f>
        <v>Pit storage</v>
      </c>
      <c r="F166" s="52" cm="1">
        <f t="array" ref="F166">MMS_Swine_ManureAppliedToSoils_Equations.VEERG_4_5_1_9__2_MassOfNitrogenAppliedToSoilsScope3(F31,_xlfn.XLOOKUP($E166,$D$105:$D$110,$E$105:$E$110), _xlfn.XLOOKUP($E166,$D$95:$D$100,$E$95:$E$100),F56,$F80)</f>
        <v>7.5353519999999987</v>
      </c>
      <c r="G166" s="52" cm="1">
        <f t="array" ref="G166">MMS_Swine_ManureAppliedToSoils_Equations.VEERG_4_5_1_9__2_MassOfNitrogenAppliedToSoilsScope3(G31,_xlfn.XLOOKUP($E166,$D$105:$D$110,$E$105:$E$110), _xlfn.XLOOKUP($E166,$D$95:$D$100,$E$95:$E$100),G56,$F80)</f>
        <v>10.033485000000001</v>
      </c>
      <c r="H166" s="52" cm="1">
        <f t="array" ref="H166">MMS_Swine_ManureAppliedToSoils_Equations.VEERG_4_5_1_9__2_MassOfNitrogenAppliedToSoilsScope3(H31,_xlfn.XLOOKUP($E166,$D$105:$D$110,$E$105:$E$110), _xlfn.XLOOKUP($E166,$D$95:$D$100,$E$95:$E$100),H56,$F80)</f>
        <v>9.4191899999999986</v>
      </c>
      <c r="I166" s="52" cm="1">
        <f t="array" ref="I166">MMS_Swine_ManureAppliedToSoils_Equations.VEERG_4_5_1_9__2_MassOfNitrogenAppliedToSoilsScope3(I31,_xlfn.XLOOKUP($E166,$D$105:$D$110,$E$105:$E$110), _xlfn.XLOOKUP($E166,$D$95:$D$100,$E$95:$E$100),I56,$F80)</f>
        <v>6.3886679999999991</v>
      </c>
      <c r="J166" s="2" t="str">
        <f t="shared" si="2"/>
        <v>kg N</v>
      </c>
      <c r="N166" s="57"/>
      <c r="O166" s="57" t="str">
        <f>'Input - Swine'!$D$65</f>
        <v>Pit storage</v>
      </c>
      <c r="P166" s="52" cm="1">
        <f t="array" ref="P166">MMS_Swine_ManureAppliedToSoils_Equations.VEERG_4_5_1_9__2_MassOfNitrogenAppliedToSoilsScope3(P31,_xlfn.XLOOKUP($O166,$D$105:$D$110,$E$105:$E$110), _xlfn.XLOOKUP($O166,$D$95:$D$100,$E$95:$E$100),P56,$F80)</f>
        <v>7.5353519999999987</v>
      </c>
      <c r="Q166" s="52" cm="1">
        <f t="array" ref="Q166">MMS_Swine_ManureAppliedToSoils_Equations.VEERG_4_5_1_9__2_MassOfNitrogenAppliedToSoilsScope3(Q31,_xlfn.XLOOKUP($O166,$D$105:$D$110,$E$105:$E$110), _xlfn.XLOOKUP($O166,$D$95:$D$100,$E$95:$E$100),Q56,$F80)</f>
        <v>10.033485000000001</v>
      </c>
      <c r="R166" s="52" cm="1">
        <f t="array" ref="R166">MMS_Swine_ManureAppliedToSoils_Equations.VEERG_4_5_1_9__2_MassOfNitrogenAppliedToSoilsScope3(R31,_xlfn.XLOOKUP($O166,$D$105:$D$110,$E$105:$E$110), _xlfn.XLOOKUP($O166,$D$95:$D$100,$E$95:$E$100),R56,$F80)</f>
        <v>9.4191899999999986</v>
      </c>
      <c r="S166" s="52" cm="1">
        <f t="array" ref="S166">MMS_Swine_ManureAppliedToSoils_Equations.VEERG_4_5_1_9__2_MassOfNitrogenAppliedToSoilsScope3(S31,_xlfn.XLOOKUP($O166,$D$105:$D$110,$E$105:$E$110), _xlfn.XLOOKUP($O166,$D$95:$D$100,$E$95:$E$100),S56,$F80)</f>
        <v>6.3886679999999991</v>
      </c>
      <c r="T166" s="2" t="str">
        <f t="shared" si="3"/>
        <v>kg N</v>
      </c>
    </row>
    <row r="167" spans="4:20" x14ac:dyDescent="0.25">
      <c r="D167" s="57" t="str">
        <f>'Input - Swine'!$D$32</f>
        <v>Deep litter</v>
      </c>
      <c r="E167" s="57" t="str">
        <f>'Input - Swine'!$D$70</f>
        <v>Anaerobic lagoon</v>
      </c>
      <c r="F167" s="52" cm="1">
        <f t="array" ref="F167">MMS_Swine_ManureAppliedToSoils_Equations.VEERG_4_5_1_9__2_MassOfNitrogenAppliedToSoilsScope3(F32,_xlfn.XLOOKUP($E167,$D$105:$D$110,$E$105:$E$110), _xlfn.XLOOKUP($E167,$D$95:$D$100,$E$95:$E$100),F57,$F81)</f>
        <v>3.9213044999999989</v>
      </c>
      <c r="G167" s="52" cm="1">
        <f t="array" ref="G167">MMS_Swine_ManureAppliedToSoils_Equations.VEERG_4_5_1_9__2_MassOfNitrogenAppliedToSoilsScope3(G32,_xlfn.XLOOKUP($E167,$D$105:$D$110,$E$105:$E$110), _xlfn.XLOOKUP($E167,$D$95:$D$100,$E$95:$E$100),G57,$F81)</f>
        <v>5.2213021875000001</v>
      </c>
      <c r="H167" s="52" cm="1">
        <f t="array" ref="H167">MMS_Swine_ManureAppliedToSoils_Equations.VEERG_4_5_1_9__2_MassOfNitrogenAppliedToSoilsScope3(H32,_xlfn.XLOOKUP($E167,$D$105:$D$110,$E$105:$E$110), _xlfn.XLOOKUP($E167,$D$95:$D$100,$E$95:$E$100),H57,$F81)</f>
        <v>4.9016306249999984</v>
      </c>
      <c r="I167" s="52" cm="1">
        <f t="array" ref="I167">MMS_Swine_ManureAppliedToSoils_Equations.VEERG_4_5_1_9__2_MassOfNitrogenAppliedToSoilsScope3(I32,_xlfn.XLOOKUP($E167,$D$105:$D$110,$E$105:$E$110), _xlfn.XLOOKUP($E167,$D$95:$D$100,$E$95:$E$100),I57,$F81)</f>
        <v>3.3245842499999991</v>
      </c>
      <c r="J167" s="2" t="str">
        <f t="shared" si="2"/>
        <v>kg N</v>
      </c>
      <c r="N167" s="57" t="str">
        <f>'Input - Swine'!$D$32</f>
        <v>Deep litter</v>
      </c>
      <c r="O167" s="57" t="str">
        <f>'Input - Swine'!$D$70</f>
        <v>Anaerobic lagoon</v>
      </c>
      <c r="P167" s="52" cm="1">
        <f t="array" ref="P167">MMS_Swine_ManureAppliedToSoils_Equations.VEERG_4_5_1_9__2_MassOfNitrogenAppliedToSoilsScope3(P32,_xlfn.XLOOKUP($O167,$D$105:$D$110,$E$105:$E$110), _xlfn.XLOOKUP($O167,$D$95:$D$100,$E$95:$E$100),P57,$F81)</f>
        <v>3.9213044999999989</v>
      </c>
      <c r="Q167" s="52" cm="1">
        <f t="array" ref="Q167">MMS_Swine_ManureAppliedToSoils_Equations.VEERG_4_5_1_9__2_MassOfNitrogenAppliedToSoilsScope3(Q32,_xlfn.XLOOKUP($O167,$D$105:$D$110,$E$105:$E$110), _xlfn.XLOOKUP($O167,$D$95:$D$100,$E$95:$E$100),Q57,$F81)</f>
        <v>5.2213021875000001</v>
      </c>
      <c r="R167" s="52" cm="1">
        <f t="array" ref="R167">MMS_Swine_ManureAppliedToSoils_Equations.VEERG_4_5_1_9__2_MassOfNitrogenAppliedToSoilsScope3(R32,_xlfn.XLOOKUP($O167,$D$105:$D$110,$E$105:$E$110), _xlfn.XLOOKUP($O167,$D$95:$D$100,$E$95:$E$100),R57,$F81)</f>
        <v>4.9016306249999984</v>
      </c>
      <c r="S167" s="52" cm="1">
        <f t="array" ref="S167">MMS_Swine_ManureAppliedToSoils_Equations.VEERG_4_5_1_9__2_MassOfNitrogenAppliedToSoilsScope3(S32,_xlfn.XLOOKUP($O167,$D$105:$D$110,$E$105:$E$110), _xlfn.XLOOKUP($O167,$D$95:$D$100,$E$95:$E$100),S57,$F81)</f>
        <v>3.3245842499999991</v>
      </c>
      <c r="T167" s="2" t="str">
        <f t="shared" si="3"/>
        <v>kg N</v>
      </c>
    </row>
    <row r="168" spans="4:20" x14ac:dyDescent="0.25">
      <c r="D168" s="57"/>
      <c r="E168" s="57" t="str">
        <f>'Input - Swine'!$D$71</f>
        <v>Digester / covered lagoons</v>
      </c>
      <c r="F168" s="52" cm="1">
        <f t="array" ref="F168">MMS_Swine_ManureAppliedToSoils_Equations.VEERG_4_5_1_9__2_MassOfNitrogenAppliedToSoilsScope3(F33,_xlfn.XLOOKUP($E168,$D$105:$D$110,$E$105:$E$110), _xlfn.XLOOKUP($E168,$D$95:$D$100,$E$95:$E$100),F58,$F82)</f>
        <v>8.7140099999999983</v>
      </c>
      <c r="G168" s="52" cm="1">
        <f t="array" ref="G168">MMS_Swine_ManureAppliedToSoils_Equations.VEERG_4_5_1_9__2_MassOfNitrogenAppliedToSoilsScope3(G33,_xlfn.XLOOKUP($E168,$D$105:$D$110,$E$105:$E$110), _xlfn.XLOOKUP($E168,$D$95:$D$100,$E$95:$E$100),G58,$F82)</f>
        <v>11.602893750000002</v>
      </c>
      <c r="H168" s="52" cm="1">
        <f t="array" ref="H168">MMS_Swine_ManureAppliedToSoils_Equations.VEERG_4_5_1_9__2_MassOfNitrogenAppliedToSoilsScope3(H33,_xlfn.XLOOKUP($E168,$D$105:$D$110,$E$105:$E$110), _xlfn.XLOOKUP($E168,$D$95:$D$100,$E$95:$E$100),H58,$F82)</f>
        <v>10.892512499999997</v>
      </c>
      <c r="I168" s="52" cm="1">
        <f t="array" ref="I168">MMS_Swine_ManureAppliedToSoils_Equations.VEERG_4_5_1_9__2_MassOfNitrogenAppliedToSoilsScope3(I33,_xlfn.XLOOKUP($E168,$D$105:$D$110,$E$105:$E$110), _xlfn.XLOOKUP($E168,$D$95:$D$100,$E$95:$E$100),I58,$F82)</f>
        <v>7.3879649999999986</v>
      </c>
      <c r="J168" s="2" t="str">
        <f t="shared" si="2"/>
        <v>kg N</v>
      </c>
      <c r="N168" s="57"/>
      <c r="O168" s="57" t="str">
        <f>'Input - Swine'!$D$71</f>
        <v>Digester / covered lagoons</v>
      </c>
      <c r="P168" s="52" cm="1">
        <f t="array" ref="P168">MMS_Swine_ManureAppliedToSoils_Equations.VEERG_4_5_1_9__2_MassOfNitrogenAppliedToSoilsScope3(P33,_xlfn.XLOOKUP($O168,$D$105:$D$110,$E$105:$E$110), _xlfn.XLOOKUP($O168,$D$95:$D$100,$E$95:$E$100),P58,$F82)</f>
        <v>8.7140099999999983</v>
      </c>
      <c r="Q168" s="52" cm="1">
        <f t="array" ref="Q168">MMS_Swine_ManureAppliedToSoils_Equations.VEERG_4_5_1_9__2_MassOfNitrogenAppliedToSoilsScope3(Q33,_xlfn.XLOOKUP($O168,$D$105:$D$110,$E$105:$E$110), _xlfn.XLOOKUP($O168,$D$95:$D$100,$E$95:$E$100),Q58,$F82)</f>
        <v>11.602893750000002</v>
      </c>
      <c r="R168" s="52" cm="1">
        <f t="array" ref="R168">MMS_Swine_ManureAppliedToSoils_Equations.VEERG_4_5_1_9__2_MassOfNitrogenAppliedToSoilsScope3(R33,_xlfn.XLOOKUP($O168,$D$105:$D$110,$E$105:$E$110), _xlfn.XLOOKUP($O168,$D$95:$D$100,$E$95:$E$100),R58,$F82)</f>
        <v>10.892512499999997</v>
      </c>
      <c r="S168" s="52" cm="1">
        <f t="array" ref="S168">MMS_Swine_ManureAppliedToSoils_Equations.VEERG_4_5_1_9__2_MassOfNitrogenAppliedToSoilsScope3(S33,_xlfn.XLOOKUP($O168,$D$105:$D$110,$E$105:$E$110), _xlfn.XLOOKUP($O168,$D$95:$D$100,$E$95:$E$100),S58,$F82)</f>
        <v>7.3879649999999986</v>
      </c>
      <c r="T168" s="2" t="str">
        <f t="shared" si="3"/>
        <v>kg N</v>
      </c>
    </row>
    <row r="169" spans="4:20" x14ac:dyDescent="0.25">
      <c r="D169" s="57"/>
      <c r="E169" s="57" t="str">
        <f>'Input - Swine'!$D$72</f>
        <v>Pit storage</v>
      </c>
      <c r="F169" s="52" cm="1">
        <f t="array" ref="F169">MMS_Swine_ManureAppliedToSoils_Equations.VEERG_4_5_1_9__2_MassOfNitrogenAppliedToSoilsScope3(F34,_xlfn.XLOOKUP($E169,$D$105:$D$110,$E$105:$E$110), _xlfn.XLOOKUP($E169,$D$95:$D$100,$E$95:$E$100),F59,$F83)</f>
        <v>6.518079479999999</v>
      </c>
      <c r="G169" s="52" cm="1">
        <f t="array" ref="G169">MMS_Swine_ManureAppliedToSoils_Equations.VEERG_4_5_1_9__2_MassOfNitrogenAppliedToSoilsScope3(G34,_xlfn.XLOOKUP($E169,$D$105:$D$110,$E$105:$E$110), _xlfn.XLOOKUP($E169,$D$95:$D$100,$E$95:$E$100),G59,$F83)</f>
        <v>8.6789645250000014</v>
      </c>
      <c r="H169" s="52" cm="1">
        <f t="array" ref="H169">MMS_Swine_ManureAppliedToSoils_Equations.VEERG_4_5_1_9__2_MassOfNitrogenAppliedToSoilsScope3(H34,_xlfn.XLOOKUP($E169,$D$105:$D$110,$E$105:$E$110), _xlfn.XLOOKUP($E169,$D$95:$D$100,$E$95:$E$100),H59,$F83)</f>
        <v>8.1475993499999984</v>
      </c>
      <c r="I169" s="52" cm="1">
        <f t="array" ref="I169">MMS_Swine_ManureAppliedToSoils_Equations.VEERG_4_5_1_9__2_MassOfNitrogenAppliedToSoilsScope3(I34,_xlfn.XLOOKUP($E169,$D$105:$D$110,$E$105:$E$110), _xlfn.XLOOKUP($E169,$D$95:$D$100,$E$95:$E$100),I59,$F83)</f>
        <v>5.5261978199999993</v>
      </c>
      <c r="J169" s="2" t="str">
        <f t="shared" si="2"/>
        <v>kg N</v>
      </c>
      <c r="N169" s="57"/>
      <c r="O169" s="57" t="str">
        <f>'Input - Swine'!$D$72</f>
        <v>Pit storage</v>
      </c>
      <c r="P169" s="52" cm="1">
        <f t="array" ref="P169">MMS_Swine_ManureAppliedToSoils_Equations.VEERG_4_5_1_9__2_MassOfNitrogenAppliedToSoilsScope3(P34,_xlfn.XLOOKUP($O169,$D$105:$D$110,$E$105:$E$110), _xlfn.XLOOKUP($O169,$D$95:$D$100,$E$95:$E$100),P59,$F83)</f>
        <v>6.518079479999999</v>
      </c>
      <c r="Q169" s="52" cm="1">
        <f t="array" ref="Q169">MMS_Swine_ManureAppliedToSoils_Equations.VEERG_4_5_1_9__2_MassOfNitrogenAppliedToSoilsScope3(Q34,_xlfn.XLOOKUP($O169,$D$105:$D$110,$E$105:$E$110), _xlfn.XLOOKUP($O169,$D$95:$D$100,$E$95:$E$100),Q59,$F83)</f>
        <v>8.6789645250000014</v>
      </c>
      <c r="R169" s="52" cm="1">
        <f t="array" ref="R169">MMS_Swine_ManureAppliedToSoils_Equations.VEERG_4_5_1_9__2_MassOfNitrogenAppliedToSoilsScope3(R34,_xlfn.XLOOKUP($O169,$D$105:$D$110,$E$105:$E$110), _xlfn.XLOOKUP($O169,$D$95:$D$100,$E$95:$E$100),R59,$F83)</f>
        <v>8.1475993499999984</v>
      </c>
      <c r="S169" s="52" cm="1">
        <f t="array" ref="S169">MMS_Swine_ManureAppliedToSoils_Equations.VEERG_4_5_1_9__2_MassOfNitrogenAppliedToSoilsScope3(S34,_xlfn.XLOOKUP($O169,$D$105:$D$110,$E$105:$E$110), _xlfn.XLOOKUP($O169,$D$95:$D$100,$E$95:$E$100),S59,$F83)</f>
        <v>5.5261978199999993</v>
      </c>
      <c r="T169" s="2" t="str">
        <f t="shared" si="3"/>
        <v>kg N</v>
      </c>
    </row>
    <row r="170" spans="4:20" x14ac:dyDescent="0.25">
      <c r="D170" s="57" t="str">
        <f>'Input - Swine'!$D$33</f>
        <v>Pit storage</v>
      </c>
      <c r="E170" s="57" t="str">
        <f>'Input - Swine'!$D$77</f>
        <v>Anaerobic lagoon</v>
      </c>
      <c r="F170" s="52" cm="1">
        <f t="array" ref="F170">MMS_Swine_ManureAppliedToSoils_Equations.VEERG_4_5_1_9__2_MassOfNitrogenAppliedToSoilsScope3(F35,_xlfn.XLOOKUP($E170,$D$105:$D$110,$E$105:$E$110), _xlfn.XLOOKUP($E170,$D$95:$D$100,$E$95:$E$100),F60,$F84)</f>
        <v>3.3909083999999994</v>
      </c>
      <c r="G170" s="52" cm="1">
        <f t="array" ref="G170">MMS_Swine_ManureAppliedToSoils_Equations.VEERG_4_5_1_9__2_MassOfNitrogenAppliedToSoilsScope3(G35,_xlfn.XLOOKUP($E170,$D$105:$D$110,$E$105:$E$110), _xlfn.XLOOKUP($E170,$D$95:$D$100,$E$95:$E$100),G60,$F84)</f>
        <v>4.5150682499999997</v>
      </c>
      <c r="H170" s="52" cm="1">
        <f t="array" ref="H170">MMS_Swine_ManureAppliedToSoils_Equations.VEERG_4_5_1_9__2_MassOfNitrogenAppliedToSoilsScope3(H35,_xlfn.XLOOKUP($E170,$D$105:$D$110,$E$105:$E$110), _xlfn.XLOOKUP($E170,$D$95:$D$100,$E$95:$E$100),H60,$F84)</f>
        <v>4.2386354999999991</v>
      </c>
      <c r="I170" s="52" cm="1">
        <f t="array" ref="I170">MMS_Swine_ManureAppliedToSoils_Equations.VEERG_4_5_1_9__2_MassOfNitrogenAppliedToSoilsScope3(I35,_xlfn.XLOOKUP($E170,$D$105:$D$110,$E$105:$E$110), _xlfn.XLOOKUP($E170,$D$95:$D$100,$E$95:$E$100),I60,$F84)</f>
        <v>2.8749005999999993</v>
      </c>
      <c r="J170" s="2" t="str">
        <f t="shared" si="2"/>
        <v>kg N</v>
      </c>
      <c r="N170" s="57" t="str">
        <f>'Input - Swine'!$D$33</f>
        <v>Pit storage</v>
      </c>
      <c r="O170" s="57" t="str">
        <f>'Input - Swine'!$D$77</f>
        <v>Anaerobic lagoon</v>
      </c>
      <c r="P170" s="52" cm="1">
        <f t="array" ref="P170">MMS_Swine_ManureAppliedToSoils_Equations.VEERG_4_5_1_9__2_MassOfNitrogenAppliedToSoilsScope3(P35,_xlfn.XLOOKUP($O170,$D$105:$D$110,$E$105:$E$110), _xlfn.XLOOKUP($O170,$D$95:$D$100,$E$95:$E$100),P60,$F84)</f>
        <v>3.3909083999999994</v>
      </c>
      <c r="Q170" s="52" cm="1">
        <f t="array" ref="Q170">MMS_Swine_ManureAppliedToSoils_Equations.VEERG_4_5_1_9__2_MassOfNitrogenAppliedToSoilsScope3(Q35,_xlfn.XLOOKUP($O170,$D$105:$D$110,$E$105:$E$110), _xlfn.XLOOKUP($O170,$D$95:$D$100,$E$95:$E$100),Q60,$F84)</f>
        <v>4.5150682499999997</v>
      </c>
      <c r="R170" s="52" cm="1">
        <f t="array" ref="R170">MMS_Swine_ManureAppliedToSoils_Equations.VEERG_4_5_1_9__2_MassOfNitrogenAppliedToSoilsScope3(R35,_xlfn.XLOOKUP($O170,$D$105:$D$110,$E$105:$E$110), _xlfn.XLOOKUP($O170,$D$95:$D$100,$E$95:$E$100),R60,$F84)</f>
        <v>4.2386354999999991</v>
      </c>
      <c r="S170" s="52" cm="1">
        <f t="array" ref="S170">MMS_Swine_ManureAppliedToSoils_Equations.VEERG_4_5_1_9__2_MassOfNitrogenAppliedToSoilsScope3(S35,_xlfn.XLOOKUP($O170,$D$105:$D$110,$E$105:$E$110), _xlfn.XLOOKUP($O170,$D$95:$D$100,$E$95:$E$100),S60,$F84)</f>
        <v>2.8749005999999993</v>
      </c>
      <c r="T170" s="2" t="str">
        <f t="shared" si="3"/>
        <v>kg N</v>
      </c>
    </row>
    <row r="171" spans="4:20" x14ac:dyDescent="0.25">
      <c r="D171" s="57"/>
      <c r="E171" s="57" t="str">
        <f>'Input - Swine'!$D$78</f>
        <v>Digester / covered lagoons</v>
      </c>
      <c r="F171" s="52" cm="1">
        <f t="array" ref="F171">MMS_Swine_ManureAppliedToSoils_Equations.VEERG_4_5_1_9__2_MassOfNitrogenAppliedToSoilsScope3(F36,_xlfn.XLOOKUP($E171,$D$105:$D$110,$E$105:$E$110), _xlfn.XLOOKUP($E171,$D$95:$D$100,$E$95:$E$100),F61,$F85)</f>
        <v>7.5353519999999996</v>
      </c>
      <c r="G171" s="52" cm="1">
        <f t="array" ref="G171">MMS_Swine_ManureAppliedToSoils_Equations.VEERG_4_5_1_9__2_MassOfNitrogenAppliedToSoilsScope3(G36,_xlfn.XLOOKUP($E171,$D$105:$D$110,$E$105:$E$110), _xlfn.XLOOKUP($E171,$D$95:$D$100,$E$95:$E$100),G61,$F85)</f>
        <v>10.033485000000001</v>
      </c>
      <c r="H171" s="52" cm="1">
        <f t="array" ref="H171">MMS_Swine_ManureAppliedToSoils_Equations.VEERG_4_5_1_9__2_MassOfNitrogenAppliedToSoilsScope3(H36,_xlfn.XLOOKUP($E171,$D$105:$D$110,$E$105:$E$110), _xlfn.XLOOKUP($E171,$D$95:$D$100,$E$95:$E$100),H61,$F85)</f>
        <v>9.4191899999999986</v>
      </c>
      <c r="I171" s="52" cm="1">
        <f t="array" ref="I171">MMS_Swine_ManureAppliedToSoils_Equations.VEERG_4_5_1_9__2_MassOfNitrogenAppliedToSoilsScope3(I36,_xlfn.XLOOKUP($E171,$D$105:$D$110,$E$105:$E$110), _xlfn.XLOOKUP($E171,$D$95:$D$100,$E$95:$E$100),I61,$F85)</f>
        <v>6.3886679999999991</v>
      </c>
      <c r="J171" s="2" t="str">
        <f t="shared" si="2"/>
        <v>kg N</v>
      </c>
      <c r="N171" s="57"/>
      <c r="O171" s="57" t="str">
        <f>'Input - Swine'!$D$78</f>
        <v>Digester / covered lagoons</v>
      </c>
      <c r="P171" s="52" cm="1">
        <f t="array" ref="P171">MMS_Swine_ManureAppliedToSoils_Equations.VEERG_4_5_1_9__2_MassOfNitrogenAppliedToSoilsScope3(P36,_xlfn.XLOOKUP($O171,$D$105:$D$110,$E$105:$E$110), _xlfn.XLOOKUP($O171,$D$95:$D$100,$E$95:$E$100),P61,$F85)</f>
        <v>7.5353519999999996</v>
      </c>
      <c r="Q171" s="52" cm="1">
        <f t="array" ref="Q171">MMS_Swine_ManureAppliedToSoils_Equations.VEERG_4_5_1_9__2_MassOfNitrogenAppliedToSoilsScope3(Q36,_xlfn.XLOOKUP($O171,$D$105:$D$110,$E$105:$E$110), _xlfn.XLOOKUP($O171,$D$95:$D$100,$E$95:$E$100),Q61,$F85)</f>
        <v>10.033485000000001</v>
      </c>
      <c r="R171" s="52" cm="1">
        <f t="array" ref="R171">MMS_Swine_ManureAppliedToSoils_Equations.VEERG_4_5_1_9__2_MassOfNitrogenAppliedToSoilsScope3(R36,_xlfn.XLOOKUP($O171,$D$105:$D$110,$E$105:$E$110), _xlfn.XLOOKUP($O171,$D$95:$D$100,$E$95:$E$100),R61,$F85)</f>
        <v>9.4191899999999986</v>
      </c>
      <c r="S171" s="52" cm="1">
        <f t="array" ref="S171">MMS_Swine_ManureAppliedToSoils_Equations.VEERG_4_5_1_9__2_MassOfNitrogenAppliedToSoilsScope3(S36,_xlfn.XLOOKUP($O171,$D$105:$D$110,$E$105:$E$110), _xlfn.XLOOKUP($O171,$D$95:$D$100,$E$95:$E$100),S61,$F85)</f>
        <v>6.3886679999999991</v>
      </c>
      <c r="T171" s="2" t="str">
        <f t="shared" si="3"/>
        <v>kg N</v>
      </c>
    </row>
    <row r="172" spans="4:20" x14ac:dyDescent="0.25">
      <c r="D172" s="57"/>
      <c r="E172" s="57" t="str">
        <f>'Input - Swine'!$D$79</f>
        <v>Deep litter</v>
      </c>
      <c r="F172" s="52" cm="1">
        <f t="array" ref="F172">MMS_Swine_ManureAppliedToSoils_Equations.VEERG_4_5_1_9__2_MassOfNitrogenAppliedToSoilsScope3(F37,_xlfn.XLOOKUP($E172,$D$105:$D$110,$E$105:$E$110), _xlfn.XLOOKUP($E172,$D$95:$D$100,$E$95:$E$100),F62,$F86)</f>
        <v>6.5180794799999999</v>
      </c>
      <c r="G172" s="52" cm="1">
        <f t="array" ref="G172">MMS_Swine_ManureAppliedToSoils_Equations.VEERG_4_5_1_9__2_MassOfNitrogenAppliedToSoilsScope3(G37,_xlfn.XLOOKUP($E172,$D$105:$D$110,$E$105:$E$110), _xlfn.XLOOKUP($E172,$D$95:$D$100,$E$95:$E$100),G62,$F86)</f>
        <v>8.6789645249999996</v>
      </c>
      <c r="H172" s="52" cm="1">
        <f t="array" ref="H172">MMS_Swine_ManureAppliedToSoils_Equations.VEERG_4_5_1_9__2_MassOfNitrogenAppliedToSoilsScope3(H37,_xlfn.XLOOKUP($E172,$D$105:$D$110,$E$105:$E$110), _xlfn.XLOOKUP($E172,$D$95:$D$100,$E$95:$E$100),H62,$F86)</f>
        <v>8.1475993499999984</v>
      </c>
      <c r="I172" s="52" cm="1">
        <f t="array" ref="I172">MMS_Swine_ManureAppliedToSoils_Equations.VEERG_4_5_1_9__2_MassOfNitrogenAppliedToSoilsScope3(I37,_xlfn.XLOOKUP($E172,$D$105:$D$110,$E$105:$E$110), _xlfn.XLOOKUP($E172,$D$95:$D$100,$E$95:$E$100),I62,$F86)</f>
        <v>5.5261978199999993</v>
      </c>
      <c r="J172" s="2" t="str">
        <f t="shared" si="2"/>
        <v>kg N</v>
      </c>
      <c r="N172" s="57"/>
      <c r="O172" s="57" t="str">
        <f>'Input - Swine'!$D$79</f>
        <v>Deep litter</v>
      </c>
      <c r="P172" s="52" cm="1">
        <f t="array" ref="P172">MMS_Swine_ManureAppliedToSoils_Equations.VEERG_4_5_1_9__2_MassOfNitrogenAppliedToSoilsScope3(P37,_xlfn.XLOOKUP($O172,$D$105:$D$110,$E$105:$E$110), _xlfn.XLOOKUP($O172,$D$95:$D$100,$E$95:$E$100),P62,$F86)</f>
        <v>6.5180794799999999</v>
      </c>
      <c r="Q172" s="52" cm="1">
        <f t="array" ref="Q172">MMS_Swine_ManureAppliedToSoils_Equations.VEERG_4_5_1_9__2_MassOfNitrogenAppliedToSoilsScope3(Q37,_xlfn.XLOOKUP($O172,$D$105:$D$110,$E$105:$E$110), _xlfn.XLOOKUP($O172,$D$95:$D$100,$E$95:$E$100),Q62,$F86)</f>
        <v>8.6789645249999996</v>
      </c>
      <c r="R172" s="52" cm="1">
        <f t="array" ref="R172">MMS_Swine_ManureAppliedToSoils_Equations.VEERG_4_5_1_9__2_MassOfNitrogenAppliedToSoilsScope3(R37,_xlfn.XLOOKUP($O172,$D$105:$D$110,$E$105:$E$110), _xlfn.XLOOKUP($O172,$D$95:$D$100,$E$95:$E$100),R62,$F86)</f>
        <v>8.1475993499999984</v>
      </c>
      <c r="S172" s="52" cm="1">
        <f t="array" ref="S172">MMS_Swine_ManureAppliedToSoils_Equations.VEERG_4_5_1_9__2_MassOfNitrogenAppliedToSoilsScope3(S37,_xlfn.XLOOKUP($O172,$D$105:$D$110,$E$105:$E$110), _xlfn.XLOOKUP($O172,$D$95:$D$100,$E$95:$E$100),S62,$F86)</f>
        <v>5.5261978199999993</v>
      </c>
      <c r="T172" s="2" t="str">
        <f t="shared" si="3"/>
        <v>kg N</v>
      </c>
    </row>
    <row r="173" spans="4:20" x14ac:dyDescent="0.25">
      <c r="D173" s="57" t="str">
        <f>'Input - Swine'!$D$34</f>
        <v>Solid storage</v>
      </c>
      <c r="E173" s="57" t="str">
        <f>'Input - Swine'!$D$84</f>
        <v>Anaerobic lagoon</v>
      </c>
      <c r="F173" s="52" cm="1">
        <f t="array" ref="F173">MMS_Swine_ManureAppliedToSoils_Equations.VEERG_4_5_1_9__2_MassOfNitrogenAppliedToSoilsScope3(F38,_xlfn.XLOOKUP($E173,$D$105:$D$110,$E$105:$E$110), _xlfn.XLOOKUP($E173,$D$95:$D$100,$E$95:$E$100),F63,$F87)</f>
        <v>12.013245000000003</v>
      </c>
      <c r="G173" s="52" cm="1">
        <f t="array" ref="G173">MMS_Swine_ManureAppliedToSoils_Equations.VEERG_4_5_1_9__2_MassOfNitrogenAppliedToSoilsScope3(G38,_xlfn.XLOOKUP($E173,$D$105:$D$110,$E$105:$E$110), _xlfn.XLOOKUP($E173,$D$95:$D$100,$E$95:$E$100),G63,$F87)</f>
        <v>12.796717500000007</v>
      </c>
      <c r="H173" s="52" cm="1">
        <f t="array" ref="H173">MMS_Swine_ManureAppliedToSoils_Equations.VEERG_4_5_1_9__2_MassOfNitrogenAppliedToSoilsScope3(H38,_xlfn.XLOOKUP($E173,$D$105:$D$110,$E$105:$E$110), _xlfn.XLOOKUP($E173,$D$95:$D$100,$E$95:$E$100),H63,$F87)</f>
        <v>12.013245000000003</v>
      </c>
      <c r="I173" s="52" cm="1">
        <f t="array" ref="I173">MMS_Swine_ManureAppliedToSoils_Equations.VEERG_4_5_1_9__2_MassOfNitrogenAppliedToSoilsScope3(I38,_xlfn.XLOOKUP($E173,$D$105:$D$110,$E$105:$E$110), _xlfn.XLOOKUP($E173,$D$95:$D$100,$E$95:$E$100),I63,$F87)</f>
        <v>8.1481140000000032</v>
      </c>
      <c r="J173" s="2" t="str">
        <f t="shared" si="2"/>
        <v>kg N</v>
      </c>
      <c r="N173" s="57" t="str">
        <f>'Input - Swine'!$D$34</f>
        <v>Solid storage</v>
      </c>
      <c r="O173" s="57" t="str">
        <f>'Input - Swine'!$D$84</f>
        <v>Anaerobic lagoon</v>
      </c>
      <c r="P173" s="52" cm="1">
        <f t="array" ref="P173">MMS_Swine_ManureAppliedToSoils_Equations.VEERG_4_5_1_9__2_MassOfNitrogenAppliedToSoilsScope3(P38,_xlfn.XLOOKUP($O173,$D$105:$D$110,$E$105:$E$110), _xlfn.XLOOKUP($O173,$D$95:$D$100,$E$95:$E$100),P63,$F87)</f>
        <v>12.013245000000003</v>
      </c>
      <c r="Q173" s="52" cm="1">
        <f t="array" ref="Q173">MMS_Swine_ManureAppliedToSoils_Equations.VEERG_4_5_1_9__2_MassOfNitrogenAppliedToSoilsScope3(Q38,_xlfn.XLOOKUP($O173,$D$105:$D$110,$E$105:$E$110), _xlfn.XLOOKUP($O173,$D$95:$D$100,$E$95:$E$100),Q63,$F87)</f>
        <v>12.796717500000007</v>
      </c>
      <c r="R173" s="52" cm="1">
        <f t="array" ref="R173">MMS_Swine_ManureAppliedToSoils_Equations.VEERG_4_5_1_9__2_MassOfNitrogenAppliedToSoilsScope3(R38,_xlfn.XLOOKUP($O173,$D$105:$D$110,$E$105:$E$110), _xlfn.XLOOKUP($O173,$D$95:$D$100,$E$95:$E$100),R63,$F87)</f>
        <v>12.013245000000003</v>
      </c>
      <c r="S173" s="52" cm="1">
        <f t="array" ref="S173">MMS_Swine_ManureAppliedToSoils_Equations.VEERG_4_5_1_9__2_MassOfNitrogenAppliedToSoilsScope3(S38,_xlfn.XLOOKUP($O173,$D$105:$D$110,$E$105:$E$110), _xlfn.XLOOKUP($O173,$D$95:$D$100,$E$95:$E$100),S63,$F87)</f>
        <v>8.1481140000000032</v>
      </c>
      <c r="T173" s="2" t="str">
        <f t="shared" si="3"/>
        <v>kg N</v>
      </c>
    </row>
    <row r="174" spans="4:20" x14ac:dyDescent="0.25">
      <c r="D174" s="57"/>
      <c r="E174" s="57" t="str">
        <f>'Input - Swine'!$D$85</f>
        <v>Digester / covered lagoons</v>
      </c>
      <c r="F174" s="52" cm="1">
        <f t="array" ref="F174">MMS_Swine_ManureAppliedToSoils_Equations.VEERG_4_5_1_9__2_MassOfNitrogenAppliedToSoilsScope3(F39,_xlfn.XLOOKUP($E174,$D$105:$D$110,$E$105:$E$110), _xlfn.XLOOKUP($E174,$D$95:$D$100,$E$95:$E$100),F64,$F88)</f>
        <v>26.696100000000008</v>
      </c>
      <c r="G174" s="52" cm="1">
        <f t="array" ref="G174">MMS_Swine_ManureAppliedToSoils_Equations.VEERG_4_5_1_9__2_MassOfNitrogenAppliedToSoilsScope3(G39,_xlfn.XLOOKUP($E174,$D$105:$D$110,$E$105:$E$110), _xlfn.XLOOKUP($E174,$D$95:$D$100,$E$95:$E$100),G64,$F88)</f>
        <v>28.437150000000017</v>
      </c>
      <c r="H174" s="52" cm="1">
        <f t="array" ref="H174">MMS_Swine_ManureAppliedToSoils_Equations.VEERG_4_5_1_9__2_MassOfNitrogenAppliedToSoilsScope3(H39,_xlfn.XLOOKUP($E174,$D$105:$D$110,$E$105:$E$110), _xlfn.XLOOKUP($E174,$D$95:$D$100,$E$95:$E$100),H64,$F88)</f>
        <v>26.696100000000008</v>
      </c>
      <c r="I174" s="52" cm="1">
        <f t="array" ref="I174">MMS_Swine_ManureAppliedToSoils_Equations.VEERG_4_5_1_9__2_MassOfNitrogenAppliedToSoilsScope3(I39,_xlfn.XLOOKUP($E174,$D$105:$D$110,$E$105:$E$110), _xlfn.XLOOKUP($E174,$D$95:$D$100,$E$95:$E$100),I64,$F88)</f>
        <v>18.106920000000009</v>
      </c>
      <c r="J174" s="2" t="str">
        <f t="shared" si="2"/>
        <v>kg N</v>
      </c>
      <c r="N174" s="57"/>
      <c r="O174" s="57" t="str">
        <f>'Input - Swine'!$D$85</f>
        <v>Digester / covered lagoons</v>
      </c>
      <c r="P174" s="52" cm="1">
        <f t="array" ref="P174">MMS_Swine_ManureAppliedToSoils_Equations.VEERG_4_5_1_9__2_MassOfNitrogenAppliedToSoilsScope3(P39,_xlfn.XLOOKUP($O174,$D$105:$D$110,$E$105:$E$110), _xlfn.XLOOKUP($O174,$D$95:$D$100,$E$95:$E$100),P64,$F88)</f>
        <v>26.696100000000008</v>
      </c>
      <c r="Q174" s="52" cm="1">
        <f t="array" ref="Q174">MMS_Swine_ManureAppliedToSoils_Equations.VEERG_4_5_1_9__2_MassOfNitrogenAppliedToSoilsScope3(Q39,_xlfn.XLOOKUP($O174,$D$105:$D$110,$E$105:$E$110), _xlfn.XLOOKUP($O174,$D$95:$D$100,$E$95:$E$100),Q64,$F88)</f>
        <v>28.437150000000017</v>
      </c>
      <c r="R174" s="52" cm="1">
        <f t="array" ref="R174">MMS_Swine_ManureAppliedToSoils_Equations.VEERG_4_5_1_9__2_MassOfNitrogenAppliedToSoilsScope3(R39,_xlfn.XLOOKUP($O174,$D$105:$D$110,$E$105:$E$110), _xlfn.XLOOKUP($O174,$D$95:$D$100,$E$95:$E$100),R64,$F88)</f>
        <v>26.696100000000008</v>
      </c>
      <c r="S174" s="52" cm="1">
        <f t="array" ref="S174">MMS_Swine_ManureAppliedToSoils_Equations.VEERG_4_5_1_9__2_MassOfNitrogenAppliedToSoilsScope3(S39,_xlfn.XLOOKUP($O174,$D$105:$D$110,$E$105:$E$110), _xlfn.XLOOKUP($O174,$D$95:$D$100,$E$95:$E$100),S64,$F88)</f>
        <v>18.106920000000009</v>
      </c>
      <c r="T174" s="2" t="str">
        <f t="shared" si="3"/>
        <v>kg N</v>
      </c>
    </row>
    <row r="175" spans="4:20" x14ac:dyDescent="0.25">
      <c r="D175" s="57"/>
      <c r="E175" s="57" t="str">
        <f>'Input - Swine'!$D$86</f>
        <v>Deep litter</v>
      </c>
      <c r="F175" s="52" cm="1">
        <f t="array" ref="F175">MMS_Swine_ManureAppliedToSoils_Equations.VEERG_4_5_1_9__2_MassOfNitrogenAppliedToSoilsScope3(F40,_xlfn.XLOOKUP($E175,$D$105:$D$110,$E$105:$E$110), _xlfn.XLOOKUP($E175,$D$95:$D$100,$E$95:$E$100),F65,$F89)</f>
        <v>23.092126500000006</v>
      </c>
      <c r="G175" s="52" cm="1">
        <f t="array" ref="G175">MMS_Swine_ManureAppliedToSoils_Equations.VEERG_4_5_1_9__2_MassOfNitrogenAppliedToSoilsScope3(G40,_xlfn.XLOOKUP($E175,$D$105:$D$110,$E$105:$E$110), _xlfn.XLOOKUP($E175,$D$95:$D$100,$E$95:$E$100),G65,$F89)</f>
        <v>24.598134750000014</v>
      </c>
      <c r="H175" s="52" cm="1">
        <f t="array" ref="H175">MMS_Swine_ManureAppliedToSoils_Equations.VEERG_4_5_1_9__2_MassOfNitrogenAppliedToSoilsScope3(H40,_xlfn.XLOOKUP($E175,$D$105:$D$110,$E$105:$E$110), _xlfn.XLOOKUP($E175,$D$95:$D$100,$E$95:$E$100),H65,$F89)</f>
        <v>23.092126500000006</v>
      </c>
      <c r="I175" s="52" cm="1">
        <f t="array" ref="I175">MMS_Swine_ManureAppliedToSoils_Equations.VEERG_4_5_1_9__2_MassOfNitrogenAppliedToSoilsScope3(I40,_xlfn.XLOOKUP($E175,$D$105:$D$110,$E$105:$E$110), _xlfn.XLOOKUP($E175,$D$95:$D$100,$E$95:$E$100),I65,$F89)</f>
        <v>15.662485800000008</v>
      </c>
      <c r="J175" s="2" t="str">
        <f t="shared" si="2"/>
        <v>kg N</v>
      </c>
      <c r="N175" s="57"/>
      <c r="O175" s="57" t="str">
        <f>'Input - Swine'!$D$86</f>
        <v>Deep litter</v>
      </c>
      <c r="P175" s="52" cm="1">
        <f t="array" ref="P175">MMS_Swine_ManureAppliedToSoils_Equations.VEERG_4_5_1_9__2_MassOfNitrogenAppliedToSoilsScope3(P40,_xlfn.XLOOKUP($O175,$D$105:$D$110,$E$105:$E$110), _xlfn.XLOOKUP($O175,$D$95:$D$100,$E$95:$E$100),P65,$F89)</f>
        <v>23.092126500000006</v>
      </c>
      <c r="Q175" s="52" cm="1">
        <f t="array" ref="Q175">MMS_Swine_ManureAppliedToSoils_Equations.VEERG_4_5_1_9__2_MassOfNitrogenAppliedToSoilsScope3(Q40,_xlfn.XLOOKUP($O175,$D$105:$D$110,$E$105:$E$110), _xlfn.XLOOKUP($O175,$D$95:$D$100,$E$95:$E$100),Q65,$F89)</f>
        <v>24.598134750000014</v>
      </c>
      <c r="R175" s="52" cm="1">
        <f t="array" ref="R175">MMS_Swine_ManureAppliedToSoils_Equations.VEERG_4_5_1_9__2_MassOfNitrogenAppliedToSoilsScope3(R40,_xlfn.XLOOKUP($O175,$D$105:$D$110,$E$105:$E$110), _xlfn.XLOOKUP($O175,$D$95:$D$100,$E$95:$E$100),R65,$F89)</f>
        <v>23.092126500000006</v>
      </c>
      <c r="S175" s="52" cm="1">
        <f t="array" ref="S175">MMS_Swine_ManureAppliedToSoils_Equations.VEERG_4_5_1_9__2_MassOfNitrogenAppliedToSoilsScope3(S40,_xlfn.XLOOKUP($O175,$D$105:$D$110,$E$105:$E$110), _xlfn.XLOOKUP($O175,$D$95:$D$100,$E$95:$E$100),S65,$F89)</f>
        <v>15.662485800000008</v>
      </c>
      <c r="T175" s="2" t="str">
        <f t="shared" si="3"/>
        <v>kg N</v>
      </c>
    </row>
    <row r="176" spans="4:20" x14ac:dyDescent="0.25">
      <c r="D176" s="57"/>
      <c r="E176" s="57" t="str">
        <f>'Input - Swine'!$D$87</f>
        <v>Pit storage</v>
      </c>
      <c r="F176" s="52" cm="1">
        <f t="array" ref="F176">MMS_Swine_ManureAppliedToSoils_Equations.VEERG_4_5_1_9__2_MassOfNitrogenAppliedToSoilsScope3(F41,_xlfn.XLOOKUP($E176,$D$105:$D$110,$E$105:$E$110), _xlfn.XLOOKUP($E176,$D$95:$D$100,$E$95:$E$100),F66,$F90)</f>
        <v>9.9843414000000035</v>
      </c>
      <c r="G176" s="52" cm="1">
        <f t="array" ref="G176">MMS_Swine_ManureAppliedToSoils_Equations.VEERG_4_5_1_9__2_MassOfNitrogenAppliedToSoilsScope3(G41,_xlfn.XLOOKUP($E176,$D$105:$D$110,$E$105:$E$110), _xlfn.XLOOKUP($E176,$D$95:$D$100,$E$95:$E$100),G66,$F90)</f>
        <v>10.635494100000006</v>
      </c>
      <c r="H176" s="52" cm="1">
        <f t="array" ref="H176">MMS_Swine_ManureAppliedToSoils_Equations.VEERG_4_5_1_9__2_MassOfNitrogenAppliedToSoilsScope3(H41,_xlfn.XLOOKUP($E176,$D$105:$D$110,$E$105:$E$110), _xlfn.XLOOKUP($E176,$D$95:$D$100,$E$95:$E$100),H66,$F90)</f>
        <v>9.9843414000000035</v>
      </c>
      <c r="I176" s="52" cm="1">
        <f t="array" ref="I176">MMS_Swine_ManureAppliedToSoils_Equations.VEERG_4_5_1_9__2_MassOfNitrogenAppliedToSoilsScope3(I41,_xlfn.XLOOKUP($E176,$D$105:$D$110,$E$105:$E$110), _xlfn.XLOOKUP($E176,$D$95:$D$100,$E$95:$E$100),I66,$F90)</f>
        <v>6.7719880800000034</v>
      </c>
      <c r="J176" s="2" t="str">
        <f t="shared" si="2"/>
        <v>kg N</v>
      </c>
      <c r="N176" s="57"/>
      <c r="O176" s="57" t="str">
        <f>'Input - Swine'!$D$87</f>
        <v>Pit storage</v>
      </c>
      <c r="P176" s="52" cm="1">
        <f t="array" ref="P176">MMS_Swine_ManureAppliedToSoils_Equations.VEERG_4_5_1_9__2_MassOfNitrogenAppliedToSoilsScope3(P41,_xlfn.XLOOKUP($O176,$D$105:$D$110,$E$105:$E$110), _xlfn.XLOOKUP($O176,$D$95:$D$100,$E$95:$E$100),P66,$F90)</f>
        <v>9.9843414000000035</v>
      </c>
      <c r="Q176" s="52" cm="1">
        <f t="array" ref="Q176">MMS_Swine_ManureAppliedToSoils_Equations.VEERG_4_5_1_9__2_MassOfNitrogenAppliedToSoilsScope3(Q41,_xlfn.XLOOKUP($O176,$D$105:$D$110,$E$105:$E$110), _xlfn.XLOOKUP($O176,$D$95:$D$100,$E$95:$E$100),Q66,$F90)</f>
        <v>10.635494100000006</v>
      </c>
      <c r="R176" s="52" cm="1">
        <f t="array" ref="R176">MMS_Swine_ManureAppliedToSoils_Equations.VEERG_4_5_1_9__2_MassOfNitrogenAppliedToSoilsScope3(R41,_xlfn.XLOOKUP($O176,$D$105:$D$110,$E$105:$E$110), _xlfn.XLOOKUP($O176,$D$95:$D$100,$E$95:$E$100),R66,$F90)</f>
        <v>9.9843414000000035</v>
      </c>
      <c r="S176" s="52" cm="1">
        <f t="array" ref="S176">MMS_Swine_ManureAppliedToSoils_Equations.VEERG_4_5_1_9__2_MassOfNitrogenAppliedToSoilsScope3(S41,_xlfn.XLOOKUP($O176,$D$105:$D$110,$E$105:$E$110), _xlfn.XLOOKUP($O176,$D$95:$D$100,$E$95:$E$100),S66,$F90)</f>
        <v>6.7719880800000034</v>
      </c>
      <c r="T176" s="2" t="str">
        <f t="shared" si="3"/>
        <v>kg N</v>
      </c>
    </row>
    <row r="178" spans="3:21" ht="23.25" x14ac:dyDescent="0.25">
      <c r="D178" s="101" t="s">
        <v>378</v>
      </c>
      <c r="E178" s="102">
        <f>SUM(F157:I176)</f>
        <v>653.20846285499988</v>
      </c>
      <c r="F178" s="103" t="str">
        <f>$E$11</f>
        <v>kg N</v>
      </c>
      <c r="N178" s="101" t="s">
        <v>378</v>
      </c>
      <c r="O178" s="102">
        <f>SUM(P157:S176)</f>
        <v>653.20846285499988</v>
      </c>
      <c r="P178" s="103" t="str">
        <f>$E$11</f>
        <v>kg N</v>
      </c>
    </row>
    <row r="181" spans="3:21" x14ac:dyDescent="0.25">
      <c r="C181" s="45"/>
      <c r="D181" s="45"/>
      <c r="E181" s="45"/>
      <c r="F181" s="45"/>
      <c r="G181" s="45"/>
      <c r="H181" s="45"/>
      <c r="I181" s="45"/>
      <c r="J181" s="45"/>
      <c r="K181" s="45"/>
      <c r="M181" s="45"/>
      <c r="N181" s="45"/>
      <c r="O181" s="45"/>
      <c r="P181" s="45"/>
      <c r="Q181" s="45"/>
      <c r="R181" s="45"/>
      <c r="S181" s="45"/>
      <c r="T181" s="45"/>
      <c r="U181" s="45"/>
    </row>
    <row r="182" spans="3:21" x14ac:dyDescent="0.25">
      <c r="D182" s="139" t="str">
        <f>"Below are applications of " &amp; D93 &amp; " that are applied to the following contexts:"</f>
        <v>Below are applications of Fraction of N volatilised from MMS that are applied to the following contexts:</v>
      </c>
      <c r="E182" s="91"/>
      <c r="F182" s="91"/>
      <c r="G182" s="91"/>
      <c r="H182" s="87"/>
    </row>
    <row r="183" spans="3:21" x14ac:dyDescent="0.25">
      <c r="D183" s="93" t="s">
        <v>379</v>
      </c>
      <c r="E183" s="90"/>
      <c r="F183" s="90"/>
      <c r="G183" s="90"/>
      <c r="H183" s="88"/>
    </row>
    <row r="185" spans="3:21" ht="23.25" x14ac:dyDescent="0.25">
      <c r="D185" s="6" t="s">
        <v>380</v>
      </c>
    </row>
    <row r="187" spans="3:21" x14ac:dyDescent="0.25">
      <c r="D187" s="121" t="s">
        <v>381</v>
      </c>
    </row>
    <row r="188" spans="3:21" x14ac:dyDescent="0.25">
      <c r="D188" s="122" t="s">
        <v>382</v>
      </c>
    </row>
    <row r="189" spans="3:21" ht="17.25" x14ac:dyDescent="0.25">
      <c r="D189" s="51" t="s">
        <v>169</v>
      </c>
      <c r="E189" s="51" t="s">
        <v>206</v>
      </c>
      <c r="F189" s="51" t="s">
        <v>383</v>
      </c>
    </row>
    <row r="190" spans="3:21" x14ac:dyDescent="0.25">
      <c r="D190" s="57" t="str">
        <f>'Input - Swine'!$D$29</f>
        <v>Anaerobic lagoon</v>
      </c>
      <c r="E190" s="57" t="str">
        <f>'Input - Swine'!$D$48</f>
        <v>Digester / covered lagoons</v>
      </c>
      <c r="F190" s="52">
        <f>'Input - Swine'!K48</f>
        <v>0.25</v>
      </c>
      <c r="G190" s="2" t="s">
        <v>122</v>
      </c>
    </row>
    <row r="191" spans="3:21" x14ac:dyDescent="0.25">
      <c r="D191" s="57"/>
      <c r="E191" s="57" t="str">
        <f>'Input - Swine'!$D$49</f>
        <v>Deep litter</v>
      </c>
      <c r="F191" s="52">
        <f>'Input - Swine'!K49</f>
        <v>0.25</v>
      </c>
      <c r="G191" s="2" t="s">
        <v>122</v>
      </c>
    </row>
    <row r="192" spans="3:21" x14ac:dyDescent="0.25">
      <c r="D192" s="57"/>
      <c r="E192" s="57" t="str">
        <f>'Input - Swine'!$D$50</f>
        <v>Pit storage</v>
      </c>
      <c r="F192" s="52">
        <f>'Input - Swine'!K50</f>
        <v>0.25</v>
      </c>
      <c r="G192" s="2" t="s">
        <v>122</v>
      </c>
    </row>
    <row r="193" spans="4:7" x14ac:dyDescent="0.25">
      <c r="D193" s="57" t="str">
        <f>'Input - Swine'!$D$30</f>
        <v>Drylot (feed pad)</v>
      </c>
      <c r="E193" s="57" t="str">
        <f>'Input - Swine'!$D$55</f>
        <v>Anaerobic lagoon</v>
      </c>
      <c r="F193" s="52">
        <f>'Input - Swine'!K55</f>
        <v>0.25</v>
      </c>
      <c r="G193" s="2" t="s">
        <v>122</v>
      </c>
    </row>
    <row r="194" spans="4:7" x14ac:dyDescent="0.25">
      <c r="D194" s="57"/>
      <c r="E194" s="57" t="str">
        <f>'Input - Swine'!$D$56</f>
        <v>Digester / covered lagoons</v>
      </c>
      <c r="F194" s="52">
        <f>'Input - Swine'!K56</f>
        <v>0.25</v>
      </c>
      <c r="G194" s="2" t="s">
        <v>122</v>
      </c>
    </row>
    <row r="195" spans="4:7" x14ac:dyDescent="0.25">
      <c r="D195" s="57"/>
      <c r="E195" s="57" t="str">
        <f>'Input - Swine'!$D$57</f>
        <v>Deep litter</v>
      </c>
      <c r="F195" s="52">
        <f>'Input - Swine'!K57</f>
        <v>0.25</v>
      </c>
      <c r="G195" s="2" t="s">
        <v>122</v>
      </c>
    </row>
    <row r="196" spans="4:7" x14ac:dyDescent="0.25">
      <c r="D196" s="57"/>
      <c r="E196" s="57" t="str">
        <f>'Input - Swine'!$D$58</f>
        <v>Pit storage</v>
      </c>
      <c r="F196" s="52">
        <f>'Input - Swine'!K58</f>
        <v>0.25</v>
      </c>
      <c r="G196" s="2" t="s">
        <v>122</v>
      </c>
    </row>
    <row r="197" spans="4:7" x14ac:dyDescent="0.25">
      <c r="D197" s="57" t="str">
        <f>'Input - Swine'!$D$31</f>
        <v>Digester / covered lagoons</v>
      </c>
      <c r="E197" s="57" t="str">
        <f>'Input - Swine'!$D$63</f>
        <v>Anaerobic lagoon</v>
      </c>
      <c r="F197" s="52">
        <f>'Input - Swine'!K63</f>
        <v>0.25</v>
      </c>
      <c r="G197" s="2" t="s">
        <v>122</v>
      </c>
    </row>
    <row r="198" spans="4:7" x14ac:dyDescent="0.25">
      <c r="D198" s="57"/>
      <c r="E198" s="57" t="str">
        <f>'Input - Swine'!$D$64</f>
        <v>Deep litter</v>
      </c>
      <c r="F198" s="52">
        <f>'Input - Swine'!K64</f>
        <v>0.25</v>
      </c>
      <c r="G198" s="2" t="s">
        <v>122</v>
      </c>
    </row>
    <row r="199" spans="4:7" x14ac:dyDescent="0.25">
      <c r="D199" s="57"/>
      <c r="E199" s="57" t="str">
        <f>'Input - Swine'!$D$65</f>
        <v>Pit storage</v>
      </c>
      <c r="F199" s="52">
        <f>'Input - Swine'!K65</f>
        <v>0.25</v>
      </c>
      <c r="G199" s="2" t="s">
        <v>122</v>
      </c>
    </row>
    <row r="200" spans="4:7" x14ac:dyDescent="0.25">
      <c r="D200" s="57" t="str">
        <f>'Input - Swine'!$D$32</f>
        <v>Deep litter</v>
      </c>
      <c r="E200" s="57" t="str">
        <f>'Input - Swine'!$D$70</f>
        <v>Anaerobic lagoon</v>
      </c>
      <c r="F200" s="52">
        <f>'Input - Swine'!K70</f>
        <v>0.25</v>
      </c>
      <c r="G200" s="2" t="s">
        <v>122</v>
      </c>
    </row>
    <row r="201" spans="4:7" x14ac:dyDescent="0.25">
      <c r="D201" s="57"/>
      <c r="E201" s="57" t="str">
        <f>'Input - Swine'!$D$71</f>
        <v>Digester / covered lagoons</v>
      </c>
      <c r="F201" s="52">
        <f>'Input - Swine'!K71</f>
        <v>0.25</v>
      </c>
      <c r="G201" s="2" t="s">
        <v>122</v>
      </c>
    </row>
    <row r="202" spans="4:7" x14ac:dyDescent="0.25">
      <c r="D202" s="57"/>
      <c r="E202" s="57" t="str">
        <f>'Input - Swine'!$D$72</f>
        <v>Pit storage</v>
      </c>
      <c r="F202" s="52">
        <f>'Input - Swine'!K72</f>
        <v>0.25</v>
      </c>
      <c r="G202" s="2" t="s">
        <v>122</v>
      </c>
    </row>
    <row r="203" spans="4:7" x14ac:dyDescent="0.25">
      <c r="D203" s="57" t="str">
        <f>'Input - Swine'!$D$33</f>
        <v>Pit storage</v>
      </c>
      <c r="E203" s="57" t="str">
        <f>'Input - Swine'!$D$77</f>
        <v>Anaerobic lagoon</v>
      </c>
      <c r="F203" s="52">
        <f>'Input - Swine'!K77</f>
        <v>0.25</v>
      </c>
      <c r="G203" s="2" t="s">
        <v>122</v>
      </c>
    </row>
    <row r="204" spans="4:7" x14ac:dyDescent="0.25">
      <c r="D204" s="57"/>
      <c r="E204" s="57" t="str">
        <f>'Input - Swine'!$D$78</f>
        <v>Digester / covered lagoons</v>
      </c>
      <c r="F204" s="52">
        <f>'Input - Swine'!K78</f>
        <v>0.25</v>
      </c>
      <c r="G204" s="2" t="s">
        <v>122</v>
      </c>
    </row>
    <row r="205" spans="4:7" x14ac:dyDescent="0.25">
      <c r="D205" s="57"/>
      <c r="E205" s="57" t="str">
        <f>'Input - Swine'!$D$79</f>
        <v>Deep litter</v>
      </c>
      <c r="F205" s="52">
        <f>'Input - Swine'!K79</f>
        <v>0.25</v>
      </c>
      <c r="G205" s="2" t="s">
        <v>122</v>
      </c>
    </row>
    <row r="206" spans="4:7" x14ac:dyDescent="0.25">
      <c r="D206" s="57" t="str">
        <f>'Input - Swine'!$D$34</f>
        <v>Solid storage</v>
      </c>
      <c r="E206" s="57" t="str">
        <f>'Input - Swine'!$D$84</f>
        <v>Anaerobic lagoon</v>
      </c>
      <c r="F206" s="52">
        <f>'Input - Swine'!K84</f>
        <v>0.25</v>
      </c>
      <c r="G206" s="2" t="s">
        <v>122</v>
      </c>
    </row>
    <row r="207" spans="4:7" x14ac:dyDescent="0.25">
      <c r="D207" s="57"/>
      <c r="E207" s="57" t="str">
        <f>'Input - Swine'!$D$85</f>
        <v>Digester / covered lagoons</v>
      </c>
      <c r="F207" s="52">
        <f>'Input - Swine'!K85</f>
        <v>0.25</v>
      </c>
      <c r="G207" s="2" t="s">
        <v>122</v>
      </c>
    </row>
    <row r="208" spans="4:7" x14ac:dyDescent="0.25">
      <c r="D208" s="57"/>
      <c r="E208" s="57" t="str">
        <f>'Input - Swine'!$D$86</f>
        <v>Deep litter</v>
      </c>
      <c r="F208" s="52">
        <f>'Input - Swine'!K86</f>
        <v>0.25</v>
      </c>
      <c r="G208" s="2" t="s">
        <v>122</v>
      </c>
    </row>
    <row r="209" spans="4:20" x14ac:dyDescent="0.25">
      <c r="D209" s="57"/>
      <c r="E209" s="57" t="str">
        <f>'Input - Swine'!$D$87</f>
        <v>Pit storage</v>
      </c>
      <c r="F209" s="52">
        <f>'Input - Swine'!K87</f>
        <v>0.25</v>
      </c>
      <c r="G209" s="2" t="s">
        <v>122</v>
      </c>
    </row>
    <row r="211" spans="4:20" x14ac:dyDescent="0.25">
      <c r="D211" s="121" t="s">
        <v>384</v>
      </c>
      <c r="N211" s="121" t="s">
        <v>386</v>
      </c>
    </row>
    <row r="212" spans="4:20" x14ac:dyDescent="0.25">
      <c r="D212" s="122" t="s">
        <v>387</v>
      </c>
      <c r="N212" s="122" t="s">
        <v>388</v>
      </c>
    </row>
    <row r="213" spans="4:20" x14ac:dyDescent="0.25">
      <c r="D213" s="51" t="s">
        <v>169</v>
      </c>
      <c r="E213" s="51" t="s">
        <v>206</v>
      </c>
      <c r="F213" s="51" t="s">
        <v>143</v>
      </c>
      <c r="G213" s="51" t="s">
        <v>144</v>
      </c>
      <c r="H213" s="51" t="s">
        <v>145</v>
      </c>
      <c r="I213" s="51" t="s">
        <v>263</v>
      </c>
      <c r="N213" s="51" t="s">
        <v>169</v>
      </c>
      <c r="O213" s="51" t="s">
        <v>206</v>
      </c>
      <c r="P213" s="51" t="s">
        <v>143</v>
      </c>
      <c r="Q213" s="51" t="s">
        <v>144</v>
      </c>
      <c r="R213" s="51" t="s">
        <v>145</v>
      </c>
      <c r="S213" s="51" t="s">
        <v>263</v>
      </c>
    </row>
    <row r="214" spans="4:20" x14ac:dyDescent="0.25">
      <c r="D214" s="57" t="str">
        <f>'Input - Swine'!$D$29</f>
        <v>Anaerobic lagoon</v>
      </c>
      <c r="E214" s="57" t="str">
        <f>'Input - Swine'!$D$48</f>
        <v>Digester / covered lagoons</v>
      </c>
      <c r="F214" s="52" cm="1">
        <f t="array" ref="F214">MMS_Swine_ManureAppliedToSoils_Equations.VEERG_4_5_1_9__1_MassOfNitrogenAppliedToSoilsScope1(F22,_xlfn.XLOOKUP($E214,$D$105:$D$110,$E$105:$E$110), _xlfn.XLOOKUP($E214,$D$95:$D$100,$E$95:$E$100),F47,$F190)</f>
        <v>4.5332999999999988</v>
      </c>
      <c r="G214" s="52" cm="1">
        <f t="array" ref="G214">MMS_Swine_ManureAppliedToSoils_Equations.VEERG_4_5_1_9__1_MassOfNitrogenAppliedToSoilsScope1(G22,_xlfn.XLOOKUP($E214,$D$105:$D$110,$E$105:$E$110), _xlfn.XLOOKUP($E214,$D$95:$D$100,$E$95:$E$100),G47,$F190)</f>
        <v>6.0361875000000005</v>
      </c>
      <c r="H214" s="52" cm="1">
        <f t="array" ref="H214">MMS_Swine_ManureAppliedToSoils_Equations.VEERG_4_5_1_9__1_MassOfNitrogenAppliedToSoilsScope1(H22,_xlfn.XLOOKUP($E214,$D$105:$D$110,$E$105:$E$110), _xlfn.XLOOKUP($E214,$D$95:$D$100,$E$95:$E$100),H47,$F190)</f>
        <v>5.666624999999998</v>
      </c>
      <c r="I214" s="52" cm="1">
        <f t="array" ref="I214">MMS_Swine_ManureAppliedToSoils_Equations.VEERG_4_5_1_9__1_MassOfNitrogenAppliedToSoilsScope1(I22,_xlfn.XLOOKUP($E214,$D$105:$D$110,$E$105:$E$110), _xlfn.XLOOKUP($E214,$D$95:$D$100,$E$95:$E$100),I47,$F190)</f>
        <v>3.8434499999999989</v>
      </c>
      <c r="J214" s="2" t="str">
        <f>$E$11</f>
        <v>kg N</v>
      </c>
      <c r="N214" s="57" t="str">
        <f>'Input - Swine'!$D$29</f>
        <v>Anaerobic lagoon</v>
      </c>
      <c r="O214" s="57" t="str">
        <f>'Input - Swine'!$D$48</f>
        <v>Digester / covered lagoons</v>
      </c>
      <c r="P214" s="52" cm="1">
        <f t="array" ref="P214">MMS_Swine_ManureAppliedToSoils_Equations.VEERG_4_5_1_9__1_MassOfNitrogenAppliedToSoilsScope1(P22,_xlfn.XLOOKUP($E214,$D$105:$D$110,$E$105:$E$110), _xlfn.XLOOKUP($E214,$D$95:$D$100,$E$95:$E$100),P47,$F190)</f>
        <v>4.5332999999999988</v>
      </c>
      <c r="Q214" s="52" cm="1">
        <f t="array" ref="Q214">MMS_Swine_ManureAppliedToSoils_Equations.VEERG_4_5_1_9__1_MassOfNitrogenAppliedToSoilsScope1(Q22,_xlfn.XLOOKUP($E214,$D$105:$D$110,$E$105:$E$110), _xlfn.XLOOKUP($E214,$D$95:$D$100,$E$95:$E$100),Q47,$F190)</f>
        <v>6.0361875000000005</v>
      </c>
      <c r="R214" s="52" cm="1">
        <f t="array" ref="R214">MMS_Swine_ManureAppliedToSoils_Equations.VEERG_4_5_1_9__1_MassOfNitrogenAppliedToSoilsScope1(R22,_xlfn.XLOOKUP($E214,$D$105:$D$110,$E$105:$E$110), _xlfn.XLOOKUP($E214,$D$95:$D$100,$E$95:$E$100),R47,$F190)</f>
        <v>5.666624999999998</v>
      </c>
      <c r="S214" s="52" cm="1">
        <f t="array" ref="S214">MMS_Swine_ManureAppliedToSoils_Equations.VEERG_4_5_1_9__1_MassOfNitrogenAppliedToSoilsScope1(S22,_xlfn.XLOOKUP($E214,$D$105:$D$110,$E$105:$E$110), _xlfn.XLOOKUP($E214,$D$95:$D$100,$E$95:$E$100),S47,$F190)</f>
        <v>3.8434499999999989</v>
      </c>
      <c r="T214" s="2" t="str">
        <f>$E$11</f>
        <v>kg N</v>
      </c>
    </row>
    <row r="215" spans="4:20" x14ac:dyDescent="0.25">
      <c r="D215" s="57"/>
      <c r="E215" s="57" t="str">
        <f>'Input - Swine'!$D$49</f>
        <v>Deep litter</v>
      </c>
      <c r="F215" s="52" cm="1">
        <f t="array" ref="F215">MMS_Swine_ManureAppliedToSoils_Equations.VEERG_4_5_1_9__1_MassOfNitrogenAppliedToSoilsScope1(F23,_xlfn.XLOOKUP($E215,$D$105:$D$110,$E$105:$E$110), _xlfn.XLOOKUP($E215,$D$95:$D$100,$E$95:$E$100),F48,$F191)</f>
        <v>3.9213044999999989</v>
      </c>
      <c r="G215" s="52" cm="1">
        <f t="array" ref="G215">MMS_Swine_ManureAppliedToSoils_Equations.VEERG_4_5_1_9__1_MassOfNitrogenAppliedToSoilsScope1(G23,_xlfn.XLOOKUP($E215,$D$105:$D$110,$E$105:$E$110), _xlfn.XLOOKUP($E215,$D$95:$D$100,$E$95:$E$100),G48,$F191)</f>
        <v>5.2213021875000001</v>
      </c>
      <c r="H215" s="52" cm="1">
        <f t="array" ref="H215">MMS_Swine_ManureAppliedToSoils_Equations.VEERG_4_5_1_9__1_MassOfNitrogenAppliedToSoilsScope1(H23,_xlfn.XLOOKUP($E215,$D$105:$D$110,$E$105:$E$110), _xlfn.XLOOKUP($E215,$D$95:$D$100,$E$95:$E$100),H48,$F191)</f>
        <v>4.9016306249999984</v>
      </c>
      <c r="I215" s="52" cm="1">
        <f t="array" ref="I215">MMS_Swine_ManureAppliedToSoils_Equations.VEERG_4_5_1_9__1_MassOfNitrogenAppliedToSoilsScope1(I23,_xlfn.XLOOKUP($E215,$D$105:$D$110,$E$105:$E$110), _xlfn.XLOOKUP($E215,$D$95:$D$100,$E$95:$E$100),I48,$F191)</f>
        <v>3.3245842499999991</v>
      </c>
      <c r="J215" s="2" t="str">
        <f t="shared" ref="J215:J233" si="4">$E$11</f>
        <v>kg N</v>
      </c>
      <c r="N215" s="57"/>
      <c r="O215" s="57" t="str">
        <f>'Input - Swine'!$D$49</f>
        <v>Deep litter</v>
      </c>
      <c r="P215" s="52" cm="1">
        <f t="array" ref="P215">MMS_Swine_ManureAppliedToSoils_Equations.VEERG_4_5_1_9__1_MassOfNitrogenAppliedToSoilsScope1(P23,_xlfn.XLOOKUP($E215,$D$105:$D$110,$E$105:$E$110), _xlfn.XLOOKUP($E215,$D$95:$D$100,$E$95:$E$100),P48,$F191)</f>
        <v>3.9213044999999989</v>
      </c>
      <c r="Q215" s="52" cm="1">
        <f t="array" ref="Q215">MMS_Swine_ManureAppliedToSoils_Equations.VEERG_4_5_1_9__1_MassOfNitrogenAppliedToSoilsScope1(Q23,_xlfn.XLOOKUP($E215,$D$105:$D$110,$E$105:$E$110), _xlfn.XLOOKUP($E215,$D$95:$D$100,$E$95:$E$100),Q48,$F191)</f>
        <v>5.2213021875000001</v>
      </c>
      <c r="R215" s="52" cm="1">
        <f t="array" ref="R215">MMS_Swine_ManureAppliedToSoils_Equations.VEERG_4_5_1_9__1_MassOfNitrogenAppliedToSoilsScope1(R23,_xlfn.XLOOKUP($E215,$D$105:$D$110,$E$105:$E$110), _xlfn.XLOOKUP($E215,$D$95:$D$100,$E$95:$E$100),R48,$F191)</f>
        <v>4.9016306249999984</v>
      </c>
      <c r="S215" s="52" cm="1">
        <f t="array" ref="S215">MMS_Swine_ManureAppliedToSoils_Equations.VEERG_4_5_1_9__1_MassOfNitrogenAppliedToSoilsScope1(S23,_xlfn.XLOOKUP($E215,$D$105:$D$110,$E$105:$E$110), _xlfn.XLOOKUP($E215,$D$95:$D$100,$E$95:$E$100),S48,$F191)</f>
        <v>3.3245842499999991</v>
      </c>
      <c r="T215" s="2" t="str">
        <f t="shared" ref="T215:T233" si="5">$E$11</f>
        <v>kg N</v>
      </c>
    </row>
    <row r="216" spans="4:20" x14ac:dyDescent="0.25">
      <c r="D216" s="57"/>
      <c r="E216" s="57" t="str">
        <f>'Input - Swine'!$D$50</f>
        <v>Pit storage</v>
      </c>
      <c r="F216" s="52" cm="1">
        <f t="array" ref="F216">MMS_Swine_ManureAppliedToSoils_Equations.VEERG_4_5_1_9__1_MassOfNitrogenAppliedToSoilsScope1(F24,_xlfn.XLOOKUP($E216,$D$105:$D$110,$E$105:$E$110), _xlfn.XLOOKUP($E216,$D$95:$D$100,$E$95:$E$100),F49,$F192)</f>
        <v>3.3909083999999989</v>
      </c>
      <c r="G216" s="52" cm="1">
        <f t="array" ref="G216">MMS_Swine_ManureAppliedToSoils_Equations.VEERG_4_5_1_9__1_MassOfNitrogenAppliedToSoilsScope1(G24,_xlfn.XLOOKUP($E216,$D$105:$D$110,$E$105:$E$110), _xlfn.XLOOKUP($E216,$D$95:$D$100,$E$95:$E$100),G49,$F192)</f>
        <v>4.5150682500000006</v>
      </c>
      <c r="H216" s="52" cm="1">
        <f t="array" ref="H216">MMS_Swine_ManureAppliedToSoils_Equations.VEERG_4_5_1_9__1_MassOfNitrogenAppliedToSoilsScope1(H24,_xlfn.XLOOKUP($E216,$D$105:$D$110,$E$105:$E$110), _xlfn.XLOOKUP($E216,$D$95:$D$100,$E$95:$E$100),H49,$F192)</f>
        <v>4.2386354999999982</v>
      </c>
      <c r="I216" s="52" cm="1">
        <f t="array" ref="I216">MMS_Swine_ManureAppliedToSoils_Equations.VEERG_4_5_1_9__1_MassOfNitrogenAppliedToSoilsScope1(I24,_xlfn.XLOOKUP($E216,$D$105:$D$110,$E$105:$E$110), _xlfn.XLOOKUP($E216,$D$95:$D$100,$E$95:$E$100),I49,$F192)</f>
        <v>2.8749005999999993</v>
      </c>
      <c r="J216" s="2" t="str">
        <f t="shared" si="4"/>
        <v>kg N</v>
      </c>
      <c r="N216" s="57"/>
      <c r="O216" s="57" t="str">
        <f>'Input - Swine'!$D$50</f>
        <v>Pit storage</v>
      </c>
      <c r="P216" s="52" cm="1">
        <f t="array" ref="P216">MMS_Swine_ManureAppliedToSoils_Equations.VEERG_4_5_1_9__1_MassOfNitrogenAppliedToSoilsScope1(P24,_xlfn.XLOOKUP($E216,$D$105:$D$110,$E$105:$E$110), _xlfn.XLOOKUP($E216,$D$95:$D$100,$E$95:$E$100),P49,$F192)</f>
        <v>3.3909083999999989</v>
      </c>
      <c r="Q216" s="52" cm="1">
        <f t="array" ref="Q216">MMS_Swine_ManureAppliedToSoils_Equations.VEERG_4_5_1_9__1_MassOfNitrogenAppliedToSoilsScope1(Q24,_xlfn.XLOOKUP($E216,$D$105:$D$110,$E$105:$E$110), _xlfn.XLOOKUP($E216,$D$95:$D$100,$E$95:$E$100),Q49,$F192)</f>
        <v>4.5150682500000006</v>
      </c>
      <c r="R216" s="52" cm="1">
        <f t="array" ref="R216">MMS_Swine_ManureAppliedToSoils_Equations.VEERG_4_5_1_9__1_MassOfNitrogenAppliedToSoilsScope1(R24,_xlfn.XLOOKUP($E216,$D$105:$D$110,$E$105:$E$110), _xlfn.XLOOKUP($E216,$D$95:$D$100,$E$95:$E$100),R49,$F192)</f>
        <v>4.2386354999999982</v>
      </c>
      <c r="S216" s="52" cm="1">
        <f t="array" ref="S216">MMS_Swine_ManureAppliedToSoils_Equations.VEERG_4_5_1_9__1_MassOfNitrogenAppliedToSoilsScope1(S24,_xlfn.XLOOKUP($E216,$D$105:$D$110,$E$105:$E$110), _xlfn.XLOOKUP($E216,$D$95:$D$100,$E$95:$E$100),S49,$F192)</f>
        <v>2.8749005999999993</v>
      </c>
      <c r="T216" s="2" t="str">
        <f t="shared" si="5"/>
        <v>kg N</v>
      </c>
    </row>
    <row r="217" spans="4:20" x14ac:dyDescent="0.25">
      <c r="D217" s="57" t="str">
        <f>'Input - Swine'!$D$30</f>
        <v>Drylot (feed pad)</v>
      </c>
      <c r="E217" s="57" t="str">
        <f>'Input - Swine'!$D$55</f>
        <v>Anaerobic lagoon</v>
      </c>
      <c r="F217" s="52" cm="1">
        <f t="array" ref="F217">MMS_Swine_ManureAppliedToSoils_Equations.VEERG_4_5_1_9__1_MassOfNitrogenAppliedToSoilsScope1(F25,_xlfn.XLOOKUP($E217,$D$105:$D$110,$E$105:$E$110), _xlfn.XLOOKUP($E217,$D$95:$D$100,$E$95:$E$100),F50,$F193)</f>
        <v>2.0752439999999988</v>
      </c>
      <c r="G217" s="52" cm="1">
        <f t="array" ref="G217">MMS_Swine_ManureAppliedToSoils_Equations.VEERG_4_5_1_9__1_MassOfNitrogenAppliedToSoilsScope1(G25,_xlfn.XLOOKUP($E217,$D$105:$D$110,$E$105:$E$110), _xlfn.XLOOKUP($E217,$D$95:$D$100,$E$95:$E$100),G50,$F193)</f>
        <v>3.0315075</v>
      </c>
      <c r="H217" s="52" cm="1">
        <f t="array" ref="H217">MMS_Swine_ManureAppliedToSoils_Equations.VEERG_4_5_1_9__1_MassOfNitrogenAppliedToSoilsScope1(H25,_xlfn.XLOOKUP($E217,$D$105:$D$110,$E$105:$E$110), _xlfn.XLOOKUP($E217,$D$95:$D$100,$E$95:$E$100),H50,$F193)</f>
        <v>2.8459049999999984</v>
      </c>
      <c r="I217" s="52" cm="1">
        <f t="array" ref="I217">MMS_Swine_ManureAppliedToSoils_Equations.VEERG_4_5_1_9__1_MassOfNitrogenAppliedToSoilsScope1(I25,_xlfn.XLOOKUP($E217,$D$105:$D$110,$E$105:$E$110), _xlfn.XLOOKUP($E217,$D$95:$D$100,$E$95:$E$100),I50,$F193)</f>
        <v>1.9302659999999991</v>
      </c>
      <c r="J217" s="2" t="str">
        <f t="shared" si="4"/>
        <v>kg N</v>
      </c>
      <c r="N217" s="57" t="str">
        <f>'Input - Swine'!$D$30</f>
        <v>Drylot (feed pad)</v>
      </c>
      <c r="O217" s="57" t="str">
        <f>'Input - Swine'!$D$55</f>
        <v>Anaerobic lagoon</v>
      </c>
      <c r="P217" s="52" cm="1">
        <f t="array" ref="P217">MMS_Swine_ManureAppliedToSoils_Equations.VEERG_4_5_1_9__1_MassOfNitrogenAppliedToSoilsScope1(P25,_xlfn.XLOOKUP($E217,$D$105:$D$110,$E$105:$E$110), _xlfn.XLOOKUP($E217,$D$95:$D$100,$E$95:$E$100),P50,$F193)</f>
        <v>2.0752439999999988</v>
      </c>
      <c r="Q217" s="52" cm="1">
        <f t="array" ref="Q217">MMS_Swine_ManureAppliedToSoils_Equations.VEERG_4_5_1_9__1_MassOfNitrogenAppliedToSoilsScope1(Q25,_xlfn.XLOOKUP($E217,$D$105:$D$110,$E$105:$E$110), _xlfn.XLOOKUP($E217,$D$95:$D$100,$E$95:$E$100),Q50,$F193)</f>
        <v>3.0315075</v>
      </c>
      <c r="R217" s="52" cm="1">
        <f t="array" ref="R217">MMS_Swine_ManureAppliedToSoils_Equations.VEERG_4_5_1_9__1_MassOfNitrogenAppliedToSoilsScope1(R25,_xlfn.XLOOKUP($E217,$D$105:$D$110,$E$105:$E$110), _xlfn.XLOOKUP($E217,$D$95:$D$100,$E$95:$E$100),R50,$F193)</f>
        <v>2.8459049999999984</v>
      </c>
      <c r="S217" s="52" cm="1">
        <f t="array" ref="S217">MMS_Swine_ManureAppliedToSoils_Equations.VEERG_4_5_1_9__1_MassOfNitrogenAppliedToSoilsScope1(S25,_xlfn.XLOOKUP($E217,$D$105:$D$110,$E$105:$E$110), _xlfn.XLOOKUP($E217,$D$95:$D$100,$E$95:$E$100),S50,$F193)</f>
        <v>1.9302659999999991</v>
      </c>
      <c r="T217" s="2" t="str">
        <f t="shared" si="5"/>
        <v>kg N</v>
      </c>
    </row>
    <row r="218" spans="4:20" x14ac:dyDescent="0.25">
      <c r="D218" s="57"/>
      <c r="E218" s="57" t="str">
        <f>'Input - Swine'!$D$56</f>
        <v>Digester / covered lagoons</v>
      </c>
      <c r="F218" s="52" cm="1">
        <f t="array" ref="F218">MMS_Swine_ManureAppliedToSoils_Equations.VEERG_4_5_1_9__1_MassOfNitrogenAppliedToSoilsScope1(F26,_xlfn.XLOOKUP($E218,$D$105:$D$110,$E$105:$E$110), _xlfn.XLOOKUP($E218,$D$95:$D$100,$E$95:$E$100),F51,$F194)</f>
        <v>5.8429199999999986</v>
      </c>
      <c r="G218" s="52" cm="1">
        <f t="array" ref="G218">MMS_Swine_ManureAppliedToSoils_Equations.VEERG_4_5_1_9__1_MassOfNitrogenAppliedToSoilsScope1(G26,_xlfn.XLOOKUP($E218,$D$105:$D$110,$E$105:$E$110), _xlfn.XLOOKUP($E218,$D$95:$D$100,$E$95:$E$100),G51,$F194)</f>
        <v>8.0482500000000012</v>
      </c>
      <c r="H218" s="52" cm="1">
        <f t="array" ref="H218">MMS_Swine_ManureAppliedToSoils_Equations.VEERG_4_5_1_9__1_MassOfNitrogenAppliedToSoilsScope1(H26,_xlfn.XLOOKUP($E218,$D$105:$D$110,$E$105:$E$110), _xlfn.XLOOKUP($E218,$D$95:$D$100,$E$95:$E$100),H51,$F194)</f>
        <v>7.5554999999999977</v>
      </c>
      <c r="I218" s="52" cm="1">
        <f t="array" ref="I218">MMS_Swine_ManureAppliedToSoils_Equations.VEERG_4_5_1_9__1_MassOfNitrogenAppliedToSoilsScope1(I26,_xlfn.XLOOKUP($E218,$D$105:$D$110,$E$105:$E$110), _xlfn.XLOOKUP($E218,$D$95:$D$100,$E$95:$E$100),I51,$F194)</f>
        <v>5.1245999999999983</v>
      </c>
      <c r="J218" s="2" t="str">
        <f t="shared" si="4"/>
        <v>kg N</v>
      </c>
      <c r="N218" s="57"/>
      <c r="O218" s="57" t="str">
        <f>'Input - Swine'!$D$56</f>
        <v>Digester / covered lagoons</v>
      </c>
      <c r="P218" s="52" cm="1">
        <f t="array" ref="P218">MMS_Swine_ManureAppliedToSoils_Equations.VEERG_4_5_1_9__1_MassOfNitrogenAppliedToSoilsScope1(P26,_xlfn.XLOOKUP($E218,$D$105:$D$110,$E$105:$E$110), _xlfn.XLOOKUP($E218,$D$95:$D$100,$E$95:$E$100),P51,$F194)</f>
        <v>5.8429199999999986</v>
      </c>
      <c r="Q218" s="52" cm="1">
        <f t="array" ref="Q218">MMS_Swine_ManureAppliedToSoils_Equations.VEERG_4_5_1_9__1_MassOfNitrogenAppliedToSoilsScope1(Q26,_xlfn.XLOOKUP($E218,$D$105:$D$110,$E$105:$E$110), _xlfn.XLOOKUP($E218,$D$95:$D$100,$E$95:$E$100),Q51,$F194)</f>
        <v>8.0482500000000012</v>
      </c>
      <c r="R218" s="52" cm="1">
        <f t="array" ref="R218">MMS_Swine_ManureAppliedToSoils_Equations.VEERG_4_5_1_9__1_MassOfNitrogenAppliedToSoilsScope1(R26,_xlfn.XLOOKUP($E218,$D$105:$D$110,$E$105:$E$110), _xlfn.XLOOKUP($E218,$D$95:$D$100,$E$95:$E$100),R51,$F194)</f>
        <v>7.5554999999999977</v>
      </c>
      <c r="S218" s="52" cm="1">
        <f t="array" ref="S218">MMS_Swine_ManureAppliedToSoils_Equations.VEERG_4_5_1_9__1_MassOfNitrogenAppliedToSoilsScope1(S26,_xlfn.XLOOKUP($E218,$D$105:$D$110,$E$105:$E$110), _xlfn.XLOOKUP($E218,$D$95:$D$100,$E$95:$E$100),S51,$F194)</f>
        <v>5.1245999999999983</v>
      </c>
      <c r="T218" s="2" t="str">
        <f t="shared" si="5"/>
        <v>kg N</v>
      </c>
    </row>
    <row r="219" spans="4:20" x14ac:dyDescent="0.25">
      <c r="D219" s="57"/>
      <c r="E219" s="57" t="str">
        <f>'Input - Swine'!$D$57</f>
        <v>Deep litter</v>
      </c>
      <c r="F219" s="52" cm="1">
        <f t="array" ref="F219">MMS_Swine_ManureAppliedToSoils_Equations.VEERG_4_5_1_9__1_MassOfNitrogenAppliedToSoilsScope1(F27,_xlfn.XLOOKUP($E219,$D$105:$D$110,$E$105:$E$110), _xlfn.XLOOKUP($E219,$D$95:$D$100,$E$95:$E$100),F52,$F195)</f>
        <v>4.9181267999999987</v>
      </c>
      <c r="G219" s="52" cm="1">
        <f t="array" ref="G219">MMS_Swine_ManureAppliedToSoils_Equations.VEERG_4_5_1_9__1_MassOfNitrogenAppliedToSoilsScope1(G27,_xlfn.XLOOKUP($E219,$D$105:$D$110,$E$105:$E$110), _xlfn.XLOOKUP($E219,$D$95:$D$100,$E$95:$E$100),G52,$F195)</f>
        <v>6.816867750000001</v>
      </c>
      <c r="H219" s="52" cm="1">
        <f t="array" ref="H219">MMS_Swine_ManureAppliedToSoils_Equations.VEERG_4_5_1_9__1_MassOfNitrogenAppliedToSoilsScope1(H27,_xlfn.XLOOKUP($E219,$D$105:$D$110,$E$105:$E$110), _xlfn.XLOOKUP($E219,$D$95:$D$100,$E$95:$E$100),H52,$F195)</f>
        <v>6.3995084999999978</v>
      </c>
      <c r="I219" s="52" cm="1">
        <f t="array" ref="I219">MMS_Swine_ManureAppliedToSoils_Equations.VEERG_4_5_1_9__1_MassOfNitrogenAppliedToSoilsScope1(I27,_xlfn.XLOOKUP($E219,$D$105:$D$110,$E$105:$E$110), _xlfn.XLOOKUP($E219,$D$95:$D$100,$E$95:$E$100),I52,$F195)</f>
        <v>4.3405361999999981</v>
      </c>
      <c r="J219" s="2" t="str">
        <f t="shared" si="4"/>
        <v>kg N</v>
      </c>
      <c r="N219" s="57"/>
      <c r="O219" s="57" t="str">
        <f>'Input - Swine'!$D$57</f>
        <v>Deep litter</v>
      </c>
      <c r="P219" s="52" cm="1">
        <f t="array" ref="P219">MMS_Swine_ManureAppliedToSoils_Equations.VEERG_4_5_1_9__1_MassOfNitrogenAppliedToSoilsScope1(P27,_xlfn.XLOOKUP($E219,$D$105:$D$110,$E$105:$E$110), _xlfn.XLOOKUP($E219,$D$95:$D$100,$E$95:$E$100),P52,$F195)</f>
        <v>4.9181267999999987</v>
      </c>
      <c r="Q219" s="52" cm="1">
        <f t="array" ref="Q219">MMS_Swine_ManureAppliedToSoils_Equations.VEERG_4_5_1_9__1_MassOfNitrogenAppliedToSoilsScope1(Q27,_xlfn.XLOOKUP($E219,$D$105:$D$110,$E$105:$E$110), _xlfn.XLOOKUP($E219,$D$95:$D$100,$E$95:$E$100),Q52,$F195)</f>
        <v>6.816867750000001</v>
      </c>
      <c r="R219" s="52" cm="1">
        <f t="array" ref="R219">MMS_Swine_ManureAppliedToSoils_Equations.VEERG_4_5_1_9__1_MassOfNitrogenAppliedToSoilsScope1(R27,_xlfn.XLOOKUP($E219,$D$105:$D$110,$E$105:$E$110), _xlfn.XLOOKUP($E219,$D$95:$D$100,$E$95:$E$100),R52,$F195)</f>
        <v>6.3995084999999978</v>
      </c>
      <c r="S219" s="52" cm="1">
        <f t="array" ref="S219">MMS_Swine_ManureAppliedToSoils_Equations.VEERG_4_5_1_9__1_MassOfNitrogenAppliedToSoilsScope1(S27,_xlfn.XLOOKUP($E219,$D$105:$D$110,$E$105:$E$110), _xlfn.XLOOKUP($E219,$D$95:$D$100,$E$95:$E$100),S52,$F195)</f>
        <v>4.3405361999999981</v>
      </c>
      <c r="T219" s="2" t="str">
        <f t="shared" si="5"/>
        <v>kg N</v>
      </c>
    </row>
    <row r="220" spans="4:20" x14ac:dyDescent="0.25">
      <c r="D220" s="57"/>
      <c r="E220" s="57" t="str">
        <f>'Input - Swine'!$D$58</f>
        <v>Pit storage</v>
      </c>
      <c r="F220" s="52" cm="1">
        <f t="array" ref="F220">MMS_Swine_ManureAppliedToSoils_Equations.VEERG_4_5_1_9__1_MassOfNitrogenAppliedToSoilsScope1(F28,_xlfn.XLOOKUP($E220,$D$105:$D$110,$E$105:$E$110), _xlfn.XLOOKUP($E220,$D$95:$D$100,$E$95:$E$100),F53,$F196)</f>
        <v>4.1166393599999989</v>
      </c>
      <c r="G220" s="52" cm="1">
        <f t="array" ref="G220">MMS_Swine_ManureAppliedToSoils_Equations.VEERG_4_5_1_9__1_MassOfNitrogenAppliedToSoilsScope1(G28,_xlfn.XLOOKUP($E220,$D$105:$D$110,$E$105:$E$110), _xlfn.XLOOKUP($E220,$D$95:$D$100,$E$95:$E$100),G53,$F196)</f>
        <v>5.7496698000000013</v>
      </c>
      <c r="H220" s="52" cm="1">
        <f t="array" ref="H220">MMS_Swine_ManureAppliedToSoils_Equations.VEERG_4_5_1_9__1_MassOfNitrogenAppliedToSoilsScope1(H28,_xlfn.XLOOKUP($E220,$D$105:$D$110,$E$105:$E$110), _xlfn.XLOOKUP($E220,$D$95:$D$100,$E$95:$E$100),H53,$F196)</f>
        <v>5.3976491999999983</v>
      </c>
      <c r="I220" s="52" cm="1">
        <f t="array" ref="I220">MMS_Swine_ManureAppliedToSoils_Equations.VEERG_4_5_1_9__1_MassOfNitrogenAppliedToSoilsScope1(I28,_xlfn.XLOOKUP($E220,$D$105:$D$110,$E$105:$E$110), _xlfn.XLOOKUP($E220,$D$95:$D$100,$E$95:$E$100),I53,$F196)</f>
        <v>3.6610142399999983</v>
      </c>
      <c r="J220" s="2" t="str">
        <f t="shared" si="4"/>
        <v>kg N</v>
      </c>
      <c r="N220" s="57"/>
      <c r="O220" s="57" t="str">
        <f>'Input - Swine'!$D$58</f>
        <v>Pit storage</v>
      </c>
      <c r="P220" s="52" cm="1">
        <f t="array" ref="P220">MMS_Swine_ManureAppliedToSoils_Equations.VEERG_4_5_1_9__1_MassOfNitrogenAppliedToSoilsScope1(P28,_xlfn.XLOOKUP($E220,$D$105:$D$110,$E$105:$E$110), _xlfn.XLOOKUP($E220,$D$95:$D$100,$E$95:$E$100),P53,$F196)</f>
        <v>4.1166393599999989</v>
      </c>
      <c r="Q220" s="52" cm="1">
        <f t="array" ref="Q220">MMS_Swine_ManureAppliedToSoils_Equations.VEERG_4_5_1_9__1_MassOfNitrogenAppliedToSoilsScope1(Q28,_xlfn.XLOOKUP($E220,$D$105:$D$110,$E$105:$E$110), _xlfn.XLOOKUP($E220,$D$95:$D$100,$E$95:$E$100),Q53,$F196)</f>
        <v>5.7496698000000013</v>
      </c>
      <c r="R220" s="52" cm="1">
        <f t="array" ref="R220">MMS_Swine_ManureAppliedToSoils_Equations.VEERG_4_5_1_9__1_MassOfNitrogenAppliedToSoilsScope1(R28,_xlfn.XLOOKUP($E220,$D$105:$D$110,$E$105:$E$110), _xlfn.XLOOKUP($E220,$D$95:$D$100,$E$95:$E$100),R53,$F196)</f>
        <v>5.3976491999999983</v>
      </c>
      <c r="S220" s="52" cm="1">
        <f t="array" ref="S220">MMS_Swine_ManureAppliedToSoils_Equations.VEERG_4_5_1_9__1_MassOfNitrogenAppliedToSoilsScope1(S28,_xlfn.XLOOKUP($E220,$D$105:$D$110,$E$105:$E$110), _xlfn.XLOOKUP($E220,$D$95:$D$100,$E$95:$E$100),S53,$F196)</f>
        <v>3.6610142399999983</v>
      </c>
      <c r="T220" s="2" t="str">
        <f t="shared" si="5"/>
        <v>kg N</v>
      </c>
    </row>
    <row r="221" spans="4:20" x14ac:dyDescent="0.25">
      <c r="D221" s="57" t="str">
        <f>'Input - Swine'!$D$31</f>
        <v>Digester / covered lagoons</v>
      </c>
      <c r="E221" s="57" t="str">
        <f>'Input - Swine'!$D$63</f>
        <v>Anaerobic lagoon</v>
      </c>
      <c r="F221" s="52" cm="1">
        <f t="array" ref="F221">MMS_Swine_ManureAppliedToSoils_Equations.VEERG_4_5_1_9__1_MassOfNitrogenAppliedToSoilsScope1(F29,_xlfn.XLOOKUP($E221,$D$105:$D$110,$E$105:$E$110), _xlfn.XLOOKUP($E221,$D$95:$D$100,$E$95:$E$100),F54,$F197)</f>
        <v>4.5332999999999988</v>
      </c>
      <c r="G221" s="52" cm="1">
        <f t="array" ref="G221">MMS_Swine_ManureAppliedToSoils_Equations.VEERG_4_5_1_9__1_MassOfNitrogenAppliedToSoilsScope1(G29,_xlfn.XLOOKUP($E221,$D$105:$D$110,$E$105:$E$110), _xlfn.XLOOKUP($E221,$D$95:$D$100,$E$95:$E$100),G54,$F197)</f>
        <v>6.0361875000000005</v>
      </c>
      <c r="H221" s="52" cm="1">
        <f t="array" ref="H221">MMS_Swine_ManureAppliedToSoils_Equations.VEERG_4_5_1_9__1_MassOfNitrogenAppliedToSoilsScope1(H29,_xlfn.XLOOKUP($E221,$D$105:$D$110,$E$105:$E$110), _xlfn.XLOOKUP($E221,$D$95:$D$100,$E$95:$E$100),H54,$F197)</f>
        <v>5.666624999999998</v>
      </c>
      <c r="I221" s="52" cm="1">
        <f t="array" ref="I221">MMS_Swine_ManureAppliedToSoils_Equations.VEERG_4_5_1_9__1_MassOfNitrogenAppliedToSoilsScope1(I29,_xlfn.XLOOKUP($E221,$D$105:$D$110,$E$105:$E$110), _xlfn.XLOOKUP($E221,$D$95:$D$100,$E$95:$E$100),I54,$F197)</f>
        <v>3.8434499999999989</v>
      </c>
      <c r="J221" s="2" t="str">
        <f t="shared" si="4"/>
        <v>kg N</v>
      </c>
      <c r="N221" s="57" t="str">
        <f>'Input - Swine'!$D$31</f>
        <v>Digester / covered lagoons</v>
      </c>
      <c r="O221" s="57" t="str">
        <f>'Input - Swine'!$D$63</f>
        <v>Anaerobic lagoon</v>
      </c>
      <c r="P221" s="52" cm="1">
        <f t="array" ref="P221">MMS_Swine_ManureAppliedToSoils_Equations.VEERG_4_5_1_9__1_MassOfNitrogenAppliedToSoilsScope1(P29,_xlfn.XLOOKUP($E221,$D$105:$D$110,$E$105:$E$110), _xlfn.XLOOKUP($E221,$D$95:$D$100,$E$95:$E$100),P54,$F197)</f>
        <v>4.5332999999999988</v>
      </c>
      <c r="Q221" s="52" cm="1">
        <f t="array" ref="Q221">MMS_Swine_ManureAppliedToSoils_Equations.VEERG_4_5_1_9__1_MassOfNitrogenAppliedToSoilsScope1(Q29,_xlfn.XLOOKUP($E221,$D$105:$D$110,$E$105:$E$110), _xlfn.XLOOKUP($E221,$D$95:$D$100,$E$95:$E$100),Q54,$F197)</f>
        <v>6.0361875000000005</v>
      </c>
      <c r="R221" s="52" cm="1">
        <f t="array" ref="R221">MMS_Swine_ManureAppliedToSoils_Equations.VEERG_4_5_1_9__1_MassOfNitrogenAppliedToSoilsScope1(R29,_xlfn.XLOOKUP($E221,$D$105:$D$110,$E$105:$E$110), _xlfn.XLOOKUP($E221,$D$95:$D$100,$E$95:$E$100),R54,$F197)</f>
        <v>5.666624999999998</v>
      </c>
      <c r="S221" s="52" cm="1">
        <f t="array" ref="S221">MMS_Swine_ManureAppliedToSoils_Equations.VEERG_4_5_1_9__1_MassOfNitrogenAppliedToSoilsScope1(S29,_xlfn.XLOOKUP($E221,$D$105:$D$110,$E$105:$E$110), _xlfn.XLOOKUP($E221,$D$95:$D$100,$E$95:$E$100),S54,$F197)</f>
        <v>3.8434499999999989</v>
      </c>
      <c r="T221" s="2" t="str">
        <f t="shared" si="5"/>
        <v>kg N</v>
      </c>
    </row>
    <row r="222" spans="4:20" x14ac:dyDescent="0.25">
      <c r="D222" s="57"/>
      <c r="E222" s="57" t="str">
        <f>'Input - Swine'!$D$64</f>
        <v>Deep litter</v>
      </c>
      <c r="F222" s="52" cm="1">
        <f t="array" ref="F222">MMS_Swine_ManureAppliedToSoils_Equations.VEERG_4_5_1_9__1_MassOfNitrogenAppliedToSoilsScope1(F30,_xlfn.XLOOKUP($E222,$D$105:$D$110,$E$105:$E$110), _xlfn.XLOOKUP($E222,$D$95:$D$100,$E$95:$E$100),F55,$F198)</f>
        <v>8.7140099999999983</v>
      </c>
      <c r="G222" s="52" cm="1">
        <f t="array" ref="G222">MMS_Swine_ManureAppliedToSoils_Equations.VEERG_4_5_1_9__1_MassOfNitrogenAppliedToSoilsScope1(G30,_xlfn.XLOOKUP($E222,$D$105:$D$110,$E$105:$E$110), _xlfn.XLOOKUP($E222,$D$95:$D$100,$E$95:$E$100),G55,$F198)</f>
        <v>11.602893750000002</v>
      </c>
      <c r="H222" s="52" cm="1">
        <f t="array" ref="H222">MMS_Swine_ManureAppliedToSoils_Equations.VEERG_4_5_1_9__1_MassOfNitrogenAppliedToSoilsScope1(H30,_xlfn.XLOOKUP($E222,$D$105:$D$110,$E$105:$E$110), _xlfn.XLOOKUP($E222,$D$95:$D$100,$E$95:$E$100),H55,$F198)</f>
        <v>10.892512499999997</v>
      </c>
      <c r="I222" s="52" cm="1">
        <f t="array" ref="I222">MMS_Swine_ManureAppliedToSoils_Equations.VEERG_4_5_1_9__1_MassOfNitrogenAppliedToSoilsScope1(I30,_xlfn.XLOOKUP($E222,$D$105:$D$110,$E$105:$E$110), _xlfn.XLOOKUP($E222,$D$95:$D$100,$E$95:$E$100),I55,$F198)</f>
        <v>7.3879649999999986</v>
      </c>
      <c r="J222" s="2" t="str">
        <f t="shared" si="4"/>
        <v>kg N</v>
      </c>
      <c r="N222" s="57"/>
      <c r="O222" s="57" t="str">
        <f>'Input - Swine'!$D$64</f>
        <v>Deep litter</v>
      </c>
      <c r="P222" s="52" cm="1">
        <f t="array" ref="P222">MMS_Swine_ManureAppliedToSoils_Equations.VEERG_4_5_1_9__1_MassOfNitrogenAppliedToSoilsScope1(P30,_xlfn.XLOOKUP($E222,$D$105:$D$110,$E$105:$E$110), _xlfn.XLOOKUP($E222,$D$95:$D$100,$E$95:$E$100),P55,$F198)</f>
        <v>8.7140099999999983</v>
      </c>
      <c r="Q222" s="52" cm="1">
        <f t="array" ref="Q222">MMS_Swine_ManureAppliedToSoils_Equations.VEERG_4_5_1_9__1_MassOfNitrogenAppliedToSoilsScope1(Q30,_xlfn.XLOOKUP($E222,$D$105:$D$110,$E$105:$E$110), _xlfn.XLOOKUP($E222,$D$95:$D$100,$E$95:$E$100),Q55,$F198)</f>
        <v>11.602893750000002</v>
      </c>
      <c r="R222" s="52" cm="1">
        <f t="array" ref="R222">MMS_Swine_ManureAppliedToSoils_Equations.VEERG_4_5_1_9__1_MassOfNitrogenAppliedToSoilsScope1(R30,_xlfn.XLOOKUP($E222,$D$105:$D$110,$E$105:$E$110), _xlfn.XLOOKUP($E222,$D$95:$D$100,$E$95:$E$100),R55,$F198)</f>
        <v>10.892512499999997</v>
      </c>
      <c r="S222" s="52" cm="1">
        <f t="array" ref="S222">MMS_Swine_ManureAppliedToSoils_Equations.VEERG_4_5_1_9__1_MassOfNitrogenAppliedToSoilsScope1(S30,_xlfn.XLOOKUP($E222,$D$105:$D$110,$E$105:$E$110), _xlfn.XLOOKUP($E222,$D$95:$D$100,$E$95:$E$100),S55,$F198)</f>
        <v>7.3879649999999986</v>
      </c>
      <c r="T222" s="2" t="str">
        <f t="shared" si="5"/>
        <v>kg N</v>
      </c>
    </row>
    <row r="223" spans="4:20" x14ac:dyDescent="0.25">
      <c r="D223" s="57"/>
      <c r="E223" s="57" t="str">
        <f>'Input - Swine'!$D$65</f>
        <v>Pit storage</v>
      </c>
      <c r="F223" s="52" cm="1">
        <f t="array" ref="F223">MMS_Swine_ManureAppliedToSoils_Equations.VEERG_4_5_1_9__1_MassOfNitrogenAppliedToSoilsScope1(F31,_xlfn.XLOOKUP($E223,$D$105:$D$110,$E$105:$E$110), _xlfn.XLOOKUP($E223,$D$95:$D$100,$E$95:$E$100),F56,$F199)</f>
        <v>7.5353519999999987</v>
      </c>
      <c r="G223" s="52" cm="1">
        <f t="array" ref="G223">MMS_Swine_ManureAppliedToSoils_Equations.VEERG_4_5_1_9__1_MassOfNitrogenAppliedToSoilsScope1(G31,_xlfn.XLOOKUP($E223,$D$105:$D$110,$E$105:$E$110), _xlfn.XLOOKUP($E223,$D$95:$D$100,$E$95:$E$100),G56,$F199)</f>
        <v>10.033485000000001</v>
      </c>
      <c r="H223" s="52" cm="1">
        <f t="array" ref="H223">MMS_Swine_ManureAppliedToSoils_Equations.VEERG_4_5_1_9__1_MassOfNitrogenAppliedToSoilsScope1(H31,_xlfn.XLOOKUP($E223,$D$105:$D$110,$E$105:$E$110), _xlfn.XLOOKUP($E223,$D$95:$D$100,$E$95:$E$100),H56,$F199)</f>
        <v>9.4191899999999986</v>
      </c>
      <c r="I223" s="52" cm="1">
        <f t="array" ref="I223">MMS_Swine_ManureAppliedToSoils_Equations.VEERG_4_5_1_9__1_MassOfNitrogenAppliedToSoilsScope1(I31,_xlfn.XLOOKUP($E223,$D$105:$D$110,$E$105:$E$110), _xlfn.XLOOKUP($E223,$D$95:$D$100,$E$95:$E$100),I56,$F199)</f>
        <v>6.3886679999999991</v>
      </c>
      <c r="J223" s="2" t="str">
        <f t="shared" si="4"/>
        <v>kg N</v>
      </c>
      <c r="N223" s="57"/>
      <c r="O223" s="57" t="str">
        <f>'Input - Swine'!$D$65</f>
        <v>Pit storage</v>
      </c>
      <c r="P223" s="52" cm="1">
        <f t="array" ref="P223">MMS_Swine_ManureAppliedToSoils_Equations.VEERG_4_5_1_9__1_MassOfNitrogenAppliedToSoilsScope1(P31,_xlfn.XLOOKUP($E223,$D$105:$D$110,$E$105:$E$110), _xlfn.XLOOKUP($E223,$D$95:$D$100,$E$95:$E$100),P56,$F199)</f>
        <v>7.5353519999999987</v>
      </c>
      <c r="Q223" s="52" cm="1">
        <f t="array" ref="Q223">MMS_Swine_ManureAppliedToSoils_Equations.VEERG_4_5_1_9__1_MassOfNitrogenAppliedToSoilsScope1(Q31,_xlfn.XLOOKUP($E223,$D$105:$D$110,$E$105:$E$110), _xlfn.XLOOKUP($E223,$D$95:$D$100,$E$95:$E$100),Q56,$F199)</f>
        <v>10.033485000000001</v>
      </c>
      <c r="R223" s="52" cm="1">
        <f t="array" ref="R223">MMS_Swine_ManureAppliedToSoils_Equations.VEERG_4_5_1_9__1_MassOfNitrogenAppliedToSoilsScope1(R31,_xlfn.XLOOKUP($E223,$D$105:$D$110,$E$105:$E$110), _xlfn.XLOOKUP($E223,$D$95:$D$100,$E$95:$E$100),R56,$F199)</f>
        <v>9.4191899999999986</v>
      </c>
      <c r="S223" s="52" cm="1">
        <f t="array" ref="S223">MMS_Swine_ManureAppliedToSoils_Equations.VEERG_4_5_1_9__1_MassOfNitrogenAppliedToSoilsScope1(S31,_xlfn.XLOOKUP($E223,$D$105:$D$110,$E$105:$E$110), _xlfn.XLOOKUP($E223,$D$95:$D$100,$E$95:$E$100),S56,$F199)</f>
        <v>6.3886679999999991</v>
      </c>
      <c r="T223" s="2" t="str">
        <f t="shared" si="5"/>
        <v>kg N</v>
      </c>
    </row>
    <row r="224" spans="4:20" x14ac:dyDescent="0.25">
      <c r="D224" s="57" t="str">
        <f>'Input - Swine'!$D$32</f>
        <v>Deep litter</v>
      </c>
      <c r="E224" s="57" t="str">
        <f>'Input - Swine'!$D$70</f>
        <v>Anaerobic lagoon</v>
      </c>
      <c r="F224" s="52" cm="1">
        <f t="array" ref="F224">MMS_Swine_ManureAppliedToSoils_Equations.VEERG_4_5_1_9__1_MassOfNitrogenAppliedToSoilsScope1(F32,_xlfn.XLOOKUP($E224,$D$105:$D$110,$E$105:$E$110), _xlfn.XLOOKUP($E224,$D$95:$D$100,$E$95:$E$100),F57,$F200)</f>
        <v>3.9213044999999989</v>
      </c>
      <c r="G224" s="52" cm="1">
        <f t="array" ref="G224">MMS_Swine_ManureAppliedToSoils_Equations.VEERG_4_5_1_9__1_MassOfNitrogenAppliedToSoilsScope1(G32,_xlfn.XLOOKUP($E224,$D$105:$D$110,$E$105:$E$110), _xlfn.XLOOKUP($E224,$D$95:$D$100,$E$95:$E$100),G57,$F200)</f>
        <v>5.2213021875000001</v>
      </c>
      <c r="H224" s="52" cm="1">
        <f t="array" ref="H224">MMS_Swine_ManureAppliedToSoils_Equations.VEERG_4_5_1_9__1_MassOfNitrogenAppliedToSoilsScope1(H32,_xlfn.XLOOKUP($E224,$D$105:$D$110,$E$105:$E$110), _xlfn.XLOOKUP($E224,$D$95:$D$100,$E$95:$E$100),H57,$F200)</f>
        <v>4.9016306249999984</v>
      </c>
      <c r="I224" s="52" cm="1">
        <f t="array" ref="I224">MMS_Swine_ManureAppliedToSoils_Equations.VEERG_4_5_1_9__1_MassOfNitrogenAppliedToSoilsScope1(I32,_xlfn.XLOOKUP($E224,$D$105:$D$110,$E$105:$E$110), _xlfn.XLOOKUP($E224,$D$95:$D$100,$E$95:$E$100),I57,$F200)</f>
        <v>3.3245842499999991</v>
      </c>
      <c r="J224" s="2" t="str">
        <f t="shared" si="4"/>
        <v>kg N</v>
      </c>
      <c r="N224" s="57" t="str">
        <f>'Input - Swine'!$D$32</f>
        <v>Deep litter</v>
      </c>
      <c r="O224" s="57" t="str">
        <f>'Input - Swine'!$D$70</f>
        <v>Anaerobic lagoon</v>
      </c>
      <c r="P224" s="52" cm="1">
        <f t="array" ref="P224">MMS_Swine_ManureAppliedToSoils_Equations.VEERG_4_5_1_9__1_MassOfNitrogenAppliedToSoilsScope1(P32,_xlfn.XLOOKUP($E224,$D$105:$D$110,$E$105:$E$110), _xlfn.XLOOKUP($E224,$D$95:$D$100,$E$95:$E$100),P57,$F200)</f>
        <v>3.9213044999999989</v>
      </c>
      <c r="Q224" s="52" cm="1">
        <f t="array" ref="Q224">MMS_Swine_ManureAppliedToSoils_Equations.VEERG_4_5_1_9__1_MassOfNitrogenAppliedToSoilsScope1(Q32,_xlfn.XLOOKUP($E224,$D$105:$D$110,$E$105:$E$110), _xlfn.XLOOKUP($E224,$D$95:$D$100,$E$95:$E$100),Q57,$F200)</f>
        <v>5.2213021875000001</v>
      </c>
      <c r="R224" s="52" cm="1">
        <f t="array" ref="R224">MMS_Swine_ManureAppliedToSoils_Equations.VEERG_4_5_1_9__1_MassOfNitrogenAppliedToSoilsScope1(R32,_xlfn.XLOOKUP($E224,$D$105:$D$110,$E$105:$E$110), _xlfn.XLOOKUP($E224,$D$95:$D$100,$E$95:$E$100),R57,$F200)</f>
        <v>4.9016306249999984</v>
      </c>
      <c r="S224" s="52" cm="1">
        <f t="array" ref="S224">MMS_Swine_ManureAppliedToSoils_Equations.VEERG_4_5_1_9__1_MassOfNitrogenAppliedToSoilsScope1(S32,_xlfn.XLOOKUP($E224,$D$105:$D$110,$E$105:$E$110), _xlfn.XLOOKUP($E224,$D$95:$D$100,$E$95:$E$100),S57,$F200)</f>
        <v>3.3245842499999991</v>
      </c>
      <c r="T224" s="2" t="str">
        <f t="shared" si="5"/>
        <v>kg N</v>
      </c>
    </row>
    <row r="225" spans="4:20" x14ac:dyDescent="0.25">
      <c r="D225" s="57"/>
      <c r="E225" s="57" t="str">
        <f>'Input - Swine'!$D$71</f>
        <v>Digester / covered lagoons</v>
      </c>
      <c r="F225" s="52" cm="1">
        <f t="array" ref="F225">MMS_Swine_ManureAppliedToSoils_Equations.VEERG_4_5_1_9__1_MassOfNitrogenAppliedToSoilsScope1(F33,_xlfn.XLOOKUP($E225,$D$105:$D$110,$E$105:$E$110), _xlfn.XLOOKUP($E225,$D$95:$D$100,$E$95:$E$100),F58,$F201)</f>
        <v>8.7140099999999983</v>
      </c>
      <c r="G225" s="52" cm="1">
        <f t="array" ref="G225">MMS_Swine_ManureAppliedToSoils_Equations.VEERG_4_5_1_9__1_MassOfNitrogenAppliedToSoilsScope1(G33,_xlfn.XLOOKUP($E225,$D$105:$D$110,$E$105:$E$110), _xlfn.XLOOKUP($E225,$D$95:$D$100,$E$95:$E$100),G58,$F201)</f>
        <v>11.602893750000002</v>
      </c>
      <c r="H225" s="52" cm="1">
        <f t="array" ref="H225">MMS_Swine_ManureAppliedToSoils_Equations.VEERG_4_5_1_9__1_MassOfNitrogenAppliedToSoilsScope1(H33,_xlfn.XLOOKUP($E225,$D$105:$D$110,$E$105:$E$110), _xlfn.XLOOKUP($E225,$D$95:$D$100,$E$95:$E$100),H58,$F201)</f>
        <v>10.892512499999997</v>
      </c>
      <c r="I225" s="52" cm="1">
        <f t="array" ref="I225">MMS_Swine_ManureAppliedToSoils_Equations.VEERG_4_5_1_9__1_MassOfNitrogenAppliedToSoilsScope1(I33,_xlfn.XLOOKUP($E225,$D$105:$D$110,$E$105:$E$110), _xlfn.XLOOKUP($E225,$D$95:$D$100,$E$95:$E$100),I58,$F201)</f>
        <v>7.3879649999999986</v>
      </c>
      <c r="J225" s="2" t="str">
        <f t="shared" si="4"/>
        <v>kg N</v>
      </c>
      <c r="N225" s="57"/>
      <c r="O225" s="57" t="str">
        <f>'Input - Swine'!$D$71</f>
        <v>Digester / covered lagoons</v>
      </c>
      <c r="P225" s="52" cm="1">
        <f t="array" ref="P225">MMS_Swine_ManureAppliedToSoils_Equations.VEERG_4_5_1_9__1_MassOfNitrogenAppliedToSoilsScope1(P33,_xlfn.XLOOKUP($E225,$D$105:$D$110,$E$105:$E$110), _xlfn.XLOOKUP($E225,$D$95:$D$100,$E$95:$E$100),P58,$F201)</f>
        <v>8.7140099999999983</v>
      </c>
      <c r="Q225" s="52" cm="1">
        <f t="array" ref="Q225">MMS_Swine_ManureAppliedToSoils_Equations.VEERG_4_5_1_9__1_MassOfNitrogenAppliedToSoilsScope1(Q33,_xlfn.XLOOKUP($E225,$D$105:$D$110,$E$105:$E$110), _xlfn.XLOOKUP($E225,$D$95:$D$100,$E$95:$E$100),Q58,$F201)</f>
        <v>11.602893750000002</v>
      </c>
      <c r="R225" s="52" cm="1">
        <f t="array" ref="R225">MMS_Swine_ManureAppliedToSoils_Equations.VEERG_4_5_1_9__1_MassOfNitrogenAppliedToSoilsScope1(R33,_xlfn.XLOOKUP($E225,$D$105:$D$110,$E$105:$E$110), _xlfn.XLOOKUP($E225,$D$95:$D$100,$E$95:$E$100),R58,$F201)</f>
        <v>10.892512499999997</v>
      </c>
      <c r="S225" s="52" cm="1">
        <f t="array" ref="S225">MMS_Swine_ManureAppliedToSoils_Equations.VEERG_4_5_1_9__1_MassOfNitrogenAppliedToSoilsScope1(S33,_xlfn.XLOOKUP($E225,$D$105:$D$110,$E$105:$E$110), _xlfn.XLOOKUP($E225,$D$95:$D$100,$E$95:$E$100),S58,$F201)</f>
        <v>7.3879649999999986</v>
      </c>
      <c r="T225" s="2" t="str">
        <f t="shared" si="5"/>
        <v>kg N</v>
      </c>
    </row>
    <row r="226" spans="4:20" x14ac:dyDescent="0.25">
      <c r="D226" s="57"/>
      <c r="E226" s="57" t="str">
        <f>'Input - Swine'!$D$72</f>
        <v>Pit storage</v>
      </c>
      <c r="F226" s="52" cm="1">
        <f t="array" ref="F226">MMS_Swine_ManureAppliedToSoils_Equations.VEERG_4_5_1_9__1_MassOfNitrogenAppliedToSoilsScope1(F34,_xlfn.XLOOKUP($E226,$D$105:$D$110,$E$105:$E$110), _xlfn.XLOOKUP($E226,$D$95:$D$100,$E$95:$E$100),F59,$F202)</f>
        <v>6.518079479999999</v>
      </c>
      <c r="G226" s="52" cm="1">
        <f t="array" ref="G226">MMS_Swine_ManureAppliedToSoils_Equations.VEERG_4_5_1_9__1_MassOfNitrogenAppliedToSoilsScope1(G34,_xlfn.XLOOKUP($E226,$D$105:$D$110,$E$105:$E$110), _xlfn.XLOOKUP($E226,$D$95:$D$100,$E$95:$E$100),G59,$F202)</f>
        <v>8.6789645250000014</v>
      </c>
      <c r="H226" s="52" cm="1">
        <f t="array" ref="H226">MMS_Swine_ManureAppliedToSoils_Equations.VEERG_4_5_1_9__1_MassOfNitrogenAppliedToSoilsScope1(H34,_xlfn.XLOOKUP($E226,$D$105:$D$110,$E$105:$E$110), _xlfn.XLOOKUP($E226,$D$95:$D$100,$E$95:$E$100),H59,$F202)</f>
        <v>8.1475993499999984</v>
      </c>
      <c r="I226" s="52" cm="1">
        <f t="array" ref="I226">MMS_Swine_ManureAppliedToSoils_Equations.VEERG_4_5_1_9__1_MassOfNitrogenAppliedToSoilsScope1(I34,_xlfn.XLOOKUP($E226,$D$105:$D$110,$E$105:$E$110), _xlfn.XLOOKUP($E226,$D$95:$D$100,$E$95:$E$100),I59,$F202)</f>
        <v>5.5261978199999993</v>
      </c>
      <c r="J226" s="2" t="str">
        <f t="shared" si="4"/>
        <v>kg N</v>
      </c>
      <c r="N226" s="57"/>
      <c r="O226" s="57" t="str">
        <f>'Input - Swine'!$D$72</f>
        <v>Pit storage</v>
      </c>
      <c r="P226" s="52" cm="1">
        <f t="array" ref="P226">MMS_Swine_ManureAppliedToSoils_Equations.VEERG_4_5_1_9__1_MassOfNitrogenAppliedToSoilsScope1(P34,_xlfn.XLOOKUP($E226,$D$105:$D$110,$E$105:$E$110), _xlfn.XLOOKUP($E226,$D$95:$D$100,$E$95:$E$100),P59,$F202)</f>
        <v>6.518079479999999</v>
      </c>
      <c r="Q226" s="52" cm="1">
        <f t="array" ref="Q226">MMS_Swine_ManureAppliedToSoils_Equations.VEERG_4_5_1_9__1_MassOfNitrogenAppliedToSoilsScope1(Q34,_xlfn.XLOOKUP($E226,$D$105:$D$110,$E$105:$E$110), _xlfn.XLOOKUP($E226,$D$95:$D$100,$E$95:$E$100),Q59,$F202)</f>
        <v>8.6789645250000014</v>
      </c>
      <c r="R226" s="52" cm="1">
        <f t="array" ref="R226">MMS_Swine_ManureAppliedToSoils_Equations.VEERG_4_5_1_9__1_MassOfNitrogenAppliedToSoilsScope1(R34,_xlfn.XLOOKUP($E226,$D$105:$D$110,$E$105:$E$110), _xlfn.XLOOKUP($E226,$D$95:$D$100,$E$95:$E$100),R59,$F202)</f>
        <v>8.1475993499999984</v>
      </c>
      <c r="S226" s="52" cm="1">
        <f t="array" ref="S226">MMS_Swine_ManureAppliedToSoils_Equations.VEERG_4_5_1_9__1_MassOfNitrogenAppliedToSoilsScope1(S34,_xlfn.XLOOKUP($E226,$D$105:$D$110,$E$105:$E$110), _xlfn.XLOOKUP($E226,$D$95:$D$100,$E$95:$E$100),S59,$F202)</f>
        <v>5.5261978199999993</v>
      </c>
      <c r="T226" s="2" t="str">
        <f t="shared" si="5"/>
        <v>kg N</v>
      </c>
    </row>
    <row r="227" spans="4:20" x14ac:dyDescent="0.25">
      <c r="D227" s="57" t="str">
        <f>'Input - Swine'!$D$33</f>
        <v>Pit storage</v>
      </c>
      <c r="E227" s="57" t="str">
        <f>'Input - Swine'!$D$77</f>
        <v>Anaerobic lagoon</v>
      </c>
      <c r="F227" s="52" cm="1">
        <f t="array" ref="F227">MMS_Swine_ManureAppliedToSoils_Equations.VEERG_4_5_1_9__1_MassOfNitrogenAppliedToSoilsScope1(F35,_xlfn.XLOOKUP($E227,$D$105:$D$110,$E$105:$E$110), _xlfn.XLOOKUP($E227,$D$95:$D$100,$E$95:$E$100),F60,$F203)</f>
        <v>3.3909083999999994</v>
      </c>
      <c r="G227" s="52" cm="1">
        <f t="array" ref="G227">MMS_Swine_ManureAppliedToSoils_Equations.VEERG_4_5_1_9__1_MassOfNitrogenAppliedToSoilsScope1(G35,_xlfn.XLOOKUP($E227,$D$105:$D$110,$E$105:$E$110), _xlfn.XLOOKUP($E227,$D$95:$D$100,$E$95:$E$100),G60,$F203)</f>
        <v>4.5150682499999997</v>
      </c>
      <c r="H227" s="52" cm="1">
        <f t="array" ref="H227">MMS_Swine_ManureAppliedToSoils_Equations.VEERG_4_5_1_9__1_MassOfNitrogenAppliedToSoilsScope1(H35,_xlfn.XLOOKUP($E227,$D$105:$D$110,$E$105:$E$110), _xlfn.XLOOKUP($E227,$D$95:$D$100,$E$95:$E$100),H60,$F203)</f>
        <v>4.2386354999999991</v>
      </c>
      <c r="I227" s="52" cm="1">
        <f t="array" ref="I227">MMS_Swine_ManureAppliedToSoils_Equations.VEERG_4_5_1_9__1_MassOfNitrogenAppliedToSoilsScope1(I35,_xlfn.XLOOKUP($E227,$D$105:$D$110,$E$105:$E$110), _xlfn.XLOOKUP($E227,$D$95:$D$100,$E$95:$E$100),I60,$F203)</f>
        <v>2.8749005999999993</v>
      </c>
      <c r="J227" s="2" t="str">
        <f t="shared" si="4"/>
        <v>kg N</v>
      </c>
      <c r="N227" s="57" t="str">
        <f>'Input - Swine'!$D$33</f>
        <v>Pit storage</v>
      </c>
      <c r="O227" s="57" t="str">
        <f>'Input - Swine'!$D$77</f>
        <v>Anaerobic lagoon</v>
      </c>
      <c r="P227" s="52" cm="1">
        <f t="array" ref="P227">MMS_Swine_ManureAppliedToSoils_Equations.VEERG_4_5_1_9__1_MassOfNitrogenAppliedToSoilsScope1(P35,_xlfn.XLOOKUP($E227,$D$105:$D$110,$E$105:$E$110), _xlfn.XLOOKUP($E227,$D$95:$D$100,$E$95:$E$100),P60,$F203)</f>
        <v>3.3909083999999994</v>
      </c>
      <c r="Q227" s="52" cm="1">
        <f t="array" ref="Q227">MMS_Swine_ManureAppliedToSoils_Equations.VEERG_4_5_1_9__1_MassOfNitrogenAppliedToSoilsScope1(Q35,_xlfn.XLOOKUP($E227,$D$105:$D$110,$E$105:$E$110), _xlfn.XLOOKUP($E227,$D$95:$D$100,$E$95:$E$100),Q60,$F203)</f>
        <v>4.5150682499999997</v>
      </c>
      <c r="R227" s="52" cm="1">
        <f t="array" ref="R227">MMS_Swine_ManureAppliedToSoils_Equations.VEERG_4_5_1_9__1_MassOfNitrogenAppliedToSoilsScope1(R35,_xlfn.XLOOKUP($E227,$D$105:$D$110,$E$105:$E$110), _xlfn.XLOOKUP($E227,$D$95:$D$100,$E$95:$E$100),R60,$F203)</f>
        <v>4.2386354999999991</v>
      </c>
      <c r="S227" s="52" cm="1">
        <f t="array" ref="S227">MMS_Swine_ManureAppliedToSoils_Equations.VEERG_4_5_1_9__1_MassOfNitrogenAppliedToSoilsScope1(S35,_xlfn.XLOOKUP($E227,$D$105:$D$110,$E$105:$E$110), _xlfn.XLOOKUP($E227,$D$95:$D$100,$E$95:$E$100),S60,$F203)</f>
        <v>2.8749005999999993</v>
      </c>
      <c r="T227" s="2" t="str">
        <f t="shared" si="5"/>
        <v>kg N</v>
      </c>
    </row>
    <row r="228" spans="4:20" x14ac:dyDescent="0.25">
      <c r="D228" s="57"/>
      <c r="E228" s="57" t="str">
        <f>'Input - Swine'!$D$78</f>
        <v>Digester / covered lagoons</v>
      </c>
      <c r="F228" s="52" cm="1">
        <f t="array" ref="F228">MMS_Swine_ManureAppliedToSoils_Equations.VEERG_4_5_1_9__1_MassOfNitrogenAppliedToSoilsScope1(F36,_xlfn.XLOOKUP($E228,$D$105:$D$110,$E$105:$E$110), _xlfn.XLOOKUP($E228,$D$95:$D$100,$E$95:$E$100),F61,$F204)</f>
        <v>7.5353519999999996</v>
      </c>
      <c r="G228" s="52" cm="1">
        <f t="array" ref="G228">MMS_Swine_ManureAppliedToSoils_Equations.VEERG_4_5_1_9__1_MassOfNitrogenAppliedToSoilsScope1(G36,_xlfn.XLOOKUP($E228,$D$105:$D$110,$E$105:$E$110), _xlfn.XLOOKUP($E228,$D$95:$D$100,$E$95:$E$100),G61,$F204)</f>
        <v>10.033485000000001</v>
      </c>
      <c r="H228" s="52" cm="1">
        <f t="array" ref="H228">MMS_Swine_ManureAppliedToSoils_Equations.VEERG_4_5_1_9__1_MassOfNitrogenAppliedToSoilsScope1(H36,_xlfn.XLOOKUP($E228,$D$105:$D$110,$E$105:$E$110), _xlfn.XLOOKUP($E228,$D$95:$D$100,$E$95:$E$100),H61,$F204)</f>
        <v>9.4191899999999986</v>
      </c>
      <c r="I228" s="52" cm="1">
        <f t="array" ref="I228">MMS_Swine_ManureAppliedToSoils_Equations.VEERG_4_5_1_9__1_MassOfNitrogenAppliedToSoilsScope1(I36,_xlfn.XLOOKUP($E228,$D$105:$D$110,$E$105:$E$110), _xlfn.XLOOKUP($E228,$D$95:$D$100,$E$95:$E$100),I61,$F204)</f>
        <v>6.3886679999999991</v>
      </c>
      <c r="J228" s="2" t="str">
        <f t="shared" si="4"/>
        <v>kg N</v>
      </c>
      <c r="N228" s="57"/>
      <c r="O228" s="57" t="str">
        <f>'Input - Swine'!$D$78</f>
        <v>Digester / covered lagoons</v>
      </c>
      <c r="P228" s="52" cm="1">
        <f t="array" ref="P228">MMS_Swine_ManureAppliedToSoils_Equations.VEERG_4_5_1_9__1_MassOfNitrogenAppliedToSoilsScope1(P36,_xlfn.XLOOKUP($E228,$D$105:$D$110,$E$105:$E$110), _xlfn.XLOOKUP($E228,$D$95:$D$100,$E$95:$E$100),P61,$F204)</f>
        <v>7.5353519999999996</v>
      </c>
      <c r="Q228" s="52" cm="1">
        <f t="array" ref="Q228">MMS_Swine_ManureAppliedToSoils_Equations.VEERG_4_5_1_9__1_MassOfNitrogenAppliedToSoilsScope1(Q36,_xlfn.XLOOKUP($E228,$D$105:$D$110,$E$105:$E$110), _xlfn.XLOOKUP($E228,$D$95:$D$100,$E$95:$E$100),Q61,$F204)</f>
        <v>10.033485000000001</v>
      </c>
      <c r="R228" s="52" cm="1">
        <f t="array" ref="R228">MMS_Swine_ManureAppliedToSoils_Equations.VEERG_4_5_1_9__1_MassOfNitrogenAppliedToSoilsScope1(R36,_xlfn.XLOOKUP($E228,$D$105:$D$110,$E$105:$E$110), _xlfn.XLOOKUP($E228,$D$95:$D$100,$E$95:$E$100),R61,$F204)</f>
        <v>9.4191899999999986</v>
      </c>
      <c r="S228" s="52" cm="1">
        <f t="array" ref="S228">MMS_Swine_ManureAppliedToSoils_Equations.VEERG_4_5_1_9__1_MassOfNitrogenAppliedToSoilsScope1(S36,_xlfn.XLOOKUP($E228,$D$105:$D$110,$E$105:$E$110), _xlfn.XLOOKUP($E228,$D$95:$D$100,$E$95:$E$100),S61,$F204)</f>
        <v>6.3886679999999991</v>
      </c>
      <c r="T228" s="2" t="str">
        <f t="shared" si="5"/>
        <v>kg N</v>
      </c>
    </row>
    <row r="229" spans="4:20" x14ac:dyDescent="0.25">
      <c r="D229" s="57"/>
      <c r="E229" s="57" t="str">
        <f>'Input - Swine'!$D$79</f>
        <v>Deep litter</v>
      </c>
      <c r="F229" s="52" cm="1">
        <f t="array" ref="F229">MMS_Swine_ManureAppliedToSoils_Equations.VEERG_4_5_1_9__1_MassOfNitrogenAppliedToSoilsScope1(F37,_xlfn.XLOOKUP($E229,$D$105:$D$110,$E$105:$E$110), _xlfn.XLOOKUP($E229,$D$95:$D$100,$E$95:$E$100),F62,$F205)</f>
        <v>6.5180794799999999</v>
      </c>
      <c r="G229" s="52" cm="1">
        <f t="array" ref="G229">MMS_Swine_ManureAppliedToSoils_Equations.VEERG_4_5_1_9__1_MassOfNitrogenAppliedToSoilsScope1(G37,_xlfn.XLOOKUP($E229,$D$105:$D$110,$E$105:$E$110), _xlfn.XLOOKUP($E229,$D$95:$D$100,$E$95:$E$100),G62,$F205)</f>
        <v>8.6789645249999996</v>
      </c>
      <c r="H229" s="52" cm="1">
        <f t="array" ref="H229">MMS_Swine_ManureAppliedToSoils_Equations.VEERG_4_5_1_9__1_MassOfNitrogenAppliedToSoilsScope1(H37,_xlfn.XLOOKUP($E229,$D$105:$D$110,$E$105:$E$110), _xlfn.XLOOKUP($E229,$D$95:$D$100,$E$95:$E$100),H62,$F205)</f>
        <v>8.1475993499999984</v>
      </c>
      <c r="I229" s="52" cm="1">
        <f t="array" ref="I229">MMS_Swine_ManureAppliedToSoils_Equations.VEERG_4_5_1_9__1_MassOfNitrogenAppliedToSoilsScope1(I37,_xlfn.XLOOKUP($E229,$D$105:$D$110,$E$105:$E$110), _xlfn.XLOOKUP($E229,$D$95:$D$100,$E$95:$E$100),I62,$F205)</f>
        <v>5.5261978199999993</v>
      </c>
      <c r="J229" s="2" t="str">
        <f t="shared" si="4"/>
        <v>kg N</v>
      </c>
      <c r="N229" s="57"/>
      <c r="O229" s="57" t="str">
        <f>'Input - Swine'!$D$79</f>
        <v>Deep litter</v>
      </c>
      <c r="P229" s="52" cm="1">
        <f t="array" ref="P229">MMS_Swine_ManureAppliedToSoils_Equations.VEERG_4_5_1_9__1_MassOfNitrogenAppliedToSoilsScope1(P37,_xlfn.XLOOKUP($E229,$D$105:$D$110,$E$105:$E$110), _xlfn.XLOOKUP($E229,$D$95:$D$100,$E$95:$E$100),P62,$F205)</f>
        <v>6.5180794799999999</v>
      </c>
      <c r="Q229" s="52" cm="1">
        <f t="array" ref="Q229">MMS_Swine_ManureAppliedToSoils_Equations.VEERG_4_5_1_9__1_MassOfNitrogenAppliedToSoilsScope1(Q37,_xlfn.XLOOKUP($E229,$D$105:$D$110,$E$105:$E$110), _xlfn.XLOOKUP($E229,$D$95:$D$100,$E$95:$E$100),Q62,$F205)</f>
        <v>8.6789645249999996</v>
      </c>
      <c r="R229" s="52" cm="1">
        <f t="array" ref="R229">MMS_Swine_ManureAppliedToSoils_Equations.VEERG_4_5_1_9__1_MassOfNitrogenAppliedToSoilsScope1(R37,_xlfn.XLOOKUP($E229,$D$105:$D$110,$E$105:$E$110), _xlfn.XLOOKUP($E229,$D$95:$D$100,$E$95:$E$100),R62,$F205)</f>
        <v>8.1475993499999984</v>
      </c>
      <c r="S229" s="52" cm="1">
        <f t="array" ref="S229">MMS_Swine_ManureAppliedToSoils_Equations.VEERG_4_5_1_9__1_MassOfNitrogenAppliedToSoilsScope1(S37,_xlfn.XLOOKUP($E229,$D$105:$D$110,$E$105:$E$110), _xlfn.XLOOKUP($E229,$D$95:$D$100,$E$95:$E$100),S62,$F205)</f>
        <v>5.5261978199999993</v>
      </c>
      <c r="T229" s="2" t="str">
        <f t="shared" si="5"/>
        <v>kg N</v>
      </c>
    </row>
    <row r="230" spans="4:20" x14ac:dyDescent="0.25">
      <c r="D230" s="57" t="str">
        <f>'Input - Swine'!$D$34</f>
        <v>Solid storage</v>
      </c>
      <c r="E230" s="57" t="str">
        <f>'Input - Swine'!$D$84</f>
        <v>Anaerobic lagoon</v>
      </c>
      <c r="F230" s="52" cm="1">
        <f t="array" ref="F230">MMS_Swine_ManureAppliedToSoils_Equations.VEERG_4_5_1_9__1_MassOfNitrogenAppliedToSoilsScope1(F38,_xlfn.XLOOKUP($E230,$D$105:$D$110,$E$105:$E$110), _xlfn.XLOOKUP($E230,$D$95:$D$100,$E$95:$E$100),F63,$F206)</f>
        <v>12.013245000000003</v>
      </c>
      <c r="G230" s="52" cm="1">
        <f t="array" ref="G230">MMS_Swine_ManureAppliedToSoils_Equations.VEERG_4_5_1_9__1_MassOfNitrogenAppliedToSoilsScope1(G38,_xlfn.XLOOKUP($E230,$D$105:$D$110,$E$105:$E$110), _xlfn.XLOOKUP($E230,$D$95:$D$100,$E$95:$E$100),G63,$F206)</f>
        <v>12.796717500000007</v>
      </c>
      <c r="H230" s="52" cm="1">
        <f t="array" ref="H230">MMS_Swine_ManureAppliedToSoils_Equations.VEERG_4_5_1_9__1_MassOfNitrogenAppliedToSoilsScope1(H38,_xlfn.XLOOKUP($E230,$D$105:$D$110,$E$105:$E$110), _xlfn.XLOOKUP($E230,$D$95:$D$100,$E$95:$E$100),H63,$F206)</f>
        <v>12.013245000000003</v>
      </c>
      <c r="I230" s="52" cm="1">
        <f t="array" ref="I230">MMS_Swine_ManureAppliedToSoils_Equations.VEERG_4_5_1_9__1_MassOfNitrogenAppliedToSoilsScope1(I38,_xlfn.XLOOKUP($E230,$D$105:$D$110,$E$105:$E$110), _xlfn.XLOOKUP($E230,$D$95:$D$100,$E$95:$E$100),I63,$F206)</f>
        <v>8.1481140000000032</v>
      </c>
      <c r="J230" s="2" t="str">
        <f t="shared" si="4"/>
        <v>kg N</v>
      </c>
      <c r="N230" s="57" t="str">
        <f>'Input - Swine'!$D$34</f>
        <v>Solid storage</v>
      </c>
      <c r="O230" s="57" t="str">
        <f>'Input - Swine'!$D$84</f>
        <v>Anaerobic lagoon</v>
      </c>
      <c r="P230" s="52" cm="1">
        <f t="array" ref="P230">MMS_Swine_ManureAppliedToSoils_Equations.VEERG_4_5_1_9__1_MassOfNitrogenAppliedToSoilsScope1(P38,_xlfn.XLOOKUP($E230,$D$105:$D$110,$E$105:$E$110), _xlfn.XLOOKUP($E230,$D$95:$D$100,$E$95:$E$100),P63,$F206)</f>
        <v>12.013245000000003</v>
      </c>
      <c r="Q230" s="52" cm="1">
        <f t="array" ref="Q230">MMS_Swine_ManureAppliedToSoils_Equations.VEERG_4_5_1_9__1_MassOfNitrogenAppliedToSoilsScope1(Q38,_xlfn.XLOOKUP($E230,$D$105:$D$110,$E$105:$E$110), _xlfn.XLOOKUP($E230,$D$95:$D$100,$E$95:$E$100),Q63,$F206)</f>
        <v>12.796717500000007</v>
      </c>
      <c r="R230" s="52" cm="1">
        <f t="array" ref="R230">MMS_Swine_ManureAppliedToSoils_Equations.VEERG_4_5_1_9__1_MassOfNitrogenAppliedToSoilsScope1(R38,_xlfn.XLOOKUP($E230,$D$105:$D$110,$E$105:$E$110), _xlfn.XLOOKUP($E230,$D$95:$D$100,$E$95:$E$100),R63,$F206)</f>
        <v>12.013245000000003</v>
      </c>
      <c r="S230" s="52" cm="1">
        <f t="array" ref="S230">MMS_Swine_ManureAppliedToSoils_Equations.VEERG_4_5_1_9__1_MassOfNitrogenAppliedToSoilsScope1(S38,_xlfn.XLOOKUP($E230,$D$105:$D$110,$E$105:$E$110), _xlfn.XLOOKUP($E230,$D$95:$D$100,$E$95:$E$100),S63,$F206)</f>
        <v>8.1481140000000032</v>
      </c>
      <c r="T230" s="2" t="str">
        <f t="shared" si="5"/>
        <v>kg N</v>
      </c>
    </row>
    <row r="231" spans="4:20" x14ac:dyDescent="0.25">
      <c r="D231" s="57"/>
      <c r="E231" s="57" t="str">
        <f>'Input - Swine'!$D$85</f>
        <v>Digester / covered lagoons</v>
      </c>
      <c r="F231" s="52" cm="1">
        <f t="array" ref="F231">MMS_Swine_ManureAppliedToSoils_Equations.VEERG_4_5_1_9__1_MassOfNitrogenAppliedToSoilsScope1(F39,_xlfn.XLOOKUP($E231,$D$105:$D$110,$E$105:$E$110), _xlfn.XLOOKUP($E231,$D$95:$D$100,$E$95:$E$100),F64,$F207)</f>
        <v>26.696100000000008</v>
      </c>
      <c r="G231" s="52" cm="1">
        <f t="array" ref="G231">MMS_Swine_ManureAppliedToSoils_Equations.VEERG_4_5_1_9__1_MassOfNitrogenAppliedToSoilsScope1(G39,_xlfn.XLOOKUP($E231,$D$105:$D$110,$E$105:$E$110), _xlfn.XLOOKUP($E231,$D$95:$D$100,$E$95:$E$100),G64,$F207)</f>
        <v>28.437150000000017</v>
      </c>
      <c r="H231" s="52" cm="1">
        <f t="array" ref="H231">MMS_Swine_ManureAppliedToSoils_Equations.VEERG_4_5_1_9__1_MassOfNitrogenAppliedToSoilsScope1(H39,_xlfn.XLOOKUP($E231,$D$105:$D$110,$E$105:$E$110), _xlfn.XLOOKUP($E231,$D$95:$D$100,$E$95:$E$100),H64,$F207)</f>
        <v>26.696100000000008</v>
      </c>
      <c r="I231" s="52" cm="1">
        <f t="array" ref="I231">MMS_Swine_ManureAppliedToSoils_Equations.VEERG_4_5_1_9__1_MassOfNitrogenAppliedToSoilsScope1(I39,_xlfn.XLOOKUP($E231,$D$105:$D$110,$E$105:$E$110), _xlfn.XLOOKUP($E231,$D$95:$D$100,$E$95:$E$100),I64,$F207)</f>
        <v>18.106920000000009</v>
      </c>
      <c r="J231" s="2" t="str">
        <f t="shared" si="4"/>
        <v>kg N</v>
      </c>
      <c r="N231" s="57"/>
      <c r="O231" s="57" t="str">
        <f>'Input - Swine'!$D$85</f>
        <v>Digester / covered lagoons</v>
      </c>
      <c r="P231" s="52" cm="1">
        <f t="array" ref="P231">MMS_Swine_ManureAppliedToSoils_Equations.VEERG_4_5_1_9__1_MassOfNitrogenAppliedToSoilsScope1(P39,_xlfn.XLOOKUP($E231,$D$105:$D$110,$E$105:$E$110), _xlfn.XLOOKUP($E231,$D$95:$D$100,$E$95:$E$100),P64,$F207)</f>
        <v>26.696100000000008</v>
      </c>
      <c r="Q231" s="52" cm="1">
        <f t="array" ref="Q231">MMS_Swine_ManureAppliedToSoils_Equations.VEERG_4_5_1_9__1_MassOfNitrogenAppliedToSoilsScope1(Q39,_xlfn.XLOOKUP($E231,$D$105:$D$110,$E$105:$E$110), _xlfn.XLOOKUP($E231,$D$95:$D$100,$E$95:$E$100),Q64,$F207)</f>
        <v>28.437150000000017</v>
      </c>
      <c r="R231" s="52" cm="1">
        <f t="array" ref="R231">MMS_Swine_ManureAppliedToSoils_Equations.VEERG_4_5_1_9__1_MassOfNitrogenAppliedToSoilsScope1(R39,_xlfn.XLOOKUP($E231,$D$105:$D$110,$E$105:$E$110), _xlfn.XLOOKUP($E231,$D$95:$D$100,$E$95:$E$100),R64,$F207)</f>
        <v>26.696100000000008</v>
      </c>
      <c r="S231" s="52" cm="1">
        <f t="array" ref="S231">MMS_Swine_ManureAppliedToSoils_Equations.VEERG_4_5_1_9__1_MassOfNitrogenAppliedToSoilsScope1(S39,_xlfn.XLOOKUP($E231,$D$105:$D$110,$E$105:$E$110), _xlfn.XLOOKUP($E231,$D$95:$D$100,$E$95:$E$100),S64,$F207)</f>
        <v>18.106920000000009</v>
      </c>
      <c r="T231" s="2" t="str">
        <f t="shared" si="5"/>
        <v>kg N</v>
      </c>
    </row>
    <row r="232" spans="4:20" x14ac:dyDescent="0.25">
      <c r="D232" s="57"/>
      <c r="E232" s="57" t="str">
        <f>'Input - Swine'!$D$86</f>
        <v>Deep litter</v>
      </c>
      <c r="F232" s="52" cm="1">
        <f t="array" ref="F232">MMS_Swine_ManureAppliedToSoils_Equations.VEERG_4_5_1_9__1_MassOfNitrogenAppliedToSoilsScope1(F40,_xlfn.XLOOKUP($E232,$D$105:$D$110,$E$105:$E$110), _xlfn.XLOOKUP($E232,$D$95:$D$100,$E$95:$E$100),F65,$F208)</f>
        <v>23.092126500000006</v>
      </c>
      <c r="G232" s="52" cm="1">
        <f t="array" ref="G232">MMS_Swine_ManureAppliedToSoils_Equations.VEERG_4_5_1_9__1_MassOfNitrogenAppliedToSoilsScope1(G40,_xlfn.XLOOKUP($E232,$D$105:$D$110,$E$105:$E$110), _xlfn.XLOOKUP($E232,$D$95:$D$100,$E$95:$E$100),G65,$F208)</f>
        <v>24.598134750000014</v>
      </c>
      <c r="H232" s="52" cm="1">
        <f t="array" ref="H232">MMS_Swine_ManureAppliedToSoils_Equations.VEERG_4_5_1_9__1_MassOfNitrogenAppliedToSoilsScope1(H40,_xlfn.XLOOKUP($E232,$D$105:$D$110,$E$105:$E$110), _xlfn.XLOOKUP($E232,$D$95:$D$100,$E$95:$E$100),H65,$F208)</f>
        <v>23.092126500000006</v>
      </c>
      <c r="I232" s="52" cm="1">
        <f t="array" ref="I232">MMS_Swine_ManureAppliedToSoils_Equations.VEERG_4_5_1_9__1_MassOfNitrogenAppliedToSoilsScope1(I40,_xlfn.XLOOKUP($E232,$D$105:$D$110,$E$105:$E$110), _xlfn.XLOOKUP($E232,$D$95:$D$100,$E$95:$E$100),I65,$F208)</f>
        <v>15.662485800000008</v>
      </c>
      <c r="J232" s="2" t="str">
        <f t="shared" si="4"/>
        <v>kg N</v>
      </c>
      <c r="N232" s="57"/>
      <c r="O232" s="57" t="str">
        <f>'Input - Swine'!$D$86</f>
        <v>Deep litter</v>
      </c>
      <c r="P232" s="52" cm="1">
        <f t="array" ref="P232">MMS_Swine_ManureAppliedToSoils_Equations.VEERG_4_5_1_9__1_MassOfNitrogenAppliedToSoilsScope1(P40,_xlfn.XLOOKUP($E232,$D$105:$D$110,$E$105:$E$110), _xlfn.XLOOKUP($E232,$D$95:$D$100,$E$95:$E$100),P65,$F208)</f>
        <v>23.092126500000006</v>
      </c>
      <c r="Q232" s="52" cm="1">
        <f t="array" ref="Q232">MMS_Swine_ManureAppliedToSoils_Equations.VEERG_4_5_1_9__1_MassOfNitrogenAppliedToSoilsScope1(Q40,_xlfn.XLOOKUP($E232,$D$105:$D$110,$E$105:$E$110), _xlfn.XLOOKUP($E232,$D$95:$D$100,$E$95:$E$100),Q65,$F208)</f>
        <v>24.598134750000014</v>
      </c>
      <c r="R232" s="52" cm="1">
        <f t="array" ref="R232">MMS_Swine_ManureAppliedToSoils_Equations.VEERG_4_5_1_9__1_MassOfNitrogenAppliedToSoilsScope1(R40,_xlfn.XLOOKUP($E232,$D$105:$D$110,$E$105:$E$110), _xlfn.XLOOKUP($E232,$D$95:$D$100,$E$95:$E$100),R65,$F208)</f>
        <v>23.092126500000006</v>
      </c>
      <c r="S232" s="52" cm="1">
        <f t="array" ref="S232">MMS_Swine_ManureAppliedToSoils_Equations.VEERG_4_5_1_9__1_MassOfNitrogenAppliedToSoilsScope1(S40,_xlfn.XLOOKUP($E232,$D$105:$D$110,$E$105:$E$110), _xlfn.XLOOKUP($E232,$D$95:$D$100,$E$95:$E$100),S65,$F208)</f>
        <v>15.662485800000008</v>
      </c>
      <c r="T232" s="2" t="str">
        <f t="shared" si="5"/>
        <v>kg N</v>
      </c>
    </row>
    <row r="233" spans="4:20" x14ac:dyDescent="0.25">
      <c r="D233" s="57"/>
      <c r="E233" s="57" t="str">
        <f>'Input - Swine'!$D$87</f>
        <v>Pit storage</v>
      </c>
      <c r="F233" s="52" cm="1">
        <f t="array" ref="F233">MMS_Swine_ManureAppliedToSoils_Equations.VEERG_4_5_1_9__1_MassOfNitrogenAppliedToSoilsScope1(F41,_xlfn.XLOOKUP($E233,$D$105:$D$110,$E$105:$E$110), _xlfn.XLOOKUP($E233,$D$95:$D$100,$E$95:$E$100),F66,$F209)</f>
        <v>9.9843414000000035</v>
      </c>
      <c r="G233" s="52" cm="1">
        <f t="array" ref="G233">MMS_Swine_ManureAppliedToSoils_Equations.VEERG_4_5_1_9__1_MassOfNitrogenAppliedToSoilsScope1(G41,_xlfn.XLOOKUP($E233,$D$105:$D$110,$E$105:$E$110), _xlfn.XLOOKUP($E233,$D$95:$D$100,$E$95:$E$100),G66,$F209)</f>
        <v>10.635494100000006</v>
      </c>
      <c r="H233" s="52" cm="1">
        <f t="array" ref="H233">MMS_Swine_ManureAppliedToSoils_Equations.VEERG_4_5_1_9__1_MassOfNitrogenAppliedToSoilsScope1(H41,_xlfn.XLOOKUP($E233,$D$105:$D$110,$E$105:$E$110), _xlfn.XLOOKUP($E233,$D$95:$D$100,$E$95:$E$100),H66,$F209)</f>
        <v>9.9843414000000035</v>
      </c>
      <c r="I233" s="52" cm="1">
        <f t="array" ref="I233">MMS_Swine_ManureAppliedToSoils_Equations.VEERG_4_5_1_9__1_MassOfNitrogenAppliedToSoilsScope1(I41,_xlfn.XLOOKUP($E233,$D$105:$D$110,$E$105:$E$110), _xlfn.XLOOKUP($E233,$D$95:$D$100,$E$95:$E$100),I66,$F209)</f>
        <v>6.7719880800000034</v>
      </c>
      <c r="J233" s="2" t="str">
        <f t="shared" si="4"/>
        <v>kg N</v>
      </c>
      <c r="N233" s="57"/>
      <c r="O233" s="57" t="str">
        <f>'Input - Swine'!$D$87</f>
        <v>Pit storage</v>
      </c>
      <c r="P233" s="52" cm="1">
        <f t="array" ref="P233">MMS_Swine_ManureAppliedToSoils_Equations.VEERG_4_5_1_9__1_MassOfNitrogenAppliedToSoilsScope1(P41,_xlfn.XLOOKUP($E233,$D$105:$D$110,$E$105:$E$110), _xlfn.XLOOKUP($E233,$D$95:$D$100,$E$95:$E$100),P66,$F209)</f>
        <v>9.9843414000000035</v>
      </c>
      <c r="Q233" s="52" cm="1">
        <f t="array" ref="Q233">MMS_Swine_ManureAppliedToSoils_Equations.VEERG_4_5_1_9__1_MassOfNitrogenAppliedToSoilsScope1(Q41,_xlfn.XLOOKUP($E233,$D$105:$D$110,$E$105:$E$110), _xlfn.XLOOKUP($E233,$D$95:$D$100,$E$95:$E$100),Q66,$F209)</f>
        <v>10.635494100000006</v>
      </c>
      <c r="R233" s="52" cm="1">
        <f t="array" ref="R233">MMS_Swine_ManureAppliedToSoils_Equations.VEERG_4_5_1_9__1_MassOfNitrogenAppliedToSoilsScope1(R41,_xlfn.XLOOKUP($E233,$D$105:$D$110,$E$105:$E$110), _xlfn.XLOOKUP($E233,$D$95:$D$100,$E$95:$E$100),R66,$F209)</f>
        <v>9.9843414000000035</v>
      </c>
      <c r="S233" s="52" cm="1">
        <f t="array" ref="S233">MMS_Swine_ManureAppliedToSoils_Equations.VEERG_4_5_1_9__1_MassOfNitrogenAppliedToSoilsScope1(S41,_xlfn.XLOOKUP($E233,$D$105:$D$110,$E$105:$E$110), _xlfn.XLOOKUP($E233,$D$95:$D$100,$E$95:$E$100),S66,$F209)</f>
        <v>6.7719880800000034</v>
      </c>
      <c r="T233" s="2" t="str">
        <f t="shared" si="5"/>
        <v>kg N</v>
      </c>
    </row>
    <row r="235" spans="4:20" ht="23.25" x14ac:dyDescent="0.25">
      <c r="D235" s="101" t="s">
        <v>385</v>
      </c>
      <c r="E235" s="102">
        <f>SUM(F214:I233)</f>
        <v>653.20846285499988</v>
      </c>
      <c r="F235" s="103" t="str">
        <f>$E$11</f>
        <v>kg N</v>
      </c>
      <c r="N235" s="101" t="s">
        <v>385</v>
      </c>
      <c r="O235" s="102">
        <f>SUM(P214:S233)</f>
        <v>653.20846285499988</v>
      </c>
      <c r="P235" s="103" t="str">
        <f>$E$11</f>
        <v>kg N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W452"/>
  <sheetViews>
    <sheetView showGridLines="0" zoomScale="85" zoomScaleNormal="85" workbookViewId="0">
      <selection activeCell="A19" sqref="A1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5" width="30.7109375" style="1" customWidth="1"/>
    <col min="6" max="6" width="31.140625" style="1" customWidth="1"/>
    <col min="7" max="7" width="32.5703125" style="1" customWidth="1"/>
    <col min="8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141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2"/>
    </row>
    <row r="5" spans="1:21" ht="20.100000000000001" customHeight="1" x14ac:dyDescent="0.25">
      <c r="A5" s="16"/>
      <c r="M5" s="1"/>
    </row>
    <row r="6" spans="1:21" ht="20.100000000000001" customHeight="1" x14ac:dyDescent="0.25">
      <c r="A6" s="20" t="s">
        <v>3</v>
      </c>
      <c r="D6" s="6" t="s">
        <v>323</v>
      </c>
      <c r="G6" s="6" t="s">
        <v>111</v>
      </c>
      <c r="M6" s="1"/>
    </row>
    <row r="7" spans="1:21" ht="20.100000000000001" customHeight="1" x14ac:dyDescent="0.25">
      <c r="A7" s="17" t="str">
        <f>HYPERLINK("#'Input - Site'!A1", "Site")</f>
        <v>Site</v>
      </c>
      <c r="M7" s="1"/>
    </row>
    <row r="8" spans="1:21" ht="20.100000000000001" customHeight="1" x14ac:dyDescent="0.25">
      <c r="A8" s="17" t="str">
        <f>HYPERLINK("#'Input - Swine'!A1", "Swine")</f>
        <v>Swine</v>
      </c>
      <c r="D8" s="37" t="s">
        <v>110</v>
      </c>
      <c r="G8" s="37" t="s">
        <v>109</v>
      </c>
      <c r="M8" s="1"/>
    </row>
    <row r="9" spans="1:21" ht="20.100000000000001" customHeight="1" x14ac:dyDescent="0.25">
      <c r="A9" s="17"/>
      <c r="D9" s="37" t="str">
        <f>'[1]Constants - Common'!$F$187</f>
        <v>Pasture</v>
      </c>
      <c r="G9" s="37" t="s">
        <v>112</v>
      </c>
      <c r="M9" s="1"/>
    </row>
    <row r="10" spans="1:21" ht="20.100000000000001" customHeight="1" x14ac:dyDescent="0.25">
      <c r="A10" s="19" t="s">
        <v>76</v>
      </c>
      <c r="D10" s="1" t="str">
        <f>'[1]Constants - Common'!$F$188</f>
        <v>Crop</v>
      </c>
      <c r="G10" s="37" t="s">
        <v>113</v>
      </c>
      <c r="M10" s="1"/>
    </row>
    <row r="11" spans="1:21" ht="20.100000000000001" customHeight="1" x14ac:dyDescent="0.25">
      <c r="A11" s="17" t="str">
        <f>HYPERLINK("#'4.5.1.1-2 Methane'!A1", "4.5.1.1-2 Methane")</f>
        <v>4.5.1.1-2 Methane</v>
      </c>
      <c r="G11" s="1" t="s">
        <v>114</v>
      </c>
      <c r="M11" s="1"/>
    </row>
    <row r="12" spans="1:21" ht="20.100000000000001" customHeight="1" x14ac:dyDescent="0.25">
      <c r="A12" s="17" t="str">
        <f>HYPERLINK("#'4.5.1.3-4 Direct N20'!A1", "4.5.1.3-4 Direct N2O")</f>
        <v>4.5.1.3-4 Direct N2O</v>
      </c>
      <c r="G12" s="1" t="s">
        <v>115</v>
      </c>
      <c r="M12" s="1"/>
    </row>
    <row r="13" spans="1:21" ht="20.100000000000001" customHeight="1" x14ac:dyDescent="0.25">
      <c r="A13" s="17" t="str">
        <f>HYPERLINK("#'4.5.1.5-6 Atmos Dep'!A1", "4.5.1.5-6 Soil atm. deposition")</f>
        <v>4.5.1.5-6 Soil atm. deposition</v>
      </c>
      <c r="G13" s="1" t="s">
        <v>116</v>
      </c>
      <c r="M13" s="1"/>
    </row>
    <row r="14" spans="1:21" ht="20.100000000000001" customHeight="1" x14ac:dyDescent="0.25">
      <c r="A14" s="17" t="str">
        <f>HYPERLINK("#'4.5.1.7-8 Leaching and runoff'!A1", "4.5.1.7-8 Leaching &amp; runoff")</f>
        <v>4.5.1.7-8 Leaching &amp; runoff</v>
      </c>
      <c r="D14" s="6" t="str" cm="1">
        <f t="array" ref="D14">SourceData_Swine.SourceData_Swine_FracLEACH_DrylotMMS_Title()</f>
        <v>Fraction of nitrogen lost through leaching and runoff for drylot MMS</v>
      </c>
      <c r="M14" s="1"/>
    </row>
    <row r="15" spans="1:21" ht="20.100000000000001" customHeight="1" x14ac:dyDescent="0.25">
      <c r="A15" s="17" t="str">
        <f>HYPERLINK("#'4.5.1.9 Manure applied to soils'!A1", "4.5.1.9 Manure applied to soils")</f>
        <v>4.5.1.9 Manure applied to soils</v>
      </c>
      <c r="D15" s="5" t="str" cm="1">
        <f t="array" ref="D15">SourceData_Swine.SourceData_Swine_FracLEACH_DrylotMMS_Source()</f>
        <v>VEERG 2026: 4.5.2.3 CONSTANT</v>
      </c>
      <c r="M15" s="1"/>
    </row>
    <row r="16" spans="1:21" ht="20.100000000000001" customHeight="1" x14ac:dyDescent="0.25">
      <c r="D16" s="55" t="str" cm="1">
        <f t="array" ref="D16">SourceData_Swine.SourceData_Swine_FracLEACH_DrylotMMS_Variation()</f>
        <v>VARIATION ON SOURCE: Text refers to 'solid storage' MMS, but equation refers to 'drylot' MMS.</v>
      </c>
      <c r="M16" s="1"/>
    </row>
    <row r="17" spans="1:13" ht="20.100000000000001" customHeight="1" x14ac:dyDescent="0.25">
      <c r="A17" s="18" t="s">
        <v>4</v>
      </c>
      <c r="D17" s="53" t="str" cm="1">
        <f t="array" ref="D17">SourceData_Swine.SourceData_Swine_FracLEACH_DrylotMMS_Variable()</f>
        <v>FracLEACH_MS</v>
      </c>
      <c r="E17" s="1" cm="1">
        <f t="array" ref="E17">SourceData_Swine.SourceData_Swine_FracLEACH_DrylotMMS_Data()</f>
        <v>0.02</v>
      </c>
      <c r="F17" s="54" t="str" cm="1">
        <f t="array" ref="F17">SourceData_Swine.SourceData_Swine_FracLEACH_DrylotMMS_Unit()</f>
        <v>fraction</v>
      </c>
      <c r="M17" s="1"/>
    </row>
    <row r="18" spans="1:13" ht="20.100000000000001" customHeight="1" x14ac:dyDescent="0.25">
      <c r="A18" s="141" t="str">
        <f>HYPERLINK("#'Constants - Swine'!A1", "Constants - Swine")</f>
        <v>Constants - Swine</v>
      </c>
      <c r="M18" s="1"/>
    </row>
    <row r="19" spans="1:13" ht="20.100000000000001" customHeight="1" x14ac:dyDescent="0.25">
      <c r="A19" s="17" t="str">
        <f>HYPERLINK("#'Constants - Livestock'!A1", "Constants - Livestock")</f>
        <v>Constants - Livestock</v>
      </c>
      <c r="D19" s="6" t="str" cm="1">
        <f t="array" ref="D19">SourceData_Swine.SourceData_Swine_MethaneVolatileSolidsEmissionsPotential_Title()</f>
        <v>Emissions potential of methane per kilogram of volatile solids</v>
      </c>
      <c r="M19" s="1"/>
    </row>
    <row r="20" spans="1:13" ht="20.100000000000001" customHeight="1" x14ac:dyDescent="0.25">
      <c r="A20" s="17" t="str">
        <f>HYPERLINK("#'Constants - Common'!A1", "Constants - Common")</f>
        <v>Constants - Common</v>
      </c>
      <c r="D20" s="5" t="str" cm="1">
        <f t="array" ref="D20">SourceData_Swine.SourceData_Swine_MethaneVolatileSolidsEmissionsPotential_Source()</f>
        <v>IPCC (2019), Chapter 10 [4]</v>
      </c>
      <c r="M20" s="1"/>
    </row>
    <row r="21" spans="1:13" ht="20.100000000000001" customHeight="1" x14ac:dyDescent="0.25">
      <c r="A21" s="17" t="str">
        <f>HYPERLINK("#'Acknowledgements'!A1", "Acknowledgements")</f>
        <v>Acknowledgements</v>
      </c>
      <c r="D21" s="53" t="str" cm="1">
        <f t="array" ref="D21">SourceData_Swine.SourceData_Swine_MethaneVolatileSolidsEmissionsPotential_Variable()</f>
        <v>B0</v>
      </c>
      <c r="E21" s="1" cm="1">
        <f t="array" ref="E21">SourceData_Swine.SourceData_Swine_MethaneVolatileSolidsEmissionsPotential_Data()</f>
        <v>0.19</v>
      </c>
      <c r="F21" s="54" t="str" cm="1">
        <f t="array" ref="F21">SourceData_Swine.SourceData_Swine_MethaneVolatileSolidsEmissionsPotential_Unit()</f>
        <v>m3 CH4 / kg VS</v>
      </c>
      <c r="M21" s="1"/>
    </row>
    <row r="22" spans="1:13" ht="20.100000000000001" customHeight="1" x14ac:dyDescent="0.25">
      <c r="M22" s="1"/>
    </row>
    <row r="23" spans="1:13" ht="20.100000000000001" customHeight="1" x14ac:dyDescent="0.25">
      <c r="A23" s="17"/>
      <c r="M23" s="1"/>
    </row>
    <row r="24" spans="1:13" ht="20.100000000000001" customHeight="1" x14ac:dyDescent="0.25">
      <c r="A24" s="17"/>
      <c r="D24" s="6" t="str" cm="1">
        <f t="array" ref="D24">SourceData_Swine.SourceData_Swine_MMS_MCFs_Title()</f>
        <v>Methane conversion factor for temperature zone and manure management system.</v>
      </c>
      <c r="H24" s="107" t="s">
        <v>154</v>
      </c>
      <c r="M24" s="1"/>
    </row>
    <row r="25" spans="1:13" ht="20.100000000000001" customHeight="1" x14ac:dyDescent="0.25">
      <c r="D25" s="5" t="str" cm="1">
        <f t="array" ref="D25">SourceData_Swine.SourceData_Swine_MMS_MCFs_Source()</f>
        <v>VEERG 2026: Table A.1.6.4: Swine - MCFs (MCFim)</v>
      </c>
      <c r="H25" s="107" t="s">
        <v>155</v>
      </c>
      <c r="M25" s="1"/>
    </row>
    <row r="26" spans="1:13" ht="20.100000000000001" customHeight="1" x14ac:dyDescent="0.25">
      <c r="D26" s="55" t="str" cm="1">
        <f t="array" ref="D26">SourceData_Swine.SourceData_Swine_MMS_MCFs_Variation()</f>
        <v>VARIATION ON SOURCE DATA: Added columns for ACT, split QLD and NT. Added extra column with MMS names that match NIR definitions</v>
      </c>
      <c r="M26" s="1"/>
    </row>
    <row r="27" spans="1:13" ht="20.100000000000001" customHeight="1" x14ac:dyDescent="0.25">
      <c r="M27" s="1"/>
    </row>
    <row r="28" spans="1:13" ht="20.100000000000001" customHeight="1" x14ac:dyDescent="0.25">
      <c r="D28" s="37" t="s">
        <v>67</v>
      </c>
      <c r="E28" s="37" t="s">
        <v>83</v>
      </c>
      <c r="F28" s="37" t="s">
        <v>82</v>
      </c>
      <c r="G28" s="37" t="s">
        <v>85</v>
      </c>
      <c r="H28" s="37" t="s">
        <v>84</v>
      </c>
      <c r="I28" s="37" t="s">
        <v>86</v>
      </c>
      <c r="J28" s="37" t="s">
        <v>87</v>
      </c>
      <c r="K28" s="37" t="s">
        <v>88</v>
      </c>
      <c r="L28" s="37" t="s">
        <v>89</v>
      </c>
      <c r="M28" s="37" t="s">
        <v>156</v>
      </c>
    </row>
    <row r="29" spans="1:13" ht="20.100000000000001" customHeight="1" x14ac:dyDescent="0.25">
      <c r="D29" s="37" t="str" cm="1">
        <f t="array" ref="D29">Common_InputFunctions.Utility_DisplayArrayInTable(SourceData_Swine.SourceData_Swine_MMS_MCFs_Data(),Table_SourceData_Swine_MMSMCF[[#Headers],[MMS]],0)</f>
        <v>Outdoor (Dry lot)</v>
      </c>
      <c r="E29" s="37" cm="1">
        <f t="array" ref="E29">Common_InputFunctions.Utility_DisplayArrayInTable(SourceData_Swine.SourceData_Swine_MMS_MCFs_Data(),Table_SourceData_Swine_MMSMCF[[#Headers],[MMS]],0)</f>
        <v>0.01</v>
      </c>
      <c r="F29" s="37" cm="1">
        <f t="array" ref="F29">Common_InputFunctions.Utility_DisplayArrayInTable(SourceData_Swine.SourceData_Swine_MMS_MCFs_Data(),Table_SourceData_Swine_MMSMCF[[#Headers],[MMS]],0)</f>
        <v>0.01</v>
      </c>
      <c r="G29" s="37" cm="1">
        <f t="array" ref="G29">Common_InputFunctions.Utility_DisplayArrayInTable(SourceData_Swine.SourceData_Swine_MMS_MCFs_Data(),Table_SourceData_Swine_MMSMCF[[#Headers],[MMS]],0)</f>
        <v>0.03</v>
      </c>
      <c r="H29" s="37" cm="1">
        <f t="array" ref="H29">Common_InputFunctions.Utility_DisplayArrayInTable(SourceData_Swine.SourceData_Swine_MMS_MCFs_Data(),Table_SourceData_Swine_MMSMCF[[#Headers],[MMS]],0)</f>
        <v>0.03</v>
      </c>
      <c r="I29" s="37" cm="1">
        <f t="array" ref="I29">Common_InputFunctions.Utility_DisplayArrayInTable(SourceData_Swine.SourceData_Swine_MMS_MCFs_Data(),Table_SourceData_Swine_MMSMCF[[#Headers],[MMS]],0)</f>
        <v>0.01</v>
      </c>
      <c r="J29" s="37" cm="1">
        <f t="array" ref="J29">Common_InputFunctions.Utility_DisplayArrayInTable(SourceData_Swine.SourceData_Swine_MMS_MCFs_Data(),Table_SourceData_Swine_MMSMCF[[#Headers],[MMS]],0)</f>
        <v>0.01</v>
      </c>
      <c r="K29" s="37" cm="1">
        <f t="array" ref="K29">Common_InputFunctions.Utility_DisplayArrayInTable(SourceData_Swine.SourceData_Swine_MMS_MCFs_Data(),Table_SourceData_Swine_MMSMCF[[#Headers],[MMS]],0)</f>
        <v>0.01</v>
      </c>
      <c r="L29" s="37" cm="1">
        <f t="array" ref="L29">Common_InputFunctions.Utility_DisplayArrayInTable(SourceData_Swine.SourceData_Swine_MMS_MCFs_Data(),Table_SourceData_Swine_MMSMCF[[#Headers],[MMS]],0)</f>
        <v>0.01</v>
      </c>
      <c r="M29" s="37" t="str" cm="1">
        <f t="array" ref="M29">Common_InputFunctions.Utility_DisplayArrayInTable(SourceData_Swine.SourceData_Swine_MMS_MCFs_Data(),Table_SourceData_Swine_MMSMCF[[#Headers],[MMS]],0)</f>
        <v>Drylot (feed pad)</v>
      </c>
    </row>
    <row r="30" spans="1:13" ht="20.100000000000001" customHeight="1" x14ac:dyDescent="0.25">
      <c r="D30" s="1" t="str" cm="1">
        <f t="array" ref="D30">Common_InputFunctions.Utility_DisplayArrayInTable(SourceData_Swine.SourceData_Swine_MMS_MCFs_Data(),Table_SourceData_Swine_MMSMCF[[#Headers],[MMS]],0)</f>
        <v>Deep litter</v>
      </c>
      <c r="E30" s="37" cm="1">
        <f t="array" ref="E30">Common_InputFunctions.Utility_DisplayArrayInTable(SourceData_Swine.SourceData_Swine_MMS_MCFs_Data(),Table_SourceData_Swine_MMSMCF[[#Headers],[MMS]],0)</f>
        <v>0.04</v>
      </c>
      <c r="F30" s="37" cm="1">
        <f t="array" ref="F30">Common_InputFunctions.Utility_DisplayArrayInTable(SourceData_Swine.SourceData_Swine_MMS_MCFs_Data(),Table_SourceData_Swine_MMSMCF[[#Headers],[MMS]],0)</f>
        <v>0.04</v>
      </c>
      <c r="G30" s="37" cm="1">
        <f t="array" ref="G30">Common_InputFunctions.Utility_DisplayArrayInTable(SourceData_Swine.SourceData_Swine_MMS_MCFs_Data(),Table_SourceData_Swine_MMSMCF[[#Headers],[MMS]],0)</f>
        <v>0.04</v>
      </c>
      <c r="H30" s="37" cm="1">
        <f t="array" ref="H30">Common_InputFunctions.Utility_DisplayArrayInTable(SourceData_Swine.SourceData_Swine_MMS_MCFs_Data(),Table_SourceData_Swine_MMSMCF[[#Headers],[MMS]],0)</f>
        <v>0.04</v>
      </c>
      <c r="I30" s="37" cm="1">
        <f t="array" ref="I30">Common_InputFunctions.Utility_DisplayArrayInTable(SourceData_Swine.SourceData_Swine_MMS_MCFs_Data(),Table_SourceData_Swine_MMSMCF[[#Headers],[MMS]],0)</f>
        <v>0.04</v>
      </c>
      <c r="J30" s="37" cm="1">
        <f t="array" ref="J30">Common_InputFunctions.Utility_DisplayArrayInTable(SourceData_Swine.SourceData_Swine_MMS_MCFs_Data(),Table_SourceData_Swine_MMSMCF[[#Headers],[MMS]],0)</f>
        <v>0.04</v>
      </c>
      <c r="K30" s="37" cm="1">
        <f t="array" ref="K30">Common_InputFunctions.Utility_DisplayArrayInTable(SourceData_Swine.SourceData_Swine_MMS_MCFs_Data(),Table_SourceData_Swine_MMSMCF[[#Headers],[MMS]],0)</f>
        <v>0.04</v>
      </c>
      <c r="L30" s="37" cm="1">
        <f t="array" ref="L30">Common_InputFunctions.Utility_DisplayArrayInTable(SourceData_Swine.SourceData_Swine_MMS_MCFs_Data(),Table_SourceData_Swine_MMSMCF[[#Headers],[MMS]],0)</f>
        <v>0.04</v>
      </c>
      <c r="M30" s="37" t="str" cm="1">
        <f t="array" ref="M30">Common_InputFunctions.Utility_DisplayArrayInTable(SourceData_Swine.SourceData_Swine_MMS_MCFs_Data(),Table_SourceData_Swine_MMSMCF[[#Headers],[MMS]],0)</f>
        <v>Deep litter</v>
      </c>
    </row>
    <row r="31" spans="1:13" ht="20.100000000000001" customHeight="1" x14ac:dyDescent="0.25">
      <c r="D31" s="1" t="str" cm="1">
        <f t="array" ref="D31">Common_InputFunctions.Utility_DisplayArrayInTable(SourceData_Swine.SourceData_Swine_MMS_MCFs_Data(),Table_SourceData_Swine_MMSMCF[[#Headers],[MMS]],0)</f>
        <v>Stockpile (Solid storage)</v>
      </c>
      <c r="E31" s="37" cm="1">
        <f t="array" ref="E31">Common_InputFunctions.Utility_DisplayArrayInTable(SourceData_Swine.SourceData_Swine_MMS_MCFs_Data(),Table_SourceData_Swine_MMSMCF[[#Headers],[MMS]],0)</f>
        <v>0.02</v>
      </c>
      <c r="F31" s="37" cm="1">
        <f t="array" ref="F31">Common_InputFunctions.Utility_DisplayArrayInTable(SourceData_Swine.SourceData_Swine_MMS_MCFs_Data(),Table_SourceData_Swine_MMSMCF[[#Headers],[MMS]],0)</f>
        <v>0.02</v>
      </c>
      <c r="G31" s="37" cm="1">
        <f t="array" ref="G31">Common_InputFunctions.Utility_DisplayArrayInTable(SourceData_Swine.SourceData_Swine_MMS_MCFs_Data(),Table_SourceData_Swine_MMSMCF[[#Headers],[MMS]],0)</f>
        <v>0.02</v>
      </c>
      <c r="H31" s="37" cm="1">
        <f t="array" ref="H31">Common_InputFunctions.Utility_DisplayArrayInTable(SourceData_Swine.SourceData_Swine_MMS_MCFs_Data(),Table_SourceData_Swine_MMSMCF[[#Headers],[MMS]],0)</f>
        <v>0.02</v>
      </c>
      <c r="I31" s="37" cm="1">
        <f t="array" ref="I31">Common_InputFunctions.Utility_DisplayArrayInTable(SourceData_Swine.SourceData_Swine_MMS_MCFs_Data(),Table_SourceData_Swine_MMSMCF[[#Headers],[MMS]],0)</f>
        <v>0.02</v>
      </c>
      <c r="J31" s="37" cm="1">
        <f t="array" ref="J31">Common_InputFunctions.Utility_DisplayArrayInTable(SourceData_Swine.SourceData_Swine_MMS_MCFs_Data(),Table_SourceData_Swine_MMSMCF[[#Headers],[MMS]],0)</f>
        <v>0.02</v>
      </c>
      <c r="K31" s="37" cm="1">
        <f t="array" ref="K31">Common_InputFunctions.Utility_DisplayArrayInTable(SourceData_Swine.SourceData_Swine_MMS_MCFs_Data(),Table_SourceData_Swine_MMSMCF[[#Headers],[MMS]],0)</f>
        <v>0.02</v>
      </c>
      <c r="L31" s="37" cm="1">
        <f t="array" ref="L31">Common_InputFunctions.Utility_DisplayArrayInTable(SourceData_Swine.SourceData_Swine_MMS_MCFs_Data(),Table_SourceData_Swine_MMSMCF[[#Headers],[MMS]],0)</f>
        <v>0.02</v>
      </c>
      <c r="M31" s="37" t="str" cm="1">
        <f t="array" ref="M31">Common_InputFunctions.Utility_DisplayArrayInTable(SourceData_Swine.SourceData_Swine_MMS_MCFs_Data(),Table_SourceData_Swine_MMSMCF[[#Headers],[MMS]],0)</f>
        <v>Solid storage</v>
      </c>
    </row>
    <row r="32" spans="1:13" ht="20.100000000000001" customHeight="1" x14ac:dyDescent="0.25">
      <c r="D32" s="1" t="str" cm="1">
        <f t="array" ref="D32">Common_InputFunctions.Utility_DisplayArrayInTable(SourceData_Swine.SourceData_Swine_MMS_MCFs_Data(),Table_SourceData_Swine_MMSMCF[[#Headers],[MMS]],0)</f>
        <v>Effluent pond (Uncovered anaerobic lagoon)</v>
      </c>
      <c r="E32" s="37" cm="1">
        <f t="array" ref="E32">Common_InputFunctions.Utility_DisplayArrayInTable(SourceData_Swine.SourceData_Swine_MMS_MCFs_Data(),Table_SourceData_Swine_MMSMCF[[#Headers],[MMS]],0)</f>
        <v>0.75</v>
      </c>
      <c r="F32" s="37" cm="1">
        <f t="array" ref="F32">Common_InputFunctions.Utility_DisplayArrayInTable(SourceData_Swine.SourceData_Swine_MMS_MCFs_Data(),Table_SourceData_Swine_MMSMCF[[#Headers],[MMS]],0)</f>
        <v>0.75</v>
      </c>
      <c r="G32" s="37" cm="1">
        <f t="array" ref="G32">Common_InputFunctions.Utility_DisplayArrayInTable(SourceData_Swine.SourceData_Swine_MMS_MCFs_Data(),Table_SourceData_Swine_MMSMCF[[#Headers],[MMS]],0)</f>
        <v>0.78</v>
      </c>
      <c r="H32" s="37" cm="1">
        <f t="array" ref="H32">Common_InputFunctions.Utility_DisplayArrayInTable(SourceData_Swine.SourceData_Swine_MMS_MCFs_Data(),Table_SourceData_Swine_MMSMCF[[#Headers],[MMS]],0)</f>
        <v>0.78</v>
      </c>
      <c r="I32" s="37" cm="1">
        <f t="array" ref="I32">Common_InputFunctions.Utility_DisplayArrayInTable(SourceData_Swine.SourceData_Swine_MMS_MCFs_Data(),Table_SourceData_Swine_MMSMCF[[#Headers],[MMS]],0)</f>
        <v>0.75</v>
      </c>
      <c r="J32" s="37" cm="1">
        <f t="array" ref="J32">Common_InputFunctions.Utility_DisplayArrayInTable(SourceData_Swine.SourceData_Swine_MMS_MCFs_Data(),Table_SourceData_Swine_MMSMCF[[#Headers],[MMS]],0)</f>
        <v>0.7</v>
      </c>
      <c r="K32" s="37" cm="1">
        <f t="array" ref="K32">Common_InputFunctions.Utility_DisplayArrayInTable(SourceData_Swine.SourceData_Swine_MMS_MCFs_Data(),Table_SourceData_Swine_MMSMCF[[#Headers],[MMS]],0)</f>
        <v>0.74</v>
      </c>
      <c r="L32" s="37" cm="1">
        <f t="array" ref="L32">Common_InputFunctions.Utility_DisplayArrayInTable(SourceData_Swine.SourceData_Swine_MMS_MCFs_Data(),Table_SourceData_Swine_MMSMCF[[#Headers],[MMS]],0)</f>
        <v>0.76</v>
      </c>
      <c r="M32" s="37" t="str" cm="1">
        <f t="array" ref="M32">Common_InputFunctions.Utility_DisplayArrayInTable(SourceData_Swine.SourceData_Swine_MMS_MCFs_Data(),Table_SourceData_Swine_MMSMCF[[#Headers],[MMS]],0)</f>
        <v>Anaerobic lagoon</v>
      </c>
    </row>
    <row r="33" spans="4:13" ht="20.100000000000001" customHeight="1" x14ac:dyDescent="0.25">
      <c r="D33" s="1" t="str" cm="1">
        <f t="array" ref="D33">Common_InputFunctions.Utility_DisplayArrayInTable(SourceData_Swine.SourceData_Swine_MMS_MCFs_Data(),Table_SourceData_Swine_MMSMCF[[#Headers],[MMS]],0)</f>
        <v>Anaerobic digester / Covered lagoon</v>
      </c>
      <c r="E33" s="37" cm="1">
        <f t="array" ref="E33">Common_InputFunctions.Utility_DisplayArrayInTable(SourceData_Swine.SourceData_Swine_MMS_MCFs_Data(),Table_SourceData_Swine_MMSMCF[[#Headers],[MMS]],0)</f>
        <v>0.1</v>
      </c>
      <c r="F33" s="37" cm="1">
        <f t="array" ref="F33">Common_InputFunctions.Utility_DisplayArrayInTable(SourceData_Swine.SourceData_Swine_MMS_MCFs_Data(),Table_SourceData_Swine_MMSMCF[[#Headers],[MMS]],0)</f>
        <v>0.1</v>
      </c>
      <c r="G33" s="37" cm="1">
        <f t="array" ref="G33">Common_InputFunctions.Utility_DisplayArrayInTable(SourceData_Swine.SourceData_Swine_MMS_MCFs_Data(),Table_SourceData_Swine_MMSMCF[[#Headers],[MMS]],0)</f>
        <v>0.1</v>
      </c>
      <c r="H33" s="37" cm="1">
        <f t="array" ref="H33">Common_InputFunctions.Utility_DisplayArrayInTable(SourceData_Swine.SourceData_Swine_MMS_MCFs_Data(),Table_SourceData_Swine_MMSMCF[[#Headers],[MMS]],0)</f>
        <v>0.1</v>
      </c>
      <c r="I33" s="37" cm="1">
        <f t="array" ref="I33">Common_InputFunctions.Utility_DisplayArrayInTable(SourceData_Swine.SourceData_Swine_MMS_MCFs_Data(),Table_SourceData_Swine_MMSMCF[[#Headers],[MMS]],0)</f>
        <v>0.1</v>
      </c>
      <c r="J33" s="37" cm="1">
        <f t="array" ref="J33">Common_InputFunctions.Utility_DisplayArrayInTable(SourceData_Swine.SourceData_Swine_MMS_MCFs_Data(),Table_SourceData_Swine_MMSMCF[[#Headers],[MMS]],0)</f>
        <v>0.1</v>
      </c>
      <c r="K33" s="37" cm="1">
        <f t="array" ref="K33">Common_InputFunctions.Utility_DisplayArrayInTable(SourceData_Swine.SourceData_Swine_MMS_MCFs_Data(),Table_SourceData_Swine_MMSMCF[[#Headers],[MMS]],0)</f>
        <v>0.1</v>
      </c>
      <c r="L33" s="37" cm="1">
        <f t="array" ref="L33">Common_InputFunctions.Utility_DisplayArrayInTable(SourceData_Swine.SourceData_Swine_MMS_MCFs_Data(),Table_SourceData_Swine_MMSMCF[[#Headers],[MMS]],0)</f>
        <v>0.1</v>
      </c>
      <c r="M33" s="37" t="str" cm="1">
        <f t="array" ref="M33">Common_InputFunctions.Utility_DisplayArrayInTable(SourceData_Swine.SourceData_Swine_MMS_MCFs_Data(),Table_SourceData_Swine_MMSMCF[[#Headers],[MMS]],0)</f>
        <v>Digester / covered lagoons</v>
      </c>
    </row>
    <row r="34" spans="4:13" ht="20.100000000000001" customHeight="1" x14ac:dyDescent="0.25">
      <c r="D34" s="1" t="str" cm="1">
        <f t="array" ref="D34">Common_InputFunctions.Utility_DisplayArrayInTable(SourceData_Swine.SourceData_Swine_MMS_MCFs_Data(),Table_SourceData_Swine_MMSMCF[[#Headers],[MMS]],0)</f>
        <v>Short HRT tank storage &lt; 1 month (pit storage)</v>
      </c>
      <c r="E34" s="37" cm="1">
        <f t="array" ref="E34">Common_InputFunctions.Utility_DisplayArrayInTable(SourceData_Swine.SourceData_Swine_MMS_MCFs_Data(),Table_SourceData_Swine_MMSMCF[[#Headers],[MMS]],0)</f>
        <v>0.03</v>
      </c>
      <c r="F34" s="37" cm="1">
        <f t="array" ref="F34">Common_InputFunctions.Utility_DisplayArrayInTable(SourceData_Swine.SourceData_Swine_MMS_MCFs_Data(),Table_SourceData_Swine_MMSMCF[[#Headers],[MMS]],0)</f>
        <v>0.03</v>
      </c>
      <c r="G34" s="37" cm="1">
        <f t="array" ref="G34">Common_InputFunctions.Utility_DisplayArrayInTable(SourceData_Swine.SourceData_Swine_MMS_MCFs_Data(),Table_SourceData_Swine_MMSMCF[[#Headers],[MMS]],0)</f>
        <v>0.03</v>
      </c>
      <c r="H34" s="37" cm="1">
        <f t="array" ref="H34">Common_InputFunctions.Utility_DisplayArrayInTable(SourceData_Swine.SourceData_Swine_MMS_MCFs_Data(),Table_SourceData_Swine_MMSMCF[[#Headers],[MMS]],0)</f>
        <v>0.03</v>
      </c>
      <c r="I34" s="37" cm="1">
        <f t="array" ref="I34">Common_InputFunctions.Utility_DisplayArrayInTable(SourceData_Swine.SourceData_Swine_MMS_MCFs_Data(),Table_SourceData_Swine_MMSMCF[[#Headers],[MMS]],0)</f>
        <v>0.03</v>
      </c>
      <c r="J34" s="37" cm="1">
        <f t="array" ref="J34">Common_InputFunctions.Utility_DisplayArrayInTable(SourceData_Swine.SourceData_Swine_MMS_MCFs_Data(),Table_SourceData_Swine_MMSMCF[[#Headers],[MMS]],0)</f>
        <v>0.03</v>
      </c>
      <c r="K34" s="37" cm="1">
        <f t="array" ref="K34">Common_InputFunctions.Utility_DisplayArrayInTable(SourceData_Swine.SourceData_Swine_MMS_MCFs_Data(),Table_SourceData_Swine_MMSMCF[[#Headers],[MMS]],0)</f>
        <v>0.03</v>
      </c>
      <c r="L34" s="37" cm="1">
        <f t="array" ref="L34">Common_InputFunctions.Utility_DisplayArrayInTable(SourceData_Swine.SourceData_Swine_MMS_MCFs_Data(),Table_SourceData_Swine_MMSMCF[[#Headers],[MMS]],0)</f>
        <v>0.03</v>
      </c>
      <c r="M34" s="37" t="str" cm="1">
        <f t="array" ref="M34">Common_InputFunctions.Utility_DisplayArrayInTable(SourceData_Swine.SourceData_Swine_MMS_MCFs_Data(),Table_SourceData_Swine_MMSMCF[[#Headers],[MMS]],0)</f>
        <v>Pit storage</v>
      </c>
    </row>
    <row r="35" spans="4:13" ht="20.100000000000001" customHeight="1" x14ac:dyDescent="0.25">
      <c r="D35" s="1" t="str" cm="1">
        <f t="array" ref="D35">Common_InputFunctions.Utility_DisplayArrayInTable(SourceData_Swine.SourceData_Swine_MMS_MCFs_Data(),Table_SourceData_Swine_MMSMCF[[#Headers],[MMS]],0)</f>
        <v>Direct Application to soil</v>
      </c>
      <c r="E35" s="37" cm="1">
        <f t="array" ref="E35">Common_InputFunctions.Utility_DisplayArrayInTable(SourceData_Swine.SourceData_Swine_MMS_MCFs_Data(),Table_SourceData_Swine_MMSMCF[[#Headers],[MMS]],0)</f>
        <v>0</v>
      </c>
      <c r="F35" s="37" cm="1">
        <f t="array" ref="F35">Common_InputFunctions.Utility_DisplayArrayInTable(SourceData_Swine.SourceData_Swine_MMS_MCFs_Data(),Table_SourceData_Swine_MMSMCF[[#Headers],[MMS]],0)</f>
        <v>0</v>
      </c>
      <c r="G35" s="37" cm="1">
        <f t="array" ref="G35">Common_InputFunctions.Utility_DisplayArrayInTable(SourceData_Swine.SourceData_Swine_MMS_MCFs_Data(),Table_SourceData_Swine_MMSMCF[[#Headers],[MMS]],0)</f>
        <v>0</v>
      </c>
      <c r="H35" s="37" cm="1">
        <f t="array" ref="H35">Common_InputFunctions.Utility_DisplayArrayInTable(SourceData_Swine.SourceData_Swine_MMS_MCFs_Data(),Table_SourceData_Swine_MMSMCF[[#Headers],[MMS]],0)</f>
        <v>0</v>
      </c>
      <c r="I35" s="37" cm="1">
        <f t="array" ref="I35">Common_InputFunctions.Utility_DisplayArrayInTable(SourceData_Swine.SourceData_Swine_MMS_MCFs_Data(),Table_SourceData_Swine_MMSMCF[[#Headers],[MMS]],0)</f>
        <v>0</v>
      </c>
      <c r="J35" s="37" cm="1">
        <f t="array" ref="J35">Common_InputFunctions.Utility_DisplayArrayInTable(SourceData_Swine.SourceData_Swine_MMS_MCFs_Data(),Table_SourceData_Swine_MMSMCF[[#Headers],[MMS]],0)</f>
        <v>0</v>
      </c>
      <c r="K35" s="37" cm="1">
        <f t="array" ref="K35">Common_InputFunctions.Utility_DisplayArrayInTable(SourceData_Swine.SourceData_Swine_MMS_MCFs_Data(),Table_SourceData_Swine_MMSMCF[[#Headers],[MMS]],0)</f>
        <v>0</v>
      </c>
      <c r="L35" s="37" cm="1">
        <f t="array" ref="L35">Common_InputFunctions.Utility_DisplayArrayInTable(SourceData_Swine.SourceData_Swine_MMS_MCFs_Data(),Table_SourceData_Swine_MMSMCF[[#Headers],[MMS]],0)</f>
        <v>0</v>
      </c>
      <c r="M35" s="37" t="str" cm="1">
        <f t="array" ref="M35">Common_InputFunctions.Utility_DisplayArrayInTable(SourceData_Swine.SourceData_Swine_MMS_MCFs_Data(),Table_SourceData_Swine_MMSMCF[[#Headers],[MMS]],0)</f>
        <v>Direct application</v>
      </c>
    </row>
    <row r="36" spans="4:13" ht="20.100000000000001" customHeight="1" x14ac:dyDescent="0.25">
      <c r="M36" s="1"/>
    </row>
    <row r="37" spans="4:13" ht="20.100000000000001" customHeight="1" x14ac:dyDescent="0.25">
      <c r="M37" s="1"/>
    </row>
    <row r="38" spans="4:13" ht="20.100000000000001" customHeight="1" x14ac:dyDescent="0.25">
      <c r="D38" s="6" t="s">
        <v>157</v>
      </c>
      <c r="G38" s="6" t="s">
        <v>158</v>
      </c>
      <c r="K38" s="6" t="s">
        <v>159</v>
      </c>
      <c r="M38" s="1"/>
    </row>
    <row r="39" spans="4:13" ht="20.100000000000001" customHeight="1" x14ac:dyDescent="0.25">
      <c r="M39" s="1"/>
    </row>
    <row r="40" spans="4:13" ht="20.100000000000001" customHeight="1" x14ac:dyDescent="0.25">
      <c r="D40" s="120" t="s">
        <v>67</v>
      </c>
      <c r="E40" s="37" t="s">
        <v>81</v>
      </c>
      <c r="G40" s="120" t="s">
        <v>67</v>
      </c>
      <c r="H40" s="37" t="s">
        <v>81</v>
      </c>
      <c r="K40" s="120" t="s">
        <v>67</v>
      </c>
      <c r="L40" s="37" t="s">
        <v>81</v>
      </c>
      <c r="M40" s="1"/>
    </row>
    <row r="41" spans="4:13" ht="20.100000000000001" customHeight="1" x14ac:dyDescent="0.25">
      <c r="D41" s="37" t="str">
        <f>'Constants - Livestock'!$E$10</f>
        <v>Anaerobic lagoon</v>
      </c>
      <c r="E41" s="37" t="str">
        <f>'Constants - Livestock'!$F$10</f>
        <v>Anaerobic lagoon (m=1)</v>
      </c>
      <c r="G41" s="37" t="str">
        <f>'Constants - Livestock'!$E$10</f>
        <v>Anaerobic lagoon</v>
      </c>
      <c r="H41" s="37" t="str">
        <f>'Constants - Livestock'!$F$10</f>
        <v>Anaerobic lagoon (m=1)</v>
      </c>
      <c r="K41" s="37" t="str">
        <f>'Constants - Livestock'!$E$10</f>
        <v>Anaerobic lagoon</v>
      </c>
      <c r="L41" s="37" t="str">
        <f>'Constants - Livestock'!$F$10</f>
        <v>Anaerobic lagoon (m=1)</v>
      </c>
      <c r="M41" s="1"/>
    </row>
    <row r="42" spans="4:13" ht="20.100000000000001" customHeight="1" x14ac:dyDescent="0.25">
      <c r="D42" s="37" t="str">
        <f>'Constants - Livestock'!$E$15</f>
        <v>Solid storage</v>
      </c>
      <c r="E42" s="37" t="str">
        <f>'Constants - Livestock'!$F$15</f>
        <v>Solid storage (m=4)</v>
      </c>
      <c r="G42" s="37" t="str">
        <f>'Constants - Livestock'!$E$16</f>
        <v>Drylot (feed pad)</v>
      </c>
      <c r="H42" s="37" t="str">
        <f>'Constants - Livestock'!$F$16</f>
        <v>Drylot (feed pad) (m=5)</v>
      </c>
      <c r="K42" s="37" t="str">
        <f>'Constants - Livestock'!$E$15</f>
        <v>Solid storage</v>
      </c>
      <c r="L42" s="37" t="str">
        <f>'Constants - Livestock'!$F$15</f>
        <v>Solid storage (m=4)</v>
      </c>
      <c r="M42" s="1"/>
    </row>
    <row r="43" spans="4:13" ht="20.100000000000001" customHeight="1" x14ac:dyDescent="0.25">
      <c r="D43" s="37" t="str">
        <f>'Constants - Livestock'!$E$16</f>
        <v>Drylot (feed pad)</v>
      </c>
      <c r="E43" s="37" t="str">
        <f>'Constants - Livestock'!$F$16</f>
        <v>Drylot (feed pad) (m=5)</v>
      </c>
      <c r="G43" s="37" t="str">
        <f>'Constants - Livestock'!$E$18</f>
        <v>Digester / covered lagoons</v>
      </c>
      <c r="H43" s="37" t="str">
        <f>'Constants - Livestock'!$F$18</f>
        <v>Digester / covered lagoons (m=7)</v>
      </c>
      <c r="K43" s="37" t="str">
        <f>'Constants - Livestock'!$E$16</f>
        <v>Drylot (feed pad)</v>
      </c>
      <c r="L43" s="37" t="str">
        <f>'Constants - Livestock'!$F$16</f>
        <v>Drylot (feed pad) (m=5)</v>
      </c>
      <c r="M43" s="1"/>
    </row>
    <row r="44" spans="4:13" ht="20.100000000000001" customHeight="1" x14ac:dyDescent="0.25">
      <c r="D44" s="37" t="str">
        <f>'Constants - Livestock'!$E$18</f>
        <v>Digester / covered lagoons</v>
      </c>
      <c r="E44" s="37" t="str">
        <f>'Constants - Livestock'!$F$18</f>
        <v>Digester / covered lagoons (m=7)</v>
      </c>
      <c r="G44" s="37" t="str">
        <f>'Constants - Livestock'!$E$19</f>
        <v>Deep litter</v>
      </c>
      <c r="H44" s="37" t="str">
        <f>'Constants - Livestock'!$F$19</f>
        <v>Deep litter (m=8)</v>
      </c>
      <c r="K44" s="37" t="str">
        <f>'Constants - Livestock'!$E$18</f>
        <v>Digester / covered lagoons</v>
      </c>
      <c r="L44" s="37" t="str">
        <f>'Constants - Livestock'!$F$18</f>
        <v>Digester / covered lagoons (m=7)</v>
      </c>
      <c r="M44" s="1"/>
    </row>
    <row r="45" spans="4:13" ht="20.100000000000001" customHeight="1" x14ac:dyDescent="0.25">
      <c r="D45" s="37" t="str">
        <f>'Constants - Livestock'!$E$19</f>
        <v>Deep litter</v>
      </c>
      <c r="E45" s="37" t="str">
        <f>'Constants - Livestock'!$F$19</f>
        <v>Deep litter (m=8)</v>
      </c>
      <c r="G45" s="37" t="str">
        <f>'Constants - Livestock'!$E$20</f>
        <v>Pit storage</v>
      </c>
      <c r="H45" s="37" t="str">
        <f>'Constants - Livestock'!$F$20</f>
        <v>Pit storage (m=9)</v>
      </c>
      <c r="K45" s="37" t="str">
        <f>'Constants - Livestock'!$E$19</f>
        <v>Deep litter</v>
      </c>
      <c r="L45" s="37" t="str">
        <f>'Constants - Livestock'!$F$19</f>
        <v>Deep litter (m=8)</v>
      </c>
      <c r="M45" s="1"/>
    </row>
    <row r="46" spans="4:13" ht="20.100000000000001" customHeight="1" x14ac:dyDescent="0.25">
      <c r="D46" s="37" t="str">
        <f>'Constants - Livestock'!$E$20</f>
        <v>Pit storage</v>
      </c>
      <c r="E46" s="37" t="str">
        <f>'Constants - Livestock'!$F$20</f>
        <v>Pit storage (m=9)</v>
      </c>
      <c r="K46" s="37" t="str">
        <f>'Constants - Livestock'!$E$20</f>
        <v>Pit storage</v>
      </c>
      <c r="L46" s="37" t="str">
        <f>'Constants - Livestock'!$F$20</f>
        <v>Pit storage (m=9)</v>
      </c>
      <c r="M46" s="1"/>
    </row>
    <row r="47" spans="4:13" ht="20.100000000000001" customHeight="1" x14ac:dyDescent="0.25">
      <c r="D47" s="37" t="str">
        <f>'Constants - Livestock'!$E$26</f>
        <v>Direct application</v>
      </c>
      <c r="E47" s="37" t="str">
        <f>'Constants - Livestock'!$F$26</f>
        <v>Direct application (m=13)</v>
      </c>
      <c r="M47" s="1"/>
    </row>
    <row r="48" spans="4:13" ht="20.100000000000001" customHeight="1" x14ac:dyDescent="0.25">
      <c r="M48" s="1"/>
    </row>
    <row r="49" spans="4:13" ht="20.100000000000001" customHeight="1" x14ac:dyDescent="0.25">
      <c r="M49" s="1"/>
    </row>
    <row r="50" spans="4:13" ht="20.100000000000001" customHeight="1" x14ac:dyDescent="0.25">
      <c r="M50" s="1"/>
    </row>
    <row r="51" spans="4:13" ht="20.100000000000001" customHeight="1" x14ac:dyDescent="0.25">
      <c r="D51" s="6" t="s">
        <v>160</v>
      </c>
      <c r="G51" s="6" t="s">
        <v>161</v>
      </c>
      <c r="M51" s="1"/>
    </row>
    <row r="52" spans="4:13" ht="20.100000000000001" customHeight="1" x14ac:dyDescent="0.25">
      <c r="M52" s="1"/>
    </row>
    <row r="53" spans="4:13" ht="20.100000000000001" customHeight="1" x14ac:dyDescent="0.25">
      <c r="D53" s="120" t="s">
        <v>67</v>
      </c>
      <c r="E53" s="37" t="s">
        <v>162</v>
      </c>
      <c r="G53" s="37" t="s">
        <v>110</v>
      </c>
      <c r="M53" s="1"/>
    </row>
    <row r="54" spans="4:13" ht="20.100000000000001" customHeight="1" x14ac:dyDescent="0.25">
      <c r="D54" s="37" t="str">
        <f>'Constants - Livestock'!$E$10</f>
        <v>Anaerobic lagoon</v>
      </c>
      <c r="E54" s="37">
        <v>0</v>
      </c>
      <c r="G54" s="37" t="str" cm="1">
        <f t="array" ref="G54">Common_InputFunctions.Utility_DisplayArrayInTable(SourceData_Swine.SourceData_Swine_ProductionSystems_Data(), Table_SourceData_Swine_ProductionSystems[[#Headers],[Production system]], 0)</f>
        <v>Conventional housing</v>
      </c>
      <c r="M54" s="1"/>
    </row>
    <row r="55" spans="4:13" ht="20.100000000000001" customHeight="1" x14ac:dyDescent="0.25">
      <c r="D55" s="37" t="str">
        <f>'Constants - Livestock'!$E$15</f>
        <v>Solid storage</v>
      </c>
      <c r="E55" s="37">
        <v>0</v>
      </c>
      <c r="G55" s="37" t="str" cm="1">
        <f t="array" ref="G55">Common_InputFunctions.Utility_DisplayArrayInTable(SourceData_Swine.SourceData_Swine_ProductionSystems_Data(), Table_SourceData_Swine_ProductionSystems[[#Headers],[Production system]], 0)</f>
        <v>Deep litter housing</v>
      </c>
      <c r="M55" s="1"/>
    </row>
    <row r="56" spans="4:13" ht="20.100000000000001" customHeight="1" x14ac:dyDescent="0.25">
      <c r="D56" s="37" t="str">
        <f>'Constants - Livestock'!$E$16</f>
        <v>Drylot (feed pad)</v>
      </c>
      <c r="E56" s="37">
        <v>0</v>
      </c>
      <c r="G56" s="37" t="str" cm="1">
        <f t="array" ref="G56">Common_InputFunctions.Utility_DisplayArrayInTable(SourceData_Swine.SourceData_Swine_ProductionSystems_Data(), Table_SourceData_Swine_ProductionSystems[[#Headers],[Production system]], 0)</f>
        <v>Outdoor/free range</v>
      </c>
      <c r="M56" s="1"/>
    </row>
    <row r="57" spans="4:13" ht="20.100000000000001" customHeight="1" x14ac:dyDescent="0.25">
      <c r="D57" s="37" t="str">
        <f>'Constants - Livestock'!$E$18</f>
        <v>Digester / covered lagoons</v>
      </c>
      <c r="E57" s="37">
        <v>0.75</v>
      </c>
      <c r="M57" s="1"/>
    </row>
    <row r="58" spans="4:13" ht="20.100000000000001" customHeight="1" x14ac:dyDescent="0.25">
      <c r="D58" s="37" t="str">
        <f>'Constants - Livestock'!$E$19</f>
        <v>Deep litter</v>
      </c>
      <c r="E58" s="37">
        <v>0.05</v>
      </c>
      <c r="M58" s="1"/>
    </row>
    <row r="59" spans="4:13" ht="20.100000000000001" customHeight="1" x14ac:dyDescent="0.25">
      <c r="D59" s="37" t="str">
        <f>'Constants - Livestock'!$E$20</f>
        <v>Pit storage</v>
      </c>
      <c r="E59" s="37">
        <v>0</v>
      </c>
      <c r="M59" s="1"/>
    </row>
    <row r="60" spans="4:13" ht="20.100000000000001" customHeight="1" x14ac:dyDescent="0.25">
      <c r="D60" s="37" t="str">
        <f>'Constants - Livestock'!$E$26</f>
        <v>Direct application</v>
      </c>
      <c r="E60" s="37">
        <v>0</v>
      </c>
      <c r="M60" s="1"/>
    </row>
    <row r="61" spans="4:13" ht="20.100000000000001" customHeight="1" x14ac:dyDescent="0.25">
      <c r="M61" s="1"/>
    </row>
    <row r="62" spans="4:13" ht="20.100000000000001" customHeight="1" x14ac:dyDescent="0.25">
      <c r="M62" s="1"/>
    </row>
    <row r="63" spans="4:13" ht="20.100000000000001" customHeight="1" x14ac:dyDescent="0.25">
      <c r="D63" s="6" t="str" cm="1">
        <f t="array" ref="D63">SourceData_Swine.SourceData_Swine_VolatileSolids_Title()</f>
        <v>Swine - Volatile solids (VSj) - 2020 to 2024</v>
      </c>
      <c r="M63" s="1"/>
    </row>
    <row r="64" spans="4:13" ht="20.100000000000001" customHeight="1" x14ac:dyDescent="0.25">
      <c r="D64" s="5" t="str" cm="1">
        <f t="array" ref="D64">SourceData_Swine.SourceData_Swine_VolatileSolids_Source()</f>
        <v>VEERG 2026: Table A.1.6.1: Swine - Intake and manure characteristics derived from PigBal</v>
      </c>
      <c r="M64" s="1"/>
    </row>
    <row r="65" spans="4:22" ht="20.100000000000001" customHeight="1" x14ac:dyDescent="0.25">
      <c r="D65" s="55" t="str" cm="1">
        <f t="array" ref="D65">SourceData_Swine.SourceData_Swine_VolatileSolids_Variation()</f>
        <v>VARIATION ON SOURCE DATA: Only uses data for 2020-2024. Use 'Slaughter pigs' data for 'Other j=4' class.</v>
      </c>
      <c r="M65" s="1"/>
    </row>
    <row r="66" spans="4:22" ht="20.100000000000001" customHeight="1" x14ac:dyDescent="0.25">
      <c r="M66" s="1"/>
    </row>
    <row r="67" spans="4:22" ht="20.100000000000001" customHeight="1" x14ac:dyDescent="0.25">
      <c r="D67" s="37" t="s">
        <v>152</v>
      </c>
      <c r="E67" s="37" t="s">
        <v>153</v>
      </c>
      <c r="M67" s="1"/>
    </row>
    <row r="68" spans="4:22" ht="20.100000000000001" customHeight="1" x14ac:dyDescent="0.25">
      <c r="D68" s="37" t="str" cm="1">
        <f t="array" ref="D68">Common_InputFunctions.Utility_DisplayArrayInTable(SourceData_Swine.SourceData_Swine_VolatileSolids_Data(), Table_SourceData_Swine_VolatileSolids[[#Headers],[Class]], 0)</f>
        <v>Boars</v>
      </c>
      <c r="E68" s="37" cm="1">
        <f t="array" ref="E68">Common_InputFunctions.Utility_DisplayArrayInTable(SourceData_Swine.SourceData_Swine_VolatileSolids_Data(), Table_SourceData_Swine_VolatileSolids[[#Headers],[Class]], 0)</f>
        <v>0.4</v>
      </c>
      <c r="M68" s="1"/>
    </row>
    <row r="69" spans="4:22" ht="20.100000000000001" customHeight="1" x14ac:dyDescent="0.25">
      <c r="D69" s="1" t="str" cm="1">
        <f t="array" ref="D69">Common_InputFunctions.Utility_DisplayArrayInTable(SourceData_Swine.SourceData_Swine_VolatileSolids_Data(), Table_SourceData_Swine_VolatileSolids[[#Headers],[Class]], 0)</f>
        <v>Sows</v>
      </c>
      <c r="E69" s="37" cm="1">
        <f t="array" ref="E69">Common_InputFunctions.Utility_DisplayArrayInTable(SourceData_Swine.SourceData_Swine_VolatileSolids_Data(), Table_SourceData_Swine_VolatileSolids[[#Headers],[Class]], 0)</f>
        <v>0.46</v>
      </c>
      <c r="M69" s="1"/>
    </row>
    <row r="70" spans="4:22" ht="20.100000000000001" customHeight="1" x14ac:dyDescent="0.25">
      <c r="D70" s="1" t="str" cm="1">
        <f t="array" ref="D70">Common_InputFunctions.Utility_DisplayArrayInTable(SourceData_Swine.SourceData_Swine_VolatileSolids_Data(), Table_SourceData_Swine_VolatileSolids[[#Headers],[Class]], 0)</f>
        <v>Gilts</v>
      </c>
      <c r="E70" s="37" cm="1">
        <f t="array" ref="E70">Common_InputFunctions.Utility_DisplayArrayInTable(SourceData_Swine.SourceData_Swine_VolatileSolids_Data(), Table_SourceData_Swine_VolatileSolids[[#Headers],[Class]], 0)</f>
        <v>0.55000000000000004</v>
      </c>
      <c r="M70" s="1"/>
    </row>
    <row r="71" spans="4:22" ht="20.100000000000001" customHeight="1" x14ac:dyDescent="0.25">
      <c r="D71" s="1" t="str" cm="1">
        <f t="array" ref="D71">Common_InputFunctions.Utility_DisplayArrayInTable(SourceData_Swine.SourceData_Swine_VolatileSolids_Data(), Table_SourceData_Swine_VolatileSolids[[#Headers],[Class]], 0)</f>
        <v>Others</v>
      </c>
      <c r="E71" s="37" cm="1">
        <f t="array" ref="E71">Common_InputFunctions.Utility_DisplayArrayInTable(SourceData_Swine.SourceData_Swine_VolatileSolids_Data(), Table_SourceData_Swine_VolatileSolids[[#Headers],[Class]], 0)</f>
        <v>0.39</v>
      </c>
      <c r="M71" s="1"/>
      <c r="V71" s="1"/>
    </row>
    <row r="72" spans="4:22" ht="20.100000000000001" customHeight="1" x14ac:dyDescent="0.25">
      <c r="M72" s="1"/>
      <c r="V72" s="1"/>
    </row>
    <row r="73" spans="4:22" ht="20.100000000000001" customHeight="1" x14ac:dyDescent="0.25">
      <c r="M73" s="1"/>
      <c r="V73" s="1"/>
    </row>
    <row r="74" spans="4:22" ht="20.100000000000001" customHeight="1" x14ac:dyDescent="0.25">
      <c r="D74" s="6" t="str" cm="1">
        <f t="array" ref="D74">SourceData_Swine.SourceData_Swine_FeedIntake_Title()</f>
        <v>Swine - Feed intake - ingested as fed  (Ij) - 2020 to 2024</v>
      </c>
      <c r="M74" s="1"/>
      <c r="V74" s="1"/>
    </row>
    <row r="75" spans="4:22" ht="20.100000000000001" customHeight="1" x14ac:dyDescent="0.25">
      <c r="D75" s="5" t="str" cm="1">
        <f t="array" ref="D75">SourceData_Swine.SourceData_Swine_FeedIntake_Source()</f>
        <v>VEERG 2026: Table A.1.6.1: Swine - Intake and manure characteristics derived from PigBal</v>
      </c>
      <c r="M75" s="1"/>
      <c r="V75" s="1"/>
    </row>
    <row r="76" spans="4:22" ht="20.100000000000001" customHeight="1" x14ac:dyDescent="0.25">
      <c r="D76" s="55" t="str" cm="1">
        <f t="array" ref="D76">SourceData_Swine.SourceData_Swine_FeedIntake_Variation()</f>
        <v>VARIATION ON SOURCE DATA: Only uses data for 2020-2024. Use 'Slaughter pigs' data for 'Other j=4' class.</v>
      </c>
      <c r="M76" s="1"/>
      <c r="V76" s="1"/>
    </row>
    <row r="77" spans="4:22" ht="20.100000000000001" customHeight="1" x14ac:dyDescent="0.25">
      <c r="M77" s="1"/>
      <c r="V77" s="1"/>
    </row>
    <row r="78" spans="4:22" ht="20.100000000000001" customHeight="1" x14ac:dyDescent="0.25">
      <c r="D78" s="37" t="s">
        <v>152</v>
      </c>
      <c r="E78" s="37" t="s">
        <v>290</v>
      </c>
      <c r="M78" s="1"/>
      <c r="V78" s="1"/>
    </row>
    <row r="79" spans="4:22" ht="20.100000000000001" customHeight="1" x14ac:dyDescent="0.25">
      <c r="D79" s="37" t="str" cm="1">
        <f t="array" ref="D79">Common_InputFunctions.Utility_DisplayArrayInTable(SourceData_Swine.SourceData_Swine_FeedIntake_Data(), Table_SourceData_Swine_FeedIntake[[#Headers],[Class]], 0)</f>
        <v>Boars</v>
      </c>
      <c r="E79" s="37" cm="1">
        <f t="array" ref="E79">Common_InputFunctions.Utility_DisplayArrayInTable(SourceData_Swine.SourceData_Swine_FeedIntake_Data(), Table_SourceData_Swine_FeedIntake[[#Headers],[Class]], 0)</f>
        <v>2.62</v>
      </c>
      <c r="M79" s="1"/>
      <c r="V79" s="1"/>
    </row>
    <row r="80" spans="4:22" ht="20.100000000000001" customHeight="1" x14ac:dyDescent="0.25">
      <c r="D80" s="37" t="str" cm="1">
        <f t="array" ref="D80">Common_InputFunctions.Utility_DisplayArrayInTable(SourceData_Swine.SourceData_Swine_FeedIntake_Data(), Table_SourceData_Swine_FeedIntake[[#Headers],[Class]], 0)</f>
        <v>Sows</v>
      </c>
      <c r="E80" s="37" cm="1">
        <f t="array" ref="E80">Common_InputFunctions.Utility_DisplayArrayInTable(SourceData_Swine.SourceData_Swine_FeedIntake_Data(), Table_SourceData_Swine_FeedIntake[[#Headers],[Class]], 0)</f>
        <v>2.2999999999999998</v>
      </c>
      <c r="M80" s="1"/>
      <c r="V80" s="1"/>
    </row>
    <row r="81" spans="4:23" ht="20.100000000000001" customHeight="1" x14ac:dyDescent="0.25">
      <c r="D81" s="37" t="str" cm="1">
        <f t="array" ref="D81">Common_InputFunctions.Utility_DisplayArrayInTable(SourceData_Swine.SourceData_Swine_FeedIntake_Data(), Table_SourceData_Swine_FeedIntake[[#Headers],[Class]], 0)</f>
        <v>Gilts</v>
      </c>
      <c r="E81" s="37" cm="1">
        <f t="array" ref="E81">Common_InputFunctions.Utility_DisplayArrayInTable(SourceData_Swine.SourceData_Swine_FeedIntake_Data(), Table_SourceData_Swine_FeedIntake[[#Headers],[Class]], 0)</f>
        <v>2.5</v>
      </c>
      <c r="M81" s="1"/>
      <c r="V81" s="1"/>
    </row>
    <row r="82" spans="4:23" ht="20.100000000000001" customHeight="1" x14ac:dyDescent="0.25">
      <c r="D82" s="37" t="str" cm="1">
        <f t="array" ref="D82">Common_InputFunctions.Utility_DisplayArrayInTable(SourceData_Swine.SourceData_Swine_FeedIntake_Data(), Table_SourceData_Swine_FeedIntake[[#Headers],[Class]], 0)</f>
        <v>Others</v>
      </c>
      <c r="E82" s="37" cm="1">
        <f t="array" ref="E82">Common_InputFunctions.Utility_DisplayArrayInTable(SourceData_Swine.SourceData_Swine_FeedIntake_Data(), Table_SourceData_Swine_FeedIntake[[#Headers],[Class]], 0)</f>
        <v>1.71</v>
      </c>
      <c r="M82" s="1"/>
      <c r="V82" s="1"/>
    </row>
    <row r="83" spans="4:23" ht="20.100000000000001" customHeight="1" x14ac:dyDescent="0.25">
      <c r="M83" s="1"/>
    </row>
    <row r="84" spans="4:23" ht="20.100000000000001" customHeight="1" x14ac:dyDescent="0.25">
      <c r="M84" s="1"/>
    </row>
    <row r="85" spans="4:23" ht="20.100000000000001" customHeight="1" x14ac:dyDescent="0.25">
      <c r="D85" s="6" t="str" cm="1">
        <f t="array" ref="D85">SourceData_Swine.SourceData_Swine_NitrogenInWaste_Title()</f>
        <v>Swine - Nitrogen in waste (NWj) - 2020 to 2024</v>
      </c>
      <c r="M85" s="1"/>
      <c r="V85" s="1"/>
    </row>
    <row r="86" spans="4:23" ht="20.100000000000001" customHeight="1" x14ac:dyDescent="0.25">
      <c r="D86" s="5" t="str" cm="1">
        <f t="array" ref="D86">SourceData_Swine.SourceData_Swine_NitrogenInWaste_Source()</f>
        <v>VEERG 2026: Table A.1.6.1: Swine - Intake and manure characteristics derived from PigBal</v>
      </c>
      <c r="M86" s="1"/>
      <c r="V86" s="1"/>
    </row>
    <row r="87" spans="4:23" ht="20.100000000000001" customHeight="1" x14ac:dyDescent="0.25">
      <c r="D87" s="55" t="str" cm="1">
        <f t="array" ref="D87">SourceData_Swine.SourceData_Swine_NitrogenInWaste_Variation()</f>
        <v>VARIATION ON SOURCE DATA: Only uses data for 2020-2024. Use 'Slaughter pigs' data for 'Other j=4' class. Added 'NWj daily' column to provide daily value for Others class. Added 'Class name' column to aid lookup.</v>
      </c>
      <c r="M87" s="1"/>
      <c r="V87" s="1"/>
    </row>
    <row r="88" spans="4:23" ht="20.100000000000001" customHeight="1" x14ac:dyDescent="0.25">
      <c r="M88" s="1"/>
      <c r="V88" s="1"/>
    </row>
    <row r="89" spans="4:23" ht="20.100000000000001" customHeight="1" x14ac:dyDescent="0.25">
      <c r="D89" s="37" t="s">
        <v>152</v>
      </c>
      <c r="E89" s="37" t="s">
        <v>288</v>
      </c>
      <c r="F89" s="37" t="s">
        <v>289</v>
      </c>
      <c r="G89" s="37" t="s">
        <v>355</v>
      </c>
      <c r="M89" s="1"/>
      <c r="V89" s="1"/>
      <c r="W89" s="1"/>
    </row>
    <row r="90" spans="4:23" ht="20.100000000000001" customHeight="1" x14ac:dyDescent="0.25">
      <c r="D90" s="37" t="str" cm="1">
        <f t="array" ref="D90">Common_InputFunctions.Utility_DisplayArrayInTable(SourceData_Swine.SourceData_Swine_NitrogenInWaste_Data(), Table_SourceData_Swine_NitrogenInWaste[[#Headers],[Class]], 0)</f>
        <v>Boars</v>
      </c>
      <c r="E90" s="37" cm="1">
        <f t="array" ref="E90">Common_InputFunctions.Utility_DisplayArrayInTable(SourceData_Swine.SourceData_Swine_NitrogenInWaste_Data(), Table_SourceData_Swine_NitrogenInWaste[[#Headers],[Class]], 0)</f>
        <v>4.5999999999999999E-2</v>
      </c>
      <c r="F90" s="37" cm="1">
        <f t="array" ref="F90">Common_InputFunctions.Utility_DisplayArrayInTable(SourceData_Swine.SourceData_Swine_NitrogenInWaste_Data(), Table_SourceData_Swine_NitrogenInWaste[[#Headers],[Class]], 0)</f>
        <v>4.5999999999999999E-2</v>
      </c>
      <c r="G90" s="37" t="str" cm="1">
        <f t="array" ref="G90">Common_InputFunctions.Utility_DisplayArrayInTable(SourceData_Swine.SourceData_Swine_NitrogenInWaste_Data(), Table_SourceData_Swine_NitrogenInWaste[[#Headers],[Class]], 0)</f>
        <v>Boars</v>
      </c>
      <c r="M90" s="1"/>
      <c r="V90" s="1"/>
      <c r="W90" s="1"/>
    </row>
    <row r="91" spans="4:23" ht="20.100000000000001" customHeight="1" x14ac:dyDescent="0.25">
      <c r="D91" s="37" t="str" cm="1">
        <f t="array" ref="D91">Common_InputFunctions.Utility_DisplayArrayInTable(SourceData_Swine.SourceData_Swine_NitrogenInWaste_Data(), Table_SourceData_Swine_NitrogenInWaste[[#Headers],[Class]], 0)</f>
        <v>Sows</v>
      </c>
      <c r="E91" s="37" cm="1">
        <f t="array" ref="E91">Common_InputFunctions.Utility_DisplayArrayInTable(SourceData_Swine.SourceData_Swine_NitrogenInWaste_Data(), Table_SourceData_Swine_NitrogenInWaste[[#Headers],[Class]], 0)</f>
        <v>4.9000000000000002E-2</v>
      </c>
      <c r="F91" s="37" cm="1">
        <f t="array" ref="F91">Common_InputFunctions.Utility_DisplayArrayInTable(SourceData_Swine.SourceData_Swine_NitrogenInWaste_Data(), Table_SourceData_Swine_NitrogenInWaste[[#Headers],[Class]], 0)</f>
        <v>4.9000000000000002E-2</v>
      </c>
      <c r="G91" s="37" t="str" cm="1">
        <f t="array" ref="G91">Common_InputFunctions.Utility_DisplayArrayInTable(SourceData_Swine.SourceData_Swine_NitrogenInWaste_Data(), Table_SourceData_Swine_NitrogenInWaste[[#Headers],[Class]], 0)</f>
        <v>Sows</v>
      </c>
      <c r="M91" s="1"/>
      <c r="V91" s="1"/>
    </row>
    <row r="92" spans="4:23" ht="20.100000000000001" customHeight="1" x14ac:dyDescent="0.25">
      <c r="D92" s="37" t="str" cm="1">
        <f t="array" ref="D92">Common_InputFunctions.Utility_DisplayArrayInTable(SourceData_Swine.SourceData_Swine_NitrogenInWaste_Data(), Table_SourceData_Swine_NitrogenInWaste[[#Headers],[Class]], 0)</f>
        <v>Gilts</v>
      </c>
      <c r="E92" s="37" cm="1">
        <f t="array" ref="E92">Common_InputFunctions.Utility_DisplayArrayInTable(SourceData_Swine.SourceData_Swine_NitrogenInWaste_Data(), Table_SourceData_Swine_NitrogenInWaste[[#Headers],[Class]], 0)</f>
        <v>4.5999999999999999E-2</v>
      </c>
      <c r="F92" s="37" cm="1">
        <f t="array" ref="F92">Common_InputFunctions.Utility_DisplayArrayInTable(SourceData_Swine.SourceData_Swine_NitrogenInWaste_Data(), Table_SourceData_Swine_NitrogenInWaste[[#Headers],[Class]], 0)</f>
        <v>4.5999999999999999E-2</v>
      </c>
      <c r="G92" s="37" t="str" cm="1">
        <f t="array" ref="G92">Common_InputFunctions.Utility_DisplayArrayInTable(SourceData_Swine.SourceData_Swine_NitrogenInWaste_Data(), Table_SourceData_Swine_NitrogenInWaste[[#Headers],[Class]], 0)</f>
        <v>Gilts</v>
      </c>
      <c r="M92" s="1"/>
      <c r="V92" s="1"/>
    </row>
    <row r="93" spans="4:23" ht="20.100000000000001" customHeight="1" x14ac:dyDescent="0.25">
      <c r="D93" s="37" t="str" cm="1">
        <f t="array" ref="D93">Common_InputFunctions.Utility_DisplayArrayInTable(SourceData_Swine.SourceData_Swine_NitrogenInWaste_Data(), Table_SourceData_Swine_NitrogenInWaste[[#Headers],[Class]], 0)</f>
        <v>Others (kg/head/year)</v>
      </c>
      <c r="E93" s="37" cm="1">
        <f t="array" ref="E93">Common_InputFunctions.Utility_DisplayArrayInTable(SourceData_Swine.SourceData_Swine_NitrogenInWaste_Data(), Table_SourceData_Swine_NitrogenInWaste[[#Headers],[Class]], 0)</f>
        <v>11.4</v>
      </c>
      <c r="F93" s="37" cm="1">
        <f t="array" ref="F93">Common_InputFunctions.Utility_DisplayArrayInTable(SourceData_Swine.SourceData_Swine_NitrogenInWaste_Data(), Table_SourceData_Swine_NitrogenInWaste[[#Headers],[Class]], 0)</f>
        <v>3.1199999999999999E-2</v>
      </c>
      <c r="G93" s="37" t="str" cm="1">
        <f t="array" ref="G93">Common_InputFunctions.Utility_DisplayArrayInTable(SourceData_Swine.SourceData_Swine_NitrogenInWaste_Data(), Table_SourceData_Swine_NitrogenInWaste[[#Headers],[Class]], 0)</f>
        <v>Others</v>
      </c>
      <c r="M93" s="1"/>
      <c r="V93" s="1"/>
    </row>
    <row r="94" spans="4:23" ht="20.100000000000001" customHeight="1" x14ac:dyDescent="0.25">
      <c r="M94" s="1"/>
    </row>
    <row r="95" spans="4:23" ht="20.100000000000001" customHeight="1" x14ac:dyDescent="0.25">
      <c r="M95" s="1"/>
    </row>
    <row r="96" spans="4:23" ht="20.100000000000001" customHeight="1" x14ac:dyDescent="0.25">
      <c r="D96" s="6" t="str" cm="1">
        <f t="array" ref="D96">SourceData_Swine.SourceData_Swine_FractionNVolatilised_Title()</f>
        <v>Swine - Fraction of nitrogen volatilised (FracGASMmT)</v>
      </c>
      <c r="M96" s="1"/>
    </row>
    <row r="97" spans="4:13" ht="20.100000000000001" customHeight="1" x14ac:dyDescent="0.25">
      <c r="D97" s="5" t="str" cm="1">
        <f t="array" ref="D97">SourceData_Swine.SourceData_Swine_FractionNVolatilised_Source()</f>
        <v>VEERG 2026: Table A.1.6.2: Swine - Fraction of N volatilised by MMS ((kg NH3-N + NOx-N)/kgN) (FracGASMmT)</v>
      </c>
      <c r="M97" s="1"/>
    </row>
    <row r="98" spans="4:13" ht="20.100000000000001" customHeight="1" x14ac:dyDescent="0.25">
      <c r="D98" s="55" t="str" cm="1">
        <f t="array" ref="D98">SourceData_Swine.SourceData_Swine_FractionNVolatilised_Variation()</f>
        <v>VARIATION ON SOURCE DATA: Added 'NIR reference column to aid lookup.</v>
      </c>
      <c r="M98" s="1"/>
    </row>
    <row r="99" spans="4:13" ht="20.100000000000001" customHeight="1" x14ac:dyDescent="0.25">
      <c r="D99" s="37" t="s">
        <v>291</v>
      </c>
      <c r="E99" s="37" t="s">
        <v>292</v>
      </c>
      <c r="F99" s="37" t="s">
        <v>293</v>
      </c>
      <c r="M99" s="1"/>
    </row>
    <row r="100" spans="4:13" ht="20.100000000000001" customHeight="1" x14ac:dyDescent="0.25">
      <c r="D100" s="37" t="str" cm="1">
        <f t="array" ref="D100">Common_InputFunctions.Utility_DisplayArrayInTable(SourceData_Swine.SourceData_Swine_FractionNVolatilised_Data(), Table_SourceData_Swine_FracGASM[[#Headers],[MMSm]],0)</f>
        <v>Outdoor (Dry lot)</v>
      </c>
      <c r="E100" s="37" cm="1">
        <f t="array" ref="E100">Common_InputFunctions.Utility_DisplayArrayInTable(SourceData_Swine.SourceData_Swine_FractionNVolatilised_Data(), Table_SourceData_Swine_FracGASM[[#Headers],[MMSm]],0)</f>
        <v>0.3</v>
      </c>
      <c r="F100" s="37" t="str" cm="1">
        <f t="array" ref="F100">Common_InputFunctions.Utility_DisplayArrayInTable(SourceData_Swine.SourceData_Swine_FractionNVolatilised_Data(), Table_SourceData_Swine_FracGASM[[#Headers],[MMSm]],0)</f>
        <v>Drylot (feed pad)</v>
      </c>
      <c r="M100" s="1"/>
    </row>
    <row r="101" spans="4:13" ht="20.100000000000001" customHeight="1" x14ac:dyDescent="0.25">
      <c r="D101" s="37" t="str" cm="1">
        <f t="array" ref="D101">Common_InputFunctions.Utility_DisplayArrayInTable(SourceData_Swine.SourceData_Swine_FractionNVolatilised_Data(), Table_SourceData_Swine_FracGASM[[#Headers],[MMSm]],0)</f>
        <v>Deep litter</v>
      </c>
      <c r="E101" s="37" cm="1">
        <f t="array" ref="E101">Common_InputFunctions.Utility_DisplayArrayInTable(SourceData_Swine.SourceData_Swine_FractionNVolatilised_Data(), Table_SourceData_Swine_FracGASM[[#Headers],[MMSm]],0)</f>
        <v>0.125</v>
      </c>
      <c r="F101" s="37" t="str" cm="1">
        <f t="array" ref="F101">Common_InputFunctions.Utility_DisplayArrayInTable(SourceData_Swine.SourceData_Swine_FractionNVolatilised_Data(), Table_SourceData_Swine_FracGASM[[#Headers],[MMSm]],0)</f>
        <v>Deep litter</v>
      </c>
      <c r="M101" s="1"/>
    </row>
    <row r="102" spans="4:13" ht="20.100000000000001" customHeight="1" x14ac:dyDescent="0.25">
      <c r="D102" s="37" t="str" cm="1">
        <f t="array" ref="D102">Common_InputFunctions.Utility_DisplayArrayInTable(SourceData_Swine.SourceData_Swine_FractionNVolatilised_Data(), Table_SourceData_Swine_FracGASM[[#Headers],[MMSm]],0)</f>
        <v>Stockpile (Solid storage)</v>
      </c>
      <c r="E102" s="37" cm="1">
        <f t="array" ref="E102">Common_InputFunctions.Utility_DisplayArrayInTable(SourceData_Swine.SourceData_Swine_FractionNVolatilised_Data(), Table_SourceData_Swine_FracGASM[[#Headers],[MMSm]],0)</f>
        <v>0.2</v>
      </c>
      <c r="F102" s="37" t="str" cm="1">
        <f t="array" ref="F102">Common_InputFunctions.Utility_DisplayArrayInTable(SourceData_Swine.SourceData_Swine_FractionNVolatilised_Data(), Table_SourceData_Swine_FracGASM[[#Headers],[MMSm]],0)</f>
        <v>Solid storage</v>
      </c>
      <c r="M102" s="1"/>
    </row>
    <row r="103" spans="4:13" ht="20.100000000000001" customHeight="1" x14ac:dyDescent="0.25">
      <c r="D103" s="37" t="str" cm="1">
        <f t="array" ref="D103">Common_InputFunctions.Utility_DisplayArrayInTable(SourceData_Swine.SourceData_Swine_FractionNVolatilised_Data(), Table_SourceData_Swine_FracGASM[[#Headers],[MMSm]],0)</f>
        <v>Effluent pond (Uncovered anaerobic lagoon)</v>
      </c>
      <c r="E103" s="37" cm="1">
        <f t="array" ref="E103">Common_InputFunctions.Utility_DisplayArrayInTable(SourceData_Swine.SourceData_Swine_FractionNVolatilised_Data(), Table_SourceData_Swine_FracGASM[[#Headers],[MMSm]],0)</f>
        <v>0.55000000000000004</v>
      </c>
      <c r="F103" s="37" t="str" cm="1">
        <f t="array" ref="F103">Common_InputFunctions.Utility_DisplayArrayInTable(SourceData_Swine.SourceData_Swine_FractionNVolatilised_Data(), Table_SourceData_Swine_FracGASM[[#Headers],[MMSm]],0)</f>
        <v>Anaerobic lagoon</v>
      </c>
      <c r="M103" s="1"/>
    </row>
    <row r="104" spans="4:13" ht="20.100000000000001" customHeight="1" x14ac:dyDescent="0.25">
      <c r="D104" s="37" t="str" cm="1">
        <f t="array" ref="D104">Common_InputFunctions.Utility_DisplayArrayInTable(SourceData_Swine.SourceData_Swine_FractionNVolatilised_Data(), Table_SourceData_Swine_FracGASM[[#Headers],[MMSm]],0)</f>
        <v>Anaerobic digester / Covered lagoon</v>
      </c>
      <c r="E104" s="37" cm="1">
        <f t="array" ref="E104">Common_InputFunctions.Utility_DisplayArrayInTable(SourceData_Swine.SourceData_Swine_FractionNVolatilised_Data(), Table_SourceData_Swine_FracGASM[[#Headers],[MMSm]],0)</f>
        <v>0</v>
      </c>
      <c r="F104" s="37" t="str" cm="1">
        <f t="array" ref="F104">Common_InputFunctions.Utility_DisplayArrayInTable(SourceData_Swine.SourceData_Swine_FractionNVolatilised_Data(), Table_SourceData_Swine_FracGASM[[#Headers],[MMSm]],0)</f>
        <v>Digester / covered lagoons</v>
      </c>
      <c r="M104" s="1"/>
    </row>
    <row r="105" spans="4:13" ht="20.100000000000001" customHeight="1" x14ac:dyDescent="0.25">
      <c r="D105" s="37" t="str" cm="1">
        <f t="array" ref="D105">Common_InputFunctions.Utility_DisplayArrayInTable(SourceData_Swine.SourceData_Swine_FractionNVolatilised_Data(), Table_SourceData_Swine_FracGASM[[#Headers],[MMSm]],0)</f>
        <v>Short HRT tank storage &lt; 1 month (pit storage)</v>
      </c>
      <c r="E105" s="37" cm="1">
        <f t="array" ref="E105">Common_InputFunctions.Utility_DisplayArrayInTable(SourceData_Swine.SourceData_Swine_FractionNVolatilised_Data(), Table_SourceData_Swine_FracGASM[[#Headers],[MMSm]],0)</f>
        <v>0.25</v>
      </c>
      <c r="F105" s="37" t="str" cm="1">
        <f t="array" ref="F105">Common_InputFunctions.Utility_DisplayArrayInTable(SourceData_Swine.SourceData_Swine_FractionNVolatilised_Data(), Table_SourceData_Swine_FracGASM[[#Headers],[MMSm]],0)</f>
        <v>Pit storage</v>
      </c>
      <c r="M105" s="1"/>
    </row>
    <row r="106" spans="4:13" ht="20.100000000000001" customHeight="1" x14ac:dyDescent="0.25">
      <c r="M106" s="1"/>
    </row>
    <row r="107" spans="4:13" ht="20.100000000000001" customHeight="1" x14ac:dyDescent="0.25">
      <c r="M107" s="1"/>
    </row>
    <row r="108" spans="4:13" ht="20.100000000000001" customHeight="1" x14ac:dyDescent="0.25">
      <c r="D108" s="6" t="str" cm="1">
        <f t="array" ref="D108">SourceData_Swine.SourceData_Swine_NitrousOxideEFs_Title()</f>
        <v>Swine - Nitrous oxide EFs by MMS (EFmT)</v>
      </c>
      <c r="M108" s="1"/>
    </row>
    <row r="109" spans="4:13" ht="20.100000000000001" customHeight="1" x14ac:dyDescent="0.25">
      <c r="D109" s="5" t="str" cm="1">
        <f t="array" ref="D109">SourceData_Swine.SourceData_Swine_NitrousOxideEFs_Source()</f>
        <v>VEERG 2026: Table A.1.6.3: Swine - Nitrous oxide EFs by MMS (kgN2O-N/kgN) (EFmT)</v>
      </c>
      <c r="M109" s="1"/>
    </row>
    <row r="110" spans="4:13" ht="20.100000000000001" customHeight="1" x14ac:dyDescent="0.25">
      <c r="D110" s="55" t="str" cm="1">
        <f t="array" ref="D110">SourceData_Swine.SourceData_Swine_NitrousOxideEFs_Variation()</f>
        <v>VARIATION ON SOURCE DATA: Added 'NIR reference column to aid lookup.</v>
      </c>
      <c r="M110" s="1"/>
    </row>
    <row r="111" spans="4:13" ht="20.100000000000001" customHeight="1" x14ac:dyDescent="0.25">
      <c r="D111" s="37" t="s">
        <v>291</v>
      </c>
      <c r="E111" s="37" t="s">
        <v>314</v>
      </c>
      <c r="F111" s="37" t="s">
        <v>293</v>
      </c>
      <c r="M111" s="1"/>
    </row>
    <row r="112" spans="4:13" ht="20.100000000000001" customHeight="1" x14ac:dyDescent="0.25">
      <c r="D112" s="37" t="str" cm="1">
        <f t="array" ref="D112">Common_InputFunctions.Utility_DisplayArrayInTable(SourceData_Swine.SourceData_Swine_NitrousOxideEFs_Data(), Table_SourceData_Swine_FracGASM28[[#Headers],[MMSm]],0)</f>
        <v>Outdoor (Dry lot)</v>
      </c>
      <c r="E112" s="37" cm="1">
        <f t="array" ref="E112">Common_InputFunctions.Utility_DisplayArrayInTable(SourceData_Swine.SourceData_Swine_NitrousOxideEFs_Data(), Table_SourceData_Swine_FracGASM28[[#Headers],[MMSm]],0)</f>
        <v>0.02</v>
      </c>
      <c r="F112" s="37" t="str" cm="1">
        <f t="array" ref="F112">Common_InputFunctions.Utility_DisplayArrayInTable(SourceData_Swine.SourceData_Swine_NitrousOxideEFs_Data(), Table_SourceData_Swine_FracGASM28[[#Headers],[MMSm]],0)</f>
        <v>Drylot (feed pad)</v>
      </c>
      <c r="M112" s="1"/>
    </row>
    <row r="113" spans="4:22" ht="20.100000000000001" customHeight="1" x14ac:dyDescent="0.25">
      <c r="D113" s="37" t="str" cm="1">
        <f t="array" ref="D113">Common_InputFunctions.Utility_DisplayArrayInTable(SourceData_Swine.SourceData_Swine_NitrousOxideEFs_Data(), Table_SourceData_Swine_FracGASM28[[#Headers],[MMSm]],0)</f>
        <v>Deep litter</v>
      </c>
      <c r="E113" s="37" cm="1">
        <f t="array" ref="E113">Common_InputFunctions.Utility_DisplayArrayInTable(SourceData_Swine.SourceData_Swine_NitrousOxideEFs_Data(), Table_SourceData_Swine_FracGASM28[[#Headers],[MMSm]],0)</f>
        <v>0.01</v>
      </c>
      <c r="F113" s="37" t="str" cm="1">
        <f t="array" ref="F113">Common_InputFunctions.Utility_DisplayArrayInTable(SourceData_Swine.SourceData_Swine_NitrousOxideEFs_Data(), Table_SourceData_Swine_FracGASM28[[#Headers],[MMSm]],0)</f>
        <v>Deep litter</v>
      </c>
      <c r="M113" s="1"/>
    </row>
    <row r="114" spans="4:22" ht="20.100000000000001" customHeight="1" x14ac:dyDescent="0.25">
      <c r="D114" s="37" t="str" cm="1">
        <f t="array" ref="D114">Common_InputFunctions.Utility_DisplayArrayInTable(SourceData_Swine.SourceData_Swine_NitrousOxideEFs_Data(), Table_SourceData_Swine_FracGASM28[[#Headers],[MMSm]],0)</f>
        <v>Stockpile (Solid storage)</v>
      </c>
      <c r="E114" s="37" cm="1">
        <f t="array" ref="E114">Common_InputFunctions.Utility_DisplayArrayInTable(SourceData_Swine.SourceData_Swine_NitrousOxideEFs_Data(), Table_SourceData_Swine_FracGASM28[[#Headers],[MMSm]],0)</f>
        <v>5.0000000000000001E-3</v>
      </c>
      <c r="F114" s="37" t="str" cm="1">
        <f t="array" ref="F114">Common_InputFunctions.Utility_DisplayArrayInTable(SourceData_Swine.SourceData_Swine_NitrousOxideEFs_Data(), Table_SourceData_Swine_FracGASM28[[#Headers],[MMSm]],0)</f>
        <v>Solid storage</v>
      </c>
      <c r="M114" s="1"/>
    </row>
    <row r="115" spans="4:22" ht="20.100000000000001" customHeight="1" x14ac:dyDescent="0.25">
      <c r="D115" s="37" t="str" cm="1">
        <f t="array" ref="D115">Common_InputFunctions.Utility_DisplayArrayInTable(SourceData_Swine.SourceData_Swine_NitrousOxideEFs_Data(), Table_SourceData_Swine_FracGASM28[[#Headers],[MMSm]],0)</f>
        <v>Effluent pond (Uncovered anaerobic lagoon)</v>
      </c>
      <c r="E115" s="37" cm="1">
        <f t="array" ref="E115">Common_InputFunctions.Utility_DisplayArrayInTable(SourceData_Swine.SourceData_Swine_NitrousOxideEFs_Data(), Table_SourceData_Swine_FracGASM28[[#Headers],[MMSm]],0)</f>
        <v>0</v>
      </c>
      <c r="F115" s="37" t="str" cm="1">
        <f t="array" ref="F115">Common_InputFunctions.Utility_DisplayArrayInTable(SourceData_Swine.SourceData_Swine_NitrousOxideEFs_Data(), Table_SourceData_Swine_FracGASM28[[#Headers],[MMSm]],0)</f>
        <v>Anaerobic lagoon</v>
      </c>
      <c r="M115" s="1"/>
      <c r="V115" s="1"/>
    </row>
    <row r="116" spans="4:22" ht="20.100000000000001" customHeight="1" x14ac:dyDescent="0.25">
      <c r="D116" s="37" t="str" cm="1">
        <f t="array" ref="D116">Common_InputFunctions.Utility_DisplayArrayInTable(SourceData_Swine.SourceData_Swine_NitrousOxideEFs_Data(), Table_SourceData_Swine_FracGASM28[[#Headers],[MMSm]],0)</f>
        <v>Anaerobic digestor / Covered lagoon</v>
      </c>
      <c r="E116" s="37" cm="1">
        <f t="array" ref="E116">Common_InputFunctions.Utility_DisplayArrayInTable(SourceData_Swine.SourceData_Swine_NitrousOxideEFs_Data(), Table_SourceData_Swine_FracGASM28[[#Headers],[MMSm]],0)</f>
        <v>0</v>
      </c>
      <c r="F116" s="37" t="str" cm="1">
        <f t="array" ref="F116">Common_InputFunctions.Utility_DisplayArrayInTable(SourceData_Swine.SourceData_Swine_NitrousOxideEFs_Data(), Table_SourceData_Swine_FracGASM28[[#Headers],[MMSm]],0)</f>
        <v>Digester / covered lagoons</v>
      </c>
      <c r="M116" s="1"/>
      <c r="V116" s="1"/>
    </row>
    <row r="117" spans="4:22" ht="20.100000000000001" customHeight="1" x14ac:dyDescent="0.25">
      <c r="D117" s="37" t="str" cm="1">
        <f t="array" ref="D117">Common_InputFunctions.Utility_DisplayArrayInTable(SourceData_Swine.SourceData_Swine_NitrousOxideEFs_Data(), Table_SourceData_Swine_FracGASM28[[#Headers],[MMSm]],0)</f>
        <v>Short HRT tank storage &lt; 1 month (pit storage)</v>
      </c>
      <c r="E117" s="37" cm="1">
        <f t="array" ref="E117">Common_InputFunctions.Utility_DisplayArrayInTable(SourceData_Swine.SourceData_Swine_NitrousOxideEFs_Data(), Table_SourceData_Swine_FracGASM28[[#Headers],[MMSm]],0)</f>
        <v>2E-3</v>
      </c>
      <c r="F117" s="37" t="str" cm="1">
        <f t="array" ref="F117">Common_InputFunctions.Utility_DisplayArrayInTable(SourceData_Swine.SourceData_Swine_NitrousOxideEFs_Data(), Table_SourceData_Swine_FracGASM28[[#Headers],[MMSm]],0)</f>
        <v>Pit storage</v>
      </c>
      <c r="M117" s="1"/>
      <c r="V117" s="1"/>
    </row>
    <row r="118" spans="4:22" ht="20.100000000000001" customHeight="1" x14ac:dyDescent="0.25">
      <c r="M118" s="1"/>
    </row>
    <row r="119" spans="4:22" ht="20.100000000000001" customHeight="1" x14ac:dyDescent="0.25">
      <c r="M119" s="1"/>
    </row>
    <row r="120" spans="4:22" ht="20.100000000000001" customHeight="1" x14ac:dyDescent="0.25">
      <c r="M120" s="1"/>
    </row>
    <row r="121" spans="4:22" ht="20.100000000000001" customHeight="1" x14ac:dyDescent="0.25">
      <c r="M121" s="1"/>
    </row>
    <row r="122" spans="4:22" ht="20.100000000000001" customHeight="1" x14ac:dyDescent="0.25">
      <c r="M122" s="1"/>
    </row>
    <row r="123" spans="4:22" ht="20.100000000000001" customHeight="1" x14ac:dyDescent="0.25">
      <c r="M123" s="1"/>
    </row>
    <row r="124" spans="4:22" ht="20.100000000000001" customHeight="1" x14ac:dyDescent="0.25">
      <c r="M124" s="1"/>
    </row>
    <row r="125" spans="4:22" ht="20.100000000000001" customHeight="1" x14ac:dyDescent="0.25">
      <c r="M125" s="1"/>
      <c r="V125" s="1"/>
    </row>
    <row r="126" spans="4:22" ht="20.100000000000001" customHeight="1" x14ac:dyDescent="0.25">
      <c r="M126" s="1"/>
      <c r="V126" s="1"/>
    </row>
    <row r="127" spans="4:22" ht="20.100000000000001" customHeight="1" x14ac:dyDescent="0.25">
      <c r="M127" s="1"/>
      <c r="V127" s="1"/>
    </row>
    <row r="128" spans="4:22" ht="20.100000000000001" customHeight="1" x14ac:dyDescent="0.25">
      <c r="M128" s="1"/>
      <c r="V128" s="1"/>
    </row>
    <row r="129" spans="13:22" ht="20.100000000000001" customHeight="1" x14ac:dyDescent="0.25">
      <c r="M129" s="1"/>
      <c r="V129" s="1"/>
    </row>
    <row r="130" spans="13:22" ht="20.100000000000001" customHeight="1" x14ac:dyDescent="0.25">
      <c r="M130" s="1"/>
      <c r="V130" s="1"/>
    </row>
    <row r="131" spans="13:22" ht="20.100000000000001" customHeight="1" x14ac:dyDescent="0.25">
      <c r="M131" s="1"/>
    </row>
    <row r="132" spans="13:22" ht="20.100000000000001" customHeight="1" x14ac:dyDescent="0.25">
      <c r="M132" s="1"/>
    </row>
    <row r="133" spans="13:22" ht="20.100000000000001" customHeight="1" x14ac:dyDescent="0.25">
      <c r="M133" s="1"/>
    </row>
    <row r="134" spans="13:22" ht="20.100000000000001" customHeight="1" x14ac:dyDescent="0.25">
      <c r="M134" s="1"/>
    </row>
    <row r="135" spans="13:22" ht="20.100000000000001" customHeight="1" x14ac:dyDescent="0.25">
      <c r="M135" s="1"/>
    </row>
    <row r="136" spans="13:22" ht="20.100000000000001" customHeight="1" x14ac:dyDescent="0.25">
      <c r="M136" s="1"/>
    </row>
    <row r="137" spans="13:22" ht="20.100000000000001" customHeight="1" x14ac:dyDescent="0.25">
      <c r="M137" s="1"/>
    </row>
    <row r="138" spans="13:22" ht="20.100000000000001" customHeight="1" x14ac:dyDescent="0.25">
      <c r="M138" s="1"/>
    </row>
    <row r="139" spans="13:22" ht="20.100000000000001" customHeight="1" x14ac:dyDescent="0.25">
      <c r="M139" s="1"/>
    </row>
    <row r="140" spans="13:22" ht="20.100000000000001" customHeight="1" x14ac:dyDescent="0.25">
      <c r="M140" s="1"/>
    </row>
    <row r="141" spans="13:22" ht="20.100000000000001" customHeight="1" x14ac:dyDescent="0.25">
      <c r="M141" s="1"/>
    </row>
    <row r="142" spans="13:22" ht="20.100000000000001" customHeight="1" x14ac:dyDescent="0.25">
      <c r="M142" s="1"/>
    </row>
    <row r="143" spans="13:22" ht="20.100000000000001" customHeight="1" x14ac:dyDescent="0.25">
      <c r="M143" s="1"/>
    </row>
    <row r="144" spans="13:22" ht="20.100000000000001" customHeight="1" x14ac:dyDescent="0.25">
      <c r="M144" s="1"/>
    </row>
    <row r="145" spans="13:13" ht="20.100000000000001" customHeight="1" x14ac:dyDescent="0.25">
      <c r="M145" s="1"/>
    </row>
    <row r="146" spans="13:13" ht="20.100000000000001" customHeight="1" x14ac:dyDescent="0.25">
      <c r="M146" s="1"/>
    </row>
    <row r="147" spans="13:13" ht="20.100000000000001" customHeight="1" x14ac:dyDescent="0.25">
      <c r="M147" s="1"/>
    </row>
    <row r="148" spans="13:13" ht="20.100000000000001" customHeight="1" x14ac:dyDescent="0.25">
      <c r="M148" s="1"/>
    </row>
    <row r="149" spans="13:13" ht="20.100000000000001" customHeight="1" x14ac:dyDescent="0.25">
      <c r="M149" s="1"/>
    </row>
    <row r="150" spans="13:13" ht="20.100000000000001" customHeight="1" x14ac:dyDescent="0.25">
      <c r="M150" s="1"/>
    </row>
    <row r="151" spans="13:13" ht="20.100000000000001" customHeight="1" x14ac:dyDescent="0.25">
      <c r="M151" s="1"/>
    </row>
    <row r="152" spans="13:13" ht="20.100000000000001" customHeight="1" x14ac:dyDescent="0.25">
      <c r="M152" s="1"/>
    </row>
    <row r="153" spans="13:13" ht="20.100000000000001" customHeight="1" x14ac:dyDescent="0.25">
      <c r="M153" s="1"/>
    </row>
    <row r="154" spans="13:13" ht="20.100000000000001" customHeight="1" x14ac:dyDescent="0.25">
      <c r="M154" s="1"/>
    </row>
    <row r="155" spans="13:13" ht="20.100000000000001" customHeight="1" x14ac:dyDescent="0.25">
      <c r="M155" s="1"/>
    </row>
    <row r="156" spans="13:13" ht="20.100000000000001" customHeight="1" x14ac:dyDescent="0.25">
      <c r="M156" s="1"/>
    </row>
    <row r="157" spans="13:13" ht="20.100000000000001" customHeight="1" x14ac:dyDescent="0.25">
      <c r="M157" s="1"/>
    </row>
    <row r="158" spans="13:13" ht="20.100000000000001" customHeight="1" x14ac:dyDescent="0.25">
      <c r="M158" s="1"/>
    </row>
    <row r="159" spans="13:13" ht="20.100000000000001" customHeight="1" x14ac:dyDescent="0.25">
      <c r="M159" s="1"/>
    </row>
    <row r="160" spans="13:13" ht="20.100000000000001" customHeight="1" x14ac:dyDescent="0.25">
      <c r="M160" s="1"/>
    </row>
    <row r="161" spans="13:13" ht="20.100000000000001" customHeight="1" x14ac:dyDescent="0.25">
      <c r="M161" s="1"/>
    </row>
    <row r="162" spans="13:13" ht="20.100000000000001" customHeight="1" x14ac:dyDescent="0.25">
      <c r="M162" s="1"/>
    </row>
    <row r="163" spans="13:13" ht="20.100000000000001" customHeight="1" x14ac:dyDescent="0.25">
      <c r="M163" s="1"/>
    </row>
    <row r="164" spans="13:13" ht="20.100000000000001" customHeight="1" x14ac:dyDescent="0.25">
      <c r="M164" s="1"/>
    </row>
    <row r="165" spans="13:13" ht="20.100000000000001" customHeight="1" x14ac:dyDescent="0.25">
      <c r="M165" s="1"/>
    </row>
    <row r="166" spans="13:13" x14ac:dyDescent="0.25">
      <c r="M166" s="1"/>
    </row>
    <row r="167" spans="13:13" x14ac:dyDescent="0.25">
      <c r="M167" s="1"/>
    </row>
    <row r="168" spans="13:13" x14ac:dyDescent="0.25">
      <c r="M168" s="1"/>
    </row>
    <row r="169" spans="13:13" x14ac:dyDescent="0.25">
      <c r="M169" s="1"/>
    </row>
    <row r="170" spans="13:13" x14ac:dyDescent="0.25">
      <c r="M170" s="1"/>
    </row>
    <row r="171" spans="13:13" x14ac:dyDescent="0.25">
      <c r="M171" s="1"/>
    </row>
    <row r="172" spans="13:13" x14ac:dyDescent="0.25">
      <c r="M172" s="1"/>
    </row>
    <row r="173" spans="13:13" x14ac:dyDescent="0.25">
      <c r="M173" s="1"/>
    </row>
    <row r="174" spans="13:13" x14ac:dyDescent="0.25">
      <c r="M174" s="1"/>
    </row>
    <row r="175" spans="13:13" x14ac:dyDescent="0.25">
      <c r="M175" s="1"/>
    </row>
    <row r="176" spans="13:13" x14ac:dyDescent="0.25">
      <c r="M176" s="1"/>
    </row>
    <row r="177" spans="13:13" x14ac:dyDescent="0.25">
      <c r="M177" s="1"/>
    </row>
    <row r="178" spans="13:13" x14ac:dyDescent="0.25">
      <c r="M178" s="1"/>
    </row>
    <row r="179" spans="13:13" x14ac:dyDescent="0.25">
      <c r="M179" s="1"/>
    </row>
    <row r="180" spans="13:13" x14ac:dyDescent="0.25">
      <c r="M180" s="1"/>
    </row>
    <row r="181" spans="13:13" x14ac:dyDescent="0.25">
      <c r="M181" s="1"/>
    </row>
    <row r="182" spans="13:13" x14ac:dyDescent="0.25">
      <c r="M182" s="1"/>
    </row>
    <row r="183" spans="13:13" x14ac:dyDescent="0.25">
      <c r="M183" s="1"/>
    </row>
    <row r="184" spans="13:13" x14ac:dyDescent="0.25">
      <c r="M184" s="1"/>
    </row>
    <row r="185" spans="13:13" x14ac:dyDescent="0.25">
      <c r="M185" s="1"/>
    </row>
    <row r="186" spans="13:13" x14ac:dyDescent="0.25">
      <c r="M186" s="1"/>
    </row>
    <row r="187" spans="13:13" x14ac:dyDescent="0.25">
      <c r="M187" s="1"/>
    </row>
    <row r="188" spans="13:13" x14ac:dyDescent="0.25">
      <c r="M188" s="1"/>
    </row>
    <row r="189" spans="13:13" x14ac:dyDescent="0.25">
      <c r="M189" s="1"/>
    </row>
    <row r="190" spans="13:13" x14ac:dyDescent="0.25">
      <c r="M190" s="1"/>
    </row>
    <row r="191" spans="13:13" x14ac:dyDescent="0.25">
      <c r="M191" s="1"/>
    </row>
    <row r="192" spans="13:13" x14ac:dyDescent="0.25">
      <c r="M192" s="1"/>
    </row>
    <row r="193" spans="13:13" x14ac:dyDescent="0.25">
      <c r="M193" s="1"/>
    </row>
    <row r="194" spans="13:13" x14ac:dyDescent="0.25">
      <c r="M194" s="1"/>
    </row>
    <row r="195" spans="13:13" x14ac:dyDescent="0.25">
      <c r="M195" s="1"/>
    </row>
    <row r="196" spans="13:13" x14ac:dyDescent="0.25">
      <c r="M196" s="1"/>
    </row>
    <row r="197" spans="13:13" x14ac:dyDescent="0.25">
      <c r="M197" s="1"/>
    </row>
    <row r="198" spans="13:13" x14ac:dyDescent="0.25">
      <c r="M198" s="1"/>
    </row>
    <row r="199" spans="13:13" x14ac:dyDescent="0.25">
      <c r="M199" s="1"/>
    </row>
    <row r="200" spans="13:13" x14ac:dyDescent="0.25">
      <c r="M200" s="1"/>
    </row>
    <row r="201" spans="13:13" x14ac:dyDescent="0.25">
      <c r="M201" s="1"/>
    </row>
    <row r="202" spans="13:13" x14ac:dyDescent="0.25">
      <c r="M202" s="1"/>
    </row>
    <row r="203" spans="13:13" x14ac:dyDescent="0.25">
      <c r="M203" s="1"/>
    </row>
    <row r="204" spans="13:13" x14ac:dyDescent="0.25">
      <c r="M204" s="1"/>
    </row>
    <row r="205" spans="13:13" x14ac:dyDescent="0.25">
      <c r="M205" s="1"/>
    </row>
    <row r="206" spans="13:13" x14ac:dyDescent="0.25">
      <c r="M206" s="1"/>
    </row>
    <row r="207" spans="13:13" x14ac:dyDescent="0.25">
      <c r="M207" s="1"/>
    </row>
    <row r="208" spans="13:13" x14ac:dyDescent="0.25">
      <c r="M208" s="1"/>
    </row>
    <row r="209" spans="13:13" x14ac:dyDescent="0.25">
      <c r="M209" s="1"/>
    </row>
    <row r="210" spans="13:13" x14ac:dyDescent="0.25">
      <c r="M210" s="1"/>
    </row>
    <row r="211" spans="13:13" x14ac:dyDescent="0.25">
      <c r="M211" s="1"/>
    </row>
    <row r="212" spans="13:13" x14ac:dyDescent="0.25">
      <c r="M212" s="1"/>
    </row>
    <row r="213" spans="13:13" x14ac:dyDescent="0.25">
      <c r="M213" s="1"/>
    </row>
    <row r="214" spans="13:13" x14ac:dyDescent="0.25">
      <c r="M214" s="1"/>
    </row>
    <row r="215" spans="13:13" x14ac:dyDescent="0.25">
      <c r="M215" s="1"/>
    </row>
    <row r="216" spans="13:13" x14ac:dyDescent="0.25">
      <c r="M216" s="1"/>
    </row>
    <row r="217" spans="13:13" x14ac:dyDescent="0.25">
      <c r="M217" s="1"/>
    </row>
    <row r="218" spans="13:13" x14ac:dyDescent="0.25">
      <c r="M218" s="1"/>
    </row>
    <row r="219" spans="13:13" x14ac:dyDescent="0.25">
      <c r="M219" s="1"/>
    </row>
    <row r="220" spans="13:13" x14ac:dyDescent="0.25">
      <c r="M220" s="1"/>
    </row>
    <row r="221" spans="13:13" x14ac:dyDescent="0.25">
      <c r="M221" s="1"/>
    </row>
    <row r="222" spans="13:13" x14ac:dyDescent="0.25">
      <c r="M222" s="1"/>
    </row>
    <row r="223" spans="13:13" x14ac:dyDescent="0.25">
      <c r="M223" s="1"/>
    </row>
    <row r="224" spans="13:13" x14ac:dyDescent="0.25">
      <c r="M224" s="1"/>
    </row>
    <row r="225" spans="13:13" x14ac:dyDescent="0.25">
      <c r="M225" s="1"/>
    </row>
    <row r="226" spans="13:13" x14ac:dyDescent="0.25">
      <c r="M226" s="1"/>
    </row>
    <row r="227" spans="13:13" x14ac:dyDescent="0.25">
      <c r="M227" s="1"/>
    </row>
    <row r="228" spans="13:13" x14ac:dyDescent="0.25">
      <c r="M228" s="1"/>
    </row>
    <row r="229" spans="13:13" x14ac:dyDescent="0.25">
      <c r="M229" s="1"/>
    </row>
    <row r="230" spans="13:13" x14ac:dyDescent="0.25">
      <c r="M230" s="1"/>
    </row>
    <row r="231" spans="13:13" x14ac:dyDescent="0.25">
      <c r="M231" s="1"/>
    </row>
    <row r="232" spans="13:13" x14ac:dyDescent="0.25">
      <c r="M232" s="1"/>
    </row>
    <row r="233" spans="13:13" x14ac:dyDescent="0.25">
      <c r="M233" s="1"/>
    </row>
    <row r="234" spans="13:13" x14ac:dyDescent="0.25">
      <c r="M234" s="1"/>
    </row>
    <row r="235" spans="13:13" x14ac:dyDescent="0.25">
      <c r="M235" s="1"/>
    </row>
    <row r="236" spans="13:13" x14ac:dyDescent="0.25">
      <c r="M236" s="1"/>
    </row>
    <row r="237" spans="13:13" x14ac:dyDescent="0.25">
      <c r="M237" s="1"/>
    </row>
    <row r="238" spans="13:13" x14ac:dyDescent="0.25">
      <c r="M238" s="1"/>
    </row>
    <row r="239" spans="13:13" x14ac:dyDescent="0.25">
      <c r="M239" s="1"/>
    </row>
    <row r="240" spans="13:13" x14ac:dyDescent="0.25">
      <c r="M240" s="1"/>
    </row>
    <row r="241" spans="13:13" x14ac:dyDescent="0.25">
      <c r="M241" s="1"/>
    </row>
    <row r="242" spans="13:13" x14ac:dyDescent="0.25">
      <c r="M242" s="1"/>
    </row>
    <row r="243" spans="13:13" x14ac:dyDescent="0.25">
      <c r="M243" s="1"/>
    </row>
    <row r="244" spans="13:13" x14ac:dyDescent="0.25">
      <c r="M244" s="1"/>
    </row>
    <row r="245" spans="13:13" x14ac:dyDescent="0.25">
      <c r="M245" s="1"/>
    </row>
    <row r="246" spans="13:13" x14ac:dyDescent="0.25">
      <c r="M246" s="1"/>
    </row>
    <row r="247" spans="13:13" x14ac:dyDescent="0.25">
      <c r="M247" s="1"/>
    </row>
    <row r="248" spans="13:13" x14ac:dyDescent="0.25">
      <c r="M248" s="1"/>
    </row>
    <row r="249" spans="13:13" x14ac:dyDescent="0.25">
      <c r="M249" s="1"/>
    </row>
    <row r="250" spans="13:13" x14ac:dyDescent="0.25">
      <c r="M250" s="1"/>
    </row>
    <row r="251" spans="13:13" x14ac:dyDescent="0.25">
      <c r="M251" s="1"/>
    </row>
    <row r="252" spans="13:13" x14ac:dyDescent="0.25">
      <c r="M252" s="1"/>
    </row>
    <row r="253" spans="13:13" x14ac:dyDescent="0.25">
      <c r="M253" s="1"/>
    </row>
    <row r="254" spans="13:13" x14ac:dyDescent="0.25">
      <c r="M254" s="1"/>
    </row>
    <row r="255" spans="13:13" x14ac:dyDescent="0.25">
      <c r="M255" s="1"/>
    </row>
    <row r="256" spans="13:13" x14ac:dyDescent="0.25">
      <c r="M256" s="1"/>
    </row>
    <row r="257" spans="13:13" x14ac:dyDescent="0.25">
      <c r="M257" s="1"/>
    </row>
    <row r="258" spans="13:13" x14ac:dyDescent="0.25">
      <c r="M258" s="1"/>
    </row>
    <row r="259" spans="13:13" x14ac:dyDescent="0.25">
      <c r="M259" s="1"/>
    </row>
    <row r="260" spans="13:13" x14ac:dyDescent="0.25">
      <c r="M260" s="1"/>
    </row>
    <row r="261" spans="13:13" x14ac:dyDescent="0.25">
      <c r="M261" s="1"/>
    </row>
    <row r="262" spans="13:13" x14ac:dyDescent="0.25">
      <c r="M262" s="1"/>
    </row>
    <row r="263" spans="13:13" x14ac:dyDescent="0.25">
      <c r="M263" s="1"/>
    </row>
    <row r="264" spans="13:13" x14ac:dyDescent="0.25">
      <c r="M264" s="1"/>
    </row>
    <row r="265" spans="13:13" x14ac:dyDescent="0.25">
      <c r="M265" s="1"/>
    </row>
    <row r="266" spans="13:13" x14ac:dyDescent="0.25">
      <c r="M266" s="1"/>
    </row>
    <row r="267" spans="13:13" x14ac:dyDescent="0.25">
      <c r="M267" s="1"/>
    </row>
    <row r="268" spans="13:13" x14ac:dyDescent="0.25">
      <c r="M268" s="1"/>
    </row>
    <row r="269" spans="13:13" x14ac:dyDescent="0.25">
      <c r="M269" s="1"/>
    </row>
    <row r="270" spans="13:13" x14ac:dyDescent="0.25">
      <c r="M270" s="1"/>
    </row>
    <row r="271" spans="13:13" x14ac:dyDescent="0.25">
      <c r="M271" s="1"/>
    </row>
    <row r="272" spans="13:13" x14ac:dyDescent="0.25">
      <c r="M272" s="1"/>
    </row>
    <row r="273" spans="13:13" x14ac:dyDescent="0.25">
      <c r="M273" s="1"/>
    </row>
    <row r="274" spans="13:13" x14ac:dyDescent="0.25">
      <c r="M274" s="1"/>
    </row>
    <row r="275" spans="13:13" x14ac:dyDescent="0.25">
      <c r="M275" s="1"/>
    </row>
    <row r="276" spans="13:13" x14ac:dyDescent="0.25">
      <c r="M276" s="1"/>
    </row>
    <row r="277" spans="13:13" x14ac:dyDescent="0.25">
      <c r="M277" s="1"/>
    </row>
    <row r="278" spans="13:13" x14ac:dyDescent="0.25">
      <c r="M278" s="1"/>
    </row>
    <row r="279" spans="13:13" x14ac:dyDescent="0.25">
      <c r="M279" s="1"/>
    </row>
    <row r="280" spans="13:13" x14ac:dyDescent="0.25">
      <c r="M280" s="1"/>
    </row>
    <row r="281" spans="13:13" x14ac:dyDescent="0.25">
      <c r="M281" s="1"/>
    </row>
    <row r="282" spans="13:13" x14ac:dyDescent="0.25">
      <c r="M282" s="1"/>
    </row>
    <row r="283" spans="13:13" x14ac:dyDescent="0.25">
      <c r="M283" s="1"/>
    </row>
    <row r="284" spans="13:13" x14ac:dyDescent="0.25">
      <c r="M284" s="1"/>
    </row>
    <row r="285" spans="13:13" x14ac:dyDescent="0.25">
      <c r="M285" s="1"/>
    </row>
    <row r="286" spans="13:13" x14ac:dyDescent="0.25">
      <c r="M286" s="1"/>
    </row>
    <row r="287" spans="13:13" x14ac:dyDescent="0.25">
      <c r="M287" s="1"/>
    </row>
    <row r="288" spans="13:13" x14ac:dyDescent="0.25">
      <c r="M288" s="1"/>
    </row>
    <row r="289" spans="13:13" x14ac:dyDescent="0.25">
      <c r="M289" s="1"/>
    </row>
    <row r="290" spans="13:13" x14ac:dyDescent="0.25">
      <c r="M290" s="1"/>
    </row>
    <row r="291" spans="13:13" x14ac:dyDescent="0.25">
      <c r="M291" s="1"/>
    </row>
    <row r="292" spans="13:13" x14ac:dyDescent="0.25">
      <c r="M292" s="1"/>
    </row>
    <row r="293" spans="13:13" x14ac:dyDescent="0.25">
      <c r="M293" s="1"/>
    </row>
    <row r="294" spans="13:13" x14ac:dyDescent="0.25">
      <c r="M294" s="1"/>
    </row>
    <row r="295" spans="13:13" x14ac:dyDescent="0.25">
      <c r="M295" s="1"/>
    </row>
    <row r="296" spans="13:13" x14ac:dyDescent="0.25">
      <c r="M296" s="1"/>
    </row>
    <row r="297" spans="13:13" x14ac:dyDescent="0.25">
      <c r="M297" s="1"/>
    </row>
    <row r="298" spans="13:13" x14ac:dyDescent="0.25">
      <c r="M298" s="1"/>
    </row>
    <row r="299" spans="13:13" x14ac:dyDescent="0.25">
      <c r="M299" s="1"/>
    </row>
    <row r="300" spans="13:13" x14ac:dyDescent="0.25">
      <c r="M300" s="1"/>
    </row>
    <row r="301" spans="13:13" x14ac:dyDescent="0.25">
      <c r="M301" s="1"/>
    </row>
    <row r="302" spans="13:13" x14ac:dyDescent="0.25">
      <c r="M302" s="1"/>
    </row>
    <row r="303" spans="13:13" x14ac:dyDescent="0.25">
      <c r="M303" s="1"/>
    </row>
    <row r="304" spans="13:13" x14ac:dyDescent="0.25">
      <c r="M304" s="1"/>
    </row>
    <row r="305" spans="13:13" x14ac:dyDescent="0.25">
      <c r="M305" s="1"/>
    </row>
    <row r="306" spans="13:13" x14ac:dyDescent="0.25">
      <c r="M306" s="1"/>
    </row>
    <row r="307" spans="13:13" x14ac:dyDescent="0.25">
      <c r="M307" s="1"/>
    </row>
    <row r="308" spans="13:13" x14ac:dyDescent="0.25">
      <c r="M308" s="1"/>
    </row>
    <row r="309" spans="13:13" x14ac:dyDescent="0.25">
      <c r="M309" s="1"/>
    </row>
    <row r="310" spans="13:13" x14ac:dyDescent="0.25">
      <c r="M310" s="1"/>
    </row>
    <row r="311" spans="13:13" x14ac:dyDescent="0.25">
      <c r="M311" s="1"/>
    </row>
    <row r="312" spans="13:13" x14ac:dyDescent="0.25">
      <c r="M312" s="1"/>
    </row>
    <row r="313" spans="13:13" x14ac:dyDescent="0.25">
      <c r="M313" s="1"/>
    </row>
    <row r="314" spans="13:13" x14ac:dyDescent="0.25">
      <c r="M314" s="1"/>
    </row>
    <row r="315" spans="13:13" x14ac:dyDescent="0.25">
      <c r="M315" s="1"/>
    </row>
    <row r="316" spans="13:13" x14ac:dyDescent="0.25">
      <c r="M316" s="1"/>
    </row>
    <row r="317" spans="13:13" x14ac:dyDescent="0.25">
      <c r="M317" s="1"/>
    </row>
    <row r="318" spans="13:13" x14ac:dyDescent="0.25">
      <c r="M318" s="1"/>
    </row>
    <row r="319" spans="13:13" x14ac:dyDescent="0.25">
      <c r="M319" s="1"/>
    </row>
    <row r="320" spans="13:13" x14ac:dyDescent="0.25">
      <c r="M320" s="1"/>
    </row>
    <row r="321" spans="13:13" x14ac:dyDescent="0.25">
      <c r="M321" s="1"/>
    </row>
    <row r="322" spans="13:13" x14ac:dyDescent="0.25">
      <c r="M322" s="1"/>
    </row>
    <row r="323" spans="13:13" x14ac:dyDescent="0.25">
      <c r="M323" s="1"/>
    </row>
    <row r="324" spans="13:13" x14ac:dyDescent="0.25">
      <c r="M324" s="1"/>
    </row>
    <row r="325" spans="13:13" x14ac:dyDescent="0.25">
      <c r="M325" s="1"/>
    </row>
    <row r="326" spans="13:13" x14ac:dyDescent="0.25">
      <c r="M326" s="1"/>
    </row>
    <row r="327" spans="13:13" x14ac:dyDescent="0.25">
      <c r="M327" s="1"/>
    </row>
    <row r="328" spans="13:13" x14ac:dyDescent="0.25">
      <c r="M328" s="1"/>
    </row>
    <row r="329" spans="13:13" x14ac:dyDescent="0.25">
      <c r="M329" s="1"/>
    </row>
    <row r="330" spans="13:13" x14ac:dyDescent="0.25">
      <c r="M330" s="1"/>
    </row>
    <row r="331" spans="13:13" x14ac:dyDescent="0.25">
      <c r="M331" s="1"/>
    </row>
    <row r="332" spans="13:13" x14ac:dyDescent="0.25">
      <c r="M332" s="1"/>
    </row>
    <row r="333" spans="13:13" x14ac:dyDescent="0.25">
      <c r="M333" s="1"/>
    </row>
    <row r="334" spans="13:13" x14ac:dyDescent="0.25">
      <c r="M334" s="1"/>
    </row>
    <row r="335" spans="13:13" x14ac:dyDescent="0.25">
      <c r="M335" s="1"/>
    </row>
    <row r="336" spans="13:13" x14ac:dyDescent="0.25">
      <c r="M336" s="1"/>
    </row>
    <row r="337" spans="13:13" x14ac:dyDescent="0.25">
      <c r="M337" s="1"/>
    </row>
    <row r="338" spans="13:13" x14ac:dyDescent="0.25">
      <c r="M338" s="1"/>
    </row>
    <row r="339" spans="13:13" x14ac:dyDescent="0.25">
      <c r="M339" s="1"/>
    </row>
    <row r="340" spans="13:13" x14ac:dyDescent="0.25">
      <c r="M340" s="1"/>
    </row>
    <row r="341" spans="13:13" x14ac:dyDescent="0.25">
      <c r="M341" s="1"/>
    </row>
    <row r="342" spans="13:13" x14ac:dyDescent="0.25">
      <c r="M342" s="1"/>
    </row>
    <row r="343" spans="13:13" x14ac:dyDescent="0.25">
      <c r="M343" s="1"/>
    </row>
    <row r="344" spans="13:13" x14ac:dyDescent="0.25">
      <c r="M344" s="1"/>
    </row>
    <row r="345" spans="13:13" x14ac:dyDescent="0.25">
      <c r="M345" s="1"/>
    </row>
    <row r="346" spans="13:13" x14ac:dyDescent="0.25">
      <c r="M346" s="1"/>
    </row>
    <row r="347" spans="13:13" x14ac:dyDescent="0.25">
      <c r="M347" s="1"/>
    </row>
    <row r="348" spans="13:13" x14ac:dyDescent="0.25">
      <c r="M348" s="1"/>
    </row>
    <row r="349" spans="13:13" x14ac:dyDescent="0.25">
      <c r="M349" s="1"/>
    </row>
    <row r="350" spans="13:13" x14ac:dyDescent="0.25">
      <c r="M350" s="1"/>
    </row>
    <row r="351" spans="13:13" x14ac:dyDescent="0.25">
      <c r="M351" s="1"/>
    </row>
    <row r="352" spans="13:13" x14ac:dyDescent="0.25">
      <c r="M352" s="1"/>
    </row>
    <row r="353" spans="13:13" x14ac:dyDescent="0.25">
      <c r="M353" s="1"/>
    </row>
    <row r="354" spans="13:13" x14ac:dyDescent="0.25">
      <c r="M354" s="1"/>
    </row>
    <row r="355" spans="13:13" x14ac:dyDescent="0.25">
      <c r="M355" s="1"/>
    </row>
    <row r="356" spans="13:13" x14ac:dyDescent="0.25">
      <c r="M356" s="1"/>
    </row>
    <row r="357" spans="13:13" x14ac:dyDescent="0.25">
      <c r="M357" s="1"/>
    </row>
    <row r="358" spans="13:13" x14ac:dyDescent="0.25">
      <c r="M358" s="1"/>
    </row>
    <row r="359" spans="13:13" x14ac:dyDescent="0.25">
      <c r="M359" s="1"/>
    </row>
    <row r="360" spans="13:13" x14ac:dyDescent="0.25">
      <c r="M360" s="1"/>
    </row>
    <row r="361" spans="13:13" x14ac:dyDescent="0.25">
      <c r="M361" s="1"/>
    </row>
    <row r="362" spans="13:13" x14ac:dyDescent="0.25">
      <c r="M362" s="1"/>
    </row>
    <row r="363" spans="13:13" x14ac:dyDescent="0.25">
      <c r="M363" s="1"/>
    </row>
    <row r="364" spans="13:13" x14ac:dyDescent="0.25">
      <c r="M364" s="1"/>
    </row>
    <row r="365" spans="13:13" x14ac:dyDescent="0.25">
      <c r="M365" s="1"/>
    </row>
    <row r="366" spans="13:13" x14ac:dyDescent="0.25">
      <c r="M366" s="1"/>
    </row>
    <row r="367" spans="13:13" x14ac:dyDescent="0.25">
      <c r="M367" s="1"/>
    </row>
    <row r="368" spans="13:13" x14ac:dyDescent="0.25">
      <c r="M368" s="1"/>
    </row>
    <row r="369" spans="13:13" x14ac:dyDescent="0.25">
      <c r="M369" s="1"/>
    </row>
    <row r="370" spans="13:13" x14ac:dyDescent="0.25">
      <c r="M370" s="1"/>
    </row>
    <row r="371" spans="13:13" x14ac:dyDescent="0.25">
      <c r="M371" s="1"/>
    </row>
    <row r="372" spans="13:13" x14ac:dyDescent="0.25">
      <c r="M372" s="1"/>
    </row>
    <row r="373" spans="13:13" x14ac:dyDescent="0.25">
      <c r="M373" s="1"/>
    </row>
    <row r="374" spans="13:13" x14ac:dyDescent="0.25">
      <c r="M374" s="1"/>
    </row>
    <row r="375" spans="13:13" x14ac:dyDescent="0.25">
      <c r="M375" s="1"/>
    </row>
    <row r="376" spans="13:13" x14ac:dyDescent="0.25">
      <c r="M376" s="1"/>
    </row>
    <row r="377" spans="13:13" x14ac:dyDescent="0.25">
      <c r="M377" s="1"/>
    </row>
    <row r="378" spans="13:13" x14ac:dyDescent="0.25">
      <c r="M378" s="1"/>
    </row>
    <row r="379" spans="13:13" x14ac:dyDescent="0.25">
      <c r="M379" s="1"/>
    </row>
    <row r="380" spans="13:13" x14ac:dyDescent="0.25">
      <c r="M380" s="1"/>
    </row>
    <row r="381" spans="13:13" x14ac:dyDescent="0.25">
      <c r="M381" s="1"/>
    </row>
    <row r="382" spans="13:13" x14ac:dyDescent="0.25">
      <c r="M382" s="1"/>
    </row>
    <row r="383" spans="13:13" x14ac:dyDescent="0.25">
      <c r="M383" s="1"/>
    </row>
    <row r="384" spans="13:13" x14ac:dyDescent="0.25">
      <c r="M384" s="1"/>
    </row>
    <row r="385" spans="13:13" x14ac:dyDescent="0.25">
      <c r="M385" s="1"/>
    </row>
    <row r="386" spans="13:13" x14ac:dyDescent="0.25">
      <c r="M386" s="1"/>
    </row>
    <row r="387" spans="13:13" x14ac:dyDescent="0.25">
      <c r="M387" s="1"/>
    </row>
    <row r="388" spans="13:13" x14ac:dyDescent="0.25">
      <c r="M388" s="1"/>
    </row>
    <row r="389" spans="13:13" x14ac:dyDescent="0.25">
      <c r="M389" s="1"/>
    </row>
    <row r="390" spans="13:13" x14ac:dyDescent="0.25">
      <c r="M390" s="1"/>
    </row>
    <row r="391" spans="13:13" x14ac:dyDescent="0.25">
      <c r="M391" s="1"/>
    </row>
    <row r="392" spans="13:13" x14ac:dyDescent="0.25">
      <c r="M392" s="1"/>
    </row>
    <row r="393" spans="13:13" x14ac:dyDescent="0.25">
      <c r="M393" s="1"/>
    </row>
    <row r="394" spans="13:13" x14ac:dyDescent="0.25">
      <c r="M394" s="1"/>
    </row>
    <row r="395" spans="13:13" x14ac:dyDescent="0.25">
      <c r="M395" s="1"/>
    </row>
    <row r="396" spans="13:13" x14ac:dyDescent="0.25">
      <c r="M396" s="1"/>
    </row>
    <row r="397" spans="13:13" x14ac:dyDescent="0.25">
      <c r="M397" s="1"/>
    </row>
    <row r="398" spans="13:13" x14ac:dyDescent="0.25">
      <c r="M398" s="1"/>
    </row>
    <row r="399" spans="13:13" x14ac:dyDescent="0.25">
      <c r="M399" s="1"/>
    </row>
    <row r="400" spans="13:13" x14ac:dyDescent="0.25">
      <c r="M400" s="1"/>
    </row>
    <row r="401" spans="13:13" x14ac:dyDescent="0.25">
      <c r="M401" s="1"/>
    </row>
    <row r="402" spans="13:13" x14ac:dyDescent="0.25">
      <c r="M402" s="1"/>
    </row>
    <row r="403" spans="13:13" x14ac:dyDescent="0.25">
      <c r="M403" s="1"/>
    </row>
    <row r="404" spans="13:13" x14ac:dyDescent="0.25">
      <c r="M404" s="1"/>
    </row>
    <row r="405" spans="13:13" x14ac:dyDescent="0.25">
      <c r="M405" s="1"/>
    </row>
    <row r="406" spans="13:13" x14ac:dyDescent="0.25">
      <c r="M406" s="1"/>
    </row>
    <row r="407" spans="13:13" x14ac:dyDescent="0.25">
      <c r="M407" s="1"/>
    </row>
    <row r="408" spans="13:13" x14ac:dyDescent="0.25">
      <c r="M408" s="1"/>
    </row>
    <row r="409" spans="13:13" x14ac:dyDescent="0.25">
      <c r="M409" s="1"/>
    </row>
    <row r="410" spans="13:13" x14ac:dyDescent="0.25">
      <c r="M410" s="1"/>
    </row>
    <row r="411" spans="13:13" x14ac:dyDescent="0.25">
      <c r="M411" s="1"/>
    </row>
    <row r="412" spans="13:13" x14ac:dyDescent="0.25">
      <c r="M412" s="1"/>
    </row>
    <row r="413" spans="13:13" x14ac:dyDescent="0.25">
      <c r="M413" s="1"/>
    </row>
    <row r="414" spans="13:13" x14ac:dyDescent="0.25">
      <c r="M414" s="1"/>
    </row>
    <row r="415" spans="13:13" x14ac:dyDescent="0.25">
      <c r="M415" s="1"/>
    </row>
    <row r="416" spans="13:13" x14ac:dyDescent="0.25">
      <c r="M416" s="1"/>
    </row>
    <row r="417" spans="13:13" x14ac:dyDescent="0.25">
      <c r="M417" s="1"/>
    </row>
    <row r="418" spans="13:13" x14ac:dyDescent="0.25">
      <c r="M418" s="1"/>
    </row>
    <row r="419" spans="13:13" x14ac:dyDescent="0.25">
      <c r="M419" s="1"/>
    </row>
    <row r="420" spans="13:13" x14ac:dyDescent="0.25">
      <c r="M420" s="1"/>
    </row>
    <row r="421" spans="13:13" x14ac:dyDescent="0.25">
      <c r="M421" s="1"/>
    </row>
    <row r="422" spans="13:13" x14ac:dyDescent="0.25">
      <c r="M422" s="1"/>
    </row>
    <row r="423" spans="13:13" x14ac:dyDescent="0.25">
      <c r="M423" s="1"/>
    </row>
    <row r="424" spans="13:13" x14ac:dyDescent="0.25">
      <c r="M424" s="1"/>
    </row>
    <row r="425" spans="13:13" x14ac:dyDescent="0.25">
      <c r="M425" s="1"/>
    </row>
    <row r="426" spans="13:13" x14ac:dyDescent="0.25">
      <c r="M426" s="1"/>
    </row>
    <row r="427" spans="13:13" x14ac:dyDescent="0.25">
      <c r="M427" s="1"/>
    </row>
    <row r="428" spans="13:13" x14ac:dyDescent="0.25">
      <c r="M428" s="1"/>
    </row>
    <row r="429" spans="13:13" x14ac:dyDescent="0.25">
      <c r="M429" s="1"/>
    </row>
    <row r="430" spans="13:13" x14ac:dyDescent="0.25">
      <c r="M430" s="1"/>
    </row>
    <row r="431" spans="13:13" x14ac:dyDescent="0.25">
      <c r="M431" s="1"/>
    </row>
    <row r="432" spans="13:13" x14ac:dyDescent="0.25">
      <c r="M432" s="1"/>
    </row>
    <row r="433" spans="13:13" x14ac:dyDescent="0.25">
      <c r="M433" s="1"/>
    </row>
    <row r="434" spans="13:13" x14ac:dyDescent="0.25">
      <c r="M434" s="1"/>
    </row>
    <row r="435" spans="13:13" x14ac:dyDescent="0.25">
      <c r="M435" s="1"/>
    </row>
    <row r="436" spans="13:13" x14ac:dyDescent="0.25">
      <c r="M436" s="1"/>
    </row>
    <row r="437" spans="13:13" x14ac:dyDescent="0.25">
      <c r="M437" s="1"/>
    </row>
    <row r="438" spans="13:13" x14ac:dyDescent="0.25">
      <c r="M438" s="1"/>
    </row>
    <row r="439" spans="13:13" x14ac:dyDescent="0.25">
      <c r="M439" s="1"/>
    </row>
    <row r="440" spans="13:13" x14ac:dyDescent="0.25">
      <c r="M440" s="1"/>
    </row>
    <row r="441" spans="13:13" x14ac:dyDescent="0.25">
      <c r="M441" s="1"/>
    </row>
    <row r="442" spans="13:13" x14ac:dyDescent="0.25">
      <c r="M442" s="1"/>
    </row>
    <row r="443" spans="13:13" x14ac:dyDescent="0.25">
      <c r="M443" s="1"/>
    </row>
    <row r="444" spans="13:13" x14ac:dyDescent="0.25">
      <c r="M444" s="1"/>
    </row>
    <row r="445" spans="13:13" x14ac:dyDescent="0.25">
      <c r="M445" s="1"/>
    </row>
    <row r="446" spans="13:13" x14ac:dyDescent="0.25">
      <c r="M446" s="1"/>
    </row>
    <row r="447" spans="13:13" x14ac:dyDescent="0.25">
      <c r="M447" s="1"/>
    </row>
    <row r="448" spans="13:13" x14ac:dyDescent="0.25">
      <c r="M448" s="1"/>
    </row>
    <row r="449" spans="13:13" x14ac:dyDescent="0.25">
      <c r="M449" s="1"/>
    </row>
    <row r="450" spans="13:13" x14ac:dyDescent="0.25">
      <c r="M450" s="1"/>
    </row>
    <row r="451" spans="13:13" x14ac:dyDescent="0.25">
      <c r="M451" s="1"/>
    </row>
    <row r="452" spans="13:13" x14ac:dyDescent="0.25">
      <c r="M452" s="1"/>
    </row>
  </sheetData>
  <pageMargins left="0.7" right="0.7" top="0.75" bottom="0.75" header="0.3" footer="0.3"/>
  <tableParts count="13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3E56-6FEA-4987-83A1-83553A1CECB6}">
  <dimension ref="A1:BX224"/>
  <sheetViews>
    <sheetView showGridLines="0" zoomScale="85" zoomScaleNormal="85" workbookViewId="0"/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77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7" t="s">
        <v>21</v>
      </c>
      <c r="E6" s="37" t="s">
        <v>22</v>
      </c>
      <c r="F6" s="37" t="s">
        <v>23</v>
      </c>
    </row>
    <row r="7" spans="1:64" ht="20.100000000000001" customHeight="1" x14ac:dyDescent="0.25">
      <c r="A7"/>
      <c r="D7" s="37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7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7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7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7" t="str" cm="1">
        <f t="array" ref="E8">Common_InputFunctions.Utility_DisplayArrayInTable(Common_SourceData.Common_SourceData_AustralianStatesTerritories_Data(),Table_AustralianStates[[#Headers],[State/Territory]],0)</f>
        <v>ACT</v>
      </c>
      <c r="F8" s="37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7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7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7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7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7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7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7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7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7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7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7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7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7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7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7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7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7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7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7" t="s">
        <v>24</v>
      </c>
    </row>
    <row r="21" spans="1:4" ht="20.100000000000001" customHeight="1" x14ac:dyDescent="0.25">
      <c r="A21"/>
      <c r="D21" s="37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7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7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7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7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7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7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7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7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7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7" t="s">
        <v>27</v>
      </c>
      <c r="E36" s="37" t="s">
        <v>28</v>
      </c>
    </row>
    <row r="37" spans="1:8" ht="20.100000000000001" customHeight="1" x14ac:dyDescent="0.25">
      <c r="A37"/>
      <c r="D37" s="37" t="str" cm="1">
        <f t="array" ref="D37">Common_InputFunctions.Utility_DisplayArrayInTable(Common_SourceData.Common_SourceData_GWP_Data(), Table_GWPData[[#Headers],[Gas]], 0)</f>
        <v>CO2</v>
      </c>
      <c r="E37" s="37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7" t="str" cm="1">
        <f t="array" ref="D38">Common_InputFunctions.Utility_DisplayArrayInTable(Common_SourceData.Common_SourceData_GWP_Data(), Table_GWPData[[#Headers],[Gas]], 0)</f>
        <v>CH4</v>
      </c>
      <c r="E38" s="37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7" t="str" cm="1">
        <f t="array" ref="D39">Common_InputFunctions.Utility_DisplayArrayInTable(Common_SourceData.Common_SourceData_GWP_Data(), Table_GWPData[[#Headers],[Gas]], 0)</f>
        <v>N2O</v>
      </c>
      <c r="E39" s="37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7" t="str" cm="1">
        <f t="array" ref="D40">Common_InputFunctions.Utility_DisplayArrayInTable(Common_SourceData.Common_SourceData_GWP_Data(), Table_GWPData[[#Headers],[Gas]], 0)</f>
        <v>CF4</v>
      </c>
      <c r="E40" s="37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7" t="str" cm="1">
        <f t="array" ref="D41">Common_InputFunctions.Utility_DisplayArrayInTable(Common_SourceData.Common_SourceData_GWP_Data(), Table_GWPData[[#Headers],[Gas]], 0)</f>
        <v>C2F6</v>
      </c>
      <c r="E41" s="37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7" t="str" cm="1">
        <f t="array" ref="D42">Common_InputFunctions.Utility_DisplayArrayInTable(Common_SourceData.Common_SourceData_GWP_Data(), Table_GWPData[[#Headers],[Gas]], 0)</f>
        <v>SF6</v>
      </c>
      <c r="E42" s="37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7" t="str" cm="1">
        <f t="array" ref="D43">Common_InputFunctions.Utility_DisplayArrayInTable(Common_SourceData.Common_SourceData_GWP_Data(), Table_GWPData[[#Headers],[Gas]], 0)</f>
        <v>NF3</v>
      </c>
      <c r="E43" s="37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7" t="s">
        <v>27</v>
      </c>
      <c r="E47" s="37" t="s">
        <v>30</v>
      </c>
      <c r="F47" s="37" t="s">
        <v>31</v>
      </c>
      <c r="G47" s="37" t="s">
        <v>32</v>
      </c>
      <c r="H47" s="37" t="s">
        <v>33</v>
      </c>
    </row>
    <row r="48" spans="1:8" ht="20.100000000000001" customHeight="1" x14ac:dyDescent="0.25">
      <c r="D48" s="37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7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7" cm="1">
        <f t="array" ref="F48">Common_InputFunctions.Utility_DisplayArrayInTable(Common_SourceData.Common_SourceData_ConvertGasElementalToMolecular_Data(),Table_GasToMolecularConversionFactor[[#Headers],[Gas]], 0)</f>
        <v>44</v>
      </c>
      <c r="G48" s="37" cm="1">
        <f t="array" ref="G48">Common_InputFunctions.Utility_DisplayArrayInTable(Common_SourceData.Common_SourceData_ConvertGasElementalToMolecular_Data(),Table_GasToMolecularConversionFactor[[#Headers],[Gas]], 0)</f>
        <v>12</v>
      </c>
      <c r="H48" s="37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7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7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7" cm="1">
        <f t="array" ref="F49">Common_InputFunctions.Utility_DisplayArrayInTable(Common_SourceData.Common_SourceData_ConvertGasElementalToMolecular_Data(),Table_GasToMolecularConversionFactor[[#Headers],[Gas]], 0)</f>
        <v>16</v>
      </c>
      <c r="G49" s="37" cm="1">
        <f t="array" ref="G49">Common_InputFunctions.Utility_DisplayArrayInTable(Common_SourceData.Common_SourceData_ConvertGasElementalToMolecular_Data(),Table_GasToMolecularConversionFactor[[#Headers],[Gas]], 0)</f>
        <v>12</v>
      </c>
      <c r="H49" s="37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7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7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7" cm="1">
        <f t="array" ref="F50">Common_InputFunctions.Utility_DisplayArrayInTable(Common_SourceData.Common_SourceData_ConvertGasElementalToMolecular_Data(),Table_GasToMolecularConversionFactor[[#Headers],[Gas]], 0)</f>
        <v>44</v>
      </c>
      <c r="G50" s="37" cm="1">
        <f t="array" ref="G50">Common_InputFunctions.Utility_DisplayArrayInTable(Common_SourceData.Common_SourceData_ConvertGasElementalToMolecular_Data(),Table_GasToMolecularConversionFactor[[#Headers],[Gas]], 0)</f>
        <v>28</v>
      </c>
      <c r="H50" s="37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7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7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7" cm="1">
        <f t="array" ref="F51">Common_InputFunctions.Utility_DisplayArrayInTable(Common_SourceData.Common_SourceData_ConvertGasElementalToMolecular_Data(),Table_GasToMolecularConversionFactor[[#Headers],[Gas]], 0)</f>
        <v>46</v>
      </c>
      <c r="G51" s="37" cm="1">
        <f t="array" ref="G51">Common_InputFunctions.Utility_DisplayArrayInTable(Common_SourceData.Common_SourceData_ConvertGasElementalToMolecular_Data(),Table_GasToMolecularConversionFactor[[#Headers],[Gas]], 0)</f>
        <v>14</v>
      </c>
      <c r="H51" s="37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7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7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7" cm="1">
        <f t="array" ref="F52">Common_InputFunctions.Utility_DisplayArrayInTable(Common_SourceData.Common_SourceData_ConvertGasElementalToMolecular_Data(),Table_GasToMolecularConversionFactor[[#Headers],[Gas]], 0)</f>
        <v>28</v>
      </c>
      <c r="G52" s="37" cm="1">
        <f t="array" ref="G52">Common_InputFunctions.Utility_DisplayArrayInTable(Common_SourceData.Common_SourceData_ConvertGasElementalToMolecular_Data(),Table_GasToMolecularConversionFactor[[#Headers],[Gas]], 0)</f>
        <v>12</v>
      </c>
      <c r="H52" s="37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7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7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7" cm="1">
        <f t="array" ref="F53">Common_InputFunctions.Utility_DisplayArrayInTable(Common_SourceData.Common_SourceData_ConvertGasElementalToMolecular_Data(),Table_GasToMolecularConversionFactor[[#Headers],[Gas]], 0)</f>
        <v>44</v>
      </c>
      <c r="G53" s="37" cm="1">
        <f t="array" ref="G53">Common_InputFunctions.Utility_DisplayArrayInTable(Common_SourceData.Common_SourceData_ConvertGasElementalToMolecular_Data(),Table_GasToMolecularConversionFactor[[#Headers],[Gas]], 0)</f>
        <v>12</v>
      </c>
      <c r="H53" s="37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7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7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7" cm="1">
        <f t="array" ref="F54">Common_InputFunctions.Utility_DisplayArrayInTable(Common_SourceData.Common_SourceData_ConvertGasElementalToMolecular_Data(),Table_GasToMolecularConversionFactor[[#Headers],[Gas]], 0)</f>
        <v>14</v>
      </c>
      <c r="G54" s="37" cm="1">
        <f t="array" ref="G54">Common_InputFunctions.Utility_DisplayArrayInTable(Common_SourceData.Common_SourceData_ConvertGasElementalToMolecular_Data(),Table_GasToMolecularConversionFactor[[#Headers],[Gas]], 0)</f>
        <v>12</v>
      </c>
      <c r="H54" s="37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5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5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5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7" t="s">
        <v>10</v>
      </c>
      <c r="E63" s="37" t="s">
        <v>48</v>
      </c>
    </row>
    <row r="64" spans="4:8" ht="20.100000000000001" customHeight="1" x14ac:dyDescent="0.25">
      <c r="D64" s="37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7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7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7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7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7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7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7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7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7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7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7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7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7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7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7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7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7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7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7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7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7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7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7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7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7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7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7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5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5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5" t="str">
        <v>⚠️Fixed typo in MAT value for warm temperate dry - changed 10 to 11.</v>
      </c>
    </row>
    <row r="86" spans="4:19" ht="20.100000000000001" customHeight="1" x14ac:dyDescent="0.25">
      <c r="D86" s="55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5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7" t="s">
        <v>10</v>
      </c>
      <c r="E89" s="37" t="s">
        <v>36</v>
      </c>
      <c r="F89" s="37" t="s">
        <v>37</v>
      </c>
      <c r="G89" s="37" t="s">
        <v>38</v>
      </c>
      <c r="H89" s="37" t="s">
        <v>39</v>
      </c>
      <c r="I89" s="37" t="s">
        <v>40</v>
      </c>
      <c r="J89" s="37" t="s">
        <v>41</v>
      </c>
      <c r="K89" s="37" t="s">
        <v>42</v>
      </c>
      <c r="L89" s="37" t="s">
        <v>43</v>
      </c>
      <c r="M89" s="37" t="s">
        <v>44</v>
      </c>
      <c r="N89" s="37" t="s">
        <v>45</v>
      </c>
      <c r="O89" s="37" t="s">
        <v>49</v>
      </c>
      <c r="P89" s="37" t="s">
        <v>46</v>
      </c>
      <c r="Q89" s="37" t="s">
        <v>50</v>
      </c>
      <c r="R89" s="37" t="s">
        <v>47</v>
      </c>
      <c r="S89" s="37" t="s">
        <v>51</v>
      </c>
    </row>
    <row r="90" spans="4:19" ht="20.100000000000001" customHeight="1" x14ac:dyDescent="0.25">
      <c r="D90" s="37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7" t="str" cm="1">
        <f t="array" ref="E90">Common_InputFunctions.Utility_DisplayArrayInTable(Common_SourceData.Common_SourceData_ClimateZones_Data(), Table_SourceData_ClimateZones[[#Headers],[Climate zone]], 0)</f>
        <v>&gt; 18 C</v>
      </c>
      <c r="F90" s="37" t="str" cm="1">
        <f t="array" ref="F90">Common_InputFunctions.Utility_DisplayArrayInTable(Common_SourceData.Common_SourceData_ClimateZones_Data(), Table_SourceData_ClimateZones[[#Headers],[Climate zone]], 0)</f>
        <v>Any</v>
      </c>
      <c r="G90" s="37" t="str" cm="1">
        <f t="array" ref="G90">Common_InputFunctions.Utility_DisplayArrayInTable(Common_SourceData.Common_SourceData_ClimateZones_Data(), Table_SourceData_ClimateZones[[#Headers],[Climate zone]], 0)</f>
        <v>≤ 7</v>
      </c>
      <c r="H90" s="37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7" t="str" cm="1">
        <f t="array" ref="I90">Common_InputFunctions.Utility_DisplayArrayInTable(Common_SourceData.Common_SourceData_ClimateZones_Data(), Table_SourceData_ClimateZones[[#Headers],[Climate zone]], 0)</f>
        <v>Any</v>
      </c>
      <c r="J90" s="37" cm="1">
        <f t="array" ref="J90">Common_InputFunctions.Utility_DisplayArrayInTable(Common_SourceData.Common_SourceData_ClimateZones_Data(), Table_SourceData_ClimateZones[[#Headers],[Climate zone]], 0)</f>
        <v>18.001000000000001</v>
      </c>
      <c r="K90" s="37" cm="1">
        <f t="array" ref="K90">Common_InputFunctions.Utility_DisplayArrayInTable(Common_SourceData.Common_SourceData_ClimateZones_Data(), Table_SourceData_ClimateZones[[#Headers],[Climate zone]], 0)</f>
        <v>999999</v>
      </c>
      <c r="L90" s="37" cm="1">
        <f t="array" ref="L90">Common_InputFunctions.Utility_DisplayArrayInTable(Common_SourceData.Common_SourceData_ClimateZones_Data(), Table_SourceData_ClimateZones[[#Headers],[Climate zone]], 0)</f>
        <v>-999999</v>
      </c>
      <c r="M90" s="37" cm="1">
        <f t="array" ref="M90">Common_InputFunctions.Utility_DisplayArrayInTable(Common_SourceData.Common_SourceData_ClimateZones_Data(), Table_SourceData_ClimateZones[[#Headers],[Climate zone]], 0)</f>
        <v>999999</v>
      </c>
      <c r="N90" s="37" cm="1">
        <f t="array" ref="N90">Common_InputFunctions.Utility_DisplayArrayInTable(Common_SourceData.Common_SourceData_ClimateZones_Data(), Table_SourceData_ClimateZones[[#Headers],[Climate zone]], 0)</f>
        <v>-999999</v>
      </c>
      <c r="O90" s="37" cm="1">
        <f t="array" ref="O90">Common_InputFunctions.Utility_DisplayArrayInTable(Common_SourceData.Common_SourceData_ClimateZones_Data(), Table_SourceData_ClimateZones[[#Headers],[Climate zone]], 0)</f>
        <v>7</v>
      </c>
      <c r="P90" s="37" cm="1">
        <f t="array" ref="P90">Common_InputFunctions.Utility_DisplayArrayInTable(Common_SourceData.Common_SourceData_ClimateZones_Data(), Table_SourceData_ClimateZones[[#Headers],[Climate zone]], 0)</f>
        <v>1000</v>
      </c>
      <c r="Q90" s="37" cm="1">
        <f t="array" ref="Q90">Common_InputFunctions.Utility_DisplayArrayInTable(Common_SourceData.Common_SourceData_ClimateZones_Data(), Table_SourceData_ClimateZones[[#Headers],[Climate zone]], 0)</f>
        <v>999999</v>
      </c>
      <c r="R90" s="37" cm="1">
        <f t="array" ref="R90">Common_InputFunctions.Utility_DisplayArrayInTable(Common_SourceData.Common_SourceData_ClimateZones_Data(), Table_SourceData_ClimateZones[[#Headers],[Climate zone]], 0)</f>
        <v>-999999</v>
      </c>
      <c r="S90" s="37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7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7" t="str" cm="1">
        <f t="array" ref="E91">Common_InputFunctions.Utility_DisplayArrayInTable(Common_SourceData.Common_SourceData_ClimateZones_Data(), Table_SourceData_ClimateZones[[#Headers],[Climate zone]], 0)</f>
        <v>&gt; 18 C</v>
      </c>
      <c r="F91" s="37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7" t="str" cm="1">
        <f t="array" ref="G91">Common_InputFunctions.Utility_DisplayArrayInTable(Common_SourceData.Common_SourceData_ClimateZones_Data(), Table_SourceData_ClimateZones[[#Headers],[Climate zone]], 0)</f>
        <v>≤ 7</v>
      </c>
      <c r="H91" s="37" t="str" cm="1">
        <f t="array" ref="H91">Common_InputFunctions.Utility_DisplayArrayInTable(Common_SourceData.Common_SourceData_ClimateZones_Data(), Table_SourceData_ClimateZones[[#Headers],[Climate zone]], 0)</f>
        <v>≤ 1000 m</v>
      </c>
      <c r="I91" s="37" t="str" cm="1">
        <f t="array" ref="I91">Common_InputFunctions.Utility_DisplayArrayInTable(Common_SourceData.Common_SourceData_ClimateZones_Data(), Table_SourceData_ClimateZones[[#Headers],[Climate zone]], 0)</f>
        <v>Any</v>
      </c>
      <c r="J91" s="37" cm="1">
        <f t="array" ref="J91">Common_InputFunctions.Utility_DisplayArrayInTable(Common_SourceData.Common_SourceData_ClimateZones_Data(), Table_SourceData_ClimateZones[[#Headers],[Climate zone]], 0)</f>
        <v>18.001000000000001</v>
      </c>
      <c r="K91" s="37" cm="1">
        <f t="array" ref="K91">Common_InputFunctions.Utility_DisplayArrayInTable(Common_SourceData.Common_SourceData_ClimateZones_Data(), Table_SourceData_ClimateZones[[#Headers],[Climate zone]], 0)</f>
        <v>999999</v>
      </c>
      <c r="L91" s="37" cm="1">
        <f t="array" ref="L91">Common_InputFunctions.Utility_DisplayArrayInTable(Common_SourceData.Common_SourceData_ClimateZones_Data(), Table_SourceData_ClimateZones[[#Headers],[Climate zone]], 0)</f>
        <v>2000.001</v>
      </c>
      <c r="M91" s="37" cm="1">
        <f t="array" ref="M91">Common_InputFunctions.Utility_DisplayArrayInTable(Common_SourceData.Common_SourceData_ClimateZones_Data(), Table_SourceData_ClimateZones[[#Headers],[Climate zone]], 0)</f>
        <v>999999</v>
      </c>
      <c r="N91" s="37" cm="1">
        <f t="array" ref="N91">Common_InputFunctions.Utility_DisplayArrayInTable(Common_SourceData.Common_SourceData_ClimateZones_Data(), Table_SourceData_ClimateZones[[#Headers],[Climate zone]], 0)</f>
        <v>-999999</v>
      </c>
      <c r="O91" s="37" cm="1">
        <f t="array" ref="O91">Common_InputFunctions.Utility_DisplayArrayInTable(Common_SourceData.Common_SourceData_ClimateZones_Data(), Table_SourceData_ClimateZones[[#Headers],[Climate zone]], 0)</f>
        <v>7</v>
      </c>
      <c r="P91" s="37" cm="1">
        <f t="array" ref="P91">Common_InputFunctions.Utility_DisplayArrayInTable(Common_SourceData.Common_SourceData_ClimateZones_Data(), Table_SourceData_ClimateZones[[#Headers],[Climate zone]], 0)</f>
        <v>-999999</v>
      </c>
      <c r="Q91" s="37" cm="1">
        <f t="array" ref="Q91">Common_InputFunctions.Utility_DisplayArrayInTable(Common_SourceData.Common_SourceData_ClimateZones_Data(), Table_SourceData_ClimateZones[[#Headers],[Climate zone]], 0)</f>
        <v>999.99900000000002</v>
      </c>
      <c r="R91" s="37" cm="1">
        <f t="array" ref="R91">Common_InputFunctions.Utility_DisplayArrayInTable(Common_SourceData.Common_SourceData_ClimateZones_Data(), Table_SourceData_ClimateZones[[#Headers],[Climate zone]], 0)</f>
        <v>-999999</v>
      </c>
      <c r="S91" s="37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7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7" t="str" cm="1">
        <f t="array" ref="E92">Common_InputFunctions.Utility_DisplayArrayInTable(Common_SourceData.Common_SourceData_ClimateZones_Data(), Table_SourceData_ClimateZones[[#Headers],[Climate zone]], 0)</f>
        <v>&gt; 18 C</v>
      </c>
      <c r="F92" s="37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7" t="str" cm="1">
        <f t="array" ref="G92">Common_InputFunctions.Utility_DisplayArrayInTable(Common_SourceData.Common_SourceData_ClimateZones_Data(), Table_SourceData_ClimateZones[[#Headers],[Climate zone]], 0)</f>
        <v>≤ 7</v>
      </c>
      <c r="H92" s="37" t="str" cm="1">
        <f t="array" ref="H92">Common_InputFunctions.Utility_DisplayArrayInTable(Common_SourceData.Common_SourceData_ClimateZones_Data(), Table_SourceData_ClimateZones[[#Headers],[Climate zone]], 0)</f>
        <v>≤ 1000 m</v>
      </c>
      <c r="I92" s="37" t="str" cm="1">
        <f t="array" ref="I92">Common_InputFunctions.Utility_DisplayArrayInTable(Common_SourceData.Common_SourceData_ClimateZones_Data(), Table_SourceData_ClimateZones[[#Headers],[Climate zone]], 0)</f>
        <v>Any</v>
      </c>
      <c r="J92" s="37" cm="1">
        <f t="array" ref="J92">Common_InputFunctions.Utility_DisplayArrayInTable(Common_SourceData.Common_SourceData_ClimateZones_Data(), Table_SourceData_ClimateZones[[#Headers],[Climate zone]], 0)</f>
        <v>18.001000000000001</v>
      </c>
      <c r="K92" s="37" cm="1">
        <f t="array" ref="K92">Common_InputFunctions.Utility_DisplayArrayInTable(Common_SourceData.Common_SourceData_ClimateZones_Data(), Table_SourceData_ClimateZones[[#Headers],[Climate zone]], 0)</f>
        <v>999999</v>
      </c>
      <c r="L92" s="37" cm="1">
        <f t="array" ref="L92">Common_InputFunctions.Utility_DisplayArrayInTable(Common_SourceData.Common_SourceData_ClimateZones_Data(), Table_SourceData_ClimateZones[[#Headers],[Climate zone]], 0)</f>
        <v>1000.001</v>
      </c>
      <c r="M92" s="37" cm="1">
        <f t="array" ref="M92">Common_InputFunctions.Utility_DisplayArrayInTable(Common_SourceData.Common_SourceData_ClimateZones_Data(), Table_SourceData_ClimateZones[[#Headers],[Climate zone]], 0)</f>
        <v>2000</v>
      </c>
      <c r="N92" s="37" cm="1">
        <f t="array" ref="N92">Common_InputFunctions.Utility_DisplayArrayInTable(Common_SourceData.Common_SourceData_ClimateZones_Data(), Table_SourceData_ClimateZones[[#Headers],[Climate zone]], 0)</f>
        <v>-999999</v>
      </c>
      <c r="O92" s="37" cm="1">
        <f t="array" ref="O92">Common_InputFunctions.Utility_DisplayArrayInTable(Common_SourceData.Common_SourceData_ClimateZones_Data(), Table_SourceData_ClimateZones[[#Headers],[Climate zone]], 0)</f>
        <v>7</v>
      </c>
      <c r="P92" s="37" cm="1">
        <f t="array" ref="P92">Common_InputFunctions.Utility_DisplayArrayInTable(Common_SourceData.Common_SourceData_ClimateZones_Data(), Table_SourceData_ClimateZones[[#Headers],[Climate zone]], 0)</f>
        <v>-999999</v>
      </c>
      <c r="Q92" s="37" cm="1">
        <f t="array" ref="Q92">Common_InputFunctions.Utility_DisplayArrayInTable(Common_SourceData.Common_SourceData_ClimateZones_Data(), Table_SourceData_ClimateZones[[#Headers],[Climate zone]], 0)</f>
        <v>999.99900000000002</v>
      </c>
      <c r="R92" s="37" cm="1">
        <f t="array" ref="R92">Common_InputFunctions.Utility_DisplayArrayInTable(Common_SourceData.Common_SourceData_ClimateZones_Data(), Table_SourceData_ClimateZones[[#Headers],[Climate zone]], 0)</f>
        <v>-999999</v>
      </c>
      <c r="S92" s="37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7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7" t="str" cm="1">
        <f t="array" ref="E93">Common_InputFunctions.Utility_DisplayArrayInTable(Common_SourceData.Common_SourceData_ClimateZones_Data(), Table_SourceData_ClimateZones[[#Headers],[Climate zone]], 0)</f>
        <v>&gt; 18 C</v>
      </c>
      <c r="F93" s="37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7" t="str" cm="1">
        <f t="array" ref="G93">Common_InputFunctions.Utility_DisplayArrayInTable(Common_SourceData.Common_SourceData_ClimateZones_Data(), Table_SourceData_ClimateZones[[#Headers],[Climate zone]], 0)</f>
        <v>≤ 7</v>
      </c>
      <c r="H93" s="37" t="str" cm="1">
        <f t="array" ref="H93">Common_InputFunctions.Utility_DisplayArrayInTable(Common_SourceData.Common_SourceData_ClimateZones_Data(), Table_SourceData_ClimateZones[[#Headers],[Climate zone]], 0)</f>
        <v>≤ 1000 m</v>
      </c>
      <c r="I93" s="37" t="str" cm="1">
        <f t="array" ref="I93">Common_InputFunctions.Utility_DisplayArrayInTable(Common_SourceData.Common_SourceData_ClimateZones_Data(), Table_SourceData_ClimateZones[[#Headers],[Climate zone]], 0)</f>
        <v>Any</v>
      </c>
      <c r="J93" s="37" cm="1">
        <f t="array" ref="J93">Common_InputFunctions.Utility_DisplayArrayInTable(Common_SourceData.Common_SourceData_ClimateZones_Data(), Table_SourceData_ClimateZones[[#Headers],[Climate zone]], 0)</f>
        <v>18.001000000000001</v>
      </c>
      <c r="K93" s="37" cm="1">
        <f t="array" ref="K93">Common_InputFunctions.Utility_DisplayArrayInTable(Common_SourceData.Common_SourceData_ClimateZones_Data(), Table_SourceData_ClimateZones[[#Headers],[Climate zone]], 0)</f>
        <v>999999</v>
      </c>
      <c r="L93" s="37" cm="1">
        <f t="array" ref="L93">Common_InputFunctions.Utility_DisplayArrayInTable(Common_SourceData.Common_SourceData_ClimateZones_Data(), Table_SourceData_ClimateZones[[#Headers],[Climate zone]], 0)</f>
        <v>-999999</v>
      </c>
      <c r="M93" s="37" cm="1">
        <f t="array" ref="M93">Common_InputFunctions.Utility_DisplayArrayInTable(Common_SourceData.Common_SourceData_ClimateZones_Data(), Table_SourceData_ClimateZones[[#Headers],[Climate zone]], 0)</f>
        <v>1000</v>
      </c>
      <c r="N93" s="37" cm="1">
        <f t="array" ref="N93">Common_InputFunctions.Utility_DisplayArrayInTable(Common_SourceData.Common_SourceData_ClimateZones_Data(), Table_SourceData_ClimateZones[[#Headers],[Climate zone]], 0)</f>
        <v>-999999</v>
      </c>
      <c r="O93" s="37" cm="1">
        <f t="array" ref="O93">Common_InputFunctions.Utility_DisplayArrayInTable(Common_SourceData.Common_SourceData_ClimateZones_Data(), Table_SourceData_ClimateZones[[#Headers],[Climate zone]], 0)</f>
        <v>7</v>
      </c>
      <c r="P93" s="37" cm="1">
        <f t="array" ref="P93">Common_InputFunctions.Utility_DisplayArrayInTable(Common_SourceData.Common_SourceData_ClimateZones_Data(), Table_SourceData_ClimateZones[[#Headers],[Climate zone]], 0)</f>
        <v>-999999</v>
      </c>
      <c r="Q93" s="37" cm="1">
        <f t="array" ref="Q93">Common_InputFunctions.Utility_DisplayArrayInTable(Common_SourceData.Common_SourceData_ClimateZones_Data(), Table_SourceData_ClimateZones[[#Headers],[Climate zone]], 0)</f>
        <v>999.99900000000002</v>
      </c>
      <c r="R93" s="37" cm="1">
        <f t="array" ref="R93">Common_InputFunctions.Utility_DisplayArrayInTable(Common_SourceData.Common_SourceData_ClimateZones_Data(), Table_SourceData_ClimateZones[[#Headers],[Climate zone]], 0)</f>
        <v>-999999</v>
      </c>
      <c r="S93" s="37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7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7" t="str" cm="1">
        <f t="array" ref="E94">Common_InputFunctions.Utility_DisplayArrayInTable(Common_SourceData.Common_SourceData_ClimateZones_Data(), Table_SourceData_ClimateZones[[#Headers],[Climate zone]], 0)</f>
        <v>&gt; 10 C</v>
      </c>
      <c r="F94" s="37" t="str" cm="1">
        <f t="array" ref="F94">Common_InputFunctions.Utility_DisplayArrayInTable(Common_SourceData.Common_SourceData_ClimateZones_Data(), Table_SourceData_ClimateZones[[#Headers],[Climate zone]], 0)</f>
        <v>Any</v>
      </c>
      <c r="G94" s="37" t="str" cm="1">
        <f t="array" ref="G94">Common_InputFunctions.Utility_DisplayArrayInTable(Common_SourceData.Common_SourceData_ClimateZones_Data(), Table_SourceData_ClimateZones[[#Headers],[Climate zone]], 0)</f>
        <v>Any</v>
      </c>
      <c r="H94" s="37" t="str" cm="1">
        <f t="array" ref="H94">Common_InputFunctions.Utility_DisplayArrayInTable(Common_SourceData.Common_SourceData_ClimateZones_Data(), Table_SourceData_ClimateZones[[#Headers],[Climate zone]], 0)</f>
        <v>Any</v>
      </c>
      <c r="I94" s="37" t="str" cm="1">
        <f t="array" ref="I94">Common_InputFunctions.Utility_DisplayArrayInTable(Common_SourceData.Common_SourceData_ClimateZones_Data(), Table_SourceData_ClimateZones[[#Headers],[Climate zone]], 0)</f>
        <v>&gt; 1</v>
      </c>
      <c r="J94" s="37" cm="1">
        <f t="array" ref="J94">Common_InputFunctions.Utility_DisplayArrayInTable(Common_SourceData.Common_SourceData_ClimateZones_Data(), Table_SourceData_ClimateZones[[#Headers],[Climate zone]], 0)</f>
        <v>10.000999999999999</v>
      </c>
      <c r="K94" s="37" cm="1">
        <f t="array" ref="K94">Common_InputFunctions.Utility_DisplayArrayInTable(Common_SourceData.Common_SourceData_ClimateZones_Data(), Table_SourceData_ClimateZones[[#Headers],[Climate zone]], 0)</f>
        <v>999999</v>
      </c>
      <c r="L94" s="37" cm="1">
        <f t="array" ref="L94">Common_InputFunctions.Utility_DisplayArrayInTable(Common_SourceData.Common_SourceData_ClimateZones_Data(), Table_SourceData_ClimateZones[[#Headers],[Climate zone]], 0)</f>
        <v>-999999</v>
      </c>
      <c r="M94" s="37" cm="1">
        <f t="array" ref="M94">Common_InputFunctions.Utility_DisplayArrayInTable(Common_SourceData.Common_SourceData_ClimateZones_Data(), Table_SourceData_ClimateZones[[#Headers],[Climate zone]], 0)</f>
        <v>999999</v>
      </c>
      <c r="N94" s="37" cm="1">
        <f t="array" ref="N94">Common_InputFunctions.Utility_DisplayArrayInTable(Common_SourceData.Common_SourceData_ClimateZones_Data(), Table_SourceData_ClimateZones[[#Headers],[Climate zone]], 0)</f>
        <v>-999999</v>
      </c>
      <c r="O94" s="37" cm="1">
        <f t="array" ref="O94">Common_InputFunctions.Utility_DisplayArrayInTable(Common_SourceData.Common_SourceData_ClimateZones_Data(), Table_SourceData_ClimateZones[[#Headers],[Climate zone]], 0)</f>
        <v>999999</v>
      </c>
      <c r="P94" s="37" cm="1">
        <f t="array" ref="P94">Common_InputFunctions.Utility_DisplayArrayInTable(Common_SourceData.Common_SourceData_ClimateZones_Data(), Table_SourceData_ClimateZones[[#Headers],[Climate zone]], 0)</f>
        <v>-999999</v>
      </c>
      <c r="Q94" s="37" cm="1">
        <f t="array" ref="Q94">Common_InputFunctions.Utility_DisplayArrayInTable(Common_SourceData.Common_SourceData_ClimateZones_Data(), Table_SourceData_ClimateZones[[#Headers],[Climate zone]], 0)</f>
        <v>999999</v>
      </c>
      <c r="R94" s="37" cm="1">
        <f t="array" ref="R94">Common_InputFunctions.Utility_DisplayArrayInTable(Common_SourceData.Common_SourceData_ClimateZones_Data(), Table_SourceData_ClimateZones[[#Headers],[Climate zone]], 0)</f>
        <v>1.0009999999999999</v>
      </c>
      <c r="S94" s="37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7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7" t="str" cm="1">
        <f t="array" ref="E95">Common_InputFunctions.Utility_DisplayArrayInTable(Common_SourceData.Common_SourceData_ClimateZones_Data(), Table_SourceData_ClimateZones[[#Headers],[Climate zone]], 0)</f>
        <v>&gt; 10 C</v>
      </c>
      <c r="F95" s="37" t="str" cm="1">
        <f t="array" ref="F95">Common_InputFunctions.Utility_DisplayArrayInTable(Common_SourceData.Common_SourceData_ClimateZones_Data(), Table_SourceData_ClimateZones[[#Headers],[Climate zone]], 0)</f>
        <v>Any</v>
      </c>
      <c r="G95" s="37" t="str" cm="1">
        <f t="array" ref="G95">Common_InputFunctions.Utility_DisplayArrayInTable(Common_SourceData.Common_SourceData_ClimateZones_Data(), Table_SourceData_ClimateZones[[#Headers],[Climate zone]], 0)</f>
        <v>Any</v>
      </c>
      <c r="H95" s="37" t="str" cm="1">
        <f t="array" ref="H95">Common_InputFunctions.Utility_DisplayArrayInTable(Common_SourceData.Common_SourceData_ClimateZones_Data(), Table_SourceData_ClimateZones[[#Headers],[Climate zone]], 0)</f>
        <v>Any</v>
      </c>
      <c r="I95" s="37" t="str" cm="1">
        <f t="array" ref="I95">Common_InputFunctions.Utility_DisplayArrayInTable(Common_SourceData.Common_SourceData_ClimateZones_Data(), Table_SourceData_ClimateZones[[#Headers],[Climate zone]], 0)</f>
        <v>≤ 1</v>
      </c>
      <c r="J95" s="37" cm="1">
        <f t="array" ref="J95">Common_InputFunctions.Utility_DisplayArrayInTable(Common_SourceData.Common_SourceData_ClimateZones_Data(), Table_SourceData_ClimateZones[[#Headers],[Climate zone]], 0)</f>
        <v>10.000999999999999</v>
      </c>
      <c r="K95" s="37" cm="1">
        <f t="array" ref="K95">Common_InputFunctions.Utility_DisplayArrayInTable(Common_SourceData.Common_SourceData_ClimateZones_Data(), Table_SourceData_ClimateZones[[#Headers],[Climate zone]], 0)</f>
        <v>999999</v>
      </c>
      <c r="L95" s="37" cm="1">
        <f t="array" ref="L95">Common_InputFunctions.Utility_DisplayArrayInTable(Common_SourceData.Common_SourceData_ClimateZones_Data(), Table_SourceData_ClimateZones[[#Headers],[Climate zone]], 0)</f>
        <v>-999999</v>
      </c>
      <c r="M95" s="37" cm="1">
        <f t="array" ref="M95">Common_InputFunctions.Utility_DisplayArrayInTable(Common_SourceData.Common_SourceData_ClimateZones_Data(), Table_SourceData_ClimateZones[[#Headers],[Climate zone]], 0)</f>
        <v>999999</v>
      </c>
      <c r="N95" s="37" cm="1">
        <f t="array" ref="N95">Common_InputFunctions.Utility_DisplayArrayInTable(Common_SourceData.Common_SourceData_ClimateZones_Data(), Table_SourceData_ClimateZones[[#Headers],[Climate zone]], 0)</f>
        <v>-999999</v>
      </c>
      <c r="O95" s="37" cm="1">
        <f t="array" ref="O95">Common_InputFunctions.Utility_DisplayArrayInTable(Common_SourceData.Common_SourceData_ClimateZones_Data(), Table_SourceData_ClimateZones[[#Headers],[Climate zone]], 0)</f>
        <v>999999</v>
      </c>
      <c r="P95" s="37" cm="1">
        <f t="array" ref="P95">Common_InputFunctions.Utility_DisplayArrayInTable(Common_SourceData.Common_SourceData_ClimateZones_Data(), Table_SourceData_ClimateZones[[#Headers],[Climate zone]], 0)</f>
        <v>-999999</v>
      </c>
      <c r="Q95" s="37" cm="1">
        <f t="array" ref="Q95">Common_InputFunctions.Utility_DisplayArrayInTable(Common_SourceData.Common_SourceData_ClimateZones_Data(), Table_SourceData_ClimateZones[[#Headers],[Climate zone]], 0)</f>
        <v>999999</v>
      </c>
      <c r="R95" s="37" cm="1">
        <f t="array" ref="R95">Common_InputFunctions.Utility_DisplayArrayInTable(Common_SourceData.Common_SourceData_ClimateZones_Data(), Table_SourceData_ClimateZones[[#Headers],[Climate zone]], 0)</f>
        <v>-999999</v>
      </c>
      <c r="S95" s="37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7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7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7" t="str" cm="1">
        <f t="array" ref="F96">Common_InputFunctions.Utility_DisplayArrayInTable(Common_SourceData.Common_SourceData_ClimateZones_Data(), Table_SourceData_ClimateZones[[#Headers],[Climate zone]], 0)</f>
        <v>Any</v>
      </c>
      <c r="G96" s="37" t="str" cm="1">
        <f t="array" ref="G96">Common_InputFunctions.Utility_DisplayArrayInTable(Common_SourceData.Common_SourceData_ClimateZones_Data(), Table_SourceData_ClimateZones[[#Headers],[Climate zone]], 0)</f>
        <v>Any</v>
      </c>
      <c r="H96" s="37" t="str" cm="1">
        <f t="array" ref="H96">Common_InputFunctions.Utility_DisplayArrayInTable(Common_SourceData.Common_SourceData_ClimateZones_Data(), Table_SourceData_ClimateZones[[#Headers],[Climate zone]], 0)</f>
        <v>Any</v>
      </c>
      <c r="I96" s="37" t="str" cm="1">
        <f t="array" ref="I96">Common_InputFunctions.Utility_DisplayArrayInTable(Common_SourceData.Common_SourceData_ClimateZones_Data(), Table_SourceData_ClimateZones[[#Headers],[Climate zone]], 0)</f>
        <v>&gt; 1</v>
      </c>
      <c r="J96" s="37" cm="1">
        <f t="array" ref="J96">Common_InputFunctions.Utility_DisplayArrayInTable(Common_SourceData.Common_SourceData_ClimateZones_Data(), Table_SourceData_ClimateZones[[#Headers],[Climate zone]], 0)</f>
        <v>-999999</v>
      </c>
      <c r="K96" s="37" cm="1">
        <f t="array" ref="K96">Common_InputFunctions.Utility_DisplayArrayInTable(Common_SourceData.Common_SourceData_ClimateZones_Data(), Table_SourceData_ClimateZones[[#Headers],[Climate zone]], 0)</f>
        <v>10</v>
      </c>
      <c r="L96" s="37" cm="1">
        <f t="array" ref="L96">Common_InputFunctions.Utility_DisplayArrayInTable(Common_SourceData.Common_SourceData_ClimateZones_Data(), Table_SourceData_ClimateZones[[#Headers],[Climate zone]], 0)</f>
        <v>-999999</v>
      </c>
      <c r="M96" s="37" cm="1">
        <f t="array" ref="M96">Common_InputFunctions.Utility_DisplayArrayInTable(Common_SourceData.Common_SourceData_ClimateZones_Data(), Table_SourceData_ClimateZones[[#Headers],[Climate zone]], 0)</f>
        <v>999999</v>
      </c>
      <c r="N96" s="37" cm="1">
        <f t="array" ref="N96">Common_InputFunctions.Utility_DisplayArrayInTable(Common_SourceData.Common_SourceData_ClimateZones_Data(), Table_SourceData_ClimateZones[[#Headers],[Climate zone]], 0)</f>
        <v>-999999</v>
      </c>
      <c r="O96" s="37" cm="1">
        <f t="array" ref="O96">Common_InputFunctions.Utility_DisplayArrayInTable(Common_SourceData.Common_SourceData_ClimateZones_Data(), Table_SourceData_ClimateZones[[#Headers],[Climate zone]], 0)</f>
        <v>999999</v>
      </c>
      <c r="P96" s="37" cm="1">
        <f t="array" ref="P96">Common_InputFunctions.Utility_DisplayArrayInTable(Common_SourceData.Common_SourceData_ClimateZones_Data(), Table_SourceData_ClimateZones[[#Headers],[Climate zone]], 0)</f>
        <v>-999999</v>
      </c>
      <c r="Q96" s="37" cm="1">
        <f t="array" ref="Q96">Common_InputFunctions.Utility_DisplayArrayInTable(Common_SourceData.Common_SourceData_ClimateZones_Data(), Table_SourceData_ClimateZones[[#Headers],[Climate zone]], 0)</f>
        <v>999999</v>
      </c>
      <c r="R96" s="37" cm="1">
        <f t="array" ref="R96">Common_InputFunctions.Utility_DisplayArrayInTable(Common_SourceData.Common_SourceData_ClimateZones_Data(), Table_SourceData_ClimateZones[[#Headers],[Climate zone]], 0)</f>
        <v>1.0009999999999999</v>
      </c>
      <c r="S96" s="37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7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7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7" t="str" cm="1">
        <f t="array" ref="F97">Common_InputFunctions.Utility_DisplayArrayInTable(Common_SourceData.Common_SourceData_ClimateZones_Data(), Table_SourceData_ClimateZones[[#Headers],[Climate zone]], 0)</f>
        <v>Any</v>
      </c>
      <c r="G97" s="37" t="str" cm="1">
        <f t="array" ref="G97">Common_InputFunctions.Utility_DisplayArrayInTable(Common_SourceData.Common_SourceData_ClimateZones_Data(), Table_SourceData_ClimateZones[[#Headers],[Climate zone]], 0)</f>
        <v>Any</v>
      </c>
      <c r="H97" s="37" t="str" cm="1">
        <f t="array" ref="H97">Common_InputFunctions.Utility_DisplayArrayInTable(Common_SourceData.Common_SourceData_ClimateZones_Data(), Table_SourceData_ClimateZones[[#Headers],[Climate zone]], 0)</f>
        <v>Any</v>
      </c>
      <c r="I97" s="37" t="str" cm="1">
        <f t="array" ref="I97">Common_InputFunctions.Utility_DisplayArrayInTable(Common_SourceData.Common_SourceData_ClimateZones_Data(), Table_SourceData_ClimateZones[[#Headers],[Climate zone]], 0)</f>
        <v>≤ 1</v>
      </c>
      <c r="J97" s="37" cm="1">
        <f t="array" ref="J97">Common_InputFunctions.Utility_DisplayArrayInTable(Common_SourceData.Common_SourceData_ClimateZones_Data(), Table_SourceData_ClimateZones[[#Headers],[Climate zone]], 0)</f>
        <v>-999999</v>
      </c>
      <c r="K97" s="37" cm="1">
        <f t="array" ref="K97">Common_InputFunctions.Utility_DisplayArrayInTable(Common_SourceData.Common_SourceData_ClimateZones_Data(), Table_SourceData_ClimateZones[[#Headers],[Climate zone]], 0)</f>
        <v>10</v>
      </c>
      <c r="L97" s="37" cm="1">
        <f t="array" ref="L97">Common_InputFunctions.Utility_DisplayArrayInTable(Common_SourceData.Common_SourceData_ClimateZones_Data(), Table_SourceData_ClimateZones[[#Headers],[Climate zone]], 0)</f>
        <v>-999999</v>
      </c>
      <c r="M97" s="37" cm="1">
        <f t="array" ref="M97">Common_InputFunctions.Utility_DisplayArrayInTable(Common_SourceData.Common_SourceData_ClimateZones_Data(), Table_SourceData_ClimateZones[[#Headers],[Climate zone]], 0)</f>
        <v>999999</v>
      </c>
      <c r="N97" s="37" cm="1">
        <f t="array" ref="N97">Common_InputFunctions.Utility_DisplayArrayInTable(Common_SourceData.Common_SourceData_ClimateZones_Data(), Table_SourceData_ClimateZones[[#Headers],[Climate zone]], 0)</f>
        <v>-999999</v>
      </c>
      <c r="O97" s="37" cm="1">
        <f t="array" ref="O97">Common_InputFunctions.Utility_DisplayArrayInTable(Common_SourceData.Common_SourceData_ClimateZones_Data(), Table_SourceData_ClimateZones[[#Headers],[Climate zone]], 0)</f>
        <v>999999</v>
      </c>
      <c r="P97" s="37" cm="1">
        <f t="array" ref="P97">Common_InputFunctions.Utility_DisplayArrayInTable(Common_SourceData.Common_SourceData_ClimateZones_Data(), Table_SourceData_ClimateZones[[#Headers],[Climate zone]], 0)</f>
        <v>-999999</v>
      </c>
      <c r="Q97" s="37" cm="1">
        <f t="array" ref="Q97">Common_InputFunctions.Utility_DisplayArrayInTable(Common_SourceData.Common_SourceData_ClimateZones_Data(), Table_SourceData_ClimateZones[[#Headers],[Climate zone]], 0)</f>
        <v>999999</v>
      </c>
      <c r="R97" s="37" cm="1">
        <f t="array" ref="R97">Common_InputFunctions.Utility_DisplayArrayInTable(Common_SourceData.Common_SourceData_ClimateZones_Data(), Table_SourceData_ClimateZones[[#Headers],[Climate zone]], 0)</f>
        <v>-999999</v>
      </c>
      <c r="S97" s="37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4" t="str" cm="1">
        <f t="array" ref="D98:D101">Common_SourceData.Common_SourceData_ClimateZones_Appendices()</f>
        <v>Note:</v>
      </c>
    </row>
    <row r="99" spans="4:19" ht="20.100000000000001" customHeight="1" x14ac:dyDescent="0.25">
      <c r="D99" s="54" t="str">
        <v>MAT = mean annual temperature</v>
      </c>
    </row>
    <row r="100" spans="4:19" ht="20.100000000000001" customHeight="1" x14ac:dyDescent="0.25">
      <c r="D100" s="54" t="str">
        <v>MAP = mean annual precipitation</v>
      </c>
    </row>
    <row r="101" spans="4:19" ht="20.100000000000001" customHeight="1" x14ac:dyDescent="0.25">
      <c r="D101" s="54" t="str">
        <v>PET = potential evapotranspiration</v>
      </c>
    </row>
    <row r="102" spans="4:19" ht="20.100000000000001" customHeight="1" x14ac:dyDescent="0.25">
      <c r="D102" s="54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5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7" t="s">
        <v>55</v>
      </c>
      <c r="E109" s="37" t="s">
        <v>36</v>
      </c>
      <c r="F109" s="37" t="s">
        <v>56</v>
      </c>
      <c r="G109" s="37" t="s">
        <v>57</v>
      </c>
    </row>
    <row r="110" spans="4:19" ht="20.100000000000001" customHeight="1" x14ac:dyDescent="0.25">
      <c r="D110" s="37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7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7" cm="1">
        <f t="array" ref="F110">Common_InputFunctions.Utility_DisplayArrayInTable(Common_SourceData.Common_SourceData_TemperatureZones_Data(),Table_SourceData_TemperatureZones[[#Headers],[Temperature Zone]],0)</f>
        <v>26</v>
      </c>
      <c r="G110" s="37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7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7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7" cm="1">
        <f t="array" ref="F111">Common_InputFunctions.Utility_DisplayArrayInTable(Common_SourceData.Common_SourceData_TemperatureZones_Data(),Table_SourceData_TemperatureZones[[#Headers],[Temperature Zone]],0)</f>
        <v>15</v>
      </c>
      <c r="G111" s="37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7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7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7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7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5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7" t="s">
        <v>58</v>
      </c>
      <c r="E119" s="37" t="s">
        <v>59</v>
      </c>
      <c r="F119" s="37" t="s">
        <v>43</v>
      </c>
      <c r="G119" s="37" t="s">
        <v>44</v>
      </c>
      <c r="BM119" s="7"/>
    </row>
    <row r="120" spans="4:65" ht="20.100000000000001" customHeight="1" x14ac:dyDescent="0.25">
      <c r="D120" s="37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7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7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7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7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7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7" cm="1">
        <f t="array" ref="F121">Common_InputFunctions.Utility_DisplayArrayInTable(Common_SourceData.Common_SourceData_RainfallZones_Data(),Table_SourceData_RainfallZones[[#Headers],[Rainfall Zone]],0)</f>
        <v>-999999</v>
      </c>
      <c r="G121" s="37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7" t="s">
        <v>65</v>
      </c>
      <c r="E127" s="37" t="s">
        <v>66</v>
      </c>
    </row>
    <row r="128" spans="4:65" ht="20.100000000000001" customHeight="1" x14ac:dyDescent="0.25">
      <c r="D128" s="37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7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7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7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2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2"/>
    </row>
    <row r="134" spans="4:76" ht="20.100000000000001" customHeight="1" x14ac:dyDescent="0.25">
      <c r="D134" t="s">
        <v>93</v>
      </c>
      <c r="E134" t="s">
        <v>94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7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5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7" t="s">
        <v>126</v>
      </c>
      <c r="E142" s="37" t="s">
        <v>94</v>
      </c>
      <c r="BM142" s="7"/>
    </row>
    <row r="143" spans="4:76" ht="20.100000000000001" customHeight="1" x14ac:dyDescent="0.25">
      <c r="D143" s="37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7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7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7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7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7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7" t="s">
        <v>68</v>
      </c>
      <c r="E153" s="37" t="s">
        <v>69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7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7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7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7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7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7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7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7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7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7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2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2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2"/>
    </row>
    <row r="164" spans="4:67" ht="20.100000000000001" customHeight="1" x14ac:dyDescent="0.25">
      <c r="D164" s="22" t="str" cm="1">
        <f t="array" ref="D164:E164">Common_SourceData.Common_SourceData_FracLEACH_Data()</f>
        <v>FracLEACH</v>
      </c>
      <c r="E164" s="22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4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4" t="str" cm="1">
        <f t="array" ref="D180">Common_SourceData.Common_SourceData_EFN2O_Unit()</f>
        <v>(kg N2O-N / kg N</v>
      </c>
    </row>
    <row r="181" spans="4:67" ht="20.100000000000001" customHeight="1" x14ac:dyDescent="0.25">
      <c r="D181" s="55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5" t="str">
        <v>Removed duplicate 'Aquaculture' row.</v>
      </c>
    </row>
    <row r="183" spans="4:67" ht="20.100000000000001" customHeight="1" x14ac:dyDescent="0.25">
      <c r="D183" s="55" t="str">
        <v>Removed asterisks to aid lookup.</v>
      </c>
    </row>
    <row r="184" spans="4:67" ht="20.100000000000001" customHeight="1" x14ac:dyDescent="0.25">
      <c r="D184" s="55" t="str">
        <v>Added 'production system only', 'rainfall zone' and 'irrigation method' columns to aid lookup.</v>
      </c>
    </row>
    <row r="185" spans="4:67" ht="20.100000000000001" customHeight="1" x14ac:dyDescent="0.25">
      <c r="D185" s="55" t="str">
        <v>Duplicated 'non-irrigated pasture' row with same EF for low and high rainfall zones to aid lookup.</v>
      </c>
    </row>
    <row r="186" spans="4:67" ht="20.100000000000001" customHeight="1" x14ac:dyDescent="0.25">
      <c r="D186" s="37" t="s">
        <v>106</v>
      </c>
      <c r="E186" s="37" t="s">
        <v>107</v>
      </c>
      <c r="F186" s="37" t="s">
        <v>108</v>
      </c>
      <c r="G186" s="37" t="s">
        <v>109</v>
      </c>
      <c r="H186" s="37" t="s">
        <v>35</v>
      </c>
    </row>
    <row r="187" spans="4:67" ht="20.100000000000001" customHeight="1" x14ac:dyDescent="0.25">
      <c r="D187" s="37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7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7" t="str" cm="1">
        <f t="array" ref="F187">Common_InputFunctions.Utility_DisplayArrayInTable(Common_SourceData.Common_SourceData_EFN2O_Data(), Table_SourceData_Common_EFN2O[[#Headers],[Production system j]], 0)</f>
        <v>Pasture</v>
      </c>
      <c r="G187" s="37" t="str" cm="1">
        <f t="array" ref="G187">Common_InputFunctions.Utility_DisplayArrayInTable(Common_SourceData.Common_SourceData_EFN2O_Data(), Table_SourceData_Common_EFN2O[[#Headers],[Production system j]], 0)</f>
        <v>Any</v>
      </c>
      <c r="H187" s="37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7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7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7" t="str" cm="1">
        <f t="array" ref="F188">Common_InputFunctions.Utility_DisplayArrayInTable(Common_SourceData.Common_SourceData_EFN2O_Data(), Table_SourceData_Common_EFN2O[[#Headers],[Production system j]], 0)</f>
        <v>Crop</v>
      </c>
      <c r="G188" s="37" t="str" cm="1">
        <f t="array" ref="G188">Common_InputFunctions.Utility_DisplayArrayInTable(Common_SourceData.Common_SourceData_EFN2O_Data(), Table_SourceData_Common_EFN2O[[#Headers],[Production system j]], 0)</f>
        <v>Any</v>
      </c>
      <c r="H188" s="37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7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7" cm="1">
        <f t="array" ref="E189">Common_InputFunctions.Utility_DisplayArrayInTable(Common_SourceData.Common_SourceData_EFN2O_Data(), Table_SourceData_Common_EFN2O[[#Headers],[Production system j]], 0)</f>
        <v>1.8E-3</v>
      </c>
      <c r="F189" s="37" t="str" cm="1">
        <f t="array" ref="F189">Common_InputFunctions.Utility_DisplayArrayInTable(Common_SourceData.Common_SourceData_EFN2O_Data(), Table_SourceData_Common_EFN2O[[#Headers],[Production system j]], 0)</f>
        <v>Pasture</v>
      </c>
      <c r="G189" s="37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7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7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7" cm="1">
        <f t="array" ref="E190">Common_InputFunctions.Utility_DisplayArrayInTable(Common_SourceData.Common_SourceData_EFN2O_Data(), Table_SourceData_Common_EFN2O[[#Headers],[Production system j]], 0)</f>
        <v>1.8E-3</v>
      </c>
      <c r="F190" s="37" t="str" cm="1">
        <f t="array" ref="F190">Common_InputFunctions.Utility_DisplayArrayInTable(Common_SourceData.Common_SourceData_EFN2O_Data(), Table_SourceData_Common_EFN2O[[#Headers],[Production system j]], 0)</f>
        <v>Pasture</v>
      </c>
      <c r="G190" s="37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7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7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7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7" t="str" cm="1">
        <f t="array" ref="F191">Common_InputFunctions.Utility_DisplayArrayInTable(Common_SourceData.Common_SourceData_EFN2O_Data(), Table_SourceData_Common_EFN2O[[#Headers],[Production system j]], 0)</f>
        <v>Crop</v>
      </c>
      <c r="G191" s="37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7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7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7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7" t="str" cm="1">
        <f t="array" ref="F192">Common_InputFunctions.Utility_DisplayArrayInTable(Common_SourceData.Common_SourceData_EFN2O_Data(), Table_SourceData_Common_EFN2O[[#Headers],[Production system j]], 0)</f>
        <v>Crop</v>
      </c>
      <c r="G192" s="37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7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7" t="str" cm="1">
        <f t="array" ref="D193">Common_InputFunctions.Utility_DisplayArrayInTable(Common_SourceData.Common_SourceData_EFN2O_Data(), Table_SourceData_Common_EFN2O[[#Headers],[Production system j]], 0)</f>
        <v>Sugar</v>
      </c>
      <c r="E193" s="37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7" t="str" cm="1">
        <f t="array" ref="F193">Common_InputFunctions.Utility_DisplayArrayInTable(Common_SourceData.Common_SourceData_EFN2O_Data(), Table_SourceData_Common_EFN2O[[#Headers],[Production system j]], 0)</f>
        <v>Sugar</v>
      </c>
      <c r="G193" s="37" t="str" cm="1">
        <f t="array" ref="G193">Common_InputFunctions.Utility_DisplayArrayInTable(Common_SourceData.Common_SourceData_EFN2O_Data(), Table_SourceData_Common_EFN2O[[#Headers],[Production system j]], 0)</f>
        <v>Any</v>
      </c>
      <c r="H193" s="37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7" t="str" cm="1">
        <f t="array" ref="D194">Common_InputFunctions.Utility_DisplayArrayInTable(Common_SourceData.Common_SourceData_EFN2O_Data(), Table_SourceData_Common_EFN2O[[#Headers],[Production system j]], 0)</f>
        <v>Cotton</v>
      </c>
      <c r="E194" s="37" cm="1">
        <f t="array" ref="E194">Common_InputFunctions.Utility_DisplayArrayInTable(Common_SourceData.Common_SourceData_EFN2O_Data(), Table_SourceData_Common_EFN2O[[#Headers],[Production system j]], 0)</f>
        <v>5.3E-3</v>
      </c>
      <c r="F194" s="37" t="str" cm="1">
        <f t="array" ref="F194">Common_InputFunctions.Utility_DisplayArrayInTable(Common_SourceData.Common_SourceData_EFN2O_Data(), Table_SourceData_Common_EFN2O[[#Headers],[Production system j]], 0)</f>
        <v>Cotton</v>
      </c>
      <c r="G194" s="37" t="str" cm="1">
        <f t="array" ref="G194">Common_InputFunctions.Utility_DisplayArrayInTable(Common_SourceData.Common_SourceData_EFN2O_Data(), Table_SourceData_Common_EFN2O[[#Headers],[Production system j]], 0)</f>
        <v>Any</v>
      </c>
      <c r="H194" s="37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7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7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7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7" t="str" cm="1">
        <f t="array" ref="G195">Common_InputFunctions.Utility_DisplayArrayInTable(Common_SourceData.Common_SourceData_EFN2O_Data(), Table_SourceData_Common_EFN2O[[#Headers],[Production system j]], 0)</f>
        <v>Any</v>
      </c>
      <c r="H195" s="37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7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7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7" t="str" cm="1">
        <f t="array" ref="F196">Common_InputFunctions.Utility_DisplayArrayInTable(Common_SourceData.Common_SourceData_EFN2O_Data(), Table_SourceData_Common_EFN2O[[#Headers],[Production system j]], 0)</f>
        <v>Rice</v>
      </c>
      <c r="G196" s="37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7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7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7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7" t="str" cm="1">
        <f t="array" ref="F197">Common_InputFunctions.Utility_DisplayArrayInTable(Common_SourceData.Common_SourceData_EFN2O_Data(), Table_SourceData_Common_EFN2O[[#Headers],[Production system j]], 0)</f>
        <v>Rice</v>
      </c>
      <c r="G197" s="37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7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7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7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7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7" t="str" cm="1">
        <f t="array" ref="G198">Common_InputFunctions.Utility_DisplayArrayInTable(Common_SourceData.Common_SourceData_EFN2O_Data(), Table_SourceData_Common_EFN2O[[#Headers],[Production system j]], 0)</f>
        <v>Any</v>
      </c>
      <c r="H198" s="37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7" t="str" cm="1">
        <f t="array" ref="D199">Common_InputFunctions.Utility_DisplayArrayInTable(Common_SourceData.Common_SourceData_EFN2O_Data(), Table_SourceData_Common_EFN2O[[#Headers],[Production system j]], 0)</f>
        <v>Forestry</v>
      </c>
      <c r="E199" s="37" cm="1">
        <f t="array" ref="E199">Common_InputFunctions.Utility_DisplayArrayInTable(Common_SourceData.Common_SourceData_EFN2O_Data(), Table_SourceData_Common_EFN2O[[#Headers],[Production system j]], 0)</f>
        <v>1.8E-3</v>
      </c>
      <c r="F199" s="37" t="str" cm="1">
        <f t="array" ref="F199">Common_InputFunctions.Utility_DisplayArrayInTable(Common_SourceData.Common_SourceData_EFN2O_Data(), Table_SourceData_Common_EFN2O[[#Headers],[Production system j]], 0)</f>
        <v>Forestry</v>
      </c>
      <c r="G199" s="37" t="str" cm="1">
        <f t="array" ref="G199">Common_InputFunctions.Utility_DisplayArrayInTable(Common_SourceData.Common_SourceData_EFN2O_Data(), Table_SourceData_Common_EFN2O[[#Headers],[Production system j]], 0)</f>
        <v>Any</v>
      </c>
      <c r="H199" s="37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5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4" t="str" cm="1">
        <f t="array" ref="D205">Common_SourceData.Common_SourceData_EFPastureRangeAndPaddock_Unit()</f>
        <v>kg N2O - N / kg N</v>
      </c>
    </row>
    <row r="206" spans="4:8" x14ac:dyDescent="0.25">
      <c r="D206" s="37" t="s">
        <v>10</v>
      </c>
      <c r="E206" s="37" t="s">
        <v>128</v>
      </c>
    </row>
    <row r="207" spans="4:8" x14ac:dyDescent="0.25">
      <c r="D207" s="37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7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7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  <row r="211" spans="4:5" x14ac:dyDescent="0.25">
      <c r="D211" s="1" t="str" cm="1">
        <f t="array" ref="D211">Common_SourceData.Common_SourceData_MonthsToSeasons_Title()</f>
        <v>Months to Seasons Mapping</v>
      </c>
    </row>
    <row r="212" spans="4:5" x14ac:dyDescent="0.25">
      <c r="D212" s="37" t="s">
        <v>120</v>
      </c>
      <c r="E212" s="37" t="s">
        <v>133</v>
      </c>
    </row>
    <row r="213" spans="4:5" x14ac:dyDescent="0.25">
      <c r="D213" s="37" t="str" cm="1">
        <f t="array" ref="D213">Common_InputFunctions.Utility_DisplayArrayInTable(Common_SourceData.Common_SourceData_MonthsToSeasons_Data(), Table_SourceData_Common_MonthToSeason[[#Headers],[Month]], 0)</f>
        <v>January</v>
      </c>
      <c r="E213" s="37" t="str" cm="1">
        <f t="array" ref="E213">Common_InputFunctions.Utility_DisplayArrayInTable(Common_SourceData.Common_SourceData_MonthsToSeasons_Data(), Table_SourceData_Common_MonthToSeason[[#Headers],[Month]], 0)</f>
        <v>Summer</v>
      </c>
    </row>
    <row r="214" spans="4:5" x14ac:dyDescent="0.25">
      <c r="D214" s="1" t="str" cm="1">
        <f t="array" ref="D214">Common_InputFunctions.Utility_DisplayArrayInTable(Common_SourceData.Common_SourceData_MonthsToSeasons_Data(), Table_SourceData_Common_MonthToSeason[[#Headers],[Month]], 0)</f>
        <v>February</v>
      </c>
      <c r="E214" s="37" t="str" cm="1">
        <f t="array" ref="E214">Common_InputFunctions.Utility_DisplayArrayInTable(Common_SourceData.Common_SourceData_MonthsToSeasons_Data(), Table_SourceData_Common_MonthToSeason[[#Headers],[Month]], 0)</f>
        <v>Summer</v>
      </c>
    </row>
    <row r="215" spans="4:5" x14ac:dyDescent="0.25">
      <c r="D215" s="1" t="str" cm="1">
        <f t="array" ref="D215">Common_InputFunctions.Utility_DisplayArrayInTable(Common_SourceData.Common_SourceData_MonthsToSeasons_Data(), Table_SourceData_Common_MonthToSeason[[#Headers],[Month]], 0)</f>
        <v>March</v>
      </c>
      <c r="E215" s="37" t="str" cm="1">
        <f t="array" ref="E215">Common_InputFunctions.Utility_DisplayArrayInTable(Common_SourceData.Common_SourceData_MonthsToSeasons_Data(), Table_SourceData_Common_MonthToSeason[[#Headers],[Month]], 0)</f>
        <v>Autumn</v>
      </c>
    </row>
    <row r="216" spans="4:5" x14ac:dyDescent="0.25">
      <c r="D216" s="1" t="str" cm="1">
        <f t="array" ref="D216">Common_InputFunctions.Utility_DisplayArrayInTable(Common_SourceData.Common_SourceData_MonthsToSeasons_Data(), Table_SourceData_Common_MonthToSeason[[#Headers],[Month]], 0)</f>
        <v>April</v>
      </c>
      <c r="E216" s="37" t="str" cm="1">
        <f t="array" ref="E216">Common_InputFunctions.Utility_DisplayArrayInTable(Common_SourceData.Common_SourceData_MonthsToSeasons_Data(), Table_SourceData_Common_MonthToSeason[[#Headers],[Month]], 0)</f>
        <v>Autumn</v>
      </c>
    </row>
    <row r="217" spans="4:5" x14ac:dyDescent="0.25">
      <c r="D217" s="1" t="str" cm="1">
        <f t="array" ref="D217">Common_InputFunctions.Utility_DisplayArrayInTable(Common_SourceData.Common_SourceData_MonthsToSeasons_Data(), Table_SourceData_Common_MonthToSeason[[#Headers],[Month]], 0)</f>
        <v>May</v>
      </c>
      <c r="E217" s="37" t="str" cm="1">
        <f t="array" ref="E217">Common_InputFunctions.Utility_DisplayArrayInTable(Common_SourceData.Common_SourceData_MonthsToSeasons_Data(), Table_SourceData_Common_MonthToSeason[[#Headers],[Month]], 0)</f>
        <v>Autumn</v>
      </c>
    </row>
    <row r="218" spans="4:5" x14ac:dyDescent="0.25">
      <c r="D218" s="1" t="str" cm="1">
        <f t="array" ref="D218">Common_InputFunctions.Utility_DisplayArrayInTable(Common_SourceData.Common_SourceData_MonthsToSeasons_Data(), Table_SourceData_Common_MonthToSeason[[#Headers],[Month]], 0)</f>
        <v>June</v>
      </c>
      <c r="E218" s="37" t="str" cm="1">
        <f t="array" ref="E218">Common_InputFunctions.Utility_DisplayArrayInTable(Common_SourceData.Common_SourceData_MonthsToSeasons_Data(), Table_SourceData_Common_MonthToSeason[[#Headers],[Month]], 0)</f>
        <v>Winter</v>
      </c>
    </row>
    <row r="219" spans="4:5" x14ac:dyDescent="0.25">
      <c r="D219" s="1" t="str" cm="1">
        <f t="array" ref="D219">Common_InputFunctions.Utility_DisplayArrayInTable(Common_SourceData.Common_SourceData_MonthsToSeasons_Data(), Table_SourceData_Common_MonthToSeason[[#Headers],[Month]], 0)</f>
        <v>July</v>
      </c>
      <c r="E219" s="37" t="str" cm="1">
        <f t="array" ref="E219">Common_InputFunctions.Utility_DisplayArrayInTable(Common_SourceData.Common_SourceData_MonthsToSeasons_Data(), Table_SourceData_Common_MonthToSeason[[#Headers],[Month]], 0)</f>
        <v>Winter</v>
      </c>
    </row>
    <row r="220" spans="4:5" x14ac:dyDescent="0.25">
      <c r="D220" s="1" t="str" cm="1">
        <f t="array" ref="D220">Common_InputFunctions.Utility_DisplayArrayInTable(Common_SourceData.Common_SourceData_MonthsToSeasons_Data(), Table_SourceData_Common_MonthToSeason[[#Headers],[Month]], 0)</f>
        <v>August</v>
      </c>
      <c r="E220" s="37" t="str" cm="1">
        <f t="array" ref="E220">Common_InputFunctions.Utility_DisplayArrayInTable(Common_SourceData.Common_SourceData_MonthsToSeasons_Data(), Table_SourceData_Common_MonthToSeason[[#Headers],[Month]], 0)</f>
        <v>Winter</v>
      </c>
    </row>
    <row r="221" spans="4:5" x14ac:dyDescent="0.25">
      <c r="D221" s="1" t="str" cm="1">
        <f t="array" ref="D221">Common_InputFunctions.Utility_DisplayArrayInTable(Common_SourceData.Common_SourceData_MonthsToSeasons_Data(), Table_SourceData_Common_MonthToSeason[[#Headers],[Month]], 0)</f>
        <v>September</v>
      </c>
      <c r="E221" s="37" t="str" cm="1">
        <f t="array" ref="E221">Common_InputFunctions.Utility_DisplayArrayInTable(Common_SourceData.Common_SourceData_MonthsToSeasons_Data(), Table_SourceData_Common_MonthToSeason[[#Headers],[Month]], 0)</f>
        <v>Spring</v>
      </c>
    </row>
    <row r="222" spans="4:5" x14ac:dyDescent="0.25">
      <c r="D222" s="1" t="str" cm="1">
        <f t="array" ref="D222">Common_InputFunctions.Utility_DisplayArrayInTable(Common_SourceData.Common_SourceData_MonthsToSeasons_Data(), Table_SourceData_Common_MonthToSeason[[#Headers],[Month]], 0)</f>
        <v>October</v>
      </c>
      <c r="E222" s="37" t="str" cm="1">
        <f t="array" ref="E222">Common_InputFunctions.Utility_DisplayArrayInTable(Common_SourceData.Common_SourceData_MonthsToSeasons_Data(), Table_SourceData_Common_MonthToSeason[[#Headers],[Month]], 0)</f>
        <v>Spring</v>
      </c>
    </row>
    <row r="223" spans="4:5" x14ac:dyDescent="0.25">
      <c r="D223" s="1" t="str" cm="1">
        <f t="array" ref="D223">Common_InputFunctions.Utility_DisplayArrayInTable(Common_SourceData.Common_SourceData_MonthsToSeasons_Data(), Table_SourceData_Common_MonthToSeason[[#Headers],[Month]], 0)</f>
        <v>November</v>
      </c>
      <c r="E223" s="37" t="str" cm="1">
        <f t="array" ref="E223">Common_InputFunctions.Utility_DisplayArrayInTable(Common_SourceData.Common_SourceData_MonthsToSeasons_Data(), Table_SourceData_Common_MonthToSeason[[#Headers],[Month]], 0)</f>
        <v>Spring</v>
      </c>
    </row>
    <row r="224" spans="4:5" x14ac:dyDescent="0.25">
      <c r="D224" s="1" t="str" cm="1">
        <f t="array" ref="D224">Common_InputFunctions.Utility_DisplayArrayInTable(Common_SourceData.Common_SourceData_MonthsToSeasons_Data(), Table_SourceData_Common_MonthToSeason[[#Headers],[Month]], 0)</f>
        <v>December</v>
      </c>
      <c r="E224" s="37" t="str" cm="1">
        <f t="array" ref="E224">Common_InputFunctions.Utility_DisplayArrayInTable(Common_SourceData.Common_SourceData_MonthsToSeasons_Data(), Table_SourceData_Common_MonthToSeason[[#Headers],[Month]], 0)</f>
        <v>Summer</v>
      </c>
    </row>
  </sheetData>
  <pageMargins left="0.7" right="0.7" top="0.75" bottom="0.75" header="0.3" footer="0.3"/>
  <tableParts count="15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workbookViewId="0">
      <selection activeCell="A4" sqref="A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5" t="e" vm="1">
        <v>#VALUE!</v>
      </c>
      <c r="C1" s="8" t="s">
        <v>79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>
      <c r="A4" s="17" t="str">
        <f>HYPERLINK("#'Results'!A1", "Results")</f>
        <v>Results</v>
      </c>
    </row>
    <row r="5" spans="1:13" ht="20.100000000000001" customHeight="1" x14ac:dyDescent="0.25">
      <c r="A5" s="16"/>
    </row>
    <row r="6" spans="1:13" ht="20.100000000000001" customHeight="1" x14ac:dyDescent="0.25">
      <c r="A6" s="20" t="s">
        <v>3</v>
      </c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A7" s="17" t="str">
        <f>HYPERLINK("#'Input - Site'!A1", "Site")</f>
        <v>Site</v>
      </c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A8" s="17" t="str">
        <f>HYPERLINK("#'Input - Swine'!A1", "Swine")</f>
        <v>Swine</v>
      </c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A9" s="17"/>
      <c r="D9" s="36" t="s">
        <v>80</v>
      </c>
      <c r="E9" s="37" t="s">
        <v>20</v>
      </c>
      <c r="F9" s="37" t="s">
        <v>81</v>
      </c>
      <c r="G9" s="3"/>
    </row>
    <row r="10" spans="1:13" ht="20.100000000000001" customHeight="1" x14ac:dyDescent="0.25">
      <c r="A10" s="19" t="s">
        <v>76</v>
      </c>
      <c r="D10" s="36" t="str" cm="1">
        <f t="array" ref="D10">Common_InputFunctions.Utility_DisplayArrayInTable(CommonLivestock_SourceData.SourceData_Livestock_Common_SymbolsMMS_Data(), Table_Data_MMSSymbols[[#Headers],[Symbol]], 0)</f>
        <v>1</v>
      </c>
      <c r="E10" s="36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6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A11" s="17" t="str">
        <f>HYPERLINK("#'4.5.1.1-2 Methane'!A1", "4.5.1.1-2 Methane")</f>
        <v>4.5.1.1-2 Methane</v>
      </c>
      <c r="D11" s="36" t="str" cm="1">
        <f t="array" ref="D11">Common_InputFunctions.Utility_DisplayArrayInTable(CommonLivestock_SourceData.SourceData_Livestock_Common_SymbolsMMS_Data(), Table_Data_MMSSymbols[[#Headers],[Symbol]], 0)</f>
        <v>2</v>
      </c>
      <c r="E11" s="36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6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A12" s="17" t="str">
        <f>HYPERLINK("#'4.5.1.3-4 Direct N20'!A1", "4.5.1.3-4 Direct N2O")</f>
        <v>4.5.1.3-4 Direct N2O</v>
      </c>
      <c r="D12" s="37" t="str" cm="1">
        <f t="array" ref="D12">Common_InputFunctions.Utility_DisplayArrayInTable(CommonLivestock_SourceData.SourceData_Livestock_Common_SymbolsMMS_Data(), Table_Data_MMSSymbols[[#Headers],[Symbol]], 0)</f>
        <v>3</v>
      </c>
      <c r="E12" s="37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7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A13" s="17" t="str">
        <f>HYPERLINK("#'4.5.1.5-6 Atmos Dep'!A1", "4.5.1.5-6 Soil atm. deposition")</f>
        <v>4.5.1.5-6 Soil atm. deposition</v>
      </c>
      <c r="D13" s="37" t="str" cm="1">
        <f t="array" ref="D13">Common_InputFunctions.Utility_DisplayArrayInTable(CommonLivestock_SourceData.SourceData_Livestock_Common_SymbolsMMS_Data(), Table_Data_MMSSymbols[[#Headers],[Symbol]], 0)</f>
        <v>3a</v>
      </c>
      <c r="E13" s="37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7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A14" s="17" t="str">
        <f>HYPERLINK("#'4.5.1.7-8 Leaching and runoff'!A1", "4.5.1.7-8 Leaching &amp; runoff")</f>
        <v>4.5.1.7-8 Leaching &amp; runoff</v>
      </c>
      <c r="D14" s="37" t="str" cm="1">
        <f t="array" ref="D14">Common_InputFunctions.Utility_DisplayArrayInTable(CommonLivestock_SourceData.SourceData_Livestock_Common_SymbolsMMS_Data(), Table_Data_MMSSymbols[[#Headers],[Symbol]], 0)</f>
        <v>3b</v>
      </c>
      <c r="E14" s="37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7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A15" s="17" t="str">
        <f>HYPERLINK("#'4.5.1.9 Manure applied to soils'!A1", "4.5.1.9 Manure applied to soils")</f>
        <v>4.5.1.9 Manure applied to soils</v>
      </c>
      <c r="D15" s="37" t="str" cm="1">
        <f t="array" ref="D15">Common_InputFunctions.Utility_DisplayArrayInTable(CommonLivestock_SourceData.SourceData_Livestock_Common_SymbolsMMS_Data(), Table_Data_MMSSymbols[[#Headers],[Symbol]], 0)</f>
        <v>4</v>
      </c>
      <c r="E15" s="37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7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7" t="str" cm="1">
        <f t="array" ref="D16">Common_InputFunctions.Utility_DisplayArrayInTable(CommonLivestock_SourceData.SourceData_Livestock_Common_SymbolsMMS_Data(), Table_Data_MMSSymbols[[#Headers],[Symbol]], 0)</f>
        <v>5</v>
      </c>
      <c r="E16" s="37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7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1:8" ht="20.100000000000001" customHeight="1" x14ac:dyDescent="0.25">
      <c r="A17" s="18" t="s">
        <v>4</v>
      </c>
      <c r="D17" s="37" t="str" cm="1">
        <f t="array" ref="D17">Common_InputFunctions.Utility_DisplayArrayInTable(CommonLivestock_SourceData.SourceData_Livestock_Common_SymbolsMMS_Data(), Table_Data_MMSSymbols[[#Headers],[Symbol]], 0)</f>
        <v>6</v>
      </c>
      <c r="E17" s="37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7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1:8" ht="20.100000000000001" customHeight="1" x14ac:dyDescent="0.25">
      <c r="A18" s="17" t="str">
        <f>HYPERLINK("#'Constants - Swine'!A1", "Constants - Swine")</f>
        <v>Constants - Swine</v>
      </c>
      <c r="D18" s="37" t="str" cm="1">
        <f t="array" ref="D18">Common_InputFunctions.Utility_DisplayArrayInTable(CommonLivestock_SourceData.SourceData_Livestock_Common_SymbolsMMS_Data(), Table_Data_MMSSymbols[[#Headers],[Symbol]], 0)</f>
        <v>7</v>
      </c>
      <c r="E18" s="37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7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1:8" ht="20.100000000000001" customHeight="1" x14ac:dyDescent="0.25">
      <c r="A19" s="141" t="str">
        <f>HYPERLINK("#'Constants - Livestock'!A1", "Constants - Livestock")</f>
        <v>Constants - Livestock</v>
      </c>
      <c r="D19" s="37" t="str" cm="1">
        <f t="array" ref="D19">Common_InputFunctions.Utility_DisplayArrayInTable(CommonLivestock_SourceData.SourceData_Livestock_Common_SymbolsMMS_Data(), Table_Data_MMSSymbols[[#Headers],[Symbol]], 0)</f>
        <v>8</v>
      </c>
      <c r="E19" s="37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7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1:8" ht="20.100000000000001" customHeight="1" x14ac:dyDescent="0.25">
      <c r="A20" s="17" t="str">
        <f>HYPERLINK("#'Constants - Common'!A1", "Constants - Common")</f>
        <v>Constants - Common</v>
      </c>
      <c r="D20" s="37" t="str" cm="1">
        <f t="array" ref="D20">Common_InputFunctions.Utility_DisplayArrayInTable(CommonLivestock_SourceData.SourceData_Livestock_Common_SymbolsMMS_Data(), Table_Data_MMSSymbols[[#Headers],[Symbol]], 0)</f>
        <v>9</v>
      </c>
      <c r="E20" s="37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7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1:8" ht="20.100000000000001" customHeight="1" x14ac:dyDescent="0.25">
      <c r="A21" s="17" t="str">
        <f>HYPERLINK("#'Acknowledgements'!A1", "Acknowledgements")</f>
        <v>Acknowledgements</v>
      </c>
      <c r="D21" s="37" t="str" cm="1">
        <f t="array" ref="D21">Common_InputFunctions.Utility_DisplayArrayInTable(CommonLivestock_SourceData.SourceData_Livestock_Common_SymbolsMMS_Data(), Table_Data_MMSSymbols[[#Headers],[Symbol]], 0)</f>
        <v>10</v>
      </c>
      <c r="E21" s="37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7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1:8" ht="20.100000000000001" customHeight="1" x14ac:dyDescent="0.25">
      <c r="D22" s="37" t="str" cm="1">
        <f t="array" ref="D22">Common_InputFunctions.Utility_DisplayArrayInTable(CommonLivestock_SourceData.SourceData_Livestock_Common_SymbolsMMS_Data(), Table_Data_MMSSymbols[[#Headers],[Symbol]], 0)</f>
        <v>11</v>
      </c>
      <c r="E22" s="37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7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1:8" ht="20.100000000000001" customHeight="1" x14ac:dyDescent="0.25">
      <c r="A23" s="17"/>
      <c r="D23" s="37" t="str" cm="1">
        <f t="array" ref="D23">Common_InputFunctions.Utility_DisplayArrayInTable(CommonLivestock_SourceData.SourceData_Livestock_Common_SymbolsMMS_Data(), Table_Data_MMSSymbols[[#Headers],[Symbol]], 0)</f>
        <v>11a</v>
      </c>
      <c r="E23" s="37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7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1:8" ht="20.100000000000001" customHeight="1" x14ac:dyDescent="0.25">
      <c r="A24" s="17"/>
      <c r="D24" s="37" t="str" cm="1">
        <f t="array" ref="D24">Common_InputFunctions.Utility_DisplayArrayInTable(CommonLivestock_SourceData.SourceData_Livestock_Common_SymbolsMMS_Data(), Table_Data_MMSSymbols[[#Headers],[Symbol]], 0)</f>
        <v>11b</v>
      </c>
      <c r="E24" s="37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7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1:8" ht="20.100000000000001" customHeight="1" x14ac:dyDescent="0.25">
      <c r="D25" s="37" t="str" cm="1">
        <f t="array" ref="D25">Common_InputFunctions.Utility_DisplayArrayInTable(CommonLivestock_SourceData.SourceData_Livestock_Common_SymbolsMMS_Data(), Table_Data_MMSSymbols[[#Headers],[Symbol]], 0)</f>
        <v>12</v>
      </c>
      <c r="E25" s="37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7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1:8" ht="20.100000000000001" customHeight="1" x14ac:dyDescent="0.25">
      <c r="D26" s="37" t="str" cm="1">
        <f t="array" ref="D26">Common_InputFunctions.Utility_DisplayArrayInTable(CommonLivestock_SourceData.SourceData_Livestock_Common_SymbolsMMS_Data(), Table_Data_MMSSymbols[[#Headers],[Symbol]], 0)</f>
        <v>13</v>
      </c>
      <c r="E26" s="37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7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1:8" ht="20.100000000000001" customHeight="1" x14ac:dyDescent="0.25">
      <c r="D27" s="37" t="str" cm="1">
        <f t="array" ref="D27">Common_InputFunctions.Utility_DisplayArrayInTable(CommonLivestock_SourceData.SourceData_Livestock_Common_SymbolsMMS_Data(), Table_Data_MMSSymbols[[#Headers],[Symbol]], 0)</f>
        <v>14</v>
      </c>
      <c r="E27" s="37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7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1:8" ht="20.100000000000001" customHeight="1" x14ac:dyDescent="0.25">
      <c r="G28" s="3"/>
      <c r="H28" s="3"/>
    </row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/>
    <row r="32" spans="1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>
    <row r="1" spans="1:1" x14ac:dyDescent="0.25">
      <c r="A1" t="s">
        <v>138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67" t="s">
        <v>78</v>
      </c>
    </row>
    <row r="17" spans="1:1" ht="20.100000000000001" customHeight="1" x14ac:dyDescent="0.25">
      <c r="A17" s="67" t="s">
        <v>74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76</v>
      </c>
    </row>
    <row r="22" spans="1:1" ht="20.100000000000001" customHeight="1" x14ac:dyDescent="0.25">
      <c r="A22" s="67" t="s">
        <v>1</v>
      </c>
    </row>
    <row r="23" spans="1:1" ht="20.100000000000001" customHeight="1" x14ac:dyDescent="0.25">
      <c r="A23" s="67" t="s">
        <v>75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67" t="s">
        <v>78</v>
      </c>
    </row>
    <row r="32" spans="1:1" ht="20.100000000000001" customHeight="1" x14ac:dyDescent="0.25">
      <c r="A32" s="67" t="s">
        <v>74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67" t="s">
        <v>2</v>
      </c>
    </row>
    <row r="41" spans="1:1" ht="20.100000000000001" customHeight="1" x14ac:dyDescent="0.25">
      <c r="A41" s="44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EwAaQB2AGUAcwB0AG8AYwBr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wAaQB2AGUAcwB0AG8AYwBrACAAdAB5AHAAZQBzAFwAbgBFAHgAYwBlAGwAIABtAG8AZAB1AGwAZQAgAG4AYQBtAGUAOgAgAFMAbwB1AHIAYwBlAEQAYQB0AGEAXwBMAGkAdgBlAHMAdABvAGMAawBfAEMAbwBtAG0AbwBu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TAG8AdQByAGMAZQBEAGEAdABhAF8ATABpAHYAZQBzAHQAbwBjAGsAXwBDAG8AbQBtAG8AbgBfAEYAcgBhAGMAVwBFAFQATQBNAFMAXABuAEYAcgBhAGMAVwBFAFQATQBNAFMAaQAgAD0AIABGAHIAYQBjAHQAaQBvAG4AIABvAGYAIABOACAAYQB2AGEAaQBsAGEAYgBsAGUAIABmAG8AcgAgAGwAZQBhAGMAaABpAG4AZwAgAGEAbgBkACAAcgB1AG4AbwBmAGYAXABuACgAVABhAGIAbABlACAAQQA1AC4ANQAuADEAMAAuADIAIABpAHMAIAByAGUAZgBlAHIAZQBuAGMAZQBkACAAaQBuACAATgBJAFIAIABiAHUAdAAgADEAIABpAHMAIAB1AHMAZQBkACkAXABuAC0ALQAtAC0ALQAtAC0ALQAtAC0ALQAtAC0ALQAtAC0ALQAtAC0ALQAtAC0ALQAtAC0ALQAtAC0ALQAtAC0ALQAtAC0ALQAtAC0ALQBcAG4AKgAvAFwAbgBcAG4AUwBvAHUAcgBjAGUARABhAHQAYQBfAEwAaQB2AGUAcwB0AG8AYwBrAF8AQwBvAG0AbQBvAG4AXwBGAHIAYQBjAFcARQBUAE0ATQBTAF8AVABpAHQAbABlAFwAbgAgACAAPQBMAEEATQBCAEQAQQAoAFwAIgBGAHIAYQBjAHQAaQBvAG4AIABvAGYAIABOACAAYQB2AGEAaQBsAGEAYgBsAGUAIABmAG8AcgAgAGwAZQBhAGMAaABpAG4AZwAgAGEAbgBkACAAcgB1AG4AbwBmAGYAXAAiACkAOwBcAG4AXABuAFMAbwB1AHIAYwBlAEQAYQB0AGEAXwBMAGkAdgBlAHMAdABvAGMAawBfAEMAbwBtAG0AbwBuAF8ARgByAGEAYwBXAEUAVABNAE0AUwBfAFUAbgBpAHQAXABuACAAIAA9AEwAQQBNAEIARABBACgAXAAiAEYAcgBhAGMAdABpAG8AbgBcACIAKQA7AFwAbgBcAG4AUwBvAHUAcgBjAGUARABhAHQAYQBfAEwAaQB2AGUAcwB0AG8AYwBrAF8AQwBvAG0AbQBvAG4AXwBGAHIAYQBjAFcARQBUAE0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XAEUAVABNAE0AUwBfAEQAYQB0AGEAXABuACAAIAA9AEwAQQBNAEIARABBACgAMQApADsAXABuAFwAbgAvACoAIABcAG4ALQAtAC0ALQAtAC0ALQAtAC0ALQAtAC0ALQAtAC0ALQAtAC0ALQAtAC0ALQAtAC0ALQAtAC0ALQAtAC0ALQAtAC0ALQAtAC0ALQAtAFwAbgBTAG8AdQByAGMAZQBEAGEAdABhAF8ATABpAHYAZQBzAHQAbwBjAGsAXwBDAG8AbQBtAG8AbgBfAEYAcgBhAGMATABFAEEAQwBIAF8ATQBTAFwAbgBGAHIAYQBjAEwARQBBAEMASABfAE0AUwAgAD0AIAAwAC4AMAAyACAAKABHAGcAIABOAC8ARwBnACAAYQBwAHAAbABpAGUAZAApACAAKABDAFMAIABFAEYALAAgAHMAbwB1AHIAYwBlACAASQBQAEMAQwAgACgAMgAwADEAOQApACkAIABcAG4AZgByAGEAYwB0AGkAbwBuACAAbwBmACAATgAgAGwAbwBzAHQAIAB0AGgAcgBvAHUAZwBoACAAbABlAGEAYwBoAGkAbgBnACAAYQBuAGQAIAByAHUAbgBvAGYAZgBcAG4ALQAtAC0ALQAtAC0ALQAtAC0ALQAtAC0ALQAtAC0ALQAtAC0ALQAtAC0ALQAtAC0ALQAtAC0ALQAtAC0ALQAtAC0ALQAtAC0ALQAtAFwAbgAqAC8AXABuAFwAbgBTAG8AdQByAGMAZQBEAGEAdABhAF8ATABpAHYAZQBzAHQAbwBjAGsAXwBDAG8AbQBtAG8AbgBfAEYAcgBhAGMATABFAEEAQwBIAF8ATQBTAF8AVABpAHQAbABlAFwAbgAgACAAPQBMAEEATQBCAEQAQQAoAFwAIgBGAHIAYQBjAHQAaQBvAG4AIABvAGYAIABOACAAbABvAHMAdAAgAHQAaAByAG8AdQBnAGgAIABsAGUAYQBjAGgAaQBuAGcAIABhAG4AZAAgAHIAdQBuAG8AZgBmAFwAIgApADsAXABuAFwAbgBTAG8AdQByAGMAZQBEAGEAdABhAF8ATABpAHYAZQBzAHQAbwBjAGsAXwBDAG8AbQBtAG8AbgBfAEYAcgBhAGMATABFAEEAQwBIAF8ATQBTAF8AVQBuAGkAdABcAG4AIAAgAD0ATABBAE0AQgBEAEEAKABcACIARgByAGEAYwB0AGkAbwBuAFwAIgApADsAXABuAFwAbgBTAG8AdQByAGMAZQBEAGEAdABhAF8ATABpAHYAZQBzAHQAbwBjAGsAXwBDAG8AbQBtAG8AbgBfAEYAcgBhAGMATABFAEEAQwBIAF8ATQBTAF8AUwBvAHUAcgBjAGUAXABuACAAIAA9AEwAQQBNAEIARABBACgAXAAiAE4AYQB0AGkAbwBuAGEAbAAgAEkAbgB2AGUAbgB0AG8AcgB5ACAAUgBlAHAAbwByAHQAIAAyADAAMgAzACAAVgBvAGwAdQBtAGUAIAAxADoAIABFAHEAdQBhAHQAaQBvAG4AcwAgADMALgBCAC4ANQBhAF8AMwAsACAAMwAuAEIALgA1AGMAXwAzACwAIAAzAC4AQgAuADUAZABfADMAXAAiACkAOwBcAG4AXABuAFMAbwB1AHIAYwBlAEQAYQB0AGEAXwBMAGkAdgBlAHMAdABvAGMAawBfAEMAbwBtAG0AbwBuAF8ARgByAGEAYwBMAEUAQQBDAEgAXwBNAFMAXwBEAGEAdABhAFwAbgAgACAAPQBMAEEATQBCAEQAQQAoAFwAbgAgACAAIAAgAE0AQQBLAEUAQQBSAFIAQQBZACgAOAAsACAAMgAsACAAXABuACAAIAAgACAAIAAgAEwAQQBNAEIARABBACgAcgAsAGMALAAgAFwAbgAgACAAIAAgACAAIAAgACAASQBOAEQARQBYACgAewBcAG4AIAAgACAAIAAgACAAIAAgACAAIABcACIAUAByAG8AZAB1AGMAdABpAG8AbgAgAHMAeQBzAHQAZQBtAFwAIgAsACAAXAAiAEUAbQBpAHMAcwBpAG8AbgAgAGYAYQBjAHQAbwByAFwAIgA7AFwAbgAgACAAIAAgACAAIAAgACAAIAAgACAAIABcACIASQByAHIAaQBnAGEAdABlAGQAIABwAGEAcwB0AHUAcgBlAFwAIgAsACAAMAAuADAAMAA1ADkAOwBcAG4AIAAgACAAIAAgACAAIAAgACAAIAAgACAAXAAiAEkAcgByAGkAZwBhAHQAZQBkACAAYwByAG8AcABcACIALAAgADAALgAwADAANwA7AFwAbgAgACAAIAAgACAAIAAgACAAIAAgACAAIABcACIATgBvAG4ALQBpAHIAcgBpAGcAYQB0AGUAZAAgAHAAYQBzAHQAdQByAGUAXAAiACwAIAAwAC4AMAAwADEAOAA7AFwAbgAgACAAIAAgACAAIAAgACAAIAAgACAAIABcACIATgBvAG4ALQBpAHIAcgBpAGcAYQB0AGUAZAAgAGMAcgBvAHAAXAAiACwAIAAwAC4AMAAwADQAMQA7AFwAbgAgACAAIAAgACAAIAAgACAAIAAgACAAIABcACIAUwB1AGcAYQByACAAYwBhAG4AZQBcACIALAAgADAALgAwADEAOQA5ADsAXABuACAAIAAgACAAIAAgACAAIAAgACAAIAAgAFwAIgBDAG8AdAB0AG8AbgBcACIALAAgADAALgAwADAANQAzADsAXABuACAAIAAgACAAIAAgACAAIAAgACAAIAAgAFwAIgBIAG8AcgB0AGkAYwB1AGwAdAB1AHIAZQBcACIALAAgADAALgAwADAANgA0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QwBvAG0AbQBvAG4AXwBTAHkAbQBiAG8AbABzAE0ATQBTAFwAbgBUAGEAYgBsAGUAIAA1AC4AMQAyACAAQQBkAGQAaQB0AGkAbwBuAGEAbAAgAHMAeQBtAGIAbwBsAHMAIAB1AHMAZQBkACAAaQBuACAAYQBsAGcAbwByAGkAdABoAG0AcwAgAGYAbwByACAAbQBhAG4AdQByAGUAIAByAGUAbABhAHQAZQBkACAAZQBtAGkAcwBzAGkAbwBuAHMAXABuAC0ALQAtAC0ALQAtAC0ALQAtAC0ALQAtAC0ALQAtAC0ALQAtAC0ALQAtAC0ALQAtAC0ALQAtAC0ALQAtAC0ALQAtAC0ALQAtAC0ALQBcAG4AKgAvAFwAbgBcAG4AUwBvAHUAcgBjAGUARABhAHQAYQBfAEwAaQB2AGUAcwB0AG8AYwBrAF8AQwBvAG0AbQBvAG4AXwBTAHkAbQBiAG8AbABzAE0ATQBTAF8AVABpAHQAbABlAFwAbgAgACAAPQBMAEEATQBCAEQAQQAoAFwAIgBUAGEAYgBsAGUAIAA1AC4AMQAyACAAQQBkAGQAaQB0AGkAbwBuAGEAbAAgAHMAeQBtAGIAbwBsAHMAIAB1AHMAZQBkACAAaQBuACAAYQBsAGcAbwByAGkAdABoAG0AcwAgAGYAbwByACAAbQBhAG4AdQByAGUAIAByAGUAbABhAHQAZQBkACAAZQBtAGkAcwBzAGkAbwBuAHMAXAAiACkAOwBcAG4AXABuAFMAbwB1AHIAYwBlAEQAYQB0AGEAXwBMAGkAdgBlAHMAdABvAGMAawBfAEMAbwBtAG0AbwBuAF8AUwB5AG0AYgBvAGwAcwBNAE0AUwBfAFYAYQBpAHIAYQBiAGwAZQBcAG4AIAAgAD0ATABBAE0AQgBEAEEAKABcACIATQBNAFMAXAAiACkAOwBcAG4AXABuAFMAbwB1AHIAYwBlAEQAYQB0AGEAXwBMAGkAdgBlAHMAdABvAGMAawBfAEMAbwBtAG0AbwBuAF8AUwB5AG0AYgBvAGwAcwBNAE0AUwBfAFUAbgBpAHQAXABuACAAIAA9AEwAQQBNAEIARABBACgAXAAiAFwAIgApADsAXABuAFwAbgBTAG8AdQByAGMAZQBEAGEAdABhAF8ATABpAHYAZQBzAHQAbwBjAGsAXwBDAG8AbQBtAG8AbgBfAFMAeQBtAGIAbwBsAHMATQBNAFMAXwBTAG8AdQByAGMAZQBcAG4AIAAgAD0ATABBAE0AQgBEAEEAKABcACIATgBhAHQAaQBvAG4AYQBsACAASQBuAHYAZQBuAHQAbwByAHkAIABSAGUAcABvAHIAdAAgADIAMAAyADMAIABWAG8AbAB1AG0AZQAgADEAOgAgAFQAYQBiAGwAZQAgADUALgAxADIAXAAiACkAOwBcAG4AXABuAFMAbwB1AHIAYwBlAEQAYQB0AGEAXwBMAGkAdgBlAHMAdABvAGMAawBfAEMAbwBtAG0AbwBuAF8AUwB5AG0AYgBvAGwAcwBNAE0AUwBfAEQAYQB0AGEAXABuACAAIAA9AEwAQQBNAEIARABBACgAXABuACAAIAAgACAATQBBAEsARQBBAFIAUgBBAFkAKAAxADkALAAgADMALAAgAFwAbgAgACAAIAAgACAAIABMAEEATQBCAEQAQQAoAHIALABjACwAIABcAG4AIAAgACAAIAAgACAAIAAgAEkATgBEAEUAWAAoAHsAXABuACAAIAAgACAAIAAgACAAIAAgACAAXAAiAFMAeQBtAGIAbwBsAFwAIgAsACAAXAAiAE0AYQBuAHUAcgBlACAAbQBhAG4AYQBnAGUAbQBlAG4AdAAgAHMAeQBzAHQAZQBtAFwAIgAsACAAXAAiAFwAIgA7AFwAbgAgACAAIAAgACAAIAAgACAAIAAgACAAIABcACIAMQBcACIALAAgAFwAIgBBAG4AYQBlAHIAbwBiAGkAYwAgAGwAYQBnAG8AbwBuAFwAIgAsACAAXAAiAEEAbgBhAGUAcgBvAGIAaQBjACAAbABhAGcAbwBvAG4AIAAoAG0APQAxACkAXAAiADsAXABuACAAIAAgACAAIAAgACAAIAAgACAAIAAgAFwAIgAyAFwAIgAsACAAXAAiAEwAaQBxAHUAaQBkACAAcwB5AHMAdABlAG0AcwBcACIALAAgAFwAIgBMAGkAcQB1AGkAZAAgAHMAeQBzAHQAZQBtAHMAIAAoAG0APQAyACkAXAAiADsAXABuACAAIAAgACAAIAAgACAAIAAgACAAIAAgAFwAIgAzAFwAIgAsACAAXAAiAEQAYQBpAGwAeQAgAHMAcAByAGUAYQBkAFwAIgAsACAAXAAiAEQAYQBpAGwAeQAgAHMAcAByAGUAYQBkACAAKABtAD0AMwApAFwAIgA7AFwAbgAgACAAIAAgACAAIAAgACAAIAAgACAAIABcACIAMwBhAFwAIgAsACAAXAAiAFMAdQBtAHAAIABhAG4AZAAgAGQAaQBzAHAAZQByAHMAYQBsACAAcwB5AHMAdABlAG0AXAAiACwAIABcACIAUwB1AG0AcAAgAGEAbgBkACAAZABpAHMAcABlAHIAcwBhAGwAIABzAHkAcwB0AGUAbQAgACgAbQA9ADMAYQApAFwAIgA7AFwAbgAgACAAIAAgACAAIAAgACAAIAAgACAAIABcACIAMwBiAFwAIgAsACAAXAAiAEQAcgBhAGkAbgBzACAAdABvACAAcABhAGQAZABvAGMAawBcACIALAAgAFwAIgBEAHIAYQBpAG4AcwAgAHQAbwAgAHAAYQBkAGQAbwBjAGsAIAAoAG0APQAzAGIAKQBcACIAOwBcAG4AIAAgACAAIAAgACAAIAAgACAAIAAgACAAXAAiADQAXAAiACwAIABcACIAUwBvAGwAaQBkACAAcwB0AG8AcgBhAGcAZQBcACIALAAgAFwAIgBTAG8AbABpAGQAIABzAHQAbwByAGEAZwBlACAAKABtAD0ANAApAFwAIgA7AFwAbgAgACAAIAAgACAAIAAgACAAIAAgACAAIABcACIANQBcACIALAAgAFwAIgBEAHIAeQBsAG8AdAAgACgAZgBlAGUAZAAgAHAAYQBkACkAXAAiACwAIABcACIARAByAHkAbABvAHQAIAAoAGYAZQBlAGQAIABwAGEAZAApACAAKABtAD0ANQApAFwAIgA7AFwAbgAgACAAIAAgACAAIAAgACAAIAAgACAAIABcACIANgBcACIALAAgAFwAIgBDAG8AbQBwAG8AcwB0AGkAbgBnACAAKABwAGEAcwBzAGkAdgBlACAAdwBpAG4AZAByAG8AdwApAFwAIgAsACAAXAAiAEMAbwBtAHAAbwBzAHQAaQBuAGcAIAAoAHAAYQBzAHMAaQB2AGUAIAB3AGkAbgBkAHIAbwB3ACkAIAAoAG0APQA2ACkAXAAiADsAXABuACAAIAAgACAAIAAgACAAIAAgACAAIAAgAFwAIgA3AFwAIgAsACAAXAAiAEQAaQBnAGUAcwB0AGUAcgAgAC8AIABjAG8AdgBlAHIAZQBkACAAbABhAGcAbwBvAG4AcwBcACIALAAgAFwAIgBEAGkAZwBlAHMAdABlAHIAIAAvACAAYwBvAHYAZQByAGUAZAAgAGwAYQBnAG8AbwBuAHMAIAAoAG0APQA3ACkAXAAiADsAXABuACAAIAAgACAAIAAgACAAIAAgACAAIAAgAFwAIgA4AFwAIgAsACAAXAAiAEQAZQBlAHAAIABsAGkAdAB0AGUAcgBcACIALAAgAFwAIgBEAGUAZQBwACAAbABpAHQAdABlAHIAIAAoAG0APQA4ACkAXAAiADsAXABuACAAIAAgACAAIAAgACAAIAAgACAAIAAgAFwAIgA5AFwAIgAsACAAXAAiAFAAaQB0ACAAcwB0AG8AcgBhAGcAZQBcACIALAAgAFwAIgBQAGkAdAAgAHMAdABvAHIAYQBnAGUAIAAoAG0APQA5ACkAXAAiADsAXABuACAAIAAgACAAIAAgACAAIAAgACAAIAAgAFwAIgAxADAAXAAiACwAIABcACIAUABvAHUAbAB0AHIAeQAgAG0AYQBuAHUAcgBlACAAdwBpAHQAaAAgAGIAZQBkAGQAaQBuAGcAXAAiACwAIABcACIAUABvAHUAbAB0AHIAeQAgAG0AYQBuAHUAcgBlACAAdwBpAHQAaAAgAGIAZQBkAGQAaQBuAGcAIAAoAG0APQAxADAAKQBcACIAOwBcAG4AIAAgACAAIAAgACAAIAAgACAAIAAgACAAXAAiADEAMQBcACIALAAgAFwAIgBQAG8AdQBsAHQAcgB5ACAAbQBhAG4AdQByAGUAIAB3AGkAdABoAG8AdQB0ACAAYgBlAGQAZABpAG4AZwBcACIALAAgAFwAIgBQAG8AdQBsAHQAcgB5ACAAbQBhAG4AdQByAGUAIAB3AGkAdABoAG8AdQB0ACAAYgBlAGQAZABpAG4AZwAgACgAbQA9ADEAMQApAFwAIgA7AFwAbgAgACAAIAAgACAAIAAgACAAIAAgACAAIABcACIAMQAxAGEAXAAiACwAIABcACIAQgBlAGwAdAAgAG0AYQBuAHUAcgBlACAAcgBlAG0AbwB2AGEAbABcACIALAAgAFwAIgBCAGUAbAB0ACAAbQBhAG4AdQByAGUAIAByAGUAbQBvAHYAYQBsACAAKABtAD0AMQAxAGEAKQBcACIAOwBcAG4AIAAgACAAIAAgACAAIAAgACAAIAAgACAAXAAiADEAMQBiAFwAIgAsACAAXAAiAE0AYQBuAHUAcgBlACAAcwB0AG8AcgBlAGQAIABpAG4AIABoAG8AdQBzAGUAXAAiACwAIABcACIATQBhAG4AdQByAGUAIABzAHQAbwByAGUAZAAgAGkAbgAgAGgAbwB1AHMAZQAgACgAbQA9ADEAMQBiACkAXAAiADsAXABuACAAIAAgACAAIAAgACAAIAAgACAAIAAgAFwAIgAxADIAXAAiACwAIABcACIARABpAHIAZQBjAHQAIABwAHIAbwBjAGUAcwBzAGkAbgBnAFwAIgAsACAAXAAiAEQAaQByAGUAYwB0ACAAcAByAG8AYwBlAHMAcwBpAG4AZwAgACgAbQA9ADEAMgApAFwAIgA7AFwAbgAgACAAIAAgACAAIAAgACAAIAAgACAAIABcACIAMQAzAFwAIgAsACAAXAAiAEQAaQByAGUAYwB0ACAAYQBwAHAAbABpAGMAYQB0AGkAbwBuAFwAIgAsACAAXAAiAEQAaQByAGUAYwB0ACAAYQBwAHAAbABpAGMAYQB0AGkAbwBuACAAKABtAD0AMQAzACkAXAAiADsAXABuACAAIAAgACAAIAAgACAAIAAgACAAIAAgAFwAIgAxADQAXAAiACwAIABcACIAUABhAHMAdAB1AHIAZQAgAHIAYQBuAGcAZQAgAGEAbgBkACAAcABhAGQAZABvAGMAawBcACIALAAgAFwAIgBQAGEAcwB0AHUAcgBlACAAcgBhAG4AZwBlACAAYQBuAGQAIABwAGEAZABkAG8AYwBrACAAKABtAD0AMQA0ACkAXAAiAFwAbgAgACAAIAAgACAAIAAgACAAfQAsACAAcgAsACAAYwApAFwAbgAgACAAIAAgACAAIAApAFwAbgAgACAAIAAgACkAXABuACAAIAApADsAXABuAFwAbg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FwAbgAgACAAIAAgAFgATABPAE8ASwBVAFAAKAAxACwAIAAoAEwAbwBvAGsAdQBwAEEAcgByAGEAeQAxAD0ATABvAG8AawB1AHAAVgBhAGwAdQBlADEAKQAqACgATABvAG8AawB1AHAAQQByAHIAYQB5ADIAPQBMAG8AbwBrAHUAcABWAGEAbAB1AGUAMgApACwAIABSAGUAdAB1AHIAbgBBAHIAcgBhAHkALAAgAFwAIgBcACIAKQBcAG4AKQA7AFwAbgBcAG4AVQB0AGkAbABpAHQAeQBfAEwAbwBvAGsAdQBwAFYAYQBsAHUAZQBJAG4AVABhAGIAbABlAE8AbgBlAEMAbwBsAHUAbQBuAEEAbgBkAEgAZQBhAGQAZQByAFwAbgA9AEwAQQBNAEIARABBACgAXABuACAAIAAgACAATABvAG8AawB1AHAAVgBhAGwAdQBlADEALAAgAEwAbwBvAGsAdQBwAFYAYQBsAHUAZQAyACwAIABMAG8AbwBrAHUAcABBAHIAcgBhAHkAMQAsACAATABvAG8AawB1AHAAQQByAHIAYQB5ADIALAAgAFIAZQB0AHUAcgBuAEEAcgByAGEAeQAsAFwAbgAgACAAIAAgAFgATABPAE8ASwBVAFAAKABMAG8AbwBrAHUAcABWAGEAbAB1AGUAMQAsACAATABvAG8AawB1AHAAQQByAHIAYQB5ADEALABcAG4AIAAgACAAIAAgACAAIAAgAFgATABPAE8ASwBVAFAAKABMAG8AbwBrAHUAcABWAGEAbAB1AGUAMgAsACAATABvAG8AawB1AHAAQQByAHIAYQB5ADIALAAgAFIAZQB0AHUAcgBuAEEAcgByAGEAe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+ADwAcwA+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+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+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FMAdwBpAG4AZ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RgBvAHIAIABTAHcAaQBuAGUAXABuAEUAeABjAGUAbAAgAG0AbwBkAHUAbABlACAAbgBhAG0AZQA6ACAAUwBvAHUAcgBjAGUARABhAHQAYQBfAFMAdwBpAG4AZ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XABuAC8AKgAgAFwAbgAtAC0ALQAtAC0ALQAtAC0ALQAtAC0ALQAtAC0ALQAtAC0ALQAtAC0ALQAtAC0ALQAtAC0ALQAtAC0ALQAtAC0ALQAtAC0ALQAtAC0AXABuAFMAbwB1AHIAYwBlAEQAYQB0AGEAXwBTAHcAaQBuAGUAXwBWAG8AbABhAHQAaQBsAGUAUwBvAGwAaQBkAHMAXABuAFYAUwBqAFwAbgBrAGcALwBoAGUAYQBkAC8AZABhAHkAXABuAC0ALQAtAC0ALQAtAC0ALQAtAC0ALQAtAC0ALQAtAC0ALQAtAC0ALQAtAC0ALQAtAC0ALQAtAC0ALQAtAC0ALQAtAC0ALQAtAC0ALQBcAG4AKgAvAFwAbgBcAG4AUwBvAHUAcgBjAGUARABhAHQAYQBfAFMAdwBpAG4AZQBfAFYAbwBsAGEAdABpAGwAZQBTAG8AbABpAGQAcwBfAFQAaQB0AGwAZQBcAG4AIAAgAD0ATABBAE0AQgBEAEEAKABcACIAUwB3AGkAbgBlACAALQAgAFYAbwBsAGEAdABpAGwAZQAgAHMAbwBsAGkAZABzACAAKABWAFMAagApACAALQAgADIAMAAyADAAIAB0AG8AIAAyADAAMgA0AFwAIgApADsAXABuAFwAbgBTAG8AdQByAGMAZQBEAGEAdABhAF8AUwB3AGkAbgBlAF8AVgBvAGwAYQB0AGkAbABlAFMAbwBsAGkAZABzAF8AVQBuAGkAdABcAG4AIAAgAD0ATABBAE0AQgBEAEEAKABcACIAawBnAC8AaABlAGEAZAAvAGQAYQB5AFwAIgApADsAXABuAFwAbgBTAG8AdQByAGMAZQBEAGEAdABhAF8AUwB3AGkAbgBlAF8AVgBvAGwAYQB0AGkAbABlAFMAbwBsAGkAZABz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WAG8AbABhAHQAaQBsAGUAUwBvAGwAaQBkAHMAXwBWAGEAcgBpAGEAdABpAG8AbgBcAG4AIAAgAD0ATABBAE0AQgBEAEEAKABcACIAVgBBAFIASQBBAFQASQBPAE4AIABPAE4AIABTAE8AVQBSAEMARQAgAEQAQQBUAEEAOgAgAE8AbgBsAHkAIAB1AHMAZQBzACAAZABhAHQAYQAgAGYAbwByACAAMgAwADIAMAAtADIAMAAyADQALgAgAFUAcwBlACAAJwBTAGwAYQB1AGcAaAB0AGUAcgAgAHAAaQBnAHMAJwAgAGQAYQB0AGEAIABmAG8AcgAgACcATwB0AGgAZQByACAAagA9ADQAJwAgAGMAbABhAHMAcwAuAFwAIgApADsAXABuAFwAbgBTAG8AdQByAGMAZQBEAGEAdABhAF8AUwB3AGkAbgBlAF8AVgBvAGwAYQB0AGkAbABlAFMAbwBsAGkAZABzAF8ARABhAHQAYQBcAG4AIAAgAD0ATABBAE0AQgBEAEEAKABcAG4AIAAgACAAIABNAEEASwBFAEEAUgBSAEEAWQAoADUALAAgADIALAAgAFwAbgAgACAAIAAgACAAIABMAEEATQBCAEQAQQAoAHIALABjACwAIABcAG4AIAAgACAAIAAgACAAIAAgAEkATgBEAEUAWAAoAHsAXABuACAAIAAgACAAIAAgACAAIAAgACAAXAAiAEMAbABhAHMAcwBcACIALAAgAFwAIgBWAFMAagBcACIAOwBcAG4AIAAgACAAIAAgACAAIAAgACAAIABcACIAQgBvAGEAcgBzAFwAIgAsACAAMAAuADQAMAA7AFwAbgAgACAAIAAgACAAIAAgACAAIAAgAFwAIgBTAG8AdwBzAFwAIgAsACAAMAAuADQANgA7AFwAbgAgACAAIAAgACAAIAAgACAAIAAgAFwAIgBHAGkAbAB0AHMAXAAiACwAIAAwAC4ANQA1ADsAXABuACAAIAAgACAAIAAgACAAIAAgACAAXAAiAE8AdABoAGUAcgBzAFwAIgAsACAAMAAuADMAOQ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GAGUAZQBkAEkAbgB0AGEAawBlAFwAbgBJAGoAXABuAGsAZwAvAGgAZQBhAGQALwBkAGEAeQBcAG4ALQAtAC0ALQAtAC0ALQAtAC0ALQAtAC0ALQAtAC0ALQAtAC0ALQAtAC0ALQAtAC0ALQAtAC0ALQAtAC0ALQAtAC0ALQAtAC0ALQAtAFwAbgAqAC8AXABuAFwAbgBTAG8AdQByAGMAZQBEAGEAdABhAF8AUwB3AGkAbgBlAF8ARgBlAGUAZABJAG4AdABhAGsAZQBfAFQAaQB0AGwAZQBcAG4AIAAgAD0ATABBAE0AQgBEAEEAKABcACIAUwB3AGkAbgBlACAALQAgAEYAZQBlAGQAIABpAG4AdABhAGsAZQAgAC0AIABpAG4AZwBlAHMAdABlAGQAIABhAHMAIABmAGUAZAAgACAAKABJAGoAKQAgAC0AIAAyADAAMgAwACAAdABvACAAMgAwADIANABcACIAKQA7AFwAbgBcAG4AUwBvAHUAcgBjAGUARABhAHQAYQBfAFMAdwBpAG4AZQBfAEYAZQBlAGQASQBuAHQAYQBrAGUAXwBVAG4AaQB0AFwAbgAgACAAPQBMAEEATQBCAEQAQQAoAFwAIgBrAGcALwBoAGUAYQBkAC8AZABhAHkAXAAiACkAOwBcAG4AXABuAFMAbwB1AHIAYwBlAEQAYQB0AGEAXwBTAHcAaQBuAGUAXwBGAGUAZQBkAEkAbgB0AGEAaw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GAGUAZQBkAEkAbgB0AGEAawBlAF8AVgBhAHIAaQBhAHQAaQBvAG4AXABuACAAIAA9AEwAQQBNAEIARABBACgAXAAiAFYAQQBSAEkAQQBUAEkATwBOACAATwBOACAAUwBPAFUAUgBDAEUAIABEAEEAVABBADoAIABPAG4AbAB5ACAAdQBzAGUAcwAgAGQAYQB0AGEAIABmAG8AcgAgADIAMAAyADAALQAyADAAMgA0AC4AIABVAHMAZQAgACcAUwBsAGEAdQBnAGgAdABlAHIAIABwAGkAZwBzACcAIABkAGEAdABhACAAZgBvAHIAIAAnAE8AdABoAGUAcgAgAGoAPQA0ACcAIABjAGwAYQBzAHMALgBcACIAKQA7AFwAbgBcAG4AUwBvAHUAcgBjAGUARABhAHQAYQBfAFMAdwBpAG4AZQBfAEYAZQBlAGQASQBuAHQAYQBrAGUAXwBEAGEAdABhAFwAbgAgACAAPQBMAEEATQBCAEQAQQAoAFwAbgAgACAAIAAgAE0AQQBLAEUAQQBSAFIAQQBZACgANQAsACAAMgAsACAAXABuACAAIAAgACAAIAAgAEwAQQBNAEIARABBACgAcgAsAGMALAAgAFwAbgAgACAAIAAgACAAIAAgACAASQBOAEQARQBYACgAewBcAG4AIAAgACAAIAAgACAAIAAgACAAIABcACIAQwBsAGEAcwBzAFwAIgAsACAAXAAiAEkAagBcACIAOwBcAG4AIAAgACAAIAAgACAAIAAgACAAIABcACIAQgBvAGEAcgBzAFwAIgAsACAAMgAuADYAMgA7AFwAbgAgACAAIAAgACAAIAAgACAAIAAgAFwAIgBTAG8AdwBzAFwAIgAsADIALgAzADAAOwBcAG4AIAAgACAAIAAgACAAIAAgACAAIABcACIARwBpAGwAdABzAFwAIgAsACAAMgAuADUAMAA7AFwAbgAgACAAIAAgACAAIAAgACAAIAAgAFwAIgBPAHQAaABlAHIAcwBcACIALAAgADEALgA3ADEAXABuACAAIAAgACAAIAAgACAAIAB9ACwAIAByACwAIABjACkAXABuACAAIAAgACAAIAAgACkAXABuACAAIAAgACAAKQBcAG4AIAAgACkAOwBcAG4AXABuAC8AKgAgAFwAbgAtAC0ALQAtAC0ALQAtAC0ALQAtAC0ALQAtAC0ALQAtAC0ALQAtAC0ALQAtAC0ALQAtAC0ALQAtAC0ALQAtAC0ALQAtAC0ALQAtAC0AXABuAFMAbwB1AHIAYwBlAEQAYQB0AGEAXwBTAHcAaQBuAGUAXwBOAGkAdAByAG8AZwBlAG4ASQBuAFcAYQBzAHQAZQBcAG4ATgBXAGoAXABuAGsAZwAvAGgAZQBhAGQALwBkAGEAeQBcAG4ALQAtAC0ALQAtAC0ALQAtAC0ALQAtAC0ALQAtAC0ALQAtAC0ALQAtAC0ALQAtAC0ALQAtAC0ALQAtAC0ALQAtAC0ALQAtAC0ALQAtAFwAbgAqAC8AXABuAFwAbgBTAG8AdQByAGMAZQBEAGEAdABhAF8AUwB3AGkAbgBlAF8ATgBpAHQAcgBvAGcAZQBuAEkAbgBXAGEAcwB0AGUAXwBUAGkAdABsAGUAXABuACAAIAA9AEwAQQBNAEIARABBACgAXAAiAFMAdwBpAG4AZQAgAC0AIABOAGkAdAByAG8AZwBlAG4AIABpAG4AIAB3AGEAcwB0AGUAIAAoAE4AVwBqACkAIAAtACAAMgAwADIAMAAgAHQAbwAgADIAMAAyADQAXAAiACkAOwBcAG4AXABuAFMAbwB1AHIAYwBlAEQAYQB0AGEAXwBTAHcAaQBuAGUAXwBOAGkAdAByAG8AZwBlAG4ASQBuAFcAYQBzAHQAZQBfAFUAbgBpAHQAXABuACAAIAA9AEwAQQBNAEIARABBACgAXAAiAGsAZwAvAGgAZQBhAGQALwBkAGEAeQBcACIAKQA7AFwAbgBcAG4AUwBvAHUAcgBjAGUARABhAHQAYQBfAFMAdwBpAG4AZQBfAE4AaQB0AHIAbwBnAGUAbgBJAG4AVwBhAHMAdABlAF8AUwBvAHUAcgBjAGUAXABuACAAIAA9AEwAQQBNAEIARABBACgAXAAiAFYARQBFAFIARwAgADIAMAAyADYAOgAgAFQAYQBiAGwAZQAgAEEALgAxAC4ANgAuADEAOgAgAFMAdwBpAG4AZQAgAC0AIABJAG4AdABhAGsAZQAgAGEAbgBkACAAbQBhAG4AdQByAGUAIABjAGgAYQByAGEAYwB0AGUAcgBpAHMAdABpAGMAcwAgAGQAZQByAGkAdgBlAGQAIABmAHIAbwBtACAAUABpAGcAQgBhAGwAXAAiACkAOwBcAG4AXABuAFMAbwB1AHIAYwBlAEQAYQB0AGEAXwBTAHcAaQBuAGUAXwBOAGkAdAByAG8AZwBlAG4ASQBuAFcAYQBzAHQAZQBfAFYAYQByAGkAYQB0AGkAbwBuAFwAbgAgACAAPQBMAEEATQBCAEQAQQAoAFwAIgBWAEEAUgBJAEEAVABJAE8ATgAgAE8ATgAgAFMATwBVAFIAQwBFACAARABBAFQAQQA6ACAATwBuAGwAeQAgAHUAcwBlAHMAIABkAGEAdABhACAAZgBvAHIAIAAyADAAMgAwAC0AMgAwADIANAAuACAAVQBzAGUAIAAnAFMAbABhAHUAZwBoAHQAZQByACAAcABpAGcAcwAnACAAZABhAHQAYQAgAGYAbwByACAAJwBPAHQAaABlAHIAIABqAD0ANAAnACAAYwBsAGEAcwBzAC4AIABBAGQAZABlAGQAIAAnAE4AVwBqACAAZABhAGkAbAB5ACcAIABjAG8AbAB1AG0AbgAgAHQAbwAgAHAAcgBvAHYAaQBkAGUAIABkAGEAaQBsAHkAIAB2AGEAbAB1AGUAIABmAG8AcgAgAE8AdABoAGUAcgBzACAAYwBsAGEAcwBzAC4AIABBAGQAZABlAGQAIAAnAEMAbABhAHMAcwAgAG4AYQBtAGUAJwAgAGMAbwBsAHUAbQBuACAAdABvACAAYQBpAGQAIABsAG8AbwBrAHUAcAAuAFwAIgApADsAXABuAFwAbgBTAG8AdQByAGMAZQBEAGEAdABhAF8AUwB3AGkAbgBlAF8ATgBpAHQAcgBvAGcAZQBuAEkAbgBXAGEAcwB0AGUAXwBEAGEAdABhAFwAbgAgACAAPQBMAEEATQBCAEQAQQAoAFwAbgAgACAAIAAgAE0AQQBLAEUAQQBSAFIAQQBZACgANQAsACAANAAsACAAXABuACAAIAAgACAAIAAgAEwAQQBNAEIARABBACgAcgAsAGMALAAgAFwAbgAgACAAIAAgACAAIAAgACAASQBOAEQARQBYACgAewBcAG4AIAAgACAAIAAgACAAIAAgACAAIABcACIAQwBsAGEAcwBzAFwAIgAsACAAXAAiAE4AVwBqAFwAIgAsACAAXAAiAE4AVwBqACAAZABhAGkAbAB5AFwAIgAsACAAXAAiAEMAbABhAHMAcwAgAG4AYQBtAGUAXAAiADsAXABuACAAIAAgACAAIAAgACAAIAAgACAAXAAiAEIAbwBhAHIAcwBcACIALAAgADAALgAwADQANgAsACAAMAAuADAANAA2ACwAIABcACIAQgBvAGEAcgBzAFwAIgA7AFwAbgAgACAAIAAgACAAIAAgACAAIAAgAFwAIgBTAG8AdwBzAFwAIgAsADAALgAwADQAOQAsACAAMAAuADAANAA5ACwAIABcACIAUwBvAHcAcwBcACIAOwBcAG4AIAAgACAAIAAgACAAIAAgACAAIABcACIARwBpAGwAdABzAFwAIgAsACAAMAAuADAANAA2ACwAIAAwAC4AMAA0ADYALAAgAFwAIgBHAGkAbAB0AHMAXAAiADsAXABuACAAIAAgACAAIAAgACAAIAAgACAAXAAiAE8AdABoAGUAcgBzACAAKABrAGcALwBoAGUAYQBkAC8AeQBlAGEAcgApAFwAIgAsACAAMQAxAC4ANAAsACAAMAAuADAAMwAxADIALAAgAFwAIgBPAHQAaABlAHIAcw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0AGkAbwBuAE4AVgBvAGwAYQB0AGkAbABpAHMAZQBkAFwAbgBGAHIAYQBjAEcAQQBTAE0AbQBUAFwAbgAoAGsAZwAgAE4ASAAzAC0ATgAgACsAIABOAE8AeAAtAE4AKQAvAGsAZwBOAFwAbgAtAC0ALQAtAC0ALQAtAC0ALQAtAC0ALQAtAC0ALQAtAC0ALQAtAC0ALQAtAC0ALQAtAC0ALQAtAC0ALQAtAC0ALQAtAC0ALQAtAC0AXABuACoALwBcAG4AXABuAFMAbwB1AHIAYwBlAEQAYQB0AGEAXwBTAHcAaQBuAGUAXwBGAHIAYQBjAHQAaQBvAG4ATgBWAG8AbABhAHQAaQBsAGkAcwBlAGQAXwBUAGkAdABsAGUAXABuACAAIAA9AEwAQQBNAEIARABBACgAXAAiAFMAdwBpAG4AZQAgAC0AIABGAHIAYQBjAHQAaQBvAG4AIABvAGYAIABuAGkAdAByAG8AZwBlAG4AIAB2AG8AbABhAHQAaQBsAGkAcwBlAGQAIAAoAEYAcgBhAGMARwBBAFMATQBtAFQAKQBcACIAKQA7AFwAbgBcAG4AUwBvAHUAcgBjAGUARABhAHQAYQBfAFMAdwBpAG4AZQBfAEYAcgBhAGMAdABpAG8AbgBOAFYAbwBsAGEAdABpAGwAaQBzAGUAZABfAFUAbgBpAHQAXABuACAAIAA9AEwAQQBNAEIARABBACgAXAAiACgAawBnACAATgBIADMALQBOACAAKwAgAE4ATwB4AC0ATgApAC8AawBnAE4AXAAiACkAOwBcAG4AXABuAFMAbwB1AHIAYwBlAEQAYQB0AGEAXwBTAHcAaQBuAGUAXwBGAHIAYQBjAHQAaQBvAG4ATgBWAG8AbABhAHQAaQBsAGkAcwBlAGQAXwBTAG8AdQByAGMAZQBcAG4AIAAgAD0ATABBAE0AQgBEAEEAKABcACIAVgBFAEUAUgBHACAAMgAwADIANgA6ACAAVABhAGIAbABlACAAQQAuADEALgA2AC4AMgA6ACAAUwB3AGkAbgBlACAALQAgAEYAcgBhAGMAdABpAG8AbgAgAG8AZgAgAE4AIAB2AG8AbABhAHQAaQBsAGkAcwBlAGQAIABiAHkAIABNAE0AUwAgACgAKABrAGcAIABOAEgAMwAtAE4AIAArACAATgBPAHgALQBOACkALwBrAGcATgApACAAKABGAHIAYQBjAEcAQQBTAE0AbQBUACkAXAAiACkAOwBcAG4AXABuAFMAbwB1AHIAYwBlAEQAYQB0AGEAXwBTAHcAaQBuAGUAXwBGAHIAYQBjAHQAaQBvAG4ATgBWAG8AbABhAHQAaQBsAGkAcwBlAGQ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RgByAGEAYwB0AGkAbwBuAE4AVgBvAGwAYQB0AGkAbABpAHMAZQBkAF8ARABhAHQAYQBcAG4AIAAgAD0ATABBAE0AQgBEAEEAKABcAG4AIAAgACAAIABNAEEASwBFAEEAUgBSAEEAWQAoADcALAAgADMALAAgAFwAbgAgACAAIAAgACAAIABMAEEATQBCAEQAQQAoAHIALABjACwAIABcAG4AIAAgACAAIAAgACAAIAAgAEkATgBEAEUAWAAoAHsAXABuACAAIAAgACAAIAAgACAAIAAgACAAXAAiAE0ATQBTAG0AXAAiACwAIABcACIARgByAGEAYwBHAEEAUwBNAG0AVABcACIALAAgAFwAIgBOAEkAUgAgAHIAZQBmAGUAcgBlAG4AYwBlAFwAIgA7AFwAbgAgACAAIAAgACAAIAAgACAAIAAgAFwAIgBPAHUAdABkAG8AbwByACAAKABEAHIAeQAgAGwAbwB0ACkAXAAiACwAIAAwAC4AMwAsACAAXAAiAEQAcgB5AGwAbwB0ACAAKABmAGUAZQBkACAAcABhAGQAKQBcACIAOwBcAG4AIAAgACAAIAAgACAAIAAgACAAIABcACIARABlAGUAcAAgAGwAaQB0AHQAZQByAFwAIgAsACAAMAAuADEAMgA1ACwAIABcACIARABlAGUAcAAgAGwAaQB0AHQAZQByAFwAIgA7AFwAbgAgACAAIAAgACAAIAAgACAAIAAgAFwAIgBTAHQAbwBjAGsAcABpAGwAZQAgACgAUwBvAGwAaQBkACAAcwB0AG8AcgBhAGcAZQApAFwAIgAsACAAMAAuADIALAAgAFwAIgBTAG8AbABpAGQAIABzAHQAbwByAGEAZwBlAFwAIgA7AFwAbgAgACAAIAAgACAAIAAgACAAIAAgAFwAIgBFAGYAZgBsAHUAZQBuAHQAIABwAG8AbgBkACAAKABVAG4AYwBvAHYAZQByAGUAZAAgAGEAbgBhAGUAcgBvAGIAaQBjACAAbABhAGcAbwBvAG4AKQBcACIALAAgADAALgA1ADUALAAgAFwAIgBBAG4AYQBlAHIAbwBiAGkAYwAgAGwAYQBnAG8AbwBuAFwAIgA7AFwAbgAgACAAIAAgACAAIAAgACAAIAAgAFwAIgBBAG4AYQBlAHIAbwBiAGkAYwAgAGQAaQBnAGUAcwB0AGU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IANQAsACAAXAAiAFAAaQB0ACAAcwB0AG8AcgBh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TgBpAHQAcgBvAHUAcwBPAHgAaQBkAGUARQBGAHMAXABuAEYAcgBhAGMARwBBAFMATQBtAFQAXABuAGsAZwBOADIATwAgAC0AIABOACAALwAgAGsAZwBOAFwAbgAtAC0ALQAtAC0ALQAtAC0ALQAtAC0ALQAtAC0ALQAtAC0ALQAtAC0ALQAtAC0ALQAtAC0ALQAtAC0ALQAtAC0ALQAtAC0ALQAtAC0AXABuACoALwBcAG4AXABuAFMAbwB1AHIAYwBlAEQAYQB0AGEAXwBTAHcAaQBuAGUAXwBOAGkAdAByAG8AdQBzAE8AeABpAGQAZQBFAEYAcwBfAFQAaQB0AGwAZQBcAG4AIAAgAD0ATABBAE0AQgBEAEEAKABcACIAUwB3AGkAbgBlACAALQAgAE4AaQB0AHIAbwB1AHMAIABvAHgAaQBkAGUAIABFAEYAcwAgAGIAeQAgAE0ATQBTACAAKABFAEYAbQBUACkAXAAiACkAOwBcAG4AXABuAFMAbwB1AHIAYwBlAEQAYQB0AGEAXwBTAHcAaQBuAGUAXwBOAGkAdAByAG8AdQBzAE8AeABpAGQAZQBFAEYAcwBfAFUAbgBpAHQAXABuACAAIAA9AEwAQQBNAEIARABBACgAXAAiAGsAZwBOADIATwAgAC0AIABOACAALwAgAGsAZwBOAFwAIgApADsAXABuAFwAbgBTAG8AdQByAGMAZQBEAGEAdABhAF8AUwB3AGkAbgBlAF8ATgBpAHQAcgBvAHUAcwBPAHgAaQBkAGUARQBGAHMAXwBTAG8AdQByAGMAZQBcAG4AIAAgAD0ATABBAE0AQgBEAEEAKABcACIAVgBFAEUAUgBHACAAMgAwADIANgA6ACAAVABhAGIAbABlACAAQQAuADEALgA2AC4AMwA6ACAAUwB3AGkAbgBlACAALQAgAE4AaQB0AHIAbwB1AHMAIABvAHgAaQBkAGUAIABFAEYAcwAgAGIAeQAgAE0ATQBTACAAKABrAGcATgAyAE8ALQBOAC8AawBnAE4AKQAgACgARQBGAG0AVAApAFwAIgApADsAXABuAFwAbgBTAG8AdQByAGMAZQBEAGEAdABhAF8AUwB3AGkAbgBlAF8ATgBpAHQAcgBvAHUAcwBPAHgAaQBkAGUARQBGAHMAXwBWAGEAcgBpAGEAdABpAG8AbgBcAG4AIAAgAD0ATABBAE0AQgBEAEEAKABcACIAVgBBAFIASQBBAFQASQBPAE4AIABPAE4AIABTAE8AVQBSAEMARQAgAEQAQQBUAEEAOgAgAEEAZABkAGUAZAAgACcATgBJAFIAIAByAGUAZgBlAHIAZQBuAGMAZQAgAGMAbwBsAHUAbQBuACAAdABvACAAYQBpAGQAIABsAG8AbwBrAHUAcAAuAFwAIgApADsAXABuAFwAbgBTAG8AdQByAGMAZQBEAGEAdABhAF8AUwB3AGkAbgBlAF8ATgBpAHQAcgBvAHUAcwBPAHgAaQBkAGUARQBGAHMAXwBEAGEAdABhAFwAbgAgACAAPQBMAEEATQBCAEQAQQAoAFwAbgAgACAAIAAgAE0AQQBLAEUAQQBSAFIAQQBZACgANwAsACAAMwAsACAAXABuACAAIAAgACAAIAAgAEwAQQBNAEIARABBACgAcgAsAGMALAAgAFwAbgAgACAAIAAgACAAIAAgACAASQBOAEQARQBYACgAewBcAG4AIAAgACAAIAAgACAAIAAgACAAIABcACIATQBNAFMAbQBcACIALAAgAFwAIgBFAEYAbQBUAFwAIgAsACAAXAAiAE4ASQBSACAAcgBlAGYAZQByAGUAbgBjAGUAXAAiADsAXABuACAAIAAgACAAIAAgACAAIAAgACAAXAAiAE8AdQB0AGQAbwBvAHIAIAAoAEQAcgB5ACAAbABvAHQAKQBcACIALAAgADAALgAwADIALAAgAFwAIgBEAHIAeQBsAG8AdAAgACgAZgBlAGUAZAAgAHAAYQBkACkAXAAiADsAXABuACAAIAAgACAAIAAgACAAIAAgACAAXAAiAEQAZQBlAHAAIABsAGkAdAB0AGUAcgBcACIALAAgADAALgAwADEALAAgAFwAIgBEAGUAZQBwACAAbABpAHQAdABlAHIAXAAiADsAXABuACAAIAAgACAAIAAgACAAIAAgACAAXAAiAFMAdABvAGMAawBwAGkAbABlACAAKABTAG8AbABpAGQAIABzAHQAbwByAGEAZwBlACkAXAAiACwAIAAwAC4AMAAwADUALAAgAFwAIgBTAG8AbABpAGQAIABzAHQAbwByAGEAZwBlAFwAIgA7AFwAbgAgACAAIAAgACAAIAAgACAAIAAgAFwAIgBFAGYAZgBsAHUAZQBuAHQAIABwAG8AbgBkACAAKABVAG4AYwBvAHYAZQByAGUAZAAgAGEAbgBhAGUAcgBvAGIAaQBjACAAbABhAGcAbwBvAG4AKQBcACIALAAgADAALAAgAFwAIgBBAG4AYQBlAHIAbwBiAGkAYwAgAGwAYQBnAG8AbwBuAFwAIgA7AFwAbgAgACAAIAAgACAAIAAgACAAIAAgAFwAIgBBAG4AYQBlAHIAbwBiAGkAYwAgAGQAaQBnAGUAcwB0AG8AcgAgAC8AIABDAG8AdgBlAHIAZQBkACAAbABhAGcAbwBvAG4AXAAiACwAIAAwACwAIABcACIARABpAGcAZQBzAHQAZQByACAALwAgAGMAbwB2AGUAcgBlAGQAIABsAGEAZwBvAG8AbgBzAFwAIgA7AFwAbgAgACAAIAAgACAAIAAgACAAIAAgAFwAIgBTAGgAbwByAHQAIABIAFIAVAAgAHQAYQBuAGsAIABzAHQAbwByAGEAZwBlACAAPAAgADEAIABtAG8AbgB0AGgAIAAoAHAAaQB0ACAAcwB0AG8AcgBhAGcAZQApAFwAIgAsACAAMAAuADAAMAAyACwAIABcACIAUABpAH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TAHcAaQBuAGUAXwBNAGUAdABoAGEAbgBlAFYAbwBsAGEAdABpAGwAZQBTAG8AbABpAGQAcwBFAG0AaQBzAHMAaQBvAG4AcwBQAG8AdABlAG4AdABpAGEAbABcAG4AQgAwAFwAbgBtADMAIABDAEgANAAvAGsAZwAgAFYAUwBcAG4ALQAtAC0ALQAtAC0ALQAtAC0ALQAtAC0ALQAtAC0ALQAtAC0ALQAtAC0ALQAtAC0ALQAtAC0ALQAtAC0ALQAtAC0ALQAtAC0ALQAtAFwAbgAqAC8AXABuAFwAbgBTAG8AdQByAGMAZQBEAGEAdABhAF8AUwB3AGkAbgBlAF8ATQBlAHQAaABhAG4AZQBWAG8AbABhAHQAaQBsAGUAUwBvAGwAaQBkAHMARQBtAGkAcwBzAGkAbwBuAHMAUABvAHQAZQBuAHQAaQBhAGwAXwBUAGkAdABsAGUAXABuACAAIAA9AEwAQQBNAEIARABBACgAXAAiAEUAbQBpAHMAcwBpAG8AbgBzACAAcABvAHQAZQBuAHQAaQBhAGwAIABvAGYAIABtAGUAdABoAGEAbgBlACAAcABlAHIAIABrAGkAbABvAGcAcgBhAG0AIABvAGYAIAB2AG8AbABhAHQAaQBsAGUAIABzAG8AbABpAGQAcwBcACIAKQA7AFwAbgBcAG4AUwBvAHUAcgBjAGUARABhAHQAYQBfAFMAdwBpAG4AZQBfAE0AZQB0AGgAYQBuAGUAVgBvAGwAYQB0AGkAbABlAFMAbwBsAGkAZABzAEUAbQBpAHMAcwBpAG8AbgBzAFAAbwB0AGUAbgB0AGkAYQBsAF8AVgBhAHIAaQBhAGIAbABlAFwAbgAgACAAPQBMAEEATQBCAEQAQQAoAFwAIgBCADAAXAAiACkAOwBcAG4AXABuAFMAbwB1AHIAYwBlAEQAYQB0AGEAXwBTAHcAaQBuAGUAXwBNAGUAdABoAGEAbgBlAFYAbwBsAGEAdABpAGwAZQBTAG8AbABpAGQAcwBFAG0AaQBzAHMAaQBvAG4AcwBQAG8AdABlAG4AdABpAGEAbABfAFUAbgBpAHQAXABuACAAIAA9AEwAQQBNAEIARABBACgAXAAiAG0AMwAgAEMASAA0ACAALwAgAGsAZwAgAFYAUwBcACIAKQA7AFwAbgBcAG4AUwBvAHUAcgBjAGUARABhAHQAYQBfAFMAdwBpAG4AZQBfAE0AZQB0AGgAYQBuAGUAVgBvAGwAYQB0AGkAbABlAFMAbwBsAGkAZABzAEUAbQBpAHMAcwBpAG8AbgBzAFAAbwB0AGUAbgB0AGkAYQBsAF8AUwBvAHUAcgBjAGUAXABuACAAIAA9AEwAQQBNAEIARABBACgAXAAiAEkAUABDAEMAIAAoADIAMAAxADkAKQAsACAAQwBoAGEAcAB0AGUAcgAgADEAMAAgAFsANABdAFwAIgApADsAXABuAFwAbgBTAG8AdQByAGMAZQBEAGEAdABhAF8AUwB3AGkAbgBlAF8ATQBlAHQAaABhAG4AZQBWAG8AbABhAHQAaQBsAGUAUwBvAGwAaQBkAHMARQBtAGkAcwBzAGkAbwBuAHMAUABvAHQAZQBuAHQAaQBhAGwAXwBWAGEAcgBpAGEAdABpAG8AbgBcAG4AIAAgAD0ATABBAE0AQgBEAEEAKABcACIAXAAiACkAOwBcAG4AXABuAFMAbwB1AHIAYwBlAEQAYQB0AGEAXwBTAHcAaQBuAGUAXwBNAGUAdABoAGEAbgBlAFYAbwBsAGEAdABpAGwAZQBTAG8AbABpAGQAcwBFAG0AaQBzAHMAaQBvAG4AcwBQAG8AdABlAG4AdABpAGEAbABfAEQAYQB0AGEAXABuACAAIAA9AEwAQQBNAEIARABBACgAMAAuADEAOQApADsAXABuAFwAbgBcAG4ALwAqACAAXABuAC0ALQAtAC0ALQAtAC0ALQAtAC0ALQAtAC0ALQAtAC0ALQAtAC0ALQAtAC0ALQAtAC0ALQAtAC0ALQAtAC0ALQAtAC0ALQAtAC0ALQBcAG4AUwBvAHUAcgBjAGUARABhAHQAYQBfAFMAdwBpAG4AZQBfAE0ATQBTAF8ATQBDAEYAcwBcAG4AVABhAGIAbABlACAAQQAuADEALgA2AC4ANAA6ACAAUwB3AGkAbgBlACAALQAgAE0AQwBGAHMAIAAoAE0AQwBGAGkAbQApAFwAbgAtAC0ALQAtAC0ALQAtAC0ALQAtAC0ALQAtAC0ALQAtAC0ALQAtAC0ALQAtAC0ALQAtAC0ALQAtAC0ALQAtAC0ALQAtAC0ALQAtAC0AXABuACoALwBcAG4AXABuAFMAbwB1AHIAYwBlAEQAYQB0AGEAXwBTAHcAaQBuAGUAXwBNAE0AUwBfAE0AQwBGAHMAXwBUAGkAdABsAGUAXABuACAAIAA9AEwAQQBNAEIARABBACgAXAAiAE0AZQB0AGgAYQBuAGUAIABjAG8AbgB2AGUAcgBzAGkAbwBuACAAZgBhAGMAdABvAHIAIABmAG8AcgAgAHQAZQBtAHAAZQByAGEAdAB1AHIAZQAgAHoAbwBuAGUAIABhAG4AZAAgAG0AYQBuAHUAcgBlACAAbQBhAG4AYQBnAGUAbQBlAG4AdAAgAHMAeQBzAHQAZQBtAC4AXAAiACkAOwBcAG4AXABuAFMAbwB1AHIAYwBlAEQAYQB0AGEAXwBTAHcAaQBuAGUAXwBNAE0AUwBfAE0AQwBGAHMAXwBVAG4AaQB0AFwAbgAgACAAPQBMAEEATQBCAEQAQQAoAFwAIgBcACIAKQA7AFwAbgBcAG4AUwBvAHUAcgBjAGUARABhAHQAYQBfAFMAdwBpAG4AZQBfAE0ATQBTAF8ATQBDAEYAcwBfAFMAbwB1AHIAYwBlAFwAbgAgACAAPQBMAEEATQBCAEQAQQAoAFwAIgBWAEUARQBSAEcAIAAyADAAMgA2ADoAIABUAGEAYgBsAGUAIABBAC4AMQAuADYALgA0ADoAIABTAHcAaQBuAGUAIAAtACAATQBDAEYAcwAgACgATQBDAEYAaQBtACkAXAAiACkAOwBcAG4AXABuAFMAbwB1AHIAYwBlAEQAYQB0AGEAXwBTAHcAaQBuAGUAXwBNAE0AUwBfAE0AQwBGAHMAXwBWAGEAcgBpAGEAdABpAG8AbgBcAG4AIAAgAD0ATABBAE0AQgBEAEEAKABcACIAVgBBAFIASQBBAFQASQBPAE4AIABPAE4AIABTAE8AVQBSAEMARQAgAEQAQQBUAEEAOgAgAEEAZABkAGUAZAAgAGMAbwBsAHUAbQBuAHMAIABmAG8AcgAgAEEAQwBUACwAIABzAHAAbABpAHQAIABRAEwARAAgAGEAbgBkACAATgBUAC4AIABBAGQAZABlAGQAIABlAHgAdAByAGEAIABjAG8AbAB1AG0AbgAgAHcAaQB0AGgAIABNAE0AUwAgAG4AYQBtAGUAcwAgAHQAaABhAHQAIABtAGEAdABjAGgAIABOAEkAUgAgAGQAZQBmAGkAbgBpAHQAaQBvAG4AcwBcACIAKQA7AFwAbgBcAG4AUwBvAHUAcgBjAGUARABhAHQAYQBfAFMAdwBpAG4AZQBfAE0ATQBTAF8ATQBDAEYAcwBfAEQAYQB0AGEAXABuACAAIAA9AEwAQQBNAEIARABBACgAXABuACAAIAAgACAATQBBAEsARQBBAFIAUgBBAFkAKAA4ACwAIAAxADAALAAgAFwAbgAgACAAIAAgACAAIABMAEEATQBCAEQAQQAoAHIALABjACwAIABcAG4AIAAgACAAIAAgACAAIAAgAEkATgBEAEUAWAAoAHsAXABuACAAIAAgACAAIAAgACAAIAAgACAAXAAiAE0ATQBTAFwAIgAsACAAXAAiAE4AUwBXAFwAIgAsACAAXAAiAEEAQwBUAFwAIgAsACAAXAAiAFEATABEAFwAIgAsACAAXAAiAE4AVABcACIALAAgAFwAIgBTAEEAXAAiACwAIABcACIAVABBAFMAXAAiACwAIABcACIAVgBJAEMAXAAiACwAIABcACIAVwBBAFwAIgAsACAAXAAiAE4ASQBSACAAZABlAGYAaQBuAGkAdABpAG8AbgBcACIAOwBcAG4AIAAgACAAIAAgACAAIAAgACAAIABcACIATwB1AHQAZABvAG8AcgAgACgARAByAHkAIABsAG8AdAApAFwAIgAsACAAMAAuADAAMQAsACAAMAAuADAAMQAsACAAMAAuADAAMwAsACAAMAAuADAAMwAsACAAMAAuADAAMQAsACAAMAAuADAAMQAsACAAMAAuADAAMQAsACAAMAAuADAAMQAsACAAXAAiAEQAcgB5AGwAbwB0ACAAKABmAGUAZQBkACAAcABhAGQAKQBcACIAOwAgAFwAbgAgACAAIAAgACAAIAAgACAAIAAgAFwAIgBEAGUAZQBwACAAbABpAHQAdABlAHIAXAAiACwAIAAwAC4AMAA0ACwAIAAwAC4AMAA0ACwAIAAwAC4AMAA0ACwAIAAwAC4AMAA0ACwAIAAwAC4AMAA0ACwAIAAwAC4AMAA0ACwAIAAwAC4AMAA0ACwAIAAwAC4AMAA0ACwAIABcACIARABlAGUAcAAgAGwAaQB0AHQAZQByAFwAIgA7AFwAbgAgACAAIAAgACAAIAAgACAAIAAgAFwAIgBTAHQAbwBjAGsAcABpAGwAZQAgACgAUwBvAGwAaQBkACAAcwB0AG8AcgBhAGcAZQApAFwAIgAsACAAMAAuADAAMgAsACAAMAAuADAAMgAsACAAMAAuADAAMgAsACAAMAAuADAAMgAsACAAMAAuADAAMgAsACAAMAAuADAAMgAsACAAMAAuADAAMgAsACAAMAAuADAAMgAsACAAXAAiAFMAbwBsAGkAZAAgAHMAdABvAHIAYQBnAGUAXAAiADsAXABuACAAIAAgACAAIAAgACAAIAAgACAAXAAiAEUAZgBmAGwAdQBlAG4AdAAgAHAAbwBuAGQAIAAoAFUAbgBjAG8AdgBlAHIAZQBkACAAYQBuAGEAZQByAG8AYgBpAGMAIABsAGEAZwBvAG8AbgApAFwAIgAsACAAMAAuADcANQAsACAAMAAuADcANQAsACAAMAAuADcAOAAsACAAMAAuADcAOAAsACAAMAAuADcANQAsACAAMAAuADcAMAAsACAAMAAuADcANAAsACAAMAAuADcANgAsACAAXAAiAEEAbgBhAGUAcgBvAGIAaQBjACAAbABhAGcAbwBvAG4AXAAiADsAXABuACAAIAAgACAAIAAgACAAIAAgACAAXAAiAEEAbgBhAGUAcgBvAGIAaQBjACAAZABpAGcAZQBzAHQAZQByACAALwAgAEMAbwB2AGUAcgBlAGQAIABsAGEAZwBvAG8AbgBcACIALAAgADAALgAxACwAIAAwAC4AMQAsACAAMAAuADEALAAgADAALgAxACwAIAAwAC4AMQAsACAAMAAuADEALAAgADAALgAxACwAIAAwAC4AMQAsACAAXAAiAEQAaQBnAGUAcwB0AGUAcgAgAC8AIABjAG8AdgBlAHIAZQBkACAAbABhAGcAbwBvAG4AcwBcACIAOwAgAFwAbgAgACAAIAAgACAAIAAgACAAIAAgAFwAIgBTAGgAbwByAHQAIABIAFIAVAAgAHQAYQBuAGsAIABzAHQAbwByAGEAZwBlACAAPAAgADEAIABtAG8AbgB0AGgAIAAoAHAAaQB0ACAAcwB0AG8AcgBhAGcAZQApAFwAIgAsACAAMAAuADAAMwAsACAAMAAuADAAMwAsACAAMAAuADAAMwAsACAAMAAuADAAMwAsACAAMAAuADAAMwAsACAAMAAuADAAMwAsACAAMAAuADAAMwAsACAAMAAuADAAMwAsACAAXAAiAFAAaQB0ACAAcwB0AG8AcgBhAGcAZQBcACIAOwAg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EEAdgBlAHIAYQBnAGUATABpAHYAZQB3AGUAaQBnAGgAdABcAG4AVwBjAG8AXABuAGsAZwBcAG4ALQAtAC0ALQAtAC0ALQAtAC0ALQAtAC0ALQAtAC0ALQAtAC0ALQAtAC0ALQAtAC0ALQAtAC0ALQAtAC0ALQAtAC0ALQAtAC0ALQAtAFwAbgAqAC8AXABuAFwAbgBTAG8AdQByAGMAZQBEAGEAdABhAF8AUwB3AGkAbgBlAF8AQQB2AGUAcgBhAGcAZQBMAGkAdgBlAHcAZQBpAGcAaAB0AF8AVABpAHQAbABlAFwAbgAgACAAPQBMAEEATQBCAEQAQQAoAFwAIgBTAHcAaQBuAGUAIAAtACAAQQB2AGUAcgBhAGcAZQAgAGwAaQB2AGUAdwBlAGkAZwBoAHQAIAAoAGkAbgB2AGUAbgB0AG8AcgB5ACAAZABlAGYAYQB1AGwAdABzACkAIAAoAGsAZwApACAAKABXAGMAbwApAFwAIgApADsAXABuAFwAbgBTAG8AdQByAGMAZQBEAGEAdABhAF8AUwB3AGkAbgBlAF8AQQB2AGUAcgBhAGcAZQBMAGkAdgBlAHcAZQBpAGcAaAB0AF8AVQBuAGkAdABcAG4AIAAgAD0ATABBAE0AQgBEAEEAKABcACIAawBnAFwAIgApADsAXABuAFwAbgBTAG8AdQByAGMAZQBEAGEAdABhAF8AUwB3AGkAbgBlAF8AQQB2AGUAcgBhAGcAZQBMAGkAdgBlAHcAZQBpAGcAaAB0AF8AUwBvAHUAcgBjAGUAXABuACAAIAA9AEwAQQBNAEIARABBACgAXAAiAFYARQBFAFIARwAgADIAMAAyADYAOgAgAFQAYQBiAGwAZQAgAEEALgAxAC4ANgAuADUAOgAgAFMAdwBpAG4AZQAgAC0AIABBAHYAZQByAGEAZwBlACAAbABpAHYAZQB3AGUAaQBnAGgAdAAgACgAaQBuAHYAZQBuAHQAbwByAHkAIABkAGUAZgBhAHUAbAB0AHMAKQAgACgAawBnACkAIAAoAFcAYwBvACkAXAAiACkAOwBcAG4AXABuAFMAbwB1AHIAYwBlAEQAYQB0AGEAXwBTAHcAaQBuAGUAXwBBAHYAZQByAGEAZwBlAEwAaQB2AGUAdwBlAGkAZwBoAHQAXwBWAGEAcgBpAGEAdABpAG8AbgBcAG4AIAAgAD0ATABBAE0AQgBEAEEAKABcACIALgBcACIAKQA7AFwAbgBcAG4AUwBvAHUAcgBjAGUARABhAHQAYQBfAFMAdwBpAG4AZQBfAEEAdgBlAHIAYQBnAGUATABpAHYAZQB3AGUAaQBnAGgAdABfAEQAYQB0AGEAXABuACAAIAA9AEwAQQBNAEIARABBACgAXABuACAAIAAgACAATQBBAEsARQBBAFIAUgBBAFkAKAA2ACwAIAAyACwAIABcAG4AIAAgACAAIAAgACAATABBAE0AQgBEAEEAKAByACwAYwAsACAAXABuACAAIAAgACAAIAAgACAAIABJAE4ARABFAFgAKAB7AFwAbgAgACAAIAAgACAAIAAgACAAIAAgAFwAIgBMAGkAdgBlAHMAdABvAGMAawAgAFQAeQBwAGUAIABqAFwAIgAsACAAXAAiAEEAdgBlAHIAYQBnAGUAIABMAGkAdgBlAHcAZQBpAGcAaAB0ACAAKABrAGcAKQBcACIAOwBcAG4AIAAgACAAIAAgACAAIAAgACAAIABcACIAUwBvAHcAcwBcACIALAAgADEAOAA4ADsAXABuACAAIAAgACAAIAAgACAAIAAgACAAXAAiAEIAbwBhAHIAcwBcACIALAAgADIAMAA2ADsAXABuACAAIAAgACAAIAAgACAAIAAgACAAXAAiAEcAaQBsAHQAcwBcACIALAAgADEAMgA1ADsAXABuACAAIAAgACAAIAAgACAAIAAgACAAXAAiAFMAbABhAHUAZwBoAHQAZQByACAAcABpAGcAcwBcACIALAAgADMAOQA7AFwAbgAgACAAIAAgACAAIAAgACAAIAAgAFwAIgBTAGwAYQB1AGcAaAB0AGUAcgAgAHAAaQBnAHMAIABhAHQAIAB0AHUAcgBuAG8AZgBmAFwAIgAsACAAOQA3AFwAbgAgACAAIAAgACAAIAAgACAAfQAsACAAcgAsACAAYwApAFwAbgAgACAAIAAgACAAIAApAFwAbgAgACAAIAAgACkAXABuACAAIAApADsAXABuAFwAbgBcAG4ALwAqACAAXABuAC0ALQAtAC0ALQAtAC0ALQAtAC0ALQAtAC0ALQAtAC0ALQAtAC0ALQAtAC0ALQAtAC0ALQAtAC0ALQAtAC0ALQAtAC0ALQAtAC0ALQBcAG4AUwBvAHUAcgBjAGUARABhAHQAYQBfAFMAdwBpAG4AZQBfAFAAcgBvAGQAdQBjAHQAaQBvAG4AUwB5AHMAdABlAG0AcwBcAG4ANAAuADUAIABTAHcAaQBuAGUAIABGAGkAZwB1AHIAZQAgADQALgA4AFwAbgAtAC0ALQAtAC0ALQAtAC0ALQAtAC0ALQAtAC0ALQAtAC0ALQAtAC0ALQAtAC0ALQAtAC0ALQAtAC0ALQAtAC0ALQAtAC0ALQAtAC0AXABuACoALwBcAG4AXABuAFMAbwB1AHIAYwBlAEQAYQB0AGEAXwBTAHcAaQBuAGUAXwBQAHIAbwBkAHUAYwB0AGkAbwBuAFMAeQBzAHQAZQBtAHMAXwBUAGkAdABsAGUAXABuACAAIAA9AEwAQQBNAEIARABBACgAXAAiAFMAdwBpAG4AZQAgAHAAcgBvAGQAdQBjAHQAaQBvAG4AIABzAHkAcwB0AGUAbQBzAFwAIgApADsAXABuAFwAbgBTAG8AdQByAGMAZQBEAGEAdABhAF8AUwB3AGkAbgBlAF8AUAByAG8AZAB1AGMAdABpAG8AbgBTAHkAcwB0AGUAbQBzAF8AVQBuAGkAdABcAG4AIAAgAD0ATABBAE0AQgBEAEEAKABcACIAXAAiACkAOwBcAG4AXABuAFMAbwB1AHIAYwBlAEQAYQB0AGEAXwBTAHcAaQBuAGUAXwBQAHIAbwBkAHUAYwB0AGkAbwBuAFMAeQBzAHQAZQBtAHMAXwBTAG8AdQByAGMAZQBcAG4AIAAgAD0ATABBAE0AQgBEAEEAKABcACIAVgBFAEUAUgBHACAAMgAwADIANgA6ACAANAAuADUAIABTAHcAaQBuAGUAIABGAGkAZwB1AHIAZQAgADQALgA4AFwAIgApADsAXABuAFwAbgBTAG8AdQByAGMAZQBEAGEAdABhAF8AUwB3AGkAbgBlAF8AUAByAG8AZAB1AGMAdABpAG8AbgBTAHkAcwB0AGUAbQBzAF8AVgBhAHIAaQBhAHQAaQBvAG4AXABuACAAIAA9AEwAQQBNAEIARABBACgAXAAiAFwAIgApADsAXABuAFwAbgBTAG8AdQByAGMAZQBEAGEAdABhAF8AUwB3AGkAbgBlAF8AUAByAG8AZAB1AGMAdABpAG8AbgBTAHkAcwB0AGUAbQBzAF8ARABhAHQAYQBcAG4AIAAgAD0ATABBAE0AQgBEAEEAKABcAG4AIAAgACAAIABNAEEASwBFAEEAUgBSAEEAWQAoADQALAAgADEALAAgAFwAbgAgACAAIAAgACAAIABMAEEATQBCAEQAQQAoAHIALABjACwAIABcAG4AIAAgACAAIAAgACAAIAAgAEkATgBEAEUAWAAoAHsAXABuACAAIAAgACAAIAAgACAAIAAgACAAXAAiAFAAcgBvAGQAdQBjAHQAaQBvAG4AIABzAHkAcwB0AGUAbQBcACIAOwBcAG4AIAAgACAAIAAgACAAIAAgACAAIABcACIAQwBvAG4AdgBlAG4AdABpAG8AbgBhAGwAIABoAG8AdQBzAGkAbgBnAFwAIgA7AFwAbgAgACAAIAAgACAAIAAgACAAIAAgAFwAIgBEAGUAZQBwACAAbABpAHQAdABlAHIAIABoAG8AdQBzAGkAbgBnAFwAIgA7AFwAbgAgACAAIAAgACAAIAAgACAAIAAgAFwAIgBPAHUAdABkAG8AbwByAC8AZgByAGUAZQAgAHIAYQBuAGcAZQBcACIAXABuACAAIAAgACAAIAAgACAAIAB9ACwAIAByACwAIABjACkAXABuACAAIAAgACAAIAAgACkAXABuACAAIAAgACAAKQBcAG4AIAAgACkAOwBcAG4AXABuAFwAbgAvACoAIABcAG4ALQAtAC0ALQAtAC0ALQAtAC0ALQAtAC0ALQAtAC0ALQAtAC0ALQAtAC0ALQAtAC0ALQAtAC0ALQAtAC0ALQAtAC0ALQAtAC0ALQAtAFwAbgBTAG8AdQByAGMAZQBEAGEAdABhAF8AUwB3AGkAbgBlAF8ARgByAGEAYwBMAEUAQQBDAEgAXwBEAHIAeQBsAG8AdABNAE0AUwBcAG4ARgByAGEAYwBMAEUAQQBDAEgAXwBNAFMAXABuAGYAcgBhAGMAdABpAG8AbgBcAG4ALQAtAC0ALQAtAC0ALQAtAC0ALQAtAC0ALQAtAC0ALQAtAC0ALQAtAC0ALQAtAC0ALQAtAC0ALQAtAC0ALQAtAC0ALQAtAC0ALQAtAFwAbgAqAC8AXABuAFwAbgBTAG8AdQByAGMAZQBEAGEAdABhAF8AUwB3AGkAbgBlAF8ARgByAGEAYwBMAEUAQQBDAEgAXwBEAHIAeQBsAG8AdABNAE0AUwBfAFQAaQB0AGwAZQBcAG4AIAAgAD0ATABBAE0AQgBEAEEAKABcACIARgByAGEAYwB0AGkAbwBuACAAbwBmACAAbgBpAHQAcgBvAGcAZQBuACAAbABvAHMAdAAgAHQAaAByAG8AdQBnAGgAIABsAGUAYQBjAGgAaQBuAGcAIABhAG4AZAAgAHIAdQBuAG8AZgBmACAAZgBvAHIAIABkAHIAeQBsAG8AdAAgAE0ATQBTAFwAIgApADsAXABuAFwAbgBTAG8AdQByAGMAZQBEAGEAdABhAF8AUwB3AGkAbgBlAF8ARgByAGEAYwBMAEUAQQBDAEgAXwBEAHIAeQBsAG8AdABNAE0AUwBfAFYAYQByAGkAYQBiAGwAZQBcAG4AIAAgAD0ATABBAE0AQgBEAEEAKABcACIARgByAGEAYwBMAEUAQQBDAEgAXwBNAFMAXAAiACkAOwBcAG4AXABuAFMAbwB1AHIAYwBlAEQAYQB0AGEAXwBTAHcAaQBuAGUAXwBGAHIAYQBjAEwARQBBAEMASABfAEQAcgB5AGwAbwB0AE0ATQBTAF8AVQBuAGkAdABcAG4AIAAgAD0ATABBAE0AQgBEAEEAKABcACIAZgByAGEAYwB0AGkAbwBuAFwAIgApADsAXABuAFwAbgBTAG8AdQByAGMAZQBEAGEAdABhAF8AUwB3AGkAbgBlAF8ARgByAGEAYwBMAEUAQQBDAEgAXwBEAHIAeQBsAG8AdABNAE0AUwBfAFMAbwB1AHIAYwBlAFwAbgAgACAAPQBMAEEATQBCAEQAQQAoAFwAIgBWAEUARQBSAEcAIAAyADAAMgA2ADoAIAA0AC4ANQAuADIALgAzACAAQwBPAE4AUwBUAEEATgBUAFwAIgApADsAXABuAFwAbgBTAG8AdQByAGMAZQBEAGEAdABhAF8AUwB3AGkAbgBlAF8ARgByAGEAYwBMAEUAQQBDAEgAXwBEAHIAeQBsAG8AdABNAE0AUwBfAFYAYQByAGkAYQB0AGkAbwBuAFwAbgAgACAAPQBMAEEATQBCAEQAQQAoAFwAIgBWAEEAUgBJAEEAVABJAE8ATgAgAE8ATgAgAFMATwBVAFIAQwBFADoAIABUAGUAeAB0ACAAcgBlAGYAZQByAHMAIAB0AG8AIAAnAHMAbwBsAGkAZAAgAHMAdABvAHIAYQBnAGUAJwAgAE0ATQBTACwAIABiAHUAdAAgAGUAcQB1AGEAdABpAG8AbgAgAHIAZQBmAGUAcgBzACAAdABvACAAJwBkAHIAeQBsAG8AdAAnACAATQBNAFMALgBcACIAKQA7AFwAbgBcAG4AUwBvAHUAcgBjAGUARABhAHQAYQBfAFMAdwBpAG4AZQBfAEYAcgBhAGMATABFAEEAQwBIAF8ARAByAHkAbABvAHQATQBNAFMAXwBEAGEAdABhAFwAbgAgACAAPQBMAEEATQBCAEQAQQAoADAALgAwADIAKQA7AFwAbgBcAG4AIgB9ACwAewAiAHAAYQB0AGgAIgA6ACIALwBwAHIAbwBqAGUAYwB0AHMALwBFAG4AdABlAHIAaQBjAE0AZQB0AGgAYQBuAGUAXwBTAHcAaQBuAGUAXwBFAHEAdQBhAHQAaQBvAG4AcwAiACwAIgB0AGUAeAB0ACIAOgAiACIAfQAsAHsAIgBwAGEAdABoACIAOgAiAC8AcAByAG8AagBlAGMAdABzAC8ATQBNAFMAXwBTAHcAaQBuAGU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EAIABNAGUAdABoAG8AZAAgADEAIAAUICAATQBhAG4AdQByAGUAIABNAGUAdABoAGEAbgBl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QBfAF8AMQBfAFQAbwB0AGEAbABBAG4AbgB1AGEAbABNAGUAdABoAGEAbgBlAEUAbQBpAHMAcwBpAG8AbgBzAFwAbgBUAG8AdABhAGwAIABhAG4AbgB1AGEAbAAgAG0AZQB0AGgAYQBuAGUAIABlAG0AaQBzAHMAaQBvAG4AcwAgAGYAcgBvAG0AIABtAGEAbgB1AHIAZQAgAG0AYQBuAGEAZwBlAG0AZQBuAHQAXABuAEUAQwBIADQAXABuAHQAIABDAEgANABcAG4AewBFAH0AXwB7AEMASAA0AH0APQBcAFwAcwB1AG0AXwB7AGoAfQAoAEQAXwB7AGoAfQBcAFwAdABpAG0AZQBzACAATQBfAHsAbQBqAH0AXABcAHQAaQBtAGUAcwAgAE4AXwB7AGoAfQApAFwAXAB0AGkAbQBlAHMAMQAwAF4AewAtADMAfQBcAG4ARABqACAAPQAgAGwAZQBuAGcAdABoACAAbwBmACAAcwB0AGEAeQAgAG8AZgAgAGUAYQBjAGgAIABjAGwAYQBzAHMAIABvAGYAIABzAHcAaQBuAGUAIAA6ACAAZABhAHkAcwBcAG4ATQBtAGoAIAA9ACAAbQBlAHQAaABhAG4AZQAgAHAAcgBvAGQAdQBjAHQAaQBvAG4AIABmAHIAbwBtACAAbQBhAG4AdQByAGUAIABpAG4AIABlAGEAYwBoACAAcwB3AGkAbgBlACAAYwBsAGEAcwBzACAAOgAgAGsAZwAgAEMASAA0AC8AaABlAGEAZAAvAGQAYQB5AFwAbgBOAGoAIAA9ACAAbgB1AG0AYgBlAHIAcwAgAG8AZgAgAHMAdwBpAG4AZQAgAGkAbgAgAGUAYQBjAGgAIABjAGwAYQBzAHMAIAA6ACAAaABlAGEAZABcAG4ALQAtAC0ALQAtAC0ALQAtAC0ALQAtAC0ALQAtAC0ALQAtAC0ALQAtAC0ALQAtAC0ALQAtAC0ALQAtAC0ALQAtAC0ALQAtAC0ALQAtAFwAbgAqAC8AXABuAFwAbgBWAEUARQBSAEcAXwA0AF8ANQBfADEAXwAxAF8AXwAxAF8AVABvAHQAYQBsAEEAbgBuAHUAYQBsAE0AZQB0AGgAYQBuAGUARQBtAGkAcwBzAGkAbwBuAHMAXABuACAAIAA9AEwAQQBNAEIARABBACgAXABuACAAIAAgACAARABqACwAIABNAG0AagAsACAATgBqACwAXABuACAAIAAgACAARABqACAAKgAgAE0AbQBqACAAKgAgAE4AagAgACoAIAAxADAAIABeACAALQAzAFwAbgAgACAAKQA7AFwAbgBcAG4AVgBFAEUAUgBHAF8ANABfADU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1AF8AMQBfADEAXwBfADEAXwBUAG8AdABhAGwAQQBuAG4AdQBhAGwATQBlAHQAaABhAG4AZQBFAG0AaQBzAHMAaQBvAG4AcwBfAFYAYQByAGkAYQBiAGwAZQBcAG4AIAAgAD0ATABBAE0AQgBEAEEAKABcACIARQBDAEgANABcACIAKQA7AFwAbgBcAG4AVgBFAEUAUgBHAF8ANABfADUAXwAxAF8AMQBfAF8AMQBfAFQAbwB0AGEAbABBAG4AbgB1AGEAbABNAGUAdABoAGEAbgBlAEUAbQBpAHMAcwBpAG8AbgBzAF8AVQBuAGkAdABcAG4AIAAgAD0ATABBAE0AQgBEAEEAKABcACIAdAAgAEMASAA0AFwAIgApADsAXABuAFwAbgBWAEUARQBSAEcAXwA0AF8ANQBfADEAXwAxAF8AXwAxAF8AVABvAHQAYQBsAEEAbgBuAHUAYQBsAE0AZQB0AGgAYQBuAGUARQBtAGkAcwBzAGkAbwBuAHMAXwBTAG8AdQByAGMAZQBcAG4AIAAgAD0ATABBAE0AQgBEAEEAKABcACIAVgBFAEUAUgBHACAAMgAwADIANgA6ACAANAAuADUALgAxAC4AMQAsACAARQBxAHUAYQB0AGkAbwBuACAAKAAxACkAXAAiACkAOwBcAG4AXABuAFYARQBFAFIARwBfADQAXwA1AF8AMQBfADEAXwBfADEAXwBUAG8AdABhAGwAQQBuAG4AdQBhAGwATQBlAHQAaABhAG4AZQBFAG0AaQBzAHMAaQBvAG4AcwBfAE4ASQBSAFIAZQBmAGUAcgBlAG4AYwBlAFwAbgAgACAAPQBMAEEATQBCAEQAQQAoAFwAIgBcACIAKQA7AFwAbgBcAG4AVgBFAEUAUgBHAF8ANABfADUAXwAxAF8AMQBfAF8AMQBfAFQAbwB0AGEAbABBAG4AbgB1AGEAbABNAGUAdABoAGEAbgBlAEUAbQBpAHMAcwBpAG8AbgBzAF8ATABhAHQAZQB4AEUAcQB1AGEAdABpAG8AbgBcAG4AIAAgAD0ATABBAE0AQgBEAEEAKABcACIAewBFAH0AXwB7AEMASAA0AH0APQBcAFwAcwB1AG0AXwB7AGoAfQAoAEQAXwB7AGoAfQBcAFwAdABpAG0AZQBzACAATQBfAHsAbQBqAH0AXABcAHQAaQBtAGUAcwAgAE4AXwB7AGoAfQApAFwAXAB0AGkAbQBlAHMAMQAwAF4AewAtADMAfQBcACIAKQA7AFwAbgBcAG4AVgBFAEUAUgBHAF8ANABfADUAXwAxAF8AMQBfAF8AMQBfAFQAbwB0AGEAbABBAG4AbgB1AGEAbABNAGUAdABoAGEAbgBlAEUAbQBpAHMAcwBpAG8AbgBzAF8AQQByAGcAdQBtAGUAbgB0AHMAXABuACAAIAA9AEwAQQBNAEIARABBACgAXABuACAAIAAgACAATQBBAEsARQBBAFIAUgBBAFkAKAAzACwAIAAyACwAXABuACAAIAAgACAAIAAgAEwAQQBNAEIARABBACgAcgAsAGMALABcAG4AIAAgACAAIAAgACAAIAAgAEkATgBEAEUAWAAoAHsAXABuACAAIAAgACAAIAAgACAAIAAgACAAXAAiAEQAagBcACIALABcACIAbABlAG4AZwB0AGgAIABvAGYAIABzAHQAYQB5ACAAbwBmACAAZQBhAGMAaAAgAGMAbABhAHMAcwAgAG8AZgAgAHMAdwBpAG4AZQAgADoAIABkAGEAeQBzAFwAIgA7AFwAbgAgACAAIAAgACAAIAAgACAAIAAgAFwAIgBNAG0AagBcACIALABcACIAbQBlAHQAaABhAG4AZQAgAHAAcgBvAGQAdQBjAHQAaQBvAG4AIABmAHIAbwBtACAAbQBhAG4AdQByAGUAIABpAG4AIABlAGEAYwBoACAAcwB3AGkAbgBlACAAYwBsAGEAcwBzACAAOgAgAGsAZwAgAEMASAA0AC8AaABlAGEAZAAvAGQAYQB5AFwAIgA7AFwAbgAgACAAIAAgACAAIAAgACAAIAAgAFwAIgBOAGoAXAAiACwAXAAiAG4AdQBtAGIAZQByAHMAIABvAGYAIABzAHcAaQBuAGUAIABpAG4AIABlAGEAYwBoACAAYwBsAGEAcwBz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UAXwAxAF8AMQBfAF8AMgBfAE0AZQB0AGgAYQBuAGUAUAByAG8AZAB1AGMAdABpAG8AbgBQAGUAcgBDAGwAYQBzAHMAXABuAE0AZQB0AGgAYQBuAGUAIABwAHIAbwBkAHUAYwB0AGkAbwBuACAAZgByAG8AbQAgAHQAaABlACAAbQBhAG4AdQByAGUAIABvAGYAIABlAGEAYwBoACAAYwBsAGEAcwBzACAAbwBmACAAcwB3AGkAbgBlAFwAbgBNAG0AagBcAG4AawBnACAAQwBIADQALwBoAGUAYQBkAC8AZABhAHkAXABuAE0AXwB7AG0AagB9AD0AXABcAHMAdQBtAF8AewBtAH0AXABcAHMAdQBtAF8AewBUAH0ATQBfAHsAagBtAFQAfQBcAG4ATQBqAG0AVAAgAD0AIABtAGUAdABoAGEAbgBlACAAcAByAG8AZAB1AGMAdABpAG8AbgAgAGYAcgBvAG0AIABtAGEAbgB1AHIAZQAgAHAAZQByACAAYwBsAGEAcwBzACwAIABNAE0AUwAsACAAYQBuAGQAIAB0AHIAZQBhAHQAbQBlAG4AdAAgAHMAdABhAGcAZQAgADoAIABrAGcAIABDAEgANAAvAGgAZQBhAGQALwBkAGEAeQBcAG4ALQAtAC0ALQAtAC0ALQAtAC0ALQAtAC0ALQAtAC0ALQAtAC0ALQAtAC0ALQAtAC0ALQAtAC0ALQAtAC0ALQAtAC0ALQAtAC0ALQAtAFwAbgAqAC8AXABuAFwAbgBWAEUARQBSAEcAXwA0AF8ANQBfADEAXwAxAF8AXwAyAF8ATQBlAHQAaABhAG4AZQBQAHIAbwBkAHUAYwB0AGkAbwBuAFAAZQByAEMAbABhAHMAcwBcAG4AIAAgAD0ATABBAE0AQgBEAEEAKABcAG4AIAAgACAAIABNAGoAbQBUACwAXABuACAAIAAgACAAUwBVAE0AKABNAGoAbQBUACkAXABuACAAIAApADsAXABuAFwAbgBWAEUARQBSAEcAXwA0AF8ANQBfADEAXwAxAF8AXwAyAF8ATQBlAHQAaABhAG4AZQBQAHIAbwBkAHUAYwB0AGkAbwBuAFAAZQByAEMAbABhAHMAcwBWAGEAcgBpAGEAdABpAG8AbgBcAG4AIAAgAD0ATABBAE0AQgBEAEEAKABcAG4AIAAgACAAIABNAGoAbQBUADEALAAgAE0AagBtAFQAMgAsAFwAbgAgACAAIAAgACAAUwBVAE0AKABNAGoAbQBUADEALAAgAE0AagBtAFQAMgApAFwAbgAgACAAKQA7AFwAbgBcAG4AVgBFAEUAUgBHAF8ANABfADUAXwAxAF8AMQBfAF8AMgBfAE0AZQB0AGgAYQBuAGUAUAByAG8AZAB1AGMAdABpAG8AbgBQAGUAcgBDAGwAYQBzAHMAXwBUAGkAdABsAGUAXABuACAAIAA9AEwAQQBNAEIARABBACgAXAAiAE0AZQB0AGgAYQBuAGUAIABwAHIAbwBkAHUAYwB0AGkAbwBuACAAZgByAG8AbQAgAHQAaABlACAAbQBhAG4AdQByAGUAIABvAGYAIABlAGEAYwBoACAAYwBsAGEAcwBzACAAbwBmACAAcwB3AGkAbgBlAFwAIgApADsAXABuAFwAbgBWAEUARQBSAEcAXwA0AF8ANQBfADEAXwAxAF8AXwAyAF8ATQBlAHQAaABhAG4AZQBQAHIAbwBkAHUAYwB0AGkAbwBuAFAAZQByAEMAbABhAHMAcwBfAFYAYQByAGkAYQBiAGwAZQBcAG4AIAAgAD0ATABBAE0AQgBEAEEAKABcACIATQBtAGoAXAAiACkAOwBcAG4AXABuAFYARQBFAFIARwBfADQAXwA1AF8AMQBfADEAXwBfADIAXwBNAGUAdABoAGEAbgBlAFAAcgBvAGQAdQBjAHQAaQBvAG4AUABlAHIAQwBsAGEAcwBzAF8AVQBuAGkAdABcAG4AIAAgAD0ATABBAE0AQgBEAEEAKABcACIAawBnACAAQwBIADQALwBoAGUAYQBkAC8AZABhAHkAXAAiACkAOwBcAG4AXABuAFYARQBFAFIARwBfADQAXwA1AF8AMQBfADEAXwBfADIAXwBNAGUAdABoAGEAbgBlAFAAcgBvAGQAdQBjAHQAaQBvAG4AUABlAHIAQwBsAGEAcwBzAF8AUwBvAHUAcgBjAGUAXABuACAAIAA9AEwAQQBNAEIARABBACgAXAAiAFYARQBFAFIARwAgADIAMAAyADYAOgAgADQALgA1AC4AMQAuADEALAAgAEUAcQB1AGEAdABpAG8AbgAgACgAMgApAFwAIgApADsAXABuAFwAbgBWAEUARQBSAEcAXwA0AF8ANQBfADEAXwAxAF8AXwAyAF8ATQBlAHQAaABhAG4AZQBQAHIAbwBkAHUAYwB0AGkAbwBuAFAAZQByAEMAbABhAHMAcwBfAE4ASQBSAFIAZQBmAGUAcgBlAG4AYwBlAFwAbgAgACAAPQBMAEEATQBCAEQAQQAoAFwAIgBcACIAKQA7AFwAbgBcAG4AVgBFAEUAUgBHAF8ANABfADUAXwAxAF8AMQBfAF8AMgBfAE0AZQB0AGgAYQBuAGUAUAByAG8AZAB1AGMAdABpAG8AbgBQAGUAcgBDAGwAYQBzAHMAXwBMAGEAdABlAHgARQBxAHUAYQB0AGkAbwBuAFwAbgAgACAAPQBMAEEATQBCAEQAQQAoAFwAIgBNAF8AewBtAGoAfQA9AFwAXABzAHUAbQBfAHsAbQB9AFwAXABzAHUAbQBfAHsAVAB9AE0AXwB7AGoAbQBUAH0AXAAiACkAOwBcAG4AXABuAFYARQBFAFIARwBfADQAXwA1AF8AMQBfADEAXwBfADIAXwBNAGUAdABoAGEAbgBlAFAAcgBvAGQAdQBjAHQAaQBvAG4AUABlAHIAQwBsAGEAcwBzAF8AQQByAGcAdQBtAGUAbgB0AHMAXABuACAAIAA9AEwAQQBNAEIARABBACgAXABuACAAIAAgACAATQBBAEsARQBBAFIAUgBBAFkAKAAxACwAIAAyACwAXABuACAAIAAgACAAIAAgAEwAQQBNAEIARABBACgAcgAsAGMALABcAG4AIAAgACAAIAAgACAAIAAgAEkATgBEAEUAWAAoAHsAXABuACAAIAAgACAAIAAgACAAIAAgACAAXAAiAE0AagBtAFQAXAAiACwAXAAiAG0AZQB0AGgAYQBuAGUAIABwAHIAbwBkAHUAYwB0AGkAbwBuACAAZgByAG8AbQAgAG0AYQBuAHUAcgBlACAAcABlAHIAIABjAGwAYQBzAHMALAAgAE0ATQBTACwAIABhAG4AZAAgAHQAcgBlAGEAdABtAGUAbgB0ACAAcwB0AGEAZwBlACAAOgAgAGsAZwAgAEMASAA0AC8AaABlAGEAZAAvAGQAYQB5AFwAIgBcAG4AIAAgACAAIAAgACAAIAAgAH0ALAAgAHIALAAgAGMAKQBcAG4AIAAgACAAIAAgACAAKQBcAG4AIAAgACAAIAApAFwAbgAgACAAKQA7AFwAbgBcAG4AVgBFAEUAUgBHAF8ANABfADUAXwAxAF8AMQBfAF8AMgBfAE0AZQB0AGgAYQBuAGUAUAByAG8AZAB1AGMAdABpAG8AbgBQAGUAcgBDAGwAYQBzAHMAXwBWAGEAcgBpAGEAdABpAG8AbgBcAG4AIAAgAD0ATABBAE0AQgBEAEEAKABcACIAVgBBAFIASQBBAFQASQBPAE4AIABPAE4AIABTAE8AVQBSAEMARQA6ACAAUwBwAGwAaQB0ACAAdgBhAHIAaQBhAGIAbABlACAATQBqAG0AIABpAG4AdABvACAATQBqAG0AVAAxACAAYQBuAGQAIABNAGoAbQBUADIAIABmAG8AcgAgAHMAdABhAGcAZQAgADEAIABhAG4AZAAgADIAIABNAE0AUwAuAFwAIgApADsAXABuAFwAbgAvACoAXABuAC0ALQAtAC0ALQAtAC0ALQAtAC0ALQAtAC0ALQAtAC0ALQAtAC0ALQAtAC0ALQAtAC0ALQAtAC0ALQAtAC0ALQAtAC0ALQAtAC0ALQBcAG4AVgBFAEUAUgBHAF8ANABfADUAXwAxAF8AMQBfAF8AMwBfAFMAdABhAGcAZQAxAE0AZQB0AGgAYQBuAGUAUAByAG8AZAB1AGMAdABpAG8AbgBcAG4AUAByAG8AZAB1AGMAdABpAG8AbgAgAG8AZgAgAG0AZQB0AGgAYQBuAGUAIABpAG4AIAB0AHIAZQBhAHQAbQBlAG4AdAAgAHMAdABhAGcAZQAgADEAIABNAE0AUwBcAG4ATQBpAGoAbQBUADEAXABuAGsAZwAgAEMASAA0AC8AaABlAGEAZAAvAGQAYQB5AFwAbgBNAF8AewBpAGoAbQAsAFQAPQAxAH0APQBWAFMAXwB7AGoAfQBcAFwAdABpAG0AZQBzACAARgBWAFMAXwB7AGoAbQAsAFQAPQAxAH0AXABcAHQAaQBtAGUAcwAgAE0AQwBGAF8AewBpAG0AfQBcAFwAdABpAG0AZQBzACAAQgBPAFwAXAB0AGkAbQBlAHMAIABcAFwAcgBoAG8AXABuAFYAUwBqACAAPQAgAHYAbwBsAGEAdABpAGwAZQAgAHMAbwBsAGkAZAAgAHAAcgBvAGQAdQBjAHQAaQBvAG4AIABmAHIAbwBtACAAcwB3AGkAbgBlACAAaQBuACAAZQBhAGMAaAAgAGMAbABhAHMAcwAgADoAIABrAGcALwBoAGUAYQBkAC8AZABhAHkAXABuAEYAVgBTAGoAbQBUADEAIAA9ACAAZgByAGEAYwB0AGkAbwBuACAAbwBmACAAdgBvAGwAYQB0AGkAbABlACAAcwBvAGwAaQBkAHMAIABpAG4AIABlAGEAYwBoACAAcAByAGkAbQBhAHIAeQAgAHMAeQBzAHQAZQBtACAAOgAgAGYAcgBhAGMAdABpAG8AbgBcAG4ATQBDAEYAaQBtACAAPQAgAG0AZQB0AGgAYQBuAGUAIABjAG8AbgB2AGUAcgBzAGkAbwBuACAAZgBhAGMAdABvAHIAIABmAG8AcgAgAHQAZQBtAHAAZQByAGEAdABlACAAegBvAG4AZQAgAGEAbgBkACAAcwB5AHMAdABlAG0AIAA6ACAAZgByAGEAYwB0AGkAbwBuAFwAbgBCAE8AIAA9ACAAZQBtAGkAcwBzAGkAbwBuAHMAIABwAG8AdABlAG4AdABpAGEAbAAgADoAIABtADMAIABDAEgANAAvAGsAZwAgAFYAUwBcAG4AcgBoAG8AIAA9ACAAZABlAG4AcwBpAHQAeQAgAG8AZgAgAG0AZQB0AGgAYQBuAGUAIAA6ACAAawBnAC8AbQAzAFwAbgAtAC0ALQAtAC0ALQAtAC0ALQAtAC0ALQAtAC0ALQAtAC0ALQAtAC0ALQAtAC0ALQAtAC0ALQAtAC0ALQAtAC0ALQAtAC0ALQAtAC0AXABuACoALwBcAG4AXABuAFYARQBFAFIARwBfADQAXwA1AF8AMQBfADEAXwBfADMAXwBTAHQAYQBnAGUAMQBNAGUAdABoAGEAbgBlAFAAcgBvAGQAdQBjAHQAaQBvAG4AXABuACAAIAA9AEwAQQBNAEIARABBACgAXABuACAAIAAgACAAVgBTAGoALAAgAEYAVgBTAGoAbQBUADEALAAgAE0AQwBGAGkAbQAsACAAQgBPACwAIAByAGgAbwAsAFwAbgAgACAAIAAgAFYAUwBqACAAKgAgAEYAVgBTAGoAbQBUADEAIAAqACAATQBDAEYAaQBtACAAKgAgAEIATwAgACoAIAByAGgAbwBcAG4AIAAgACkAOwBcAG4AXABuAFYARQBFAFIARwBfADQAXwA1AF8AMQBfADEAXwBfADMAXwBTAHQAYQBnAGUAMQBNAGUAdABoAGEAbgBlAFAAcgBvAGQAdQBjAHQAaQBvAG4AXwBUAGkAdABsAGUAXABuACAAIAA9AEwAQQBNAEIARABBACgAXAAiAFAAcgBvAGQAdQBjAHQAaQBvAG4AIABvAGYAIABtAGUAdABoAGEAbgBlACAAaQBuACAAdAByAGUAYQB0AG0AZQBuAHQAIABzAHQAYQBnAGUAIAAxACAATQBNAFMAXAAiACkAOwBcAG4AXABuAFYARQBFAFIARwBfADQAXwA1AF8AMQBfADEAXwBfADMAXwBTAHQAYQBnAGUAMQBNAGUAdABoAGEAbgBlAFAAcgBvAGQAdQBjAHQAaQBvAG4AXwBWAGEAcgBpAGEAYgBsAGUAXABuACAAIAA9AEwAQQBNAEIARABBACgAXAAiAE0AaQBqAG0AVAAxAFwAIgApADsAXABuAFwAbgBWAEUARQBSAEcAXwA0AF8ANQBfADEAXwAxAF8AXwAzAF8AUwB0AGEAZwBlADEATQBlAHQAaABhAG4AZQBQAHIAbwBkAHUAYwB0AGkAbwBuAF8AVQBuAGkAdABcAG4AIAAgAD0ATABBAE0AQgBEAEEAKABcACIAawBnACAAQwBIADQALwBoAGUAYQBkAC8AZABhAHkAXAAiACkAOwBcAG4AXABuAFYARQBFAFIARwBfADQAXwA1AF8AMQBfADEAXwBfADMAXwBTAHQAYQBnAGUAMQBNAGUAdABoAGEAbgBlAFAAcgBvAGQAdQBjAHQAaQBvAG4AXwBTAG8AdQByAGMAZQBcAG4AIAAgAD0ATABBAE0AQgBEAEEAKABcACIAVgBFAEUAUgBHACAAMgAwADIANgA6ACAANAAuADUALgAxAC4AMQAsACAARQBxAHUAYQB0AGkAbwBuACAAKAAzACkAXAAiACkAOwBcAG4AXABuAFYARQBFAFIARwBfADQAXwA1AF8AMQBfADEAXwBfADMAXwBTAHQAYQBnAGUAMQBNAGUAdABoAGEAbgBlAFAAcgBvAGQAdQBjAHQAaQBvAG4AXwBOAEkAUgBSAGUAZgBlAHIAZQBuAGMAZQBcAG4AIAAgAD0ATABBAE0AQgBEAEEAKABcACIAXAAiACkAOwBcAG4AXABuAFYARQBFAFIARwBfADQAXwA1AF8AMQBfADEAXwBfADMAXwBTAHQAYQBnAGUAMQBNAGUAdABoAGEAbgBlAFAAcgBvAGQAdQBjAHQAaQBvAG4AXwBMAGEAdABlAHgARQBxAHUAYQB0AGkAbwBuAFwAbgAgACAAPQBMAEEATQBCAEQAQQAoAFwAIgBNAF8AewBpAGoAbQAsAFQAPQAxAH0APQBWAFMAXwB7AGoAfQBcAFwAdABpAG0AZQBzACAARgBWAFMAXwB7AGoAbQAsAFQAPQAxAH0AXABcAHQAaQBtAGUAcwAgAE0AQwBGAF8AewBpAG0AfQBcAFwAdABpAG0AZQBzACAAQgBPAFwAXAB0AGkAbQBlAHMAIABcAFwAcgBoAG8AXAAiACkAOwBcAG4AXABuAFYARQBFAFIARwBfADQAXwA1AF8AMQBfADEAXwBfADMAXwBTAHQAYQBnAGUAMQBNAGUAdABoAGEAbgBlAFAAcgBvAGQAdQBjAHQAaQBvAG4AXwBBAHIAZwB1AG0AZQBuAHQAcwBcAG4AIAAgAD0ATABBAE0AQgBEAEEAKABcAG4AIAAgACAAIABNAEEASwBFAEEAUgBSAEEAWQAoADU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EIATwBcACIALABcACIAZQBtAGkAcwBzAGkAbwBuAHMAIABwAG8AdABlAG4AdABpAGEAbAAgADoAIABtADMAIABDAEgANAAvAGsAZwAgAFYAUwBcACIAOwBcAG4AIAAgACAAIAAgACAAIAAgACAAIABcACIAcgBoAG8AXAAiACwAXAAiAGQAZQBuAHMAaQB0AHkAIABvAGYAIABtAGUAdABoAGEAbgBlACAAOgAgAGsAZwAvAG0AMw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0AF8ARgByAGEAYwB0AGkAbwBuAFYAbwBsAGEAdABpAGwAZQBTAG8AbABpAGQAcwBQAHIAaQBtAGEAcgB5AFMAeQBzAHQAZQBtAFwAbgBGAHIAYQBjAHQAaQBvAG4AIABvAGYAIAB2AG8AbABhAHQAaQBsAGUAIABzAG8AbABpAGQAcwAgAGkAbgAgAGUAYQBjAGgAIABwAHIAaQBtAGEAcgB5ACAAcwB5AHMAdABlAG0AIABvAHQAaABlAHIAIAB0AGgAYQBuACAAcwBvAGwAaQBkACAAcwB0AG8AcgBhAGcAZQBcAG4ARgBWAFMAagBtAFQAMQBcAG4AZgByAGEAYwB0AGkAbwBuAFwAbgBGAFYAUwBfAHsAagBtACwAVAA9ADEAfQA9AE0ATQBTAF8AewBqAG0ALABUAD0AMQB9AFwAXAB0AGkAbQBlAHMAKAAxAC0AUwBTAF8AewBtAH0AKQBcAG4ATQBNAFMAagBtAFQAMQAgAD0AIABmAHIAYQBjAHQAaQBvAG4AIABvAGYAIABtAGEAbgB1AHIAZQAgAHQAbwAgAGUAYQBjAGgAIABwAHIAaQBtAGEAcgB5ACAATQBNAFMAIABmAG8AcgAgAGUAYQBjAGgAIABjAGwAYQBzAHMAIABwAHIAaQBvAHIAIAB0AG8AIABzAG8AbABpAGQAIABzAGUAcABhAHIAYQB0AGkAbwBuACAAOgAgAGYAcgBhAGMAdABpAG8AbgBcAG4AUwBTAG0AIAA9ACAAZgByAGEAYwB0AGkAbwBuACAAbwBmACAAdgBvAGwAYQB0AGkAbABlACAAcwBvAGwAaQBkAHMAIABzAGUAcABhAHIAYQB0AGUAZAAgAHQAbwAgAHMAbwBsAGkAZAAgAHMAdABvAHIAYQBnAGUAIABmAG8AcgAgAGUAYQBjAGgAIABNAE0AUwAgADoAIABmAHIAYQBjAHQAaQBvAG4AXABuAC0ALQAtAC0ALQAtAC0ALQAtAC0ALQAtAC0ALQAtAC0ALQAtAC0ALQAtAC0ALQAtAC0ALQAtAC0ALQAtAC0ALQAtAC0ALQAtAC0ALQBcAG4AKgAvAFwAbgBcAG4AVgBFAEUAUgBHAF8ANABfADUAXwAxAF8AMQBfAF8ANABfAEYAcgBhAGMAdABpAG8AbgBWAG8AbABhAHQAaQBsAGUAUwBvAGwAaQBkAHMAUAByAGkAbQBhAHIAeQBTAHkAcwB0AGUAbQBcAG4AIAAgAD0ATABBAE0AQgBEAEEAKABcAG4AIAAgACAAIABNAE0AUwBqAG0AVAAxACwAIABTAFMAbQAsAFwAbgAgACAAIAAgAE0ATQBTAGoAbQBUADEAIAAqACAAKAAxACAALQAgAFMAUwBtACkAXABuACAAIAApADsAXABuAFwAbgBWAEUARQBSAEcAXwA0AF8ANQBfADEAXwAxAF8AXwA0AF8ARgByAGEAYwB0AGkAbwBuAFYAbwBsAGEAdABpAGwAZQBTAG8AbABpAGQAcwBQAHIAaQBtAGEAcgB5AFMAeQBzAHQAZQBtAF8AVABpAHQAbABlAFwAbgAgACAAPQBMAEEATQBCAEQAQQAoAFwAIgBGAHIAYQBjAHQAaQBvAG4AIABvAGYAIAB2AG8AbABhAHQAaQBsAGUAIABzAG8AbABpAGQAcwAgAGkAbgAgAGUAYQBjAGgAIABwAHIAaQBtAGEAcgB5ACAAcwB5AHMAdABlAG0AIABvAHQAaABlAHIAIAB0AGgAYQBuACAAcwBvAGwAaQBkACAAcwB0AG8AcgBhAGcAZQBcACIAKQA7AFwAbgBcAG4AVgBFAEUAUgBHAF8ANABfADUAXwAxAF8AMQBfAF8ANABfAEYAcgBhAGMAdABpAG8AbgBWAG8AbABhAHQAaQBsAGUAUwBvAGwAaQBkAHMAUAByAGkAbQBhAHIAeQBTAHkAcwB0AGUAbQBfAFYAYQByAGkAYQBiAGwAZQBcAG4AIAAgAD0ATABBAE0AQgBEAEEAKABcACIARgBWAFMAagBtAFQAMQBcACIAKQA7AFwAbgBcAG4AVgBFAEUAUgBHAF8ANABfADUAXwAxAF8AMQBfAF8ANABfAEYAcgBhAGMAdABpAG8AbgBWAG8AbABhAHQAaQBsAGUAUwBvAGwAaQBkAHMAUAByAGkAbQBhAHIAeQBTAHkAcwB0AGUAbQBfAFUAbgBpAHQAXABuACAAIAA9AEwAQQBNAEIARABBACgAXAAiAGYAcgBhAGMAdABpAG8AbgBcACIAKQA7AFwAbgBcAG4AVgBFAEUAUgBHAF8ANABfADUAXwAxAF8AMQBfAF8ANABfAEYAcgBhAGMAdABpAG8AbgBWAG8AbABhAHQAaQBsAGUAUwBvAGwAaQBkAHMAUAByAGkAbQBhAHIAeQBTAHkAcwB0AGUAbQBfAFMAbwB1AHIAYwBlAFwAbgAgACAAPQBMAEEATQBCAEQAQQAoAFwAIgBWAEUARQBSAEcAIAAyADAAMgA2ADoAIAA0AC4ANQAuADEALgAxACwAIABFAHEAdQBhAHQAaQBvAG4AIAAoADQAKQBcACIAKQA7AFwAbgBcAG4AVgBFAEUAUgBHAF8ANABfADUAXwAxAF8AMQBfAF8ANABfAEYAcgBhAGMAdABpAG8AbgBWAG8AbABhAHQAaQBsAGUAUwBvAGwAaQBkAHMAUAByAGkAbQBhAHIAeQBTAHkAcwB0AGUAbQBfAE4ASQBSAFIAZQBmAGUAcgBlAG4AYwBlAFwAbgAgACAAPQBMAEEATQBCAEQAQQAoAFwAIgBcACIAKQA7AFwAbgBcAG4AVgBFAEUAUgBHAF8ANABfADUAXwAxAF8AMQBfAF8ANABfAEYAcgBhAGMAdABpAG8AbgBWAG8AbABhAHQAaQBsAGUAUwBvAGwAaQBkAHMAUAByAGkAbQBhAHIAeQBTAHkAcwB0AGUAbQBfAEwAYQB0AGUAeABFAHEAdQBhAHQAaQBvAG4AXABuACAAIAA9AEwAQQBNAEIARABBACgAXAAiAEYAVgBTAF8AewBqAG0ALABUAD0AMQB9AD0ATQBNAFMAXwB7AGoAbQAsAFQAPQAxAH0AXABcAHQAaQBtAGUAcwAoADEALQBTAFMAXwB7AG0AfQApAFwAIgApADsAXABuAFwAbgBWAEUARQBSAEcAXwA0AF8ANQBfADEAXwAxAF8AXwA0AF8ARgByAGEAYwB0AGkAbwBuAFYAbwBsAGEAdABpAGwAZQBTAG8AbABpAGQAcwBQAHIAaQBtAGEAcgB5AFMAeQBzAHQAZQBtAF8AQQByAGcAdQBtAGUAbgB0AHMAXABuACAAIAA9AEwAQQBNAEIARABBACgAXABuACAAIAAgACAATQBBAEsARQBBAFIAUgBBAFkAKAAyACwAIAAyACwAXABuACAAIAAgACAAIAAgAEwAQQBNAEIARABBACgAcgAsAGMALABcAG4AIAAgACAAIAAgACAAIAAgAEkATgBEAEUAWAAoAHsAXABuACAAIAAgACAAIAAgACAAIAAgACAAXAAiAE0ATQBTAGoAbQBUADEAXAAiACwAXAAiAGYAcgBhAGMAdABpAG8AbgAgAG8AZgAgAG0AYQBuAHUAcgBlACAAdABvACAAZQBhAGMAaAAgAHAAcgBpAG0AYQByAHkAIABNAE0AUwAgAGYAbwByACAAZQBhAGMAaAAgAGMAbABhAHMAcwAgAHAAcgBpAG8AcgAgAHQAbwAgAHMAbwBsAGkAZAAgAHMAZQBwAGEAcgBhAHQAaQBvAG4AIAA6ACAAZgByAGEAYwB0AGkAbwBuAFwAIgA7AFwAbgAgACAAIAAgACAAIAAgACAAIAAgAFwAIgBTAFMAbQBcACIALABcACIAZgByAGEAYwB0AGkAbwBuACAAbwBmACAAdgBvAGwAYQB0AGkAbABlACAAcwBvAGwAaQBkAHMAIABzAGUAcABhAHIAYQB0AGUAZAAgAHQAbwAgAHMAbwBsAGkAZAAgAHMAdABvAHIAYQBnAGUAIABmAG8AcgAgAGUAYQBjAGgAIABNAE0AUwAgADoAIABmAHIAYQBjAHQAaQBvAG4AXAAiAFwAbgAgACAAIAAgACAAIAAgACAAfQAsACAAcgAsACAAYwApAFwAbgAgACAAIAAgACAAIAApAFwAbgAgACAAIAAgACkAXABuACAAIAApADsAXABuAFwAbgBWAEUARQBSAEcAXwA0AF8ANQBfADEAXwAxAF8AXwA0AF8ARgByAGEAYwB0AGkAbwBuAFYAbwBsAGEAdABpAGwAZQBTAG8AbABpAGQAcwBQAHIAaQBtAGEAcgB5AFMAeQBzAHQAZQBtAF8AVgBhAHIAaQBhAHQAaQBvAG4AXABuACAAIAA9AEwAQQBNAEIARABBACgAXAAiAFwAIgApADsAXABuAFwAbgAvACoAXABuAC0ALQAtAC0ALQAtAC0ALQAtAC0ALQAtAC0ALQAtAC0ALQAtAC0ALQAtAC0ALQAtAC0ALQAtAC0ALQAtAC0ALQAtAC0ALQAtAC0ALQBcAG4AVgBFAEUAUgBHAF8ANABfADUAXwAxAF8AMQBfAF8ANQBfAEYAcgBhAGMAdABpAG8AbgBWAG8AbABhAHQAaQBsAGUAUwBvAGwAaQBkAHMAUwBvAGwAaQBkAFMAdABvAHIAYQBnAGUAXABuAEYAcgBhAGMAdABpAG8AbgAgAG8AZgAgAHYAbwBsAGEAdABpAGwAZQAgAHMAbwBsAGkAZABzACAAaQBuACAAcwBvAGwAaQBkACAAcwB0AG8AcgBhAGcAZQBcAG4ARgBWAFMAagBtADQAVAAxAFwAbgBmAHIAYQBjAHQAaQBvAG4AXABuAEYAVgBTAF8AewBqACwAbQA9ADQALABUAD0AMQB9AD0ATQBNAFMAXwB7AGoALABtAD0ANAAsAFQAPQAxAH0AKwAoAE0ATQBTAF8AewBqACwAbQA9ADEALAA3ACwAOQAsAFQAPQAxAH0AXABcAHQAaQBtAGUAcwAgAFMAUwBfAHsAbQB9ACkAXABuAE0ATQBTAGoAbQA0AFQAMQAgAD0AIABmAHIAYQBjAHQAaQBvAG4AIABvAGYAIABtAGEAbgB1AHIAZQAgAGkAbgAgAHMAbwBsAGkAZAAgAHMAdABvAHIAYQBnAGUAIABwAHIAaQBtAGEAcgB5ACAAcwB5AHMAdABlAG0AIAA6ACAAZgByAGEAYwB0AGkAbwBuAFwAbgBNAE0AUwBqAG0AMQA3ADkAVAAxACAAPQAgAGYAcgBhAGMAdABpAG8AbgAgAG8AZgAgAG0AYQBuAHUAcgBlACAAaQBuACAATQBNAFMAIAAxACwAIAA3ACwAIABhAG4AZAAgADkAIABpAG4AIAB0AHIAZQBhAHQAbQBlAG4AdAAgAHMAdABhAGcAZQAgADEAIAA6ACAAZgByAGEAYwB0AGkAbwBuAFwAbgBTAFMAbQAgAD0AIABmAHIAYQBjAHQAaQBvAG4AIABvAGYAIAB2AG8AbABhAHQAaQBsAGUAIABzAG8AbABpAGQAcwAgAHMAZQBwAGEAcgBhAHQAZQBkACAAdABvACAAcwBvAGwAaQBkACAAcwB0AG8AcgBhAGcAZQAgAGYAbwByACAAZQBhAGMAaAAgAE0ATQBTACAAOgAgAGYAcgBhAGMAdABpAG8AbgBcAG4ALQAtAC0ALQAtAC0ALQAtAC0ALQAtAC0ALQAtAC0ALQAtAC0ALQAtAC0ALQAtAC0ALQAtAC0ALQAtAC0ALQAtAC0ALQAtAC0ALQAtAFwAbgAqAC8AXABuAFwAbgBWAEUARQBSAEcAXwA0AF8ANQBfADEAXwAxAF8AXwA1AF8ARgByAGEAYwB0AGkAbwBuAFYAbwBsAGEAdABpAGwAZQBTAG8AbABpAGQAcwBTAG8AbABpAGQAUwB0AG8AcgBhAGcAZQBcAG4AIAAgAD0ATABBAE0AQgBEAEEAKABcAG4AIAAgACAAIABNAE0AUwBqAG0ANABUADEALAAgAE0ATQBTAGoAbQAxADcAOQBUADEALAAgAFMAUwBtACwAXABuACAAIAAgACAATQBNAFMAagBtADQAVAAxACAAKwAgACgATQBNAFMAagBtADEANwA5AFQAMQAgACoAIABTAFMAbQApAFwAbgAgACAAKQA7AFwAbgBcAG4AVgBFAEUAUgBHAF8ANABfADUAXwAxAF8AMQBfAF8ANQBfAEYAcgBhAGMAdABpAG8AbgBWAG8AbABhAHQAaQBsAGUAUwBvAGwAaQBkAHMAUwBvAGwAaQBkAFMAdABvAHIAYQBnAGUAVgBhAHIAaQBhAHQAaQBvAG4AXABuACAAIAA9AEwAQQBNAEIARABBACgAXABuACAAIAAgACAATQBNAFM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AgACAATQBNAFMAagBtADQAVAAxACAAKwAgAFwAbgAgACAAIAAgACAAIAAoAE0ATQBTAGoAbQBUADEAXwAxACAAKgAgAFMAUwBqAG0AVAAxAF8AMQApACAAKwAgAFwAbgAgACAAIAAgACAAIAAoAE0ATQBTAGoAbQBUADEAXwAyACAAKgAgAFMAUwBqAG0AVAAxAF8AMgApACAAKwAgAFwAbgAgACAAIAAgACAAIAAoAE0ATQBTAGoAbQBUADEAXwAzACAAKgAgAFMAUwBqAG0AVAAxAF8AMwApACAAKwBcAG4AIAAgACAAIAAgACAAKABNAE0AUwBqAG0AVAAxAF8ANAAgACoAIABTAFMAagBtAFQAMQBfADQAKQAgACsAXABuACAAIAAgACAAIAAgACgATQBNAFMAagBtAFQAMQBfADUAIAAqACAAUwBTAGoAbQBUADEAXwA1ACkAXABuACAAIAApADsAXABuAFwAbgBWAEUARQBSAEcAXwA0AF8ANQ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NQBfADEAXwAxAF8AXwA1AF8ARgByAGEAYwB0AGkAbwBuAFYAbwBsAGEAdABpAGwAZQBTAG8AbABpAGQAcwBTAG8AbABpAGQAUwB0AG8AcgBhAGcAZQBfAFYAYQByAGkAYQBiAGwAZQBcAG4AIAAgAD0ATABBAE0AQgBEAEEAKABcACIARgBWAFMAagBtADQAVAAxAFwAIgApADsAXABuAFwAbgBWAEUARQBSAEcAXwA0AF8ANQBfADEAXwAxAF8AXwA1AF8ARgByAGEAYwB0AGkAbwBuAFYAbwBsAGEAdABpAGwAZQBTAG8AbABpAGQAcwBTAG8AbABpAGQAUwB0AG8AcgBhAGcAZQBfAFUAbgBpAHQAXABuACAAIAA9AEwAQQBNAEIARABBACgAXAAiAGYAcgBhAGMAdABpAG8AbgBcACIAKQA7AFwAbgBcAG4AVgBFAEUAUgBHAF8ANABfADUAXwAxAF8AMQBfAF8ANQBfAEYAcgBhAGMAdABpAG8AbgBWAG8AbABhAHQAaQBsAGUAUwBvAGwAaQBkAHMAUwBvAGwAaQBkAFMAdABvAHIAYQBnAGUAXwBTAG8AdQByAGMAZQBcAG4AIAAgAD0ATABBAE0AQgBEAEEAKABcACIAVgBFAEUAUgBHACAAMgAwADIANgA6ACAANAAuADUALgAxAC4AMQAsACAARQBxAHUAYQB0AGkAbwBuACAAKAA1ACkAXAAiACkAOwBcAG4AXABuAFYARQBFAFIARwBfADQAXwA1AF8AMQBfADEAXwBfADUAXwBGAHIAYQBjAHQAaQBvAG4AVgBvAGwAYQB0AGkAbABlAFMAbwBsAGkAZABzAFMAbwBsAGkAZABTAHQAbwByAGEAZwBlAF8ATgBJAFIAUgBlAGYAZQByAGUAbgBjAGUAXABuACAAIAA9AEwAQQBNAEIARABBACgAXAAiAFwAIgApADsAXABuAFwAbgBWAEUARQBSAEcAXwA0AF8ANQBfADEAXwAxAF8AXwA1AF8ARgByAGEAYwB0AGkAbwBuAFYAbwBsAGEAdABpAGwAZQBTAG8AbABpAGQAcwBTAG8AbABpAGQAUwB0AG8AcgBhAGcAZQBfAEwAYQB0AGUAeABFAHEAdQBhAHQAaQBvAG4AXABuACAAIAA9AEwAQQBNAEIARABBACgAXAAiAEYAVgBTAF8AewBqACwAbQA9ADQALABUAD0AMQB9AD0ATQBNAFMAXwB7AGoALABtAD0ANAAsAFQAPQAxAH0AKwAoAE0ATQBTAF8AewBqACwAbQA9ADEALAA3ACwAOQAsAFQAPQAxAH0AXABcAHQAaQBtAGUAcwAgAFMAUwBfAHsAbQB9ACkAXAAiACkAOwBcAG4AXABuAFYARQBFAFIARwBfADQAXwA1AF8AMQBfADEAXwBfADUAXwBGAHIAYQBjAHQAaQBvAG4AVgBvAGwAYQB0AGkAbABlAFMAbwBsAGkAZABzAFMAbwBsAGkAZABTAHQAbwByAGEAZwBlAF8ATABhAHQAZQB4AEUAcQB1AGEAdABpAG8AbgBWAGEAcgBpAGEAdABpAG8AbgBcAG4AIAAgAD0ATABBAE0AQgBEAEEAKABcACIARgBWAFMAXwB7AGoALABtAD0ANAAsAFQAPQAxAH0APQBNAE0AUwBfAHsAagAsAG0APQA0ACwAVAA9ADEAfQArACgATQBNAFMAXwB7AGoALABtAD0AMQAsAFQAPQAxAH0AXABcAHQAaQBtAGUAcwAgAFMAUwBfAHsAbQA9ADEALABUAD0AMQB9ACkAKwAoAE0ATQBTAF8AewBqACwAbQA9ADcALABUAD0AMQB9AFwAXAB0AGkAbQBlAHMAIABTAFMAXwB7AG0APQA3ACwAVAA9ADEAfQApACsAKABNAE0AUwBfAHsAagAsAG0APQA5ACwAVAA9ADEAfQBcAFwAdABpAG0AZQBzACAAUwBTAF8AewBtAD0AOQAsAFQAPQAxAH0AKQBcACIAKQA7AFwAbgBcAG4AVgBFAEUAUgBHAF8ANABfADUAXwAxAF8AMQBfAF8ANQBfAEYAcgBhAGMAdABpAG8AbgBWAG8AbABhAHQAaQBsAGUAUwBvAGwAaQBkAHMAUwBvAGwAaQBkAFMAdABvAHIAYQBnAGUAXwBBAHIAZwB1AG0AZQBuAHQAcwBcAG4AIAAgAD0ATABBAE0AQgBEAEEAKABcAG4AIAAgACAAIABNAEEASwBFAEEAUgBSAEEAWQAoADMALAAgADIALABcAG4AIAAgACAAIAAgACAATABBAE0AQgBEAEEAKAByACwAYwAsAFwAbgAgACAAIAAgACAAIAAgACAASQBOAEQARQBYACgAewBcAG4AIAAgACAAIAAgACAAIAAgACAAIABcACIATQBNAFMAagBtADQAVAAxAFwAIgAsAFwAIgBmAHIAYQBjAHQAaQBvAG4AIABvAGYAIABtAGEAbgB1AHIAZQAgAGkAbgAgAHMAbwBsAGkAZAAgAHMAdABvAHIAYQBnAGUAIABwAHIAaQBtAGEAcgB5ACAAcwB5AHMAdABlAG0AIAA6ACAAZgByAGEAYwB0AGkAbwBuAFwAIgA7AFwAbgAgACAAIAAgACAAIAAgACAAIAAgAFwAIgBNAE0AUwBqAG0AMQA3ADkAVAAxAFwAIgAsAFwAIgBmAHIAYQBjAHQAaQBvAG4AIABvAGYAIABtAGEAbgB1AHIAZQAgAGkAbgAgAE0ATQBTACAAMQAsACAANwAsACAAYQBuAGQAIAA5ACAAaQBuACAAdAByAGUAYQB0AG0AZQBuAHQAIABzAHQAYQBnAGUAIAAxACAAOgAgAGYAcgBhAGMAdABpAG8AbgBcACIAOwBcAG4AIAAgACAAIAAgACAAIAAgACAAIABcACIAUwBTAG0AXAAiACwAXAAiAGYAcgBhAGMAdABpAG8AbgAgAG8AZgAgAHYAbwBsAGEAdABpAGwAZQAgAHMAbwBsAGkAZABzACAAcwBlAHAAYQByAGEAdABlAGQAIAB0AG8AIABzAG8AbABpAGQAIABzAHQAbwByAGEAZwBlACAAZgBvAHIAIABlAGEAYwBoACAATQBNAFMAIAA6ACAAZgByAGEAYwB0AGkAbwBuAFwAIgBcAG4AIAAgACAAIAAgACAAIAAgAH0ALAAgAHIALAAgAGMAKQBcAG4AIAAgACAAIAAgACAAKQBcAG4AIAAgACAAIAApAFwAbgAgACAAKQA7AFwAbgBcAG4AVgBFAEUAUgBHAF8ANABfADUAXwAxAF8AMQBfAF8ANQBfAEYAcgBhAGMAdABpAG8AbgBWAG8AbABhAHQAaQBsAGUAUwBvAGwAaQBkAHM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CAAIABcAG4AXABuAC8AKgBcAG4ALQAtAC0ALQAtAC0ALQAtAC0ALQAtAC0ALQAtAC0ALQAtAC0ALQAtAC0ALQAtAC0ALQAtAC0ALQAtAC0ALQAtAC0ALQAtAC0ALQAtAFwAbgBWAEUARQBSAEcAXwA0AF8ANQBfADEAXwAxAF8AXwA2AF8AUwB0AGEAZwBlADIATQBlAHQAaABhAG4AZQBQAHIAbwBkAHUAYwB0AGkAbwBuAFwAbgBQAHIAbwBkAHUAYwB0AGkAbwBuACAAbwBmACAAbQBlAHQAaABhAG4AZQAgAGkAbgAgAGUAYQBjAGgAIAB0AHIAZQBhAHQAbQBlAG4AdAAgAHMAdABhAGcAZQAgADIAIABNAE0AUwBcAG4ATQBpAGoAbQBUADIAXABuAGsAZwAgAEMASAA0AC8AaABlAGEAZAAvAGQAYQB5AFwAbgBNAF8AewBpAGoAbQAsAFQAPQAyAH0APQBWAFMAVABfAHsAagBtACwAVAA9ADIAfQBcAFwAdABpAG0AZQBzACAAQgBPAFwAXAB0AGkAbQBlAHMAIABNAE0AUwBfAHsAagBtACwAVAA9ADIAfQBcAFwAdABpAG0AZQBzACAATQBDAEYAXwB7AGkAbQB9AFwAXAB0AGkAbQBlAHMAIABcAFwAcgBoAG8AXABuAFYAUwBUAGoAbQBUADIAIAA9ACAAdgBvAGwAYQB0AGkAbABlACAAcwBvAGwAaQBkAHMAIAB0AHIAYQBuAHMAZgBlAHIAcgBlAGQAIAB0AG8AIAB0AHIAZQBhAHQAbQBlAG4AdAAgAHMAdABhAGcAZQAgADIAIABNAE0AUwAgADoAIABrAGcALwBoAGUAYQBkAC8AZABhAHkAXABuAEIATwAgAD0AIABlAG0AaQBzAHMAaQBvAG4AcwAgAHAAbwB0AGUAbgB0AGkAYQBsACAAOgAgAG0AMwAgAEMASAA0AC8AawBnACAAVgBTAFwAbgBNAE0AUwBqAG0AVAAyACAAPQAgAGYAcgBhAGMAdABpAG8AbgAgAG8AZgAgAG0AYQBuAHUAcgBlACAAaQBuACAAZQBhAGMAaAAgAHMAZQBjAG8AbgBkAGEAcgB5ACAAcwB5AHMAdABlAG0AIAA6ACAAZgByAGEAYwB0AGkAbwBuAFwAbgBNAEMARgBpAG0AIAA9ACAAbQBlAHQAaABhAG4AZQAgAGMAbwBuAHYAZQByAHMAaQBvAG4AIABmAGEAYwB0AG8AcgAgAGYAbwByACAAdABlAG0AcABlAHIAYQB0AGUAIAB6AG8AbgBlACAAYQBuAGQAIABzAHkAcwB0AGUAbQAgADoAIABmAHIAYQBjAHQAaQBvAG4AXABuAHIAaABvACAAPQAgAGQAZQBuAHMAaQB0AHkAIABvAGYAIABtAGUAdABoAGEAbgBlACAAOgAgAGsAZwAvAG0AMwBcAG4AaQAgAD0AIABzAHQAYQB0AGUAXABuAC0ALQAtAC0ALQAtAC0ALQAtAC0ALQAtAC0ALQAtAC0ALQAtAC0ALQAtAC0ALQAtAC0ALQAtAC0ALQAtAC0ALQAtAC0ALQAtAC0ALQBcAG4AKgAvAFwAbgBcAG4AVgBFAEUAUgBHAF8ANABfADUAXwAxAF8AMQBfAF8ANgBfAFMAdABhAGcAZQAyAE0AZQB0AGgAYQBuAGUAUAByAG8AZAB1AGMAdABpAG8AbgBcAG4AIAAgAD0ATABBAE0AQgBEAEEAKABcAG4AIAAgACAAIABWAFMAVABqAG0AVAAyACwAIABCAE8ALAAgAE0ATQBTAGoAbQBUADIALAAgAE0AQwBGAGkAbQAsACAAcgBoAG8ALABcAG4AIAAgACAAIABMAEUAVAAoAFwAbgAgACAAIAAgACAAIABWAFMAVABqAG0AVAAyACwAIABJAEYAKABJAFMATgBVAE0AQgBFAFIAKABWAFMAVABqAG0AVAAyACkALAAgAFYAUwBUAGoAbQBUADIALAAgADAAKQAsAFwAbgAgACAAIAAgACAAIABNAE0AUwBqAG0AVAAyACwAIABJAEYAKABJAFMATgBVAE0AQgBFAFIAKABNAE0AUwBqAG0AVAAyACkALAAgAE0ATQBTAGoAbQBUADIALAAgADAAKQAsAFwAbgAgACAAIAAgACAAIABWAFMAVABqAG0AVAAyACAAKgAgAEIATwAgACoAIABNAE0AUwBqAG0AVAAyACAAKgAgAE0AQwBGAGkAbQAgACoAIAByAGgAbwBcAG4AIAAgACAAIAApAFwAbgAgACAAKQA7AFwAbgBcAG4AVgBFAEUAUgBHAF8ANABfADUAXwAxAF8AMQBfAF8ANgBfAFMAdABhAGcAZQAyAE0AZQB0AGgAYQBuAGUAUAByAG8AZAB1AGMAdABpAG8AbgBfAFQAaQB0AGwAZQBcAG4AIAAgAD0ATABBAE0AQgBEAEEAKABcACIAUAByAG8AZAB1AGMAdABpAG8AbgAgAG8AZgAgAG0AZQB0AGgAYQBuAGUAIABpAG4AIABlAGEAYwBoACAAdAByAGUAYQB0AG0AZQBuAHQAIABzAHQAYQBnAGUAIAAyACAATQBNAFMAXAAiACkAOwBcAG4AXABuAFYARQBFAFIARwBfADQAXwA1AF8AMQBfADEAXwBfADYAXwBTAHQAYQBnAGUAMgBNAGUAdABoAGEAbgBlAFAAcgBvAGQAdQBjAHQAaQBvAG4AXwBWAGEAcgBpAGEAYgBsAGUAXABuACAAIAA9AEwAQQBNAEIARABBACgAXAAiAE0AaQBqAG0AVAAyAFwAIgApADsAXABuAFwAbgBWAEUARQBSAEcAXwA0AF8ANQBfADEAXwAxAF8AXwA2AF8AUwB0AGEAZwBlADIATQBlAHQAaABhAG4AZQBQAHIAbwBkAHUAYwB0AGkAbwBuAF8AVQBuAGkAdABcAG4AIAAgAD0ATABBAE0AQgBEAEEAKABcACIAawBnACAAQwBIADQALwBoAGUAYQBkAC8AZABhAHkAXAAiACkAOwBcAG4AXABuAFYARQBFAFIARwBfADQAXwA1AF8AMQBfADEAXwBfADYAXwBTAHQAYQBnAGUAMgBNAGUAdABoAGEAbgBlAFAAcgBvAGQAdQBjAHQAaQBvAG4AXwBTAG8AdQByAGMAZQBcAG4AIAAgAD0ATABBAE0AQgBEAEEAKABcACIAVgBFAEUAUgBHACAAMgAwADIANgA6ACAANAAuADUALgAxAC4AMQAsACAARQBxAHUAYQB0AGkAbwBuACAAKAA2ACkAXAAiACkAOwBcAG4AXABuAFYARQBFAFIARwBfADQAXwA1AF8AMQBfADEAXwBfADYAXwBTAHQAYQBnAGUAMgBNAGUAdABoAGEAbgBlAFAAcgBvAGQAdQBjAHQAaQBvAG4AXwBOAEkAUgBSAGUAZgBlAHIAZQBuAGMAZQBcAG4AIAAgAD0ATABBAE0AQgBEAEEAKABcACIAXAAiACkAOwBcAG4AXABuAFYARQBFAFIARwBfADQAXwA1AF8AMQBfADEAXwBfADYAXwBTAHQAYQBnAGUAMgBNAGUAdABoAGEAbgBlAFAAcgBvAGQAdQBjAHQAaQBvAG4AXwBMAGEAdABlAHgARQBxAHUAYQB0AGkAbwBuAFwAbgAgACAAPQBMAEEATQBCAEQAQQAoAFwAIgBNAF8AewBpAGoAbQAsAFQAPQAyAH0APQBWAFMAVABfAHsAagBtACwAVAA9ADIAfQBcAFwAdABpAG0AZQBzACAAQgBPAFwAXAB0AGkAbQBlAHMAIABNAE0AUwBfAHsAagBtACwAVAA9ADIAfQBcAFwAdABpAG0AZQBzACAATQBDAEYAXwB7AGkAbQB9AFwAXAB0AGkAbQBlAHMAIABcAFwAcgBoAG8AXAAiACkAOwBcAG4AXABuAFYARQBFAFIARwBfADQAXwA1AF8AMQBfADEAXwBfADYAXwBTAHQAYQBnAGUAMgBNAGUAdABoAGEAbgBlAFAAcgBvAGQAdQBjAHQAaQBvAG4AXwBBAHIAZwB1AG0AZQBuAHQAcwBcAG4AIAAgAD0ATABBAE0AQgBEAEEAKABcAG4AIAAgACAAIABNAEEASwBFAEEAUgBSAEEAWQAoADYALAAgADIALABcAG4AIAAgACAAIAAgACAATABBAE0AQgBEAEEAKAByACwAYwAsAFwAbgAgACAAIAAgACAAIAAgACAASQBOAEQARQBYACgAewBcAG4AIAAgACAAIAAgACAAIAAgACAAIABcACIAVgBTAFQAagBtAFQAMgBcACIALABcACIAdgBvAGwAYQB0AGkAbABlACAAcwBvAGwAaQBkAHMAIAB0AHIAYQBuAHMAZgBlAHIAcgBlAGQAIAB0AG8AIAB0AHIAZQBhAHQAbQBlAG4AdAAgAHMAdABhAGcAZQAgADIAIABNAE0AUwAgADoAIABrAGcALwBoAGUAYQBkAC8AZABhAHkAXAAiADsAXABuACAAIAAgACAAIAAgACAAIAAgACAAXAAiAEIATwBcACIALABcACIAZQBtAGkAcwBzAGkAbwBuAHMAIABwAG8AdABlAG4AdABpAGEAbAAgADoAIABtADMAIABDAEgANAAvAGsAZwAgAFYAUwBcACIAOwBcAG4AIAAgACAAIAAgACAAIAAgACAAIABcACIATQBNAFMAagBtAFQAMgBcACIALABcACIAZgByAGEAYwB0AGkAbwBuACAAbwBmACAAbQBhAG4AdQByAGUAIABpAG4AIABlAGEAYwBoACAAcwBlAGMAbwBuAGQAYQByAHkAIABzAHkAcwB0AGUAbQAgADoAIABmAHIAYQBjAHQAaQBvAG4AXAAiADsAXABuACAAIAAgACAAIAAgACAAIAAgACAAXAAiAE0AQwBGAGkAbQBcACIALABcACIAbQBlAHQAaABhAG4AZQAgAGMAbwBuAHYAZQByAHMAaQBvAG4AIABmAGEAYwB0AG8AcgAgAGYAbwByACAAdABlAG0AcABlAHIAYQB0AGUAIAB6AG8AbgBlACAAYQBuAGQAIABzAHkAcwB0AGUAbQAgADoAIABmAHIAYQBjAHQAaQBvAG4AXAAiADsAXABuACAAIAAgACAAIAAgACAAIAAgACAAXAAiAHIAaABvAFwAIgAsAFwAIgBkAGUAbgBzAGkAdAB5ACAAbwBmACAAbQBlAHQAaABhAG4AZQAgADoAIABrAGcALwBtADMAXAAiADsAXABuACAAIAAgACAAIAAgACAAIAAgACAAXAAiAGkAXAAiACw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NQBfADEAXwAxAF8AXwA3AF8AVgBvAGwAYQB0AGkAbABlAFMAbwBsAGkAZABzAFQAcgBhAG4AcwBmAGUAcgByAGUAZABTAHQAYQBnAGUAMgBcAG4AVgBvAGwAYQB0AGkAbABlACAAcwBvAGwAaQBkAHMAIAB0AHIAYQBuAHMAZgBlAHIAcgBlAGQAIAB0AG8AIAB0AHIAZQBhAHQAbQBlAG4AdAAgAHMAdABhAGcAZQAgADIAIABNAE0AUwBcAG4AVgBTAFQAaQBqAG0AVAAyAFwAbgBrAGcAIABWAFMAXABuAFYAUwBUAF8AewBpAGoAbQAsAFQAPQAyAH0APQBWAFMAXwB7AGoAfQBcAFwAdABpAG0AZQBzACAARgBWAFMAXwB7AGoAbQAsAFQAPQAxAH0AXABcAHQAaQBtAGUAcwAoADEALQBWAFMATABfAHsAbQAsAFQAPQAxAH0AKQBcAG4AVgBTAGoAIAA9ACAAdgBvAGwAYQB0AGkAbABlACAAcwBvAGwAaQBkACAAcAByAG8AZAB1AGMAdABpAG8AbgAgAGYAcgBvAG0AIABzAHcAaQBuAGUAIABpAG4AIABlAGEAYwBoACAAYwBsAGEAcwBzACAAOgAgAGsAZwAvAGgAZQBhAGQALwBkAGEAeQBcAG4ARgBWAFMAagBtAFQAMQAgAD0AIABmAHIAYQBjAHQAaQBvAG4AIABvAGYAIAB2AG8AbABhAHQAaQBsAGUAIABzAG8AbABpAGQAcwAgAGkAbgAgAGUAYQBjAGgAIABwAHIAaQBtAGEAcgB5ACAAcwB5AHMAdABlAG0AIAA6ACAAZgByAGEAYwB0AGkAbwBuAFwAbgBWAFMATABtAFQAMQAgAD0AIABmAHIAYQBjAHQAaQBvAG4AIABvAGYAIAB2AG8AbABhAHQAaQBsAGUAIABzAG8AbABpAGQAcwAgAGwAbwBzAHQAIABkAHUAcgBpAG4AZwAgAHMAdABvAHIAYQBnAGUAIABpAG4AIAB0AGgAZQAgAHAAcgBpAG0AYQByAHkAIABzAHkAcwB0AGUAbQAgADoAIABmAHIAYQBjAHQAaQBvAG4AXABuAC0ALQAtAC0ALQAtAC0ALQAtAC0ALQAtAC0ALQAtAC0ALQAtAC0ALQAtAC0ALQAtAC0ALQAtAC0ALQAtAC0ALQAtAC0ALQAtAC0ALQBcAG4AKgAvAFwAbgBcAG4AVgBFAEUAUgBHAF8ANABfADUAXwAxAF8AMQBfAF8ANwBfAFYAbwBsAGEAdABpAGwAZQBTAG8AbABpAGQAcwBUAHIAYQBuAHMAZgBlAHIAcgBlAGQAUwB0AGEAZwBlADIAXABuACAAIAA9AEwAQQBNAEIARABBACgAXABuACAAIAAgACAAVgBTAGoALAAgAEYAVgBTAGoAbQBUADEALAAgAFYAUwBMAG0AVAAxACwAXABuACAAIAAgACAAVgBTAGoAIAAqACAARgBWAFMAagBtAFQAMQAgACoAIAAoADEAIAAtACAAVgBTAEwAbQBUADEAKQBcAG4AIAAgACkAOwBcAG4AXABuAFYARQBFAFIARwBfADQAXwA1AF8AMQBfADEAXwBfADcAXwBWAG8AbABhAHQAaQBsAGUAUwBvAGwAaQBkAHMAVAByAGEAbgBzAGYAZQByAHIAZQBkAFMAdABhAGcAZQAyAF8AVABpAHQAbABlAFwAbgAgACAAPQBMAEEATQBCAEQAQQAoAFwAIgBWAG8AbABhAHQAaQBsAGUAIABzAG8AbABpAGQAcwAgAHQAcgBhAG4AcwBmAGUAcgByAGUAZAAgAHQAbwAgAHQAcgBlAGEAdABtAGUAbgB0ACAAcwB0AGEAZwBlACAAMgAgAE0ATQBTAFwAIgApADsAXABuAFwAbgBWAEUARQBSAEcAXwA0AF8ANQBfADEAXwAxAF8AXwA3AF8AVgBvAGwAYQB0AGkAbABlAFMAbwBsAGkAZABzAFQAcgBhAG4AcwBmAGUAcgByAGUAZABTAHQAYQBnAGUAMgBfAFYAYQByAGkAYQBiAGwAZQBcAG4AIAAgAD0ATABBAE0AQgBEAEEAKABcACIAVgBTAFQAaQBqAG0AVAAyAFwAIgApADsAXABuAFwAbgBWAEUARQBSAEcAXwA0AF8ANQBfADEAXwAxAF8AXwA3AF8AVgBvAGwAYQB0AGkAbABlAFMAbwBsAGkAZABzAFQAcgBhAG4AcwBmAGUAcgByAGUAZABTAHQAYQBnAGUAMgBfAFUAbgBpAHQAXABuACAAIAA9AEwAQQBNAEIARABBACgAXAAiAGsAZwAgAFYAUwBcACIAKQA7AFwAbgBcAG4AVgBFAEUAUgBHAF8ANABfADUAXwAxAF8AMQBfAF8ANwBfAFYAbwBsAGEAdABpAGwAZQBTAG8AbABpAGQAcwBUAHIAYQBuAHMAZgBlAHIAcgBlAGQAUwB0AGEAZwBlADIAXwBTAG8AdQByAGMAZQBcAG4AIAAgAD0ATABBAE0AQgBEAEEAKABcACIAVgBFAEUAUgBHACAAMgAwADIANgA6ACAANAAuADUALgAxAC4AMQAsACAARQBxAHUAYQB0AGkAbwBuACAAKAA3ACkAXAAiACkAOwBcAG4AXABuAFYARQBFAFIARwBfADQAXwA1AF8AMQBfADEAXwBfADcAXwBWAG8AbABhAHQAaQBsAGUAUwBvAGwAaQBkAHMAVAByAGEAbgBzAGYAZQByAHIAZQBkAFMAdABhAGcAZQAyAF8ATgBJAFIAUgBlAGYAZQByAGUAbgBjAGUAXABuACAAIAA9AEwAQQBNAEIARABBACgAXAAiAFwAIgApADsAXABuAFwAbgBWAEUARQBSAEcAXwA0AF8ANQBfADEAXwAxAF8AXwA3AF8AVgBvAGwAYQB0AGkAbABlAFMAbwBsAGkAZABzAFQAcgBhAG4AcwBmAGUAcgByAGUAZABTAHQAYQBnAGUAMgBfAEwAYQB0AGUAeABFAHEAdQBhAHQAaQBvAG4AXABuACAAIAA9AEwAQQBNAEIARABBACgAXAAiAFYAUwBUAF8AewBpAGoAbQAsAFQAPQAyAH0APQBWAFMAXwB7AGoAfQBcAFwAdABpAG0AZQBzACAARgBWAFMAXwB7AGoAbQAsAFQAPQAxAH0AXABcAHQAaQBtAGUAcwAoADEALQBWAFMATABfAHsAbQAsAFQAPQAxAH0AKQBcACIAKQA7AFwAbgBcAG4AVgBFAEUAUgBHAF8ANABfADUAXwAxAF8AMQBfAF8ANwBfAFYAbwBsAGEAdABpAGwAZQBTAG8AbABpAGQAcwBUAHIAYQBuAHMAZgBlAHIAcgBlAGQAUwB0AGEAZwBlADIAXwBBAHIAZwB1AG0AZQBuAHQAcwBcAG4AIAAgAD0ATABBAE0AQgBEAEEAKABcAG4AIAAgACAAIABNAEEASwBFAEEAUgBSAEEAWQAoADMALAAgADIALABcAG4AIAAgACAAIAAgACAATABBAE0AQgBEAEEAKAByACwAYwAsAFwAbgAgACAAIAAgACAAIAAgACAASQBOAEQARQBYACgAewBcAG4AIAAgACAAIAAgACAAIAAgACAAIABcACIAVgBTAGoAXAAiACwAXAAiAHYAbwBsAGEAdABpAGwAZQAgAHMAbwBsAGkAZAAgAHAAcgBvAGQAdQBjAHQAaQBvAG4AIABmAHIAbwBtACAAcwB3AGkAbgBlACAAaQBuACAAZQBhAGMAaAAgAGMAbABhAHMAcwAgADoAIABrAGcALwBoAGUAYQBkAC8AZABhAHkAXAAiADsAXABuACAAIAAgACAAIAAgACAAIAAgACAAXAAiAEYAVgBTAGoAbQBUADEAXAAiACwAXAAiAGYAcgBhAGMAdABpAG8AbgAgAG8AZgAgAHYAbwBsAGEAdABpAGwAZQAgAHMAbwBsAGkAZABzACAAaQBuACAAZQBhAGMAaAAgAHAAcgBpAG0AYQByAHkAIABzAHkAcwB0AGUAbQAgADoAIABmAHIAYQBjAHQAaQBvAG4AXAAiADsAXABuACAAIAAgACAAIAAgACAAIAAgACAAXAAiAFYAUwBMAG0AVAAxAFwAIgAsAFwAIgBmAHIAYQBjAHQAaQBvAG4AIABvAGYAIAB2AG8AbABhAHQAaQBsAGUAIABzAG8AbABpAGQAcwAgAGwAbwBzAHQAIABkAHUAcgBpAG4AZwAgAHMAdABvAHIAYQBnAGUAIABpAG4AIAB0AGgAZQAgAHAAcgBpAG0AYQByAHkAIABzAHkAcwB0AGUAbQAgADoAIABmAHIAYQBjAHQAaQBvAG4AXAAiAFwAbgAgACAAIAAgACAAIAAgACAAfQAsACAAcgAsACAAYwApAFwAbgAgACAAIAAgACAAIAApAFwAbgAgACAAIAAgACkAXABuACAAIAApADsAIgB9ACwAewAiAHAAYQB0AGgAIgA6ACIALwBwAHIAbwBqAGUAYwB0AHMALwBNAE0AUwBfAFMAdwBpAG4AZQ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1ADoAIABTAHcAaQBuAGUAXABuAD0APQA9AD0APQA9AD0APQA9AD0APQA9AD0APQA9AD0APQA9AD0APQA9AD0APQA9AD0APQA9AD0APQA9AD0APQA9AD0APQA9AD0APQA9AD0APQA9AD0APQA9AD0APQA9AD0APQA9AD0APQA9AD0APQA9AD0APQA9AD0APQA9AD0APQA9AD0APQA9AD0APQA9AD0APQA9AD0AXABuADQALgA1AC4AMQAuADMAIABNAGUAdABoAG8AZAAgADEAIAAtACAATQBhAG4AdQByAGUAIABEAGkAcgBlAGMAdA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MwBfAF8AMQBfAFQAbwB0AGEAbABBAG4AbgB1AGEAbABEAGkAcgBlAGMAdABOAGkAdAByAG8AdQBzAE8AeABpAGQAZQBFAG0AaQBzAHMAaQBvAG4AcwBGAHIAbwBtAE0ATQBT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zAHcAaQBuAGUAIABjAGwAYQBzAHMALAAgAE0ATQBTACAAYQBuAGQAIAB0AHIAZQBhAHQAbQBlAG4AdAAgAHMAdABhAGcAZQAgACgAawBnACAATgApAFwAbgBFAEYAXwBqAG0AIAA9ACAAbgBpAHQAcgBvAHUAcwAgAG8AeABpAGQAZQAgAGUAbQBpAHMAcwBpAG8AbgAgAGYAYQBjAHQAbwByACAAZgBvAHIAIABNAE0AUwAgACgAawBnACAATgAyAE8ALQBOAC8AawBnACAATg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NQBfADEAXwAzAF8AXwAxAF8AVABvAHQAYQBsAEEAbgBuAHUAYQBsAEQAaQByAGUAYwB0AE4AaQB0AHIAbwB1AHMATwB4AGkAZABlAEUAbQBpAHMAcwBpAG8AbgBzAEYAcgBvAG0ATQBNAFMAXABuACAAIAA9AEwAQQBNAEIARABBACgAXABuACAAIAAgACAATQBOAF8AagBtAFQALAAgAEUARgBfAGoAbQAsACAAQwBfAE4AMgBPACwAXABuACAAIAAgACAATQBOAF8AagBtAFQAIAAqACAARQBGAF8AagBtACAAKgAgAEMAXwBOADIATwAgACoAIAAxADAAIABeACAALQAzAFwAbgAgACAAKQA7AFwAbgBcAG4AVgBFAEUAUgBHAF8ANABfADUAXwAxAF8AMwBfAF8AMQBfAFQAbwB0AGEAbABBAG4AbgB1AGEAbABEAGkAcgBlAGMAdABOAGkAdAByAG8AdQBzAE8AeABpAGQAZQBFAG0AaQBzAHMAaQBvAG4AcwBGAHIAbwBtAE0ATQBT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1AF8AMQBfADMAXwBfADEAXwBUAG8AdABhAGwAQQBuAG4AdQBhAGwARABpAHIAZQBjAHQATgBpAHQAcgBvAHUAcwBPAHgAaQBkAGUARQBtAGkAcwBzAGkAbwBuAHMARgByAG8AbQBNAE0AUwBfAFYAYQByAGkAYQBiAGwAZQBcAG4AIAAgAD0ATABBAE0AQgBEAEEAKABcACIARQBfAE4AMgBPAGQAaQByAFwAIgApADsAXABuAFwAbgBWAEUARQBSAEcAXwA0AF8ANQBfADEAXwAzAF8AXwAxAF8AVABvAHQAYQBsAEEAbgBuAHUAYQBsAEQAaQByAGUAYwB0AE4AaQB0AHIAbwB1AHMATwB4AGkAZABlAEUAbQBpAHMAcwBpAG8AbgBzAEYAcgBvAG0ATQBNAFMAXwBVAG4AaQB0AFwAbgAgACAAPQBMAEEATQBCAEQAQQAoAFwAIgB0ACAATgAyAE8AXAAiACkAOwBcAG4AXABuAFYARQBFAFIARwBfADQAXwA1AF8AMQBfADMAXwBfADEAXwBUAG8AdABhAGwAQQBuAG4AdQBhAGwARABpAHIAZQBjAHQATgBpAHQAcgBvAHUAcwBPAHgAaQBkAGUARQBtAGkAcwBzAGkAbwBuAHMARgByAG8AbQBNAE0AUwBfAFMAbwB1AHIAYwBlAFwAbgAgACAAPQBMAEEATQBCAEQAQQAoAFwAIgBWAEUARQBSAEcAIAAyADAAMgA2ADoAIAA0AC4ANQAuADEALgAzACwAIABFAHEAdQBhAHQAaQBvAG4AIAAoADEAKQBcACIAKQA7AFwAbgBcAG4AVgBFAEUAUgBHAF8ANABfADUAXwAxAF8AMwBfAF8AMQBfAFQAbwB0AGEAbABBAG4AbgB1AGEAbABEAGkAcgBlAGMAdABOAGkAdAByAG8AdQBzAE8AeABpAGQAZQBFAG0AaQBzAHMAaQBvAG4AcwBGAHIAbwBtAE0ATQBTAF8ATgBJAFIAUgBlAGYAZQByAGUAbgBjAGUAXABuACAAIAA9AEwAQQBNAEIARABBACgAXAAiAFwAIgApADsAXABuAFwAbgBWAEUARQBSAEcAXwA0AF8ANQBfADEAXwAzAF8AXwAxAF8AVABvAHQAYQBsAEEAbgBuAHUAYQBsAEQAaQByAGUAYwB0AE4AaQB0AHIAbwB1AHMATwB4AGkAZABlAEUAbQBpAHMAcwBpAG8AbgBzAEYAcgBvAG0ATQBNAF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UAXwAxAF8AMwBfAF8AMQBfAFQAbwB0AGEAbABBAG4AbgB1AGEAbABEAGkAcgBlAGMAdABOAGkAdAByAG8AdQBzAE8AeABpAGQAZQBFAG0AaQBzAHMAaQBvAG4AcwBGAHIAbwBtAE0ATQBTAF8AQQByAGcAdQBtAGUAbgB0AHMAXABuACAAIAA9AEwAQQBNAEIARABBACgAXABuACAAIAAgACAATQBBAEsARQBBAFIAUgBBAFkAKAAzACwAIAAy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IAAoAGsAZwAgAE4AKQBcACIAOwBcAG4AIAAgACAAIAAgACAAIAAgACAAIABcACIARQBGAF8AagBtAFwAIgAsACAAXAAiAG4AaQB0AHIAbwB1AHMAIABvAHgAaQBkAGUAIABlAG0AaQBzAHMAaQBvAG4AIABmAGEAYwB0AG8AcgAgAGYAbwByACAATQBNAFMAIAAoAGsAZwAgAE4AMgBPAC0ATgAvAGsAZwAgAE4AKQBcACIAOwBcAG4AIAAgACAAIAAgACAAIAAgACAAIABcACIAQwBfAE4AMgBPAFwAIgAsACAAXAAiAGYAYQBjAHQAbwByACAAdABvACAAYwBvAG4AdgBlAHIAdAAgAGUAbABlAG0AZQBuAHQAYQBsACAAbQBhAHMAcwAgAG8AZgAgAG4AaQB0AHIAbwB1AHMAIABvAHgAaQBkAGUAIAB0AG8AIABtAG8AbABlAGMAdQBsAGEAcgAgAG0AYQBzAHM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MgBfAFMAdABhAGcAZQAxAE4AaQB0AHIAbwBnAGUAbgBJAG4ATQBNAFMAXABuAE4AaQB0AHIAbwBnAGUAbgAgAGkAbgAgAHQAcgBlAGEAdABtAGUAbgB0ACAAcwB0AGEAZwBlACAAMQAgAE0ATQBTAFwAbgBNAE4AXwBqAG0AVAAxAFwAbgBrAGcAIABOAFwAbgBNAE4AXwB7AGoAbQAsAFQAPQAxAH0APQBBAEUAXwB7AGoAfQBcAFwAdABpAG0AZQBzACAARgBOAF8AewBqAG0ALABUAD0AMQB9AFwAbgBBAEUAXwBqACAAPQAgAHQAbwB0AGEAbAAgAG4AaQB0AHIAbwBnAGUAbgAgAGUAeABjAHIAZQB0AGUAZAAgAGIAeQAgAGUAYQBjAGgAIABzAHcAaQBuAGUAIABjAGwAYQBzAHMAIAAoAGsAZwAgAE4AKQBcAG4ARgBOAF8AagBtAFQAMQAgAD0AIABmAHIAYQBjAHQAaQBvAG4AIABvAGYAIABuAGkAdAByAG8AZwBlAG4AIABpAG4AIABlAGEAYwBoACAAcAByAGkAbQBhAHIAeQAgAE0ATQBTACAAcwB5AHMAdABlAG0AXABuAC0ALQAtAC0ALQAtAC0ALQAtAC0ALQAtAC0ALQAtAC0ALQAtAC0ALQAtAC0ALQAtAC0ALQAtAC0ALQAtAC0ALQAtAC0ALQAtAC0ALQBcAG4AKgAvAFwAbgBcAG4AVgBFAEUAUgBHAF8ANABfADUAXwAxAF8AMwBfAF8AMgBfAFMAdABhAGcAZQAxAE4AaQB0AHIAbwBnAGUAbgBJAG4ATQBNAFMAXABuACAAIAA9AEwAQQBNAEIARABBACgAXABuACAAIAAgACAAQQBFAF8AagAsACAARgBOAF8AagBtAFQAMQAsAFwAbgAgACAAIAAgAEEARQBfAGoAIAAqACAARgBOAF8AagBtAFQAMQBcAG4AIAAgACkAOwBcAG4AXABuAFYARQBFAFIARwBfADQAXwA1AF8AMQBfADMAXwBfADIAXwBTAHQAYQBnAGUAMQBOAGkAdAByAG8AZwBlAG4ASQBuAE0ATQBTAF8AVABpAHQAbABlAFwAbgAgACAAPQBMAEEATQBCAEQAQQAoAFwAIgBOAGkAdAByAG8AZwBlAG4AIABpAG4AIAB0AHIAZQBhAHQAbQBlAG4AdAAgAHMAdABhAGcAZQAgADEAIABNAE0AUwBcACIAKQA7AFwAbgBcAG4AVgBFAEUAUgBHAF8ANABfADUAXwAxAF8AMwBfAF8AMgBfAFMAdABhAGcAZQAxAE4AaQB0AHIAbwBnAGUAbgBJAG4ATQBNAFMAXwBWAGEAcgBpAGEAYgBsAGUAXABuACAAIAA9AEwAQQBNAEIARABBACgAXAAiAE0ATgBfAGoAbQBUADEAXAAiACkAOwBcAG4AXABuAFYARQBFAFIARwBfADQAXwA1AF8AMQBfADMAXwBfADIAXwBTAHQAYQBnAGUAMQBOAGkAdAByAG8AZwBlAG4ASQBuAE0ATQBTAF8AVQBuAGkAdABcAG4AIAAgAD0ATABBAE0AQgBEAEEAKABcACIAawBnACAATgBcACIAKQA7AFwAbgBcAG4AVgBFAEUAUgBHAF8ANABfADUAXwAxAF8AMwBfAF8AMgBfAFMAdABhAGcAZQAxAE4AaQB0AHIAbwBnAGUAbgBJAG4ATQBNAFMAXwBTAG8AdQByAGMAZQBcAG4AIAAgAD0ATABBAE0AQgBEAEEAKABcACIAVgBFAEUAUgBHACAAMgAwADIANgA6ACAANAAuADUALgAxAC4AMwAsACAARQBxAHUAYQB0AGkAbwBuACAAKAAyACkAXAAiACkAOwBcAG4AXABuAFYARQBFAFIARwBfADQAXwA1AF8AMQBfADMAXwBfADIAXwBTAHQAYQBnAGUAMQBOAGkAdAByAG8AZwBlAG4ASQBuAE0ATQBTAF8ATgBJAFIAUgBlAGYAZQByAGUAbgBjAGUAXABuACAAIAA9AEwAQQBNAEIARABBACgAXAAiAFwAIgApADsAXABuAFwAbgBWAEUARQBSAEcAXwA0AF8ANQBfADEAXwAzAF8AXwAyAF8AUwB0AGEAZwBlADEATgBpAHQAcgBvAGcAZQBuAEkAbgBNAE0AUwBfAEwAYQB0AGUAeABFAHEAdQBhAHQAaQBvAG4AXABuACAAIAA9AEwAQQBNAEIARABBACgAXAAiAE0ATgBfAHsAagBtACwAVAA9ADEAfQA9AEEARQBfAHsAagB9AFwAXAB0AGkAbQBlAHMAIABGAE4AXwB7AGoAbQAsAFQAPQAxAH0AXAAiACkAOwBcAG4AXABuAFYARQBFAFIARwBfADQAXwA1AF8AMQBfADMAXwBfADIAXwBTAHQAYQBnAGUAMQ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EARQBfAGoAXAAiACwAIABcACIAdABvAHQAYQBsACAAbgBpAHQAcgBvAGcAZQBuACAAZQB4AGMAcgBlAHQAZQBkACAAYgB5ACAAZQBhAGMAaAAgAHMAdwBpAG4AZQAgAGMAbABhAHMAcwAgACgAawBnACAATgApAFwAIgA7AFwAbgAgACAAIAAgACAAIAAgACAAIAAgAFwAIgBGAE4AXwBqAG0AVAAxAFwAIgAsACAAXAAiAGYAcgBhAGMAdABpAG8AbgAgAG8AZgAgAG4AaQB0AHIAbwBnAGUAbgAgAGkAbgAgAGUAYQBjAGgAIABwAHIAaQBtAGEAcgB5ACAATQBNAFMAIABzAHkAcwB0AGUAb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zAF8ARgByAGEAYwB0AGkAbwBuAE8AZgBOAGkAdAByAG8AZwBlAG4ASQBuAFAAcgBpAG0AYQByAHkATQBNAFMAXABuAEYAcgBhAGMAdABpAG8AbgAgAG8AZgAgAG4AaQB0AHIAbwBnAGUAbgAgAGkAbgAgAGUAYQBjAGgAIABwAHIAaQBtAGEAcgB5ACAATQBNAFMAIAAoAGUAeABjAGwAdQBkAGkAbgBnACAAcwBvAGwAaQBkACAAcwB0AG8AcgBhAGcAZQApAFwAbgBGAE4AXwBqAG0AVAAxAFwAbgBmAHIAYQBjAHQAaQBvAG4AXABuAEYATgBfAHsAagBtACwAVAA9ADEAfQA9AE0ATQBTAF8AewBqAG0ALABUAD0AMQB9AFwAXAB0AGkAbQBlAHMAKAAxAC0AUwBOAF8AewBtAH0AKQBcAG4ATQBNAFMAXwBqAG0AVAAxACAAPQAgAGYAcgBhAGMAdABpAG8AbgAgAG8AZgAgAG0AYQBuAHUAcgBlACAAaQBuACAAcAByAGkAbQBhAHIAeQAgAE0ATQBTAFwAbgBTAE4AXwBtACAAPQAgAGYAcgBhAGMAdABpAG8AbgAgAG8AZgAgAG4AaQB0AHIAbwBnAGUAbgAgAHMAZQBwAGEAcgBhAHQAZQBkACAAdABvACAAcwBvAGwAaQBkACAAcwB0AG8AcgBhAGcAZQAgAGYAbwByACAAZQBhAGMAaAAgAE0ATQBTAFwAbgAtAC0ALQAtAC0ALQAtAC0ALQAtAC0ALQAtAC0ALQAtAC0ALQAtAC0ALQAtAC0ALQAtAC0ALQAtAC0ALQAtAC0ALQAtAC0ALQAtAC0AXABuACoALwBcAG4AXABuAFYARQBFAFIARwBfADQAXwA1AF8AMQBfADMAXwBfADMAXwBGAHIAYQBjAHQAaQBvAG4ATwBmAE4AaQB0AHIAbwBnAGUAbgBJAG4AUAByAGkAbQBhAHIAeQBNAE0AUwBcAG4AIAAgAD0ATABBAE0AQgBEAEEAKABcAG4AIAAgACAAIABNAE0AUwBfAGoAbQBUADEALAAgAFMATgBfAG0ALABcAG4AIAAgACAAIABNAE0AUwBfAGoAbQBUADEAIAAqACAAKAAxACAALQAgAFMATgBfAG0AKQBcAG4AIAAgACkAOwBcAG4AXABuAFYARQBFAFIARwBfADQAXwA1AF8AMQBfADMAXwBfADMAXwBGAHIAYQBjAHQAaQBvAG4ATwBmAE4AaQB0AHIAbwBnAGUAbgBJAG4AUAByAGkAbQBhAHIAeQBNAE0AUwBfAFQAaQB0AGwAZQBcAG4AIAAgAD0ATABBAE0AQgBEAEEAKABcACIARgByAGEAYwB0AGkAbwBuACAAbwBmACAAbgBpAHQAcgBvAGcAZQBuACAAaQBuACAAZQBhAGMAaAAgAHAAcgBpAG0AYQByAHkAIABNAE0AUwAgACgAZQB4AGMAbAB1AGQAaQBuAGcAIABzAG8AbABpAGQAIABzAHQAbwByAGEAZwBlACkAXAAiACkAOwBcAG4AXABuAFYARQBFAFIARwBfADQAXwA1AF8AMQBfADMAXwBfADMAXwBGAHIAYQBjAHQAaQBvAG4ATwBmAE4AaQB0AHIAbwBnAGUAbgBJAG4AUAByAGkAbQBhAHIAeQBNAE0AUwBfAFYAYQByAGkAYQBiAGwAZQBcAG4AIAAgAD0ATABBAE0AQgBEAEEAKABcACIARgBOAF8AagBtAFQAMQBcACIAKQA7AFwAbgBcAG4AVgBFAEUAUgBHAF8ANABfADUAXwAxAF8AMwBfAF8AMwBfAEYAcgBhAGMAdABpAG8AbgBPAGYATgBpAHQAcgBvAGcAZQBuAEkAbgBQAHIAaQBtAGEAcgB5AE0ATQBTAF8AVQBuAGkAdABcAG4AIAAgAD0ATABBAE0AQgBEAEEAKABcACIAZgByAGEAYwB0AGkAbwBuAFwAIgApADsAXABuAFwAbgBWAEUARQBSAEcAXwA0AF8ANQBfADEAXwAzAF8AXwAzAF8ARgByAGEAYwB0AGkAbwBuAE8AZgBOAGkAdAByAG8AZwBlAG4ASQBuAFAAcgBpAG0AYQByAHkATQBNAFMAXwBTAG8AdQByAGMAZQBcAG4AIAAgAD0ATABBAE0AQgBEAEEAKABcACIAVgBFAEUAUgBHACAAMgAwADIANgA6ACAANAAuADUALgAxAC4AMwAsACAARQBxAHUAYQB0AGkAbwBuACAAKAAzACkAXAAiACkAOwBcAG4AXABuAFYARQBFAFIARwBfADQAXwA1AF8AMQBfADMAXwBfADMAXwBGAHIAYQBjAHQAaQBvAG4ATwBmAE4AaQB0AHIAbwBnAGUAbgBJAG4AUAByAGkAbQBhAHIAeQBNAE0AUwBfAE4ASQBSAFIAZQBmAGUAcgBlAG4AYwBlAFwAbgAgACAAPQBMAEEATQBCAEQAQQAoAFwAIgBcACIAKQA7AFwAbgBcAG4AVgBFAEUAUgBHAF8ANABfADUAXwAxAF8AMwBfAF8AMwBfAEYAcgBhAGMAdABpAG8AbgBPAGYATgBpAHQAcgBvAGcAZQBuAEkAbgBQAHIAaQBtAGEAcgB5AE0ATQBTAF8ATABhAHQAZQB4AEUAcQB1AGEAdABpAG8AbgBcAG4AIAAgAD0ATABBAE0AQgBEAEEAKABcACIARgBOAF8AewBqAG0ALABUAD0AMQB9AD0ATQBNAFMAXwB7AGoAbQAsAFQAPQAxAH0AXABcAHQAaQBtAGUAcwAoADEALQBTAE4AXwB7AG0AfQApAFwAIgApADsAXABuAFwAbgBWAEUARQBSAEcAXwA0AF8ANQBfADEAXwAzAF8AXwAzAF8ARgByAGEAYwB0AGkAbwBuAE8AZgBOAGkAdAByAG8AZwBlAG4ASQBuAFAAcgBpAG0AYQByAHkATQBNAFMAXwBBAHIAZwB1AG0AZQBuAHQAcwBcAG4AIAAgAD0ATABBAE0AQgBEAEEAKABcAG4AIAAgACAAIABNAEEASwBFAEEAUgBSAEEAWQAoADIALAAgADIALABcAG4AIAAgACAAIAAgACAATABBAE0AQgBEAEEAKAByACwAYwAsAFwAbgAgACAAIAAgACAAIAAgACAASQBOAEQARQBYACgAewBcAG4AIAAgACAAIAAgACAAIAAgACAAIABcACIATQBNAFMAXwBqAG0AVAAxAFwAIgAsACAAXAAiAGYAcgBhAGMAdABpAG8AbgAgAG8AZgAgAG0AYQBuAHUAcgBlACAAaQBuACAAcAByAGkAbQBhAHIAeQAgAE0ATQBTAFwAIgA7AFwAbgAgACAAIAAgACAAIAAgACAAIAAgAFwAIgBTAE4AXwBtAFwAIgAsACAAXAAiAGYAcgBhAGMAdABpAG8AbgAgAG8AZgAgAG4AaQB0AHIAbwBnAGUAbgAgAHMAZQBwAGEAcgBhAHQAZQBkACAAdABvACAAcwBvAGwAaQBkACAAcwB0AG8AcgBhAGcAZQAgAGYAbwByACAAZQBhAGMAaAAgAE0ATQBTAFwAIgBcAG4AIAAgACAAIAAgACAAIAAgAH0ALAAgAHIALAAgAGMAKQBcAG4AIAAgACAAIAAgACAAKQBcAG4AIAAgACAAIAApAFwAbgAgACAAKQA7AFwAbgBcAG4ALwAqAFwAbgAtAC0ALQAtAC0ALQAtAC0ALQAtAC0ALQAtAC0ALQAtAC0ALQAtAC0ALQAtAC0ALQAtAC0ALQAtAC0ALQAtAC0ALQAtAC0ALQAtAC0AXABuAFYARQBFAFIARwBfADQAXwA1AF8AMQBfADMAXwBfADQAXwBGAHIAYQBjAHQAaQBvAG4ATwBmAE4AaQB0AHIAbwBnAGUAbgBJAG4AUwBvAGwAaQBkAFMAdABvAHIAYQBnAGUAXABuAEYAcgBhAGMAdABpAG8AbgAgAG8AZgAgAG4AaQB0AHIAbwBnAGUAbgAgAGkAbgAgAHMAbwBsAGkAZAAgAHMAdABvAHIAYQBnAGUAXABuAEYATgBfAGoAbQA0AFQAMQBcAG4AZgByAGEAYwB0AGkAbwBuAFwAbgBGAE4AXwB7AGoAbQA9ADQALABUAD0AMQB9AD0ATQBNAFMAXwB7AGoAbQA9ADQALABUAD0AMQB9ACsAKABNAE0AUwBfAHsAagBtAD0AMQAsADcALAA5ACwAVAA9ADEAfQBcAFwAdABpAG0AZQBzACAAUwBOAF8AewBtAH0AKQBcAG4ATQBNAFMAXwBqAG0ANABUADEAIAA9ACAAZgByAGEAYwB0AGkAbwBuACAAbwBmACAAbQBhAG4AdQByAGUAIABpAG4AIABzAG8AbABpAGQAIABzAHQAbwByAGEAZwBlACAATQBNAFMAXABuAE0ATQBTAF8AagBtADEANwA5AFQAMQAgAD0AIABmAHIAYQBjAHQAaQBvAG4AIABvAGYAIABtAGEAbgB1AHIAZQAgAGkAbgAgAHAAcgBpAG0AYQByAHkAIABsAGkAcQB1AGkAZAAgAHMAeQBzAHQAZQBtAHMAIAAoAG0APQAxACwANwAsADkAKQBcAG4AUwBOAF8AbQAgAD0AIABmAHIAYQBjAHQAaQBvAG4AIABvAGYAIABuAGkAdAByAG8AZwBlAG4AIABzAGUAcABhAHIAYQB0AGUAZAAgAHQAbwAgAHMAbwBsAGkAZAAgAHMAdABvAHIAYQBnAGUAIABmAG8AcgAgAGUAYQBjAGgAIABNAE0AUwBcAG4ALQAtAC0ALQAtAC0ALQAtAC0ALQAtAC0ALQAtAC0ALQAtAC0ALQAtAC0ALQAtAC0ALQAtAC0ALQAtAC0ALQAtAC0ALQAtAC0ALQAtAFwAbgAqAC8AXABuAFwAbgBWAEUARQBSAEcAXwA0AF8ANQBfADEAXwAzAF8AXwA0AF8ARgByAGEAYwB0AGkAbwBuAE8AZgBOAGkAdAByAG8AZwBlAG4ASQBuAFMAbwBsAGkAZABTAHQAbwByAGEAZwBlAFwAbgAgACAAPQBMAEEATQBCAEQAQQAoAFwAbgAgACAAIAAgAE0ATQBTAF8AagBtADQAVAAxACwAIABNAE0AUwBfAGoAbQAxADcAOQBUADEALAAgAFMATgBfAG0ALABcAG4AIAAgACAAIABNAE0AUwBfAGoAbQA0AFQAMQAgACsAIAAoAE0ATQBTAF8AagBtADEANwA5AFQAMQAgACoAIABTAE4AXwBtACkAXABuACAAIAApADsAXABuAFwAbgBWAEUARQBSAEcAXwA0AF8ANQBfADEAXwAzAF8AXwA0AF8ARgByAGEAYwB0AGkAbwBuAE8AZgBOAGkAdAByAG8AZwBlAG4ASQBuAFMAbwBsAGkAZABTAHQAbwByAGEAZwBlAFYAYQByAGkAYQB0AGkAbwBuAFwAbgAgACAAPQBMAEEATQBCAEQAQQAoAFwAbgAgACAAIAAgAE0ATQBTAF8AagBtADQAVAAxACwAXABuACAAIAAgACAATQBNAFMAagBtAFQAMQBfADEALAAgAE0ATQBTAGoAbQBUADEAXwAyACwAIABNAE0AUwBqAG0AVAAxAF8AMwAsACAATQBNAFMAagBtAFQAMQBfADQALAAgAE0ATQBTAGoAbQBUADEAXwA1ACwAXABuACAAIAAgACAAUwBTAGoAbQBUADEAXwAxACwAIABTAFMAagBtAFQAMQBfADIALAAgAFMAUwBqAG0AVAAxAF8AMwAsACAAUwBTAGoAbQBUADEAXwA0ACwAIABTAFMAagBtAFQAMQBfADUALABcAG4AIAAgACAAIABNAE0AUwBfAGoAbQA0AFQAMQAgACsAIAAoAE0ATQBTAGoAbQBUADEAXwAxACAAKgAgAFMAUwBqAG0AVAAxAF8AMQApACAAKwAgACgATQBNAFMAagBtAFQAMQBfADIAIAAqACAAUwBTAGoAbQBUADEAXwAyACkAIAArACAAKABNAE0AUwBqAG0AVAAxAF8AMwAgACoAIABTAFMAagBtAFQAMQBfADMAKQAgACsAIAAoAE0ATQBTAGoAbQBUADEAXwA0ACAAKgAgAFMAUwBqAG0AVAAxAF8ANAApACAAKwAgACgATQBNAFMAagBtAFQAMQBfADUAIAAqACAAUwBTAGoAbQBUADEAXwA1ACkAXABuACAAIAApADsAXABuAFwAbgBWAEUARQBSAEcAXwA0AF8ANQBfADEAXwAzAF8AXwA0AF8ARgByAGEAYwB0AGkAbwBuAE8AZgBOAGkAdAByAG8AZwBlAG4ASQBuAFMAbwBsAGkAZABTAHQAbwByAGEAZwBlAF8AVABpAHQAbABlAFwAbgAgACAAPQBMAEEATQBCAEQAQQAoAFwAIgBGAHIAYQBjAHQAaQBvAG4AIABvAGYAIABuAGkAdAByAG8AZwBlAG4AIABpAG4AIABzAG8AbABpAGQAIABzAHQAbwByAGEAZwBlAFwAIgApADsAXABuAFwAbgBWAEUARQBSAEcAXwA0AF8ANQBfADEAXwAzAF8AXwA0AF8ARgByAGEAYwB0AGkAbwBuAE8AZgBOAGkAdAByAG8AZwBlAG4ASQBuAFMAbwBsAGkAZABTAHQAbwByAGEAZwBlAF8AVgBhAHIAaQBhAGIAbABlAFwAbgAgACAAPQBMAEEATQBCAEQAQQAoAFwAIgBGAE4AXwBqAG0ANABUADEAXAAiACkAOwBcAG4AXABuAFYARQBFAFIARwBfADQAXwA1AF8AMQBfADMAXwBfADQAXwBGAHIAYQBjAHQAaQBvAG4ATwBmAE4AaQB0AHIAbwBnAGUAbgBJAG4AUwBvAGwAaQBkAFMAdABvAHIAYQBnAGUAXwBVAG4AaQB0AFwAbgAgACAAPQBMAEEATQBCAEQAQQAoAFwAIgBmAHIAYQBjAHQAaQBvAG4AXAAiACkAOwBcAG4AXABuAFYARQBFAFIARwBfADQAXwA1AF8AMQBfADMAXwBfADQAXwBGAHIAYQBjAHQAaQBvAG4ATwBmAE4AaQB0AHIAbwBnAGUAbgBJAG4AUwBvAGwAaQBkAFMAdABvAHIAYQBnAGUAXwBTAG8AdQByAGMAZQBcAG4AIAAgAD0ATABBAE0AQgBEAEEAKABcACIAVgBFAEUAUgBHACAAMgAwADIANgA6ACAANAAuADUALgAxAC4AMwAsACAARQBxAHUAYQB0AGkAbwBuACAAKAA0ACkAXAAiACkAOwBcAG4AXABuAFYARQBFAFIARwBfADQAXwA1AF8AMQBfADMAXwBfADQAXwBGAHIAYQBjAHQAaQBvAG4ATwBmAE4AaQB0AHIAbwBnAGUAbgBJAG4AUwBvAGwAaQBkAFMAdABvAHIAYQBnAGUAXwBOAEkAUgBSAGUAZgBlAHIAZQBuAGMAZQBcAG4AIAAgAD0ATABBAE0AQgBEAEEAKABcACIAXAAiACkAOwBcAG4AXABuAFYARQBFAFIARwBfADQAXwA1AF8AMQBfADMAXwBfADQAXwBGAHIAYQBjAHQAaQBvAG4ATwBmAE4AaQB0AHIAbwBnAGUAbgBJAG4AUwBvAGwAaQBkAFMAdABvAHIAYQBnAGUAXwBMAGEAdABlAHgARQBxAHUAYQB0AGkAbwBuAFwAbgAgACAAPQBMAEEATQBCAEQAQQAoAFwAIgBGAE4AXwB7AGoAbQA9ADQALABUAD0AMQB9AD0ATQBNAFMAXwB7AGoAbQA9ADQALABUAD0AMQB9ACsAKABNAE0AUwBfAHsAagBtAD0AMQAsADcALAA5ACwAVAA9ADEAfQBcAFwAdABpAG0AZQBzACAAUwBOAF8AewBtAH0AKQBcACIAKQA7AFwAbgBcAG4AVgBFAEUAUgBHAF8ANABfADUAXwAxAF8AMwBfAF8ANABfAEYAcgBhAGMAdABpAG8AbgBPAGYATgBpAHQAcgBvAGcAZQBuAEkAbgBTAG8AbABpAGQAUwB0AG8AcgBhAGcAZQBfAEwAYQB0AGUAeABFAHEAdQBhAHQAaQBvAG4AVgBhAHIAaQBhAHQAaQBvAG4AXABuACAAIAA9AEwAQQBNAEIARABBACgAXAAiAEYATgBfAHsAagBtAD0ANAAsAFQAPQAxAH0APQBNAE0AUwBfAHsAagBtAD0ANAAsAFQAPQAxAH0AKwAoAE0ATQBTAF8AewBqACwAbQA9ADEALABUAD0AMQB9AFwAXAB0AGkAbQBlAHMAIABTAFMAXwB7AG0APQAxACwAVAA9ADEAfQApACsAKABNAE0AUwBfAHsAagAsAG0APQA3ACwAVAA9ADEAfQBcAFwAdABpAG0AZQBzACAAUwBTAF8AewBtAD0ANwAsAFQAPQAxAH0AKQArACgATQBNAFMAXwB7AGoALABtAD0AOQAsAFQAPQAxAH0AXABcAHQAaQBtAGUAcwAgAFMAUwBfAHsAbQA9ADkALABUAD0AMQB9ACkAXAAiACkAOwBcAG4AXABuAFYARQBFAFIARwBfADQAXwA1AF8AMQBfADMAXwBfADQAXwBGAHIAYQBjAHQAaQBvAG4ATwBmAE4AaQB0AHIAbwBnAGUAbgBJAG4AUwBvAGwAaQBkAFMAdABvAHIAYQBnAGUAXwBBAHIAZwB1AG0AZQBuAHQAcwBcAG4AIAAgAD0ATABBAE0AQgBEAEEAKABcAG4AIAAgACAAIABNAEEASwBFAEEAUgBSAEEAWQAoADMALAAgADIALABcAG4AIAAgACAAIAAgACAATABBAE0AQgBEAEEAKAByACwAYwAsAFwAbgAgACAAIAAgACAAIAAgACAASQBOAEQARQBYACgAewBcAG4AIAAgACAAIAAgACAAIAAgACAAIABcACIATQBNAFMAXwBqAG0ANABUADEAXAAiACwAIABcACIAZgByAGEAYwB0AGkAbwBuACAAbwBmACAAbQBhAG4AdQByAGUAIABpAG4AIABzAG8AbABpAGQAIABzAHQAbwByAGEAZwBlACAATQBNAFMAXAAiADsAXABuACAAIAAgACAAIAAgACAAIAAgACAAXAAiAE0ATQBTAF8AagBtADEANwA5AFQAMQBcACIALAAgAFwAIgBmAHIAYQBjAHQAaQBvAG4AIABvAGYAIABtAGEAbgB1AHIAZQAgAGkAbgAgAHAAcgBpAG0AYQByAHkAIABsAGkAcQB1AGkAZAAgAHMAeQBzAHQAZQBtAHMAIAAoAG0APQAxACwANwAsADkAKQBcACIAOwBcAG4AIAAgACAAIAAgACAAIAAgACAAIABcACIAUwBOAF8AbQBcACIALAAgAFwAIgBmAHIAYQBjAHQAaQBvAG4AIABvAGYAIABuAGkAdAByAG8AZwBlAG4AIABzAGUAcABhAHIAYQB0AGUAZAAgAHQAbwAgAHMAbwBsAGkAZAAgAHMAdABvAHIAYQBnAGUAIABmAG8AcgAgAGUAYQBjAGgAIABNAE0AUwBcACIAXABuACAAIAAgACAAIAAgACAAIAB9ACwAIAByACwAIABjACkAXABuACAAIAAgACAAIAAgACkAXABuACAAIAAgACAAKQBcAG4AIAAgACkAOwBcAG4AXABuAFYARQBFAFIARwBfADQAXwA1AF8AMQBfADMAXwBfADQAXwBGAHIAYQBjAHQAaQBvAG4ATwBmAE4AaQB0AHIAbwBnAGUAbgBJAG4AUwBvAGwAaQBkAFMAdABvAHIAYQBnAGUAXwBWAGEAcgBpAGEAdABpAG8AbgBcAG4AIAAgAD0ATABBAE0AQgBEAEEAKABcACIAVgBBAFIASQBBAFQASQBPAE4AIABPAE4AIABTAE8AVQBSAEMARQA6ACAAUwBwAGwAaQB0ACAAZQBxAHUAYQB0AGkAbwBuACAAZgBvAHIAIABNAE0AUwBtAD0AMQAsADcALAA5ACAAaQBuAHQAbwAgAHMAZQBwAGEAcgBhAHQAZQAgAGkAdABlAG0AcwAgAHQAbwAgAGEAbABsAG8AdwAgAGYAbwByACAAYwBhAGwAYwB1AGwAYQB0AGkAbwBuAFwAIgApADsAXABuAFwAbgAvACoAXABuAC0ALQAtAC0ALQAtAC0ALQAtAC0ALQAtAC0ALQAtAC0ALQAtAC0ALQAtAC0ALQAtAC0ALQAtAC0ALQAtAC0ALQAtAC0ALQAtAC0ALQBcAG4AVgBFAEUAUgBHAF8ANABfADUAXwAxAF8AMwBfAF8ANQBfAEEAbgBuAHUAYQBsAE4AaQB0AHIAbwBnAGUAbgBFAHgAYwByAGUAdABpAG8AbgBcAG4AQQBuAG4AdQBhAGwAIABuAGkAdAByAG8AZwBlAG4AIABlAHgAYwByAGUAdABpAG8AbgAgAGYAcgBvAG0AIABlAGEAYwBoACAAcwB3AGkAbgBlACAAZwByAG8AdQBwAFwAbgBBAEUAXwBqAFwAbgBrAGcAIABOAFwAbgBBAEUAXwB7AGoAfQA9AE4AXwB7AGoAfQBcAFwAdABpAG0AZQBzACAATgBXAF8AewBqAH0AXABcAHQAaQBtAGUAcwAgAEQAXwB7AGoAfQBcAG4ATgBfAGoAIAA9ACAAbgB1AG0AYgBlAHIAIABvAGYAIABzAHcAaQBuAGUAIABpAG4AIABlAGEAYwBoACAAZwByAG8AdQBwACAAKABoAGUAYQBkACkAXABuAE4AVwBfAGoAIAA9ACAAbgBpAHQAcgBvAGcAZQBuACAAcAByAG8AZAB1AGMAZQBkACAAaQBuACAAcwB3AGkAbgBlACAAbQBhAG4AdQByAGUAIABhAG4AZAAgAHcAYQBzAHQAZQAgAGYAZQBlAGQAIABpAG4AIABlAGEAYwBoACAAYwBsAGEAcwBzACAAKABrAGcAIABOAC8AaABlAGEAZAAvAGQAYQB5ACkAXABuAEQAXwBqACAAPQAgAGQAdQByAGEAdABpAG8AbgAgAG8AZgAgAHMAdABhAHkAIABvAGYAIABzAHcAaQBuAGUAIABnAHIAbwB1AHAAIAAoAGQAYQB5AHMAKQBcAG4ALQAtAC0ALQAtAC0ALQAtAC0ALQAtAC0ALQAtAC0ALQAtAC0ALQAtAC0ALQAtAC0ALQAtAC0ALQAtAC0ALQAtAC0ALQAtAC0ALQAtAFwAbgAqAC8AXABuAFwAbgBWAEUARQBSAEcAXwA0AF8ANQBfADEAXwAzAF8AXwA1AF8AQQBuAG4AdQBhAGwATgBpAHQAcgBvAGcAZQBuAEUAeABjAHIAZQB0AGkAbwBuAFwAbgAgACAAPQBMAEEATQBCAEQAQQAoAFwAbgAgACAAIAAgAE4AXwBqACwAIABOAFcAXwBqACwAIABEAF8AagAsAFwAbgAgACAAIAAgAE4AXwBqACAAKgAgAE4AVwBfAGoAIAAqACAARABfAGoAXABuACAAIAApADsAXABuAFwAbgBWAEUARQBSAEcAXwA0AF8ANQBfADEAXwAzAF8AXwA1AF8AQQBuAG4AdQBhAGwATgBpAHQAcgBvAGcAZQBuAEUAeABjAHIAZQB0AGkAbwBuAF8AVABpAHQAbABlAFwAbgAgACAAPQBMAEEATQBCAEQAQQAoAFwAIgBBAG4AbgB1AGEAbAAgAG4AaQB0AHIAbwBnAGUAbgAgAGUAeABjAHIAZQB0AGkAbwBuACAAZgByAG8AbQAgAGUAYQBjAGgAIABzAHcAaQBuAGUAIABnAHIAbwB1AHAAXAAiACkAOwBcAG4AXABuAFYARQBFAFIARwBfADQAXwA1AF8AMQBfADMAXwBfADUAXwBBAG4AbgB1AGEAbABOAGkAdAByAG8AZwBlAG4ARQB4AGMAcgBlAHQAaQBvAG4AXwBWAGEAcgBpAGEAYgBsAGUAXABuACAAIAA9AEwAQQBNAEIARABBACgAXAAiAEEARQBfAGoAXAAiACkAOwBcAG4AXABuAFYARQBFAFIARwBfADQAXwA1AF8AMQBfADMAXwBfADUAXwBBAG4AbgB1AGEAbABOAGkAdAByAG8AZwBlAG4ARQB4AGMAcgBlAHQAaQBvAG4AXwBVAG4AaQB0AFwAbgAgACAAPQBMAEEATQBCAEQAQQAoAFwAIgBrAGcAIABOAFwAIgApADsAXABuAFwAbgBWAEUARQBSAEcAXwA0AF8ANQBfADEAXwAzAF8AXwA1AF8AQQBuAG4AdQBhAGwATgBpAHQAcgBvAGcAZQBuAEUAeABjAHIAZQB0AGkAbwBuAF8AUwBvAHUAcgBjAGUAXABuACAAIAA9AEwAQQBNAEIARABBACgAXAAiAFYARQBFAFIARwAgADIAMAAyADYAOgAgADQALgA1AC4AMQAuADMALAAgAEUAcQB1AGEAdABpAG8AbgAgACgANQApAFwAIgApADsAXABuAFwAbgBWAEUARQBSAEcAXwA0AF8ANQBfADEAXwAzAF8AXwA1AF8AQQBuAG4AdQBhAGwATgBpAHQAcgBvAGcAZQBuAEUAeABjAHIAZQB0AGkAbwBuAF8ATgBJAFIAUgBlAGYAZQByAGUAbgBjAGUAXABuACAAIAA9AEwAQQBNAEIARABBACgAXAAiAFwAIgApADsAXABuAFwAbgBWAEUARQBSAEcAXwA0AF8ANQBfADEAXwAzAF8AXwA1AF8AQQBuAG4AdQBhAGwATgBpAHQAcgBvAGcAZQBuAEUAeABjAHIAZQB0AGkAbwBuAF8ATABhAHQAZQB4AEUAcQB1AGEAdABpAG8AbgBcAG4AIAAgAD0ATABBAE0AQgBEAEEAKABcACIAQQBFAF8AewBqAH0APQBOAF8AewBqAH0AXABcAHQAaQBtAGUAcwAgAE4AVwBfAHsAagB9AFwAXAB0AGkAbQBlAHMAIABEAF8AewBqAH0AXAAiACkAOwBcAG4AXABuAFYARQBFAFIARwBfADQAXwA1AF8AMQBfADMAXwBfADUAXwBBAG4AbgB1AGEAbABOAGkAdAByAG8AZwBlAG4ARQB4AGMAcgBlAHQAaQBvAG4AXwBBAHIAZwB1AG0AZQBuAHQAcwBcAG4AIAAgAD0ATABBAE0AQgBEAEEAKABcAG4AIAAgACAAIABNAEEASwBFAEEAUgBSAEEAWQAoADMALAAgADIALABcAG4AIAAgACAAIAAgACAATABBAE0AQgBEAEEAKAByACwAYwAsAFwAbgAgACAAIAAgACAAIAAgACAASQBOAEQARQBYACgAewBcAG4AIAAgACAAIAAgACAAIAAgACAAIABcACIATgBfAGoAXAAiACwAIABcACIAbgB1AG0AYgBlAHIAIABvAGYAIABzAHcAaQBuAGUAIABpAG4AIABlAGEAYwBoACAAZwByAG8AdQBwACAAKABoAGUAYQBkACkAXAAiADsAXABuACAAIAAgACAAIAAgACAAIAAgACAAXAAiAE4AVwBfAGoAXAAiACwAIABcACIAbgBpAHQAcgBvAGcAZQBuACAAcAByAG8AZAB1AGMAZQBkACAAaQBuACAAcwB3AGkAbgBlACAAbQBhAG4AdQByAGUAIABhAG4AZAAgAHcAYQBzAHQAZQAgAGYAZQBlAGQAIABpAG4AIABlAGEAYwBoACAAYwBsAGEAcwBzACAAKABrAGcAIABOAC8AaABlAGEAZAAvAGQAYQB5ACkAXAAiADsAXABuACAAIAAgACAAIAAgACAAIAAgACAAXAAiAEQAXwBqAFwAIgAsACAAXAAiAGQAdQByAGEAdABpAG8AbgAgAG8AZgAgAHMAdABhAHkAIABvAGYAIABzAHcAaQBuAGUAIABnAHIAbwB1AHA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N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KABrAGcAIABOACkAXABuAE0ATQBTAF8AagBtAFQAMgAgAD0AIABmAHIAYQBjAHQAaQBvAG4AIABvAGYAIABtAGEAbgB1AHIAZQAgAGkAbgAgAGUAYQBjAGgAIABzAGUAYwBvAG4AZABhAHIAeQAgAHMAeQBzAHQAZQBtAFwAbgAtAC0ALQAtAC0ALQAtAC0ALQAtAC0ALQAtAC0ALQAtAC0ALQAtAC0ALQAtAC0ALQAtAC0ALQAtAC0ALQAtAC0ALQAtAC0ALQAtAC0AXABuACoALwBcAG4AXABuAFYARQBFAFIARwBfADQAXwA1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UAXwAxAF8AMwBfAF8ANgBfAFMAdABhAGcAZQAyAE4AaQB0AHIAbwBnAGUAbgBJAG4ATQBNAFMAXwBUAGkAdABsAGUAXABuACAAIAA9AEwAQQBNAEIARABBACgAXAAiAE4AaQB0AHIAbwBnAGUAbgAgAGkAbgAgAHQAcgBlAGEAdABtAGUAbgB0ACAAcwB0AGEAZwBlACAAMgAgAE0ATQBTAFwAIgApADsAXABuAFwAbgBWAEUARQBSAEcAXwA0AF8ANQBfADEAXwAzAF8AXwA2AF8AUwB0AGEAZwBlADIATgBpAHQAcgBvAGcAZQBuAEkAbgBNAE0AUwBfAFYAYQByAGkAYQBiAGwAZQBcAG4AIAAgAD0ATABBAE0AQgBEAEEAKABcACIATQBOAF8AagBtAFQAMgBcACIAKQA7AFwAbgBcAG4AVgBFAEUAUgBHAF8ANABfADUAXwAxAF8AMwBfAF8ANgBfAFMAdABhAGcAZQAyAE4AaQB0AHIAbwBnAGUAbgBJAG4ATQBNAFMAXwBVAG4AaQB0AFwAbgAgACAAPQBMAEEATQBCAEQAQQAoAFwAIgBrAGcAIABOAFwAIgApADsAXABuAFwAbgBWAEUARQBSAEcAXwA0AF8ANQBfADEAXwAzAF8AXwA2AF8AUwB0AGEAZwBlADIATgBpAHQAcgBvAGcAZQBuAEkAbgBNAE0AUwBfAFMAbwB1AHIAYwBlAFwAbgAgACAAPQBMAEEATQBCAEQAQQAoAFwAIgBWAEUARQBSAEcAIAAyADAAMgA2ADoAIAA0AC4ANQAuADEALgAzACwAIABFAHEAdQBhAHQAaQBvAG4AIAAoADYAKQBcACIAKQA7AFwAbgBcAG4AVgBFAEUAUgBHAF8ANABfADUAXwAxAF8AMwBfAF8ANgBfAFMAdABhAGcAZQAyAE4AaQB0AHIAbwBnAGUAbgBJAG4ATQBNAFMAXwBOAEkAUgBSAGUAZgBlAHIAZQBuAGMAZQBcAG4AIAAgAD0ATABBAE0AQgBEAEEAKABcACIAXAAiACkAOwBcAG4AXABuAFYARQBFAFIARwBfADQAXwA1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UAXwAxAF8AMwBfAF8ANgBfAFMAdABhAGcAZQAyAE4AaQB0AHIAbwBnAGUAbgBJAG4ATQBNAFMAXwBBAHIAZwB1AG0AZQBuAHQAcwBcAG4AIAAgAD0ATABBAE0AQgBEAEEAKABcAG4AIAAgACAAIABNAEEASwBFAEEAUgBSAEEAWQAoADIALAAgADIALABcAG4AIAAgACAAIAAgACAATABBAE0AQgBEAEEAKAByACwAYwAsAFwAbgAgACAAIAAgACAAIAAgACAASQBOAEQARQBYACgAewBcAG4AIAAgACAAIAAgACAAIAAgACAAIABcACIATgBUAF8AagBtAFQAMgBcACIALAAgAFwAIgBuAGkAdAByAG8AZwBlAG4AIAB0AHIAYQBuAHMAZgBlAHIAcgBlAGQAIAB0AG8AIABzAGUAYwBvAG4AZABhAHIAeQAgAHQAcgBlAGEAdABtAGUAbgB0ACAATQBNAFMAIAAoAGsAZwAgAE4AKQBcACIAOwBcAG4AIAAgACAAIAAgACAAIAAgACAAIABcACIATQBNAFMAXwBqAG0AVAAyAFwAIgAsACAAXAAiAGYAcgBhAGMAdABpAG8AbgAgAG8AZgAgAG0AYQBuAHUAcgBlACAAaQBuACAAZQBhAGMAaAAgAHMAZQBjAG8AbgBkAGEAcgB5ACAAcwB5AHMAdABlAG0AXAAiAFwAbgAgACAAIAAgACAAIAAgACAAfQAsACAAcgAsACAAYwApAFwAbgAgACAAIAAgACAAIAApAFwAbgAgACAAIAAgACkAXABuACAAIAApADsAXABuAFwAbgAvACoAXABuAC0ALQAtAC0ALQAtAC0ALQAtAC0ALQAtAC0ALQAtAC0ALQAtAC0ALQAtAC0ALQAtAC0ALQAtAC0ALQAtAC0ALQAtAC0ALQAtAC0ALQBcAG4AVgBFAEUAUgBHAF8ANABfADUAXwAxAF8AMwBfAF8ANwBfAE4AaQB0AHIAbwBnAGUAbgBUAHIAYQBuAHMAZgBlAHIAcgBlAGQAVABvAFMAdABhAGcAZQAyAE0ATQBTAFwAbgBOAGkAdAByAG8AZwBlAG4AIAB0AHIAYQBuAHMAZgBlAHIAcgBlAGQAIAB0AG8AIAB0AHIAZQBhAHQAbQBlAG4AdAAgAHMAdABhAGcAZQAgADIAIABNAE0AUwBcAG4ATgBUAF8AagBtAFQAMgBcAG4AawBnACAATgBcAG4ATgBUAF8AewBqAG0ALABUAD0AMgB9AD0ATQBOAF8AewBqAG0ALABUAD0AMQB9AFwAXAB0AGkAbQBlAHMAKAAxAC0ARgByAGEAYwBHAEEAUwBNAF8AewBtACwAVAA9ADEAfQAtAEUARgBfAHsAbQAsAFQAPQAxAH0AKQBcAG4ATQBOAF8AagBtAFQAMQAgAD0AIABuAGkAdAByAG8AZwBlAG4AIABwAGUAcgAgAHMAdwBpAG4AZQAgAGMAbABhAHMAcwAgAGkAbgAgAHQAcgBlAGEAdABtAGUAbgB0ACAAcwB0AGEAZwBlACAAMQAgAE0ATQBTACAAKABrAGcAIABOACkAXABuAEYAcgBhAGMARwBBAFMATQBtAFQAMQAgAD0AIABmAHIAYQBjAHQAaQBvAG4AIABvAGYAIABOACAAdgBvAGwAYQB0AGkAbABpAHMAZQBkACAAZgByAG8AbQAgAE0ATQBTACAAdAByAGUAYQB0AG0AZQBuAHQAIABhAHQAIABzAHQAYQBnAGUAIAAxAFwAbgBFAEYAXwBtAFQAMQAgAD0AIABuAGkAdAByAG8AdQBzACAAbwB4AGkAZABlACAAZQBtAGkAcwBzAGkAbwBuACAAZgBhAGMAdABvAHIAIABmAG8AcgAgAE0ATQBTACAAdAByAGUAYQB0AG0AZQBuAHQAIABhAHQAIABzAHQAYQBnAGUAIAAxAFwAbgAtAC0ALQAtAC0ALQAtAC0ALQAtAC0ALQAtAC0ALQAtAC0ALQAtAC0ALQAtAC0ALQAtAC0ALQAtAC0ALQAtAC0ALQAtAC0ALQAtAC0AXABuACoALwBcAG4AXABuAFYARQBFAFIARwBfADQAXwA1AF8AMQBfADMAXwBfADcAXwBOAGkAdAByAG8AZwBlAG4AVAByAGEAbgBzAGYAZQByAHIAZQBkAFQAbwBTAHQAYQBnAGUAMgBNAE0AUwBcAG4AIAAgAD0ATABBAE0AQgBEAEEAKABcAG4AIAAgACAAIABNAE4AXwBqAG0AVAAxACwAIABGAHIAYQBjAEcAQQBTAE0AbQBUADEALAAgAEUARgBfAG0AVAAxACwAXABuACAAIAAgACAATQBOAF8AagBtAFQAMQAgACoAIAAoADEAIAAtACAARgByAGEAYwBHAEEAUwBNAG0AVAAxACAALQAgAEUARgBfAG0AVAAxACkAXABuACAAIAApADsAXABuAFwAbgBWAEUARQBSAEcAXwA0AF8ANQBfADEAXwAzAF8AXwA3AF8ATgBpAHQAcgBvAGcAZQBuAFQAcgBhAG4AcwBmAGUAcgByAGUAZABUAG8AUwB0AGEAZwBlADIATQBNAFMAXwBUAGkAdABsAGUAXABuACAAIAA9AEwAQQBNAEIARABBACgAXAAiAE4AaQB0AHIAbwBnAGUAbgAgAHQAcgBhAG4AcwBmAGUAcgByAGUAZAAgAHQAbwAgAHQAcgBlAGEAdABtAGUAbgB0ACAAcwB0AGEAZwBlACAAMgAgAE0ATQBTAFwAIgApADsAXABuAFwAbgBWAEUARQBSAEcAXwA0AF8ANQBfADEAXwAzAF8AXwA3AF8ATgBpAHQAcgBvAGcAZQBuAFQAcgBhAG4AcwBmAGUAcgByAGUAZABUAG8AUwB0AGEAZwBlADIATQBNAFMAXwBWAGEAcgBpAGEAYgBsAGUAXABuACAAIAA9AEwAQQBNAEIARABBACgAXAAiAE4AVABfAGoAbQBUADIAXAAiACkAOwBcAG4AXABuAFYARQBFAFIARwBfADQAXwA1AF8AMQBfADMAXwBfADcAXwBOAGkAdAByAG8AZwBlAG4AVAByAGEAbgBzAGYAZQByAHIAZQBkAFQAbwBTAHQAYQBnAGUAMgBNAE0AUwBfAFUAbgBpAHQAXABuACAAIAA9AEwAQQBNAEIARABBACgAXAAiAGsAZwAgAE4AXAAiACkAOwBcAG4AXABuAFYARQBFAFIARwBfADQAXwA1AF8AMQBfADMAXwBfADcAXwBOAGkAdAByAG8AZwBlAG4AVAByAGEAbgBzAGYAZQByAHIAZQBkAFQAbwBTAHQAYQBnAGUAMgBNAE0AUwBfAFMAbwB1AHIAYwBlAFwAbgAgACAAPQBMAEEATQBCAEQAQQAoAFwAIgBWAEUARQBSAEcAIAAyADAAMgA2ADoAIAA0AC4ANQAuADEALgAzACwAIABFAHEAdQBhAHQAaQBvAG4AIAAoADcAKQBcACIAKQA7AFwAbgBcAG4AVgBFAEUAUgBHAF8ANABfADUAXwAxAF8AMwBfAF8ANwBfAE4AaQB0AHIAbwBnAGUAbgBUAHIAYQBuAHMAZgBlAHIAcgBlAGQAVABvAFMAdABhAGcAZQAyAE0ATQBTAF8ATgBJAFIAUgBlAGYAZQByAGUAbgBjAGUAXABuACAAIAA9AEwAQQBNAEIARABBACgAXAAiAFwAIgApADsAXABuAFwAbgBWAEUARQBSAEcAXwA0AF8ANQBfADEAXwAzAF8AXwA3AF8ATgBpAHQAcgBvAGcAZQBuAFQAcgBhAG4AcwBmAGUAcgByAGUAZABUAG8AUwB0AGEAZwBlADIATQBNAFMAXwBMAGEAdABlAHgARQBxAHUAYQB0AGkAbwBuAFwAbgAgACAAPQBMAEEATQBCAEQAQQAoAFwAIgBOAFQAXwB7AGoAbQAsAFQAPQAyAH0APQBNAE4AXwB7AGoAbQAsAFQAPQAxAH0AXABcAHQAaQBtAGUAcwAoADEALQBGAHIAYQBjAEcAQQBTAE0AXwB7AG0ALABUAD0AMQB9AC0ARQBGAF8AewBtACwAVAA9ADEAfQApAFwAIgApADsAXABuAFwAbgBWAEUARQBSAEcAXwA0AF8ANQBfADEAXwAzAF8AXwA3AF8ATgBpAHQAcgBvAGcAZQBuAFQAcgBhAG4AcwBmAGUAcgByAGUAZABUAG8AUwB0AGEAZwBlADIATQBNAFMAXwBBAHIAZwB1AG0AZQBuAHQAcwBcAG4AIAAgAD0ATABBAE0AQgBEAEEAKABcAG4AIAAgACAAIABNAEEASwBFAEEAUgBSAEEAWQAoADMALAAgADIALABcAG4AIAAgACAAIAAgACAATABBAE0AQgBEAEEAKAByACwAYwAsAFwAbgAgACAAIAAgACAAIAAgACAASQBOAEQARQBYACgAewBcAG4AIAAgACAAIAAgACAAIAAgACAAIABcACIATQBOAF8AagBtAFQAMQBcACIALAAgAFwAIgBuAGkAdAByAG8AZwBlAG4AIABwAGUAcgAgAHMAdwBpAG4AZQAgAGMAbABhAHMAcwAgAGkAbgAgAHQAcgBlAGEAdABtAGUAbgB0ACAAcwB0AGEAZwBlACAAMQAgAE0ATQBTACAAKABrAGcAIABOACkAXAAiADsAXABuACAAIAAgACAAIAAgACAAIAAgACAAXAAiAEYAcgBhAGMARwBBAFMATQBtAFQAMQBcACIALAAgAFwAIgBmAHIAYQBjAHQAaQBvAG4AIABvAGYAIABOACAAdgBvAGwAYQB0AGkAbABpAHMAZQBkACAAZgByAG8AbQAgAE0ATQBTACAAdAByAGUAYQB0AG0AZQBuAHQAIABhAHQAIABzAHQAYQBnAGUAIAAxAFwAIgA7AFwAbgAgACAAIAAgACAAIAAgACAAIAAgAFwAIgBFAEYAXwBtAFQAMQBcACIALAAgAFwAIgBuAGkAdAByAG8AdQBzACAAbwB4AGkAZABlACAAZQBtAGkAcwBzAGkAbwBuACAAZgBhAGMAdABvAHIAIABmAG8AcgAgAE0ATQBTACAAdAByAGUAYQB0AG0AZQBuAHQAIABhAHQAIABzAHQAYQBnAGUAIAAxAFwAIgBcAG4AIAAgACAAIAAgACAAIAAgAH0ALAAgAHIALAAgAGMAKQBcAG4AIAAgACAAIAAgACAAKQBcAG4AIAAgACAAIAApAFwAbgAgACAAKQA7AFwAbgAiAH0ALAB7ACIAcABhAHQAaAAiADoAIgAvAHAAcgBvAGoAZQBjAHQAcwAvAE0ATQBTAF8AUwB3AGkAbgBl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UAOgAgAFMAdwBpAG4AZQBcAG4APQA9AD0APQA9AD0APQA9AD0APQA9AD0APQA9AD0APQA9AD0APQA9AD0APQA9AD0APQA9AD0APQA9AD0APQA9AD0APQA9AD0APQA9AD0APQA9AD0APQA9AD0APQA9AD0APQA9AD0APQA9AD0APQA9AD0APQA9AD0APQA9AD0APQA9AD0APQA9AD0APQA9AD0APQA9AD0APQBcAG4ANAAuADUALgAxAC4ANQAgAE0AZQB0AGgAbwBkACAAMQAgAC0AIABNAGEAbgB1AHIAZQAgAEEAdABtAG8AcwBwAGgAZQByAGkAYwAgAEQAZQBwAG8AcwBpAHQAaQBvAG4AIABTAHcAaQBu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NQ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hAGQAfQA9AE0ATQBTAF8AewBBAFQATQBPAFMAfQBcAFwAdABpAG0AZQBzACAARQBGAF8AewBOADIATwB9AFwAXAB0AGkAbQBlAHMAIABDAF8AewBOADIATwB9AFwAXAB0AGkAbQBlAHMAIAAxADAAXgB7AC0AMwB9AFwAbgBNAE0AUwBfAEEAVABNAE8AUwAgAD0AIABtAGEAcwBzACAAbwBmACAATgAgAHYAbwBsAGEAdABpAGwAaQBzAGUAZAAgAGYAcgBvAG0AIABNAE0AUw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1AF8AMQBfADUAXwBfADEAXwBBAG4AbgB1AGEAbABBAHQAbQBvAHMAcABoAGUAcgBpAGMARABlAHAAbwBzAGkAdABpAG8AbgBFAG0AaQBzAHMAaQBvAG4AcwBGAHIAbwBtAE0ATQBTAFwAbgAgACAAPQBMAEEATQBCAEQAQQAoAFwAbgAgACAAIAAgAE0ATQBTAF8AQQBUAE0ATwBTACwAIABFAEYAXwBOADIATwAsACAAQwBfAE4AMgBPACwAXABuACAAIAAgACAATQBNAFMAXwBBAFQATQBPAFMAIAAqACAARQBGAF8ATgAyAE8AIAAqACAAQwBfAE4AMgBPACAAKgAgADEAMAAgAF4AIAAtADMAXABuACAAIAApADsAXABuAFwAbgBWAEUARQBSAEcAXwA0AF8ANQ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1AF8AMQBfADUAXwBfADEAXwBBAG4AbgB1AGEAbABBAHQAbQBvAHMAcABoAGUAcgBpAGMARABlAHAAbwBzAGkAdABpAG8AbgBFAG0AaQBzAHMAaQBvAG4AcwBGAHIAbwBtAE0ATQBTAF8AVgBhAHIAaQBhAGIAbABlAFwAbgAgACAAPQBMAEEATQBCAEQAQQAoAFwAIgBFAF8ATgAyAE8ATQBNAFMAYQBkAFwAIgApADsAXABuAFwAbgBWAEUARQBSAEcAXwA0AF8ANQBfADEAXwA1AF8AXwAxAF8AQQBuAG4AdQBhAGwAQQB0AG0AbwBzAHAAaABlAHIAaQBjAEQAZQBwAG8AcwBpAHQAaQBvAG4ARQBtAGkAcwBzAGkAbwBuAHMARgByAG8AbQBNAE0AUwBfAFUAbgBpAHQAXABuACAAIAA9AEwAQQBNAEIARABBACgAXAAiAHQAIABOADIATwBcACIAKQA7AFwAbgBcAG4AVgBFAEUAUgBHAF8ANABfADUAXwAxAF8ANQBfAF8AMQBfAEEAbgBuAHUAYQBsAEEAdABtAG8AcwBwAGgAZQByAGkAYwBEAGUAcABvAHMAaQB0AGkAbwBuAEUAbQBpAHMAcwBpAG8AbgBzAEYAcgBvAG0ATQBNAFMAXwBTAG8AdQByAGMAZQBcAG4AIAAgAD0ATABBAE0AQgBEAEEAKABcACIAVgBFAEUAUgBHACAAMgAwADIANgA6ACAANAAuADUALgAxAC4AMQAsACAARQBxAHUAYQB0AGkAbwBuACAAKAAxACkAXAAiACkAOwBcAG4AXABuAFYARQBFAFIARwBfADQAXwA1AF8AMQBfADUAXwBfADEAXwBBAG4AbgB1AGEAbABBAHQAbQBvAHMAcABoAGUAcgBpAGMARABlAHAAbwBzAGkAdABpAG8AbgBFAG0AaQBzAHMAaQBvAG4AcwBGAHIAbwBtAE0ATQBTAF8ATgBJAFIAUgBlAGYAZQByAGUAbgBjAGUAXABuACAAIAA9AEwAQQBNAEIARABBACgAXAAiAFwAIgApADsAXABuAFwAbgBWAEUARQBSAEcAXwA0AF8ANQBfADEAXwA1AF8AXwAxAF8AQQBuAG4AdQBhAGwAQQB0AG0AbwBzAHAAaABlAHIAaQBjAEQAZQBwAG8AcwBpAHQAaQBvAG4ARQBtAGkAcwBzAGkAbwBuAHMARgByAG8AbQBNAE0AUwBfAEwAYQB0AGUAeABFAHEAdQBhAHQAaQBvAG4AXABuACAAIAA9AEwAQQBNAEIARABBACgAXAAiAEUAXwB7AE4AMgBPACwAYQBkAH0APQBNAE0AUwBfAHsAQQBUAE0ATwBTAH0AXABcAHQAaQBtAGUAcwAgAEUARgBfAHsATgAyAE8AfQBcAFwAdABpAG0AZQBzACAAQwBfAHsATgAyAE8AfQBcAFwAdABpAG0AZQBzACAAMQAwAF4AewAtADMAfQBcACIAKQA7AFwAbgBcAG4AVgBFAEUAUgBHAF8ANABfADUAXwAxAF8ANQBfAF8AMQBfAEEAbgBuAHUAYQBsAEEAdABtAG8AcwBwAGgAZQByAGkAYwBEAGUAcABvAHMAaQB0AGkAbwBuAEUAbQBpAHMAcwBpAG8AbgBzAEYAcgBvAG0ATQBNAFMAXwBBAHIAZwB1AG0AZQBuAHQAcwBcAG4AIAAgAD0ATABBAE0AQgBEAEEAKABcAG4AIAAgACAAIABNAEEASwBFAEEAUgBSAEEAWQAoADYALAAgADIALABcAG4AIAAgACAAIAAgACAATABBAE0AQgBEAEEAKAByACwAYwAsAFwAbgAgACAAIAAgACAAIAAgACAASQBOAEQARQBYACgAewBcAG4AIAAgACAAIAAgACAAIAAgACAAIABcACIATQBNAFMAXwBBAFQATQBPAFMAXAAiACwAIABcACIAbQBhAHMAcwAgAG8AZgAgAE4AIAB2AG8AbABhAHQAaQBsAGkAcwBlAGQAIABmAHIAbwBtACAATQBNAFMAIAAoAGsAZwAgAE4AKQBcACIAOwBcAG4AIAAgACAAIAAgACAAIAAgACAAIABcACIARQBGAF8ATgAyAE8AXAAiACwAIABcACIAbgBpAHQAcgBvAHUAcwAgAG8AeABpAGQAZQAgAGUAbQBpAHMAcwBpAG8AbgAgAGYAYQBjAHQAbwByACAAZgBvAHIAIABhAHQAbQBvAHMAcABoAGUAcgBpAGMAIABkAGUAcABvAHMAaQB0AGkAbwBuACAAKABrAGcAIABOADIATwAtAE4ALwBrAGcAIABOACkAXAAiADsAXABuACAAIAAgACAAIAAgACAAIAAgACAAXAAiAEMAXwBOADIATwBcACIALAAgAFwAIgBmAGEAYwB0AG8AcgAgAHQAbwAgAGMAbwBuAHYAZQByAHQAIABlAGwAZQBtAGUAbgB0AGEAbAAgAG0AYQBzAHMAIABvAGYAIABOADIATwAgAHQAbwAgAG0AbwBsAGUAYwB1AGwAYQByACAAbQBhAHMAcwBcACIAOwBcAG4AIAAgACAAIAAgACAAIAAgACAAIABcACIAagBcACIALAAgAFwAIgBwAHIAbwBkAHUAYwB0AGkAbwBuACAAcwB5AHMAdABlAG0AXAAiADsAXABuACAAIAAgACAAIAAgACAAIAAgACAAXAAiAGkAcgBcACIALAAgAFwAIgBpAHIAcgBpAGcAYQB0AGkAbwBuACAAbQBlAHQAaABvAGQAXAAiADsAXABuACAAIAAgACAAIAAgACAAIAAgACAAXAAiAHIAXAAiACwAIABcACIAcgBhAGkAbgBmAGEAbABsACAAcgBlAGcAaQBvAG4AXAAiAFwAbgAgACAAIAAgACAAIAAgACAAfQAsACAAcgAsACAAYwApAFwAbgAgACAAIAAgACAAIAApAFwAbgAgACAAIAAgACkAXABuACAAIAApADsAXABuAFwAbgAvACoAXABuAC0ALQAtAC0ALQAtAC0ALQAtAC0ALQAtAC0ALQAtAC0ALQAtAC0ALQAtAC0ALQAtAC0ALQAtAC0ALQAtAC0ALQAtAC0ALQAtAC0ALQBcAG4AVgBFAEUAUgBHAF8ANABfADUAXwAxAF8ANQBfAF8AMgBfAFQAbwB0AGEAbABOAGkAdAByAG8AZwBlAG4AVgBvAGwAYQB0AGkAbABpAHMAZQBkAEYAcgBvAG0ATQBNAFMAXABuAFQAbwB0AGEAbAAgAG4AaQB0AHIAbwBnAGUAbgAgAHYAbwBsAGEAdABpAGwAaQBzAGUAZAAgAGYAcgBvAG0AIABNAE0AUw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HAAZQByACAAcwB3AGkAbgBlACAAYwBsAGEAcwBzACwAIABNAE0AUwAgAGEAbgBkACAAdAByAGUAYQB0AG0AZQBuAHQAIABzAHQAYQBnAGUAIAAoAGsAZwAgAE4AKQBcAG4ARgByAGEAYwBHAEEAUwBNAG0AVAAgAD0AIABmAHIAYQBjAHQAaQBvAG4AIABvAGYAIABOACAAdgBvAGwAYQB0AGkAbABpAHMAZQBkACAAaQBuACAAZQBhAGMAaAAgAE0ATQBTACAAKAAoAGsAZwAgAE4ASAAzAC0ATgAgACsAIABOAE8AeAAtAE4AKQAvAGsAZwAgAE4AKQBcAG4ALQAtAC0ALQAtAC0ALQAtAC0ALQAtAC0ALQAtAC0ALQAtAC0ALQAtAC0ALQAtAC0ALQAtAC0ALQAtAC0ALQAtAC0ALQAtAC0ALQAtAFwAbgAqAC8AXABuAFwAbgBWAEUARQBSAEcAXwA0AF8ANQBfADEAXwA1AF8AXwAyAF8AVABvAHQAYQBsAE4AaQB0AHIAbwBnAGUAbgBWAG8AbABhAHQAaQBsAGkAcwBlAGQARgByAG8AbQBNAE0AUwBcAG4AIAAgAD0ATABBAE0AQgBEAEEAKABcAG4AIAAgACAAIABNAE4AXwBqAG0AVAAsACAARgByAGEAYwBHAEEAUwBNAG0AVAAsAFwAbgAgACAAIAAgAE0ATgBfAGoAbQBUACAAKgAgAEYAcgBhAGMARwBBAFMATQBtAFQAXABuACAAIAApADsAXABuAFwAbgBWAEUARQBSAEcAXwA0AF8ANQ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NQBfADEAXwA1AF8AXwAyAF8AVABvAHQAYQBsAE4AaQB0AHIAbwBnAGUAbgBWAG8AbABhAHQAaQBsAGkAcwBlAGQARgByAG8AbQBNAE0AUwBfAFYAYQByAGkAYQBiAGwAZQBcAG4AIAAgAD0ATABBAE0AQgBEAEEAKABcACIATQBNAFMAXwBBAFQATQBPAFMAXAAiACkAOwBcAG4AXABuAFYARQBFAFIARwBfADQAXwA1AF8AMQBfADUAXwBfADIAXwBUAG8AdABhAGwATgBpAHQAcgBvAGcAZQBuAFYAbwBsAGEAdABpAGwAaQBzAGUAZABGAHIAbwBtAE0ATQBTAF8AVQBuAGkAdABcAG4AIAAgAD0ATABBAE0AQgBEAEEAKABcACIAawBnACAATgBcACIAKQA7AFwAbgBcAG4AVgBFAEUAUgBHAF8ANABfADUAXwAxAF8ANQBfAF8AMgBfAFQAbwB0AGEAbABOAGkAdAByAG8AZwBlAG4AVgBvAGwAYQB0AGkAbABpAHMAZQBkAEYAcgBvAG0ATQBNAFMAXwBTAG8AdQByAGMAZQBcAG4AIAAgAD0ATABBAE0AQgBEAEEAKABcACIAVgBFAEUAUgBHACAAMgAwADIANgA6ACAANAAuADUALgAxAC4AMQAsACAARQBxAHUAYQB0AGkAbwBuACAAKAAyACkAXAAiACkAOwBcAG4AXABuAFYARQBFAFIARwBfADQAXwA1AF8AMQBfADUAXwBfADIAXwBUAG8AdABhAGwATgBpAHQAcgBvAGcAZQBuAFYAbwBsAGEAdABpAGwAaQBzAGUAZABGAHIAbwBtAE0ATQBTAF8ATgBJAFIAUgBlAGYAZQByAGUAbgBjAGUAXABuACAAIAA9AEwAQQBNAEIARABBACgAXAAiAFwAIgApADsAXABuAFwAbgBWAEUARQBSAEcAXwA0AF8ANQBfADEAXwA1AF8AXwAyAF8AVABvAHQAYQBsAE4AaQB0AHIAbwBnAGUAbgBWAG8AbABhAHQAaQBsAGkAcwBlAGQARgByAG8AbQBNAE0AUw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1AF8AMQBfADUAXwBfADIAXwBUAG8AdABhAGwATgBpAHQAcgBvAGcAZQBuAFYAbwBsAGEAdABpAGwAaQBzAGUAZABGAHIAbwBtAE0ATQBTAF8AQQByAGcAdQBtAGUAbgB0AHMAXABuACAAIAA9AEwAQQBNAEIARABBACgAXABuACAAIAAgACAATQBBAEsARQBBAFIAUgBBAFkAKAAyACwAIAAyACwAXABuACAAIAAgACAAIAAgAEwAQQBNAEIARABBACgAcgAsAGMALABcAG4AIAAgACAAIAAgACAAIAAgAEkATgBEAEUAWAAoAHsAXABuACAAIAAgACAAIAAgACAAIAAgACAAXAAiAE0ATgBfAGoAbQBUAFwAIgAsACAAXAAiAG4AaQB0AHIAbwBnAGUAbgAgAHAAZQByACAAcwB3AGkAbgBlACAAYwBsAGEAcwBzACwAIABNAE0AUwAgAGEAbgBkACAAdAByAGUAYQB0AG0AZQBuAHQAIABzAHQAYQBnAGUAIAAoAGsAZwAgAE4AKQBcACIAOwBcAG4AIAAgACAAIAAgACAAIAAgACAAIABcACIARgByAGEAYwBHAEEAUwBNAG0AVABcACIALAAgAFwAIgBmAHIAYQBjAHQAaQBvAG4AIABvAGYAIABOACAAdgBvAGwAYQB0AGkAbABpAHMAZQBkACAAaQBuACAAZQBhAGMAaAAgAE0ATQBTACAAKAAoAGsAZwAgAE4ASAAzAC0ATgAgACsAIABOAE8AeAAtAE4AKQAvAGsAZwAgAE4AKQBcACIAXABuACAAIAAgACAAIAAgACAAIAB9ACwAIAByACwAIABjACkAXABuACAAIAAgACAAIAAgACkAXABuACAAIAAgACAAKQBcAG4AIAAgACkAOwBcAG4AIgB9ACwAewAiAHAAYQB0AGgAIgA6ACIALwBwAHIAbwBqAGUAYwB0AHMALwBNAE0AUwBfAFMAdwBpAG4AZ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3ACAATQBlAHQAaABvAGQAIAAxACAALQAgAE0AYQBuAHUAcgBlACAATABlAGEAYwBoAGkAbgBnACAAQQBuAGQAIABSAHUAbgBvAGYAZgAgAE4AMgBPACAAUwB3AGkAbgBl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Nw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A9ADUAfQBcAFwAdABpAG0AZQBzACAARQBGAF8AewBsAGUAYQBjAGgAfQBcAFwAdABpAG0AZQBzACAAQwBfAHsATgAyAE8AfQBcAFwAdABpAG0AZQBzACAAMQAwAF4AewAtADMAfQBcAG4ATQBOAEwAZQBhAGMAaABfAGoAbQA1ACAAPQAgAG0AYQBzAHMAIABvAGYAIABOACAAbABvAHMAdAAgAHQAaAByAG8AdQBnAGgAIABsAGUAYQBjAGgAaQBuAGcAIABhAG4AZAAgAHIAdQBuAG8AZgBmACAAZgByAG8AbQAgAGQAcgB5AGwAbwB0ACAATQBNAFMAIAAoAGsAZwAgAE4AKQBcAG4ARQBGAF8AbABlAGEAYwBoACAAP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AB1AGUAIAB0AG8AIABzAHQAcgBpAGMAdAAgAGUAbgB2AGkAcgBvAG4AbQBlAG4AdABhAGwAIABjAG8AbgB0AHIAbwBsAHMALAAgAGUAbQBpAHMAcwBpAG8AbgBzACAAYQByAGUAIABlAHMAdABpAG0AYQB0AGUAZAAgAG8AbgBsAHkAIABmAG8AcgAgAGQAcgB5AGwAbwB0ACAATQBNAFMAIAAoAG0APQA1ACkALgBcAG4ALQAtAC0ALQAtAC0ALQAtAC0ALQAtAC0ALQAtAC0ALQAtAC0ALQAtAC0ALQAtAC0ALQAtAC0ALQAtAC0ALQAtAC0ALQAtAC0ALQAtAFwAbgAqAC8AXABuAFwAbgBWAEUARQBSAEcAXwA0AF8ANQBfADEAXwA3AF8AXwAxAF8AQQBuAG4AdQBhAGwARQBtAGkAcwBzAGkAbwBuAHMARgByAG8AbQBMAGUAYQBjAGgAaQBuAGcAQQBuAGQAUgB1AG4AbwBmAGYARgByAG8AbQBNAE0AUwBcAG4AIAAgAD0ATABBAE0AQgBEAEEAKABcAG4AIAAgACAAIABNAE4ATABlAGEAYwBoAF8AagBtADUALAAgAEUARgBfAGwAZQBhAGMAaAAsACAAQwBfAE4AMgBPACwAXABuACAAIAAgACAATQBOAEwAZQBhAGMAaABfAGoAbQA1ACAAKgAgAEUARgBfAGwAZQBhAGMAaAAgACoAIABDAF8ATgAyAE8AIAAqACAAMQAwACAAXgAgAC0AMwBcAG4AIAAgACkAOwBcAG4AXABuAFYARQBFAFIARwBfADQAXwA1AF8AMQBfADc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NQBfADEAXwA3AF8AXwAxAF8AQQBuAG4AdQBhAGwARQBtAGkAcwBzAGkAbwBuAHMARgByAG8AbQBMAGUAYQBjAGgAaQBuAGcAQQBuAGQAUgB1AG4AbwBmAGYARgByAG8AbQBNAE0AUwBfAFYAYQByAGkAYQBiAGwAZQBcAG4AIAAgAD0ATABBAE0AQgBEAEEAKABcACIARQBfAE4AMgBPAGwAZQBhAGMAaABcACIAKQA7AFwAbgBcAG4AVgBFAEUAUgBHAF8ANABfADUAXwAxAF8ANwBfAF8AMQBfAEEAbgBuAHUAYQBsAEUAbQBpAHMAcwBpAG8AbgBzAEYAcgBvAG0ATABlAGEAYwBoAGkAbgBnAEEAbgBkAFIAdQBuAG8AZgBmAEYAcgBvAG0ATQBNAFMAXwBVAG4AaQB0AFwAbgAgACAAPQBMAEEATQBCAEQAQQAoAFwAIgB0ACAATgAyAE8AXAAiACkAOwBcAG4AXABuAFYARQBFAFIARwBfADQAXwA1AF8AMQBfADcAXwBfADEAXwBBAG4AbgB1AGEAbABFAG0AaQBzAHMAaQBvAG4AcwBGAHIAbwBtAEwAZQBhAGMAaABpAG4AZwBBAG4AZABSAHUAbgBvAGYAZgBGAHIAbwBtAE0ATQBTAF8AUwBvAHUAcgBjAGUAXABuACAAIAA9AEwAQQBNAEIARABBACgAXAAiAFYARQBFAFIARwAgADIAMAAyADYAOgAgADQALgA1AC4AMQAuADcALAAgAEUAcQB1AGEAdABpAG8AbgAgACgAMQApAFwAIgApADsAXABuAFwAbgBWAEUARQBSAEcAXwA0AF8ANQBfADEAXwA3AF8AXwAxAF8AQQBuAG4AdQBhAGwARQBtAGkAcwBzAGkAbwBuAHMARgByAG8AbQBMAGUAYQBjAGgAaQBuAGcAQQBuAGQAUgB1AG4AbwBmAGYARgByAG8AbQBNAE0AUwBfAE4ASQBSAFIAZQBmAGUAcgBlAG4AYwBlAFwAbgAgACAAPQBMAEEATQBCAEQAQQAoAFwAIgBcACIAKQA7AFwAbgBcAG4AVgBFAEUAUgBHAF8ANABfADUAXwAxAF8ANwBfAF8AMQBfAEEAbgBuAHUAYQBsAEUAbQBpAHMAcwBpAG8AbgBzAEYAcgBvAG0ATABlAGEAYwBoAGkAbgBnAEEAbgBkAFIAdQBuAG8AZgBmAEYAcgBvAG0ATQBNAFMAXwBMAGEAdABlAHgARQBxAHUAYQB0AGkAbwBuAFwAbgAgACAAPQBMAEEATQBCAEQAQQAoAFwAIgBFAF8AewBOADIATwAsAGwAZQBhAGMAaAB9AD0ATQBOAEwAZQBhAGMAaABfAHsAagBtAD0ANQB9AFwAXAB0AGkAbQBlAHMAIABFAEYAXwB7AGwAZQBhAGMAaAB9AFwAXAB0AGkAbQBlAHMAIABDAF8AewBOADIATwB9AFwAXAB0AGkAbQBlAHMAIAAxADAAXgB7AC0AMwB9AFwAIgApADsAXABuAFwAbgBWAEUARQBSAEcAXwA0AF8ANQBfADEAXwA3AF8AXwAxAF8AQQBuAG4AdQBhAGwARQBtAGkAcwBzAGkAbwBuAHMARgByAG8AbQBMAGUAYQBjAGgAaQBuAGcAQQBuAGQAUgB1AG4AbwBmAGYARgByAG8AbQBNAE0AUwBfAEEAcgBnAHUAbQBlAG4AdABzAFwAbgAgACAAPQBMAEEATQBCAEQAQQAoAFwAbgAgACAAIAAgAE0AQQBLAEUAQQBSAFIAQQBZACgAMwAsACAAMgAsAFwAbgAgACAAIAAgACAAIABMAEEATQBCAEQAQQAoAHIALABjACwAXABuACAAIAAgACAAIAAgACAAIABJAE4ARABFAFgAKAB7AFwAbgAgACAAIAAgACAAIAAgACAAIAAgAFwAIgBNAE4ATABlAGEAYwBoAF8AagBtADUAXAAiACwAIABcACIAbQBhAHMAcwAgAG8AZgAgAE4AIABsAG8AcwB0ACAAdABoAHIAbwB1AGcAaAAgAGwAZQBhAGMAaABpAG4AZwAgAGEAbgBkACAAcgB1AG4AbwBmAGYAIABmAHIAbwBtACAAZAByAHkAbABvAHQAIABNAE0AUwAgACgAawBnACAATgApAFwAIgA7AFwAbgAgACAAIAAgACAAIAAgACAAIAAgAFwAIgBFAEYAXwBsAGUAYQBjAGgAXAAiACwAIABcACIAZQBtAGkAcwBzAGkAbwBuACAAZgBhAGMAdABvAHIAIABmAG8AcgAgAGwAZQBhAGMAaABpAG4AZwAgAGEAbgBkACAAcgB1AG4AbwBmAGYAIAAoAGsAZwAgAE4AMgBPAC0ATgAvAGsAZwAgAE4AKQBcACIAOwBcAG4AIAAgACAAIAAgACAAIAAgACAAIABcACIAQwBfAE4AMgBPAFwAIgAsACAAXAAiAGYAYQBjAHQAbwByACAAdABvACAAYwBvAG4AdgBlAHIAdAAgAGUAbABlAG0AZQBuAHQAYQBsACAAbQBhAHMAcwAgAG8AZgAgAE4AMgBPACAAdABvACAAbQBvAGwAZQBjAHUAbABhAHIAIABtAGEAcwBzAFwAIgBcAG4AIAAgACAAIAAgACAAIAAgAH0ALAAgAHIALAAgAGMAKQBcAG4AIAAgACAAIAAgACAAKQBcAG4AIAAgACAAIAApAFwAbgAgACAAKQA7AFwAbgBcAG4ALwAqAFwAbgAtAC0ALQAtAC0ALQAtAC0ALQAtAC0ALQAtAC0ALQAtAC0ALQAtAC0ALQAtAC0ALQAtAC0ALQAtAC0ALQAtAC0ALQAtAC0ALQAtAC0AXABuAFYARQBFAFIARwBfADQAXwA1AF8AMQBfADcAXwBfADIAXwBNAGEAcwBzAE8AZgBOAGkAdAByAG8AZwBlAG4ATABvAHMAdABUAG8ATABlAGEAYwBoAGkAbgBnAEEAbgBkAFIAdQBuAG8AZgBmAEYAcgBvAG0ARAByAHkAbABvAHQATQBNAFMAXABuAE0AYQBzAHMAIABvAGYAIABuAGkAdAByAG8AZwBlAG4AIABsAG8AcwB0ACAAdABvACAAbABlAGEAYwBoAGkAbgBnACAAYQBuAGQAIAByAHUAbgBvAGYAZgAgAGYAcgBvAG0AIABkAHIAeQBsAG8AdAAgAE0ATQBTAFwAbgBNAE4ATABlAGEAYwBoAF8AagBtADUAXABuAGsAZwAgAE4AXABuAE0ATgBMAGUAYQBjAGgAXwB7AGoAbQA9ADUAfQA9AE0ATgBfAHsAagBtAD0ANQAsAFQAPQAxAH0AXABcAHQAaQBtAGUAcwAgAEYAcgBhAGMAVwBFAFQAXABcAHQAaQBtAGUAcwAgAEYAcgBhAGMATABFAEEAQwBIAF8AewBNAFMAfQBcAG4ATQBOAF8AagBtADUAVAAxACAAPQAgAG4AaQB0AHIAbwBnAGUAbgAgAGkAbgAgAHQAcgBlAGEAdABtAGUAbgB0ACAAcwB0AGEAZwBlACAAMQAgAGQAcgB5AGwAbwB0ACAATQBNAFMAIAAoAGsAZwAgAE4AKQBcAG4ARgByAGEAYwBXAEUAVAAgAD0AIABmAHIAYQBjAHQAaQBvAG4AIABvAGYAIABOACAAYQB2AGEAaQBsAGEAYgBsAGUAIABmAG8AcgAgAGwAZQBhAGMAaABpAG4AZwAgAGEAbgBkACAAcgB1AG4AbwBmAGYAXABuAEYAcgBhAGMATABFAEEAQwBIAF8ATQBT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UAXwAxAF8ANwBfAF8AMgBfAE0AYQBzAHMATwBmAE4AaQB0AHIAbwBnAGUAbgBMAG8AcwB0AFQAbwBMAGUAYQBjAGgAaQBuAGcAQQBuAGQAUgB1AG4AbwBmAGYARgByAG8AbQBEAHIAeQBsAG8AdABNAE0AUwBcAG4AIAAgAD0ATABBAE0AQgBEAEEAKABcAG4AIAAgACAAIABNAE4AXwBqAG0ANQBUADEALAAgAEYAcgBhAGMAVwBFAFQALAAgAEYAcgBhAGMATABFAEEAQwBIAF8ATQBTACwAXABuACAAIAAgACAATQBOAF8AagBtADUAVAAxACAAKgAgAEYAcgBhAGMAVwBFAFQAIAAqACAARgByAGEAYwBMAEUAQQBDAEgAXwBNAFMAXABuACAAIAApADsAXABuAFwAbgBWAEUARQBSAEcAXwA0AF8ANQBfADEAXwA3AF8AXwAyAF8ATQBhAHMAcwBPAGYATgBpAHQAcgBvAGcAZQBuAEwAbwBzAHQAVABvAEwAZQBhAGMAaABpAG4AZwBBAG4AZABSAHUAbgBvAGYAZgBGAHIAbwBtAEQAcgB5AGwAbwB0AE0ATQBTAF8AVABpAHQAbABlAFwAbgAgACAAPQBMAEEATQBCAEQAQQAoAFwAIgBNAGEAcwBzACAAbwBmACAAbgBpAHQAcgBvAGcAZQBuACAAbABvAHMAdAAgAHQAbwAgAGwAZQBhAGMAaABpAG4AZwAgAGEAbgBkACAAcgB1AG4AbwBmAGYAIABmAHIAbwBtACAAZAByAHkAbABvAHQAIABNAE0AUwBcACIAKQA7AFwAbgBcAG4AVgBFAEUAUgBHAF8ANABfADUAXwAxAF8ANwBfAF8AMgBfAE0AYQBzAHMATwBmAE4AaQB0AHIAbwBnAGUAbgBMAG8AcwB0AFQAbwBMAGUAYQBjAGgAaQBuAGcAQQBuAGQAUgB1AG4AbwBmAGYARgByAG8AbQBEAHIAeQBsAG8AdABNAE0AUwBfAFYAYQByAGkAYQBiAGwAZQBcAG4AIAAgAD0ATABBAE0AQgBEAEEAKABcACIATQBOAEwAZQBhAGMAaABfAGoAbQA1AFwAIgApADsAXABuAFwAbgBWAEUARQBSAEcAXwA0AF8ANQBfADEAXwA3AF8AXwAyAF8ATQBhAHMAcwBPAGYATgBpAHQAcgBvAGcAZQBuAEwAbwBzAHQAVABvAEwAZQBhAGMAaABpAG4AZwBBAG4AZABSAHUAbgBvAGYAZgBGAHIAbwBtAEQAcgB5AGwAbwB0AE0ATQBTAF8AVQBuAGkAdABcAG4AIAAgAD0ATABBAE0AQgBEAEEAKABcACIAawBnACAATgBcACIAKQA7AFwAbgBcAG4AVgBFAEUAUgBHAF8ANABfADUAXwAxAF8ANwBfAF8AMgBfAE0AYQBzAHMATwBmAE4AaQB0AHIAbwBnAGUAbgBMAG8AcwB0AFQAbwBMAGUAYQBjAGgAaQBuAGcAQQBuAGQAUgB1AG4AbwBmAGYARgByAG8AbQBEAHIAeQBsAG8AdABNAE0AUwBfAFMAbwB1AHIAYwBlAFwAbgAgACAAPQBMAEEATQBCAEQAQQAoAFwAIgBWAEUARQBSAEcAIAAyADAAMgA2ADoAIAA0AC4ANQAuADEALgA3ACwAIABFAHEAdQBhAHQAaQBvAG4AIAAoADIAKQBcACIAKQA7AFwAbgBcAG4AVgBFAEUAUgBHAF8ANABfADUAXwAxAF8ANwBfAF8AMgBfAE0AYQBzAHMATwBmAE4AaQB0AHIAbwBnAGUAbgBMAG8AcwB0AFQAbwBMAGUAYQBjAGgAaQBuAGcAQQBuAGQAUgB1AG4AbwBmAGYARgByAG8AbQBEAHIAeQBsAG8AdABNAE0AUwBfAE4ASQBSAFIAZQBmAGUAcgBlAG4AYwBlAFwAbgAgACAAPQBMAEEATQBCAEQAQQAoAFwAIgBcACIAKQA7AFwAbgBcAG4AVgBFAEUAUgBHAF8ANABfADUAXwAxAF8ANwBfAF8AMgBfAE0AYQBzAHMATwBmAE4AaQB0AHIAbwBnAGUAbgBMAG8AcwB0AFQAbwBMAGUAYQBjAGgAaQBuAGcAQQBuAGQAUgB1AG4AbwBmAGYARgByAG8AbQBEAHIAeQBsAG8AdABNAE0AUwBfAEwAYQB0AGUAeABFAHEAdQBhAHQAaQBvAG4AXABuACAAIAA9AEwAQQBNAEIARABBACgAXAAiAE0ATgBMAGUAYQBjAGgAXwB7AGoAbQA9ADUAfQA9AE0ATgBfAHsAagBtAD0ANQAsAFQAPQAxAH0AXABcAHQAaQBtAGUAcwAgAEYAcgBhAGMAVwBFAFQAXABcAHQAaQBtAGUAcwAgAEYAcgBhAGMATABFAEEAQwBIAF8AewBNAFMAfQBcACIAKQA7AFwAbgBcAG4AVgBFAEUAUgBHAF8ANABfADUAXwAxAF8ANwBfAF8AMgBfAE0AYQBzAHMATwBmAE4AaQB0AHIAbwBnAGUAbgBMAG8AcwB0AFQAbwBMAGUAYQBjAGgAaQBuAGcAQQBuAGQAUgB1AG4AbwBmAGYARgByAG8AbQBEAHIAeQBsAG8AdABNAE0AUwBfAEEAcgBnAHUAbQBlAG4AdABzAFwAbgAgACAAPQBMAEEATQBCAEQAQQAoAFwAbgAgACAAIAAgAE0AQQBLAEUAQQBSAFIAQQBZACgANgAsACAAMgAsAFwAbgAgACAAIAAgACAAIABMAEEATQBCAEQAQQAoAHIALABjACwAXABuACAAIAAgACAAIAAgACAAIABJAE4ARABFAFgAKAB7AFwAbgAgACAAIAAgACAAIAAgACAAIAAgAFwAIgBNAE4AXwBqAG0ANQBUADEAXAAiACwAIABcACIAbgBpAHQAcgBvAGcAZQBuACAAaQBuACAAdAByAGUAYQB0AG0AZQBuAHQAIABzAHQAYQBnAGUAIAAxACAAZAByAHkAbABvAHQAIABNAE0AUwAgACgAawBnACAATgApAFwAIgA7AFwAbgAgACAAIAAgACAAIAAgACAAIAAgAFwAIgBGAHIAYQBjAFcARQBUAFwAIgAsACAAXAAiAGYAcgBhAGMAdABpAG8AbgAgAG8AZgAgAE4AIABhAHYAYQBpAGwAYQBiAGwAZQAgAGYAbwByACAAbABlAGEAYwBoAGkAbgBnACAAYQBuAGQAIAByAHUAbgBvAGYAZgBcACIAOwBcAG4AIAAgACAAIAAgACAAIAAgACAAIABcACIARgByAGEAYwBMAEUAQQBDAEgAXwBNAFMAXAAiACwAIABcACIAZgByAGEAYwB0AGkAbwBuACAAbwBmACAATgAgAGwAbwBzAHQAIAB0AGgAcgBvAHUAZwBoACAAbABlAGEAYwBoAGkAbgBnACAAYQBuAGQAIAByAHUAbgBvAGYAZgBcACIAOwBcAG4AIAAgACAAIAAgACAAIAAgACAAIABcACIAegBcACIALAAgAFwAIgBsAG8AYwBhAHQAaQBvAG4AIABpAG4AIABsAGUAYQBjAGgAaQBuAGcAIAB6AG8AbgBlAFwAIgA7AFwAbgAgACAAIAAgACAAIAAgACAAIAAgAFwAIgBqAFwAIgAsACAAXAAiAHAAcgBvAGQAdQBjAHQAaQBvAG4AIABzAHkAcwB0AGUAbQBcACIAOwBcAG4AIAAgACAAIAAgACAAIAAgACAAIABcACIAaQByAFwAIgAsACAAXAAiAGkAcgByAGkAZwBhAHQAaQBvAG4AIABtAGUAdABoAG8AZABcACIAXABuACAAIAAgACAAIAAgACAAIAB9ACwAIAByACwAIABjACkAXABuACAAIAAgACAAIAAgACkAXABuACAAIAAgACAAKQBcAG4AIAAgACkAOwBcAG4AXABuAFwAbgBcAG4AIgB9ACwAewAiAHAAYQB0AGgAIgA6ACIALwBwAHIAbwBqAGUAYwB0AHMALwBNAE0AUwBfAFMAdwBpAG4AZQ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NQA6ACAAUwB3AGkAbgBlAFwAbgA9AD0APQA9AD0APQA9AD0APQA9AD0APQA9AD0APQA9AD0APQA9AD0APQA9AD0APQA9AD0APQA9AD0APQA9AD0APQA9AD0APQA9AD0APQA9AD0APQA9AD0APQA9AD0APQA9AD0APQA9AD0APQA9AD0APQA9AD0APQA9AD0APQA9AD0APQA9AD0APQA9AD0APQA9AD0APQA9AFwAbgA0AC4ANQAuADEALgA5ACAATQBhAG4AdQByAGUAIABBAHAAcABsAGkAZQBkACAAdABvACAAUwBvAGkAbABz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UAXwAxAF8AOQBfAF8AMQBfAE0AYQBzAHMATwBmAE4AaQB0AHIAbwBnAGUAbgBBAHAAcABsAGkAZQBkAFQAbwBTAG8AaQBsAHMAUwBjAG8AcABlADEAXABuAE0AYQBzAHMAIABvAGYAIABuAGkAdAByAG8AZwBlAG4AIABhAHAAcABsAGkAZQBkACAAdABvACAAcwBvAGkAbABzACAAZgBvAHIAIABzAGMAbwBwAGUAIAAxACAAZQBtAGkAcwBzAGkAbwBuAHMAXABuAE0ATgBTAG8AaQBsAF8AcwBjAG8AcABlADEAXABuAGsAZwAgAE4AXABu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G4ATQBOAF8AagBtAFQAMgAgAD0AIABtAGEAcwBzACAAbwBmACAATgAgAGkAbgAgAE0ATQBTACAAYQB0ACAAdAByAGUAYQB0AG0AZQBuAHQAIABzAHQAYQBnAGUAIAAyACAAOgAgAGsAZwAgAE4AXABuAEUARgBfAG0AVAAyACAAPQAgAG4AaQB0AHIAbwB1AHMAIABvAHgAaQBkAGUAIABlAG0AaQBzAHMAaQBvAG4AIABmAGEAYwB0AG8AcgAgAGYAbwByACAAZQBhAGMAaAAgAE0ATQBTACAAYQB0ACAAdAByAGUAYQB0AG0AZQBuAHQAIABzAHQAYQBnAGUAIAAyACAAOgAgAGsAZwAgAE4AMgBPAC0ATgAvAGsAZwAgAE4AXABuAEYAcgBhAGMARwBBAFMATQBfAG0AVAAyACAAPQAgAGYAcgBhAGMAdABpAG8AbgAgAG8AZgAgAGEAbgBpAG0AYQBsACAAdwBhAHMAdABlACAATgAgAHYAbwBsAGEAdABpAGwAaQBzAGUAZAAgAGkAbgAgAGUAYQBjAGgAIABNAE0AUwAgAGEAdAAgAHQAcgBlAGEAdABtAGUAbgB0ACAAcwB0AGEAZwBlACAAMgAgADoAIAAoAGsAZwAgAE4ASAAzAC0ATgAgACsAIABOAE8AeAAtAE4AKQAvAGsAZwAgAE4AXABuAE0ATgBMAGUAYQBjAGgAXwBqAG0ANQAgAD0AIABtAGEAcwBzACAAbwBmACAATgAgAGwAbwBzAHQAIAB0AG8AIABsAGUAYQBjAGgAaQBuAGcAIABhAG4AZAAgAHIAdQBuAG8AZgBmACAAZgByAG8AbQAgAGQAcgB5AGwAbwB0ACAATQBNAFMAIAA6ACAAawBnACAATgBcAG4AUABGACAAPQAgAGYAcgBhAGMAdABpAG8AbgAgAG8AZgAgAG0AYQBuAHUAcgBlACAAYQBwAHAAbABpAGUAZAAgAHQAbwAgAHMAbwBpAGwAIAB3AGkAdABoAGkAbgAgAHQAaABlACAAcABpAGcAZwBlAHIAeQAgAGIAbwB1AG4AZABhAHIAeQAgADoAIABmAHIAYQBjAHQAaQBvAG4AXABuAC0ALQAtAC0ALQAtAC0ALQAtAC0ALQAtAC0ALQAtAC0ALQAtAC0ALQAtAC0ALQAtAC0ALQAtAC0ALQAtAC0ALQAtAC0ALQAtAC0ALQBcAG4AKgAvAFwAbgBcAG4AVgBFAEUAUgBHAF8ANABfADUAXwAxAF8AOQBfAF8AMQBfAE0AYQBzAHMATwBmAE4AaQB0AHIAbwBnAGUAbgBBAHAAcABsAGkAZQBkAFQAbwBTAG8AaQBsAHMAUwBjAG8AcABlADEAXABuACAAIAA9AEwAQQBNAEIARABBACgAXABuACAAIAAgACAATQBOAF8AagBtAFQAMgAsACAARQBGAF8AbQBUADIALAAgAEYAcgBhAGMARwBBAFMATQBfAG0AVAAyACwAIABNAE4ATABlAGEAYwBoAF8AagBtADUALAAgAFAARgAsAFwAbgAgACAAIAAgACgATQBOAF8AagBtAFQAMgAgACoAIAAoADEAIAAtACAARQBGAF8AbQBUADIAIAAtACAARgByAGEAYwBHAEEAUwBNAF8AbQBUADIAKQAgAC0AIABNAE4ATABlAGEAYwBoAF8AagBtADUAKQAgACoAIABQAEYAXABuACAAIAApADsAXABuAFwAbgBWAEUARQBSAEcAXwA0AF8AN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UAXwAxAF8AOQBfAF8AMQBfAE0AYQBzAHMATwBmAE4AaQB0AHIAbwBnAGUAbgBBAHAAcABsAGkAZQBkAFQAbwBTAG8AaQBsAHMAUwBjAG8AcABlADEAXwBWAGEAcgBpAGEAYgBsAGUAXABuACAAIAA9AEwAQQBNAEIARABBACgAXAAiAE0ATgBTAG8AaQBsAF8AcwBjAG8AcABlADEAXAAiACkAOwBcAG4AXABuAFYARQBFAFIARwBfADQAXwA1AF8AMQBfADkAXwBfADEAXwBNAGEAcwBzAE8AZgBOAGkAdAByAG8AZwBlAG4AQQBwAHAAbABpAGUAZABUAG8AUwBvAGkAbABzAFMAYwBvAHAAZQAxAF8AVQBuAGkAdABcAG4AIAAgAD0ATABBAE0AQgBEAEEAKABcACIAawBnACAATgBcACIAKQA7AFwAbgBcAG4AVgBFAEUAUgBHAF8ANABfADUAXwAxAF8AOQBfAF8AMQBfAE0AYQBzAHMATwBmAE4AaQB0AHIAbwBnAGUAbgBBAHAAcABsAGkAZQBkAFQAbwBTAG8AaQBsAHMAUwBjAG8AcABlADEAXwBTAG8AdQByAGMAZQBcAG4AIAAgAD0ATABBAE0AQgBEAEEAKABcACIAVgBFAEUAUgBHACAAMgAwADIANgA6ACAANAAuADUALgAxAC4AOQAsACAARQBxAHUAYQB0AGkAbwBuACAAKAAxACkAXAAiACkAOwBcAG4AXABuAFYARQBFAFIARwBfADQAXwA1AF8AMQBfADkAXwBfADEAXwBNAGEAcwBzAE8AZgBOAGkAdAByAG8AZwBlAG4AQQBwAHAAbABpAGUAZABUAG8AUwBvAGkAbABzAFMAYwBvAHAAZQAxAF8ATgBJAFIAUgBlAGYAZQByAGUAbgBjAGUAXABuACAAIAA9AEwAQQBNAEIARABBACgAXAAiAFwAIgApADsAXABuAFwAbgBWAEUARQBSAEcAXwA0AF8ANQBfADEAXwA5AF8AXwAxAF8ATQBhAHMAcwBPAGYATgBpAHQAcgBvAGcAZQBuAEEAcABwAGwAaQBlAGQAVABvAFMAbwBpAGwAcwBTAGMAbwBwAGUAMQBfAEwAYQB0AGUAeABFAHEAdQBhAHQAaQBvAG4AXABuACAAIAA9AEwAQQBNAEIARABBACgAXAAiAE0ATgBTAG8AaQBsAF8AewBzAGMAbwBwAGUAMQB9AD0AXABcAHMAdQBtAF8AewBqAH0AXABcAHMAdQBtAF8AewBtAH0AKABNAE4AXwB7AGoAbQBUAD0AMgB9AFwAXAB0AGkAbQBlAHMAKAAxAC0ARQBGAF8AewBtAFQAPQAyAH0ALQBGAHIAYQBjAEcAQQBTAE0AXwB7AG0AVAA9ADIAfQApAC0ATQBOAEwAZQBhAGMAaABfAHsAagBtAD0ANQB9ACkAXABcAHQAaQBtAGUAcwAgAFAARgBcACIAKQA7AFwAbgBcAG4AVgBFAEUAUgBHAF8ANABfADUAXwAxAF8AOQBfAF8AMQBfAE0AYQBzAHMATwBmAE4AaQB0AHIAbwBnAGUAbgBBAHAAcABsAGkAZQBkAFQAbwBTAG8AaQBsAHMAUwBjAG8AcABlADEAXwBBAHIAZwB1AG0AZQBuAHQAcwBcAG4AIAAgAD0ATABBAE0AQgBEAEEAKABcAG4AIAAgACAAIABNAEEASwBFAEEAUgBSAEEAWQAoADUALAAgADIALABcAG4AIAAgACAAIAAgACAATABBAE0AQgBEAEEAKAByACwAYwAsAFwAbgAgACAAIAAgACAAIAAgACAASQBOAEQARQBYACgAewBcAG4AIAAgACAAIAAgACAAIAAgACAAIABcACIATQBOAF8AagBtAFQAMgBcACIALABcACIAbQBhAHMAcwAgAG8AZgAgAE4AIABpAG4AIABNAE0AUwAgAGEAdAAgAHQAcgBlAGEAdABtAGUAbgB0ACAAcwB0AGEAZwBlACAAMgAgADoAIABrAGcAIABOAFwAIgA7AFwAbgAgACAAIAAgACAAIAAgACAAIAAgAFwAIgBFAEYAXwBtAFQAMgBcACIALABcACIAbgBpAHQAcgBvAHUAcwAgAG8AeABpAGQAZQAgAGUAbQBpAHMAcwBpAG8AbgAgAGYAYQBjAHQAbwByACAAZgBvAHIAIABlAGEAYwBoACAATQBNAFMAIABhAHQAIAB0AHIAZQBhAHQAbQBlAG4AdAAgAHMAdABhAGcAZQAgADIAIAA6ACAAawBnACAATgAyAE8ALQBOAC8AawBnACAATgBcACIAOwBcAG4AIAAgACAAIAAgACAAIAAgACAAIABcACIARgByAGEAYwBHAEEAUwBNAF8AbQBUADIAXAAiACwAXAAiAGYAcgBhAGMAdABpAG8AbgAgAG8AZgAgAGEAbgBpAG0AYQBsACAAdwBhAHMAdABlACAATgAgAHYAbwBsAGEAdABpAGwAaQBzAGUAZAAgAGkAbgAgAGUAYQBjAGgAIABNAE0AUwAgAGEAdAAgAHQAcgBlAGEAdABtAGUAbgB0ACAAcwB0AGEAZwBlACAAMgAgADoAIAAoAGsAZwAgAE4ASAAzAC0ATgAgACsAIABOAE8AeAAtAE4AKQAvAGsAZwAgAE4AXAAiADsAXABuACAAIAAgACAAIAAgACAAIAAgACAAXAAiAE0ATgBMAGUAYQBjAGgAXwBqAG0ANQBcACIALABcACIAbQBhAHMAcwAgAG8AZgAgAE4AIABsAG8AcwB0ACAAdABvACAAbABlAGEAYwBoAGkAbgBnACAAYQBuAGQAIAByAHUAbgBvAGYAZgAgAGYAcgBvAG0AIABkAHIAeQBsAG8AdAAgAE0ATQBTACAAOgAgAGsAZwAgAE4AXAAiADsAXABuACAAIAAgACAAIAAgACAAIAAgACAAXAAiAFAARgBcACIALABcACIAZgByAGEAYwB0AGkAbwBuACAAbwBmACAAbQBhAG4AdQByAGUAIABhAHAAcABsAGkAZQBkACAAdABvACAAcwBvAGkAbAAgAHcAaQB0AGgAaQBuACAAdABoAGUAIABwAGkAZwBnAGUAcgB5ACAAYgBvAHUAbgBkAGEAcgB5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N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bgBNAE4AXwBqAG0AVAAyACAAPQAgAG0AYQBzAHMAIABvAGYAIABOACAAaQBuACAATQBNAFMAIABhAHQAIAB0AHIAZQBhAHQAbQBlAG4AdAAgAHMAdABhAGcAZQAgADIAIAA6ACAAawBnACAATgBcAG4ARQBGAF8AbQBUADIAIAA9ACAAbgBpAHQAcgBvAHUAcwAgAG8AeABpAGQAZQAgAGUAbQBpAHMAcwBpAG8AbgAgAGYAYQBjAHQAbwByACAAZgBvAHIAIABlAGEAYwBoACAATQBNAFMAIABhAHQAIAB0AHIAZQBhAHQAbQBlAG4AdAAgAHMAdABhAGcAZQAgADIAIAA6ACAAawBnACAATgAyAE8ALQBOAC8AawBnACAATgBcAG4ARgByAGEAYwBHAEEAUwBNAF8AbQBUADIAIAA9ACAAZgByAGEAYwB0AGkAbwBuACAAbwBmACAAYQBuAGkAbQBhAGwAIAB3AGEAcwB0AGUAIABOACAAdgBvAGwAYQB0AGkAbABpAHMAZQBkACAAaQBuACAAZQBhAGMAaAAgAE0ATQBTACAAYQB0ACAAdAByAGUAYQB0AG0AZQBuAHQAIABzAHQAYQBnAGUAIAAyACAAOgAgACgAawBnACAATgBIADMALQBOACAAKwAgAE4ATwB4AC0ATgApAC8AawBnACAATgBcAG4ATQBOAEwAZQBhAGMAaABfAGoAbQA1ACAAPQAgAG0AYQBzAHMAIABvAGYAIABOACAAbABvAHMAdAAgAHQAbwAgAGwAZQBhAGMAaABpAG4AZwAgAGEAbgBkACAAcgB1AG4AbwBmAGYAIABmAHIAbwBtACAAZAByAHkAbABvAHQAIABNAE0AUwAgADoAIABrAGcAIABOAFwAbgBQAEYAIAA9ACAAZgByAGEAYwB0AGkAbwBuACAAbwBmACAAbQBhAG4AdQByAGUAIABhAHAAcABsAGkAZQBkACAAdABvACAAcwBvAGkAbAAgAHcAaQB0AGgAaQBuACAAdABoAGUAIABwAGkAZwBnAGUAcgB5ACAAYgBvAHUAbgBkAGEAcgB5ACAAOgAgAGYAcgBhAGMAdABpAG8AbgBcAG4ALQAtAC0ALQAtAC0ALQAtAC0ALQAtAC0ALQAtAC0ALQAtAC0ALQAtAC0ALQAtAC0ALQAtAC0ALQAtAC0ALQAtAC0ALQAtAC0ALQAtAFwAbgAqAC8AXABuAFwAbgBWAEUARQBSAEcAXwA0AF8ANQBfADEAXwA5AF8AXwAyAF8ATQBhAHMAcwBPAGYATgBpAHQAcgBvAGcAZQBuAEEAcABwAGwAaQBlAGQAVABvAFMAbwBpAGwAcwBTAGMAbwBwAGUAMwBcAG4AIAAgAD0ATABBAE0AQgBEAEEAKABcAG4AIAAgACAAIABNAE4AXwBqAG0AVAAyACwAIABFAEYAXwBtAFQAMgAsACAARgByAGEAYwBHAEEAUwBNAF8AbQBUADIALAAgAE0ATgBMAGUAYQBjAGgAXwBqAG0ANQAsACAAUABGACwAXABuACAAIAAgACAAKABNAE4AXwBqAG0AVAAyACAAKgAgACgAMQAgAC0AIABFAEYAXwBtAFQAMgAgAC0AIABGAHIAYQBjAEcAQQBTAE0AXwBtAFQAMgApACAALQAgAE0ATgBMAGUAYQBjAGgAXwBqAG0ANQApACAAKgAgACgAMQAgAC0AIABQAEYAKQBcAG4AIAAgACkAOwBcAG4AXABuAFYARQBFAFIARwBfADQAXwA1AF8AMQBfADkAXwBfADIAXwBNAGEAcwBzAE8AZgBOAGkAdAByAG8AZwBlAG4AQQBwAHAAbABpAGUAZABUAG8AUwBvAGkAbABzAFMAYwBvAHAAZQAzAF8AVABpAHQAbABlAFwAbgAgACAAPQBMAEEATQBCAEQAQQAoAFwAIgBNAGEAcwBzACAAbwBmACAAbgBpAHQAcgBvAGcAZQBuACAAYQBwAHAAbABpAGUAZAAgAHQAbwAgAHMAbwBpAGwAcwAgAGYAbwByACAAcwBjAG8AcABlACAAMwAgAGUAbQBpAHMAcwBpAG8AbgBzAFwAIgApADsAXABuAFwAbgBWAEUARQBSAEcAXwA0AF8ANQBfADEAXwA5AF8AXwAyAF8ATQBhAHMAcwBPAGYATgBpAHQAcgBvAGcAZQBuAEEAcABwAGwAaQBlAGQAVABvAFMAbwBpAGwAcwBTAGMAbwBwAGUAMwBfAFYAYQByAGkAYQBiAGwAZQBcAG4AIAAgAD0ATABBAE0AQgBEAEEAKABcACIATQBOAFMAbwBpAGwAXwBzAGMAbwBwAGUAMwBcACIAKQA7AFwAbgBcAG4AVgBFAEUAUgBHAF8ANABfADUAXwAxAF8AOQBfAF8AMgBfAE0AYQBzAHMATwBmAE4AaQB0AHIAbwBnAGUAbgBBAHAAcABsAGkAZQBkAFQAbwBTAG8AaQBsAHMAUwBjAG8AcABlADMAXwBVAG4AaQB0AFwAbgAgACAAPQBMAEEATQBCAEQAQQAoAFwAIgBrAGcAIABOAFwAIgApADsAXABuAFwAbgBWAEUARQBSAEcAXwA0AF8ANQBfADEAXwA5AF8AXwAyAF8ATQBhAHMAcwBPAGYATgBpAHQAcgBvAGcAZQBuAEEAcABwAGwAaQBlAGQAVABvAFMAbwBpAGwAcwBTAGMAbwBwAGUAMwBfAFMAbwB1AHIAYwBlAFwAbgAgACAAPQBMAEEATQBCAEQAQQAoAFwAIgBWAEUARQBSAEcAIAAyADAAMgA2ADoAIAA0AC4ANQAuADEALgA5ACwAIABFAHEAdQBhAHQAaQBvAG4AIAAoADIAKQBcACIAKQA7AFwAbgBcAG4AVgBFAEUAUgBHAF8ANABfADUAXwAxAF8AOQBfAF8AMgBfAE0AYQBzAHMATwBmAE4AaQB0AHIAbwBnAGUAbgBBAHAAcABsAGkAZQBkAFQAbwBTAG8AaQBsAHMAUwBjAG8AcABlADMAXwBOAEkAUgBSAGUAZgBlAHIAZQBuAGMAZQBcAG4AIAAgAD0ATABBAE0AQgBEAEEAKABcACIAXAAiACkAOwBcAG4AXABuAFYARQBFAFIARwBfADQAXwA1AF8AMQBfADkAXwBfADIAXwBNAGEAcwBzAE8AZgBOAGkAdAByAG8AZwBlAG4AQQBwAHAAbABpAGUAZABUAG8AUwBvAGkAbABzAFMAYwBvAHAAZQAzAF8ATABhAHQAZQB4AEUAcQB1AGEAdABpAG8AbgBcAG4AIAAgAD0ATABBAE0AQgBEAEEAKABcACIATQBOAFMAbwBpAGwAXwB7AHMAYwBvAHAAZQAzAH0APQBcAFwAcwB1AG0AXwB7AGoAfQBcAFwAcwB1AG0AXwB7AG0AfQAoAE0ATgBfAHsAagBtAFQAPQAyAH0AXABcAHQAaQBtAGUAcwAoADEALQBFAEYAXwB7AG0AVAA9ADIAfQAtAEYAcgBhAGMARwBBAFMATQBfAHsAbQBUAD0AMgB9ACkALQBNAE4ATABlAGEAYwBoAF8AewBqAG0APQA1AH0AKQBcAFwAdABpAG0AZQBzACgAMQAtAFAARgApAFwAIgApADsAXABuAFwAbgBWAEUARQBSAEcAXwA0AF8ANQBfADEAXwA5AF8AXwAyAF8ATQBhAHMAcwBPAGYATgBpAHQAcgBvAGcAZQBuAEEAcABwAGwAaQBlAGQAVABvAFMAbwBpAGwAcwBTAGMAbwBwAGUAMwBfAEEAcgBnAHUAbQBlAG4AdABzAFwAbgAgACAAPQBMAEEATQBCAEQAQQAoAFwAbgAgACAAIAAgAE0AQQBLAEUAQQBSAFIAQQBZACgANQAsACAAMgAsAFwAbgAgACAAIAAgACAAIABMAEEATQBCAEQAQQAoAHIALABjACwAXABuACAAIAAgACAAIAAgACAAIABJAE4ARABFAFgAKAB7AFwAbgAgACAAIAAgACAAIAAgACAAIAAgAFwAIgBNAE4AXwBqAG0AVAAyAFwAIgAsAFwAIgBtAGEAcwBzACAAbwBmACAATgAgAGkAbgAgAE0ATQBTACAAYQB0ACAAdAByAGUAYQB0AG0AZQBuAHQAIABzAHQAYQBnAGUAIAAyACAAOgAgAGsAZwAgAE4AXAAiADsAXABuACAAIAAgACAAIAAgACAAIAAgACAAXAAiAEUARgBfAG0AVAAyAFwAIgAsAFwAIgBuAGkAdAByAG8AdQBzACAAbwB4AGkAZABlACAAZQBtAGkAcwBzAGkAbwBuACAAZgBhAGMAdABvAHIAIABmAG8AcgAgAGUAYQBjAGgAIABNAE0AUwAgAGEAdAAgAHQAcgBlAGEAdABtAGUAbgB0ACAAcwB0AGEAZwBlACAAMgAgADoAIABrAGcAIABOADIATwAtAE4ALwBrAGcAIABOAFwAIgA7AFwAbgAgACAAIAAgACAAIAAgACAAIAAgAFwAIgBGAHIAYQBjAEcAQQBTAE0AXwBtAFQAMgBcACIALABcACIAZgByAGEAYwB0AGkAbwBuACAAbwBmACAAYQBuAGkAbQBhAGwAIAB3AGEAcwB0AGUAIABOACAAdgBvAGwAYQB0AGkAbABpAHMAZQBkACAAaQBuACAAZQBhAGMAaAAgAE0ATQBTACAAYQB0ACAAdAByAGUAYQB0AG0AZQBuAHQAIABzAHQAYQBnAGUAIAAyACAAOgAgACgAawBnACAATgBIADMALQBOACAAKwAgAE4ATwB4AC0ATgApAC8AawBnACAATgBcACIAOwBcAG4AIAAgACAAIAAgACAAIAAgACAAIABcACIATQBOAEwAZQBhAGMAaABfAGoAbQA1AFwAIgAsAFwAIgBtAGEAcwBzACAAbwBmACAATgAgAGwAbwBzAHQAIAB0AG8AIABsAGUAYQBjAGgAaQBuAGcAIABhAG4AZAAgAHIAdQBuAG8AZgBmACAAZgByAG8AbQAgAGQAcgB5AGwAbwB0ACAATQBNAFMAIAA6ACAAawBnACAATgBcACIAOwBcAG4AIAAgACAAIAAgACAAIAAgACAAIABcACIAUABGAFwAIgAsAFwAIgBmAHIAYQBjAHQAaQBvAG4AIABvAGYAIABtAGEAbgB1AHIAZQAgAGEAcABwAGwAaQBlAGQAIAB0AG8AIABzAG8AaQBsACAAdwBpAHQAaABpAG4AIAB0AGgAZQAgAHAAaQBnAGcAZQByAHkAIABiAG8AdQBuAGQAYQByAHkAIAA6ACAAZgByAGEAYwB0AGkAbwBu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TAHcAaQBuAGUALgBTAG8AdQByAGMAZQBEAGEAdABhAF8AUwB3AGkAbgBlAF8AVgBvAGwAYQB0AGkAbABlAFMAbwBsAGkAZABzAF8AVABpAHQAbABlACIALAAiAFMAbwB1AHIAYwBlAEQAYQB0AGEAXwBTAHcAaQBuAGUALgBTAG8AdQByAGMAZQBEAGEAdABhAF8AUwB3AGkAbgBlAF8AVgBvAGwAYQB0AGkAbABlAFMAbwBsAGkAZABzAF8AVQBuAGkAdAAiACwAIgBTAG8AdQByAGMAZQBEAGEAdABhAF8AUwB3AGkAbgBlAC4AUwBvAHUAcgBjAGUARABhAHQAYQBfAFMAdwBpAG4AZQBfAFYAbwBsAGEAdABpAGwAZQBTAG8AbABpAGQAcwBfAFMAbwB1AHIAYwBlACIALAAiAFMAbwB1AHIAYwBlAEQAYQB0AGEAXwBTAHcAaQBuAGUALgBTAG8AdQByAGMAZQBEAGEAdABhAF8AUwB3AGkAbgBlAF8AVgBvAGwAYQB0AGkAbABlAFMAbwBsAGkAZABzAF8AVgBhAHIAaQBhAHQAaQBvAG4AIgAsACIAUwBvAHUAcgBjAGUARABhAHQAYQBfAFMAdwBpAG4AZQAuAFMAbwB1AHIAYwBlAEQAYQB0AGEAXwBTAHcAaQBuAGUAXwBWAG8AbABhAHQAaQBsAGUAUwBvAGwAaQBkAHMAXwBEAGEAdABhACIALAAiAFMAbwB1AHIAYwBlAEQAYQB0AGEAXwBTAHcAaQBuAGUALgBTAG8AdQByAGMAZQBEAGEAdABhAF8AUwB3AGkAbgBlAF8ARgBlAGUAZABJAG4AdABhAGsAZQBfAFQAaQB0AGwAZQAiACwAIgBTAG8AdQByAGMAZQBEAGEAdABhAF8AUwB3AGkAbgBlAC4AUwBvAHUAcgBjAGUARABhAHQAYQBfAFMAdwBpAG4AZQBfAEYAZQBlAGQASQBuAHQAYQBrAGUAXwBVAG4AaQB0ACIALAAiAFMAbwB1AHIAYwBlAEQAYQB0AGEAXwBTAHcAaQBuAGUALgBTAG8AdQByAGMAZQBEAGEAdABhAF8AUwB3AGkAbgBlAF8ARgBlAGUAZABJAG4AdABhAGsAZQBfAFMAbwB1AHIAYwBlACIALAAiAFMAbwB1AHIAYwBlAEQAYQB0AGEAXwBTAHcAaQBuAGUALgBTAG8AdQByAGMAZQBEAGEAdABhAF8AUwB3AGkAbgBlAF8ARgBlAGUAZABJAG4AdABhAGsAZQBfAFYAYQByAGkAYQB0AGkAbwBuACIALAAiAFMAbwB1AHIAYwBlAEQAYQB0AGEAXwBTAHcAaQBuAGUALgBTAG8AdQByAGMAZQBEAGEAdABhAF8AUwB3AGkAbgBlAF8ARgBlAGUAZABJAG4AdABhAGsAZQBfAEQAYQB0AGEAIgAsACIAUwBvAHUAcgBjAGUARABhAHQAYQBfAFMAdwBpAG4AZQAuAFMAbwB1AHIAYwBlAEQAYQB0AGEAXwBTAHcAaQBuAGUAXwBOAGkAdAByAG8AZwBlAG4ASQBuAFcAYQBzAHQAZQBfAFQAaQB0AGwAZQAiACwAIgBTAG8AdQByAGMAZQBEAGEAdABhAF8AUwB3AGkAbgBlAC4AUwBvAHUAcgBjAGUARABhAHQAYQBfAFMAdwBpAG4AZQBfAE4AaQB0AHIAbwBnAGUAbgBJAG4AVwBhAHMAdABlAF8AVQBuAGkAdAAiACwAIgBTAG8AdQByAGMAZQBEAGEAdABhAF8AUwB3AGkAbgBlAC4AUwBvAHUAcgBjAGUARABhAHQAYQBfAFMAdwBpAG4AZQBfAE4AaQB0AHIAbwBnAGUAbgBJAG4AVwBhAHMAdABlAF8AUwBvAHUAcgBjAGUAIgAsACIAUwBvAHUAcgBjAGUARABhAHQAYQBfAFMAdwBpAG4AZQAuAFMAbwB1AHIAYwBlAEQAYQB0AGEAXwBTAHcAaQBuAGUAXwBOAGkAdAByAG8AZwBlAG4ASQBuAFcAYQBzAHQAZQBfAFYAYQByAGkAYQB0AGkAbwBuACIALAAiAFMAbwB1AHIAYwBlAEQAYQB0AGEAXwBTAHcAaQBuAGUALgBTAG8AdQByAGMAZQBEAGEAdABhAF8AUwB3AGkAbgBlAF8ATgBpAHQAcgBvAGcAZQBuAEkAbgBXAGEAcwB0AGUAXwBEAGEAdABhACIALAAiAFMAbwB1AHIAYwBlAEQAYQB0AGEAXwBTAHcAaQBuAGUALgBTAG8AdQByAGMAZQBEAGEAdABhAF8AUwB3AGkAbgBlAF8ARgByAGEAYwB0AGkAbwBuAE4AVgBvAGwAYQB0AGkAbABpAHMAZQBkAF8AVABpAHQAbABlACIALAAiAFMAbwB1AHIAYwBlAEQAYQB0AGEAXwBTAHcAaQBuAGUALgBTAG8AdQByAGMAZQBEAGEAdABhAF8AUwB3AGkAbgBlAF8ARgByAGEAYwB0AGkAbwBuAE4AVgBvAGwAYQB0AGkAbABpAHMAZQBkAF8AVQBuAGkAdAAiACwAIgBTAG8AdQByAGMAZQBEAGEAdABhAF8AUwB3AGkAbgBlAC4AUwBvAHUAcgBjAGUARABhAHQAYQBfAFMAdwBpAG4AZQBfAEYAcgBhAGMAdABpAG8AbgBOAFYAbwBsAGEAdABpAGwAaQBzAGUAZABfAFMAbwB1AHIAYwBlACIALAAiAFMAbwB1AHIAYwBlAEQAYQB0AGEAXwBTAHcAaQBuAGUALgBTAG8AdQByAGMAZQBEAGEAdABhAF8AUwB3AGkAbgBlAF8ARgByAGEAYwB0AGkAbwBuAE4AVgBvAGwAYQB0AGkAbABpAHMAZQBkAF8AVgBhAHIAaQBhAHQAaQBvAG4AIgAsACIAUwBvAHUAcgBjAGUARABhAHQAYQBfAFMAdwBpAG4AZQAuAFMAbwB1AHIAYwBlAEQAYQB0AGEAXwBTAHcAaQBuAGUAXwBGAHIAYQBjAHQAaQBvAG4ATgBWAG8AbABhAHQAaQBsAGkAcwBlAGQAXwBEAGEAdABhACIALAAiAFMAbwB1AHIAYwBlAEQAYQB0AGEAXwBTAHcAaQBuAGUALgBTAG8AdQByAGMAZQBEAGEAdABhAF8AUwB3AGkAbgBlAF8ATgBpAHQAcgBvAHUAcwBPAHgAaQBkAGUARQBGAHMAXwBUAGkAdABsAGUAIgAsACIAUwBvAHUAcgBjAGUARABhAHQAYQBfAFMAdwBpAG4AZQAuAFMAbwB1AHIAYwBlAEQAYQB0AGEAXwBTAHcAaQBuAGUAXwBOAGkAdAByAG8AdQBzAE8AeABpAGQAZQBFAEYAcwBfAFUAbgBpAHQAIgAsACIAUwBvAHUAcgBjAGUARABhAHQAYQBfAFMAdwBpAG4AZQAuAFMAbwB1AHIAYwBlAEQAYQB0AGEAXwBTAHcAaQBuAGUAXwBOAGkAdAByAG8AdQBzAE8AeABpAGQAZQBFAEYAcwBfAFMAbwB1AHIAYwBlACIALAAiAFMAbwB1AHIAYwBlAEQAYQB0AGEAXwBTAHcAaQBuAGUALgBTAG8AdQByAGMAZQBEAGEAdABhAF8AUwB3AGkAbgBlAF8ATgBpAHQAcgBvAHUAcwBPAHgAaQBkAGUARQBGAHMAXwBWAGEAcgBpAGEAdABpAG8AbgAiACwAIgBTAG8AdQByAGMAZQBEAGEAdABhAF8AUwB3AGkAbgBlAC4AUwBvAHUAcgBjAGUARABhAHQAYQBfAFMAdwBpAG4AZQBfAE4AaQB0AHIAbwB1AHMATwB4AGkAZABlAEUARgBzAF8ARABhAHQAYQAiACwAIgBTAG8AdQByAGMAZQBEAGEAdABhAF8AUwB3AGkAbgBlAC4AUwBvAHUAcgBjAGUARABhAHQAYQBfAFMAdwBpAG4AZQBfAE0AZQB0AGgAYQBuAGUAVgBvAGwAYQB0AGkAbABlAFMAbwBsAGkAZABzAEUAbQBpAHMAcwBpAG8AbgBzAFAAbwB0AGUAbgB0AGkAYQBsAF8AVABpAHQAbABlACIALAAiAFMAbwB1AHIAYwBlAEQAYQB0AGEAXwBTAHcAaQBuAGUALgBTAG8AdQByAGMAZQBEAGEAdABhAF8AUwB3AGkAbgBlAF8ATQBlAHQAaABhAG4AZQBWAG8AbABhAHQAaQBsAGUAUwBvAGwAaQBkAHMARQBtAGkAcwBzAGkAbwBuAHMAUABvAHQAZQBuAHQAaQBhAGwAXwBWAGEAcgBpAGEAYgBsAGUAIgAsACIAUwBvAHUAcgBjAGUARABhAHQAYQBfAFMAdwBpAG4AZQAuAFMAbwB1AHIAYwBlAEQAYQB0AGEAXwBTAHcAaQBuAGUAXwBNAGUAdABoAGEAbgBlAFYAbwBsAGEAdABpAGwAZQBTAG8AbABpAGQAcwBFAG0AaQBzAHMAaQBvAG4AcwBQAG8AdABlAG4AdABpAGEAbABfAFUAbgBpAHQAIgAsACIAUwBvAHUAcgBjAGUARABhAHQAYQBfAFMAdwBpAG4AZQAuAFMAbwB1AHIAYwBlAEQAYQB0AGEAXwBTAHcAaQBuAGUAXwBNAGUAdABoAGEAbgBlAFYAbwBsAGEAdABpAGwAZQBTAG8AbABpAGQAcwBFAG0AaQBzAHMAaQBvAG4AcwBQAG8AdABlAG4AdABpAGEAbABfAFMAbwB1AHIAYwBlACIALAAiAFMAbwB1AHIAYwBlAEQAYQB0AGEAXwBTAHcAaQBuAGUALgBTAG8AdQByAGMAZQBEAGEAdABhAF8AUwB3AGkAbgBlAF8ATQBlAHQAaABhAG4AZQBWAG8AbABhAHQAaQBsAGUAUwBvAGwAaQBkAHMARQBtAGkAcwBzAGkAbwBuAHMAUABvAHQAZQBuAHQAaQBhAGwAXwBWAGEAcgBpAGEAdABpAG8AbgAiACwAIgBTAG8AdQByAGMAZQBEAGEAdABhAF8AUwB3AGkAbgBlAC4AUwBvAHUAcgBjAGUARABhAHQAYQBfAFMAdwBpAG4AZQBfAE0AZQB0AGgAYQBuAGUAVgBvAGwAYQB0AGkAbABlAFMAbwBsAGkAZABzAEUAbQBpAHMAcwBpAG8AbgBzAFAAbwB0AGUAbgB0AGkAYQBsAF8ARABhAHQAYQAiACwAIgBTAG8AdQByAGMAZQBEAGEAdABhAF8AUwB3AGkAbgBlAC4AUwBvAHUAcgBjAGUARABhAHQAYQBfAFMAdwBpAG4AZQBfAE0ATQBTAF8ATQBDAEYAcwBfAFQAaQB0AGwAZQAiACwAIgBTAG8AdQByAGMAZQBEAGEAdABhAF8AUwB3AGkAbgBlAC4AUwBvAHUAcgBjAGUARABhAHQAYQBfAFMAdwBpAG4AZQBfAE0ATQBTAF8ATQBDAEYAcwBfAFUAbgBpAHQAIgAsACIAUwBvAHUAcgBjAGUARABhAHQAYQBfAFMAdwBpAG4AZQAuAFMAbwB1AHIAYwBlAEQAYQB0AGEAXwBTAHcAaQBuAGUAXwBNAE0AUwBfAE0AQwBGAHMAXwBTAG8AdQByAGMAZQAiACwAIgBTAG8AdQByAGMAZQBEAGEAdABhAF8AUwB3AGkAbgBlAC4AUwBvAHUAcgBjAGUARABhAHQAYQBfAFMAdwBpAG4AZQBfAE0ATQBTAF8ATQBDAEYAcwBfAFYAYQByAGkAYQB0AGkAbwBuACIALAAiAFMAbwB1AHIAYwBlAEQAYQB0AGEAXwBTAHcAaQBuAGUALgBTAG8AdQByAGMAZQBEAGEAdABhAF8AUwB3AGkAbgBlAF8ATQBNAFMAXwBNAEMARgBzAF8ARABhAHQAYQAiACwAIgBTAG8AdQByAGMAZQBEAGEAdABhAF8AUwB3AGkAbgBlAC4AUwBvAHUAcgBjAGUARABhAHQAYQBfAFMAdwBpAG4AZQBfAEEAdgBlAHIAYQBnAGUATABpAHYAZQB3AGUAaQBnAGgAdABfAFQAaQB0AGwAZQAiACwAIgBTAG8AdQByAGMAZQBEAGEAdABhAF8AUwB3AGkAbgBlAC4AUwBvAHUAcgBjAGUARABhAHQAYQBfAFMAdwBpAG4AZQBfAEEAdgBlAHIAYQBnAGUATABpAHYAZQB3AGUAaQBnAGgAdABfAFUAbgBpAHQAIgAsACIAUwBvAHUAcgBjAGUARABhAHQAYQBfAFMAdwBpAG4AZQAuAFMAbwB1AHIAYwBlAEQAYQB0AGEAXwBTAHcAaQBuAGUAXwBBAHYAZQByAGEAZwBlAEwAaQB2AGUAdwBlAGkAZwBoAHQAXwBTAG8AdQByAGMAZQAiACwAIgBTAG8AdQByAGMAZQBEAGEAdABhAF8AUwB3AGkAbgBlAC4AUwBvAHUAcgBjAGUARABhAHQAYQBfAFMAdwBpAG4AZQBfAEEAdgBlAHIAYQBnAGUATABpAHYAZQB3AGUAaQBnAGgAdABfAFYAYQByAGkAYQB0AGkAbwBuACIALAAiAFMAbwB1AHIAYwBlAEQAYQB0AGEAXwBTAHcAaQBuAGUALgBTAG8AdQByAGMAZQBEAGEAdABhAF8AUwB3AGkAbgBlAF8AQQB2AGUAcgBhAGcAZQBMAGkAdgBlAHcAZQBpAGcAaAB0AF8ARABhAHQAYQAiACwAIgBTAG8AdQByAGMAZQBEAGEAdABhAF8AUwB3AGkAbgBlAC4AUwBvAHUAcgBjAGUARABhAHQAYQBfAFMAdwBpAG4AZQBfAFAAcgBvAGQAdQBjAHQAaQBvAG4AUwB5AHMAdABlAG0AcwBfAFQAaQB0AGwAZQAiACwAIgBTAG8AdQByAGMAZQBEAGEAdABhAF8AUwB3AGkAbgBlAC4AUwBvAHUAcgBjAGUARABhAHQAYQBfAFMAdwBpAG4AZQBfAFAAcgBvAGQAdQBjAHQAaQBvAG4AUwB5AHMAdABlAG0AcwBfAFUAbgBpAHQAIgAsACIAUwBvAHUAcgBjAGUARABhAHQAYQBfAFMAdwBpAG4AZQAuAFMAbwB1AHIAYwBlAEQAYQB0AGEAXwBTAHcAaQBuAGUAXwBQAHIAbwBkAHUAYwB0AGkAbwBuAFMAeQBzAHQAZQBtAHMAXwBTAG8AdQByAGMAZQAiACwAIgBTAG8AdQByAGMAZQBEAGEAdABhAF8AUwB3AGkAbgBlAC4AUwBvAHUAcgBjAGUARABhAHQAYQBfAFMAdwBpAG4AZQBfAFAAcgBvAGQAdQBjAHQAaQBvAG4AUwB5AHMAdABlAG0AcwBfAFYAYQByAGkAYQB0AGkAbwBuACIALAAiAFMAbwB1AHIAYwBlAEQAYQB0AGEAXwBTAHcAaQBuAGUALgBTAG8AdQByAGMAZQBEAGEAdABhAF8AUwB3AGkAbgBlAF8AUAByAG8AZAB1AGMAdABpAG8AbgBTAHkAcwB0AGUAbQBzAF8ARABhAHQAYQAiACwAIgBTAG8AdQByAGMAZQBEAGEAdABhAF8AUwB3AGkAbgBlAC4AUwBvAHUAcgBjAGUARABhAHQAYQBfAFMAdwBpAG4AZQBfAEYAcgBhAGMATABFAEEAQwBIAF8ARAByAHkAbABvAHQATQBNAFMAXwBUAGkAdABsAGUAIgAsACIAUwBvAHUAcgBjAGUARABhAHQAYQBfAFMAdwBpAG4AZQAuAFMAbwB1AHIAYwBlAEQAYQB0AGEAXwBTAHcAaQBuAGUAXwBGAHIAYQBjAEwARQBBAEMASABfAEQAcgB5AGwAbwB0AE0ATQBTAF8AVgBhAHIAaQBhAGIAbABlACIALAAiAFMAbwB1AHIAYwBlAEQAYQB0AGEAXwBTAHcAaQBuAGUALgBTAG8AdQByAGMAZQBEAGEAdABhAF8AUwB3AGkAbgBlAF8ARgByAGEAYwBMAEUAQQBDAEgAXwBEAHIAeQBsAG8AdABNAE0AUwBfAFUAbgBpAHQAIgAsACIAUwBvAHUAcgBjAGUARABhAHQAYQBfAFMAdwBpAG4AZQAuAFMAbwB1AHIAYwBlAEQAYQB0AGEAXwBTAHcAaQBuAGUAXwBGAHIAYQBjAEwARQBBAEMASABfAEQAcgB5AGwAbwB0AE0ATQBTAF8AUwBvAHUAcgBjAGUAIgAsACIAUwBvAHUAcgBjAGUARABhAHQAYQBfAFMAdwBpAG4AZQAuAFMAbwB1AHIAYwBlAEQAYQB0AGEAXwBTAHcAaQBuAGUAXwBGAHIAYQBjAEwARQBBAEMASABfAEQAcgB5AGwAbwB0AE0ATQBTAF8AVgBhAHIAaQBhAHQAaQBvAG4AIgAsACIAUwBvAHUAcgBjAGUARABhAHQAYQBfAFMAdwBpAG4AZQAuAFMAbwB1AHIAYwBlAEQAYQB0AGEAXwBTAHcAaQBuAGUAXwBGAHIAYQBjAEwARQBBAEMASABfAEQAcgB5AGwAbwB0AE0ATQBTAF8ARABhAHQAYQAiACwAIgBNAE0AUwBfAFMAdwBpAG4AZQBfAE0AZQB0AGgAYQBuAGUAXwBFAHEAdQBhAHQAaQBvAG4AcwAuAFYARQBFAFIARwBfADQAXwA1AF8AMQBfADEAXwBfADEAXwBUAG8AdABhAGwAQQBuAG4AdQBhAGwATQBlAHQAaABhAG4AZQBFAG0AaQBzAHMAaQBvAG4AcwAiACwAIgBNAE0AUwBfAFMAdwBpAG4AZQBfAE0AZQB0AGgAYQBuAGUAXwBFAHEAdQBhAHQAaQBvAG4AcwAuAFYARQBFAFIARwBfADQAXwA1AF8AMQBfADEAXwBfADEAXwBUAG8AdABhAGwAQQBuAG4AdQBhAGwATQBlAHQAaABhAG4AZQBFAG0AaQBzAHMAaQBvAG4AcwBfAFQAaQB0AGwAZQAiACwAIgBNAE0AUwBfAFMAdwBpAG4AZQBfAE0AZQB0AGgAYQBuAGUAXwBFAHEAdQBhAHQAaQBvAG4AcwAuAFYARQBFAFIARwBfADQAXwA1AF8AMQBfADEAXwBfADEAXwBUAG8AdABhAGwAQQBuAG4AdQBhAGwATQBlAHQAaABhAG4AZQBFAG0AaQBzAHMAaQBvAG4AcwBfAFYAYQByAGkAYQBiAGwAZQAiACwAIgBNAE0AUwBfAFMAdwBpAG4AZQBfAE0AZQB0AGgAYQBuAGUAXwBFAHEAdQBhAHQAaQBvAG4AcwAuAFYARQBFAFIARwBfADQAXwA1AF8AMQBfADEAXwBfADEAXwBUAG8AdABhAGwAQQBuAG4AdQBhAGwATQBlAHQAaABhAG4AZQBFAG0AaQBzAHMAaQBvAG4AcwBfAFUAbgBpAHQAIgAsACIATQBNAFMAXwBTAHcAaQBuAGUAXwBNAGUAdABoAGEAbgBlAF8ARQBxAHUAYQB0AGkAbwBuAHMALgBWAEUARQBSAEcAXwA0AF8ANQBfADEAXwAxAF8AXwAxAF8AVABvAHQAYQBsAEEAbgBuAHUAYQBsAE0AZQB0AGgAYQBuAGUARQBtAGkAcwBzAGkAbwBuAHMAXwBTAG8AdQByAGMAZQAiACwAIgBNAE0AUwBfAFMAdwBpAG4AZQBfAE0AZQB0AGgAYQBuAGUAXwBFAHEAdQBhAHQAaQBvAG4AcwAuAFYARQBFAFIARwBfADQAXwA1AF8AMQBfADEAXwBfADEAXwBUAG8AdABhAGwAQQBuAG4AdQBhAGwATQBlAHQAaABhAG4AZQBFAG0AaQBzAHMAaQBvAG4AcwBfAE4ASQBSAFIAZQBmAGUAcgBlAG4AYwBlACIALAAiAE0ATQBTAF8AUwB3AGkAbgBlAF8ATQBlAHQAaABhAG4AZQBfAEUAcQB1AGEAdABpAG8AbgBzAC4AVgBFAEUAUgBHAF8ANABfADUAXwAxAF8AMQBfAF8AMQBfAFQAbwB0AGEAbABBAG4AbgB1AGEAbABNAGUAdABoAGEAbgBlAEUAbQBpAHMAcwBpAG8AbgBzAF8ATABhAHQAZQB4AEUAcQB1AGEAdABpAG8AbgAiACwAIgBNAE0AUwBfAFMAdwBpAG4AZQBfAE0AZQB0AGgAYQBuAGUAXwBFAHEAdQBhAHQAaQBvAG4AcwAuAFYARQBFAFIARwBfADQAXwA1AF8AMQBfADEAXwBfADEAXwBUAG8AdABhAGwAQQBuAG4AdQBhAGwATQBlAHQAaABhAG4AZQBFAG0AaQBzAHMAaQBvAG4AcwBfAEEAcgBnAHUAbQBlAG4AdABzACIALAAiAE0ATQBTAF8AUwB3AGkAbgBlAF8ATQBlAHQAaABhAG4AZQBfAEUAcQB1AGEAdABpAG8AbgBzAC4AVgBFAEUAUgBHAF8ANABfADUAXwAxAF8AMQBfAF8AMgBfAE0AZQB0AGgAYQBuAGUAUAByAG8AZAB1AGMAdABpAG8AbgBQAGUAcgBDAGwAYQBzAHMAIgAsACIATQBNAFMAXwBTAHcAaQBuAGUAXwBNAGUAdABoAGEAbgBlAF8ARQBxAHUAYQB0AGkAbwBuAHMALgBWAEUARQBSAEcAXwA0AF8ANQBfADEAXwAxAF8AXwAyAF8ATQBlAHQAaABhAG4AZQBQAHIAbwBkAHUAYwB0AGkAbwBuAFAAZQByAEMAbABhAHMAcwBWAGEAcgBpAGEAdABpAG8AbgAiACwAIgBNAE0AUwBfAFMAdwBpAG4AZQBfAE0AZQB0AGgAYQBuAGUAXwBFAHEAdQBhAHQAaQBvAG4AcwAuAFYARQBFAFIARwBfADQAXwA1AF8AMQBfADEAXwBfADIAXwBNAGUAdABoAGEAbgBlAFAAcgBvAGQAdQBjAHQAaQBvAG4AUABlAHIAQwBsAGEAcwBzAF8AVABpAHQAbABlACIALAAiAE0ATQBTAF8AUwB3AGkAbgBlAF8ATQBlAHQAaABhAG4AZQBfAEUAcQB1AGEAdABpAG8AbgBzAC4AVgBFAEUAUgBHAF8ANABfADUAXwAxAF8AMQBfAF8AMgBfAE0AZQB0AGgAYQBuAGUAUAByAG8AZAB1AGMAdABpAG8AbgBQAGUAcgBDAGwAYQBzAHMAXwBWAGEAcgBpAGEAYgBsAGUAIgAsACIATQBNAFMAXwBTAHcAaQBuAGUAXwBNAGUAdABoAGEAbgBlAF8ARQBxAHUAYQB0AGkAbwBuAHMALgBWAEUARQBSAEcAXwA0AF8ANQBfADEAXwAxAF8AXwAyAF8ATQBlAHQAaABhAG4AZQBQAHIAbwBkAHUAYwB0AGkAbwBuAFAAZQByAEMAbABhAHMAcwBfAFUAbgBpAHQAIgAsACIATQBNAFMAXwBTAHcAaQBuAGUAXwBNAGUAdABoAGEAbgBlAF8ARQBxAHUAYQB0AGkAbwBuAHMALgBWAEUARQBSAEcAXwA0AF8ANQBfADEAXwAxAF8AXwAyAF8ATQBlAHQAaABhAG4AZQBQAHIAbwBkAHUAYwB0AGkAbwBuAFAAZQByAEMAbABhAHMAcwBfAFMAbwB1AHIAYwBlACIALAAiAE0ATQBTAF8AUwB3AGkAbgBlAF8ATQBlAHQAaABhAG4AZQBfAEUAcQB1AGEAdABpAG8AbgBzAC4AVgBFAEUAUgBHAF8ANABfADUAXwAxAF8AMQBfAF8AMgBfAE0AZQB0AGgAYQBuAGUAUAByAG8AZAB1AGMAdABpAG8AbgBQAGUAcgBDAGwAYQBzAHMAXwBOAEkAUgBSAGUAZgBlAHIAZQBuAGMAZQAiACwAIgBNAE0AUwBfAFMAdwBpAG4AZQBfAE0AZQB0AGgAYQBuAGUAXwBFAHEAdQBhAHQAaQBvAG4AcwAuAFYARQBFAFIARwBfADQAXwA1AF8AMQBfADEAXwBfADIAXwBNAGUAdABoAGEAbgBlAFAAcgBvAGQAdQBjAHQAaQBvAG4AUABlAHIAQwBsAGEAcwBzAF8ATABhAHQAZQB4AEUAcQB1AGEAdABpAG8AbgAiACwAIgBNAE0AUwBfAFMAdwBpAG4AZQBfAE0AZQB0AGgAYQBuAGUAXwBFAHEAdQBhAHQAaQBvAG4AcwAuAFYARQBFAFIARwBfADQAXwA1AF8AMQBfADEAXwBfADIAXwBNAGUAdABoAGEAbgBlAFAAcgBvAGQAdQBjAHQAaQBvAG4AUABlAHIAQwBsAGEAcwBzAF8AQQByAGcAdQBtAGUAbgB0AHMAIgAsACIATQBNAFMAXwBTAHcAaQBuAGUAXwBNAGUAdABoAGEAbgBlAF8ARQBxAHUAYQB0AGkAbwBuAHMALgBWAEUARQBSAEcAXwA0AF8ANQBfADEAXwAxAF8AXwAyAF8ATQBlAHQAaABhAG4AZQBQAHIAbwBkAHUAYwB0AGkAbwBuAFAAZQByAEMAbABhAHMAcwBfAFYAYQByAGkAYQB0AGkAbwBuACIALAAiAE0ATQBTAF8AUwB3AGkAbgBlAF8ATQBlAHQAaABhAG4AZQBfAEUAcQB1AGEAdABpAG8AbgBzAC4AVgBFAEUAUgBHAF8ANABfADUAXwAxAF8AMQBfAF8AMwBfAFMAdABhAGcAZQAxAE0AZQB0AGgAYQBuAGUAUAByAG8AZAB1AGMAdABpAG8AbgAiACwAIgBNAE0AUwBfAFMAdwBpAG4AZQBfAE0AZQB0AGgAYQBuAGUAXwBFAHEAdQBhAHQAaQBvAG4AcwAuAFYARQBFAFIARwBfADQAXwA1AF8AMQBfADEAXwBfADMAXwBTAHQAYQBnAGUAMQBNAGUAdABoAGEAbgBlAFAAcgBvAGQAdQBjAHQAaQBvAG4AXwBUAGkAdABsAGUAIgAsACIATQBNAFMAXwBTAHcAaQBuAGUAXwBNAGUAdABoAGEAbgBlAF8ARQBxAHUAYQB0AGkAbwBuAHMALgBWAEUARQBSAEcAXwA0AF8ANQBfADEAXwAxAF8AXwAzAF8AUwB0AGEAZwBlADEATQBlAHQAaABhAG4AZQBQAHIAbwBkAHUAYwB0AGkAbwBuAF8AVgBhAHIAaQBhAGIAbABlACIALAAiAE0ATQBTAF8AUwB3AGkAbgBlAF8ATQBlAHQAaABhAG4AZQBfAEUAcQB1AGEAdABpAG8AbgBzAC4AVgBFAEUAUgBHAF8ANABfADUAXwAxAF8AMQBfAF8AMwBfAFMAdABhAGcAZQAxAE0AZQB0AGgAYQBuAGUAUAByAG8AZAB1AGMAdABpAG8AbgBfAFUAbgBpAHQAIgAsACIATQBNAFMAXwBTAHcAaQBuAGUAXwBNAGUAdABoAGEAbgBlAF8ARQBxAHUAYQB0AGkAbwBuAHMALgBWAEUARQBSAEcAXwA0AF8ANQBfADEAXwAxAF8AXwAzAF8AUwB0AGEAZwBlADEATQBlAHQAaABhAG4AZQBQAHIAbwBkAHUAYwB0AGkAbwBuAF8AUwBvAHUAcgBjAGUAIgAsACIATQBNAFMAXwBTAHcAaQBuAGUAXwBNAGUAdABoAGEAbgBlAF8ARQBxAHUAYQB0AGkAbwBuAHMALgBWAEUARQBSAEcAXwA0AF8ANQBfADEAXwAxAF8AXwAzAF8AUwB0AGEAZwBlADEATQBlAHQAaABhAG4AZQBQAHIAbwBkAHUAYwB0AGkAbwBuAF8ATgBJAFIAUgBlAGYAZQByAGUAbgBjAGUAIgAsACIATQBNAFMAXwBTAHcAaQBuAGUAXwBNAGUAdABoAGEAbgBlAF8ARQBxAHUAYQB0AGkAbwBuAHMALgBWAEUARQBSAEcAXwA0AF8ANQBfADEAXwAxAF8AXwAzAF8AUwB0AGEAZwBlADEATQBlAHQAaABhAG4AZQBQAHIAbwBkAHUAYwB0AGkAbwBuAF8ATABhAHQAZQB4AEUAcQB1AGEAdABpAG8AbgAiACwAIgBNAE0AUwBfAFMAdwBpAG4AZQBfAE0AZQB0AGgAYQBuAGUAXwBFAHEAdQBhAHQAaQBvAG4AcwAuAFYARQBFAFIARwBfADQAXwA1AF8AMQBfADEAXwBfADMAXwBTAHQAYQBnAGUAMQBNAGUAdABoAGEAbgBlAFAAcgBvAGQAdQBjAHQAaQBvAG4AXwBBAHIAZwB1AG0AZQBuAHQAcwAiACwAIgBNAE0AUwBfAFMAdwBpAG4AZQBfAE0AZQB0AGgAYQBuAGUAXwBFAHEAdQBhAHQAaQBvAG4AcwAuAFYARQBFAFIARwBfADQAXwA1AF8AMQBfADEAXwBfADQAXwBGAHIAYQBjAHQAaQBvAG4AVgBvAGwAYQB0AGkAbABlAFMAbwBsAGkAZABzAFAAcgBpAG0AYQByAHkAUwB5AHMAdABlAG0AIgAsACIATQBNAFMAXwBTAHcAaQBuAGUAXwBNAGUAdABoAGEAbgBlAF8ARQBxAHUAYQB0AGkAbwBuAHMALgBWAEUARQBSAEcAXwA0AF8ANQBfADEAXwAxAF8AXwA0AF8ARgByAGEAYwB0AGkAbwBuAFYAbwBsAGEAdABpAGwAZQBTAG8AbABpAGQAcwBQAHIAaQBtAGEAcgB5AFMAeQBzAHQAZQBtAF8AVABpAHQAbABlACIALAAiAE0ATQBTAF8AUwB3AGkAbgBlAF8ATQBlAHQAaABhAG4AZQBfAEUAcQB1AGEAdABpAG8AbgBzAC4AVgBFAEUAUgBHAF8ANABfADUAXwAxAF8AMQBfAF8ANABfAEYAcgBhAGMAdABpAG8AbgBWAG8AbABhAHQAaQBsAGUAUwBvAGwAaQBkAHMAUAByAGkAbQBhAHIAeQBTAHkAcwB0AGUAbQBfAFYAYQByAGkAYQBiAGwAZQAiACwAIgBNAE0AUwBfAFMAdwBpAG4AZQBfAE0AZQB0AGgAYQBuAGUAXwBFAHEAdQBhAHQAaQBvAG4AcwAuAFYARQBFAFIARwBfADQAXwA1AF8AMQBfADEAXwBfADQAXwBGAHIAYQBjAHQAaQBvAG4AVgBvAGwAYQB0AGkAbABlAFMAbwBsAGkAZABzAFAAcgBpAG0AYQByAHkAUwB5AHMAdABlAG0AXwBVAG4AaQB0ACIALAAiAE0ATQBTAF8AUwB3AGkAbgBlAF8ATQBlAHQAaABhAG4AZQBfAEUAcQB1AGEAdABpAG8AbgBzAC4AVgBFAEUAUgBHAF8ANABfADUAXwAxAF8AMQBfAF8ANABfAEYAcgBhAGMAdABpAG8AbgBWAG8AbABhAHQAaQBsAGUAUwBvAGwAaQBkAHMAUAByAGkAbQBhAHIAeQBTAHkAcwB0AGUAbQBfAFMAbwB1AHIAYwBlACIALAAiAE0ATQBTAF8AUwB3AGkAbgBlAF8ATQBlAHQAaABhAG4AZQBfAEUAcQB1AGEAdABpAG8AbgBzAC4AVgBFAEUAUgBHAF8ANABfADUAXwAxAF8AMQBfAF8ANABfAEYAcgBhAGMAdABpAG8AbgBWAG8AbABhAHQAaQBsAGUAUwBvAGwAaQBkAHMAUAByAGkAbQBhAHIAeQBTAHkAcwB0AGUAbQBfAE4ASQBSAFIAZQBmAGUAcgBlAG4AYwBlACIALAAiAE0ATQBTAF8AUwB3AGkAbgBlAF8ATQBlAHQAaABhAG4AZQBfAEUAcQB1AGEAdABpAG8AbgBzAC4AVgBFAEUAUgBHAF8ANABfADUAXwAxAF8AMQBfAF8ANABfAEYAcgBhAGMAdABpAG8AbgBWAG8AbABhAHQAaQBsAGUAUwBvAGwAaQBkAHMAUAByAGkAbQBhAHIAeQBTAHkAcwB0AGUAbQBfAEwAYQB0AGUAeABFAHEAdQBhAHQAaQBvAG4AIgAsACIATQBNAFMAXwBTAHcAaQBuAGUAXwBNAGUAdABoAGEAbgBlAF8ARQBxAHUAYQB0AGkAbwBuAHMALgBWAEUARQBSAEcAXwA0AF8ANQBfADEAXwAxAF8AXwA0AF8ARgByAGEAYwB0AGkAbwBuAFYAbwBsAGEAdABpAGwAZQBTAG8AbABpAGQAcwBQAHIAaQBtAGEAcgB5AFMAeQBzAHQAZQBtAF8AQQByAGcAdQBtAGUAbgB0AHMAIgAsACIATQBNAFMAXwBTAHcAaQBuAGUAXwBNAGUAdABoAGEAbgBlAF8ARQBxAHUAYQB0AGkAbwBuAHMALgBWAEUARQBSAEcAXwA0AF8ANQBfADEAXwAxAF8AXwA0AF8ARgByAGEAYwB0AGkAbwBuAFYAbwBsAGEAdABpAGwAZQBTAG8AbABpAGQAcwBQAHIAaQBtAGEAcgB5AFMAeQBzAHQAZQBtAF8AVgBhAHIAaQBhAHQAaQBvAG4AIgAsACIATQBNAFMAXwBTAHcAaQBuAGUAXwBNAGUAdABoAGEAbgBlAF8ARQBxAHUAYQB0AGkAbwBuAHMALgBWAEUARQBSAEcAXwA0AF8ANQBfADEAXwAxAF8AXwA1AF8ARgByAGEAYwB0AGkAbwBuAFYAbwBsAGEAdABpAGwAZQBTAG8AbABpAGQAcwBTAG8AbABpAGQAUwB0AG8AcgBhAGcAZQAiACwAIgBNAE0AUwBfAFMAdwBpAG4AZQBfAE0AZQB0AGgAYQBuAGUAXwBFAHEAdQBhAHQAaQBvAG4AcwAuAFYARQBFAFIARwBfADQAXwA1AF8AMQBfADEAXwBfADUAXwBGAHIAYQBjAHQAaQBvAG4AVgBvAGwAYQB0AGkAbABlAFMAbwBsAGkAZABzAFMAbwBsAGkAZABTAHQAbwByAGEAZwBlAFYAYQByAGkAYQB0AGkAbwBuACIALAAiAE0ATQBTAF8AUwB3AGkAbgBlAF8ATQBlAHQAaABhAG4AZQBfAEUAcQB1AGEAdABpAG8AbgBzAC4AVgBFAEUAUgBHAF8ANABfADUAXwAxAF8AMQBfAF8ANQBfAEYAcgBhAGMAdABpAG8AbgBWAG8AbABhAHQAaQBsAGUAUwBvAGwAaQBkAHMAUwBvAGwAaQBkAFMAdABvAHIAYQBnAGUAXwBUAGkAdABsAGUAIgAsACIATQBNAFMAXwBTAHcAaQBuAGUAXwBNAGUAdABoAGEAbgBlAF8ARQBxAHUAYQB0AGkAbwBuAHMALgBWAEUARQBSAEcAXwA0AF8ANQBfADEAXwAxAF8AXwA1AF8ARgByAGEAYwB0AGkAbwBuAFYAbwBsAGEAdABpAGwAZQBTAG8AbABpAGQAcwBTAG8AbABpAGQAUwB0AG8AcgBhAGcAZQBfAFYAYQByAGkAYQBiAGwAZQAiACwAIgBNAE0AUwBfAFMAdwBpAG4AZQBfAE0AZQB0AGgAYQBuAGUAXwBFAHEAdQBhAHQAaQBvAG4AcwAuAFYARQBFAFIARwBfADQAXwA1AF8AMQBfADEAXwBfADUAXwBGAHIAYQBjAHQAaQBvAG4AVgBvAGwAYQB0AGkAbABlAFMAbwBsAGkAZABzAFMAbwBsAGkAZABTAHQAbwByAGEAZwBlAF8AVQBuAGkAdAAiACwAIgBNAE0AUwBfAFMAdwBpAG4AZQBfAE0AZQB0AGgAYQBuAGUAXwBFAHEAdQBhAHQAaQBvAG4AcwAuAFYARQBFAFIARwBfADQAXwA1AF8AMQBfADEAXwBfADUAXwBGAHIAYQBjAHQAaQBvAG4AVgBvAGwAYQB0AGkAbABlAFMAbwBsAGkAZABzAFMAbwBsAGkAZABTAHQAbwByAGEAZwBlAF8AUwBvAHUAcgBjAGUAIgAsACIATQBNAFMAXwBTAHcAaQBuAGUAXwBNAGUAdABoAGEAbgBlAF8ARQBxAHUAYQB0AGkAbwBuAHMALgBWAEUARQBSAEcAXwA0AF8ANQBfADEAXwAxAF8AXwA1AF8ARgByAGEAYwB0AGkAbwBuAFYAbwBsAGEAdABpAGwAZQBTAG8AbABpAGQAcwBTAG8AbABpAGQAUwB0AG8AcgBhAGcAZQBfAE4ASQBSAFIAZQBmAGUAcgBlAG4AYwBlACIALAAiAE0ATQBTAF8AUwB3AGkAbgBlAF8ATQBlAHQAaABhAG4AZQBfAEUAcQB1AGEAdABpAG8AbgBzAC4AVgBFAEUAUgBHAF8ANABfADUAXwAxAF8AMQBfAF8ANQBfAEYAcgBhAGMAdABpAG8AbgBWAG8AbABhAHQAaQBsAGUAUwBvAGwAaQBkAHMAUwBvAGwAaQBkAFMAdABvAHIAYQBnAGUAXwBMAGEAdABlAHgARQBxAHUAYQB0AGkAbwBuACIALAAiAE0ATQBTAF8AUwB3AGkAbgBlAF8ATQBlAHQAaABhAG4AZQBfAEUAcQB1AGEAdABpAG8AbgBzAC4AVgBFAEUAUgBHAF8ANABfADUAXwAxAF8AMQBfAF8ANQBfAEYAcgBhAGMAdABpAG8AbgBWAG8AbABhAHQAaQBsAGUAUwBvAGwAaQBkAHMAUwBvAGwAaQBkAFMAdABvAHIAYQBnAGUAXwBMAGEAdABlAHgARQBxAHUAYQB0AGkAbwBuAFYAYQByAGkAYQB0AGkAbwBuACIALAAiAE0ATQBTAF8AUwB3AGkAbgBlAF8ATQBlAHQAaABhAG4AZQBfAEUAcQB1AGEAdABpAG8AbgBzAC4AVgBFAEUAUgBHAF8ANABfADUAXwAxAF8AMQBfAF8ANQBfAEYAcgBhAGMAdABpAG8AbgBWAG8AbABhAHQAaQBsAGUAUwBvAGwAaQBkAHMAUwBvAGwAaQBkAFMAdABvAHIAYQBnAGUAXwBBAHIAZwB1AG0AZQBuAHQAcwAiACwAIgBNAE0AUwBfAFMAdwBpAG4AZQBfAE0AZQB0AGgAYQBuAGUAXwBFAHEAdQBhAHQAaQBvAG4AcwAuAFYARQBFAFIARwBfADQAXwA1AF8AMQBfADEAXwBfADUAXwBGAHIAYQBjAHQAaQBvAG4AVgBvAGwAYQB0AGkAbABlAFMAbwBsAGkAZABzAFMAbwBsAGkAZABTAHQAbwByAGEAZwBlAF8AVgBhAHIAaQBhAHQAaQBvAG4AIgAsACIATQBNAFMAXwBTAHcAaQBuAGUAXwBNAGUAdABoAGEAbgBlAF8ARQBxAHUAYQB0AGkAbwBuAHMALgBWAEUARQBSAEcAXwA0AF8ANQBfADEAXwAxAF8AXwA2AF8AUwB0AGEAZwBlADIATQBlAHQAaABhAG4AZQBQAHIAbwBkAHUAYwB0AGkAbwBuACIALAAiAE0ATQBTAF8AUwB3AGkAbgBlAF8ATQBlAHQAaABhAG4AZQBfAEUAcQB1AGEAdABpAG8AbgBzAC4AVgBFAEUAUgBHAF8ANABfADUAXwAxAF8AMQBfAF8ANgBfAFMAdABhAGcAZQAyAE0AZQB0AGgAYQBuAGUAUAByAG8AZAB1AGMAdABpAG8AbgBfAFQAaQB0AGwAZQAiACwAIgBNAE0AUwBfAFMAdwBpAG4AZQBfAE0AZQB0AGgAYQBuAGUAXwBFAHEAdQBhAHQAaQBvAG4AcwAuAFYARQBFAFIARwBfADQAXwA1AF8AMQBfADEAXwBfADYAXwBTAHQAYQBnAGUAMgBNAGUAdABoAGEAbgBlAFAAcgBvAGQAdQBjAHQAaQBvAG4AXwBWAGEAcgBpAGEAYgBsAGUAIgAsACIATQBNAFMAXwBTAHcAaQBuAGUAXwBNAGUAdABoAGEAbgBlAF8ARQBxAHUAYQB0AGkAbwBuAHMALgBWAEUARQBSAEcAXwA0AF8ANQBfADEAXwAxAF8AXwA2AF8AUwB0AGEAZwBlADIATQBlAHQAaABhAG4AZQBQAHIAbwBkAHUAYwB0AGkAbwBuAF8AVQBuAGkAdAAiACwAIgBNAE0AUwBfAFMAdwBpAG4AZQBfAE0AZQB0AGgAYQBuAGUAXwBFAHEAdQBhAHQAaQBvAG4AcwAuAFYARQBFAFIARwBfADQAXwA1AF8AMQBfADEAXwBfADYAXwBTAHQAYQBnAGUAMgBNAGUAdABoAGEAbgBlAFAAcgBvAGQAdQBjAHQAaQBvAG4AXwBTAG8AdQByAGMAZQAiACwAIgBNAE0AUwBfAFMAdwBpAG4AZQBfAE0AZQB0AGgAYQBuAGUAXwBFAHEAdQBhAHQAaQBvAG4AcwAuAFYARQBFAFIARwBfADQAXwA1AF8AMQBfADEAXwBfADYAXwBTAHQAYQBnAGUAMgBNAGUAdABoAGEAbgBlAFAAcgBvAGQAdQBjAHQAaQBvAG4AXwBOAEkAUgBSAGUAZgBlAHIAZQBuAGMAZQAiACwAIgBNAE0AUwBfAFMAdwBpAG4AZQBfAE0AZQB0AGgAYQBuAGUAXwBFAHEAdQBhAHQAaQBvAG4AcwAuAFYARQBFAFIARwBfADQAXwA1AF8AMQBfADEAXwBfADYAXwBTAHQAYQBnAGUAMgBNAGUAdABoAGEAbgBlAFAAcgBvAGQAdQBjAHQAaQBvAG4AXwBMAGEAdABlAHgARQBxAHUAYQB0AGkAbwBuACIALAAiAE0ATQBTAF8AUwB3AGkAbgBlAF8ATQBlAHQAaABhAG4AZQBfAEUAcQB1AGEAdABpAG8AbgBzAC4AVgBFAEUAUgBHAF8ANABfADUAXwAxAF8AMQBfAF8ANgBfAFMAdABhAGcAZQAyAE0AZQB0AGgAYQBuAGUAUAByAG8AZAB1AGMAdABpAG8AbgBfAEEAcgBnAHUAbQBlAG4AdABzACIALAAiAE0ATQBTAF8AUwB3AGkAbgBlAF8ATQBlAHQAaABhAG4AZQBfAEUAcQB1AGEAdABpAG8AbgBzAC4AVgBFAEUAUgBHAF8ANABfADUAXwAxAF8AMQBfAF8ANwBfAFYAbwBsAGEAdABpAGwAZQBTAG8AbABpAGQAcwBUAHIAYQBuAHMAZgBlAHIAcgBlAGQAUwB0AGEAZwBlADIAIgAsACIATQBNAFMAXwBTAHcAaQBuAGUAXwBNAGUAdABoAGEAbgBlAF8ARQBxAHUAYQB0AGkAbwBuAHMALgBWAEUARQBSAEcAXwA0AF8ANQBfADEAXwAxAF8AXwA3AF8AVgBvAGwAYQB0AGkAbABlAFMAbwBsAGkAZABzAFQAcgBhAG4AcwBmAGUAcgByAGUAZABTAHQAYQBnAGUAMgBfAFQAaQB0AGwAZQAiACwAIgBNAE0AUwBfAFMAdwBpAG4AZQBfAE0AZQB0AGgAYQBuAGUAXwBFAHEAdQBhAHQAaQBvAG4AcwAuAFYARQBFAFIARwBfADQAXwA1AF8AMQBfADEAXwBfADcAXwBWAG8AbABhAHQAaQBsAGUAUwBvAGwAaQBkAHMAVAByAGEAbgBzAGYAZQByAHIAZQBkAFMAdABhAGcAZQAyAF8AVgBhAHIAaQBhAGIAbABlACIALAAiAE0ATQBTAF8AUwB3AGkAbgBlAF8ATQBlAHQAaABhAG4AZQBfAEUAcQB1AGEAdABpAG8AbgBzAC4AVgBFAEUAUgBHAF8ANABfADUAXwAxAF8AMQBfAF8ANwBfAFYAbwBsAGEAdABpAGwAZQBTAG8AbABpAGQAcwBUAHIAYQBuAHMAZgBlAHIAcgBlAGQAUwB0AGEAZwBlADIAXwBVAG4AaQB0ACIALAAiAE0ATQBTAF8AUwB3AGkAbgBlAF8ATQBlAHQAaABhAG4AZQBfAEUAcQB1AGEAdABpAG8AbgBzAC4AVgBFAEUAUgBHAF8ANABfADUAXwAxAF8AMQBfAF8ANwBfAFYAbwBsAGEAdABpAGwAZQBTAG8AbABpAGQAcwBUAHIAYQBuAHMAZgBlAHIAcgBlAGQAUwB0AGEAZwBlADIAXwBTAG8AdQByAGMAZQAiACwAIgBNAE0AUwBfAFMAdwBpAG4AZQBfAE0AZQB0AGgAYQBuAGUAXwBFAHEAdQBhAHQAaQBvAG4AcwAuAFYARQBFAFIARwBfADQAXwA1AF8AMQBfADEAXwBfADcAXwBWAG8AbABhAHQAaQBsAGUAUwBvAGwAaQBkAHMAVAByAGEAbgBzAGYAZQByAHIAZQBkAFMAdABhAGcAZQAyAF8ATgBJAFIAUgBlAGYAZQByAGUAbgBjAGUAIgAsACIATQBNAFMAXwBTAHcAaQBuAGUAXwBNAGUAdABoAGEAbgBlAF8ARQBxAHUAYQB0AGkAbwBuAHMALgBWAEUARQBSAEcAXwA0AF8ANQBfADEAXwAxAF8AXwA3AF8AVgBvAGwAYQB0AGkAbABlAFMAbwBsAGkAZABzAFQAcgBhAG4AcwBmAGUAcgByAGUAZABTAHQAYQBnAGUAMgBfAEwAYQB0AGUAeABFAHEAdQBhAHQAaQBvAG4AIgAsACIATQBNAFMAXwBTAHcAaQBuAGUAXwBNAGUAdABoAGEAbgBlAF8ARQBxAHUAYQB0AGkAbwBuAHMALgBWAEUARQBSAEcAXwA0AF8ANQBfADEAXwAxAF8AXwA3AF8AVgBvAGwAYQB0AGkAbABlAFMAbwBsAGkAZABzAFQAcgBhAG4AcwBmAGUAcgByAGUAZABTAHQAYQBnAGUAMgBfAEEAcgBnAHUAbQBlAG4AdABzACIALAAiAE0ATQBTAF8AUwB3AGkAbgBlAF8ATgAyAE8ARABpAHIAZQBjAHQAXwBFAHEAdQBhAHQAaQBvAG4AcwAuAFYARQBFAFIARwBfADQAXwA1AF8AMQBfADMAXwBfADEAXwBUAG8AdABhAGwAQQBuAG4AdQBhAGwARABpAHIAZQBjAHQATgBpAHQAcgBvAHUAcwBPAHgAaQBkAGUARQBtAGkAcwBzAGkAbwBuAHMARgByAG8AbQBNAE0AUwAiACwAIgBNAE0AUwBfAFMAdwBpAG4AZQBfAE4AMgBPAEQAaQByAGUAYwB0AF8ARQBxAHUAYQB0AGkAbwBuAHMALgBWAEUARQBSAEcAXwA0AF8ANQBfADEAXwAzAF8AXwAxAF8AVABvAHQAYQBsAEEAbgBuAHUAYQBsAEQAaQByAGUAYwB0AE4AaQB0AHIAbwB1AHMATwB4AGkAZABlAEUAbQBpAHMAcwBpAG8AbgBzAEYAcgBvAG0ATQBNAFMAXwBUAGkAdABsAGUAIgAsACIATQBNAFMAXwBTAHcAaQBuAGUAXwBOADIATwBEAGkAcgBlAGMAdABfAEUAcQB1AGEAdABpAG8AbgBzAC4AVgBFAEUAUgBHAF8ANABfADUAXwAxAF8AMwBfAF8AMQBfAFQAbwB0AGEAbABBAG4AbgB1AGEAbABEAGkAcgBlAGMAdABOAGkAdAByAG8AdQBzAE8AeABpAGQAZQBFAG0AaQBzAHMAaQBvAG4AcwBGAHIAbwBtAE0ATQBTAF8AVgBhAHIAaQBhAGIAbABlACIALAAiAE0ATQBTAF8AUwB3AGkAbgBlAF8ATgAyAE8ARABpAHIAZQBjAHQAXwBFAHEAdQBhAHQAaQBvAG4AcwAuAFYARQBFAFIARwBfADQAXwA1AF8AMQBfADMAXwBfADEAXwBUAG8AdABhAGwAQQBuAG4AdQBhAGwARABpAHIAZQBjAHQATgBpAHQAcgBvAHUAcwBPAHgAaQBkAGUARQBtAGkAcwBzAGkAbwBuAHMARgByAG8AbQBNAE0AUwBfAFUAbgBpAHQAIgAsACIATQBNAFMAXwBTAHcAaQBuAGUAXwBOADIATwBEAGkAcgBlAGMAdABfAEUAcQB1AGEAdABpAG8AbgBzAC4AVgBFAEUAUgBHAF8ANABfADUAXwAxAF8AMwBfAF8AMQBfAFQAbwB0AGEAbABBAG4AbgB1AGEAbABEAGkAcgBlAGMAdABOAGkAdAByAG8AdQBzAE8AeABpAGQAZQBFAG0AaQBzAHMAaQBvAG4AcwBGAHIAbwBtAE0ATQBTAF8AUwBvAHUAcgBjAGUAIgAsACIATQBNAFMAXwBTAHcAaQBuAGUAXwBOADIATwBEAGkAcgBlAGMAdABfAEUAcQB1AGEAdABpAG8AbgBzAC4AVgBFAEUAUgBHAF8ANABfADUAXwAxAF8AMwBfAF8AMQBfAFQAbwB0AGEAbABBAG4AbgB1AGEAbABEAGkAcgBlAGMAdABOAGkAdAByAG8AdQBzAE8AeABpAGQAZQBFAG0AaQBzAHMAaQBvAG4AcwBGAHIAbwBtAE0ATQBTAF8ATgBJAFIAUgBlAGYAZQByAGUAbgBjAGUAIgAsACIATQBNAFMAXwBTAHcAaQBuAGUAXwBOADIATwBEAGkAcgBlAGMAdABfAEUAcQB1AGEAdABpAG8AbgBzAC4AVgBFAEUAUgBHAF8ANABfADUAXwAxAF8AMwBfAF8AMQBfAFQAbwB0AGEAbABBAG4AbgB1AGEAbABEAGkAcgBlAGMAdABOAGkAdAByAG8AdQBzAE8AeABpAGQAZQBFAG0AaQBzAHMAaQBvAG4AcwBGAHIAbwBtAE0ATQBTAF8ATABhAHQAZQB4AEUAcQB1AGEAdABpAG8AbgAiACwAIgBNAE0AUwBfAFMAdwBpAG4AZQBfAE4AMgBPAEQAaQByAGUAYwB0AF8ARQBxAHUAYQB0AGkAbwBuAHMALgBWAEUARQBSAEcAXwA0AF8ANQBfADEAXwAzAF8AXwAxAF8AVABvAHQAYQBsAEEAbgBuAHUAYQBsAEQAaQByAGUAYwB0AE4AaQB0AHIAbwB1AHMATwB4AGkAZABlAEUAbQBpAHMAcwBpAG8AbgBzAEYAcgBvAG0ATQBNAFMAXwBBAHIAZwB1AG0AZQBuAHQAcwAiACwAIgBNAE0AUwBfAFMAdwBpAG4AZQBfAE4AMgBPAEQAaQByAGUAYwB0AF8ARQBxAHUAYQB0AGkAbwBuAHMALgBWAEUARQBSAEcAXwA0AF8ANQBfADEAXwAzAF8AXwAyAF8AUwB0AGEAZwBlADEATgBpAHQAcgBvAGcAZQBuAEkAbgBNAE0AUwAiACwAIgBNAE0AUwBfAFMAdwBpAG4AZQBfAE4AMgBPAEQAaQByAGUAYwB0AF8ARQBxAHUAYQB0AGkAbwBuAHMALgBWAEUARQBSAEcAXwA0AF8ANQBfADEAXwAzAF8AXwAyAF8AUwB0AGEAZwBlADEATgBpAHQAcgBvAGcAZQBuAEkAbgBNAE0AUwBfAFQAaQB0AGwAZQAiACwAIgBNAE0AUwBfAFMAdwBpAG4AZQBfAE4AMgBPAEQAaQByAGUAYwB0AF8ARQBxAHUAYQB0AGkAbwBuAHMALgBWAEUARQBSAEcAXwA0AF8ANQBfADEAXwAzAF8AXwAyAF8AUwB0AGEAZwBlADEATgBpAHQAcgBvAGcAZQBuAEkAbgBNAE0AUwBfAFYAYQByAGkAYQBiAGwAZQAiACwAIgBNAE0AUwBfAFMAdwBpAG4AZQBfAE4AMgBPAEQAaQByAGUAYwB0AF8ARQBxAHUAYQB0AGkAbwBuAHMALgBWAEUARQBSAEcAXwA0AF8ANQBfADEAXwAzAF8AXwAyAF8AUwB0AGEAZwBlADEATgBpAHQAcgBvAGcAZQBuAEkAbgBNAE0AUwBfAFUAbgBpAHQAIgAsACIATQBNAFMAXwBTAHcAaQBuAGUAXwBOADIATwBEAGkAcgBlAGMAdABfAEUAcQB1AGEAdABpAG8AbgBzAC4AVgBFAEUAUgBHAF8ANABfADUAXwAxAF8AMwBfAF8AMgBfAFMAdABhAGcAZQAxAE4AaQB0AHIAbwBnAGUAbgBJAG4ATQBNAFMAXwBTAG8AdQByAGMAZQAiACwAIgBNAE0AUwBfAFMAdwBpAG4AZQBfAE4AMgBPAEQAaQByAGUAYwB0AF8ARQBxAHUAYQB0AGkAbwBuAHMALgBWAEUARQBSAEcAXwA0AF8ANQBfADEAXwAzAF8AXwAyAF8AUwB0AGEAZwBlADEATgBpAHQAcgBvAGcAZQBuAEkAbgBNAE0AUwBfAE4ASQBSAFIAZQBmAGUAcgBlAG4AYwBlACIALAAiAE0ATQBTAF8AUwB3AGkAbgBlAF8ATgAyAE8ARABpAHIAZQBjAHQAXwBFAHEAdQBhAHQAaQBvAG4AcwAuAFYARQBFAFIARwBfADQAXwA1AF8AMQBfADMAXwBfADIAXwBTAHQAYQBnAGUAMQBOAGkAdAByAG8AZwBlAG4ASQBuAE0ATQBTAF8ATABhAHQAZQB4AEUAcQB1AGEAdABpAG8AbgAiACwAIgBNAE0AUwBfAFMAdwBpAG4AZQBfAE4AMgBPAEQAaQByAGUAYwB0AF8ARQBxAHUAYQB0AGkAbwBuAHMALgBWAEUARQBSAEcAXwA0AF8ANQBfADEAXwAzAF8AXwAyAF8AUwB0AGEAZwBlADEATgBpAHQAcgBvAGcAZQBuAEkAbgBNAE0AUwBfAEEAcgBnAHUAbQBlAG4AdABzACIALAAiAE0ATQBTAF8AUwB3AGkAbgBlAF8ATgAyAE8ARABpAHIAZQBjAHQAXwBFAHEAdQBhAHQAaQBvAG4AcwAuAFYARQBFAFIARwBfADQAXwA1AF8AMQBfADMAXwBfADMAXwBGAHIAYQBjAHQAaQBvAG4ATwBmAE4AaQB0AHIAbwBnAGUAbgBJAG4AUAByAGkAbQBhAHIAeQBNAE0AUwAiACwAIgBNAE0AUwBfAFMAdwBpAG4AZQBfAE4AMgBPAEQAaQByAGUAYwB0AF8ARQBxAHUAYQB0AGkAbwBuAHMALgBWAEUARQBSAEcAXwA0AF8ANQBfADEAXwAzAF8AXwAzAF8ARgByAGEAYwB0AGkAbwBuAE8AZgBOAGkAdAByAG8AZwBlAG4ASQBuAFAAcgBpAG0AYQByAHkATQBNAFMAXwBUAGkAdABsAGUAIgAsACIATQBNAFMAXwBTAHcAaQBuAGUAXwBOADIATwBEAGkAcgBlAGMAdABfAEUAcQB1AGEAdABpAG8AbgBzAC4AVgBFAEUAUgBHAF8ANABfADUAXwAxAF8AMwBfAF8AMwBfAEYAcgBhAGMAdABpAG8AbgBPAGYATgBpAHQAcgBvAGcAZQBuAEkAbgBQAHIAaQBtAGEAcgB5AE0ATQBTAF8AVgBhAHIAaQBhAGIAbABlACIALAAiAE0ATQBTAF8AUwB3AGkAbgBlAF8ATgAyAE8ARABpAHIAZQBjAHQAXwBFAHEAdQBhAHQAaQBvAG4AcwAuAFYARQBFAFIARwBfADQAXwA1AF8AMQBfADMAXwBfADMAXwBGAHIAYQBjAHQAaQBvAG4ATwBmAE4AaQB0AHIAbwBnAGUAbgBJAG4AUAByAGkAbQBhAHIAeQBNAE0AUwBfAFUAbgBpAHQAIgAsACIATQBNAFMAXwBTAHcAaQBuAGUAXwBOADIATwBEAGkAcgBlAGMAdABfAEUAcQB1AGEAdABpAG8AbgBzAC4AVgBFAEUAUgBHAF8ANABfADUAXwAxAF8AMwBfAF8AMwBfAEYAcgBhAGMAdABpAG8AbgBPAGYATgBpAHQAcgBvAGcAZQBuAEkAbgBQAHIAaQBtAGEAcgB5AE0ATQBTAF8AUwBvAHUAcgBjAGUAIgAsACIATQBNAFMAXwBTAHcAaQBuAGUAXwBOADIATwBEAGkAcgBlAGMAdABfAEUAcQB1AGEAdABpAG8AbgBzAC4AVgBFAEUAUgBHAF8ANABfADUAXwAxAF8AMwBfAF8AMwBfAEYAcgBhAGMAdABpAG8AbgBPAGYATgBpAHQAcgBvAGcAZQBuAEkAbgBQAHIAaQBtAGEAcgB5AE0ATQBTAF8ATgBJAFIAUgBlAGYAZQByAGUAbgBjAGUAIgAsACIATQBNAFMAXwBTAHcAaQBuAGUAXwBOADIATwBEAGkAcgBlAGMAdABfAEUAcQB1AGEAdABpAG8AbgBzAC4AVgBFAEUAUgBHAF8ANABfADUAXwAxAF8AMwBfAF8AMwBfAEYAcgBhAGMAdABpAG8AbgBPAGYATgBpAHQAcgBvAGcAZQBuAEkAbgBQAHIAaQBtAGEAcgB5AE0ATQBTAF8ATABhAHQAZQB4AEUAcQB1AGEAdABpAG8AbgAiACwAIgBNAE0AUwBfAFMAdwBpAG4AZQBfAE4AMgBPAEQAaQByAGUAYwB0AF8ARQBxAHUAYQB0AGkAbwBuAHMALgBWAEUARQBSAEcAXwA0AF8ANQBfADEAXwAzAF8AXwAzAF8ARgByAGEAYwB0AGkAbwBuAE8AZgBOAGkAdAByAG8AZwBlAG4ASQBuAFAAcgBpAG0AYQByAHkATQBNAFMAXwBBAHIAZwB1AG0AZQBuAHQAcwAiACwAIgBNAE0AUwBfAFMAdwBpAG4AZQBfAE4AMgBPAEQAaQByAGUAYwB0AF8ARQBxAHUAYQB0AGkAbwBuAHMALgBWAEUARQBSAEcAXwA0AF8ANQBfADEAXwAzAF8AXwA0AF8ARgByAGEAYwB0AGkAbwBuAE8AZgBOAGkAdAByAG8AZwBlAG4ASQBuAFMAbwBsAGkAZABTAHQAbwByAGEAZwBlACIALAAiAE0ATQBTAF8AUwB3AGkAbgBlAF8ATgAyAE8ARABpAHIAZQBjAHQAXwBFAHEAdQBhAHQAaQBvAG4AcwAuAFYARQBFAFIARwBfADQAXwA1AF8AMQBfADMAXwBfADQAXwBGAHIAYQBjAHQAaQBvAG4ATwBmAE4AaQB0AHIAbwBnAGUAbgBJAG4AUwBvAGwAaQBkAFMAdABvAHIAYQBnAGUAVgBhAHIAaQBhAHQAaQBvAG4AIgAsACIATQBNAFMAXwBTAHcAaQBuAGUAXwBOADIATwBEAGkAcgBlAGMAdABfAEUAcQB1AGEAdABpAG8AbgBzAC4AVgBFAEUAUgBHAF8ANABfADUAXwAxAF8AMwBfAF8ANABfAEYAcgBhAGMAdABpAG8AbgBPAGYATgBpAHQAcgBvAGcAZQBuAEkAbgBTAG8AbABpAGQAUwB0AG8AcgBhAGcAZQBfAFQAaQB0AGwAZQAiACwAIgBNAE0AUwBfAFMAdwBpAG4AZQBfAE4AMgBPAEQAaQByAGUAYwB0AF8ARQBxAHUAYQB0AGkAbwBuAHMALgBWAEUARQBSAEcAXwA0AF8ANQBfADEAXwAzAF8AXwA0AF8ARgByAGEAYwB0AGkAbwBuAE8AZgBOAGkAdAByAG8AZwBlAG4ASQBuAFMAbwBsAGkAZABTAHQAbwByAGEAZwBlAF8AVgBhAHIAaQBhAGIAbABlACIALAAiAE0ATQBTAF8AUwB3AGkAbgBlAF8ATgAyAE8ARABpAHIAZQBjAHQAXwBFAHEAdQBhAHQAaQBvAG4AcwAuAFYARQBFAFIARwBfADQAXwA1AF8AMQBfADMAXwBfADQAXwBGAHIAYQBjAHQAaQBvAG4ATwBmAE4AaQB0AHIAbwBnAGUAbgBJAG4AUwBvAGwAaQBkAFMAdABvAHIAYQBnAGUAXwBVAG4AaQB0ACIALAAiAE0ATQBTAF8AUwB3AGkAbgBlAF8ATgAyAE8ARABpAHIAZQBjAHQAXwBFAHEAdQBhAHQAaQBvAG4AcwAuAFYARQBFAFIARwBfADQAXwA1AF8AMQBfADMAXwBfADQAXwBGAHIAYQBjAHQAaQBvAG4ATwBmAE4AaQB0AHIAbwBnAGUAbgBJAG4AUwBvAGwAaQBkAFMAdABvAHIAYQBnAGUAXwBTAG8AdQByAGMAZQAiACwAIgBNAE0AUwBfAFMAdwBpAG4AZQBfAE4AMgBPAEQAaQByAGUAYwB0AF8ARQBxAHUAYQB0AGkAbwBuAHMALgBWAEUARQBSAEcAXwA0AF8ANQBfADEAXwAzAF8AXwA0AF8ARgByAGEAYwB0AGkAbwBuAE8AZgBOAGkAdAByAG8AZwBlAG4ASQBuAFMAbwBsAGkAZABTAHQAbwByAGEAZwBlAF8ATgBJAFIAUgBlAGYAZQByAGUAbgBjAGUAIgAsACIATQBNAFMAXwBTAHcAaQBuAGUAXwBOADIATwBEAGkAcgBlAGMAdABfAEUAcQB1AGEAdABpAG8AbgBzAC4AVgBFAEUAUgBHAF8ANABfADUAXwAxAF8AMwBfAF8ANABfAEYAcgBhAGMAdABpAG8AbgBPAGYATgBpAHQAcgBvAGcAZQBuAEkAbgBTAG8AbABpAGQAUwB0AG8AcgBhAGcAZQBfAEwAYQB0AGUAeABFAHEAdQBhAHQAaQBvAG4AIgAsACIATQBNAFMAXwBTAHcAaQBuAGUAXwBOADIATwBEAGkAcgBlAGMAdABfAEUAcQB1AGEAdABpAG8AbgBzAC4AVgBFAEUAUgBHAF8ANABfADUAXwAxAF8AMwBfAF8ANABfAEYAcgBhAGMAdABpAG8AbgBPAGYATgBpAHQAcgBvAGcAZQBuAEkAbgBTAG8AbABpAGQAUwB0AG8AcgBhAGcAZQBfAEwAYQB0AGUAeABFAHEAdQBhAHQAaQBvAG4AVgBhAHIAaQBhAHQAaQBvAG4AIgAsACIATQBNAFMAXwBTAHcAaQBuAGUAXwBOADIATwBEAGkAcgBlAGMAdABfAEUAcQB1AGEAdABpAG8AbgBzAC4AVgBFAEUAUgBHAF8ANABfADUAXwAxAF8AMwBfAF8ANABfAEYAcgBhAGMAdABpAG8AbgBPAGYATgBpAHQAcgBvAGcAZQBuAEkAbgBTAG8AbABpAGQAUwB0AG8AcgBhAGcAZQBfAEEAcgBnAHUAbQBlAG4AdABzACIALAAiAE0ATQBTAF8AUwB3AGkAbgBlAF8ATgAyAE8ARABpAHIAZQBjAHQAXwBFAHEAdQBhAHQAaQBvAG4AcwAuAFYARQBFAFIARwBfADQAXwA1AF8AMQBfADMAXwBfADQAXwBGAHIAYQBjAHQAaQBvAG4ATwBmAE4AaQB0AHIAbwBnAGUAbgBJAG4AUwBvAGwAaQBkAFMAdABvAHIAYQBnAGUAXwBWAGEAcgBpAGEAdABpAG8AbgAiACwAIgBNAE0AUwBfAFMAdwBpAG4AZQBfAE4AMgBPAEQAaQByAGUAYwB0AF8ARQBxAHUAYQB0AGkAbwBuAHMALgBWAEUARQBSAEcAXwA0AF8ANQBfADEAXwAzAF8AXwA1AF8AQQBuAG4AdQBhAGwATgBpAHQAcgBvAGcAZQBuAEUAeABjAHIAZQB0AGkAbwBuACIALAAiAE0ATQBTAF8AUwB3AGkAbgBlAF8ATgAyAE8ARABpAHIAZQBjAHQAXwBFAHEAdQBhAHQAaQBvAG4AcwAuAFYARQBFAFIARwBfADQAXwA1AF8AMQBfADMAXwBfADUAXwBBAG4AbgB1AGEAbABOAGkAdAByAG8AZwBlAG4ARQB4AGMAcgBlAHQAaQBvAG4AXwBUAGkAdABsAGUAIgAsACIATQBNAFMAXwBTAHcAaQBuAGUAXwBOADIATwBEAGkAcgBlAGMAdABfAEUAcQB1AGEAdABpAG8AbgBzAC4AVgBFAEUAUgBHAF8ANABfADUAXwAxAF8AMwBfAF8ANQBfAEEAbgBuAHUAYQBsAE4AaQB0AHIAbwBnAGUAbgBFAHgAYwByAGUAdABpAG8AbgBfAFYAYQByAGkAYQBiAGwAZQAiACwAIgBNAE0AUwBfAFMAdwBpAG4AZQBfAE4AMgBPAEQAaQByAGUAYwB0AF8ARQBxAHUAYQB0AGkAbwBuAHMALgBWAEUARQBSAEcAXwA0AF8ANQBfADEAXwAzAF8AXwA1AF8AQQBuAG4AdQBhAGwATgBpAHQAcgBvAGcAZQBuAEUAeABjAHIAZQB0AGkAbwBuAF8AVQBuAGkAdAAiACwAIgBNAE0AUwBfAFMAdwBpAG4AZQBfAE4AMgBPAEQAaQByAGUAYwB0AF8ARQBxAHUAYQB0AGkAbwBuAHMALgBWAEUARQBSAEcAXwA0AF8ANQBfADEAXwAzAF8AXwA1AF8AQQBuAG4AdQBhAGwATgBpAHQAcgBvAGcAZQBuAEUAeABjAHIAZQB0AGkAbwBuAF8AUwBvAHUAcgBjAGUAIgAsACIATQBNAFMAXwBTAHcAaQBuAGUAXwBOADIATwBEAGkAcgBlAGMAdABfAEUAcQB1AGEAdABpAG8AbgBzAC4AVgBFAEUAUgBHAF8ANABfADUAXwAxAF8AMwBfAF8ANQBfAEEAbgBuAHUAYQBsAE4AaQB0AHIAbwBnAGUAbgBFAHgAYwByAGUAdABpAG8AbgBfAE4ASQBSAFIAZQBmAGUAcgBlAG4AYwBlACIALAAiAE0ATQBTAF8AUwB3AGkAbgBlAF8ATgAyAE8ARABpAHIAZQBjAHQAXwBFAHEAdQBhAHQAaQBvAG4AcwAuAFYARQBFAFIARwBfADQAXwA1AF8AMQBfADMAXwBfADUAXwBBAG4AbgB1AGEAbABOAGkAdAByAG8AZwBlAG4ARQB4AGMAcgBlAHQAaQBvAG4AXwBMAGEAdABlAHgARQBxAHUAYQB0AGkAbwBuACIALAAiAE0ATQBTAF8AUwB3AGkAbgBlAF8ATgAyAE8ARABpAHIAZQBjAHQAXwBFAHEAdQBhAHQAaQBvAG4AcwAuAFYARQBFAFIARwBfADQAXwA1AF8AMQBfADMAXwBfADUAXwBBAG4AbgB1AGEAbABOAGkAdAByAG8AZwBlAG4ARQB4AGMAcgBlAHQAaQBvAG4AXwBBAHIAZwB1AG0AZQBuAHQAcwAiACwAIgBNAE0AUwBfAFMAdwBpAG4AZQBfAE4AMgBPAEQAaQByAGUAYwB0AF8ARQBxAHUAYQB0AGkAbwBuAHMALgBWAEUARQBSAEcAXwA0AF8ANQBfADEAXwAzAF8AXwA2AF8AUwB0AGEAZwBlADIATgBpAHQAcgBvAGcAZQBuAEkAbgBNAE0AUwAiACwAIgBNAE0AUwBfAFMAdwBpAG4AZQBfAE4AMgBPAEQAaQByAGUAYwB0AF8ARQBxAHUAYQB0AGkAbwBuAHMALgBWAEUARQBSAEcAXwA0AF8ANQBfADEAXwAzAF8AXwA2AF8AUwB0AGEAZwBlADIATgBpAHQAcgBvAGcAZQBuAEkAbgBNAE0AUwBfAFQAaQB0AGwAZQAiACwAIgBNAE0AUwBfAFMAdwBpAG4AZQBfAE4AMgBPAEQAaQByAGUAYwB0AF8ARQBxAHUAYQB0AGkAbwBuAHMALgBWAEUARQBSAEcAXwA0AF8ANQBfADEAXwAzAF8AXwA2AF8AUwB0AGEAZwBlADIATgBpAHQAcgBvAGcAZQBuAEkAbgBNAE0AUwBfAFYAYQByAGkAYQBiAGwAZQAiACwAIgBNAE0AUwBfAFMAdwBpAG4AZQBfAE4AMgBPAEQAaQByAGUAYwB0AF8ARQBxAHUAYQB0AGkAbwBuAHMALgBWAEUARQBSAEcAXwA0AF8ANQBfADEAXwAzAF8AXwA2AF8AUwB0AGEAZwBlADIATgBpAHQAcgBvAGcAZQBuAEkAbgBNAE0AUwBfAFUAbgBpAHQAIgAsACIATQBNAFMAXwBTAHcAaQBuAGUAXwBOADIATwBEAGkAcgBlAGMAdABfAEUAcQB1AGEAdABpAG8AbgBzAC4AVgBFAEUAUgBHAF8ANABfADUAXwAxAF8AMwBfAF8ANgBfAFMAdABhAGcAZQAyAE4AaQB0AHIAbwBnAGUAbgBJAG4ATQBNAFMAXwBTAG8AdQByAGMAZQAiACwAIgBNAE0AUwBfAFMAdwBpAG4AZQBfAE4AMgBPAEQAaQByAGUAYwB0AF8ARQBxAHUAYQB0AGkAbwBuAHMALgBWAEUARQBSAEcAXwA0AF8ANQBfADEAXwAzAF8AXwA2AF8AUwB0AGEAZwBlADIATgBpAHQAcgBvAGcAZQBuAEkAbgBNAE0AUwBfAE4ASQBSAFIAZQBmAGUAcgBlAG4AYwBlACIALAAiAE0ATQBTAF8AUwB3AGkAbgBlAF8ATgAyAE8ARABpAHIAZQBjAHQAXwBFAHEAdQBhAHQAaQBvAG4AcwAuAFYARQBFAFIARwBfADQAXwA1AF8AMQBfADMAXwBfADYAXwBTAHQAYQBnAGUAMgBOAGkAdAByAG8AZwBlAG4ASQBuAE0ATQBTAF8ATABhAHQAZQB4AEUAcQB1AGEAdABpAG8AbgAiACwAIgBNAE0AUwBfAFMAdwBpAG4AZQBfAE4AMgBPAEQAaQByAGUAYwB0AF8ARQBxAHUAYQB0AGkAbwBuAHMALgBWAEUARQBSAEcAXwA0AF8ANQBfADEAXwAzAF8AXwA2AF8AUwB0AGEAZwBlADIATgBpAHQAcgBvAGcAZQBuAEkAbgBNAE0AUwBfAEEAcgBnAHUAbQBlAG4AdABzACIALAAiAE0ATQBTAF8AUwB3AGkAbgBlAF8ATgAyAE8ARABpAHIAZQBjAHQAXwBFAHEAdQBhAHQAaQBvAG4AcwAuAFYARQBFAFIARwBfADQAXwA1AF8AMQBfADMAXwBfADcAXwBOAGkAdAByAG8AZwBlAG4AVAByAGEAbgBzAGYAZQByAHIAZQBkAFQAbwBTAHQAYQBnAGUAMgBNAE0AUwAiACwAIgBNAE0AUwBfAFMAdwBpAG4AZQBfAE4AMgBPAEQAaQByAGUAYwB0AF8ARQBxAHUAYQB0AGkAbwBuAHMALgBWAEUARQBSAEcAXwA0AF8ANQBfADEAXwAzAF8AXwA3AF8ATgBpAHQAcgBvAGcAZQBuAFQAcgBhAG4AcwBmAGUAcgByAGUAZABUAG8AUwB0AGEAZwBlADIATQBNAFMAXwBUAGkAdABsAGUAIgAsACIATQBNAFMAXwBTAHcAaQBuAGUAXwBOADIATwBEAGkAcgBlAGMAdABfAEUAcQB1AGEAdABpAG8AbgBzAC4AVgBFAEUAUgBHAF8ANABfADUAXwAxAF8AMwBfAF8ANwBfAE4AaQB0AHIAbwBnAGUAbgBUAHIAYQBuAHMAZgBlAHIAcgBlAGQAVABvAFMAdABhAGcAZQAyAE0ATQBTAF8AVgBhAHIAaQBhAGIAbABlACIALAAiAE0ATQBTAF8AUwB3AGkAbgBlAF8ATgAyAE8ARABpAHIAZQBjAHQAXwBFAHEAdQBhAHQAaQBvAG4AcwAuAFYARQBFAFIARwBfADQAXwA1AF8AMQBfADMAXwBfADcAXwBOAGkAdAByAG8AZwBlAG4AVAByAGEAbgBzAGYAZQByAHIAZQBkAFQAbwBTAHQAYQBnAGUAMgBNAE0AUwBfAFUAbgBpAHQAIgAsACIATQBNAFMAXwBTAHcAaQBuAGUAXwBOADIATwBEAGkAcgBlAGMAdABfAEUAcQB1AGEAdABpAG8AbgBzAC4AVgBFAEUAUgBHAF8ANABfADUAXwAxAF8AMwBfAF8ANwBfAE4AaQB0AHIAbwBnAGUAbgBUAHIAYQBuAHMAZgBlAHIAcgBlAGQAVABvAFMAdABhAGcAZQAyAE0ATQBTAF8AUwBvAHUAcgBjAGUAIgAsACIATQBNAFMAXwBTAHcAaQBuAGUAXwBOADIATwBEAGkAcgBlAGMAdABfAEUAcQB1AGEAdABpAG8AbgBzAC4AVgBFAEUAUgBHAF8ANABfADUAXwAxAF8AMwBfAF8ANwBfAE4AaQB0AHIAbwBnAGUAbgBUAHIAYQBuAHMAZgBlAHIAcgBlAGQAVABvAFMAdABhAGcAZQAyAE0ATQBTAF8ATgBJAFIAUgBlAGYAZQByAGUAbgBjAGUAIgAsACIATQBNAFMAXwBTAHcAaQBuAGUAXwBOADIATwBEAGkAcgBlAGMAdABfAEUAcQB1AGEAdABpAG8AbgBzAC4AVgBFAEUAUgBHAF8ANABfADUAXwAxAF8AMwBfAF8ANwBfAE4AaQB0AHIAbwBnAGUAbgBUAHIAYQBuAHMAZgBlAHIAcgBlAGQAVABvAFMAdABhAGcAZQAyAE0ATQBTAF8ATABhAHQAZQB4AEUAcQB1AGEAdABpAG8AbgAiACwAIgBNAE0AUwBfAFMAdwBpAG4AZQBfAE4AMgBPAEQAaQByAGUAYwB0AF8ARQBxAHUAYQB0AGkAbwBuAHMALgBWAEUARQBSAEcAXwA0AF8ANQBfADEAXwAzAF8AXwA3AF8ATgBpAHQAcgBvAGcAZQBuAFQAcgBhAG4AcwBmAGUAcgByAGUAZABUAG8AUwB0AGEAZwBlADIATQBNAFMAXwBBAHIAZwB1AG0AZQBuAHQAc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QAaQB0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YAYQByAGkAYQBiAGw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FUAbgBpAHQAIgAsACIATQBNAFMAXwBTAHcAaQBuAGUAXwBBAHQAbQBvAHMAcABoAGUAcgBpAGMARABlAHAAbwBzAGkAdABpAG8AbgBfAEUAcQB1AGEAdABpAG8AbgBzAC4AVgBFAEUAUgBHAF8ANABfADUAXwAxAF8ANQBfAF8AMQBfAEEAbgBuAHUAYQBsAEEAdABtAG8AcwBwAGgAZQByAGkAYwBEAGUAcABvAHMAaQB0AGkAbwBuAEUAbQBpAHMAcwBpAG8AbgBzAEYAcgBvAG0ATQBNAFMAXwBTAG8AdQByAGMAZQ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4ASQBSAFIAZQBmAGUAcgBlAG4AYwBlACIALAAiAE0ATQBTAF8AUwB3AGkAbgBlAF8AQQB0AG0AbwBzAHAAaABlAHIAaQBjAEQAZQBwAG8AcwBpAHQAaQBvAG4AXwBFAHEAdQBhAHQAaQBvAG4AcwAuAFYARQBFAFIARwBfADQAXwA1AF8AMQBfADUAXwBfADEAXwBBAG4AbgB1AGEAbABBAHQAbQBvAHMAcABoAGUAcgBpAGMARABlAHAAbwBzAGkAdABpAG8AbgBFAG0AaQBzAHMAaQBvAG4AcwBGAHIAbwBtAE0ATQBTAF8ATABhAHQAZQB4AEUAcQB1AGEAdABpAG8AbgAiACwAIgBNAE0AUwBfAFMAdwBpAG4AZQBfAEEAdABtAG8AcwBwAGgAZQByAGkAYwBEAGUAcABvAHMAaQB0AGkAbwBuAF8ARQBxAHUAYQB0AGkAbwBuAHMALgBWAEUARQBSAEcAXwA0AF8ANQBfADEAXwA1AF8AXwAxAF8AQQBuAG4AdQBhAGwAQQB0AG0AbwBzAHAAaABlAHIAaQBjAEQAZQBwAG8AcwBpAHQAaQBvAG4ARQBtAGkAcwBzAGkAbwBuAHMARgByAG8AbQBNAE0AUwBfAEEAcgBnAHUAbQBlAG4AdABzACIALAAiAE0ATQBTAF8AUwB3AGkAbgBlAF8AQQB0AG0AbwBzAHAAaABlAHIAaQBjAEQAZQBwAG8AcwBpAHQAaQBvAG4AXwBFAHEAdQBhAHQAaQBvAG4AcwAuAFYARQBFAFIARwBfADQAXwA1AF8AMQBfADUAXwBfADIAXwBUAG8AdABhAGwATgBpAHQAcgBvAGcAZQBuAFYAbwBsAGEAdABpAGwAaQBzAGUAZABGAHIAbwBtAE0ATQBTACIALAAiAE0ATQBTAF8AUwB3AGkAbgBlAF8AQQB0AG0AbwBzAHAAaABlAHIAaQBjAEQAZQBwAG8AcwBpAHQAaQBvAG4AXwBFAHEAdQBhAHQAaQBvAG4AcwAuAFYARQBFAFIARwBfADQAXwA1AF8AMQBfADUAXwBfADIAXwBUAG8AdABhAGwATgBpAHQAcgBvAGcAZQBuAFYAbwBsAGEAdABpAGwAaQBzAGUAZABGAHIAbwBtAE0ATQBTAF8AVABpAHQAbABlACIALAAiAE0ATQBTAF8AUwB3AGkAbgBlAF8AQQB0AG0AbwBzAHAAaABlAHIAaQBjAEQAZQBwAG8AcwBpAHQAaQBvAG4AXwBFAHEAdQBhAHQAaQBvAG4AcwAuAFYARQBFAFIARwBfADQAXwA1AF8AMQBfADUAXwBfADIAXwBUAG8AdABhAGwATgBpAHQAcgBvAGcAZQBuAFYAbwBsAGEAdABpAGwAaQBzAGUAZABGAHIAbwBtAE0ATQBTAF8AVgBhAHIAaQBhAGIAbABlACIALAAiAE0ATQBTAF8AUwB3AGkAbgBlAF8AQQB0AG0AbwBzAHAAaABlAHIAaQBjAEQAZQBwAG8AcwBpAHQAaQBvAG4AXwBFAHEAdQBhAHQAaQBvAG4AcwAuAFYARQBFAFIARwBfADQAXwA1AF8AMQBfADUAXwBfADIAXwBUAG8AdABhAGwATgBpAHQAcgBvAGcAZQBuAFYAbwBsAGEAdABpAGwAaQBzAGUAZABGAHIAbwBtAE0ATQBTAF8AVQBuAGkAdAAiACwAIgBNAE0AUwBfAFMAdwBpAG4AZQBfAEEAdABtAG8AcwBwAGgAZQByAGkAYwBEAGUAcABvAHMAaQB0AGkAbwBuAF8ARQBxAHUAYQB0AGkAbwBuAHMALgBWAEUARQBSAEcAXwA0AF8ANQBfADEAXwA1AF8AXwAyAF8AVABvAHQAYQBsAE4AaQB0AHIAbwBnAGUAbgBWAG8AbABhAHQAaQBsAGkAcwBlAGQARgByAG8AbQBNAE0AUwBfAFMAbwB1AHIAYwBlACIALAAiAE0ATQBTAF8AUwB3AGkAbgBlAF8AQQB0AG0AbwBzAHAAaABlAHIAaQBjAEQAZQBwAG8AcwBpAHQAaQBvAG4AXwBFAHEAdQBhAHQAaQBvAG4AcwAuAFYARQBFAFIARwBfADQAXwA1AF8AMQBfADUAXwBfADIAXwBUAG8AdABhAGwATgBpAHQAcgBvAGcAZQBuAFYAbwBsAGEAdABpAGwAaQBzAGUAZABGAHIAbwBtAE0ATQBTAF8ATgBJAFIAUgBlAGYAZQByAGUAbgBjAGUAIgAsACIATQBNAFMAXwBTAHcAaQBuAGUAXwBBAHQAbQBvAHMAcABoAGUAcgBpAGMARABlAHAAbwBzAGkAdABpAG8AbgBfAEUAcQB1AGEAdABpAG8AbgBzAC4AVgBFAEUAUgBHAF8ANABfADUAXwAxAF8ANQBfAF8AMgBfAFQAbwB0AGEAbABOAGkAdAByAG8AZwBlAG4AVgBvAGwAYQB0AGkAbABpAHMAZQBkAEYAcgBvAG0ATQBNAFMAXwBMAGEAdABlAHgARQBxAHUAYQB0AGkAbwBuACIALAAiAE0ATQBTAF8AUwB3AGkAbgBlAF8AQQB0AG0AbwBzAHAAaABlAHIAaQBjAEQAZQBwAG8AcwBpAHQAaQBvAG4AXwBFAHEAdQBhAHQAaQBvAG4AcwAuAFYARQBFAFIARwBfADQAXwA1AF8AMQBfADUAXwBfADIAXwBUAG8AdABhAGwATgBpAHQAcgBvAGcAZQBuAFYAbwBsAGEAdABpAGwAaQBzAGUAZABGAHIAbwBtAE0ATQBTAF8AQQByAGcAdQBtAGUAbgB0AHMAIgAsACIATQBNAFMAXwBTAHcAaQBuAGUAXwBMAGUAYQBjAGgAaQBuAGcAQQBuAGQAUgB1AG4AbwBmAGYAXwBFAHEAdQBhAHQAaQBvAG4AcwAuAFYARQBFAFIARwBfADQAXwA1AF8AMQBfADcAXwBfADEAXwBBAG4AbgB1AGEAbABFAG0AaQBzAHMAaQBvAG4AcwBGAHIAbwBtAEwAZQBhAGMAaABpAG4AZwBBAG4AZABSAHUAbgBvAGYAZgBGAHIAbwBtAE0ATQBTACIALAAiAE0ATQBTAF8AUwB3AGkAbgBlAF8ATABlAGEAYwBoAGkAbgBnAEEAbgBkAFIAdQBuAG8AZgBmAF8ARQBxAHUAYQB0AGkAbwBuAHMALgBWAEUARQBSAEcAXwA0AF8ANQBfADEAXwA3AF8AXwAxAF8AQQBuAG4AdQBhAGwARQBtAGkAcwBzAGkAbwBuAHMARgByAG8AbQBMAGUAYQBjAGgAaQBuAGcAQQBuAGQAUgB1AG4AbwBmAGYARgByAG8AbQBNAE0AUwBfAFQAaQB0AGwAZQAiACwAIgBNAE0AUwBfAFMAdwBpAG4AZQBfAEwAZQBhAGMAaABpAG4AZwBBAG4AZABSAHUAbgBvAGYAZgBfAEUAcQB1AGEAdABpAG8AbgBzAC4AVgBFAEUAUgBHAF8ANABfADUAXwAxAF8ANwBfAF8AMQBfAEEAbgBuAHUAYQBsAEUAbQBpAHMAcwBpAG8AbgBzAEYAcgBvAG0ATABlAGEAYwBoAGkAbgBnAEEAbgBkAFIAdQBuAG8AZgBmAEYAcgBvAG0ATQBNAFMAXwBWAGEAcgBpAGEAYgBsAGUAIgAsACIATQBNAFMAXwBTAHcAaQBuAGUAXwBMAGUAYQBjAGgAaQBuAGcAQQBuAGQAUgB1AG4AbwBmAGYAXwBFAHEAdQBhAHQAaQBvAG4AcwAuAFYARQBFAFIARwBfADQAXwA1AF8AMQBfADcAXwBfADEAXwBBAG4AbgB1AGEAbABFAG0AaQBzAHMAaQBvAG4AcwBGAHIAbwBtAEwAZQBhAGMAaABpAG4AZwBBAG4AZABSAHUAbgBvAGYAZgBGAHIAbwBtAE0ATQBTAF8AVQBuAGkAdAAiACwAIgBNAE0AUwBfAFMAdwBpAG4AZQBfAEwAZQBhAGMAaABpAG4AZwBBAG4AZABSAHUAbgBvAGYAZgBfAEUAcQB1AGEAdABpAG8AbgBzAC4AVgBFAEUAUgBHAF8ANABfADUAXwAxAF8ANwBfAF8AMQBfAEEAbgBuAHUAYQBsAEUAbQBpAHMAcwBpAG8AbgBzAEYAcgBvAG0ATABlAGEAYwBoAGkAbgBnAEEAbgBkAFIAdQBuAG8AZgBmAEYAcgBvAG0ATQBNAFMAXwBTAG8AdQByAGMAZQAiACwAIgBNAE0AUwBfAFMAdwBpAG4AZQBfAEwAZQBhAGMAaABpAG4AZwBBAG4AZABSAHUAbgBvAGYAZgBfAEUAcQB1AGEAdABpAG8AbgBzAC4AVgBFAEUAUgBHAF8ANABfADUAXwAxAF8ANwBfAF8AMQBfAEEAbgBuAHUAYQBsAEUAbQBpAHMAcwBpAG8AbgBzAEYAcgBvAG0ATABlAGEAYwBoAGkAbgBnAEEAbgBkAFIAdQBuAG8AZgBmAEYAcgBvAG0ATQBNAFMAXwBOAEkAUgBSAGUAZgBlAHIAZQBuAGMAZQAiACwAIgBNAE0AUwBfAFMAdwBpAG4AZQBfAEwAZQBhAGMAaABpAG4AZwBBAG4AZABSAHUAbgBvAGYAZgBfAEUAcQB1AGEAdABpAG8AbgBzAC4AVgBFAEUAUgBHAF8ANABfADUAXwAxAF8ANwBfAF8AMQBfAEEAbgBuAHUAYQBsAEUAbQBpAHMAcwBpAG8AbgBzAEYAcgBvAG0ATABlAGEAYwBoAGkAbgBnAEEAbgBkAFIAdQBuAG8AZgBmAEYAcgBvAG0ATQBNAFMAXwBMAGEAdABlAHgARQBxAHUAYQB0AGkAbwBuACIALAAiAE0ATQBTAF8AUwB3AGkAbgBlAF8ATABlAGEAYwBoAGkAbgBnAEEAbgBkAFIAdQBuAG8AZgBmAF8ARQBxAHUAYQB0AGkAbwBuAHMALgBWAEUARQBSAEcAXwA0AF8ANQBfADEAXwA3AF8AXwAxAF8AQQBuAG4AdQBhAGwARQBtAGkAcwBzAGkAbwBuAHMARgByAG8AbQBMAGUAYQBjAGgAaQBuAGcAQQBuAGQAUgB1AG4AbwBmAGYARgByAG8AbQBNAE0AUwBfAEEAcgBnAHUAbQBlAG4AdABz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ABpAHQ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gBhAHIAaQBhAGIAbA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VQBuAGkAdAAiACwAIgBNAE0AUwBfAFMAdwBpAG4AZQBfAEwAZQBhAGMAaABpAG4AZwBBAG4AZABSAHUAbgBvAGYAZgBfAEUAcQB1AGEAdABpAG8AbgBzAC4AVgBFAEUAUgBHAF8ANABfADUAXwAxAF8ANwBfAF8AMgBfAE0AYQBzAHMATwBmAE4AaQB0AHIAbwBnAGUAbgBMAG8AcwB0AFQAbwBMAGUAYQBjAGgAaQBuAGcAQQBuAGQAUgB1AG4AbwBmAGYARgByAG8AbQBEAHIAeQBsAG8AdABNAE0AUwBfAFMAbwB1AHIAYwBl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TgBJAFIAUgBlAGYAZQByAGUAbgBjAGUAIgAsACIATQBNAFMAXwBTAHcAaQBuAGUAXwBMAGUAYQBjAGgAaQBuAGcAQQBuAGQAUgB1AG4AbwBmAGYAXwBFAHEAdQBhAHQAaQBvAG4AcwAuAFYARQBFAFIARwBfADQAXwA1AF8AMQBfADcAXwBfADIAXwBNAGEAcwBzAE8AZgBOAGkAdAByAG8AZwBlAG4ATABvAHMAdABUAG8ATABlAGEAYwBoAGkAbgBnAEEAbgBkAFIAdQBuAG8AZgBmAEYAcgBvAG0ARAByAHkAbABvAHQATQBNAFMAXwBMAGEAdABlAHgARQBxAHUAYQB0AGkAbwBuACIALAAiAE0ATQBTAF8AUwB3AGkAbgBlAF8ATABlAGEAYwBoAGkAbgBnAEEAbgBkAFIAdQBuAG8AZgBmAF8ARQBxAHUAYQB0AGkAbwBuAHMALgBWAEUARQBSAEcAXwA0AF8ANQBfADEAXwA3AF8AXwAyAF8ATQBhAHMAcwBPAGYATgBpAHQAcgBvAGcAZQBuAEwAbwBzAHQAVABvAEwAZQBhAGMAaABpAG4AZwBBAG4AZABSAHUAbgBvAGYAZgBGAHIAbwBtAEQAcgB5AGwAbwB0AE0ATQBTAF8AQQByAGcAdQBtAGUAbgB0AHMAIgAsACIATQBNAFMAXwBTAHcAaQBuAGUAXwBNAGEAbgB1AHIAZQBBAHAAcABsAGkAZQBkAFQAbwBTAG8AaQBsAHMAXwBFAHEAdQBhAHQAaQBvAG4AcwAuAFYARQBFAFIARwBfADQAXwA1AF8AMQBfADkAXwBfADEAXwBNAGEAcwBzAE8AZgBOAGkAdAByAG8AZwBlAG4AQQBwAHAAbABpAGUAZABUAG8AUwBvAGkAbABzAFMAYwBvAHAAZQAxACIALAAiAE0ATQBTAF8AUwB3AGkAbgBlAF8ATQBhAG4AdQByAGUAQQBwAHAAbABpAGUAZABUAG8AUwBvAGkAbABzAF8ARQBxAHUAYQB0AGkAbwBuAHMALgBWAEUARQBSAEcAXwA0AF8ANQBfADEAXwA5AF8AXwAxAF8ATQBhAHMAcwBPAGYATgBpAHQAcgBvAGcAZQBuAEEAcABwAGwAaQBlAGQAVABvAFMAbwBpAGwAcwBTAGMAbwBwAGUAMQBfAFQAaQB0AGwAZQAiACwAIgBNAE0AUwBfAFMAdwBpAG4AZQBfAE0AYQBuAHUAcgBlAEEAcABwAGwAaQBlAGQAVABvAFMAbwBpAGwAcwBfAEUAcQB1AGEAdABpAG8AbgBzAC4AVgBFAEUAUgBHAF8ANABfADUAXwAxAF8AOQBfAF8AMQBfAE0AYQBzAHMATwBmAE4AaQB0AHIAbwBnAGUAbgBBAHAAcABsAGkAZQBkAFQAbwBTAG8AaQBsAHMAUwBjAG8AcABlADEAXwBWAGEAcgBpAGEAYgBsAGUAIgAsACIATQBNAFMAXwBTAHcAaQBuAGUAXwBNAGEAbgB1AHIAZQBBAHAAcABsAGkAZQBkAFQAbwBTAG8AaQBsAHMAXwBFAHEAdQBhAHQAaQBvAG4AcwAuAFYARQBFAFIARwBfADQAXwA1AF8AMQBfADkAXwBfADEAXwBNAGEAcwBzAE8AZgBOAGkAdAByAG8AZwBlAG4AQQBwAHAAbABpAGUAZABUAG8AUwBvAGkAbABzAFMAYwBvAHAAZQAxAF8AVQBuAGkAdAAiACwAIgBNAE0AUwBfAFMAdwBpAG4AZQBfAE0AYQBuAHUAcgBlAEEAcABwAGwAaQBlAGQAVABvAFMAbwBpAGwAcwBfAEUAcQB1AGEAdABpAG8AbgBzAC4AVgBFAEUAUgBHAF8ANABfADUAXwAxAF8AOQBfAF8AMQBfAE0AYQBzAHMATwBmAE4AaQB0AHIAbwBnAGUAbgBBAHAAcABsAGkAZQBkAFQAbwBTAG8AaQBsAHMAUwBjAG8AcABlADEAXwBTAG8AdQByAGMAZQAiACwAIgBNAE0AUwBfAFMAdwBpAG4AZQBfAE0AYQBuAHUAcgBlAEEAcABwAGwAaQBlAGQAVABvAFMAbwBpAGwAcwBfAEUAcQB1AGEAdABpAG8AbgBzAC4AVgBFAEUAUgBHAF8ANABfADUAXwAxAF8AOQBfAF8AMQBfAE0AYQBzAHMATwBmAE4AaQB0AHIAbwBnAGUAbgBBAHAAcABsAGkAZQBkAFQAbwBTAG8AaQBsAHMAUwBjAG8AcABlADEAXwBOAEkAUgBSAGUAZgBlAHIAZQBuAGMAZQAiACwAIgBNAE0AUwBfAFMAdwBpAG4AZQBfAE0AYQBuAHUAcgBlAEEAcABwAGwAaQBlAGQAVABvAFMAbwBpAGwAcwBfAEUAcQB1AGEAdABpAG8AbgBzAC4AVgBFAEUAUgBHAF8ANABfADUAXwAxAF8AOQBfAF8AMQBfAE0AYQBzAHMATwBmAE4AaQB0AHIAbwBnAGUAbgBBAHAAcABsAGkAZQBkAFQAbwBTAG8AaQBsAHMAUwBjAG8AcABlADEAXwBMAGEAdABlAHgARQBxAHUAYQB0AGkAbwBuACIALAAiAE0ATQBTAF8AUwB3AGkAbgBlAF8ATQBhAG4AdQByAGUAQQBwAHAAbABpAGUAZABUAG8AUwBvAGkAbABzAF8ARQBxAHUAYQB0AGkAbwBuAHMALgBWAEUARQBSAEcAXwA0AF8ANQBfADEAXwA5AF8AXwAxAF8ATQBhAHMAcwBPAGYATgBpAHQAcgBvAGcAZQBuAEEAcABwAGwAaQBlAGQAVABvAFMAbwBpAGwAcwBTAGMAbwBwAGUAMQBfAEEAcgBnAHUAbQBlAG4AdABzACIALAAiAE0ATQBTAF8AUwB3AGkAbgBlAF8ATQBhAG4AdQByAGUAQQBwAHAAbABpAGUAZABUAG8AUwBvAGkAbABzAF8ARQBxAHUAYQB0AGkAbwBuAHMALgBWAEUARQBSAEcAXwA0AF8ANQBfADEAXwA5AF8AXwAyAF8ATQBhAHMAcwBPAGYATgBpAHQAcgBvAGcAZQBuAEEAcABwAGwAaQBlAGQAVABvAFMAbwBpAGwAcwBTAGMAbwBwAGUAMwAiACwAIgBNAE0AUwBfAFMAdwBpAG4AZQBfAE0AYQBuAHUAcgBlAEEAcABwAGwAaQBlAGQAVABvAFMAbwBpAGwAcwBfAEUAcQB1AGEAdABpAG8AbgBzAC4AVgBFAEUAUgBHAF8ANABfADUAXwAxAF8AOQBfAF8AMgBfAE0AYQBzAHMATwBmAE4AaQB0AHIAbwBnAGUAbgBBAHAAcABsAGkAZQBkAFQAbwBTAG8AaQBsAHMAUwBjAG8AcABlADMAXwBUAGkAdABsAGUAIgAsACIATQBNAFMAXwBTAHcAaQBuAGUAXwBNAGEAbgB1AHIAZQBBAHAAcABsAGkAZQBkAFQAbwBTAG8AaQBsAHMAXwBFAHEAdQBhAHQAaQBvAG4AcwAuAFYARQBFAFIARwBfADQAXwA1AF8AMQBfADkAXwBfADIAXwBNAGEAcwBzAE8AZgBOAGkAdAByAG8AZwBlAG4AQQBwAHAAbABpAGUAZABUAG8AUwBvAGkAbABzAFMAYwBvAHAAZQAzAF8AVgBhAHIAaQBhAGIAbABlACIALAAiAE0ATQBTAF8AUwB3AGkAbgBlAF8ATQBhAG4AdQByAGUAQQBwAHAAbABpAGUAZABUAG8AUwBvAGkAbABzAF8ARQBxAHUAYQB0AGkAbwBuAHMALgBWAEUARQBSAEcAXwA0AF8ANQBfADEAXwA5AF8AXwAyAF8ATQBhAHMAcwBPAGYATgBpAHQAcgBvAGcAZQBuAEEAcABwAGwAaQBlAGQAVABvAFMAbwBpAGwAcwBTAGMAbwBwAGUAMwBfAFUAbgBpAHQAIgAsACIATQBNAFMAXwBTAHcAaQBuAGUAXwBNAGEAbgB1AHIAZQBBAHAAcABsAGkAZQBkAFQAbwBTAG8AaQBsAHMAXwBFAHEAdQBhAHQAaQBvAG4AcwAuAFYARQBFAFIARwBfADQAXwA1AF8AMQBfADkAXwBfADIAXwBNAGEAcwBzAE8AZgBOAGkAdAByAG8AZwBlAG4AQQBwAHAAbABpAGUAZABUAG8AUwBvAGkAbABzAFMAYwBvAHAAZQAzAF8AUwBvAHUAcgBjAGUAIgAsACIATQBNAFMAXwBTAHcAaQBuAGUAXwBNAGEAbgB1AHIAZQBBAHAAcABsAGkAZQBkAFQAbwBTAG8AaQBsAHMAXwBFAHEAdQBhAHQAaQBvAG4AcwAuAFYARQBFAFIARwBfADQAXwA1AF8AMQBfADkAXwBfADIAXwBNAGEAcwBzAE8AZgBOAGkAdAByAG8AZwBlAG4AQQBwAHAAbABpAGUAZABUAG8AUwBvAGkAbABzAFMAYwBvAHAAZQAzAF8ATgBJAFIAUgBlAGYAZQByAGUAbgBjAGUAIgAsACIATQBNAFMAXwBTAHcAaQBuAGUAXwBNAGEAbgB1AHIAZQBBAHAAcABsAGkAZQBkAFQAbwBTAG8AaQBsAHMAXwBFAHEAdQBhAHQAaQBvAG4AcwAuAFYARQBFAFIARwBfADQAXwA1AF8AMQBfADkAXwBfADIAXwBNAGEAcwBzAE8AZgBOAGkAdAByAG8AZwBlAG4AQQBwAHAAbABpAGUAZABUAG8AUwBvAGkAbABzAFMAYwBvAHAAZQAzAF8ATABhAHQAZQB4AEUAcQB1AGEAdABpAG8AbgAiACwAIgBNAE0AUwBfAFMAdwBpAG4AZQBfAE0AYQBuAHUAcgBlAEEAcABwAGwAaQBlAGQAVABvAFMAbwBpAGwAcwBfAEUAcQB1AGEAdABpAG8AbgBzAC4AVgBFAEUAUgBHAF8ANABfADUAXwAxAF8AOQBfAF8AMgBfAE0AYQBzAHMATwBmAE4AaQB0AHIAbwBnAGUAbgBBAHAAcABsAGkAZQBkAFQAbwBTAG8AaQBsAHMAUwBjAG8AcABlADM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Home</vt:lpstr>
      <vt:lpstr>Results</vt:lpstr>
      <vt:lpstr>Input - Site</vt:lpstr>
      <vt:lpstr>Input - Swine</vt:lpstr>
      <vt:lpstr>4.5.1.1-2 Methane</vt:lpstr>
      <vt:lpstr>4.5.1.3-4 Direct N20</vt:lpstr>
      <vt:lpstr>4.5.1.5-6 Atmos Dep</vt:lpstr>
      <vt:lpstr>4.5.1.7-8 Leaching and runoff</vt:lpstr>
      <vt:lpstr>4.5.1.9 Manure applied to soils</vt:lpstr>
      <vt:lpstr>Constants - Swine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2026-04-15T03:37:27Z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