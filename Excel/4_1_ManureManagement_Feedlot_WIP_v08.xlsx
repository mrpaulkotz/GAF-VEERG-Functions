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tables/table27.xml" ContentType="application/vnd.openxmlformats-officedocument.spreadsheetml.table+xml"/>
  <Override PartName="/xl/tables/table28.xml" ContentType="application/vnd.openxmlformats-officedocument.spreadsheetml.table+xml"/>
  <Override PartName="/xl/tables/table29.xml" ContentType="application/vnd.openxmlformats-officedocument.spreadsheetml.table+xml"/>
  <Override PartName="/xl/tables/table30.xml" ContentType="application/vnd.openxmlformats-officedocument.spreadsheetml.table+xml"/>
  <Override PartName="/xl/tables/table31.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codeName="ThisWorkbook"/>
  <mc:AlternateContent xmlns:mc="http://schemas.openxmlformats.org/markup-compatibility/2006">
    <mc:Choice Requires="x15">
      <x15ac:absPath xmlns:x15ac="http://schemas.microsoft.com/office/spreadsheetml/2010/11/ac" url="C:\htdocs\zneagcrc\GAF-VEERG-Functions\Excel\"/>
    </mc:Choice>
  </mc:AlternateContent>
  <xr:revisionPtr revIDLastSave="0" documentId="13_ncr:1_{837661EB-1C05-483C-AE46-BE47B06F7C0B}" xr6:coauthVersionLast="47" xr6:coauthVersionMax="47" xr10:uidLastSave="{00000000-0000-0000-0000-000000000000}"/>
  <bookViews>
    <workbookView xWindow="4680" yWindow="4680" windowWidth="28800" windowHeight="15345" firstSheet="10" activeTab="10" xr2:uid="{992023F3-CAB7-4E5B-A348-08D563A0EF40}"/>
  </bookViews>
  <sheets>
    <sheet name="Home" sheetId="71" r:id="rId1"/>
    <sheet name="Overview" sheetId="100" r:id="rId2"/>
    <sheet name="Results" sheetId="13" r:id="rId3"/>
    <sheet name="Input - Site" sheetId="15" r:id="rId4"/>
    <sheet name="Input - Feedlot" sheetId="70" r:id="rId5"/>
    <sheet name="4.1.1.1-2 Methane" sheetId="69" r:id="rId6"/>
    <sheet name="4.1.1.3-4 Direct N20" sheetId="76" r:id="rId7"/>
    <sheet name="4.1.1.5-6 Atmos Deposition" sheetId="82" r:id="rId8"/>
    <sheet name="4.1.1.9 Manure applied to soils" sheetId="81" r:id="rId9"/>
    <sheet name="Constants - Feedlot" sheetId="79" r:id="rId10"/>
    <sheet name="Constants - Common" sheetId="106" r:id="rId11"/>
    <sheet name="Constants - Livestock" sheetId="43" r:id="rId12"/>
    <sheet name="Acknowledgements" sheetId="72" r:id="rId13"/>
    <sheet name="Tab template" sheetId="74" r:id="rId14"/>
  </sheets>
  <definedNames>
    <definedName name="Common_Equations.Common_ConvertCH4ToCO2e">_xlfn.LAMBDA(_xlpm.E_CH4,_xlpm.GWP_CH4, _xlpm.E_CH4 * _xlpm.GWP_CH4)</definedName>
    <definedName name="Common_Equations.Common_ConvertCH4ToCO2e_Arguments">_xlfn.LAMBDA(_xlfn.MAKEARRAY(2, 2, _xlfn.LAMBDA(_xlpm.r,_xlpm.c, INDEX({"ECH4","Methane emissions (t CH4)";"GWPCH4","Global warming potential for methane (t CO2-e / t CH4)"}, _xlpm.r, _xlpm.c))))</definedName>
    <definedName name="Common_Equations.Common_ConvertCH4ToCO2e_LatexEquation">_xlfn.LAMBDA("CO2_e = E_{CH4} \times GWP_{CH4}")</definedName>
    <definedName name="Common_Equations.Common_ConvertCH4ToCO2e_NIRReference">_xlfn.LAMBDA("")</definedName>
    <definedName name="Common_Equations.Common_ConvertCH4ToCO2e_Title">_xlfn.LAMBDA("Convert methane emissions to carbon dioxide equivalent emissions")</definedName>
    <definedName name="Common_Equations.Common_ConvertCH4ToCO2e_Unit">_xlfn.LAMBDA("t CO2e")</definedName>
    <definedName name="Common_Equations.Common_ConvertCH4ToCO2e_Variable">_xlfn.LAMBDA("ECH4 CO2e")</definedName>
    <definedName name="Common_Equations.Common_ConvertN2OToCO2e">_xlfn.LAMBDA(_xlpm.E_N2O,_xlpm.GWP_N2O, _xlpm.E_N2O * _xlpm.GWP_N2O)</definedName>
    <definedName name="Common_Equations.Common_ConvertN2OToCO2e_Arguments">_xlfn.LAMBDA(_xlfn.MAKEARRAY(2, 2, _xlfn.LAMBDA(_xlpm.r,_xlpm.c, INDEX({"EN2O","Nitrous oxide emissions (t N2O)";"GWPN2O","Global warming potential for nitrous oxide (t CO2-e / t N2O)"}, _xlpm.r, _xlpm.c))))</definedName>
    <definedName name="Common_Equations.Common_ConvertN2OToCO2e_LatexEquation">_xlfn.LAMBDA("CO2_e = E_{N2O} \times GWP_{N2O}")</definedName>
    <definedName name="Common_Equations.Common_ConvertN2OToCO2e_NIRReference">_xlfn.LAMBDA("")</definedName>
    <definedName name="Common_Equations.Common_ConvertN2OToCO2e_Title">_xlfn.LAMBDA("Convert nitrous oxide emissions to carbon dioxide equivalent emissions")</definedName>
    <definedName name="Common_Equations.Common_ConvertN2OToCO2e_Unit">_xlfn.LAMBDA("t CO2e")</definedName>
    <definedName name="Common_Equations.Common_ConvertN2OToCO2e_Variable">_xlfn.LAMBDA("EN2O CO2e")</definedName>
    <definedName name="Common_InputFunctions.Common_GetMCFTemperatureZone">_xlfn.LAMBDA(_xlpm.Temperature,_xlpm.MMS,_xlpm.TemperatureArray,_xlpm.MMSArray,_xlpm.ReturnArray,
    _xlfn.XLOOKUP(
        MEDIAN(
            ROUND(_xlpm.Temperature, 0),
            MIN(_xlpm.TemperatureArray),
            MAX(_xlpm.TemperatureArray)
        ),
        _xlpm.TemperatureArray,
        _xlfn.XLOOKUP(_xlpm.MMS, _xlpm.MMSArray, _xlpm.ReturnArray)
    )
)</definedName>
    <definedName name="Common_InputFunctions.CommonCropping_GetFracWET">_xlfn.LAMBDA(_xlpm.LeachingZone,_xlpm.ProductionSystem,_xlpm.LeachingZoneLookup,_xlpm.LeachingZoneFracWETLookup,_xlpm.ProductionSystemLookup,_xlpm.ProductionSystemFracWETLookup, _xlfn.LET(_xlpm.LeachingZoneFracWET, Common_InputFunctions.Utility_LookupValueInTableNumber(_xlpm.LeachingZone, _xlpm.LeachingZoneLookup, _xlpm.LeachingZoneFracWETLookup), _xlpm.ProductionSystemFracWET, Common_InputFunctions.Utility_LookupValueInTableNumber(_xlpm.ProductionSystem, _xlpm.ProductionSystemLookup, _xlpm.ProductionSystemFracWETLookup), IF(_xlpm.LeachingZoneFracWET + _xlpm.ProductionSystemFracWET &gt; 0, 1, 0)))</definedName>
    <definedName name="Common_InputFunctions.getOverlappingReportingCycle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MAX(0, _xlpm.lastYear - _xlpm.firstYear + 1)))</definedName>
    <definedName name="Common_InputFunctions.getOverlappingReportingPeriod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_xlpm.n, MAX(0, _xlpm.lastYear - _xlpm.firstYear + 1), _xlpm.yrs, _xlfn.SEQUENCE(_xlpm.n, 1, _xlpm.firstYear, 1), _xlpm.starts, DATE(_xlpm.yrs, _xlpm.m, _xlpm.d), _xlpm.ends, _xlfn.MAP(_xlpm.starts, _xlpm.PeriodEnd), _xlpm.tag, IF(_xlpm.starts = _xlpm.ReportingCycleStart, " (This reporting cycle)", ""), _xlpm.startsText, TEXT(_xlpm.starts, "dd mmm yyyy"), _xlpm.endsText, TEXT(_xlpm.ends, "dd mmm yyyy"), IF(_xlpm.n = 0, "", _xlfn.HSTACK(_xlpm.startsText &amp; " to " &amp; _xlpm.endsText &amp; _xlpm.tag))))</definedName>
    <definedName name="Common_InputFunctions.Utility_ConvertStateCommonNameToAbbreviation">_xlfn.LAMBDA(_xlpm.StateCommonName,_xlpm.StateCommonNameArray,_xlpm.StateAbbreviationArray, _xlfn.XLOOKUP(_xlpm.StateCommonName, _xlpm.StateCommonNameArray, _xlpm.StateAbbreviationArray, ""))</definedName>
    <definedName name="Common_InputFunctions.Utility_DisplayArguments_1_2">_xlfn.LAMBDA(_xlpm.ArgumentsArray, _xlfn.CHOOSECOLS(_xlpm.ArgumentsArray, 1, 2))</definedName>
    <definedName name="Common_InputFunctions.Utility_DisplayArguments_3_4">_xlfn.LAMBDA(_xlpm.ArgumentsArray, _xlfn.CHOOSECOLS(_xlpm.ArgumentsArray, 3, 4))</definedName>
    <definedName name="Common_InputFunctions.Utility_DisplayArrayInTable">_xlfn.LAMBDA(_xlpm.ArrayData,_xlpm.TableheaderCell,_xlpm.RowsBetweenHeaderandArray,_xlop.ColumnsBetweenHeaderAndArray, IFERROR(INDEX(_xlfn.UNIQUE(_xlpm.ArrayData), ROW() - Common_InputFunctions.Utility_GetArrayTableRowStartNumber(_xlpm.TableheaderCell, _xlpm.RowsBetweenHeaderandArray), COLUMN() - Common_InputFunctions.Utility_GetArrayTableColumnStartNumber(_xlpm.TableheaderCell) + IF(_xlfn.ISOMITTED(_xlpm.ColumnsBetweenHeaderAndArray), 1, _xlpm.ColumnsBetweenHeaderAndArray)), ""))</definedName>
    <definedName name="Common_InputFunctions.Utility_DisplayFunctionName">_xlfn.LAMBDA(_xlpm.Function, _xlfn.TEXTBEFORE(_xlfn.FORMULATEXT(_xlpm.Function), "("))</definedName>
    <definedName name="Common_InputFunctions.Utility_GetArrayTableColumnStartNumber">_xlfn.LAMBDA(_xlpm.TableHeaderCell, COLUMN(_xlpm.TableHeaderCell))</definedName>
    <definedName name="Common_InputFunctions.Utility_GetArrayTableRowStartNumber">_xlfn.LAMBDA(_xlpm.TableheaderCell,_xlpm.RowsBetweenHeaderandArray, ROW(_xlpm.TableheaderCell) + _xlpm.RowsBetweenHeaderandArray - 1)</definedName>
    <definedName name="Common_InputFunctions.Utility_GetClimateZone">_xlfn.LAMBDA(_xlpm.avgTemp,_xlpm.avgRain,_xlpm.frostDays,_xlpm.elev,_xlpm.map_pet,_xlpm.minTempArray,_xlpm.maxTempArray,_xlpm.minRainfallArray,_xlpm.maxRainfallArray,_xlpm.minFrostArray,_xlpm.maxFrostArray,_xlpm.minElevationArray,_xlpm.maxElevationArray,_xlpm.minPETArray,_xlpm.maxPETArray,_xlpm.climateZoneArray, _xlfn.LET(_xlpm.mask, (VALUE(_xlpm.minTempArray) &lt;= _xlpm.avgTemp) * (VALUE(_xlpm.maxTempArray) &gt;= _xlpm.avgTemp) * (VALUE(_xlpm.minRainfallArray) &lt;= _xlpm.avgRain) * (VALUE(_xlpm.maxRainfallArray) &gt;= _xlpm.avgRain) * (VALUE(_xlpm.minFrostArray) &lt;= _xlpm.frostDays) * (VALUE(_xlpm.maxFrostArray) &gt;= _xlpm.frostDays) * (VALUE(_xlpm.minElevationArray) &lt;= _xlpm.elev) * (VALUE(_xlpm.maxElevationArray) &gt;= _xlpm.elev) * (VALUE(_xlpm.minPETArray) &lt;= _xlpm.map_pet) * (VALUE(_xlpm.maxPETArray) &gt;= _xlpm.map_pet), _xlfn.TAKE(_xlfn._xlws.FILTER(_xlpm.climateZoneArray, _xlpm.mask, "No match"), 1)))</definedName>
    <definedName name="Common_InputFunctions.Utility_LookupItemFromMinMax">_xlfn.LAMBDA(_xlpm.LookupValue,_xlpm.MinArray,_xlpm.MaxArray,_xlpm.ItemArray, _xlfn.LET(_xlpm.mask, (VALUE(_xlpm.MinArray) &lt;= _xlpm.LookupValue) * (VALUE(_xlpm.MaxArray) &gt;= _xlpm.LookupValue), _xlfn._xlws.FILTER(_xlpm.ItemArray, _xlpm.mask, "No match")))</definedName>
    <definedName name="Common_InputFunctions.Utility_LookupN2OEFFromProdIrrigationRainfall">_xlfn.LAMBDA(_xlpm.ProductionSystem,_xlpm.IrrigationMethod,_xlpm.RainfallZone,_xlpm.ProductionSystemArray,_xlpm.IrrigationMethodArray,_xlpm.RainfallZoneArray,_xlpm.ReturnArray, _xlfn.LET(_xlpm.IrrigationMethod, IF(_xlpm.IrrigationMethod = "Not irrigated", "Not irrigated", "Any"), _xlpm.RainfallZone, IF(_xlpm.IrrigationMethod = "Not irrigated", _xlpm.RainfallZone, "Any"), _xlfn.XLOOKUP(1, (_xlpm.ProductionSystemArray = _xlpm.ProductionSystem) * (_xlpm.IrrigationMethodArray = _xlpm.IrrigationMethod) * (_xlpm.RainfallZoneArray = _xlpm.RainfallZone), _xlpm.ReturnArray)))</definedName>
    <definedName name="Common_InputFunctions.Utility_LookupValueInTable">_xlfn.LAMBDA(_xlpm.LookupValue,_xlpm.LookupArray,_xlpm.ReturnArray, _xlfn.XLOOKUP(_xlpm.LookupValue, _xlpm.LookupArray, _xlpm.ReturnArray, ""))</definedName>
    <definedName name="Common_InputFunctions.Utility_LookupValueInTableNumber">_xlfn.LAMBDA(_xlpm.LookupValue,_xlpm.LookupArray,_xlpm.ReturnArray, IF(ISNUMBER(_xlfn.XLOOKUP(_xlpm.LookupValue, _xlpm.LookupArray, _xlpm.ReturnArray, "")), _xlfn.XLOOKUP(_xlpm.LookupValue, _xlpm.LookupArray, _xlpm.ReturnArray, ""), 0))</definedName>
    <definedName name="Common_InputFunctions.Utility_LookupValueInTableOneColumnAndHeader">_xlfn.LAMBDA(_xlpm.LookupValue1,_xlpm.LookupValue2,_xlpm.LookupArray1,_xlpm.LookupArray2,_xlpm.ReturnArray,_xlop.ValueIfFalse,
    IFERROR(
        _xlfn.XLOOKUP(_xlpm.LookupValue1, _xlpm.LookupArray1,
            _xlfn.XLOOKUP(_xlpm.LookupValue2, _xlpm.LookupArray2, _xlpm.ReturnArray)
        ),
        IF(_xlfn.ISOMITTED(_xlpm.ValueIfFalse), "", _xlpm.ValueIfFalse)
    )
)</definedName>
    <definedName name="Common_InputFunctions.Utility_LookupValueInTableTwoColumns">_xlfn.LAMBDA(_xlpm.LookupValue1,_xlpm.LookupValue2,_xlpm.LookupArray1,_xlpm.LookupArray2,_xlpm.ReturnArray,_xlop.ValueIFFalse,
    _xlfn.XLOOKUP(1, (_xlpm.LookupArray1=_xlpm.LookupValue1)*(_xlpm.LookupArray2=_xlpm.LookupValue2), _xlpm.ReturnArray, IF(_xlfn.ISOMITTED(_xlpm.ValueIFFalse), "", _xlpm.ValueIFFalse))
)</definedName>
    <definedName name="Common_InputFunctions.Utility_ResultsItemFromEquationTitleAndSource">_xlfn.LAMBDA(_xlpm.TitleCell,_xlpm.SourceCell,
    SUBSTITUTE(LEFT(_xlpm.SourceCell, FIND(",", _xlpm.SourceCell) -1), "VEERG 2026: ", "") &amp; " " &amp; _xlpm.TitleCell
)</definedName>
    <definedName name="Common_InputFunctions.Utility_SourceHyperlink">_xlfn.LAMBDA(_xlpm.TargetCell, _xlfn.LET(_xlpm.sh, _xlfn.TEXTAFTER(CELL("filename", _xlpm.TargetCell), "]"), _xlpm.addr, CELL("address", _xlpm.TargetCell), "#'" &amp; _xlpm.sh &amp; "'!" &amp; _xlpm.addr))</definedName>
    <definedName name="Common_InputFunctions.Utility_SourceHyperlinkDifferentSheet">_xlfn.LAMBDA(_xlpm.TargetCell,
  _xlfn.LET(
    _xlpm.sh, _xlfn.TEXTAFTER(CELL("filename", _xlpm.TargetCell), "]"),
    _xlpm.addr, CELL("address", _xlpm.TargetCell),
    "#" &amp; _xlpm.addr
  )
)</definedName>
    <definedName name="Common_InputFunctions.Utility_SplitStringIntoArray">_xlfn.LAMBDA(_xlpm.Cell,_xlpm.Delimiter,_xlop.CharacterToRemove1,_xlop.CharacterToRemove2, _xlfn.FILTERXML("&lt;t&gt;&lt;s&gt;" &amp; SUBSTITUTE(SUBSTITUTE(SUBSTITUTE(_xlpm.Cell, _xlpm.CharacterToRemove1, ""), _xlpm.CharacterToRemove2, ""), _xlpm.Delimiter, "&lt;/s&gt;&lt;s&gt;") &amp; "&lt;/s&gt;&lt;/t&gt;", "//s"))</definedName>
    <definedName name="Common_InputFunctions.Utility_SumQuantityFromCriteria">_xlfn.LAMBDA(_xlpm.Criteria1,_xlpm.Criteria1TypeArray,_xlpm.Quantity,_xlop.Multiplier,_xlop.Criteria2,_xlop.Criteria2Array, _xlfn.LET(_xlpm.multiplier, IF(_xlfn.ISOMITTED(_xlpm.Multiplier), 1, _xlpm.Multiplier), _xlpm.quantity, _xlpm.Quantity * _xlpm.multiplier, _xlpm.criteria1, --(_xlpm.Criteria1TypeArray = _xlpm.Criteria1), _xlpm.criteria2, IF(_xlfn.ISOMITTED(_xlpm.Criteria2), 1, --(_xlpm.Criteria2Array = _xlpm.Criteria2)), SUMPRODUCT(_xlpm.criteria1 * _xlpm.criteria2 * _xlpm.quantity)))</definedName>
    <definedName name="Common_SourceData.Common_SourceData_AustralianStatesTerritories_Data">_xlfn.LAMBDA(_xlfn.MAKEARRAY(9, 3, _xlfn.LAMBDA(_xlpm.r,_xlpm.c, INDEX({"State/Territory","Common Name","Abbreviation";"New South Wales","New South Wales","NSW";"Australian Capital Territory","ACT","ACT";"Victoria","Victoria","VIC";"Queensland","Queensland","QLD";"South Australia","South Australia","SA";"Western Australia","Western Australia","WA";"Tasmania","Tasmania","TAS";"Northern Territory","Northern Territory","NT"}, _xlpm.r, _xlpm.c))))</definedName>
    <definedName name="Common_SourceData.Common_SourceData_AustralianStatesTerritories_Source">_xlfn.LAMBDA("")</definedName>
    <definedName name="Common_SourceData.Common_SourceData_AustralianStatesTerritories_Title">_xlfn.LAMBDA("Australian states and territories")</definedName>
    <definedName name="Common_SourceData.Common_SourceData_AustralianStatesTerritories_Unit">_xlfn.LAMBDA("")</definedName>
    <definedName name="Common_SourceData.Common_SourceData_AustralianStatesTerritories_Variable">_xlfn.LAMBDA("")</definedName>
    <definedName name="Common_SourceData.Common_SourceData_ClimateZones_Appendices">_xlfn.LAMBDA(_xlfn.MAKEARRAY(4, 1, _xlfn.LAMBDA(_xlpm.r,_xlpm.c, INDEX({"Note:";"MAT = mean annual temperature";"MAP = mean annual precipitation";"PET = potential evapotranspiration"}, _xlpm.r, _xlpm.c))))</definedName>
    <definedName name="Common_SourceData.Common_SourceData_ClimateZones_Data">_xlfn.LAMBDA(_xlfn.MAKEARRAY(9, 16, _xlfn.LAMBDA(_xlpm.r,_xlpm.c, INDEX({"Climate Zone","MAT","MAP","Frost days per year","Elevation","MAP:PET","Min temp","Max temp","Min rainfall","Max rainfall","Min frost days","Max frost days","Min elevation","Max elevation","Min MAP:PET","Min MAP:PET";"Tropical montane","&gt; 18 C","Any","≤ 7","&gt; 1000 m","Any",18.001,999999,-999999,999999,-999999,7,1000,999999,-999999,999999;"Tropical wet","&gt; 18 C","&gt; 2000 mm","≤ 7","≤ 1000 m","Any",18.001,999999,2000.001,999999,-999999,7,-999999,999.999,-999999,999999;"Tropical moist","&gt; 18 C","&gt; 1000 mm - ≤ 2000 mm","≤ 7","≤ 1000 m","Any",18.001,999999,1000.001,2000,-999999,7,-999999,999.999,-999999,999999;"Tropical dry","&gt; 18 C","≤ 1000 mm","≤ 7","≤ 1000 m","Any",18.001,999999,-999999,1000,-999999,7,-999999,999.999,-999999,999999;"Warm temperate moist","&gt; 10 C","Any","Any","Any","&gt; 1",10.001,999999,-999999,999999,-999999,999999,-999999,999999,1.001,999999;"Warm temperate dry","&gt; 10 C","Any","Any","Any","≤ 1",10.001,999999,-999999,999999,-999999,999999,-999999,999999,-999999,1;"Cool temperate moist","&gt; 0 C - ≤ 10 C","Any","Any","Any","&gt; 1",-999999,10,-999999,999999,-999999,999999,-999999,999999,1.001,999999;"Cool temperate dry","&gt; 0 C - ≤ 10 C","Any","Any","Any","≤ 1",-999999,10,-999999,999999,-999999,999999,-999999,999999,-999999,1}, _xlpm.r, _xlpm.c))))</definedName>
    <definedName name="Common_SourceData.Common_SourceData_ClimateZones_Source">_xlfn.LAMBDA("VEERG 2026: Table 1.3: Climate and Rainfall zone classifications and definitions")</definedName>
    <definedName name="Common_SourceData.Common_SourceData_ClimateZones_Title">_xlfn.LAMBDA("VEERG Australian climate zones")</definedName>
    <definedName name="Common_SourceData.Common_SourceData_ClimateZones_Unit">_xlfn.LAMBDA("")</definedName>
    <definedName name="Common_SourceData.Common_SourceData_ClimateZones_Variable">_xlfn.LAMBDA("")</definedName>
    <definedName name="Common_SourceData.Common_SourceData_ClimateZones_Variation">_xlfn.LAMBDA(_xlfn.MAKEARRAY(5, 1, _xlfn.LAMBDA(_xlpm.r,_xlpm.c, INDEX({"VARIATION OF SOURCE DATA:";"Added warm / cool temperate moist / dry - low frost and high temp classes to accommodate climate scenarios excluded by VEERG criteria.";"Fixed typo in MAT value for warm temperate dry - changed 10 to 11.";"Added min and max columns for MAT, MAP, frost days per year, elevation, MAP:PET to calculate zones from real climate data.";"GAF accepts rainfall as a proxy for precipitation."}, _xlpm.r, _xlpm.c))))</definedName>
    <definedName name="Common_SourceData.Common_SourceData_ConvertGasElementalToMolecular_Data">_xlfn.LAMBDA(_xlfn.MAKEARRAY(8, 4, _xlfn.LAMBDA(_xlpm.r,_xlpm.c, INDEX({"Gas","Conversion factor","Conversion factor 1","Conversion factor 2";"CO2","44/12",44,12;"CH4","16/12",16,12;"N2O","44/28",44,28;"Nox","46/14",46,14;"CO","28/12",28,12;"CO2 Lime","44/12",44,12;"NMVOC","14/12",14,12}, _xlpm.r, _xlpm.c))))</definedName>
    <definedName name="Common_SourceData.Common_SourceData_ConvertGasElementalToMolecular_Source">_xlfn.LAMBDA("XXXXXXX")</definedName>
    <definedName name="Common_SourceData.Common_SourceData_ConvertGasElementalToMolecular_Title">_xlfn.LAMBDA("Factor to convert elemental mass of gas to molecular mass")</definedName>
    <definedName name="Common_SourceData.Common_SourceData_ConvertGasElementalToMolecular_Unit">_xlfn.LAMBDA("factor")</definedName>
    <definedName name="Common_SourceData.Common_SourceData_ConvertGasElementalToMolecular_Variable">_xlfn.LAMBDA("Cg")</definedName>
    <definedName name="Common_SourceData.Common_SourceData_ConvertN2oElementalToMolecularCg_Data">_xlfn.LAMBDA(44 / 28)</definedName>
    <definedName name="Common_SourceData.Common_SourceData_ConvertN2oElementalToMolecularCg_Source">_xlfn.LAMBDA("National Inventory Report 2023 Volume 1")</definedName>
    <definedName name="Common_SourceData.Common_SourceData_ConvertN2oElementalToMolecularCg_Title">_xlfn.LAMBDA("Factor to convert elemental mass of N2O to molecular mass")</definedName>
    <definedName name="Common_SourceData.Common_SourceData_ConvertN2oElementalToMolecularCg_Unit">_xlfn.LAMBDA("factor")</definedName>
    <definedName name="Common_SourceData.Common_SourceData_ConvertN2oElementalToMolecularCg_Variable">_xlfn.LAMBDA("CgN2O")</definedName>
    <definedName name="Common_SourceData.Common_SourceData_DataScores_Scope3_Data">_xlfn.LAMBDA(_xlfn.MAKEARRAY(6, 2, _xlfn.LAMBDA(_xlpm.r,_xlpm.c, INDEX({"Data source","Data score";"International scope 3 database",1;"Australian scope 3 database",2;"State or regional scope 3 database",3;"Emissions intensity calculated from approved method",4;"Verified credential matching ISO14067",5}, _xlpm.r, _xlpm.c))))</definedName>
    <definedName name="Common_SourceData.Common_SourceData_DataScores_Scope3_Source">_xlfn.LAMBDA("VEERG 2026: XXXXXXXX")</definedName>
    <definedName name="Common_SourceData.Common_SourceData_DataScores_Scope3_Title">_xlfn.LAMBDA("Australian data scores for scope 3")</definedName>
    <definedName name="Common_SourceData.Common_SourceData_DataScores_Scope3_Unit">_xlfn.LAMBDA("")</definedName>
    <definedName name="Common_SourceData.Common_SourceData_DataScores_Scope3_Variable">_xlfn.LAMBDA("")</definedName>
    <definedName name="Common_SourceData.Common_SourceData_DataScores_Scope3_Variation">_xlfn.LAMBDA("")</definedName>
    <definedName name="Common_SourceData.Common_SourceData_DensityOfMethane_Data">_xlfn.LAMBDA(0.6784)</definedName>
    <definedName name="Common_SourceData.Common_SourceData_DensityOfMethane_Source">_xlfn.LAMBDA("National Inventory Report 2023 Volume 1: Equations 3.B.1a_2, 3.B.1c_2, 3.B.3_1, 3.B.4g_2")</definedName>
    <definedName name="Common_SourceData.Common_SourceData_DensityOfMethane_Title">_xlfn.LAMBDA("p = density of methane")</definedName>
    <definedName name="Common_SourceData.Common_SourceData_DensityOfMethane_Unit">_xlfn.LAMBDA("kg/m3")</definedName>
    <definedName name="Common_SourceData.Common_SourceData_EFleach_Data">_xlfn.LAMBDA(_xlfn.MAKEARRAY(1, 2, _xlfn.LAMBDA(_xlpm.r,_xlpm.c, INDEX({"EFleach",0.011}, _xlpm.r, _xlpm.c))))</definedName>
    <definedName name="Common_SourceData.Common_SourceData_EFleach_NIRReference">_xlfn.LAMBDA("National Inventory Report Volume 1: Equation 3.D.B_10")</definedName>
    <definedName name="Common_SourceData.Common_SourceData_EFleach_Source">_xlfn.LAMBDA("VEERG 2026:5.5.2.3 Constant Parameters")</definedName>
    <definedName name="Common_SourceData.Common_SourceData_EFleach_Title">_xlfn.LAMBDA("Emission factor for nitrogen leaching and runoff")</definedName>
    <definedName name="Common_SourceData.Common_SourceData_EFleach_Unit">_xlfn.LAMBDA("(kg N2O-N / kg N")</definedName>
    <definedName name="Common_SourceData.Common_SourceData_EFleach_Variation">_xlfn.LAMBDA((""))</definedName>
    <definedName name="Common_SourceData.Common_SourceData_EFN2O_Data">_xlfn.LAMBDA(
    _xlfn.MAKEARRAY(14, 5,
      _xlfn.LAMBDA(_xlpm.r,_xlpm.c,
        INDEX({"Production system j","EFN2O","Production system only","Irrigation method","Rainfall zone";"Irrigated pasture",0.0059,"Pasture","Any","Any";"Irrigated crop",0.007,"Crop","Any","Any";"Non-irrigated pasture",0.0018,"Pasture","Not irrigated","Low rainfall";"Non-irrigated pasture",0.0018,"Pasture","Not irrigated","High rainfall";"Non-irrigated crop (low rainfall)",0.0029,"Crop","Not irrigated","Low rainfall";"Non-irrigated crop (high rainfall)",0.008,"Crop","Not irrigated","High rainfall";"Sugar",0.0199,"Sugar","Any","Any";"Cotton",0.0053,"Cotton","Any","Any";"Horticultural crops",0.0064,"Horticultural crops","Any","Any";"Rice (continuous flooding)",0.003,"Rice","Continuous flooding","Any";"Rice (single and multiple drainage, or alternate wetting and drying)",0.005,"Rice","Single and multiple drainage, or alternate wetting and drying","Any";"Aquaculture",0.0026,"Aquaculture","Any","Any";"Forestry",0.0018,"Forestry","Any","Any"}, _xlpm.r, _xlpm.c)
      )
    )
  )</definedName>
    <definedName name="Common_SourceData.Common_SourceData_EFN2O_NIRReference">_xlfn.LAMBDA("")</definedName>
    <definedName name="Common_SourceData.Common_SourceData_EFN2O_Source">_xlfn.LAMBDA("VEERG 2026: Table A.2.2.1")</definedName>
    <definedName name="Common_SourceData.Common_SourceData_EFN2O_Title">_xlfn.LAMBDA("Nitrous oxide emission factors for inorganic fertiliser application")</definedName>
    <definedName name="Common_SourceData.Common_SourceData_EFN2O_Unit">_xlfn.LAMBDA("(kg N2O-N / kg N")</definedName>
    <definedName name="Common_SourceData.Common_SourceData_EFN2O_Variation">_xlfn.LAMBDA(_xlfn.MAKEARRAY(5, 1, _xlfn.LAMBDA(_xlpm.r,_xlpm.c, INDEX({"VARIATION OF SOURCE DATA:";"Removed duplicate 'Aquaculture' row.";"Removed asterisks to aid lookup.";"Added 'production system only', 'rainfall zone' and 'irrigation method' columns to aid lookup.";"Duplicated 'non-irrigated pasture' row with same EF for low and high rainfall zones to aid lookup."}, _xlpm.r, _xlpm.c))))</definedName>
    <definedName name="Common_SourceData.Common_SourceData_EFOrganicFertiliserAndCropResidues_Data">_xlfn.LAMBDA(_xlfn.MAKEARRAY(3, 2, _xlfn.LAMBDA(_xlpm.r,_xlpm.c, INDEX({"Climate zone","EFNi &amp; EFN2O";"Wet climate zone",0.006;"Dry climate zone",0.005}, _xlpm.r, _xlpm.c))))</definedName>
    <definedName name="Common_SourceData.Common_SourceData_EFOrganicFertiliserAndCropResidues_NIRReference">_xlfn.LAMBDA("")</definedName>
    <definedName name="Common_SourceData.Common_SourceData_EFOrganicFertiliserAndCropResidues_Source">_xlfn.LAMBDA("VEERG 2026: Table A.2.1.4")</definedName>
    <definedName name="Common_SourceData.Common_SourceData_EFOrganicFertiliserAndCropResidues_Title">_xlfn.LAMBDA("Emission factor for organic fertiliser and crop residues returned to the soil")</definedName>
    <definedName name="Common_SourceData.Common_SourceData_EFOrganicFertiliserAndCropResidues_Unit">_xlfn.LAMBDA("kg N2O - N / kg N")</definedName>
    <definedName name="Common_SourceData.Common_SourceData_EFOrganicFertiliserAndCropResidues_Variable">_xlfn.LAMBDA("EFNi &amp; EFN2Oi")</definedName>
    <definedName name="Common_SourceData.Common_SourceData_EFOrganicFertiliserAndCropResidues_Variation">_xlfn.LAMBDA("")</definedName>
    <definedName name="Common_SourceData.Common_SourceData_EFPastureRangeAndPaddock_Data">_xlfn.LAMBDA(_xlfn.MAKEARRAY(3, 2, _xlfn.LAMBDA(_xlpm.r,_xlpm.c, INDEX({"Climate zone","EFPRP";"Wet climate zone",0.006;"Dry climate zone",0.002}, _xlpm.r, _xlpm.c))))</definedName>
    <definedName name="Common_SourceData.Common_SourceData_EFPastureRangeAndPaddock_NIRReference">_xlfn.LAMBDA("")</definedName>
    <definedName name="Common_SourceData.Common_SourceData_EFPastureRangeAndPaddock_Source">_xlfn.LAMBDA("VEERG 2026: Table A.2.2.2")</definedName>
    <definedName name="Common_SourceData.Common_SourceData_EFPastureRangeAndPaddock_Title">_xlfn.LAMBDA("Emission factor for urine and dung deposited on pasture, range or paddock")</definedName>
    <definedName name="Common_SourceData.Common_SourceData_EFPastureRangeAndPaddock_Unit">_xlfn.LAMBDA("kg N2O - N / kg N")</definedName>
    <definedName name="Common_SourceData.Common_SourceData_EFPastureRangeAndPaddock_Variation">_xlfn.LAMBDA("VARIATION FROM SOURCE DATA: Changed 'Dry climate zones' to singular 'Dry climate zone' to aid lookup.")</definedName>
    <definedName name="Common_SourceData.Common_SourceData_FracLEACH_Data">_xlfn.LAMBDA(_xlfn.MAKEARRAY(1, 2, _xlfn.LAMBDA(_xlpm.r,_xlpm.c, INDEX({"FracLEACH",0.24}, _xlpm.r, _xlpm.c))))</definedName>
    <definedName name="Common_SourceData.Common_SourceData_FracLEACH_NIRReference">_xlfn.LAMBDA("National Inventory Report Volume 1: Leaching and runoff (3.D.b.2)")</definedName>
    <definedName name="Common_SourceData.Common_SourceData_FracLEACH_Source">_xlfn.LAMBDA("VEERG 2026:5.5.2.3 Constant Parameters")</definedName>
    <definedName name="Common_SourceData.Common_SourceData_FracLEACH_Title">_xlfn.LAMBDA("Fraction of N that is available for leaching and runoff")</definedName>
    <definedName name="Common_SourceData.Common_SourceData_FracLEACH_Unit">_xlfn.LAMBDA("(Dimensionless")</definedName>
    <definedName name="Common_SourceData.Common_SourceData_FracLEACH_Variation">_xlfn.LAMBDA((""))</definedName>
    <definedName name="Common_SourceData.Common_SourceData_FracWET_Data">_xlfn.LAMBDA(_xlfn.MAKEARRAY(3, 2, _xlfn.LAMBDA(_xlpm.r,_xlpm.c, INDEX({"Is in leaching zone","FracWET";"Yes - in leaching zone",1;"No - not in leaching zone",0}, _xlpm.r, _xlpm.c))))</definedName>
    <definedName name="Common_SourceData.Common_SourceData_FracWET_NIRReference">_xlfn.LAMBDA("")</definedName>
    <definedName name="Common_SourceData.Common_SourceData_FracWET_Source">_xlfn.LAMBDA("VEERG 2026:5.5.2.3 Constant Parameters")</definedName>
    <definedName name="Common_SourceData.Common_SourceData_FracWET_Title">_xlfn.LAMBDA("Fraction of N that is available for leaching and runoff")</definedName>
    <definedName name="Common_SourceData.Common_SourceData_FracWET_Unit">_xlfn.LAMBDA("(Dimensionless")</definedName>
    <definedName name="Common_SourceData.Common_SourceData_FracWET_Variation">_xlfn.LAMBDA((""))</definedName>
    <definedName name="Common_SourceData.Common_SourceData_FracWETIrrigation_Data">_xlfn.LAMBDA(_xlfn.MAKEARRAY(6, 2, _xlfn.LAMBDA(_xlpm.r,_xlpm.c, INDEX({"Irrigation type ir","FracWET";"Not irrigated",0;"Drip irrigation",0;"Sprinkler irrigation",1;"Surface irrigation",1;"Other irrigation",1}, _xlpm.r, _xlpm.c))))</definedName>
    <definedName name="Common_SourceData.Common_SourceData_FracWETIrrigation_NIRReference">_xlfn.LAMBDA("IPCC 2019 Refinement Volume 4: Chapter 11: N2O Emissions from Managed Soils, and CO2 Emissions from Lime and Urea Application")</definedName>
    <definedName name="Common_SourceData.Common_SourceData_FracWETIrrigation_Source">_xlfn.LAMBDA("VEERG 2026: Chapter 1, section 1.8.2 Leaching, climate and rainfall zones")</definedName>
    <definedName name="Common_SourceData.Common_SourceData_FracWETIrrigation_Title">_xlfn.LAMBDA("FracWET for irrigation types")</definedName>
    <definedName name="Common_SourceData.Common_SourceData_FracWETIrrigation_Unit">_xlfn.LAMBDA("dimensionless")</definedName>
    <definedName name="Common_SourceData.Common_SourceData_FracWETIrrigation_Variation">_xlfn.LAMBDA("VARIATION FROM SOURCE DATA: Table created based on VEERG text 'Areas are subject to leaching (i.e., in the leaching zone) when... the land is irrigated (except drip irrigation).'")</definedName>
    <definedName name="Common_SourceData.Common_SourceData_GWP_Data">_xlfn.LAMBDA(_xlfn.MAKEARRAY(8, 2, _xlfn.LAMBDA(_xlpm.r,_xlpm.c, INDEX({"Gas","CO2-e factor";"CO2",1;"CH4",28;"N2O",265;"CF4",6630;"C2F6",12200;"SF6",22800;"NF3",17200}, _xlpm.r, _xlpm.c))))</definedName>
    <definedName name="Common_SourceData.Common_SourceData_GWP_Source">_xlfn.LAMBDA("XXXXXXX")</definedName>
    <definedName name="Common_SourceData.Common_SourceData_GWP_Title">_xlfn.LAMBDA("Global warming potential for greenhouse gases")</definedName>
    <definedName name="Common_SourceData.Common_SourceData_GWP_Unit">_xlfn.LAMBDA("factor")</definedName>
    <definedName name="Common_SourceData.Common_SourceData_GWP_Variable">_xlfn.LAMBDA("GWPN2O")</definedName>
    <definedName name="Common_SourceData.Common_SourceData_LeachingZones_Data">_xlfn.LAMBDA(
    _xlfn.MAKEARRAY(3, 2,
      _xlfn.LAMBDA(_xlpm.r,_xlpm.c,
        INDEX({"Leaching Zone","Leaching criteria";"Leaching occurs","Σ(𝑟𝑎𝑖𝑛)&gt;Σ(𝐸𝑇0)+𝑠𝑜𝑖𝑙 𝑤𝑎𝑡𝑒𝑟 ℎ𝑜𝑙𝑑𝑖𝑛𝑔 𝑐𝑎𝑝𝑎𝑐𝑖𝑡𝑦";"Leaching does not occur","Σ(𝑟𝑎𝑖𝑛)≤Σ(𝐸𝑇0)+𝑠𝑜𝑖𝑙 𝑤𝑎𝑡𝑒𝑟 ℎ𝑜𝑙𝑑𝑖𝑛𝑔 𝑐𝑎𝑝𝑎𝑐𝑖𝑡𝑦"}, _xlpm.r, _xlpm.c)
      )
    )
  )</definedName>
    <definedName name="Common_SourceData.Common_SourceData_LeachingZones_Source">_xlfn.LAMBDA("VEERG 2026: Table 1.3: Climate and Rainfall zone classifications and definitions")</definedName>
    <definedName name="Common_SourceData.Common_SourceData_LeachingZones_Title">_xlfn.LAMBDA("VEERG Australian leaching zones")</definedName>
    <definedName name="Common_SourceData.Common_SourceData_LeachingZones_Unit">_xlfn.LAMBDA("")</definedName>
    <definedName name="Common_SourceData.Common_SourceData_LeachingZones_Variable">_xlfn.LAMBDA("")</definedName>
    <definedName name="Common_SourceData.Common_SourceData_LeachingZones_Variation">_xlfn.LAMBDA("")</definedName>
    <definedName name="Common_SourceData.Common_SourceData_MCFTemperatureZone_Data">_xlfn.LAMBDA(
    _xlfn.MAKEARRAY(21, 16,
      _xlfn.LAMBDA(_xlpm.r,_xlpm.c,
        INDEX({"Temperature zone","MAT (ºC)","Uncovered anerobic lagoon","Covered lagoon","Liquid Slurry (without natural crust)","Daily spread (b)","Composting (passive windrow)","Solid Storage","Pit Storage &lt;1 month","Deep Litter","Poultry Manure (with/without litter)","","Direct processing into pelletized fertiliser","Direct application to soil","Pasture, Range and Paddock (c)(d)","MAT raw";"Cool","≤10",0.66,0.1,0.1,0.001,0.005,0.02,0.03,0.04,0.015,0.015,0,0,0.0047,10;"Cool",11,0.68,0.1,0.11,0.001,0.005,0.02,0.03,0.04,0.015,0.015,0,0,0.0047,11;"Cool",12,0.7,0.1,0.13,0.001,0.005,0.02,0.03,0.04,0.015,0.015,0,0,0.0047,12;"Cool",13,0.71,0.1,0.14,0.001,0.005,0.02,0.03,0.04,0.015,0.015,0,0,0.0047,13;"Cool",14,0.73,0.1,0.15,0.001,0.005,0.02,0.03,0.04,0.015,0.015,0,0,0.0047,14;"Temperate",15,0.74,0.1,0.17,0.005,0.01,0.02,0.03,0.04,0.015,0.015,0,0,0.0047,15;"Temperate",16,0.75,0.1,0.18,0.005,0.01,0.02,0.03,0.04,0.015,0.015,0,0,0.0047,16;"Temperate",17,0.76,0.1,0.2,0.005,0.01,0.02,0.03,0.04,0.015,0.015,0,0,0.0047,17;"Temperate",18,0.77,0.1,0.22,0.005,0.01,0.02,0.03,0.04,0.015,0.015,0,0,0.0047,18;"Temperate",19,0.77,0.1,0.24,0.005,0.01,0.02,0.03,0.04,0.015,0.015,0,0,0.0047,19;"Temperate",20,0.78,0.1,0.26,0.005,0.01,0.02,0.03,0.04,0.015,0.015,0,0,0.0047,20;"Temperate",21,0.78,0.1,0.29,0.005,0.01,0.02,0.03,0.04,0.015,0.015,0,0,0.0047,21;"Temperate",22,0.78,0.1,0.31,0.005,0.01,0.02,0.03,0.04,0.015,0.015,0,0,0.0047,22;"Temperate",23,0.79,0.1,0.34,0.005,0.01,0.02,0.03,0.04,0.015,0.015,0,0,0.0047,23;"Temperate",24,0.79,0.1,0.37,0.005,0.01,0.02,0.03,0.04,0.015,0.015,0,0,0.0047,24;"Temperate",25,0.79,0.1,0.41,0.005,0.01,0.02,0.03,0.04,0.015,0.015,0,0,0.0047,25;"Warm",26,0.79,0.1,0.44,0.01,0.015,0.02,0.03,0.04,0.015,0.015,0,0,0.0047,26;"Warm",27,0.8,0.1,0.48,0.01,0.015,0.02,0.03,0.04,0.015,0.015,0,0,0.0047,27;"Warm","≥28",0.8,0.1,0.5,0.01,0.015,0.02,0.03,0.04,0.015,0.015,0,0,0.0047,28;"","","Anaerobic lagoon","Digester / covered lagoons","Liquid systems","Daily spread","Composting (passive windrow)","Solid storage","Pit storage","Deep litter","Poultry manure with bedding","Poultry manure without bedding","Direct processing","Direct application","Pasture range and paddock","MAT raw"}, _xlpm.r, _xlpm.c)
      )
    )
  )</definedName>
    <definedName name="Common_SourceData.Common_SourceData_MCFTemperatureZone_Source">_xlfn.LAMBDA("VEERG 2026: Table A.1.8.1")</definedName>
    <definedName name="Common_SourceData.Common_SourceData_MCFTemperatureZone_Title">_xlfn.LAMBDA("Manure Management – Methane conversion factor per temperature zone (fraction) (MCFim)")</definedName>
    <definedName name="Common_SourceData.Common_SourceData_MCFTemperatureZone_Unit">_xlfn.LAMBDA("fraction")</definedName>
    <definedName name="Common_SourceData.Common_SourceData_MCFTemperatureZone_Variation">_xlfn.LAMBDA("VARIATION FROM SOURCE: Added row of NIR MMA definitions to aid lookup. Duplicated 'Poultry with and without litter' column with separate NIR definitions to aid lookup. Added 'MAT raw' column to allow lookup of numbers.")</definedName>
    <definedName name="Common_SourceData.Common_SourceData_MonthsToSeasons_Data">_xlfn.LAMBDA(_xlfn.MAKEARRAY(13, 2, _xlfn.LAMBDA(_xlpm.r,_xlpm.c, INDEX({"Month","Season";"January","Summer";"February","Summer";"March","Autumn";"April","Autumn";"May","Autumn";"June","Winter";"July","Winter";"August","Winter";"September","Spring";"October","Spring";"November","Spring";"December","Summer"}, _xlpm.r, _xlpm.c))))</definedName>
    <definedName name="Common_SourceData.Common_SourceData_MonthsToSeasons_NIRReference">_xlfn.LAMBDA("")</definedName>
    <definedName name="Common_SourceData.Common_SourceData_MonthsToSeasons_Source">_xlfn.LAMBDA("")</definedName>
    <definedName name="Common_SourceData.Common_SourceData_MonthsToSeasons_Title">_xlfn.LAMBDA("Months to Seasons Mapping")</definedName>
    <definedName name="Common_SourceData.Common_SourceData_MonthsToSeasons_Unit">_xlfn.LAMBDA("")</definedName>
    <definedName name="Common_SourceData.Common_SourceData_MonthsToSeasons_Variation">_xlfn.LAMBDA("")</definedName>
    <definedName name="Common_SourceData.Common_SourceData_RainfallZones_Data">_xlfn.LAMBDA(_xlfn.MAKEARRAY(3, 4, _xlfn.LAMBDA(_xlpm.r,_xlpm.c, INDEX({"Rainfall Zone","Annual rainfall","Rainfall min","Rainfall max";"High rainfall","Annual rainfall &gt; 600mm",600.001,999999;"Low rainfall","Annual rainfall ≤ 600mm",-999999,600}, _xlpm.r, _xlpm.c))))</definedName>
    <definedName name="Common_SourceData.Common_SourceData_RainfallZones_Source">_xlfn.LAMBDA("VEERG 2026: Table 1.3: Climate and Rainfall zone classifications and definitions")</definedName>
    <definedName name="Common_SourceData.Common_SourceData_RainfallZones_Title">_xlfn.LAMBDA("VEERG Australian rainfall zones")</definedName>
    <definedName name="Common_SourceData.Common_SourceData_RainfallZones_Unit">_xlfn.LAMBDA("")</definedName>
    <definedName name="Common_SourceData.Common_SourceData_RainfallZones_Variable">_xlfn.LAMBDA("")</definedName>
    <definedName name="Common_SourceData.Common_SourceData_RainfallZones_Variation">_xlfn.LAMBDA("VARIATION OF SOURCE DATA: Added extra Rainfall min and Rainfall max columns to calculate zone from real rainfall data.")</definedName>
    <definedName name="Common_SourceData.Common_SourceData_TemperatureZones_Data">_xlfn.LAMBDA(_xlfn.MAKEARRAY(4, 4, _xlfn.LAMBDA(_xlpm.r,_xlpm.c, INDEX({"Temperature Zone","Median Annual Temperature (MAT)","Min MAT","Max MAT";"Warm","≥ 26 C",26,999999;"Temperate","15 - 25 C",15,25.999;"Cool","≤ 14 C",-999999,14.999}, _xlpm.r, _xlpm.c))))</definedName>
    <definedName name="Common_SourceData.Common_SourceData_TemperatureZones_Source">_xlfn.LAMBDA("VEERG 2026: Table 1.3: Climate and Rainfall zone classifications and definitions")</definedName>
    <definedName name="Common_SourceData.Common_SourceData_TemperatureZones_Title">_xlfn.LAMBDA("VEERG Australian temperature zones")</definedName>
    <definedName name="Common_SourceData.Common_SourceData_TemperatureZones_Unit">_xlfn.LAMBDA("")</definedName>
    <definedName name="Common_SourceData.Common_SourceData_TemperatureZones_Variable">_xlfn.LAMBDA("")</definedName>
    <definedName name="Common_SourceData.Common_SourceData_TemperatureZones_Variation">_xlfn.LAMBDA("VARIATION OF SOURCE DATA: Added extra MAT min and MAT max columns to calculate zone from real temperature data.")</definedName>
    <definedName name="Common_SourceData.Common_SourceData_WASA4Areas_Data">_xlfn.LAMBDA(_xlfn.MAKEARRAY(11, 1, _xlfn.LAMBDA(_xlpm.r,_xlpm.c, INDEX({"SA 4 Name";"Bunbury";"Mandurah";"Perth - Inner";"Perth - North East";"Perth - North West";"Perth - South East";"Perth - South West";"Western Australia - Wheat Belt";"Western Australia - Outback (North)";"Western Australia - Outback (South)"}, _xlpm.r, _xlpm.c))))</definedName>
    <definedName name="Common_SourceData.Common_SourceData_WASA4Areas_Source">_xlfn.LAMBDA("Australian Bureau of Statistics (ABS) - Statistical Areas Level 2 - 2021 - Shapefile")</definedName>
    <definedName name="Common_SourceData.Common_SourceData_WASA4Areas_Title">_xlfn.LAMBDA("ABS Statistcal Areas Level 4 - Western Australia")</definedName>
    <definedName name="Common_SourceData.Common_SourceData_WASA4Areas_Unit">_xlfn.LAMBDA("")</definedName>
    <definedName name="Common_SourceData.Common_SourceData_WASA4Areas_Variable">_xlfn.LAMBDA("")</definedName>
    <definedName name="Common_SourceData.Common_SourceData_WetAndDryZones_Data">_xlfn.LAMBDA(_xlfn.MAKEARRAY(15, 2, _xlfn.LAMBDA(_xlpm.r,_xlpm.c, INDEX({"Climate Zone","Wet or Dry Zone";"Tropical montane","Wet climate zone";"Tropical wet","Wet climate zone";"Tropical moist","Wet climate zone";"Tropical dry","Dry climate zone";"Warm temperate moist","Wet climate zone";"Warm temperate dry","Dry climate zone";"Cool temperate moist","Wet climate zone";"Cool temperate dry","Dry climate zone";"Warm temperate moist - low frost","Wet climate zone";"Warm temperate dry - low frost","Dry climate zone";"Warm temperate moist - high temp","Wet climate zone";"Warm temperate dry - high temp","Dry climate zone";"Cool temperate moist - low frost","Wet climate zone";"Cool temperate dry - low frost","Dry climate zone"}, _xlpm.r, _xlpm.c))))</definedName>
    <definedName name="Common_SourceData.Common_SourceData_WetAndDryZones_Source">_xlfn.LAMBDA("VEERG 2026: Table 1.2: Translating climate zones to wet and dry zones")</definedName>
    <definedName name="Common_SourceData.Common_SourceData_WetAndDryZones_Title">_xlfn.LAMBDA("VEERG Australian wet and dry zones")</definedName>
    <definedName name="Common_SourceData.Common_SourceData_WetAndDryZones_Unit">_xlfn.LAMBDA("")</definedName>
    <definedName name="Common_SourceData.Common_SourceData_WetAndDryZones_Variable">_xlfn.LAMBDA("")</definedName>
    <definedName name="Common_SourceData.Common_SourceData_WetAndDryZones_Variation">_xlfn.LAMBDA(_xlfn.MAKEARRAY(3, 1, _xlfn.LAMBDA(_xlpm.r,_xlpm.c, INDEX({"VARIATION OF SOURCE DATA:";"Added warm / cool temperate moist / dry - low frost and high temp classes to accommodate climate scenarios excluded by VEERG criteria.";"Fixed typo - Changed 'Fry' to 'Dry'."}, _xlpm.r, _xlpm.c))))</definedName>
    <definedName name="Common_SourceData_DensityOfMethane_Data">'Constants - Common'!$D$175</definedName>
    <definedName name="CommonCropping_InputFunctions.CommonCropping_CalculateFractionResidueRemoved">_xlfn.LAMBDA(_xlpm.TotalResidue,_xlpm.AmountRemoved, (_xlpm.AmountRemoved * 10 ^ 3) / (_xlpm.TotalResidue * 10 ^ 3))</definedName>
    <definedName name="CommonCropping_InputFunctions.CommonCropping_CalculateHarvestIndex">_xlfn.LAMBDA(_xlpm.CropType,_xlpm.CropTypeArray,_xlpm.ResidueCropRatioArray, 1 / (1 + Common_InputFunctions.Utility_LookupValueInTableNumber(_xlpm.CropType, _xlpm.CropTypeArray, _xlpm.ResidueCropRatioArray)))</definedName>
    <definedName name="CommonCropping_InputFunctions.CommonCropping_CalculateResidueCropRatio">_xlfn.LAMBDA(_xlpm.HarvestIndex, (1 - _xlpm.HarvestIndex) / _xlpm.HarvestIndex)</definedName>
    <definedName name="CommonCropping_InputFunctions.CommonCropping_GetFracWET">_xlfn.LAMBDA(_xlpm.LeachingZone,_xlpm.ProductionSystem,_xlpm.LeachingZoneLookup,_xlpm.LeachingZoneFracWETLookup,_xlpm.ProductionSystemLookup,_xlpm.ProductionSystemFracWETLookup, _xlfn.LET(_xlpm.LeachingZoneFracWET, Common_InputFunctions.Utility_LookupValueInTableNumber(_xlpm.LeachingZone, _xlpm.LeachingZoneLookup, _xlpm.LeachingZoneFracWETLookup), _xlpm.ProductionSystemFracWET, Common_InputFunctions.Utility_LookupValueInTableNumber(_xlpm.ProductionSystem, _xlpm.ProductionSystemLookup, _xlpm.ProductionSystemFracWETLookup), IF(_xlpm.LeachingZoneFracWET + _xlpm.ProductionSystemFracWET &gt; 0, 1, 0)))</definedName>
    <definedName name="CommonLivestock_InputFunctions.AverageLiveweightEndOfMonth">_xlfn.LAMBDA(_xlpm.Month,_xlpm.LivestockClass,_xlpm.HeadAtStart,_xlpm.LiveweightAtStart,_xlpm.LiveweightGain, [0]!CommonLivestock_InputFunctions.LivestockMovement_ProportionalAverageLiveweightAddedDuringMonth(_xlpm.Month, _xlpm.LivestockClass, _xlpm.HeadAtStart) + [0]!CommonLivestock_InputFunctions.LivestockMovement_ProportionalAverageLiveweightRemainingAtEndOfMonth(_xlpm.Month, _xlpm.LivestockClass, _xlpm.HeadAtStart, _xlpm.LiveweightAtStart, _xlpm.LiveweightGain))</definedName>
    <definedName name="CommonLivestock_InputFunctions.LivestockMovement_AverageLiveweightAddedDuringMonth">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GetMovementLiveweightGain" localSheetId="10">_xlfn.LAMBDA(_xlpm.LivestockClass,_xlpm.MovementDate, _xlfn.LET(_xlpm.ym, TEXT(_xlpm.MovementDate, "yyyymm"), IFERROR(INDEX(_xlfn._xlws.FILTER(#REF!, (TEXT(#REF!, "yyyymm") = _xlpm.ym) * (#REF! = _xlpm.LivestockClass)), 1), "")))</definedName>
    <definedName name="CommonLivestock_InputFunctions.LivestockMovement_GetMovementLiveweightGain">_xlfn.LAMBDA(_xlpm.LivestockClass,_xlpm.MovementDate, _xlfn.LET(_xlpm.ym, TEXT(_xlpm.MovementDate, "yyyymm"), IFERROR(INDEX(_xlfn._xlws.FILTER(#REF!, (TEXT(#REF!, "yyyymm") = _xlpm.ym) * (#REF! = _xlpm.LivestockClass)), 1), "")))</definedName>
    <definedName name="CommonLivestock_InputFunctions.LivestockMovement_HeadAddedDuringMonth" localSheetId="10">_xlfn.LAMBDA(_xlpm.Month,_xlpm.LivestockClass, IFERROR(SUM(_xlfn._xlws.FILTER(#REF!, (#REF! &gt;= EOMONTH(_xlpm.Month, -1) + 1) * (#REF! &lt;= EOMONTH(_xlpm.Month, 0)) * (#REF! = _xlpm.LivestockClass))), 0))</definedName>
    <definedName name="CommonLivestock_InputFunctions.LivestockMovement_HeadAddedDuringMonth">_xlfn.LAMBDA(_xlpm.Month,_xlpm.LivestockClass, IFERROR(SUM(_xlfn._xlws.FILTER(#REF!, (#REF! &gt;= EOMONTH(_xlpm.Month, -1) + 1) * (#REF! &lt;= EOMONTH(_xlpm.Month, 0)) * (#REF! = _xlpm.LivestockClass))), 0))</definedName>
    <definedName name="CommonLivestock_InputFunctions.LivestockMovement_HeadAtEndOfMonth">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LostDuringMonth" localSheetId="10">_xlfn.LAMBDA(_xlpm.Month,_xlpm.LivestockClass, IFERROR(SUM(_xlfn._xlws.FILTER(#REF!, (#REF! &gt;= EOMONTH(_xlpm.Month, -1) + 1) * (#REF! &lt;= EOMONTH(_xlpm.Month, 0)) * (#REF! = _xlpm.LivestockClass))), 0))</definedName>
    <definedName name="CommonLivestock_InputFunctions.LivestockMovement_HeadLostDuringMonth">_xlfn.LAMBDA(_xlpm.Month,_xlpm.LivestockClass, IFERROR(SUM(_xlfn._xlws.FILTER(#REF!, (#REF! &gt;= EOMONTH(_xlpm.Month, -1) + 1) * (#REF! &lt;= EOMONTH(_xlpm.Month, 0)) * (#REF! = _xlpm.LivestockClass))), 0))</definedName>
    <definedName name="CommonLivestock_InputFunctions.LivestockMovement_HeadRemainingAtMonthEnd">_xlfn.LAMBDA(_xlpm.Month,_xlpm.LivestockClass,_xlpm.HeadAtStartOfMonth, MAX(_xlpm.HeadAtStartOfMonth - [0]!CommonLivestock_InputFunctions.LivestockMovement_HeadLostDuringMonth(_xlpm.Month, _xlpm.LivestockClass), 0))</definedName>
    <definedName name="CommonLivestock_InputFunctions.LivestockMovement_LiveweightAddedDuringMonth">_xlfn.LAMBDA(_xlpm.LivestockClass,_xlpm.MovementDate,_xlpm.WeightAtMovementDate,_xlpm.Head, IFERROR(_xlpm.Head * (_xlpm.WeightAtMovementDate + [0]!CommonLivestock_InputFunctions.LivestockMovement_LiveweightGrownDuringMonthPerHead(_xlpm.LivestockClass, _xlpm.MovementDate)), 0))</definedName>
    <definedName name="CommonLivestock_InputFunctions.LivestockMovement_LiveweightGrownDuringMonthPerHead">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FromMonthStartPerHead">_xlfn.LAMBDA(_xlpm.LivestockClass,_xlpm.Month, [0]!CommonLivestock_InputFunctions.LivestockMovement_LiveweightGrownDuringMonthPerHead(_xlpm.LivestockClass, EOMONTH(_xlpm.Month, -1) + 1))</definedName>
    <definedName name="CommonLivestock_InputFunctions.LivestockMovement_LiveweightGrownFromMonthStartTotal">_xlfn.LAMBDA(_xlpm.LivestockClass,_xlpm.Month,_xlpm.HeadAtStartOfMonth, [0]!CommonLivestock_InputFunctions.LivestockMovement_HeadRemainingAtMonthEnd(_xlpm.Month, _xlpm.LivestockClass, _xlpm.HeadAtStartOfMonth) * [0]!CommonLivestock_InputFunctions.LivestockMovement_LiveweightGrownFromMonthStartPerHead(_xlpm.LivestockClass, _xlpm.Month))</definedName>
    <definedName name="CommonLivestock_InputFunctions.LivestockMovement_LiveweightGrownFromMovementDateTotal">_xlfn.LAMBDA(_xlpm.LivestockClass,_xlpm.MovementDate,_xlpm.Head, [0]!CommonLivestock_InputFunctions.LivestockMovement_LiveweightGrownDuringMonthPerHead(_xlpm.LivestockClass, _xlpm.MovementDate) * _xlpm.Head)</definedName>
    <definedName name="CommonLivestock_InputFunctions.LivestockMovement_ProportionalAverageLiveweightAddedDuringMonth">_xlfn.LAMBDA(_xlpm.Month,_xlpm.LivestockClass,_xlpm.HeadAtStart, [0]!CommonLivestock_InputFunctions.LivestockMovement_ProportionHeadAddedDuringMonth(_xlpm.Month, _xlpm.LivestockClass, _xlpm.HeadAtStart) * [0]!CommonLivestock_InputFunctions.LivestockMovement_AverageLiveweightAddedDuringMonth(_xlpm.Month, _xlpm.LivestockClass))</definedName>
    <definedName name="CommonLivestock_InputFunctions.LivestockMovement_ProportionalAverageLiveweightRemainingAtEndOfMonth">_xlfn.LAMBDA(_xlpm.Month,_xlpm.LivestockClass,_xlpm.HeadAtStart,_xlpm.LiveweightAtStart,_xlpm.LiveweightGain, [0]!CommonLivestock_InputFunctions.LivestockMovement_ProportionHeadRemainingAtEndOfMonth(_xlpm.Month,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HeadAddedDuringMonth">_xlfn.LAMBDA(_xlpm.Month,_xlpm.LivestockClass,_xlpm.HeadAtStart, IFERROR(MIN(1, [0]!CommonLivestock_InputFunctions.LivestockMovement_HeadAddedDuringMonth(_xlpm.Month, _xlpm.LivestockClass) / [0]!CommonLivestock_InputFunctions.LivestockMovement_HeadAtEndOfMonth(_xlpm.HeadAtStart, _xlpm.Month, _xlpm.LivestockClass)), 0))</definedName>
    <definedName name="CommonLivestock_InputFunctions.LivestockMovement_ProportionHeadRemainingAtEndOfMonth">_xlfn.LAMBDA(_xlpm.Month,_xlpm.LivestockClass,_xlpm.HeadAtStart, IFERROR(MIN(1, [0]!CommonLivestock_InputFunctions.LivestockMovement_HeadRemainingAtMonthEnd(_xlpm.Month, _xlpm.LivestockClass, _xlpm.HeadAtStart) / [0]!CommonLivestock_InputFunctions.LivestockMovement_HeadAtEndOfMonth(_xlpm.HeadAtStart, _xlpm.Month, _xlpm.LivestockClass)), 0))</definedName>
    <definedName name="CommonLivestock_InputFunctions.LivestockMovement_TotalLiveweightAddedDuringMonth" localSheetId="10">_xlfn.LAMBDA(_xlpm.Month,_xlpm.LivestockClass, IFERROR(SUM(_xlfn._xlws.FILTER(#REF!, (#REF! &gt;= EOMONTH(_xlpm.Month, -1) + 1) * (#REF! &lt;= EOMONTH(_xlpm.Month, 0)) * (#REF! = _xlpm.LivestockClass))), 0))</definedName>
    <definedName name="CommonLivestock_InputFunctions.LivestockMovement_TotalLiveweightAddedDuringMonth">_xlfn.LAMBDA(_xlpm.Month,_xlpm.LivestockClass, IFERROR(SUM(_xlfn._xlws.FILTER(#REF!, (#REF! &gt;= EOMONTH(_xlpm.Month, -1) + 1) * (#REF! &lt;= EOMONTH(_xlpm.Month, 0)) * (#REF! = _xlpm.LivestockClass))), 0))</definedName>
    <definedName name="CommonLivestock_InputFunctions.LivestockMovement_TotalLiveweightGrownDuringMonth" localSheetId="10">_xlfn.LAMBDA(_xlpm.Month,_xlpm.LivestockClass, IFERROR(SUM(_xlfn._xlws.FILTER(#REF!, (#REF! &gt;= EOMONTH(_xlpm.Month, -1) + 1) * (#REF! &lt;= EOMONTH(_xlpm.Month, 0)) * (#REF! = _xlpm.LivestockClass))), 0))</definedName>
    <definedName name="CommonLivestock_InputFunctions.LivestockMovement_TotalLiveweightGrownDuringMonth">_xlfn.LAMBDA(_xlpm.Month,_xlpm.LivestockClass, IFERROR(SUM(_xlfn._xlws.FILTER(#REF!, (#REF! &gt;= EOMONTH(_xlpm.Month, -1) + 1) * (#REF! &lt;= EOMONTH(_xlpm.Month, 0)) * (#REF! = _xlpm.LivestockClass))), 0))</definedName>
    <definedName name="CommonLivestock_InputFunctions.LivestockMovement_TotalLiveweightGrownDuringMonthAddedAndRemaining">_xlfn.LAMBDA(_xlpm.Month,_xlpm.LivestockClass,_xlpm.HeadAtStart, [0]!CommonLivestock_InputFunctions.LivestockMovement_LiveweightGrownFromMonthStartTotal(_xlpm.LivestockClass,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SourceData.SourceData_Livestock_Common_FracLEACH_MS_Data">_xlfn.LAMBDA(_xlfn.MAKEARRAY(8, 2, _xlfn.LAMBDA(_xlpm.r,_xlpm.c, INDEX({"Production system","Emission factor";"Irrigated pasture",0.0059;"Irrigated crop",0.007;"Non-irrigated pasture",0.0018;"Non-irrigated crop",0.0041;"Sugar cane",0.0199;"Cotton",0.0053;"Horticulture",0.0064}, _xlpm.r, _xlpm.c))))</definedName>
    <definedName name="CommonLivestock_SourceData.SourceData_Livestock_Common_FracLEACH_MS_Source">_xlfn.LAMBDA("National Inventory Report 2023 Volume 1: Equations 3.B.5a_3, 3.B.5c_3, 3.B.5d_3")</definedName>
    <definedName name="CommonLivestock_SourceData.SourceData_Livestock_Common_FracLEACH_MS_Title">_xlfn.LAMBDA("Fraction of N lost through leaching and runoff")</definedName>
    <definedName name="CommonLivestock_SourceData.SourceData_Livestock_Common_FracLEACH_MS_Unit">_xlfn.LAMBDA("Fraction")</definedName>
    <definedName name="CommonLivestock_SourceData.SourceData_Livestock_Common_FracWETMMS_Data">_xlfn.LAMBDA(1)</definedName>
    <definedName name="CommonLivestock_SourceData.SourceData_Livestock_Common_FracWETMMS_Source">_xlfn.LAMBDA("National Inventory Report 2023 Volume 1: Equations 3.B.5a_3, 3.B.5c_3, 3.B.5d_3")</definedName>
    <definedName name="CommonLivestock_SourceData.SourceData_Livestock_Common_FracWETMMS_Title">_xlfn.LAMBDA("Fraction of N available for leaching and runoff")</definedName>
    <definedName name="CommonLivestock_SourceData.SourceData_Livestock_Common_FracWETMMS_Unit">_xlfn.LAMBDA("Fraction")</definedName>
    <definedName name="CommonLivestock_SourceData.SourceData_Livestock_Common_SymbolsMMS_Data">_xlfn.LAMBDA(_xlfn.MAKEARRAY(19, 3, _xlfn.LAMBDA(_xlpm.r,_xlpm.c, INDEX({"Symbol","Manure management system","";"1","Anaerobic lagoon","Anaerobic lagoon (m=1)";"2","Liquid systems","Liquid systems (m=2)";"3","Daily spread","Daily spread (m=3)";"3a","Sump and dispersal system","Sump and dispersal system (m=3a)";"3b","Drains to paddock","Drains to paddock (m=3b)";"4","Solid storage","Solid storage (m=4)";"5","Drylot (feed pad)","Drylot (feed pad) (m=5)";"6","Composting (passive windrow)","Composting (passive windrow) (m=6)";"7","Digester / covered lagoons","Digester / covered lagoons (m=7)";"8","Deep litter","Deep litter (m=8)";"9","Pit storage","Pit storage (m=9)";"10","Poultry manure with bedding","Poultry manure with bedding (m=10)";"11","Poultry manure without bedding","Poultry manure without bedding (m=11)";"11a","Belt manure removal","Belt manure removal (m=11a)";"11b","Manure stored in house","Manure stored in house (m=11b)";"12","Direct processing","Direct processing (m=12)";"13","Direct application","Direct application (m=13)";"14","Pasture range and paddock","Pasture range and paddock (m=14)"}, _xlpm.r, _xlpm.c))))</definedName>
    <definedName name="CommonLivestock_SourceData.SourceData_Livestock_Common_SymbolsMMS_Source">_xlfn.LAMBDA("National Inventory Report 2023 Volume 1: Table 5.12")</definedName>
    <definedName name="CommonLivestock_SourceData.SourceData_Livestock_Common_SymbolsMMS_Title">_xlfn.LAMBDA("Table 5.12 Additional symbols used in algorithms for manure related emissions")</definedName>
    <definedName name="CommonLivestock_SourceData.SourceData_Livestock_Common_SymbolsMMS_Unit">_xlfn.LAMBDA("")</definedName>
    <definedName name="CommonLivestock_SourceData.SourceData_Livestock_Common_SymbolsMMS_Vairable">_xlfn.LAMBDA("MMS")</definedName>
    <definedName name="CommonLivestock_SourceData.SourceData_Livestock_Product_BeefCattle_Data">_xlfn.LAMBDA(
    _xlfn.MAKEARRAY(9, 2,
      _xlfn.LAMBDA(_xlpm.r,_xlpm.c,
        INDEX({"Product","Source region";"Cattle, for manufacturing beef","Australia";"Cattle, for prime beef","NSW";"Cattle, weaners","NT";"","QLD";"","SA";"","TAS";"","VIC";"","WA"}, _xlpm.r, _xlpm.c)
      )
    )
  )</definedName>
    <definedName name="CommonLivestock_SourceData.SourceData_Livestock_Product_BeefCattle_Source">_xlfn.LAMBDA("Lifecycles. (2026). Greenhouse Gas Emission Intensities for Material Inputs to Australian Agriculture, Fisheries and Forestry. Version 48. doi 10.5281/zenodo.19656580")</definedName>
    <definedName name="CommonLivestock_SourceData.SourceData_Livestock_Product_BeefCattle_Title">_xlfn.LAMBDA("Beef cattle products for scope 3")</definedName>
    <definedName name="CommonLivestock_SourceData.SourceData_Livestock_Product_BeefCattle_Unit">_xlfn.LAMBDA("")</definedName>
    <definedName name="CommonLivestock_SourceData.SourceData_Livestock_Product_BeefCattle_Vairable">_xlfn.LAMBDA("")</definedName>
    <definedName name="CommonLivestock_SourceData.SourceData_Livestock_Product_Chickens_Data">_xlfn.LAMBDA(
    _xlfn.MAKEARRAY(2, 2,
      _xlfn.LAMBDA(_xlpm.r,_xlpm.c,
        INDEX({"Product","Source region";"Chickens","Australia"}, _xlpm.r, _xlpm.c)
      )
    )
  )</definedName>
    <definedName name="CommonLivestock_SourceData.SourceData_Livestock_Product_Chickens_Source">_xlfn.LAMBDA("Lifecycles. (2026). Greenhouse Gas Emission Intensities for Material Inputs to Australian Agriculture, Fisheries and Forestry. Version 48. doi 10.5281/zenodo.19656580")</definedName>
    <definedName name="CommonLivestock_SourceData.SourceData_Livestock_Product_Chickens_Title">_xlfn.LAMBDA("Chickens products for scope 3")</definedName>
    <definedName name="CommonLivestock_SourceData.SourceData_Livestock_Product_Chickens_Unit">_xlfn.LAMBDA("")</definedName>
    <definedName name="CommonLivestock_SourceData.SourceData_Livestock_Product_Chickens_Vairable">_xlfn.LAMBDA("")</definedName>
    <definedName name="CommonLivestock_SourceData.SourceData_Livestock_Product_Dairycattle_Data">_xlfn.LAMBDA(
    _xlfn.MAKEARRAY(2, 2,
      _xlfn.LAMBDA(_xlpm.r,_xlpm.c,
        INDEX({"Product","Source region";"Dairy cows","VIC"}, _xlpm.r, _xlpm.c)
      )
    )
  )</definedName>
    <definedName name="CommonLivestock_SourceData.SourceData_Livestock_Product_Dairycattle_Source">_xlfn.LAMBDA("Lifecycles. (2026). Greenhouse Gas Emission Intensities for Material Inputs to Australian Agriculture, Fisheries and Forestry. Version 48. doi 10.5281/zenodo.19656580")</definedName>
    <definedName name="CommonLivestock_SourceData.SourceData_Livestock_Product_Dairycattle_Title">_xlfn.LAMBDA("Dairy cattle products for scope 3")</definedName>
    <definedName name="CommonLivestock_SourceData.SourceData_Livestock_Product_Dairycattle_Unit">_xlfn.LAMBDA("")</definedName>
    <definedName name="CommonLivestock_SourceData.SourceData_Livestock_Product_Dairycattle_Vairable">_xlfn.LAMBDA("")</definedName>
    <definedName name="CommonLivestock_SourceData.SourceData_Livestock_Product_Pigs_Data">_xlfn.LAMBDA(
    _xlfn.MAKEARRAY(2, 2,
      _xlfn.LAMBDA(_xlpm.r,_xlpm.c,
        INDEX({"Product","Source region";"Pigs","Australia"}, _xlpm.r, _xlpm.c)
      )
    )
  )</definedName>
    <definedName name="CommonLivestock_SourceData.SourceData_Livestock_Product_Pigs_Source">_xlfn.LAMBDA("Lifecycles. (2026). Greenhouse Gas Emission Intensities for Material Inputs to Australian Agriculture, Fisheries and Forestry. Version 48. doi 10.5281/zenodo.19656580")</definedName>
    <definedName name="CommonLivestock_SourceData.SourceData_Livestock_Product_Pigs_Title">_xlfn.LAMBDA("Pigs products for scope 3")</definedName>
    <definedName name="CommonLivestock_SourceData.SourceData_Livestock_Product_Pigs_Unit">_xlfn.LAMBDA("")</definedName>
    <definedName name="CommonLivestock_SourceData.SourceData_Livestock_Product_Pigs_Vairable">_xlfn.LAMBDA("")</definedName>
    <definedName name="CommonLivestock_SourceData.SourceData_Livestock_Product_Sheep_Data">_xlfn.LAMBDA(
    _xlfn.MAKEARRAY(8, 2,
      _xlfn.LAMBDA(_xlpm.r,_xlpm.c,
        INDEX({"Product","Source region";"Sheep, for mutton","Australia";"Sheep, for prime lamb","NSW";"","QLD";"","SA";"","TAS";"","VIC";"","WA"}, _xlpm.r, _xlpm.c)
      )
    )
  )</definedName>
    <definedName name="CommonLivestock_SourceData.SourceData_Livestock_Product_Sheep_Source">_xlfn.LAMBDA("Lifecycles. (2026). Greenhouse Gas Emission Intensities for Material Inputs to Australian Agriculture, Fisheries and Forestry. Version 48. doi 10.5281/zenodo.19656580")</definedName>
    <definedName name="CommonLivestock_SourceData.SourceData_Livestock_Product_Sheep_Title">_xlfn.LAMBDA("Sheep products for scope 3")</definedName>
    <definedName name="CommonLivestock_SourceData.SourceData_Livestock_Product_Sheep_Unit">_xlfn.LAMBDA("")</definedName>
    <definedName name="CommonLivestock_SourceData.SourceData_Livestock_Product_Sheep_Vairable">_xlfn.LAMBDA("")</definedName>
    <definedName name="Enterprise_PastureBeef_InputFunctions.multiplyCorrespondingCells">_xlfn.LAMBDA(_xlpm.range1,_xlpm.range2,_xlpm.range3, _xlfn.LET(_xlpm.numRows, ROWS(_xlpm.range1), _xlpm.numCols, COLUMNS(_xlpm.range1), _xlpm.result, _xlfn.MAKEARRAY(_xlpm.numRows, _xlpm.numCols, _xlfn.LAMBDA(_xlpm.r,_xlpm.c, IF(ISNUMBER(INDEX(_xlpm.range1, _xlpm.r, _xlpm.c)), INDEX(_xlpm.range1, _xlpm.r, _xlpm.c), 0) * IF(ISNUMBER(INDEX(_xlpm.range2, _xlpm.r, _xlpm.c)), INDEX(_xlpm.range2, _xlpm.r, _xlpm.c), 0) * IF(ISNUMBER(INDEX(_xlpm.range3, _xlpm.r, _xlpm.c)), INDEX(_xlpm.range3, _xlpm.r, _xlpm.c), 0))), _xlpm.result))</definedName>
    <definedName name="Fertiliser_Equations_InorganicCO2.VEERG_5_1_1_3__2_MassOfUreaInInorganicFertiliser_Arguments">_xlfn.LAMBDA(_xlfn.MAKEARRAY(2, 3, _xlfn.LAMBDA(_xlpm.r,_xlpm.c, INDEX({"TM_jf","total mass of inorganic fertiliser type f applied to production system j : kg","Input";"FU_f","fraction of urea in fertiliser type f : kg urea/kg","Lookup"}, _xlpm.r, _xlpm.c))))</definedName>
    <definedName name="getOverlappingReportingCycles">_xlfn.LAMBDA(_xlpm.ProductionCycleStart,_xlpm.ProductionCycleEnd,_xlpm.ReportingStartMonth,_xlpm.ReportingStartDay, _xlfn.LET(_xlpm.S, _xlpm.ProductionCycleStart, _xlpm.E, _xlpm.ProductionCycleEnd, _xlpm.m, _xlpm.ReportingStartMonth, _xlpm.d, _xlpm.ReportingStartDay, _xlpm.A, _xlpm.S - 364, _xlpm.ya, YEAR(_xlpm.A), _xlpm.yb, YEAR(_xlpm.E), _xlpm.firstYear, _xlpm.ya + (DATE(_xlpm.ya, _xlpm.m, _xlpm.d) &lt; _xlpm.A), _xlpm.lastYear, _xlpm.yb - (DATE(_xlpm.yb, _xlpm.m, _xlpm.d) &gt; _xlpm.E), MAX(0, _xlpm.lastYear - _xlpm.firstYear + 1)))</definedName>
    <definedName name="InputFunctions_PastureBeef.ConvertMonthlyCalvingToSeason">_xlfn.LAMBDA(_xlpm.Season,_xlpm.SumArray,_xlpm.CalvingMonthArray,_xlpm.MonthArray,_xlpm.MonthToSeasonArray, _xlfn.LET(_xlpm.MonthText, TEXT(_xlpm.CalvingMonthArray, "mmmm"), _xlpm.SeasonPerRow, _xlfn.XLOOKUP(_xlpm.MonthText, _xlpm.MonthArray, _xlpm.MonthToSeasonArray, "", 0), SUM(_xlpm.SumArray * (_xlpm.SeasonPerRow = _xlpm.Season))))</definedName>
    <definedName name="InputFunctions_PastureBeef.LookupLiveweightFromMonth">_xlfn.LAMBDA(_xlpm.State,_xlpm.Region,_xlpm.Month,_xlpm.LivestockClass,_xlpm.StateArray,_xlpm.RegionArray,_xlpm.SeasonArray,_xlpm.LivestockClassArray,_xlpm.ReturnArray,_xlpm.StateCommonNameArray,_xlpm.StateAbbreviationArray,_xlpm.MonthArray,_xlpm.MonthToSeasonArray, _xlfn.LET(_xlpm.Month, TEXT(_xlpm.Month, "mmmm"), _xlpm.State, _xlfn.XLOOKUP(_xlpm.State, _xlpm.StateCommonNameArray, _xlpm.StateAbbreviationArray), _xlpm.Season, _xlfn.XLOOKUP(_xlpm.Month, _xlpm.MonthArray, _xlpm.MonthToSeasonArray), _xlfn.XLOOKUP(1, (_xlpm.StateArray = _xlpm.State) * (_xlpm.RegionArray = _xlpm.Region) * (_xlpm.SeasonArray = _xlpm.Season), _xlfn.XLOOKUP(_xlpm.LivestockClass, _xlpm.LivestockClassArray, _xlpm.ReturnArray))))</definedName>
    <definedName name="InputFunctions_PastureBeef.LookupLiveweightFromSeason">_xlfn.LAMBDA(_xlpm.State,_xlpm.Region,_xlpm.Season,_xlpm.LivestockClass,_xlpm.StateArray,_xlpm.RegionArray,_xlpm.SeasonArray,_xlpm.LivestockClassArray,_xlpm.ReturnArray,_xlpm.StateCommonNameArray,_xlpm.StateAbbreviationArray, _xlfn.LET(_xlpm.State, _xlfn.XLOOKUP(_xlpm.State, _xlpm.StateCommonNameArray, _xlpm.StateAbbreviationArray), _xlfn.XLOOKUP(1, (_xlpm.StateArray = _xlpm.State) * (_xlpm.RegionArray = _xlpm.Region) * (_xlpm.SeasonArray = _xlpm.Season), _xlfn.XLOOKUP(_xlpm.LivestockClass, _xlpm.LivestockClassArray, _xlpm.ReturnArray))))</definedName>
    <definedName name="InputFunctions_PastureBeef.LookupValueFromStateRegionMonth">_xlfn.LAMBDA(_xlpm.State,_xlpm.Region,_xlpm.Month,_xlpm.StateArray,_xlpm.RegionArray,_xlpm.SeasonArray,_xlpm.ReturnArray,_xlpm.StateCommonNameArray,_xlpm.StateAbbreviationArray,_xlpm.MonthArray,_xlpm.MonthToSeasonArray, _xlfn.LET(_xlpm.State, _xlfn.XLOOKUP(_xlpm.State, _xlpm.StateCommonNameArray, _xlpm.StateAbbreviationArray), _xlpm.Season, _xlfn.XLOOKUP(TEXT(_xlpm.Month, "mmmm"), _xlpm.MonthArray, _xlpm.MonthToSeasonArray), _xlfn.XLOOKUP(1, (_xlpm.StateArray = _xlpm.State) * (_xlpm.RegionArray = _xlpm.Region), _xlfn.XLOOKUP(_xlpm.Season, _xlpm.SeasonArray, _xlpm.ReturnArray))))</definedName>
    <definedName name="InputFunctions_PastureBeef.LookupValueFromStateRegionSeason">_xlfn.LAMBDA(_xlpm.State,_xlpm.Region,_xlpm.Season,_xlpm.StateArray,_xlpm.RegionArray,_xlpm.SeasonArray,_xlpm.ReturnArray,_xlpm.StateCommonNameArray,_xlpm.StateAbbreviationArray, _xlfn.LET(_xlpm.State, _xlfn.XLOOKUP(_xlpm.State, _xlpm.StateCommonNameArray, _xlpm.StateAbbreviationArray), _xlfn.XLOOKUP(1, (_xlpm.StateArray = _xlpm.State) * (_xlpm.RegionArray = _xlpm.Region), _xlfn.XLOOKUP(_xlpm.Season, _xlpm.SeasonArray, _xlpm.ReturnArray))))</definedName>
    <definedName name="M1_Table_AE_j">'4.1.1.3-4 Direct N20'!$D$82:$F$83</definedName>
    <definedName name="M1_Table_CP_j">'4.1.1.3-4 Direct N20'!$D$24:$F$25</definedName>
    <definedName name="M1_Table_DMD_j">'4.1.1.1-2 Methane'!$D$24:$F$25</definedName>
    <definedName name="M1_Table_E_N2O_dir">'4.1.1.3-4 Direct N20'!$D$205:$G$210</definedName>
    <definedName name="M1_Table_I_j">'4.1.1.3-4 Direct N20'!$D$19:$F$20</definedName>
    <definedName name="M1_Table_I_j_Consumer_1">'4.1.1.1-2 Methane'!$D$19:$F$20</definedName>
    <definedName name="M1_Table_M_j_m_T">'4.1.1.1-2 Methane'!$D$149:$H$154</definedName>
    <definedName name="M1_Table_M_j_m_T2">'4.1.1.1-2 Methane'!$D$95:$G$98</definedName>
    <definedName name="M1_Table_M_j_m1_T3">'4.1.1.1-2 Methane'!$D$124:$G$125</definedName>
    <definedName name="M1_Table_M_j_m5_T1">'4.1.1.1-2 Methane'!$D$56:$G$57</definedName>
    <definedName name="M1_Table_MCF_i_m">'4.1.1.1-2 Methane'!$D$86:$F$89</definedName>
    <definedName name="M1_Table_MMS_ATMOS">'4.1.1.5-6 Atmos Deposition'!$D$39:$G$44</definedName>
    <definedName name="M1_Table_MN_j_m_T">'4.1.1.5-6 Atmos Deposition'!$D$22:$G$27</definedName>
    <definedName name="M1_Table_MN_j_m_T2">'4.1.1.3-4 Direct N20'!$O$173:$R$176</definedName>
    <definedName name="M1_Table_MN_j_m_T2_Consumer_1">'4.1.1.3-4 Direct N20'!$D$173:$G$176</definedName>
    <definedName name="M1_Table_MN_j_m_T23">'4.1.1.9 Manure applied to soils'!$D$21:$G$25</definedName>
    <definedName name="M1_Table_MN_j_m1_T3">'4.1.1.3-4 Direct N20'!$D$128:$G$129</definedName>
    <definedName name="M1_Table_MN_j_m5_T1">'4.1.1.3-4 Direct N20'!$D$105:$G$106</definedName>
    <definedName name="M1_Table_MNSoil_scope1">'4.1.1.9 Manure applied to soils'!$D$55:$G$59</definedName>
    <definedName name="M1_Table_MNSoil_scope3">'4.1.1.9 Manure applied to soils'!$D$81:$G$85</definedName>
    <definedName name="M1_Table_MNSoil_scope3_fert">'4.1.1.9 Manure applied to soils'!$D$105:$G$109</definedName>
    <definedName name="M1_Table_NE_j">'4.1.1.3-4 Direct N20'!$D$53:$F$54</definedName>
    <definedName name="M1_Table_NI_j">'4.1.1.3-4 Direct N20'!$D$29:$F$30</definedName>
    <definedName name="M1_Table_NR_j">'4.1.1.3-4 Direct N20'!$D$48:$F$49</definedName>
    <definedName name="M1_Table_NT_j_m_T2">'4.1.1.3-4 Direct N20'!$D$148:$F$149</definedName>
    <definedName name="M1_Table_VS_j">'4.1.1.1-2 Methane'!$D$29:$F$30</definedName>
    <definedName name="M2_Table_AE_j">'4.1.1.3-4 Direct N20'!$O$82:$Q$83</definedName>
    <definedName name="M2_Table_CP_j">'4.1.1.3-4 Direct N20'!$O$24:$Q$25</definedName>
    <definedName name="M2_Table_DMD_j">'4.1.1.1-2 Methane'!$M$24:$O$25</definedName>
    <definedName name="M2_Table_E_N2O_dir">'4.1.1.3-4 Direct N20'!$O$205:$R$210</definedName>
    <definedName name="M2_Table_I_j">'4.1.1.3-4 Direct N20'!$O$19:$Q$20</definedName>
    <definedName name="M2_Table_I_j_Consumer_1">'4.1.1.1-2 Methane'!$M$19:$O$20</definedName>
    <definedName name="M2_Table_M_j_m_T">'4.1.1.1-2 Methane'!$M$149:$Q$154</definedName>
    <definedName name="M2_Table_M_j_m_T2">'4.1.1.1-2 Methane'!$M$95:$P$98</definedName>
    <definedName name="M2_Table_M_j_m1_T3">'4.1.1.1-2 Methane'!$M$124:$P$125</definedName>
    <definedName name="M2_Table_M_j_m5_T1">'4.1.1.1-2 Methane'!$M$56:$P$57</definedName>
    <definedName name="M2_Table_MCF_i_m">'4.1.1.1-2 Methane'!$M$86:$O$89</definedName>
    <definedName name="M2_Table_MMS_ATMOS">'4.1.1.5-6 Atmos Deposition'!$M$39:$P$44</definedName>
    <definedName name="M2_Table_MN_j_m_T">'4.1.1.5-6 Atmos Deposition'!$M$22:$P$27</definedName>
    <definedName name="M2_Table_MN_j_m_T23">'4.1.1.9 Manure applied to soils'!$N$21:$Q$25</definedName>
    <definedName name="M2_Table_MN_j_m1_T3">'4.1.1.3-4 Direct N20'!$O$128:$R$129</definedName>
    <definedName name="M2_Table_MN_j_m5_T1">'4.1.1.3-4 Direct N20'!$O$105:$R$106</definedName>
    <definedName name="M2_Table_MNSoil_scope1">'4.1.1.9 Manure applied to soils'!$N$55:$Q$59</definedName>
    <definedName name="M2_Table_MNSoil_scope3">'4.1.1.9 Manure applied to soils'!$N$81:$Q$85</definedName>
    <definedName name="M2_Table_MNSoil_scope3_fert">'4.1.1.9 Manure applied to soils'!$N$105:$Q$109</definedName>
    <definedName name="M2_Table_NE_j">'4.1.1.3-4 Direct N20'!$O$53:$Q$54</definedName>
    <definedName name="M2_Table_NI_j">'4.1.1.3-4 Direct N20'!$O$29:$Q$30</definedName>
    <definedName name="M2_Table_NR_j">'4.1.1.3-4 Direct N20'!$O$48:$Q$49</definedName>
    <definedName name="M2_Table_NT_j_m_T2">'4.1.1.3-4 Direct N20'!$O$148:$Q$149</definedName>
    <definedName name="M2_Table_VS_j">'4.1.1.1-2 Methane'!$M$29:$O$30</definedName>
    <definedName name="MMS_Feedlot_AtmosphericDeposition_Equations.VEERG_4_1_1_5__1_TotalAnnualAtmosphericDepositionEmissions">_xlfn.LAMBDA(_xlpm.MMS_ATMOS,_xlpm.EF_N2O,_xlpm.C_N2O, (_xlpm.MMS_ATMOS * _xlpm.EF_N2O * _xlpm.C_N2O) * 10 ^ -3)</definedName>
    <definedName name="MMS_Feedlot_AtmosphericDeposition_Equations.VEERG_4_1_1_5__1_TotalAnnualAtmosphericDepositionEmissions_Arguments">_xlfn.LAMBDA(_xlfn.MAKEARRAY(6, 4, _xlfn.LAMBDA(_xlpm.r,_xlpm.c, INDEX({"MMS_ATMOS","mass of N volatilised from MMS","kg N","Calculated from 4.1.1.5 (2)";"EF_N2O","nitrous oxide emission factor for atmospheric deposition","kg N2O-N/kg N","Constant";"C_N2O","factor to convert elemental mass of nitrous oxide to molecular mass","","Constant";"j","production system","","Input";"i","irrigation method","","Input";"r","rainfall zone","","Input"}, _xlpm.r, _xlpm.c))))</definedName>
    <definedName name="MMS_Feedlot_AtmosphericDeposition_Equations.VEERG_4_1_1_5__1_TotalAnnualAtmosphericDepositionEmissions_LatexEquation">_xlfn.LAMBDA("E_{N2O,ad}=(MMS_{ATMOS}\times EF_{N2O}\times C_{N2O})\times10^{-3}")</definedName>
    <definedName name="MMS_Feedlot_AtmosphericDeposition_Equations.VEERG_4_1_1_5__1_TotalAnnualAtmosphericDepositionEmissions_NIRReference">_xlfn.LAMBDA("")</definedName>
    <definedName name="MMS_Feedlot_AtmosphericDeposition_Equations.VEERG_4_1_1_5__1_TotalAnnualAtmosphericDepositionEmissions_Source">_xlfn.LAMBDA("VEERG 2026: 4.1.1.5, Equation (1)")</definedName>
    <definedName name="MMS_Feedlot_AtmosphericDeposition_Equations.VEERG_4_1_1_5__1_TotalAnnualAtmosphericDepositionEmissions_Title">_xlfn.LAMBDA("Total annual atmospheric deposition emissions from manure management")</definedName>
    <definedName name="MMS_Feedlot_AtmosphericDeposition_Equations.VEERG_4_1_1_5__1_TotalAnnualAtmosphericDepositionEmissions_Unit">_xlfn.LAMBDA("t N2O")</definedName>
    <definedName name="MMS_Feedlot_AtmosphericDeposition_Equations.VEERG_4_1_1_5__1_TotalAnnualAtmosphericDepositionEmissions_Variable">_xlfn.LAMBDA("E_N2Oad")</definedName>
    <definedName name="MMS_Feedlot_AtmosphericDeposition_Equations.VEERG_4_1_1_5__2_VolatilisedNitrogenFromManureManagement">_xlfn.LAMBDA(_xlpm.MN_jmT,_xlpm.FracGASM_mT, _xlpm.MN_jmT * _xlpm.FracGASM_mT)</definedName>
    <definedName name="MMS_Feedlot_AtmosphericDeposition_Equations.VEERG_4_1_1_5__2_VolatilisedNitrogenFromManureManagement_Arguments">_xlfn.LAMBDA(_xlfn.MAKEARRAY(2, 4, _xlfn.LAMBDA(_xlpm.r,_xlpm.c, INDEX({"MN_jmT","nitrogen in each treatment stage MMS (excluding MN_ijm13T2)","kg N","Calculated from 4.1.1.3 (2)(6)(8)";"FracGASM_mT","fraction of N volatilised in each MMS","(kg NH3-N + NOx-N)/kg N","Constant"}, _xlpm.r, _xlpm.c))))</definedName>
    <definedName name="MMS_Feedlot_AtmosphericDeposition_Equations.VEERG_4_1_1_5__2_VolatilisedNitrogenFromManureManagement_LatexEquation">_xlfn.LAMBDA("MMS_{ATMOS}=\sum_{j}\sum_{m}\sum_{T}(MN_{jmT}\times FracGASM_{mT})")</definedName>
    <definedName name="MMS_Feedlot_AtmosphericDeposition_Equations.VEERG_4_1_1_5__2_VolatilisedNitrogenFromManureManagement_NIRReference">_xlfn.LAMBDA("")</definedName>
    <definedName name="MMS_Feedlot_AtmosphericDeposition_Equations.VEERG_4_1_1_5__2_VolatilisedNitrogenFromManureManagement_Source">_xlfn.LAMBDA("VEERG 2026: 4.1.1.5, Equation (2)")</definedName>
    <definedName name="MMS_Feedlot_AtmosphericDeposition_Equations.VEERG_4_1_1_5__2_VolatilisedNitrogenFromManureManagement_Title">_xlfn.LAMBDA("Volatilised nitrogen from manure management")</definedName>
    <definedName name="MMS_Feedlot_AtmosphericDeposition_Equations.VEERG_4_1_1_5__2_VolatilisedNitrogenFromManureManagement_Unit">_xlfn.LAMBDA("kg N")</definedName>
    <definedName name="MMS_Feedlot_AtmosphericDeposition_Equations.VEERG_4_1_1_5__2_VolatilisedNitrogenFromManureManagement_Variable">_xlfn.LAMBDA("MMS_ATMOS")</definedName>
    <definedName name="MMS_Feedlot_ManureAppliedToSoils_Equations.VEERG_4_1_1_9__1_MassOfNitrogenAppliedToSoilsScope1">_xlfn.LAMBDA(_xlpm.MN_jmT23,_xlpm.EF_mT23,_xlpm.FracGASM_mT23,_xlpm.PF, (_xlpm.MN_jmT23 * (1 - _xlpm.EF_mT23 - _xlpm.FracGASM_mT23)) * _xlpm.PF)</definedName>
    <definedName name="MMS_Feedlot_ManureAppliedToSoils_Equations.VEERG_4_1_1_9__1_MassOfNitrogenAppliedToSoilsScope1_Arguments">_xlfn.LAMBDA(_xlfn.MAKEARRAY(4, 4, _xlfn.LAMBDA(_xlpm.r,_xlpm.c, INDEX({"MN_jmT23","mass of N in secondary and tertiary treatment MMS stages as calculated for manure management","kg N","Calculated from 4.1.1.3 (6)(8)";"EF_mT23","nitrous oxide emission factor for each MMS","kg N2O-N/kg N","Constant";"FracGASM_mT23","fraction of animal waste N volatilised in each MMS for each cattle group","(kg NH3-N + NOx-N)/kg N","Constant";"PF","fraction of manure applied to soil within the feedlot boundary","fraction","Input"}, _xlpm.r, _xlpm.c))))</definedName>
    <definedName name="MMS_Feedlot_ManureAppliedToSoils_Equations.VEERG_4_1_1_9__1_MassOfNitrogenAppliedToSoilsScope1_LatexEquation">_xlfn.LAMBDA("MNSoil_{scope1}=\sum_{j}\sum_{m}\sum_{T}(MN_{jmT=2,3}\times(1-EF_{mT=2,3}-FracGASM_{mT=2,3}))\times PF")</definedName>
    <definedName name="MMS_Feedlot_ManureAppliedToSoils_Equations.VEERG_4_1_1_9__1_MassOfNitrogenAppliedToSoilsScope1_NIRReference">_xlfn.LAMBDA("")</definedName>
    <definedName name="MMS_Feedlot_ManureAppliedToSoils_Equations.VEERG_4_1_1_9__1_MassOfNitrogenAppliedToSoilsScope1_Source">_xlfn.LAMBDA("VEERG 2026: 4.1.1.9, Equation (1)")</definedName>
    <definedName name="MMS_Feedlot_ManureAppliedToSoils_Equations.VEERG_4_1_1_9__1_MassOfNitrogenAppliedToSoilsScope1_Title">_xlfn.LAMBDA("Mass of nitrogen applied to soils for scope 1 emissions")</definedName>
    <definedName name="MMS_Feedlot_ManureAppliedToSoils_Equations.VEERG_4_1_1_9__1_MassOfNitrogenAppliedToSoilsScope1_Unit">_xlfn.LAMBDA("kg N")</definedName>
    <definedName name="MMS_Feedlot_ManureAppliedToSoils_Equations.VEERG_4_1_1_9__1_MassOfNitrogenAppliedToSoilsScope1_Variable">_xlfn.LAMBDA("MNSoil_scope1")</definedName>
    <definedName name="MMS_Feedlot_ManureAppliedToSoils_Equations.VEERG_4_1_1_9__2_MassOfNitrogenAppliedToSoilsScope3">_xlfn.LAMBDA(_xlpm.MN_jmT23,_xlpm.EF_mT23,_xlpm.FracGASM_mT23,_xlpm.PF, (_xlpm.MN_jmT23 * (1 - _xlpm.EF_mT23 - _xlpm.FracGASM_mT23)) * (1 - _xlpm.PF))</definedName>
    <definedName name="MMS_Feedlot_ManureAppliedToSoils_Equations.VEERG_4_1_1_9__2_MassOfNitrogenAppliedToSoilsScope3_Arguments">_xlfn.LAMBDA(_xlfn.MAKEARRAY(4, 4, _xlfn.LAMBDA(_xlpm.r,_xlpm.c, INDEX({"MN_jmT23","mass of N in secondary and tertiary treatment MMS stages as calculated for manure management","kg N","Calculated from 4.1.1.3 (6)(8)";"EF_mT23","nitrous oxide emission factor for each MMS","kg N2O-N/kg N","Constant";"FracGASM_mT23","fraction of animal waste N volatilised in each MMS for each cattle group","(kg NH3-N + NOx-N)/kg N","Constant";"PF","fraction of manure applied to soil within the feedlot boundary","fraction","Input"}, _xlpm.r, _xlpm.c))))</definedName>
    <definedName name="MMS_Feedlot_ManureAppliedToSoils_Equations.VEERG_4_1_1_9__2_MassOfNitrogenAppliedToSoilsScope3_LatexEquation">_xlfn.LAMBDA("MNSoil_{scope3}=\sum_{j}\sum_{m}\sum_{T}(MN_{jmT=2,3}\times(1-EF_{mT=2,3}-FracGASM_{mT=2,3}))\times(1-PF)")</definedName>
    <definedName name="MMS_Feedlot_ManureAppliedToSoils_Equations.VEERG_4_1_1_9__2_MassOfNitrogenAppliedToSoilsScope3_NIRReference">_xlfn.LAMBDA("")</definedName>
    <definedName name="MMS_Feedlot_ManureAppliedToSoils_Equations.VEERG_4_1_1_9__2_MassOfNitrogenAppliedToSoilsScope3_Source">_xlfn.LAMBDA("VEERG 2026: 4.1.1.9, Equation (2)")</definedName>
    <definedName name="MMS_Feedlot_ManureAppliedToSoils_Equations.VEERG_4_1_1_9__2_MassOfNitrogenAppliedToSoilsScope3_Title">_xlfn.LAMBDA("Mass of nitrogen applied to soils for scope 3 emissions")</definedName>
    <definedName name="MMS_Feedlot_ManureAppliedToSoils_Equations.VEERG_4_1_1_9__2_MassOfNitrogenAppliedToSoilsScope3_Unit">_xlfn.LAMBDA("kg N")</definedName>
    <definedName name="MMS_Feedlot_ManureAppliedToSoils_Equations.VEERG_4_1_1_9__2_MassOfNitrogenAppliedToSoilsScope3_Variable">_xlfn.LAMBDA("MNSoil_scope3")</definedName>
    <definedName name="MMS_Feedlot_Methane_Equations.VEERG_4_1_1_1__1_TotalAnnualMethaneEmissions">_xlfn.LAMBDA(_xlpm.D_j,_xlpm.M_jmT,_xlpm.N_j, (_xlpm.D_j * _xlpm.M_jmT * _xlpm.N_j) * 10 ^ -3)</definedName>
    <definedName name="MMS_Feedlot_Methane_Equations.VEERG_4_1_1_1__1_TotalAnnualMethaneEmissions_Arguments">_xlfn.LAMBDA(_xlfn.MAKEARRAY(3, 4, _xlfn.LAMBDA(_xlpm.r,_xlpm.c, INDEX({"D_j","length of stay of each cattle group","days","Input";"M_jmT","methane production from manure per cattle group, MMS, and treatment stage","kg CH4/head/day","Calculated from 4.1.1.1 (2)(3)(4)";"N_j","numbers of beef cattle in each group","head","Input"}, _xlpm.r, _xlpm.c))))</definedName>
    <definedName name="MMS_Feedlot_Methane_Equations.VEERG_4_1_1_1__1_TotalAnnualMethaneEmissions_LatexEquation">_xlfn.LAMBDA("{E}_{CH4}=\sum_{j}\sum_{m}\sum_{T}(D_{j}\times M_{jmT}\times N_{j})\times10^{-3}")</definedName>
    <definedName name="MMS_Feedlot_Methane_Equations.VEERG_4_1_1_1__1_TotalAnnualMethaneEmissions_NIRReference">_xlfn.LAMBDA("")</definedName>
    <definedName name="MMS_Feedlot_Methane_Equations.VEERG_4_1_1_1__1_TotalAnnualMethaneEmissions_Source">_xlfn.LAMBDA("VEERG 2026: 4.1.1.1, Equation (1)")</definedName>
    <definedName name="MMS_Feedlot_Methane_Equations.VEERG_4_1_1_1__1_TotalAnnualMethaneEmissions_Title">_xlfn.LAMBDA("Total annual methane emissions from manure management")</definedName>
    <definedName name="MMS_Feedlot_Methane_Equations.VEERG_4_1_1_1__1_TotalAnnualMethaneEmissions_Unit">_xlfn.LAMBDA("t CH4")</definedName>
    <definedName name="MMS_Feedlot_Methane_Equations.VEERG_4_1_1_1__1_TotalAnnualMethaneEmissions_Variable">_xlfn.LAMBDA("E_CH4")</definedName>
    <definedName name="MMS_Feedlot_Methane_Equations.VEERG_4_1_1_1__2_Stage1MethaneProductionDrylot">_xlfn.LAMBDA(_xlpm.VS_j,_xlpm.BO,_xlpm.MMS_m5T1,_xlpm.MCF_im5,_xlpm.rho, _xlfn.LET(_xlpm.MCF_im5, IF(ISNUMBER(_xlpm.MCF_im5), _xlpm.MCF_im5, 0), _xlpm.VS_j * _xlpm.BO * _xlpm.MMS_m5T1 * _xlpm.MCF_im5 * _xlpm.rho))</definedName>
    <definedName name="MMS_Feedlot_Methane_Equations.VEERG_4_1_1_1__2_Stage1MethaneProductionDrylot_Arguments">_xlfn.LAMBDA(_xlfn.MAKEARRAY(6, 4, _xlfn.LAMBDA(_xlpm.r,_xlpm.c, INDEX({"VS_j","volatile solid production from feedlot cattle in each group","kg/head/day","Calculated from 4.1.1.1 (5)";"BO","emissions potential","m3 CH4/kg VS","Constant";"MMS_m5T1","fraction of manure in primary system drylot MMS","fraction","Input";"MCF_im5","methane conversion factor for state and drylot system","fraction","Constant";"rho","density of methane","kg/m3","Constant";"i","state","","Input"}, _xlpm.r, _xlpm.c))))</definedName>
    <definedName name="MMS_Feedlot_Methane_Equations.VEERG_4_1_1_1__2_Stage1MethaneProductionDrylot_Arguments_Method2">_xlfn.LAMBDA(_xlfn.MAKEARRAY(6, 4, _xlfn.LAMBDA(_xlpm.r,_xlpm.c, INDEX({"VS_j","volatile solid production from feedlot cattle in each group","kg/head/day","Calculated from 4.1.1.1 (5)";"BO","emissions potential","m3 CH4/kg VS","Constant";"MMS_m5T1","fraction of manure in primary system drylot MMS","fraction","Input";"MCF_im5","methane conversion factor for state and drylot system","fraction","Constant";"rho","density of methane","kg/m3","Constant";"i","state","","Input"}, _xlpm.r, _xlpm.c))))</definedName>
    <definedName name="MMS_Feedlot_Methane_Equations.VEERG_4_1_1_1__2_Stage1MethaneProductionDrylot_LatexEquation">_xlfn.LAMBDA("M_{jm=5,T=1}=VS_{j}\times BO\times MMS_{m=5,T=1}\times MCF_{im=5}\times \rho")</definedName>
    <definedName name="MMS_Feedlot_Methane_Equations.VEERG_4_1_1_1__2_Stage1MethaneProductionDrylot_NIRReference">_xlfn.LAMBDA("")</definedName>
    <definedName name="MMS_Feedlot_Methane_Equations.VEERG_4_1_1_1__2_Stage1MethaneProductionDrylot_Source">_xlfn.LAMBDA("VEERG 2026: 4.1.1.1, Equation (2)")</definedName>
    <definedName name="MMS_Feedlot_Methane_Equations.VEERG_4_1_1_1__2_Stage1MethaneProductionDrylot_Title">_xlfn.LAMBDA("Production of methane in treatment stage 1 MMS")</definedName>
    <definedName name="MMS_Feedlot_Methane_Equations.VEERG_4_1_1_1__2_Stage1MethaneProductionDrylot_Unit">_xlfn.LAMBDA("kg CH4/head/day")</definedName>
    <definedName name="MMS_Feedlot_Methane_Equations.VEERG_4_1_1_1__2_Stage1MethaneProductionDrylot_Variable">_xlfn.LAMBDA("M_jm5T1")</definedName>
    <definedName name="MMS_Feedlot_Methane_Equations.VEERG_4_1_1_1__3_Stage2MethaneProduction">_xlfn.LAMBDA(_xlpm.VSL,_xlpm.VS_j,_xlpm.BO,_xlpm.MMS_mT2,_xlpm.MCF_im,_xlpm.rho, (1 - _xlpm.VSL) * _xlpm.VS_j * _xlpm.BO * _xlpm.MMS_mT2 * _xlpm.MCF_im * _xlpm.rho)</definedName>
    <definedName name="MMS_Feedlot_Methane_Equations.VEERG_4_1_1_1__3_Stage2MethaneProduction_Arguments">_xlfn.LAMBDA(_xlfn.MAKEARRAY(7, 4, _xlfn.LAMBDA(_xlpm.r,_xlpm.c, INDEX({"VSL","fraction of volatile solids lost during storage in the primary system","fraction","Constant";"VS_j","volatile solid production from feedlot cattle in each group","kg/head/day","Calculated from 4.1.1.1 (5)";"BO","emissions potential","m3 CH4/kg VS","Constant";"MMS_mT2","fraction of manure in each secondary system","fraction","Input";"MCF_im","methane conversion factor for state and MMS","fraction","Constant";"rho","density of methane","kg/m3","Constant";"i","state","","Input"}, _xlpm.r, _xlpm.c))))</definedName>
    <definedName name="MMS_Feedlot_Methane_Equations.VEERG_4_1_1_1__3_Stage2MethaneProduction_Arguments_Method2">_xlfn.LAMBDA(_xlfn.MAKEARRAY(7, 4, _xlfn.LAMBDA(_xlpm.r,_xlpm.c, INDEX({"VSL","fraction of volatile solids lost during storage in the primary system","fraction","Constant";"VS_j","volatile solid production from feedlot cattle in each group","kg/head/day","Calculated from 4.1.1.1 (5)";"BO","emissions potential","m3 CH4/kg VS","Constant";"MMS_mT2","fraction of manure in each secondary system","fraction","Input";"MCF_im","methane conversion factor for mean annual temperature and MMS","fraction","Constant";"rho","density of methane","kg/m3","Constant";"i","Mean annual temperature","","Input"}, _xlpm.r, _xlpm.c))))</definedName>
    <definedName name="MMS_Feedlot_Methane_Equations.VEERG_4_1_1_1__3_Stage2MethaneProduction_LatexEquation">_xlfn.LAMBDA("M_{jmT=2}=(1-VSL)\times VS_{j}\times BO\times MMS_{mT=2}\times MCF_{im}\times \rho")</definedName>
    <definedName name="MMS_Feedlot_Methane_Equations.VEERG_4_1_1_1__3_Stage2MethaneProduction_NIRReference">_xlfn.LAMBDA("")</definedName>
    <definedName name="MMS_Feedlot_Methane_Equations.VEERG_4_1_1_1__3_Stage2MethaneProduction_Source">_xlfn.LAMBDA("VEERG 2026: 4.1.1.1, Equation (3)")</definedName>
    <definedName name="MMS_Feedlot_Methane_Equations.VEERG_4_1_1_1__3_Stage2MethaneProduction_Title">_xlfn.LAMBDA("Production of methane in treatment stage 2 MMS")</definedName>
    <definedName name="MMS_Feedlot_Methane_Equations.VEERG_4_1_1_1__3_Stage2MethaneProduction_Unit">_xlfn.LAMBDA("kg CH4/head/day")</definedName>
    <definedName name="MMS_Feedlot_Methane_Equations.VEERG_4_1_1_1__3_Stage2MethaneProduction_Variable">_xlfn.LAMBDA("M_jmT2")</definedName>
    <definedName name="MMS_Feedlot_Methane_Equations.VEERG_4_1_1_1__4_Stage3MethaneProductionAnaerobicLagoon">_xlfn.LAMBDA(_xlpm.VS_j,_xlpm.BO,_xlpm.MMS_m1T3,_xlpm.MCF_im1,_xlpm.rho, _xlpm.VS_j * _xlpm.BO * _xlpm.MMS_m1T3 * _xlpm.MCF_im1 * _xlpm.rho)</definedName>
    <definedName name="MMS_Feedlot_Methane_Equations.VEERG_4_1_1_1__4_Stage3MethaneProductionAnaerobicLagoon_Arguments">_xlfn.LAMBDA(_xlfn.MAKEARRAY(6, 4, _xlfn.LAMBDA(_xlpm.r,_xlpm.c, INDEX({"VS_j","volatile solid production from feedlot cattle in each group j","kg/head/day","Calculated from 4.1.1.1 (5)";"BO","emissions potential","m3 CH4/kg VS","Constant";"MMS_m1T3","fraction of manure to tertiary anaerobic lagoon system","fraction","Input";"MCF_im1","methane conversion factor for state and anaerobic lagoon system","fraction","Constant";"rho","density of methane","kg/m3","Constant";"i","state","","Input"}, _xlpm.r, _xlpm.c))))</definedName>
    <definedName name="MMS_Feedlot_Methane_Equations.VEERG_4_1_1_1__4_Stage3MethaneProductionAnaerobicLagoon_Arguments_Method2">_xlfn.LAMBDA(_xlfn.MAKEARRAY(6, 4, _xlfn.LAMBDA(_xlpm.r,_xlpm.c, INDEX({"VS_j","volatile solid production from feedlot cattle in each group j","kg/head/day","Calculated from 4.1.1.1 (5)";"BO","emissions potential","m3 CH4/kg VS","Constant";"MMS_m1T3","fraction of manure to tertiary anaerobic lagoon system","fraction","Input";"MCF_im1","methane conversion factor for mean annual temperature and anaerobic lagoon system","fraction","Constant";"rho","density of methane","kg/m3","Constant";"i","Mean annual temperature","","Input"}, _xlpm.r, _xlpm.c))))</definedName>
    <definedName name="MMS_Feedlot_Methane_Equations.VEERG_4_1_1_1__4_Stage3MethaneProductionAnaerobicLagoon_LatexEquation">_xlfn.LAMBDA("M_{jm=1,T=3}=VS_{j}\times BO\times MMS_{m=1,T=3}\times MCF_{im=1}\times \rho")</definedName>
    <definedName name="MMS_Feedlot_Methane_Equations.VEERG_4_1_1_1__4_Stage3MethaneProductionAnaerobicLagoon_NIRReference">_xlfn.LAMBDA("")</definedName>
    <definedName name="MMS_Feedlot_Methane_Equations.VEERG_4_1_1_1__4_Stage3MethaneProductionAnaerobicLagoon_Source">_xlfn.LAMBDA("VEERG 2026: 4.1.1.1, Equation (4)")</definedName>
    <definedName name="MMS_Feedlot_Methane_Equations.VEERG_4_1_1_1__4_Stage3MethaneProductionAnaerobicLagoon_Title">_xlfn.LAMBDA("Production of methane in treatment stage 3 MMS")</definedName>
    <definedName name="MMS_Feedlot_Methane_Equations.VEERG_4_1_1_1__4_Stage3MethaneProductionAnaerobicLagoon_Unit">_xlfn.LAMBDA("kg CH4/head/day")</definedName>
    <definedName name="MMS_Feedlot_Methane_Equations.VEERG_4_1_1_1__4_Stage3MethaneProductionAnaerobicLagoon_Variable">_xlfn.LAMBDA("M_jm1T3")</definedName>
    <definedName name="MMS_Feedlot_Methane_Equations.VEERG_4_1_1_1__5_VolatileSolidProduction">_xlfn.LAMBDA(_xlpm.I_j,_xlpm.DMD_j,_xlpm.A, _xlpm.I_j * (1 - _xlpm.DMD_j) * (1 - _xlpm.A))</definedName>
    <definedName name="MMS_Feedlot_Methane_Equations.VEERG_4_1_1_1__5_VolatileSolidProduction_Arguments">_xlfn.LAMBDA(_xlfn.MAKEARRAY(3, 4, _xlfn.LAMBDA(_xlpm.r,_xlpm.c, INDEX({"I_j","dry matter intake for each group j","kg DM/head/day","Input";"DMD_j","dry matter digestibility for each group j","fraction","Input";"A","ash content of manure","fraction","Constant"}, _xlpm.r, _xlpm.c))))</definedName>
    <definedName name="MMS_Feedlot_Methane_Equations.VEERG_4_1_1_1__5_VolatileSolidProduction_LatexEquation">_xlfn.LAMBDA("VS_{j}=I_{j}\times(1-DMD_{j})\times(1-A)")</definedName>
    <definedName name="MMS_Feedlot_Methane_Equations.VEERG_4_1_1_1__5_VolatileSolidProduction_NIRReference">_xlfn.LAMBDA("")</definedName>
    <definedName name="MMS_Feedlot_Methane_Equations.VEERG_4_1_1_1__5_VolatileSolidProduction_Source">_xlfn.LAMBDA("VEERG 2026: 4.1.1.1, Equation (5)")</definedName>
    <definedName name="MMS_Feedlot_Methane_Equations.VEERG_4_1_1_1__5_VolatileSolidProduction_Title">_xlfn.LAMBDA("Volatile solid production")</definedName>
    <definedName name="MMS_Feedlot_Methane_Equations.VEERG_4_1_1_1__5_VolatileSolidProduction_Unit">_xlfn.LAMBDA("kg/head/day")</definedName>
    <definedName name="MMS_Feedlot_Methane_Equations.VEERG_4_1_1_1__5_VolatileSolidProduction_Variable">_xlfn.LAMBDA("VS_j")</definedName>
    <definedName name="MMS_Feedlot_N2ODirect_Equations.VEERG_4_1_1_3__1_TotalAnnualDirectNitrousOxideEmissions">_xlfn.LAMBDA(_xlpm.MN_jmT,_xlpm.EF_jm,_xlpm.C_N2O, SUMPRODUCT(_xlpm.MN_jmT, _xlpm.EF_jm, _xlpm.C_N2O) * 10 ^ -3)</definedName>
    <definedName name="MMS_Feedlot_N2ODirect_Equations.VEERG_4_1_1_3__1_TotalAnnualDirectNitrousOxideEmissions_Arguments">_xlfn.LAMBDA(_xlfn.MAKEARRAY(3, 4, _xlfn.LAMBDA(_xlpm.r,_xlpm.c, INDEX({"MN_jmT","nitrogen per cattle group, MMS and treatment stage","kg N","Calculated from 4.1.1.3 (2)(6)(8)";"EF_jm","nitrous oxide emission factor for MMS","kg N2O-N/kg N","Constant";"C_N2O","factor to convert elemental mass of nitrous oxide to molecular mass","ratio","Constant"}, _xlpm.r, _xlpm.c))))</definedName>
    <definedName name="MMS_Feedlot_N2ODirect_Equations.VEERG_4_1_1_3__1_TotalAnnualDirectNitrousOxideEmissions_LatexEquation">_xlfn.LAMBDA("E_{N2O,dir}=\sum_{j}\sum_{m}\sum_{T}(MN_{jmT}\times EF_{jm}\times C_{N2O})\times10^{-3}")</definedName>
    <definedName name="MMS_Feedlot_N2ODirect_Equations.VEERG_4_1_1_3__1_TotalAnnualDirectNitrousOxideEmissions_NIRReference">_xlfn.LAMBDA("")</definedName>
    <definedName name="MMS_Feedlot_N2ODirect_Equations.VEERG_4_1_1_3__1_TotalAnnualDirectNitrousOxideEmissions_Source">_xlfn.LAMBDA("VEERG 2026: 4.1.1.3, Equation (1)")</definedName>
    <definedName name="MMS_Feedlot_N2ODirect_Equations.VEERG_4_1_1_3__1_TotalAnnualDirectNitrousOxideEmissions_Title">_xlfn.LAMBDA("Total annual direct nitrous oxide emissions from manure management systems")</definedName>
    <definedName name="MMS_Feedlot_N2ODirect_Equations.VEERG_4_1_1_3__1_TotalAnnualDirectNitrousOxideEmissions_Unit">_xlfn.LAMBDA("t N2O")</definedName>
    <definedName name="MMS_Feedlot_N2ODirect_Equations.VEERG_4_1_1_3__1_TotalAnnualDirectNitrousOxideEmissions_Variable">_xlfn.LAMBDA("E_N2Odir")</definedName>
    <definedName name="MMS_Feedlot_N2ODirect_Equations.VEERG_4_1_1_3__2_Stage1NitrogenInMMSDrylot">_xlfn.LAMBDA(_xlpm.AE_j,_xlpm.MMS_jm5T1, _xlpm.AE_j * _xlpm.MMS_jm5T1)</definedName>
    <definedName name="MMS_Feedlot_N2ODirect_Equations.VEERG_4_1_1_3__2_Stage1NitrogenInMMSDrylot_Arguments">_xlfn.LAMBDA(_xlfn.MAKEARRAY(2, 4, _xlfn.LAMBDA(_xlpm.r,_xlpm.c, INDEX({"AE_j","total nitrogen excreted by each cattle group","kg N","Calculated from 4.1.1.3 (3)";"MMS_jm5T1","fraction of manure in primary system drylot MMS","fraction","Input"}, _xlpm.r, _xlpm.c))))</definedName>
    <definedName name="MMS_Feedlot_N2ODirect_Equations.VEERG_4_1_1_3__2_Stage1NitrogenInMMSDrylot_LatexEquation">_xlfn.LAMBDA("MN_{jm=5,T=1}=AE_{j}\times MMS_{jm=5,T=1}")</definedName>
    <definedName name="MMS_Feedlot_N2ODirect_Equations.VEERG_4_1_1_3__2_Stage1NitrogenInMMSDrylot_NIRReference">_xlfn.LAMBDA("")</definedName>
    <definedName name="MMS_Feedlot_N2ODirect_Equations.VEERG_4_1_1_3__2_Stage1NitrogenInMMSDrylot_Source">_xlfn.LAMBDA("VEERG 2026: 4.1.1.3, Equation (2)")</definedName>
    <definedName name="MMS_Feedlot_N2ODirect_Equations.VEERG_4_1_1_3__2_Stage1NitrogenInMMSDrylot_Title">_xlfn.LAMBDA("Nitrogen in treatment stage 1 MMS")</definedName>
    <definedName name="MMS_Feedlot_N2ODirect_Equations.VEERG_4_1_1_3__2_Stage1NitrogenInMMSDrylot_Unit">_xlfn.LAMBDA("kg N")</definedName>
    <definedName name="MMS_Feedlot_N2ODirect_Equations.VEERG_4_1_1_3__2_Stage1NitrogenInMMSDrylot_Variable">_xlfn.LAMBDA("MN_jm5T1")</definedName>
    <definedName name="MMS_Feedlot_N2ODirect_Equations.VEERG_4_1_1_3__3_AnnualNitrogenExcretion">_xlfn.LAMBDA(_xlpm.N_j,_xlpm.NE_j,_xlpm.D_j, _xlpm.N_j * _xlpm.NE_j * _xlpm.D_j)</definedName>
    <definedName name="MMS_Feedlot_N2ODirect_Equations.VEERG_4_1_1_3__3_AnnualNitrogenExcretion_Arguments">_xlfn.LAMBDA(_xlfn.MAKEARRAY(3, 4, _xlfn.LAMBDA(_xlpm.r,_xlpm.c, INDEX({"N_j","number of cattle in each group","head","Input";"NE_j","nitrogen excretion","kg N/head/day","Calculated from 4.1.1.3 (4)";"D_j","duration of stay of cattle group","days","Input"}, _xlpm.r, _xlpm.c))))</definedName>
    <definedName name="MMS_Feedlot_N2ODirect_Equations.VEERG_4_1_1_3__3_AnnualNitrogenExcretion_LatexEquation">_xlfn.LAMBDA("AE_{j}=N_{j}\times NE_{j}\times D_{j}")</definedName>
    <definedName name="MMS_Feedlot_N2ODirect_Equations.VEERG_4_1_1_3__3_AnnualNitrogenExcretion_NIRReference">_xlfn.LAMBDA("")</definedName>
    <definedName name="MMS_Feedlot_N2ODirect_Equations.VEERG_4_1_1_3__3_AnnualNitrogenExcretion_Source">_xlfn.LAMBDA("VEERG 2026: 4.1.1.3, Equation (3)")</definedName>
    <definedName name="MMS_Feedlot_N2ODirect_Equations.VEERG_4_1_1_3__3_AnnualNitrogenExcretion_Title">_xlfn.LAMBDA("Annual nitrogen excretion from each feedlot cattle group")</definedName>
    <definedName name="MMS_Feedlot_N2ODirect_Equations.VEERG_4_1_1_3__3_AnnualNitrogenExcretion_Unit">_xlfn.LAMBDA("kg N")</definedName>
    <definedName name="MMS_Feedlot_N2ODirect_Equations.VEERG_4_1_1_3__3_AnnualNitrogenExcretion_Variable">_xlfn.LAMBDA("AE_j")</definedName>
    <definedName name="MMS_Feedlot_N2ODirect_Equations.VEERG_4_1_1_3__4_NitrogenExcretionPerHead">_xlfn.LAMBDA(_xlpm.NI_j,_xlpm.NR_j, _xlpm.NI_j * (1 - _xlpm.NR_j))</definedName>
    <definedName name="MMS_Feedlot_N2ODirect_Equations.VEERG_4_1_1_3__4_NitrogenExcretionPerHead_Arguments">_xlfn.LAMBDA(_xlfn.MAKEARRAY(2, 4, _xlfn.LAMBDA(_xlpm.r,_xlpm.c, INDEX({"NI_j","nitrogen intake","kg N/head/day","Calculated from 4.1.1.3 (5)";"NR_j","nitrogen retention expressed as a fraction of intake","fraction","Input"}, _xlpm.r, _xlpm.c))))</definedName>
    <definedName name="MMS_Feedlot_N2ODirect_Equations.VEERG_4_1_1_3__4_NitrogenExcretionPerHead_LatexEquation">_xlfn.LAMBDA("NE_{j}=NI_{j}\times(1-NR_{j})")</definedName>
    <definedName name="MMS_Feedlot_N2ODirect_Equations.VEERG_4_1_1_3__4_NitrogenExcretionPerHead_NIRReference">_xlfn.LAMBDA("")</definedName>
    <definedName name="MMS_Feedlot_N2ODirect_Equations.VEERG_4_1_1_3__4_NitrogenExcretionPerHead_Source">_xlfn.LAMBDA("VEERG 2026: 4.1.1.3, Equation (4)")</definedName>
    <definedName name="MMS_Feedlot_N2ODirect_Equations.VEERG_4_1_1_3__4_NitrogenExcretionPerHead_Title">_xlfn.LAMBDA("Nitrogen excretion per head per day")</definedName>
    <definedName name="MMS_Feedlot_N2ODirect_Equations.VEERG_4_1_1_3__4_NitrogenExcretionPerHead_Unit">_xlfn.LAMBDA("kg N/head/day")</definedName>
    <definedName name="MMS_Feedlot_N2ODirect_Equations.VEERG_4_1_1_3__4_NitrogenExcretionPerHead_Variable">_xlfn.LAMBDA("NE_j")</definedName>
    <definedName name="MMS_Feedlot_N2ODirect_Equations.VEERG_4_1_1_3__5_NitrogenIntake">_xlfn.LAMBDA(_xlpm.I_j,_xlpm.CP_j, _xlpm.I_j * _xlpm.CP_j / 6.25)</definedName>
    <definedName name="MMS_Feedlot_N2ODirect_Equations.VEERG_4_1_1_3__5_NitrogenIntake_Arguments">_xlfn.LAMBDA(_xlfn.MAKEARRAY(3, 4, _xlfn.LAMBDA(_xlpm.r,_xlpm.c, INDEX({"I_j","dry matter intake","kg DM/head/day","Input";"CP_j","crude protein content of feed","fraction","Input";"6.25","factor for converting crude protein into nitrogen","ratio","Constant"}, _xlpm.r, _xlpm.c))))</definedName>
    <definedName name="MMS_Feedlot_N2ODirect_Equations.VEERG_4_1_1_3__5_NitrogenIntake_LatexEquation">_xlfn.LAMBDA("NI_{j}=I_{j}\times CP_{j}\div 6.25")</definedName>
    <definedName name="MMS_Feedlot_N2ODirect_Equations.VEERG_4_1_1_3__5_NitrogenIntake_NIRReference">_xlfn.LAMBDA("")</definedName>
    <definedName name="MMS_Feedlot_N2ODirect_Equations.VEERG_4_1_1_3__5_NitrogenIntake_Source">_xlfn.LAMBDA("VEERG 2026: 4.1.1.3, Equation (5)")</definedName>
    <definedName name="MMS_Feedlot_N2ODirect_Equations.VEERG_4_1_1_3__5_NitrogenIntake_Title">_xlfn.LAMBDA("Nitrogen intake of feedlot cattle")</definedName>
    <definedName name="MMS_Feedlot_N2ODirect_Equations.VEERG_4_1_1_3__5_NitrogenIntake_Unit">_xlfn.LAMBDA("kg N/head/day")</definedName>
    <definedName name="MMS_Feedlot_N2ODirect_Equations.VEERG_4_1_1_3__5_NitrogenIntake_Variable">_xlfn.LAMBDA("NI_j")</definedName>
    <definedName name="MMS_Feedlot_N2ODirect_Equations.VEERG_4_1_1_3__6_Stage2NitrogenInMMS">_xlfn.LAMBDA(_xlpm.NT_jmT2,_xlpm.MMS_jmT2, _xlpm.NT_jmT2 * _xlpm.MMS_jmT2)</definedName>
    <definedName name="MMS_Feedlot_N2ODirect_Equations.VEERG_4_1_1_3__6_Stage2NitrogenInMMS_Arguments">_xlfn.LAMBDA(_xlfn.MAKEARRAY(2, 4, _xlfn.LAMBDA(_xlpm.r,_xlpm.c, INDEX({"NT_jmT2","nitrogen transferred to secondary treatment MMS","kg N","Calculated from 4.1.1.3 (7)";"MMS_jmT2","fraction of manure in each secondary system","fraction","Input"}, _xlpm.r, _xlpm.c))))</definedName>
    <definedName name="MMS_Feedlot_N2ODirect_Equations.VEERG_4_1_1_3__6_Stage2NitrogenInMMS_LatexEquation">_xlfn.LAMBDA("MN_{jm,T=2}=NT_{jm,T=2}\times MMS_{jm,T=2}")</definedName>
    <definedName name="MMS_Feedlot_N2ODirect_Equations.VEERG_4_1_1_3__6_Stage2NitrogenInMMS_NIRReference">_xlfn.LAMBDA("")</definedName>
    <definedName name="MMS_Feedlot_N2ODirect_Equations.VEERG_4_1_1_3__6_Stage2NitrogenInMMS_Source">_xlfn.LAMBDA("VEERG 2026: 4.1.1.3, Equation (6)")</definedName>
    <definedName name="MMS_Feedlot_N2ODirect_Equations.VEERG_4_1_1_3__6_Stage2NitrogenInMMS_Title">_xlfn.LAMBDA("Nitrogen in treatment stage 2 MMS")</definedName>
    <definedName name="MMS_Feedlot_N2ODirect_Equations.VEERG_4_1_1_3__6_Stage2NitrogenInMMS_Unit">_xlfn.LAMBDA("kg N")</definedName>
    <definedName name="MMS_Feedlot_N2ODirect_Equations.VEERG_4_1_1_3__6_Stage2NitrogenInMMS_Variable">_xlfn.LAMBDA("MN_jmT2")</definedName>
    <definedName name="MMS_Feedlot_N2ODirect_Equations.VEERG_4_1_1_3__7_NitrogenTransferredToStage2">_xlfn.LAMBDA(_xlpm.MN_jm5T1,_xlpm.FracGASM_m5,_xlpm.EF_m5,_xlpm.MN_jmT3, (_xlpm.MN_jm5T1 * (1 - _xlpm.FracGASM_m5 - _xlpm.EF_m5)) - _xlpm.MN_jmT3)</definedName>
    <definedName name="MMS_Feedlot_N2ODirect_Equations.VEERG_4_1_1_3__7_NitrogenTransferredToStage2_Arguments">_xlfn.LAMBDA(_xlfn.MAKEARRAY(4, 4, _xlfn.LAMBDA(_xlpm.r,_xlpm.c, INDEX({"MN_jm5T1","nitrogen in MMS treatment stage 1","kg N","Calculated from 4.1.1.3 (2)";"FracGASM_m5","fraction of N volatilised from drylot MMS","fraction","Constant";"EF_m5","nitrous oxide emission factor for drylot MMS","kg N2O-N/kg N deposited","Constant";"MN_jmT3","nitrogen in MMS treatment stage 3","kg N","Calculated from 4.1.1.3 (8)"}, _xlpm.r, _xlpm.c))))</definedName>
    <definedName name="MMS_Feedlot_N2ODirect_Equations.VEERG_4_1_1_3__7_NitrogenTransferredToStage2_LatexEquation">_xlfn.LAMBDA("NT_{jm,T=2}=(MN_{jm=5,T=1}\times(1-FracGASM_{m=5}-EF_{m=5}))-MN_{jm,T=3}")</definedName>
    <definedName name="MMS_Feedlot_N2ODirect_Equations.VEERG_4_1_1_3__7_NitrogenTransferredToStage2_NIRReference">_xlfn.LAMBDA("")</definedName>
    <definedName name="MMS_Feedlot_N2ODirect_Equations.VEERG_4_1_1_3__7_NitrogenTransferredToStage2_Source">_xlfn.LAMBDA("VEERG 2026: 4.1.1.3, Equation (7)")</definedName>
    <definedName name="MMS_Feedlot_N2ODirect_Equations.VEERG_4_1_1_3__7_NitrogenTransferredToStage2_Title">_xlfn.LAMBDA("Nitrogen transferred to treatment stage 2 MMS")</definedName>
    <definedName name="MMS_Feedlot_N2ODirect_Equations.VEERG_4_1_1_3__7_NitrogenTransferredToStage2_Unit">_xlfn.LAMBDA("kg N")</definedName>
    <definedName name="MMS_Feedlot_N2ODirect_Equations.VEERG_4_1_1_3__7_NitrogenTransferredToStage2_Variable">_xlfn.LAMBDA("NT_jmT2")</definedName>
    <definedName name="MMS_Feedlot_N2ODirect_Equations.VEERG_4_1_1_3__8_Stage3NitrogenInMMSAnaerobicLagoon">_xlfn.LAMBDA(_xlpm.AE_j,_xlpm.MMS_jm1T3, _xlpm.AE_j * _xlpm.MMS_jm1T3)</definedName>
    <definedName name="MMS_Feedlot_N2ODirect_Equations.VEERG_4_1_1_3__8_Stage3NitrogenInMMSAnaerobicLagoon_Arguments">_xlfn.LAMBDA(_xlfn.MAKEARRAY(2, 4, _xlfn.LAMBDA(_xlpm.r,_xlpm.c, INDEX({"AE_j","total nitrogen excreted by each cattle group","kg N","Calculated from 4.1.1.3 (3)";"MMS_jm1T3","fraction of manure to tertiary anaerobic lagoon system","fraction","Input"}, _xlpm.r, _xlpm.c))))</definedName>
    <definedName name="MMS_Feedlot_N2ODirect_Equations.VEERG_4_1_1_3__8_Stage3NitrogenInMMSAnaerobicLagoon_LatexEquation">_xlfn.LAMBDA("MN_{jm=1,T=3}=AE_{j}\times MMS_{jm=1,T=3}")</definedName>
    <definedName name="MMS_Feedlot_N2ODirect_Equations.VEERG_4_1_1_3__8_Stage3NitrogenInMMSAnaerobicLagoon_NIRReference">_xlfn.LAMBDA("")</definedName>
    <definedName name="MMS_Feedlot_N2ODirect_Equations.VEERG_4_1_1_3__8_Stage3NitrogenInMMSAnaerobicLagoon_Source">_xlfn.LAMBDA("VEERG 2026: 4.1.1.3, Equation (8)")</definedName>
    <definedName name="MMS_Feedlot_N2ODirect_Equations.VEERG_4_1_1_3__8_Stage3NitrogenInMMSAnaerobicLagoon_Title">_xlfn.LAMBDA("Nitrogen in treatment stage 3 MMS")</definedName>
    <definedName name="MMS_Feedlot_N2ODirect_Equations.VEERG_4_1_1_3__8_Stage3NitrogenInMMSAnaerobicLagoon_Unit">_xlfn.LAMBDA("kg N")</definedName>
    <definedName name="MMS_Feedlot_N2ODirect_Equations.VEERG_4_1_1_3__8_Stage3NitrogenInMMSAnaerobicLagoon_Variable">_xlfn.LAMBDA("MN_jm1T3")</definedName>
    <definedName name="SourceData_Feedlot.SourceData_Feedlot_AnimalCharacteristics_Data">_xlfn.LAMBDA(
    _xlfn.MAKEARRAY(10, 7,
      _xlfn.LAMBDA(_xlpm.r,_xlpm.c,
        INDEX({"Feedlot type","Characteristic","Unit","2005-2009","2010-2014","2015-2019","2020-2023";"Domestic","Days on feed","days",70,70,70,75;"Domestic","Feed intake","kg DM/day",10,10,10.4,10.4;"Domestic","N retention","per cent of intake",21.1,20.4,20.4,20.4;"Mid-fed","Days on feed","days",115,115,120,150;"Mid-fed","Feed intake","kg DM/day",11.2,10.8,10.8,10.8;"Mid-fed","N retention","per cent of intake",12.5,12.7,12.7,12.7;"Long-fed","Days on feed","days",250,250,250,250;"Long-fed","Feed intake","kg DM/day",9,8.5,8.2,8.2;"Long-fed","N retention","per cent of intake",6.6,7,7,7}, _xlpm.r, _xlpm.c)
      )
    )
  )</definedName>
    <definedName name="SourceData_Feedlot.SourceData_Feedlot_AnimalCharacteristics_Source">_xlfn.LAMBDA("VEERG 2026: Table A.1.1.2: Beef feedlot cattle - Animal characteristics")</definedName>
    <definedName name="SourceData_Feedlot.SourceData_Feedlot_AnimalCharacteristics_Title">_xlfn.LAMBDA("Beef feedlot cattle - Animal characteristics")</definedName>
    <definedName name="SourceData_Feedlot.SourceData_Feedlot_AnimalCharacteristics_Unit">_xlfn.LAMBDA("")</definedName>
    <definedName name="SourceData_Feedlot.SourceData_Feedlot_AnimalCharacteristics_Variation">_xlfn.LAMBDA(_xlfn.MAKEARRAY(3, 1, _xlfn.LAMBDA(_xlpm.r,_xlpm.c, INDEX({"VARIATION ON SOURCE:";"Moved feedlot types to a separate column to aid lookup.";"Named 'characteristic' column - original has header 'Unit' which covers two columns)"}, _xlpm.r, _xlpm.c))))</definedName>
    <definedName name="SourceData_Feedlot.SourceData_Feedlot_AshContent_Data">_xlfn.LAMBDA(0.16)</definedName>
    <definedName name="SourceData_Feedlot.SourceData_Feedlot_AshContent_Source">_xlfn.LAMBDA("VEERG 2026: 4.1.2.3 CONSTANTS")</definedName>
    <definedName name="SourceData_Feedlot.SourceData_Feedlot_AshContent_Title">_xlfn.LAMBDA("Ash content of manure.")</definedName>
    <definedName name="SourceData_Feedlot.SourceData_Feedlot_AshContent_Unit">_xlfn.LAMBDA("Fraction")</definedName>
    <definedName name="SourceData_Feedlot.SourceData_Feedlot_AshContent_Variable">_xlfn.LAMBDA("A")</definedName>
    <definedName name="SourceData_Feedlot.SourceData_Feedlot_AshContent_Variation">_xlfn.LAMBDA("")</definedName>
    <definedName name="SourceData_Feedlot.SourceData_Feedlot_DietProperties_Data">_xlfn.LAMBDA(
    _xlfn.MAKEARRAY(13, 8,
      _xlfn.LAMBDA(_xlpm.r,_xlpm.c,
        INDEX({"Feedlot type","Nutrient analysis","Unit","2005-2009","2010-2014","2015-2019","2020-2023","Converted to fraction";"Domestic","Dry matter digestibility","fraction",0.81,0.81,0.81,0.81,0.81;"Domestic","Crude protein","fraction",0.14,0.14,0.14,0.14,0.14;"Domestic","NDF","per cent",23,22,22,22,0.22;"Domestic","Ether Extract","per cent",4.5,4.5,4.8,4.8,0.048;"Mid-fed","Dry matter digestibility","fraction",0.81,0.81,0.81,0.81,0.81;"Mid-fed","Crude protein","fraction",0.13,0.125,0.12,0.12,0.12;"Mid-fed","NDF","per cent",24,22,22,22,0.22;"Mid-fed","Ether Extract","per cent",5,5,5,5,0.05;"Long-Fed","Dry matter digestibility","fraction",0.81,0.81,0.81,0.81,0.81;"Long-Fed","Crude protein","fraction",0.13,0.125,0.12,0.12,0.12;"Long-Fed","NDF","per cent",24,24,24,24,0.24;"Long-Fed","Ether Extract","per cent",5,5,5.5,5.5,0.055}, _xlpm.r, _xlpm.c)
      )
    )
  )</definedName>
    <definedName name="SourceData_Feedlot.SourceData_Feedlot_DietProperties_Source">_xlfn.LAMBDA("VEERG 2026: Table A.1.1.3: Beef feedlot cattle - Diet properties")</definedName>
    <definedName name="SourceData_Feedlot.SourceData_Feedlot_DietProperties_Title">_xlfn.LAMBDA("Beef feedlot cattle - Diet properties")</definedName>
    <definedName name="SourceData_Feedlot.SourceData_Feedlot_DietProperties_Unit">_xlfn.LAMBDA("")</definedName>
    <definedName name="SourceData_Feedlot.SourceData_Feedlot_DietProperties_Variation">_xlfn.LAMBDA(_xlfn.MAKEARRAY(3, 1, _xlfn.LAMBDA(_xlpm.r,_xlpm.c, INDEX({"VARIATION ON SOURCE:";"Added 'Converted to fraction column and converted NDF and Ether extract values to fractions.";"Moved feedlot types to a separate column to aid lookup."}, _xlpm.r, _xlpm.c))))</definedName>
    <definedName name="SourceData_Feedlot.SourceData_Feedlot_DurationOfStay_Data">_xlfn.LAMBDA(_xlfn.MAKEARRAY(4, 2, _xlfn.LAMBDA(_xlpm.r,_xlpm.c, INDEX({"Feedlot type","Length of Stay";"Domestic","1-80 days";"Mid-fed","81-200 days";"Long-fed","201+ days"}, _xlpm.r, _xlpm.c))))</definedName>
    <definedName name="SourceData_Feedlot.SourceData_Feedlot_DurationOfStay_Source">_xlfn.LAMBDA("VEERG 2026: Table A.1.1.1: Beef feedlot cattle - Duration of stay (days)")</definedName>
    <definedName name="SourceData_Feedlot.SourceData_Feedlot_DurationOfStay_Title">_xlfn.LAMBDA("Beef feedlot cattle - Duration of stay (days)")</definedName>
    <definedName name="SourceData_Feedlot.SourceData_Feedlot_DurationOfStay_Unit">_xlfn.LAMBDA("")</definedName>
    <definedName name="SourceData_Feedlot.SourceData_Feedlot_DurationOfStay_Variation">_xlfn.LAMBDA("")</definedName>
    <definedName name="SourceData_Feedlot.SourceData_Feedlot_FracNVolatilised_Data">_xlfn.LAMBDA(_xlfn.MAKEARRAY(6, 4, _xlfn.LAMBDA(_xlpm.r,_xlpm.c, INDEX({"Treatment stage T","MMS m","FracGASMmT (kg NH3-N + NOx-N)/kg N","NIR definition";"Primary","Dry lot (Feedpad)",0.6,"Drylot (feed pad)";"Secondary","Solid Storage (Stockpile)",0.25,"Solid storage";"Secondary","Composting (Passive Windrow)",0.4,"Composting (passive windrow)";"Secondary","Direct Application to soil",0,"Direct application";"Tertiary","Uncovered anaerobic lagoon (Effluent pond)",0.35,"Anaerobic lagoon"}, _xlpm.r, _xlpm.c))))</definedName>
    <definedName name="SourceData_Feedlot.SourceData_Feedlot_FracNVolatilised_Source">_xlfn.LAMBDA("VEERG 2026: Table A.1.1.6: Beef feedlot cattle - Fraction of N volatilised by MMS (FracGASMmT)")</definedName>
    <definedName name="SourceData_Feedlot.SourceData_Feedlot_FracNVolatilised_Title">_xlfn.LAMBDA("Feedlot - Fraction of N volatilised by MMS (FracGASMmT)")</definedName>
    <definedName name="SourceData_Feedlot.SourceData_Feedlot_FracNVolatilised_Unit">_xlfn.LAMBDA("")</definedName>
    <definedName name="SourceData_Feedlot.SourceData_Feedlot_FracNVolatilised_Variation">_xlfn.LAMBDA(_xlfn.MAKEARRAY(2, 1, _xlfn.LAMBDA(_xlpm.r,_xlpm.c, INDEX({"VARIATION ON SOURCE:";"Added 'NIR definition' column with MMS names that match NIR definitions."}, _xlpm.r, _xlpm.c))))</definedName>
    <definedName name="SourceData_Feedlot.SourceData_Feedlot_LivestockClasses">_xlfn.LAMBDA(_xlfn.MAKEARRAY(3, 1, _xlfn.LAMBDA(_xlpm.r,_xlpm.c, INDEX({"Domestic";"Export mid fed";"Export long fed"}, _xlpm.r, _xlpm.c))))</definedName>
    <definedName name="SourceData_Feedlot.SourceData_Feedlot_MCF_Data">_xlfn.LAMBDA(_xlfn.MAKEARRAY(6, 11, _xlfn.LAMBDA(_xlpm.r,_xlpm.c, INDEX({"Treatment stage T","MMS m","NSW","ACT","QLD","NT","SA","VIC","WA","TAS","NIR definition";"Primary","Dry lot (Feedpad)",0.01,0.01,0.03,0.03,0.01,0.01,0.01,0.01,"Drylot (feed pad)";"Secondary","Solid Storage (Stockpile)",0.02,0.02,0.02,0.02,0.02,0.02,0.02,0.02,"Solid storage";"Secondary","Composting (Passive Windrow)",0.01,0.01,0.01,0.01,0.01,0.01,0.01,0.01,"Composting (passive windrow)";"Secondary","Direct Application to soil",0,0,0,0,0,0,0,0,"Direct application";"Tertiary","Uncovered anaerobic lagoon (Effluent pond)",0.75,0.75,0.77,0.77,0.75,0.75,0.77,0.75,"Anaerobic lagoon"}, _xlpm.r, _xlpm.c))))</definedName>
    <definedName name="SourceData_Feedlot.SourceData_Feedlot_MCF_Source">_xlfn.LAMBDA("VEERG 2026: Table A.1.1.4: Beef feedlot cattle - MCFs (fraction) (MCFimT)")</definedName>
    <definedName name="SourceData_Feedlot.SourceData_Feedlot_MCF_Title">_xlfn.LAMBDA("Feedlot - MCFs")</definedName>
    <definedName name="SourceData_Feedlot.SourceData_Feedlot_MCF_Unit">_xlfn.LAMBDA("")</definedName>
    <definedName name="SourceData_Feedlot.SourceData_Feedlot_MCF_Variation">_xlfn.LAMBDA(_xlfn.MAKEARRAY(4, 1, _xlfn.LAMBDA(_xlpm.r,_xlpm.c, INDEX({"VARIATION ON SOURCE:";"Duplicated NSW values for ACT";"Added NT column that duplicates QLD values as per advice from source data provider.";"Added TAS column that duplicates VIC values as per advice from source data provider.";"Added 'NIR definition' column with MMS names that match NIR definitions."}, _xlpm.r, _xlpm.c))))</definedName>
    <definedName name="SourceData_Feedlot.SourceData_Feedlot_MethaneEmissionsPotential_Data">_xlfn.LAMBDA(0.19)</definedName>
    <definedName name="SourceData_Feedlot.SourceData_Feedlot_MethaneEmissionsPotential_Source">_xlfn.LAMBDA("VEERG 2026: 4.1.2.3 CONSTANTS")</definedName>
    <definedName name="SourceData_Feedlot.SourceData_Feedlot_MethaneEmissionsPotential_Title">_xlfn.LAMBDA("Methane emissions potential.")</definedName>
    <definedName name="SourceData_Feedlot.SourceData_Feedlot_MethaneEmissionsPotential_Unit">_xlfn.LAMBDA("m3 CH4 / kg VS")</definedName>
    <definedName name="SourceData_Feedlot.SourceData_Feedlot_MethaneEmissionsPotential_Variable">_xlfn.LAMBDA("B0")</definedName>
    <definedName name="SourceData_Feedlot.SourceData_Feedlot_MethaneEmissionsPotential_Variation">_xlfn.LAMBDA("")</definedName>
    <definedName name="SourceData_Feedlot.SourceData_Feedlot_MMSm1T3_Data">_xlfn.LAMBDA(0.02)</definedName>
    <definedName name="SourceData_Feedlot.SourceData_Feedlot_MMSm1T3_Source">_xlfn.LAMBDA("VEERG 2026: 4.1.2.3 CONSTANTS")</definedName>
    <definedName name="SourceData_Feedlot.SourceData_Feedlot_MMSm1T3_Title">_xlfn.LAMBDA("Fraction of volatile solids to each tertiary system assumed that 2 per cent is run - off from the feed pad.")</definedName>
    <definedName name="SourceData_Feedlot.SourceData_Feedlot_MMSm1T3_Unit">_xlfn.LAMBDA("Fraction")</definedName>
    <definedName name="SourceData_Feedlot.SourceData_Feedlot_MMSm1T3_Variable">_xlfn.LAMBDA("MMSm1T3")</definedName>
    <definedName name="SourceData_Feedlot.SourceData_Feedlot_MMSm1T3_Variation">_xlfn.LAMBDA("")</definedName>
    <definedName name="SourceData_Feedlot.SourceData_Feedlot_NitrousOxideEFs_Data">_xlfn.LAMBDA(_xlfn.MAKEARRAY(6, 4, _xlfn.LAMBDA(_xlpm.r,_xlpm.c, INDEX({"Treatment stage T","MMS m","EFmT (kg N2O-N/kg N)","NIR definition";"Primary","Dry lot (Feedpad)",0.0054,"Drylot (feed pad)";"Secondary","Solid Storage (Stockpile)",0.005,"Solid storage";"Secondary","Composting (Passive Windrow)",0.01,"Composting (passive windrow)";"Secondary","Direct Application to soil",0,"Direct application";"Tertiary","Uncovered anaerobic lagoon (Effluent Pond)",0,"Anaerobic lagoon"}, _xlpm.r, _xlpm.c))))</definedName>
    <definedName name="SourceData_Feedlot.SourceData_Feedlot_NitrousOxideEFs_Source">_xlfn.LAMBDA("VEERG 2026: Table A.1.1.5: Beef feedlot cattle - Nitrous oxide EFs (EFmT)")</definedName>
    <definedName name="SourceData_Feedlot.SourceData_Feedlot_NitrousOxideEFs_Title">_xlfn.LAMBDA("Feedlot - Nitrous oxide EFs")</definedName>
    <definedName name="SourceData_Feedlot.SourceData_Feedlot_NitrousOxideEFs_Unit">_xlfn.LAMBDA("")</definedName>
    <definedName name="SourceData_Feedlot.SourceData_Feedlot_NitrousOxideEFs_Variation">_xlfn.LAMBDA(_xlfn.MAKEARRAY(2, 1, _xlfn.LAMBDA(_xlpm.r,_xlpm.c, INDEX({"VARIATION ON SOURCE:";"Added 'NIR definition' column with MMS names that match NIR definitions."}, _xlpm.r, _xlpm.c))))</definedName>
    <definedName name="SourceData_Feedlot.SourceData_Feedlot_Stage1MMSOptions">_xlfn.LAMBDA(_xlfn.MAKEARRAY(1, 1, _xlfn.LAMBDA(_xlpm.r,_xlpm.c, INDEX({"Drylot (feed pad)"}, _xlpm.r, _xlpm.c))))</definedName>
    <definedName name="SourceData_Feedlot.SourceData_Feedlot_Stage2MMSOptions">_xlfn.LAMBDA(_xlfn.MAKEARRAY(4, 1, _xlfn.LAMBDA(_xlpm.r,_xlpm.c, INDEX({"Solid storage";"Composting (passive windrow)";"Direct application";"No MMS"}, _xlpm.r, _xlpm.c))))</definedName>
    <definedName name="SourceData_Feedlot.SourceData_Feedlot_Stage3MMSOptions">_xlfn.LAMBDA(_xlfn.MAKEARRAY(1, 1, _xlfn.LAMBDA(_xlpm.r,_xlpm.c, INDEX({"Anaerobic lagoon"}, _xlpm.r, _xlpm.c))))</definedName>
    <definedName name="SourceData_Feedlot.SourceData_Feedlot_VSL_Data">_xlfn.LAMBDA(0.5)</definedName>
    <definedName name="SourceData_Feedlot.SourceData_Feedlot_VSL_Source">_xlfn.LAMBDA("VEERG 2026: 4.1.2.3 CONSTANTS")</definedName>
    <definedName name="SourceData_Feedlot.SourceData_Feedlot_VSL_Title">_xlfn.LAMBDA("Feedlot - Fraction of volatile solids lost during storage in the primary system")</definedName>
    <definedName name="SourceData_Feedlot.SourceData_Feedlot_VSL_Unit">_xlfn.LAMBDA("Fraction")</definedName>
    <definedName name="SourceData_Feedlot.SourceData_Feedlot_VSL_Variable">_xlfn.LAMBDA("VSL")</definedName>
    <definedName name="SourceData_Feedlot.SourceData_Feedlot_VSL_Variation">_xlfn.LAMBDA("")</definedName>
    <definedName name="SourceData_Feedlot_AshContent_Data">'Constants - Feedlot'!$E$17</definedName>
    <definedName name="SourceData_Feedlot_MethaneEmissionsPotential_Data">'Constants - Feedlot'!$E$22</definedName>
    <definedName name="SourceData_Feedlot_MMSm1T3_Data">'Constants - Feedlot'!$E$12</definedName>
    <definedName name="SourceData_Feedlot_VSL_Data">'Constants - Feedlot'!$E$7</definedName>
    <definedName name="Table_D_j">'4.1.1.3-4 Direct N20'!$D$77:$F$78</definedName>
    <definedName name="Table_D_j_Consumer_1">'4.1.1.1-2 Methane'!$D$144:$F$145</definedName>
    <definedName name="Table_E_CH4">'4.1.1.1-2 Methane'!$M$163:$Q$168</definedName>
    <definedName name="Table_E_CH4_Consumer_1">'4.1.1.1-2 Methane'!$D$163:$H$168</definedName>
    <definedName name="Table_EF_j_m">'4.1.1.3-4 Direct N20'!$D$194:$E$198</definedName>
    <definedName name="Table_EF_j_m_T23">'4.1.1.9 Manure applied to soils'!$D$29:$E$34</definedName>
    <definedName name="Table_FracGASM_m_T23">'4.1.1.9 Manure applied to soils'!$D$38:$E$43</definedName>
    <definedName name="Table_FracGASM_m_T23_Consumer_1">'4.1.1.5-6 Atmos Deposition'!$D$31:$E$35</definedName>
    <definedName name="Table_MMS_j_m_T2">'4.1.1.3-4 Direct N20'!$D$166:$G$169</definedName>
    <definedName name="Table_MMS_j_m1_T3">'4.1.1.3-4 Direct N20'!$D$123:$G$124</definedName>
    <definedName name="Table_MMS_j_m5_T1">'4.1.1.3-4 Direct N20'!$D$100:$G$101</definedName>
    <definedName name="Table_MMS_m_T2">'4.1.1.1-2 Methane'!$D$79:$H$82</definedName>
    <definedName name="Table_MMS_m1_T3">'4.1.1.1-2 Methane'!$D$119:$G$120</definedName>
    <definedName name="Table_MMS_m5_T1">'4.1.1.1-2 Methane'!$D$51:$G$52</definedName>
    <definedName name="Table_N_j">'4.1.1.3-4 Direct N20'!$D$72:$F$73</definedName>
    <definedName name="Table_N_j_Consumer_1">'4.1.1.1-2 Methane'!$D$158:$F$159</definedName>
    <definedName name="Table_PF">'4.1.1.9 Manure applied to soils'!$D$47:$E$51</definedName>
    <definedName name="Table_PF_fert">'4.1.1.9 Manure applied to soils'!$D$97:$E$101</definedName>
    <definedName name="VEERG_4_1_1_1__1_TotalAnnualMethaneEmissions_Result_Method1">'4.1.1.1-2 Methane'!$E$171</definedName>
    <definedName name="VEERG_4_1_1_1__1_TotalAnnualMethaneEmissions_Result_Method2">'4.1.1.1-2 Methane'!$N$171</definedName>
    <definedName name="VEERG_4_1_1_3__1_TotalAnnualDirectNitrousOxideEmissions_Result_Method1">'4.1.1.3-4 Direct N20'!$E$212</definedName>
    <definedName name="VEERG_4_1_1_3__1_TotalAnnualDirectNitrousOxideEmissions_Result_Method2">'4.1.1.3-4 Direct N20'!$P$212</definedName>
    <definedName name="VEERG_4_1_1_5__1_TotalAnnualAtmosphericDepositionEmissions_Result_Method1">'4.1.1.5-6 Atmos Deposition'!$E$65</definedName>
    <definedName name="VEERG_4_1_1_5__1_TotalAnnualAtmosphericDepositionEmissions_Result_Method2">'4.1.1.5-6 Atmos Deposition'!$N$65</definedName>
    <definedName name="VEERG_4_1_1_9__1_MassOfNitrogenAppliedToSoilsScope1_Result_Method1">'4.1.1.9 Manure applied to soils'!$E$61</definedName>
    <definedName name="VEERG_4_1_1_9__1_MassOfNitrogenAppliedToSoilsScope1_Result_Method2">'4.1.1.9 Manure applied to soils'!$O$61</definedName>
    <definedName name="VEERG_4_1_1_9__2_MassOfNitrogenAppliedToSoilsScope3_Result_Method1">'4.1.1.9 Manure applied to soils'!$E$87</definedName>
    <definedName name="VEERG_4_1_1_9__2_MassOfNitrogenAppliedToSoilsScope3_Result_Method2">'4.1.1.9 Manure applied to soils'!$O$87</definedName>
    <definedName name="X_Cell_Site_AverageTemperature">'Input - Site'!$E$25</definedName>
    <definedName name="X_Cell_Site_Elevation">'Input - Site'!$E$24</definedName>
    <definedName name="X_Cell_Site_FarmName">'Input - Site'!$E$7</definedName>
    <definedName name="X_Cell_Site_FrostDays">'Input - Site'!$E$28</definedName>
    <definedName name="X_Cell_Site_LeachingZone">'Input - Site'!$E$23</definedName>
    <definedName name="X_Cell_Site_PotentialEvapotranspiration">'Input - Site'!$E$27</definedName>
    <definedName name="X_Cell_Site_Region">'Input - Site'!$E$22</definedName>
    <definedName name="X_Cell_Site_ReportingEntityName">'Input - Site'!$E$8</definedName>
    <definedName name="X_Cell_Site_StartDate">'Input - Site'!$E$12</definedName>
    <definedName name="X_Cell_Site_State">'Input - Site'!$E$21</definedName>
    <definedName name="X_Cell_Site_TotalRainfall">'Input - Site'!$E$26</definedName>
    <definedName name="X_Table_Feedlot_HerdMovement">'Input - Feedlot'!$D$7:$G$9</definedName>
    <definedName name="X_Table_Feedlot_Intake_Method1">'Input - Feedlot'!$D$13:$G$17</definedName>
    <definedName name="X_Table_Feedlot_Intake_Method2">'Input - Feedlot'!$D$19:$G$23</definedName>
    <definedName name="X_Table_Feedlot_MMS_Stage1">'Input - Feedlot'!$D$27:$G$28</definedName>
    <definedName name="X_Table_Feedlot_MMS_Stage2">'Input - Feedlot'!$D$30:$G$34</definedName>
    <definedName name="X_Table_Feedlot_MMS_Stage2_Destinations">'Input - Feedlot'!$I$30:$K$34</definedName>
    <definedName name="X_Table_Feedlot_MMS_Stage3">'Input - Feedlot'!$D$36:$G$38</definedName>
    <definedName name="X_Table_Feedlot_MMS_Stage3_Destinations">'Input - Feedlot'!$I$36:$K$38</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8" i="72" l="1"/>
  <c r="A7" i="72"/>
  <c r="A3" i="72"/>
  <c r="G29" i="79"/>
  <c r="G28" i="79"/>
  <c r="P68" i="82"/>
  <c r="G68" i="82"/>
  <c r="I60" i="82"/>
  <c r="I59" i="82"/>
  <c r="R215" i="76"/>
  <c r="G215" i="76"/>
  <c r="I190" i="76"/>
  <c r="P174" i="69"/>
  <c r="G174" i="69"/>
  <c r="I115" i="69"/>
  <c r="R113" i="69"/>
  <c r="O89" i="69"/>
  <c r="O88" i="69"/>
  <c r="O87" i="69"/>
  <c r="I75" i="69"/>
  <c r="R47" i="69"/>
  <c r="I47" i="69"/>
  <c r="E33" i="15"/>
  <c r="E32" i="15"/>
  <c r="E31" i="15"/>
  <c r="E30" i="15"/>
  <c r="E259" i="106" a="1"/>
  <c r="E259" i="106" s="1"/>
  <c r="D259" i="106" a="1"/>
  <c r="D259" i="106" s="1"/>
  <c r="E258" i="106" a="1"/>
  <c r="E258" i="106" s="1"/>
  <c r="D258" i="106" a="1"/>
  <c r="D258" i="106" s="1"/>
  <c r="D256" i="106" a="1"/>
  <c r="D256" i="106" s="1"/>
  <c r="D255" i="106" a="1"/>
  <c r="D255" i="106" s="1"/>
  <c r="D254" i="106" a="1"/>
  <c r="D254" i="106" s="1"/>
  <c r="D253" i="106" a="1"/>
  <c r="D253" i="106" s="1"/>
  <c r="S250" i="106" a="1"/>
  <c r="S250" i="106" s="1"/>
  <c r="R250" i="106" a="1"/>
  <c r="R250" i="106" s="1"/>
  <c r="Q250" i="106" a="1"/>
  <c r="Q250" i="106" s="1"/>
  <c r="P250" i="106" a="1"/>
  <c r="P250" i="106" s="1"/>
  <c r="O250" i="106" a="1"/>
  <c r="O250" i="106" s="1"/>
  <c r="N250" i="106" a="1"/>
  <c r="N250" i="106" s="1"/>
  <c r="M250" i="106" a="1"/>
  <c r="M250" i="106" s="1"/>
  <c r="L250" i="106" a="1"/>
  <c r="L250" i="106" s="1"/>
  <c r="K250" i="106" a="1"/>
  <c r="K250" i="106" s="1"/>
  <c r="J250" i="106" a="1"/>
  <c r="J250" i="106" s="1"/>
  <c r="I250" i="106" a="1"/>
  <c r="I250" i="106" s="1"/>
  <c r="H250" i="106" a="1"/>
  <c r="H250" i="106" s="1"/>
  <c r="G250" i="106" a="1"/>
  <c r="G250" i="106" s="1"/>
  <c r="F250" i="106" a="1"/>
  <c r="F250" i="106" s="1"/>
  <c r="E250" i="106" a="1"/>
  <c r="E250" i="106" s="1"/>
  <c r="D250" i="106" a="1"/>
  <c r="D250" i="106" s="1"/>
  <c r="S249" i="106" a="1"/>
  <c r="S249" i="106" s="1"/>
  <c r="R249" i="106" a="1"/>
  <c r="R249" i="106" s="1"/>
  <c r="Q249" i="106" a="1"/>
  <c r="Q249" i="106" s="1"/>
  <c r="P249" i="106" a="1"/>
  <c r="P249" i="106" s="1"/>
  <c r="O249" i="106" a="1"/>
  <c r="O249" i="106" s="1"/>
  <c r="N249" i="106" a="1"/>
  <c r="N249" i="106" s="1"/>
  <c r="M249" i="106" a="1"/>
  <c r="M249" i="106" s="1"/>
  <c r="L249" i="106" a="1"/>
  <c r="L249" i="106" s="1"/>
  <c r="K249" i="106" a="1"/>
  <c r="K249" i="106" s="1"/>
  <c r="J249" i="106" a="1"/>
  <c r="J249" i="106" s="1"/>
  <c r="I249" i="106" a="1"/>
  <c r="I249" i="106" s="1"/>
  <c r="H249" i="106" a="1"/>
  <c r="H249" i="106" s="1"/>
  <c r="G249" i="106" a="1"/>
  <c r="G249" i="106" s="1"/>
  <c r="F249" i="106" a="1"/>
  <c r="F249" i="106" s="1"/>
  <c r="E249" i="106" a="1"/>
  <c r="E249" i="106" s="1"/>
  <c r="D249" i="106" a="1"/>
  <c r="D249" i="106" s="1"/>
  <c r="S248" i="106" a="1"/>
  <c r="S248" i="106" s="1"/>
  <c r="R248" i="106" a="1"/>
  <c r="R248" i="106" s="1"/>
  <c r="Q248" i="106" a="1"/>
  <c r="Q248" i="106" s="1"/>
  <c r="P248" i="106" a="1"/>
  <c r="P248" i="106" s="1"/>
  <c r="O248" i="106" a="1"/>
  <c r="O248" i="106" s="1"/>
  <c r="N248" i="106" a="1"/>
  <c r="N248" i="106" s="1"/>
  <c r="M248" i="106" a="1"/>
  <c r="M248" i="106" s="1"/>
  <c r="L248" i="106" a="1"/>
  <c r="L248" i="106" s="1"/>
  <c r="K248" i="106" a="1"/>
  <c r="K248" i="106" s="1"/>
  <c r="J248" i="106" a="1"/>
  <c r="J248" i="106" s="1"/>
  <c r="I248" i="106" a="1"/>
  <c r="I248" i="106" s="1"/>
  <c r="H248" i="106" a="1"/>
  <c r="H248" i="106" s="1"/>
  <c r="G248" i="106" a="1"/>
  <c r="G248" i="106" s="1"/>
  <c r="F248" i="106" a="1"/>
  <c r="F248" i="106" s="1"/>
  <c r="E248" i="106" a="1"/>
  <c r="E248" i="106" s="1"/>
  <c r="D248" i="106" a="1"/>
  <c r="D248" i="106" s="1"/>
  <c r="S247" i="106" a="1"/>
  <c r="S247" i="106" s="1"/>
  <c r="R247" i="106" a="1"/>
  <c r="R247" i="106" s="1"/>
  <c r="Q247" i="106" a="1"/>
  <c r="Q247" i="106" s="1"/>
  <c r="P247" i="106" a="1"/>
  <c r="P247" i="106" s="1"/>
  <c r="O247" i="106" a="1"/>
  <c r="O247" i="106" s="1"/>
  <c r="N247" i="106" a="1"/>
  <c r="N247" i="106" s="1"/>
  <c r="M247" i="106" a="1"/>
  <c r="M247" i="106" s="1"/>
  <c r="L247" i="106" a="1"/>
  <c r="L247" i="106" s="1"/>
  <c r="K247" i="106" a="1"/>
  <c r="K247" i="106" s="1"/>
  <c r="J247" i="106" a="1"/>
  <c r="J247" i="106" s="1"/>
  <c r="I247" i="106" a="1"/>
  <c r="I247" i="106" s="1"/>
  <c r="H247" i="106" a="1"/>
  <c r="H247" i="106" s="1"/>
  <c r="G247" i="106" a="1"/>
  <c r="G247" i="106" s="1"/>
  <c r="F247" i="106" a="1"/>
  <c r="F247" i="106" s="1"/>
  <c r="E247" i="106" a="1"/>
  <c r="E247" i="106" s="1"/>
  <c r="D247" i="106" a="1"/>
  <c r="D247" i="106" s="1"/>
  <c r="S246" i="106" a="1"/>
  <c r="S246" i="106" s="1"/>
  <c r="R246" i="106" a="1"/>
  <c r="R246" i="106" s="1"/>
  <c r="Q246" i="106" a="1"/>
  <c r="Q246" i="106" s="1"/>
  <c r="P246" i="106" a="1"/>
  <c r="P246" i="106" s="1"/>
  <c r="O246" i="106" a="1"/>
  <c r="O246" i="106" s="1"/>
  <c r="N246" i="106" a="1"/>
  <c r="N246" i="106" s="1"/>
  <c r="M246" i="106" a="1"/>
  <c r="M246" i="106" s="1"/>
  <c r="L246" i="106" a="1"/>
  <c r="L246" i="106" s="1"/>
  <c r="K246" i="106" a="1"/>
  <c r="K246" i="106" s="1"/>
  <c r="J246" i="106" a="1"/>
  <c r="J246" i="106" s="1"/>
  <c r="I246" i="106" a="1"/>
  <c r="I246" i="106" s="1"/>
  <c r="H246" i="106" a="1"/>
  <c r="H246" i="106" s="1"/>
  <c r="G246" i="106" a="1"/>
  <c r="G246" i="106" s="1"/>
  <c r="F246" i="106" a="1"/>
  <c r="F246" i="106" s="1"/>
  <c r="E246" i="106" a="1"/>
  <c r="E246" i="106" s="1"/>
  <c r="D246" i="106" a="1"/>
  <c r="D246" i="106" s="1"/>
  <c r="S245" i="106" a="1"/>
  <c r="S245" i="106" s="1"/>
  <c r="R245" i="106" a="1"/>
  <c r="R245" i="106" s="1"/>
  <c r="Q245" i="106" a="1"/>
  <c r="Q245" i="106" s="1"/>
  <c r="P245" i="106" a="1"/>
  <c r="P245" i="106" s="1"/>
  <c r="O245" i="106" a="1"/>
  <c r="O245" i="106" s="1"/>
  <c r="N245" i="106" a="1"/>
  <c r="N245" i="106" s="1"/>
  <c r="M245" i="106" a="1"/>
  <c r="M245" i="106" s="1"/>
  <c r="L245" i="106" a="1"/>
  <c r="L245" i="106" s="1"/>
  <c r="K245" i="106" a="1"/>
  <c r="K245" i="106" s="1"/>
  <c r="J245" i="106" a="1"/>
  <c r="J245" i="106" s="1"/>
  <c r="I245" i="106" a="1"/>
  <c r="I245" i="106" s="1"/>
  <c r="H245" i="106" a="1"/>
  <c r="H245" i="106" s="1"/>
  <c r="G245" i="106" a="1"/>
  <c r="G245" i="106" s="1"/>
  <c r="F245" i="106" a="1"/>
  <c r="F245" i="106" s="1"/>
  <c r="E245" i="106" a="1"/>
  <c r="E245" i="106" s="1"/>
  <c r="D245" i="106" a="1"/>
  <c r="D245" i="106" s="1"/>
  <c r="S244" i="106" a="1"/>
  <c r="S244" i="106" s="1"/>
  <c r="R244" i="106" a="1"/>
  <c r="R244" i="106" s="1"/>
  <c r="Q244" i="106" a="1"/>
  <c r="Q244" i="106" s="1"/>
  <c r="P244" i="106" a="1"/>
  <c r="P244" i="106" s="1"/>
  <c r="O244" i="106" a="1"/>
  <c r="O244" i="106" s="1"/>
  <c r="N244" i="106" a="1"/>
  <c r="N244" i="106" s="1"/>
  <c r="M244" i="106" a="1"/>
  <c r="M244" i="106" s="1"/>
  <c r="L244" i="106" a="1"/>
  <c r="L244" i="106" s="1"/>
  <c r="K244" i="106" a="1"/>
  <c r="K244" i="106" s="1"/>
  <c r="J244" i="106" a="1"/>
  <c r="J244" i="106" s="1"/>
  <c r="I244" i="106" a="1"/>
  <c r="I244" i="106" s="1"/>
  <c r="H244" i="106" a="1"/>
  <c r="H244" i="106" s="1"/>
  <c r="G244" i="106" a="1"/>
  <c r="G244" i="106" s="1"/>
  <c r="F244" i="106" a="1"/>
  <c r="F244" i="106" s="1"/>
  <c r="E244" i="106" a="1"/>
  <c r="E244" i="106" s="1"/>
  <c r="D244" i="106" a="1"/>
  <c r="D244" i="106" s="1"/>
  <c r="S243" i="106" a="1"/>
  <c r="S243" i="106" s="1"/>
  <c r="R243" i="106" a="1"/>
  <c r="R243" i="106" s="1"/>
  <c r="Q243" i="106" a="1"/>
  <c r="Q243" i="106" s="1"/>
  <c r="P243" i="106" a="1"/>
  <c r="P243" i="106" s="1"/>
  <c r="O243" i="106" a="1"/>
  <c r="O243" i="106" s="1"/>
  <c r="N243" i="106" a="1"/>
  <c r="N243" i="106" s="1"/>
  <c r="M243" i="106" a="1"/>
  <c r="M243" i="106" s="1"/>
  <c r="L243" i="106" a="1"/>
  <c r="L243" i="106" s="1"/>
  <c r="K243" i="106" a="1"/>
  <c r="K243" i="106" s="1"/>
  <c r="J243" i="106" a="1"/>
  <c r="J243" i="106" s="1"/>
  <c r="I243" i="106" a="1"/>
  <c r="I243" i="106" s="1"/>
  <c r="H243" i="106" a="1"/>
  <c r="H243" i="106" s="1"/>
  <c r="G243" i="106" a="1"/>
  <c r="G243" i="106" s="1"/>
  <c r="F243" i="106" a="1"/>
  <c r="F243" i="106" s="1"/>
  <c r="E243" i="106" a="1"/>
  <c r="E243" i="106" s="1"/>
  <c r="D243" i="106" a="1"/>
  <c r="D243" i="106" s="1"/>
  <c r="S242" i="106" a="1"/>
  <c r="S242" i="106" s="1"/>
  <c r="R242" i="106" a="1"/>
  <c r="R242" i="106" s="1"/>
  <c r="Q242" i="106" a="1"/>
  <c r="Q242" i="106" s="1"/>
  <c r="P242" i="106" a="1"/>
  <c r="P242" i="106" s="1"/>
  <c r="O242" i="106" a="1"/>
  <c r="O242" i="106" s="1"/>
  <c r="N242" i="106" a="1"/>
  <c r="N242" i="106" s="1"/>
  <c r="M242" i="106" a="1"/>
  <c r="M242" i="106" s="1"/>
  <c r="L242" i="106" a="1"/>
  <c r="L242" i="106" s="1"/>
  <c r="K242" i="106" a="1"/>
  <c r="K242" i="106" s="1"/>
  <c r="J242" i="106" a="1"/>
  <c r="J242" i="106" s="1"/>
  <c r="I242" i="106" a="1"/>
  <c r="I242" i="106" s="1"/>
  <c r="H242" i="106" a="1"/>
  <c r="H242" i="106" s="1"/>
  <c r="G242" i="106" a="1"/>
  <c r="G242" i="106" s="1"/>
  <c r="F242" i="106" a="1"/>
  <c r="F242" i="106" s="1"/>
  <c r="E242" i="106" a="1"/>
  <c r="E242" i="106" s="1"/>
  <c r="D242" i="106" a="1"/>
  <c r="D242" i="106" s="1"/>
  <c r="S241" i="106" a="1"/>
  <c r="S241" i="106" s="1"/>
  <c r="R241" i="106" a="1"/>
  <c r="R241" i="106" s="1"/>
  <c r="Q241" i="106" a="1"/>
  <c r="Q241" i="106" s="1"/>
  <c r="P241" i="106" a="1"/>
  <c r="P241" i="106" s="1"/>
  <c r="O241" i="106" a="1"/>
  <c r="O241" i="106" s="1"/>
  <c r="N241" i="106" a="1"/>
  <c r="N241" i="106" s="1"/>
  <c r="M241" i="106" a="1"/>
  <c r="M241" i="106" s="1"/>
  <c r="L241" i="106" a="1"/>
  <c r="L241" i="106" s="1"/>
  <c r="K241" i="106" a="1"/>
  <c r="K241" i="106" s="1"/>
  <c r="J241" i="106" a="1"/>
  <c r="J241" i="106" s="1"/>
  <c r="I241" i="106" a="1"/>
  <c r="I241" i="106" s="1"/>
  <c r="H241" i="106" a="1"/>
  <c r="H241" i="106" s="1"/>
  <c r="G241" i="106" a="1"/>
  <c r="G241" i="106" s="1"/>
  <c r="F241" i="106" a="1"/>
  <c r="F241" i="106" s="1"/>
  <c r="E241" i="106" a="1"/>
  <c r="E241" i="106" s="1"/>
  <c r="D241" i="106" a="1"/>
  <c r="D241" i="106" s="1"/>
  <c r="S240" i="106" a="1"/>
  <c r="S240" i="106" s="1"/>
  <c r="R240" i="106" a="1"/>
  <c r="R240" i="106" s="1"/>
  <c r="Q240" i="106" a="1"/>
  <c r="Q240" i="106" s="1"/>
  <c r="P240" i="106" a="1"/>
  <c r="P240" i="106" s="1"/>
  <c r="O240" i="106" a="1"/>
  <c r="O240" i="106" s="1"/>
  <c r="N240" i="106" a="1"/>
  <c r="N240" i="106" s="1"/>
  <c r="M240" i="106" a="1"/>
  <c r="M240" i="106" s="1"/>
  <c r="L240" i="106" a="1"/>
  <c r="L240" i="106" s="1"/>
  <c r="K240" i="106" a="1"/>
  <c r="K240" i="106" s="1"/>
  <c r="J240" i="106" a="1"/>
  <c r="J240" i="106" s="1"/>
  <c r="I240" i="106" a="1"/>
  <c r="I240" i="106" s="1"/>
  <c r="H240" i="106" a="1"/>
  <c r="H240" i="106" s="1"/>
  <c r="G240" i="106" a="1"/>
  <c r="G240" i="106" s="1"/>
  <c r="F240" i="106" a="1"/>
  <c r="F240" i="106" s="1"/>
  <c r="E240" i="106" a="1"/>
  <c r="E240" i="106" s="1"/>
  <c r="D240" i="106" a="1"/>
  <c r="D240" i="106" s="1"/>
  <c r="S239" i="106" a="1"/>
  <c r="S239" i="106" s="1"/>
  <c r="R239" i="106" a="1"/>
  <c r="R239" i="106" s="1"/>
  <c r="Q239" i="106" a="1"/>
  <c r="Q239" i="106" s="1"/>
  <c r="P239" i="106" a="1"/>
  <c r="P239" i="106" s="1"/>
  <c r="O239" i="106" a="1"/>
  <c r="O239" i="106" s="1"/>
  <c r="N239" i="106" a="1"/>
  <c r="N239" i="106" s="1"/>
  <c r="M239" i="106" a="1"/>
  <c r="M239" i="106" s="1"/>
  <c r="L239" i="106" a="1"/>
  <c r="L239" i="106" s="1"/>
  <c r="K239" i="106" a="1"/>
  <c r="K239" i="106" s="1"/>
  <c r="J239" i="106" a="1"/>
  <c r="J239" i="106" s="1"/>
  <c r="I239" i="106" a="1"/>
  <c r="I239" i="106" s="1"/>
  <c r="H239" i="106" a="1"/>
  <c r="H239" i="106" s="1"/>
  <c r="G239" i="106" a="1"/>
  <c r="G239" i="106" s="1"/>
  <c r="F239" i="106" a="1"/>
  <c r="F239" i="106" s="1"/>
  <c r="E239" i="106" a="1"/>
  <c r="E239" i="106" s="1"/>
  <c r="D239" i="106" a="1"/>
  <c r="D239" i="106" s="1"/>
  <c r="S238" i="106" a="1"/>
  <c r="S238" i="106" s="1"/>
  <c r="R238" i="106" a="1"/>
  <c r="R238" i="106" s="1"/>
  <c r="Q238" i="106" a="1"/>
  <c r="Q238" i="106" s="1"/>
  <c r="P238" i="106" a="1"/>
  <c r="P238" i="106" s="1"/>
  <c r="O238" i="106" a="1"/>
  <c r="O238" i="106" s="1"/>
  <c r="N238" i="106" a="1"/>
  <c r="N238" i="106" s="1"/>
  <c r="M238" i="106" a="1"/>
  <c r="M238" i="106" s="1"/>
  <c r="L238" i="106" a="1"/>
  <c r="L238" i="106" s="1"/>
  <c r="K238" i="106" a="1"/>
  <c r="K238" i="106" s="1"/>
  <c r="J238" i="106" a="1"/>
  <c r="J238" i="106" s="1"/>
  <c r="I238" i="106" a="1"/>
  <c r="I238" i="106" s="1"/>
  <c r="H238" i="106" a="1"/>
  <c r="H238" i="106" s="1"/>
  <c r="G238" i="106" a="1"/>
  <c r="G238" i="106" s="1"/>
  <c r="F238" i="106" a="1"/>
  <c r="F238" i="106" s="1"/>
  <c r="E238" i="106" a="1"/>
  <c r="E238" i="106" s="1"/>
  <c r="D238" i="106" a="1"/>
  <c r="D238" i="106" s="1"/>
  <c r="S237" i="106" a="1"/>
  <c r="S237" i="106" s="1"/>
  <c r="R237" i="106" a="1"/>
  <c r="R237" i="106" s="1"/>
  <c r="Q237" i="106" a="1"/>
  <c r="Q237" i="106" s="1"/>
  <c r="P237" i="106" a="1"/>
  <c r="P237" i="106" s="1"/>
  <c r="O237" i="106" a="1"/>
  <c r="O237" i="106" s="1"/>
  <c r="N237" i="106" a="1"/>
  <c r="N237" i="106" s="1"/>
  <c r="M237" i="106" a="1"/>
  <c r="M237" i="106" s="1"/>
  <c r="L237" i="106" a="1"/>
  <c r="L237" i="106" s="1"/>
  <c r="K237" i="106" a="1"/>
  <c r="K237" i="106" s="1"/>
  <c r="J237" i="106" a="1"/>
  <c r="J237" i="106" s="1"/>
  <c r="I237" i="106" a="1"/>
  <c r="I237" i="106" s="1"/>
  <c r="H237" i="106" a="1"/>
  <c r="H237" i="106" s="1"/>
  <c r="G237" i="106" a="1"/>
  <c r="G237" i="106" s="1"/>
  <c r="F237" i="106" a="1"/>
  <c r="F237" i="106" s="1"/>
  <c r="E237" i="106" a="1"/>
  <c r="E237" i="106" s="1"/>
  <c r="D237" i="106" a="1"/>
  <c r="D237" i="106" s="1"/>
  <c r="S236" i="106" a="1"/>
  <c r="S236" i="106" s="1"/>
  <c r="R236" i="106" a="1"/>
  <c r="R236" i="106" s="1"/>
  <c r="Q236" i="106" a="1"/>
  <c r="Q236" i="106" s="1"/>
  <c r="P236" i="106" a="1"/>
  <c r="P236" i="106" s="1"/>
  <c r="O236" i="106" a="1"/>
  <c r="O236" i="106" s="1"/>
  <c r="N236" i="106" a="1"/>
  <c r="N236" i="106" s="1"/>
  <c r="M236" i="106" a="1"/>
  <c r="M236" i="106" s="1"/>
  <c r="L236" i="106" a="1"/>
  <c r="L236" i="106" s="1"/>
  <c r="K236" i="106" a="1"/>
  <c r="K236" i="106" s="1"/>
  <c r="J236" i="106" a="1"/>
  <c r="J236" i="106" s="1"/>
  <c r="I236" i="106" a="1"/>
  <c r="I236" i="106" s="1"/>
  <c r="H236" i="106" a="1"/>
  <c r="H236" i="106" s="1"/>
  <c r="G236" i="106" a="1"/>
  <c r="G236" i="106" s="1"/>
  <c r="F236" i="106" a="1"/>
  <c r="F236" i="106" s="1"/>
  <c r="E236" i="106" a="1"/>
  <c r="E236" i="106" s="1"/>
  <c r="D236" i="106" a="1"/>
  <c r="D236" i="106" s="1"/>
  <c r="S235" i="106" a="1"/>
  <c r="S235" i="106" s="1"/>
  <c r="R235" i="106" a="1"/>
  <c r="R235" i="106" s="1"/>
  <c r="Q235" i="106" a="1"/>
  <c r="Q235" i="106" s="1"/>
  <c r="P235" i="106" a="1"/>
  <c r="P235" i="106" s="1"/>
  <c r="O235" i="106" a="1"/>
  <c r="O235" i="106" s="1"/>
  <c r="N235" i="106" a="1"/>
  <c r="N235" i="106" s="1"/>
  <c r="M235" i="106" a="1"/>
  <c r="M235" i="106" s="1"/>
  <c r="L235" i="106" a="1"/>
  <c r="L235" i="106" s="1"/>
  <c r="K235" i="106" a="1"/>
  <c r="K235" i="106" s="1"/>
  <c r="J235" i="106" a="1"/>
  <c r="J235" i="106" s="1"/>
  <c r="I235" i="106" a="1"/>
  <c r="I235" i="106" s="1"/>
  <c r="H235" i="106" a="1"/>
  <c r="H235" i="106" s="1"/>
  <c r="G235" i="106" a="1"/>
  <c r="G235" i="106" s="1"/>
  <c r="F235" i="106" a="1"/>
  <c r="F235" i="106" s="1"/>
  <c r="E235" i="106" a="1"/>
  <c r="E235" i="106" s="1"/>
  <c r="D235" i="106" a="1"/>
  <c r="D235" i="106" s="1"/>
  <c r="S234" i="106" a="1"/>
  <c r="S234" i="106" s="1"/>
  <c r="R234" i="106" a="1"/>
  <c r="R234" i="106" s="1"/>
  <c r="Q234" i="106" a="1"/>
  <c r="Q234" i="106" s="1"/>
  <c r="P234" i="106" a="1"/>
  <c r="P234" i="106" s="1"/>
  <c r="O234" i="106" a="1"/>
  <c r="O234" i="106" s="1"/>
  <c r="N234" i="106" a="1"/>
  <c r="N234" i="106" s="1"/>
  <c r="M234" i="106" a="1"/>
  <c r="M234" i="106" s="1"/>
  <c r="L234" i="106" a="1"/>
  <c r="L234" i="106" s="1"/>
  <c r="K234" i="106" a="1"/>
  <c r="K234" i="106" s="1"/>
  <c r="J234" i="106" a="1"/>
  <c r="J234" i="106" s="1"/>
  <c r="I234" i="106" a="1"/>
  <c r="I234" i="106" s="1"/>
  <c r="H234" i="106" a="1"/>
  <c r="H234" i="106" s="1"/>
  <c r="G234" i="106" a="1"/>
  <c r="G234" i="106" s="1"/>
  <c r="F234" i="106" a="1"/>
  <c r="F234" i="106" s="1"/>
  <c r="E234" i="106" a="1"/>
  <c r="E234" i="106" s="1"/>
  <c r="D234" i="106" a="1"/>
  <c r="D234" i="106" s="1"/>
  <c r="S233" i="106" a="1"/>
  <c r="S233" i="106" s="1"/>
  <c r="R233" i="106" a="1"/>
  <c r="R233" i="106" s="1"/>
  <c r="Q233" i="106" a="1"/>
  <c r="Q233" i="106" s="1"/>
  <c r="P233" i="106" a="1"/>
  <c r="P233" i="106" s="1"/>
  <c r="O233" i="106" a="1"/>
  <c r="O233" i="106" s="1"/>
  <c r="N233" i="106" a="1"/>
  <c r="N233" i="106" s="1"/>
  <c r="M233" i="106" a="1"/>
  <c r="M233" i="106" s="1"/>
  <c r="L233" i="106" a="1"/>
  <c r="L233" i="106" s="1"/>
  <c r="K233" i="106" a="1"/>
  <c r="K233" i="106" s="1"/>
  <c r="J233" i="106" a="1"/>
  <c r="J233" i="106" s="1"/>
  <c r="I233" i="106" a="1"/>
  <c r="I233" i="106" s="1"/>
  <c r="H233" i="106" a="1"/>
  <c r="H233" i="106" s="1"/>
  <c r="G233" i="106" a="1"/>
  <c r="G233" i="106" s="1"/>
  <c r="F233" i="106" a="1"/>
  <c r="F233" i="106" s="1"/>
  <c r="E233" i="106" a="1"/>
  <c r="E233" i="106" s="1"/>
  <c r="D233" i="106" a="1"/>
  <c r="D233" i="106" s="1"/>
  <c r="S232" i="106" a="1"/>
  <c r="S232" i="106" s="1"/>
  <c r="R232" i="106" a="1"/>
  <c r="R232" i="106" s="1"/>
  <c r="Q232" i="106" a="1"/>
  <c r="Q232" i="106" s="1"/>
  <c r="P232" i="106" a="1"/>
  <c r="P232" i="106" s="1"/>
  <c r="O232" i="106" a="1"/>
  <c r="O232" i="106" s="1"/>
  <c r="N232" i="106" a="1"/>
  <c r="N232" i="106" s="1"/>
  <c r="M232" i="106" a="1"/>
  <c r="M232" i="106" s="1"/>
  <c r="L232" i="106" a="1"/>
  <c r="L232" i="106" s="1"/>
  <c r="K232" i="106" a="1"/>
  <c r="K232" i="106" s="1"/>
  <c r="J232" i="106" a="1"/>
  <c r="J232" i="106" s="1"/>
  <c r="I232" i="106" a="1"/>
  <c r="I232" i="106" s="1"/>
  <c r="H232" i="106" a="1"/>
  <c r="H232" i="106" s="1"/>
  <c r="G232" i="106" a="1"/>
  <c r="G232" i="106" s="1"/>
  <c r="F232" i="106" a="1"/>
  <c r="F232" i="106" s="1"/>
  <c r="E232" i="106" a="1"/>
  <c r="E232" i="106" s="1"/>
  <c r="D232" i="106" a="1"/>
  <c r="D232" i="106" s="1"/>
  <c r="D229" i="106" a="1"/>
  <c r="D229" i="106" s="1"/>
  <c r="D228" i="106" a="1"/>
  <c r="D228" i="106" s="1"/>
  <c r="D227" i="106" a="1"/>
  <c r="D227" i="106" s="1"/>
  <c r="E224" i="106" a="1"/>
  <c r="E224" i="106" s="1"/>
  <c r="D224" i="106" a="1"/>
  <c r="D224" i="106" s="1"/>
  <c r="E223" i="106" a="1"/>
  <c r="E223" i="106" s="1"/>
  <c r="D223" i="106" a="1"/>
  <c r="D223" i="106" s="1"/>
  <c r="E222" i="106" a="1"/>
  <c r="E222" i="106" s="1"/>
  <c r="D222" i="106" a="1"/>
  <c r="D222" i="106" s="1"/>
  <c r="E221" i="106" a="1"/>
  <c r="E221" i="106" s="1"/>
  <c r="D221" i="106" a="1"/>
  <c r="D221" i="106" s="1"/>
  <c r="E220" i="106" a="1"/>
  <c r="E220" i="106" s="1"/>
  <c r="D220" i="106" a="1"/>
  <c r="D220" i="106" s="1"/>
  <c r="E219" i="106" a="1"/>
  <c r="E219" i="106" s="1"/>
  <c r="D219" i="106" a="1"/>
  <c r="D219" i="106" s="1"/>
  <c r="E218" i="106" a="1"/>
  <c r="E218" i="106" s="1"/>
  <c r="D218" i="106" a="1"/>
  <c r="D218" i="106" s="1"/>
  <c r="E217" i="106" a="1"/>
  <c r="E217" i="106" s="1"/>
  <c r="D217" i="106" a="1"/>
  <c r="D217" i="106" s="1"/>
  <c r="E216" i="106" a="1"/>
  <c r="E216" i="106" s="1"/>
  <c r="D216" i="106" a="1"/>
  <c r="D216" i="106" s="1"/>
  <c r="E215" i="106" a="1"/>
  <c r="E215" i="106" s="1"/>
  <c r="D215" i="106" a="1"/>
  <c r="D215" i="106" s="1"/>
  <c r="E214" i="106" a="1"/>
  <c r="E214" i="106" s="1"/>
  <c r="D214" i="106" a="1"/>
  <c r="D214" i="106" s="1"/>
  <c r="E213" i="106" a="1"/>
  <c r="E213" i="106" s="1"/>
  <c r="D213" i="106" a="1"/>
  <c r="D213" i="106" s="1"/>
  <c r="D211" i="106" a="1"/>
  <c r="D211" i="106" s="1"/>
  <c r="E208" i="106" a="1"/>
  <c r="E208" i="106" s="1"/>
  <c r="D208" i="106" a="1"/>
  <c r="D208" i="106" s="1"/>
  <c r="E207" i="106" a="1"/>
  <c r="E207" i="106" s="1"/>
  <c r="D207" i="106" a="1"/>
  <c r="D207" i="106" s="1"/>
  <c r="D205" i="106" a="1"/>
  <c r="D205" i="106" s="1"/>
  <c r="D204" i="106" a="1"/>
  <c r="D204" i="106" s="1"/>
  <c r="D203" i="106" a="1"/>
  <c r="D203" i="106" s="1"/>
  <c r="D202" i="106" a="1"/>
  <c r="D202" i="106" s="1"/>
  <c r="H199" i="106" a="1"/>
  <c r="H199" i="106" s="1"/>
  <c r="G199" i="106" a="1"/>
  <c r="G199" i="106" s="1"/>
  <c r="F199" i="106" a="1"/>
  <c r="F199" i="106" s="1"/>
  <c r="E199" i="106" a="1"/>
  <c r="E199" i="106" s="1"/>
  <c r="D199" i="106" a="1"/>
  <c r="D199" i="106" s="1"/>
  <c r="H198" i="106" a="1"/>
  <c r="H198" i="106" s="1"/>
  <c r="G198" i="106" a="1"/>
  <c r="G198" i="106" s="1"/>
  <c r="F198" i="106" a="1"/>
  <c r="F198" i="106" s="1"/>
  <c r="E198" i="106" a="1"/>
  <c r="E198" i="106" s="1"/>
  <c r="D198" i="106" a="1"/>
  <c r="D198" i="106" s="1"/>
  <c r="H197" i="106" a="1"/>
  <c r="H197" i="106" s="1"/>
  <c r="G197" i="106" a="1"/>
  <c r="G197" i="106" s="1"/>
  <c r="F197" i="106" a="1"/>
  <c r="F197" i="106" s="1"/>
  <c r="E197" i="106" a="1"/>
  <c r="E197" i="106" s="1"/>
  <c r="D197" i="106" a="1"/>
  <c r="D197" i="106" s="1"/>
  <c r="H196" i="106" a="1"/>
  <c r="H196" i="106" s="1"/>
  <c r="G196" i="106" a="1"/>
  <c r="G196" i="106" s="1"/>
  <c r="F196" i="106" a="1"/>
  <c r="F196" i="106" s="1"/>
  <c r="E196" i="106" a="1"/>
  <c r="E196" i="106" s="1"/>
  <c r="D196" i="106" a="1"/>
  <c r="D196" i="106" s="1"/>
  <c r="H195" i="106" a="1"/>
  <c r="H195" i="106" s="1"/>
  <c r="G195" i="106" a="1"/>
  <c r="G195" i="106" s="1"/>
  <c r="F195" i="106" a="1"/>
  <c r="F195" i="106" s="1"/>
  <c r="E195" i="106" a="1"/>
  <c r="E195" i="106" s="1"/>
  <c r="D195" i="106" a="1"/>
  <c r="D195" i="106" s="1"/>
  <c r="H194" i="106" a="1"/>
  <c r="H194" i="106" s="1"/>
  <c r="G194" i="106" a="1"/>
  <c r="G194" i="106" s="1"/>
  <c r="F194" i="106" a="1"/>
  <c r="F194" i="106" s="1"/>
  <c r="E194" i="106" a="1"/>
  <c r="E194" i="106" s="1"/>
  <c r="D194" i="106" a="1"/>
  <c r="D194" i="106" s="1"/>
  <c r="H193" i="106" a="1"/>
  <c r="H193" i="106" s="1"/>
  <c r="G193" i="106" a="1"/>
  <c r="G193" i="106" s="1"/>
  <c r="F193" i="106" a="1"/>
  <c r="F193" i="106" s="1"/>
  <c r="E193" i="106" a="1"/>
  <c r="E193" i="106" s="1"/>
  <c r="D193" i="106" a="1"/>
  <c r="D193" i="106" s="1"/>
  <c r="H192" i="106" a="1"/>
  <c r="H192" i="106" s="1"/>
  <c r="G192" i="106" a="1"/>
  <c r="G192" i="106" s="1"/>
  <c r="F192" i="106" a="1"/>
  <c r="F192" i="106" s="1"/>
  <c r="E192" i="106" a="1"/>
  <c r="E192" i="106" s="1"/>
  <c r="D192" i="106" a="1"/>
  <c r="D192" i="106" s="1"/>
  <c r="H191" i="106" a="1"/>
  <c r="H191" i="106" s="1"/>
  <c r="G191" i="106" a="1"/>
  <c r="G191" i="106" s="1"/>
  <c r="F191" i="106" a="1"/>
  <c r="F191" i="106" s="1"/>
  <c r="E191" i="106" a="1"/>
  <c r="E191" i="106" s="1"/>
  <c r="D191" i="106" a="1"/>
  <c r="D191" i="106" s="1"/>
  <c r="H190" i="106" a="1"/>
  <c r="H190" i="106" s="1"/>
  <c r="G190" i="106" a="1"/>
  <c r="G190" i="106" s="1"/>
  <c r="F190" i="106" a="1"/>
  <c r="F190" i="106" s="1"/>
  <c r="E190" i="106" a="1"/>
  <c r="E190" i="106" s="1"/>
  <c r="D190" i="106" a="1"/>
  <c r="D190" i="106" s="1"/>
  <c r="H189" i="106" a="1"/>
  <c r="H189" i="106" s="1"/>
  <c r="G189" i="106" a="1"/>
  <c r="G189" i="106" s="1"/>
  <c r="F189" i="106" a="1"/>
  <c r="F189" i="106" s="1"/>
  <c r="E189" i="106" a="1"/>
  <c r="E189" i="106" s="1"/>
  <c r="D189" i="106" a="1"/>
  <c r="D189" i="106" s="1"/>
  <c r="H188" i="106" a="1"/>
  <c r="H188" i="106" s="1"/>
  <c r="G188" i="106" a="1"/>
  <c r="G188" i="106" s="1"/>
  <c r="F188" i="106" a="1"/>
  <c r="F188" i="106" s="1"/>
  <c r="E188" i="106" a="1"/>
  <c r="E188" i="106" s="1"/>
  <c r="D188" i="106" a="1"/>
  <c r="D188" i="106" s="1"/>
  <c r="H187" i="106" a="1"/>
  <c r="H187" i="106" s="1"/>
  <c r="G187" i="106" a="1"/>
  <c r="G187" i="106" s="1"/>
  <c r="F187" i="106" a="1"/>
  <c r="F187" i="106" s="1"/>
  <c r="E187" i="106" a="1"/>
  <c r="E187" i="106" s="1"/>
  <c r="D187" i="106" a="1"/>
  <c r="D187" i="106" s="1"/>
  <c r="D181" i="106" a="1"/>
  <c r="D181" i="106" s="1"/>
  <c r="D180" i="106" a="1"/>
  <c r="D180" i="106" s="1"/>
  <c r="D179" i="106" a="1"/>
  <c r="D179" i="106" s="1"/>
  <c r="D178" i="106" a="1"/>
  <c r="D178" i="106" s="1"/>
  <c r="E175" i="106" a="1"/>
  <c r="E175" i="106" s="1"/>
  <c r="D175" i="106" a="1"/>
  <c r="D175" i="106" s="1"/>
  <c r="D174" i="106" a="1"/>
  <c r="D174" i="106" s="1"/>
  <c r="D173" i="106" a="1"/>
  <c r="D173" i="106" s="1"/>
  <c r="D170" i="106" a="1"/>
  <c r="D170" i="106" s="1"/>
  <c r="D169" i="106" a="1"/>
  <c r="D169" i="106" s="1"/>
  <c r="D168" i="106" a="1"/>
  <c r="D168" i="106" s="1"/>
  <c r="D167" i="106" a="1"/>
  <c r="D167" i="106" s="1"/>
  <c r="D164" i="106" a="1"/>
  <c r="D164" i="106" s="1"/>
  <c r="D163" i="106" a="1"/>
  <c r="D163" i="106" s="1"/>
  <c r="D162" i="106" a="1"/>
  <c r="D162" i="106" s="1"/>
  <c r="D161" i="106" a="1"/>
  <c r="D161" i="106" s="1"/>
  <c r="E158" i="106" a="1"/>
  <c r="E158" i="106" s="1"/>
  <c r="D158" i="106" a="1"/>
  <c r="D158" i="106" s="1"/>
  <c r="E157" i="106" a="1"/>
  <c r="E157" i="106" s="1"/>
  <c r="D157" i="106" a="1"/>
  <c r="D157" i="106" s="1"/>
  <c r="E156" i="106" a="1"/>
  <c r="E156" i="106" s="1"/>
  <c r="D156" i="106" a="1"/>
  <c r="D156" i="106" s="1"/>
  <c r="E155" i="106" a="1"/>
  <c r="E155" i="106" s="1"/>
  <c r="D155" i="106" a="1"/>
  <c r="D155" i="106" s="1"/>
  <c r="E154" i="106" a="1"/>
  <c r="E154" i="106" s="1"/>
  <c r="D154" i="106" a="1"/>
  <c r="D154" i="106" s="1"/>
  <c r="D151" i="106" a="1"/>
  <c r="D151" i="106" s="1"/>
  <c r="D150" i="106" a="1"/>
  <c r="D150" i="106" s="1"/>
  <c r="E147" i="106" a="1"/>
  <c r="E147" i="106" s="1"/>
  <c r="D147" i="106" a="1"/>
  <c r="D147" i="106" s="1"/>
  <c r="E146" i="106" a="1"/>
  <c r="E146" i="106" s="1"/>
  <c r="D146" i="106" a="1"/>
  <c r="D146" i="106" s="1"/>
  <c r="E145" i="106" a="1"/>
  <c r="E145" i="106" s="1"/>
  <c r="D145" i="106" a="1"/>
  <c r="D145" i="106" s="1"/>
  <c r="E144" i="106" a="1"/>
  <c r="E144" i="106" s="1"/>
  <c r="D144" i="106" a="1"/>
  <c r="D144" i="106" s="1"/>
  <c r="E143" i="106" a="1"/>
  <c r="E143" i="106" s="1"/>
  <c r="D143" i="106" a="1"/>
  <c r="D143" i="106" s="1"/>
  <c r="D141" i="106" a="1"/>
  <c r="D141" i="106" s="1"/>
  <c r="D140" i="106" a="1"/>
  <c r="D140" i="106" s="1"/>
  <c r="D139" i="106" a="1"/>
  <c r="D139" i="106" s="1"/>
  <c r="E136" i="106" a="1"/>
  <c r="E136" i="106" s="1"/>
  <c r="D136" i="106" a="1"/>
  <c r="D136" i="106" s="1"/>
  <c r="E135" i="106" a="1"/>
  <c r="E135" i="106" s="1"/>
  <c r="D135" i="106" a="1"/>
  <c r="D135" i="106" s="1"/>
  <c r="D133" i="106" a="1"/>
  <c r="D133" i="106" s="1"/>
  <c r="D132" i="106" a="1"/>
  <c r="D132" i="106" s="1"/>
  <c r="E129" i="106" a="1"/>
  <c r="E129" i="106" s="1"/>
  <c r="D129" i="106" a="1"/>
  <c r="D129" i="106" s="1"/>
  <c r="E128" i="106" a="1"/>
  <c r="E128" i="106" s="1"/>
  <c r="D128" i="106" a="1"/>
  <c r="D128" i="106" s="1"/>
  <c r="D125" i="106" a="1"/>
  <c r="D125" i="106" s="1"/>
  <c r="D124" i="106" a="1"/>
  <c r="D124" i="106" s="1"/>
  <c r="G121" i="106" a="1"/>
  <c r="G121" i="106" s="1"/>
  <c r="F121" i="106" a="1"/>
  <c r="F121" i="106" s="1"/>
  <c r="E121" i="106" a="1"/>
  <c r="E121" i="106" s="1"/>
  <c r="D121" i="106" a="1"/>
  <c r="D121" i="106" s="1"/>
  <c r="G120" i="106" a="1"/>
  <c r="G120" i="106" s="1"/>
  <c r="F120" i="106" a="1"/>
  <c r="F120" i="106" s="1"/>
  <c r="E120" i="106" a="1"/>
  <c r="E120" i="106" s="1"/>
  <c r="D120" i="106" a="1"/>
  <c r="D120" i="106" s="1"/>
  <c r="D117" i="106" a="1"/>
  <c r="D117" i="106" s="1"/>
  <c r="D116" i="106" a="1"/>
  <c r="D116" i="106" s="1"/>
  <c r="D115" i="106" a="1"/>
  <c r="D115" i="106" s="1"/>
  <c r="G112" i="106" a="1"/>
  <c r="G112" i="106" s="1"/>
  <c r="F112" i="106" a="1"/>
  <c r="F112" i="106" s="1"/>
  <c r="E112" i="106" a="1"/>
  <c r="E112" i="106" s="1"/>
  <c r="D112" i="106" a="1"/>
  <c r="D112" i="106" s="1"/>
  <c r="G111" i="106" a="1"/>
  <c r="G111" i="106" s="1"/>
  <c r="F111" i="106" a="1"/>
  <c r="F111" i="106" s="1"/>
  <c r="E111" i="106" a="1"/>
  <c r="E111" i="106" s="1"/>
  <c r="D111" i="106" a="1"/>
  <c r="D111" i="106" s="1"/>
  <c r="G110" i="106" a="1"/>
  <c r="G110" i="106" s="1"/>
  <c r="F110" i="106" a="1"/>
  <c r="F110" i="106" s="1"/>
  <c r="E110" i="106" a="1"/>
  <c r="E110" i="106" s="1"/>
  <c r="D110" i="106" a="1"/>
  <c r="D110" i="106" s="1"/>
  <c r="D107" i="106" a="1"/>
  <c r="D107" i="106" s="1"/>
  <c r="D106" i="106" a="1"/>
  <c r="D106" i="106" s="1"/>
  <c r="D105" i="106" a="1"/>
  <c r="D105" i="106" s="1"/>
  <c r="D99" i="106" a="1"/>
  <c r="D99" i="106" s="1"/>
  <c r="S97" i="106" a="1"/>
  <c r="S97" i="106" s="1"/>
  <c r="R97" i="106" a="1"/>
  <c r="R97" i="106" s="1"/>
  <c r="Q97" i="106" a="1"/>
  <c r="Q97" i="106" s="1"/>
  <c r="P97" i="106" a="1"/>
  <c r="P97" i="106" s="1"/>
  <c r="O97" i="106" a="1"/>
  <c r="O97" i="106" s="1"/>
  <c r="N97" i="106" a="1"/>
  <c r="N97" i="106" s="1"/>
  <c r="M97" i="106" a="1"/>
  <c r="M97" i="106" s="1"/>
  <c r="L97" i="106" a="1"/>
  <c r="L97" i="106" s="1"/>
  <c r="K97" i="106" a="1"/>
  <c r="K97" i="106" s="1"/>
  <c r="J97" i="106" a="1"/>
  <c r="J97" i="106" s="1"/>
  <c r="I97" i="106" a="1"/>
  <c r="I97" i="106" s="1"/>
  <c r="H97" i="106" a="1"/>
  <c r="H97" i="106" s="1"/>
  <c r="G97" i="106" a="1"/>
  <c r="G97" i="106" s="1"/>
  <c r="F97" i="106" a="1"/>
  <c r="F97" i="106" s="1"/>
  <c r="E97" i="106" a="1"/>
  <c r="E97" i="106" s="1"/>
  <c r="D97" i="106" a="1"/>
  <c r="D97" i="106" s="1"/>
  <c r="S96" i="106" a="1"/>
  <c r="S96" i="106" s="1"/>
  <c r="R96" i="106" a="1"/>
  <c r="R96" i="106" s="1"/>
  <c r="Q96" i="106" a="1"/>
  <c r="Q96" i="106" s="1"/>
  <c r="P96" i="106" a="1"/>
  <c r="P96" i="106" s="1"/>
  <c r="O96" i="106" a="1"/>
  <c r="O96" i="106" s="1"/>
  <c r="N96" i="106" a="1"/>
  <c r="N96" i="106" s="1"/>
  <c r="M96" i="106" a="1"/>
  <c r="M96" i="106" s="1"/>
  <c r="L96" i="106" a="1"/>
  <c r="L96" i="106" s="1"/>
  <c r="K96" i="106" a="1"/>
  <c r="K96" i="106" s="1"/>
  <c r="J96" i="106" a="1"/>
  <c r="J96" i="106" s="1"/>
  <c r="I96" i="106" a="1"/>
  <c r="I96" i="106" s="1"/>
  <c r="H96" i="106" a="1"/>
  <c r="H96" i="106" s="1"/>
  <c r="G96" i="106" a="1"/>
  <c r="G96" i="106" s="1"/>
  <c r="F96" i="106" a="1"/>
  <c r="F96" i="106" s="1"/>
  <c r="E96" i="106" a="1"/>
  <c r="E96" i="106" s="1"/>
  <c r="D96" i="106" a="1"/>
  <c r="D96" i="106" s="1"/>
  <c r="S95" i="106" a="1"/>
  <c r="S95" i="106" s="1"/>
  <c r="R95" i="106" a="1"/>
  <c r="R95" i="106" s="1"/>
  <c r="Q95" i="106" a="1"/>
  <c r="Q95" i="106" s="1"/>
  <c r="P95" i="106" a="1"/>
  <c r="P95" i="106" s="1"/>
  <c r="O95" i="106" a="1"/>
  <c r="O95" i="106" s="1"/>
  <c r="N95" i="106" a="1"/>
  <c r="N95" i="106" s="1"/>
  <c r="M95" i="106" a="1"/>
  <c r="M95" i="106" s="1"/>
  <c r="L95" i="106" a="1"/>
  <c r="L95" i="106" s="1"/>
  <c r="K95" i="106" a="1"/>
  <c r="K95" i="106" s="1"/>
  <c r="J95" i="106" a="1"/>
  <c r="J95" i="106" s="1"/>
  <c r="I95" i="106" a="1"/>
  <c r="I95" i="106" s="1"/>
  <c r="H95" i="106" a="1"/>
  <c r="H95" i="106" s="1"/>
  <c r="G95" i="106" a="1"/>
  <c r="G95" i="106" s="1"/>
  <c r="F95" i="106" a="1"/>
  <c r="F95" i="106" s="1"/>
  <c r="E95" i="106" a="1"/>
  <c r="E95" i="106" s="1"/>
  <c r="D95" i="106" a="1"/>
  <c r="D95" i="106" s="1"/>
  <c r="S94" i="106" a="1"/>
  <c r="S94" i="106" s="1"/>
  <c r="R94" i="106" a="1"/>
  <c r="R94" i="106" s="1"/>
  <c r="Q94" i="106" a="1"/>
  <c r="Q94" i="106" s="1"/>
  <c r="P94" i="106" a="1"/>
  <c r="P94" i="106" s="1"/>
  <c r="O94" i="106" a="1"/>
  <c r="O94" i="106" s="1"/>
  <c r="N94" i="106" a="1"/>
  <c r="N94" i="106" s="1"/>
  <c r="M94" i="106" a="1"/>
  <c r="M94" i="106" s="1"/>
  <c r="L94" i="106" a="1"/>
  <c r="L94" i="106" s="1"/>
  <c r="K94" i="106" a="1"/>
  <c r="K94" i="106" s="1"/>
  <c r="J94" i="106" a="1"/>
  <c r="J94" i="106" s="1"/>
  <c r="I94" i="106" a="1"/>
  <c r="I94" i="106" s="1"/>
  <c r="H94" i="106" a="1"/>
  <c r="H94" i="106" s="1"/>
  <c r="G94" i="106" a="1"/>
  <c r="G94" i="106" s="1"/>
  <c r="F94" i="106" a="1"/>
  <c r="F94" i="106" s="1"/>
  <c r="E94" i="106" a="1"/>
  <c r="E94" i="106" s="1"/>
  <c r="D94" i="106" a="1"/>
  <c r="D94" i="106" s="1"/>
  <c r="S93" i="106" a="1"/>
  <c r="S93" i="106" s="1"/>
  <c r="R93" i="106" a="1"/>
  <c r="R93" i="106" s="1"/>
  <c r="Q93" i="106" a="1"/>
  <c r="Q93" i="106" s="1"/>
  <c r="P93" i="106" a="1"/>
  <c r="P93" i="106" s="1"/>
  <c r="O93" i="106" a="1"/>
  <c r="O93" i="106" s="1"/>
  <c r="N93" i="106" a="1"/>
  <c r="N93" i="106" s="1"/>
  <c r="M93" i="106" a="1"/>
  <c r="M93" i="106" s="1"/>
  <c r="L93" i="106" a="1"/>
  <c r="L93" i="106" s="1"/>
  <c r="K93" i="106" a="1"/>
  <c r="K93" i="106" s="1"/>
  <c r="J93" i="106" a="1"/>
  <c r="J93" i="106" s="1"/>
  <c r="I93" i="106" a="1"/>
  <c r="I93" i="106" s="1"/>
  <c r="H93" i="106" a="1"/>
  <c r="H93" i="106" s="1"/>
  <c r="G93" i="106" a="1"/>
  <c r="G93" i="106" s="1"/>
  <c r="F93" i="106" a="1"/>
  <c r="F93" i="106" s="1"/>
  <c r="E93" i="106" a="1"/>
  <c r="E93" i="106" s="1"/>
  <c r="D93" i="106" a="1"/>
  <c r="D93" i="106" s="1"/>
  <c r="S92" i="106" a="1"/>
  <c r="S92" i="106" s="1"/>
  <c r="R92" i="106" a="1"/>
  <c r="R92" i="106" s="1"/>
  <c r="Q92" i="106" a="1"/>
  <c r="Q92" i="106" s="1"/>
  <c r="P92" i="106" a="1"/>
  <c r="P92" i="106" s="1"/>
  <c r="O92" i="106" a="1"/>
  <c r="O92" i="106" s="1"/>
  <c r="N92" i="106" a="1"/>
  <c r="N92" i="106" s="1"/>
  <c r="M92" i="106" a="1"/>
  <c r="M92" i="106" s="1"/>
  <c r="L92" i="106" a="1"/>
  <c r="L92" i="106" s="1"/>
  <c r="K92" i="106" a="1"/>
  <c r="K92" i="106" s="1"/>
  <c r="J92" i="106" a="1"/>
  <c r="J92" i="106" s="1"/>
  <c r="I92" i="106" a="1"/>
  <c r="I92" i="106" s="1"/>
  <c r="H92" i="106" a="1"/>
  <c r="H92" i="106" s="1"/>
  <c r="G92" i="106" a="1"/>
  <c r="G92" i="106" s="1"/>
  <c r="F92" i="106" a="1"/>
  <c r="F92" i="106" s="1"/>
  <c r="E92" i="106" a="1"/>
  <c r="E92" i="106" s="1"/>
  <c r="D92" i="106" a="1"/>
  <c r="D92" i="106" s="1"/>
  <c r="S91" i="106" a="1"/>
  <c r="S91" i="106" s="1"/>
  <c r="R91" i="106" a="1"/>
  <c r="R91" i="106" s="1"/>
  <c r="Q91" i="106" a="1"/>
  <c r="Q91" i="106" s="1"/>
  <c r="P91" i="106" a="1"/>
  <c r="P91" i="106" s="1"/>
  <c r="O91" i="106" a="1"/>
  <c r="O91" i="106" s="1"/>
  <c r="N91" i="106" a="1"/>
  <c r="N91" i="106" s="1"/>
  <c r="M91" i="106" a="1"/>
  <c r="M91" i="106" s="1"/>
  <c r="L91" i="106" a="1"/>
  <c r="L91" i="106" s="1"/>
  <c r="K91" i="106" a="1"/>
  <c r="K91" i="106" s="1"/>
  <c r="J91" i="106" a="1"/>
  <c r="J91" i="106" s="1"/>
  <c r="I91" i="106" a="1"/>
  <c r="I91" i="106" s="1"/>
  <c r="H91" i="106" a="1"/>
  <c r="H91" i="106" s="1"/>
  <c r="G91" i="106" a="1"/>
  <c r="G91" i="106" s="1"/>
  <c r="F91" i="106" a="1"/>
  <c r="F91" i="106" s="1"/>
  <c r="E91" i="106" a="1"/>
  <c r="E91" i="106" s="1"/>
  <c r="D91" i="106" a="1"/>
  <c r="D91" i="106" s="1"/>
  <c r="S90" i="106" a="1"/>
  <c r="S90" i="106" s="1"/>
  <c r="R90" i="106" a="1"/>
  <c r="R90" i="106" s="1"/>
  <c r="Q90" i="106" a="1"/>
  <c r="Q90" i="106" s="1"/>
  <c r="P90" i="106" a="1"/>
  <c r="P90" i="106" s="1"/>
  <c r="O90" i="106" a="1"/>
  <c r="O90" i="106" s="1"/>
  <c r="N90" i="106" a="1"/>
  <c r="N90" i="106" s="1"/>
  <c r="M90" i="106" a="1"/>
  <c r="M90" i="106" s="1"/>
  <c r="L90" i="106" a="1"/>
  <c r="L90" i="106" s="1"/>
  <c r="K90" i="106" a="1"/>
  <c r="K90" i="106" s="1"/>
  <c r="J90" i="106" a="1"/>
  <c r="J90" i="106" s="1"/>
  <c r="I90" i="106" a="1"/>
  <c r="I90" i="106" s="1"/>
  <c r="H90" i="106" a="1"/>
  <c r="H90" i="106" s="1"/>
  <c r="G90" i="106" a="1"/>
  <c r="G90" i="106" s="1"/>
  <c r="F90" i="106" a="1"/>
  <c r="F90" i="106" s="1"/>
  <c r="E90" i="106" a="1"/>
  <c r="E90" i="106" s="1"/>
  <c r="D90" i="106" a="1"/>
  <c r="D90" i="106" s="1"/>
  <c r="D83" i="106" a="1"/>
  <c r="D83" i="106" s="1"/>
  <c r="D82" i="106" a="1"/>
  <c r="D82" i="106" s="1"/>
  <c r="D81" i="106" a="1"/>
  <c r="D81" i="106" s="1"/>
  <c r="E77" i="106" a="1"/>
  <c r="E77" i="106" s="1"/>
  <c r="D77" i="106" a="1"/>
  <c r="D77" i="106" s="1"/>
  <c r="E76" i="106" a="1"/>
  <c r="E76" i="106" s="1"/>
  <c r="D76" i="106" a="1"/>
  <c r="D76" i="106" s="1"/>
  <c r="E75" i="106" a="1"/>
  <c r="E75" i="106" s="1"/>
  <c r="D75" i="106" a="1"/>
  <c r="D75" i="106" s="1"/>
  <c r="E74" i="106" a="1"/>
  <c r="E74" i="106" s="1"/>
  <c r="D74" i="106" a="1"/>
  <c r="D74" i="106" s="1"/>
  <c r="E73" i="106" a="1"/>
  <c r="E73" i="106" s="1"/>
  <c r="D73" i="106" a="1"/>
  <c r="D73" i="106" s="1"/>
  <c r="E72" i="106" a="1"/>
  <c r="E72" i="106" s="1"/>
  <c r="D72" i="106" a="1"/>
  <c r="D72" i="106" s="1"/>
  <c r="E71" i="106" a="1"/>
  <c r="E71" i="106" s="1"/>
  <c r="D71" i="106" a="1"/>
  <c r="D71" i="106" s="1"/>
  <c r="E70" i="106" a="1"/>
  <c r="E70" i="106" s="1"/>
  <c r="D70" i="106" a="1"/>
  <c r="D70" i="106" s="1"/>
  <c r="E69" i="106" a="1"/>
  <c r="E69" i="106" s="1"/>
  <c r="D69" i="106" a="1"/>
  <c r="D69" i="106" s="1"/>
  <c r="E68" i="106" a="1"/>
  <c r="E68" i="106" s="1"/>
  <c r="D68" i="106" a="1"/>
  <c r="D68" i="106" s="1"/>
  <c r="E67" i="106" a="1"/>
  <c r="E67" i="106" s="1"/>
  <c r="D67" i="106" a="1"/>
  <c r="D67" i="106" s="1"/>
  <c r="E66" i="106" a="1"/>
  <c r="E66" i="106" s="1"/>
  <c r="D66" i="106" a="1"/>
  <c r="D66" i="106" s="1"/>
  <c r="E65" i="106" a="1"/>
  <c r="E65" i="106" s="1"/>
  <c r="D65" i="106" a="1"/>
  <c r="D65" i="106" s="1"/>
  <c r="E64" i="106" a="1"/>
  <c r="E64" i="106" s="1"/>
  <c r="D64" i="106" a="1"/>
  <c r="D64" i="106" s="1"/>
  <c r="D59" i="106" a="1"/>
  <c r="D59" i="106" s="1"/>
  <c r="D58" i="106" a="1"/>
  <c r="D58" i="106" s="1"/>
  <c r="D57" i="106" a="1"/>
  <c r="D57" i="106" s="1"/>
  <c r="G54" i="106" a="1"/>
  <c r="G54" i="106" s="1"/>
  <c r="F54" i="106" a="1"/>
  <c r="F54" i="106" s="1"/>
  <c r="E54" i="106" a="1"/>
  <c r="E54" i="106" s="1"/>
  <c r="D54" i="106" a="1"/>
  <c r="D54" i="106" s="1"/>
  <c r="G53" i="106" a="1"/>
  <c r="G53" i="106" s="1"/>
  <c r="F53" i="106" a="1"/>
  <c r="F53" i="106" s="1"/>
  <c r="E53" i="106" a="1"/>
  <c r="E53" i="106" s="1"/>
  <c r="D53" i="106" a="1"/>
  <c r="D53" i="106" s="1"/>
  <c r="G52" i="106" a="1"/>
  <c r="G52" i="106" s="1"/>
  <c r="F52" i="106" a="1"/>
  <c r="F52" i="106" s="1"/>
  <c r="E52" i="106" a="1"/>
  <c r="E52" i="106" s="1"/>
  <c r="D52" i="106" a="1"/>
  <c r="D52" i="106" s="1"/>
  <c r="G51" i="106" a="1"/>
  <c r="G51" i="106" s="1"/>
  <c r="F51" i="106" a="1"/>
  <c r="F51" i="106" s="1"/>
  <c r="E51" i="106" a="1"/>
  <c r="E51" i="106" s="1"/>
  <c r="D51" i="106" a="1"/>
  <c r="D51" i="106" s="1"/>
  <c r="G50" i="106" a="1"/>
  <c r="G50" i="106" s="1"/>
  <c r="F50" i="106" a="1"/>
  <c r="F50" i="106" s="1"/>
  <c r="E50" i="106" a="1"/>
  <c r="E50" i="106" s="1"/>
  <c r="D50" i="106" a="1"/>
  <c r="D50" i="106" s="1"/>
  <c r="G49" i="106" a="1"/>
  <c r="G49" i="106" s="1"/>
  <c r="F49" i="106" a="1"/>
  <c r="F49" i="106" s="1"/>
  <c r="E49" i="106" a="1"/>
  <c r="E49" i="106" s="1"/>
  <c r="D49" i="106" a="1"/>
  <c r="D49" i="106" s="1"/>
  <c r="G48" i="106" a="1"/>
  <c r="G48" i="106" s="1"/>
  <c r="F48" i="106" a="1"/>
  <c r="F48" i="106" s="1"/>
  <c r="E48" i="106" a="1"/>
  <c r="E48" i="106" s="1"/>
  <c r="D48" i="106" a="1"/>
  <c r="D48" i="106" s="1"/>
  <c r="D46" i="106" a="1"/>
  <c r="D46" i="106" s="1"/>
  <c r="D45" i="106"/>
  <c r="D45" i="106" a="1"/>
  <c r="E43" i="106" a="1"/>
  <c r="E43" i="106" s="1"/>
  <c r="D43" i="106" a="1"/>
  <c r="D43" i="106" s="1"/>
  <c r="E42" i="106" a="1"/>
  <c r="E42" i="106" s="1"/>
  <c r="D42" i="106" a="1"/>
  <c r="D42" i="106" s="1"/>
  <c r="E41" i="106" a="1"/>
  <c r="E41" i="106" s="1"/>
  <c r="D41" i="106" a="1"/>
  <c r="D41" i="106" s="1"/>
  <c r="E40" i="106" a="1"/>
  <c r="E40" i="106" s="1"/>
  <c r="D40" i="106" a="1"/>
  <c r="D40" i="106" s="1"/>
  <c r="E39" i="106" a="1"/>
  <c r="E39" i="106" s="1"/>
  <c r="D39" i="106" a="1"/>
  <c r="D39" i="106" s="1"/>
  <c r="E38" i="106" a="1"/>
  <c r="E38" i="106" s="1"/>
  <c r="D38" i="106" a="1"/>
  <c r="D38" i="106" s="1"/>
  <c r="E37" i="106" a="1"/>
  <c r="E37" i="106" s="1"/>
  <c r="D37" i="106" a="1"/>
  <c r="D37" i="106" s="1"/>
  <c r="D35" i="106"/>
  <c r="D35" i="106" a="1"/>
  <c r="D34" i="106" a="1"/>
  <c r="D34" i="106" s="1"/>
  <c r="D30" i="106" a="1"/>
  <c r="D30" i="106" s="1"/>
  <c r="D29" i="106" a="1"/>
  <c r="D29" i="106" s="1"/>
  <c r="D28" i="106" a="1"/>
  <c r="D28" i="106" s="1"/>
  <c r="D27" i="106" a="1"/>
  <c r="D27" i="106" s="1"/>
  <c r="D26" i="106" a="1"/>
  <c r="D26" i="106" s="1"/>
  <c r="D25" i="106" a="1"/>
  <c r="D25" i="106" s="1"/>
  <c r="D24" i="106" a="1"/>
  <c r="D24" i="106" s="1"/>
  <c r="D23" i="106" a="1"/>
  <c r="D23" i="106" s="1"/>
  <c r="D22" i="106" a="1"/>
  <c r="D22" i="106" s="1"/>
  <c r="D21" i="106" a="1"/>
  <c r="D21" i="106" s="1"/>
  <c r="D19" i="106" a="1"/>
  <c r="D19" i="106" s="1"/>
  <c r="D18" i="106" a="1"/>
  <c r="D18" i="106" s="1"/>
  <c r="F14" i="106" a="1"/>
  <c r="F14" i="106" s="1"/>
  <c r="E14" i="106" a="1"/>
  <c r="E14" i="106" s="1"/>
  <c r="D14" i="106" a="1"/>
  <c r="D14" i="106" s="1"/>
  <c r="F13" i="106" a="1"/>
  <c r="F13" i="106" s="1"/>
  <c r="E13" i="106" a="1"/>
  <c r="E13" i="106" s="1"/>
  <c r="D13" i="106" a="1"/>
  <c r="D13" i="106" s="1"/>
  <c r="F12" i="106" a="1"/>
  <c r="F12" i="106" s="1"/>
  <c r="E12" i="106" a="1"/>
  <c r="E12" i="106" s="1"/>
  <c r="D12" i="106" a="1"/>
  <c r="D12" i="106" s="1"/>
  <c r="F11" i="106" a="1"/>
  <c r="F11" i="106" s="1"/>
  <c r="E11" i="106" a="1"/>
  <c r="E11" i="106" s="1"/>
  <c r="D11" i="106" a="1"/>
  <c r="D11" i="106" s="1"/>
  <c r="F10" i="106" a="1"/>
  <c r="F10" i="106" s="1"/>
  <c r="E10" i="106" a="1"/>
  <c r="E10" i="106" s="1"/>
  <c r="D10" i="106" a="1"/>
  <c r="D10" i="106" s="1"/>
  <c r="F9" i="106" a="1"/>
  <c r="F9" i="106" s="1"/>
  <c r="E9" i="106" a="1"/>
  <c r="E9" i="106" s="1"/>
  <c r="D9" i="106" a="1"/>
  <c r="D9" i="106" s="1"/>
  <c r="F8" i="106" a="1"/>
  <c r="F8" i="106" s="1"/>
  <c r="E8" i="106" a="1"/>
  <c r="E8" i="106" s="1"/>
  <c r="D8" i="106" a="1"/>
  <c r="D8" i="106" s="1"/>
  <c r="A8" i="106"/>
  <c r="F7" i="106" a="1"/>
  <c r="F7" i="106" s="1"/>
  <c r="E7" i="106" a="1"/>
  <c r="E7" i="106" s="1"/>
  <c r="D7" i="106" a="1"/>
  <c r="D7" i="106" s="1"/>
  <c r="A7" i="106"/>
  <c r="D5" i="106"/>
  <c r="D5" i="106" a="1"/>
  <c r="A3" i="106"/>
  <c r="A8" i="71"/>
  <c r="A7" i="71"/>
  <c r="A3" i="71"/>
  <c r="E29" i="15"/>
  <c r="E13" i="15"/>
  <c r="D9" i="70" s="1"/>
  <c r="A25" i="74"/>
  <c r="A24" i="74"/>
  <c r="A23" i="74"/>
  <c r="A22" i="74"/>
  <c r="A21" i="74"/>
  <c r="A17" i="74"/>
  <c r="A16" i="74"/>
  <c r="A15" i="74"/>
  <c r="A14" i="74"/>
  <c r="A10" i="74"/>
  <c r="A9" i="74"/>
  <c r="A5" i="74"/>
  <c r="A4" i="74"/>
  <c r="A3" i="74"/>
  <c r="A25" i="43"/>
  <c r="A24" i="43"/>
  <c r="A23" i="43"/>
  <c r="A22" i="43"/>
  <c r="A21" i="43"/>
  <c r="A17" i="43"/>
  <c r="A16" i="43"/>
  <c r="A15" i="43"/>
  <c r="A14" i="43"/>
  <c r="A10" i="43"/>
  <c r="A9" i="43"/>
  <c r="A5" i="43"/>
  <c r="A4" i="43"/>
  <c r="A3" i="43"/>
  <c r="A25" i="79"/>
  <c r="A24" i="79"/>
  <c r="A23" i="79"/>
  <c r="A22" i="79"/>
  <c r="A21" i="79"/>
  <c r="A17" i="79"/>
  <c r="A16" i="79"/>
  <c r="A15" i="79"/>
  <c r="A14" i="79"/>
  <c r="A10" i="79"/>
  <c r="A9" i="79"/>
  <c r="A5" i="79"/>
  <c r="A4" i="79"/>
  <c r="A3" i="79"/>
  <c r="A25" i="81"/>
  <c r="A24" i="81"/>
  <c r="A23" i="81"/>
  <c r="A22" i="81"/>
  <c r="A21" i="81"/>
  <c r="A17" i="81"/>
  <c r="A16" i="81"/>
  <c r="A15" i="81"/>
  <c r="A14" i="81"/>
  <c r="A10" i="81"/>
  <c r="A9" i="81"/>
  <c r="A5" i="81"/>
  <c r="A4" i="81"/>
  <c r="A3" i="81"/>
  <c r="A25" i="82"/>
  <c r="A24" i="82"/>
  <c r="A23" i="82"/>
  <c r="A22" i="82"/>
  <c r="A21" i="82"/>
  <c r="A17" i="82"/>
  <c r="A16" i="82"/>
  <c r="A15" i="82"/>
  <c r="A14" i="82"/>
  <c r="A10" i="82"/>
  <c r="A9" i="82"/>
  <c r="A5" i="82"/>
  <c r="A4" i="82"/>
  <c r="A3" i="82"/>
  <c r="A25" i="76"/>
  <c r="A24" i="76"/>
  <c r="A23" i="76"/>
  <c r="A22" i="76"/>
  <c r="A21" i="76"/>
  <c r="A17" i="76"/>
  <c r="A16" i="76"/>
  <c r="A15" i="76"/>
  <c r="A14" i="76"/>
  <c r="A10" i="76"/>
  <c r="A9" i="76"/>
  <c r="A5" i="76"/>
  <c r="A4" i="76"/>
  <c r="A3" i="76"/>
  <c r="A25" i="69"/>
  <c r="A24" i="69"/>
  <c r="A23" i="69"/>
  <c r="A22" i="69"/>
  <c r="A21" i="69"/>
  <c r="A17" i="69"/>
  <c r="A16" i="69"/>
  <c r="A15" i="69"/>
  <c r="A14" i="69"/>
  <c r="A10" i="69"/>
  <c r="A9" i="69"/>
  <c r="A5" i="69"/>
  <c r="A4" i="69"/>
  <c r="A3" i="69"/>
  <c r="A25" i="70"/>
  <c r="A24" i="70"/>
  <c r="A23" i="70"/>
  <c r="A22" i="70"/>
  <c r="A21" i="70"/>
  <c r="A17" i="70"/>
  <c r="A16" i="70"/>
  <c r="A15" i="70"/>
  <c r="A14" i="70"/>
  <c r="A10" i="70"/>
  <c r="A9" i="70"/>
  <c r="A5" i="70"/>
  <c r="A4" i="70"/>
  <c r="A3" i="70"/>
  <c r="A25" i="15"/>
  <c r="A24" i="15"/>
  <c r="A23" i="15"/>
  <c r="A22" i="15"/>
  <c r="A21" i="15"/>
  <c r="A17" i="15"/>
  <c r="A16" i="15"/>
  <c r="A15" i="15"/>
  <c r="A14" i="15"/>
  <c r="A10" i="15"/>
  <c r="A9" i="15"/>
  <c r="A5" i="15"/>
  <c r="A4" i="15"/>
  <c r="A3" i="15"/>
  <c r="A25" i="13"/>
  <c r="A24" i="13"/>
  <c r="A23" i="13"/>
  <c r="A22" i="13"/>
  <c r="A21" i="13"/>
  <c r="A17" i="13"/>
  <c r="A16" i="13"/>
  <c r="A15" i="13"/>
  <c r="A14" i="13"/>
  <c r="A10" i="13"/>
  <c r="A9" i="13"/>
  <c r="A5" i="13"/>
  <c r="A4" i="13"/>
  <c r="A3" i="13"/>
  <c r="A25" i="100"/>
  <c r="A24" i="100"/>
  <c r="A23" i="100"/>
  <c r="A22" i="100"/>
  <c r="A21" i="100"/>
  <c r="A17" i="100"/>
  <c r="A16" i="100"/>
  <c r="A15" i="100"/>
  <c r="A14" i="100"/>
  <c r="A10" i="100"/>
  <c r="A9" i="100"/>
  <c r="A5" i="100"/>
  <c r="A4" i="100"/>
  <c r="A3" i="100"/>
  <c r="I114" i="69"/>
  <c r="E51" i="81"/>
  <c r="E50" i="81"/>
  <c r="E49" i="81"/>
  <c r="E48" i="81"/>
  <c r="D26" i="82"/>
  <c r="D23" i="82"/>
  <c r="E101" i="76" a="1"/>
  <c r="E101" i="76" s="1"/>
  <c r="D78" i="76" a="1"/>
  <c r="D78" i="76" s="1"/>
  <c r="D73" i="76" a="1"/>
  <c r="D73" i="76" s="1"/>
  <c r="D159" i="69" a="1"/>
  <c r="D159" i="69" s="1"/>
  <c r="D145" i="69" a="1"/>
  <c r="D145" i="69" s="1"/>
  <c r="R112" i="69" a="1"/>
  <c r="R112" i="69" s="1"/>
  <c r="E52" i="69" a="1"/>
  <c r="E52" i="69" s="1"/>
  <c r="N108" i="81"/>
  <c r="D108" i="81"/>
  <c r="E101" i="81"/>
  <c r="D100" i="81"/>
  <c r="E99" i="81"/>
  <c r="E98" i="81"/>
  <c r="N84" i="81"/>
  <c r="D84" i="81"/>
  <c r="N58" i="81"/>
  <c r="D58" i="81"/>
  <c r="D50" i="81"/>
  <c r="D42" i="81"/>
  <c r="D39" i="81"/>
  <c r="D30" i="81"/>
  <c r="N24" i="81"/>
  <c r="D24" i="81"/>
  <c r="M43" i="82"/>
  <c r="D43" i="82"/>
  <c r="M40" i="82"/>
  <c r="D40" i="82"/>
  <c r="D32" i="82"/>
  <c r="M26" i="82"/>
  <c r="M23" i="82"/>
  <c r="O209" i="76"/>
  <c r="D209" i="76"/>
  <c r="O206" i="76"/>
  <c r="D206" i="76"/>
  <c r="D195" i="76"/>
  <c r="O176" i="76"/>
  <c r="D176" i="76"/>
  <c r="O106" i="76"/>
  <c r="D106" i="76"/>
  <c r="N167" i="69"/>
  <c r="E167" i="69"/>
  <c r="N164" i="69"/>
  <c r="E164" i="69"/>
  <c r="N153" i="69"/>
  <c r="E153" i="69"/>
  <c r="N150" i="69"/>
  <c r="E150" i="69"/>
  <c r="R115" i="69"/>
  <c r="M98" i="69"/>
  <c r="D98" i="69"/>
  <c r="N89" i="69"/>
  <c r="M89" i="69"/>
  <c r="E89" i="69"/>
  <c r="M88" i="69"/>
  <c r="M87" i="69"/>
  <c r="R75" i="69"/>
  <c r="M57" i="69"/>
  <c r="D57" i="69"/>
  <c r="D52" i="69"/>
  <c r="E52" i="82"/>
  <c r="H51" i="106" l="1"/>
  <c r="H54" i="106"/>
  <c r="H48" i="106"/>
  <c r="H52" i="106"/>
  <c r="H50" i="106"/>
  <c r="H53" i="106"/>
  <c r="H49" i="106"/>
  <c r="D8" i="70"/>
  <c r="I46" i="69"/>
  <c r="R46" i="69"/>
  <c r="I74" i="69"/>
  <c r="I140" i="69" a="1"/>
  <c r="I140" i="69" s="1"/>
  <c r="I139" i="69" a="1"/>
  <c r="I139" i="69" s="1"/>
  <c r="I138" i="69" a="1"/>
  <c r="I138" i="69" s="1"/>
  <c r="G138" i="69" a="1"/>
  <c r="G138" i="69" s="1"/>
  <c r="G145" i="69" s="1"/>
  <c r="D138" i="69" a="1"/>
  <c r="D138" i="69" s="1"/>
  <c r="P110" i="69" a="1"/>
  <c r="P110" i="69" s="1"/>
  <c r="M110" i="69" a="1"/>
  <c r="M110" i="69" s="1"/>
  <c r="I112" i="69" a="1"/>
  <c r="I112" i="69" s="1"/>
  <c r="I110" i="69" a="1"/>
  <c r="I110" i="69" s="1"/>
  <c r="G110" i="69" a="1"/>
  <c r="G110" i="69" s="1"/>
  <c r="D110" i="69" a="1"/>
  <c r="D110" i="69" s="1"/>
  <c r="R73" i="69" a="1"/>
  <c r="R73" i="69" s="1"/>
  <c r="P69" i="69" a="1"/>
  <c r="P69" i="69" s="1"/>
  <c r="M69" i="69" a="1"/>
  <c r="M69" i="69" s="1"/>
  <c r="I73" i="69" a="1"/>
  <c r="I73" i="69" s="1"/>
  <c r="I72" i="69" a="1"/>
  <c r="I72" i="69" s="1"/>
  <c r="I70" i="69" a="1"/>
  <c r="I70" i="69" s="1"/>
  <c r="G69" i="69" a="1"/>
  <c r="G69" i="69" s="1"/>
  <c r="D69" i="69" a="1"/>
  <c r="D69" i="69" s="1"/>
  <c r="R150" i="69" l="1"/>
  <c r="P87" i="69"/>
  <c r="G159" i="69"/>
  <c r="G87" i="69"/>
  <c r="I150" i="69"/>
  <c r="I80" i="69"/>
  <c r="H120" i="69"/>
  <c r="P42" i="69" a="1"/>
  <c r="P42" i="69" s="1"/>
  <c r="M42" i="69" a="1"/>
  <c r="M42" i="69" s="1"/>
  <c r="R44" i="69" a="1"/>
  <c r="R44" i="69" s="1"/>
  <c r="R42" i="69" a="1"/>
  <c r="R42" i="69" s="1"/>
  <c r="I44" i="69" a="1"/>
  <c r="I44" i="69" s="1"/>
  <c r="I42" i="69" a="1"/>
  <c r="I42" i="69" s="1"/>
  <c r="G42" i="69" a="1"/>
  <c r="G42" i="69" s="1"/>
  <c r="D42" i="69" a="1"/>
  <c r="D42" i="69" s="1"/>
  <c r="H14" i="69" a="1"/>
  <c r="H14" i="69" s="1"/>
  <c r="H13" i="69" a="1"/>
  <c r="H13" i="69" s="1"/>
  <c r="K188" i="76" l="1" a="1"/>
  <c r="K188" i="76" s="1"/>
  <c r="J188" i="76" a="1"/>
  <c r="J188" i="76" s="1"/>
  <c r="I188" i="76" a="1"/>
  <c r="I188" i="76" s="1"/>
  <c r="I189" i="76" a="1"/>
  <c r="I189" i="76" s="1"/>
  <c r="G188" i="76" a="1"/>
  <c r="G188" i="76" s="1"/>
  <c r="D188" i="76" a="1"/>
  <c r="D188" i="76" s="1"/>
  <c r="I162" i="76" a="1"/>
  <c r="I162" i="76" s="1"/>
  <c r="I161" i="76" a="1"/>
  <c r="I161" i="76" s="1"/>
  <c r="G161" i="76" a="1"/>
  <c r="G161" i="76" s="1"/>
  <c r="D161" i="76" a="1"/>
  <c r="D161" i="76" s="1"/>
  <c r="I141" i="76" a="1"/>
  <c r="I141" i="76" s="1"/>
  <c r="I144" i="76" a="1"/>
  <c r="I144" i="76" s="1"/>
  <c r="G141" i="76" a="1"/>
  <c r="G141" i="76" s="1"/>
  <c r="D141" i="76" a="1"/>
  <c r="D141" i="76" s="1"/>
  <c r="I119" i="76" a="1"/>
  <c r="I119" i="76" s="1"/>
  <c r="I118" i="76" a="1"/>
  <c r="I118" i="76" s="1"/>
  <c r="G118" i="76" a="1"/>
  <c r="G118" i="76" s="1"/>
  <c r="D118" i="76" a="1"/>
  <c r="D118" i="76" s="1"/>
  <c r="I96" i="76" a="1"/>
  <c r="I96" i="76" s="1"/>
  <c r="I95" i="76" a="1"/>
  <c r="I95" i="76" s="1"/>
  <c r="G95" i="76" a="1"/>
  <c r="G95" i="76" s="1"/>
  <c r="D95" i="76" a="1"/>
  <c r="D95" i="76" s="1"/>
  <c r="H68" i="76" a="1"/>
  <c r="H68" i="76" s="1"/>
  <c r="H67" i="76" a="1"/>
  <c r="H67" i="76" s="1"/>
  <c r="H66" i="76" a="1"/>
  <c r="H66" i="76" s="1"/>
  <c r="I43" i="76" a="1"/>
  <c r="I43" i="76" s="1"/>
  <c r="I44" i="76" a="1"/>
  <c r="I44" i="76" s="1"/>
  <c r="G43" i="76" a="1"/>
  <c r="G43" i="76" s="1"/>
  <c r="D43" i="76" a="1"/>
  <c r="D43" i="76" s="1"/>
  <c r="I14" i="76" a="1"/>
  <c r="I14" i="76" s="1"/>
  <c r="I13" i="76" a="1"/>
  <c r="I13" i="76" s="1"/>
  <c r="G13" i="76" a="1"/>
  <c r="G13" i="76" s="1"/>
  <c r="D13" i="76" a="1"/>
  <c r="D13" i="76" s="1"/>
  <c r="J77" i="81" a="1"/>
  <c r="J77" i="81" s="1"/>
  <c r="J76" i="81" a="1"/>
  <c r="J76" i="81" s="1"/>
  <c r="J75" i="81" a="1"/>
  <c r="J75" i="81" s="1"/>
  <c r="J74" i="81" a="1"/>
  <c r="J74" i="81" s="1"/>
  <c r="J17" i="81" a="1"/>
  <c r="J17" i="81" s="1"/>
  <c r="J16" i="81" a="1"/>
  <c r="J16" i="81" s="1"/>
  <c r="J15" i="81" a="1"/>
  <c r="J15" i="81" s="1"/>
  <c r="J14" i="81" a="1"/>
  <c r="J14" i="81" s="1"/>
  <c r="H74" i="81" a="1"/>
  <c r="H74" i="81" s="1"/>
  <c r="D74" i="81" a="1"/>
  <c r="D74" i="81" s="1"/>
  <c r="H14" i="81" a="1"/>
  <c r="H14" i="81" s="1"/>
  <c r="D14" i="81" a="1"/>
  <c r="D14" i="81" s="1"/>
  <c r="P58" i="82" a="1"/>
  <c r="P58" i="82" s="1"/>
  <c r="M58" i="82" a="1"/>
  <c r="M58" i="82" s="1"/>
  <c r="G58" i="82" a="1"/>
  <c r="G58" i="82" s="1"/>
  <c r="D58" i="82" a="1"/>
  <c r="D58" i="82" s="1"/>
  <c r="I15" i="82" a="1"/>
  <c r="I15" i="82" s="1"/>
  <c r="I14" i="82" a="1"/>
  <c r="I14" i="82" s="1"/>
  <c r="G14" i="82" l="1" a="1"/>
  <c r="D14" i="82" a="1"/>
  <c r="D14" i="82" s="1"/>
  <c r="K34" i="70"/>
  <c r="K33" i="70"/>
  <c r="K32" i="70"/>
  <c r="K38" i="70"/>
  <c r="D37" i="70"/>
  <c r="D31" i="70"/>
  <c r="G34" i="70"/>
  <c r="F34" i="70"/>
  <c r="E34" i="70"/>
  <c r="G14" i="82" l="1"/>
  <c r="F32" i="82"/>
  <c r="Q23" i="82" l="1"/>
  <c r="H23" i="82"/>
  <c r="E186" i="76" a="1"/>
  <c r="E186" i="76" s="1"/>
  <c r="E185" i="76" a="1"/>
  <c r="E185" i="76" s="1"/>
  <c r="D180" i="76" a="1"/>
  <c r="D180" i="76" s="1"/>
  <c r="D179" i="76" a="1"/>
  <c r="D179" i="76" s="1"/>
  <c r="E159" i="76" a="1"/>
  <c r="E159" i="76" s="1"/>
  <c r="E158" i="76" a="1"/>
  <c r="E158" i="76" s="1"/>
  <c r="D154" i="76" a="1"/>
  <c r="D154" i="76" s="1"/>
  <c r="D153" i="76" a="1"/>
  <c r="D153" i="76" s="1"/>
  <c r="E139" i="76" a="1"/>
  <c r="E139" i="76" s="1"/>
  <c r="E138" i="76" a="1"/>
  <c r="E138" i="76" s="1"/>
  <c r="D134" i="76" a="1"/>
  <c r="D134" i="76" s="1"/>
  <c r="D133" i="76" a="1"/>
  <c r="D133" i="76" s="1"/>
  <c r="E116" i="76" a="1"/>
  <c r="E116" i="76" s="1"/>
  <c r="E115" i="76" a="1"/>
  <c r="E115" i="76" s="1"/>
  <c r="D111" i="76" a="1"/>
  <c r="D111" i="76" s="1"/>
  <c r="D110" i="76" a="1"/>
  <c r="D110" i="76" s="1"/>
  <c r="E93" i="76" a="1"/>
  <c r="E93" i="76" s="1"/>
  <c r="E92" i="76" a="1"/>
  <c r="E92" i="76" s="1"/>
  <c r="D88" i="76" a="1"/>
  <c r="D88" i="76" s="1"/>
  <c r="D87" i="76" a="1"/>
  <c r="D87" i="76" s="1"/>
  <c r="D66" i="76" a="1"/>
  <c r="D66" i="76" s="1"/>
  <c r="E64" i="76" a="1"/>
  <c r="E64" i="76" s="1"/>
  <c r="E63" i="76" a="1"/>
  <c r="E63" i="76" s="1"/>
  <c r="D59" i="76" a="1"/>
  <c r="D59" i="76" s="1"/>
  <c r="D58" i="76" a="1"/>
  <c r="D58" i="76" s="1"/>
  <c r="E41" i="76" a="1"/>
  <c r="E41" i="76" s="1"/>
  <c r="E40" i="76" a="1"/>
  <c r="E40" i="76" s="1"/>
  <c r="D35" i="76" a="1"/>
  <c r="D35" i="76" s="1"/>
  <c r="D34" i="76" a="1"/>
  <c r="D34" i="76" s="1"/>
  <c r="E11" i="76" a="1"/>
  <c r="E11" i="76" s="1"/>
  <c r="E10" i="76" a="1"/>
  <c r="E10" i="76" s="1"/>
  <c r="D6" i="76" a="1"/>
  <c r="D6" i="76" s="1"/>
  <c r="D5" i="76" a="1"/>
  <c r="D5" i="76" s="1"/>
  <c r="H176" i="76" l="1"/>
  <c r="S176" i="76"/>
  <c r="H209" i="76"/>
  <c r="S209" i="76"/>
  <c r="O70" i="82" a="1"/>
  <c r="O70" i="82" s="1"/>
  <c r="M67" i="82" a="1"/>
  <c r="M67" i="82" s="1"/>
  <c r="F70" i="82" a="1"/>
  <c r="F70" i="82" s="1"/>
  <c r="D67" i="82" a="1"/>
  <c r="D67" i="82" s="1"/>
  <c r="D51" i="82" a="1"/>
  <c r="D51" i="82" s="1"/>
  <c r="I61" i="82"/>
  <c r="I62" i="82"/>
  <c r="E56" i="82" l="1" a="1"/>
  <c r="E56" i="82" s="1"/>
  <c r="E55" i="82" a="1"/>
  <c r="E55" i="82" s="1"/>
  <c r="D50" i="82" a="1"/>
  <c r="D50" i="82" s="1"/>
  <c r="D6" i="82" a="1"/>
  <c r="D6" i="82" s="1"/>
  <c r="E11" i="82" a="1"/>
  <c r="E11" i="82" s="1"/>
  <c r="E12" i="82" a="1"/>
  <c r="E12" i="82" s="1"/>
  <c r="Q40" i="82" s="1"/>
  <c r="D5" i="82" a="1"/>
  <c r="D5" i="82" s="1"/>
  <c r="D66" i="81" a="1"/>
  <c r="D66" i="81" s="1"/>
  <c r="E71" i="81" a="1"/>
  <c r="E71" i="81" s="1"/>
  <c r="E72" i="81" a="1"/>
  <c r="E72" i="81" s="1"/>
  <c r="D65" i="81" a="1"/>
  <c r="D65" i="81" s="1"/>
  <c r="D6" i="81" a="1"/>
  <c r="D6" i="81" s="1"/>
  <c r="D91" i="81" s="1"/>
  <c r="E11" i="81" a="1"/>
  <c r="E11" i="81" s="1"/>
  <c r="E12" i="81" a="1"/>
  <c r="E12" i="81" s="1"/>
  <c r="D5" i="81" a="1"/>
  <c r="D5" i="81" s="1"/>
  <c r="O176" i="69" a="1"/>
  <c r="O176" i="69" s="1"/>
  <c r="M173" i="69" a="1"/>
  <c r="M173" i="69" s="1"/>
  <c r="Q217" i="76" a="1"/>
  <c r="Q217" i="76" s="1"/>
  <c r="O214" i="76" a="1"/>
  <c r="O214" i="76" s="1"/>
  <c r="D214" i="76" a="1"/>
  <c r="D214" i="76" s="1"/>
  <c r="F217" i="76" a="1"/>
  <c r="F217" i="76" s="1"/>
  <c r="E7" i="82" a="1"/>
  <c r="E67" i="81" a="1"/>
  <c r="E7" i="81" a="1"/>
  <c r="E181" i="76" a="1"/>
  <c r="R84" i="81" l="1"/>
  <c r="H84" i="81"/>
  <c r="R108" i="81"/>
  <c r="H108" i="81"/>
  <c r="F46" i="82"/>
  <c r="F87" i="81"/>
  <c r="G18" i="13" s="1"/>
  <c r="H58" i="81"/>
  <c r="R58" i="81"/>
  <c r="I63" i="82"/>
  <c r="O65" i="82"/>
  <c r="F65" i="82"/>
  <c r="G9" i="13" s="1"/>
  <c r="H57" i="81"/>
  <c r="H40" i="82"/>
  <c r="O46" i="82"/>
  <c r="E7" i="82"/>
  <c r="R56" i="81"/>
  <c r="R59" i="81"/>
  <c r="P61" i="81"/>
  <c r="R107" i="81"/>
  <c r="R109" i="81"/>
  <c r="P87" i="81"/>
  <c r="E67" i="81"/>
  <c r="E7" i="81"/>
  <c r="H82" i="81"/>
  <c r="H85" i="81"/>
  <c r="H106" i="81"/>
  <c r="H107" i="81"/>
  <c r="H83" i="81"/>
  <c r="R82" i="81"/>
  <c r="R83" i="81"/>
  <c r="H56" i="81"/>
  <c r="H109" i="81"/>
  <c r="R106" i="81"/>
  <c r="R85" i="81"/>
  <c r="H59" i="81"/>
  <c r="R57" i="81"/>
  <c r="F111" i="81"/>
  <c r="G17" i="13" s="1"/>
  <c r="P111" i="81"/>
  <c r="F61" i="81"/>
  <c r="G16" i="13" s="1"/>
  <c r="E181" i="76"/>
  <c r="G149" i="76" l="1"/>
  <c r="S106" i="76"/>
  <c r="R83" i="76"/>
  <c r="R54" i="76"/>
  <c r="D117" i="79" a="1"/>
  <c r="D117" i="79" s="1"/>
  <c r="E117" i="79" a="1"/>
  <c r="E117" i="79" s="1"/>
  <c r="F117" i="79" a="1"/>
  <c r="F117" i="79" s="1"/>
  <c r="G117" i="79" a="1"/>
  <c r="G117" i="79" s="1"/>
  <c r="D116" i="79" a="1"/>
  <c r="D116" i="79" s="1"/>
  <c r="E116" i="79" a="1"/>
  <c r="E116" i="79" s="1"/>
  <c r="F116" i="79" a="1"/>
  <c r="F116" i="79" s="1"/>
  <c r="G116" i="79" a="1"/>
  <c r="G116" i="79" s="1"/>
  <c r="D115" i="79" a="1"/>
  <c r="D115" i="79" s="1"/>
  <c r="E115" i="79" a="1"/>
  <c r="E115" i="79" s="1"/>
  <c r="F115" i="79" a="1"/>
  <c r="F115" i="79" s="1"/>
  <c r="G115" i="79" a="1"/>
  <c r="G115" i="79" s="1"/>
  <c r="D114" i="79" a="1"/>
  <c r="D114" i="79" s="1"/>
  <c r="E114" i="79" a="1"/>
  <c r="E114" i="79" s="1"/>
  <c r="F114" i="79" a="1"/>
  <c r="F114" i="79" s="1"/>
  <c r="G114" i="79" a="1"/>
  <c r="G114" i="79" s="1"/>
  <c r="G113" i="79" a="1"/>
  <c r="G113" i="79" s="1"/>
  <c r="F113" i="79" a="1"/>
  <c r="F113" i="79" s="1"/>
  <c r="I142" i="76" s="1"/>
  <c r="E113" i="79" a="1"/>
  <c r="E113" i="79" s="1"/>
  <c r="D113" i="79" a="1"/>
  <c r="D113" i="79" s="1"/>
  <c r="D109" i="79" a="1"/>
  <c r="D109" i="79" s="1"/>
  <c r="D110" i="79" a="1"/>
  <c r="D110" i="79" s="1"/>
  <c r="D108" i="79" a="1"/>
  <c r="D108" i="79" s="1"/>
  <c r="G105" i="79" a="1"/>
  <c r="G105" i="79" s="1"/>
  <c r="D105" i="79" a="1"/>
  <c r="D105" i="79" s="1"/>
  <c r="E105" i="79" a="1"/>
  <c r="E105" i="79" s="1"/>
  <c r="F105" i="79" a="1"/>
  <c r="F105" i="79" s="1"/>
  <c r="G104" i="79" a="1"/>
  <c r="G104" i="79" s="1"/>
  <c r="D104" i="79" a="1"/>
  <c r="D104" i="79" s="1"/>
  <c r="E104" i="79" a="1"/>
  <c r="E104" i="79" s="1"/>
  <c r="F104" i="79" a="1"/>
  <c r="F104" i="79" s="1"/>
  <c r="G103" i="79" a="1"/>
  <c r="G103" i="79" s="1"/>
  <c r="D103" i="79" a="1"/>
  <c r="D103" i="79" s="1"/>
  <c r="E103" i="79" a="1"/>
  <c r="E103" i="79" s="1"/>
  <c r="F103" i="79" a="1"/>
  <c r="F103" i="79" s="1"/>
  <c r="G102" i="79" a="1"/>
  <c r="G102" i="79" s="1"/>
  <c r="G101" i="79" a="1"/>
  <c r="G101" i="79" s="1"/>
  <c r="D102" i="79" a="1"/>
  <c r="D102" i="79" s="1"/>
  <c r="E102" i="79" a="1"/>
  <c r="E102" i="79" s="1"/>
  <c r="F102" i="79" a="1"/>
  <c r="F102" i="79" s="1"/>
  <c r="F101" i="79" a="1"/>
  <c r="F101" i="79" s="1"/>
  <c r="I143" i="76" s="1"/>
  <c r="E101" i="79" a="1"/>
  <c r="E101" i="79" s="1"/>
  <c r="D101" i="79" a="1"/>
  <c r="D101" i="79" s="1"/>
  <c r="D97" i="79" a="1"/>
  <c r="D97" i="79" s="1"/>
  <c r="D98" i="79" a="1"/>
  <c r="D98" i="79" s="1"/>
  <c r="D96" i="79" a="1"/>
  <c r="D96" i="79" s="1"/>
  <c r="D41" i="79" a="1"/>
  <c r="D41" i="79" s="1"/>
  <c r="E41" i="79" a="1"/>
  <c r="E41" i="79" s="1"/>
  <c r="D40" i="79" a="1"/>
  <c r="D40" i="79" s="1"/>
  <c r="E40" i="79" a="1"/>
  <c r="E40" i="79" s="1"/>
  <c r="E39" i="79" a="1"/>
  <c r="E39" i="79" s="1"/>
  <c r="D39" i="79" a="1"/>
  <c r="D39" i="79" s="1"/>
  <c r="D37" i="79" a="1"/>
  <c r="D37" i="79" s="1"/>
  <c r="D36" i="79" a="1"/>
  <c r="D36" i="79" s="1"/>
  <c r="D58" i="79" a="1"/>
  <c r="D58" i="79" s="1"/>
  <c r="E58" i="79" a="1"/>
  <c r="E58" i="79" s="1"/>
  <c r="F58" i="79" a="1"/>
  <c r="F58" i="79" s="1"/>
  <c r="G58" i="79" a="1"/>
  <c r="G58" i="79" s="1"/>
  <c r="H58" i="79" a="1"/>
  <c r="H58" i="79" s="1"/>
  <c r="I58" i="79" a="1"/>
  <c r="I58" i="79" s="1"/>
  <c r="J58" i="79" a="1"/>
  <c r="J58" i="79" s="1"/>
  <c r="D57" i="79" a="1"/>
  <c r="D57" i="79" s="1"/>
  <c r="E57" i="79" a="1"/>
  <c r="E57" i="79" s="1"/>
  <c r="F57" i="79" a="1"/>
  <c r="F57" i="79" s="1"/>
  <c r="G57" i="79" a="1"/>
  <c r="G57" i="79" s="1"/>
  <c r="H57" i="79" a="1"/>
  <c r="H57" i="79" s="1"/>
  <c r="I57" i="79" a="1"/>
  <c r="I57" i="79" s="1"/>
  <c r="J57" i="79" a="1"/>
  <c r="J57" i="79" s="1"/>
  <c r="D56" i="79" a="1"/>
  <c r="D56" i="79" s="1"/>
  <c r="E56" i="79" a="1"/>
  <c r="E56" i="79" s="1"/>
  <c r="F56" i="79" a="1"/>
  <c r="F56" i="79" s="1"/>
  <c r="G56" i="79" a="1"/>
  <c r="G56" i="79" s="1"/>
  <c r="H56" i="79" a="1"/>
  <c r="H56" i="79" s="1"/>
  <c r="I56" i="79" a="1"/>
  <c r="I56" i="79" s="1"/>
  <c r="J56" i="79" a="1"/>
  <c r="J56" i="79" s="1"/>
  <c r="D55" i="79" a="1"/>
  <c r="D55" i="79" s="1"/>
  <c r="E55" i="79" a="1"/>
  <c r="E55" i="79" s="1"/>
  <c r="F55" i="79" a="1"/>
  <c r="F55" i="79" s="1"/>
  <c r="G55" i="79" a="1"/>
  <c r="G55" i="79" s="1"/>
  <c r="H55" i="79" a="1"/>
  <c r="H55" i="79" s="1"/>
  <c r="I55" i="79" a="1"/>
  <c r="I55" i="79" s="1"/>
  <c r="J55" i="79" a="1"/>
  <c r="J55" i="79" s="1"/>
  <c r="D54" i="79" a="1"/>
  <c r="D54" i="79" s="1"/>
  <c r="E54" i="79" a="1"/>
  <c r="E54" i="79" s="1"/>
  <c r="F54" i="79" a="1"/>
  <c r="F54" i="79" s="1"/>
  <c r="G54" i="79" a="1"/>
  <c r="G54" i="79" s="1"/>
  <c r="H54" i="79" a="1"/>
  <c r="H54" i="79" s="1"/>
  <c r="I54" i="79" a="1"/>
  <c r="I54" i="79" s="1"/>
  <c r="J54" i="79" a="1"/>
  <c r="J54" i="79" s="1"/>
  <c r="D53" i="79" a="1"/>
  <c r="D53" i="79" s="1"/>
  <c r="E53" i="79" a="1"/>
  <c r="E53" i="79" s="1"/>
  <c r="F53" i="79" a="1"/>
  <c r="F53" i="79" s="1"/>
  <c r="G53" i="79" a="1"/>
  <c r="G53" i="79" s="1"/>
  <c r="H53" i="79" a="1"/>
  <c r="H53" i="79" s="1"/>
  <c r="I53" i="79" a="1"/>
  <c r="I53" i="79" s="1"/>
  <c r="J53" i="79" a="1"/>
  <c r="J53" i="79" s="1"/>
  <c r="D52" i="79" a="1"/>
  <c r="D52" i="79" s="1"/>
  <c r="E52" i="79" a="1"/>
  <c r="E52" i="79" s="1"/>
  <c r="F52" i="79" a="1"/>
  <c r="F52" i="79" s="1"/>
  <c r="G52" i="79" a="1"/>
  <c r="G52" i="79" s="1"/>
  <c r="H52" i="79" a="1"/>
  <c r="H52" i="79" s="1"/>
  <c r="I52" i="79" a="1"/>
  <c r="I52" i="79" s="1"/>
  <c r="J52" i="79" a="1"/>
  <c r="J52" i="79" s="1"/>
  <c r="D51" i="79" a="1"/>
  <c r="D51" i="79" s="1"/>
  <c r="E51" i="79" a="1"/>
  <c r="E51" i="79" s="1"/>
  <c r="F51" i="79" a="1"/>
  <c r="F51" i="79" s="1"/>
  <c r="G51" i="79" a="1"/>
  <c r="G51" i="79" s="1"/>
  <c r="H51" i="79" a="1"/>
  <c r="H51" i="79" s="1"/>
  <c r="I51" i="79" a="1"/>
  <c r="I51" i="79" s="1"/>
  <c r="J51" i="79" a="1"/>
  <c r="J51" i="79" s="1"/>
  <c r="J50" i="79" a="1"/>
  <c r="J50" i="79" s="1"/>
  <c r="I50" i="79" a="1"/>
  <c r="I50" i="79" s="1"/>
  <c r="H50" i="79" a="1"/>
  <c r="H50" i="79" s="1"/>
  <c r="G50" i="79" a="1"/>
  <c r="G50" i="79" s="1"/>
  <c r="F50" i="79" a="1"/>
  <c r="F50" i="79" s="1"/>
  <c r="E50" i="79" a="1"/>
  <c r="E50" i="79" s="1"/>
  <c r="D50" i="79" a="1"/>
  <c r="D50" i="79" s="1"/>
  <c r="D45" i="79" a="1"/>
  <c r="D45" i="79" s="1"/>
  <c r="D46" i="79" a="1"/>
  <c r="D46" i="79" s="1"/>
  <c r="D44" i="79" a="1"/>
  <c r="D44" i="79" s="1"/>
  <c r="D61" i="79" a="1"/>
  <c r="D61" i="79" s="1"/>
  <c r="D62" i="79" a="1"/>
  <c r="D62" i="79" s="1"/>
  <c r="D63" i="79" a="1"/>
  <c r="D63" i="79" s="1"/>
  <c r="D67" i="79" a="1"/>
  <c r="D67" i="79" s="1"/>
  <c r="E67" i="79" a="1"/>
  <c r="E67" i="79" s="1"/>
  <c r="F67" i="79" a="1"/>
  <c r="F67" i="79" s="1"/>
  <c r="G67" i="79" a="1"/>
  <c r="G67" i="79" s="1"/>
  <c r="H67" i="79" a="1"/>
  <c r="H67" i="79" s="1"/>
  <c r="I67" i="79" a="1"/>
  <c r="I67" i="79" s="1"/>
  <c r="J67" i="79" a="1"/>
  <c r="J67" i="79" s="1"/>
  <c r="D68" i="79" a="1"/>
  <c r="D68" i="79" s="1"/>
  <c r="E68" i="79" a="1"/>
  <c r="E68" i="79" s="1"/>
  <c r="F68" i="79" a="1"/>
  <c r="F68" i="79" s="1"/>
  <c r="G68" i="79" a="1"/>
  <c r="G68" i="79" s="1"/>
  <c r="H68" i="79" a="1"/>
  <c r="H68" i="79" s="1"/>
  <c r="I68" i="79" a="1"/>
  <c r="I68" i="79" s="1"/>
  <c r="J68" i="79" a="1"/>
  <c r="J68" i="79" s="1"/>
  <c r="D69" i="79" a="1"/>
  <c r="D69" i="79" s="1"/>
  <c r="E69" i="79" a="1"/>
  <c r="E69" i="79" s="1"/>
  <c r="F69" i="79" a="1"/>
  <c r="F69" i="79" s="1"/>
  <c r="G69" i="79" a="1"/>
  <c r="G69" i="79" s="1"/>
  <c r="H69" i="79" a="1"/>
  <c r="H69" i="79" s="1"/>
  <c r="I69" i="79" a="1"/>
  <c r="I69" i="79" s="1"/>
  <c r="J69" i="79" a="1"/>
  <c r="J69" i="79" s="1"/>
  <c r="D70" i="79" a="1"/>
  <c r="D70" i="79" s="1"/>
  <c r="E70" i="79" a="1"/>
  <c r="E70" i="79" s="1"/>
  <c r="F70" i="79" a="1"/>
  <c r="F70" i="79" s="1"/>
  <c r="G70" i="79" a="1"/>
  <c r="G70" i="79" s="1"/>
  <c r="H70" i="79" a="1"/>
  <c r="H70" i="79" s="1"/>
  <c r="I70" i="79" a="1"/>
  <c r="I70" i="79" s="1"/>
  <c r="J70" i="79" a="1"/>
  <c r="J70" i="79" s="1"/>
  <c r="D71" i="79" a="1"/>
  <c r="D71" i="79" s="1"/>
  <c r="E71" i="79" a="1"/>
  <c r="E71" i="79" s="1"/>
  <c r="F71" i="79" a="1"/>
  <c r="F71" i="79" s="1"/>
  <c r="G71" i="79" a="1"/>
  <c r="G71" i="79" s="1"/>
  <c r="H71" i="79" a="1"/>
  <c r="H71" i="79" s="1"/>
  <c r="I71" i="79" a="1"/>
  <c r="I71" i="79" s="1"/>
  <c r="J71" i="79" a="1"/>
  <c r="J71" i="79" s="1"/>
  <c r="D72" i="79" a="1"/>
  <c r="D72" i="79" s="1"/>
  <c r="E72" i="79" a="1"/>
  <c r="E72" i="79" s="1"/>
  <c r="F72" i="79" a="1"/>
  <c r="F72" i="79" s="1"/>
  <c r="G72" i="79" a="1"/>
  <c r="G72" i="79" s="1"/>
  <c r="H72" i="79" a="1"/>
  <c r="H72" i="79" s="1"/>
  <c r="I72" i="79" a="1"/>
  <c r="I72" i="79" s="1"/>
  <c r="J72" i="79" a="1"/>
  <c r="J72" i="79" s="1"/>
  <c r="D73" i="79" a="1"/>
  <c r="D73" i="79" s="1"/>
  <c r="E73" i="79" a="1"/>
  <c r="E73" i="79" s="1"/>
  <c r="F73" i="79" a="1"/>
  <c r="F73" i="79" s="1"/>
  <c r="G73" i="79" a="1"/>
  <c r="G73" i="79" s="1"/>
  <c r="H73" i="79" a="1"/>
  <c r="H73" i="79" s="1"/>
  <c r="I73" i="79" a="1"/>
  <c r="I73" i="79" s="1"/>
  <c r="J73" i="79" a="1"/>
  <c r="J73" i="79" s="1"/>
  <c r="D74" i="79" a="1"/>
  <c r="D74" i="79" s="1"/>
  <c r="E74" i="79" a="1"/>
  <c r="E74" i="79" s="1"/>
  <c r="F74" i="79" a="1"/>
  <c r="F74" i="79" s="1"/>
  <c r="G74" i="79" a="1"/>
  <c r="G74" i="79" s="1"/>
  <c r="H74" i="79" a="1"/>
  <c r="H74" i="79" s="1"/>
  <c r="I74" i="79" a="1"/>
  <c r="I74" i="79" s="1"/>
  <c r="J74" i="79" a="1"/>
  <c r="J74" i="79" s="1"/>
  <c r="D75" i="79" a="1"/>
  <c r="D75" i="79" s="1"/>
  <c r="E75" i="79" a="1"/>
  <c r="E75" i="79" s="1"/>
  <c r="F75" i="79" a="1"/>
  <c r="F75" i="79" s="1"/>
  <c r="G75" i="79" a="1"/>
  <c r="G75" i="79" s="1"/>
  <c r="H75" i="79" a="1"/>
  <c r="H75" i="79" s="1"/>
  <c r="I75" i="79" a="1"/>
  <c r="I75" i="79" s="1"/>
  <c r="J75" i="79" a="1"/>
  <c r="J75" i="79" s="1"/>
  <c r="D76" i="79" a="1"/>
  <c r="D76" i="79" s="1"/>
  <c r="E76" i="79" a="1"/>
  <c r="E76" i="79" s="1"/>
  <c r="F76" i="79" a="1"/>
  <c r="F76" i="79" s="1"/>
  <c r="G76" i="79" a="1"/>
  <c r="G76" i="79" s="1"/>
  <c r="H76" i="79" a="1"/>
  <c r="H76" i="79" s="1"/>
  <c r="I76" i="79" a="1"/>
  <c r="I76" i="79" s="1"/>
  <c r="J76" i="79" a="1"/>
  <c r="J76" i="79" s="1"/>
  <c r="D77" i="79" a="1"/>
  <c r="D77" i="79" s="1"/>
  <c r="E77" i="79" a="1"/>
  <c r="E77" i="79" s="1"/>
  <c r="F77" i="79" a="1"/>
  <c r="F77" i="79" s="1"/>
  <c r="G77" i="79" a="1"/>
  <c r="G77" i="79" s="1"/>
  <c r="H77" i="79" a="1"/>
  <c r="H77" i="79" s="1"/>
  <c r="I77" i="79" a="1"/>
  <c r="I77" i="79" s="1"/>
  <c r="J77" i="79" a="1"/>
  <c r="J77" i="79" s="1"/>
  <c r="D78" i="79" a="1"/>
  <c r="D78" i="79" s="1"/>
  <c r="E78" i="79" a="1"/>
  <c r="E78" i="79" s="1"/>
  <c r="F78" i="79" a="1"/>
  <c r="F78" i="79" s="1"/>
  <c r="G78" i="79" a="1"/>
  <c r="G78" i="79" s="1"/>
  <c r="H78" i="79" a="1"/>
  <c r="H78" i="79" s="1"/>
  <c r="I78" i="79" a="1"/>
  <c r="I78" i="79" s="1"/>
  <c r="J78" i="79" a="1"/>
  <c r="J78" i="79" s="1"/>
  <c r="N93" i="79" a="1"/>
  <c r="N93" i="79" s="1"/>
  <c r="M93" i="79" a="1"/>
  <c r="M93" i="79" s="1"/>
  <c r="L93" i="79" a="1"/>
  <c r="L93" i="79" s="1"/>
  <c r="K93" i="79" a="1"/>
  <c r="K93" i="79" s="1"/>
  <c r="J93" i="79" a="1"/>
  <c r="J93" i="79" s="1"/>
  <c r="I93" i="79" a="1"/>
  <c r="I93" i="79" s="1"/>
  <c r="H93" i="79" a="1"/>
  <c r="H93" i="79" s="1"/>
  <c r="G93" i="79" a="1"/>
  <c r="G93" i="79" s="1"/>
  <c r="F93" i="79" a="1"/>
  <c r="F93" i="79" s="1"/>
  <c r="E93" i="79" a="1"/>
  <c r="E93" i="79" s="1"/>
  <c r="D93" i="79" a="1"/>
  <c r="D93" i="79" s="1"/>
  <c r="N92" i="79" a="1"/>
  <c r="N92" i="79" s="1"/>
  <c r="M92" i="79" a="1"/>
  <c r="M92" i="79" s="1"/>
  <c r="L92" i="79" a="1"/>
  <c r="L92" i="79" s="1"/>
  <c r="K92" i="79" a="1"/>
  <c r="K92" i="79" s="1"/>
  <c r="J92" i="79" a="1"/>
  <c r="J92" i="79" s="1"/>
  <c r="I92" i="79" a="1"/>
  <c r="I92" i="79" s="1"/>
  <c r="H92" i="79" a="1"/>
  <c r="H92" i="79" s="1"/>
  <c r="G92" i="79" a="1"/>
  <c r="G92" i="79" s="1"/>
  <c r="F92" i="79" a="1"/>
  <c r="F92" i="79" s="1"/>
  <c r="E92" i="79" a="1"/>
  <c r="E92" i="79" s="1"/>
  <c r="D92" i="79" a="1"/>
  <c r="D92" i="79" s="1"/>
  <c r="N91" i="79" a="1"/>
  <c r="N91" i="79" s="1"/>
  <c r="M91" i="79" a="1"/>
  <c r="M91" i="79" s="1"/>
  <c r="L91" i="79" a="1"/>
  <c r="L91" i="79" s="1"/>
  <c r="K91" i="79" a="1"/>
  <c r="K91" i="79" s="1"/>
  <c r="J91" i="79" a="1"/>
  <c r="J91" i="79" s="1"/>
  <c r="I91" i="79" a="1"/>
  <c r="I91" i="79" s="1"/>
  <c r="H91" i="79" a="1"/>
  <c r="H91" i="79" s="1"/>
  <c r="G91" i="79" a="1"/>
  <c r="G91" i="79" s="1"/>
  <c r="F91" i="79" a="1"/>
  <c r="F91" i="79" s="1"/>
  <c r="E91" i="79" a="1"/>
  <c r="E91" i="79" s="1"/>
  <c r="D91" i="79" a="1"/>
  <c r="D91" i="79" s="1"/>
  <c r="N90" i="79" a="1"/>
  <c r="N90" i="79" s="1"/>
  <c r="M90" i="79" a="1"/>
  <c r="M90" i="79" s="1"/>
  <c r="L90" i="79" a="1"/>
  <c r="L90" i="79" s="1"/>
  <c r="K90" i="79" a="1"/>
  <c r="K90" i="79" s="1"/>
  <c r="J90" i="79" a="1"/>
  <c r="J90" i="79" s="1"/>
  <c r="I90" i="79" a="1"/>
  <c r="I90" i="79" s="1"/>
  <c r="H90" i="79" a="1"/>
  <c r="H90" i="79" s="1"/>
  <c r="G90" i="79" a="1"/>
  <c r="G90" i="79" s="1"/>
  <c r="F90" i="79" a="1"/>
  <c r="F90" i="79" s="1"/>
  <c r="E90" i="79" a="1"/>
  <c r="E90" i="79" s="1"/>
  <c r="D90" i="79" a="1"/>
  <c r="D90" i="79" s="1"/>
  <c r="N89" i="79" a="1"/>
  <c r="N89" i="79" s="1"/>
  <c r="M89" i="79" a="1"/>
  <c r="M89" i="79" s="1"/>
  <c r="L89" i="79" a="1"/>
  <c r="L89" i="79" s="1"/>
  <c r="K89" i="79" a="1"/>
  <c r="K89" i="79" s="1"/>
  <c r="J89" i="79" a="1"/>
  <c r="J89" i="79" s="1"/>
  <c r="I89" i="79" a="1"/>
  <c r="I89" i="79" s="1"/>
  <c r="H89" i="79" a="1"/>
  <c r="H89" i="79" s="1"/>
  <c r="G89" i="79" a="1"/>
  <c r="G89" i="79" s="1"/>
  <c r="F89" i="79" a="1"/>
  <c r="F89" i="79" s="1"/>
  <c r="E89" i="79" a="1"/>
  <c r="E89" i="79" s="1"/>
  <c r="D89" i="79" a="1"/>
  <c r="D89" i="79" s="1"/>
  <c r="D83" i="79" a="1"/>
  <c r="D83" i="79" s="1"/>
  <c r="D82" i="79" a="1"/>
  <c r="D82" i="79" s="1"/>
  <c r="D81" i="79" a="1"/>
  <c r="D81" i="79" s="1"/>
  <c r="F22" i="79" a="1"/>
  <c r="F22" i="79" s="1"/>
  <c r="E22" i="79" a="1"/>
  <c r="E22" i="79" s="1"/>
  <c r="D22" i="79" a="1"/>
  <c r="D22" i="79" s="1"/>
  <c r="D21" i="79" a="1"/>
  <c r="D21" i="79" s="1"/>
  <c r="D20" i="79" a="1"/>
  <c r="D20" i="79" s="1"/>
  <c r="F17" i="79" a="1"/>
  <c r="F17" i="79" s="1"/>
  <c r="E17" i="79" a="1"/>
  <c r="E17" i="79" s="1"/>
  <c r="H15" i="69" s="1"/>
  <c r="D17" i="79" a="1"/>
  <c r="D17" i="79" s="1"/>
  <c r="D16" i="79" a="1"/>
  <c r="D16" i="79" s="1"/>
  <c r="D15" i="79" a="1"/>
  <c r="D15" i="79" s="1"/>
  <c r="F12" i="79" a="1"/>
  <c r="F12" i="79" s="1"/>
  <c r="E12" i="79" a="1"/>
  <c r="E12" i="79" s="1"/>
  <c r="D12" i="79" a="1"/>
  <c r="D12" i="79" s="1"/>
  <c r="D11" i="79" a="1"/>
  <c r="D11" i="79" s="1"/>
  <c r="D10" i="79" a="1"/>
  <c r="D10" i="79" s="1"/>
  <c r="F7" i="79" a="1"/>
  <c r="F7" i="79" s="1"/>
  <c r="E7" i="79" a="1"/>
  <c r="E7" i="79" s="1"/>
  <c r="I69" i="69" s="1"/>
  <c r="D7" i="79" a="1"/>
  <c r="D7" i="79" s="1"/>
  <c r="D6" i="79" a="1"/>
  <c r="D6" i="79" s="1"/>
  <c r="D5" i="79" a="1"/>
  <c r="D5" i="79" s="1"/>
  <c r="R30" i="76"/>
  <c r="E135" i="76" a="1"/>
  <c r="E7" i="76" a="1"/>
  <c r="E89" i="76" a="1"/>
  <c r="E112" i="76" a="1"/>
  <c r="E155" i="76" a="1"/>
  <c r="E36" i="76" a="1"/>
  <c r="E60" i="76" a="1"/>
  <c r="R45" i="69" l="1"/>
  <c r="I111" i="69"/>
  <c r="I71" i="69"/>
  <c r="R43" i="69"/>
  <c r="I43" i="69"/>
  <c r="F38" i="70"/>
  <c r="E38" i="70"/>
  <c r="G38" i="70"/>
  <c r="F89" i="69" a="1"/>
  <c r="F89" i="69" s="1"/>
  <c r="E33" i="81"/>
  <c r="E42" i="81"/>
  <c r="H129" i="76"/>
  <c r="E32" i="82"/>
  <c r="E195" i="76"/>
  <c r="E30" i="81"/>
  <c r="G17" i="70" a="1"/>
  <c r="G17" i="70" s="1"/>
  <c r="E20" i="70" a="1"/>
  <c r="E20" i="70" s="1"/>
  <c r="E39" i="81"/>
  <c r="E23" i="70" a="1"/>
  <c r="E23" i="70" s="1"/>
  <c r="F23" i="70" a="1"/>
  <c r="F23" i="70" s="1"/>
  <c r="G23" i="70" a="1"/>
  <c r="G23" i="70" s="1"/>
  <c r="E17" i="70" a="1"/>
  <c r="E17" i="70" s="1"/>
  <c r="F17" i="70" a="1"/>
  <c r="F17" i="70" s="1"/>
  <c r="S175" i="76"/>
  <c r="S174" i="76"/>
  <c r="H174" i="76"/>
  <c r="H175" i="76"/>
  <c r="S129" i="76"/>
  <c r="R149" i="76"/>
  <c r="S207" i="76"/>
  <c r="Q212" i="76"/>
  <c r="S210" i="76"/>
  <c r="F212" i="76"/>
  <c r="G8" i="13" s="1"/>
  <c r="S208" i="76"/>
  <c r="H210" i="76"/>
  <c r="H208" i="76"/>
  <c r="H207" i="76"/>
  <c r="H206" i="76"/>
  <c r="S206" i="76"/>
  <c r="E155" i="76"/>
  <c r="E135" i="76"/>
  <c r="E112" i="76"/>
  <c r="H106" i="76"/>
  <c r="E60" i="76"/>
  <c r="E89" i="76"/>
  <c r="G83" i="76"/>
  <c r="G30" i="76"/>
  <c r="G54" i="76"/>
  <c r="E36" i="76"/>
  <c r="E7" i="76"/>
  <c r="G14" i="70" a="1"/>
  <c r="G14" i="70" s="1"/>
  <c r="E15" i="70" a="1"/>
  <c r="E15" i="70" s="1"/>
  <c r="F14" i="70" a="1"/>
  <c r="F14" i="70" s="1"/>
  <c r="E14" i="70" a="1"/>
  <c r="E14" i="70" s="1"/>
  <c r="G22" i="70" a="1"/>
  <c r="G22" i="70" s="1"/>
  <c r="F20" i="70" a="1"/>
  <c r="F20" i="70" s="1"/>
  <c r="G20" i="70" a="1"/>
  <c r="G20" i="70" s="1"/>
  <c r="G15" i="70" a="1"/>
  <c r="G15" i="70" s="1"/>
  <c r="E16" i="70" a="1"/>
  <c r="E16" i="70" s="1"/>
  <c r="F16" i="70" a="1"/>
  <c r="F16" i="70" s="1"/>
  <c r="G16" i="70" a="1"/>
  <c r="G16" i="70" s="1"/>
  <c r="E21" i="70" a="1"/>
  <c r="E21" i="70" s="1"/>
  <c r="E22" i="70" a="1"/>
  <c r="E22" i="70" s="1"/>
  <c r="F22" i="70" a="1"/>
  <c r="F22" i="70" s="1"/>
  <c r="F15" i="70" a="1"/>
  <c r="F15" i="70" s="1"/>
  <c r="F21" i="70" a="1"/>
  <c r="F21" i="70" s="1"/>
  <c r="G21" i="70" a="1"/>
  <c r="G21" i="70" s="1"/>
  <c r="I15" i="76"/>
  <c r="D173" i="69" a="1"/>
  <c r="D173" i="69" s="1"/>
  <c r="F176" i="69" a="1"/>
  <c r="F176" i="69" s="1"/>
  <c r="E131" i="69" a="1"/>
  <c r="D25" i="69" l="1" a="1"/>
  <c r="D25" i="69" s="1"/>
  <c r="D49" i="76" a="1"/>
  <c r="D49" i="76" s="1"/>
  <c r="D20" i="69" a="1"/>
  <c r="D20" i="69" s="1"/>
  <c r="D20" i="76" a="1"/>
  <c r="D20" i="76" s="1"/>
  <c r="O49" i="76" a="1"/>
  <c r="O49" i="76" s="1"/>
  <c r="O25" i="76" a="1"/>
  <c r="O25" i="76" s="1"/>
  <c r="D25" i="76" a="1"/>
  <c r="D25" i="76" s="1"/>
  <c r="M20" i="69" a="1"/>
  <c r="M20" i="69" s="1"/>
  <c r="O20" i="76" a="1"/>
  <c r="O20" i="76" s="1"/>
  <c r="M25" i="69" a="1"/>
  <c r="M25" i="69" s="1"/>
  <c r="E131" i="69"/>
  <c r="D30" i="76" l="1" a="1"/>
  <c r="D30" i="76" s="1"/>
  <c r="D54" i="76" s="1" a="1"/>
  <c r="D54" i="76" s="1"/>
  <c r="D83" i="76" s="1" a="1"/>
  <c r="D83" i="76" s="1"/>
  <c r="E106" i="76" s="1" a="1"/>
  <c r="E106" i="76" s="1"/>
  <c r="E23" i="82" s="1"/>
  <c r="F30" i="76" a="1"/>
  <c r="F30" i="76" s="1"/>
  <c r="F54" i="76" s="1" a="1"/>
  <c r="F54" i="76" s="1"/>
  <c r="F83" i="76" s="1" a="1"/>
  <c r="F83" i="76" s="1"/>
  <c r="G106" i="76" s="1" a="1"/>
  <c r="G106" i="76" s="1"/>
  <c r="G23" i="82" s="1"/>
  <c r="G40" i="82" s="1" a="1"/>
  <c r="G40" i="82" s="1"/>
  <c r="E30" i="76" a="1"/>
  <c r="E30" i="76" s="1"/>
  <c r="E54" i="76" s="1" a="1"/>
  <c r="E54" i="76" s="1"/>
  <c r="E83" i="76" s="1" a="1"/>
  <c r="E83" i="76" s="1"/>
  <c r="F106" i="76" s="1" a="1"/>
  <c r="F106" i="76" s="1"/>
  <c r="F23" i="82" s="1"/>
  <c r="F40" i="82" s="1" a="1"/>
  <c r="F40" i="82" s="1"/>
  <c r="Q30" i="76" a="1"/>
  <c r="Q30" i="76" s="1"/>
  <c r="Q54" i="76" s="1" a="1"/>
  <c r="Q54" i="76" s="1"/>
  <c r="Q83" i="76" s="1" a="1"/>
  <c r="Q83" i="76" s="1"/>
  <c r="P30" i="76" a="1"/>
  <c r="P30" i="76" s="1"/>
  <c r="P54" i="76" s="1" a="1"/>
  <c r="P54" i="76" s="1"/>
  <c r="P83" i="76" s="1" a="1"/>
  <c r="P83" i="76" s="1"/>
  <c r="O30" i="76" a="1"/>
  <c r="O30" i="76" s="1"/>
  <c r="O54" i="76" s="1" a="1"/>
  <c r="O54" i="76" s="1"/>
  <c r="O83" i="76" s="1" a="1"/>
  <c r="O83" i="76" s="1"/>
  <c r="G206" i="76" l="1" a="1"/>
  <c r="G206" i="76" s="1"/>
  <c r="F206" i="76" a="1"/>
  <c r="F206" i="76" s="1"/>
  <c r="P106" i="76" a="1"/>
  <c r="P106" i="76" s="1"/>
  <c r="N23" i="82" s="1"/>
  <c r="Q106" i="76" a="1"/>
  <c r="Q106" i="76" s="1"/>
  <c r="O23" i="82" s="1"/>
  <c r="E206" i="76" a="1"/>
  <c r="E206" i="76" s="1"/>
  <c r="R106" i="76" a="1"/>
  <c r="R106" i="76" s="1"/>
  <c r="P23" i="82" s="1"/>
  <c r="E40" i="82" a="1"/>
  <c r="E40" i="82" s="1"/>
  <c r="E136" i="69" a="1"/>
  <c r="E136" i="69" s="1"/>
  <c r="E135" i="69" a="1"/>
  <c r="E135" i="69" s="1"/>
  <c r="D130" i="69" a="1"/>
  <c r="D130" i="69" s="1"/>
  <c r="D129" i="69" a="1"/>
  <c r="D129" i="69" s="1"/>
  <c r="D103" i="69" a="1"/>
  <c r="D103" i="69" s="1"/>
  <c r="E107" i="69" a="1"/>
  <c r="E107" i="69" s="1"/>
  <c r="E108" i="69" a="1"/>
  <c r="E108" i="69" s="1"/>
  <c r="D102" i="69" a="1"/>
  <c r="D102" i="69" s="1"/>
  <c r="E67" i="69" a="1"/>
  <c r="E67" i="69" s="1"/>
  <c r="E66" i="69" a="1"/>
  <c r="E66" i="69" s="1"/>
  <c r="D62" i="69" a="1"/>
  <c r="D62" i="69" s="1"/>
  <c r="D61" i="69" a="1"/>
  <c r="D61" i="69" s="1"/>
  <c r="E40" i="69" a="1"/>
  <c r="E40" i="69" s="1"/>
  <c r="E39" i="69" a="1"/>
  <c r="E39" i="69" s="1"/>
  <c r="D35" i="69" a="1"/>
  <c r="D35" i="69" s="1"/>
  <c r="D34" i="69" a="1"/>
  <c r="D34" i="69" s="1"/>
  <c r="D13" i="69" a="1"/>
  <c r="D13" i="69" s="1"/>
  <c r="E11" i="69" a="1"/>
  <c r="E11" i="69" s="1"/>
  <c r="E10" i="69" a="1"/>
  <c r="E10" i="69" s="1"/>
  <c r="D6" i="69" a="1"/>
  <c r="D6" i="69" s="1"/>
  <c r="D5" i="69" a="1"/>
  <c r="D5" i="69" s="1"/>
  <c r="E104" i="69" a="1"/>
  <c r="E63" i="69" a="1"/>
  <c r="P206" i="76" l="1" a="1"/>
  <c r="P206" i="76" s="1"/>
  <c r="N40" i="82" a="1"/>
  <c r="N40" i="82" s="1"/>
  <c r="Q206" i="76" a="1"/>
  <c r="Q206" i="76" s="1"/>
  <c r="O40" i="82" a="1"/>
  <c r="O40" i="82" s="1"/>
  <c r="R206" i="76" a="1"/>
  <c r="R206" i="76" s="1"/>
  <c r="P40" i="82" a="1"/>
  <c r="P40" i="82" s="1"/>
  <c r="G30" i="69"/>
  <c r="P30" i="69"/>
  <c r="I45" i="69"/>
  <c r="R164" i="69"/>
  <c r="H173" i="69"/>
  <c r="Q173" i="69"/>
  <c r="I164" i="69"/>
  <c r="O171" i="69"/>
  <c r="F171" i="69"/>
  <c r="G7" i="13" s="1"/>
  <c r="H125" i="69"/>
  <c r="Q125" i="69"/>
  <c r="H96" i="69"/>
  <c r="Q96" i="69"/>
  <c r="H57" i="69"/>
  <c r="Q57" i="69"/>
  <c r="E63" i="69"/>
  <c r="E104" i="69"/>
  <c r="E7" i="69" a="1"/>
  <c r="E36" i="69" a="1"/>
  <c r="D30" i="69" l="1" a="1"/>
  <c r="D30" i="69" s="1"/>
  <c r="M30" i="69" a="1"/>
  <c r="M30" i="69" s="1"/>
  <c r="O30" i="69" a="1"/>
  <c r="O30" i="69" s="1"/>
  <c r="N30" i="69" a="1"/>
  <c r="N30" i="69" s="1"/>
  <c r="E30" i="69" a="1"/>
  <c r="E30" i="69" s="1"/>
  <c r="F30" i="69" a="1"/>
  <c r="F30" i="69" s="1"/>
  <c r="I113" i="69"/>
  <c r="D58" i="69"/>
  <c r="E36" i="69"/>
  <c r="E7" i="69"/>
  <c r="O57" i="69" l="1" a="1"/>
  <c r="O57" i="69" s="1"/>
  <c r="P150" i="69" s="1"/>
  <c r="P164" i="69" s="1" a="1"/>
  <c r="P164" i="69" s="1"/>
  <c r="P57" i="69" a="1"/>
  <c r="P57" i="69" s="1"/>
  <c r="Q150" i="69" s="1"/>
  <c r="Q164" i="69" s="1" a="1"/>
  <c r="Q164" i="69" s="1"/>
  <c r="N57" i="69" a="1"/>
  <c r="N57" i="69" s="1"/>
  <c r="O150" i="69" s="1"/>
  <c r="O164" i="69" s="1" a="1"/>
  <c r="O164" i="69" s="1"/>
  <c r="G57" i="69" a="1"/>
  <c r="G57" i="69" s="1"/>
  <c r="H150" i="69" s="1"/>
  <c r="H164" i="69" s="1" a="1"/>
  <c r="H164" i="69" s="1"/>
  <c r="E57" i="69" a="1"/>
  <c r="E57" i="69" s="1"/>
  <c r="F57" i="69" a="1"/>
  <c r="F57" i="69" s="1"/>
  <c r="G150" i="69" s="1"/>
  <c r="G164" i="69" s="1" a="1"/>
  <c r="G164" i="69" s="1"/>
  <c r="F150" i="69" l="1"/>
  <c r="F164" i="69" s="1" a="1"/>
  <c r="F164" i="69" s="1"/>
  <c r="F27" i="43" l="1" a="1"/>
  <c r="F27" i="43" s="1"/>
  <c r="E27" i="43" a="1"/>
  <c r="E27" i="43" s="1"/>
  <c r="D27" i="43" a="1"/>
  <c r="D27" i="43" s="1"/>
  <c r="F26" i="43" a="1"/>
  <c r="F26" i="43" s="1"/>
  <c r="E31" i="79" s="1"/>
  <c r="E26" i="43" a="1"/>
  <c r="E26" i="43" s="1"/>
  <c r="D31" i="79" s="1"/>
  <c r="D26" i="43" a="1"/>
  <c r="D26" i="43" s="1"/>
  <c r="F25" i="43" a="1"/>
  <c r="F25" i="43" s="1"/>
  <c r="E25" i="43" a="1"/>
  <c r="E25" i="43" s="1"/>
  <c r="D25" i="43" a="1"/>
  <c r="D25" i="43" s="1"/>
  <c r="F24" i="43" a="1"/>
  <c r="F24" i="43" s="1"/>
  <c r="E24" i="43" a="1"/>
  <c r="E24" i="43" s="1"/>
  <c r="D24" i="43" a="1"/>
  <c r="D24" i="43" s="1"/>
  <c r="F23" i="43" a="1"/>
  <c r="F23" i="43" s="1"/>
  <c r="E23" i="43" a="1"/>
  <c r="E23" i="43" s="1"/>
  <c r="D23" i="43" a="1"/>
  <c r="D23" i="43" s="1"/>
  <c r="F22" i="43" a="1"/>
  <c r="F22" i="43" s="1"/>
  <c r="E22" i="43" a="1"/>
  <c r="E22" i="43" s="1"/>
  <c r="D22" i="43" a="1"/>
  <c r="D22" i="43" s="1"/>
  <c r="F21" i="43" a="1"/>
  <c r="F21" i="43" s="1"/>
  <c r="E21" i="43" a="1"/>
  <c r="E21" i="43" s="1"/>
  <c r="D21" i="43" a="1"/>
  <c r="D21" i="43" s="1"/>
  <c r="F20" i="43" a="1"/>
  <c r="F20" i="43" s="1"/>
  <c r="E20" i="43" a="1"/>
  <c r="E20" i="43" s="1"/>
  <c r="D20" i="43" a="1"/>
  <c r="D20" i="43" s="1"/>
  <c r="F19" i="43" a="1"/>
  <c r="F19" i="43" s="1"/>
  <c r="E19" i="43" a="1"/>
  <c r="E19" i="43" s="1"/>
  <c r="D19" i="43" a="1"/>
  <c r="D19" i="43" s="1"/>
  <c r="F18" i="43" a="1"/>
  <c r="F18" i="43" s="1"/>
  <c r="E18" i="43" a="1"/>
  <c r="E18" i="43" s="1"/>
  <c r="D18" i="43" a="1"/>
  <c r="D18" i="43" s="1"/>
  <c r="F17" i="43" a="1"/>
  <c r="F17" i="43" s="1"/>
  <c r="E30" i="79" s="1"/>
  <c r="E17" i="43" a="1"/>
  <c r="E17" i="43" s="1"/>
  <c r="D17" i="43" a="1"/>
  <c r="D17" i="43" s="1"/>
  <c r="F16" i="43" a="1"/>
  <c r="F16" i="43" s="1"/>
  <c r="E28" i="79" s="1"/>
  <c r="E16" i="43" a="1"/>
  <c r="E16" i="43" s="1"/>
  <c r="D28" i="79" s="1"/>
  <c r="D16" i="43" a="1"/>
  <c r="D16" i="43" s="1"/>
  <c r="F15" i="43" a="1"/>
  <c r="F15" i="43" s="1"/>
  <c r="E29" i="79" s="1"/>
  <c r="E15" i="43" a="1"/>
  <c r="E15" i="43" s="1"/>
  <c r="D15" i="43" a="1"/>
  <c r="D15" i="43" s="1"/>
  <c r="F14" i="43" a="1"/>
  <c r="F14" i="43" s="1"/>
  <c r="E14" i="43" a="1"/>
  <c r="E14" i="43" s="1"/>
  <c r="D14" i="43" a="1"/>
  <c r="D14" i="43" s="1"/>
  <c r="F13" i="43" a="1"/>
  <c r="F13" i="43" s="1"/>
  <c r="E13" i="43" a="1"/>
  <c r="E13" i="43" s="1"/>
  <c r="D13" i="43" a="1"/>
  <c r="D13" i="43" s="1"/>
  <c r="F12" i="43" a="1"/>
  <c r="F12" i="43" s="1"/>
  <c r="E12" i="43" a="1"/>
  <c r="E12" i="43" s="1"/>
  <c r="D12" i="43" a="1"/>
  <c r="D12" i="43" s="1"/>
  <c r="F11" i="43" a="1"/>
  <c r="F11" i="43" s="1"/>
  <c r="E11" i="43" a="1"/>
  <c r="E11" i="43" s="1"/>
  <c r="D11" i="43" a="1"/>
  <c r="D11" i="43" s="1"/>
  <c r="F10" i="43" a="1"/>
  <c r="F10" i="43" s="1"/>
  <c r="E32" i="79" s="1"/>
  <c r="E10" i="43" a="1"/>
  <c r="E10" i="43" s="1"/>
  <c r="D32" i="79" s="1"/>
  <c r="D10" i="43" a="1"/>
  <c r="D10" i="43" s="1"/>
  <c r="D8" i="43" a="1"/>
  <c r="D8" i="43" s="1"/>
  <c r="D7" i="43" a="1"/>
  <c r="D7" i="43" s="1"/>
  <c r="D6" i="43" a="1"/>
  <c r="D6" i="43" s="1"/>
  <c r="D29" i="79" l="1"/>
  <c r="D32" i="70" s="1"/>
  <c r="D30" i="79"/>
  <c r="D33" i="70" s="1"/>
  <c r="D38" i="70"/>
  <c r="D41" i="81" l="1"/>
  <c r="D97" i="69"/>
  <c r="D57" i="81"/>
  <c r="M25" i="82"/>
  <c r="D197" i="76"/>
  <c r="E197" i="76" s="1"/>
  <c r="E152" i="69"/>
  <c r="N57" i="81"/>
  <c r="N152" i="69"/>
  <c r="D99" i="81"/>
  <c r="D32" i="81"/>
  <c r="E32" i="81" s="1"/>
  <c r="M42" i="82"/>
  <c r="D42" i="82"/>
  <c r="N166" i="69"/>
  <c r="N88" i="69"/>
  <c r="D25" i="82"/>
  <c r="E166" i="69"/>
  <c r="O175" i="76"/>
  <c r="E88" i="69"/>
  <c r="F88" i="69" s="1" a="1"/>
  <c r="F88" i="69" s="1"/>
  <c r="N107" i="81"/>
  <c r="D175" i="76"/>
  <c r="D107" i="81"/>
  <c r="N83" i="81"/>
  <c r="D49" i="81"/>
  <c r="O208" i="76"/>
  <c r="D83" i="81"/>
  <c r="N23" i="81"/>
  <c r="D208" i="76"/>
  <c r="D23" i="81"/>
  <c r="D34" i="82"/>
  <c r="M97" i="69"/>
  <c r="D22" i="81"/>
  <c r="D31" i="81"/>
  <c r="D40" i="81"/>
  <c r="M96" i="69"/>
  <c r="M24" i="82"/>
  <c r="D96" i="69"/>
  <c r="D196" i="76"/>
  <c r="N151" i="69"/>
  <c r="D98" i="81"/>
  <c r="E151" i="69"/>
  <c r="D24" i="82"/>
  <c r="N56" i="81"/>
  <c r="D56" i="81"/>
  <c r="M41" i="82"/>
  <c r="D41" i="82"/>
  <c r="N165" i="69"/>
  <c r="E165" i="69"/>
  <c r="N87" i="69"/>
  <c r="O174" i="76"/>
  <c r="D167" i="76" a="1"/>
  <c r="D167" i="76" s="1"/>
  <c r="N106" i="81"/>
  <c r="D48" i="81"/>
  <c r="D174" i="76"/>
  <c r="E87" i="69"/>
  <c r="D106" i="81"/>
  <c r="N82" i="81"/>
  <c r="O207" i="76"/>
  <c r="E80" i="69" a="1"/>
  <c r="E80" i="69" s="1"/>
  <c r="D82" i="81"/>
  <c r="N22" i="81"/>
  <c r="D33" i="82"/>
  <c r="D207" i="76"/>
  <c r="D101" i="81"/>
  <c r="N59" i="81"/>
  <c r="N109" i="81"/>
  <c r="D59" i="81"/>
  <c r="M44" i="82"/>
  <c r="M27" i="82"/>
  <c r="D34" i="81"/>
  <c r="E34" i="81" s="1"/>
  <c r="D44" i="82"/>
  <c r="D198" i="76"/>
  <c r="E198" i="76" s="1"/>
  <c r="N168" i="69"/>
  <c r="E168" i="69"/>
  <c r="D109" i="81"/>
  <c r="N85" i="81"/>
  <c r="O210" i="76"/>
  <c r="D85" i="81"/>
  <c r="N25" i="81"/>
  <c r="D210" i="76"/>
  <c r="D51" i="81"/>
  <c r="D25" i="81"/>
  <c r="M125" i="69"/>
  <c r="D27" i="82"/>
  <c r="D125" i="69"/>
  <c r="D120" i="69" a="1"/>
  <c r="D35" i="82"/>
  <c r="D124" i="76" a="1"/>
  <c r="D43" i="81"/>
  <c r="O129" i="76"/>
  <c r="N154" i="69"/>
  <c r="D129" i="76"/>
  <c r="E154" i="69"/>
  <c r="E33" i="82"/>
  <c r="E35" i="82"/>
  <c r="E34" i="82"/>
  <c r="E41" i="81"/>
  <c r="E40" i="81"/>
  <c r="E43" i="81"/>
  <c r="N98" i="69" l="1" a="1"/>
  <c r="N98" i="69" s="1"/>
  <c r="P98" i="69" a="1"/>
  <c r="P98" i="69" s="1"/>
  <c r="D124" i="76"/>
  <c r="G129" i="76" a="1"/>
  <c r="G129" i="76" s="1"/>
  <c r="G210" i="76" s="1" a="1"/>
  <c r="G210" i="76" s="1"/>
  <c r="R129" i="76" a="1"/>
  <c r="R129" i="76" s="1"/>
  <c r="R210" i="76" s="1" a="1"/>
  <c r="R210" i="76" s="1"/>
  <c r="F129" i="76" a="1"/>
  <c r="F129" i="76" s="1"/>
  <c r="Q129" i="76" a="1"/>
  <c r="Q129" i="76" s="1"/>
  <c r="Q210" i="76" s="1" a="1"/>
  <c r="Q210" i="76" s="1"/>
  <c r="E129" i="76" a="1"/>
  <c r="E129" i="76" s="1"/>
  <c r="P129" i="76" a="1"/>
  <c r="P129" i="76" s="1"/>
  <c r="P210" i="76" s="1" a="1"/>
  <c r="P210" i="76" s="1"/>
  <c r="O98" i="69" a="1"/>
  <c r="O98" i="69" s="1"/>
  <c r="D120" i="69"/>
  <c r="G125" i="69" a="1"/>
  <c r="G125" i="69" s="1"/>
  <c r="H154" i="69" s="1"/>
  <c r="H168" i="69" s="1" a="1"/>
  <c r="H168" i="69" s="1"/>
  <c r="E125" i="69" a="1"/>
  <c r="E125" i="69" s="1"/>
  <c r="F154" i="69" s="1"/>
  <c r="F168" i="69" s="1" a="1"/>
  <c r="F168" i="69" s="1"/>
  <c r="F125" i="69" a="1"/>
  <c r="F125" i="69" s="1"/>
  <c r="G154" i="69" s="1"/>
  <c r="G168" i="69" s="1" a="1"/>
  <c r="G168" i="69" s="1"/>
  <c r="F87" i="69" a="1"/>
  <c r="F87" i="69" s="1"/>
  <c r="G96" i="69" s="1" a="1"/>
  <c r="G96" i="69" s="1"/>
  <c r="H151" i="69" s="1"/>
  <c r="H165" i="69" s="1" a="1"/>
  <c r="H165" i="69" s="1"/>
  <c r="E98" i="69" a="1"/>
  <c r="E98" i="69" s="1"/>
  <c r="G98" i="69" a="1"/>
  <c r="G98" i="69" s="1"/>
  <c r="F98" i="69" a="1"/>
  <c r="F98" i="69" s="1"/>
  <c r="E97" i="69" a="1"/>
  <c r="E97" i="69" s="1"/>
  <c r="F152" i="69" s="1"/>
  <c r="F166" i="69" s="1" a="1"/>
  <c r="F166" i="69" s="1"/>
  <c r="G97" i="69" a="1"/>
  <c r="G97" i="69" s="1"/>
  <c r="H152" i="69" s="1"/>
  <c r="H166" i="69" s="1" a="1"/>
  <c r="H166" i="69" s="1"/>
  <c r="F97" i="69" a="1"/>
  <c r="F97" i="69" s="1"/>
  <c r="G152" i="69" s="1"/>
  <c r="G166" i="69" s="1" a="1"/>
  <c r="G166" i="69" s="1"/>
  <c r="P97" i="69" a="1"/>
  <c r="P97" i="69" s="1"/>
  <c r="Q152" i="69" s="1"/>
  <c r="Q166" i="69" s="1" a="1"/>
  <c r="Q166" i="69" s="1"/>
  <c r="O97" i="69" a="1"/>
  <c r="O97" i="69" s="1"/>
  <c r="P152" i="69" s="1"/>
  <c r="P166" i="69" s="1" a="1"/>
  <c r="P166" i="69" s="1"/>
  <c r="N97" i="69" a="1"/>
  <c r="N97" i="69" s="1"/>
  <c r="O152" i="69" s="1"/>
  <c r="O166" i="69" s="1" a="1"/>
  <c r="O166" i="69" s="1"/>
  <c r="N125" i="69" a="1"/>
  <c r="N125" i="69" s="1"/>
  <c r="O154" i="69" s="1"/>
  <c r="O168" i="69" s="1" a="1"/>
  <c r="O168" i="69" s="1"/>
  <c r="O125" i="69" a="1"/>
  <c r="O125" i="69" s="1"/>
  <c r="P154" i="69" s="1"/>
  <c r="P168" i="69" s="1" a="1"/>
  <c r="P168" i="69" s="1"/>
  <c r="P125" i="69" a="1"/>
  <c r="P125" i="69" s="1"/>
  <c r="Q154" i="69" s="1"/>
  <c r="Q168" i="69" s="1" a="1"/>
  <c r="Q168" i="69" s="1"/>
  <c r="O96" i="69" a="1"/>
  <c r="O96" i="69" s="1"/>
  <c r="P151" i="69" s="1"/>
  <c r="P165" i="69" s="1" a="1"/>
  <c r="P165" i="69" s="1"/>
  <c r="N96" i="69" a="1"/>
  <c r="N96" i="69" s="1"/>
  <c r="O151" i="69" s="1"/>
  <c r="O165" i="69" s="1" a="1"/>
  <c r="O165" i="69" s="1"/>
  <c r="P96" i="69" a="1"/>
  <c r="P96" i="69" s="1"/>
  <c r="Q151" i="69" s="1"/>
  <c r="Q165" i="69" s="1" a="1"/>
  <c r="Q165" i="69" s="1"/>
  <c r="E31" i="81"/>
  <c r="E196" i="76"/>
  <c r="O149" i="76" l="1" a="1"/>
  <c r="O149" i="76" s="1"/>
  <c r="O25" i="81"/>
  <c r="N27" i="82"/>
  <c r="N44" i="82" s="1" a="1"/>
  <c r="N44" i="82" s="1"/>
  <c r="E27" i="82"/>
  <c r="E44" i="82" s="1" a="1"/>
  <c r="E44" i="82" s="1"/>
  <c r="E25" i="81"/>
  <c r="D149" i="76" a="1"/>
  <c r="D149" i="76" s="1"/>
  <c r="F27" i="82"/>
  <c r="F44" i="82" s="1" a="1"/>
  <c r="F44" i="82" s="1"/>
  <c r="E149" i="76" a="1"/>
  <c r="E149" i="76" s="1"/>
  <c r="F25" i="81"/>
  <c r="E210" i="76" a="1"/>
  <c r="E210" i="76" s="1"/>
  <c r="Q149" i="76" a="1"/>
  <c r="Q149" i="76" s="1"/>
  <c r="Q25" i="81"/>
  <c r="P27" i="82"/>
  <c r="P44" i="82" s="1" a="1"/>
  <c r="P44" i="82" s="1"/>
  <c r="F210" i="76" a="1"/>
  <c r="F210" i="76" s="1"/>
  <c r="G27" i="82"/>
  <c r="G44" i="82" s="1" a="1"/>
  <c r="G44" i="82" s="1"/>
  <c r="F149" i="76" a="1"/>
  <c r="F149" i="76" s="1"/>
  <c r="G25" i="81"/>
  <c r="O27" i="82"/>
  <c r="O44" i="82" s="1" a="1"/>
  <c r="O44" i="82" s="1"/>
  <c r="P149" i="76" a="1"/>
  <c r="P149" i="76" s="1"/>
  <c r="P25" i="81"/>
  <c r="F96" i="69" a="1"/>
  <c r="F96" i="69" s="1"/>
  <c r="G151" i="69" s="1"/>
  <c r="G165" i="69" s="1" a="1"/>
  <c r="G165" i="69" s="1"/>
  <c r="E96" i="69" a="1"/>
  <c r="E96" i="69" s="1"/>
  <c r="F151" i="69" s="1"/>
  <c r="F165" i="69" s="1" a="1"/>
  <c r="F165" i="69" s="1"/>
  <c r="G153" i="69"/>
  <c r="G167" i="69" s="1" a="1"/>
  <c r="G167" i="69" s="1"/>
  <c r="H153" i="69"/>
  <c r="H167" i="69" s="1" a="1"/>
  <c r="H167" i="69" s="1"/>
  <c r="F153" i="69"/>
  <c r="F167" i="69" s="1" a="1"/>
  <c r="F167" i="69" s="1"/>
  <c r="O153" i="69"/>
  <c r="O167" i="69" s="1" a="1"/>
  <c r="O167" i="69" s="1"/>
  <c r="Q153" i="69"/>
  <c r="Q167" i="69" s="1" a="1"/>
  <c r="Q167" i="69" s="1"/>
  <c r="P153" i="69"/>
  <c r="P167" i="69" s="1" a="1"/>
  <c r="P167" i="69" s="1"/>
  <c r="Q85" i="81" l="1" a="1"/>
  <c r="Q85" i="81" s="1"/>
  <c r="Q109" i="81" a="1"/>
  <c r="Q109" i="81" s="1"/>
  <c r="Q59" i="81" a="1"/>
  <c r="Q59" i="81" s="1"/>
  <c r="F109" i="81" a="1"/>
  <c r="F109" i="81" s="1"/>
  <c r="F85" i="81" a="1"/>
  <c r="F85" i="81" s="1"/>
  <c r="F59" i="81" a="1"/>
  <c r="F59" i="81" s="1"/>
  <c r="F176" i="76" a="1"/>
  <c r="F176" i="76" s="1"/>
  <c r="F24" i="81" s="1"/>
  <c r="F174" i="76" a="1"/>
  <c r="F174" i="76" s="1"/>
  <c r="F175" i="76" a="1"/>
  <c r="F175" i="76" s="1"/>
  <c r="R176" i="76" a="1"/>
  <c r="R176" i="76" s="1"/>
  <c r="Q24" i="81" s="1"/>
  <c r="R175" i="76" a="1"/>
  <c r="R175" i="76" s="1"/>
  <c r="R174" i="76" a="1"/>
  <c r="R174" i="76" s="1"/>
  <c r="Q176" i="76" a="1"/>
  <c r="Q176" i="76" s="1"/>
  <c r="P24" i="81" s="1"/>
  <c r="Q175" i="76" a="1"/>
  <c r="Q175" i="76" s="1"/>
  <c r="Q174" i="76" a="1"/>
  <c r="Q174" i="76" s="1"/>
  <c r="E85" i="81" a="1"/>
  <c r="E85" i="81" s="1"/>
  <c r="E59" i="81" a="1"/>
  <c r="E59" i="81" s="1"/>
  <c r="E109" i="81" a="1"/>
  <c r="E109" i="81" s="1"/>
  <c r="E176" i="76" a="1"/>
  <c r="E176" i="76" s="1"/>
  <c r="E24" i="81" s="1"/>
  <c r="E174" i="76" a="1"/>
  <c r="E174" i="76" s="1"/>
  <c r="E175" i="76" a="1"/>
  <c r="E175" i="76" s="1"/>
  <c r="P109" i="81" a="1"/>
  <c r="P109" i="81" s="1"/>
  <c r="P85" i="81" a="1"/>
  <c r="P85" i="81" s="1"/>
  <c r="P59" i="81" a="1"/>
  <c r="P59" i="81" s="1"/>
  <c r="G85" i="81" a="1"/>
  <c r="G85" i="81" s="1"/>
  <c r="G59" i="81" a="1"/>
  <c r="G59" i="81" s="1"/>
  <c r="G109" i="81" a="1"/>
  <c r="G109" i="81" s="1"/>
  <c r="G176" i="76" a="1"/>
  <c r="G176" i="76" s="1"/>
  <c r="G24" i="81" s="1"/>
  <c r="G174" i="76" a="1"/>
  <c r="G174" i="76" s="1"/>
  <c r="G175" i="76" a="1"/>
  <c r="G175" i="76" s="1"/>
  <c r="O109" i="81" a="1"/>
  <c r="O109" i="81" s="1"/>
  <c r="O85" i="81" a="1"/>
  <c r="O85" i="81" s="1"/>
  <c r="O59" i="81" a="1"/>
  <c r="O59" i="81" s="1"/>
  <c r="P176" i="76" a="1"/>
  <c r="P176" i="76" s="1"/>
  <c r="O24" i="81" s="1"/>
  <c r="P175" i="76" a="1"/>
  <c r="P175" i="76" s="1"/>
  <c r="P174" i="76" a="1"/>
  <c r="P174" i="76" s="1"/>
  <c r="N171" i="69"/>
  <c r="P173" i="69" s="1"/>
  <c r="E171" i="69"/>
  <c r="G173" i="69" s="1"/>
  <c r="P84" i="81" l="1" a="1"/>
  <c r="P84" i="81" s="1"/>
  <c r="P108" i="81" a="1"/>
  <c r="P108" i="81" s="1"/>
  <c r="P58" i="81" a="1"/>
  <c r="P58" i="81" s="1"/>
  <c r="Q22" i="81"/>
  <c r="P24" i="82"/>
  <c r="P41" i="82" s="1" a="1"/>
  <c r="P41" i="82" s="1"/>
  <c r="R207" i="76" a="1"/>
  <c r="R207" i="76" s="1"/>
  <c r="Q84" i="81" a="1"/>
  <c r="Q84" i="81" s="1"/>
  <c r="Q108" i="81" a="1"/>
  <c r="Q108" i="81" s="1"/>
  <c r="Q58" i="81" a="1"/>
  <c r="Q58" i="81" s="1"/>
  <c r="F23" i="81"/>
  <c r="F25" i="82"/>
  <c r="F42" i="82" s="1" a="1"/>
  <c r="F42" i="82" s="1"/>
  <c r="F208" i="76" a="1"/>
  <c r="F208" i="76" s="1"/>
  <c r="O22" i="81"/>
  <c r="N24" i="82"/>
  <c r="N41" i="82" s="1" a="1"/>
  <c r="N41" i="82" s="1"/>
  <c r="P207" i="76" a="1"/>
  <c r="P207" i="76" s="1"/>
  <c r="F24" i="82"/>
  <c r="F41" i="82" s="1" a="1"/>
  <c r="F41" i="82" s="1"/>
  <c r="F22" i="81"/>
  <c r="F207" i="76" a="1"/>
  <c r="F207" i="76" s="1"/>
  <c r="P23" i="81"/>
  <c r="O25" i="82"/>
  <c r="O42" i="82" s="1" a="1"/>
  <c r="O42" i="82" s="1"/>
  <c r="Q208" i="76" a="1"/>
  <c r="Q208" i="76" s="1"/>
  <c r="O84" i="81" a="1"/>
  <c r="O84" i="81" s="1"/>
  <c r="O108" i="81" a="1"/>
  <c r="O108" i="81" s="1"/>
  <c r="O58" i="81" a="1"/>
  <c r="O58" i="81" s="1"/>
  <c r="E58" i="81" a="1"/>
  <c r="E58" i="81" s="1"/>
  <c r="E84" i="81" a="1"/>
  <c r="E84" i="81" s="1"/>
  <c r="E108" i="81" a="1"/>
  <c r="E108" i="81" s="1"/>
  <c r="E25" i="82"/>
  <c r="E42" i="82" s="1" a="1"/>
  <c r="E42" i="82" s="1"/>
  <c r="E23" i="81"/>
  <c r="E208" i="76" a="1"/>
  <c r="E208" i="76" s="1"/>
  <c r="G108" i="81" a="1"/>
  <c r="G108" i="81" s="1"/>
  <c r="G58" i="81" a="1"/>
  <c r="G58" i="81" s="1"/>
  <c r="G84" i="81" a="1"/>
  <c r="G84" i="81" s="1"/>
  <c r="O23" i="81"/>
  <c r="N25" i="82"/>
  <c r="N42" i="82" s="1" a="1"/>
  <c r="N42" i="82" s="1"/>
  <c r="P208" i="76" a="1"/>
  <c r="P208" i="76" s="1"/>
  <c r="E24" i="82"/>
  <c r="E41" i="82" s="1" a="1"/>
  <c r="E41" i="82" s="1"/>
  <c r="E22" i="81"/>
  <c r="E207" i="76" a="1"/>
  <c r="E207" i="76" s="1"/>
  <c r="G25" i="82"/>
  <c r="G42" i="82" s="1" a="1"/>
  <c r="G42" i="82" s="1"/>
  <c r="G23" i="81"/>
  <c r="G208" i="76" a="1"/>
  <c r="G208" i="76" s="1"/>
  <c r="P25" i="82"/>
  <c r="P42" i="82" s="1" a="1"/>
  <c r="P42" i="82" s="1"/>
  <c r="Q23" i="81"/>
  <c r="R208" i="76" a="1"/>
  <c r="R208" i="76" s="1"/>
  <c r="F84" i="81" a="1"/>
  <c r="F84" i="81" s="1"/>
  <c r="F108" i="81" a="1"/>
  <c r="F108" i="81" s="1"/>
  <c r="F58" i="81" a="1"/>
  <c r="F58" i="81" s="1"/>
  <c r="G24" i="82"/>
  <c r="G41" i="82" s="1" a="1"/>
  <c r="G41" i="82" s="1"/>
  <c r="G22" i="81"/>
  <c r="G207" i="76" a="1"/>
  <c r="G207" i="76" s="1"/>
  <c r="P22" i="81"/>
  <c r="O24" i="82"/>
  <c r="O41" i="82" s="1" a="1"/>
  <c r="O41" i="82" s="1"/>
  <c r="Q207" i="76" a="1"/>
  <c r="Q207" i="76" s="1"/>
  <c r="E176" i="69" a="1"/>
  <c r="E176" i="69" s="1"/>
  <c r="H7" i="13" s="1"/>
  <c r="E7" i="13"/>
  <c r="N176" i="69" a="1"/>
  <c r="N176" i="69" s="1"/>
  <c r="I7" i="13" s="1"/>
  <c r="F7" i="13"/>
  <c r="E212" i="76" l="1"/>
  <c r="N46" i="82"/>
  <c r="R58" i="82" s="1"/>
  <c r="N65" i="82" s="1" a="1"/>
  <c r="N65" i="82" s="1"/>
  <c r="P67" i="82" s="1"/>
  <c r="G57" i="81" a="1"/>
  <c r="G57" i="81" s="1"/>
  <c r="G83" i="81" a="1"/>
  <c r="G83" i="81" s="1"/>
  <c r="G107" i="81" a="1"/>
  <c r="G107" i="81" s="1"/>
  <c r="O56" i="81" a="1"/>
  <c r="O56" i="81" s="1"/>
  <c r="O106" i="81" a="1"/>
  <c r="O106" i="81" s="1"/>
  <c r="O82" i="81" a="1"/>
  <c r="O82" i="81" s="1"/>
  <c r="E46" i="82"/>
  <c r="I58" i="82" s="1"/>
  <c r="E65" i="82" s="1" a="1"/>
  <c r="E65" i="82" s="1"/>
  <c r="G67" i="82" s="1"/>
  <c r="Q82" i="81" a="1"/>
  <c r="Q82" i="81" s="1"/>
  <c r="Q56" i="81" a="1"/>
  <c r="Q56" i="81" s="1"/>
  <c r="Q106" i="81" a="1"/>
  <c r="Q106" i="81" s="1"/>
  <c r="P56" i="81" a="1"/>
  <c r="P56" i="81" s="1"/>
  <c r="P82" i="81" a="1"/>
  <c r="P82" i="81" s="1"/>
  <c r="P106" i="81" a="1"/>
  <c r="P106" i="81" s="1"/>
  <c r="E56" i="81" a="1"/>
  <c r="E56" i="81" s="1"/>
  <c r="E106" i="81" a="1"/>
  <c r="E106" i="81" s="1"/>
  <c r="E82" i="81" a="1"/>
  <c r="E82" i="81" s="1"/>
  <c r="P83" i="81" a="1"/>
  <c r="P83" i="81" s="1"/>
  <c r="P57" i="81" a="1"/>
  <c r="P57" i="81" s="1"/>
  <c r="P107" i="81" a="1"/>
  <c r="P107" i="81" s="1"/>
  <c r="F56" i="81" a="1"/>
  <c r="F56" i="81" s="1"/>
  <c r="F106" i="81" a="1"/>
  <c r="F106" i="81" s="1"/>
  <c r="F82" i="81" a="1"/>
  <c r="F82" i="81" s="1"/>
  <c r="O57" i="81" a="1"/>
  <c r="O57" i="81" s="1"/>
  <c r="O83" i="81" a="1"/>
  <c r="O83" i="81" s="1"/>
  <c r="O107" i="81" a="1"/>
  <c r="O107" i="81" s="1"/>
  <c r="Q83" i="81" a="1"/>
  <c r="Q83" i="81" s="1"/>
  <c r="Q57" i="81" a="1"/>
  <c r="Q57" i="81" s="1"/>
  <c r="Q107" i="81" a="1"/>
  <c r="Q107" i="81" s="1"/>
  <c r="F57" i="81" a="1"/>
  <c r="F57" i="81" s="1"/>
  <c r="F107" i="81" a="1"/>
  <c r="F107" i="81" s="1"/>
  <c r="F83" i="81" a="1"/>
  <c r="F83" i="81" s="1"/>
  <c r="G106" i="81" a="1"/>
  <c r="G106" i="81" s="1"/>
  <c r="G82" i="81" a="1"/>
  <c r="G82" i="81" s="1"/>
  <c r="G56" i="81" a="1"/>
  <c r="G56" i="81" s="1"/>
  <c r="E57" i="81" a="1"/>
  <c r="E57" i="81" s="1"/>
  <c r="E107" i="81" a="1"/>
  <c r="E107" i="81" s="1"/>
  <c r="E83" i="81" a="1"/>
  <c r="E83" i="81" s="1"/>
  <c r="P212" i="76"/>
  <c r="R214" i="76" s="1"/>
  <c r="E8" i="13" l="1"/>
  <c r="G214" i="76"/>
  <c r="E217" i="76" s="1" a="1"/>
  <c r="E217" i="76" s="1"/>
  <c r="H8" i="13" s="1"/>
  <c r="F8" i="13"/>
  <c r="P217" i="76" a="1"/>
  <c r="P217" i="76" s="1"/>
  <c r="I8" i="13" s="1"/>
  <c r="E9" i="13"/>
  <c r="E70" i="82" a="1"/>
  <c r="E70" i="82" s="1"/>
  <c r="H9" i="13" s="1"/>
  <c r="E87" i="81"/>
  <c r="E18" i="13" s="1"/>
  <c r="O61" i="81"/>
  <c r="F16" i="13" s="1"/>
  <c r="E111" i="81"/>
  <c r="E17" i="13" s="1"/>
  <c r="O87" i="81"/>
  <c r="F17" i="13" s="1"/>
  <c r="O111" i="81"/>
  <c r="F18" i="13" s="1"/>
  <c r="E61" i="81"/>
  <c r="E16" i="13" s="1"/>
  <c r="F9" i="13"/>
  <c r="N70" i="82" a="1"/>
  <c r="N70" i="82" s="1"/>
  <c r="I9" i="13" s="1"/>
  <c r="H10" i="13" l="1"/>
  <c r="I10" i="13"/>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1">
    <bk>
      <extLst>
        <ext uri="{3e2802c4-a4d2-4d8b-9148-e3be6c30e623}">
          <xlrd:rvb i="0"/>
        </ext>
      </extLst>
    </bk>
  </futureMetadata>
  <cellMetadata count="1">
    <bk>
      <rc t="1" v="0"/>
    </bk>
  </cellMetadata>
  <valueMetadata count="1">
    <bk>
      <rc t="2" v="0"/>
    </bk>
  </valueMetadata>
</metadata>
</file>

<file path=xl/sharedStrings.xml><?xml version="1.0" encoding="utf-8"?>
<sst xmlns="http://schemas.openxmlformats.org/spreadsheetml/2006/main" count="898" uniqueCount="407">
  <si>
    <t>INPUTS</t>
  </si>
  <si>
    <t>APPENDICES</t>
  </si>
  <si>
    <t>Emissions breakdown</t>
  </si>
  <si>
    <t>Test Farms</t>
  </si>
  <si>
    <t>Farm name</t>
  </si>
  <si>
    <t>State</t>
  </si>
  <si>
    <t>Leaching zone</t>
  </si>
  <si>
    <t>Climate zone</t>
  </si>
  <si>
    <r>
      <rPr>
        <sz val="12"/>
        <color theme="1" tint="0.34998626667073579"/>
        <rFont val="Times New Roman"/>
        <family val="1"/>
      </rPr>
      <t xml:space="preserve">← </t>
    </r>
    <r>
      <rPr>
        <i/>
        <sz val="12"/>
        <color theme="1" tint="0.34998626667073579"/>
        <rFont val="Times New Roman"/>
        <family val="1"/>
      </rPr>
      <t>Please select</t>
    </r>
  </si>
  <si>
    <t>Degrees celsius</t>
  </si>
  <si>
    <t>Millimetres</t>
  </si>
  <si>
    <t>Location and climate</t>
  </si>
  <si>
    <t>Your business</t>
  </si>
  <si>
    <t>Location information is used to reference some region and climate-specific emission factors</t>
  </si>
  <si>
    <r>
      <rPr>
        <sz val="12"/>
        <color theme="1" tint="0.34998626667073579"/>
        <rFont val="Times New Roman"/>
        <family val="1"/>
      </rPr>
      <t xml:space="preserve">← </t>
    </r>
    <r>
      <rPr>
        <i/>
        <sz val="12"/>
        <color theme="1" tint="0.34998626667073579"/>
        <rFont val="Times New Roman"/>
        <family val="1"/>
      </rPr>
      <t>Automatically calculated, 12 months after start date</t>
    </r>
  </si>
  <si>
    <t>Dry matter digestibility</t>
  </si>
  <si>
    <t>Unit</t>
  </si>
  <si>
    <t>Manure management system</t>
  </si>
  <si>
    <t>State/Territory</t>
  </si>
  <si>
    <t>Common Name</t>
  </si>
  <si>
    <t>Abbreviation</t>
  </si>
  <si>
    <t>SA 4 Name</t>
  </si>
  <si>
    <t>Region (ABS Statistical area level 4) if state is WA</t>
  </si>
  <si>
    <t>Function name</t>
  </si>
  <si>
    <t>Gas</t>
  </si>
  <si>
    <t>CO2-e factor</t>
  </si>
  <si>
    <t>Variable</t>
  </si>
  <si>
    <t>Conversion factor</t>
  </si>
  <si>
    <t>Conversion factor 1</t>
  </si>
  <si>
    <t>Conversion factor 2</t>
  </si>
  <si>
    <t>Conversion factor combined</t>
  </si>
  <si>
    <t>Western Australia - Outback (South)</t>
  </si>
  <si>
    <t>Rainfall zone</t>
  </si>
  <si>
    <t>MAT</t>
  </si>
  <si>
    <t>MAP</t>
  </si>
  <si>
    <t>Frost days per year</t>
  </si>
  <si>
    <t>Elevation</t>
  </si>
  <si>
    <t>MAP:PET</t>
  </si>
  <si>
    <t>Min temp</t>
  </si>
  <si>
    <t>Max temp</t>
  </si>
  <si>
    <t>Min rainfall</t>
  </si>
  <si>
    <t>Max rainfall</t>
  </si>
  <si>
    <t>Min frost days</t>
  </si>
  <si>
    <t>Min elevation</t>
  </si>
  <si>
    <t>Min MAP:PET</t>
  </si>
  <si>
    <t>Wet or Dry Zone</t>
  </si>
  <si>
    <t>Max frost days</t>
  </si>
  <si>
    <t>Max elevation</t>
  </si>
  <si>
    <t>Max MAP:PET</t>
  </si>
  <si>
    <t>Temperature zone</t>
  </si>
  <si>
    <t>Meters</t>
  </si>
  <si>
    <t>Days</t>
  </si>
  <si>
    <t>Temperature Zone</t>
  </si>
  <si>
    <t>Min MAT</t>
  </si>
  <si>
    <t>Max MAT</t>
  </si>
  <si>
    <t>Rainfall Zone</t>
  </si>
  <si>
    <t>Annual rainfall</t>
  </si>
  <si>
    <t>MAP:PET ratio</t>
  </si>
  <si>
    <t>Average temperature for reporting period</t>
  </si>
  <si>
    <t>Total rainfall for reporting period</t>
  </si>
  <si>
    <t>Potential evapotranspiration for reporting period</t>
  </si>
  <si>
    <t>Number of frost days for reporting period</t>
  </si>
  <si>
    <t>Leaching Zone</t>
  </si>
  <si>
    <t>Leaching criteria</t>
  </si>
  <si>
    <t>MMS</t>
  </si>
  <si>
    <t>Data source</t>
  </si>
  <si>
    <t>Data score</t>
  </si>
  <si>
    <r>
      <rPr>
        <sz val="12"/>
        <color theme="1" tint="0.34998626667073579"/>
        <rFont val="Times New Roman"/>
        <family val="1"/>
      </rPr>
      <t xml:space="preserve">← </t>
    </r>
    <r>
      <rPr>
        <i/>
        <sz val="12"/>
        <color theme="1" tint="0.34998626667073579"/>
        <rFont val="Times New Roman"/>
        <family val="1"/>
      </rPr>
      <t>DD/MM/YYYY or DD Month YYYY</t>
    </r>
  </si>
  <si>
    <t>Tip: Use the web-based GAF Location Helper tool to easily get region and climate information. You will need an internet connection to use the GAF Location Helper.</t>
  </si>
  <si>
    <t>Reporting entity name</t>
  </si>
  <si>
    <t>Test Farms Pty Ltd</t>
  </si>
  <si>
    <t>CALCULATIONS</t>
  </si>
  <si>
    <t>Constants - Common</t>
  </si>
  <si>
    <t>Constants - Livestock</t>
  </si>
  <si>
    <t>Symbol</t>
  </si>
  <si>
    <t>Symbol and MMS</t>
  </si>
  <si>
    <t>ACT</t>
  </si>
  <si>
    <t>NSW</t>
  </si>
  <si>
    <t>NT</t>
  </si>
  <si>
    <t>QLD</t>
  </si>
  <si>
    <t>SA</t>
  </si>
  <si>
    <t>TAS</t>
  </si>
  <si>
    <t>VIC</t>
  </si>
  <si>
    <t>WA</t>
  </si>
  <si>
    <t>💡An 'Emissions accounting period' is a 12 month period where the business can report on the emissions, and is typically the same as the business' financial accounting period.</t>
  </si>
  <si>
    <t>Input - Site</t>
  </si>
  <si>
    <t>Wet or dry climate zone</t>
  </si>
  <si>
    <t>Is in leaching zone</t>
  </si>
  <si>
    <t>FracWET</t>
  </si>
  <si>
    <t>NO - Not in leaching zone</t>
  </si>
  <si>
    <t>Emissions calculation period start date</t>
  </si>
  <si>
    <t>Emissions calculation period end date</t>
  </si>
  <si>
    <r>
      <t>MCF</t>
    </r>
    <r>
      <rPr>
        <b/>
        <vertAlign val="subscript"/>
        <sz val="11"/>
        <color rgb="FF183C1B"/>
        <rFont val="Times New Roman"/>
        <family val="1"/>
      </rPr>
      <t>im</t>
    </r>
  </si>
  <si>
    <t>NIR definition</t>
  </si>
  <si>
    <t>Drylot (feed pad)</t>
  </si>
  <si>
    <t>Stage 2 MMS</t>
  </si>
  <si>
    <t>Intake</t>
  </si>
  <si>
    <t>kg DM/head/day</t>
  </si>
  <si>
    <t>MMS m</t>
  </si>
  <si>
    <t>Stage 1 MMS</t>
  </si>
  <si>
    <t>Input - MMS - Feedlot</t>
  </si>
  <si>
    <t>kg dry matter / head  day</t>
  </si>
  <si>
    <t>Fraction of manure in primary system drylot</t>
  </si>
  <si>
    <t>Treatment stage T</t>
  </si>
  <si>
    <t>Table_MMS_m-5_T-1</t>
  </si>
  <si>
    <t>Manure management systems</t>
  </si>
  <si>
    <t>Table_MMS_m_T-2</t>
  </si>
  <si>
    <t>Fraction of manure sent to stage 2 MMS</t>
  </si>
  <si>
    <t>Feedlot manure management systems</t>
  </si>
  <si>
    <t>Table_MMS_m-1_T-3</t>
  </si>
  <si>
    <t>Stage 3 MMS</t>
  </si>
  <si>
    <t>Fraction of manure sent to tertiary MMS</t>
  </si>
  <si>
    <t>Herd movement</t>
  </si>
  <si>
    <t>Duration of stay</t>
  </si>
  <si>
    <t>head</t>
  </si>
  <si>
    <t>Table_D_j</t>
  </si>
  <si>
    <t>Table_N_j</t>
  </si>
  <si>
    <t>Number of head in each group</t>
  </si>
  <si>
    <t>Head</t>
  </si>
  <si>
    <t>Stage</t>
  </si>
  <si>
    <r>
      <t>E</t>
    </r>
    <r>
      <rPr>
        <vertAlign val="subscript"/>
        <sz val="12"/>
        <color theme="1" tint="0.24994659260841701"/>
        <rFont val="Times New Roman"/>
        <family val="1"/>
      </rPr>
      <t>CO2e</t>
    </r>
  </si>
  <si>
    <t>Table_E_CH4</t>
  </si>
  <si>
    <t>Methane emissions for each group, MMS and treatment stage</t>
  </si>
  <si>
    <t>Formula name</t>
  </si>
  <si>
    <t>Crude protein</t>
  </si>
  <si>
    <t>Feedlot type</t>
  </si>
  <si>
    <t>Nutrient analysis</t>
  </si>
  <si>
    <t>2010-2014</t>
  </si>
  <si>
    <t>2015-2019</t>
  </si>
  <si>
    <t>2020-2023</t>
  </si>
  <si>
    <t>Source Data - Feedlot</t>
  </si>
  <si>
    <t>Domestic</t>
  </si>
  <si>
    <t>Mid-fed</t>
  </si>
  <si>
    <t>Long-fed</t>
  </si>
  <si>
    <t>2020-2023 Converted to fraction</t>
  </si>
  <si>
    <t>Characteristic</t>
  </si>
  <si>
    <t>2005-2009</t>
  </si>
  <si>
    <t>Feed intake</t>
  </si>
  <si>
    <t>Length of stay</t>
  </si>
  <si>
    <t>EF mT</t>
  </si>
  <si>
    <t>FracGASMmT</t>
  </si>
  <si>
    <t>N retention</t>
  </si>
  <si>
    <t>M1_Table_I_j</t>
  </si>
  <si>
    <t>M1_Table_CP_j</t>
  </si>
  <si>
    <t>M1_Table_NI_j</t>
  </si>
  <si>
    <t>M2_Table_I_j</t>
  </si>
  <si>
    <t>M2_Table_CP_j</t>
  </si>
  <si>
    <t>M2_Table_NI_j</t>
  </si>
  <si>
    <t>M1_Table_NR_j</t>
  </si>
  <si>
    <t>M2_Table_NR_j</t>
  </si>
  <si>
    <t>M1_Table_NE_j</t>
  </si>
  <si>
    <t>M2_Table_NE_j</t>
  </si>
  <si>
    <t>Method 1</t>
  </si>
  <si>
    <t>Method 2</t>
  </si>
  <si>
    <t>Fraction of intake</t>
  </si>
  <si>
    <t>M1_Table_AE_j</t>
  </si>
  <si>
    <t>M2_Table_AE_j</t>
  </si>
  <si>
    <t>Table_MMS_j_m-5_T-1</t>
  </si>
  <si>
    <t>M1_Table_MN_j_m-5_T-1</t>
  </si>
  <si>
    <t>M2_Table_MN_j_m-5_T-1</t>
  </si>
  <si>
    <t>Table_MMS_j_m_T-2</t>
  </si>
  <si>
    <t>Fraction of manure sent to stage 3 MMS</t>
  </si>
  <si>
    <t>Table_MMS_j_m-1_T-3</t>
  </si>
  <si>
    <t>Table_EF_j_m</t>
  </si>
  <si>
    <t>EFs for MMS</t>
  </si>
  <si>
    <r>
      <t>EF</t>
    </r>
    <r>
      <rPr>
        <b/>
        <vertAlign val="subscript"/>
        <sz val="11"/>
        <color rgb="FF183C1B"/>
        <rFont val="Times New Roman"/>
        <family val="1"/>
      </rPr>
      <t>jm</t>
    </r>
  </si>
  <si>
    <r>
      <t>E</t>
    </r>
    <r>
      <rPr>
        <b/>
        <vertAlign val="subscript"/>
        <sz val="16"/>
        <color theme="1" tint="0.24994659260841701"/>
        <rFont val="Times New Roman"/>
        <family val="1"/>
      </rPr>
      <t>N2O,dir</t>
    </r>
  </si>
  <si>
    <t>M1_Table_MN_j_m-1_T-3</t>
  </si>
  <si>
    <t>M2_Table_MN_j_m-1_T-3</t>
  </si>
  <si>
    <t>M1_Table_NT_j_m-_T-2</t>
  </si>
  <si>
    <t>M2_Table_NT_j_m-_T-2</t>
  </si>
  <si>
    <t>M1_Table_MN_j_m_T-2</t>
  </si>
  <si>
    <t>M1_Table_E_N2O_dir</t>
  </si>
  <si>
    <t>Total annual N2O emissions (Method 1)</t>
  </si>
  <si>
    <t>Total annual N2O emissions (Method 2)</t>
  </si>
  <si>
    <t>Nitrogen in stage 2 MMS (Method 1)</t>
  </si>
  <si>
    <t>Nitrogen in stage 2 MMS (Method 2)</t>
  </si>
  <si>
    <t>Nitrogen transferred to stage 2 MMS (Method 1)</t>
  </si>
  <si>
    <t>Nitrogen transferred to stage 2 MMS (Method 2)</t>
  </si>
  <si>
    <t>Nitrogen in stage 3 MMS (Method 1)</t>
  </si>
  <si>
    <t>Nitrogen in stage 3 MMS (Method 2)</t>
  </si>
  <si>
    <t>Nitrogen in stage 1 MMS (Method 1)</t>
  </si>
  <si>
    <t>Nitrogen in stage 1 MMS (Method 2)</t>
  </si>
  <si>
    <t>Annual nitrogen excretion (Method 1)</t>
  </si>
  <si>
    <t>Annual nitrogen excretion (Method 2)</t>
  </si>
  <si>
    <t>Nitrogen retention (Method 1)</t>
  </si>
  <si>
    <t>Nitrogen retention (Method 2)</t>
  </si>
  <si>
    <t>Nitrogen intake (Method 1)</t>
  </si>
  <si>
    <t>Crude protein content of feed (Method 1)</t>
  </si>
  <si>
    <t>Dry matter intake (Method 1)</t>
  </si>
  <si>
    <t>Dry matter intake (Method 2)</t>
  </si>
  <si>
    <t>Crude protein content of feed (Method 2)</t>
  </si>
  <si>
    <t>Nitrogen intake (Method 2)</t>
  </si>
  <si>
    <t>M1_Table_DMD_j</t>
  </si>
  <si>
    <t>M1_Table_VS_j</t>
  </si>
  <si>
    <t>Volatile solid production (Method 1)</t>
  </si>
  <si>
    <t>Dry matter digestibility (Method 1)</t>
  </si>
  <si>
    <t>M2_Table_DMD_j</t>
  </si>
  <si>
    <t>M2_Table_VS_j</t>
  </si>
  <si>
    <t>Volatile solid production (Method 2)</t>
  </si>
  <si>
    <t>M1_Table_M_j_m-5_T-1</t>
  </si>
  <si>
    <t>Production of methane stage 1 MMS (Method 1)</t>
  </si>
  <si>
    <t>M2_Table_M_j_m-5_T-1</t>
  </si>
  <si>
    <t>Production of methane stage 1 MMS (Method 2)</t>
  </si>
  <si>
    <t>M1_Table_M_j_m_T-2</t>
  </si>
  <si>
    <t>Production of methane in stage 2 MMS (Method 1)</t>
  </si>
  <si>
    <t>M2_Table_M_j_m_T-2</t>
  </si>
  <si>
    <t>Production of methane in stage 2 MMS (Method 2)</t>
  </si>
  <si>
    <t>M1_Table_M_j_m-1_T-3</t>
  </si>
  <si>
    <t>Production of methane in stage 3 MMS (Method 1)</t>
  </si>
  <si>
    <t>M2_Table_M_j_m-1_T-3</t>
  </si>
  <si>
    <t>Production of methane in stage 3 MMS (Method 2)</t>
  </si>
  <si>
    <t>M1_Table_M_j_m_T</t>
  </si>
  <si>
    <t>Methane production for all livestock groups, MMS and treatment stages (Method 1)</t>
  </si>
  <si>
    <t>M2_Table_M_j_m_T</t>
  </si>
  <si>
    <t>Methane production for all livestock groups, MMS and treatment stages (Method 2)</t>
  </si>
  <si>
    <t>ECH4 (Method 1)</t>
  </si>
  <si>
    <t>ECH4 (Method 2)</t>
  </si>
  <si>
    <r>
      <t>E</t>
    </r>
    <r>
      <rPr>
        <vertAlign val="subscript"/>
        <sz val="12"/>
        <color theme="1" tint="0.24994659260841701"/>
        <rFont val="Times New Roman"/>
        <family val="1"/>
      </rPr>
      <t>CO2e</t>
    </r>
    <r>
      <rPr>
        <sz val="12"/>
        <color theme="1" tint="0.24994659260841701"/>
        <rFont val="Times New Roman"/>
        <family val="1"/>
      </rPr>
      <t xml:space="preserve"> (Method 1)</t>
    </r>
  </si>
  <si>
    <r>
      <t>E</t>
    </r>
    <r>
      <rPr>
        <vertAlign val="subscript"/>
        <sz val="12"/>
        <color theme="1" tint="0.24994659260841701"/>
        <rFont val="Times New Roman"/>
        <family val="1"/>
      </rPr>
      <t>CO2e</t>
    </r>
    <r>
      <rPr>
        <sz val="12"/>
        <color theme="1" tint="0.24994659260841701"/>
        <rFont val="Times New Roman"/>
        <family val="1"/>
      </rPr>
      <t xml:space="preserve"> (Method 2)</t>
    </r>
  </si>
  <si>
    <t>4.1.1.9 Manure applied to soils</t>
  </si>
  <si>
    <t>kg N</t>
  </si>
  <si>
    <t>M1_Table_MN_j_m_T-2-3</t>
  </si>
  <si>
    <t>Table_FracGASM_m_T-2-3</t>
  </si>
  <si>
    <t>Table_EF_j_m_T-2-3</t>
  </si>
  <si>
    <t>Fraction of N volatilised in each MMS</t>
  </si>
  <si>
    <t>Table_PF</t>
  </si>
  <si>
    <t>Fraction of manure applied to soil from MMS</t>
  </si>
  <si>
    <t>kg N2O/kg N</t>
  </si>
  <si>
    <t>(kg NH3-N + NOx-N)/kg N</t>
  </si>
  <si>
    <t>M2_Table_MN_j_m_T-2-3</t>
  </si>
  <si>
    <t>Mass on N in stage 2 and 3 MMS (Method 2)</t>
  </si>
  <si>
    <t>Mass on N in stage 2 and 3 MMS (Method 1)</t>
  </si>
  <si>
    <t>M1_Table_MNSoil_scope1</t>
  </si>
  <si>
    <r>
      <t>MNSoil</t>
    </r>
    <r>
      <rPr>
        <b/>
        <vertAlign val="subscript"/>
        <sz val="16"/>
        <color theme="1" tint="0.24994659260841701"/>
        <rFont val="Times New Roman"/>
        <family val="1"/>
      </rPr>
      <t>scope1</t>
    </r>
  </si>
  <si>
    <t>Table_PF_fert</t>
  </si>
  <si>
    <t>Fraction of manure applied to as fertiliser on own farm from MMS</t>
  </si>
  <si>
    <t>M1_Table_MNSoil_scope3</t>
  </si>
  <si>
    <t>M1_Table_MNSoil_scope3_fert</t>
  </si>
  <si>
    <r>
      <t>MNSoil</t>
    </r>
    <r>
      <rPr>
        <b/>
        <vertAlign val="subscript"/>
        <sz val="16"/>
        <color theme="1" tint="0.24994659260841701"/>
        <rFont val="Times New Roman"/>
        <family val="1"/>
      </rPr>
      <t>fert,scope3</t>
    </r>
  </si>
  <si>
    <t>M2_Table_MNSoil_scope3_fert</t>
  </si>
  <si>
    <t>Mass of N applied to own farm as fertiliser (Method 2)</t>
  </si>
  <si>
    <t>M2_Table_MNSoil_scope3</t>
  </si>
  <si>
    <t>Mass of N applied to soils as fertiliser (Method 2)</t>
  </si>
  <si>
    <t>Mass of N applied to own farm as fertiliser (Method 1)</t>
  </si>
  <si>
    <t>Mass of N applied to soils as fertiliser (Method 1)</t>
  </si>
  <si>
    <t>M2_Table_MNSoil_scope1</t>
  </si>
  <si>
    <t>Mass of N applied to soils (Method 2)</t>
  </si>
  <si>
    <t>Mass of N applied to soils (Method 1)</t>
  </si>
  <si>
    <t>* Manure that is removed from stage 2 and 3 MMS and used as fertiliser on the farm, for other enterprises (eg crops)</t>
  </si>
  <si>
    <r>
      <t>MNSoil</t>
    </r>
    <r>
      <rPr>
        <b/>
        <vertAlign val="subscript"/>
        <sz val="16"/>
        <color theme="1" tint="0.24994659260841701"/>
        <rFont val="Times New Roman"/>
        <family val="1"/>
      </rPr>
      <t>scope3,fert</t>
    </r>
  </si>
  <si>
    <t>Scope 1 source</t>
  </si>
  <si>
    <t>4.1.1.1-2 Manure Methane</t>
  </si>
  <si>
    <t>4.1.1.3-4 Manure Direct N2O</t>
  </si>
  <si>
    <t>4.1.1.5-6 Manure Atmospheric Deposition</t>
  </si>
  <si>
    <t>M1_Table_MN_j_m_T</t>
  </si>
  <si>
    <t>M1_Table_MMS_ATMOS</t>
  </si>
  <si>
    <t>Nitrogen in each MMS excluding direct application (Method 1)</t>
  </si>
  <si>
    <t>M2_Table_MN_j_m_T</t>
  </si>
  <si>
    <t>Nitrogen in each MMS excluding direct application (Method 2)</t>
  </si>
  <si>
    <r>
      <t>MMS</t>
    </r>
    <r>
      <rPr>
        <b/>
        <vertAlign val="subscript"/>
        <sz val="12"/>
        <color theme="1" tint="0.24994659260841701"/>
        <rFont val="Times New Roman"/>
        <family val="1"/>
      </rPr>
      <t>ATMOS</t>
    </r>
  </si>
  <si>
    <t>Production system j</t>
  </si>
  <si>
    <t>EFN2O</t>
  </si>
  <si>
    <t>Production system only</t>
  </si>
  <si>
    <t>Irrigation method</t>
  </si>
  <si>
    <t>Pasture</t>
  </si>
  <si>
    <t>Feedlot crop or pasture production systems</t>
  </si>
  <si>
    <t>Production system</t>
  </si>
  <si>
    <t>Irrigation methods</t>
  </si>
  <si>
    <t>Not irrigated</t>
  </si>
  <si>
    <t>Drip irrigation</t>
  </si>
  <si>
    <t>Sprinkler irrigation</t>
  </si>
  <si>
    <t>Surface irrigation</t>
  </si>
  <si>
    <t>Other irrigation</t>
  </si>
  <si>
    <r>
      <t>E</t>
    </r>
    <r>
      <rPr>
        <b/>
        <vertAlign val="subscript"/>
        <sz val="16"/>
        <color theme="1" tint="0.24994659260841701"/>
        <rFont val="Times New Roman"/>
        <family val="1"/>
      </rPr>
      <t>N2O,ad</t>
    </r>
  </si>
  <si>
    <t>Total</t>
  </si>
  <si>
    <t>Emissions allocated to</t>
  </si>
  <si>
    <t>GHG Unit</t>
  </si>
  <si>
    <t>CO2-e unit</t>
  </si>
  <si>
    <t>Manure nitrogen sold</t>
  </si>
  <si>
    <t>Scope 3 (downstream)</t>
  </si>
  <si>
    <t>N unit</t>
  </si>
  <si>
    <t>WARNING: Manure nitrogen that was applied to soils must be accounted for</t>
  </si>
  <si>
    <t>Manure nitrogen use</t>
  </si>
  <si>
    <t>Manure nitrogen deposited on farm soils as fertiliser for other farm enterpsies (eg crops)</t>
  </si>
  <si>
    <t>15.13.1.1 (1), 5.2.2.1 (1), 5.4.1.3 (1, 2), 5.5.1.1 (1, 3)</t>
  </si>
  <si>
    <t>5.2.2.1 (1), 5.4.1.3 (1, 2), 5.5.1.1 (1, 3)</t>
  </si>
  <si>
    <t>VEERG Calculation method</t>
  </si>
  <si>
    <t>See the table below for how to account for manure applied to soils for scope 1 and 3.</t>
  </si>
  <si>
    <t>4.1 Manure management: Beef Feedlot: Results</t>
  </si>
  <si>
    <t>Method 1 default values (Do not edit)</t>
  </si>
  <si>
    <t>Method 2 custom values (Edit if known)</t>
  </si>
  <si>
    <t>Irrigation type i</t>
  </si>
  <si>
    <t>EFPRP</t>
  </si>
  <si>
    <t>Scope 1 - This feedlot</t>
  </si>
  <si>
    <t>Month</t>
  </si>
  <si>
    <t>Season</t>
  </si>
  <si>
    <t>Where manure was deposited on farm soils, what is the closest match?</t>
  </si>
  <si>
    <t>Scope 1: Mass of nitrogen applied as fertiliser on own farm</t>
  </si>
  <si>
    <t>Manure nitrogen deposited on farm soils (including use as fertiliser for other enterprises on own farm eg crops)</t>
  </si>
  <si>
    <t>4.1.1.1-2 Method 1 Manure methane</t>
  </si>
  <si>
    <t>4.1.1.3-4 Method 1 Manure direct N2O</t>
  </si>
  <si>
    <t>4.1.1.5-6 Method 1 Manure atmospheric deposition</t>
  </si>
  <si>
    <t>GHG emissions method 1</t>
  </si>
  <si>
    <t>GHG emissions method 2</t>
  </si>
  <si>
    <t>CO2-e emissions method 1</t>
  </si>
  <si>
    <t>t CO2e</t>
  </si>
  <si>
    <t>CO2-e emissions method 2</t>
  </si>
  <si>
    <t>N/A</t>
  </si>
  <si>
    <t>Direct application</t>
  </si>
  <si>
    <t>▼</t>
  </si>
  <si>
    <t>Sold</t>
  </si>
  <si>
    <t>Fert for own farm (eg crop)</t>
  </si>
  <si>
    <t>Direct application to soil</t>
  </si>
  <si>
    <t>►</t>
  </si>
  <si>
    <t>PF</t>
  </si>
  <si>
    <t>days</t>
  </si>
  <si>
    <t>fraction</t>
  </si>
  <si>
    <t>percent</t>
  </si>
  <si>
    <t>percent of intake</t>
  </si>
  <si>
    <r>
      <t xml:space="preserve">Destination after stage 3 MMS </t>
    </r>
    <r>
      <rPr>
        <i/>
        <sz val="11"/>
        <color rgb="FF533001"/>
        <rFont val="Times New Roman"/>
        <family val="1"/>
      </rPr>
      <t>(Percent)</t>
    </r>
  </si>
  <si>
    <r>
      <t xml:space="preserve">Destination after stage 2 MMS </t>
    </r>
    <r>
      <rPr>
        <i/>
        <sz val="11"/>
        <color rgb="FF533001"/>
        <rFont val="Times New Roman"/>
        <family val="1"/>
      </rPr>
      <t>(Percent)</t>
    </r>
  </si>
  <si>
    <t>and instead is handled in 'Manure applied to soils'.</t>
  </si>
  <si>
    <r>
      <rPr>
        <b/>
        <sz val="12"/>
        <color rgb="FF0070C0"/>
        <rFont val="Times New Roman"/>
        <family val="1"/>
      </rPr>
      <t>Note:</t>
    </r>
    <r>
      <rPr>
        <sz val="12"/>
        <color rgb="FF0070C0"/>
        <rFont val="Times New Roman"/>
        <family val="1"/>
      </rPr>
      <t xml:space="preserve"> Manure that is directly applied to soil after stage 1 is not included in Atmospheric Deposition calculations</t>
    </r>
  </si>
  <si>
    <t>MAT (ºC)</t>
  </si>
  <si>
    <t>Anaerobic lagoon</t>
  </si>
  <si>
    <t>Digester / covered lagoons</t>
  </si>
  <si>
    <t>Liquid systems</t>
  </si>
  <si>
    <t>Daily spread</t>
  </si>
  <si>
    <t>Composting (passive windrow)</t>
  </si>
  <si>
    <t>Solid storage</t>
  </si>
  <si>
    <t>Pit storage</t>
  </si>
  <si>
    <t>Deep litter</t>
  </si>
  <si>
    <t>Poultry manure with bedding</t>
  </si>
  <si>
    <t>Poultry manure without bedding</t>
  </si>
  <si>
    <t>Direct processing</t>
  </si>
  <si>
    <t>Pasture range and paddock</t>
  </si>
  <si>
    <t>MAT raw</t>
  </si>
  <si>
    <r>
      <t>PF</t>
    </r>
    <r>
      <rPr>
        <b/>
        <vertAlign val="subscript"/>
        <sz val="11"/>
        <color rgb="FF533001"/>
        <rFont val="Times New Roman"/>
        <family val="1"/>
      </rPr>
      <t>fert</t>
    </r>
  </si>
  <si>
    <r>
      <rPr>
        <b/>
        <sz val="12"/>
        <color rgb="FF0070C0"/>
        <rFont val="Times New Roman"/>
        <family val="1"/>
      </rPr>
      <t>Note:</t>
    </r>
    <r>
      <rPr>
        <sz val="12"/>
        <color rgb="FF0070C0"/>
        <rFont val="Times New Roman"/>
        <family val="1"/>
      </rPr>
      <t xml:space="preserve"> Manure that is directly applied to soil after stage 1 is not included in direct nitrous oxide calculations</t>
    </r>
  </si>
  <si>
    <r>
      <rPr>
        <b/>
        <sz val="12"/>
        <color rgb="FF0070C0"/>
        <rFont val="Times New Roman"/>
        <family val="1"/>
      </rPr>
      <t>Note:</t>
    </r>
    <r>
      <rPr>
        <sz val="12"/>
        <color rgb="FF0070C0"/>
        <rFont val="Times New Roman"/>
        <family val="1"/>
      </rPr>
      <t xml:space="preserve"> Manure that is directly applied to soils after it is scraped from the feed pad is calculated as having zero methane emissions.</t>
    </r>
  </si>
  <si>
    <t>NOTE: Drylot MCF is state based</t>
  </si>
  <si>
    <t>💡 Below is a diagram that maps the equations used to calculate emissions, how they interact with each other and how they align with dairy manure management processes.</t>
  </si>
  <si>
    <t xml:space="preserve">    Click on a box to go to the corresponding calculation.</t>
  </si>
  <si>
    <t>4.1: Manure Management: Beef feedlot: Overview</t>
  </si>
  <si>
    <t>Climate Zone</t>
  </si>
  <si>
    <t>EFNi &amp; EFN2Oi</t>
  </si>
  <si>
    <t>Dry matter digestibility (Method 2)</t>
  </si>
  <si>
    <t>M2_Table_MCF_i_m</t>
  </si>
  <si>
    <t>Methane conversion factor for state and MMS (Method 2)</t>
  </si>
  <si>
    <t>M1_Table_MCF_i_m</t>
  </si>
  <si>
    <t>Methane conversion factor for state and MMS (Method 1)</t>
  </si>
  <si>
    <t>M2_Table_E_N2O_dir</t>
  </si>
  <si>
    <t>M2_Table_MMS_ATMOS</t>
  </si>
  <si>
    <t xml:space="preserve">N in manure (Method 1) </t>
  </si>
  <si>
    <t xml:space="preserve">N in manure (Method 2) </t>
  </si>
  <si>
    <t>Western Australia</t>
  </si>
  <si>
    <t>Home</t>
  </si>
  <si>
    <t>Data quality scoring</t>
  </si>
  <si>
    <t>Table_SourceData_DataQuality_TemporalRepresentativeness</t>
  </si>
  <si>
    <t>Description</t>
  </si>
  <si>
    <t>ID</t>
  </si>
  <si>
    <t>Score</t>
  </si>
  <si>
    <t>Data collected covers the time-period for which emissions are being estimated  </t>
  </si>
  <si>
    <t>TR5</t>
  </si>
  <si>
    <t>Data collected represents activities that occurred within 2 years of the time-period being assessed  </t>
  </si>
  <si>
    <t>TR4</t>
  </si>
  <si>
    <t>Data collected represents activities that occurred within 3 years of to the time-period being assessed  </t>
  </si>
  <si>
    <t>TR3</t>
  </si>
  <si>
    <t>Data collected represents activities that occurred within 4 years of the time-period being assessed  </t>
  </si>
  <si>
    <t>TR2</t>
  </si>
  <si>
    <t>Age of data unknown or data more than 4 years older than the time-period being reported  </t>
  </si>
  <si>
    <t>TR1</t>
  </si>
  <si>
    <t>Table_SourceData_DataQuality_SpatialRepresentativeness</t>
  </si>
  <si>
    <t>Data covers specific entity location(s) with spatial partitioning or using stratified sampling within property </t>
  </si>
  <si>
    <t>SR5</t>
  </si>
  <si>
    <t>Data covers specific entity location(s) without spatial partitioning within property  </t>
  </si>
  <si>
    <t>SR4</t>
  </si>
  <si>
    <t>Data based on regional data from a government or industry database or survey </t>
  </si>
  <si>
    <t>SR3</t>
  </si>
  <si>
    <t>Data based on state data from a government or industry database or survey </t>
  </si>
  <si>
    <t>SR2</t>
  </si>
  <si>
    <t>Data based on national data from a government or industry database or survey </t>
  </si>
  <si>
    <t>SR1</t>
  </si>
  <si>
    <t>Table_SourceData_DataQuality_SampleSize</t>
  </si>
  <si>
    <t>Data based on sample size of &gt;90% (e.g. total annual fuel purchases) </t>
  </si>
  <si>
    <t>SS5</t>
  </si>
  <si>
    <t>Data based on sample size of 51-90%  </t>
  </si>
  <si>
    <t>SS4</t>
  </si>
  <si>
    <t>Data based on sample size of 21-50%  </t>
  </si>
  <si>
    <t>SS3</t>
  </si>
  <si>
    <t>Data based on sample size of &lt;20% (e.g. liveweight measured for 10% of herd) </t>
  </si>
  <si>
    <t>SS2</t>
  </si>
  <si>
    <t>Unknown (e.g. data based on national/state/regional data source) </t>
  </si>
  <si>
    <t>SS1</t>
  </si>
  <si>
    <t>Table_SourceData_DataQuality_Scope3</t>
  </si>
  <si>
    <t>Verified data provided by supplier consistent with ISO14067:2018 or GHG Protocol Product Lifecycle Accounting and Reporting Standard </t>
  </si>
  <si>
    <t>S35</t>
  </si>
  <si>
    <t>Unverified supplier data, consistent with ISO14067:2018 or GHG Protocol Product Lifecycle Accounting and Reporting Standard, or consistent with these Guidelines (where appropriate)</t>
  </si>
  <si>
    <t>S34</t>
  </si>
  <si>
    <t>Regionally relevant product specific value from database developed using international best practice </t>
  </si>
  <si>
    <t>S33</t>
  </si>
  <si>
    <t>Nationally relevant product specific value from database developed using international best practice   </t>
  </si>
  <si>
    <t>S32</t>
  </si>
  <si>
    <t>Geographically generic product specific value from database developed using international best practice </t>
  </si>
  <si>
    <t>S31</t>
  </si>
  <si>
    <t>Acknowledgements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</si>
</sst>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7">
    <numFmt numFmtId="43" formatCode="_-* #,##0.00_-;\-* #,##0.00_-;_-* &quot;-&quot;??_-;_-@_-"/>
    <numFmt numFmtId="164" formatCode="0.000"/>
    <numFmt numFmtId="165" formatCode="#,##0.000"/>
    <numFmt numFmtId="166" formatCode="d/mm/yyyy;@"/>
    <numFmt numFmtId="167" formatCode="_-* #,##0_-;\-* #,##0_-;_-* &quot;-&quot;??_-;_-@_-"/>
    <numFmt numFmtId="168" formatCode="[$-C09]dd\-mmmm\-yyyy;@"/>
    <numFmt numFmtId="169" formatCode="#,##0.000000"/>
  </numFmts>
  <fonts count="70" x14ac:knownFonts="1">
    <font>
      <sz val="11"/>
      <color theme="1"/>
      <name val="Times New Roman"/>
      <family val="2"/>
      <scheme val="minor"/>
    </font>
    <font>
      <i/>
      <sz val="12"/>
      <color theme="1" tint="0.499984740745262"/>
      <name val="Times New Roman"/>
      <family val="1"/>
    </font>
    <font>
      <sz val="12"/>
      <color theme="1" tint="0.14999847407452621"/>
      <name val="Times New Roman"/>
      <family val="1"/>
    </font>
    <font>
      <b/>
      <sz val="12"/>
      <color theme="1" tint="0.14999847407452621"/>
      <name val="Times New Roman"/>
      <family val="1"/>
    </font>
    <font>
      <b/>
      <sz val="20"/>
      <color rgb="FF183C1B"/>
      <name val="Times New Roman"/>
      <family val="1"/>
    </font>
    <font>
      <b/>
      <sz val="11"/>
      <color rgb="FF183C1B"/>
      <name val="Times New Roman"/>
      <family val="1"/>
    </font>
    <font>
      <i/>
      <sz val="12"/>
      <color theme="1" tint="0.34998626667073579"/>
      <name val="Times New Roman"/>
      <family val="1"/>
    </font>
    <font>
      <sz val="12"/>
      <color theme="1" tint="0.34998626667073579"/>
      <name val="Times New Roman"/>
      <family val="1"/>
    </font>
    <font>
      <sz val="12"/>
      <color theme="1" tint="0.14996795556505021"/>
      <name val="Times New Roman"/>
      <family val="1"/>
    </font>
    <font>
      <i/>
      <sz val="10"/>
      <color theme="1" tint="0.34998626667073579"/>
      <name val="Times New Roman"/>
      <family val="1"/>
    </font>
    <font>
      <sz val="11"/>
      <color theme="1"/>
      <name val="Times New Roman"/>
      <family val="2"/>
      <scheme val="minor"/>
    </font>
    <font>
      <b/>
      <sz val="20"/>
      <color rgb="FFCC6600"/>
      <name val="Times New Roman"/>
      <family val="1"/>
    </font>
    <font>
      <i/>
      <sz val="12"/>
      <color rgb="FFCC6600"/>
      <name val="Times New Roman"/>
      <family val="1"/>
    </font>
    <font>
      <b/>
      <sz val="11"/>
      <color rgb="FF533001"/>
      <name val="Times New Roman"/>
      <family val="1"/>
    </font>
    <font>
      <i/>
      <strike/>
      <sz val="12"/>
      <color theme="1" tint="0.499984740745262"/>
      <name val="Times New Roman"/>
      <family val="1"/>
    </font>
    <font>
      <b/>
      <i/>
      <strike/>
      <sz val="12"/>
      <color theme="1" tint="0.499984740745262"/>
      <name val="Times New Roman"/>
      <family val="1"/>
    </font>
    <font>
      <sz val="9"/>
      <color theme="1" tint="0.499984740745262"/>
      <name val="Courier New"/>
      <family val="3"/>
    </font>
    <font>
      <b/>
      <sz val="16"/>
      <color theme="0"/>
      <name val="Times New Roman"/>
      <family val="1"/>
    </font>
    <font>
      <u/>
      <sz val="11"/>
      <color theme="10"/>
      <name val="Times New Roman"/>
      <family val="2"/>
      <scheme val="minor"/>
    </font>
    <font>
      <sz val="9"/>
      <color theme="1" tint="0.249977111117893"/>
      <name val="Times New Roman"/>
      <family val="1"/>
    </font>
    <font>
      <sz val="9"/>
      <color rgb="FF008000"/>
      <name val="Times New Roman"/>
      <family val="1"/>
    </font>
    <font>
      <sz val="9"/>
      <color rgb="FFCC6600"/>
      <name val="Times New Roman"/>
      <family val="1"/>
    </font>
    <font>
      <sz val="12"/>
      <color theme="0"/>
      <name val="Times New Roman"/>
      <family val="1"/>
    </font>
    <font>
      <sz val="8"/>
      <name val="Times New Roman"/>
      <family val="2"/>
      <scheme val="minor"/>
    </font>
    <font>
      <sz val="11"/>
      <color theme="1" tint="0.499984740745262"/>
      <name val="Times New Roman"/>
      <family val="1"/>
    </font>
    <font>
      <sz val="11"/>
      <color theme="1"/>
      <name val="Times New Roman"/>
      <family val="1"/>
    </font>
    <font>
      <sz val="12"/>
      <color theme="1"/>
      <name val="Times New Roman"/>
      <family val="1"/>
    </font>
    <font>
      <b/>
      <sz val="12"/>
      <color theme="1"/>
      <name val="Times New Roman"/>
      <family val="1"/>
    </font>
    <font>
      <b/>
      <sz val="11"/>
      <color theme="1" tint="0.249977111117893"/>
      <name val="Times New Roman"/>
      <family val="1"/>
    </font>
    <font>
      <sz val="12"/>
      <color theme="1" tint="0.249977111117893"/>
      <name val="Times New Roman"/>
      <family val="1"/>
    </font>
    <font>
      <b/>
      <sz val="12"/>
      <color theme="1" tint="0.249977111117893"/>
      <name val="Times New Roman"/>
      <family val="1"/>
    </font>
    <font>
      <b/>
      <sz val="11"/>
      <color theme="1"/>
      <name val="Times New Roman"/>
      <family val="1"/>
      <scheme val="minor"/>
    </font>
    <font>
      <b/>
      <sz val="14"/>
      <color theme="1"/>
      <name val="Times New Roman"/>
      <family val="1"/>
      <scheme val="minor"/>
    </font>
    <font>
      <sz val="11"/>
      <color rgb="FF242424"/>
      <name val="Consolas"/>
      <family val="3"/>
    </font>
    <font>
      <sz val="12"/>
      <color theme="0" tint="-4.9989318521683403E-2"/>
      <name val="Times New Roman"/>
      <family val="1"/>
    </font>
    <font>
      <sz val="10"/>
      <color theme="1" tint="0.34998626667073579"/>
      <name val="Times New Roman"/>
      <family val="1"/>
    </font>
    <font>
      <sz val="10"/>
      <name val="Arial"/>
      <family val="2"/>
    </font>
    <font>
      <sz val="18"/>
      <color theme="1" tint="0.14996795556505021"/>
      <name val="Times New Roman"/>
      <family val="1"/>
    </font>
    <font>
      <sz val="10"/>
      <color theme="1" tint="0.34998626667073579"/>
      <name val="Times New Roman"/>
      <family val="2"/>
      <scheme val="minor"/>
    </font>
    <font>
      <sz val="12"/>
      <color theme="1" tint="0.24994659260841701"/>
      <name val="Times New Roman"/>
      <family val="1"/>
    </font>
    <font>
      <b/>
      <vertAlign val="subscript"/>
      <sz val="11"/>
      <color rgb="FF183C1B"/>
      <name val="Times New Roman"/>
      <family val="1"/>
    </font>
    <font>
      <b/>
      <sz val="12"/>
      <color theme="1" tint="0.24994659260841701"/>
      <name val="Times New Roman"/>
      <family val="1"/>
    </font>
    <font>
      <sz val="12"/>
      <color rgb="FFC44340"/>
      <name val="Times New Roman"/>
      <family val="1"/>
    </font>
    <font>
      <sz val="12"/>
      <color rgb="FF008000"/>
      <name val="Times New Roman"/>
      <family val="1"/>
    </font>
    <font>
      <b/>
      <sz val="11"/>
      <color theme="5" tint="-0.499984740745262"/>
      <name val="Times New Roman"/>
      <family val="1"/>
      <scheme val="minor"/>
    </font>
    <font>
      <sz val="12"/>
      <color rgb="FF0070C0"/>
      <name val="Times New Roman"/>
      <family val="1"/>
    </font>
    <font>
      <b/>
      <sz val="12"/>
      <color rgb="FF0070C0"/>
      <name val="Times New Roman"/>
      <family val="1"/>
    </font>
    <font>
      <b/>
      <sz val="12"/>
      <color theme="0"/>
      <name val="Times New Roman"/>
      <family val="1"/>
    </font>
    <font>
      <b/>
      <sz val="12"/>
      <color theme="0" tint="-0.499984740745262"/>
      <name val="Times New Roman"/>
      <family val="1"/>
    </font>
    <font>
      <sz val="10"/>
      <color theme="0" tint="-0.499984740745262"/>
      <name val="Times New Roman"/>
      <family val="1"/>
    </font>
    <font>
      <b/>
      <sz val="12"/>
      <color rgb="FFC44340"/>
      <name val="Times New Roman"/>
      <family val="1"/>
    </font>
    <font>
      <b/>
      <sz val="16"/>
      <color theme="1" tint="0.24994659260841701"/>
      <name val="Times New Roman"/>
      <family val="1"/>
    </font>
    <font>
      <sz val="16"/>
      <color theme="1" tint="0.24994659260841701"/>
      <name val="Times New Roman"/>
      <family val="1"/>
    </font>
    <font>
      <i/>
      <sz val="16"/>
      <color theme="1" tint="0.34998626667073579"/>
      <name val="Times New Roman"/>
      <family val="1"/>
    </font>
    <font>
      <vertAlign val="subscript"/>
      <sz val="12"/>
      <color theme="1" tint="0.24994659260841701"/>
      <name val="Times New Roman"/>
      <family val="1"/>
    </font>
    <font>
      <sz val="14"/>
      <color theme="1" tint="0.34998626667073579"/>
      <name val="Times New Roman"/>
      <family val="1"/>
    </font>
    <font>
      <b/>
      <sz val="12"/>
      <color rgb="FFCC6600"/>
      <name val="Times New Roman"/>
      <family val="1"/>
    </font>
    <font>
      <b/>
      <sz val="11"/>
      <color theme="1"/>
      <name val="Times New Roman"/>
      <family val="2"/>
      <scheme val="minor"/>
    </font>
    <font>
      <b/>
      <vertAlign val="subscript"/>
      <sz val="16"/>
      <color theme="1" tint="0.24994659260841701"/>
      <name val="Times New Roman"/>
      <family val="1"/>
    </font>
    <font>
      <b/>
      <vertAlign val="subscript"/>
      <sz val="12"/>
      <color theme="1" tint="0.24994659260841701"/>
      <name val="Times New Roman"/>
      <family val="1"/>
    </font>
    <font>
      <sz val="12"/>
      <color rgb="FFCC6600"/>
      <name val="Times New Roman"/>
      <family val="1"/>
    </font>
    <font>
      <b/>
      <sz val="20"/>
      <color theme="4" tint="-0.249977111117893"/>
      <name val="Times New Roman"/>
      <family val="1"/>
    </font>
    <font>
      <i/>
      <sz val="10"/>
      <color theme="5" tint="-0.499984740745262"/>
      <name val="Times New Roman"/>
      <family val="1"/>
    </font>
    <font>
      <i/>
      <sz val="10"/>
      <color theme="6" tint="-0.499984740745262"/>
      <name val="Times New Roman"/>
      <family val="1"/>
    </font>
    <font>
      <b/>
      <sz val="22"/>
      <color theme="5" tint="-0.499984740745262"/>
      <name val="Times New Roman"/>
      <family val="1"/>
    </font>
    <font>
      <i/>
      <sz val="11"/>
      <color rgb="FF533001"/>
      <name val="Times New Roman"/>
      <family val="1"/>
    </font>
    <font>
      <u/>
      <sz val="10"/>
      <color theme="1" tint="0.34998626667073579"/>
      <name val="Times New Roman"/>
      <family val="1"/>
    </font>
    <font>
      <b/>
      <vertAlign val="subscript"/>
      <sz val="11"/>
      <color rgb="FF533001"/>
      <name val="Times New Roman"/>
      <family val="1"/>
    </font>
    <font>
      <b/>
      <sz val="20"/>
      <color theme="3" tint="9.9978637043366805E-2"/>
      <name val="Times New Roman"/>
      <family val="1"/>
    </font>
    <font>
      <sz val="9"/>
      <color rgb="FF404040"/>
      <name val="Times New Roman"/>
      <family val="1"/>
    </font>
  </fonts>
  <fills count="16">
    <fill>
      <patternFill patternType="none"/>
    </fill>
    <fill>
      <patternFill patternType="gray125"/>
    </fill>
    <fill>
      <patternFill patternType="solid">
        <fgColor rgb="FFB2D498"/>
        <bgColor indexed="64"/>
      </patternFill>
    </fill>
    <fill>
      <patternFill patternType="solid">
        <fgColor rgb="FF183C1B"/>
        <bgColor indexed="64"/>
      </patternFill>
    </fill>
    <fill>
      <patternFill patternType="solid">
        <fgColor theme="0" tint="-4.9989318521683403E-2"/>
        <bgColor indexed="64"/>
      </patternFill>
    </fill>
    <fill>
      <patternFill patternType="solid">
        <fgColor rgb="FFCC6600"/>
        <bgColor indexed="64"/>
      </patternFill>
    </fill>
    <fill>
      <patternFill patternType="solid">
        <fgColor rgb="FFFFCC66"/>
        <bgColor indexed="64"/>
      </patternFill>
    </fill>
    <fill>
      <patternFill patternType="solid">
        <fgColor rgb="FF533001"/>
        <bgColor indexed="64"/>
      </patternFill>
    </fill>
    <fill>
      <patternFill patternType="solid">
        <fgColor rgb="FF008000"/>
        <bgColor indexed="64"/>
      </patternFill>
    </fill>
    <fill>
      <patternFill patternType="solid">
        <fgColor theme="0"/>
        <bgColor indexed="64"/>
      </patternFill>
    </fill>
    <fill>
      <patternFill patternType="solid">
        <fgColor theme="1" tint="0.499984740745262"/>
        <bgColor indexed="64"/>
      </patternFill>
    </fill>
    <fill>
      <patternFill patternType="solid">
        <fgColor theme="4" tint="-0.249977111117893"/>
        <bgColor indexed="64"/>
      </patternFill>
    </fill>
    <fill>
      <gradientFill degree="90">
        <stop position="0">
          <color theme="0"/>
        </stop>
        <stop position="1">
          <color theme="0" tint="-5.0965910824915313E-2"/>
        </stop>
      </gradientFill>
    </fill>
    <fill>
      <patternFill patternType="solid">
        <fgColor theme="3" tint="0.89996032593768116"/>
        <bgColor indexed="64"/>
      </patternFill>
    </fill>
    <fill>
      <patternFill patternType="solid">
        <fgColor theme="9" tint="0.59999389629810485"/>
        <bgColor indexed="64"/>
      </patternFill>
    </fill>
    <fill>
      <patternFill patternType="solid">
        <fgColor rgb="FFDCECD0"/>
        <bgColor indexed="64"/>
      </patternFill>
    </fill>
  </fills>
  <borders count="23">
    <border>
      <left/>
      <right/>
      <top/>
      <bottom/>
      <diagonal/>
    </border>
    <border>
      <left/>
      <right/>
      <top style="thin">
        <color indexed="64"/>
      </top>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right/>
      <top style="thin">
        <color theme="1" tint="0.249977111117893"/>
      </top>
      <bottom/>
      <diagonal/>
    </border>
    <border>
      <left/>
      <right/>
      <top style="thin">
        <color theme="1" tint="0.499984740745262"/>
      </top>
      <bottom/>
      <diagonal/>
    </border>
    <border>
      <left/>
      <right/>
      <top/>
      <bottom style="thin">
        <color theme="0" tint="-0.34998626667073579"/>
      </bottom>
      <diagonal/>
    </border>
    <border>
      <left/>
      <right/>
      <top/>
      <bottom style="thin">
        <color indexed="64"/>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style="thin">
        <color theme="0" tint="-0.34998626667073579"/>
      </top>
      <bottom style="thin">
        <color theme="0" tint="-0.34998626667073579"/>
      </bottom>
      <diagonal/>
    </border>
    <border>
      <left style="thin">
        <color theme="3" tint="0.749961851863155"/>
      </left>
      <right style="thin">
        <color theme="3" tint="0.749961851863155"/>
      </right>
      <top style="thin">
        <color theme="3" tint="0.749961851863155"/>
      </top>
      <bottom style="thin">
        <color theme="3" tint="0.749961851863155"/>
      </bottom>
      <diagonal/>
    </border>
    <border>
      <left style="thin">
        <color theme="3" tint="0.749961851863155"/>
      </left>
      <right/>
      <top style="thin">
        <color theme="3" tint="0.749961851863155"/>
      </top>
      <bottom/>
      <diagonal/>
    </border>
    <border>
      <left/>
      <right style="thin">
        <color theme="3" tint="0.749961851863155"/>
      </right>
      <top style="thin">
        <color theme="3" tint="0.749961851863155"/>
      </top>
      <bottom/>
      <diagonal/>
    </border>
    <border>
      <left style="thin">
        <color theme="3" tint="0.749961851863155"/>
      </left>
      <right/>
      <top/>
      <bottom style="thin">
        <color theme="3" tint="0.749961851863155"/>
      </bottom>
      <diagonal/>
    </border>
    <border>
      <left/>
      <right style="thin">
        <color theme="3" tint="0.749961851863155"/>
      </right>
      <top/>
      <bottom style="thin">
        <color theme="3" tint="0.749961851863155"/>
      </bottom>
      <diagonal/>
    </border>
    <border>
      <left/>
      <right/>
      <top/>
      <bottom style="thin">
        <color theme="3" tint="0.749961851863155"/>
      </bottom>
      <diagonal/>
    </border>
    <border>
      <left/>
      <right style="thin">
        <color theme="3" tint="0.749961851863155"/>
      </right>
      <top style="thin">
        <color theme="3" tint="0.749961851863155"/>
      </top>
      <bottom style="thin">
        <color theme="3" tint="0.749961851863155"/>
      </bottom>
      <diagonal/>
    </border>
    <border>
      <left/>
      <right/>
      <top style="thin">
        <color theme="3" tint="0.749961851863155"/>
      </top>
      <bottom/>
      <diagonal/>
    </border>
    <border>
      <left style="thin">
        <color theme="3" tint="0.749961851863155"/>
      </left>
      <right/>
      <top style="thin">
        <color theme="3" tint="0.749961851863155"/>
      </top>
      <bottom style="thin">
        <color theme="3" tint="0.749961851863155"/>
      </bottom>
      <diagonal/>
    </border>
    <border>
      <left/>
      <right/>
      <top style="thin">
        <color theme="3" tint="0.749961851863155"/>
      </top>
      <bottom style="thin">
        <color theme="0" tint="-0.34998626667073579"/>
      </bottom>
      <diagonal/>
    </border>
    <border>
      <left/>
      <right/>
      <top style="thin">
        <color theme="3" tint="0.749961851863155"/>
      </top>
      <bottom style="thin">
        <color theme="3" tint="0.749961851863155"/>
      </bottom>
      <diagonal/>
    </border>
    <border>
      <left/>
      <right/>
      <top style="thin">
        <color theme="0" tint="-0.34998626667073579"/>
      </top>
      <bottom style="thin">
        <color theme="0" tint="-0.34998626667073579"/>
      </bottom>
      <diagonal/>
    </border>
    <border>
      <left style="thin">
        <color theme="3" tint="0.749961851863155"/>
      </left>
      <right style="thin">
        <color theme="3" tint="0.749961851863155"/>
      </right>
      <top style="thin">
        <color theme="3" tint="0.749961851863155"/>
      </top>
      <bottom/>
      <diagonal/>
    </border>
    <border>
      <left style="thin">
        <color theme="3" tint="0.749961851863155"/>
      </left>
      <right style="thin">
        <color theme="3" tint="0.749961851863155"/>
      </right>
      <top/>
      <bottom style="thin">
        <color theme="3" tint="0.749961851863155"/>
      </bottom>
      <diagonal/>
    </border>
  </borders>
  <cellStyleXfs count="69">
    <xf numFmtId="0" fontId="0" fillId="0" borderId="0"/>
    <xf numFmtId="0" fontId="5" fillId="2" borderId="0">
      <alignment horizontal="left" vertical="center" indent="1"/>
      <protection locked="0"/>
    </xf>
    <xf numFmtId="0" fontId="4" fillId="0" borderId="0"/>
    <xf numFmtId="0" fontId="1" fillId="0" borderId="0">
      <alignment vertical="center"/>
    </xf>
    <xf numFmtId="0" fontId="17" fillId="3" borderId="0">
      <alignment vertical="center"/>
    </xf>
    <xf numFmtId="0" fontId="37" fillId="4" borderId="0">
      <alignment horizontal="left" vertical="center"/>
    </xf>
    <xf numFmtId="0" fontId="43" fillId="4" borderId="0">
      <alignment vertical="center"/>
    </xf>
    <xf numFmtId="0" fontId="3" fillId="4" borderId="0">
      <alignment horizontal="left" vertical="center"/>
    </xf>
    <xf numFmtId="0" fontId="39" fillId="4" borderId="0">
      <alignment horizontal="left" vertical="center"/>
    </xf>
    <xf numFmtId="0" fontId="5" fillId="2" borderId="0">
      <alignment horizontal="center" vertical="center"/>
    </xf>
    <xf numFmtId="164" fontId="8" fillId="4" borderId="0">
      <alignment horizontal="center" vertical="center"/>
    </xf>
    <xf numFmtId="9" fontId="8" fillId="4" borderId="0">
      <alignment horizontal="center" vertical="center"/>
    </xf>
    <xf numFmtId="0" fontId="6" fillId="4" borderId="0">
      <alignment horizontal="left" vertical="center" indent="1"/>
    </xf>
    <xf numFmtId="0" fontId="7" fillId="4" borderId="0">
      <alignment horizontal="right" vertical="center"/>
    </xf>
    <xf numFmtId="9" fontId="10" fillId="0" borderId="0" applyFont="0" applyFill="0" applyBorder="0" applyAlignment="0" applyProtection="0"/>
    <xf numFmtId="0" fontId="2" fillId="0" borderId="2">
      <alignment horizontal="center" vertical="center"/>
    </xf>
    <xf numFmtId="0" fontId="3" fillId="12" borderId="2">
      <alignment horizontal="center" vertical="center"/>
    </xf>
    <xf numFmtId="9" fontId="2" fillId="0" borderId="2">
      <alignment horizontal="center" vertical="center"/>
    </xf>
    <xf numFmtId="4" fontId="2" fillId="0" borderId="2">
      <alignment horizontal="center" vertical="center"/>
    </xf>
    <xf numFmtId="3" fontId="2" fillId="0" borderId="2">
      <alignment horizontal="center" vertical="center"/>
    </xf>
    <xf numFmtId="0" fontId="14" fillId="0" borderId="2">
      <alignment horizontal="center" vertical="center"/>
    </xf>
    <xf numFmtId="0" fontId="15" fillId="0" borderId="2">
      <alignment horizontal="center" vertical="center"/>
    </xf>
    <xf numFmtId="9" fontId="14" fillId="0" borderId="2">
      <alignment horizontal="center" vertical="center"/>
    </xf>
    <xf numFmtId="165" fontId="14" fillId="0" borderId="2">
      <alignment horizontal="center" vertical="center"/>
    </xf>
    <xf numFmtId="3" fontId="14" fillId="0" borderId="2">
      <alignment horizontal="center" vertical="center"/>
    </xf>
    <xf numFmtId="0" fontId="16" fillId="4" borderId="0">
      <alignment horizontal="left" vertical="center"/>
    </xf>
    <xf numFmtId="0" fontId="6" fillId="4" borderId="4">
      <alignment horizontal="left" vertical="center" indent="1"/>
    </xf>
    <xf numFmtId="164" fontId="8" fillId="4" borderId="4">
      <alignment horizontal="center" vertical="center"/>
    </xf>
    <xf numFmtId="0" fontId="3" fillId="4" borderId="4">
      <alignment horizontal="left" vertical="center"/>
    </xf>
    <xf numFmtId="0" fontId="13" fillId="6" borderId="0">
      <alignment horizontal="left" vertical="center" indent="1"/>
    </xf>
    <xf numFmtId="0" fontId="13" fillId="6" borderId="0">
      <alignment horizontal="center" vertical="center"/>
      <protection locked="0"/>
    </xf>
    <xf numFmtId="0" fontId="12" fillId="4" borderId="0">
      <alignment vertical="center"/>
    </xf>
    <xf numFmtId="0" fontId="17" fillId="7" borderId="0">
      <alignment vertical="center"/>
    </xf>
    <xf numFmtId="0" fontId="11" fillId="0" borderId="0"/>
    <xf numFmtId="0" fontId="18" fillId="0" borderId="0" applyNumberFormat="0" applyFill="0" applyBorder="0" applyAlignment="0" applyProtection="0"/>
    <xf numFmtId="0" fontId="2" fillId="0" borderId="0">
      <alignment horizontal="left" vertical="center" indent="1"/>
    </xf>
    <xf numFmtId="0" fontId="19" fillId="9" borderId="5">
      <alignment horizontal="left" vertical="center" indent="1"/>
    </xf>
    <xf numFmtId="0" fontId="22" fillId="10" borderId="0">
      <alignment horizontal="left" vertical="center" indent="1"/>
    </xf>
    <xf numFmtId="0" fontId="22" fillId="5" borderId="0">
      <alignment horizontal="left" vertical="center" indent="1"/>
    </xf>
    <xf numFmtId="0" fontId="22" fillId="8" borderId="0">
      <alignment horizontal="left" vertical="center" indent="1"/>
    </xf>
    <xf numFmtId="0" fontId="24" fillId="0" borderId="0">
      <alignment horizontal="left" vertical="center" indent="2"/>
    </xf>
    <xf numFmtId="0" fontId="45" fillId="13" borderId="9">
      <alignment horizontal="left" vertical="center"/>
    </xf>
    <xf numFmtId="43" fontId="10" fillId="0" borderId="0" applyFont="0" applyFill="0" applyBorder="0" applyAlignment="0" applyProtection="0"/>
    <xf numFmtId="3" fontId="35" fillId="4" borderId="2">
      <alignment horizontal="center" vertical="center"/>
    </xf>
    <xf numFmtId="168" fontId="2" fillId="0" borderId="2">
      <alignment horizontal="center" vertical="center"/>
    </xf>
    <xf numFmtId="0" fontId="36" fillId="0" borderId="0"/>
    <xf numFmtId="0" fontId="10" fillId="0" borderId="0"/>
    <xf numFmtId="0" fontId="36" fillId="0" borderId="0"/>
    <xf numFmtId="166" fontId="35" fillId="4" borderId="2">
      <alignment horizontal="center" vertical="center"/>
    </xf>
    <xf numFmtId="4" fontId="35" fillId="4" borderId="2">
      <alignment horizontal="center" vertical="center"/>
    </xf>
    <xf numFmtId="0" fontId="55" fillId="4" borderId="0">
      <alignment horizontal="left" vertical="center"/>
    </xf>
    <xf numFmtId="0" fontId="38" fillId="4" borderId="0" applyNumberFormat="0">
      <alignment horizontal="center" vertical="center"/>
    </xf>
    <xf numFmtId="165" fontId="35" fillId="4" borderId="2">
      <alignment horizontal="center" vertical="center"/>
    </xf>
    <xf numFmtId="0" fontId="34" fillId="4" borderId="0">
      <alignment horizontal="left" vertical="center"/>
    </xf>
    <xf numFmtId="169" fontId="35" fillId="4" borderId="2">
      <alignment horizontal="center" vertical="center"/>
    </xf>
    <xf numFmtId="0" fontId="35" fillId="4" borderId="2">
      <alignment horizontal="center" vertical="center"/>
    </xf>
    <xf numFmtId="0" fontId="6" fillId="4" borderId="0">
      <alignment horizontal="left" vertical="center"/>
    </xf>
    <xf numFmtId="0" fontId="42" fillId="4" borderId="0">
      <alignment horizontal="left" vertical="center"/>
    </xf>
    <xf numFmtId="0" fontId="10" fillId="0" borderId="0"/>
    <xf numFmtId="0" fontId="2" fillId="0" borderId="2">
      <alignment horizontal="center" vertical="center"/>
    </xf>
    <xf numFmtId="0" fontId="48" fillId="4" borderId="0">
      <alignment horizontal="left" vertical="center"/>
    </xf>
    <xf numFmtId="0" fontId="49" fillId="4" borderId="0">
      <alignment horizontal="left" vertical="center"/>
    </xf>
    <xf numFmtId="0" fontId="56" fillId="4" borderId="0">
      <alignment horizontal="left" vertical="center"/>
    </xf>
    <xf numFmtId="0" fontId="47" fillId="11" borderId="0">
      <alignment horizontal="center" vertical="center"/>
    </xf>
    <xf numFmtId="0" fontId="22" fillId="11" borderId="0">
      <alignment horizontal="left" vertical="center" indent="1"/>
    </xf>
    <xf numFmtId="0" fontId="62" fillId="14" borderId="2">
      <alignment horizontal="center" vertical="center"/>
    </xf>
    <xf numFmtId="0" fontId="63" fillId="15" borderId="2">
      <alignment horizontal="center" vertical="center"/>
    </xf>
    <xf numFmtId="0" fontId="35" fillId="4" borderId="2">
      <alignment horizontal="left" vertical="center"/>
    </xf>
    <xf numFmtId="0" fontId="66" fillId="4" borderId="2">
      <alignment horizontal="left" vertical="center"/>
    </xf>
  </cellStyleXfs>
  <cellXfs count="147">
    <xf numFmtId="0" fontId="0" fillId="0" borderId="0" xfId="0"/>
    <xf numFmtId="0" fontId="39" fillId="4" borderId="0" xfId="8">
      <alignment horizontal="left" vertical="center"/>
    </xf>
    <xf numFmtId="0" fontId="6" fillId="4" borderId="0" xfId="12">
      <alignment horizontal="left" vertical="center" indent="1"/>
    </xf>
    <xf numFmtId="0" fontId="3" fillId="4" borderId="0" xfId="7">
      <alignment horizontal="left" vertical="center"/>
    </xf>
    <xf numFmtId="0" fontId="17" fillId="3" borderId="0" xfId="4">
      <alignment vertical="center"/>
    </xf>
    <xf numFmtId="0" fontId="43" fillId="4" borderId="0" xfId="6">
      <alignment vertical="center"/>
    </xf>
    <xf numFmtId="0" fontId="37" fillId="4" borderId="0" xfId="5">
      <alignment horizontal="left" vertical="center"/>
    </xf>
    <xf numFmtId="0" fontId="3" fillId="0" borderId="0" xfId="7" applyFill="1">
      <alignment horizontal="left" vertical="center"/>
    </xf>
    <xf numFmtId="0" fontId="4" fillId="0" borderId="0" xfId="2"/>
    <xf numFmtId="0" fontId="1" fillId="0" borderId="0" xfId="3">
      <alignment vertical="center"/>
    </xf>
    <xf numFmtId="0" fontId="2" fillId="4" borderId="0" xfId="7" applyFont="1">
      <alignment horizontal="left" vertical="center"/>
    </xf>
    <xf numFmtId="0" fontId="17" fillId="0" borderId="0" xfId="4" applyFill="1">
      <alignment vertical="center"/>
    </xf>
    <xf numFmtId="0" fontId="11" fillId="0" borderId="0" xfId="2" applyFont="1"/>
    <xf numFmtId="0" fontId="16" fillId="4" borderId="0" xfId="25">
      <alignment horizontal="left" vertical="center"/>
    </xf>
    <xf numFmtId="0" fontId="12" fillId="4" borderId="0" xfId="31">
      <alignment vertical="center"/>
    </xf>
    <xf numFmtId="0" fontId="17" fillId="7" borderId="0" xfId="32">
      <alignment vertical="center"/>
    </xf>
    <xf numFmtId="0" fontId="2" fillId="9" borderId="0" xfId="7" applyFont="1" applyFill="1" applyAlignment="1">
      <alignment horizontal="left" vertical="center" indent="1"/>
    </xf>
    <xf numFmtId="0" fontId="2" fillId="0" borderId="0" xfId="35">
      <alignment horizontal="left" vertical="center" indent="1"/>
    </xf>
    <xf numFmtId="0" fontId="20" fillId="9" borderId="5" xfId="36" applyFont="1">
      <alignment horizontal="left" vertical="center" indent="1"/>
    </xf>
    <xf numFmtId="0" fontId="21" fillId="9" borderId="5" xfId="36" applyFont="1">
      <alignment horizontal="left" vertical="center" indent="1"/>
    </xf>
    <xf numFmtId="0" fontId="22" fillId="5" borderId="0" xfId="38">
      <alignment horizontal="left" vertical="center" indent="1"/>
    </xf>
    <xf numFmtId="0" fontId="22" fillId="8" borderId="0" xfId="39">
      <alignment horizontal="left" vertical="center" indent="1"/>
    </xf>
    <xf numFmtId="0" fontId="45" fillId="13" borderId="9" xfId="41">
      <alignment horizontal="left" vertical="center"/>
    </xf>
    <xf numFmtId="0" fontId="0" fillId="4" borderId="0" xfId="0" applyFill="1"/>
    <xf numFmtId="2" fontId="32" fillId="4" borderId="1" xfId="0" applyNumberFormat="1" applyFont="1" applyFill="1" applyBorder="1"/>
    <xf numFmtId="2" fontId="0" fillId="4" borderId="0" xfId="0" applyNumberFormat="1" applyFill="1" applyAlignment="1">
      <alignment vertical="center"/>
    </xf>
    <xf numFmtId="0" fontId="17" fillId="4" borderId="0" xfId="4" applyFill="1">
      <alignment vertical="center"/>
    </xf>
    <xf numFmtId="0" fontId="31" fillId="4" borderId="0" xfId="0" applyFont="1" applyFill="1"/>
    <xf numFmtId="2" fontId="32" fillId="4" borderId="0" xfId="0" applyNumberFormat="1" applyFont="1" applyFill="1"/>
    <xf numFmtId="0" fontId="6" fillId="4" borderId="0" xfId="12" applyAlignment="1">
      <alignment horizontal="left" indent="1"/>
    </xf>
    <xf numFmtId="0" fontId="32" fillId="4" borderId="1" xfId="0" applyFont="1" applyFill="1" applyBorder="1"/>
    <xf numFmtId="0" fontId="39" fillId="4" borderId="0" xfId="8" applyAlignment="1">
      <alignment horizontal="right" vertical="center"/>
    </xf>
    <xf numFmtId="4" fontId="2" fillId="4" borderId="0" xfId="18" applyFill="1" applyBorder="1">
      <alignment horizontal="center" vertical="center"/>
    </xf>
    <xf numFmtId="0" fontId="13" fillId="4" borderId="0" xfId="30" applyFill="1">
      <alignment horizontal="center" vertical="center"/>
      <protection locked="0"/>
    </xf>
    <xf numFmtId="0" fontId="2" fillId="0" borderId="2" xfId="15">
      <alignment horizontal="center" vertical="center"/>
    </xf>
    <xf numFmtId="0" fontId="29" fillId="4" borderId="0" xfId="7" applyFont="1" applyAlignment="1">
      <alignment horizontal="center" vertical="center"/>
    </xf>
    <xf numFmtId="166" fontId="29" fillId="4" borderId="0" xfId="7" applyNumberFormat="1" applyFont="1" applyAlignment="1">
      <alignment horizontal="center" vertical="center"/>
    </xf>
    <xf numFmtId="0" fontId="0" fillId="0" borderId="0" xfId="7" applyFont="1" applyFill="1">
      <alignment horizontal="left" vertical="center"/>
    </xf>
    <xf numFmtId="0" fontId="0" fillId="0" borderId="0" xfId="8" applyFont="1" applyFill="1">
      <alignment horizontal="left" vertical="center"/>
    </xf>
    <xf numFmtId="0" fontId="2" fillId="0" borderId="0" xfId="7" applyFont="1" applyFill="1">
      <alignment horizontal="left" vertical="center"/>
    </xf>
    <xf numFmtId="0" fontId="13" fillId="6" borderId="0" xfId="30">
      <alignment horizontal="center" vertical="center"/>
      <protection locked="0"/>
    </xf>
    <xf numFmtId="0" fontId="3" fillId="12" borderId="2" xfId="16">
      <alignment horizontal="center" vertical="center"/>
    </xf>
    <xf numFmtId="0" fontId="37" fillId="0" borderId="0" xfId="5" applyFill="1">
      <alignment horizontal="left" vertical="center"/>
    </xf>
    <xf numFmtId="0" fontId="43" fillId="0" borderId="0" xfId="6" applyFill="1">
      <alignment vertical="center"/>
    </xf>
    <xf numFmtId="0" fontId="39" fillId="0" borderId="0" xfId="8" applyFill="1">
      <alignment horizontal="left" vertical="center"/>
    </xf>
    <xf numFmtId="0" fontId="9" fillId="0" borderId="0" xfId="12" applyFont="1" applyFill="1" applyAlignment="1">
      <alignment horizontal="left" vertical="center"/>
    </xf>
    <xf numFmtId="0" fontId="39" fillId="4" borderId="1" xfId="8" applyBorder="1">
      <alignment horizontal="left" vertical="center"/>
    </xf>
    <xf numFmtId="9" fontId="2" fillId="0" borderId="2" xfId="17">
      <alignment horizontal="center" vertical="center"/>
    </xf>
    <xf numFmtId="4" fontId="26" fillId="0" borderId="0" xfId="18" applyFont="1" applyBorder="1">
      <alignment horizontal="center" vertical="center"/>
    </xf>
    <xf numFmtId="0" fontId="55" fillId="4" borderId="0" xfId="50">
      <alignment horizontal="left" vertical="center"/>
    </xf>
    <xf numFmtId="0" fontId="25" fillId="0" borderId="0" xfId="0" applyFont="1" applyAlignment="1" applyProtection="1">
      <alignment horizontal="center" vertical="center"/>
      <protection locked="0"/>
    </xf>
    <xf numFmtId="0" fontId="26" fillId="0" borderId="0" xfId="0" applyFont="1"/>
    <xf numFmtId="0" fontId="5" fillId="2" borderId="0" xfId="9">
      <alignment horizontal="center" vertical="center"/>
    </xf>
    <xf numFmtId="0" fontId="35" fillId="4" borderId="2" xfId="55">
      <alignment horizontal="center" vertical="center"/>
    </xf>
    <xf numFmtId="0" fontId="41" fillId="4" borderId="0" xfId="8" applyFont="1">
      <alignment horizontal="left" vertical="center"/>
    </xf>
    <xf numFmtId="0" fontId="6" fillId="4" borderId="0" xfId="56">
      <alignment horizontal="left" vertical="center"/>
    </xf>
    <xf numFmtId="0" fontId="42" fillId="4" borderId="0" xfId="57">
      <alignment horizontal="left" vertical="center"/>
    </xf>
    <xf numFmtId="0" fontId="10" fillId="0" borderId="0" xfId="58"/>
    <xf numFmtId="0" fontId="35" fillId="4" borderId="2" xfId="55" applyAlignment="1">
      <alignment horizontal="left" vertical="center"/>
    </xf>
    <xf numFmtId="0" fontId="35" fillId="4" borderId="8" xfId="55" applyBorder="1" applyAlignment="1">
      <alignment horizontal="left" vertical="center"/>
    </xf>
    <xf numFmtId="0" fontId="0" fillId="4" borderId="0" xfId="7" applyFont="1">
      <alignment horizontal="left" vertical="center"/>
    </xf>
    <xf numFmtId="4" fontId="26" fillId="4" borderId="0" xfId="18" applyFont="1" applyFill="1" applyBorder="1">
      <alignment horizontal="center" vertical="center"/>
    </xf>
    <xf numFmtId="9" fontId="26" fillId="4" borderId="0" xfId="14" applyFont="1" applyFill="1" applyBorder="1" applyAlignment="1">
      <alignment horizontal="center" vertical="center"/>
    </xf>
    <xf numFmtId="0" fontId="13" fillId="6" borderId="0" xfId="29">
      <alignment horizontal="left" vertical="center" indent="1"/>
    </xf>
    <xf numFmtId="168" fontId="2" fillId="0" borderId="2" xfId="44">
      <alignment horizontal="center" vertical="center"/>
    </xf>
    <xf numFmtId="0" fontId="2" fillId="0" borderId="2" xfId="59">
      <alignment horizontal="center" vertical="center"/>
    </xf>
    <xf numFmtId="0" fontId="11" fillId="0" borderId="0" xfId="33"/>
    <xf numFmtId="0" fontId="22" fillId="10" borderId="0" xfId="37">
      <alignment horizontal="left" vertical="center" indent="1"/>
    </xf>
    <xf numFmtId="0" fontId="3" fillId="4" borderId="3" xfId="7" applyBorder="1">
      <alignment horizontal="left" vertical="center"/>
    </xf>
    <xf numFmtId="166" fontId="35" fillId="4" borderId="2" xfId="43" applyNumberFormat="1">
      <alignment horizontal="center" vertical="center"/>
    </xf>
    <xf numFmtId="164" fontId="8" fillId="4" borderId="0" xfId="27" applyBorder="1">
      <alignment horizontal="center" vertical="center"/>
    </xf>
    <xf numFmtId="0" fontId="26" fillId="4" borderId="0" xfId="8" applyFont="1" applyAlignment="1">
      <alignment horizontal="center" vertical="center"/>
    </xf>
    <xf numFmtId="166" fontId="26" fillId="4" borderId="0" xfId="8" applyNumberFormat="1" applyFont="1" applyAlignment="1">
      <alignment horizontal="center" vertical="center"/>
    </xf>
    <xf numFmtId="0" fontId="26" fillId="4" borderId="0" xfId="12" applyFont="1" applyAlignment="1">
      <alignment horizontal="center" vertical="center"/>
    </xf>
    <xf numFmtId="0" fontId="27" fillId="4" borderId="0" xfId="0" applyFont="1" applyFill="1" applyAlignment="1">
      <alignment horizontal="center" vertical="center"/>
    </xf>
    <xf numFmtId="0" fontId="27" fillId="4" borderId="0" xfId="0" applyFont="1" applyFill="1"/>
    <xf numFmtId="0" fontId="26" fillId="4" borderId="0" xfId="0" applyFont="1" applyFill="1"/>
    <xf numFmtId="0" fontId="28" fillId="4" borderId="0" xfId="7" applyFont="1" applyAlignment="1">
      <alignment horizontal="center" vertical="center"/>
    </xf>
    <xf numFmtId="0" fontId="29" fillId="4" borderId="0" xfId="0" applyFont="1" applyFill="1" applyAlignment="1">
      <alignment horizontal="center" vertical="center"/>
    </xf>
    <xf numFmtId="0" fontId="30" fillId="4" borderId="0" xfId="0" applyFont="1" applyFill="1" applyAlignment="1">
      <alignment horizontal="center" vertical="center"/>
    </xf>
    <xf numFmtId="0" fontId="30" fillId="4" borderId="0" xfId="0" applyFont="1" applyFill="1" applyAlignment="1">
      <alignment horizontal="left" vertical="center"/>
    </xf>
    <xf numFmtId="14" fontId="3" fillId="4" borderId="0" xfId="7" applyNumberFormat="1">
      <alignment horizontal="left" vertical="center"/>
    </xf>
    <xf numFmtId="0" fontId="18" fillId="4" borderId="0" xfId="34" applyFill="1" applyBorder="1"/>
    <xf numFmtId="166" fontId="2" fillId="4" borderId="0" xfId="19" applyNumberFormat="1" applyFill="1" applyBorder="1">
      <alignment horizontal="center" vertical="center"/>
    </xf>
    <xf numFmtId="167" fontId="3" fillId="4" borderId="0" xfId="42" applyNumberFormat="1" applyFont="1" applyFill="1" applyBorder="1" applyAlignment="1">
      <alignment horizontal="center" vertical="center"/>
    </xf>
    <xf numFmtId="0" fontId="33" fillId="4" borderId="0" xfId="0" applyFont="1" applyFill="1"/>
    <xf numFmtId="0" fontId="45" fillId="13" borderId="11" xfId="41" applyBorder="1">
      <alignment horizontal="left" vertical="center"/>
    </xf>
    <xf numFmtId="0" fontId="45" fillId="13" borderId="13" xfId="41" applyBorder="1">
      <alignment horizontal="left" vertical="center"/>
    </xf>
    <xf numFmtId="0" fontId="45" fillId="13" borderId="15" xfId="41" applyBorder="1">
      <alignment horizontal="left" vertical="center"/>
    </xf>
    <xf numFmtId="0" fontId="45" fillId="13" borderId="14" xfId="41" applyBorder="1">
      <alignment horizontal="left" vertical="center"/>
    </xf>
    <xf numFmtId="0" fontId="45" fillId="13" borderId="16" xfId="41" applyBorder="1">
      <alignment horizontal="left" vertical="center"/>
    </xf>
    <xf numFmtId="0" fontId="45" fillId="13" borderId="18" xfId="41" applyBorder="1">
      <alignment horizontal="left" vertical="center"/>
    </xf>
    <xf numFmtId="0" fontId="45" fillId="13" borderId="12" xfId="41" applyBorder="1">
      <alignment horizontal="left" vertical="center"/>
    </xf>
    <xf numFmtId="0" fontId="45" fillId="13" borderId="17" xfId="41" applyBorder="1">
      <alignment horizontal="left" vertical="center"/>
    </xf>
    <xf numFmtId="0" fontId="45" fillId="13" borderId="19" xfId="41" applyBorder="1">
      <alignment horizontal="left" vertical="center"/>
    </xf>
    <xf numFmtId="0" fontId="46" fillId="13" borderId="10" xfId="41" applyFont="1" applyBorder="1">
      <alignment horizontal="left" vertical="center"/>
    </xf>
    <xf numFmtId="0" fontId="44" fillId="6" borderId="0" xfId="30" applyFont="1" applyProtection="1">
      <alignment horizontal="center" vertical="center"/>
    </xf>
    <xf numFmtId="9" fontId="35" fillId="4" borderId="2" xfId="14" applyFont="1" applyFill="1" applyBorder="1" applyAlignment="1">
      <alignment horizontal="center" vertical="center"/>
    </xf>
    <xf numFmtId="0" fontId="0" fillId="0" borderId="0" xfId="1" applyFont="1" applyFill="1">
      <alignment horizontal="left" vertical="center" indent="1"/>
      <protection locked="0"/>
    </xf>
    <xf numFmtId="0" fontId="49" fillId="4" borderId="0" xfId="61">
      <alignment horizontal="left" vertical="center"/>
    </xf>
    <xf numFmtId="0" fontId="48" fillId="4" borderId="0" xfId="60">
      <alignment horizontal="left" vertical="center"/>
    </xf>
    <xf numFmtId="0" fontId="50" fillId="4" borderId="0" xfId="57" applyFont="1">
      <alignment horizontal="left" vertical="center"/>
    </xf>
    <xf numFmtId="3" fontId="2" fillId="0" borderId="2" xfId="19">
      <alignment horizontal="center" vertical="center"/>
    </xf>
    <xf numFmtId="3" fontId="35" fillId="4" borderId="2" xfId="55" applyNumberFormat="1">
      <alignment horizontal="center" vertical="center"/>
    </xf>
    <xf numFmtId="0" fontId="51" fillId="4" borderId="1" xfId="8" applyFont="1" applyBorder="1">
      <alignment horizontal="left" vertical="center"/>
    </xf>
    <xf numFmtId="0" fontId="52" fillId="4" borderId="1" xfId="8" applyFont="1" applyBorder="1">
      <alignment horizontal="left" vertical="center"/>
    </xf>
    <xf numFmtId="0" fontId="53" fillId="4" borderId="1" xfId="56" applyFont="1" applyBorder="1">
      <alignment horizontal="left" vertical="center"/>
    </xf>
    <xf numFmtId="0" fontId="35" fillId="4" borderId="20" xfId="55" applyBorder="1">
      <alignment horizontal="center" vertical="center"/>
    </xf>
    <xf numFmtId="0" fontId="6" fillId="4" borderId="1" xfId="56" applyBorder="1">
      <alignment horizontal="left" vertical="center"/>
    </xf>
    <xf numFmtId="0" fontId="56" fillId="4" borderId="0" xfId="62">
      <alignment horizontal="left" vertical="center"/>
    </xf>
    <xf numFmtId="0" fontId="57" fillId="2" borderId="0" xfId="8" applyFont="1" applyFill="1">
      <alignment horizontal="left" vertical="center"/>
    </xf>
    <xf numFmtId="0" fontId="5" fillId="2" borderId="0" xfId="1">
      <alignment horizontal="left" vertical="center" indent="1"/>
      <protection locked="0"/>
    </xf>
    <xf numFmtId="0" fontId="45" fillId="13" borderId="10" xfId="41" applyBorder="1">
      <alignment horizontal="left" vertical="center"/>
    </xf>
    <xf numFmtId="0" fontId="0" fillId="0" borderId="1" xfId="0" applyBorder="1"/>
    <xf numFmtId="9" fontId="8" fillId="4" borderId="0" xfId="11">
      <alignment horizontal="center" vertical="center"/>
    </xf>
    <xf numFmtId="164" fontId="8" fillId="4" borderId="0" xfId="10">
      <alignment horizontal="center" vertical="center"/>
    </xf>
    <xf numFmtId="0" fontId="6" fillId="4" borderId="1" xfId="12" applyBorder="1">
      <alignment horizontal="left" vertical="center" indent="1"/>
    </xf>
    <xf numFmtId="0" fontId="39" fillId="4" borderId="6" xfId="8" applyBorder="1">
      <alignment horizontal="left" vertical="center"/>
    </xf>
    <xf numFmtId="0" fontId="41" fillId="4" borderId="1" xfId="8" applyFont="1" applyBorder="1">
      <alignment horizontal="left" vertical="center"/>
    </xf>
    <xf numFmtId="2" fontId="32" fillId="4" borderId="1" xfId="0" applyNumberFormat="1" applyFont="1" applyFill="1" applyBorder="1" applyAlignment="1">
      <alignment horizontal="center"/>
    </xf>
    <xf numFmtId="0" fontId="60" fillId="4" borderId="0" xfId="62" applyFont="1">
      <alignment horizontal="left" vertical="center"/>
    </xf>
    <xf numFmtId="0" fontId="39" fillId="4" borderId="0" xfId="8" applyAlignment="1">
      <alignment horizontal="center" vertical="center"/>
    </xf>
    <xf numFmtId="0" fontId="47" fillId="11" borderId="0" xfId="63">
      <alignment horizontal="center" vertical="center"/>
    </xf>
    <xf numFmtId="0" fontId="22" fillId="11" borderId="0" xfId="64">
      <alignment horizontal="left" vertical="center" indent="1"/>
    </xf>
    <xf numFmtId="0" fontId="61" fillId="0" borderId="0" xfId="2" applyFont="1"/>
    <xf numFmtId="0" fontId="62" fillId="14" borderId="2" xfId="65">
      <alignment horizontal="center" vertical="center"/>
    </xf>
    <xf numFmtId="0" fontId="63" fillId="15" borderId="2" xfId="66">
      <alignment horizontal="center" vertical="center"/>
    </xf>
    <xf numFmtId="0" fontId="64" fillId="4" borderId="0" xfId="62" applyFont="1" applyAlignment="1">
      <alignment horizontal="left" vertical="center" indent="2"/>
    </xf>
    <xf numFmtId="0" fontId="44" fillId="6" borderId="0" xfId="30" applyFont="1" applyAlignment="1" applyProtection="1">
      <alignment horizontal="left" vertical="center" indent="3"/>
    </xf>
    <xf numFmtId="0" fontId="13" fillId="6" borderId="0" xfId="29" applyAlignment="1">
      <alignment horizontal="left" vertical="center" indent="3"/>
    </xf>
    <xf numFmtId="0" fontId="39" fillId="4" borderId="0" xfId="8" applyAlignment="1">
      <alignment horizontal="left" vertical="center" indent="3"/>
    </xf>
    <xf numFmtId="0" fontId="41" fillId="4" borderId="0" xfId="8" applyFont="1" applyAlignment="1">
      <alignment horizontal="left" vertical="center" indent="6"/>
    </xf>
    <xf numFmtId="0" fontId="39" fillId="4" borderId="0" xfId="8" applyAlignment="1">
      <alignment horizontal="left" vertical="center" indent="6"/>
    </xf>
    <xf numFmtId="0" fontId="64" fillId="4" borderId="0" xfId="62" applyFont="1">
      <alignment horizontal="left" vertical="center"/>
    </xf>
    <xf numFmtId="0" fontId="35" fillId="4" borderId="2" xfId="67">
      <alignment horizontal="left" vertical="center"/>
    </xf>
    <xf numFmtId="0" fontId="66" fillId="4" borderId="2" xfId="68">
      <alignment horizontal="left" vertical="center"/>
    </xf>
    <xf numFmtId="0" fontId="35" fillId="4" borderId="7" xfId="67" applyBorder="1">
      <alignment horizontal="left" vertical="center"/>
    </xf>
    <xf numFmtId="0" fontId="35" fillId="4" borderId="8" xfId="67" applyBorder="1">
      <alignment horizontal="left" vertical="center"/>
    </xf>
    <xf numFmtId="0" fontId="35" fillId="4" borderId="20" xfId="67" applyBorder="1">
      <alignment horizontal="left" vertical="center"/>
    </xf>
    <xf numFmtId="0" fontId="68" fillId="9" borderId="0" xfId="33" applyFont="1" applyFill="1"/>
    <xf numFmtId="0" fontId="39" fillId="9" borderId="0" xfId="8" applyFill="1">
      <alignment horizontal="left" vertical="center"/>
    </xf>
    <xf numFmtId="0" fontId="17" fillId="11" borderId="0" xfId="32" applyFill="1">
      <alignment vertical="center"/>
    </xf>
    <xf numFmtId="0" fontId="45" fillId="13" borderId="21" xfId="41" applyBorder="1">
      <alignment horizontal="left" vertical="center"/>
    </xf>
    <xf numFmtId="0" fontId="46" fillId="13" borderId="22" xfId="41" applyFont="1" applyBorder="1">
      <alignment horizontal="left" vertical="center"/>
    </xf>
    <xf numFmtId="0" fontId="45" fillId="13" borderId="22" xfId="41" applyBorder="1">
      <alignment horizontal="left" vertical="center"/>
    </xf>
    <xf numFmtId="0" fontId="69" fillId="9" borderId="5" xfId="36" applyFont="1">
      <alignment horizontal="left" vertical="center" indent="1"/>
    </xf>
    <xf numFmtId="0" fontId="18" fillId="0" borderId="0" xfId="34"/>
  </cellXfs>
  <cellStyles count="69">
    <cellStyle name="Alert" xfId="62" xr:uid="{34EFE908-8095-4010-8F93-8CFE88055637}"/>
    <cellStyle name="Arguments" xfId="67" xr:uid="{A98BE7F9-9AF1-41BC-93A1-04622A5983FD}"/>
    <cellStyle name="Arguments hyperlink" xfId="68" xr:uid="{5B3BC2F2-D301-4F3B-B97E-D17F59423576}"/>
    <cellStyle name="Block heading" xfId="5" xr:uid="{74527274-3B4A-494A-B37C-EA50686E114C}"/>
    <cellStyle name="Block subheading" xfId="50" xr:uid="{34E62905-A3E0-4883-B81A-BDB58FC88DA7}"/>
    <cellStyle name="Code" xfId="25" xr:uid="{99B3520F-01DD-4F8E-A8D0-24EAA04E90EB}"/>
    <cellStyle name="Comma" xfId="42" builtinId="3"/>
    <cellStyle name="Content bold" xfId="7" xr:uid="{468A1381-682E-4BF1-945B-DF2E2BCA4419}"/>
    <cellStyle name="Content bold total" xfId="28" xr:uid="{17159E75-EF9F-42B8-8195-E83583796F67}"/>
    <cellStyle name="Content hidden" xfId="53" xr:uid="{8E56D08F-467A-4F3D-ADA8-ECA27B2FFCD3}"/>
    <cellStyle name="Content normal" xfId="8" xr:uid="{55F96DE2-2B61-4529-A3B8-2B8B8AA0D350}"/>
    <cellStyle name="Equation column header" xfId="9" xr:uid="{B705D3A4-E195-47DF-A4D1-BA1FDC70C701}"/>
    <cellStyle name="Equation source" xfId="6" xr:uid="{348FC12D-3392-478F-B0B3-D4FA4BBA59E4}"/>
    <cellStyle name="Equation table header" xfId="1" xr:uid="{11780056-D3CA-48D4-90AF-8DF1A50E1B13}"/>
    <cellStyle name="Euqation table row 2" xfId="13" xr:uid="{2CAEAB93-BC87-4606-B5A1-3C2F7B5C52A1}"/>
    <cellStyle name="Hyperlink" xfId="34" builtinId="8"/>
    <cellStyle name="Information tip" xfId="41" xr:uid="{7D200D09-32E3-4546-9822-1B93AD118A74}"/>
    <cellStyle name="Information variation" xfId="57" xr:uid="{205494A3-14DD-4E6A-BDD3-5C5A864D6FA7}"/>
    <cellStyle name="Input block subheading" xfId="31" xr:uid="{A9FEBDB0-0992-4E30-96E5-9F9CAE92E3FB}"/>
    <cellStyle name="Input date" xfId="44" xr:uid="{A1D72D5E-DCF3-445F-8FC0-A147E105D774}"/>
    <cellStyle name="Input date calculated" xfId="48" xr:uid="{5A42AD0E-F665-46A9-9757-6B6A4BE7013E}"/>
    <cellStyle name="Input number 2 decimal places" xfId="18" xr:uid="{F9671E40-5700-4055-A6D2-272CF9DB620E}"/>
    <cellStyle name="Input number 2 decimal places calculated" xfId="49" xr:uid="{C04BA53C-14E1-48A5-99A3-C9FD44741A2A}"/>
    <cellStyle name="Input number 3 decimal places calculated" xfId="52" xr:uid="{637E6039-0A01-48EF-8C15-C29A497EF449}"/>
    <cellStyle name="Input number 3 decimal places disabled" xfId="23" xr:uid="{6B1B6177-B1C0-4190-858F-6E4C823402C3}"/>
    <cellStyle name="Input number 6 decimal places calculated" xfId="54" xr:uid="{CE70A7A2-3CEE-4689-8FF6-8EB6FCE0A94C}"/>
    <cellStyle name="Input number general" xfId="59" xr:uid="{D8583F7D-F13A-4EA8-BAA6-B42739FDBDDB}"/>
    <cellStyle name="Input number general calculated" xfId="55" xr:uid="{34755FEB-6E4E-4BD7-A478-DF7299A7A914}"/>
    <cellStyle name="Input number no decimals" xfId="19" xr:uid="{B33B4FB5-F3F4-4036-B2DD-663B694E2A90}"/>
    <cellStyle name="Input number no decimals calculated" xfId="43" xr:uid="{5A48F48F-03B2-410E-887B-2A9297006BAF}"/>
    <cellStyle name="Input number no decimals disabled" xfId="24" xr:uid="{7ABDCB2D-7703-4392-9553-5620789B1E19}"/>
    <cellStyle name="Input number percent disabled" xfId="22" xr:uid="{D0E8B42E-13A8-477C-99CB-5FF73C5BBAA4}"/>
    <cellStyle name="Input page heading" xfId="33" xr:uid="{74FB9B3B-4B5B-4B7F-A54C-22E0724783C8}"/>
    <cellStyle name="Input page section heading" xfId="32" xr:uid="{1A05B367-BE5D-4E2B-9831-A28D5CFAC8EC}"/>
    <cellStyle name="Input percent" xfId="17" xr:uid="{923E56A7-7902-46CD-9AA8-0D69F2E1ECA1}"/>
    <cellStyle name="Input select" xfId="16" xr:uid="{3CF2E653-7F22-4996-ABB9-95CA16698B1F}"/>
    <cellStyle name="Input select disabled" xfId="21" xr:uid="{5CE680CC-504C-444D-8337-CF97D9BB5A78}"/>
    <cellStyle name="Input table column header" xfId="30" xr:uid="{EF98B018-1246-451D-91C2-97FCD443EDC9}"/>
    <cellStyle name="Input table header" xfId="29" xr:uid="{04872377-9FDD-4D5A-91FC-B9D8DA1E8E91}"/>
    <cellStyle name="Input text" xfId="15" xr:uid="{4C71A4C5-ADD8-4A09-A7FE-940DA96821F6}"/>
    <cellStyle name="Input text calculated" xfId="51" xr:uid="{43DCF082-1F0D-4E07-9785-CAF41B37CFCC}"/>
    <cellStyle name="Input text disabled" xfId="20" xr:uid="{79E76B35-E5FF-43A1-B0D0-016F346F8B97}"/>
    <cellStyle name="Menu link child" xfId="40" xr:uid="{609090D3-DE1E-48FE-A8AA-233CE9B146E0}"/>
    <cellStyle name="Menu link default" xfId="35" xr:uid="{11B84453-1DD4-492A-B241-FE6AD4CB25FA}"/>
    <cellStyle name="Menu link selected" xfId="37" xr:uid="{B16EBA6F-62C4-483F-8E15-B20D06ABF61F}"/>
    <cellStyle name="Menu link selected equations" xfId="39" xr:uid="{7AFCC545-C221-4BAC-933E-19109D0FB654}"/>
    <cellStyle name="Menu link selected input" xfId="38" xr:uid="{17D327F4-9149-4DAC-85BB-811698090830}"/>
    <cellStyle name="Menu link selected results" xfId="64" xr:uid="{0DC56464-F1A3-42A3-BF89-514E2163E7F0}"/>
    <cellStyle name="Menu section title" xfId="36" xr:uid="{E2117B15-AE58-4F76-B13B-671D455A4107}"/>
    <cellStyle name="Normal" xfId="0" builtinId="0"/>
    <cellStyle name="Normal 2" xfId="58" xr:uid="{FE64FEFB-54C6-42B4-AA7F-D49670F5ED19}"/>
    <cellStyle name="Normal 2 2" xfId="47" xr:uid="{B8803ACE-513D-4EEF-BBE0-0BB76AE7D7F4}"/>
    <cellStyle name="Normal 4" xfId="45" xr:uid="{99CD1B63-5040-4067-BBD7-470030C57E5D}"/>
    <cellStyle name="Normal 5" xfId="46" xr:uid="{C95BEC9B-545D-4D75-A129-77179ED2BD99}"/>
    <cellStyle name="Number diplsay percent" xfId="11" xr:uid="{2A2547EE-93B6-4F82-A56A-1A45D8712142}"/>
    <cellStyle name="Number display decimal" xfId="10" xr:uid="{D6C655C7-D21F-4B70-8143-4C163C43FE08}"/>
    <cellStyle name="Number display decimal total" xfId="27" xr:uid="{A9378C0C-CCAE-43D1-BC2C-BD4A9766DA0D}"/>
    <cellStyle name="Page heading" xfId="2" xr:uid="{255E304E-A5AB-40F0-8E3A-91C132147F10}"/>
    <cellStyle name="Page section heading" xfId="4" xr:uid="{B654AFF3-28A2-43B8-AE91-E7D2C159A294}"/>
    <cellStyle name="Page source" xfId="3" xr:uid="{35DF92BD-4909-4EA7-B1E6-C0EDAAEB1713}"/>
    <cellStyle name="Percent" xfId="14" builtinId="5"/>
    <cellStyle name="Results table column header" xfId="63" xr:uid="{A846043F-10AE-4BED-BAA6-90407C977915}"/>
    <cellStyle name="Table description" xfId="61" xr:uid="{8BD2F353-2E3C-42FF-89E9-616E85DC18C5}"/>
    <cellStyle name="Table name" xfId="60" xr:uid="{D56F17A4-9740-44B6-BDDB-150E2C950B8B}"/>
    <cellStyle name="Unit" xfId="12" xr:uid="{90B9E191-F5E0-43AB-A245-D6CA23D4ADFC}"/>
    <cellStyle name="Unit no indent" xfId="56" xr:uid="{2829D020-DAD8-4B7D-9262-450720E27D2B}"/>
    <cellStyle name="Unit total" xfId="26" xr:uid="{65428923-3DAD-47B6-8DDF-0EBD05E7C55B}"/>
    <cellStyle name="Variable type input" xfId="65" xr:uid="{515940C5-98BF-44F7-AAB8-0D7808DD5C6C}"/>
    <cellStyle name="Variable type other" xfId="66" xr:uid="{5D88A237-9D54-45E0-A48E-F67D0639FDE2}"/>
  </cellStyles>
  <dxfs count="77">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i val="0"/>
        <strike val="0"/>
        <condense val="0"/>
        <extend val="0"/>
        <outline val="0"/>
        <shadow val="0"/>
        <u val="none"/>
        <vertAlign val="baseline"/>
        <sz val="11"/>
        <color theme="1"/>
        <name val="Times New Roman"/>
        <family val="2"/>
        <scheme val="minor"/>
      </font>
      <numFmt numFmtId="0" formatCode="General"/>
      <fill>
        <patternFill patternType="solid">
          <fgColor indexed="64"/>
          <bgColor rgb="FFB2D498"/>
        </patternFill>
      </fill>
      <alignment horizontal="left" vertical="center" textRotation="0" wrapText="0" indent="0" justifyLastLine="0" shrinkToFit="0" readingOrder="0"/>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color theme="1" tint="0.24994659260841701"/>
      </font>
      <fill>
        <patternFill patternType="solid">
          <fgColor indexed="64"/>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fill>
        <patternFill>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183C1B"/>
      </font>
      <fill>
        <patternFill patternType="solid">
          <fgColor indexed="64"/>
          <bgColor rgb="FFB2D498"/>
        </patternFill>
      </fill>
    </dxf>
    <dxf>
      <font>
        <color theme="1" tint="0.24994659260841701"/>
      </font>
      <border>
        <left/>
        <right/>
        <top/>
        <bottom/>
        <vertical/>
        <horizontal/>
      </border>
    </dxf>
    <dxf>
      <font>
        <color theme="1" tint="0.24994659260841701"/>
      </font>
      <fill>
        <patternFill patternType="none">
          <fgColor indexed="64"/>
          <bgColor auto="1"/>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533001"/>
      </font>
      <fill>
        <patternFill patternType="solid">
          <fgColor indexed="64"/>
          <bgColor rgb="FFFFCC66"/>
        </patternFill>
      </fill>
    </dxf>
    <dxf>
      <font>
        <color theme="1" tint="0.24994659260841701"/>
      </font>
      <border>
        <left/>
        <right/>
        <top/>
        <bottom/>
        <vertical/>
        <horizontal/>
      </border>
    </dxf>
  </dxfs>
  <tableStyles count="3" defaultTableStyle="Equation table" defaultPivotStyle="PivotStyleLight16">
    <tableStyle name="Editable table" pivot="0" count="6" xr9:uid="{8C498A1C-5864-4BF8-8739-A3055FE117E0}">
      <tableStyleElement type="wholeTable" dxfId="76"/>
      <tableStyleElement type="headerRow" dxfId="75"/>
      <tableStyleElement type="totalRow" dxfId="74"/>
      <tableStyleElement type="firstColumn" dxfId="73"/>
      <tableStyleElement type="firstRowStripe" dxfId="72"/>
      <tableStyleElement type="secondRowStripe" dxfId="71"/>
    </tableStyle>
    <tableStyle name="Equation table" pivot="0" count="6" xr9:uid="{B247698E-E41D-4CCD-AA0A-C14817E9DE65}">
      <tableStyleElement type="wholeTable" dxfId="70"/>
      <tableStyleElement type="headerRow" dxfId="69"/>
      <tableStyleElement type="totalRow" dxfId="68"/>
      <tableStyleElement type="firstColumn" dxfId="67"/>
      <tableStyleElement type="firstRowStripe" dxfId="66"/>
      <tableStyleElement type="secondRowStripe" dxfId="65"/>
    </tableStyle>
    <tableStyle name="Table Style 1" pivot="0" count="0" xr9:uid="{97B370DB-5463-4A31-9160-5A96BD6A559D}"/>
  </tableStyles>
  <colors>
    <mruColors>
      <color rgb="FF0C769E"/>
      <color rgb="FFC44340"/>
      <color rgb="FF008000"/>
      <color rgb="FFFFCCCC"/>
      <color rgb="FFC4433F"/>
      <color rgb="FFE9F2FB"/>
      <color rgb="FF183C1B"/>
      <color rgb="FFB2D498"/>
      <color rgb="FFCC6600"/>
      <color rgb="FF4F478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 /><Relationship Id="rId13" Type="http://schemas.openxmlformats.org/officeDocument/2006/relationships/worksheet" Target="worksheets/sheet13.xml" /><Relationship Id="rId18" Type="http://schemas.openxmlformats.org/officeDocument/2006/relationships/sharedStrings" Target="sharedStrings.xml" /><Relationship Id="rId26" Type="http://schemas.openxmlformats.org/officeDocument/2006/relationships/customXml" Target="../customXml/item2.xml" /><Relationship Id="rId3" Type="http://schemas.openxmlformats.org/officeDocument/2006/relationships/worksheet" Target="worksheets/sheet3.xml" /><Relationship Id="rId21" Type="http://schemas.microsoft.com/office/2017/06/relationships/rdRichValue" Target="richData/rdrichvalue.xml" /><Relationship Id="rId7" Type="http://schemas.openxmlformats.org/officeDocument/2006/relationships/worksheet" Target="worksheets/sheet7.xml" /><Relationship Id="rId12" Type="http://schemas.openxmlformats.org/officeDocument/2006/relationships/worksheet" Target="worksheets/sheet12.xml" /><Relationship Id="rId17" Type="http://schemas.openxmlformats.org/officeDocument/2006/relationships/styles" Target="styles.xml" /><Relationship Id="rId25" Type="http://schemas.openxmlformats.org/officeDocument/2006/relationships/customXml" Target="../customXml/item1.xml" /><Relationship Id="rId2" Type="http://schemas.openxmlformats.org/officeDocument/2006/relationships/worksheet" Target="worksheets/sheet2.xml" /><Relationship Id="rId16" Type="http://schemas.openxmlformats.org/officeDocument/2006/relationships/theme" Target="theme/theme1.xml" /><Relationship Id="rId20" Type="http://schemas.microsoft.com/office/2022/10/relationships/richValueRel" Target="richData/richValueRel.xml" /><Relationship Id="rId1" Type="http://schemas.openxmlformats.org/officeDocument/2006/relationships/worksheet" Target="worksheets/sheet1.xml" /><Relationship Id="rId6" Type="http://schemas.openxmlformats.org/officeDocument/2006/relationships/worksheet" Target="worksheets/sheet6.xml" /><Relationship Id="rId11" Type="http://schemas.openxmlformats.org/officeDocument/2006/relationships/worksheet" Target="worksheets/sheet11.xml" /><Relationship Id="rId24" Type="http://schemas.openxmlformats.org/officeDocument/2006/relationships/calcChain" Target="calcChain.xml" /><Relationship Id="rId5" Type="http://schemas.openxmlformats.org/officeDocument/2006/relationships/worksheet" Target="worksheets/sheet5.xml" /><Relationship Id="rId23" Type="http://schemas.microsoft.com/office/2017/06/relationships/rdRichValueTypes" Target="richData/rdRichValueTypes.xml" /><Relationship Id="rId28" Type="http://schemas.openxmlformats.org/officeDocument/2006/relationships/customXml" Target="../customXml/item4.xml" /><Relationship Id="rId10" Type="http://schemas.openxmlformats.org/officeDocument/2006/relationships/worksheet" Target="worksheets/sheet10.xml" /><Relationship Id="rId19" Type="http://schemas.openxmlformats.org/officeDocument/2006/relationships/sheetMetadata" Target="metadata.xml" /><Relationship Id="rId4" Type="http://schemas.openxmlformats.org/officeDocument/2006/relationships/worksheet" Target="worksheets/sheet4.xml" /><Relationship Id="rId9" Type="http://schemas.openxmlformats.org/officeDocument/2006/relationships/worksheet" Target="worksheets/sheet9.xml" /><Relationship Id="rId14" Type="http://schemas.openxmlformats.org/officeDocument/2006/relationships/worksheet" Target="worksheets/sheet14.xml" /><Relationship Id="rId22" Type="http://schemas.microsoft.com/office/2017/06/relationships/rdRichValueStructure" Target="richData/rdrichvaluestructure.xml" /><Relationship Id="rId27" Type="http://schemas.openxmlformats.org/officeDocument/2006/relationships/customXml" Target="../customXml/item3.xml" /></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doughnutChart>
        <c:varyColors val="1"/>
        <c:dLbls>
          <c:showLegendKey val="0"/>
          <c:showVal val="0"/>
          <c:showCatName val="0"/>
          <c:showSerName val="0"/>
          <c:showPercent val="0"/>
          <c:showBubbleSize val="0"/>
          <c:showLeaderLines val="0"/>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8" Type="http://schemas.openxmlformats.org/officeDocument/2006/relationships/hyperlink" Target="#'4.1.1.3-4 Direct N20'!D58"/><Relationship Id="rId13" Type="http://schemas.openxmlformats.org/officeDocument/2006/relationships/hyperlink" Target="#'4.1.1.3-4 Direct N20'!D179"/><Relationship Id="rId3" Type="http://schemas.openxmlformats.org/officeDocument/2006/relationships/hyperlink" Target="#'4.1.1.1-2 Methane'!D34"/><Relationship Id="rId7" Type="http://schemas.openxmlformats.org/officeDocument/2006/relationships/hyperlink" Target="#'4.1.1.3-4 Direct N20'!D34"/><Relationship Id="rId12" Type="http://schemas.openxmlformats.org/officeDocument/2006/relationships/hyperlink" Target="#'4.1.1.3-4 Direct N20'!D153"/><Relationship Id="rId17" Type="http://schemas.openxmlformats.org/officeDocument/2006/relationships/hyperlink" Target="#'4.1.1.5-6 Atmos Deposition'!D50"/><Relationship Id="rId2" Type="http://schemas.openxmlformats.org/officeDocument/2006/relationships/hyperlink" Target="#'4.1.1.1-2 Methane'!D5"/><Relationship Id="rId16" Type="http://schemas.openxmlformats.org/officeDocument/2006/relationships/hyperlink" Target="#'4.1.1.5-6 Atmos Deposition'!D5"/><Relationship Id="rId1" Type="http://schemas.openxmlformats.org/officeDocument/2006/relationships/hyperlink" Target="#'4.1.1.3-4 Direct N20'!D5"/><Relationship Id="rId6" Type="http://schemas.openxmlformats.org/officeDocument/2006/relationships/hyperlink" Target="#'4.1.1.1-2 Methane'!D129"/><Relationship Id="rId11" Type="http://schemas.openxmlformats.org/officeDocument/2006/relationships/hyperlink" Target="#'4.1.1.3-4 Direct N20'!D133"/><Relationship Id="rId5" Type="http://schemas.openxmlformats.org/officeDocument/2006/relationships/hyperlink" Target="#'4.1.1.1-2 Methane'!D102"/><Relationship Id="rId15" Type="http://schemas.openxmlformats.org/officeDocument/2006/relationships/hyperlink" Target="#'4.1.1.9 Manure applied to soils'!D65"/><Relationship Id="rId10" Type="http://schemas.openxmlformats.org/officeDocument/2006/relationships/hyperlink" Target="#'4.1.1.3-4 Direct N20'!D110"/><Relationship Id="rId4" Type="http://schemas.openxmlformats.org/officeDocument/2006/relationships/hyperlink" Target="#'4.1.1.1-2 Methane'!D61"/><Relationship Id="rId9" Type="http://schemas.openxmlformats.org/officeDocument/2006/relationships/hyperlink" Target="#'4.1.1.3-4 Direct N20'!D87"/><Relationship Id="rId14" Type="http://schemas.openxmlformats.org/officeDocument/2006/relationships/hyperlink" Target="#'4.1.1.9 Manure applied to soils'!D5"/></Relationships>
</file>

<file path=xl/drawings/_rels/drawing2.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oneCellAnchor>
    <xdr:from>
      <xdr:col>5</xdr:col>
      <xdr:colOff>255874</xdr:colOff>
      <xdr:row>7</xdr:row>
      <xdr:rowOff>106369</xdr:rowOff>
    </xdr:from>
    <xdr:ext cx="1928078" cy="298800"/>
    <xdr:sp macro="" textlink="">
      <xdr:nvSpPr>
        <xdr:cNvPr id="2" name="TextBox 1">
          <a:extLst>
            <a:ext uri="{FF2B5EF4-FFF2-40B4-BE49-F238E27FC236}">
              <a16:creationId xmlns:a16="http://schemas.microsoft.com/office/drawing/2014/main" id="{3B503452-64E4-4041-812B-B7191D6DC263}"/>
            </a:ext>
          </a:extLst>
        </xdr:cNvPr>
        <xdr:cNvSpPr txBox="1"/>
      </xdr:nvSpPr>
      <xdr:spPr>
        <a:xfrm>
          <a:off x="4161124" y="1956940"/>
          <a:ext cx="1928078" cy="29880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rgbClr val="0C769E"/>
              </a:solidFill>
            </a:rPr>
            <a:t>4.1.1.1-2 Methane</a:t>
          </a:r>
        </a:p>
      </xdr:txBody>
    </xdr:sp>
    <xdr:clientData/>
  </xdr:oneCellAnchor>
  <xdr:oneCellAnchor>
    <xdr:from>
      <xdr:col>13</xdr:col>
      <xdr:colOff>540480</xdr:colOff>
      <xdr:row>7</xdr:row>
      <xdr:rowOff>106369</xdr:rowOff>
    </xdr:from>
    <xdr:ext cx="1946138" cy="298800"/>
    <xdr:sp macro="" textlink="">
      <xdr:nvSpPr>
        <xdr:cNvPr id="4" name="TextBox 3">
          <a:extLst>
            <a:ext uri="{FF2B5EF4-FFF2-40B4-BE49-F238E27FC236}">
              <a16:creationId xmlns:a16="http://schemas.microsoft.com/office/drawing/2014/main" id="{C4257C06-9F2B-4941-8D4B-9A2D04E1F9C9}"/>
            </a:ext>
          </a:extLst>
        </xdr:cNvPr>
        <xdr:cNvSpPr txBox="1"/>
      </xdr:nvSpPr>
      <xdr:spPr>
        <a:xfrm>
          <a:off x="9344301" y="1956940"/>
          <a:ext cx="1946138" cy="29880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chemeClr val="accent5">
                  <a:lumMod val="75000"/>
                </a:schemeClr>
              </a:solidFill>
            </a:rPr>
            <a:t>4.3.1.3-4 Direct</a:t>
          </a:r>
          <a:r>
            <a:rPr lang="en-AU" sz="1400" b="0" baseline="0">
              <a:solidFill>
                <a:schemeClr val="accent5">
                  <a:lumMod val="75000"/>
                </a:schemeClr>
              </a:solidFill>
            </a:rPr>
            <a:t> N2O</a:t>
          </a:r>
          <a:endParaRPr lang="en-AU" sz="1400" b="0">
            <a:solidFill>
              <a:schemeClr val="accent5">
                <a:lumMod val="75000"/>
              </a:schemeClr>
            </a:solidFill>
          </a:endParaRPr>
        </a:p>
      </xdr:txBody>
    </xdr:sp>
    <xdr:clientData/>
  </xdr:oneCellAnchor>
  <xdr:twoCellAnchor>
    <xdr:from>
      <xdr:col>14</xdr:col>
      <xdr:colOff>42365</xdr:colOff>
      <xdr:row>9</xdr:row>
      <xdr:rowOff>180108</xdr:rowOff>
    </xdr:from>
    <xdr:to>
      <xdr:col>16</xdr:col>
      <xdr:colOff>337886</xdr:colOff>
      <xdr:row>12</xdr:row>
      <xdr:rowOff>157158</xdr:rowOff>
    </xdr:to>
    <xdr:sp macro="" textlink="'4.1.1.3-4 Direct N20'!D5">
      <xdr:nvSpPr>
        <xdr:cNvPr id="5" name="TextBox 4">
          <a:hlinkClick xmlns:r="http://schemas.openxmlformats.org/officeDocument/2006/relationships" r:id="rId1"/>
          <a:extLst>
            <a:ext uri="{FF2B5EF4-FFF2-40B4-BE49-F238E27FC236}">
              <a16:creationId xmlns:a16="http://schemas.microsoft.com/office/drawing/2014/main" id="{1D9A1F2E-1D34-44C4-A814-116FF25706CF}"/>
            </a:ext>
          </a:extLst>
        </xdr:cNvPr>
        <xdr:cNvSpPr txBox="1"/>
      </xdr:nvSpPr>
      <xdr:spPr>
        <a:xfrm>
          <a:off x="9458508" y="2520537"/>
          <a:ext cx="1520164" cy="711835"/>
        </a:xfrm>
        <a:prstGeom prst="rect">
          <a:avLst/>
        </a:prstGeom>
        <a:solidFill>
          <a:schemeClr val="lt1"/>
        </a:solidFill>
        <a:ln w="9525" cmpd="sng">
          <a:solidFill>
            <a:schemeClr val="accent5">
              <a:lumMod val="75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767FA7FA-A945-49A9-8775-81857228AAAF}" type="TxLink">
            <a:rPr lang="en-US" sz="1000" b="0" i="0" u="none" strike="noStrike">
              <a:solidFill>
                <a:srgbClr val="002060"/>
              </a:solidFill>
              <a:latin typeface="Times New Roman"/>
              <a:cs typeface="Times New Roman"/>
            </a:rPr>
            <a:pPr algn="ctr"/>
            <a:t>Nitrogen intake of feedlot cattle</a:t>
          </a:fld>
          <a:endParaRPr lang="en-AU" sz="1000">
            <a:solidFill>
              <a:srgbClr val="002060"/>
            </a:solidFill>
          </a:endParaRPr>
        </a:p>
      </xdr:txBody>
    </xdr:sp>
    <xdr:clientData/>
  </xdr:twoCellAnchor>
  <xdr:oneCellAnchor>
    <xdr:from>
      <xdr:col>22</xdr:col>
      <xdr:colOff>226635</xdr:colOff>
      <xdr:row>7</xdr:row>
      <xdr:rowOff>3136</xdr:rowOff>
    </xdr:from>
    <xdr:ext cx="1905000" cy="505267"/>
    <xdr:sp macro="" textlink="">
      <xdr:nvSpPr>
        <xdr:cNvPr id="6" name="TextBox 5">
          <a:extLst>
            <a:ext uri="{FF2B5EF4-FFF2-40B4-BE49-F238E27FC236}">
              <a16:creationId xmlns:a16="http://schemas.microsoft.com/office/drawing/2014/main" id="{802EA2E0-B0F7-4C24-B5E1-096DFC74BC99}"/>
            </a:ext>
          </a:extLst>
        </xdr:cNvPr>
        <xdr:cNvSpPr txBox="1"/>
      </xdr:nvSpPr>
      <xdr:spPr>
        <a:xfrm>
          <a:off x="14541349" y="1853707"/>
          <a:ext cx="1905000" cy="50526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rgbClr val="7030A0"/>
              </a:solidFill>
            </a:rPr>
            <a:t>4.3.1.5 </a:t>
          </a:r>
          <a:br>
            <a:rPr lang="en-AU" sz="1400" b="0">
              <a:solidFill>
                <a:srgbClr val="7030A0"/>
              </a:solidFill>
            </a:rPr>
          </a:br>
          <a:r>
            <a:rPr lang="en-AU" sz="1400" b="0">
              <a:solidFill>
                <a:srgbClr val="7030A0"/>
              </a:solidFill>
            </a:rPr>
            <a:t>Atmospheric</a:t>
          </a:r>
          <a:r>
            <a:rPr lang="en-AU" sz="1400" b="0" baseline="0">
              <a:solidFill>
                <a:srgbClr val="7030A0"/>
              </a:solidFill>
            </a:rPr>
            <a:t> </a:t>
          </a:r>
          <a:r>
            <a:rPr lang="en-AU" sz="1400" b="0">
              <a:solidFill>
                <a:srgbClr val="7030A0"/>
              </a:solidFill>
            </a:rPr>
            <a:t>deposition</a:t>
          </a:r>
        </a:p>
      </xdr:txBody>
    </xdr:sp>
    <xdr:clientData/>
  </xdr:oneCellAnchor>
  <xdr:oneCellAnchor>
    <xdr:from>
      <xdr:col>26</xdr:col>
      <xdr:colOff>413380</xdr:colOff>
      <xdr:row>7</xdr:row>
      <xdr:rowOff>106369</xdr:rowOff>
    </xdr:from>
    <xdr:ext cx="1683647" cy="505267"/>
    <xdr:sp macro="" textlink="">
      <xdr:nvSpPr>
        <xdr:cNvPr id="8" name="TextBox 7">
          <a:extLst>
            <a:ext uri="{FF2B5EF4-FFF2-40B4-BE49-F238E27FC236}">
              <a16:creationId xmlns:a16="http://schemas.microsoft.com/office/drawing/2014/main" id="{3B546504-E89D-477B-AF73-C368EECD911A}"/>
            </a:ext>
          </a:extLst>
        </xdr:cNvPr>
        <xdr:cNvSpPr txBox="1"/>
      </xdr:nvSpPr>
      <xdr:spPr>
        <a:xfrm>
          <a:off x="17177380" y="1956940"/>
          <a:ext cx="1683647" cy="50526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rgbClr val="C00000"/>
              </a:solidFill>
            </a:rPr>
            <a:t>4.3.1.8 Manure applied</a:t>
          </a:r>
          <a:r>
            <a:rPr lang="en-AU" sz="1400" b="0" baseline="0">
              <a:solidFill>
                <a:srgbClr val="C00000"/>
              </a:solidFill>
            </a:rPr>
            <a:t> to soils</a:t>
          </a:r>
          <a:endParaRPr lang="en-AU" sz="1400" b="0">
            <a:solidFill>
              <a:srgbClr val="C00000"/>
            </a:solidFill>
          </a:endParaRPr>
        </a:p>
      </xdr:txBody>
    </xdr:sp>
    <xdr:clientData/>
  </xdr:oneCellAnchor>
  <xdr:twoCellAnchor>
    <xdr:from>
      <xdr:col>5</xdr:col>
      <xdr:colOff>427882</xdr:colOff>
      <xdr:row>9</xdr:row>
      <xdr:rowOff>101310</xdr:rowOff>
    </xdr:from>
    <xdr:to>
      <xdr:col>8</xdr:col>
      <xdr:colOff>108361</xdr:colOff>
      <xdr:row>12</xdr:row>
      <xdr:rowOff>78361</xdr:rowOff>
    </xdr:to>
    <xdr:sp macro="" textlink="'4.1.1.1-2 Methane'!D5">
      <xdr:nvSpPr>
        <xdr:cNvPr id="16" name="TextBox 15">
          <a:hlinkClick xmlns:r="http://schemas.openxmlformats.org/officeDocument/2006/relationships" r:id="rId2"/>
          <a:extLst>
            <a:ext uri="{FF2B5EF4-FFF2-40B4-BE49-F238E27FC236}">
              <a16:creationId xmlns:a16="http://schemas.microsoft.com/office/drawing/2014/main" id="{A391DA18-C458-4E43-BCCB-7D7FA0C9843E}"/>
            </a:ext>
          </a:extLst>
        </xdr:cNvPr>
        <xdr:cNvSpPr txBox="1"/>
      </xdr:nvSpPr>
      <xdr:spPr>
        <a:xfrm>
          <a:off x="4333132" y="2441739"/>
          <a:ext cx="1517443" cy="711836"/>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B9E89661-89DA-46FA-86B0-CDCD39DC2349}" type="TxLink">
            <a:rPr lang="en-US" sz="1000" b="0" i="0" u="none" strike="noStrike">
              <a:solidFill>
                <a:srgbClr val="0C769E"/>
              </a:solidFill>
              <a:latin typeface="Times New Roman"/>
              <a:cs typeface="Times New Roman"/>
            </a:rPr>
            <a:pPr algn="ctr"/>
            <a:t>Volatile solid production</a:t>
          </a:fld>
          <a:endParaRPr lang="en-AU" sz="1000">
            <a:solidFill>
              <a:srgbClr val="0C769E"/>
            </a:solidFill>
          </a:endParaRPr>
        </a:p>
      </xdr:txBody>
    </xdr:sp>
    <xdr:clientData/>
  </xdr:twoCellAnchor>
  <xdr:twoCellAnchor>
    <xdr:from>
      <xdr:col>5</xdr:col>
      <xdr:colOff>400668</xdr:colOff>
      <xdr:row>25</xdr:row>
      <xdr:rowOff>136699</xdr:rowOff>
    </xdr:from>
    <xdr:to>
      <xdr:col>8</xdr:col>
      <xdr:colOff>81147</xdr:colOff>
      <xdr:row>28</xdr:row>
      <xdr:rowOff>113750</xdr:rowOff>
    </xdr:to>
    <xdr:sp macro="" textlink="'4.1.1.1-2 Methane'!D34">
      <xdr:nvSpPr>
        <xdr:cNvPr id="17" name="TextBox 16">
          <a:hlinkClick xmlns:r="http://schemas.openxmlformats.org/officeDocument/2006/relationships" r:id="rId3"/>
          <a:extLst>
            <a:ext uri="{FF2B5EF4-FFF2-40B4-BE49-F238E27FC236}">
              <a16:creationId xmlns:a16="http://schemas.microsoft.com/office/drawing/2014/main" id="{9ED85EC4-102D-4B84-A4DB-A75D705FCB82}"/>
            </a:ext>
          </a:extLst>
        </xdr:cNvPr>
        <xdr:cNvSpPr txBox="1"/>
      </xdr:nvSpPr>
      <xdr:spPr>
        <a:xfrm>
          <a:off x="4305918" y="6395985"/>
          <a:ext cx="1517443" cy="711836"/>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CA3A0C68-BDAE-46FC-A775-03F813873A32}" type="TxLink">
            <a:rPr lang="en-US" sz="1000" b="0" i="0" u="none" strike="noStrike">
              <a:solidFill>
                <a:srgbClr val="0C769E"/>
              </a:solidFill>
              <a:latin typeface="Times New Roman"/>
              <a:cs typeface="Times New Roman"/>
            </a:rPr>
            <a:pPr algn="ctr"/>
            <a:t>Production of methane in treatment stage 1 MMS</a:t>
          </a:fld>
          <a:endParaRPr lang="en-AU" sz="1000">
            <a:solidFill>
              <a:srgbClr val="0C769E"/>
            </a:solidFill>
          </a:endParaRPr>
        </a:p>
      </xdr:txBody>
    </xdr:sp>
    <xdr:clientData/>
  </xdr:twoCellAnchor>
  <xdr:twoCellAnchor>
    <xdr:from>
      <xdr:col>2</xdr:col>
      <xdr:colOff>270039</xdr:colOff>
      <xdr:row>25</xdr:row>
      <xdr:rowOff>129649</xdr:rowOff>
    </xdr:from>
    <xdr:to>
      <xdr:col>5</xdr:col>
      <xdr:colOff>249875</xdr:colOff>
      <xdr:row>28</xdr:row>
      <xdr:rowOff>106699</xdr:rowOff>
    </xdr:to>
    <xdr:sp macro="" textlink="'4.1.1.1-2 Methane'!D61">
      <xdr:nvSpPr>
        <xdr:cNvPr id="18" name="TextBox 17">
          <a:hlinkClick xmlns:r="http://schemas.openxmlformats.org/officeDocument/2006/relationships" r:id="rId4"/>
          <a:extLst>
            <a:ext uri="{FF2B5EF4-FFF2-40B4-BE49-F238E27FC236}">
              <a16:creationId xmlns:a16="http://schemas.microsoft.com/office/drawing/2014/main" id="{1B25ABC7-3CBE-4E1C-8106-702095C3BEB8}"/>
            </a:ext>
          </a:extLst>
        </xdr:cNvPr>
        <xdr:cNvSpPr txBox="1"/>
      </xdr:nvSpPr>
      <xdr:spPr>
        <a:xfrm>
          <a:off x="2637682" y="6388935"/>
          <a:ext cx="1517443" cy="711835"/>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A1F619CA-80C9-4012-9F75-E5DB8A3A4941}" type="TxLink">
            <a:rPr lang="en-US" sz="1000" b="0" i="0" u="none" strike="noStrike">
              <a:solidFill>
                <a:srgbClr val="0C769E"/>
              </a:solidFill>
              <a:latin typeface="Times New Roman"/>
              <a:cs typeface="Times New Roman"/>
            </a:rPr>
            <a:pPr algn="ctr"/>
            <a:t>Production of methane in treatment stage 2 MMS</a:t>
          </a:fld>
          <a:endParaRPr lang="en-AU" sz="1000">
            <a:solidFill>
              <a:srgbClr val="0C769E"/>
            </a:solidFill>
          </a:endParaRPr>
        </a:p>
      </xdr:txBody>
    </xdr:sp>
    <xdr:clientData/>
  </xdr:twoCellAnchor>
  <xdr:twoCellAnchor>
    <xdr:from>
      <xdr:col>8</xdr:col>
      <xdr:colOff>215611</xdr:colOff>
      <xdr:row>25</xdr:row>
      <xdr:rowOff>151420</xdr:rowOff>
    </xdr:from>
    <xdr:to>
      <xdr:col>10</xdr:col>
      <xdr:colOff>508411</xdr:colOff>
      <xdr:row>28</xdr:row>
      <xdr:rowOff>128471</xdr:rowOff>
    </xdr:to>
    <xdr:sp macro="" textlink="'4.1.1.1-2 Methane'!D102">
      <xdr:nvSpPr>
        <xdr:cNvPr id="19" name="TextBox 18">
          <a:hlinkClick xmlns:r="http://schemas.openxmlformats.org/officeDocument/2006/relationships" r:id="rId5"/>
          <a:extLst>
            <a:ext uri="{FF2B5EF4-FFF2-40B4-BE49-F238E27FC236}">
              <a16:creationId xmlns:a16="http://schemas.microsoft.com/office/drawing/2014/main" id="{383CC1C9-6920-4A93-8AA2-E16731E21081}"/>
            </a:ext>
          </a:extLst>
        </xdr:cNvPr>
        <xdr:cNvSpPr txBox="1"/>
      </xdr:nvSpPr>
      <xdr:spPr>
        <a:xfrm>
          <a:off x="5957825" y="6410706"/>
          <a:ext cx="1517443" cy="711836"/>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730751CC-91EA-40A7-9FA0-BD9AD2C0FA72}" type="TxLink">
            <a:rPr lang="en-US" sz="1000" b="0" i="0" u="none" strike="noStrike">
              <a:solidFill>
                <a:srgbClr val="0C769E"/>
              </a:solidFill>
              <a:latin typeface="Times New Roman"/>
              <a:cs typeface="Times New Roman"/>
            </a:rPr>
            <a:pPr algn="ctr"/>
            <a:t>Production of methane in treatment stage 3 MMS</a:t>
          </a:fld>
          <a:endParaRPr lang="en-AU" sz="1000">
            <a:solidFill>
              <a:srgbClr val="0C769E"/>
            </a:solidFill>
          </a:endParaRPr>
        </a:p>
      </xdr:txBody>
    </xdr:sp>
    <xdr:clientData/>
  </xdr:twoCellAnchor>
  <xdr:twoCellAnchor>
    <xdr:from>
      <xdr:col>5</xdr:col>
      <xdr:colOff>400668</xdr:colOff>
      <xdr:row>48</xdr:row>
      <xdr:rowOff>178735</xdr:rowOff>
    </xdr:from>
    <xdr:to>
      <xdr:col>8</xdr:col>
      <xdr:colOff>81147</xdr:colOff>
      <xdr:row>51</xdr:row>
      <xdr:rowOff>150835</xdr:rowOff>
    </xdr:to>
    <xdr:sp macro="" textlink="'4.1.1.1-2 Methane'!D129">
      <xdr:nvSpPr>
        <xdr:cNvPr id="20" name="TextBox 19">
          <a:hlinkClick xmlns:r="http://schemas.openxmlformats.org/officeDocument/2006/relationships" r:id="rId6"/>
          <a:extLst>
            <a:ext uri="{FF2B5EF4-FFF2-40B4-BE49-F238E27FC236}">
              <a16:creationId xmlns:a16="http://schemas.microsoft.com/office/drawing/2014/main" id="{050A7C22-4BD7-4D52-9D6E-89987EDCC59C}"/>
            </a:ext>
          </a:extLst>
        </xdr:cNvPr>
        <xdr:cNvSpPr txBox="1"/>
      </xdr:nvSpPr>
      <xdr:spPr>
        <a:xfrm>
          <a:off x="4305918" y="12071378"/>
          <a:ext cx="1517443" cy="706886"/>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12A649BA-C7BB-479F-AEE4-BC8BDC600D58}" type="TxLink">
            <a:rPr lang="en-US" sz="1000" b="1" i="0" u="none" strike="noStrike">
              <a:solidFill>
                <a:srgbClr val="0C769E"/>
              </a:solidFill>
              <a:latin typeface="Times New Roman"/>
              <a:cs typeface="Times New Roman"/>
            </a:rPr>
            <a:pPr algn="ctr"/>
            <a:t>Total annual methane emissions from manure management</a:t>
          </a:fld>
          <a:endParaRPr lang="en-AU" sz="1000" b="1">
            <a:solidFill>
              <a:srgbClr val="0C769E"/>
            </a:solidFill>
          </a:endParaRPr>
        </a:p>
      </xdr:txBody>
    </xdr:sp>
    <xdr:clientData/>
  </xdr:twoCellAnchor>
  <xdr:twoCellAnchor>
    <xdr:from>
      <xdr:col>6</xdr:col>
      <xdr:colOff>547069</xdr:colOff>
      <xdr:row>12</xdr:row>
      <xdr:rowOff>78361</xdr:rowOff>
    </xdr:from>
    <xdr:to>
      <xdr:col>6</xdr:col>
      <xdr:colOff>574283</xdr:colOff>
      <xdr:row>25</xdr:row>
      <xdr:rowOff>136699</xdr:rowOff>
    </xdr:to>
    <xdr:cxnSp macro="">
      <xdr:nvCxnSpPr>
        <xdr:cNvPr id="24" name="Connector: Curved 23">
          <a:extLst>
            <a:ext uri="{FF2B5EF4-FFF2-40B4-BE49-F238E27FC236}">
              <a16:creationId xmlns:a16="http://schemas.microsoft.com/office/drawing/2014/main" id="{DC7C8163-CA33-4F29-8BC7-CA3B1B1A1E9F}"/>
            </a:ext>
          </a:extLst>
        </xdr:cNvPr>
        <xdr:cNvCxnSpPr>
          <a:stCxn id="16" idx="2"/>
          <a:endCxn id="17" idx="0"/>
        </xdr:cNvCxnSpPr>
      </xdr:nvCxnSpPr>
      <xdr:spPr>
        <a:xfrm rot="5400000">
          <a:off x="3457042" y="4761173"/>
          <a:ext cx="3242410" cy="27214"/>
        </a:xfrm>
        <a:prstGeom prst="curvedConnector3">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6</xdr:col>
      <xdr:colOff>547069</xdr:colOff>
      <xdr:row>28</xdr:row>
      <xdr:rowOff>128472</xdr:rowOff>
    </xdr:from>
    <xdr:to>
      <xdr:col>9</xdr:col>
      <xdr:colOff>362011</xdr:colOff>
      <xdr:row>48</xdr:row>
      <xdr:rowOff>178736</xdr:rowOff>
    </xdr:to>
    <xdr:cxnSp macro="">
      <xdr:nvCxnSpPr>
        <xdr:cNvPr id="27" name="Connector: Curved 26">
          <a:extLst>
            <a:ext uri="{FF2B5EF4-FFF2-40B4-BE49-F238E27FC236}">
              <a16:creationId xmlns:a16="http://schemas.microsoft.com/office/drawing/2014/main" id="{420D402C-C81A-432C-84CC-BD6496E6007B}"/>
            </a:ext>
          </a:extLst>
        </xdr:cNvPr>
        <xdr:cNvCxnSpPr>
          <a:stCxn id="19" idx="2"/>
          <a:endCxn id="20" idx="0"/>
        </xdr:cNvCxnSpPr>
      </xdr:nvCxnSpPr>
      <xdr:spPr>
        <a:xfrm rot="5400000">
          <a:off x="3416176" y="8771007"/>
          <a:ext cx="4948836" cy="1651907"/>
        </a:xfrm>
        <a:prstGeom prst="curvedConnector3">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14</xdr:col>
      <xdr:colOff>42365</xdr:colOff>
      <xdr:row>13</xdr:row>
      <xdr:rowOff>244791</xdr:rowOff>
    </xdr:from>
    <xdr:to>
      <xdr:col>16</xdr:col>
      <xdr:colOff>337886</xdr:colOff>
      <xdr:row>16</xdr:row>
      <xdr:rowOff>221842</xdr:rowOff>
    </xdr:to>
    <xdr:sp macro="" textlink="'4.1.1.3-4 Direct N20'!D34">
      <xdr:nvSpPr>
        <xdr:cNvPr id="28" name="TextBox 27">
          <a:hlinkClick xmlns:r="http://schemas.openxmlformats.org/officeDocument/2006/relationships" r:id="rId7"/>
          <a:extLst>
            <a:ext uri="{FF2B5EF4-FFF2-40B4-BE49-F238E27FC236}">
              <a16:creationId xmlns:a16="http://schemas.microsoft.com/office/drawing/2014/main" id="{9698555D-C7EC-4EA2-890F-C4B4DFF81AF8}"/>
            </a:ext>
          </a:extLst>
        </xdr:cNvPr>
        <xdr:cNvSpPr txBox="1"/>
      </xdr:nvSpPr>
      <xdr:spPr>
        <a:xfrm>
          <a:off x="9458508" y="3564934"/>
          <a:ext cx="1520164" cy="711837"/>
        </a:xfrm>
        <a:prstGeom prst="rect">
          <a:avLst/>
        </a:prstGeom>
        <a:solidFill>
          <a:schemeClr val="lt1"/>
        </a:solidFill>
        <a:ln w="9525" cmpd="sng">
          <a:solidFill>
            <a:schemeClr val="accent5">
              <a:lumMod val="75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3140F1BE-B098-436B-985C-CFD018301CA2}" type="TxLink">
            <a:rPr lang="en-US" sz="1000" b="0" i="0" u="none" strike="noStrike">
              <a:solidFill>
                <a:srgbClr val="002060"/>
              </a:solidFill>
              <a:latin typeface="Times New Roman"/>
              <a:cs typeface="Times New Roman"/>
            </a:rPr>
            <a:pPr algn="ctr"/>
            <a:t>Nitrogen excretion per head per day</a:t>
          </a:fld>
          <a:endParaRPr lang="en-AU" sz="1000">
            <a:solidFill>
              <a:srgbClr val="002060"/>
            </a:solidFill>
          </a:endParaRPr>
        </a:p>
      </xdr:txBody>
    </xdr:sp>
    <xdr:clientData/>
  </xdr:twoCellAnchor>
  <xdr:twoCellAnchor>
    <xdr:from>
      <xdr:col>14</xdr:col>
      <xdr:colOff>42365</xdr:colOff>
      <xdr:row>18</xdr:row>
      <xdr:rowOff>56167</xdr:rowOff>
    </xdr:from>
    <xdr:to>
      <xdr:col>16</xdr:col>
      <xdr:colOff>337886</xdr:colOff>
      <xdr:row>21</xdr:row>
      <xdr:rowOff>30743</xdr:rowOff>
    </xdr:to>
    <xdr:sp macro="" textlink="'4.1.1.3-4 Direct N20'!D58">
      <xdr:nvSpPr>
        <xdr:cNvPr id="30" name="TextBox 29">
          <a:hlinkClick xmlns:r="http://schemas.openxmlformats.org/officeDocument/2006/relationships" r:id="rId8"/>
          <a:extLst>
            <a:ext uri="{FF2B5EF4-FFF2-40B4-BE49-F238E27FC236}">
              <a16:creationId xmlns:a16="http://schemas.microsoft.com/office/drawing/2014/main" id="{6CF139F8-6FBC-41FC-886C-5AF068F9C78F}"/>
            </a:ext>
          </a:extLst>
        </xdr:cNvPr>
        <xdr:cNvSpPr txBox="1"/>
      </xdr:nvSpPr>
      <xdr:spPr>
        <a:xfrm>
          <a:off x="9458508" y="4600953"/>
          <a:ext cx="1520164" cy="709361"/>
        </a:xfrm>
        <a:prstGeom prst="rect">
          <a:avLst/>
        </a:prstGeom>
        <a:solidFill>
          <a:schemeClr val="lt1"/>
        </a:solidFill>
        <a:ln w="9525" cmpd="sng">
          <a:solidFill>
            <a:schemeClr val="accent5">
              <a:lumMod val="75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E45B2A11-30ED-4A4A-84FE-A5BD6492E8CA}" type="TxLink">
            <a:rPr lang="en-US" sz="1000" b="0" i="0" u="none" strike="noStrike">
              <a:solidFill>
                <a:srgbClr val="002060"/>
              </a:solidFill>
              <a:latin typeface="Times New Roman"/>
              <a:cs typeface="Times New Roman"/>
            </a:rPr>
            <a:pPr algn="ctr"/>
            <a:t>Annual nitrogen excretion from each feedlot cattle group</a:t>
          </a:fld>
          <a:endParaRPr lang="en-AU" sz="1000">
            <a:solidFill>
              <a:srgbClr val="002060"/>
            </a:solidFill>
          </a:endParaRPr>
        </a:p>
      </xdr:txBody>
    </xdr:sp>
    <xdr:clientData/>
  </xdr:twoCellAnchor>
  <xdr:twoCellAnchor>
    <xdr:from>
      <xdr:col>15</xdr:col>
      <xdr:colOff>183776</xdr:colOff>
      <xdr:row>12</xdr:row>
      <xdr:rowOff>163508</xdr:rowOff>
    </xdr:from>
    <xdr:to>
      <xdr:col>15</xdr:col>
      <xdr:colOff>196476</xdr:colOff>
      <xdr:row>14</xdr:row>
      <xdr:rowOff>6213</xdr:rowOff>
    </xdr:to>
    <xdr:cxnSp macro="">
      <xdr:nvCxnSpPr>
        <xdr:cNvPr id="31" name="Connector: Curved 30">
          <a:extLst>
            <a:ext uri="{FF2B5EF4-FFF2-40B4-BE49-F238E27FC236}">
              <a16:creationId xmlns:a16="http://schemas.microsoft.com/office/drawing/2014/main" id="{82785C84-7C60-405F-AAC3-AC8A3EBBDAE7}"/>
            </a:ext>
          </a:extLst>
        </xdr:cNvPr>
        <xdr:cNvCxnSpPr>
          <a:stCxn id="5" idx="2"/>
          <a:endCxn id="28" idx="0"/>
        </xdr:cNvCxnSpPr>
      </xdr:nvCxnSpPr>
      <xdr:spPr>
        <a:xfrm rot="5400000">
          <a:off x="10052309" y="3398653"/>
          <a:ext cx="332562" cy="12700"/>
        </a:xfrm>
        <a:prstGeom prst="curvedConnector3">
          <a:avLst/>
        </a:prstGeom>
        <a:ln>
          <a:solidFill>
            <a:srgbClr val="00206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14</xdr:col>
      <xdr:colOff>42365</xdr:colOff>
      <xdr:row>25</xdr:row>
      <xdr:rowOff>171225</xdr:rowOff>
    </xdr:from>
    <xdr:to>
      <xdr:col>16</xdr:col>
      <xdr:colOff>337886</xdr:colOff>
      <xdr:row>28</xdr:row>
      <xdr:rowOff>148274</xdr:rowOff>
    </xdr:to>
    <xdr:sp macro="" textlink="'4.1.1.3-4 Direct N20'!D87">
      <xdr:nvSpPr>
        <xdr:cNvPr id="32" name="TextBox 31">
          <a:hlinkClick xmlns:r="http://schemas.openxmlformats.org/officeDocument/2006/relationships" r:id="rId9"/>
          <a:extLst>
            <a:ext uri="{FF2B5EF4-FFF2-40B4-BE49-F238E27FC236}">
              <a16:creationId xmlns:a16="http://schemas.microsoft.com/office/drawing/2014/main" id="{9827B40B-8680-48EC-8C9A-32D34BCC0790}"/>
            </a:ext>
          </a:extLst>
        </xdr:cNvPr>
        <xdr:cNvSpPr txBox="1"/>
      </xdr:nvSpPr>
      <xdr:spPr>
        <a:xfrm>
          <a:off x="9458508" y="6430511"/>
          <a:ext cx="1520164" cy="711834"/>
        </a:xfrm>
        <a:prstGeom prst="rect">
          <a:avLst/>
        </a:prstGeom>
        <a:solidFill>
          <a:schemeClr val="lt1"/>
        </a:solidFill>
        <a:ln w="9525" cmpd="sng">
          <a:solidFill>
            <a:schemeClr val="accent5">
              <a:lumMod val="75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1260E4A7-8531-4E49-88D3-D15008B776AC}" type="TxLink">
            <a:rPr lang="en-US" sz="1000" b="0" i="0" u="none" strike="noStrike">
              <a:solidFill>
                <a:srgbClr val="002060"/>
              </a:solidFill>
              <a:latin typeface="Times New Roman"/>
              <a:cs typeface="Times New Roman"/>
            </a:rPr>
            <a:pPr algn="ctr"/>
            <a:t>Nitrogen in treatment stage 1 MMS</a:t>
          </a:fld>
          <a:endParaRPr lang="en-AU" sz="1000">
            <a:solidFill>
              <a:srgbClr val="002060"/>
            </a:solidFill>
          </a:endParaRPr>
        </a:p>
      </xdr:txBody>
    </xdr:sp>
    <xdr:clientData/>
  </xdr:twoCellAnchor>
  <xdr:twoCellAnchor>
    <xdr:from>
      <xdr:col>16</xdr:col>
      <xdr:colOff>476146</xdr:colOff>
      <xdr:row>25</xdr:row>
      <xdr:rowOff>171198</xdr:rowOff>
    </xdr:from>
    <xdr:to>
      <xdr:col>19</xdr:col>
      <xdr:colOff>155160</xdr:colOff>
      <xdr:row>28</xdr:row>
      <xdr:rowOff>148250</xdr:rowOff>
    </xdr:to>
    <xdr:sp macro="" textlink="'4.1.1.3-4 Direct N20'!D110">
      <xdr:nvSpPr>
        <xdr:cNvPr id="33" name="TextBox 32">
          <a:hlinkClick xmlns:r="http://schemas.openxmlformats.org/officeDocument/2006/relationships" r:id="rId10"/>
          <a:extLst>
            <a:ext uri="{FF2B5EF4-FFF2-40B4-BE49-F238E27FC236}">
              <a16:creationId xmlns:a16="http://schemas.microsoft.com/office/drawing/2014/main" id="{AC4808CF-39AC-4490-AE04-3BCC5E415458}"/>
            </a:ext>
          </a:extLst>
        </xdr:cNvPr>
        <xdr:cNvSpPr txBox="1"/>
      </xdr:nvSpPr>
      <xdr:spPr>
        <a:xfrm>
          <a:off x="11116932" y="6430484"/>
          <a:ext cx="1515978" cy="711837"/>
        </a:xfrm>
        <a:prstGeom prst="rect">
          <a:avLst/>
        </a:prstGeom>
        <a:solidFill>
          <a:schemeClr val="lt1"/>
        </a:solidFill>
        <a:ln w="9525" cmpd="sng">
          <a:solidFill>
            <a:schemeClr val="accent5">
              <a:lumMod val="75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F7592E86-EE0D-4016-8964-BB728D0237AE}" type="TxLink">
            <a:rPr lang="en-US" sz="1000" b="0" i="0" u="none" strike="noStrike">
              <a:solidFill>
                <a:srgbClr val="002060"/>
              </a:solidFill>
              <a:latin typeface="Times New Roman"/>
              <a:cs typeface="Times New Roman"/>
            </a:rPr>
            <a:pPr algn="ctr"/>
            <a:t>Nitrogen in treatment stage 3 MMS</a:t>
          </a:fld>
          <a:endParaRPr lang="en-AU" sz="1000">
            <a:solidFill>
              <a:srgbClr val="002060"/>
            </a:solidFill>
          </a:endParaRPr>
        </a:p>
      </xdr:txBody>
    </xdr:sp>
    <xdr:clientData/>
  </xdr:twoCellAnchor>
  <xdr:twoCellAnchor>
    <xdr:from>
      <xdr:col>11</xdr:col>
      <xdr:colOff>364704</xdr:colOff>
      <xdr:row>31</xdr:row>
      <xdr:rowOff>46406</xdr:rowOff>
    </xdr:from>
    <xdr:to>
      <xdr:col>14</xdr:col>
      <xdr:colOff>47031</xdr:colOff>
      <xdr:row>34</xdr:row>
      <xdr:rowOff>91271</xdr:rowOff>
    </xdr:to>
    <xdr:sp macro="" textlink="'4.1.1.3-4 Direct N20'!D133">
      <xdr:nvSpPr>
        <xdr:cNvPr id="34" name="TextBox 33">
          <a:hlinkClick xmlns:r="http://schemas.openxmlformats.org/officeDocument/2006/relationships" r:id="rId11"/>
          <a:extLst>
            <a:ext uri="{FF2B5EF4-FFF2-40B4-BE49-F238E27FC236}">
              <a16:creationId xmlns:a16="http://schemas.microsoft.com/office/drawing/2014/main" id="{982520B3-7ED0-4B59-AF9F-66CD49ADE410}"/>
            </a:ext>
          </a:extLst>
        </xdr:cNvPr>
        <xdr:cNvSpPr txBox="1"/>
      </xdr:nvSpPr>
      <xdr:spPr>
        <a:xfrm>
          <a:off x="7943883" y="7775263"/>
          <a:ext cx="1519291" cy="779651"/>
        </a:xfrm>
        <a:prstGeom prst="rect">
          <a:avLst/>
        </a:prstGeom>
        <a:solidFill>
          <a:schemeClr val="lt1"/>
        </a:solidFill>
        <a:ln w="9525" cmpd="sng">
          <a:solidFill>
            <a:schemeClr val="accent5">
              <a:lumMod val="75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52D53CF0-75F0-4A83-9D13-D73B0E28A8D2}" type="TxLink">
            <a:rPr lang="en-US" sz="1000" b="0" i="0" u="none" strike="noStrike">
              <a:solidFill>
                <a:srgbClr val="002060"/>
              </a:solidFill>
              <a:latin typeface="Times New Roman"/>
              <a:cs typeface="Times New Roman"/>
            </a:rPr>
            <a:pPr algn="ctr"/>
            <a:t>Nitrogen transferred to treatment stage 2 MMS</a:t>
          </a:fld>
          <a:endParaRPr lang="en-AU" sz="1000">
            <a:solidFill>
              <a:srgbClr val="002060"/>
            </a:solidFill>
          </a:endParaRPr>
        </a:p>
      </xdr:txBody>
    </xdr:sp>
    <xdr:clientData/>
  </xdr:twoCellAnchor>
  <xdr:twoCellAnchor>
    <xdr:from>
      <xdr:col>11</xdr:col>
      <xdr:colOff>357301</xdr:colOff>
      <xdr:row>35</xdr:row>
      <xdr:rowOff>13998</xdr:rowOff>
    </xdr:from>
    <xdr:to>
      <xdr:col>14</xdr:col>
      <xdr:colOff>30622</xdr:colOff>
      <xdr:row>37</xdr:row>
      <xdr:rowOff>235975</xdr:rowOff>
    </xdr:to>
    <xdr:sp macro="" textlink="'4.1.1.3-4 Direct N20'!D153">
      <xdr:nvSpPr>
        <xdr:cNvPr id="36" name="TextBox 35">
          <a:hlinkClick xmlns:r="http://schemas.openxmlformats.org/officeDocument/2006/relationships" r:id="rId12"/>
          <a:extLst>
            <a:ext uri="{FF2B5EF4-FFF2-40B4-BE49-F238E27FC236}">
              <a16:creationId xmlns:a16="http://schemas.microsoft.com/office/drawing/2014/main" id="{465393D9-6FD0-4F85-ACE3-5BE1C534D81A}"/>
            </a:ext>
          </a:extLst>
        </xdr:cNvPr>
        <xdr:cNvSpPr txBox="1"/>
      </xdr:nvSpPr>
      <xdr:spPr>
        <a:xfrm>
          <a:off x="7936480" y="8722569"/>
          <a:ext cx="1510285" cy="711835"/>
        </a:xfrm>
        <a:prstGeom prst="rect">
          <a:avLst/>
        </a:prstGeom>
        <a:solidFill>
          <a:schemeClr val="lt1"/>
        </a:solidFill>
        <a:ln w="9525" cmpd="sng">
          <a:solidFill>
            <a:schemeClr val="accent5">
              <a:lumMod val="75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3CD4D054-9E39-4D29-8876-3277150A2BDC}" type="TxLink">
            <a:rPr lang="en-US" sz="1000" b="0" i="0" u="none" strike="noStrike">
              <a:solidFill>
                <a:srgbClr val="002060"/>
              </a:solidFill>
              <a:latin typeface="Times New Roman"/>
              <a:cs typeface="Times New Roman"/>
            </a:rPr>
            <a:pPr algn="ctr"/>
            <a:t>Nitrogen in treatment stage 2 MMS</a:t>
          </a:fld>
          <a:endParaRPr lang="en-AU" sz="1000">
            <a:solidFill>
              <a:srgbClr val="002060"/>
            </a:solidFill>
          </a:endParaRPr>
        </a:p>
      </xdr:txBody>
    </xdr:sp>
    <xdr:clientData/>
  </xdr:twoCellAnchor>
  <xdr:twoCellAnchor>
    <xdr:from>
      <xdr:col>14</xdr:col>
      <xdr:colOff>45212</xdr:colOff>
      <xdr:row>48</xdr:row>
      <xdr:rowOff>154904</xdr:rowOff>
    </xdr:from>
    <xdr:to>
      <xdr:col>16</xdr:col>
      <xdr:colOff>335040</xdr:colOff>
      <xdr:row>51</xdr:row>
      <xdr:rowOff>129478</xdr:rowOff>
    </xdr:to>
    <xdr:sp macro="" textlink="'4.1.1.3-4 Direct N20'!D179">
      <xdr:nvSpPr>
        <xdr:cNvPr id="37" name="TextBox 36">
          <a:hlinkClick xmlns:r="http://schemas.openxmlformats.org/officeDocument/2006/relationships" r:id="rId13"/>
          <a:extLst>
            <a:ext uri="{FF2B5EF4-FFF2-40B4-BE49-F238E27FC236}">
              <a16:creationId xmlns:a16="http://schemas.microsoft.com/office/drawing/2014/main" id="{35C3F104-C11B-43D7-BE90-153D19BDFEE2}"/>
            </a:ext>
          </a:extLst>
        </xdr:cNvPr>
        <xdr:cNvSpPr txBox="1"/>
      </xdr:nvSpPr>
      <xdr:spPr>
        <a:xfrm>
          <a:off x="9461355" y="12047547"/>
          <a:ext cx="1514471" cy="709360"/>
        </a:xfrm>
        <a:prstGeom prst="rect">
          <a:avLst/>
        </a:prstGeom>
        <a:solidFill>
          <a:schemeClr val="lt1"/>
        </a:solidFill>
        <a:ln w="9525" cmpd="sng">
          <a:solidFill>
            <a:schemeClr val="accent5">
              <a:lumMod val="75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50A1F4DB-2531-4D25-A904-2A8437BD8D75}" type="TxLink">
            <a:rPr lang="en-US" sz="1000" b="1" i="0" u="none" strike="noStrike">
              <a:solidFill>
                <a:srgbClr val="002060"/>
              </a:solidFill>
              <a:latin typeface="Times New Roman"/>
              <a:cs typeface="Times New Roman"/>
            </a:rPr>
            <a:pPr algn="ctr"/>
            <a:t>Total annual direct nitrous oxide emissions from manure management systems</a:t>
          </a:fld>
          <a:endParaRPr lang="en-AU" sz="1000" b="1">
            <a:solidFill>
              <a:srgbClr val="002060"/>
            </a:solidFill>
          </a:endParaRPr>
        </a:p>
      </xdr:txBody>
    </xdr:sp>
    <xdr:clientData/>
  </xdr:twoCellAnchor>
  <xdr:twoCellAnchor>
    <xdr:from>
      <xdr:col>15</xdr:col>
      <xdr:colOff>183776</xdr:colOff>
      <xdr:row>16</xdr:row>
      <xdr:rowOff>228192</xdr:rowOff>
    </xdr:from>
    <xdr:to>
      <xdr:col>15</xdr:col>
      <xdr:colOff>196476</xdr:colOff>
      <xdr:row>18</xdr:row>
      <xdr:rowOff>62517</xdr:rowOff>
    </xdr:to>
    <xdr:cxnSp macro="">
      <xdr:nvCxnSpPr>
        <xdr:cNvPr id="38" name="Connector: Curved 37">
          <a:extLst>
            <a:ext uri="{FF2B5EF4-FFF2-40B4-BE49-F238E27FC236}">
              <a16:creationId xmlns:a16="http://schemas.microsoft.com/office/drawing/2014/main" id="{3405DE52-A53B-482F-86E6-CF7546240779}"/>
            </a:ext>
          </a:extLst>
        </xdr:cNvPr>
        <xdr:cNvCxnSpPr>
          <a:stCxn id="28" idx="2"/>
          <a:endCxn id="30" idx="0"/>
        </xdr:cNvCxnSpPr>
      </xdr:nvCxnSpPr>
      <xdr:spPr>
        <a:xfrm rot="5400000">
          <a:off x="10056499" y="4438862"/>
          <a:ext cx="324182" cy="12700"/>
        </a:xfrm>
        <a:prstGeom prst="curvedConnector3">
          <a:avLst/>
        </a:prstGeom>
        <a:ln>
          <a:solidFill>
            <a:srgbClr val="00206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23</xdr:col>
      <xdr:colOff>73167</xdr:colOff>
      <xdr:row>47</xdr:row>
      <xdr:rowOff>94465</xdr:rowOff>
    </xdr:from>
    <xdr:to>
      <xdr:col>23</xdr:col>
      <xdr:colOff>76066</xdr:colOff>
      <xdr:row>48</xdr:row>
      <xdr:rowOff>167790</xdr:rowOff>
    </xdr:to>
    <xdr:cxnSp macro="">
      <xdr:nvCxnSpPr>
        <xdr:cNvPr id="47" name="Connector: Curved 46">
          <a:extLst>
            <a:ext uri="{FF2B5EF4-FFF2-40B4-BE49-F238E27FC236}">
              <a16:creationId xmlns:a16="http://schemas.microsoft.com/office/drawing/2014/main" id="{F64F7784-2DEB-46E0-BA40-BF4C7A0EC511}"/>
            </a:ext>
          </a:extLst>
        </xdr:cNvPr>
        <xdr:cNvCxnSpPr>
          <a:stCxn id="53" idx="2"/>
          <a:endCxn id="55" idx="0"/>
        </xdr:cNvCxnSpPr>
      </xdr:nvCxnSpPr>
      <xdr:spPr>
        <a:xfrm rot="16200000" flipH="1">
          <a:off x="14842526" y="11899856"/>
          <a:ext cx="318254" cy="2899"/>
        </a:xfrm>
        <a:prstGeom prst="curvedConnector3">
          <a:avLst>
            <a:gd name="adj1" fmla="val 50000"/>
          </a:avLst>
        </a:prstGeom>
        <a:ln>
          <a:solidFill>
            <a:srgbClr val="7030A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25</xdr:col>
      <xdr:colOff>415580</xdr:colOff>
      <xdr:row>55</xdr:row>
      <xdr:rowOff>34904</xdr:rowOff>
    </xdr:from>
    <xdr:to>
      <xdr:col>28</xdr:col>
      <xdr:colOff>98780</xdr:colOff>
      <xdr:row>58</xdr:row>
      <xdr:rowOff>24516</xdr:rowOff>
    </xdr:to>
    <xdr:sp macro="" textlink="'4.1.1.9 Manure applied to soils'!D5">
      <xdr:nvSpPr>
        <xdr:cNvPr id="54" name="TextBox 53">
          <a:hlinkClick xmlns:r="http://schemas.openxmlformats.org/officeDocument/2006/relationships" r:id="rId14"/>
          <a:extLst>
            <a:ext uri="{FF2B5EF4-FFF2-40B4-BE49-F238E27FC236}">
              <a16:creationId xmlns:a16="http://schemas.microsoft.com/office/drawing/2014/main" id="{95ED6D80-A9CA-4BE0-8876-0A2123740055}"/>
            </a:ext>
          </a:extLst>
        </xdr:cNvPr>
        <xdr:cNvSpPr txBox="1"/>
      </xdr:nvSpPr>
      <xdr:spPr>
        <a:xfrm>
          <a:off x="16567259" y="13642047"/>
          <a:ext cx="1520164" cy="724398"/>
        </a:xfrm>
        <a:prstGeom prst="rect">
          <a:avLst/>
        </a:prstGeom>
        <a:solidFill>
          <a:schemeClr val="lt1"/>
        </a:solidFill>
        <a:ln w="9525" cmpd="sng">
          <a:solidFill>
            <a:srgbClr val="C4434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33F0E734-185C-44CF-9F85-27961AC85E01}" type="TxLink">
            <a:rPr lang="en-US" sz="1000" b="1" i="0" u="none" strike="noStrike">
              <a:solidFill>
                <a:srgbClr val="C00000"/>
              </a:solidFill>
              <a:latin typeface="Times New Roman"/>
              <a:cs typeface="Times New Roman"/>
            </a:rPr>
            <a:pPr algn="ctr"/>
            <a:t>Mass of nitrogen applied to soils for scope 1 emissions</a:t>
          </a:fld>
          <a:endParaRPr lang="en-AU" sz="1000" b="1">
            <a:solidFill>
              <a:srgbClr val="C00000"/>
            </a:solidFill>
          </a:endParaRPr>
        </a:p>
      </xdr:txBody>
    </xdr:sp>
    <xdr:clientData/>
  </xdr:twoCellAnchor>
  <xdr:twoCellAnchor>
    <xdr:from>
      <xdr:col>28</xdr:col>
      <xdr:colOff>298432</xdr:colOff>
      <xdr:row>55</xdr:row>
      <xdr:rowOff>46981</xdr:rowOff>
    </xdr:from>
    <xdr:to>
      <xdr:col>30</xdr:col>
      <xdr:colOff>598142</xdr:colOff>
      <xdr:row>58</xdr:row>
      <xdr:rowOff>19081</xdr:rowOff>
    </xdr:to>
    <xdr:sp macro="" textlink="'4.1.1.9 Manure applied to soils'!D65">
      <xdr:nvSpPr>
        <xdr:cNvPr id="56" name="TextBox 55">
          <a:hlinkClick xmlns:r="http://schemas.openxmlformats.org/officeDocument/2006/relationships" r:id="rId15"/>
          <a:extLst>
            <a:ext uri="{FF2B5EF4-FFF2-40B4-BE49-F238E27FC236}">
              <a16:creationId xmlns:a16="http://schemas.microsoft.com/office/drawing/2014/main" id="{5FA3B127-61AF-470F-B0DC-C1C9FB586772}"/>
            </a:ext>
          </a:extLst>
        </xdr:cNvPr>
        <xdr:cNvSpPr txBox="1"/>
      </xdr:nvSpPr>
      <xdr:spPr>
        <a:xfrm>
          <a:off x="18287075" y="13654124"/>
          <a:ext cx="1524353" cy="706886"/>
        </a:xfrm>
        <a:prstGeom prst="rect">
          <a:avLst/>
        </a:prstGeom>
        <a:solidFill>
          <a:schemeClr val="lt1"/>
        </a:solidFill>
        <a:ln w="9525" cmpd="sng">
          <a:solidFill>
            <a:srgbClr val="C4434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97F77E59-AFF0-4560-ACBB-3A30834AA712}" type="TxLink">
            <a:rPr lang="en-US" sz="1000" b="1" i="0" u="none" strike="noStrike">
              <a:solidFill>
                <a:srgbClr val="C00000"/>
              </a:solidFill>
              <a:latin typeface="Times New Roman"/>
              <a:cs typeface="Times New Roman"/>
            </a:rPr>
            <a:pPr algn="ctr"/>
            <a:t>Mass of nitrogen applied to soils for scope 3 emissions</a:t>
          </a:fld>
          <a:endParaRPr lang="en-AU" sz="1000" b="1">
            <a:solidFill>
              <a:srgbClr val="C00000"/>
            </a:solidFill>
          </a:endParaRPr>
        </a:p>
      </xdr:txBody>
    </xdr:sp>
    <xdr:clientData/>
  </xdr:twoCellAnchor>
  <xdr:twoCellAnchor>
    <xdr:from>
      <xdr:col>31</xdr:col>
      <xdr:colOff>598714</xdr:colOff>
      <xdr:row>32</xdr:row>
      <xdr:rowOff>162046</xdr:rowOff>
    </xdr:from>
    <xdr:to>
      <xdr:col>34</xdr:col>
      <xdr:colOff>423344</xdr:colOff>
      <xdr:row>37</xdr:row>
      <xdr:rowOff>-1</xdr:rowOff>
    </xdr:to>
    <xdr:sp macro="" textlink="">
      <xdr:nvSpPr>
        <xdr:cNvPr id="66" name="Rectangle 65">
          <a:extLst>
            <a:ext uri="{FF2B5EF4-FFF2-40B4-BE49-F238E27FC236}">
              <a16:creationId xmlns:a16="http://schemas.microsoft.com/office/drawing/2014/main" id="{EFDC15EB-D7C8-4514-9216-49F739AAE7B6}"/>
            </a:ext>
          </a:extLst>
        </xdr:cNvPr>
        <xdr:cNvSpPr/>
      </xdr:nvSpPr>
      <xdr:spPr>
        <a:xfrm>
          <a:off x="20424321" y="8135832"/>
          <a:ext cx="1661594" cy="1062596"/>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Manure sent to MMS other than drylot and anaerobic lagoon </a:t>
          </a:r>
        </a:p>
      </xdr:txBody>
    </xdr:sp>
    <xdr:clientData/>
  </xdr:twoCellAnchor>
  <xdr:twoCellAnchor>
    <xdr:from>
      <xdr:col>31</xdr:col>
      <xdr:colOff>587828</xdr:colOff>
      <xdr:row>27</xdr:row>
      <xdr:rowOff>15090</xdr:rowOff>
    </xdr:from>
    <xdr:to>
      <xdr:col>34</xdr:col>
      <xdr:colOff>412458</xdr:colOff>
      <xdr:row>30</xdr:row>
      <xdr:rowOff>167243</xdr:rowOff>
    </xdr:to>
    <xdr:sp macro="" textlink="">
      <xdr:nvSpPr>
        <xdr:cNvPr id="67" name="Rectangle 66">
          <a:extLst>
            <a:ext uri="{FF2B5EF4-FFF2-40B4-BE49-F238E27FC236}">
              <a16:creationId xmlns:a16="http://schemas.microsoft.com/office/drawing/2014/main" id="{002F7092-75A2-4F27-9B2F-7C7C15E35918}"/>
            </a:ext>
          </a:extLst>
        </xdr:cNvPr>
        <xdr:cNvSpPr/>
      </xdr:nvSpPr>
      <xdr:spPr>
        <a:xfrm>
          <a:off x="20413435" y="6764233"/>
          <a:ext cx="1661594" cy="886939"/>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Manure stored in drylot</a:t>
          </a:r>
        </a:p>
      </xdr:txBody>
    </xdr:sp>
    <xdr:clientData/>
  </xdr:twoCellAnchor>
  <xdr:twoCellAnchor>
    <xdr:from>
      <xdr:col>40</xdr:col>
      <xdr:colOff>536122</xdr:colOff>
      <xdr:row>27</xdr:row>
      <xdr:rowOff>99455</xdr:rowOff>
    </xdr:from>
    <xdr:to>
      <xdr:col>43</xdr:col>
      <xdr:colOff>360752</xdr:colOff>
      <xdr:row>31</xdr:row>
      <xdr:rowOff>6680</xdr:rowOff>
    </xdr:to>
    <xdr:sp macro="" textlink="">
      <xdr:nvSpPr>
        <xdr:cNvPr id="68" name="Rectangle 67">
          <a:extLst>
            <a:ext uri="{FF2B5EF4-FFF2-40B4-BE49-F238E27FC236}">
              <a16:creationId xmlns:a16="http://schemas.microsoft.com/office/drawing/2014/main" id="{A9271D4A-A59D-4E2F-A886-407604454F97}"/>
            </a:ext>
          </a:extLst>
        </xdr:cNvPr>
        <xdr:cNvSpPr/>
      </xdr:nvSpPr>
      <xdr:spPr>
        <a:xfrm>
          <a:off x="25872622" y="6848598"/>
          <a:ext cx="1661594" cy="886939"/>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Manure gradually sent to anaerobic lagoon</a:t>
          </a:r>
        </a:p>
      </xdr:txBody>
    </xdr:sp>
    <xdr:clientData/>
  </xdr:twoCellAnchor>
  <xdr:twoCellAnchor>
    <xdr:from>
      <xdr:col>33</xdr:col>
      <xdr:colOff>70757</xdr:colOff>
      <xdr:row>55</xdr:row>
      <xdr:rowOff>97971</xdr:rowOff>
    </xdr:from>
    <xdr:to>
      <xdr:col>35</xdr:col>
      <xdr:colOff>507706</xdr:colOff>
      <xdr:row>58</xdr:row>
      <xdr:rowOff>29935</xdr:rowOff>
    </xdr:to>
    <xdr:sp macro="" textlink="">
      <xdr:nvSpPr>
        <xdr:cNvPr id="74" name="Rectangle 73">
          <a:extLst>
            <a:ext uri="{FF2B5EF4-FFF2-40B4-BE49-F238E27FC236}">
              <a16:creationId xmlns:a16="http://schemas.microsoft.com/office/drawing/2014/main" id="{27904827-F06E-438A-9F0A-77A8714C8984}"/>
            </a:ext>
          </a:extLst>
        </xdr:cNvPr>
        <xdr:cNvSpPr/>
      </xdr:nvSpPr>
      <xdr:spPr>
        <a:xfrm>
          <a:off x="21121007" y="13705114"/>
          <a:ext cx="1661592" cy="666750"/>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Direct application</a:t>
          </a:r>
        </a:p>
      </xdr:txBody>
    </xdr:sp>
    <xdr:clientData/>
  </xdr:twoCellAnchor>
  <xdr:twoCellAnchor>
    <xdr:from>
      <xdr:col>35</xdr:col>
      <xdr:colOff>556691</xdr:colOff>
      <xdr:row>55</xdr:row>
      <xdr:rowOff>97971</xdr:rowOff>
    </xdr:from>
    <xdr:to>
      <xdr:col>38</xdr:col>
      <xdr:colOff>381320</xdr:colOff>
      <xdr:row>58</xdr:row>
      <xdr:rowOff>29935</xdr:rowOff>
    </xdr:to>
    <xdr:sp macro="" textlink="">
      <xdr:nvSpPr>
        <xdr:cNvPr id="75" name="Rectangle 74">
          <a:extLst>
            <a:ext uri="{FF2B5EF4-FFF2-40B4-BE49-F238E27FC236}">
              <a16:creationId xmlns:a16="http://schemas.microsoft.com/office/drawing/2014/main" id="{F967C426-9B13-4B11-BC81-25A1AFFE24A3}"/>
            </a:ext>
          </a:extLst>
        </xdr:cNvPr>
        <xdr:cNvSpPr/>
      </xdr:nvSpPr>
      <xdr:spPr>
        <a:xfrm>
          <a:off x="22831584" y="13705114"/>
          <a:ext cx="1661593" cy="666750"/>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Used as fertiliser on own farm</a:t>
          </a:r>
        </a:p>
      </xdr:txBody>
    </xdr:sp>
    <xdr:clientData/>
  </xdr:twoCellAnchor>
  <xdr:twoCellAnchor>
    <xdr:from>
      <xdr:col>38</xdr:col>
      <xdr:colOff>458880</xdr:colOff>
      <xdr:row>55</xdr:row>
      <xdr:rowOff>97971</xdr:rowOff>
    </xdr:from>
    <xdr:to>
      <xdr:col>41</xdr:col>
      <xdr:colOff>283510</xdr:colOff>
      <xdr:row>58</xdr:row>
      <xdr:rowOff>29935</xdr:rowOff>
    </xdr:to>
    <xdr:sp macro="" textlink="">
      <xdr:nvSpPr>
        <xdr:cNvPr id="76" name="Rectangle 75">
          <a:extLst>
            <a:ext uri="{FF2B5EF4-FFF2-40B4-BE49-F238E27FC236}">
              <a16:creationId xmlns:a16="http://schemas.microsoft.com/office/drawing/2014/main" id="{E5DF650F-FC84-49C6-B041-049D79C3FDF6}"/>
            </a:ext>
          </a:extLst>
        </xdr:cNvPr>
        <xdr:cNvSpPr/>
      </xdr:nvSpPr>
      <xdr:spPr>
        <a:xfrm>
          <a:off x="24570737" y="13705114"/>
          <a:ext cx="1661594" cy="666750"/>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Sold</a:t>
          </a:r>
        </a:p>
      </xdr:txBody>
    </xdr:sp>
    <xdr:clientData/>
  </xdr:twoCellAnchor>
  <xdr:twoCellAnchor>
    <xdr:from>
      <xdr:col>33</xdr:col>
      <xdr:colOff>193982</xdr:colOff>
      <xdr:row>30</xdr:row>
      <xdr:rowOff>167243</xdr:rowOff>
    </xdr:from>
    <xdr:to>
      <xdr:col>33</xdr:col>
      <xdr:colOff>204868</xdr:colOff>
      <xdr:row>32</xdr:row>
      <xdr:rowOff>162046</xdr:rowOff>
    </xdr:to>
    <xdr:cxnSp macro="">
      <xdr:nvCxnSpPr>
        <xdr:cNvPr id="77" name="Connector: Curved 76">
          <a:extLst>
            <a:ext uri="{FF2B5EF4-FFF2-40B4-BE49-F238E27FC236}">
              <a16:creationId xmlns:a16="http://schemas.microsoft.com/office/drawing/2014/main" id="{45D3BFD0-5625-4B70-A13F-3755781F8A37}"/>
            </a:ext>
          </a:extLst>
        </xdr:cNvPr>
        <xdr:cNvCxnSpPr>
          <a:stCxn id="67" idx="2"/>
          <a:endCxn id="66" idx="0"/>
        </xdr:cNvCxnSpPr>
      </xdr:nvCxnSpPr>
      <xdr:spPr>
        <a:xfrm rot="16200000" flipH="1">
          <a:off x="21007345" y="7888059"/>
          <a:ext cx="484660" cy="10886"/>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34</xdr:col>
      <xdr:colOff>289233</xdr:colOff>
      <xdr:row>31</xdr:row>
      <xdr:rowOff>6679</xdr:rowOff>
    </xdr:from>
    <xdr:to>
      <xdr:col>42</xdr:col>
      <xdr:colOff>142277</xdr:colOff>
      <xdr:row>55</xdr:row>
      <xdr:rowOff>97970</xdr:rowOff>
    </xdr:to>
    <xdr:cxnSp macro="">
      <xdr:nvCxnSpPr>
        <xdr:cNvPr id="78" name="Connector: Curved 77">
          <a:extLst>
            <a:ext uri="{FF2B5EF4-FFF2-40B4-BE49-F238E27FC236}">
              <a16:creationId xmlns:a16="http://schemas.microsoft.com/office/drawing/2014/main" id="{AB43F1BF-2950-4E57-9CAF-F48D5DA770B5}"/>
            </a:ext>
          </a:extLst>
        </xdr:cNvPr>
        <xdr:cNvCxnSpPr>
          <a:cxnSpLocks/>
          <a:stCxn id="68" idx="2"/>
          <a:endCxn id="74" idx="0"/>
        </xdr:cNvCxnSpPr>
      </xdr:nvCxnSpPr>
      <xdr:spPr>
        <a:xfrm rot="5400000">
          <a:off x="21342823" y="8344517"/>
          <a:ext cx="5969577" cy="4751616"/>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36</xdr:col>
      <xdr:colOff>209550</xdr:colOff>
      <xdr:row>16</xdr:row>
      <xdr:rowOff>2967</xdr:rowOff>
    </xdr:from>
    <xdr:to>
      <xdr:col>39</xdr:col>
      <xdr:colOff>34179</xdr:colOff>
      <xdr:row>19</xdr:row>
      <xdr:rowOff>152646</xdr:rowOff>
    </xdr:to>
    <xdr:sp macro="" textlink="">
      <xdr:nvSpPr>
        <xdr:cNvPr id="84" name="Rectangle 83">
          <a:extLst>
            <a:ext uri="{FF2B5EF4-FFF2-40B4-BE49-F238E27FC236}">
              <a16:creationId xmlns:a16="http://schemas.microsoft.com/office/drawing/2014/main" id="{5BB228C1-0355-403A-85B2-6995AFEB84E7}"/>
            </a:ext>
          </a:extLst>
        </xdr:cNvPr>
        <xdr:cNvSpPr/>
      </xdr:nvSpPr>
      <xdr:spPr>
        <a:xfrm>
          <a:off x="23096764" y="4057896"/>
          <a:ext cx="1661594" cy="884464"/>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Manure excreted on</a:t>
          </a:r>
          <a:r>
            <a:rPr lang="en-AU" sz="1400" baseline="0"/>
            <a:t> feed pad</a:t>
          </a:r>
          <a:endParaRPr lang="en-AU" sz="1400"/>
        </a:p>
      </xdr:txBody>
    </xdr:sp>
    <xdr:clientData/>
  </xdr:twoCellAnchor>
  <xdr:twoCellAnchor>
    <xdr:from>
      <xdr:col>33</xdr:col>
      <xdr:colOff>193983</xdr:colOff>
      <xdr:row>19</xdr:row>
      <xdr:rowOff>152646</xdr:rowOff>
    </xdr:from>
    <xdr:to>
      <xdr:col>37</xdr:col>
      <xdr:colOff>428026</xdr:colOff>
      <xdr:row>27</xdr:row>
      <xdr:rowOff>15090</xdr:rowOff>
    </xdr:to>
    <xdr:cxnSp macro="">
      <xdr:nvCxnSpPr>
        <xdr:cNvPr id="85" name="Connector: Curved 84">
          <a:extLst>
            <a:ext uri="{FF2B5EF4-FFF2-40B4-BE49-F238E27FC236}">
              <a16:creationId xmlns:a16="http://schemas.microsoft.com/office/drawing/2014/main" id="{1BC07B9E-FF90-42C1-8E3C-B5A95D054FED}"/>
            </a:ext>
          </a:extLst>
        </xdr:cNvPr>
        <xdr:cNvCxnSpPr>
          <a:stCxn id="84" idx="2"/>
          <a:endCxn id="67" idx="0"/>
        </xdr:cNvCxnSpPr>
      </xdr:nvCxnSpPr>
      <xdr:spPr>
        <a:xfrm rot="5400000">
          <a:off x="21674961" y="4511632"/>
          <a:ext cx="1821873" cy="2683329"/>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37</xdr:col>
      <xdr:colOff>428025</xdr:colOff>
      <xdr:row>19</xdr:row>
      <xdr:rowOff>152646</xdr:rowOff>
    </xdr:from>
    <xdr:to>
      <xdr:col>42</xdr:col>
      <xdr:colOff>142276</xdr:colOff>
      <xdr:row>27</xdr:row>
      <xdr:rowOff>99455</xdr:rowOff>
    </xdr:to>
    <xdr:cxnSp macro="">
      <xdr:nvCxnSpPr>
        <xdr:cNvPr id="86" name="Connector: Curved 85">
          <a:extLst>
            <a:ext uri="{FF2B5EF4-FFF2-40B4-BE49-F238E27FC236}">
              <a16:creationId xmlns:a16="http://schemas.microsoft.com/office/drawing/2014/main" id="{B9D6E775-042B-4A6C-B5D0-AA5BE0E89F69}"/>
            </a:ext>
          </a:extLst>
        </xdr:cNvPr>
        <xdr:cNvCxnSpPr>
          <a:stCxn id="84" idx="2"/>
          <a:endCxn id="68" idx="0"/>
        </xdr:cNvCxnSpPr>
      </xdr:nvCxnSpPr>
      <xdr:spPr>
        <a:xfrm rot="16200000" flipH="1">
          <a:off x="24362371" y="4507550"/>
          <a:ext cx="1906238" cy="2775858"/>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oneCellAnchor>
    <xdr:from>
      <xdr:col>35</xdr:col>
      <xdr:colOff>377041</xdr:colOff>
      <xdr:row>7</xdr:row>
      <xdr:rowOff>138597</xdr:rowOff>
    </xdr:from>
    <xdr:ext cx="2490354" cy="298800"/>
    <xdr:sp macro="" textlink="">
      <xdr:nvSpPr>
        <xdr:cNvPr id="87" name="TextBox 86">
          <a:extLst>
            <a:ext uri="{FF2B5EF4-FFF2-40B4-BE49-F238E27FC236}">
              <a16:creationId xmlns:a16="http://schemas.microsoft.com/office/drawing/2014/main" id="{C2AB4F09-0261-424F-8072-B6D0DE277972}"/>
            </a:ext>
          </a:extLst>
        </xdr:cNvPr>
        <xdr:cNvSpPr txBox="1"/>
      </xdr:nvSpPr>
      <xdr:spPr>
        <a:xfrm>
          <a:off x="22651934" y="1989168"/>
          <a:ext cx="2490354" cy="29880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chemeClr val="accent3">
                  <a:lumMod val="75000"/>
                </a:schemeClr>
              </a:solidFill>
            </a:rPr>
            <a:t>Manure management process</a:t>
          </a:r>
        </a:p>
      </xdr:txBody>
    </xdr:sp>
    <xdr:clientData/>
  </xdr:oneCellAnchor>
  <xdr:twoCellAnchor>
    <xdr:from>
      <xdr:col>12</xdr:col>
      <xdr:colOff>512029</xdr:colOff>
      <xdr:row>28</xdr:row>
      <xdr:rowOff>148274</xdr:rowOff>
    </xdr:from>
    <xdr:to>
      <xdr:col>15</xdr:col>
      <xdr:colOff>188033</xdr:colOff>
      <xdr:row>31</xdr:row>
      <xdr:rowOff>46406</xdr:rowOff>
    </xdr:to>
    <xdr:cxnSp macro="">
      <xdr:nvCxnSpPr>
        <xdr:cNvPr id="108" name="Connector: Curved 107">
          <a:extLst>
            <a:ext uri="{FF2B5EF4-FFF2-40B4-BE49-F238E27FC236}">
              <a16:creationId xmlns:a16="http://schemas.microsoft.com/office/drawing/2014/main" id="{0086E3E5-6A8B-7715-07FA-9B09C64336D4}"/>
            </a:ext>
          </a:extLst>
        </xdr:cNvPr>
        <xdr:cNvCxnSpPr>
          <a:stCxn id="32" idx="2"/>
          <a:endCxn id="34" idx="0"/>
        </xdr:cNvCxnSpPr>
      </xdr:nvCxnSpPr>
      <xdr:spPr>
        <a:xfrm rot="5400000">
          <a:off x="9143554" y="6702320"/>
          <a:ext cx="632918" cy="1512968"/>
        </a:xfrm>
        <a:prstGeom prst="curvedConnector3">
          <a:avLst/>
        </a:prstGeom>
        <a:ln>
          <a:solidFill>
            <a:srgbClr val="00206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15</xdr:col>
      <xdr:colOff>190125</xdr:colOff>
      <xdr:row>28</xdr:row>
      <xdr:rowOff>148274</xdr:rowOff>
    </xdr:from>
    <xdr:to>
      <xdr:col>15</xdr:col>
      <xdr:colOff>190126</xdr:colOff>
      <xdr:row>48</xdr:row>
      <xdr:rowOff>154904</xdr:rowOff>
    </xdr:to>
    <xdr:cxnSp macro="">
      <xdr:nvCxnSpPr>
        <xdr:cNvPr id="110" name="Connector: Curved 109">
          <a:extLst>
            <a:ext uri="{FF2B5EF4-FFF2-40B4-BE49-F238E27FC236}">
              <a16:creationId xmlns:a16="http://schemas.microsoft.com/office/drawing/2014/main" id="{438742CF-3F80-78E1-F6F0-3FA21AB29D51}"/>
            </a:ext>
          </a:extLst>
        </xdr:cNvPr>
        <xdr:cNvCxnSpPr>
          <a:stCxn id="32" idx="2"/>
          <a:endCxn id="37" idx="0"/>
        </xdr:cNvCxnSpPr>
      </xdr:nvCxnSpPr>
      <xdr:spPr>
        <a:xfrm rot="16200000" flipH="1">
          <a:off x="7765989" y="9594945"/>
          <a:ext cx="4905202" cy="1"/>
        </a:xfrm>
        <a:prstGeom prst="curvedConnector3">
          <a:avLst/>
        </a:prstGeom>
        <a:ln>
          <a:solidFill>
            <a:srgbClr val="00206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12</xdr:col>
      <xdr:colOff>500124</xdr:colOff>
      <xdr:row>37</xdr:row>
      <xdr:rowOff>235974</xdr:rowOff>
    </xdr:from>
    <xdr:to>
      <xdr:col>15</xdr:col>
      <xdr:colOff>190128</xdr:colOff>
      <xdr:row>48</xdr:row>
      <xdr:rowOff>154903</xdr:rowOff>
    </xdr:to>
    <xdr:cxnSp macro="">
      <xdr:nvCxnSpPr>
        <xdr:cNvPr id="112" name="Connector: Curved 111">
          <a:extLst>
            <a:ext uri="{FF2B5EF4-FFF2-40B4-BE49-F238E27FC236}">
              <a16:creationId xmlns:a16="http://schemas.microsoft.com/office/drawing/2014/main" id="{F5729C8A-551F-BAC1-397E-2E8AF91195C4}"/>
            </a:ext>
          </a:extLst>
        </xdr:cNvPr>
        <xdr:cNvCxnSpPr>
          <a:stCxn id="36" idx="2"/>
          <a:endCxn id="37" idx="0"/>
        </xdr:cNvCxnSpPr>
      </xdr:nvCxnSpPr>
      <xdr:spPr>
        <a:xfrm rot="16200000" flipH="1">
          <a:off x="8148536" y="9977491"/>
          <a:ext cx="2613143" cy="1526968"/>
        </a:xfrm>
        <a:prstGeom prst="curvedConnector3">
          <a:avLst/>
        </a:prstGeom>
        <a:ln>
          <a:solidFill>
            <a:srgbClr val="00206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15</xdr:col>
      <xdr:colOff>190127</xdr:colOff>
      <xdr:row>28</xdr:row>
      <xdr:rowOff>148250</xdr:rowOff>
    </xdr:from>
    <xdr:to>
      <xdr:col>18</xdr:col>
      <xdr:colOff>9492</xdr:colOff>
      <xdr:row>48</xdr:row>
      <xdr:rowOff>154904</xdr:rowOff>
    </xdr:to>
    <xdr:cxnSp macro="">
      <xdr:nvCxnSpPr>
        <xdr:cNvPr id="114" name="Connector: Curved 113">
          <a:extLst>
            <a:ext uri="{FF2B5EF4-FFF2-40B4-BE49-F238E27FC236}">
              <a16:creationId xmlns:a16="http://schemas.microsoft.com/office/drawing/2014/main" id="{011B9CDC-95BE-1D24-7A42-5788B8FE3FE7}"/>
            </a:ext>
          </a:extLst>
        </xdr:cNvPr>
        <xdr:cNvCxnSpPr>
          <a:stCxn id="33" idx="2"/>
          <a:endCxn id="37" idx="0"/>
        </xdr:cNvCxnSpPr>
      </xdr:nvCxnSpPr>
      <xdr:spPr>
        <a:xfrm rot="5400000">
          <a:off x="8594143" y="8766769"/>
          <a:ext cx="4905226" cy="1656330"/>
        </a:xfrm>
        <a:prstGeom prst="curvedConnector3">
          <a:avLst/>
        </a:prstGeom>
        <a:ln>
          <a:solidFill>
            <a:srgbClr val="00206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12</xdr:col>
      <xdr:colOff>500124</xdr:colOff>
      <xdr:row>34</xdr:row>
      <xdr:rowOff>91270</xdr:rowOff>
    </xdr:from>
    <xdr:to>
      <xdr:col>12</xdr:col>
      <xdr:colOff>512030</xdr:colOff>
      <xdr:row>35</xdr:row>
      <xdr:rowOff>13997</xdr:rowOff>
    </xdr:to>
    <xdr:cxnSp macro="">
      <xdr:nvCxnSpPr>
        <xdr:cNvPr id="116" name="Connector: Curved 115">
          <a:extLst>
            <a:ext uri="{FF2B5EF4-FFF2-40B4-BE49-F238E27FC236}">
              <a16:creationId xmlns:a16="http://schemas.microsoft.com/office/drawing/2014/main" id="{75F677A2-21CD-FFA8-8DA8-15D7E66944F7}"/>
            </a:ext>
          </a:extLst>
        </xdr:cNvPr>
        <xdr:cNvCxnSpPr>
          <a:stCxn id="34" idx="2"/>
          <a:endCxn id="36" idx="0"/>
        </xdr:cNvCxnSpPr>
      </xdr:nvCxnSpPr>
      <xdr:spPr>
        <a:xfrm rot="5400000">
          <a:off x="8613749" y="8632788"/>
          <a:ext cx="167655" cy="11906"/>
        </a:xfrm>
        <a:prstGeom prst="curvedConnector3">
          <a:avLst>
            <a:gd name="adj1" fmla="val 50000"/>
          </a:avLst>
        </a:prstGeom>
        <a:ln>
          <a:solidFill>
            <a:srgbClr val="00206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15</xdr:col>
      <xdr:colOff>181684</xdr:colOff>
      <xdr:row>21</xdr:row>
      <xdr:rowOff>37092</xdr:rowOff>
    </xdr:from>
    <xdr:to>
      <xdr:col>15</xdr:col>
      <xdr:colOff>194384</xdr:colOff>
      <xdr:row>25</xdr:row>
      <xdr:rowOff>177574</xdr:rowOff>
    </xdr:to>
    <xdr:cxnSp macro="">
      <xdr:nvCxnSpPr>
        <xdr:cNvPr id="119" name="Connector: Curved 118">
          <a:extLst>
            <a:ext uri="{FF2B5EF4-FFF2-40B4-BE49-F238E27FC236}">
              <a16:creationId xmlns:a16="http://schemas.microsoft.com/office/drawing/2014/main" id="{BDF3AD73-4BC2-4569-A439-8F8E9F87148D}"/>
            </a:ext>
          </a:extLst>
        </xdr:cNvPr>
        <xdr:cNvCxnSpPr>
          <a:stCxn id="30" idx="2"/>
          <a:endCxn id="32" idx="0"/>
        </xdr:cNvCxnSpPr>
      </xdr:nvCxnSpPr>
      <xdr:spPr>
        <a:xfrm rot="5400000">
          <a:off x="9656399" y="5870412"/>
          <a:ext cx="1120197" cy="12700"/>
        </a:xfrm>
        <a:prstGeom prst="curvedConnector3">
          <a:avLst/>
        </a:prstGeom>
        <a:ln>
          <a:solidFill>
            <a:srgbClr val="00206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15</xdr:col>
      <xdr:colOff>188033</xdr:colOff>
      <xdr:row>21</xdr:row>
      <xdr:rowOff>30743</xdr:rowOff>
    </xdr:from>
    <xdr:to>
      <xdr:col>18</xdr:col>
      <xdr:colOff>9492</xdr:colOff>
      <xdr:row>25</xdr:row>
      <xdr:rowOff>171198</xdr:rowOff>
    </xdr:to>
    <xdr:cxnSp macro="">
      <xdr:nvCxnSpPr>
        <xdr:cNvPr id="121" name="Connector: Curved 120">
          <a:extLst>
            <a:ext uri="{FF2B5EF4-FFF2-40B4-BE49-F238E27FC236}">
              <a16:creationId xmlns:a16="http://schemas.microsoft.com/office/drawing/2014/main" id="{964AA21C-D6E7-FC1F-D143-2BF19281E82E}"/>
            </a:ext>
          </a:extLst>
        </xdr:cNvPr>
        <xdr:cNvCxnSpPr>
          <a:stCxn id="30" idx="2"/>
          <a:endCxn id="33" idx="0"/>
        </xdr:cNvCxnSpPr>
      </xdr:nvCxnSpPr>
      <xdr:spPr>
        <a:xfrm rot="16200000" flipH="1">
          <a:off x="10485624" y="5041187"/>
          <a:ext cx="1120170" cy="1658424"/>
        </a:xfrm>
        <a:prstGeom prst="curvedConnector3">
          <a:avLst/>
        </a:prstGeom>
        <a:ln>
          <a:solidFill>
            <a:srgbClr val="00206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12</xdr:col>
      <xdr:colOff>500122</xdr:colOff>
      <xdr:row>37</xdr:row>
      <xdr:rowOff>235975</xdr:rowOff>
    </xdr:from>
    <xdr:to>
      <xdr:col>23</xdr:col>
      <xdr:colOff>73167</xdr:colOff>
      <xdr:row>44</xdr:row>
      <xdr:rowOff>117413</xdr:rowOff>
    </xdr:to>
    <xdr:cxnSp macro="">
      <xdr:nvCxnSpPr>
        <xdr:cNvPr id="139" name="Connector: Curved 138">
          <a:extLst>
            <a:ext uri="{FF2B5EF4-FFF2-40B4-BE49-F238E27FC236}">
              <a16:creationId xmlns:a16="http://schemas.microsoft.com/office/drawing/2014/main" id="{48F06A56-045E-D3BD-BF23-DEDDC47B3C3C}"/>
            </a:ext>
          </a:extLst>
        </xdr:cNvPr>
        <xdr:cNvCxnSpPr>
          <a:stCxn id="36" idx="2"/>
          <a:endCxn id="53" idx="0"/>
        </xdr:cNvCxnSpPr>
      </xdr:nvCxnSpPr>
      <xdr:spPr>
        <a:xfrm rot="16200000" flipH="1">
          <a:off x="11047944" y="7078082"/>
          <a:ext cx="1595938" cy="6308581"/>
        </a:xfrm>
        <a:prstGeom prst="curvedConnector3">
          <a:avLst/>
        </a:prstGeom>
        <a:ln>
          <a:solidFill>
            <a:srgbClr val="7030A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15</xdr:col>
      <xdr:colOff>190127</xdr:colOff>
      <xdr:row>28</xdr:row>
      <xdr:rowOff>148273</xdr:rowOff>
    </xdr:from>
    <xdr:to>
      <xdr:col>23</xdr:col>
      <xdr:colOff>73169</xdr:colOff>
      <xdr:row>44</xdr:row>
      <xdr:rowOff>117412</xdr:rowOff>
    </xdr:to>
    <xdr:cxnSp macro="">
      <xdr:nvCxnSpPr>
        <xdr:cNvPr id="143" name="Connector: Curved 142">
          <a:extLst>
            <a:ext uri="{FF2B5EF4-FFF2-40B4-BE49-F238E27FC236}">
              <a16:creationId xmlns:a16="http://schemas.microsoft.com/office/drawing/2014/main" id="{C6C40DA1-58EB-A9D7-81E9-8D1017FF94D0}"/>
            </a:ext>
          </a:extLst>
        </xdr:cNvPr>
        <xdr:cNvCxnSpPr>
          <a:stCxn id="32" idx="2"/>
          <a:endCxn id="53" idx="0"/>
        </xdr:cNvCxnSpPr>
      </xdr:nvCxnSpPr>
      <xdr:spPr>
        <a:xfrm rot="16200000" flipH="1">
          <a:off x="10665399" y="6695536"/>
          <a:ext cx="3887997" cy="4781614"/>
        </a:xfrm>
        <a:prstGeom prst="curvedConnector3">
          <a:avLst/>
        </a:prstGeom>
        <a:ln>
          <a:solidFill>
            <a:srgbClr val="7030A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9492</xdr:colOff>
      <xdr:row>28</xdr:row>
      <xdr:rowOff>148249</xdr:rowOff>
    </xdr:from>
    <xdr:to>
      <xdr:col>23</xdr:col>
      <xdr:colOff>73168</xdr:colOff>
      <xdr:row>44</xdr:row>
      <xdr:rowOff>117412</xdr:rowOff>
    </xdr:to>
    <xdr:cxnSp macro="">
      <xdr:nvCxnSpPr>
        <xdr:cNvPr id="145" name="Connector: Curved 144">
          <a:extLst>
            <a:ext uri="{FF2B5EF4-FFF2-40B4-BE49-F238E27FC236}">
              <a16:creationId xmlns:a16="http://schemas.microsoft.com/office/drawing/2014/main" id="{C3CBE010-CC2B-E0E8-CC33-10968E272B9A}"/>
            </a:ext>
          </a:extLst>
        </xdr:cNvPr>
        <xdr:cNvCxnSpPr>
          <a:stCxn id="33" idx="2"/>
          <a:endCxn id="53" idx="0"/>
        </xdr:cNvCxnSpPr>
      </xdr:nvCxnSpPr>
      <xdr:spPr>
        <a:xfrm rot="16200000" flipH="1">
          <a:off x="11493552" y="7523689"/>
          <a:ext cx="3888021" cy="3125283"/>
        </a:xfrm>
        <a:prstGeom prst="curvedConnector3">
          <a:avLst/>
        </a:prstGeom>
        <a:ln>
          <a:solidFill>
            <a:srgbClr val="7030A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12</xdr:col>
      <xdr:colOff>500124</xdr:colOff>
      <xdr:row>37</xdr:row>
      <xdr:rowOff>235974</xdr:rowOff>
    </xdr:from>
    <xdr:to>
      <xdr:col>26</xdr:col>
      <xdr:colOff>563342</xdr:colOff>
      <xdr:row>55</xdr:row>
      <xdr:rowOff>34903</xdr:rowOff>
    </xdr:to>
    <xdr:cxnSp macro="">
      <xdr:nvCxnSpPr>
        <xdr:cNvPr id="147" name="Connector: Curved 146">
          <a:extLst>
            <a:ext uri="{FF2B5EF4-FFF2-40B4-BE49-F238E27FC236}">
              <a16:creationId xmlns:a16="http://schemas.microsoft.com/office/drawing/2014/main" id="{2D6ABF97-3025-C6BB-36C6-4AA74B179BD5}"/>
            </a:ext>
          </a:extLst>
        </xdr:cNvPr>
        <xdr:cNvCxnSpPr>
          <a:stCxn id="36" idx="2"/>
          <a:endCxn id="54" idx="0"/>
        </xdr:cNvCxnSpPr>
      </xdr:nvCxnSpPr>
      <xdr:spPr>
        <a:xfrm rot="16200000" flipH="1">
          <a:off x="10905661" y="7220366"/>
          <a:ext cx="4207643" cy="8635718"/>
        </a:xfrm>
        <a:prstGeom prst="curvedConnector3">
          <a:avLst/>
        </a:prstGeom>
        <a:ln>
          <a:solidFill>
            <a:srgbClr val="C0000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12</xdr:col>
      <xdr:colOff>500122</xdr:colOff>
      <xdr:row>37</xdr:row>
      <xdr:rowOff>235975</xdr:rowOff>
    </xdr:from>
    <xdr:to>
      <xdr:col>29</xdr:col>
      <xdr:colOff>448287</xdr:colOff>
      <xdr:row>55</xdr:row>
      <xdr:rowOff>46981</xdr:rowOff>
    </xdr:to>
    <xdr:cxnSp macro="">
      <xdr:nvCxnSpPr>
        <xdr:cNvPr id="149" name="Connector: Curved 148">
          <a:extLst>
            <a:ext uri="{FF2B5EF4-FFF2-40B4-BE49-F238E27FC236}">
              <a16:creationId xmlns:a16="http://schemas.microsoft.com/office/drawing/2014/main" id="{FF141CF7-4618-45A5-8A8B-AE010549E469}"/>
            </a:ext>
          </a:extLst>
        </xdr:cNvPr>
        <xdr:cNvCxnSpPr>
          <a:stCxn id="36" idx="2"/>
          <a:endCxn id="56" idx="0"/>
        </xdr:cNvCxnSpPr>
      </xdr:nvCxnSpPr>
      <xdr:spPr>
        <a:xfrm rot="16200000" flipH="1">
          <a:off x="11760577" y="6365449"/>
          <a:ext cx="4219720" cy="10357629"/>
        </a:xfrm>
        <a:prstGeom prst="curvedConnector3">
          <a:avLst/>
        </a:prstGeom>
        <a:ln>
          <a:solidFill>
            <a:srgbClr val="C0000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9492</xdr:colOff>
      <xdr:row>28</xdr:row>
      <xdr:rowOff>148250</xdr:rowOff>
    </xdr:from>
    <xdr:to>
      <xdr:col>26</xdr:col>
      <xdr:colOff>563341</xdr:colOff>
      <xdr:row>55</xdr:row>
      <xdr:rowOff>34904</xdr:rowOff>
    </xdr:to>
    <xdr:cxnSp macro="">
      <xdr:nvCxnSpPr>
        <xdr:cNvPr id="151" name="Connector: Curved 150">
          <a:extLst>
            <a:ext uri="{FF2B5EF4-FFF2-40B4-BE49-F238E27FC236}">
              <a16:creationId xmlns:a16="http://schemas.microsoft.com/office/drawing/2014/main" id="{77FEF7D6-5953-1995-757B-CC6A6D5C7723}"/>
            </a:ext>
          </a:extLst>
        </xdr:cNvPr>
        <xdr:cNvCxnSpPr>
          <a:stCxn id="33" idx="2"/>
          <a:endCxn id="54" idx="0"/>
        </xdr:cNvCxnSpPr>
      </xdr:nvCxnSpPr>
      <xdr:spPr>
        <a:xfrm rot="16200000" flipH="1">
          <a:off x="11351268" y="7665974"/>
          <a:ext cx="6499726" cy="5452420"/>
        </a:xfrm>
        <a:prstGeom prst="curvedConnector3">
          <a:avLst/>
        </a:prstGeom>
        <a:ln>
          <a:solidFill>
            <a:srgbClr val="C0000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9492</xdr:colOff>
      <xdr:row>28</xdr:row>
      <xdr:rowOff>148249</xdr:rowOff>
    </xdr:from>
    <xdr:to>
      <xdr:col>29</xdr:col>
      <xdr:colOff>448288</xdr:colOff>
      <xdr:row>55</xdr:row>
      <xdr:rowOff>46980</xdr:rowOff>
    </xdr:to>
    <xdr:cxnSp macro="">
      <xdr:nvCxnSpPr>
        <xdr:cNvPr id="153" name="Connector: Curved 152">
          <a:extLst>
            <a:ext uri="{FF2B5EF4-FFF2-40B4-BE49-F238E27FC236}">
              <a16:creationId xmlns:a16="http://schemas.microsoft.com/office/drawing/2014/main" id="{64F2B78A-E309-DC62-CD77-5D21F91D3B1B}"/>
            </a:ext>
          </a:extLst>
        </xdr:cNvPr>
        <xdr:cNvCxnSpPr>
          <a:stCxn id="33" idx="2"/>
          <a:endCxn id="56" idx="0"/>
        </xdr:cNvCxnSpPr>
      </xdr:nvCxnSpPr>
      <xdr:spPr>
        <a:xfrm rot="16200000" flipH="1">
          <a:off x="12206185" y="6811056"/>
          <a:ext cx="6511803" cy="7174331"/>
        </a:xfrm>
        <a:prstGeom prst="curvedConnector3">
          <a:avLst/>
        </a:prstGeom>
        <a:ln>
          <a:solidFill>
            <a:srgbClr val="C0000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21</xdr:col>
      <xdr:colOff>539089</xdr:colOff>
      <xdr:row>44</xdr:row>
      <xdr:rowOff>117413</xdr:rowOff>
    </xdr:from>
    <xdr:to>
      <xdr:col>24</xdr:col>
      <xdr:colOff>219568</xdr:colOff>
      <xdr:row>47</xdr:row>
      <xdr:rowOff>94465</xdr:rowOff>
    </xdr:to>
    <xdr:sp macro="" textlink="'4.1.1.5-6 Atmos Deposition'!D5">
      <xdr:nvSpPr>
        <xdr:cNvPr id="53" name="TextBox 52">
          <a:hlinkClick xmlns:r="http://schemas.openxmlformats.org/officeDocument/2006/relationships" r:id="rId16"/>
          <a:extLst>
            <a:ext uri="{FF2B5EF4-FFF2-40B4-BE49-F238E27FC236}">
              <a16:creationId xmlns:a16="http://schemas.microsoft.com/office/drawing/2014/main" id="{BA71A6CA-D1BA-4D4D-990E-27D8C087EF33}"/>
            </a:ext>
          </a:extLst>
        </xdr:cNvPr>
        <xdr:cNvSpPr txBox="1"/>
      </xdr:nvSpPr>
      <xdr:spPr>
        <a:xfrm>
          <a:off x="14241482" y="11030342"/>
          <a:ext cx="1517443" cy="711837"/>
        </a:xfrm>
        <a:prstGeom prst="rect">
          <a:avLst/>
        </a:prstGeom>
        <a:solidFill>
          <a:schemeClr val="lt1"/>
        </a:solidFill>
        <a:ln w="9525" cmpd="sng">
          <a:solidFill>
            <a:srgbClr val="7030A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40B8E89C-34E5-4523-B85B-4076038A1229}" type="TxLink">
            <a:rPr lang="en-US" sz="1000" b="0" i="0" u="none" strike="noStrike">
              <a:solidFill>
                <a:srgbClr val="7030A0"/>
              </a:solidFill>
              <a:latin typeface="Times New Roman"/>
              <a:cs typeface="Times New Roman"/>
            </a:rPr>
            <a:pPr algn="ctr"/>
            <a:t>Volatilised nitrogen from manure management</a:t>
          </a:fld>
          <a:endParaRPr lang="en-AU" sz="1000">
            <a:solidFill>
              <a:srgbClr val="7030A0"/>
            </a:solidFill>
          </a:endParaRPr>
        </a:p>
      </xdr:txBody>
    </xdr:sp>
    <xdr:clientData/>
  </xdr:twoCellAnchor>
  <xdr:twoCellAnchor>
    <xdr:from>
      <xdr:col>21</xdr:col>
      <xdr:colOff>541988</xdr:colOff>
      <xdr:row>48</xdr:row>
      <xdr:rowOff>167790</xdr:rowOff>
    </xdr:from>
    <xdr:to>
      <xdr:col>24</xdr:col>
      <xdr:colOff>222467</xdr:colOff>
      <xdr:row>51</xdr:row>
      <xdr:rowOff>139890</xdr:rowOff>
    </xdr:to>
    <xdr:sp macro="" textlink="'4.1.1.5-6 Atmos Deposition'!D50">
      <xdr:nvSpPr>
        <xdr:cNvPr id="55" name="TextBox 54">
          <a:hlinkClick xmlns:r="http://schemas.openxmlformats.org/officeDocument/2006/relationships" r:id="rId17"/>
          <a:extLst>
            <a:ext uri="{FF2B5EF4-FFF2-40B4-BE49-F238E27FC236}">
              <a16:creationId xmlns:a16="http://schemas.microsoft.com/office/drawing/2014/main" id="{D2D728C0-C301-4FC2-953C-540E832F0A32}"/>
            </a:ext>
          </a:extLst>
        </xdr:cNvPr>
        <xdr:cNvSpPr txBox="1"/>
      </xdr:nvSpPr>
      <xdr:spPr>
        <a:xfrm>
          <a:off x="14244381" y="12060433"/>
          <a:ext cx="1517443" cy="706886"/>
        </a:xfrm>
        <a:prstGeom prst="rect">
          <a:avLst/>
        </a:prstGeom>
        <a:solidFill>
          <a:schemeClr val="lt1"/>
        </a:solidFill>
        <a:ln w="9525" cmpd="sng">
          <a:solidFill>
            <a:srgbClr val="7030A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6A084BFA-076B-4C23-A7D1-E1829E1A5978}" type="TxLink">
            <a:rPr lang="en-US" sz="1000" b="1" i="0" u="none" strike="noStrike">
              <a:solidFill>
                <a:srgbClr val="7030A0"/>
              </a:solidFill>
              <a:latin typeface="Times New Roman"/>
              <a:cs typeface="Times New Roman"/>
            </a:rPr>
            <a:pPr algn="ctr"/>
            <a:t>Total annual atmospheric deposition emissions from manure management</a:t>
          </a:fld>
          <a:endParaRPr lang="en-AU" sz="1000" b="1">
            <a:solidFill>
              <a:srgbClr val="7030A0"/>
            </a:solidFill>
          </a:endParaRPr>
        </a:p>
      </xdr:txBody>
    </xdr:sp>
    <xdr:clientData/>
  </xdr:twoCellAnchor>
  <xdr:twoCellAnchor>
    <xdr:from>
      <xdr:col>4</xdr:col>
      <xdr:colOff>103475</xdr:colOff>
      <xdr:row>28</xdr:row>
      <xdr:rowOff>106699</xdr:rowOff>
    </xdr:from>
    <xdr:to>
      <xdr:col>6</xdr:col>
      <xdr:colOff>547069</xdr:colOff>
      <xdr:row>48</xdr:row>
      <xdr:rowOff>178735</xdr:rowOff>
    </xdr:to>
    <xdr:cxnSp macro="">
      <xdr:nvCxnSpPr>
        <xdr:cNvPr id="162" name="Connector: Curved 161">
          <a:extLst>
            <a:ext uri="{FF2B5EF4-FFF2-40B4-BE49-F238E27FC236}">
              <a16:creationId xmlns:a16="http://schemas.microsoft.com/office/drawing/2014/main" id="{20CF9FC9-20C8-C6DE-BCAD-1D89D965E668}"/>
            </a:ext>
          </a:extLst>
        </xdr:cNvPr>
        <xdr:cNvCxnSpPr>
          <a:stCxn id="18" idx="2"/>
          <a:endCxn id="20" idx="0"/>
        </xdr:cNvCxnSpPr>
      </xdr:nvCxnSpPr>
      <xdr:spPr>
        <a:xfrm rot="16200000" flipH="1">
          <a:off x="1745218" y="8751956"/>
          <a:ext cx="4970608" cy="1668236"/>
        </a:xfrm>
        <a:prstGeom prst="curvedConnector3">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6</xdr:col>
      <xdr:colOff>540720</xdr:colOff>
      <xdr:row>28</xdr:row>
      <xdr:rowOff>120099</xdr:rowOff>
    </xdr:from>
    <xdr:to>
      <xdr:col>6</xdr:col>
      <xdr:colOff>553420</xdr:colOff>
      <xdr:row>48</xdr:row>
      <xdr:rowOff>185084</xdr:rowOff>
    </xdr:to>
    <xdr:cxnSp macro="">
      <xdr:nvCxnSpPr>
        <xdr:cNvPr id="164" name="Connector: Curved 163">
          <a:extLst>
            <a:ext uri="{FF2B5EF4-FFF2-40B4-BE49-F238E27FC236}">
              <a16:creationId xmlns:a16="http://schemas.microsoft.com/office/drawing/2014/main" id="{2F3040AE-BFB4-E5B5-84D4-F9889CAC796B}"/>
            </a:ext>
          </a:extLst>
        </xdr:cNvPr>
        <xdr:cNvCxnSpPr>
          <a:stCxn id="17" idx="2"/>
          <a:endCxn id="20" idx="0"/>
        </xdr:cNvCxnSpPr>
      </xdr:nvCxnSpPr>
      <xdr:spPr>
        <a:xfrm rot="5400000">
          <a:off x="2582862" y="9589599"/>
          <a:ext cx="4963557" cy="12700"/>
        </a:xfrm>
        <a:prstGeom prst="curvedConnector3">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4</xdr:col>
      <xdr:colOff>103475</xdr:colOff>
      <xdr:row>12</xdr:row>
      <xdr:rowOff>78361</xdr:rowOff>
    </xdr:from>
    <xdr:to>
      <xdr:col>6</xdr:col>
      <xdr:colOff>574283</xdr:colOff>
      <xdr:row>25</xdr:row>
      <xdr:rowOff>129649</xdr:rowOff>
    </xdr:to>
    <xdr:cxnSp macro="">
      <xdr:nvCxnSpPr>
        <xdr:cNvPr id="166" name="Connector: Curved 165">
          <a:extLst>
            <a:ext uri="{FF2B5EF4-FFF2-40B4-BE49-F238E27FC236}">
              <a16:creationId xmlns:a16="http://schemas.microsoft.com/office/drawing/2014/main" id="{3590FD43-27CB-7576-8399-9ABEF0533E4B}"/>
            </a:ext>
          </a:extLst>
        </xdr:cNvPr>
        <xdr:cNvCxnSpPr>
          <a:stCxn id="16" idx="2"/>
          <a:endCxn id="18" idx="0"/>
        </xdr:cNvCxnSpPr>
      </xdr:nvCxnSpPr>
      <xdr:spPr>
        <a:xfrm rot="5400000">
          <a:off x="2626449" y="3923530"/>
          <a:ext cx="3235360" cy="1695450"/>
        </a:xfrm>
        <a:prstGeom prst="curvedConnector3">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6</xdr:col>
      <xdr:colOff>574283</xdr:colOff>
      <xdr:row>12</xdr:row>
      <xdr:rowOff>78360</xdr:rowOff>
    </xdr:from>
    <xdr:to>
      <xdr:col>9</xdr:col>
      <xdr:colOff>362011</xdr:colOff>
      <xdr:row>25</xdr:row>
      <xdr:rowOff>151419</xdr:rowOff>
    </xdr:to>
    <xdr:cxnSp macro="">
      <xdr:nvCxnSpPr>
        <xdr:cNvPr id="168" name="Connector: Curved 167">
          <a:extLst>
            <a:ext uri="{FF2B5EF4-FFF2-40B4-BE49-F238E27FC236}">
              <a16:creationId xmlns:a16="http://schemas.microsoft.com/office/drawing/2014/main" id="{74FD6A73-0382-933A-9732-6270945A5EA2}"/>
            </a:ext>
          </a:extLst>
        </xdr:cNvPr>
        <xdr:cNvCxnSpPr>
          <a:stCxn id="16" idx="2"/>
          <a:endCxn id="19" idx="0"/>
        </xdr:cNvCxnSpPr>
      </xdr:nvCxnSpPr>
      <xdr:spPr>
        <a:xfrm rot="16200000" flipH="1">
          <a:off x="4275635" y="3969793"/>
          <a:ext cx="3257131" cy="1624693"/>
        </a:xfrm>
        <a:prstGeom prst="curvedConnector3">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33</xdr:col>
      <xdr:colOff>204868</xdr:colOff>
      <xdr:row>37</xdr:row>
      <xdr:rowOff>-1</xdr:rowOff>
    </xdr:from>
    <xdr:to>
      <xdr:col>40</xdr:col>
      <xdr:colOff>65034</xdr:colOff>
      <xdr:row>55</xdr:row>
      <xdr:rowOff>97971</xdr:rowOff>
    </xdr:to>
    <xdr:cxnSp macro="">
      <xdr:nvCxnSpPr>
        <xdr:cNvPr id="197" name="Connector: Curved 196">
          <a:extLst>
            <a:ext uri="{FF2B5EF4-FFF2-40B4-BE49-F238E27FC236}">
              <a16:creationId xmlns:a16="http://schemas.microsoft.com/office/drawing/2014/main" id="{8B1F34AB-CD02-A4B0-C013-B32F3EAFE01B}"/>
            </a:ext>
          </a:extLst>
        </xdr:cNvPr>
        <xdr:cNvCxnSpPr>
          <a:stCxn id="66" idx="2"/>
          <a:endCxn id="76" idx="0"/>
        </xdr:cNvCxnSpPr>
      </xdr:nvCxnSpPr>
      <xdr:spPr>
        <a:xfrm rot="16200000" flipH="1">
          <a:off x="21074983" y="9378563"/>
          <a:ext cx="4506686" cy="4146416"/>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33</xdr:col>
      <xdr:colOff>204867</xdr:colOff>
      <xdr:row>37</xdr:row>
      <xdr:rowOff>-1</xdr:rowOff>
    </xdr:from>
    <xdr:to>
      <xdr:col>37</xdr:col>
      <xdr:colOff>162844</xdr:colOff>
      <xdr:row>55</xdr:row>
      <xdr:rowOff>97971</xdr:rowOff>
    </xdr:to>
    <xdr:cxnSp macro="">
      <xdr:nvCxnSpPr>
        <xdr:cNvPr id="199" name="Connector: Curved 198">
          <a:extLst>
            <a:ext uri="{FF2B5EF4-FFF2-40B4-BE49-F238E27FC236}">
              <a16:creationId xmlns:a16="http://schemas.microsoft.com/office/drawing/2014/main" id="{07BB15C6-FCC3-2F75-2436-473CEABDEEC8}"/>
            </a:ext>
          </a:extLst>
        </xdr:cNvPr>
        <xdr:cNvCxnSpPr>
          <a:stCxn id="66" idx="2"/>
          <a:endCxn id="75" idx="0"/>
        </xdr:cNvCxnSpPr>
      </xdr:nvCxnSpPr>
      <xdr:spPr>
        <a:xfrm rot="16200000" flipH="1">
          <a:off x="20205406" y="10248139"/>
          <a:ext cx="4506686" cy="2407263"/>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33</xdr:col>
      <xdr:colOff>204867</xdr:colOff>
      <xdr:row>37</xdr:row>
      <xdr:rowOff>-1</xdr:rowOff>
    </xdr:from>
    <xdr:to>
      <xdr:col>34</xdr:col>
      <xdr:colOff>289231</xdr:colOff>
      <xdr:row>55</xdr:row>
      <xdr:rowOff>97971</xdr:rowOff>
    </xdr:to>
    <xdr:cxnSp macro="">
      <xdr:nvCxnSpPr>
        <xdr:cNvPr id="201" name="Connector: Curved 200">
          <a:extLst>
            <a:ext uri="{FF2B5EF4-FFF2-40B4-BE49-F238E27FC236}">
              <a16:creationId xmlns:a16="http://schemas.microsoft.com/office/drawing/2014/main" id="{BCFA1F32-DBB6-4311-E4BC-20D995D46ACF}"/>
            </a:ext>
          </a:extLst>
        </xdr:cNvPr>
        <xdr:cNvCxnSpPr>
          <a:stCxn id="66" idx="2"/>
          <a:endCxn id="74" idx="0"/>
        </xdr:cNvCxnSpPr>
      </xdr:nvCxnSpPr>
      <xdr:spPr>
        <a:xfrm rot="16200000" flipH="1">
          <a:off x="19350117" y="11103428"/>
          <a:ext cx="4506686" cy="696685"/>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37</xdr:col>
      <xdr:colOff>162846</xdr:colOff>
      <xdr:row>31</xdr:row>
      <xdr:rowOff>6679</xdr:rowOff>
    </xdr:from>
    <xdr:to>
      <xdr:col>42</xdr:col>
      <xdr:colOff>142277</xdr:colOff>
      <xdr:row>55</xdr:row>
      <xdr:rowOff>97970</xdr:rowOff>
    </xdr:to>
    <xdr:cxnSp macro="">
      <xdr:nvCxnSpPr>
        <xdr:cNvPr id="205" name="Connector: Curved 204">
          <a:extLst>
            <a:ext uri="{FF2B5EF4-FFF2-40B4-BE49-F238E27FC236}">
              <a16:creationId xmlns:a16="http://schemas.microsoft.com/office/drawing/2014/main" id="{79452B7B-4A9E-78DB-B37E-AB4F7BAF1606}"/>
            </a:ext>
          </a:extLst>
        </xdr:cNvPr>
        <xdr:cNvCxnSpPr>
          <a:stCxn id="68" idx="2"/>
          <a:endCxn id="75" idx="0"/>
        </xdr:cNvCxnSpPr>
      </xdr:nvCxnSpPr>
      <xdr:spPr>
        <a:xfrm rot="5400000">
          <a:off x="22198112" y="9199806"/>
          <a:ext cx="5969577" cy="3041038"/>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40</xdr:col>
      <xdr:colOff>65035</xdr:colOff>
      <xdr:row>31</xdr:row>
      <xdr:rowOff>6680</xdr:rowOff>
    </xdr:from>
    <xdr:to>
      <xdr:col>42</xdr:col>
      <xdr:colOff>142277</xdr:colOff>
      <xdr:row>55</xdr:row>
      <xdr:rowOff>97971</xdr:rowOff>
    </xdr:to>
    <xdr:cxnSp macro="">
      <xdr:nvCxnSpPr>
        <xdr:cNvPr id="207" name="Connector: Curved 206">
          <a:extLst>
            <a:ext uri="{FF2B5EF4-FFF2-40B4-BE49-F238E27FC236}">
              <a16:creationId xmlns:a16="http://schemas.microsoft.com/office/drawing/2014/main" id="{3961B662-1C73-78DD-6F40-0CA7F1D6315B}"/>
            </a:ext>
          </a:extLst>
        </xdr:cNvPr>
        <xdr:cNvCxnSpPr>
          <a:stCxn id="68" idx="2"/>
          <a:endCxn id="76" idx="0"/>
        </xdr:cNvCxnSpPr>
      </xdr:nvCxnSpPr>
      <xdr:spPr>
        <a:xfrm rot="5400000">
          <a:off x="23067689" y="10069383"/>
          <a:ext cx="5969577" cy="1301885"/>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wsDr>
</file>

<file path=xl/drawings/drawing2.xml><?xml version="1.0" encoding="utf-8"?>
<xdr:wsDr xmlns:xdr="http://schemas.openxmlformats.org/drawingml/2006/spreadsheetDrawing" xmlns:a="http://schemas.openxmlformats.org/drawingml/2006/main">
  <xdr:twoCellAnchor>
    <xdr:from>
      <xdr:col>8</xdr:col>
      <xdr:colOff>938212</xdr:colOff>
      <xdr:row>65</xdr:row>
      <xdr:rowOff>200025</xdr:rowOff>
    </xdr:from>
    <xdr:to>
      <xdr:col>10</xdr:col>
      <xdr:colOff>1443037</xdr:colOff>
      <xdr:row>77</xdr:row>
      <xdr:rowOff>85725</xdr:rowOff>
    </xdr:to>
    <xdr:graphicFrame macro="">
      <xdr:nvGraphicFramePr>
        <xdr:cNvPr id="6" name="Chart 5">
          <a:extLst>
            <a:ext uri="{FF2B5EF4-FFF2-40B4-BE49-F238E27FC236}">
              <a16:creationId xmlns:a16="http://schemas.microsoft.com/office/drawing/2014/main" id="{0DEA1AD2-453E-4F97-8BC2-DE4AF27985B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oneCellAnchor>
    <xdr:from>
      <xdr:col>3</xdr:col>
      <xdr:colOff>38100</xdr:colOff>
      <xdr:row>7</xdr:row>
      <xdr:rowOff>138112</xdr:rowOff>
    </xdr:from>
    <xdr:ext cx="2025426" cy="194990"/>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C850359A-9E4D-0696-A03E-D3F4FB62C4B4}"/>
                </a:ext>
              </a:extLst>
            </xdr:cNvPr>
            <xdr:cNvSpPr txBox="1"/>
          </xdr:nvSpPr>
          <xdr:spPr>
            <a:xfrm>
              <a:off x="2714625" y="2005012"/>
              <a:ext cx="2025426"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𝑉</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r>
                          <a:rPr lang="en-AU" sz="1100" i="1">
                            <a:latin typeface="Cambria Math" panose="02040503050406030204" pitchFamily="18" charset="0"/>
                          </a:rPr>
                          <m:t>𝐷𝑀</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m:t>
                            </m:r>
                          </m:sub>
                        </m:sSub>
                      </m:e>
                    </m:d>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r>
                          <a:rPr lang="en-AU" sz="1100" i="1">
                            <a:latin typeface="Cambria Math" panose="02040503050406030204" pitchFamily="18" charset="0"/>
                          </a:rPr>
                          <m:t>𝐴</m:t>
                        </m:r>
                      </m:e>
                    </m:d>
                  </m:oMath>
                </m:oMathPara>
              </a14:m>
              <a:endParaRPr lang="en-AU" sz="1100"/>
            </a:p>
          </xdr:txBody>
        </xdr:sp>
      </mc:Choice>
      <mc:Fallback xmlns="">
        <xdr:sp macro="" textlink="">
          <xdr:nvSpPr>
            <xdr:cNvPr id="2" name="TextBox 1">
              <a:extLst>
                <a:ext uri="{FF2B5EF4-FFF2-40B4-BE49-F238E27FC236}">
                  <a16:creationId xmlns:a16="http://schemas.microsoft.com/office/drawing/2014/main" id="{C850359A-9E4D-0696-A03E-D3F4FB62C4B4}"/>
                </a:ext>
              </a:extLst>
            </xdr:cNvPr>
            <xdr:cNvSpPr txBox="1"/>
          </xdr:nvSpPr>
          <xdr:spPr>
            <a:xfrm>
              <a:off x="2714625" y="2005012"/>
              <a:ext cx="2025426"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𝑉𝑆_𝑗=𝐼_𝑗×(1−𝐷𝑀𝐷_𝑗 )×(1−𝐴)</a:t>
              </a:r>
              <a:endParaRPr lang="en-AU" sz="1100"/>
            </a:p>
          </xdr:txBody>
        </xdr:sp>
      </mc:Fallback>
    </mc:AlternateContent>
    <xdr:clientData/>
  </xdr:oneCellAnchor>
  <xdr:oneCellAnchor>
    <xdr:from>
      <xdr:col>3</xdr:col>
      <xdr:colOff>38100</xdr:colOff>
      <xdr:row>36</xdr:row>
      <xdr:rowOff>195262</xdr:rowOff>
    </xdr:from>
    <xdr:ext cx="3287760" cy="182871"/>
    <mc:AlternateContent xmlns:mc="http://schemas.openxmlformats.org/markup-compatibility/2006" xmlns:a14="http://schemas.microsoft.com/office/drawing/2010/main">
      <mc:Choice Requires="a14">
        <xdr:sp macro="" textlink="">
          <xdr:nvSpPr>
            <xdr:cNvPr id="5" name="TextBox 4">
              <a:extLst>
                <a:ext uri="{FF2B5EF4-FFF2-40B4-BE49-F238E27FC236}">
                  <a16:creationId xmlns:a16="http://schemas.microsoft.com/office/drawing/2014/main" id="{0F964EF8-C44B-655E-7174-DF0CF934BFF7}"/>
                </a:ext>
              </a:extLst>
            </xdr:cNvPr>
            <xdr:cNvSpPr txBox="1"/>
          </xdr:nvSpPr>
          <xdr:spPr>
            <a:xfrm>
              <a:off x="2714625" y="8996362"/>
              <a:ext cx="3287760"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𝑗𝑚</m:t>
                        </m:r>
                        <m:r>
                          <a:rPr lang="en-AU" sz="1100" i="1">
                            <a:latin typeface="Cambria Math" panose="02040503050406030204" pitchFamily="18" charset="0"/>
                          </a:rPr>
                          <m:t>=5,</m:t>
                        </m:r>
                        <m:r>
                          <a:rPr lang="en-AU" sz="1100" i="1">
                            <a:latin typeface="Cambria Math" panose="02040503050406030204" pitchFamily="18" charset="0"/>
                          </a:rPr>
                          <m:t>𝑇</m:t>
                        </m:r>
                        <m:r>
                          <a:rPr lang="en-AU" sz="1100" i="1">
                            <a:latin typeface="Cambria Math" panose="02040503050406030204" pitchFamily="18" charset="0"/>
                          </a:rPr>
                          <m:t>=1</m:t>
                        </m:r>
                      </m:sub>
                    </m:sSub>
                    <m:r>
                      <a:rPr lang="en-AU" sz="1100" i="1">
                        <a:latin typeface="Cambria Math" panose="02040503050406030204" pitchFamily="18" charset="0"/>
                      </a:rPr>
                      <m:t>=</m:t>
                    </m:r>
                    <m:r>
                      <a:rPr lang="en-AU" sz="1100" i="1">
                        <a:latin typeface="Cambria Math" panose="02040503050406030204" pitchFamily="18" charset="0"/>
                      </a:rPr>
                      <m:t>𝑉</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𝐵𝑂</m:t>
                    </m:r>
                    <m:r>
                      <a:rPr lang="en-AU" sz="1100" i="1">
                        <a:latin typeface="Cambria Math" panose="02040503050406030204" pitchFamily="18" charset="0"/>
                      </a:rPr>
                      <m:t>×</m:t>
                    </m:r>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𝑚</m:t>
                        </m:r>
                        <m:r>
                          <a:rPr lang="en-AU" sz="1100" i="1">
                            <a:latin typeface="Cambria Math" panose="02040503050406030204" pitchFamily="18" charset="0"/>
                          </a:rPr>
                          <m:t>=5,</m:t>
                        </m:r>
                        <m:r>
                          <a:rPr lang="en-AU" sz="1100" i="1">
                            <a:latin typeface="Cambria Math" panose="02040503050406030204" pitchFamily="18" charset="0"/>
                          </a:rPr>
                          <m:t>𝑇</m:t>
                        </m:r>
                        <m:r>
                          <a:rPr lang="en-AU" sz="1100" i="1">
                            <a:latin typeface="Cambria Math" panose="02040503050406030204" pitchFamily="18" charset="0"/>
                          </a:rPr>
                          <m:t>=1</m:t>
                        </m:r>
                      </m:sub>
                    </m:sSub>
                    <m:r>
                      <a:rPr lang="en-AU" sz="1100" i="1">
                        <a:latin typeface="Cambria Math" panose="02040503050406030204" pitchFamily="18" charset="0"/>
                      </a:rPr>
                      <m:t>×</m:t>
                    </m:r>
                    <m:r>
                      <a:rPr lang="en-AU" sz="1100" i="1">
                        <a:latin typeface="Cambria Math" panose="02040503050406030204" pitchFamily="18" charset="0"/>
                      </a:rPr>
                      <m:t>𝑀𝐶</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𝑖𝑚</m:t>
                        </m:r>
                        <m:r>
                          <a:rPr lang="en-AU" sz="1100" i="1">
                            <a:latin typeface="Cambria Math" panose="02040503050406030204" pitchFamily="18" charset="0"/>
                          </a:rPr>
                          <m:t>=5</m:t>
                        </m:r>
                      </m:sub>
                    </m:sSub>
                    <m:r>
                      <a:rPr lang="en-AU" sz="1100" i="1">
                        <a:latin typeface="Cambria Math" panose="02040503050406030204" pitchFamily="18" charset="0"/>
                      </a:rPr>
                      <m:t>×</m:t>
                    </m:r>
                    <m:r>
                      <a:rPr lang="en-AU" sz="1100" i="1">
                        <a:latin typeface="Cambria Math" panose="02040503050406030204" pitchFamily="18" charset="0"/>
                      </a:rPr>
                      <m:t>𝜌</m:t>
                    </m:r>
                  </m:oMath>
                </m:oMathPara>
              </a14:m>
              <a:endParaRPr lang="en-AU" sz="1100"/>
            </a:p>
          </xdr:txBody>
        </xdr:sp>
      </mc:Choice>
      <mc:Fallback xmlns="">
        <xdr:sp macro="" textlink="">
          <xdr:nvSpPr>
            <xdr:cNvPr id="5" name="TextBox 4">
              <a:extLst>
                <a:ext uri="{FF2B5EF4-FFF2-40B4-BE49-F238E27FC236}">
                  <a16:creationId xmlns:a16="http://schemas.microsoft.com/office/drawing/2014/main" id="{0F964EF8-C44B-655E-7174-DF0CF934BFF7}"/>
                </a:ext>
              </a:extLst>
            </xdr:cNvPr>
            <xdr:cNvSpPr txBox="1"/>
          </xdr:nvSpPr>
          <xdr:spPr>
            <a:xfrm>
              <a:off x="2714625" y="8996362"/>
              <a:ext cx="3287760"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𝑀_(𝑗𝑚=5,𝑇=1)=𝑉𝑆_𝑗×𝐵𝑂×𝑀𝑀𝑆_(𝑚=5,𝑇=1)×𝑀𝐶𝐹_(𝑖𝑚=5)×𝜌</a:t>
              </a:r>
              <a:endParaRPr lang="en-AU" sz="1100"/>
            </a:p>
          </xdr:txBody>
        </xdr:sp>
      </mc:Fallback>
    </mc:AlternateContent>
    <xdr:clientData/>
  </xdr:oneCellAnchor>
  <xdr:oneCellAnchor>
    <xdr:from>
      <xdr:col>2</xdr:col>
      <xdr:colOff>309562</xdr:colOff>
      <xdr:row>63</xdr:row>
      <xdr:rowOff>138112</xdr:rowOff>
    </xdr:from>
    <xdr:ext cx="3606308" cy="182871"/>
    <mc:AlternateContent xmlns:mc="http://schemas.openxmlformats.org/markup-compatibility/2006" xmlns:a14="http://schemas.microsoft.com/office/drawing/2010/main">
      <mc:Choice Requires="a14">
        <xdr:sp macro="" textlink="">
          <xdr:nvSpPr>
            <xdr:cNvPr id="10" name="TextBox 9">
              <a:extLst>
                <a:ext uri="{FF2B5EF4-FFF2-40B4-BE49-F238E27FC236}">
                  <a16:creationId xmlns:a16="http://schemas.microsoft.com/office/drawing/2014/main" id="{B84FEAE1-C964-6752-24BC-E82BACEE792E}"/>
                </a:ext>
              </a:extLst>
            </xdr:cNvPr>
            <xdr:cNvSpPr txBox="1"/>
          </xdr:nvSpPr>
          <xdr:spPr>
            <a:xfrm>
              <a:off x="2671762" y="15873412"/>
              <a:ext cx="3606308"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𝑗𝑚𝑇</m:t>
                        </m:r>
                        <m:r>
                          <a:rPr lang="en-AU" sz="1100" i="1">
                            <a:latin typeface="Cambria Math" panose="02040503050406030204" pitchFamily="18" charset="0"/>
                          </a:rPr>
                          <m:t>=2</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r>
                          <a:rPr lang="en-AU" sz="1100" i="1">
                            <a:latin typeface="Cambria Math" panose="02040503050406030204" pitchFamily="18" charset="0"/>
                          </a:rPr>
                          <m:t>𝑉𝑆𝐿</m:t>
                        </m:r>
                      </m:e>
                    </m:d>
                    <m:r>
                      <a:rPr lang="en-AU" sz="1100" i="1">
                        <a:latin typeface="Cambria Math" panose="02040503050406030204" pitchFamily="18" charset="0"/>
                      </a:rPr>
                      <m:t>×</m:t>
                    </m:r>
                    <m:r>
                      <a:rPr lang="en-AU" sz="1100" i="1">
                        <a:latin typeface="Cambria Math" panose="02040503050406030204" pitchFamily="18" charset="0"/>
                      </a:rPr>
                      <m:t>𝑉</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𝐵𝑂</m:t>
                    </m:r>
                    <m:r>
                      <a:rPr lang="en-AU" sz="1100" i="1">
                        <a:latin typeface="Cambria Math" panose="02040503050406030204" pitchFamily="18" charset="0"/>
                      </a:rPr>
                      <m:t>×</m:t>
                    </m:r>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𝑚𝑇</m:t>
                        </m:r>
                        <m:r>
                          <a:rPr lang="en-AU" sz="1100" i="1">
                            <a:latin typeface="Cambria Math" panose="02040503050406030204" pitchFamily="18" charset="0"/>
                          </a:rPr>
                          <m:t>=2</m:t>
                        </m:r>
                      </m:sub>
                    </m:sSub>
                    <m:r>
                      <a:rPr lang="en-AU" sz="1100" i="1">
                        <a:latin typeface="Cambria Math" panose="02040503050406030204" pitchFamily="18" charset="0"/>
                      </a:rPr>
                      <m:t>×</m:t>
                    </m:r>
                    <m:r>
                      <a:rPr lang="en-AU" sz="1100" i="1">
                        <a:latin typeface="Cambria Math" panose="02040503050406030204" pitchFamily="18" charset="0"/>
                      </a:rPr>
                      <m:t>𝑀𝐶</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𝑖𝑚</m:t>
                        </m:r>
                      </m:sub>
                    </m:sSub>
                    <m:r>
                      <a:rPr lang="en-AU" sz="1100" i="1">
                        <a:latin typeface="Cambria Math" panose="02040503050406030204" pitchFamily="18" charset="0"/>
                      </a:rPr>
                      <m:t>×</m:t>
                    </m:r>
                    <m:r>
                      <a:rPr lang="en-AU" sz="1100" i="1">
                        <a:latin typeface="Cambria Math" panose="02040503050406030204" pitchFamily="18" charset="0"/>
                      </a:rPr>
                      <m:t>𝜌</m:t>
                    </m:r>
                  </m:oMath>
                </m:oMathPara>
              </a14:m>
              <a:endParaRPr lang="en-AU" sz="1100"/>
            </a:p>
          </xdr:txBody>
        </xdr:sp>
      </mc:Choice>
      <mc:Fallback xmlns="">
        <xdr:sp macro="" textlink="">
          <xdr:nvSpPr>
            <xdr:cNvPr id="10" name="TextBox 9">
              <a:extLst>
                <a:ext uri="{FF2B5EF4-FFF2-40B4-BE49-F238E27FC236}">
                  <a16:creationId xmlns:a16="http://schemas.microsoft.com/office/drawing/2014/main" id="{B84FEAE1-C964-6752-24BC-E82BACEE792E}"/>
                </a:ext>
              </a:extLst>
            </xdr:cNvPr>
            <xdr:cNvSpPr txBox="1"/>
          </xdr:nvSpPr>
          <xdr:spPr>
            <a:xfrm>
              <a:off x="2671762" y="15873412"/>
              <a:ext cx="3606308"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𝑀_(𝑗𝑚𝑇=2)=(1−𝑉𝑆𝐿)×𝑉𝑆_𝑗×𝐵𝑂×𝑀𝑀𝑆_(𝑚𝑇=2)×𝑀𝐶𝐹_𝑖𝑚×𝜌</a:t>
              </a:r>
              <a:endParaRPr lang="en-AU" sz="1100"/>
            </a:p>
          </xdr:txBody>
        </xdr:sp>
      </mc:Fallback>
    </mc:AlternateContent>
    <xdr:clientData/>
  </xdr:oneCellAnchor>
  <xdr:oneCellAnchor>
    <xdr:from>
      <xdr:col>3</xdr:col>
      <xdr:colOff>14287</xdr:colOff>
      <xdr:row>104</xdr:row>
      <xdr:rowOff>133350</xdr:rowOff>
    </xdr:from>
    <xdr:ext cx="3287760" cy="182871"/>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E02E1FF6-299D-2F64-EA9D-F02CB24C30E2}"/>
                </a:ext>
              </a:extLst>
            </xdr:cNvPr>
            <xdr:cNvSpPr txBox="1"/>
          </xdr:nvSpPr>
          <xdr:spPr>
            <a:xfrm>
              <a:off x="2690812" y="23793450"/>
              <a:ext cx="3287760"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𝑗𝑚</m:t>
                        </m:r>
                        <m:r>
                          <a:rPr lang="en-AU" sz="1100" i="1">
                            <a:latin typeface="Cambria Math" panose="02040503050406030204" pitchFamily="18" charset="0"/>
                          </a:rPr>
                          <m:t>=1,</m:t>
                        </m:r>
                        <m:r>
                          <a:rPr lang="en-AU" sz="1100" i="1">
                            <a:latin typeface="Cambria Math" panose="02040503050406030204" pitchFamily="18" charset="0"/>
                          </a:rPr>
                          <m:t>𝑇</m:t>
                        </m:r>
                        <m:r>
                          <a:rPr lang="en-AU" sz="1100" i="1">
                            <a:latin typeface="Cambria Math" panose="02040503050406030204" pitchFamily="18" charset="0"/>
                          </a:rPr>
                          <m:t>=3</m:t>
                        </m:r>
                      </m:sub>
                    </m:sSub>
                    <m:r>
                      <a:rPr lang="en-AU" sz="1100" i="1">
                        <a:latin typeface="Cambria Math" panose="02040503050406030204" pitchFamily="18" charset="0"/>
                      </a:rPr>
                      <m:t>=</m:t>
                    </m:r>
                    <m:r>
                      <a:rPr lang="en-AU" sz="1100" i="1">
                        <a:latin typeface="Cambria Math" panose="02040503050406030204" pitchFamily="18" charset="0"/>
                      </a:rPr>
                      <m:t>𝑉</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𝐵𝑂</m:t>
                    </m:r>
                    <m:r>
                      <a:rPr lang="en-AU" sz="1100" i="1">
                        <a:latin typeface="Cambria Math" panose="02040503050406030204" pitchFamily="18" charset="0"/>
                      </a:rPr>
                      <m:t>×</m:t>
                    </m:r>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𝑚</m:t>
                        </m:r>
                        <m:r>
                          <a:rPr lang="en-AU" sz="1100" i="1">
                            <a:latin typeface="Cambria Math" panose="02040503050406030204" pitchFamily="18" charset="0"/>
                          </a:rPr>
                          <m:t>=1,</m:t>
                        </m:r>
                        <m:r>
                          <a:rPr lang="en-AU" sz="1100" i="1">
                            <a:latin typeface="Cambria Math" panose="02040503050406030204" pitchFamily="18" charset="0"/>
                          </a:rPr>
                          <m:t>𝑇</m:t>
                        </m:r>
                        <m:r>
                          <a:rPr lang="en-AU" sz="1100" i="1">
                            <a:latin typeface="Cambria Math" panose="02040503050406030204" pitchFamily="18" charset="0"/>
                          </a:rPr>
                          <m:t>=3</m:t>
                        </m:r>
                      </m:sub>
                    </m:sSub>
                    <m:r>
                      <a:rPr lang="en-AU" sz="1100" i="1">
                        <a:latin typeface="Cambria Math" panose="02040503050406030204" pitchFamily="18" charset="0"/>
                      </a:rPr>
                      <m:t>×</m:t>
                    </m:r>
                    <m:r>
                      <a:rPr lang="en-AU" sz="1100" i="1">
                        <a:latin typeface="Cambria Math" panose="02040503050406030204" pitchFamily="18" charset="0"/>
                      </a:rPr>
                      <m:t>𝑀𝐶</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𝑖𝑚</m:t>
                        </m:r>
                        <m:r>
                          <a:rPr lang="en-AU" sz="1100" i="1">
                            <a:latin typeface="Cambria Math" panose="02040503050406030204" pitchFamily="18" charset="0"/>
                          </a:rPr>
                          <m:t>=1</m:t>
                        </m:r>
                      </m:sub>
                    </m:sSub>
                    <m:r>
                      <a:rPr lang="en-AU" sz="1100" i="1">
                        <a:latin typeface="Cambria Math" panose="02040503050406030204" pitchFamily="18" charset="0"/>
                      </a:rPr>
                      <m:t>×</m:t>
                    </m:r>
                    <m:r>
                      <a:rPr lang="en-AU" sz="1100" i="1">
                        <a:latin typeface="Cambria Math" panose="02040503050406030204" pitchFamily="18" charset="0"/>
                      </a:rPr>
                      <m:t>𝜌</m:t>
                    </m:r>
                  </m:oMath>
                </m:oMathPara>
              </a14:m>
              <a:endParaRPr lang="en-AU" sz="1100"/>
            </a:p>
          </xdr:txBody>
        </xdr:sp>
      </mc:Choice>
      <mc:Fallback xmlns="">
        <xdr:sp macro="" textlink="">
          <xdr:nvSpPr>
            <xdr:cNvPr id="3" name="TextBox 2">
              <a:extLst>
                <a:ext uri="{FF2B5EF4-FFF2-40B4-BE49-F238E27FC236}">
                  <a16:creationId xmlns:a16="http://schemas.microsoft.com/office/drawing/2014/main" id="{E02E1FF6-299D-2F64-EA9D-F02CB24C30E2}"/>
                </a:ext>
              </a:extLst>
            </xdr:cNvPr>
            <xdr:cNvSpPr txBox="1"/>
          </xdr:nvSpPr>
          <xdr:spPr>
            <a:xfrm>
              <a:off x="2690812" y="23793450"/>
              <a:ext cx="3287760"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𝑀_(𝑗𝑚=1,𝑇=3)=𝑉𝑆_𝑗×𝐵𝑂×𝑀𝑀𝑆_(𝑚=1,𝑇=3)×𝑀𝐶𝐹_(𝑖𝑚=1)×𝜌</a:t>
              </a:r>
              <a:endParaRPr lang="en-AU" sz="1100"/>
            </a:p>
          </xdr:txBody>
        </xdr:sp>
      </mc:Fallback>
    </mc:AlternateContent>
    <xdr:clientData/>
  </xdr:oneCellAnchor>
  <xdr:oneCellAnchor>
    <xdr:from>
      <xdr:col>3</xdr:col>
      <xdr:colOff>14287</xdr:colOff>
      <xdr:row>131</xdr:row>
      <xdr:rowOff>133350</xdr:rowOff>
    </xdr:from>
    <xdr:ext cx="2614114" cy="429926"/>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DBB4D879-97D2-23CB-EF78-EF8C318CF022}"/>
                </a:ext>
              </a:extLst>
            </xdr:cNvPr>
            <xdr:cNvSpPr txBox="1"/>
          </xdr:nvSpPr>
          <xdr:spPr>
            <a:xfrm>
              <a:off x="2690812" y="32213550"/>
              <a:ext cx="2614114"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𝐶𝐻</m:t>
                        </m:r>
                        <m:r>
                          <a:rPr lang="en-AU" sz="1100" i="1">
                            <a:latin typeface="Cambria Math" panose="02040503050406030204" pitchFamily="18" charset="0"/>
                          </a:rPr>
                          <m:t>4</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𝑇</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𝑗𝑚𝑇</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m:t>
                                        </m:r>
                                      </m:sub>
                                    </m:sSub>
                                  </m:e>
                                </m:d>
                              </m:e>
                            </m:nary>
                          </m:e>
                        </m:nary>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4" name="TextBox 3">
              <a:extLst>
                <a:ext uri="{FF2B5EF4-FFF2-40B4-BE49-F238E27FC236}">
                  <a16:creationId xmlns:a16="http://schemas.microsoft.com/office/drawing/2014/main" id="{DBB4D879-97D2-23CB-EF78-EF8C318CF022}"/>
                </a:ext>
              </a:extLst>
            </xdr:cNvPr>
            <xdr:cNvSpPr txBox="1"/>
          </xdr:nvSpPr>
          <xdr:spPr>
            <a:xfrm>
              <a:off x="2690812" y="32213550"/>
              <a:ext cx="2614114"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𝐸_𝐶𝐻4=∑_𝑗▒∑_𝑚▒∑_𝑇▒(𝐷_𝑗×𝑀_𝑗𝑚𝑇×𝑁_𝑗 ) ×10^(−3)</a:t>
              </a:r>
              <a:endParaRPr lang="en-AU" sz="1100"/>
            </a:p>
          </xdr:txBody>
        </xdr:sp>
      </mc:Fallback>
    </mc:AlternateContent>
    <xdr:clientData/>
  </xdr:oneCellAnchor>
</xdr:wsDr>
</file>

<file path=xl/drawings/drawing4.xml><?xml version="1.0" encoding="utf-8"?>
<xdr:wsDr xmlns:xdr="http://schemas.openxmlformats.org/drawingml/2006/spreadsheetDrawing" xmlns:a="http://schemas.openxmlformats.org/drawingml/2006/main">
  <xdr:oneCellAnchor>
    <xdr:from>
      <xdr:col>3</xdr:col>
      <xdr:colOff>14287</xdr:colOff>
      <xdr:row>7</xdr:row>
      <xdr:rowOff>166687</xdr:rowOff>
    </xdr:from>
    <xdr:ext cx="1309397" cy="182871"/>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04FBBC28-92BA-BCAF-E275-0817EB68A195}"/>
                </a:ext>
              </a:extLst>
            </xdr:cNvPr>
            <xdr:cNvSpPr txBox="1"/>
          </xdr:nvSpPr>
          <xdr:spPr>
            <a:xfrm>
              <a:off x="2690812" y="2033587"/>
              <a:ext cx="1309397"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𝑁</m:t>
                    </m:r>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𝐶</m:t>
                    </m:r>
                    <m:sSub>
                      <m:sSubPr>
                        <m:ctrlPr>
                          <a:rPr lang="en-AU" sz="1100" i="1">
                            <a:latin typeface="Cambria Math" panose="02040503050406030204" pitchFamily="18" charset="0"/>
                          </a:rPr>
                        </m:ctrlPr>
                      </m:sSubPr>
                      <m:e>
                        <m:r>
                          <a:rPr lang="en-AU" sz="1100" i="1">
                            <a:latin typeface="Cambria Math" panose="02040503050406030204" pitchFamily="18" charset="0"/>
                          </a:rPr>
                          <m:t>𝑃</m:t>
                        </m:r>
                      </m:e>
                      <m:sub>
                        <m:r>
                          <a:rPr lang="en-AU" sz="1100" i="1">
                            <a:latin typeface="Cambria Math" panose="02040503050406030204" pitchFamily="18" charset="0"/>
                          </a:rPr>
                          <m:t>𝑗</m:t>
                        </m:r>
                      </m:sub>
                    </m:sSub>
                    <m:r>
                      <a:rPr lang="en-AU" sz="1100" i="1">
                        <a:latin typeface="Cambria Math" panose="02040503050406030204" pitchFamily="18" charset="0"/>
                      </a:rPr>
                      <m:t>÷6.25</m:t>
                    </m:r>
                  </m:oMath>
                </m:oMathPara>
              </a14:m>
              <a:endParaRPr lang="en-AU" sz="1100"/>
            </a:p>
          </xdr:txBody>
        </xdr:sp>
      </mc:Choice>
      <mc:Fallback xmlns="">
        <xdr:sp macro="" textlink="">
          <xdr:nvSpPr>
            <xdr:cNvPr id="2" name="TextBox 1">
              <a:extLst>
                <a:ext uri="{FF2B5EF4-FFF2-40B4-BE49-F238E27FC236}">
                  <a16:creationId xmlns:a16="http://schemas.microsoft.com/office/drawing/2014/main" id="{04FBBC28-92BA-BCAF-E275-0817EB68A195}"/>
                </a:ext>
              </a:extLst>
            </xdr:cNvPr>
            <xdr:cNvSpPr txBox="1"/>
          </xdr:nvSpPr>
          <xdr:spPr>
            <a:xfrm>
              <a:off x="2690812" y="2033587"/>
              <a:ext cx="1309397"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𝑁𝐼_𝑗=𝐼_𝑗×𝐶𝑃_𝑗÷6.25</a:t>
              </a:r>
              <a:endParaRPr lang="en-AU" sz="1100"/>
            </a:p>
          </xdr:txBody>
        </xdr:sp>
      </mc:Fallback>
    </mc:AlternateContent>
    <xdr:clientData/>
  </xdr:oneCellAnchor>
  <xdr:oneCellAnchor>
    <xdr:from>
      <xdr:col>3</xdr:col>
      <xdr:colOff>4762</xdr:colOff>
      <xdr:row>36</xdr:row>
      <xdr:rowOff>204787</xdr:rowOff>
    </xdr:from>
    <xdr:ext cx="1424557" cy="194990"/>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A4CBD226-9D22-F2AD-7D36-BEF74594578E}"/>
                </a:ext>
              </a:extLst>
            </xdr:cNvPr>
            <xdr:cNvSpPr txBox="1"/>
          </xdr:nvSpPr>
          <xdr:spPr>
            <a:xfrm>
              <a:off x="2681287" y="9253537"/>
              <a:ext cx="1424557"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𝑁</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𝑁</m:t>
                    </m:r>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r>
                          <a:rPr lang="en-AU" sz="1100" i="1">
                            <a:latin typeface="Cambria Math" panose="02040503050406030204" pitchFamily="18" charset="0"/>
                          </a:rPr>
                          <m:t>𝑁</m:t>
                        </m:r>
                        <m:sSub>
                          <m:sSubPr>
                            <m:ctrlPr>
                              <a:rPr lang="en-AU" sz="1100" i="1">
                                <a:latin typeface="Cambria Math" panose="02040503050406030204" pitchFamily="18" charset="0"/>
                              </a:rPr>
                            </m:ctrlPr>
                          </m:sSubPr>
                          <m:e>
                            <m:r>
                              <a:rPr lang="en-AU" sz="1100" i="1">
                                <a:latin typeface="Cambria Math" panose="02040503050406030204" pitchFamily="18" charset="0"/>
                              </a:rPr>
                              <m:t>𝑅</m:t>
                            </m:r>
                          </m:e>
                          <m:sub>
                            <m:r>
                              <a:rPr lang="en-AU" sz="1100" i="1">
                                <a:latin typeface="Cambria Math" panose="02040503050406030204" pitchFamily="18" charset="0"/>
                              </a:rPr>
                              <m:t>𝑗</m:t>
                            </m:r>
                          </m:sub>
                        </m:sSub>
                      </m:e>
                    </m:d>
                  </m:oMath>
                </m:oMathPara>
              </a14:m>
              <a:endParaRPr lang="en-AU" sz="1100"/>
            </a:p>
          </xdr:txBody>
        </xdr:sp>
      </mc:Choice>
      <mc:Fallback xmlns="">
        <xdr:sp macro="" textlink="">
          <xdr:nvSpPr>
            <xdr:cNvPr id="3" name="TextBox 2">
              <a:extLst>
                <a:ext uri="{FF2B5EF4-FFF2-40B4-BE49-F238E27FC236}">
                  <a16:creationId xmlns:a16="http://schemas.microsoft.com/office/drawing/2014/main" id="{A4CBD226-9D22-F2AD-7D36-BEF74594578E}"/>
                </a:ext>
              </a:extLst>
            </xdr:cNvPr>
            <xdr:cNvSpPr txBox="1"/>
          </xdr:nvSpPr>
          <xdr:spPr>
            <a:xfrm>
              <a:off x="2681287" y="9253537"/>
              <a:ext cx="1424557"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𝑁𝐸_𝑗=𝑁𝐼_𝑗×(1−𝑁𝑅_𝑗 )</a:t>
              </a:r>
              <a:endParaRPr lang="en-AU" sz="1100"/>
            </a:p>
          </xdr:txBody>
        </xdr:sp>
      </mc:Fallback>
    </mc:AlternateContent>
    <xdr:clientData/>
  </xdr:oneCellAnchor>
  <xdr:oneCellAnchor>
    <xdr:from>
      <xdr:col>3</xdr:col>
      <xdr:colOff>61912</xdr:colOff>
      <xdr:row>60</xdr:row>
      <xdr:rowOff>138112</xdr:rowOff>
    </xdr:from>
    <xdr:ext cx="1266308" cy="182871"/>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0055BCCE-D0ED-D622-512F-3B4B65078212}"/>
                </a:ext>
              </a:extLst>
            </xdr:cNvPr>
            <xdr:cNvSpPr txBox="1"/>
          </xdr:nvSpPr>
          <xdr:spPr>
            <a:xfrm>
              <a:off x="2738437" y="15130462"/>
              <a:ext cx="1266308"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𝐴</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𝑗</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𝑁</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𝑗</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m:t>
                        </m:r>
                      </m:sub>
                    </m:sSub>
                  </m:oMath>
                </m:oMathPara>
              </a14:m>
              <a:endParaRPr lang="en-AU" sz="1100"/>
            </a:p>
          </xdr:txBody>
        </xdr:sp>
      </mc:Choice>
      <mc:Fallback xmlns="">
        <xdr:sp macro="" textlink="">
          <xdr:nvSpPr>
            <xdr:cNvPr id="4" name="TextBox 3">
              <a:extLst>
                <a:ext uri="{FF2B5EF4-FFF2-40B4-BE49-F238E27FC236}">
                  <a16:creationId xmlns:a16="http://schemas.microsoft.com/office/drawing/2014/main" id="{0055BCCE-D0ED-D622-512F-3B4B65078212}"/>
                </a:ext>
              </a:extLst>
            </xdr:cNvPr>
            <xdr:cNvSpPr txBox="1"/>
          </xdr:nvSpPr>
          <xdr:spPr>
            <a:xfrm>
              <a:off x="2738437" y="15130462"/>
              <a:ext cx="1266308"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𝐴𝐸_𝑗=𝑁_𝑗×𝑁𝐸_𝑗×𝐷_𝑗</a:t>
              </a:r>
              <a:endParaRPr lang="en-AU" sz="1100"/>
            </a:p>
          </xdr:txBody>
        </xdr:sp>
      </mc:Fallback>
    </mc:AlternateContent>
    <xdr:clientData/>
  </xdr:oneCellAnchor>
  <xdr:oneCellAnchor>
    <xdr:from>
      <xdr:col>2</xdr:col>
      <xdr:colOff>290512</xdr:colOff>
      <xdr:row>89</xdr:row>
      <xdr:rowOff>52387</xdr:rowOff>
    </xdr:from>
    <xdr:ext cx="2118016" cy="182871"/>
    <mc:AlternateContent xmlns:mc="http://schemas.openxmlformats.org/markup-compatibility/2006" xmlns:a14="http://schemas.microsoft.com/office/drawing/2010/main">
      <mc:Choice Requires="a14">
        <xdr:sp macro="" textlink="">
          <xdr:nvSpPr>
            <xdr:cNvPr id="5" name="TextBox 4">
              <a:extLst>
                <a:ext uri="{FF2B5EF4-FFF2-40B4-BE49-F238E27FC236}">
                  <a16:creationId xmlns:a16="http://schemas.microsoft.com/office/drawing/2014/main" id="{3B02F942-BC57-AB03-23C9-57D4A8BEB3E5}"/>
                </a:ext>
              </a:extLst>
            </xdr:cNvPr>
            <xdr:cNvSpPr txBox="1"/>
          </xdr:nvSpPr>
          <xdr:spPr>
            <a:xfrm>
              <a:off x="2652712" y="22226587"/>
              <a:ext cx="2118016"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𝑗𝑚</m:t>
                        </m:r>
                        <m:r>
                          <a:rPr lang="en-AU" sz="1100" i="1">
                            <a:latin typeface="Cambria Math" panose="02040503050406030204" pitchFamily="18" charset="0"/>
                          </a:rPr>
                          <m:t>=5,</m:t>
                        </m:r>
                        <m:r>
                          <a:rPr lang="en-AU" sz="1100" i="1">
                            <a:latin typeface="Cambria Math" panose="02040503050406030204" pitchFamily="18" charset="0"/>
                          </a:rPr>
                          <m:t>𝑇</m:t>
                        </m:r>
                        <m:r>
                          <a:rPr lang="en-AU" sz="1100" i="1">
                            <a:latin typeface="Cambria Math" panose="02040503050406030204" pitchFamily="18" charset="0"/>
                          </a:rPr>
                          <m:t>=1</m:t>
                        </m:r>
                      </m:sub>
                    </m:sSub>
                    <m:r>
                      <a:rPr lang="en-AU" sz="1100" i="1">
                        <a:latin typeface="Cambria Math" panose="02040503050406030204" pitchFamily="18" charset="0"/>
                      </a:rPr>
                      <m:t>=</m:t>
                    </m:r>
                    <m:r>
                      <a:rPr lang="en-AU" sz="1100" i="1">
                        <a:latin typeface="Cambria Math" panose="02040503050406030204" pitchFamily="18" charset="0"/>
                      </a:rPr>
                      <m:t>𝐴</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𝑗𝑚</m:t>
                        </m:r>
                        <m:r>
                          <a:rPr lang="en-AU" sz="1100" i="1">
                            <a:latin typeface="Cambria Math" panose="02040503050406030204" pitchFamily="18" charset="0"/>
                          </a:rPr>
                          <m:t>=5,</m:t>
                        </m:r>
                        <m:r>
                          <a:rPr lang="en-AU" sz="1100" i="1">
                            <a:latin typeface="Cambria Math" panose="02040503050406030204" pitchFamily="18" charset="0"/>
                          </a:rPr>
                          <m:t>𝑇</m:t>
                        </m:r>
                        <m:r>
                          <a:rPr lang="en-AU" sz="1100" i="1">
                            <a:latin typeface="Cambria Math" panose="02040503050406030204" pitchFamily="18" charset="0"/>
                          </a:rPr>
                          <m:t>=1</m:t>
                        </m:r>
                      </m:sub>
                    </m:sSub>
                  </m:oMath>
                </m:oMathPara>
              </a14:m>
              <a:endParaRPr lang="en-AU" sz="1100"/>
            </a:p>
          </xdr:txBody>
        </xdr:sp>
      </mc:Choice>
      <mc:Fallback xmlns="">
        <xdr:sp macro="" textlink="">
          <xdr:nvSpPr>
            <xdr:cNvPr id="5" name="TextBox 4">
              <a:extLst>
                <a:ext uri="{FF2B5EF4-FFF2-40B4-BE49-F238E27FC236}">
                  <a16:creationId xmlns:a16="http://schemas.microsoft.com/office/drawing/2014/main" id="{3B02F942-BC57-AB03-23C9-57D4A8BEB3E5}"/>
                </a:ext>
              </a:extLst>
            </xdr:cNvPr>
            <xdr:cNvSpPr txBox="1"/>
          </xdr:nvSpPr>
          <xdr:spPr>
            <a:xfrm>
              <a:off x="2652712" y="22226587"/>
              <a:ext cx="2118016"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𝑀𝑁_(𝑗𝑚=5,𝑇=1)=𝐴𝐸_𝑗×𝑀𝑀𝑆_(𝑗𝑚=5,𝑇=1)</a:t>
              </a:r>
              <a:endParaRPr lang="en-AU" sz="1100"/>
            </a:p>
          </xdr:txBody>
        </xdr:sp>
      </mc:Fallback>
    </mc:AlternateContent>
    <xdr:clientData/>
  </xdr:oneCellAnchor>
  <xdr:oneCellAnchor>
    <xdr:from>
      <xdr:col>3</xdr:col>
      <xdr:colOff>14287</xdr:colOff>
      <xdr:row>155</xdr:row>
      <xdr:rowOff>147637</xdr:rowOff>
    </xdr:from>
    <xdr:ext cx="2169825" cy="182871"/>
    <mc:AlternateContent xmlns:mc="http://schemas.openxmlformats.org/markup-compatibility/2006" xmlns:a14="http://schemas.microsoft.com/office/drawing/2010/main">
      <mc:Choice Requires="a14">
        <xdr:sp macro="" textlink="">
          <xdr:nvSpPr>
            <xdr:cNvPr id="7" name="TextBox 6">
              <a:extLst>
                <a:ext uri="{FF2B5EF4-FFF2-40B4-BE49-F238E27FC236}">
                  <a16:creationId xmlns:a16="http://schemas.microsoft.com/office/drawing/2014/main" id="{5401A1C8-1FBA-1450-7875-6F1DF2F79BDE}"/>
                </a:ext>
              </a:extLst>
            </xdr:cNvPr>
            <xdr:cNvSpPr txBox="1"/>
          </xdr:nvSpPr>
          <xdr:spPr>
            <a:xfrm>
              <a:off x="2690812" y="28017787"/>
              <a:ext cx="2169825"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𝑗𝑚</m:t>
                        </m:r>
                        <m:r>
                          <a:rPr lang="en-AU" sz="1100" i="1">
                            <a:latin typeface="Cambria Math" panose="02040503050406030204" pitchFamily="18" charset="0"/>
                          </a:rPr>
                          <m:t>,</m:t>
                        </m:r>
                        <m:r>
                          <a:rPr lang="en-AU" sz="1100" i="1">
                            <a:latin typeface="Cambria Math" panose="02040503050406030204" pitchFamily="18" charset="0"/>
                          </a:rPr>
                          <m:t>𝑇</m:t>
                        </m:r>
                        <m:r>
                          <a:rPr lang="en-AU" sz="1100" i="1">
                            <a:latin typeface="Cambria Math" panose="02040503050406030204" pitchFamily="18" charset="0"/>
                          </a:rPr>
                          <m:t>=2</m:t>
                        </m:r>
                      </m:sub>
                    </m:sSub>
                    <m:r>
                      <a:rPr lang="en-AU" sz="1100" i="1">
                        <a:latin typeface="Cambria Math" panose="02040503050406030204" pitchFamily="18" charset="0"/>
                      </a:rPr>
                      <m:t>=</m:t>
                    </m:r>
                    <m:r>
                      <a:rPr lang="en-AU" sz="1100" i="1">
                        <a:latin typeface="Cambria Math" panose="02040503050406030204" pitchFamily="18" charset="0"/>
                      </a:rPr>
                      <m:t>𝑁</m:t>
                    </m:r>
                    <m:sSub>
                      <m:sSubPr>
                        <m:ctrlPr>
                          <a:rPr lang="en-AU" sz="1100" i="1">
                            <a:latin typeface="Cambria Math" panose="02040503050406030204" pitchFamily="18" charset="0"/>
                          </a:rPr>
                        </m:ctrlPr>
                      </m:sSubPr>
                      <m:e>
                        <m:r>
                          <a:rPr lang="en-AU" sz="1100" i="1">
                            <a:latin typeface="Cambria Math" panose="02040503050406030204" pitchFamily="18" charset="0"/>
                          </a:rPr>
                          <m:t>𝑇</m:t>
                        </m:r>
                      </m:e>
                      <m:sub>
                        <m:r>
                          <a:rPr lang="en-AU" sz="1100" i="1">
                            <a:latin typeface="Cambria Math" panose="02040503050406030204" pitchFamily="18" charset="0"/>
                          </a:rPr>
                          <m:t>𝑗𝑚</m:t>
                        </m:r>
                        <m:r>
                          <a:rPr lang="en-AU" sz="1100" i="1">
                            <a:latin typeface="Cambria Math" panose="02040503050406030204" pitchFamily="18" charset="0"/>
                          </a:rPr>
                          <m:t>,</m:t>
                        </m:r>
                        <m:r>
                          <a:rPr lang="en-AU" sz="1100" i="1">
                            <a:latin typeface="Cambria Math" panose="02040503050406030204" pitchFamily="18" charset="0"/>
                          </a:rPr>
                          <m:t>𝑇</m:t>
                        </m:r>
                        <m:r>
                          <a:rPr lang="en-AU" sz="1100" i="1">
                            <a:latin typeface="Cambria Math" panose="02040503050406030204" pitchFamily="18" charset="0"/>
                          </a:rPr>
                          <m:t>=2</m:t>
                        </m:r>
                      </m:sub>
                    </m:sSub>
                    <m:r>
                      <a:rPr lang="en-AU" sz="1100" i="1">
                        <a:latin typeface="Cambria Math" panose="02040503050406030204" pitchFamily="18" charset="0"/>
                      </a:rPr>
                      <m:t>×</m:t>
                    </m:r>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𝑗𝑚</m:t>
                        </m:r>
                        <m:r>
                          <a:rPr lang="en-AU" sz="1100" i="1">
                            <a:latin typeface="Cambria Math" panose="02040503050406030204" pitchFamily="18" charset="0"/>
                          </a:rPr>
                          <m:t>,</m:t>
                        </m:r>
                        <m:r>
                          <a:rPr lang="en-AU" sz="1100" i="1">
                            <a:latin typeface="Cambria Math" panose="02040503050406030204" pitchFamily="18" charset="0"/>
                          </a:rPr>
                          <m:t>𝑇</m:t>
                        </m:r>
                        <m:r>
                          <a:rPr lang="en-AU" sz="1100" i="1">
                            <a:latin typeface="Cambria Math" panose="02040503050406030204" pitchFamily="18" charset="0"/>
                          </a:rPr>
                          <m:t>=2</m:t>
                        </m:r>
                      </m:sub>
                    </m:sSub>
                  </m:oMath>
                </m:oMathPara>
              </a14:m>
              <a:endParaRPr lang="en-AU" sz="1100"/>
            </a:p>
          </xdr:txBody>
        </xdr:sp>
      </mc:Choice>
      <mc:Fallback xmlns="">
        <xdr:sp macro="" textlink="">
          <xdr:nvSpPr>
            <xdr:cNvPr id="7" name="TextBox 6">
              <a:extLst>
                <a:ext uri="{FF2B5EF4-FFF2-40B4-BE49-F238E27FC236}">
                  <a16:creationId xmlns:a16="http://schemas.microsoft.com/office/drawing/2014/main" id="{5401A1C8-1FBA-1450-7875-6F1DF2F79BDE}"/>
                </a:ext>
              </a:extLst>
            </xdr:cNvPr>
            <xdr:cNvSpPr txBox="1"/>
          </xdr:nvSpPr>
          <xdr:spPr>
            <a:xfrm>
              <a:off x="2690812" y="28017787"/>
              <a:ext cx="2169825"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𝑀𝑁_(𝑗𝑚,𝑇=2)=𝑁𝑇_(𝑗𝑚,𝑇=2)×𝑀𝑀𝑆_(𝑗𝑚,𝑇=2)</a:t>
              </a:r>
              <a:endParaRPr lang="en-AU" sz="1100"/>
            </a:p>
          </xdr:txBody>
        </xdr:sp>
      </mc:Fallback>
    </mc:AlternateContent>
    <xdr:clientData/>
  </xdr:oneCellAnchor>
  <xdr:oneCellAnchor>
    <xdr:from>
      <xdr:col>2</xdr:col>
      <xdr:colOff>290512</xdr:colOff>
      <xdr:row>135</xdr:row>
      <xdr:rowOff>90487</xdr:rowOff>
    </xdr:from>
    <xdr:ext cx="4350422" cy="253339"/>
    <mc:AlternateContent xmlns:mc="http://schemas.openxmlformats.org/markup-compatibility/2006" xmlns:a14="http://schemas.microsoft.com/office/drawing/2010/main">
      <mc:Choice Requires="a14">
        <xdr:sp macro="" textlink="">
          <xdr:nvSpPr>
            <xdr:cNvPr id="8" name="TextBox 7">
              <a:extLst>
                <a:ext uri="{FF2B5EF4-FFF2-40B4-BE49-F238E27FC236}">
                  <a16:creationId xmlns:a16="http://schemas.microsoft.com/office/drawing/2014/main" id="{75FB8B97-6A84-D5A1-ABFB-1784A65182B7}"/>
                </a:ext>
              </a:extLst>
            </xdr:cNvPr>
            <xdr:cNvSpPr txBox="1"/>
          </xdr:nvSpPr>
          <xdr:spPr>
            <a:xfrm>
              <a:off x="2652712" y="27960637"/>
              <a:ext cx="4350422"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𝑁</m:t>
                    </m:r>
                    <m:sSub>
                      <m:sSubPr>
                        <m:ctrlPr>
                          <a:rPr lang="en-AU" sz="1100" i="1">
                            <a:latin typeface="Cambria Math" panose="02040503050406030204" pitchFamily="18" charset="0"/>
                          </a:rPr>
                        </m:ctrlPr>
                      </m:sSubPr>
                      <m:e>
                        <m:r>
                          <a:rPr lang="en-AU" sz="1100" i="1">
                            <a:latin typeface="Cambria Math" panose="02040503050406030204" pitchFamily="18" charset="0"/>
                          </a:rPr>
                          <m:t>𝑇</m:t>
                        </m:r>
                      </m:e>
                      <m:sub>
                        <m:r>
                          <a:rPr lang="en-AU" sz="1100" i="1">
                            <a:latin typeface="Cambria Math" panose="02040503050406030204" pitchFamily="18" charset="0"/>
                          </a:rPr>
                          <m:t>𝑗𝑚</m:t>
                        </m:r>
                        <m:r>
                          <a:rPr lang="en-AU" sz="1100" i="1">
                            <a:latin typeface="Cambria Math" panose="02040503050406030204" pitchFamily="18" charset="0"/>
                          </a:rPr>
                          <m:t>,</m:t>
                        </m:r>
                        <m:r>
                          <a:rPr lang="en-AU" sz="1100" i="1">
                            <a:latin typeface="Cambria Math" panose="02040503050406030204" pitchFamily="18" charset="0"/>
                          </a:rPr>
                          <m:t>𝑇</m:t>
                        </m:r>
                        <m:r>
                          <a:rPr lang="en-AU" sz="1100" i="1">
                            <a:latin typeface="Cambria Math" panose="02040503050406030204" pitchFamily="18" charset="0"/>
                          </a:rPr>
                          <m:t>=2</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𝑗𝑚</m:t>
                            </m:r>
                            <m:r>
                              <a:rPr lang="en-AU" sz="1100" i="1">
                                <a:latin typeface="Cambria Math" panose="02040503050406030204" pitchFamily="18" charset="0"/>
                              </a:rPr>
                              <m:t>=5,</m:t>
                            </m:r>
                            <m:r>
                              <a:rPr lang="en-AU" sz="1100" i="1">
                                <a:latin typeface="Cambria Math" panose="02040503050406030204" pitchFamily="18" charset="0"/>
                              </a:rPr>
                              <m:t>𝑇</m:t>
                            </m:r>
                            <m:r>
                              <a:rPr lang="en-AU" sz="1100" i="1">
                                <a:latin typeface="Cambria Math" panose="02040503050406030204" pitchFamily="18" charset="0"/>
                              </a:rPr>
                              <m:t>=1</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r>
                              <a:rPr lang="en-AU" sz="1100" i="1">
                                <a:latin typeface="Cambria Math" panose="02040503050406030204" pitchFamily="18" charset="0"/>
                              </a:rPr>
                              <m:t>𝐹𝑟𝑎𝑐𝐺𝐴𝑆</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𝑚</m:t>
                                </m:r>
                                <m:r>
                                  <a:rPr lang="en-AU" sz="1100" i="1">
                                    <a:latin typeface="Cambria Math" panose="02040503050406030204" pitchFamily="18" charset="0"/>
                                  </a:rPr>
                                  <m:t>=5</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𝑚</m:t>
                                </m:r>
                                <m:r>
                                  <a:rPr lang="en-AU" sz="1100" i="1">
                                    <a:latin typeface="Cambria Math" panose="02040503050406030204" pitchFamily="18" charset="0"/>
                                  </a:rPr>
                                  <m:t>=5</m:t>
                                </m:r>
                              </m:sub>
                            </m:sSub>
                          </m:e>
                        </m:d>
                      </m:e>
                    </m:d>
                    <m:r>
                      <a:rPr lang="en-AU" sz="1100" i="1">
                        <a:latin typeface="Cambria Math" panose="02040503050406030204" pitchFamily="18" charset="0"/>
                      </a:rPr>
                      <m:t>−</m:t>
                    </m:r>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𝑗𝑚</m:t>
                        </m:r>
                        <m:r>
                          <a:rPr lang="en-AU" sz="1100" i="1">
                            <a:latin typeface="Cambria Math" panose="02040503050406030204" pitchFamily="18" charset="0"/>
                          </a:rPr>
                          <m:t>,</m:t>
                        </m:r>
                        <m:r>
                          <a:rPr lang="en-AU" sz="1100" i="1">
                            <a:latin typeface="Cambria Math" panose="02040503050406030204" pitchFamily="18" charset="0"/>
                          </a:rPr>
                          <m:t>𝑇</m:t>
                        </m:r>
                        <m:r>
                          <a:rPr lang="en-AU" sz="1100" i="1">
                            <a:latin typeface="Cambria Math" panose="02040503050406030204" pitchFamily="18" charset="0"/>
                          </a:rPr>
                          <m:t>=3</m:t>
                        </m:r>
                      </m:sub>
                    </m:sSub>
                  </m:oMath>
                </m:oMathPara>
              </a14:m>
              <a:endParaRPr lang="en-AU" sz="1100"/>
            </a:p>
          </xdr:txBody>
        </xdr:sp>
      </mc:Choice>
      <mc:Fallback xmlns="">
        <xdr:sp macro="" textlink="">
          <xdr:nvSpPr>
            <xdr:cNvPr id="8" name="TextBox 7">
              <a:extLst>
                <a:ext uri="{FF2B5EF4-FFF2-40B4-BE49-F238E27FC236}">
                  <a16:creationId xmlns:a16="http://schemas.microsoft.com/office/drawing/2014/main" id="{75FB8B97-6A84-D5A1-ABFB-1784A65182B7}"/>
                </a:ext>
              </a:extLst>
            </xdr:cNvPr>
            <xdr:cNvSpPr txBox="1"/>
          </xdr:nvSpPr>
          <xdr:spPr>
            <a:xfrm>
              <a:off x="2652712" y="27960637"/>
              <a:ext cx="4350422"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𝑁𝑇_(𝑗𝑚,𝑇=2)=(𝑀𝑁_(𝑗𝑚=5,𝑇=1)×(1−𝐹𝑟𝑎𝑐𝐺𝐴𝑆𝑀_(𝑚=5)−𝐸𝐹_(𝑚=5) ))−𝑀𝑁_(𝑗𝑚,𝑇=3)</a:t>
              </a:r>
              <a:endParaRPr lang="en-AU" sz="1100"/>
            </a:p>
          </xdr:txBody>
        </xdr:sp>
      </mc:Fallback>
    </mc:AlternateContent>
    <xdr:clientData/>
  </xdr:oneCellAnchor>
  <xdr:oneCellAnchor>
    <xdr:from>
      <xdr:col>3</xdr:col>
      <xdr:colOff>14287</xdr:colOff>
      <xdr:row>112</xdr:row>
      <xdr:rowOff>138112</xdr:rowOff>
    </xdr:from>
    <xdr:ext cx="2118016" cy="182871"/>
    <mc:AlternateContent xmlns:mc="http://schemas.openxmlformats.org/markup-compatibility/2006" xmlns:a14="http://schemas.microsoft.com/office/drawing/2010/main">
      <mc:Choice Requires="a14">
        <xdr:sp macro="" textlink="">
          <xdr:nvSpPr>
            <xdr:cNvPr id="9" name="TextBox 8">
              <a:extLst>
                <a:ext uri="{FF2B5EF4-FFF2-40B4-BE49-F238E27FC236}">
                  <a16:creationId xmlns:a16="http://schemas.microsoft.com/office/drawing/2014/main" id="{41AEC3DD-B968-638A-B039-8ADA4270C77A}"/>
                </a:ext>
              </a:extLst>
            </xdr:cNvPr>
            <xdr:cNvSpPr txBox="1"/>
          </xdr:nvSpPr>
          <xdr:spPr>
            <a:xfrm>
              <a:off x="2690812" y="28008262"/>
              <a:ext cx="2118016"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𝑗𝑚</m:t>
                        </m:r>
                        <m:r>
                          <a:rPr lang="en-AU" sz="1100" i="1">
                            <a:latin typeface="Cambria Math" panose="02040503050406030204" pitchFamily="18" charset="0"/>
                          </a:rPr>
                          <m:t>=1,</m:t>
                        </m:r>
                        <m:r>
                          <a:rPr lang="en-AU" sz="1100" i="1">
                            <a:latin typeface="Cambria Math" panose="02040503050406030204" pitchFamily="18" charset="0"/>
                          </a:rPr>
                          <m:t>𝑇</m:t>
                        </m:r>
                        <m:r>
                          <a:rPr lang="en-AU" sz="1100" i="1">
                            <a:latin typeface="Cambria Math" panose="02040503050406030204" pitchFamily="18" charset="0"/>
                          </a:rPr>
                          <m:t>=3</m:t>
                        </m:r>
                      </m:sub>
                    </m:sSub>
                    <m:r>
                      <a:rPr lang="en-AU" sz="1100" i="1">
                        <a:latin typeface="Cambria Math" panose="02040503050406030204" pitchFamily="18" charset="0"/>
                      </a:rPr>
                      <m:t>=</m:t>
                    </m:r>
                    <m:r>
                      <a:rPr lang="en-AU" sz="1100" i="1">
                        <a:latin typeface="Cambria Math" panose="02040503050406030204" pitchFamily="18" charset="0"/>
                      </a:rPr>
                      <m:t>𝐴</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𝑗𝑚</m:t>
                        </m:r>
                        <m:r>
                          <a:rPr lang="en-AU" sz="1100" i="1">
                            <a:latin typeface="Cambria Math" panose="02040503050406030204" pitchFamily="18" charset="0"/>
                          </a:rPr>
                          <m:t>=1,</m:t>
                        </m:r>
                        <m:r>
                          <a:rPr lang="en-AU" sz="1100" i="1">
                            <a:latin typeface="Cambria Math" panose="02040503050406030204" pitchFamily="18" charset="0"/>
                          </a:rPr>
                          <m:t>𝑇</m:t>
                        </m:r>
                        <m:r>
                          <a:rPr lang="en-AU" sz="1100" i="1">
                            <a:latin typeface="Cambria Math" panose="02040503050406030204" pitchFamily="18" charset="0"/>
                          </a:rPr>
                          <m:t>=3</m:t>
                        </m:r>
                      </m:sub>
                    </m:sSub>
                  </m:oMath>
                </m:oMathPara>
              </a14:m>
              <a:endParaRPr lang="en-AU" sz="1100"/>
            </a:p>
          </xdr:txBody>
        </xdr:sp>
      </mc:Choice>
      <mc:Fallback xmlns="">
        <xdr:sp macro="" textlink="">
          <xdr:nvSpPr>
            <xdr:cNvPr id="9" name="TextBox 8">
              <a:extLst>
                <a:ext uri="{FF2B5EF4-FFF2-40B4-BE49-F238E27FC236}">
                  <a16:creationId xmlns:a16="http://schemas.microsoft.com/office/drawing/2014/main" id="{41AEC3DD-B968-638A-B039-8ADA4270C77A}"/>
                </a:ext>
              </a:extLst>
            </xdr:cNvPr>
            <xdr:cNvSpPr txBox="1"/>
          </xdr:nvSpPr>
          <xdr:spPr>
            <a:xfrm>
              <a:off x="2690812" y="28008262"/>
              <a:ext cx="2118016"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𝑀𝑁_(𝑗𝑚=1,𝑇=3)=𝐴𝐸_𝑗×𝑀𝑀𝑆_(𝑗𝑚=1,𝑇=3)</a:t>
              </a:r>
              <a:endParaRPr lang="en-AU" sz="1100"/>
            </a:p>
          </xdr:txBody>
        </xdr:sp>
      </mc:Fallback>
    </mc:AlternateContent>
    <xdr:clientData/>
  </xdr:oneCellAnchor>
  <xdr:oneCellAnchor>
    <xdr:from>
      <xdr:col>2</xdr:col>
      <xdr:colOff>309562</xdr:colOff>
      <xdr:row>181</xdr:row>
      <xdr:rowOff>138112</xdr:rowOff>
    </xdr:from>
    <xdr:ext cx="3236784" cy="429926"/>
    <mc:AlternateContent xmlns:mc="http://schemas.openxmlformats.org/markup-compatibility/2006" xmlns:a14="http://schemas.microsoft.com/office/drawing/2010/main">
      <mc:Choice Requires="a14">
        <xdr:sp macro="" textlink="">
          <xdr:nvSpPr>
            <xdr:cNvPr id="10" name="TextBox 9">
              <a:extLst>
                <a:ext uri="{FF2B5EF4-FFF2-40B4-BE49-F238E27FC236}">
                  <a16:creationId xmlns:a16="http://schemas.microsoft.com/office/drawing/2014/main" id="{AF8CD801-C054-CDC2-C2C2-8AA899BCC360}"/>
                </a:ext>
              </a:extLst>
            </xdr:cNvPr>
            <xdr:cNvSpPr txBox="1"/>
          </xdr:nvSpPr>
          <xdr:spPr>
            <a:xfrm>
              <a:off x="2671762" y="44229337"/>
              <a:ext cx="3236784"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𝑑𝑖𝑟</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𝑇</m:t>
                                </m:r>
                              </m:sub>
                              <m:sup/>
                              <m:e>
                                <m:d>
                                  <m:dPr>
                                    <m:ctrlPr>
                                      <a:rPr lang="en-AU" sz="1100" i="1">
                                        <a:latin typeface="Cambria Math" panose="02040503050406030204" pitchFamily="18" charset="0"/>
                                      </a:rPr>
                                    </m:ctrlPr>
                                  </m:dPr>
                                  <m:e>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𝑗𝑚𝑇</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𝑗𝑚</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e>
                                </m:d>
                              </m:e>
                            </m:nary>
                          </m:e>
                        </m:nary>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10" name="TextBox 9">
              <a:extLst>
                <a:ext uri="{FF2B5EF4-FFF2-40B4-BE49-F238E27FC236}">
                  <a16:creationId xmlns:a16="http://schemas.microsoft.com/office/drawing/2014/main" id="{AF8CD801-C054-CDC2-C2C2-8AA899BCC360}"/>
                </a:ext>
              </a:extLst>
            </xdr:cNvPr>
            <xdr:cNvSpPr txBox="1"/>
          </xdr:nvSpPr>
          <xdr:spPr>
            <a:xfrm>
              <a:off x="2671762" y="44229337"/>
              <a:ext cx="3236784"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𝐸_(𝑁2𝑂,𝑑𝑖𝑟)=∑_𝑗▒∑_𝑚▒∑_𝑇▒(𝑀𝑁_𝑗𝑚𝑇×𝐸𝐹_𝑗𝑚×𝐶_𝑁2𝑂 ) ×10^(−3)</a:t>
              </a:r>
              <a:endParaRPr lang="en-AU" sz="1100"/>
            </a:p>
          </xdr:txBody>
        </xdr:sp>
      </mc:Fallback>
    </mc:AlternateContent>
    <xdr:clientData/>
  </xdr:oneCellAnchor>
</xdr:wsDr>
</file>

<file path=xl/drawings/drawing5.xml><?xml version="1.0" encoding="utf-8"?>
<xdr:wsDr xmlns:xdr="http://schemas.openxmlformats.org/drawingml/2006/spreadsheetDrawing" xmlns:a="http://schemas.openxmlformats.org/drawingml/2006/main">
  <xdr:oneCellAnchor>
    <xdr:from>
      <xdr:col>2</xdr:col>
      <xdr:colOff>309562</xdr:colOff>
      <xdr:row>7</xdr:row>
      <xdr:rowOff>166687</xdr:rowOff>
    </xdr:from>
    <xdr:ext cx="3032882" cy="429926"/>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6D7DD845-09DD-AE9D-3D44-5C1F1777C524}"/>
                </a:ext>
              </a:extLst>
            </xdr:cNvPr>
            <xdr:cNvSpPr txBox="1"/>
          </xdr:nvSpPr>
          <xdr:spPr>
            <a:xfrm>
              <a:off x="2671762" y="2033587"/>
              <a:ext cx="3032882"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𝐴𝑇𝑀𝑂𝑆</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𝑇</m:t>
                                </m:r>
                              </m:sub>
                              <m:sup/>
                              <m:e>
                                <m:d>
                                  <m:dPr>
                                    <m:ctrlPr>
                                      <a:rPr lang="en-AU" sz="1100" i="1">
                                        <a:latin typeface="Cambria Math" panose="02040503050406030204" pitchFamily="18" charset="0"/>
                                      </a:rPr>
                                    </m:ctrlPr>
                                  </m:dPr>
                                  <m:e>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𝑗𝑚𝑇</m:t>
                                        </m:r>
                                      </m:sub>
                                    </m:sSub>
                                    <m:r>
                                      <a:rPr lang="en-AU" sz="1100" i="1">
                                        <a:latin typeface="Cambria Math" panose="02040503050406030204" pitchFamily="18" charset="0"/>
                                      </a:rPr>
                                      <m:t>×</m:t>
                                    </m:r>
                                    <m:r>
                                      <a:rPr lang="en-AU" sz="1100" i="1">
                                        <a:latin typeface="Cambria Math" panose="02040503050406030204" pitchFamily="18" charset="0"/>
                                      </a:rPr>
                                      <m:t>𝐹𝑟𝑎𝑐𝐺𝐴𝑆</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𝑚𝑇</m:t>
                                        </m:r>
                                      </m:sub>
                                    </m:sSub>
                                  </m:e>
                                </m:d>
                              </m:e>
                            </m:nary>
                          </m:e>
                        </m:nary>
                      </m:e>
                    </m:nary>
                  </m:oMath>
                </m:oMathPara>
              </a14:m>
              <a:endParaRPr lang="en-AU" sz="1100"/>
            </a:p>
          </xdr:txBody>
        </xdr:sp>
      </mc:Choice>
      <mc:Fallback xmlns="">
        <xdr:sp macro="" textlink="">
          <xdr:nvSpPr>
            <xdr:cNvPr id="2" name="TextBox 1">
              <a:extLst>
                <a:ext uri="{FF2B5EF4-FFF2-40B4-BE49-F238E27FC236}">
                  <a16:creationId xmlns:a16="http://schemas.microsoft.com/office/drawing/2014/main" id="{6D7DD845-09DD-AE9D-3D44-5C1F1777C524}"/>
                </a:ext>
              </a:extLst>
            </xdr:cNvPr>
            <xdr:cNvSpPr txBox="1"/>
          </xdr:nvSpPr>
          <xdr:spPr>
            <a:xfrm>
              <a:off x="2671762" y="2033587"/>
              <a:ext cx="3032882"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𝑀𝑀𝑆_𝐴𝑇𝑀𝑂𝑆=∑8_𝑗▒∑8_𝑚▒∑8_𝑇▒(𝑀𝑁_𝑗𝑚𝑇×𝐹𝑟𝑎𝑐𝐺𝐴𝑆𝑀_𝑚𝑇 ) </a:t>
              </a:r>
              <a:endParaRPr lang="en-AU" sz="1100"/>
            </a:p>
          </xdr:txBody>
        </xdr:sp>
      </mc:Fallback>
    </mc:AlternateContent>
    <xdr:clientData/>
  </xdr:oneCellAnchor>
  <xdr:oneCellAnchor>
    <xdr:from>
      <xdr:col>3</xdr:col>
      <xdr:colOff>14287</xdr:colOff>
      <xdr:row>52</xdr:row>
      <xdr:rowOff>138112</xdr:rowOff>
    </xdr:from>
    <xdr:ext cx="2914836" cy="180114"/>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FA9A526F-039B-A542-A6DE-A37AC4F4381A}"/>
                </a:ext>
              </a:extLst>
            </xdr:cNvPr>
            <xdr:cNvSpPr txBox="1"/>
          </xdr:nvSpPr>
          <xdr:spPr>
            <a:xfrm>
              <a:off x="2690812" y="11911012"/>
              <a:ext cx="2914836"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𝑎𝑑</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𝐴𝑇𝑀𝑂𝑆</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3" name="TextBox 2">
              <a:extLst>
                <a:ext uri="{FF2B5EF4-FFF2-40B4-BE49-F238E27FC236}">
                  <a16:creationId xmlns:a16="http://schemas.microsoft.com/office/drawing/2014/main" id="{FA9A526F-039B-A542-A6DE-A37AC4F4381A}"/>
                </a:ext>
              </a:extLst>
            </xdr:cNvPr>
            <xdr:cNvSpPr txBox="1"/>
          </xdr:nvSpPr>
          <xdr:spPr>
            <a:xfrm>
              <a:off x="2690812" y="11911012"/>
              <a:ext cx="2914836"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𝐸_(𝑁2𝑂,𝑎𝑑)=(𝑀𝑀𝑆_𝐴𝑇𝑀𝑂𝑆×𝐸𝐹_𝑁2𝑂×𝐶_𝑁2𝑂 )×10^(−3)</a:t>
              </a:r>
              <a:endParaRPr lang="en-AU" sz="1100"/>
            </a:p>
          </xdr:txBody>
        </xdr:sp>
      </mc:Fallback>
    </mc:AlternateContent>
    <xdr:clientData/>
  </xdr:oneCellAnchor>
</xdr:wsDr>
</file>

<file path=xl/drawings/drawing6.xml><?xml version="1.0" encoding="utf-8"?>
<xdr:wsDr xmlns:xdr="http://schemas.openxmlformats.org/drawingml/2006/spreadsheetDrawing" xmlns:a="http://schemas.openxmlformats.org/drawingml/2006/main">
  <xdr:oneCellAnchor>
    <xdr:from>
      <xdr:col>2</xdr:col>
      <xdr:colOff>309562</xdr:colOff>
      <xdr:row>7</xdr:row>
      <xdr:rowOff>138112</xdr:rowOff>
    </xdr:from>
    <xdr:ext cx="5081776" cy="429926"/>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49C16F34-0FB7-CBFB-7AF7-18714D40E30E}"/>
                </a:ext>
              </a:extLst>
            </xdr:cNvPr>
            <xdr:cNvSpPr txBox="1"/>
          </xdr:nvSpPr>
          <xdr:spPr>
            <a:xfrm>
              <a:off x="2671762" y="2005012"/>
              <a:ext cx="5081776"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𝑀𝑁𝑆𝑜𝑖</m:t>
                    </m:r>
                    <m:sSub>
                      <m:sSubPr>
                        <m:ctrlPr>
                          <a:rPr lang="en-AU" sz="1100" i="1">
                            <a:latin typeface="Cambria Math" panose="02040503050406030204" pitchFamily="18" charset="0"/>
                          </a:rPr>
                        </m:ctrlPr>
                      </m:sSubPr>
                      <m:e>
                        <m:r>
                          <a:rPr lang="en-AU" sz="1100" i="1">
                            <a:latin typeface="Cambria Math" panose="02040503050406030204" pitchFamily="18" charset="0"/>
                          </a:rPr>
                          <m:t>𝑙</m:t>
                        </m:r>
                      </m:e>
                      <m:sub>
                        <m:r>
                          <a:rPr lang="en-AU" sz="1100" i="1">
                            <a:latin typeface="Cambria Math" panose="02040503050406030204" pitchFamily="18" charset="0"/>
                          </a:rPr>
                          <m:t>𝑠𝑐𝑜𝑝𝑒</m:t>
                        </m:r>
                        <m:r>
                          <a:rPr lang="en-AU" sz="1100" i="1">
                            <a:latin typeface="Cambria Math" panose="02040503050406030204" pitchFamily="18" charset="0"/>
                          </a:rPr>
                          <m:t>1</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𝑇</m:t>
                                </m:r>
                              </m:sub>
                              <m:sup/>
                              <m:e>
                                <m:d>
                                  <m:dPr>
                                    <m:ctrlPr>
                                      <a:rPr lang="en-AU" sz="1100" i="1">
                                        <a:latin typeface="Cambria Math" panose="02040503050406030204" pitchFamily="18" charset="0"/>
                                      </a:rPr>
                                    </m:ctrlPr>
                                  </m:dPr>
                                  <m:e>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𝑗𝑚𝑇</m:t>
                                        </m:r>
                                        <m:r>
                                          <a:rPr lang="en-AU" sz="1100" i="1">
                                            <a:latin typeface="Cambria Math" panose="02040503050406030204" pitchFamily="18" charset="0"/>
                                          </a:rPr>
                                          <m:t>=2,3</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𝑚𝑇</m:t>
                                            </m:r>
                                            <m:r>
                                              <a:rPr lang="en-AU" sz="1100" i="1">
                                                <a:latin typeface="Cambria Math" panose="02040503050406030204" pitchFamily="18" charset="0"/>
                                              </a:rPr>
                                              <m:t>=2,3</m:t>
                                            </m:r>
                                          </m:sub>
                                        </m:sSub>
                                        <m:r>
                                          <a:rPr lang="en-AU" sz="1100" i="1">
                                            <a:latin typeface="Cambria Math" panose="02040503050406030204" pitchFamily="18" charset="0"/>
                                          </a:rPr>
                                          <m:t>−</m:t>
                                        </m:r>
                                        <m:r>
                                          <a:rPr lang="en-AU" sz="1100" i="1">
                                            <a:latin typeface="Cambria Math" panose="02040503050406030204" pitchFamily="18" charset="0"/>
                                          </a:rPr>
                                          <m:t>𝐹𝑟𝑎𝑐𝐺𝐴𝑆</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𝑚𝑇</m:t>
                                            </m:r>
                                            <m:r>
                                              <a:rPr lang="en-AU" sz="1100" i="1">
                                                <a:latin typeface="Cambria Math" panose="02040503050406030204" pitchFamily="18" charset="0"/>
                                              </a:rPr>
                                              <m:t>=2,3</m:t>
                                            </m:r>
                                          </m:sub>
                                        </m:sSub>
                                      </m:e>
                                    </m:d>
                                  </m:e>
                                </m:d>
                              </m:e>
                            </m:nary>
                          </m:e>
                        </m:nary>
                      </m:e>
                    </m:nary>
                    <m:r>
                      <a:rPr lang="en-AU" sz="1100" i="1">
                        <a:latin typeface="Cambria Math" panose="02040503050406030204" pitchFamily="18" charset="0"/>
                      </a:rPr>
                      <m:t>×</m:t>
                    </m:r>
                    <m:r>
                      <a:rPr lang="en-AU" sz="1100" i="1">
                        <a:latin typeface="Cambria Math" panose="02040503050406030204" pitchFamily="18" charset="0"/>
                      </a:rPr>
                      <m:t>𝑃𝐹</m:t>
                    </m:r>
                  </m:oMath>
                </m:oMathPara>
              </a14:m>
              <a:endParaRPr lang="en-AU" sz="1100"/>
            </a:p>
          </xdr:txBody>
        </xdr:sp>
      </mc:Choice>
      <mc:Fallback xmlns="">
        <xdr:sp macro="" textlink="">
          <xdr:nvSpPr>
            <xdr:cNvPr id="2" name="TextBox 1">
              <a:extLst>
                <a:ext uri="{FF2B5EF4-FFF2-40B4-BE49-F238E27FC236}">
                  <a16:creationId xmlns:a16="http://schemas.microsoft.com/office/drawing/2014/main" id="{49C16F34-0FB7-CBFB-7AF7-18714D40E30E}"/>
                </a:ext>
              </a:extLst>
            </xdr:cNvPr>
            <xdr:cNvSpPr txBox="1"/>
          </xdr:nvSpPr>
          <xdr:spPr>
            <a:xfrm>
              <a:off x="2671762" y="2005012"/>
              <a:ext cx="5081776"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𝑀𝑁𝑆𝑜𝑖𝑙_𝑠𝑐𝑜𝑝𝑒1=∑8_𝑗▒∑8_𝑚▒∑8_𝑇▒(𝑀𝑁_(𝑗𝑚𝑇=2,3)×(1−𝐸𝐹_(𝑚𝑇=2,3)−𝐹𝑟𝑎𝑐𝐺𝐴𝑆𝑀_(𝑚𝑇=2,3) )) ×𝑃𝐹</a:t>
              </a:r>
              <a:endParaRPr lang="en-AU" sz="1100"/>
            </a:p>
          </xdr:txBody>
        </xdr:sp>
      </mc:Fallback>
    </mc:AlternateContent>
    <xdr:clientData/>
  </xdr:oneCellAnchor>
  <xdr:oneCellAnchor>
    <xdr:from>
      <xdr:col>3</xdr:col>
      <xdr:colOff>14287</xdr:colOff>
      <xdr:row>67</xdr:row>
      <xdr:rowOff>147637</xdr:rowOff>
    </xdr:from>
    <xdr:ext cx="5445080" cy="429926"/>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0B26EC1C-A1D3-9549-A900-9E039B9260AA}"/>
                </a:ext>
              </a:extLst>
            </xdr:cNvPr>
            <xdr:cNvSpPr txBox="1"/>
          </xdr:nvSpPr>
          <xdr:spPr>
            <a:xfrm>
              <a:off x="2690812" y="15635287"/>
              <a:ext cx="5445080"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𝑀𝑁𝑆𝑜𝑖</m:t>
                    </m:r>
                    <m:sSub>
                      <m:sSubPr>
                        <m:ctrlPr>
                          <a:rPr lang="en-AU" sz="1100" i="1">
                            <a:latin typeface="Cambria Math" panose="02040503050406030204" pitchFamily="18" charset="0"/>
                          </a:rPr>
                        </m:ctrlPr>
                      </m:sSubPr>
                      <m:e>
                        <m:r>
                          <a:rPr lang="en-AU" sz="1100" i="1">
                            <a:latin typeface="Cambria Math" panose="02040503050406030204" pitchFamily="18" charset="0"/>
                          </a:rPr>
                          <m:t>𝑙</m:t>
                        </m:r>
                      </m:e>
                      <m:sub>
                        <m:r>
                          <a:rPr lang="en-AU" sz="1100" i="1">
                            <a:latin typeface="Cambria Math" panose="02040503050406030204" pitchFamily="18" charset="0"/>
                          </a:rPr>
                          <m:t>𝑠𝑐𝑜𝑝𝑒</m:t>
                        </m:r>
                        <m:r>
                          <a:rPr lang="en-AU" sz="1100" i="1">
                            <a:latin typeface="Cambria Math" panose="02040503050406030204" pitchFamily="18" charset="0"/>
                          </a:rPr>
                          <m:t>3</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𝑇</m:t>
                                </m:r>
                              </m:sub>
                              <m:sup/>
                              <m:e>
                                <m:d>
                                  <m:dPr>
                                    <m:ctrlPr>
                                      <a:rPr lang="en-AU" sz="1100" i="1">
                                        <a:latin typeface="Cambria Math" panose="02040503050406030204" pitchFamily="18" charset="0"/>
                                      </a:rPr>
                                    </m:ctrlPr>
                                  </m:dPr>
                                  <m:e>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𝑗𝑚𝑇</m:t>
                                        </m:r>
                                        <m:r>
                                          <a:rPr lang="en-AU" sz="1100" i="1">
                                            <a:latin typeface="Cambria Math" panose="02040503050406030204" pitchFamily="18" charset="0"/>
                                          </a:rPr>
                                          <m:t>=2,3</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𝑚𝑇</m:t>
                                            </m:r>
                                            <m:r>
                                              <a:rPr lang="en-AU" sz="1100" i="1">
                                                <a:latin typeface="Cambria Math" panose="02040503050406030204" pitchFamily="18" charset="0"/>
                                              </a:rPr>
                                              <m:t>=2,3</m:t>
                                            </m:r>
                                          </m:sub>
                                        </m:sSub>
                                        <m:r>
                                          <a:rPr lang="en-AU" sz="1100" i="1">
                                            <a:latin typeface="Cambria Math" panose="02040503050406030204" pitchFamily="18" charset="0"/>
                                          </a:rPr>
                                          <m:t>−</m:t>
                                        </m:r>
                                        <m:r>
                                          <a:rPr lang="en-AU" sz="1100" i="1">
                                            <a:latin typeface="Cambria Math" panose="02040503050406030204" pitchFamily="18" charset="0"/>
                                          </a:rPr>
                                          <m:t>𝐹𝑟𝑎𝑐𝐺𝐴𝑆</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𝑚𝑇</m:t>
                                            </m:r>
                                            <m:r>
                                              <a:rPr lang="en-AU" sz="1100" i="1">
                                                <a:latin typeface="Cambria Math" panose="02040503050406030204" pitchFamily="18" charset="0"/>
                                              </a:rPr>
                                              <m:t>=2,3</m:t>
                                            </m:r>
                                          </m:sub>
                                        </m:sSub>
                                      </m:e>
                                    </m:d>
                                  </m:e>
                                </m:d>
                              </m:e>
                            </m:nary>
                          </m:e>
                        </m:nary>
                      </m:e>
                    </m:nary>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r>
                          <a:rPr lang="en-AU" sz="1100" i="1">
                            <a:latin typeface="Cambria Math" panose="02040503050406030204" pitchFamily="18" charset="0"/>
                          </a:rPr>
                          <m:t>𝑃𝐹</m:t>
                        </m:r>
                      </m:e>
                    </m:d>
                  </m:oMath>
                </m:oMathPara>
              </a14:m>
              <a:endParaRPr lang="en-AU" sz="1100"/>
            </a:p>
          </xdr:txBody>
        </xdr:sp>
      </mc:Choice>
      <mc:Fallback xmlns="">
        <xdr:sp macro="" textlink="">
          <xdr:nvSpPr>
            <xdr:cNvPr id="3" name="TextBox 2">
              <a:extLst>
                <a:ext uri="{FF2B5EF4-FFF2-40B4-BE49-F238E27FC236}">
                  <a16:creationId xmlns:a16="http://schemas.microsoft.com/office/drawing/2014/main" id="{0B26EC1C-A1D3-9549-A900-9E039B9260AA}"/>
                </a:ext>
              </a:extLst>
            </xdr:cNvPr>
            <xdr:cNvSpPr txBox="1"/>
          </xdr:nvSpPr>
          <xdr:spPr>
            <a:xfrm>
              <a:off x="2690812" y="15635287"/>
              <a:ext cx="5445080"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𝑀𝑁𝑆𝑜𝑖𝑙_𝑠𝑐𝑜𝑝𝑒3=∑_𝑗▒∑_𝑚▒∑_𝑇▒(𝑀𝑁_(𝑗𝑚𝑇=2,3)×(1−𝐸𝐹_(𝑚𝑇=2,3)−𝐹𝑟𝑎𝑐𝐺𝐴𝑆𝑀_(𝑚𝑇=2,3) )) ×(1−𝑃𝐹)</a:t>
              </a:r>
              <a:endParaRPr lang="en-AU" sz="1100"/>
            </a:p>
          </xdr:txBody>
        </xdr:sp>
      </mc:Fallback>
    </mc:AlternateContent>
    <xdr:clientData/>
  </xdr:oneCellAnchor>
</xdr:wsDr>
</file>

<file path=xl/richData/_rels/richValueRel.xml.rels><?xml version="1.0" encoding="UTF-8" standalone="yes"?>
<Relationships xmlns="http://schemas.openxmlformats.org/package/2006/relationships"><Relationship Id="rId1" Type="http://schemas.openxmlformats.org/officeDocument/2006/relationships/image" Target="../media/image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1">
  <rv s="0">
    <v>0</v>
    <v>5</v>
  </rv>
</rvData>
</file>

<file path=xl/richData/rdrichvaluestructure.xml><?xml version="1.0" encoding="utf-8"?>
<rvStructures xmlns="http://schemas.microsoft.com/office/spreadsheetml/2017/richdata" count="1">
  <s t="_localImage">
    <k n="_rvRel:LocalImageIdentifier" t="i"/>
    <k n="CalcOrigin" t="i"/>
  </s>
</rvStructures>
</file>

<file path=xl/richData/richValueRel.xml><?xml version="1.0" encoding="utf-8"?>
<richValueRels xmlns="http://schemas.microsoft.com/office/spreadsheetml/2022/richvaluerel" xmlns:r="http://schemas.openxmlformats.org/officeDocument/2006/relationships">
  <rel r:id="rId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7" xr:uid="{3166EBA0-AB26-48BA-9789-AEA997D57851}" name="Table_SourceData_Feedlot_MCF" displayName="Table_SourceData_Feedlot_MCF" ref="D88:N93" totalsRowShown="0">
  <autoFilter ref="D88:N93" xr:uid="{3166EBA0-AB26-48BA-9789-AEA997D5785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autoFilter>
  <tableColumns count="11">
    <tableColumn id="1" xr3:uid="{3885FE93-299E-44EB-B503-99C305BD6F41}" name="Treatment stage T">
      <calculatedColumnFormula array="1">Common_InputFunctions.Utility_DisplayArrayInTable(SourceData_Feedlot.SourceData_Feedlot_MCF_Data(), Table_SourceData_Feedlot_MCF[[#Headers],[Treatment stage T]], 0)</calculatedColumnFormula>
    </tableColumn>
    <tableColumn id="2" xr3:uid="{D0E12F95-AC29-47D0-913A-0A0B02931616}" name="MMS m" dataDxfId="64" dataCellStyle="Content normal">
      <calculatedColumnFormula array="1">Common_InputFunctions.Utility_DisplayArrayInTable(SourceData_Feedlot.SourceData_Feedlot_MCF_Data(), Table_SourceData_Feedlot_MCF[[#Headers],[Treatment stage T]], 0)</calculatedColumnFormula>
    </tableColumn>
    <tableColumn id="3" xr3:uid="{E17BE7AB-8FAD-4B5C-9F86-E70E6A00B9B1}" name="NSW" dataDxfId="63" dataCellStyle="Content normal">
      <calculatedColumnFormula array="1">Common_InputFunctions.Utility_DisplayArrayInTable(SourceData_Feedlot.SourceData_Feedlot_MCF_Data(), Table_SourceData_Feedlot_MCF[[#Headers],[Treatment stage T]], 0)</calculatedColumnFormula>
    </tableColumn>
    <tableColumn id="4" xr3:uid="{D4C6F922-2719-4479-B7CC-26C5286F73ED}" name="ACT" dataDxfId="62" dataCellStyle="Content normal">
      <calculatedColumnFormula array="1">Common_InputFunctions.Utility_DisplayArrayInTable(SourceData_Feedlot.SourceData_Feedlot_MCF_Data(), Table_SourceData_Feedlot_MCF[[#Headers],[Treatment stage T]], 0)</calculatedColumnFormula>
    </tableColumn>
    <tableColumn id="5" xr3:uid="{5034DCA1-F046-43BC-A94F-832832E6D634}" name="QLD" dataDxfId="61" dataCellStyle="Content normal">
      <calculatedColumnFormula array="1">Common_InputFunctions.Utility_DisplayArrayInTable(SourceData_Feedlot.SourceData_Feedlot_MCF_Data(), Table_SourceData_Feedlot_MCF[[#Headers],[Treatment stage T]], 0)</calculatedColumnFormula>
    </tableColumn>
    <tableColumn id="6" xr3:uid="{186521AB-DFC2-4E3B-A674-A5382DCC5ACD}" name="NT" dataDxfId="60" dataCellStyle="Content normal">
      <calculatedColumnFormula array="1">Common_InputFunctions.Utility_DisplayArrayInTable(SourceData_Feedlot.SourceData_Feedlot_MCF_Data(), Table_SourceData_Feedlot_MCF[[#Headers],[Treatment stage T]], 0)</calculatedColumnFormula>
    </tableColumn>
    <tableColumn id="7" xr3:uid="{95F9E197-F85F-424A-B68D-774604116729}" name="SA" dataDxfId="59" dataCellStyle="Content normal">
      <calculatedColumnFormula array="1">Common_InputFunctions.Utility_DisplayArrayInTable(SourceData_Feedlot.SourceData_Feedlot_MCF_Data(), Table_SourceData_Feedlot_MCF[[#Headers],[Treatment stage T]], 0)</calculatedColumnFormula>
    </tableColumn>
    <tableColumn id="8" xr3:uid="{A6DDF652-660B-4C41-982D-FECC3B1142AF}" name="VIC" dataDxfId="58" dataCellStyle="Content normal">
      <calculatedColumnFormula array="1">Common_InputFunctions.Utility_DisplayArrayInTable(SourceData_Feedlot.SourceData_Feedlot_MCF_Data(), Table_SourceData_Feedlot_MCF[[#Headers],[Treatment stage T]], 0)</calculatedColumnFormula>
    </tableColumn>
    <tableColumn id="9" xr3:uid="{5163E1D2-D984-4DBA-95A9-1667F628B2D9}" name="WA" dataDxfId="57" dataCellStyle="Content normal">
      <calculatedColumnFormula array="1">Common_InputFunctions.Utility_DisplayArrayInTable(SourceData_Feedlot.SourceData_Feedlot_MCF_Data(), Table_SourceData_Feedlot_MCF[[#Headers],[Treatment stage T]], 0)</calculatedColumnFormula>
    </tableColumn>
    <tableColumn id="10" xr3:uid="{A0E67108-978C-4849-A310-69F8E4739C6D}" name="TAS" dataDxfId="56" dataCellStyle="Content normal">
      <calculatedColumnFormula array="1">Common_InputFunctions.Utility_DisplayArrayInTable(SourceData_Feedlot.SourceData_Feedlot_MCF_Data(), Table_SourceData_Feedlot_MCF[[#Headers],[Treatment stage T]], 0)</calculatedColumnFormula>
    </tableColumn>
    <tableColumn id="11" xr3:uid="{27E929DD-0554-43B8-A58C-34B0A39F2EBA}" name="NIR definition" dataDxfId="55" dataCellStyle="Content normal">
      <calculatedColumnFormula array="1">Common_InputFunctions.Utility_DisplayArrayInTable(SourceData_Feedlot.SourceData_Feedlot_MCF_Data(), Table_SourceData_Feedlot_MCF[[#Headers],[Treatment stage T]], 0)</calculatedColumnFormula>
    </tableColumn>
  </tableColumns>
  <tableStyleInfo name="Equation table"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8" xr:uid="{D5C443B2-EDE2-4250-B2EE-016878D19AD9}" name="Table_SourceData_FeedlotMMS" displayName="Table_SourceData_FeedlotMMS" ref="D27:E32" totalsRowShown="0">
  <autoFilter ref="D27:E32" xr:uid="{D5C443B2-EDE2-4250-B2EE-016878D19AD9}">
    <filterColumn colId="0" hiddenButton="1"/>
    <filterColumn colId="1" hiddenButton="1"/>
  </autoFilter>
  <tableColumns count="2">
    <tableColumn id="1" xr3:uid="{F2B173A3-CADE-4DCA-988D-39EE2392D8DB}" name="MMS"/>
    <tableColumn id="2" xr3:uid="{67006656-167A-4452-9820-88D798B88ADD}" name="Symbol and MMS" dataDxfId="54" dataCellStyle="Content normal"/>
  </tableColumns>
  <tableStyleInfo name="Equation table"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8B318E90-60C0-4182-A7EC-FD8430FACD15}" name="Table_SourceData_Feedlot_DietProperties" displayName="Table_SourceData_Feedlot_DietProperties" ref="D66:J78" totalsRowShown="0">
  <autoFilter ref="D66:J78" xr:uid="{8B318E90-60C0-4182-A7EC-FD8430FACD15}">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1" xr3:uid="{FDCB848C-205F-48EA-BACF-F54BCD324E05}" name="Feedlot type">
      <calculatedColumnFormula array="1">Common_InputFunctions.Utility_DisplayArrayInTable(SourceData_Feedlot.SourceData_Feedlot_DietProperties_Data(), Table_SourceData_Feedlot_DietProperties[[#Headers],[Feedlot type]], 0)</calculatedColumnFormula>
    </tableColumn>
    <tableColumn id="2" xr3:uid="{3306F917-B06C-4CC9-B1B1-D97D858E6DAA}" name="Nutrient analysis" dataDxfId="53" dataCellStyle="Content normal">
      <calculatedColumnFormula array="1">Common_InputFunctions.Utility_DisplayArrayInTable(SourceData_Feedlot.SourceData_Feedlot_DietProperties_Data(), Table_SourceData_Feedlot_DietProperties[[#Headers],[Feedlot type]], 0)</calculatedColumnFormula>
    </tableColumn>
    <tableColumn id="3" xr3:uid="{F162F7C2-B0FA-499A-BD58-855C4DF97FA8}" name="Unit" dataDxfId="52" dataCellStyle="Content normal">
      <calculatedColumnFormula array="1">Common_InputFunctions.Utility_DisplayArrayInTable(SourceData_Feedlot.SourceData_Feedlot_DietProperties_Data(), Table_SourceData_Feedlot_DietProperties[[#Headers],[Feedlot type]], 0)</calculatedColumnFormula>
    </tableColumn>
    <tableColumn id="4" xr3:uid="{D395A9F5-9A85-4032-A7C1-EC470516DD87}" name="2010-2014" dataDxfId="51" dataCellStyle="Content normal">
      <calculatedColumnFormula array="1">Common_InputFunctions.Utility_DisplayArrayInTable(SourceData_Feedlot.SourceData_Feedlot_DietProperties_Data(), Table_SourceData_Feedlot_DietProperties[[#Headers],[Feedlot type]], 0)</calculatedColumnFormula>
    </tableColumn>
    <tableColumn id="5" xr3:uid="{B149E561-7044-4839-B850-C751ABC364C9}" name="2015-2019" dataDxfId="50" dataCellStyle="Content normal">
      <calculatedColumnFormula array="1">Common_InputFunctions.Utility_DisplayArrayInTable(SourceData_Feedlot.SourceData_Feedlot_DietProperties_Data(), Table_SourceData_Feedlot_DietProperties[[#Headers],[Feedlot type]], 0)</calculatedColumnFormula>
    </tableColumn>
    <tableColumn id="6" xr3:uid="{ECEB8E53-4880-43AE-9D36-F969D05BCB18}" name="2020-2023" dataDxfId="49" dataCellStyle="Content normal">
      <calculatedColumnFormula array="1">Common_InputFunctions.Utility_DisplayArrayInTable(SourceData_Feedlot.SourceData_Feedlot_DietProperties_Data(), Table_SourceData_Feedlot_DietProperties[[#Headers],[Feedlot type]], 0)</calculatedColumnFormula>
    </tableColumn>
    <tableColumn id="7" xr3:uid="{3B7FAEA4-08D7-48B2-9062-7D93639222CC}" name="2020-2023 Converted to fraction" dataDxfId="48" dataCellStyle="Content normal">
      <calculatedColumnFormula array="1">Common_InputFunctions.Utility_DisplayArrayInTable(SourceData_Feedlot.SourceData_Feedlot_DietProperties_Data(), Table_SourceData_Feedlot_DietProperties[[#Headers],[Feedlot type]], 0)</calculatedColumnFormula>
    </tableColumn>
  </tableColumns>
  <tableStyleInfo name="Equation table"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F6817C83-F195-4AEF-95F6-F63A097B09DF}" name="Table_SourceData_Feedlot_AnimalCharacteristics" displayName="Table_SourceData_Feedlot_AnimalCharacteristics" ref="D49:J58" totalsRowShown="0">
  <autoFilter ref="D49:J58" xr:uid="{F6817C83-F195-4AEF-95F6-F63A097B09DF}">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1" xr3:uid="{96F6B4E3-E1EE-445F-9BCE-628B89FC3727}" name="Feedlot type">
      <calculatedColumnFormula array="1">Common_InputFunctions.Utility_DisplayArrayInTable(SourceData_Feedlot.SourceData_Feedlot_AnimalCharacteristics_Data(), Table_SourceData_Feedlot_AnimalCharacteristics[[#Headers],[Feedlot type]], 0)</calculatedColumnFormula>
    </tableColumn>
    <tableColumn id="2" xr3:uid="{6B651FD0-BCF6-4081-8A93-6B21A1D6CA99}" name="Characteristic" dataDxfId="47" dataCellStyle="Content normal">
      <calculatedColumnFormula array="1">Common_InputFunctions.Utility_DisplayArrayInTable(SourceData_Feedlot.SourceData_Feedlot_AnimalCharacteristics_Data(), Table_SourceData_Feedlot_AnimalCharacteristics[[#Headers],[Feedlot type]], 0)</calculatedColumnFormula>
    </tableColumn>
    <tableColumn id="3" xr3:uid="{3F266A2B-76EA-4E95-B049-75B8E4AB351F}" name="Unit" dataDxfId="46" dataCellStyle="Content normal">
      <calculatedColumnFormula array="1">Common_InputFunctions.Utility_DisplayArrayInTable(SourceData_Feedlot.SourceData_Feedlot_AnimalCharacteristics_Data(), Table_SourceData_Feedlot_AnimalCharacteristics[[#Headers],[Feedlot type]], 0)</calculatedColumnFormula>
    </tableColumn>
    <tableColumn id="4" xr3:uid="{15472767-3F72-4A65-88AC-C3242A8E1662}" name="2005-2009" dataDxfId="45" dataCellStyle="Content normal">
      <calculatedColumnFormula array="1">Common_InputFunctions.Utility_DisplayArrayInTable(SourceData_Feedlot.SourceData_Feedlot_AnimalCharacteristics_Data(), Table_SourceData_Feedlot_AnimalCharacteristics[[#Headers],[Feedlot type]], 0)</calculatedColumnFormula>
    </tableColumn>
    <tableColumn id="5" xr3:uid="{5F74A8B9-7EFB-4457-8ADA-5E1ABA9DA889}" name="2010-2014" dataDxfId="44" dataCellStyle="Content normal">
      <calculatedColumnFormula array="1">Common_InputFunctions.Utility_DisplayArrayInTable(SourceData_Feedlot.SourceData_Feedlot_AnimalCharacteristics_Data(), Table_SourceData_Feedlot_AnimalCharacteristics[[#Headers],[Feedlot type]], 0)</calculatedColumnFormula>
    </tableColumn>
    <tableColumn id="6" xr3:uid="{E54F2812-2E8B-41EB-98A8-46890B5B4E13}" name="2015-2019" dataDxfId="43" dataCellStyle="Content normal">
      <calculatedColumnFormula array="1">Common_InputFunctions.Utility_DisplayArrayInTable(SourceData_Feedlot.SourceData_Feedlot_AnimalCharacteristics_Data(), Table_SourceData_Feedlot_AnimalCharacteristics[[#Headers],[Feedlot type]], 0)</calculatedColumnFormula>
    </tableColumn>
    <tableColumn id="7" xr3:uid="{88EEE0E3-F5D0-41DF-80EF-59472377C29A}" name="2020-2023" dataDxfId="42" dataCellStyle="Content normal">
      <calculatedColumnFormula array="1">Common_InputFunctions.Utility_DisplayArrayInTable(SourceData_Feedlot.SourceData_Feedlot_AnimalCharacteristics_Data(), Table_SourceData_Feedlot_AnimalCharacteristics[[#Headers],[Feedlot type]], 0)</calculatedColumnFormula>
    </tableColumn>
  </tableColumns>
  <tableStyleInfo name="Equation table"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BC14F7E2-67E4-43CB-A279-981A74F5A716}" name="Table_SourceData_Feedlot_LengthOfStay" displayName="Table_SourceData_Feedlot_LengthOfStay" ref="D38:E41" totalsRowShown="0">
  <autoFilter ref="D38:E41" xr:uid="{BC14F7E2-67E4-43CB-A279-981A74F5A716}">
    <filterColumn colId="0" hiddenButton="1"/>
    <filterColumn colId="1" hiddenButton="1"/>
  </autoFilter>
  <tableColumns count="2">
    <tableColumn id="1" xr3:uid="{9D472457-4D8B-44ED-9567-B889D058C2F1}" name="Feedlot type">
      <calculatedColumnFormula array="1">Common_InputFunctions.Utility_DisplayArrayInTable(SourceData_Feedlot.SourceData_Feedlot_DurationOfStay_Data(), Table_SourceData_Feedlot_LengthOfStay[[#Headers],[Feedlot type]], 0)</calculatedColumnFormula>
    </tableColumn>
    <tableColumn id="2" xr3:uid="{DA3DA009-634B-4C70-926B-C8FB255EB4DC}" name="Length of stay" dataDxfId="41" dataCellStyle="Content normal">
      <calculatedColumnFormula array="1">Common_InputFunctions.Utility_DisplayArrayInTable(SourceData_Feedlot.SourceData_Feedlot_DurationOfStay_Data(), Table_SourceData_Feedlot_LengthOfStay[[#Headers],[Feedlot type]], 0)</calculatedColumnFormula>
    </tableColumn>
  </tableColumns>
  <tableStyleInfo name="Equation table"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3CEB4578-E7E8-4AF2-A03C-33ADCE6CD603}" name="Table_SourceData_Feedlot_NO2EFs" displayName="Table_SourceData_Feedlot_NO2EFs" ref="D100:G105" totalsRowShown="0">
  <autoFilter ref="D100:G105" xr:uid="{3CEB4578-E7E8-4AF2-A03C-33ADCE6CD603}">
    <filterColumn colId="0" hiddenButton="1"/>
    <filterColumn colId="1" hiddenButton="1"/>
    <filterColumn colId="2" hiddenButton="1"/>
    <filterColumn colId="3" hiddenButton="1"/>
  </autoFilter>
  <tableColumns count="4">
    <tableColumn id="1" xr3:uid="{C80C08D8-3F48-4E18-98E3-9B53ACB6C6D9}" name="Treatment stage T">
      <calculatedColumnFormula array="1">Common_InputFunctions.Utility_DisplayArrayInTable(SourceData_Feedlot.SourceData_Feedlot_NitrousOxideEFs_Data(), Table_SourceData_Feedlot_NO2EFs[[#Headers],[Treatment stage T]], 0)</calculatedColumnFormula>
    </tableColumn>
    <tableColumn id="2" xr3:uid="{2BCD8589-5CB8-4ED1-AF2B-2866CEF779A8}" name="MMS m" dataDxfId="40" dataCellStyle="Content normal">
      <calculatedColumnFormula array="1">Common_InputFunctions.Utility_DisplayArrayInTable(SourceData_Feedlot.SourceData_Feedlot_NitrousOxideEFs_Data(), Table_SourceData_Feedlot_NO2EFs[[#Headers],[Treatment stage T]], 0)</calculatedColumnFormula>
    </tableColumn>
    <tableColumn id="3" xr3:uid="{51E876CD-83B6-49C8-85DD-E2F427A3DCD0}" name="EF mT" dataDxfId="39" dataCellStyle="Content normal">
      <calculatedColumnFormula array="1">Common_InputFunctions.Utility_DisplayArrayInTable(SourceData_Feedlot.SourceData_Feedlot_NitrousOxideEFs_Data(), Table_SourceData_Feedlot_NO2EFs[[#Headers],[Treatment stage T]], 0)</calculatedColumnFormula>
    </tableColumn>
    <tableColumn id="4" xr3:uid="{BEDEE6BB-8013-495A-8D74-2C8D37558C98}" name="NIR definition" dataDxfId="38" dataCellStyle="Content normal">
      <calculatedColumnFormula array="1">Common_InputFunctions.Utility_DisplayArrayInTable(SourceData_Feedlot.SourceData_Feedlot_NitrousOxideEFs_Data(), Table_SourceData_Feedlot_NO2EFs[[#Headers],[Treatment stage T]], 0)</calculatedColumnFormula>
    </tableColumn>
  </tableColumns>
  <tableStyleInfo name="Equation table"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100A8309-C0D3-4638-A47B-72840A042D9A}" name="Table_SourceData_Feedlot_FracGASMmT" displayName="Table_SourceData_Feedlot_FracGASMmT" ref="D112:G117" totalsRowShown="0" headerRowDxfId="37" headerRowCellStyle="Content normal" dataCellStyle="Content normal">
  <autoFilter ref="D112:G117" xr:uid="{100A8309-C0D3-4638-A47B-72840A042D9A}">
    <filterColumn colId="0" hiddenButton="1"/>
    <filterColumn colId="1" hiddenButton="1"/>
    <filterColumn colId="2" hiddenButton="1"/>
    <filterColumn colId="3" hiddenButton="1"/>
  </autoFilter>
  <tableColumns count="4">
    <tableColumn id="1" xr3:uid="{C942D71F-5344-4EC8-8256-848EACA75914}" name="Treatment stage T" dataCellStyle="Content normal">
      <calculatedColumnFormula array="1">Common_InputFunctions.Utility_DisplayArrayInTable(SourceData_Feedlot.SourceData_Feedlot_FracNVolatilised_Data(), Table_SourceData_Feedlot_FracGASMmT[[#Headers],[Treatment stage T]], 0)</calculatedColumnFormula>
    </tableColumn>
    <tableColumn id="2" xr3:uid="{2E6FFC59-11A3-4321-8787-BFA864D074E6}" name="MMS m" dataCellStyle="Content normal">
      <calculatedColumnFormula array="1">Common_InputFunctions.Utility_DisplayArrayInTable(SourceData_Feedlot.SourceData_Feedlot_FracNVolatilised_Data(), Table_SourceData_Feedlot_FracGASMmT[[#Headers],[Treatment stage T]], 0)</calculatedColumnFormula>
    </tableColumn>
    <tableColumn id="3" xr3:uid="{D988373F-1DDE-4103-A79F-7BFD8CB1A36F}" name="FracGASMmT" dataCellStyle="Content normal">
      <calculatedColumnFormula array="1">Common_InputFunctions.Utility_DisplayArrayInTable(SourceData_Feedlot.SourceData_Feedlot_FracNVolatilised_Data(), Table_SourceData_Feedlot_FracGASMmT[[#Headers],[Treatment stage T]], 0)</calculatedColumnFormula>
    </tableColumn>
    <tableColumn id="4" xr3:uid="{792AD32E-175F-4DB9-BD9C-D3841F52A638}" name="NIR definition" dataCellStyle="Content normal">
      <calculatedColumnFormula array="1">Common_InputFunctions.Utility_DisplayArrayInTable(SourceData_Feedlot.SourceData_Feedlot_FracNVolatilised_Data(), Table_SourceData_Feedlot_FracGASMmT[[#Headers],[Treatment stage T]], 0)</calculatedColumnFormula>
    </tableColumn>
  </tableColumns>
  <tableStyleInfo name="Equation table"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6F3FE3A-A0B5-47E7-85B2-8426FB75A7C8}" name="Table_SourceData_Feedlot_CropProdSystems" displayName="Table_SourceData_Feedlot_CropProdSystems" ref="G27:G29" totalsRowShown="0">
  <autoFilter ref="G27:G29" xr:uid="{B6F3FE3A-A0B5-47E7-85B2-8426FB75A7C8}">
    <filterColumn colId="0" hiddenButton="1"/>
  </autoFilter>
  <tableColumns count="1">
    <tableColumn id="1" xr3:uid="{488F257E-D7D8-4266-96A1-1EA0C5DDDD42}" name="Production system">
      <calculatedColumnFormula>#REF!</calculatedColumnFormula>
    </tableColumn>
  </tableColumns>
  <tableStyleInfo name="Equation table"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E172B77-CEA3-430C-84BC-392A64D0B8FF}" name="Table_SourceData_Feedlot_IrrigationMethods" displayName="Table_SourceData_Feedlot_IrrigationMethods" ref="J27:J32" totalsRowShown="0">
  <autoFilter ref="J27:J32" xr:uid="{FE172B77-CEA3-430C-84BC-392A64D0B8FF}">
    <filterColumn colId="0" hiddenButton="1"/>
  </autoFilter>
  <tableColumns count="1">
    <tableColumn id="1" xr3:uid="{A9C33016-6229-4481-B099-D67C87E2584C}" name="Irrigation method"/>
  </tableColumns>
  <tableStyleInfo name="Equation table"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617EA89D-ED63-4F20-B648-63035AA03314}" name="Table_AustralianStates" displayName="Table_AustralianStates" ref="D6:F14" totalsRowShown="0">
  <autoFilter ref="D6:F14" xr:uid="{E0906749-7FC7-47DE-82F6-F796C4463018}">
    <filterColumn colId="0" hiddenButton="1"/>
    <filterColumn colId="1" hiddenButton="1"/>
    <filterColumn colId="2" hiddenButton="1"/>
  </autoFilter>
  <tableColumns count="3">
    <tableColumn id="1" xr3:uid="{F46F7F04-A704-42B7-90E6-50FFAF320098}" name="State/Territory">
      <calculatedColumnFormula array="1">Common_InputFunctions.Utility_DisplayArrayInTable(Common_SourceData.Common_SourceData_AustralianStatesTerritories_Data(),Table_AustralianStates[[#Headers],[State/Territory]],0)</calculatedColumnFormula>
    </tableColumn>
    <tableColumn id="2" xr3:uid="{F3000B37-6A76-421C-B752-E2AC28FF687D}" name="Common Name">
      <calculatedColumnFormula array="1">Common_InputFunctions.Utility_DisplayArrayInTable(Common_SourceData.Common_SourceData_AustralianStatesTerritories_Data(),Table_AustralianStates[[#Headers],[State/Territory]],0)</calculatedColumnFormula>
    </tableColumn>
    <tableColumn id="3" xr3:uid="{2EC40060-BE4A-4651-9C17-9FEE8A7FADAE}" name="Abbreviation">
      <calculatedColumnFormula array="1">Common_InputFunctions.Utility_DisplayArrayInTable(Common_SourceData.Common_SourceData_AustralianStatesTerritories_Data(),Table_AustralianStates[[#Headers],[State/Territory]],0)</calculatedColumnFormula>
    </tableColumn>
  </tableColumns>
  <tableStyleInfo name="Equation table"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B052D110-D7FA-46DF-8FDF-50ADA5B8D899}" name="Table_WASA4Areas" displayName="Table_WASA4Areas" ref="D20:D30" totalsRowShown="0">
  <autoFilter ref="D20:D30" xr:uid="{5FA81339-C6C8-4D36-BEEA-6C4AEDD9E676}">
    <filterColumn colId="0" hiddenButton="1"/>
  </autoFilter>
  <tableColumns count="1">
    <tableColumn id="1" xr3:uid="{C26F4198-9663-4E7D-AF03-E4959B353843}" name="SA 4 Name">
      <calculatedColumnFormula array="1">Common_InputFunctions.Utility_DisplayArrayInTable(Common_SourceData.Common_SourceData_WASA4Areas_Data(), Table_WASA4Areas[[#Headers],[SA 4 Name]], 0)</calculatedColumnFormula>
    </tableColumn>
  </tableColumns>
  <tableStyleInfo name="Equation table"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34226C40-2BBC-496A-B2E0-61D406610B88}" name="Table_GWPData" displayName="Table_GWPData" ref="D36:E43" totalsRowShown="0">
  <autoFilter ref="D36:E43" xr:uid="{B8E87A66-3E41-4AD3-925D-01EE21B43D7A}">
    <filterColumn colId="0" hiddenButton="1"/>
    <filterColumn colId="1" hiddenButton="1"/>
  </autoFilter>
  <tableColumns count="2">
    <tableColumn id="1" xr3:uid="{61A75658-05EE-42FF-A12F-1BD5CCC6EA50}" name="Gas">
      <calculatedColumnFormula array="1">Common_InputFunctions.Utility_DisplayArrayInTable(Common_SourceData.Common_SourceData_GWP_Data(), Table_GWPData[[#Headers],[Gas]], 0)</calculatedColumnFormula>
    </tableColumn>
    <tableColumn id="2" xr3:uid="{81807736-2098-4DE3-AF00-6076AABC9236}" name="CO2-e factor">
      <calculatedColumnFormula array="1">Common_InputFunctions.Utility_DisplayArrayInTable(Common_SourceData.Common_SourceData_GWP_Data(), Table_GWPData[[#Headers],[Gas]], 0)</calculatedColumnFormula>
    </tableColumn>
  </tableColumns>
  <tableStyleInfo name="Equation table"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0E6ABE54-6ED4-48D5-829A-AABEFA545FB5}" name="Table_GasToMolecularConversionFactor" displayName="Table_GasToMolecularConversionFactor" ref="D47:H54" totalsRowShown="0">
  <autoFilter ref="D47:H54" xr:uid="{C1F562BB-DAA6-45BB-951A-7BAFA5B64B45}">
    <filterColumn colId="0" hiddenButton="1"/>
    <filterColumn colId="1" hiddenButton="1"/>
    <filterColumn colId="2" hiddenButton="1"/>
    <filterColumn colId="3" hiddenButton="1"/>
    <filterColumn colId="4" hiddenButton="1"/>
  </autoFilter>
  <tableColumns count="5">
    <tableColumn id="1" xr3:uid="{19AE4552-C90E-409E-81DD-12143AAC320B}" name="Gas">
      <calculatedColumnFormula array="1">Common_InputFunctions.Utility_DisplayArrayInTable(Common_SourceData.Common_SourceData_ConvertGasElementalToMolecular_Data(),Table_GasToMolecularConversionFactor[[#Headers],[Gas]], 0)</calculatedColumnFormula>
    </tableColumn>
    <tableColumn id="5" xr3:uid="{61481A1E-139A-42A3-87C1-3D2B887A42DA}" name="Conversion factor">
      <calculatedColumnFormula array="1">Common_InputFunctions.Utility_DisplayArrayInTable(Common_SourceData.Common_SourceData_ConvertGasElementalToMolecular_Data(),Table_GasToMolecularConversionFactor[[#Headers],[Gas]], 0)</calculatedColumnFormula>
    </tableColumn>
    <tableColumn id="2" xr3:uid="{74CE7FD0-32D6-4426-A5BF-3B28B32CEF1F}" name="Conversion factor 1">
      <calculatedColumnFormula array="1">Common_InputFunctions.Utility_DisplayArrayInTable(Common_SourceData.Common_SourceData_ConvertGasElementalToMolecular_Data(),Table_GasToMolecularConversionFactor[[#Headers],[Gas]], 0)</calculatedColumnFormula>
    </tableColumn>
    <tableColumn id="3" xr3:uid="{304D84CA-04DA-472B-99C1-B2B6EB54F67B}" name="Conversion factor 2">
      <calculatedColumnFormula array="1">Common_InputFunctions.Utility_DisplayArrayInTable(Common_SourceData.Common_SourceData_ConvertGasElementalToMolecular_Data(),Table_GasToMolecularConversionFactor[[#Headers],[Gas]], 0)</calculatedColumnFormula>
    </tableColumn>
    <tableColumn id="4" xr3:uid="{D46FF847-A99F-47A7-8E70-6DE89901B270}" name="Conversion factor combined">
      <calculatedColumnFormula>Table_GasToMolecularConversionFactor[[#This Row],[Conversion factor 1]]/Table_GasToMolecularConversionFactor[[#This Row],[Conversion factor 2]]</calculatedColumnFormula>
    </tableColumn>
  </tableColumns>
  <tableStyleInfo name="Equation table"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E7EE6952-C576-40A5-B3D3-5878A9A533F3}" name="Table_SourceData_ClimateZones" displayName="Table_SourceData_ClimateZones" ref="D89:S97" totalsRowShown="0">
  <autoFilter ref="D89:S97" xr:uid="{5A437AE9-7724-4CF2-ACCF-291078682F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81D3BFFF-B3E2-4CA7-BA31-8916CE18F920}" name="Climate zone" totalsRowCellStyle="Content bold">
      <calculatedColumnFormula array="1">Common_InputFunctions.Utility_DisplayArrayInTable(Common_SourceData.Common_SourceData_ClimateZones_Data(), Table_SourceData_ClimateZones[[#Headers],[Climate zone]], 0)</calculatedColumnFormula>
    </tableColumn>
    <tableColumn id="2" xr3:uid="{0C10F859-2ECA-4663-89AC-125865DD5BC3}" name="MAT" totalsRowDxfId="36" totalsRowCellStyle="Content bold">
      <calculatedColumnFormula array="1">Common_InputFunctions.Utility_DisplayArrayInTable(Common_SourceData.Common_SourceData_ClimateZones_Data(), Table_SourceData_ClimateZones[[#Headers],[Climate zone]], 0)</calculatedColumnFormula>
    </tableColumn>
    <tableColumn id="3" xr3:uid="{93432CF1-ACDA-4007-90C2-46CDFED0FE61}" name="MAP" totalsRowDxfId="35" totalsRowCellStyle="Content bold">
      <calculatedColumnFormula array="1">Common_InputFunctions.Utility_DisplayArrayInTable(Common_SourceData.Common_SourceData_ClimateZones_Data(), Table_SourceData_ClimateZones[[#Headers],[Climate zone]], 0)</calculatedColumnFormula>
    </tableColumn>
    <tableColumn id="4" xr3:uid="{369B85A7-DA47-4A2E-B4CB-9607297BDAE8}" name="Frost days per year" totalsRowDxfId="34" totalsRowCellStyle="Content bold">
      <calculatedColumnFormula array="1">Common_InputFunctions.Utility_DisplayArrayInTable(Common_SourceData.Common_SourceData_ClimateZones_Data(), Table_SourceData_ClimateZones[[#Headers],[Climate zone]], 0)</calculatedColumnFormula>
    </tableColumn>
    <tableColumn id="5" xr3:uid="{A2BF0949-C289-45EC-8383-310C6890B057}" name="Elevation" totalsRowDxfId="33" totalsRowCellStyle="Content bold">
      <calculatedColumnFormula array="1">Common_InputFunctions.Utility_DisplayArrayInTable(Common_SourceData.Common_SourceData_ClimateZones_Data(), Table_SourceData_ClimateZones[[#Headers],[Climate zone]], 0)</calculatedColumnFormula>
    </tableColumn>
    <tableColumn id="6" xr3:uid="{60237139-323B-4328-B7C0-522F7A1CB32F}" name="MAP:PET" totalsRowDxfId="32" totalsRowCellStyle="Content bold">
      <calculatedColumnFormula array="1">Common_InputFunctions.Utility_DisplayArrayInTable(Common_SourceData.Common_SourceData_ClimateZones_Data(), Table_SourceData_ClimateZones[[#Headers],[Climate zone]], 0)</calculatedColumnFormula>
    </tableColumn>
    <tableColumn id="7" xr3:uid="{9EAC10D6-CE2F-49AE-9A8B-E2E0FC881D22}" name="Min temp" totalsRowDxfId="31" totalsRowCellStyle="Content bold">
      <calculatedColumnFormula array="1">Common_InputFunctions.Utility_DisplayArrayInTable(Common_SourceData.Common_SourceData_ClimateZones_Data(), Table_SourceData_ClimateZones[[#Headers],[Climate zone]], 0)</calculatedColumnFormula>
    </tableColumn>
    <tableColumn id="8" xr3:uid="{AEDC1287-B9AE-4427-BDEB-3C8AD3D7502D}" name="Max temp" totalsRowDxfId="30" totalsRowCellStyle="Content bold">
      <calculatedColumnFormula array="1">Common_InputFunctions.Utility_DisplayArrayInTable(Common_SourceData.Common_SourceData_ClimateZones_Data(), Table_SourceData_ClimateZones[[#Headers],[Climate zone]], 0)</calculatedColumnFormula>
    </tableColumn>
    <tableColumn id="9" xr3:uid="{E810DD86-4129-4C6F-B007-4EBB85F557CE}" name="Min rainfall" totalsRowDxfId="29" totalsRowCellStyle="Content bold">
      <calculatedColumnFormula array="1">Common_InputFunctions.Utility_DisplayArrayInTable(Common_SourceData.Common_SourceData_ClimateZones_Data(), Table_SourceData_ClimateZones[[#Headers],[Climate zone]], 0)</calculatedColumnFormula>
    </tableColumn>
    <tableColumn id="10" xr3:uid="{1DD484CE-DCAC-4C45-AC85-501CB661F17E}" name="Max rainfall" totalsRowDxfId="28" totalsRowCellStyle="Content bold">
      <calculatedColumnFormula array="1">Common_InputFunctions.Utility_DisplayArrayInTable(Common_SourceData.Common_SourceData_ClimateZones_Data(), Table_SourceData_ClimateZones[[#Headers],[Climate zone]], 0)</calculatedColumnFormula>
    </tableColumn>
    <tableColumn id="11" xr3:uid="{ABCC129F-6D96-406C-BDCE-665C9FE7616C}" name="Min frost days" totalsRowDxfId="27" totalsRowCellStyle="Content bold">
      <calculatedColumnFormula array="1">Common_InputFunctions.Utility_DisplayArrayInTable(Common_SourceData.Common_SourceData_ClimateZones_Data(), Table_SourceData_ClimateZones[[#Headers],[Climate zone]], 0)</calculatedColumnFormula>
    </tableColumn>
    <tableColumn id="15" xr3:uid="{780ADD70-7139-40E7-A4F4-7CDFCCC4D847}" name="Max frost days" totalsRowDxfId="26" totalsRowCellStyle="Content bold">
      <calculatedColumnFormula array="1">Common_InputFunctions.Utility_DisplayArrayInTable(Common_SourceData.Common_SourceData_ClimateZones_Data(), Table_SourceData_ClimateZones[[#Headers],[Climate zone]], 0)</calculatedColumnFormula>
    </tableColumn>
    <tableColumn id="12" xr3:uid="{203E5454-313A-4934-8269-C6BAF602861B}" name="Min elevation" totalsRowDxfId="25" totalsRowCellStyle="Content bold">
      <calculatedColumnFormula array="1">Common_InputFunctions.Utility_DisplayArrayInTable(Common_SourceData.Common_SourceData_ClimateZones_Data(), Table_SourceData_ClimateZones[[#Headers],[Climate zone]], 0)</calculatedColumnFormula>
    </tableColumn>
    <tableColumn id="16" xr3:uid="{6F92D3B1-0744-4C6E-8750-65FF6F95096E}" name="Max elevation" totalsRowDxfId="24" totalsRowCellStyle="Content bold">
      <calculatedColumnFormula array="1">Common_InputFunctions.Utility_DisplayArrayInTable(Common_SourceData.Common_SourceData_ClimateZones_Data(), Table_SourceData_ClimateZones[[#Headers],[Climate zone]], 0)</calculatedColumnFormula>
    </tableColumn>
    <tableColumn id="13" xr3:uid="{C3AAB1D7-2E7A-4562-ABB4-92F7C0864A8E}" name="Min MAP:PET" totalsRowDxfId="23" totalsRowCellStyle="Content bold">
      <calculatedColumnFormula array="1">Common_InputFunctions.Utility_DisplayArrayInTable(Common_SourceData.Common_SourceData_ClimateZones_Data(), Table_SourceData_ClimateZones[[#Headers],[Climate zone]], 0)</calculatedColumnFormula>
    </tableColumn>
    <tableColumn id="17" xr3:uid="{D20983EF-5C2D-4B53-AF35-A659F842318C}" name="Max MAP:PET" totalsRowDxfId="22" totalsRowCellStyle="Content bold">
      <calculatedColumnFormula array="1">Common_InputFunctions.Utility_DisplayArrayInTable(Common_SourceData.Common_SourceData_ClimateZones_Data(), Table_SourceData_ClimateZones[[#Headers],[Climate zone]], 0)</calculatedColumnFormula>
    </tableColumn>
  </tableColumns>
  <tableStyleInfo name="Equation table"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657C8927-F7B7-4D06-8B9D-DE2D05208400}" name="Table_SourceData_WetDryZones" displayName="Table_SourceData_WetDryZones" ref="D63:E77" totalsRowShown="0">
  <autoFilter ref="D63:E77" xr:uid="{3597E019-B21E-4B76-BCC8-D02D497BCFA9}">
    <filterColumn colId="0" hiddenButton="1"/>
    <filterColumn colId="1" hiddenButton="1"/>
  </autoFilter>
  <tableColumns count="2">
    <tableColumn id="1" xr3:uid="{2124BBC2-1B94-42CF-8AC8-DF4A25A7B2CD}" name="Climate zone" totalsRowCellStyle="Content bold">
      <calculatedColumnFormula array="1">Common_InputFunctions.Utility_DisplayArrayInTable(Common_SourceData.Common_SourceData_WetAndDryZones_Data(), Table_SourceData_WetDryZones[[#Headers],[Climate zone]], 0)</calculatedColumnFormula>
    </tableColumn>
    <tableColumn id="2" xr3:uid="{A36F6F35-AF43-4ABB-90A5-0666D838904E}" name="Wet or Dry Zone" totalsRowDxfId="21" totalsRowCellStyle="Content bold">
      <calculatedColumnFormula array="1">Common_InputFunctions.Utility_DisplayArrayInTable(Common_SourceData.Common_SourceData_WetAndDryZones_Data(), Table_SourceData_WetDryZones[[#Headers],[Climate zone]], 0)</calculatedColumnFormula>
    </tableColumn>
  </tableColumns>
  <tableStyleInfo name="Equation table"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BCA158AB-0395-49AB-95C6-27FAA0E57B89}" name="Table_SourceData_TemperatureZones" displayName="Table_SourceData_TemperatureZones" ref="D109:G112" totalsRowShown="0">
  <autoFilter ref="D109:G112" xr:uid="{AB16FEAB-AB03-45E1-BBD4-66D29CD412DF}">
    <filterColumn colId="0" hiddenButton="1"/>
    <filterColumn colId="1" hiddenButton="1"/>
    <filterColumn colId="2" hiddenButton="1"/>
    <filterColumn colId="3" hiddenButton="1"/>
  </autoFilter>
  <tableColumns count="4">
    <tableColumn id="1" xr3:uid="{09541DB0-7A44-4B20-B2B5-F3C2E02201FE}" name="Temperature Zone">
      <calculatedColumnFormula array="1">Common_InputFunctions.Utility_DisplayArrayInTable(Common_SourceData.Common_SourceData_TemperatureZones_Data(),Table_SourceData_TemperatureZones[[#Headers],[Temperature Zone]],0)</calculatedColumnFormula>
    </tableColumn>
    <tableColumn id="2" xr3:uid="{873F6514-DCB4-46F5-901D-61CA79A3117B}" name="MAT">
      <calculatedColumnFormula array="1">Common_InputFunctions.Utility_DisplayArrayInTable(Common_SourceData.Common_SourceData_TemperatureZones_Data(),Table_SourceData_TemperatureZones[[#Headers],[Temperature Zone]],0)</calculatedColumnFormula>
    </tableColumn>
    <tableColumn id="3" xr3:uid="{FADD8036-4F96-4216-94A1-5BC107DFF23A}" name="Min MAT">
      <calculatedColumnFormula array="1">Common_InputFunctions.Utility_DisplayArrayInTable(Common_SourceData.Common_SourceData_TemperatureZones_Data(),Table_SourceData_TemperatureZones[[#Headers],[Temperature Zone]],0)</calculatedColumnFormula>
    </tableColumn>
    <tableColumn id="4" xr3:uid="{604EB7BD-589A-4CE3-87EA-64333C3C4631}" name="Max MAT">
      <calculatedColumnFormula array="1">Common_InputFunctions.Utility_DisplayArrayInTable(Common_SourceData.Common_SourceData_TemperatureZones_Data(),Table_SourceData_TemperatureZones[[#Headers],[Temperature Zone]],0)</calculatedColumnFormula>
    </tableColumn>
  </tableColumns>
  <tableStyleInfo name="Equation table"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01372755-25ED-4553-9FD9-8DC1D39646BA}" name="Table_SourceData_RainfallZones" displayName="Table_SourceData_RainfallZones" ref="D119:G121" totalsRowShown="0">
  <autoFilter ref="D119:G121" xr:uid="{E08772F3-2E8C-40A8-B755-08A5BBDF4130}">
    <filterColumn colId="0" hiddenButton="1"/>
    <filterColumn colId="1" hiddenButton="1"/>
    <filterColumn colId="2" hiddenButton="1"/>
    <filterColumn colId="3" hiddenButton="1"/>
  </autoFilter>
  <tableColumns count="4">
    <tableColumn id="1" xr3:uid="{02A88149-AF4F-444F-9010-F7F01C70A934}" name="Rainfall Zone">
      <calculatedColumnFormula array="1">Common_InputFunctions.Utility_DisplayArrayInTable(Common_SourceData.Common_SourceData_RainfallZones_Data(),Table_SourceData_RainfallZones[[#Headers],[Rainfall Zone]],0)</calculatedColumnFormula>
    </tableColumn>
    <tableColumn id="2" xr3:uid="{896A8369-4A00-4951-97DF-CEB08A42B949}" name="Annual rainfall">
      <calculatedColumnFormula array="1">Common_InputFunctions.Utility_DisplayArrayInTable(Common_SourceData.Common_SourceData_RainfallZones_Data(),Table_SourceData_RainfallZones[[#Headers],[Rainfall Zone]],0)</calculatedColumnFormula>
    </tableColumn>
    <tableColumn id="3" xr3:uid="{3FD719C1-DA25-486C-8580-BDAF3DEC6732}" name="Min rainfall">
      <calculatedColumnFormula array="1">Common_InputFunctions.Utility_DisplayArrayInTable(Common_SourceData.Common_SourceData_RainfallZones_Data(),Table_SourceData_RainfallZones[[#Headers],[Rainfall Zone]],0)</calculatedColumnFormula>
    </tableColumn>
    <tableColumn id="4" xr3:uid="{B2E30F4C-6BA3-4780-96AA-8CAE7ED62EAB}" name="Max rainfall">
      <calculatedColumnFormula array="1">Common_InputFunctions.Utility_DisplayArrayInTable(Common_SourceData.Common_SourceData_RainfallZones_Data(),Table_SourceData_RainfallZones[[#Headers],[Rainfall Zone]],0)</calculatedColumnFormula>
    </tableColumn>
  </tableColumns>
  <tableStyleInfo name="Equation table"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1" xr:uid="{FCAE74E8-6327-4BF4-A5FB-B1A7EDAD2A5E}" name="Table_SourceData_LeachingZones" displayName="Table_SourceData_LeachingZones" ref="D127:E129" totalsRowShown="0">
  <autoFilter ref="D127:E129" xr:uid="{A159E140-02ED-4547-B6E1-6695D8B16A11}">
    <filterColumn colId="0" hiddenButton="1"/>
    <filterColumn colId="1" hiddenButton="1"/>
  </autoFilter>
  <tableColumns count="2">
    <tableColumn id="1" xr3:uid="{03E12D70-8A6D-43A8-A8C6-1ED09237C734}" name="Leaching Zone">
      <calculatedColumnFormula array="1">Common_InputFunctions.Utility_DisplayArrayInTable(Common_SourceData.Common_SourceData_LeachingZones_Data(), Table_SourceData_LeachingZones[[#Headers],[Leaching Zone]], 0)</calculatedColumnFormula>
    </tableColumn>
    <tableColumn id="2" xr3:uid="{AE5468C2-CA5A-46CB-AF65-52C9ADEA22CF}" name="Leaching criteria">
      <calculatedColumnFormula array="1">Common_InputFunctions.Utility_DisplayArrayInTable(Common_SourceData.Common_SourceData_LeachingZones_Data(), Table_SourceData_LeachingZones[[#Headers],[Leaching Zone]], 0)</calculatedColumnFormula>
    </tableColumn>
  </tableColumns>
  <tableStyleInfo name="Equation table"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2" xr:uid="{72447C6F-7630-490C-AA0C-974FF092EA85}" name="Table_SourceData_DataScores_Scope3" displayName="Table_SourceData_DataScores_Scope3" ref="D153:E158" totalsRowShown="0">
  <autoFilter ref="D153:E158" xr:uid="{133D42B0-F6D2-470A-858A-37E6A7F5EC2B}">
    <filterColumn colId="0" hiddenButton="1"/>
    <filterColumn colId="1" hiddenButton="1"/>
  </autoFilter>
  <tableColumns count="2">
    <tableColumn id="1" xr3:uid="{8806E290-D755-4A68-9C18-14C54A91F7C9}" name="Data source">
      <calculatedColumnFormula array="1">Common_InputFunctions.Utility_DisplayArrayInTable(Common_SourceData.Common_SourceData_DataScores_Scope3_Data(), Table_SourceData_DataScores_Scope3[[#Headers],[Data source]], 0)</calculatedColumnFormula>
    </tableColumn>
    <tableColumn id="2" xr3:uid="{E295B2BD-6E5A-48EC-AD28-7D88AEFF9727}" name="Data score">
      <calculatedColumnFormula array="1">Common_InputFunctions.Utility_DisplayArrayInTable(Common_SourceData.Common_SourceData_DataScores_Scope3_Data(), Table_SourceData_DataScores_Scope3[[#Headers],[Data source]], 0)</calculatedColumnFormula>
    </tableColumn>
  </tableColumns>
  <tableStyleInfo name="Equation table"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3" xr:uid="{7C27A366-F39C-4A2C-9FB0-BCED1B8A4C25}" name="Table_SourceData_FracWET" displayName="Table_SourceData_FracWET" ref="D134:E136" totalsRowShown="0">
  <autoFilter ref="D134:E136" xr:uid="{308E99BE-FE1F-47A4-B2CA-97217277C4E9}">
    <filterColumn colId="0" hiddenButton="1"/>
    <filterColumn colId="1" hiddenButton="1"/>
  </autoFilter>
  <tableColumns count="2">
    <tableColumn id="1" xr3:uid="{E9B42BED-9AB7-4E70-B01D-23DCF7A51EF6}" name="Is in leaching zone">
      <calculatedColumnFormula array="1">Common_InputFunctions.Utility_DisplayArrayInTable(Common_SourceData.Common_SourceData_FracWET_Data(),Table_SourceData_FracWET[[#Headers],[Is in leaching zone]],0)</calculatedColumnFormula>
    </tableColumn>
    <tableColumn id="2" xr3:uid="{ED4B5D61-D65C-4A8D-9881-59B5822D1C2F}" name="FracWET" dataDxfId="20">
      <calculatedColumnFormula array="1">Common_InputFunctions.Utility_DisplayArrayInTable(Common_SourceData.Common_SourceData_FracWET_Data(),Table_SourceData_FracWET[[#Headers],[Is in leaching zone]],0)</calculatedColumnFormula>
    </tableColumn>
  </tableColumns>
  <tableStyleInfo name="Equation table"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4" xr:uid="{80182A4C-FD1B-42C5-ADA1-D0922CEB705B}" name="Table_SourceData_Common_EFN2O" displayName="Table_SourceData_Common_EFN2O" ref="D186:H199" totalsRowShown="0">
  <autoFilter ref="D186:H199" xr:uid="{D41FBEA4-8379-4DF7-A068-BF94D364F1A2}">
    <filterColumn colId="0" hiddenButton="1"/>
    <filterColumn colId="1" hiddenButton="1"/>
    <filterColumn colId="2" hiddenButton="1"/>
    <filterColumn colId="3" hiddenButton="1"/>
    <filterColumn colId="4" hiddenButton="1"/>
  </autoFilter>
  <tableColumns count="5">
    <tableColumn id="1" xr3:uid="{66C5601E-AE8C-45CE-B033-CC1F3A334F16}" name="Production system j">
      <calculatedColumnFormula array="1">Common_InputFunctions.Utility_DisplayArrayInTable(Common_SourceData.Common_SourceData_EFN2O_Data(), Table_SourceData_Common_EFN2O[[#Headers],[Production system j]], 0)</calculatedColumnFormula>
    </tableColumn>
    <tableColumn id="2" xr3:uid="{FC750381-E6FC-4424-A90E-AAD69DB211FC}" name="EFN2O">
      <calculatedColumnFormula array="1">Common_InputFunctions.Utility_DisplayArrayInTable(Common_SourceData.Common_SourceData_EFN2O_Data(), Table_SourceData_Common_EFN2O[[#Headers],[Production system j]], 0)</calculatedColumnFormula>
    </tableColumn>
    <tableColumn id="3" xr3:uid="{1409F416-5CF2-494A-BF12-C5A7BF990C4C}" name="Production system only">
      <calculatedColumnFormula array="1">Common_InputFunctions.Utility_DisplayArrayInTable(Common_SourceData.Common_SourceData_EFN2O_Data(), Table_SourceData_Common_EFN2O[[#Headers],[Production system j]], 0)</calculatedColumnFormula>
    </tableColumn>
    <tableColumn id="4" xr3:uid="{BC640B0C-624E-4406-9647-4661A4C3CF86}" name="Irrigation method">
      <calculatedColumnFormula array="1">Common_InputFunctions.Utility_DisplayArrayInTable(Common_SourceData.Common_SourceData_EFN2O_Data(), Table_SourceData_Common_EFN2O[[#Headers],[Production system j]], 0)</calculatedColumnFormula>
    </tableColumn>
    <tableColumn id="5" xr3:uid="{A358B440-E53B-46CF-8131-9EC21490F53E}" name="Rainfall zone">
      <calculatedColumnFormula array="1">Common_InputFunctions.Utility_DisplayArrayInTable(Common_SourceData.Common_SourceData_EFN2O_Data(), Table_SourceData_Common_EFN2O[[#Headers],[Production system j]], 0)</calculatedColumnFormula>
    </tableColumn>
  </tableColumns>
  <tableStyleInfo name="Equation table"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5" xr:uid="{613E3437-5838-4BD7-8F2C-1E960BECB175}" name="Table_SourceData_FracWETIrrigation" displayName="Table_SourceData_FracWETIrrigation" ref="D142:E147" totalsRowShown="0">
  <autoFilter ref="D142:E147" xr:uid="{1F48CA34-50DE-46D5-B32A-BB3A1E818E37}">
    <filterColumn colId="0" hiddenButton="1"/>
    <filterColumn colId="1" hiddenButton="1"/>
  </autoFilter>
  <tableColumns count="2">
    <tableColumn id="1" xr3:uid="{FC925E3F-90AE-42B3-B0B0-10F1F15D5A94}" name="Irrigation type i">
      <calculatedColumnFormula array="1">Common_InputFunctions.Utility_DisplayArrayInTable(Common_SourceData.Common_SourceData_FracWETIrrigation_Data(), Table_SourceData_FracWETIrrigation[[#Headers],[Irrigation type i]], 0)</calculatedColumnFormula>
    </tableColumn>
    <tableColumn id="2" xr3:uid="{3A1486F8-4BDE-41EA-8F12-3E72965D7D17}" name="FracWET" dataDxfId="19" dataCellStyle="Content normal">
      <calculatedColumnFormula array="1">Common_InputFunctions.Utility_DisplayArrayInTable(Common_SourceData.Common_SourceData_FracWETIrrigation_Data(), Table_SourceData_FracWETIrrigation[[#Headers],[Irrigation type i]], 0)</calculatedColumnFormula>
    </tableColumn>
  </tableColumns>
  <tableStyleInfo name="Equation table"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6" xr:uid="{0783DCF2-FAB7-4E36-80B6-E3766A332871}" name="Table_SourceData_EFPastureRangeAndPaddock" displayName="Table_SourceData_EFPastureRangeAndPaddock" ref="D206:E208" totalsRowShown="0">
  <autoFilter ref="D206:E208" xr:uid="{D5BE3F89-D70E-4C53-A71C-E756622DEF38}">
    <filterColumn colId="0" hiddenButton="1"/>
    <filterColumn colId="1" hiddenButton="1"/>
  </autoFilter>
  <tableColumns count="2">
    <tableColumn id="1" xr3:uid="{DB2A3484-4576-400B-BF02-2BA2BA15CC99}" name="Climate zone">
      <calculatedColumnFormula array="1">Common_InputFunctions.Utility_DisplayArrayInTable(Common_SourceData.Common_SourceData_EFPastureRangeAndPaddock_Data(), Table_SourceData_EFPastureRangeAndPaddock[[#Headers],[Climate zone]], 0)</calculatedColumnFormula>
    </tableColumn>
    <tableColumn id="2" xr3:uid="{4CC4379D-8655-422B-8FF0-AA17854FAF7A}" name="EFPRP" dataDxfId="18" dataCellStyle="Content normal">
      <calculatedColumnFormula array="1">Common_InputFunctions.Utility_DisplayArrayInTable(Common_SourceData.Common_SourceData_EFPastureRangeAndPaddock_Data(), Table_SourceData_EFPastureRangeAndPaddock[[#Headers],[Climate zone]], 0)</calculatedColumnFormula>
    </tableColumn>
  </tableColumns>
  <tableStyleInfo name="Equation table"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7" xr:uid="{0014D05E-6D84-4432-BD1A-AAEDE4FAFB77}" name="Table_SourceData_Common_MonthToSeason" displayName="Table_SourceData_Common_MonthToSeason" ref="D212:E224" totalsRowShown="0">
  <autoFilter ref="D212:E224" xr:uid="{97796C3A-D95E-4077-AA20-A8FE4145DAAD}">
    <filterColumn colId="0" hiddenButton="1"/>
    <filterColumn colId="1" hiddenButton="1"/>
  </autoFilter>
  <tableColumns count="2">
    <tableColumn id="1" xr3:uid="{DCCF204F-F10B-4B5B-888D-ADADD76441CE}" name="Month">
      <calculatedColumnFormula array="1">Common_InputFunctions.Utility_DisplayArrayInTable(Common_SourceData.Common_SourceData_MonthsToSeasons_Data(), Table_SourceData_Common_MonthToSeason[[#Headers],[Month]], 0)</calculatedColumnFormula>
    </tableColumn>
    <tableColumn id="2" xr3:uid="{E57B1625-54DC-4874-BABD-B416E1672579}" name="Season" dataDxfId="17" dataCellStyle="Content normal">
      <calculatedColumnFormula array="1">Common_InputFunctions.Utility_DisplayArrayInTable(Common_SourceData.Common_SourceData_MonthsToSeasons_Data(), Table_SourceData_Common_MonthToSeason[[#Headers],[Month]], 0)</calculatedColumnFormula>
    </tableColumn>
  </tableColumns>
  <tableStyleInfo name="Equation table"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9" xr:uid="{91A47E01-AA53-4CC3-9E00-5A5CD66A41AB}" name="Table_SourceData_Common_MCFTemperatureZone" displayName="Table_SourceData_Common_MCFTemperatureZone" ref="D231:S250" totalsRowShown="0">
  <autoFilter ref="D231:S250" xr:uid="{1D72DD9B-C8FA-48F4-9A11-20231FF87B5A}">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C3875EDE-D48C-4226-B7B5-C89CE3CCECFA}" name="Temperature zone">
      <calculatedColumnFormula array="1">Common_InputFunctions.Utility_DisplayArrayInTable(Common_SourceData.Common_SourceData_MCFTemperatureZone_Data(),Table_SourceData_Common_MCFTemperatureZone[[#Headers],[Temperature zone]],0)</calculatedColumnFormula>
    </tableColumn>
    <tableColumn id="2" xr3:uid="{EFD9B489-459F-4C1C-A691-D7299F05307C}" name="MAT (ºC)" dataDxfId="16"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3" xr3:uid="{BB0F9497-50B5-4622-A29A-1FF792C7B756}" name="Anaerobic lagoon" dataDxfId="15"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4" xr3:uid="{FA7ADA9D-0BBA-460C-A091-FE2D703131C2}" name="Digester / covered lagoons" dataDxfId="14"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5" xr3:uid="{8CA6C83A-48C8-423F-BE78-D5C44B180809}" name="Liquid systems" dataDxfId="13"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6" xr3:uid="{181FC88F-1BE0-4B3B-8B4D-226D9D65F3F9}" name="Daily spread" dataDxfId="12"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7" xr3:uid="{48DF2DEC-849E-4A8C-8CA4-1A5192E8BB52}" name="Composting (passive windrow)" dataDxfId="11"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8" xr3:uid="{42D9BC3D-57AE-48D5-8F71-C55A3FA11F83}" name="Solid storage" dataDxfId="10"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9" xr3:uid="{90DDB6C5-EE65-4168-93E2-97BEE76C5E7B}" name="Pit storage" dataDxfId="9"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0" xr3:uid="{2E5C7ACC-B6D6-4F0F-8703-B9749788359A}" name="Deep litter" dataDxfId="8"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1" xr3:uid="{0AB0BA4C-6CD9-4A01-9C0F-BF226691E3AA}" name="Poultry manure with bedding" dataDxfId="7"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2" xr3:uid="{E489225D-63F0-4A3C-8555-D46DABE80699}" name="Poultry manure without bedding" dataDxfId="6"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3" xr3:uid="{ACD70B15-477A-45F6-B4BA-900CAD8D193C}" name="Direct processing" dataDxfId="5"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4" xr3:uid="{44A73B9B-ABA2-4381-908F-F542549755EF}" name="Direct application" dataDxfId="4"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5" xr3:uid="{6BA161CC-FBF1-4D0A-B450-AAF38252E3BC}" name="Pasture range and paddock" dataDxfId="3"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6" xr3:uid="{B48E0045-5DC2-4910-9A85-04EA9DE961FA}" name="MAT raw" dataDxfId="2" dataCellStyle="Content normal">
      <calculatedColumnFormula array="1">Common_InputFunctions.Utility_DisplayArrayInTable(Common_SourceData.Common_SourceData_MCFTemperatureZone_Data(),Table_SourceData_Common_MCFTemperatureZone[[#Headers],[Temperature zone]],0)</calculatedColumnFormula>
    </tableColumn>
  </tableColumns>
  <tableStyleInfo name="Equation table" showFirstColumn="0" showLastColumn="0" showRowStripes="1" showColumnStripes="0"/>
</table>
</file>

<file path=xl/tables/table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2" xr:uid="{4F9B59D3-028F-4908-B78C-BFC042336FE8}" name="Table_SourceData_Common_EFOrganicFertCropResidues" displayName="Table_SourceData_Common_EFOrganicFertCropResidues" ref="D257:E259" totalsRowShown="0">
  <autoFilter ref="D257:E259" xr:uid="{56E01C14-1BB8-4015-9158-4CEB4D3B605C}">
    <filterColumn colId="0" hiddenButton="1"/>
    <filterColumn colId="1" hiddenButton="1"/>
  </autoFilter>
  <tableColumns count="2">
    <tableColumn id="1" xr3:uid="{826E915B-7EB3-472E-9579-D58D9E97CC96}" name="Climate Zone">
      <calculatedColumnFormula array="1">Common_InputFunctions.Utility_DisplayArrayInTable(Common_SourceData.Common_SourceData_EFOrganicFertiliserAndCropResidues_Data(), Table_SourceData_Common_EFOrganicFertCropResidues[[#Headers],[Climate Zone]], 0)</calculatedColumnFormula>
    </tableColumn>
    <tableColumn id="2" xr3:uid="{AF567BFB-ECB1-4C92-8622-396B0559A2E1}" name="EFNi &amp; EFN2Oi" dataDxfId="1" dataCellStyle="Content normal">
      <calculatedColumnFormula array="1">Common_InputFunctions.Utility_DisplayArrayInTable(Common_SourceData.Common_SourceData_EFOrganicFertiliserAndCropResidues_Data(), Table_SourceData_Common_EFOrganicFertCropResidues[[#Headers],[Climate Zone]], 0)</calculatedColumnFormula>
    </tableColumn>
  </tableColumns>
  <tableStyleInfo name="Equation table" showFirstColumn="0" showLastColumn="0" showRowStripes="1" showColumnStripes="0"/>
</table>
</file>

<file path=xl/tables/table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7" xr:uid="{9D1C32FB-9502-43AE-9377-E3370D3A68AE}" name="Table_SourceData_DataQuality_TemporalRepresentativeness" displayName="Table_SourceData_DataQuality_TemporalRepresentativeness" ref="D265:F270" totalsRowShown="0">
  <autoFilter ref="D265:F270" xr:uid="{9AD44602-D2F2-4D97-923C-A32E98F8C17A}">
    <filterColumn colId="0" hiddenButton="1"/>
    <filterColumn colId="1" hiddenButton="1"/>
    <filterColumn colId="2" hiddenButton="1"/>
  </autoFilter>
  <tableColumns count="3">
    <tableColumn id="2" xr3:uid="{E7EF746D-311C-47D7-BC8B-BA248A71090E}" name="Description" dataDxfId="0" dataCellStyle="Content normal"/>
    <tableColumn id="1" xr3:uid="{54C0B6F9-435C-46D7-ACA0-A27133C12E22}" name="ID"/>
    <tableColumn id="3" xr3:uid="{F0F028F8-E2FB-4F8F-A065-BD1D2F6572C1}" name="Score"/>
  </tableColumns>
  <tableStyleInfo name="Equation table" showFirstColumn="0" showLastColumn="0" showRowStripes="1" showColumnStripes="0"/>
</table>
</file>

<file path=xl/tables/table2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8" xr:uid="{39178CB8-A4DF-4882-9C11-1E5CD6894798}" name="Table_SourceData_DataQuality_SpatialRepresentativeness" displayName="Table_SourceData_DataQuality_SpatialRepresentativeness" ref="D274:F279" totalsRowShown="0">
  <autoFilter ref="D274:F279" xr:uid="{95094D65-3E0E-45CE-A3F4-F41E74C11901}">
    <filterColumn colId="0" hiddenButton="1"/>
    <filterColumn colId="1" hiddenButton="1"/>
    <filterColumn colId="2" hiddenButton="1"/>
  </autoFilter>
  <tableColumns count="3">
    <tableColumn id="1" xr3:uid="{E34CF320-D353-44DA-AA58-4D4148380DC3}" name="Description"/>
    <tableColumn id="2" xr3:uid="{4F25DBF4-AC0F-424C-B6D5-D6380F224878}" name="ID"/>
    <tableColumn id="3" xr3:uid="{DC6D70C8-D3CD-4EAB-8492-BB1C192D3C7B}" name="Score"/>
  </tableColumns>
  <tableStyleInfo name="Equation table" showFirstColumn="0" showLastColumn="0" showRowStripes="1" showColumnStripes="0"/>
</table>
</file>

<file path=xl/tables/table2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9" xr:uid="{26A95753-DB21-4851-BC28-A42F6330CB44}" name="Table_SourceData_DataQuality_SampleSize" displayName="Table_SourceData_DataQuality_SampleSize" ref="D283:F288" totalsRowShown="0">
  <autoFilter ref="D283:F288" xr:uid="{DE8F748C-E65A-4AA2-81BB-D28A432CF334}">
    <filterColumn colId="0" hiddenButton="1"/>
    <filterColumn colId="1" hiddenButton="1"/>
    <filterColumn colId="2" hiddenButton="1"/>
  </autoFilter>
  <tableColumns count="3">
    <tableColumn id="1" xr3:uid="{8750C5D5-77BF-4C5D-B3DD-DE4E78212A22}" name="Description"/>
    <tableColumn id="2" xr3:uid="{441EA0E9-746A-4934-8B63-1E18E687E016}" name="ID"/>
    <tableColumn id="3" xr3:uid="{E74A744A-E9D1-4118-8AC5-8117B352D1F0}" name="Score"/>
  </tableColumns>
  <tableStyleInfo name="Equation table" showFirstColumn="0" showLastColumn="0" showRowStripes="1" showColumnStripes="0"/>
</table>
</file>

<file path=xl/tables/table3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0" xr:uid="{94A691A2-5E29-4CD7-9EF0-1D6FC0C9559B}" name="Table_SourceData_DataQuality_Scope3" displayName="Table_SourceData_DataQuality_Scope3" ref="D292:F297" totalsRowShown="0">
  <autoFilter ref="D292:F297" xr:uid="{43A1C4DA-75D1-45DF-BA9A-1798C2CC5A4B}">
    <filterColumn colId="0" hiddenButton="1"/>
    <filterColumn colId="1" hiddenButton="1"/>
    <filterColumn colId="2" hiddenButton="1"/>
  </autoFilter>
  <tableColumns count="3">
    <tableColumn id="1" xr3:uid="{6CCF145B-0804-482E-B169-2B20615C2804}" name="Description"/>
    <tableColumn id="2" xr3:uid="{83AC46A7-914A-44C6-8498-5723FF9CEF32}" name="ID"/>
    <tableColumn id="3" xr3:uid="{13CC559F-1DC5-4891-8E66-FC76D1650A4B}" name="Score"/>
  </tableColumns>
  <tableStyleInfo name="Equation table" showFirstColumn="0" showLastColumn="0" showRowStripes="1" showColumnStripes="0"/>
</table>
</file>

<file path=xl/tables/table3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57CC28B-CF78-4195-86CA-5AEBBA7FA04E}" name="Table_Data_MMSSymbols" displayName="Table_Data_MMSSymbols" ref="D9:F27" totalsRowShown="0">
  <autoFilter ref="D9:F27" xr:uid="{757CC28B-CF78-4195-86CA-5AEBBA7FA04E}">
    <filterColumn colId="0" hiddenButton="1"/>
    <filterColumn colId="1" hiddenButton="1"/>
    <filterColumn colId="2" hiddenButton="1"/>
  </autoFilter>
  <tableColumns count="3">
    <tableColumn id="1" xr3:uid="{FA4B4DF7-A993-40F2-870A-87A35A1D1CD3}" name="Symbol">
      <calculatedColumnFormula array="1">InputFunctions_Utilities.Utility_DisplayArrayInTable(CommonLivestock_SourceData.SourceData_Livestock_Common_SymbolsMMS_Data(), Table_Data_MMSSymbols[[#Headers],[Symbol]], 0)</calculatedColumnFormula>
    </tableColumn>
    <tableColumn id="2" xr3:uid="{8A23F85B-E11F-43B7-AF58-1032F42D9585}" name="Manure management system">
      <calculatedColumnFormula array="1">InputFunctions_Utilities.Utility_DisplayArrayInTable(CommonLivestock_SourceData.SourceData_Livestock_Common_SymbolsMMS_Data(), Table_Data_MMSSymbols[[#Headers],[Symbol]], 0)</calculatedColumnFormula>
    </tableColumn>
    <tableColumn id="3" xr3:uid="{58D0574C-2490-473B-A8E1-317E3A493B21}" name="Symbol and MMS">
      <calculatedColumnFormula array="1">InputFunctions_Utilities.Utility_DisplayArrayInTable(CommonLivestock_SourceData.SourceData_Livestock_Common_SymbolsMMS_Data(), Table_Data_MMSSymbols[[#Headers],[Symbol]], 0)</calculatedColumnFormula>
    </tableColumn>
  </tableColumns>
  <tableStyleInfo name="Equation table" showFirstColumn="0" showLastColumn="0" showRowStripes="1" showColumnStripes="0"/>
</table>
</file>

<file path=xl/theme/theme1.xml><?xml version="1.0" encoding="utf-8"?>
<a:theme xmlns:a="http://schemas.openxmlformats.org/drawingml/2006/main" name="Office Theme">
  <a:themeElements>
    <a:clrScheme name="ZNE-Ag">
      <a:dk1>
        <a:sysClr val="windowText" lastClr="000000"/>
      </a:dk1>
      <a:lt1>
        <a:sysClr val="window" lastClr="FFFFFF"/>
      </a:lt1>
      <a:dk2>
        <a:srgbClr val="0E2841"/>
      </a:dk2>
      <a:lt2>
        <a:srgbClr val="E8E8E8"/>
      </a:lt2>
      <a:accent1>
        <a:srgbClr val="0B769F"/>
      </a:accent1>
      <a:accent2>
        <a:srgbClr val="CC6600"/>
      </a:accent2>
      <a:accent3>
        <a:srgbClr val="008000"/>
      </a:accent3>
      <a:accent4>
        <a:srgbClr val="C4433F"/>
      </a:accent4>
      <a:accent5>
        <a:srgbClr val="4F4789"/>
      </a:accent5>
      <a:accent6>
        <a:srgbClr val="FFCC66"/>
      </a:accent6>
      <a:hlink>
        <a:srgbClr val="467886"/>
      </a:hlink>
      <a:folHlink>
        <a:srgbClr val="894763"/>
      </a:folHlink>
    </a:clrScheme>
    <a:fontScheme name="Custom 1">
      <a:majorFont>
        <a:latin typeface="Times New Roman"/>
        <a:ea typeface=""/>
        <a:cs typeface=""/>
      </a:majorFont>
      <a:minorFont>
        <a:latin typeface="Times New Roman"/>
        <a:ea typeface=""/>
        <a:cs typeface=""/>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1190" row="4">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102233F-B6A7-4C5C-980A-848E7A11A33D}">
  <we:reference id="wa200003696" version="1.3.0.0" store="en-US" storeType="OMEX"/>
  <we:alternateReferences>
    <we:reference id="WA200003696" version="1.3.0.0" store="WA200003696" storeType="OMEX"/>
  </we:alternateReferences>
  <we:properties>
    <we:property name="projectV0_1-56c6e055-265e-4713-816e-a646dbb708de" value="{&quot;kind&quot;:&quot;AFEJSONBlobNode&quot;,&quot;id&quot;:&quot;{B6BE249C-20B1-4A62-BBCD-F2A46D88BCAB}&quot;}"/>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_xldudf_LABS_GENERATIVEAI</we:customFunctionIds>
      </we:customFunctionIdList>
    </a:ext>
  </we:extLst>
</we:webextension>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3.bin"/></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4.bin"/></Relationships>
</file>

<file path=xl/worksheets/_rels/sheet8.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rinterSettings" Target="../printerSettings/printerSettings5.bin"/></Relationships>
</file>

<file path=xl/worksheets/_rels/sheet9.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rinterSettings" Target="../printerSettings/printerSettings6.bin"/></Relationships>
</file>

<file path=xl/worksheets/_rels/sheet10.xml.rels><?xml version="1.0" encoding="UTF-8" standalone="yes"?>
<Relationships xmlns="http://schemas.openxmlformats.org/package/2006/relationships"><Relationship Id="rId8" Type="http://schemas.openxmlformats.org/officeDocument/2006/relationships/table" Target="../tables/table8.xml"/><Relationship Id="rId3" Type="http://schemas.openxmlformats.org/officeDocument/2006/relationships/table" Target="../tables/table3.xml"/><Relationship Id="rId7" Type="http://schemas.openxmlformats.org/officeDocument/2006/relationships/table" Target="../tables/table7.xml"/><Relationship Id="rId2" Type="http://schemas.openxmlformats.org/officeDocument/2006/relationships/table" Target="../tables/table2.xml"/><Relationship Id="rId1" Type="http://schemas.openxmlformats.org/officeDocument/2006/relationships/table" Target="../tables/table1.xml"/><Relationship Id="rId6" Type="http://schemas.openxmlformats.org/officeDocument/2006/relationships/table" Target="../tables/table6.xml"/><Relationship Id="rId5" Type="http://schemas.openxmlformats.org/officeDocument/2006/relationships/table" Target="../tables/table5.xml"/><Relationship Id="rId4" Type="http://schemas.openxmlformats.org/officeDocument/2006/relationships/table" Target="../tables/table4.xml"/><Relationship Id="rId9" Type="http://schemas.openxmlformats.org/officeDocument/2006/relationships/table" Target="../tables/table9.xml"/></Relationships>
</file>

<file path=xl/worksheets/_rels/sheet11.xml.rels><?xml version="1.0" encoding="UTF-8" standalone="yes"?>
<Relationships xmlns="http://schemas.openxmlformats.org/package/2006/relationships"><Relationship Id="rId8" Type="http://schemas.openxmlformats.org/officeDocument/2006/relationships/table" Target="../tables/table16.xml"/><Relationship Id="rId13" Type="http://schemas.openxmlformats.org/officeDocument/2006/relationships/table" Target="../tables/table21.xml"/><Relationship Id="rId18" Type="http://schemas.openxmlformats.org/officeDocument/2006/relationships/table" Target="../tables/table26.xml"/><Relationship Id="rId3" Type="http://schemas.openxmlformats.org/officeDocument/2006/relationships/table" Target="../tables/table11.xml"/><Relationship Id="rId21" Type="http://schemas.openxmlformats.org/officeDocument/2006/relationships/table" Target="../tables/table29.xml"/><Relationship Id="rId7" Type="http://schemas.openxmlformats.org/officeDocument/2006/relationships/table" Target="../tables/table15.xml"/><Relationship Id="rId12" Type="http://schemas.openxmlformats.org/officeDocument/2006/relationships/table" Target="../tables/table20.xml"/><Relationship Id="rId17" Type="http://schemas.openxmlformats.org/officeDocument/2006/relationships/table" Target="../tables/table25.xml"/><Relationship Id="rId2" Type="http://schemas.openxmlformats.org/officeDocument/2006/relationships/table" Target="../tables/table10.xml"/><Relationship Id="rId16" Type="http://schemas.openxmlformats.org/officeDocument/2006/relationships/table" Target="../tables/table24.xml"/><Relationship Id="rId20" Type="http://schemas.openxmlformats.org/officeDocument/2006/relationships/table" Target="../tables/table28.xml"/><Relationship Id="rId1" Type="http://schemas.openxmlformats.org/officeDocument/2006/relationships/printerSettings" Target="../printerSettings/printerSettings7.bin"/><Relationship Id="rId6" Type="http://schemas.openxmlformats.org/officeDocument/2006/relationships/table" Target="../tables/table14.xml"/><Relationship Id="rId11" Type="http://schemas.openxmlformats.org/officeDocument/2006/relationships/table" Target="../tables/table19.xml"/><Relationship Id="rId5" Type="http://schemas.openxmlformats.org/officeDocument/2006/relationships/table" Target="../tables/table13.xml"/><Relationship Id="rId15" Type="http://schemas.openxmlformats.org/officeDocument/2006/relationships/table" Target="../tables/table23.xml"/><Relationship Id="rId10" Type="http://schemas.openxmlformats.org/officeDocument/2006/relationships/table" Target="../tables/table18.xml"/><Relationship Id="rId19" Type="http://schemas.openxmlformats.org/officeDocument/2006/relationships/table" Target="../tables/table27.xml"/><Relationship Id="rId4" Type="http://schemas.openxmlformats.org/officeDocument/2006/relationships/table" Target="../tables/table12.xml"/><Relationship Id="rId9" Type="http://schemas.openxmlformats.org/officeDocument/2006/relationships/table" Target="../tables/table17.xml"/><Relationship Id="rId14" Type="http://schemas.openxmlformats.org/officeDocument/2006/relationships/table" Target="../tables/table22.xml"/><Relationship Id="rId22" Type="http://schemas.openxmlformats.org/officeDocument/2006/relationships/table" Target="../tables/table30.xml"/></Relationships>
</file>

<file path=xl/worksheets/_rels/sheet12.xml.rels><?xml version="1.0" encoding="UTF-8" standalone="yes"?>
<Relationships xmlns="http://schemas.openxmlformats.org/package/2006/relationships"><Relationship Id="rId2" Type="http://schemas.openxmlformats.org/officeDocument/2006/relationships/table" Target="../tables/table31.xml"/><Relationship Id="rId1" Type="http://schemas.openxmlformats.org/officeDocument/2006/relationships/printerSettings" Target="../printerSettings/printerSettings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CF26AA-F4FA-460F-9B3A-C19960195F0B}">
  <dimension ref="A1:A8"/>
  <sheetViews>
    <sheetView zoomScaleNormal="100" workbookViewId="0">
      <selection activeCell="A25" sqref="A25"/>
    </sheetView>
  </sheetViews>
  <sheetFormatPr defaultRowHeight="15" x14ac:dyDescent="0.25"/>
  <sheetData>
    <row r="1" spans="1:1" x14ac:dyDescent="0.25">
      <c r="A1" t="s">
        <v>357</v>
      </c>
    </row>
    <row r="3" spans="1:1" x14ac:dyDescent="0.25">
      <c r="A3" s="146" t="str">
        <f>HYPERLINK("#'Home'!A1", "Home")</f>
        <v>Home</v>
      </c>
    </row>
    <row r="6" spans="1:1" x14ac:dyDescent="0.25">
      <c r="A6" s="145" t="s">
        <v>1</v>
      </c>
    </row>
    <row r="7" spans="1:1" ht="15.75" x14ac:dyDescent="0.25">
      <c r="A7" s="17" t="str">
        <f>HYPERLINK("#'Constants - Common'!A1", "Constants - Common")</f>
        <v>Constants - Common</v>
      </c>
    </row>
    <row r="8" spans="1:1" ht="15.75" x14ac:dyDescent="0.25">
      <c r="A8" s="17" t="str">
        <f>HYPERLINK("#'Acknowledgements'!A1", "Acknowledgements")</f>
        <v>Acknowledgements</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158DA9-14A0-4A7B-BE9B-F61C0C2C127D}">
  <dimension ref="A1:BL82"/>
  <sheetViews>
    <sheetView showGridLines="0" zoomScaleNormal="100" workbookViewId="0">
      <selection activeCell="A25" sqref="A25"/>
    </sheetView>
  </sheetViews>
  <sheetFormatPr defaultRowHeight="15" x14ac:dyDescent="0.25"/>
  <cols>
    <col min="1" max="1" width="30.7109375" customWidth="1"/>
    <col min="2" max="3" width="4.7109375" customWidth="1"/>
  </cols>
  <sheetData>
    <row r="1" spans="1:64" ht="30" customHeight="1" x14ac:dyDescent="0.35">
      <c r="A1" s="66" t="e" vm="1">
        <v>#VALUE!</v>
      </c>
      <c r="C1" s="139" t="s">
        <v>344</v>
      </c>
      <c r="D1" s="140"/>
      <c r="E1" s="140"/>
      <c r="F1" s="140"/>
      <c r="G1" s="140"/>
      <c r="H1" s="140"/>
      <c r="I1" s="140"/>
      <c r="J1" s="140"/>
      <c r="K1" s="140"/>
      <c r="L1" s="140"/>
      <c r="M1" s="140"/>
      <c r="N1" s="140"/>
      <c r="O1" s="140"/>
      <c r="P1" s="140"/>
      <c r="Q1" s="140"/>
      <c r="R1" s="140"/>
      <c r="S1" s="140"/>
      <c r="T1" s="140"/>
      <c r="U1" s="140"/>
      <c r="V1" s="140"/>
      <c r="W1" s="140"/>
      <c r="X1" s="140"/>
      <c r="Y1" s="140"/>
      <c r="Z1" s="140"/>
      <c r="AA1" s="140"/>
      <c r="AB1" s="140"/>
      <c r="AC1" s="140"/>
      <c r="AD1" s="140"/>
      <c r="AE1" s="140"/>
      <c r="AF1" s="140"/>
      <c r="AG1" s="140"/>
    </row>
    <row r="2" spans="1:64" ht="20.100000000000001" customHeight="1" x14ac:dyDescent="0.25">
      <c r="C2" s="140"/>
      <c r="D2" s="140"/>
      <c r="E2" s="140"/>
      <c r="F2" s="140"/>
      <c r="G2" s="140"/>
      <c r="H2" s="140"/>
      <c r="I2" s="140"/>
      <c r="J2" s="140"/>
      <c r="K2" s="140"/>
      <c r="L2" s="140"/>
      <c r="M2" s="140"/>
      <c r="N2" s="140"/>
      <c r="O2" s="140"/>
      <c r="P2" s="140"/>
      <c r="Q2" s="140"/>
      <c r="R2" s="140"/>
      <c r="S2" s="140"/>
      <c r="T2" s="140"/>
      <c r="U2" s="140"/>
      <c r="V2" s="140"/>
      <c r="W2" s="140"/>
      <c r="X2" s="140"/>
      <c r="Y2" s="140"/>
      <c r="Z2" s="140"/>
      <c r="AA2" s="140"/>
      <c r="AB2" s="140"/>
      <c r="AC2" s="140"/>
      <c r="AD2" s="140"/>
      <c r="AE2" s="140"/>
      <c r="AF2" s="140"/>
      <c r="AG2" s="140"/>
    </row>
    <row r="3" spans="1:64" ht="20.100000000000001" customHeight="1" x14ac:dyDescent="0.25">
      <c r="A3" s="17" t="str">
        <f>HYPERLINK("#'Home'!A1", "Home")</f>
        <v>Home</v>
      </c>
      <c r="C3" s="141"/>
      <c r="D3" s="141"/>
      <c r="E3" s="141"/>
      <c r="F3" s="141"/>
      <c r="G3" s="141"/>
      <c r="H3" s="141"/>
      <c r="I3" s="141"/>
      <c r="J3" s="141"/>
      <c r="K3" s="141"/>
      <c r="L3" s="141"/>
      <c r="M3" s="141"/>
      <c r="N3" s="141"/>
      <c r="O3" s="141"/>
      <c r="P3" s="141"/>
      <c r="Q3" s="141"/>
      <c r="R3" s="141"/>
      <c r="S3" s="141"/>
      <c r="T3" s="141"/>
      <c r="U3" s="141"/>
      <c r="V3" s="141"/>
      <c r="W3" s="141"/>
      <c r="X3" s="141"/>
      <c r="Y3" s="141"/>
      <c r="Z3" s="141"/>
      <c r="AA3" s="141"/>
      <c r="AB3" s="141"/>
      <c r="AC3" s="141"/>
      <c r="AD3" s="141"/>
      <c r="AE3" s="141"/>
      <c r="AF3" s="141"/>
      <c r="AG3" s="141"/>
      <c r="AH3" s="141"/>
      <c r="AI3" s="141"/>
      <c r="AJ3" s="141"/>
      <c r="AK3" s="141"/>
      <c r="AL3" s="141"/>
      <c r="AM3" s="141"/>
      <c r="AN3" s="141"/>
      <c r="AO3" s="141"/>
      <c r="AP3" s="141"/>
      <c r="AQ3" s="141"/>
      <c r="AR3" s="141"/>
      <c r="AS3" s="141"/>
      <c r="AT3" s="141"/>
      <c r="AU3" s="141"/>
      <c r="AV3" s="141"/>
      <c r="AW3" s="141"/>
      <c r="AX3" s="141"/>
      <c r="AY3" s="141"/>
      <c r="AZ3" s="141"/>
      <c r="BA3" s="141"/>
      <c r="BB3" s="141"/>
      <c r="BC3" s="141"/>
      <c r="BD3" s="141"/>
      <c r="BE3" s="141"/>
      <c r="BF3" s="141"/>
      <c r="BG3" s="141"/>
      <c r="BH3" s="141"/>
      <c r="BI3" s="141"/>
      <c r="BJ3" s="141"/>
      <c r="BK3" s="141"/>
      <c r="BL3" s="141"/>
    </row>
    <row r="4" spans="1:64" ht="20.100000000000001" customHeight="1" x14ac:dyDescent="0.25">
      <c r="A4" s="123" t="str">
        <f>HYPERLINK("#'Overview'!A1", "Overview")</f>
        <v>Overview</v>
      </c>
      <c r="C4" s="1"/>
      <c r="D4" s="1"/>
      <c r="E4" s="1"/>
      <c r="F4" s="1"/>
      <c r="G4" s="1"/>
      <c r="H4" s="1"/>
      <c r="I4" s="1"/>
      <c r="J4" s="1"/>
      <c r="K4" s="1"/>
      <c r="L4" s="1"/>
      <c r="M4" s="1"/>
      <c r="N4" s="1"/>
      <c r="O4" s="1"/>
      <c r="P4" s="1"/>
      <c r="Q4" s="1"/>
      <c r="R4" s="1"/>
      <c r="S4" s="1"/>
      <c r="T4" s="1"/>
      <c r="U4" s="1"/>
      <c r="V4" s="1"/>
      <c r="W4" s="1"/>
      <c r="X4" s="1"/>
      <c r="Y4" s="1"/>
      <c r="Z4" s="1"/>
      <c r="AA4" s="1"/>
      <c r="AB4" s="1"/>
      <c r="AC4" s="1"/>
      <c r="AD4" s="1"/>
      <c r="AE4" s="1"/>
      <c r="AF4" s="1"/>
      <c r="AG4" s="1"/>
      <c r="AH4" s="23"/>
      <c r="AI4" s="23"/>
      <c r="AJ4" s="23"/>
      <c r="AK4" s="23"/>
      <c r="AL4" s="23"/>
      <c r="AM4" s="23"/>
      <c r="AN4" s="23"/>
      <c r="AO4" s="23"/>
      <c r="AP4" s="23"/>
      <c r="AQ4" s="23"/>
      <c r="AR4" s="23"/>
      <c r="AS4" s="23"/>
      <c r="AT4" s="23"/>
      <c r="AU4" s="23"/>
      <c r="AV4" s="23"/>
      <c r="AW4" s="23"/>
      <c r="AX4" s="23"/>
      <c r="AY4" s="23"/>
      <c r="AZ4" s="23"/>
      <c r="BA4" s="23"/>
      <c r="BB4" s="23"/>
      <c r="BC4" s="23"/>
      <c r="BD4" s="23"/>
      <c r="BE4" s="23"/>
      <c r="BF4" s="23"/>
      <c r="BG4" s="23"/>
      <c r="BH4" s="23"/>
      <c r="BI4" s="23"/>
      <c r="BJ4" s="23"/>
      <c r="BK4" s="23"/>
      <c r="BL4" s="23"/>
    </row>
    <row r="5" spans="1:64" ht="20.100000000000001" customHeight="1" x14ac:dyDescent="0.25">
      <c r="A5" s="17" t="str">
        <f>HYPERLINK("#'Results'!A1", "Results")</f>
        <v>Results</v>
      </c>
      <c r="C5" s="1"/>
      <c r="D5" s="142" t="s">
        <v>342</v>
      </c>
      <c r="E5" s="142"/>
      <c r="F5" s="142"/>
      <c r="G5" s="142"/>
      <c r="H5" s="142"/>
      <c r="I5" s="112"/>
      <c r="J5" s="90"/>
      <c r="K5" s="90"/>
      <c r="L5" s="90"/>
      <c r="M5" s="90"/>
      <c r="N5" s="90"/>
      <c r="O5" s="90"/>
      <c r="P5" s="90"/>
      <c r="Q5" s="90"/>
      <c r="R5" s="90"/>
      <c r="S5" s="90"/>
      <c r="T5" s="90"/>
      <c r="U5" s="90"/>
      <c r="V5" s="86"/>
      <c r="W5" s="1"/>
      <c r="X5" s="1"/>
      <c r="Y5" s="1"/>
      <c r="Z5" s="1"/>
      <c r="AA5" s="1"/>
      <c r="AB5" s="1"/>
      <c r="AC5" s="1"/>
      <c r="AD5" s="1"/>
      <c r="AE5" s="1"/>
      <c r="AF5" s="1"/>
      <c r="AG5" s="1"/>
      <c r="AH5" s="23"/>
      <c r="AI5" s="23"/>
      <c r="AJ5" s="23"/>
      <c r="AK5" s="23"/>
      <c r="AL5" s="23"/>
      <c r="AM5" s="23"/>
      <c r="AN5" s="23"/>
      <c r="AO5" s="23"/>
      <c r="AP5" s="23"/>
      <c r="AQ5" s="23"/>
      <c r="AR5" s="23"/>
      <c r="AS5" s="23"/>
      <c r="AT5" s="23"/>
      <c r="AU5" s="23"/>
      <c r="AV5" s="23"/>
      <c r="AW5" s="23"/>
      <c r="AX5" s="23"/>
      <c r="AY5" s="23"/>
      <c r="AZ5" s="23"/>
      <c r="BA5" s="23"/>
      <c r="BB5" s="23"/>
      <c r="BC5" s="23"/>
      <c r="BD5" s="23"/>
      <c r="BE5" s="23"/>
      <c r="BF5" s="23"/>
      <c r="BG5" s="23"/>
      <c r="BH5" s="23"/>
      <c r="BI5" s="23"/>
      <c r="BJ5" s="23"/>
      <c r="BK5" s="23"/>
      <c r="BL5" s="23"/>
    </row>
    <row r="6" spans="1:64" ht="20.100000000000001" customHeight="1" x14ac:dyDescent="0.25">
      <c r="C6" s="1"/>
      <c r="D6" s="143" t="s">
        <v>343</v>
      </c>
      <c r="E6" s="144"/>
      <c r="F6" s="144"/>
      <c r="G6" s="144"/>
      <c r="H6" s="144"/>
      <c r="I6" s="92"/>
      <c r="J6" s="89"/>
      <c r="K6" s="89"/>
      <c r="L6" s="89"/>
      <c r="M6" s="89"/>
      <c r="N6" s="89"/>
      <c r="O6" s="89"/>
      <c r="P6" s="89"/>
      <c r="Q6" s="89"/>
      <c r="R6" s="89"/>
      <c r="S6" s="89"/>
      <c r="T6" s="89"/>
      <c r="U6" s="89"/>
      <c r="V6" s="87"/>
      <c r="W6" s="1"/>
      <c r="X6" s="1"/>
      <c r="Y6" s="1"/>
      <c r="Z6" s="1"/>
      <c r="AA6" s="1"/>
      <c r="AB6" s="1"/>
      <c r="AC6" s="1"/>
      <c r="AD6" s="1"/>
      <c r="AE6" s="1"/>
      <c r="AF6" s="1"/>
      <c r="AG6" s="1"/>
      <c r="AH6" s="23"/>
      <c r="AI6" s="23"/>
      <c r="AJ6" s="23"/>
      <c r="AK6" s="23"/>
      <c r="AL6" s="23"/>
      <c r="AM6" s="23"/>
      <c r="AN6" s="23"/>
      <c r="AO6" s="23"/>
      <c r="AP6" s="23"/>
      <c r="AQ6" s="23"/>
      <c r="AR6" s="23"/>
      <c r="AS6" s="23"/>
      <c r="AT6" s="23"/>
      <c r="AU6" s="23"/>
      <c r="AV6" s="23"/>
      <c r="AW6" s="23"/>
      <c r="AX6" s="23"/>
      <c r="AY6" s="23"/>
      <c r="AZ6" s="23"/>
      <c r="BA6" s="23"/>
      <c r="BB6" s="23"/>
      <c r="BC6" s="23"/>
      <c r="BD6" s="23"/>
      <c r="BE6" s="23"/>
      <c r="BF6" s="23"/>
      <c r="BG6" s="23"/>
      <c r="BH6" s="23"/>
      <c r="BI6" s="23"/>
      <c r="BJ6" s="23"/>
      <c r="BK6" s="23"/>
      <c r="BL6" s="23"/>
    </row>
    <row r="7" spans="1:64" ht="20.100000000000001" customHeight="1" x14ac:dyDescent="0.25">
      <c r="C7" s="1"/>
      <c r="D7" s="1"/>
      <c r="E7" s="1"/>
      <c r="F7" s="1"/>
      <c r="G7" s="1"/>
      <c r="H7" s="1"/>
      <c r="I7" s="1"/>
      <c r="J7" s="1"/>
      <c r="K7" s="1"/>
      <c r="L7" s="1"/>
      <c r="M7" s="1"/>
      <c r="N7" s="1"/>
      <c r="O7" s="1"/>
      <c r="P7" s="1"/>
      <c r="Q7" s="1"/>
      <c r="R7" s="1"/>
      <c r="S7" s="1"/>
      <c r="T7" s="1"/>
      <c r="U7" s="1"/>
      <c r="V7" s="1"/>
      <c r="W7" s="1"/>
      <c r="X7" s="1"/>
      <c r="Y7" s="1"/>
      <c r="Z7" s="1"/>
      <c r="AA7" s="1"/>
      <c r="AB7" s="1"/>
      <c r="AC7" s="1"/>
      <c r="AD7" s="1"/>
      <c r="AE7" s="1"/>
      <c r="AF7" s="1"/>
      <c r="AG7" s="1"/>
      <c r="AH7" s="23"/>
      <c r="AI7" s="23"/>
      <c r="AJ7" s="23"/>
      <c r="AK7" s="23"/>
      <c r="AL7" s="23"/>
      <c r="AM7" s="23"/>
      <c r="AN7" s="23"/>
      <c r="AO7" s="23"/>
      <c r="AP7" s="23"/>
      <c r="AQ7" s="23"/>
      <c r="AR7" s="23"/>
      <c r="AS7" s="23"/>
      <c r="AT7" s="23"/>
      <c r="AU7" s="23"/>
      <c r="AV7" s="23"/>
      <c r="AW7" s="23"/>
      <c r="AX7" s="23"/>
      <c r="AY7" s="23"/>
      <c r="AZ7" s="23"/>
      <c r="BA7" s="23"/>
      <c r="BB7" s="23"/>
      <c r="BC7" s="23"/>
      <c r="BD7" s="23"/>
      <c r="BE7" s="23"/>
      <c r="BF7" s="23"/>
      <c r="BG7" s="23"/>
      <c r="BH7" s="23"/>
      <c r="BI7" s="23"/>
      <c r="BJ7" s="23"/>
      <c r="BK7" s="23"/>
      <c r="BL7" s="23"/>
    </row>
    <row r="8" spans="1:64" ht="20.100000000000001" customHeight="1" x14ac:dyDescent="0.25">
      <c r="A8" s="19" t="s">
        <v>0</v>
      </c>
      <c r="C8" s="1"/>
      <c r="D8" s="1"/>
      <c r="E8" s="1"/>
      <c r="F8" s="1"/>
      <c r="G8" s="1"/>
      <c r="H8" s="1"/>
      <c r="I8" s="1"/>
      <c r="J8" s="1"/>
      <c r="K8" s="1"/>
      <c r="L8" s="1"/>
      <c r="M8" s="1"/>
      <c r="N8" s="1"/>
      <c r="O8" s="1"/>
      <c r="P8" s="1"/>
      <c r="Q8" s="1"/>
      <c r="R8" s="1"/>
      <c r="S8" s="1"/>
      <c r="T8" s="1"/>
      <c r="U8" s="1"/>
      <c r="V8" s="1"/>
      <c r="W8" s="1"/>
      <c r="X8" s="1"/>
      <c r="Y8" s="1"/>
      <c r="Z8" s="1"/>
      <c r="AA8" s="1"/>
      <c r="AB8" s="1"/>
      <c r="AC8" s="1"/>
      <c r="AD8" s="1"/>
      <c r="AE8" s="1"/>
      <c r="AF8" s="1"/>
      <c r="AG8" s="1"/>
      <c r="AH8" s="23"/>
      <c r="AI8" s="23"/>
      <c r="AJ8" s="23"/>
      <c r="AK8" s="23"/>
      <c r="AL8" s="23"/>
      <c r="AM8" s="23"/>
      <c r="AN8" s="23"/>
      <c r="AO8" s="23"/>
      <c r="AP8" s="23"/>
      <c r="AQ8" s="23"/>
      <c r="AR8" s="23"/>
      <c r="AS8" s="23"/>
      <c r="AT8" s="23"/>
      <c r="AU8" s="23"/>
      <c r="AV8" s="23"/>
      <c r="AW8" s="23"/>
      <c r="AX8" s="23"/>
      <c r="AY8" s="23"/>
      <c r="AZ8" s="23"/>
      <c r="BA8" s="23"/>
      <c r="BB8" s="23"/>
      <c r="BC8" s="23"/>
      <c r="BD8" s="23"/>
      <c r="BE8" s="23"/>
      <c r="BF8" s="23"/>
      <c r="BG8" s="23"/>
      <c r="BH8" s="23"/>
      <c r="BI8" s="23"/>
      <c r="BJ8" s="23"/>
      <c r="BK8" s="23"/>
      <c r="BL8" s="23"/>
    </row>
    <row r="9" spans="1:64" ht="20.100000000000001" customHeight="1" x14ac:dyDescent="0.25">
      <c r="A9" s="17" t="str">
        <f>HYPERLINK("#'Input - Site'!A1", "Site")</f>
        <v>Site</v>
      </c>
      <c r="C9" s="1"/>
      <c r="D9" s="1"/>
      <c r="E9" s="1"/>
      <c r="F9" s="1"/>
      <c r="G9" s="1"/>
      <c r="H9" s="1"/>
      <c r="I9" s="1"/>
      <c r="J9" s="1"/>
      <c r="K9" s="1"/>
      <c r="L9" s="1"/>
      <c r="M9" s="1"/>
      <c r="N9" s="1"/>
      <c r="O9" s="1"/>
      <c r="P9" s="1"/>
      <c r="Q9" s="1"/>
      <c r="R9" s="1"/>
      <c r="S9" s="1"/>
      <c r="T9" s="1"/>
      <c r="U9" s="1"/>
      <c r="V9" s="1"/>
      <c r="W9" s="1"/>
      <c r="X9" s="1"/>
      <c r="Y9" s="1"/>
      <c r="Z9" s="1"/>
      <c r="AA9" s="1"/>
      <c r="AB9" s="1"/>
      <c r="AC9" s="1"/>
      <c r="AD9" s="1"/>
      <c r="AE9" s="1"/>
      <c r="AF9" s="1"/>
      <c r="AG9" s="1"/>
      <c r="AH9" s="23"/>
      <c r="AI9" s="23"/>
      <c r="AJ9" s="23"/>
      <c r="AK9" s="23"/>
      <c r="AL9" s="23"/>
      <c r="AM9" s="23"/>
      <c r="AN9" s="23"/>
      <c r="AO9" s="23"/>
      <c r="AP9" s="23"/>
      <c r="AQ9" s="23"/>
      <c r="AR9" s="23"/>
      <c r="AS9" s="23"/>
      <c r="AT9" s="23"/>
      <c r="AU9" s="23"/>
      <c r="AV9" s="23"/>
      <c r="AW9" s="23"/>
      <c r="AX9" s="23"/>
      <c r="AY9" s="23"/>
      <c r="AZ9" s="23"/>
      <c r="BA9" s="23"/>
      <c r="BB9" s="23"/>
      <c r="BC9" s="23"/>
      <c r="BD9" s="23"/>
      <c r="BE9" s="23"/>
      <c r="BF9" s="23"/>
      <c r="BG9" s="23"/>
      <c r="BH9" s="23"/>
      <c r="BI9" s="23"/>
      <c r="BJ9" s="23"/>
      <c r="BK9" s="23"/>
      <c r="BL9" s="23"/>
    </row>
    <row r="10" spans="1:64" ht="20.100000000000001" customHeight="1" x14ac:dyDescent="0.25">
      <c r="A10" s="17" t="str">
        <f>HYPERLINK("#'Input - Feedlot'!A1", "Feedlot")</f>
        <v>Feedlot</v>
      </c>
      <c r="C10" s="1"/>
      <c r="D10" s="1"/>
      <c r="E10" s="1"/>
      <c r="F10" s="1"/>
      <c r="G10" s="1"/>
      <c r="H10" s="1"/>
      <c r="I10" s="1"/>
      <c r="J10" s="1"/>
      <c r="K10" s="1"/>
      <c r="L10" s="1"/>
      <c r="M10" s="1"/>
      <c r="N10" s="1"/>
      <c r="O10" s="1"/>
      <c r="P10" s="1"/>
      <c r="Q10" s="1"/>
      <c r="R10" s="1"/>
      <c r="S10" s="1"/>
      <c r="T10" s="1"/>
      <c r="U10" s="1"/>
      <c r="V10" s="1"/>
      <c r="W10" s="1"/>
      <c r="X10" s="1"/>
      <c r="Y10" s="1"/>
      <c r="Z10" s="1"/>
      <c r="AA10" s="1"/>
      <c r="AB10" s="1"/>
      <c r="AC10" s="1"/>
      <c r="AD10" s="1"/>
      <c r="AE10" s="1"/>
      <c r="AF10" s="1"/>
      <c r="AG10" s="1"/>
      <c r="AH10" s="23"/>
      <c r="AI10" s="23"/>
      <c r="AJ10" s="23"/>
      <c r="AK10" s="23"/>
      <c r="AL10" s="23"/>
      <c r="AM10" s="23"/>
      <c r="AN10" s="23"/>
      <c r="AO10" s="23"/>
      <c r="AP10" s="23"/>
      <c r="AQ10" s="23"/>
      <c r="AR10" s="23"/>
      <c r="AS10" s="23"/>
      <c r="AT10" s="23"/>
      <c r="AU10" s="23"/>
      <c r="AV10" s="23"/>
      <c r="AW10" s="23"/>
      <c r="AX10" s="23"/>
      <c r="AY10" s="23"/>
      <c r="AZ10" s="23"/>
      <c r="BA10" s="23"/>
      <c r="BB10" s="23"/>
      <c r="BC10" s="23"/>
      <c r="BD10" s="23"/>
      <c r="BE10" s="23"/>
      <c r="BF10" s="23"/>
      <c r="BG10" s="23"/>
      <c r="BH10" s="23"/>
      <c r="BI10" s="23"/>
      <c r="BJ10" s="23"/>
      <c r="BK10" s="23"/>
      <c r="BL10" s="23"/>
    </row>
    <row r="11" spans="1:64" ht="20.100000000000001" customHeight="1" x14ac:dyDescent="0.25">
      <c r="C11" s="1"/>
      <c r="D11" s="1"/>
      <c r="E11" s="1"/>
      <c r="F11" s="1"/>
      <c r="G11" s="1"/>
      <c r="H11" s="1"/>
      <c r="I11" s="1"/>
      <c r="J11" s="1"/>
      <c r="K11" s="1"/>
      <c r="L11" s="1"/>
      <c r="M11" s="1"/>
      <c r="N11" s="1"/>
      <c r="O11" s="1"/>
      <c r="P11" s="1"/>
      <c r="Q11" s="1"/>
      <c r="R11" s="1"/>
      <c r="S11" s="1"/>
      <c r="T11" s="1"/>
      <c r="U11" s="1"/>
      <c r="V11" s="1"/>
      <c r="W11" s="1"/>
      <c r="X11" s="1"/>
      <c r="Y11" s="1"/>
      <c r="Z11" s="1"/>
      <c r="AA11" s="1"/>
      <c r="AB11" s="1"/>
      <c r="AC11" s="1"/>
      <c r="AD11" s="1"/>
      <c r="AE11" s="1"/>
      <c r="AF11" s="1"/>
      <c r="AG11" s="1"/>
      <c r="AH11" s="23"/>
      <c r="AI11" s="23"/>
      <c r="AJ11" s="23"/>
      <c r="AK11" s="23"/>
      <c r="AL11" s="23"/>
      <c r="AM11" s="23"/>
      <c r="AN11" s="23"/>
      <c r="AO11" s="23"/>
      <c r="AP11" s="23"/>
      <c r="AQ11" s="23"/>
      <c r="AR11" s="23"/>
      <c r="AS11" s="23"/>
      <c r="AT11" s="23"/>
      <c r="AU11" s="23"/>
      <c r="AV11" s="23"/>
      <c r="AW11" s="23"/>
      <c r="AX11" s="23"/>
      <c r="AY11" s="23"/>
      <c r="AZ11" s="23"/>
      <c r="BA11" s="23"/>
      <c r="BB11" s="23"/>
      <c r="BC11" s="23"/>
      <c r="BD11" s="23"/>
      <c r="BE11" s="23"/>
      <c r="BF11" s="23"/>
      <c r="BG11" s="23"/>
      <c r="BH11" s="23"/>
      <c r="BI11" s="23"/>
      <c r="BJ11" s="23"/>
      <c r="BK11" s="23"/>
      <c r="BL11" s="23"/>
    </row>
    <row r="12" spans="1:64" ht="20.100000000000001" customHeight="1" x14ac:dyDescent="0.25">
      <c r="C12" s="1"/>
      <c r="D12" s="1"/>
      <c r="E12" s="1"/>
      <c r="F12" s="1"/>
      <c r="G12" s="1"/>
      <c r="H12" s="1"/>
      <c r="I12" s="1"/>
      <c r="J12" s="1"/>
      <c r="K12" s="1"/>
      <c r="L12" s="1"/>
      <c r="M12" s="1"/>
      <c r="N12" s="1"/>
      <c r="O12" s="1"/>
      <c r="P12" s="1"/>
      <c r="Q12" s="1"/>
      <c r="R12" s="1"/>
      <c r="S12" s="1"/>
      <c r="T12" s="1"/>
      <c r="U12" s="1"/>
      <c r="V12" s="1"/>
      <c r="W12" s="1"/>
      <c r="X12" s="1"/>
      <c r="Y12" s="1"/>
      <c r="Z12" s="1"/>
      <c r="AA12" s="1"/>
      <c r="AB12" s="1"/>
      <c r="AC12" s="1"/>
      <c r="AD12" s="1"/>
      <c r="AE12" s="1"/>
      <c r="AF12" s="1"/>
      <c r="AG12" s="1"/>
      <c r="AH12" s="23"/>
      <c r="AI12" s="23"/>
      <c r="AJ12" s="23"/>
      <c r="AK12" s="23"/>
      <c r="AL12" s="23"/>
      <c r="AM12" s="23"/>
      <c r="AN12" s="23"/>
      <c r="AO12" s="23"/>
      <c r="AP12" s="23"/>
      <c r="AQ12" s="23"/>
      <c r="AR12" s="23"/>
      <c r="AS12" s="23"/>
      <c r="AT12" s="23"/>
      <c r="AU12" s="23"/>
      <c r="AV12" s="23"/>
      <c r="AW12" s="23"/>
      <c r="AX12" s="23"/>
      <c r="AY12" s="23"/>
      <c r="AZ12" s="23"/>
      <c r="BA12" s="23"/>
      <c r="BB12" s="23"/>
      <c r="BC12" s="23"/>
      <c r="BD12" s="23"/>
      <c r="BE12" s="23"/>
      <c r="BF12" s="23"/>
      <c r="BG12" s="23"/>
      <c r="BH12" s="23"/>
      <c r="BI12" s="23"/>
      <c r="BJ12" s="23"/>
      <c r="BK12" s="23"/>
      <c r="BL12" s="23"/>
    </row>
    <row r="13" spans="1:64" ht="20.100000000000001" customHeight="1" x14ac:dyDescent="0.25">
      <c r="A13" s="18" t="s">
        <v>71</v>
      </c>
      <c r="C13" s="1"/>
      <c r="D13" s="1"/>
      <c r="E13" s="1"/>
      <c r="F13" s="1"/>
      <c r="G13" s="1"/>
      <c r="H13" s="1"/>
      <c r="I13" s="1"/>
      <c r="J13" s="1"/>
      <c r="K13" s="1"/>
      <c r="L13" s="1"/>
      <c r="M13" s="1"/>
      <c r="N13" s="1"/>
      <c r="O13" s="1"/>
      <c r="P13" s="1"/>
      <c r="Q13" s="1"/>
      <c r="R13" s="1"/>
      <c r="S13" s="1"/>
      <c r="T13" s="1"/>
      <c r="U13" s="1"/>
      <c r="V13" s="1"/>
      <c r="W13" s="1"/>
      <c r="X13" s="1"/>
      <c r="Y13" s="1"/>
      <c r="Z13" s="1"/>
      <c r="AA13" s="1"/>
      <c r="AB13" s="1"/>
      <c r="AC13" s="1"/>
      <c r="AD13" s="1"/>
      <c r="AE13" s="1"/>
      <c r="AF13" s="1"/>
      <c r="AG13" s="1"/>
      <c r="AH13" s="23"/>
      <c r="AI13" s="23"/>
      <c r="AJ13" s="23"/>
      <c r="AK13" s="23"/>
      <c r="AL13" s="23"/>
      <c r="AM13" s="23"/>
      <c r="AN13" s="23"/>
      <c r="AO13" s="23"/>
      <c r="AP13" s="23"/>
      <c r="AQ13" s="23"/>
      <c r="AR13" s="23"/>
      <c r="AS13" s="23"/>
      <c r="AT13" s="23"/>
      <c r="AU13" s="23"/>
      <c r="AV13" s="23"/>
      <c r="AW13" s="23"/>
      <c r="AX13" s="23"/>
      <c r="AY13" s="23"/>
      <c r="AZ13" s="23"/>
      <c r="BA13" s="23"/>
      <c r="BB13" s="23"/>
      <c r="BC13" s="23"/>
      <c r="BD13" s="23"/>
      <c r="BE13" s="23"/>
      <c r="BF13" s="23"/>
      <c r="BG13" s="23"/>
      <c r="BH13" s="23"/>
      <c r="BI13" s="23"/>
      <c r="BJ13" s="23"/>
      <c r="BK13" s="23"/>
      <c r="BL13" s="23"/>
    </row>
    <row r="14" spans="1:64" ht="20.100000000000001" customHeight="1" x14ac:dyDescent="0.25">
      <c r="A14" s="17" t="str">
        <f>HYPERLINK("#'4.1.1.1-2 Methane'!A1", "4.1.1.1-2 Methane")</f>
        <v>4.1.1.1-2 Methane</v>
      </c>
      <c r="C14" s="1"/>
      <c r="D14" s="1"/>
      <c r="E14" s="1"/>
      <c r="F14" s="1"/>
      <c r="G14" s="1"/>
      <c r="H14" s="1"/>
      <c r="I14" s="1"/>
      <c r="J14" s="1"/>
      <c r="K14" s="1"/>
      <c r="L14" s="1"/>
      <c r="M14" s="1"/>
      <c r="N14" s="1"/>
      <c r="O14" s="1"/>
      <c r="P14" s="1"/>
      <c r="Q14" s="1"/>
      <c r="R14" s="1"/>
      <c r="S14" s="1"/>
      <c r="T14" s="1"/>
      <c r="U14" s="1"/>
      <c r="V14" s="1"/>
      <c r="W14" s="1"/>
      <c r="X14" s="1"/>
      <c r="Y14" s="1"/>
      <c r="Z14" s="1"/>
      <c r="AA14" s="1"/>
      <c r="AB14" s="1"/>
      <c r="AC14" s="1"/>
      <c r="AD14" s="1"/>
      <c r="AE14" s="1"/>
      <c r="AF14" s="1"/>
      <c r="AG14" s="1"/>
      <c r="AH14" s="23"/>
      <c r="AI14" s="23"/>
      <c r="AJ14" s="23"/>
      <c r="AK14" s="23"/>
      <c r="AL14" s="23"/>
      <c r="AM14" s="23"/>
      <c r="AN14" s="23"/>
      <c r="AO14" s="23"/>
      <c r="AP14" s="23"/>
      <c r="AQ14" s="23"/>
      <c r="AR14" s="23"/>
      <c r="AS14" s="23"/>
      <c r="AT14" s="23"/>
      <c r="AU14" s="23"/>
      <c r="AV14" s="23"/>
      <c r="AW14" s="23"/>
      <c r="AX14" s="23"/>
      <c r="AY14" s="23"/>
      <c r="AZ14" s="23"/>
      <c r="BA14" s="23"/>
      <c r="BB14" s="23"/>
      <c r="BC14" s="23"/>
      <c r="BD14" s="23"/>
      <c r="BE14" s="23"/>
      <c r="BF14" s="23"/>
      <c r="BG14" s="23"/>
      <c r="BH14" s="23"/>
      <c r="BI14" s="23"/>
      <c r="BJ14" s="23"/>
      <c r="BK14" s="23"/>
      <c r="BL14" s="23"/>
    </row>
    <row r="15" spans="1:64" ht="20.100000000000001" customHeight="1" x14ac:dyDescent="0.25">
      <c r="A15" s="17" t="str">
        <f>HYPERLINK("#'4.1.1.3-4 Direct N20'!A1", "4.1.1.3-4 Direct N20")</f>
        <v>4.1.1.3-4 Direct N20</v>
      </c>
      <c r="C15" s="1"/>
      <c r="D15" s="1"/>
      <c r="E15" s="1"/>
      <c r="F15" s="1"/>
      <c r="G15" s="1"/>
      <c r="H15" s="1"/>
      <c r="I15" s="1"/>
      <c r="J15" s="1"/>
      <c r="K15" s="1"/>
      <c r="L15" s="1"/>
      <c r="M15" s="1"/>
      <c r="N15" s="1"/>
      <c r="O15" s="1"/>
      <c r="P15" s="1"/>
      <c r="Q15" s="1"/>
      <c r="R15" s="1"/>
      <c r="S15" s="1"/>
      <c r="T15" s="1"/>
      <c r="U15" s="1"/>
      <c r="V15" s="1"/>
      <c r="W15" s="1"/>
      <c r="X15" s="1"/>
      <c r="Y15" s="1"/>
      <c r="Z15" s="1"/>
      <c r="AA15" s="1"/>
      <c r="AB15" s="1"/>
      <c r="AC15" s="1"/>
      <c r="AD15" s="1"/>
      <c r="AE15" s="1"/>
      <c r="AF15" s="1"/>
      <c r="AG15" s="1"/>
      <c r="AH15" s="23"/>
      <c r="AI15" s="23"/>
      <c r="AJ15" s="23"/>
      <c r="AK15" s="23"/>
      <c r="AL15" s="23"/>
      <c r="AM15" s="23"/>
      <c r="AN15" s="23"/>
      <c r="AO15" s="23"/>
      <c r="AP15" s="23"/>
      <c r="AQ15" s="23"/>
      <c r="AR15" s="23"/>
      <c r="AS15" s="23"/>
      <c r="AT15" s="23"/>
      <c r="AU15" s="23"/>
      <c r="AV15" s="23"/>
      <c r="AW15" s="23"/>
      <c r="AX15" s="23"/>
      <c r="AY15" s="23"/>
      <c r="AZ15" s="23"/>
      <c r="BA15" s="23"/>
      <c r="BB15" s="23"/>
      <c r="BC15" s="23"/>
      <c r="BD15" s="23"/>
      <c r="BE15" s="23"/>
      <c r="BF15" s="23"/>
      <c r="BG15" s="23"/>
      <c r="BH15" s="23"/>
      <c r="BI15" s="23"/>
      <c r="BJ15" s="23"/>
      <c r="BK15" s="23"/>
      <c r="BL15" s="23"/>
    </row>
    <row r="16" spans="1:64" ht="20.100000000000001" customHeight="1" x14ac:dyDescent="0.25">
      <c r="A16" s="17" t="str">
        <f>HYPERLINK("#'4.1.1.5-6 Atmos Deposition'!A1", "4.1.1.5-6 Atmos Deposition")</f>
        <v>4.1.1.5-6 Atmos Deposition</v>
      </c>
      <c r="C16" s="1"/>
      <c r="D16" s="1"/>
      <c r="E16" s="1"/>
      <c r="F16" s="1"/>
      <c r="G16" s="1"/>
      <c r="H16" s="1"/>
      <c r="I16" s="1"/>
      <c r="J16" s="1"/>
      <c r="K16" s="1"/>
      <c r="L16" s="1"/>
      <c r="M16" s="1"/>
      <c r="N16" s="1"/>
      <c r="O16" s="1"/>
      <c r="P16" s="1"/>
      <c r="Q16" s="1"/>
      <c r="R16" s="1"/>
      <c r="S16" s="1"/>
      <c r="T16" s="1"/>
      <c r="U16" s="1"/>
      <c r="V16" s="1"/>
      <c r="W16" s="1"/>
      <c r="X16" s="1"/>
      <c r="Y16" s="1"/>
      <c r="Z16" s="1"/>
      <c r="AA16" s="1"/>
      <c r="AB16" s="1"/>
      <c r="AC16" s="1"/>
      <c r="AD16" s="1"/>
      <c r="AE16" s="1"/>
      <c r="AF16" s="1"/>
      <c r="AG16" s="1"/>
      <c r="AH16" s="23"/>
      <c r="AI16" s="23"/>
      <c r="AJ16" s="23"/>
      <c r="AK16" s="23"/>
      <c r="AL16" s="23"/>
      <c r="AM16" s="23"/>
      <c r="AN16" s="23"/>
      <c r="AO16" s="23"/>
      <c r="AP16" s="23"/>
      <c r="AQ16" s="23"/>
      <c r="AR16" s="23"/>
      <c r="AS16" s="23"/>
      <c r="AT16" s="23"/>
      <c r="AU16" s="23"/>
      <c r="AV16" s="23"/>
      <c r="AW16" s="23"/>
      <c r="AX16" s="23"/>
      <c r="AY16" s="23"/>
      <c r="AZ16" s="23"/>
      <c r="BA16" s="23"/>
      <c r="BB16" s="23"/>
      <c r="BC16" s="23"/>
      <c r="BD16" s="23"/>
      <c r="BE16" s="23"/>
      <c r="BF16" s="23"/>
      <c r="BG16" s="23"/>
      <c r="BH16" s="23"/>
      <c r="BI16" s="23"/>
      <c r="BJ16" s="23"/>
      <c r="BK16" s="23"/>
      <c r="BL16" s="23"/>
    </row>
    <row r="17" spans="1:64" ht="20.100000000000001" customHeight="1" x14ac:dyDescent="0.25">
      <c r="A17" s="17" t="str">
        <f>HYPERLINK("#'4.1.1.9 Manure applied to soils'!A1", "4.1.1.9 Manure applied to soils")</f>
        <v>4.1.1.9 Manure applied to soils</v>
      </c>
      <c r="C17" s="1"/>
      <c r="D17" s="1"/>
      <c r="E17" s="1"/>
      <c r="F17" s="1"/>
      <c r="G17" s="1"/>
      <c r="H17" s="1"/>
      <c r="I17" s="1"/>
      <c r="J17" s="1"/>
      <c r="K17" s="1"/>
      <c r="L17" s="1"/>
      <c r="M17" s="1"/>
      <c r="N17" s="1"/>
      <c r="O17" s="1"/>
      <c r="P17" s="1"/>
      <c r="Q17" s="1"/>
      <c r="R17" s="1"/>
      <c r="S17" s="1"/>
      <c r="T17" s="1"/>
      <c r="U17" s="1"/>
      <c r="V17" s="1"/>
      <c r="W17" s="1"/>
      <c r="X17" s="1"/>
      <c r="Y17" s="1"/>
      <c r="Z17" s="1"/>
      <c r="AA17" s="1"/>
      <c r="AB17" s="1"/>
      <c r="AC17" s="1"/>
      <c r="AD17" s="1"/>
      <c r="AE17" s="1"/>
      <c r="AF17" s="1"/>
      <c r="AG17" s="1"/>
      <c r="AH17" s="23"/>
      <c r="AI17" s="23"/>
      <c r="AJ17" s="23"/>
      <c r="AK17" s="23"/>
      <c r="AL17" s="23"/>
      <c r="AM17" s="23"/>
      <c r="AN17" s="23"/>
      <c r="AO17" s="23"/>
      <c r="AP17" s="23"/>
      <c r="AQ17" s="23"/>
      <c r="AR17" s="23"/>
      <c r="AS17" s="23"/>
      <c r="AT17" s="23"/>
      <c r="AU17" s="23"/>
      <c r="AV17" s="23"/>
      <c r="AW17" s="23"/>
      <c r="AX17" s="23"/>
      <c r="AY17" s="23"/>
      <c r="AZ17" s="23"/>
      <c r="BA17" s="23"/>
      <c r="BB17" s="23"/>
      <c r="BC17" s="23"/>
      <c r="BD17" s="23"/>
      <c r="BE17" s="23"/>
      <c r="BF17" s="23"/>
      <c r="BG17" s="23"/>
      <c r="BH17" s="23"/>
      <c r="BI17" s="23"/>
      <c r="BJ17" s="23"/>
      <c r="BK17" s="23"/>
      <c r="BL17" s="23"/>
    </row>
    <row r="18" spans="1:64" ht="20.100000000000001" customHeight="1" x14ac:dyDescent="0.25">
      <c r="C18" s="1"/>
      <c r="D18" s="1"/>
      <c r="E18" s="1"/>
      <c r="F18" s="1"/>
      <c r="G18" s="1"/>
      <c r="H18" s="1"/>
      <c r="I18" s="1"/>
      <c r="J18" s="1"/>
      <c r="K18" s="1"/>
      <c r="L18" s="1"/>
      <c r="M18" s="1"/>
      <c r="N18" s="1"/>
      <c r="O18" s="1"/>
      <c r="P18" s="1"/>
      <c r="Q18" s="1"/>
      <c r="R18" s="1"/>
      <c r="S18" s="1"/>
      <c r="T18" s="1"/>
      <c r="U18" s="1"/>
      <c r="V18" s="1"/>
      <c r="W18" s="1"/>
      <c r="X18" s="1"/>
      <c r="Y18" s="1"/>
      <c r="Z18" s="1"/>
      <c r="AA18" s="1"/>
      <c r="AB18" s="1"/>
      <c r="AC18" s="1"/>
      <c r="AD18" s="1"/>
      <c r="AE18" s="1"/>
      <c r="AF18" s="1"/>
      <c r="AG18" s="1"/>
      <c r="AH18" s="23"/>
      <c r="AI18" s="23"/>
      <c r="AJ18" s="23"/>
      <c r="AK18" s="23"/>
      <c r="AL18" s="23"/>
      <c r="AM18" s="23"/>
      <c r="AN18" s="23"/>
      <c r="AO18" s="23"/>
      <c r="AP18" s="23"/>
      <c r="AQ18" s="23"/>
      <c r="AR18" s="23"/>
      <c r="AS18" s="23"/>
      <c r="AT18" s="23"/>
      <c r="AU18" s="23"/>
      <c r="AV18" s="23"/>
      <c r="AW18" s="23"/>
      <c r="AX18" s="23"/>
      <c r="AY18" s="23"/>
      <c r="AZ18" s="23"/>
      <c r="BA18" s="23"/>
      <c r="BB18" s="23"/>
      <c r="BC18" s="23"/>
      <c r="BD18" s="23"/>
      <c r="BE18" s="23"/>
      <c r="BF18" s="23"/>
      <c r="BG18" s="23"/>
      <c r="BH18" s="23"/>
      <c r="BI18" s="23"/>
      <c r="BJ18" s="23"/>
      <c r="BK18" s="23"/>
      <c r="BL18" s="23"/>
    </row>
    <row r="19" spans="1:64" ht="20.100000000000001" customHeight="1" x14ac:dyDescent="0.25">
      <c r="C19" s="1"/>
      <c r="D19" s="1"/>
      <c r="E19" s="1"/>
      <c r="F19" s="1"/>
      <c r="G19" s="1"/>
      <c r="H19" s="1"/>
      <c r="I19" s="1"/>
      <c r="J19" s="1"/>
      <c r="K19" s="1"/>
      <c r="L19" s="1"/>
      <c r="M19" s="1"/>
      <c r="N19" s="1"/>
      <c r="O19" s="1"/>
      <c r="P19" s="1"/>
      <c r="Q19" s="1"/>
      <c r="R19" s="1"/>
      <c r="S19" s="1"/>
      <c r="T19" s="1"/>
      <c r="U19" s="1"/>
      <c r="V19" s="1"/>
      <c r="W19" s="1"/>
      <c r="X19" s="1"/>
      <c r="Y19" s="1"/>
      <c r="Z19" s="1"/>
      <c r="AA19" s="1"/>
      <c r="AB19" s="1"/>
      <c r="AC19" s="1"/>
      <c r="AD19" s="1"/>
      <c r="AE19" s="1"/>
      <c r="AF19" s="1"/>
      <c r="AG19" s="1"/>
      <c r="AH19" s="23"/>
      <c r="AI19" s="23"/>
      <c r="AJ19" s="23"/>
      <c r="AK19" s="23"/>
      <c r="AL19" s="23"/>
      <c r="AM19" s="23"/>
      <c r="AN19" s="23"/>
      <c r="AO19" s="23"/>
      <c r="AP19" s="23"/>
      <c r="AQ19" s="23"/>
      <c r="AR19" s="23"/>
      <c r="AS19" s="23"/>
      <c r="AT19" s="23"/>
      <c r="AU19" s="23"/>
      <c r="AV19" s="23"/>
      <c r="AW19" s="23"/>
      <c r="AX19" s="23"/>
      <c r="AY19" s="23"/>
      <c r="AZ19" s="23"/>
      <c r="BA19" s="23"/>
      <c r="BB19" s="23"/>
      <c r="BC19" s="23"/>
      <c r="BD19" s="23"/>
      <c r="BE19" s="23"/>
      <c r="BF19" s="23"/>
      <c r="BG19" s="23"/>
      <c r="BH19" s="23"/>
      <c r="BI19" s="23"/>
      <c r="BJ19" s="23"/>
      <c r="BK19" s="23"/>
      <c r="BL19" s="23"/>
    </row>
    <row r="20" spans="1:64" ht="20.100000000000001" customHeight="1" x14ac:dyDescent="0.25">
      <c r="A20" s="145" t="s">
        <v>1</v>
      </c>
      <c r="C20" s="1"/>
      <c r="D20" s="1"/>
      <c r="E20" s="1"/>
      <c r="F20" s="1"/>
      <c r="G20" s="1"/>
      <c r="H20" s="1"/>
      <c r="I20" s="1"/>
      <c r="J20" s="1"/>
      <c r="K20" s="1"/>
      <c r="L20" s="1"/>
      <c r="M20" s="1"/>
      <c r="N20" s="1"/>
      <c r="O20" s="1"/>
      <c r="P20" s="1"/>
      <c r="Q20" s="1"/>
      <c r="R20" s="1"/>
      <c r="S20" s="1"/>
      <c r="T20" s="1"/>
      <c r="U20" s="1"/>
      <c r="V20" s="1"/>
      <c r="W20" s="1"/>
      <c r="X20" s="1"/>
      <c r="Y20" s="1"/>
      <c r="Z20" s="1"/>
      <c r="AA20" s="1"/>
      <c r="AB20" s="1"/>
      <c r="AC20" s="1"/>
      <c r="AD20" s="1"/>
      <c r="AE20" s="1"/>
      <c r="AF20" s="1"/>
      <c r="AG20" s="1"/>
      <c r="AH20" s="23"/>
      <c r="AI20" s="23"/>
      <c r="AJ20" s="23"/>
      <c r="AK20" s="23"/>
      <c r="AL20" s="23"/>
      <c r="AM20" s="23"/>
      <c r="AN20" s="23"/>
      <c r="AO20" s="23"/>
      <c r="AP20" s="23"/>
      <c r="AQ20" s="23"/>
      <c r="AR20" s="23"/>
      <c r="AS20" s="23"/>
      <c r="AT20" s="23"/>
      <c r="AU20" s="23"/>
      <c r="AV20" s="23"/>
      <c r="AW20" s="23"/>
      <c r="AX20" s="23"/>
      <c r="AY20" s="23"/>
      <c r="AZ20" s="23"/>
      <c r="BA20" s="23"/>
      <c r="BB20" s="23"/>
      <c r="BC20" s="23"/>
      <c r="BD20" s="23"/>
      <c r="BE20" s="23"/>
      <c r="BF20" s="23"/>
      <c r="BG20" s="23"/>
      <c r="BH20" s="23"/>
      <c r="BI20" s="23"/>
      <c r="BJ20" s="23"/>
      <c r="BK20" s="23"/>
      <c r="BL20" s="23"/>
    </row>
    <row r="21" spans="1:64" ht="20.100000000000001" customHeight="1" x14ac:dyDescent="0.25">
      <c r="A21" s="17" t="str">
        <f>HYPERLINK("#'Constants - Feedlot'!A1", "Constants - Feedlot")</f>
        <v>Constants - Feedlot</v>
      </c>
      <c r="C21" s="1"/>
      <c r="D21" s="1"/>
      <c r="E21" s="1"/>
      <c r="F21" s="1"/>
      <c r="G21" s="1"/>
      <c r="H21" s="1"/>
      <c r="I21" s="1"/>
      <c r="J21" s="1"/>
      <c r="K21" s="1"/>
      <c r="L21" s="1"/>
      <c r="M21" s="1"/>
      <c r="N21" s="1"/>
      <c r="O21" s="1"/>
      <c r="P21" s="1"/>
      <c r="Q21" s="1"/>
      <c r="R21" s="1"/>
      <c r="S21" s="1"/>
      <c r="T21" s="1"/>
      <c r="U21" s="1"/>
      <c r="V21" s="1"/>
      <c r="W21" s="1"/>
      <c r="X21" s="1"/>
      <c r="Y21" s="1"/>
      <c r="Z21" s="1"/>
      <c r="AA21" s="1"/>
      <c r="AB21" s="1"/>
      <c r="AC21" s="1"/>
      <c r="AD21" s="1"/>
      <c r="AE21" s="1"/>
      <c r="AF21" s="1"/>
      <c r="AG21" s="1"/>
      <c r="AH21" s="23"/>
      <c r="AI21" s="23"/>
      <c r="AJ21" s="23"/>
      <c r="AK21" s="23"/>
      <c r="AL21" s="23"/>
      <c r="AM21" s="23"/>
      <c r="AN21" s="23"/>
      <c r="AO21" s="23"/>
      <c r="AP21" s="23"/>
      <c r="AQ21" s="23"/>
      <c r="AR21" s="23"/>
      <c r="AS21" s="23"/>
      <c r="AT21" s="23"/>
      <c r="AU21" s="23"/>
      <c r="AV21" s="23"/>
      <c r="AW21" s="23"/>
      <c r="AX21" s="23"/>
      <c r="AY21" s="23"/>
      <c r="AZ21" s="23"/>
      <c r="BA21" s="23"/>
      <c r="BB21" s="23"/>
      <c r="BC21" s="23"/>
      <c r="BD21" s="23"/>
      <c r="BE21" s="23"/>
      <c r="BF21" s="23"/>
      <c r="BG21" s="23"/>
      <c r="BH21" s="23"/>
      <c r="BI21" s="23"/>
      <c r="BJ21" s="23"/>
      <c r="BK21" s="23"/>
      <c r="BL21" s="23"/>
    </row>
    <row r="22" spans="1:64" ht="20.100000000000001" customHeight="1" x14ac:dyDescent="0.25">
      <c r="A22" s="17" t="str">
        <f>HYPERLINK("#'Constants - Common'!A1", "Constants - Common")</f>
        <v>Constants - Common</v>
      </c>
      <c r="C22" s="1"/>
      <c r="D22" s="1"/>
      <c r="E22" s="1"/>
      <c r="F22" s="1"/>
      <c r="G22" s="1"/>
      <c r="H22" s="1"/>
      <c r="I22" s="1"/>
      <c r="J22" s="1"/>
      <c r="K22" s="1"/>
      <c r="L22" s="1"/>
      <c r="M22" s="1"/>
      <c r="N22" s="1"/>
      <c r="O22" s="1"/>
      <c r="P22" s="1"/>
      <c r="Q22" s="1"/>
      <c r="R22" s="1"/>
      <c r="S22" s="1"/>
      <c r="T22" s="1"/>
      <c r="U22" s="1"/>
      <c r="V22" s="1"/>
      <c r="W22" s="1"/>
      <c r="X22" s="1"/>
      <c r="Y22" s="1"/>
      <c r="Z22" s="1"/>
      <c r="AA22" s="1"/>
      <c r="AB22" s="1"/>
      <c r="AC22" s="1"/>
      <c r="AD22" s="1"/>
      <c r="AE22" s="1"/>
      <c r="AF22" s="1"/>
      <c r="AG22" s="1"/>
      <c r="AH22" s="23"/>
      <c r="AI22" s="23"/>
      <c r="AJ22" s="23"/>
      <c r="AK22" s="23"/>
      <c r="AL22" s="23"/>
      <c r="AM22" s="23"/>
      <c r="AN22" s="23"/>
      <c r="AO22" s="23"/>
      <c r="AP22" s="23"/>
      <c r="AQ22" s="23"/>
      <c r="AR22" s="23"/>
      <c r="AS22" s="23"/>
      <c r="AT22" s="23"/>
      <c r="AU22" s="23"/>
      <c r="AV22" s="23"/>
      <c r="AW22" s="23"/>
      <c r="AX22" s="23"/>
      <c r="AY22" s="23"/>
      <c r="AZ22" s="23"/>
      <c r="BA22" s="23"/>
      <c r="BB22" s="23"/>
      <c r="BC22" s="23"/>
      <c r="BD22" s="23"/>
      <c r="BE22" s="23"/>
      <c r="BF22" s="23"/>
      <c r="BG22" s="23"/>
      <c r="BH22" s="23"/>
      <c r="BI22" s="23"/>
      <c r="BJ22" s="23"/>
      <c r="BK22" s="23"/>
      <c r="BL22" s="23"/>
    </row>
    <row r="23" spans="1:64" ht="20.100000000000001" customHeight="1" x14ac:dyDescent="0.25">
      <c r="A23" s="17" t="str">
        <f>HYPERLINK("#'Constants - Livestock'!A1", "Constants - Livestock")</f>
        <v>Constants - Livestock</v>
      </c>
      <c r="C23" s="1"/>
      <c r="D23" s="1"/>
      <c r="E23" s="1"/>
      <c r="F23" s="1"/>
      <c r="G23" s="1"/>
      <c r="H23" s="1"/>
      <c r="I23" s="1"/>
      <c r="J23" s="1"/>
      <c r="K23" s="1"/>
      <c r="L23" s="1"/>
      <c r="M23" s="1"/>
      <c r="N23" s="1"/>
      <c r="O23" s="1"/>
      <c r="P23" s="1"/>
      <c r="Q23" s="1"/>
      <c r="R23" s="1"/>
      <c r="S23" s="1"/>
      <c r="T23" s="1"/>
      <c r="U23" s="1"/>
      <c r="V23" s="1"/>
      <c r="W23" s="1"/>
      <c r="X23" s="1"/>
      <c r="Y23" s="1"/>
      <c r="Z23" s="1"/>
      <c r="AA23" s="1"/>
      <c r="AB23" s="1"/>
      <c r="AC23" s="1"/>
      <c r="AD23" s="1"/>
      <c r="AE23" s="1"/>
      <c r="AF23" s="1"/>
      <c r="AG23" s="1"/>
      <c r="AH23" s="23"/>
      <c r="AI23" s="23"/>
      <c r="AJ23" s="23"/>
      <c r="AK23" s="23"/>
      <c r="AL23" s="23"/>
      <c r="AM23" s="23"/>
      <c r="AN23" s="23"/>
      <c r="AO23" s="23"/>
      <c r="AP23" s="23"/>
      <c r="AQ23" s="23"/>
      <c r="AR23" s="23"/>
      <c r="AS23" s="23"/>
      <c r="AT23" s="23"/>
      <c r="AU23" s="23"/>
      <c r="AV23" s="23"/>
      <c r="AW23" s="23"/>
      <c r="AX23" s="23"/>
      <c r="AY23" s="23"/>
      <c r="AZ23" s="23"/>
      <c r="BA23" s="23"/>
      <c r="BB23" s="23"/>
      <c r="BC23" s="23"/>
      <c r="BD23" s="23"/>
      <c r="BE23" s="23"/>
      <c r="BF23" s="23"/>
      <c r="BG23" s="23"/>
      <c r="BH23" s="23"/>
      <c r="BI23" s="23"/>
      <c r="BJ23" s="23"/>
      <c r="BK23" s="23"/>
      <c r="BL23" s="23"/>
    </row>
    <row r="24" spans="1:64" ht="20.100000000000001" customHeight="1" x14ac:dyDescent="0.25">
      <c r="A24" s="17" t="str">
        <f>HYPERLINK("#'Acknowledgements'!A1", "Acknowledgements")</f>
        <v>Acknowledgements</v>
      </c>
      <c r="C24" s="1"/>
      <c r="D24" s="1"/>
      <c r="E24" s="1"/>
      <c r="F24" s="1"/>
      <c r="G24" s="1"/>
      <c r="H24" s="1"/>
      <c r="I24" s="1"/>
      <c r="J24" s="1"/>
      <c r="K24" s="1"/>
      <c r="L24" s="1"/>
      <c r="M24" s="1"/>
      <c r="N24" s="1"/>
      <c r="O24" s="1"/>
      <c r="P24" s="1"/>
      <c r="Q24" s="1"/>
      <c r="R24" s="1"/>
      <c r="S24" s="1"/>
      <c r="T24" s="1"/>
      <c r="U24" s="1"/>
      <c r="V24" s="1"/>
      <c r="W24" s="1"/>
      <c r="X24" s="1"/>
      <c r="Y24" s="1"/>
      <c r="Z24" s="1"/>
      <c r="AA24" s="1"/>
      <c r="AB24" s="1"/>
      <c r="AC24" s="1"/>
      <c r="AD24" s="1"/>
      <c r="AE24" s="1"/>
      <c r="AF24" s="1"/>
      <c r="AG24" s="1"/>
      <c r="AH24" s="23"/>
      <c r="AI24" s="23"/>
      <c r="AJ24" s="23"/>
      <c r="AK24" s="23"/>
      <c r="AL24" s="23"/>
      <c r="AM24" s="23"/>
      <c r="AN24" s="23"/>
      <c r="AO24" s="23"/>
      <c r="AP24" s="23"/>
      <c r="AQ24" s="23"/>
      <c r="AR24" s="23"/>
      <c r="AS24" s="23"/>
      <c r="AT24" s="23"/>
      <c r="AU24" s="23"/>
      <c r="AV24" s="23"/>
      <c r="AW24" s="23"/>
      <c r="AX24" s="23"/>
      <c r="AY24" s="23"/>
      <c r="AZ24" s="23"/>
      <c r="BA24" s="23"/>
      <c r="BB24" s="23"/>
      <c r="BC24" s="23"/>
      <c r="BD24" s="23"/>
      <c r="BE24" s="23"/>
      <c r="BF24" s="23"/>
      <c r="BG24" s="23"/>
      <c r="BH24" s="23"/>
      <c r="BI24" s="23"/>
      <c r="BJ24" s="23"/>
      <c r="BK24" s="23"/>
      <c r="BL24" s="23"/>
    </row>
    <row r="25" spans="1:64" ht="20.100000000000001" customHeight="1" x14ac:dyDescent="0.25">
      <c r="A25" s="17" t="str">
        <f>HYPERLINK("#'Tab template'!A1", "Tab template")</f>
        <v>Tab template</v>
      </c>
      <c r="C25" s="1"/>
      <c r="D25" s="1"/>
      <c r="E25" s="1"/>
      <c r="F25" s="1"/>
      <c r="G25" s="1"/>
      <c r="H25" s="1"/>
      <c r="I25" s="1"/>
      <c r="J25" s="1"/>
      <c r="K25" s="1"/>
      <c r="L25" s="1"/>
      <c r="M25" s="1"/>
      <c r="N25" s="1"/>
      <c r="O25" s="1"/>
      <c r="P25" s="1"/>
      <c r="Q25" s="1"/>
      <c r="R25" s="1"/>
      <c r="S25" s="1"/>
      <c r="T25" s="1"/>
      <c r="U25" s="1"/>
      <c r="V25" s="1"/>
      <c r="W25" s="1"/>
      <c r="X25" s="1"/>
      <c r="Y25" s="1"/>
      <c r="Z25" s="1"/>
      <c r="AA25" s="1"/>
      <c r="AB25" s="1"/>
      <c r="AC25" s="1"/>
      <c r="AD25" s="1"/>
      <c r="AE25" s="1"/>
      <c r="AF25" s="1"/>
      <c r="AG25" s="1"/>
      <c r="AH25" s="23"/>
      <c r="AI25" s="23"/>
      <c r="AJ25" s="23"/>
      <c r="AK25" s="23"/>
      <c r="AL25" s="23"/>
      <c r="AM25" s="23"/>
      <c r="AN25" s="23"/>
      <c r="AO25" s="23"/>
      <c r="AP25" s="23"/>
      <c r="AQ25" s="23"/>
      <c r="AR25" s="23"/>
      <c r="AS25" s="23"/>
      <c r="AT25" s="23"/>
      <c r="AU25" s="23"/>
      <c r="AV25" s="23"/>
      <c r="AW25" s="23"/>
      <c r="AX25" s="23"/>
      <c r="AY25" s="23"/>
      <c r="AZ25" s="23"/>
      <c r="BA25" s="23"/>
      <c r="BB25" s="23"/>
      <c r="BC25" s="23"/>
      <c r="BD25" s="23"/>
      <c r="BE25" s="23"/>
      <c r="BF25" s="23"/>
      <c r="BG25" s="23"/>
      <c r="BH25" s="23"/>
      <c r="BI25" s="23"/>
      <c r="BJ25" s="23"/>
      <c r="BK25" s="23"/>
      <c r="BL25" s="23"/>
    </row>
    <row r="26" spans="1:64" ht="20.100000000000001" customHeight="1" x14ac:dyDescent="0.25">
      <c r="C26" s="1"/>
      <c r="D26" s="1"/>
      <c r="E26" s="1"/>
      <c r="F26" s="1"/>
      <c r="G26" s="1"/>
      <c r="H26" s="1"/>
      <c r="I26" s="1"/>
      <c r="J26" s="1"/>
      <c r="K26" s="1"/>
      <c r="L26" s="1"/>
      <c r="M26" s="1"/>
      <c r="N26" s="1"/>
      <c r="O26" s="1"/>
      <c r="P26" s="1"/>
      <c r="Q26" s="1"/>
      <c r="R26" s="1"/>
      <c r="S26" s="1"/>
      <c r="T26" s="1"/>
      <c r="U26" s="1"/>
      <c r="V26" s="1"/>
      <c r="W26" s="1"/>
      <c r="X26" s="1"/>
      <c r="Y26" s="1"/>
      <c r="Z26" s="1"/>
      <c r="AA26" s="1"/>
      <c r="AB26" s="1"/>
      <c r="AC26" s="1"/>
      <c r="AD26" s="1"/>
      <c r="AE26" s="1"/>
      <c r="AF26" s="1"/>
      <c r="AG26" s="1"/>
      <c r="AH26" s="23"/>
      <c r="AI26" s="23"/>
      <c r="AJ26" s="23"/>
      <c r="AK26" s="23"/>
      <c r="AL26" s="23"/>
      <c r="AM26" s="23"/>
      <c r="AN26" s="23"/>
      <c r="AO26" s="23"/>
      <c r="AP26" s="23"/>
      <c r="AQ26" s="23"/>
      <c r="AR26" s="23"/>
      <c r="AS26" s="23"/>
      <c r="AT26" s="23"/>
      <c r="AU26" s="23"/>
      <c r="AV26" s="23"/>
      <c r="AW26" s="23"/>
      <c r="AX26" s="23"/>
      <c r="AY26" s="23"/>
      <c r="AZ26" s="23"/>
      <c r="BA26" s="23"/>
      <c r="BB26" s="23"/>
      <c r="BC26" s="23"/>
      <c r="BD26" s="23"/>
      <c r="BE26" s="23"/>
      <c r="BF26" s="23"/>
      <c r="BG26" s="23"/>
      <c r="BH26" s="23"/>
      <c r="BI26" s="23"/>
      <c r="BJ26" s="23"/>
      <c r="BK26" s="23"/>
      <c r="BL26" s="23"/>
    </row>
    <row r="27" spans="1:64" ht="20.100000000000001" customHeight="1" x14ac:dyDescent="0.25">
      <c r="C27" s="1"/>
      <c r="D27" s="1"/>
      <c r="E27" s="1"/>
      <c r="F27" s="1"/>
      <c r="G27" s="1"/>
      <c r="H27" s="1"/>
      <c r="I27" s="1"/>
      <c r="J27" s="1"/>
      <c r="K27" s="1"/>
      <c r="L27" s="1"/>
      <c r="M27" s="1"/>
      <c r="N27" s="1"/>
      <c r="O27" s="1"/>
      <c r="P27" s="1"/>
      <c r="Q27" s="1"/>
      <c r="R27" s="1"/>
      <c r="S27" s="1"/>
      <c r="T27" s="1"/>
      <c r="U27" s="1"/>
      <c r="V27" s="1"/>
      <c r="W27" s="1"/>
      <c r="X27" s="1"/>
      <c r="Y27" s="1"/>
      <c r="Z27" s="1"/>
      <c r="AA27" s="1"/>
      <c r="AB27" s="1"/>
      <c r="AC27" s="1"/>
      <c r="AD27" s="1"/>
      <c r="AE27" s="1"/>
      <c r="AF27" s="1"/>
      <c r="AG27" s="1"/>
      <c r="AH27" s="23"/>
      <c r="AI27" s="23"/>
      <c r="AJ27" s="23"/>
      <c r="AK27" s="23"/>
      <c r="AL27" s="23"/>
      <c r="AM27" s="23"/>
      <c r="AN27" s="23"/>
      <c r="AO27" s="23"/>
      <c r="AP27" s="23"/>
      <c r="AQ27" s="23"/>
      <c r="AR27" s="23"/>
      <c r="AS27" s="23"/>
      <c r="AT27" s="23"/>
      <c r="AU27" s="23"/>
      <c r="AV27" s="23"/>
      <c r="AW27" s="23"/>
      <c r="AX27" s="23"/>
      <c r="AY27" s="23"/>
      <c r="AZ27" s="23"/>
      <c r="BA27" s="23"/>
      <c r="BB27" s="23"/>
      <c r="BC27" s="23"/>
      <c r="BD27" s="23"/>
      <c r="BE27" s="23"/>
      <c r="BF27" s="23"/>
      <c r="BG27" s="23"/>
      <c r="BH27" s="23"/>
      <c r="BI27" s="23"/>
      <c r="BJ27" s="23"/>
      <c r="BK27" s="23"/>
      <c r="BL27" s="23"/>
    </row>
    <row r="28" spans="1:64" ht="20.100000000000001" customHeight="1" x14ac:dyDescent="0.25">
      <c r="C28" s="1"/>
      <c r="D28" s="1"/>
      <c r="E28" s="1"/>
      <c r="F28" s="1"/>
      <c r="G28" s="1"/>
      <c r="H28" s="1"/>
      <c r="I28" s="1"/>
      <c r="J28" s="1"/>
      <c r="K28" s="1"/>
      <c r="L28" s="1"/>
      <c r="M28" s="1"/>
      <c r="N28" s="1"/>
      <c r="O28" s="1"/>
      <c r="P28" s="1"/>
      <c r="Q28" s="1"/>
      <c r="R28" s="1"/>
      <c r="S28" s="1"/>
      <c r="T28" s="1"/>
      <c r="U28" s="1"/>
      <c r="V28" s="1"/>
      <c r="W28" s="1"/>
      <c r="X28" s="1"/>
      <c r="Y28" s="1"/>
      <c r="Z28" s="1"/>
      <c r="AA28" s="1"/>
      <c r="AB28" s="1"/>
      <c r="AC28" s="1"/>
      <c r="AD28" s="1"/>
      <c r="AE28" s="1"/>
      <c r="AF28" s="1"/>
      <c r="AG28" s="1"/>
      <c r="AH28" s="23"/>
      <c r="AI28" s="23"/>
      <c r="AJ28" s="23"/>
      <c r="AK28" s="23"/>
      <c r="AL28" s="23"/>
      <c r="AM28" s="23"/>
      <c r="AN28" s="23"/>
      <c r="AO28" s="23"/>
      <c r="AP28" s="23"/>
      <c r="AQ28" s="23"/>
      <c r="AR28" s="23"/>
      <c r="AS28" s="23"/>
      <c r="AT28" s="23"/>
      <c r="AU28" s="23"/>
      <c r="AV28" s="23"/>
      <c r="AW28" s="23"/>
      <c r="AX28" s="23"/>
      <c r="AY28" s="23"/>
      <c r="AZ28" s="23"/>
      <c r="BA28" s="23"/>
      <c r="BB28" s="23"/>
      <c r="BC28" s="23"/>
      <c r="BD28" s="23"/>
      <c r="BE28" s="23"/>
      <c r="BF28" s="23"/>
      <c r="BG28" s="23"/>
      <c r="BH28" s="23"/>
      <c r="BI28" s="23"/>
      <c r="BJ28" s="23"/>
      <c r="BK28" s="23"/>
      <c r="BL28" s="23"/>
    </row>
    <row r="29" spans="1:64" ht="20.100000000000001" customHeight="1" x14ac:dyDescent="0.25">
      <c r="C29" s="1"/>
      <c r="D29" s="1"/>
      <c r="E29" s="1"/>
      <c r="F29" s="1"/>
      <c r="G29" s="1"/>
      <c r="H29" s="1"/>
      <c r="I29" s="1"/>
      <c r="J29" s="1"/>
      <c r="K29" s="1"/>
      <c r="L29" s="1"/>
      <c r="M29" s="1"/>
      <c r="N29" s="1"/>
      <c r="O29" s="1"/>
      <c r="P29" s="1"/>
      <c r="Q29" s="1"/>
      <c r="R29" s="1"/>
      <c r="S29" s="1"/>
      <c r="T29" s="1"/>
      <c r="U29" s="1"/>
      <c r="V29" s="1"/>
      <c r="W29" s="1"/>
      <c r="X29" s="1"/>
      <c r="Y29" s="1"/>
      <c r="Z29" s="1"/>
      <c r="AA29" s="1"/>
      <c r="AB29" s="1"/>
      <c r="AC29" s="1"/>
      <c r="AD29" s="1"/>
      <c r="AE29" s="1"/>
      <c r="AF29" s="1"/>
      <c r="AG29" s="1"/>
      <c r="AH29" s="23"/>
      <c r="AI29" s="23"/>
      <c r="AJ29" s="23"/>
      <c r="AK29" s="23"/>
      <c r="AL29" s="23"/>
      <c r="AM29" s="23"/>
      <c r="AN29" s="23"/>
      <c r="AO29" s="23"/>
      <c r="AP29" s="23"/>
      <c r="AQ29" s="23"/>
      <c r="AR29" s="23"/>
      <c r="AS29" s="23"/>
      <c r="AT29" s="23"/>
      <c r="AU29" s="23"/>
      <c r="AV29" s="23"/>
      <c r="AW29" s="23"/>
      <c r="AX29" s="23"/>
      <c r="AY29" s="23"/>
      <c r="AZ29" s="23"/>
      <c r="BA29" s="23"/>
      <c r="BB29" s="23"/>
      <c r="BC29" s="23"/>
      <c r="BD29" s="23"/>
      <c r="BE29" s="23"/>
      <c r="BF29" s="23"/>
      <c r="BG29" s="23"/>
      <c r="BH29" s="23"/>
      <c r="BI29" s="23"/>
      <c r="BJ29" s="23"/>
      <c r="BK29" s="23"/>
      <c r="BL29" s="23"/>
    </row>
    <row r="30" spans="1:64" ht="20.100000000000001" customHeight="1" x14ac:dyDescent="0.25">
      <c r="C30" s="1"/>
      <c r="D30" s="1"/>
      <c r="E30" s="1"/>
      <c r="F30" s="1"/>
      <c r="G30" s="1"/>
      <c r="H30" s="1"/>
      <c r="I30" s="1"/>
      <c r="J30" s="1"/>
      <c r="K30" s="1"/>
      <c r="L30" s="1"/>
      <c r="M30" s="1"/>
      <c r="N30" s="1"/>
      <c r="O30" s="1"/>
      <c r="P30" s="1"/>
      <c r="Q30" s="1"/>
      <c r="R30" s="1"/>
      <c r="S30" s="1"/>
      <c r="T30" s="1"/>
      <c r="U30" s="1"/>
      <c r="V30" s="1"/>
      <c r="W30" s="1"/>
      <c r="X30" s="1"/>
      <c r="Y30" s="1"/>
      <c r="Z30" s="1"/>
      <c r="AA30" s="1"/>
      <c r="AB30" s="1"/>
      <c r="AC30" s="1"/>
      <c r="AD30" s="1"/>
      <c r="AE30" s="1"/>
      <c r="AF30" s="1"/>
      <c r="AG30" s="1"/>
      <c r="AH30" s="23"/>
      <c r="AI30" s="23"/>
      <c r="AJ30" s="23"/>
      <c r="AK30" s="23"/>
      <c r="AL30" s="23"/>
      <c r="AM30" s="23"/>
      <c r="AN30" s="23"/>
      <c r="AO30" s="23"/>
      <c r="AP30" s="23"/>
      <c r="AQ30" s="23"/>
      <c r="AR30" s="23"/>
      <c r="AS30" s="23"/>
      <c r="AT30" s="23"/>
      <c r="AU30" s="23"/>
      <c r="AV30" s="23"/>
      <c r="AW30" s="23"/>
      <c r="AX30" s="23"/>
      <c r="AY30" s="23"/>
      <c r="AZ30" s="23"/>
      <c r="BA30" s="23"/>
      <c r="BB30" s="23"/>
      <c r="BC30" s="23"/>
      <c r="BD30" s="23"/>
      <c r="BE30" s="23"/>
      <c r="BF30" s="23"/>
      <c r="BG30" s="23"/>
      <c r="BH30" s="23"/>
      <c r="BI30" s="23"/>
      <c r="BJ30" s="23"/>
      <c r="BK30" s="23"/>
      <c r="BL30" s="23"/>
    </row>
    <row r="31" spans="1:64" ht="20.100000000000001" customHeight="1" x14ac:dyDescent="0.25">
      <c r="C31" s="1"/>
      <c r="D31" s="1"/>
      <c r="E31" s="1"/>
      <c r="F31" s="1"/>
      <c r="G31" s="1"/>
      <c r="H31" s="1"/>
      <c r="I31" s="1"/>
      <c r="J31" s="1"/>
      <c r="K31" s="1"/>
      <c r="L31" s="1"/>
      <c r="M31" s="1"/>
      <c r="N31" s="1"/>
      <c r="O31" s="1"/>
      <c r="P31" s="1"/>
      <c r="Q31" s="1"/>
      <c r="R31" s="1"/>
      <c r="S31" s="1"/>
      <c r="T31" s="1"/>
      <c r="U31" s="1"/>
      <c r="V31" s="1"/>
      <c r="W31" s="1"/>
      <c r="X31" s="1"/>
      <c r="Y31" s="1"/>
      <c r="Z31" s="1"/>
      <c r="AA31" s="1"/>
      <c r="AB31" s="1"/>
      <c r="AC31" s="1"/>
      <c r="AD31" s="1"/>
      <c r="AE31" s="1"/>
      <c r="AF31" s="1"/>
      <c r="AG31" s="1"/>
      <c r="AH31" s="23"/>
      <c r="AI31" s="23"/>
      <c r="AJ31" s="23"/>
      <c r="AK31" s="23"/>
      <c r="AL31" s="23"/>
      <c r="AM31" s="23"/>
      <c r="AN31" s="23"/>
      <c r="AO31" s="23"/>
      <c r="AP31" s="23"/>
      <c r="AQ31" s="23"/>
      <c r="AR31" s="23"/>
      <c r="AS31" s="23"/>
      <c r="AT31" s="23"/>
      <c r="AU31" s="23"/>
      <c r="AV31" s="23"/>
      <c r="AW31" s="23"/>
      <c r="AX31" s="23"/>
      <c r="AY31" s="23"/>
      <c r="AZ31" s="23"/>
      <c r="BA31" s="23"/>
      <c r="BB31" s="23"/>
      <c r="BC31" s="23"/>
      <c r="BD31" s="23"/>
      <c r="BE31" s="23"/>
      <c r="BF31" s="23"/>
      <c r="BG31" s="23"/>
      <c r="BH31" s="23"/>
      <c r="BI31" s="23"/>
      <c r="BJ31" s="23"/>
      <c r="BK31" s="23"/>
      <c r="BL31" s="23"/>
    </row>
    <row r="32" spans="1:64" ht="20.100000000000001" customHeight="1" x14ac:dyDescent="0.25">
      <c r="C32" s="1"/>
      <c r="D32" s="1"/>
      <c r="E32" s="1"/>
      <c r="F32" s="1"/>
      <c r="G32" s="1"/>
      <c r="H32" s="1"/>
      <c r="I32" s="1"/>
      <c r="J32" s="1"/>
      <c r="K32" s="1"/>
      <c r="L32" s="1"/>
      <c r="M32" s="1"/>
      <c r="N32" s="1"/>
      <c r="O32" s="1"/>
      <c r="P32" s="1"/>
      <c r="Q32" s="1"/>
      <c r="R32" s="1"/>
      <c r="S32" s="1"/>
      <c r="T32" s="1"/>
      <c r="U32" s="1"/>
      <c r="V32" s="1"/>
      <c r="W32" s="1"/>
      <c r="X32" s="1"/>
      <c r="Y32" s="1"/>
      <c r="Z32" s="1"/>
      <c r="AA32" s="1"/>
      <c r="AB32" s="1"/>
      <c r="AC32" s="1"/>
      <c r="AD32" s="1"/>
      <c r="AE32" s="1"/>
      <c r="AF32" s="1"/>
      <c r="AG32" s="1"/>
      <c r="AH32" s="23"/>
      <c r="AI32" s="23"/>
      <c r="AJ32" s="23"/>
      <c r="AK32" s="23"/>
      <c r="AL32" s="23"/>
      <c r="AM32" s="23"/>
      <c r="AN32" s="23"/>
      <c r="AO32" s="23"/>
      <c r="AP32" s="23"/>
      <c r="AQ32" s="23"/>
      <c r="AR32" s="23"/>
      <c r="AS32" s="23"/>
      <c r="AT32" s="23"/>
      <c r="AU32" s="23"/>
      <c r="AV32" s="23"/>
      <c r="AW32" s="23"/>
      <c r="AX32" s="23"/>
      <c r="AY32" s="23"/>
      <c r="AZ32" s="23"/>
      <c r="BA32" s="23"/>
      <c r="BB32" s="23"/>
      <c r="BC32" s="23"/>
      <c r="BD32" s="23"/>
      <c r="BE32" s="23"/>
      <c r="BF32" s="23"/>
      <c r="BG32" s="23"/>
      <c r="BH32" s="23"/>
      <c r="BI32" s="23"/>
      <c r="BJ32" s="23"/>
      <c r="BK32" s="23"/>
      <c r="BL32" s="23"/>
    </row>
    <row r="33" spans="3:64" ht="20.100000000000001" customHeight="1" x14ac:dyDescent="0.25">
      <c r="C33" s="1"/>
      <c r="D33" s="1"/>
      <c r="E33" s="1"/>
      <c r="F33" s="1"/>
      <c r="G33" s="1"/>
      <c r="H33" s="1"/>
      <c r="I33" s="1"/>
      <c r="J33" s="1"/>
      <c r="K33" s="1"/>
      <c r="L33" s="1"/>
      <c r="M33" s="1"/>
      <c r="N33" s="1"/>
      <c r="O33" s="1"/>
      <c r="P33" s="1"/>
      <c r="Q33" s="1"/>
      <c r="R33" s="1"/>
      <c r="S33" s="1"/>
      <c r="T33" s="1"/>
      <c r="U33" s="1"/>
      <c r="V33" s="1"/>
      <c r="W33" s="1"/>
      <c r="X33" s="1"/>
      <c r="Y33" s="1"/>
      <c r="Z33" s="1"/>
      <c r="AA33" s="1"/>
      <c r="AB33" s="1"/>
      <c r="AC33" s="1"/>
      <c r="AD33" s="1"/>
      <c r="AE33" s="1"/>
      <c r="AF33" s="1"/>
      <c r="AG33" s="1"/>
      <c r="AH33" s="23"/>
      <c r="AI33" s="23"/>
      <c r="AJ33" s="23"/>
      <c r="AK33" s="23"/>
      <c r="AL33" s="23"/>
      <c r="AM33" s="23"/>
      <c r="AN33" s="23"/>
      <c r="AO33" s="23"/>
      <c r="AP33" s="23"/>
      <c r="AQ33" s="23"/>
      <c r="AR33" s="23"/>
      <c r="AS33" s="23"/>
      <c r="AT33" s="23"/>
      <c r="AU33" s="23"/>
      <c r="AV33" s="23"/>
      <c r="AW33" s="23"/>
      <c r="AX33" s="23"/>
      <c r="AY33" s="23"/>
      <c r="AZ33" s="23"/>
      <c r="BA33" s="23"/>
      <c r="BB33" s="23"/>
      <c r="BC33" s="23"/>
      <c r="BD33" s="23"/>
      <c r="BE33" s="23"/>
      <c r="BF33" s="23"/>
      <c r="BG33" s="23"/>
      <c r="BH33" s="23"/>
      <c r="BI33" s="23"/>
      <c r="BJ33" s="23"/>
      <c r="BK33" s="23"/>
      <c r="BL33" s="23"/>
    </row>
    <row r="34" spans="3:64" ht="20.100000000000001" customHeight="1" x14ac:dyDescent="0.25">
      <c r="C34" s="1"/>
      <c r="D34" s="1"/>
      <c r="E34" s="1"/>
      <c r="F34" s="1"/>
      <c r="G34" s="1"/>
      <c r="H34" s="1"/>
      <c r="I34" s="1"/>
      <c r="J34" s="1"/>
      <c r="K34" s="1"/>
      <c r="L34" s="1"/>
      <c r="M34" s="1"/>
      <c r="N34" s="1"/>
      <c r="O34" s="1"/>
      <c r="P34" s="1"/>
      <c r="Q34" s="1"/>
      <c r="R34" s="1"/>
      <c r="S34" s="1"/>
      <c r="T34" s="1"/>
      <c r="U34" s="1"/>
      <c r="V34" s="1"/>
      <c r="W34" s="1"/>
      <c r="X34" s="1"/>
      <c r="Y34" s="1"/>
      <c r="Z34" s="1"/>
      <c r="AA34" s="1"/>
      <c r="AB34" s="1"/>
      <c r="AC34" s="1"/>
      <c r="AD34" s="1"/>
      <c r="AE34" s="1"/>
      <c r="AF34" s="1"/>
      <c r="AG34" s="1"/>
      <c r="AH34" s="23"/>
      <c r="AI34" s="23"/>
      <c r="AJ34" s="23"/>
      <c r="AK34" s="23"/>
      <c r="AL34" s="23"/>
      <c r="AM34" s="23"/>
      <c r="AN34" s="23"/>
      <c r="AO34" s="23"/>
      <c r="AP34" s="23"/>
      <c r="AQ34" s="23"/>
      <c r="AR34" s="23"/>
      <c r="AS34" s="23"/>
      <c r="AT34" s="23"/>
      <c r="AU34" s="23"/>
      <c r="AV34" s="23"/>
      <c r="AW34" s="23"/>
      <c r="AX34" s="23"/>
      <c r="AY34" s="23"/>
      <c r="AZ34" s="23"/>
      <c r="BA34" s="23"/>
      <c r="BB34" s="23"/>
      <c r="BC34" s="23"/>
      <c r="BD34" s="23"/>
      <c r="BE34" s="23"/>
      <c r="BF34" s="23"/>
      <c r="BG34" s="23"/>
      <c r="BH34" s="23"/>
      <c r="BI34" s="23"/>
      <c r="BJ34" s="23"/>
      <c r="BK34" s="23"/>
      <c r="BL34" s="23"/>
    </row>
    <row r="35" spans="3:64" ht="20.100000000000001" customHeight="1" x14ac:dyDescent="0.25">
      <c r="C35" s="1"/>
      <c r="D35" s="1"/>
      <c r="E35" s="1"/>
      <c r="F35" s="1"/>
      <c r="G35" s="1"/>
      <c r="H35" s="1"/>
      <c r="I35" s="1"/>
      <c r="J35" s="1"/>
      <c r="K35" s="1"/>
      <c r="L35" s="1"/>
      <c r="M35" s="1"/>
      <c r="N35" s="1"/>
      <c r="O35" s="1"/>
      <c r="P35" s="1"/>
      <c r="Q35" s="1"/>
      <c r="R35" s="1"/>
      <c r="S35" s="1"/>
      <c r="T35" s="1"/>
      <c r="U35" s="1"/>
      <c r="V35" s="1"/>
      <c r="W35" s="1"/>
      <c r="X35" s="1"/>
      <c r="Y35" s="1"/>
      <c r="Z35" s="1"/>
      <c r="AA35" s="1"/>
      <c r="AB35" s="1"/>
      <c r="AC35" s="1"/>
      <c r="AD35" s="1"/>
      <c r="AE35" s="1"/>
      <c r="AF35" s="1"/>
      <c r="AG35" s="1"/>
      <c r="AH35" s="23"/>
      <c r="AI35" s="23"/>
      <c r="AJ35" s="23"/>
      <c r="AK35" s="23"/>
      <c r="AL35" s="23"/>
      <c r="AM35" s="23"/>
      <c r="AN35" s="23"/>
      <c r="AO35" s="23"/>
      <c r="AP35" s="23"/>
      <c r="AQ35" s="23"/>
      <c r="AR35" s="23"/>
      <c r="AS35" s="23"/>
      <c r="AT35" s="23"/>
      <c r="AU35" s="23"/>
      <c r="AV35" s="23"/>
      <c r="AW35" s="23"/>
      <c r="AX35" s="23"/>
      <c r="AY35" s="23"/>
      <c r="AZ35" s="23"/>
      <c r="BA35" s="23"/>
      <c r="BB35" s="23"/>
      <c r="BC35" s="23"/>
      <c r="BD35" s="23"/>
      <c r="BE35" s="23"/>
      <c r="BF35" s="23"/>
      <c r="BG35" s="23"/>
      <c r="BH35" s="23"/>
      <c r="BI35" s="23"/>
      <c r="BJ35" s="23"/>
      <c r="BK35" s="23"/>
      <c r="BL35" s="23"/>
    </row>
    <row r="36" spans="3:64" ht="20.100000000000001" customHeight="1" x14ac:dyDescent="0.25">
      <c r="C36" s="1"/>
      <c r="D36" s="1"/>
      <c r="E36" s="1"/>
      <c r="F36" s="1"/>
      <c r="G36" s="1"/>
      <c r="H36" s="1"/>
      <c r="I36" s="1"/>
      <c r="J36" s="1"/>
      <c r="K36" s="1"/>
      <c r="L36" s="1"/>
      <c r="M36" s="1"/>
      <c r="N36" s="1"/>
      <c r="O36" s="1"/>
      <c r="P36" s="1"/>
      <c r="Q36" s="1"/>
      <c r="R36" s="1"/>
      <c r="S36" s="1"/>
      <c r="T36" s="1"/>
      <c r="U36" s="1"/>
      <c r="V36" s="1"/>
      <c r="W36" s="1"/>
      <c r="X36" s="1"/>
      <c r="Y36" s="1"/>
      <c r="Z36" s="1"/>
      <c r="AA36" s="1"/>
      <c r="AB36" s="1"/>
      <c r="AC36" s="1"/>
      <c r="AD36" s="1"/>
      <c r="AE36" s="1"/>
      <c r="AF36" s="1"/>
      <c r="AG36" s="1"/>
      <c r="AH36" s="23"/>
      <c r="AI36" s="23"/>
      <c r="AJ36" s="23"/>
      <c r="AK36" s="23"/>
      <c r="AL36" s="23"/>
      <c r="AM36" s="23"/>
      <c r="AN36" s="23"/>
      <c r="AO36" s="23"/>
      <c r="AP36" s="23"/>
      <c r="AQ36" s="23"/>
      <c r="AR36" s="23"/>
      <c r="AS36" s="23"/>
      <c r="AT36" s="23"/>
      <c r="AU36" s="23"/>
      <c r="AV36" s="23"/>
      <c r="AW36" s="23"/>
      <c r="AX36" s="23"/>
      <c r="AY36" s="23"/>
      <c r="AZ36" s="23"/>
      <c r="BA36" s="23"/>
      <c r="BB36" s="23"/>
      <c r="BC36" s="23"/>
      <c r="BD36" s="23"/>
      <c r="BE36" s="23"/>
      <c r="BF36" s="23"/>
      <c r="BG36" s="23"/>
      <c r="BH36" s="23"/>
      <c r="BI36" s="23"/>
      <c r="BJ36" s="23"/>
      <c r="BK36" s="23"/>
      <c r="BL36" s="23"/>
    </row>
    <row r="37" spans="3:64" ht="20.100000000000001" customHeight="1" x14ac:dyDescent="0.25">
      <c r="C37" s="23"/>
      <c r="D37" s="23"/>
      <c r="E37" s="23"/>
      <c r="F37" s="23"/>
      <c r="G37" s="23"/>
      <c r="H37" s="23"/>
      <c r="I37" s="23"/>
      <c r="J37" s="23"/>
      <c r="K37" s="23"/>
      <c r="L37" s="23"/>
      <c r="M37" s="23"/>
      <c r="N37" s="23"/>
      <c r="O37" s="23"/>
      <c r="P37" s="23"/>
      <c r="Q37" s="23"/>
      <c r="R37" s="23"/>
      <c r="S37" s="23"/>
      <c r="T37" s="23"/>
      <c r="U37" s="23"/>
      <c r="V37" s="23"/>
      <c r="W37" s="23"/>
      <c r="X37" s="23"/>
      <c r="Y37" s="23"/>
      <c r="Z37" s="23"/>
      <c r="AA37" s="23"/>
      <c r="AB37" s="23"/>
      <c r="AC37" s="23"/>
      <c r="AD37" s="23"/>
      <c r="AE37" s="23"/>
      <c r="AF37" s="23"/>
      <c r="AG37" s="23"/>
      <c r="AH37" s="23"/>
      <c r="AI37" s="23"/>
      <c r="AJ37" s="23"/>
      <c r="AK37" s="23"/>
      <c r="AL37" s="23"/>
      <c r="AM37" s="23"/>
      <c r="AN37" s="23"/>
      <c r="AO37" s="23"/>
      <c r="AP37" s="23"/>
      <c r="AQ37" s="23"/>
      <c r="AR37" s="23"/>
      <c r="AS37" s="23"/>
      <c r="AT37" s="23"/>
      <c r="AU37" s="23"/>
      <c r="AV37" s="23"/>
      <c r="AW37" s="23"/>
      <c r="AX37" s="23"/>
      <c r="AY37" s="23"/>
      <c r="AZ37" s="23"/>
      <c r="BA37" s="23"/>
      <c r="BB37" s="23"/>
      <c r="BC37" s="23"/>
      <c r="BD37" s="23"/>
      <c r="BE37" s="23"/>
      <c r="BF37" s="23"/>
      <c r="BG37" s="23"/>
      <c r="BH37" s="23"/>
      <c r="BI37" s="23"/>
      <c r="BJ37" s="23"/>
      <c r="BK37" s="23"/>
      <c r="BL37" s="23"/>
    </row>
    <row r="38" spans="3:64" ht="20.100000000000001" customHeight="1" x14ac:dyDescent="0.25">
      <c r="C38" s="23"/>
      <c r="D38" s="23"/>
      <c r="E38" s="23"/>
      <c r="F38" s="23"/>
      <c r="G38" s="23"/>
      <c r="H38" s="23"/>
      <c r="I38" s="23"/>
      <c r="J38" s="23"/>
      <c r="K38" s="23"/>
      <c r="L38" s="23"/>
      <c r="M38" s="23"/>
      <c r="N38" s="23"/>
      <c r="O38" s="23"/>
      <c r="P38" s="23"/>
      <c r="Q38" s="23"/>
      <c r="R38" s="23"/>
      <c r="S38" s="23"/>
      <c r="T38" s="23"/>
      <c r="U38" s="23"/>
      <c r="V38" s="23"/>
      <c r="W38" s="23"/>
      <c r="X38" s="23"/>
      <c r="Y38" s="23"/>
      <c r="Z38" s="23"/>
      <c r="AA38" s="23"/>
      <c r="AB38" s="23"/>
      <c r="AC38" s="23"/>
      <c r="AD38" s="23"/>
      <c r="AE38" s="23"/>
      <c r="AF38" s="23"/>
      <c r="AG38" s="23"/>
      <c r="AH38" s="23"/>
      <c r="AI38" s="23"/>
      <c r="AJ38" s="23"/>
      <c r="AK38" s="23"/>
      <c r="AL38" s="23"/>
      <c r="AM38" s="23"/>
      <c r="AN38" s="23"/>
      <c r="AO38" s="23"/>
      <c r="AP38" s="23"/>
      <c r="AQ38" s="23"/>
      <c r="AR38" s="23"/>
      <c r="AS38" s="23"/>
      <c r="AT38" s="23"/>
      <c r="AU38" s="23"/>
      <c r="AV38" s="23"/>
      <c r="AW38" s="23"/>
      <c r="AX38" s="23"/>
      <c r="AY38" s="23"/>
      <c r="AZ38" s="23"/>
      <c r="BA38" s="23"/>
      <c r="BB38" s="23"/>
      <c r="BC38" s="23"/>
      <c r="BD38" s="23"/>
      <c r="BE38" s="23"/>
      <c r="BF38" s="23"/>
      <c r="BG38" s="23"/>
      <c r="BH38" s="23"/>
      <c r="BI38" s="23"/>
      <c r="BJ38" s="23"/>
      <c r="BK38" s="23"/>
      <c r="BL38" s="23"/>
    </row>
    <row r="39" spans="3:64" ht="20.100000000000001" customHeight="1" x14ac:dyDescent="0.25">
      <c r="C39" s="23"/>
      <c r="D39" s="23"/>
      <c r="E39" s="23"/>
      <c r="F39" s="23"/>
      <c r="G39" s="23"/>
      <c r="H39" s="23"/>
      <c r="I39" s="23"/>
      <c r="J39" s="23"/>
      <c r="K39" s="23"/>
      <c r="L39" s="23"/>
      <c r="M39" s="23"/>
      <c r="N39" s="23"/>
      <c r="O39" s="23"/>
      <c r="P39" s="23"/>
      <c r="Q39" s="23"/>
      <c r="R39" s="23"/>
      <c r="S39" s="23"/>
      <c r="T39" s="23"/>
      <c r="U39" s="23"/>
      <c r="V39" s="23"/>
      <c r="W39" s="23"/>
      <c r="X39" s="23"/>
      <c r="Y39" s="23"/>
      <c r="Z39" s="23"/>
      <c r="AA39" s="23"/>
      <c r="AB39" s="23"/>
      <c r="AC39" s="23"/>
      <c r="AD39" s="23"/>
      <c r="AE39" s="23"/>
      <c r="AF39" s="23"/>
      <c r="AG39" s="23"/>
      <c r="AH39" s="23"/>
      <c r="AI39" s="23"/>
      <c r="AJ39" s="23"/>
      <c r="AK39" s="23"/>
      <c r="AL39" s="23"/>
      <c r="AM39" s="23"/>
      <c r="AN39" s="23"/>
      <c r="AO39" s="23"/>
      <c r="AP39" s="23"/>
      <c r="AQ39" s="23"/>
      <c r="AR39" s="23"/>
      <c r="AS39" s="23"/>
      <c r="AT39" s="23"/>
      <c r="AU39" s="23"/>
      <c r="AV39" s="23"/>
      <c r="AW39" s="23"/>
      <c r="AX39" s="23"/>
      <c r="AY39" s="23"/>
      <c r="AZ39" s="23"/>
      <c r="BA39" s="23"/>
      <c r="BB39" s="23"/>
      <c r="BC39" s="23"/>
      <c r="BD39" s="23"/>
      <c r="BE39" s="23"/>
      <c r="BF39" s="23"/>
      <c r="BG39" s="23"/>
      <c r="BH39" s="23"/>
      <c r="BI39" s="23"/>
      <c r="BJ39" s="23"/>
      <c r="BK39" s="23"/>
      <c r="BL39" s="23"/>
    </row>
    <row r="40" spans="3:64" ht="20.100000000000001" customHeight="1" x14ac:dyDescent="0.25">
      <c r="C40" s="23"/>
      <c r="D40" s="23"/>
      <c r="E40" s="23"/>
      <c r="F40" s="23"/>
      <c r="G40" s="23"/>
      <c r="H40" s="23"/>
      <c r="I40" s="23"/>
      <c r="J40" s="23"/>
      <c r="K40" s="23"/>
      <c r="L40" s="23"/>
      <c r="M40" s="23"/>
      <c r="N40" s="23"/>
      <c r="O40" s="23"/>
      <c r="P40" s="23"/>
      <c r="Q40" s="23"/>
      <c r="R40" s="23"/>
      <c r="S40" s="23"/>
      <c r="T40" s="23"/>
      <c r="U40" s="23"/>
      <c r="V40" s="23"/>
      <c r="W40" s="23"/>
      <c r="X40" s="23"/>
      <c r="Y40" s="23"/>
      <c r="Z40" s="23"/>
      <c r="AA40" s="23"/>
      <c r="AB40" s="23"/>
      <c r="AC40" s="23"/>
      <c r="AD40" s="23"/>
      <c r="AE40" s="23"/>
      <c r="AF40" s="23"/>
      <c r="AG40" s="23"/>
      <c r="AH40" s="23"/>
      <c r="AI40" s="23"/>
      <c r="AJ40" s="23"/>
      <c r="AK40" s="23"/>
      <c r="AL40" s="23"/>
      <c r="AM40" s="23"/>
      <c r="AN40" s="23"/>
      <c r="AO40" s="23"/>
      <c r="AP40" s="23"/>
      <c r="AQ40" s="23"/>
      <c r="AR40" s="23"/>
      <c r="AS40" s="23"/>
      <c r="AT40" s="23"/>
      <c r="AU40" s="23"/>
      <c r="AV40" s="23"/>
      <c r="AW40" s="23"/>
      <c r="AX40" s="23"/>
      <c r="AY40" s="23"/>
      <c r="AZ40" s="23"/>
      <c r="BA40" s="23"/>
      <c r="BB40" s="23"/>
      <c r="BC40" s="23"/>
      <c r="BD40" s="23"/>
      <c r="BE40" s="23"/>
      <c r="BF40" s="23"/>
      <c r="BG40" s="23"/>
      <c r="BH40" s="23"/>
      <c r="BI40" s="23"/>
      <c r="BJ40" s="23"/>
      <c r="BK40" s="23"/>
      <c r="BL40" s="23"/>
    </row>
    <row r="41" spans="3:64" ht="20.100000000000001" customHeight="1" x14ac:dyDescent="0.25">
      <c r="C41" s="23"/>
      <c r="D41" s="23"/>
      <c r="E41" s="23"/>
      <c r="F41" s="23"/>
      <c r="G41" s="23"/>
      <c r="H41" s="23"/>
      <c r="I41" s="23"/>
      <c r="J41" s="23"/>
      <c r="K41" s="23"/>
      <c r="L41" s="23"/>
      <c r="M41" s="23"/>
      <c r="N41" s="23"/>
      <c r="O41" s="23"/>
      <c r="P41" s="23"/>
      <c r="Q41" s="23"/>
      <c r="R41" s="23"/>
      <c r="S41" s="23"/>
      <c r="T41" s="23"/>
      <c r="U41" s="23"/>
      <c r="V41" s="23"/>
      <c r="W41" s="23"/>
      <c r="X41" s="23"/>
      <c r="Y41" s="23"/>
      <c r="Z41" s="23"/>
      <c r="AA41" s="23"/>
      <c r="AB41" s="23"/>
      <c r="AC41" s="23"/>
      <c r="AD41" s="23"/>
      <c r="AE41" s="23"/>
      <c r="AF41" s="23"/>
      <c r="AG41" s="23"/>
      <c r="AH41" s="23"/>
      <c r="AI41" s="23"/>
      <c r="AJ41" s="23"/>
      <c r="AK41" s="23"/>
      <c r="AL41" s="23"/>
      <c r="AM41" s="23"/>
      <c r="AN41" s="23"/>
      <c r="AO41" s="23"/>
      <c r="AP41" s="23"/>
      <c r="AQ41" s="23"/>
      <c r="AR41" s="23"/>
      <c r="AS41" s="23"/>
      <c r="AT41" s="23"/>
      <c r="AU41" s="23"/>
      <c r="AV41" s="23"/>
      <c r="AW41" s="23"/>
      <c r="AX41" s="23"/>
      <c r="AY41" s="23"/>
      <c r="AZ41" s="23"/>
      <c r="BA41" s="23"/>
      <c r="BB41" s="23"/>
      <c r="BC41" s="23"/>
      <c r="BD41" s="23"/>
      <c r="BE41" s="23"/>
      <c r="BF41" s="23"/>
      <c r="BG41" s="23"/>
      <c r="BH41" s="23"/>
      <c r="BI41" s="23"/>
      <c r="BJ41" s="23"/>
      <c r="BK41" s="23"/>
      <c r="BL41" s="23"/>
    </row>
    <row r="42" spans="3:64" ht="20.100000000000001" customHeight="1" x14ac:dyDescent="0.25">
      <c r="C42" s="23"/>
      <c r="D42" s="23"/>
      <c r="E42" s="23"/>
      <c r="F42" s="23"/>
      <c r="G42" s="23"/>
      <c r="H42" s="23"/>
      <c r="I42" s="23"/>
      <c r="J42" s="23"/>
      <c r="K42" s="23"/>
      <c r="L42" s="23"/>
      <c r="M42" s="23"/>
      <c r="N42" s="23"/>
      <c r="O42" s="23"/>
      <c r="P42" s="23"/>
      <c r="Q42" s="23"/>
      <c r="R42" s="23"/>
      <c r="S42" s="23"/>
      <c r="T42" s="23"/>
      <c r="U42" s="23"/>
      <c r="V42" s="23"/>
      <c r="W42" s="23"/>
      <c r="X42" s="23"/>
      <c r="Y42" s="23"/>
      <c r="Z42" s="23"/>
      <c r="AA42" s="23"/>
      <c r="AB42" s="23"/>
      <c r="AC42" s="23"/>
      <c r="AD42" s="23"/>
      <c r="AE42" s="23"/>
      <c r="AF42" s="23"/>
      <c r="AG42" s="23"/>
      <c r="AH42" s="23"/>
      <c r="AI42" s="23"/>
      <c r="AJ42" s="23"/>
      <c r="AK42" s="23"/>
      <c r="AL42" s="23"/>
      <c r="AM42" s="23"/>
      <c r="AN42" s="23"/>
      <c r="AO42" s="23"/>
      <c r="AP42" s="23"/>
      <c r="AQ42" s="23"/>
      <c r="AR42" s="23"/>
      <c r="AS42" s="23"/>
      <c r="AT42" s="23"/>
      <c r="AU42" s="23"/>
      <c r="AV42" s="23"/>
      <c r="AW42" s="23"/>
      <c r="AX42" s="23"/>
      <c r="AY42" s="23"/>
      <c r="AZ42" s="23"/>
      <c r="BA42" s="23"/>
      <c r="BB42" s="23"/>
      <c r="BC42" s="23"/>
      <c r="BD42" s="23"/>
      <c r="BE42" s="23"/>
      <c r="BF42" s="23"/>
      <c r="BG42" s="23"/>
      <c r="BH42" s="23"/>
      <c r="BI42" s="23"/>
      <c r="BJ42" s="23"/>
      <c r="BK42" s="23"/>
      <c r="BL42" s="23"/>
    </row>
    <row r="43" spans="3:64" ht="20.100000000000001" customHeight="1" x14ac:dyDescent="0.25">
      <c r="C43" s="23"/>
      <c r="D43" s="23"/>
      <c r="E43" s="23"/>
      <c r="F43" s="23"/>
      <c r="G43" s="23"/>
      <c r="H43" s="23"/>
      <c r="I43" s="23"/>
      <c r="J43" s="23"/>
      <c r="K43" s="23"/>
      <c r="L43" s="23"/>
      <c r="M43" s="23"/>
      <c r="N43" s="23"/>
      <c r="O43" s="23"/>
      <c r="P43" s="23"/>
      <c r="Q43" s="23"/>
      <c r="R43" s="23"/>
      <c r="S43" s="23"/>
      <c r="T43" s="23"/>
      <c r="U43" s="23"/>
      <c r="V43" s="23"/>
      <c r="W43" s="23"/>
      <c r="X43" s="23"/>
      <c r="Y43" s="23"/>
      <c r="Z43" s="23"/>
      <c r="AA43" s="23"/>
      <c r="AB43" s="23"/>
      <c r="AC43" s="23"/>
      <c r="AD43" s="23"/>
      <c r="AE43" s="23"/>
      <c r="AF43" s="23"/>
      <c r="AG43" s="23"/>
      <c r="AH43" s="23"/>
      <c r="AI43" s="23"/>
      <c r="AJ43" s="23"/>
      <c r="AK43" s="23"/>
      <c r="AL43" s="23"/>
      <c r="AM43" s="23"/>
      <c r="AN43" s="23"/>
      <c r="AO43" s="23"/>
      <c r="AP43" s="23"/>
      <c r="AQ43" s="23"/>
      <c r="AR43" s="23"/>
      <c r="AS43" s="23"/>
      <c r="AT43" s="23"/>
      <c r="AU43" s="23"/>
      <c r="AV43" s="23"/>
      <c r="AW43" s="23"/>
      <c r="AX43" s="23"/>
      <c r="AY43" s="23"/>
      <c r="AZ43" s="23"/>
      <c r="BA43" s="23"/>
      <c r="BB43" s="23"/>
      <c r="BC43" s="23"/>
      <c r="BD43" s="23"/>
      <c r="BE43" s="23"/>
      <c r="BF43" s="23"/>
      <c r="BG43" s="23"/>
      <c r="BH43" s="23"/>
      <c r="BI43" s="23"/>
      <c r="BJ43" s="23"/>
      <c r="BK43" s="23"/>
      <c r="BL43" s="23"/>
    </row>
    <row r="44" spans="3:64" ht="20.100000000000001" customHeight="1" x14ac:dyDescent="0.25">
      <c r="C44" s="23"/>
      <c r="D44" s="23"/>
      <c r="E44" s="23"/>
      <c r="F44" s="23"/>
      <c r="G44" s="23"/>
      <c r="H44" s="23"/>
      <c r="I44" s="23"/>
      <c r="J44" s="23"/>
      <c r="K44" s="23"/>
      <c r="L44" s="23"/>
      <c r="M44" s="23"/>
      <c r="N44" s="23"/>
      <c r="O44" s="23"/>
      <c r="P44" s="23"/>
      <c r="Q44" s="23"/>
      <c r="R44" s="23"/>
      <c r="S44" s="23"/>
      <c r="T44" s="23"/>
      <c r="U44" s="23"/>
      <c r="V44" s="23"/>
      <c r="W44" s="23"/>
      <c r="X44" s="23"/>
      <c r="Y44" s="23"/>
      <c r="Z44" s="23"/>
      <c r="AA44" s="23"/>
      <c r="AB44" s="23"/>
      <c r="AC44" s="23"/>
      <c r="AD44" s="23"/>
      <c r="AE44" s="23"/>
      <c r="AF44" s="23"/>
      <c r="AG44" s="23"/>
      <c r="AH44" s="23"/>
      <c r="AI44" s="23"/>
      <c r="AJ44" s="23"/>
      <c r="AK44" s="23"/>
      <c r="AL44" s="23"/>
      <c r="AM44" s="23"/>
      <c r="AN44" s="23"/>
      <c r="AO44" s="23"/>
      <c r="AP44" s="23"/>
      <c r="AQ44" s="23"/>
      <c r="AR44" s="23"/>
      <c r="AS44" s="23"/>
      <c r="AT44" s="23"/>
      <c r="AU44" s="23"/>
      <c r="AV44" s="23"/>
      <c r="AW44" s="23"/>
      <c r="AX44" s="23"/>
      <c r="AY44" s="23"/>
      <c r="AZ44" s="23"/>
      <c r="BA44" s="23"/>
      <c r="BB44" s="23"/>
      <c r="BC44" s="23"/>
      <c r="BD44" s="23"/>
      <c r="BE44" s="23"/>
      <c r="BF44" s="23"/>
      <c r="BG44" s="23"/>
      <c r="BH44" s="23"/>
      <c r="BI44" s="23"/>
      <c r="BJ44" s="23"/>
      <c r="BK44" s="23"/>
      <c r="BL44" s="23"/>
    </row>
    <row r="45" spans="3:64" ht="20.100000000000001" customHeight="1" x14ac:dyDescent="0.25">
      <c r="C45" s="23"/>
      <c r="D45" s="23"/>
      <c r="E45" s="23"/>
      <c r="F45" s="23"/>
      <c r="G45" s="23"/>
      <c r="H45" s="23"/>
      <c r="I45" s="23"/>
      <c r="J45" s="23"/>
      <c r="K45" s="23"/>
      <c r="L45" s="23"/>
      <c r="M45" s="23"/>
      <c r="N45" s="23"/>
      <c r="O45" s="23"/>
      <c r="P45" s="23"/>
      <c r="Q45" s="23"/>
      <c r="R45" s="23"/>
      <c r="S45" s="23"/>
      <c r="T45" s="23"/>
      <c r="U45" s="23"/>
      <c r="V45" s="23"/>
      <c r="W45" s="23"/>
      <c r="X45" s="23"/>
      <c r="Y45" s="23"/>
      <c r="Z45" s="23"/>
      <c r="AA45" s="23"/>
      <c r="AB45" s="23"/>
      <c r="AC45" s="23"/>
      <c r="AD45" s="23"/>
      <c r="AE45" s="23"/>
      <c r="AF45" s="23"/>
      <c r="AG45" s="23"/>
      <c r="AH45" s="23"/>
      <c r="AI45" s="23"/>
      <c r="AJ45" s="23"/>
      <c r="AK45" s="23"/>
      <c r="AL45" s="23"/>
      <c r="AM45" s="23"/>
      <c r="AN45" s="23"/>
      <c r="AO45" s="23"/>
      <c r="AP45" s="23"/>
      <c r="AQ45" s="23"/>
      <c r="AR45" s="23"/>
      <c r="AS45" s="23"/>
      <c r="AT45" s="23"/>
      <c r="AU45" s="23"/>
      <c r="AV45" s="23"/>
      <c r="AW45" s="23"/>
      <c r="AX45" s="23"/>
      <c r="AY45" s="23"/>
      <c r="AZ45" s="23"/>
      <c r="BA45" s="23"/>
      <c r="BB45" s="23"/>
      <c r="BC45" s="23"/>
      <c r="BD45" s="23"/>
      <c r="BE45" s="23"/>
      <c r="BF45" s="23"/>
      <c r="BG45" s="23"/>
      <c r="BH45" s="23"/>
      <c r="BI45" s="23"/>
      <c r="BJ45" s="23"/>
      <c r="BK45" s="23"/>
      <c r="BL45" s="23"/>
    </row>
    <row r="46" spans="3:64" ht="20.100000000000001" customHeight="1" x14ac:dyDescent="0.25">
      <c r="C46" s="23"/>
      <c r="D46" s="23"/>
      <c r="E46" s="23"/>
      <c r="F46" s="23"/>
      <c r="G46" s="23"/>
      <c r="H46" s="23"/>
      <c r="I46" s="23"/>
      <c r="J46" s="23"/>
      <c r="K46" s="23"/>
      <c r="L46" s="23"/>
      <c r="M46" s="23"/>
      <c r="N46" s="23"/>
      <c r="O46" s="23"/>
      <c r="P46" s="23"/>
      <c r="Q46" s="23"/>
      <c r="R46" s="23"/>
      <c r="S46" s="23"/>
      <c r="T46" s="23"/>
      <c r="U46" s="23"/>
      <c r="V46" s="23"/>
      <c r="W46" s="23"/>
      <c r="X46" s="23"/>
      <c r="Y46" s="23"/>
      <c r="Z46" s="23"/>
      <c r="AA46" s="23"/>
      <c r="AB46" s="23"/>
      <c r="AC46" s="23"/>
      <c r="AD46" s="23"/>
      <c r="AE46" s="23"/>
      <c r="AF46" s="23"/>
      <c r="AG46" s="23"/>
      <c r="AH46" s="23"/>
      <c r="AI46" s="23"/>
      <c r="AJ46" s="23"/>
      <c r="AK46" s="23"/>
      <c r="AL46" s="23"/>
      <c r="AM46" s="23"/>
      <c r="AN46" s="23"/>
      <c r="AO46" s="23"/>
      <c r="AP46" s="23"/>
      <c r="AQ46" s="23"/>
      <c r="AR46" s="23"/>
      <c r="AS46" s="23"/>
      <c r="AT46" s="23"/>
      <c r="AU46" s="23"/>
      <c r="AV46" s="23"/>
      <c r="AW46" s="23"/>
      <c r="AX46" s="23"/>
      <c r="AY46" s="23"/>
      <c r="AZ46" s="23"/>
      <c r="BA46" s="23"/>
      <c r="BB46" s="23"/>
      <c r="BC46" s="23"/>
      <c r="BD46" s="23"/>
      <c r="BE46" s="23"/>
      <c r="BF46" s="23"/>
      <c r="BG46" s="23"/>
      <c r="BH46" s="23"/>
      <c r="BI46" s="23"/>
      <c r="BJ46" s="23"/>
      <c r="BK46" s="23"/>
      <c r="BL46" s="23"/>
    </row>
    <row r="47" spans="3:64" ht="20.100000000000001" customHeight="1" x14ac:dyDescent="0.25">
      <c r="C47" s="23"/>
      <c r="D47" s="23"/>
      <c r="E47" s="23"/>
      <c r="F47" s="23"/>
      <c r="G47" s="23"/>
      <c r="H47" s="23"/>
      <c r="I47" s="23"/>
      <c r="J47" s="23"/>
      <c r="K47" s="23"/>
      <c r="L47" s="23"/>
      <c r="M47" s="23"/>
      <c r="N47" s="23"/>
      <c r="O47" s="23"/>
      <c r="P47" s="23"/>
      <c r="Q47" s="23"/>
      <c r="R47" s="23"/>
      <c r="S47" s="23"/>
      <c r="T47" s="23"/>
      <c r="U47" s="23"/>
      <c r="V47" s="23"/>
      <c r="W47" s="23"/>
      <c r="X47" s="23"/>
      <c r="Y47" s="23"/>
      <c r="Z47" s="23"/>
      <c r="AA47" s="23"/>
      <c r="AB47" s="23"/>
      <c r="AC47" s="23"/>
      <c r="AD47" s="23"/>
      <c r="AE47" s="23"/>
      <c r="AF47" s="23"/>
      <c r="AG47" s="23"/>
      <c r="AH47" s="23"/>
      <c r="AI47" s="23"/>
      <c r="AJ47" s="23"/>
      <c r="AK47" s="23"/>
      <c r="AL47" s="23"/>
      <c r="AM47" s="23"/>
      <c r="AN47" s="23"/>
      <c r="AO47" s="23"/>
      <c r="AP47" s="23"/>
      <c r="AQ47" s="23"/>
      <c r="AR47" s="23"/>
      <c r="AS47" s="23"/>
      <c r="AT47" s="23"/>
      <c r="AU47" s="23"/>
      <c r="AV47" s="23"/>
      <c r="AW47" s="23"/>
      <c r="AX47" s="23"/>
      <c r="AY47" s="23"/>
      <c r="AZ47" s="23"/>
      <c r="BA47" s="23"/>
      <c r="BB47" s="23"/>
      <c r="BC47" s="23"/>
      <c r="BD47" s="23"/>
      <c r="BE47" s="23"/>
      <c r="BF47" s="23"/>
      <c r="BG47" s="23"/>
      <c r="BH47" s="23"/>
      <c r="BI47" s="23"/>
      <c r="BJ47" s="23"/>
      <c r="BK47" s="23"/>
      <c r="BL47" s="23"/>
    </row>
    <row r="48" spans="3:64" ht="20.100000000000001" customHeight="1" x14ac:dyDescent="0.25">
      <c r="C48" s="23"/>
      <c r="D48" s="23"/>
      <c r="E48" s="23"/>
      <c r="F48" s="23"/>
      <c r="G48" s="23"/>
      <c r="H48" s="23"/>
      <c r="I48" s="23"/>
      <c r="J48" s="23"/>
      <c r="K48" s="23"/>
      <c r="L48" s="23"/>
      <c r="M48" s="23"/>
      <c r="N48" s="23"/>
      <c r="O48" s="23"/>
      <c r="P48" s="23"/>
      <c r="Q48" s="23"/>
      <c r="R48" s="23"/>
      <c r="S48" s="23"/>
      <c r="T48" s="23"/>
      <c r="U48" s="23"/>
      <c r="V48" s="23"/>
      <c r="W48" s="23"/>
      <c r="X48" s="23"/>
      <c r="Y48" s="23"/>
      <c r="Z48" s="23"/>
      <c r="AA48" s="23"/>
      <c r="AB48" s="23"/>
      <c r="AC48" s="23"/>
      <c r="AD48" s="23"/>
      <c r="AE48" s="23"/>
      <c r="AF48" s="23"/>
      <c r="AG48" s="23"/>
      <c r="AH48" s="23"/>
      <c r="AI48" s="23"/>
      <c r="AJ48" s="23"/>
      <c r="AK48" s="23"/>
      <c r="AL48" s="23"/>
      <c r="AM48" s="23"/>
      <c r="AN48" s="23"/>
      <c r="AO48" s="23"/>
      <c r="AP48" s="23"/>
      <c r="AQ48" s="23"/>
      <c r="AR48" s="23"/>
      <c r="AS48" s="23"/>
      <c r="AT48" s="23"/>
      <c r="AU48" s="23"/>
      <c r="AV48" s="23"/>
      <c r="AW48" s="23"/>
      <c r="AX48" s="23"/>
      <c r="AY48" s="23"/>
      <c r="AZ48" s="23"/>
      <c r="BA48" s="23"/>
      <c r="BB48" s="23"/>
      <c r="BC48" s="23"/>
      <c r="BD48" s="23"/>
      <c r="BE48" s="23"/>
      <c r="BF48" s="23"/>
      <c r="BG48" s="23"/>
      <c r="BH48" s="23"/>
      <c r="BI48" s="23"/>
      <c r="BJ48" s="23"/>
      <c r="BK48" s="23"/>
      <c r="BL48" s="23"/>
    </row>
    <row r="49" spans="3:64" ht="20.100000000000001" customHeight="1" x14ac:dyDescent="0.25">
      <c r="C49" s="23"/>
      <c r="D49" s="23"/>
      <c r="E49" s="23"/>
      <c r="F49" s="23"/>
      <c r="G49" s="23"/>
      <c r="H49" s="23"/>
      <c r="I49" s="23"/>
      <c r="J49" s="23"/>
      <c r="K49" s="23"/>
      <c r="L49" s="23"/>
      <c r="M49" s="23"/>
      <c r="N49" s="23"/>
      <c r="O49" s="23"/>
      <c r="P49" s="23"/>
      <c r="Q49" s="23"/>
      <c r="R49" s="23"/>
      <c r="S49" s="23"/>
      <c r="T49" s="23"/>
      <c r="U49" s="23"/>
      <c r="V49" s="23"/>
      <c r="W49" s="23"/>
      <c r="X49" s="23"/>
      <c r="Y49" s="23"/>
      <c r="Z49" s="23"/>
      <c r="AA49" s="23"/>
      <c r="AB49" s="23"/>
      <c r="AC49" s="23"/>
      <c r="AD49" s="23"/>
      <c r="AE49" s="23"/>
      <c r="AF49" s="23"/>
      <c r="AG49" s="23"/>
      <c r="AH49" s="23"/>
      <c r="AI49" s="23"/>
      <c r="AJ49" s="23"/>
      <c r="AK49" s="23"/>
      <c r="AL49" s="23"/>
      <c r="AM49" s="23"/>
      <c r="AN49" s="23"/>
      <c r="AO49" s="23"/>
      <c r="AP49" s="23"/>
      <c r="AQ49" s="23"/>
      <c r="AR49" s="23"/>
      <c r="AS49" s="23"/>
      <c r="AT49" s="23"/>
      <c r="AU49" s="23"/>
      <c r="AV49" s="23"/>
      <c r="AW49" s="23"/>
      <c r="AX49" s="23"/>
      <c r="AY49" s="23"/>
      <c r="AZ49" s="23"/>
      <c r="BA49" s="23"/>
      <c r="BB49" s="23"/>
      <c r="BC49" s="23"/>
      <c r="BD49" s="23"/>
      <c r="BE49" s="23"/>
      <c r="BF49" s="23"/>
      <c r="BG49" s="23"/>
      <c r="BH49" s="23"/>
      <c r="BI49" s="23"/>
      <c r="BJ49" s="23"/>
      <c r="BK49" s="23"/>
      <c r="BL49" s="23"/>
    </row>
    <row r="50" spans="3:64" ht="20.100000000000001" customHeight="1" x14ac:dyDescent="0.25">
      <c r="C50" s="23"/>
      <c r="D50" s="23"/>
      <c r="E50" s="23"/>
      <c r="F50" s="23"/>
      <c r="G50" s="23"/>
      <c r="H50" s="23"/>
      <c r="I50" s="23"/>
      <c r="J50" s="23"/>
      <c r="K50" s="23"/>
      <c r="L50" s="23"/>
      <c r="M50" s="23"/>
      <c r="N50" s="23"/>
      <c r="O50" s="23"/>
      <c r="P50" s="23"/>
      <c r="Q50" s="23"/>
      <c r="R50" s="23"/>
      <c r="S50" s="23"/>
      <c r="T50" s="23"/>
      <c r="U50" s="23"/>
      <c r="V50" s="23"/>
      <c r="W50" s="23"/>
      <c r="X50" s="23"/>
      <c r="Y50" s="23"/>
      <c r="Z50" s="23"/>
      <c r="AA50" s="23"/>
      <c r="AB50" s="23"/>
      <c r="AC50" s="23"/>
      <c r="AD50" s="23"/>
      <c r="AE50" s="23"/>
      <c r="AF50" s="23"/>
      <c r="AG50" s="23"/>
      <c r="AH50" s="23"/>
      <c r="AI50" s="23"/>
      <c r="AJ50" s="23"/>
      <c r="AK50" s="23"/>
      <c r="AL50" s="23"/>
      <c r="AM50" s="23"/>
      <c r="AN50" s="23"/>
      <c r="AO50" s="23"/>
      <c r="AP50" s="23"/>
      <c r="AQ50" s="23"/>
      <c r="AR50" s="23"/>
      <c r="AS50" s="23"/>
      <c r="AT50" s="23"/>
      <c r="AU50" s="23"/>
      <c r="AV50" s="23"/>
      <c r="AW50" s="23"/>
      <c r="AX50" s="23"/>
      <c r="AY50" s="23"/>
      <c r="AZ50" s="23"/>
      <c r="BA50" s="23"/>
      <c r="BB50" s="23"/>
      <c r="BC50" s="23"/>
      <c r="BD50" s="23"/>
      <c r="BE50" s="23"/>
      <c r="BF50" s="23"/>
      <c r="BG50" s="23"/>
      <c r="BH50" s="23"/>
      <c r="BI50" s="23"/>
      <c r="BJ50" s="23"/>
      <c r="BK50" s="23"/>
      <c r="BL50" s="23"/>
    </row>
    <row r="51" spans="3:64" ht="20.100000000000001" customHeight="1" x14ac:dyDescent="0.25">
      <c r="C51" s="23"/>
      <c r="D51" s="23"/>
      <c r="E51" s="23"/>
      <c r="F51" s="23"/>
      <c r="G51" s="23"/>
      <c r="H51" s="23"/>
      <c r="I51" s="23"/>
      <c r="J51" s="23"/>
      <c r="K51" s="23"/>
      <c r="L51" s="23"/>
      <c r="M51" s="23"/>
      <c r="N51" s="23"/>
      <c r="O51" s="23"/>
      <c r="P51" s="23"/>
      <c r="Q51" s="23"/>
      <c r="R51" s="23"/>
      <c r="S51" s="23"/>
      <c r="T51" s="23"/>
      <c r="U51" s="23"/>
      <c r="V51" s="23"/>
      <c r="W51" s="23"/>
      <c r="X51" s="23"/>
      <c r="Y51" s="23"/>
      <c r="Z51" s="23"/>
      <c r="AA51" s="23"/>
      <c r="AB51" s="23"/>
      <c r="AC51" s="23"/>
      <c r="AD51" s="23"/>
      <c r="AE51" s="23"/>
      <c r="AF51" s="23"/>
      <c r="AG51" s="23"/>
      <c r="AH51" s="23"/>
      <c r="AI51" s="23"/>
      <c r="AJ51" s="23"/>
      <c r="AK51" s="23"/>
      <c r="AL51" s="23"/>
      <c r="AM51" s="23"/>
      <c r="AN51" s="23"/>
      <c r="AO51" s="23"/>
      <c r="AP51" s="23"/>
      <c r="AQ51" s="23"/>
      <c r="AR51" s="23"/>
      <c r="AS51" s="23"/>
      <c r="AT51" s="23"/>
      <c r="AU51" s="23"/>
      <c r="AV51" s="23"/>
      <c r="AW51" s="23"/>
      <c r="AX51" s="23"/>
      <c r="AY51" s="23"/>
      <c r="AZ51" s="23"/>
      <c r="BA51" s="23"/>
      <c r="BB51" s="23"/>
      <c r="BC51" s="23"/>
      <c r="BD51" s="23"/>
      <c r="BE51" s="23"/>
      <c r="BF51" s="23"/>
      <c r="BG51" s="23"/>
      <c r="BH51" s="23"/>
      <c r="BI51" s="23"/>
      <c r="BJ51" s="23"/>
      <c r="BK51" s="23"/>
      <c r="BL51" s="23"/>
    </row>
    <row r="52" spans="3:64" ht="20.100000000000001" customHeight="1" x14ac:dyDescent="0.25">
      <c r="C52" s="23"/>
      <c r="D52" s="23"/>
      <c r="E52" s="23"/>
      <c r="F52" s="23"/>
      <c r="G52" s="23"/>
      <c r="H52" s="23"/>
      <c r="I52" s="23"/>
      <c r="J52" s="23"/>
      <c r="K52" s="23"/>
      <c r="L52" s="23"/>
      <c r="M52" s="23"/>
      <c r="N52" s="23"/>
      <c r="O52" s="23"/>
      <c r="P52" s="23"/>
      <c r="Q52" s="23"/>
      <c r="R52" s="23"/>
      <c r="S52" s="23"/>
      <c r="T52" s="23"/>
      <c r="U52" s="23"/>
      <c r="V52" s="23"/>
      <c r="W52" s="23"/>
      <c r="X52" s="23"/>
      <c r="Y52" s="23"/>
      <c r="Z52" s="23"/>
      <c r="AA52" s="23"/>
      <c r="AB52" s="23"/>
      <c r="AC52" s="23"/>
      <c r="AD52" s="23"/>
      <c r="AE52" s="23"/>
      <c r="AF52" s="23"/>
      <c r="AG52" s="23"/>
      <c r="AH52" s="23"/>
      <c r="AI52" s="23"/>
      <c r="AJ52" s="23"/>
      <c r="AK52" s="23"/>
      <c r="AL52" s="23"/>
      <c r="AM52" s="23"/>
      <c r="AN52" s="23"/>
      <c r="AO52" s="23"/>
      <c r="AP52" s="23"/>
      <c r="AQ52" s="23"/>
      <c r="AR52" s="23"/>
      <c r="AS52" s="23"/>
      <c r="AT52" s="23"/>
      <c r="AU52" s="23"/>
      <c r="AV52" s="23"/>
      <c r="AW52" s="23"/>
      <c r="AX52" s="23"/>
      <c r="AY52" s="23"/>
      <c r="AZ52" s="23"/>
      <c r="BA52" s="23"/>
      <c r="BB52" s="23"/>
      <c r="BC52" s="23"/>
      <c r="BD52" s="23"/>
      <c r="BE52" s="23"/>
      <c r="BF52" s="23"/>
      <c r="BG52" s="23"/>
      <c r="BH52" s="23"/>
      <c r="BI52" s="23"/>
      <c r="BJ52" s="23"/>
      <c r="BK52" s="23"/>
      <c r="BL52" s="23"/>
    </row>
    <row r="53" spans="3:64" ht="20.100000000000001" customHeight="1" x14ac:dyDescent="0.25">
      <c r="C53" s="23"/>
      <c r="D53" s="23"/>
      <c r="E53" s="23"/>
      <c r="F53" s="23"/>
      <c r="G53" s="23"/>
      <c r="H53" s="23"/>
      <c r="I53" s="23"/>
      <c r="J53" s="23"/>
      <c r="K53" s="23"/>
      <c r="L53" s="23"/>
      <c r="M53" s="23"/>
      <c r="N53" s="23"/>
      <c r="O53" s="23"/>
      <c r="P53" s="23"/>
      <c r="Q53" s="23"/>
      <c r="R53" s="23"/>
      <c r="S53" s="23"/>
      <c r="T53" s="23"/>
      <c r="U53" s="23"/>
      <c r="V53" s="23"/>
      <c r="W53" s="23"/>
      <c r="X53" s="23"/>
      <c r="Y53" s="23"/>
      <c r="Z53" s="23"/>
      <c r="AA53" s="23"/>
      <c r="AB53" s="23"/>
      <c r="AC53" s="23"/>
      <c r="AD53" s="23"/>
      <c r="AE53" s="23"/>
      <c r="AF53" s="23"/>
      <c r="AG53" s="23"/>
      <c r="AH53" s="23"/>
      <c r="AI53" s="23"/>
      <c r="AJ53" s="23"/>
      <c r="AK53" s="23"/>
      <c r="AL53" s="23"/>
      <c r="AM53" s="23"/>
      <c r="AN53" s="23"/>
      <c r="AO53" s="23"/>
      <c r="AP53" s="23"/>
      <c r="AQ53" s="23"/>
      <c r="AR53" s="23"/>
      <c r="AS53" s="23"/>
      <c r="AT53" s="23"/>
      <c r="AU53" s="23"/>
      <c r="AV53" s="23"/>
      <c r="AW53" s="23"/>
      <c r="AX53" s="23"/>
      <c r="AY53" s="23"/>
      <c r="AZ53" s="23"/>
      <c r="BA53" s="23"/>
      <c r="BB53" s="23"/>
      <c r="BC53" s="23"/>
      <c r="BD53" s="23"/>
      <c r="BE53" s="23"/>
      <c r="BF53" s="23"/>
      <c r="BG53" s="23"/>
      <c r="BH53" s="23"/>
      <c r="BI53" s="23"/>
      <c r="BJ53" s="23"/>
      <c r="BK53" s="23"/>
      <c r="BL53" s="23"/>
    </row>
    <row r="54" spans="3:64" ht="20.100000000000001" customHeight="1" x14ac:dyDescent="0.25">
      <c r="C54" s="23"/>
      <c r="D54" s="23"/>
      <c r="E54" s="23"/>
      <c r="F54" s="23"/>
      <c r="G54" s="23"/>
      <c r="H54" s="23"/>
      <c r="I54" s="23"/>
      <c r="J54" s="23"/>
      <c r="K54" s="23"/>
      <c r="L54" s="23"/>
      <c r="M54" s="23"/>
      <c r="N54" s="23"/>
      <c r="O54" s="23"/>
      <c r="P54" s="23"/>
      <c r="Q54" s="23"/>
      <c r="R54" s="23"/>
      <c r="S54" s="23"/>
      <c r="T54" s="23"/>
      <c r="U54" s="23"/>
      <c r="V54" s="23"/>
      <c r="W54" s="23"/>
      <c r="X54" s="23"/>
      <c r="Y54" s="23"/>
      <c r="Z54" s="23"/>
      <c r="AA54" s="23"/>
      <c r="AB54" s="23"/>
      <c r="AC54" s="23"/>
      <c r="AD54" s="23"/>
      <c r="AE54" s="23"/>
      <c r="AF54" s="23"/>
      <c r="AG54" s="23"/>
      <c r="AH54" s="23"/>
      <c r="AI54" s="23"/>
      <c r="AJ54" s="23"/>
      <c r="AK54" s="23"/>
      <c r="AL54" s="23"/>
      <c r="AM54" s="23"/>
      <c r="AN54" s="23"/>
      <c r="AO54" s="23"/>
      <c r="AP54" s="23"/>
      <c r="AQ54" s="23"/>
      <c r="AR54" s="23"/>
      <c r="AS54" s="23"/>
      <c r="AT54" s="23"/>
      <c r="AU54" s="23"/>
      <c r="AV54" s="23"/>
      <c r="AW54" s="23"/>
      <c r="AX54" s="23"/>
      <c r="AY54" s="23"/>
      <c r="AZ54" s="23"/>
      <c r="BA54" s="23"/>
      <c r="BB54" s="23"/>
      <c r="BC54" s="23"/>
      <c r="BD54" s="23"/>
      <c r="BE54" s="23"/>
      <c r="BF54" s="23"/>
      <c r="BG54" s="23"/>
      <c r="BH54" s="23"/>
      <c r="BI54" s="23"/>
      <c r="BJ54" s="23"/>
      <c r="BK54" s="23"/>
      <c r="BL54" s="23"/>
    </row>
    <row r="55" spans="3:64" ht="20.100000000000001" customHeight="1" x14ac:dyDescent="0.25">
      <c r="C55" s="23"/>
      <c r="D55" s="23"/>
      <c r="E55" s="23"/>
      <c r="F55" s="23"/>
      <c r="G55" s="23"/>
      <c r="H55" s="23"/>
      <c r="I55" s="23"/>
      <c r="J55" s="23"/>
      <c r="K55" s="23"/>
      <c r="L55" s="23"/>
      <c r="M55" s="23"/>
      <c r="N55" s="23"/>
      <c r="O55" s="23"/>
      <c r="P55" s="23"/>
      <c r="Q55" s="23"/>
      <c r="R55" s="23"/>
      <c r="S55" s="23"/>
      <c r="T55" s="23"/>
      <c r="U55" s="23"/>
      <c r="V55" s="23"/>
      <c r="W55" s="23"/>
      <c r="X55" s="23"/>
      <c r="Y55" s="23"/>
      <c r="Z55" s="23"/>
      <c r="AA55" s="23"/>
      <c r="AB55" s="23"/>
      <c r="AC55" s="23"/>
      <c r="AD55" s="23"/>
      <c r="AE55" s="23"/>
      <c r="AF55" s="23"/>
      <c r="AG55" s="23"/>
      <c r="AH55" s="23"/>
      <c r="AI55" s="23"/>
      <c r="AJ55" s="23"/>
      <c r="AK55" s="23"/>
      <c r="AL55" s="23"/>
      <c r="AM55" s="23"/>
      <c r="AN55" s="23"/>
      <c r="AO55" s="23"/>
      <c r="AP55" s="23"/>
      <c r="AQ55" s="23"/>
      <c r="AR55" s="23"/>
      <c r="AS55" s="23"/>
      <c r="AT55" s="23"/>
      <c r="AU55" s="23"/>
      <c r="AV55" s="23"/>
      <c r="AW55" s="23"/>
      <c r="AX55" s="23"/>
      <c r="AY55" s="23"/>
      <c r="AZ55" s="23"/>
      <c r="BA55" s="23"/>
      <c r="BB55" s="23"/>
      <c r="BC55" s="23"/>
      <c r="BD55" s="23"/>
      <c r="BE55" s="23"/>
      <c r="BF55" s="23"/>
      <c r="BG55" s="23"/>
      <c r="BH55" s="23"/>
      <c r="BI55" s="23"/>
      <c r="BJ55" s="23"/>
      <c r="BK55" s="23"/>
      <c r="BL55" s="23"/>
    </row>
    <row r="56" spans="3:64" ht="20.100000000000001" customHeight="1" x14ac:dyDescent="0.25">
      <c r="C56" s="23"/>
      <c r="D56" s="23"/>
      <c r="E56" s="23"/>
      <c r="F56" s="23"/>
      <c r="G56" s="23"/>
      <c r="H56" s="23"/>
      <c r="I56" s="23"/>
      <c r="J56" s="23"/>
      <c r="K56" s="23"/>
      <c r="L56" s="23"/>
      <c r="M56" s="23"/>
      <c r="N56" s="23"/>
      <c r="O56" s="23"/>
      <c r="P56" s="23"/>
      <c r="Q56" s="23"/>
      <c r="R56" s="23"/>
      <c r="S56" s="23"/>
      <c r="T56" s="23"/>
      <c r="U56" s="23"/>
      <c r="V56" s="23"/>
      <c r="W56" s="23"/>
      <c r="X56" s="23"/>
      <c r="Y56" s="23"/>
      <c r="Z56" s="23"/>
      <c r="AA56" s="23"/>
      <c r="AB56" s="23"/>
      <c r="AC56" s="23"/>
      <c r="AD56" s="23"/>
      <c r="AE56" s="23"/>
      <c r="AF56" s="23"/>
      <c r="AG56" s="23"/>
      <c r="AH56" s="23"/>
      <c r="AI56" s="23"/>
      <c r="AJ56" s="23"/>
      <c r="AK56" s="23"/>
      <c r="AL56" s="23"/>
      <c r="AM56" s="23"/>
      <c r="AN56" s="23"/>
      <c r="AO56" s="23"/>
      <c r="AP56" s="23"/>
      <c r="AQ56" s="23"/>
      <c r="AR56" s="23"/>
      <c r="AS56" s="23"/>
      <c r="AT56" s="23"/>
      <c r="AU56" s="23"/>
      <c r="AV56" s="23"/>
      <c r="AW56" s="23"/>
      <c r="AX56" s="23"/>
      <c r="AY56" s="23"/>
      <c r="AZ56" s="23"/>
      <c r="BA56" s="23"/>
      <c r="BB56" s="23"/>
      <c r="BC56" s="23"/>
      <c r="BD56" s="23"/>
      <c r="BE56" s="23"/>
      <c r="BF56" s="23"/>
      <c r="BG56" s="23"/>
      <c r="BH56" s="23"/>
      <c r="BI56" s="23"/>
      <c r="BJ56" s="23"/>
      <c r="BK56" s="23"/>
      <c r="BL56" s="23"/>
    </row>
    <row r="57" spans="3:64" ht="20.100000000000001" customHeight="1" x14ac:dyDescent="0.25">
      <c r="C57" s="23"/>
      <c r="D57" s="23"/>
      <c r="E57" s="23"/>
      <c r="F57" s="23"/>
      <c r="G57" s="23"/>
      <c r="H57" s="23"/>
      <c r="I57" s="23"/>
      <c r="J57" s="23"/>
      <c r="K57" s="23"/>
      <c r="L57" s="23"/>
      <c r="M57" s="23"/>
      <c r="N57" s="23"/>
      <c r="O57" s="23"/>
      <c r="P57" s="23"/>
      <c r="Q57" s="23"/>
      <c r="R57" s="23"/>
      <c r="S57" s="23"/>
      <c r="T57" s="23"/>
      <c r="U57" s="23"/>
      <c r="V57" s="23"/>
      <c r="W57" s="23"/>
      <c r="X57" s="23"/>
      <c r="Y57" s="23"/>
      <c r="Z57" s="23"/>
      <c r="AA57" s="23"/>
      <c r="AB57" s="23"/>
      <c r="AC57" s="23"/>
      <c r="AD57" s="23"/>
      <c r="AE57" s="23"/>
      <c r="AF57" s="23"/>
      <c r="AG57" s="23"/>
      <c r="AH57" s="23"/>
      <c r="AI57" s="23"/>
      <c r="AJ57" s="23"/>
      <c r="AK57" s="23"/>
      <c r="AL57" s="23"/>
      <c r="AM57" s="23"/>
      <c r="AN57" s="23"/>
      <c r="AO57" s="23"/>
      <c r="AP57" s="23"/>
      <c r="AQ57" s="23"/>
      <c r="AR57" s="23"/>
      <c r="AS57" s="23"/>
      <c r="AT57" s="23"/>
      <c r="AU57" s="23"/>
      <c r="AV57" s="23"/>
      <c r="AW57" s="23"/>
      <c r="AX57" s="23"/>
      <c r="AY57" s="23"/>
      <c r="AZ57" s="23"/>
      <c r="BA57" s="23"/>
      <c r="BB57" s="23"/>
      <c r="BC57" s="23"/>
      <c r="BD57" s="23"/>
      <c r="BE57" s="23"/>
      <c r="BF57" s="23"/>
      <c r="BG57" s="23"/>
      <c r="BH57" s="23"/>
      <c r="BI57" s="23"/>
      <c r="BJ57" s="23"/>
      <c r="BK57" s="23"/>
      <c r="BL57" s="23"/>
    </row>
    <row r="58" spans="3:64" ht="20.100000000000001" customHeight="1" x14ac:dyDescent="0.25">
      <c r="C58" s="23"/>
      <c r="D58" s="23"/>
      <c r="E58" s="23"/>
      <c r="F58" s="23"/>
      <c r="G58" s="23"/>
      <c r="H58" s="23"/>
      <c r="I58" s="23"/>
      <c r="J58" s="23"/>
      <c r="K58" s="23"/>
      <c r="L58" s="23"/>
      <c r="M58" s="23"/>
      <c r="N58" s="23"/>
      <c r="O58" s="23"/>
      <c r="P58" s="23"/>
      <c r="Q58" s="23"/>
      <c r="R58" s="23"/>
      <c r="S58" s="23"/>
      <c r="T58" s="23"/>
      <c r="U58" s="23"/>
      <c r="V58" s="23"/>
      <c r="W58" s="23"/>
      <c r="X58" s="23"/>
      <c r="Y58" s="23"/>
      <c r="Z58" s="23"/>
      <c r="AA58" s="23"/>
      <c r="AB58" s="23"/>
      <c r="AC58" s="23"/>
      <c r="AD58" s="23"/>
      <c r="AE58" s="23"/>
      <c r="AF58" s="23"/>
      <c r="AG58" s="23"/>
      <c r="AH58" s="23"/>
      <c r="AI58" s="23"/>
      <c r="AJ58" s="23"/>
      <c r="AK58" s="23"/>
      <c r="AL58" s="23"/>
      <c r="AM58" s="23"/>
      <c r="AN58" s="23"/>
      <c r="AO58" s="23"/>
      <c r="AP58" s="23"/>
      <c r="AQ58" s="23"/>
      <c r="AR58" s="23"/>
      <c r="AS58" s="23"/>
      <c r="AT58" s="23"/>
      <c r="AU58" s="23"/>
      <c r="AV58" s="23"/>
      <c r="AW58" s="23"/>
      <c r="AX58" s="23"/>
      <c r="AY58" s="23"/>
      <c r="AZ58" s="23"/>
      <c r="BA58" s="23"/>
      <c r="BB58" s="23"/>
      <c r="BC58" s="23"/>
      <c r="BD58" s="23"/>
      <c r="BE58" s="23"/>
      <c r="BF58" s="23"/>
      <c r="BG58" s="23"/>
      <c r="BH58" s="23"/>
      <c r="BI58" s="23"/>
      <c r="BJ58" s="23"/>
      <c r="BK58" s="23"/>
      <c r="BL58" s="23"/>
    </row>
    <row r="59" spans="3:64" x14ac:dyDescent="0.25">
      <c r="C59" s="23"/>
      <c r="D59" s="23"/>
      <c r="E59" s="23"/>
      <c r="F59" s="23"/>
      <c r="G59" s="23"/>
      <c r="H59" s="23"/>
      <c r="I59" s="23"/>
      <c r="J59" s="23"/>
      <c r="K59" s="23"/>
      <c r="L59" s="23"/>
      <c r="M59" s="23"/>
      <c r="N59" s="23"/>
      <c r="O59" s="23"/>
      <c r="P59" s="23"/>
      <c r="Q59" s="23"/>
      <c r="R59" s="23"/>
      <c r="S59" s="23"/>
      <c r="T59" s="23"/>
      <c r="U59" s="23"/>
      <c r="V59" s="23"/>
      <c r="W59" s="23"/>
      <c r="X59" s="23"/>
      <c r="Y59" s="23"/>
      <c r="Z59" s="23"/>
      <c r="AA59" s="23"/>
      <c r="AB59" s="23"/>
      <c r="AC59" s="23"/>
      <c r="AD59" s="23"/>
      <c r="AE59" s="23"/>
      <c r="AF59" s="23"/>
      <c r="AG59" s="23"/>
      <c r="AH59" s="23"/>
      <c r="AI59" s="23"/>
      <c r="AJ59" s="23"/>
      <c r="AK59" s="23"/>
      <c r="AL59" s="23"/>
      <c r="AM59" s="23"/>
      <c r="AN59" s="23"/>
      <c r="AO59" s="23"/>
      <c r="AP59" s="23"/>
      <c r="AQ59" s="23"/>
      <c r="AR59" s="23"/>
      <c r="AS59" s="23"/>
      <c r="AT59" s="23"/>
      <c r="AU59" s="23"/>
      <c r="AV59" s="23"/>
      <c r="AW59" s="23"/>
      <c r="AX59" s="23"/>
      <c r="AY59" s="23"/>
      <c r="AZ59" s="23"/>
      <c r="BA59" s="23"/>
      <c r="BB59" s="23"/>
      <c r="BC59" s="23"/>
      <c r="BD59" s="23"/>
      <c r="BE59" s="23"/>
      <c r="BF59" s="23"/>
      <c r="BG59" s="23"/>
      <c r="BH59" s="23"/>
      <c r="BI59" s="23"/>
      <c r="BJ59" s="23"/>
      <c r="BK59" s="23"/>
      <c r="BL59" s="23"/>
    </row>
    <row r="60" spans="3:64" x14ac:dyDescent="0.25">
      <c r="C60" s="23"/>
      <c r="D60" s="23"/>
      <c r="E60" s="23"/>
      <c r="F60" s="23"/>
      <c r="G60" s="23"/>
      <c r="H60" s="23"/>
      <c r="I60" s="23"/>
      <c r="J60" s="23"/>
      <c r="K60" s="23"/>
      <c r="L60" s="23"/>
      <c r="M60" s="23"/>
      <c r="N60" s="23"/>
      <c r="O60" s="23"/>
      <c r="P60" s="23"/>
      <c r="Q60" s="23"/>
      <c r="R60" s="23"/>
      <c r="S60" s="23"/>
      <c r="T60" s="23"/>
      <c r="U60" s="23"/>
      <c r="V60" s="23"/>
      <c r="W60" s="23"/>
      <c r="X60" s="23"/>
      <c r="Y60" s="23"/>
      <c r="Z60" s="23"/>
      <c r="AA60" s="23"/>
      <c r="AB60" s="23"/>
      <c r="AC60" s="23"/>
      <c r="AD60" s="23"/>
      <c r="AE60" s="23"/>
      <c r="AF60" s="23"/>
      <c r="AG60" s="23"/>
      <c r="AH60" s="23"/>
      <c r="AI60" s="23"/>
      <c r="AJ60" s="23"/>
      <c r="AK60" s="23"/>
      <c r="AL60" s="23"/>
      <c r="AM60" s="23"/>
      <c r="AN60" s="23"/>
      <c r="AO60" s="23"/>
      <c r="AP60" s="23"/>
      <c r="AQ60" s="23"/>
      <c r="AR60" s="23"/>
      <c r="AS60" s="23"/>
      <c r="AT60" s="23"/>
      <c r="AU60" s="23"/>
      <c r="AV60" s="23"/>
      <c r="AW60" s="23"/>
      <c r="AX60" s="23"/>
      <c r="AY60" s="23"/>
      <c r="AZ60" s="23"/>
      <c r="BA60" s="23"/>
      <c r="BB60" s="23"/>
      <c r="BC60" s="23"/>
      <c r="BD60" s="23"/>
      <c r="BE60" s="23"/>
      <c r="BF60" s="23"/>
      <c r="BG60" s="23"/>
      <c r="BH60" s="23"/>
      <c r="BI60" s="23"/>
      <c r="BJ60" s="23"/>
      <c r="BK60" s="23"/>
      <c r="BL60" s="23"/>
    </row>
    <row r="61" spans="3:64" x14ac:dyDescent="0.25">
      <c r="C61" s="23"/>
      <c r="D61" s="23"/>
      <c r="E61" s="23"/>
      <c r="F61" s="23"/>
      <c r="G61" s="23"/>
      <c r="H61" s="23"/>
      <c r="I61" s="23"/>
      <c r="J61" s="23"/>
      <c r="K61" s="23"/>
      <c r="L61" s="23"/>
      <c r="M61" s="23"/>
      <c r="N61" s="23"/>
      <c r="O61" s="23"/>
      <c r="P61" s="23"/>
      <c r="Q61" s="23"/>
      <c r="R61" s="23"/>
      <c r="S61" s="23"/>
      <c r="T61" s="23"/>
      <c r="U61" s="23"/>
      <c r="V61" s="23"/>
      <c r="W61" s="23"/>
      <c r="X61" s="23"/>
      <c r="Y61" s="23"/>
      <c r="Z61" s="23"/>
      <c r="AA61" s="23"/>
      <c r="AB61" s="23"/>
      <c r="AC61" s="23"/>
      <c r="AD61" s="23"/>
      <c r="AE61" s="23"/>
      <c r="AF61" s="23"/>
      <c r="AG61" s="23"/>
      <c r="AH61" s="23"/>
      <c r="AI61" s="23"/>
      <c r="AJ61" s="23"/>
      <c r="AK61" s="23"/>
      <c r="AL61" s="23"/>
      <c r="AM61" s="23"/>
      <c r="AN61" s="23"/>
      <c r="AO61" s="23"/>
      <c r="AP61" s="23"/>
      <c r="AQ61" s="23"/>
      <c r="AR61" s="23"/>
      <c r="AS61" s="23"/>
      <c r="AT61" s="23"/>
      <c r="AU61" s="23"/>
      <c r="AV61" s="23"/>
      <c r="AW61" s="23"/>
      <c r="AX61" s="23"/>
      <c r="AY61" s="23"/>
      <c r="AZ61" s="23"/>
      <c r="BA61" s="23"/>
      <c r="BB61" s="23"/>
      <c r="BC61" s="23"/>
      <c r="BD61" s="23"/>
      <c r="BE61" s="23"/>
      <c r="BF61" s="23"/>
      <c r="BG61" s="23"/>
      <c r="BH61" s="23"/>
      <c r="BI61" s="23"/>
      <c r="BJ61" s="23"/>
      <c r="BK61" s="23"/>
      <c r="BL61" s="23"/>
    </row>
    <row r="62" spans="3:64" x14ac:dyDescent="0.25">
      <c r="C62" s="23"/>
      <c r="D62" s="23"/>
      <c r="E62" s="23"/>
      <c r="F62" s="23"/>
      <c r="G62" s="23"/>
      <c r="H62" s="23"/>
      <c r="I62" s="23"/>
      <c r="J62" s="23"/>
      <c r="K62" s="23"/>
      <c r="L62" s="23"/>
      <c r="M62" s="23"/>
      <c r="N62" s="23"/>
      <c r="O62" s="23"/>
      <c r="P62" s="23"/>
      <c r="Q62" s="23"/>
      <c r="R62" s="23"/>
      <c r="S62" s="23"/>
      <c r="T62" s="23"/>
      <c r="U62" s="23"/>
      <c r="V62" s="23"/>
      <c r="W62" s="23"/>
      <c r="X62" s="23"/>
      <c r="Y62" s="23"/>
      <c r="Z62" s="23"/>
      <c r="AA62" s="23"/>
      <c r="AB62" s="23"/>
      <c r="AC62" s="23"/>
      <c r="AD62" s="23"/>
      <c r="AE62" s="23"/>
      <c r="AF62" s="23"/>
      <c r="AG62" s="23"/>
      <c r="AH62" s="23"/>
      <c r="AI62" s="23"/>
      <c r="AJ62" s="23"/>
      <c r="AK62" s="23"/>
      <c r="AL62" s="23"/>
      <c r="AM62" s="23"/>
      <c r="AN62" s="23"/>
      <c r="AO62" s="23"/>
      <c r="AP62" s="23"/>
      <c r="AQ62" s="23"/>
      <c r="AR62" s="23"/>
      <c r="AS62" s="23"/>
      <c r="AT62" s="23"/>
      <c r="AU62" s="23"/>
      <c r="AV62" s="23"/>
      <c r="AW62" s="23"/>
      <c r="AX62" s="23"/>
      <c r="AY62" s="23"/>
      <c r="AZ62" s="23"/>
      <c r="BA62" s="23"/>
      <c r="BB62" s="23"/>
      <c r="BC62" s="23"/>
      <c r="BD62" s="23"/>
      <c r="BE62" s="23"/>
      <c r="BF62" s="23"/>
      <c r="BG62" s="23"/>
      <c r="BH62" s="23"/>
      <c r="BI62" s="23"/>
      <c r="BJ62" s="23"/>
      <c r="BK62" s="23"/>
      <c r="BL62" s="23"/>
    </row>
    <row r="63" spans="3:64" x14ac:dyDescent="0.25">
      <c r="C63" s="23"/>
      <c r="D63" s="23"/>
      <c r="E63" s="23"/>
      <c r="F63" s="23"/>
      <c r="G63" s="23"/>
      <c r="H63" s="23"/>
      <c r="I63" s="23"/>
      <c r="J63" s="23"/>
      <c r="K63" s="23"/>
      <c r="L63" s="23"/>
      <c r="M63" s="23"/>
      <c r="N63" s="23"/>
      <c r="O63" s="23"/>
      <c r="P63" s="23"/>
      <c r="Q63" s="23"/>
      <c r="R63" s="23"/>
      <c r="S63" s="23"/>
      <c r="T63" s="23"/>
      <c r="U63" s="23"/>
      <c r="V63" s="23"/>
      <c r="W63" s="23"/>
      <c r="X63" s="23"/>
      <c r="Y63" s="23"/>
      <c r="Z63" s="23"/>
      <c r="AA63" s="23"/>
      <c r="AB63" s="23"/>
      <c r="AC63" s="23"/>
      <c r="AD63" s="23"/>
      <c r="AE63" s="23"/>
      <c r="AF63" s="23"/>
      <c r="AG63" s="23"/>
      <c r="AH63" s="23"/>
      <c r="AI63" s="23"/>
      <c r="AJ63" s="23"/>
      <c r="AK63" s="23"/>
      <c r="AL63" s="23"/>
      <c r="AM63" s="23"/>
      <c r="AN63" s="23"/>
      <c r="AO63" s="23"/>
      <c r="AP63" s="23"/>
      <c r="AQ63" s="23"/>
      <c r="AR63" s="23"/>
      <c r="AS63" s="23"/>
      <c r="AT63" s="23"/>
      <c r="AU63" s="23"/>
      <c r="AV63" s="23"/>
      <c r="AW63" s="23"/>
      <c r="AX63" s="23"/>
      <c r="AY63" s="23"/>
      <c r="AZ63" s="23"/>
      <c r="BA63" s="23"/>
      <c r="BB63" s="23"/>
      <c r="BC63" s="23"/>
      <c r="BD63" s="23"/>
      <c r="BE63" s="23"/>
      <c r="BF63" s="23"/>
      <c r="BG63" s="23"/>
      <c r="BH63" s="23"/>
      <c r="BI63" s="23"/>
      <c r="BJ63" s="23"/>
      <c r="BK63" s="23"/>
      <c r="BL63" s="23"/>
    </row>
    <row r="64" spans="3:64" x14ac:dyDescent="0.25">
      <c r="C64" s="23"/>
      <c r="D64" s="23"/>
      <c r="E64" s="23"/>
      <c r="F64" s="23"/>
      <c r="G64" s="23"/>
      <c r="H64" s="23"/>
      <c r="I64" s="23"/>
      <c r="J64" s="23"/>
      <c r="K64" s="23"/>
      <c r="L64" s="23"/>
      <c r="M64" s="23"/>
      <c r="N64" s="23"/>
      <c r="O64" s="23"/>
      <c r="P64" s="23"/>
      <c r="Q64" s="23"/>
      <c r="R64" s="23"/>
      <c r="S64" s="23"/>
      <c r="T64" s="23"/>
      <c r="U64" s="23"/>
      <c r="V64" s="23"/>
      <c r="W64" s="23"/>
      <c r="X64" s="23"/>
      <c r="Y64" s="23"/>
      <c r="Z64" s="23"/>
      <c r="AA64" s="23"/>
      <c r="AB64" s="23"/>
      <c r="AC64" s="23"/>
      <c r="AD64" s="23"/>
      <c r="AE64" s="23"/>
      <c r="AF64" s="23"/>
      <c r="AG64" s="23"/>
      <c r="AH64" s="23"/>
      <c r="AI64" s="23"/>
      <c r="AJ64" s="23"/>
      <c r="AK64" s="23"/>
      <c r="AL64" s="23"/>
      <c r="AM64" s="23"/>
      <c r="AN64" s="23"/>
      <c r="AO64" s="23"/>
      <c r="AP64" s="23"/>
      <c r="AQ64" s="23"/>
      <c r="AR64" s="23"/>
      <c r="AS64" s="23"/>
      <c r="AT64" s="23"/>
      <c r="AU64" s="23"/>
      <c r="AV64" s="23"/>
      <c r="AW64" s="23"/>
      <c r="AX64" s="23"/>
      <c r="AY64" s="23"/>
      <c r="AZ64" s="23"/>
      <c r="BA64" s="23"/>
      <c r="BB64" s="23"/>
      <c r="BC64" s="23"/>
      <c r="BD64" s="23"/>
      <c r="BE64" s="23"/>
      <c r="BF64" s="23"/>
      <c r="BG64" s="23"/>
      <c r="BH64" s="23"/>
      <c r="BI64" s="23"/>
      <c r="BJ64" s="23"/>
      <c r="BK64" s="23"/>
      <c r="BL64" s="23"/>
    </row>
    <row r="65" spans="3:64" x14ac:dyDescent="0.25">
      <c r="C65" s="23"/>
      <c r="D65" s="23"/>
      <c r="E65" s="23"/>
      <c r="F65" s="23"/>
      <c r="G65" s="23"/>
      <c r="H65" s="23"/>
      <c r="I65" s="23"/>
      <c r="J65" s="23"/>
      <c r="K65" s="23"/>
      <c r="L65" s="23"/>
      <c r="M65" s="23"/>
      <c r="N65" s="23"/>
      <c r="O65" s="23"/>
      <c r="P65" s="23"/>
      <c r="Q65" s="23"/>
      <c r="R65" s="23"/>
      <c r="S65" s="23"/>
      <c r="T65" s="23"/>
      <c r="U65" s="23"/>
      <c r="V65" s="23"/>
      <c r="W65" s="23"/>
      <c r="X65" s="23"/>
      <c r="Y65" s="23"/>
      <c r="Z65" s="23"/>
      <c r="AA65" s="23"/>
      <c r="AB65" s="23"/>
      <c r="AC65" s="23"/>
      <c r="AD65" s="23"/>
      <c r="AE65" s="23"/>
      <c r="AF65" s="23"/>
      <c r="AG65" s="23"/>
      <c r="AH65" s="23"/>
      <c r="AI65" s="23"/>
      <c r="AJ65" s="23"/>
      <c r="AK65" s="23"/>
      <c r="AL65" s="23"/>
      <c r="AM65" s="23"/>
      <c r="AN65" s="23"/>
      <c r="AO65" s="23"/>
      <c r="AP65" s="23"/>
      <c r="AQ65" s="23"/>
      <c r="AR65" s="23"/>
      <c r="AS65" s="23"/>
      <c r="AT65" s="23"/>
      <c r="AU65" s="23"/>
      <c r="AV65" s="23"/>
      <c r="AW65" s="23"/>
      <c r="AX65" s="23"/>
      <c r="AY65" s="23"/>
      <c r="AZ65" s="23"/>
      <c r="BA65" s="23"/>
      <c r="BB65" s="23"/>
      <c r="BC65" s="23"/>
      <c r="BD65" s="23"/>
      <c r="BE65" s="23"/>
      <c r="BF65" s="23"/>
      <c r="BG65" s="23"/>
      <c r="BH65" s="23"/>
      <c r="BI65" s="23"/>
      <c r="BJ65" s="23"/>
      <c r="BK65" s="23"/>
      <c r="BL65" s="23"/>
    </row>
    <row r="66" spans="3:64" x14ac:dyDescent="0.25">
      <c r="C66" s="23"/>
      <c r="D66" s="23"/>
      <c r="E66" s="23"/>
      <c r="F66" s="23"/>
      <c r="G66" s="23"/>
      <c r="H66" s="23"/>
      <c r="I66" s="23"/>
      <c r="J66" s="23"/>
      <c r="K66" s="23"/>
      <c r="L66" s="23"/>
      <c r="M66" s="23"/>
      <c r="N66" s="23"/>
      <c r="O66" s="23"/>
      <c r="P66" s="23"/>
      <c r="Q66" s="23"/>
      <c r="R66" s="23"/>
      <c r="S66" s="23"/>
      <c r="T66" s="23"/>
      <c r="U66" s="23"/>
      <c r="V66" s="23"/>
      <c r="W66" s="23"/>
      <c r="X66" s="23"/>
      <c r="Y66" s="23"/>
      <c r="Z66" s="23"/>
      <c r="AA66" s="23"/>
      <c r="AB66" s="23"/>
      <c r="AC66" s="23"/>
      <c r="AD66" s="23"/>
      <c r="AE66" s="23"/>
      <c r="AF66" s="23"/>
      <c r="AG66" s="23"/>
      <c r="AH66" s="23"/>
      <c r="AI66" s="23"/>
      <c r="AJ66" s="23"/>
      <c r="AK66" s="23"/>
      <c r="AL66" s="23"/>
      <c r="AM66" s="23"/>
      <c r="AN66" s="23"/>
      <c r="AO66" s="23"/>
      <c r="AP66" s="23"/>
      <c r="AQ66" s="23"/>
      <c r="AR66" s="23"/>
      <c r="AS66" s="23"/>
      <c r="AT66" s="23"/>
      <c r="AU66" s="23"/>
      <c r="AV66" s="23"/>
      <c r="AW66" s="23"/>
      <c r="AX66" s="23"/>
      <c r="AY66" s="23"/>
      <c r="AZ66" s="23"/>
      <c r="BA66" s="23"/>
      <c r="BB66" s="23"/>
      <c r="BC66" s="23"/>
      <c r="BD66" s="23"/>
      <c r="BE66" s="23"/>
      <c r="BF66" s="23"/>
      <c r="BG66" s="23"/>
      <c r="BH66" s="23"/>
      <c r="BI66" s="23"/>
      <c r="BJ66" s="23"/>
      <c r="BK66" s="23"/>
      <c r="BL66" s="23"/>
    </row>
    <row r="67" spans="3:64" x14ac:dyDescent="0.25">
      <c r="C67" s="23"/>
      <c r="D67" s="23"/>
      <c r="E67" s="23"/>
      <c r="F67" s="23"/>
      <c r="G67" s="23"/>
      <c r="H67" s="23"/>
      <c r="I67" s="23"/>
      <c r="J67" s="23"/>
      <c r="K67" s="23"/>
      <c r="L67" s="23"/>
      <c r="M67" s="23"/>
      <c r="N67" s="23"/>
      <c r="O67" s="23"/>
      <c r="P67" s="23"/>
      <c r="Q67" s="23"/>
      <c r="R67" s="23"/>
      <c r="S67" s="23"/>
      <c r="T67" s="23"/>
      <c r="U67" s="23"/>
      <c r="V67" s="23"/>
      <c r="W67" s="23"/>
      <c r="X67" s="23"/>
      <c r="Y67" s="23"/>
      <c r="Z67" s="23"/>
      <c r="AA67" s="23"/>
      <c r="AB67" s="23"/>
      <c r="AC67" s="23"/>
      <c r="AD67" s="23"/>
      <c r="AE67" s="23"/>
      <c r="AF67" s="23"/>
      <c r="AG67" s="23"/>
      <c r="AH67" s="23"/>
      <c r="AI67" s="23"/>
      <c r="AJ67" s="23"/>
      <c r="AK67" s="23"/>
      <c r="AL67" s="23"/>
      <c r="AM67" s="23"/>
      <c r="AN67" s="23"/>
      <c r="AO67" s="23"/>
      <c r="AP67" s="23"/>
      <c r="AQ67" s="23"/>
      <c r="AR67" s="23"/>
      <c r="AS67" s="23"/>
      <c r="AT67" s="23"/>
      <c r="AU67" s="23"/>
      <c r="AV67" s="23"/>
      <c r="AW67" s="23"/>
      <c r="AX67" s="23"/>
      <c r="AY67" s="23"/>
      <c r="AZ67" s="23"/>
      <c r="BA67" s="23"/>
      <c r="BB67" s="23"/>
      <c r="BC67" s="23"/>
      <c r="BD67" s="23"/>
      <c r="BE67" s="23"/>
      <c r="BF67" s="23"/>
      <c r="BG67" s="23"/>
      <c r="BH67" s="23"/>
      <c r="BI67" s="23"/>
      <c r="BJ67" s="23"/>
      <c r="BK67" s="23"/>
      <c r="BL67" s="23"/>
    </row>
    <row r="68" spans="3:64" x14ac:dyDescent="0.25">
      <c r="C68" s="23"/>
      <c r="D68" s="23"/>
      <c r="E68" s="23"/>
      <c r="F68" s="23"/>
      <c r="G68" s="23"/>
      <c r="H68" s="23"/>
      <c r="I68" s="23"/>
      <c r="J68" s="23"/>
      <c r="K68" s="23"/>
      <c r="L68" s="23"/>
      <c r="M68" s="23"/>
      <c r="N68" s="23"/>
      <c r="O68" s="23"/>
      <c r="P68" s="23"/>
      <c r="Q68" s="23"/>
      <c r="R68" s="23"/>
      <c r="S68" s="23"/>
      <c r="T68" s="23"/>
      <c r="U68" s="23"/>
      <c r="V68" s="23"/>
      <c r="W68" s="23"/>
      <c r="X68" s="23"/>
      <c r="Y68" s="23"/>
      <c r="Z68" s="23"/>
      <c r="AA68" s="23"/>
      <c r="AB68" s="23"/>
      <c r="AC68" s="23"/>
      <c r="AD68" s="23"/>
      <c r="AE68" s="23"/>
      <c r="AF68" s="23"/>
      <c r="AG68" s="23"/>
      <c r="AH68" s="23"/>
      <c r="AI68" s="23"/>
      <c r="AJ68" s="23"/>
      <c r="AK68" s="23"/>
      <c r="AL68" s="23"/>
      <c r="AM68" s="23"/>
      <c r="AN68" s="23"/>
      <c r="AO68" s="23"/>
      <c r="AP68" s="23"/>
      <c r="AQ68" s="23"/>
      <c r="AR68" s="23"/>
      <c r="AS68" s="23"/>
      <c r="AT68" s="23"/>
      <c r="AU68" s="23"/>
      <c r="AV68" s="23"/>
      <c r="AW68" s="23"/>
      <c r="AX68" s="23"/>
      <c r="AY68" s="23"/>
      <c r="AZ68" s="23"/>
      <c r="BA68" s="23"/>
      <c r="BB68" s="23"/>
      <c r="BC68" s="23"/>
      <c r="BD68" s="23"/>
      <c r="BE68" s="23"/>
      <c r="BF68" s="23"/>
      <c r="BG68" s="23"/>
      <c r="BH68" s="23"/>
      <c r="BI68" s="23"/>
      <c r="BJ68" s="23"/>
      <c r="BK68" s="23"/>
      <c r="BL68" s="23"/>
    </row>
    <row r="69" spans="3:64" x14ac:dyDescent="0.25">
      <c r="C69" s="23"/>
      <c r="D69" s="23"/>
      <c r="E69" s="23"/>
      <c r="F69" s="23"/>
      <c r="G69" s="23"/>
      <c r="H69" s="23"/>
      <c r="I69" s="23"/>
      <c r="J69" s="23"/>
      <c r="K69" s="23"/>
      <c r="L69" s="23"/>
      <c r="M69" s="23"/>
      <c r="N69" s="23"/>
      <c r="O69" s="23"/>
      <c r="P69" s="23"/>
      <c r="Q69" s="23"/>
      <c r="R69" s="23"/>
      <c r="S69" s="23"/>
      <c r="T69" s="23"/>
      <c r="U69" s="23"/>
      <c r="V69" s="23"/>
      <c r="W69" s="23"/>
      <c r="X69" s="23"/>
      <c r="Y69" s="23"/>
      <c r="Z69" s="23"/>
      <c r="AA69" s="23"/>
      <c r="AB69" s="23"/>
      <c r="AC69" s="23"/>
      <c r="AD69" s="23"/>
      <c r="AE69" s="23"/>
      <c r="AF69" s="23"/>
      <c r="AG69" s="23"/>
      <c r="AH69" s="23"/>
      <c r="AI69" s="23"/>
      <c r="AJ69" s="23"/>
      <c r="AK69" s="23"/>
      <c r="AL69" s="23"/>
      <c r="AM69" s="23"/>
      <c r="AN69" s="23"/>
      <c r="AO69" s="23"/>
      <c r="AP69" s="23"/>
      <c r="AQ69" s="23"/>
      <c r="AR69" s="23"/>
      <c r="AS69" s="23"/>
      <c r="AT69" s="23"/>
      <c r="AU69" s="23"/>
      <c r="AV69" s="23"/>
      <c r="AW69" s="23"/>
      <c r="AX69" s="23"/>
      <c r="AY69" s="23"/>
      <c r="AZ69" s="23"/>
      <c r="BA69" s="23"/>
      <c r="BB69" s="23"/>
      <c r="BC69" s="23"/>
      <c r="BD69" s="23"/>
      <c r="BE69" s="23"/>
      <c r="BF69" s="23"/>
      <c r="BG69" s="23"/>
      <c r="BH69" s="23"/>
      <c r="BI69" s="23"/>
      <c r="BJ69" s="23"/>
      <c r="BK69" s="23"/>
      <c r="BL69" s="23"/>
    </row>
    <row r="70" spans="3:64" x14ac:dyDescent="0.25">
      <c r="C70" s="23"/>
      <c r="D70" s="23"/>
      <c r="E70" s="23"/>
      <c r="F70" s="23"/>
      <c r="G70" s="23"/>
      <c r="H70" s="23"/>
      <c r="I70" s="23"/>
      <c r="J70" s="23"/>
      <c r="K70" s="23"/>
      <c r="L70" s="23"/>
      <c r="M70" s="23"/>
      <c r="N70" s="23"/>
      <c r="O70" s="23"/>
      <c r="P70" s="23"/>
      <c r="Q70" s="23"/>
      <c r="R70" s="23"/>
      <c r="S70" s="23"/>
      <c r="T70" s="23"/>
      <c r="U70" s="23"/>
      <c r="V70" s="23"/>
      <c r="W70" s="23"/>
      <c r="X70" s="23"/>
      <c r="Y70" s="23"/>
      <c r="Z70" s="23"/>
      <c r="AA70" s="23"/>
      <c r="AB70" s="23"/>
      <c r="AC70" s="23"/>
      <c r="AD70" s="23"/>
      <c r="AE70" s="23"/>
      <c r="AF70" s="23"/>
      <c r="AG70" s="23"/>
      <c r="AH70" s="23"/>
      <c r="AI70" s="23"/>
      <c r="AJ70" s="23"/>
      <c r="AK70" s="23"/>
      <c r="AL70" s="23"/>
      <c r="AM70" s="23"/>
      <c r="AN70" s="23"/>
      <c r="AO70" s="23"/>
      <c r="AP70" s="23"/>
      <c r="AQ70" s="23"/>
      <c r="AR70" s="23"/>
      <c r="AS70" s="23"/>
      <c r="AT70" s="23"/>
      <c r="AU70" s="23"/>
      <c r="AV70" s="23"/>
      <c r="AW70" s="23"/>
      <c r="AX70" s="23"/>
      <c r="AY70" s="23"/>
      <c r="AZ70" s="23"/>
      <c r="BA70" s="23"/>
      <c r="BB70" s="23"/>
      <c r="BC70" s="23"/>
      <c r="BD70" s="23"/>
      <c r="BE70" s="23"/>
      <c r="BF70" s="23"/>
      <c r="BG70" s="23"/>
      <c r="BH70" s="23"/>
      <c r="BI70" s="23"/>
      <c r="BJ70" s="23"/>
      <c r="BK70" s="23"/>
      <c r="BL70" s="23"/>
    </row>
    <row r="71" spans="3:64" x14ac:dyDescent="0.25">
      <c r="C71" s="23"/>
      <c r="D71" s="23"/>
      <c r="E71" s="23"/>
      <c r="F71" s="23"/>
      <c r="G71" s="23"/>
      <c r="H71" s="23"/>
      <c r="I71" s="23"/>
      <c r="J71" s="23"/>
      <c r="K71" s="23"/>
      <c r="L71" s="23"/>
      <c r="M71" s="23"/>
      <c r="N71" s="23"/>
      <c r="O71" s="23"/>
      <c r="P71" s="23"/>
      <c r="Q71" s="23"/>
      <c r="R71" s="23"/>
      <c r="S71" s="23"/>
      <c r="T71" s="23"/>
      <c r="U71" s="23"/>
      <c r="V71" s="23"/>
      <c r="W71" s="23"/>
      <c r="X71" s="23"/>
      <c r="Y71" s="23"/>
      <c r="Z71" s="23"/>
      <c r="AA71" s="23"/>
      <c r="AB71" s="23"/>
      <c r="AC71" s="23"/>
      <c r="AD71" s="23"/>
      <c r="AE71" s="23"/>
      <c r="AF71" s="23"/>
      <c r="AG71" s="23"/>
      <c r="AH71" s="23"/>
      <c r="AI71" s="23"/>
      <c r="AJ71" s="23"/>
      <c r="AK71" s="23"/>
      <c r="AL71" s="23"/>
      <c r="AM71" s="23"/>
      <c r="AN71" s="23"/>
      <c r="AO71" s="23"/>
      <c r="AP71" s="23"/>
      <c r="AQ71" s="23"/>
      <c r="AR71" s="23"/>
      <c r="AS71" s="23"/>
      <c r="AT71" s="23"/>
      <c r="AU71" s="23"/>
      <c r="AV71" s="23"/>
      <c r="AW71" s="23"/>
      <c r="AX71" s="23"/>
      <c r="AY71" s="23"/>
      <c r="AZ71" s="23"/>
      <c r="BA71" s="23"/>
      <c r="BB71" s="23"/>
      <c r="BC71" s="23"/>
      <c r="BD71" s="23"/>
      <c r="BE71" s="23"/>
      <c r="BF71" s="23"/>
      <c r="BG71" s="23"/>
      <c r="BH71" s="23"/>
      <c r="BI71" s="23"/>
      <c r="BJ71" s="23"/>
      <c r="BK71" s="23"/>
      <c r="BL71" s="23"/>
    </row>
    <row r="72" spans="3:64" x14ac:dyDescent="0.25">
      <c r="C72" s="23"/>
      <c r="D72" s="23"/>
      <c r="E72" s="23"/>
      <c r="F72" s="23"/>
      <c r="G72" s="23"/>
      <c r="H72" s="23"/>
      <c r="I72" s="23"/>
      <c r="J72" s="23"/>
      <c r="K72" s="23"/>
      <c r="L72" s="23"/>
      <c r="M72" s="23"/>
      <c r="N72" s="23"/>
      <c r="O72" s="23"/>
      <c r="P72" s="23"/>
      <c r="Q72" s="23"/>
      <c r="R72" s="23"/>
      <c r="S72" s="23"/>
      <c r="T72" s="23"/>
      <c r="U72" s="23"/>
      <c r="V72" s="23"/>
      <c r="W72" s="23"/>
      <c r="X72" s="23"/>
      <c r="Y72" s="23"/>
      <c r="Z72" s="23"/>
      <c r="AA72" s="23"/>
      <c r="AB72" s="23"/>
      <c r="AC72" s="23"/>
      <c r="AD72" s="23"/>
      <c r="AE72" s="23"/>
      <c r="AF72" s="23"/>
      <c r="AG72" s="23"/>
      <c r="AH72" s="23"/>
      <c r="AI72" s="23"/>
      <c r="AJ72" s="23"/>
      <c r="AK72" s="23"/>
      <c r="AL72" s="23"/>
      <c r="AM72" s="23"/>
      <c r="AN72" s="23"/>
      <c r="AO72" s="23"/>
      <c r="AP72" s="23"/>
      <c r="AQ72" s="23"/>
      <c r="AR72" s="23"/>
      <c r="AS72" s="23"/>
      <c r="AT72" s="23"/>
      <c r="AU72" s="23"/>
      <c r="AV72" s="23"/>
      <c r="AW72" s="23"/>
      <c r="AX72" s="23"/>
      <c r="AY72" s="23"/>
      <c r="AZ72" s="23"/>
      <c r="BA72" s="23"/>
      <c r="BB72" s="23"/>
      <c r="BC72" s="23"/>
      <c r="BD72" s="23"/>
      <c r="BE72" s="23"/>
      <c r="BF72" s="23"/>
      <c r="BG72" s="23"/>
      <c r="BH72" s="23"/>
      <c r="BI72" s="23"/>
      <c r="BJ72" s="23"/>
      <c r="BK72" s="23"/>
      <c r="BL72" s="23"/>
    </row>
    <row r="73" spans="3:64" x14ac:dyDescent="0.25">
      <c r="C73" s="23"/>
      <c r="D73" s="23"/>
      <c r="E73" s="23"/>
      <c r="F73" s="23"/>
      <c r="G73" s="23"/>
      <c r="H73" s="23"/>
      <c r="I73" s="23"/>
      <c r="J73" s="23"/>
      <c r="K73" s="23"/>
      <c r="L73" s="23"/>
      <c r="M73" s="23"/>
      <c r="N73" s="23"/>
      <c r="O73" s="23"/>
      <c r="P73" s="23"/>
      <c r="Q73" s="23"/>
      <c r="R73" s="23"/>
      <c r="S73" s="23"/>
      <c r="T73" s="23"/>
      <c r="U73" s="23"/>
      <c r="V73" s="23"/>
      <c r="W73" s="23"/>
      <c r="X73" s="23"/>
      <c r="Y73" s="23"/>
      <c r="Z73" s="23"/>
      <c r="AA73" s="23"/>
      <c r="AB73" s="23"/>
      <c r="AC73" s="23"/>
      <c r="AD73" s="23"/>
      <c r="AE73" s="23"/>
      <c r="AF73" s="23"/>
      <c r="AG73" s="23"/>
      <c r="AH73" s="23"/>
      <c r="AI73" s="23"/>
      <c r="AJ73" s="23"/>
      <c r="AK73" s="23"/>
      <c r="AL73" s="23"/>
      <c r="AM73" s="23"/>
      <c r="AN73" s="23"/>
      <c r="AO73" s="23"/>
      <c r="AP73" s="23"/>
      <c r="AQ73" s="23"/>
      <c r="AR73" s="23"/>
      <c r="AS73" s="23"/>
      <c r="AT73" s="23"/>
      <c r="AU73" s="23"/>
      <c r="AV73" s="23"/>
      <c r="AW73" s="23"/>
      <c r="AX73" s="23"/>
      <c r="AY73" s="23"/>
      <c r="AZ73" s="23"/>
      <c r="BA73" s="23"/>
      <c r="BB73" s="23"/>
      <c r="BC73" s="23"/>
      <c r="BD73" s="23"/>
      <c r="BE73" s="23"/>
      <c r="BF73" s="23"/>
      <c r="BG73" s="23"/>
      <c r="BH73" s="23"/>
      <c r="BI73" s="23"/>
      <c r="BJ73" s="23"/>
      <c r="BK73" s="23"/>
      <c r="BL73" s="23"/>
    </row>
    <row r="74" spans="3:64" x14ac:dyDescent="0.25">
      <c r="C74" s="23"/>
      <c r="D74" s="23"/>
      <c r="E74" s="23"/>
      <c r="F74" s="23"/>
      <c r="G74" s="23"/>
      <c r="H74" s="23"/>
      <c r="I74" s="23"/>
      <c r="J74" s="23"/>
      <c r="K74" s="23"/>
      <c r="L74" s="23"/>
      <c r="M74" s="23"/>
      <c r="N74" s="23"/>
      <c r="O74" s="23"/>
      <c r="P74" s="23"/>
      <c r="Q74" s="23"/>
      <c r="R74" s="23"/>
      <c r="S74" s="23"/>
      <c r="T74" s="23"/>
      <c r="U74" s="23"/>
      <c r="V74" s="23"/>
      <c r="W74" s="23"/>
      <c r="X74" s="23"/>
      <c r="Y74" s="23"/>
      <c r="Z74" s="23"/>
      <c r="AA74" s="23"/>
      <c r="AB74" s="23"/>
      <c r="AC74" s="23"/>
      <c r="AD74" s="23"/>
      <c r="AE74" s="23"/>
      <c r="AF74" s="23"/>
      <c r="AG74" s="23"/>
      <c r="AH74" s="23"/>
      <c r="AI74" s="23"/>
      <c r="AJ74" s="23"/>
      <c r="AK74" s="23"/>
      <c r="AL74" s="23"/>
      <c r="AM74" s="23"/>
      <c r="AN74" s="23"/>
      <c r="AO74" s="23"/>
      <c r="AP74" s="23"/>
      <c r="AQ74" s="23"/>
      <c r="AR74" s="23"/>
      <c r="AS74" s="23"/>
      <c r="AT74" s="23"/>
      <c r="AU74" s="23"/>
      <c r="AV74" s="23"/>
      <c r="AW74" s="23"/>
      <c r="AX74" s="23"/>
      <c r="AY74" s="23"/>
      <c r="AZ74" s="23"/>
      <c r="BA74" s="23"/>
      <c r="BB74" s="23"/>
      <c r="BC74" s="23"/>
      <c r="BD74" s="23"/>
      <c r="BE74" s="23"/>
      <c r="BF74" s="23"/>
      <c r="BG74" s="23"/>
      <c r="BH74" s="23"/>
      <c r="BI74" s="23"/>
      <c r="BJ74" s="23"/>
      <c r="BK74" s="23"/>
      <c r="BL74" s="23"/>
    </row>
    <row r="75" spans="3:64" x14ac:dyDescent="0.25">
      <c r="C75" s="23"/>
      <c r="D75" s="23"/>
      <c r="E75" s="23"/>
      <c r="F75" s="23"/>
      <c r="G75" s="23"/>
      <c r="H75" s="23"/>
      <c r="I75" s="23"/>
      <c r="J75" s="23"/>
      <c r="K75" s="23"/>
      <c r="L75" s="23"/>
      <c r="M75" s="23"/>
      <c r="N75" s="23"/>
      <c r="O75" s="23"/>
      <c r="P75" s="23"/>
      <c r="Q75" s="23"/>
      <c r="R75" s="23"/>
      <c r="S75" s="23"/>
      <c r="T75" s="23"/>
      <c r="U75" s="23"/>
      <c r="V75" s="23"/>
      <c r="W75" s="23"/>
      <c r="X75" s="23"/>
      <c r="Y75" s="23"/>
      <c r="Z75" s="23"/>
      <c r="AA75" s="23"/>
      <c r="AB75" s="23"/>
      <c r="AC75" s="23"/>
      <c r="AD75" s="23"/>
      <c r="AE75" s="23"/>
      <c r="AF75" s="23"/>
      <c r="AG75" s="23"/>
      <c r="AH75" s="23"/>
      <c r="AI75" s="23"/>
      <c r="AJ75" s="23"/>
      <c r="AK75" s="23"/>
      <c r="AL75" s="23"/>
      <c r="AM75" s="23"/>
      <c r="AN75" s="23"/>
      <c r="AO75" s="23"/>
      <c r="AP75" s="23"/>
      <c r="AQ75" s="23"/>
      <c r="AR75" s="23"/>
      <c r="AS75" s="23"/>
      <c r="AT75" s="23"/>
      <c r="AU75" s="23"/>
      <c r="AV75" s="23"/>
      <c r="AW75" s="23"/>
      <c r="AX75" s="23"/>
      <c r="AY75" s="23"/>
      <c r="AZ75" s="23"/>
      <c r="BA75" s="23"/>
      <c r="BB75" s="23"/>
      <c r="BC75" s="23"/>
      <c r="BD75" s="23"/>
      <c r="BE75" s="23"/>
      <c r="BF75" s="23"/>
      <c r="BG75" s="23"/>
      <c r="BH75" s="23"/>
      <c r="BI75" s="23"/>
      <c r="BJ75" s="23"/>
      <c r="BK75" s="23"/>
      <c r="BL75" s="23"/>
    </row>
    <row r="76" spans="3:64" x14ac:dyDescent="0.25">
      <c r="C76" s="23"/>
      <c r="D76" s="23"/>
      <c r="E76" s="23"/>
      <c r="F76" s="23"/>
      <c r="G76" s="23"/>
      <c r="H76" s="23"/>
      <c r="I76" s="23"/>
      <c r="J76" s="23"/>
      <c r="K76" s="23"/>
      <c r="L76" s="23"/>
      <c r="M76" s="23"/>
      <c r="N76" s="23"/>
      <c r="O76" s="23"/>
      <c r="P76" s="23"/>
      <c r="Q76" s="23"/>
      <c r="R76" s="23"/>
      <c r="S76" s="23"/>
      <c r="T76" s="23"/>
      <c r="U76" s="23"/>
      <c r="V76" s="23"/>
      <c r="W76" s="23"/>
      <c r="X76" s="23"/>
      <c r="Y76" s="23"/>
      <c r="Z76" s="23"/>
      <c r="AA76" s="23"/>
      <c r="AB76" s="23"/>
      <c r="AC76" s="23"/>
      <c r="AD76" s="23"/>
      <c r="AE76" s="23"/>
      <c r="AF76" s="23"/>
      <c r="AG76" s="23"/>
      <c r="AH76" s="23"/>
      <c r="AI76" s="23"/>
      <c r="AJ76" s="23"/>
      <c r="AK76" s="23"/>
      <c r="AL76" s="23"/>
      <c r="AM76" s="23"/>
      <c r="AN76" s="23"/>
      <c r="AO76" s="23"/>
      <c r="AP76" s="23"/>
      <c r="AQ76" s="23"/>
      <c r="AR76" s="23"/>
      <c r="AS76" s="23"/>
      <c r="AT76" s="23"/>
      <c r="AU76" s="23"/>
      <c r="AV76" s="23"/>
      <c r="AW76" s="23"/>
      <c r="AX76" s="23"/>
      <c r="AY76" s="23"/>
      <c r="AZ76" s="23"/>
      <c r="BA76" s="23"/>
      <c r="BB76" s="23"/>
      <c r="BC76" s="23"/>
      <c r="BD76" s="23"/>
      <c r="BE76" s="23"/>
      <c r="BF76" s="23"/>
      <c r="BG76" s="23"/>
      <c r="BH76" s="23"/>
      <c r="BI76" s="23"/>
      <c r="BJ76" s="23"/>
      <c r="BK76" s="23"/>
      <c r="BL76" s="23"/>
    </row>
    <row r="77" spans="3:64" x14ac:dyDescent="0.25">
      <c r="C77" s="23"/>
      <c r="D77" s="23"/>
      <c r="E77" s="23"/>
      <c r="F77" s="23"/>
      <c r="G77" s="23"/>
      <c r="H77" s="23"/>
      <c r="I77" s="23"/>
      <c r="J77" s="23"/>
      <c r="K77" s="23"/>
      <c r="L77" s="23"/>
      <c r="M77" s="23"/>
      <c r="N77" s="23"/>
      <c r="O77" s="23"/>
      <c r="P77" s="23"/>
      <c r="Q77" s="23"/>
      <c r="R77" s="23"/>
      <c r="S77" s="23"/>
      <c r="T77" s="23"/>
      <c r="U77" s="23"/>
      <c r="V77" s="23"/>
      <c r="W77" s="23"/>
      <c r="X77" s="23"/>
      <c r="Y77" s="23"/>
      <c r="Z77" s="23"/>
      <c r="AA77" s="23"/>
      <c r="AB77" s="23"/>
      <c r="AC77" s="23"/>
      <c r="AD77" s="23"/>
      <c r="AE77" s="23"/>
      <c r="AF77" s="23"/>
      <c r="AG77" s="23"/>
      <c r="AH77" s="23"/>
      <c r="AI77" s="23"/>
      <c r="AJ77" s="23"/>
      <c r="AK77" s="23"/>
      <c r="AL77" s="23"/>
      <c r="AM77" s="23"/>
      <c r="AN77" s="23"/>
      <c r="AO77" s="23"/>
      <c r="AP77" s="23"/>
      <c r="AQ77" s="23"/>
      <c r="AR77" s="23"/>
      <c r="AS77" s="23"/>
      <c r="AT77" s="23"/>
      <c r="AU77" s="23"/>
      <c r="AV77" s="23"/>
      <c r="AW77" s="23"/>
      <c r="AX77" s="23"/>
      <c r="AY77" s="23"/>
      <c r="AZ77" s="23"/>
      <c r="BA77" s="23"/>
      <c r="BB77" s="23"/>
      <c r="BC77" s="23"/>
      <c r="BD77" s="23"/>
      <c r="BE77" s="23"/>
      <c r="BF77" s="23"/>
      <c r="BG77" s="23"/>
      <c r="BH77" s="23"/>
      <c r="BI77" s="23"/>
      <c r="BJ77" s="23"/>
      <c r="BK77" s="23"/>
      <c r="BL77" s="23"/>
    </row>
    <row r="78" spans="3:64" x14ac:dyDescent="0.25">
      <c r="C78" s="23"/>
      <c r="D78" s="23"/>
      <c r="E78" s="23"/>
      <c r="F78" s="23"/>
      <c r="G78" s="23"/>
      <c r="H78" s="23"/>
      <c r="I78" s="23"/>
      <c r="J78" s="23"/>
      <c r="K78" s="23"/>
      <c r="L78" s="23"/>
      <c r="M78" s="23"/>
      <c r="N78" s="23"/>
      <c r="O78" s="23"/>
      <c r="P78" s="23"/>
      <c r="Q78" s="23"/>
      <c r="R78" s="23"/>
      <c r="S78" s="23"/>
      <c r="T78" s="23"/>
      <c r="U78" s="23"/>
      <c r="V78" s="23"/>
      <c r="W78" s="23"/>
      <c r="X78" s="23"/>
      <c r="Y78" s="23"/>
      <c r="Z78" s="23"/>
      <c r="AA78" s="23"/>
      <c r="AB78" s="23"/>
      <c r="AC78" s="23"/>
      <c r="AD78" s="23"/>
      <c r="AE78" s="23"/>
      <c r="AF78" s="23"/>
      <c r="AG78" s="23"/>
      <c r="AH78" s="23"/>
      <c r="AI78" s="23"/>
      <c r="AJ78" s="23"/>
      <c r="AK78" s="23"/>
      <c r="AL78" s="23"/>
      <c r="AM78" s="23"/>
      <c r="AN78" s="23"/>
      <c r="AO78" s="23"/>
      <c r="AP78" s="23"/>
      <c r="AQ78" s="23"/>
      <c r="AR78" s="23"/>
      <c r="AS78" s="23"/>
      <c r="AT78" s="23"/>
      <c r="AU78" s="23"/>
      <c r="AV78" s="23"/>
      <c r="AW78" s="23"/>
      <c r="AX78" s="23"/>
      <c r="AY78" s="23"/>
      <c r="AZ78" s="23"/>
      <c r="BA78" s="23"/>
      <c r="BB78" s="23"/>
      <c r="BC78" s="23"/>
      <c r="BD78" s="23"/>
      <c r="BE78" s="23"/>
      <c r="BF78" s="23"/>
      <c r="BG78" s="23"/>
      <c r="BH78" s="23"/>
      <c r="BI78" s="23"/>
      <c r="BJ78" s="23"/>
      <c r="BK78" s="23"/>
      <c r="BL78" s="23"/>
    </row>
    <row r="79" spans="3:64" x14ac:dyDescent="0.25">
      <c r="C79" s="23"/>
      <c r="D79" s="23"/>
      <c r="E79" s="23"/>
      <c r="F79" s="23"/>
      <c r="G79" s="23"/>
      <c r="H79" s="23"/>
      <c r="I79" s="23"/>
      <c r="J79" s="23"/>
      <c r="K79" s="23"/>
      <c r="L79" s="23"/>
      <c r="M79" s="23"/>
      <c r="N79" s="23"/>
      <c r="O79" s="23"/>
      <c r="P79" s="23"/>
      <c r="Q79" s="23"/>
      <c r="R79" s="23"/>
      <c r="S79" s="23"/>
      <c r="T79" s="23"/>
      <c r="U79" s="23"/>
      <c r="V79" s="23"/>
      <c r="W79" s="23"/>
      <c r="X79" s="23"/>
      <c r="Y79" s="23"/>
      <c r="Z79" s="23"/>
      <c r="AA79" s="23"/>
      <c r="AB79" s="23"/>
      <c r="AC79" s="23"/>
      <c r="AD79" s="23"/>
      <c r="AE79" s="23"/>
      <c r="AF79" s="23"/>
      <c r="AG79" s="23"/>
      <c r="AH79" s="23"/>
      <c r="AI79" s="23"/>
      <c r="AJ79" s="23"/>
      <c r="AK79" s="23"/>
      <c r="AL79" s="23"/>
      <c r="AM79" s="23"/>
      <c r="AN79" s="23"/>
      <c r="AO79" s="23"/>
      <c r="AP79" s="23"/>
      <c r="AQ79" s="23"/>
      <c r="AR79" s="23"/>
      <c r="AS79" s="23"/>
      <c r="AT79" s="23"/>
      <c r="AU79" s="23"/>
      <c r="AV79" s="23"/>
      <c r="AW79" s="23"/>
      <c r="AX79" s="23"/>
      <c r="AY79" s="23"/>
      <c r="AZ79" s="23"/>
      <c r="BA79" s="23"/>
      <c r="BB79" s="23"/>
      <c r="BC79" s="23"/>
      <c r="BD79" s="23"/>
      <c r="BE79" s="23"/>
      <c r="BF79" s="23"/>
      <c r="BG79" s="23"/>
      <c r="BH79" s="23"/>
      <c r="BI79" s="23"/>
      <c r="BJ79" s="23"/>
      <c r="BK79" s="23"/>
      <c r="BL79" s="23"/>
    </row>
    <row r="80" spans="3:64" x14ac:dyDescent="0.25">
      <c r="C80" s="23"/>
      <c r="D80" s="23"/>
      <c r="E80" s="23"/>
      <c r="F80" s="23"/>
      <c r="G80" s="23"/>
      <c r="H80" s="23"/>
      <c r="I80" s="23"/>
      <c r="J80" s="23"/>
      <c r="K80" s="23"/>
      <c r="L80" s="23"/>
      <c r="M80" s="23"/>
      <c r="N80" s="23"/>
      <c r="O80" s="23"/>
      <c r="P80" s="23"/>
      <c r="Q80" s="23"/>
      <c r="R80" s="23"/>
      <c r="S80" s="23"/>
      <c r="T80" s="23"/>
      <c r="U80" s="23"/>
      <c r="V80" s="23"/>
      <c r="W80" s="23"/>
      <c r="X80" s="23"/>
      <c r="Y80" s="23"/>
      <c r="Z80" s="23"/>
      <c r="AA80" s="23"/>
      <c r="AB80" s="23"/>
      <c r="AC80" s="23"/>
      <c r="AD80" s="23"/>
      <c r="AE80" s="23"/>
      <c r="AF80" s="23"/>
      <c r="AG80" s="23"/>
      <c r="AH80" s="23"/>
      <c r="AI80" s="23"/>
      <c r="AJ80" s="23"/>
      <c r="AK80" s="23"/>
      <c r="AL80" s="23"/>
      <c r="AM80" s="23"/>
      <c r="AN80" s="23"/>
      <c r="AO80" s="23"/>
      <c r="AP80" s="23"/>
      <c r="AQ80" s="23"/>
      <c r="AR80" s="23"/>
      <c r="AS80" s="23"/>
      <c r="AT80" s="23"/>
      <c r="AU80" s="23"/>
      <c r="AV80" s="23"/>
      <c r="AW80" s="23"/>
      <c r="AX80" s="23"/>
      <c r="AY80" s="23"/>
      <c r="AZ80" s="23"/>
      <c r="BA80" s="23"/>
      <c r="BB80" s="23"/>
      <c r="BC80" s="23"/>
      <c r="BD80" s="23"/>
      <c r="BE80" s="23"/>
      <c r="BF80" s="23"/>
      <c r="BG80" s="23"/>
      <c r="BH80" s="23"/>
      <c r="BI80" s="23"/>
      <c r="BJ80" s="23"/>
      <c r="BK80" s="23"/>
      <c r="BL80" s="23"/>
    </row>
    <row r="81" spans="3:64" x14ac:dyDescent="0.25">
      <c r="C81" s="23"/>
      <c r="D81" s="23"/>
      <c r="E81" s="23"/>
      <c r="F81" s="23"/>
      <c r="G81" s="23"/>
      <c r="H81" s="23"/>
      <c r="I81" s="23"/>
      <c r="J81" s="23"/>
      <c r="K81" s="23"/>
      <c r="L81" s="23"/>
      <c r="M81" s="23"/>
      <c r="N81" s="23"/>
      <c r="O81" s="23"/>
      <c r="P81" s="23"/>
      <c r="Q81" s="23"/>
      <c r="R81" s="23"/>
      <c r="S81" s="23"/>
      <c r="T81" s="23"/>
      <c r="U81" s="23"/>
      <c r="V81" s="23"/>
      <c r="W81" s="23"/>
      <c r="X81" s="23"/>
      <c r="Y81" s="23"/>
      <c r="Z81" s="23"/>
      <c r="AA81" s="23"/>
      <c r="AB81" s="23"/>
      <c r="AC81" s="23"/>
      <c r="AD81" s="23"/>
      <c r="AE81" s="23"/>
      <c r="AF81" s="23"/>
      <c r="AG81" s="23"/>
      <c r="AH81" s="23"/>
      <c r="AI81" s="23"/>
      <c r="AJ81" s="23"/>
      <c r="AK81" s="23"/>
      <c r="AL81" s="23"/>
      <c r="AM81" s="23"/>
      <c r="AN81" s="23"/>
      <c r="AO81" s="23"/>
      <c r="AP81" s="23"/>
      <c r="AQ81" s="23"/>
      <c r="AR81" s="23"/>
      <c r="AS81" s="23"/>
      <c r="AT81" s="23"/>
      <c r="AU81" s="23"/>
      <c r="AV81" s="23"/>
      <c r="AW81" s="23"/>
      <c r="AX81" s="23"/>
      <c r="AY81" s="23"/>
      <c r="AZ81" s="23"/>
      <c r="BA81" s="23"/>
      <c r="BB81" s="23"/>
      <c r="BC81" s="23"/>
      <c r="BD81" s="23"/>
      <c r="BE81" s="23"/>
      <c r="BF81" s="23"/>
      <c r="BG81" s="23"/>
      <c r="BH81" s="23"/>
      <c r="BI81" s="23"/>
      <c r="BJ81" s="23"/>
      <c r="BK81" s="23"/>
      <c r="BL81" s="23"/>
    </row>
    <row r="82" spans="3:64" x14ac:dyDescent="0.25">
      <c r="C82" s="23"/>
      <c r="D82" s="23"/>
      <c r="E82" s="23"/>
      <c r="F82" s="23"/>
      <c r="G82" s="23"/>
      <c r="H82" s="23"/>
      <c r="I82" s="23"/>
      <c r="J82" s="23"/>
      <c r="K82" s="23"/>
      <c r="L82" s="23"/>
      <c r="M82" s="23"/>
      <c r="N82" s="23"/>
      <c r="O82" s="23"/>
      <c r="P82" s="23"/>
      <c r="Q82" s="23"/>
      <c r="R82" s="23"/>
      <c r="S82" s="23"/>
      <c r="T82" s="23"/>
      <c r="U82" s="23"/>
      <c r="V82" s="23"/>
      <c r="W82" s="23"/>
      <c r="X82" s="23"/>
      <c r="Y82" s="23"/>
      <c r="Z82" s="23"/>
      <c r="AA82" s="23"/>
      <c r="AB82" s="23"/>
      <c r="AC82" s="23"/>
      <c r="AD82" s="23"/>
      <c r="AE82" s="23"/>
      <c r="AF82" s="23"/>
      <c r="AG82" s="23"/>
      <c r="AH82" s="23"/>
      <c r="AI82" s="23"/>
      <c r="AJ82" s="23"/>
      <c r="AK82" s="23"/>
      <c r="AL82" s="23"/>
      <c r="AM82" s="23"/>
      <c r="AN82" s="23"/>
      <c r="AO82" s="23"/>
      <c r="AP82" s="23"/>
      <c r="AQ82" s="23"/>
      <c r="AR82" s="23"/>
      <c r="AS82" s="23"/>
      <c r="AT82" s="23"/>
      <c r="AU82" s="23"/>
      <c r="AV82" s="23"/>
      <c r="AW82" s="23"/>
      <c r="AX82" s="23"/>
      <c r="AY82" s="23"/>
      <c r="AZ82" s="23"/>
      <c r="BA82" s="23"/>
      <c r="BB82" s="23"/>
      <c r="BC82" s="23"/>
      <c r="BD82" s="23"/>
      <c r="BE82" s="23"/>
      <c r="BF82" s="23"/>
      <c r="BG82" s="23"/>
      <c r="BH82" s="23"/>
      <c r="BI82" s="23"/>
      <c r="BJ82" s="23"/>
      <c r="BK82" s="23"/>
      <c r="BL82" s="23"/>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E30AE0-5101-4331-B8DF-043DE9AAFBA8}">
  <sheetPr>
    <pageSetUpPr autoPageBreaks="0"/>
  </sheetPr>
  <dimension ref="A1:L87"/>
  <sheetViews>
    <sheetView showGridLines="0" zoomScaleNormal="100" workbookViewId="0">
      <selection activeCell="A25" sqref="A25"/>
    </sheetView>
  </sheetViews>
  <sheetFormatPr defaultRowHeight="15" x14ac:dyDescent="0.25"/>
  <cols>
    <col min="1" max="1" width="30.7109375" customWidth="1"/>
    <col min="2" max="3" width="2.7109375" customWidth="1"/>
    <col min="4" max="4" width="96.28515625" customWidth="1"/>
    <col min="5" max="6" width="28.7109375" customWidth="1"/>
    <col min="7" max="7" width="32.85546875" customWidth="1"/>
    <col min="8" max="8" width="36.85546875" customWidth="1"/>
    <col min="9" max="10" width="31.5703125" customWidth="1"/>
    <col min="11" max="11" width="25.28515625" customWidth="1"/>
    <col min="12" max="12" width="7.42578125" customWidth="1"/>
    <col min="13" max="27" width="28.7109375" customWidth="1"/>
  </cols>
  <sheetData>
    <row r="1" spans="1:12" ht="30" customHeight="1" x14ac:dyDescent="0.35">
      <c r="A1" s="66" t="e" vm="1">
        <v>#VALUE!</v>
      </c>
      <c r="C1" s="124" t="s">
        <v>289</v>
      </c>
    </row>
    <row r="2" spans="1:12" ht="20.100000000000001" customHeight="1" x14ac:dyDescent="0.25">
      <c r="C2" s="9"/>
    </row>
    <row r="3" spans="1:12" ht="20.100000000000001" customHeight="1" x14ac:dyDescent="0.25">
      <c r="A3" s="17" t="str">
        <f>HYPERLINK("#'Home'!A1", "Home")</f>
        <v>Home</v>
      </c>
      <c r="C3" s="23"/>
      <c r="D3" s="23"/>
      <c r="E3" s="23"/>
      <c r="F3" s="23"/>
      <c r="G3" s="23"/>
      <c r="H3" s="23"/>
      <c r="I3" s="23"/>
      <c r="J3" s="23"/>
      <c r="K3" s="23"/>
      <c r="L3" s="23"/>
    </row>
    <row r="4" spans="1:12" ht="20.100000000000001" customHeight="1" x14ac:dyDescent="0.25">
      <c r="A4" s="17" t="str">
        <f>HYPERLINK("#'Overview'!A1", "Overview")</f>
        <v>Overview</v>
      </c>
      <c r="C4" s="23"/>
      <c r="D4" s="6" t="s">
        <v>2</v>
      </c>
      <c r="E4" s="25"/>
      <c r="F4" s="25"/>
      <c r="G4" s="25"/>
      <c r="H4" s="6"/>
      <c r="I4" s="6"/>
      <c r="J4" s="6"/>
      <c r="K4" s="6"/>
      <c r="L4" s="26"/>
    </row>
    <row r="5" spans="1:12" ht="20.100000000000001" customHeight="1" x14ac:dyDescent="0.3">
      <c r="A5" s="123" t="str">
        <f>HYPERLINK("#'Results'!A1", "Results")</f>
        <v>Results</v>
      </c>
      <c r="C5" s="23"/>
      <c r="D5" s="27"/>
      <c r="E5" s="28"/>
      <c r="F5" s="28"/>
      <c r="G5" s="28"/>
      <c r="H5" s="25"/>
      <c r="I5" s="23"/>
      <c r="J5" s="23"/>
      <c r="K5" s="23"/>
      <c r="L5" s="23"/>
    </row>
    <row r="6" spans="1:12" ht="20.100000000000001" customHeight="1" x14ac:dyDescent="0.25">
      <c r="C6" s="23"/>
      <c r="D6" s="122" t="s">
        <v>251</v>
      </c>
      <c r="E6" s="122" t="s">
        <v>303</v>
      </c>
      <c r="F6" s="122" t="s">
        <v>304</v>
      </c>
      <c r="G6" s="122" t="s">
        <v>277</v>
      </c>
      <c r="H6" s="122" t="s">
        <v>305</v>
      </c>
      <c r="I6" s="122" t="s">
        <v>307</v>
      </c>
      <c r="J6" s="122" t="s">
        <v>278</v>
      </c>
      <c r="K6" s="23"/>
      <c r="L6" s="23"/>
    </row>
    <row r="7" spans="1:12" ht="20.100000000000001" customHeight="1" x14ac:dyDescent="0.25">
      <c r="C7" s="23"/>
      <c r="D7" s="1" t="s">
        <v>300</v>
      </c>
      <c r="E7" s="115">
        <f ca="1">VEERG_4_1_1_1__1_TotalAnnualMethaneEmissions_Result_Method1</f>
        <v>2.6279077661491193</v>
      </c>
      <c r="F7" s="115">
        <f ca="1">VEERG_4_1_1_1__1_TotalAnnualMethaneEmissions_Result_Method2</f>
        <v>2.6279077661491193</v>
      </c>
      <c r="G7" s="55" t="str">
        <f>'4.1.1.1-2 Methane'!F171</f>
        <v>t CH4</v>
      </c>
      <c r="H7" s="115">
        <f ca="1">'4.1.1.1-2 Methane'!E176</f>
        <v>73.581417452175344</v>
      </c>
      <c r="I7" s="115">
        <f ca="1">'4.1.1.1-2 Methane'!N176</f>
        <v>73.581417452175344</v>
      </c>
      <c r="J7" s="55" t="s">
        <v>306</v>
      </c>
      <c r="K7" s="23"/>
      <c r="L7" s="23"/>
    </row>
    <row r="8" spans="1:12" ht="20.100000000000001" customHeight="1" x14ac:dyDescent="0.25">
      <c r="A8" s="19" t="s">
        <v>0</v>
      </c>
      <c r="C8" s="23"/>
      <c r="D8" s="1" t="s">
        <v>301</v>
      </c>
      <c r="E8" s="115">
        <f ca="1">VEERG_4_1_1_3__1_TotalAnnualDirectNitrousOxideEmissions_Result_Method1</f>
        <v>0.80616789491492569</v>
      </c>
      <c r="F8" s="115">
        <f ca="1">VEERG_4_1_1_3__1_TotalAnnualDirectNitrousOxideEmissions_Result_Method2</f>
        <v>0.80616789491492569</v>
      </c>
      <c r="G8" s="55" t="str">
        <f>'4.1.1.3-4 Direct N20'!F212</f>
        <v>t N2O</v>
      </c>
      <c r="H8" s="115">
        <f ca="1">'4.1.1.3-4 Direct N20'!E217</f>
        <v>213.63449215245529</v>
      </c>
      <c r="I8" s="115">
        <f ca="1">'4.1.1.3-4 Direct N20'!P217</f>
        <v>213.63449215245529</v>
      </c>
      <c r="J8" s="55" t="s">
        <v>306</v>
      </c>
      <c r="K8" s="23"/>
      <c r="L8" s="23"/>
    </row>
    <row r="9" spans="1:12" ht="20.100000000000001" customHeight="1" x14ac:dyDescent="0.25">
      <c r="A9" s="17" t="str">
        <f>HYPERLINK("#'Input - Site'!A1", "Site")</f>
        <v>Site</v>
      </c>
      <c r="C9" s="23"/>
      <c r="D9" s="1" t="s">
        <v>302</v>
      </c>
      <c r="E9" s="115">
        <f ca="1">VEERG_4_1_1_5__1_TotalAnnualAtmosphericDepositionEmissions_Result_Method1</f>
        <v>0.1458482506281413</v>
      </c>
      <c r="F9" s="115">
        <f ca="1">VEERG_4_1_1_5__1_TotalAnnualAtmosphericDepositionEmissions_Result_Method2</f>
        <v>0.1458482506281413</v>
      </c>
      <c r="G9" s="55" t="str">
        <f>'4.1.1.5-6 Atmos Deposition'!$F$65</f>
        <v>t N2O</v>
      </c>
      <c r="H9" s="115">
        <f ca="1">'4.1.1.5-6 Atmos Deposition'!$E$70</f>
        <v>38.649786416457445</v>
      </c>
      <c r="I9" s="115">
        <f ca="1">'4.1.1.5-6 Atmos Deposition'!$N$70</f>
        <v>38.649786416457445</v>
      </c>
      <c r="J9" s="55" t="s">
        <v>306</v>
      </c>
      <c r="K9" s="23"/>
      <c r="L9" s="23"/>
    </row>
    <row r="10" spans="1:12" ht="20.100000000000001" customHeight="1" x14ac:dyDescent="0.3">
      <c r="A10" s="17" t="str">
        <f>HYPERLINK("#'Input - Feedlot'!A1", "Feedlot")</f>
        <v>Feedlot</v>
      </c>
      <c r="C10" s="23"/>
      <c r="D10" s="30" t="s">
        <v>275</v>
      </c>
      <c r="E10" s="24"/>
      <c r="F10" s="30"/>
      <c r="G10" s="30"/>
      <c r="H10" s="119">
        <f ca="1">SUM(H7:H9)</f>
        <v>325.86569602108807</v>
      </c>
      <c r="I10" s="119">
        <f ca="1">SUM(I7:I9)</f>
        <v>325.86569602108807</v>
      </c>
      <c r="J10" s="108" t="s">
        <v>306</v>
      </c>
      <c r="K10" s="23"/>
      <c r="L10" s="23"/>
    </row>
    <row r="11" spans="1:12" ht="20.100000000000001" customHeight="1" x14ac:dyDescent="0.25">
      <c r="C11" s="23"/>
      <c r="D11" s="1"/>
      <c r="E11" s="1"/>
      <c r="F11" s="1"/>
      <c r="G11" s="25"/>
      <c r="H11" s="23"/>
      <c r="I11" s="1"/>
      <c r="J11" s="1"/>
      <c r="K11" s="23"/>
      <c r="L11" s="23"/>
    </row>
    <row r="12" spans="1:12" ht="20.100000000000001" customHeight="1" x14ac:dyDescent="0.25">
      <c r="C12" s="23"/>
      <c r="D12" s="49" t="s">
        <v>220</v>
      </c>
      <c r="E12" s="1"/>
      <c r="F12" s="1"/>
      <c r="G12" s="1"/>
      <c r="H12" s="25"/>
      <c r="I12" s="23"/>
      <c r="J12" s="23"/>
      <c r="K12" s="23"/>
      <c r="L12" s="23"/>
    </row>
    <row r="13" spans="1:12" ht="20.100000000000001" customHeight="1" x14ac:dyDescent="0.25">
      <c r="A13" s="18" t="s">
        <v>71</v>
      </c>
      <c r="C13" s="23"/>
      <c r="D13" s="109" t="s">
        <v>282</v>
      </c>
      <c r="E13" s="1"/>
      <c r="F13" s="1"/>
      <c r="G13" s="1"/>
      <c r="H13" s="1"/>
      <c r="I13" s="1"/>
      <c r="J13" s="1"/>
      <c r="K13" s="23"/>
      <c r="L13" s="23"/>
    </row>
    <row r="14" spans="1:12" ht="20.100000000000001" customHeight="1" x14ac:dyDescent="0.25">
      <c r="A14" s="17" t="str">
        <f>HYPERLINK("#'4.1.1.1-2 Methane'!A1", "4.1.1.1-2 Methane")</f>
        <v>4.1.1.1-2 Methane</v>
      </c>
      <c r="C14" s="23"/>
      <c r="D14" s="120" t="s">
        <v>288</v>
      </c>
      <c r="E14" s="1"/>
      <c r="F14" s="1"/>
      <c r="G14" s="1"/>
      <c r="H14" s="1"/>
      <c r="I14" s="1"/>
      <c r="J14" s="1"/>
      <c r="K14" s="23"/>
      <c r="L14" s="23"/>
    </row>
    <row r="15" spans="1:12" ht="20.100000000000001" customHeight="1" x14ac:dyDescent="0.25">
      <c r="A15" s="17" t="str">
        <f>HYPERLINK("#'4.1.1.3-4 Direct N20'!A1", "4.1.1.3-4 Direct N20")</f>
        <v>4.1.1.3-4 Direct N20</v>
      </c>
      <c r="C15" s="23"/>
      <c r="D15" s="122" t="s">
        <v>283</v>
      </c>
      <c r="E15" s="122" t="s">
        <v>354</v>
      </c>
      <c r="F15" s="122" t="s">
        <v>355</v>
      </c>
      <c r="G15" s="122" t="s">
        <v>281</v>
      </c>
      <c r="H15" s="122" t="s">
        <v>276</v>
      </c>
      <c r="I15" s="122" t="s">
        <v>287</v>
      </c>
      <c r="J15" s="1"/>
      <c r="K15" s="23"/>
      <c r="L15" s="23"/>
    </row>
    <row r="16" spans="1:12" ht="20.100000000000001" customHeight="1" x14ac:dyDescent="0.25">
      <c r="A16" s="17" t="str">
        <f>HYPERLINK("#'4.1.1.5-6 Atmos Deposition'!A1", "4.1.1.5-6 Atmos Deposition")</f>
        <v>4.1.1.5-6 Atmos Deposition</v>
      </c>
      <c r="C16" s="23"/>
      <c r="D16" s="1" t="s">
        <v>299</v>
      </c>
      <c r="E16" s="121">
        <f ca="1">VEERG_4_1_1_9__1_MassOfNitrogenAppliedToSoilsScope1_Result_Method1</f>
        <v>24340.194998288636</v>
      </c>
      <c r="F16" s="121">
        <f ca="1">VEERG_4_1_1_9__1_MassOfNitrogenAppliedToSoilsScope1_Result_Method2</f>
        <v>24340.194998288636</v>
      </c>
      <c r="G16" s="55" t="str">
        <f>'4.1.1.9 Manure applied to soils'!$F$61</f>
        <v>kg N</v>
      </c>
      <c r="H16" s="1" t="s">
        <v>294</v>
      </c>
      <c r="I16" s="1" t="s">
        <v>286</v>
      </c>
      <c r="J16" s="1"/>
      <c r="K16" s="23"/>
      <c r="L16" s="23"/>
    </row>
    <row r="17" spans="1:12" ht="20.100000000000001" customHeight="1" x14ac:dyDescent="0.25">
      <c r="A17" s="17" t="str">
        <f>HYPERLINK("#'4.1.1.9 Manure applied to soils'!A1", "4.1.1.9 Manure applied to soils")</f>
        <v>4.1.1.9 Manure applied to soils</v>
      </c>
      <c r="C17" s="23"/>
      <c r="D17" s="1" t="s">
        <v>284</v>
      </c>
      <c r="E17" s="121">
        <f ca="1">'4.1.1.9 Manure applied to soils'!$E$111</f>
        <v>2221.8698202508799</v>
      </c>
      <c r="F17" s="121">
        <f ca="1">VEERG_4_1_1_9__2_MassOfNitrogenAppliedToSoilsScope3_Result_Method2</f>
        <v>2221.8698202508799</v>
      </c>
      <c r="G17" s="55" t="str">
        <f>'4.1.1.9 Manure applied to soils'!$F$111</f>
        <v>kg N</v>
      </c>
      <c r="H17" s="1" t="s">
        <v>294</v>
      </c>
      <c r="I17" s="1" t="s">
        <v>286</v>
      </c>
      <c r="J17" s="1"/>
      <c r="K17" s="23"/>
      <c r="L17" s="23"/>
    </row>
    <row r="18" spans="1:12" ht="20.100000000000001" customHeight="1" x14ac:dyDescent="0.25">
      <c r="C18" s="23"/>
      <c r="D18" s="1" t="s">
        <v>279</v>
      </c>
      <c r="E18" s="121">
        <f ca="1">VEERG_4_1_1_9__2_MassOfNitrogenAppliedToSoilsScope3_Result_Method1</f>
        <v>2221.8698202508799</v>
      </c>
      <c r="F18" s="121">
        <f ca="1">'4.1.1.9 Manure applied to soils'!O111</f>
        <v>2221.8698202508799</v>
      </c>
      <c r="G18" s="55" t="str">
        <f>'4.1.1.9 Manure applied to soils'!F87</f>
        <v>kg N</v>
      </c>
      <c r="H18" s="1" t="s">
        <v>280</v>
      </c>
      <c r="I18" s="1" t="s">
        <v>285</v>
      </c>
      <c r="J18" s="1"/>
      <c r="K18" s="23"/>
      <c r="L18" s="23"/>
    </row>
    <row r="19" spans="1:12" ht="20.100000000000001" customHeight="1" x14ac:dyDescent="0.25">
      <c r="C19" s="23"/>
      <c r="D19" s="1"/>
      <c r="E19" s="1"/>
      <c r="F19" s="1"/>
      <c r="G19" s="1"/>
      <c r="H19" s="1"/>
      <c r="I19" s="1"/>
      <c r="J19" s="1"/>
      <c r="K19" s="23"/>
      <c r="L19" s="23"/>
    </row>
    <row r="20" spans="1:12" ht="20.100000000000001" customHeight="1" x14ac:dyDescent="0.25">
      <c r="A20" s="145" t="s">
        <v>1</v>
      </c>
      <c r="C20" s="23"/>
      <c r="D20" s="1"/>
      <c r="E20" s="1"/>
      <c r="F20" s="1"/>
      <c r="G20" s="1"/>
      <c r="H20" s="1"/>
      <c r="I20" s="1"/>
      <c r="J20" s="1"/>
      <c r="K20" s="23"/>
      <c r="L20" s="23"/>
    </row>
    <row r="21" spans="1:12" ht="20.100000000000001" customHeight="1" x14ac:dyDescent="0.25">
      <c r="A21" s="17" t="str">
        <f>HYPERLINK("#'Constants - Feedlot'!A1", "Constants - Feedlot")</f>
        <v>Constants - Feedlot</v>
      </c>
      <c r="C21" s="23"/>
      <c r="D21" s="1"/>
      <c r="E21" s="1"/>
      <c r="F21" s="1"/>
      <c r="G21" s="1"/>
      <c r="H21" s="1"/>
      <c r="I21" s="1"/>
      <c r="J21" s="1"/>
      <c r="K21" s="23"/>
      <c r="L21" s="23"/>
    </row>
    <row r="22" spans="1:12" ht="20.100000000000001" customHeight="1" x14ac:dyDescent="0.25">
      <c r="A22" s="17" t="str">
        <f>HYPERLINK("#'Constants - Common'!A1", "Constants - Common")</f>
        <v>Constants - Common</v>
      </c>
      <c r="C22" s="23"/>
      <c r="D22" s="1"/>
      <c r="E22" s="1"/>
      <c r="F22" s="1"/>
      <c r="G22" s="1"/>
      <c r="H22" s="1"/>
      <c r="I22" s="1"/>
      <c r="J22" s="1"/>
      <c r="K22" s="23"/>
      <c r="L22" s="23"/>
    </row>
    <row r="23" spans="1:12" ht="20.100000000000001" customHeight="1" x14ac:dyDescent="0.25">
      <c r="A23" s="17" t="str">
        <f>HYPERLINK("#'Constants - Livestock'!A1", "Constants - Livestock")</f>
        <v>Constants - Livestock</v>
      </c>
      <c r="C23" s="23"/>
      <c r="D23" s="1"/>
      <c r="E23" s="1"/>
      <c r="F23" s="1"/>
      <c r="G23" s="1"/>
      <c r="H23" s="1"/>
      <c r="I23" s="1"/>
      <c r="J23" s="1"/>
      <c r="K23" s="23"/>
      <c r="L23" s="23"/>
    </row>
    <row r="24" spans="1:12" ht="20.100000000000001" customHeight="1" x14ac:dyDescent="0.25">
      <c r="A24" s="17" t="str">
        <f>HYPERLINK("#'Acknowledgements'!A1", "Acknowledgements")</f>
        <v>Acknowledgements</v>
      </c>
      <c r="C24" s="23"/>
      <c r="D24" s="1"/>
      <c r="E24" s="1"/>
      <c r="F24" s="1"/>
      <c r="G24" s="1"/>
      <c r="H24" s="1"/>
      <c r="I24" s="1"/>
      <c r="J24" s="1"/>
      <c r="K24" s="23"/>
      <c r="L24" s="23"/>
    </row>
    <row r="25" spans="1:12" ht="20.100000000000001" customHeight="1" x14ac:dyDescent="0.25">
      <c r="A25" s="17" t="str">
        <f>HYPERLINK("#'Tab template'!A1", "Tab template")</f>
        <v>Tab template</v>
      </c>
      <c r="C25" s="23"/>
      <c r="D25" s="1"/>
      <c r="E25" s="1"/>
      <c r="F25" s="1"/>
      <c r="G25" s="1"/>
      <c r="H25" s="1"/>
      <c r="I25" s="1"/>
      <c r="J25" s="1"/>
      <c r="K25" s="23"/>
      <c r="L25" s="23"/>
    </row>
    <row r="26" spans="1:12" ht="20.100000000000001" customHeight="1" x14ac:dyDescent="0.25">
      <c r="C26" s="23"/>
      <c r="D26" s="1"/>
      <c r="E26" s="1"/>
      <c r="F26" s="1"/>
      <c r="G26" s="1"/>
      <c r="H26" s="1"/>
      <c r="I26" s="1"/>
      <c r="J26" s="1"/>
      <c r="K26" s="23"/>
      <c r="L26" s="23"/>
    </row>
    <row r="27" spans="1:12" ht="20.100000000000001" customHeight="1" x14ac:dyDescent="0.25">
      <c r="C27" s="23"/>
      <c r="D27" s="1"/>
      <c r="E27" s="1"/>
      <c r="F27" s="1"/>
      <c r="G27" s="1"/>
      <c r="H27" s="1"/>
      <c r="I27" s="1"/>
      <c r="J27" s="1"/>
      <c r="K27" s="23"/>
      <c r="L27" s="23"/>
    </row>
    <row r="28" spans="1:12" ht="20.100000000000001" customHeight="1" x14ac:dyDescent="0.25">
      <c r="C28" s="23"/>
      <c r="D28" s="1"/>
      <c r="E28" s="1"/>
      <c r="F28" s="1"/>
      <c r="G28" s="1"/>
      <c r="H28" s="1"/>
      <c r="I28" s="1"/>
      <c r="J28" s="1"/>
      <c r="K28" s="23"/>
      <c r="L28" s="23"/>
    </row>
    <row r="29" spans="1:12" ht="20.100000000000001" customHeight="1" x14ac:dyDescent="0.25">
      <c r="C29" s="23"/>
      <c r="D29" s="1"/>
      <c r="E29" s="1"/>
      <c r="F29" s="1"/>
      <c r="G29" s="1"/>
      <c r="H29" s="23"/>
      <c r="I29" s="23"/>
      <c r="J29" s="23"/>
      <c r="K29" s="23"/>
      <c r="L29" s="23"/>
    </row>
    <row r="30" spans="1:12" ht="20.100000000000001" customHeight="1" x14ac:dyDescent="0.25">
      <c r="C30" s="23"/>
      <c r="D30" s="1"/>
      <c r="E30" s="1"/>
      <c r="F30" s="1"/>
      <c r="G30" s="1"/>
      <c r="H30" s="23"/>
      <c r="I30" s="23"/>
      <c r="J30" s="23"/>
      <c r="K30" s="23"/>
      <c r="L30" s="23"/>
    </row>
    <row r="31" spans="1:12" ht="20.100000000000001" customHeight="1" x14ac:dyDescent="0.25">
      <c r="C31" s="23"/>
      <c r="D31" s="1"/>
      <c r="E31" s="1"/>
      <c r="F31" s="1"/>
      <c r="G31" s="1"/>
      <c r="H31" s="23"/>
      <c r="I31" s="23"/>
      <c r="J31" s="23"/>
      <c r="K31" s="23"/>
      <c r="L31" s="23"/>
    </row>
    <row r="32" spans="1:12" ht="20.100000000000001" customHeight="1" x14ac:dyDescent="0.25">
      <c r="C32" s="23"/>
      <c r="D32" s="1"/>
      <c r="E32" s="1"/>
      <c r="F32" s="1"/>
      <c r="G32" s="1"/>
      <c r="H32" s="25"/>
      <c r="I32" s="23"/>
      <c r="J32" s="23"/>
      <c r="K32" s="23"/>
      <c r="L32" s="23"/>
    </row>
    <row r="33" spans="3:12" ht="20.100000000000001" customHeight="1" x14ac:dyDescent="0.3">
      <c r="C33" s="23"/>
      <c r="D33" s="1"/>
      <c r="E33" s="1"/>
      <c r="F33" s="1"/>
      <c r="G33" s="1"/>
      <c r="H33" s="28"/>
      <c r="I33" s="23"/>
      <c r="J33" s="23"/>
      <c r="K33" s="23"/>
      <c r="L33" s="23"/>
    </row>
    <row r="34" spans="3:12" ht="20.100000000000001" customHeight="1" x14ac:dyDescent="0.25">
      <c r="C34" s="23"/>
      <c r="D34" s="1"/>
      <c r="E34" s="1"/>
      <c r="F34" s="1"/>
      <c r="G34" s="1"/>
      <c r="H34" s="1"/>
      <c r="I34" s="23"/>
      <c r="J34" s="23"/>
      <c r="K34" s="23"/>
      <c r="L34" s="23"/>
    </row>
    <row r="35" spans="3:12" ht="20.100000000000001" customHeight="1" x14ac:dyDescent="0.25">
      <c r="C35" s="23"/>
      <c r="D35" s="1"/>
      <c r="E35" s="1"/>
      <c r="F35" s="1"/>
      <c r="G35" s="1"/>
      <c r="H35" s="1"/>
      <c r="I35" s="23"/>
      <c r="J35" s="23"/>
      <c r="K35" s="23"/>
      <c r="L35" s="23"/>
    </row>
    <row r="36" spans="3:12" ht="20.100000000000001" customHeight="1" x14ac:dyDescent="0.25">
      <c r="C36" s="23"/>
      <c r="D36" s="1"/>
      <c r="E36" s="1"/>
      <c r="F36" s="1"/>
      <c r="G36" s="1"/>
      <c r="H36" s="1"/>
      <c r="I36" s="23"/>
      <c r="J36" s="23"/>
      <c r="K36" s="23"/>
      <c r="L36" s="23"/>
    </row>
    <row r="37" spans="3:12" ht="20.100000000000001" customHeight="1" x14ac:dyDescent="0.25">
      <c r="C37" s="23"/>
      <c r="D37" s="1"/>
      <c r="E37" s="1"/>
      <c r="F37" s="1"/>
      <c r="G37" s="1"/>
      <c r="H37" s="1"/>
      <c r="I37" s="23"/>
      <c r="J37" s="23"/>
      <c r="K37" s="23"/>
      <c r="L37" s="23"/>
    </row>
    <row r="38" spans="3:12" ht="20.100000000000001" customHeight="1" x14ac:dyDescent="0.25">
      <c r="C38" s="23"/>
      <c r="D38" s="1"/>
      <c r="E38" s="1"/>
      <c r="F38" s="1"/>
      <c r="G38" s="1"/>
      <c r="H38" s="1"/>
      <c r="I38" s="114"/>
      <c r="J38" s="114"/>
      <c r="K38" s="114"/>
      <c r="L38" s="23"/>
    </row>
    <row r="39" spans="3:12" ht="20.100000000000001" customHeight="1" x14ac:dyDescent="0.25">
      <c r="C39" s="23"/>
      <c r="D39" s="1"/>
      <c r="E39" s="1"/>
      <c r="F39" s="1"/>
      <c r="G39" s="1"/>
      <c r="H39" s="1"/>
      <c r="I39" s="114"/>
      <c r="J39" s="114"/>
      <c r="K39" s="114"/>
      <c r="L39" s="23"/>
    </row>
    <row r="40" spans="3:12" ht="20.100000000000001" customHeight="1" x14ac:dyDescent="0.25">
      <c r="C40" s="23"/>
      <c r="D40" s="1"/>
      <c r="E40" s="1"/>
      <c r="F40" s="1"/>
      <c r="G40" s="1"/>
      <c r="H40" s="1"/>
      <c r="I40" s="114"/>
      <c r="J40" s="114"/>
      <c r="K40" s="114"/>
      <c r="L40" s="23"/>
    </row>
    <row r="41" spans="3:12" ht="20.100000000000001" customHeight="1" x14ac:dyDescent="0.25">
      <c r="C41" s="23"/>
      <c r="D41" s="1"/>
      <c r="E41" s="1"/>
      <c r="F41" s="1"/>
      <c r="G41" s="1"/>
      <c r="H41" s="1"/>
      <c r="I41" s="114"/>
      <c r="J41" s="114"/>
      <c r="K41" s="114"/>
      <c r="L41" s="23"/>
    </row>
    <row r="42" spans="3:12" ht="20.100000000000001" customHeight="1" x14ac:dyDescent="0.25">
      <c r="C42" s="23"/>
      <c r="D42" s="1"/>
      <c r="E42" s="1"/>
      <c r="F42" s="1"/>
      <c r="G42" s="1"/>
      <c r="H42" s="1"/>
      <c r="I42" s="114"/>
      <c r="J42" s="114"/>
      <c r="K42" s="114"/>
      <c r="L42" s="23"/>
    </row>
    <row r="43" spans="3:12" ht="20.100000000000001" customHeight="1" x14ac:dyDescent="0.25">
      <c r="C43" s="23"/>
      <c r="D43" s="1"/>
      <c r="E43" s="1"/>
      <c r="F43" s="1"/>
      <c r="G43" s="1"/>
      <c r="H43" s="1"/>
      <c r="I43" s="114"/>
      <c r="J43" s="114"/>
      <c r="K43" s="114"/>
      <c r="L43" s="23"/>
    </row>
    <row r="44" spans="3:12" ht="20.100000000000001" customHeight="1" x14ac:dyDescent="0.25">
      <c r="C44" s="23"/>
      <c r="D44" s="1"/>
      <c r="E44" s="1"/>
      <c r="F44" s="1"/>
      <c r="G44" s="1"/>
      <c r="H44" s="1"/>
      <c r="I44" s="114"/>
      <c r="J44" s="114"/>
      <c r="K44" s="114"/>
      <c r="L44" s="23"/>
    </row>
    <row r="45" spans="3:12" ht="20.100000000000001" customHeight="1" x14ac:dyDescent="0.25">
      <c r="C45" s="23"/>
      <c r="D45" s="1"/>
      <c r="E45" s="1"/>
      <c r="F45" s="1"/>
      <c r="G45" s="1"/>
      <c r="H45" s="1"/>
      <c r="I45" s="114"/>
      <c r="J45" s="114"/>
      <c r="K45" s="114"/>
      <c r="L45" s="23"/>
    </row>
    <row r="46" spans="3:12" ht="20.100000000000001" customHeight="1" x14ac:dyDescent="0.25">
      <c r="C46" s="23"/>
      <c r="D46" s="1"/>
      <c r="E46" s="1"/>
      <c r="F46" s="1"/>
      <c r="G46" s="1"/>
      <c r="H46" s="1"/>
      <c r="I46" s="114"/>
      <c r="J46" s="114"/>
      <c r="K46" s="114"/>
      <c r="L46" s="23"/>
    </row>
    <row r="47" spans="3:12" ht="20.100000000000001" customHeight="1" x14ac:dyDescent="0.25">
      <c r="C47" s="23"/>
      <c r="D47" s="1"/>
      <c r="E47" s="1"/>
      <c r="F47" s="1"/>
      <c r="G47" s="1"/>
      <c r="H47" s="1"/>
      <c r="I47" s="114"/>
      <c r="J47" s="114"/>
      <c r="K47" s="114"/>
      <c r="L47" s="23"/>
    </row>
    <row r="48" spans="3:12" ht="20.100000000000001" customHeight="1" x14ac:dyDescent="0.25">
      <c r="C48" s="23"/>
      <c r="D48" s="1"/>
      <c r="E48" s="1"/>
      <c r="F48" s="1"/>
      <c r="G48" s="1"/>
      <c r="H48" s="1"/>
      <c r="I48" s="114"/>
      <c r="J48" s="114"/>
      <c r="K48" s="114"/>
      <c r="L48" s="23"/>
    </row>
    <row r="49" spans="3:12" ht="20.100000000000001" customHeight="1" x14ac:dyDescent="0.25">
      <c r="C49" s="23"/>
      <c r="D49" s="1"/>
      <c r="E49" s="1"/>
      <c r="F49" s="1"/>
      <c r="G49" s="1"/>
      <c r="H49" s="114"/>
      <c r="I49" s="114"/>
      <c r="J49" s="114"/>
      <c r="K49" s="114"/>
      <c r="L49" s="23"/>
    </row>
    <row r="50" spans="3:12" ht="20.100000000000001" customHeight="1" x14ac:dyDescent="0.25">
      <c r="C50" s="23"/>
      <c r="D50" s="1"/>
      <c r="E50" s="1"/>
      <c r="F50" s="1"/>
      <c r="G50" s="1"/>
      <c r="H50" s="114"/>
      <c r="I50" s="114"/>
      <c r="J50" s="114"/>
      <c r="K50" s="114"/>
      <c r="L50" s="23"/>
    </row>
    <row r="51" spans="3:12" ht="20.100000000000001" customHeight="1" x14ac:dyDescent="0.25">
      <c r="C51" s="23"/>
      <c r="D51" s="1"/>
      <c r="E51" s="1"/>
      <c r="F51" s="1"/>
      <c r="G51" s="1"/>
      <c r="H51" s="114"/>
      <c r="I51" s="114"/>
      <c r="J51" s="114"/>
      <c r="K51" s="114"/>
      <c r="L51" s="23"/>
    </row>
    <row r="52" spans="3:12" ht="20.100000000000001" customHeight="1" x14ac:dyDescent="0.25">
      <c r="C52" s="23"/>
      <c r="D52" s="1"/>
      <c r="E52" s="1"/>
      <c r="F52" s="1"/>
      <c r="G52" s="1"/>
      <c r="H52" s="114"/>
      <c r="I52" s="114"/>
      <c r="J52" s="114"/>
      <c r="K52" s="114"/>
      <c r="L52" s="23"/>
    </row>
    <row r="53" spans="3:12" ht="20.100000000000001" customHeight="1" x14ac:dyDescent="0.25">
      <c r="C53" s="23"/>
      <c r="D53" s="1"/>
      <c r="E53" s="1"/>
      <c r="F53" s="1"/>
      <c r="G53" s="1"/>
      <c r="H53" s="114"/>
      <c r="I53" s="114"/>
      <c r="J53" s="114"/>
      <c r="K53" s="114"/>
      <c r="L53" s="23"/>
    </row>
    <row r="54" spans="3:12" ht="20.100000000000001" customHeight="1" x14ac:dyDescent="0.25">
      <c r="C54" s="23"/>
      <c r="D54" s="1"/>
      <c r="E54" s="1"/>
      <c r="F54" s="1"/>
      <c r="G54" s="1"/>
      <c r="H54" s="23"/>
      <c r="I54" s="23"/>
      <c r="J54" s="23"/>
      <c r="K54" s="23"/>
      <c r="L54" s="23"/>
    </row>
    <row r="55" spans="3:12" ht="20.100000000000001" customHeight="1" x14ac:dyDescent="0.25">
      <c r="C55" s="23"/>
      <c r="D55" s="1"/>
      <c r="E55" s="1"/>
      <c r="F55" s="1"/>
      <c r="G55" s="1"/>
      <c r="H55" s="23"/>
      <c r="I55" s="23"/>
      <c r="J55" s="23"/>
      <c r="K55" s="23"/>
      <c r="L55" s="23"/>
    </row>
    <row r="56" spans="3:12" ht="20.100000000000001" customHeight="1" x14ac:dyDescent="0.25">
      <c r="C56" s="23"/>
      <c r="D56" s="1"/>
      <c r="E56" s="1"/>
      <c r="F56" s="1"/>
      <c r="G56" s="1"/>
      <c r="H56" s="23"/>
      <c r="I56" s="23"/>
      <c r="J56" s="23"/>
      <c r="K56" s="23"/>
      <c r="L56" s="23"/>
    </row>
    <row r="57" spans="3:12" ht="20.100000000000001" customHeight="1" x14ac:dyDescent="0.25">
      <c r="C57" s="23"/>
      <c r="D57" s="1"/>
      <c r="E57" s="1"/>
      <c r="F57" s="1"/>
      <c r="G57" s="1"/>
      <c r="H57" s="23"/>
      <c r="I57" s="23"/>
      <c r="J57" s="23"/>
      <c r="K57" s="23"/>
      <c r="L57" s="23"/>
    </row>
    <row r="58" spans="3:12" ht="20.100000000000001" customHeight="1" x14ac:dyDescent="0.25">
      <c r="C58" s="23"/>
      <c r="D58" s="1"/>
      <c r="E58" s="31"/>
      <c r="F58" s="29"/>
      <c r="G58" s="23"/>
      <c r="H58" s="23"/>
      <c r="I58" s="23"/>
      <c r="J58" s="23"/>
      <c r="K58" s="23"/>
      <c r="L58" s="23"/>
    </row>
    <row r="59" spans="3:12" ht="20.100000000000001" customHeight="1" x14ac:dyDescent="0.25">
      <c r="C59" s="23"/>
      <c r="D59" s="1"/>
      <c r="E59" s="1"/>
      <c r="F59" s="1"/>
      <c r="G59" s="1"/>
      <c r="H59" s="1"/>
      <c r="I59" s="1"/>
      <c r="J59" s="1"/>
      <c r="K59" s="1"/>
      <c r="L59" s="23"/>
    </row>
    <row r="60" spans="3:12" ht="20.100000000000001" customHeight="1" x14ac:dyDescent="0.25">
      <c r="C60" s="23"/>
      <c r="D60" s="1"/>
      <c r="E60" s="1"/>
      <c r="F60" s="1"/>
      <c r="G60" s="1"/>
      <c r="H60" s="1"/>
      <c r="I60" s="1"/>
      <c r="J60" s="1"/>
      <c r="K60" s="1"/>
      <c r="L60" s="23"/>
    </row>
    <row r="61" spans="3:12" ht="20.100000000000001" customHeight="1" x14ac:dyDescent="0.25">
      <c r="C61" s="23"/>
      <c r="D61" s="1"/>
      <c r="E61" s="1"/>
      <c r="F61" s="1"/>
      <c r="G61" s="1"/>
      <c r="H61" s="1"/>
      <c r="I61" s="1"/>
      <c r="J61" s="1"/>
      <c r="K61" s="1"/>
      <c r="L61" s="23"/>
    </row>
    <row r="62" spans="3:12" ht="20.100000000000001" customHeight="1" x14ac:dyDescent="0.25">
      <c r="C62" s="23"/>
      <c r="D62" s="1"/>
      <c r="E62" s="1"/>
      <c r="F62" s="1"/>
      <c r="G62" s="1"/>
      <c r="H62" s="1"/>
      <c r="I62" s="1"/>
      <c r="J62" s="1"/>
      <c r="K62" s="1"/>
      <c r="L62" s="23"/>
    </row>
    <row r="63" spans="3:12" ht="20.100000000000001" customHeight="1" x14ac:dyDescent="0.25">
      <c r="C63" s="23"/>
      <c r="D63" s="1"/>
      <c r="E63" s="1"/>
      <c r="F63" s="1"/>
      <c r="G63" s="1"/>
      <c r="H63" s="1"/>
      <c r="I63" s="1"/>
      <c r="J63" s="1"/>
      <c r="K63" s="1"/>
      <c r="L63" s="23"/>
    </row>
    <row r="64" spans="3:12" ht="20.100000000000001" customHeight="1" x14ac:dyDescent="0.25">
      <c r="C64" s="23"/>
      <c r="D64" s="1"/>
      <c r="E64" s="1"/>
      <c r="F64" s="1"/>
      <c r="G64" s="1"/>
      <c r="H64" s="1"/>
      <c r="I64" s="1"/>
      <c r="J64" s="1"/>
      <c r="K64" s="1"/>
      <c r="L64" s="23"/>
    </row>
    <row r="65" spans="3:12" ht="20.100000000000001" customHeight="1" x14ac:dyDescent="0.25">
      <c r="C65" s="23"/>
      <c r="D65" s="1"/>
      <c r="E65" s="1"/>
      <c r="F65" s="1"/>
      <c r="G65" s="1"/>
      <c r="H65" s="1"/>
      <c r="I65" s="1"/>
      <c r="J65" s="1"/>
      <c r="K65" s="1"/>
      <c r="L65" s="23"/>
    </row>
    <row r="66" spans="3:12" ht="20.100000000000001" customHeight="1" x14ac:dyDescent="0.25">
      <c r="C66" s="23"/>
      <c r="D66" s="1"/>
      <c r="E66" s="1"/>
      <c r="F66" s="1"/>
      <c r="G66" s="1"/>
      <c r="H66" s="1"/>
      <c r="I66" s="1"/>
      <c r="J66" s="1"/>
      <c r="K66" s="1"/>
      <c r="L66" s="23"/>
    </row>
    <row r="67" spans="3:12" ht="20.100000000000001" customHeight="1" x14ac:dyDescent="0.25">
      <c r="C67" s="23"/>
      <c r="D67" s="1"/>
      <c r="E67" s="1"/>
      <c r="F67" s="1"/>
      <c r="G67" s="1"/>
      <c r="H67" s="1"/>
      <c r="I67" s="1"/>
      <c r="J67" s="1"/>
      <c r="K67" s="1"/>
      <c r="L67" s="23"/>
    </row>
    <row r="68" spans="3:12" ht="20.100000000000001" customHeight="1" x14ac:dyDescent="0.25">
      <c r="C68" s="23"/>
      <c r="D68" s="1"/>
      <c r="E68" s="1"/>
      <c r="F68" s="1"/>
      <c r="G68" s="1"/>
      <c r="H68" s="1"/>
      <c r="I68" s="1"/>
      <c r="J68" s="1"/>
      <c r="K68" s="1"/>
      <c r="L68" s="23"/>
    </row>
    <row r="69" spans="3:12" ht="20.100000000000001" customHeight="1" x14ac:dyDescent="0.25">
      <c r="C69" s="23"/>
      <c r="D69" s="1"/>
      <c r="E69" s="1"/>
      <c r="F69" s="1"/>
      <c r="G69" s="1"/>
      <c r="H69" s="1"/>
      <c r="I69" s="1"/>
      <c r="J69" s="1"/>
      <c r="K69" s="1"/>
      <c r="L69" s="23"/>
    </row>
    <row r="70" spans="3:12" ht="20.100000000000001" customHeight="1" x14ac:dyDescent="0.25">
      <c r="C70" s="23"/>
      <c r="D70" s="1"/>
      <c r="E70" s="1"/>
      <c r="F70" s="1"/>
      <c r="G70" s="1"/>
      <c r="H70" s="1"/>
      <c r="I70" s="1"/>
      <c r="J70" s="1"/>
      <c r="K70" s="1"/>
      <c r="L70" s="23"/>
    </row>
    <row r="71" spans="3:12" ht="20.100000000000001" customHeight="1" x14ac:dyDescent="0.25">
      <c r="C71" s="23"/>
      <c r="D71" s="1"/>
      <c r="E71" s="1"/>
      <c r="F71" s="1"/>
      <c r="G71" s="1"/>
      <c r="H71" s="1"/>
      <c r="I71" s="1"/>
      <c r="J71" s="1"/>
      <c r="K71" s="1"/>
      <c r="L71" s="23"/>
    </row>
    <row r="72" spans="3:12" ht="20.100000000000001" customHeight="1" x14ac:dyDescent="0.25">
      <c r="C72" s="23"/>
      <c r="D72" s="1"/>
      <c r="E72" s="1"/>
      <c r="F72" s="1"/>
      <c r="G72" s="1"/>
      <c r="H72" s="1"/>
      <c r="I72" s="1"/>
      <c r="J72" s="1"/>
      <c r="K72" s="1"/>
      <c r="L72" s="23"/>
    </row>
    <row r="73" spans="3:12" ht="20.100000000000001" customHeight="1" x14ac:dyDescent="0.25">
      <c r="C73" s="23"/>
      <c r="D73" s="1"/>
      <c r="E73" s="1"/>
      <c r="F73" s="1"/>
      <c r="G73" s="1"/>
      <c r="H73" s="1"/>
      <c r="I73" s="1"/>
      <c r="J73" s="1"/>
      <c r="K73" s="1"/>
      <c r="L73" s="23"/>
    </row>
    <row r="74" spans="3:12" ht="20.100000000000001" customHeight="1" x14ac:dyDescent="0.25">
      <c r="C74" s="23"/>
      <c r="D74" s="1"/>
      <c r="E74" s="1"/>
      <c r="F74" s="1"/>
      <c r="G74" s="1"/>
      <c r="H74" s="1"/>
      <c r="I74" s="1"/>
      <c r="J74" s="1"/>
      <c r="K74" s="1"/>
      <c r="L74" s="23"/>
    </row>
    <row r="75" spans="3:12" ht="20.100000000000001" customHeight="1" x14ac:dyDescent="0.25">
      <c r="C75" s="23"/>
      <c r="D75" s="1"/>
      <c r="E75" s="1"/>
      <c r="F75" s="1"/>
      <c r="G75" s="1"/>
      <c r="H75" s="1"/>
      <c r="I75" s="1"/>
      <c r="J75" s="1"/>
      <c r="K75" s="1"/>
      <c r="L75" s="23"/>
    </row>
    <row r="76" spans="3:12" ht="15.75" x14ac:dyDescent="0.25">
      <c r="C76" s="23"/>
      <c r="D76" s="1"/>
      <c r="E76" s="1"/>
      <c r="F76" s="1"/>
      <c r="G76" s="1"/>
      <c r="H76" s="1"/>
      <c r="I76" s="1"/>
      <c r="J76" s="1"/>
      <c r="K76" s="1"/>
      <c r="L76" s="23"/>
    </row>
    <row r="77" spans="3:12" ht="15.75" x14ac:dyDescent="0.25">
      <c r="C77" s="23"/>
      <c r="D77" s="1"/>
      <c r="E77" s="1"/>
      <c r="F77" s="1"/>
      <c r="G77" s="1"/>
      <c r="H77" s="1"/>
      <c r="I77" s="1"/>
      <c r="J77" s="1"/>
      <c r="K77" s="1"/>
      <c r="L77" s="23"/>
    </row>
    <row r="78" spans="3:12" ht="15.75" x14ac:dyDescent="0.25">
      <c r="C78" s="23"/>
      <c r="D78" s="1"/>
      <c r="E78" s="1"/>
      <c r="F78" s="1"/>
      <c r="G78" s="1"/>
      <c r="H78" s="1"/>
      <c r="I78" s="1"/>
      <c r="J78" s="1"/>
      <c r="K78" s="1"/>
      <c r="L78" s="23"/>
    </row>
    <row r="79" spans="3:12" ht="15.75" x14ac:dyDescent="0.25">
      <c r="C79" s="23"/>
      <c r="D79" s="1"/>
      <c r="E79" s="1"/>
      <c r="F79" s="1"/>
      <c r="G79" s="1"/>
      <c r="H79" s="1"/>
      <c r="I79" s="1"/>
      <c r="J79" s="1"/>
      <c r="K79" s="1"/>
      <c r="L79" s="23"/>
    </row>
    <row r="80" spans="3:12" ht="15.75" x14ac:dyDescent="0.25">
      <c r="C80" s="23"/>
      <c r="D80" s="1"/>
      <c r="E80" s="1"/>
      <c r="F80" s="1"/>
      <c r="G80" s="1"/>
      <c r="H80" s="1"/>
      <c r="I80" s="1"/>
      <c r="J80" s="1"/>
      <c r="K80" s="1"/>
      <c r="L80" s="23"/>
    </row>
    <row r="81" spans="3:12" ht="15.75" x14ac:dyDescent="0.25">
      <c r="C81" s="23"/>
      <c r="D81" s="1"/>
      <c r="E81" s="1"/>
      <c r="F81" s="1"/>
      <c r="G81" s="1"/>
      <c r="H81" s="1"/>
      <c r="I81" s="1"/>
      <c r="J81" s="1"/>
      <c r="K81" s="1"/>
      <c r="L81" s="23"/>
    </row>
    <row r="82" spans="3:12" ht="15.75" x14ac:dyDescent="0.25">
      <c r="C82" s="23"/>
      <c r="D82" s="1"/>
      <c r="E82" s="1"/>
      <c r="F82" s="1"/>
      <c r="G82" s="1"/>
      <c r="H82" s="1"/>
      <c r="I82" s="1"/>
      <c r="J82" s="1"/>
      <c r="K82" s="1"/>
      <c r="L82" s="23"/>
    </row>
    <row r="83" spans="3:12" ht="15.75" x14ac:dyDescent="0.25">
      <c r="C83" s="23"/>
      <c r="D83" s="1"/>
      <c r="E83" s="1"/>
      <c r="F83" s="1"/>
      <c r="G83" s="1"/>
      <c r="H83" s="1"/>
      <c r="I83" s="1"/>
      <c r="J83" s="1"/>
      <c r="K83" s="1"/>
      <c r="L83" s="23"/>
    </row>
    <row r="84" spans="3:12" ht="15.75" x14ac:dyDescent="0.25">
      <c r="C84" s="23"/>
      <c r="D84" s="1"/>
      <c r="E84" s="1"/>
      <c r="F84" s="1"/>
      <c r="G84" s="1"/>
      <c r="H84" s="1"/>
      <c r="I84" s="1"/>
      <c r="J84" s="1"/>
      <c r="K84" s="1"/>
      <c r="L84" s="23"/>
    </row>
    <row r="85" spans="3:12" ht="15.75" x14ac:dyDescent="0.25">
      <c r="C85" s="23"/>
      <c r="D85" s="1"/>
      <c r="E85" s="1"/>
      <c r="F85" s="1"/>
      <c r="G85" s="1"/>
      <c r="H85" s="1"/>
      <c r="I85" s="1"/>
      <c r="J85" s="1"/>
      <c r="K85" s="1"/>
      <c r="L85" s="23"/>
    </row>
    <row r="86" spans="3:12" x14ac:dyDescent="0.25">
      <c r="C86" s="23"/>
      <c r="D86" s="23"/>
      <c r="E86" s="23"/>
      <c r="F86" s="23"/>
      <c r="G86" s="23"/>
      <c r="H86" s="23"/>
      <c r="I86" s="23"/>
      <c r="J86" s="23"/>
      <c r="K86" s="23"/>
      <c r="L86" s="23"/>
    </row>
    <row r="87" spans="3:12" x14ac:dyDescent="0.25">
      <c r="C87" s="23"/>
      <c r="D87" s="23"/>
      <c r="E87" s="23"/>
      <c r="F87" s="23"/>
      <c r="G87" s="23"/>
      <c r="H87" s="23"/>
      <c r="I87" s="23"/>
      <c r="J87" s="23"/>
      <c r="K87" s="23"/>
      <c r="L87" s="23"/>
    </row>
  </sheetData>
  <pageMargins left="0.7" right="0.7" top="0.75" bottom="0.75" header="0.3" footer="0.3"/>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1A5447-7172-48EB-B2CF-AFAC4A9AE8CE}">
  <sheetPr>
    <pageSetUpPr autoPageBreaks="0"/>
  </sheetPr>
  <dimension ref="A1:AA160"/>
  <sheetViews>
    <sheetView showGridLines="0" zoomScaleNormal="100" workbookViewId="0">
      <selection activeCell="A25" sqref="A25"/>
    </sheetView>
  </sheetViews>
  <sheetFormatPr defaultColWidth="9.140625" defaultRowHeight="15.75" x14ac:dyDescent="0.25"/>
  <cols>
    <col min="1" max="1" width="30.7109375" style="16" customWidth="1"/>
    <col min="2" max="2" width="4.7109375" style="7" customWidth="1"/>
    <col min="3" max="3" width="4.7109375" style="3" customWidth="1"/>
    <col min="4" max="4" width="60.7109375" style="3" customWidth="1"/>
    <col min="5" max="5" width="50.7109375" style="3" customWidth="1"/>
    <col min="6" max="11" width="28.7109375" style="3" customWidth="1"/>
    <col min="12" max="25" width="28.7109375" style="7" customWidth="1"/>
    <col min="26" max="27" width="9.140625" style="7"/>
    <col min="28" max="16384" width="9.140625" style="3"/>
  </cols>
  <sheetData>
    <row r="1" spans="1:24" s="7" customFormat="1" ht="30" customHeight="1" x14ac:dyDescent="0.35">
      <c r="A1" s="66" t="e" vm="1">
        <v>#VALUE!</v>
      </c>
      <c r="C1" s="12" t="s">
        <v>85</v>
      </c>
    </row>
    <row r="2" spans="1:24" s="7" customFormat="1" ht="20.100000000000001" customHeight="1" x14ac:dyDescent="0.25">
      <c r="A2"/>
      <c r="C2" s="9"/>
      <c r="D2" s="9"/>
      <c r="E2" s="9"/>
      <c r="F2" s="9"/>
      <c r="G2" s="9"/>
      <c r="H2" s="9"/>
      <c r="I2" s="9"/>
      <c r="J2" s="9"/>
    </row>
    <row r="3" spans="1:24" ht="20.100000000000001" customHeight="1" x14ac:dyDescent="0.25">
      <c r="A3" s="17" t="str">
        <f>HYPERLINK("#'Home'!A1", "Home")</f>
        <v>Home</v>
      </c>
      <c r="C3" s="15"/>
      <c r="D3" s="15"/>
      <c r="E3" s="15"/>
      <c r="F3" s="15"/>
      <c r="G3" s="15"/>
      <c r="H3" s="15"/>
      <c r="I3" s="15"/>
      <c r="J3" s="15"/>
      <c r="K3" s="15"/>
      <c r="M3" s="11"/>
      <c r="N3" s="11"/>
      <c r="O3" s="11"/>
      <c r="P3" s="11"/>
      <c r="Q3" s="11"/>
      <c r="R3" s="11"/>
      <c r="S3" s="11"/>
      <c r="T3" s="11"/>
      <c r="U3" s="11"/>
      <c r="V3" s="11"/>
      <c r="W3" s="11"/>
      <c r="X3" s="11"/>
    </row>
    <row r="4" spans="1:24" ht="20.100000000000001" customHeight="1" x14ac:dyDescent="0.25">
      <c r="A4" s="17" t="str">
        <f>HYPERLINK("#'Overview'!A1", "Overview")</f>
        <v>Overview</v>
      </c>
      <c r="C4" s="68"/>
      <c r="D4" s="68"/>
      <c r="E4" s="68"/>
      <c r="F4" s="68"/>
      <c r="G4" s="68"/>
      <c r="H4" s="68"/>
      <c r="I4" s="68"/>
      <c r="J4" s="68"/>
      <c r="K4" s="68"/>
    </row>
    <row r="5" spans="1:24" ht="20.100000000000001" customHeight="1" x14ac:dyDescent="0.25">
      <c r="A5" s="17" t="str">
        <f>HYPERLINK("#'Results'!A1", "Results")</f>
        <v>Results</v>
      </c>
      <c r="D5" s="6" t="s">
        <v>12</v>
      </c>
      <c r="N5" s="42"/>
    </row>
    <row r="6" spans="1:24" ht="20.100000000000001" customHeight="1" x14ac:dyDescent="0.25">
      <c r="A6"/>
      <c r="D6" s="14"/>
      <c r="N6" s="43"/>
    </row>
    <row r="7" spans="1:24" ht="20.100000000000001" customHeight="1" x14ac:dyDescent="0.25">
      <c r="A7"/>
      <c r="D7" s="1" t="s">
        <v>4</v>
      </c>
      <c r="E7" s="34" t="s">
        <v>3</v>
      </c>
      <c r="F7" s="2"/>
    </row>
    <row r="8" spans="1:24" ht="20.100000000000001" customHeight="1" x14ac:dyDescent="0.25">
      <c r="A8" s="19" t="s">
        <v>0</v>
      </c>
      <c r="D8" s="10" t="s">
        <v>69</v>
      </c>
      <c r="E8" s="34" t="s">
        <v>70</v>
      </c>
    </row>
    <row r="9" spans="1:24" ht="20.100000000000001" customHeight="1" x14ac:dyDescent="0.25">
      <c r="A9" s="20" t="str">
        <f>HYPERLINK("#'Input - Site'!A1", "Site")</f>
        <v>Site</v>
      </c>
      <c r="N9" s="44"/>
    </row>
    <row r="10" spans="1:24" ht="20.100000000000001" customHeight="1" x14ac:dyDescent="0.25">
      <c r="A10" s="17" t="str">
        <f>HYPERLINK("#'Input - Feedlot'!A1", "Feedlot")</f>
        <v>Feedlot</v>
      </c>
      <c r="D10" s="93" t="s">
        <v>84</v>
      </c>
      <c r="E10" s="91"/>
      <c r="F10" s="94"/>
      <c r="G10" s="88"/>
      <c r="N10" s="44"/>
    </row>
    <row r="11" spans="1:24" ht="20.100000000000001" customHeight="1" x14ac:dyDescent="0.25">
      <c r="A11"/>
      <c r="N11" s="45"/>
    </row>
    <row r="12" spans="1:24" ht="20.100000000000001" customHeight="1" x14ac:dyDescent="0.25">
      <c r="A12"/>
      <c r="D12" s="10" t="s">
        <v>90</v>
      </c>
      <c r="E12" s="64">
        <v>45292</v>
      </c>
      <c r="F12" s="2" t="s">
        <v>67</v>
      </c>
    </row>
    <row r="13" spans="1:24" ht="20.100000000000001" customHeight="1" x14ac:dyDescent="0.25">
      <c r="A13" s="18" t="s">
        <v>71</v>
      </c>
      <c r="D13" s="10" t="s">
        <v>91</v>
      </c>
      <c r="E13" s="69">
        <f>DATE(YEAR(X_Cell_Site_StartDate)+1,MONTH(X_Cell_Site_StartDate),DAY(X_Cell_Site_StartDate))-1</f>
        <v>45657</v>
      </c>
      <c r="F13" s="2" t="s">
        <v>14</v>
      </c>
      <c r="N13" s="39"/>
      <c r="O13" s="39"/>
    </row>
    <row r="14" spans="1:24" ht="20.100000000000001" customHeight="1" x14ac:dyDescent="0.25">
      <c r="A14" s="17" t="str">
        <f>HYPERLINK("#'4.1.1.1-2 Methane'!A1", "4.1.1.1-2 Methane")</f>
        <v>4.1.1.1-2 Methane</v>
      </c>
      <c r="N14" s="39"/>
      <c r="O14" s="39"/>
    </row>
    <row r="15" spans="1:24" ht="20.100000000000001" customHeight="1" x14ac:dyDescent="0.25">
      <c r="A15" s="17" t="str">
        <f>HYPERLINK("#'4.1.1.3-4 Direct N20'!A1", "4.1.1.3-4 Direct N20")</f>
        <v>4.1.1.3-4 Direct N20</v>
      </c>
      <c r="N15" s="39"/>
      <c r="O15" s="39"/>
    </row>
    <row r="16" spans="1:24" ht="20.100000000000001" customHeight="1" x14ac:dyDescent="0.25">
      <c r="A16" s="17" t="str">
        <f>HYPERLINK("#'4.1.1.5-6 Atmos Deposition'!A1", "4.1.1.5-6 Atmos Deposition")</f>
        <v>4.1.1.5-6 Atmos Deposition</v>
      </c>
      <c r="D16" s="6" t="s">
        <v>11</v>
      </c>
      <c r="N16" s="39"/>
      <c r="O16" s="39"/>
    </row>
    <row r="17" spans="1:25" ht="20.100000000000001" customHeight="1" x14ac:dyDescent="0.25">
      <c r="A17" s="17" t="str">
        <f>HYPERLINK("#'4.1.1.9 Manure applied to soils'!A1", "4.1.1.9 Manure applied to soils")</f>
        <v>4.1.1.9 Manure applied to soils</v>
      </c>
    </row>
    <row r="18" spans="1:25" ht="20.100000000000001" customHeight="1" x14ac:dyDescent="0.25">
      <c r="A18"/>
      <c r="D18" s="95" t="s">
        <v>13</v>
      </c>
      <c r="E18" s="90"/>
      <c r="F18" s="90"/>
      <c r="G18" s="86"/>
    </row>
    <row r="19" spans="1:25" ht="20.100000000000001" customHeight="1" x14ac:dyDescent="0.25">
      <c r="A19"/>
      <c r="D19" s="92" t="s">
        <v>68</v>
      </c>
      <c r="E19" s="89"/>
      <c r="F19" s="89"/>
      <c r="G19" s="87"/>
      <c r="N19" s="42"/>
    </row>
    <row r="20" spans="1:25" ht="20.100000000000001" customHeight="1" x14ac:dyDescent="0.25">
      <c r="A20" s="145" t="s">
        <v>1</v>
      </c>
      <c r="D20" s="1"/>
      <c r="E20" s="32"/>
      <c r="F20" s="2"/>
      <c r="N20" s="43"/>
    </row>
    <row r="21" spans="1:25" ht="20.100000000000001" customHeight="1" x14ac:dyDescent="0.25">
      <c r="A21" s="17" t="str">
        <f>HYPERLINK("#'Constants - Feedlot'!A1", "Constants - Feedlot")</f>
        <v>Constants - Feedlot</v>
      </c>
      <c r="D21" s="1" t="s">
        <v>5</v>
      </c>
      <c r="E21" s="41" t="s">
        <v>356</v>
      </c>
      <c r="F21" s="2" t="s">
        <v>8</v>
      </c>
    </row>
    <row r="22" spans="1:25" ht="20.100000000000001" customHeight="1" x14ac:dyDescent="0.25">
      <c r="A22" s="17" t="str">
        <f>HYPERLINK("#'Constants - Common'!A1", "Constants - Common")</f>
        <v>Constants - Common</v>
      </c>
      <c r="D22" s="1" t="s">
        <v>22</v>
      </c>
      <c r="E22" s="41" t="s">
        <v>31</v>
      </c>
      <c r="F22" s="2" t="s">
        <v>8</v>
      </c>
      <c r="G22" s="1"/>
    </row>
    <row r="23" spans="1:25" ht="20.100000000000001" customHeight="1" x14ac:dyDescent="0.25">
      <c r="A23" s="17" t="str">
        <f>HYPERLINK("#'Constants - Livestock'!A1", "Constants - Livestock")</f>
        <v>Constants - Livestock</v>
      </c>
      <c r="D23" s="1" t="s">
        <v>6</v>
      </c>
      <c r="E23" s="41" t="s">
        <v>89</v>
      </c>
      <c r="F23" s="2" t="s">
        <v>8</v>
      </c>
    </row>
    <row r="24" spans="1:25" ht="20.100000000000001" customHeight="1" x14ac:dyDescent="0.25">
      <c r="A24" s="17" t="str">
        <f>HYPERLINK("#'Acknowledgements'!A1", "Acknowledgements")</f>
        <v>Acknowledgements</v>
      </c>
      <c r="D24" s="1" t="s">
        <v>36</v>
      </c>
      <c r="E24" s="34">
        <v>307.7</v>
      </c>
      <c r="F24" s="2" t="s">
        <v>50</v>
      </c>
    </row>
    <row r="25" spans="1:25" ht="20.100000000000001" customHeight="1" x14ac:dyDescent="0.25">
      <c r="A25" s="17" t="str">
        <f>HYPERLINK("#'Tab template'!A1", "Tab template")</f>
        <v>Tab template</v>
      </c>
      <c r="D25" s="1" t="s">
        <v>58</v>
      </c>
      <c r="E25" s="34">
        <v>18</v>
      </c>
      <c r="F25" s="2" t="s">
        <v>9</v>
      </c>
      <c r="N25" s="43"/>
    </row>
    <row r="26" spans="1:25" ht="20.100000000000001" customHeight="1" x14ac:dyDescent="0.25">
      <c r="A26"/>
      <c r="D26" s="1" t="s">
        <v>59</v>
      </c>
      <c r="E26" s="34">
        <v>601</v>
      </c>
      <c r="F26" s="2" t="s">
        <v>10</v>
      </c>
    </row>
    <row r="27" spans="1:25" ht="20.100000000000001" customHeight="1" x14ac:dyDescent="0.25">
      <c r="A27"/>
      <c r="D27" s="10" t="s">
        <v>60</v>
      </c>
      <c r="E27" s="34">
        <v>1326</v>
      </c>
      <c r="F27" s="2" t="s">
        <v>10</v>
      </c>
    </row>
    <row r="28" spans="1:25" ht="20.100000000000001" customHeight="1" x14ac:dyDescent="0.25">
      <c r="A28"/>
      <c r="D28" s="1" t="s">
        <v>61</v>
      </c>
      <c r="E28" s="34">
        <v>7</v>
      </c>
      <c r="F28" s="2" t="s">
        <v>51</v>
      </c>
    </row>
    <row r="29" spans="1:25" ht="20.100000000000001" customHeight="1" x14ac:dyDescent="0.25">
      <c r="A29"/>
      <c r="D29" s="10" t="s">
        <v>57</v>
      </c>
      <c r="E29" s="53">
        <f>X_Cell_Site_TotalRainfall/X_Cell_Site_PotentialEvapotranspiration</f>
        <v>0.45324283559577677</v>
      </c>
      <c r="F29" s="2"/>
    </row>
    <row r="30" spans="1:25" ht="20.100000000000001" customHeight="1" x14ac:dyDescent="0.25">
      <c r="A30"/>
      <c r="D30" s="10" t="s">
        <v>32</v>
      </c>
      <c r="E30" s="53" t="str">
        <f>Common_InputFunctions.Utility_LookupItemFromMinMax(X_Cell_Site_TotalRainfall,Table_SourceData_RainfallZones[Min rainfall],Table_SourceData_RainfallZones[Max rainfall],Table_SourceData_RainfallZones[Rainfall Zone])</f>
        <v>High rainfall</v>
      </c>
      <c r="G30" s="33"/>
      <c r="L30" s="50"/>
      <c r="M30" s="50"/>
      <c r="N30" s="50"/>
      <c r="O30" s="50"/>
      <c r="P30" s="50"/>
      <c r="Q30" s="50"/>
      <c r="R30" s="50"/>
      <c r="S30" s="50"/>
      <c r="T30" s="50"/>
      <c r="U30" s="50"/>
      <c r="V30" s="50"/>
      <c r="W30" s="50"/>
      <c r="X30" s="50"/>
      <c r="Y30" s="50"/>
    </row>
    <row r="31" spans="1:25" ht="20.100000000000001" customHeight="1" x14ac:dyDescent="0.25">
      <c r="A31"/>
      <c r="D31" s="1" t="s">
        <v>7</v>
      </c>
      <c r="E31" s="53" t="str">
        <f>Common_InputFunctions.Utility_GetClimateZone(X_Cell_Site_AverageTemperature,X_Cell_Site_TotalRainfall,X_Cell_Site_FrostDays,X_Cell_Site_Elevation,E29,Table_SourceData_ClimateZones[Min temp],Table_SourceData_ClimateZones[Max temp],Table_SourceData_ClimateZones[Min rainfall],Table_SourceData_ClimateZones[Max rainfall],Table_SourceData_ClimateZones[Min frost days],Table_SourceData_ClimateZones[Max frost days],Table_SourceData_ClimateZones[Min elevation],Table_SourceData_ClimateZones[Max elevation],Table_SourceData_ClimateZones[Min MAP:PET],Table_SourceData_ClimateZones[Max MAP:PET],Table_SourceData_ClimateZones[Climate zone])</f>
        <v>Warm temperate dry</v>
      </c>
      <c r="F31" s="1"/>
      <c r="G31" s="32"/>
      <c r="L31" s="48"/>
      <c r="M31" s="48"/>
      <c r="N31" s="48"/>
      <c r="O31" s="48"/>
      <c r="P31" s="48"/>
      <c r="Q31" s="48"/>
      <c r="R31" s="48"/>
      <c r="S31" s="48"/>
      <c r="T31" s="48"/>
      <c r="U31" s="48"/>
      <c r="V31" s="48"/>
      <c r="W31" s="48"/>
      <c r="X31" s="48"/>
      <c r="Y31" s="48"/>
    </row>
    <row r="32" spans="1:25" ht="20.100000000000001" customHeight="1" x14ac:dyDescent="0.25">
      <c r="A32"/>
      <c r="D32" s="1" t="s">
        <v>86</v>
      </c>
      <c r="E32" s="53" t="str">
        <f>Common_InputFunctions.Utility_LookupValueInTable($E$31,Table_SourceData_WetDryZones[Climate zone],Table_SourceData_WetDryZones[Wet or Dry Zone])</f>
        <v>Dry climate zone</v>
      </c>
      <c r="F32" s="1"/>
      <c r="G32" s="32"/>
      <c r="L32" s="48"/>
      <c r="M32" s="48"/>
      <c r="N32" s="48"/>
      <c r="O32" s="48"/>
      <c r="P32" s="48"/>
      <c r="Q32" s="48"/>
      <c r="R32" s="48"/>
      <c r="S32" s="48"/>
      <c r="T32" s="48"/>
      <c r="U32" s="48"/>
      <c r="V32" s="48"/>
      <c r="W32" s="48"/>
      <c r="X32" s="48"/>
      <c r="Y32" s="48"/>
    </row>
    <row r="33" spans="1:25" ht="20.100000000000001" customHeight="1" x14ac:dyDescent="0.25">
      <c r="A33"/>
      <c r="D33" s="1" t="s">
        <v>49</v>
      </c>
      <c r="E33" s="53" t="str">
        <f>Common_InputFunctions.Utility_LookupItemFromMinMax(X_Cell_Site_AverageTemperature,Table_SourceData_TemperatureZones[Min MAT],Table_SourceData_TemperatureZones[Max MAT],Table_SourceData_TemperatureZones[Temperature Zone])</f>
        <v>Temperate</v>
      </c>
      <c r="G33" s="70"/>
      <c r="L33" s="48"/>
      <c r="M33" s="48"/>
      <c r="N33" s="48"/>
      <c r="O33" s="48"/>
      <c r="P33" s="48"/>
      <c r="Q33" s="48"/>
      <c r="R33" s="48"/>
      <c r="S33" s="48"/>
      <c r="T33" s="48"/>
      <c r="U33" s="48"/>
      <c r="V33" s="48"/>
      <c r="W33" s="48"/>
      <c r="X33" s="48"/>
      <c r="Y33" s="48"/>
    </row>
    <row r="34" spans="1:25" ht="20.100000000000001" customHeight="1" x14ac:dyDescent="0.25">
      <c r="A34"/>
      <c r="J34" s="61"/>
      <c r="K34" s="73"/>
      <c r="L34" s="48"/>
      <c r="M34" s="48"/>
      <c r="N34" s="48"/>
      <c r="O34" s="48"/>
      <c r="P34" s="48"/>
      <c r="Q34" s="48"/>
      <c r="R34" s="48"/>
      <c r="S34" s="48"/>
      <c r="T34" s="48"/>
      <c r="U34" s="48"/>
      <c r="V34" s="48"/>
      <c r="W34" s="48"/>
      <c r="X34" s="48"/>
      <c r="Y34" s="48"/>
    </row>
    <row r="35" spans="1:25" ht="20.100000000000001" customHeight="1" x14ac:dyDescent="0.25">
      <c r="A35"/>
      <c r="J35" s="61"/>
      <c r="K35" s="73"/>
      <c r="L35" s="48"/>
      <c r="M35" s="48"/>
      <c r="N35" s="48"/>
      <c r="O35" s="48"/>
      <c r="P35" s="48"/>
      <c r="Q35" s="48"/>
      <c r="R35" s="48"/>
      <c r="S35" s="48"/>
      <c r="T35" s="48"/>
      <c r="U35" s="48"/>
      <c r="V35" s="48"/>
      <c r="W35" s="48"/>
      <c r="X35" s="48"/>
      <c r="Y35" s="48"/>
    </row>
    <row r="36" spans="1:25" ht="20.100000000000001" customHeight="1" x14ac:dyDescent="0.25">
      <c r="A36"/>
      <c r="D36" s="71"/>
      <c r="E36" s="71"/>
      <c r="F36" s="72"/>
      <c r="G36" s="61"/>
      <c r="H36" s="61"/>
      <c r="I36" s="62"/>
      <c r="J36" s="61"/>
      <c r="K36" s="73"/>
      <c r="L36" s="48"/>
      <c r="M36" s="48"/>
      <c r="N36" s="48"/>
      <c r="O36" s="48"/>
      <c r="P36" s="48"/>
      <c r="Q36" s="48"/>
      <c r="R36" s="48"/>
      <c r="S36" s="48"/>
      <c r="T36" s="48"/>
      <c r="U36" s="48"/>
      <c r="V36" s="48"/>
      <c r="W36" s="48"/>
      <c r="X36" s="48"/>
      <c r="Y36" s="48"/>
    </row>
    <row r="37" spans="1:25" ht="20.100000000000001" customHeight="1" x14ac:dyDescent="0.25">
      <c r="A37"/>
      <c r="D37" s="71"/>
      <c r="E37" s="71"/>
      <c r="F37" s="72"/>
      <c r="G37" s="61"/>
      <c r="H37" s="61"/>
      <c r="I37" s="62"/>
      <c r="J37" s="61"/>
      <c r="K37" s="73"/>
      <c r="L37" s="48"/>
      <c r="M37" s="48"/>
      <c r="N37" s="48"/>
      <c r="O37" s="48"/>
      <c r="P37" s="48"/>
      <c r="Q37" s="48"/>
      <c r="R37" s="48"/>
      <c r="S37" s="48"/>
      <c r="T37" s="48"/>
      <c r="U37" s="48"/>
      <c r="V37" s="48"/>
      <c r="W37" s="48"/>
      <c r="X37" s="48"/>
      <c r="Y37" s="48"/>
    </row>
    <row r="38" spans="1:25" ht="20.100000000000001" customHeight="1" x14ac:dyDescent="0.25">
      <c r="A38"/>
      <c r="D38" s="71"/>
      <c r="E38" s="71"/>
      <c r="F38" s="72"/>
      <c r="G38" s="61"/>
      <c r="H38" s="61"/>
      <c r="I38" s="62"/>
      <c r="J38" s="61"/>
      <c r="K38" s="73"/>
      <c r="L38" s="48"/>
      <c r="M38" s="48"/>
      <c r="N38" s="48"/>
      <c r="O38" s="48"/>
      <c r="P38" s="48"/>
      <c r="Q38" s="48"/>
      <c r="R38" s="48"/>
      <c r="S38" s="48"/>
      <c r="T38" s="48"/>
      <c r="U38" s="48"/>
      <c r="V38" s="48"/>
      <c r="W38" s="48"/>
      <c r="X38" s="48"/>
      <c r="Y38" s="48"/>
    </row>
    <row r="39" spans="1:25" ht="20.100000000000001" customHeight="1" x14ac:dyDescent="0.25">
      <c r="A39"/>
      <c r="D39" s="71"/>
      <c r="E39" s="71"/>
      <c r="F39" s="72"/>
      <c r="G39" s="61"/>
      <c r="H39" s="61"/>
      <c r="I39" s="62"/>
      <c r="J39" s="61"/>
      <c r="K39" s="73"/>
      <c r="L39" s="48"/>
      <c r="M39" s="48"/>
      <c r="N39" s="48"/>
      <c r="O39" s="48"/>
      <c r="P39" s="48"/>
      <c r="Q39" s="48"/>
      <c r="R39" s="48"/>
      <c r="S39" s="48"/>
      <c r="T39" s="48"/>
      <c r="U39" s="48"/>
      <c r="V39" s="48"/>
      <c r="W39" s="48"/>
      <c r="X39" s="48"/>
      <c r="Y39" s="48"/>
    </row>
    <row r="40" spans="1:25" ht="20.100000000000001" customHeight="1" x14ac:dyDescent="0.25">
      <c r="A40"/>
      <c r="D40" s="74"/>
      <c r="E40" s="74"/>
      <c r="F40" s="74"/>
      <c r="G40" s="75"/>
      <c r="H40" s="76"/>
      <c r="I40" s="76"/>
      <c r="J40" s="76"/>
      <c r="K40" s="76"/>
      <c r="L40" s="51"/>
      <c r="M40" s="51"/>
      <c r="N40" s="51"/>
      <c r="O40" s="51"/>
      <c r="P40" s="51"/>
      <c r="Q40" s="51"/>
      <c r="R40" s="51"/>
      <c r="S40" s="51"/>
      <c r="T40" s="51"/>
      <c r="U40" s="51"/>
      <c r="V40" s="51"/>
      <c r="W40" s="51"/>
      <c r="X40" s="51"/>
      <c r="Y40" s="51"/>
    </row>
    <row r="41" spans="1:25" ht="20.100000000000001" customHeight="1" x14ac:dyDescent="0.25">
      <c r="A41"/>
    </row>
    <row r="42" spans="1:25" ht="20.100000000000001" customHeight="1" x14ac:dyDescent="0.25">
      <c r="A42"/>
    </row>
    <row r="43" spans="1:25" ht="20.100000000000001" customHeight="1" x14ac:dyDescent="0.25">
      <c r="A43"/>
    </row>
    <row r="44" spans="1:25" ht="20.100000000000001" customHeight="1" x14ac:dyDescent="0.25">
      <c r="A44"/>
    </row>
    <row r="45" spans="1:25" ht="20.100000000000001" customHeight="1" x14ac:dyDescent="0.25">
      <c r="A45"/>
      <c r="D45" s="6"/>
    </row>
    <row r="46" spans="1:25" ht="20.100000000000001" customHeight="1" x14ac:dyDescent="0.25">
      <c r="A46"/>
      <c r="D46" s="22"/>
    </row>
    <row r="47" spans="1:25" ht="20.100000000000001" customHeight="1" x14ac:dyDescent="0.25">
      <c r="A47"/>
      <c r="D47" s="77"/>
      <c r="E47" s="77"/>
      <c r="F47" s="77"/>
      <c r="G47" s="77"/>
      <c r="H47" s="77"/>
    </row>
    <row r="48" spans="1:25" ht="20.100000000000001" customHeight="1" x14ac:dyDescent="0.25">
      <c r="A48"/>
      <c r="D48" s="35"/>
      <c r="E48" s="35"/>
      <c r="F48" s="36"/>
      <c r="G48" s="36"/>
      <c r="H48" s="35"/>
    </row>
    <row r="49" spans="1:8" ht="20.100000000000001" customHeight="1" x14ac:dyDescent="0.25">
      <c r="A49"/>
      <c r="D49" s="35"/>
      <c r="E49" s="35"/>
      <c r="F49" s="36"/>
      <c r="G49" s="36"/>
      <c r="H49" s="35"/>
    </row>
    <row r="50" spans="1:8" ht="20.100000000000001" customHeight="1" x14ac:dyDescent="0.25">
      <c r="A50"/>
      <c r="D50" s="35"/>
      <c r="E50" s="35"/>
      <c r="F50" s="36"/>
      <c r="G50" s="36"/>
      <c r="H50" s="35"/>
    </row>
    <row r="51" spans="1:8" ht="20.100000000000001" customHeight="1" x14ac:dyDescent="0.25">
      <c r="A51"/>
      <c r="D51" s="78"/>
      <c r="E51" s="79"/>
      <c r="F51" s="79"/>
      <c r="G51" s="79"/>
      <c r="H51" s="80"/>
    </row>
    <row r="52" spans="1:8" ht="20.100000000000001" customHeight="1" x14ac:dyDescent="0.25">
      <c r="A52"/>
    </row>
    <row r="53" spans="1:8" ht="20.100000000000001" customHeight="1" x14ac:dyDescent="0.25">
      <c r="A53"/>
    </row>
    <row r="54" spans="1:8" ht="20.100000000000001" customHeight="1" x14ac:dyDescent="0.25">
      <c r="A54"/>
      <c r="G54" s="81"/>
    </row>
    <row r="55" spans="1:8" ht="20.100000000000001" customHeight="1" x14ac:dyDescent="0.25">
      <c r="A55"/>
      <c r="D55" s="6"/>
    </row>
    <row r="56" spans="1:8" ht="20.100000000000001" customHeight="1" x14ac:dyDescent="0.25">
      <c r="A56"/>
    </row>
    <row r="57" spans="1:8" ht="20.100000000000001" customHeight="1" x14ac:dyDescent="0.25">
      <c r="A57"/>
      <c r="D57" s="22"/>
      <c r="F57" s="82"/>
    </row>
    <row r="58" spans="1:8" ht="20.100000000000001" customHeight="1" x14ac:dyDescent="0.25">
      <c r="A58"/>
      <c r="D58" s="1"/>
      <c r="E58" s="83"/>
    </row>
    <row r="59" spans="1:8" ht="20.100000000000001" customHeight="1" x14ac:dyDescent="0.25">
      <c r="A59"/>
      <c r="D59" s="1"/>
      <c r="E59" s="83"/>
    </row>
    <row r="60" spans="1:8" ht="20.100000000000001" customHeight="1" x14ac:dyDescent="0.25">
      <c r="A60"/>
      <c r="D60" s="1"/>
      <c r="E60" s="84"/>
    </row>
    <row r="61" spans="1:8" ht="20.100000000000001" customHeight="1" x14ac:dyDescent="0.25">
      <c r="A61"/>
      <c r="D61" s="1"/>
    </row>
    <row r="62" spans="1:8" ht="20.100000000000001" customHeight="1" x14ac:dyDescent="0.25">
      <c r="A62"/>
    </row>
    <row r="63" spans="1:8" ht="20.100000000000001" customHeight="1" x14ac:dyDescent="0.25">
      <c r="A63"/>
      <c r="D63" s="22"/>
    </row>
    <row r="64" spans="1:8" ht="20.100000000000001" customHeight="1" x14ac:dyDescent="0.25">
      <c r="A64"/>
      <c r="D64" s="1"/>
      <c r="E64" s="83"/>
    </row>
    <row r="65" spans="1:9" ht="20.100000000000001" customHeight="1" x14ac:dyDescent="0.25">
      <c r="A65"/>
      <c r="D65" s="1"/>
      <c r="E65" s="83"/>
    </row>
    <row r="66" spans="1:9" ht="20.100000000000001" customHeight="1" x14ac:dyDescent="0.25">
      <c r="A66"/>
      <c r="D66" s="1"/>
      <c r="E66" s="84"/>
    </row>
    <row r="67" spans="1:9" ht="20.100000000000001" customHeight="1" x14ac:dyDescent="0.25">
      <c r="A67"/>
    </row>
    <row r="68" spans="1:9" ht="20.100000000000001" customHeight="1" x14ac:dyDescent="0.25">
      <c r="A68"/>
    </row>
    <row r="69" spans="1:9" ht="20.100000000000001" customHeight="1" x14ac:dyDescent="0.25">
      <c r="A69"/>
      <c r="D69" s="60"/>
      <c r="E69" s="60"/>
      <c r="F69" s="60"/>
      <c r="G69" s="60"/>
      <c r="H69" s="60"/>
      <c r="I69" s="60"/>
    </row>
    <row r="70" spans="1:9" ht="20.100000000000001" customHeight="1" x14ac:dyDescent="0.25">
      <c r="A70"/>
      <c r="D70" s="60"/>
      <c r="E70" s="60"/>
      <c r="F70" s="60"/>
      <c r="G70" s="60"/>
      <c r="H70" s="60"/>
      <c r="I70" s="60"/>
    </row>
    <row r="71" spans="1:9" ht="20.100000000000001" customHeight="1" x14ac:dyDescent="0.25">
      <c r="A71"/>
      <c r="D71" s="60"/>
      <c r="E71" s="60"/>
      <c r="F71" s="60"/>
      <c r="G71" s="60"/>
      <c r="H71" s="60"/>
      <c r="I71" s="60"/>
    </row>
    <row r="72" spans="1:9" ht="20.100000000000001" customHeight="1" x14ac:dyDescent="0.25">
      <c r="A72"/>
      <c r="D72" s="60"/>
      <c r="E72" s="60"/>
      <c r="F72" s="60"/>
      <c r="G72" s="60"/>
      <c r="H72" s="60"/>
      <c r="I72" s="60"/>
    </row>
    <row r="73" spans="1:9" ht="20.100000000000001" customHeight="1" x14ac:dyDescent="0.25">
      <c r="A73"/>
    </row>
    <row r="74" spans="1:9" ht="20.100000000000001" customHeight="1" x14ac:dyDescent="0.25">
      <c r="A74"/>
    </row>
    <row r="75" spans="1:9" ht="20.100000000000001" customHeight="1" x14ac:dyDescent="0.25">
      <c r="A75"/>
    </row>
    <row r="76" spans="1:9" ht="20.100000000000001" customHeight="1" x14ac:dyDescent="0.25">
      <c r="A76"/>
    </row>
    <row r="77" spans="1:9" ht="20.100000000000001" customHeight="1" x14ac:dyDescent="0.25">
      <c r="A77"/>
    </row>
    <row r="78" spans="1:9" ht="20.100000000000001" customHeight="1" x14ac:dyDescent="0.25">
      <c r="A78"/>
      <c r="D78" s="85"/>
    </row>
    <row r="79" spans="1:9" ht="20.100000000000001" customHeight="1" x14ac:dyDescent="0.25">
      <c r="A79"/>
      <c r="D79" s="85"/>
    </row>
    <row r="80" spans="1:9" ht="20.100000000000001" customHeight="1" x14ac:dyDescent="0.25">
      <c r="A80"/>
      <c r="D80" s="85"/>
    </row>
    <row r="81" spans="1:4" ht="20.100000000000001" customHeight="1" x14ac:dyDescent="0.25">
      <c r="A81"/>
      <c r="D81" s="85"/>
    </row>
    <row r="82" spans="1:4" ht="20.100000000000001" customHeight="1" x14ac:dyDescent="0.25">
      <c r="A82"/>
      <c r="D82" s="85"/>
    </row>
    <row r="83" spans="1:4" ht="20.100000000000001" customHeight="1" x14ac:dyDescent="0.25">
      <c r="A83"/>
    </row>
    <row r="84" spans="1:4" ht="20.100000000000001" customHeight="1" x14ac:dyDescent="0.25">
      <c r="A84"/>
    </row>
    <row r="85" spans="1:4" ht="20.100000000000001" customHeight="1" x14ac:dyDescent="0.25">
      <c r="A85"/>
    </row>
    <row r="86" spans="1:4" ht="20.100000000000001" customHeight="1" x14ac:dyDescent="0.25">
      <c r="A86"/>
    </row>
    <row r="87" spans="1:4" ht="20.100000000000001" customHeight="1" x14ac:dyDescent="0.25">
      <c r="A87"/>
    </row>
    <row r="88" spans="1:4" ht="20.100000000000001" customHeight="1" x14ac:dyDescent="0.25">
      <c r="A88"/>
    </row>
    <row r="89" spans="1:4" ht="20.100000000000001" customHeight="1" x14ac:dyDescent="0.25">
      <c r="A89"/>
    </row>
    <row r="90" spans="1:4" ht="20.100000000000001" customHeight="1" x14ac:dyDescent="0.25">
      <c r="A90"/>
    </row>
    <row r="91" spans="1:4" ht="20.100000000000001" customHeight="1" x14ac:dyDescent="0.25">
      <c r="A91"/>
    </row>
    <row r="92" spans="1:4" ht="20.100000000000001" customHeight="1" x14ac:dyDescent="0.25">
      <c r="A92"/>
    </row>
    <row r="93" spans="1:4" ht="20.100000000000001" customHeight="1" x14ac:dyDescent="0.25">
      <c r="A93"/>
    </row>
    <row r="94" spans="1:4" ht="20.100000000000001" customHeight="1" x14ac:dyDescent="0.25">
      <c r="A94"/>
    </row>
    <row r="95" spans="1:4" ht="20.100000000000001" customHeight="1" x14ac:dyDescent="0.25">
      <c r="A95"/>
    </row>
    <row r="96" spans="1:4" ht="20.100000000000001" customHeight="1" x14ac:dyDescent="0.25">
      <c r="A96"/>
    </row>
    <row r="97" spans="1:1" ht="20.100000000000001" customHeight="1" x14ac:dyDescent="0.25">
      <c r="A97"/>
    </row>
    <row r="98" spans="1:1" ht="20.100000000000001" customHeight="1" x14ac:dyDescent="0.25">
      <c r="A98"/>
    </row>
    <row r="99" spans="1:1" ht="20.100000000000001" customHeight="1" x14ac:dyDescent="0.25">
      <c r="A99"/>
    </row>
    <row r="100" spans="1:1" ht="20.100000000000001" customHeight="1" x14ac:dyDescent="0.25">
      <c r="A100"/>
    </row>
    <row r="101" spans="1:1" ht="20.100000000000001" customHeight="1" x14ac:dyDescent="0.25">
      <c r="A101"/>
    </row>
    <row r="102" spans="1:1" ht="20.100000000000001" customHeight="1" x14ac:dyDescent="0.25">
      <c r="A102"/>
    </row>
    <row r="103" spans="1:1" ht="20.100000000000001" customHeight="1" x14ac:dyDescent="0.25">
      <c r="A103"/>
    </row>
    <row r="104" spans="1:1" ht="20.100000000000001" customHeight="1" x14ac:dyDescent="0.25">
      <c r="A104"/>
    </row>
    <row r="105" spans="1:1" ht="20.100000000000001" customHeight="1" x14ac:dyDescent="0.25">
      <c r="A105"/>
    </row>
    <row r="106" spans="1:1" ht="20.100000000000001" customHeight="1" x14ac:dyDescent="0.25">
      <c r="A106"/>
    </row>
    <row r="107" spans="1:1" ht="20.100000000000001" customHeight="1" x14ac:dyDescent="0.25">
      <c r="A107"/>
    </row>
    <row r="108" spans="1:1" ht="20.100000000000001" customHeight="1" x14ac:dyDescent="0.25">
      <c r="A108"/>
    </row>
    <row r="109" spans="1:1" ht="20.100000000000001" customHeight="1" x14ac:dyDescent="0.25">
      <c r="A109"/>
    </row>
    <row r="110" spans="1:1" ht="20.100000000000001" customHeight="1" x14ac:dyDescent="0.25">
      <c r="A110"/>
    </row>
    <row r="111" spans="1:1" ht="20.100000000000001" customHeight="1" x14ac:dyDescent="0.25">
      <c r="A111"/>
    </row>
    <row r="112" spans="1:1" ht="20.100000000000001" customHeight="1" x14ac:dyDescent="0.25">
      <c r="A112"/>
    </row>
    <row r="113" spans="1:1" ht="20.100000000000001" customHeight="1" x14ac:dyDescent="0.25">
      <c r="A113"/>
    </row>
    <row r="114" spans="1:1" ht="20.100000000000001" customHeight="1" x14ac:dyDescent="0.25">
      <c r="A114"/>
    </row>
    <row r="115" spans="1:1" ht="20.100000000000001" customHeight="1" x14ac:dyDescent="0.25">
      <c r="A115"/>
    </row>
    <row r="116" spans="1:1" x14ac:dyDescent="0.25">
      <c r="A116"/>
    </row>
    <row r="117" spans="1:1" x14ac:dyDescent="0.25">
      <c r="A117"/>
    </row>
    <row r="118" spans="1:1" x14ac:dyDescent="0.25">
      <c r="A118"/>
    </row>
    <row r="119" spans="1:1" x14ac:dyDescent="0.25">
      <c r="A119"/>
    </row>
    <row r="120" spans="1:1" x14ac:dyDescent="0.25">
      <c r="A120"/>
    </row>
    <row r="121" spans="1:1" x14ac:dyDescent="0.25">
      <c r="A121"/>
    </row>
    <row r="122" spans="1:1" x14ac:dyDescent="0.25">
      <c r="A122"/>
    </row>
    <row r="123" spans="1:1" x14ac:dyDescent="0.25">
      <c r="A123"/>
    </row>
    <row r="124" spans="1:1" x14ac:dyDescent="0.25">
      <c r="A124"/>
    </row>
    <row r="125" spans="1:1" x14ac:dyDescent="0.25">
      <c r="A125"/>
    </row>
    <row r="126" spans="1:1" x14ac:dyDescent="0.25">
      <c r="A126"/>
    </row>
    <row r="127" spans="1:1" x14ac:dyDescent="0.25">
      <c r="A127"/>
    </row>
    <row r="128" spans="1:1" x14ac:dyDescent="0.25">
      <c r="A128"/>
    </row>
    <row r="129" spans="1:1" x14ac:dyDescent="0.25">
      <c r="A129"/>
    </row>
    <row r="130" spans="1:1" x14ac:dyDescent="0.25">
      <c r="A130"/>
    </row>
    <row r="131" spans="1:1" x14ac:dyDescent="0.25">
      <c r="A131"/>
    </row>
    <row r="132" spans="1:1" x14ac:dyDescent="0.25">
      <c r="A132"/>
    </row>
    <row r="133" spans="1:1" x14ac:dyDescent="0.25">
      <c r="A133"/>
    </row>
    <row r="134" spans="1:1" x14ac:dyDescent="0.25">
      <c r="A134"/>
    </row>
    <row r="135" spans="1:1" x14ac:dyDescent="0.25">
      <c r="A135"/>
    </row>
    <row r="136" spans="1:1" x14ac:dyDescent="0.25">
      <c r="A136"/>
    </row>
    <row r="137" spans="1:1" x14ac:dyDescent="0.25">
      <c r="A137"/>
    </row>
    <row r="138" spans="1:1" x14ac:dyDescent="0.25">
      <c r="A138"/>
    </row>
    <row r="139" spans="1:1" x14ac:dyDescent="0.25">
      <c r="A139"/>
    </row>
    <row r="140" spans="1:1" x14ac:dyDescent="0.25">
      <c r="A140"/>
    </row>
    <row r="141" spans="1:1" x14ac:dyDescent="0.25">
      <c r="A141"/>
    </row>
    <row r="142" spans="1:1" x14ac:dyDescent="0.25">
      <c r="A142"/>
    </row>
    <row r="143" spans="1:1" x14ac:dyDescent="0.25">
      <c r="A143"/>
    </row>
    <row r="144" spans="1:1" x14ac:dyDescent="0.25">
      <c r="A144"/>
    </row>
    <row r="145" spans="1:1" x14ac:dyDescent="0.25">
      <c r="A145"/>
    </row>
    <row r="146" spans="1:1" x14ac:dyDescent="0.25">
      <c r="A146"/>
    </row>
    <row r="147" spans="1:1" x14ac:dyDescent="0.25">
      <c r="A147"/>
    </row>
    <row r="148" spans="1:1" x14ac:dyDescent="0.25">
      <c r="A148"/>
    </row>
    <row r="149" spans="1:1" x14ac:dyDescent="0.25">
      <c r="A149"/>
    </row>
    <row r="150" spans="1:1" x14ac:dyDescent="0.25">
      <c r="A150"/>
    </row>
    <row r="151" spans="1:1" x14ac:dyDescent="0.25">
      <c r="A151"/>
    </row>
    <row r="152" spans="1:1" x14ac:dyDescent="0.25">
      <c r="A152"/>
    </row>
    <row r="153" spans="1:1" x14ac:dyDescent="0.25">
      <c r="A153"/>
    </row>
    <row r="154" spans="1:1" x14ac:dyDescent="0.25">
      <c r="A154"/>
    </row>
    <row r="155" spans="1:1" x14ac:dyDescent="0.25">
      <c r="A155"/>
    </row>
    <row r="156" spans="1:1" x14ac:dyDescent="0.25">
      <c r="A156"/>
    </row>
    <row r="157" spans="1:1" x14ac:dyDescent="0.25">
      <c r="A157"/>
    </row>
    <row r="158" spans="1:1" x14ac:dyDescent="0.25">
      <c r="A158"/>
    </row>
    <row r="159" spans="1:1" x14ac:dyDescent="0.25">
      <c r="A159"/>
    </row>
    <row r="160" spans="1:1" x14ac:dyDescent="0.25">
      <c r="A160"/>
    </row>
  </sheetData>
  <phoneticPr fontId="23" type="noConversion"/>
  <dataValidations count="4">
    <dataValidation type="list" allowBlank="1" showInputMessage="1" showErrorMessage="1" sqref="E21" xr:uid="{EEB98A76-93AC-411B-869F-680047BF5E1B}">
      <formula1>INDIRECT("Table_AustralianStates[Common Name]")</formula1>
    </dataValidation>
    <dataValidation type="list" allowBlank="1" showInputMessage="1" showErrorMessage="1" sqref="E22" xr:uid="{FEE229DB-9316-4962-B647-60038C54E99D}">
      <formula1>INDIRECT("Table_WASA4Areas[SA 4 Name]")</formula1>
    </dataValidation>
    <dataValidation type="list" allowBlank="1" showInputMessage="1" showErrorMessage="1" sqref="G36:G39" xr:uid="{1FAF98F1-BA66-4A46-872C-02D4419DFE3B}">
      <formula1>$D$41:$D$43</formula1>
    </dataValidation>
    <dataValidation type="list" allowBlank="1" showInputMessage="1" showErrorMessage="1" sqref="E23" xr:uid="{43B32D4A-5C2C-46E9-876B-6F8FA150486E}">
      <formula1>"YES - In leaching zone, NO - Not in leaching zone"</formula1>
    </dataValidation>
  </dataValidations>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C610A2-02A7-4F78-A2BB-B4DFE856D1FB}">
  <dimension ref="A1:U165"/>
  <sheetViews>
    <sheetView showGridLines="0" topLeftCell="A7" zoomScaleNormal="100" workbookViewId="0">
      <selection activeCell="A25" sqref="A25"/>
    </sheetView>
  </sheetViews>
  <sheetFormatPr defaultRowHeight="15.75" x14ac:dyDescent="0.25"/>
  <cols>
    <col min="1" max="1" width="30.7109375" customWidth="1"/>
    <col min="2" max="2" width="4.7109375" customWidth="1"/>
    <col min="3" max="3" width="4.7109375" style="1" customWidth="1"/>
    <col min="4" max="4" width="62.5703125" style="1" customWidth="1"/>
    <col min="5" max="7" width="30.7109375" style="1" customWidth="1"/>
    <col min="8" max="8" width="12.7109375" style="1" customWidth="1"/>
    <col min="9" max="11" width="30.7109375" style="1" customWidth="1"/>
    <col min="12" max="12" width="4.7109375" style="1" customWidth="1"/>
    <col min="13" max="13" width="4.7109375" customWidth="1"/>
    <col min="14" max="14" width="4.7109375" style="57" customWidth="1"/>
    <col min="15" max="20" width="30.7109375" style="57" customWidth="1"/>
    <col min="21" max="21" width="4.7109375" style="57" customWidth="1"/>
  </cols>
  <sheetData>
    <row r="1" spans="1:21" s="66" customFormat="1" ht="30" customHeight="1" x14ac:dyDescent="0.35">
      <c r="A1" s="66" t="e" vm="1">
        <v>#VALUE!</v>
      </c>
      <c r="C1" s="66" t="s">
        <v>100</v>
      </c>
      <c r="N1" s="57"/>
      <c r="O1" s="57"/>
      <c r="P1" s="57"/>
      <c r="Q1" s="57"/>
      <c r="R1" s="57"/>
      <c r="S1" s="57"/>
      <c r="T1" s="57"/>
      <c r="U1" s="57"/>
    </row>
    <row r="2" spans="1:21" s="9" customFormat="1" ht="20.100000000000001" customHeight="1" x14ac:dyDescent="0.25">
      <c r="A2"/>
      <c r="N2" s="57"/>
      <c r="O2" s="57"/>
      <c r="P2" s="57"/>
      <c r="Q2" s="57"/>
      <c r="R2" s="57"/>
      <c r="S2" s="57"/>
      <c r="T2" s="57"/>
      <c r="U2" s="57"/>
    </row>
    <row r="3" spans="1:21" ht="20.100000000000001" customHeight="1" x14ac:dyDescent="0.25">
      <c r="A3" s="17" t="str">
        <f>HYPERLINK("#'Home'!A1", "Home")</f>
        <v>Home</v>
      </c>
      <c r="C3" s="15"/>
      <c r="D3" s="15"/>
      <c r="E3" s="15"/>
      <c r="F3" s="15"/>
      <c r="G3" s="15"/>
      <c r="H3" s="15"/>
      <c r="I3" s="15"/>
      <c r="J3" s="15"/>
      <c r="K3" s="15"/>
      <c r="L3" s="15"/>
    </row>
    <row r="4" spans="1:21" ht="20.100000000000001" customHeight="1" x14ac:dyDescent="0.25">
      <c r="A4" s="17" t="str">
        <f>HYPERLINK("#'Overview'!A1", "Overview")</f>
        <v>Overview</v>
      </c>
    </row>
    <row r="5" spans="1:21" ht="20.100000000000001" customHeight="1" x14ac:dyDescent="0.25">
      <c r="A5" s="17" t="str">
        <f>HYPERLINK("#'Results'!A1", "Results")</f>
        <v>Results</v>
      </c>
      <c r="D5" s="6" t="s">
        <v>112</v>
      </c>
    </row>
    <row r="6" spans="1:21" ht="20.100000000000001" customHeight="1" x14ac:dyDescent="0.25"/>
    <row r="7" spans="1:21" ht="20.100000000000001" customHeight="1" x14ac:dyDescent="0.25">
      <c r="D7" s="63"/>
      <c r="E7" s="40" t="s">
        <v>131</v>
      </c>
      <c r="F7" s="40" t="s">
        <v>132</v>
      </c>
      <c r="G7" s="40" t="s">
        <v>133</v>
      </c>
    </row>
    <row r="8" spans="1:21" ht="20.100000000000001" customHeight="1" x14ac:dyDescent="0.25">
      <c r="A8" s="19" t="s">
        <v>0</v>
      </c>
      <c r="D8" s="1" t="str">
        <f>"Average number of head between " &amp; TEXT(X_Cell_Site_StartDate, "dd mmm yy") &amp; " and " &amp; TEXT('Input - Site'!$E$13, "dd mmm yy")</f>
        <v>Average number of head between 01 Jan 24 and 31 Dec 24</v>
      </c>
      <c r="E8" s="102">
        <v>1000</v>
      </c>
      <c r="F8" s="102">
        <v>1000</v>
      </c>
      <c r="G8" s="102">
        <v>1000</v>
      </c>
      <c r="H8" s="2" t="s">
        <v>114</v>
      </c>
      <c r="I8" s="2"/>
      <c r="J8" s="2"/>
      <c r="K8" s="2"/>
    </row>
    <row r="9" spans="1:21" ht="20.100000000000001" customHeight="1" x14ac:dyDescent="0.25">
      <c r="A9" s="17" t="str">
        <f>HYPERLINK("#'Input - Site'!A1", "Site")</f>
        <v>Site</v>
      </c>
      <c r="D9" s="1" t="str">
        <f>"Average duration of stay between " &amp; TEXT(X_Cell_Site_StartDate, "dd mmm yy") &amp; " and " &amp; TEXT('Input - Site'!$E$13, "dd mmm yy")</f>
        <v>Average duration of stay between 01 Jan 24 and 31 Dec 24</v>
      </c>
      <c r="E9" s="102">
        <v>90</v>
      </c>
      <c r="F9" s="102">
        <v>140</v>
      </c>
      <c r="G9" s="102">
        <v>250</v>
      </c>
      <c r="H9" s="2" t="s">
        <v>316</v>
      </c>
      <c r="I9" s="2"/>
      <c r="J9" s="2"/>
      <c r="K9" s="2"/>
    </row>
    <row r="10" spans="1:21" ht="20.100000000000001" customHeight="1" x14ac:dyDescent="0.25">
      <c r="A10" s="20" t="str">
        <f>HYPERLINK("#'Input - Feedlot'!A1", "Feedlot")</f>
        <v>Feedlot</v>
      </c>
    </row>
    <row r="11" spans="1:21" ht="20.100000000000001" customHeight="1" x14ac:dyDescent="0.25">
      <c r="D11" s="6" t="s">
        <v>96</v>
      </c>
    </row>
    <row r="12" spans="1:21" ht="20.100000000000001" customHeight="1" x14ac:dyDescent="0.25"/>
    <row r="13" spans="1:21" ht="20.100000000000001" customHeight="1" x14ac:dyDescent="0.25">
      <c r="A13" s="18" t="s">
        <v>71</v>
      </c>
      <c r="D13" s="63" t="s">
        <v>290</v>
      </c>
      <c r="E13" s="40" t="s">
        <v>131</v>
      </c>
      <c r="F13" s="40" t="s">
        <v>132</v>
      </c>
      <c r="G13" s="40" t="s">
        <v>133</v>
      </c>
    </row>
    <row r="14" spans="1:21" ht="20.100000000000001" customHeight="1" x14ac:dyDescent="0.25">
      <c r="A14" s="17" t="str">
        <f>HYPERLINK("#'4.1.1.1-2 Methane'!A1", "4.1.1.1-2 Methane")</f>
        <v>4.1.1.1-2 Methane</v>
      </c>
      <c r="D14" s="1" t="s">
        <v>137</v>
      </c>
      <c r="E14" s="53" cm="1">
        <f t="array" ref="E14">_xlfn.XLOOKUP(1, (Table_SourceData_Feedlot_AnimalCharacteristics[Feedlot type] = E$13) * (Table_SourceData_Feedlot_AnimalCharacteristics[Characteristic] = $D$14), Table_SourceData_Feedlot_AnimalCharacteristics[2020-2023], "Not Found")</f>
        <v>10.4</v>
      </c>
      <c r="F14" s="53" cm="1">
        <f t="array" ref="F14">_xlfn.XLOOKUP(1, (Table_SourceData_Feedlot_AnimalCharacteristics[Feedlot type] = F$13) * (Table_SourceData_Feedlot_AnimalCharacteristics[Characteristic] = $D$14), Table_SourceData_Feedlot_AnimalCharacteristics[2020-2023], "Not Found")</f>
        <v>10.8</v>
      </c>
      <c r="G14" s="53" cm="1">
        <f t="array" ref="G14">_xlfn.XLOOKUP(1, (Table_SourceData_Feedlot_AnimalCharacteristics[Feedlot type] = G$13) * (Table_SourceData_Feedlot_AnimalCharacteristics[Characteristic] = $D$14), Table_SourceData_Feedlot_AnimalCharacteristics[2020-2023], "Not Found")</f>
        <v>8.1999999999999993</v>
      </c>
      <c r="H14" s="2" t="s">
        <v>101</v>
      </c>
      <c r="I14" s="2"/>
      <c r="J14" s="2"/>
      <c r="K14" s="2"/>
    </row>
    <row r="15" spans="1:21" ht="20.100000000000001" customHeight="1" x14ac:dyDescent="0.25">
      <c r="A15" s="17" t="str">
        <f>HYPERLINK("#'4.1.1.3-4 Direct N20'!A1", "4.1.1.3-4 Direct N20")</f>
        <v>4.1.1.3-4 Direct N20</v>
      </c>
      <c r="D15" s="1" t="s">
        <v>15</v>
      </c>
      <c r="E15" s="53" cm="1">
        <f t="array" ref="E15">_xlfn.XLOOKUP(1, (Table_SourceData_Feedlot_DietProperties[Feedlot type] = E$13) * (Table_SourceData_Feedlot_DietProperties[Nutrient analysis] = $D$15), Table_SourceData_Feedlot_DietProperties[2020-2023 Converted to fraction], "Not Found")</f>
        <v>0.81</v>
      </c>
      <c r="F15" s="53" cm="1">
        <f t="array" ref="F15">_xlfn.XLOOKUP(1, (Table_SourceData_Feedlot_DietProperties[Feedlot type] = F$13) * (Table_SourceData_Feedlot_DietProperties[Nutrient analysis] = $D$15), Table_SourceData_Feedlot_DietProperties[2020-2023 Converted to fraction], "Not Found")</f>
        <v>0.81</v>
      </c>
      <c r="G15" s="53" cm="1">
        <f t="array" ref="G15">_xlfn.XLOOKUP(1, (Table_SourceData_Feedlot_DietProperties[Feedlot type] = G$13) * (Table_SourceData_Feedlot_DietProperties[Nutrient analysis] = $D$15), Table_SourceData_Feedlot_DietProperties[2020-2023 Converted to fraction], "Not Found")</f>
        <v>0.81</v>
      </c>
      <c r="H15" s="2" t="s">
        <v>317</v>
      </c>
      <c r="I15" s="2"/>
      <c r="J15" s="2"/>
      <c r="K15" s="2"/>
    </row>
    <row r="16" spans="1:21" ht="20.100000000000001" customHeight="1" x14ac:dyDescent="0.25">
      <c r="A16" s="17" t="str">
        <f>HYPERLINK("#'4.1.1.5-6 Atmos Deposition'!A1", "4.1.1.5-6 Atmos Deposition")</f>
        <v>4.1.1.5-6 Atmos Deposition</v>
      </c>
      <c r="D16" s="1" t="s">
        <v>124</v>
      </c>
      <c r="E16" s="53" cm="1">
        <f t="array" ref="E16">_xlfn.XLOOKUP(1, (Table_SourceData_Feedlot_DietProperties[Feedlot type] = E$13) * (Table_SourceData_Feedlot_DietProperties[Nutrient analysis] = $D$16), Table_SourceData_Feedlot_DietProperties[2020-2023 Converted to fraction], "Not Found")</f>
        <v>0.14000000000000001</v>
      </c>
      <c r="F16" s="53" cm="1">
        <f t="array" ref="F16">_xlfn.XLOOKUP(1, (Table_SourceData_Feedlot_DietProperties[Feedlot type] = F$13) * (Table_SourceData_Feedlot_DietProperties[Nutrient analysis] = $D$16), Table_SourceData_Feedlot_DietProperties[2020-2023 Converted to fraction], "Not Found")</f>
        <v>0.12</v>
      </c>
      <c r="G16" s="53" cm="1">
        <f t="array" ref="G16">_xlfn.XLOOKUP(1, (Table_SourceData_Feedlot_DietProperties[Feedlot type] = G$13) * (Table_SourceData_Feedlot_DietProperties[Nutrient analysis] = $D$16), Table_SourceData_Feedlot_DietProperties[2020-2023 Converted to fraction], "Not Found")</f>
        <v>0.12</v>
      </c>
      <c r="H16" s="2" t="s">
        <v>317</v>
      </c>
      <c r="I16" s="2"/>
      <c r="J16" s="2"/>
      <c r="K16" s="2"/>
    </row>
    <row r="17" spans="1:11" ht="20.100000000000001" customHeight="1" x14ac:dyDescent="0.25">
      <c r="A17" s="17" t="str">
        <f>HYPERLINK("#'4.1.1.9 Manure applied to soils'!A1", "4.1.1.9 Manure applied to soils")</f>
        <v>4.1.1.9 Manure applied to soils</v>
      </c>
      <c r="D17" s="1" t="s">
        <v>141</v>
      </c>
      <c r="E17" s="53" cm="1">
        <f t="array" ref="E17">_xlfn.XLOOKUP(1, (Table_SourceData_Feedlot_AnimalCharacteristics[Feedlot type] = E$13) * (Table_SourceData_Feedlot_AnimalCharacteristics[Characteristic] = $D$17), Table_SourceData_Feedlot_AnimalCharacteristics[2020-2023], "Not Found")</f>
        <v>20.399999999999999</v>
      </c>
      <c r="F17" s="53" cm="1">
        <f t="array" ref="F17">_xlfn.XLOOKUP(1, (Table_SourceData_Feedlot_AnimalCharacteristics[Feedlot type] = F$13) * (Table_SourceData_Feedlot_AnimalCharacteristics[Characteristic] = $D$17), Table_SourceData_Feedlot_AnimalCharacteristics[2020-2023], "Not Found")</f>
        <v>12.7</v>
      </c>
      <c r="G17" s="53" cm="1">
        <f t="array" ref="G17">_xlfn.XLOOKUP(1, (Table_SourceData_Feedlot_AnimalCharacteristics[Feedlot type] = G$13) * (Table_SourceData_Feedlot_AnimalCharacteristics[Characteristic] = $D$17), Table_SourceData_Feedlot_AnimalCharacteristics[2020-2023], "Not Found")</f>
        <v>7</v>
      </c>
      <c r="H17" s="2" t="s">
        <v>319</v>
      </c>
      <c r="I17" s="2"/>
      <c r="J17" s="2"/>
      <c r="K17" s="2"/>
    </row>
    <row r="18" spans="1:11" ht="20.100000000000001" customHeight="1" x14ac:dyDescent="0.25"/>
    <row r="19" spans="1:11" ht="20.100000000000001" customHeight="1" x14ac:dyDescent="0.25">
      <c r="D19" s="63" t="s">
        <v>291</v>
      </c>
      <c r="E19" s="40" t="s">
        <v>131</v>
      </c>
      <c r="F19" s="40" t="s">
        <v>132</v>
      </c>
      <c r="G19" s="40" t="s">
        <v>133</v>
      </c>
    </row>
    <row r="20" spans="1:11" ht="20.100000000000001" customHeight="1" x14ac:dyDescent="0.25">
      <c r="A20" s="145" t="s">
        <v>1</v>
      </c>
      <c r="D20" s="1" t="s">
        <v>137</v>
      </c>
      <c r="E20" s="65" cm="1">
        <f t="array" ref="E20">_xlfn.XLOOKUP(1, (Table_SourceData_Feedlot_AnimalCharacteristics[Feedlot type] = E$19) * (Table_SourceData_Feedlot_AnimalCharacteristics[Characteristic] = $D$20), Table_SourceData_Feedlot_AnimalCharacteristics[2020-2023], "Not Found")</f>
        <v>10.4</v>
      </c>
      <c r="F20" s="65" cm="1">
        <f t="array" ref="F20">_xlfn.XLOOKUP(1, (Table_SourceData_Feedlot_AnimalCharacteristics[Feedlot type] = F$19) * (Table_SourceData_Feedlot_AnimalCharacteristics[Characteristic] = $D$20), Table_SourceData_Feedlot_AnimalCharacteristics[2020-2023], "Not Found")</f>
        <v>10.8</v>
      </c>
      <c r="G20" s="65" cm="1">
        <f t="array" ref="G20">_xlfn.XLOOKUP(1, (Table_SourceData_Feedlot_AnimalCharacteristics[Feedlot type] = G$19) * (Table_SourceData_Feedlot_AnimalCharacteristics[Characteristic] = $D$20), Table_SourceData_Feedlot_AnimalCharacteristics[2020-2023], "Not Found")</f>
        <v>8.1999999999999993</v>
      </c>
      <c r="H20" s="2" t="s">
        <v>101</v>
      </c>
      <c r="I20" s="2"/>
      <c r="J20" s="2"/>
      <c r="K20" s="2"/>
    </row>
    <row r="21" spans="1:11" ht="20.100000000000001" customHeight="1" x14ac:dyDescent="0.25">
      <c r="A21" s="17" t="str">
        <f>HYPERLINK("#'Constants - Feedlot'!A1", "Constants - Feedlot")</f>
        <v>Constants - Feedlot</v>
      </c>
      <c r="D21" s="1" t="s">
        <v>15</v>
      </c>
      <c r="E21" s="65" cm="1">
        <f t="array" ref="E21">_xlfn.XLOOKUP(1, (Table_SourceData_Feedlot_DietProperties[Feedlot type] = E$19) * (Table_SourceData_Feedlot_DietProperties[Nutrient analysis] = $D$21), Table_SourceData_Feedlot_DietProperties[2020-2023 Converted to fraction], "Not Found")</f>
        <v>0.81</v>
      </c>
      <c r="F21" s="65" cm="1">
        <f t="array" ref="F21">_xlfn.XLOOKUP(1, (Table_SourceData_Feedlot_DietProperties[Feedlot type] = F$19) * (Table_SourceData_Feedlot_DietProperties[Nutrient analysis] = $D$21), Table_SourceData_Feedlot_DietProperties[2020-2023 Converted to fraction], "Not Found")</f>
        <v>0.81</v>
      </c>
      <c r="G21" s="65" cm="1">
        <f t="array" ref="G21">_xlfn.XLOOKUP(1, (Table_SourceData_Feedlot_DietProperties[Feedlot type] = G$19) * (Table_SourceData_Feedlot_DietProperties[Nutrient analysis] = $D$21), Table_SourceData_Feedlot_DietProperties[2020-2023 Converted to fraction], "Not Found")</f>
        <v>0.81</v>
      </c>
      <c r="H21" s="2" t="s">
        <v>317</v>
      </c>
      <c r="I21" s="2"/>
      <c r="J21" s="2"/>
      <c r="K21" s="2"/>
    </row>
    <row r="22" spans="1:11" ht="20.100000000000001" customHeight="1" x14ac:dyDescent="0.25">
      <c r="A22" s="17" t="str">
        <f>HYPERLINK("#'Constants - Common'!A1", "Constants - Common")</f>
        <v>Constants - Common</v>
      </c>
      <c r="D22" s="1" t="s">
        <v>124</v>
      </c>
      <c r="E22" s="65" cm="1">
        <f t="array" ref="E22">_xlfn.XLOOKUP(1, (Table_SourceData_Feedlot_DietProperties[Feedlot type] = E$19) * (Table_SourceData_Feedlot_DietProperties[Nutrient analysis] = $D$22), Table_SourceData_Feedlot_DietProperties[2020-2023 Converted to fraction], "Not Found")</f>
        <v>0.14000000000000001</v>
      </c>
      <c r="F22" s="65" cm="1">
        <f t="array" ref="F22">_xlfn.XLOOKUP(1, (Table_SourceData_Feedlot_DietProperties[Feedlot type] = F$19) * (Table_SourceData_Feedlot_DietProperties[Nutrient analysis] = $D$22), Table_SourceData_Feedlot_DietProperties[2020-2023 Converted to fraction], "Not Found")</f>
        <v>0.12</v>
      </c>
      <c r="G22" s="65" cm="1">
        <f t="array" ref="G22">_xlfn.XLOOKUP(1, (Table_SourceData_Feedlot_DietProperties[Feedlot type] = G$19) * (Table_SourceData_Feedlot_DietProperties[Nutrient analysis] = $D$22), Table_SourceData_Feedlot_DietProperties[2020-2023 Converted to fraction], "Not Found")</f>
        <v>0.12</v>
      </c>
      <c r="H22" s="2" t="s">
        <v>317</v>
      </c>
      <c r="I22" s="2"/>
      <c r="J22" s="2"/>
      <c r="K22" s="2"/>
    </row>
    <row r="23" spans="1:11" ht="20.100000000000001" customHeight="1" x14ac:dyDescent="0.25">
      <c r="A23" s="17" t="str">
        <f>HYPERLINK("#'Constants - Livestock'!A1", "Constants - Livestock")</f>
        <v>Constants - Livestock</v>
      </c>
      <c r="D23" s="1" t="s">
        <v>141</v>
      </c>
      <c r="E23" s="65" cm="1">
        <f t="array" ref="E23">_xlfn.XLOOKUP(1, (Table_SourceData_Feedlot_AnimalCharacteristics[Feedlot type] = E$19) * (Table_SourceData_Feedlot_AnimalCharacteristics[Characteristic] = $D$23), Table_SourceData_Feedlot_AnimalCharacteristics[2020-2023], "Not Found")</f>
        <v>20.399999999999999</v>
      </c>
      <c r="F23" s="65" cm="1">
        <f t="array" ref="F23">_xlfn.XLOOKUP(1, (Table_SourceData_Feedlot_AnimalCharacteristics[Feedlot type] = F$19) * (Table_SourceData_Feedlot_AnimalCharacteristics[Characteristic] = $D$23), Table_SourceData_Feedlot_AnimalCharacteristics[2020-2023], "Not Found")</f>
        <v>12.7</v>
      </c>
      <c r="G23" s="65" cm="1">
        <f t="array" ref="G23">_xlfn.XLOOKUP(1, (Table_SourceData_Feedlot_AnimalCharacteristics[Feedlot type] = G$19) * (Table_SourceData_Feedlot_AnimalCharacteristics[Characteristic] = $D$23), Table_SourceData_Feedlot_AnimalCharacteristics[2020-2023], "Not Found")</f>
        <v>7</v>
      </c>
      <c r="H23" s="2" t="s">
        <v>319</v>
      </c>
      <c r="I23" s="2"/>
      <c r="J23" s="2"/>
      <c r="K23" s="2"/>
    </row>
    <row r="24" spans="1:11" ht="20.100000000000001" customHeight="1" x14ac:dyDescent="0.25">
      <c r="A24" s="17" t="str">
        <f>HYPERLINK("#'Acknowledgements'!A1", "Acknowledgements")</f>
        <v>Acknowledgements</v>
      </c>
    </row>
    <row r="25" spans="1:11" ht="20.100000000000001" customHeight="1" x14ac:dyDescent="0.25">
      <c r="A25" s="17" t="str">
        <f>HYPERLINK("#'Tab template'!A1", "Tab template")</f>
        <v>Tab template</v>
      </c>
      <c r="D25" s="6" t="s">
        <v>105</v>
      </c>
    </row>
    <row r="26" spans="1:11" ht="20.100000000000001" customHeight="1" x14ac:dyDescent="0.25"/>
    <row r="27" spans="1:11" ht="20.100000000000001" customHeight="1" x14ac:dyDescent="0.25">
      <c r="D27" s="63" t="s">
        <v>99</v>
      </c>
      <c r="E27" s="96" t="s">
        <v>131</v>
      </c>
      <c r="F27" s="96" t="s">
        <v>132</v>
      </c>
      <c r="G27" s="96" t="s">
        <v>133</v>
      </c>
    </row>
    <row r="28" spans="1:11" ht="20.100000000000001" customHeight="1" x14ac:dyDescent="0.25">
      <c r="D28" s="130" t="s">
        <v>94</v>
      </c>
      <c r="E28" s="97">
        <v>1</v>
      </c>
      <c r="F28" s="97">
        <v>1</v>
      </c>
      <c r="G28" s="97">
        <v>1</v>
      </c>
      <c r="H28" s="2" t="s">
        <v>318</v>
      </c>
      <c r="I28" s="2"/>
      <c r="J28" s="2"/>
      <c r="K28" s="2"/>
    </row>
    <row r="29" spans="1:11" ht="20.100000000000001" customHeight="1" x14ac:dyDescent="0.25">
      <c r="D29" s="127" t="s">
        <v>310</v>
      </c>
    </row>
    <row r="30" spans="1:11" ht="20.100000000000001" customHeight="1" x14ac:dyDescent="0.25">
      <c r="D30" s="128" t="s">
        <v>95</v>
      </c>
      <c r="E30" s="96" t="s">
        <v>131</v>
      </c>
      <c r="F30" s="96" t="s">
        <v>132</v>
      </c>
      <c r="G30" s="96" t="s">
        <v>133</v>
      </c>
      <c r="H30" s="133" t="s">
        <v>314</v>
      </c>
      <c r="I30" s="63" t="s">
        <v>321</v>
      </c>
      <c r="J30" s="63"/>
      <c r="K30" s="63"/>
    </row>
    <row r="31" spans="1:11" ht="20.100000000000001" customHeight="1" x14ac:dyDescent="0.25">
      <c r="D31" s="131" t="str">
        <f>"From Stage 1: " &amp; $D$28 &amp; " to:"</f>
        <v>From Stage 1: Drylot (feed pad) to:</v>
      </c>
      <c r="E31" s="56"/>
      <c r="I31" s="121" t="s">
        <v>311</v>
      </c>
      <c r="J31" s="121" t="s">
        <v>312</v>
      </c>
      <c r="K31" s="121" t="s">
        <v>313</v>
      </c>
    </row>
    <row r="32" spans="1:11" ht="20.100000000000001" customHeight="1" x14ac:dyDescent="0.25">
      <c r="D32" s="132" t="str">
        <f>'Constants - Feedlot'!D29</f>
        <v>Solid storage</v>
      </c>
      <c r="E32" s="47">
        <v>0.2</v>
      </c>
      <c r="F32" s="47">
        <v>0.2</v>
      </c>
      <c r="G32" s="47">
        <v>0.2</v>
      </c>
      <c r="H32" s="2" t="s">
        <v>318</v>
      </c>
      <c r="I32" s="47">
        <v>0.25</v>
      </c>
      <c r="J32" s="47">
        <v>0.25</v>
      </c>
      <c r="K32" s="97">
        <f t="shared" ref="K32:K34" si="0">1-SUM(I32:J32)</f>
        <v>0.5</v>
      </c>
    </row>
    <row r="33" spans="4:11" ht="20.100000000000001" customHeight="1" x14ac:dyDescent="0.25">
      <c r="D33" s="132" t="str">
        <f>'Constants - Feedlot'!D30</f>
        <v>Composting (passive windrow)</v>
      </c>
      <c r="E33" s="47">
        <v>0.2</v>
      </c>
      <c r="F33" s="47">
        <v>0.2</v>
      </c>
      <c r="G33" s="47">
        <v>0.2</v>
      </c>
      <c r="H33" s="2" t="s">
        <v>318</v>
      </c>
      <c r="I33" s="47">
        <v>0.25</v>
      </c>
      <c r="J33" s="47">
        <v>0.25</v>
      </c>
      <c r="K33" s="97">
        <f t="shared" si="0"/>
        <v>0.5</v>
      </c>
    </row>
    <row r="34" spans="4:11" ht="20.100000000000001" customHeight="1" x14ac:dyDescent="0.25">
      <c r="D34" s="132" t="s">
        <v>309</v>
      </c>
      <c r="E34" s="97">
        <f>1-SUM(E32, E33)</f>
        <v>0.6</v>
      </c>
      <c r="F34" s="97">
        <f t="shared" ref="F34:G34" si="1">1-SUM(F32, F33)</f>
        <v>0.6</v>
      </c>
      <c r="G34" s="97">
        <f t="shared" si="1"/>
        <v>0.6</v>
      </c>
      <c r="H34" s="2" t="s">
        <v>318</v>
      </c>
      <c r="I34" s="97">
        <v>0</v>
      </c>
      <c r="J34" s="97">
        <v>0</v>
      </c>
      <c r="K34" s="97">
        <f t="shared" si="0"/>
        <v>1</v>
      </c>
    </row>
    <row r="35" spans="4:11" ht="20.100000000000001" customHeight="1" x14ac:dyDescent="0.25"/>
    <row r="36" spans="4:11" ht="20.100000000000001" customHeight="1" x14ac:dyDescent="0.25">
      <c r="D36" s="129" t="s">
        <v>110</v>
      </c>
      <c r="E36" s="96" t="s">
        <v>131</v>
      </c>
      <c r="F36" s="96" t="s">
        <v>132</v>
      </c>
      <c r="G36" s="96" t="s">
        <v>133</v>
      </c>
      <c r="H36" s="133" t="s">
        <v>314</v>
      </c>
      <c r="I36" s="63" t="s">
        <v>320</v>
      </c>
      <c r="J36" s="63"/>
      <c r="K36" s="63"/>
    </row>
    <row r="37" spans="4:11" ht="20.100000000000001" customHeight="1" x14ac:dyDescent="0.25">
      <c r="D37" s="131" t="str">
        <f>"From Stage 1: " &amp; $D$28 &amp; " to:"</f>
        <v>From Stage 1: Drylot (feed pad) to:</v>
      </c>
      <c r="I37" s="121" t="s">
        <v>311</v>
      </c>
      <c r="J37" s="121" t="s">
        <v>312</v>
      </c>
      <c r="K37" s="121" t="s">
        <v>313</v>
      </c>
    </row>
    <row r="38" spans="4:11" ht="20.100000000000001" customHeight="1" x14ac:dyDescent="0.25">
      <c r="D38" s="132" t="str">
        <f>'Constants - Feedlot'!$D$32</f>
        <v>Anaerobic lagoon</v>
      </c>
      <c r="E38" s="97">
        <f>SourceData_Feedlot_MMSm1T3_Data</f>
        <v>0.02</v>
      </c>
      <c r="F38" s="97">
        <f>SourceData_Feedlot_MMSm1T3_Data</f>
        <v>0.02</v>
      </c>
      <c r="G38" s="97">
        <f>SourceData_Feedlot_MMSm1T3_Data</f>
        <v>0.02</v>
      </c>
      <c r="H38" s="2" t="s">
        <v>318</v>
      </c>
      <c r="I38" s="47">
        <v>0.25</v>
      </c>
      <c r="J38" s="47">
        <v>0.25</v>
      </c>
      <c r="K38" s="97">
        <f>1-SUM(I38:J38)</f>
        <v>0.5</v>
      </c>
    </row>
    <row r="39" spans="4:11" ht="20.100000000000001" customHeight="1" x14ac:dyDescent="0.25"/>
    <row r="40" spans="4:11" ht="20.100000000000001" customHeight="1" x14ac:dyDescent="0.25"/>
    <row r="41" spans="4:11" ht="20.100000000000001" customHeight="1" x14ac:dyDescent="0.25">
      <c r="D41" s="1" t="s">
        <v>297</v>
      </c>
      <c r="E41" s="41" t="s">
        <v>265</v>
      </c>
      <c r="F41" s="2" t="s">
        <v>8</v>
      </c>
    </row>
    <row r="42" spans="4:11" ht="20.100000000000001" customHeight="1" x14ac:dyDescent="0.25">
      <c r="E42" s="41" t="s">
        <v>269</v>
      </c>
      <c r="F42" s="2" t="s">
        <v>8</v>
      </c>
    </row>
    <row r="43" spans="4:11" ht="20.100000000000001" customHeight="1" x14ac:dyDescent="0.25">
      <c r="I43" s="2"/>
      <c r="J43" s="2"/>
      <c r="K43" s="2"/>
    </row>
    <row r="44" spans="4:11" ht="20.100000000000001" customHeight="1" x14ac:dyDescent="0.25">
      <c r="I44" s="2"/>
      <c r="J44" s="2"/>
      <c r="K44" s="2"/>
    </row>
    <row r="45" spans="4:11" ht="20.100000000000001" customHeight="1" x14ac:dyDescent="0.25">
      <c r="I45" s="2"/>
      <c r="J45" s="2"/>
      <c r="K45" s="2"/>
    </row>
    <row r="46" spans="4:11" ht="20.100000000000001" customHeight="1" x14ac:dyDescent="0.25"/>
    <row r="47" spans="4:11" ht="20.100000000000001" customHeight="1" x14ac:dyDescent="0.25"/>
    <row r="48" spans="4:11" ht="20.100000000000001" customHeight="1" x14ac:dyDescent="0.25"/>
    <row r="49" spans="4:11" ht="20.100000000000001" customHeight="1" x14ac:dyDescent="0.25">
      <c r="I49" s="2"/>
      <c r="J49" s="2"/>
      <c r="K49" s="2"/>
    </row>
    <row r="50" spans="4:11" ht="20.100000000000001" customHeight="1" x14ac:dyDescent="0.25">
      <c r="I50" s="2"/>
      <c r="J50" s="2"/>
      <c r="K50" s="2"/>
    </row>
    <row r="51" spans="4:11" ht="20.100000000000001" customHeight="1" x14ac:dyDescent="0.25">
      <c r="I51" s="2"/>
      <c r="J51" s="2"/>
      <c r="K51" s="2"/>
    </row>
    <row r="52" spans="4:11" ht="20.100000000000001" customHeight="1" x14ac:dyDescent="0.25"/>
    <row r="53" spans="4:11" ht="20.100000000000001" customHeight="1" x14ac:dyDescent="0.25"/>
    <row r="54" spans="4:11" ht="20.100000000000001" customHeight="1" x14ac:dyDescent="0.25">
      <c r="I54" s="2"/>
      <c r="J54" s="2"/>
      <c r="K54" s="2"/>
    </row>
    <row r="55" spans="4:11" ht="20.100000000000001" customHeight="1" x14ac:dyDescent="0.25">
      <c r="I55" s="2"/>
      <c r="J55" s="2"/>
      <c r="K55" s="2"/>
    </row>
    <row r="56" spans="4:11" ht="20.100000000000001" customHeight="1" x14ac:dyDescent="0.25">
      <c r="I56" s="2"/>
      <c r="J56" s="2"/>
      <c r="K56" s="2"/>
    </row>
    <row r="57" spans="4:11" ht="20.100000000000001" customHeight="1" x14ac:dyDescent="0.25">
      <c r="D57" s="109"/>
    </row>
    <row r="58" spans="4:11" ht="20.100000000000001" customHeight="1" x14ac:dyDescent="0.25"/>
    <row r="59" spans="4:11" ht="20.100000000000001" customHeight="1" x14ac:dyDescent="0.25"/>
    <row r="60" spans="4:11" ht="20.100000000000001" customHeight="1" x14ac:dyDescent="0.25"/>
    <row r="61" spans="4:11" ht="20.100000000000001" customHeight="1" x14ac:dyDescent="0.25"/>
    <row r="62" spans="4:11" ht="20.100000000000001" customHeight="1" x14ac:dyDescent="0.25"/>
    <row r="63" spans="4:11" ht="20.100000000000001" customHeight="1" x14ac:dyDescent="0.25"/>
    <row r="64" spans="4:11"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dataValidations count="4">
    <dataValidation type="whole" operator="equal" allowBlank="1" showInputMessage="1" showErrorMessage="1" sqref="E28:G28" xr:uid="{AD2F5710-950E-4169-B1DB-B494F727C0BB}">
      <formula1>1</formula1>
    </dataValidation>
    <dataValidation operator="equal" allowBlank="1" showInputMessage="1" showErrorMessage="1" sqref="E38:G38" xr:uid="{C4745536-8208-45E9-8F7A-99B1E2C94379}"/>
    <dataValidation type="list" allowBlank="1" showInputMessage="1" showErrorMessage="1" sqref="E41" xr:uid="{AF94BFC8-A9BD-4286-932B-111409BF1EB6}">
      <formula1>INDIRECT("Table_SourceData_Feedlot_CropProdSystems[Production system]")</formula1>
    </dataValidation>
    <dataValidation type="list" allowBlank="1" showInputMessage="1" showErrorMessage="1" sqref="E42" xr:uid="{20E9D9A1-CABD-46A5-B149-02F06B30AA0E}">
      <formula1>INDIRECT("Table_SourceData_Feedlot_IrrigationMethods[Irrigation method]")</formula1>
    </dataValidation>
  </dataValidations>
  <pageMargins left="0.7" right="0.7" top="0.75" bottom="0.75" header="0.3" footer="0.3"/>
  <pageSetup paperSize="9"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FC1CB6-2463-438A-90A4-6F54247DF8D8}">
  <dimension ref="A1:S183"/>
  <sheetViews>
    <sheetView showGridLines="0" topLeftCell="A65" zoomScaleNormal="100" workbookViewId="0">
      <selection activeCell="A25" sqref="A25"/>
    </sheetView>
  </sheetViews>
  <sheetFormatPr defaultRowHeight="15.75" x14ac:dyDescent="0.25"/>
  <cols>
    <col min="1" max="1" width="30.7109375" customWidth="1"/>
    <col min="2" max="2" width="4.7109375" customWidth="1"/>
    <col min="3" max="3" width="4.7109375" style="1" customWidth="1"/>
    <col min="4" max="9" width="30.7109375" style="1" customWidth="1"/>
    <col min="10" max="10" width="4.7109375" style="1" customWidth="1"/>
    <col min="11" max="11" width="4.7109375" customWidth="1"/>
    <col min="12" max="12" width="4.7109375" style="1" customWidth="1"/>
    <col min="13" max="18" width="30.7109375" style="1" customWidth="1"/>
    <col min="19" max="19" width="4.7109375" style="1" customWidth="1"/>
  </cols>
  <sheetData>
    <row r="1" spans="1:19" s="8" customFormat="1" ht="30" customHeight="1" x14ac:dyDescent="0.35">
      <c r="A1" s="66" t="e" vm="1">
        <v>#VALUE!</v>
      </c>
      <c r="C1" s="8" t="s">
        <v>252</v>
      </c>
    </row>
    <row r="2" spans="1:19" s="9" customFormat="1" ht="20.100000000000001" customHeight="1" x14ac:dyDescent="0.25">
      <c r="A2"/>
    </row>
    <row r="3" spans="1:19" ht="20.100000000000001" customHeight="1" x14ac:dyDescent="0.25">
      <c r="A3" s="17" t="str">
        <f>HYPERLINK("#'Home'!A1", "Home")</f>
        <v>Home</v>
      </c>
      <c r="C3" s="4"/>
      <c r="D3" s="4" t="s">
        <v>152</v>
      </c>
      <c r="E3" s="4"/>
      <c r="F3" s="4"/>
      <c r="G3" s="4"/>
      <c r="H3" s="4"/>
      <c r="I3" s="4"/>
      <c r="J3" s="4"/>
      <c r="L3" s="4"/>
      <c r="M3" s="4" t="s">
        <v>153</v>
      </c>
      <c r="N3" s="4"/>
      <c r="O3" s="4"/>
      <c r="P3" s="4"/>
      <c r="Q3" s="4"/>
      <c r="R3" s="4"/>
      <c r="S3" s="4"/>
    </row>
    <row r="4" spans="1:19" ht="20.100000000000001" customHeight="1" x14ac:dyDescent="0.25">
      <c r="A4" s="17" t="str">
        <f>HYPERLINK("#'Overview'!A1", "Overview")</f>
        <v>Overview</v>
      </c>
    </row>
    <row r="5" spans="1:19" ht="20.100000000000001" customHeight="1" x14ac:dyDescent="0.25">
      <c r="A5" s="17" t="str">
        <f>HYPERLINK("#'Results'!A1", "Results")</f>
        <v>Results</v>
      </c>
      <c r="D5" s="6" t="str" cm="1">
        <f t="array" ref="D5">MMS_Feedlot_Methane_Equations.VEERG_4_1_1_1__5_VolatileSolidProduction_Title()</f>
        <v>Volatile solid production</v>
      </c>
    </row>
    <row r="6" spans="1:19" ht="20.100000000000001" customHeight="1" x14ac:dyDescent="0.25">
      <c r="D6" s="5" t="str" cm="1">
        <f t="array" ref="D6">MMS_Feedlot_Methane_Equations.VEERG_4_1_1_1__5_VolatileSolidProduction_Source()</f>
        <v>VEERG 2026: 4.1.1.1, Equation (5)</v>
      </c>
    </row>
    <row r="7" spans="1:19" ht="20.100000000000001" customHeight="1" x14ac:dyDescent="0.25">
      <c r="D7" s="13" t="s">
        <v>23</v>
      </c>
      <c r="E7" s="13" t="str" cm="1">
        <f t="array" aca="1" ref="E7" ca="1">Common_InputFunctions.Utility_DisplayFunctionName(D30)</f>
        <v>=MMS_Feedlot_Methane_Equations.VEERG_4_1_1_1__5_VolatileSolidProduction</v>
      </c>
    </row>
    <row r="8" spans="1:19" ht="20.100000000000001" customHeight="1" x14ac:dyDescent="0.25">
      <c r="A8" s="19" t="s">
        <v>0</v>
      </c>
    </row>
    <row r="9" spans="1:19" ht="20.100000000000001" customHeight="1" x14ac:dyDescent="0.25">
      <c r="A9" s="17" t="str">
        <f>HYPERLINK("#'Input - Site'!A1", "Site")</f>
        <v>Site</v>
      </c>
    </row>
    <row r="10" spans="1:19" ht="20.100000000000001" customHeight="1" x14ac:dyDescent="0.25">
      <c r="A10" s="17" t="str">
        <f>HYPERLINK("#'Input - Feedlot'!A1", "Feedlot")</f>
        <v>Feedlot</v>
      </c>
      <c r="D10" s="54" t="s">
        <v>26</v>
      </c>
      <c r="E10" s="1" t="str" cm="1">
        <f t="array" ref="E10">MMS_Feedlot_Methane_Equations.VEERG_4_1_1_1__5_VolatileSolidProduction_Variable()</f>
        <v>VS_j</v>
      </c>
    </row>
    <row r="11" spans="1:19" ht="20.100000000000001" customHeight="1" x14ac:dyDescent="0.25">
      <c r="D11" s="54" t="s">
        <v>16</v>
      </c>
      <c r="E11" s="55" t="str" cm="1">
        <f t="array" ref="E11">MMS_Feedlot_Methane_Equations.VEERG_4_1_1_1__5_VolatileSolidProduction_Unit()</f>
        <v>kg/head/day</v>
      </c>
    </row>
    <row r="12" spans="1:19" ht="20.100000000000001" customHeight="1" x14ac:dyDescent="0.25"/>
    <row r="13" spans="1:19" ht="20.100000000000001" customHeight="1" x14ac:dyDescent="0.25">
      <c r="A13" s="18" t="s">
        <v>71</v>
      </c>
      <c r="D13" s="134" t="str" cm="1">
        <f t="array" ref="D13:G15">MMS_Feedlot_Methane_Equations.VEERG_4_1_1_1__5_VolatileSolidProduction_Arguments()</f>
        <v>I_j</v>
      </c>
      <c r="E13" s="134" t="str">
        <v>dry matter intake for each group j</v>
      </c>
      <c r="F13" s="134" t="str">
        <v>kg DM/head/day</v>
      </c>
      <c r="G13" s="125" t="str">
        <v>Input</v>
      </c>
      <c r="H13" s="135" t="str" cm="1">
        <f t="array" aca="1" ref="H13" ca="1">HYPERLINK(Common_InputFunctions.Utility_SourceHyperlink($D$17),$D$17)</f>
        <v>M1_Table_I_j</v>
      </c>
    </row>
    <row r="14" spans="1:19" ht="20.100000000000001" customHeight="1" x14ac:dyDescent="0.25">
      <c r="A14" s="21" t="str">
        <f>HYPERLINK("#'4.1.1.1-2 Methane'!A1", "4.1.1.1-2 Methane")</f>
        <v>4.1.1.1-2 Methane</v>
      </c>
      <c r="D14" s="134" t="str">
        <v>DMD_j</v>
      </c>
      <c r="E14" s="134" t="str">
        <v>dry matter digestibility for each group j</v>
      </c>
      <c r="F14" s="134" t="str">
        <v>fraction</v>
      </c>
      <c r="G14" s="125" t="str">
        <v>Input</v>
      </c>
      <c r="H14" s="135" t="str" cm="1">
        <f t="array" aca="1" ref="H14" ca="1">HYPERLINK(Common_InputFunctions.Utility_SourceHyperlink($D$22),$D$22)</f>
        <v>M1_Table_DMD_j</v>
      </c>
    </row>
    <row r="15" spans="1:19" ht="20.100000000000001" customHeight="1" x14ac:dyDescent="0.25">
      <c r="A15" s="17" t="str">
        <f>HYPERLINK("#'4.1.1.3-4 Direct N20'!A1", "4.1.1.3-4 Direct N20")</f>
        <v>4.1.1.3-4 Direct N20</v>
      </c>
      <c r="D15" s="134" t="str">
        <v>A</v>
      </c>
      <c r="E15" s="134" t="str">
        <v>ash content of manure</v>
      </c>
      <c r="F15" s="134" t="str">
        <v>fraction</v>
      </c>
      <c r="G15" s="126" t="str">
        <v>Constant</v>
      </c>
      <c r="H15" s="134">
        <f>SourceData_Feedlot_AshContent_Data</f>
        <v>0.16</v>
      </c>
    </row>
    <row r="16" spans="1:19" ht="20.100000000000001" customHeight="1" x14ac:dyDescent="0.25">
      <c r="A16" s="17" t="str">
        <f>HYPERLINK("#'4.1.1.5-6 Atmos Deposition'!A1", "4.1.1.5-6 Atmos Deposition")</f>
        <v>4.1.1.5-6 Atmos Deposition</v>
      </c>
    </row>
    <row r="17" spans="1:16" ht="20.100000000000001" customHeight="1" x14ac:dyDescent="0.25">
      <c r="A17" s="17" t="str">
        <f>HYPERLINK("#'4.1.1.9 Manure applied to soils'!A1", "4.1.1.9 Manure applied to soils")</f>
        <v>4.1.1.9 Manure applied to soils</v>
      </c>
      <c r="D17" s="100" t="s">
        <v>142</v>
      </c>
      <c r="M17" s="100" t="s">
        <v>145</v>
      </c>
    </row>
    <row r="18" spans="1:16" ht="20.100000000000001" customHeight="1" x14ac:dyDescent="0.25">
      <c r="D18" s="99" t="s">
        <v>189</v>
      </c>
      <c r="M18" s="99" t="s">
        <v>190</v>
      </c>
    </row>
    <row r="19" spans="1:16" ht="20.100000000000001" customHeight="1" x14ac:dyDescent="0.25">
      <c r="D19" s="40" t="s">
        <v>131</v>
      </c>
      <c r="E19" s="40" t="s">
        <v>132</v>
      </c>
      <c r="F19" s="40" t="s">
        <v>133</v>
      </c>
      <c r="M19" s="40" t="s">
        <v>131</v>
      </c>
      <c r="N19" s="40" t="s">
        <v>132</v>
      </c>
      <c r="O19" s="40" t="s">
        <v>133</v>
      </c>
    </row>
    <row r="20" spans="1:16" ht="20.100000000000001" customHeight="1" x14ac:dyDescent="0.25">
      <c r="A20" s="145" t="s">
        <v>1</v>
      </c>
      <c r="D20" s="53" cm="1">
        <f t="array" aca="1" ref="D20:F20" ca="1">OFFSET(X_Table_Feedlot_Intake_Method1, 1, 1, 1, 3)</f>
        <v>10.4</v>
      </c>
      <c r="E20" s="53">
        <f ca="1"/>
        <v>10.8</v>
      </c>
      <c r="F20" s="53">
        <f ca="1"/>
        <v>8.1999999999999993</v>
      </c>
      <c r="G20" s="2" t="s">
        <v>97</v>
      </c>
      <c r="M20" s="53" cm="1">
        <f t="array" aca="1" ref="M20:O20" ca="1">OFFSET(X_Table_Feedlot_Intake_Method2, 1, 1, 1, 3)</f>
        <v>10.4</v>
      </c>
      <c r="N20" s="53">
        <f ca="1"/>
        <v>10.8</v>
      </c>
      <c r="O20" s="53">
        <f ca="1"/>
        <v>8.1999999999999993</v>
      </c>
      <c r="P20" s="2" t="s">
        <v>97</v>
      </c>
    </row>
    <row r="21" spans="1:16" ht="20.100000000000001" customHeight="1" x14ac:dyDescent="0.25">
      <c r="A21" s="17" t="str">
        <f>HYPERLINK("#'Constants - Feedlot'!A1", "Constants - Feedlot")</f>
        <v>Constants - Feedlot</v>
      </c>
    </row>
    <row r="22" spans="1:16" ht="20.100000000000001" customHeight="1" x14ac:dyDescent="0.25">
      <c r="A22" s="17" t="str">
        <f>HYPERLINK("#'Constants - Common'!A1", "Constants - Common")</f>
        <v>Constants - Common</v>
      </c>
      <c r="D22" s="100" t="s">
        <v>193</v>
      </c>
      <c r="M22" s="100" t="s">
        <v>197</v>
      </c>
    </row>
    <row r="23" spans="1:16" ht="20.100000000000001" customHeight="1" x14ac:dyDescent="0.25">
      <c r="A23" s="17" t="str">
        <f>HYPERLINK("#'Constants - Livestock'!A1", "Constants - Livestock")</f>
        <v>Constants - Livestock</v>
      </c>
      <c r="D23" s="99" t="s">
        <v>196</v>
      </c>
      <c r="M23" s="99" t="s">
        <v>347</v>
      </c>
    </row>
    <row r="24" spans="1:16" ht="20.100000000000001" customHeight="1" x14ac:dyDescent="0.25">
      <c r="A24" s="17" t="str">
        <f>HYPERLINK("#'Acknowledgements'!A1", "Acknowledgements")</f>
        <v>Acknowledgements</v>
      </c>
      <c r="D24" s="40" t="s">
        <v>131</v>
      </c>
      <c r="E24" s="40" t="s">
        <v>132</v>
      </c>
      <c r="F24" s="40" t="s">
        <v>133</v>
      </c>
      <c r="M24" s="40" t="s">
        <v>131</v>
      </c>
      <c r="N24" s="40" t="s">
        <v>132</v>
      </c>
      <c r="O24" s="40" t="s">
        <v>133</v>
      </c>
    </row>
    <row r="25" spans="1:16" ht="20.100000000000001" customHeight="1" x14ac:dyDescent="0.25">
      <c r="A25" s="17" t="str">
        <f>HYPERLINK("#'Tab template'!A1", "Tab template")</f>
        <v>Tab template</v>
      </c>
      <c r="D25" s="53" cm="1">
        <f t="array" aca="1" ref="D25:F25" ca="1">OFFSET(X_Table_Feedlot_Intake_Method1, 2, 1, 1, 3)</f>
        <v>0.81</v>
      </c>
      <c r="E25" s="53">
        <f ca="1"/>
        <v>0.81</v>
      </c>
      <c r="F25" s="53">
        <f ca="1"/>
        <v>0.81</v>
      </c>
      <c r="G25" s="2" t="s">
        <v>317</v>
      </c>
      <c r="M25" s="53" cm="1">
        <f t="array" aca="1" ref="M25:O25" ca="1">OFFSET(X_Table_Feedlot_Intake_Method2, 2, 1, 1, 3)</f>
        <v>0.81</v>
      </c>
      <c r="N25" s="53">
        <f ca="1"/>
        <v>0.81</v>
      </c>
      <c r="O25" s="53">
        <f ca="1"/>
        <v>0.81</v>
      </c>
      <c r="P25" s="2" t="s">
        <v>317</v>
      </c>
    </row>
    <row r="26" spans="1:16" ht="20.100000000000001" customHeight="1" x14ac:dyDescent="0.25"/>
    <row r="27" spans="1:16" ht="20.100000000000001" customHeight="1" x14ac:dyDescent="0.25">
      <c r="D27" s="100" t="s">
        <v>194</v>
      </c>
      <c r="M27" s="100" t="s">
        <v>198</v>
      </c>
    </row>
    <row r="28" spans="1:16" ht="20.100000000000001" customHeight="1" x14ac:dyDescent="0.25">
      <c r="D28" s="99" t="s">
        <v>195</v>
      </c>
      <c r="M28" s="99" t="s">
        <v>199</v>
      </c>
    </row>
    <row r="29" spans="1:16" ht="20.100000000000001" customHeight="1" x14ac:dyDescent="0.25">
      <c r="D29" s="52" t="s">
        <v>131</v>
      </c>
      <c r="E29" s="52" t="s">
        <v>132</v>
      </c>
      <c r="F29" s="52" t="s">
        <v>133</v>
      </c>
      <c r="M29" s="52" t="s">
        <v>131</v>
      </c>
      <c r="N29" s="52" t="s">
        <v>132</v>
      </c>
      <c r="O29" s="52" t="s">
        <v>133</v>
      </c>
    </row>
    <row r="30" spans="1:16" ht="20.100000000000001" customHeight="1" x14ac:dyDescent="0.25">
      <c r="D30" s="53" cm="1">
        <f t="array" aca="1" ref="D30" ca="1">MMS_Feedlot_Methane_Equations.VEERG_4_1_1_1__5_VolatileSolidProduction(D20,D25,$H$15)</f>
        <v>1.6598399999999995</v>
      </c>
      <c r="E30" s="53" cm="1">
        <f t="array" aca="1" ref="E30" ca="1">MMS_Feedlot_Methane_Equations.VEERG_4_1_1_1__5_VolatileSolidProduction(E20,E25,$H$15)</f>
        <v>1.7236799999999997</v>
      </c>
      <c r="F30" s="53" cm="1">
        <f t="array" aca="1" ref="F30" ca="1">MMS_Feedlot_Methane_Equations.VEERG_4_1_1_1__5_VolatileSolidProduction(F20,F25,$H$15)</f>
        <v>1.3087199999999994</v>
      </c>
      <c r="G30" s="2" t="str">
        <f>$E$11</f>
        <v>kg/head/day</v>
      </c>
      <c r="M30" s="53" cm="1">
        <f t="array" aca="1" ref="M30" ca="1">MMS_Feedlot_Methane_Equations.VEERG_4_1_1_1__5_VolatileSolidProduction(M20,M25,$H$15)</f>
        <v>1.6598399999999995</v>
      </c>
      <c r="N30" s="53" cm="1">
        <f t="array" aca="1" ref="N30" ca="1">MMS_Feedlot_Methane_Equations.VEERG_4_1_1_1__5_VolatileSolidProduction(N20,N25,$H$15)</f>
        <v>1.7236799999999997</v>
      </c>
      <c r="O30" s="53" cm="1">
        <f t="array" aca="1" ref="O30" ca="1">MMS_Feedlot_Methane_Equations.VEERG_4_1_1_1__5_VolatileSolidProduction(O20,O25,$H$15)</f>
        <v>1.3087199999999994</v>
      </c>
      <c r="P30" s="2" t="str">
        <f>$E$11</f>
        <v>kg/head/day</v>
      </c>
    </row>
    <row r="31" spans="1:16" ht="20.100000000000001" customHeight="1" x14ac:dyDescent="0.25"/>
    <row r="32" spans="1:16" ht="20.100000000000001" customHeight="1" x14ac:dyDescent="0.25"/>
    <row r="33" spans="3:18" ht="20.100000000000001" customHeight="1" x14ac:dyDescent="0.25">
      <c r="C33" s="46"/>
      <c r="D33" s="46"/>
      <c r="E33" s="46"/>
      <c r="F33" s="46"/>
      <c r="G33" s="46"/>
      <c r="H33" s="46"/>
      <c r="I33" s="46"/>
      <c r="J33" s="46"/>
      <c r="L33" s="46"/>
      <c r="M33" s="46"/>
      <c r="N33" s="46"/>
      <c r="O33" s="46"/>
      <c r="P33" s="46"/>
      <c r="Q33" s="46"/>
      <c r="R33" s="46"/>
    </row>
    <row r="34" spans="3:18" ht="20.100000000000001" customHeight="1" x14ac:dyDescent="0.25">
      <c r="D34" s="6" t="str" cm="1">
        <f t="array" ref="D34">MMS_Feedlot_Methane_Equations.VEERG_4_1_1_1__2_Stage1MethaneProductionDrylot_Title()</f>
        <v>Production of methane in treatment stage 1 MMS</v>
      </c>
    </row>
    <row r="35" spans="3:18" ht="20.100000000000001" customHeight="1" x14ac:dyDescent="0.25">
      <c r="D35" s="5" t="str" cm="1">
        <f t="array" ref="D35">MMS_Feedlot_Methane_Equations.VEERG_4_1_1_1__2_Stage1MethaneProductionDrylot_Source()</f>
        <v>VEERG 2026: 4.1.1.1, Equation (2)</v>
      </c>
    </row>
    <row r="36" spans="3:18" ht="20.100000000000001" customHeight="1" x14ac:dyDescent="0.25">
      <c r="D36" s="13" t="s">
        <v>23</v>
      </c>
      <c r="E36" s="13" t="str" cm="1">
        <f t="array" aca="1" ref="E36" ca="1">Common_InputFunctions.Utility_DisplayFunctionName(E57)</f>
        <v>=MMS_Feedlot_Methane_Equations.VEERG_4_1_1_1__2_Stage1MethaneProductionDrylot</v>
      </c>
    </row>
    <row r="37" spans="3:18" ht="20.100000000000001" customHeight="1" x14ac:dyDescent="0.25"/>
    <row r="38" spans="3:18" ht="20.100000000000001" customHeight="1" x14ac:dyDescent="0.25"/>
    <row r="39" spans="3:18" ht="20.100000000000001" customHeight="1" x14ac:dyDescent="0.25">
      <c r="D39" s="54" t="s">
        <v>26</v>
      </c>
      <c r="E39" s="1" t="str" cm="1">
        <f t="array" ref="E39">MMS_Feedlot_Methane_Equations.VEERG_4_1_1_1__2_Stage1MethaneProductionDrylot_Variable()</f>
        <v>M_jm5T1</v>
      </c>
    </row>
    <row r="40" spans="3:18" ht="20.100000000000001" customHeight="1" x14ac:dyDescent="0.25">
      <c r="D40" s="54" t="s">
        <v>16</v>
      </c>
      <c r="E40" s="55" t="str" cm="1">
        <f t="array" ref="E40">MMS_Feedlot_Methane_Equations.VEERG_4_1_1_1__2_Stage1MethaneProductionDrylot_Unit()</f>
        <v>kg CH4/head/day</v>
      </c>
      <c r="M40" s="93" t="s">
        <v>341</v>
      </c>
      <c r="N40" s="88"/>
    </row>
    <row r="41" spans="3:18" ht="20.100000000000001" customHeight="1" x14ac:dyDescent="0.25"/>
    <row r="42" spans="3:18" ht="20.100000000000001" customHeight="1" x14ac:dyDescent="0.25">
      <c r="D42" s="134" t="str" cm="1">
        <f t="array" ref="D42:E47">_xlfn.CHOOSECOLS(MMS_Feedlot_Methane_Equations.VEERG_4_1_1_1__2_Stage1MethaneProductionDrylot_Arguments(),1,2)</f>
        <v>VS_j</v>
      </c>
      <c r="E42" s="137" t="str">
        <v>volatile solid production from feedlot cattle in each group</v>
      </c>
      <c r="F42" s="136"/>
      <c r="G42" s="134" t="str" cm="1">
        <f t="array" ref="G42:H47">_xlfn.CHOOSECOLS(MMS_Feedlot_Methane_Equations.VEERG_4_1_1_1__2_Stage1MethaneProductionDrylot_Arguments(),3,4)</f>
        <v>kg/head/day</v>
      </c>
      <c r="H42" s="126" t="str">
        <v>Calculated from 4.1.1.1 (5)</v>
      </c>
      <c r="I42" s="135" t="str" cm="1">
        <f t="array" aca="1" ref="I42" ca="1">HYPERLINK(Common_InputFunctions.Utility_SourceHyperlink($D$27),$D$27)</f>
        <v>M1_Table_VS_j</v>
      </c>
      <c r="M42" s="134" t="str" cm="1">
        <f t="array" ref="M42:N47">_xlfn.CHOOSECOLS(MMS_Feedlot_Methane_Equations.VEERG_4_1_1_1__2_Stage1MethaneProductionDrylot_Arguments_Method2(),1,2)</f>
        <v>VS_j</v>
      </c>
      <c r="N42" s="137" t="str">
        <v>volatile solid production from feedlot cattle in each group</v>
      </c>
      <c r="O42" s="136"/>
      <c r="P42" s="134" t="str" cm="1">
        <f t="array" ref="P42:Q47">_xlfn.CHOOSECOLS(MMS_Feedlot_Methane_Equations.VEERG_4_1_1_1__2_Stage1MethaneProductionDrylot_Arguments_Method2(),3,4)</f>
        <v>kg/head/day</v>
      </c>
      <c r="Q42" s="126" t="str">
        <v>Calculated from 4.1.1.1 (5)</v>
      </c>
      <c r="R42" s="135" t="str" cm="1">
        <f t="array" aca="1" ref="R42" ca="1">HYPERLINK(Common_InputFunctions.Utility_SourceHyperlink($D$27),$D$27)</f>
        <v>M1_Table_VS_j</v>
      </c>
    </row>
    <row r="43" spans="3:18" ht="20.100000000000001" customHeight="1" x14ac:dyDescent="0.25">
      <c r="D43" s="134" t="str">
        <v>BO</v>
      </c>
      <c r="E43" s="137" t="str">
        <v>emissions potential</v>
      </c>
      <c r="F43" s="136"/>
      <c r="G43" s="134" t="str">
        <v>m3 CH4/kg VS</v>
      </c>
      <c r="H43" s="126" t="str">
        <v>Constant</v>
      </c>
      <c r="I43" s="134">
        <f>SourceData_Feedlot_MethaneEmissionsPotential_Data</f>
        <v>0.19</v>
      </c>
      <c r="M43" s="134" t="str">
        <v>BO</v>
      </c>
      <c r="N43" s="137" t="str">
        <v>emissions potential</v>
      </c>
      <c r="O43" s="136"/>
      <c r="P43" s="134" t="str">
        <v>m3 CH4/kg VS</v>
      </c>
      <c r="Q43" s="126" t="str">
        <v>Constant</v>
      </c>
      <c r="R43" s="134">
        <f>SourceData_Feedlot_MethaneEmissionsPotential_Data</f>
        <v>0.19</v>
      </c>
    </row>
    <row r="44" spans="3:18" ht="20.100000000000001" customHeight="1" x14ac:dyDescent="0.25">
      <c r="D44" s="134" t="str">
        <v>MMS_m5T1</v>
      </c>
      <c r="E44" s="137" t="str">
        <v>fraction of manure in primary system drylot MMS</v>
      </c>
      <c r="F44" s="136"/>
      <c r="G44" s="134" t="str">
        <v>fraction</v>
      </c>
      <c r="H44" s="125" t="str">
        <v>Input</v>
      </c>
      <c r="I44" s="135" t="str" cm="1">
        <f t="array" aca="1" ref="I44" ca="1">HYPERLINK(Common_InputFunctions.Utility_SourceHyperlink($D$49),$D$49)</f>
        <v>Table_MMS_m-5_T-1</v>
      </c>
      <c r="M44" s="134" t="str">
        <v>MMS_m5T1</v>
      </c>
      <c r="N44" s="137" t="str">
        <v>fraction of manure in primary system drylot MMS</v>
      </c>
      <c r="O44" s="136"/>
      <c r="P44" s="134" t="str">
        <v>fraction</v>
      </c>
      <c r="Q44" s="125" t="str">
        <v>Input</v>
      </c>
      <c r="R44" s="135" t="str" cm="1">
        <f t="array" aca="1" ref="R44" ca="1">HYPERLINK(Common_InputFunctions.Utility_SourceHyperlink($D$49),$D$49)</f>
        <v>Table_MMS_m-5_T-1</v>
      </c>
    </row>
    <row r="45" spans="3:18" ht="20.100000000000001" customHeight="1" x14ac:dyDescent="0.25">
      <c r="D45" s="134" t="str">
        <v>MCF_im5</v>
      </c>
      <c r="E45" s="137" t="str">
        <v>methane conversion factor for state and drylot system</v>
      </c>
      <c r="F45" s="136"/>
      <c r="G45" s="134" t="str">
        <v>fraction</v>
      </c>
      <c r="H45" s="126" t="str">
        <v>Constant</v>
      </c>
      <c r="I45" s="134">
        <f>HLOOKUP(I47, Table_SourceData_Feedlot_MCF[#All], 2, FALSE)</f>
        <v>0.01</v>
      </c>
      <c r="M45" s="134" t="str">
        <v>MCF_im5</v>
      </c>
      <c r="N45" s="137" t="str">
        <v>methane conversion factor for state and drylot system</v>
      </c>
      <c r="O45" s="136"/>
      <c r="P45" s="134" t="str">
        <v>fraction</v>
      </c>
      <c r="Q45" s="126" t="str">
        <v>Constant</v>
      </c>
      <c r="R45" s="134">
        <f>HLOOKUP(I47, Table_SourceData_Feedlot_MCF[#All], 2, FALSE)</f>
        <v>0.01</v>
      </c>
    </row>
    <row r="46" spans="3:18" ht="20.100000000000001" customHeight="1" x14ac:dyDescent="0.25">
      <c r="D46" s="134" t="str">
        <v>rho</v>
      </c>
      <c r="E46" s="137" t="str">
        <v>density of methane</v>
      </c>
      <c r="F46" s="136"/>
      <c r="G46" s="134" t="str">
        <v>kg/m3</v>
      </c>
      <c r="H46" s="126" t="str">
        <v>Constant</v>
      </c>
      <c r="I46" s="134">
        <f>Common_SourceData_DensityOfMethane_Data</f>
        <v>0.6784</v>
      </c>
      <c r="M46" s="134" t="str">
        <v>rho</v>
      </c>
      <c r="N46" s="137" t="str">
        <v>density of methane</v>
      </c>
      <c r="O46" s="136"/>
      <c r="P46" s="134" t="str">
        <v>kg/m3</v>
      </c>
      <c r="Q46" s="126" t="str">
        <v>Constant</v>
      </c>
      <c r="R46" s="134">
        <f>Common_SourceData_DensityOfMethane_Data</f>
        <v>0.6784</v>
      </c>
    </row>
    <row r="47" spans="3:18" ht="20.100000000000001" customHeight="1" x14ac:dyDescent="0.25">
      <c r="D47" s="134" t="str">
        <v>i</v>
      </c>
      <c r="E47" s="137" t="str">
        <v>state</v>
      </c>
      <c r="F47" s="136"/>
      <c r="G47" s="134" t="str">
        <v/>
      </c>
      <c r="H47" s="125" t="str">
        <v>Input</v>
      </c>
      <c r="I47" s="134" t="str">
        <f>Common_InputFunctions.Utility_LookupValueInTable(X_Cell_Site_State,Table_AustralianStates[Common Name],Table_AustralianStates[Abbreviation])</f>
        <v>WA</v>
      </c>
      <c r="M47" s="134" t="str">
        <v>i</v>
      </c>
      <c r="N47" s="137" t="str">
        <v>state</v>
      </c>
      <c r="O47" s="136"/>
      <c r="P47" s="134" t="str">
        <v/>
      </c>
      <c r="Q47" s="125" t="str">
        <v>Input</v>
      </c>
      <c r="R47" s="134" t="str">
        <f>Common_InputFunctions.Utility_LookupValueInTable(X_Cell_Site_State,Table_AustralianStates[Common Name],Table_AustralianStates[Abbreviation])</f>
        <v>WA</v>
      </c>
    </row>
    <row r="48" spans="3:18" ht="20.100000000000001" customHeight="1" x14ac:dyDescent="0.25"/>
    <row r="49" spans="3:18" ht="20.100000000000001" customHeight="1" x14ac:dyDescent="0.25">
      <c r="D49" s="100" t="s">
        <v>104</v>
      </c>
    </row>
    <row r="50" spans="3:18" ht="20.100000000000001" customHeight="1" x14ac:dyDescent="0.25">
      <c r="D50" s="99" t="s">
        <v>102</v>
      </c>
    </row>
    <row r="51" spans="3:18" ht="20.100000000000001" customHeight="1" x14ac:dyDescent="0.25">
      <c r="D51" s="40" t="s">
        <v>99</v>
      </c>
      <c r="E51" s="40" t="s">
        <v>131</v>
      </c>
      <c r="F51" s="40" t="s">
        <v>132</v>
      </c>
      <c r="G51" s="40" t="s">
        <v>133</v>
      </c>
    </row>
    <row r="52" spans="3:18" ht="20.100000000000001" customHeight="1" x14ac:dyDescent="0.25">
      <c r="D52" s="53" t="str">
        <f>INDEX(X_Table_Feedlot_MMS_Stage1,2,1)</f>
        <v>Drylot (feed pad)</v>
      </c>
      <c r="E52" s="53" cm="1">
        <f t="array" aca="1" ref="E52:G52" ca="1">OFFSET(X_Table_Feedlot_MMS_Stage1, 1,1,1,3)</f>
        <v>1</v>
      </c>
      <c r="F52" s="53">
        <f ca="1"/>
        <v>1</v>
      </c>
      <c r="G52" s="53">
        <f ca="1"/>
        <v>1</v>
      </c>
      <c r="H52" s="2" t="s">
        <v>317</v>
      </c>
    </row>
    <row r="53" spans="3:18" ht="20.100000000000001" customHeight="1" x14ac:dyDescent="0.25"/>
    <row r="54" spans="3:18" ht="20.100000000000001" customHeight="1" x14ac:dyDescent="0.25">
      <c r="D54" s="100" t="s">
        <v>200</v>
      </c>
      <c r="M54" s="100" t="s">
        <v>202</v>
      </c>
    </row>
    <row r="55" spans="3:18" ht="20.100000000000001" customHeight="1" x14ac:dyDescent="0.25">
      <c r="D55" s="99" t="s">
        <v>201</v>
      </c>
      <c r="M55" s="99" t="s">
        <v>203</v>
      </c>
    </row>
    <row r="56" spans="3:18" ht="20.100000000000001" customHeight="1" x14ac:dyDescent="0.25">
      <c r="D56" s="52" t="s">
        <v>99</v>
      </c>
      <c r="E56" s="52" t="s">
        <v>131</v>
      </c>
      <c r="F56" s="52" t="s">
        <v>132</v>
      </c>
      <c r="G56" s="52" t="s">
        <v>133</v>
      </c>
      <c r="M56" s="52" t="s">
        <v>99</v>
      </c>
      <c r="N56" s="52" t="s">
        <v>131</v>
      </c>
      <c r="O56" s="52" t="s">
        <v>132</v>
      </c>
      <c r="P56" s="52" t="s">
        <v>133</v>
      </c>
    </row>
    <row r="57" spans="3:18" ht="20.100000000000001" customHeight="1" x14ac:dyDescent="0.25">
      <c r="D57" s="53" t="str">
        <f>INDEX(X_Table_Feedlot_MMS_Stage1,2,1)</f>
        <v>Drylot (feed pad)</v>
      </c>
      <c r="E57" s="53" cm="1">
        <f t="array" aca="1" ref="E57" ca="1">MMS_Feedlot_Methane_Equations.VEERG_4_1_1_1__2_Stage1MethaneProductionDrylot(D30,$I$43,E52,$I$45,$I$46)</f>
        <v>2.1394673663999997E-3</v>
      </c>
      <c r="F57" s="53" cm="1">
        <f t="array" aca="1" ref="F57" ca="1">MMS_Feedlot_Methane_Equations.VEERG_4_1_1_1__2_Stage1MethaneProductionDrylot(E30,$I$43,F52,$I$45,$I$46)</f>
        <v>2.2217545727999995E-3</v>
      </c>
      <c r="G57" s="53" cm="1">
        <f t="array" aca="1" ref="G57" ca="1">MMS_Feedlot_Methane_Equations.VEERG_4_1_1_1__2_Stage1MethaneProductionDrylot(F30,$I$43,G52,$I$45,$I$46)</f>
        <v>1.6868877311999992E-3</v>
      </c>
      <c r="H57" s="2" t="str">
        <f>$E$40</f>
        <v>kg CH4/head/day</v>
      </c>
      <c r="M57" s="53" t="str">
        <f>INDEX(X_Table_Feedlot_MMS_Stage1,2,1)</f>
        <v>Drylot (feed pad)</v>
      </c>
      <c r="N57" s="53" cm="1">
        <f t="array" aca="1" ref="N57" ca="1">MMS_Feedlot_Methane_Equations.VEERG_4_1_1_1__2_Stage1MethaneProductionDrylot(M30,$I$43,E52,$I$45,$I$46)</f>
        <v>2.1394673663999997E-3</v>
      </c>
      <c r="O57" s="53" cm="1">
        <f t="array" aca="1" ref="O57" ca="1">MMS_Feedlot_Methane_Equations.VEERG_4_1_1_1__2_Stage1MethaneProductionDrylot(N30,$I$43,F52,$I$45,$I$46)</f>
        <v>2.2217545727999995E-3</v>
      </c>
      <c r="P57" s="53" cm="1">
        <f t="array" aca="1" ref="P57" ca="1">MMS_Feedlot_Methane_Equations.VEERG_4_1_1_1__2_Stage1MethaneProductionDrylot(O30,$I$43,G52,$I$45,$I$46)</f>
        <v>1.6868877311999992E-3</v>
      </c>
      <c r="Q57" s="2" t="str">
        <f>$E$40</f>
        <v>kg CH4/head/day</v>
      </c>
    </row>
    <row r="58" spans="3:18" ht="20.100000000000001" customHeight="1" x14ac:dyDescent="0.25">
      <c r="D58" s="101" t="str">
        <f>IF(ISNUMBER($I$45),"", "⚠️ ALERT: No MCFim5 data provided. Zero is used instead.")</f>
        <v/>
      </c>
    </row>
    <row r="59" spans="3:18" ht="20.100000000000001" customHeight="1" x14ac:dyDescent="0.25"/>
    <row r="60" spans="3:18" ht="20.100000000000001" customHeight="1" x14ac:dyDescent="0.25">
      <c r="C60" s="46"/>
      <c r="D60" s="46"/>
      <c r="E60" s="46"/>
      <c r="F60" s="46"/>
      <c r="G60" s="46"/>
      <c r="H60" s="46"/>
      <c r="I60" s="46"/>
      <c r="J60" s="46"/>
      <c r="L60" s="46"/>
      <c r="M60" s="46"/>
      <c r="N60" s="46"/>
      <c r="O60" s="46"/>
      <c r="P60" s="46"/>
      <c r="Q60" s="46"/>
      <c r="R60" s="46"/>
    </row>
    <row r="61" spans="3:18" ht="20.100000000000001" customHeight="1" x14ac:dyDescent="0.25">
      <c r="D61" s="6" t="str" cm="1">
        <f t="array" ref="D61">MMS_Feedlot_Methane_Equations.VEERG_4_1_1_1__3_Stage2MethaneProduction_Title()</f>
        <v>Production of methane in treatment stage 2 MMS</v>
      </c>
    </row>
    <row r="62" spans="3:18" ht="20.100000000000001" customHeight="1" x14ac:dyDescent="0.25">
      <c r="D62" s="5" t="str" cm="1">
        <f t="array" ref="D62">MMS_Feedlot_Methane_Equations.VEERG_4_1_1_1__3_Stage2MethaneProduction_Source()</f>
        <v>VEERG 2026: 4.1.1.1, Equation (3)</v>
      </c>
    </row>
    <row r="63" spans="3:18" ht="20.100000000000001" customHeight="1" x14ac:dyDescent="0.25">
      <c r="D63" s="13" t="s">
        <v>23</v>
      </c>
      <c r="E63" s="13" t="str" cm="1">
        <f t="array" aca="1" ref="E63" ca="1">Common_InputFunctions.Utility_DisplayFunctionName(E96)</f>
        <v>=MMS_Feedlot_Methane_Equations.VEERG_4_1_1_1__3_Stage2MethaneProduction</v>
      </c>
    </row>
    <row r="64" spans="3:18" ht="20.100000000000001" customHeight="1" x14ac:dyDescent="0.25"/>
    <row r="65" spans="4:18" ht="20.100000000000001" customHeight="1" x14ac:dyDescent="0.25">
      <c r="D65" s="6"/>
    </row>
    <row r="66" spans="4:18" ht="20.100000000000001" customHeight="1" x14ac:dyDescent="0.25">
      <c r="D66" s="54" t="s">
        <v>26</v>
      </c>
      <c r="E66" s="1" t="str" cm="1">
        <f t="array" ref="E66">MMS_Feedlot_Methane_Equations.VEERG_4_1_1_1__3_Stage2MethaneProduction_Variable()</f>
        <v>M_jmT2</v>
      </c>
    </row>
    <row r="67" spans="4:18" ht="20.100000000000001" customHeight="1" x14ac:dyDescent="0.25">
      <c r="D67" s="54" t="s">
        <v>16</v>
      </c>
      <c r="E67" s="55" t="str" cm="1">
        <f t="array" ref="E67">MMS_Feedlot_Methane_Equations.VEERG_4_1_1_1__3_Stage2MethaneProduction_Unit()</f>
        <v>kg CH4/head/day</v>
      </c>
    </row>
    <row r="68" spans="4:18" ht="20.100000000000001" customHeight="1" x14ac:dyDescent="0.25"/>
    <row r="69" spans="4:18" ht="20.100000000000001" customHeight="1" x14ac:dyDescent="0.25">
      <c r="D69" s="134" t="str" cm="1">
        <f t="array" ref="D69:E75">_xlfn.CHOOSECOLS(MMS_Feedlot_Methane_Equations.VEERG_4_1_1_1__3_Stage2MethaneProduction_Arguments(),1,2)</f>
        <v>VSL</v>
      </c>
      <c r="E69" s="137" t="str">
        <v>fraction of volatile solids lost during storage in the primary system</v>
      </c>
      <c r="F69" s="136"/>
      <c r="G69" s="134" t="str" cm="1">
        <f t="array" ref="G69:H75">_xlfn.CHOOSECOLS(MMS_Feedlot_Methane_Equations.VEERG_4_1_1_1__3_Stage2MethaneProduction_Arguments(),3,4)</f>
        <v>fraction</v>
      </c>
      <c r="H69" s="126" t="str">
        <v>Constant</v>
      </c>
      <c r="I69" s="58">
        <f>SourceData_Feedlot_VSL_Data</f>
        <v>0.5</v>
      </c>
      <c r="M69" s="134" t="str" cm="1">
        <f t="array" ref="M69:N75">_xlfn.CHOOSECOLS(MMS_Feedlot_Methane_Equations.VEERG_4_1_1_1__3_Stage2MethaneProduction_Arguments_Method2(),1,2)</f>
        <v>VSL</v>
      </c>
      <c r="N69" s="137" t="str">
        <v>fraction of volatile solids lost during storage in the primary system</v>
      </c>
      <c r="O69" s="136"/>
      <c r="P69" s="134" t="str" cm="1">
        <f t="array" ref="P69:Q75">_xlfn.CHOOSECOLS(MMS_Feedlot_Methane_Equations.VEERG_4_1_1_1__3_Stage2MethaneProduction_Arguments_Method2(),3,4)</f>
        <v>fraction</v>
      </c>
      <c r="Q69" s="126" t="str">
        <v>Constant</v>
      </c>
      <c r="R69" s="58"/>
    </row>
    <row r="70" spans="4:18" ht="20.100000000000001" customHeight="1" x14ac:dyDescent="0.25">
      <c r="D70" s="134" t="str">
        <v>VS_j</v>
      </c>
      <c r="E70" s="137" t="str">
        <v>volatile solid production from feedlot cattle in each group</v>
      </c>
      <c r="F70" s="136"/>
      <c r="G70" s="134" t="str">
        <v>kg/head/day</v>
      </c>
      <c r="H70" s="126" t="str">
        <v>Calculated from 4.1.1.1 (5)</v>
      </c>
      <c r="I70" s="135" t="str" cm="1">
        <f t="array" aca="1" ref="I70" ca="1">HYPERLINK(Common_InputFunctions.Utility_SourceHyperlink($D$27),$D$27)</f>
        <v>M1_Table_VS_j</v>
      </c>
      <c r="M70" s="134" t="str">
        <v>VS_j</v>
      </c>
      <c r="N70" s="137" t="str">
        <v>volatile solid production from feedlot cattle in each group</v>
      </c>
      <c r="O70" s="136"/>
      <c r="P70" s="134" t="str">
        <v>kg/head/day</v>
      </c>
      <c r="Q70" s="126" t="str">
        <v>Calculated from 4.1.1.1 (5)</v>
      </c>
      <c r="R70" s="135"/>
    </row>
    <row r="71" spans="4:18" ht="20.100000000000001" customHeight="1" x14ac:dyDescent="0.25">
      <c r="D71" s="134" t="str">
        <v>BO</v>
      </c>
      <c r="E71" s="137" t="str">
        <v>emissions potential</v>
      </c>
      <c r="F71" s="136"/>
      <c r="G71" s="134" t="str">
        <v>m3 CH4/kg VS</v>
      </c>
      <c r="H71" s="126" t="str">
        <v>Constant</v>
      </c>
      <c r="I71" s="58">
        <f>SourceData_Feedlot_MethaneEmissionsPotential_Data</f>
        <v>0.19</v>
      </c>
      <c r="M71" s="134" t="str">
        <v>BO</v>
      </c>
      <c r="N71" s="137" t="str">
        <v>emissions potential</v>
      </c>
      <c r="O71" s="136"/>
      <c r="P71" s="134" t="str">
        <v>m3 CH4/kg VS</v>
      </c>
      <c r="Q71" s="126" t="str">
        <v>Constant</v>
      </c>
      <c r="R71" s="58"/>
    </row>
    <row r="72" spans="4:18" ht="20.100000000000001" customHeight="1" x14ac:dyDescent="0.25">
      <c r="D72" s="134" t="str">
        <v>MMS_mT2</v>
      </c>
      <c r="E72" s="137" t="str">
        <v>fraction of manure in each secondary system</v>
      </c>
      <c r="F72" s="136"/>
      <c r="G72" s="134" t="str">
        <v>fraction</v>
      </c>
      <c r="H72" s="125" t="str">
        <v>Input</v>
      </c>
      <c r="I72" s="135" t="str" cm="1">
        <f t="array" aca="1" ref="I72" ca="1">HYPERLINK(Common_InputFunctions.Utility_SourceHyperlink($D$77),$D$77)</f>
        <v>Table_MMS_m_T-2</v>
      </c>
      <c r="M72" s="134" t="str">
        <v>MMS_mT2</v>
      </c>
      <c r="N72" s="137" t="str">
        <v>fraction of manure in each secondary system</v>
      </c>
      <c r="O72" s="136"/>
      <c r="P72" s="134" t="str">
        <v>fraction</v>
      </c>
      <c r="Q72" s="125" t="str">
        <v>Input</v>
      </c>
      <c r="R72" s="135"/>
    </row>
    <row r="73" spans="4:18" ht="20.100000000000001" customHeight="1" x14ac:dyDescent="0.25">
      <c r="D73" s="134" t="str">
        <v>MCF_im</v>
      </c>
      <c r="E73" s="137" t="str">
        <v>methane conversion factor for state and MMS</v>
      </c>
      <c r="F73" s="136"/>
      <c r="G73" s="134" t="str">
        <v>fraction</v>
      </c>
      <c r="H73" s="126" t="str">
        <v>Constant</v>
      </c>
      <c r="I73" s="135" t="str" cm="1">
        <f t="array" aca="1" ref="I73" ca="1">HYPERLINK(Common_InputFunctions.Utility_SourceHyperlink($D$84),$D$84)</f>
        <v>M1_Table_MCF_i_m</v>
      </c>
      <c r="M73" s="134" t="str">
        <v>MCF_im</v>
      </c>
      <c r="N73" s="137" t="str">
        <v>methane conversion factor for mean annual temperature and MMS</v>
      </c>
      <c r="O73" s="136"/>
      <c r="P73" s="134" t="str">
        <v>fraction</v>
      </c>
      <c r="Q73" s="126" t="str">
        <v>Constant</v>
      </c>
      <c r="R73" s="135" t="str" cm="1">
        <f t="array" aca="1" ref="R73" ca="1">HYPERLINK(Common_InputFunctions.Utility_SourceHyperlink($M$84),$M$84)</f>
        <v>M2_Table_MCF_i_m</v>
      </c>
    </row>
    <row r="74" spans="4:18" ht="20.100000000000001" customHeight="1" x14ac:dyDescent="0.25">
      <c r="D74" s="134" t="str">
        <v>rho</v>
      </c>
      <c r="E74" s="137" t="str">
        <v>density of methane</v>
      </c>
      <c r="F74" s="136"/>
      <c r="G74" s="134" t="str">
        <v>kg/m3</v>
      </c>
      <c r="H74" s="126" t="str">
        <v>Constant</v>
      </c>
      <c r="I74" s="58">
        <f>Common_SourceData_DensityOfMethane_Data</f>
        <v>0.6784</v>
      </c>
      <c r="M74" s="134" t="str">
        <v>rho</v>
      </c>
      <c r="N74" s="137" t="str">
        <v>density of methane</v>
      </c>
      <c r="O74" s="136"/>
      <c r="P74" s="134" t="str">
        <v>kg/m3</v>
      </c>
      <c r="Q74" s="126" t="str">
        <v>Constant</v>
      </c>
      <c r="R74" s="58"/>
    </row>
    <row r="75" spans="4:18" ht="20.100000000000001" customHeight="1" x14ac:dyDescent="0.25">
      <c r="D75" s="134" t="str">
        <v>i</v>
      </c>
      <c r="E75" s="137" t="str">
        <v>state</v>
      </c>
      <c r="F75" s="136"/>
      <c r="G75" s="134" t="str">
        <v/>
      </c>
      <c r="H75" s="125" t="str">
        <v>Input</v>
      </c>
      <c r="I75" s="58" t="str">
        <f>Common_InputFunctions.Utility_LookupValueInTable(X_Cell_Site_State,Table_AustralianStates[Common Name],Table_AustralianStates[Abbreviation])</f>
        <v>WA</v>
      </c>
      <c r="M75" s="134" t="str">
        <v>i</v>
      </c>
      <c r="N75" s="137" t="str">
        <v>Mean annual temperature</v>
      </c>
      <c r="O75" s="136"/>
      <c r="P75" s="134" t="str">
        <v/>
      </c>
      <c r="Q75" s="125" t="str">
        <v>Input</v>
      </c>
      <c r="R75" s="58">
        <f>X_Cell_Site_AverageTemperature</f>
        <v>18</v>
      </c>
    </row>
    <row r="76" spans="4:18" ht="20.100000000000001" customHeight="1" x14ac:dyDescent="0.25"/>
    <row r="77" spans="4:18" ht="20.100000000000001" customHeight="1" x14ac:dyDescent="0.25">
      <c r="D77" s="100" t="s">
        <v>106</v>
      </c>
    </row>
    <row r="78" spans="4:18" ht="20.100000000000001" customHeight="1" x14ac:dyDescent="0.25">
      <c r="D78" s="99" t="s">
        <v>107</v>
      </c>
    </row>
    <row r="79" spans="4:18" ht="20.100000000000001" customHeight="1" x14ac:dyDescent="0.25">
      <c r="D79" s="40" t="s">
        <v>99</v>
      </c>
      <c r="E79" s="40" t="s">
        <v>95</v>
      </c>
      <c r="F79" s="40" t="s">
        <v>131</v>
      </c>
      <c r="G79" s="40" t="s">
        <v>132</v>
      </c>
      <c r="H79" s="40" t="s">
        <v>133</v>
      </c>
    </row>
    <row r="80" spans="4:18" ht="20.100000000000001" customHeight="1" x14ac:dyDescent="0.25">
      <c r="D80" s="53" t="s">
        <v>94</v>
      </c>
      <c r="E80" s="53" t="str" cm="1">
        <f t="array" aca="1" ref="E80:H82" ca="1">OFFSET(X_Table_Feedlot_MMS_Stage2,2, 0, 3, 4)</f>
        <v>Solid storage</v>
      </c>
      <c r="F80" s="53">
        <f ca="1"/>
        <v>0.2</v>
      </c>
      <c r="G80" s="53">
        <f ca="1"/>
        <v>0.2</v>
      </c>
      <c r="H80" s="53">
        <f ca="1"/>
        <v>0.2</v>
      </c>
      <c r="I80" s="2" t="str">
        <f>G72</f>
        <v>fraction</v>
      </c>
    </row>
    <row r="81" spans="4:17" ht="20.100000000000001" customHeight="1" x14ac:dyDescent="0.25">
      <c r="D81" s="53" t="s">
        <v>94</v>
      </c>
      <c r="E81" s="53" t="str">
        <f ca="1"/>
        <v>Composting (passive windrow)</v>
      </c>
      <c r="F81" s="53">
        <f ca="1"/>
        <v>0.2</v>
      </c>
      <c r="G81" s="53">
        <f ca="1"/>
        <v>0.2</v>
      </c>
      <c r="H81" s="53">
        <f ca="1"/>
        <v>0.2</v>
      </c>
      <c r="I81" s="2"/>
    </row>
    <row r="82" spans="4:17" ht="20.100000000000001" customHeight="1" x14ac:dyDescent="0.25">
      <c r="D82" s="53" t="s">
        <v>94</v>
      </c>
      <c r="E82" s="53" t="str">
        <f ca="1"/>
        <v>Direct application</v>
      </c>
      <c r="F82" s="53">
        <f ca="1"/>
        <v>0.6</v>
      </c>
      <c r="G82" s="53">
        <f ca="1"/>
        <v>0.6</v>
      </c>
      <c r="H82" s="53">
        <f ca="1"/>
        <v>0.6</v>
      </c>
      <c r="I82" s="2"/>
    </row>
    <row r="83" spans="4:17" ht="20.100000000000001" customHeight="1" x14ac:dyDescent="0.25"/>
    <row r="84" spans="4:17" ht="20.100000000000001" customHeight="1" x14ac:dyDescent="0.25">
      <c r="D84" s="100" t="s">
        <v>350</v>
      </c>
      <c r="M84" s="100" t="s">
        <v>348</v>
      </c>
    </row>
    <row r="85" spans="4:17" ht="20.100000000000001" customHeight="1" x14ac:dyDescent="0.25">
      <c r="D85" s="99" t="s">
        <v>351</v>
      </c>
      <c r="M85" s="99" t="s">
        <v>349</v>
      </c>
    </row>
    <row r="86" spans="4:17" ht="20.100000000000001" customHeight="1" x14ac:dyDescent="0.25">
      <c r="D86" s="52" t="s">
        <v>99</v>
      </c>
      <c r="E86" s="52" t="s">
        <v>95</v>
      </c>
      <c r="F86" s="52" t="s">
        <v>92</v>
      </c>
      <c r="M86" s="52" t="s">
        <v>99</v>
      </c>
      <c r="N86" s="52" t="s">
        <v>95</v>
      </c>
      <c r="O86" s="52" t="s">
        <v>92</v>
      </c>
    </row>
    <row r="87" spans="4:17" ht="20.100000000000001" customHeight="1" x14ac:dyDescent="0.25">
      <c r="D87" s="53" t="s">
        <v>94</v>
      </c>
      <c r="E87" s="53" t="str">
        <f>INDEX(X_Table_Feedlot_MMS_Stage2,3,1)</f>
        <v>Solid storage</v>
      </c>
      <c r="F87" s="53" cm="1">
        <f t="array" ref="F87">_xlfn.XLOOKUP($I$75, Table_SourceData_Feedlot_MCF[#Headers], _xlfn.XLOOKUP(E87, Table_SourceData_Feedlot_MCF[NIR definition], Table_SourceData_Feedlot_MCF[]))</f>
        <v>0.02</v>
      </c>
      <c r="G87" s="2" t="str">
        <f>G73</f>
        <v>fraction</v>
      </c>
      <c r="M87" s="53" t="str">
        <f>INDEX(X_Table_Feedlot_MMS_Stage1,2,1)</f>
        <v>Drylot (feed pad)</v>
      </c>
      <c r="N87" s="53" t="str">
        <f>INDEX(X_Table_Feedlot_MMS_Stage2,3,1)</f>
        <v>Solid storage</v>
      </c>
      <c r="O87" s="53">
        <f>Common_InputFunctions.Common_GetMCFTemperatureZone($R$75,N87,Table_SourceData_Common_MCFTemperatureZone[MAT (ºC)],Table_SourceData_Common_MCFTemperatureZone[#Headers],Table_SourceData_Common_MCFTemperatureZone[])</f>
        <v>0.02</v>
      </c>
      <c r="P87" s="2" t="str">
        <f>P73</f>
        <v>fraction</v>
      </c>
    </row>
    <row r="88" spans="4:17" ht="20.100000000000001" customHeight="1" x14ac:dyDescent="0.25">
      <c r="D88" s="53" t="s">
        <v>94</v>
      </c>
      <c r="E88" s="53" t="str">
        <f>INDEX(X_Table_Feedlot_MMS_Stage2,4,1)</f>
        <v>Composting (passive windrow)</v>
      </c>
      <c r="F88" s="53" cm="1">
        <f t="array" ref="F88">_xlfn.XLOOKUP($I$75, Table_SourceData_Feedlot_MCF[#Headers], _xlfn.XLOOKUP(E88, Table_SourceData_Feedlot_MCF[NIR definition], Table_SourceData_Feedlot_MCF[]))</f>
        <v>0.01</v>
      </c>
      <c r="G88" s="2"/>
      <c r="M88" s="53" t="str">
        <f>INDEX(X_Table_Feedlot_MMS_Stage1,2,1)</f>
        <v>Drylot (feed pad)</v>
      </c>
      <c r="N88" s="53" t="str">
        <f>INDEX(X_Table_Feedlot_MMS_Stage2,4,1)</f>
        <v>Composting (passive windrow)</v>
      </c>
      <c r="O88" s="53">
        <f>Common_InputFunctions.Common_GetMCFTemperatureZone($R$75,N88,Table_SourceData_Common_MCFTemperatureZone[MAT (ºC)],Table_SourceData_Common_MCFTemperatureZone[#Headers],Table_SourceData_Common_MCFTemperatureZone[])</f>
        <v>0.01</v>
      </c>
      <c r="P88" s="2"/>
    </row>
    <row r="89" spans="4:17" ht="20.100000000000001" customHeight="1" x14ac:dyDescent="0.25">
      <c r="D89" s="53" t="s">
        <v>94</v>
      </c>
      <c r="E89" s="53" t="str">
        <f>INDEX(X_Table_Feedlot_MMS_Stage2,5,1)</f>
        <v>Direct application</v>
      </c>
      <c r="F89" s="53" cm="1">
        <f t="array" ref="F89">_xlfn.XLOOKUP($I$75, Table_SourceData_Feedlot_MCF[#Headers], _xlfn.XLOOKUP(E89, Table_SourceData_Feedlot_MCF[NIR definition], Table_SourceData_Feedlot_MCF[]))</f>
        <v>0</v>
      </c>
      <c r="M89" s="53" t="str">
        <f>INDEX(X_Table_Feedlot_MMS_Stage1,2,1)</f>
        <v>Drylot (feed pad)</v>
      </c>
      <c r="N89" s="53" t="str">
        <f>INDEX(X_Table_Feedlot_MMS_Stage2,5,1)</f>
        <v>Direct application</v>
      </c>
      <c r="O89" s="53">
        <f>Common_InputFunctions.Common_GetMCFTemperatureZone($R$75,N89,Table_SourceData_Common_MCFTemperatureZone[MAT (ºC)],Table_SourceData_Common_MCFTemperatureZone[#Headers],Table_SourceData_Common_MCFTemperatureZone[])</f>
        <v>0</v>
      </c>
    </row>
    <row r="90" spans="4:17" ht="20.100000000000001" customHeight="1" x14ac:dyDescent="0.25"/>
    <row r="91" spans="4:17" ht="20.100000000000001" customHeight="1" x14ac:dyDescent="0.25">
      <c r="D91" s="93" t="s">
        <v>340</v>
      </c>
      <c r="E91" s="94"/>
      <c r="F91" s="94"/>
      <c r="G91" s="94"/>
      <c r="H91" s="88"/>
    </row>
    <row r="92" spans="4:17" ht="20.100000000000001" customHeight="1" x14ac:dyDescent="0.25"/>
    <row r="93" spans="4:17" ht="20.100000000000001" customHeight="1" x14ac:dyDescent="0.25">
      <c r="D93" s="100" t="s">
        <v>204</v>
      </c>
      <c r="M93" s="100" t="s">
        <v>206</v>
      </c>
    </row>
    <row r="94" spans="4:17" ht="20.100000000000001" customHeight="1" x14ac:dyDescent="0.25">
      <c r="D94" s="99" t="s">
        <v>205</v>
      </c>
      <c r="M94" s="99" t="s">
        <v>207</v>
      </c>
    </row>
    <row r="95" spans="4:17" ht="20.100000000000001" customHeight="1" x14ac:dyDescent="0.25">
      <c r="D95" s="52" t="s">
        <v>95</v>
      </c>
      <c r="E95" s="52" t="s">
        <v>131</v>
      </c>
      <c r="F95" s="52" t="s">
        <v>132</v>
      </c>
      <c r="G95" s="52" t="s">
        <v>133</v>
      </c>
      <c r="M95" s="52" t="s">
        <v>95</v>
      </c>
      <c r="N95" s="52" t="s">
        <v>131</v>
      </c>
      <c r="O95" s="52" t="s">
        <v>132</v>
      </c>
      <c r="P95" s="52" t="s">
        <v>133</v>
      </c>
    </row>
    <row r="96" spans="4:17" ht="20.100000000000001" customHeight="1" x14ac:dyDescent="0.25">
      <c r="D96" s="53" t="str">
        <f>INDEX(X_Table_Feedlot_MMS_Stage2,3,1)</f>
        <v>Solid storage</v>
      </c>
      <c r="E96" s="53" cm="1">
        <f t="array" aca="1" ref="E96" ca="1">MMS_Feedlot_Methane_Equations.VEERG_4_1_1_1__3_Stage2MethaneProduction($I$69,D$30,$I$71,F80,_xlfn.XLOOKUP($D96,$E$87:$E$89,$F$87:$F$89),$I$74)</f>
        <v>4.2789347327999993E-4</v>
      </c>
      <c r="F96" s="53" cm="1">
        <f t="array" aca="1" ref="F96" ca="1">MMS_Feedlot_Methane_Equations.VEERG_4_1_1_1__3_Stage2MethaneProduction($I$69,E$30,$I$71,G80,_xlfn.XLOOKUP($D96,$E$87:$E$89,$F$87:$F$89),$I$74)</f>
        <v>4.4435091455999993E-4</v>
      </c>
      <c r="G96" s="53" cm="1">
        <f t="array" aca="1" ref="G96" ca="1">MMS_Feedlot_Methane_Equations.VEERG_4_1_1_1__3_Stage2MethaneProduction($I$69,F$30,$I$71,H80,_xlfn.XLOOKUP($D96,$E$87:$E$89,$F$87:$F$89),$I$74)</f>
        <v>3.3737754623999993E-4</v>
      </c>
      <c r="H96" s="2" t="str">
        <f>$E$67</f>
        <v>kg CH4/head/day</v>
      </c>
      <c r="M96" s="53" t="str">
        <f>INDEX(X_Table_Feedlot_MMS_Stage2,3,1)</f>
        <v>Solid storage</v>
      </c>
      <c r="N96" s="53" cm="1">
        <f t="array" aca="1" ref="N96" ca="1">MMS_Feedlot_Methane_Equations.VEERG_4_1_1_1__3_Stage2MethaneProduction($I$69,M$30,$I$71,F80,_xlfn.XLOOKUP($M96,$N$87:$N$89,$O$87:$O$89),$I$74)</f>
        <v>4.2789347327999993E-4</v>
      </c>
      <c r="O96" s="53" cm="1">
        <f t="array" aca="1" ref="O96" ca="1">MMS_Feedlot_Methane_Equations.VEERG_4_1_1_1__3_Stage2MethaneProduction($I$69,N$30,$I$71,G80,_xlfn.XLOOKUP($M96,$N$87:$N$89,$O$87:$O$89),$I$74)</f>
        <v>4.4435091455999993E-4</v>
      </c>
      <c r="P96" s="53" cm="1">
        <f t="array" aca="1" ref="P96" ca="1">MMS_Feedlot_Methane_Equations.VEERG_4_1_1_1__3_Stage2MethaneProduction($I$69,O$30,$I$71,H80,_xlfn.XLOOKUP($M96,$N$87:$N$89,$O$87:$O$89),$I$74)</f>
        <v>3.3737754623999993E-4</v>
      </c>
      <c r="Q96" s="2" t="str">
        <f>$E$67</f>
        <v>kg CH4/head/day</v>
      </c>
    </row>
    <row r="97" spans="3:18" ht="20.100000000000001" customHeight="1" x14ac:dyDescent="0.25">
      <c r="D97" s="53" t="str">
        <f>INDEX(X_Table_Feedlot_MMS_Stage2,4,1)</f>
        <v>Composting (passive windrow)</v>
      </c>
      <c r="E97" s="53" cm="1">
        <f t="array" aca="1" ref="E97" ca="1">MMS_Feedlot_Methane_Equations.VEERG_4_1_1_1__3_Stage2MethaneProduction($I$69,D$30,$I$71,F81,_xlfn.XLOOKUP($D97,$E$87:$E$89,$F$87:$F$89),$I$74)</f>
        <v>2.1394673663999996E-4</v>
      </c>
      <c r="F97" s="53" cm="1">
        <f t="array" aca="1" ref="F97" ca="1">MMS_Feedlot_Methane_Equations.VEERG_4_1_1_1__3_Stage2MethaneProduction($I$69,E$30,$I$71,G81,_xlfn.XLOOKUP($D97,$E$87:$E$89,$F$87:$F$89),$I$74)</f>
        <v>2.2217545727999996E-4</v>
      </c>
      <c r="G97" s="53" cm="1">
        <f t="array" aca="1" ref="G97" ca="1">MMS_Feedlot_Methane_Equations.VEERG_4_1_1_1__3_Stage2MethaneProduction($I$69,F$30,$I$71,H81,_xlfn.XLOOKUP($D97,$E$87:$E$89,$F$87:$F$89),$I$74)</f>
        <v>1.6868877311999997E-4</v>
      </c>
      <c r="H97" s="2"/>
      <c r="M97" s="53" t="str">
        <f>INDEX(X_Table_Feedlot_MMS_Stage2,4,1)</f>
        <v>Composting (passive windrow)</v>
      </c>
      <c r="N97" s="53" cm="1">
        <f t="array" aca="1" ref="N97" ca="1">MMS_Feedlot_Methane_Equations.VEERG_4_1_1_1__3_Stage2MethaneProduction($I$69,M$30,$I$71,F81,_xlfn.XLOOKUP($M97,$N$87:$N$89,$O$87:$O$89),$I$74)</f>
        <v>2.1394673663999996E-4</v>
      </c>
      <c r="O97" s="53" cm="1">
        <f t="array" aca="1" ref="O97" ca="1">MMS_Feedlot_Methane_Equations.VEERG_4_1_1_1__3_Stage2MethaneProduction($I$69,N$30,$I$71,G81,_xlfn.XLOOKUP($M97,$N$87:$N$89,$O$87:$O$89),$I$74)</f>
        <v>2.2217545727999996E-4</v>
      </c>
      <c r="P97" s="53" cm="1">
        <f t="array" aca="1" ref="P97" ca="1">MMS_Feedlot_Methane_Equations.VEERG_4_1_1_1__3_Stage2MethaneProduction($I$69,O$30,$I$71,H81,_xlfn.XLOOKUP($M97,$N$87:$N$89,$O$87:$O$89),$I$74)</f>
        <v>1.6868877311999997E-4</v>
      </c>
      <c r="Q97" s="2"/>
    </row>
    <row r="98" spans="3:18" ht="20.100000000000001" customHeight="1" x14ac:dyDescent="0.25">
      <c r="D98" s="53" t="str">
        <f>INDEX(X_Table_Feedlot_MMS_Stage2,5,1)</f>
        <v>Direct application</v>
      </c>
      <c r="E98" s="53" cm="1">
        <f t="array" aca="1" ref="E98" ca="1">MMS_Feedlot_Methane_Equations.VEERG_4_1_1_1__3_Stage2MethaneProduction($I$69,D$30,$I$71,F82,_xlfn.XLOOKUP($D98,$E$87:$E$89,$F$87:$F$89),$I$74)</f>
        <v>0</v>
      </c>
      <c r="F98" s="53" cm="1">
        <f t="array" aca="1" ref="F98" ca="1">MMS_Feedlot_Methane_Equations.VEERG_4_1_1_1__3_Stage2MethaneProduction($I$69,E$30,$I$71,G82,_xlfn.XLOOKUP($D98,$E$87:$E$89,$F$87:$F$89),$I$74)</f>
        <v>0</v>
      </c>
      <c r="G98" s="53" cm="1">
        <f t="array" aca="1" ref="G98" ca="1">MMS_Feedlot_Methane_Equations.VEERG_4_1_1_1__3_Stage2MethaneProduction($I$69,F$30,$I$71,H82,_xlfn.XLOOKUP($D98,$E$87:$E$89,$F$87:$F$89),$I$74)</f>
        <v>0</v>
      </c>
      <c r="H98" s="2"/>
      <c r="M98" s="53" t="str">
        <f>INDEX(X_Table_Feedlot_MMS_Stage2,5,1)</f>
        <v>Direct application</v>
      </c>
      <c r="N98" s="53" cm="1">
        <f t="array" aca="1" ref="N98" ca="1">MMS_Feedlot_Methane_Equations.VEERG_4_1_1_1__3_Stage2MethaneProduction($I$69,M$30,$I$71,F82,_xlfn.XLOOKUP($M98,$N$87:$N$89,$O$87:$O$89),$I$74)</f>
        <v>0</v>
      </c>
      <c r="O98" s="53" cm="1">
        <f t="array" aca="1" ref="O98" ca="1">MMS_Feedlot_Methane_Equations.VEERG_4_1_1_1__3_Stage2MethaneProduction($I$69,N$30,$I$71,G82,_xlfn.XLOOKUP($M98,$N$87:$N$89,$O$87:$O$89),$I$74)</f>
        <v>0</v>
      </c>
      <c r="P98" s="53" cm="1">
        <f t="array" aca="1" ref="P98" ca="1">MMS_Feedlot_Methane_Equations.VEERG_4_1_1_1__3_Stage2MethaneProduction($I$69,O$30,$I$71,H82,_xlfn.XLOOKUP($M98,$N$87:$N$89,$O$87:$O$89),$I$74)</f>
        <v>0</v>
      </c>
      <c r="Q98" s="2"/>
    </row>
    <row r="99" spans="3:18" ht="20.100000000000001" customHeight="1" x14ac:dyDescent="0.25"/>
    <row r="100" spans="3:18" ht="20.100000000000001" customHeight="1" x14ac:dyDescent="0.25"/>
    <row r="101" spans="3:18" ht="20.100000000000001" customHeight="1" x14ac:dyDescent="0.25">
      <c r="C101" s="46"/>
      <c r="D101" s="46"/>
      <c r="E101" s="46"/>
      <c r="F101" s="46"/>
      <c r="G101" s="46"/>
      <c r="H101" s="46"/>
      <c r="I101" s="46"/>
      <c r="J101" s="46"/>
      <c r="L101" s="46"/>
      <c r="M101" s="46"/>
      <c r="N101" s="46"/>
      <c r="O101" s="46"/>
      <c r="P101" s="46"/>
      <c r="Q101" s="46"/>
      <c r="R101" s="46"/>
    </row>
    <row r="102" spans="3:18" ht="20.100000000000001" customHeight="1" x14ac:dyDescent="0.25">
      <c r="D102" s="6" t="str" cm="1">
        <f t="array" ref="D102">MMS_Feedlot_Methane_Equations.VEERG_4_1_1_1__4_Stage3MethaneProductionAnaerobicLagoon_Title()</f>
        <v>Production of methane in treatment stage 3 MMS</v>
      </c>
    </row>
    <row r="103" spans="3:18" ht="20.100000000000001" customHeight="1" x14ac:dyDescent="0.25">
      <c r="D103" s="5" t="str" cm="1">
        <f t="array" ref="D103">MMS_Feedlot_Methane_Equations.VEERG_4_1_1_1__4_Stage3MethaneProductionAnaerobicLagoon_Source()</f>
        <v>VEERG 2026: 4.1.1.1, Equation (4)</v>
      </c>
    </row>
    <row r="104" spans="3:18" ht="20.100000000000001" customHeight="1" x14ac:dyDescent="0.25">
      <c r="D104" s="13" t="s">
        <v>23</v>
      </c>
      <c r="E104" s="13" t="str" cm="1">
        <f t="array" aca="1" ref="E104" ca="1">Common_InputFunctions.Utility_DisplayFunctionName(E125)</f>
        <v>=MMS_Feedlot_Methane_Equations.VEERG_4_1_1_1__4_Stage3MethaneProductionAnaerobicLagoon</v>
      </c>
    </row>
    <row r="105" spans="3:18" ht="20.100000000000001" customHeight="1" x14ac:dyDescent="0.25"/>
    <row r="106" spans="3:18" ht="20.100000000000001" customHeight="1" x14ac:dyDescent="0.25">
      <c r="D106" s="6"/>
    </row>
    <row r="107" spans="3:18" ht="20.100000000000001" customHeight="1" x14ac:dyDescent="0.25">
      <c r="D107" s="54" t="s">
        <v>26</v>
      </c>
      <c r="E107" s="1" t="str" cm="1">
        <f t="array" ref="E107">MMS_Feedlot_Methane_Equations.VEERG_4_1_1_1__4_Stage3MethaneProductionAnaerobicLagoon_Variable()</f>
        <v>M_jm1T3</v>
      </c>
    </row>
    <row r="108" spans="3:18" ht="20.100000000000001" customHeight="1" x14ac:dyDescent="0.25">
      <c r="D108" s="54" t="s">
        <v>16</v>
      </c>
      <c r="E108" s="55" t="str" cm="1">
        <f t="array" ref="E108">MMS_Feedlot_Methane_Equations.VEERG_4_1_1_1__4_Stage3MethaneProductionAnaerobicLagoon_Unit()</f>
        <v>kg CH4/head/day</v>
      </c>
    </row>
    <row r="109" spans="3:18" ht="20.100000000000001" customHeight="1" x14ac:dyDescent="0.25"/>
    <row r="110" spans="3:18" ht="20.100000000000001" customHeight="1" x14ac:dyDescent="0.25">
      <c r="D110" s="134" t="str" cm="1">
        <f t="array" ref="D110:E115">_xlfn.CHOOSECOLS(MMS_Feedlot_Methane_Equations.VEERG_4_1_1_1__4_Stage3MethaneProductionAnaerobicLagoon_Arguments(),1,2)</f>
        <v>VS_j</v>
      </c>
      <c r="E110" s="137" t="str">
        <v>volatile solid production from feedlot cattle in each group j</v>
      </c>
      <c r="F110" s="136"/>
      <c r="G110" s="134" t="str" cm="1">
        <f t="array" ref="G110:H115">_xlfn.CHOOSECOLS(MMS_Feedlot_Methane_Equations.VEERG_4_1_1_1__4_Stage3MethaneProductionAnaerobicLagoon_Arguments(),3,4)</f>
        <v>kg/head/day</v>
      </c>
      <c r="H110" s="126" t="str">
        <v>Calculated from 4.1.1.1 (5)</v>
      </c>
      <c r="I110" s="135" t="str" cm="1">
        <f t="array" aca="1" ref="I110" ca="1">HYPERLINK(Common_InputFunctions.Utility_SourceHyperlink($D$27),$D$27)</f>
        <v>M1_Table_VS_j</v>
      </c>
      <c r="M110" s="134" t="str" cm="1">
        <f t="array" ref="M110:N115">_xlfn.CHOOSECOLS(MMS_Feedlot_Methane_Equations.VEERG_4_1_1_1__4_Stage3MethaneProductionAnaerobicLagoon_Arguments_Method2(),1,2)</f>
        <v>VS_j</v>
      </c>
      <c r="N110" s="137" t="str">
        <v>volatile solid production from feedlot cattle in each group j</v>
      </c>
      <c r="O110" s="136"/>
      <c r="P110" s="134" t="str" cm="1">
        <f t="array" ref="P110:Q115">_xlfn.CHOOSECOLS(MMS_Feedlot_Methane_Equations.VEERG_4_1_1_1__4_Stage3MethaneProductionAnaerobicLagoon_Arguments_Method2(),3,4)</f>
        <v>kg/head/day</v>
      </c>
      <c r="Q110" s="126" t="str">
        <v>Calculated from 4.1.1.1 (5)</v>
      </c>
      <c r="R110" s="135"/>
    </row>
    <row r="111" spans="3:18" ht="20.100000000000001" customHeight="1" x14ac:dyDescent="0.25">
      <c r="D111" s="134" t="str">
        <v>BO</v>
      </c>
      <c r="E111" s="137" t="str">
        <v>emissions potential</v>
      </c>
      <c r="F111" s="136"/>
      <c r="G111" s="134" t="str">
        <v>m3 CH4/kg VS</v>
      </c>
      <c r="H111" s="126" t="str">
        <v>Constant</v>
      </c>
      <c r="I111" s="134">
        <f>SourceData_Feedlot_MethaneEmissionsPotential_Data</f>
        <v>0.19</v>
      </c>
      <c r="M111" s="134" t="str">
        <v>BO</v>
      </c>
      <c r="N111" s="137" t="str">
        <v>emissions potential</v>
      </c>
      <c r="O111" s="136"/>
      <c r="P111" s="134" t="str">
        <v>m3 CH4/kg VS</v>
      </c>
      <c r="Q111" s="126" t="str">
        <v>Constant</v>
      </c>
      <c r="R111" s="134"/>
    </row>
    <row r="112" spans="3:18" ht="20.100000000000001" customHeight="1" x14ac:dyDescent="0.25">
      <c r="D112" s="134" t="str">
        <v>MMS_m1T3</v>
      </c>
      <c r="E112" s="137" t="str">
        <v>fraction of manure to tertiary anaerobic lagoon system</v>
      </c>
      <c r="F112" s="136"/>
      <c r="G112" s="134" t="str">
        <v>fraction</v>
      </c>
      <c r="H112" s="125" t="str">
        <v>Input</v>
      </c>
      <c r="I112" s="135" t="str" cm="1">
        <f t="array" aca="1" ref="I112" ca="1">HYPERLINK(Common_InputFunctions.Utility_SourceHyperlink($D$117),$D$117)</f>
        <v>Table_MMS_m-1_T-3</v>
      </c>
      <c r="M112" s="134" t="str">
        <v>MMS_m1T3</v>
      </c>
      <c r="N112" s="137" t="str">
        <v>fraction of manure to tertiary anaerobic lagoon system</v>
      </c>
      <c r="O112" s="136"/>
      <c r="P112" s="134" t="str">
        <v>fraction</v>
      </c>
      <c r="Q112" s="125" t="str">
        <v>Input</v>
      </c>
      <c r="R112" s="135" t="str" cm="1">
        <f t="array" aca="1" ref="R112" ca="1">HYPERLINK(Common_InputFunctions.Utility_SourceHyperlink($D$117),$D$117)</f>
        <v>Table_MMS_m-1_T-3</v>
      </c>
    </row>
    <row r="113" spans="3:18" ht="20.100000000000001" customHeight="1" x14ac:dyDescent="0.25">
      <c r="D113" s="134" t="str">
        <v>MCF_im1</v>
      </c>
      <c r="E113" s="137" t="str">
        <v>methane conversion factor for state and anaerobic lagoon system</v>
      </c>
      <c r="F113" s="136"/>
      <c r="G113" s="134" t="str">
        <v>fraction</v>
      </c>
      <c r="H113" s="126" t="str">
        <v>Constant</v>
      </c>
      <c r="I113" s="134">
        <f>HLOOKUP(I115, Table_SourceData_Feedlot_MCF[#All], 6, FALSE)</f>
        <v>0.77</v>
      </c>
      <c r="M113" s="134" t="str">
        <v>MCF_im1</v>
      </c>
      <c r="N113" s="137" t="str">
        <v>methane conversion factor for mean annual temperature and anaerobic lagoon system</v>
      </c>
      <c r="O113" s="136"/>
      <c r="P113" s="134" t="str">
        <v>fraction</v>
      </c>
      <c r="Q113" s="126" t="str">
        <v>Constant</v>
      </c>
      <c r="R113" s="134">
        <f>Common_InputFunctions.Common_GetMCFTemperatureZone(R115,M125,Table_SourceData_Common_MCFTemperatureZone[MAT (ºC)],Table_SourceData_Common_MCFTemperatureZone[#Headers],Table_SourceData_Common_MCFTemperatureZone[])</f>
        <v>0.77</v>
      </c>
    </row>
    <row r="114" spans="3:18" ht="20.100000000000001" customHeight="1" x14ac:dyDescent="0.25">
      <c r="D114" s="134" t="str">
        <v>rho</v>
      </c>
      <c r="E114" s="137" t="str">
        <v>density of methane</v>
      </c>
      <c r="F114" s="136"/>
      <c r="G114" s="134" t="str">
        <v>kg/m3</v>
      </c>
      <c r="H114" s="126" t="str">
        <v>Constant</v>
      </c>
      <c r="I114" s="134">
        <f>Common_SourceData_DensityOfMethane_Data</f>
        <v>0.6784</v>
      </c>
      <c r="M114" s="134" t="str">
        <v>rho</v>
      </c>
      <c r="N114" s="137" t="str">
        <v>density of methane</v>
      </c>
      <c r="O114" s="136"/>
      <c r="P114" s="134" t="str">
        <v>kg/m3</v>
      </c>
      <c r="Q114" s="126" t="str">
        <v>Constant</v>
      </c>
      <c r="R114" s="134"/>
    </row>
    <row r="115" spans="3:18" ht="20.100000000000001" customHeight="1" x14ac:dyDescent="0.25">
      <c r="D115" s="134" t="str">
        <v>i</v>
      </c>
      <c r="E115" s="137" t="str">
        <v>state</v>
      </c>
      <c r="F115" s="136"/>
      <c r="G115" s="134" t="str">
        <v/>
      </c>
      <c r="H115" s="125" t="str">
        <v>Input</v>
      </c>
      <c r="I115" s="134" t="str">
        <f>Common_InputFunctions.Utility_LookupValueInTable(X_Cell_Site_State,Table_AustralianStates[Common Name],Table_AustralianStates[Abbreviation])</f>
        <v>WA</v>
      </c>
      <c r="M115" s="134" t="str">
        <v>i</v>
      </c>
      <c r="N115" s="137" t="str">
        <v>Mean annual temperature</v>
      </c>
      <c r="O115" s="136"/>
      <c r="P115" s="134" t="str">
        <v/>
      </c>
      <c r="Q115" s="125" t="str">
        <v>Input</v>
      </c>
      <c r="R115" s="58">
        <f>X_Cell_Site_AverageTemperature</f>
        <v>18</v>
      </c>
    </row>
    <row r="116" spans="3:18" ht="20.100000000000001" customHeight="1" x14ac:dyDescent="0.25"/>
    <row r="117" spans="3:18" ht="20.100000000000001" customHeight="1" x14ac:dyDescent="0.25">
      <c r="D117" s="100" t="s">
        <v>109</v>
      </c>
    </row>
    <row r="118" spans="3:18" ht="20.100000000000001" customHeight="1" x14ac:dyDescent="0.25">
      <c r="D118" s="99" t="s">
        <v>111</v>
      </c>
    </row>
    <row r="119" spans="3:18" ht="20.100000000000001" customHeight="1" x14ac:dyDescent="0.25">
      <c r="D119" s="40" t="s">
        <v>110</v>
      </c>
      <c r="E119" s="40" t="s">
        <v>131</v>
      </c>
      <c r="F119" s="40" t="s">
        <v>132</v>
      </c>
      <c r="G119" s="40" t="s">
        <v>133</v>
      </c>
    </row>
    <row r="120" spans="3:18" ht="20.100000000000001" customHeight="1" x14ac:dyDescent="0.25">
      <c r="D120" s="53" t="str" cm="1">
        <f t="array" aca="1" ref="D120:G120" ca="1">OFFSET(X_Table_Feedlot_MMS_Stage3,2,0,1,4)</f>
        <v>Anaerobic lagoon</v>
      </c>
      <c r="E120" s="53">
        <f ca="1"/>
        <v>0.02</v>
      </c>
      <c r="F120" s="53">
        <f ca="1"/>
        <v>0.02</v>
      </c>
      <c r="G120" s="53">
        <f ca="1"/>
        <v>0.02</v>
      </c>
      <c r="H120" s="2" t="str">
        <f>G112</f>
        <v>fraction</v>
      </c>
    </row>
    <row r="121" spans="3:18" ht="20.100000000000001" customHeight="1" x14ac:dyDescent="0.25"/>
    <row r="122" spans="3:18" ht="20.100000000000001" customHeight="1" x14ac:dyDescent="0.25">
      <c r="D122" s="100" t="s">
        <v>208</v>
      </c>
      <c r="M122" s="100" t="s">
        <v>210</v>
      </c>
    </row>
    <row r="123" spans="3:18" ht="20.100000000000001" customHeight="1" x14ac:dyDescent="0.25">
      <c r="D123" s="99" t="s">
        <v>209</v>
      </c>
      <c r="M123" s="99" t="s">
        <v>211</v>
      </c>
    </row>
    <row r="124" spans="3:18" ht="20.100000000000001" customHeight="1" x14ac:dyDescent="0.25">
      <c r="D124" s="52" t="s">
        <v>110</v>
      </c>
      <c r="E124" s="52" t="s">
        <v>131</v>
      </c>
      <c r="F124" s="52" t="s">
        <v>132</v>
      </c>
      <c r="G124" s="52" t="s">
        <v>133</v>
      </c>
      <c r="M124" s="52" t="s">
        <v>110</v>
      </c>
      <c r="N124" s="52" t="s">
        <v>131</v>
      </c>
      <c r="O124" s="52" t="s">
        <v>132</v>
      </c>
      <c r="P124" s="52" t="s">
        <v>133</v>
      </c>
    </row>
    <row r="125" spans="3:18" ht="20.100000000000001" customHeight="1" x14ac:dyDescent="0.25">
      <c r="D125" s="53" t="str">
        <f>INDEX(X_Table_Feedlot_MMS_Stage3,3,1)</f>
        <v>Anaerobic lagoon</v>
      </c>
      <c r="E125" s="53" cm="1">
        <f t="array" aca="1" ref="E125" ca="1">MMS_Feedlot_Methane_Equations.VEERG_4_1_1_1__4_Stage3MethaneProductionAnaerobicLagoon(D$30, $I$111,E120,$I$113,$I$114)</f>
        <v>3.2947797442559996E-3</v>
      </c>
      <c r="F125" s="53" cm="1">
        <f t="array" aca="1" ref="F125" ca="1">MMS_Feedlot_Methane_Equations.VEERG_4_1_1_1__4_Stage3MethaneProductionAnaerobicLagoon(E$30, $I$111,F120,$I$113,$I$114)</f>
        <v>3.4215020421119995E-3</v>
      </c>
      <c r="G125" s="53" cm="1">
        <f t="array" aca="1" ref="G125" ca="1">MMS_Feedlot_Methane_Equations.VEERG_4_1_1_1__4_Stage3MethaneProductionAnaerobicLagoon(F$30, $I$111,G120,$I$113,$I$114)</f>
        <v>2.5978071060479987E-3</v>
      </c>
      <c r="H125" s="2" t="str">
        <f>$E$108</f>
        <v>kg CH4/head/day</v>
      </c>
      <c r="M125" s="53" t="str">
        <f>INDEX(X_Table_Feedlot_MMS_Stage3,3,1)</f>
        <v>Anaerobic lagoon</v>
      </c>
      <c r="N125" s="53" cm="1">
        <f t="array" aca="1" ref="N125" ca="1">MMS_Feedlot_Methane_Equations.VEERG_4_1_1_1__4_Stage3MethaneProductionAnaerobicLagoon(M$30, $I$111,E120,$R$113,$I$114)</f>
        <v>3.2947797442559996E-3</v>
      </c>
      <c r="O125" s="53" cm="1">
        <f t="array" aca="1" ref="O125" ca="1">MMS_Feedlot_Methane_Equations.VEERG_4_1_1_1__4_Stage3MethaneProductionAnaerobicLagoon(N$30, $I$111,F120,$R$113,$I$114)</f>
        <v>3.4215020421119995E-3</v>
      </c>
      <c r="P125" s="53" cm="1">
        <f t="array" aca="1" ref="P125" ca="1">MMS_Feedlot_Methane_Equations.VEERG_4_1_1_1__4_Stage3MethaneProductionAnaerobicLagoon(O$30, $I$111,G120,$R$113,$I$114)</f>
        <v>2.5978071060479987E-3</v>
      </c>
      <c r="Q125" s="2" t="str">
        <f>$E$108</f>
        <v>kg CH4/head/day</v>
      </c>
    </row>
    <row r="126" spans="3:18" ht="20.100000000000001" customHeight="1" x14ac:dyDescent="0.25"/>
    <row r="127" spans="3:18" ht="20.100000000000001" customHeight="1" x14ac:dyDescent="0.25"/>
    <row r="128" spans="3:18" ht="20.100000000000001" customHeight="1" x14ac:dyDescent="0.25">
      <c r="C128" s="46"/>
      <c r="D128" s="46"/>
      <c r="E128" s="46"/>
      <c r="F128" s="46"/>
      <c r="G128" s="46"/>
      <c r="H128" s="46"/>
      <c r="I128" s="46"/>
      <c r="J128" s="46"/>
      <c r="L128" s="46"/>
      <c r="M128" s="46"/>
      <c r="N128" s="46"/>
      <c r="O128" s="46"/>
      <c r="P128" s="46"/>
      <c r="Q128" s="46"/>
      <c r="R128" s="46"/>
    </row>
    <row r="129" spans="4:9" ht="20.100000000000001" customHeight="1" x14ac:dyDescent="0.25">
      <c r="D129" s="6" t="str" cm="1">
        <f t="array" ref="D129">MMS_Feedlot_Methane_Equations.VEERG_4_1_1_1__1_TotalAnnualMethaneEmissions_Title()</f>
        <v>Total annual methane emissions from manure management</v>
      </c>
    </row>
    <row r="130" spans="4:9" ht="20.100000000000001" customHeight="1" x14ac:dyDescent="0.25">
      <c r="D130" s="5" t="str" cm="1">
        <f t="array" ref="D130">MMS_Feedlot_Methane_Equations.VEERG_4_1_1_1__1_TotalAnnualMethaneEmissions_Source()</f>
        <v>VEERG 2026: 4.1.1.1, Equation (1)</v>
      </c>
    </row>
    <row r="131" spans="4:9" ht="20.100000000000001" customHeight="1" x14ac:dyDescent="0.25">
      <c r="D131" s="13" t="s">
        <v>23</v>
      </c>
      <c r="E131" s="13" t="str" cm="1">
        <f t="array" aca="1" ref="E131" ca="1">Common_InputFunctions.Utility_DisplayFunctionName(F164)</f>
        <v>=MMS_Feedlot_Methane_Equations.VEERG_4_1_1_1__1_TotalAnnualMethaneEmissions</v>
      </c>
    </row>
    <row r="132" spans="4:9" ht="20.100000000000001" customHeight="1" x14ac:dyDescent="0.25"/>
    <row r="133" spans="4:9" ht="20.100000000000001" customHeight="1" x14ac:dyDescent="0.25">
      <c r="D133" s="6"/>
    </row>
    <row r="134" spans="4:9" ht="20.100000000000001" customHeight="1" x14ac:dyDescent="0.25"/>
    <row r="135" spans="4:9" ht="20.100000000000001" customHeight="1" x14ac:dyDescent="0.25">
      <c r="D135" s="54" t="s">
        <v>26</v>
      </c>
      <c r="E135" s="1" t="str" cm="1">
        <f t="array" ref="E135">MMS_Feedlot_Methane_Equations.VEERG_4_1_1_1__1_TotalAnnualMethaneEmissions_Variable()</f>
        <v>E_CH4</v>
      </c>
    </row>
    <row r="136" spans="4:9" ht="20.100000000000001" customHeight="1" x14ac:dyDescent="0.25">
      <c r="D136" s="54" t="s">
        <v>16</v>
      </c>
      <c r="E136" s="55" t="str" cm="1">
        <f t="array" ref="E136">MMS_Feedlot_Methane_Equations.VEERG_4_1_1_1__1_TotalAnnualMethaneEmissions_Unit()</f>
        <v>t CH4</v>
      </c>
    </row>
    <row r="137" spans="4:9" ht="20.100000000000001" customHeight="1" x14ac:dyDescent="0.25"/>
    <row r="138" spans="4:9" ht="20.100000000000001" customHeight="1" x14ac:dyDescent="0.25">
      <c r="D138" s="134" t="str" cm="1">
        <f t="array" ref="D138:E140">_xlfn.CHOOSECOLS(MMS_Feedlot_Methane_Equations.VEERG_4_1_1_1__1_TotalAnnualMethaneEmissions_Arguments(),1,2)</f>
        <v>D_j</v>
      </c>
      <c r="E138" s="137" t="str">
        <v>length of stay of each cattle group</v>
      </c>
      <c r="F138" s="136"/>
      <c r="G138" s="134" t="str" cm="1">
        <f t="array" ref="G138:H140">_xlfn.CHOOSECOLS(MMS_Feedlot_Methane_Equations.VEERG_4_1_1_1__1_TotalAnnualMethaneEmissions_Arguments(),3,4)</f>
        <v>days</v>
      </c>
      <c r="H138" s="125" t="str">
        <v>Input</v>
      </c>
      <c r="I138" s="135" t="str" cm="1">
        <f t="array" aca="1" ref="I138" ca="1">HYPERLINK(Common_InputFunctions.Utility_SourceHyperlink($D$142),$D$142)</f>
        <v>Table_D_j</v>
      </c>
    </row>
    <row r="139" spans="4:9" ht="20.100000000000001" customHeight="1" x14ac:dyDescent="0.25">
      <c r="D139" s="134" t="str">
        <v>M_jmT</v>
      </c>
      <c r="E139" s="137" t="str">
        <v>methane production from manure per cattle group, MMS, and treatment stage</v>
      </c>
      <c r="F139" s="136"/>
      <c r="G139" s="134" t="str">
        <v>kg CH4/head/day</v>
      </c>
      <c r="H139" s="126" t="str">
        <v>Calculated from 4.1.1.1 (2)(3)(4)</v>
      </c>
      <c r="I139" s="135" t="str" cm="1">
        <f t="array" aca="1" ref="I139" ca="1">HYPERLINK(Common_InputFunctions.Utility_SourceHyperlink($D$147),$D$147)</f>
        <v>M1_Table_M_j_m_T</v>
      </c>
    </row>
    <row r="140" spans="4:9" ht="20.100000000000001" customHeight="1" x14ac:dyDescent="0.25">
      <c r="D140" s="134" t="str">
        <v>N_j</v>
      </c>
      <c r="E140" s="137" t="str">
        <v>numbers of beef cattle in each group</v>
      </c>
      <c r="F140" s="136"/>
      <c r="G140" s="134" t="str">
        <v>head</v>
      </c>
      <c r="H140" s="125" t="str">
        <v>Input</v>
      </c>
      <c r="I140" s="135" t="str" cm="1">
        <f t="array" aca="1" ref="I140" ca="1">HYPERLINK(Common_InputFunctions.Utility_SourceHyperlink($D$156),$D$156)</f>
        <v>Table_N_j</v>
      </c>
    </row>
    <row r="141" spans="4:9" ht="20.100000000000001" customHeight="1" x14ac:dyDescent="0.25"/>
    <row r="142" spans="4:9" ht="20.100000000000001" customHeight="1" x14ac:dyDescent="0.25">
      <c r="D142" s="100" t="s">
        <v>115</v>
      </c>
    </row>
    <row r="143" spans="4:9" ht="20.100000000000001" customHeight="1" x14ac:dyDescent="0.25">
      <c r="D143" s="99" t="s">
        <v>113</v>
      </c>
    </row>
    <row r="144" spans="4:9" ht="20.100000000000001" customHeight="1" x14ac:dyDescent="0.25">
      <c r="D144" s="40" t="s">
        <v>131</v>
      </c>
      <c r="E144" s="40" t="s">
        <v>132</v>
      </c>
      <c r="F144" s="40" t="s">
        <v>133</v>
      </c>
    </row>
    <row r="145" spans="4:18" ht="20.100000000000001" customHeight="1" x14ac:dyDescent="0.25">
      <c r="D145" s="103" cm="1">
        <f t="array" aca="1" ref="D145:F145" ca="1">OFFSET(X_Table_Feedlot_HerdMovement,2,1,1,3)</f>
        <v>90</v>
      </c>
      <c r="E145" s="103">
        <f ca="1"/>
        <v>140</v>
      </c>
      <c r="F145" s="103">
        <f ca="1"/>
        <v>250</v>
      </c>
      <c r="G145" s="2" t="str">
        <f>G138</f>
        <v>days</v>
      </c>
    </row>
    <row r="146" spans="4:18" ht="20.100000000000001" customHeight="1" x14ac:dyDescent="0.25"/>
    <row r="147" spans="4:18" ht="20.100000000000001" customHeight="1" x14ac:dyDescent="0.25">
      <c r="D147" s="100" t="s">
        <v>212</v>
      </c>
      <c r="M147" s="100" t="s">
        <v>214</v>
      </c>
    </row>
    <row r="148" spans="4:18" ht="20.100000000000001" customHeight="1" x14ac:dyDescent="0.25">
      <c r="D148" s="99" t="s">
        <v>213</v>
      </c>
      <c r="M148" s="99" t="s">
        <v>215</v>
      </c>
    </row>
    <row r="149" spans="4:18" ht="20.100000000000001" customHeight="1" x14ac:dyDescent="0.25">
      <c r="D149" s="52" t="s">
        <v>119</v>
      </c>
      <c r="E149" s="52" t="s">
        <v>64</v>
      </c>
      <c r="F149" s="52" t="s">
        <v>131</v>
      </c>
      <c r="G149" s="52" t="s">
        <v>132</v>
      </c>
      <c r="H149" s="52" t="s">
        <v>133</v>
      </c>
      <c r="M149" s="52" t="s">
        <v>119</v>
      </c>
      <c r="N149" s="52" t="s">
        <v>64</v>
      </c>
      <c r="O149" s="52" t="s">
        <v>131</v>
      </c>
      <c r="P149" s="52" t="s">
        <v>132</v>
      </c>
      <c r="Q149" s="52" t="s">
        <v>133</v>
      </c>
    </row>
    <row r="150" spans="4:18" ht="20.100000000000001" customHeight="1" x14ac:dyDescent="0.25">
      <c r="D150" s="53">
        <v>1</v>
      </c>
      <c r="E150" s="53" t="str">
        <f>INDEX(X_Table_Feedlot_MMS_Stage1,2,1)</f>
        <v>Drylot (feed pad)</v>
      </c>
      <c r="F150" s="53">
        <f ca="1">$E$57</f>
        <v>2.1394673663999997E-3</v>
      </c>
      <c r="G150" s="53">
        <f ca="1">$F$57</f>
        <v>2.2217545727999995E-3</v>
      </c>
      <c r="H150" s="53">
        <f ca="1">$G$57</f>
        <v>1.6868877311999992E-3</v>
      </c>
      <c r="I150" s="2" t="str">
        <f>$G$139</f>
        <v>kg CH4/head/day</v>
      </c>
      <c r="M150" s="53">
        <v>1</v>
      </c>
      <c r="N150" s="53" t="str">
        <f>INDEX(X_Table_Feedlot_MMS_Stage1,2,1)</f>
        <v>Drylot (feed pad)</v>
      </c>
      <c r="O150" s="53">
        <f ca="1">$N$57</f>
        <v>2.1394673663999997E-3</v>
      </c>
      <c r="P150" s="53">
        <f ca="1">$O$57</f>
        <v>2.2217545727999995E-3</v>
      </c>
      <c r="Q150" s="53">
        <f ca="1">$P$57</f>
        <v>1.6868877311999992E-3</v>
      </c>
      <c r="R150" s="2" t="str">
        <f>$G$139</f>
        <v>kg CH4/head/day</v>
      </c>
    </row>
    <row r="151" spans="4:18" ht="20.100000000000001" customHeight="1" x14ac:dyDescent="0.25">
      <c r="D151" s="53">
        <v>2</v>
      </c>
      <c r="E151" s="53" t="str">
        <f>INDEX(X_Table_Feedlot_MMS_Stage2,3,1)</f>
        <v>Solid storage</v>
      </c>
      <c r="F151" s="53">
        <f ca="1">$E$96</f>
        <v>4.2789347327999993E-4</v>
      </c>
      <c r="G151" s="53">
        <f ca="1">$F$96</f>
        <v>4.4435091455999993E-4</v>
      </c>
      <c r="H151" s="53">
        <f ca="1">$G$96</f>
        <v>3.3737754623999993E-4</v>
      </c>
      <c r="I151" s="2"/>
      <c r="M151" s="53">
        <v>2</v>
      </c>
      <c r="N151" s="53" t="str">
        <f>INDEX(X_Table_Feedlot_MMS_Stage2,3,1)</f>
        <v>Solid storage</v>
      </c>
      <c r="O151" s="53">
        <f ca="1">$N$96</f>
        <v>4.2789347327999993E-4</v>
      </c>
      <c r="P151" s="53">
        <f ca="1">$O$96</f>
        <v>4.4435091455999993E-4</v>
      </c>
      <c r="Q151" s="53">
        <f ca="1">$P$96</f>
        <v>3.3737754623999993E-4</v>
      </c>
      <c r="R151" s="2"/>
    </row>
    <row r="152" spans="4:18" ht="20.100000000000001" customHeight="1" x14ac:dyDescent="0.25">
      <c r="D152" s="53">
        <v>2</v>
      </c>
      <c r="E152" s="53" t="str">
        <f>INDEX(X_Table_Feedlot_MMS_Stage2,4,1)</f>
        <v>Composting (passive windrow)</v>
      </c>
      <c r="F152" s="53">
        <f ca="1">$E$97</f>
        <v>2.1394673663999996E-4</v>
      </c>
      <c r="G152" s="53">
        <f ca="1">$F$97</f>
        <v>2.2217545727999996E-4</v>
      </c>
      <c r="H152" s="53">
        <f ca="1">$G$97</f>
        <v>1.6868877311999997E-4</v>
      </c>
      <c r="I152" s="2"/>
      <c r="M152" s="53">
        <v>2</v>
      </c>
      <c r="N152" s="53" t="str">
        <f>INDEX(X_Table_Feedlot_MMS_Stage2,4,1)</f>
        <v>Composting (passive windrow)</v>
      </c>
      <c r="O152" s="53">
        <f ca="1">$N$97</f>
        <v>2.1394673663999996E-4</v>
      </c>
      <c r="P152" s="53">
        <f ca="1">$O$97</f>
        <v>2.2217545727999996E-4</v>
      </c>
      <c r="Q152" s="53">
        <f ca="1">$P$97</f>
        <v>1.6868877311999997E-4</v>
      </c>
      <c r="R152" s="2"/>
    </row>
    <row r="153" spans="4:18" ht="20.100000000000001" customHeight="1" x14ac:dyDescent="0.25">
      <c r="D153" s="53">
        <v>2</v>
      </c>
      <c r="E153" s="53" t="str">
        <f>INDEX(X_Table_Feedlot_MMS_Stage2,5,1)</f>
        <v>Direct application</v>
      </c>
      <c r="F153" s="53">
        <f ca="1">$E$98</f>
        <v>0</v>
      </c>
      <c r="G153" s="53">
        <f ca="1">$E$98</f>
        <v>0</v>
      </c>
      <c r="H153" s="53">
        <f ca="1">$E$98</f>
        <v>0</v>
      </c>
      <c r="I153" s="2"/>
      <c r="M153" s="53">
        <v>2</v>
      </c>
      <c r="N153" s="53" t="str">
        <f>INDEX(X_Table_Feedlot_MMS_Stage2,5,1)</f>
        <v>Direct application</v>
      </c>
      <c r="O153" s="53">
        <f ca="1">$E$98</f>
        <v>0</v>
      </c>
      <c r="P153" s="53">
        <f ca="1">$E$98</f>
        <v>0</v>
      </c>
      <c r="Q153" s="53">
        <f ca="1">$E$98</f>
        <v>0</v>
      </c>
      <c r="R153" s="2"/>
    </row>
    <row r="154" spans="4:18" ht="20.100000000000001" customHeight="1" x14ac:dyDescent="0.25">
      <c r="D154" s="53">
        <v>3</v>
      </c>
      <c r="E154" s="53" t="str">
        <f>INDEX(X_Table_Feedlot_MMS_Stage3,3,1)</f>
        <v>Anaerobic lagoon</v>
      </c>
      <c r="F154" s="53">
        <f ca="1">$E$125</f>
        <v>3.2947797442559996E-3</v>
      </c>
      <c r="G154" s="53">
        <f ca="1">$F$125</f>
        <v>3.4215020421119995E-3</v>
      </c>
      <c r="H154" s="53">
        <f ca="1">$G$125</f>
        <v>2.5978071060479987E-3</v>
      </c>
      <c r="I154" s="2"/>
      <c r="M154" s="53">
        <v>3</v>
      </c>
      <c r="N154" s="53" t="str">
        <f>INDEX(X_Table_Feedlot_MMS_Stage3,3,1)</f>
        <v>Anaerobic lagoon</v>
      </c>
      <c r="O154" s="53">
        <f ca="1">$N$125</f>
        <v>3.2947797442559996E-3</v>
      </c>
      <c r="P154" s="53">
        <f ca="1">$O$125</f>
        <v>3.4215020421119995E-3</v>
      </c>
      <c r="Q154" s="53">
        <f ca="1">$P$125</f>
        <v>2.5978071060479987E-3</v>
      </c>
      <c r="R154" s="2"/>
    </row>
    <row r="155" spans="4:18" ht="20.100000000000001" customHeight="1" x14ac:dyDescent="0.25"/>
    <row r="156" spans="4:18" ht="20.100000000000001" customHeight="1" x14ac:dyDescent="0.25">
      <c r="D156" s="100" t="s">
        <v>116</v>
      </c>
    </row>
    <row r="157" spans="4:18" ht="20.100000000000001" customHeight="1" x14ac:dyDescent="0.25">
      <c r="D157" s="99" t="s">
        <v>117</v>
      </c>
    </row>
    <row r="158" spans="4:18" ht="20.100000000000001" customHeight="1" x14ac:dyDescent="0.25">
      <c r="D158" s="40" t="s">
        <v>131</v>
      </c>
      <c r="E158" s="40" t="s">
        <v>132</v>
      </c>
      <c r="F158" s="40" t="s">
        <v>133</v>
      </c>
    </row>
    <row r="159" spans="4:18" ht="20.100000000000001" customHeight="1" x14ac:dyDescent="0.25">
      <c r="D159" s="103" cm="1">
        <f t="array" aca="1" ref="D159:F159" ca="1">OFFSET(X_Table_Feedlot_HerdMovement,1,1,1,3)</f>
        <v>1000</v>
      </c>
      <c r="E159" s="103">
        <f ca="1"/>
        <v>1000</v>
      </c>
      <c r="F159" s="103">
        <f ca="1"/>
        <v>1000</v>
      </c>
      <c r="G159" s="2" t="str">
        <f>G140</f>
        <v>head</v>
      </c>
    </row>
    <row r="160" spans="4:18" ht="20.100000000000001" customHeight="1" x14ac:dyDescent="0.25"/>
    <row r="161" spans="4:18" ht="20.100000000000001" customHeight="1" x14ac:dyDescent="0.25">
      <c r="D161" s="100" t="s">
        <v>121</v>
      </c>
      <c r="M161" s="100" t="s">
        <v>121</v>
      </c>
    </row>
    <row r="162" spans="4:18" ht="20.100000000000001" customHeight="1" x14ac:dyDescent="0.25">
      <c r="D162" s="99" t="s">
        <v>122</v>
      </c>
      <c r="M162" s="99" t="s">
        <v>122</v>
      </c>
    </row>
    <row r="163" spans="4:18" ht="20.100000000000001" customHeight="1" x14ac:dyDescent="0.25">
      <c r="D163" s="52" t="s">
        <v>119</v>
      </c>
      <c r="E163" s="52" t="s">
        <v>64</v>
      </c>
      <c r="F163" s="52" t="s">
        <v>131</v>
      </c>
      <c r="G163" s="52" t="s">
        <v>132</v>
      </c>
      <c r="H163" s="52" t="s">
        <v>133</v>
      </c>
      <c r="M163" s="52" t="s">
        <v>119</v>
      </c>
      <c r="N163" s="52" t="s">
        <v>64</v>
      </c>
      <c r="O163" s="52" t="s">
        <v>131</v>
      </c>
      <c r="P163" s="52" t="s">
        <v>132</v>
      </c>
      <c r="Q163" s="52" t="s">
        <v>133</v>
      </c>
    </row>
    <row r="164" spans="4:18" ht="20.100000000000001" customHeight="1" x14ac:dyDescent="0.25">
      <c r="D164" s="53">
        <v>1</v>
      </c>
      <c r="E164" s="53" t="str">
        <f>INDEX(X_Table_Feedlot_MMS_Stage1,2,1)</f>
        <v>Drylot (feed pad)</v>
      </c>
      <c r="F164" s="53" cm="1">
        <f t="array" aca="1" ref="F164" ca="1">MMS_Feedlot_Methane_Equations.VEERG_4_1_1_1__1_TotalAnnualMethaneEmissions(D$145, F150, D$159)</f>
        <v>0.19255206297599997</v>
      </c>
      <c r="G164" s="53" cm="1">
        <f t="array" aca="1" ref="G164" ca="1">MMS_Feedlot_Methane_Equations.VEERG_4_1_1_1__1_TotalAnnualMethaneEmissions(E$145, G150, E$159)</f>
        <v>0.31104564019199998</v>
      </c>
      <c r="H164" s="53" cm="1">
        <f t="array" aca="1" ref="H164" ca="1">MMS_Feedlot_Methane_Equations.VEERG_4_1_1_1__1_TotalAnnualMethaneEmissions(F$145, H150, F$159)</f>
        <v>0.42172193279999981</v>
      </c>
      <c r="I164" s="2" t="str">
        <f>$E$136</f>
        <v>t CH4</v>
      </c>
      <c r="M164" s="53">
        <v>1</v>
      </c>
      <c r="N164" s="53" t="str">
        <f>INDEX(X_Table_Feedlot_MMS_Stage1,2,1)</f>
        <v>Drylot (feed pad)</v>
      </c>
      <c r="O164" s="53" cm="1">
        <f t="array" aca="1" ref="O164" ca="1">MMS_Feedlot_Methane_Equations.VEERG_4_1_1_1__1_TotalAnnualMethaneEmissions(D$145, O150, D$159)</f>
        <v>0.19255206297599997</v>
      </c>
      <c r="P164" s="53" cm="1">
        <f t="array" aca="1" ref="P164" ca="1">MMS_Feedlot_Methane_Equations.VEERG_4_1_1_1__1_TotalAnnualMethaneEmissions(E$145, P150, E$159)</f>
        <v>0.31104564019199998</v>
      </c>
      <c r="Q164" s="53" cm="1">
        <f t="array" aca="1" ref="Q164" ca="1">MMS_Feedlot_Methane_Equations.VEERG_4_1_1_1__1_TotalAnnualMethaneEmissions(F$145, Q150, F$159)</f>
        <v>0.42172193279999981</v>
      </c>
      <c r="R164" s="2" t="str">
        <f>$E$136</f>
        <v>t CH4</v>
      </c>
    </row>
    <row r="165" spans="4:18" ht="20.100000000000001" customHeight="1" x14ac:dyDescent="0.25">
      <c r="D165" s="53">
        <v>2</v>
      </c>
      <c r="E165" s="53" t="str">
        <f>INDEX(X_Table_Feedlot_MMS_Stage2,3,1)</f>
        <v>Solid storage</v>
      </c>
      <c r="F165" s="53" cm="1">
        <f t="array" aca="1" ref="F165" ca="1">MMS_Feedlot_Methane_Equations.VEERG_4_1_1_1__1_TotalAnnualMethaneEmissions(D$145, F151, D$159)</f>
        <v>3.8510412595199994E-2</v>
      </c>
      <c r="G165" s="53" cm="1">
        <f t="array" aca="1" ref="G165" ca="1">MMS_Feedlot_Methane_Equations.VEERG_4_1_1_1__1_TotalAnnualMethaneEmissions(E$145, G151, E$159)</f>
        <v>6.2209128038399987E-2</v>
      </c>
      <c r="H165" s="53" cm="1">
        <f t="array" aca="1" ref="H165" ca="1">MMS_Feedlot_Methane_Equations.VEERG_4_1_1_1__1_TotalAnnualMethaneEmissions(F$145, H151, F$159)</f>
        <v>8.4344386559999998E-2</v>
      </c>
      <c r="I165" s="2"/>
      <c r="M165" s="53">
        <v>2</v>
      </c>
      <c r="N165" s="53" t="str">
        <f>INDEX(X_Table_Feedlot_MMS_Stage2,3,1)</f>
        <v>Solid storage</v>
      </c>
      <c r="O165" s="53" cm="1">
        <f t="array" aca="1" ref="O165" ca="1">MMS_Feedlot_Methane_Equations.VEERG_4_1_1_1__1_TotalAnnualMethaneEmissions(D$145, O151, D$159)</f>
        <v>3.8510412595199994E-2</v>
      </c>
      <c r="P165" s="53" cm="1">
        <f t="array" aca="1" ref="P165" ca="1">MMS_Feedlot_Methane_Equations.VEERG_4_1_1_1__1_TotalAnnualMethaneEmissions(E$145, P151, E$159)</f>
        <v>6.2209128038399987E-2</v>
      </c>
      <c r="Q165" s="53" cm="1">
        <f t="array" aca="1" ref="Q165" ca="1">MMS_Feedlot_Methane_Equations.VEERG_4_1_1_1__1_TotalAnnualMethaneEmissions(F$145, Q151, F$159)</f>
        <v>8.4344386559999998E-2</v>
      </c>
      <c r="R165" s="2"/>
    </row>
    <row r="166" spans="4:18" ht="20.100000000000001" customHeight="1" x14ac:dyDescent="0.25">
      <c r="D166" s="53">
        <v>2</v>
      </c>
      <c r="E166" s="53" t="str">
        <f>INDEX(X_Table_Feedlot_MMS_Stage2,4,1)</f>
        <v>Composting (passive windrow)</v>
      </c>
      <c r="F166" s="53" cm="1">
        <f t="array" aca="1" ref="F166" ca="1">MMS_Feedlot_Methane_Equations.VEERG_4_1_1_1__1_TotalAnnualMethaneEmissions(D$145, F152, D$159)</f>
        <v>1.9255206297599997E-2</v>
      </c>
      <c r="G166" s="53" cm="1">
        <f t="array" aca="1" ref="G166" ca="1">MMS_Feedlot_Methane_Equations.VEERG_4_1_1_1__1_TotalAnnualMethaneEmissions(E$145, G152, E$159)</f>
        <v>3.1104564019199994E-2</v>
      </c>
      <c r="H166" s="53" cm="1">
        <f t="array" aca="1" ref="H166" ca="1">MMS_Feedlot_Methane_Equations.VEERG_4_1_1_1__1_TotalAnnualMethaneEmissions(F$145, H152, F$159)</f>
        <v>4.2172193279999999E-2</v>
      </c>
      <c r="I166" s="2"/>
      <c r="M166" s="53">
        <v>2</v>
      </c>
      <c r="N166" s="53" t="str">
        <f>INDEX(X_Table_Feedlot_MMS_Stage2,4,1)</f>
        <v>Composting (passive windrow)</v>
      </c>
      <c r="O166" s="53" cm="1">
        <f t="array" aca="1" ref="O166" ca="1">MMS_Feedlot_Methane_Equations.VEERG_4_1_1_1__1_TotalAnnualMethaneEmissions(D$145, O152, D$159)</f>
        <v>1.9255206297599997E-2</v>
      </c>
      <c r="P166" s="53" cm="1">
        <f t="array" aca="1" ref="P166" ca="1">MMS_Feedlot_Methane_Equations.VEERG_4_1_1_1__1_TotalAnnualMethaneEmissions(E$145, P152, E$159)</f>
        <v>3.1104564019199994E-2</v>
      </c>
      <c r="Q166" s="53" cm="1">
        <f t="array" aca="1" ref="Q166" ca="1">MMS_Feedlot_Methane_Equations.VEERG_4_1_1_1__1_TotalAnnualMethaneEmissions(F$145, Q152, F$159)</f>
        <v>4.2172193279999999E-2</v>
      </c>
      <c r="R166" s="2"/>
    </row>
    <row r="167" spans="4:18" ht="20.100000000000001" customHeight="1" x14ac:dyDescent="0.25">
      <c r="D167" s="53">
        <v>2</v>
      </c>
      <c r="E167" s="53" t="str">
        <f>INDEX(X_Table_Feedlot_MMS_Stage2,5,1)</f>
        <v>Direct application</v>
      </c>
      <c r="F167" s="53" cm="1">
        <f t="array" aca="1" ref="F167" ca="1">MMS_Feedlot_Methane_Equations.VEERG_4_1_1_1__1_TotalAnnualMethaneEmissions(D$145, F153, D$159)</f>
        <v>0</v>
      </c>
      <c r="G167" s="53" cm="1">
        <f t="array" aca="1" ref="G167" ca="1">MMS_Feedlot_Methane_Equations.VEERG_4_1_1_1__1_TotalAnnualMethaneEmissions(E$145, G153, E$159)</f>
        <v>0</v>
      </c>
      <c r="H167" s="53" cm="1">
        <f t="array" aca="1" ref="H167" ca="1">MMS_Feedlot_Methane_Equations.VEERG_4_1_1_1__1_TotalAnnualMethaneEmissions(F$145, H153, F$159)</f>
        <v>0</v>
      </c>
      <c r="I167" s="2"/>
      <c r="M167" s="53">
        <v>2</v>
      </c>
      <c r="N167" s="53" t="str">
        <f>INDEX(X_Table_Feedlot_MMS_Stage2,5,1)</f>
        <v>Direct application</v>
      </c>
      <c r="O167" s="53" cm="1">
        <f t="array" aca="1" ref="O167" ca="1">MMS_Feedlot_Methane_Equations.VEERG_4_1_1_1__1_TotalAnnualMethaneEmissions(D$145, O153, D$159)</f>
        <v>0</v>
      </c>
      <c r="P167" s="53" cm="1">
        <f t="array" aca="1" ref="P167" ca="1">MMS_Feedlot_Methane_Equations.VEERG_4_1_1_1__1_TotalAnnualMethaneEmissions(E$145, P153, E$159)</f>
        <v>0</v>
      </c>
      <c r="Q167" s="53" cm="1">
        <f t="array" aca="1" ref="Q167" ca="1">MMS_Feedlot_Methane_Equations.VEERG_4_1_1_1__1_TotalAnnualMethaneEmissions(F$145, Q153, F$159)</f>
        <v>0</v>
      </c>
      <c r="R167" s="2"/>
    </row>
    <row r="168" spans="4:18" ht="20.100000000000001" customHeight="1" x14ac:dyDescent="0.25">
      <c r="D168" s="53">
        <v>3</v>
      </c>
      <c r="E168" s="53" t="str">
        <f>INDEX(X_Table_Feedlot_MMS_Stage3,3,1)</f>
        <v>Anaerobic lagoon</v>
      </c>
      <c r="F168" s="53" cm="1">
        <f t="array" aca="1" ref="F168" ca="1">MMS_Feedlot_Methane_Equations.VEERG_4_1_1_1__1_TotalAnnualMethaneEmissions(D$145, F154, D$159)</f>
        <v>0.29653017698303996</v>
      </c>
      <c r="G168" s="53" cm="1">
        <f t="array" aca="1" ref="G168" ca="1">MMS_Feedlot_Methane_Equations.VEERG_4_1_1_1__1_TotalAnnualMethaneEmissions(E$145, G154, E$159)</f>
        <v>0.47901028589567995</v>
      </c>
      <c r="H168" s="53" cm="1">
        <f t="array" aca="1" ref="H168" ca="1">MMS_Feedlot_Methane_Equations.VEERG_4_1_1_1__1_TotalAnnualMethaneEmissions(F$145, H154, F$159)</f>
        <v>0.6494517765119997</v>
      </c>
      <c r="I168" s="2"/>
      <c r="M168" s="53">
        <v>3</v>
      </c>
      <c r="N168" s="53" t="str">
        <f>INDEX(X_Table_Feedlot_MMS_Stage3,3,1)</f>
        <v>Anaerobic lagoon</v>
      </c>
      <c r="O168" s="53" cm="1">
        <f t="array" aca="1" ref="O168" ca="1">MMS_Feedlot_Methane_Equations.VEERG_4_1_1_1__1_TotalAnnualMethaneEmissions(D$145, O154, D$159)</f>
        <v>0.29653017698303996</v>
      </c>
      <c r="P168" s="53" cm="1">
        <f t="array" aca="1" ref="P168" ca="1">MMS_Feedlot_Methane_Equations.VEERG_4_1_1_1__1_TotalAnnualMethaneEmissions(E$145, P154, E$159)</f>
        <v>0.47901028589567995</v>
      </c>
      <c r="Q168" s="53" cm="1">
        <f t="array" aca="1" ref="Q168" ca="1">MMS_Feedlot_Methane_Equations.VEERG_4_1_1_1__1_TotalAnnualMethaneEmissions(F$145, Q154, F$159)</f>
        <v>0.6494517765119997</v>
      </c>
      <c r="R168" s="2"/>
    </row>
    <row r="169" spans="4:18" ht="20.100000000000001" customHeight="1" x14ac:dyDescent="0.25"/>
    <row r="170" spans="4:18" ht="20.100000000000001" customHeight="1" x14ac:dyDescent="0.25"/>
    <row r="171" spans="4:18" ht="20.100000000000001" customHeight="1" x14ac:dyDescent="0.25">
      <c r="D171" s="104" t="s">
        <v>216</v>
      </c>
      <c r="E171" s="105">
        <f ca="1">SUM(F164:H168)</f>
        <v>2.6279077661491193</v>
      </c>
      <c r="F171" s="106" t="str">
        <f>$E$136</f>
        <v>t CH4</v>
      </c>
      <c r="M171" s="104" t="s">
        <v>217</v>
      </c>
      <c r="N171" s="105">
        <f ca="1">SUM(O164:Q168)</f>
        <v>2.6279077661491193</v>
      </c>
      <c r="O171" s="106" t="str">
        <f>$E$136</f>
        <v>t CH4</v>
      </c>
    </row>
    <row r="172" spans="4:18" ht="20.100000000000001" customHeight="1" x14ac:dyDescent="0.25"/>
    <row r="173" spans="4:18" ht="20.100000000000001" customHeight="1" x14ac:dyDescent="0.25">
      <c r="D173" s="58" t="str" cm="1">
        <f t="array" ref="D173:E174">Common_Equations.Common_ConvertCH4ToCO2e_Arguments()</f>
        <v>ECH4</v>
      </c>
      <c r="E173" s="59" t="str">
        <v>Methane emissions (t CH4)</v>
      </c>
      <c r="F173" s="107"/>
      <c r="G173" s="53">
        <f ca="1">VEERG_4_1_1_1__1_TotalAnnualMethaneEmissions_Result_Method1</f>
        <v>2.6279077661491193</v>
      </c>
      <c r="H173" s="2" t="str">
        <f>$E$136</f>
        <v>t CH4</v>
      </c>
      <c r="M173" s="58" t="str" cm="1">
        <f t="array" ref="M173:N174">Common_Equations.Common_ConvertCH4ToCO2e_Arguments()</f>
        <v>ECH4</v>
      </c>
      <c r="N173" s="59" t="str">
        <v>Methane emissions (t CH4)</v>
      </c>
      <c r="O173" s="107"/>
      <c r="P173" s="53">
        <f ca="1">VEERG_4_1_1_1__1_TotalAnnualMethaneEmissions_Result_Method2</f>
        <v>2.6279077661491193</v>
      </c>
      <c r="Q173" s="2" t="str">
        <f>$E$136</f>
        <v>t CH4</v>
      </c>
    </row>
    <row r="174" spans="4:18" ht="20.100000000000001" customHeight="1" x14ac:dyDescent="0.25">
      <c r="D174" s="58" t="str">
        <v>GWPCH4</v>
      </c>
      <c r="E174" s="59" t="str">
        <v>Global warming potential for methane (t CO2-e / t CH4)</v>
      </c>
      <c r="F174" s="107"/>
      <c r="G174" s="53">
        <f>Common_InputFunctions.Utility_LookupValueInTableNumber("CH4",Table_GWPData[Gas],Table_GWPData[CO2-e factor])</f>
        <v>28</v>
      </c>
      <c r="M174" s="58" t="str">
        <v>GWPCH4</v>
      </c>
      <c r="N174" s="59" t="str">
        <v>Global warming potential for methane (t CO2-e / t CH4)</v>
      </c>
      <c r="O174" s="107"/>
      <c r="P174" s="53">
        <f>Common_InputFunctions.Utility_LookupValueInTableNumber("CH4",Table_GWPData[Gas],Table_GWPData[CO2-e factor])</f>
        <v>28</v>
      </c>
    </row>
    <row r="175" spans="4:18" ht="20.100000000000001" customHeight="1" x14ac:dyDescent="0.25"/>
    <row r="176" spans="4:18" ht="20.100000000000001" customHeight="1" x14ac:dyDescent="0.25">
      <c r="D176" s="46" t="s">
        <v>218</v>
      </c>
      <c r="E176" s="46" cm="1">
        <f t="array" aca="1" ref="E176" ca="1">Common_Equations.Common_ConvertCH4ToCO2e(G173,G174)</f>
        <v>73.581417452175344</v>
      </c>
      <c r="F176" s="108" t="str" cm="1">
        <f t="array" ref="F176">Common_Equations.Common_ConvertN2OToCO2e_Unit()</f>
        <v>t CO2e</v>
      </c>
      <c r="M176" s="46" t="s">
        <v>219</v>
      </c>
      <c r="N176" s="46" cm="1">
        <f t="array" aca="1" ref="N176" ca="1">Common_Equations.Common_ConvertCH4ToCO2e(P173,P174)</f>
        <v>73.581417452175344</v>
      </c>
      <c r="O176" s="108" t="str" cm="1">
        <f t="array" ref="O176">Common_Equations.Common_ConvertN2OToCO2e_Unit()</f>
        <v>t CO2e</v>
      </c>
    </row>
    <row r="177" ht="20.100000000000001" customHeight="1" x14ac:dyDescent="0.25"/>
    <row r="178" ht="20.100000000000001" customHeight="1" x14ac:dyDescent="0.25"/>
    <row r="179" ht="20.100000000000001" customHeight="1" x14ac:dyDescent="0.25"/>
    <row r="180" ht="20.100000000000001" customHeight="1" x14ac:dyDescent="0.25"/>
    <row r="181" ht="20.100000000000001" customHeight="1" x14ac:dyDescent="0.25"/>
    <row r="182" ht="20.100000000000001" customHeight="1" x14ac:dyDescent="0.25"/>
    <row r="183" ht="20.100000000000001" customHeight="1" x14ac:dyDescent="0.25"/>
  </sheetData>
  <dataValidations count="1">
    <dataValidation operator="equal" allowBlank="1" showInputMessage="1" showErrorMessage="1" sqref="E52:G52 E57:G57 E120:G120 E125:G125 D145:F145 N125:P125 N57:P57 D159:F159" xr:uid="{AF7BB680-B75F-4AE8-AA2D-EDF03FCB10D8}"/>
  </dataValidations>
  <pageMargins left="0.7" right="0.7" top="0.75" bottom="0.75" header="0.3" footer="0.3"/>
  <pageSetup paperSize="9" orientation="portrait" r:id="rId1"/>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F652C6-038D-41EC-BA1B-216C9E3A60D3}">
  <dimension ref="A1:T217"/>
  <sheetViews>
    <sheetView showGridLines="0" topLeftCell="A184" zoomScaleNormal="100" workbookViewId="0">
      <selection activeCell="A25" sqref="A25"/>
    </sheetView>
  </sheetViews>
  <sheetFormatPr defaultRowHeight="15.75" x14ac:dyDescent="0.25"/>
  <cols>
    <col min="1" max="1" width="30.7109375" customWidth="1"/>
    <col min="2" max="2" width="4.7109375" customWidth="1"/>
    <col min="3" max="3" width="4.7109375" style="1" customWidth="1"/>
    <col min="4" max="11" width="30.7109375" style="1" customWidth="1"/>
    <col min="12" max="12" width="4.7109375" style="1" customWidth="1"/>
    <col min="13" max="13" width="4.7109375" customWidth="1"/>
    <col min="14" max="14" width="4.7109375" style="1" customWidth="1"/>
    <col min="15" max="19" width="30.7109375" style="1" customWidth="1"/>
    <col min="20" max="20" width="4.7109375" style="1" customWidth="1"/>
  </cols>
  <sheetData>
    <row r="1" spans="1:20" s="8" customFormat="1" ht="30" customHeight="1" x14ac:dyDescent="0.35">
      <c r="A1" s="66" t="e" vm="1">
        <v>#VALUE!</v>
      </c>
      <c r="C1" s="8" t="s">
        <v>253</v>
      </c>
    </row>
    <row r="2" spans="1:20" s="9" customFormat="1" ht="20.100000000000001" customHeight="1" x14ac:dyDescent="0.25">
      <c r="A2"/>
    </row>
    <row r="3" spans="1:20" ht="20.100000000000001" customHeight="1" x14ac:dyDescent="0.25">
      <c r="A3" s="17" t="str">
        <f>HYPERLINK("#'Home'!A1", "Home")</f>
        <v>Home</v>
      </c>
      <c r="C3" s="4"/>
      <c r="D3" s="4" t="s">
        <v>152</v>
      </c>
      <c r="E3" s="4"/>
      <c r="F3" s="4"/>
      <c r="G3" s="4"/>
      <c r="H3" s="4"/>
      <c r="I3" s="4"/>
      <c r="J3" s="4"/>
      <c r="K3" s="4"/>
      <c r="L3" s="4"/>
      <c r="N3" s="4"/>
      <c r="O3" s="4" t="s">
        <v>153</v>
      </c>
      <c r="P3" s="4"/>
      <c r="Q3" s="4"/>
      <c r="R3" s="4"/>
      <c r="S3" s="4"/>
      <c r="T3" s="4"/>
    </row>
    <row r="4" spans="1:20" ht="20.100000000000001" customHeight="1" x14ac:dyDescent="0.25">
      <c r="A4" s="17" t="str">
        <f>HYPERLINK("#'Overview'!A1", "Overview")</f>
        <v>Overview</v>
      </c>
    </row>
    <row r="5" spans="1:20" ht="20.100000000000001" customHeight="1" x14ac:dyDescent="0.25">
      <c r="A5" s="17" t="str">
        <f>HYPERLINK("#'Results'!A1", "Results")</f>
        <v>Results</v>
      </c>
      <c r="D5" s="6" t="str" cm="1">
        <f t="array" ref="D5">MMS_Feedlot_N2ODirect_Equations.VEERG_4_1_1_3__5_NitrogenIntake_Title()</f>
        <v>Nitrogen intake of feedlot cattle</v>
      </c>
    </row>
    <row r="6" spans="1:20" ht="20.100000000000001" customHeight="1" x14ac:dyDescent="0.25">
      <c r="D6" s="5" t="str" cm="1">
        <f t="array" ref="D6">MMS_Feedlot_N2ODirect_Equations.VEERG_4_1_1_3__5_NitrogenIntake_Source()</f>
        <v>VEERG 2026: 4.1.1.3, Equation (5)</v>
      </c>
    </row>
    <row r="7" spans="1:20" ht="20.100000000000001" customHeight="1" x14ac:dyDescent="0.25">
      <c r="D7" s="13" t="s">
        <v>123</v>
      </c>
      <c r="E7" s="13" t="str" cm="1">
        <f t="array" aca="1" ref="E7" ca="1">Common_InputFunctions.Utility_DisplayFunctionName(D30)</f>
        <v>=MMS_Feedlot_N2ODirect_Equations.VEERG_4_1_1_3__5_NitrogenIntake</v>
      </c>
    </row>
    <row r="8" spans="1:20" ht="20.100000000000001" customHeight="1" x14ac:dyDescent="0.25">
      <c r="A8" s="19" t="s">
        <v>0</v>
      </c>
    </row>
    <row r="9" spans="1:20" ht="20.100000000000001" customHeight="1" x14ac:dyDescent="0.25">
      <c r="A9" s="17" t="str">
        <f>HYPERLINK("#'Input - Site'!A1", "Site")</f>
        <v>Site</v>
      </c>
    </row>
    <row r="10" spans="1:20" ht="20.100000000000001" customHeight="1" x14ac:dyDescent="0.25">
      <c r="A10" s="17" t="str">
        <f>HYPERLINK("#'Input - Feedlot'!A1", "Feedlot")</f>
        <v>Feedlot</v>
      </c>
      <c r="D10" s="54" t="s">
        <v>26</v>
      </c>
      <c r="E10" s="1" t="str" cm="1">
        <f t="array" ref="E10">MMS_Feedlot_N2ODirect_Equations.VEERG_4_1_1_3__5_NitrogenIntake_Variable()</f>
        <v>NI_j</v>
      </c>
    </row>
    <row r="11" spans="1:20" ht="20.100000000000001" customHeight="1" x14ac:dyDescent="0.25">
      <c r="D11" s="54" t="s">
        <v>16</v>
      </c>
      <c r="E11" s="55" t="str" cm="1">
        <f t="array" ref="E11">MMS_Feedlot_N2ODirect_Equations.VEERG_4_1_1_3__5_NitrogenIntake_Unit()</f>
        <v>kg N/head/day</v>
      </c>
    </row>
    <row r="12" spans="1:20" ht="20.100000000000001" customHeight="1" x14ac:dyDescent="0.25"/>
    <row r="13" spans="1:20" ht="20.100000000000001" customHeight="1" x14ac:dyDescent="0.25">
      <c r="A13" s="18" t="s">
        <v>71</v>
      </c>
      <c r="D13" s="134" t="str" cm="1">
        <f t="array" ref="D13:E15">_xlfn.CHOOSECOLS(MMS_Feedlot_N2ODirect_Equations.VEERG_4_1_1_3__5_NitrogenIntake_Arguments(),1,2)</f>
        <v>I_j</v>
      </c>
      <c r="E13" s="137" t="str">
        <v>dry matter intake</v>
      </c>
      <c r="F13" s="136"/>
      <c r="G13" s="134" t="str" cm="1">
        <f t="array" ref="G13:H15">_xlfn.CHOOSECOLS(MMS_Feedlot_N2ODirect_Equations.VEERG_4_1_1_3__5_NitrogenIntake_Arguments(),3,4)</f>
        <v>kg DM/head/day</v>
      </c>
      <c r="H13" s="125" t="str">
        <v>Input</v>
      </c>
      <c r="I13" s="135" t="str" cm="1">
        <f t="array" aca="1" ref="I13" ca="1">HYPERLINK(Common_InputFunctions.Utility_SourceHyperlink($D$17),$D$17)</f>
        <v>M1_Table_I_j</v>
      </c>
    </row>
    <row r="14" spans="1:20" ht="20.100000000000001" customHeight="1" x14ac:dyDescent="0.25">
      <c r="A14" s="17" t="str">
        <f>HYPERLINK("#'4.1.1.1-2 Methane'!A1", "4.1.1.1-2 Methane")</f>
        <v>4.1.1.1-2 Methane</v>
      </c>
      <c r="D14" s="134" t="str">
        <v>CP_j</v>
      </c>
      <c r="E14" s="137" t="str">
        <v>crude protein content of feed</v>
      </c>
      <c r="F14" s="136"/>
      <c r="G14" s="134" t="str">
        <v>fraction</v>
      </c>
      <c r="H14" s="125" t="str">
        <v>Input</v>
      </c>
      <c r="I14" s="135" t="str" cm="1">
        <f t="array" aca="1" ref="I14" ca="1">HYPERLINK(Common_InputFunctions.Utility_SourceHyperlink($D$22),$D$22)</f>
        <v>M1_Table_CP_j</v>
      </c>
    </row>
    <row r="15" spans="1:20" ht="20.100000000000001" customHeight="1" x14ac:dyDescent="0.25">
      <c r="A15" s="21" t="str">
        <f>HYPERLINK("#'4.1.1.3-4 Direct N20'!A1", "4.1.1.3-4 Direct N20")</f>
        <v>4.1.1.3-4 Direct N20</v>
      </c>
      <c r="D15" s="134" t="str">
        <v>6.25</v>
      </c>
      <c r="E15" s="137" t="str">
        <v>factor for converting crude protein into nitrogen</v>
      </c>
      <c r="F15" s="136"/>
      <c r="G15" s="134" t="str">
        <v>ratio</v>
      </c>
      <c r="H15" s="126" t="str">
        <v>Constant</v>
      </c>
      <c r="I15" s="134" t="str">
        <f>D15</f>
        <v>6.25</v>
      </c>
    </row>
    <row r="16" spans="1:20" ht="20.100000000000001" customHeight="1" x14ac:dyDescent="0.25">
      <c r="A16" s="17" t="str">
        <f>HYPERLINK("#'4.1.1.5-6 Atmos Deposition'!A1", "4.1.1.5-6 Atmos Deposition")</f>
        <v>4.1.1.5-6 Atmos Deposition</v>
      </c>
    </row>
    <row r="17" spans="1:19" ht="20.100000000000001" customHeight="1" x14ac:dyDescent="0.25">
      <c r="A17" s="17" t="str">
        <f>HYPERLINK("#'4.1.1.9 Manure applied to soils'!A1", "4.1.1.9 Manure applied to soils")</f>
        <v>4.1.1.9 Manure applied to soils</v>
      </c>
      <c r="D17" s="100" t="s">
        <v>142</v>
      </c>
      <c r="O17" s="100" t="s">
        <v>145</v>
      </c>
    </row>
    <row r="18" spans="1:19" ht="20.100000000000001" customHeight="1" x14ac:dyDescent="0.25">
      <c r="D18" s="99" t="s">
        <v>189</v>
      </c>
      <c r="O18" s="99" t="s">
        <v>190</v>
      </c>
    </row>
    <row r="19" spans="1:19" ht="20.100000000000001" customHeight="1" x14ac:dyDescent="0.25">
      <c r="D19" s="40" t="s">
        <v>131</v>
      </c>
      <c r="E19" s="40" t="s">
        <v>132</v>
      </c>
      <c r="F19" s="40" t="s">
        <v>133</v>
      </c>
      <c r="O19" s="40" t="s">
        <v>131</v>
      </c>
      <c r="P19" s="40" t="s">
        <v>132</v>
      </c>
      <c r="Q19" s="40" t="s">
        <v>133</v>
      </c>
    </row>
    <row r="20" spans="1:19" ht="20.100000000000001" customHeight="1" x14ac:dyDescent="0.25">
      <c r="A20" s="145" t="s">
        <v>1</v>
      </c>
      <c r="D20" s="53" cm="1">
        <f t="array" aca="1" ref="D20:F20" ca="1">OFFSET(X_Table_Feedlot_Intake_Method1,1,1,1,3)</f>
        <v>10.4</v>
      </c>
      <c r="E20" s="53">
        <f ca="1"/>
        <v>10.8</v>
      </c>
      <c r="F20" s="53">
        <f ca="1"/>
        <v>8.1999999999999993</v>
      </c>
      <c r="G20" s="2" t="s">
        <v>97</v>
      </c>
      <c r="H20" s="2"/>
      <c r="I20" s="2"/>
      <c r="J20" s="2"/>
      <c r="K20" s="2"/>
      <c r="O20" s="53" cm="1">
        <f t="array" aca="1" ref="O20:Q20" ca="1">OFFSET(X_Table_Feedlot_Intake_Method2,1,1,1,3)</f>
        <v>10.4</v>
      </c>
      <c r="P20" s="53">
        <f ca="1"/>
        <v>10.8</v>
      </c>
      <c r="Q20" s="53">
        <f ca="1"/>
        <v>8.1999999999999993</v>
      </c>
      <c r="R20" s="2" t="s">
        <v>97</v>
      </c>
      <c r="S20" s="2"/>
    </row>
    <row r="21" spans="1:19" ht="20.100000000000001" customHeight="1" x14ac:dyDescent="0.25">
      <c r="A21" s="17" t="str">
        <f>HYPERLINK("#'Constants - Feedlot'!A1", "Constants - Feedlot")</f>
        <v>Constants - Feedlot</v>
      </c>
    </row>
    <row r="22" spans="1:19" ht="20.100000000000001" customHeight="1" x14ac:dyDescent="0.25">
      <c r="A22" s="17" t="str">
        <f>HYPERLINK("#'Constants - Common'!A1", "Constants - Common")</f>
        <v>Constants - Common</v>
      </c>
      <c r="D22" s="100" t="s">
        <v>143</v>
      </c>
      <c r="O22" s="100" t="s">
        <v>146</v>
      </c>
    </row>
    <row r="23" spans="1:19" ht="20.100000000000001" customHeight="1" x14ac:dyDescent="0.25">
      <c r="A23" s="17" t="str">
        <f>HYPERLINK("#'Constants - Livestock'!A1", "Constants - Livestock")</f>
        <v>Constants - Livestock</v>
      </c>
      <c r="D23" s="99" t="s">
        <v>188</v>
      </c>
      <c r="O23" s="99" t="s">
        <v>191</v>
      </c>
    </row>
    <row r="24" spans="1:19" ht="20.100000000000001" customHeight="1" x14ac:dyDescent="0.25">
      <c r="A24" s="17" t="str">
        <f>HYPERLINK("#'Acknowledgements'!A1", "Acknowledgements")</f>
        <v>Acknowledgements</v>
      </c>
      <c r="D24" s="40" t="s">
        <v>131</v>
      </c>
      <c r="E24" s="40" t="s">
        <v>132</v>
      </c>
      <c r="F24" s="40" t="s">
        <v>133</v>
      </c>
      <c r="O24" s="40" t="s">
        <v>131</v>
      </c>
      <c r="P24" s="40" t="s">
        <v>132</v>
      </c>
      <c r="Q24" s="40" t="s">
        <v>133</v>
      </c>
    </row>
    <row r="25" spans="1:19" ht="20.100000000000001" customHeight="1" x14ac:dyDescent="0.25">
      <c r="A25" s="17" t="str">
        <f>HYPERLINK("#'Tab template'!A1", "Tab template")</f>
        <v>Tab template</v>
      </c>
      <c r="D25" s="53" cm="1">
        <f t="array" aca="1" ref="D25:F25" ca="1">OFFSET(X_Table_Feedlot_Intake_Method1,3,1,1,3)</f>
        <v>0.14000000000000001</v>
      </c>
      <c r="E25" s="53">
        <f ca="1"/>
        <v>0.12</v>
      </c>
      <c r="F25" s="53">
        <f ca="1"/>
        <v>0.12</v>
      </c>
      <c r="G25" s="2" t="s">
        <v>317</v>
      </c>
      <c r="H25" s="2"/>
      <c r="I25" s="2"/>
      <c r="J25" s="2"/>
      <c r="K25" s="2"/>
      <c r="O25" s="53" cm="1">
        <f t="array" aca="1" ref="O25:Q25" ca="1">OFFSET(X_Table_Feedlot_Intake_Method2,3,1,1,3)</f>
        <v>0.14000000000000001</v>
      </c>
      <c r="P25" s="53">
        <f ca="1"/>
        <v>0.12</v>
      </c>
      <c r="Q25" s="53">
        <f ca="1"/>
        <v>0.12</v>
      </c>
      <c r="R25" s="2" t="s">
        <v>317</v>
      </c>
      <c r="S25" s="2"/>
    </row>
    <row r="26" spans="1:19" ht="20.100000000000001" customHeight="1" x14ac:dyDescent="0.25"/>
    <row r="27" spans="1:19" ht="20.100000000000001" customHeight="1" x14ac:dyDescent="0.25">
      <c r="D27" s="100" t="s">
        <v>144</v>
      </c>
      <c r="O27" s="100" t="s">
        <v>147</v>
      </c>
    </row>
    <row r="28" spans="1:19" ht="20.100000000000001" customHeight="1" x14ac:dyDescent="0.25">
      <c r="D28" s="99" t="s">
        <v>187</v>
      </c>
      <c r="O28" s="99" t="s">
        <v>192</v>
      </c>
    </row>
    <row r="29" spans="1:19" ht="20.100000000000001" customHeight="1" x14ac:dyDescent="0.25">
      <c r="D29" s="52" t="s">
        <v>131</v>
      </c>
      <c r="E29" s="52" t="s">
        <v>132</v>
      </c>
      <c r="F29" s="52" t="s">
        <v>133</v>
      </c>
      <c r="O29" s="52" t="s">
        <v>131</v>
      </c>
      <c r="P29" s="52" t="s">
        <v>132</v>
      </c>
      <c r="Q29" s="52" t="s">
        <v>133</v>
      </c>
    </row>
    <row r="30" spans="1:19" ht="20.100000000000001" customHeight="1" x14ac:dyDescent="0.25">
      <c r="D30" s="53" cm="1">
        <f t="array" aca="1" ref="D30" ca="1">MMS_Feedlot_N2ODirect_Equations.VEERG_4_1_1_3__5_NitrogenIntake(D20,D25)</f>
        <v>0.23296000000000003</v>
      </c>
      <c r="E30" s="53" cm="1">
        <f t="array" aca="1" ref="E30" ca="1">MMS_Feedlot_N2ODirect_Equations.VEERG_4_1_1_3__5_NitrogenIntake(E20,E25)</f>
        <v>0.20736000000000002</v>
      </c>
      <c r="F30" s="53" cm="1">
        <f t="array" aca="1" ref="F30" ca="1">MMS_Feedlot_N2ODirect_Equations.VEERG_4_1_1_3__5_NitrogenIntake(F20,F25)</f>
        <v>0.15743999999999997</v>
      </c>
      <c r="G30" s="2" t="str">
        <f>$E$11</f>
        <v>kg N/head/day</v>
      </c>
      <c r="H30" s="2"/>
      <c r="I30" s="2"/>
      <c r="J30" s="2"/>
      <c r="K30" s="2"/>
      <c r="O30" s="53" cm="1">
        <f t="array" aca="1" ref="O30" ca="1">MMS_Feedlot_N2ODirect_Equations.VEERG_4_1_1_3__5_NitrogenIntake(O20,O25)</f>
        <v>0.23296000000000003</v>
      </c>
      <c r="P30" s="53" cm="1">
        <f t="array" aca="1" ref="P30" ca="1">MMS_Feedlot_N2ODirect_Equations.VEERG_4_1_1_3__5_NitrogenIntake(P20,P25)</f>
        <v>0.20736000000000002</v>
      </c>
      <c r="Q30" s="53" cm="1">
        <f t="array" aca="1" ref="Q30" ca="1">MMS_Feedlot_N2ODirect_Equations.VEERG_4_1_1_3__5_NitrogenIntake(Q20,Q25)</f>
        <v>0.15743999999999997</v>
      </c>
      <c r="R30" s="2" t="str">
        <f>$E$11</f>
        <v>kg N/head/day</v>
      </c>
      <c r="S30" s="2"/>
    </row>
    <row r="31" spans="1:19" ht="20.100000000000001" customHeight="1" x14ac:dyDescent="0.25"/>
    <row r="32" spans="1:19" ht="20.100000000000001" customHeight="1" x14ac:dyDescent="0.25"/>
    <row r="33" spans="3:20" ht="20.100000000000001" customHeight="1" x14ac:dyDescent="0.25">
      <c r="C33" s="46"/>
      <c r="D33" s="46"/>
      <c r="E33" s="46"/>
      <c r="F33" s="46"/>
      <c r="G33" s="46"/>
      <c r="H33" s="46"/>
      <c r="I33" s="46"/>
      <c r="J33" s="46"/>
      <c r="K33" s="46"/>
      <c r="L33" s="46"/>
      <c r="N33" s="46"/>
      <c r="O33" s="46"/>
      <c r="P33" s="46"/>
      <c r="Q33" s="46"/>
      <c r="R33" s="46"/>
      <c r="S33" s="46"/>
      <c r="T33" s="46"/>
    </row>
    <row r="34" spans="3:20" ht="20.100000000000001" customHeight="1" x14ac:dyDescent="0.25">
      <c r="D34" s="6" t="str" cm="1">
        <f t="array" ref="D34">MMS_Feedlot_N2ODirect_Equations.VEERG_4_1_1_3__4_NitrogenExcretionPerHead_Title()</f>
        <v>Nitrogen excretion per head per day</v>
      </c>
    </row>
    <row r="35" spans="3:20" ht="20.100000000000001" customHeight="1" x14ac:dyDescent="0.25">
      <c r="D35" s="5" t="str" cm="1">
        <f t="array" ref="D35">MMS_Feedlot_N2ODirect_Equations.VEERG_4_1_1_3__4_NitrogenExcretionPerHead_Source()</f>
        <v>VEERG 2026: 4.1.1.3, Equation (4)</v>
      </c>
    </row>
    <row r="36" spans="3:20" ht="20.100000000000001" customHeight="1" x14ac:dyDescent="0.25">
      <c r="D36" s="13" t="s">
        <v>23</v>
      </c>
      <c r="E36" s="13" t="str" cm="1">
        <f t="array" aca="1" ref="E36" ca="1">Common_InputFunctions.Utility_DisplayFunctionName(D54)</f>
        <v>=MMS_Feedlot_N2ODirect_Equations.VEERG_4_1_1_3__4_NitrogenExcretionPerHead</v>
      </c>
    </row>
    <row r="37" spans="3:20" ht="20.100000000000001" customHeight="1" x14ac:dyDescent="0.25"/>
    <row r="38" spans="3:20" ht="20.100000000000001" customHeight="1" x14ac:dyDescent="0.25">
      <c r="D38" s="6"/>
    </row>
    <row r="39" spans="3:20" ht="20.100000000000001" customHeight="1" x14ac:dyDescent="0.25"/>
    <row r="40" spans="3:20" ht="20.100000000000001" customHeight="1" x14ac:dyDescent="0.25">
      <c r="D40" s="54" t="s">
        <v>26</v>
      </c>
      <c r="E40" s="1" t="str" cm="1">
        <f t="array" ref="E40">MMS_Feedlot_N2ODirect_Equations.VEERG_4_1_1_3__4_NitrogenExcretionPerHead_Variable()</f>
        <v>NE_j</v>
      </c>
    </row>
    <row r="41" spans="3:20" ht="20.100000000000001" customHeight="1" x14ac:dyDescent="0.25">
      <c r="D41" s="54" t="s">
        <v>16</v>
      </c>
      <c r="E41" s="55" t="str" cm="1">
        <f t="array" ref="E41">MMS_Feedlot_N2ODirect_Equations.VEERG_4_1_1_3__4_NitrogenExcretionPerHead_Unit()</f>
        <v>kg N/head/day</v>
      </c>
    </row>
    <row r="42" spans="3:20" ht="20.100000000000001" customHeight="1" x14ac:dyDescent="0.25"/>
    <row r="43" spans="3:20" ht="20.100000000000001" customHeight="1" x14ac:dyDescent="0.25">
      <c r="D43" s="134" t="str" cm="1">
        <f t="array" ref="D43:E44">_xlfn.CHOOSECOLS(MMS_Feedlot_N2ODirect_Equations.VEERG_4_1_1_3__4_NitrogenExcretionPerHead_Arguments(),1,2)</f>
        <v>NI_j</v>
      </c>
      <c r="E43" s="137" t="str">
        <v>nitrogen intake</v>
      </c>
      <c r="F43" s="136"/>
      <c r="G43" s="134" t="str" cm="1">
        <f t="array" ref="G43:H44">_xlfn.CHOOSECOLS(MMS_Feedlot_N2ODirect_Equations.VEERG_4_1_1_3__4_NitrogenExcretionPerHead_Arguments(),3,4)</f>
        <v>kg N/head/day</v>
      </c>
      <c r="H43" s="126" t="str">
        <v>Calculated from 4.1.1.3 (5)</v>
      </c>
      <c r="I43" s="135" t="str" cm="1">
        <f t="array" aca="1" ref="I43" ca="1">HYPERLINK(Common_InputFunctions.Utility_SourceHyperlink($D$27),$D$27)</f>
        <v>M1_Table_NI_j</v>
      </c>
    </row>
    <row r="44" spans="3:20" ht="20.100000000000001" customHeight="1" x14ac:dyDescent="0.25">
      <c r="D44" s="134" t="str">
        <v>NR_j</v>
      </c>
      <c r="E44" s="137" t="str">
        <v>nitrogen retention expressed as a fraction of intake</v>
      </c>
      <c r="F44" s="136"/>
      <c r="G44" s="134" t="str">
        <v>fraction</v>
      </c>
      <c r="H44" s="125" t="str">
        <v>Input</v>
      </c>
      <c r="I44" s="135" t="str" cm="1">
        <f t="array" aca="1" ref="I44" ca="1">HYPERLINK(Common_InputFunctions.Utility_SourceHyperlink($D$46),$D$46)</f>
        <v>M1_Table_NR_j</v>
      </c>
    </row>
    <row r="45" spans="3:20" ht="20.100000000000001" customHeight="1" x14ac:dyDescent="0.25"/>
    <row r="46" spans="3:20" ht="20.100000000000001" customHeight="1" x14ac:dyDescent="0.25">
      <c r="D46" s="100" t="s">
        <v>148</v>
      </c>
      <c r="E46" s="2"/>
      <c r="F46" s="2"/>
      <c r="O46" s="100" t="s">
        <v>149</v>
      </c>
      <c r="P46" s="2"/>
      <c r="Q46" s="2"/>
    </row>
    <row r="47" spans="3:20" ht="20.100000000000001" customHeight="1" x14ac:dyDescent="0.25">
      <c r="D47" s="99" t="s">
        <v>185</v>
      </c>
      <c r="O47" s="99" t="s">
        <v>186</v>
      </c>
    </row>
    <row r="48" spans="3:20" ht="20.100000000000001" customHeight="1" x14ac:dyDescent="0.25">
      <c r="D48" s="40" t="s">
        <v>131</v>
      </c>
      <c r="E48" s="40" t="s">
        <v>132</v>
      </c>
      <c r="F48" s="40" t="s">
        <v>133</v>
      </c>
      <c r="O48" s="40" t="s">
        <v>131</v>
      </c>
      <c r="P48" s="40" t="s">
        <v>132</v>
      </c>
      <c r="Q48" s="40" t="s">
        <v>133</v>
      </c>
    </row>
    <row r="49" spans="3:20" ht="20.100000000000001" customHeight="1" x14ac:dyDescent="0.25">
      <c r="D49" s="53" cm="1">
        <f t="array" aca="1" ref="D49:F49" ca="1">OFFSET(X_Table_Feedlot_Intake_Method1,4,1,1,3)/100</f>
        <v>0.20399999999999999</v>
      </c>
      <c r="E49" s="53">
        <f ca="1"/>
        <v>0.127</v>
      </c>
      <c r="F49" s="53">
        <f ca="1"/>
        <v>7.0000000000000007E-2</v>
      </c>
      <c r="G49" s="2" t="s">
        <v>154</v>
      </c>
      <c r="H49" s="2"/>
      <c r="I49" s="2"/>
      <c r="J49" s="2"/>
      <c r="K49" s="2"/>
      <c r="O49" s="53" cm="1">
        <f t="array" aca="1" ref="O49:Q49" ca="1">OFFSET(X_Table_Feedlot_Intake_Method2,4,1,1,3)/100</f>
        <v>0.20399999999999999</v>
      </c>
      <c r="P49" s="53">
        <f ca="1"/>
        <v>0.127</v>
      </c>
      <c r="Q49" s="53">
        <f ca="1"/>
        <v>7.0000000000000007E-2</v>
      </c>
      <c r="R49" s="2" t="s">
        <v>317</v>
      </c>
      <c r="S49" s="2"/>
    </row>
    <row r="50" spans="3:20" ht="20.100000000000001" customHeight="1" x14ac:dyDescent="0.25"/>
    <row r="51" spans="3:20" ht="20.100000000000001" customHeight="1" x14ac:dyDescent="0.25">
      <c r="D51" s="100" t="s">
        <v>150</v>
      </c>
      <c r="O51" s="100" t="s">
        <v>151</v>
      </c>
    </row>
    <row r="52" spans="3:20" ht="20.100000000000001" customHeight="1" x14ac:dyDescent="0.25">
      <c r="D52" s="99" t="s">
        <v>185</v>
      </c>
      <c r="O52" s="99" t="s">
        <v>186</v>
      </c>
    </row>
    <row r="53" spans="3:20" ht="20.100000000000001" customHeight="1" x14ac:dyDescent="0.25">
      <c r="D53" s="52" t="s">
        <v>131</v>
      </c>
      <c r="E53" s="52" t="s">
        <v>132</v>
      </c>
      <c r="F53" s="52" t="s">
        <v>133</v>
      </c>
      <c r="O53" s="52" t="s">
        <v>131</v>
      </c>
      <c r="P53" s="52" t="s">
        <v>132</v>
      </c>
      <c r="Q53" s="52" t="s">
        <v>133</v>
      </c>
    </row>
    <row r="54" spans="3:20" ht="20.100000000000001" customHeight="1" x14ac:dyDescent="0.25">
      <c r="D54" s="53" cm="1">
        <f t="array" aca="1" ref="D54" ca="1">MMS_Feedlot_N2ODirect_Equations.VEERG_4_1_1_3__4_NitrogenExcretionPerHead(D30,D49)</f>
        <v>0.18543616000000004</v>
      </c>
      <c r="E54" s="53" cm="1">
        <f t="array" aca="1" ref="E54" ca="1">MMS_Feedlot_N2ODirect_Equations.VEERG_4_1_1_3__4_NitrogenExcretionPerHead(E30,E49)</f>
        <v>0.18102528000000001</v>
      </c>
      <c r="F54" s="53" cm="1">
        <f t="array" aca="1" ref="F54" ca="1">MMS_Feedlot_N2ODirect_Equations.VEERG_4_1_1_3__4_NitrogenExcretionPerHead(F30,F49)</f>
        <v>0.14641919999999997</v>
      </c>
      <c r="G54" s="2" t="str">
        <f>$E$41</f>
        <v>kg N/head/day</v>
      </c>
      <c r="H54" s="2"/>
      <c r="I54" s="2"/>
      <c r="J54" s="2"/>
      <c r="K54" s="2"/>
      <c r="O54" s="53" cm="1">
        <f t="array" aca="1" ref="O54" ca="1">MMS_Feedlot_N2ODirect_Equations.VEERG_4_1_1_3__4_NitrogenExcretionPerHead(O30,O49)</f>
        <v>0.18543616000000004</v>
      </c>
      <c r="P54" s="53" cm="1">
        <f t="array" aca="1" ref="P54" ca="1">MMS_Feedlot_N2ODirect_Equations.VEERG_4_1_1_3__4_NitrogenExcretionPerHead(P30,P49)</f>
        <v>0.18102528000000001</v>
      </c>
      <c r="Q54" s="53" cm="1">
        <f t="array" aca="1" ref="Q54" ca="1">MMS_Feedlot_N2ODirect_Equations.VEERG_4_1_1_3__4_NitrogenExcretionPerHead(Q30,Q49)</f>
        <v>0.14641919999999997</v>
      </c>
      <c r="R54" s="2" t="str">
        <f>$E$41</f>
        <v>kg N/head/day</v>
      </c>
      <c r="S54" s="2"/>
    </row>
    <row r="55" spans="3:20" ht="20.100000000000001" customHeight="1" x14ac:dyDescent="0.25"/>
    <row r="56" spans="3:20" ht="20.100000000000001" customHeight="1" x14ac:dyDescent="0.25"/>
    <row r="57" spans="3:20" ht="20.100000000000001" customHeight="1" x14ac:dyDescent="0.25">
      <c r="C57" s="46"/>
      <c r="D57" s="46"/>
      <c r="E57" s="46"/>
      <c r="F57" s="46"/>
      <c r="G57" s="46"/>
      <c r="H57" s="46"/>
      <c r="I57" s="46"/>
      <c r="J57" s="46"/>
      <c r="K57" s="46"/>
      <c r="L57" s="46"/>
      <c r="N57" s="46"/>
      <c r="O57" s="46"/>
      <c r="P57" s="46"/>
      <c r="Q57" s="46"/>
      <c r="R57" s="46"/>
      <c r="S57" s="46"/>
      <c r="T57" s="46"/>
    </row>
    <row r="58" spans="3:20" ht="20.100000000000001" customHeight="1" x14ac:dyDescent="0.25">
      <c r="D58" s="6" t="str" cm="1">
        <f t="array" ref="D58">MMS_Feedlot_N2ODirect_Equations.VEERG_4_1_1_3__3_AnnualNitrogenExcretion_Title()</f>
        <v>Annual nitrogen excretion from each feedlot cattle group</v>
      </c>
    </row>
    <row r="59" spans="3:20" ht="20.100000000000001" customHeight="1" x14ac:dyDescent="0.25">
      <c r="D59" s="5" t="str" cm="1">
        <f t="array" ref="D59">MMS_Feedlot_N2ODirect_Equations.VEERG_4_1_1_3__3_AnnualNitrogenExcretion_Source()</f>
        <v>VEERG 2026: 4.1.1.3, Equation (3)</v>
      </c>
    </row>
    <row r="60" spans="3:20" ht="20.100000000000001" customHeight="1" x14ac:dyDescent="0.25">
      <c r="D60" s="13" t="s">
        <v>23</v>
      </c>
      <c r="E60" s="13" t="str" cm="1">
        <f t="array" aca="1" ref="E60" ca="1">Common_InputFunctions.Utility_DisplayFunctionName(D83)</f>
        <v>=MMS_Feedlot_N2ODirect_Equations.VEERG_4_1_1_3__3_AnnualNitrogenExcretion</v>
      </c>
    </row>
    <row r="61" spans="3:20" ht="20.100000000000001" customHeight="1" x14ac:dyDescent="0.25"/>
    <row r="62" spans="3:20" ht="20.100000000000001" customHeight="1" x14ac:dyDescent="0.25">
      <c r="D62" s="6"/>
    </row>
    <row r="63" spans="3:20" ht="20.100000000000001" customHeight="1" x14ac:dyDescent="0.25">
      <c r="D63" s="54" t="s">
        <v>26</v>
      </c>
      <c r="E63" s="1" t="str" cm="1">
        <f t="array" ref="E63">MMS_Feedlot_N2ODirect_Equations.VEERG_4_1_1_3__3_AnnualNitrogenExcretion_Variable()</f>
        <v>AE_j</v>
      </c>
    </row>
    <row r="64" spans="3:20" ht="20.100000000000001" customHeight="1" x14ac:dyDescent="0.25">
      <c r="D64" s="54" t="s">
        <v>16</v>
      </c>
      <c r="E64" s="55" t="str" cm="1">
        <f t="array" ref="E64">MMS_Feedlot_N2ODirect_Equations.VEERG_4_1_1_3__3_AnnualNitrogenExcretion_Unit()</f>
        <v>kg N</v>
      </c>
    </row>
    <row r="65" spans="4:15" ht="20.100000000000001" customHeight="1" x14ac:dyDescent="0.25"/>
    <row r="66" spans="4:15" ht="20.100000000000001" customHeight="1" x14ac:dyDescent="0.25">
      <c r="D66" s="134" t="str" cm="1">
        <f t="array" ref="D66:G68">MMS_Feedlot_N2ODirect_Equations.VEERG_4_1_1_3__3_AnnualNitrogenExcretion_Arguments()</f>
        <v>N_j</v>
      </c>
      <c r="E66" s="134" t="str">
        <v>number of cattle in each group</v>
      </c>
      <c r="F66" s="134" t="str">
        <v>head</v>
      </c>
      <c r="G66" s="125" t="str">
        <v>Input</v>
      </c>
      <c r="H66" s="135" t="str" cm="1">
        <f t="array" aca="1" ref="H66" ca="1">HYPERLINK(Common_InputFunctions.Utility_SourceHyperlink($D$70),$D$70)</f>
        <v>Table_N_j</v>
      </c>
    </row>
    <row r="67" spans="4:15" ht="20.100000000000001" customHeight="1" x14ac:dyDescent="0.25">
      <c r="D67" s="134" t="str">
        <v>NE_j</v>
      </c>
      <c r="E67" s="134" t="str">
        <v>nitrogen excretion</v>
      </c>
      <c r="F67" s="134" t="str">
        <v>kg N/head/day</v>
      </c>
      <c r="G67" s="126" t="str">
        <v>Calculated from 4.1.1.3 (4)</v>
      </c>
      <c r="H67" s="135" t="str" cm="1">
        <f t="array" aca="1" ref="H67" ca="1">HYPERLINK(Common_InputFunctions.Utility_SourceHyperlink($D$51),$D$51)</f>
        <v>M1_Table_NE_j</v>
      </c>
    </row>
    <row r="68" spans="4:15" ht="20.100000000000001" customHeight="1" x14ac:dyDescent="0.25">
      <c r="D68" s="134" t="str">
        <v>D_j</v>
      </c>
      <c r="E68" s="134" t="str">
        <v>duration of stay of cattle group</v>
      </c>
      <c r="F68" s="134" t="str">
        <v>days</v>
      </c>
      <c r="G68" s="125" t="str">
        <v>Input</v>
      </c>
      <c r="H68" s="135" t="str" cm="1">
        <f t="array" aca="1" ref="H68" ca="1">HYPERLINK(Common_InputFunctions.Utility_SourceHyperlink($D$75),$D$75)</f>
        <v>Table_D_j</v>
      </c>
    </row>
    <row r="69" spans="4:15" ht="20.100000000000001" customHeight="1" x14ac:dyDescent="0.25"/>
    <row r="70" spans="4:15" ht="20.100000000000001" customHeight="1" x14ac:dyDescent="0.25">
      <c r="D70" s="100" t="s">
        <v>116</v>
      </c>
    </row>
    <row r="71" spans="4:15" ht="20.100000000000001" customHeight="1" x14ac:dyDescent="0.25">
      <c r="D71" s="99" t="s">
        <v>117</v>
      </c>
    </row>
    <row r="72" spans="4:15" ht="20.100000000000001" customHeight="1" x14ac:dyDescent="0.25">
      <c r="D72" s="40" t="s">
        <v>131</v>
      </c>
      <c r="E72" s="40" t="s">
        <v>132</v>
      </c>
      <c r="F72" s="40" t="s">
        <v>133</v>
      </c>
    </row>
    <row r="73" spans="4:15" ht="20.100000000000001" customHeight="1" x14ac:dyDescent="0.25">
      <c r="D73" s="103" cm="1">
        <f t="array" aca="1" ref="D73:F73" ca="1">OFFSET(X_Table_Feedlot_HerdMovement,1,1,1,3)</f>
        <v>1000</v>
      </c>
      <c r="E73" s="103">
        <f ca="1"/>
        <v>1000</v>
      </c>
      <c r="F73" s="103">
        <f ca="1"/>
        <v>1000</v>
      </c>
      <c r="G73" s="2" t="s">
        <v>118</v>
      </c>
      <c r="H73" s="2"/>
      <c r="I73" s="2"/>
      <c r="J73" s="2"/>
      <c r="K73" s="2"/>
    </row>
    <row r="74" spans="4:15" ht="20.100000000000001" customHeight="1" x14ac:dyDescent="0.25"/>
    <row r="75" spans="4:15" ht="20.100000000000001" customHeight="1" x14ac:dyDescent="0.25">
      <c r="D75" s="100" t="s">
        <v>115</v>
      </c>
    </row>
    <row r="76" spans="4:15" ht="20.100000000000001" customHeight="1" x14ac:dyDescent="0.25">
      <c r="D76" s="99" t="s">
        <v>113</v>
      </c>
    </row>
    <row r="77" spans="4:15" ht="20.100000000000001" customHeight="1" x14ac:dyDescent="0.25">
      <c r="D77" s="40" t="s">
        <v>131</v>
      </c>
      <c r="E77" s="40" t="s">
        <v>132</v>
      </c>
      <c r="F77" s="40" t="s">
        <v>133</v>
      </c>
    </row>
    <row r="78" spans="4:15" ht="20.100000000000001" customHeight="1" x14ac:dyDescent="0.25">
      <c r="D78" s="103" cm="1">
        <f t="array" aca="1" ref="D78:F78" ca="1">OFFSET(X_Table_Feedlot_HerdMovement,2,1,1,3)</f>
        <v>90</v>
      </c>
      <c r="E78" s="103">
        <f ca="1"/>
        <v>140</v>
      </c>
      <c r="F78" s="103">
        <f ca="1"/>
        <v>250</v>
      </c>
      <c r="G78" s="2" t="s">
        <v>51</v>
      </c>
      <c r="H78" s="2"/>
      <c r="I78" s="2"/>
      <c r="J78" s="2"/>
      <c r="K78" s="2"/>
    </row>
    <row r="79" spans="4:15" ht="20.100000000000001" customHeight="1" x14ac:dyDescent="0.25"/>
    <row r="80" spans="4:15" ht="20.100000000000001" customHeight="1" x14ac:dyDescent="0.25">
      <c r="D80" s="100" t="s">
        <v>155</v>
      </c>
      <c r="O80" s="100" t="s">
        <v>156</v>
      </c>
    </row>
    <row r="81" spans="3:20" ht="20.100000000000001" customHeight="1" x14ac:dyDescent="0.25">
      <c r="D81" s="99" t="s">
        <v>183</v>
      </c>
      <c r="O81" s="99" t="s">
        <v>184</v>
      </c>
    </row>
    <row r="82" spans="3:20" ht="20.100000000000001" customHeight="1" x14ac:dyDescent="0.25">
      <c r="D82" s="52" t="s">
        <v>131</v>
      </c>
      <c r="E82" s="52" t="s">
        <v>132</v>
      </c>
      <c r="F82" s="52" t="s">
        <v>133</v>
      </c>
      <c r="O82" s="52" t="s">
        <v>131</v>
      </c>
      <c r="P82" s="52" t="s">
        <v>132</v>
      </c>
      <c r="Q82" s="52" t="s">
        <v>133</v>
      </c>
    </row>
    <row r="83" spans="3:20" ht="20.100000000000001" customHeight="1" x14ac:dyDescent="0.25">
      <c r="D83" s="103" cm="1">
        <f t="array" aca="1" ref="D83" ca="1">MMS_Feedlot_N2ODirect_Equations.VEERG_4_1_1_3__3_AnnualNitrogenExcretion(D73,D54,D78)</f>
        <v>16689.254400000005</v>
      </c>
      <c r="E83" s="103" cm="1">
        <f t="array" aca="1" ref="E83" ca="1">MMS_Feedlot_N2ODirect_Equations.VEERG_4_1_1_3__3_AnnualNitrogenExcretion(E73,E54,E78)</f>
        <v>25343.539200000003</v>
      </c>
      <c r="F83" s="103" cm="1">
        <f t="array" aca="1" ref="F83" ca="1">MMS_Feedlot_N2ODirect_Equations.VEERG_4_1_1_3__3_AnnualNitrogenExcretion(F73,F54,F78)</f>
        <v>36604.799999999988</v>
      </c>
      <c r="G83" s="2" t="str">
        <f>$E$64</f>
        <v>kg N</v>
      </c>
      <c r="H83" s="2"/>
      <c r="I83" s="2"/>
      <c r="J83" s="2"/>
      <c r="K83" s="2"/>
      <c r="O83" s="103" cm="1">
        <f t="array" aca="1" ref="O83" ca="1">MMS_Feedlot_N2ODirect_Equations.VEERG_4_1_1_3__3_AnnualNitrogenExcretion(D73,O54,D78)</f>
        <v>16689.254400000005</v>
      </c>
      <c r="P83" s="103" cm="1">
        <f t="array" aca="1" ref="P83" ca="1">MMS_Feedlot_N2ODirect_Equations.VEERG_4_1_1_3__3_AnnualNitrogenExcretion(E73,P54,E78)</f>
        <v>25343.539200000003</v>
      </c>
      <c r="Q83" s="103" cm="1">
        <f t="array" aca="1" ref="Q83" ca="1">MMS_Feedlot_N2ODirect_Equations.VEERG_4_1_1_3__3_AnnualNitrogenExcretion(F73,Q54,F78)</f>
        <v>36604.799999999988</v>
      </c>
      <c r="R83" s="2" t="str">
        <f>$E$64</f>
        <v>kg N</v>
      </c>
      <c r="S83" s="2"/>
    </row>
    <row r="84" spans="3:20" ht="20.100000000000001" customHeight="1" x14ac:dyDescent="0.25"/>
    <row r="85" spans="3:20" ht="20.100000000000001" customHeight="1" x14ac:dyDescent="0.25"/>
    <row r="86" spans="3:20" ht="20.100000000000001" customHeight="1" x14ac:dyDescent="0.25">
      <c r="C86" s="46"/>
      <c r="D86" s="46"/>
      <c r="E86" s="46"/>
      <c r="F86" s="46"/>
      <c r="G86" s="46"/>
      <c r="H86" s="46"/>
      <c r="I86" s="46"/>
      <c r="J86" s="46"/>
      <c r="K86" s="46"/>
      <c r="L86" s="46"/>
      <c r="N86" s="46"/>
      <c r="O86" s="46"/>
      <c r="P86" s="46"/>
      <c r="Q86" s="46"/>
      <c r="R86" s="46"/>
      <c r="S86" s="46"/>
      <c r="T86" s="46"/>
    </row>
    <row r="87" spans="3:20" ht="20.100000000000001" customHeight="1" x14ac:dyDescent="0.25">
      <c r="D87" s="6" t="str" cm="1">
        <f t="array" ref="D87">MMS_Feedlot_N2ODirect_Equations.VEERG_4_1_1_3__2_Stage1NitrogenInMMSDrylot_Title()</f>
        <v>Nitrogen in treatment stage 1 MMS</v>
      </c>
    </row>
    <row r="88" spans="3:20" ht="20.100000000000001" customHeight="1" x14ac:dyDescent="0.25">
      <c r="D88" s="5" t="str" cm="1">
        <f t="array" ref="D88">MMS_Feedlot_N2ODirect_Equations.VEERG_4_1_1_3__2_Stage1NitrogenInMMSDrylot_Source()</f>
        <v>VEERG 2026: 4.1.1.3, Equation (2)</v>
      </c>
    </row>
    <row r="89" spans="3:20" ht="20.100000000000001" customHeight="1" x14ac:dyDescent="0.25">
      <c r="D89" s="13" t="s">
        <v>23</v>
      </c>
      <c r="E89" s="13" t="str" cm="1">
        <f t="array" aca="1" ref="E89" ca="1">Common_InputFunctions.Utility_DisplayFunctionName(E106)</f>
        <v>=MMS_Feedlot_N2ODirect_Equations.VEERG_4_1_1_3__2_Stage1NitrogenInMMSDrylot</v>
      </c>
    </row>
    <row r="90" spans="3:20" ht="20.100000000000001" customHeight="1" x14ac:dyDescent="0.25"/>
    <row r="91" spans="3:20" ht="20.100000000000001" customHeight="1" x14ac:dyDescent="0.25">
      <c r="D91" s="6"/>
    </row>
    <row r="92" spans="3:20" ht="20.100000000000001" customHeight="1" x14ac:dyDescent="0.25">
      <c r="D92" s="54" t="s">
        <v>26</v>
      </c>
      <c r="E92" s="1" t="str" cm="1">
        <f t="array" ref="E92">MMS_Feedlot_N2ODirect_Equations.VEERG_4_1_1_3__2_Stage1NitrogenInMMSDrylot_Variable()</f>
        <v>MN_jm5T1</v>
      </c>
    </row>
    <row r="93" spans="3:20" ht="20.100000000000001" customHeight="1" x14ac:dyDescent="0.25">
      <c r="D93" s="54" t="s">
        <v>16</v>
      </c>
      <c r="E93" s="55" t="str" cm="1">
        <f t="array" ref="E93">MMS_Feedlot_N2ODirect_Equations.VEERG_4_1_1_3__2_Stage1NitrogenInMMSDrylot_Unit()</f>
        <v>kg N</v>
      </c>
    </row>
    <row r="94" spans="3:20" ht="20.100000000000001" customHeight="1" x14ac:dyDescent="0.25"/>
    <row r="95" spans="3:20" ht="20.100000000000001" customHeight="1" x14ac:dyDescent="0.25">
      <c r="D95" s="134" t="str" cm="1">
        <f t="array" ref="D95:E96">_xlfn.CHOOSECOLS(MMS_Feedlot_N2ODirect_Equations.VEERG_4_1_1_3__2_Stage1NitrogenInMMSDrylot_Arguments(),1,2)</f>
        <v>AE_j</v>
      </c>
      <c r="E95" s="137" t="str">
        <v>total nitrogen excreted by each cattle group</v>
      </c>
      <c r="F95" s="136"/>
      <c r="G95" s="134" t="str" cm="1">
        <f t="array" ref="G95:H96">_xlfn.CHOOSECOLS(MMS_Feedlot_N2ODirect_Equations.VEERG_4_1_1_3__2_Stage1NitrogenInMMSDrylot_Arguments(),3,4)</f>
        <v>kg N</v>
      </c>
      <c r="H95" s="126" t="str">
        <v>Calculated from 4.1.1.3 (3)</v>
      </c>
      <c r="I95" s="135" t="str" cm="1">
        <f t="array" aca="1" ref="I95" ca="1">HYPERLINK(Common_InputFunctions.Utility_SourceHyperlink($D$80),$D$80)</f>
        <v>M1_Table_AE_j</v>
      </c>
    </row>
    <row r="96" spans="3:20" ht="20.100000000000001" customHeight="1" x14ac:dyDescent="0.25">
      <c r="D96" s="134" t="str">
        <v>MMS_jm5T1</v>
      </c>
      <c r="E96" s="137" t="str">
        <v>fraction of manure in primary system drylot MMS</v>
      </c>
      <c r="F96" s="136"/>
      <c r="G96" s="134" t="str">
        <v>fraction</v>
      </c>
      <c r="H96" s="125" t="str">
        <v>Input</v>
      </c>
      <c r="I96" s="135" t="str" cm="1">
        <f t="array" aca="1" ref="I96" ca="1">HYPERLINK(Common_InputFunctions.Utility_SourceHyperlink($D$98),$D$98)</f>
        <v>Table_MMS_j_m-5_T-1</v>
      </c>
    </row>
    <row r="97" spans="3:20" ht="20.100000000000001" customHeight="1" x14ac:dyDescent="0.25"/>
    <row r="98" spans="3:20" ht="20.100000000000001" customHeight="1" x14ac:dyDescent="0.25">
      <c r="D98" s="100" t="s">
        <v>157</v>
      </c>
    </row>
    <row r="99" spans="3:20" ht="20.100000000000001" customHeight="1" x14ac:dyDescent="0.25">
      <c r="D99" s="99" t="s">
        <v>102</v>
      </c>
    </row>
    <row r="100" spans="3:20" ht="20.100000000000001" customHeight="1" x14ac:dyDescent="0.25">
      <c r="D100" s="40" t="s">
        <v>99</v>
      </c>
      <c r="E100" s="40" t="s">
        <v>131</v>
      </c>
      <c r="F100" s="40" t="s">
        <v>132</v>
      </c>
      <c r="G100" s="40" t="s">
        <v>133</v>
      </c>
    </row>
    <row r="101" spans="3:20" ht="20.100000000000001" customHeight="1" x14ac:dyDescent="0.25">
      <c r="D101" s="53" t="s">
        <v>94</v>
      </c>
      <c r="E101" s="53" cm="1">
        <f t="array" aca="1" ref="E101:G101" ca="1">OFFSET(X_Table_Feedlot_MMS_Stage1, 1,1,1,3)</f>
        <v>1</v>
      </c>
      <c r="F101" s="53">
        <f ca="1"/>
        <v>1</v>
      </c>
      <c r="G101" s="53">
        <f ca="1"/>
        <v>1</v>
      </c>
      <c r="H101" s="2" t="s">
        <v>317</v>
      </c>
      <c r="I101" s="2"/>
      <c r="J101" s="2"/>
      <c r="K101" s="2"/>
    </row>
    <row r="102" spans="3:20" ht="20.100000000000001" customHeight="1" x14ac:dyDescent="0.25"/>
    <row r="103" spans="3:20" ht="20.100000000000001" customHeight="1" x14ac:dyDescent="0.25">
      <c r="D103" s="100" t="s">
        <v>158</v>
      </c>
      <c r="O103" s="100" t="s">
        <v>159</v>
      </c>
    </row>
    <row r="104" spans="3:20" ht="20.100000000000001" customHeight="1" x14ac:dyDescent="0.25">
      <c r="D104" s="99" t="s">
        <v>181</v>
      </c>
      <c r="O104" s="99" t="s">
        <v>182</v>
      </c>
    </row>
    <row r="105" spans="3:20" ht="20.100000000000001" customHeight="1" x14ac:dyDescent="0.25">
      <c r="D105" s="52" t="s">
        <v>99</v>
      </c>
      <c r="E105" s="52" t="s">
        <v>131</v>
      </c>
      <c r="F105" s="52" t="s">
        <v>132</v>
      </c>
      <c r="G105" s="52" t="s">
        <v>133</v>
      </c>
      <c r="O105" s="52" t="s">
        <v>99</v>
      </c>
      <c r="P105" s="52" t="s">
        <v>131</v>
      </c>
      <c r="Q105" s="52" t="s">
        <v>132</v>
      </c>
      <c r="R105" s="52" t="s">
        <v>133</v>
      </c>
    </row>
    <row r="106" spans="3:20" ht="20.100000000000001" customHeight="1" x14ac:dyDescent="0.25">
      <c r="D106" s="53" t="str">
        <f>INDEX(X_Table_Feedlot_MMS_Stage1,2,1)</f>
        <v>Drylot (feed pad)</v>
      </c>
      <c r="E106" s="53" cm="1">
        <f t="array" aca="1" ref="E106" ca="1">MMS_Feedlot_N2ODirect_Equations.VEERG_4_1_1_3__2_Stage1NitrogenInMMSDrylot(D83,E101)</f>
        <v>16689.254400000005</v>
      </c>
      <c r="F106" s="53" cm="1">
        <f t="array" aca="1" ref="F106" ca="1">MMS_Feedlot_N2ODirect_Equations.VEERG_4_1_1_3__2_Stage1NitrogenInMMSDrylot(E83,F101)</f>
        <v>25343.539200000003</v>
      </c>
      <c r="G106" s="53" cm="1">
        <f t="array" aca="1" ref="G106" ca="1">MMS_Feedlot_N2ODirect_Equations.VEERG_4_1_1_3__2_Stage1NitrogenInMMSDrylot(F83,G101)</f>
        <v>36604.799999999988</v>
      </c>
      <c r="H106" s="2" t="str">
        <f>$E$93</f>
        <v>kg N</v>
      </c>
      <c r="I106" s="2"/>
      <c r="J106" s="2"/>
      <c r="K106" s="2"/>
      <c r="O106" s="53" t="str">
        <f>INDEX(X_Table_Feedlot_MMS_Stage1,2,1)</f>
        <v>Drylot (feed pad)</v>
      </c>
      <c r="P106" s="53" cm="1">
        <f t="array" aca="1" ref="P106" ca="1">MMS_Feedlot_N2ODirect_Equations.VEERG_4_1_1_3__2_Stage1NitrogenInMMSDrylot(O83,E101)</f>
        <v>16689.254400000005</v>
      </c>
      <c r="Q106" s="53" cm="1">
        <f t="array" aca="1" ref="Q106" ca="1">MMS_Feedlot_N2ODirect_Equations.VEERG_4_1_1_3__2_Stage1NitrogenInMMSDrylot(P83,F101)</f>
        <v>25343.539200000003</v>
      </c>
      <c r="R106" s="53" cm="1">
        <f t="array" aca="1" ref="R106" ca="1">MMS_Feedlot_N2ODirect_Equations.VEERG_4_1_1_3__2_Stage1NitrogenInMMSDrylot(Q83,G101)</f>
        <v>36604.799999999988</v>
      </c>
      <c r="S106" s="2" t="str">
        <f>$E$93</f>
        <v>kg N</v>
      </c>
    </row>
    <row r="107" spans="3:20" ht="20.100000000000001" customHeight="1" x14ac:dyDescent="0.25"/>
    <row r="108" spans="3:20" ht="20.100000000000001" customHeight="1" x14ac:dyDescent="0.25"/>
    <row r="109" spans="3:20" ht="20.100000000000001" customHeight="1" x14ac:dyDescent="0.25">
      <c r="C109" s="46"/>
      <c r="D109" s="46"/>
      <c r="E109" s="46"/>
      <c r="F109" s="46"/>
      <c r="G109" s="46"/>
      <c r="H109" s="46"/>
      <c r="I109" s="46"/>
      <c r="J109" s="46"/>
      <c r="K109" s="46"/>
      <c r="L109" s="46"/>
      <c r="N109" s="46"/>
      <c r="O109" s="46"/>
      <c r="P109" s="46"/>
      <c r="Q109" s="46"/>
      <c r="R109" s="46"/>
      <c r="S109" s="46"/>
      <c r="T109" s="46"/>
    </row>
    <row r="110" spans="3:20" ht="20.100000000000001" customHeight="1" x14ac:dyDescent="0.25">
      <c r="D110" s="6" t="str" cm="1">
        <f t="array" ref="D110">MMS_Feedlot_N2ODirect_Equations.VEERG_4_1_1_3__8_Stage3NitrogenInMMSAnaerobicLagoon_Title()</f>
        <v>Nitrogen in treatment stage 3 MMS</v>
      </c>
    </row>
    <row r="111" spans="3:20" ht="20.100000000000001" customHeight="1" x14ac:dyDescent="0.25">
      <c r="D111" s="5" t="str" cm="1">
        <f t="array" ref="D111">MMS_Feedlot_N2ODirect_Equations.VEERG_4_1_1_3__8_Stage3NitrogenInMMSAnaerobicLagoon_Source()</f>
        <v>VEERG 2026: 4.1.1.3, Equation (8)</v>
      </c>
    </row>
    <row r="112" spans="3:20" ht="20.100000000000001" customHeight="1" x14ac:dyDescent="0.25">
      <c r="D112" s="13" t="s">
        <v>23</v>
      </c>
      <c r="E112" s="13" t="str" cm="1">
        <f t="array" aca="1" ref="E112" ca="1">Common_InputFunctions.Utility_DisplayFunctionName(E138)</f>
        <v>=MMS_Feedlot_N2ODirect_Equations.VEERG_4_1_1_3__7_NitrogenTransferredToStage2_Variable</v>
      </c>
    </row>
    <row r="113" spans="4:18" ht="20.100000000000001" customHeight="1" x14ac:dyDescent="0.25">
      <c r="D113" s="6"/>
    </row>
    <row r="114" spans="4:18" ht="20.100000000000001" customHeight="1" x14ac:dyDescent="0.25"/>
    <row r="115" spans="4:18" ht="20.100000000000001" customHeight="1" x14ac:dyDescent="0.25">
      <c r="D115" s="54" t="s">
        <v>26</v>
      </c>
      <c r="E115" s="1" t="str" cm="1">
        <f t="array" ref="E115">MMS_Feedlot_N2ODirect_Equations.VEERG_4_1_1_3__8_Stage3NitrogenInMMSAnaerobicLagoon_Variable()</f>
        <v>MN_jm1T3</v>
      </c>
    </row>
    <row r="116" spans="4:18" ht="20.100000000000001" customHeight="1" x14ac:dyDescent="0.25">
      <c r="D116" s="54" t="s">
        <v>16</v>
      </c>
      <c r="E116" s="55" t="str" cm="1">
        <f t="array" ref="E116">MMS_Feedlot_N2ODirect_Equations.VEERG_4_1_1_3__8_Stage3NitrogenInMMSAnaerobicLagoon_Unit()</f>
        <v>kg N</v>
      </c>
    </row>
    <row r="117" spans="4:18" ht="20.100000000000001" customHeight="1" x14ac:dyDescent="0.25"/>
    <row r="118" spans="4:18" ht="20.100000000000001" customHeight="1" x14ac:dyDescent="0.25">
      <c r="D118" s="134" t="str" cm="1">
        <f t="array" ref="D118:E119">_xlfn.CHOOSECOLS(MMS_Feedlot_N2ODirect_Equations.VEERG_4_1_1_3__8_Stage3NitrogenInMMSAnaerobicLagoon_Arguments(),1,2)</f>
        <v>AE_j</v>
      </c>
      <c r="E118" s="137" t="str">
        <v>total nitrogen excreted by each cattle group</v>
      </c>
      <c r="F118" s="136"/>
      <c r="G118" s="134" t="str" cm="1">
        <f t="array" ref="G118:H119">_xlfn.CHOOSECOLS(MMS_Feedlot_N2ODirect_Equations.VEERG_4_1_1_3__8_Stage3NitrogenInMMSAnaerobicLagoon_Arguments(),3,4)</f>
        <v>kg N</v>
      </c>
      <c r="H118" s="126" t="str">
        <v>Calculated from 4.1.1.3 (3)</v>
      </c>
      <c r="I118" s="135" t="str" cm="1">
        <f t="array" aca="1" ref="I118" ca="1">HYPERLINK(Common_InputFunctions.Utility_SourceHyperlink($D$80),$D$80)</f>
        <v>M1_Table_AE_j</v>
      </c>
    </row>
    <row r="119" spans="4:18" ht="20.100000000000001" customHeight="1" x14ac:dyDescent="0.25">
      <c r="D119" s="134" t="str">
        <v>MMS_jm1T3</v>
      </c>
      <c r="E119" s="137" t="str">
        <v>fraction of manure to tertiary anaerobic lagoon system</v>
      </c>
      <c r="F119" s="136"/>
      <c r="G119" s="134" t="str">
        <v>fraction</v>
      </c>
      <c r="H119" s="125" t="str">
        <v>Input</v>
      </c>
      <c r="I119" s="135" t="str" cm="1">
        <f t="array" aca="1" ref="I119" ca="1">HYPERLINK(Common_InputFunctions.Utility_SourceHyperlink($D$121),$D$121)</f>
        <v>Table_MMS_j_m-1_T-3</v>
      </c>
    </row>
    <row r="120" spans="4:18" ht="20.100000000000001" customHeight="1" x14ac:dyDescent="0.25"/>
    <row r="121" spans="4:18" ht="20.100000000000001" customHeight="1" x14ac:dyDescent="0.25">
      <c r="D121" s="100" t="s">
        <v>162</v>
      </c>
    </row>
    <row r="122" spans="4:18" ht="20.100000000000001" customHeight="1" x14ac:dyDescent="0.25">
      <c r="D122" s="99" t="s">
        <v>161</v>
      </c>
    </row>
    <row r="123" spans="4:18" ht="20.100000000000001" customHeight="1" x14ac:dyDescent="0.25">
      <c r="D123" s="40" t="s">
        <v>110</v>
      </c>
      <c r="E123" s="40" t="s">
        <v>131</v>
      </c>
      <c r="F123" s="40" t="s">
        <v>132</v>
      </c>
      <c r="G123" s="40" t="s">
        <v>133</v>
      </c>
    </row>
    <row r="124" spans="4:18" ht="20.100000000000001" customHeight="1" x14ac:dyDescent="0.25">
      <c r="D124" s="53" t="str" cm="1">
        <f t="array" aca="1" ref="D124:G124" ca="1">OFFSET(X_Table_Feedlot_MMS_Stage3,2,0,1,4)</f>
        <v>Anaerobic lagoon</v>
      </c>
      <c r="E124" s="53">
        <f ca="1"/>
        <v>0.02</v>
      </c>
      <c r="F124" s="53">
        <f ca="1"/>
        <v>0.02</v>
      </c>
      <c r="G124" s="53">
        <f ca="1"/>
        <v>0.02</v>
      </c>
      <c r="H124" s="2" t="s">
        <v>317</v>
      </c>
      <c r="I124" s="2"/>
      <c r="J124" s="2"/>
      <c r="K124" s="2"/>
    </row>
    <row r="125" spans="4:18" ht="20.100000000000001" customHeight="1" x14ac:dyDescent="0.25"/>
    <row r="126" spans="4:18" ht="20.100000000000001" customHeight="1" x14ac:dyDescent="0.25">
      <c r="D126" s="100" t="s">
        <v>167</v>
      </c>
      <c r="O126" s="100" t="s">
        <v>168</v>
      </c>
    </row>
    <row r="127" spans="4:18" ht="20.100000000000001" customHeight="1" x14ac:dyDescent="0.25">
      <c r="D127" s="99" t="s">
        <v>179</v>
      </c>
      <c r="O127" s="99" t="s">
        <v>180</v>
      </c>
    </row>
    <row r="128" spans="4:18" ht="20.100000000000001" customHeight="1" x14ac:dyDescent="0.25">
      <c r="D128" s="52" t="s">
        <v>110</v>
      </c>
      <c r="E128" s="52" t="s">
        <v>131</v>
      </c>
      <c r="F128" s="52" t="s">
        <v>132</v>
      </c>
      <c r="G128" s="52" t="s">
        <v>133</v>
      </c>
      <c r="O128" s="52" t="s">
        <v>110</v>
      </c>
      <c r="P128" s="52" t="s">
        <v>131</v>
      </c>
      <c r="Q128" s="52" t="s">
        <v>132</v>
      </c>
      <c r="R128" s="52" t="s">
        <v>133</v>
      </c>
    </row>
    <row r="129" spans="3:20" ht="20.100000000000001" customHeight="1" x14ac:dyDescent="0.25">
      <c r="D129" s="53" t="str">
        <f>INDEX(X_Table_Feedlot_MMS_Stage3,3,1)</f>
        <v>Anaerobic lagoon</v>
      </c>
      <c r="E129" s="53" cm="1">
        <f t="array" aca="1" ref="E129" ca="1">MMS_Feedlot_N2ODirect_Equations.VEERG_4_1_1_3__8_Stage3NitrogenInMMSAnaerobicLagoon(D83,E124)</f>
        <v>333.78508800000009</v>
      </c>
      <c r="F129" s="53" cm="1">
        <f t="array" aca="1" ref="F129" ca="1">MMS_Feedlot_N2ODirect_Equations.VEERG_4_1_1_3__8_Stage3NitrogenInMMSAnaerobicLagoon(E83,F124)</f>
        <v>506.87078400000007</v>
      </c>
      <c r="G129" s="53" cm="1">
        <f t="array" aca="1" ref="G129" ca="1">MMS_Feedlot_N2ODirect_Equations.VEERG_4_1_1_3__8_Stage3NitrogenInMMSAnaerobicLagoon(F83,G124)</f>
        <v>732.09599999999978</v>
      </c>
      <c r="H129" s="2" t="str">
        <f>$E$116</f>
        <v>kg N</v>
      </c>
      <c r="I129" s="2"/>
      <c r="J129" s="2"/>
      <c r="K129" s="2"/>
      <c r="O129" s="53" t="str">
        <f>INDEX(X_Table_Feedlot_MMS_Stage3,3,1)</f>
        <v>Anaerobic lagoon</v>
      </c>
      <c r="P129" s="53" cm="1">
        <f t="array" aca="1" ref="P129" ca="1">MMS_Feedlot_N2ODirect_Equations.VEERG_4_1_1_3__8_Stage3NitrogenInMMSAnaerobicLagoon(O83,E124)</f>
        <v>333.78508800000009</v>
      </c>
      <c r="Q129" s="53" cm="1">
        <f t="array" aca="1" ref="Q129" ca="1">MMS_Feedlot_N2ODirect_Equations.VEERG_4_1_1_3__8_Stage3NitrogenInMMSAnaerobicLagoon(P83,F124)</f>
        <v>506.87078400000007</v>
      </c>
      <c r="R129" s="53" cm="1">
        <f t="array" aca="1" ref="R129" ca="1">MMS_Feedlot_N2ODirect_Equations.VEERG_4_1_1_3__8_Stage3NitrogenInMMSAnaerobicLagoon(Q83,G124)</f>
        <v>732.09599999999978</v>
      </c>
      <c r="S129" s="2" t="str">
        <f>$E$116</f>
        <v>kg N</v>
      </c>
    </row>
    <row r="130" spans="3:20" ht="20.100000000000001" customHeight="1" x14ac:dyDescent="0.25"/>
    <row r="131" spans="3:20" ht="20.100000000000001" customHeight="1" x14ac:dyDescent="0.25"/>
    <row r="132" spans="3:20" ht="20.100000000000001" customHeight="1" x14ac:dyDescent="0.25">
      <c r="C132" s="46"/>
      <c r="D132" s="46"/>
      <c r="E132" s="46"/>
      <c r="F132" s="46"/>
      <c r="G132" s="46"/>
      <c r="H132" s="46"/>
      <c r="I132" s="46"/>
      <c r="J132" s="46"/>
      <c r="K132" s="46"/>
      <c r="L132" s="46"/>
      <c r="N132" s="46"/>
      <c r="O132" s="46"/>
      <c r="P132" s="46"/>
      <c r="Q132" s="46"/>
      <c r="R132" s="46"/>
      <c r="S132" s="46"/>
      <c r="T132" s="46"/>
    </row>
    <row r="133" spans="3:20" ht="20.100000000000001" customHeight="1" x14ac:dyDescent="0.25">
      <c r="D133" s="6" t="str" cm="1">
        <f t="array" ref="D133">MMS_Feedlot_N2ODirect_Equations.VEERG_4_1_1_3__7_NitrogenTransferredToStage2_Title()</f>
        <v>Nitrogen transferred to treatment stage 2 MMS</v>
      </c>
    </row>
    <row r="134" spans="3:20" ht="20.100000000000001" customHeight="1" x14ac:dyDescent="0.25">
      <c r="D134" s="5" t="str" cm="1">
        <f t="array" ref="D134">MMS_Feedlot_N2ODirect_Equations.VEERG_4_1_1_3__7_NitrogenTransferredToStage2_Source()</f>
        <v>VEERG 2026: 4.1.1.3, Equation (7)</v>
      </c>
    </row>
    <row r="135" spans="3:20" ht="20.100000000000001" customHeight="1" x14ac:dyDescent="0.25">
      <c r="D135" s="13" t="s">
        <v>23</v>
      </c>
      <c r="E135" s="13" t="str" cm="1">
        <f t="array" aca="1" ref="E135" ca="1">Common_InputFunctions.Utility_DisplayFunctionName(D149)</f>
        <v>=MMS_Feedlot_N2ODirect_Equations.VEERG_4_1_1_3__7_NitrogenTransferredToStage2</v>
      </c>
    </row>
    <row r="136" spans="3:20" ht="20.100000000000001" customHeight="1" x14ac:dyDescent="0.25"/>
    <row r="137" spans="3:20" ht="20.100000000000001" customHeight="1" x14ac:dyDescent="0.25">
      <c r="D137" s="6"/>
    </row>
    <row r="138" spans="3:20" ht="20.100000000000001" customHeight="1" x14ac:dyDescent="0.25">
      <c r="D138" s="54" t="s">
        <v>26</v>
      </c>
      <c r="E138" s="1" t="str" cm="1">
        <f t="array" ref="E138">MMS_Feedlot_N2ODirect_Equations.VEERG_4_1_1_3__7_NitrogenTransferredToStage2_Variable()</f>
        <v>NT_jmT2</v>
      </c>
    </row>
    <row r="139" spans="3:20" ht="20.100000000000001" customHeight="1" x14ac:dyDescent="0.25">
      <c r="D139" s="54" t="s">
        <v>16</v>
      </c>
      <c r="E139" s="55" t="str" cm="1">
        <f t="array" ref="E139">MMS_Feedlot_N2ODirect_Equations.VEERG_4_1_1_3__7_NitrogenTransferredToStage2_Unit()</f>
        <v>kg N</v>
      </c>
    </row>
    <row r="140" spans="3:20" ht="20.100000000000001" customHeight="1" x14ac:dyDescent="0.25"/>
    <row r="141" spans="3:20" ht="20.100000000000001" customHeight="1" x14ac:dyDescent="0.25">
      <c r="D141" s="134" t="str" cm="1">
        <f t="array" ref="D141:E144">_xlfn.CHOOSECOLS(MMS_Feedlot_N2ODirect_Equations.VEERG_4_1_1_3__7_NitrogenTransferredToStage2_Arguments(),1,2)</f>
        <v>MN_jm5T1</v>
      </c>
      <c r="E141" s="137" t="str">
        <v>nitrogen in MMS treatment stage 1</v>
      </c>
      <c r="F141" s="136"/>
      <c r="G141" s="134" t="str" cm="1">
        <f t="array" ref="G141:H144">_xlfn.CHOOSECOLS(MMS_Feedlot_N2ODirect_Equations.VEERG_4_1_1_3__7_NitrogenTransferredToStage2_Arguments(),3,4)</f>
        <v>kg N</v>
      </c>
      <c r="H141" s="126" t="str">
        <v>Calculated from 4.1.1.3 (2)</v>
      </c>
      <c r="I141" s="135" t="str" cm="1">
        <f t="array" aca="1" ref="I141" ca="1">HYPERLINK(Common_InputFunctions.Utility_SourceHyperlink($D$103),$D$103)</f>
        <v>M1_Table_MN_j_m-5_T-1</v>
      </c>
    </row>
    <row r="142" spans="3:20" ht="20.100000000000001" customHeight="1" x14ac:dyDescent="0.25">
      <c r="D142" s="134" t="str">
        <v>FracGASM_m5</v>
      </c>
      <c r="E142" s="137" t="str">
        <v>fraction of N volatilised from drylot MMS</v>
      </c>
      <c r="F142" s="136"/>
      <c r="G142" s="134" t="str">
        <v>fraction</v>
      </c>
      <c r="H142" s="126" t="str">
        <v>Constant</v>
      </c>
      <c r="I142" s="134">
        <f>'Constants - Feedlot'!$F$113</f>
        <v>0.6</v>
      </c>
    </row>
    <row r="143" spans="3:20" ht="20.100000000000001" customHeight="1" x14ac:dyDescent="0.25">
      <c r="D143" s="134" t="str">
        <v>EF_m5</v>
      </c>
      <c r="E143" s="137" t="str">
        <v>nitrous oxide emission factor for drylot MMS</v>
      </c>
      <c r="F143" s="136"/>
      <c r="G143" s="134" t="str">
        <v>kg N2O-N/kg N deposited</v>
      </c>
      <c r="H143" s="126" t="str">
        <v>Constant</v>
      </c>
      <c r="I143" s="134">
        <f>'Constants - Feedlot'!$F$101</f>
        <v>5.4000000000000003E-3</v>
      </c>
    </row>
    <row r="144" spans="3:20" ht="20.100000000000001" customHeight="1" x14ac:dyDescent="0.25">
      <c r="D144" s="134" t="str">
        <v>MN_jmT3</v>
      </c>
      <c r="E144" s="137" t="str">
        <v>nitrogen in MMS treatment stage 3</v>
      </c>
      <c r="F144" s="136"/>
      <c r="G144" s="134" t="str">
        <v>kg N</v>
      </c>
      <c r="H144" s="126" t="str">
        <v>Calculated from 4.1.1.3 (8)</v>
      </c>
      <c r="I144" s="135" t="str" cm="1">
        <f t="array" aca="1" ref="I144" ca="1">HYPERLINK(Common_InputFunctions.Utility_SourceHyperlink($D$126),$D$126)</f>
        <v>M1_Table_MN_j_m-1_T-3</v>
      </c>
    </row>
    <row r="145" spans="3:20" ht="20.100000000000001" customHeight="1" x14ac:dyDescent="0.25"/>
    <row r="146" spans="3:20" ht="20.100000000000001" customHeight="1" x14ac:dyDescent="0.25">
      <c r="D146" s="100" t="s">
        <v>169</v>
      </c>
      <c r="O146" s="100" t="s">
        <v>170</v>
      </c>
    </row>
    <row r="147" spans="3:20" ht="20.100000000000001" customHeight="1" x14ac:dyDescent="0.25">
      <c r="D147" s="99" t="s">
        <v>177</v>
      </c>
      <c r="O147" s="99" t="s">
        <v>178</v>
      </c>
    </row>
    <row r="148" spans="3:20" ht="20.100000000000001" customHeight="1" x14ac:dyDescent="0.25">
      <c r="D148" s="52" t="s">
        <v>131</v>
      </c>
      <c r="E148" s="52" t="s">
        <v>132</v>
      </c>
      <c r="F148" s="52" t="s">
        <v>133</v>
      </c>
      <c r="O148" s="52" t="s">
        <v>131</v>
      </c>
      <c r="P148" s="52" t="s">
        <v>132</v>
      </c>
      <c r="Q148" s="52" t="s">
        <v>133</v>
      </c>
    </row>
    <row r="149" spans="3:20" ht="20.100000000000001" customHeight="1" x14ac:dyDescent="0.25">
      <c r="D149" s="53" cm="1">
        <f t="array" aca="1" ref="D149" ca="1">MMS_Feedlot_N2ODirect_Equations.VEERG_4_1_1_3__7_NitrogenTransferredToStage2(E106,$I$142,$I$143,E129)</f>
        <v>6251.7946982400026</v>
      </c>
      <c r="E149" s="53" cm="1">
        <f t="array" aca="1" ref="E149" ca="1">MMS_Feedlot_N2ODirect_Equations.VEERG_4_1_1_3__7_NitrogenTransferredToStage2(F106,$I$142,$I$143,F129)</f>
        <v>9493.6897843200004</v>
      </c>
      <c r="F149" s="53" cm="1">
        <f t="array" aca="1" ref="F149" ca="1">MMS_Feedlot_N2ODirect_Equations.VEERG_4_1_1_3__7_NitrogenTransferredToStage2(G106,$I$142,$I$143,G129)</f>
        <v>13712.158079999996</v>
      </c>
      <c r="G149" s="2" t="str">
        <f>$E$116</f>
        <v>kg N</v>
      </c>
      <c r="O149" s="53" cm="1">
        <f t="array" aca="1" ref="O149" ca="1">MMS_Feedlot_N2ODirect_Equations.VEERG_4_1_1_3__7_NitrogenTransferredToStage2(P106,$I$142,$I$143,P129)</f>
        <v>6251.7946982400026</v>
      </c>
      <c r="P149" s="53" cm="1">
        <f t="array" aca="1" ref="P149" ca="1">MMS_Feedlot_N2ODirect_Equations.VEERG_4_1_1_3__7_NitrogenTransferredToStage2(Q106,$I$142,$I$143,Q129)</f>
        <v>9493.6897843200004</v>
      </c>
      <c r="Q149" s="53" cm="1">
        <f t="array" aca="1" ref="Q149" ca="1">MMS_Feedlot_N2ODirect_Equations.VEERG_4_1_1_3__7_NitrogenTransferredToStage2(R106,$I$142,$I$143,R129)</f>
        <v>13712.158079999996</v>
      </c>
      <c r="R149" s="2" t="str">
        <f>$E$116</f>
        <v>kg N</v>
      </c>
    </row>
    <row r="150" spans="3:20" ht="20.100000000000001" customHeight="1" x14ac:dyDescent="0.25"/>
    <row r="151" spans="3:20" ht="20.100000000000001" customHeight="1" x14ac:dyDescent="0.25"/>
    <row r="152" spans="3:20" ht="20.100000000000001" customHeight="1" x14ac:dyDescent="0.25">
      <c r="C152" s="46"/>
      <c r="D152" s="46"/>
      <c r="E152" s="46"/>
      <c r="F152" s="46"/>
      <c r="G152" s="46"/>
      <c r="H152" s="46"/>
      <c r="I152" s="46"/>
      <c r="J152" s="46"/>
      <c r="K152" s="46"/>
      <c r="L152" s="46"/>
      <c r="N152" s="46"/>
      <c r="O152" s="46"/>
      <c r="P152" s="46"/>
      <c r="Q152" s="46"/>
      <c r="R152" s="46"/>
      <c r="S152" s="46"/>
      <c r="T152" s="46"/>
    </row>
    <row r="153" spans="3:20" ht="20.100000000000001" customHeight="1" x14ac:dyDescent="0.25">
      <c r="D153" s="6" t="str" cm="1">
        <f t="array" ref="D153">MMS_Feedlot_N2ODirect_Equations.VEERG_4_1_1_3__6_Stage2NitrogenInMMS_Title()</f>
        <v>Nitrogen in treatment stage 2 MMS</v>
      </c>
    </row>
    <row r="154" spans="3:20" ht="20.100000000000001" customHeight="1" x14ac:dyDescent="0.25">
      <c r="D154" s="5" t="str" cm="1">
        <f t="array" ref="D154">MMS_Feedlot_N2ODirect_Equations.VEERG_4_1_1_3__6_Stage2NitrogenInMMS_Source()</f>
        <v>VEERG 2026: 4.1.1.3, Equation (6)</v>
      </c>
    </row>
    <row r="155" spans="3:20" ht="20.100000000000001" customHeight="1" x14ac:dyDescent="0.25">
      <c r="D155" s="13" t="s">
        <v>23</v>
      </c>
      <c r="E155" s="13" t="str" cm="1">
        <f t="array" aca="1" ref="E155" ca="1">Common_InputFunctions.Utility_DisplayFunctionName(E174)</f>
        <v>=MMS_Feedlot_N2ODirect_Equations.VEERG_4_1_1_3__6_Stage2NitrogenInMMS</v>
      </c>
    </row>
    <row r="156" spans="3:20" ht="20.100000000000001" customHeight="1" x14ac:dyDescent="0.25"/>
    <row r="157" spans="3:20" ht="20.100000000000001" customHeight="1" x14ac:dyDescent="0.25">
      <c r="D157" s="6"/>
    </row>
    <row r="158" spans="3:20" ht="20.100000000000001" customHeight="1" x14ac:dyDescent="0.25">
      <c r="D158" s="54" t="s">
        <v>26</v>
      </c>
      <c r="E158" s="1" t="str" cm="1">
        <f t="array" ref="E158">MMS_Feedlot_N2ODirect_Equations.VEERG_4_1_1_3__6_Stage2NitrogenInMMS_Variable()</f>
        <v>MN_jmT2</v>
      </c>
    </row>
    <row r="159" spans="3:20" ht="20.100000000000001" customHeight="1" x14ac:dyDescent="0.25">
      <c r="D159" s="54" t="s">
        <v>16</v>
      </c>
      <c r="E159" s="55" t="str" cm="1">
        <f t="array" ref="E159">MMS_Feedlot_N2ODirect_Equations.VEERG_4_1_1_3__6_Stage2NitrogenInMMS_Unit()</f>
        <v>kg N</v>
      </c>
    </row>
    <row r="160" spans="3:20" ht="20.100000000000001" customHeight="1" x14ac:dyDescent="0.25"/>
    <row r="161" spans="4:19" ht="20.100000000000001" customHeight="1" x14ac:dyDescent="0.25">
      <c r="D161" s="134" t="str" cm="1">
        <f t="array" ref="D161:E162">_xlfn.CHOOSECOLS(MMS_Feedlot_N2ODirect_Equations.VEERG_4_1_1_3__6_Stage2NitrogenInMMS_Arguments(),1,2)</f>
        <v>NT_jmT2</v>
      </c>
      <c r="E161" s="137" t="str">
        <v>nitrogen transferred to secondary treatment MMS</v>
      </c>
      <c r="F161" s="136"/>
      <c r="G161" s="134" t="str" cm="1">
        <f t="array" ref="G161:H162">_xlfn.CHOOSECOLS(MMS_Feedlot_N2ODirect_Equations.VEERG_4_1_1_3__6_Stage2NitrogenInMMS_Arguments(),3,4)</f>
        <v>kg N</v>
      </c>
      <c r="H161" s="126" t="str">
        <v>Calculated from 4.1.1.3 (7)</v>
      </c>
      <c r="I161" s="135" t="str" cm="1">
        <f t="array" aca="1" ref="I161" ca="1">HYPERLINK(Common_InputFunctions.Utility_SourceHyperlink($D$146),$D$146)</f>
        <v>M1_Table_NT_j_m-_T-2</v>
      </c>
    </row>
    <row r="162" spans="4:19" ht="20.100000000000001" customHeight="1" x14ac:dyDescent="0.25">
      <c r="D162" s="134" t="str">
        <v>MMS_jmT2</v>
      </c>
      <c r="E162" s="137" t="str">
        <v>fraction of manure in each secondary system</v>
      </c>
      <c r="F162" s="136"/>
      <c r="G162" s="134" t="str">
        <v>fraction</v>
      </c>
      <c r="H162" s="125" t="str">
        <v>Input</v>
      </c>
      <c r="I162" s="135" t="str" cm="1">
        <f t="array" aca="1" ref="I162" ca="1">HYPERLINK(Common_InputFunctions.Utility_SourceHyperlink($D$164),$D$164)</f>
        <v>Table_MMS_j_m_T-2</v>
      </c>
    </row>
    <row r="163" spans="4:19" ht="20.100000000000001" customHeight="1" x14ac:dyDescent="0.25">
      <c r="L163" s="2"/>
    </row>
    <row r="164" spans="4:19" ht="20.100000000000001" customHeight="1" x14ac:dyDescent="0.25">
      <c r="D164" s="100" t="s">
        <v>160</v>
      </c>
      <c r="L164" s="2"/>
    </row>
    <row r="165" spans="4:19" ht="20.100000000000001" customHeight="1" x14ac:dyDescent="0.25">
      <c r="D165" s="99" t="s">
        <v>107</v>
      </c>
    </row>
    <row r="166" spans="4:19" ht="20.100000000000001" customHeight="1" x14ac:dyDescent="0.25">
      <c r="D166" s="40" t="s">
        <v>95</v>
      </c>
      <c r="E166" s="40" t="s">
        <v>131</v>
      </c>
      <c r="F166" s="40" t="s">
        <v>132</v>
      </c>
      <c r="G166" s="40" t="s">
        <v>133</v>
      </c>
    </row>
    <row r="167" spans="4:19" ht="20.100000000000001" customHeight="1" x14ac:dyDescent="0.25">
      <c r="D167" s="53" t="str" cm="1">
        <f t="array" aca="1" ref="D167:G169" ca="1">OFFSET(X_Table_Feedlot_MMS_Stage2,2, 0, 3, 4)</f>
        <v>Solid storage</v>
      </c>
      <c r="E167" s="53">
        <f ca="1"/>
        <v>0.2</v>
      </c>
      <c r="F167" s="53">
        <f ca="1"/>
        <v>0.2</v>
      </c>
      <c r="G167" s="53">
        <f ca="1"/>
        <v>0.2</v>
      </c>
      <c r="H167" s="2" t="s">
        <v>317</v>
      </c>
      <c r="I167" s="2"/>
      <c r="J167" s="2"/>
      <c r="K167" s="2"/>
    </row>
    <row r="168" spans="4:19" ht="20.100000000000001" customHeight="1" x14ac:dyDescent="0.25">
      <c r="D168" s="53" t="str">
        <f ca="1"/>
        <v>Composting (passive windrow)</v>
      </c>
      <c r="E168" s="53">
        <f ca="1"/>
        <v>0.2</v>
      </c>
      <c r="F168" s="53">
        <f ca="1"/>
        <v>0.2</v>
      </c>
      <c r="G168" s="53">
        <f ca="1"/>
        <v>0.2</v>
      </c>
      <c r="H168" s="2" t="s">
        <v>317</v>
      </c>
      <c r="I168" s="2"/>
      <c r="J168" s="2"/>
      <c r="K168" s="2"/>
    </row>
    <row r="169" spans="4:19" ht="20.100000000000001" customHeight="1" x14ac:dyDescent="0.25">
      <c r="D169" s="53" t="str">
        <f ca="1"/>
        <v>Direct application</v>
      </c>
      <c r="E169" s="53">
        <f ca="1"/>
        <v>0.6</v>
      </c>
      <c r="F169" s="53">
        <f ca="1"/>
        <v>0.6</v>
      </c>
      <c r="G169" s="53">
        <f ca="1"/>
        <v>0.6</v>
      </c>
    </row>
    <row r="170" spans="4:19" ht="20.100000000000001" customHeight="1" x14ac:dyDescent="0.25"/>
    <row r="171" spans="4:19" ht="20.100000000000001" customHeight="1" x14ac:dyDescent="0.25">
      <c r="D171" s="100" t="s">
        <v>171</v>
      </c>
      <c r="O171" s="100" t="s">
        <v>171</v>
      </c>
    </row>
    <row r="172" spans="4:19" ht="20.100000000000001" customHeight="1" x14ac:dyDescent="0.25">
      <c r="D172" s="99" t="s">
        <v>175</v>
      </c>
      <c r="O172" s="99" t="s">
        <v>176</v>
      </c>
    </row>
    <row r="173" spans="4:19" ht="20.100000000000001" customHeight="1" x14ac:dyDescent="0.25">
      <c r="D173" s="52" t="s">
        <v>95</v>
      </c>
      <c r="E173" s="52" t="s">
        <v>131</v>
      </c>
      <c r="F173" s="52" t="s">
        <v>132</v>
      </c>
      <c r="G173" s="52" t="s">
        <v>133</v>
      </c>
      <c r="O173" s="52" t="s">
        <v>95</v>
      </c>
      <c r="P173" s="52" t="s">
        <v>131</v>
      </c>
      <c r="Q173" s="52" t="s">
        <v>132</v>
      </c>
      <c r="R173" s="52" t="s">
        <v>133</v>
      </c>
    </row>
    <row r="174" spans="4:19" ht="20.100000000000001" customHeight="1" x14ac:dyDescent="0.25">
      <c r="D174" s="53" t="str">
        <f>INDEX(X_Table_Feedlot_MMS_Stage2,3,1)</f>
        <v>Solid storage</v>
      </c>
      <c r="E174" s="53" cm="1">
        <f t="array" aca="1" ref="E174" ca="1">MMS_Feedlot_N2ODirect_Equations.VEERG_4_1_1_3__6_Stage2NitrogenInMMS(D$149,E167)</f>
        <v>1250.3589396480006</v>
      </c>
      <c r="F174" s="53" cm="1">
        <f t="array" aca="1" ref="F174" ca="1">MMS_Feedlot_N2ODirect_Equations.VEERG_4_1_1_3__6_Stage2NitrogenInMMS(E$149,F167)</f>
        <v>1898.7379568640001</v>
      </c>
      <c r="G174" s="53" cm="1">
        <f t="array" aca="1" ref="G174" ca="1">MMS_Feedlot_N2ODirect_Equations.VEERG_4_1_1_3__6_Stage2NitrogenInMMS(F$149,G167)</f>
        <v>2742.4316159999994</v>
      </c>
      <c r="H174" s="2" t="str">
        <f>$E$159</f>
        <v>kg N</v>
      </c>
      <c r="I174" s="2"/>
      <c r="J174" s="2"/>
      <c r="K174" s="2"/>
      <c r="O174" s="53" t="str">
        <f>INDEX(X_Table_Feedlot_MMS_Stage2,3,1)</f>
        <v>Solid storage</v>
      </c>
      <c r="P174" s="53" cm="1">
        <f t="array" aca="1" ref="P174" ca="1">MMS_Feedlot_N2ODirect_Equations.VEERG_4_1_1_3__6_Stage2NitrogenInMMS(O$149,E167)</f>
        <v>1250.3589396480006</v>
      </c>
      <c r="Q174" s="53" cm="1">
        <f t="array" aca="1" ref="Q174" ca="1">MMS_Feedlot_N2ODirect_Equations.VEERG_4_1_1_3__6_Stage2NitrogenInMMS(P$149,F167)</f>
        <v>1898.7379568640001</v>
      </c>
      <c r="R174" s="53" cm="1">
        <f t="array" aca="1" ref="R174" ca="1">MMS_Feedlot_N2ODirect_Equations.VEERG_4_1_1_3__6_Stage2NitrogenInMMS(Q$149,G167)</f>
        <v>2742.4316159999994</v>
      </c>
      <c r="S174" s="2" t="str">
        <f>$E$159</f>
        <v>kg N</v>
      </c>
    </row>
    <row r="175" spans="4:19" ht="20.100000000000001" customHeight="1" x14ac:dyDescent="0.25">
      <c r="D175" s="53" t="str">
        <f>INDEX(X_Table_Feedlot_MMS_Stage2,4,1)</f>
        <v>Composting (passive windrow)</v>
      </c>
      <c r="E175" s="53" cm="1">
        <f t="array" aca="1" ref="E175" ca="1">MMS_Feedlot_N2ODirect_Equations.VEERG_4_1_1_3__6_Stage2NitrogenInMMS(D$149,E168)</f>
        <v>1250.3589396480006</v>
      </c>
      <c r="F175" s="53" cm="1">
        <f t="array" aca="1" ref="F175" ca="1">MMS_Feedlot_N2ODirect_Equations.VEERG_4_1_1_3__6_Stage2NitrogenInMMS(E$149,F168)</f>
        <v>1898.7379568640001</v>
      </c>
      <c r="G175" s="53" cm="1">
        <f t="array" aca="1" ref="G175" ca="1">MMS_Feedlot_N2ODirect_Equations.VEERG_4_1_1_3__6_Stage2NitrogenInMMS(F$149,G168)</f>
        <v>2742.4316159999994</v>
      </c>
      <c r="H175" s="2" t="str">
        <f>$E$159</f>
        <v>kg N</v>
      </c>
      <c r="I175" s="2"/>
      <c r="J175" s="2"/>
      <c r="K175" s="2"/>
      <c r="O175" s="53" t="str">
        <f>INDEX(X_Table_Feedlot_MMS_Stage2,4,1)</f>
        <v>Composting (passive windrow)</v>
      </c>
      <c r="P175" s="53" cm="1">
        <f t="array" aca="1" ref="P175" ca="1">MMS_Feedlot_N2ODirect_Equations.VEERG_4_1_1_3__6_Stage2NitrogenInMMS(O$149,E168)</f>
        <v>1250.3589396480006</v>
      </c>
      <c r="Q175" s="53" cm="1">
        <f t="array" aca="1" ref="Q175" ca="1">MMS_Feedlot_N2ODirect_Equations.VEERG_4_1_1_3__6_Stage2NitrogenInMMS(P$149,F168)</f>
        <v>1898.7379568640001</v>
      </c>
      <c r="R175" s="53" cm="1">
        <f t="array" aca="1" ref="R175" ca="1">MMS_Feedlot_N2ODirect_Equations.VEERG_4_1_1_3__6_Stage2NitrogenInMMS(Q$149,G168)</f>
        <v>2742.4316159999994</v>
      </c>
      <c r="S175" s="2" t="str">
        <f>$E$159</f>
        <v>kg N</v>
      </c>
    </row>
    <row r="176" spans="4:19" ht="20.100000000000001" customHeight="1" x14ac:dyDescent="0.25">
      <c r="D176" s="53" t="str">
        <f>INDEX(X_Table_Feedlot_MMS_Stage2,5,1)</f>
        <v>Direct application</v>
      </c>
      <c r="E176" s="53" cm="1">
        <f t="array" aca="1" ref="E176" ca="1">MMS_Feedlot_N2ODirect_Equations.VEERG_4_1_1_3__6_Stage2NitrogenInMMS(D$149,E169)</f>
        <v>3751.0768189440014</v>
      </c>
      <c r="F176" s="53" cm="1">
        <f t="array" aca="1" ref="F176" ca="1">MMS_Feedlot_N2ODirect_Equations.VEERG_4_1_1_3__6_Stage2NitrogenInMMS(E$149,F169)</f>
        <v>5696.2138705919997</v>
      </c>
      <c r="G176" s="53" cm="1">
        <f t="array" aca="1" ref="G176" ca="1">MMS_Feedlot_N2ODirect_Equations.VEERG_4_1_1_3__6_Stage2NitrogenInMMS(F$149,G169)</f>
        <v>8227.2948479999977</v>
      </c>
      <c r="H176" s="2" t="str">
        <f>$E$159</f>
        <v>kg N</v>
      </c>
      <c r="I176" s="2"/>
      <c r="J176" s="2"/>
      <c r="K176" s="2"/>
      <c r="O176" s="53" t="str">
        <f>INDEX(X_Table_Feedlot_MMS_Stage2,5,1)</f>
        <v>Direct application</v>
      </c>
      <c r="P176" s="53" cm="1">
        <f t="array" aca="1" ref="P176" ca="1">MMS_Feedlot_N2ODirect_Equations.VEERG_4_1_1_3__6_Stage2NitrogenInMMS(O$149,E169)</f>
        <v>3751.0768189440014</v>
      </c>
      <c r="Q176" s="53" cm="1">
        <f t="array" aca="1" ref="Q176" ca="1">MMS_Feedlot_N2ODirect_Equations.VEERG_4_1_1_3__6_Stage2NitrogenInMMS(P$149,F169)</f>
        <v>5696.2138705919997</v>
      </c>
      <c r="R176" s="53" cm="1">
        <f t="array" aca="1" ref="R176" ca="1">MMS_Feedlot_N2ODirect_Equations.VEERG_4_1_1_3__6_Stage2NitrogenInMMS(Q$149,G169)</f>
        <v>8227.2948479999977</v>
      </c>
      <c r="S176" s="2" t="str">
        <f>$E$159</f>
        <v>kg N</v>
      </c>
    </row>
    <row r="177" spans="3:20" ht="20.100000000000001" customHeight="1" x14ac:dyDescent="0.25"/>
    <row r="178" spans="3:20" ht="20.100000000000001" customHeight="1" x14ac:dyDescent="0.25">
      <c r="C178" s="46"/>
      <c r="D178" s="46"/>
      <c r="E178" s="46"/>
      <c r="F178" s="46"/>
      <c r="G178" s="46"/>
      <c r="H178" s="46"/>
      <c r="I178" s="46"/>
      <c r="J178" s="46"/>
      <c r="K178" s="46"/>
      <c r="L178" s="46"/>
      <c r="N178" s="46"/>
      <c r="O178" s="46"/>
      <c r="P178" s="46"/>
      <c r="Q178" s="46"/>
      <c r="R178" s="46"/>
      <c r="S178" s="46"/>
      <c r="T178" s="46"/>
    </row>
    <row r="179" spans="3:20" ht="20.100000000000001" customHeight="1" x14ac:dyDescent="0.25">
      <c r="D179" s="6" t="str" cm="1">
        <f t="array" ref="D179">MMS_Feedlot_N2ODirect_Equations.VEERG_4_1_1_3__1_TotalAnnualDirectNitrousOxideEmissions_Title()</f>
        <v>Total annual direct nitrous oxide emissions from manure management systems</v>
      </c>
    </row>
    <row r="180" spans="3:20" ht="20.100000000000001" customHeight="1" x14ac:dyDescent="0.25">
      <c r="D180" s="5" t="str" cm="1">
        <f t="array" ref="D180">MMS_Feedlot_N2ODirect_Equations.VEERG_4_1_1_3__1_TotalAnnualDirectNitrousOxideEmissions_Source()</f>
        <v>VEERG 2026: 4.1.1.3, Equation (1)</v>
      </c>
    </row>
    <row r="181" spans="3:20" ht="20.100000000000001" customHeight="1" x14ac:dyDescent="0.25">
      <c r="D181" s="13" t="s">
        <v>23</v>
      </c>
      <c r="E181" s="13" t="str" cm="1">
        <f t="array" aca="1" ref="E181" ca="1">Common_InputFunctions.Utility_DisplayFunctionName(E206)</f>
        <v>=MMS_Feedlot_N2ODirect_Equations.VEERG_4_1_1_3__1_TotalAnnualDirectNitrousOxideEmissions</v>
      </c>
    </row>
    <row r="182" spans="3:20" ht="20.100000000000001" customHeight="1" x14ac:dyDescent="0.25"/>
    <row r="183" spans="3:20" ht="20.100000000000001" customHeight="1" x14ac:dyDescent="0.25">
      <c r="D183" s="6"/>
    </row>
    <row r="184" spans="3:20" ht="20.100000000000001" customHeight="1" x14ac:dyDescent="0.25"/>
    <row r="185" spans="3:20" ht="20.100000000000001" customHeight="1" x14ac:dyDescent="0.25">
      <c r="D185" s="54" t="s">
        <v>26</v>
      </c>
      <c r="E185" s="1" t="str" cm="1">
        <f t="array" ref="E185">MMS_Feedlot_N2ODirect_Equations.VEERG_4_1_1_3__1_TotalAnnualDirectNitrousOxideEmissions_Variable()</f>
        <v>E_N2Odir</v>
      </c>
    </row>
    <row r="186" spans="3:20" ht="20.100000000000001" customHeight="1" x14ac:dyDescent="0.25">
      <c r="D186" s="54" t="s">
        <v>16</v>
      </c>
      <c r="E186" s="55" t="str" cm="1">
        <f t="array" ref="E186">MMS_Feedlot_N2ODirect_Equations.VEERG_4_1_1_3__1_TotalAnnualDirectNitrousOxideEmissions_Unit()</f>
        <v>t N2O</v>
      </c>
    </row>
    <row r="187" spans="3:20" ht="20.100000000000001" customHeight="1" x14ac:dyDescent="0.25"/>
    <row r="188" spans="3:20" ht="20.100000000000001" customHeight="1" x14ac:dyDescent="0.25">
      <c r="D188" s="134" t="str" cm="1">
        <f t="array" ref="D188:E190">_xlfn.CHOOSECOLS(MMS_Feedlot_N2ODirect_Equations.VEERG_4_1_1_3__1_TotalAnnualDirectNitrousOxideEmissions_Arguments(),1,2)</f>
        <v>MN_jmT</v>
      </c>
      <c r="E188" s="137" t="str">
        <v>nitrogen per cattle group, MMS and treatment stage</v>
      </c>
      <c r="F188" s="136"/>
      <c r="G188" s="134" t="str" cm="1">
        <f t="array" ref="G188:H190">_xlfn.CHOOSECOLS(MMS_Feedlot_N2ODirect_Equations.VEERG_4_1_1_3__1_TotalAnnualDirectNitrousOxideEmissions_Arguments(),3,4)</f>
        <v>kg N</v>
      </c>
      <c r="H188" s="126" t="str">
        <v>Calculated from 4.1.1.3 (2)(6)(8)</v>
      </c>
      <c r="I188" s="135" t="str" cm="1">
        <f t="array" aca="1" ref="I188" ca="1">HYPERLINK(Common_InputFunctions.Utility_SourceHyperlink($D$103),$D$103)</f>
        <v>M1_Table_MN_j_m-5_T-1</v>
      </c>
      <c r="J188" s="135" t="str" cm="1">
        <f t="array" aca="1" ref="J188" ca="1">HYPERLINK(Common_InputFunctions.Utility_SourceHyperlink($D$171),$D$171)</f>
        <v>M1_Table_MN_j_m_T-2</v>
      </c>
      <c r="K188" s="135" t="str" cm="1">
        <f t="array" aca="1" ref="K188" ca="1">HYPERLINK(Common_InputFunctions.Utility_SourceHyperlink($D$126),$D$126)</f>
        <v>M1_Table_MN_j_m-1_T-3</v>
      </c>
    </row>
    <row r="189" spans="3:20" ht="20.100000000000001" customHeight="1" x14ac:dyDescent="0.25">
      <c r="D189" s="134" t="str">
        <v>EF_jm</v>
      </c>
      <c r="E189" s="137" t="str">
        <v>nitrous oxide emission factor for MMS</v>
      </c>
      <c r="F189" s="136"/>
      <c r="G189" s="134" t="str">
        <v>kg N2O-N/kg N</v>
      </c>
      <c r="H189" s="126" t="str">
        <v>Constant</v>
      </c>
      <c r="I189" s="135" t="str" cm="1">
        <f t="array" aca="1" ref="I189" ca="1">HYPERLINK(Common_InputFunctions.Utility_SourceHyperlink($D$192),$D$192)</f>
        <v>Table_EF_j_m</v>
      </c>
      <c r="J189" s="134"/>
      <c r="K189" s="134"/>
    </row>
    <row r="190" spans="3:20" ht="20.100000000000001" customHeight="1" x14ac:dyDescent="0.25">
      <c r="D190" s="134" t="str">
        <v>C_N2O</v>
      </c>
      <c r="E190" s="137" t="str">
        <v>factor to convert elemental mass of nitrous oxide to molecular mass</v>
      </c>
      <c r="F190" s="136"/>
      <c r="G190" s="134" t="str">
        <v>ratio</v>
      </c>
      <c r="H190" s="126" t="str">
        <v>Constant</v>
      </c>
      <c r="I190" s="134">
        <f>Common_InputFunctions.Utility_LookupValueInTableNumber("N2O",Table_GasToMolecularConversionFactor[Gas],Table_GasToMolecularConversionFactor[Conversion factor combined])</f>
        <v>1.5714285714285714</v>
      </c>
      <c r="J190" s="134"/>
      <c r="K190" s="134"/>
    </row>
    <row r="191" spans="3:20" ht="20.100000000000001" customHeight="1" x14ac:dyDescent="0.25"/>
    <row r="192" spans="3:20" ht="20.100000000000001" customHeight="1" x14ac:dyDescent="0.25">
      <c r="D192" s="100" t="s">
        <v>163</v>
      </c>
    </row>
    <row r="193" spans="4:19" ht="20.100000000000001" customHeight="1" x14ac:dyDescent="0.25">
      <c r="D193" s="99" t="s">
        <v>164</v>
      </c>
    </row>
    <row r="194" spans="4:19" ht="20.100000000000001" customHeight="1" x14ac:dyDescent="0.25">
      <c r="D194" s="111" t="s">
        <v>64</v>
      </c>
      <c r="E194" s="111" t="s">
        <v>165</v>
      </c>
    </row>
    <row r="195" spans="4:19" ht="20.100000000000001" customHeight="1" x14ac:dyDescent="0.25">
      <c r="D195" s="53" t="str">
        <f>INDEX(X_Table_Feedlot_MMS_Stage1,2,1)</f>
        <v>Drylot (feed pad)</v>
      </c>
      <c r="E195" s="53">
        <f>_xlfn.XLOOKUP($D$195, Table_SourceData_Feedlot_NO2EFs[NIR definition], Table_SourceData_Feedlot_NO2EFs[EF mT])</f>
        <v>5.4000000000000003E-3</v>
      </c>
    </row>
    <row r="196" spans="4:19" ht="20.100000000000001" customHeight="1" x14ac:dyDescent="0.25">
      <c r="D196" s="53" t="str">
        <f>INDEX(X_Table_Feedlot_MMS_Stage2,3,1)</f>
        <v>Solid storage</v>
      </c>
      <c r="E196" s="53">
        <f>_xlfn.XLOOKUP($D$196, Table_SourceData_Feedlot_NO2EFs[NIR definition], Table_SourceData_Feedlot_NO2EFs[EF mT])</f>
        <v>5.0000000000000001E-3</v>
      </c>
    </row>
    <row r="197" spans="4:19" ht="20.100000000000001" customHeight="1" x14ac:dyDescent="0.25">
      <c r="D197" s="53" t="str">
        <f>INDEX(X_Table_Feedlot_MMS_Stage2,4,1)</f>
        <v>Composting (passive windrow)</v>
      </c>
      <c r="E197" s="53">
        <f>_xlfn.XLOOKUP($D$197, Table_SourceData_Feedlot_NO2EFs[NIR definition], Table_SourceData_Feedlot_NO2EFs[EF mT])</f>
        <v>0.01</v>
      </c>
    </row>
    <row r="198" spans="4:19" ht="20.100000000000001" customHeight="1" x14ac:dyDescent="0.25">
      <c r="D198" s="53" t="str">
        <f>INDEX(X_Table_Feedlot_MMS_Stage3,3,1)</f>
        <v>Anaerobic lagoon</v>
      </c>
      <c r="E198" s="53">
        <f>_xlfn.XLOOKUP($D$198, Table_SourceData_Feedlot_NO2EFs[NIR definition], Table_SourceData_Feedlot_NO2EFs[EF mT])</f>
        <v>0</v>
      </c>
    </row>
    <row r="199" spans="4:19" ht="20.100000000000001" customHeight="1" x14ac:dyDescent="0.25"/>
    <row r="200" spans="4:19" ht="20.100000000000001" customHeight="1" x14ac:dyDescent="0.25">
      <c r="D200" s="112" t="s">
        <v>339</v>
      </c>
      <c r="E200" s="90"/>
      <c r="F200" s="90"/>
      <c r="G200" s="86"/>
    </row>
    <row r="201" spans="4:19" ht="20.100000000000001" customHeight="1" x14ac:dyDescent="0.25">
      <c r="D201" s="92" t="s">
        <v>322</v>
      </c>
      <c r="E201" s="89"/>
      <c r="F201" s="89"/>
      <c r="G201" s="87"/>
    </row>
    <row r="202" spans="4:19" ht="20.100000000000001" customHeight="1" x14ac:dyDescent="0.25"/>
    <row r="203" spans="4:19" ht="20.100000000000001" customHeight="1" x14ac:dyDescent="0.25">
      <c r="D203" s="100" t="s">
        <v>172</v>
      </c>
      <c r="O203" s="100" t="s">
        <v>352</v>
      </c>
    </row>
    <row r="204" spans="4:19" ht="20.100000000000001" customHeight="1" x14ac:dyDescent="0.25">
      <c r="D204" s="99" t="s">
        <v>173</v>
      </c>
      <c r="O204" s="99" t="s">
        <v>174</v>
      </c>
    </row>
    <row r="205" spans="4:19" ht="20.100000000000001" customHeight="1" x14ac:dyDescent="0.25">
      <c r="D205" s="111" t="s">
        <v>64</v>
      </c>
      <c r="E205" s="52" t="s">
        <v>131</v>
      </c>
      <c r="F205" s="52" t="s">
        <v>132</v>
      </c>
      <c r="G205" s="52" t="s">
        <v>133</v>
      </c>
      <c r="O205" s="111" t="s">
        <v>64</v>
      </c>
      <c r="P205" s="52" t="s">
        <v>131</v>
      </c>
      <c r="Q205" s="52" t="s">
        <v>132</v>
      </c>
      <c r="R205" s="52" t="s">
        <v>133</v>
      </c>
    </row>
    <row r="206" spans="4:19" ht="20.100000000000001" customHeight="1" x14ac:dyDescent="0.25">
      <c r="D206" s="53" t="str">
        <f>INDEX(X_Table_Feedlot_MMS_Stage1,2,1)</f>
        <v>Drylot (feed pad)</v>
      </c>
      <c r="E206" s="53" cm="1">
        <f t="array" aca="1" ref="E206" ca="1">MMS_Feedlot_N2ODirect_Equations.VEERG_4_1_1_3__1_TotalAnnualDirectNitrousOxideEmissions(E$106,$E195,$I$190)</f>
        <v>0.14162024448000005</v>
      </c>
      <c r="F206" s="53" cm="1">
        <f t="array" aca="1" ref="F206" ca="1">MMS_Feedlot_N2ODirect_Equations.VEERG_4_1_1_3__1_TotalAnnualDirectNitrousOxideEmissions(F$106,$E195,$I$190)</f>
        <v>0.21505803264000004</v>
      </c>
      <c r="G206" s="53" cm="1">
        <f t="array" aca="1" ref="G206" ca="1">MMS_Feedlot_N2ODirect_Equations.VEERG_4_1_1_3__1_TotalAnnualDirectNitrousOxideEmissions(G$106,$E195,$I$190)</f>
        <v>0.31061787428571419</v>
      </c>
      <c r="H206" s="2" t="str">
        <f>$E$186</f>
        <v>t N2O</v>
      </c>
      <c r="I206" s="2"/>
      <c r="J206" s="2"/>
      <c r="K206" s="2"/>
      <c r="O206" s="53" t="str">
        <f>INDEX(X_Table_Feedlot_MMS_Stage1,2,1)</f>
        <v>Drylot (feed pad)</v>
      </c>
      <c r="P206" s="53" cm="1">
        <f t="array" aca="1" ref="P206" ca="1">MMS_Feedlot_N2ODirect_Equations.VEERG_4_1_1_3__1_TotalAnnualDirectNitrousOxideEmissions(P$106,$E195,$I$190)</f>
        <v>0.14162024448000005</v>
      </c>
      <c r="Q206" s="53" cm="1">
        <f t="array" aca="1" ref="Q206" ca="1">MMS_Feedlot_N2ODirect_Equations.VEERG_4_1_1_3__1_TotalAnnualDirectNitrousOxideEmissions(Q$106,$E195,$I$190)</f>
        <v>0.21505803264000004</v>
      </c>
      <c r="R206" s="53" cm="1">
        <f t="array" aca="1" ref="R206" ca="1">MMS_Feedlot_N2ODirect_Equations.VEERG_4_1_1_3__1_TotalAnnualDirectNitrousOxideEmissions(R$106,$E195,$I$190)</f>
        <v>0.31061787428571419</v>
      </c>
      <c r="S206" s="2" t="str">
        <f>$E$186</f>
        <v>t N2O</v>
      </c>
    </row>
    <row r="207" spans="4:19" ht="20.100000000000001" customHeight="1" x14ac:dyDescent="0.25">
      <c r="D207" s="53" t="str">
        <f>INDEX(X_Table_Feedlot_MMS_Stage2,3,1)</f>
        <v>Solid storage</v>
      </c>
      <c r="E207" s="53" cm="1">
        <f t="array" aca="1" ref="E207" ca="1">MMS_Feedlot_N2ODirect_Equations.VEERG_4_1_1_3__1_TotalAnnualDirectNitrousOxideEmissions(E$174,$E196,$I$190)</f>
        <v>9.8242488115200047E-3</v>
      </c>
      <c r="F207" s="53" cm="1">
        <f t="array" aca="1" ref="F207" ca="1">MMS_Feedlot_N2ODirect_Equations.VEERG_4_1_1_3__1_TotalAnnualDirectNitrousOxideEmissions(F$174,$E196,$I$190)</f>
        <v>1.4918655375360001E-2</v>
      </c>
      <c r="G207" s="53" cm="1">
        <f t="array" aca="1" ref="G207" ca="1">MMS_Feedlot_N2ODirect_Equations.VEERG_4_1_1_3__1_TotalAnnualDirectNitrousOxideEmissions(G$174,$E196,$I$190)</f>
        <v>2.1547676982857138E-2</v>
      </c>
      <c r="H207" s="2" t="str">
        <f>$E$186</f>
        <v>t N2O</v>
      </c>
      <c r="I207" s="2"/>
      <c r="J207" s="2"/>
      <c r="K207" s="2"/>
      <c r="O207" s="53" t="str">
        <f>INDEX(X_Table_Feedlot_MMS_Stage2,3,1)</f>
        <v>Solid storage</v>
      </c>
      <c r="P207" s="53" cm="1">
        <f t="array" aca="1" ref="P207" ca="1">MMS_Feedlot_N2ODirect_Equations.VEERG_4_1_1_3__1_TotalAnnualDirectNitrousOxideEmissions(P$174,$E196,$I$190)</f>
        <v>9.8242488115200047E-3</v>
      </c>
      <c r="Q207" s="53" cm="1">
        <f t="array" aca="1" ref="Q207" ca="1">MMS_Feedlot_N2ODirect_Equations.VEERG_4_1_1_3__1_TotalAnnualDirectNitrousOxideEmissions(Q$174,$E196,$I$190)</f>
        <v>1.4918655375360001E-2</v>
      </c>
      <c r="R207" s="53" cm="1">
        <f t="array" aca="1" ref="R207" ca="1">MMS_Feedlot_N2ODirect_Equations.VEERG_4_1_1_3__1_TotalAnnualDirectNitrousOxideEmissions(R$174,$E196,$I$190)</f>
        <v>2.1547676982857138E-2</v>
      </c>
      <c r="S207" s="2" t="str">
        <f>$E$186</f>
        <v>t N2O</v>
      </c>
    </row>
    <row r="208" spans="4:19" ht="20.100000000000001" customHeight="1" x14ac:dyDescent="0.25">
      <c r="D208" s="53" t="str">
        <f>INDEX(X_Table_Feedlot_MMS_Stage2,4,1)</f>
        <v>Composting (passive windrow)</v>
      </c>
      <c r="E208" s="53" cm="1">
        <f t="array" aca="1" ref="E208" ca="1">MMS_Feedlot_N2ODirect_Equations.VEERG_4_1_1_3__1_TotalAnnualDirectNitrousOxideEmissions(E$175,$E197,$I$190)</f>
        <v>1.9648497623040009E-2</v>
      </c>
      <c r="F208" s="53" cm="1">
        <f t="array" aca="1" ref="F208" ca="1">MMS_Feedlot_N2ODirect_Equations.VEERG_4_1_1_3__1_TotalAnnualDirectNitrousOxideEmissions(F$175,$E197,$I$190)</f>
        <v>2.9837310750720002E-2</v>
      </c>
      <c r="G208" s="53" cm="1">
        <f t="array" aca="1" ref="G208" ca="1">MMS_Feedlot_N2ODirect_Equations.VEERG_4_1_1_3__1_TotalAnnualDirectNitrousOxideEmissions(G$175,$E197,$I$190)</f>
        <v>4.3095353965714275E-2</v>
      </c>
      <c r="H208" s="2" t="str">
        <f>$E$186</f>
        <v>t N2O</v>
      </c>
      <c r="I208" s="2"/>
      <c r="J208" s="2"/>
      <c r="K208" s="2"/>
      <c r="O208" s="53" t="str">
        <f>INDEX(X_Table_Feedlot_MMS_Stage2,4,1)</f>
        <v>Composting (passive windrow)</v>
      </c>
      <c r="P208" s="53" cm="1">
        <f t="array" aca="1" ref="P208" ca="1">MMS_Feedlot_N2ODirect_Equations.VEERG_4_1_1_3__1_TotalAnnualDirectNitrousOxideEmissions(P$175,$E197,$I$190)</f>
        <v>1.9648497623040009E-2</v>
      </c>
      <c r="Q208" s="53" cm="1">
        <f t="array" aca="1" ref="Q208" ca="1">MMS_Feedlot_N2ODirect_Equations.VEERG_4_1_1_3__1_TotalAnnualDirectNitrousOxideEmissions(Q$175,$E197,$I$190)</f>
        <v>2.9837310750720002E-2</v>
      </c>
      <c r="R208" s="53" cm="1">
        <f t="array" aca="1" ref="R208" ca="1">MMS_Feedlot_N2ODirect_Equations.VEERG_4_1_1_3__1_TotalAnnualDirectNitrousOxideEmissions(R$175,$E197,$I$190)</f>
        <v>4.3095353965714275E-2</v>
      </c>
      <c r="S208" s="2" t="str">
        <f>$E$186</f>
        <v>t N2O</v>
      </c>
    </row>
    <row r="209" spans="4:19" ht="20.100000000000001" customHeight="1" x14ac:dyDescent="0.25">
      <c r="D209" s="53" t="str">
        <f>INDEX(X_Table_Feedlot_MMS_Stage2,5,1)</f>
        <v>Direct application</v>
      </c>
      <c r="E209" s="53" t="s">
        <v>308</v>
      </c>
      <c r="F209" s="53" t="s">
        <v>308</v>
      </c>
      <c r="G209" s="53" t="s">
        <v>308</v>
      </c>
      <c r="H209" s="2" t="str">
        <f>$E$186</f>
        <v>t N2O</v>
      </c>
      <c r="I209" s="2"/>
      <c r="J209" s="2"/>
      <c r="K209" s="2"/>
      <c r="O209" s="53" t="str">
        <f>INDEX(X_Table_Feedlot_MMS_Stage2,5,1)</f>
        <v>Direct application</v>
      </c>
      <c r="P209" s="53" t="s">
        <v>308</v>
      </c>
      <c r="Q209" s="53" t="s">
        <v>308</v>
      </c>
      <c r="R209" s="53" t="s">
        <v>308</v>
      </c>
      <c r="S209" s="2" t="str">
        <f>$E$186</f>
        <v>t N2O</v>
      </c>
    </row>
    <row r="210" spans="4:19" ht="20.100000000000001" customHeight="1" x14ac:dyDescent="0.25">
      <c r="D210" s="53" t="str">
        <f>INDEX(X_Table_Feedlot_MMS_Stage3,3,1)</f>
        <v>Anaerobic lagoon</v>
      </c>
      <c r="E210" s="53" cm="1">
        <f t="array" aca="1" ref="E210" ca="1">MMS_Feedlot_N2ODirect_Equations.VEERG_4_1_1_3__1_TotalAnnualDirectNitrousOxideEmissions(E$129,$E198,$I$190)</f>
        <v>0</v>
      </c>
      <c r="F210" s="53" cm="1">
        <f t="array" aca="1" ref="F210" ca="1">MMS_Feedlot_N2ODirect_Equations.VEERG_4_1_1_3__1_TotalAnnualDirectNitrousOxideEmissions(F$129,$E198,$I$190)</f>
        <v>0</v>
      </c>
      <c r="G210" s="53" cm="1">
        <f t="array" aca="1" ref="G210" ca="1">MMS_Feedlot_N2ODirect_Equations.VEERG_4_1_1_3__1_TotalAnnualDirectNitrousOxideEmissions(G$129,$E198,$I$190)</f>
        <v>0</v>
      </c>
      <c r="H210" s="2" t="str">
        <f>$E$186</f>
        <v>t N2O</v>
      </c>
      <c r="I210" s="2"/>
      <c r="J210" s="2"/>
      <c r="K210" s="2"/>
      <c r="O210" s="53" t="str">
        <f>INDEX(X_Table_Feedlot_MMS_Stage3,3,1)</f>
        <v>Anaerobic lagoon</v>
      </c>
      <c r="P210" s="53" cm="1">
        <f t="array" aca="1" ref="P210" ca="1">MMS_Feedlot_N2ODirect_Equations.VEERG_4_1_1_3__1_TotalAnnualDirectNitrousOxideEmissions(P$129,$E198,$I$190)</f>
        <v>0</v>
      </c>
      <c r="Q210" s="53" cm="1">
        <f t="array" aca="1" ref="Q210" ca="1">MMS_Feedlot_N2ODirect_Equations.VEERG_4_1_1_3__1_TotalAnnualDirectNitrousOxideEmissions(Q$129,$E198,$I$190)</f>
        <v>0</v>
      </c>
      <c r="R210" s="53" cm="1">
        <f t="array" aca="1" ref="R210" ca="1">MMS_Feedlot_N2ODirect_Equations.VEERG_4_1_1_3__1_TotalAnnualDirectNitrousOxideEmissions(R$129,$E198,$I$190)</f>
        <v>0</v>
      </c>
      <c r="S210" s="2" t="str">
        <f>$E$186</f>
        <v>t N2O</v>
      </c>
    </row>
    <row r="211" spans="4:19" ht="20.100000000000001" customHeight="1" x14ac:dyDescent="0.25"/>
    <row r="212" spans="4:19" ht="20.100000000000001" customHeight="1" x14ac:dyDescent="0.25">
      <c r="D212" s="104" t="s">
        <v>166</v>
      </c>
      <c r="E212" s="105">
        <f ca="1">SUM(E206:G210)</f>
        <v>0.80616789491492569</v>
      </c>
      <c r="F212" s="106" t="str">
        <f>$E$186</f>
        <v>t N2O</v>
      </c>
      <c r="O212" s="104" t="s">
        <v>166</v>
      </c>
      <c r="P212" s="105">
        <f ca="1">SUM(P206:R210)</f>
        <v>0.80616789491492569</v>
      </c>
      <c r="Q212" s="106" t="str">
        <f>$E$186</f>
        <v>t N2O</v>
      </c>
    </row>
    <row r="213" spans="4:19" ht="20.100000000000001" customHeight="1" x14ac:dyDescent="0.25"/>
    <row r="214" spans="4:19" ht="20.100000000000001" customHeight="1" x14ac:dyDescent="0.25">
      <c r="D214" s="58" t="str" cm="1">
        <f t="array" ref="D214:E215">Common_Equations.Common_ConvertN2OToCO2e_Arguments()</f>
        <v>EN2O</v>
      </c>
      <c r="E214" s="59" t="str">
        <v>Nitrous oxide emissions (t N2O)</v>
      </c>
      <c r="F214" s="107"/>
      <c r="G214" s="53">
        <f ca="1">VEERG_4_1_1_3__1_TotalAnnualDirectNitrousOxideEmissions_Result_Method1</f>
        <v>0.80616789491492569</v>
      </c>
      <c r="O214" s="58" t="str" cm="1">
        <f t="array" ref="O214:P215">Common_Equations.Common_ConvertN2OToCO2e_Arguments()</f>
        <v>EN2O</v>
      </c>
      <c r="P214" s="59" t="str">
        <v>Nitrous oxide emissions (t N2O)</v>
      </c>
      <c r="Q214" s="107"/>
      <c r="R214" s="53">
        <f ca="1">VEERG_4_1_1_3__1_TotalAnnualDirectNitrousOxideEmissions_Result_Method2</f>
        <v>0.80616789491492569</v>
      </c>
    </row>
    <row r="215" spans="4:19" ht="20.100000000000001" customHeight="1" x14ac:dyDescent="0.25">
      <c r="D215" s="58" t="str">
        <v>GWPN2O</v>
      </c>
      <c r="E215" s="59" t="str">
        <v>Global warming potential for nitrous oxide (t CO2-e / t N2O)</v>
      </c>
      <c r="F215" s="107"/>
      <c r="G215" s="53">
        <f>Common_InputFunctions.Utility_LookupValueInTableNumber("N2O",Table_GWPData[Gas],Table_GWPData[CO2-e factor])</f>
        <v>265</v>
      </c>
      <c r="O215" s="58" t="str">
        <v>GWPN2O</v>
      </c>
      <c r="P215" s="59" t="str">
        <v>Global warming potential for nitrous oxide (t CO2-e / t N2O)</v>
      </c>
      <c r="Q215" s="107"/>
      <c r="R215" s="53">
        <f>Common_InputFunctions.Utility_LookupValueInTableNumber("N2O",Table_GWPData[Gas],Table_GWPData[CO2-e factor])</f>
        <v>265</v>
      </c>
    </row>
    <row r="216" spans="4:19" ht="20.100000000000001" customHeight="1" x14ac:dyDescent="0.25"/>
    <row r="217" spans="4:19" ht="20.100000000000001" customHeight="1" x14ac:dyDescent="0.25">
      <c r="D217" s="46" t="s">
        <v>120</v>
      </c>
      <c r="E217" s="46" cm="1">
        <f t="array" aca="1" ref="E217" ca="1">Common_Equations.Common_ConvertN2OToCO2e(G214,G215)</f>
        <v>213.63449215245529</v>
      </c>
      <c r="F217" s="108" t="str" cm="1">
        <f t="array" ref="F217">Common_Equations.Common_ConvertN2OToCO2e_Unit()</f>
        <v>t CO2e</v>
      </c>
      <c r="O217" s="46" t="s">
        <v>120</v>
      </c>
      <c r="P217" s="46" cm="1">
        <f t="array" aca="1" ref="P217" ca="1">Common_Equations.Common_ConvertN2OToCO2e(R214,R215)</f>
        <v>213.63449215245529</v>
      </c>
      <c r="Q217" s="108" t="str" cm="1">
        <f t="array" ref="Q217">Common_Equations.Common_ConvertN2OToCO2e_Unit()</f>
        <v>t CO2e</v>
      </c>
    </row>
  </sheetData>
  <dataValidations count="1">
    <dataValidation operator="equal" allowBlank="1" showInputMessage="1" showErrorMessage="1" sqref="P106:S106 D73:F73 D83:F83 O83:Q83 E106:K106 D78:F78 E101:K101 E124:G124" xr:uid="{CE18DC45-74F3-46B3-972B-5F44E5579A05}"/>
  </dataValidations>
  <pageMargins left="0.7" right="0.7" top="0.75" bottom="0.75" header="0.3" footer="0.3"/>
  <pageSetup paperSize="9" orientation="portrait" r:id="rId1"/>
  <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2AB313-50E2-4B94-9781-2A2897CB38F7}">
  <dimension ref="A1:S165"/>
  <sheetViews>
    <sheetView showGridLines="0" topLeftCell="A15" zoomScaleNormal="100" workbookViewId="0">
      <selection activeCell="A25" sqref="A25"/>
    </sheetView>
  </sheetViews>
  <sheetFormatPr defaultRowHeight="15.75" x14ac:dyDescent="0.25"/>
  <cols>
    <col min="1" max="1" width="30.7109375" customWidth="1"/>
    <col min="2" max="2" width="4.7109375" customWidth="1"/>
    <col min="3" max="3" width="4.7109375" style="1" customWidth="1"/>
    <col min="4" max="9" width="30.7109375" style="1" customWidth="1"/>
    <col min="10" max="10" width="4.7109375" style="1" customWidth="1"/>
    <col min="11" max="11" width="4.7109375" customWidth="1"/>
    <col min="12" max="12" width="4.7109375" style="1" customWidth="1"/>
    <col min="13" max="18" width="30.7109375" style="1" customWidth="1"/>
    <col min="19" max="19" width="4.7109375" style="1" customWidth="1"/>
  </cols>
  <sheetData>
    <row r="1" spans="1:19" s="8" customFormat="1" ht="30" customHeight="1" x14ac:dyDescent="0.35">
      <c r="A1" s="66" t="e" vm="1">
        <v>#VALUE!</v>
      </c>
      <c r="C1" s="8" t="s">
        <v>254</v>
      </c>
    </row>
    <row r="2" spans="1:19" s="9" customFormat="1" ht="20.100000000000001" customHeight="1" x14ac:dyDescent="0.25">
      <c r="A2"/>
    </row>
    <row r="3" spans="1:19" ht="20.100000000000001" customHeight="1" x14ac:dyDescent="0.25">
      <c r="A3" s="17" t="str">
        <f>HYPERLINK("#'Home'!A1", "Home")</f>
        <v>Home</v>
      </c>
      <c r="C3" s="4"/>
      <c r="D3" s="4" t="s">
        <v>152</v>
      </c>
      <c r="E3" s="4"/>
      <c r="F3" s="4"/>
      <c r="G3" s="4"/>
      <c r="H3" s="4"/>
      <c r="I3" s="4"/>
      <c r="J3" s="4"/>
      <c r="L3" s="4"/>
      <c r="M3" s="4" t="s">
        <v>153</v>
      </c>
      <c r="N3" s="4"/>
      <c r="O3" s="4"/>
      <c r="P3" s="4"/>
      <c r="Q3" s="4"/>
      <c r="R3" s="4"/>
      <c r="S3" s="4"/>
    </row>
    <row r="4" spans="1:19" ht="20.100000000000001" customHeight="1" x14ac:dyDescent="0.25">
      <c r="A4" s="17" t="str">
        <f>HYPERLINK("#'Overview'!A1", "Overview")</f>
        <v>Overview</v>
      </c>
    </row>
    <row r="5" spans="1:19" ht="20.100000000000001" customHeight="1" x14ac:dyDescent="0.25">
      <c r="A5" s="17" t="str">
        <f>HYPERLINK("#'Results'!A1", "Results")</f>
        <v>Results</v>
      </c>
      <c r="D5" s="6" t="str" cm="1">
        <f t="array" ref="D5">MMS_Feedlot_AtmosphericDeposition_Equations.VEERG_4_1_1_5__2_VolatilisedNitrogenFromManureManagement_Title()</f>
        <v>Volatilised nitrogen from manure management</v>
      </c>
    </row>
    <row r="6" spans="1:19" ht="20.100000000000001" customHeight="1" x14ac:dyDescent="0.25">
      <c r="D6" s="5" t="str" cm="1">
        <f t="array" ref="D6">MMS_Feedlot_AtmosphericDeposition_Equations.VEERG_4_1_1_5__2_VolatilisedNitrogenFromManureManagement_Source()</f>
        <v>VEERG 2026: 4.1.1.5, Equation (2)</v>
      </c>
    </row>
    <row r="7" spans="1:19" ht="20.100000000000001" customHeight="1" x14ac:dyDescent="0.25">
      <c r="D7" s="13" t="s">
        <v>23</v>
      </c>
      <c r="E7" s="13" t="str" cm="1">
        <f t="array" aca="1" ref="E7" ca="1">Common_InputFunctions.Utility_DisplayFunctionName(E40)</f>
        <v>=MMS_Feedlot_AtmosphericDeposition_Equations.VEERG_4_1_1_5__2_VolatilisedNitrogenFromManureManagement</v>
      </c>
    </row>
    <row r="8" spans="1:19" ht="20.100000000000001" customHeight="1" x14ac:dyDescent="0.25">
      <c r="A8" s="19" t="s">
        <v>0</v>
      </c>
    </row>
    <row r="9" spans="1:19" ht="20.100000000000001" customHeight="1" x14ac:dyDescent="0.25">
      <c r="A9" s="17" t="str">
        <f>HYPERLINK("#'Input - Site'!A1", "Site")</f>
        <v>Site</v>
      </c>
    </row>
    <row r="10" spans="1:19" ht="20.100000000000001" customHeight="1" x14ac:dyDescent="0.25">
      <c r="A10" s="17" t="str">
        <f>HYPERLINK("#'Input - Feedlot'!A1", "Feedlot")</f>
        <v>Feedlot</v>
      </c>
    </row>
    <row r="11" spans="1:19" ht="20.100000000000001" customHeight="1" x14ac:dyDescent="0.25">
      <c r="D11" s="54" t="s">
        <v>26</v>
      </c>
      <c r="E11" s="1" t="str" cm="1">
        <f t="array" ref="E11">MMS_Feedlot_AtmosphericDeposition_Equations.VEERG_4_1_1_5__2_VolatilisedNitrogenFromManureManagement_Variable()</f>
        <v>MMS_ATMOS</v>
      </c>
    </row>
    <row r="12" spans="1:19" ht="20.100000000000001" customHeight="1" x14ac:dyDescent="0.25">
      <c r="D12" s="54" t="s">
        <v>16</v>
      </c>
      <c r="E12" s="55" t="str" cm="1">
        <f t="array" ref="E12">MMS_Feedlot_AtmosphericDeposition_Equations.VEERG_4_1_1_5__2_VolatilisedNitrogenFromManureManagement_Unit()</f>
        <v>kg N</v>
      </c>
    </row>
    <row r="13" spans="1:19" ht="20.100000000000001" customHeight="1" x14ac:dyDescent="0.25">
      <c r="A13" s="18" t="s">
        <v>71</v>
      </c>
    </row>
    <row r="14" spans="1:19" ht="20.100000000000001" customHeight="1" x14ac:dyDescent="0.25">
      <c r="A14" s="17" t="str">
        <f>HYPERLINK("#'4.1.1.1-2 Methane'!A1", "4.1.1.1-2 Methane")</f>
        <v>4.1.1.1-2 Methane</v>
      </c>
      <c r="D14" s="134" t="str" cm="1">
        <f t="array" ref="D14:E15">_xlfn.CHOOSECOLS(MMS_Feedlot_AtmosphericDeposition_Equations.VEERG_4_1_1_5__2_VolatilisedNitrogenFromManureManagement_Arguments(),1,2)</f>
        <v>MN_jmT</v>
      </c>
      <c r="E14" s="134" t="str">
        <v>nitrogen in each treatment stage MMS (excluding MN_ijm13T2)</v>
      </c>
      <c r="F14" s="134"/>
      <c r="G14" s="134" t="str" cm="1">
        <f t="array" ref="G14:H15">_xlfn.CHOOSECOLS(MMS_Feedlot_AtmosphericDeposition_Equations.VEERG_4_1_1_5__2_VolatilisedNitrogenFromManureManagement_Arguments(),3,4)</f>
        <v>kg N</v>
      </c>
      <c r="H14" s="126" t="str">
        <v>Calculated from 4.1.1.3 (2)(6)(8)</v>
      </c>
      <c r="I14" s="135" t="str" cm="1">
        <f t="array" aca="1" ref="I14" ca="1">HYPERLINK(Common_InputFunctions.Utility_SourceHyperlink($D$20),$D$20)</f>
        <v>M1_Table_MN_j_m_T</v>
      </c>
    </row>
    <row r="15" spans="1:19" ht="20.100000000000001" customHeight="1" x14ac:dyDescent="0.25">
      <c r="A15" s="17" t="str">
        <f>HYPERLINK("#'4.1.1.3-4 Direct N20'!A1", "4.1.1.3-4 Direct N20")</f>
        <v>4.1.1.3-4 Direct N20</v>
      </c>
      <c r="D15" s="134" t="str">
        <v>FracGASM_mT</v>
      </c>
      <c r="E15" s="134" t="str">
        <v>fraction of N volatilised in each MMS</v>
      </c>
      <c r="F15" s="134"/>
      <c r="G15" s="134" t="str">
        <v>(kg NH3-N + NOx-N)/kg N</v>
      </c>
      <c r="H15" s="126" t="str">
        <v>Constant</v>
      </c>
      <c r="I15" s="135" t="str" cm="1">
        <f t="array" aca="1" ref="I15" ca="1">HYPERLINK(Common_InputFunctions.Utility_SourceHyperlink($D$29),$D$29)</f>
        <v>Table_FracGASM_m_T-2-3</v>
      </c>
    </row>
    <row r="16" spans="1:19" ht="20.100000000000001" customHeight="1" x14ac:dyDescent="0.25">
      <c r="A16" s="21" t="str">
        <f>HYPERLINK("#'4.1.1.5-6 Atmos Deposition'!A1", "4.1.1.5-6 Atmos Deposition")</f>
        <v>4.1.1.5-6 Atmos Deposition</v>
      </c>
    </row>
    <row r="17" spans="1:18" ht="20.100000000000001" customHeight="1" x14ac:dyDescent="0.25">
      <c r="A17" s="17" t="str">
        <f>HYPERLINK("#'4.1.1.9 Manure applied to soils'!A1", "4.1.1.9 Manure applied to soils")</f>
        <v>4.1.1.9 Manure applied to soils</v>
      </c>
      <c r="D17" s="112" t="s">
        <v>323</v>
      </c>
      <c r="E17" s="90"/>
      <c r="F17" s="90"/>
      <c r="G17" s="86"/>
    </row>
    <row r="18" spans="1:18" ht="20.100000000000001" customHeight="1" x14ac:dyDescent="0.25">
      <c r="D18" s="92" t="s">
        <v>322</v>
      </c>
      <c r="E18" s="89"/>
      <c r="F18" s="89"/>
      <c r="G18" s="87"/>
    </row>
    <row r="19" spans="1:18" ht="20.100000000000001" customHeight="1" x14ac:dyDescent="0.25"/>
    <row r="20" spans="1:18" ht="20.100000000000001" customHeight="1" x14ac:dyDescent="0.25">
      <c r="A20" s="145" t="s">
        <v>1</v>
      </c>
      <c r="D20" s="100" t="s">
        <v>255</v>
      </c>
      <c r="M20" s="100" t="s">
        <v>258</v>
      </c>
    </row>
    <row r="21" spans="1:18" ht="20.100000000000001" customHeight="1" x14ac:dyDescent="0.25">
      <c r="A21" s="17" t="str">
        <f>HYPERLINK("#'Constants - Feedlot'!A1", "Constants - Feedlot")</f>
        <v>Constants - Feedlot</v>
      </c>
      <c r="D21" s="99" t="s">
        <v>257</v>
      </c>
      <c r="M21" s="99" t="s">
        <v>259</v>
      </c>
    </row>
    <row r="22" spans="1:18" ht="20.100000000000001" customHeight="1" x14ac:dyDescent="0.25">
      <c r="A22" s="17" t="str">
        <f>HYPERLINK("#'Constants - Common'!A1", "Constants - Common")</f>
        <v>Constants - Common</v>
      </c>
      <c r="D22" s="111" t="s">
        <v>64</v>
      </c>
      <c r="E22" s="52" t="s">
        <v>131</v>
      </c>
      <c r="F22" s="52" t="s">
        <v>132</v>
      </c>
      <c r="G22" s="52" t="s">
        <v>133</v>
      </c>
      <c r="M22" s="111" t="s">
        <v>64</v>
      </c>
      <c r="N22" s="52" t="s">
        <v>131</v>
      </c>
      <c r="O22" s="52" t="s">
        <v>132</v>
      </c>
      <c r="P22" s="52" t="s">
        <v>133</v>
      </c>
    </row>
    <row r="23" spans="1:18" ht="20.100000000000001" customHeight="1" x14ac:dyDescent="0.25">
      <c r="A23" s="17" t="str">
        <f>HYPERLINK("#'Constants - Livestock'!A1", "Constants - Livestock")</f>
        <v>Constants - Livestock</v>
      </c>
      <c r="D23" s="53" t="str">
        <f>INDEX(X_Table_Feedlot_MMS_Stage1,2,1)</f>
        <v>Drylot (feed pad)</v>
      </c>
      <c r="E23" s="53">
        <f ca="1">INDEX(M1_Table_MN_j_m5_T1,2,2)</f>
        <v>16689.254400000005</v>
      </c>
      <c r="F23" s="53">
        <f ca="1">INDEX(M1_Table_MN_j_m5_T1,2,3)</f>
        <v>25343.539200000003</v>
      </c>
      <c r="G23" s="53">
        <f ca="1">INDEX(M1_Table_MN_j_m5_T1,2,4)</f>
        <v>36604.799999999988</v>
      </c>
      <c r="H23" s="2" t="str">
        <f>$G$14</f>
        <v>kg N</v>
      </c>
      <c r="I23" s="2"/>
      <c r="M23" s="53" t="str">
        <f>INDEX(X_Table_Feedlot_MMS_Stage1,2,1)</f>
        <v>Drylot (feed pad)</v>
      </c>
      <c r="N23" s="53">
        <f ca="1">INDEX(M2_Table_MN_j_m5_T1,2,2)</f>
        <v>16689.254400000005</v>
      </c>
      <c r="O23" s="53">
        <f ca="1">INDEX(M2_Table_MN_j_m5_T1,2,3)</f>
        <v>25343.539200000003</v>
      </c>
      <c r="P23" s="53">
        <f ca="1">INDEX(M2_Table_MN_j_m5_T1,2,4)</f>
        <v>36604.799999999988</v>
      </c>
      <c r="Q23" s="2" t="str">
        <f>$G$14</f>
        <v>kg N</v>
      </c>
      <c r="R23" s="2"/>
    </row>
    <row r="24" spans="1:18" ht="20.100000000000001" customHeight="1" x14ac:dyDescent="0.25">
      <c r="A24" s="17" t="str">
        <f>HYPERLINK("#'Acknowledgements'!A1", "Acknowledgements")</f>
        <v>Acknowledgements</v>
      </c>
      <c r="D24" s="53" t="str">
        <f>INDEX(X_Table_Feedlot_MMS_Stage2,3,1)</f>
        <v>Solid storage</v>
      </c>
      <c r="E24" s="53">
        <f ca="1">INDEX(M1_Table_MN_j_m_T2_Consumer_1,2,2)</f>
        <v>1250.3589396480006</v>
      </c>
      <c r="F24" s="53">
        <f ca="1">INDEX(M1_Table_MN_j_m_T2_Consumer_1,2,3)</f>
        <v>1898.7379568640001</v>
      </c>
      <c r="G24" s="53">
        <f ca="1">INDEX(M1_Table_MN_j_m_T2_Consumer_1,2,4)</f>
        <v>2742.4316159999994</v>
      </c>
      <c r="H24" s="2"/>
      <c r="I24" s="2"/>
      <c r="M24" s="53" t="str">
        <f>INDEX(X_Table_Feedlot_MMS_Stage2,3,1)</f>
        <v>Solid storage</v>
      </c>
      <c r="N24" s="53">
        <f ca="1">INDEX(M1_Table_MN_j_m_T2,2,2)</f>
        <v>1250.3589396480006</v>
      </c>
      <c r="O24" s="53">
        <f ca="1">INDEX(M1_Table_MN_j_m_T2,2,3)</f>
        <v>1898.7379568640001</v>
      </c>
      <c r="P24" s="53">
        <f ca="1">INDEX(M1_Table_MN_j_m_T2,2,4)</f>
        <v>2742.4316159999994</v>
      </c>
      <c r="Q24" s="2"/>
      <c r="R24" s="2"/>
    </row>
    <row r="25" spans="1:18" ht="20.100000000000001" customHeight="1" x14ac:dyDescent="0.25">
      <c r="A25" s="17" t="str">
        <f>HYPERLINK("#'Tab template'!A1", "Tab template")</f>
        <v>Tab template</v>
      </c>
      <c r="D25" s="53" t="str">
        <f>INDEX(X_Table_Feedlot_MMS_Stage2,4,1)</f>
        <v>Composting (passive windrow)</v>
      </c>
      <c r="E25" s="53">
        <f ca="1">INDEX(M1_Table_MN_j_m_T2_Consumer_1,3,2)</f>
        <v>1250.3589396480006</v>
      </c>
      <c r="F25" s="53">
        <f ca="1">INDEX(M1_Table_MN_j_m_T2_Consumer_1,3,3)</f>
        <v>1898.7379568640001</v>
      </c>
      <c r="G25" s="53">
        <f ca="1">INDEX(M1_Table_MN_j_m_T2_Consumer_1,3,4)</f>
        <v>2742.4316159999994</v>
      </c>
      <c r="H25" s="2"/>
      <c r="I25" s="2"/>
      <c r="M25" s="53" t="str">
        <f>INDEX(X_Table_Feedlot_MMS_Stage2,4,1)</f>
        <v>Composting (passive windrow)</v>
      </c>
      <c r="N25" s="53">
        <f ca="1">INDEX(M1_Table_MN_j_m_T2,3,2)</f>
        <v>1250.3589396480006</v>
      </c>
      <c r="O25" s="53">
        <f ca="1">INDEX(M1_Table_MN_j_m_T2,3,3)</f>
        <v>1898.7379568640001</v>
      </c>
      <c r="P25" s="53">
        <f ca="1">INDEX(M1_Table_MN_j_m_T2,3,4)</f>
        <v>2742.4316159999994</v>
      </c>
      <c r="Q25" s="2"/>
      <c r="R25" s="2"/>
    </row>
    <row r="26" spans="1:18" ht="20.100000000000001" customHeight="1" x14ac:dyDescent="0.25">
      <c r="D26" s="53" t="str">
        <f>INDEX(X_Table_Feedlot_MMS_Stage2,5,1)</f>
        <v>Direct application</v>
      </c>
      <c r="E26" s="53" t="s">
        <v>308</v>
      </c>
      <c r="F26" s="53" t="s">
        <v>308</v>
      </c>
      <c r="G26" s="53" t="s">
        <v>308</v>
      </c>
      <c r="H26" s="2"/>
      <c r="I26" s="2"/>
      <c r="M26" s="53" t="str">
        <f>INDEX(X_Table_Feedlot_MMS_Stage2,5,1)</f>
        <v>Direct application</v>
      </c>
      <c r="N26" s="53" t="s">
        <v>308</v>
      </c>
      <c r="O26" s="53" t="s">
        <v>308</v>
      </c>
      <c r="P26" s="53" t="s">
        <v>308</v>
      </c>
      <c r="Q26" s="2"/>
      <c r="R26" s="2"/>
    </row>
    <row r="27" spans="1:18" ht="20.100000000000001" customHeight="1" x14ac:dyDescent="0.25">
      <c r="D27" s="53" t="str">
        <f>INDEX(X_Table_Feedlot_MMS_Stage3,3,1)</f>
        <v>Anaerobic lagoon</v>
      </c>
      <c r="E27" s="53">
        <f ca="1">INDEX(M1_Table_MN_j_m1_T3,2,2)</f>
        <v>333.78508800000009</v>
      </c>
      <c r="F27" s="53">
        <f ca="1">INDEX(M1_Table_MN_j_m1_T3,2,3)</f>
        <v>506.87078400000007</v>
      </c>
      <c r="G27" s="53">
        <f ca="1">INDEX(M1_Table_MN_j_m1_T3,2,4)</f>
        <v>732.09599999999978</v>
      </c>
      <c r="H27" s="2"/>
      <c r="I27" s="2"/>
      <c r="M27" s="53" t="str">
        <f>INDEX(X_Table_Feedlot_MMS_Stage3,3,1)</f>
        <v>Anaerobic lagoon</v>
      </c>
      <c r="N27" s="53">
        <f ca="1">INDEX(M2_Table_MN_j_m1_T3,2,2)</f>
        <v>333.78508800000009</v>
      </c>
      <c r="O27" s="53">
        <f ca="1">INDEX(M2_Table_MN_j_m1_T3,2,3)</f>
        <v>506.87078400000007</v>
      </c>
      <c r="P27" s="53">
        <f ca="1">INDEX(M2_Table_MN_j_m1_T3,2,4)</f>
        <v>732.09599999999978</v>
      </c>
      <c r="Q27" s="2"/>
      <c r="R27" s="2"/>
    </row>
    <row r="28" spans="1:18" ht="20.100000000000001" customHeight="1" x14ac:dyDescent="0.25"/>
    <row r="29" spans="1:18" ht="20.100000000000001" customHeight="1" x14ac:dyDescent="0.25">
      <c r="D29" s="100" t="s">
        <v>223</v>
      </c>
    </row>
    <row r="30" spans="1:18" ht="20.100000000000001" customHeight="1" x14ac:dyDescent="0.25">
      <c r="D30" s="99" t="s">
        <v>225</v>
      </c>
    </row>
    <row r="31" spans="1:18" ht="20.100000000000001" customHeight="1" x14ac:dyDescent="0.25">
      <c r="D31" s="111" t="s">
        <v>64</v>
      </c>
      <c r="E31" s="111" t="s">
        <v>165</v>
      </c>
    </row>
    <row r="32" spans="1:18" ht="20.100000000000001" customHeight="1" x14ac:dyDescent="0.25">
      <c r="D32" s="53" t="str">
        <f>INDEX(X_Table_Feedlot_MMS_Stage1,2,1)</f>
        <v>Drylot (feed pad)</v>
      </c>
      <c r="E32" s="53">
        <f>_xlfn.XLOOKUP(D32, Table_SourceData_Feedlot_FracGASMmT[NIR definition], Table_SourceData_Feedlot_FracGASMmT[FracGASMmT])</f>
        <v>0.6</v>
      </c>
      <c r="F32" s="2" t="str">
        <f>G15</f>
        <v>(kg NH3-N + NOx-N)/kg N</v>
      </c>
    </row>
    <row r="33" spans="3:19" ht="20.100000000000001" customHeight="1" x14ac:dyDescent="0.25">
      <c r="D33" s="53" t="str">
        <f>INDEX(X_Table_Feedlot_MMS_Stage2,3,1)</f>
        <v>Solid storage</v>
      </c>
      <c r="E33" s="53">
        <f>_xlfn.XLOOKUP(D33, Table_SourceData_Feedlot_FracGASMmT[NIR definition], Table_SourceData_Feedlot_FracGASMmT[FracGASMmT])</f>
        <v>0.25</v>
      </c>
      <c r="F33" s="2"/>
    </row>
    <row r="34" spans="3:19" ht="20.100000000000001" customHeight="1" x14ac:dyDescent="0.25">
      <c r="D34" s="53" t="str">
        <f>INDEX(X_Table_Feedlot_MMS_Stage2,4,1)</f>
        <v>Composting (passive windrow)</v>
      </c>
      <c r="E34" s="53">
        <f>_xlfn.XLOOKUP(D34, Table_SourceData_Feedlot_FracGASMmT[NIR definition], Table_SourceData_Feedlot_FracGASMmT[FracGASMmT])</f>
        <v>0.4</v>
      </c>
      <c r="F34" s="2"/>
    </row>
    <row r="35" spans="3:19" ht="20.100000000000001" customHeight="1" x14ac:dyDescent="0.25">
      <c r="D35" s="53" t="str">
        <f>INDEX(X_Table_Feedlot_MMS_Stage3,3,1)</f>
        <v>Anaerobic lagoon</v>
      </c>
      <c r="E35" s="53">
        <f>_xlfn.XLOOKUP(D35, Table_SourceData_Feedlot_FracGASMmT[NIR definition], Table_SourceData_Feedlot_FracGASMmT[FracGASMmT])</f>
        <v>0.35</v>
      </c>
      <c r="F35" s="2"/>
    </row>
    <row r="36" spans="3:19" ht="20.100000000000001" customHeight="1" x14ac:dyDescent="0.25"/>
    <row r="37" spans="3:19" ht="20.100000000000001" customHeight="1" x14ac:dyDescent="0.25">
      <c r="D37" s="100" t="s">
        <v>256</v>
      </c>
      <c r="M37" s="100" t="s">
        <v>353</v>
      </c>
    </row>
    <row r="38" spans="3:19" ht="20.100000000000001" customHeight="1" x14ac:dyDescent="0.25">
      <c r="D38" s="99" t="s">
        <v>257</v>
      </c>
      <c r="M38" s="99" t="s">
        <v>259</v>
      </c>
    </row>
    <row r="39" spans="3:19" ht="20.100000000000001" customHeight="1" x14ac:dyDescent="0.25">
      <c r="D39" s="111" t="s">
        <v>64</v>
      </c>
      <c r="E39" s="52" t="s">
        <v>131</v>
      </c>
      <c r="F39" s="52" t="s">
        <v>132</v>
      </c>
      <c r="G39" s="52" t="s">
        <v>133</v>
      </c>
      <c r="M39" s="111" t="s">
        <v>64</v>
      </c>
      <c r="N39" s="52" t="s">
        <v>131</v>
      </c>
      <c r="O39" s="52" t="s">
        <v>132</v>
      </c>
      <c r="P39" s="52" t="s">
        <v>133</v>
      </c>
    </row>
    <row r="40" spans="3:19" ht="20.100000000000001" customHeight="1" x14ac:dyDescent="0.25">
      <c r="D40" s="53" t="str">
        <f>INDEX(X_Table_Feedlot_MMS_Stage1,2,1)</f>
        <v>Drylot (feed pad)</v>
      </c>
      <c r="E40" s="53" cm="1">
        <f t="array" aca="1" ref="E40" ca="1">MMS_Feedlot_AtmosphericDeposition_Equations.VEERG_4_1_1_5__2_VolatilisedNitrogenFromManureManagement(E23,$E32)</f>
        <v>10013.552640000004</v>
      </c>
      <c r="F40" s="53" cm="1">
        <f t="array" aca="1" ref="F40" ca="1">MMS_Feedlot_AtmosphericDeposition_Equations.VEERG_4_1_1_5__2_VolatilisedNitrogenFromManureManagement(F23,$E32)</f>
        <v>15206.123520000001</v>
      </c>
      <c r="G40" s="53" cm="1">
        <f t="array" aca="1" ref="G40" ca="1">MMS_Feedlot_AtmosphericDeposition_Equations.VEERG_4_1_1_5__2_VolatilisedNitrogenFromManureManagement(G23,$E32)</f>
        <v>21962.879999999994</v>
      </c>
      <c r="H40" s="2" t="str">
        <f>$E$12</f>
        <v>kg N</v>
      </c>
      <c r="I40" s="2"/>
      <c r="M40" s="53" t="str">
        <f>INDEX(X_Table_Feedlot_MMS_Stage1,2,1)</f>
        <v>Drylot (feed pad)</v>
      </c>
      <c r="N40" s="53" cm="1">
        <f t="array" aca="1" ref="N40" ca="1">MMS_Feedlot_AtmosphericDeposition_Equations.VEERG_4_1_1_5__2_VolatilisedNitrogenFromManureManagement(N23,$E32)</f>
        <v>10013.552640000004</v>
      </c>
      <c r="O40" s="53" cm="1">
        <f t="array" aca="1" ref="O40" ca="1">MMS_Feedlot_AtmosphericDeposition_Equations.VEERG_4_1_1_5__2_VolatilisedNitrogenFromManureManagement(O23,$E32)</f>
        <v>15206.123520000001</v>
      </c>
      <c r="P40" s="53" cm="1">
        <f t="array" aca="1" ref="P40" ca="1">MMS_Feedlot_AtmosphericDeposition_Equations.VEERG_4_1_1_5__2_VolatilisedNitrogenFromManureManagement(P23,$E32)</f>
        <v>21962.879999999994</v>
      </c>
      <c r="Q40" s="2" t="str">
        <f>$E$12</f>
        <v>kg N</v>
      </c>
      <c r="R40" s="2"/>
    </row>
    <row r="41" spans="3:19" ht="20.100000000000001" customHeight="1" x14ac:dyDescent="0.25">
      <c r="D41" s="53" t="str">
        <f>INDEX(X_Table_Feedlot_MMS_Stage2,3,1)</f>
        <v>Solid storage</v>
      </c>
      <c r="E41" s="53" cm="1">
        <f t="array" aca="1" ref="E41" ca="1">MMS_Feedlot_AtmosphericDeposition_Equations.VEERG_4_1_1_5__2_VolatilisedNitrogenFromManureManagement(E24,$E33)</f>
        <v>312.58973491200015</v>
      </c>
      <c r="F41" s="53" cm="1">
        <f t="array" aca="1" ref="F41" ca="1">MMS_Feedlot_AtmosphericDeposition_Equations.VEERG_4_1_1_5__2_VolatilisedNitrogenFromManureManagement(F24,$E33)</f>
        <v>474.68448921600003</v>
      </c>
      <c r="G41" s="53" cm="1">
        <f t="array" aca="1" ref="G41" ca="1">MMS_Feedlot_AtmosphericDeposition_Equations.VEERG_4_1_1_5__2_VolatilisedNitrogenFromManureManagement(G24,$E33)</f>
        <v>685.60790399999985</v>
      </c>
      <c r="H41" s="2"/>
      <c r="I41" s="2"/>
      <c r="M41" s="53" t="str">
        <f>INDEX(X_Table_Feedlot_MMS_Stage2,3,1)</f>
        <v>Solid storage</v>
      </c>
      <c r="N41" s="53" cm="1">
        <f t="array" aca="1" ref="N41" ca="1">MMS_Feedlot_AtmosphericDeposition_Equations.VEERG_4_1_1_5__2_VolatilisedNitrogenFromManureManagement(N24,$E33)</f>
        <v>312.58973491200015</v>
      </c>
      <c r="O41" s="53" cm="1">
        <f t="array" aca="1" ref="O41" ca="1">MMS_Feedlot_AtmosphericDeposition_Equations.VEERG_4_1_1_5__2_VolatilisedNitrogenFromManureManagement(O24,$E33)</f>
        <v>474.68448921600003</v>
      </c>
      <c r="P41" s="53" cm="1">
        <f t="array" aca="1" ref="P41" ca="1">MMS_Feedlot_AtmosphericDeposition_Equations.VEERG_4_1_1_5__2_VolatilisedNitrogenFromManureManagement(P24,$E33)</f>
        <v>685.60790399999985</v>
      </c>
    </row>
    <row r="42" spans="3:19" ht="20.100000000000001" customHeight="1" x14ac:dyDescent="0.25">
      <c r="D42" s="53" t="str">
        <f>INDEX(X_Table_Feedlot_MMS_Stage2,4,1)</f>
        <v>Composting (passive windrow)</v>
      </c>
      <c r="E42" s="53" cm="1">
        <f t="array" aca="1" ref="E42" ca="1">MMS_Feedlot_AtmosphericDeposition_Equations.VEERG_4_1_1_5__2_VolatilisedNitrogenFromManureManagement(E25,$E34)</f>
        <v>500.14357585920027</v>
      </c>
      <c r="F42" s="53" cm="1">
        <f t="array" aca="1" ref="F42" ca="1">MMS_Feedlot_AtmosphericDeposition_Equations.VEERG_4_1_1_5__2_VolatilisedNitrogenFromManureManagement(F25,$E34)</f>
        <v>759.49518274560012</v>
      </c>
      <c r="G42" s="53" cm="1">
        <f t="array" aca="1" ref="G42" ca="1">MMS_Feedlot_AtmosphericDeposition_Equations.VEERG_4_1_1_5__2_VolatilisedNitrogenFromManureManagement(G25,$E34)</f>
        <v>1096.9726463999998</v>
      </c>
      <c r="H42" s="2"/>
      <c r="I42" s="2"/>
      <c r="M42" s="53" t="str">
        <f>INDEX(X_Table_Feedlot_MMS_Stage2,4,1)</f>
        <v>Composting (passive windrow)</v>
      </c>
      <c r="N42" s="53" cm="1">
        <f t="array" aca="1" ref="N42" ca="1">MMS_Feedlot_AtmosphericDeposition_Equations.VEERG_4_1_1_5__2_VolatilisedNitrogenFromManureManagement(N25,$E34)</f>
        <v>500.14357585920027</v>
      </c>
      <c r="O42" s="53" cm="1">
        <f t="array" aca="1" ref="O42" ca="1">MMS_Feedlot_AtmosphericDeposition_Equations.VEERG_4_1_1_5__2_VolatilisedNitrogenFromManureManagement(O25,$E34)</f>
        <v>759.49518274560012</v>
      </c>
      <c r="P42" s="53" cm="1">
        <f t="array" aca="1" ref="P42" ca="1">MMS_Feedlot_AtmosphericDeposition_Equations.VEERG_4_1_1_5__2_VolatilisedNitrogenFromManureManagement(P25,$E34)</f>
        <v>1096.9726463999998</v>
      </c>
    </row>
    <row r="43" spans="3:19" ht="20.100000000000001" customHeight="1" x14ac:dyDescent="0.25">
      <c r="D43" s="53" t="str">
        <f>INDEX(X_Table_Feedlot_MMS_Stage2,5,1)</f>
        <v>Direct application</v>
      </c>
      <c r="E43" s="53" t="s">
        <v>308</v>
      </c>
      <c r="F43" s="53" t="s">
        <v>308</v>
      </c>
      <c r="G43" s="53" t="s">
        <v>308</v>
      </c>
      <c r="H43" s="2"/>
      <c r="I43" s="2"/>
      <c r="M43" s="53" t="str">
        <f>INDEX(X_Table_Feedlot_MMS_Stage2,5,1)</f>
        <v>Direct application</v>
      </c>
      <c r="N43" s="53" t="s">
        <v>308</v>
      </c>
      <c r="O43" s="53" t="s">
        <v>308</v>
      </c>
      <c r="P43" s="53" t="s">
        <v>308</v>
      </c>
    </row>
    <row r="44" spans="3:19" ht="20.100000000000001" customHeight="1" x14ac:dyDescent="0.25">
      <c r="D44" s="53" t="str">
        <f>INDEX(X_Table_Feedlot_MMS_Stage3,3,1)</f>
        <v>Anaerobic lagoon</v>
      </c>
      <c r="E44" s="53" cm="1">
        <f t="array" aca="1" ref="E44" ca="1">MMS_Feedlot_AtmosphericDeposition_Equations.VEERG_4_1_1_5__2_VolatilisedNitrogenFromManureManagement(E27,$E35)</f>
        <v>116.82478080000003</v>
      </c>
      <c r="F44" s="53" cm="1">
        <f t="array" aca="1" ref="F44" ca="1">MMS_Feedlot_AtmosphericDeposition_Equations.VEERG_4_1_1_5__2_VolatilisedNitrogenFromManureManagement(F27,$E35)</f>
        <v>177.40477440000001</v>
      </c>
      <c r="G44" s="53" cm="1">
        <f t="array" aca="1" ref="G44" ca="1">MMS_Feedlot_AtmosphericDeposition_Equations.VEERG_4_1_1_5__2_VolatilisedNitrogenFromManureManagement(G27,$E35)</f>
        <v>256.23359999999991</v>
      </c>
      <c r="H44" s="2"/>
      <c r="I44" s="2"/>
      <c r="M44" s="53" t="str">
        <f>INDEX(X_Table_Feedlot_MMS_Stage3,3,1)</f>
        <v>Anaerobic lagoon</v>
      </c>
      <c r="N44" s="53" cm="1">
        <f t="array" aca="1" ref="N44" ca="1">MMS_Feedlot_AtmosphericDeposition_Equations.VEERG_4_1_1_5__2_VolatilisedNitrogenFromManureManagement(N27,$E35)</f>
        <v>116.82478080000003</v>
      </c>
      <c r="O44" s="53" cm="1">
        <f t="array" aca="1" ref="O44" ca="1">MMS_Feedlot_AtmosphericDeposition_Equations.VEERG_4_1_1_5__2_VolatilisedNitrogenFromManureManagement(O27,$E35)</f>
        <v>177.40477440000001</v>
      </c>
      <c r="P44" s="53" cm="1">
        <f t="array" aca="1" ref="P44" ca="1">MMS_Feedlot_AtmosphericDeposition_Equations.VEERG_4_1_1_5__2_VolatilisedNitrogenFromManureManagement(P27,$E35)</f>
        <v>256.23359999999991</v>
      </c>
    </row>
    <row r="45" spans="3:19" ht="20.100000000000001" customHeight="1" x14ac:dyDescent="0.25"/>
    <row r="46" spans="3:19" ht="20.100000000000001" customHeight="1" x14ac:dyDescent="0.25">
      <c r="D46" s="118" t="s">
        <v>260</v>
      </c>
      <c r="E46" s="46">
        <f ca="1">SUM(E40:G44)</f>
        <v>51562.512848332786</v>
      </c>
      <c r="F46" s="116" t="str">
        <f>$E$12</f>
        <v>kg N</v>
      </c>
      <c r="M46" s="118" t="s">
        <v>260</v>
      </c>
      <c r="N46" s="46">
        <f ca="1">SUM(N40:P44)</f>
        <v>51562.512848332786</v>
      </c>
      <c r="O46" s="116" t="str">
        <f>$E$12</f>
        <v>kg N</v>
      </c>
    </row>
    <row r="47" spans="3:19" ht="20.100000000000001" customHeight="1" x14ac:dyDescent="0.25"/>
    <row r="48" spans="3:19" ht="20.100000000000001" customHeight="1" x14ac:dyDescent="0.25">
      <c r="C48" s="117"/>
      <c r="D48" s="117"/>
      <c r="E48" s="117"/>
      <c r="F48" s="117"/>
      <c r="G48" s="117"/>
      <c r="H48" s="117"/>
      <c r="I48" s="117"/>
      <c r="J48" s="117"/>
      <c r="L48" s="117"/>
      <c r="M48" s="117"/>
      <c r="N48" s="117"/>
      <c r="O48" s="117"/>
      <c r="P48" s="117"/>
      <c r="Q48" s="117"/>
      <c r="R48" s="117"/>
      <c r="S48" s="117"/>
    </row>
    <row r="49" spans="4:18" ht="20.100000000000001" customHeight="1" x14ac:dyDescent="0.25"/>
    <row r="50" spans="4:18" ht="20.100000000000001" customHeight="1" x14ac:dyDescent="0.25">
      <c r="D50" s="6" t="str" cm="1">
        <f t="array" ref="D50">MMS_Feedlot_AtmosphericDeposition_Equations.VEERG_4_1_1_5__1_TotalAnnualAtmosphericDepositionEmissions_Title()</f>
        <v>Total annual atmospheric deposition emissions from manure management</v>
      </c>
    </row>
    <row r="51" spans="4:18" ht="20.100000000000001" customHeight="1" x14ac:dyDescent="0.25">
      <c r="D51" s="5" t="str" cm="1">
        <f t="array" ref="D51">MMS_Feedlot_AtmosphericDeposition_Equations.VEERG_4_1_1_5__1_TotalAnnualAtmosphericDepositionEmissions_Source()</f>
        <v>VEERG 2026: 4.1.1.5, Equation (1)</v>
      </c>
    </row>
    <row r="52" spans="4:18" ht="20.100000000000001" customHeight="1" x14ac:dyDescent="0.25">
      <c r="D52" s="13" t="s">
        <v>23</v>
      </c>
      <c r="E52" s="13" t="str">
        <f ca="1">Common_InputFunctions.Utility_DisplayFunctionName(VEERG_4_1_1_5__1_TotalAnnualAtmosphericDepositionEmissions_Result_Method1)</f>
        <v>=MMS_Feedlot_AtmosphericDeposition_Equations.VEERG_4_1_1_5__1_TotalAnnualAtmosphericDepositionEmissions</v>
      </c>
    </row>
    <row r="53" spans="4:18" ht="20.100000000000001" customHeight="1" x14ac:dyDescent="0.25"/>
    <row r="54" spans="4:18" ht="20.100000000000001" customHeight="1" x14ac:dyDescent="0.25">
      <c r="D54" s="6"/>
    </row>
    <row r="55" spans="4:18" ht="20.100000000000001" customHeight="1" x14ac:dyDescent="0.25">
      <c r="D55" s="54" t="s">
        <v>26</v>
      </c>
      <c r="E55" s="1" t="str" cm="1">
        <f t="array" ref="E55">MMS_Feedlot_AtmosphericDeposition_Equations.VEERG_4_1_1_5__1_TotalAnnualAtmosphericDepositionEmissions_Variable()</f>
        <v>E_N2Oad</v>
      </c>
    </row>
    <row r="56" spans="4:18" ht="20.100000000000001" customHeight="1" x14ac:dyDescent="0.25">
      <c r="D56" s="54" t="s">
        <v>16</v>
      </c>
      <c r="E56" s="55" t="str" cm="1">
        <f t="array" ref="E56">MMS_Feedlot_AtmosphericDeposition_Equations.VEERG_4_1_1_5__1_TotalAnnualAtmosphericDepositionEmissions_Unit()</f>
        <v>t N2O</v>
      </c>
    </row>
    <row r="57" spans="4:18" ht="20.100000000000001" customHeight="1" x14ac:dyDescent="0.25"/>
    <row r="58" spans="4:18" ht="20.100000000000001" customHeight="1" x14ac:dyDescent="0.25">
      <c r="D58" s="134" t="str" cm="1">
        <f t="array" ref="D58:E63">_xlfn.CHOOSECOLS(MMS_Feedlot_AtmosphericDeposition_Equations.VEERG_4_1_1_5__1_TotalAnnualAtmosphericDepositionEmissions_Arguments(),1,2)</f>
        <v>MMS_ATMOS</v>
      </c>
      <c r="E58" s="137" t="str">
        <v>mass of N volatilised from MMS</v>
      </c>
      <c r="F58" s="136"/>
      <c r="G58" s="134" t="str" cm="1">
        <f t="array" ref="G58:H63">_xlfn.CHOOSECOLS(MMS_Feedlot_AtmosphericDeposition_Equations.VEERG_4_1_1_5__1_TotalAnnualAtmosphericDepositionEmissions_Arguments(),3,4)</f>
        <v>kg N</v>
      </c>
      <c r="H58" s="126" t="str">
        <v>Calculated from 4.1.1.5 (2)</v>
      </c>
      <c r="I58" s="134">
        <f ca="1">$E$46</f>
        <v>51562.512848332786</v>
      </c>
      <c r="M58" s="134" t="str" cm="1">
        <f t="array" ref="M58:N63">_xlfn.CHOOSECOLS(MMS_Feedlot_AtmosphericDeposition_Equations.VEERG_4_1_1_5__1_TotalAnnualAtmosphericDepositionEmissions_Arguments(),1,2)</f>
        <v>MMS_ATMOS</v>
      </c>
      <c r="N58" s="137" t="str">
        <v>mass of N volatilised from MMS</v>
      </c>
      <c r="O58" s="136"/>
      <c r="P58" s="134" t="str" cm="1">
        <f t="array" ref="P58:Q63">_xlfn.CHOOSECOLS(MMS_Feedlot_AtmosphericDeposition_Equations.VEERG_4_1_1_5__1_TotalAnnualAtmosphericDepositionEmissions_Arguments(),3,4)</f>
        <v>kg N</v>
      </c>
      <c r="Q58" s="126" t="str">
        <v>Calculated from 4.1.1.5 (2)</v>
      </c>
      <c r="R58" s="58">
        <f ca="1">$N$46</f>
        <v>51562.512848332786</v>
      </c>
    </row>
    <row r="59" spans="4:18" ht="20.100000000000001" customHeight="1" x14ac:dyDescent="0.25">
      <c r="D59" s="134" t="str">
        <v>EF_N2O</v>
      </c>
      <c r="E59" s="137" t="str">
        <v>nitrous oxide emission factor for atmospheric deposition</v>
      </c>
      <c r="F59" s="136"/>
      <c r="G59" s="134" t="str">
        <v>kg N2O-N/kg N</v>
      </c>
      <c r="H59" s="126" t="str">
        <v>Constant</v>
      </c>
      <c r="I59" s="134">
        <f>Common_InputFunctions.Utility_LookupN2OEFFromProdIrrigationRainfall($I$61,$I$62,$I$63,Table_SourceData_Common_EFN2O[Production system only],Table_SourceData_Common_EFN2O[Irrigation method],Table_SourceData_Common_EFN2O[Rainfall zone],Table_SourceData_Common_EFN2O[EFN2O])</f>
        <v>1.8E-3</v>
      </c>
      <c r="M59" s="134" t="str">
        <v>EF_N2O</v>
      </c>
      <c r="N59" s="137" t="str">
        <v>nitrous oxide emission factor for atmospheric deposition</v>
      </c>
      <c r="O59" s="136"/>
      <c r="P59" s="134" t="str">
        <v>kg N2O-N/kg N</v>
      </c>
      <c r="Q59" s="126" t="str">
        <v>Constant</v>
      </c>
      <c r="R59" s="58"/>
    </row>
    <row r="60" spans="4:18" ht="20.100000000000001" customHeight="1" x14ac:dyDescent="0.25">
      <c r="D60" s="134" t="str">
        <v>C_N2O</v>
      </c>
      <c r="E60" s="137" t="str">
        <v>factor to convert elemental mass of nitrous oxide to molecular mass</v>
      </c>
      <c r="F60" s="136"/>
      <c r="G60" s="134" t="str">
        <v/>
      </c>
      <c r="H60" s="126" t="str">
        <v>Constant</v>
      </c>
      <c r="I60" s="134">
        <f>Common_InputFunctions.Utility_LookupValueInTableNumber("N2O",Table_GasToMolecularConversionFactor[Gas],Table_GasToMolecularConversionFactor[Conversion factor combined])</f>
        <v>1.5714285714285714</v>
      </c>
      <c r="M60" s="134" t="str">
        <v>C_N2O</v>
      </c>
      <c r="N60" s="137" t="str">
        <v>factor to convert elemental mass of nitrous oxide to molecular mass</v>
      </c>
      <c r="O60" s="136"/>
      <c r="P60" s="134" t="str">
        <v/>
      </c>
      <c r="Q60" s="126" t="str">
        <v>Constant</v>
      </c>
      <c r="R60" s="58"/>
    </row>
    <row r="61" spans="4:18" ht="20.100000000000001" customHeight="1" x14ac:dyDescent="0.25">
      <c r="D61" s="134" t="str">
        <v>j</v>
      </c>
      <c r="E61" s="137" t="str">
        <v>production system</v>
      </c>
      <c r="F61" s="136"/>
      <c r="G61" s="134" t="str">
        <v/>
      </c>
      <c r="H61" s="125" t="str">
        <v>Input</v>
      </c>
      <c r="I61" s="134" t="str">
        <f>'Input - Feedlot'!$E$41</f>
        <v>Pasture</v>
      </c>
      <c r="M61" s="134" t="str">
        <v>j</v>
      </c>
      <c r="N61" s="137" t="str">
        <v>production system</v>
      </c>
      <c r="O61" s="136"/>
      <c r="P61" s="134" t="str">
        <v/>
      </c>
      <c r="Q61" s="125" t="str">
        <v>Input</v>
      </c>
      <c r="R61" s="58"/>
    </row>
    <row r="62" spans="4:18" ht="20.100000000000001" customHeight="1" x14ac:dyDescent="0.25">
      <c r="D62" s="134" t="str">
        <v>i</v>
      </c>
      <c r="E62" s="137" t="str">
        <v>irrigation method</v>
      </c>
      <c r="F62" s="136"/>
      <c r="G62" s="134" t="str">
        <v/>
      </c>
      <c r="H62" s="125" t="str">
        <v>Input</v>
      </c>
      <c r="I62" s="134" t="str">
        <f>'Input - Feedlot'!$E$42</f>
        <v>Not irrigated</v>
      </c>
      <c r="M62" s="134" t="str">
        <v>i</v>
      </c>
      <c r="N62" s="137" t="str">
        <v>irrigation method</v>
      </c>
      <c r="O62" s="136"/>
      <c r="P62" s="134" t="str">
        <v/>
      </c>
      <c r="Q62" s="125" t="str">
        <v>Input</v>
      </c>
      <c r="R62" s="58"/>
    </row>
    <row r="63" spans="4:18" ht="20.100000000000001" customHeight="1" x14ac:dyDescent="0.25">
      <c r="D63" s="134" t="str">
        <v>r</v>
      </c>
      <c r="E63" s="137" t="str">
        <v>rainfall zone</v>
      </c>
      <c r="F63" s="136"/>
      <c r="G63" s="134" t="str">
        <v/>
      </c>
      <c r="H63" s="125" t="str">
        <v>Input</v>
      </c>
      <c r="I63" s="134" t="str">
        <f>'Input - Site'!$E$30</f>
        <v>High rainfall</v>
      </c>
      <c r="M63" s="134" t="str">
        <v>r</v>
      </c>
      <c r="N63" s="137" t="str">
        <v>rainfall zone</v>
      </c>
      <c r="O63" s="136"/>
      <c r="P63" s="134" t="str">
        <v/>
      </c>
      <c r="Q63" s="125" t="str">
        <v>Input</v>
      </c>
      <c r="R63" s="58"/>
    </row>
    <row r="64" spans="4:18" ht="20.100000000000001" customHeight="1" x14ac:dyDescent="0.25"/>
    <row r="65" spans="4:16" ht="20.100000000000001" customHeight="1" x14ac:dyDescent="0.25">
      <c r="D65" s="104" t="s">
        <v>274</v>
      </c>
      <c r="E65" s="105" cm="1">
        <f t="array" aca="1" ref="E65" ca="1">MMS_Feedlot_AtmosphericDeposition_Equations.VEERG_4_1_1_5__1_TotalAnnualAtmosphericDepositionEmissions(I58,I59,I60)</f>
        <v>0.1458482506281413</v>
      </c>
      <c r="F65" s="106" t="str">
        <f>$E$56</f>
        <v>t N2O</v>
      </c>
      <c r="M65" s="104" t="s">
        <v>274</v>
      </c>
      <c r="N65" s="105" cm="1">
        <f t="array" aca="1" ref="N65" ca="1">MMS_Feedlot_AtmosphericDeposition_Equations.VEERG_4_1_1_5__1_TotalAnnualAtmosphericDepositionEmissions(R58,I59,I60)</f>
        <v>0.1458482506281413</v>
      </c>
      <c r="O65" s="106" t="str">
        <f>$E$56</f>
        <v>t N2O</v>
      </c>
    </row>
    <row r="66" spans="4:16" ht="20.100000000000001" customHeight="1" x14ac:dyDescent="0.25"/>
    <row r="67" spans="4:16" ht="20.100000000000001" customHeight="1" x14ac:dyDescent="0.25">
      <c r="D67" s="58" t="str" cm="1">
        <f t="array" ref="D67:E68">Common_Equations.Common_ConvertN2OToCO2e_Arguments()</f>
        <v>EN2O</v>
      </c>
      <c r="E67" s="59" t="str">
        <v>Nitrous oxide emissions (t N2O)</v>
      </c>
      <c r="F67" s="107"/>
      <c r="G67" s="53">
        <f ca="1">VEERG_4_1_1_5__1_TotalAnnualAtmosphericDepositionEmissions_Result_Method1</f>
        <v>0.1458482506281413</v>
      </c>
      <c r="M67" s="58" t="str" cm="1">
        <f t="array" ref="M67:N68">Common_Equations.Common_ConvertN2OToCO2e_Arguments()</f>
        <v>EN2O</v>
      </c>
      <c r="N67" s="59" t="str">
        <v>Nitrous oxide emissions (t N2O)</v>
      </c>
      <c r="O67" s="107"/>
      <c r="P67" s="53">
        <f ca="1">VEERG_4_1_1_5__1_TotalAnnualAtmosphericDepositionEmissions_Result_Method2</f>
        <v>0.1458482506281413</v>
      </c>
    </row>
    <row r="68" spans="4:16" ht="20.100000000000001" customHeight="1" x14ac:dyDescent="0.25">
      <c r="D68" s="58" t="str">
        <v>GWPN2O</v>
      </c>
      <c r="E68" s="59" t="str">
        <v>Global warming potential for nitrous oxide (t CO2-e / t N2O)</v>
      </c>
      <c r="F68" s="107"/>
      <c r="G68" s="53">
        <f>Common_InputFunctions.Utility_LookupValueInTableNumber("N2O",Table_GWPData[Gas],Table_GWPData[CO2-e factor])</f>
        <v>265</v>
      </c>
      <c r="M68" s="58" t="str">
        <v>GWPN2O</v>
      </c>
      <c r="N68" s="59" t="str">
        <v>Global warming potential for nitrous oxide (t CO2-e / t N2O)</v>
      </c>
      <c r="O68" s="107"/>
      <c r="P68" s="53">
        <f>Common_InputFunctions.Utility_LookupValueInTableNumber("N2O",Table_GWPData[Gas],Table_GWPData[CO2-e factor])</f>
        <v>265</v>
      </c>
    </row>
    <row r="69" spans="4:16" ht="20.100000000000001" customHeight="1" x14ac:dyDescent="0.25"/>
    <row r="70" spans="4:16" ht="20.100000000000001" customHeight="1" x14ac:dyDescent="0.25">
      <c r="D70" s="46" t="s">
        <v>120</v>
      </c>
      <c r="E70" s="46" cm="1">
        <f t="array" aca="1" ref="E70" ca="1">Common_Equations.Common_ConvertN2OToCO2e(G67,G68)</f>
        <v>38.649786416457445</v>
      </c>
      <c r="F70" s="108" t="str" cm="1">
        <f t="array" ref="F70">Common_Equations.Common_ConvertN2OToCO2e_Unit()</f>
        <v>t CO2e</v>
      </c>
      <c r="M70" s="46" t="s">
        <v>120</v>
      </c>
      <c r="N70" s="46" cm="1">
        <f t="array" aca="1" ref="N70" ca="1">Common_Equations.Common_ConvertN2OToCO2e(P67,P68)</f>
        <v>38.649786416457445</v>
      </c>
      <c r="O70" s="108" t="str" cm="1">
        <f t="array" ref="O70">Common_Equations.Common_ConvertN2OToCO2e_Unit()</f>
        <v>t CO2e</v>
      </c>
    </row>
    <row r="71" spans="4:16" ht="20.100000000000001" customHeight="1" x14ac:dyDescent="0.25"/>
    <row r="72" spans="4:16" ht="20.100000000000001" customHeight="1" x14ac:dyDescent="0.25"/>
    <row r="73" spans="4:16" ht="20.100000000000001" customHeight="1" x14ac:dyDescent="0.25"/>
    <row r="74" spans="4:16" ht="20.100000000000001" customHeight="1" x14ac:dyDescent="0.25"/>
    <row r="75" spans="4:16" ht="20.100000000000001" customHeight="1" x14ac:dyDescent="0.25"/>
    <row r="76" spans="4:16" ht="20.100000000000001" customHeight="1" x14ac:dyDescent="0.25"/>
    <row r="77" spans="4:16" ht="20.100000000000001" customHeight="1" x14ac:dyDescent="0.25"/>
    <row r="78" spans="4:16" ht="20.100000000000001" customHeight="1" x14ac:dyDescent="0.25"/>
    <row r="79" spans="4:16" ht="20.100000000000001" customHeight="1" x14ac:dyDescent="0.25"/>
    <row r="80" spans="4:16"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pageSetup paperSize="9" orientation="portrait" r:id="rId1"/>
  <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3329EE4-6811-4EE3-BAA2-11924CEC7522}">
  <dimension ref="A1:S165"/>
  <sheetViews>
    <sheetView showGridLines="0" topLeftCell="A85" zoomScaleNormal="100" workbookViewId="0">
      <selection activeCell="A25" sqref="A25"/>
    </sheetView>
  </sheetViews>
  <sheetFormatPr defaultRowHeight="15.75" x14ac:dyDescent="0.25"/>
  <cols>
    <col min="1" max="1" width="30.7109375" customWidth="1"/>
    <col min="2" max="2" width="4.7109375" customWidth="1"/>
    <col min="3" max="3" width="4.7109375" style="1" customWidth="1"/>
    <col min="4" max="10" width="30.7109375" style="1" customWidth="1"/>
    <col min="11" max="11" width="4.7109375" style="1" customWidth="1"/>
    <col min="12" max="12" width="4.7109375" customWidth="1"/>
    <col min="13" max="13" width="4.7109375" style="1" customWidth="1"/>
    <col min="14" max="18" width="30.7109375" style="1" customWidth="1"/>
    <col min="19" max="19" width="4.7109375" style="1" customWidth="1"/>
  </cols>
  <sheetData>
    <row r="1" spans="1:19" s="8" customFormat="1" ht="30" customHeight="1" x14ac:dyDescent="0.35">
      <c r="A1" s="66" t="e" vm="1">
        <v>#VALUE!</v>
      </c>
      <c r="C1" s="8" t="s">
        <v>220</v>
      </c>
    </row>
    <row r="2" spans="1:19" s="9" customFormat="1" ht="20.100000000000001" customHeight="1" x14ac:dyDescent="0.25">
      <c r="A2"/>
    </row>
    <row r="3" spans="1:19" ht="20.100000000000001" customHeight="1" x14ac:dyDescent="0.25">
      <c r="A3" s="17" t="str">
        <f>HYPERLINK("#'Home'!A1", "Home")</f>
        <v>Home</v>
      </c>
      <c r="C3" s="4"/>
      <c r="D3" s="4" t="s">
        <v>152</v>
      </c>
      <c r="E3" s="4"/>
      <c r="F3" s="4"/>
      <c r="G3" s="4"/>
      <c r="H3" s="4"/>
      <c r="I3" s="4"/>
      <c r="J3" s="4"/>
      <c r="K3" s="4"/>
      <c r="M3" s="4"/>
      <c r="N3" s="4" t="s">
        <v>153</v>
      </c>
      <c r="O3" s="4"/>
      <c r="P3" s="4"/>
      <c r="Q3" s="4"/>
      <c r="R3" s="4"/>
      <c r="S3" s="4"/>
    </row>
    <row r="4" spans="1:19" ht="20.100000000000001" customHeight="1" x14ac:dyDescent="0.25">
      <c r="A4" s="17" t="str">
        <f>HYPERLINK("#'Overview'!A1", "Overview")</f>
        <v>Overview</v>
      </c>
    </row>
    <row r="5" spans="1:19" ht="20.100000000000001" customHeight="1" x14ac:dyDescent="0.25">
      <c r="A5" s="17" t="str">
        <f>HYPERLINK("#'Results'!A1", "Results")</f>
        <v>Results</v>
      </c>
      <c r="D5" s="6" t="str" cm="1">
        <f t="array" ref="D5">MMS_Feedlot_ManureAppliedToSoils_Equations.VEERG_4_1_1_9__1_MassOfNitrogenAppliedToSoilsScope1_Title()</f>
        <v>Mass of nitrogen applied to soils for scope 1 emissions</v>
      </c>
    </row>
    <row r="6" spans="1:19" ht="20.100000000000001" customHeight="1" x14ac:dyDescent="0.25">
      <c r="D6" s="5" t="str" cm="1">
        <f t="array" ref="D6">MMS_Feedlot_ManureAppliedToSoils_Equations.VEERG_4_1_1_9__1_MassOfNitrogenAppliedToSoilsScope1_Source()</f>
        <v>VEERG 2026: 4.1.1.9, Equation (1)</v>
      </c>
    </row>
    <row r="7" spans="1:19" ht="20.100000000000001" customHeight="1" x14ac:dyDescent="0.25">
      <c r="D7" s="13" t="s">
        <v>23</v>
      </c>
      <c r="E7" s="13" t="str" cm="1">
        <f t="array" aca="1" ref="E7" ca="1">Common_InputFunctions.Utility_DisplayFunctionName(E56)</f>
        <v>=MMS_Feedlot_ManureAppliedToSoils_Equations.VEERG_4_1_1_9__1_MassOfNitrogenAppliedToSoilsScope1</v>
      </c>
    </row>
    <row r="8" spans="1:19" ht="20.100000000000001" customHeight="1" x14ac:dyDescent="0.25">
      <c r="A8" s="19" t="s">
        <v>0</v>
      </c>
    </row>
    <row r="9" spans="1:19" ht="20.100000000000001" customHeight="1" x14ac:dyDescent="0.25">
      <c r="A9" s="17" t="str">
        <f>HYPERLINK("#'Input - Site'!A1", "Site")</f>
        <v>Site</v>
      </c>
      <c r="D9" s="6"/>
    </row>
    <row r="10" spans="1:19" ht="20.100000000000001" customHeight="1" x14ac:dyDescent="0.25">
      <c r="A10" s="17" t="str">
        <f>HYPERLINK("#'Input - Feedlot'!A1", "Feedlot")</f>
        <v>Feedlot</v>
      </c>
    </row>
    <row r="11" spans="1:19" ht="20.100000000000001" customHeight="1" x14ac:dyDescent="0.25">
      <c r="D11" s="54" t="s">
        <v>26</v>
      </c>
      <c r="E11" s="1" t="str" cm="1">
        <f t="array" ref="E11">MMS_Feedlot_ManureAppliedToSoils_Equations.VEERG_4_1_1_9__1_MassOfNitrogenAppliedToSoilsScope1_Variable()</f>
        <v>MNSoil_scope1</v>
      </c>
    </row>
    <row r="12" spans="1:19" ht="20.100000000000001" customHeight="1" x14ac:dyDescent="0.25">
      <c r="D12" s="54" t="s">
        <v>16</v>
      </c>
      <c r="E12" s="55" t="str" cm="1">
        <f t="array" ref="E12">MMS_Feedlot_ManureAppliedToSoils_Equations.VEERG_4_1_1_9__1_MassOfNitrogenAppliedToSoilsScope1_Unit()</f>
        <v>kg N</v>
      </c>
    </row>
    <row r="13" spans="1:19" ht="20.100000000000001" customHeight="1" x14ac:dyDescent="0.25">
      <c r="A13" s="18" t="s">
        <v>71</v>
      </c>
    </row>
    <row r="14" spans="1:19" ht="20.100000000000001" customHeight="1" x14ac:dyDescent="0.25">
      <c r="A14" s="17" t="str">
        <f>HYPERLINK("#'4.1.1.1-2 Methane'!A1", "4.1.1.1-2 Methane")</f>
        <v>4.1.1.1-2 Methane</v>
      </c>
      <c r="D14" s="134" t="str" cm="1">
        <f t="array" ref="D14:E17">_xlfn.CHOOSECOLS(MMS_Feedlot_ManureAppliedToSoils_Equations.VEERG_4_1_1_9__1_MassOfNitrogenAppliedToSoilsScope1_Arguments(),1,2)</f>
        <v>MN_jmT23</v>
      </c>
      <c r="E14" s="137" t="str">
        <v>mass of N in secondary and tertiary treatment MMS stages as calculated for manure management</v>
      </c>
      <c r="F14" s="138"/>
      <c r="G14" s="136"/>
      <c r="H14" s="134" t="str" cm="1">
        <f t="array" ref="H14:I17">_xlfn.CHOOSECOLS(MMS_Feedlot_ManureAppliedToSoils_Equations.VEERG_4_1_1_9__1_MassOfNitrogenAppliedToSoilsScope1_Arguments(),3,4)</f>
        <v>kg N</v>
      </c>
      <c r="I14" s="126" t="str">
        <v>Calculated from 4.1.1.3 (6)(8)</v>
      </c>
      <c r="J14" s="135" t="str" cm="1">
        <f t="array" aca="1" ref="J14" ca="1">HYPERLINK(Common_InputFunctions.Utility_SourceHyperlink($D$19),$D$19)</f>
        <v>M1_Table_MN_j_m_T-2-3</v>
      </c>
    </row>
    <row r="15" spans="1:19" ht="20.100000000000001" customHeight="1" x14ac:dyDescent="0.25">
      <c r="A15" s="17" t="str">
        <f>HYPERLINK("#'4.1.1.3-4 Direct N20'!A1", "4.1.1.3-4 Direct N20")</f>
        <v>4.1.1.3-4 Direct N20</v>
      </c>
      <c r="D15" s="134" t="str">
        <v>EF_mT23</v>
      </c>
      <c r="E15" s="137" t="str">
        <v>nitrous oxide emission factor for each MMS</v>
      </c>
      <c r="F15" s="138"/>
      <c r="G15" s="136"/>
      <c r="H15" s="134" t="str">
        <v>kg N2O-N/kg N</v>
      </c>
      <c r="I15" s="126" t="str">
        <v>Constant</v>
      </c>
      <c r="J15" s="135" t="str" cm="1">
        <f t="array" aca="1" ref="J15" ca="1">HYPERLINK(Common_InputFunctions.Utility_SourceHyperlink($D$27),$D$27)</f>
        <v>Table_EF_j_m_T-2-3</v>
      </c>
    </row>
    <row r="16" spans="1:19" ht="20.100000000000001" customHeight="1" x14ac:dyDescent="0.25">
      <c r="A16" s="17" t="str">
        <f>HYPERLINK("#'4.1.1.5-6 Atmos Deposition'!A1", "4.1.1.5-6 Atmos Deposition")</f>
        <v>4.1.1.5-6 Atmos Deposition</v>
      </c>
      <c r="D16" s="134" t="str">
        <v>FracGASM_mT23</v>
      </c>
      <c r="E16" s="137" t="str">
        <v>fraction of animal waste N volatilised in each MMS for each cattle group</v>
      </c>
      <c r="F16" s="138"/>
      <c r="G16" s="136"/>
      <c r="H16" s="134" t="str">
        <v>(kg NH3-N + NOx-N)/kg N</v>
      </c>
      <c r="I16" s="126" t="str">
        <v>Constant</v>
      </c>
      <c r="J16" s="135" t="str" cm="1">
        <f t="array" aca="1" ref="J16" ca="1">HYPERLINK(Common_InputFunctions.Utility_SourceHyperlink($D$36),$D$36)</f>
        <v>Table_FracGASM_m_T-2-3</v>
      </c>
    </row>
    <row r="17" spans="1:18" ht="20.100000000000001" customHeight="1" x14ac:dyDescent="0.25">
      <c r="A17" s="21" t="str">
        <f>HYPERLINK("#'4.1.1.9 Manure applied to soils'!A1", "4.1.1.9 Manure applied to soils")</f>
        <v>4.1.1.9 Manure applied to soils</v>
      </c>
      <c r="D17" s="134" t="str">
        <v>PF</v>
      </c>
      <c r="E17" s="137" t="str">
        <v>fraction of manure applied to soil within the feedlot boundary</v>
      </c>
      <c r="F17" s="138"/>
      <c r="G17" s="136"/>
      <c r="H17" s="134" t="str">
        <v>fraction</v>
      </c>
      <c r="I17" s="125" t="str">
        <v>Input</v>
      </c>
      <c r="J17" s="135" t="str" cm="1">
        <f t="array" aca="1" ref="J17" ca="1">HYPERLINK(Common_InputFunctions.Utility_SourceHyperlink($D$45),$D$45)</f>
        <v>Table_PF</v>
      </c>
    </row>
    <row r="18" spans="1:18" ht="20.100000000000001" customHeight="1" x14ac:dyDescent="0.25"/>
    <row r="19" spans="1:18" ht="20.100000000000001" customHeight="1" x14ac:dyDescent="0.25">
      <c r="D19" s="100" t="s">
        <v>222</v>
      </c>
      <c r="N19" s="100" t="s">
        <v>230</v>
      </c>
    </row>
    <row r="20" spans="1:18" ht="20.100000000000001" customHeight="1" x14ac:dyDescent="0.25">
      <c r="A20" s="145" t="s">
        <v>1</v>
      </c>
      <c r="D20" s="99" t="s">
        <v>232</v>
      </c>
      <c r="N20" s="99" t="s">
        <v>231</v>
      </c>
    </row>
    <row r="21" spans="1:18" ht="20.100000000000001" customHeight="1" x14ac:dyDescent="0.25">
      <c r="A21" s="17" t="str">
        <f>HYPERLINK("#'Constants - Feedlot'!A1", "Constants - Feedlot")</f>
        <v>Constants - Feedlot</v>
      </c>
      <c r="D21" s="52" t="s">
        <v>64</v>
      </c>
      <c r="E21" s="52" t="s">
        <v>131</v>
      </c>
      <c r="F21" s="52" t="s">
        <v>132</v>
      </c>
      <c r="G21" s="52" t="s">
        <v>133</v>
      </c>
      <c r="N21" s="52" t="s">
        <v>64</v>
      </c>
      <c r="O21" s="52" t="s">
        <v>131</v>
      </c>
      <c r="P21" s="52" t="s">
        <v>132</v>
      </c>
      <c r="Q21" s="52" t="s">
        <v>133</v>
      </c>
    </row>
    <row r="22" spans="1:18" ht="20.100000000000001" customHeight="1" x14ac:dyDescent="0.25">
      <c r="A22" s="17" t="str">
        <f>HYPERLINK("#'Constants - Common'!A1", "Constants - Common")</f>
        <v>Constants - Common</v>
      </c>
      <c r="D22" s="53" t="str">
        <f>INDEX(X_Table_Feedlot_MMS_Stage2,3,1)</f>
        <v>Solid storage</v>
      </c>
      <c r="E22" s="53">
        <f ca="1">INDEX(M1_Table_MN_j_m_T2_Consumer_1,2,2)</f>
        <v>1250.3589396480006</v>
      </c>
      <c r="F22" s="53">
        <f ca="1">INDEX(M1_Table_MN_j_m_T2_Consumer_1,2,3)</f>
        <v>1898.7379568640001</v>
      </c>
      <c r="G22" s="53">
        <f ca="1">INDEX(M1_Table_MN_j_m_T2_Consumer_1,2,4)</f>
        <v>2742.4316159999994</v>
      </c>
      <c r="H22" s="2" t="s">
        <v>221</v>
      </c>
      <c r="I22" s="2"/>
      <c r="J22" s="2"/>
      <c r="N22" s="53" t="str">
        <f>INDEX(X_Table_Feedlot_MMS_Stage2,3,1)</f>
        <v>Solid storage</v>
      </c>
      <c r="O22" s="53">
        <f ca="1">INDEX(M1_Table_MN_j_m_T2,2,2)</f>
        <v>1250.3589396480006</v>
      </c>
      <c r="P22" s="53">
        <f ca="1">INDEX(M1_Table_MN_j_m_T2,2,3)</f>
        <v>1898.7379568640001</v>
      </c>
      <c r="Q22" s="53">
        <f ca="1">INDEX(M1_Table_MN_j_m_T2,2,4)</f>
        <v>2742.4316159999994</v>
      </c>
      <c r="R22" s="2" t="s">
        <v>221</v>
      </c>
    </row>
    <row r="23" spans="1:18" ht="20.100000000000001" customHeight="1" x14ac:dyDescent="0.25">
      <c r="A23" s="17" t="str">
        <f>HYPERLINK("#'Constants - Livestock'!A1", "Constants - Livestock")</f>
        <v>Constants - Livestock</v>
      </c>
      <c r="D23" s="53" t="str">
        <f>INDEX(X_Table_Feedlot_MMS_Stage2,4,1)</f>
        <v>Composting (passive windrow)</v>
      </c>
      <c r="E23" s="53">
        <f ca="1">INDEX(M1_Table_MN_j_m_T2_Consumer_1,3,2)</f>
        <v>1250.3589396480006</v>
      </c>
      <c r="F23" s="53">
        <f ca="1">INDEX(M1_Table_MN_j_m_T2_Consumer_1,3,3)</f>
        <v>1898.7379568640001</v>
      </c>
      <c r="G23" s="53">
        <f ca="1">INDEX(M1_Table_MN_j_m_T2_Consumer_1,3,4)</f>
        <v>2742.4316159999994</v>
      </c>
      <c r="H23" s="2" t="s">
        <v>221</v>
      </c>
      <c r="I23" s="2"/>
      <c r="J23" s="2"/>
      <c r="N23" s="53" t="str">
        <f>INDEX(X_Table_Feedlot_MMS_Stage2,4,1)</f>
        <v>Composting (passive windrow)</v>
      </c>
      <c r="O23" s="53">
        <f ca="1">INDEX(M1_Table_MN_j_m_T2,3,2)</f>
        <v>1250.3589396480006</v>
      </c>
      <c r="P23" s="53">
        <f ca="1">INDEX(M1_Table_MN_j_m_T2,3,3)</f>
        <v>1898.7379568640001</v>
      </c>
      <c r="Q23" s="53">
        <f ca="1">INDEX(M1_Table_MN_j_m_T2,3,4)</f>
        <v>2742.4316159999994</v>
      </c>
      <c r="R23" s="2" t="s">
        <v>221</v>
      </c>
    </row>
    <row r="24" spans="1:18" ht="20.100000000000001" customHeight="1" x14ac:dyDescent="0.25">
      <c r="A24" s="17" t="str">
        <f>HYPERLINK("#'Acknowledgements'!A1", "Acknowledgements")</f>
        <v>Acknowledgements</v>
      </c>
      <c r="D24" s="53" t="str">
        <f>INDEX(X_Table_Feedlot_MMS_Stage2,5,1)</f>
        <v>Direct application</v>
      </c>
      <c r="E24" s="53">
        <f ca="1">INDEX(M1_Table_MN_j_m_T2_Consumer_1,4,2)</f>
        <v>3751.0768189440014</v>
      </c>
      <c r="F24" s="53">
        <f ca="1">INDEX(M1_Table_MN_j_m_T2_Consumer_1,4,3)</f>
        <v>5696.2138705919997</v>
      </c>
      <c r="G24" s="53">
        <f ca="1">INDEX(M1_Table_MN_j_m_T2_Consumer_1,4,4)</f>
        <v>8227.2948479999977</v>
      </c>
      <c r="N24" s="53" t="str">
        <f>INDEX(X_Table_Feedlot_MMS_Stage2,5,1)</f>
        <v>Direct application</v>
      </c>
      <c r="O24" s="53">
        <f ca="1">INDEX(M1_Table_MN_j_m_T2,4,2)</f>
        <v>3751.0768189440014</v>
      </c>
      <c r="P24" s="53">
        <f ca="1">INDEX(M1_Table_MN_j_m_T2,4,3)</f>
        <v>5696.2138705919997</v>
      </c>
      <c r="Q24" s="53">
        <f ca="1">INDEX(M1_Table_MN_j_m_T2,4,4)</f>
        <v>8227.2948479999977</v>
      </c>
      <c r="R24" s="2" t="s">
        <v>221</v>
      </c>
    </row>
    <row r="25" spans="1:18" ht="20.100000000000001" customHeight="1" x14ac:dyDescent="0.25">
      <c r="A25" s="17" t="str">
        <f>HYPERLINK("#'Tab template'!A1", "Tab template")</f>
        <v>Tab template</v>
      </c>
      <c r="D25" s="53" t="str">
        <f>INDEX(X_Table_Feedlot_MMS_Stage3,3,1)</f>
        <v>Anaerobic lagoon</v>
      </c>
      <c r="E25" s="53">
        <f ca="1">INDEX(M1_Table_MN_j_m1_T3,2,2)</f>
        <v>333.78508800000009</v>
      </c>
      <c r="F25" s="53">
        <f ca="1">INDEX(M1_Table_MN_j_m1_T3,2,3)</f>
        <v>506.87078400000007</v>
      </c>
      <c r="G25" s="53">
        <f ca="1">INDEX(M1_Table_MN_j_m1_T3,2,4)</f>
        <v>732.09599999999978</v>
      </c>
      <c r="H25" s="2" t="s">
        <v>221</v>
      </c>
      <c r="I25" s="2"/>
      <c r="J25" s="2"/>
      <c r="N25" s="53" t="str">
        <f>INDEX(X_Table_Feedlot_MMS_Stage3,3,1)</f>
        <v>Anaerobic lagoon</v>
      </c>
      <c r="O25" s="53">
        <f ca="1">INDEX(M2_Table_MN_j_m1_T3,2,2)</f>
        <v>333.78508800000009</v>
      </c>
      <c r="P25" s="53">
        <f ca="1">INDEX(M2_Table_MN_j_m1_T3,2,3)</f>
        <v>506.87078400000007</v>
      </c>
      <c r="Q25" s="53">
        <f ca="1">INDEX(M2_Table_MN_j_m1_T3,2,4)</f>
        <v>732.09599999999978</v>
      </c>
      <c r="R25" s="2" t="s">
        <v>221</v>
      </c>
    </row>
    <row r="26" spans="1:18" ht="20.100000000000001" customHeight="1" x14ac:dyDescent="0.25"/>
    <row r="27" spans="1:18" ht="20.100000000000001" customHeight="1" x14ac:dyDescent="0.25">
      <c r="D27" s="100" t="s">
        <v>224</v>
      </c>
    </row>
    <row r="28" spans="1:18" ht="20.100000000000001" customHeight="1" x14ac:dyDescent="0.25">
      <c r="D28" s="99" t="s">
        <v>164</v>
      </c>
    </row>
    <row r="29" spans="1:18" ht="20.100000000000001" customHeight="1" x14ac:dyDescent="0.25">
      <c r="D29" s="111" t="s">
        <v>64</v>
      </c>
      <c r="E29" s="111" t="s">
        <v>165</v>
      </c>
    </row>
    <row r="30" spans="1:18" ht="20.100000000000001" customHeight="1" x14ac:dyDescent="0.25">
      <c r="D30" s="53" t="str">
        <f>INDEX(X_Table_Feedlot_MMS_Stage1,2,1)</f>
        <v>Drylot (feed pad)</v>
      </c>
      <c r="E30" s="53">
        <f>_xlfn.XLOOKUP(D30, Table_SourceData_Feedlot_NO2EFs[NIR definition], Table_SourceData_Feedlot_NO2EFs[EF mT])</f>
        <v>5.4000000000000003E-3</v>
      </c>
      <c r="F30" s="2" t="s">
        <v>228</v>
      </c>
    </row>
    <row r="31" spans="1:18" ht="20.100000000000001" customHeight="1" x14ac:dyDescent="0.25">
      <c r="D31" s="53" t="str">
        <f>INDEX(X_Table_Feedlot_MMS_Stage2,3,1)</f>
        <v>Solid storage</v>
      </c>
      <c r="E31" s="53">
        <f>_xlfn.XLOOKUP($D$31, Table_SourceData_Feedlot_NO2EFs[NIR definition], Table_SourceData_Feedlot_NO2EFs[EF mT])</f>
        <v>5.0000000000000001E-3</v>
      </c>
      <c r="F31" s="2" t="s">
        <v>228</v>
      </c>
    </row>
    <row r="32" spans="1:18" ht="20.100000000000001" customHeight="1" x14ac:dyDescent="0.25">
      <c r="D32" s="53" t="str">
        <f>INDEX(X_Table_Feedlot_MMS_Stage2,4,1)</f>
        <v>Composting (passive windrow)</v>
      </c>
      <c r="E32" s="53">
        <f>_xlfn.XLOOKUP($D$32, Table_SourceData_Feedlot_NO2EFs[NIR definition], Table_SourceData_Feedlot_NO2EFs[EF mT])</f>
        <v>0.01</v>
      </c>
      <c r="F32" s="2" t="s">
        <v>228</v>
      </c>
    </row>
    <row r="33" spans="4:10" ht="20.100000000000001" customHeight="1" x14ac:dyDescent="0.25">
      <c r="D33" s="53" t="s">
        <v>309</v>
      </c>
      <c r="E33" s="53">
        <f>_xlfn.XLOOKUP($D$33, Table_SourceData_Feedlot_NO2EFs[NIR definition], Table_SourceData_Feedlot_NO2EFs[EF mT])</f>
        <v>0</v>
      </c>
      <c r="F33" s="2" t="s">
        <v>228</v>
      </c>
    </row>
    <row r="34" spans="4:10" ht="20.100000000000001" customHeight="1" x14ac:dyDescent="0.25">
      <c r="D34" s="53" t="str">
        <f>INDEX(X_Table_Feedlot_MMS_Stage3,3,1)</f>
        <v>Anaerobic lagoon</v>
      </c>
      <c r="E34" s="53">
        <f>_xlfn.XLOOKUP($D$34, Table_SourceData_Feedlot_NO2EFs[NIR definition], Table_SourceData_Feedlot_NO2EFs[EF mT])</f>
        <v>0</v>
      </c>
      <c r="F34" s="2" t="s">
        <v>228</v>
      </c>
    </row>
    <row r="35" spans="4:10" ht="20.100000000000001" customHeight="1" x14ac:dyDescent="0.25"/>
    <row r="36" spans="4:10" ht="20.100000000000001" customHeight="1" x14ac:dyDescent="0.25">
      <c r="D36" s="100" t="s">
        <v>223</v>
      </c>
    </row>
    <row r="37" spans="4:10" ht="20.100000000000001" customHeight="1" x14ac:dyDescent="0.25">
      <c r="D37" s="99" t="s">
        <v>225</v>
      </c>
    </row>
    <row r="38" spans="4:10" ht="20.100000000000001" customHeight="1" x14ac:dyDescent="0.25">
      <c r="D38" s="111" t="s">
        <v>64</v>
      </c>
      <c r="E38" s="111" t="s">
        <v>165</v>
      </c>
    </row>
    <row r="39" spans="4:10" ht="20.100000000000001" customHeight="1" x14ac:dyDescent="0.25">
      <c r="D39" s="53" t="str">
        <f>INDEX(X_Table_Feedlot_MMS_Stage1,2,1)</f>
        <v>Drylot (feed pad)</v>
      </c>
      <c r="E39" s="53">
        <f>_xlfn.XLOOKUP(D39, Table_SourceData_Feedlot_FracGASMmT[NIR definition], Table_SourceData_Feedlot_FracGASMmT[FracGASMmT])</f>
        <v>0.6</v>
      </c>
      <c r="F39" s="2" t="s">
        <v>229</v>
      </c>
    </row>
    <row r="40" spans="4:10" ht="20.100000000000001" customHeight="1" x14ac:dyDescent="0.25">
      <c r="D40" s="53" t="str">
        <f>INDEX(X_Table_Feedlot_MMS_Stage2,3,1)</f>
        <v>Solid storage</v>
      </c>
      <c r="E40" s="53">
        <f>_xlfn.XLOOKUP(D40, Table_SourceData_Feedlot_FracGASMmT[NIR definition], Table_SourceData_Feedlot_FracGASMmT[FracGASMmT])</f>
        <v>0.25</v>
      </c>
      <c r="F40" s="2" t="s">
        <v>229</v>
      </c>
    </row>
    <row r="41" spans="4:10" ht="20.100000000000001" customHeight="1" x14ac:dyDescent="0.25">
      <c r="D41" s="53" t="str">
        <f>INDEX(X_Table_Feedlot_MMS_Stage2,4,1)</f>
        <v>Composting (passive windrow)</v>
      </c>
      <c r="E41" s="53">
        <f>_xlfn.XLOOKUP(D41, Table_SourceData_Feedlot_FracGASMmT[NIR definition], Table_SourceData_Feedlot_FracGASMmT[FracGASMmT])</f>
        <v>0.4</v>
      </c>
      <c r="F41" s="2" t="s">
        <v>229</v>
      </c>
    </row>
    <row r="42" spans="4:10" ht="20.100000000000001" customHeight="1" x14ac:dyDescent="0.25">
      <c r="D42" s="53" t="str">
        <f>INDEX(X_Table_Feedlot_MMS_Stage2,5,1)</f>
        <v>Direct application</v>
      </c>
      <c r="E42" s="53">
        <f>_xlfn.XLOOKUP(D42, Table_SourceData_Feedlot_FracGASMmT[NIR definition], Table_SourceData_Feedlot_FracGASMmT[FracGASMmT])</f>
        <v>0</v>
      </c>
      <c r="F42" s="2" t="s">
        <v>229</v>
      </c>
    </row>
    <row r="43" spans="4:10" ht="20.100000000000001" customHeight="1" x14ac:dyDescent="0.25">
      <c r="D43" s="53" t="str">
        <f>INDEX(X_Table_Feedlot_MMS_Stage3,3,1)</f>
        <v>Anaerobic lagoon</v>
      </c>
      <c r="E43" s="53">
        <f>_xlfn.XLOOKUP(D43, Table_SourceData_Feedlot_FracGASMmT[NIR definition], Table_SourceData_Feedlot_FracGASMmT[FracGASMmT])</f>
        <v>0.35</v>
      </c>
      <c r="F43" s="2" t="s">
        <v>229</v>
      </c>
    </row>
    <row r="44" spans="4:10" ht="20.100000000000001" customHeight="1" x14ac:dyDescent="0.25"/>
    <row r="45" spans="4:10" ht="20.100000000000001" customHeight="1" x14ac:dyDescent="0.25">
      <c r="D45" s="100" t="s">
        <v>226</v>
      </c>
    </row>
    <row r="46" spans="4:10" ht="20.100000000000001" customHeight="1" x14ac:dyDescent="0.25">
      <c r="D46" s="99" t="s">
        <v>227</v>
      </c>
    </row>
    <row r="47" spans="4:10" ht="20.100000000000001" customHeight="1" x14ac:dyDescent="0.25">
      <c r="D47" s="63" t="s">
        <v>64</v>
      </c>
      <c r="E47" s="63" t="s">
        <v>315</v>
      </c>
    </row>
    <row r="48" spans="4:10" ht="20.100000000000001" customHeight="1" x14ac:dyDescent="0.25">
      <c r="D48" s="53" t="str">
        <f>INDEX(X_Table_Feedlot_MMS_Stage2,3,1)</f>
        <v>Solid storage</v>
      </c>
      <c r="E48" s="53">
        <f ca="1">SUM(OFFSET(X_Table_Feedlot_MMS_Stage2_Destinations, 2,1,1,2))</f>
        <v>0.75</v>
      </c>
      <c r="F48" s="2" t="s">
        <v>317</v>
      </c>
      <c r="H48" s="2"/>
      <c r="I48" s="2"/>
      <c r="J48" s="2"/>
    </row>
    <row r="49" spans="3:19" ht="20.100000000000001" customHeight="1" x14ac:dyDescent="0.25">
      <c r="D49" s="53" t="str">
        <f>INDEX(X_Table_Feedlot_MMS_Stage2,4,1)</f>
        <v>Composting (passive windrow)</v>
      </c>
      <c r="E49" s="53">
        <f ca="1">SUM(OFFSET(X_Table_Feedlot_MMS_Stage2_Destinations, 3,1,1,2))</f>
        <v>0.75</v>
      </c>
      <c r="F49" s="2" t="s">
        <v>317</v>
      </c>
      <c r="H49" s="2"/>
      <c r="I49" s="2"/>
      <c r="J49" s="2"/>
    </row>
    <row r="50" spans="3:19" ht="20.100000000000001" customHeight="1" x14ac:dyDescent="0.25">
      <c r="D50" s="53" t="str">
        <f>INDEX(X_Table_Feedlot_MMS_Stage2,5,1)</f>
        <v>Direct application</v>
      </c>
      <c r="E50" s="53">
        <f ca="1">SUM(OFFSET(X_Table_Feedlot_MMS_Stage2_Destinations, 4,1,1,2))</f>
        <v>1</v>
      </c>
      <c r="F50" s="2" t="s">
        <v>317</v>
      </c>
      <c r="H50" s="2"/>
      <c r="I50" s="2"/>
      <c r="J50" s="2"/>
    </row>
    <row r="51" spans="3:19" ht="20.100000000000001" customHeight="1" x14ac:dyDescent="0.25">
      <c r="D51" s="53" t="str">
        <f>INDEX(X_Table_Feedlot_MMS_Stage3,3,1)</f>
        <v>Anaerobic lagoon</v>
      </c>
      <c r="E51" s="53">
        <f ca="1">SUM(OFFSET(X_Table_Feedlot_MMS_Stage3_Destinations, 2,1,1,2))</f>
        <v>0.75</v>
      </c>
      <c r="F51" s="2" t="s">
        <v>317</v>
      </c>
      <c r="H51" s="2"/>
      <c r="I51" s="2"/>
      <c r="J51" s="2"/>
    </row>
    <row r="52" spans="3:19" ht="20.100000000000001" customHeight="1" x14ac:dyDescent="0.25"/>
    <row r="53" spans="3:19" ht="20.100000000000001" customHeight="1" x14ac:dyDescent="0.25">
      <c r="D53" s="100" t="s">
        <v>233</v>
      </c>
      <c r="N53" s="100" t="s">
        <v>246</v>
      </c>
    </row>
    <row r="54" spans="3:19" ht="20.100000000000001" customHeight="1" x14ac:dyDescent="0.25">
      <c r="D54" s="99" t="s">
        <v>248</v>
      </c>
      <c r="N54" s="99" t="s">
        <v>247</v>
      </c>
    </row>
    <row r="55" spans="3:19" ht="20.100000000000001" customHeight="1" x14ac:dyDescent="0.25">
      <c r="D55" s="52" t="s">
        <v>64</v>
      </c>
      <c r="E55" s="52" t="s">
        <v>131</v>
      </c>
      <c r="F55" s="52" t="s">
        <v>132</v>
      </c>
      <c r="G55" s="52" t="s">
        <v>133</v>
      </c>
      <c r="N55" s="52" t="s">
        <v>64</v>
      </c>
      <c r="O55" s="52" t="s">
        <v>131</v>
      </c>
      <c r="P55" s="52" t="s">
        <v>132</v>
      </c>
      <c r="Q55" s="52" t="s">
        <v>133</v>
      </c>
    </row>
    <row r="56" spans="3:19" ht="20.100000000000001" customHeight="1" x14ac:dyDescent="0.25">
      <c r="D56" s="53" t="str">
        <f>INDEX(X_Table_Feedlot_MMS_Stage2,3,1)</f>
        <v>Solid storage</v>
      </c>
      <c r="E56" s="53" cm="1">
        <f t="array" aca="1" ref="E56" ca="1">MMS_Feedlot_ManureAppliedToSoils_Equations.VEERG_4_1_1_9__1_MassOfNitrogenAppliedToSoilsScope1(E22,_xlfn.XLOOKUP($D56,$D$30:$D$34,$E$30:$E$34),_xlfn.XLOOKUP($D56,$D$39:$D$43,$E$39:$E$43),$E48)</f>
        <v>698.63805752832036</v>
      </c>
      <c r="F56" s="53" cm="1">
        <f t="array" aca="1" ref="F56" ca="1">MMS_Feedlot_ManureAppliedToSoils_Equations.VEERG_4_1_1_9__1_MassOfNitrogenAppliedToSoilsScope1(F22,_xlfn.XLOOKUP($D56,$D$30:$D$34,$E$30:$E$34),_xlfn.XLOOKUP($D56,$D$39:$D$43,$E$39:$E$43),$E48)</f>
        <v>1060.9198333977599</v>
      </c>
      <c r="G56" s="53" cm="1">
        <f t="array" aca="1" ref="G56" ca="1">MMS_Feedlot_ManureAppliedToSoils_Equations.VEERG_4_1_1_9__1_MassOfNitrogenAppliedToSoilsScope1(G22,_xlfn.XLOOKUP($D56,$D$30:$D$34,$E$30:$E$34),_xlfn.XLOOKUP($D56,$D$39:$D$43,$E$39:$E$43),$E48)</f>
        <v>1532.3336654399995</v>
      </c>
      <c r="H56" s="2" t="str">
        <f>$E$12</f>
        <v>kg N</v>
      </c>
      <c r="I56" s="2"/>
      <c r="J56" s="2"/>
      <c r="N56" s="53" t="str">
        <f>INDEX(X_Table_Feedlot_MMS_Stage2,3,1)</f>
        <v>Solid storage</v>
      </c>
      <c r="O56" s="53" cm="1">
        <f t="array" aca="1" ref="O56" ca="1">MMS_Feedlot_ManureAppliedToSoils_Equations.VEERG_4_1_1_9__1_MassOfNitrogenAppliedToSoilsScope1(O22,_xlfn.XLOOKUP($N56,$D$30:$D$34,$E$30:$E$34),_xlfn.XLOOKUP($N56,$D$39:$D$43,$E$39:$E$43),$E48)</f>
        <v>698.63805752832036</v>
      </c>
      <c r="P56" s="53" cm="1">
        <f t="array" aca="1" ref="P56" ca="1">MMS_Feedlot_ManureAppliedToSoils_Equations.VEERG_4_1_1_9__1_MassOfNitrogenAppliedToSoilsScope1(P22,_xlfn.XLOOKUP($N56,$D$30:$D$34,$E$30:$E$34),_xlfn.XLOOKUP($N56,$D$39:$D$43,$E$39:$E$43),$E48)</f>
        <v>1060.9198333977599</v>
      </c>
      <c r="Q56" s="53" cm="1">
        <f t="array" aca="1" ref="Q56" ca="1">MMS_Feedlot_ManureAppliedToSoils_Equations.VEERG_4_1_1_9__1_MassOfNitrogenAppliedToSoilsScope1(Q22,_xlfn.XLOOKUP($N56,$D$30:$D$34,$E$30:$E$34),_xlfn.XLOOKUP($N56,$D$39:$D$43,$E$39:$E$43),$E48)</f>
        <v>1532.3336654399995</v>
      </c>
      <c r="R56" s="2" t="str">
        <f>$E$12</f>
        <v>kg N</v>
      </c>
    </row>
    <row r="57" spans="3:19" ht="20.100000000000001" customHeight="1" x14ac:dyDescent="0.25">
      <c r="D57" s="53" t="str">
        <f>INDEX(X_Table_Feedlot_MMS_Stage2,4,1)</f>
        <v>Composting (passive windrow)</v>
      </c>
      <c r="E57" s="53" cm="1">
        <f t="array" aca="1" ref="E57" ca="1">MMS_Feedlot_ManureAppliedToSoils_Equations.VEERG_4_1_1_9__1_MassOfNitrogenAppliedToSoilsScope1(E23,_xlfn.XLOOKUP($D57,$D$30:$D$34,$E$30:$E$34),_xlfn.XLOOKUP($D57,$D$39:$D$43,$E$39:$E$43),$E49)</f>
        <v>553.2838307942402</v>
      </c>
      <c r="F57" s="53" cm="1">
        <f t="array" aca="1" ref="F57" ca="1">MMS_Feedlot_ManureAppliedToSoils_Equations.VEERG_4_1_1_9__1_MassOfNitrogenAppliedToSoilsScope1(F23,_xlfn.XLOOKUP($D57,$D$30:$D$34,$E$30:$E$34),_xlfn.XLOOKUP($D57,$D$39:$D$43,$E$39:$E$43),$E49)</f>
        <v>840.19154591231995</v>
      </c>
      <c r="G57" s="53" cm="1">
        <f t="array" aca="1" ref="G57" ca="1">MMS_Feedlot_ManureAppliedToSoils_Equations.VEERG_4_1_1_9__1_MassOfNitrogenAppliedToSoilsScope1(G23,_xlfn.XLOOKUP($D57,$D$30:$D$34,$E$30:$E$34),_xlfn.XLOOKUP($D57,$D$39:$D$43,$E$39:$E$43),$E49)</f>
        <v>1213.5259900799997</v>
      </c>
      <c r="H57" s="2" t="str">
        <f>$E$12</f>
        <v>kg N</v>
      </c>
      <c r="I57" s="2"/>
      <c r="J57" s="2"/>
      <c r="N57" s="53" t="str">
        <f>INDEX(X_Table_Feedlot_MMS_Stage2,4,1)</f>
        <v>Composting (passive windrow)</v>
      </c>
      <c r="O57" s="53" cm="1">
        <f t="array" aca="1" ref="O57" ca="1">MMS_Feedlot_ManureAppliedToSoils_Equations.VEERG_4_1_1_9__1_MassOfNitrogenAppliedToSoilsScope1(O23,_xlfn.XLOOKUP($N57,$D$30:$D$34,$E$30:$E$34),_xlfn.XLOOKUP($N57,$D$39:$D$43,$E$39:$E$43),$E49)</f>
        <v>553.2838307942402</v>
      </c>
      <c r="P57" s="53" cm="1">
        <f t="array" aca="1" ref="P57" ca="1">MMS_Feedlot_ManureAppliedToSoils_Equations.VEERG_4_1_1_9__1_MassOfNitrogenAppliedToSoilsScope1(P23,_xlfn.XLOOKUP($N57,$D$30:$D$34,$E$30:$E$34),_xlfn.XLOOKUP($N57,$D$39:$D$43,$E$39:$E$43),$E49)</f>
        <v>840.19154591231995</v>
      </c>
      <c r="Q57" s="53" cm="1">
        <f t="array" aca="1" ref="Q57" ca="1">MMS_Feedlot_ManureAppliedToSoils_Equations.VEERG_4_1_1_9__1_MassOfNitrogenAppliedToSoilsScope1(Q23,_xlfn.XLOOKUP($N57,$D$30:$D$34,$E$30:$E$34),_xlfn.XLOOKUP($N57,$D$39:$D$43,$E$39:$E$43),$E49)</f>
        <v>1213.5259900799997</v>
      </c>
      <c r="R57" s="2" t="str">
        <f>$E$12</f>
        <v>kg N</v>
      </c>
    </row>
    <row r="58" spans="3:19" ht="20.100000000000001" customHeight="1" x14ac:dyDescent="0.25">
      <c r="D58" s="53" t="str">
        <f>INDEX(X_Table_Feedlot_MMS_Stage2,5,1)</f>
        <v>Direct application</v>
      </c>
      <c r="E58" s="53" cm="1">
        <f t="array" aca="1" ref="E58" ca="1">MMS_Feedlot_ManureAppliedToSoils_Equations.VEERG_4_1_1_9__1_MassOfNitrogenAppliedToSoilsScope1(E24,_xlfn.XLOOKUP($D58,$D$30:$D$34,$E$30:$E$34),_xlfn.XLOOKUP($D58,$D$39:$D$43,$E$39:$E$43),$E50)</f>
        <v>3751.0768189440014</v>
      </c>
      <c r="F58" s="53" cm="1">
        <f t="array" aca="1" ref="F58" ca="1">MMS_Feedlot_ManureAppliedToSoils_Equations.VEERG_4_1_1_9__1_MassOfNitrogenAppliedToSoilsScope1(F24,_xlfn.XLOOKUP($D58,$D$30:$D$34,$E$30:$E$34),_xlfn.XLOOKUP($D58,$D$39:$D$43,$E$39:$E$43),$E50)</f>
        <v>5696.2138705919997</v>
      </c>
      <c r="G58" s="53" cm="1">
        <f t="array" aca="1" ref="G58" ca="1">MMS_Feedlot_ManureAppliedToSoils_Equations.VEERG_4_1_1_9__1_MassOfNitrogenAppliedToSoilsScope1(G24,_xlfn.XLOOKUP($D58,$D$30:$D$34,$E$30:$E$34),_xlfn.XLOOKUP($D58,$D$39:$D$43,$E$39:$E$43),$E50)</f>
        <v>8227.2948479999977</v>
      </c>
      <c r="H58" s="2" t="str">
        <f>$E$12</f>
        <v>kg N</v>
      </c>
      <c r="I58" s="2"/>
      <c r="J58" s="2"/>
      <c r="N58" s="53" t="str">
        <f>INDEX(X_Table_Feedlot_MMS_Stage2,5,1)</f>
        <v>Direct application</v>
      </c>
      <c r="O58" s="53" cm="1">
        <f t="array" aca="1" ref="O58" ca="1">MMS_Feedlot_ManureAppliedToSoils_Equations.VEERG_4_1_1_9__1_MassOfNitrogenAppliedToSoilsScope1(O24,_xlfn.XLOOKUP($N58,$D$30:$D$34,$E$30:$E$34),_xlfn.XLOOKUP($N58,$D$39:$D$43,$E$39:$E$43),$E50)</f>
        <v>3751.0768189440014</v>
      </c>
      <c r="P58" s="53" cm="1">
        <f t="array" aca="1" ref="P58" ca="1">MMS_Feedlot_ManureAppliedToSoils_Equations.VEERG_4_1_1_9__1_MassOfNitrogenAppliedToSoilsScope1(P24,_xlfn.XLOOKUP($N58,$D$30:$D$34,$E$30:$E$34),_xlfn.XLOOKUP($N58,$D$39:$D$43,$E$39:$E$43),$E50)</f>
        <v>5696.2138705919997</v>
      </c>
      <c r="Q58" s="53" cm="1">
        <f t="array" aca="1" ref="Q58" ca="1">MMS_Feedlot_ManureAppliedToSoils_Equations.VEERG_4_1_1_9__1_MassOfNitrogenAppliedToSoilsScope1(Q24,_xlfn.XLOOKUP($N58,$D$30:$D$34,$E$30:$E$34),_xlfn.XLOOKUP($N58,$D$39:$D$43,$E$39:$E$43),$E50)</f>
        <v>8227.2948479999977</v>
      </c>
      <c r="R58" s="2" t="str">
        <f>$E$12</f>
        <v>kg N</v>
      </c>
    </row>
    <row r="59" spans="3:19" ht="20.100000000000001" customHeight="1" x14ac:dyDescent="0.25">
      <c r="D59" s="53" t="str">
        <f>INDEX(X_Table_Feedlot_MMS_Stage3,3,1)</f>
        <v>Anaerobic lagoon</v>
      </c>
      <c r="E59" s="53" cm="1">
        <f t="array" aca="1" ref="E59" ca="1">MMS_Feedlot_ManureAppliedToSoils_Equations.VEERG_4_1_1_9__1_MassOfNitrogenAppliedToSoilsScope1(E25,_xlfn.XLOOKUP($D59,$D$30:$D$34,$E$30:$E$34),_xlfn.XLOOKUP($D59,$D$39:$D$43,$E$39:$E$43),$E51)</f>
        <v>162.72023040000005</v>
      </c>
      <c r="F59" s="53" cm="1">
        <f t="array" aca="1" ref="F59" ca="1">MMS_Feedlot_ManureAppliedToSoils_Equations.VEERG_4_1_1_9__1_MassOfNitrogenAppliedToSoilsScope1(F25,_xlfn.XLOOKUP($D59,$D$30:$D$34,$E$30:$E$34),_xlfn.XLOOKUP($D59,$D$39:$D$43,$E$39:$E$43),$E51)</f>
        <v>247.09950720000006</v>
      </c>
      <c r="G59" s="53" cm="1">
        <f t="array" aca="1" ref="G59" ca="1">MMS_Feedlot_ManureAppliedToSoils_Equations.VEERG_4_1_1_9__1_MassOfNitrogenAppliedToSoilsScope1(G25,_xlfn.XLOOKUP($D59,$D$30:$D$34,$E$30:$E$34),_xlfn.XLOOKUP($D59,$D$39:$D$43,$E$39:$E$43),$E51)</f>
        <v>356.89679999999987</v>
      </c>
      <c r="H59" s="2" t="str">
        <f>$E$12</f>
        <v>kg N</v>
      </c>
      <c r="I59" s="2"/>
      <c r="J59" s="2"/>
      <c r="N59" s="53" t="str">
        <f>INDEX(X_Table_Feedlot_MMS_Stage3,3,1)</f>
        <v>Anaerobic lagoon</v>
      </c>
      <c r="O59" s="53" cm="1">
        <f t="array" aca="1" ref="O59" ca="1">MMS_Feedlot_ManureAppliedToSoils_Equations.VEERG_4_1_1_9__1_MassOfNitrogenAppliedToSoilsScope1(O25,_xlfn.XLOOKUP($N59,$D$30:$D$34,$E$30:$E$34),_xlfn.XLOOKUP($N59,$D$39:$D$43,$E$39:$E$43),$E51)</f>
        <v>162.72023040000005</v>
      </c>
      <c r="P59" s="53" cm="1">
        <f t="array" aca="1" ref="P59" ca="1">MMS_Feedlot_ManureAppliedToSoils_Equations.VEERG_4_1_1_9__1_MassOfNitrogenAppliedToSoilsScope1(P25,_xlfn.XLOOKUP($N59,$D$30:$D$34,$E$30:$E$34),_xlfn.XLOOKUP($N59,$D$39:$D$43,$E$39:$E$43),$E51)</f>
        <v>247.09950720000006</v>
      </c>
      <c r="Q59" s="53" cm="1">
        <f t="array" aca="1" ref="Q59" ca="1">MMS_Feedlot_ManureAppliedToSoils_Equations.VEERG_4_1_1_9__1_MassOfNitrogenAppliedToSoilsScope1(Q25,_xlfn.XLOOKUP($N59,$D$30:$D$34,$E$30:$E$34),_xlfn.XLOOKUP($N59,$D$39:$D$43,$E$39:$E$43),$E51)</f>
        <v>356.89679999999987</v>
      </c>
      <c r="R59" s="2" t="str">
        <f>$E$12</f>
        <v>kg N</v>
      </c>
    </row>
    <row r="60" spans="3:19" ht="20.100000000000001" customHeight="1" x14ac:dyDescent="0.25"/>
    <row r="61" spans="3:19" ht="20.100000000000001" customHeight="1" x14ac:dyDescent="0.25">
      <c r="D61" s="104" t="s">
        <v>234</v>
      </c>
      <c r="E61" s="105">
        <f ca="1">SUM(E56:G59)</f>
        <v>24340.194998288636</v>
      </c>
      <c r="F61" s="106" t="str">
        <f>$E$12</f>
        <v>kg N</v>
      </c>
      <c r="N61" s="104" t="s">
        <v>234</v>
      </c>
      <c r="O61" s="105">
        <f ca="1">SUM(O56:Q59)</f>
        <v>24340.194998288636</v>
      </c>
      <c r="P61" s="106" t="str">
        <f>$E$12</f>
        <v>kg N</v>
      </c>
    </row>
    <row r="62" spans="3:19" ht="20.100000000000001" customHeight="1" x14ac:dyDescent="0.25"/>
    <row r="63" spans="3:19" ht="20.100000000000001" customHeight="1" x14ac:dyDescent="0.25"/>
    <row r="64" spans="3:19" ht="20.100000000000001" customHeight="1" x14ac:dyDescent="0.25">
      <c r="C64" s="46"/>
      <c r="D64" s="46"/>
      <c r="E64" s="46"/>
      <c r="F64" s="46"/>
      <c r="G64" s="46"/>
      <c r="H64" s="46"/>
      <c r="I64" s="46"/>
      <c r="J64" s="46"/>
      <c r="K64" s="46"/>
      <c r="M64" s="46"/>
      <c r="N64" s="46"/>
      <c r="O64" s="46"/>
      <c r="P64" s="46"/>
      <c r="Q64" s="46"/>
      <c r="R64" s="46"/>
      <c r="S64" s="46"/>
    </row>
    <row r="65" spans="4:14" ht="20.100000000000001" customHeight="1" x14ac:dyDescent="0.25">
      <c r="D65" s="6" t="str" cm="1">
        <f t="array" ref="D65">MMS_Feedlot_ManureAppliedToSoils_Equations.VEERG_4_1_1_9__2_MassOfNitrogenAppliedToSoilsScope3_Title()</f>
        <v>Mass of nitrogen applied to soils for scope 3 emissions</v>
      </c>
    </row>
    <row r="66" spans="4:14" ht="20.100000000000001" customHeight="1" x14ac:dyDescent="0.25">
      <c r="D66" s="5" t="str" cm="1">
        <f t="array" ref="D66">MMS_Feedlot_ManureAppliedToSoils_Equations.VEERG_4_1_1_9__2_MassOfNitrogenAppliedToSoilsScope3_Source()</f>
        <v>VEERG 2026: 4.1.1.9, Equation (2)</v>
      </c>
    </row>
    <row r="67" spans="4:14" ht="20.100000000000001" customHeight="1" x14ac:dyDescent="0.25">
      <c r="D67" s="13" t="s">
        <v>23</v>
      </c>
      <c r="E67" s="13" t="str" cm="1">
        <f t="array" aca="1" ref="E67" ca="1">Common_InputFunctions.Utility_DisplayFunctionName(E82)</f>
        <v>=MMS_Feedlot_ManureAppliedToSoils_Equations.VEERG_4_1_1_9__2_MassOfNitrogenAppliedToSoilsScope3</v>
      </c>
    </row>
    <row r="68" spans="4:14" ht="20.100000000000001" customHeight="1" x14ac:dyDescent="0.25"/>
    <row r="69" spans="4:14" ht="20.100000000000001" customHeight="1" x14ac:dyDescent="0.25">
      <c r="D69" s="6"/>
    </row>
    <row r="70" spans="4:14" ht="20.100000000000001" customHeight="1" x14ac:dyDescent="0.25"/>
    <row r="71" spans="4:14" ht="20.100000000000001" customHeight="1" x14ac:dyDescent="0.25">
      <c r="D71" s="54" t="s">
        <v>26</v>
      </c>
      <c r="E71" s="1" t="str" cm="1">
        <f t="array" ref="E71">MMS_Feedlot_ManureAppliedToSoils_Equations.VEERG_4_1_1_9__2_MassOfNitrogenAppliedToSoilsScope3_Variable()</f>
        <v>MNSoil_scope3</v>
      </c>
    </row>
    <row r="72" spans="4:14" ht="20.100000000000001" customHeight="1" x14ac:dyDescent="0.25">
      <c r="D72" s="54" t="s">
        <v>16</v>
      </c>
      <c r="E72" s="55" t="str" cm="1">
        <f t="array" ref="E72">MMS_Feedlot_ManureAppliedToSoils_Equations.VEERG_4_1_1_9__2_MassOfNitrogenAppliedToSoilsScope3_Unit()</f>
        <v>kg N</v>
      </c>
    </row>
    <row r="73" spans="4:14" ht="20.100000000000001" customHeight="1" x14ac:dyDescent="0.25"/>
    <row r="74" spans="4:14" ht="20.100000000000001" customHeight="1" x14ac:dyDescent="0.25">
      <c r="D74" s="134" t="str" cm="1">
        <f t="array" ref="D74:E77">_xlfn.CHOOSECOLS(MMS_Feedlot_ManureAppliedToSoils_Equations.VEERG_4_1_1_9__2_MassOfNitrogenAppliedToSoilsScope3_Arguments(),1,2)</f>
        <v>MN_jmT23</v>
      </c>
      <c r="E74" s="137" t="str">
        <v>mass of N in secondary and tertiary treatment MMS stages as calculated for manure management</v>
      </c>
      <c r="F74" s="138"/>
      <c r="G74" s="136"/>
      <c r="H74" s="134" t="str" cm="1">
        <f t="array" ref="H74:I77">_xlfn.CHOOSECOLS(MMS_Feedlot_ManureAppliedToSoils_Equations.VEERG_4_1_1_9__2_MassOfNitrogenAppliedToSoilsScope3_Arguments(),3,4)</f>
        <v>kg N</v>
      </c>
      <c r="I74" s="126" t="str">
        <v>Calculated from 4.1.1.3 (6)(8)</v>
      </c>
      <c r="J74" s="135" t="str" cm="1">
        <f t="array" aca="1" ref="J74" ca="1">HYPERLINK(Common_InputFunctions.Utility_SourceHyperlink($D$19),$D$19)</f>
        <v>M1_Table_MN_j_m_T-2-3</v>
      </c>
    </row>
    <row r="75" spans="4:14" ht="20.100000000000001" customHeight="1" x14ac:dyDescent="0.25">
      <c r="D75" s="134" t="str">
        <v>EF_mT23</v>
      </c>
      <c r="E75" s="137" t="str">
        <v>nitrous oxide emission factor for each MMS</v>
      </c>
      <c r="F75" s="138"/>
      <c r="G75" s="136"/>
      <c r="H75" s="134" t="str">
        <v>kg N2O-N/kg N</v>
      </c>
      <c r="I75" s="126" t="str">
        <v>Constant</v>
      </c>
      <c r="J75" s="135" t="str" cm="1">
        <f t="array" aca="1" ref="J75" ca="1">HYPERLINK(Common_InputFunctions.Utility_SourceHyperlink($D$27),$D$27)</f>
        <v>Table_EF_j_m_T-2-3</v>
      </c>
    </row>
    <row r="76" spans="4:14" ht="20.100000000000001" customHeight="1" x14ac:dyDescent="0.25">
      <c r="D76" s="134" t="str">
        <v>FracGASM_mT23</v>
      </c>
      <c r="E76" s="137" t="str">
        <v>fraction of animal waste N volatilised in each MMS for each cattle group</v>
      </c>
      <c r="F76" s="138"/>
      <c r="G76" s="136"/>
      <c r="H76" s="134" t="str">
        <v>(kg NH3-N + NOx-N)/kg N</v>
      </c>
      <c r="I76" s="126" t="str">
        <v>Constant</v>
      </c>
      <c r="J76" s="135" t="str" cm="1">
        <f t="array" aca="1" ref="J76" ca="1">HYPERLINK(Common_InputFunctions.Utility_SourceHyperlink($D$36),$D$36)</f>
        <v>Table_FracGASM_m_T-2-3</v>
      </c>
    </row>
    <row r="77" spans="4:14" ht="20.100000000000001" customHeight="1" x14ac:dyDescent="0.25">
      <c r="D77" s="134" t="str">
        <v>PF</v>
      </c>
      <c r="E77" s="137" t="str">
        <v>fraction of manure applied to soil within the feedlot boundary</v>
      </c>
      <c r="F77" s="138"/>
      <c r="G77" s="136"/>
      <c r="H77" s="134" t="str">
        <v>fraction</v>
      </c>
      <c r="I77" s="125" t="str">
        <v>Input</v>
      </c>
      <c r="J77" s="135" t="str" cm="1">
        <f t="array" aca="1" ref="J77" ca="1">HYPERLINK(Common_InputFunctions.Utility_SourceHyperlink($D$45),$D$45)</f>
        <v>Table_PF</v>
      </c>
    </row>
    <row r="78" spans="4:14" ht="20.100000000000001" customHeight="1" x14ac:dyDescent="0.25"/>
    <row r="79" spans="4:14" ht="20.100000000000001" customHeight="1" x14ac:dyDescent="0.25">
      <c r="D79" s="100" t="s">
        <v>237</v>
      </c>
      <c r="N79" s="100" t="s">
        <v>242</v>
      </c>
    </row>
    <row r="80" spans="4:14" ht="20.100000000000001" customHeight="1" x14ac:dyDescent="0.25">
      <c r="D80" s="99" t="s">
        <v>245</v>
      </c>
      <c r="N80" s="99" t="s">
        <v>243</v>
      </c>
    </row>
    <row r="81" spans="3:19" ht="20.100000000000001" customHeight="1" x14ac:dyDescent="0.25">
      <c r="D81" s="52" t="s">
        <v>64</v>
      </c>
      <c r="E81" s="52" t="s">
        <v>131</v>
      </c>
      <c r="F81" s="52" t="s">
        <v>132</v>
      </c>
      <c r="G81" s="52" t="s">
        <v>133</v>
      </c>
      <c r="N81" s="52" t="s">
        <v>64</v>
      </c>
      <c r="O81" s="52" t="s">
        <v>131</v>
      </c>
      <c r="P81" s="52" t="s">
        <v>132</v>
      </c>
      <c r="Q81" s="52" t="s">
        <v>133</v>
      </c>
    </row>
    <row r="82" spans="3:19" ht="20.100000000000001" customHeight="1" x14ac:dyDescent="0.25">
      <c r="D82" s="53" t="str">
        <f>INDEX(X_Table_Feedlot_MMS_Stage2,3,1)</f>
        <v>Solid storage</v>
      </c>
      <c r="E82" s="53" cm="1">
        <f t="array" aca="1" ref="E82" ca="1">MMS_Feedlot_ManureAppliedToSoils_Equations.VEERG_4_1_1_9__2_MassOfNitrogenAppliedToSoilsScope3(E22,_xlfn.XLOOKUP($D82, $D$30:$D$34,$E$30:$E$34),_xlfn.XLOOKUP($D82,$D$39:$D$43,$E$39:$E$43),$E48)</f>
        <v>232.87935250944011</v>
      </c>
      <c r="F82" s="53" cm="1">
        <f t="array" aca="1" ref="F82" ca="1">MMS_Feedlot_ManureAppliedToSoils_Equations.VEERG_4_1_1_9__2_MassOfNitrogenAppliedToSoilsScope3(F22,_xlfn.XLOOKUP($D82, $D$30:$D$34,$E$30:$E$34),_xlfn.XLOOKUP($D82,$D$39:$D$43,$E$39:$E$43),$E48)</f>
        <v>353.63994446592</v>
      </c>
      <c r="G82" s="53" cm="1">
        <f t="array" aca="1" ref="G82" ca="1">MMS_Feedlot_ManureAppliedToSoils_Equations.VEERG_4_1_1_9__2_MassOfNitrogenAppliedToSoilsScope3(G22,_xlfn.XLOOKUP($D82, $D$30:$D$34,$E$30:$E$34),_xlfn.XLOOKUP($D82,$D$39:$D$43,$E$39:$E$43),$E48)</f>
        <v>510.77788847999989</v>
      </c>
      <c r="H82" s="2" t="str">
        <f>$E$12</f>
        <v>kg N</v>
      </c>
      <c r="I82" s="2"/>
      <c r="J82" s="2"/>
      <c r="N82" s="53" t="str">
        <f>INDEX(X_Table_Feedlot_MMS_Stage2,3,1)</f>
        <v>Solid storage</v>
      </c>
      <c r="O82" s="53" cm="1">
        <f t="array" aca="1" ref="O82" ca="1">MMS_Feedlot_ManureAppliedToSoils_Equations.VEERG_4_1_1_9__2_MassOfNitrogenAppliedToSoilsScope3(O22,_xlfn.XLOOKUP($N82, $D$30:$D$34,$E$30:$E$34),_xlfn.XLOOKUP($N82,$D$39:$D$43,$E$39:$E$43),$E48)</f>
        <v>232.87935250944011</v>
      </c>
      <c r="P82" s="53" cm="1">
        <f t="array" aca="1" ref="P82" ca="1">MMS_Feedlot_ManureAppliedToSoils_Equations.VEERG_4_1_1_9__2_MassOfNitrogenAppliedToSoilsScope3(P22,_xlfn.XLOOKUP($N82, $D$30:$D$34,$E$30:$E$34),_xlfn.XLOOKUP($N82,$D$39:$D$43,$E$39:$E$43),$E48)</f>
        <v>353.63994446592</v>
      </c>
      <c r="Q82" s="53" cm="1">
        <f t="array" aca="1" ref="Q82" ca="1">MMS_Feedlot_ManureAppliedToSoils_Equations.VEERG_4_1_1_9__2_MassOfNitrogenAppliedToSoilsScope3(Q22,_xlfn.XLOOKUP($N82, $D$30:$D$34,$E$30:$E$34),_xlfn.XLOOKUP($N82,$D$39:$D$43,$E$39:$E$43),$E48)</f>
        <v>510.77788847999989</v>
      </c>
      <c r="R82" s="2" t="str">
        <f>$E$12</f>
        <v>kg N</v>
      </c>
    </row>
    <row r="83" spans="3:19" ht="20.100000000000001" customHeight="1" x14ac:dyDescent="0.25">
      <c r="D83" s="53" t="str">
        <f>INDEX(X_Table_Feedlot_MMS_Stage2,4,1)</f>
        <v>Composting (passive windrow)</v>
      </c>
      <c r="E83" s="53" cm="1">
        <f t="array" aca="1" ref="E83" ca="1">MMS_Feedlot_ManureAppliedToSoils_Equations.VEERG_4_1_1_9__2_MassOfNitrogenAppliedToSoilsScope3(E23,_xlfn.XLOOKUP($D83, $D$30:$D$34,$E$30:$E$34),_xlfn.XLOOKUP($D83,$D$39:$D$43,$E$39:$E$43),$E49)</f>
        <v>184.42794359808008</v>
      </c>
      <c r="F83" s="53" cm="1">
        <f t="array" aca="1" ref="F83" ca="1">MMS_Feedlot_ManureAppliedToSoils_Equations.VEERG_4_1_1_9__2_MassOfNitrogenAppliedToSoilsScope3(F23,_xlfn.XLOOKUP($D83, $D$30:$D$34,$E$30:$E$34),_xlfn.XLOOKUP($D83,$D$39:$D$43,$E$39:$E$43),$E49)</f>
        <v>280.06384863744</v>
      </c>
      <c r="G83" s="53" cm="1">
        <f t="array" aca="1" ref="G83" ca="1">MMS_Feedlot_ManureAppliedToSoils_Equations.VEERG_4_1_1_9__2_MassOfNitrogenAppliedToSoilsScope3(G23,_xlfn.XLOOKUP($D83, $D$30:$D$34,$E$30:$E$34),_xlfn.XLOOKUP($D83,$D$39:$D$43,$E$39:$E$43),$E49)</f>
        <v>404.5086633599999</v>
      </c>
      <c r="H83" s="2" t="str">
        <f>$E$12</f>
        <v>kg N</v>
      </c>
      <c r="I83" s="2"/>
      <c r="J83" s="2"/>
      <c r="N83" s="53" t="str">
        <f>INDEX(X_Table_Feedlot_MMS_Stage2,4,1)</f>
        <v>Composting (passive windrow)</v>
      </c>
      <c r="O83" s="53" cm="1">
        <f t="array" aca="1" ref="O83" ca="1">MMS_Feedlot_ManureAppliedToSoils_Equations.VEERG_4_1_1_9__2_MassOfNitrogenAppliedToSoilsScope3(O23,_xlfn.XLOOKUP($N83, $D$30:$D$34,$E$30:$E$34),_xlfn.XLOOKUP($N83,$D$39:$D$43,$E$39:$E$43),$E49)</f>
        <v>184.42794359808008</v>
      </c>
      <c r="P83" s="53" cm="1">
        <f t="array" aca="1" ref="P83" ca="1">MMS_Feedlot_ManureAppliedToSoils_Equations.VEERG_4_1_1_9__2_MassOfNitrogenAppliedToSoilsScope3(P23,_xlfn.XLOOKUP($N83, $D$30:$D$34,$E$30:$E$34),_xlfn.XLOOKUP($N83,$D$39:$D$43,$E$39:$E$43),$E49)</f>
        <v>280.06384863744</v>
      </c>
      <c r="Q83" s="53" cm="1">
        <f t="array" aca="1" ref="Q83" ca="1">MMS_Feedlot_ManureAppliedToSoils_Equations.VEERG_4_1_1_9__2_MassOfNitrogenAppliedToSoilsScope3(Q23,_xlfn.XLOOKUP($N83, $D$30:$D$34,$E$30:$E$34),_xlfn.XLOOKUP($N83,$D$39:$D$43,$E$39:$E$43),$E49)</f>
        <v>404.5086633599999</v>
      </c>
      <c r="R83" s="2" t="str">
        <f>$E$12</f>
        <v>kg N</v>
      </c>
    </row>
    <row r="84" spans="3:19" ht="20.100000000000001" customHeight="1" x14ac:dyDescent="0.25">
      <c r="D84" s="53" t="str">
        <f>INDEX(X_Table_Feedlot_MMS_Stage2,5,1)</f>
        <v>Direct application</v>
      </c>
      <c r="E84" s="53" cm="1">
        <f t="array" aca="1" ref="E84" ca="1">MMS_Feedlot_ManureAppliedToSoils_Equations.VEERG_4_1_1_9__2_MassOfNitrogenAppliedToSoilsScope3(E24,_xlfn.XLOOKUP($D84, $D$30:$D$34,$E$30:$E$34),_xlfn.XLOOKUP($D84,$D$39:$D$43,$E$39:$E$43),$E50)</f>
        <v>0</v>
      </c>
      <c r="F84" s="53" cm="1">
        <f t="array" aca="1" ref="F84" ca="1">MMS_Feedlot_ManureAppliedToSoils_Equations.VEERG_4_1_1_9__2_MassOfNitrogenAppliedToSoilsScope3(F24,_xlfn.XLOOKUP($D84, $D$30:$D$34,$E$30:$E$34),_xlfn.XLOOKUP($D84,$D$39:$D$43,$E$39:$E$43),$E50)</f>
        <v>0</v>
      </c>
      <c r="G84" s="53" cm="1">
        <f t="array" aca="1" ref="G84" ca="1">MMS_Feedlot_ManureAppliedToSoils_Equations.VEERG_4_1_1_9__2_MassOfNitrogenAppliedToSoilsScope3(G24,_xlfn.XLOOKUP($D84, $D$30:$D$34,$E$30:$E$34),_xlfn.XLOOKUP($D84,$D$39:$D$43,$E$39:$E$43),$E50)</f>
        <v>0</v>
      </c>
      <c r="H84" s="2" t="str">
        <f>$E$12</f>
        <v>kg N</v>
      </c>
      <c r="I84" s="2"/>
      <c r="J84" s="2"/>
      <c r="N84" s="53" t="str">
        <f>INDEX(X_Table_Feedlot_MMS_Stage2,5,1)</f>
        <v>Direct application</v>
      </c>
      <c r="O84" s="53" cm="1">
        <f t="array" aca="1" ref="O84" ca="1">MMS_Feedlot_ManureAppliedToSoils_Equations.VEERG_4_1_1_9__2_MassOfNitrogenAppliedToSoilsScope3(O24,_xlfn.XLOOKUP($N84, $D$30:$D$34,$E$30:$E$34),_xlfn.XLOOKUP($N84,$D$39:$D$43,$E$39:$E$43),$E50)</f>
        <v>0</v>
      </c>
      <c r="P84" s="53" cm="1">
        <f t="array" aca="1" ref="P84" ca="1">MMS_Feedlot_ManureAppliedToSoils_Equations.VEERG_4_1_1_9__2_MassOfNitrogenAppliedToSoilsScope3(P24,_xlfn.XLOOKUP($N84, $D$30:$D$34,$E$30:$E$34),_xlfn.XLOOKUP($N84,$D$39:$D$43,$E$39:$E$43),$E50)</f>
        <v>0</v>
      </c>
      <c r="Q84" s="53" cm="1">
        <f t="array" aca="1" ref="Q84" ca="1">MMS_Feedlot_ManureAppliedToSoils_Equations.VEERG_4_1_1_9__2_MassOfNitrogenAppliedToSoilsScope3(Q24,_xlfn.XLOOKUP($N84, $D$30:$D$34,$E$30:$E$34),_xlfn.XLOOKUP($N84,$D$39:$D$43,$E$39:$E$43),$E50)</f>
        <v>0</v>
      </c>
      <c r="R84" s="2" t="str">
        <f>$E$12</f>
        <v>kg N</v>
      </c>
    </row>
    <row r="85" spans="3:19" ht="20.100000000000001" customHeight="1" x14ac:dyDescent="0.25">
      <c r="D85" s="53" t="str">
        <f>INDEX(X_Table_Feedlot_MMS_Stage3,3,1)</f>
        <v>Anaerobic lagoon</v>
      </c>
      <c r="E85" s="53" cm="1">
        <f t="array" aca="1" ref="E85" ca="1">MMS_Feedlot_ManureAppliedToSoils_Equations.VEERG_4_1_1_9__2_MassOfNitrogenAppliedToSoilsScope3(E25,_xlfn.XLOOKUP($D85, $D$30:$D$34,$E$30:$E$34),_xlfn.XLOOKUP($D85,$D$39:$D$43,$E$39:$E$43),$E51)</f>
        <v>54.240076800000018</v>
      </c>
      <c r="F85" s="53" cm="1">
        <f t="array" aca="1" ref="F85" ca="1">MMS_Feedlot_ManureAppliedToSoils_Equations.VEERG_4_1_1_9__2_MassOfNitrogenAppliedToSoilsScope3(F25,_xlfn.XLOOKUP($D85, $D$30:$D$34,$E$30:$E$34),_xlfn.XLOOKUP($D85,$D$39:$D$43,$E$39:$E$43),$E51)</f>
        <v>82.366502400000016</v>
      </c>
      <c r="G85" s="53" cm="1">
        <f t="array" aca="1" ref="G85" ca="1">MMS_Feedlot_ManureAppliedToSoils_Equations.VEERG_4_1_1_9__2_MassOfNitrogenAppliedToSoilsScope3(G25,_xlfn.XLOOKUP($D85, $D$30:$D$34,$E$30:$E$34),_xlfn.XLOOKUP($D85,$D$39:$D$43,$E$39:$E$43),$E51)</f>
        <v>118.96559999999997</v>
      </c>
      <c r="H85" s="2" t="str">
        <f>$E$12</f>
        <v>kg N</v>
      </c>
      <c r="I85" s="2"/>
      <c r="J85" s="2"/>
      <c r="N85" s="53" t="str">
        <f>INDEX(X_Table_Feedlot_MMS_Stage3,3,1)</f>
        <v>Anaerobic lagoon</v>
      </c>
      <c r="O85" s="53" cm="1">
        <f t="array" aca="1" ref="O85" ca="1">MMS_Feedlot_ManureAppliedToSoils_Equations.VEERG_4_1_1_9__2_MassOfNitrogenAppliedToSoilsScope3(O25,_xlfn.XLOOKUP($N85, $D$30:$D$34,$E$30:$E$34),_xlfn.XLOOKUP($N85,$D$39:$D$43,$E$39:$E$43),$E51)</f>
        <v>54.240076800000018</v>
      </c>
      <c r="P85" s="53" cm="1">
        <f t="array" aca="1" ref="P85" ca="1">MMS_Feedlot_ManureAppliedToSoils_Equations.VEERG_4_1_1_9__2_MassOfNitrogenAppliedToSoilsScope3(P25,_xlfn.XLOOKUP($N85, $D$30:$D$34,$E$30:$E$34),_xlfn.XLOOKUP($N85,$D$39:$D$43,$E$39:$E$43),$E51)</f>
        <v>82.366502400000016</v>
      </c>
      <c r="Q85" s="53" cm="1">
        <f t="array" aca="1" ref="Q85" ca="1">MMS_Feedlot_ManureAppliedToSoils_Equations.VEERG_4_1_1_9__2_MassOfNitrogenAppliedToSoilsScope3(Q25,_xlfn.XLOOKUP($N85, $D$30:$D$34,$E$30:$E$34),_xlfn.XLOOKUP($N85,$D$39:$D$43,$E$39:$E$43),$E51)</f>
        <v>118.96559999999997</v>
      </c>
      <c r="R85" s="2" t="str">
        <f>$E$12</f>
        <v>kg N</v>
      </c>
    </row>
    <row r="86" spans="3:19" ht="20.100000000000001" customHeight="1" x14ac:dyDescent="0.25"/>
    <row r="87" spans="3:19" ht="20.100000000000001" customHeight="1" x14ac:dyDescent="0.25">
      <c r="D87" s="104" t="s">
        <v>239</v>
      </c>
      <c r="E87" s="105">
        <f ca="1">SUM(E82:G85)</f>
        <v>2221.8698202508799</v>
      </c>
      <c r="F87" s="106" t="str">
        <f>$E$12</f>
        <v>kg N</v>
      </c>
      <c r="N87" s="104" t="s">
        <v>239</v>
      </c>
      <c r="O87" s="105">
        <f ca="1">SUM(O82:Q85)</f>
        <v>2221.8698202508799</v>
      </c>
      <c r="P87" s="106" t="str">
        <f>$E$12</f>
        <v>kg N</v>
      </c>
    </row>
    <row r="88" spans="3:19" ht="20.100000000000001" customHeight="1" x14ac:dyDescent="0.25"/>
    <row r="89" spans="3:19" ht="20.100000000000001" customHeight="1" x14ac:dyDescent="0.25"/>
    <row r="90" spans="3:19" ht="20.100000000000001" customHeight="1" x14ac:dyDescent="0.25">
      <c r="C90" s="46"/>
      <c r="D90" s="46"/>
      <c r="E90" s="46"/>
      <c r="F90" s="46"/>
      <c r="G90" s="46"/>
      <c r="H90" s="46"/>
      <c r="I90" s="46"/>
      <c r="J90" s="46"/>
      <c r="K90" s="46"/>
      <c r="L90" s="113"/>
      <c r="M90" s="46"/>
      <c r="N90" s="46"/>
      <c r="O90" s="46"/>
      <c r="P90" s="46"/>
      <c r="Q90" s="46"/>
      <c r="R90" s="46"/>
      <c r="S90" s="46"/>
    </row>
    <row r="91" spans="3:19" ht="20.100000000000001" customHeight="1" x14ac:dyDescent="0.25">
      <c r="D91" s="112" t="str">
        <f>"Below are applications of " &amp; D6 &amp; " that are applied to the following contexts:"</f>
        <v>Below are applications of VEERG 2026: 4.1.1.9, Equation (1) that are applied to the following contexts:</v>
      </c>
      <c r="E91" s="90"/>
      <c r="F91" s="90"/>
      <c r="G91" s="90"/>
      <c r="H91" s="86"/>
    </row>
    <row r="92" spans="3:19" ht="20.100000000000001" customHeight="1" x14ac:dyDescent="0.25">
      <c r="D92" s="92" t="s">
        <v>249</v>
      </c>
      <c r="E92" s="89"/>
      <c r="F92" s="89"/>
      <c r="G92" s="89"/>
      <c r="H92" s="87"/>
    </row>
    <row r="93" spans="3:19" ht="20.100000000000001" customHeight="1" x14ac:dyDescent="0.25"/>
    <row r="94" spans="3:19" ht="20.100000000000001" customHeight="1" x14ac:dyDescent="0.25">
      <c r="D94" s="6" t="s">
        <v>298</v>
      </c>
    </row>
    <row r="95" spans="3:19" ht="20.100000000000001" customHeight="1" x14ac:dyDescent="0.25">
      <c r="D95" s="100" t="s">
        <v>235</v>
      </c>
    </row>
    <row r="96" spans="3:19" ht="20.100000000000001" customHeight="1" x14ac:dyDescent="0.25">
      <c r="D96" s="99" t="s">
        <v>236</v>
      </c>
    </row>
    <row r="97" spans="4:18" ht="20.100000000000001" customHeight="1" x14ac:dyDescent="0.25">
      <c r="D97" s="63" t="s">
        <v>64</v>
      </c>
      <c r="E97" s="63" t="s">
        <v>338</v>
      </c>
    </row>
    <row r="98" spans="4:18" ht="20.100000000000001" customHeight="1" x14ac:dyDescent="0.25">
      <c r="D98" s="53" t="str">
        <f>INDEX(X_Table_Feedlot_MMS_Stage2,3,1)</f>
        <v>Solid storage</v>
      </c>
      <c r="E98" s="53">
        <f>INDEX(X_Table_Feedlot_MMS_Stage2_Destinations,3,2)</f>
        <v>0.25</v>
      </c>
      <c r="F98" s="2" t="s">
        <v>317</v>
      </c>
    </row>
    <row r="99" spans="4:18" ht="20.100000000000001" customHeight="1" x14ac:dyDescent="0.25">
      <c r="D99" s="53" t="str">
        <f>INDEX(X_Table_Feedlot_MMS_Stage2,4,1)</f>
        <v>Composting (passive windrow)</v>
      </c>
      <c r="E99" s="53">
        <f>INDEX(X_Table_Feedlot_MMS_Stage2_Destinations,4,2)</f>
        <v>0.25</v>
      </c>
      <c r="F99" s="2" t="s">
        <v>317</v>
      </c>
    </row>
    <row r="100" spans="4:18" ht="20.100000000000001" customHeight="1" x14ac:dyDescent="0.25">
      <c r="D100" s="53" t="str">
        <f>INDEX(X_Table_Feedlot_MMS_Stage2,5,1)</f>
        <v>Direct application</v>
      </c>
      <c r="E100" s="53">
        <v>0</v>
      </c>
      <c r="F100" s="2" t="s">
        <v>317</v>
      </c>
    </row>
    <row r="101" spans="4:18" ht="20.100000000000001" customHeight="1" x14ac:dyDescent="0.25">
      <c r="D101" s="53" t="str">
        <f>INDEX(X_Table_Feedlot_MMS_Stage3,3,1)</f>
        <v>Anaerobic lagoon</v>
      </c>
      <c r="E101" s="53">
        <f>INDEX(X_Table_Feedlot_MMS_Stage3_Destinations,3,2)</f>
        <v>0.25</v>
      </c>
      <c r="F101" s="2" t="s">
        <v>317</v>
      </c>
    </row>
    <row r="102" spans="4:18" ht="20.100000000000001" customHeight="1" x14ac:dyDescent="0.25"/>
    <row r="103" spans="4:18" ht="20.100000000000001" customHeight="1" x14ac:dyDescent="0.25">
      <c r="D103" s="100" t="s">
        <v>238</v>
      </c>
      <c r="N103" s="100" t="s">
        <v>240</v>
      </c>
    </row>
    <row r="104" spans="4:18" ht="20.100000000000001" customHeight="1" x14ac:dyDescent="0.25">
      <c r="D104" s="99" t="s">
        <v>244</v>
      </c>
      <c r="N104" s="99" t="s">
        <v>241</v>
      </c>
    </row>
    <row r="105" spans="4:18" ht="20.100000000000001" customHeight="1" x14ac:dyDescent="0.25">
      <c r="D105" s="52" t="s">
        <v>64</v>
      </c>
      <c r="E105" s="52" t="s">
        <v>131</v>
      </c>
      <c r="F105" s="52" t="s">
        <v>132</v>
      </c>
      <c r="G105" s="52" t="s">
        <v>133</v>
      </c>
      <c r="N105" s="52" t="s">
        <v>64</v>
      </c>
      <c r="O105" s="52" t="s">
        <v>131</v>
      </c>
      <c r="P105" s="52" t="s">
        <v>132</v>
      </c>
      <c r="Q105" s="52" t="s">
        <v>133</v>
      </c>
    </row>
    <row r="106" spans="4:18" ht="20.100000000000001" customHeight="1" x14ac:dyDescent="0.25">
      <c r="D106" s="53" t="str">
        <f>INDEX(X_Table_Feedlot_MMS_Stage2,3,1)</f>
        <v>Solid storage</v>
      </c>
      <c r="E106" s="53" cm="1">
        <f t="array" aca="1" ref="E106" ca="1">MMS_Feedlot_ManureAppliedToSoils_Equations.VEERG_4_1_1_9__1_MassOfNitrogenAppliedToSoilsScope1(E22,_xlfn.XLOOKUP($D106,$D$30:$D$34,$E$30:$E$34),_xlfn.XLOOKUP($D106,$D$39:$D$43,$E$39:$E$43),$E98)</f>
        <v>232.87935250944011</v>
      </c>
      <c r="F106" s="53" cm="1">
        <f t="array" aca="1" ref="F106" ca="1">MMS_Feedlot_ManureAppliedToSoils_Equations.VEERG_4_1_1_9__1_MassOfNitrogenAppliedToSoilsScope1(F22,_xlfn.XLOOKUP($D106,$D$30:$D$34,$E$30:$E$34),_xlfn.XLOOKUP($D106,$D$39:$D$43,$E$39:$E$43),$E98)</f>
        <v>353.63994446592</v>
      </c>
      <c r="G106" s="53" cm="1">
        <f t="array" aca="1" ref="G106" ca="1">MMS_Feedlot_ManureAppliedToSoils_Equations.VEERG_4_1_1_9__1_MassOfNitrogenAppliedToSoilsScope1(G22,_xlfn.XLOOKUP($D106,$D$30:$D$34,$E$30:$E$34),_xlfn.XLOOKUP($D106,$D$39:$D$43,$E$39:$E$43),$E98)</f>
        <v>510.77788847999989</v>
      </c>
      <c r="H106" s="2" t="str">
        <f>$E$12</f>
        <v>kg N</v>
      </c>
      <c r="I106" s="2"/>
      <c r="J106" s="2"/>
      <c r="N106" s="53" t="str">
        <f>INDEX(X_Table_Feedlot_MMS_Stage2,3,1)</f>
        <v>Solid storage</v>
      </c>
      <c r="O106" s="53" cm="1">
        <f t="array" aca="1" ref="O106" ca="1">MMS_Feedlot_ManureAppliedToSoils_Equations.VEERG_4_1_1_9__1_MassOfNitrogenAppliedToSoilsScope1(O22,_xlfn.XLOOKUP($N106,$D$30:$D$34,$E$30:$E$34),_xlfn.XLOOKUP($N106,$D$39:$D$43,$E$39:$E$43),$E98)</f>
        <v>232.87935250944011</v>
      </c>
      <c r="P106" s="53" cm="1">
        <f t="array" aca="1" ref="P106" ca="1">MMS_Feedlot_ManureAppliedToSoils_Equations.VEERG_4_1_1_9__1_MassOfNitrogenAppliedToSoilsScope1(P22,_xlfn.XLOOKUP($N106,$D$30:$D$34,$E$30:$E$34),_xlfn.XLOOKUP($N106,$D$39:$D$43,$E$39:$E$43),$E98)</f>
        <v>353.63994446592</v>
      </c>
      <c r="Q106" s="53" cm="1">
        <f t="array" aca="1" ref="Q106" ca="1">MMS_Feedlot_ManureAppliedToSoils_Equations.VEERG_4_1_1_9__1_MassOfNitrogenAppliedToSoilsScope1(Q22,_xlfn.XLOOKUP($N106,$D$30:$D$34,$E$30:$E$34),_xlfn.XLOOKUP($N106,$D$39:$D$43,$E$39:$E$43),$E98)</f>
        <v>510.77788847999989</v>
      </c>
      <c r="R106" s="2" t="str">
        <f>$E$12</f>
        <v>kg N</v>
      </c>
    </row>
    <row r="107" spans="4:18" ht="20.100000000000001" customHeight="1" x14ac:dyDescent="0.25">
      <c r="D107" s="53" t="str">
        <f>INDEX(X_Table_Feedlot_MMS_Stage2,4,1)</f>
        <v>Composting (passive windrow)</v>
      </c>
      <c r="E107" s="53" cm="1">
        <f t="array" aca="1" ref="E107" ca="1">MMS_Feedlot_ManureAppliedToSoils_Equations.VEERG_4_1_1_9__1_MassOfNitrogenAppliedToSoilsScope1(E23,_xlfn.XLOOKUP($D107,$D$30:$D$34,$E$30:$E$34),_xlfn.XLOOKUP($D107,$D$39:$D$43,$E$39:$E$43),$E99)</f>
        <v>184.42794359808008</v>
      </c>
      <c r="F107" s="53" cm="1">
        <f t="array" aca="1" ref="F107" ca="1">MMS_Feedlot_ManureAppliedToSoils_Equations.VEERG_4_1_1_9__1_MassOfNitrogenAppliedToSoilsScope1(F23,_xlfn.XLOOKUP($D107,$D$30:$D$34,$E$30:$E$34),_xlfn.XLOOKUP($D107,$D$39:$D$43,$E$39:$E$43),$E99)</f>
        <v>280.06384863744</v>
      </c>
      <c r="G107" s="53" cm="1">
        <f t="array" aca="1" ref="G107" ca="1">MMS_Feedlot_ManureAppliedToSoils_Equations.VEERG_4_1_1_9__1_MassOfNitrogenAppliedToSoilsScope1(G23,_xlfn.XLOOKUP($D107,$D$30:$D$34,$E$30:$E$34),_xlfn.XLOOKUP($D107,$D$39:$D$43,$E$39:$E$43),$E99)</f>
        <v>404.5086633599999</v>
      </c>
      <c r="H107" s="2" t="str">
        <f>$E$12</f>
        <v>kg N</v>
      </c>
      <c r="I107" s="2"/>
      <c r="J107" s="2"/>
      <c r="N107" s="53" t="str">
        <f>INDEX(X_Table_Feedlot_MMS_Stage2,4,1)</f>
        <v>Composting (passive windrow)</v>
      </c>
      <c r="O107" s="53" cm="1">
        <f t="array" aca="1" ref="O107" ca="1">MMS_Feedlot_ManureAppliedToSoils_Equations.VEERG_4_1_1_9__1_MassOfNitrogenAppliedToSoilsScope1(O23,_xlfn.XLOOKUP($N107,$D$30:$D$34,$E$30:$E$34),_xlfn.XLOOKUP($N107,$D$39:$D$43,$E$39:$E$43),$E99)</f>
        <v>184.42794359808008</v>
      </c>
      <c r="P107" s="53" cm="1">
        <f t="array" aca="1" ref="P107" ca="1">MMS_Feedlot_ManureAppliedToSoils_Equations.VEERG_4_1_1_9__1_MassOfNitrogenAppliedToSoilsScope1(P23,_xlfn.XLOOKUP($N107,$D$30:$D$34,$E$30:$E$34),_xlfn.XLOOKUP($N107,$D$39:$D$43,$E$39:$E$43),$E99)</f>
        <v>280.06384863744</v>
      </c>
      <c r="Q107" s="53" cm="1">
        <f t="array" aca="1" ref="Q107" ca="1">MMS_Feedlot_ManureAppliedToSoils_Equations.VEERG_4_1_1_9__1_MassOfNitrogenAppliedToSoilsScope1(Q23,_xlfn.XLOOKUP($N107,$D$30:$D$34,$E$30:$E$34),_xlfn.XLOOKUP($N107,$D$39:$D$43,$E$39:$E$43),$E99)</f>
        <v>404.5086633599999</v>
      </c>
      <c r="R107" s="2" t="str">
        <f>$E$12</f>
        <v>kg N</v>
      </c>
    </row>
    <row r="108" spans="4:18" ht="20.100000000000001" customHeight="1" x14ac:dyDescent="0.25">
      <c r="D108" s="53" t="str">
        <f>INDEX(X_Table_Feedlot_MMS_Stage2,5,1)</f>
        <v>Direct application</v>
      </c>
      <c r="E108" s="53" cm="1">
        <f t="array" aca="1" ref="E108" ca="1">MMS_Feedlot_ManureAppliedToSoils_Equations.VEERG_4_1_1_9__1_MassOfNitrogenAppliedToSoilsScope1(E24,_xlfn.XLOOKUP($D108,$D$30:$D$34,$E$30:$E$34),_xlfn.XLOOKUP($D108,$D$39:$D$43,$E$39:$E$43),$E100)</f>
        <v>0</v>
      </c>
      <c r="F108" s="53" cm="1">
        <f t="array" aca="1" ref="F108" ca="1">MMS_Feedlot_ManureAppliedToSoils_Equations.VEERG_4_1_1_9__1_MassOfNitrogenAppliedToSoilsScope1(F24,_xlfn.XLOOKUP($D108,$D$30:$D$34,$E$30:$E$34),_xlfn.XLOOKUP($D108,$D$39:$D$43,$E$39:$E$43),$E100)</f>
        <v>0</v>
      </c>
      <c r="G108" s="53" cm="1">
        <f t="array" aca="1" ref="G108" ca="1">MMS_Feedlot_ManureAppliedToSoils_Equations.VEERG_4_1_1_9__1_MassOfNitrogenAppliedToSoilsScope1(G24,_xlfn.XLOOKUP($D108,$D$30:$D$34,$E$30:$E$34),_xlfn.XLOOKUP($D108,$D$39:$D$43,$E$39:$E$43),$E100)</f>
        <v>0</v>
      </c>
      <c r="H108" s="2" t="str">
        <f>$E$12</f>
        <v>kg N</v>
      </c>
      <c r="I108" s="2"/>
      <c r="J108" s="2"/>
      <c r="N108" s="53" t="str">
        <f>INDEX(X_Table_Feedlot_MMS_Stage2,5,1)</f>
        <v>Direct application</v>
      </c>
      <c r="O108" s="53" cm="1">
        <f t="array" aca="1" ref="O108" ca="1">MMS_Feedlot_ManureAppliedToSoils_Equations.VEERG_4_1_1_9__1_MassOfNitrogenAppliedToSoilsScope1(O24,_xlfn.XLOOKUP($N108,$D$30:$D$34,$E$30:$E$34),_xlfn.XLOOKUP($N108,$D$39:$D$43,$E$39:$E$43),$E100)</f>
        <v>0</v>
      </c>
      <c r="P108" s="53" cm="1">
        <f t="array" aca="1" ref="P108" ca="1">MMS_Feedlot_ManureAppliedToSoils_Equations.VEERG_4_1_1_9__1_MassOfNitrogenAppliedToSoilsScope1(P24,_xlfn.XLOOKUP($N108,$D$30:$D$34,$E$30:$E$34),_xlfn.XLOOKUP($N108,$D$39:$D$43,$E$39:$E$43),$E100)</f>
        <v>0</v>
      </c>
      <c r="Q108" s="53" cm="1">
        <f t="array" aca="1" ref="Q108" ca="1">MMS_Feedlot_ManureAppliedToSoils_Equations.VEERG_4_1_1_9__1_MassOfNitrogenAppliedToSoilsScope1(Q24,_xlfn.XLOOKUP($N108,$D$30:$D$34,$E$30:$E$34),_xlfn.XLOOKUP($N108,$D$39:$D$43,$E$39:$E$43),$E100)</f>
        <v>0</v>
      </c>
      <c r="R108" s="2" t="str">
        <f>$E$12</f>
        <v>kg N</v>
      </c>
    </row>
    <row r="109" spans="4:18" ht="20.100000000000001" customHeight="1" x14ac:dyDescent="0.25">
      <c r="D109" s="53" t="str">
        <f>INDEX(X_Table_Feedlot_MMS_Stage3,3,1)</f>
        <v>Anaerobic lagoon</v>
      </c>
      <c r="E109" s="53" cm="1">
        <f t="array" aca="1" ref="E109" ca="1">MMS_Feedlot_ManureAppliedToSoils_Equations.VEERG_4_1_1_9__1_MassOfNitrogenAppliedToSoilsScope1(E25,_xlfn.XLOOKUP($D109,$D$30:$D$34,$E$30:$E$34),_xlfn.XLOOKUP($D109,$D$39:$D$43,$E$39:$E$43),$E101)</f>
        <v>54.240076800000018</v>
      </c>
      <c r="F109" s="53" cm="1">
        <f t="array" aca="1" ref="F109" ca="1">MMS_Feedlot_ManureAppliedToSoils_Equations.VEERG_4_1_1_9__1_MassOfNitrogenAppliedToSoilsScope1(F25,_xlfn.XLOOKUP($D109,$D$30:$D$34,$E$30:$E$34),_xlfn.XLOOKUP($D109,$D$39:$D$43,$E$39:$E$43),$E101)</f>
        <v>82.366502400000016</v>
      </c>
      <c r="G109" s="53" cm="1">
        <f t="array" aca="1" ref="G109" ca="1">MMS_Feedlot_ManureAppliedToSoils_Equations.VEERG_4_1_1_9__1_MassOfNitrogenAppliedToSoilsScope1(G25,_xlfn.XLOOKUP($D109,$D$30:$D$34,$E$30:$E$34),_xlfn.XLOOKUP($D109,$D$39:$D$43,$E$39:$E$43),$E101)</f>
        <v>118.96559999999997</v>
      </c>
      <c r="H109" s="2" t="str">
        <f>$E$12</f>
        <v>kg N</v>
      </c>
      <c r="I109" s="2"/>
      <c r="J109" s="2"/>
      <c r="N109" s="53" t="str">
        <f>INDEX(X_Table_Feedlot_MMS_Stage3,3,1)</f>
        <v>Anaerobic lagoon</v>
      </c>
      <c r="O109" s="53" cm="1">
        <f t="array" aca="1" ref="O109" ca="1">MMS_Feedlot_ManureAppliedToSoils_Equations.VEERG_4_1_1_9__1_MassOfNitrogenAppliedToSoilsScope1(O25,_xlfn.XLOOKUP($N109,$D$30:$D$34,$E$30:$E$34),_xlfn.XLOOKUP($N109,$D$39:$D$43,$E$39:$E$43),$E101)</f>
        <v>54.240076800000018</v>
      </c>
      <c r="P109" s="53" cm="1">
        <f t="array" aca="1" ref="P109" ca="1">MMS_Feedlot_ManureAppliedToSoils_Equations.VEERG_4_1_1_9__1_MassOfNitrogenAppliedToSoilsScope1(P25,_xlfn.XLOOKUP($N109,$D$30:$D$34,$E$30:$E$34),_xlfn.XLOOKUP($N109,$D$39:$D$43,$E$39:$E$43),$E101)</f>
        <v>82.366502400000016</v>
      </c>
      <c r="Q109" s="53" cm="1">
        <f t="array" aca="1" ref="Q109" ca="1">MMS_Feedlot_ManureAppliedToSoils_Equations.VEERG_4_1_1_9__1_MassOfNitrogenAppliedToSoilsScope1(Q25,_xlfn.XLOOKUP($N109,$D$30:$D$34,$E$30:$E$34),_xlfn.XLOOKUP($N109,$D$39:$D$43,$E$39:$E$43),$E101)</f>
        <v>118.96559999999997</v>
      </c>
      <c r="R109" s="2" t="str">
        <f>$E$12</f>
        <v>kg N</v>
      </c>
    </row>
    <row r="110" spans="4:18" ht="20.100000000000001" customHeight="1" x14ac:dyDescent="0.25"/>
    <row r="111" spans="4:18" ht="20.100000000000001" customHeight="1" x14ac:dyDescent="0.25">
      <c r="D111" s="104" t="s">
        <v>250</v>
      </c>
      <c r="E111" s="105">
        <f ca="1">SUM(E106:G109)</f>
        <v>2221.8698202508799</v>
      </c>
      <c r="F111" s="106" t="str">
        <f>$E$12</f>
        <v>kg N</v>
      </c>
      <c r="N111" s="104" t="s">
        <v>250</v>
      </c>
      <c r="O111" s="105">
        <f ca="1">SUM(O106:Q109)</f>
        <v>2221.8698202508799</v>
      </c>
      <c r="P111" s="106" t="str">
        <f>$E$12</f>
        <v>kg N</v>
      </c>
    </row>
    <row r="112" spans="4:18"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pageSetup paperSize="9" orientation="portrait" r:id="rId1"/>
  <drawing r:id="rId2"/>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CD35FD-AE8E-4433-ACD5-994E77C39A89}">
  <dimension ref="A1:V288"/>
  <sheetViews>
    <sheetView showGridLines="0" topLeftCell="A36" zoomScaleNormal="100" workbookViewId="0">
      <selection activeCell="A25" sqref="A25"/>
    </sheetView>
  </sheetViews>
  <sheetFormatPr defaultRowHeight="15.75" x14ac:dyDescent="0.25"/>
  <cols>
    <col min="1" max="1" width="30.7109375" customWidth="1"/>
    <col min="2" max="2" width="4.7109375" customWidth="1"/>
    <col min="3" max="3" width="4.7109375" style="1" customWidth="1"/>
    <col min="4" max="12" width="30.7109375" style="1" customWidth="1"/>
    <col min="13" max="13" width="30.7109375" customWidth="1"/>
    <col min="14" max="20" width="30.7109375" style="1" customWidth="1"/>
    <col min="21" max="21" width="4.7109375" style="1" customWidth="1"/>
  </cols>
  <sheetData>
    <row r="1" spans="1:21" s="8" customFormat="1" ht="30" customHeight="1" x14ac:dyDescent="0.35">
      <c r="A1" s="66" t="e" vm="1">
        <v>#VALUE!</v>
      </c>
      <c r="C1" s="8" t="s">
        <v>130</v>
      </c>
    </row>
    <row r="2" spans="1:21" s="9" customFormat="1" ht="20.100000000000001" customHeight="1" x14ac:dyDescent="0.25">
      <c r="A2"/>
    </row>
    <row r="3" spans="1:21" ht="20.100000000000001" customHeight="1" x14ac:dyDescent="0.25">
      <c r="A3" s="17" t="str">
        <f>HYPERLINK("#'Home'!A1", "Home")</f>
        <v>Home</v>
      </c>
      <c r="C3" s="4"/>
      <c r="D3" s="4"/>
      <c r="E3" s="4"/>
      <c r="F3" s="4"/>
      <c r="G3" s="4"/>
      <c r="H3" s="4"/>
      <c r="I3" s="4"/>
      <c r="J3" s="4"/>
      <c r="K3" s="4"/>
      <c r="L3" s="4"/>
      <c r="M3" s="4"/>
      <c r="N3" s="4"/>
      <c r="O3" s="4"/>
      <c r="P3" s="4"/>
      <c r="Q3" s="4"/>
      <c r="R3" s="4"/>
      <c r="S3" s="4"/>
      <c r="T3" s="4"/>
      <c r="U3" s="4"/>
    </row>
    <row r="4" spans="1:21" ht="20.100000000000001" customHeight="1" x14ac:dyDescent="0.25">
      <c r="A4" s="17" t="str">
        <f>HYPERLINK("#'Overview'!A1", "Overview")</f>
        <v>Overview</v>
      </c>
      <c r="M4" s="23"/>
    </row>
    <row r="5" spans="1:21" ht="20.100000000000001" customHeight="1" x14ac:dyDescent="0.25">
      <c r="A5" s="17" t="str">
        <f>HYPERLINK("#'Results'!A1", "Results")</f>
        <v>Results</v>
      </c>
      <c r="D5" s="6" t="str" cm="1">
        <f t="array" ref="D5">SourceData_Feedlot.SourceData_Feedlot_VSL_Title()</f>
        <v>Feedlot - Fraction of volatile solids lost during storage in the primary system</v>
      </c>
      <c r="M5" s="1"/>
    </row>
    <row r="6" spans="1:21" ht="20.100000000000001" customHeight="1" x14ac:dyDescent="0.25">
      <c r="D6" s="5" t="str" cm="1">
        <f t="array" ref="D6">SourceData_Feedlot.SourceData_Feedlot_VSL_Source()</f>
        <v>VEERG 2026: 4.1.2.3 CONSTANTS</v>
      </c>
      <c r="M6" s="1"/>
    </row>
    <row r="7" spans="1:21" ht="20.100000000000001" customHeight="1" x14ac:dyDescent="0.25">
      <c r="D7" s="54" t="str" cm="1">
        <f t="array" ref="D7">SourceData_Feedlot.SourceData_Feedlot_VSL_Variable()</f>
        <v>VSL</v>
      </c>
      <c r="E7" s="1" cm="1">
        <f t="array" ref="E7">SourceData_Feedlot.SourceData_Feedlot_VSL_Data()</f>
        <v>0.5</v>
      </c>
      <c r="F7" s="55" t="str" cm="1">
        <f t="array" ref="F7">SourceData_Feedlot.SourceData_Feedlot_VSL_Unit()</f>
        <v>Fraction</v>
      </c>
      <c r="M7" s="1"/>
    </row>
    <row r="8" spans="1:21" ht="20.100000000000001" customHeight="1" x14ac:dyDescent="0.25">
      <c r="A8" s="19" t="s">
        <v>0</v>
      </c>
      <c r="M8" s="1"/>
    </row>
    <row r="9" spans="1:21" ht="20.100000000000001" customHeight="1" x14ac:dyDescent="0.25">
      <c r="A9" s="17" t="str">
        <f>HYPERLINK("#'Input - Site'!A1", "Site")</f>
        <v>Site</v>
      </c>
      <c r="M9" s="1"/>
    </row>
    <row r="10" spans="1:21" ht="20.100000000000001" customHeight="1" x14ac:dyDescent="0.25">
      <c r="A10" s="17" t="str">
        <f>HYPERLINK("#'Input - Feedlot'!A1", "Feedlot")</f>
        <v>Feedlot</v>
      </c>
      <c r="D10" s="6" t="str" cm="1">
        <f t="array" ref="D10">SourceData_Feedlot.SourceData_Feedlot_MMSm1T3_Title()</f>
        <v>Fraction of volatile solids to each tertiary system assumed that 2 per cent is run - off from the feed pad.</v>
      </c>
      <c r="M10" s="1"/>
    </row>
    <row r="11" spans="1:21" ht="20.100000000000001" customHeight="1" x14ac:dyDescent="0.25">
      <c r="D11" s="5" t="str" cm="1">
        <f t="array" ref="D11">SourceData_Feedlot.SourceData_Feedlot_MMSm1T3_Source()</f>
        <v>VEERG 2026: 4.1.2.3 CONSTANTS</v>
      </c>
      <c r="M11" s="1"/>
    </row>
    <row r="12" spans="1:21" ht="20.100000000000001" customHeight="1" x14ac:dyDescent="0.25">
      <c r="D12" s="54" t="str" cm="1">
        <f t="array" ref="D12">SourceData_Feedlot.SourceData_Feedlot_MMSm1T3_Variable()</f>
        <v>MMSm1T3</v>
      </c>
      <c r="E12" s="1" cm="1">
        <f t="array" ref="E12">SourceData_Feedlot.SourceData_Feedlot_MMSm1T3_Data()</f>
        <v>0.02</v>
      </c>
      <c r="F12" s="55" t="str" cm="1">
        <f t="array" ref="F12">SourceData_Feedlot.SourceData_Feedlot_MMSm1T3_Unit()</f>
        <v>Fraction</v>
      </c>
      <c r="M12" s="1"/>
    </row>
    <row r="13" spans="1:21" ht="20.100000000000001" customHeight="1" x14ac:dyDescent="0.25">
      <c r="A13" s="18" t="s">
        <v>71</v>
      </c>
      <c r="M13" s="1"/>
    </row>
    <row r="14" spans="1:21" ht="20.100000000000001" customHeight="1" x14ac:dyDescent="0.25">
      <c r="A14" s="17" t="str">
        <f>HYPERLINK("#'4.1.1.1-2 Methane'!A1", "4.1.1.1-2 Methane")</f>
        <v>4.1.1.1-2 Methane</v>
      </c>
      <c r="M14" s="1"/>
    </row>
    <row r="15" spans="1:21" ht="20.100000000000001" customHeight="1" x14ac:dyDescent="0.25">
      <c r="A15" s="17" t="str">
        <f>HYPERLINK("#'4.1.1.3-4 Direct N20'!A1", "4.1.1.3-4 Direct N20")</f>
        <v>4.1.1.3-4 Direct N20</v>
      </c>
      <c r="D15" s="6" t="str" cm="1">
        <f t="array" ref="D15">SourceData_Feedlot.SourceData_Feedlot_AshContent_Title()</f>
        <v>Ash content of manure.</v>
      </c>
      <c r="M15" s="1"/>
    </row>
    <row r="16" spans="1:21" ht="20.100000000000001" customHeight="1" x14ac:dyDescent="0.25">
      <c r="A16" s="17" t="str">
        <f>HYPERLINK("#'4.1.1.5-6 Atmos Deposition'!A1", "4.1.1.5-6 Atmos Deposition")</f>
        <v>4.1.1.5-6 Atmos Deposition</v>
      </c>
      <c r="D16" s="5" t="str" cm="1">
        <f t="array" ref="D16">SourceData_Feedlot.SourceData_Feedlot_AshContent_Source()</f>
        <v>VEERG 2026: 4.1.2.3 CONSTANTS</v>
      </c>
      <c r="M16" s="1"/>
    </row>
    <row r="17" spans="1:13" ht="20.100000000000001" customHeight="1" x14ac:dyDescent="0.25">
      <c r="A17" s="17" t="str">
        <f>HYPERLINK("#'4.1.1.9 Manure applied to soils'!A1", "4.1.1.9 Manure applied to soils")</f>
        <v>4.1.1.9 Manure applied to soils</v>
      </c>
      <c r="D17" s="54" t="str" cm="1">
        <f t="array" ref="D17">SourceData_Feedlot.SourceData_Feedlot_AshContent_Variable()</f>
        <v>A</v>
      </c>
      <c r="E17" s="1" cm="1">
        <f t="array" ref="E17">SourceData_Feedlot.SourceData_Feedlot_AshContent_Data()</f>
        <v>0.16</v>
      </c>
      <c r="F17" s="55" t="str" cm="1">
        <f t="array" ref="F17">SourceData_Feedlot.SourceData_Feedlot_AshContent_Unit()</f>
        <v>Fraction</v>
      </c>
      <c r="M17" s="1"/>
    </row>
    <row r="18" spans="1:13" ht="20.100000000000001" customHeight="1" x14ac:dyDescent="0.25">
      <c r="M18" s="1"/>
    </row>
    <row r="19" spans="1:13" ht="20.100000000000001" customHeight="1" x14ac:dyDescent="0.25">
      <c r="M19" s="1"/>
    </row>
    <row r="20" spans="1:13" ht="20.100000000000001" customHeight="1" x14ac:dyDescent="0.25">
      <c r="A20" s="145" t="s">
        <v>1</v>
      </c>
      <c r="D20" s="6" t="str" cm="1">
        <f t="array" ref="D20">SourceData_Feedlot.SourceData_Feedlot_MethaneEmissionsPotential_Title()</f>
        <v>Methane emissions potential.</v>
      </c>
      <c r="M20" s="1"/>
    </row>
    <row r="21" spans="1:13" ht="20.100000000000001" customHeight="1" x14ac:dyDescent="0.25">
      <c r="A21" s="67" t="str">
        <f>HYPERLINK("#'Constants - Feedlot'!A1", "Constants - Feedlot")</f>
        <v>Constants - Feedlot</v>
      </c>
      <c r="D21" s="5" t="str" cm="1">
        <f t="array" ref="D21">SourceData_Feedlot.SourceData_Feedlot_MethaneEmissionsPotential_Source()</f>
        <v>VEERG 2026: 4.1.2.3 CONSTANTS</v>
      </c>
      <c r="M21" s="1"/>
    </row>
    <row r="22" spans="1:13" ht="20.100000000000001" customHeight="1" x14ac:dyDescent="0.25">
      <c r="A22" s="17" t="str">
        <f>HYPERLINK("#'Constants - Common'!A1", "Constants - Common")</f>
        <v>Constants - Common</v>
      </c>
      <c r="D22" s="54" t="str" cm="1">
        <f t="array" ref="D22">SourceData_Feedlot.SourceData_Feedlot_MethaneEmissionsPotential_Variable()</f>
        <v>B0</v>
      </c>
      <c r="E22" s="1" cm="1">
        <f t="array" ref="E22">SourceData_Feedlot.SourceData_Feedlot_MethaneEmissionsPotential_Data()</f>
        <v>0.19</v>
      </c>
      <c r="F22" s="55" t="str" cm="1">
        <f t="array" ref="F22">SourceData_Feedlot.SourceData_Feedlot_MethaneEmissionsPotential_Unit()</f>
        <v>m3 CH4 / kg VS</v>
      </c>
      <c r="M22" s="1"/>
    </row>
    <row r="23" spans="1:13" ht="20.100000000000001" customHeight="1" x14ac:dyDescent="0.25">
      <c r="A23" s="17" t="str">
        <f>HYPERLINK("#'Constants - Livestock'!A1", "Constants - Livestock")</f>
        <v>Constants - Livestock</v>
      </c>
      <c r="M23" s="1"/>
    </row>
    <row r="24" spans="1:13" ht="20.100000000000001" customHeight="1" x14ac:dyDescent="0.25">
      <c r="A24" s="17" t="str">
        <f>HYPERLINK("#'Acknowledgements'!A1", "Acknowledgements")</f>
        <v>Acknowledgements</v>
      </c>
      <c r="M24" s="1"/>
    </row>
    <row r="25" spans="1:13" ht="20.100000000000001" customHeight="1" x14ac:dyDescent="0.25">
      <c r="A25" s="17" t="str">
        <f>HYPERLINK("#'Tab template'!A1", "Tab template")</f>
        <v>Tab template</v>
      </c>
      <c r="D25" s="6" t="s">
        <v>108</v>
      </c>
      <c r="G25" s="6" t="s">
        <v>266</v>
      </c>
      <c r="J25" s="6" t="s">
        <v>268</v>
      </c>
      <c r="M25" s="1"/>
    </row>
    <row r="26" spans="1:13" ht="20.100000000000001" customHeight="1" x14ac:dyDescent="0.25">
      <c r="M26" s="1"/>
    </row>
    <row r="27" spans="1:13" ht="20.100000000000001" customHeight="1" x14ac:dyDescent="0.25">
      <c r="D27" s="98" t="s">
        <v>64</v>
      </c>
      <c r="E27" s="38" t="s">
        <v>75</v>
      </c>
      <c r="G27" s="38" t="s">
        <v>267</v>
      </c>
      <c r="J27" s="38" t="s">
        <v>264</v>
      </c>
      <c r="M27" s="1"/>
    </row>
    <row r="28" spans="1:13" ht="20.100000000000001" customHeight="1" x14ac:dyDescent="0.25">
      <c r="D28" s="38" t="str">
        <f>'Constants - Livestock'!$E$16</f>
        <v>Drylot (feed pad)</v>
      </c>
      <c r="E28" s="38" t="str">
        <f>'Constants - Livestock'!$F$16</f>
        <v>Drylot (feed pad) (m=5)</v>
      </c>
      <c r="G28" s="38" t="str">
        <f>'Constants - Common'!$F$188</f>
        <v>Crop</v>
      </c>
      <c r="J28" s="38" t="s">
        <v>269</v>
      </c>
      <c r="M28" s="1"/>
    </row>
    <row r="29" spans="1:13" ht="20.100000000000001" customHeight="1" x14ac:dyDescent="0.25">
      <c r="D29" s="38" t="str">
        <f>'Constants - Livestock'!$E$15</f>
        <v>Solid storage</v>
      </c>
      <c r="E29" s="38" t="str">
        <f>'Constants - Livestock'!$F$15</f>
        <v>Solid storage (m=4)</v>
      </c>
      <c r="G29" s="1" t="str">
        <f>'Constants - Common'!$F$187</f>
        <v>Pasture</v>
      </c>
      <c r="J29" s="38" t="s">
        <v>270</v>
      </c>
      <c r="M29" s="1"/>
    </row>
    <row r="30" spans="1:13" ht="20.100000000000001" customHeight="1" x14ac:dyDescent="0.25">
      <c r="D30" s="38" t="str">
        <f>'Constants - Livestock'!$E$17</f>
        <v>Composting (passive windrow)</v>
      </c>
      <c r="E30" s="38" t="str">
        <f>'Constants - Livestock'!$F$17</f>
        <v>Composting (passive windrow) (m=6)</v>
      </c>
      <c r="J30" s="1" t="s">
        <v>271</v>
      </c>
      <c r="M30" s="1"/>
    </row>
    <row r="31" spans="1:13" ht="20.100000000000001" customHeight="1" x14ac:dyDescent="0.25">
      <c r="D31" s="38" t="str">
        <f>'Constants - Livestock'!$E$26</f>
        <v>Direct application</v>
      </c>
      <c r="E31" s="38" t="str">
        <f>'Constants - Livestock'!$F$26</f>
        <v>Direct application (m=13)</v>
      </c>
      <c r="J31" s="1" t="s">
        <v>272</v>
      </c>
      <c r="M31" s="1"/>
    </row>
    <row r="32" spans="1:13" ht="20.100000000000001" customHeight="1" x14ac:dyDescent="0.25">
      <c r="D32" s="1" t="str">
        <f>'Constants - Livestock'!$E$10</f>
        <v>Anaerobic lagoon</v>
      </c>
      <c r="E32" s="1" t="str">
        <f>'Constants - Livestock'!$F$10</f>
        <v>Anaerobic lagoon (m=1)</v>
      </c>
      <c r="J32" s="1" t="s">
        <v>273</v>
      </c>
      <c r="M32" s="1"/>
    </row>
    <row r="33" spans="4:13" ht="20.100000000000001" customHeight="1" x14ac:dyDescent="0.25">
      <c r="M33" s="1"/>
    </row>
    <row r="34" spans="4:13" ht="20.100000000000001" customHeight="1" x14ac:dyDescent="0.25">
      <c r="M34" s="1"/>
    </row>
    <row r="35" spans="4:13" ht="20.100000000000001" customHeight="1" x14ac:dyDescent="0.25">
      <c r="M35" s="1"/>
    </row>
    <row r="36" spans="4:13" ht="20.100000000000001" customHeight="1" x14ac:dyDescent="0.25">
      <c r="D36" s="6" t="str" cm="1">
        <f t="array" ref="D36">SourceData_Feedlot.SourceData_Feedlot_DurationOfStay_Title()</f>
        <v>Beef feedlot cattle - Duration of stay (days)</v>
      </c>
      <c r="M36" s="1"/>
    </row>
    <row r="37" spans="4:13" ht="20.100000000000001" customHeight="1" x14ac:dyDescent="0.25">
      <c r="D37" s="5" t="str" cm="1">
        <f t="array" ref="D37">SourceData_Feedlot.SourceData_Feedlot_DurationOfStay_Source()</f>
        <v>VEERG 2026: Table A.1.1.1: Beef feedlot cattle - Duration of stay (days)</v>
      </c>
      <c r="M37" s="1"/>
    </row>
    <row r="38" spans="4:13" ht="20.100000000000001" customHeight="1" x14ac:dyDescent="0.25">
      <c r="D38" s="38" t="s">
        <v>125</v>
      </c>
      <c r="E38" s="38" t="s">
        <v>138</v>
      </c>
      <c r="M38" s="1"/>
    </row>
    <row r="39" spans="4:13" ht="20.100000000000001" customHeight="1" x14ac:dyDescent="0.25">
      <c r="D39" s="38" t="str" cm="1">
        <f t="array" ref="D39">Common_InputFunctions.Utility_DisplayArrayInTable(SourceData_Feedlot.SourceData_Feedlot_DurationOfStay_Data(), Table_SourceData_Feedlot_LengthOfStay[[#Headers],[Feedlot type]], 0)</f>
        <v>Domestic</v>
      </c>
      <c r="E39" s="38" t="str" cm="1">
        <f t="array" ref="E39">Common_InputFunctions.Utility_DisplayArrayInTable(SourceData_Feedlot.SourceData_Feedlot_DurationOfStay_Data(), Table_SourceData_Feedlot_LengthOfStay[[#Headers],[Feedlot type]], 0)</f>
        <v>1-80 days</v>
      </c>
      <c r="M39" s="23"/>
    </row>
    <row r="40" spans="4:13" ht="20.100000000000001" customHeight="1" x14ac:dyDescent="0.25">
      <c r="D40" s="1" t="str" cm="1">
        <f t="array" ref="D40">Common_InputFunctions.Utility_DisplayArrayInTable(SourceData_Feedlot.SourceData_Feedlot_DurationOfStay_Data(), Table_SourceData_Feedlot_LengthOfStay[[#Headers],[Feedlot type]], 0)</f>
        <v>Mid-fed</v>
      </c>
      <c r="E40" s="38" t="str" cm="1">
        <f t="array" ref="E40">Common_InputFunctions.Utility_DisplayArrayInTable(SourceData_Feedlot.SourceData_Feedlot_DurationOfStay_Data(), Table_SourceData_Feedlot_LengthOfStay[[#Headers],[Feedlot type]], 0)</f>
        <v>81-200 days</v>
      </c>
      <c r="M40" s="23"/>
    </row>
    <row r="41" spans="4:13" ht="20.100000000000001" customHeight="1" x14ac:dyDescent="0.25">
      <c r="D41" s="1" t="str" cm="1">
        <f t="array" ref="D41">Common_InputFunctions.Utility_DisplayArrayInTable(SourceData_Feedlot.SourceData_Feedlot_DurationOfStay_Data(), Table_SourceData_Feedlot_LengthOfStay[[#Headers],[Feedlot type]], 0)</f>
        <v>Long-fed</v>
      </c>
      <c r="E41" s="38" t="str" cm="1">
        <f t="array" ref="E41">Common_InputFunctions.Utility_DisplayArrayInTable(SourceData_Feedlot.SourceData_Feedlot_DurationOfStay_Data(), Table_SourceData_Feedlot_LengthOfStay[[#Headers],[Feedlot type]], 0)</f>
        <v>201+ days</v>
      </c>
      <c r="M41" s="23"/>
    </row>
    <row r="42" spans="4:13" ht="20.100000000000001" customHeight="1" x14ac:dyDescent="0.25">
      <c r="M42" s="23"/>
    </row>
    <row r="43" spans="4:13" ht="20.100000000000001" customHeight="1" x14ac:dyDescent="0.25">
      <c r="M43" s="23"/>
    </row>
    <row r="44" spans="4:13" ht="20.100000000000001" customHeight="1" x14ac:dyDescent="0.25">
      <c r="D44" s="6" t="str" cm="1">
        <f t="array" ref="D44">SourceData_Feedlot.SourceData_Feedlot_AnimalCharacteristics_Title()</f>
        <v>Beef feedlot cattle - Animal characteristics</v>
      </c>
      <c r="M44" s="23"/>
    </row>
    <row r="45" spans="4:13" ht="20.100000000000001" customHeight="1" x14ac:dyDescent="0.25">
      <c r="D45" s="5" t="str" cm="1">
        <f t="array" ref="D45">SourceData_Feedlot.SourceData_Feedlot_AnimalCharacteristics_Source()</f>
        <v>VEERG 2026: Table A.1.1.2: Beef feedlot cattle - Animal characteristics</v>
      </c>
      <c r="M45" s="23"/>
    </row>
    <row r="46" spans="4:13" ht="20.100000000000001" customHeight="1" x14ac:dyDescent="0.25">
      <c r="D46" s="56" t="str" cm="1">
        <f t="array" ref="D46:D48">SourceData_Feedlot.SourceData_Feedlot_AnimalCharacteristics_Variation()</f>
        <v>VARIATION ON SOURCE:</v>
      </c>
      <c r="M46" s="23"/>
    </row>
    <row r="47" spans="4:13" ht="20.100000000000001" customHeight="1" x14ac:dyDescent="0.25">
      <c r="D47" s="56" t="str">
        <v>Moved feedlot types to a separate column to aid lookup.</v>
      </c>
      <c r="M47" s="23"/>
    </row>
    <row r="48" spans="4:13" ht="20.100000000000001" customHeight="1" x14ac:dyDescent="0.25">
      <c r="D48" s="56" t="str">
        <v>Named 'characteristic' column - original has header 'Unit' which covers two columns)</v>
      </c>
      <c r="M48" s="23"/>
    </row>
    <row r="49" spans="4:13" ht="20.100000000000001" customHeight="1" x14ac:dyDescent="0.25">
      <c r="D49" s="38" t="s">
        <v>125</v>
      </c>
      <c r="E49" s="38" t="s">
        <v>135</v>
      </c>
      <c r="F49" s="38" t="s">
        <v>16</v>
      </c>
      <c r="G49" s="38" t="s">
        <v>136</v>
      </c>
      <c r="H49" s="38" t="s">
        <v>127</v>
      </c>
      <c r="I49" s="38" t="s">
        <v>128</v>
      </c>
      <c r="J49" s="38" t="s">
        <v>129</v>
      </c>
      <c r="M49" s="23"/>
    </row>
    <row r="50" spans="4:13" ht="20.100000000000001" customHeight="1" x14ac:dyDescent="0.25">
      <c r="D50" s="38" t="str" cm="1">
        <f t="array" ref="D50">Common_InputFunctions.Utility_DisplayArrayInTable(SourceData_Feedlot.SourceData_Feedlot_AnimalCharacteristics_Data(), Table_SourceData_Feedlot_AnimalCharacteristics[[#Headers],[Feedlot type]], 0)</f>
        <v>Domestic</v>
      </c>
      <c r="E50" s="38" t="str" cm="1">
        <f t="array" ref="E50">Common_InputFunctions.Utility_DisplayArrayInTable(SourceData_Feedlot.SourceData_Feedlot_AnimalCharacteristics_Data(), Table_SourceData_Feedlot_AnimalCharacteristics[[#Headers],[Feedlot type]], 0)</f>
        <v>Days on feed</v>
      </c>
      <c r="F50" s="38" t="str" cm="1">
        <f t="array" ref="F50">Common_InputFunctions.Utility_DisplayArrayInTable(SourceData_Feedlot.SourceData_Feedlot_AnimalCharacteristics_Data(), Table_SourceData_Feedlot_AnimalCharacteristics[[#Headers],[Feedlot type]], 0)</f>
        <v>days</v>
      </c>
      <c r="G50" s="38" cm="1">
        <f t="array" ref="G50">Common_InputFunctions.Utility_DisplayArrayInTable(SourceData_Feedlot.SourceData_Feedlot_AnimalCharacteristics_Data(), Table_SourceData_Feedlot_AnimalCharacteristics[[#Headers],[Feedlot type]], 0)</f>
        <v>70</v>
      </c>
      <c r="H50" s="38" cm="1">
        <f t="array" ref="H50">Common_InputFunctions.Utility_DisplayArrayInTable(SourceData_Feedlot.SourceData_Feedlot_AnimalCharacteristics_Data(), Table_SourceData_Feedlot_AnimalCharacteristics[[#Headers],[Feedlot type]], 0)</f>
        <v>70</v>
      </c>
      <c r="I50" s="38" cm="1">
        <f t="array" ref="I50">Common_InputFunctions.Utility_DisplayArrayInTable(SourceData_Feedlot.SourceData_Feedlot_AnimalCharacteristics_Data(), Table_SourceData_Feedlot_AnimalCharacteristics[[#Headers],[Feedlot type]], 0)</f>
        <v>70</v>
      </c>
      <c r="J50" s="38" cm="1">
        <f t="array" ref="J50">Common_InputFunctions.Utility_DisplayArrayInTable(SourceData_Feedlot.SourceData_Feedlot_AnimalCharacteristics_Data(), Table_SourceData_Feedlot_AnimalCharacteristics[[#Headers],[Feedlot type]], 0)</f>
        <v>75</v>
      </c>
      <c r="M50" s="23"/>
    </row>
    <row r="51" spans="4:13" ht="20.100000000000001" customHeight="1" x14ac:dyDescent="0.25">
      <c r="D51" s="1" t="str" cm="1">
        <f t="array" ref="D51">Common_InputFunctions.Utility_DisplayArrayInTable(SourceData_Feedlot.SourceData_Feedlot_AnimalCharacteristics_Data(), Table_SourceData_Feedlot_AnimalCharacteristics[[#Headers],[Feedlot type]], 0)</f>
        <v>Domestic</v>
      </c>
      <c r="E51" s="38" t="str" cm="1">
        <f t="array" ref="E51">Common_InputFunctions.Utility_DisplayArrayInTable(SourceData_Feedlot.SourceData_Feedlot_AnimalCharacteristics_Data(), Table_SourceData_Feedlot_AnimalCharacteristics[[#Headers],[Feedlot type]], 0)</f>
        <v>Feed intake</v>
      </c>
      <c r="F51" s="38" t="str" cm="1">
        <f t="array" ref="F51">Common_InputFunctions.Utility_DisplayArrayInTable(SourceData_Feedlot.SourceData_Feedlot_AnimalCharacteristics_Data(), Table_SourceData_Feedlot_AnimalCharacteristics[[#Headers],[Feedlot type]], 0)</f>
        <v>kg DM/day</v>
      </c>
      <c r="G51" s="38" cm="1">
        <f t="array" ref="G51">Common_InputFunctions.Utility_DisplayArrayInTable(SourceData_Feedlot.SourceData_Feedlot_AnimalCharacteristics_Data(), Table_SourceData_Feedlot_AnimalCharacteristics[[#Headers],[Feedlot type]], 0)</f>
        <v>10</v>
      </c>
      <c r="H51" s="38" cm="1">
        <f t="array" ref="H51">Common_InputFunctions.Utility_DisplayArrayInTable(SourceData_Feedlot.SourceData_Feedlot_AnimalCharacteristics_Data(), Table_SourceData_Feedlot_AnimalCharacteristics[[#Headers],[Feedlot type]], 0)</f>
        <v>10</v>
      </c>
      <c r="I51" s="38" cm="1">
        <f t="array" ref="I51">Common_InputFunctions.Utility_DisplayArrayInTable(SourceData_Feedlot.SourceData_Feedlot_AnimalCharacteristics_Data(), Table_SourceData_Feedlot_AnimalCharacteristics[[#Headers],[Feedlot type]], 0)</f>
        <v>10.4</v>
      </c>
      <c r="J51" s="38" cm="1">
        <f t="array" ref="J51">Common_InputFunctions.Utility_DisplayArrayInTable(SourceData_Feedlot.SourceData_Feedlot_AnimalCharacteristics_Data(), Table_SourceData_Feedlot_AnimalCharacteristics[[#Headers],[Feedlot type]], 0)</f>
        <v>10.4</v>
      </c>
      <c r="M51" s="23"/>
    </row>
    <row r="52" spans="4:13" ht="20.100000000000001" customHeight="1" x14ac:dyDescent="0.25">
      <c r="D52" s="1" t="str" cm="1">
        <f t="array" ref="D52">Common_InputFunctions.Utility_DisplayArrayInTable(SourceData_Feedlot.SourceData_Feedlot_AnimalCharacteristics_Data(), Table_SourceData_Feedlot_AnimalCharacteristics[[#Headers],[Feedlot type]], 0)</f>
        <v>Domestic</v>
      </c>
      <c r="E52" s="38" t="str" cm="1">
        <f t="array" ref="E52">Common_InputFunctions.Utility_DisplayArrayInTable(SourceData_Feedlot.SourceData_Feedlot_AnimalCharacteristics_Data(), Table_SourceData_Feedlot_AnimalCharacteristics[[#Headers],[Feedlot type]], 0)</f>
        <v>N retention</v>
      </c>
      <c r="F52" s="38" t="str" cm="1">
        <f t="array" ref="F52">Common_InputFunctions.Utility_DisplayArrayInTable(SourceData_Feedlot.SourceData_Feedlot_AnimalCharacteristics_Data(), Table_SourceData_Feedlot_AnimalCharacteristics[[#Headers],[Feedlot type]], 0)</f>
        <v>per cent of intake</v>
      </c>
      <c r="G52" s="38" cm="1">
        <f t="array" ref="G52">Common_InputFunctions.Utility_DisplayArrayInTable(SourceData_Feedlot.SourceData_Feedlot_AnimalCharacteristics_Data(), Table_SourceData_Feedlot_AnimalCharacteristics[[#Headers],[Feedlot type]], 0)</f>
        <v>21.1</v>
      </c>
      <c r="H52" s="38" cm="1">
        <f t="array" ref="H52">Common_InputFunctions.Utility_DisplayArrayInTable(SourceData_Feedlot.SourceData_Feedlot_AnimalCharacteristics_Data(), Table_SourceData_Feedlot_AnimalCharacteristics[[#Headers],[Feedlot type]], 0)</f>
        <v>20.399999999999999</v>
      </c>
      <c r="I52" s="38" cm="1">
        <f t="array" ref="I52">Common_InputFunctions.Utility_DisplayArrayInTable(SourceData_Feedlot.SourceData_Feedlot_AnimalCharacteristics_Data(), Table_SourceData_Feedlot_AnimalCharacteristics[[#Headers],[Feedlot type]], 0)</f>
        <v>20.399999999999999</v>
      </c>
      <c r="J52" s="38" cm="1">
        <f t="array" ref="J52">Common_InputFunctions.Utility_DisplayArrayInTable(SourceData_Feedlot.SourceData_Feedlot_AnimalCharacteristics_Data(), Table_SourceData_Feedlot_AnimalCharacteristics[[#Headers],[Feedlot type]], 0)</f>
        <v>20.399999999999999</v>
      </c>
      <c r="M52" s="23"/>
    </row>
    <row r="53" spans="4:13" ht="20.100000000000001" customHeight="1" x14ac:dyDescent="0.25">
      <c r="D53" s="1" t="str" cm="1">
        <f t="array" ref="D53">Common_InputFunctions.Utility_DisplayArrayInTable(SourceData_Feedlot.SourceData_Feedlot_AnimalCharacteristics_Data(), Table_SourceData_Feedlot_AnimalCharacteristics[[#Headers],[Feedlot type]], 0)</f>
        <v>Mid-fed</v>
      </c>
      <c r="E53" s="38" t="str" cm="1">
        <f t="array" ref="E53">Common_InputFunctions.Utility_DisplayArrayInTable(SourceData_Feedlot.SourceData_Feedlot_AnimalCharacteristics_Data(), Table_SourceData_Feedlot_AnimalCharacteristics[[#Headers],[Feedlot type]], 0)</f>
        <v>Days on feed</v>
      </c>
      <c r="F53" s="38" t="str" cm="1">
        <f t="array" ref="F53">Common_InputFunctions.Utility_DisplayArrayInTable(SourceData_Feedlot.SourceData_Feedlot_AnimalCharacteristics_Data(), Table_SourceData_Feedlot_AnimalCharacteristics[[#Headers],[Feedlot type]], 0)</f>
        <v>days</v>
      </c>
      <c r="G53" s="38" cm="1">
        <f t="array" ref="G53">Common_InputFunctions.Utility_DisplayArrayInTable(SourceData_Feedlot.SourceData_Feedlot_AnimalCharacteristics_Data(), Table_SourceData_Feedlot_AnimalCharacteristics[[#Headers],[Feedlot type]], 0)</f>
        <v>115</v>
      </c>
      <c r="H53" s="38" cm="1">
        <f t="array" ref="H53">Common_InputFunctions.Utility_DisplayArrayInTable(SourceData_Feedlot.SourceData_Feedlot_AnimalCharacteristics_Data(), Table_SourceData_Feedlot_AnimalCharacteristics[[#Headers],[Feedlot type]], 0)</f>
        <v>115</v>
      </c>
      <c r="I53" s="38" cm="1">
        <f t="array" ref="I53">Common_InputFunctions.Utility_DisplayArrayInTable(SourceData_Feedlot.SourceData_Feedlot_AnimalCharacteristics_Data(), Table_SourceData_Feedlot_AnimalCharacteristics[[#Headers],[Feedlot type]], 0)</f>
        <v>120</v>
      </c>
      <c r="J53" s="38" cm="1">
        <f t="array" ref="J53">Common_InputFunctions.Utility_DisplayArrayInTable(SourceData_Feedlot.SourceData_Feedlot_AnimalCharacteristics_Data(), Table_SourceData_Feedlot_AnimalCharacteristics[[#Headers],[Feedlot type]], 0)</f>
        <v>150</v>
      </c>
      <c r="M53" s="23"/>
    </row>
    <row r="54" spans="4:13" ht="20.100000000000001" customHeight="1" x14ac:dyDescent="0.25">
      <c r="D54" s="1" t="str" cm="1">
        <f t="array" ref="D54">Common_InputFunctions.Utility_DisplayArrayInTable(SourceData_Feedlot.SourceData_Feedlot_AnimalCharacteristics_Data(), Table_SourceData_Feedlot_AnimalCharacteristics[[#Headers],[Feedlot type]], 0)</f>
        <v>Mid-fed</v>
      </c>
      <c r="E54" s="38" t="str" cm="1">
        <f t="array" ref="E54">Common_InputFunctions.Utility_DisplayArrayInTable(SourceData_Feedlot.SourceData_Feedlot_AnimalCharacteristics_Data(), Table_SourceData_Feedlot_AnimalCharacteristics[[#Headers],[Feedlot type]], 0)</f>
        <v>Feed intake</v>
      </c>
      <c r="F54" s="38" t="str" cm="1">
        <f t="array" ref="F54">Common_InputFunctions.Utility_DisplayArrayInTable(SourceData_Feedlot.SourceData_Feedlot_AnimalCharacteristics_Data(), Table_SourceData_Feedlot_AnimalCharacteristics[[#Headers],[Feedlot type]], 0)</f>
        <v>kg DM/day</v>
      </c>
      <c r="G54" s="38" cm="1">
        <f t="array" ref="G54">Common_InputFunctions.Utility_DisplayArrayInTable(SourceData_Feedlot.SourceData_Feedlot_AnimalCharacteristics_Data(), Table_SourceData_Feedlot_AnimalCharacteristics[[#Headers],[Feedlot type]], 0)</f>
        <v>11.2</v>
      </c>
      <c r="H54" s="38" cm="1">
        <f t="array" ref="H54">Common_InputFunctions.Utility_DisplayArrayInTable(SourceData_Feedlot.SourceData_Feedlot_AnimalCharacteristics_Data(), Table_SourceData_Feedlot_AnimalCharacteristics[[#Headers],[Feedlot type]], 0)</f>
        <v>10.8</v>
      </c>
      <c r="I54" s="38" cm="1">
        <f t="array" ref="I54">Common_InputFunctions.Utility_DisplayArrayInTable(SourceData_Feedlot.SourceData_Feedlot_AnimalCharacteristics_Data(), Table_SourceData_Feedlot_AnimalCharacteristics[[#Headers],[Feedlot type]], 0)</f>
        <v>10.8</v>
      </c>
      <c r="J54" s="38" cm="1">
        <f t="array" ref="J54">Common_InputFunctions.Utility_DisplayArrayInTable(SourceData_Feedlot.SourceData_Feedlot_AnimalCharacteristics_Data(), Table_SourceData_Feedlot_AnimalCharacteristics[[#Headers],[Feedlot type]], 0)</f>
        <v>10.8</v>
      </c>
      <c r="M54" s="23"/>
    </row>
    <row r="55" spans="4:13" ht="20.100000000000001" customHeight="1" x14ac:dyDescent="0.25">
      <c r="D55" s="1" t="str" cm="1">
        <f t="array" ref="D55">Common_InputFunctions.Utility_DisplayArrayInTable(SourceData_Feedlot.SourceData_Feedlot_AnimalCharacteristics_Data(), Table_SourceData_Feedlot_AnimalCharacteristics[[#Headers],[Feedlot type]], 0)</f>
        <v>Mid-fed</v>
      </c>
      <c r="E55" s="38" t="str" cm="1">
        <f t="array" ref="E55">Common_InputFunctions.Utility_DisplayArrayInTable(SourceData_Feedlot.SourceData_Feedlot_AnimalCharacteristics_Data(), Table_SourceData_Feedlot_AnimalCharacteristics[[#Headers],[Feedlot type]], 0)</f>
        <v>N retention</v>
      </c>
      <c r="F55" s="38" t="str" cm="1">
        <f t="array" ref="F55">Common_InputFunctions.Utility_DisplayArrayInTable(SourceData_Feedlot.SourceData_Feedlot_AnimalCharacteristics_Data(), Table_SourceData_Feedlot_AnimalCharacteristics[[#Headers],[Feedlot type]], 0)</f>
        <v>per cent of intake</v>
      </c>
      <c r="G55" s="38" cm="1">
        <f t="array" ref="G55">Common_InputFunctions.Utility_DisplayArrayInTable(SourceData_Feedlot.SourceData_Feedlot_AnimalCharacteristics_Data(), Table_SourceData_Feedlot_AnimalCharacteristics[[#Headers],[Feedlot type]], 0)</f>
        <v>12.5</v>
      </c>
      <c r="H55" s="38" cm="1">
        <f t="array" ref="H55">Common_InputFunctions.Utility_DisplayArrayInTable(SourceData_Feedlot.SourceData_Feedlot_AnimalCharacteristics_Data(), Table_SourceData_Feedlot_AnimalCharacteristics[[#Headers],[Feedlot type]], 0)</f>
        <v>12.7</v>
      </c>
      <c r="I55" s="38" cm="1">
        <f t="array" ref="I55">Common_InputFunctions.Utility_DisplayArrayInTable(SourceData_Feedlot.SourceData_Feedlot_AnimalCharacteristics_Data(), Table_SourceData_Feedlot_AnimalCharacteristics[[#Headers],[Feedlot type]], 0)</f>
        <v>12.7</v>
      </c>
      <c r="J55" s="38" cm="1">
        <f t="array" ref="J55">Common_InputFunctions.Utility_DisplayArrayInTable(SourceData_Feedlot.SourceData_Feedlot_AnimalCharacteristics_Data(), Table_SourceData_Feedlot_AnimalCharacteristics[[#Headers],[Feedlot type]], 0)</f>
        <v>12.7</v>
      </c>
      <c r="M55" s="23"/>
    </row>
    <row r="56" spans="4:13" ht="20.100000000000001" customHeight="1" x14ac:dyDescent="0.25">
      <c r="D56" s="1" t="str" cm="1">
        <f t="array" ref="D56">Common_InputFunctions.Utility_DisplayArrayInTable(SourceData_Feedlot.SourceData_Feedlot_AnimalCharacteristics_Data(), Table_SourceData_Feedlot_AnimalCharacteristics[[#Headers],[Feedlot type]], 0)</f>
        <v>Long-fed</v>
      </c>
      <c r="E56" s="38" t="str" cm="1">
        <f t="array" ref="E56">Common_InputFunctions.Utility_DisplayArrayInTable(SourceData_Feedlot.SourceData_Feedlot_AnimalCharacteristics_Data(), Table_SourceData_Feedlot_AnimalCharacteristics[[#Headers],[Feedlot type]], 0)</f>
        <v>Days on feed</v>
      </c>
      <c r="F56" s="38" t="str" cm="1">
        <f t="array" ref="F56">Common_InputFunctions.Utility_DisplayArrayInTable(SourceData_Feedlot.SourceData_Feedlot_AnimalCharacteristics_Data(), Table_SourceData_Feedlot_AnimalCharacteristics[[#Headers],[Feedlot type]], 0)</f>
        <v>days</v>
      </c>
      <c r="G56" s="38" cm="1">
        <f t="array" ref="G56">Common_InputFunctions.Utility_DisplayArrayInTable(SourceData_Feedlot.SourceData_Feedlot_AnimalCharacteristics_Data(), Table_SourceData_Feedlot_AnimalCharacteristics[[#Headers],[Feedlot type]], 0)</f>
        <v>250</v>
      </c>
      <c r="H56" s="38" cm="1">
        <f t="array" ref="H56">Common_InputFunctions.Utility_DisplayArrayInTable(SourceData_Feedlot.SourceData_Feedlot_AnimalCharacteristics_Data(), Table_SourceData_Feedlot_AnimalCharacteristics[[#Headers],[Feedlot type]], 0)</f>
        <v>250</v>
      </c>
      <c r="I56" s="38" cm="1">
        <f t="array" ref="I56">Common_InputFunctions.Utility_DisplayArrayInTable(SourceData_Feedlot.SourceData_Feedlot_AnimalCharacteristics_Data(), Table_SourceData_Feedlot_AnimalCharacteristics[[#Headers],[Feedlot type]], 0)</f>
        <v>250</v>
      </c>
      <c r="J56" s="38" cm="1">
        <f t="array" ref="J56">Common_InputFunctions.Utility_DisplayArrayInTable(SourceData_Feedlot.SourceData_Feedlot_AnimalCharacteristics_Data(), Table_SourceData_Feedlot_AnimalCharacteristics[[#Headers],[Feedlot type]], 0)</f>
        <v>250</v>
      </c>
      <c r="M56" s="23"/>
    </row>
    <row r="57" spans="4:13" ht="20.100000000000001" customHeight="1" x14ac:dyDescent="0.25">
      <c r="D57" s="1" t="str" cm="1">
        <f t="array" ref="D57">Common_InputFunctions.Utility_DisplayArrayInTable(SourceData_Feedlot.SourceData_Feedlot_AnimalCharacteristics_Data(), Table_SourceData_Feedlot_AnimalCharacteristics[[#Headers],[Feedlot type]], 0)</f>
        <v>Long-fed</v>
      </c>
      <c r="E57" s="38" t="str" cm="1">
        <f t="array" ref="E57">Common_InputFunctions.Utility_DisplayArrayInTable(SourceData_Feedlot.SourceData_Feedlot_AnimalCharacteristics_Data(), Table_SourceData_Feedlot_AnimalCharacteristics[[#Headers],[Feedlot type]], 0)</f>
        <v>Feed intake</v>
      </c>
      <c r="F57" s="38" t="str" cm="1">
        <f t="array" ref="F57">Common_InputFunctions.Utility_DisplayArrayInTable(SourceData_Feedlot.SourceData_Feedlot_AnimalCharacteristics_Data(), Table_SourceData_Feedlot_AnimalCharacteristics[[#Headers],[Feedlot type]], 0)</f>
        <v>kg DM/day</v>
      </c>
      <c r="G57" s="38" cm="1">
        <f t="array" ref="G57">Common_InputFunctions.Utility_DisplayArrayInTable(SourceData_Feedlot.SourceData_Feedlot_AnimalCharacteristics_Data(), Table_SourceData_Feedlot_AnimalCharacteristics[[#Headers],[Feedlot type]], 0)</f>
        <v>9</v>
      </c>
      <c r="H57" s="38" cm="1">
        <f t="array" ref="H57">Common_InputFunctions.Utility_DisplayArrayInTable(SourceData_Feedlot.SourceData_Feedlot_AnimalCharacteristics_Data(), Table_SourceData_Feedlot_AnimalCharacteristics[[#Headers],[Feedlot type]], 0)</f>
        <v>8.5</v>
      </c>
      <c r="I57" s="38" cm="1">
        <f t="array" ref="I57">Common_InputFunctions.Utility_DisplayArrayInTable(SourceData_Feedlot.SourceData_Feedlot_AnimalCharacteristics_Data(), Table_SourceData_Feedlot_AnimalCharacteristics[[#Headers],[Feedlot type]], 0)</f>
        <v>8.1999999999999993</v>
      </c>
      <c r="J57" s="38" cm="1">
        <f t="array" ref="J57">Common_InputFunctions.Utility_DisplayArrayInTable(SourceData_Feedlot.SourceData_Feedlot_AnimalCharacteristics_Data(), Table_SourceData_Feedlot_AnimalCharacteristics[[#Headers],[Feedlot type]], 0)</f>
        <v>8.1999999999999993</v>
      </c>
      <c r="M57" s="23"/>
    </row>
    <row r="58" spans="4:13" ht="20.100000000000001" customHeight="1" x14ac:dyDescent="0.25">
      <c r="D58" s="1" t="str" cm="1">
        <f t="array" ref="D58">Common_InputFunctions.Utility_DisplayArrayInTable(SourceData_Feedlot.SourceData_Feedlot_AnimalCharacteristics_Data(), Table_SourceData_Feedlot_AnimalCharacteristics[[#Headers],[Feedlot type]], 0)</f>
        <v>Long-fed</v>
      </c>
      <c r="E58" s="38" t="str" cm="1">
        <f t="array" ref="E58">Common_InputFunctions.Utility_DisplayArrayInTable(SourceData_Feedlot.SourceData_Feedlot_AnimalCharacteristics_Data(), Table_SourceData_Feedlot_AnimalCharacteristics[[#Headers],[Feedlot type]], 0)</f>
        <v>N retention</v>
      </c>
      <c r="F58" s="38" t="str" cm="1">
        <f t="array" ref="F58">Common_InputFunctions.Utility_DisplayArrayInTable(SourceData_Feedlot.SourceData_Feedlot_AnimalCharacteristics_Data(), Table_SourceData_Feedlot_AnimalCharacteristics[[#Headers],[Feedlot type]], 0)</f>
        <v>per cent of intake</v>
      </c>
      <c r="G58" s="38" cm="1">
        <f t="array" ref="G58">Common_InputFunctions.Utility_DisplayArrayInTable(SourceData_Feedlot.SourceData_Feedlot_AnimalCharacteristics_Data(), Table_SourceData_Feedlot_AnimalCharacteristics[[#Headers],[Feedlot type]], 0)</f>
        <v>6.6</v>
      </c>
      <c r="H58" s="38" cm="1">
        <f t="array" ref="H58">Common_InputFunctions.Utility_DisplayArrayInTable(SourceData_Feedlot.SourceData_Feedlot_AnimalCharacteristics_Data(), Table_SourceData_Feedlot_AnimalCharacteristics[[#Headers],[Feedlot type]], 0)</f>
        <v>7</v>
      </c>
      <c r="I58" s="38" cm="1">
        <f t="array" ref="I58">Common_InputFunctions.Utility_DisplayArrayInTable(SourceData_Feedlot.SourceData_Feedlot_AnimalCharacteristics_Data(), Table_SourceData_Feedlot_AnimalCharacteristics[[#Headers],[Feedlot type]], 0)</f>
        <v>7</v>
      </c>
      <c r="J58" s="38" cm="1">
        <f t="array" ref="J58">Common_InputFunctions.Utility_DisplayArrayInTable(SourceData_Feedlot.SourceData_Feedlot_AnimalCharacteristics_Data(), Table_SourceData_Feedlot_AnimalCharacteristics[[#Headers],[Feedlot type]], 0)</f>
        <v>7</v>
      </c>
      <c r="M58" s="23"/>
    </row>
    <row r="59" spans="4:13" ht="20.100000000000001" customHeight="1" x14ac:dyDescent="0.25">
      <c r="M59" s="23"/>
    </row>
    <row r="60" spans="4:13" ht="20.100000000000001" customHeight="1" x14ac:dyDescent="0.25">
      <c r="M60" s="23"/>
    </row>
    <row r="61" spans="4:13" ht="20.100000000000001" customHeight="1" x14ac:dyDescent="0.25">
      <c r="D61" s="6" t="str" cm="1">
        <f t="array" ref="D61">SourceData_Feedlot.SourceData_Feedlot_DietProperties_Title()</f>
        <v>Beef feedlot cattle - Diet properties</v>
      </c>
      <c r="M61" s="23"/>
    </row>
    <row r="62" spans="4:13" ht="20.100000000000001" customHeight="1" x14ac:dyDescent="0.25">
      <c r="D62" s="5" t="str" cm="1">
        <f t="array" ref="D62">SourceData_Feedlot.SourceData_Feedlot_DietProperties_Source()</f>
        <v>VEERG 2026: Table A.1.1.3: Beef feedlot cattle - Diet properties</v>
      </c>
      <c r="M62" s="23"/>
    </row>
    <row r="63" spans="4:13" ht="20.100000000000001" customHeight="1" x14ac:dyDescent="0.25">
      <c r="D63" s="56" t="str" cm="1">
        <f t="array" ref="D63:D65">SourceData_Feedlot.SourceData_Feedlot_DietProperties_Variation()</f>
        <v>VARIATION ON SOURCE:</v>
      </c>
      <c r="M63" s="23"/>
    </row>
    <row r="64" spans="4:13" ht="20.100000000000001" customHeight="1" x14ac:dyDescent="0.25">
      <c r="D64" s="56" t="str">
        <v>Added 'Converted to fraction column and converted NDF and Ether extract values to fractions.</v>
      </c>
      <c r="M64" s="23"/>
    </row>
    <row r="65" spans="4:13" ht="20.100000000000001" customHeight="1" x14ac:dyDescent="0.25">
      <c r="D65" s="56" t="str">
        <v>Moved feedlot types to a separate column to aid lookup.</v>
      </c>
      <c r="M65" s="23"/>
    </row>
    <row r="66" spans="4:13" ht="20.100000000000001" customHeight="1" x14ac:dyDescent="0.25">
      <c r="D66" s="38" t="s">
        <v>125</v>
      </c>
      <c r="E66" s="38" t="s">
        <v>126</v>
      </c>
      <c r="F66" s="38" t="s">
        <v>16</v>
      </c>
      <c r="G66" s="38" t="s">
        <v>127</v>
      </c>
      <c r="H66" s="38" t="s">
        <v>128</v>
      </c>
      <c r="I66" s="38" t="s">
        <v>129</v>
      </c>
      <c r="J66" s="38" t="s">
        <v>134</v>
      </c>
      <c r="M66" s="23"/>
    </row>
    <row r="67" spans="4:13" ht="20.100000000000001" customHeight="1" x14ac:dyDescent="0.25">
      <c r="D67" s="38" t="str" cm="1">
        <f t="array" ref="D67">Common_InputFunctions.Utility_DisplayArrayInTable(SourceData_Feedlot.SourceData_Feedlot_DietProperties_Data(), Table_SourceData_Feedlot_DietProperties[[#Headers],[Feedlot type]], 0)</f>
        <v>Domestic</v>
      </c>
      <c r="E67" s="38" t="str" cm="1">
        <f t="array" ref="E67">Common_InputFunctions.Utility_DisplayArrayInTable(SourceData_Feedlot.SourceData_Feedlot_DietProperties_Data(), Table_SourceData_Feedlot_DietProperties[[#Headers],[Feedlot type]], 0)</f>
        <v>Dry matter digestibility</v>
      </c>
      <c r="F67" s="38" t="str" cm="1">
        <f t="array" ref="F67">Common_InputFunctions.Utility_DisplayArrayInTable(SourceData_Feedlot.SourceData_Feedlot_DietProperties_Data(), Table_SourceData_Feedlot_DietProperties[[#Headers],[Feedlot type]], 0)</f>
        <v>fraction</v>
      </c>
      <c r="G67" s="38" cm="1">
        <f t="array" ref="G67">Common_InputFunctions.Utility_DisplayArrayInTable(SourceData_Feedlot.SourceData_Feedlot_DietProperties_Data(), Table_SourceData_Feedlot_DietProperties[[#Headers],[Feedlot type]], 0)</f>
        <v>0.81</v>
      </c>
      <c r="H67" s="38" cm="1">
        <f t="array" ref="H67">Common_InputFunctions.Utility_DisplayArrayInTable(SourceData_Feedlot.SourceData_Feedlot_DietProperties_Data(), Table_SourceData_Feedlot_DietProperties[[#Headers],[Feedlot type]], 0)</f>
        <v>0.81</v>
      </c>
      <c r="I67" s="38" cm="1">
        <f t="array" ref="I67">Common_InputFunctions.Utility_DisplayArrayInTable(SourceData_Feedlot.SourceData_Feedlot_DietProperties_Data(), Table_SourceData_Feedlot_DietProperties[[#Headers],[Feedlot type]], 0)</f>
        <v>0.81</v>
      </c>
      <c r="J67" s="38" cm="1">
        <f t="array" ref="J67">Common_InputFunctions.Utility_DisplayArrayInTable(SourceData_Feedlot.SourceData_Feedlot_DietProperties_Data(), Table_SourceData_Feedlot_DietProperties[[#Headers],[Feedlot type]], 0)</f>
        <v>0.81</v>
      </c>
      <c r="M67" s="23"/>
    </row>
    <row r="68" spans="4:13" ht="20.100000000000001" customHeight="1" x14ac:dyDescent="0.25">
      <c r="D68" s="1" t="str" cm="1">
        <f t="array" ref="D68">Common_InputFunctions.Utility_DisplayArrayInTable(SourceData_Feedlot.SourceData_Feedlot_DietProperties_Data(), Table_SourceData_Feedlot_DietProperties[[#Headers],[Feedlot type]], 0)</f>
        <v>Domestic</v>
      </c>
      <c r="E68" s="38" t="str" cm="1">
        <f t="array" ref="E68">Common_InputFunctions.Utility_DisplayArrayInTable(SourceData_Feedlot.SourceData_Feedlot_DietProperties_Data(), Table_SourceData_Feedlot_DietProperties[[#Headers],[Feedlot type]], 0)</f>
        <v>Crude protein</v>
      </c>
      <c r="F68" s="38" t="str" cm="1">
        <f t="array" ref="F68">Common_InputFunctions.Utility_DisplayArrayInTable(SourceData_Feedlot.SourceData_Feedlot_DietProperties_Data(), Table_SourceData_Feedlot_DietProperties[[#Headers],[Feedlot type]], 0)</f>
        <v>fraction</v>
      </c>
      <c r="G68" s="38" cm="1">
        <f t="array" ref="G68">Common_InputFunctions.Utility_DisplayArrayInTable(SourceData_Feedlot.SourceData_Feedlot_DietProperties_Data(), Table_SourceData_Feedlot_DietProperties[[#Headers],[Feedlot type]], 0)</f>
        <v>0.14000000000000001</v>
      </c>
      <c r="H68" s="38" cm="1">
        <f t="array" ref="H68">Common_InputFunctions.Utility_DisplayArrayInTable(SourceData_Feedlot.SourceData_Feedlot_DietProperties_Data(), Table_SourceData_Feedlot_DietProperties[[#Headers],[Feedlot type]], 0)</f>
        <v>0.14000000000000001</v>
      </c>
      <c r="I68" s="38" cm="1">
        <f t="array" ref="I68">Common_InputFunctions.Utility_DisplayArrayInTable(SourceData_Feedlot.SourceData_Feedlot_DietProperties_Data(), Table_SourceData_Feedlot_DietProperties[[#Headers],[Feedlot type]], 0)</f>
        <v>0.14000000000000001</v>
      </c>
      <c r="J68" s="38" cm="1">
        <f t="array" ref="J68">Common_InputFunctions.Utility_DisplayArrayInTable(SourceData_Feedlot.SourceData_Feedlot_DietProperties_Data(), Table_SourceData_Feedlot_DietProperties[[#Headers],[Feedlot type]], 0)</f>
        <v>0.14000000000000001</v>
      </c>
      <c r="M68" s="23"/>
    </row>
    <row r="69" spans="4:13" ht="20.100000000000001" customHeight="1" x14ac:dyDescent="0.25">
      <c r="D69" s="1" t="str" cm="1">
        <f t="array" ref="D69">Common_InputFunctions.Utility_DisplayArrayInTable(SourceData_Feedlot.SourceData_Feedlot_DietProperties_Data(), Table_SourceData_Feedlot_DietProperties[[#Headers],[Feedlot type]], 0)</f>
        <v>Domestic</v>
      </c>
      <c r="E69" s="38" t="str" cm="1">
        <f t="array" ref="E69">Common_InputFunctions.Utility_DisplayArrayInTable(SourceData_Feedlot.SourceData_Feedlot_DietProperties_Data(), Table_SourceData_Feedlot_DietProperties[[#Headers],[Feedlot type]], 0)</f>
        <v>NDF</v>
      </c>
      <c r="F69" s="38" t="str" cm="1">
        <f t="array" ref="F69">Common_InputFunctions.Utility_DisplayArrayInTable(SourceData_Feedlot.SourceData_Feedlot_DietProperties_Data(), Table_SourceData_Feedlot_DietProperties[[#Headers],[Feedlot type]], 0)</f>
        <v>per cent</v>
      </c>
      <c r="G69" s="38" cm="1">
        <f t="array" ref="G69">Common_InputFunctions.Utility_DisplayArrayInTable(SourceData_Feedlot.SourceData_Feedlot_DietProperties_Data(), Table_SourceData_Feedlot_DietProperties[[#Headers],[Feedlot type]], 0)</f>
        <v>23</v>
      </c>
      <c r="H69" s="38" cm="1">
        <f t="array" ref="H69">Common_InputFunctions.Utility_DisplayArrayInTable(SourceData_Feedlot.SourceData_Feedlot_DietProperties_Data(), Table_SourceData_Feedlot_DietProperties[[#Headers],[Feedlot type]], 0)</f>
        <v>22</v>
      </c>
      <c r="I69" s="38" cm="1">
        <f t="array" ref="I69">Common_InputFunctions.Utility_DisplayArrayInTable(SourceData_Feedlot.SourceData_Feedlot_DietProperties_Data(), Table_SourceData_Feedlot_DietProperties[[#Headers],[Feedlot type]], 0)</f>
        <v>22</v>
      </c>
      <c r="J69" s="38" cm="1">
        <f t="array" ref="J69">Common_InputFunctions.Utility_DisplayArrayInTable(SourceData_Feedlot.SourceData_Feedlot_DietProperties_Data(), Table_SourceData_Feedlot_DietProperties[[#Headers],[Feedlot type]], 0)</f>
        <v>22</v>
      </c>
      <c r="M69" s="23"/>
    </row>
    <row r="70" spans="4:13" ht="20.100000000000001" customHeight="1" x14ac:dyDescent="0.25">
      <c r="D70" s="1" t="str" cm="1">
        <f t="array" ref="D70">Common_InputFunctions.Utility_DisplayArrayInTable(SourceData_Feedlot.SourceData_Feedlot_DietProperties_Data(), Table_SourceData_Feedlot_DietProperties[[#Headers],[Feedlot type]], 0)</f>
        <v>Domestic</v>
      </c>
      <c r="E70" s="38" t="str" cm="1">
        <f t="array" ref="E70">Common_InputFunctions.Utility_DisplayArrayInTable(SourceData_Feedlot.SourceData_Feedlot_DietProperties_Data(), Table_SourceData_Feedlot_DietProperties[[#Headers],[Feedlot type]], 0)</f>
        <v>Ether Extract</v>
      </c>
      <c r="F70" s="38" t="str" cm="1">
        <f t="array" ref="F70">Common_InputFunctions.Utility_DisplayArrayInTable(SourceData_Feedlot.SourceData_Feedlot_DietProperties_Data(), Table_SourceData_Feedlot_DietProperties[[#Headers],[Feedlot type]], 0)</f>
        <v>per cent</v>
      </c>
      <c r="G70" s="38" cm="1">
        <f t="array" ref="G70">Common_InputFunctions.Utility_DisplayArrayInTable(SourceData_Feedlot.SourceData_Feedlot_DietProperties_Data(), Table_SourceData_Feedlot_DietProperties[[#Headers],[Feedlot type]], 0)</f>
        <v>4.5</v>
      </c>
      <c r="H70" s="38" cm="1">
        <f t="array" ref="H70">Common_InputFunctions.Utility_DisplayArrayInTable(SourceData_Feedlot.SourceData_Feedlot_DietProperties_Data(), Table_SourceData_Feedlot_DietProperties[[#Headers],[Feedlot type]], 0)</f>
        <v>4.5</v>
      </c>
      <c r="I70" s="38" cm="1">
        <f t="array" ref="I70">Common_InputFunctions.Utility_DisplayArrayInTable(SourceData_Feedlot.SourceData_Feedlot_DietProperties_Data(), Table_SourceData_Feedlot_DietProperties[[#Headers],[Feedlot type]], 0)</f>
        <v>4.8</v>
      </c>
      <c r="J70" s="38" cm="1">
        <f t="array" ref="J70">Common_InputFunctions.Utility_DisplayArrayInTable(SourceData_Feedlot.SourceData_Feedlot_DietProperties_Data(), Table_SourceData_Feedlot_DietProperties[[#Headers],[Feedlot type]], 0)</f>
        <v>4.8</v>
      </c>
      <c r="M70" s="23"/>
    </row>
    <row r="71" spans="4:13" ht="20.100000000000001" customHeight="1" x14ac:dyDescent="0.25">
      <c r="D71" s="1" t="str" cm="1">
        <f t="array" ref="D71">Common_InputFunctions.Utility_DisplayArrayInTable(SourceData_Feedlot.SourceData_Feedlot_DietProperties_Data(), Table_SourceData_Feedlot_DietProperties[[#Headers],[Feedlot type]], 0)</f>
        <v>Mid-fed</v>
      </c>
      <c r="E71" s="38" t="str" cm="1">
        <f t="array" ref="E71">Common_InputFunctions.Utility_DisplayArrayInTable(SourceData_Feedlot.SourceData_Feedlot_DietProperties_Data(), Table_SourceData_Feedlot_DietProperties[[#Headers],[Feedlot type]], 0)</f>
        <v>Dry matter digestibility</v>
      </c>
      <c r="F71" s="38" t="str" cm="1">
        <f t="array" ref="F71">Common_InputFunctions.Utility_DisplayArrayInTable(SourceData_Feedlot.SourceData_Feedlot_DietProperties_Data(), Table_SourceData_Feedlot_DietProperties[[#Headers],[Feedlot type]], 0)</f>
        <v>fraction</v>
      </c>
      <c r="G71" s="38" cm="1">
        <f t="array" ref="G71">Common_InputFunctions.Utility_DisplayArrayInTable(SourceData_Feedlot.SourceData_Feedlot_DietProperties_Data(), Table_SourceData_Feedlot_DietProperties[[#Headers],[Feedlot type]], 0)</f>
        <v>0.81</v>
      </c>
      <c r="H71" s="38" cm="1">
        <f t="array" ref="H71">Common_InputFunctions.Utility_DisplayArrayInTable(SourceData_Feedlot.SourceData_Feedlot_DietProperties_Data(), Table_SourceData_Feedlot_DietProperties[[#Headers],[Feedlot type]], 0)</f>
        <v>0.81</v>
      </c>
      <c r="I71" s="38" cm="1">
        <f t="array" ref="I71">Common_InputFunctions.Utility_DisplayArrayInTable(SourceData_Feedlot.SourceData_Feedlot_DietProperties_Data(), Table_SourceData_Feedlot_DietProperties[[#Headers],[Feedlot type]], 0)</f>
        <v>0.81</v>
      </c>
      <c r="J71" s="38" cm="1">
        <f t="array" ref="J71">Common_InputFunctions.Utility_DisplayArrayInTable(SourceData_Feedlot.SourceData_Feedlot_DietProperties_Data(), Table_SourceData_Feedlot_DietProperties[[#Headers],[Feedlot type]], 0)</f>
        <v>0.81</v>
      </c>
      <c r="M71" s="23"/>
    </row>
    <row r="72" spans="4:13" ht="20.100000000000001" customHeight="1" x14ac:dyDescent="0.25">
      <c r="D72" s="1" t="str" cm="1">
        <f t="array" ref="D72">Common_InputFunctions.Utility_DisplayArrayInTable(SourceData_Feedlot.SourceData_Feedlot_DietProperties_Data(), Table_SourceData_Feedlot_DietProperties[[#Headers],[Feedlot type]], 0)</f>
        <v>Mid-fed</v>
      </c>
      <c r="E72" s="38" t="str" cm="1">
        <f t="array" ref="E72">Common_InputFunctions.Utility_DisplayArrayInTable(SourceData_Feedlot.SourceData_Feedlot_DietProperties_Data(), Table_SourceData_Feedlot_DietProperties[[#Headers],[Feedlot type]], 0)</f>
        <v>Crude protein</v>
      </c>
      <c r="F72" s="38" t="str" cm="1">
        <f t="array" ref="F72">Common_InputFunctions.Utility_DisplayArrayInTable(SourceData_Feedlot.SourceData_Feedlot_DietProperties_Data(), Table_SourceData_Feedlot_DietProperties[[#Headers],[Feedlot type]], 0)</f>
        <v>fraction</v>
      </c>
      <c r="G72" s="38" cm="1">
        <f t="array" ref="G72">Common_InputFunctions.Utility_DisplayArrayInTable(SourceData_Feedlot.SourceData_Feedlot_DietProperties_Data(), Table_SourceData_Feedlot_DietProperties[[#Headers],[Feedlot type]], 0)</f>
        <v>0.13</v>
      </c>
      <c r="H72" s="38" cm="1">
        <f t="array" ref="H72">Common_InputFunctions.Utility_DisplayArrayInTable(SourceData_Feedlot.SourceData_Feedlot_DietProperties_Data(), Table_SourceData_Feedlot_DietProperties[[#Headers],[Feedlot type]], 0)</f>
        <v>0.125</v>
      </c>
      <c r="I72" s="38" cm="1">
        <f t="array" ref="I72">Common_InputFunctions.Utility_DisplayArrayInTable(SourceData_Feedlot.SourceData_Feedlot_DietProperties_Data(), Table_SourceData_Feedlot_DietProperties[[#Headers],[Feedlot type]], 0)</f>
        <v>0.12</v>
      </c>
      <c r="J72" s="38" cm="1">
        <f t="array" ref="J72">Common_InputFunctions.Utility_DisplayArrayInTable(SourceData_Feedlot.SourceData_Feedlot_DietProperties_Data(), Table_SourceData_Feedlot_DietProperties[[#Headers],[Feedlot type]], 0)</f>
        <v>0.12</v>
      </c>
      <c r="M72" s="23"/>
    </row>
    <row r="73" spans="4:13" ht="20.100000000000001" customHeight="1" x14ac:dyDescent="0.25">
      <c r="D73" s="1" t="str" cm="1">
        <f t="array" ref="D73">Common_InputFunctions.Utility_DisplayArrayInTable(SourceData_Feedlot.SourceData_Feedlot_DietProperties_Data(), Table_SourceData_Feedlot_DietProperties[[#Headers],[Feedlot type]], 0)</f>
        <v>Mid-fed</v>
      </c>
      <c r="E73" s="38" t="str" cm="1">
        <f t="array" ref="E73">Common_InputFunctions.Utility_DisplayArrayInTable(SourceData_Feedlot.SourceData_Feedlot_DietProperties_Data(), Table_SourceData_Feedlot_DietProperties[[#Headers],[Feedlot type]], 0)</f>
        <v>NDF</v>
      </c>
      <c r="F73" s="38" t="str" cm="1">
        <f t="array" ref="F73">Common_InputFunctions.Utility_DisplayArrayInTable(SourceData_Feedlot.SourceData_Feedlot_DietProperties_Data(), Table_SourceData_Feedlot_DietProperties[[#Headers],[Feedlot type]], 0)</f>
        <v>per cent</v>
      </c>
      <c r="G73" s="38" cm="1">
        <f t="array" ref="G73">Common_InputFunctions.Utility_DisplayArrayInTable(SourceData_Feedlot.SourceData_Feedlot_DietProperties_Data(), Table_SourceData_Feedlot_DietProperties[[#Headers],[Feedlot type]], 0)</f>
        <v>24</v>
      </c>
      <c r="H73" s="38" cm="1">
        <f t="array" ref="H73">Common_InputFunctions.Utility_DisplayArrayInTable(SourceData_Feedlot.SourceData_Feedlot_DietProperties_Data(), Table_SourceData_Feedlot_DietProperties[[#Headers],[Feedlot type]], 0)</f>
        <v>22</v>
      </c>
      <c r="I73" s="38" cm="1">
        <f t="array" ref="I73">Common_InputFunctions.Utility_DisplayArrayInTable(SourceData_Feedlot.SourceData_Feedlot_DietProperties_Data(), Table_SourceData_Feedlot_DietProperties[[#Headers],[Feedlot type]], 0)</f>
        <v>22</v>
      </c>
      <c r="J73" s="38" cm="1">
        <f t="array" ref="J73">Common_InputFunctions.Utility_DisplayArrayInTable(SourceData_Feedlot.SourceData_Feedlot_DietProperties_Data(), Table_SourceData_Feedlot_DietProperties[[#Headers],[Feedlot type]], 0)</f>
        <v>22</v>
      </c>
      <c r="M73" s="23"/>
    </row>
    <row r="74" spans="4:13" ht="20.100000000000001" customHeight="1" x14ac:dyDescent="0.25">
      <c r="D74" s="1" t="str" cm="1">
        <f t="array" ref="D74">Common_InputFunctions.Utility_DisplayArrayInTable(SourceData_Feedlot.SourceData_Feedlot_DietProperties_Data(), Table_SourceData_Feedlot_DietProperties[[#Headers],[Feedlot type]], 0)</f>
        <v>Mid-fed</v>
      </c>
      <c r="E74" s="38" t="str" cm="1">
        <f t="array" ref="E74">Common_InputFunctions.Utility_DisplayArrayInTable(SourceData_Feedlot.SourceData_Feedlot_DietProperties_Data(), Table_SourceData_Feedlot_DietProperties[[#Headers],[Feedlot type]], 0)</f>
        <v>Ether Extract</v>
      </c>
      <c r="F74" s="38" t="str" cm="1">
        <f t="array" ref="F74">Common_InputFunctions.Utility_DisplayArrayInTable(SourceData_Feedlot.SourceData_Feedlot_DietProperties_Data(), Table_SourceData_Feedlot_DietProperties[[#Headers],[Feedlot type]], 0)</f>
        <v>per cent</v>
      </c>
      <c r="G74" s="38" cm="1">
        <f t="array" ref="G74">Common_InputFunctions.Utility_DisplayArrayInTable(SourceData_Feedlot.SourceData_Feedlot_DietProperties_Data(), Table_SourceData_Feedlot_DietProperties[[#Headers],[Feedlot type]], 0)</f>
        <v>5</v>
      </c>
      <c r="H74" s="38" cm="1">
        <f t="array" ref="H74">Common_InputFunctions.Utility_DisplayArrayInTable(SourceData_Feedlot.SourceData_Feedlot_DietProperties_Data(), Table_SourceData_Feedlot_DietProperties[[#Headers],[Feedlot type]], 0)</f>
        <v>5</v>
      </c>
      <c r="I74" s="38" cm="1">
        <f t="array" ref="I74">Common_InputFunctions.Utility_DisplayArrayInTable(SourceData_Feedlot.SourceData_Feedlot_DietProperties_Data(), Table_SourceData_Feedlot_DietProperties[[#Headers],[Feedlot type]], 0)</f>
        <v>5</v>
      </c>
      <c r="J74" s="38" cm="1">
        <f t="array" ref="J74">Common_InputFunctions.Utility_DisplayArrayInTable(SourceData_Feedlot.SourceData_Feedlot_DietProperties_Data(), Table_SourceData_Feedlot_DietProperties[[#Headers],[Feedlot type]], 0)</f>
        <v>5</v>
      </c>
      <c r="M74" s="23"/>
    </row>
    <row r="75" spans="4:13" ht="20.100000000000001" customHeight="1" x14ac:dyDescent="0.25">
      <c r="D75" s="1" t="str" cm="1">
        <f t="array" ref="D75">Common_InputFunctions.Utility_DisplayArrayInTable(SourceData_Feedlot.SourceData_Feedlot_DietProperties_Data(), Table_SourceData_Feedlot_DietProperties[[#Headers],[Feedlot type]], 0)</f>
        <v>Long-Fed</v>
      </c>
      <c r="E75" s="38" t="str" cm="1">
        <f t="array" ref="E75">Common_InputFunctions.Utility_DisplayArrayInTable(SourceData_Feedlot.SourceData_Feedlot_DietProperties_Data(), Table_SourceData_Feedlot_DietProperties[[#Headers],[Feedlot type]], 0)</f>
        <v>Dry matter digestibility</v>
      </c>
      <c r="F75" s="38" t="str" cm="1">
        <f t="array" ref="F75">Common_InputFunctions.Utility_DisplayArrayInTable(SourceData_Feedlot.SourceData_Feedlot_DietProperties_Data(), Table_SourceData_Feedlot_DietProperties[[#Headers],[Feedlot type]], 0)</f>
        <v>fraction</v>
      </c>
      <c r="G75" s="38" cm="1">
        <f t="array" ref="G75">Common_InputFunctions.Utility_DisplayArrayInTable(SourceData_Feedlot.SourceData_Feedlot_DietProperties_Data(), Table_SourceData_Feedlot_DietProperties[[#Headers],[Feedlot type]], 0)</f>
        <v>0.81</v>
      </c>
      <c r="H75" s="38" cm="1">
        <f t="array" ref="H75">Common_InputFunctions.Utility_DisplayArrayInTable(SourceData_Feedlot.SourceData_Feedlot_DietProperties_Data(), Table_SourceData_Feedlot_DietProperties[[#Headers],[Feedlot type]], 0)</f>
        <v>0.81</v>
      </c>
      <c r="I75" s="38" cm="1">
        <f t="array" ref="I75">Common_InputFunctions.Utility_DisplayArrayInTable(SourceData_Feedlot.SourceData_Feedlot_DietProperties_Data(), Table_SourceData_Feedlot_DietProperties[[#Headers],[Feedlot type]], 0)</f>
        <v>0.81</v>
      </c>
      <c r="J75" s="38" cm="1">
        <f t="array" ref="J75">Common_InputFunctions.Utility_DisplayArrayInTable(SourceData_Feedlot.SourceData_Feedlot_DietProperties_Data(), Table_SourceData_Feedlot_DietProperties[[#Headers],[Feedlot type]], 0)</f>
        <v>0.81</v>
      </c>
      <c r="M75" s="23"/>
    </row>
    <row r="76" spans="4:13" ht="20.100000000000001" customHeight="1" x14ac:dyDescent="0.25">
      <c r="D76" s="1" t="str" cm="1">
        <f t="array" ref="D76">Common_InputFunctions.Utility_DisplayArrayInTable(SourceData_Feedlot.SourceData_Feedlot_DietProperties_Data(), Table_SourceData_Feedlot_DietProperties[[#Headers],[Feedlot type]], 0)</f>
        <v>Long-Fed</v>
      </c>
      <c r="E76" s="38" t="str" cm="1">
        <f t="array" ref="E76">Common_InputFunctions.Utility_DisplayArrayInTable(SourceData_Feedlot.SourceData_Feedlot_DietProperties_Data(), Table_SourceData_Feedlot_DietProperties[[#Headers],[Feedlot type]], 0)</f>
        <v>Crude protein</v>
      </c>
      <c r="F76" s="38" t="str" cm="1">
        <f t="array" ref="F76">Common_InputFunctions.Utility_DisplayArrayInTable(SourceData_Feedlot.SourceData_Feedlot_DietProperties_Data(), Table_SourceData_Feedlot_DietProperties[[#Headers],[Feedlot type]], 0)</f>
        <v>fraction</v>
      </c>
      <c r="G76" s="38" cm="1">
        <f t="array" ref="G76">Common_InputFunctions.Utility_DisplayArrayInTable(SourceData_Feedlot.SourceData_Feedlot_DietProperties_Data(), Table_SourceData_Feedlot_DietProperties[[#Headers],[Feedlot type]], 0)</f>
        <v>0.13</v>
      </c>
      <c r="H76" s="38" cm="1">
        <f t="array" ref="H76">Common_InputFunctions.Utility_DisplayArrayInTable(SourceData_Feedlot.SourceData_Feedlot_DietProperties_Data(), Table_SourceData_Feedlot_DietProperties[[#Headers],[Feedlot type]], 0)</f>
        <v>0.125</v>
      </c>
      <c r="I76" s="38" cm="1">
        <f t="array" ref="I76">Common_InputFunctions.Utility_DisplayArrayInTable(SourceData_Feedlot.SourceData_Feedlot_DietProperties_Data(), Table_SourceData_Feedlot_DietProperties[[#Headers],[Feedlot type]], 0)</f>
        <v>0.12</v>
      </c>
      <c r="J76" s="38" cm="1">
        <f t="array" ref="J76">Common_InputFunctions.Utility_DisplayArrayInTable(SourceData_Feedlot.SourceData_Feedlot_DietProperties_Data(), Table_SourceData_Feedlot_DietProperties[[#Headers],[Feedlot type]], 0)</f>
        <v>0.12</v>
      </c>
      <c r="M76" s="23"/>
    </row>
    <row r="77" spans="4:13" ht="20.100000000000001" customHeight="1" x14ac:dyDescent="0.25">
      <c r="D77" s="1" t="str" cm="1">
        <f t="array" ref="D77">Common_InputFunctions.Utility_DisplayArrayInTable(SourceData_Feedlot.SourceData_Feedlot_DietProperties_Data(), Table_SourceData_Feedlot_DietProperties[[#Headers],[Feedlot type]], 0)</f>
        <v>Long-Fed</v>
      </c>
      <c r="E77" s="38" t="str" cm="1">
        <f t="array" ref="E77">Common_InputFunctions.Utility_DisplayArrayInTable(SourceData_Feedlot.SourceData_Feedlot_DietProperties_Data(), Table_SourceData_Feedlot_DietProperties[[#Headers],[Feedlot type]], 0)</f>
        <v>NDF</v>
      </c>
      <c r="F77" s="38" t="str" cm="1">
        <f t="array" ref="F77">Common_InputFunctions.Utility_DisplayArrayInTable(SourceData_Feedlot.SourceData_Feedlot_DietProperties_Data(), Table_SourceData_Feedlot_DietProperties[[#Headers],[Feedlot type]], 0)</f>
        <v>per cent</v>
      </c>
      <c r="G77" s="38" cm="1">
        <f t="array" ref="G77">Common_InputFunctions.Utility_DisplayArrayInTable(SourceData_Feedlot.SourceData_Feedlot_DietProperties_Data(), Table_SourceData_Feedlot_DietProperties[[#Headers],[Feedlot type]], 0)</f>
        <v>24</v>
      </c>
      <c r="H77" s="38" cm="1">
        <f t="array" ref="H77">Common_InputFunctions.Utility_DisplayArrayInTable(SourceData_Feedlot.SourceData_Feedlot_DietProperties_Data(), Table_SourceData_Feedlot_DietProperties[[#Headers],[Feedlot type]], 0)</f>
        <v>24</v>
      </c>
      <c r="I77" s="38" cm="1">
        <f t="array" ref="I77">Common_InputFunctions.Utility_DisplayArrayInTable(SourceData_Feedlot.SourceData_Feedlot_DietProperties_Data(), Table_SourceData_Feedlot_DietProperties[[#Headers],[Feedlot type]], 0)</f>
        <v>24</v>
      </c>
      <c r="J77" s="38" cm="1">
        <f t="array" ref="J77">Common_InputFunctions.Utility_DisplayArrayInTable(SourceData_Feedlot.SourceData_Feedlot_DietProperties_Data(), Table_SourceData_Feedlot_DietProperties[[#Headers],[Feedlot type]], 0)</f>
        <v>24</v>
      </c>
      <c r="M77" s="23"/>
    </row>
    <row r="78" spans="4:13" ht="20.100000000000001" customHeight="1" x14ac:dyDescent="0.25">
      <c r="D78" s="1" t="str" cm="1">
        <f t="array" ref="D78">Common_InputFunctions.Utility_DisplayArrayInTable(SourceData_Feedlot.SourceData_Feedlot_DietProperties_Data(), Table_SourceData_Feedlot_DietProperties[[#Headers],[Feedlot type]], 0)</f>
        <v>Long-Fed</v>
      </c>
      <c r="E78" s="38" t="str" cm="1">
        <f t="array" ref="E78">Common_InputFunctions.Utility_DisplayArrayInTable(SourceData_Feedlot.SourceData_Feedlot_DietProperties_Data(), Table_SourceData_Feedlot_DietProperties[[#Headers],[Feedlot type]], 0)</f>
        <v>Ether Extract</v>
      </c>
      <c r="F78" s="38" t="str" cm="1">
        <f t="array" ref="F78">Common_InputFunctions.Utility_DisplayArrayInTable(SourceData_Feedlot.SourceData_Feedlot_DietProperties_Data(), Table_SourceData_Feedlot_DietProperties[[#Headers],[Feedlot type]], 0)</f>
        <v>per cent</v>
      </c>
      <c r="G78" s="38" cm="1">
        <f t="array" ref="G78">Common_InputFunctions.Utility_DisplayArrayInTable(SourceData_Feedlot.SourceData_Feedlot_DietProperties_Data(), Table_SourceData_Feedlot_DietProperties[[#Headers],[Feedlot type]], 0)</f>
        <v>5</v>
      </c>
      <c r="H78" s="38" cm="1">
        <f t="array" ref="H78">Common_InputFunctions.Utility_DisplayArrayInTable(SourceData_Feedlot.SourceData_Feedlot_DietProperties_Data(), Table_SourceData_Feedlot_DietProperties[[#Headers],[Feedlot type]], 0)</f>
        <v>5</v>
      </c>
      <c r="I78" s="38" cm="1">
        <f t="array" ref="I78">Common_InputFunctions.Utility_DisplayArrayInTable(SourceData_Feedlot.SourceData_Feedlot_DietProperties_Data(), Table_SourceData_Feedlot_DietProperties[[#Headers],[Feedlot type]], 0)</f>
        <v>5.5</v>
      </c>
      <c r="J78" s="38" cm="1">
        <f t="array" ref="J78">Common_InputFunctions.Utility_DisplayArrayInTable(SourceData_Feedlot.SourceData_Feedlot_DietProperties_Data(), Table_SourceData_Feedlot_DietProperties[[#Headers],[Feedlot type]], 0)</f>
        <v>5.5</v>
      </c>
      <c r="M78" s="23"/>
    </row>
    <row r="79" spans="4:13" ht="20.100000000000001" customHeight="1" x14ac:dyDescent="0.25">
      <c r="M79" s="23"/>
    </row>
    <row r="80" spans="4:13" ht="20.100000000000001" customHeight="1" x14ac:dyDescent="0.25">
      <c r="M80" s="23"/>
    </row>
    <row r="81" spans="4:14" ht="20.100000000000001" customHeight="1" x14ac:dyDescent="0.25">
      <c r="D81" s="6" t="str" cm="1">
        <f t="array" ref="D81">SourceData_Feedlot.SourceData_Feedlot_MCF_Title()</f>
        <v>Feedlot - MCFs</v>
      </c>
      <c r="M81" s="1"/>
    </row>
    <row r="82" spans="4:14" ht="20.100000000000001" customHeight="1" x14ac:dyDescent="0.25">
      <c r="D82" s="5" t="str" cm="1">
        <f t="array" ref="D82">SourceData_Feedlot.SourceData_Feedlot_MCF_Source()</f>
        <v>VEERG 2026: Table A.1.1.4: Beef feedlot cattle - MCFs (fraction) (MCFimT)</v>
      </c>
      <c r="M82" s="1"/>
    </row>
    <row r="83" spans="4:14" ht="20.100000000000001" customHeight="1" x14ac:dyDescent="0.25">
      <c r="D83" s="56" t="str" cm="1">
        <f t="array" ref="D83:D86">SourceData_Feedlot.SourceData_Feedlot_MCF_Variation()</f>
        <v>VARIATION ON SOURCE:</v>
      </c>
      <c r="M83" s="1"/>
    </row>
    <row r="84" spans="4:14" ht="20.100000000000001" customHeight="1" x14ac:dyDescent="0.25">
      <c r="D84" s="56" t="str">
        <v>Duplicated NSW values for ACT</v>
      </c>
      <c r="M84" s="1"/>
    </row>
    <row r="85" spans="4:14" ht="20.100000000000001" customHeight="1" x14ac:dyDescent="0.25">
      <c r="D85" s="56" t="str">
        <v>Added NT column that duplicates QLD values as per advice from source data provider.</v>
      </c>
      <c r="M85" s="1"/>
    </row>
    <row r="86" spans="4:14" ht="20.100000000000001" customHeight="1" x14ac:dyDescent="0.25">
      <c r="D86" s="56" t="str">
        <v>Added TAS column that duplicates VIC values as per advice from source data provider.</v>
      </c>
      <c r="M86" s="1"/>
    </row>
    <row r="87" spans="4:14" ht="20.100000000000001" customHeight="1" x14ac:dyDescent="0.25">
      <c r="M87" s="1"/>
    </row>
    <row r="88" spans="4:14" ht="20.100000000000001" customHeight="1" x14ac:dyDescent="0.25">
      <c r="D88" s="38" t="s">
        <v>103</v>
      </c>
      <c r="E88" s="38" t="s">
        <v>98</v>
      </c>
      <c r="F88" s="38" t="s">
        <v>77</v>
      </c>
      <c r="G88" s="38" t="s">
        <v>76</v>
      </c>
      <c r="H88" s="38" t="s">
        <v>79</v>
      </c>
      <c r="I88" s="38" t="s">
        <v>78</v>
      </c>
      <c r="J88" s="38" t="s">
        <v>80</v>
      </c>
      <c r="K88" s="38" t="s">
        <v>82</v>
      </c>
      <c r="L88" s="38" t="s">
        <v>83</v>
      </c>
      <c r="M88" s="38" t="s">
        <v>81</v>
      </c>
      <c r="N88" s="38" t="s">
        <v>93</v>
      </c>
    </row>
    <row r="89" spans="4:14" ht="20.100000000000001" customHeight="1" x14ac:dyDescent="0.25">
      <c r="D89" s="38" t="str" cm="1">
        <f t="array" ref="D89">Common_InputFunctions.Utility_DisplayArrayInTable(SourceData_Feedlot.SourceData_Feedlot_MCF_Data(), Table_SourceData_Feedlot_MCF[[#Headers],[Treatment stage T]], 0)</f>
        <v>Primary</v>
      </c>
      <c r="E89" s="38" t="str" cm="1">
        <f t="array" ref="E89">Common_InputFunctions.Utility_DisplayArrayInTable(SourceData_Feedlot.SourceData_Feedlot_MCF_Data(), Table_SourceData_Feedlot_MCF[[#Headers],[Treatment stage T]], 0)</f>
        <v>Dry lot (Feedpad)</v>
      </c>
      <c r="F89" s="38" cm="1">
        <f t="array" ref="F89">Common_InputFunctions.Utility_DisplayArrayInTable(SourceData_Feedlot.SourceData_Feedlot_MCF_Data(), Table_SourceData_Feedlot_MCF[[#Headers],[Treatment stage T]], 0)</f>
        <v>0.01</v>
      </c>
      <c r="G89" s="38" cm="1">
        <f t="array" ref="G89">Common_InputFunctions.Utility_DisplayArrayInTable(SourceData_Feedlot.SourceData_Feedlot_MCF_Data(), Table_SourceData_Feedlot_MCF[[#Headers],[Treatment stage T]], 0)</f>
        <v>0.01</v>
      </c>
      <c r="H89" s="38" cm="1">
        <f t="array" ref="H89">Common_InputFunctions.Utility_DisplayArrayInTable(SourceData_Feedlot.SourceData_Feedlot_MCF_Data(), Table_SourceData_Feedlot_MCF[[#Headers],[Treatment stage T]], 0)</f>
        <v>0.03</v>
      </c>
      <c r="I89" s="38" cm="1">
        <f t="array" ref="I89">Common_InputFunctions.Utility_DisplayArrayInTable(SourceData_Feedlot.SourceData_Feedlot_MCF_Data(), Table_SourceData_Feedlot_MCF[[#Headers],[Treatment stage T]], 0)</f>
        <v>0.03</v>
      </c>
      <c r="J89" s="38" cm="1">
        <f t="array" ref="J89">Common_InputFunctions.Utility_DisplayArrayInTable(SourceData_Feedlot.SourceData_Feedlot_MCF_Data(), Table_SourceData_Feedlot_MCF[[#Headers],[Treatment stage T]], 0)</f>
        <v>0.01</v>
      </c>
      <c r="K89" s="38" cm="1">
        <f t="array" ref="K89">Common_InputFunctions.Utility_DisplayArrayInTable(SourceData_Feedlot.SourceData_Feedlot_MCF_Data(), Table_SourceData_Feedlot_MCF[[#Headers],[Treatment stage T]], 0)</f>
        <v>0.01</v>
      </c>
      <c r="L89" s="38" cm="1">
        <f t="array" ref="L89">Common_InputFunctions.Utility_DisplayArrayInTable(SourceData_Feedlot.SourceData_Feedlot_MCF_Data(), Table_SourceData_Feedlot_MCF[[#Headers],[Treatment stage T]], 0)</f>
        <v>0.01</v>
      </c>
      <c r="M89" s="38" cm="1">
        <f t="array" ref="M89">Common_InputFunctions.Utility_DisplayArrayInTable(SourceData_Feedlot.SourceData_Feedlot_MCF_Data(), Table_SourceData_Feedlot_MCF[[#Headers],[Treatment stage T]], 0)</f>
        <v>0.01</v>
      </c>
      <c r="N89" s="38" t="str" cm="1">
        <f t="array" ref="N89">Common_InputFunctions.Utility_DisplayArrayInTable(SourceData_Feedlot.SourceData_Feedlot_MCF_Data(), Table_SourceData_Feedlot_MCF[[#Headers],[Treatment stage T]], 0)</f>
        <v>Drylot (feed pad)</v>
      </c>
    </row>
    <row r="90" spans="4:14" ht="20.100000000000001" customHeight="1" x14ac:dyDescent="0.25">
      <c r="D90" s="1" t="str" cm="1">
        <f t="array" ref="D90">Common_InputFunctions.Utility_DisplayArrayInTable(SourceData_Feedlot.SourceData_Feedlot_MCF_Data(), Table_SourceData_Feedlot_MCF[[#Headers],[Treatment stage T]], 0)</f>
        <v>Secondary</v>
      </c>
      <c r="E90" s="38" t="str" cm="1">
        <f t="array" ref="E90">Common_InputFunctions.Utility_DisplayArrayInTable(SourceData_Feedlot.SourceData_Feedlot_MCF_Data(), Table_SourceData_Feedlot_MCF[[#Headers],[Treatment stage T]], 0)</f>
        <v>Solid Storage (Stockpile)</v>
      </c>
      <c r="F90" s="38" cm="1">
        <f t="array" ref="F90">Common_InputFunctions.Utility_DisplayArrayInTable(SourceData_Feedlot.SourceData_Feedlot_MCF_Data(), Table_SourceData_Feedlot_MCF[[#Headers],[Treatment stage T]], 0)</f>
        <v>0.02</v>
      </c>
      <c r="G90" s="38" cm="1">
        <f t="array" ref="G90">Common_InputFunctions.Utility_DisplayArrayInTable(SourceData_Feedlot.SourceData_Feedlot_MCF_Data(), Table_SourceData_Feedlot_MCF[[#Headers],[Treatment stage T]], 0)</f>
        <v>0.02</v>
      </c>
      <c r="H90" s="38" cm="1">
        <f t="array" ref="H90">Common_InputFunctions.Utility_DisplayArrayInTable(SourceData_Feedlot.SourceData_Feedlot_MCF_Data(), Table_SourceData_Feedlot_MCF[[#Headers],[Treatment stage T]], 0)</f>
        <v>0.02</v>
      </c>
      <c r="I90" s="38" cm="1">
        <f t="array" ref="I90">Common_InputFunctions.Utility_DisplayArrayInTable(SourceData_Feedlot.SourceData_Feedlot_MCF_Data(), Table_SourceData_Feedlot_MCF[[#Headers],[Treatment stage T]], 0)</f>
        <v>0.02</v>
      </c>
      <c r="J90" s="38" cm="1">
        <f t="array" ref="J90">Common_InputFunctions.Utility_DisplayArrayInTable(SourceData_Feedlot.SourceData_Feedlot_MCF_Data(), Table_SourceData_Feedlot_MCF[[#Headers],[Treatment stage T]], 0)</f>
        <v>0.02</v>
      </c>
      <c r="K90" s="38" cm="1">
        <f t="array" ref="K90">Common_InputFunctions.Utility_DisplayArrayInTable(SourceData_Feedlot.SourceData_Feedlot_MCF_Data(), Table_SourceData_Feedlot_MCF[[#Headers],[Treatment stage T]], 0)</f>
        <v>0.02</v>
      </c>
      <c r="L90" s="38" cm="1">
        <f t="array" ref="L90">Common_InputFunctions.Utility_DisplayArrayInTable(SourceData_Feedlot.SourceData_Feedlot_MCF_Data(), Table_SourceData_Feedlot_MCF[[#Headers],[Treatment stage T]], 0)</f>
        <v>0.02</v>
      </c>
      <c r="M90" s="38" cm="1">
        <f t="array" ref="M90">Common_InputFunctions.Utility_DisplayArrayInTable(SourceData_Feedlot.SourceData_Feedlot_MCF_Data(), Table_SourceData_Feedlot_MCF[[#Headers],[Treatment stage T]], 0)</f>
        <v>0.02</v>
      </c>
      <c r="N90" s="38" t="str" cm="1">
        <f t="array" ref="N90">Common_InputFunctions.Utility_DisplayArrayInTable(SourceData_Feedlot.SourceData_Feedlot_MCF_Data(), Table_SourceData_Feedlot_MCF[[#Headers],[Treatment stage T]], 0)</f>
        <v>Solid storage</v>
      </c>
    </row>
    <row r="91" spans="4:14" ht="20.100000000000001" customHeight="1" x14ac:dyDescent="0.25">
      <c r="D91" s="1" t="str" cm="1">
        <f t="array" ref="D91">Common_InputFunctions.Utility_DisplayArrayInTable(SourceData_Feedlot.SourceData_Feedlot_MCF_Data(), Table_SourceData_Feedlot_MCF[[#Headers],[Treatment stage T]], 0)</f>
        <v>Secondary</v>
      </c>
      <c r="E91" s="38" t="str" cm="1">
        <f t="array" ref="E91">Common_InputFunctions.Utility_DisplayArrayInTable(SourceData_Feedlot.SourceData_Feedlot_MCF_Data(), Table_SourceData_Feedlot_MCF[[#Headers],[Treatment stage T]], 0)</f>
        <v>Composting (Passive Windrow)</v>
      </c>
      <c r="F91" s="38" cm="1">
        <f t="array" ref="F91">Common_InputFunctions.Utility_DisplayArrayInTable(SourceData_Feedlot.SourceData_Feedlot_MCF_Data(), Table_SourceData_Feedlot_MCF[[#Headers],[Treatment stage T]], 0)</f>
        <v>0.01</v>
      </c>
      <c r="G91" s="38" cm="1">
        <f t="array" ref="G91">Common_InputFunctions.Utility_DisplayArrayInTable(SourceData_Feedlot.SourceData_Feedlot_MCF_Data(), Table_SourceData_Feedlot_MCF[[#Headers],[Treatment stage T]], 0)</f>
        <v>0.01</v>
      </c>
      <c r="H91" s="38" cm="1">
        <f t="array" ref="H91">Common_InputFunctions.Utility_DisplayArrayInTable(SourceData_Feedlot.SourceData_Feedlot_MCF_Data(), Table_SourceData_Feedlot_MCF[[#Headers],[Treatment stage T]], 0)</f>
        <v>0.01</v>
      </c>
      <c r="I91" s="38" cm="1">
        <f t="array" ref="I91">Common_InputFunctions.Utility_DisplayArrayInTable(SourceData_Feedlot.SourceData_Feedlot_MCF_Data(), Table_SourceData_Feedlot_MCF[[#Headers],[Treatment stage T]], 0)</f>
        <v>0.01</v>
      </c>
      <c r="J91" s="38" cm="1">
        <f t="array" ref="J91">Common_InputFunctions.Utility_DisplayArrayInTable(SourceData_Feedlot.SourceData_Feedlot_MCF_Data(), Table_SourceData_Feedlot_MCF[[#Headers],[Treatment stage T]], 0)</f>
        <v>0.01</v>
      </c>
      <c r="K91" s="38" cm="1">
        <f t="array" ref="K91">Common_InputFunctions.Utility_DisplayArrayInTable(SourceData_Feedlot.SourceData_Feedlot_MCF_Data(), Table_SourceData_Feedlot_MCF[[#Headers],[Treatment stage T]], 0)</f>
        <v>0.01</v>
      </c>
      <c r="L91" s="38" cm="1">
        <f t="array" ref="L91">Common_InputFunctions.Utility_DisplayArrayInTable(SourceData_Feedlot.SourceData_Feedlot_MCF_Data(), Table_SourceData_Feedlot_MCF[[#Headers],[Treatment stage T]], 0)</f>
        <v>0.01</v>
      </c>
      <c r="M91" s="38" cm="1">
        <f t="array" ref="M91">Common_InputFunctions.Utility_DisplayArrayInTable(SourceData_Feedlot.SourceData_Feedlot_MCF_Data(), Table_SourceData_Feedlot_MCF[[#Headers],[Treatment stage T]], 0)</f>
        <v>0.01</v>
      </c>
      <c r="N91" s="38" t="str" cm="1">
        <f t="array" ref="N91">Common_InputFunctions.Utility_DisplayArrayInTable(SourceData_Feedlot.SourceData_Feedlot_MCF_Data(), Table_SourceData_Feedlot_MCF[[#Headers],[Treatment stage T]], 0)</f>
        <v>Composting (passive windrow)</v>
      </c>
    </row>
    <row r="92" spans="4:14" ht="20.100000000000001" customHeight="1" x14ac:dyDescent="0.25">
      <c r="D92" s="1" t="str" cm="1">
        <f t="array" ref="D92">Common_InputFunctions.Utility_DisplayArrayInTable(SourceData_Feedlot.SourceData_Feedlot_MCF_Data(), Table_SourceData_Feedlot_MCF[[#Headers],[Treatment stage T]], 0)</f>
        <v>Secondary</v>
      </c>
      <c r="E92" s="38" t="str" cm="1">
        <f t="array" ref="E92">Common_InputFunctions.Utility_DisplayArrayInTable(SourceData_Feedlot.SourceData_Feedlot_MCF_Data(), Table_SourceData_Feedlot_MCF[[#Headers],[Treatment stage T]], 0)</f>
        <v>Direct Application to soil</v>
      </c>
      <c r="F92" s="38" cm="1">
        <f t="array" ref="F92">Common_InputFunctions.Utility_DisplayArrayInTable(SourceData_Feedlot.SourceData_Feedlot_MCF_Data(), Table_SourceData_Feedlot_MCF[[#Headers],[Treatment stage T]], 0)</f>
        <v>0</v>
      </c>
      <c r="G92" s="38" cm="1">
        <f t="array" ref="G92">Common_InputFunctions.Utility_DisplayArrayInTable(SourceData_Feedlot.SourceData_Feedlot_MCF_Data(), Table_SourceData_Feedlot_MCF[[#Headers],[Treatment stage T]], 0)</f>
        <v>0</v>
      </c>
      <c r="H92" s="38" cm="1">
        <f t="array" ref="H92">Common_InputFunctions.Utility_DisplayArrayInTable(SourceData_Feedlot.SourceData_Feedlot_MCF_Data(), Table_SourceData_Feedlot_MCF[[#Headers],[Treatment stage T]], 0)</f>
        <v>0</v>
      </c>
      <c r="I92" s="38" cm="1">
        <f t="array" ref="I92">Common_InputFunctions.Utility_DisplayArrayInTable(SourceData_Feedlot.SourceData_Feedlot_MCF_Data(), Table_SourceData_Feedlot_MCF[[#Headers],[Treatment stage T]], 0)</f>
        <v>0</v>
      </c>
      <c r="J92" s="38" cm="1">
        <f t="array" ref="J92">Common_InputFunctions.Utility_DisplayArrayInTable(SourceData_Feedlot.SourceData_Feedlot_MCF_Data(), Table_SourceData_Feedlot_MCF[[#Headers],[Treatment stage T]], 0)</f>
        <v>0</v>
      </c>
      <c r="K92" s="38" cm="1">
        <f t="array" ref="K92">Common_InputFunctions.Utility_DisplayArrayInTable(SourceData_Feedlot.SourceData_Feedlot_MCF_Data(), Table_SourceData_Feedlot_MCF[[#Headers],[Treatment stage T]], 0)</f>
        <v>0</v>
      </c>
      <c r="L92" s="38" cm="1">
        <f t="array" ref="L92">Common_InputFunctions.Utility_DisplayArrayInTable(SourceData_Feedlot.SourceData_Feedlot_MCF_Data(), Table_SourceData_Feedlot_MCF[[#Headers],[Treatment stage T]], 0)</f>
        <v>0</v>
      </c>
      <c r="M92" s="38" cm="1">
        <f t="array" ref="M92">Common_InputFunctions.Utility_DisplayArrayInTable(SourceData_Feedlot.SourceData_Feedlot_MCF_Data(), Table_SourceData_Feedlot_MCF[[#Headers],[Treatment stage T]], 0)</f>
        <v>0</v>
      </c>
      <c r="N92" s="38" t="str" cm="1">
        <f t="array" ref="N92">Common_InputFunctions.Utility_DisplayArrayInTable(SourceData_Feedlot.SourceData_Feedlot_MCF_Data(), Table_SourceData_Feedlot_MCF[[#Headers],[Treatment stage T]], 0)</f>
        <v>Direct application</v>
      </c>
    </row>
    <row r="93" spans="4:14" ht="20.100000000000001" customHeight="1" x14ac:dyDescent="0.25">
      <c r="D93" s="1" t="str" cm="1">
        <f t="array" ref="D93">Common_InputFunctions.Utility_DisplayArrayInTable(SourceData_Feedlot.SourceData_Feedlot_MCF_Data(), Table_SourceData_Feedlot_MCF[[#Headers],[Treatment stage T]], 0)</f>
        <v>Tertiary</v>
      </c>
      <c r="E93" s="38" t="str" cm="1">
        <f t="array" ref="E93">Common_InputFunctions.Utility_DisplayArrayInTable(SourceData_Feedlot.SourceData_Feedlot_MCF_Data(), Table_SourceData_Feedlot_MCF[[#Headers],[Treatment stage T]], 0)</f>
        <v>Uncovered anaerobic lagoon (Effluent pond)</v>
      </c>
      <c r="F93" s="38" cm="1">
        <f t="array" ref="F93">Common_InputFunctions.Utility_DisplayArrayInTable(SourceData_Feedlot.SourceData_Feedlot_MCF_Data(), Table_SourceData_Feedlot_MCF[[#Headers],[Treatment stage T]], 0)</f>
        <v>0.75</v>
      </c>
      <c r="G93" s="38" cm="1">
        <f t="array" ref="G93">Common_InputFunctions.Utility_DisplayArrayInTable(SourceData_Feedlot.SourceData_Feedlot_MCF_Data(), Table_SourceData_Feedlot_MCF[[#Headers],[Treatment stage T]], 0)</f>
        <v>0.75</v>
      </c>
      <c r="H93" s="38" cm="1">
        <f t="array" ref="H93">Common_InputFunctions.Utility_DisplayArrayInTable(SourceData_Feedlot.SourceData_Feedlot_MCF_Data(), Table_SourceData_Feedlot_MCF[[#Headers],[Treatment stage T]], 0)</f>
        <v>0.77</v>
      </c>
      <c r="I93" s="38" cm="1">
        <f t="array" ref="I93">Common_InputFunctions.Utility_DisplayArrayInTable(SourceData_Feedlot.SourceData_Feedlot_MCF_Data(), Table_SourceData_Feedlot_MCF[[#Headers],[Treatment stage T]], 0)</f>
        <v>0.77</v>
      </c>
      <c r="J93" s="38" cm="1">
        <f t="array" ref="J93">Common_InputFunctions.Utility_DisplayArrayInTable(SourceData_Feedlot.SourceData_Feedlot_MCF_Data(), Table_SourceData_Feedlot_MCF[[#Headers],[Treatment stage T]], 0)</f>
        <v>0.75</v>
      </c>
      <c r="K93" s="38" cm="1">
        <f t="array" ref="K93">Common_InputFunctions.Utility_DisplayArrayInTable(SourceData_Feedlot.SourceData_Feedlot_MCF_Data(), Table_SourceData_Feedlot_MCF[[#Headers],[Treatment stage T]], 0)</f>
        <v>0.75</v>
      </c>
      <c r="L93" s="38" cm="1">
        <f t="array" ref="L93">Common_InputFunctions.Utility_DisplayArrayInTable(SourceData_Feedlot.SourceData_Feedlot_MCF_Data(), Table_SourceData_Feedlot_MCF[[#Headers],[Treatment stage T]], 0)</f>
        <v>0.77</v>
      </c>
      <c r="M93" s="38" cm="1">
        <f t="array" ref="M93">Common_InputFunctions.Utility_DisplayArrayInTable(SourceData_Feedlot.SourceData_Feedlot_MCF_Data(), Table_SourceData_Feedlot_MCF[[#Headers],[Treatment stage T]], 0)</f>
        <v>0.75</v>
      </c>
      <c r="N93" s="38" t="str" cm="1">
        <f t="array" ref="N93">Common_InputFunctions.Utility_DisplayArrayInTable(SourceData_Feedlot.SourceData_Feedlot_MCF_Data(), Table_SourceData_Feedlot_MCF[[#Headers],[Treatment stage T]], 0)</f>
        <v>Anaerobic lagoon</v>
      </c>
    </row>
    <row r="94" spans="4:14" ht="20.100000000000001" customHeight="1" x14ac:dyDescent="0.25">
      <c r="M94" s="23"/>
    </row>
    <row r="95" spans="4:14" ht="20.100000000000001" customHeight="1" x14ac:dyDescent="0.25">
      <c r="M95" s="23"/>
    </row>
    <row r="96" spans="4:14" ht="20.100000000000001" customHeight="1" x14ac:dyDescent="0.25">
      <c r="D96" s="6" t="str" cm="1">
        <f t="array" ref="D96">SourceData_Feedlot.SourceData_Feedlot_NitrousOxideEFs_Title()</f>
        <v>Feedlot - Nitrous oxide EFs</v>
      </c>
      <c r="M96" s="23"/>
    </row>
    <row r="97" spans="4:14" ht="20.100000000000001" customHeight="1" x14ac:dyDescent="0.25">
      <c r="D97" s="5" t="str" cm="1">
        <f t="array" ref="D97">SourceData_Feedlot.SourceData_Feedlot_NitrousOxideEFs_Source()</f>
        <v>VEERG 2026: Table A.1.1.5: Beef feedlot cattle - Nitrous oxide EFs (EFmT)</v>
      </c>
      <c r="M97" s="23"/>
    </row>
    <row r="98" spans="4:14" ht="20.100000000000001" customHeight="1" x14ac:dyDescent="0.25">
      <c r="D98" s="56" t="str" cm="1">
        <f t="array" ref="D98:D99">SourceData_Feedlot.SourceData_Feedlot_NitrousOxideEFs_Variation()</f>
        <v>VARIATION ON SOURCE:</v>
      </c>
      <c r="M98" s="23"/>
    </row>
    <row r="99" spans="4:14" ht="20.100000000000001" customHeight="1" x14ac:dyDescent="0.25">
      <c r="D99" s="56" t="str">
        <v>Added 'NIR definition' column with MMS names that match NIR definitions.</v>
      </c>
      <c r="M99" s="23"/>
    </row>
    <row r="100" spans="4:14" ht="20.100000000000001" customHeight="1" x14ac:dyDescent="0.25">
      <c r="D100" s="38" t="s">
        <v>103</v>
      </c>
      <c r="E100" s="38" t="s">
        <v>98</v>
      </c>
      <c r="F100" s="38" t="s">
        <v>139</v>
      </c>
      <c r="G100" s="38" t="s">
        <v>93</v>
      </c>
      <c r="M100" s="1"/>
      <c r="N100" s="23"/>
    </row>
    <row r="101" spans="4:14" ht="20.100000000000001" customHeight="1" x14ac:dyDescent="0.25">
      <c r="D101" s="38" t="str" cm="1">
        <f t="array" ref="D101">Common_InputFunctions.Utility_DisplayArrayInTable(SourceData_Feedlot.SourceData_Feedlot_NitrousOxideEFs_Data(), Table_SourceData_Feedlot_NO2EFs[[#Headers],[Treatment stage T]], 0)</f>
        <v>Primary</v>
      </c>
      <c r="E101" s="38" t="str" cm="1">
        <f t="array" ref="E101">Common_InputFunctions.Utility_DisplayArrayInTable(SourceData_Feedlot.SourceData_Feedlot_NitrousOxideEFs_Data(), Table_SourceData_Feedlot_NO2EFs[[#Headers],[Treatment stage T]], 0)</f>
        <v>Dry lot (Feedpad)</v>
      </c>
      <c r="F101" s="38" cm="1">
        <f t="array" ref="F101">Common_InputFunctions.Utility_DisplayArrayInTable(SourceData_Feedlot.SourceData_Feedlot_NitrousOxideEFs_Data(), Table_SourceData_Feedlot_NO2EFs[[#Headers],[Treatment stage T]], 0)</f>
        <v>5.4000000000000003E-3</v>
      </c>
      <c r="G101" s="38" t="str" cm="1">
        <f t="array" ref="G101">Common_InputFunctions.Utility_DisplayArrayInTable(SourceData_Feedlot.SourceData_Feedlot_NitrousOxideEFs_Data(), Table_SourceData_Feedlot_NO2EFs[[#Headers],[Treatment stage T]], 0)</f>
        <v>Drylot (feed pad)</v>
      </c>
      <c r="M101" s="1"/>
      <c r="N101" s="23"/>
    </row>
    <row r="102" spans="4:14" ht="20.100000000000001" customHeight="1" x14ac:dyDescent="0.25">
      <c r="D102" s="1" t="str" cm="1">
        <f t="array" ref="D102">Common_InputFunctions.Utility_DisplayArrayInTable(SourceData_Feedlot.SourceData_Feedlot_NitrousOxideEFs_Data(), Table_SourceData_Feedlot_NO2EFs[[#Headers],[Treatment stage T]], 0)</f>
        <v>Secondary</v>
      </c>
      <c r="E102" s="38" t="str" cm="1">
        <f t="array" ref="E102">Common_InputFunctions.Utility_DisplayArrayInTable(SourceData_Feedlot.SourceData_Feedlot_NitrousOxideEFs_Data(), Table_SourceData_Feedlot_NO2EFs[[#Headers],[Treatment stage T]], 0)</f>
        <v>Solid Storage (Stockpile)</v>
      </c>
      <c r="F102" s="38" cm="1">
        <f t="array" ref="F102">Common_InputFunctions.Utility_DisplayArrayInTable(SourceData_Feedlot.SourceData_Feedlot_NitrousOxideEFs_Data(), Table_SourceData_Feedlot_NO2EFs[[#Headers],[Treatment stage T]], 0)</f>
        <v>5.0000000000000001E-3</v>
      </c>
      <c r="G102" s="38" t="str" cm="1">
        <f t="array" ref="G102">Common_InputFunctions.Utility_DisplayArrayInTable(SourceData_Feedlot.SourceData_Feedlot_NitrousOxideEFs_Data(), Table_SourceData_Feedlot_NO2EFs[[#Headers],[Treatment stage T]], 0)</f>
        <v>Solid storage</v>
      </c>
      <c r="M102" s="1"/>
      <c r="N102" s="23"/>
    </row>
    <row r="103" spans="4:14" ht="20.100000000000001" customHeight="1" x14ac:dyDescent="0.25">
      <c r="D103" s="1" t="str" cm="1">
        <f t="array" ref="D103">Common_InputFunctions.Utility_DisplayArrayInTable(SourceData_Feedlot.SourceData_Feedlot_NitrousOxideEFs_Data(), Table_SourceData_Feedlot_NO2EFs[[#Headers],[Treatment stage T]], 0)</f>
        <v>Secondary</v>
      </c>
      <c r="E103" s="38" t="str" cm="1">
        <f t="array" ref="E103">Common_InputFunctions.Utility_DisplayArrayInTable(SourceData_Feedlot.SourceData_Feedlot_NitrousOxideEFs_Data(), Table_SourceData_Feedlot_NO2EFs[[#Headers],[Treatment stage T]], 0)</f>
        <v>Composting (Passive Windrow)</v>
      </c>
      <c r="F103" s="38" cm="1">
        <f t="array" ref="F103">Common_InputFunctions.Utility_DisplayArrayInTable(SourceData_Feedlot.SourceData_Feedlot_NitrousOxideEFs_Data(), Table_SourceData_Feedlot_NO2EFs[[#Headers],[Treatment stage T]], 0)</f>
        <v>0.01</v>
      </c>
      <c r="G103" s="38" t="str" cm="1">
        <f t="array" ref="G103">Common_InputFunctions.Utility_DisplayArrayInTable(SourceData_Feedlot.SourceData_Feedlot_NitrousOxideEFs_Data(), Table_SourceData_Feedlot_NO2EFs[[#Headers],[Treatment stage T]], 0)</f>
        <v>Composting (passive windrow)</v>
      </c>
      <c r="M103" s="23"/>
    </row>
    <row r="104" spans="4:14" ht="20.100000000000001" customHeight="1" x14ac:dyDescent="0.25">
      <c r="D104" s="1" t="str" cm="1">
        <f t="array" ref="D104">Common_InputFunctions.Utility_DisplayArrayInTable(SourceData_Feedlot.SourceData_Feedlot_NitrousOxideEFs_Data(), Table_SourceData_Feedlot_NO2EFs[[#Headers],[Treatment stage T]], 0)</f>
        <v>Secondary</v>
      </c>
      <c r="E104" s="38" t="str" cm="1">
        <f t="array" ref="E104">Common_InputFunctions.Utility_DisplayArrayInTable(SourceData_Feedlot.SourceData_Feedlot_NitrousOxideEFs_Data(), Table_SourceData_Feedlot_NO2EFs[[#Headers],[Treatment stage T]], 0)</f>
        <v>Direct Application to soil</v>
      </c>
      <c r="F104" s="38" cm="1">
        <f t="array" ref="F104">Common_InputFunctions.Utility_DisplayArrayInTable(SourceData_Feedlot.SourceData_Feedlot_NitrousOxideEFs_Data(), Table_SourceData_Feedlot_NO2EFs[[#Headers],[Treatment stage T]], 0)</f>
        <v>0</v>
      </c>
      <c r="G104" s="38" t="str" cm="1">
        <f t="array" ref="G104">Common_InputFunctions.Utility_DisplayArrayInTable(SourceData_Feedlot.SourceData_Feedlot_NitrousOxideEFs_Data(), Table_SourceData_Feedlot_NO2EFs[[#Headers],[Treatment stage T]], 0)</f>
        <v>Direct application</v>
      </c>
      <c r="M104" s="23"/>
    </row>
    <row r="105" spans="4:14" ht="20.100000000000001" customHeight="1" x14ac:dyDescent="0.25">
      <c r="D105" s="1" t="str" cm="1">
        <f t="array" ref="D105">Common_InputFunctions.Utility_DisplayArrayInTable(SourceData_Feedlot.SourceData_Feedlot_NitrousOxideEFs_Data(), Table_SourceData_Feedlot_NO2EFs[[#Headers],[Treatment stage T]], 0)</f>
        <v>Tertiary</v>
      </c>
      <c r="E105" s="38" t="str" cm="1">
        <f t="array" ref="E105">Common_InputFunctions.Utility_DisplayArrayInTable(SourceData_Feedlot.SourceData_Feedlot_NitrousOxideEFs_Data(), Table_SourceData_Feedlot_NO2EFs[[#Headers],[Treatment stage T]], 0)</f>
        <v>Uncovered anaerobic lagoon (Effluent Pond)</v>
      </c>
      <c r="F105" s="38" cm="1">
        <f t="array" ref="F105">Common_InputFunctions.Utility_DisplayArrayInTable(SourceData_Feedlot.SourceData_Feedlot_NitrousOxideEFs_Data(), Table_SourceData_Feedlot_NO2EFs[[#Headers],[Treatment stage T]], 0)</f>
        <v>0</v>
      </c>
      <c r="G105" s="38" t="str" cm="1">
        <f t="array" ref="G105">Common_InputFunctions.Utility_DisplayArrayInTable(SourceData_Feedlot.SourceData_Feedlot_NitrousOxideEFs_Data(), Table_SourceData_Feedlot_NO2EFs[[#Headers],[Treatment stage T]], 0)</f>
        <v>Anaerobic lagoon</v>
      </c>
      <c r="M105" s="23"/>
    </row>
    <row r="106" spans="4:14" ht="20.100000000000001" customHeight="1" x14ac:dyDescent="0.25">
      <c r="M106" s="23"/>
    </row>
    <row r="107" spans="4:14" ht="20.100000000000001" customHeight="1" x14ac:dyDescent="0.25">
      <c r="M107" s="23"/>
    </row>
    <row r="108" spans="4:14" ht="20.100000000000001" customHeight="1" x14ac:dyDescent="0.25">
      <c r="D108" s="6" t="str" cm="1">
        <f t="array" ref="D108">SourceData_Feedlot.SourceData_Feedlot_FracNVolatilised_Title()</f>
        <v>Feedlot - Fraction of N volatilised by MMS (FracGASMmT)</v>
      </c>
      <c r="M108" s="23"/>
    </row>
    <row r="109" spans="4:14" ht="20.100000000000001" customHeight="1" x14ac:dyDescent="0.25">
      <c r="D109" s="5" t="str" cm="1">
        <f t="array" ref="D109">SourceData_Feedlot.SourceData_Feedlot_FracNVolatilised_Source()</f>
        <v>VEERG 2026: Table A.1.1.6: Beef feedlot cattle - Fraction of N volatilised by MMS (FracGASMmT)</v>
      </c>
      <c r="M109" s="23"/>
    </row>
    <row r="110" spans="4:14" ht="20.100000000000001" customHeight="1" x14ac:dyDescent="0.25">
      <c r="D110" s="56" t="str" cm="1">
        <f t="array" ref="D110:D111">SourceData_Feedlot.SourceData_Feedlot_FracNVolatilised_Variation()</f>
        <v>VARIATION ON SOURCE:</v>
      </c>
      <c r="M110" s="23"/>
    </row>
    <row r="111" spans="4:14" ht="20.100000000000001" customHeight="1" x14ac:dyDescent="0.25">
      <c r="D111" s="56" t="str">
        <v>Added 'NIR definition' column with MMS names that match NIR definitions.</v>
      </c>
      <c r="M111" s="23"/>
    </row>
    <row r="112" spans="4:14" ht="20.100000000000001" customHeight="1" x14ac:dyDescent="0.25">
      <c r="D112" s="110" t="s">
        <v>103</v>
      </c>
      <c r="E112" s="110" t="s">
        <v>98</v>
      </c>
      <c r="F112" s="110" t="s">
        <v>140</v>
      </c>
      <c r="G112" s="110" t="s">
        <v>93</v>
      </c>
      <c r="M112" s="23"/>
    </row>
    <row r="113" spans="4:22" ht="20.100000000000001" customHeight="1" x14ac:dyDescent="0.25">
      <c r="D113" s="1" t="str" cm="1">
        <f t="array" ref="D113">Common_InputFunctions.Utility_DisplayArrayInTable(SourceData_Feedlot.SourceData_Feedlot_FracNVolatilised_Data(), Table_SourceData_Feedlot_FracGASMmT[[#Headers],[Treatment stage T]], 0)</f>
        <v>Primary</v>
      </c>
      <c r="E113" s="1" t="str" cm="1">
        <f t="array" ref="E113">Common_InputFunctions.Utility_DisplayArrayInTable(SourceData_Feedlot.SourceData_Feedlot_FracNVolatilised_Data(), Table_SourceData_Feedlot_FracGASMmT[[#Headers],[Treatment stage T]], 0)</f>
        <v>Dry lot (Feedpad)</v>
      </c>
      <c r="F113" s="1" cm="1">
        <f t="array" ref="F113">Common_InputFunctions.Utility_DisplayArrayInTable(SourceData_Feedlot.SourceData_Feedlot_FracNVolatilised_Data(), Table_SourceData_Feedlot_FracGASMmT[[#Headers],[Treatment stage T]], 0)</f>
        <v>0.6</v>
      </c>
      <c r="G113" s="1" t="str" cm="1">
        <f t="array" ref="G113">Common_InputFunctions.Utility_DisplayArrayInTable(SourceData_Feedlot.SourceData_Feedlot_FracNVolatilised_Data(), Table_SourceData_Feedlot_FracGASMmT[[#Headers],[Treatment stage T]], 0)</f>
        <v>Drylot (feed pad)</v>
      </c>
      <c r="M113" s="23"/>
    </row>
    <row r="114" spans="4:22" ht="20.100000000000001" customHeight="1" x14ac:dyDescent="0.25">
      <c r="D114" s="1" t="str" cm="1">
        <f t="array" ref="D114">Common_InputFunctions.Utility_DisplayArrayInTable(SourceData_Feedlot.SourceData_Feedlot_FracNVolatilised_Data(), Table_SourceData_Feedlot_FracGASMmT[[#Headers],[Treatment stage T]], 0)</f>
        <v>Secondary</v>
      </c>
      <c r="E114" s="1" t="str" cm="1">
        <f t="array" ref="E114">Common_InputFunctions.Utility_DisplayArrayInTable(SourceData_Feedlot.SourceData_Feedlot_FracNVolatilised_Data(), Table_SourceData_Feedlot_FracGASMmT[[#Headers],[Treatment stage T]], 0)</f>
        <v>Solid Storage (Stockpile)</v>
      </c>
      <c r="F114" s="1" cm="1">
        <f t="array" ref="F114">Common_InputFunctions.Utility_DisplayArrayInTable(SourceData_Feedlot.SourceData_Feedlot_FracNVolatilised_Data(), Table_SourceData_Feedlot_FracGASMmT[[#Headers],[Treatment stage T]], 0)</f>
        <v>0.25</v>
      </c>
      <c r="G114" s="1" t="str" cm="1">
        <f t="array" ref="G114">Common_InputFunctions.Utility_DisplayArrayInTable(SourceData_Feedlot.SourceData_Feedlot_FracNVolatilised_Data(), Table_SourceData_Feedlot_FracGASMmT[[#Headers],[Treatment stage T]], 0)</f>
        <v>Solid storage</v>
      </c>
      <c r="M114" s="23"/>
    </row>
    <row r="115" spans="4:22" ht="20.100000000000001" customHeight="1" x14ac:dyDescent="0.25">
      <c r="D115" s="1" t="str" cm="1">
        <f t="array" ref="D115">Common_InputFunctions.Utility_DisplayArrayInTable(SourceData_Feedlot.SourceData_Feedlot_FracNVolatilised_Data(), Table_SourceData_Feedlot_FracGASMmT[[#Headers],[Treatment stage T]], 0)</f>
        <v>Secondary</v>
      </c>
      <c r="E115" s="1" t="str" cm="1">
        <f t="array" ref="E115">Common_InputFunctions.Utility_DisplayArrayInTable(SourceData_Feedlot.SourceData_Feedlot_FracNVolatilised_Data(), Table_SourceData_Feedlot_FracGASMmT[[#Headers],[Treatment stage T]], 0)</f>
        <v>Composting (Passive Windrow)</v>
      </c>
      <c r="F115" s="1" cm="1">
        <f t="array" ref="F115">Common_InputFunctions.Utility_DisplayArrayInTable(SourceData_Feedlot.SourceData_Feedlot_FracNVolatilised_Data(), Table_SourceData_Feedlot_FracGASMmT[[#Headers],[Treatment stage T]], 0)</f>
        <v>0.4</v>
      </c>
      <c r="G115" s="1" t="str" cm="1">
        <f t="array" ref="G115">Common_InputFunctions.Utility_DisplayArrayInTable(SourceData_Feedlot.SourceData_Feedlot_FracNVolatilised_Data(), Table_SourceData_Feedlot_FracGASMmT[[#Headers],[Treatment stage T]], 0)</f>
        <v>Composting (passive windrow)</v>
      </c>
      <c r="M115" s="23"/>
      <c r="V115" s="1"/>
    </row>
    <row r="116" spans="4:22" ht="20.100000000000001" customHeight="1" x14ac:dyDescent="0.25">
      <c r="D116" s="1" t="str" cm="1">
        <f t="array" ref="D116">Common_InputFunctions.Utility_DisplayArrayInTable(SourceData_Feedlot.SourceData_Feedlot_FracNVolatilised_Data(), Table_SourceData_Feedlot_FracGASMmT[[#Headers],[Treatment stage T]], 0)</f>
        <v>Secondary</v>
      </c>
      <c r="E116" s="1" t="str" cm="1">
        <f t="array" ref="E116">Common_InputFunctions.Utility_DisplayArrayInTable(SourceData_Feedlot.SourceData_Feedlot_FracNVolatilised_Data(), Table_SourceData_Feedlot_FracGASMmT[[#Headers],[Treatment stage T]], 0)</f>
        <v>Direct Application to soil</v>
      </c>
      <c r="F116" s="1" cm="1">
        <f t="array" ref="F116">Common_InputFunctions.Utility_DisplayArrayInTable(SourceData_Feedlot.SourceData_Feedlot_FracNVolatilised_Data(), Table_SourceData_Feedlot_FracGASMmT[[#Headers],[Treatment stage T]], 0)</f>
        <v>0</v>
      </c>
      <c r="G116" s="1" t="str" cm="1">
        <f t="array" ref="G116">Common_InputFunctions.Utility_DisplayArrayInTable(SourceData_Feedlot.SourceData_Feedlot_FracNVolatilised_Data(), Table_SourceData_Feedlot_FracGASMmT[[#Headers],[Treatment stage T]], 0)</f>
        <v>Direct application</v>
      </c>
      <c r="M116" s="23"/>
      <c r="V116" s="1"/>
    </row>
    <row r="117" spans="4:22" ht="20.100000000000001" customHeight="1" x14ac:dyDescent="0.25">
      <c r="D117" s="1" t="str" cm="1">
        <f t="array" ref="D117">Common_InputFunctions.Utility_DisplayArrayInTable(SourceData_Feedlot.SourceData_Feedlot_FracNVolatilised_Data(), Table_SourceData_Feedlot_FracGASMmT[[#Headers],[Treatment stage T]], 0)</f>
        <v>Tertiary</v>
      </c>
      <c r="E117" s="1" t="str" cm="1">
        <f t="array" ref="E117">Common_InputFunctions.Utility_DisplayArrayInTable(SourceData_Feedlot.SourceData_Feedlot_FracNVolatilised_Data(), Table_SourceData_Feedlot_FracGASMmT[[#Headers],[Treatment stage T]], 0)</f>
        <v>Uncovered anaerobic lagoon (Effluent pond)</v>
      </c>
      <c r="F117" s="1" cm="1">
        <f t="array" ref="F117">Common_InputFunctions.Utility_DisplayArrayInTable(SourceData_Feedlot.SourceData_Feedlot_FracNVolatilised_Data(), Table_SourceData_Feedlot_FracGASMmT[[#Headers],[Treatment stage T]], 0)</f>
        <v>0.35</v>
      </c>
      <c r="G117" s="1" t="str" cm="1">
        <f t="array" ref="G117">Common_InputFunctions.Utility_DisplayArrayInTable(SourceData_Feedlot.SourceData_Feedlot_FracNVolatilised_Data(), Table_SourceData_Feedlot_FracGASMmT[[#Headers],[Treatment stage T]], 0)</f>
        <v>Anaerobic lagoon</v>
      </c>
      <c r="M117" s="23"/>
      <c r="V117" s="1"/>
    </row>
    <row r="118" spans="4:22" ht="20.100000000000001" customHeight="1" x14ac:dyDescent="0.25">
      <c r="M118" s="23"/>
    </row>
    <row r="119" spans="4:22" ht="20.100000000000001" customHeight="1" x14ac:dyDescent="0.25">
      <c r="M119" s="23"/>
    </row>
    <row r="120" spans="4:22" ht="20.100000000000001" customHeight="1" x14ac:dyDescent="0.25">
      <c r="M120" s="23"/>
    </row>
    <row r="121" spans="4:22" ht="20.100000000000001" customHeight="1" x14ac:dyDescent="0.25">
      <c r="M121" s="23"/>
    </row>
    <row r="122" spans="4:22" ht="20.100000000000001" customHeight="1" x14ac:dyDescent="0.25">
      <c r="M122" s="23"/>
    </row>
    <row r="123" spans="4:22" ht="20.100000000000001" customHeight="1" x14ac:dyDescent="0.25">
      <c r="M123" s="23"/>
    </row>
    <row r="124" spans="4:22" ht="20.100000000000001" customHeight="1" x14ac:dyDescent="0.25">
      <c r="M124" s="23"/>
    </row>
    <row r="125" spans="4:22" ht="20.100000000000001" customHeight="1" x14ac:dyDescent="0.25">
      <c r="M125" s="23"/>
    </row>
    <row r="126" spans="4:22" ht="20.100000000000001" customHeight="1" x14ac:dyDescent="0.25">
      <c r="M126" s="23"/>
    </row>
    <row r="127" spans="4:22" ht="20.100000000000001" customHeight="1" x14ac:dyDescent="0.25">
      <c r="M127" s="23"/>
    </row>
    <row r="128" spans="4:22" ht="20.100000000000001" customHeight="1" x14ac:dyDescent="0.25">
      <c r="M128" s="23"/>
    </row>
    <row r="129" spans="13:13" ht="20.100000000000001" customHeight="1" x14ac:dyDescent="0.25">
      <c r="M129" s="23"/>
    </row>
    <row r="130" spans="13:13" ht="20.100000000000001" customHeight="1" x14ac:dyDescent="0.25">
      <c r="M130" s="23"/>
    </row>
    <row r="131" spans="13:13" ht="20.100000000000001" customHeight="1" x14ac:dyDescent="0.25">
      <c r="M131" s="23"/>
    </row>
    <row r="132" spans="13:13" ht="20.100000000000001" customHeight="1" x14ac:dyDescent="0.25">
      <c r="M132" s="23"/>
    </row>
    <row r="133" spans="13:13" ht="20.100000000000001" customHeight="1" x14ac:dyDescent="0.25">
      <c r="M133" s="23"/>
    </row>
    <row r="134" spans="13:13" ht="20.100000000000001" customHeight="1" x14ac:dyDescent="0.25">
      <c r="M134" s="23"/>
    </row>
    <row r="135" spans="13:13" ht="20.100000000000001" customHeight="1" x14ac:dyDescent="0.25">
      <c r="M135" s="23"/>
    </row>
    <row r="136" spans="13:13" ht="20.100000000000001" customHeight="1" x14ac:dyDescent="0.25">
      <c r="M136" s="23"/>
    </row>
    <row r="137" spans="13:13" ht="20.100000000000001" customHeight="1" x14ac:dyDescent="0.25">
      <c r="M137" s="23"/>
    </row>
    <row r="138" spans="13:13" ht="20.100000000000001" customHeight="1" x14ac:dyDescent="0.25">
      <c r="M138" s="23"/>
    </row>
    <row r="139" spans="13:13" ht="20.100000000000001" customHeight="1" x14ac:dyDescent="0.25">
      <c r="M139" s="23"/>
    </row>
    <row r="140" spans="13:13" ht="20.100000000000001" customHeight="1" x14ac:dyDescent="0.25">
      <c r="M140" s="23"/>
    </row>
    <row r="141" spans="13:13" ht="20.100000000000001" customHeight="1" x14ac:dyDescent="0.25">
      <c r="M141" s="23"/>
    </row>
    <row r="142" spans="13:13" ht="20.100000000000001" customHeight="1" x14ac:dyDescent="0.25">
      <c r="M142" s="23"/>
    </row>
    <row r="143" spans="13:13" ht="20.100000000000001" customHeight="1" x14ac:dyDescent="0.25">
      <c r="M143" s="23"/>
    </row>
    <row r="144" spans="13:13" ht="20.100000000000001" customHeight="1" x14ac:dyDescent="0.25">
      <c r="M144" s="23"/>
    </row>
    <row r="145" spans="13:13" ht="20.100000000000001" customHeight="1" x14ac:dyDescent="0.25">
      <c r="M145" s="23"/>
    </row>
    <row r="146" spans="13:13" ht="20.100000000000001" customHeight="1" x14ac:dyDescent="0.25">
      <c r="M146" s="23"/>
    </row>
    <row r="147" spans="13:13" ht="20.100000000000001" customHeight="1" x14ac:dyDescent="0.25">
      <c r="M147" s="23"/>
    </row>
    <row r="148" spans="13:13" ht="20.100000000000001" customHeight="1" x14ac:dyDescent="0.25">
      <c r="M148" s="23"/>
    </row>
    <row r="149" spans="13:13" ht="20.100000000000001" customHeight="1" x14ac:dyDescent="0.25">
      <c r="M149" s="23"/>
    </row>
    <row r="150" spans="13:13" ht="20.100000000000001" customHeight="1" x14ac:dyDescent="0.25">
      <c r="M150" s="23"/>
    </row>
    <row r="151" spans="13:13" ht="20.100000000000001" customHeight="1" x14ac:dyDescent="0.25">
      <c r="M151" s="23"/>
    </row>
    <row r="152" spans="13:13" ht="20.100000000000001" customHeight="1" x14ac:dyDescent="0.25">
      <c r="M152" s="23"/>
    </row>
    <row r="153" spans="13:13" ht="20.100000000000001" customHeight="1" x14ac:dyDescent="0.25">
      <c r="M153" s="23"/>
    </row>
    <row r="154" spans="13:13" ht="20.100000000000001" customHeight="1" x14ac:dyDescent="0.25">
      <c r="M154" s="23"/>
    </row>
    <row r="155" spans="13:13" ht="20.100000000000001" customHeight="1" x14ac:dyDescent="0.25">
      <c r="M155" s="23"/>
    </row>
    <row r="156" spans="13:13" ht="20.100000000000001" customHeight="1" x14ac:dyDescent="0.25">
      <c r="M156" s="23"/>
    </row>
    <row r="157" spans="13:13" ht="20.100000000000001" customHeight="1" x14ac:dyDescent="0.25">
      <c r="M157" s="23"/>
    </row>
    <row r="158" spans="13:13" ht="20.100000000000001" customHeight="1" x14ac:dyDescent="0.25">
      <c r="M158" s="23"/>
    </row>
    <row r="159" spans="13:13" ht="20.100000000000001" customHeight="1" x14ac:dyDescent="0.25">
      <c r="M159" s="23"/>
    </row>
    <row r="160" spans="13:13" ht="20.100000000000001" customHeight="1" x14ac:dyDescent="0.25">
      <c r="M160" s="23"/>
    </row>
    <row r="161" spans="13:13" ht="20.100000000000001" customHeight="1" x14ac:dyDescent="0.25">
      <c r="M161" s="23"/>
    </row>
    <row r="162" spans="13:13" ht="20.100000000000001" customHeight="1" x14ac:dyDescent="0.25">
      <c r="M162" s="23"/>
    </row>
    <row r="163" spans="13:13" ht="20.100000000000001" customHeight="1" x14ac:dyDescent="0.25">
      <c r="M163" s="23"/>
    </row>
    <row r="164" spans="13:13" ht="20.100000000000001" customHeight="1" x14ac:dyDescent="0.25">
      <c r="M164" s="23"/>
    </row>
    <row r="165" spans="13:13" ht="20.100000000000001" customHeight="1" x14ac:dyDescent="0.25">
      <c r="M165" s="23"/>
    </row>
    <row r="166" spans="13:13" x14ac:dyDescent="0.25">
      <c r="M166" s="23"/>
    </row>
    <row r="167" spans="13:13" x14ac:dyDescent="0.25">
      <c r="M167" s="23"/>
    </row>
    <row r="168" spans="13:13" x14ac:dyDescent="0.25">
      <c r="M168" s="23"/>
    </row>
    <row r="169" spans="13:13" x14ac:dyDescent="0.25">
      <c r="M169" s="23"/>
    </row>
    <row r="170" spans="13:13" x14ac:dyDescent="0.25">
      <c r="M170" s="23"/>
    </row>
    <row r="171" spans="13:13" x14ac:dyDescent="0.25">
      <c r="M171" s="23"/>
    </row>
    <row r="172" spans="13:13" x14ac:dyDescent="0.25">
      <c r="M172" s="23"/>
    </row>
    <row r="173" spans="13:13" x14ac:dyDescent="0.25">
      <c r="M173" s="23"/>
    </row>
    <row r="174" spans="13:13" x14ac:dyDescent="0.25">
      <c r="M174" s="23"/>
    </row>
    <row r="175" spans="13:13" x14ac:dyDescent="0.25">
      <c r="M175" s="23"/>
    </row>
    <row r="176" spans="13:13" x14ac:dyDescent="0.25">
      <c r="M176" s="23"/>
    </row>
    <row r="177" spans="13:13" x14ac:dyDescent="0.25">
      <c r="M177" s="23"/>
    </row>
    <row r="178" spans="13:13" x14ac:dyDescent="0.25">
      <c r="M178" s="23"/>
    </row>
    <row r="179" spans="13:13" x14ac:dyDescent="0.25">
      <c r="M179" s="23"/>
    </row>
    <row r="180" spans="13:13" x14ac:dyDescent="0.25">
      <c r="M180" s="23"/>
    </row>
    <row r="181" spans="13:13" x14ac:dyDescent="0.25">
      <c r="M181" s="23"/>
    </row>
    <row r="182" spans="13:13" x14ac:dyDescent="0.25">
      <c r="M182" s="23"/>
    </row>
    <row r="183" spans="13:13" x14ac:dyDescent="0.25">
      <c r="M183" s="23"/>
    </row>
    <row r="184" spans="13:13" x14ac:dyDescent="0.25">
      <c r="M184" s="23"/>
    </row>
    <row r="185" spans="13:13" x14ac:dyDescent="0.25">
      <c r="M185" s="23"/>
    </row>
    <row r="186" spans="13:13" x14ac:dyDescent="0.25">
      <c r="M186" s="23"/>
    </row>
    <row r="187" spans="13:13" x14ac:dyDescent="0.25">
      <c r="M187" s="23"/>
    </row>
    <row r="188" spans="13:13" x14ac:dyDescent="0.25">
      <c r="M188" s="23"/>
    </row>
    <row r="189" spans="13:13" x14ac:dyDescent="0.25">
      <c r="M189" s="23"/>
    </row>
    <row r="190" spans="13:13" x14ac:dyDescent="0.25">
      <c r="M190" s="23"/>
    </row>
    <row r="191" spans="13:13" x14ac:dyDescent="0.25">
      <c r="M191" s="23"/>
    </row>
    <row r="192" spans="13:13" x14ac:dyDescent="0.25">
      <c r="M192" s="23"/>
    </row>
    <row r="193" spans="13:13" x14ac:dyDescent="0.25">
      <c r="M193" s="23"/>
    </row>
    <row r="194" spans="13:13" x14ac:dyDescent="0.25">
      <c r="M194" s="23"/>
    </row>
    <row r="195" spans="13:13" x14ac:dyDescent="0.25">
      <c r="M195" s="23"/>
    </row>
    <row r="196" spans="13:13" x14ac:dyDescent="0.25">
      <c r="M196" s="23"/>
    </row>
    <row r="197" spans="13:13" x14ac:dyDescent="0.25">
      <c r="M197" s="23"/>
    </row>
    <row r="198" spans="13:13" x14ac:dyDescent="0.25">
      <c r="M198" s="23"/>
    </row>
    <row r="199" spans="13:13" x14ac:dyDescent="0.25">
      <c r="M199" s="23"/>
    </row>
    <row r="200" spans="13:13" x14ac:dyDescent="0.25">
      <c r="M200" s="23"/>
    </row>
    <row r="201" spans="13:13" x14ac:dyDescent="0.25">
      <c r="M201" s="23"/>
    </row>
    <row r="202" spans="13:13" x14ac:dyDescent="0.25">
      <c r="M202" s="23"/>
    </row>
    <row r="203" spans="13:13" x14ac:dyDescent="0.25">
      <c r="M203" s="23"/>
    </row>
    <row r="204" spans="13:13" x14ac:dyDescent="0.25">
      <c r="M204" s="23"/>
    </row>
    <row r="205" spans="13:13" x14ac:dyDescent="0.25">
      <c r="M205" s="23"/>
    </row>
    <row r="206" spans="13:13" x14ac:dyDescent="0.25">
      <c r="M206" s="23"/>
    </row>
    <row r="207" spans="13:13" x14ac:dyDescent="0.25">
      <c r="M207" s="23"/>
    </row>
    <row r="208" spans="13:13" x14ac:dyDescent="0.25">
      <c r="M208" s="23"/>
    </row>
    <row r="209" spans="13:13" x14ac:dyDescent="0.25">
      <c r="M209" s="23"/>
    </row>
    <row r="210" spans="13:13" x14ac:dyDescent="0.25">
      <c r="M210" s="23"/>
    </row>
    <row r="211" spans="13:13" x14ac:dyDescent="0.25">
      <c r="M211" s="23"/>
    </row>
    <row r="212" spans="13:13" x14ac:dyDescent="0.25">
      <c r="M212" s="23"/>
    </row>
    <row r="213" spans="13:13" x14ac:dyDescent="0.25">
      <c r="M213" s="23"/>
    </row>
    <row r="214" spans="13:13" x14ac:dyDescent="0.25">
      <c r="M214" s="23"/>
    </row>
    <row r="215" spans="13:13" x14ac:dyDescent="0.25">
      <c r="M215" s="23"/>
    </row>
    <row r="216" spans="13:13" x14ac:dyDescent="0.25">
      <c r="M216" s="23"/>
    </row>
    <row r="217" spans="13:13" x14ac:dyDescent="0.25">
      <c r="M217" s="23"/>
    </row>
    <row r="218" spans="13:13" x14ac:dyDescent="0.25">
      <c r="M218" s="23"/>
    </row>
    <row r="219" spans="13:13" x14ac:dyDescent="0.25">
      <c r="M219" s="23"/>
    </row>
    <row r="220" spans="13:13" x14ac:dyDescent="0.25">
      <c r="M220" s="23"/>
    </row>
    <row r="221" spans="13:13" x14ac:dyDescent="0.25">
      <c r="M221" s="23"/>
    </row>
    <row r="222" spans="13:13" x14ac:dyDescent="0.25">
      <c r="M222" s="23"/>
    </row>
    <row r="223" spans="13:13" x14ac:dyDescent="0.25">
      <c r="M223" s="23"/>
    </row>
    <row r="224" spans="13:13" x14ac:dyDescent="0.25">
      <c r="M224" s="23"/>
    </row>
    <row r="225" spans="13:13" x14ac:dyDescent="0.25">
      <c r="M225" s="23"/>
    </row>
    <row r="226" spans="13:13" x14ac:dyDescent="0.25">
      <c r="M226" s="23"/>
    </row>
    <row r="227" spans="13:13" x14ac:dyDescent="0.25">
      <c r="M227" s="23"/>
    </row>
    <row r="228" spans="13:13" x14ac:dyDescent="0.25">
      <c r="M228" s="23"/>
    </row>
    <row r="229" spans="13:13" x14ac:dyDescent="0.25">
      <c r="M229" s="23"/>
    </row>
    <row r="230" spans="13:13" x14ac:dyDescent="0.25">
      <c r="M230" s="23"/>
    </row>
    <row r="231" spans="13:13" x14ac:dyDescent="0.25">
      <c r="M231" s="23"/>
    </row>
    <row r="232" spans="13:13" x14ac:dyDescent="0.25">
      <c r="M232" s="23"/>
    </row>
    <row r="233" spans="13:13" x14ac:dyDescent="0.25">
      <c r="M233" s="23"/>
    </row>
    <row r="234" spans="13:13" x14ac:dyDescent="0.25">
      <c r="M234" s="23"/>
    </row>
    <row r="235" spans="13:13" x14ac:dyDescent="0.25">
      <c r="M235" s="23"/>
    </row>
    <row r="236" spans="13:13" x14ac:dyDescent="0.25">
      <c r="M236" s="23"/>
    </row>
    <row r="237" spans="13:13" x14ac:dyDescent="0.25">
      <c r="M237" s="23"/>
    </row>
    <row r="238" spans="13:13" x14ac:dyDescent="0.25">
      <c r="M238" s="23"/>
    </row>
    <row r="239" spans="13:13" x14ac:dyDescent="0.25">
      <c r="M239" s="23"/>
    </row>
    <row r="240" spans="13:13" x14ac:dyDescent="0.25">
      <c r="M240" s="23"/>
    </row>
    <row r="241" spans="13:13" x14ac:dyDescent="0.25">
      <c r="M241" s="23"/>
    </row>
    <row r="242" spans="13:13" x14ac:dyDescent="0.25">
      <c r="M242" s="23"/>
    </row>
    <row r="243" spans="13:13" x14ac:dyDescent="0.25">
      <c r="M243" s="23"/>
    </row>
    <row r="244" spans="13:13" x14ac:dyDescent="0.25">
      <c r="M244" s="23"/>
    </row>
    <row r="245" spans="13:13" x14ac:dyDescent="0.25">
      <c r="M245" s="23"/>
    </row>
    <row r="246" spans="13:13" x14ac:dyDescent="0.25">
      <c r="M246" s="23"/>
    </row>
    <row r="247" spans="13:13" x14ac:dyDescent="0.25">
      <c r="M247" s="23"/>
    </row>
    <row r="248" spans="13:13" x14ac:dyDescent="0.25">
      <c r="M248" s="23"/>
    </row>
    <row r="249" spans="13:13" x14ac:dyDescent="0.25">
      <c r="M249" s="23"/>
    </row>
    <row r="250" spans="13:13" x14ac:dyDescent="0.25">
      <c r="M250" s="23"/>
    </row>
    <row r="251" spans="13:13" x14ac:dyDescent="0.25">
      <c r="M251" s="23"/>
    </row>
    <row r="252" spans="13:13" x14ac:dyDescent="0.25">
      <c r="M252" s="23"/>
    </row>
    <row r="253" spans="13:13" x14ac:dyDescent="0.25">
      <c r="M253" s="23"/>
    </row>
    <row r="254" spans="13:13" x14ac:dyDescent="0.25">
      <c r="M254" s="23"/>
    </row>
    <row r="255" spans="13:13" x14ac:dyDescent="0.25">
      <c r="M255" s="23"/>
    </row>
    <row r="256" spans="13:13" x14ac:dyDescent="0.25">
      <c r="M256" s="23"/>
    </row>
    <row r="257" spans="13:13" x14ac:dyDescent="0.25">
      <c r="M257" s="23"/>
    </row>
    <row r="258" spans="13:13" x14ac:dyDescent="0.25">
      <c r="M258" s="23"/>
    </row>
    <row r="259" spans="13:13" x14ac:dyDescent="0.25">
      <c r="M259" s="23"/>
    </row>
    <row r="260" spans="13:13" x14ac:dyDescent="0.25">
      <c r="M260" s="23"/>
    </row>
    <row r="261" spans="13:13" x14ac:dyDescent="0.25">
      <c r="M261" s="23"/>
    </row>
    <row r="262" spans="13:13" x14ac:dyDescent="0.25">
      <c r="M262" s="23"/>
    </row>
    <row r="263" spans="13:13" x14ac:dyDescent="0.25">
      <c r="M263" s="23"/>
    </row>
    <row r="264" spans="13:13" x14ac:dyDescent="0.25">
      <c r="M264" s="23"/>
    </row>
    <row r="265" spans="13:13" x14ac:dyDescent="0.25">
      <c r="M265" s="23"/>
    </row>
    <row r="266" spans="13:13" x14ac:dyDescent="0.25">
      <c r="M266" s="23"/>
    </row>
    <row r="267" spans="13:13" x14ac:dyDescent="0.25">
      <c r="M267" s="23"/>
    </row>
    <row r="268" spans="13:13" x14ac:dyDescent="0.25">
      <c r="M268" s="23"/>
    </row>
    <row r="269" spans="13:13" x14ac:dyDescent="0.25">
      <c r="M269" s="23"/>
    </row>
    <row r="270" spans="13:13" x14ac:dyDescent="0.25">
      <c r="M270" s="23"/>
    </row>
    <row r="271" spans="13:13" x14ac:dyDescent="0.25">
      <c r="M271" s="23"/>
    </row>
    <row r="272" spans="13:13" x14ac:dyDescent="0.25">
      <c r="M272" s="23"/>
    </row>
    <row r="273" spans="13:13" x14ac:dyDescent="0.25">
      <c r="M273" s="23"/>
    </row>
    <row r="274" spans="13:13" x14ac:dyDescent="0.25">
      <c r="M274" s="23"/>
    </row>
    <row r="275" spans="13:13" x14ac:dyDescent="0.25">
      <c r="M275" s="23"/>
    </row>
    <row r="276" spans="13:13" x14ac:dyDescent="0.25">
      <c r="M276" s="23"/>
    </row>
    <row r="277" spans="13:13" x14ac:dyDescent="0.25">
      <c r="M277" s="23"/>
    </row>
    <row r="278" spans="13:13" x14ac:dyDescent="0.25">
      <c r="M278" s="23"/>
    </row>
    <row r="279" spans="13:13" x14ac:dyDescent="0.25">
      <c r="M279" s="23"/>
    </row>
    <row r="280" spans="13:13" x14ac:dyDescent="0.25">
      <c r="M280" s="23"/>
    </row>
    <row r="281" spans="13:13" x14ac:dyDescent="0.25">
      <c r="M281" s="23"/>
    </row>
    <row r="282" spans="13:13" x14ac:dyDescent="0.25">
      <c r="M282" s="23"/>
    </row>
    <row r="283" spans="13:13" x14ac:dyDescent="0.25">
      <c r="M283" s="23"/>
    </row>
    <row r="284" spans="13:13" x14ac:dyDescent="0.25">
      <c r="M284" s="23"/>
    </row>
    <row r="285" spans="13:13" x14ac:dyDescent="0.25">
      <c r="M285" s="23"/>
    </row>
    <row r="286" spans="13:13" x14ac:dyDescent="0.25">
      <c r="M286" s="23"/>
    </row>
    <row r="287" spans="13:13" x14ac:dyDescent="0.25">
      <c r="M287" s="23"/>
    </row>
    <row r="288" spans="13:13" x14ac:dyDescent="0.25">
      <c r="M288" s="23"/>
    </row>
  </sheetData>
  <pageMargins left="0.7" right="0.7" top="0.75" bottom="0.75" header="0.3" footer="0.3"/>
  <tableParts count="9">
    <tablePart r:id="rId1"/>
    <tablePart r:id="rId2"/>
    <tablePart r:id="rId3"/>
    <tablePart r:id="rId4"/>
    <tablePart r:id="rId5"/>
    <tablePart r:id="rId6"/>
    <tablePart r:id="rId7"/>
    <tablePart r:id="rId8"/>
    <tablePart r:id="rId9"/>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556F25-26A3-4520-984A-0571CD11C947}">
  <sheetPr>
    <tabColor theme="2" tint="-0.499984740745262"/>
  </sheetPr>
  <dimension ref="A1:BY297"/>
  <sheetViews>
    <sheetView showGridLines="0" tabSelected="1" topLeftCell="A239" zoomScaleNormal="100" workbookViewId="0">
      <selection activeCell="I279" sqref="I279"/>
    </sheetView>
  </sheetViews>
  <sheetFormatPr defaultColWidth="9.140625" defaultRowHeight="15.75" x14ac:dyDescent="0.25"/>
  <cols>
    <col min="1" max="1" width="30.7109375" style="7" customWidth="1"/>
    <col min="2" max="2" width="2.7109375" style="7" customWidth="1"/>
    <col min="3" max="3" width="4.7109375" style="1" customWidth="1"/>
    <col min="4" max="4" width="48" style="1" customWidth="1"/>
    <col min="5" max="6" width="20.7109375" style="1" customWidth="1"/>
    <col min="7" max="7" width="30.28515625" style="1" customWidth="1"/>
    <col min="8" max="9" width="20.7109375" style="1" customWidth="1"/>
    <col min="10" max="10" width="34.28515625" style="1" customWidth="1"/>
    <col min="11" max="13" width="20.7109375" style="1" customWidth="1"/>
    <col min="14" max="14" width="33.140625" style="1" customWidth="1"/>
    <col min="15" max="15" width="36.42578125" style="1" customWidth="1"/>
    <col min="16" max="16" width="21" style="1" customWidth="1"/>
    <col min="17" max="17" width="21.28515625" style="1" customWidth="1"/>
    <col min="18" max="18" width="31.140625" style="1" customWidth="1"/>
    <col min="19" max="20" width="20.7109375" style="1" customWidth="1"/>
    <col min="21" max="21" width="4.7109375" style="1" customWidth="1"/>
    <col min="22" max="33" width="20.7109375" style="7" customWidth="1"/>
    <col min="34" max="39" width="21.85546875" style="7" customWidth="1"/>
    <col min="40" max="44" width="20.7109375" style="7" customWidth="1"/>
    <col min="45" max="65" width="9.140625" style="7"/>
    <col min="66" max="16384" width="9.140625" style="3"/>
  </cols>
  <sheetData>
    <row r="1" spans="1:65" s="8" customFormat="1" ht="30" customHeight="1" x14ac:dyDescent="0.35">
      <c r="A1" s="8" t="e" vm="1">
        <v>#VALUE!</v>
      </c>
      <c r="C1" s="8" t="s">
        <v>72</v>
      </c>
    </row>
    <row r="2" spans="1:65" s="9" customFormat="1" ht="20.100000000000001" customHeight="1" x14ac:dyDescent="0.25">
      <c r="A2"/>
    </row>
    <row r="3" spans="1:65" ht="20.100000000000001" customHeight="1" x14ac:dyDescent="0.25">
      <c r="A3" s="17" t="str">
        <f>HYPERLINK("#'Home'!A1", "Home")</f>
        <v>Home</v>
      </c>
      <c r="C3" s="4"/>
      <c r="D3" s="4"/>
      <c r="E3" s="4"/>
      <c r="F3" s="4"/>
      <c r="G3" s="4"/>
      <c r="H3" s="4"/>
      <c r="I3" s="4"/>
      <c r="J3" s="4"/>
      <c r="K3" s="4"/>
      <c r="L3" s="4"/>
      <c r="M3" s="4"/>
      <c r="N3" s="4"/>
      <c r="O3" s="4"/>
      <c r="P3" s="4"/>
      <c r="Q3" s="4"/>
      <c r="R3" s="4"/>
      <c r="S3" s="4"/>
      <c r="T3" s="4"/>
      <c r="U3" s="4"/>
      <c r="V3" s="11"/>
      <c r="W3" s="11"/>
    </row>
    <row r="4" spans="1:65" ht="20.100000000000001" customHeight="1" x14ac:dyDescent="0.25">
      <c r="A4"/>
      <c r="BM4" s="3"/>
    </row>
    <row r="5" spans="1:65" ht="20.100000000000001" customHeight="1" x14ac:dyDescent="0.25">
      <c r="A5"/>
      <c r="D5" s="6" t="str" cm="1">
        <f t="array" ref="D5">Common_SourceData.Common_SourceData_AustralianStatesTerritories_Title()</f>
        <v>Australian states and territories</v>
      </c>
      <c r="BM5" s="3"/>
    </row>
    <row r="6" spans="1:65" ht="20.100000000000001" customHeight="1" x14ac:dyDescent="0.25">
      <c r="A6" s="145" t="s">
        <v>1</v>
      </c>
      <c r="D6" s="38" t="s">
        <v>18</v>
      </c>
      <c r="E6" s="38" t="s">
        <v>19</v>
      </c>
      <c r="F6" s="38" t="s">
        <v>20</v>
      </c>
    </row>
    <row r="7" spans="1:65" ht="20.100000000000001" customHeight="1" x14ac:dyDescent="0.25">
      <c r="A7" s="67" t="str">
        <f>HYPERLINK("#'Constants - Common'!A1", "Constants - Common")</f>
        <v>Constants - Common</v>
      </c>
      <c r="D7" s="38" t="str" cm="1">
        <f t="array" ref="D7">Common_InputFunctions.Utility_DisplayArrayInTable(Common_SourceData.Common_SourceData_AustralianStatesTerritories_Data(),Table_AustralianStates[[#Headers],[State/Territory]],0)</f>
        <v>New South Wales</v>
      </c>
      <c r="E7" s="38" t="str" cm="1">
        <f t="array" ref="E7">Common_InputFunctions.Utility_DisplayArrayInTable(Common_SourceData.Common_SourceData_AustralianStatesTerritories_Data(),Table_AustralianStates[[#Headers],[State/Territory]],0)</f>
        <v>New South Wales</v>
      </c>
      <c r="F7" s="38" t="str" cm="1">
        <f t="array" ref="F7">Common_InputFunctions.Utility_DisplayArrayInTable(Common_SourceData.Common_SourceData_AustralianStatesTerritories_Data(),Table_AustralianStates[[#Headers],[State/Territory]],0)</f>
        <v>NSW</v>
      </c>
    </row>
    <row r="8" spans="1:65" ht="20.100000000000001" customHeight="1" x14ac:dyDescent="0.25">
      <c r="A8" s="17" t="str">
        <f>HYPERLINK("#'Acknowledgements'!A1", "Acknowledgements")</f>
        <v>Acknowledgements</v>
      </c>
      <c r="D8" s="38" t="str" cm="1">
        <f t="array" ref="D8">Common_InputFunctions.Utility_DisplayArrayInTable(Common_SourceData.Common_SourceData_AustralianStatesTerritories_Data(),Table_AustralianStates[[#Headers],[State/Territory]],0)</f>
        <v>Australian Capital Territory</v>
      </c>
      <c r="E8" s="38" t="str" cm="1">
        <f t="array" ref="E8">Common_InputFunctions.Utility_DisplayArrayInTable(Common_SourceData.Common_SourceData_AustralianStatesTerritories_Data(),Table_AustralianStates[[#Headers],[State/Territory]],0)</f>
        <v>ACT</v>
      </c>
      <c r="F8" s="38" t="str" cm="1">
        <f t="array" ref="F8">Common_InputFunctions.Utility_DisplayArrayInTable(Common_SourceData.Common_SourceData_AustralianStatesTerritories_Data(),Table_AustralianStates[[#Headers],[State/Territory]],0)</f>
        <v>ACT</v>
      </c>
    </row>
    <row r="9" spans="1:65" ht="20.100000000000001" customHeight="1" x14ac:dyDescent="0.25">
      <c r="A9"/>
      <c r="D9" s="38" t="str" cm="1">
        <f t="array" ref="D9">Common_InputFunctions.Utility_DisplayArrayInTable(Common_SourceData.Common_SourceData_AustralianStatesTerritories_Data(),Table_AustralianStates[[#Headers],[State/Territory]],0)</f>
        <v>Victoria</v>
      </c>
      <c r="E9" s="38" t="str" cm="1">
        <f t="array" ref="E9">Common_InputFunctions.Utility_DisplayArrayInTable(Common_SourceData.Common_SourceData_AustralianStatesTerritories_Data(),Table_AustralianStates[[#Headers],[State/Territory]],0)</f>
        <v>Victoria</v>
      </c>
      <c r="F9" s="38" t="str" cm="1">
        <f t="array" ref="F9">Common_InputFunctions.Utility_DisplayArrayInTable(Common_SourceData.Common_SourceData_AustralianStatesTerritories_Data(),Table_AustralianStates[[#Headers],[State/Territory]],0)</f>
        <v>VIC</v>
      </c>
    </row>
    <row r="10" spans="1:65" ht="20.100000000000001" customHeight="1" x14ac:dyDescent="0.25">
      <c r="A10"/>
      <c r="D10" s="38" t="str" cm="1">
        <f t="array" ref="D10">Common_InputFunctions.Utility_DisplayArrayInTable(Common_SourceData.Common_SourceData_AustralianStatesTerritories_Data(),Table_AustralianStates[[#Headers],[State/Territory]],0)</f>
        <v>Queensland</v>
      </c>
      <c r="E10" s="38" t="str" cm="1">
        <f t="array" ref="E10">Common_InputFunctions.Utility_DisplayArrayInTable(Common_SourceData.Common_SourceData_AustralianStatesTerritories_Data(),Table_AustralianStates[[#Headers],[State/Territory]],0)</f>
        <v>Queensland</v>
      </c>
      <c r="F10" s="38" t="str" cm="1">
        <f t="array" ref="F10">Common_InputFunctions.Utility_DisplayArrayInTable(Common_SourceData.Common_SourceData_AustralianStatesTerritories_Data(),Table_AustralianStates[[#Headers],[State/Territory]],0)</f>
        <v>QLD</v>
      </c>
    </row>
    <row r="11" spans="1:65" ht="20.100000000000001" customHeight="1" x14ac:dyDescent="0.25">
      <c r="A11"/>
      <c r="D11" s="38" t="str" cm="1">
        <f t="array" ref="D11">Common_InputFunctions.Utility_DisplayArrayInTable(Common_SourceData.Common_SourceData_AustralianStatesTerritories_Data(),Table_AustralianStates[[#Headers],[State/Territory]],0)</f>
        <v>South Australia</v>
      </c>
      <c r="E11" s="38" t="str" cm="1">
        <f t="array" ref="E11">Common_InputFunctions.Utility_DisplayArrayInTable(Common_SourceData.Common_SourceData_AustralianStatesTerritories_Data(),Table_AustralianStates[[#Headers],[State/Territory]],0)</f>
        <v>South Australia</v>
      </c>
      <c r="F11" s="38" t="str" cm="1">
        <f t="array" ref="F11">Common_InputFunctions.Utility_DisplayArrayInTable(Common_SourceData.Common_SourceData_AustralianStatesTerritories_Data(),Table_AustralianStates[[#Headers],[State/Territory]],0)</f>
        <v>SA</v>
      </c>
      <c r="BM11" s="3"/>
    </row>
    <row r="12" spans="1:65" ht="20.100000000000001" customHeight="1" x14ac:dyDescent="0.25">
      <c r="A12"/>
      <c r="D12" s="38" t="str" cm="1">
        <f t="array" ref="D12">Common_InputFunctions.Utility_DisplayArrayInTable(Common_SourceData.Common_SourceData_AustralianStatesTerritories_Data(),Table_AustralianStates[[#Headers],[State/Territory]],0)</f>
        <v>Western Australia</v>
      </c>
      <c r="E12" s="38" t="str" cm="1">
        <f t="array" ref="E12">Common_InputFunctions.Utility_DisplayArrayInTable(Common_SourceData.Common_SourceData_AustralianStatesTerritories_Data(),Table_AustralianStates[[#Headers],[State/Territory]],0)</f>
        <v>Western Australia</v>
      </c>
      <c r="F12" s="38" t="str" cm="1">
        <f t="array" ref="F12">Common_InputFunctions.Utility_DisplayArrayInTable(Common_SourceData.Common_SourceData_AustralianStatesTerritories_Data(),Table_AustralianStates[[#Headers],[State/Territory]],0)</f>
        <v>WA</v>
      </c>
      <c r="BM12" s="3"/>
    </row>
    <row r="13" spans="1:65" ht="20.100000000000001" customHeight="1" x14ac:dyDescent="0.25">
      <c r="A13"/>
      <c r="D13" s="38" t="str" cm="1">
        <f t="array" ref="D13">Common_InputFunctions.Utility_DisplayArrayInTable(Common_SourceData.Common_SourceData_AustralianStatesTerritories_Data(),Table_AustralianStates[[#Headers],[State/Territory]],0)</f>
        <v>Tasmania</v>
      </c>
      <c r="E13" s="38" t="str" cm="1">
        <f t="array" ref="E13">Common_InputFunctions.Utility_DisplayArrayInTable(Common_SourceData.Common_SourceData_AustralianStatesTerritories_Data(),Table_AustralianStates[[#Headers],[State/Territory]],0)</f>
        <v>Tasmania</v>
      </c>
      <c r="F13" s="38" t="str" cm="1">
        <f t="array" ref="F13">Common_InputFunctions.Utility_DisplayArrayInTable(Common_SourceData.Common_SourceData_AustralianStatesTerritories_Data(),Table_AustralianStates[[#Headers],[State/Territory]],0)</f>
        <v>TAS</v>
      </c>
    </row>
    <row r="14" spans="1:65" ht="20.100000000000001" customHeight="1" x14ac:dyDescent="0.25">
      <c r="A14"/>
      <c r="D14" s="38" t="str" cm="1">
        <f t="array" ref="D14">Common_InputFunctions.Utility_DisplayArrayInTable(Common_SourceData.Common_SourceData_AustralianStatesTerritories_Data(),Table_AustralianStates[[#Headers],[State/Territory]],0)</f>
        <v>Northern Territory</v>
      </c>
      <c r="E14" s="38" t="str" cm="1">
        <f t="array" ref="E14">Common_InputFunctions.Utility_DisplayArrayInTable(Common_SourceData.Common_SourceData_AustralianStatesTerritories_Data(),Table_AustralianStates[[#Headers],[State/Territory]],0)</f>
        <v>Northern Territory</v>
      </c>
      <c r="F14" s="38" t="str" cm="1">
        <f t="array" ref="F14">Common_InputFunctions.Utility_DisplayArrayInTable(Common_SourceData.Common_SourceData_AustralianStatesTerritories_Data(),Table_AustralianStates[[#Headers],[State/Territory]],0)</f>
        <v>NT</v>
      </c>
    </row>
    <row r="15" spans="1:65" ht="20.100000000000001" customHeight="1" x14ac:dyDescent="0.25">
      <c r="A15"/>
    </row>
    <row r="16" spans="1:65" ht="20.100000000000001" customHeight="1" x14ac:dyDescent="0.25">
      <c r="A16"/>
    </row>
    <row r="17" spans="1:4" ht="20.100000000000001" customHeight="1" x14ac:dyDescent="0.25">
      <c r="A17"/>
    </row>
    <row r="18" spans="1:4" ht="20.100000000000001" customHeight="1" x14ac:dyDescent="0.25">
      <c r="A18"/>
      <c r="D18" s="6" t="str" cm="1">
        <f t="array" ref="D18">Common_SourceData.Common_SourceData_WASA4Areas_Title()</f>
        <v>ABS Statistcal Areas Level 4 - Western Australia</v>
      </c>
    </row>
    <row r="19" spans="1:4" ht="20.100000000000001" customHeight="1" x14ac:dyDescent="0.25">
      <c r="A19"/>
      <c r="D19" s="5" t="str" cm="1">
        <f t="array" ref="D19">Common_SourceData.Common_SourceData_WASA4Areas_Source()</f>
        <v>Australian Bureau of Statistics (ABS) - Statistical Areas Level 2 - 2021 - Shapefile</v>
      </c>
    </row>
    <row r="20" spans="1:4" ht="20.100000000000001" customHeight="1" x14ac:dyDescent="0.25">
      <c r="A20"/>
      <c r="D20" s="38" t="s">
        <v>21</v>
      </c>
    </row>
    <row r="21" spans="1:4" ht="20.100000000000001" customHeight="1" x14ac:dyDescent="0.25">
      <c r="A21"/>
      <c r="D21" s="38" t="str" cm="1">
        <f t="array" ref="D21">Common_InputFunctions.Utility_DisplayArrayInTable(Common_SourceData.Common_SourceData_WASA4Areas_Data(), Table_WASA4Areas[[#Headers],[SA 4 Name]], 0)</f>
        <v>Bunbury</v>
      </c>
    </row>
    <row r="22" spans="1:4" ht="20.100000000000001" customHeight="1" x14ac:dyDescent="0.25">
      <c r="A22"/>
      <c r="D22" s="38" t="str" cm="1">
        <f t="array" ref="D22">Common_InputFunctions.Utility_DisplayArrayInTable(Common_SourceData.Common_SourceData_WASA4Areas_Data(), Table_WASA4Areas[[#Headers],[SA 4 Name]], 0)</f>
        <v>Mandurah</v>
      </c>
    </row>
    <row r="23" spans="1:4" ht="20.100000000000001" customHeight="1" x14ac:dyDescent="0.25">
      <c r="A23"/>
      <c r="D23" s="38" t="str" cm="1">
        <f t="array" ref="D23">Common_InputFunctions.Utility_DisplayArrayInTable(Common_SourceData.Common_SourceData_WASA4Areas_Data(), Table_WASA4Areas[[#Headers],[SA 4 Name]], 0)</f>
        <v>Perth - Inner</v>
      </c>
    </row>
    <row r="24" spans="1:4" ht="20.100000000000001" customHeight="1" x14ac:dyDescent="0.25">
      <c r="A24"/>
      <c r="D24" s="38" t="str" cm="1">
        <f t="array" ref="D24">Common_InputFunctions.Utility_DisplayArrayInTable(Common_SourceData.Common_SourceData_WASA4Areas_Data(), Table_WASA4Areas[[#Headers],[SA 4 Name]], 0)</f>
        <v>Perth - North East</v>
      </c>
    </row>
    <row r="25" spans="1:4" ht="20.100000000000001" customHeight="1" x14ac:dyDescent="0.25">
      <c r="A25"/>
      <c r="D25" s="38" t="str" cm="1">
        <f t="array" ref="D25">Common_InputFunctions.Utility_DisplayArrayInTable(Common_SourceData.Common_SourceData_WASA4Areas_Data(), Table_WASA4Areas[[#Headers],[SA 4 Name]], 0)</f>
        <v>Perth - North West</v>
      </c>
    </row>
    <row r="26" spans="1:4" ht="20.100000000000001" customHeight="1" x14ac:dyDescent="0.25">
      <c r="A26"/>
      <c r="D26" s="38" t="str" cm="1">
        <f t="array" ref="D26">Common_InputFunctions.Utility_DisplayArrayInTable(Common_SourceData.Common_SourceData_WASA4Areas_Data(), Table_WASA4Areas[[#Headers],[SA 4 Name]], 0)</f>
        <v>Perth - South East</v>
      </c>
    </row>
    <row r="27" spans="1:4" ht="20.100000000000001" customHeight="1" x14ac:dyDescent="0.25">
      <c r="A27"/>
      <c r="D27" s="38" t="str" cm="1">
        <f t="array" ref="D27">Common_InputFunctions.Utility_DisplayArrayInTable(Common_SourceData.Common_SourceData_WASA4Areas_Data(), Table_WASA4Areas[[#Headers],[SA 4 Name]], 0)</f>
        <v>Perth - South West</v>
      </c>
    </row>
    <row r="28" spans="1:4" ht="20.100000000000001" customHeight="1" x14ac:dyDescent="0.25">
      <c r="A28"/>
      <c r="D28" s="38" t="str" cm="1">
        <f t="array" ref="D28">Common_InputFunctions.Utility_DisplayArrayInTable(Common_SourceData.Common_SourceData_WASA4Areas_Data(), Table_WASA4Areas[[#Headers],[SA 4 Name]], 0)</f>
        <v>Western Australia - Wheat Belt</v>
      </c>
    </row>
    <row r="29" spans="1:4" ht="20.100000000000001" customHeight="1" x14ac:dyDescent="0.25">
      <c r="A29"/>
      <c r="D29" s="38" t="str" cm="1">
        <f t="array" ref="D29">Common_InputFunctions.Utility_DisplayArrayInTable(Common_SourceData.Common_SourceData_WASA4Areas_Data(), Table_WASA4Areas[[#Headers],[SA 4 Name]], 0)</f>
        <v>Western Australia - Outback (North)</v>
      </c>
    </row>
    <row r="30" spans="1:4" ht="20.100000000000001" customHeight="1" x14ac:dyDescent="0.25">
      <c r="A30"/>
      <c r="D30" s="38" t="str" cm="1">
        <f t="array" ref="D30">Common_InputFunctions.Utility_DisplayArrayInTable(Common_SourceData.Common_SourceData_WASA4Areas_Data(), Table_WASA4Areas[[#Headers],[SA 4 Name]], 0)</f>
        <v>Western Australia - Outback (South)</v>
      </c>
    </row>
    <row r="31" spans="1:4" ht="20.100000000000001" customHeight="1" x14ac:dyDescent="0.25">
      <c r="A31"/>
    </row>
    <row r="32" spans="1:4" ht="20.100000000000001" customHeight="1" x14ac:dyDescent="0.25">
      <c r="A32"/>
    </row>
    <row r="33" spans="1:8" ht="20.100000000000001" customHeight="1" x14ac:dyDescent="0.25">
      <c r="A33"/>
    </row>
    <row r="34" spans="1:8" ht="20.100000000000001" customHeight="1" x14ac:dyDescent="0.25">
      <c r="A34"/>
      <c r="D34" s="6" t="str" cm="1">
        <f t="array" ref="D34">Common_SourceData.Common_SourceData_GWP_Title()</f>
        <v>Global warming potential for greenhouse gases</v>
      </c>
    </row>
    <row r="35" spans="1:8" ht="20.100000000000001" customHeight="1" x14ac:dyDescent="0.25">
      <c r="A35"/>
      <c r="D35" s="5" t="str" cm="1">
        <f t="array" ref="D35">Common_SourceData.Common_SourceData_GWP_Source()</f>
        <v>XXXXXXX</v>
      </c>
    </row>
    <row r="36" spans="1:8" ht="20.100000000000001" customHeight="1" x14ac:dyDescent="0.25">
      <c r="A36"/>
      <c r="D36" s="38" t="s">
        <v>24</v>
      </c>
      <c r="E36" s="38" t="s">
        <v>25</v>
      </c>
    </row>
    <row r="37" spans="1:8" ht="20.100000000000001" customHeight="1" x14ac:dyDescent="0.25">
      <c r="A37"/>
      <c r="D37" s="38" t="str" cm="1">
        <f t="array" ref="D37">Common_InputFunctions.Utility_DisplayArrayInTable(Common_SourceData.Common_SourceData_GWP_Data(), Table_GWPData[[#Headers],[Gas]], 0)</f>
        <v>CO2</v>
      </c>
      <c r="E37" s="38" cm="1">
        <f t="array" ref="E37">Common_InputFunctions.Utility_DisplayArrayInTable(Common_SourceData.Common_SourceData_GWP_Data(), Table_GWPData[[#Headers],[Gas]], 0)</f>
        <v>1</v>
      </c>
    </row>
    <row r="38" spans="1:8" ht="20.100000000000001" customHeight="1" x14ac:dyDescent="0.25">
      <c r="A38"/>
      <c r="D38" s="38" t="str" cm="1">
        <f t="array" ref="D38">Common_InputFunctions.Utility_DisplayArrayInTable(Common_SourceData.Common_SourceData_GWP_Data(), Table_GWPData[[#Headers],[Gas]], 0)</f>
        <v>CH4</v>
      </c>
      <c r="E38" s="38" cm="1">
        <f t="array" ref="E38">Common_InputFunctions.Utility_DisplayArrayInTable(Common_SourceData.Common_SourceData_GWP_Data(), Table_GWPData[[#Headers],[Gas]], 0)</f>
        <v>28</v>
      </c>
    </row>
    <row r="39" spans="1:8" ht="20.100000000000001" customHeight="1" x14ac:dyDescent="0.25">
      <c r="A39"/>
      <c r="D39" s="38" t="str" cm="1">
        <f t="array" ref="D39">Common_InputFunctions.Utility_DisplayArrayInTable(Common_SourceData.Common_SourceData_GWP_Data(), Table_GWPData[[#Headers],[Gas]], 0)</f>
        <v>N2O</v>
      </c>
      <c r="E39" s="38" cm="1">
        <f t="array" ref="E39">Common_InputFunctions.Utility_DisplayArrayInTable(Common_SourceData.Common_SourceData_GWP_Data(), Table_GWPData[[#Headers],[Gas]], 0)</f>
        <v>265</v>
      </c>
    </row>
    <row r="40" spans="1:8" ht="20.100000000000001" customHeight="1" x14ac:dyDescent="0.25">
      <c r="A40"/>
      <c r="D40" s="38" t="str" cm="1">
        <f t="array" ref="D40">Common_InputFunctions.Utility_DisplayArrayInTable(Common_SourceData.Common_SourceData_GWP_Data(), Table_GWPData[[#Headers],[Gas]], 0)</f>
        <v>CF4</v>
      </c>
      <c r="E40" s="38" cm="1">
        <f t="array" ref="E40">Common_InputFunctions.Utility_DisplayArrayInTable(Common_SourceData.Common_SourceData_GWP_Data(), Table_GWPData[[#Headers],[Gas]], 0)</f>
        <v>6630</v>
      </c>
    </row>
    <row r="41" spans="1:8" ht="20.100000000000001" customHeight="1" x14ac:dyDescent="0.25">
      <c r="A41"/>
      <c r="D41" s="38" t="str" cm="1">
        <f t="array" ref="D41">Common_InputFunctions.Utility_DisplayArrayInTable(Common_SourceData.Common_SourceData_GWP_Data(), Table_GWPData[[#Headers],[Gas]], 0)</f>
        <v>C2F6</v>
      </c>
      <c r="E41" s="38" cm="1">
        <f t="array" ref="E41">Common_InputFunctions.Utility_DisplayArrayInTable(Common_SourceData.Common_SourceData_GWP_Data(), Table_GWPData[[#Headers],[Gas]], 0)</f>
        <v>12200</v>
      </c>
    </row>
    <row r="42" spans="1:8" ht="20.100000000000001" customHeight="1" x14ac:dyDescent="0.25">
      <c r="A42"/>
      <c r="D42" s="38" t="str" cm="1">
        <f t="array" ref="D42">Common_InputFunctions.Utility_DisplayArrayInTable(Common_SourceData.Common_SourceData_GWP_Data(), Table_GWPData[[#Headers],[Gas]], 0)</f>
        <v>SF6</v>
      </c>
      <c r="E42" s="38" cm="1">
        <f t="array" ref="E42">Common_InputFunctions.Utility_DisplayArrayInTable(Common_SourceData.Common_SourceData_GWP_Data(), Table_GWPData[[#Headers],[Gas]], 0)</f>
        <v>22800</v>
      </c>
    </row>
    <row r="43" spans="1:8" ht="20.100000000000001" customHeight="1" x14ac:dyDescent="0.25">
      <c r="A43"/>
      <c r="D43" s="38" t="str" cm="1">
        <f t="array" ref="D43">Common_InputFunctions.Utility_DisplayArrayInTable(Common_SourceData.Common_SourceData_GWP_Data(), Table_GWPData[[#Headers],[Gas]], 0)</f>
        <v>NF3</v>
      </c>
      <c r="E43" s="38" cm="1">
        <f t="array" ref="E43">Common_InputFunctions.Utility_DisplayArrayInTable(Common_SourceData.Common_SourceData_GWP_Data(), Table_GWPData[[#Headers],[Gas]], 0)</f>
        <v>17200</v>
      </c>
    </row>
    <row r="44" spans="1:8" ht="20.100000000000001" customHeight="1" x14ac:dyDescent="0.25">
      <c r="A44"/>
    </row>
    <row r="45" spans="1:8" ht="20.100000000000001" customHeight="1" x14ac:dyDescent="0.25">
      <c r="A45"/>
      <c r="D45" s="6" t="str" cm="1">
        <f t="array" ref="D45">Common_SourceData.Common_SourceData_ConvertGasElementalToMolecular_Title()</f>
        <v>Factor to convert elemental mass of gas to molecular mass</v>
      </c>
    </row>
    <row r="46" spans="1:8" ht="20.100000000000001" customHeight="1" x14ac:dyDescent="0.25">
      <c r="A46"/>
      <c r="D46" s="5" t="str" cm="1">
        <f t="array" ref="D46">Common_SourceData.Common_SourceData_ConvertGasElementalToMolecular_Source()</f>
        <v>XXXXXXX</v>
      </c>
    </row>
    <row r="47" spans="1:8" ht="20.100000000000001" customHeight="1" x14ac:dyDescent="0.25">
      <c r="A47"/>
      <c r="D47" s="38" t="s">
        <v>24</v>
      </c>
      <c r="E47" s="38" t="s">
        <v>27</v>
      </c>
      <c r="F47" s="38" t="s">
        <v>28</v>
      </c>
      <c r="G47" s="38" t="s">
        <v>29</v>
      </c>
      <c r="H47" s="38" t="s">
        <v>30</v>
      </c>
    </row>
    <row r="48" spans="1:8" ht="20.100000000000001" customHeight="1" x14ac:dyDescent="0.25">
      <c r="A48"/>
      <c r="D48" s="38" t="str" cm="1">
        <f t="array" ref="D48">Common_InputFunctions.Utility_DisplayArrayInTable(Common_SourceData.Common_SourceData_ConvertGasElementalToMolecular_Data(),Table_GasToMolecularConversionFactor[[#Headers],[Gas]], 0)</f>
        <v>CO2</v>
      </c>
      <c r="E48" s="38" t="str" cm="1">
        <f t="array" ref="E48">Common_InputFunctions.Utility_DisplayArrayInTable(Common_SourceData.Common_SourceData_ConvertGasElementalToMolecular_Data(),Table_GasToMolecularConversionFactor[[#Headers],[Gas]], 0)</f>
        <v>44/12</v>
      </c>
      <c r="F48" s="38" cm="1">
        <f t="array" ref="F48">Common_InputFunctions.Utility_DisplayArrayInTable(Common_SourceData.Common_SourceData_ConvertGasElementalToMolecular_Data(),Table_GasToMolecularConversionFactor[[#Headers],[Gas]], 0)</f>
        <v>44</v>
      </c>
      <c r="G48" s="38" cm="1">
        <f t="array" ref="G48">Common_InputFunctions.Utility_DisplayArrayInTable(Common_SourceData.Common_SourceData_ConvertGasElementalToMolecular_Data(),Table_GasToMolecularConversionFactor[[#Headers],[Gas]], 0)</f>
        <v>12</v>
      </c>
      <c r="H48" s="38">
        <f>Table_GasToMolecularConversionFactor[[#This Row],[Conversion factor 1]]/Table_GasToMolecularConversionFactor[[#This Row],[Conversion factor 2]]</f>
        <v>3.6666666666666665</v>
      </c>
    </row>
    <row r="49" spans="1:8" ht="20.100000000000001" customHeight="1" x14ac:dyDescent="0.25">
      <c r="A49"/>
      <c r="D49" s="38" t="str" cm="1">
        <f t="array" ref="D49">Common_InputFunctions.Utility_DisplayArrayInTable(Common_SourceData.Common_SourceData_ConvertGasElementalToMolecular_Data(),Table_GasToMolecularConversionFactor[[#Headers],[Gas]], 0)</f>
        <v>CH4</v>
      </c>
      <c r="E49" s="38" t="str" cm="1">
        <f t="array" ref="E49">Common_InputFunctions.Utility_DisplayArrayInTable(Common_SourceData.Common_SourceData_ConvertGasElementalToMolecular_Data(),Table_GasToMolecularConversionFactor[[#Headers],[Gas]], 0)</f>
        <v>16/12</v>
      </c>
      <c r="F49" s="38" cm="1">
        <f t="array" ref="F49">Common_InputFunctions.Utility_DisplayArrayInTable(Common_SourceData.Common_SourceData_ConvertGasElementalToMolecular_Data(),Table_GasToMolecularConversionFactor[[#Headers],[Gas]], 0)</f>
        <v>16</v>
      </c>
      <c r="G49" s="38" cm="1">
        <f t="array" ref="G49">Common_InputFunctions.Utility_DisplayArrayInTable(Common_SourceData.Common_SourceData_ConvertGasElementalToMolecular_Data(),Table_GasToMolecularConversionFactor[[#Headers],[Gas]], 0)</f>
        <v>12</v>
      </c>
      <c r="H49" s="38">
        <f>Table_GasToMolecularConversionFactor[[#This Row],[Conversion factor 1]]/Table_GasToMolecularConversionFactor[[#This Row],[Conversion factor 2]]</f>
        <v>1.3333333333333333</v>
      </c>
    </row>
    <row r="50" spans="1:8" ht="20.100000000000001" customHeight="1" x14ac:dyDescent="0.25">
      <c r="A50"/>
      <c r="D50" s="38" t="str" cm="1">
        <f t="array" ref="D50">Common_InputFunctions.Utility_DisplayArrayInTable(Common_SourceData.Common_SourceData_ConvertGasElementalToMolecular_Data(),Table_GasToMolecularConversionFactor[[#Headers],[Gas]], 0)</f>
        <v>N2O</v>
      </c>
      <c r="E50" s="38" t="str" cm="1">
        <f t="array" ref="E50">Common_InputFunctions.Utility_DisplayArrayInTable(Common_SourceData.Common_SourceData_ConvertGasElementalToMolecular_Data(),Table_GasToMolecularConversionFactor[[#Headers],[Gas]], 0)</f>
        <v>44/28</v>
      </c>
      <c r="F50" s="38" cm="1">
        <f t="array" ref="F50">Common_InputFunctions.Utility_DisplayArrayInTable(Common_SourceData.Common_SourceData_ConvertGasElementalToMolecular_Data(),Table_GasToMolecularConversionFactor[[#Headers],[Gas]], 0)</f>
        <v>44</v>
      </c>
      <c r="G50" s="38" cm="1">
        <f t="array" ref="G50">Common_InputFunctions.Utility_DisplayArrayInTable(Common_SourceData.Common_SourceData_ConvertGasElementalToMolecular_Data(),Table_GasToMolecularConversionFactor[[#Headers],[Gas]], 0)</f>
        <v>28</v>
      </c>
      <c r="H50" s="38">
        <f>Table_GasToMolecularConversionFactor[[#This Row],[Conversion factor 1]]/Table_GasToMolecularConversionFactor[[#This Row],[Conversion factor 2]]</f>
        <v>1.5714285714285714</v>
      </c>
    </row>
    <row r="51" spans="1:8" ht="20.100000000000001" customHeight="1" x14ac:dyDescent="0.25">
      <c r="A51"/>
      <c r="D51" s="38" t="str" cm="1">
        <f t="array" ref="D51">Common_InputFunctions.Utility_DisplayArrayInTable(Common_SourceData.Common_SourceData_ConvertGasElementalToMolecular_Data(),Table_GasToMolecularConversionFactor[[#Headers],[Gas]], 0)</f>
        <v>Nox</v>
      </c>
      <c r="E51" s="38" t="str" cm="1">
        <f t="array" ref="E51">Common_InputFunctions.Utility_DisplayArrayInTable(Common_SourceData.Common_SourceData_ConvertGasElementalToMolecular_Data(),Table_GasToMolecularConversionFactor[[#Headers],[Gas]], 0)</f>
        <v>46/14</v>
      </c>
      <c r="F51" s="38" cm="1">
        <f t="array" ref="F51">Common_InputFunctions.Utility_DisplayArrayInTable(Common_SourceData.Common_SourceData_ConvertGasElementalToMolecular_Data(),Table_GasToMolecularConversionFactor[[#Headers],[Gas]], 0)</f>
        <v>46</v>
      </c>
      <c r="G51" s="38" cm="1">
        <f t="array" ref="G51">Common_InputFunctions.Utility_DisplayArrayInTable(Common_SourceData.Common_SourceData_ConvertGasElementalToMolecular_Data(),Table_GasToMolecularConversionFactor[[#Headers],[Gas]], 0)</f>
        <v>14</v>
      </c>
      <c r="H51" s="38">
        <f>Table_GasToMolecularConversionFactor[[#This Row],[Conversion factor 1]]/Table_GasToMolecularConversionFactor[[#This Row],[Conversion factor 2]]</f>
        <v>3.2857142857142856</v>
      </c>
    </row>
    <row r="52" spans="1:8" ht="20.100000000000001" customHeight="1" x14ac:dyDescent="0.25">
      <c r="A52"/>
      <c r="D52" s="38" t="str" cm="1">
        <f t="array" ref="D52">Common_InputFunctions.Utility_DisplayArrayInTable(Common_SourceData.Common_SourceData_ConvertGasElementalToMolecular_Data(),Table_GasToMolecularConversionFactor[[#Headers],[Gas]], 0)</f>
        <v>CO</v>
      </c>
      <c r="E52" s="38" t="str" cm="1">
        <f t="array" ref="E52">Common_InputFunctions.Utility_DisplayArrayInTable(Common_SourceData.Common_SourceData_ConvertGasElementalToMolecular_Data(),Table_GasToMolecularConversionFactor[[#Headers],[Gas]], 0)</f>
        <v>28/12</v>
      </c>
      <c r="F52" s="38" cm="1">
        <f t="array" ref="F52">Common_InputFunctions.Utility_DisplayArrayInTable(Common_SourceData.Common_SourceData_ConvertGasElementalToMolecular_Data(),Table_GasToMolecularConversionFactor[[#Headers],[Gas]], 0)</f>
        <v>28</v>
      </c>
      <c r="G52" s="38" cm="1">
        <f t="array" ref="G52">Common_InputFunctions.Utility_DisplayArrayInTable(Common_SourceData.Common_SourceData_ConvertGasElementalToMolecular_Data(),Table_GasToMolecularConversionFactor[[#Headers],[Gas]], 0)</f>
        <v>12</v>
      </c>
      <c r="H52" s="38">
        <f>Table_GasToMolecularConversionFactor[[#This Row],[Conversion factor 1]]/Table_GasToMolecularConversionFactor[[#This Row],[Conversion factor 2]]</f>
        <v>2.3333333333333335</v>
      </c>
    </row>
    <row r="53" spans="1:8" ht="20.100000000000001" customHeight="1" x14ac:dyDescent="0.25">
      <c r="A53"/>
      <c r="D53" s="38" t="str" cm="1">
        <f t="array" ref="D53">Common_InputFunctions.Utility_DisplayArrayInTable(Common_SourceData.Common_SourceData_ConvertGasElementalToMolecular_Data(),Table_GasToMolecularConversionFactor[[#Headers],[Gas]], 0)</f>
        <v>CO2 Lime</v>
      </c>
      <c r="E53" s="38" t="str" cm="1">
        <f t="array" ref="E53">Common_InputFunctions.Utility_DisplayArrayInTable(Common_SourceData.Common_SourceData_ConvertGasElementalToMolecular_Data(),Table_GasToMolecularConversionFactor[[#Headers],[Gas]], 0)</f>
        <v>44/12</v>
      </c>
      <c r="F53" s="38" cm="1">
        <f t="array" ref="F53">Common_InputFunctions.Utility_DisplayArrayInTable(Common_SourceData.Common_SourceData_ConvertGasElementalToMolecular_Data(),Table_GasToMolecularConversionFactor[[#Headers],[Gas]], 0)</f>
        <v>44</v>
      </c>
      <c r="G53" s="38" cm="1">
        <f t="array" ref="G53">Common_InputFunctions.Utility_DisplayArrayInTable(Common_SourceData.Common_SourceData_ConvertGasElementalToMolecular_Data(),Table_GasToMolecularConversionFactor[[#Headers],[Gas]], 0)</f>
        <v>12</v>
      </c>
      <c r="H53" s="38">
        <f>Table_GasToMolecularConversionFactor[[#This Row],[Conversion factor 1]]/Table_GasToMolecularConversionFactor[[#This Row],[Conversion factor 2]]</f>
        <v>3.6666666666666665</v>
      </c>
    </row>
    <row r="54" spans="1:8" ht="20.100000000000001" customHeight="1" x14ac:dyDescent="0.25">
      <c r="A54"/>
      <c r="D54" s="38" t="str" cm="1">
        <f t="array" ref="D54">Common_InputFunctions.Utility_DisplayArrayInTable(Common_SourceData.Common_SourceData_ConvertGasElementalToMolecular_Data(),Table_GasToMolecularConversionFactor[[#Headers],[Gas]], 0)</f>
        <v>NMVOC</v>
      </c>
      <c r="E54" s="38" t="str" cm="1">
        <f t="array" ref="E54">Common_InputFunctions.Utility_DisplayArrayInTable(Common_SourceData.Common_SourceData_ConvertGasElementalToMolecular_Data(),Table_GasToMolecularConversionFactor[[#Headers],[Gas]], 0)</f>
        <v>14/12</v>
      </c>
      <c r="F54" s="38" cm="1">
        <f t="array" ref="F54">Common_InputFunctions.Utility_DisplayArrayInTable(Common_SourceData.Common_SourceData_ConvertGasElementalToMolecular_Data(),Table_GasToMolecularConversionFactor[[#Headers],[Gas]], 0)</f>
        <v>14</v>
      </c>
      <c r="G54" s="38" cm="1">
        <f t="array" ref="G54">Common_InputFunctions.Utility_DisplayArrayInTable(Common_SourceData.Common_SourceData_ConvertGasElementalToMolecular_Data(),Table_GasToMolecularConversionFactor[[#Headers],[Gas]], 0)</f>
        <v>12</v>
      </c>
      <c r="H54" s="38">
        <f>Table_GasToMolecularConversionFactor[[#This Row],[Conversion factor 1]]/Table_GasToMolecularConversionFactor[[#This Row],[Conversion factor 2]]</f>
        <v>1.1666666666666667</v>
      </c>
    </row>
    <row r="55" spans="1:8" ht="20.100000000000001" customHeight="1" x14ac:dyDescent="0.25">
      <c r="A55"/>
    </row>
    <row r="56" spans="1:8" ht="20.100000000000001" customHeight="1" x14ac:dyDescent="0.25">
      <c r="A56"/>
    </row>
    <row r="57" spans="1:8" ht="20.100000000000001" customHeight="1" x14ac:dyDescent="0.25">
      <c r="A57"/>
      <c r="D57" s="6" t="str" cm="1">
        <f t="array" ref="D57">Common_SourceData.Common_SourceData_WetAndDryZones_Title()</f>
        <v>VEERG Australian wet and dry zones</v>
      </c>
    </row>
    <row r="58" spans="1:8" ht="20.100000000000001" customHeight="1" x14ac:dyDescent="0.25">
      <c r="A58"/>
      <c r="D58" s="5" t="str" cm="1">
        <f t="array" ref="D58">Common_SourceData.Common_SourceData_WetAndDryZones_Source()</f>
        <v>VEERG 2026: Table 1.2: Translating climate zones to wet and dry zones</v>
      </c>
    </row>
    <row r="59" spans="1:8" ht="20.100000000000001" customHeight="1" x14ac:dyDescent="0.25">
      <c r="A59"/>
      <c r="D59" s="56" t="str" cm="1">
        <f t="array" ref="D59:D61">"⚠️" &amp; Common_SourceData.Common_SourceData_WetAndDryZones_Variation()</f>
        <v>⚠️VARIATION OF SOURCE DATA:</v>
      </c>
    </row>
    <row r="60" spans="1:8" ht="20.100000000000001" customHeight="1" x14ac:dyDescent="0.25">
      <c r="A60"/>
      <c r="D60" s="56" t="str">
        <v>⚠️Added warm / cool temperate moist / dry - low frost and high temp classes to accommodate climate scenarios excluded by VEERG criteria.</v>
      </c>
    </row>
    <row r="61" spans="1:8" ht="20.100000000000001" customHeight="1" x14ac:dyDescent="0.25">
      <c r="A61"/>
      <c r="D61" s="56" t="str">
        <v>⚠️Fixed typo - Changed 'Fry' to 'Dry'.</v>
      </c>
    </row>
    <row r="62" spans="1:8" ht="20.100000000000001" customHeight="1" x14ac:dyDescent="0.25">
      <c r="A62"/>
    </row>
    <row r="63" spans="1:8" ht="20.100000000000001" customHeight="1" x14ac:dyDescent="0.25">
      <c r="A63"/>
      <c r="D63" s="38" t="s">
        <v>7</v>
      </c>
      <c r="E63" s="38" t="s">
        <v>45</v>
      </c>
    </row>
    <row r="64" spans="1:8" ht="20.100000000000001" customHeight="1" x14ac:dyDescent="0.25">
      <c r="A64"/>
      <c r="D64" s="38" t="str" cm="1">
        <f t="array" ref="D64">Common_InputFunctions.Utility_DisplayArrayInTable(Common_SourceData.Common_SourceData_WetAndDryZones_Data(), Table_SourceData_WetDryZones[[#Headers],[Climate zone]], 0)</f>
        <v>Tropical montane</v>
      </c>
      <c r="E64" s="38" t="str" cm="1">
        <f t="array" ref="E64">Common_InputFunctions.Utility_DisplayArrayInTable(Common_SourceData.Common_SourceData_WetAndDryZones_Data(), Table_SourceData_WetDryZones[[#Headers],[Climate zone]], 0)</f>
        <v>Wet climate zone</v>
      </c>
    </row>
    <row r="65" spans="1:5" ht="20.100000000000001" customHeight="1" x14ac:dyDescent="0.25">
      <c r="A65"/>
      <c r="D65" s="38" t="str" cm="1">
        <f t="array" ref="D65">Common_InputFunctions.Utility_DisplayArrayInTable(Common_SourceData.Common_SourceData_WetAndDryZones_Data(), Table_SourceData_WetDryZones[[#Headers],[Climate zone]], 0)</f>
        <v>Tropical wet</v>
      </c>
      <c r="E65" s="38" t="str" cm="1">
        <f t="array" ref="E65">Common_InputFunctions.Utility_DisplayArrayInTable(Common_SourceData.Common_SourceData_WetAndDryZones_Data(), Table_SourceData_WetDryZones[[#Headers],[Climate zone]], 0)</f>
        <v>Wet climate zone</v>
      </c>
    </row>
    <row r="66" spans="1:5" ht="20.100000000000001" customHeight="1" x14ac:dyDescent="0.25">
      <c r="A66"/>
      <c r="D66" s="38" t="str" cm="1">
        <f t="array" ref="D66">Common_InputFunctions.Utility_DisplayArrayInTable(Common_SourceData.Common_SourceData_WetAndDryZones_Data(), Table_SourceData_WetDryZones[[#Headers],[Climate zone]], 0)</f>
        <v>Tropical moist</v>
      </c>
      <c r="E66" s="38" t="str" cm="1">
        <f t="array" ref="E66">Common_InputFunctions.Utility_DisplayArrayInTable(Common_SourceData.Common_SourceData_WetAndDryZones_Data(), Table_SourceData_WetDryZones[[#Headers],[Climate zone]], 0)</f>
        <v>Wet climate zone</v>
      </c>
    </row>
    <row r="67" spans="1:5" ht="20.100000000000001" customHeight="1" x14ac:dyDescent="0.25">
      <c r="A67"/>
      <c r="D67" s="38" t="str" cm="1">
        <f t="array" ref="D67">Common_InputFunctions.Utility_DisplayArrayInTable(Common_SourceData.Common_SourceData_WetAndDryZones_Data(), Table_SourceData_WetDryZones[[#Headers],[Climate zone]], 0)</f>
        <v>Tropical dry</v>
      </c>
      <c r="E67" s="38" t="str" cm="1">
        <f t="array" ref="E67">Common_InputFunctions.Utility_DisplayArrayInTable(Common_SourceData.Common_SourceData_WetAndDryZones_Data(), Table_SourceData_WetDryZones[[#Headers],[Climate zone]], 0)</f>
        <v>Dry climate zone</v>
      </c>
    </row>
    <row r="68" spans="1:5" ht="20.100000000000001" customHeight="1" x14ac:dyDescent="0.25">
      <c r="A68"/>
      <c r="D68" s="38" t="str" cm="1">
        <f t="array" ref="D68">Common_InputFunctions.Utility_DisplayArrayInTable(Common_SourceData.Common_SourceData_WetAndDryZones_Data(), Table_SourceData_WetDryZones[[#Headers],[Climate zone]], 0)</f>
        <v>Warm temperate moist</v>
      </c>
      <c r="E68" s="38" t="str" cm="1">
        <f t="array" ref="E68">Common_InputFunctions.Utility_DisplayArrayInTable(Common_SourceData.Common_SourceData_WetAndDryZones_Data(), Table_SourceData_WetDryZones[[#Headers],[Climate zone]], 0)</f>
        <v>Wet climate zone</v>
      </c>
    </row>
    <row r="69" spans="1:5" ht="20.100000000000001" customHeight="1" x14ac:dyDescent="0.25">
      <c r="A69"/>
      <c r="D69" s="38" t="str" cm="1">
        <f t="array" ref="D69">Common_InputFunctions.Utility_DisplayArrayInTable(Common_SourceData.Common_SourceData_WetAndDryZones_Data(), Table_SourceData_WetDryZones[[#Headers],[Climate zone]], 0)</f>
        <v>Warm temperate dry</v>
      </c>
      <c r="E69" s="38" t="str" cm="1">
        <f t="array" ref="E69">Common_InputFunctions.Utility_DisplayArrayInTable(Common_SourceData.Common_SourceData_WetAndDryZones_Data(), Table_SourceData_WetDryZones[[#Headers],[Climate zone]], 0)</f>
        <v>Dry climate zone</v>
      </c>
    </row>
    <row r="70" spans="1:5" ht="20.100000000000001" customHeight="1" x14ac:dyDescent="0.25">
      <c r="A70"/>
      <c r="D70" s="38" t="str" cm="1">
        <f t="array" ref="D70">Common_InputFunctions.Utility_DisplayArrayInTable(Common_SourceData.Common_SourceData_WetAndDryZones_Data(), Table_SourceData_WetDryZones[[#Headers],[Climate zone]], 0)</f>
        <v>Cool temperate moist</v>
      </c>
      <c r="E70" s="38" t="str" cm="1">
        <f t="array" ref="E70">Common_InputFunctions.Utility_DisplayArrayInTable(Common_SourceData.Common_SourceData_WetAndDryZones_Data(), Table_SourceData_WetDryZones[[#Headers],[Climate zone]], 0)</f>
        <v>Wet climate zone</v>
      </c>
    </row>
    <row r="71" spans="1:5" ht="20.100000000000001" customHeight="1" x14ac:dyDescent="0.25">
      <c r="A71"/>
      <c r="D71" s="38" t="str" cm="1">
        <f t="array" ref="D71">Common_InputFunctions.Utility_DisplayArrayInTable(Common_SourceData.Common_SourceData_WetAndDryZones_Data(), Table_SourceData_WetDryZones[[#Headers],[Climate zone]], 0)</f>
        <v>Cool temperate dry</v>
      </c>
      <c r="E71" s="38" t="str" cm="1">
        <f t="array" ref="E71">Common_InputFunctions.Utility_DisplayArrayInTable(Common_SourceData.Common_SourceData_WetAndDryZones_Data(), Table_SourceData_WetDryZones[[#Headers],[Climate zone]], 0)</f>
        <v>Dry climate zone</v>
      </c>
    </row>
    <row r="72" spans="1:5" ht="20.100000000000001" customHeight="1" x14ac:dyDescent="0.25">
      <c r="A72"/>
      <c r="D72" s="38" t="str" cm="1">
        <f t="array" ref="D72">Common_InputFunctions.Utility_DisplayArrayInTable(Common_SourceData.Common_SourceData_WetAndDryZones_Data(), Table_SourceData_WetDryZones[[#Headers],[Climate zone]], 0)</f>
        <v>Warm temperate moist - low frost</v>
      </c>
      <c r="E72" s="38" t="str" cm="1">
        <f t="array" ref="E72">Common_InputFunctions.Utility_DisplayArrayInTable(Common_SourceData.Common_SourceData_WetAndDryZones_Data(), Table_SourceData_WetDryZones[[#Headers],[Climate zone]], 0)</f>
        <v>Wet climate zone</v>
      </c>
    </row>
    <row r="73" spans="1:5" ht="20.100000000000001" customHeight="1" x14ac:dyDescent="0.25">
      <c r="A73"/>
      <c r="D73" s="38" t="str" cm="1">
        <f t="array" ref="D73">Common_InputFunctions.Utility_DisplayArrayInTable(Common_SourceData.Common_SourceData_WetAndDryZones_Data(), Table_SourceData_WetDryZones[[#Headers],[Climate zone]], 0)</f>
        <v>Warm temperate dry - low frost</v>
      </c>
      <c r="E73" s="38" t="str" cm="1">
        <f t="array" ref="E73">Common_InputFunctions.Utility_DisplayArrayInTable(Common_SourceData.Common_SourceData_WetAndDryZones_Data(), Table_SourceData_WetDryZones[[#Headers],[Climate zone]], 0)</f>
        <v>Dry climate zone</v>
      </c>
    </row>
    <row r="74" spans="1:5" ht="20.100000000000001" customHeight="1" x14ac:dyDescent="0.25">
      <c r="A74"/>
      <c r="D74" s="38" t="str" cm="1">
        <f t="array" ref="D74">Common_InputFunctions.Utility_DisplayArrayInTable(Common_SourceData.Common_SourceData_WetAndDryZones_Data(), Table_SourceData_WetDryZones[[#Headers],[Climate zone]], 0)</f>
        <v>Warm temperate moist - high temp</v>
      </c>
      <c r="E74" s="38" t="str" cm="1">
        <f t="array" ref="E74">Common_InputFunctions.Utility_DisplayArrayInTable(Common_SourceData.Common_SourceData_WetAndDryZones_Data(), Table_SourceData_WetDryZones[[#Headers],[Climate zone]], 0)</f>
        <v>Wet climate zone</v>
      </c>
    </row>
    <row r="75" spans="1:5" ht="20.100000000000001" customHeight="1" x14ac:dyDescent="0.25">
      <c r="A75"/>
      <c r="D75" s="38" t="str" cm="1">
        <f t="array" ref="D75">Common_InputFunctions.Utility_DisplayArrayInTable(Common_SourceData.Common_SourceData_WetAndDryZones_Data(), Table_SourceData_WetDryZones[[#Headers],[Climate zone]], 0)</f>
        <v>Warm temperate dry - high temp</v>
      </c>
      <c r="E75" s="38" t="str" cm="1">
        <f t="array" ref="E75">Common_InputFunctions.Utility_DisplayArrayInTable(Common_SourceData.Common_SourceData_WetAndDryZones_Data(), Table_SourceData_WetDryZones[[#Headers],[Climate zone]], 0)</f>
        <v>Dry climate zone</v>
      </c>
    </row>
    <row r="76" spans="1:5" ht="20.100000000000001" customHeight="1" x14ac:dyDescent="0.25">
      <c r="A76"/>
      <c r="D76" s="38" t="str" cm="1">
        <f t="array" ref="D76">Common_InputFunctions.Utility_DisplayArrayInTable(Common_SourceData.Common_SourceData_WetAndDryZones_Data(), Table_SourceData_WetDryZones[[#Headers],[Climate zone]], 0)</f>
        <v>Cool temperate moist - low frost</v>
      </c>
      <c r="E76" s="38" t="str" cm="1">
        <f t="array" ref="E76">Common_InputFunctions.Utility_DisplayArrayInTable(Common_SourceData.Common_SourceData_WetAndDryZones_Data(), Table_SourceData_WetDryZones[[#Headers],[Climate zone]], 0)</f>
        <v>Wet climate zone</v>
      </c>
    </row>
    <row r="77" spans="1:5" ht="20.100000000000001" customHeight="1" x14ac:dyDescent="0.25">
      <c r="A77"/>
      <c r="D77" s="38" t="str" cm="1">
        <f t="array" ref="D77">Common_InputFunctions.Utility_DisplayArrayInTable(Common_SourceData.Common_SourceData_WetAndDryZones_Data(), Table_SourceData_WetDryZones[[#Headers],[Climate zone]], 0)</f>
        <v>Cool temperate dry - low frost</v>
      </c>
      <c r="E77" s="38" t="str" cm="1">
        <f t="array" ref="E77">Common_InputFunctions.Utility_DisplayArrayInTable(Common_SourceData.Common_SourceData_WetAndDryZones_Data(), Table_SourceData_WetDryZones[[#Headers],[Climate zone]], 0)</f>
        <v>Dry climate zone</v>
      </c>
    </row>
    <row r="78" spans="1:5" ht="20.100000000000001" customHeight="1" x14ac:dyDescent="0.25">
      <c r="A78"/>
    </row>
    <row r="79" spans="1:5" ht="20.100000000000001" customHeight="1" x14ac:dyDescent="0.25">
      <c r="A79"/>
    </row>
    <row r="80" spans="1:5" ht="20.100000000000001" customHeight="1" x14ac:dyDescent="0.25">
      <c r="A80"/>
    </row>
    <row r="81" spans="1:20" ht="20.100000000000001" customHeight="1" x14ac:dyDescent="0.25">
      <c r="A81"/>
      <c r="D81" s="6" t="str" cm="1">
        <f t="array" ref="D81">Common_SourceData.Common_SourceData_ClimateZones_Title()</f>
        <v>VEERG Australian climate zones</v>
      </c>
    </row>
    <row r="82" spans="1:20" ht="20.100000000000001" customHeight="1" x14ac:dyDescent="0.25">
      <c r="A82"/>
      <c r="D82" s="5" t="str" cm="1">
        <f t="array" ref="D82">Common_SourceData.Common_SourceData_ClimateZones_Source()</f>
        <v>VEERG 2026: Table 1.3: Climate and Rainfall zone classifications and definitions</v>
      </c>
    </row>
    <row r="83" spans="1:20" ht="20.100000000000001" customHeight="1" x14ac:dyDescent="0.25">
      <c r="A83"/>
      <c r="D83" s="56" t="str" cm="1">
        <f t="array" ref="D83:D87">"⚠️" &amp; Common_SourceData.Common_SourceData_ClimateZones_Variation()</f>
        <v>⚠️VARIATION OF SOURCE DATA:</v>
      </c>
    </row>
    <row r="84" spans="1:20" ht="20.100000000000001" customHeight="1" x14ac:dyDescent="0.25">
      <c r="A84"/>
      <c r="D84" s="56" t="str">
        <v>⚠️Added warm / cool temperate moist / dry - low frost and high temp classes to accommodate climate scenarios excluded by VEERG criteria.</v>
      </c>
    </row>
    <row r="85" spans="1:20" ht="20.100000000000001" customHeight="1" x14ac:dyDescent="0.25">
      <c r="A85"/>
      <c r="D85" s="56" t="str">
        <v>⚠️Fixed typo in MAT value for warm temperate dry - changed 10 to 11.</v>
      </c>
    </row>
    <row r="86" spans="1:20" ht="20.100000000000001" customHeight="1" x14ac:dyDescent="0.25">
      <c r="A86"/>
      <c r="D86" s="56" t="str">
        <v>⚠️Added min and max columns for MAT, MAP, frost days per year, elevation, MAP:PET to calculate zones from real climate data.</v>
      </c>
    </row>
    <row r="87" spans="1:20" ht="20.100000000000001" customHeight="1" x14ac:dyDescent="0.25">
      <c r="A87"/>
      <c r="D87" s="56" t="str">
        <v>⚠️GAF accepts rainfall as a proxy for precipitation.</v>
      </c>
    </row>
    <row r="88" spans="1:20" ht="20.100000000000001" customHeight="1" x14ac:dyDescent="0.25">
      <c r="A88"/>
    </row>
    <row r="89" spans="1:20" ht="20.100000000000001" customHeight="1" x14ac:dyDescent="0.25">
      <c r="A89"/>
      <c r="D89" s="38" t="s">
        <v>7</v>
      </c>
      <c r="E89" s="38" t="s">
        <v>33</v>
      </c>
      <c r="F89" s="38" t="s">
        <v>34</v>
      </c>
      <c r="G89" s="38" t="s">
        <v>35</v>
      </c>
      <c r="H89" s="38" t="s">
        <v>36</v>
      </c>
      <c r="I89" s="38" t="s">
        <v>37</v>
      </c>
      <c r="J89" s="38" t="s">
        <v>38</v>
      </c>
      <c r="K89" s="38" t="s">
        <v>39</v>
      </c>
      <c r="L89" s="38" t="s">
        <v>40</v>
      </c>
      <c r="M89" s="38" t="s">
        <v>41</v>
      </c>
      <c r="N89" s="38" t="s">
        <v>42</v>
      </c>
      <c r="O89" s="38" t="s">
        <v>46</v>
      </c>
      <c r="P89" s="38" t="s">
        <v>43</v>
      </c>
      <c r="Q89" s="38" t="s">
        <v>47</v>
      </c>
      <c r="R89" s="38" t="s">
        <v>44</v>
      </c>
      <c r="S89" s="38" t="s">
        <v>48</v>
      </c>
      <c r="T89" s="38"/>
    </row>
    <row r="90" spans="1:20" ht="20.100000000000001" customHeight="1" x14ac:dyDescent="0.25">
      <c r="A90"/>
      <c r="D90" s="38" t="str" cm="1">
        <f t="array" ref="D90">Common_InputFunctions.Utility_DisplayArrayInTable(Common_SourceData.Common_SourceData_ClimateZones_Data(), Table_SourceData_ClimateZones[[#Headers],[Climate zone]], 0)</f>
        <v>Tropical montane</v>
      </c>
      <c r="E90" s="38" t="str" cm="1">
        <f t="array" ref="E90">Common_InputFunctions.Utility_DisplayArrayInTable(Common_SourceData.Common_SourceData_ClimateZones_Data(), Table_SourceData_ClimateZones[[#Headers],[Climate zone]], 0)</f>
        <v>&gt; 18 C</v>
      </c>
      <c r="F90" s="38" t="str" cm="1">
        <f t="array" ref="F90">Common_InputFunctions.Utility_DisplayArrayInTable(Common_SourceData.Common_SourceData_ClimateZones_Data(), Table_SourceData_ClimateZones[[#Headers],[Climate zone]], 0)</f>
        <v>Any</v>
      </c>
      <c r="G90" s="38" t="str" cm="1">
        <f t="array" ref="G90">Common_InputFunctions.Utility_DisplayArrayInTable(Common_SourceData.Common_SourceData_ClimateZones_Data(), Table_SourceData_ClimateZones[[#Headers],[Climate zone]], 0)</f>
        <v>≤ 7</v>
      </c>
      <c r="H90" s="38" t="str" cm="1">
        <f t="array" ref="H90">Common_InputFunctions.Utility_DisplayArrayInTable(Common_SourceData.Common_SourceData_ClimateZones_Data(), Table_SourceData_ClimateZones[[#Headers],[Climate zone]], 0)</f>
        <v>&gt; 1000 m</v>
      </c>
      <c r="I90" s="38" t="str" cm="1">
        <f t="array" ref="I90">Common_InputFunctions.Utility_DisplayArrayInTable(Common_SourceData.Common_SourceData_ClimateZones_Data(), Table_SourceData_ClimateZones[[#Headers],[Climate zone]], 0)</f>
        <v>Any</v>
      </c>
      <c r="J90" s="38" cm="1">
        <f t="array" ref="J90">Common_InputFunctions.Utility_DisplayArrayInTable(Common_SourceData.Common_SourceData_ClimateZones_Data(), Table_SourceData_ClimateZones[[#Headers],[Climate zone]], 0)</f>
        <v>18.001000000000001</v>
      </c>
      <c r="K90" s="38" cm="1">
        <f t="array" ref="K90">Common_InputFunctions.Utility_DisplayArrayInTable(Common_SourceData.Common_SourceData_ClimateZones_Data(), Table_SourceData_ClimateZones[[#Headers],[Climate zone]], 0)</f>
        <v>999999</v>
      </c>
      <c r="L90" s="38" cm="1">
        <f t="array" ref="L90">Common_InputFunctions.Utility_DisplayArrayInTable(Common_SourceData.Common_SourceData_ClimateZones_Data(), Table_SourceData_ClimateZones[[#Headers],[Climate zone]], 0)</f>
        <v>-999999</v>
      </c>
      <c r="M90" s="38" cm="1">
        <f t="array" ref="M90">Common_InputFunctions.Utility_DisplayArrayInTable(Common_SourceData.Common_SourceData_ClimateZones_Data(), Table_SourceData_ClimateZones[[#Headers],[Climate zone]], 0)</f>
        <v>999999</v>
      </c>
      <c r="N90" s="38" cm="1">
        <f t="array" ref="N90">Common_InputFunctions.Utility_DisplayArrayInTable(Common_SourceData.Common_SourceData_ClimateZones_Data(), Table_SourceData_ClimateZones[[#Headers],[Climate zone]], 0)</f>
        <v>-999999</v>
      </c>
      <c r="O90" s="38" cm="1">
        <f t="array" ref="O90">Common_InputFunctions.Utility_DisplayArrayInTable(Common_SourceData.Common_SourceData_ClimateZones_Data(), Table_SourceData_ClimateZones[[#Headers],[Climate zone]], 0)</f>
        <v>7</v>
      </c>
      <c r="P90" s="38" cm="1">
        <f t="array" ref="P90">Common_InputFunctions.Utility_DisplayArrayInTable(Common_SourceData.Common_SourceData_ClimateZones_Data(), Table_SourceData_ClimateZones[[#Headers],[Climate zone]], 0)</f>
        <v>1000</v>
      </c>
      <c r="Q90" s="38" cm="1">
        <f t="array" ref="Q90">Common_InputFunctions.Utility_DisplayArrayInTable(Common_SourceData.Common_SourceData_ClimateZones_Data(), Table_SourceData_ClimateZones[[#Headers],[Climate zone]], 0)</f>
        <v>999999</v>
      </c>
      <c r="R90" s="38" cm="1">
        <f t="array" ref="R90">Common_InputFunctions.Utility_DisplayArrayInTable(Common_SourceData.Common_SourceData_ClimateZones_Data(), Table_SourceData_ClimateZones[[#Headers],[Climate zone]], 0)</f>
        <v>-999999</v>
      </c>
      <c r="S90" s="38" cm="1">
        <f t="array" ref="S90">Common_InputFunctions.Utility_DisplayArrayInTable(Common_SourceData.Common_SourceData_ClimateZones_Data(), Table_SourceData_ClimateZones[[#Headers],[Climate zone]], 0)</f>
        <v>999999</v>
      </c>
      <c r="T90" s="38"/>
    </row>
    <row r="91" spans="1:20" ht="20.100000000000001" customHeight="1" x14ac:dyDescent="0.25">
      <c r="A91"/>
      <c r="D91" s="38" t="str" cm="1">
        <f t="array" ref="D91">Common_InputFunctions.Utility_DisplayArrayInTable(Common_SourceData.Common_SourceData_ClimateZones_Data(), Table_SourceData_ClimateZones[[#Headers],[Climate zone]], 0)</f>
        <v>Tropical wet</v>
      </c>
      <c r="E91" s="38" t="str" cm="1">
        <f t="array" ref="E91">Common_InputFunctions.Utility_DisplayArrayInTable(Common_SourceData.Common_SourceData_ClimateZones_Data(), Table_SourceData_ClimateZones[[#Headers],[Climate zone]], 0)</f>
        <v>&gt; 18 C</v>
      </c>
      <c r="F91" s="38" t="str" cm="1">
        <f t="array" ref="F91">Common_InputFunctions.Utility_DisplayArrayInTable(Common_SourceData.Common_SourceData_ClimateZones_Data(), Table_SourceData_ClimateZones[[#Headers],[Climate zone]], 0)</f>
        <v>&gt; 2000 mm</v>
      </c>
      <c r="G91" s="38" t="str" cm="1">
        <f t="array" ref="G91">Common_InputFunctions.Utility_DisplayArrayInTable(Common_SourceData.Common_SourceData_ClimateZones_Data(), Table_SourceData_ClimateZones[[#Headers],[Climate zone]], 0)</f>
        <v>≤ 7</v>
      </c>
      <c r="H91" s="38" t="str" cm="1">
        <f t="array" ref="H91">Common_InputFunctions.Utility_DisplayArrayInTable(Common_SourceData.Common_SourceData_ClimateZones_Data(), Table_SourceData_ClimateZones[[#Headers],[Climate zone]], 0)</f>
        <v>≤ 1000 m</v>
      </c>
      <c r="I91" s="38" t="str" cm="1">
        <f t="array" ref="I91">Common_InputFunctions.Utility_DisplayArrayInTable(Common_SourceData.Common_SourceData_ClimateZones_Data(), Table_SourceData_ClimateZones[[#Headers],[Climate zone]], 0)</f>
        <v>Any</v>
      </c>
      <c r="J91" s="38" cm="1">
        <f t="array" ref="J91">Common_InputFunctions.Utility_DisplayArrayInTable(Common_SourceData.Common_SourceData_ClimateZones_Data(), Table_SourceData_ClimateZones[[#Headers],[Climate zone]], 0)</f>
        <v>18.001000000000001</v>
      </c>
      <c r="K91" s="38" cm="1">
        <f t="array" ref="K91">Common_InputFunctions.Utility_DisplayArrayInTable(Common_SourceData.Common_SourceData_ClimateZones_Data(), Table_SourceData_ClimateZones[[#Headers],[Climate zone]], 0)</f>
        <v>999999</v>
      </c>
      <c r="L91" s="38" cm="1">
        <f t="array" ref="L91">Common_InputFunctions.Utility_DisplayArrayInTable(Common_SourceData.Common_SourceData_ClimateZones_Data(), Table_SourceData_ClimateZones[[#Headers],[Climate zone]], 0)</f>
        <v>2000.001</v>
      </c>
      <c r="M91" s="38" cm="1">
        <f t="array" ref="M91">Common_InputFunctions.Utility_DisplayArrayInTable(Common_SourceData.Common_SourceData_ClimateZones_Data(), Table_SourceData_ClimateZones[[#Headers],[Climate zone]], 0)</f>
        <v>999999</v>
      </c>
      <c r="N91" s="38" cm="1">
        <f t="array" ref="N91">Common_InputFunctions.Utility_DisplayArrayInTable(Common_SourceData.Common_SourceData_ClimateZones_Data(), Table_SourceData_ClimateZones[[#Headers],[Climate zone]], 0)</f>
        <v>-999999</v>
      </c>
      <c r="O91" s="38" cm="1">
        <f t="array" ref="O91">Common_InputFunctions.Utility_DisplayArrayInTable(Common_SourceData.Common_SourceData_ClimateZones_Data(), Table_SourceData_ClimateZones[[#Headers],[Climate zone]], 0)</f>
        <v>7</v>
      </c>
      <c r="P91" s="38" cm="1">
        <f t="array" ref="P91">Common_InputFunctions.Utility_DisplayArrayInTable(Common_SourceData.Common_SourceData_ClimateZones_Data(), Table_SourceData_ClimateZones[[#Headers],[Climate zone]], 0)</f>
        <v>-999999</v>
      </c>
      <c r="Q91" s="38" cm="1">
        <f t="array" ref="Q91">Common_InputFunctions.Utility_DisplayArrayInTable(Common_SourceData.Common_SourceData_ClimateZones_Data(), Table_SourceData_ClimateZones[[#Headers],[Climate zone]], 0)</f>
        <v>999.99900000000002</v>
      </c>
      <c r="R91" s="38" cm="1">
        <f t="array" ref="R91">Common_InputFunctions.Utility_DisplayArrayInTable(Common_SourceData.Common_SourceData_ClimateZones_Data(), Table_SourceData_ClimateZones[[#Headers],[Climate zone]], 0)</f>
        <v>-999999</v>
      </c>
      <c r="S91" s="38" cm="1">
        <f t="array" ref="S91">Common_InputFunctions.Utility_DisplayArrayInTable(Common_SourceData.Common_SourceData_ClimateZones_Data(), Table_SourceData_ClimateZones[[#Headers],[Climate zone]], 0)</f>
        <v>999999</v>
      </c>
      <c r="T91" s="38"/>
    </row>
    <row r="92" spans="1:20" ht="20.100000000000001" customHeight="1" x14ac:dyDescent="0.25">
      <c r="A92"/>
      <c r="D92" s="38" t="str" cm="1">
        <f t="array" ref="D92">Common_InputFunctions.Utility_DisplayArrayInTable(Common_SourceData.Common_SourceData_ClimateZones_Data(), Table_SourceData_ClimateZones[[#Headers],[Climate zone]], 0)</f>
        <v>Tropical moist</v>
      </c>
      <c r="E92" s="38" t="str" cm="1">
        <f t="array" ref="E92">Common_InputFunctions.Utility_DisplayArrayInTable(Common_SourceData.Common_SourceData_ClimateZones_Data(), Table_SourceData_ClimateZones[[#Headers],[Climate zone]], 0)</f>
        <v>&gt; 18 C</v>
      </c>
      <c r="F92" s="38" t="str" cm="1">
        <f t="array" ref="F92">Common_InputFunctions.Utility_DisplayArrayInTable(Common_SourceData.Common_SourceData_ClimateZones_Data(), Table_SourceData_ClimateZones[[#Headers],[Climate zone]], 0)</f>
        <v>&gt; 1000 mm - ≤ 2000 mm</v>
      </c>
      <c r="G92" s="38" t="str" cm="1">
        <f t="array" ref="G92">Common_InputFunctions.Utility_DisplayArrayInTable(Common_SourceData.Common_SourceData_ClimateZones_Data(), Table_SourceData_ClimateZones[[#Headers],[Climate zone]], 0)</f>
        <v>≤ 7</v>
      </c>
      <c r="H92" s="38" t="str" cm="1">
        <f t="array" ref="H92">Common_InputFunctions.Utility_DisplayArrayInTable(Common_SourceData.Common_SourceData_ClimateZones_Data(), Table_SourceData_ClimateZones[[#Headers],[Climate zone]], 0)</f>
        <v>≤ 1000 m</v>
      </c>
      <c r="I92" s="38" t="str" cm="1">
        <f t="array" ref="I92">Common_InputFunctions.Utility_DisplayArrayInTable(Common_SourceData.Common_SourceData_ClimateZones_Data(), Table_SourceData_ClimateZones[[#Headers],[Climate zone]], 0)</f>
        <v>Any</v>
      </c>
      <c r="J92" s="38" cm="1">
        <f t="array" ref="J92">Common_InputFunctions.Utility_DisplayArrayInTable(Common_SourceData.Common_SourceData_ClimateZones_Data(), Table_SourceData_ClimateZones[[#Headers],[Climate zone]], 0)</f>
        <v>18.001000000000001</v>
      </c>
      <c r="K92" s="38" cm="1">
        <f t="array" ref="K92">Common_InputFunctions.Utility_DisplayArrayInTable(Common_SourceData.Common_SourceData_ClimateZones_Data(), Table_SourceData_ClimateZones[[#Headers],[Climate zone]], 0)</f>
        <v>999999</v>
      </c>
      <c r="L92" s="38" cm="1">
        <f t="array" ref="L92">Common_InputFunctions.Utility_DisplayArrayInTable(Common_SourceData.Common_SourceData_ClimateZones_Data(), Table_SourceData_ClimateZones[[#Headers],[Climate zone]], 0)</f>
        <v>1000.001</v>
      </c>
      <c r="M92" s="38" cm="1">
        <f t="array" ref="M92">Common_InputFunctions.Utility_DisplayArrayInTable(Common_SourceData.Common_SourceData_ClimateZones_Data(), Table_SourceData_ClimateZones[[#Headers],[Climate zone]], 0)</f>
        <v>2000</v>
      </c>
      <c r="N92" s="38" cm="1">
        <f t="array" ref="N92">Common_InputFunctions.Utility_DisplayArrayInTable(Common_SourceData.Common_SourceData_ClimateZones_Data(), Table_SourceData_ClimateZones[[#Headers],[Climate zone]], 0)</f>
        <v>-999999</v>
      </c>
      <c r="O92" s="38" cm="1">
        <f t="array" ref="O92">Common_InputFunctions.Utility_DisplayArrayInTable(Common_SourceData.Common_SourceData_ClimateZones_Data(), Table_SourceData_ClimateZones[[#Headers],[Climate zone]], 0)</f>
        <v>7</v>
      </c>
      <c r="P92" s="38" cm="1">
        <f t="array" ref="P92">Common_InputFunctions.Utility_DisplayArrayInTable(Common_SourceData.Common_SourceData_ClimateZones_Data(), Table_SourceData_ClimateZones[[#Headers],[Climate zone]], 0)</f>
        <v>-999999</v>
      </c>
      <c r="Q92" s="38" cm="1">
        <f t="array" ref="Q92">Common_InputFunctions.Utility_DisplayArrayInTable(Common_SourceData.Common_SourceData_ClimateZones_Data(), Table_SourceData_ClimateZones[[#Headers],[Climate zone]], 0)</f>
        <v>999.99900000000002</v>
      </c>
      <c r="R92" s="38" cm="1">
        <f t="array" ref="R92">Common_InputFunctions.Utility_DisplayArrayInTable(Common_SourceData.Common_SourceData_ClimateZones_Data(), Table_SourceData_ClimateZones[[#Headers],[Climate zone]], 0)</f>
        <v>-999999</v>
      </c>
      <c r="S92" s="38" cm="1">
        <f t="array" ref="S92">Common_InputFunctions.Utility_DisplayArrayInTable(Common_SourceData.Common_SourceData_ClimateZones_Data(), Table_SourceData_ClimateZones[[#Headers],[Climate zone]], 0)</f>
        <v>999999</v>
      </c>
      <c r="T92" s="38"/>
    </row>
    <row r="93" spans="1:20" ht="20.100000000000001" customHeight="1" x14ac:dyDescent="0.25">
      <c r="A93"/>
      <c r="D93" s="38" t="str" cm="1">
        <f t="array" ref="D93">Common_InputFunctions.Utility_DisplayArrayInTable(Common_SourceData.Common_SourceData_ClimateZones_Data(), Table_SourceData_ClimateZones[[#Headers],[Climate zone]], 0)</f>
        <v>Tropical dry</v>
      </c>
      <c r="E93" s="38" t="str" cm="1">
        <f t="array" ref="E93">Common_InputFunctions.Utility_DisplayArrayInTable(Common_SourceData.Common_SourceData_ClimateZones_Data(), Table_SourceData_ClimateZones[[#Headers],[Climate zone]], 0)</f>
        <v>&gt; 18 C</v>
      </c>
      <c r="F93" s="38" t="str" cm="1">
        <f t="array" ref="F93">Common_InputFunctions.Utility_DisplayArrayInTable(Common_SourceData.Common_SourceData_ClimateZones_Data(), Table_SourceData_ClimateZones[[#Headers],[Climate zone]], 0)</f>
        <v>≤ 1000 mm</v>
      </c>
      <c r="G93" s="38" t="str" cm="1">
        <f t="array" ref="G93">Common_InputFunctions.Utility_DisplayArrayInTable(Common_SourceData.Common_SourceData_ClimateZones_Data(), Table_SourceData_ClimateZones[[#Headers],[Climate zone]], 0)</f>
        <v>≤ 7</v>
      </c>
      <c r="H93" s="38" t="str" cm="1">
        <f t="array" ref="H93">Common_InputFunctions.Utility_DisplayArrayInTable(Common_SourceData.Common_SourceData_ClimateZones_Data(), Table_SourceData_ClimateZones[[#Headers],[Climate zone]], 0)</f>
        <v>≤ 1000 m</v>
      </c>
      <c r="I93" s="38" t="str" cm="1">
        <f t="array" ref="I93">Common_InputFunctions.Utility_DisplayArrayInTable(Common_SourceData.Common_SourceData_ClimateZones_Data(), Table_SourceData_ClimateZones[[#Headers],[Climate zone]], 0)</f>
        <v>Any</v>
      </c>
      <c r="J93" s="38" cm="1">
        <f t="array" ref="J93">Common_InputFunctions.Utility_DisplayArrayInTable(Common_SourceData.Common_SourceData_ClimateZones_Data(), Table_SourceData_ClimateZones[[#Headers],[Climate zone]], 0)</f>
        <v>18.001000000000001</v>
      </c>
      <c r="K93" s="38" cm="1">
        <f t="array" ref="K93">Common_InputFunctions.Utility_DisplayArrayInTable(Common_SourceData.Common_SourceData_ClimateZones_Data(), Table_SourceData_ClimateZones[[#Headers],[Climate zone]], 0)</f>
        <v>999999</v>
      </c>
      <c r="L93" s="38" cm="1">
        <f t="array" ref="L93">Common_InputFunctions.Utility_DisplayArrayInTable(Common_SourceData.Common_SourceData_ClimateZones_Data(), Table_SourceData_ClimateZones[[#Headers],[Climate zone]], 0)</f>
        <v>-999999</v>
      </c>
      <c r="M93" s="38" cm="1">
        <f t="array" ref="M93">Common_InputFunctions.Utility_DisplayArrayInTable(Common_SourceData.Common_SourceData_ClimateZones_Data(), Table_SourceData_ClimateZones[[#Headers],[Climate zone]], 0)</f>
        <v>1000</v>
      </c>
      <c r="N93" s="38" cm="1">
        <f t="array" ref="N93">Common_InputFunctions.Utility_DisplayArrayInTable(Common_SourceData.Common_SourceData_ClimateZones_Data(), Table_SourceData_ClimateZones[[#Headers],[Climate zone]], 0)</f>
        <v>-999999</v>
      </c>
      <c r="O93" s="38" cm="1">
        <f t="array" ref="O93">Common_InputFunctions.Utility_DisplayArrayInTable(Common_SourceData.Common_SourceData_ClimateZones_Data(), Table_SourceData_ClimateZones[[#Headers],[Climate zone]], 0)</f>
        <v>7</v>
      </c>
      <c r="P93" s="38" cm="1">
        <f t="array" ref="P93">Common_InputFunctions.Utility_DisplayArrayInTable(Common_SourceData.Common_SourceData_ClimateZones_Data(), Table_SourceData_ClimateZones[[#Headers],[Climate zone]], 0)</f>
        <v>-999999</v>
      </c>
      <c r="Q93" s="38" cm="1">
        <f t="array" ref="Q93">Common_InputFunctions.Utility_DisplayArrayInTable(Common_SourceData.Common_SourceData_ClimateZones_Data(), Table_SourceData_ClimateZones[[#Headers],[Climate zone]], 0)</f>
        <v>999.99900000000002</v>
      </c>
      <c r="R93" s="38" cm="1">
        <f t="array" ref="R93">Common_InputFunctions.Utility_DisplayArrayInTable(Common_SourceData.Common_SourceData_ClimateZones_Data(), Table_SourceData_ClimateZones[[#Headers],[Climate zone]], 0)</f>
        <v>-999999</v>
      </c>
      <c r="S93" s="38" cm="1">
        <f t="array" ref="S93">Common_InputFunctions.Utility_DisplayArrayInTable(Common_SourceData.Common_SourceData_ClimateZones_Data(), Table_SourceData_ClimateZones[[#Headers],[Climate zone]], 0)</f>
        <v>999999</v>
      </c>
      <c r="T93" s="38"/>
    </row>
    <row r="94" spans="1:20" ht="20.100000000000001" customHeight="1" x14ac:dyDescent="0.25">
      <c r="A94"/>
      <c r="D94" s="38" t="str" cm="1">
        <f t="array" ref="D94">Common_InputFunctions.Utility_DisplayArrayInTable(Common_SourceData.Common_SourceData_ClimateZones_Data(), Table_SourceData_ClimateZones[[#Headers],[Climate zone]], 0)</f>
        <v>Warm temperate moist</v>
      </c>
      <c r="E94" s="38" t="str" cm="1">
        <f t="array" ref="E94">Common_InputFunctions.Utility_DisplayArrayInTable(Common_SourceData.Common_SourceData_ClimateZones_Data(), Table_SourceData_ClimateZones[[#Headers],[Climate zone]], 0)</f>
        <v>&gt; 10 C</v>
      </c>
      <c r="F94" s="38" t="str" cm="1">
        <f t="array" ref="F94">Common_InputFunctions.Utility_DisplayArrayInTable(Common_SourceData.Common_SourceData_ClimateZones_Data(), Table_SourceData_ClimateZones[[#Headers],[Climate zone]], 0)</f>
        <v>Any</v>
      </c>
      <c r="G94" s="38" t="str" cm="1">
        <f t="array" ref="G94">Common_InputFunctions.Utility_DisplayArrayInTable(Common_SourceData.Common_SourceData_ClimateZones_Data(), Table_SourceData_ClimateZones[[#Headers],[Climate zone]], 0)</f>
        <v>Any</v>
      </c>
      <c r="H94" s="38" t="str" cm="1">
        <f t="array" ref="H94">Common_InputFunctions.Utility_DisplayArrayInTable(Common_SourceData.Common_SourceData_ClimateZones_Data(), Table_SourceData_ClimateZones[[#Headers],[Climate zone]], 0)</f>
        <v>Any</v>
      </c>
      <c r="I94" s="38" t="str" cm="1">
        <f t="array" ref="I94">Common_InputFunctions.Utility_DisplayArrayInTable(Common_SourceData.Common_SourceData_ClimateZones_Data(), Table_SourceData_ClimateZones[[#Headers],[Climate zone]], 0)</f>
        <v>&gt; 1</v>
      </c>
      <c r="J94" s="38" cm="1">
        <f t="array" ref="J94">Common_InputFunctions.Utility_DisplayArrayInTable(Common_SourceData.Common_SourceData_ClimateZones_Data(), Table_SourceData_ClimateZones[[#Headers],[Climate zone]], 0)</f>
        <v>10.000999999999999</v>
      </c>
      <c r="K94" s="38" cm="1">
        <f t="array" ref="K94">Common_InputFunctions.Utility_DisplayArrayInTable(Common_SourceData.Common_SourceData_ClimateZones_Data(), Table_SourceData_ClimateZones[[#Headers],[Climate zone]], 0)</f>
        <v>999999</v>
      </c>
      <c r="L94" s="38" cm="1">
        <f t="array" ref="L94">Common_InputFunctions.Utility_DisplayArrayInTable(Common_SourceData.Common_SourceData_ClimateZones_Data(), Table_SourceData_ClimateZones[[#Headers],[Climate zone]], 0)</f>
        <v>-999999</v>
      </c>
      <c r="M94" s="38" cm="1">
        <f t="array" ref="M94">Common_InputFunctions.Utility_DisplayArrayInTable(Common_SourceData.Common_SourceData_ClimateZones_Data(), Table_SourceData_ClimateZones[[#Headers],[Climate zone]], 0)</f>
        <v>999999</v>
      </c>
      <c r="N94" s="38" cm="1">
        <f t="array" ref="N94">Common_InputFunctions.Utility_DisplayArrayInTable(Common_SourceData.Common_SourceData_ClimateZones_Data(), Table_SourceData_ClimateZones[[#Headers],[Climate zone]], 0)</f>
        <v>-999999</v>
      </c>
      <c r="O94" s="38" cm="1">
        <f t="array" ref="O94">Common_InputFunctions.Utility_DisplayArrayInTable(Common_SourceData.Common_SourceData_ClimateZones_Data(), Table_SourceData_ClimateZones[[#Headers],[Climate zone]], 0)</f>
        <v>999999</v>
      </c>
      <c r="P94" s="38" cm="1">
        <f t="array" ref="P94">Common_InputFunctions.Utility_DisplayArrayInTable(Common_SourceData.Common_SourceData_ClimateZones_Data(), Table_SourceData_ClimateZones[[#Headers],[Climate zone]], 0)</f>
        <v>-999999</v>
      </c>
      <c r="Q94" s="38" cm="1">
        <f t="array" ref="Q94">Common_InputFunctions.Utility_DisplayArrayInTable(Common_SourceData.Common_SourceData_ClimateZones_Data(), Table_SourceData_ClimateZones[[#Headers],[Climate zone]], 0)</f>
        <v>999999</v>
      </c>
      <c r="R94" s="38" cm="1">
        <f t="array" ref="R94">Common_InputFunctions.Utility_DisplayArrayInTable(Common_SourceData.Common_SourceData_ClimateZones_Data(), Table_SourceData_ClimateZones[[#Headers],[Climate zone]], 0)</f>
        <v>1.0009999999999999</v>
      </c>
      <c r="S94" s="38" cm="1">
        <f t="array" ref="S94">Common_InputFunctions.Utility_DisplayArrayInTable(Common_SourceData.Common_SourceData_ClimateZones_Data(), Table_SourceData_ClimateZones[[#Headers],[Climate zone]], 0)</f>
        <v>999999</v>
      </c>
      <c r="T94" s="38"/>
    </row>
    <row r="95" spans="1:20" ht="20.100000000000001" customHeight="1" x14ac:dyDescent="0.25">
      <c r="A95"/>
      <c r="D95" s="38" t="str" cm="1">
        <f t="array" ref="D95">Common_InputFunctions.Utility_DisplayArrayInTable(Common_SourceData.Common_SourceData_ClimateZones_Data(), Table_SourceData_ClimateZones[[#Headers],[Climate zone]], 0)</f>
        <v>Warm temperate dry</v>
      </c>
      <c r="E95" s="38" t="str" cm="1">
        <f t="array" ref="E95">Common_InputFunctions.Utility_DisplayArrayInTable(Common_SourceData.Common_SourceData_ClimateZones_Data(), Table_SourceData_ClimateZones[[#Headers],[Climate zone]], 0)</f>
        <v>&gt; 10 C</v>
      </c>
      <c r="F95" s="38" t="str" cm="1">
        <f t="array" ref="F95">Common_InputFunctions.Utility_DisplayArrayInTable(Common_SourceData.Common_SourceData_ClimateZones_Data(), Table_SourceData_ClimateZones[[#Headers],[Climate zone]], 0)</f>
        <v>Any</v>
      </c>
      <c r="G95" s="38" t="str" cm="1">
        <f t="array" ref="G95">Common_InputFunctions.Utility_DisplayArrayInTable(Common_SourceData.Common_SourceData_ClimateZones_Data(), Table_SourceData_ClimateZones[[#Headers],[Climate zone]], 0)</f>
        <v>Any</v>
      </c>
      <c r="H95" s="38" t="str" cm="1">
        <f t="array" ref="H95">Common_InputFunctions.Utility_DisplayArrayInTable(Common_SourceData.Common_SourceData_ClimateZones_Data(), Table_SourceData_ClimateZones[[#Headers],[Climate zone]], 0)</f>
        <v>Any</v>
      </c>
      <c r="I95" s="38" t="str" cm="1">
        <f t="array" ref="I95">Common_InputFunctions.Utility_DisplayArrayInTable(Common_SourceData.Common_SourceData_ClimateZones_Data(), Table_SourceData_ClimateZones[[#Headers],[Climate zone]], 0)</f>
        <v>≤ 1</v>
      </c>
      <c r="J95" s="38" cm="1">
        <f t="array" ref="J95">Common_InputFunctions.Utility_DisplayArrayInTable(Common_SourceData.Common_SourceData_ClimateZones_Data(), Table_SourceData_ClimateZones[[#Headers],[Climate zone]], 0)</f>
        <v>10.000999999999999</v>
      </c>
      <c r="K95" s="38" cm="1">
        <f t="array" ref="K95">Common_InputFunctions.Utility_DisplayArrayInTable(Common_SourceData.Common_SourceData_ClimateZones_Data(), Table_SourceData_ClimateZones[[#Headers],[Climate zone]], 0)</f>
        <v>999999</v>
      </c>
      <c r="L95" s="38" cm="1">
        <f t="array" ref="L95">Common_InputFunctions.Utility_DisplayArrayInTable(Common_SourceData.Common_SourceData_ClimateZones_Data(), Table_SourceData_ClimateZones[[#Headers],[Climate zone]], 0)</f>
        <v>-999999</v>
      </c>
      <c r="M95" s="38" cm="1">
        <f t="array" ref="M95">Common_InputFunctions.Utility_DisplayArrayInTable(Common_SourceData.Common_SourceData_ClimateZones_Data(), Table_SourceData_ClimateZones[[#Headers],[Climate zone]], 0)</f>
        <v>999999</v>
      </c>
      <c r="N95" s="38" cm="1">
        <f t="array" ref="N95">Common_InputFunctions.Utility_DisplayArrayInTable(Common_SourceData.Common_SourceData_ClimateZones_Data(), Table_SourceData_ClimateZones[[#Headers],[Climate zone]], 0)</f>
        <v>-999999</v>
      </c>
      <c r="O95" s="38" cm="1">
        <f t="array" ref="O95">Common_InputFunctions.Utility_DisplayArrayInTable(Common_SourceData.Common_SourceData_ClimateZones_Data(), Table_SourceData_ClimateZones[[#Headers],[Climate zone]], 0)</f>
        <v>999999</v>
      </c>
      <c r="P95" s="38" cm="1">
        <f t="array" ref="P95">Common_InputFunctions.Utility_DisplayArrayInTable(Common_SourceData.Common_SourceData_ClimateZones_Data(), Table_SourceData_ClimateZones[[#Headers],[Climate zone]], 0)</f>
        <v>-999999</v>
      </c>
      <c r="Q95" s="38" cm="1">
        <f t="array" ref="Q95">Common_InputFunctions.Utility_DisplayArrayInTable(Common_SourceData.Common_SourceData_ClimateZones_Data(), Table_SourceData_ClimateZones[[#Headers],[Climate zone]], 0)</f>
        <v>999999</v>
      </c>
      <c r="R95" s="38" cm="1">
        <f t="array" ref="R95">Common_InputFunctions.Utility_DisplayArrayInTable(Common_SourceData.Common_SourceData_ClimateZones_Data(), Table_SourceData_ClimateZones[[#Headers],[Climate zone]], 0)</f>
        <v>-999999</v>
      </c>
      <c r="S95" s="38" cm="1">
        <f t="array" ref="S95">Common_InputFunctions.Utility_DisplayArrayInTable(Common_SourceData.Common_SourceData_ClimateZones_Data(), Table_SourceData_ClimateZones[[#Headers],[Climate zone]], 0)</f>
        <v>1</v>
      </c>
      <c r="T95" s="38"/>
    </row>
    <row r="96" spans="1:20" ht="20.100000000000001" customHeight="1" x14ac:dyDescent="0.25">
      <c r="A96"/>
      <c r="D96" s="38" t="str" cm="1">
        <f t="array" ref="D96">Common_InputFunctions.Utility_DisplayArrayInTable(Common_SourceData.Common_SourceData_ClimateZones_Data(), Table_SourceData_ClimateZones[[#Headers],[Climate zone]], 0)</f>
        <v>Cool temperate moist</v>
      </c>
      <c r="E96" s="38" t="str" cm="1">
        <f t="array" ref="E96">Common_InputFunctions.Utility_DisplayArrayInTable(Common_SourceData.Common_SourceData_ClimateZones_Data(), Table_SourceData_ClimateZones[[#Headers],[Climate zone]], 0)</f>
        <v>&gt; 0 C - ≤ 10 C</v>
      </c>
      <c r="F96" s="38" t="str" cm="1">
        <f t="array" ref="F96">Common_InputFunctions.Utility_DisplayArrayInTable(Common_SourceData.Common_SourceData_ClimateZones_Data(), Table_SourceData_ClimateZones[[#Headers],[Climate zone]], 0)</f>
        <v>Any</v>
      </c>
      <c r="G96" s="38" t="str" cm="1">
        <f t="array" ref="G96">Common_InputFunctions.Utility_DisplayArrayInTable(Common_SourceData.Common_SourceData_ClimateZones_Data(), Table_SourceData_ClimateZones[[#Headers],[Climate zone]], 0)</f>
        <v>Any</v>
      </c>
      <c r="H96" s="38" t="str" cm="1">
        <f t="array" ref="H96">Common_InputFunctions.Utility_DisplayArrayInTable(Common_SourceData.Common_SourceData_ClimateZones_Data(), Table_SourceData_ClimateZones[[#Headers],[Climate zone]], 0)</f>
        <v>Any</v>
      </c>
      <c r="I96" s="38" t="str" cm="1">
        <f t="array" ref="I96">Common_InputFunctions.Utility_DisplayArrayInTable(Common_SourceData.Common_SourceData_ClimateZones_Data(), Table_SourceData_ClimateZones[[#Headers],[Climate zone]], 0)</f>
        <v>&gt; 1</v>
      </c>
      <c r="J96" s="38" cm="1">
        <f t="array" ref="J96">Common_InputFunctions.Utility_DisplayArrayInTable(Common_SourceData.Common_SourceData_ClimateZones_Data(), Table_SourceData_ClimateZones[[#Headers],[Climate zone]], 0)</f>
        <v>-999999</v>
      </c>
      <c r="K96" s="38" cm="1">
        <f t="array" ref="K96">Common_InputFunctions.Utility_DisplayArrayInTable(Common_SourceData.Common_SourceData_ClimateZones_Data(), Table_SourceData_ClimateZones[[#Headers],[Climate zone]], 0)</f>
        <v>10</v>
      </c>
      <c r="L96" s="38" cm="1">
        <f t="array" ref="L96">Common_InputFunctions.Utility_DisplayArrayInTable(Common_SourceData.Common_SourceData_ClimateZones_Data(), Table_SourceData_ClimateZones[[#Headers],[Climate zone]], 0)</f>
        <v>-999999</v>
      </c>
      <c r="M96" s="38" cm="1">
        <f t="array" ref="M96">Common_InputFunctions.Utility_DisplayArrayInTable(Common_SourceData.Common_SourceData_ClimateZones_Data(), Table_SourceData_ClimateZones[[#Headers],[Climate zone]], 0)</f>
        <v>999999</v>
      </c>
      <c r="N96" s="38" cm="1">
        <f t="array" ref="N96">Common_InputFunctions.Utility_DisplayArrayInTable(Common_SourceData.Common_SourceData_ClimateZones_Data(), Table_SourceData_ClimateZones[[#Headers],[Climate zone]], 0)</f>
        <v>-999999</v>
      </c>
      <c r="O96" s="38" cm="1">
        <f t="array" ref="O96">Common_InputFunctions.Utility_DisplayArrayInTable(Common_SourceData.Common_SourceData_ClimateZones_Data(), Table_SourceData_ClimateZones[[#Headers],[Climate zone]], 0)</f>
        <v>999999</v>
      </c>
      <c r="P96" s="38" cm="1">
        <f t="array" ref="P96">Common_InputFunctions.Utility_DisplayArrayInTable(Common_SourceData.Common_SourceData_ClimateZones_Data(), Table_SourceData_ClimateZones[[#Headers],[Climate zone]], 0)</f>
        <v>-999999</v>
      </c>
      <c r="Q96" s="38" cm="1">
        <f t="array" ref="Q96">Common_InputFunctions.Utility_DisplayArrayInTable(Common_SourceData.Common_SourceData_ClimateZones_Data(), Table_SourceData_ClimateZones[[#Headers],[Climate zone]], 0)</f>
        <v>999999</v>
      </c>
      <c r="R96" s="38" cm="1">
        <f t="array" ref="R96">Common_InputFunctions.Utility_DisplayArrayInTable(Common_SourceData.Common_SourceData_ClimateZones_Data(), Table_SourceData_ClimateZones[[#Headers],[Climate zone]], 0)</f>
        <v>1.0009999999999999</v>
      </c>
      <c r="S96" s="38" cm="1">
        <f t="array" ref="S96">Common_InputFunctions.Utility_DisplayArrayInTable(Common_SourceData.Common_SourceData_ClimateZones_Data(), Table_SourceData_ClimateZones[[#Headers],[Climate zone]], 0)</f>
        <v>999999</v>
      </c>
      <c r="T96" s="38"/>
    </row>
    <row r="97" spans="1:20" ht="20.100000000000001" customHeight="1" x14ac:dyDescent="0.25">
      <c r="A97"/>
      <c r="D97" s="38" t="str" cm="1">
        <f t="array" ref="D97">Common_InputFunctions.Utility_DisplayArrayInTable(Common_SourceData.Common_SourceData_ClimateZones_Data(), Table_SourceData_ClimateZones[[#Headers],[Climate zone]], 0)</f>
        <v>Cool temperate dry</v>
      </c>
      <c r="E97" s="38" t="str" cm="1">
        <f t="array" ref="E97">Common_InputFunctions.Utility_DisplayArrayInTable(Common_SourceData.Common_SourceData_ClimateZones_Data(), Table_SourceData_ClimateZones[[#Headers],[Climate zone]], 0)</f>
        <v>&gt; 0 C - ≤ 10 C</v>
      </c>
      <c r="F97" s="38" t="str" cm="1">
        <f t="array" ref="F97">Common_InputFunctions.Utility_DisplayArrayInTable(Common_SourceData.Common_SourceData_ClimateZones_Data(), Table_SourceData_ClimateZones[[#Headers],[Climate zone]], 0)</f>
        <v>Any</v>
      </c>
      <c r="G97" s="38" t="str" cm="1">
        <f t="array" ref="G97">Common_InputFunctions.Utility_DisplayArrayInTable(Common_SourceData.Common_SourceData_ClimateZones_Data(), Table_SourceData_ClimateZones[[#Headers],[Climate zone]], 0)</f>
        <v>Any</v>
      </c>
      <c r="H97" s="38" t="str" cm="1">
        <f t="array" ref="H97">Common_InputFunctions.Utility_DisplayArrayInTable(Common_SourceData.Common_SourceData_ClimateZones_Data(), Table_SourceData_ClimateZones[[#Headers],[Climate zone]], 0)</f>
        <v>Any</v>
      </c>
      <c r="I97" s="38" t="str" cm="1">
        <f t="array" ref="I97">Common_InputFunctions.Utility_DisplayArrayInTable(Common_SourceData.Common_SourceData_ClimateZones_Data(), Table_SourceData_ClimateZones[[#Headers],[Climate zone]], 0)</f>
        <v>≤ 1</v>
      </c>
      <c r="J97" s="38" cm="1">
        <f t="array" ref="J97">Common_InputFunctions.Utility_DisplayArrayInTable(Common_SourceData.Common_SourceData_ClimateZones_Data(), Table_SourceData_ClimateZones[[#Headers],[Climate zone]], 0)</f>
        <v>-999999</v>
      </c>
      <c r="K97" s="38" cm="1">
        <f t="array" ref="K97">Common_InputFunctions.Utility_DisplayArrayInTable(Common_SourceData.Common_SourceData_ClimateZones_Data(), Table_SourceData_ClimateZones[[#Headers],[Climate zone]], 0)</f>
        <v>10</v>
      </c>
      <c r="L97" s="38" cm="1">
        <f t="array" ref="L97">Common_InputFunctions.Utility_DisplayArrayInTable(Common_SourceData.Common_SourceData_ClimateZones_Data(), Table_SourceData_ClimateZones[[#Headers],[Climate zone]], 0)</f>
        <v>-999999</v>
      </c>
      <c r="M97" s="38" cm="1">
        <f t="array" ref="M97">Common_InputFunctions.Utility_DisplayArrayInTable(Common_SourceData.Common_SourceData_ClimateZones_Data(), Table_SourceData_ClimateZones[[#Headers],[Climate zone]], 0)</f>
        <v>999999</v>
      </c>
      <c r="N97" s="38" cm="1">
        <f t="array" ref="N97">Common_InputFunctions.Utility_DisplayArrayInTable(Common_SourceData.Common_SourceData_ClimateZones_Data(), Table_SourceData_ClimateZones[[#Headers],[Climate zone]], 0)</f>
        <v>-999999</v>
      </c>
      <c r="O97" s="38" cm="1">
        <f t="array" ref="O97">Common_InputFunctions.Utility_DisplayArrayInTable(Common_SourceData.Common_SourceData_ClimateZones_Data(), Table_SourceData_ClimateZones[[#Headers],[Climate zone]], 0)</f>
        <v>999999</v>
      </c>
      <c r="P97" s="38" cm="1">
        <f t="array" ref="P97">Common_InputFunctions.Utility_DisplayArrayInTable(Common_SourceData.Common_SourceData_ClimateZones_Data(), Table_SourceData_ClimateZones[[#Headers],[Climate zone]], 0)</f>
        <v>-999999</v>
      </c>
      <c r="Q97" s="38" cm="1">
        <f t="array" ref="Q97">Common_InputFunctions.Utility_DisplayArrayInTable(Common_SourceData.Common_SourceData_ClimateZones_Data(), Table_SourceData_ClimateZones[[#Headers],[Climate zone]], 0)</f>
        <v>999999</v>
      </c>
      <c r="R97" s="38" cm="1">
        <f t="array" ref="R97">Common_InputFunctions.Utility_DisplayArrayInTable(Common_SourceData.Common_SourceData_ClimateZones_Data(), Table_SourceData_ClimateZones[[#Headers],[Climate zone]], 0)</f>
        <v>-999999</v>
      </c>
      <c r="S97" s="38" cm="1">
        <f t="array" ref="S97">Common_InputFunctions.Utility_DisplayArrayInTable(Common_SourceData.Common_SourceData_ClimateZones_Data(), Table_SourceData_ClimateZones[[#Headers],[Climate zone]], 0)</f>
        <v>1</v>
      </c>
      <c r="T97" s="38"/>
    </row>
    <row r="98" spans="1:20" ht="20.100000000000001" customHeight="1" x14ac:dyDescent="0.25">
      <c r="A98"/>
    </row>
    <row r="99" spans="1:20" ht="20.100000000000001" customHeight="1" x14ac:dyDescent="0.25">
      <c r="A99"/>
      <c r="D99" s="55" t="str" cm="1">
        <f t="array" ref="D99:D102">Common_SourceData.Common_SourceData_ClimateZones_Appendices()</f>
        <v>Note:</v>
      </c>
    </row>
    <row r="100" spans="1:20" ht="20.100000000000001" customHeight="1" x14ac:dyDescent="0.25">
      <c r="A100"/>
      <c r="D100" s="55" t="str">
        <v>MAT = mean annual temperature</v>
      </c>
    </row>
    <row r="101" spans="1:20" ht="20.100000000000001" customHeight="1" x14ac:dyDescent="0.25">
      <c r="A101"/>
      <c r="D101" s="55" t="str">
        <v>MAP = mean annual precipitation</v>
      </c>
    </row>
    <row r="102" spans="1:20" ht="20.100000000000001" customHeight="1" x14ac:dyDescent="0.25">
      <c r="A102"/>
      <c r="D102" s="55" t="str">
        <v>PET = potential evapotranspiration</v>
      </c>
    </row>
    <row r="103" spans="1:20" ht="20.100000000000001" customHeight="1" x14ac:dyDescent="0.25">
      <c r="A103"/>
      <c r="D103" s="55"/>
    </row>
    <row r="104" spans="1:20" ht="20.100000000000001" customHeight="1" x14ac:dyDescent="0.25">
      <c r="A104"/>
    </row>
    <row r="105" spans="1:20" ht="20.100000000000001" customHeight="1" x14ac:dyDescent="0.25">
      <c r="A105"/>
      <c r="D105" s="6" t="str" cm="1">
        <f t="array" ref="D105">Common_SourceData.Common_SourceData_TemperatureZones_Title()</f>
        <v>VEERG Australian temperature zones</v>
      </c>
    </row>
    <row r="106" spans="1:20" ht="20.100000000000001" customHeight="1" x14ac:dyDescent="0.25">
      <c r="A106"/>
      <c r="D106" s="5" t="str" cm="1">
        <f t="array" ref="D106">Common_SourceData.Common_SourceData_TemperatureZones_Source()</f>
        <v>VEERG 2026: Table 1.3: Climate and Rainfall zone classifications and definitions</v>
      </c>
    </row>
    <row r="107" spans="1:20" ht="20.100000000000001" customHeight="1" x14ac:dyDescent="0.25">
      <c r="A107"/>
      <c r="D107" s="56" t="str" cm="1">
        <f t="array" ref="D107">"⚠️" &amp; Common_SourceData.Common_SourceData_TemperatureZones_Variation()</f>
        <v>⚠️VARIATION OF SOURCE DATA: Added extra MAT min and MAT max columns to calculate zone from real temperature data.</v>
      </c>
    </row>
    <row r="108" spans="1:20" ht="20.100000000000001" customHeight="1" x14ac:dyDescent="0.25">
      <c r="A108"/>
    </row>
    <row r="109" spans="1:20" ht="20.100000000000001" customHeight="1" x14ac:dyDescent="0.25">
      <c r="A109"/>
      <c r="D109" s="38" t="s">
        <v>52</v>
      </c>
      <c r="E109" s="38" t="s">
        <v>33</v>
      </c>
      <c r="F109" s="38" t="s">
        <v>53</v>
      </c>
      <c r="G109" s="38" t="s">
        <v>54</v>
      </c>
    </row>
    <row r="110" spans="1:20" ht="20.100000000000001" customHeight="1" x14ac:dyDescent="0.25">
      <c r="A110"/>
      <c r="D110" s="38" t="str" cm="1">
        <f t="array" ref="D110">Common_InputFunctions.Utility_DisplayArrayInTable(Common_SourceData.Common_SourceData_TemperatureZones_Data(),Table_SourceData_TemperatureZones[[#Headers],[Temperature Zone]],0)</f>
        <v>Warm</v>
      </c>
      <c r="E110" s="38" t="str" cm="1">
        <f t="array" ref="E110">Common_InputFunctions.Utility_DisplayArrayInTable(Common_SourceData.Common_SourceData_TemperatureZones_Data(),Table_SourceData_TemperatureZones[[#Headers],[Temperature Zone]],0)</f>
        <v>≥ 26 C</v>
      </c>
      <c r="F110" s="38" cm="1">
        <f t="array" ref="F110">Common_InputFunctions.Utility_DisplayArrayInTable(Common_SourceData.Common_SourceData_TemperatureZones_Data(),Table_SourceData_TemperatureZones[[#Headers],[Temperature Zone]],0)</f>
        <v>26</v>
      </c>
      <c r="G110" s="38" cm="1">
        <f t="array" ref="G110">Common_InputFunctions.Utility_DisplayArrayInTable(Common_SourceData.Common_SourceData_TemperatureZones_Data(),Table_SourceData_TemperatureZones[[#Headers],[Temperature Zone]],0)</f>
        <v>999999</v>
      </c>
    </row>
    <row r="111" spans="1:20" ht="20.100000000000001" customHeight="1" x14ac:dyDescent="0.25">
      <c r="A111"/>
      <c r="D111" s="38" t="str" cm="1">
        <f t="array" ref="D111">Common_InputFunctions.Utility_DisplayArrayInTable(Common_SourceData.Common_SourceData_TemperatureZones_Data(),Table_SourceData_TemperatureZones[[#Headers],[Temperature Zone]],0)</f>
        <v>Temperate</v>
      </c>
      <c r="E111" s="38" t="str" cm="1">
        <f t="array" ref="E111">Common_InputFunctions.Utility_DisplayArrayInTable(Common_SourceData.Common_SourceData_TemperatureZones_Data(),Table_SourceData_TemperatureZones[[#Headers],[Temperature Zone]],0)</f>
        <v>15 - 25 C</v>
      </c>
      <c r="F111" s="38" cm="1">
        <f t="array" ref="F111">Common_InputFunctions.Utility_DisplayArrayInTable(Common_SourceData.Common_SourceData_TemperatureZones_Data(),Table_SourceData_TemperatureZones[[#Headers],[Temperature Zone]],0)</f>
        <v>15</v>
      </c>
      <c r="G111" s="38" cm="1">
        <f t="array" ref="G111">Common_InputFunctions.Utility_DisplayArrayInTable(Common_SourceData.Common_SourceData_TemperatureZones_Data(),Table_SourceData_TemperatureZones[[#Headers],[Temperature Zone]],0)</f>
        <v>25.998999999999999</v>
      </c>
    </row>
    <row r="112" spans="1:20" ht="20.100000000000001" customHeight="1" x14ac:dyDescent="0.25">
      <c r="A112"/>
      <c r="D112" s="38" t="str" cm="1">
        <f t="array" ref="D112">Common_InputFunctions.Utility_DisplayArrayInTable(Common_SourceData.Common_SourceData_TemperatureZones_Data(),Table_SourceData_TemperatureZones[[#Headers],[Temperature Zone]],0)</f>
        <v>Cool</v>
      </c>
      <c r="E112" s="38" t="str" cm="1">
        <f t="array" ref="E112">Common_InputFunctions.Utility_DisplayArrayInTable(Common_SourceData.Common_SourceData_TemperatureZones_Data(),Table_SourceData_TemperatureZones[[#Headers],[Temperature Zone]],0)</f>
        <v>≤ 14 C</v>
      </c>
      <c r="F112" s="38" cm="1">
        <f t="array" ref="F112">Common_InputFunctions.Utility_DisplayArrayInTable(Common_SourceData.Common_SourceData_TemperatureZones_Data(),Table_SourceData_TemperatureZones[[#Headers],[Temperature Zone]],0)</f>
        <v>-999999</v>
      </c>
      <c r="G112" s="38" cm="1">
        <f t="array" ref="G112">Common_InputFunctions.Utility_DisplayArrayInTable(Common_SourceData.Common_SourceData_TemperatureZones_Data(),Table_SourceData_TemperatureZones[[#Headers],[Temperature Zone]],0)</f>
        <v>14.999000000000001</v>
      </c>
    </row>
    <row r="113" spans="1:66" ht="20.100000000000001" customHeight="1" x14ac:dyDescent="0.25">
      <c r="A113"/>
    </row>
    <row r="114" spans="1:66" ht="20.100000000000001" customHeight="1" x14ac:dyDescent="0.25">
      <c r="A114"/>
    </row>
    <row r="115" spans="1:66" ht="20.100000000000001" customHeight="1" x14ac:dyDescent="0.25">
      <c r="A115"/>
      <c r="D115" s="6" t="str" cm="1">
        <f t="array" ref="D115">Common_SourceData.Common_SourceData_RainfallZones_Title()</f>
        <v>VEERG Australian rainfall zones</v>
      </c>
      <c r="BN115" s="7"/>
    </row>
    <row r="116" spans="1:66" ht="20.100000000000001" customHeight="1" x14ac:dyDescent="0.25">
      <c r="A116"/>
      <c r="D116" s="5" t="str" cm="1">
        <f t="array" ref="D116">Common_SourceData.Common_SourceData_RainfallZones_Source()</f>
        <v>VEERG 2026: Table 1.3: Climate and Rainfall zone classifications and definitions</v>
      </c>
      <c r="BN116" s="7"/>
    </row>
    <row r="117" spans="1:66" ht="20.100000000000001" customHeight="1" x14ac:dyDescent="0.25">
      <c r="A117"/>
      <c r="D117" s="56" t="str" cm="1">
        <f t="array" ref="D117">"⚠️" &amp; Common_SourceData.Common_SourceData_RainfallZones_Variation()</f>
        <v>⚠️VARIATION OF SOURCE DATA: Added extra Rainfall min and Rainfall max columns to calculate zone from real rainfall data.</v>
      </c>
      <c r="BN117" s="7"/>
    </row>
    <row r="118" spans="1:66" ht="20.100000000000001" customHeight="1" x14ac:dyDescent="0.25">
      <c r="A118"/>
      <c r="BN118" s="7"/>
    </row>
    <row r="119" spans="1:66" ht="20.100000000000001" customHeight="1" x14ac:dyDescent="0.25">
      <c r="A119"/>
      <c r="D119" s="38" t="s">
        <v>55</v>
      </c>
      <c r="E119" s="38" t="s">
        <v>56</v>
      </c>
      <c r="F119" s="38" t="s">
        <v>40</v>
      </c>
      <c r="G119" s="38" t="s">
        <v>41</v>
      </c>
      <c r="BN119" s="7"/>
    </row>
    <row r="120" spans="1:66" ht="20.100000000000001" customHeight="1" x14ac:dyDescent="0.25">
      <c r="A120"/>
      <c r="D120" s="38" t="str" cm="1">
        <f t="array" ref="D120">Common_InputFunctions.Utility_DisplayArrayInTable(Common_SourceData.Common_SourceData_RainfallZones_Data(),Table_SourceData_RainfallZones[[#Headers],[Rainfall Zone]],0)</f>
        <v>High rainfall</v>
      </c>
      <c r="E120" s="38" t="str" cm="1">
        <f t="array" ref="E120">Common_InputFunctions.Utility_DisplayArrayInTable(Common_SourceData.Common_SourceData_RainfallZones_Data(),Table_SourceData_RainfallZones[[#Headers],[Rainfall Zone]],0)</f>
        <v>Annual rainfall &gt; 600mm</v>
      </c>
      <c r="F120" s="38" cm="1">
        <f t="array" ref="F120">Common_InputFunctions.Utility_DisplayArrayInTable(Common_SourceData.Common_SourceData_RainfallZones_Data(),Table_SourceData_RainfallZones[[#Headers],[Rainfall Zone]],0)</f>
        <v>600.00099999999998</v>
      </c>
      <c r="G120" s="38" cm="1">
        <f t="array" ref="G120">Common_InputFunctions.Utility_DisplayArrayInTable(Common_SourceData.Common_SourceData_RainfallZones_Data(),Table_SourceData_RainfallZones[[#Headers],[Rainfall Zone]],0)</f>
        <v>999999</v>
      </c>
      <c r="BN120" s="7"/>
    </row>
    <row r="121" spans="1:66" ht="20.100000000000001" customHeight="1" x14ac:dyDescent="0.25">
      <c r="A121"/>
      <c r="D121" s="38" t="str" cm="1">
        <f t="array" ref="D121">Common_InputFunctions.Utility_DisplayArrayInTable(Common_SourceData.Common_SourceData_RainfallZones_Data(),Table_SourceData_RainfallZones[[#Headers],[Rainfall Zone]],0)</f>
        <v>Low rainfall</v>
      </c>
      <c r="E121" s="38" t="str" cm="1">
        <f t="array" ref="E121">Common_InputFunctions.Utility_DisplayArrayInTable(Common_SourceData.Common_SourceData_RainfallZones_Data(),Table_SourceData_RainfallZones[[#Headers],[Rainfall Zone]],0)</f>
        <v>Annual rainfall ≤ 600mm</v>
      </c>
      <c r="F121" s="38" cm="1">
        <f t="array" ref="F121">Common_InputFunctions.Utility_DisplayArrayInTable(Common_SourceData.Common_SourceData_RainfallZones_Data(),Table_SourceData_RainfallZones[[#Headers],[Rainfall Zone]],0)</f>
        <v>-999999</v>
      </c>
      <c r="G121" s="38" cm="1">
        <f t="array" ref="G121">Common_InputFunctions.Utility_DisplayArrayInTable(Common_SourceData.Common_SourceData_RainfallZones_Data(),Table_SourceData_RainfallZones[[#Headers],[Rainfall Zone]],0)</f>
        <v>600</v>
      </c>
      <c r="BN121" s="7"/>
    </row>
    <row r="122" spans="1:66" ht="20.100000000000001" customHeight="1" x14ac:dyDescent="0.25">
      <c r="A122"/>
      <c r="BN122" s="7"/>
    </row>
    <row r="123" spans="1:66" ht="20.100000000000001" customHeight="1" x14ac:dyDescent="0.25">
      <c r="A123"/>
    </row>
    <row r="124" spans="1:66" ht="20.100000000000001" customHeight="1" x14ac:dyDescent="0.25">
      <c r="A124"/>
      <c r="D124" s="6" t="str" cm="1">
        <f t="array" ref="D124">Common_SourceData.Common_SourceData_LeachingZones_Title()</f>
        <v>VEERG Australian leaching zones</v>
      </c>
    </row>
    <row r="125" spans="1:66" ht="20.100000000000001" customHeight="1" x14ac:dyDescent="0.25">
      <c r="A125"/>
      <c r="D125" s="5" t="str" cm="1">
        <f t="array" ref="D125">Common_SourceData.Common_SourceData_LeachingZones_Source()</f>
        <v>VEERG 2026: Table 1.3: Climate and Rainfall zone classifications and definitions</v>
      </c>
    </row>
    <row r="126" spans="1:66" ht="20.100000000000001" customHeight="1" x14ac:dyDescent="0.25">
      <c r="A126"/>
    </row>
    <row r="127" spans="1:66" ht="20.100000000000001" customHeight="1" x14ac:dyDescent="0.25">
      <c r="A127"/>
      <c r="D127" s="38" t="s">
        <v>62</v>
      </c>
      <c r="E127" s="38" t="s">
        <v>63</v>
      </c>
    </row>
    <row r="128" spans="1:66" ht="20.100000000000001" customHeight="1" x14ac:dyDescent="0.25">
      <c r="A128"/>
      <c r="D128" s="38" t="str" cm="1">
        <f t="array" ref="D128">Common_InputFunctions.Utility_DisplayArrayInTable(Common_SourceData.Common_SourceData_LeachingZones_Data(), Table_SourceData_LeachingZones[[#Headers],[Leaching Zone]], 0)</f>
        <v>Leaching occurs</v>
      </c>
      <c r="E128" s="38" t="str" cm="1">
        <f t="array" ref="E128">Common_InputFunctions.Utility_DisplayArrayInTable(Common_SourceData.Common_SourceData_LeachingZones_Data(), Table_SourceData_LeachingZones[[#Headers],[Leaching Zone]], 0)</f>
        <v>Σ(𝑟𝑎𝑖𝑛)&gt;Σ(𝐸𝑇0)+𝑠𝑜𝑖𝑙 𝑤𝑎𝑡𝑒𝑟 ℎ𝑜𝑙𝑑𝑖𝑛𝑔 𝑐𝑎𝑝𝑎𝑐𝑖𝑡𝑦</v>
      </c>
    </row>
    <row r="129" spans="1:77" ht="20.100000000000001" customHeight="1" x14ac:dyDescent="0.25">
      <c r="A129"/>
      <c r="D129" s="38" t="str" cm="1">
        <f t="array" ref="D129">Common_InputFunctions.Utility_DisplayArrayInTable(Common_SourceData.Common_SourceData_LeachingZones_Data(), Table_SourceData_LeachingZones[[#Headers],[Leaching Zone]], 0)</f>
        <v>Leaching does not occur</v>
      </c>
      <c r="E129" s="38" t="str" cm="1">
        <f t="array" ref="E129">Common_InputFunctions.Utility_DisplayArrayInTable(Common_SourceData.Common_SourceData_LeachingZones_Data(), Table_SourceData_LeachingZones[[#Headers],[Leaching Zone]], 0)</f>
        <v>Σ(𝑟𝑎𝑖𝑛)≤Σ(𝐸𝑇0)+𝑠𝑜𝑖𝑙 𝑤𝑎𝑡𝑒𝑟 ℎ𝑜𝑙𝑑𝑖𝑛𝑔 𝑐𝑎𝑝𝑎𝑐𝑖𝑡𝑦</v>
      </c>
    </row>
    <row r="130" spans="1:77" ht="20.100000000000001" customHeight="1" x14ac:dyDescent="0.25">
      <c r="A130"/>
    </row>
    <row r="131" spans="1:77" ht="20.100000000000001" customHeight="1" x14ac:dyDescent="0.25">
      <c r="A131"/>
    </row>
    <row r="132" spans="1:77" ht="20.100000000000001" customHeight="1" x14ac:dyDescent="0.25">
      <c r="A132"/>
      <c r="D132" s="6" t="str" cm="1">
        <f t="array" ref="D132">Common_SourceData.Common_SourceData_FracWET_Title()</f>
        <v>Fraction of N that is available for leaching and runoff</v>
      </c>
      <c r="E132" s="23"/>
    </row>
    <row r="133" spans="1:77" ht="20.100000000000001" customHeight="1" x14ac:dyDescent="0.25">
      <c r="A133"/>
      <c r="D133" s="5" t="str" cm="1">
        <f t="array" ref="D133">Common_SourceData.Common_SourceData_FracWET_Source()</f>
        <v>VEERG 2026:5.5.2.3 Constant Parameters</v>
      </c>
      <c r="E133" s="23"/>
    </row>
    <row r="134" spans="1:77" ht="20.100000000000001" customHeight="1" x14ac:dyDescent="0.25">
      <c r="A134"/>
      <c r="D134" t="s">
        <v>87</v>
      </c>
      <c r="E134" t="s">
        <v>88</v>
      </c>
    </row>
    <row r="135" spans="1:77" ht="20.100000000000001" customHeight="1" x14ac:dyDescent="0.25">
      <c r="A135"/>
      <c r="D135" t="str" cm="1">
        <f t="array" ref="D135">Common_InputFunctions.Utility_DisplayArrayInTable(Common_SourceData.Common_SourceData_FracWET_Data(),Table_SourceData_FracWET[[#Headers],[Is in leaching zone]],0)</f>
        <v>Yes - in leaching zone</v>
      </c>
      <c r="E135" cm="1">
        <f t="array" ref="E135">Common_InputFunctions.Utility_DisplayArrayInTable(Common_SourceData.Common_SourceData_FracWET_Data(),Table_SourceData_FracWET[[#Headers],[Is in leaching zone]],0)</f>
        <v>1</v>
      </c>
    </row>
    <row r="136" spans="1:77" ht="20.100000000000001" customHeight="1" x14ac:dyDescent="0.25">
      <c r="A136"/>
      <c r="D136" s="1" t="str" cm="1">
        <f t="array" ref="D136">Common_InputFunctions.Utility_DisplayArrayInTable(Common_SourceData.Common_SourceData_FracWET_Data(),Table_SourceData_FracWET[[#Headers],[Is in leaching zone]],0)</f>
        <v>No - not in leaching zone</v>
      </c>
      <c r="E136" s="38" cm="1">
        <f t="array" ref="E136">Common_InputFunctions.Utility_DisplayArrayInTable(Common_SourceData.Common_SourceData_FracWET_Data(),Table_SourceData_FracWET[[#Headers],[Is in leaching zone]],0)</f>
        <v>0</v>
      </c>
    </row>
    <row r="137" spans="1:77" ht="20.100000000000001" customHeight="1" x14ac:dyDescent="0.25">
      <c r="A137"/>
    </row>
    <row r="138" spans="1:77" ht="20.100000000000001" customHeight="1" x14ac:dyDescent="0.25">
      <c r="A138"/>
      <c r="BN138" s="7"/>
      <c r="BO138" s="7"/>
      <c r="BP138" s="7"/>
      <c r="BQ138" s="7"/>
      <c r="BR138" s="7"/>
      <c r="BS138" s="7"/>
      <c r="BT138" s="7"/>
      <c r="BU138" s="7"/>
      <c r="BV138" s="7"/>
      <c r="BW138" s="7"/>
      <c r="BX138" s="7"/>
      <c r="BY138" s="7"/>
    </row>
    <row r="139" spans="1:77" ht="20.100000000000001" customHeight="1" x14ac:dyDescent="0.25">
      <c r="A139"/>
      <c r="D139" s="6" t="str" cm="1">
        <f t="array" ref="D139">Common_SourceData.Common_SourceData_FracWETIrrigation_Title()</f>
        <v>FracWET for irrigation types</v>
      </c>
      <c r="BN139" s="7"/>
      <c r="BO139" s="7"/>
      <c r="BP139" s="7"/>
      <c r="BQ139" s="7"/>
      <c r="BR139" s="7"/>
      <c r="BS139" s="7"/>
      <c r="BT139" s="7"/>
      <c r="BU139" s="7"/>
      <c r="BV139" s="7"/>
      <c r="BW139" s="7"/>
      <c r="BX139" s="7"/>
      <c r="BY139" s="7"/>
    </row>
    <row r="140" spans="1:77" ht="20.100000000000001" customHeight="1" x14ac:dyDescent="0.25">
      <c r="A140"/>
      <c r="D140" s="5" t="str" cm="1">
        <f t="array" ref="D140">Common_SourceData.Common_SourceData_FracWETIrrigation_Source()</f>
        <v>VEERG 2026: Chapter 1, section 1.8.2 Leaching, climate and rainfall zones</v>
      </c>
      <c r="BN140" s="7"/>
      <c r="BO140" s="7"/>
      <c r="BP140" s="7"/>
      <c r="BQ140" s="7"/>
      <c r="BR140" s="7"/>
      <c r="BS140" s="7"/>
      <c r="BT140" s="7"/>
      <c r="BU140" s="7"/>
      <c r="BV140" s="7"/>
      <c r="BW140" s="7"/>
      <c r="BX140" s="7"/>
      <c r="BY140" s="7"/>
    </row>
    <row r="141" spans="1:77" ht="20.100000000000001" customHeight="1" x14ac:dyDescent="0.25">
      <c r="A141"/>
      <c r="D141" s="56" t="str" cm="1">
        <f t="array" ref="D141">Common_SourceData.Common_SourceData_FracWETIrrigation_Variation()</f>
        <v>VARIATION FROM SOURCE DATA: Table created based on VEERG text 'Areas are subject to leaching (i.e., in the leaching zone) when... the land is irrigated (except drip irrigation).'</v>
      </c>
      <c r="BN141" s="7"/>
    </row>
    <row r="142" spans="1:77" ht="20.100000000000001" customHeight="1" x14ac:dyDescent="0.25">
      <c r="A142"/>
      <c r="D142" s="38" t="s">
        <v>292</v>
      </c>
      <c r="E142" s="38" t="s">
        <v>88</v>
      </c>
      <c r="BN142" s="7"/>
    </row>
    <row r="143" spans="1:77" ht="20.100000000000001" customHeight="1" x14ac:dyDescent="0.25">
      <c r="A143"/>
      <c r="D143" s="38" t="str" cm="1">
        <f t="array" ref="D143">Common_InputFunctions.Utility_DisplayArrayInTable(Common_SourceData.Common_SourceData_FracWETIrrigation_Data(), Table_SourceData_FracWETIrrigation[[#Headers],[Irrigation type i]], 0)</f>
        <v>Not irrigated</v>
      </c>
      <c r="E143" s="38" cm="1">
        <f t="array" ref="E143">Common_InputFunctions.Utility_DisplayArrayInTable(Common_SourceData.Common_SourceData_FracWETIrrigation_Data(), Table_SourceData_FracWETIrrigation[[#Headers],[Irrigation type i]], 0)</f>
        <v>0</v>
      </c>
      <c r="BN143" s="7"/>
    </row>
    <row r="144" spans="1:77" ht="20.100000000000001" customHeight="1" x14ac:dyDescent="0.25">
      <c r="A144"/>
      <c r="D144" s="1" t="str" cm="1">
        <f t="array" ref="D144">Common_InputFunctions.Utility_DisplayArrayInTable(Common_SourceData.Common_SourceData_FracWETIrrigation_Data(), Table_SourceData_FracWETIrrigation[[#Headers],[Irrigation type i]], 0)</f>
        <v>Drip irrigation</v>
      </c>
      <c r="E144" s="38" cm="1">
        <f t="array" ref="E144">Common_InputFunctions.Utility_DisplayArrayInTable(Common_SourceData.Common_SourceData_FracWETIrrigation_Data(), Table_SourceData_FracWETIrrigation[[#Headers],[Irrigation type i]], 0)</f>
        <v>0</v>
      </c>
      <c r="BN144" s="7"/>
    </row>
    <row r="145" spans="1:66" ht="20.100000000000001" customHeight="1" x14ac:dyDescent="0.25">
      <c r="A145"/>
      <c r="D145" s="1" t="str" cm="1">
        <f t="array" ref="D145">Common_InputFunctions.Utility_DisplayArrayInTable(Common_SourceData.Common_SourceData_FracWETIrrigation_Data(), Table_SourceData_FracWETIrrigation[[#Headers],[Irrigation type i]], 0)</f>
        <v>Sprinkler irrigation</v>
      </c>
      <c r="E145" s="38" cm="1">
        <f t="array" ref="E145">Common_InputFunctions.Utility_DisplayArrayInTable(Common_SourceData.Common_SourceData_FracWETIrrigation_Data(), Table_SourceData_FracWETIrrigation[[#Headers],[Irrigation type i]], 0)</f>
        <v>1</v>
      </c>
      <c r="BN145" s="7"/>
    </row>
    <row r="146" spans="1:66" ht="20.100000000000001" customHeight="1" x14ac:dyDescent="0.25">
      <c r="A146"/>
      <c r="D146" s="1" t="str" cm="1">
        <f t="array" ref="D146">Common_InputFunctions.Utility_DisplayArrayInTable(Common_SourceData.Common_SourceData_FracWETIrrigation_Data(), Table_SourceData_FracWETIrrigation[[#Headers],[Irrigation type i]], 0)</f>
        <v>Surface irrigation</v>
      </c>
      <c r="E146" s="38" cm="1">
        <f t="array" ref="E146">Common_InputFunctions.Utility_DisplayArrayInTable(Common_SourceData.Common_SourceData_FracWETIrrigation_Data(), Table_SourceData_FracWETIrrigation[[#Headers],[Irrigation type i]], 0)</f>
        <v>1</v>
      </c>
      <c r="BN146" s="7"/>
    </row>
    <row r="147" spans="1:66" ht="20.100000000000001" customHeight="1" x14ac:dyDescent="0.25">
      <c r="A147"/>
      <c r="D147" s="1" t="str" cm="1">
        <f t="array" ref="D147">Common_InputFunctions.Utility_DisplayArrayInTable(Common_SourceData.Common_SourceData_FracWETIrrigation_Data(), Table_SourceData_FracWETIrrigation[[#Headers],[Irrigation type i]], 0)</f>
        <v>Other irrigation</v>
      </c>
      <c r="E147" s="38" cm="1">
        <f t="array" ref="E147">Common_InputFunctions.Utility_DisplayArrayInTable(Common_SourceData.Common_SourceData_FracWETIrrigation_Data(), Table_SourceData_FracWETIrrigation[[#Headers],[Irrigation type i]], 0)</f>
        <v>1</v>
      </c>
      <c r="BN147" s="7"/>
    </row>
    <row r="148" spans="1:66" ht="20.100000000000001" customHeight="1" x14ac:dyDescent="0.25">
      <c r="A148"/>
      <c r="BN148" s="7"/>
    </row>
    <row r="149" spans="1:66" ht="20.100000000000001" customHeight="1" x14ac:dyDescent="0.25">
      <c r="A149"/>
      <c r="BN149" s="7"/>
    </row>
    <row r="150" spans="1:66" ht="20.100000000000001" customHeight="1" x14ac:dyDescent="0.25">
      <c r="A150"/>
      <c r="D150" s="6" t="str" cm="1">
        <f t="array" ref="D150">Common_SourceData.Common_SourceData_DataScores_Scope3_Title()</f>
        <v>Australian data scores for scope 3</v>
      </c>
      <c r="BN150" s="7"/>
    </row>
    <row r="151" spans="1:66" ht="20.100000000000001" customHeight="1" x14ac:dyDescent="0.25">
      <c r="A151"/>
      <c r="D151" s="5" t="str" cm="1">
        <f t="array" ref="D151">Common_SourceData.Common_SourceData_DataScores_Scope3_Source()</f>
        <v>VEERG 2026: XXXXXXXX</v>
      </c>
      <c r="BN151" s="7"/>
    </row>
    <row r="152" spans="1:66" ht="20.100000000000001" customHeight="1" x14ac:dyDescent="0.25">
      <c r="A152"/>
      <c r="BN152" s="7"/>
    </row>
    <row r="153" spans="1:66" ht="20.100000000000001" customHeight="1" x14ac:dyDescent="0.25">
      <c r="A153"/>
      <c r="D153" s="38" t="s">
        <v>65</v>
      </c>
      <c r="E153" s="38" t="s">
        <v>66</v>
      </c>
      <c r="BC153" s="3"/>
      <c r="BD153" s="3"/>
      <c r="BE153" s="3"/>
      <c r="BF153" s="3"/>
      <c r="BG153" s="3"/>
      <c r="BH153" s="3"/>
      <c r="BI153" s="3"/>
      <c r="BJ153" s="3"/>
      <c r="BK153" s="3"/>
      <c r="BL153" s="3"/>
      <c r="BM153" s="3"/>
    </row>
    <row r="154" spans="1:66" ht="20.100000000000001" customHeight="1" x14ac:dyDescent="0.25">
      <c r="A154"/>
      <c r="D154" s="38" t="str" cm="1">
        <f t="array" ref="D154">Common_InputFunctions.Utility_DisplayArrayInTable(Common_SourceData.Common_SourceData_DataScores_Scope3_Data(), Table_SourceData_DataScores_Scope3[[#Headers],[Data source]], 0)</f>
        <v>International scope 3 database</v>
      </c>
      <c r="E154" s="38" cm="1">
        <f t="array" ref="E154">Common_InputFunctions.Utility_DisplayArrayInTable(Common_SourceData.Common_SourceData_DataScores_Scope3_Data(), Table_SourceData_DataScores_Scope3[[#Headers],[Data source]], 0)</f>
        <v>1</v>
      </c>
      <c r="BC154" s="3"/>
      <c r="BD154" s="3"/>
      <c r="BE154" s="3"/>
      <c r="BF154" s="3"/>
      <c r="BG154" s="3"/>
      <c r="BH154" s="3"/>
      <c r="BI154" s="3"/>
      <c r="BJ154" s="3"/>
      <c r="BK154" s="3"/>
      <c r="BL154" s="3"/>
      <c r="BM154" s="3"/>
    </row>
    <row r="155" spans="1:66" ht="20.100000000000001" customHeight="1" x14ac:dyDescent="0.25">
      <c r="A155"/>
      <c r="D155" s="38" t="str" cm="1">
        <f t="array" ref="D155">Common_InputFunctions.Utility_DisplayArrayInTable(Common_SourceData.Common_SourceData_DataScores_Scope3_Data(), Table_SourceData_DataScores_Scope3[[#Headers],[Data source]], 0)</f>
        <v>Australian scope 3 database</v>
      </c>
      <c r="E155" s="38" cm="1">
        <f t="array" ref="E155">Common_InputFunctions.Utility_DisplayArrayInTable(Common_SourceData.Common_SourceData_DataScores_Scope3_Data(), Table_SourceData_DataScores_Scope3[[#Headers],[Data source]], 0)</f>
        <v>2</v>
      </c>
      <c r="BC155" s="3"/>
      <c r="BD155" s="3"/>
      <c r="BE155" s="3"/>
      <c r="BF155" s="3"/>
      <c r="BG155" s="3"/>
      <c r="BH155" s="3"/>
      <c r="BI155" s="3"/>
      <c r="BJ155" s="3"/>
      <c r="BK155" s="3"/>
      <c r="BL155" s="3"/>
      <c r="BM155" s="3"/>
    </row>
    <row r="156" spans="1:66" ht="20.100000000000001" customHeight="1" x14ac:dyDescent="0.25">
      <c r="A156"/>
      <c r="D156" s="38" t="str" cm="1">
        <f t="array" ref="D156">Common_InputFunctions.Utility_DisplayArrayInTable(Common_SourceData.Common_SourceData_DataScores_Scope3_Data(), Table_SourceData_DataScores_Scope3[[#Headers],[Data source]], 0)</f>
        <v>State or regional scope 3 database</v>
      </c>
      <c r="E156" s="38" cm="1">
        <f t="array" ref="E156">Common_InputFunctions.Utility_DisplayArrayInTable(Common_SourceData.Common_SourceData_DataScores_Scope3_Data(), Table_SourceData_DataScores_Scope3[[#Headers],[Data source]], 0)</f>
        <v>3</v>
      </c>
    </row>
    <row r="157" spans="1:66" ht="20.100000000000001" customHeight="1" x14ac:dyDescent="0.25">
      <c r="A157"/>
      <c r="D157" s="38" t="str" cm="1">
        <f t="array" ref="D157">Common_InputFunctions.Utility_DisplayArrayInTable(Common_SourceData.Common_SourceData_DataScores_Scope3_Data(), Table_SourceData_DataScores_Scope3[[#Headers],[Data source]], 0)</f>
        <v>Emissions intensity calculated from approved method</v>
      </c>
      <c r="E157" s="38" cm="1">
        <f t="array" ref="E157">Common_InputFunctions.Utility_DisplayArrayInTable(Common_SourceData.Common_SourceData_DataScores_Scope3_Data(), Table_SourceData_DataScores_Scope3[[#Headers],[Data source]], 0)</f>
        <v>4</v>
      </c>
    </row>
    <row r="158" spans="1:66" ht="20.100000000000001" customHeight="1" x14ac:dyDescent="0.25">
      <c r="A158"/>
      <c r="D158" s="38" t="str" cm="1">
        <f t="array" ref="D158">Common_InputFunctions.Utility_DisplayArrayInTable(Common_SourceData.Common_SourceData_DataScores_Scope3_Data(), Table_SourceData_DataScores_Scope3[[#Headers],[Data source]], 0)</f>
        <v>Verified credential matching ISO14067</v>
      </c>
      <c r="E158" s="38" cm="1">
        <f t="array" ref="E158">Common_InputFunctions.Utility_DisplayArrayInTable(Common_SourceData.Common_SourceData_DataScores_Scope3_Data(), Table_SourceData_DataScores_Scope3[[#Headers],[Data source]], 0)</f>
        <v>5</v>
      </c>
    </row>
    <row r="159" spans="1:66" ht="20.100000000000001" customHeight="1" x14ac:dyDescent="0.25">
      <c r="A159"/>
    </row>
    <row r="160" spans="1:66" ht="20.100000000000001" customHeight="1" x14ac:dyDescent="0.25">
      <c r="A160"/>
    </row>
    <row r="161" spans="4:68" ht="20.100000000000001" customHeight="1" x14ac:dyDescent="0.25">
      <c r="D161" s="6" t="str" cm="1">
        <f t="array" ref="D161">Common_SourceData.Common_SourceData_FracLEACH_Title()</f>
        <v>Fraction of N that is available for leaching and runoff</v>
      </c>
      <c r="E161" s="23"/>
    </row>
    <row r="162" spans="4:68" ht="20.100000000000001" customHeight="1" x14ac:dyDescent="0.25">
      <c r="D162" s="5" t="str" cm="1">
        <f t="array" ref="D162">Common_SourceData.Common_SourceData_FracLEACH_Source()</f>
        <v>VEERG 2026:5.5.2.3 Constant Parameters</v>
      </c>
      <c r="E162" s="23"/>
    </row>
    <row r="163" spans="4:68" ht="20.100000000000001" customHeight="1" x14ac:dyDescent="0.25">
      <c r="D163" s="5" t="str" cm="1">
        <f t="array" ref="D163">Common_SourceData.Common_SourceData_FracLEACH_NIRReference()</f>
        <v>National Inventory Report Volume 1: Leaching and runoff (3.D.b.2)</v>
      </c>
      <c r="E163" s="23"/>
    </row>
    <row r="164" spans="4:68" ht="20.100000000000001" customHeight="1" x14ac:dyDescent="0.25">
      <c r="D164" s="23" t="str" cm="1">
        <f t="array" ref="D164:E164">Common_SourceData.Common_SourceData_FracLEACH_Data()</f>
        <v>FracLEACH</v>
      </c>
      <c r="E164" s="23">
        <v>0.24</v>
      </c>
    </row>
    <row r="165" spans="4:68" ht="20.100000000000001" customHeight="1" x14ac:dyDescent="0.25">
      <c r="BN165" s="7"/>
      <c r="BO165" s="7"/>
      <c r="BP165" s="7"/>
    </row>
    <row r="166" spans="4:68" ht="20.100000000000001" customHeight="1" x14ac:dyDescent="0.25">
      <c r="BN166" s="7"/>
      <c r="BO166" s="7"/>
      <c r="BP166" s="7"/>
    </row>
    <row r="167" spans="4:68" ht="20.100000000000001" customHeight="1" x14ac:dyDescent="0.25">
      <c r="D167" s="6" t="str" cm="1">
        <f t="array" ref="D167">Common_SourceData.Common_SourceData_EFleach_Title()</f>
        <v>Emission factor for nitrogen leaching and runoff</v>
      </c>
      <c r="BN167" s="7"/>
      <c r="BO167" s="7"/>
      <c r="BP167" s="7"/>
    </row>
    <row r="168" spans="4:68" ht="20.100000000000001" customHeight="1" x14ac:dyDescent="0.25">
      <c r="D168" s="5" t="str" cm="1">
        <f t="array" ref="D168">Common_SourceData.Common_SourceData_EFleach_Source()</f>
        <v>VEERG 2026:5.5.2.3 Constant Parameters</v>
      </c>
      <c r="BN168" s="7"/>
      <c r="BO168" s="7"/>
      <c r="BP168" s="7"/>
    </row>
    <row r="169" spans="4:68" ht="20.100000000000001" customHeight="1" x14ac:dyDescent="0.25">
      <c r="D169" s="5" t="str" cm="1">
        <f t="array" ref="D169">Common_SourceData.Common_SourceData_EFleach_NIRReference()</f>
        <v>National Inventory Report Volume 1: Equation 3.D.B_10</v>
      </c>
      <c r="BN169" s="7"/>
      <c r="BO169" s="7"/>
      <c r="BP169" s="7"/>
    </row>
    <row r="170" spans="4:68" ht="20.100000000000001" customHeight="1" x14ac:dyDescent="0.25">
      <c r="D170" s="1" t="str" cm="1">
        <f t="array" ref="D170:E170">Common_SourceData.Common_SourceData_EFleach_Data()</f>
        <v>EFleach</v>
      </c>
      <c r="E170" s="1">
        <v>1.0999999999999999E-2</v>
      </c>
      <c r="BN170" s="7"/>
      <c r="BO170" s="7"/>
      <c r="BP170" s="7"/>
    </row>
    <row r="171" spans="4:68" ht="20.100000000000001" customHeight="1" x14ac:dyDescent="0.25">
      <c r="BN171" s="7"/>
      <c r="BO171" s="7"/>
      <c r="BP171" s="7"/>
    </row>
    <row r="172" spans="4:68" ht="20.100000000000001" customHeight="1" x14ac:dyDescent="0.25">
      <c r="BN172" s="7"/>
      <c r="BO172" s="7"/>
      <c r="BP172" s="7"/>
    </row>
    <row r="173" spans="4:68" ht="20.100000000000001" customHeight="1" x14ac:dyDescent="0.25">
      <c r="D173" s="6" t="str" cm="1">
        <f t="array" ref="D173">Common_SourceData.Common_SourceData_DensityOfMethane_Title()</f>
        <v>p = density of methane</v>
      </c>
      <c r="BN173" s="7"/>
      <c r="BO173" s="7"/>
      <c r="BP173" s="7"/>
    </row>
    <row r="174" spans="4:68" ht="20.100000000000001" customHeight="1" x14ac:dyDescent="0.25">
      <c r="D174" s="5" t="str" cm="1">
        <f t="array" ref="D174">Common_SourceData.Common_SourceData_DensityOfMethane_Source()</f>
        <v>National Inventory Report 2023 Volume 1: Equations 3.B.1a_2, 3.B.1c_2, 3.B.3_1, 3.B.4g_2</v>
      </c>
      <c r="BN174" s="7"/>
      <c r="BO174" s="7"/>
      <c r="BP174" s="7"/>
    </row>
    <row r="175" spans="4:68" ht="20.100000000000001" customHeight="1" x14ac:dyDescent="0.25">
      <c r="D175" s="1" cm="1">
        <f t="array" ref="D175">Common_SourceData.Common_SourceData_DensityOfMethane_Data()</f>
        <v>0.6784</v>
      </c>
      <c r="E175" s="55" t="str" cm="1">
        <f t="array" ref="E175">Common_SourceData.Common_SourceData_DensityOfMethane_Unit()</f>
        <v>kg/m3</v>
      </c>
      <c r="BN175" s="7"/>
      <c r="BO175" s="7"/>
      <c r="BP175" s="7"/>
    </row>
    <row r="176" spans="4:68" ht="20.100000000000001" customHeight="1" x14ac:dyDescent="0.25">
      <c r="BN176" s="7"/>
      <c r="BO176" s="7"/>
      <c r="BP176" s="7"/>
    </row>
    <row r="177" spans="4:68" ht="20.100000000000001" customHeight="1" x14ac:dyDescent="0.25">
      <c r="BN177" s="7"/>
      <c r="BO177" s="7"/>
      <c r="BP177" s="7"/>
    </row>
    <row r="178" spans="4:68" ht="20.100000000000001" customHeight="1" x14ac:dyDescent="0.25">
      <c r="D178" s="6" t="str" cm="1">
        <f t="array" ref="D178">Common_SourceData.Common_SourceData_EFN2O_Title()</f>
        <v>Nitrous oxide emission factors for inorganic fertiliser application</v>
      </c>
      <c r="BN178" s="7"/>
      <c r="BO178" s="7"/>
      <c r="BP178" s="7"/>
    </row>
    <row r="179" spans="4:68" ht="20.100000000000001" customHeight="1" x14ac:dyDescent="0.25">
      <c r="D179" s="5" t="str" cm="1">
        <f t="array" ref="D179">Common_SourceData.Common_SourceData_EFN2O_Source()</f>
        <v>VEERG 2026: Table A.2.2.1</v>
      </c>
      <c r="BN179" s="7"/>
      <c r="BO179" s="7"/>
      <c r="BP179" s="7"/>
    </row>
    <row r="180" spans="4:68" ht="20.100000000000001" customHeight="1" x14ac:dyDescent="0.25">
      <c r="D180" s="55" t="str" cm="1">
        <f t="array" ref="D180">Common_SourceData.Common_SourceData_EFN2O_Unit()</f>
        <v>(kg N2O-N / kg N</v>
      </c>
    </row>
    <row r="181" spans="4:68" ht="20.100000000000001" customHeight="1" x14ac:dyDescent="0.25">
      <c r="D181" s="56" t="str" cm="1">
        <f t="array" ref="D181:D185">Common_SourceData.Common_SourceData_EFN2O_Variation()</f>
        <v>VARIATION OF SOURCE DATA:</v>
      </c>
    </row>
    <row r="182" spans="4:68" ht="20.100000000000001" customHeight="1" x14ac:dyDescent="0.25">
      <c r="D182" s="56" t="str">
        <v>Removed duplicate 'Aquaculture' row.</v>
      </c>
    </row>
    <row r="183" spans="4:68" ht="20.100000000000001" customHeight="1" x14ac:dyDescent="0.25">
      <c r="D183" s="56" t="str">
        <v>Removed asterisks to aid lookup.</v>
      </c>
    </row>
    <row r="184" spans="4:68" ht="20.100000000000001" customHeight="1" x14ac:dyDescent="0.25">
      <c r="D184" s="56" t="str">
        <v>Added 'production system only', 'rainfall zone' and 'irrigation method' columns to aid lookup.</v>
      </c>
    </row>
    <row r="185" spans="4:68" ht="20.100000000000001" customHeight="1" x14ac:dyDescent="0.25">
      <c r="D185" s="56" t="str">
        <v>Duplicated 'non-irrigated pasture' row with same EF for low and high rainfall zones to aid lookup.</v>
      </c>
    </row>
    <row r="186" spans="4:68" ht="20.100000000000001" customHeight="1" x14ac:dyDescent="0.25">
      <c r="D186" s="38" t="s">
        <v>261</v>
      </c>
      <c r="E186" s="38" t="s">
        <v>262</v>
      </c>
      <c r="F186" s="38" t="s">
        <v>263</v>
      </c>
      <c r="G186" s="38" t="s">
        <v>264</v>
      </c>
      <c r="H186" s="38" t="s">
        <v>32</v>
      </c>
    </row>
    <row r="187" spans="4:68" ht="20.100000000000001" customHeight="1" x14ac:dyDescent="0.25">
      <c r="D187" s="38" t="str" cm="1">
        <f t="array" ref="D187">Common_InputFunctions.Utility_DisplayArrayInTable(Common_SourceData.Common_SourceData_EFN2O_Data(), Table_SourceData_Common_EFN2O[[#Headers],[Production system j]], 0)</f>
        <v>Irrigated pasture</v>
      </c>
      <c r="E187" s="38" cm="1">
        <f t="array" ref="E187">Common_InputFunctions.Utility_DisplayArrayInTable(Common_SourceData.Common_SourceData_EFN2O_Data(), Table_SourceData_Common_EFN2O[[#Headers],[Production system j]], 0)</f>
        <v>5.8999999999999999E-3</v>
      </c>
      <c r="F187" s="38" t="str" cm="1">
        <f t="array" ref="F187">Common_InputFunctions.Utility_DisplayArrayInTable(Common_SourceData.Common_SourceData_EFN2O_Data(), Table_SourceData_Common_EFN2O[[#Headers],[Production system j]], 0)</f>
        <v>Pasture</v>
      </c>
      <c r="G187" s="38" t="str" cm="1">
        <f t="array" ref="G187">Common_InputFunctions.Utility_DisplayArrayInTable(Common_SourceData.Common_SourceData_EFN2O_Data(), Table_SourceData_Common_EFN2O[[#Headers],[Production system j]], 0)</f>
        <v>Any</v>
      </c>
      <c r="H187" s="38" t="str" cm="1">
        <f t="array" ref="H187">Common_InputFunctions.Utility_DisplayArrayInTable(Common_SourceData.Common_SourceData_EFN2O_Data(), Table_SourceData_Common_EFN2O[[#Headers],[Production system j]], 0)</f>
        <v>Any</v>
      </c>
    </row>
    <row r="188" spans="4:68" ht="20.100000000000001" customHeight="1" x14ac:dyDescent="0.25">
      <c r="D188" s="38" t="str" cm="1">
        <f t="array" ref="D188">Common_InputFunctions.Utility_DisplayArrayInTable(Common_SourceData.Common_SourceData_EFN2O_Data(), Table_SourceData_Common_EFN2O[[#Headers],[Production system j]], 0)</f>
        <v>Irrigated crop</v>
      </c>
      <c r="E188" s="38" cm="1">
        <f t="array" ref="E188">Common_InputFunctions.Utility_DisplayArrayInTable(Common_SourceData.Common_SourceData_EFN2O_Data(), Table_SourceData_Common_EFN2O[[#Headers],[Production system j]], 0)</f>
        <v>7.0000000000000001E-3</v>
      </c>
      <c r="F188" s="38" t="str" cm="1">
        <f t="array" ref="F188">Common_InputFunctions.Utility_DisplayArrayInTable(Common_SourceData.Common_SourceData_EFN2O_Data(), Table_SourceData_Common_EFN2O[[#Headers],[Production system j]], 0)</f>
        <v>Crop</v>
      </c>
      <c r="G188" s="38" t="str" cm="1">
        <f t="array" ref="G188">Common_InputFunctions.Utility_DisplayArrayInTable(Common_SourceData.Common_SourceData_EFN2O_Data(), Table_SourceData_Common_EFN2O[[#Headers],[Production system j]], 0)</f>
        <v>Any</v>
      </c>
      <c r="H188" s="38" t="str" cm="1">
        <f t="array" ref="H188">Common_InputFunctions.Utility_DisplayArrayInTable(Common_SourceData.Common_SourceData_EFN2O_Data(), Table_SourceData_Common_EFN2O[[#Headers],[Production system j]], 0)</f>
        <v>Any</v>
      </c>
    </row>
    <row r="189" spans="4:68" ht="20.100000000000001" customHeight="1" x14ac:dyDescent="0.25">
      <c r="D189" s="38" t="str" cm="1">
        <f t="array" ref="D189">Common_InputFunctions.Utility_DisplayArrayInTable(Common_SourceData.Common_SourceData_EFN2O_Data(), Table_SourceData_Common_EFN2O[[#Headers],[Production system j]], 0)</f>
        <v>Non-irrigated pasture</v>
      </c>
      <c r="E189" s="38" cm="1">
        <f t="array" ref="E189">Common_InputFunctions.Utility_DisplayArrayInTable(Common_SourceData.Common_SourceData_EFN2O_Data(), Table_SourceData_Common_EFN2O[[#Headers],[Production system j]], 0)</f>
        <v>1.8E-3</v>
      </c>
      <c r="F189" s="38" t="str" cm="1">
        <f t="array" ref="F189">Common_InputFunctions.Utility_DisplayArrayInTable(Common_SourceData.Common_SourceData_EFN2O_Data(), Table_SourceData_Common_EFN2O[[#Headers],[Production system j]], 0)</f>
        <v>Pasture</v>
      </c>
      <c r="G189" s="38" t="str" cm="1">
        <f t="array" ref="G189">Common_InputFunctions.Utility_DisplayArrayInTable(Common_SourceData.Common_SourceData_EFN2O_Data(), Table_SourceData_Common_EFN2O[[#Headers],[Production system j]], 0)</f>
        <v>Not irrigated</v>
      </c>
      <c r="H189" s="38" t="str" cm="1">
        <f t="array" ref="H189">Common_InputFunctions.Utility_DisplayArrayInTable(Common_SourceData.Common_SourceData_EFN2O_Data(), Table_SourceData_Common_EFN2O[[#Headers],[Production system j]], 0)</f>
        <v>Low rainfall</v>
      </c>
    </row>
    <row r="190" spans="4:68" ht="20.100000000000001" customHeight="1" x14ac:dyDescent="0.25">
      <c r="D190" s="38" t="str" cm="1">
        <f t="array" ref="D190">Common_InputFunctions.Utility_DisplayArrayInTable(Common_SourceData.Common_SourceData_EFN2O_Data(), Table_SourceData_Common_EFN2O[[#Headers],[Production system j]], 0)</f>
        <v>Non-irrigated pasture</v>
      </c>
      <c r="E190" s="38" cm="1">
        <f t="array" ref="E190">Common_InputFunctions.Utility_DisplayArrayInTable(Common_SourceData.Common_SourceData_EFN2O_Data(), Table_SourceData_Common_EFN2O[[#Headers],[Production system j]], 0)</f>
        <v>1.8E-3</v>
      </c>
      <c r="F190" s="38" t="str" cm="1">
        <f t="array" ref="F190">Common_InputFunctions.Utility_DisplayArrayInTable(Common_SourceData.Common_SourceData_EFN2O_Data(), Table_SourceData_Common_EFN2O[[#Headers],[Production system j]], 0)</f>
        <v>Pasture</v>
      </c>
      <c r="G190" s="38" t="str" cm="1">
        <f t="array" ref="G190">Common_InputFunctions.Utility_DisplayArrayInTable(Common_SourceData.Common_SourceData_EFN2O_Data(), Table_SourceData_Common_EFN2O[[#Headers],[Production system j]], 0)</f>
        <v>Not irrigated</v>
      </c>
      <c r="H190" s="38" t="str" cm="1">
        <f t="array" ref="H190">Common_InputFunctions.Utility_DisplayArrayInTable(Common_SourceData.Common_SourceData_EFN2O_Data(), Table_SourceData_Common_EFN2O[[#Headers],[Production system j]], 0)</f>
        <v>High rainfall</v>
      </c>
    </row>
    <row r="191" spans="4:68" ht="20.100000000000001" customHeight="1" x14ac:dyDescent="0.25">
      <c r="D191" s="38" t="str" cm="1">
        <f t="array" ref="D191">Common_InputFunctions.Utility_DisplayArrayInTable(Common_SourceData.Common_SourceData_EFN2O_Data(), Table_SourceData_Common_EFN2O[[#Headers],[Production system j]], 0)</f>
        <v>Non-irrigated crop (low rainfall)</v>
      </c>
      <c r="E191" s="38" cm="1">
        <f t="array" ref="E191">Common_InputFunctions.Utility_DisplayArrayInTable(Common_SourceData.Common_SourceData_EFN2O_Data(), Table_SourceData_Common_EFN2O[[#Headers],[Production system j]], 0)</f>
        <v>2.8999999999999998E-3</v>
      </c>
      <c r="F191" s="38" t="str" cm="1">
        <f t="array" ref="F191">Common_InputFunctions.Utility_DisplayArrayInTable(Common_SourceData.Common_SourceData_EFN2O_Data(), Table_SourceData_Common_EFN2O[[#Headers],[Production system j]], 0)</f>
        <v>Crop</v>
      </c>
      <c r="G191" s="38" t="str" cm="1">
        <f t="array" ref="G191">Common_InputFunctions.Utility_DisplayArrayInTable(Common_SourceData.Common_SourceData_EFN2O_Data(), Table_SourceData_Common_EFN2O[[#Headers],[Production system j]], 0)</f>
        <v>Not irrigated</v>
      </c>
      <c r="H191" s="38" t="str" cm="1">
        <f t="array" ref="H191">Common_InputFunctions.Utility_DisplayArrayInTable(Common_SourceData.Common_SourceData_EFN2O_Data(), Table_SourceData_Common_EFN2O[[#Headers],[Production system j]], 0)</f>
        <v>Low rainfall</v>
      </c>
    </row>
    <row r="192" spans="4:68" ht="20.100000000000001" customHeight="1" x14ac:dyDescent="0.25">
      <c r="D192" s="38" t="str" cm="1">
        <f t="array" ref="D192">Common_InputFunctions.Utility_DisplayArrayInTable(Common_SourceData.Common_SourceData_EFN2O_Data(), Table_SourceData_Common_EFN2O[[#Headers],[Production system j]], 0)</f>
        <v>Non-irrigated crop (high rainfall)</v>
      </c>
      <c r="E192" s="38" cm="1">
        <f t="array" ref="E192">Common_InputFunctions.Utility_DisplayArrayInTable(Common_SourceData.Common_SourceData_EFN2O_Data(), Table_SourceData_Common_EFN2O[[#Headers],[Production system j]], 0)</f>
        <v>8.0000000000000002E-3</v>
      </c>
      <c r="F192" s="38" t="str" cm="1">
        <f t="array" ref="F192">Common_InputFunctions.Utility_DisplayArrayInTable(Common_SourceData.Common_SourceData_EFN2O_Data(), Table_SourceData_Common_EFN2O[[#Headers],[Production system j]], 0)</f>
        <v>Crop</v>
      </c>
      <c r="G192" s="38" t="str" cm="1">
        <f t="array" ref="G192">Common_InputFunctions.Utility_DisplayArrayInTable(Common_SourceData.Common_SourceData_EFN2O_Data(), Table_SourceData_Common_EFN2O[[#Headers],[Production system j]], 0)</f>
        <v>Not irrigated</v>
      </c>
      <c r="H192" s="38" t="str" cm="1">
        <f t="array" ref="H192">Common_InputFunctions.Utility_DisplayArrayInTable(Common_SourceData.Common_SourceData_EFN2O_Data(), Table_SourceData_Common_EFN2O[[#Headers],[Production system j]], 0)</f>
        <v>High rainfall</v>
      </c>
    </row>
    <row r="193" spans="4:8" ht="20.100000000000001" customHeight="1" x14ac:dyDescent="0.25">
      <c r="D193" s="38" t="str" cm="1">
        <f t="array" ref="D193">Common_InputFunctions.Utility_DisplayArrayInTable(Common_SourceData.Common_SourceData_EFN2O_Data(), Table_SourceData_Common_EFN2O[[#Headers],[Production system j]], 0)</f>
        <v>Sugar</v>
      </c>
      <c r="E193" s="38" cm="1">
        <f t="array" ref="E193">Common_InputFunctions.Utility_DisplayArrayInTable(Common_SourceData.Common_SourceData_EFN2O_Data(), Table_SourceData_Common_EFN2O[[#Headers],[Production system j]], 0)</f>
        <v>1.9900000000000001E-2</v>
      </c>
      <c r="F193" s="38" t="str" cm="1">
        <f t="array" ref="F193">Common_InputFunctions.Utility_DisplayArrayInTable(Common_SourceData.Common_SourceData_EFN2O_Data(), Table_SourceData_Common_EFN2O[[#Headers],[Production system j]], 0)</f>
        <v>Sugar</v>
      </c>
      <c r="G193" s="38" t="str" cm="1">
        <f t="array" ref="G193">Common_InputFunctions.Utility_DisplayArrayInTable(Common_SourceData.Common_SourceData_EFN2O_Data(), Table_SourceData_Common_EFN2O[[#Headers],[Production system j]], 0)</f>
        <v>Any</v>
      </c>
      <c r="H193" s="38" t="str" cm="1">
        <f t="array" ref="H193">Common_InputFunctions.Utility_DisplayArrayInTable(Common_SourceData.Common_SourceData_EFN2O_Data(), Table_SourceData_Common_EFN2O[[#Headers],[Production system j]], 0)</f>
        <v>Any</v>
      </c>
    </row>
    <row r="194" spans="4:8" ht="20.100000000000001" customHeight="1" x14ac:dyDescent="0.25">
      <c r="D194" s="38" t="str" cm="1">
        <f t="array" ref="D194">Common_InputFunctions.Utility_DisplayArrayInTable(Common_SourceData.Common_SourceData_EFN2O_Data(), Table_SourceData_Common_EFN2O[[#Headers],[Production system j]], 0)</f>
        <v>Cotton</v>
      </c>
      <c r="E194" s="38" cm="1">
        <f t="array" ref="E194">Common_InputFunctions.Utility_DisplayArrayInTable(Common_SourceData.Common_SourceData_EFN2O_Data(), Table_SourceData_Common_EFN2O[[#Headers],[Production system j]], 0)</f>
        <v>5.3E-3</v>
      </c>
      <c r="F194" s="38" t="str" cm="1">
        <f t="array" ref="F194">Common_InputFunctions.Utility_DisplayArrayInTable(Common_SourceData.Common_SourceData_EFN2O_Data(), Table_SourceData_Common_EFN2O[[#Headers],[Production system j]], 0)</f>
        <v>Cotton</v>
      </c>
      <c r="G194" s="38" t="str" cm="1">
        <f t="array" ref="G194">Common_InputFunctions.Utility_DisplayArrayInTable(Common_SourceData.Common_SourceData_EFN2O_Data(), Table_SourceData_Common_EFN2O[[#Headers],[Production system j]], 0)</f>
        <v>Any</v>
      </c>
      <c r="H194" s="38" t="str" cm="1">
        <f t="array" ref="H194">Common_InputFunctions.Utility_DisplayArrayInTable(Common_SourceData.Common_SourceData_EFN2O_Data(), Table_SourceData_Common_EFN2O[[#Headers],[Production system j]], 0)</f>
        <v>Any</v>
      </c>
    </row>
    <row r="195" spans="4:8" ht="20.100000000000001" customHeight="1" x14ac:dyDescent="0.25">
      <c r="D195" s="38" t="str" cm="1">
        <f t="array" ref="D195">Common_InputFunctions.Utility_DisplayArrayInTable(Common_SourceData.Common_SourceData_EFN2O_Data(), Table_SourceData_Common_EFN2O[[#Headers],[Production system j]], 0)</f>
        <v>Horticultural crops</v>
      </c>
      <c r="E195" s="38" cm="1">
        <f t="array" ref="E195">Common_InputFunctions.Utility_DisplayArrayInTable(Common_SourceData.Common_SourceData_EFN2O_Data(), Table_SourceData_Common_EFN2O[[#Headers],[Production system j]], 0)</f>
        <v>6.4000000000000003E-3</v>
      </c>
      <c r="F195" s="38" t="str" cm="1">
        <f t="array" ref="F195">Common_InputFunctions.Utility_DisplayArrayInTable(Common_SourceData.Common_SourceData_EFN2O_Data(), Table_SourceData_Common_EFN2O[[#Headers],[Production system j]], 0)</f>
        <v>Horticultural crops</v>
      </c>
      <c r="G195" s="38" t="str" cm="1">
        <f t="array" ref="G195">Common_InputFunctions.Utility_DisplayArrayInTable(Common_SourceData.Common_SourceData_EFN2O_Data(), Table_SourceData_Common_EFN2O[[#Headers],[Production system j]], 0)</f>
        <v>Any</v>
      </c>
      <c r="H195" s="38" t="str" cm="1">
        <f t="array" ref="H195">Common_InputFunctions.Utility_DisplayArrayInTable(Common_SourceData.Common_SourceData_EFN2O_Data(), Table_SourceData_Common_EFN2O[[#Headers],[Production system j]], 0)</f>
        <v>Any</v>
      </c>
    </row>
    <row r="196" spans="4:8" ht="20.100000000000001" customHeight="1" x14ac:dyDescent="0.25">
      <c r="D196" s="38" t="str" cm="1">
        <f t="array" ref="D196">Common_InputFunctions.Utility_DisplayArrayInTable(Common_SourceData.Common_SourceData_EFN2O_Data(), Table_SourceData_Common_EFN2O[[#Headers],[Production system j]], 0)</f>
        <v>Rice (continuous flooding)</v>
      </c>
      <c r="E196" s="38" cm="1">
        <f t="array" ref="E196">Common_InputFunctions.Utility_DisplayArrayInTable(Common_SourceData.Common_SourceData_EFN2O_Data(), Table_SourceData_Common_EFN2O[[#Headers],[Production system j]], 0)</f>
        <v>3.0000000000000001E-3</v>
      </c>
      <c r="F196" s="38" t="str" cm="1">
        <f t="array" ref="F196">Common_InputFunctions.Utility_DisplayArrayInTable(Common_SourceData.Common_SourceData_EFN2O_Data(), Table_SourceData_Common_EFN2O[[#Headers],[Production system j]], 0)</f>
        <v>Rice</v>
      </c>
      <c r="G196" s="38" t="str" cm="1">
        <f t="array" ref="G196">Common_InputFunctions.Utility_DisplayArrayInTable(Common_SourceData.Common_SourceData_EFN2O_Data(), Table_SourceData_Common_EFN2O[[#Headers],[Production system j]], 0)</f>
        <v>Continuous flooding</v>
      </c>
      <c r="H196" s="38" t="str" cm="1">
        <f t="array" ref="H196">Common_InputFunctions.Utility_DisplayArrayInTable(Common_SourceData.Common_SourceData_EFN2O_Data(), Table_SourceData_Common_EFN2O[[#Headers],[Production system j]], 0)</f>
        <v>Any</v>
      </c>
    </row>
    <row r="197" spans="4:8" x14ac:dyDescent="0.25">
      <c r="D197" s="38" t="str" cm="1">
        <f t="array" ref="D197">Common_InputFunctions.Utility_DisplayArrayInTable(Common_SourceData.Common_SourceData_EFN2O_Data(), Table_SourceData_Common_EFN2O[[#Headers],[Production system j]], 0)</f>
        <v>Rice (single and multiple drainage, or alternate wetting and drying)</v>
      </c>
      <c r="E197" s="38" cm="1">
        <f t="array" ref="E197">Common_InputFunctions.Utility_DisplayArrayInTable(Common_SourceData.Common_SourceData_EFN2O_Data(), Table_SourceData_Common_EFN2O[[#Headers],[Production system j]], 0)</f>
        <v>5.0000000000000001E-3</v>
      </c>
      <c r="F197" s="38" t="str" cm="1">
        <f t="array" ref="F197">Common_InputFunctions.Utility_DisplayArrayInTable(Common_SourceData.Common_SourceData_EFN2O_Data(), Table_SourceData_Common_EFN2O[[#Headers],[Production system j]], 0)</f>
        <v>Rice</v>
      </c>
      <c r="G197" s="38" t="str" cm="1">
        <f t="array" ref="G197">Common_InputFunctions.Utility_DisplayArrayInTable(Common_SourceData.Common_SourceData_EFN2O_Data(), Table_SourceData_Common_EFN2O[[#Headers],[Production system j]], 0)</f>
        <v>Single and multiple drainage, or alternate wetting and drying</v>
      </c>
      <c r="H197" s="38" t="str" cm="1">
        <f t="array" ref="H197">Common_InputFunctions.Utility_DisplayArrayInTable(Common_SourceData.Common_SourceData_EFN2O_Data(), Table_SourceData_Common_EFN2O[[#Headers],[Production system j]], 0)</f>
        <v>Any</v>
      </c>
    </row>
    <row r="198" spans="4:8" x14ac:dyDescent="0.25">
      <c r="D198" s="38" t="str" cm="1">
        <f t="array" ref="D198">Common_InputFunctions.Utility_DisplayArrayInTable(Common_SourceData.Common_SourceData_EFN2O_Data(), Table_SourceData_Common_EFN2O[[#Headers],[Production system j]], 0)</f>
        <v>Aquaculture</v>
      </c>
      <c r="E198" s="38" cm="1">
        <f t="array" ref="E198">Common_InputFunctions.Utility_DisplayArrayInTable(Common_SourceData.Common_SourceData_EFN2O_Data(), Table_SourceData_Common_EFN2O[[#Headers],[Production system j]], 0)</f>
        <v>2.5999999999999999E-3</v>
      </c>
      <c r="F198" s="38" t="str" cm="1">
        <f t="array" ref="F198">Common_InputFunctions.Utility_DisplayArrayInTable(Common_SourceData.Common_SourceData_EFN2O_Data(), Table_SourceData_Common_EFN2O[[#Headers],[Production system j]], 0)</f>
        <v>Aquaculture</v>
      </c>
      <c r="G198" s="38" t="str" cm="1">
        <f t="array" ref="G198">Common_InputFunctions.Utility_DisplayArrayInTable(Common_SourceData.Common_SourceData_EFN2O_Data(), Table_SourceData_Common_EFN2O[[#Headers],[Production system j]], 0)</f>
        <v>Any</v>
      </c>
      <c r="H198" s="38" t="str" cm="1">
        <f t="array" ref="H198">Common_InputFunctions.Utility_DisplayArrayInTable(Common_SourceData.Common_SourceData_EFN2O_Data(), Table_SourceData_Common_EFN2O[[#Headers],[Production system j]], 0)</f>
        <v>Any</v>
      </c>
    </row>
    <row r="199" spans="4:8" x14ac:dyDescent="0.25">
      <c r="D199" s="38" t="str" cm="1">
        <f t="array" ref="D199">Common_InputFunctions.Utility_DisplayArrayInTable(Common_SourceData.Common_SourceData_EFN2O_Data(), Table_SourceData_Common_EFN2O[[#Headers],[Production system j]], 0)</f>
        <v>Forestry</v>
      </c>
      <c r="E199" s="38" cm="1">
        <f t="array" ref="E199">Common_InputFunctions.Utility_DisplayArrayInTable(Common_SourceData.Common_SourceData_EFN2O_Data(), Table_SourceData_Common_EFN2O[[#Headers],[Production system j]], 0)</f>
        <v>1.8E-3</v>
      </c>
      <c r="F199" s="38" t="str" cm="1">
        <f t="array" ref="F199">Common_InputFunctions.Utility_DisplayArrayInTable(Common_SourceData.Common_SourceData_EFN2O_Data(), Table_SourceData_Common_EFN2O[[#Headers],[Production system j]], 0)</f>
        <v>Forestry</v>
      </c>
      <c r="G199" s="38" t="str" cm="1">
        <f t="array" ref="G199">Common_InputFunctions.Utility_DisplayArrayInTable(Common_SourceData.Common_SourceData_EFN2O_Data(), Table_SourceData_Common_EFN2O[[#Headers],[Production system j]], 0)</f>
        <v>Any</v>
      </c>
      <c r="H199" s="38" t="str" cm="1">
        <f t="array" ref="H199">Common_InputFunctions.Utility_DisplayArrayInTable(Common_SourceData.Common_SourceData_EFN2O_Data(), Table_SourceData_Common_EFN2O[[#Headers],[Production system j]], 0)</f>
        <v>Any</v>
      </c>
    </row>
    <row r="202" spans="4:8" ht="23.25" x14ac:dyDescent="0.25">
      <c r="D202" s="6" t="str" cm="1">
        <f t="array" ref="D202">Common_SourceData.Common_SourceData_EFPastureRangeAndPaddock_Title()</f>
        <v>Emission factor for urine and dung deposited on pasture, range or paddock</v>
      </c>
    </row>
    <row r="203" spans="4:8" x14ac:dyDescent="0.25">
      <c r="D203" s="5" t="str" cm="1">
        <f t="array" ref="D203">Common_SourceData.Common_SourceData_EFPastureRangeAndPaddock_Source()</f>
        <v>VEERG 2026: Table A.2.2.2</v>
      </c>
    </row>
    <row r="204" spans="4:8" x14ac:dyDescent="0.25">
      <c r="D204" s="56" t="str" cm="1">
        <f t="array" ref="D204">Common_SourceData.Common_SourceData_EFPastureRangeAndPaddock_Variation()</f>
        <v>VARIATION FROM SOURCE DATA: Changed 'Dry climate zones' to singular 'Dry climate zone' to aid lookup.</v>
      </c>
    </row>
    <row r="205" spans="4:8" x14ac:dyDescent="0.25">
      <c r="D205" s="55" t="str" cm="1">
        <f t="array" ref="D205">Common_SourceData.Common_SourceData_EFPastureRangeAndPaddock_Unit()</f>
        <v>kg N2O - N / kg N</v>
      </c>
    </row>
    <row r="206" spans="4:8" x14ac:dyDescent="0.25">
      <c r="D206" s="38" t="s">
        <v>7</v>
      </c>
      <c r="E206" s="38" t="s">
        <v>293</v>
      </c>
    </row>
    <row r="207" spans="4:8" x14ac:dyDescent="0.25">
      <c r="D207" s="38" t="str" cm="1">
        <f t="array" ref="D207">Common_InputFunctions.Utility_DisplayArrayInTable(Common_SourceData.Common_SourceData_EFPastureRangeAndPaddock_Data(), Table_SourceData_EFPastureRangeAndPaddock[[#Headers],[Climate zone]], 0)</f>
        <v>Wet climate zone</v>
      </c>
      <c r="E207" s="38" cm="1">
        <f t="array" ref="E207">Common_InputFunctions.Utility_DisplayArrayInTable(Common_SourceData.Common_SourceData_EFPastureRangeAndPaddock_Data(), Table_SourceData_EFPastureRangeAndPaddock[[#Headers],[Climate zone]], 0)</f>
        <v>6.0000000000000001E-3</v>
      </c>
    </row>
    <row r="208" spans="4:8" x14ac:dyDescent="0.25">
      <c r="D208" s="1" t="str" cm="1">
        <f t="array" ref="D208">Common_InputFunctions.Utility_DisplayArrayInTable(Common_SourceData.Common_SourceData_EFPastureRangeAndPaddock_Data(), Table_SourceData_EFPastureRangeAndPaddock[[#Headers],[Climate zone]], 0)</f>
        <v>Dry climate zone</v>
      </c>
      <c r="E208" s="38" cm="1">
        <f t="array" ref="E208">Common_InputFunctions.Utility_DisplayArrayInTable(Common_SourceData.Common_SourceData_EFPastureRangeAndPaddock_Data(), Table_SourceData_EFPastureRangeAndPaddock[[#Headers],[Climate zone]], 0)</f>
        <v>2E-3</v>
      </c>
    </row>
    <row r="211" spans="4:5" x14ac:dyDescent="0.25">
      <c r="D211" s="1" t="str" cm="1">
        <f t="array" ref="D211">Common_SourceData.Common_SourceData_MonthsToSeasons_Title()</f>
        <v>Months to Seasons Mapping</v>
      </c>
    </row>
    <row r="212" spans="4:5" x14ac:dyDescent="0.25">
      <c r="D212" s="38" t="s">
        <v>295</v>
      </c>
      <c r="E212" s="38" t="s">
        <v>296</v>
      </c>
    </row>
    <row r="213" spans="4:5" x14ac:dyDescent="0.25">
      <c r="D213" s="38" t="str" cm="1">
        <f t="array" ref="D213">Common_InputFunctions.Utility_DisplayArrayInTable(Common_SourceData.Common_SourceData_MonthsToSeasons_Data(), Table_SourceData_Common_MonthToSeason[[#Headers],[Month]], 0)</f>
        <v>January</v>
      </c>
      <c r="E213" s="38" t="str" cm="1">
        <f t="array" ref="E213">Common_InputFunctions.Utility_DisplayArrayInTable(Common_SourceData.Common_SourceData_MonthsToSeasons_Data(), Table_SourceData_Common_MonthToSeason[[#Headers],[Month]], 0)</f>
        <v>Summer</v>
      </c>
    </row>
    <row r="214" spans="4:5" x14ac:dyDescent="0.25">
      <c r="D214" s="1" t="str" cm="1">
        <f t="array" ref="D214">Common_InputFunctions.Utility_DisplayArrayInTable(Common_SourceData.Common_SourceData_MonthsToSeasons_Data(), Table_SourceData_Common_MonthToSeason[[#Headers],[Month]], 0)</f>
        <v>February</v>
      </c>
      <c r="E214" s="38" t="str" cm="1">
        <f t="array" ref="E214">Common_InputFunctions.Utility_DisplayArrayInTable(Common_SourceData.Common_SourceData_MonthsToSeasons_Data(), Table_SourceData_Common_MonthToSeason[[#Headers],[Month]], 0)</f>
        <v>Summer</v>
      </c>
    </row>
    <row r="215" spans="4:5" x14ac:dyDescent="0.25">
      <c r="D215" s="1" t="str" cm="1">
        <f t="array" ref="D215">Common_InputFunctions.Utility_DisplayArrayInTable(Common_SourceData.Common_SourceData_MonthsToSeasons_Data(), Table_SourceData_Common_MonthToSeason[[#Headers],[Month]], 0)</f>
        <v>March</v>
      </c>
      <c r="E215" s="38" t="str" cm="1">
        <f t="array" ref="E215">Common_InputFunctions.Utility_DisplayArrayInTable(Common_SourceData.Common_SourceData_MonthsToSeasons_Data(), Table_SourceData_Common_MonthToSeason[[#Headers],[Month]], 0)</f>
        <v>Autumn</v>
      </c>
    </row>
    <row r="216" spans="4:5" x14ac:dyDescent="0.25">
      <c r="D216" s="1" t="str" cm="1">
        <f t="array" ref="D216">Common_InputFunctions.Utility_DisplayArrayInTable(Common_SourceData.Common_SourceData_MonthsToSeasons_Data(), Table_SourceData_Common_MonthToSeason[[#Headers],[Month]], 0)</f>
        <v>April</v>
      </c>
      <c r="E216" s="38" t="str" cm="1">
        <f t="array" ref="E216">Common_InputFunctions.Utility_DisplayArrayInTable(Common_SourceData.Common_SourceData_MonthsToSeasons_Data(), Table_SourceData_Common_MonthToSeason[[#Headers],[Month]], 0)</f>
        <v>Autumn</v>
      </c>
    </row>
    <row r="217" spans="4:5" x14ac:dyDescent="0.25">
      <c r="D217" s="1" t="str" cm="1">
        <f t="array" ref="D217">Common_InputFunctions.Utility_DisplayArrayInTable(Common_SourceData.Common_SourceData_MonthsToSeasons_Data(), Table_SourceData_Common_MonthToSeason[[#Headers],[Month]], 0)</f>
        <v>May</v>
      </c>
      <c r="E217" s="38" t="str" cm="1">
        <f t="array" ref="E217">Common_InputFunctions.Utility_DisplayArrayInTable(Common_SourceData.Common_SourceData_MonthsToSeasons_Data(), Table_SourceData_Common_MonthToSeason[[#Headers],[Month]], 0)</f>
        <v>Autumn</v>
      </c>
    </row>
    <row r="218" spans="4:5" x14ac:dyDescent="0.25">
      <c r="D218" s="1" t="str" cm="1">
        <f t="array" ref="D218">Common_InputFunctions.Utility_DisplayArrayInTable(Common_SourceData.Common_SourceData_MonthsToSeasons_Data(), Table_SourceData_Common_MonthToSeason[[#Headers],[Month]], 0)</f>
        <v>June</v>
      </c>
      <c r="E218" s="38" t="str" cm="1">
        <f t="array" ref="E218">Common_InputFunctions.Utility_DisplayArrayInTable(Common_SourceData.Common_SourceData_MonthsToSeasons_Data(), Table_SourceData_Common_MonthToSeason[[#Headers],[Month]], 0)</f>
        <v>Winter</v>
      </c>
    </row>
    <row r="219" spans="4:5" x14ac:dyDescent="0.25">
      <c r="D219" s="1" t="str" cm="1">
        <f t="array" ref="D219">Common_InputFunctions.Utility_DisplayArrayInTable(Common_SourceData.Common_SourceData_MonthsToSeasons_Data(), Table_SourceData_Common_MonthToSeason[[#Headers],[Month]], 0)</f>
        <v>July</v>
      </c>
      <c r="E219" s="38" t="str" cm="1">
        <f t="array" ref="E219">Common_InputFunctions.Utility_DisplayArrayInTable(Common_SourceData.Common_SourceData_MonthsToSeasons_Data(), Table_SourceData_Common_MonthToSeason[[#Headers],[Month]], 0)</f>
        <v>Winter</v>
      </c>
    </row>
    <row r="220" spans="4:5" x14ac:dyDescent="0.25">
      <c r="D220" s="1" t="str" cm="1">
        <f t="array" ref="D220">Common_InputFunctions.Utility_DisplayArrayInTable(Common_SourceData.Common_SourceData_MonthsToSeasons_Data(), Table_SourceData_Common_MonthToSeason[[#Headers],[Month]], 0)</f>
        <v>August</v>
      </c>
      <c r="E220" s="38" t="str" cm="1">
        <f t="array" ref="E220">Common_InputFunctions.Utility_DisplayArrayInTable(Common_SourceData.Common_SourceData_MonthsToSeasons_Data(), Table_SourceData_Common_MonthToSeason[[#Headers],[Month]], 0)</f>
        <v>Winter</v>
      </c>
    </row>
    <row r="221" spans="4:5" x14ac:dyDescent="0.25">
      <c r="D221" s="1" t="str" cm="1">
        <f t="array" ref="D221">Common_InputFunctions.Utility_DisplayArrayInTable(Common_SourceData.Common_SourceData_MonthsToSeasons_Data(), Table_SourceData_Common_MonthToSeason[[#Headers],[Month]], 0)</f>
        <v>September</v>
      </c>
      <c r="E221" s="38" t="str" cm="1">
        <f t="array" ref="E221">Common_InputFunctions.Utility_DisplayArrayInTable(Common_SourceData.Common_SourceData_MonthsToSeasons_Data(), Table_SourceData_Common_MonthToSeason[[#Headers],[Month]], 0)</f>
        <v>Spring</v>
      </c>
    </row>
    <row r="222" spans="4:5" x14ac:dyDescent="0.25">
      <c r="D222" s="1" t="str" cm="1">
        <f t="array" ref="D222">Common_InputFunctions.Utility_DisplayArrayInTable(Common_SourceData.Common_SourceData_MonthsToSeasons_Data(), Table_SourceData_Common_MonthToSeason[[#Headers],[Month]], 0)</f>
        <v>October</v>
      </c>
      <c r="E222" s="38" t="str" cm="1">
        <f t="array" ref="E222">Common_InputFunctions.Utility_DisplayArrayInTable(Common_SourceData.Common_SourceData_MonthsToSeasons_Data(), Table_SourceData_Common_MonthToSeason[[#Headers],[Month]], 0)</f>
        <v>Spring</v>
      </c>
    </row>
    <row r="223" spans="4:5" x14ac:dyDescent="0.25">
      <c r="D223" s="1" t="str" cm="1">
        <f t="array" ref="D223">Common_InputFunctions.Utility_DisplayArrayInTable(Common_SourceData.Common_SourceData_MonthsToSeasons_Data(), Table_SourceData_Common_MonthToSeason[[#Headers],[Month]], 0)</f>
        <v>November</v>
      </c>
      <c r="E223" s="38" t="str" cm="1">
        <f t="array" ref="E223">Common_InputFunctions.Utility_DisplayArrayInTable(Common_SourceData.Common_SourceData_MonthsToSeasons_Data(), Table_SourceData_Common_MonthToSeason[[#Headers],[Month]], 0)</f>
        <v>Spring</v>
      </c>
    </row>
    <row r="224" spans="4:5" x14ac:dyDescent="0.25">
      <c r="D224" s="1" t="str" cm="1">
        <f t="array" ref="D224">Common_InputFunctions.Utility_DisplayArrayInTable(Common_SourceData.Common_SourceData_MonthsToSeasons_Data(), Table_SourceData_Common_MonthToSeason[[#Headers],[Month]], 0)</f>
        <v>December</v>
      </c>
      <c r="E224" s="38" t="str" cm="1">
        <f t="array" ref="E224">Common_InputFunctions.Utility_DisplayArrayInTable(Common_SourceData.Common_SourceData_MonthsToSeasons_Data(), Table_SourceData_Common_MonthToSeason[[#Headers],[Month]], 0)</f>
        <v>Summer</v>
      </c>
    </row>
    <row r="227" spans="4:19" ht="23.25" x14ac:dyDescent="0.25">
      <c r="D227" s="6" t="str" cm="1">
        <f t="array" ref="D227">Common_SourceData.Common_SourceData_MCFTemperatureZone_Title()</f>
        <v>Manure Management – Methane conversion factor per temperature zone (fraction) (MCFim)</v>
      </c>
    </row>
    <row r="228" spans="4:19" x14ac:dyDescent="0.25">
      <c r="D228" s="5" t="str" cm="1">
        <f t="array" ref="D228">Common_SourceData.Common_SourceData_MCFTemperatureZone_Source()</f>
        <v>VEERG 2026: Table A.1.8.1</v>
      </c>
    </row>
    <row r="229" spans="4:19" x14ac:dyDescent="0.25">
      <c r="D229" s="56" t="str" cm="1">
        <f t="array" ref="D229">Common_SourceData.Common_SourceData_MCFTemperatureZone_Variation()</f>
        <v>VARIATION FROM SOURCE: Added row of NIR MMA definitions to aid lookup. Duplicated 'Poultry with and without litter' column with separate NIR definitions to aid lookup. Added 'MAT raw' column to allow lookup of numbers.</v>
      </c>
    </row>
    <row r="231" spans="4:19" x14ac:dyDescent="0.25">
      <c r="D231" s="38" t="s">
        <v>49</v>
      </c>
      <c r="E231" s="38" t="s">
        <v>324</v>
      </c>
      <c r="F231" s="37" t="s">
        <v>325</v>
      </c>
      <c r="G231" s="38" t="s">
        <v>326</v>
      </c>
      <c r="H231" s="38" t="s">
        <v>327</v>
      </c>
      <c r="I231" s="38" t="s">
        <v>328</v>
      </c>
      <c r="J231" s="38" t="s">
        <v>329</v>
      </c>
      <c r="K231" s="38" t="s">
        <v>330</v>
      </c>
      <c r="L231" s="38" t="s">
        <v>331</v>
      </c>
      <c r="M231" s="38" t="s">
        <v>332</v>
      </c>
      <c r="N231" s="38" t="s">
        <v>333</v>
      </c>
      <c r="O231" s="38" t="s">
        <v>334</v>
      </c>
      <c r="P231" s="38" t="s">
        <v>335</v>
      </c>
      <c r="Q231" s="38" t="s">
        <v>309</v>
      </c>
      <c r="R231" s="38" t="s">
        <v>336</v>
      </c>
      <c r="S231" s="38" t="s">
        <v>337</v>
      </c>
    </row>
    <row r="232" spans="4:19" x14ac:dyDescent="0.25">
      <c r="D232" s="38" t="str" cm="1">
        <f t="array" ref="D232">Common_InputFunctions.Utility_DisplayArrayInTable(Common_SourceData.Common_SourceData_MCFTemperatureZone_Data(),Table_SourceData_Common_MCFTemperatureZone[[#Headers],[Temperature zone]],0)</f>
        <v>Cool</v>
      </c>
      <c r="E232" s="38" t="str" cm="1">
        <f t="array" ref="E232">Common_InputFunctions.Utility_DisplayArrayInTable(Common_SourceData.Common_SourceData_MCFTemperatureZone_Data(),Table_SourceData_Common_MCFTemperatureZone[[#Headers],[Temperature zone]],0)</f>
        <v>≤10</v>
      </c>
      <c r="F232" s="38" cm="1">
        <f t="array" ref="F232">Common_InputFunctions.Utility_DisplayArrayInTable(Common_SourceData.Common_SourceData_MCFTemperatureZone_Data(),Table_SourceData_Common_MCFTemperatureZone[[#Headers],[Temperature zone]],0)</f>
        <v>0.66</v>
      </c>
      <c r="G232" s="38" cm="1">
        <f t="array" ref="G232">Common_InputFunctions.Utility_DisplayArrayInTable(Common_SourceData.Common_SourceData_MCFTemperatureZone_Data(),Table_SourceData_Common_MCFTemperatureZone[[#Headers],[Temperature zone]],0)</f>
        <v>0.1</v>
      </c>
      <c r="H232" s="38" cm="1">
        <f t="array" ref="H232">Common_InputFunctions.Utility_DisplayArrayInTable(Common_SourceData.Common_SourceData_MCFTemperatureZone_Data(),Table_SourceData_Common_MCFTemperatureZone[[#Headers],[Temperature zone]],0)</f>
        <v>0.1</v>
      </c>
      <c r="I232" s="38" cm="1">
        <f t="array" ref="I232">Common_InputFunctions.Utility_DisplayArrayInTable(Common_SourceData.Common_SourceData_MCFTemperatureZone_Data(),Table_SourceData_Common_MCFTemperatureZone[[#Headers],[Temperature zone]],0)</f>
        <v>1E-3</v>
      </c>
      <c r="J232" s="38" cm="1">
        <f t="array" ref="J232">Common_InputFunctions.Utility_DisplayArrayInTable(Common_SourceData.Common_SourceData_MCFTemperatureZone_Data(),Table_SourceData_Common_MCFTemperatureZone[[#Headers],[Temperature zone]],0)</f>
        <v>5.0000000000000001E-3</v>
      </c>
      <c r="K232" s="38" cm="1">
        <f t="array" ref="K232">Common_InputFunctions.Utility_DisplayArrayInTable(Common_SourceData.Common_SourceData_MCFTemperatureZone_Data(),Table_SourceData_Common_MCFTemperatureZone[[#Headers],[Temperature zone]],0)</f>
        <v>0.02</v>
      </c>
      <c r="L232" s="38" cm="1">
        <f t="array" ref="L232">Common_InputFunctions.Utility_DisplayArrayInTable(Common_SourceData.Common_SourceData_MCFTemperatureZone_Data(),Table_SourceData_Common_MCFTemperatureZone[[#Headers],[Temperature zone]],0)</f>
        <v>0.03</v>
      </c>
      <c r="M232" s="38" cm="1">
        <f t="array" ref="M232">Common_InputFunctions.Utility_DisplayArrayInTable(Common_SourceData.Common_SourceData_MCFTemperatureZone_Data(),Table_SourceData_Common_MCFTemperatureZone[[#Headers],[Temperature zone]],0)</f>
        <v>0.04</v>
      </c>
      <c r="N232" s="38" cm="1">
        <f t="array" ref="N232">Common_InputFunctions.Utility_DisplayArrayInTable(Common_SourceData.Common_SourceData_MCFTemperatureZone_Data(),Table_SourceData_Common_MCFTemperatureZone[[#Headers],[Temperature zone]],0)</f>
        <v>1.4999999999999999E-2</v>
      </c>
      <c r="O232" s="38" cm="1">
        <f t="array" ref="O232">Common_InputFunctions.Utility_DisplayArrayInTable(Common_SourceData.Common_SourceData_MCFTemperatureZone_Data(),Table_SourceData_Common_MCFTemperatureZone[[#Headers],[Temperature zone]],0)</f>
        <v>1.4999999999999999E-2</v>
      </c>
      <c r="P232" s="38" cm="1">
        <f t="array" ref="P232">Common_InputFunctions.Utility_DisplayArrayInTable(Common_SourceData.Common_SourceData_MCFTemperatureZone_Data(),Table_SourceData_Common_MCFTemperatureZone[[#Headers],[Temperature zone]],0)</f>
        <v>0</v>
      </c>
      <c r="Q232" s="38" cm="1">
        <f t="array" ref="Q232">Common_InputFunctions.Utility_DisplayArrayInTable(Common_SourceData.Common_SourceData_MCFTemperatureZone_Data(),Table_SourceData_Common_MCFTemperatureZone[[#Headers],[Temperature zone]],0)</f>
        <v>0</v>
      </c>
      <c r="R232" s="38" cm="1">
        <f t="array" ref="R232">Common_InputFunctions.Utility_DisplayArrayInTable(Common_SourceData.Common_SourceData_MCFTemperatureZone_Data(),Table_SourceData_Common_MCFTemperatureZone[[#Headers],[Temperature zone]],0)</f>
        <v>4.7000000000000002E-3</v>
      </c>
      <c r="S232" s="38" cm="1">
        <f t="array" ref="S232">Common_InputFunctions.Utility_DisplayArrayInTable(Common_SourceData.Common_SourceData_MCFTemperatureZone_Data(),Table_SourceData_Common_MCFTemperatureZone[[#Headers],[Temperature zone]],0)</f>
        <v>10</v>
      </c>
    </row>
    <row r="233" spans="4:19" x14ac:dyDescent="0.25">
      <c r="D233" s="1" t="str" cm="1">
        <f t="array" ref="D233">Common_InputFunctions.Utility_DisplayArrayInTable(Common_SourceData.Common_SourceData_MCFTemperatureZone_Data(),Table_SourceData_Common_MCFTemperatureZone[[#Headers],[Temperature zone]],0)</f>
        <v>Cool</v>
      </c>
      <c r="E233" s="38" cm="1">
        <f t="array" ref="E233">Common_InputFunctions.Utility_DisplayArrayInTable(Common_SourceData.Common_SourceData_MCFTemperatureZone_Data(),Table_SourceData_Common_MCFTemperatureZone[[#Headers],[Temperature zone]],0)</f>
        <v>11</v>
      </c>
      <c r="F233" s="38" cm="1">
        <f t="array" ref="F233">Common_InputFunctions.Utility_DisplayArrayInTable(Common_SourceData.Common_SourceData_MCFTemperatureZone_Data(),Table_SourceData_Common_MCFTemperatureZone[[#Headers],[Temperature zone]],0)</f>
        <v>0.68</v>
      </c>
      <c r="G233" s="38" cm="1">
        <f t="array" ref="G233">Common_InputFunctions.Utility_DisplayArrayInTable(Common_SourceData.Common_SourceData_MCFTemperatureZone_Data(),Table_SourceData_Common_MCFTemperatureZone[[#Headers],[Temperature zone]],0)</f>
        <v>0.1</v>
      </c>
      <c r="H233" s="38" cm="1">
        <f t="array" ref="H233">Common_InputFunctions.Utility_DisplayArrayInTable(Common_SourceData.Common_SourceData_MCFTemperatureZone_Data(),Table_SourceData_Common_MCFTemperatureZone[[#Headers],[Temperature zone]],0)</f>
        <v>0.11</v>
      </c>
      <c r="I233" s="38" cm="1">
        <f t="array" ref="I233">Common_InputFunctions.Utility_DisplayArrayInTable(Common_SourceData.Common_SourceData_MCFTemperatureZone_Data(),Table_SourceData_Common_MCFTemperatureZone[[#Headers],[Temperature zone]],0)</f>
        <v>1E-3</v>
      </c>
      <c r="J233" s="38" cm="1">
        <f t="array" ref="J233">Common_InputFunctions.Utility_DisplayArrayInTable(Common_SourceData.Common_SourceData_MCFTemperatureZone_Data(),Table_SourceData_Common_MCFTemperatureZone[[#Headers],[Temperature zone]],0)</f>
        <v>5.0000000000000001E-3</v>
      </c>
      <c r="K233" s="38" cm="1">
        <f t="array" ref="K233">Common_InputFunctions.Utility_DisplayArrayInTable(Common_SourceData.Common_SourceData_MCFTemperatureZone_Data(),Table_SourceData_Common_MCFTemperatureZone[[#Headers],[Temperature zone]],0)</f>
        <v>0.02</v>
      </c>
      <c r="L233" s="38" cm="1">
        <f t="array" ref="L233">Common_InputFunctions.Utility_DisplayArrayInTable(Common_SourceData.Common_SourceData_MCFTemperatureZone_Data(),Table_SourceData_Common_MCFTemperatureZone[[#Headers],[Temperature zone]],0)</f>
        <v>0.03</v>
      </c>
      <c r="M233" s="38" cm="1">
        <f t="array" ref="M233">Common_InputFunctions.Utility_DisplayArrayInTable(Common_SourceData.Common_SourceData_MCFTemperatureZone_Data(),Table_SourceData_Common_MCFTemperatureZone[[#Headers],[Temperature zone]],0)</f>
        <v>0.04</v>
      </c>
      <c r="N233" s="38" cm="1">
        <f t="array" ref="N233">Common_InputFunctions.Utility_DisplayArrayInTable(Common_SourceData.Common_SourceData_MCFTemperatureZone_Data(),Table_SourceData_Common_MCFTemperatureZone[[#Headers],[Temperature zone]],0)</f>
        <v>1.4999999999999999E-2</v>
      </c>
      <c r="O233" s="38" cm="1">
        <f t="array" ref="O233">Common_InputFunctions.Utility_DisplayArrayInTable(Common_SourceData.Common_SourceData_MCFTemperatureZone_Data(),Table_SourceData_Common_MCFTemperatureZone[[#Headers],[Temperature zone]],0)</f>
        <v>1.4999999999999999E-2</v>
      </c>
      <c r="P233" s="38" cm="1">
        <f t="array" ref="P233">Common_InputFunctions.Utility_DisplayArrayInTable(Common_SourceData.Common_SourceData_MCFTemperatureZone_Data(),Table_SourceData_Common_MCFTemperatureZone[[#Headers],[Temperature zone]],0)</f>
        <v>0</v>
      </c>
      <c r="Q233" s="38" cm="1">
        <f t="array" ref="Q233">Common_InputFunctions.Utility_DisplayArrayInTable(Common_SourceData.Common_SourceData_MCFTemperatureZone_Data(),Table_SourceData_Common_MCFTemperatureZone[[#Headers],[Temperature zone]],0)</f>
        <v>0</v>
      </c>
      <c r="R233" s="38" cm="1">
        <f t="array" ref="R233">Common_InputFunctions.Utility_DisplayArrayInTable(Common_SourceData.Common_SourceData_MCFTemperatureZone_Data(),Table_SourceData_Common_MCFTemperatureZone[[#Headers],[Temperature zone]],0)</f>
        <v>4.7000000000000002E-3</v>
      </c>
      <c r="S233" s="38" cm="1">
        <f t="array" ref="S233">Common_InputFunctions.Utility_DisplayArrayInTable(Common_SourceData.Common_SourceData_MCFTemperatureZone_Data(),Table_SourceData_Common_MCFTemperatureZone[[#Headers],[Temperature zone]],0)</f>
        <v>11</v>
      </c>
    </row>
    <row r="234" spans="4:19" x14ac:dyDescent="0.25">
      <c r="D234" s="1" t="str" cm="1">
        <f t="array" ref="D234">Common_InputFunctions.Utility_DisplayArrayInTable(Common_SourceData.Common_SourceData_MCFTemperatureZone_Data(),Table_SourceData_Common_MCFTemperatureZone[[#Headers],[Temperature zone]],0)</f>
        <v>Cool</v>
      </c>
      <c r="E234" s="38" cm="1">
        <f t="array" ref="E234">Common_InputFunctions.Utility_DisplayArrayInTable(Common_SourceData.Common_SourceData_MCFTemperatureZone_Data(),Table_SourceData_Common_MCFTemperatureZone[[#Headers],[Temperature zone]],0)</f>
        <v>12</v>
      </c>
      <c r="F234" s="38" cm="1">
        <f t="array" ref="F234">Common_InputFunctions.Utility_DisplayArrayInTable(Common_SourceData.Common_SourceData_MCFTemperatureZone_Data(),Table_SourceData_Common_MCFTemperatureZone[[#Headers],[Temperature zone]],0)</f>
        <v>0.7</v>
      </c>
      <c r="G234" s="38" cm="1">
        <f t="array" ref="G234">Common_InputFunctions.Utility_DisplayArrayInTable(Common_SourceData.Common_SourceData_MCFTemperatureZone_Data(),Table_SourceData_Common_MCFTemperatureZone[[#Headers],[Temperature zone]],0)</f>
        <v>0.1</v>
      </c>
      <c r="H234" s="38" cm="1">
        <f t="array" ref="H234">Common_InputFunctions.Utility_DisplayArrayInTable(Common_SourceData.Common_SourceData_MCFTemperatureZone_Data(),Table_SourceData_Common_MCFTemperatureZone[[#Headers],[Temperature zone]],0)</f>
        <v>0.13</v>
      </c>
      <c r="I234" s="38" cm="1">
        <f t="array" ref="I234">Common_InputFunctions.Utility_DisplayArrayInTable(Common_SourceData.Common_SourceData_MCFTemperatureZone_Data(),Table_SourceData_Common_MCFTemperatureZone[[#Headers],[Temperature zone]],0)</f>
        <v>1E-3</v>
      </c>
      <c r="J234" s="38" cm="1">
        <f t="array" ref="J234">Common_InputFunctions.Utility_DisplayArrayInTable(Common_SourceData.Common_SourceData_MCFTemperatureZone_Data(),Table_SourceData_Common_MCFTemperatureZone[[#Headers],[Temperature zone]],0)</f>
        <v>5.0000000000000001E-3</v>
      </c>
      <c r="K234" s="38" cm="1">
        <f t="array" ref="K234">Common_InputFunctions.Utility_DisplayArrayInTable(Common_SourceData.Common_SourceData_MCFTemperatureZone_Data(),Table_SourceData_Common_MCFTemperatureZone[[#Headers],[Temperature zone]],0)</f>
        <v>0.02</v>
      </c>
      <c r="L234" s="38" cm="1">
        <f t="array" ref="L234">Common_InputFunctions.Utility_DisplayArrayInTable(Common_SourceData.Common_SourceData_MCFTemperatureZone_Data(),Table_SourceData_Common_MCFTemperatureZone[[#Headers],[Temperature zone]],0)</f>
        <v>0.03</v>
      </c>
      <c r="M234" s="38" cm="1">
        <f t="array" ref="M234">Common_InputFunctions.Utility_DisplayArrayInTable(Common_SourceData.Common_SourceData_MCFTemperatureZone_Data(),Table_SourceData_Common_MCFTemperatureZone[[#Headers],[Temperature zone]],0)</f>
        <v>0.04</v>
      </c>
      <c r="N234" s="38" cm="1">
        <f t="array" ref="N234">Common_InputFunctions.Utility_DisplayArrayInTable(Common_SourceData.Common_SourceData_MCFTemperatureZone_Data(),Table_SourceData_Common_MCFTemperatureZone[[#Headers],[Temperature zone]],0)</f>
        <v>1.4999999999999999E-2</v>
      </c>
      <c r="O234" s="38" cm="1">
        <f t="array" ref="O234">Common_InputFunctions.Utility_DisplayArrayInTable(Common_SourceData.Common_SourceData_MCFTemperatureZone_Data(),Table_SourceData_Common_MCFTemperatureZone[[#Headers],[Temperature zone]],0)</f>
        <v>1.4999999999999999E-2</v>
      </c>
      <c r="P234" s="38" cm="1">
        <f t="array" ref="P234">Common_InputFunctions.Utility_DisplayArrayInTable(Common_SourceData.Common_SourceData_MCFTemperatureZone_Data(),Table_SourceData_Common_MCFTemperatureZone[[#Headers],[Temperature zone]],0)</f>
        <v>0</v>
      </c>
      <c r="Q234" s="38" cm="1">
        <f t="array" ref="Q234">Common_InputFunctions.Utility_DisplayArrayInTable(Common_SourceData.Common_SourceData_MCFTemperatureZone_Data(),Table_SourceData_Common_MCFTemperatureZone[[#Headers],[Temperature zone]],0)</f>
        <v>0</v>
      </c>
      <c r="R234" s="38" cm="1">
        <f t="array" ref="R234">Common_InputFunctions.Utility_DisplayArrayInTable(Common_SourceData.Common_SourceData_MCFTemperatureZone_Data(),Table_SourceData_Common_MCFTemperatureZone[[#Headers],[Temperature zone]],0)</f>
        <v>4.7000000000000002E-3</v>
      </c>
      <c r="S234" s="38" cm="1">
        <f t="array" ref="S234">Common_InputFunctions.Utility_DisplayArrayInTable(Common_SourceData.Common_SourceData_MCFTemperatureZone_Data(),Table_SourceData_Common_MCFTemperatureZone[[#Headers],[Temperature zone]],0)</f>
        <v>12</v>
      </c>
    </row>
    <row r="235" spans="4:19" x14ac:dyDescent="0.25">
      <c r="D235" s="1" t="str" cm="1">
        <f t="array" ref="D235">Common_InputFunctions.Utility_DisplayArrayInTable(Common_SourceData.Common_SourceData_MCFTemperatureZone_Data(),Table_SourceData_Common_MCFTemperatureZone[[#Headers],[Temperature zone]],0)</f>
        <v>Cool</v>
      </c>
      <c r="E235" s="38" cm="1">
        <f t="array" ref="E235">Common_InputFunctions.Utility_DisplayArrayInTable(Common_SourceData.Common_SourceData_MCFTemperatureZone_Data(),Table_SourceData_Common_MCFTemperatureZone[[#Headers],[Temperature zone]],0)</f>
        <v>13</v>
      </c>
      <c r="F235" s="38" cm="1">
        <f t="array" ref="F235">Common_InputFunctions.Utility_DisplayArrayInTable(Common_SourceData.Common_SourceData_MCFTemperatureZone_Data(),Table_SourceData_Common_MCFTemperatureZone[[#Headers],[Temperature zone]],0)</f>
        <v>0.71</v>
      </c>
      <c r="G235" s="38" cm="1">
        <f t="array" ref="G235">Common_InputFunctions.Utility_DisplayArrayInTable(Common_SourceData.Common_SourceData_MCFTemperatureZone_Data(),Table_SourceData_Common_MCFTemperatureZone[[#Headers],[Temperature zone]],0)</f>
        <v>0.1</v>
      </c>
      <c r="H235" s="38" cm="1">
        <f t="array" ref="H235">Common_InputFunctions.Utility_DisplayArrayInTable(Common_SourceData.Common_SourceData_MCFTemperatureZone_Data(),Table_SourceData_Common_MCFTemperatureZone[[#Headers],[Temperature zone]],0)</f>
        <v>0.14000000000000001</v>
      </c>
      <c r="I235" s="38" cm="1">
        <f t="array" ref="I235">Common_InputFunctions.Utility_DisplayArrayInTable(Common_SourceData.Common_SourceData_MCFTemperatureZone_Data(),Table_SourceData_Common_MCFTemperatureZone[[#Headers],[Temperature zone]],0)</f>
        <v>1E-3</v>
      </c>
      <c r="J235" s="38" cm="1">
        <f t="array" ref="J235">Common_InputFunctions.Utility_DisplayArrayInTable(Common_SourceData.Common_SourceData_MCFTemperatureZone_Data(),Table_SourceData_Common_MCFTemperatureZone[[#Headers],[Temperature zone]],0)</f>
        <v>5.0000000000000001E-3</v>
      </c>
      <c r="K235" s="38" cm="1">
        <f t="array" ref="K235">Common_InputFunctions.Utility_DisplayArrayInTable(Common_SourceData.Common_SourceData_MCFTemperatureZone_Data(),Table_SourceData_Common_MCFTemperatureZone[[#Headers],[Temperature zone]],0)</f>
        <v>0.02</v>
      </c>
      <c r="L235" s="38" cm="1">
        <f t="array" ref="L235">Common_InputFunctions.Utility_DisplayArrayInTable(Common_SourceData.Common_SourceData_MCFTemperatureZone_Data(),Table_SourceData_Common_MCFTemperatureZone[[#Headers],[Temperature zone]],0)</f>
        <v>0.03</v>
      </c>
      <c r="M235" s="38" cm="1">
        <f t="array" ref="M235">Common_InputFunctions.Utility_DisplayArrayInTable(Common_SourceData.Common_SourceData_MCFTemperatureZone_Data(),Table_SourceData_Common_MCFTemperatureZone[[#Headers],[Temperature zone]],0)</f>
        <v>0.04</v>
      </c>
      <c r="N235" s="38" cm="1">
        <f t="array" ref="N235">Common_InputFunctions.Utility_DisplayArrayInTable(Common_SourceData.Common_SourceData_MCFTemperatureZone_Data(),Table_SourceData_Common_MCFTemperatureZone[[#Headers],[Temperature zone]],0)</f>
        <v>1.4999999999999999E-2</v>
      </c>
      <c r="O235" s="38" cm="1">
        <f t="array" ref="O235">Common_InputFunctions.Utility_DisplayArrayInTable(Common_SourceData.Common_SourceData_MCFTemperatureZone_Data(),Table_SourceData_Common_MCFTemperatureZone[[#Headers],[Temperature zone]],0)</f>
        <v>1.4999999999999999E-2</v>
      </c>
      <c r="P235" s="38" cm="1">
        <f t="array" ref="P235">Common_InputFunctions.Utility_DisplayArrayInTable(Common_SourceData.Common_SourceData_MCFTemperatureZone_Data(),Table_SourceData_Common_MCFTemperatureZone[[#Headers],[Temperature zone]],0)</f>
        <v>0</v>
      </c>
      <c r="Q235" s="38" cm="1">
        <f t="array" ref="Q235">Common_InputFunctions.Utility_DisplayArrayInTable(Common_SourceData.Common_SourceData_MCFTemperatureZone_Data(),Table_SourceData_Common_MCFTemperatureZone[[#Headers],[Temperature zone]],0)</f>
        <v>0</v>
      </c>
      <c r="R235" s="38" cm="1">
        <f t="array" ref="R235">Common_InputFunctions.Utility_DisplayArrayInTable(Common_SourceData.Common_SourceData_MCFTemperatureZone_Data(),Table_SourceData_Common_MCFTemperatureZone[[#Headers],[Temperature zone]],0)</f>
        <v>4.7000000000000002E-3</v>
      </c>
      <c r="S235" s="38" cm="1">
        <f t="array" ref="S235">Common_InputFunctions.Utility_DisplayArrayInTable(Common_SourceData.Common_SourceData_MCFTemperatureZone_Data(),Table_SourceData_Common_MCFTemperatureZone[[#Headers],[Temperature zone]],0)</f>
        <v>13</v>
      </c>
    </row>
    <row r="236" spans="4:19" x14ac:dyDescent="0.25">
      <c r="D236" s="1" t="str" cm="1">
        <f t="array" ref="D236">Common_InputFunctions.Utility_DisplayArrayInTable(Common_SourceData.Common_SourceData_MCFTemperatureZone_Data(),Table_SourceData_Common_MCFTemperatureZone[[#Headers],[Temperature zone]],0)</f>
        <v>Cool</v>
      </c>
      <c r="E236" s="38" cm="1">
        <f t="array" ref="E236">Common_InputFunctions.Utility_DisplayArrayInTable(Common_SourceData.Common_SourceData_MCFTemperatureZone_Data(),Table_SourceData_Common_MCFTemperatureZone[[#Headers],[Temperature zone]],0)</f>
        <v>14</v>
      </c>
      <c r="F236" s="38" cm="1">
        <f t="array" ref="F236">Common_InputFunctions.Utility_DisplayArrayInTable(Common_SourceData.Common_SourceData_MCFTemperatureZone_Data(),Table_SourceData_Common_MCFTemperatureZone[[#Headers],[Temperature zone]],0)</f>
        <v>0.73</v>
      </c>
      <c r="G236" s="38" cm="1">
        <f t="array" ref="G236">Common_InputFunctions.Utility_DisplayArrayInTable(Common_SourceData.Common_SourceData_MCFTemperatureZone_Data(),Table_SourceData_Common_MCFTemperatureZone[[#Headers],[Temperature zone]],0)</f>
        <v>0.1</v>
      </c>
      <c r="H236" s="38" cm="1">
        <f t="array" ref="H236">Common_InputFunctions.Utility_DisplayArrayInTable(Common_SourceData.Common_SourceData_MCFTemperatureZone_Data(),Table_SourceData_Common_MCFTemperatureZone[[#Headers],[Temperature zone]],0)</f>
        <v>0.15</v>
      </c>
      <c r="I236" s="38" cm="1">
        <f t="array" ref="I236">Common_InputFunctions.Utility_DisplayArrayInTable(Common_SourceData.Common_SourceData_MCFTemperatureZone_Data(),Table_SourceData_Common_MCFTemperatureZone[[#Headers],[Temperature zone]],0)</f>
        <v>1E-3</v>
      </c>
      <c r="J236" s="38" cm="1">
        <f t="array" ref="J236">Common_InputFunctions.Utility_DisplayArrayInTable(Common_SourceData.Common_SourceData_MCFTemperatureZone_Data(),Table_SourceData_Common_MCFTemperatureZone[[#Headers],[Temperature zone]],0)</f>
        <v>5.0000000000000001E-3</v>
      </c>
      <c r="K236" s="38" cm="1">
        <f t="array" ref="K236">Common_InputFunctions.Utility_DisplayArrayInTable(Common_SourceData.Common_SourceData_MCFTemperatureZone_Data(),Table_SourceData_Common_MCFTemperatureZone[[#Headers],[Temperature zone]],0)</f>
        <v>0.02</v>
      </c>
      <c r="L236" s="38" cm="1">
        <f t="array" ref="L236">Common_InputFunctions.Utility_DisplayArrayInTable(Common_SourceData.Common_SourceData_MCFTemperatureZone_Data(),Table_SourceData_Common_MCFTemperatureZone[[#Headers],[Temperature zone]],0)</f>
        <v>0.03</v>
      </c>
      <c r="M236" s="38" cm="1">
        <f t="array" ref="M236">Common_InputFunctions.Utility_DisplayArrayInTable(Common_SourceData.Common_SourceData_MCFTemperatureZone_Data(),Table_SourceData_Common_MCFTemperatureZone[[#Headers],[Temperature zone]],0)</f>
        <v>0.04</v>
      </c>
      <c r="N236" s="38" cm="1">
        <f t="array" ref="N236">Common_InputFunctions.Utility_DisplayArrayInTable(Common_SourceData.Common_SourceData_MCFTemperatureZone_Data(),Table_SourceData_Common_MCFTemperatureZone[[#Headers],[Temperature zone]],0)</f>
        <v>1.4999999999999999E-2</v>
      </c>
      <c r="O236" s="38" cm="1">
        <f t="array" ref="O236">Common_InputFunctions.Utility_DisplayArrayInTable(Common_SourceData.Common_SourceData_MCFTemperatureZone_Data(),Table_SourceData_Common_MCFTemperatureZone[[#Headers],[Temperature zone]],0)</f>
        <v>1.4999999999999999E-2</v>
      </c>
      <c r="P236" s="38" cm="1">
        <f t="array" ref="P236">Common_InputFunctions.Utility_DisplayArrayInTable(Common_SourceData.Common_SourceData_MCFTemperatureZone_Data(),Table_SourceData_Common_MCFTemperatureZone[[#Headers],[Temperature zone]],0)</f>
        <v>0</v>
      </c>
      <c r="Q236" s="38" cm="1">
        <f t="array" ref="Q236">Common_InputFunctions.Utility_DisplayArrayInTable(Common_SourceData.Common_SourceData_MCFTemperatureZone_Data(),Table_SourceData_Common_MCFTemperatureZone[[#Headers],[Temperature zone]],0)</f>
        <v>0</v>
      </c>
      <c r="R236" s="38" cm="1">
        <f t="array" ref="R236">Common_InputFunctions.Utility_DisplayArrayInTable(Common_SourceData.Common_SourceData_MCFTemperatureZone_Data(),Table_SourceData_Common_MCFTemperatureZone[[#Headers],[Temperature zone]],0)</f>
        <v>4.7000000000000002E-3</v>
      </c>
      <c r="S236" s="38" cm="1">
        <f t="array" ref="S236">Common_InputFunctions.Utility_DisplayArrayInTable(Common_SourceData.Common_SourceData_MCFTemperatureZone_Data(),Table_SourceData_Common_MCFTemperatureZone[[#Headers],[Temperature zone]],0)</f>
        <v>14</v>
      </c>
    </row>
    <row r="237" spans="4:19" x14ac:dyDescent="0.25">
      <c r="D237" s="1" t="str" cm="1">
        <f t="array" ref="D237">Common_InputFunctions.Utility_DisplayArrayInTable(Common_SourceData.Common_SourceData_MCFTemperatureZone_Data(),Table_SourceData_Common_MCFTemperatureZone[[#Headers],[Temperature zone]],0)</f>
        <v>Temperate</v>
      </c>
      <c r="E237" s="38" cm="1">
        <f t="array" ref="E237">Common_InputFunctions.Utility_DisplayArrayInTable(Common_SourceData.Common_SourceData_MCFTemperatureZone_Data(),Table_SourceData_Common_MCFTemperatureZone[[#Headers],[Temperature zone]],0)</f>
        <v>15</v>
      </c>
      <c r="F237" s="38" cm="1">
        <f t="array" ref="F237">Common_InputFunctions.Utility_DisplayArrayInTable(Common_SourceData.Common_SourceData_MCFTemperatureZone_Data(),Table_SourceData_Common_MCFTemperatureZone[[#Headers],[Temperature zone]],0)</f>
        <v>0.74</v>
      </c>
      <c r="G237" s="38" cm="1">
        <f t="array" ref="G237">Common_InputFunctions.Utility_DisplayArrayInTable(Common_SourceData.Common_SourceData_MCFTemperatureZone_Data(),Table_SourceData_Common_MCFTemperatureZone[[#Headers],[Temperature zone]],0)</f>
        <v>0.1</v>
      </c>
      <c r="H237" s="38" cm="1">
        <f t="array" ref="H237">Common_InputFunctions.Utility_DisplayArrayInTable(Common_SourceData.Common_SourceData_MCFTemperatureZone_Data(),Table_SourceData_Common_MCFTemperatureZone[[#Headers],[Temperature zone]],0)</f>
        <v>0.17</v>
      </c>
      <c r="I237" s="38" cm="1">
        <f t="array" ref="I237">Common_InputFunctions.Utility_DisplayArrayInTable(Common_SourceData.Common_SourceData_MCFTemperatureZone_Data(),Table_SourceData_Common_MCFTemperatureZone[[#Headers],[Temperature zone]],0)</f>
        <v>5.0000000000000001E-3</v>
      </c>
      <c r="J237" s="38" cm="1">
        <f t="array" ref="J237">Common_InputFunctions.Utility_DisplayArrayInTable(Common_SourceData.Common_SourceData_MCFTemperatureZone_Data(),Table_SourceData_Common_MCFTemperatureZone[[#Headers],[Temperature zone]],0)</f>
        <v>0.01</v>
      </c>
      <c r="K237" s="38" cm="1">
        <f t="array" ref="K237">Common_InputFunctions.Utility_DisplayArrayInTable(Common_SourceData.Common_SourceData_MCFTemperatureZone_Data(),Table_SourceData_Common_MCFTemperatureZone[[#Headers],[Temperature zone]],0)</f>
        <v>0.02</v>
      </c>
      <c r="L237" s="38" cm="1">
        <f t="array" ref="L237">Common_InputFunctions.Utility_DisplayArrayInTable(Common_SourceData.Common_SourceData_MCFTemperatureZone_Data(),Table_SourceData_Common_MCFTemperatureZone[[#Headers],[Temperature zone]],0)</f>
        <v>0.03</v>
      </c>
      <c r="M237" s="38" cm="1">
        <f t="array" ref="M237">Common_InputFunctions.Utility_DisplayArrayInTable(Common_SourceData.Common_SourceData_MCFTemperatureZone_Data(),Table_SourceData_Common_MCFTemperatureZone[[#Headers],[Temperature zone]],0)</f>
        <v>0.04</v>
      </c>
      <c r="N237" s="38" cm="1">
        <f t="array" ref="N237">Common_InputFunctions.Utility_DisplayArrayInTable(Common_SourceData.Common_SourceData_MCFTemperatureZone_Data(),Table_SourceData_Common_MCFTemperatureZone[[#Headers],[Temperature zone]],0)</f>
        <v>1.4999999999999999E-2</v>
      </c>
      <c r="O237" s="38" cm="1">
        <f t="array" ref="O237">Common_InputFunctions.Utility_DisplayArrayInTable(Common_SourceData.Common_SourceData_MCFTemperatureZone_Data(),Table_SourceData_Common_MCFTemperatureZone[[#Headers],[Temperature zone]],0)</f>
        <v>1.4999999999999999E-2</v>
      </c>
      <c r="P237" s="38" cm="1">
        <f t="array" ref="P237">Common_InputFunctions.Utility_DisplayArrayInTable(Common_SourceData.Common_SourceData_MCFTemperatureZone_Data(),Table_SourceData_Common_MCFTemperatureZone[[#Headers],[Temperature zone]],0)</f>
        <v>0</v>
      </c>
      <c r="Q237" s="38" cm="1">
        <f t="array" ref="Q237">Common_InputFunctions.Utility_DisplayArrayInTable(Common_SourceData.Common_SourceData_MCFTemperatureZone_Data(),Table_SourceData_Common_MCFTemperatureZone[[#Headers],[Temperature zone]],0)</f>
        <v>0</v>
      </c>
      <c r="R237" s="38" cm="1">
        <f t="array" ref="R237">Common_InputFunctions.Utility_DisplayArrayInTable(Common_SourceData.Common_SourceData_MCFTemperatureZone_Data(),Table_SourceData_Common_MCFTemperatureZone[[#Headers],[Temperature zone]],0)</f>
        <v>4.7000000000000002E-3</v>
      </c>
      <c r="S237" s="38" cm="1">
        <f t="array" ref="S237">Common_InputFunctions.Utility_DisplayArrayInTable(Common_SourceData.Common_SourceData_MCFTemperatureZone_Data(),Table_SourceData_Common_MCFTemperatureZone[[#Headers],[Temperature zone]],0)</f>
        <v>15</v>
      </c>
    </row>
    <row r="238" spans="4:19" x14ac:dyDescent="0.25">
      <c r="D238" s="1" t="str" cm="1">
        <f t="array" ref="D238">Common_InputFunctions.Utility_DisplayArrayInTable(Common_SourceData.Common_SourceData_MCFTemperatureZone_Data(),Table_SourceData_Common_MCFTemperatureZone[[#Headers],[Temperature zone]],0)</f>
        <v>Temperate</v>
      </c>
      <c r="E238" s="38" cm="1">
        <f t="array" ref="E238">Common_InputFunctions.Utility_DisplayArrayInTable(Common_SourceData.Common_SourceData_MCFTemperatureZone_Data(),Table_SourceData_Common_MCFTemperatureZone[[#Headers],[Temperature zone]],0)</f>
        <v>16</v>
      </c>
      <c r="F238" s="38" cm="1">
        <f t="array" ref="F238">Common_InputFunctions.Utility_DisplayArrayInTable(Common_SourceData.Common_SourceData_MCFTemperatureZone_Data(),Table_SourceData_Common_MCFTemperatureZone[[#Headers],[Temperature zone]],0)</f>
        <v>0.75</v>
      </c>
      <c r="G238" s="38" cm="1">
        <f t="array" ref="G238">Common_InputFunctions.Utility_DisplayArrayInTable(Common_SourceData.Common_SourceData_MCFTemperatureZone_Data(),Table_SourceData_Common_MCFTemperatureZone[[#Headers],[Temperature zone]],0)</f>
        <v>0.1</v>
      </c>
      <c r="H238" s="38" cm="1">
        <f t="array" ref="H238">Common_InputFunctions.Utility_DisplayArrayInTable(Common_SourceData.Common_SourceData_MCFTemperatureZone_Data(),Table_SourceData_Common_MCFTemperatureZone[[#Headers],[Temperature zone]],0)</f>
        <v>0.18</v>
      </c>
      <c r="I238" s="38" cm="1">
        <f t="array" ref="I238">Common_InputFunctions.Utility_DisplayArrayInTable(Common_SourceData.Common_SourceData_MCFTemperatureZone_Data(),Table_SourceData_Common_MCFTemperatureZone[[#Headers],[Temperature zone]],0)</f>
        <v>5.0000000000000001E-3</v>
      </c>
      <c r="J238" s="38" cm="1">
        <f t="array" ref="J238">Common_InputFunctions.Utility_DisplayArrayInTable(Common_SourceData.Common_SourceData_MCFTemperatureZone_Data(),Table_SourceData_Common_MCFTemperatureZone[[#Headers],[Temperature zone]],0)</f>
        <v>0.01</v>
      </c>
      <c r="K238" s="38" cm="1">
        <f t="array" ref="K238">Common_InputFunctions.Utility_DisplayArrayInTable(Common_SourceData.Common_SourceData_MCFTemperatureZone_Data(),Table_SourceData_Common_MCFTemperatureZone[[#Headers],[Temperature zone]],0)</f>
        <v>0.02</v>
      </c>
      <c r="L238" s="38" cm="1">
        <f t="array" ref="L238">Common_InputFunctions.Utility_DisplayArrayInTable(Common_SourceData.Common_SourceData_MCFTemperatureZone_Data(),Table_SourceData_Common_MCFTemperatureZone[[#Headers],[Temperature zone]],0)</f>
        <v>0.03</v>
      </c>
      <c r="M238" s="38" cm="1">
        <f t="array" ref="M238">Common_InputFunctions.Utility_DisplayArrayInTable(Common_SourceData.Common_SourceData_MCFTemperatureZone_Data(),Table_SourceData_Common_MCFTemperatureZone[[#Headers],[Temperature zone]],0)</f>
        <v>0.04</v>
      </c>
      <c r="N238" s="38" cm="1">
        <f t="array" ref="N238">Common_InputFunctions.Utility_DisplayArrayInTable(Common_SourceData.Common_SourceData_MCFTemperatureZone_Data(),Table_SourceData_Common_MCFTemperatureZone[[#Headers],[Temperature zone]],0)</f>
        <v>1.4999999999999999E-2</v>
      </c>
      <c r="O238" s="38" cm="1">
        <f t="array" ref="O238">Common_InputFunctions.Utility_DisplayArrayInTable(Common_SourceData.Common_SourceData_MCFTemperatureZone_Data(),Table_SourceData_Common_MCFTemperatureZone[[#Headers],[Temperature zone]],0)</f>
        <v>1.4999999999999999E-2</v>
      </c>
      <c r="P238" s="38" cm="1">
        <f t="array" ref="P238">Common_InputFunctions.Utility_DisplayArrayInTable(Common_SourceData.Common_SourceData_MCFTemperatureZone_Data(),Table_SourceData_Common_MCFTemperatureZone[[#Headers],[Temperature zone]],0)</f>
        <v>0</v>
      </c>
      <c r="Q238" s="38" cm="1">
        <f t="array" ref="Q238">Common_InputFunctions.Utility_DisplayArrayInTable(Common_SourceData.Common_SourceData_MCFTemperatureZone_Data(),Table_SourceData_Common_MCFTemperatureZone[[#Headers],[Temperature zone]],0)</f>
        <v>0</v>
      </c>
      <c r="R238" s="38" cm="1">
        <f t="array" ref="R238">Common_InputFunctions.Utility_DisplayArrayInTable(Common_SourceData.Common_SourceData_MCFTemperatureZone_Data(),Table_SourceData_Common_MCFTemperatureZone[[#Headers],[Temperature zone]],0)</f>
        <v>4.7000000000000002E-3</v>
      </c>
      <c r="S238" s="38" cm="1">
        <f t="array" ref="S238">Common_InputFunctions.Utility_DisplayArrayInTable(Common_SourceData.Common_SourceData_MCFTemperatureZone_Data(),Table_SourceData_Common_MCFTemperatureZone[[#Headers],[Temperature zone]],0)</f>
        <v>16</v>
      </c>
    </row>
    <row r="239" spans="4:19" x14ac:dyDescent="0.25">
      <c r="D239" s="1" t="str" cm="1">
        <f t="array" ref="D239">Common_InputFunctions.Utility_DisplayArrayInTable(Common_SourceData.Common_SourceData_MCFTemperatureZone_Data(),Table_SourceData_Common_MCFTemperatureZone[[#Headers],[Temperature zone]],0)</f>
        <v>Temperate</v>
      </c>
      <c r="E239" s="38" cm="1">
        <f t="array" ref="E239">Common_InputFunctions.Utility_DisplayArrayInTable(Common_SourceData.Common_SourceData_MCFTemperatureZone_Data(),Table_SourceData_Common_MCFTemperatureZone[[#Headers],[Temperature zone]],0)</f>
        <v>17</v>
      </c>
      <c r="F239" s="38" cm="1">
        <f t="array" ref="F239">Common_InputFunctions.Utility_DisplayArrayInTable(Common_SourceData.Common_SourceData_MCFTemperatureZone_Data(),Table_SourceData_Common_MCFTemperatureZone[[#Headers],[Temperature zone]],0)</f>
        <v>0.76</v>
      </c>
      <c r="G239" s="38" cm="1">
        <f t="array" ref="G239">Common_InputFunctions.Utility_DisplayArrayInTable(Common_SourceData.Common_SourceData_MCFTemperatureZone_Data(),Table_SourceData_Common_MCFTemperatureZone[[#Headers],[Temperature zone]],0)</f>
        <v>0.1</v>
      </c>
      <c r="H239" s="38" cm="1">
        <f t="array" ref="H239">Common_InputFunctions.Utility_DisplayArrayInTable(Common_SourceData.Common_SourceData_MCFTemperatureZone_Data(),Table_SourceData_Common_MCFTemperatureZone[[#Headers],[Temperature zone]],0)</f>
        <v>0.2</v>
      </c>
      <c r="I239" s="38" cm="1">
        <f t="array" ref="I239">Common_InputFunctions.Utility_DisplayArrayInTable(Common_SourceData.Common_SourceData_MCFTemperatureZone_Data(),Table_SourceData_Common_MCFTemperatureZone[[#Headers],[Temperature zone]],0)</f>
        <v>5.0000000000000001E-3</v>
      </c>
      <c r="J239" s="38" cm="1">
        <f t="array" ref="J239">Common_InputFunctions.Utility_DisplayArrayInTable(Common_SourceData.Common_SourceData_MCFTemperatureZone_Data(),Table_SourceData_Common_MCFTemperatureZone[[#Headers],[Temperature zone]],0)</f>
        <v>0.01</v>
      </c>
      <c r="K239" s="38" cm="1">
        <f t="array" ref="K239">Common_InputFunctions.Utility_DisplayArrayInTable(Common_SourceData.Common_SourceData_MCFTemperatureZone_Data(),Table_SourceData_Common_MCFTemperatureZone[[#Headers],[Temperature zone]],0)</f>
        <v>0.02</v>
      </c>
      <c r="L239" s="38" cm="1">
        <f t="array" ref="L239">Common_InputFunctions.Utility_DisplayArrayInTable(Common_SourceData.Common_SourceData_MCFTemperatureZone_Data(),Table_SourceData_Common_MCFTemperatureZone[[#Headers],[Temperature zone]],0)</f>
        <v>0.03</v>
      </c>
      <c r="M239" s="38" cm="1">
        <f t="array" ref="M239">Common_InputFunctions.Utility_DisplayArrayInTable(Common_SourceData.Common_SourceData_MCFTemperatureZone_Data(),Table_SourceData_Common_MCFTemperatureZone[[#Headers],[Temperature zone]],0)</f>
        <v>0.04</v>
      </c>
      <c r="N239" s="38" cm="1">
        <f t="array" ref="N239">Common_InputFunctions.Utility_DisplayArrayInTable(Common_SourceData.Common_SourceData_MCFTemperatureZone_Data(),Table_SourceData_Common_MCFTemperatureZone[[#Headers],[Temperature zone]],0)</f>
        <v>1.4999999999999999E-2</v>
      </c>
      <c r="O239" s="38" cm="1">
        <f t="array" ref="O239">Common_InputFunctions.Utility_DisplayArrayInTable(Common_SourceData.Common_SourceData_MCFTemperatureZone_Data(),Table_SourceData_Common_MCFTemperatureZone[[#Headers],[Temperature zone]],0)</f>
        <v>1.4999999999999999E-2</v>
      </c>
      <c r="P239" s="38" cm="1">
        <f t="array" ref="P239">Common_InputFunctions.Utility_DisplayArrayInTable(Common_SourceData.Common_SourceData_MCFTemperatureZone_Data(),Table_SourceData_Common_MCFTemperatureZone[[#Headers],[Temperature zone]],0)</f>
        <v>0</v>
      </c>
      <c r="Q239" s="38" cm="1">
        <f t="array" ref="Q239">Common_InputFunctions.Utility_DisplayArrayInTable(Common_SourceData.Common_SourceData_MCFTemperatureZone_Data(),Table_SourceData_Common_MCFTemperatureZone[[#Headers],[Temperature zone]],0)</f>
        <v>0</v>
      </c>
      <c r="R239" s="38" cm="1">
        <f t="array" ref="R239">Common_InputFunctions.Utility_DisplayArrayInTable(Common_SourceData.Common_SourceData_MCFTemperatureZone_Data(),Table_SourceData_Common_MCFTemperatureZone[[#Headers],[Temperature zone]],0)</f>
        <v>4.7000000000000002E-3</v>
      </c>
      <c r="S239" s="38" cm="1">
        <f t="array" ref="S239">Common_InputFunctions.Utility_DisplayArrayInTable(Common_SourceData.Common_SourceData_MCFTemperatureZone_Data(),Table_SourceData_Common_MCFTemperatureZone[[#Headers],[Temperature zone]],0)</f>
        <v>17</v>
      </c>
    </row>
    <row r="240" spans="4:19" x14ac:dyDescent="0.25">
      <c r="D240" s="1" t="str" cm="1">
        <f t="array" ref="D240">Common_InputFunctions.Utility_DisplayArrayInTable(Common_SourceData.Common_SourceData_MCFTemperatureZone_Data(),Table_SourceData_Common_MCFTemperatureZone[[#Headers],[Temperature zone]],0)</f>
        <v>Temperate</v>
      </c>
      <c r="E240" s="38" cm="1">
        <f t="array" ref="E240">Common_InputFunctions.Utility_DisplayArrayInTable(Common_SourceData.Common_SourceData_MCFTemperatureZone_Data(),Table_SourceData_Common_MCFTemperatureZone[[#Headers],[Temperature zone]],0)</f>
        <v>18</v>
      </c>
      <c r="F240" s="38" cm="1">
        <f t="array" ref="F240">Common_InputFunctions.Utility_DisplayArrayInTable(Common_SourceData.Common_SourceData_MCFTemperatureZone_Data(),Table_SourceData_Common_MCFTemperatureZone[[#Headers],[Temperature zone]],0)</f>
        <v>0.77</v>
      </c>
      <c r="G240" s="38" cm="1">
        <f t="array" ref="G240">Common_InputFunctions.Utility_DisplayArrayInTable(Common_SourceData.Common_SourceData_MCFTemperatureZone_Data(),Table_SourceData_Common_MCFTemperatureZone[[#Headers],[Temperature zone]],0)</f>
        <v>0.1</v>
      </c>
      <c r="H240" s="38" cm="1">
        <f t="array" ref="H240">Common_InputFunctions.Utility_DisplayArrayInTable(Common_SourceData.Common_SourceData_MCFTemperatureZone_Data(),Table_SourceData_Common_MCFTemperatureZone[[#Headers],[Temperature zone]],0)</f>
        <v>0.22</v>
      </c>
      <c r="I240" s="38" cm="1">
        <f t="array" ref="I240">Common_InputFunctions.Utility_DisplayArrayInTable(Common_SourceData.Common_SourceData_MCFTemperatureZone_Data(),Table_SourceData_Common_MCFTemperatureZone[[#Headers],[Temperature zone]],0)</f>
        <v>5.0000000000000001E-3</v>
      </c>
      <c r="J240" s="38" cm="1">
        <f t="array" ref="J240">Common_InputFunctions.Utility_DisplayArrayInTable(Common_SourceData.Common_SourceData_MCFTemperatureZone_Data(),Table_SourceData_Common_MCFTemperatureZone[[#Headers],[Temperature zone]],0)</f>
        <v>0.01</v>
      </c>
      <c r="K240" s="38" cm="1">
        <f t="array" ref="K240">Common_InputFunctions.Utility_DisplayArrayInTable(Common_SourceData.Common_SourceData_MCFTemperatureZone_Data(),Table_SourceData_Common_MCFTemperatureZone[[#Headers],[Temperature zone]],0)</f>
        <v>0.02</v>
      </c>
      <c r="L240" s="38" cm="1">
        <f t="array" ref="L240">Common_InputFunctions.Utility_DisplayArrayInTable(Common_SourceData.Common_SourceData_MCFTemperatureZone_Data(),Table_SourceData_Common_MCFTemperatureZone[[#Headers],[Temperature zone]],0)</f>
        <v>0.03</v>
      </c>
      <c r="M240" s="38" cm="1">
        <f t="array" ref="M240">Common_InputFunctions.Utility_DisplayArrayInTable(Common_SourceData.Common_SourceData_MCFTemperatureZone_Data(),Table_SourceData_Common_MCFTemperatureZone[[#Headers],[Temperature zone]],0)</f>
        <v>0.04</v>
      </c>
      <c r="N240" s="38" cm="1">
        <f t="array" ref="N240">Common_InputFunctions.Utility_DisplayArrayInTable(Common_SourceData.Common_SourceData_MCFTemperatureZone_Data(),Table_SourceData_Common_MCFTemperatureZone[[#Headers],[Temperature zone]],0)</f>
        <v>1.4999999999999999E-2</v>
      </c>
      <c r="O240" s="38" cm="1">
        <f t="array" ref="O240">Common_InputFunctions.Utility_DisplayArrayInTable(Common_SourceData.Common_SourceData_MCFTemperatureZone_Data(),Table_SourceData_Common_MCFTemperatureZone[[#Headers],[Temperature zone]],0)</f>
        <v>1.4999999999999999E-2</v>
      </c>
      <c r="P240" s="38" cm="1">
        <f t="array" ref="P240">Common_InputFunctions.Utility_DisplayArrayInTable(Common_SourceData.Common_SourceData_MCFTemperatureZone_Data(),Table_SourceData_Common_MCFTemperatureZone[[#Headers],[Temperature zone]],0)</f>
        <v>0</v>
      </c>
      <c r="Q240" s="38" cm="1">
        <f t="array" ref="Q240">Common_InputFunctions.Utility_DisplayArrayInTable(Common_SourceData.Common_SourceData_MCFTemperatureZone_Data(),Table_SourceData_Common_MCFTemperatureZone[[#Headers],[Temperature zone]],0)</f>
        <v>0</v>
      </c>
      <c r="R240" s="38" cm="1">
        <f t="array" ref="R240">Common_InputFunctions.Utility_DisplayArrayInTable(Common_SourceData.Common_SourceData_MCFTemperatureZone_Data(),Table_SourceData_Common_MCFTemperatureZone[[#Headers],[Temperature zone]],0)</f>
        <v>4.7000000000000002E-3</v>
      </c>
      <c r="S240" s="38" cm="1">
        <f t="array" ref="S240">Common_InputFunctions.Utility_DisplayArrayInTable(Common_SourceData.Common_SourceData_MCFTemperatureZone_Data(),Table_SourceData_Common_MCFTemperatureZone[[#Headers],[Temperature zone]],0)</f>
        <v>18</v>
      </c>
    </row>
    <row r="241" spans="4:19" x14ac:dyDescent="0.25">
      <c r="D241" s="1" t="str" cm="1">
        <f t="array" ref="D241">Common_InputFunctions.Utility_DisplayArrayInTable(Common_SourceData.Common_SourceData_MCFTemperatureZone_Data(),Table_SourceData_Common_MCFTemperatureZone[[#Headers],[Temperature zone]],0)</f>
        <v>Temperate</v>
      </c>
      <c r="E241" s="38" cm="1">
        <f t="array" ref="E241">Common_InputFunctions.Utility_DisplayArrayInTable(Common_SourceData.Common_SourceData_MCFTemperatureZone_Data(),Table_SourceData_Common_MCFTemperatureZone[[#Headers],[Temperature zone]],0)</f>
        <v>19</v>
      </c>
      <c r="F241" s="38" cm="1">
        <f t="array" ref="F241">Common_InputFunctions.Utility_DisplayArrayInTable(Common_SourceData.Common_SourceData_MCFTemperatureZone_Data(),Table_SourceData_Common_MCFTemperatureZone[[#Headers],[Temperature zone]],0)</f>
        <v>0.77</v>
      </c>
      <c r="G241" s="38" cm="1">
        <f t="array" ref="G241">Common_InputFunctions.Utility_DisplayArrayInTable(Common_SourceData.Common_SourceData_MCFTemperatureZone_Data(),Table_SourceData_Common_MCFTemperatureZone[[#Headers],[Temperature zone]],0)</f>
        <v>0.1</v>
      </c>
      <c r="H241" s="38" cm="1">
        <f t="array" ref="H241">Common_InputFunctions.Utility_DisplayArrayInTable(Common_SourceData.Common_SourceData_MCFTemperatureZone_Data(),Table_SourceData_Common_MCFTemperatureZone[[#Headers],[Temperature zone]],0)</f>
        <v>0.24</v>
      </c>
      <c r="I241" s="38" cm="1">
        <f t="array" ref="I241">Common_InputFunctions.Utility_DisplayArrayInTable(Common_SourceData.Common_SourceData_MCFTemperatureZone_Data(),Table_SourceData_Common_MCFTemperatureZone[[#Headers],[Temperature zone]],0)</f>
        <v>5.0000000000000001E-3</v>
      </c>
      <c r="J241" s="38" cm="1">
        <f t="array" ref="J241">Common_InputFunctions.Utility_DisplayArrayInTable(Common_SourceData.Common_SourceData_MCFTemperatureZone_Data(),Table_SourceData_Common_MCFTemperatureZone[[#Headers],[Temperature zone]],0)</f>
        <v>0.01</v>
      </c>
      <c r="K241" s="38" cm="1">
        <f t="array" ref="K241">Common_InputFunctions.Utility_DisplayArrayInTable(Common_SourceData.Common_SourceData_MCFTemperatureZone_Data(),Table_SourceData_Common_MCFTemperatureZone[[#Headers],[Temperature zone]],0)</f>
        <v>0.02</v>
      </c>
      <c r="L241" s="38" cm="1">
        <f t="array" ref="L241">Common_InputFunctions.Utility_DisplayArrayInTable(Common_SourceData.Common_SourceData_MCFTemperatureZone_Data(),Table_SourceData_Common_MCFTemperatureZone[[#Headers],[Temperature zone]],0)</f>
        <v>0.03</v>
      </c>
      <c r="M241" s="38" cm="1">
        <f t="array" ref="M241">Common_InputFunctions.Utility_DisplayArrayInTable(Common_SourceData.Common_SourceData_MCFTemperatureZone_Data(),Table_SourceData_Common_MCFTemperatureZone[[#Headers],[Temperature zone]],0)</f>
        <v>0.04</v>
      </c>
      <c r="N241" s="38" cm="1">
        <f t="array" ref="N241">Common_InputFunctions.Utility_DisplayArrayInTable(Common_SourceData.Common_SourceData_MCFTemperatureZone_Data(),Table_SourceData_Common_MCFTemperatureZone[[#Headers],[Temperature zone]],0)</f>
        <v>1.4999999999999999E-2</v>
      </c>
      <c r="O241" s="38" cm="1">
        <f t="array" ref="O241">Common_InputFunctions.Utility_DisplayArrayInTable(Common_SourceData.Common_SourceData_MCFTemperatureZone_Data(),Table_SourceData_Common_MCFTemperatureZone[[#Headers],[Temperature zone]],0)</f>
        <v>1.4999999999999999E-2</v>
      </c>
      <c r="P241" s="38" cm="1">
        <f t="array" ref="P241">Common_InputFunctions.Utility_DisplayArrayInTable(Common_SourceData.Common_SourceData_MCFTemperatureZone_Data(),Table_SourceData_Common_MCFTemperatureZone[[#Headers],[Temperature zone]],0)</f>
        <v>0</v>
      </c>
      <c r="Q241" s="38" cm="1">
        <f t="array" ref="Q241">Common_InputFunctions.Utility_DisplayArrayInTable(Common_SourceData.Common_SourceData_MCFTemperatureZone_Data(),Table_SourceData_Common_MCFTemperatureZone[[#Headers],[Temperature zone]],0)</f>
        <v>0</v>
      </c>
      <c r="R241" s="38" cm="1">
        <f t="array" ref="R241">Common_InputFunctions.Utility_DisplayArrayInTable(Common_SourceData.Common_SourceData_MCFTemperatureZone_Data(),Table_SourceData_Common_MCFTemperatureZone[[#Headers],[Temperature zone]],0)</f>
        <v>4.7000000000000002E-3</v>
      </c>
      <c r="S241" s="38" cm="1">
        <f t="array" ref="S241">Common_InputFunctions.Utility_DisplayArrayInTable(Common_SourceData.Common_SourceData_MCFTemperatureZone_Data(),Table_SourceData_Common_MCFTemperatureZone[[#Headers],[Temperature zone]],0)</f>
        <v>19</v>
      </c>
    </row>
    <row r="242" spans="4:19" x14ac:dyDescent="0.25">
      <c r="D242" s="1" t="str" cm="1">
        <f t="array" ref="D242">Common_InputFunctions.Utility_DisplayArrayInTable(Common_SourceData.Common_SourceData_MCFTemperatureZone_Data(),Table_SourceData_Common_MCFTemperatureZone[[#Headers],[Temperature zone]],0)</f>
        <v>Temperate</v>
      </c>
      <c r="E242" s="38" cm="1">
        <f t="array" ref="E242">Common_InputFunctions.Utility_DisplayArrayInTable(Common_SourceData.Common_SourceData_MCFTemperatureZone_Data(),Table_SourceData_Common_MCFTemperatureZone[[#Headers],[Temperature zone]],0)</f>
        <v>20</v>
      </c>
      <c r="F242" s="38" cm="1">
        <f t="array" ref="F242">Common_InputFunctions.Utility_DisplayArrayInTable(Common_SourceData.Common_SourceData_MCFTemperatureZone_Data(),Table_SourceData_Common_MCFTemperatureZone[[#Headers],[Temperature zone]],0)</f>
        <v>0.78</v>
      </c>
      <c r="G242" s="38" cm="1">
        <f t="array" ref="G242">Common_InputFunctions.Utility_DisplayArrayInTable(Common_SourceData.Common_SourceData_MCFTemperatureZone_Data(),Table_SourceData_Common_MCFTemperatureZone[[#Headers],[Temperature zone]],0)</f>
        <v>0.1</v>
      </c>
      <c r="H242" s="38" cm="1">
        <f t="array" ref="H242">Common_InputFunctions.Utility_DisplayArrayInTable(Common_SourceData.Common_SourceData_MCFTemperatureZone_Data(),Table_SourceData_Common_MCFTemperatureZone[[#Headers],[Temperature zone]],0)</f>
        <v>0.26</v>
      </c>
      <c r="I242" s="38" cm="1">
        <f t="array" ref="I242">Common_InputFunctions.Utility_DisplayArrayInTable(Common_SourceData.Common_SourceData_MCFTemperatureZone_Data(),Table_SourceData_Common_MCFTemperatureZone[[#Headers],[Temperature zone]],0)</f>
        <v>5.0000000000000001E-3</v>
      </c>
      <c r="J242" s="38" cm="1">
        <f t="array" ref="J242">Common_InputFunctions.Utility_DisplayArrayInTable(Common_SourceData.Common_SourceData_MCFTemperatureZone_Data(),Table_SourceData_Common_MCFTemperatureZone[[#Headers],[Temperature zone]],0)</f>
        <v>0.01</v>
      </c>
      <c r="K242" s="38" cm="1">
        <f t="array" ref="K242">Common_InputFunctions.Utility_DisplayArrayInTable(Common_SourceData.Common_SourceData_MCFTemperatureZone_Data(),Table_SourceData_Common_MCFTemperatureZone[[#Headers],[Temperature zone]],0)</f>
        <v>0.02</v>
      </c>
      <c r="L242" s="38" cm="1">
        <f t="array" ref="L242">Common_InputFunctions.Utility_DisplayArrayInTable(Common_SourceData.Common_SourceData_MCFTemperatureZone_Data(),Table_SourceData_Common_MCFTemperatureZone[[#Headers],[Temperature zone]],0)</f>
        <v>0.03</v>
      </c>
      <c r="M242" s="38" cm="1">
        <f t="array" ref="M242">Common_InputFunctions.Utility_DisplayArrayInTable(Common_SourceData.Common_SourceData_MCFTemperatureZone_Data(),Table_SourceData_Common_MCFTemperatureZone[[#Headers],[Temperature zone]],0)</f>
        <v>0.04</v>
      </c>
      <c r="N242" s="38" cm="1">
        <f t="array" ref="N242">Common_InputFunctions.Utility_DisplayArrayInTable(Common_SourceData.Common_SourceData_MCFTemperatureZone_Data(),Table_SourceData_Common_MCFTemperatureZone[[#Headers],[Temperature zone]],0)</f>
        <v>1.4999999999999999E-2</v>
      </c>
      <c r="O242" s="38" cm="1">
        <f t="array" ref="O242">Common_InputFunctions.Utility_DisplayArrayInTable(Common_SourceData.Common_SourceData_MCFTemperatureZone_Data(),Table_SourceData_Common_MCFTemperatureZone[[#Headers],[Temperature zone]],0)</f>
        <v>1.4999999999999999E-2</v>
      </c>
      <c r="P242" s="38" cm="1">
        <f t="array" ref="P242">Common_InputFunctions.Utility_DisplayArrayInTable(Common_SourceData.Common_SourceData_MCFTemperatureZone_Data(),Table_SourceData_Common_MCFTemperatureZone[[#Headers],[Temperature zone]],0)</f>
        <v>0</v>
      </c>
      <c r="Q242" s="38" cm="1">
        <f t="array" ref="Q242">Common_InputFunctions.Utility_DisplayArrayInTable(Common_SourceData.Common_SourceData_MCFTemperatureZone_Data(),Table_SourceData_Common_MCFTemperatureZone[[#Headers],[Temperature zone]],0)</f>
        <v>0</v>
      </c>
      <c r="R242" s="38" cm="1">
        <f t="array" ref="R242">Common_InputFunctions.Utility_DisplayArrayInTable(Common_SourceData.Common_SourceData_MCFTemperatureZone_Data(),Table_SourceData_Common_MCFTemperatureZone[[#Headers],[Temperature zone]],0)</f>
        <v>4.7000000000000002E-3</v>
      </c>
      <c r="S242" s="38" cm="1">
        <f t="array" ref="S242">Common_InputFunctions.Utility_DisplayArrayInTable(Common_SourceData.Common_SourceData_MCFTemperatureZone_Data(),Table_SourceData_Common_MCFTemperatureZone[[#Headers],[Temperature zone]],0)</f>
        <v>20</v>
      </c>
    </row>
    <row r="243" spans="4:19" x14ac:dyDescent="0.25">
      <c r="D243" s="1" t="str" cm="1">
        <f t="array" ref="D243">Common_InputFunctions.Utility_DisplayArrayInTable(Common_SourceData.Common_SourceData_MCFTemperatureZone_Data(),Table_SourceData_Common_MCFTemperatureZone[[#Headers],[Temperature zone]],0)</f>
        <v>Temperate</v>
      </c>
      <c r="E243" s="38" cm="1">
        <f t="array" ref="E243">Common_InputFunctions.Utility_DisplayArrayInTable(Common_SourceData.Common_SourceData_MCFTemperatureZone_Data(),Table_SourceData_Common_MCFTemperatureZone[[#Headers],[Temperature zone]],0)</f>
        <v>21</v>
      </c>
      <c r="F243" s="38" cm="1">
        <f t="array" ref="F243">Common_InputFunctions.Utility_DisplayArrayInTable(Common_SourceData.Common_SourceData_MCFTemperatureZone_Data(),Table_SourceData_Common_MCFTemperatureZone[[#Headers],[Temperature zone]],0)</f>
        <v>0.78</v>
      </c>
      <c r="G243" s="38" cm="1">
        <f t="array" ref="G243">Common_InputFunctions.Utility_DisplayArrayInTable(Common_SourceData.Common_SourceData_MCFTemperatureZone_Data(),Table_SourceData_Common_MCFTemperatureZone[[#Headers],[Temperature zone]],0)</f>
        <v>0.1</v>
      </c>
      <c r="H243" s="38" cm="1">
        <f t="array" ref="H243">Common_InputFunctions.Utility_DisplayArrayInTable(Common_SourceData.Common_SourceData_MCFTemperatureZone_Data(),Table_SourceData_Common_MCFTemperatureZone[[#Headers],[Temperature zone]],0)</f>
        <v>0.28999999999999998</v>
      </c>
      <c r="I243" s="38" cm="1">
        <f t="array" ref="I243">Common_InputFunctions.Utility_DisplayArrayInTable(Common_SourceData.Common_SourceData_MCFTemperatureZone_Data(),Table_SourceData_Common_MCFTemperatureZone[[#Headers],[Temperature zone]],0)</f>
        <v>5.0000000000000001E-3</v>
      </c>
      <c r="J243" s="38" cm="1">
        <f t="array" ref="J243">Common_InputFunctions.Utility_DisplayArrayInTable(Common_SourceData.Common_SourceData_MCFTemperatureZone_Data(),Table_SourceData_Common_MCFTemperatureZone[[#Headers],[Temperature zone]],0)</f>
        <v>0.01</v>
      </c>
      <c r="K243" s="38" cm="1">
        <f t="array" ref="K243">Common_InputFunctions.Utility_DisplayArrayInTable(Common_SourceData.Common_SourceData_MCFTemperatureZone_Data(),Table_SourceData_Common_MCFTemperatureZone[[#Headers],[Temperature zone]],0)</f>
        <v>0.02</v>
      </c>
      <c r="L243" s="38" cm="1">
        <f t="array" ref="L243">Common_InputFunctions.Utility_DisplayArrayInTable(Common_SourceData.Common_SourceData_MCFTemperatureZone_Data(),Table_SourceData_Common_MCFTemperatureZone[[#Headers],[Temperature zone]],0)</f>
        <v>0.03</v>
      </c>
      <c r="M243" s="38" cm="1">
        <f t="array" ref="M243">Common_InputFunctions.Utility_DisplayArrayInTable(Common_SourceData.Common_SourceData_MCFTemperatureZone_Data(),Table_SourceData_Common_MCFTemperatureZone[[#Headers],[Temperature zone]],0)</f>
        <v>0.04</v>
      </c>
      <c r="N243" s="38" cm="1">
        <f t="array" ref="N243">Common_InputFunctions.Utility_DisplayArrayInTable(Common_SourceData.Common_SourceData_MCFTemperatureZone_Data(),Table_SourceData_Common_MCFTemperatureZone[[#Headers],[Temperature zone]],0)</f>
        <v>1.4999999999999999E-2</v>
      </c>
      <c r="O243" s="38" cm="1">
        <f t="array" ref="O243">Common_InputFunctions.Utility_DisplayArrayInTable(Common_SourceData.Common_SourceData_MCFTemperatureZone_Data(),Table_SourceData_Common_MCFTemperatureZone[[#Headers],[Temperature zone]],0)</f>
        <v>1.4999999999999999E-2</v>
      </c>
      <c r="P243" s="38" cm="1">
        <f t="array" ref="P243">Common_InputFunctions.Utility_DisplayArrayInTable(Common_SourceData.Common_SourceData_MCFTemperatureZone_Data(),Table_SourceData_Common_MCFTemperatureZone[[#Headers],[Temperature zone]],0)</f>
        <v>0</v>
      </c>
      <c r="Q243" s="38" cm="1">
        <f t="array" ref="Q243">Common_InputFunctions.Utility_DisplayArrayInTable(Common_SourceData.Common_SourceData_MCFTemperatureZone_Data(),Table_SourceData_Common_MCFTemperatureZone[[#Headers],[Temperature zone]],0)</f>
        <v>0</v>
      </c>
      <c r="R243" s="38" cm="1">
        <f t="array" ref="R243">Common_InputFunctions.Utility_DisplayArrayInTable(Common_SourceData.Common_SourceData_MCFTemperatureZone_Data(),Table_SourceData_Common_MCFTemperatureZone[[#Headers],[Temperature zone]],0)</f>
        <v>4.7000000000000002E-3</v>
      </c>
      <c r="S243" s="38" cm="1">
        <f t="array" ref="S243">Common_InputFunctions.Utility_DisplayArrayInTable(Common_SourceData.Common_SourceData_MCFTemperatureZone_Data(),Table_SourceData_Common_MCFTemperatureZone[[#Headers],[Temperature zone]],0)</f>
        <v>21</v>
      </c>
    </row>
    <row r="244" spans="4:19" x14ac:dyDescent="0.25">
      <c r="D244" s="1" t="str" cm="1">
        <f t="array" ref="D244">Common_InputFunctions.Utility_DisplayArrayInTable(Common_SourceData.Common_SourceData_MCFTemperatureZone_Data(),Table_SourceData_Common_MCFTemperatureZone[[#Headers],[Temperature zone]],0)</f>
        <v>Temperate</v>
      </c>
      <c r="E244" s="38" cm="1">
        <f t="array" ref="E244">Common_InputFunctions.Utility_DisplayArrayInTable(Common_SourceData.Common_SourceData_MCFTemperatureZone_Data(),Table_SourceData_Common_MCFTemperatureZone[[#Headers],[Temperature zone]],0)</f>
        <v>22</v>
      </c>
      <c r="F244" s="38" cm="1">
        <f t="array" ref="F244">Common_InputFunctions.Utility_DisplayArrayInTable(Common_SourceData.Common_SourceData_MCFTemperatureZone_Data(),Table_SourceData_Common_MCFTemperatureZone[[#Headers],[Temperature zone]],0)</f>
        <v>0.78</v>
      </c>
      <c r="G244" s="38" cm="1">
        <f t="array" ref="G244">Common_InputFunctions.Utility_DisplayArrayInTable(Common_SourceData.Common_SourceData_MCFTemperatureZone_Data(),Table_SourceData_Common_MCFTemperatureZone[[#Headers],[Temperature zone]],0)</f>
        <v>0.1</v>
      </c>
      <c r="H244" s="38" cm="1">
        <f t="array" ref="H244">Common_InputFunctions.Utility_DisplayArrayInTable(Common_SourceData.Common_SourceData_MCFTemperatureZone_Data(),Table_SourceData_Common_MCFTemperatureZone[[#Headers],[Temperature zone]],0)</f>
        <v>0.31</v>
      </c>
      <c r="I244" s="38" cm="1">
        <f t="array" ref="I244">Common_InputFunctions.Utility_DisplayArrayInTable(Common_SourceData.Common_SourceData_MCFTemperatureZone_Data(),Table_SourceData_Common_MCFTemperatureZone[[#Headers],[Temperature zone]],0)</f>
        <v>5.0000000000000001E-3</v>
      </c>
      <c r="J244" s="38" cm="1">
        <f t="array" ref="J244">Common_InputFunctions.Utility_DisplayArrayInTable(Common_SourceData.Common_SourceData_MCFTemperatureZone_Data(),Table_SourceData_Common_MCFTemperatureZone[[#Headers],[Temperature zone]],0)</f>
        <v>0.01</v>
      </c>
      <c r="K244" s="38" cm="1">
        <f t="array" ref="K244">Common_InputFunctions.Utility_DisplayArrayInTable(Common_SourceData.Common_SourceData_MCFTemperatureZone_Data(),Table_SourceData_Common_MCFTemperatureZone[[#Headers],[Temperature zone]],0)</f>
        <v>0.02</v>
      </c>
      <c r="L244" s="38" cm="1">
        <f t="array" ref="L244">Common_InputFunctions.Utility_DisplayArrayInTable(Common_SourceData.Common_SourceData_MCFTemperatureZone_Data(),Table_SourceData_Common_MCFTemperatureZone[[#Headers],[Temperature zone]],0)</f>
        <v>0.03</v>
      </c>
      <c r="M244" s="38" cm="1">
        <f t="array" ref="M244">Common_InputFunctions.Utility_DisplayArrayInTable(Common_SourceData.Common_SourceData_MCFTemperatureZone_Data(),Table_SourceData_Common_MCFTemperatureZone[[#Headers],[Temperature zone]],0)</f>
        <v>0.04</v>
      </c>
      <c r="N244" s="38" cm="1">
        <f t="array" ref="N244">Common_InputFunctions.Utility_DisplayArrayInTable(Common_SourceData.Common_SourceData_MCFTemperatureZone_Data(),Table_SourceData_Common_MCFTemperatureZone[[#Headers],[Temperature zone]],0)</f>
        <v>1.4999999999999999E-2</v>
      </c>
      <c r="O244" s="38" cm="1">
        <f t="array" ref="O244">Common_InputFunctions.Utility_DisplayArrayInTable(Common_SourceData.Common_SourceData_MCFTemperatureZone_Data(),Table_SourceData_Common_MCFTemperatureZone[[#Headers],[Temperature zone]],0)</f>
        <v>1.4999999999999999E-2</v>
      </c>
      <c r="P244" s="38" cm="1">
        <f t="array" ref="P244">Common_InputFunctions.Utility_DisplayArrayInTable(Common_SourceData.Common_SourceData_MCFTemperatureZone_Data(),Table_SourceData_Common_MCFTemperatureZone[[#Headers],[Temperature zone]],0)</f>
        <v>0</v>
      </c>
      <c r="Q244" s="38" cm="1">
        <f t="array" ref="Q244">Common_InputFunctions.Utility_DisplayArrayInTable(Common_SourceData.Common_SourceData_MCFTemperatureZone_Data(),Table_SourceData_Common_MCFTemperatureZone[[#Headers],[Temperature zone]],0)</f>
        <v>0</v>
      </c>
      <c r="R244" s="38" cm="1">
        <f t="array" ref="R244">Common_InputFunctions.Utility_DisplayArrayInTable(Common_SourceData.Common_SourceData_MCFTemperatureZone_Data(),Table_SourceData_Common_MCFTemperatureZone[[#Headers],[Temperature zone]],0)</f>
        <v>4.7000000000000002E-3</v>
      </c>
      <c r="S244" s="38" cm="1">
        <f t="array" ref="S244">Common_InputFunctions.Utility_DisplayArrayInTable(Common_SourceData.Common_SourceData_MCFTemperatureZone_Data(),Table_SourceData_Common_MCFTemperatureZone[[#Headers],[Temperature zone]],0)</f>
        <v>22</v>
      </c>
    </row>
    <row r="245" spans="4:19" x14ac:dyDescent="0.25">
      <c r="D245" s="1" t="str" cm="1">
        <f t="array" ref="D245">Common_InputFunctions.Utility_DisplayArrayInTable(Common_SourceData.Common_SourceData_MCFTemperatureZone_Data(),Table_SourceData_Common_MCFTemperatureZone[[#Headers],[Temperature zone]],0)</f>
        <v>Temperate</v>
      </c>
      <c r="E245" s="38" cm="1">
        <f t="array" ref="E245">Common_InputFunctions.Utility_DisplayArrayInTable(Common_SourceData.Common_SourceData_MCFTemperatureZone_Data(),Table_SourceData_Common_MCFTemperatureZone[[#Headers],[Temperature zone]],0)</f>
        <v>23</v>
      </c>
      <c r="F245" s="38" cm="1">
        <f t="array" ref="F245">Common_InputFunctions.Utility_DisplayArrayInTable(Common_SourceData.Common_SourceData_MCFTemperatureZone_Data(),Table_SourceData_Common_MCFTemperatureZone[[#Headers],[Temperature zone]],0)</f>
        <v>0.79</v>
      </c>
      <c r="G245" s="38" cm="1">
        <f t="array" ref="G245">Common_InputFunctions.Utility_DisplayArrayInTable(Common_SourceData.Common_SourceData_MCFTemperatureZone_Data(),Table_SourceData_Common_MCFTemperatureZone[[#Headers],[Temperature zone]],0)</f>
        <v>0.1</v>
      </c>
      <c r="H245" s="38" cm="1">
        <f t="array" ref="H245">Common_InputFunctions.Utility_DisplayArrayInTable(Common_SourceData.Common_SourceData_MCFTemperatureZone_Data(),Table_SourceData_Common_MCFTemperatureZone[[#Headers],[Temperature zone]],0)</f>
        <v>0.34</v>
      </c>
      <c r="I245" s="38" cm="1">
        <f t="array" ref="I245">Common_InputFunctions.Utility_DisplayArrayInTable(Common_SourceData.Common_SourceData_MCFTemperatureZone_Data(),Table_SourceData_Common_MCFTemperatureZone[[#Headers],[Temperature zone]],0)</f>
        <v>5.0000000000000001E-3</v>
      </c>
      <c r="J245" s="38" cm="1">
        <f t="array" ref="J245">Common_InputFunctions.Utility_DisplayArrayInTable(Common_SourceData.Common_SourceData_MCFTemperatureZone_Data(),Table_SourceData_Common_MCFTemperatureZone[[#Headers],[Temperature zone]],0)</f>
        <v>0.01</v>
      </c>
      <c r="K245" s="38" cm="1">
        <f t="array" ref="K245">Common_InputFunctions.Utility_DisplayArrayInTable(Common_SourceData.Common_SourceData_MCFTemperatureZone_Data(),Table_SourceData_Common_MCFTemperatureZone[[#Headers],[Temperature zone]],0)</f>
        <v>0.02</v>
      </c>
      <c r="L245" s="38" cm="1">
        <f t="array" ref="L245">Common_InputFunctions.Utility_DisplayArrayInTable(Common_SourceData.Common_SourceData_MCFTemperatureZone_Data(),Table_SourceData_Common_MCFTemperatureZone[[#Headers],[Temperature zone]],0)</f>
        <v>0.03</v>
      </c>
      <c r="M245" s="38" cm="1">
        <f t="array" ref="M245">Common_InputFunctions.Utility_DisplayArrayInTable(Common_SourceData.Common_SourceData_MCFTemperatureZone_Data(),Table_SourceData_Common_MCFTemperatureZone[[#Headers],[Temperature zone]],0)</f>
        <v>0.04</v>
      </c>
      <c r="N245" s="38" cm="1">
        <f t="array" ref="N245">Common_InputFunctions.Utility_DisplayArrayInTable(Common_SourceData.Common_SourceData_MCFTemperatureZone_Data(),Table_SourceData_Common_MCFTemperatureZone[[#Headers],[Temperature zone]],0)</f>
        <v>1.4999999999999999E-2</v>
      </c>
      <c r="O245" s="38" cm="1">
        <f t="array" ref="O245">Common_InputFunctions.Utility_DisplayArrayInTable(Common_SourceData.Common_SourceData_MCFTemperatureZone_Data(),Table_SourceData_Common_MCFTemperatureZone[[#Headers],[Temperature zone]],0)</f>
        <v>1.4999999999999999E-2</v>
      </c>
      <c r="P245" s="38" cm="1">
        <f t="array" ref="P245">Common_InputFunctions.Utility_DisplayArrayInTable(Common_SourceData.Common_SourceData_MCFTemperatureZone_Data(),Table_SourceData_Common_MCFTemperatureZone[[#Headers],[Temperature zone]],0)</f>
        <v>0</v>
      </c>
      <c r="Q245" s="38" cm="1">
        <f t="array" ref="Q245">Common_InputFunctions.Utility_DisplayArrayInTable(Common_SourceData.Common_SourceData_MCFTemperatureZone_Data(),Table_SourceData_Common_MCFTemperatureZone[[#Headers],[Temperature zone]],0)</f>
        <v>0</v>
      </c>
      <c r="R245" s="38" cm="1">
        <f t="array" ref="R245">Common_InputFunctions.Utility_DisplayArrayInTable(Common_SourceData.Common_SourceData_MCFTemperatureZone_Data(),Table_SourceData_Common_MCFTemperatureZone[[#Headers],[Temperature zone]],0)</f>
        <v>4.7000000000000002E-3</v>
      </c>
      <c r="S245" s="38" cm="1">
        <f t="array" ref="S245">Common_InputFunctions.Utility_DisplayArrayInTable(Common_SourceData.Common_SourceData_MCFTemperatureZone_Data(),Table_SourceData_Common_MCFTemperatureZone[[#Headers],[Temperature zone]],0)</f>
        <v>23</v>
      </c>
    </row>
    <row r="246" spans="4:19" x14ac:dyDescent="0.25">
      <c r="D246" s="1" t="str" cm="1">
        <f t="array" ref="D246">Common_InputFunctions.Utility_DisplayArrayInTable(Common_SourceData.Common_SourceData_MCFTemperatureZone_Data(),Table_SourceData_Common_MCFTemperatureZone[[#Headers],[Temperature zone]],0)</f>
        <v>Temperate</v>
      </c>
      <c r="E246" s="38" cm="1">
        <f t="array" ref="E246">Common_InputFunctions.Utility_DisplayArrayInTable(Common_SourceData.Common_SourceData_MCFTemperatureZone_Data(),Table_SourceData_Common_MCFTemperatureZone[[#Headers],[Temperature zone]],0)</f>
        <v>24</v>
      </c>
      <c r="F246" s="38" cm="1">
        <f t="array" ref="F246">Common_InputFunctions.Utility_DisplayArrayInTable(Common_SourceData.Common_SourceData_MCFTemperatureZone_Data(),Table_SourceData_Common_MCFTemperatureZone[[#Headers],[Temperature zone]],0)</f>
        <v>0.79</v>
      </c>
      <c r="G246" s="38" cm="1">
        <f t="array" ref="G246">Common_InputFunctions.Utility_DisplayArrayInTable(Common_SourceData.Common_SourceData_MCFTemperatureZone_Data(),Table_SourceData_Common_MCFTemperatureZone[[#Headers],[Temperature zone]],0)</f>
        <v>0.1</v>
      </c>
      <c r="H246" s="38" cm="1">
        <f t="array" ref="H246">Common_InputFunctions.Utility_DisplayArrayInTable(Common_SourceData.Common_SourceData_MCFTemperatureZone_Data(),Table_SourceData_Common_MCFTemperatureZone[[#Headers],[Temperature zone]],0)</f>
        <v>0.37</v>
      </c>
      <c r="I246" s="38" cm="1">
        <f t="array" ref="I246">Common_InputFunctions.Utility_DisplayArrayInTable(Common_SourceData.Common_SourceData_MCFTemperatureZone_Data(),Table_SourceData_Common_MCFTemperatureZone[[#Headers],[Temperature zone]],0)</f>
        <v>5.0000000000000001E-3</v>
      </c>
      <c r="J246" s="38" cm="1">
        <f t="array" ref="J246">Common_InputFunctions.Utility_DisplayArrayInTable(Common_SourceData.Common_SourceData_MCFTemperatureZone_Data(),Table_SourceData_Common_MCFTemperatureZone[[#Headers],[Temperature zone]],0)</f>
        <v>0.01</v>
      </c>
      <c r="K246" s="38" cm="1">
        <f t="array" ref="K246">Common_InputFunctions.Utility_DisplayArrayInTable(Common_SourceData.Common_SourceData_MCFTemperatureZone_Data(),Table_SourceData_Common_MCFTemperatureZone[[#Headers],[Temperature zone]],0)</f>
        <v>0.02</v>
      </c>
      <c r="L246" s="38" cm="1">
        <f t="array" ref="L246">Common_InputFunctions.Utility_DisplayArrayInTable(Common_SourceData.Common_SourceData_MCFTemperatureZone_Data(),Table_SourceData_Common_MCFTemperatureZone[[#Headers],[Temperature zone]],0)</f>
        <v>0.03</v>
      </c>
      <c r="M246" s="38" cm="1">
        <f t="array" ref="M246">Common_InputFunctions.Utility_DisplayArrayInTable(Common_SourceData.Common_SourceData_MCFTemperatureZone_Data(),Table_SourceData_Common_MCFTemperatureZone[[#Headers],[Temperature zone]],0)</f>
        <v>0.04</v>
      </c>
      <c r="N246" s="38" cm="1">
        <f t="array" ref="N246">Common_InputFunctions.Utility_DisplayArrayInTable(Common_SourceData.Common_SourceData_MCFTemperatureZone_Data(),Table_SourceData_Common_MCFTemperatureZone[[#Headers],[Temperature zone]],0)</f>
        <v>1.4999999999999999E-2</v>
      </c>
      <c r="O246" s="38" cm="1">
        <f t="array" ref="O246">Common_InputFunctions.Utility_DisplayArrayInTable(Common_SourceData.Common_SourceData_MCFTemperatureZone_Data(),Table_SourceData_Common_MCFTemperatureZone[[#Headers],[Temperature zone]],0)</f>
        <v>1.4999999999999999E-2</v>
      </c>
      <c r="P246" s="38" cm="1">
        <f t="array" ref="P246">Common_InputFunctions.Utility_DisplayArrayInTable(Common_SourceData.Common_SourceData_MCFTemperatureZone_Data(),Table_SourceData_Common_MCFTemperatureZone[[#Headers],[Temperature zone]],0)</f>
        <v>0</v>
      </c>
      <c r="Q246" s="38" cm="1">
        <f t="array" ref="Q246">Common_InputFunctions.Utility_DisplayArrayInTable(Common_SourceData.Common_SourceData_MCFTemperatureZone_Data(),Table_SourceData_Common_MCFTemperatureZone[[#Headers],[Temperature zone]],0)</f>
        <v>0</v>
      </c>
      <c r="R246" s="38" cm="1">
        <f t="array" ref="R246">Common_InputFunctions.Utility_DisplayArrayInTable(Common_SourceData.Common_SourceData_MCFTemperatureZone_Data(),Table_SourceData_Common_MCFTemperatureZone[[#Headers],[Temperature zone]],0)</f>
        <v>4.7000000000000002E-3</v>
      </c>
      <c r="S246" s="38" cm="1">
        <f t="array" ref="S246">Common_InputFunctions.Utility_DisplayArrayInTable(Common_SourceData.Common_SourceData_MCFTemperatureZone_Data(),Table_SourceData_Common_MCFTemperatureZone[[#Headers],[Temperature zone]],0)</f>
        <v>24</v>
      </c>
    </row>
    <row r="247" spans="4:19" x14ac:dyDescent="0.25">
      <c r="D247" s="1" t="str" cm="1">
        <f t="array" ref="D247">Common_InputFunctions.Utility_DisplayArrayInTable(Common_SourceData.Common_SourceData_MCFTemperatureZone_Data(),Table_SourceData_Common_MCFTemperatureZone[[#Headers],[Temperature zone]],0)</f>
        <v>Temperate</v>
      </c>
      <c r="E247" s="38" cm="1">
        <f t="array" ref="E247">Common_InputFunctions.Utility_DisplayArrayInTable(Common_SourceData.Common_SourceData_MCFTemperatureZone_Data(),Table_SourceData_Common_MCFTemperatureZone[[#Headers],[Temperature zone]],0)</f>
        <v>25</v>
      </c>
      <c r="F247" s="38" cm="1">
        <f t="array" ref="F247">Common_InputFunctions.Utility_DisplayArrayInTable(Common_SourceData.Common_SourceData_MCFTemperatureZone_Data(),Table_SourceData_Common_MCFTemperatureZone[[#Headers],[Temperature zone]],0)</f>
        <v>0.79</v>
      </c>
      <c r="G247" s="38" cm="1">
        <f t="array" ref="G247">Common_InputFunctions.Utility_DisplayArrayInTable(Common_SourceData.Common_SourceData_MCFTemperatureZone_Data(),Table_SourceData_Common_MCFTemperatureZone[[#Headers],[Temperature zone]],0)</f>
        <v>0.1</v>
      </c>
      <c r="H247" s="38" cm="1">
        <f t="array" ref="H247">Common_InputFunctions.Utility_DisplayArrayInTable(Common_SourceData.Common_SourceData_MCFTemperatureZone_Data(),Table_SourceData_Common_MCFTemperatureZone[[#Headers],[Temperature zone]],0)</f>
        <v>0.41</v>
      </c>
      <c r="I247" s="38" cm="1">
        <f t="array" ref="I247">Common_InputFunctions.Utility_DisplayArrayInTable(Common_SourceData.Common_SourceData_MCFTemperatureZone_Data(),Table_SourceData_Common_MCFTemperatureZone[[#Headers],[Temperature zone]],0)</f>
        <v>5.0000000000000001E-3</v>
      </c>
      <c r="J247" s="38" cm="1">
        <f t="array" ref="J247">Common_InputFunctions.Utility_DisplayArrayInTable(Common_SourceData.Common_SourceData_MCFTemperatureZone_Data(),Table_SourceData_Common_MCFTemperatureZone[[#Headers],[Temperature zone]],0)</f>
        <v>0.01</v>
      </c>
      <c r="K247" s="38" cm="1">
        <f t="array" ref="K247">Common_InputFunctions.Utility_DisplayArrayInTable(Common_SourceData.Common_SourceData_MCFTemperatureZone_Data(),Table_SourceData_Common_MCFTemperatureZone[[#Headers],[Temperature zone]],0)</f>
        <v>0.02</v>
      </c>
      <c r="L247" s="38" cm="1">
        <f t="array" ref="L247">Common_InputFunctions.Utility_DisplayArrayInTable(Common_SourceData.Common_SourceData_MCFTemperatureZone_Data(),Table_SourceData_Common_MCFTemperatureZone[[#Headers],[Temperature zone]],0)</f>
        <v>0.03</v>
      </c>
      <c r="M247" s="38" cm="1">
        <f t="array" ref="M247">Common_InputFunctions.Utility_DisplayArrayInTable(Common_SourceData.Common_SourceData_MCFTemperatureZone_Data(),Table_SourceData_Common_MCFTemperatureZone[[#Headers],[Temperature zone]],0)</f>
        <v>0.04</v>
      </c>
      <c r="N247" s="38" cm="1">
        <f t="array" ref="N247">Common_InputFunctions.Utility_DisplayArrayInTable(Common_SourceData.Common_SourceData_MCFTemperatureZone_Data(),Table_SourceData_Common_MCFTemperatureZone[[#Headers],[Temperature zone]],0)</f>
        <v>1.4999999999999999E-2</v>
      </c>
      <c r="O247" s="38" cm="1">
        <f t="array" ref="O247">Common_InputFunctions.Utility_DisplayArrayInTable(Common_SourceData.Common_SourceData_MCFTemperatureZone_Data(),Table_SourceData_Common_MCFTemperatureZone[[#Headers],[Temperature zone]],0)</f>
        <v>1.4999999999999999E-2</v>
      </c>
      <c r="P247" s="38" cm="1">
        <f t="array" ref="P247">Common_InputFunctions.Utility_DisplayArrayInTable(Common_SourceData.Common_SourceData_MCFTemperatureZone_Data(),Table_SourceData_Common_MCFTemperatureZone[[#Headers],[Temperature zone]],0)</f>
        <v>0</v>
      </c>
      <c r="Q247" s="38" cm="1">
        <f t="array" ref="Q247">Common_InputFunctions.Utility_DisplayArrayInTable(Common_SourceData.Common_SourceData_MCFTemperatureZone_Data(),Table_SourceData_Common_MCFTemperatureZone[[#Headers],[Temperature zone]],0)</f>
        <v>0</v>
      </c>
      <c r="R247" s="38" cm="1">
        <f t="array" ref="R247">Common_InputFunctions.Utility_DisplayArrayInTable(Common_SourceData.Common_SourceData_MCFTemperatureZone_Data(),Table_SourceData_Common_MCFTemperatureZone[[#Headers],[Temperature zone]],0)</f>
        <v>4.7000000000000002E-3</v>
      </c>
      <c r="S247" s="38" cm="1">
        <f t="array" ref="S247">Common_InputFunctions.Utility_DisplayArrayInTable(Common_SourceData.Common_SourceData_MCFTemperatureZone_Data(),Table_SourceData_Common_MCFTemperatureZone[[#Headers],[Temperature zone]],0)</f>
        <v>25</v>
      </c>
    </row>
    <row r="248" spans="4:19" x14ac:dyDescent="0.25">
      <c r="D248" s="1" t="str" cm="1">
        <f t="array" ref="D248">Common_InputFunctions.Utility_DisplayArrayInTable(Common_SourceData.Common_SourceData_MCFTemperatureZone_Data(),Table_SourceData_Common_MCFTemperatureZone[[#Headers],[Temperature zone]],0)</f>
        <v>Warm</v>
      </c>
      <c r="E248" s="38" cm="1">
        <f t="array" ref="E248">Common_InputFunctions.Utility_DisplayArrayInTable(Common_SourceData.Common_SourceData_MCFTemperatureZone_Data(),Table_SourceData_Common_MCFTemperatureZone[[#Headers],[Temperature zone]],0)</f>
        <v>26</v>
      </c>
      <c r="F248" s="38" cm="1">
        <f t="array" ref="F248">Common_InputFunctions.Utility_DisplayArrayInTable(Common_SourceData.Common_SourceData_MCFTemperatureZone_Data(),Table_SourceData_Common_MCFTemperatureZone[[#Headers],[Temperature zone]],0)</f>
        <v>0.79</v>
      </c>
      <c r="G248" s="38" cm="1">
        <f t="array" ref="G248">Common_InputFunctions.Utility_DisplayArrayInTable(Common_SourceData.Common_SourceData_MCFTemperatureZone_Data(),Table_SourceData_Common_MCFTemperatureZone[[#Headers],[Temperature zone]],0)</f>
        <v>0.1</v>
      </c>
      <c r="H248" s="38" cm="1">
        <f t="array" ref="H248">Common_InputFunctions.Utility_DisplayArrayInTable(Common_SourceData.Common_SourceData_MCFTemperatureZone_Data(),Table_SourceData_Common_MCFTemperatureZone[[#Headers],[Temperature zone]],0)</f>
        <v>0.44</v>
      </c>
      <c r="I248" s="38" cm="1">
        <f t="array" ref="I248">Common_InputFunctions.Utility_DisplayArrayInTable(Common_SourceData.Common_SourceData_MCFTemperatureZone_Data(),Table_SourceData_Common_MCFTemperatureZone[[#Headers],[Temperature zone]],0)</f>
        <v>0.01</v>
      </c>
      <c r="J248" s="38" cm="1">
        <f t="array" ref="J248">Common_InputFunctions.Utility_DisplayArrayInTable(Common_SourceData.Common_SourceData_MCFTemperatureZone_Data(),Table_SourceData_Common_MCFTemperatureZone[[#Headers],[Temperature zone]],0)</f>
        <v>1.4999999999999999E-2</v>
      </c>
      <c r="K248" s="38" cm="1">
        <f t="array" ref="K248">Common_InputFunctions.Utility_DisplayArrayInTable(Common_SourceData.Common_SourceData_MCFTemperatureZone_Data(),Table_SourceData_Common_MCFTemperatureZone[[#Headers],[Temperature zone]],0)</f>
        <v>0.02</v>
      </c>
      <c r="L248" s="38" cm="1">
        <f t="array" ref="L248">Common_InputFunctions.Utility_DisplayArrayInTable(Common_SourceData.Common_SourceData_MCFTemperatureZone_Data(),Table_SourceData_Common_MCFTemperatureZone[[#Headers],[Temperature zone]],0)</f>
        <v>0.03</v>
      </c>
      <c r="M248" s="38" cm="1">
        <f t="array" ref="M248">Common_InputFunctions.Utility_DisplayArrayInTable(Common_SourceData.Common_SourceData_MCFTemperatureZone_Data(),Table_SourceData_Common_MCFTemperatureZone[[#Headers],[Temperature zone]],0)</f>
        <v>0.04</v>
      </c>
      <c r="N248" s="38" cm="1">
        <f t="array" ref="N248">Common_InputFunctions.Utility_DisplayArrayInTable(Common_SourceData.Common_SourceData_MCFTemperatureZone_Data(),Table_SourceData_Common_MCFTemperatureZone[[#Headers],[Temperature zone]],0)</f>
        <v>1.4999999999999999E-2</v>
      </c>
      <c r="O248" s="38" cm="1">
        <f t="array" ref="O248">Common_InputFunctions.Utility_DisplayArrayInTable(Common_SourceData.Common_SourceData_MCFTemperatureZone_Data(),Table_SourceData_Common_MCFTemperatureZone[[#Headers],[Temperature zone]],0)</f>
        <v>1.4999999999999999E-2</v>
      </c>
      <c r="P248" s="38" cm="1">
        <f t="array" ref="P248">Common_InputFunctions.Utility_DisplayArrayInTable(Common_SourceData.Common_SourceData_MCFTemperatureZone_Data(),Table_SourceData_Common_MCFTemperatureZone[[#Headers],[Temperature zone]],0)</f>
        <v>0</v>
      </c>
      <c r="Q248" s="38" cm="1">
        <f t="array" ref="Q248">Common_InputFunctions.Utility_DisplayArrayInTable(Common_SourceData.Common_SourceData_MCFTemperatureZone_Data(),Table_SourceData_Common_MCFTemperatureZone[[#Headers],[Temperature zone]],0)</f>
        <v>0</v>
      </c>
      <c r="R248" s="38" cm="1">
        <f t="array" ref="R248">Common_InputFunctions.Utility_DisplayArrayInTable(Common_SourceData.Common_SourceData_MCFTemperatureZone_Data(),Table_SourceData_Common_MCFTemperatureZone[[#Headers],[Temperature zone]],0)</f>
        <v>4.7000000000000002E-3</v>
      </c>
      <c r="S248" s="38" cm="1">
        <f t="array" ref="S248">Common_InputFunctions.Utility_DisplayArrayInTable(Common_SourceData.Common_SourceData_MCFTemperatureZone_Data(),Table_SourceData_Common_MCFTemperatureZone[[#Headers],[Temperature zone]],0)</f>
        <v>26</v>
      </c>
    </row>
    <row r="249" spans="4:19" x14ac:dyDescent="0.25">
      <c r="D249" s="1" t="str" cm="1">
        <f t="array" ref="D249">Common_InputFunctions.Utility_DisplayArrayInTable(Common_SourceData.Common_SourceData_MCFTemperatureZone_Data(),Table_SourceData_Common_MCFTemperatureZone[[#Headers],[Temperature zone]],0)</f>
        <v>Warm</v>
      </c>
      <c r="E249" s="38" cm="1">
        <f t="array" ref="E249">Common_InputFunctions.Utility_DisplayArrayInTable(Common_SourceData.Common_SourceData_MCFTemperatureZone_Data(),Table_SourceData_Common_MCFTemperatureZone[[#Headers],[Temperature zone]],0)</f>
        <v>27</v>
      </c>
      <c r="F249" s="38" cm="1">
        <f t="array" ref="F249">Common_InputFunctions.Utility_DisplayArrayInTable(Common_SourceData.Common_SourceData_MCFTemperatureZone_Data(),Table_SourceData_Common_MCFTemperatureZone[[#Headers],[Temperature zone]],0)</f>
        <v>0.8</v>
      </c>
      <c r="G249" s="38" cm="1">
        <f t="array" ref="G249">Common_InputFunctions.Utility_DisplayArrayInTable(Common_SourceData.Common_SourceData_MCFTemperatureZone_Data(),Table_SourceData_Common_MCFTemperatureZone[[#Headers],[Temperature zone]],0)</f>
        <v>0.1</v>
      </c>
      <c r="H249" s="38" cm="1">
        <f t="array" ref="H249">Common_InputFunctions.Utility_DisplayArrayInTable(Common_SourceData.Common_SourceData_MCFTemperatureZone_Data(),Table_SourceData_Common_MCFTemperatureZone[[#Headers],[Temperature zone]],0)</f>
        <v>0.48</v>
      </c>
      <c r="I249" s="38" cm="1">
        <f t="array" ref="I249">Common_InputFunctions.Utility_DisplayArrayInTable(Common_SourceData.Common_SourceData_MCFTemperatureZone_Data(),Table_SourceData_Common_MCFTemperatureZone[[#Headers],[Temperature zone]],0)</f>
        <v>0.01</v>
      </c>
      <c r="J249" s="38" cm="1">
        <f t="array" ref="J249">Common_InputFunctions.Utility_DisplayArrayInTable(Common_SourceData.Common_SourceData_MCFTemperatureZone_Data(),Table_SourceData_Common_MCFTemperatureZone[[#Headers],[Temperature zone]],0)</f>
        <v>1.4999999999999999E-2</v>
      </c>
      <c r="K249" s="38" cm="1">
        <f t="array" ref="K249">Common_InputFunctions.Utility_DisplayArrayInTable(Common_SourceData.Common_SourceData_MCFTemperatureZone_Data(),Table_SourceData_Common_MCFTemperatureZone[[#Headers],[Temperature zone]],0)</f>
        <v>0.02</v>
      </c>
      <c r="L249" s="38" cm="1">
        <f t="array" ref="L249">Common_InputFunctions.Utility_DisplayArrayInTable(Common_SourceData.Common_SourceData_MCFTemperatureZone_Data(),Table_SourceData_Common_MCFTemperatureZone[[#Headers],[Temperature zone]],0)</f>
        <v>0.03</v>
      </c>
      <c r="M249" s="38" cm="1">
        <f t="array" ref="M249">Common_InputFunctions.Utility_DisplayArrayInTable(Common_SourceData.Common_SourceData_MCFTemperatureZone_Data(),Table_SourceData_Common_MCFTemperatureZone[[#Headers],[Temperature zone]],0)</f>
        <v>0.04</v>
      </c>
      <c r="N249" s="38" cm="1">
        <f t="array" ref="N249">Common_InputFunctions.Utility_DisplayArrayInTable(Common_SourceData.Common_SourceData_MCFTemperatureZone_Data(),Table_SourceData_Common_MCFTemperatureZone[[#Headers],[Temperature zone]],0)</f>
        <v>1.4999999999999999E-2</v>
      </c>
      <c r="O249" s="38" cm="1">
        <f t="array" ref="O249">Common_InputFunctions.Utility_DisplayArrayInTable(Common_SourceData.Common_SourceData_MCFTemperatureZone_Data(),Table_SourceData_Common_MCFTemperatureZone[[#Headers],[Temperature zone]],0)</f>
        <v>1.4999999999999999E-2</v>
      </c>
      <c r="P249" s="38" cm="1">
        <f t="array" ref="P249">Common_InputFunctions.Utility_DisplayArrayInTable(Common_SourceData.Common_SourceData_MCFTemperatureZone_Data(),Table_SourceData_Common_MCFTemperatureZone[[#Headers],[Temperature zone]],0)</f>
        <v>0</v>
      </c>
      <c r="Q249" s="38" cm="1">
        <f t="array" ref="Q249">Common_InputFunctions.Utility_DisplayArrayInTable(Common_SourceData.Common_SourceData_MCFTemperatureZone_Data(),Table_SourceData_Common_MCFTemperatureZone[[#Headers],[Temperature zone]],0)</f>
        <v>0</v>
      </c>
      <c r="R249" s="38" cm="1">
        <f t="array" ref="R249">Common_InputFunctions.Utility_DisplayArrayInTable(Common_SourceData.Common_SourceData_MCFTemperatureZone_Data(),Table_SourceData_Common_MCFTemperatureZone[[#Headers],[Temperature zone]],0)</f>
        <v>4.7000000000000002E-3</v>
      </c>
      <c r="S249" s="38" cm="1">
        <f t="array" ref="S249">Common_InputFunctions.Utility_DisplayArrayInTable(Common_SourceData.Common_SourceData_MCFTemperatureZone_Data(),Table_SourceData_Common_MCFTemperatureZone[[#Headers],[Temperature zone]],0)</f>
        <v>27</v>
      </c>
    </row>
    <row r="250" spans="4:19" x14ac:dyDescent="0.25">
      <c r="D250" s="1" t="str" cm="1">
        <f t="array" ref="D250">Common_InputFunctions.Utility_DisplayArrayInTable(Common_SourceData.Common_SourceData_MCFTemperatureZone_Data(),Table_SourceData_Common_MCFTemperatureZone[[#Headers],[Temperature zone]],0)</f>
        <v>Warm</v>
      </c>
      <c r="E250" s="38" t="str" cm="1">
        <f t="array" ref="E250">Common_InputFunctions.Utility_DisplayArrayInTable(Common_SourceData.Common_SourceData_MCFTemperatureZone_Data(),Table_SourceData_Common_MCFTemperatureZone[[#Headers],[Temperature zone]],0)</f>
        <v>≥28</v>
      </c>
      <c r="F250" s="38" cm="1">
        <f t="array" ref="F250">Common_InputFunctions.Utility_DisplayArrayInTable(Common_SourceData.Common_SourceData_MCFTemperatureZone_Data(),Table_SourceData_Common_MCFTemperatureZone[[#Headers],[Temperature zone]],0)</f>
        <v>0.8</v>
      </c>
      <c r="G250" s="38" cm="1">
        <f t="array" ref="G250">Common_InputFunctions.Utility_DisplayArrayInTable(Common_SourceData.Common_SourceData_MCFTemperatureZone_Data(),Table_SourceData_Common_MCFTemperatureZone[[#Headers],[Temperature zone]],0)</f>
        <v>0.1</v>
      </c>
      <c r="H250" s="38" cm="1">
        <f t="array" ref="H250">Common_InputFunctions.Utility_DisplayArrayInTable(Common_SourceData.Common_SourceData_MCFTemperatureZone_Data(),Table_SourceData_Common_MCFTemperatureZone[[#Headers],[Temperature zone]],0)</f>
        <v>0.5</v>
      </c>
      <c r="I250" s="38" cm="1">
        <f t="array" ref="I250">Common_InputFunctions.Utility_DisplayArrayInTable(Common_SourceData.Common_SourceData_MCFTemperatureZone_Data(),Table_SourceData_Common_MCFTemperatureZone[[#Headers],[Temperature zone]],0)</f>
        <v>0.01</v>
      </c>
      <c r="J250" s="38" cm="1">
        <f t="array" ref="J250">Common_InputFunctions.Utility_DisplayArrayInTable(Common_SourceData.Common_SourceData_MCFTemperatureZone_Data(),Table_SourceData_Common_MCFTemperatureZone[[#Headers],[Temperature zone]],0)</f>
        <v>1.4999999999999999E-2</v>
      </c>
      <c r="K250" s="38" cm="1">
        <f t="array" ref="K250">Common_InputFunctions.Utility_DisplayArrayInTable(Common_SourceData.Common_SourceData_MCFTemperatureZone_Data(),Table_SourceData_Common_MCFTemperatureZone[[#Headers],[Temperature zone]],0)</f>
        <v>0.02</v>
      </c>
      <c r="L250" s="38" cm="1">
        <f t="array" ref="L250">Common_InputFunctions.Utility_DisplayArrayInTable(Common_SourceData.Common_SourceData_MCFTemperatureZone_Data(),Table_SourceData_Common_MCFTemperatureZone[[#Headers],[Temperature zone]],0)</f>
        <v>0.03</v>
      </c>
      <c r="M250" s="38" cm="1">
        <f t="array" ref="M250">Common_InputFunctions.Utility_DisplayArrayInTable(Common_SourceData.Common_SourceData_MCFTemperatureZone_Data(),Table_SourceData_Common_MCFTemperatureZone[[#Headers],[Temperature zone]],0)</f>
        <v>0.04</v>
      </c>
      <c r="N250" s="38" cm="1">
        <f t="array" ref="N250">Common_InputFunctions.Utility_DisplayArrayInTable(Common_SourceData.Common_SourceData_MCFTemperatureZone_Data(),Table_SourceData_Common_MCFTemperatureZone[[#Headers],[Temperature zone]],0)</f>
        <v>1.4999999999999999E-2</v>
      </c>
      <c r="O250" s="38" cm="1">
        <f t="array" ref="O250">Common_InputFunctions.Utility_DisplayArrayInTable(Common_SourceData.Common_SourceData_MCFTemperatureZone_Data(),Table_SourceData_Common_MCFTemperatureZone[[#Headers],[Temperature zone]],0)</f>
        <v>1.4999999999999999E-2</v>
      </c>
      <c r="P250" s="38" cm="1">
        <f t="array" ref="P250">Common_InputFunctions.Utility_DisplayArrayInTable(Common_SourceData.Common_SourceData_MCFTemperatureZone_Data(),Table_SourceData_Common_MCFTemperatureZone[[#Headers],[Temperature zone]],0)</f>
        <v>0</v>
      </c>
      <c r="Q250" s="38" cm="1">
        <f t="array" ref="Q250">Common_InputFunctions.Utility_DisplayArrayInTable(Common_SourceData.Common_SourceData_MCFTemperatureZone_Data(),Table_SourceData_Common_MCFTemperatureZone[[#Headers],[Temperature zone]],0)</f>
        <v>0</v>
      </c>
      <c r="R250" s="38" cm="1">
        <f t="array" ref="R250">Common_InputFunctions.Utility_DisplayArrayInTable(Common_SourceData.Common_SourceData_MCFTemperatureZone_Data(),Table_SourceData_Common_MCFTemperatureZone[[#Headers],[Temperature zone]],0)</f>
        <v>4.7000000000000002E-3</v>
      </c>
      <c r="S250" s="38" cm="1">
        <f t="array" ref="S250">Common_InputFunctions.Utility_DisplayArrayInTable(Common_SourceData.Common_SourceData_MCFTemperatureZone_Data(),Table_SourceData_Common_MCFTemperatureZone[[#Headers],[Temperature zone]],0)</f>
        <v>28</v>
      </c>
    </row>
    <row r="253" spans="4:19" ht="23.25" x14ac:dyDescent="0.25">
      <c r="D253" s="6" t="str" cm="1">
        <f t="array" ref="D253">Common_SourceData.Common_SourceData_EFOrganicFertiliserAndCropResidues_Title()</f>
        <v>Emission factor for organic fertiliser and crop residues returned to the soil</v>
      </c>
    </row>
    <row r="254" spans="4:19" x14ac:dyDescent="0.25">
      <c r="D254" s="5" t="str" cm="1">
        <f t="array" ref="D254">Common_SourceData.Common_SourceData_EFOrganicFertiliserAndCropResidues_Source()</f>
        <v>VEERG 2026: Table A.2.1.4</v>
      </c>
    </row>
    <row r="255" spans="4:19" x14ac:dyDescent="0.25">
      <c r="D255" s="1" t="str" cm="1">
        <f t="array" ref="D255">Common_SourceData.Common_SourceData_EFOrganicFertiliserAndCropResidues_Variable()</f>
        <v>EFNi &amp; EFN2Oi</v>
      </c>
    </row>
    <row r="256" spans="4:19" x14ac:dyDescent="0.25">
      <c r="D256" s="55" t="str" cm="1">
        <f t="array" ref="D256">Common_SourceData.Common_SourceData_EFOrganicFertiliserAndCropResidues_Unit()</f>
        <v>kg N2O - N / kg N</v>
      </c>
    </row>
    <row r="257" spans="4:6" x14ac:dyDescent="0.25">
      <c r="D257" s="38" t="s">
        <v>345</v>
      </c>
      <c r="E257" s="38" t="s">
        <v>346</v>
      </c>
    </row>
    <row r="258" spans="4:6" x14ac:dyDescent="0.25">
      <c r="D258" s="38" t="str" cm="1">
        <f t="array" ref="D258">Common_InputFunctions.Utility_DisplayArrayInTable(Common_SourceData.Common_SourceData_EFOrganicFertiliserAndCropResidues_Data(), Table_SourceData_Common_EFOrganicFertCropResidues[[#Headers],[Climate Zone]], 0)</f>
        <v>Wet climate zone</v>
      </c>
      <c r="E258" s="38" cm="1">
        <f t="array" ref="E258">Common_InputFunctions.Utility_DisplayArrayInTable(Common_SourceData.Common_SourceData_EFOrganicFertiliserAndCropResidues_Data(), Table_SourceData_Common_EFOrganicFertCropResidues[[#Headers],[Climate Zone]], 0)</f>
        <v>6.0000000000000001E-3</v>
      </c>
    </row>
    <row r="259" spans="4:6" x14ac:dyDescent="0.25">
      <c r="D259" s="1" t="str" cm="1">
        <f t="array" ref="D259">Common_InputFunctions.Utility_DisplayArrayInTable(Common_SourceData.Common_SourceData_EFOrganicFertiliserAndCropResidues_Data(), Table_SourceData_Common_EFOrganicFertCropResidues[[#Headers],[Climate Zone]], 0)</f>
        <v>Dry climate zone</v>
      </c>
      <c r="E259" s="38" cm="1">
        <f t="array" ref="E259">Common_InputFunctions.Utility_DisplayArrayInTable(Common_SourceData.Common_SourceData_EFOrganicFertiliserAndCropResidues_Data(), Table_SourceData_Common_EFOrganicFertCropResidues[[#Headers],[Climate Zone]], 0)</f>
        <v>5.0000000000000001E-3</v>
      </c>
    </row>
    <row r="263" spans="4:6" ht="23.25" x14ac:dyDescent="0.25">
      <c r="D263" s="6" t="s">
        <v>358</v>
      </c>
    </row>
    <row r="264" spans="4:6" x14ac:dyDescent="0.25">
      <c r="D264" s="1" t="s">
        <v>359</v>
      </c>
    </row>
    <row r="265" spans="4:6" x14ac:dyDescent="0.25">
      <c r="D265" s="38" t="s">
        <v>360</v>
      </c>
      <c r="E265" s="38" t="s">
        <v>361</v>
      </c>
      <c r="F265" s="38" t="s">
        <v>362</v>
      </c>
    </row>
    <row r="266" spans="4:6" x14ac:dyDescent="0.25">
      <c r="D266" s="38" t="s">
        <v>363</v>
      </c>
      <c r="E266" s="38" t="s">
        <v>364</v>
      </c>
      <c r="F266" s="38">
        <v>5</v>
      </c>
    </row>
    <row r="267" spans="4:6" x14ac:dyDescent="0.25">
      <c r="D267" s="38" t="s">
        <v>365</v>
      </c>
      <c r="E267" s="38" t="s">
        <v>366</v>
      </c>
      <c r="F267" s="38">
        <v>4</v>
      </c>
    </row>
    <row r="268" spans="4:6" x14ac:dyDescent="0.25">
      <c r="D268" s="38" t="s">
        <v>367</v>
      </c>
      <c r="E268" s="38" t="s">
        <v>368</v>
      </c>
      <c r="F268" s="38">
        <v>3</v>
      </c>
    </row>
    <row r="269" spans="4:6" x14ac:dyDescent="0.25">
      <c r="D269" s="38" t="s">
        <v>369</v>
      </c>
      <c r="E269" s="38" t="s">
        <v>370</v>
      </c>
      <c r="F269" s="38">
        <v>2</v>
      </c>
    </row>
    <row r="270" spans="4:6" x14ac:dyDescent="0.25">
      <c r="D270" s="38" t="s">
        <v>371</v>
      </c>
      <c r="E270" s="38" t="s">
        <v>372</v>
      </c>
      <c r="F270" s="38">
        <v>1</v>
      </c>
    </row>
    <row r="273" spans="4:6" x14ac:dyDescent="0.25">
      <c r="D273" s="1" t="s">
        <v>373</v>
      </c>
    </row>
    <row r="274" spans="4:6" x14ac:dyDescent="0.25">
      <c r="D274" s="38" t="s">
        <v>360</v>
      </c>
      <c r="E274" s="38" t="s">
        <v>361</v>
      </c>
      <c r="F274" s="38" t="s">
        <v>362</v>
      </c>
    </row>
    <row r="275" spans="4:6" x14ac:dyDescent="0.25">
      <c r="D275" s="38" t="s">
        <v>374</v>
      </c>
      <c r="E275" s="38" t="s">
        <v>375</v>
      </c>
      <c r="F275" s="38">
        <v>5</v>
      </c>
    </row>
    <row r="276" spans="4:6" x14ac:dyDescent="0.25">
      <c r="D276" s="38" t="s">
        <v>376</v>
      </c>
      <c r="E276" s="38" t="s">
        <v>377</v>
      </c>
      <c r="F276" s="38">
        <v>4</v>
      </c>
    </row>
    <row r="277" spans="4:6" x14ac:dyDescent="0.25">
      <c r="D277" s="38" t="s">
        <v>378</v>
      </c>
      <c r="E277" s="38" t="s">
        <v>379</v>
      </c>
      <c r="F277" s="38">
        <v>3</v>
      </c>
    </row>
    <row r="278" spans="4:6" x14ac:dyDescent="0.25">
      <c r="D278" s="38" t="s">
        <v>380</v>
      </c>
      <c r="E278" s="38" t="s">
        <v>381</v>
      </c>
      <c r="F278" s="38">
        <v>2</v>
      </c>
    </row>
    <row r="279" spans="4:6" x14ac:dyDescent="0.25">
      <c r="D279" s="38" t="s">
        <v>382</v>
      </c>
      <c r="E279" s="38" t="s">
        <v>383</v>
      </c>
      <c r="F279" s="38">
        <v>1</v>
      </c>
    </row>
    <row r="282" spans="4:6" x14ac:dyDescent="0.25">
      <c r="D282" s="1" t="s">
        <v>384</v>
      </c>
    </row>
    <row r="283" spans="4:6" x14ac:dyDescent="0.25">
      <c r="D283" s="38" t="s">
        <v>360</v>
      </c>
      <c r="E283" s="38" t="s">
        <v>361</v>
      </c>
      <c r="F283" s="38" t="s">
        <v>362</v>
      </c>
    </row>
    <row r="284" spans="4:6" x14ac:dyDescent="0.25">
      <c r="D284" s="38" t="s">
        <v>385</v>
      </c>
      <c r="E284" s="38" t="s">
        <v>386</v>
      </c>
      <c r="F284" s="38">
        <v>5</v>
      </c>
    </row>
    <row r="285" spans="4:6" x14ac:dyDescent="0.25">
      <c r="D285" s="38" t="s">
        <v>387</v>
      </c>
      <c r="E285" s="38" t="s">
        <v>388</v>
      </c>
      <c r="F285" s="38">
        <v>4</v>
      </c>
    </row>
    <row r="286" spans="4:6" x14ac:dyDescent="0.25">
      <c r="D286" s="38" t="s">
        <v>389</v>
      </c>
      <c r="E286" s="38" t="s">
        <v>390</v>
      </c>
      <c r="F286" s="38">
        <v>3</v>
      </c>
    </row>
    <row r="287" spans="4:6" x14ac:dyDescent="0.25">
      <c r="D287" s="38" t="s">
        <v>391</v>
      </c>
      <c r="E287" s="38" t="s">
        <v>392</v>
      </c>
      <c r="F287" s="38">
        <v>2</v>
      </c>
    </row>
    <row r="288" spans="4:6" x14ac:dyDescent="0.25">
      <c r="D288" s="38" t="s">
        <v>393</v>
      </c>
      <c r="E288" s="38" t="s">
        <v>394</v>
      </c>
      <c r="F288" s="38">
        <v>1</v>
      </c>
    </row>
    <row r="291" spans="4:6" x14ac:dyDescent="0.25">
      <c r="D291" s="1" t="s">
        <v>395</v>
      </c>
    </row>
    <row r="292" spans="4:6" x14ac:dyDescent="0.25">
      <c r="D292" s="38" t="s">
        <v>360</v>
      </c>
      <c r="E292" s="38" t="s">
        <v>361</v>
      </c>
      <c r="F292" s="38" t="s">
        <v>362</v>
      </c>
    </row>
    <row r="293" spans="4:6" x14ac:dyDescent="0.25">
      <c r="D293" s="38" t="s">
        <v>396</v>
      </c>
      <c r="E293" s="38" t="s">
        <v>397</v>
      </c>
      <c r="F293" s="38">
        <v>5</v>
      </c>
    </row>
    <row r="294" spans="4:6" x14ac:dyDescent="0.25">
      <c r="D294" s="38" t="s">
        <v>398</v>
      </c>
      <c r="E294" s="38" t="s">
        <v>399</v>
      </c>
      <c r="F294" s="38">
        <v>4</v>
      </c>
    </row>
    <row r="295" spans="4:6" x14ac:dyDescent="0.25">
      <c r="D295" s="38" t="s">
        <v>400</v>
      </c>
      <c r="E295" s="38" t="s">
        <v>401</v>
      </c>
      <c r="F295" s="38">
        <v>3</v>
      </c>
    </row>
    <row r="296" spans="4:6" x14ac:dyDescent="0.25">
      <c r="D296" s="38" t="s">
        <v>402</v>
      </c>
      <c r="E296" s="38" t="s">
        <v>403</v>
      </c>
      <c r="F296" s="38">
        <v>2</v>
      </c>
    </row>
    <row r="297" spans="4:6" x14ac:dyDescent="0.25">
      <c r="D297" s="38" t="s">
        <v>404</v>
      </c>
      <c r="E297" s="38" t="s">
        <v>405</v>
      </c>
      <c r="F297" s="38">
        <v>1</v>
      </c>
    </row>
  </sheetData>
  <pageMargins left="0.7" right="0.7" top="0.75" bottom="0.75" header="0.3" footer="0.3"/>
  <pageSetup paperSize="9" orientation="portrait" r:id="rId1"/>
  <tableParts count="21">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 r:id="rId18"/>
    <tablePart r:id="rId19"/>
    <tablePart r:id="rId20"/>
    <tablePart r:id="rId21"/>
    <tablePart r:id="rId22"/>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0D3D89-F657-45A6-A770-73699ABB25CC}">
  <dimension ref="A1:M63"/>
  <sheetViews>
    <sheetView showGridLines="0" zoomScaleNormal="100" workbookViewId="0">
      <selection activeCell="A25" sqref="A25"/>
    </sheetView>
  </sheetViews>
  <sheetFormatPr defaultRowHeight="15.75" x14ac:dyDescent="0.25"/>
  <cols>
    <col min="1" max="1" width="30.7109375" customWidth="1"/>
    <col min="2" max="2" width="4.7109375" customWidth="1"/>
    <col min="3" max="3" width="4.7109375" style="1" customWidth="1"/>
    <col min="4" max="8" width="30.7109375" style="1" customWidth="1"/>
    <col min="9" max="9" width="30.85546875" style="1" customWidth="1"/>
    <col min="10" max="13" width="30.7109375" style="1" customWidth="1"/>
    <col min="14" max="16" width="30.7109375" customWidth="1"/>
  </cols>
  <sheetData>
    <row r="1" spans="1:13" ht="30" customHeight="1" x14ac:dyDescent="0.35">
      <c r="A1" s="66" t="e" vm="1">
        <v>#VALUE!</v>
      </c>
      <c r="C1" s="8" t="s">
        <v>73</v>
      </c>
      <c r="D1" s="8"/>
      <c r="E1" s="8"/>
      <c r="F1" s="8"/>
      <c r="G1" s="8"/>
      <c r="H1" s="8"/>
      <c r="I1" s="8"/>
      <c r="J1" s="8"/>
      <c r="K1" s="8"/>
      <c r="L1" s="8"/>
      <c r="M1" s="8"/>
    </row>
    <row r="2" spans="1:13" ht="20.100000000000001" customHeight="1" x14ac:dyDescent="0.25">
      <c r="C2" s="9"/>
      <c r="D2" s="9"/>
      <c r="E2" s="9"/>
      <c r="F2" s="9"/>
      <c r="G2" s="9"/>
      <c r="H2" s="9"/>
      <c r="I2" s="9"/>
      <c r="J2" s="9"/>
      <c r="K2" s="9"/>
      <c r="L2" s="9"/>
      <c r="M2" s="9"/>
    </row>
    <row r="3" spans="1:13" ht="20.100000000000001" customHeight="1" x14ac:dyDescent="0.25">
      <c r="A3" s="17" t="str">
        <f>HYPERLINK("#'Home'!A1", "Home")</f>
        <v>Home</v>
      </c>
      <c r="C3" s="4"/>
      <c r="D3" s="4"/>
      <c r="E3" s="4"/>
      <c r="F3" s="4"/>
      <c r="G3" s="4"/>
      <c r="H3" s="4"/>
      <c r="I3" s="4"/>
      <c r="J3" s="4"/>
      <c r="K3" s="4"/>
      <c r="L3" s="4"/>
      <c r="M3" s="4"/>
    </row>
    <row r="4" spans="1:13" ht="20.100000000000001" customHeight="1" x14ac:dyDescent="0.25">
      <c r="A4" s="17" t="str">
        <f>HYPERLINK("#'Overview'!A1", "Overview")</f>
        <v>Overview</v>
      </c>
    </row>
    <row r="5" spans="1:13" ht="20.100000000000001" customHeight="1" x14ac:dyDescent="0.25">
      <c r="A5" s="17" t="str">
        <f>HYPERLINK("#'Results'!A1", "Results")</f>
        <v>Results</v>
      </c>
    </row>
    <row r="6" spans="1:13" ht="20.100000000000001" customHeight="1" x14ac:dyDescent="0.25">
      <c r="D6" s="6" t="str" cm="1">
        <f t="array" ref="D6">CommonLivestock_SourceData.SourceData_Livestock_Common_SymbolsMMS_Title()</f>
        <v>Table 5.12 Additional symbols used in algorithms for manure related emissions</v>
      </c>
      <c r="E6" s="3"/>
      <c r="F6" s="3"/>
      <c r="G6" s="3"/>
      <c r="H6" s="3"/>
    </row>
    <row r="7" spans="1:13" ht="20.100000000000001" customHeight="1" x14ac:dyDescent="0.25">
      <c r="D7" s="3" t="str" cm="1">
        <f t="array" ref="D7">CommonLivestock_SourceData.SourceData_Livestock_Common_SymbolsMMS_Vairable()</f>
        <v>MMS</v>
      </c>
      <c r="E7" s="3"/>
      <c r="F7" s="3"/>
      <c r="G7" s="3"/>
      <c r="H7" s="3"/>
    </row>
    <row r="8" spans="1:13" ht="20.100000000000001" customHeight="1" x14ac:dyDescent="0.25">
      <c r="A8" s="19" t="s">
        <v>0</v>
      </c>
      <c r="D8" s="5" t="str" cm="1">
        <f t="array" ref="D8">CommonLivestock_SourceData.SourceData_Livestock_Common_SymbolsMMS_Source()</f>
        <v>National Inventory Report 2023 Volume 1: Table 5.12</v>
      </c>
      <c r="E8" s="3"/>
      <c r="F8" s="3"/>
      <c r="G8" s="3"/>
      <c r="H8" s="3"/>
    </row>
    <row r="9" spans="1:13" ht="20.100000000000001" customHeight="1" x14ac:dyDescent="0.25">
      <c r="A9" s="17" t="str">
        <f>HYPERLINK("#'Input - Site'!A1", "Site")</f>
        <v>Site</v>
      </c>
      <c r="D9" s="37" t="s">
        <v>74</v>
      </c>
      <c r="E9" s="38" t="s">
        <v>17</v>
      </c>
      <c r="F9" s="38" t="s">
        <v>75</v>
      </c>
      <c r="G9" s="3"/>
    </row>
    <row r="10" spans="1:13" ht="20.100000000000001" customHeight="1" x14ac:dyDescent="0.25">
      <c r="A10" s="17" t="str">
        <f>HYPERLINK("#'Input - Feedlot'!A1", "Feedlot")</f>
        <v>Feedlot</v>
      </c>
      <c r="D10" s="37" t="str" cm="1">
        <f t="array" ref="D10">Common_InputFunctions.Utility_DisplayArrayInTable(CommonLivestock_SourceData.SourceData_Livestock_Common_SymbolsMMS_Data(), Table_Data_MMSSymbols[[#Headers],[Symbol]], 0)</f>
        <v>1</v>
      </c>
      <c r="E10" s="37" t="str" cm="1">
        <f t="array" ref="E10">Common_InputFunctions.Utility_DisplayArrayInTable(CommonLivestock_SourceData.SourceData_Livestock_Common_SymbolsMMS_Data(), Table_Data_MMSSymbols[[#Headers],[Symbol]], 0)</f>
        <v>Anaerobic lagoon</v>
      </c>
      <c r="F10" s="37" t="str" cm="1">
        <f t="array" ref="F10">Common_InputFunctions.Utility_DisplayArrayInTable(CommonLivestock_SourceData.SourceData_Livestock_Common_SymbolsMMS_Data(), Table_Data_MMSSymbols[[#Headers],[Symbol]], 0)</f>
        <v>Anaerobic lagoon (m=1)</v>
      </c>
      <c r="G10" s="3"/>
    </row>
    <row r="11" spans="1:13" ht="20.100000000000001" customHeight="1" x14ac:dyDescent="0.25">
      <c r="D11" s="37" t="str" cm="1">
        <f t="array" ref="D11">Common_InputFunctions.Utility_DisplayArrayInTable(CommonLivestock_SourceData.SourceData_Livestock_Common_SymbolsMMS_Data(), Table_Data_MMSSymbols[[#Headers],[Symbol]], 0)</f>
        <v>2</v>
      </c>
      <c r="E11" s="37" t="str" cm="1">
        <f t="array" ref="E11">Common_InputFunctions.Utility_DisplayArrayInTable(CommonLivestock_SourceData.SourceData_Livestock_Common_SymbolsMMS_Data(), Table_Data_MMSSymbols[[#Headers],[Symbol]], 0)</f>
        <v>Liquid systems</v>
      </c>
      <c r="F11" s="37" t="str" cm="1">
        <f t="array" ref="F11">Common_InputFunctions.Utility_DisplayArrayInTable(CommonLivestock_SourceData.SourceData_Livestock_Common_SymbolsMMS_Data(), Table_Data_MMSSymbols[[#Headers],[Symbol]], 0)</f>
        <v>Liquid systems (m=2)</v>
      </c>
      <c r="G11" s="3"/>
    </row>
    <row r="12" spans="1:13" ht="20.100000000000001" customHeight="1" x14ac:dyDescent="0.25">
      <c r="D12" s="38" t="str" cm="1">
        <f t="array" ref="D12">Common_InputFunctions.Utility_DisplayArrayInTable(CommonLivestock_SourceData.SourceData_Livestock_Common_SymbolsMMS_Data(), Table_Data_MMSSymbols[[#Headers],[Symbol]], 0)</f>
        <v>3</v>
      </c>
      <c r="E12" s="38" t="str" cm="1">
        <f t="array" ref="E12">Common_InputFunctions.Utility_DisplayArrayInTable(CommonLivestock_SourceData.SourceData_Livestock_Common_SymbolsMMS_Data(), Table_Data_MMSSymbols[[#Headers],[Symbol]], 0)</f>
        <v>Daily spread</v>
      </c>
      <c r="F12" s="38" t="str" cm="1">
        <f t="array" ref="F12">Common_InputFunctions.Utility_DisplayArrayInTable(CommonLivestock_SourceData.SourceData_Livestock_Common_SymbolsMMS_Data(), Table_Data_MMSSymbols[[#Headers],[Symbol]], 0)</f>
        <v>Daily spread (m=3)</v>
      </c>
      <c r="G12" s="3"/>
    </row>
    <row r="13" spans="1:13" ht="20.100000000000001" customHeight="1" x14ac:dyDescent="0.25">
      <c r="A13" s="18" t="s">
        <v>71</v>
      </c>
      <c r="D13" s="38" t="str" cm="1">
        <f t="array" ref="D13">Common_InputFunctions.Utility_DisplayArrayInTable(CommonLivestock_SourceData.SourceData_Livestock_Common_SymbolsMMS_Data(), Table_Data_MMSSymbols[[#Headers],[Symbol]], 0)</f>
        <v>3a</v>
      </c>
      <c r="E13" s="38" t="str" cm="1">
        <f t="array" ref="E13">Common_InputFunctions.Utility_DisplayArrayInTable(CommonLivestock_SourceData.SourceData_Livestock_Common_SymbolsMMS_Data(), Table_Data_MMSSymbols[[#Headers],[Symbol]], 0)</f>
        <v>Sump and dispersal system</v>
      </c>
      <c r="F13" s="38" t="str" cm="1">
        <f t="array" ref="F13">Common_InputFunctions.Utility_DisplayArrayInTable(CommonLivestock_SourceData.SourceData_Livestock_Common_SymbolsMMS_Data(), Table_Data_MMSSymbols[[#Headers],[Symbol]], 0)</f>
        <v>Sump and dispersal system (m=3a)</v>
      </c>
      <c r="G13" s="3"/>
    </row>
    <row r="14" spans="1:13" ht="20.100000000000001" customHeight="1" x14ac:dyDescent="0.25">
      <c r="A14" s="17" t="str">
        <f>HYPERLINK("#'4.1.1.1-2 Methane'!A1", "4.1.1.1-2 Methane")</f>
        <v>4.1.1.1-2 Methane</v>
      </c>
      <c r="D14" s="38" t="str" cm="1">
        <f t="array" ref="D14">Common_InputFunctions.Utility_DisplayArrayInTable(CommonLivestock_SourceData.SourceData_Livestock_Common_SymbolsMMS_Data(), Table_Data_MMSSymbols[[#Headers],[Symbol]], 0)</f>
        <v>3b</v>
      </c>
      <c r="E14" s="38" t="str" cm="1">
        <f t="array" ref="E14">Common_InputFunctions.Utility_DisplayArrayInTable(CommonLivestock_SourceData.SourceData_Livestock_Common_SymbolsMMS_Data(), Table_Data_MMSSymbols[[#Headers],[Symbol]], 0)</f>
        <v>Drains to paddock</v>
      </c>
      <c r="F14" s="38" t="str" cm="1">
        <f t="array" ref="F14">Common_InputFunctions.Utility_DisplayArrayInTable(CommonLivestock_SourceData.SourceData_Livestock_Common_SymbolsMMS_Data(), Table_Data_MMSSymbols[[#Headers],[Symbol]], 0)</f>
        <v>Drains to paddock (m=3b)</v>
      </c>
      <c r="G14" s="3"/>
    </row>
    <row r="15" spans="1:13" ht="20.100000000000001" customHeight="1" x14ac:dyDescent="0.25">
      <c r="A15" s="17" t="str">
        <f>HYPERLINK("#'4.1.1.3-4 Direct N20'!A1", "4.1.1.3-4 Direct N20")</f>
        <v>4.1.1.3-4 Direct N20</v>
      </c>
      <c r="D15" s="38" t="str" cm="1">
        <f t="array" ref="D15">Common_InputFunctions.Utility_DisplayArrayInTable(CommonLivestock_SourceData.SourceData_Livestock_Common_SymbolsMMS_Data(), Table_Data_MMSSymbols[[#Headers],[Symbol]], 0)</f>
        <v>4</v>
      </c>
      <c r="E15" s="38" t="str" cm="1">
        <f t="array" ref="E15">Common_InputFunctions.Utility_DisplayArrayInTable(CommonLivestock_SourceData.SourceData_Livestock_Common_SymbolsMMS_Data(), Table_Data_MMSSymbols[[#Headers],[Symbol]], 0)</f>
        <v>Solid storage</v>
      </c>
      <c r="F15" s="38" t="str" cm="1">
        <f t="array" ref="F15">Common_InputFunctions.Utility_DisplayArrayInTable(CommonLivestock_SourceData.SourceData_Livestock_Common_SymbolsMMS_Data(), Table_Data_MMSSymbols[[#Headers],[Symbol]], 0)</f>
        <v>Solid storage (m=4)</v>
      </c>
      <c r="G15" s="3"/>
    </row>
    <row r="16" spans="1:13" ht="20.100000000000001" customHeight="1" x14ac:dyDescent="0.25">
      <c r="A16" s="17" t="str">
        <f>HYPERLINK("#'4.1.1.5-6 Atmos Deposition'!A1", "4.1.1.5-6 Atmos Deposition")</f>
        <v>4.1.1.5-6 Atmos Deposition</v>
      </c>
      <c r="D16" s="38" t="str" cm="1">
        <f t="array" ref="D16">Common_InputFunctions.Utility_DisplayArrayInTable(CommonLivestock_SourceData.SourceData_Livestock_Common_SymbolsMMS_Data(), Table_Data_MMSSymbols[[#Headers],[Symbol]], 0)</f>
        <v>5</v>
      </c>
      <c r="E16" s="38" t="str" cm="1">
        <f t="array" ref="E16">Common_InputFunctions.Utility_DisplayArrayInTable(CommonLivestock_SourceData.SourceData_Livestock_Common_SymbolsMMS_Data(), Table_Data_MMSSymbols[[#Headers],[Symbol]], 0)</f>
        <v>Drylot (feed pad)</v>
      </c>
      <c r="F16" s="38" t="str" cm="1">
        <f t="array" ref="F16">Common_InputFunctions.Utility_DisplayArrayInTable(CommonLivestock_SourceData.SourceData_Livestock_Common_SymbolsMMS_Data(), Table_Data_MMSSymbols[[#Headers],[Symbol]], 0)</f>
        <v>Drylot (feed pad) (m=5)</v>
      </c>
      <c r="G16" s="3"/>
    </row>
    <row r="17" spans="1:8" ht="20.100000000000001" customHeight="1" x14ac:dyDescent="0.25">
      <c r="A17" s="17" t="str">
        <f>HYPERLINK("#'4.1.1.9 Manure applied to soils'!A1", "4.1.1.9 Manure applied to soils")</f>
        <v>4.1.1.9 Manure applied to soils</v>
      </c>
      <c r="D17" s="38" t="str" cm="1">
        <f t="array" ref="D17">Common_InputFunctions.Utility_DisplayArrayInTable(CommonLivestock_SourceData.SourceData_Livestock_Common_SymbolsMMS_Data(), Table_Data_MMSSymbols[[#Headers],[Symbol]], 0)</f>
        <v>6</v>
      </c>
      <c r="E17" s="38" t="str" cm="1">
        <f t="array" ref="E17">Common_InputFunctions.Utility_DisplayArrayInTable(CommonLivestock_SourceData.SourceData_Livestock_Common_SymbolsMMS_Data(), Table_Data_MMSSymbols[[#Headers],[Symbol]], 0)</f>
        <v>Composting (passive windrow)</v>
      </c>
      <c r="F17" s="38" t="str" cm="1">
        <f t="array" ref="F17">Common_InputFunctions.Utility_DisplayArrayInTable(CommonLivestock_SourceData.SourceData_Livestock_Common_SymbolsMMS_Data(), Table_Data_MMSSymbols[[#Headers],[Symbol]], 0)</f>
        <v>Composting (passive windrow) (m=6)</v>
      </c>
      <c r="G17" s="3"/>
    </row>
    <row r="18" spans="1:8" ht="20.100000000000001" customHeight="1" x14ac:dyDescent="0.25">
      <c r="D18" s="38" t="str" cm="1">
        <f t="array" ref="D18">Common_InputFunctions.Utility_DisplayArrayInTable(CommonLivestock_SourceData.SourceData_Livestock_Common_SymbolsMMS_Data(), Table_Data_MMSSymbols[[#Headers],[Symbol]], 0)</f>
        <v>7</v>
      </c>
      <c r="E18" s="38" t="str" cm="1">
        <f t="array" ref="E18">Common_InputFunctions.Utility_DisplayArrayInTable(CommonLivestock_SourceData.SourceData_Livestock_Common_SymbolsMMS_Data(), Table_Data_MMSSymbols[[#Headers],[Symbol]], 0)</f>
        <v>Digester / covered lagoons</v>
      </c>
      <c r="F18" s="38" t="str" cm="1">
        <f t="array" ref="F18">Common_InputFunctions.Utility_DisplayArrayInTable(CommonLivestock_SourceData.SourceData_Livestock_Common_SymbolsMMS_Data(), Table_Data_MMSSymbols[[#Headers],[Symbol]], 0)</f>
        <v>Digester / covered lagoons (m=7)</v>
      </c>
      <c r="G18" s="3"/>
    </row>
    <row r="19" spans="1:8" ht="20.100000000000001" customHeight="1" x14ac:dyDescent="0.25">
      <c r="D19" s="38" t="str" cm="1">
        <f t="array" ref="D19">Common_InputFunctions.Utility_DisplayArrayInTable(CommonLivestock_SourceData.SourceData_Livestock_Common_SymbolsMMS_Data(), Table_Data_MMSSymbols[[#Headers],[Symbol]], 0)</f>
        <v>8</v>
      </c>
      <c r="E19" s="38" t="str" cm="1">
        <f t="array" ref="E19">Common_InputFunctions.Utility_DisplayArrayInTable(CommonLivestock_SourceData.SourceData_Livestock_Common_SymbolsMMS_Data(), Table_Data_MMSSymbols[[#Headers],[Symbol]], 0)</f>
        <v>Deep litter</v>
      </c>
      <c r="F19" s="38" t="str" cm="1">
        <f t="array" ref="F19">Common_InputFunctions.Utility_DisplayArrayInTable(CommonLivestock_SourceData.SourceData_Livestock_Common_SymbolsMMS_Data(), Table_Data_MMSSymbols[[#Headers],[Symbol]], 0)</f>
        <v>Deep litter (m=8)</v>
      </c>
      <c r="G19" s="3"/>
    </row>
    <row r="20" spans="1:8" ht="20.100000000000001" customHeight="1" x14ac:dyDescent="0.25">
      <c r="A20" s="145" t="s">
        <v>1</v>
      </c>
      <c r="D20" s="38" t="str" cm="1">
        <f t="array" ref="D20">Common_InputFunctions.Utility_DisplayArrayInTable(CommonLivestock_SourceData.SourceData_Livestock_Common_SymbolsMMS_Data(), Table_Data_MMSSymbols[[#Headers],[Symbol]], 0)</f>
        <v>9</v>
      </c>
      <c r="E20" s="38" t="str" cm="1">
        <f t="array" ref="E20">Common_InputFunctions.Utility_DisplayArrayInTable(CommonLivestock_SourceData.SourceData_Livestock_Common_SymbolsMMS_Data(), Table_Data_MMSSymbols[[#Headers],[Symbol]], 0)</f>
        <v>Pit storage</v>
      </c>
      <c r="F20" s="38" t="str" cm="1">
        <f t="array" ref="F20">Common_InputFunctions.Utility_DisplayArrayInTable(CommonLivestock_SourceData.SourceData_Livestock_Common_SymbolsMMS_Data(), Table_Data_MMSSymbols[[#Headers],[Symbol]], 0)</f>
        <v>Pit storage (m=9)</v>
      </c>
      <c r="G20" s="3"/>
    </row>
    <row r="21" spans="1:8" ht="20.100000000000001" customHeight="1" x14ac:dyDescent="0.25">
      <c r="A21" s="17" t="str">
        <f>HYPERLINK("#'Constants - Feedlot'!A1", "Constants - Feedlot")</f>
        <v>Constants - Feedlot</v>
      </c>
      <c r="D21" s="38" t="str" cm="1">
        <f t="array" ref="D21">Common_InputFunctions.Utility_DisplayArrayInTable(CommonLivestock_SourceData.SourceData_Livestock_Common_SymbolsMMS_Data(), Table_Data_MMSSymbols[[#Headers],[Symbol]], 0)</f>
        <v>10</v>
      </c>
      <c r="E21" s="38" t="str" cm="1">
        <f t="array" ref="E21">Common_InputFunctions.Utility_DisplayArrayInTable(CommonLivestock_SourceData.SourceData_Livestock_Common_SymbolsMMS_Data(), Table_Data_MMSSymbols[[#Headers],[Symbol]], 0)</f>
        <v>Poultry manure with bedding</v>
      </c>
      <c r="F21" s="38" t="str" cm="1">
        <f t="array" ref="F21">Common_InputFunctions.Utility_DisplayArrayInTable(CommonLivestock_SourceData.SourceData_Livestock_Common_SymbolsMMS_Data(), Table_Data_MMSSymbols[[#Headers],[Symbol]], 0)</f>
        <v>Poultry manure with bedding (m=10)</v>
      </c>
      <c r="G21" s="3"/>
    </row>
    <row r="22" spans="1:8" ht="20.100000000000001" customHeight="1" x14ac:dyDescent="0.25">
      <c r="A22" s="17" t="str">
        <f>HYPERLINK("#'Constants - Common'!A1", "Constants - Common")</f>
        <v>Constants - Common</v>
      </c>
      <c r="D22" s="38" t="str" cm="1">
        <f t="array" ref="D22">Common_InputFunctions.Utility_DisplayArrayInTable(CommonLivestock_SourceData.SourceData_Livestock_Common_SymbolsMMS_Data(), Table_Data_MMSSymbols[[#Headers],[Symbol]], 0)</f>
        <v>11</v>
      </c>
      <c r="E22" s="38" t="str" cm="1">
        <f t="array" ref="E22">Common_InputFunctions.Utility_DisplayArrayInTable(CommonLivestock_SourceData.SourceData_Livestock_Common_SymbolsMMS_Data(), Table_Data_MMSSymbols[[#Headers],[Symbol]], 0)</f>
        <v>Poultry manure without bedding</v>
      </c>
      <c r="F22" s="38" t="str" cm="1">
        <f t="array" ref="F22">Common_InputFunctions.Utility_DisplayArrayInTable(CommonLivestock_SourceData.SourceData_Livestock_Common_SymbolsMMS_Data(), Table_Data_MMSSymbols[[#Headers],[Symbol]], 0)</f>
        <v>Poultry manure without bedding (m=11)</v>
      </c>
      <c r="G22" s="3"/>
    </row>
    <row r="23" spans="1:8" ht="20.100000000000001" customHeight="1" x14ac:dyDescent="0.25">
      <c r="A23" s="67" t="str">
        <f>HYPERLINK("#'Constants - Livestock'!A1", "Constants - Livestock")</f>
        <v>Constants - Livestock</v>
      </c>
      <c r="D23" s="38" t="str" cm="1">
        <f t="array" ref="D23">Common_InputFunctions.Utility_DisplayArrayInTable(CommonLivestock_SourceData.SourceData_Livestock_Common_SymbolsMMS_Data(), Table_Data_MMSSymbols[[#Headers],[Symbol]], 0)</f>
        <v>11a</v>
      </c>
      <c r="E23" s="38" t="str" cm="1">
        <f t="array" ref="E23">Common_InputFunctions.Utility_DisplayArrayInTable(CommonLivestock_SourceData.SourceData_Livestock_Common_SymbolsMMS_Data(), Table_Data_MMSSymbols[[#Headers],[Symbol]], 0)</f>
        <v>Belt manure removal</v>
      </c>
      <c r="F23" s="38" t="str" cm="1">
        <f t="array" ref="F23">Common_InputFunctions.Utility_DisplayArrayInTable(CommonLivestock_SourceData.SourceData_Livestock_Common_SymbolsMMS_Data(), Table_Data_MMSSymbols[[#Headers],[Symbol]], 0)</f>
        <v>Belt manure removal (m=11a)</v>
      </c>
      <c r="G23" s="3"/>
    </row>
    <row r="24" spans="1:8" ht="20.100000000000001" customHeight="1" x14ac:dyDescent="0.25">
      <c r="A24" s="17" t="str">
        <f>HYPERLINK("#'Acknowledgements'!A1", "Acknowledgements")</f>
        <v>Acknowledgements</v>
      </c>
      <c r="D24" s="38" t="str" cm="1">
        <f t="array" ref="D24">Common_InputFunctions.Utility_DisplayArrayInTable(CommonLivestock_SourceData.SourceData_Livestock_Common_SymbolsMMS_Data(), Table_Data_MMSSymbols[[#Headers],[Symbol]], 0)</f>
        <v>11b</v>
      </c>
      <c r="E24" s="38" t="str" cm="1">
        <f t="array" ref="E24">Common_InputFunctions.Utility_DisplayArrayInTable(CommonLivestock_SourceData.SourceData_Livestock_Common_SymbolsMMS_Data(), Table_Data_MMSSymbols[[#Headers],[Symbol]], 0)</f>
        <v>Manure stored in house</v>
      </c>
      <c r="F24" s="38" t="str" cm="1">
        <f t="array" ref="F24">Common_InputFunctions.Utility_DisplayArrayInTable(CommonLivestock_SourceData.SourceData_Livestock_Common_SymbolsMMS_Data(), Table_Data_MMSSymbols[[#Headers],[Symbol]], 0)</f>
        <v>Manure stored in house (m=11b)</v>
      </c>
      <c r="G24" s="3"/>
    </row>
    <row r="25" spans="1:8" ht="20.100000000000001" customHeight="1" x14ac:dyDescent="0.25">
      <c r="A25" s="17" t="str">
        <f>HYPERLINK("#'Tab template'!A1", "Tab template")</f>
        <v>Tab template</v>
      </c>
      <c r="D25" s="38" t="str" cm="1">
        <f t="array" ref="D25">Common_InputFunctions.Utility_DisplayArrayInTable(CommonLivestock_SourceData.SourceData_Livestock_Common_SymbolsMMS_Data(), Table_Data_MMSSymbols[[#Headers],[Symbol]], 0)</f>
        <v>12</v>
      </c>
      <c r="E25" s="38" t="str" cm="1">
        <f t="array" ref="E25">Common_InputFunctions.Utility_DisplayArrayInTable(CommonLivestock_SourceData.SourceData_Livestock_Common_SymbolsMMS_Data(), Table_Data_MMSSymbols[[#Headers],[Symbol]], 0)</f>
        <v>Direct processing</v>
      </c>
      <c r="F25" s="38" t="str" cm="1">
        <f t="array" ref="F25">Common_InputFunctions.Utility_DisplayArrayInTable(CommonLivestock_SourceData.SourceData_Livestock_Common_SymbolsMMS_Data(), Table_Data_MMSSymbols[[#Headers],[Symbol]], 0)</f>
        <v>Direct processing (m=12)</v>
      </c>
      <c r="G25" s="3"/>
    </row>
    <row r="26" spans="1:8" ht="20.100000000000001" customHeight="1" x14ac:dyDescent="0.25">
      <c r="D26" s="38" t="str" cm="1">
        <f t="array" ref="D26">Common_InputFunctions.Utility_DisplayArrayInTable(CommonLivestock_SourceData.SourceData_Livestock_Common_SymbolsMMS_Data(), Table_Data_MMSSymbols[[#Headers],[Symbol]], 0)</f>
        <v>13</v>
      </c>
      <c r="E26" s="38" t="str" cm="1">
        <f t="array" ref="E26">Common_InputFunctions.Utility_DisplayArrayInTable(CommonLivestock_SourceData.SourceData_Livestock_Common_SymbolsMMS_Data(), Table_Data_MMSSymbols[[#Headers],[Symbol]], 0)</f>
        <v>Direct application</v>
      </c>
      <c r="F26" s="38" t="str" cm="1">
        <f t="array" ref="F26">Common_InputFunctions.Utility_DisplayArrayInTable(CommonLivestock_SourceData.SourceData_Livestock_Common_SymbolsMMS_Data(), Table_Data_MMSSymbols[[#Headers],[Symbol]], 0)</f>
        <v>Direct application (m=13)</v>
      </c>
      <c r="G26" s="3"/>
    </row>
    <row r="27" spans="1:8" ht="20.100000000000001" customHeight="1" x14ac:dyDescent="0.25">
      <c r="D27" s="38" t="str" cm="1">
        <f t="array" ref="D27">Common_InputFunctions.Utility_DisplayArrayInTable(CommonLivestock_SourceData.SourceData_Livestock_Common_SymbolsMMS_Data(), Table_Data_MMSSymbols[[#Headers],[Symbol]], 0)</f>
        <v>14</v>
      </c>
      <c r="E27" s="38" t="str" cm="1">
        <f t="array" ref="E27">Common_InputFunctions.Utility_DisplayArrayInTable(CommonLivestock_SourceData.SourceData_Livestock_Common_SymbolsMMS_Data(), Table_Data_MMSSymbols[[#Headers],[Symbol]], 0)</f>
        <v>Pasture range and paddock</v>
      </c>
      <c r="F27" s="38" t="str" cm="1">
        <f t="array" ref="F27">Common_InputFunctions.Utility_DisplayArrayInTable(CommonLivestock_SourceData.SourceData_Livestock_Common_SymbolsMMS_Data(), Table_Data_MMSSymbols[[#Headers],[Symbol]], 0)</f>
        <v>Pasture range and paddock (m=14)</v>
      </c>
      <c r="G27" s="3"/>
    </row>
    <row r="28" spans="1:8" ht="20.100000000000001" customHeight="1" x14ac:dyDescent="0.25">
      <c r="G28" s="3"/>
      <c r="H28" s="3"/>
    </row>
    <row r="29" spans="1:8" ht="20.100000000000001" customHeight="1" x14ac:dyDescent="0.25"/>
    <row r="30" spans="1:8" ht="20.100000000000001" customHeight="1" x14ac:dyDescent="0.25"/>
    <row r="31" spans="1:8" ht="20.100000000000001" customHeight="1" x14ac:dyDescent="0.25"/>
    <row r="32" spans="1:8" ht="20.100000000000001" customHeight="1" x14ac:dyDescent="0.25"/>
    <row r="33" ht="20.100000000000001" customHeight="1" x14ac:dyDescent="0.25"/>
    <row r="34" ht="20.100000000000001" customHeight="1" x14ac:dyDescent="0.25"/>
    <row r="35" ht="20.100000000000001" customHeight="1" x14ac:dyDescent="0.25"/>
    <row r="36" ht="20.100000000000001" customHeight="1" x14ac:dyDescent="0.25"/>
    <row r="37" ht="20.100000000000001" customHeight="1" x14ac:dyDescent="0.25"/>
    <row r="38" ht="20.100000000000001" customHeight="1" x14ac:dyDescent="0.25"/>
    <row r="39" ht="20.100000000000001" customHeight="1" x14ac:dyDescent="0.25"/>
    <row r="40" ht="20.100000000000001" customHeight="1" x14ac:dyDescent="0.25"/>
    <row r="41" ht="20.100000000000001" customHeight="1" x14ac:dyDescent="0.25"/>
    <row r="42" ht="20.100000000000001" customHeight="1" x14ac:dyDescent="0.25"/>
    <row r="43" ht="20.100000000000001" customHeight="1" x14ac:dyDescent="0.25"/>
    <row r="44" ht="20.100000000000001" customHeight="1" x14ac:dyDescent="0.25"/>
    <row r="45" ht="20.100000000000001" customHeight="1" x14ac:dyDescent="0.25"/>
    <row r="46" ht="20.100000000000001" customHeight="1" x14ac:dyDescent="0.25"/>
    <row r="47" ht="20.100000000000001" customHeight="1" x14ac:dyDescent="0.25"/>
    <row r="48" ht="20.100000000000001" customHeight="1" x14ac:dyDescent="0.25"/>
    <row r="49" ht="20.100000000000001" customHeight="1" x14ac:dyDescent="0.25"/>
    <row r="50" ht="20.100000000000001" customHeight="1" x14ac:dyDescent="0.25"/>
    <row r="51" ht="20.100000000000001" customHeight="1" x14ac:dyDescent="0.25"/>
    <row r="52" ht="20.100000000000001" customHeight="1" x14ac:dyDescent="0.25"/>
    <row r="53" ht="20.100000000000001" customHeight="1" x14ac:dyDescent="0.25"/>
    <row r="54" ht="20.100000000000001" customHeight="1" x14ac:dyDescent="0.25"/>
    <row r="55" ht="20.100000000000001" customHeight="1" x14ac:dyDescent="0.25"/>
    <row r="56" ht="20.100000000000001" customHeight="1" x14ac:dyDescent="0.25"/>
    <row r="57" ht="20.100000000000001" customHeight="1" x14ac:dyDescent="0.25"/>
    <row r="58" ht="20.100000000000001" customHeight="1" x14ac:dyDescent="0.25"/>
    <row r="59" ht="20.100000000000001" customHeight="1" x14ac:dyDescent="0.25"/>
    <row r="60" ht="20.100000000000001" customHeight="1" x14ac:dyDescent="0.25"/>
    <row r="61" ht="20.100000000000001" customHeight="1" x14ac:dyDescent="0.25"/>
    <row r="62" ht="20.100000000000001" customHeight="1" x14ac:dyDescent="0.25"/>
    <row r="63" ht="20.100000000000001" customHeight="1" x14ac:dyDescent="0.25"/>
  </sheetData>
  <pageMargins left="0.7" right="0.7" top="0.75" bottom="0.75" header="0.3" footer="0.3"/>
  <pageSetup paperSize="9" orientation="portrait" r:id="rId1"/>
  <tableParts count="1">
    <tablePart r:id="rId2"/>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87A9DA-7B49-4536-9AC1-4BDE2DD493BF}">
  <dimension ref="A1:A8"/>
  <sheetViews>
    <sheetView zoomScaleNormal="100" workbookViewId="0">
      <selection activeCell="A25" sqref="A25"/>
    </sheetView>
  </sheetViews>
  <sheetFormatPr defaultRowHeight="15" x14ac:dyDescent="0.25"/>
  <sheetData>
    <row r="1" spans="1:1" x14ac:dyDescent="0.25">
      <c r="A1" t="s">
        <v>406</v>
      </c>
    </row>
    <row r="3" spans="1:1" ht="15.75" x14ac:dyDescent="0.25">
      <c r="A3" s="17" t="str">
        <f>HYPERLINK("#'Home'!A1", "Home")</f>
        <v>Home</v>
      </c>
    </row>
    <row r="6" spans="1:1" x14ac:dyDescent="0.25">
      <c r="A6" s="145" t="s">
        <v>1</v>
      </c>
    </row>
    <row r="7" spans="1:1" ht="15.75" x14ac:dyDescent="0.25">
      <c r="A7" s="17" t="str">
        <f>HYPERLINK("#'Constants - Common'!A1", "Constants - Common")</f>
        <v>Constants - Common</v>
      </c>
    </row>
    <row r="8" spans="1:1" ht="15.75" x14ac:dyDescent="0.25">
      <c r="A8" s="67" t="str">
        <f>HYPERLINK("#'Acknowledgements'!A1", "Acknowledgements")</f>
        <v>Acknowledgements</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883A6B-B8DF-40B8-B36B-2098F8DD980B}">
  <dimension ref="A1:U165"/>
  <sheetViews>
    <sheetView showGridLines="0" topLeftCell="A2" zoomScaleNormal="100" workbookViewId="0">
      <selection activeCell="A25" sqref="A25"/>
    </sheetView>
  </sheetViews>
  <sheetFormatPr defaultRowHeight="15.75" x14ac:dyDescent="0.25"/>
  <cols>
    <col min="1" max="1" width="30.7109375" customWidth="1"/>
    <col min="2" max="2" width="4.7109375" customWidth="1"/>
    <col min="3" max="3" width="4.7109375" style="1" customWidth="1"/>
    <col min="4" max="11" width="30.7109375" style="1" customWidth="1"/>
    <col min="12" max="12" width="4.7109375" style="1" customWidth="1"/>
    <col min="13" max="13" width="4.7109375" customWidth="1"/>
    <col min="14" max="14" width="4.7109375" style="1" customWidth="1"/>
    <col min="15" max="20" width="30.7109375" style="1" customWidth="1"/>
    <col min="21" max="21" width="4.7109375" style="1" customWidth="1"/>
  </cols>
  <sheetData>
    <row r="1" spans="1:21" s="8" customFormat="1" ht="30" customHeight="1" x14ac:dyDescent="0.35">
      <c r="A1" s="66" t="e" vm="1">
        <v>#VALUE!</v>
      </c>
    </row>
    <row r="2" spans="1:21" s="9" customFormat="1" ht="20.100000000000001" customHeight="1" x14ac:dyDescent="0.25">
      <c r="A2"/>
    </row>
    <row r="3" spans="1:21" ht="20.100000000000001" customHeight="1" x14ac:dyDescent="0.25">
      <c r="A3" s="17" t="str">
        <f>HYPERLINK("#'Home'!A1", "Home")</f>
        <v>Home</v>
      </c>
      <c r="C3" s="4"/>
      <c r="D3" s="4"/>
      <c r="E3" s="4"/>
      <c r="F3" s="4"/>
      <c r="G3" s="4"/>
      <c r="H3" s="4"/>
      <c r="I3" s="4"/>
      <c r="J3" s="4"/>
      <c r="K3" s="4"/>
      <c r="L3" s="4"/>
      <c r="N3" s="4"/>
      <c r="O3" s="4"/>
      <c r="P3" s="4"/>
      <c r="Q3" s="4"/>
      <c r="R3" s="4"/>
      <c r="S3" s="4"/>
      <c r="T3" s="4"/>
      <c r="U3" s="4"/>
    </row>
    <row r="4" spans="1:21" ht="20.100000000000001" customHeight="1" x14ac:dyDescent="0.25">
      <c r="A4" s="17" t="str">
        <f>HYPERLINK("#'Overview'!A1", "Overview")</f>
        <v>Overview</v>
      </c>
    </row>
    <row r="5" spans="1:21" ht="20.100000000000001" customHeight="1" x14ac:dyDescent="0.25">
      <c r="A5" s="17" t="str">
        <f>HYPERLINK("#'Results'!A1", "Results")</f>
        <v>Results</v>
      </c>
    </row>
    <row r="6" spans="1:21" ht="20.100000000000001" customHeight="1" x14ac:dyDescent="0.25"/>
    <row r="7" spans="1:21" ht="20.100000000000001" customHeight="1" x14ac:dyDescent="0.25"/>
    <row r="8" spans="1:21" ht="20.100000000000001" customHeight="1" x14ac:dyDescent="0.25">
      <c r="A8" s="19" t="s">
        <v>0</v>
      </c>
    </row>
    <row r="9" spans="1:21" ht="20.100000000000001" customHeight="1" x14ac:dyDescent="0.25">
      <c r="A9" s="17" t="str">
        <f>HYPERLINK("#'Input - Site'!A1", "Site")</f>
        <v>Site</v>
      </c>
    </row>
    <row r="10" spans="1:21" ht="20.100000000000001" customHeight="1" x14ac:dyDescent="0.25">
      <c r="A10" s="17" t="str">
        <f>HYPERLINK("#'Input - Feedlot'!A1", "Feedlot")</f>
        <v>Feedlot</v>
      </c>
    </row>
    <row r="11" spans="1:21" ht="20.100000000000001" customHeight="1" x14ac:dyDescent="0.25"/>
    <row r="12" spans="1:21" ht="20.100000000000001" customHeight="1" x14ac:dyDescent="0.25"/>
    <row r="13" spans="1:21" ht="20.100000000000001" customHeight="1" x14ac:dyDescent="0.25">
      <c r="A13" s="18" t="s">
        <v>71</v>
      </c>
    </row>
    <row r="14" spans="1:21" ht="20.100000000000001" customHeight="1" x14ac:dyDescent="0.25">
      <c r="A14" s="17" t="str">
        <f>HYPERLINK("#'4.1.1.1-2 Methane'!A1", "4.1.1.1-2 Methane")</f>
        <v>4.1.1.1-2 Methane</v>
      </c>
    </row>
    <row r="15" spans="1:21" ht="20.100000000000001" customHeight="1" x14ac:dyDescent="0.25">
      <c r="A15" s="17" t="str">
        <f>HYPERLINK("#'4.1.1.3-4 Direct N20'!A1", "4.1.1.3-4 Direct N20")</f>
        <v>4.1.1.3-4 Direct N20</v>
      </c>
    </row>
    <row r="16" spans="1:21" ht="20.100000000000001" customHeight="1" x14ac:dyDescent="0.25">
      <c r="A16" s="17" t="str">
        <f>HYPERLINK("#'4.1.1.5-6 Atmos Deposition'!A1", "4.1.1.5-6 Atmos Deposition")</f>
        <v>4.1.1.5-6 Atmos Deposition</v>
      </c>
    </row>
    <row r="17" spans="1:1" ht="20.100000000000001" customHeight="1" x14ac:dyDescent="0.25">
      <c r="A17" s="17" t="str">
        <f>HYPERLINK("#'4.1.1.9 Manure applied to soils'!A1", "4.1.1.9 Manure applied to soils")</f>
        <v>4.1.1.9 Manure applied to soils</v>
      </c>
    </row>
    <row r="18" spans="1:1" ht="20.100000000000001" customHeight="1" x14ac:dyDescent="0.25"/>
    <row r="19" spans="1:1" ht="20.100000000000001" customHeight="1" x14ac:dyDescent="0.25"/>
    <row r="20" spans="1:1" ht="20.100000000000001" customHeight="1" x14ac:dyDescent="0.25">
      <c r="A20" s="145" t="s">
        <v>1</v>
      </c>
    </row>
    <row r="21" spans="1:1" ht="20.100000000000001" customHeight="1" x14ac:dyDescent="0.25">
      <c r="A21" s="17" t="str">
        <f>HYPERLINK("#'Constants - Feedlot'!A1", "Constants - Feedlot")</f>
        <v>Constants - Feedlot</v>
      </c>
    </row>
    <row r="22" spans="1:1" ht="20.100000000000001" customHeight="1" x14ac:dyDescent="0.25">
      <c r="A22" s="17" t="str">
        <f>HYPERLINK("#'Constants - Common'!A1", "Constants - Common")</f>
        <v>Constants - Common</v>
      </c>
    </row>
    <row r="23" spans="1:1" ht="20.100000000000001" customHeight="1" x14ac:dyDescent="0.25">
      <c r="A23" s="17" t="str">
        <f>HYPERLINK("#'Constants - Livestock'!A1", "Constants - Livestock")</f>
        <v>Constants - Livestock</v>
      </c>
    </row>
    <row r="24" spans="1:1" ht="20.100000000000001" customHeight="1" x14ac:dyDescent="0.25">
      <c r="A24" s="17" t="str">
        <f>HYPERLINK("#'Acknowledgements'!A1", "Acknowledgements")</f>
        <v>Acknowledgements</v>
      </c>
    </row>
    <row r="25" spans="1:1" ht="20.100000000000001" customHeight="1" x14ac:dyDescent="0.25">
      <c r="A25" s="67" t="str">
        <f>HYPERLINK("#'Tab template'!A1", "Tab template")</f>
        <v>Tab template</v>
      </c>
    </row>
    <row r="26" spans="1:1" ht="20.100000000000001" customHeight="1" x14ac:dyDescent="0.25"/>
    <row r="27" spans="1:1" ht="20.100000000000001" customHeight="1" x14ac:dyDescent="0.25"/>
    <row r="28" spans="1:1" ht="20.100000000000001" customHeight="1" x14ac:dyDescent="0.25"/>
    <row r="29" spans="1:1" ht="20.100000000000001" customHeight="1" x14ac:dyDescent="0.25"/>
    <row r="30" spans="1:1" ht="20.100000000000001" customHeight="1" x14ac:dyDescent="0.25"/>
    <row r="31" spans="1:1" ht="20.100000000000001" customHeight="1" x14ac:dyDescent="0.25"/>
    <row r="32" spans="1:1" ht="20.100000000000001" customHeight="1" x14ac:dyDescent="0.25"/>
    <row r="33" ht="20.100000000000001" customHeight="1" x14ac:dyDescent="0.25"/>
    <row r="34" ht="20.100000000000001" customHeight="1" x14ac:dyDescent="0.25"/>
    <row r="35" ht="20.100000000000001" customHeight="1" x14ac:dyDescent="0.25"/>
    <row r="36" ht="20.100000000000001" customHeight="1" x14ac:dyDescent="0.25"/>
    <row r="37" ht="20.100000000000001" customHeight="1" x14ac:dyDescent="0.25"/>
    <row r="38" ht="20.100000000000001" customHeight="1" x14ac:dyDescent="0.25"/>
    <row r="39" ht="20.100000000000001" customHeight="1" x14ac:dyDescent="0.25"/>
    <row r="40" ht="20.100000000000001" customHeight="1" x14ac:dyDescent="0.25"/>
    <row r="41" ht="20.100000000000001" customHeight="1" x14ac:dyDescent="0.25"/>
    <row r="42" ht="20.100000000000001" customHeight="1" x14ac:dyDescent="0.25"/>
    <row r="43" ht="20.100000000000001" customHeight="1" x14ac:dyDescent="0.25"/>
    <row r="44" ht="20.100000000000001" customHeight="1" x14ac:dyDescent="0.25"/>
    <row r="45" ht="20.100000000000001" customHeight="1" x14ac:dyDescent="0.25"/>
    <row r="46" ht="20.100000000000001" customHeight="1" x14ac:dyDescent="0.25"/>
    <row r="47" ht="20.100000000000001" customHeight="1" x14ac:dyDescent="0.25"/>
    <row r="48" ht="20.100000000000001" customHeight="1" x14ac:dyDescent="0.25"/>
    <row r="49" ht="20.100000000000001" customHeight="1" x14ac:dyDescent="0.25"/>
    <row r="50" ht="20.100000000000001" customHeight="1" x14ac:dyDescent="0.25"/>
    <row r="51" ht="20.100000000000001" customHeight="1" x14ac:dyDescent="0.25"/>
    <row r="52" ht="20.100000000000001" customHeight="1" x14ac:dyDescent="0.25"/>
    <row r="53" ht="20.100000000000001" customHeight="1" x14ac:dyDescent="0.25"/>
    <row r="54" ht="20.100000000000001" customHeight="1" x14ac:dyDescent="0.25"/>
    <row r="55" ht="20.100000000000001" customHeight="1" x14ac:dyDescent="0.25"/>
    <row r="56" ht="20.100000000000001" customHeight="1" x14ac:dyDescent="0.25"/>
    <row r="57" ht="20.100000000000001" customHeight="1" x14ac:dyDescent="0.25"/>
    <row r="58" ht="20.100000000000001" customHeight="1" x14ac:dyDescent="0.25"/>
    <row r="59" ht="20.100000000000001" customHeight="1" x14ac:dyDescent="0.25"/>
    <row r="60" ht="20.100000000000001" customHeight="1" x14ac:dyDescent="0.25"/>
    <row r="61" ht="20.100000000000001" customHeight="1" x14ac:dyDescent="0.25"/>
    <row r="62" ht="20.100000000000001" customHeight="1" x14ac:dyDescent="0.25"/>
    <row r="63" ht="20.100000000000001" customHeight="1" x14ac:dyDescent="0.25"/>
    <row r="64"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p:properties xmlns:p="http://schemas.microsoft.com/office/2006/metadata/properties" xmlns:xsi="http://www.w3.org/2001/XMLSchema-instance" xmlns:pc="http://schemas.microsoft.com/office/infopath/2007/PartnerControls">
  <documentManagement>
    <TaxCatchAll xmlns="09eef6d6-daa8-4301-8f9f-b1ec38079286" xsi:nil="true"/>
    <lcf76f155ced4ddcb4097134ff3c332f xmlns="7291119c-fce9-4911-96ae-b800be5dccd8">
      <Terms xmlns="http://schemas.microsoft.com/office/infopath/2007/PartnerControls"/>
    </lcf76f155ced4ddcb4097134ff3c332f>
  </documentManagement>
</p:properties>
</file>

<file path=customXml/item2.xml><?xml version="1.0" encoding="utf-8"?>
<AFEJSONBlob xmlns="http://schemas.advancedformulaenvironment.officeapps.live.com/afejsonblob/1.0">ewAiAHMAYwBoAGUAbQBhACIAOgAiAGgAdAB0AHAAOgAvAC8AcwBjAGgAZQBtAGEAcwAuAGEAZAB2AGEAbgBjAGUAZABmAG8AcgBtAHUAbABhAGUAbgB2AGkAcgBvAG4AbQBlAG4AdAAuAG8AZgBmAGkAYwBlAGEAcABwAHMALgBsAGkAdgBlAC4AYwBvAG0ALwBhAGYAZQBwAHIAbwBqAGUAYwB0AHMALwAwAC4AMgAiACwAIgBmAGkAbABlAHMAIgA6AFsAewAiAHAAYQB0AGgAIgA6ACIALwBwAHIAbwBqAGUAYwB0AHMALwBXAG8AcgBrAGIAbwBvAGsAIgAsACIAdABlAHgAdAAiADoAIgAvAC8AIAAtAC0ALQAgAFcAbwByAGsAYgBvAG8AawAgAG0AbwBkAHUAbABlACAALQAtAC0AXABuAC8ALwAgAEEAIABmAGkAbABlACAAbwBmACAAbgBhAG0AZQAgAGQAZQBmAGkAbgBpAHQAaQBvAG4AcwAgAG8AZgAgAHQAaABlACAAZgBvAHIAbQA6AFwAbgAvAC8AIAAgACAAIABuAGEAbQBlACAAPQAgAGQAZQBmAGkAbgBpAHQAaQBvAG4AOwBcAG4AIgB9ACwAewAiAHAAYQB0AGgAIgA6ACIALwBwAHIAbwBqAGUAYwB0AHMALwBDAG8AbQBtAG8AbgBfAFMAbwB1AHIAYwBlAEQAYQB0AGEAIgAsACIAdABlAHgAdAAiADoAIgAvACoAXABuAD0APQA9AD0APQA9AD0APQA9AD0APQA9AD0APQA9AD0APQA9AD0APQA9AD0APQA9AD0APQA9AD0APQA9AD0APQA9AD0APQA9AD0APQA9AD0APQA9AD0APQA9AD0APQA9AD0APQA9AD0APQA9AD0APQA9AD0APQA9AD0APQA9AD0APQA9AD0APQA9AD0APQA9AD0APQA9AD0AXABuAD0APQA9AD0APQA9AD0APQA9AD0APQA9AD0APQA9AD0APQA9AD0APQA9AD0APQA9AD0APQA9AD0APQA9AD0APQA9AD0APQA9AD0APQA9AD0APQA9AD0APQA9AD0APQA9AD0APQA9AD0APQA9AD0APQA9AD0APQA9AD0APQA9AD0APQA9AD0APQA9AD0APQA9AD0APQA9AD0AXABuAFMAbwB1AHIAYwBlACAAZABhAHQAYQAgAHQAaABhAHQAIABpAHMAIABjAG8AbQBtAG8AbgAgAGEAYwByAG8AcwBzACAAYQBsAGwAIABlAG4AdABlAHIAcAByAGkAcwBlACAAdAB5AHAAZQBzAFwAbgBFAHgAYwBlAGwAIABtAG8AZAB1AGwAZQAgAG4AYQBtAGUAOgAgAEMAbwBtAG0AbwBuAF8AUwBvAHUAcgBjAGUARABhAHQAYQBcAG4APQA9AD0APQA9AD0APQA9AD0APQA9AD0APQA9AD0APQA9AD0APQA9AD0APQA9AD0APQA9AD0APQA9AD0APQA9AD0APQA9AD0APQA9AD0APQA9AD0APQA9AD0APQA9AD0APQA9AD0APQA9AD0APQA9AD0APQA9AD0APQA9AD0APQA9AD0APQA9AD0APQA9AD0APQA9AD0APQBcAG4APQA9AD0APQA9AD0APQA9AD0APQA9AD0APQA9AD0APQA9AD0APQA9AD0APQA9AD0APQA9AD0APQA9AD0APQA9AD0APQA9AD0APQA9AD0APQA9AD0APQA9AD0APQA9AD0APQA9AD0APQA9AD0APQA9AD0APQA9AD0APQA9AD0APQA9AD0APQA9AD0APQA9AD0APQA9AD0APQBcAG4AKgAvAFwAbgBcAG4ALwAqAFwAbgA9AD0APQA9AD0APQA9AD0APQA9AD0APQA9AD0APQA9AD0APQA9AD0APQA9AD0APQA9AD0APQA9AD0APQA9AD0APQA9AD0APQA9AD0AXABuAD0APQA9AD0APQA9AD0APQA9AD0APQA9AD0APQA9AD0APQA9AD0APQA9AD0APQA9AD0APQA9AD0APQA9AD0APQA9AD0APQA9AD0APQBcAG4AUwBvAHUAcgBjAGUAOgAgAE4AYQB0AGkAbwBuAGEAbAAgAEkAbgB2AGUAbgB0AG8AcgB5ACAAUgBlAHAAbwByAHQAIAAyADAAMgAzACAAVgBvAGwAdQBtAGUAIAAxAFwAbgBOAEkAUgBfADIAMAAyADMAXwBWAG8AbAAxAFwAbgA9AD0APQA9AD0APQA9AD0APQA9AD0APQA9AD0APQA9AD0APQA9AD0APQA9AD0APQA9AD0APQA9AD0APQA9AD0APQA9AD0APQA9AD0AXABuAD0APQA9AD0APQA9AD0APQA9AD0APQA9AD0APQA9AD0APQA9AD0APQA9AD0APQA9AD0APQA9AD0APQA9AD0APQA9AD0APQA9AD0APQBcAG4AKgAvAFwAbgBcAG4ALwAqACAAXABuAC0ALQAtAC0ALQAtAC0ALQAtAC0ALQAtAC0ALQAtAC0ALQAtAC0ALQAtAC0ALQAtAC0ALQAtAC0ALQAtAC0ALQAtAC0ALQAtAC0ALQBcAG4AQwBvAG0AbQBvAG4AXwBTAG8AdQByAGMAZQBEAGEAdABhAF8ARABlAG4AcwBpAHQAeQBPAGYATQBlAHQAaABhAG4AZQBcAG4AcAAgAD0AIABkAGUAbgBzAGkAdAB5ACAAbwBmACAAbQBlAHQAaABhAG4AZQAgACgAMAAuADYANwA4ADQAIABrAGcALwBtADMAKQBcAG4AVABhAGsAZQBuACAAZgByAG8AbQAgAHQAaABlACAATgBhAHQAaQBvAG4AYQBsACAARwByAGUAZQBuAGgAbwB1AHMAZQAgAGEAbgBkACAARQBuAGUAcgBnAHkAIABSAGUAcABvAHIAdABpAG4AZwAgAFwAbgAoAE0AZQBhAHMAdQByAGUAbQBlAG4AdAApACAARABlAHQAZQByAG0AaQBuAGEAdABpAG8AbgAgADIAMAAwADgAXABuAC0ALQAtAC0ALQAtAC0ALQAtAC0ALQAtAC0ALQAtAC0ALQAtAC0ALQAtAC0ALQAtAC0ALQAtAC0ALQAtAC0ALQAtAC0ALQAtAC0ALQBcAG4AKgAvAFwAbgBcAG4AQwBvAG0AbQBvAG4AXwBTAG8AdQByAGMAZQBEAGEAdABhAF8ARABlAG4AcwBpAHQAeQBPAGYATQBlAHQAaABhAG4AZQBfAFQAaQB0AGwAZQBcAG4AIAAgAD0ATABBAE0AQgBEAEEAKABcACIAcAAgAD0AIABkAGUAbgBzAGkAdAB5ACAAbwBmACAAbQBlAHQAaABhAG4AZQBcACIAKQA7AFwAbgBcAG4AQwBvAG0AbQBvAG4AXwBTAG8AdQByAGMAZQBEAGEAdABhAF8ARABlAG4AcwBpAHQAeQBPAGYATQBlAHQAaABhAG4AZQBfAFUAbgBpAHQAXABuACAAIAA9AEwAQQBNAEIARABBACgAXAAiAGsAZwAvAG0AMwBcACIAKQA7AFwAbgBcAG4AQwBvAG0AbQBvAG4AXwBTAG8AdQByAGMAZQBEAGEAdABhAF8ARABlAG4AcwBpAHQAeQBPAGYATQBlAHQAaABhAG4AZQBfAFMAbwB1AHIAYwBlAFwAbgAgACAAPQBMAEEATQBCAEQAQQAoAFwAIgBOAGEAdABpAG8AbgBhAGwAIABJAG4AdgBlAG4AdABvAHIAeQAgAFIAZQBwAG8AcgB0ACAAMgAwADIAMwAgAFYAbwBsAHUAbQBlACAAMQA6ACAARQBxAHUAYQB0AGkAbwBuAHMAIAAzAC4AQgAuADEAYQBfADIALAAgADMALgBCAC4AMQBjAF8AMgAsACAAMwAuAEIALgAzAF8AMQAsACAAMwAuAEIALgA0AGcAXwAyAFwAIgApADsAXABuAFwAbgBDAG8AbQBtAG8AbgBfAFMAbwB1AHIAYwBlAEQAYQB0AGEAXwBEAGUAbgBzAGkAdAB5AE8AZgBNAGUAdABoAGEAbgBlAF8ARABhAHQAYQBcAG4AIAAgAD0ATABBAE0AQgBEAEEAKAAwAC4ANgA3ADgANAApADsAXABuAFwAbgAvACoAIABcAG4ALQAtAC0ALQAtAC0ALQAtAC0ALQAtAC0ALQAtAC0ALQAtAC0ALQAtAC0ALQAtAC0ALQAtAC0ALQAtAC0ALQAtAC0ALQAtAC0ALQAtAFwAbgBDAG8AbQBtAG8AbgBfAFMAbwB1AHIAYwBlAEQAYQB0AGEAXwBDAG8AbgB2AGUAcgB0AE4AMgBvAEUAbABlAG0AZQBuAHQAYQBsAFQAbwBNAG8AbABlAGMAdQBsAGEAcgBDAGcAXABuAEMAZwAgAD0AIAA0ADQALwAyADgAIABmAGEAYwB0AG8AcgAgAHQAbwAgAGMAbwBuAHYAZQByAHQAIABlAGwAZQBtAGUAbgB0AGEAbAAgAG0AYQBzAHMAIABvAGYAIABOADIATwAgAHQAbwAgAG0AbwBsAGUAYwB1AGwAYQByACAAbQBhAHMAcwBcAG4ALQAtAC0ALQAtAC0ALQAtAC0ALQAtAC0ALQAtAC0ALQAtAC0ALQAtAC0ALQAtAC0ALQAtAC0ALQAtAC0ALQAtAC0ALQAtAC0ALQAtAFwAbgAqAC8AXABuAFwAbgBDAG8AbQBtAG8AbgBfAFMAbwB1AHIAYwBlAEQAYQB0AGEAXwBDAG8AbgB2AGUAcgB0AE4AMgBvAEUAbABlAG0AZQBuAHQAYQBsAFQAbwBNAG8AbABlAGMAdQBsAGEAcgBDAGcAXwBUAGkAdABsAGUAXABuACAAIAA9AEwAQQBNAEIARABBACgAXAAiAEYAYQBjAHQAbwByACAAdABvACAAYwBvAG4AdgBlAHIAdAAgAGUAbABlAG0AZQBuAHQAYQBsACAAbQBhAHMAcwAgAG8AZgAgAE4AMgBPACAAdABvACAAbQBvAGwAZQBjAHUAbABhAHIAIABtAGEAcwBzAFwAIgApADsAXABuAFwAbgBDAG8AbQBtAG8AbgBfAFMAbwB1AHIAYwBlAEQAYQB0AGEAXwBDAG8AbgB2AGUAcgB0AE4AMgBvAEUAbABlAG0AZQBuAHQAYQBsAFQAbwBNAG8AbABlAGMAdQBsAGEAcgBDAGcAXwBWAGEAcgBpAGEAYgBsAGUAXABuACAAIAA9AEwAQQBNAEIARABBACgAXAAiAEMAZwBOADIATwBcACIAKQA7AFwAbgBcAG4AQwBvAG0AbQBvAG4AXwBTAG8AdQByAGMAZQBEAGEAdABhAF8AQwBvAG4AdgBlAHIAdABOADIAbwBFAGwAZQBtAGUAbgB0AGEAbABUAG8ATQBvAGwAZQBjAHUAbABhAHIAQwBnAF8AVQBuAGkAdABcAG4AIAAgAD0ATABBAE0AQgBEAEEAKABcACIAZgBhAGMAdABvAHIAXAAiACkAOwBcAG4AXABuAEMAbwBtAG0AbwBuAF8AUwBvAHUAcgBjAGUARABhAHQAYQBfAEMAbwBuAHYAZQByAHQATgAyAG8ARQBsAGUAbQBlAG4AdABhAGwAVABvAE0AbwBsAGUAYwB1AGwAYQByAEMAZwBfAFMAbwB1AHIAYwBlAFwAbgAgACAAPQBMAEEATQBCAEQAQQAoAFwAIgBOAGEAdABpAG8AbgBhAGwAIABJAG4AdgBlAG4AdABvAHIAeQAgAFIAZQBwAG8AcgB0ACAAMgAwADIAMwAgAFYAbwBsAHUAbQBlACAAMQBcACIAKQA7AFwAbgBcAG4AQwBvAG0AbQBvAG4AXwBTAG8AdQByAGMAZQBEAGEAdABhAF8AQwBvAG4AdgBlAHIAdABOADIAbwBFAGwAZQBtAGUAbgB0AGEAbABUAG8ATQBvAGwAZQBjAHUAbABhAHIAQwBnAF8ARABhAHQAYQBcAG4AIAAgAD0ATABBAE0AQgBEAEEAKAA0ADQALwAyADgAKQA7AFwAbgBcAG4ALwAqACAAXABuAC0ALQAtAC0ALQAtAC0ALQAtAC0ALQAtAC0ALQAtAC0ALQAtAC0ALQAtAC0ALQAtAC0ALQAtAC0ALQAtAC0ALQAtAC0ALQAtAC0ALQBcAG4AQwBvAG0AbQBvAG4AXwBTAG8AdQByAGMAZQBEAGEAdABhAF8AQwBvAG4AdgBlAHIAdABHAGEAcwBFAGwAZQBtAGUAbgB0AGEAbABUAG8ATQBvAGwAZQBjAHUAbABhAHIAXABuAEYAYQBjAHQAbwByACAAdABvACAAYwBvAG4AdgBlAHIAdAAgAGUAbABlAG0AZQBuAHQAYQBsACAAbQBhAHMAcwAgAG8AZgAgAGcAYQBzACAAdABvACAAbQBvAGwAZQBjAHUAbABhAHIAIABtAGEAcwBzAFwAbgAtAC0ALQAtAC0ALQAtAC0ALQAtAC0ALQAtAC0ALQAtAC0ALQAtAC0ALQAtAC0ALQAtAC0ALQAtAC0ALQAtAC0ALQAtAC0ALQAtAC0AXABuACoALwBcAG4AXABuAEMAbwBtAG0AbwBuAF8AUwBvAHUAcgBjAGUARABhAHQAYQBfAEMAbwBuAHYAZQByAHQARwBhAHMARQBsAGUAbQBlAG4AdABhAGwAVABvAE0AbwBsAGUAYwB1AGwAYQByAF8AVABpAHQAbABlAFwAbgAgACAAPQBMAEEATQBCAEQAQQAoAFwAIgBGAGEAYwB0AG8AcgAgAHQAbwAgAGMAbwBuAHYAZQByAHQAIABlAGwAZQBtAGUAbgB0AGEAbAAgAG0AYQBzAHMAIABvAGYAIABnAGEAcwAgAHQAbwAgAG0AbwBsAGUAYwB1AGwAYQByACAAbQBhAHMAcwBcACIAKQA7AFwAbgBcAG4AQwBvAG0AbQBvAG4AXwBTAG8AdQByAGMAZQBEAGEAdABhAF8AQwBvAG4AdgBlAHIAdABHAGEAcwBFAGwAZQBtAGUAbgB0AGEAbABUAG8ATQBvAGwAZQBjAHUAbABhAHIAXwBWAGEAcgBpAGEAYgBsAGUAXABuACAAIAA9AEwAQQBNAEIARABBACgAXAAiAEMAZwBcACIAKQA7AFwAbgBcAG4AQwBvAG0AbQBvAG4AXwBTAG8AdQByAGMAZQBEAGEAdABhAF8AQwBvAG4AdgBlAHIAdABHAGEAcwBFAGwAZQBtAGUAbgB0AGEAbABUAG8ATQBvAGwAZQBjAHUAbABhAHIAXwBVAG4AaQB0AFwAbgAgACAAPQBMAEEATQBCAEQAQQAoAFwAIgBmAGEAYwB0AG8AcgBcACIAKQA7AFwAbgBcAG4AQwBvAG0AbQBvAG4AXwBTAG8AdQByAGMAZQBEAGEAdABhAF8AQwBvAG4AdgBlAHIAdABHAGEAcwBFAGwAZQBtAGUAbgB0AGEAbABUAG8ATQBvAGwAZQBjAHUAbABhAHIAXwBTAG8AdQByAGMAZQBcAG4AIAAgAD0ATABBAE0AQgBEAEEAKABcACIAWABYAFgAWABYAFgAWABcACIAKQA7AFwAbgBcAG4AQwBvAG0AbQBvAG4AXwBTAG8AdQByAGMAZQBEAGEAdABhAF8AQwBvAG4AdgBlAHIAdABHAGEAcwBFAGwAZQBtAGUAbgB0AGEAbABUAG8ATQBvAGwAZQBjAHUAbABhAHIAXwBEAGEAdABhAFwAbgAgACAAPQBMAEEATQBCAEQAQQAoAFwAbgAgACAAIAAgAE0AQQBLAEUAQQBSAFIAQQBZACgAOAAsACAANAAsACAAXABuACAAIAAgACAAIAAgAEwAQQBNAEIARABBACgAcgAsAGMALAAgAFwAbgAgACAAIAAgACAAIAAgACAASQBOAEQARQBYACgAewBcAG4AIAAgACAAIAAgACAAIAAgACAAIABcACIARwBhAHMAXAAiACwAIABcACIAQwBvAG4AdgBlAHIAcwBpAG8AbgAgAGYAYQBjAHQAbwByAFwAIgAsACAAXAAiAEMAbwBuAHYAZQByAHMAaQBvAG4AIABmAGEAYwB0AG8AcgAgADEAXAAiACwAIABcACIAQwBvAG4AdgBlAHIAcwBpAG8AbgAgAGYAYQBjAHQAbwByACAAMgBcACIAOwBcAG4AIAAgACAAIAAgACAAIAAgACAAIABcACIAQwBPADIAXAAiACwAIABcACIANAA0AC8AMQAyAFwAIgAsACAANAA0ACwAIAAxADIAOwBcAG4AIAAgACAAIAAgACAAIAAgACAAIABcACIAQwBIADQAXAAiACwAIABcACIAMQA2AC8AMQAyAFwAIgAsACAAMQA2ACwAIAAxADIAOwBcAG4AIAAgACAAIAAgACAAIAAgACAAIABcACIATgAyAE8AXAAiACwAIABcACIANAA0AC8AMgA4AFwAIgAsACAANAA0ACwAIAAyADgAOwBcAG4AIAAgACAAIAAgACAAIAAgACAAIABcACIATgBvAHgAXAAiACwAIABcACIANAA2AC8AMQA0AFwAIgAsACAANAA2ACwAIAAxADQAOwBcAG4AIAAgACAAIAAgACAAIAAgACAAIABcACIAQwBPAFwAIgAsACAAXAAiADIAOAAvADEAMgBcACIALAAgADIAOAAsACAAMQAyADsAXABuACAAIAAgACAAIAAgACAAIAAgACAAXAAiAEMATwAyACAATABpAG0AZQBcACIALAAgAFwAIgA0ADQALwAxADIAXAAiACwAIAA0ADQALAAgADEAMgA7AFwAbgAgACAAIAAgACAAIAAgACAAIAAgAFwAIgBOAE0AVgBPAEMAXAAiACwAIABcACIAMQA0AC8AMQAyAFwAIgAsACAAMQA0ACwAIAAxAD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EcAVwBQAE4AMgBPAFwAbgBHAGwAbwBiAGEAbAAgAHcAYQByAG0AaQBuAGcAIABwAG8AdABlAG4AdABpAGEAbAAgAGYAbwByACAAZwByAGUAZQBuAGgAbwB1AHMAZQAgAGcAYQBzAGUAcwBcAG4ALQAtAC0ALQAtAC0ALQAtAC0ALQAtAC0ALQAtAC0ALQAtAC0ALQAtAC0ALQAtAC0ALQAtAC0ALQAtAC0ALQAtAC0ALQAtAC0ALQAtAFwAbgAqAC8AXABuAFwAbgBDAG8AbQBtAG8AbgBfAFMAbwB1AHIAYwBlAEQAYQB0AGEAXwBHAFcAUABfAFQAaQB0AGwAZQBcAG4AIAAgAD0ATABBAE0AQgBEAEEAKABcACIARwBsAG8AYgBhAGwAIAB3AGEAcgBtAGkAbgBnACAAcABvAHQAZQBuAHQAaQBhAGwAIABmAG8AcgAgAGcAcgBlAGUAbgBoAG8AdQBzAGUAIABnAGEAcwBlAHMAXAAiACkAOwBcAG4AXABuAEMAbwBtAG0AbwBuAF8AUwBvAHUAcgBjAGUARABhAHQAYQBfAEcAVwBQAF8AVgBhAHIAaQBhAGIAbABlAFwAbgAgACAAPQBMAEEATQBCAEQAQQAoAFwAIgBHAFcAUABOADIATwBcACIAKQA7AFwAbgBcAG4AQwBvAG0AbQBvAG4AXwBTAG8AdQByAGMAZQBEAGEAdABhAF8ARwBXAFAAXwBVAG4AaQB0AFwAbgAgACAAPQBMAEEATQBCAEQAQQAoAFwAIgBmAGEAYwB0AG8AcgBcACIAKQA7AFwAbgBcAG4AQwBvAG0AbQBvAG4AXwBTAG8AdQByAGMAZQBEAGEAdABhAF8ARwBXAFAAXwBTAG8AdQByAGMAZQBcAG4AIAAgAD0ATABBAE0AQgBEAEEAKABcACIAWABYAFgAWABYAFgAWABcACIAKQA7AFwAbgBcAG4AQwBvAG0AbQBvAG4AXwBTAG8AdQByAGMAZQBEAGEAdABhAF8ARwBXAFAAXwBEAGEAdABhAFwAbgAgACAAPQBMAEEATQBCAEQAQQAoAFwAbgAgACAAIAAgAE0AQQBLAEUAQQBSAFIAQQBZACgAOAAsACAAMgAsACAAXABuACAAIAAgACAAIAAgAEwAQQBNAEIARABBACgAcgAsAGMALAAgAFwAbgAgACAAIAAgACAAIAAgACAASQBOAEQARQBYACgAewBcAG4AIAAgACAAIAAgACAAIAAgACAAIABcACIARwBhAHMAXAAiACwAIABcACIAQwBPADIALQBlACAAZgBhAGMAdABvAHIAXAAiADsAXABuACAAIAAgACAAIAAgACAAIAAgACAAXAAiAEMATwAyAFwAIgAsACAAMQA7AFwAbgAgACAAIAAgACAAIAAgACAAIAAgAFwAIgBDAEgANABcACIALAAgADIAOAA7AFwAbgAgACAAIAAgACAAIAAgACAAIAAgAFwAIgBOADIATwBcACIALAAgADIANgA1ADsAXABuACAAIAAgACAAIAAgACAAIAAgACAAXAAiAEMARgA0AFwAIgAsACAANgA2ADMAMAA7AFwAbgAgACAAIAAgACAAIAAgACAAIAAgAFwAIgBDADIARgA2AFwAIgAsACAAMQAyADIAMAAwADsAXABuACAAIAAgACAAIAAgACAAIAAgACAAXAAiAFMARgA2AFwAIgAsACAAMgAyADgAMAAwADsAXABuACAAIAAgACAAIAAgACAAIAAgACAAXAAiAE4ARgAzAFwAIgAsACAAMQA3ADIAMAAwAFwAbgAgACAAIAAgACAAIAAgACAAfQAsACAAcgAsACAAYwApAFwAbgAgACAAIAAgACAAIAApAFwAbgAgACAAIAAgACkAXABuACAAIAApADsAXABuAFwAbgBcAG4ALwAqACAAXABuAC0ALQAtAC0ALQAtAC0ALQAtAC0ALQAtAC0ALQAtAC0ALQAtAC0ALQAtAC0ALQAtAC0ALQAtAC0ALQAtAC0ALQAtAC0ALQAtAC0ALQBcAG4AQwBvAG0AbQBvAG4AXwBTAG8AdQByAGMAZQBEAGEAdABhAF8AQQB1AHMAdAByAGEAbABpAGEAbgBTAHQAYQB0AGUAcwBUAGUAcgByAGkAdABvAHIAaQBlAHMAXABuAC0ALQAtAC0ALQAtAC0ALQAtAC0ALQAtAC0ALQAtAC0ALQAtAC0ALQAtAC0ALQAtAC0ALQAtAC0ALQAtAC0ALQAtAC0ALQAtAC0ALQBcAG4AKgAvAFwAbgBcAG4AQwBvAG0AbQBvAG4AXwBTAG8AdQByAGMAZQBEAGEAdABhAF8AQQB1AHMAdAByAGEAbABpAGEAbgBTAHQAYQB0AGUAcwBUAGUAcgByAGkAdABvAHIAaQBlAHMAXwBUAGkAdABsAGUAXABuACAAIAA9AEwAQQBNAEIARABBACgAXAAiAEEAdQBzAHQAcgBhAGwAaQBhAG4AIABzAHQAYQB0AGUAcwAgAGEAbgBkACAAdABlAHIAcgBpAHQAbwByAGkAZQBzAFwAIgApADsAXABuAFwAbgBDAG8AbQBtAG8AbgBfAFMAbwB1AHIAYwBlAEQAYQB0AGEAXwBBAHUAcwB0AHIAYQBsAGkAYQBuAFMAdABhAHQAZQBzAFQAZQByAHIAaQB0AG8AcgBpAGUAcwBfAFYAYQByAGkAYQBiAGwAZQBcAG4AIAAgAD0ATABBAE0AQgBEAEEAKABcACIAXAAiACkAOwBcAG4AXABuAEMAbwBtAG0AbwBuAF8AUwBvAHUAcgBjAGUARABhAHQAYQBfAEEAdQBzAHQAcgBhAGwAaQBhAG4AUwB0AGEAdABlAHMAVABlAHIAcgBpAHQAbwByAGkAZQBzAF8AVQBuAGkAdABcAG4AIAAgAD0ATABBAE0AQgBEAEEAKABcACIAXAAiACkAOwBcAG4AXABuAEMAbwBtAG0AbwBuAF8AUwBvAHUAcgBjAGUARABhAHQAYQBfAEEAdQBzAHQAcgBhAGwAaQBhAG4AUwB0AGEAdABlAHMAVABlAHIAcgBpAHQAbwByAGkAZQBzAF8AUwBvAHUAcgBjAGUAXABuACAAIAA9AEwAQQBNAEIARABBACgAXAAiAFwAIgApADsAXABuAFwAbgBDAG8AbQBtAG8AbgBfAFMAbwB1AHIAYwBlAEQAYQB0AGEAXwBBAHUAcwB0AHIAYQBsAGkAYQBuAFMAdABhAHQAZQBzAFQAZQByAHIAaQB0AG8AcgBpAGUAcwBfAEQAYQB0AGEAXABuACAAIAAgAD0ATABBAE0AQgBEAEEAKABcAG4AIAAgACAAIABNAEEASwBFAEEAUgBSAEEAWQAoADkALAAgADMALAAgAFwAbgAgACAAIAAgACAAIABMAEEATQBCAEQAQQAoAHIALABjACwAIABcAG4AIAAgACAAIAAgACAAIAAgAEkATgBEAEUAWAAoAHsAXABuACAAIAAgACAAIAAgACAAIAAgACAAXAAiAFMAdABhAHQAZQAvAFQAZQByAHIAaQB0AG8AcgB5AFwAIgAsACAAXAAiAEMAbwBtAG0AbwBuACAATgBhAG0AZQBcACIALAAgAFwAIgBBAGIAYgByAGUAdgBpAGEAdABpAG8AbgBcACIAOwBcAG4AIAAgACAAIAAgACAAIAAgACAAIABcACIATgBlAHcAIABTAG8AdQB0AGgAIABXAGEAbABlAHMAXAAiACwAIABcACIATgBlAHcAIABTAG8AdQB0AGgAIABXAGEAbABlAHMAXAAiACwAIABcACIATgBTAFcAXAAiADsAXABuACAAIAAgACAAIAAgACAAIAAgACAAXAAiAEEAdQBzAHQAcgBhAGwAaQBhAG4AIABDAGEAcABpAHQAYQBsACAAVABlAHIAcgBpAHQAbwByAHkAXAAiACwAIABcACIAQQBDAFQAXAAiACwAIABcACIAQQBDAFQAXAAiADsAXABuACAAIAAgACAAIAAgACAAIAAgACAAXAAiAFYAaQBjAHQAbwByAGkAYQBcACIALAAgAFwAIgBWAGkAYwB0AG8AcgBpAGEAXAAiACwAIABcACIAVgBJAEMAXAAiADsAXABuACAAIAAgACAAIAAgACAAIAAgACAAXAAiAFEAdQBlAGUAbgBzAGwAYQBuAGQAXAAiACwAIABcACIAUQB1AGUAZQBuAHMAbABhAG4AZABcACIALAAgAFwAIgBRAEwARABcACIAOwBcAG4AIAAgACAAIAAgACAAIAAgACAAIABcACIAUwBvAHUAdABoACAAQQB1AHMAdAByAGEAbABpAGEAXAAiACwAIABcACIAUwBvAHUAdABoACAAQQB1AHMAdAByAGEAbABpAGEAXAAiACwAIABcACIAUwBBAFwAIgA7AFwAbgAgACAAIAAgACAAIAAgACAAIAAgAFwAIgBXAGUAcwB0AGUAcgBuACAAQQB1AHMAdAByAGEAbABpAGEAXAAiACwAIABcACIAVwBlAHMAdABlAHIAbgAgAEEAdQBzAHQAcgBhAGwAaQBhAFwAIgAsACAAXAAiAFcAQQBcACIAOwBcAG4AIAAgACAAIAAgACAAIAAgACAAIABcACIAVABhAHMAbQBhAG4AaQBhAFwAIgAsACAAXAAiAFQAYQBzAG0AYQBuAGkAYQBcACIALAAgAFwAIgBUAEEAUwBcACIAOwBcAG4AIAAgACAAIAAgACAAIAAgACAAIABcACIATgBvAHIAdABoAGUAcgBuACAAVABlAHIAcgBpAHQAbwByAHkAXAAiACwAIABcACIATgBvAHIAdABoAGUAcgBuACAAVABlAHIAcgBpAHQAbwByAHkAXAAiACwAIABcACIATgBUA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VwBBAFMAQQA0AEEAcgBlAGEAcwBcAG4ALQAtAC0ALQAtAC0ALQAtAC0ALQAtAC0ALQAtAC0ALQAtAC0ALQAtAC0ALQAtAC0ALQAtAC0ALQAtAC0ALQAtAC0ALQAtAC0ALQAtAFwAbgAqAC8AXABuAFwAbgBDAG8AbQBtAG8AbgBfAFMAbwB1AHIAYwBlAEQAYQB0AGEAXwBXAEEAUwBBADQAQQByAGUAYQBzAF8AVABpAHQAbABlAFwAbgAgACAAPQBMAEEATQBCAEQAQQAoAFwAIgBBAEIAUwAgAFMAdABhAHQAaQBzAHQAYwBhAGwAIABBAHIAZQBhAHMAIABMAGUAdgBlAGwAIAA0ACAALQAgAFcAZQBzAHQAZQByAG4AIABBAHUAcwB0AHIAYQBsAGkAYQBcACIAKQA7AFwAbgBcAG4AQwBvAG0AbQBvAG4AXwBTAG8AdQByAGMAZQBEAGEAdABhAF8AVwBBAFMAQQA0AEEAcgBlAGEAcwBfAFYAYQByAGkAYQBiAGwAZQBcAG4AIAAgAD0ATABBAE0AQgBEAEEAKABcACIAXAAiACkAOwBcAG4AXABuAEMAbwBtAG0AbwBuAF8AUwBvAHUAcgBjAGUARABhAHQAYQBfAFcAQQBTAEEANABBAHIAZQBhAHMAXwBVAG4AaQB0AFwAbgAgACAAPQBMAEEATQBCAEQAQQAoAFwAIgBcACIAKQA7AFwAbgBcAG4AQwBvAG0AbQBvAG4AXwBTAG8AdQByAGMAZQBEAGEAdABhAF8AVwBBAFMAQQA0AEEAcgBlAGEAcwBfAFMAbwB1AHIAYwBlAFwAbgAgACAAPQBMAEEATQBCAEQAQQAoAFwAIgBBAHUAcwB0AHIAYQBsAGkAYQBuACAAQgB1AHIAZQBhAHUAIABvAGYAIABTAHQAYQB0AGkAcwB0AGkAYwBzACAAKABBAEIAUwApACAALQAgAFMAdABhAHQAaQBzAHQAaQBjAGEAbAAgAEEAcgBlAGEAcwAgAEwAZQB2AGUAbAAgADIAIAAtACAAMgAwADIAMQAgAC0AIABTAGgAYQBwAGUAZgBpAGwAZQBcACIAKQA7AFwAbgBcAG4AQwBvAG0AbQBvAG4AXwBTAG8AdQByAGMAZQBEAGEAdABhAF8AVwBBAFMAQQA0AEEAcgBlAGEAcwBfAEQAYQB0AGEAXABuACAAIAAgAD0ATABBAE0AQgBEAEEAKABcAG4AIAAgACAAIABNAEEASwBFAEEAUgBSAEEAWQAoADEAMQAsACAAMQAsACAAXABuACAAIAAgACAAIAAgAEwAQQBNAEIARABBACgAcgAsAGMALAAgAFwAbgAgACAAIAAgACAAIAAgACAASQBOAEQARQBYACgAewBcAG4AIAAgACAAIAAgACAAIAAgACAAIABcACIAUwBBACAANAAgAE4AYQBtAGUAXAAiADsAXABuACAAIAAgACAAIAAgACAAIAAgACAAXAAiAEIAdQBuAGIAdQByAHkAXAAiADsAXABuACAAIAAgACAAIAAgACAAIAAgACAAXAAiAE0AYQBuAGQAdQByAGEAaABcACIAOwBcAG4AIAAgACAAIAAgACAAIAAgACAAIABcACIAUABlAHIAdABoACAALQAgAEkAbgBuAGUAcgBcACIAOwBcAG4AIAAgACAAIAAgACAAIAAgACAAIABcACIAUABlAHIAdABoACAALQAgAE4AbwByAHQAaAAgAEUAYQBzAHQAXAAiADsAXABuACAAIAAgACAAIAAgACAAIAAgACAAXAAiAFAAZQByAHQAaAAgAC0AIABOAG8AcgB0AGgAIABXAGUAcwB0AFwAIgA7AFwAbgAgACAAIAAgACAAIAAgACAAIAAgAFwAIgBQAGUAcgB0AGgAIAAtACAAUwBvAHUAdABoACAARQBhAHMAdABcACIAOwBcAG4AIAAgACAAIAAgACAAIAAgACAAIABcACIAUABlAHIAdABoACAALQAgAFMAbwB1AHQAaAAgAFcAZQBzAHQAXAAiADsAXABuACAAIAAgACAAIAAgACAAIAAgACAAXAAiAFcAZQBzAHQAZQByAG4AIABBAHUAcwB0AHIAYQBsAGkAYQAgAC0AIABXAGgAZQBhAHQAIABCAGUAbAB0AFwAIgA7AFwAbgAgACAAIAAgACAAIAAgACAAIAAgAFwAIgBXAGUAcwB0AGUAcgBuACAAQQB1AHMAdAByAGEAbABpAGEAIAAtACAATwB1AHQAYgBhAGMAawAgACgATgBvAHIAdABoACkAXAAiADsAXABuACAAIAAgACAAIAAgACAAIAAgACAAXAAiAFcAZQBzAHQAZQByAG4AIABBAHUAcwB0AHIAYQBsAGkAYQAgAC0AIABPAHUAdABiAGEAYwBrACAAKABTAG8AdQB0AGgAKQBcAC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FcAZQB0AEEAbgBkAEQAcgB5AFoAbwBuAGUAcwBcAG4ALQAtAC0ALQAtAC0ALQAtAC0ALQAtAC0ALQAtAC0ALQAtAC0ALQAtAC0ALQAtAC0ALQAtAC0ALQAtAC0ALQAtAC0ALQAtAC0ALQAtAFwAbgAqAC8AXABuAFwAbgBDAG8AbQBtAG8AbgBfAFMAbwB1AHIAYwBlAEQAYQB0AGEAXwBXAGUAdABBAG4AZABEAHIAeQBaAG8AbgBlAHMAXwBUAGkAdABsAGUAXABuACAAIAA9AEwAQQBNAEIARABBACgAXAAiAFYARQBFAFIARwAgAEEAdQBzAHQAcgBhAGwAaQBhAG4AIAB3AGUAdAAgAGEAbgBkACAAZAByAHkAIAB6AG8AbgBlAHMAXAAiACkAOwBcAG4AXABuAEMAbwBtAG0AbwBuAF8AUwBvAHUAcgBjAGUARABhAHQAYQBfAFcAZQB0AEEAbgBkAEQAcgB5AFoAbwBuAGUAcwBfAFYAYQByAGkAYQBiAGwAZQBcAG4AIAAgAD0ATABBAE0AQgBEAEEAKABcACIAXAAiACkAOwBcAG4AXABuAEMAbwBtAG0AbwBuAF8AUwBvAHUAcgBjAGUARABhAHQAYQBfAFcAZQB0AEEAbgBkAEQAcgB5AFoAbwBuAGUAcwBfAFUAbgBpAHQAXABuACAAIAA9AEwAQQBNAEIARABBACgAXAAiAFwAIgApADsAXABuAFwAbgBDAG8AbQBtAG8AbgBfAFMAbwB1AHIAYwBlAEQAYQB0AGEAXwBXAGUAdABBAG4AZABEAHIAeQBaAG8AbgBlAHMAXwBTAG8AdQByAGMAZQBcAG4AIAAgAD0ATABBAE0AQgBEAEEAKABcACIAVgBFAEUAUgBHACAAMgAwADIANgA6ACAAVABhAGIAbABlACAAMQAuADIAOgAgAFQAcgBhAG4AcwBsAGEAdABpAG4AZwAgAGMAbABpAG0AYQB0AGUAIAB6AG8AbgBlAHMAIAB0AG8AIAB3AGUAdAAgAGEAbgBkACAAZAByAHkAIAB6AG8AbgBlAHMAXAAiACkAOwBcAG4AXABuAEMAbwBtAG0AbwBuAF8AUwBvAHUAcgBjAGUARABhAHQAYQBfAFcAZQB0AEEAbgBkAEQAcgB5AFoAbwBuAGUAcwBfAFYAYQByAGkAYQB0AGkAbwBuAFwAbgAgACAAIAA9AEwAQQBNAEIARABBACgAXABuACAAIAAgACAATQBBAEsARQBBAFIAUgBBAFkAKAAzACwAIAAxACwAIABcAG4AIAAgACAAIAAgACAATABBAE0AQgBEAEEAKAByACwAYwAsACAAXABuACAAIAAgACAAIAAgACAAIABJAE4ARABFAFgAKAB7AFwAbgAgACAAIAAgACAAIAAgACAAIAAgAFwAIgBWAEEAUgBJAEEAVABJAE8ATgAgAE8ARgAgAFMATwBVAFIAQwBFACAARABBAFQAQQA6AFwAIgA7AFwAbgAgACAAIAAgACAAIAAgACAAIAAgAFwAIgBBAGQAZABlAGQAIAB3AGEAcgBtACAALwAgAGMAbwBvAGwAIAB0AGUAbQBwAGUAcgBhAHQAZQAgAG0AbwBpAHMAdAAgAC8AIABkAHIAeQAgAC0AIABsAG8AdwAgAGYAcgBvAHMAdAAgAGEAbgBkACAAaABpAGcAaAAgAHQAZQBtAHAAIABjAGwAYQBzAHMAZQBzACAAdABvACAAYQBjAGMAbwBtAG0AbwBkAGEAdABlACAAYwBsAGkAbQBhAHQAZQAgAHMAYwBlAG4AYQByAGkAbwBzACAAZQB4AGMAbAB1AGQAZQBkACAAYgB5ACAAVgBFAEUAUgBHACAAYwByAGkAdABlAHIAaQBhAC4AXAAiADsAXABuACAAIAAgACAAIAAgACAAIAAgACAAXAAiAEYAaQB4AGUAZAAgAHQAeQBwAG8AIAAtACAAQwBoAGEAbgBnAGUAZAAgAFwAdQAwADAAMgA3AEYAcgB5AFwAdQAwADAAMgA3ACAAdABvACAAXAB1ADAAMAAyADcARAByAHkAXAB1ADAAMAAyADcALgBcACIAXABuACAAIAAgACAAIAAgACAAIAB9ACwAIAByACwAIABjACkAXABuACAAIAAgACAAIAAgACkAXABuACAAIAAgACAAKQBcAG4AIAAgACkAOwBcAG4AXABuAEMAbwBtAG0AbwBuAF8AUwBvAHUAcgBjAGUARABhAHQAYQBfAFcAZQB0AEEAbgBkAEQAcgB5AFoAbwBuAGUAcwBfAEQAYQB0AGEAXABuACAAIAAgAD0ATABBAE0AQgBEAEEAKABcAG4AIAAgACAAIABNAEEASwBFAEEAUgBSAEEAWQAoADEANQAsACAAMgAsACAAXABuACAAIAAgACAAIAAgAEwAQQBNAEIARABBACgAcgAsAGMALAAgAFwAbgAgACAAIAAgACAAIAAgACAASQBOAEQARQBYACgAewBcAG4AIAAgACAAIAAgACAAIAAgACAAIABcACIAQwBsAGkAbQBhAHQAZQAgAFoAbwBuAGUAXAAiACwAIABcACIAVwBlAHQAIABvAHIAIABEAHIAeQAgAFoAbwBuAGUAXAAiADsAXABuACAAIAAgACAAIAAgACAAIAAgACAAXAAiAFQAcgBvAHAAaQBjAGEAbAAgAG0AbwBuAHQAYQBuAGUAXAAiACwAIABcACIAVwBlAHQAIABjAGwAaQBtAGEAdABlACAAegBvAG4AZQBcACIAOwBcAG4AIAAgACAAIAAgACAAIAAgACAAIABcACIAVAByAG8AcABpAGMAYQBsACAAdwBlAHQAXAAiACwAIABcACIAVwBlAHQAIABjAGwAaQBtAGEAdABlACAAegBvAG4AZQBcACIAOwBcAG4AIAAgACAAIAAgACAAIAAgACAAIABcACIAVAByAG8AcABpAGMAYQBsACAAbQBvAGkAcwB0AFwAIgAsACAAXAAiAFcAZQB0ACAAYwBsAGkAbQBhAHQAZQAgAHoAbwBuAGUAXAAiADsAXABuACAAIAAgACAAIAAgACAAIAAgACAAXAAiAFQAcgBvAHAAaQBjAGEAbAAgAGQAcgB5AFwAIgAsACAAXAAiAEQAcgB5ACAAYwBsAGkAbQBhAHQAZQAgAHoAbwBuAGUAXAAiADsAXABuACAAIAAgACAAIAAgACAAIAAgACAAXAAiAFcAYQByAG0AIAB0AGUAbQBwAGUAcgBhAHQAZQAgAG0AbwBpAHMAdABcACIALAAgAFwAIgBXAGUAdAAgAGMAbABpAG0AYQB0AGUAIAB6AG8AbgBlAFwAIgA7AFwAbgAgACAAIAAgACAAIAAgACAAIAAgAFwAIgBXAGEAcgBtACAAdABlAG0AcABlAHIAYQB0AGUAIABkAHIAeQBcACIALAAgAFwAIgBEAHIAeQAgAGMAbABpAG0AYQB0AGUAIAB6AG8AbgBlAFwAIgA7AFwAbgAgACAAIAAgACAAIAAgACAAIAAgAFwAIgBDAG8AbwBsACAAdABlAG0AcABlAHIAYQB0AGUAIABtAG8AaQBzAHQAXAAiACwAIABcACIAVwBlAHQAIABjAGwAaQBtAGEAdABlACAAegBvAG4AZQBcACIAOwBcAG4AIAAgACAAIAAgACAAIAAgACAAIABcACIAQwBvAG8AbAAgAHQAZQBtAHAAZQByAGEAdABlACAAZAByAHkAXAAiACwAIABcACIARAByAHkAIABjAGwAaQBtAGEAdABlACAAegBvAG4AZQBcACIAOwBcAG4AIAAgACAAIAAgACAAIAAgACAAIABcACIAVwBhAHIAbQAgAHQAZQBtAHAAZQByAGEAdABlACAAbQBvAGkAcwB0ACAALQAgAGwAbwB3ACAAZgByAG8AcwB0AFwAIgAsACAAXAAiAFcAZQB0ACAAYwBsAGkAbQBhAHQAZQAgAHoAbwBuAGUAXAAiADsAXABuACAAIAAgACAAIAAgACAAIAAgACAAXAAiAFcAYQByAG0AIAB0AGUAbQBwAGUAcgBhAHQAZQAgAGQAcgB5ACAALQAgAGwAbwB3ACAAZgByAG8AcwB0AFwAIgAsACAAXAAiAEQAcgB5ACAAYwBsAGkAbQBhAHQAZQAgAHoAbwBuAGUAXAAiADsAXABuACAAIAAgACAAIAAgACAAIAAgACAAXAAiAFcAYQByAG0AIAB0AGUAbQBwAGUAcgBhAHQAZQAgAG0AbwBpAHMAdAAgAC0AIABoAGkAZwBoACAAdABlAG0AcABcACIALAAgAFwAIgBXAGUAdAAgAGMAbABpAG0AYQB0AGUAIAB6AG8AbgBlAFwAIgA7AFwAbgAgACAAIAAgACAAIAAgACAAIAAgAFwAIgBXAGEAcgBtACAAdABlAG0AcABlAHIAYQB0AGUAIABkAHIAeQAgAC0AIABoAGkAZwBoACAAdABlAG0AcABcACIALAAgAFwAIgBEAHIAeQAgAGMAbABpAG0AYQB0AGUAIAB6AG8AbgBlAFwAIgA7AFwAbgAgACAAIAAgACAAIAAgACAAIAAgAFwAIgBDAG8AbwBsACAAdABlAG0AcABlAHIAYQB0AGUAIABtAG8AaQBzAHQAIAAtACAAbABvAHcAIABmAHIAbwBzAHQAXAAiACwAIABcACIAVwBlAHQAIABjAGwAaQBtAGEAdABlACAAegBvAG4AZQBcACIAOwBcAG4AIAAgACAAIAAgACAAIAAgACAAIABcACIAQwBvAG8AbAAgAHQAZQBtAHAAZQByAGEAdABlACAAZAByAHkAIAAtACAAbABvAHcAIABmAHIAbwBzAHQAXAAiACwAIABcACIARAByAHkAIABjAGwAaQBtAGEAdABlACAAegBvAG4AZQBcAC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EMAbABpAG0AYQB0AGUAWgBvAG4AZQBzAFwAbgAtAC0ALQAtAC0ALQAtAC0ALQAtAC0ALQAtAC0ALQAtAC0ALQAtAC0ALQAtAC0ALQAtAC0ALQAtAC0ALQAtAC0ALQAtAC0ALQAtAC0AXABuACoALwBcAG4AXABuAEMAbwBtAG0AbwBuAF8AUwBvAHUAcgBjAGUARABhAHQAYQBfAEMAbABpAG0AYQB0AGUAWgBvAG4AZQBzAF8AVABpAHQAbABlAFwAbgAgACAAPQBMAEEATQBCAEQAQQAoAFwAIgBWAEUARQBSAEcAIABBAHUAcwB0AHIAYQBsAGkAYQBuACAAYwBsAGkAbQBhAHQAZQAgAHoAbwBuAGUAcwBcACIAKQA7AFwAbgBcAG4AQwBvAG0AbQBvAG4AXwBTAG8AdQByAGMAZQBEAGEAdABhAF8AQwBsAGkAbQBhAHQAZQBaAG8AbgBlAHMAXwBWAGEAcgBpAGEAYgBsAGUAXABuACAAIAA9AEwAQQBNAEIARABBACgAXAAiAFwAIgApADsAXABuAFwAbgBDAG8AbQBtAG8AbgBfAFMAbwB1AHIAYwBlAEQAYQB0AGEAXwBDAGwAaQBtAGEAdABlAFoAbwBuAGUAcwBfAFUAbgBpAHQAXABuACAAIAA9AEwAQQBNAEIARABBACgAXAAiAFwAIgApADsAXABuAFwAbgBDAG8AbQBtAG8AbgBfAFMAbwB1AHIAYwBlAEQAYQB0AGEAXwBDAGwAaQBtAGEAdABlAFoAbwBuAGUAcwBfAFMAbwB1AHIAYwBlAFwAbgAgACAAPQBMAEEATQBCAEQAQQAoAFwAIgBWAEUARQBSAEcAIAAyADAAMgA2ADoAIABUAGEAYgBsAGUAIAAxAC4AMwA6ACAAQwBsAGkAbQBhAHQAZQAgAGEAbgBkACAAUgBhAGkAbgBmAGEAbABsACAAegBvAG4AZQAgAGMAbABhAHMAcwBpAGYAaQBjAGEAdABpAG8AbgBzACAAYQBuAGQAIABkAGUAZgBpAG4AaQB0AGkAbwBuAHMAXAAiACkAOwBcAG4AXABuAEMAbwBtAG0AbwBuAF8AUwBvAHUAcgBjAGUARABhAHQAYQBfAEMAbABpAG0AYQB0AGUAWgBvAG4AZQBzAF8AVgBhAHIAaQBhAHQAaQBvAG4AXABuACAAIAAgAD0ATABBAE0AQgBEAEEAKABcAG4AIAAgACAAIABNAEEASwBFAEEAUgBSAEEAWQAoADUALAAgADEALAAgAFwAbgAgACAAIAAgACAAIABMAEEATQBCAEQAQQAoAHIALABjACwAIABcAG4AIAAgACAAIAAgACAAIAAgAEkATgBEAEUAWAAoAHsAXABuACAAIAAgACAAIAAgACAAIAAgACAAXAAiAFYAQQBSAEkAQQBUAEkATwBOACAATwBGACAAUwBPAFUAUgBDAEUAIABEAEEAVABBADoAXAAiADsAXABuACAAIAAgACAAIAAgACAAIAAgACAAXAAiAEEAZABkAGUAZAAgAHcAYQByAG0AIAAvACAAYwBvAG8AbAAgAHQAZQBtAHAAZQByAGEAdABlACAAbQBvAGkAcwB0ACAALwAgAGQAcgB5ACAALQAgAGwAbwB3ACAAZgByAG8AcwB0ACAAYQBuAGQAIABoAGkAZwBoACAAdABlAG0AcAAgAGMAbABhAHMAcwBlAHMAIAB0AG8AIABhAGMAYwBvAG0AbQBvAGQAYQB0AGUAIABjAGwAaQBtAGEAdABlACAAcwBjAGUAbgBhAHIAaQBvAHMAIABlAHgAYwBsAHUAZABlAGQAIABiAHkAIABWAEUARQBSAEcAIABjAHIAaQB0AGUAcgBpAGEALgBcACIAOwBcAG4AIAAgACAAIAAgACAAIAAgACAAIABcACIARgBpAHgAZQBkACAAdAB5AHAAbwAgAGkAbgAgAE0AQQBUACAAdgBhAGwAdQBlACAAZgBvAHIAIAB3AGEAcgBtACAAdABlAG0AcABlAHIAYQB0AGUAIABkAHIAeQAgAC0AIABjAGgAYQBuAGcAZQBkACAAMQAwACAAdABvACAAMQAxAC4AXAAiADsAXABuACAAIAAgACAAIAAgACAAIAAgACAAXAAiAEEAZABkAGUAZAAgAG0AaQBuACAAYQBuAGQAIABtAGEAeAAgAGMAbwBsAHUAbQBuAHMAIABmAG8AcgAgAE0AQQBUACwAIABNAEEAUAAsACAAZgByAG8AcwB0ACAAZABhAHkAcwAgAHAAZQByACAAeQBlAGEAcgAsACAAZQBsAGUAdgBhAHQAaQBvAG4ALAAgAE0AQQBQADoAUABFAFQAIAB0AG8AIABjAGEAbABjAHUAbABhAHQAZQAgAHoAbwBuAGUAcwAgAGYAcgBvAG0AIAByAGUAYQBsACAAYwBsAGkAbQBhAHQAZQAgAGQAYQB0AGEALgBcACIAOwBcAG4AIAAgACAAIAAgACAAIAAgACAAIABcACIARwBBAEYAIABhAGMAYwBlAHAAdABzACAAcgBhAGkAbgBmAGEAbABsACAAYQBzACAAYQAgAHAAcgBvAHgAeQAgAGYAbwByACAAcAByAGUAYwBpAHAAaQB0AGEAdABpAG8AbgAuAFwAIgBcAG4AIAAgACAAIAAgACAAIAAgAH0ALAAgAHIALAAgAGMAKQBcAG4AIAAgACAAIAAgACAAKQBcAG4AIAAgACAAIAApAFwAbgAgACAAKQA7AFwAbgBcAG4AQwBvAG0AbQBvAG4AXwBTAG8AdQByAGMAZQBEAGEAdABhAF8AQwBsAGkAbQBhAHQAZQBaAG8AbgBlAHMAXwBEAGEAdABhAFwAbgAgACAAIAA9AEwAQQBNAEIARABBACgAXABuACAAIAAgACAATQBBAEsARQBBAFIAUgBBAFkAKAA5ACwAIAAxADYALAAgAFwAbgAgACAAIAAgACAAIABMAEEATQBCAEQAQQAoAHIALABjACwAIABcAG4AIAAgACAAIAAgACAAIAAgAEkATgBEAEUAWAAoAHsAXABuACAAIAAgACAAIAAgACAAIAAgACAAXAAiAEMAbABpAG0AYQB0AGUAIABaAG8AbgBlAFwAIgAsACAAXAAiAE0AQQBUAFwAIgAsACAAXAAiAE0AQQBQAFwAIgAsACAAXAAiAEYAcgBvAHMAdAAgAGQAYQB5AHMAIABwAGUAcgAgAHkAZQBhAHIAXAAiACwAIABcACIARQBsAGUAdgBhAHQAaQBvAG4AXAAiACwAIABcACIATQBBAFAAOgBQAEUAVABcACIALAAgAFwAIgBNAGkAbgAgAHQAZQBtAHAAXAAiACwAIABcACIATQBhAHgAIAB0AGUAbQBwAFwAIgAsACAAXAAiAE0AaQBuACAAcgBhAGkAbgBmAGEAbABsAFwAIgAsACAAXAAiAE0AYQB4ACAAcgBhAGkAbgBmAGEAbABsAFwAIgAsACAAXAAiAE0AaQBuACAAZgByAG8AcwB0ACAAZABhAHkAcwBcACIALAAgAFwAIgBNAGEAeAAgAGYAcgBvAHMAdAAgAGQAYQB5AHMAXAAiACwAIABcACIATQBpAG4AIABlAGwAZQB2AGEAdABpAG8AbgBcACIALAAgAFwAIgBNAGEAeAAgAGUAbABlAHYAYQB0AGkAbwBuAFwAIgAsACAAXAAiAE0AaQBuACAATQBBAFAAOgBQAEUAVABcACIALAAgAFwAIgBNAGkAbgAgAE0AQQBQADoAUABFAFQAXAAiADsAXABuACAAIAAgACAAIAAgACAAIAAgACAAXAAiAFQAcgBvAHAAaQBjAGEAbAAgAG0AbwBuAHQAYQBuAGUAXAAiACwAIABcACIAXAB1ADAAMAAzAGUAIAAxADgAIABDAFwAIgAsACAAXAAiAEEAbgB5AFwAIgAsACAAXAAiAGQiIAA3AFwAIgAsACAAXAAiAFwAdQAwADAAMwBlACAAMQAwADAAMAAgAG0AXAAiACwAIABcACIAQQBuAHkAXAAiACwAIAAxADgALgAwADAAMQAsACAAOQA5ADkAOQA5ADkALAAgAC0AOQA5ADkAOQA5ADkALAAgADkAOQA5ADkAOQA5ACwAIAAtADkAOQA5ADkAOQA5ACwAIAA3ACwAIAAxADAAMAAwACwAIAA5ADkAOQA5ADkAOQAsACAALQA5ADkAOQA5ADkAOQAsACAAOQA5ADkAOQA5ADkAOwBcAG4AIAAgACAAIAAgACAAIAAgACAAIABcACIAVAByAG8AcABpAGMAYQBsACAAdwBlAHQAXAAiACwAIABcACIAXAB1ADAAMAAzAGUAIAAxADgAIABDAFwAIgAsACAAXAAiAFwAdQAwADAAMwBlACAAMgAwADAAMAAgAG0AbQBcACIALAAgAFwAIgBkIiAANwBcACIALAAgAFwAIgBkIiAAMQAwADAAMAAgAG0AXAAiACwAIABcACIAQQBuAHkAXAAiACwAIAAxADgALgAwADAAMQAsACAAOQA5ADkAOQA5ADkALAAgADIAMAAwADAALgAwADAAMQAsACAAOQA5ADkAOQA5ADkALAAgAC0AOQA5ADkAOQA5ADkALAAgADcALAAgAC0AOQA5ADkAOQA5ADkALAAgADkAOQA5AC4AOQA5ADkALAAgACAALQA5ADkAOQA5ADkAOQAsACAAOQA5ADkAOQA5ADkAOwBcAG4AIAAgACAAIAAgACAAIAAgACAAIABcACIAVAByAG8AcABpAGMAYQBsACAAbQBvAGkAcwB0AFwAIgAsACAAXAAiAFwAdQAwADAAMwBlACAAMQA4ACAAQwBcACIALAAgAFwAIgBcAHUAMAAwADMAZQAgADEAMAAwADAAIABtAG0AIAAtACAAZCIgADIAMAAwADAAIABtAG0AXAAiACwAIABcACIAZCIgADcAXAAiACwAIABcACIAZCIgADEAMAAwADAAIABtAFwAIgAsACAAXAAiAEEAbgB5AFwAIgAsACAAMQA4AC4AMAAwADEALAAgADkAOQA5ADkAOQA5ACwAIAAxADAAMAAwAC4AMAAwADEALAAgADIAMAAwADAALAAgAC0AOQA5ADkAOQA5ADkALAAgADcALAAgAC0AOQA5ADkAOQA5ADkALAAgADkAOQA5AC4AOQA5ADkALAAgACAALQA5ADkAOQA5ADkAOQAsACAAOQA5ADkAOQA5ADkAOwBcAG4AIAAgACAAIAAgACAAIAAgACAAIABcACIAVAByAG8AcABpAGMAYQBsACAAZAByAHkAXAAiACwAIABcACIAXAB1ADAAMAAzAGUAIAAxADgAIABDAFwAIgAsACAAXAAiAGQiIAAxADAAMAAwACAAbQBtAFwAIgAsACAAXAAiAGQiIAA3AFwAIgAsACAAXAAiAGQiIAAxADAAMAAwACAAbQBcACIALAAgAFwAIgBBAG4AeQBcACIALAAgADEAOAAuADAAMAAxACwAIAA5ADkAOQA5ADkAOQAsACAALQA5ADkAOQA5ADkAOQAsACAAMQAwADAAMAAsACAALQA5ADkAOQA5ADkAOQAsACAANwAsACAALQA5ADkAOQA5ADkAOQAsACAAOQA5ADkALgA5ADkAOQAsACAAIAAtADkAOQA5ADkAOQA5ACwAIAA5ADkAOQA5ADkAOQA7AFwAbgAgACAAIAAgACAAIAAgACAAIAAgAFwAIgBXAGEAcgBtACAAdABlAG0AcABlAHIAYQB0AGUAIABtAG8AaQBzAHQAXAAiACwAIABcACIAXAB1ADAAMAAzAGUAIAAxADAAIABDAFwAIgAsACAAXAAiAEEAbgB5AFwAIgAsACAAXAAiAEEAbgB5AFwAIgAsACAAXAAiAEEAbgB5AFwAIgAsACAAXAAiAFwAdQAwADAAMwBlACAAMQBcACIALAAgADEAMAAuADAAMAAxACwAIAA5ADkAOQA5ADkAOQAsACAALQA5ADkAOQA5ADkAOQAsACAAOQA5ADkAOQA5ADkALAAgAC0AOQA5ADkAOQA5ADkALAAgADkAOQA5ADkAOQA5ACwAIAAtADkAOQA5ADkAOQA5ACwAIAA5ADkAOQA5ADkAOQAsACAAMQAuADAAMAAxACwAIAA5ADkAOQA5ADkAOQA7AFwAbgAgACAAIAAgACAAIAAgACAAIAAgAFwAIgBXAGEAcgBtACAAdABlAG0AcABlAHIAYQB0AGUAIABkAHIAeQBcACIALAAgAFwAIgBcAHUAMAAwADMAZQAgADEAMAAgAEMAXAAiACwAIABcACIAQQBuAHkAXAAiACwAIABcACIAQQBuAHkAXAAiACwAIABcACIAQQBuAHkAXAAiACwAIABcACIAZCIgADEAXAAiACwAIAAxADAALgAwADAAMQAsACAAOQA5ADkAOQA5ADkALAAgAC0AOQA5ADkAOQA5ADkALAAgADkAOQA5ADkAOQA5ACwAIAAtADkAOQA5ADkAOQA5ACwAIAA5ADkAOQA5ADkAOQAsACAALQA5ADkAOQA5ADkAOQAsACAAOQA5ADkAOQA5ADkALAAgACAALQA5ADkAOQA5ADkAOQAsACAAMQA7AFwAbgAgACAAIAAgACAAIAAgACAAIAAgAFwAIgBDAG8AbwBsACAAdABlAG0AcABlAHIAYQB0AGUAIABtAG8AaQBzAHQAXAAiACwAIABcACIAXAB1ADAAMAAzAGUAIAAwACAAQwAgAC0AIABkIiAAMQAwACAAQwBcACIALAAgAFwAIgBBAG4AeQBcACIALAAgAFwAIgBBAG4AeQBcACIALAAgAFwAIgBBAG4AeQBcACIALAAgAFwAIgBcAHUAMAAwADMAZQAgADEAXAAiACwAIAAtADkAOQA5ADkAOQA5ACwAIAAxADAALAAgAC0AOQA5ADkAOQA5ADkALAAgADkAOQA5ADkAOQA5ACwAIAAtADkAOQA5ADkAOQA5ACwAIAA5ADkAOQA5ADkAOQAsACAALQA5ADkAOQA5ADkAOQAsACAAOQA5ADkAOQA5ADkALAAgADEALgAwADAAMQAsACAAOQA5ADkAOQA5ADkAOwBcAG4AIAAgACAAIAAgACAAIAAgACAAIABcACIAQwBvAG8AbAAgAHQAZQBtAHAAZQByAGEAdABlACAAZAByAHkAXAAiACwAIABcACIAXAB1ADAAMAAzAGUAIAAwACAAQwAgAC0AIABkIiAAMQAwACAAQwBcACIALAAgAFwAIgBBAG4AeQBcACIALAAgAFwAIgBBAG4AeQBcACIALAAgAFwAIgBBAG4AeQBcACIALAAgAFwAIgBkIiAAMQBcACIALAAgAC0AOQA5ADkAOQA5ADkALAAgADEAMAAsACAALQA5ADkAOQA5ADkAOQAsACAAOQA5ADkAOQA5ADkALAAgAC0AOQA5ADkAOQA5ADkALAAgADkAOQA5ADkAOQA5ACwAIAAtADkAOQA5ADkAOQA5ACwAIAA5ADkAOQA5ADkAOQAsACAAIAAtADkAOQA5ADkAOQA5ACwAIAAxAFwAbgAgACAAIAAgACAAIAAgACAAfQAsACAAcgAsACAAYwApAFwAbgAgACAAIAAgACAAIAApAFwAbgAgACAAIAAgACkAXABuACAAIAApADsAXABuAFwAbgBDAG8AbQBtAG8AbgBfAFMAbwB1AHIAYwBlAEQAYQB0AGEAXwBDAGwAaQBtAGEAdABlAFoAbwBuAGUAcwBfAEEAcABwAGUAbgBkAGkAYwBlAHMAXABuACAAIAAgAD0ATABBAE0AQgBEAEEAKABcAG4AIAAgACAAIABNAEEASwBFAEEAUgBSAEEAWQAoADQALAAgADEALAAgAFwAbgAgACAAIAAgACAAIABMAEEATQBCAEQAQQAoAHIALABjACwAIABcAG4AIAAgACAAIAAgACAAIAAgAEkATgBEAEUAWAAoAHsAXABuACAAIAAgACAAIAAgACAAIAAgACAAXAAiAE4AbwB0AGUAOgBcACIAOwBcAG4AIAAgACAAIAAgACAAIAAgACAAIABcACIATQBBAFQAIAA9ACAAbQBlAGEAbgAgAGEAbgBuAHUAYQBsACAAdABlAG0AcABlAHIAYQB0AHUAcgBlAFwAIgA7AFwAbgAgACAAIAAgACAAIAAgACAAIAAgAFwAIgBNAEEAUAAgAD0AIABtAGUAYQBuACAAYQBuAG4AdQBhAGwAIABwAHIAZQBjAGkAcABpAHQAYQB0AGkAbwBuAFwAIgA7AFwAbgAgACAAIAAgACAAIAAgACAAIAAgAFwAIgBQAEUAVAAgAD0AIABwAG8AdABlAG4AdABpAGEAbAAgAGUAdgBhAHAAbwB0AHIAYQBuAHMAcABpAHIAYQB0AGkAbwBuAFwAIgBcAG4AIAAgACAAIAAgACAAIAAgAH0ALAAgAHIALAAgAGMAKQBcAG4AIAAgACAAIAAgACAAKQBcAG4AIAAgACAAIAApAFwAbgAgACAAKQA7AFwAbgBcAG4AXABuAC8AKgAgAFwAbgAtAC0ALQAtAC0ALQAtAC0ALQAtAC0ALQAtAC0ALQAtAC0ALQAtAC0ALQAtAC0ALQAtAC0ALQAtAC0ALQAtAC0ALQAtAC0ALQAtAC0AXABuAEMAbwBtAG0AbwBuAF8AUwBvAHUAcgBjAGUARABhAHQAYQBfAFQAZQBtAHAAZQByAGEAdAB1AHIAZQBaAG8AbgBlAHMAXABuAC0ALQAtAC0ALQAtAC0ALQAtAC0ALQAtAC0ALQAtAC0ALQAtAC0ALQAtAC0ALQAtAC0ALQAtAC0ALQAtAC0ALQAtAC0ALQAtAC0ALQBcAG4AKgAvAFwAbgBcAG4AQwBvAG0AbQBvAG4AXwBTAG8AdQByAGMAZQBEAGEAdABhAF8AVABlAG0AcABlAHIAYQB0AHUAcgBlAFoAbwBuAGUAcwBfAFQAaQB0AGwAZQBcAG4AIAAgAD0ATABBAE0AQgBEAEEAKABcACIAVgBFAEUAUgBHACAAQQB1AHMAdAByAGEAbABpAGEAbgAgAHQAZQBtAHAAZQByAGEAdAB1AHIAZQAgAHoAbwBuAGUAcwBcACIAKQA7AFwAbgBcAG4AQwBvAG0AbQBvAG4AXwBTAG8AdQByAGMAZQBEAGEAdABhAF8AVABlAG0AcABlAHIAYQB0AHUAcgBlAFoAbwBuAGUAcwBfAFYAYQByAGkAYQBiAGwAZQBcAG4AIAAgAD0ATABBAE0AQgBEAEEAKABcACIAXAAiACkAOwBcAG4AXABuAEMAbwBtAG0AbwBuAF8AUwBvAHUAcgBjAGUARABhAHQAYQBfAFQAZQBtAHAAZQByAGEAdAB1AHIAZQBaAG8AbgBlAHMAXwBVAG4AaQB0AFwAbgAgACAAPQBMAEEATQBCAEQAQQAoAFwAIgBcACIAKQA7AFwAbgBcAG4AQwBvAG0AbQBvAG4AXwBTAG8AdQByAGMAZQBEAGEAdABhAF8AVABlAG0AcABlAHIAYQB0AHUAcgBlAFoAbwBuAGUAcwBfAFMAbwB1AHIAYwBlAFwAbgAgACAAPQBMAEEATQBCAEQAQQAoAFwAIgBWAEUARQBSAEcAIAAyADAAMgA2ADoAIABUAGEAYgBsAGUAIAAxAC4AMwA6ACAAQwBsAGkAbQBhAHQAZQAgAGEAbgBkACAAUgBhAGkAbgBmAGEAbABsACAAegBvAG4AZQAgAGMAbABhAHMAcwBpAGYAaQBjAGEAdABpAG8AbgBzACAAYQBuAGQAIABkAGUAZgBpAG4AaQB0AGkAbwBuAHMAXAAiACkAOwBcAG4AXABuAEMAbwBtAG0AbwBuAF8AUwBvAHUAcgBjAGUARABhAHQAYQBfAFQAZQBtAHAAZQByAGEAdAB1AHIAZQBaAG8AbgBlAHMAXwBWAGEAcgBpAGEAdABpAG8AbgBcAG4AIAAgAD0ATABBAE0AQgBEAEEAKABcACIAVgBBAFIASQBBAFQASQBPAE4AIABPAEYAIABTAE8AVQBSAEMARQAgAEQAQQBUAEEAOgAgAEEAZABkAGUAZAAgAGUAeAB0AHIAYQAgAE0AQQBUACAAbQBpAG4AIABhAG4AZAAgAE0AQQBUACAAbQBhAHgAIABjAG8AbAB1AG0AbgBzACAAdABvACAAYwBhAGwAYwB1AGwAYQB0AGUAIAB6AG8AbgBlACAAZgByAG8AbQAgAHIAZQBhAGwAIAB0AGUAbQBwAGUAcgBhAHQAdQByAGUAIABkAGEAdABhAC4AXAAiACkAOwBcAG4AXABuAEMAbwBtAG0AbwBuAF8AUwBvAHUAcgBjAGUARABhAHQAYQBfAFQAZQBtAHAAZQByAGEAdAB1AHIAZQBaAG8AbgBlAHMAXwBEAGEAdABhAFwAbgAgACAAIAA9AEwAQQBNAEIARABBACgAXABuACAAIAAgACAATQBBAEsARQBBAFIAUgBBAFkAKAA0ACwAIAA0ACwAIABcAG4AIAAgACAAIAAgACAATABBAE0AQgBEAEEAKAByACwAYwAsACAAXABuACAAIAAgACAAIAAgACAAIABJAE4ARABFAFgAKAB7AFwAbgAgACAAIAAgACAAIAAgACAAIAAgAFwAIgBUAGUAbQBwAGUAcgBhAHQAdQByAGUAIABaAG8AbgBlAFwAIgAsACAAXAAiAE0AZQBkAGkAYQBuACAAQQBuAG4AdQBhAGwAIABUAGUAbQBwAGUAcgBhAHQAdQByAGUAIAAoAE0AQQBUACkAXAAiACwAIABcACIATQBpAG4AIABNAEEAVABcACIALAAgAFwAIgBNAGEAeAAgAE0AQQBUAFwAIgA7AFwAbgAgACAAIAAgACAAIAAgACAAIAAgAFwAIgBXAGEAcgBtAFwAIgAsACAAXAAiAGUiIAAyADYAIABDAFwAIgAsACAAMgA2ACwAIAA5ADkAOQA5ADkAOQA7AFwAbgAgACAAIAAgACAAIAAgACAAIAAgAFwAIgBUAGUAbQBwAGUAcgBhAHQAZQBcACIALAAgAFwAIgAxADUAIAAtACAAMgA1ACAAQwBcACIALAAgADEANQAsACAAMgA1AC4AOQA5ADkAOwBcAG4AIAAgACAAIAAgACAAIAAgACAAIABcACIAQwBvAG8AbABcACIALAAgAFwAIgBkIiAAMQA0ACAAQwBcACIALAAgAC0AOQA5ADkAOQA5ADkALAAgADEANAAuADkAOQA5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SAGEAaQBuAGYAYQBsAGwAWgBvAG4AZQBzAFwAbgAtAC0ALQAtAC0ALQAtAC0ALQAtAC0ALQAtAC0ALQAtAC0ALQAtAC0ALQAtAC0ALQAtAC0ALQAtAC0ALQAtAC0ALQAtAC0ALQAtAC0AXABuACoALwBcAG4AXABuAEMAbwBtAG0AbwBuAF8AUwBvAHUAcgBjAGUARABhAHQAYQBfAFIAYQBpAG4AZgBhAGwAbABaAG8AbgBlAHMAXwBUAGkAdABsAGUAXABuACAAIAA9AEwAQQBNAEIARABBACgAXAAiAFYARQBFAFIARwAgAEEAdQBzAHQAcgBhAGwAaQBhAG4AIAByAGEAaQBuAGYAYQBsAGwAIAB6AG8AbgBlAHMAXAAiACkAOwBcAG4AXABuAEMAbwBtAG0AbwBuAF8AUwBvAHUAcgBjAGUARABhAHQAYQBfAFIAYQBpAG4AZgBhAGwAbABaAG8AbgBlAHMAXwBWAGEAcgBpAGEAYgBsAGUAXABuACAAIAA9AEwAQQBNAEIARABBACgAXAAiAFwAIgApADsAXABuAFwAbgBDAG8AbQBtAG8AbgBfAFMAbwB1AHIAYwBlAEQAYQB0AGEAXwBSAGEAaQBuAGYAYQBsAGwAWgBvAG4AZQBzAF8AVQBuAGkAdABcAG4AIAAgAD0ATABBAE0AQgBEAEEAKABcACIAXAAiACkAOwBcAG4AXABuAEMAbwBtAG0AbwBuAF8AUwBvAHUAcgBjAGUARABhAHQAYQBfAFIAYQBpAG4AZgBhAGwAbABaAG8AbgBlAHMAXwBTAG8AdQByAGMAZQBcAG4AIAAgAD0ATABBAE0AQgBEAEEAKABcACIAVgBFAEUAUgBHACAAMgAwADIANgA6ACAAVABhAGIAbABlACAAMQAuADMAOgAgAEMAbABpAG0AYQB0AGUAIABhAG4AZAAgAFIAYQBpAG4AZgBhAGwAbAAgAHoAbwBuAGUAIABjAGwAYQBzAHMAaQBmAGkAYwBhAHQAaQBvAG4AcwAgAGEAbgBkACAAZABlAGYAaQBuAGkAdABpAG8AbgBzAFwAIgApADsAXABuAFwAbgBDAG8AbQBtAG8AbgBfAFMAbwB1AHIAYwBlAEQAYQB0AGEAXwBSAGEAaQBuAGYAYQBsAGwAWgBvAG4AZQBzAF8AVgBhAHIAaQBhAHQAaQBvAG4AXABuACAAIAA9AEwAQQBNAEIARABBACgAXAAiAFYAQQBSAEkAQQBUAEkATwBOACAATwBGACAAUwBPAFUAUgBDAEUAIABEAEEAVABBADoAIABBAGQAZABlAGQAIABlAHgAdAByAGEAIABSAGEAaQBuAGYAYQBsAGwAIABtAGkAbgAgAGEAbgBkACAAUgBhAGkAbgBmAGEAbABsACAAbQBhAHgAIABjAG8AbAB1AG0AbgBzACAAdABvACAAYwBhAGwAYwB1AGwAYQB0AGUAIAB6AG8AbgBlACAAZgByAG8AbQAgAHIAZQBhAGwAIAByAGEAaQBuAGYAYQBsAGwAIABkAGEAdABhAC4AXAAiACkAOwBcAG4AXABuAEMAbwBtAG0AbwBuAF8AUwBvAHUAcgBjAGUARABhAHQAYQBfAFIAYQBpAG4AZgBhAGwAbABaAG8AbgBlAHMAXwBEAGEAdABhAFwAbgAgACAAIAA9AEwAQQBNAEIARABBACgAXABuACAAIAAgACAATQBBAEsARQBBAFIAUgBBAFkAKAAzACwAIAA0ACwAIABcAG4AIAAgACAAIAAgACAATABBAE0AQgBEAEEAKAByACwAYwAsACAAXABuACAAIAAgACAAIAAgACAAIABJAE4ARABFAFgAKAB7AFwAbgAgACAAIAAgACAAIAAgACAAIAAgAFwAIgBSAGEAaQBuAGYAYQBsAGwAIABaAG8AbgBlAFwAIgAsACAAXAAiAEEAbgBuAHUAYQBsACAAcgBhAGkAbgBmAGEAbABsAFwAIgAsACAAXAAiAFIAYQBpAG4AZgBhAGwAbAAgAG0AaQBuAFwAIgAsACAAXAAiAFIAYQBpAG4AZgBhAGwAbAAgAG0AYQB4AFwAIgA7AFwAbgAgACAAIAAgACAAIAAgACAAIAAgAFwAIgBIAGkAZwBoACAAcgBhAGkAbgBmAGEAbABsAFwAIgAsACAAXAAiAEEAbgBuAHUAYQBsACAAcgBhAGkAbgBmAGEAbABsACAAXAB1ADAAMAAzAGUAIAA2ADAAMABtAG0AXAAiACwAIAA2ADAAMAAuADAAMAAxACwAIAA5ADkAOQA5ADkAOQA7AFwAbgAgACAAIAAgACAAIAAgACAAIAAgAFwAIgBMAG8AdwAgAHIAYQBpAG4AZgBhAGwAbABcACIALAAgAFwAIgBBAG4AbgB1AGEAbAAgAHIAYQBpAG4AZgBhAGwAbAAgAGQiIAA2ADAAMABtAG0AXAAiACwAIAAtADkAOQA5ADkAOQA5ACwAIAA2ADAAMA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TABlAGEAYwBoAGkAbgBnAFoAbwBuAGUAcwBcAG4ALQAtAC0ALQAtAC0ALQAtAC0ALQAtAC0ALQAtAC0ALQAtAC0ALQAtAC0ALQAtAC0ALQAtAC0ALQAtAC0ALQAtAC0ALQAtAC0ALQAtAFwAbgAqAC8AXABuAFwAbgBDAG8AbQBtAG8AbgBfAFMAbwB1AHIAYwBlAEQAYQB0AGEAXwBMAGUAYQBjAGgAaQBuAGcAWgBvAG4AZQBzAF8AVABpAHQAbABlAFwAbgAgACAAPQBMAEEATQBCAEQAQQAoAFwAIgBWAEUARQBSAEcAIABBAHUAcwB0AHIAYQBsAGkAYQBuACAAbABlAGEAYwBoAGkAbgBnACAAegBvAG4AZQBzAFwAIgApADsAXABuAFwAbgBDAG8AbQBtAG8AbgBfAFMAbwB1AHIAYwBlAEQAYQB0AGEAXwBMAGUAYQBjAGgAaQBuAGcAWgBvAG4AZQBzAF8AVgBhAHIAaQBhAGIAbABlAFwAbgAgACAAPQBMAEEATQBCAEQAQQAoAFwAIgBcACIAKQA7AFwAbgBcAG4AQwBvAG0AbQBvAG4AXwBTAG8AdQByAGMAZQBEAGEAdABhAF8ATABlAGEAYwBoAGkAbgBnAFoAbwBuAGUAcwBfAFUAbgBpAHQAXABuACAAIAA9AEwAQQBNAEIARABBACgAXAAiAFwAIgApADsAXABuAFwAbgBDAG8AbQBtAG8AbgBfAFMAbwB1AHIAYwBlAEQAYQB0AGEAXwBMAGUAYQBjAGgAaQBuAGcAWgBvAG4AZQBzAF8AUwBvAHUAcgBjAGUAXABuACAAIAA9AEwAQQBNAEIARABBACgAXAAiAFYARQBFAFIARwAgADIAMAAyADYAOgAgAFQAYQBiAGwAZQAgADEALgAzADoAIABDAGwAaQBtAGEAdABlACAAYQBuAGQAIABSAGEAaQBuAGYAYQBsAGwAIAB6AG8AbgBlACAAYwBsAGEAcwBzAGkAZgBpAGMAYQB0AGkAbwBuAHMAIABhAG4AZAAgAGQAZQBmAGkAbgBpAHQAaQBvAG4AcwBcACIAKQA7AFwAbgBcAG4AQwBvAG0AbQBvAG4AXwBTAG8AdQByAGMAZQBEAGEAdABhAF8ATABlAGEAYwBoAGkAbgBnAFoAbwBuAGUAcwBfAFYAYQByAGkAYQB0AGkAbwBuAFwAbgAgACAAPQBMAEEATQBCAEQAQQAoAFwAIgBcACIAKQA7AFwAbgBcAG4AQwBvAG0AbQBvAG4AXwBTAG8AdQByAGMAZQBEAGEAdABhAF8ATABlAGEAYwBoAGkAbgBnAFoAbwBuAGUAcwBfAEQAYQB0AGEAXABuACAAIAAgAD0ATABBAE0AQgBEAEEAKABcAG4AIAAgACAAIABNAEEASwBFAEEAUgBSAEEAWQAoADMALAAgADIALAAgAFwAbgAgACAAIAAgACAAIABMAEEATQBCAEQAQQAoAHIALABjACwAIABcAG4AIAAgACAAIAAgACAAIAAgAEkATgBEAEUAWAAoAHsAXABuACAAIAAgACAAIAAgACAAIAAgACAAXAAiAEwAZQBhAGMAaABpAG4AZwAgAFoAbwBuAGUAXAAiACwAIABcACIATABlAGEAYwBoAGkAbgBnACAAYwByAGkAdABlAHIAaQBhAFwAIgA7AFwAbgAgACAAIAAgACAAIAAgACAAIAAgAFwAIgBMAGUAYQBjAGgAaQBuAGcAIABvAGMAYwB1AHIAcwBcACIALAAgAFwAIgCjAygANdhf3DXYTtw12FbcNdhb3CkAXAB1ADAAMAAzAGUAowMoADXYONw12EfcMAApACsANdhg3DXYXNw12FbcNdhZ3CAANdhk3DXYTtw12GHcNdhS3DXYX9wgAA4hNdhc3DXYWdw12FHcNdhW3DXYW9w12FTcIAA12FDcNdhO3DXYXdw12E7cNdhQ3DXYVtw12GHcNdhm3FwAIgA7AFwAbgAgACAAIAAgACAAIAAgACAAIAAgAFwAIgBMAGUAYQBjAGgAaQBuAGcAIABkAG8AZQBzACAAbgBvAHQAIABvAGMAYwB1AHIAXAAiACwAIABcACIAowMoADXYX9w12E7cNdhW3DXYW9wpAGQiowMoADXYONw12EfcMAApACsANdhg3DXYXNw12FbcNdhZ3CAANdhk3DXYTtw12GHcNdhS3DXYX9wgAA4hNdhc3DXYWdw12FHcNdhW3DXYW9w12FTcIAA12FDcNdhO3DXYXdw12E7cNdhQ3DXYVtw12GHcNdhm3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RgByAGEAYwBXAEUAVABcAG4ANQAuADUALgAyAC4AMwAgAEMAbwBuAHMAdABhAG4AdAAgAFAAYQByAGEAbQBlAHQAZQByAHMAXABuAEYAcgBhAGMAdABpAG8AbgAgAG8AZgAgAE4AIAB0AGgAYQB0ACAAaQBzACAAYQB2AGEAaQBsAGEAYgBsAGUAIABmAG8AcgAgAGwAZQBhAGMAaABpAG4AZwAgAGEAbgBkACAAcgB1AG4AbwBmAGYAXABuAC0ALQAtAC0ALQAtAC0ALQAtAC0ALQAtAC0ALQAtAC0ALQAtAC0ALQAtAC0ALQAtAC0ALQAtAC0ALQAtAC0ALQAtAC0ALQAtAC0ALQBcAG4AKgAvAFwAbgBcAG4AQwBvAG0AbQBvAG4AXwBTAG8AdQByAGMAZQBEAGEAdABhAF8ARgByAGEAYwBXAEUAVABfAFQAaQB0AGwAZQBcAG4AIAAgAD0ATABBAE0AQgBEAEEAKABcACIARgByAGEAYwB0AGkAbwBuACAAbwBmACAATgAgAHQAaABhAHQAIABpAHMAIABhAHYAYQBpAGwAYQBiAGwAZQAgAGYAbwByACAAbABlAGEAYwBoAGkAbgBnACAAYQBuAGQAIAByAHUAbgBvAGYAZgBcACIAKQA7AFwAbgBcAG4AQwBvAG0AbQBvAG4AXwBTAG8AdQByAGMAZQBEAGEAdABhAF8ARgByAGEAYwBXAEUAVABfAFUAbgBpAHQAXABuACAAIAA9AEwAQQBNAEIARABBACgAXAAiACgARABpAG0AZQBuAHMAaQBvAG4AbABlAHMAcwBcACIAKQA7AFwAbgBcAG4AQwBvAG0AbQBvAG4AXwBTAG8AdQByAGMAZQBEAGEAdABhAF8ARgByAGEAYwBXAEUAVABfAFMAbwB1AHIAYwBlAFwAbgAgACAAPQBMAEEATQBCAEQAQQAoAFwAIgBWAEUARQBSAEcAIAAyADAAMgA2ADoANQAuADUALgAyAC4AMwAgAEMAbwBuAHMAdABhAG4AdAAgAFAAYQByAGEAbQBlAHQAZQByAHMAXAAiACkAOwBcAG4AXABuAEMAbwBtAG0AbwBuAF8AUwBvAHUAcgBjAGUARABhAHQAYQBfAEYAcgBhAGMAVwBFAFQAXwBOAEkAUgBSAGUAZgBlAHIAZQBuAGMAZQBcAG4AIAAgAD0ATABBAE0AQgBEAEEAKABcACIAXAAiACkAOwBcAG4AXABuAEMAbwBtAG0AbwBuAF8AUwBvAHUAcgBjAGUARABhAHQAYQBfAEYAcgBhAGMAVwBFAFQAXwBEAGEAdABhAFwAbgAgACAAPQBMAEEATQBCAEQAQQAoAFwAbgAgACAAIAAgAE0AQQBLAEUAQQBSAFIAQQBZACgAMwAsACAAMgAsACAAXABuACAAIAAgACAAIAAgAEwAQQBNAEIARABBACgAcgAsAGMALAAgAFwAbgAgACAAIAAgACAAIAAgACAASQBOAEQARQBYACgAewBcAG4AIAAgACAAIAAgACAAIAAgACAAIABcACIASQBzACAAaQBuACAAbABlAGEAYwBoAGkAbgBnACAAegBvAG4AZQBcACIALABcACIARgByAGEAYwBXAEUAVABcACIAOwBcAG4AIAAgACAAIAAgACAAIAAgACAAIABcACIAWQBlAHMAIAAtACAAaQBuACAAbABlAGEAYwBoAGkAbgBnACAAegBvAG4AZQBcACIALAAgADEAOwBcAG4AIAAgACAAIAAgACAAIAAgACAAIABcACIATgBvACAALQAgAG4AbwB0ACAAaQBuACAAbABlAGEAYwBoAGkAbgBnACAAegBvAG4AZQBcACIALAAgADAAXABuACAAIAAgACAAIAAgACAAIAB9ACwAIAByACwAIABjACkAXABuACAAIAAgACAAIAAgACkAXABuACAAIAAgACAAKQBcAG4AIAAgACkAOwBcAG4AXABuACAAIABDAG8AbQBtAG8AbgBfAFMAbwB1AHIAYwBlAEQAYQB0AGEAXwBGAHIAYQBjAFcARQBUAF8AVgBhAHIAaQBhAHQAaQBvAG4AXABuACAAIAA9AEwAQQBNAEIARABBACgAKABcACIAXAAiACkAKQA7AFwAbgBcAG4AXABuAFwAbgAvACoAIABcAG4ALQAtAC0ALQAtAC0ALQAtAC0ALQAtAC0ALQAtAC0ALQAtAC0ALQAtAC0ALQAtAC0ALQAtAC0ALQAtAC0ALQAtAC0ALQAtAC0ALQAtAFwAbgBDAG8AbQBtAG8AbgBfAFMAbwB1AHIAYwBlAEQAYQB0AGEAXwBEAGEAdABhAFMAYwBvAHIAZQBzAF8AUwBjAG8AcABlADMAXABuAC0ALQAtAC0ALQAtAC0ALQAtAC0ALQAtAC0ALQAtAC0ALQAtAC0ALQAtAC0ALQAtAC0ALQAtAC0ALQAtAC0ALQAtAC0ALQAtAC0ALQBcAG4AKgAvAFwAbgBcAG4AQwBvAG0AbQBvAG4AXwBTAG8AdQByAGMAZQBEAGEAdABhAF8ARABhAHQAYQBTAGMAbwByAGUAcwBfAFMAYwBvAHAAZQAzAF8AVABpAHQAbABlAFwAbgAgACAAPQBMAEEATQBCAEQAQQAoAFwAIgBBAHUAcwB0AHIAYQBsAGkAYQBuACAAZABhAHQAYQAgAHMAYwBvAHIAZQBzACAAZgBvAHIAIABzAGMAbwBwAGUAIAAzAFwAIgApADsAXABuAFwAbgBDAG8AbQBtAG8AbgBfAFMAbwB1AHIAYwBlAEQAYQB0AGEAXwBEAGEAdABhAFMAYwBvAHIAZQBzAF8AUwBjAG8AcABlADMAXwBWAGEAcgBpAGEAYgBsAGUAXABuACAAIAA9AEwAQQBNAEIARABBACgAXAAiAFwAIgApADsAXABuAFwAbgBDAG8AbQBtAG8AbgBfAFMAbwB1AHIAYwBlAEQAYQB0AGEAXwBEAGEAdABhAFMAYwBvAHIAZQBzAF8AUwBjAG8AcABlADMAXwBVAG4AaQB0AFwAbgAgACAAPQBMAEEATQBCAEQAQQAoAFwAIgBcACIAKQA7AFwAbgBcAG4AQwBvAG0AbQBvAG4AXwBTAG8AdQByAGMAZQBEAGEAdABhAF8ARABhAHQAYQBTAGMAbwByAGUAcwBfAFMAYwBvAHAAZQAzAF8AUwBvAHUAcgBjAGUAXABuACAAIAA9AEwAQQBNAEIARABBACgAXAAiAFYARQBFAFIARwAgADIAMAAyADYAOgAgAFgAWABYAFgAWABYAFgAWABcACIAKQA7AFwAbgBcAG4AQwBvAG0AbQBvAG4AXwBTAG8AdQByAGMAZQBEAGEAdABhAF8ARABhAHQAYQBTAGMAbwByAGUAcwBfAFMAYwBvAHAAZQAzAF8AVgBhAHIAaQBhAHQAaQBvAG4AXABuACAAIAA9AEwAQQBNAEIARABBACgAXAAiAFwAIgApADsAXABuAFwAbgBDAG8AbQBtAG8AbgBfAFMAbwB1AHIAYwBlAEQAYQB0AGEAXwBEAGEAdABhAFMAYwBvAHIAZQBzAF8AUwBjAG8AcABlADMAXwBEAGEAdABhAFwAbgAgACAAIAA9AEwAQQBNAEIARABBACgAXABuACAAIAAgACAATQBBAEsARQBBAFIAUgBBAFkAKAA2ACwAIAAyACwAIABcAG4AIAAgACAAIAAgACAATABBAE0AQgBEAEEAKAByACwAYwAsACAAXABuACAAIAAgACAAIAAgACAAIABJAE4ARABFAFgAKAB7AFwAbgAgACAAIAAgACAAIAAgACAAIAAgAFwAIgBEAGEAdABhACAAcwBvAHUAcgBjAGUAXAAiACwAIABcACIARABhAHQAYQAgAHMAYwBvAHIAZQBcACIAOwBcAG4AIAAgACAAIAAgACAAIAAgACAAIABcACIASQBuAHQAZQByAG4AYQB0AGkAbwBuAGEAbAAgAHMAYwBvAHAAZQAgADMAIABkAGEAdABhAGIAYQBzAGUAXAAiACwAIAAxADsAXABuACAAIAAgACAAIAAgACAAIAAgACAAXAAiAEEAdQBzAHQAcgBhAGwAaQBhAG4AIABzAGMAbwBwAGUAIAAzACAAZABhAHQAYQBiAGEAcwBlAFwAIgAsACAAMgA7AFwAbgAgACAAIAAgACAAIAAgACAAIAAgAFwAIgBTAHQAYQB0AGUAIABvAHIAIAByAGUAZwBpAG8AbgBhAGwAIABzAGMAbwBwAGUAIAAzACAAZABhAHQAYQBiAGEAcwBlAFwAIgAsACAAMwA7AFwAbgAgACAAIAAgACAAIAAgACAAIAAgAFwAIgBFAG0AaQBzAHMAaQBvAG4AcwAgAGkAbgB0AGUAbgBzAGkAdAB5ACAAYwBhAGwAYwB1AGwAYQB0AGUAZAAgAGYAcgBvAG0AIABhAHAAcAByAG8AdgBlAGQAIABtAGUAdABoAG8AZABcACIALAAgADQAOwBcAG4AIAAgACAAIAAgACAAIAAgACAAIABcACIAVgBlAHIAaQBmAGkAZQBkACAAYwByAGUAZABlAG4AdABpAGEAbAAgAG0AYQB0AGMAaABpAG4AZwAgAEkAUwBPADEANAAwADYANwBcACIALAAgADUAXABuACAAIAAgACAAIAAgACAAIAB9ACwAIAByACwAIABjACkAXABuACAAIAAgACAAIAAgACkAXABuACAAIAAgACAAKQBcAG4AIAAgACkAOwBcAG4AXABuAFwAbgAvACoAIABcAG4ALQAtAC0ALQAtAC0ALQAtAC0ALQAtAC0ALQAtAC0ALQAtAC0ALQAtAC0ALQAtAC0ALQAtAC0ALQAtAC0ALQAtAC0ALQAtAC0ALQAtAFwAbgBDAG8AbQBtAG8AbgBfAFMAbwB1AHIAYwBlAEQAYQB0AGEAXwBGAHIAYQBjAEwARQBBAEMASABcAG4ANQAuADUALgAyAC4AMwAgAEMAbwBuAHMAdABhAG4AdAAgAFAAYQByAGEAbQBlAHQAZQByAHMAXABuAEYAcgBhAGMAdABpAG8AbgAgAG8AZgAgAE4AIAB0AGgAYQB0ACAAaQBzACAAYQB2AGEAaQBsAGEAYgBsAGUAIABmAG8AcgAgAGwAZQBhAGMAaABpAG4AZwAgAGEAbgBkACAAcgB1AG4AbwBmAGYAXABuAC0ALQAtAC0ALQAtAC0ALQAtAC0ALQAtAC0ALQAtAC0ALQAtAC0ALQAtAC0ALQAtAC0ALQAtAC0ALQAtAC0ALQAtAC0ALQAtAC0ALQBcAG4AKgAvAFwAbgBcAG4AQwBvAG0AbQBvAG4AXwBTAG8AdQByAGMAZQBEAGEAdABhAF8ARgByAGEAYwBMAEUAQQBDAEgAXwBUAGkAdABsAGUAXABuACAAIAA9AEwAQQBNAEIARABBACgAXAAiAEYAcgBhAGMAdABpAG8AbgAgAG8AZgAgAE4AIAB0AGgAYQB0ACAAaQBzACAAYQB2AGEAaQBsAGEAYgBsAGUAIABmAG8AcgAgAGwAZQBhAGMAaABpAG4AZwAgAGEAbgBkACAAcgB1AG4AbwBmAGYAXAAiACkAOwBcAG4AXABuAEMAbwBtAG0AbwBuAF8AUwBvAHUAcgBjAGUARABhAHQAYQBfAEYAcgBhAGMATABFAEEAQwBIAF8AVQBuAGkAdABcAG4AIAAgAD0ATABBAE0AQgBEAEEAKABcACIAKABEAGkAbQBlAG4AcwBpAG8AbgBsAGUAcwBzAFwAIgApADsAXABuAFwAbgBDAG8AbQBtAG8AbgBfAFMAbwB1AHIAYwBlAEQAYQB0AGEAXwBGAHIAYQBjAEwARQBBAEMASABfAFMAbwB1AHIAYwBlAFwAbgAgACAAPQBMAEEATQBCAEQAQQAoAFwAIgBWAEUARQBSAEcAIAAyADAAMgA2ADoANQAuADUALgAyAC4AMwAgAEMAbwBuAHMAdABhAG4AdAAgAFAAYQByAGEAbQBlAHQAZQByAHMAXAAiACkAOwBcAG4AXABuAEMAbwBtAG0AbwBuAF8AUwBvAHUAcgBjAGUARABhAHQAYQBfAEYAcgBhAGMATABFAEEAQwBIAF8ATgBJAFIAUgBlAGYAZQByAGUAbgBjAGUAXABuACAAIAA9AEwAQQBNAEIARABBACgAXAAiAE4AYQB0AGkAbwBuAGEAbAAgAEkAbgB2AGUAbgB0AG8AcgB5ACAAUgBlAHAAbwByAHQAIABWAG8AbAB1AG0AZQAgADEAOgAgAEwAZQBhAGMAaABpAG4AZwAgAGEAbgBkACAAcgB1AG4AbwBmAGYAIAAoADMALgBEAC4AYgAuADIAKQBcACIAKQA7AFwAbgBcAG4AQwBvAG0AbQBvAG4AXwBTAG8AdQByAGMAZQBEAGEAdABhAF8ARgByAGEAYwBMAEUAQQBDAEgAXwBEAGEAdABhAFwAbgAgACAAPQBMAEEATQBCAEQAQQAoAFwAbgAgACAAIAAgAE0AQQBLAEUAQQBSAFIAQQBZACgAMQAsACAAMgAsACAAXABuACAAIAAgACAAIAAgAEwAQQBNAEIARABBACgAcgAsAGMALAAgAFwAbgAgACAAIAAgACAAIAAgACAASQBOAEQARQBYACgAewBcAG4AIAAgACAAIAAgACAAIAAgACAAIABcACIARgByAGEAYwBMAEUAQQBDAEgAXAAiACwAMAAuADIANABcAG4AIAAgACAAIAAgACAAIAAgAH0ALAAgAHIALAAgAGMAKQBcAG4AIAAgACAAIAAgACAAKQBcAG4AIAAgACAAIAApAFwAbgAgACAAKQA7AFwAbgBcAG4AIAAgAEMAbwBtAG0AbwBuAF8AUwBvAHUAcgBjAGUARABhAHQAYQBfAEYAcgBhAGMATABFAEEAQwBIAF8AVgBhAHIAaQBhAHQAaQBvAG4AXABuACAAIAA9AEwAQQBNAEIARABBACgAKABcACIAXAAiACkAKQA7AFwAbgBcAG4AXABuAFwAbgAvACoAIABcAG4ALQAtAC0ALQAtAC0ALQAtAC0ALQAtAC0ALQAtAC0ALQAtAC0ALQAtAC0ALQAtAC0ALQAtAC0ALQAtAC0ALQAtAC0ALQAtAC0ALQAtAFwAbgBDAG8AbQBtAG8AbgBfAFMAbwB1AHIAYwBlAEQAYQB0AGEAXwBFAEYAbABlAGEAYwBoAFwAbgA1AC4ANQAuADIALgAzACAAQwBvAG4AcwB0AGEAbgB0ACAAUABhAHIAYQBtAGUAdABlAHIAcwBcAG4ARQBtAGkAcwBzAGkAbwBuACAAZgBhAGMAdABvAHIAIABmAG8AcgAgAG4AaQB0AHIAbwBnAGUAbgAgAGwAZQBhAGMAaABpAG4AZwAgAGEAbgBkACAAcgB1AG4AbwBmAGYAXABuAC0ALQAtAC0ALQAtAC0ALQAtAC0ALQAtAC0ALQAtAC0ALQAtAC0ALQAtAC0ALQAtAC0ALQAtAC0ALQAtAC0ALQAtAC0ALQAtAC0ALQBcAG4AKgAvAFwAbgBcAG4AQwBvAG0AbQBvAG4AXwBTAG8AdQByAGMAZQBEAGEAdABhAF8ARQBGAGwAZQBhAGMAaABfAFQAaQB0AGwAZQBcAG4AIAAgAD0ATABBAE0AQgBEAEEAKABcACIARQBtAGkAcwBzAGkAbwBuACAAZgBhAGMAdABvAHIAIABmAG8AcgAgAG4AaQB0AHIAbwBnAGUAbgAgAGwAZQBhAGMAaABpAG4AZwAgAGEAbgBkACAAcgB1AG4AbwBmAGYAXAAiACkAOwBcAG4AXABuAEMAbwBtAG0AbwBuAF8AUwBvAHUAcgBjAGUARABhAHQAYQBfAEUARgBsAGUAYQBjAGgAXwBVAG4AaQB0AFwAbgAgACAAPQBMAEEATQBCAEQAQQAoAFwAIgAoAGsAZwAgAE4AMgBPAC0ATgAgAC8AIABrAGcAIABOAFwAIgApADsAXABuAFwAbgBDAG8AbQBtAG8AbgBfAFMAbwB1AHIAYwBlAEQAYQB0AGEAXwBFAEYAbABlAGEAYwBoAF8AUwBvAHUAcgBjAGUAXABuACAAIAA9AEwAQQBNAEIARABBACgAXAAiAFYARQBFAFIARwAgADIAMAAyADYAOgA1AC4ANQAuADIALgAzACAAQwBvAG4AcwB0AGEAbgB0ACAAUABhAHIAYQBtAGUAdABlAHIAcwBcACIAKQA7AFwAbgBcAG4AQwBvAG0AbQBvAG4AXwBTAG8AdQByAGMAZQBEAGEAdABhAF8ARQBGAGwAZQBhAGMAaABfAE4ASQBSAFIAZQBmAGUAcgBlAG4AYwBlAFwAbgAgACAAPQBMAEEATQBCAEQAQQAoAFwAIgBOAGEAdABpAG8AbgBhAGwAIABJAG4AdgBlAG4AdABvAHIAeQAgAFIAZQBwAG8AcgB0ACAAVgBvAGwAdQBtAGUAIAAxADoAIABFAHEAdQBhAHQAaQBvAG4AIAAzAC4ARAAuAEIAXwAxADAAXAAiACkAOwBcAG4AXABuAEMAbwBtAG0AbwBuAF8AUwBvAHUAcgBjAGUARABhAHQAYQBfAEUARgBsAGUAYQBjAGgAXwBEAGEAdABhAFwAbgAgACAAPQBMAEEATQBCAEQAQQAoAFwAbgAgACAAIAAgAE0AQQBLAEUAQQBSAFIAQQBZACgAMQAsACAAMgAsACAAXABuACAAIAAgACAAIAAgAEwAQQBNAEIARABBACgAcgAsAGMALAAgAFwAbgAgACAAIAAgACAAIAAgACAASQBOAEQARQBYACgAewBcAG4AIAAgACAAIAAgACAAIAAgACAAIABcACIARQBGAGwAZQBhAGMAaABcACIALAAwAC4AMAAxADEAXABuACAAIAAgACAAIAAgACAAIAB9ACwAIAByACwAIABjACkAXABuACAAIAAgACAAIAAgACkAXABuACAAIAAgACAAKQBcAG4AIAAgACkAOwBcAG4AXABuACAAIABDAG8AbQBtAG8AbgBfAFMAbwB1AHIAYwBlAEQAYQB0AGEAXwBFAEYAbABlAGEAYwBoAF8AVgBhAHIAaQBhAHQAaQBvAG4AXABuACAAIAA9AEwAQQBNAEIARABBACgAKABcACIAXAAiACkAKQA7AFwAbgBcAG4AXABuAC8AKgAgAFwAbgAtAC0ALQAtAC0ALQAtAC0ALQAtAC0ALQAtAC0ALQAtAC0ALQAtAC0ALQAtAC0ALQAtAC0ALQAtAC0ALQAtAC0ALQAtAC0ALQAtAC0AXABuAEMAbwBtAG0AbwBuAF8AUwBvAHUAcgBjAGUARABhAHQAYQBfAEUARgBOADIATwBcAG4AVABhAGIAbABlACAAQQAuADIALgAyAC4AMQBcAG4ATgBpAHQAcgBvAHUAcwAgAG8AeABpAGQAZQAgAGUAbQBpAHMAcwBpAG8AbgAgAGYAYQBjAHQAbwByAHMAIABmAG8AcgAgAGkAbgBvAHIAZwBhAG4AaQBjACAAZgBlAHIAdABpAGwAaQBzAGUAcgAgAGEAcABwAGwAaQBjAGEAdABpAG8AbgAgACgAawBnACAATgAyAE8ALQBOAC8AawBnACAATgApACAAKABFAEYATgAyAE8AKQBcAG4ALQAtAC0ALQAtAC0ALQAtAC0ALQAtAC0ALQAtAC0ALQAtAC0ALQAtAC0ALQAtAC0ALQAtAC0ALQAtAC0ALQAtAC0ALQAtAC0ALQAtAFwAbgAqAC8AXABuAFwAbgBDAG8AbQBtAG8AbgBfAFMAbwB1AHIAYwBlAEQAYQB0AGEAXwBFAEYATgAyAE8AXwBUAGkAdABsAGUAXABuACAAIAA9AEwAQQBNAEIARABBACgAXAAiAE4AaQB0AHIAbwB1AHMAIABvAHgAaQBkAGUAIABlAG0AaQBzAHMAaQBvAG4AIABmAGEAYwB0AG8AcgBzACAAZgBvAHIAIABpAG4AbwByAGcAYQBuAGkAYwAgAGYAZQByAHQAaQBsAGkAcwBlAHIAIABhAHAAcABsAGkAYwBhAHQAaQBvAG4AXAAiACkAOwBcAG4AXABuAEMAbwBtAG0AbwBuAF8AUwBvAHUAcgBjAGUARABhAHQAYQBfAEUARgBOADIATwBfAFUAbgBpAHQAXABuACAAIAA9AEwAQQBNAEIARABBACgAXAAiACgAawBnACAATgAyAE8ALQBOACAALwAgAGsAZwAgAE4AXAAiACkAOwBcAG4AXABuAEMAbwBtAG0AbwBuAF8AUwBvAHUAcgBjAGUARABhAHQAYQBfAEUARgBOADIATwBfAFMAbwB1AHIAYwBlAFwAbgAgACAAPQBMAEEATQBCAEQAQQAoAFwAIgBWAEUARQBSAEcAIAAyADAAMgA2ADoAIABUAGEAYgBsAGUAIABBAC4AMgAuADIALgAxAFwAIgApADsAXABuAFwAbgBDAG8AbQBtAG8AbgBfAFMAbwB1AHIAYwBlAEQAYQB0AGEAXwBFAEYATgAyAE8AXwBOAEkAUgBSAGUAZgBlAHIAZQBuAGMAZQBcAG4AIAAgAD0ATABBAE0AQgBEAEEAKABcACIAXAAiACkAOwBcAG4AXABuAEMAbwBtAG0AbwBuAF8AUwBvAHUAcgBjAGUARABhAHQAYQBfAEUARgBOADIATwBfAEQAYQB0AGEAXABuACAAIAA9AEwAQQBNAEIARABBACgAXABuACAAIAAgACAATQBBAEsARQBBAFIAUgBBAFkAKAAxADQALAAgADUALAAgAFwAbgAgACAAIAAgACAAIABMAEEATQBCAEQAQQAoAHIALABjACwAIABcAG4AIAAgACAAIAAgACAAIAAgAEkATgBEAEUAWAAoAHsAXABuACAAIAAgACAAIAAgACAAIAAgACAAXAAiAFAAcgBvAGQAdQBjAHQAaQBvAG4AIABzAHkAcwB0AGUAbQAgAGoAXAAiACwAXAAiAEUARgBOADIATwBcACIALAAgAFwAIgBQAHIAbwBkAHUAYwB0AGkAbwBuACAAcwB5AHMAdABlAG0AIABvAG4AbAB5AFwAIgAsACAAXAAiAEkAcgByAGkAZwBhAHQAaQBvAG4AIABtAGUAdABoAG8AZABcACIALAAgAFwAIgBSAGEAaQBuAGYAYQBsAGwAIAB6AG8AbgBlAFwAIgA7AFwAbgAgACAAIAAgACAAIAAgACAAIAAgAFwAIgBJAHIAcgBpAGcAYQB0AGUAZAAgAHAAYQBzAHQAdQByAGUAXAAiACwAMAAuADAAMAA1ADkALAAgAFwAIgBQAGEAcwB0AHUAcgBlAFwAIgAsACAAXAAiAEEAbgB5AFwAIgAsACAAXAAiAEEAbgB5AFwAIgA7AFwAbgAgACAAIAAgACAAIAAgACAAIAAgAFwAIgBJAHIAcgBpAGcAYQB0AGUAZAAgAGMAcgBvAHAAXAAiACwAMAAuADAAMAA3ACwAIABcACIAQwByAG8AcABcACIALAAgAFwAIgBBAG4AeQBcACIALAAgAFwAIgBBAG4AeQBcACIAOwBcAG4AIAAgACAAIAAgACAAIAAgACAAIABcACIATgBvAG4ALQBpAHIAcgBpAGcAYQB0AGUAZAAgAHAAYQBzAHQAdQByAGUAXAAiACwAMAAuADAAMAAxADgALAAgAFwAIgBQAGEAcwB0AHUAcgBlAFwAIgAsACAAXAAiAE4AbwB0ACAAaQByAHIAaQBnAGEAdABlAGQAXAAiACwAIABcACIATABvAHcAIAByAGEAaQBuAGYAYQBsAGwAXAAiADsAXABuACAAIAAgACAAIAAgACAAIAAgACAAXAAiAE4AbwBuAC0AaQByAHIAaQBnAGEAdABlAGQAIABwAGEAcwB0AHUAcgBlAFwAIgAsADAALgAwADAAMQA4ACwAIABcACIAUABhAHMAdAB1AHIAZQBcACIALAAgAFwAIgBOAG8AdAAgAGkAcgByAGkAZwBhAHQAZQBkAFwAIgAsACAAXAAiAEgAaQBnAGgAIAByAGEAaQBuAGYAYQBsAGwAXAAiADsAXABuACAAIAAgACAAIAAgACAAIAAgACAAXAAiAE4AbwBuAC0AaQByAHIAaQBnAGEAdABlAGQAIABjAHIAbwBwACAAKABsAG8AdwAgAHIAYQBpAG4AZgBhAGwAbAApAFwAIgAsADAALgAwADAAMgA5ACwAIABcACIAQwByAG8AcABcACIALAAgAFwAIgBOAG8AdAAgAGkAcgByAGkAZwBhAHQAZQBkAFwAIgAsACAAXAAiAEwAbwB3ACAAcgBhAGkAbgBmAGEAbABsAFwAIgA7AFwAbgAgACAAIAAgACAAIAAgACAAIAAgAFwAIgBOAG8AbgAtAGkAcgByAGkAZwBhAHQAZQBkACAAYwByAG8AcAAgACgAaABpAGcAaAAgAHIAYQBpAG4AZgBhAGwAbAApAFwAIgAsADAALgAwADAAOAAsACAAXAAiAEMAcgBvAHAAXAAiACwAIABcACIATgBvAHQAIABpAHIAcgBpAGcAYQB0AGUAZABcACIALAAgAFwAIgBIAGkAZwBoACAAcgBhAGkAbgBmAGEAbABsAFwAIgA7AFwAbgAgACAAIAAgACAAIAAgACAAIAAgAFwAIgBTAHUAZwBhAHIAXAAiACwAMAAuADAAMQA5ADkALAAgAFwAIgBTAHUAZwBhAHIAXAAiACwAIABcACIAQQBuAHkAXAAiACwAIABcACIAQQBuAHkAXAAiADsAXABuACAAIAAgACAAIAAgACAAIAAgACAAXAAiAEMAbwB0AHQAbwBuAFwAIgAsADAALgAwADAANQAzACwAIABcACIAQwBvAHQAdABvAG4AXAAiACwAIABcACIAQQBuAHkAXAAiACwAIABcACIAQQBuAHkAXAAiADsAXABuACAAIAAgACAAIAAgACAAIAAgACAAXAAiAEgAbwByAHQAaQBjAHUAbAB0AHUAcgBhAGwAIABjAHIAbwBwAHMAXAAiACwAMAAuADAAMAA2ADQALAAgAFwAIgBIAG8AcgB0AGkAYwB1AGwAdAB1AHIAYQBsACAAYwByAG8AcABzAFwAIgAsACAAXAAiAEEAbgB5AFwAIgAsACAAXAAiAEEAbgB5AFwAIgA7AFwAbgAgACAAIAAgACAAIAAgACAAIAAgAFwAIgBSAGkAYwBlACAAKABjAG8AbgB0AGkAbgB1AG8AdQBzACAAZgBsAG8AbwBkAGkAbgBnACkAXAAiACwAMAAuADAAMAAzACwAIABcACIAUgBpAGMAZQBcACIALAAgAFwAIgBDAG8AbgB0AGkAbgB1AG8AdQBzACAAZgBsAG8AbwBkAGkAbgBnAFwAIgAsACAAXAAiAEEAbgB5AFwAIgA7AFwAbgAgACAAIAAgACAAIAAgACAAIAAgAFwAIgBSAGkAYwBlACAAKABzAGkAbgBnAGwAZQAgAGEAbgBkACAAbQB1AGwAdABpAHAAbABlACAAZAByAGEAaQBuAGEAZwBlACwAIABvAHIAIABhAGwAdABlAHIAbgBhAHQAZQAgAHcAZQB0AHQAaQBuAGcAIABhAG4AZAAgAGQAcgB5AGkAbgBnACkAXAAiACwAMAAuADAAMAA1ACwAIABcACIAUgBpAGMAZQBcACIALAAgAFwAIgBTAGkAbgBnAGwAZQAgAGEAbgBkACAAbQB1AGwAdABpAHAAbABlACAAZAByAGEAaQBuAGEAZwBlACwAIABvAHIAIABhAGwAdABlAHIAbgBhAHQAZQAgAHcAZQB0AHQAaQBuAGcAIABhAG4AZAAgAGQAcgB5AGkAbgBnAFwAIgAsACAAXAAiAEEAbgB5AFwAIgA7AFwAbgAgACAAIAAgACAAIAAgACAAIAAgAFwAIgBBAHEAdQBhAGMAdQBsAHQAdQByAGUAXAAiACwAMAAuADAAMAAyADYALAAgAFwAIgBBAHEAdQBhAGMAdQBsAHQAdQByAGUAXAAiACwAIABcACIAQQBuAHkAXAAiACwAIABcACIAQQBuAHkAXAAiADsAXABuACAAIAAgACAAIAAgACAAIAAgACAAXAAiAEYAbwByAGUAcwB0AHIAeQBcACIALAAwAC4AMAAwADEAOAAsACAAXAAiAEYAbwByAGUAcwB0AHIAeQBcACIALAAgAFwAIgBBAG4AeQBcACIALAAgAFwAIgBBAG4AeQBcACIAXABuACAAIAAgACAAIAAgACAAIAB9ACwAIAByACwAIABjACkAXABuACAAIAAgACAAIAAgACkAXABuACAAIAAgACAAKQBcAG4AIAAgACkAOwBcAG4AXABuACAAIABDAG8AbQBtAG8AbgBfAFMAbwB1AHIAYwBlAEQAYQB0AGEAXwBFAEYATgAyAE8AXwBWAGEAcgBpAGEAdABpAG8AbgBcAG4AIAAgAD0ATABBAE0AQgBEAEEAKABcAG4AIAAgACAAIABNAEEASwBFAEEAUgBSAEEAWQAoADUALAAgADEALAAgAFwAbgAgACAAIAAgACAAIABMAEEATQBCAEQAQQAoAHIALABjACwAIABcAG4AIAAgACAAIAAgACAAIAAgAEkATgBEAEUAWAAoAHsAXABuACAAIAAgACAAIAAgACAAIAAgACAAXAAiAFYAQQBSAEkAQQBUAEkATwBOACAATwBGACAAUwBPAFUAUgBDAEUAIABEAEEAVABBADoAXAAiADsAXABuACAAIAAgACAAIAAgACAAIAAgACAAXAAiAFIAZQBtAG8AdgBlAGQAIABkAHUAcABsAGkAYwBhAHQAZQAgAFwAdQAwADAAMgA3AEEAcQB1AGEAYwB1AGwAdAB1AHIAZQBcAHUAMAAwADIANwAgAHIAbwB3AC4AXAAiADsAXABuACAAIAAgACAAIAAgACAAIAAgACAAXAAiAFIAZQBtAG8AdgBlAGQAIABhAHMAdABlAHIAaQBzAGsAcwAgAHQAbwAgAGEAaQBkACAAbABvAG8AawB1AHAALgBcACIAOwBcAG4AIAAgACAAIAAgACAAIAAgACAAIABcACIAQQBkAGQAZQBkACAAXAB1ADAAMAAyADcAcAByAG8AZAB1AGMAdABpAG8AbgAgAHMAeQBzAHQAZQBtACAAbwBuAGwAeQBcAHUAMAAwADIANwAsACAAXAB1ADAAMAAyADcAcgBhAGkAbgBmAGEAbABsACAAegBvAG4AZQBcAHUAMAAwADIANwAgAGEAbgBkACAAXAB1ADAAMAAyADcAaQByAHIAaQBnAGEAdABpAG8AbgAgAG0AZQB0AGgAbwBkAFwAdQAwADAAMgA3ACAAYwBvAGwAdQBtAG4AcwAgAHQAbwAgAGEAaQBkACAAbABvAG8AawB1AHAALgBcACIAOwBcAG4AIAAgACAAIAAgACAAIAAgACAAIABcACIARAB1AHAAbABpAGMAYQB0AGUAZAAgAFwAdQAwADAAMgA3AG4AbwBuAC0AaQByAHIAaQBnAGEAdABlAGQAIABwAGEAcwB0AHUAcgBlAFwAdQAwADAAMgA3ACAAcgBvAHcAIAB3AGkAdABoACAAcwBhAG0AZQAgAEUARgAgAGYAbwByACAAbABvAHcAIABhAG4AZAAgAGgAaQBnAGgAIAByAGEAaQBuAGYAYQBsAGwAIAB6AG8AbgBlAHMAIAB0AG8AIABhAGkAZAAgAGwAbwBvAGsAdQBwAC4AXAAi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GAHIAYQBjAFcARQBUAEkAcgByAGkAZwBhAHQAaQBvAG4AXABuAFYARQBFAFIARwAgADIAMAAyADYAOgAgAEMAaABhAHAAdABlAHIAIAAxACwAIABzAGUAYwB0AGkAbwBuACAAMQAuADgALgAyACAATABlAGEAYwBoAGkAbgBnACwAIABjAGwAaQBtAGEAdABlACAAYQBuAGQAIAByAGEAaQBuAGYAYQBsAGwAIAB6AG8AbgBlAHMAXABuAEkAUABDAEMAOgAgAE4AMgBPACAARQBNAEkAUwBTAEkATwBOAFMAIABGAFIATwBNACAATQBBAE4AQQBHAEUARAAgAFMATwBJAEwAUwAsACAAQQBOAEQAIABDAE8AMgAgAEUATQBJAFMAUwBJAE8ATgBTACAARgBSAE8ATQAgAEwASQBNAEUAIABBAE4ARAAgAFUAUgBFAEEAIABBAFAAUABMAEkAQwBBAFQASQBPAE4AXABuAC0ALQAtAC0ALQAtAC0ALQAtAC0ALQAtAC0ALQAtAC0ALQAtAC0ALQAtAC0ALQAtAC0ALQAtAC0ALQAtAC0ALQAtAC0ALQAtAC0ALQBcAG4AKgAvAFwAbgBcAG4AQwBvAG0AbQBvAG4AXwBTAG8AdQByAGMAZQBEAGEAdABhAF8ARgByAGEAYwBXAEUAVABJAHIAcgBpAGcAYQB0AGkAbwBuAF8AVABpAHQAbABlAFwAbgAgACAAPQBMAEEATQBCAEQAQQAoAFwAIgBGAHIAYQBjAFcARQBUACAAZgBvAHIAIABpAHIAcgBpAGcAYQB0AGkAbwBuACAAdAB5AHAAZQBzAFwAIgApADsAXABuAFwAbgBDAG8AbQBtAG8AbgBfAFMAbwB1AHIAYwBlAEQAYQB0AGEAXwBGAHIAYQBjAFcARQBUAEkAcgByAGkAZwBhAHQAaQBvAG4AXwBVAG4AaQB0AFwAbgAgACAAPQBMAEEATQBCAEQAQQAoAFwAIgBkAGkAbQBlAG4AcwBpAG8AbgBsAGUAcwBzAFwAIgApADsAXABuAFwAbgBDAG8AbQBtAG8AbgBfAFMAbwB1AHIAYwBlAEQAYQB0AGEAXwBGAHIAYQBjAFcARQBUAEkAcgByAGkAZwBhAHQAaQBvAG4AXwBTAG8AdQByAGMAZQBcAG4AIAAgAD0ATABBAE0AQgBEAEEAKABcACIAVgBFAEUAUgBHACAAMgAwADIANgA6ACAAQwBoAGEAcAB0AGUAcgAgADEALAAgAHMAZQBjAHQAaQBvAG4AIAAxAC4AOAAuADIAIABMAGUAYQBjAGgAaQBuAGcALAAgAGMAbABpAG0AYQB0AGUAIABhAG4AZAAgAHIAYQBpAG4AZgBhAGwAbAAgAHoAbwBuAGUAcwBcACIAKQA7AFwAbgBcAG4AQwBvAG0AbQBvAG4AXwBTAG8AdQByAGMAZQBEAGEAdABhAF8ARgByAGEAYwBXAEUAVABJAHIAcgBpAGcAYQB0AGkAbwBuAF8ATgBJAFIAUgBlAGYAZQByAGUAbgBjAGUAXABuACAAIAA9AEwAQQBNAEIARABBACgAXAAiAEkAUABDAEMAIAAyADAAMQA5ACAAUgBlAGYAaQBuAGUAbQBlAG4AdAAgAFYAbwBsAHUAbQBlACAANAA6ACAAQwBoAGEAcAB0AGUAcgAgADEAMQA6ACAATgAyAE8AIABFAG0AaQBzAHMAaQBvAG4AcwAgAGYAcgBvAG0AIABNAGEAbgBhAGcAZQBkACAAUwBvAGkAbABzACwAIABhAG4AZAAgAEMATwAyACAARQBtAGkAcwBzAGkAbwBuAHMAIABmAHIAbwBtACAATABpAG0AZQAgAGEAbgBkACAAVQByAGUAYQAgAEEAcABwAGwAaQBjAGEAdABpAG8AbgBcACIAKQA7AFwAbgBcAG4AQwBvAG0AbQBvAG4AXwBTAG8AdQByAGMAZQBEAGEAdABhAF8ARgByAGEAYwBXAEUAVABJAHIAcgBpAGcAYQB0AGkAbwBuAF8ARABhAHQAYQBcAG4AIAAgAD0ATABBAE0AQgBEAEEAKABcAG4AIAAgACAAIABNAEEASwBFAEEAUgBSAEEAWQAoADYALAAgADIALAAgAFwAbgAgACAAIAAgACAAIABMAEEATQBCAEQAQQAoAHIALABjACwAIABcAG4AIAAgACAAIAAgACAAIAAgAEkATgBEAEUAWAAoAHsAXABuACAAIAAgACAAIAAgACAAIAAgACAAXAAiAEkAcgByAGkAZwBhAHQAaQBvAG4AIAB0AHkAcABlACAAaQByAFwAIgAsAFwAIgBGAHIAYQBjAFcARQBUAFwAIgA7AFwAbgAgACAAIAAgACAAIAAgACAAIAAgAFwAIgBOAG8AdAAgAGkAcgByAGkAZwBhAHQAZQBkAFwAIgAsACAAMAA7AFwAbgAgACAAIAAgACAAIAAgACAAIAAgAFwAIgBEAHIAaQBwACAAaQByAHIAaQBnAGEAdABpAG8AbgBcACIALAAgADAAOwBcAG4AIAAgACAAIAAgACAAIAAgACAAIABcACIAUwBwAHIAaQBuAGsAbABlAHIAIABpAHIAcgBpAGcAYQB0AGkAbwBuAFwAIgAsACAAMQA7AFwAbgAgACAAIAAgACAAIAAgACAAIAAgAFwAIgBTAHUAcgBmAGEAYwBlACAAaQByAHIAaQBnAGEAdABpAG8AbgBcACIALAAgADEAOwBcAG4AIAAgACAAIAAgACAAIAAgACAAIABcACIATwB0AGgAZQByACAAaQByAHIAaQBnAGEAdABpAG8AbgBcACIALAAgADEAXABuACAAIAAgACAAIAAgACAAIAB9ACwAIAByACwAIABjACkAXABuACAAIAAgACAAIAAgACkAXABuACAAIAAgACAAKQBcAG4AIAAgACkAOwBcAG4AXABuACAAIABDAG8AbQBtAG8AbgBfAFMAbwB1AHIAYwBlAEQAYQB0AGEAXwBGAHIAYQBjAFcARQBUAEkAcgByAGkAZwBhAHQAaQBvAG4AXwBWAGEAcgBpAGEAdABpAG8AbgBcAG4AIAAgAD0ATABBAE0AQgBEAEEAKABcACIAVgBBAFIASQBBAFQASQBPAE4AIABGAFIATwBNACAAUwBPAFUAUgBDAEUAIABEAEEAVABBADoAIABUAGEAYgBsAGUAIABjAHIAZQBhAHQAZQBkACAAYgBhAHMAZQBkACAAbwBuACAAVgBFAEUAUgBHACAAdABlAHgAdAAgAFwAdQAwADAAMgA3AEEAcgBlAGEAcwAgAGEAcgBlACAAcwB1AGIAagBlAGMAdAAgAHQAbwAgAGwAZQBhAGMAaABpAG4AZwAgACgAaQAuAGUALgAsACAAaQBuACAAdABoAGUAIABsAGUAYQBjAGgAaQBuAGcAIAB6AG8AbgBlACkAIAB3AGgAZQBuAC4ALgAuACAAdABoAGUAIABsAGEAbgBkACAAaQBzACAAaQByAHIAaQBnAGEAdABlAGQAIAAoAGUAeABjAGUAcAB0ACAAZAByAGkAcAAgAGkAcgByAGkAZwBhAHQAaQBvAG4AKQAuAFwAdQAwADAAMgA3AFwAIgApADsAXABuAFwAbgBcAG4ALwAqACAAXABuAC0ALQAtAC0ALQAtAC0ALQAtAC0ALQAtAC0ALQAtAC0ALQAtAC0ALQAtAC0ALQAtAC0ALQAtAC0ALQAtAC0ALQAtAC0ALQAtAC0ALQBcAG4AQwBvAG0AbQBvAG4AXwBTAG8AdQByAGMAZQBEAGEAdABhAF8ARQBGAFAAYQBzAHQAdQByAGUAUgBhAG4AZwBlAEEAbgBkAFAAYQBkAGQAbwBjAGsAXABuAFQAYQBiAGwAZQAgAEEALgAyAC4AMgAuADIAOgAgAEUAbQBpAHMAcwBpAG8AbgAgAGYAYQBjAHQAbwByACAAZgBvAHIAIAB1AHIAaQBuAGUAIABhAG4AZAAgAGQAdQBuAGcAIABkAGUAcABvAHMAaQB0AGUAZAAgAG8AbgAgAHAAYQBzAHQAdQByAGUALAAgAHIAYQBuAGcAZQAgAG8AcgAgAHAAYQBkAGQAbwBjAGsAIAAoAGsAZwAgAE4AMgBPAC0ATgAvAGsAZwAgAE4AKQAgACgARQBGAFAAUgBQACkAXABuAC0ALQAtAC0ALQAtAC0ALQAtAC0ALQAtAC0ALQAtAC0ALQAtAC0ALQAtAC0ALQAtAC0ALQAtAC0ALQAtAC0ALQAtAC0ALQAtAC0ALQBcAG4AKgAvAFwAbgBcAG4AQwBvAG0AbQBvAG4AXwBTAG8AdQByAGMAZQBEAGEAdABhAF8ARQBGAFAAYQBzAHQAdQByAGUAUgBhAG4AZwBlAEEAbgBkAFAAYQBkAGQAbwBjAGsAXwBUAGkAdABsAGUAXABuACAAIAA9AEwAQQBNAEIARABBACgAXAAiAEUAbQBpAHMAcwBpAG8AbgAgAGYAYQBjAHQAbwByACAAZgBvAHIAIAB1AHIAaQBuAGUAIABhAG4AZAAgAGQAdQBuAGcAIABkAGUAcABvAHMAaQB0AGUAZAAgAG8AbgAgAHAAYQBzAHQAdQByAGUALAAgAHIAYQBuAGcAZQAgAG8AcgAgAHAAYQBkAGQAbwBjAGsAXAAiACkAOwBcAG4AXABuAEMAbwBtAG0AbwBuAF8AUwBvAHUAcgBjAGUARABhAHQAYQBfAEUARgBQAGEAcwB0AHUAcgBlAFIAYQBuAGcAZQBBAG4AZABQAGEAZABkAG8AYwBrAF8AVQBuAGkAdABcAG4AIAAgAD0ATABBAE0AQgBEAEEAKABcACIAawBnACAATgAyAE8AIAAtACAATgAgAC8AIABrAGcAIABOAFwAIgApADsAXABuAFwAbgBDAG8AbQBtAG8AbgBfAFMAbwB1AHIAYwBlAEQAYQB0AGEAXwBFAEYAUABhAHMAdAB1AHIAZQBSAGEAbgBnAGUAQQBuAGQAUABhAGQAZABvAGMAawBfAFMAbwB1AHIAYwBlAFwAbgAgACAAPQBMAEEATQBCAEQAQQAoAFwAIgBWAEUARQBSAEcAIAAyADAAMgA2ADoAIABUAGEAYgBsAGUAIABBAC4AMgAuADIALgAyAFwAIgApADsAXABuAFwAbgBDAG8AbQBtAG8AbgBfAFMAbwB1AHIAYwBlAEQAYQB0AGEAXwBFAEYAUABhAHMAdAB1AHIAZQBSAGEAbgBnAGUAQQBuAGQAUABhAGQAZABvAGMAawBfAE4ASQBSAFIAZQBmAGUAcgBlAG4AYwBlAFwAbgAgACAAPQBMAEEATQBCAEQAQQAoAFwAIgBcACIAKQA7AFwAbgBcAG4AQwBvAG0AbQBvAG4AXwBTAG8AdQByAGMAZQBEAGEAdABhAF8ARQBGAFAAYQBzAHQAdQByAGUAUgBhAG4AZwBlAEEAbgBkAFAAYQBkAGQAbwBjAGsAXwBEAGEAdABhAFwAbgAgACAAPQBMAEEATQBCAEQAQQAoAFwAbgAgACAAIAAgAE0AQQBLAEUAQQBSAFIAQQBZACgAMwAsACAAMgAsACAAXABuACAAIAAgACAAIAAgAEwAQQBNAEIARABBACgAcgAsAGMALAAgAFwAbgAgACAAIAAgACAAIAAgACAASQBOAEQARQBYACgAewBcAG4AIAAgACAAIAAgACAAIAAgACAAIABcACIAQwBsAGkAbQBhAHQAZQAgAHoAbwBuAGUAXAAiACwAIABcACIARQBGAFAAUgBQAFwAIgA7AFwAbgAgACAAIAAgACAAIAAgACAAIAAgAFwAIgBXAGUAdAAgAGMAbABpAG0AYQB0AGUAIAB6AG8AbgBlAFwAIgAsACAAMAAuADAAMAA2ADsAXABuACAAIAAgACAAIAAgACAAIAAgACAAXAAiAEQAcgB5ACAAYwBsAGkAbQBhAHQAZQAgAHoAbwBuAGUAXAAiACwAIAAwAC4AMAAwADIAXABuACAAIAAgACAAIAAgACAAIAB9ACwAIAByACwAIABjACkAXABuACAAIAAgACAAIAAgACkAXABuACAAIAAgACAAKQBcAG4AIAAgACkAOwBcAG4AXABuACAAIABDAG8AbQBtAG8AbgBfAFMAbwB1AHIAYwBlAEQAYQB0AGEAXwBFAEYAUABhAHMAdAB1AHIAZQBSAGEAbgBnAGUAQQBuAGQAUABhAGQAZABvAGMAawBfAFYAYQByAGkAYQB0AGkAbwBuAFwAbgAgACAAPQBMAEEATQBCAEQAQQAoAFwAIgBWAEEAUgBJAEEAVABJAE8ATgAgAEYAUgBPAE0AIABTAE8AVQBSAEMARQAgAEQAQQBUAEEAOgAgAEMAaABhAG4AZwBlAGQAIABcAHUAMAAwADIANwBEAHIAeQAgAGMAbABpAG0AYQB0AGUAIAB6AG8AbgBlAHMAXAB1ADAAMAAyADcAIAB0AG8AIABzAGkAbgBnAHUAbABhAHIAIABcAHUAMAAwADIANwBEAHIAeQAgAGMAbABpAG0AYQB0AGUAIAB6AG8AbgBlAFwAdQAwADAAMgA3ACAAdABvACAAYQBpAGQAIABsAG8AbwBrAHUAcAAuAFwAIgApADsAXABuAFwAbgBcAG4ALwAqACAAXABuAC0ALQAtAC0ALQAtAC0ALQAtAC0ALQAtAC0ALQAtAC0ALQAtAC0ALQAtAC0ALQAtAC0ALQAtAC0ALQAtAC0ALQAtAC0ALQAtAC0ALQBcAG4AQwBvAG0AbQBvAG4AXwBTAG8AdQByAGMAZQBEAGEAdABhAF8ATQBvAG4AdABoAHMAVABvAFMAZQBhAHMAbwBuAHMAXABuAC0ALQAtAC0ALQAtAC0ALQAtAC0ALQAtAC0ALQAtAC0ALQAtAC0ALQAtAC0ALQAtAC0ALQAtAC0ALQAtAC0ALQAtAC0ALQAtAC0ALQBcAG4AKgAvAFwAbgBcAG4AQwBvAG0AbQBvAG4AXwBTAG8AdQByAGMAZQBEAGEAdABhAF8ATQBvAG4AdABoAHMAVABvAFMAZQBhAHMAbwBuAHMAXwBUAGkAdABsAGUAXABuACAAIAA9AEwAQQBNAEIARABBACgAXAAiAE0AbwBuAHQAaABzACAAdABvACAAUwBlAGEAcwBvAG4AcwAgAE0AYQBwAHAAaQBuAGcAXAAiACkAOwBcAG4AXABuAEMAbwBtAG0AbwBuAF8AUwBvAHUAcgBjAGUARABhAHQAYQBfAE0AbwBuAHQAaABzAFQAbwBTAGUAYQBzAG8AbgBzAF8AVQBuAGkAdABcAG4AIAAgAD0ATABBAE0AQgBEAEEAKABcACIAXAAiACkAOwBcAG4AXABuAEMAbwBtAG0AbwBuAF8AUwBvAHUAcgBjAGUARABhAHQAYQBfAE0AbwBuAHQAaABzAFQAbwBTAGUAYQBzAG8AbgBzAF8AUwBvAHUAcgBjAGUAXABuACAAIAA9AEwAQQBNAEIARABBACgAXAAiAFwAIgApADsAXABuAFwAbgBDAG8AbQBtAG8AbgBfAFMAbwB1AHIAYwBlAEQAYQB0AGEAXwBNAG8AbgB0AGgAcwBUAG8AUwBlAGEAcwBvAG4AcwBfAE4ASQBSAFIAZQBmAGUAcgBlAG4AYwBlAFwAbgAgACAAPQBMAEEATQBCAEQAQQAoAFwAIgBcACIAKQA7AFwAbgBcAG4AQwBvAG0AbQBvAG4AXwBTAG8AdQByAGMAZQBEAGEAdABhAF8ATQBvAG4AdABoAHMAVABvAFMAZQBhAHMAbwBuAHMAXwBEAGEAdABhAFwAbgAgACAAPQBMAEEATQBCAEQAQQAoAFwAbgAgACAAIAAgAE0AQQBLAEUAQQBSAFIAQQBZACgAMQAzACwAIAAyACwAIABcAG4AIAAgACAAIAAgACAATABBAE0AQgBEAEEAKAByACwAYwAsACAAXABuACAAIAAgACAAIAAgACAAIABJAE4ARABFAFgAKAB7AFwAbgAgACAAIAAgACAAIAAgACAAIAAgAFwAIgBNAG8AbgB0AGgAXAAiACwAIABcACIAUwBlAGEAcwBvAG4AXAAiADsAXABuACAAIAAgACAAIAAgACAAIAAgACAAXAAiAEoAYQBuAHUAYQByAHkAXAAiACwAIABcACIAUwB1AG0AbQBlAHIAXAAiADsAXABuACAAIAAgACAAIAAgACAAIAAgACAAXAAiAEYAZQBiAHIAdQBhAHIAeQBcACIALAAgAFwAIgBTAHUAbQBtAGUAcgBcACIAOwBcAG4AIAAgACAAIAAgACAAIAAgACAAIABcACIATQBhAHIAYwBoAFwAIgAsACAAXAAiAEEAdQB0AHUAbQBuAFwAIgA7AFwAbgAgACAAIAAgACAAIAAgACAAIAAgAFwAIgBBAHAAcgBpAGwAXAAiACwAIABcACIAQQB1AHQAdQBtAG4AXAAiADsAXABuACAAIAAgACAAIAAgACAAIAAgACAAXAAiAE0AYQB5AFwAIgAsACAAXAAiAEEAdQB0AHUAbQBuAFwAIgA7AFwAbgAgACAAIAAgACAAIAAgACAAIAAgAFwAIgBKAHUAbgBlAFwAIgAsACAAXAAiAFcAaQBuAHQAZQByAFwAIgA7AFwAbgAgACAAIAAgACAAIAAgACAAIAAgAFwAIgBKAHUAbAB5AFwAIgAsACAAXAAiAFcAaQBuAHQAZQByAFwAIgA7AFwAbgAgACAAIAAgACAAIAAgACAAIAAgAFwAIgBBAHUAZwB1AHMAdABcACIALAAgAFwAIgBXAGkAbgB0AGUAcgBcACIAOwBcAG4AIAAgACAAIAAgACAAIAAgACAAIABcACIAUwBlAHAAdABlAG0AYgBlAHIAXAAiACwAIABcACIAUwBwAHIAaQBuAGcAXAAiADsAXABuACAAIAAgACAAIAAgACAAIAAgACAAXAAiAE8AYwB0AG8AYgBlAHIAXAAiACwAIABcACIAUwBwAHIAaQBuAGcAXAAiADsAXABuACAAIAAgACAAIAAgACAAIAAgACAAXAAiAE4AbwB2AGUAbQBiAGUAcgBcACIALAAgAFwAIgBTAHAAcgBpAG4AZwBcACIAOwBcAG4AIAAgACAAIAAgACAAIAAgACAAIABcACIARABlAGMAZQBtAGIAZQByAFwAIgAsACAAXAAiAFMAdQBtAG0AZQByAFwAIgBcAG4AIAAgACAAIAAgACAAIAAgAH0ALAAgAHIALAAgAGMAKQBcAG4AIAAgACAAIAAgACAAKQBcAG4AIAAgACAAIAApAFwAbgAgACAAKQA7AFwAbgBcAG4AIAAgAEMAbwBtAG0AbwBuAF8AUwBvAHUAcgBjAGUARABhAHQAYQBfAE0AbwBuAHQAaABzAFQAbwBTAGUAYQBzAG8AbgBzAF8AVgBhAHIAaQBhAHQAaQBvAG4AXABuACAAIAA9AEwAQQBNAEIARABBACgAXAAiAFwAIgApADsAXABuAFwAbgBcAG4AXABuAC8AKgAgAFwAbgAtAC0ALQAtAC0ALQAtAC0ALQAtAC0ALQAtAC0ALQAtAC0ALQAtAC0ALQAtAC0ALQAtAC0ALQAtAC0ALQAtAC0ALQAtAC0ALQAtAC0AXABuAEMAbwBtAG0AbwBuAF8AUwBvAHUAcgBjAGUARABhAHQAYQBfAE0AQwBGAFQAZQBtAHAAZQByAGEAdAB1AHIAZQBaAG8AbgBlAFwAbgAtAC0ALQAtAC0ALQAtAC0ALQAtAC0ALQAtAC0ALQAtAC0ALQAtAC0ALQAtAC0ALQAtAC0ALQAtAC0ALQAtAC0ALQAtAC0ALQAtAC0AXABuACoALwBcAG4AXABuAEMAbwBtAG0AbwBuAF8AUwBvAHUAcgBjAGUARABhAHQAYQBfAE0AQwBGAFQAZQBtAHAAZQByAGEAdAB1AHIAZQBaAG8AbgBlAF8AVABpAHQAbABlAFwAbgAgACAAPQBMAEEATQBCAEQAQQAoAFwAIgBNAGEAbgB1AHIAZQAgAE0AYQBuAGEAZwBlAG0AZQBuAHQAIAATICAATQBlAHQAaABhAG4AZQAgAGMAbwBuAHYAZQByAHMAaQBvAG4AIABmAGEAYwB0AG8AcgAgAHAAZQByACAAdABlAG0AcABlAHIAYQB0AHUAcgBlACAAegBvAG4AZQAgACgAZgByAGEAYwB0AGkAbwBuACkAIAAoAE0AQwBGAGkAbQApAFwAIgApADsAXABuAFwAbgBDAG8AbQBtAG8AbgBfAFMAbwB1AHIAYwBlAEQAYQB0AGEAXwBNAEMARgBUAGUAbQBwAGUAcgBhAHQAdQByAGUAWgBvAG4AZQBfAFUAbgBpAHQAXABuACAAIAA9AEwAQQBNAEIARABBACgAXAAiAGYAcgBhAGMAdABpAG8AbgBcACIAKQA7AFwAbgBcAG4AQwBvAG0AbQBvAG4AXwBTAG8AdQByAGMAZQBEAGEAdABhAF8ATQBDAEYAVABlAG0AcABlAHIAYQB0AHUAcgBlAFoAbwBuAGUAXwBTAG8AdQByAGMAZQBcAG4AIAAgAD0ATABBAE0AQgBEAEEAKABcACIAVgBFAEUAUgBHACAAMgAwADIANgA6ACAAVABhAGIAbABlACAAQQAuADEALgA4AC4AMQBcACIAKQA7AFwAbgBcAG4AQwBvAG0AbQBvAG4AXwBTAG8AdQByAGMAZQBEAGEAdABhAF8ATQBDAEYAVABlAG0AcABlAHIAYQB0AHUAcgBlAFoAbwBuAGUAXwBEAGEAdABhAFwAbgAgACAAPQBMAEEATQBCAEQAQQAoAFwAbgAgACAAIAAgAE0AQQBLAEUAQQBSAFIAQQBZACgAMgAxACwAIAAxADYALAAgAFwAbgAgACAAIAAgACAAIABMAEEATQBCAEQAQQAoAHIALABjACwAIABcAG4AIAAgACAAIAAgACAAIAAgAEkATgBEAEUAWAAoAHsAXABuACAAIAAgACAAIAAgACAAIAAgACAAXAAiAFQAZQBtAHAAZQByAGEAdAB1AHIAZQAgAHoAbwBuAGUAXAAiACwAIABcACIATQBBAFQAIAAoALoAQwApAFwAIgAsACAAXAAiAFUAbgBjAG8AdgBlAHIAZQBkACAAYQBuAGUAcgBvAGIAaQBjACAAbABhAGcAbwBvAG4AXAAiACwAIABcACIAQwBvAHYAZQByAGUAZAAgAGwAYQBnAG8AbwBuAFwAIgAsACAAXAAiAEwAaQBxAHUAaQBkACAAUwBsAHUAcgByAHkAIAAoAHcAaQB0AGgAbwB1AHQAIABuAGEAdAB1AHIAYQBsACAAYwByAHUAcwB0ACkAXAAiACwAIABcACIARABhAGkAbAB5ACAAcwBwAHIAZQBhAGQAIAAoAGIAKQBcACIALAAgAFwAIgBDAG8AbQBwAG8AcwB0AGkAbgBnACAAKABwAGEAcwBzAGkAdgBlACAAdwBpAG4AZAByAG8AdwApAFwAIgAsACAAXAAiAFMAbwBsAGkAZAAgAFMAdABvAHIAYQBnAGUAXAAiACwAIABcACIAUABpAHQAIABTAHQAbwByAGEAZwBlACAAXAB1ADAAMAAzAGMAMQAgAG0AbwBuAHQAaABcACIALAAgAFwAIgBEAGUAZQBwACAATABpAHQAdABlAHIAXAAiACwAIABcACIAUABvAHUAbAB0AHIAeQAgAE0AYQBuAHUAcgBlACAAKAB3AGkAdABoAC8AdwBpAHQAaABvAHUAdAAgAGwAaQB0AHQAZQByACkAXAAiACwAIABcACIAXAAiACwAIABcACIARABpAHIAZQBjAHQAIABwAHIAbwBjAGUAcwBzAGkAbgBnACAAaQBuAHQAbwAgAHAAZQBsAGwAZQB0AGkAegBlAGQAIABmAGUAcgB0AGkAbABpAHMAZQByAFwAIgAsACAAXAAiAEQAaQByAGUAYwB0ACAAYQBwAHAAbABpAGMAYQB0AGkAbwBuACAAdABvACAAcwBvAGkAbABcACIALAAgAFwAIgBQAGEAcwB0AHUAcgBlACwAIABSAGEAbgBnAGUAIABhAG4AZAAgAFAAYQBkAGQAbwBjAGsAIAAoAGMAKQAoAGQAKQBcACIALAAgAFwAIgBNAEEAVAAgAHIAYQB3AFwAIgA7AFwAbgAgACAAIAAgACAAIAAgACAAIAAgAFwAIgBDAG8AbwBsAFwAIgAsACAAXAAiAGQiMQAwAFwAIgAsACAAMAAuADYANgAsACAAMAAuADEALAAgADAALgAxACwAIAAwAC4AMAAwADEALAAgADAALgAwADAANQAsACAAMAAuADAAMgAsACAAMAAuADAAMwAsACAAMAAuADAANAAsACAAMAAuADAAMQA1ACwAIAAwAC4AMAAxADUALAAgADAALAAgADAALAAgADAALgAwADAANAA3ACwAIAAxADAAOwBcAG4AIAAgACAAIAAgACAAIAAgACAAIABcACIAQwBvAG8AbABcACIALAAgADEAMQAsACAAMAAuADYAOAAsACAAMAAuADEALAAgADAALgAxADEALAAgADAALgAwADAAMQAsACAAMAAuADAAMAA1ACwAIAAwAC4AMAAyACwAIAAwAC4AMAAzACwAIAAwAC4AMAA0ACwAIAAwAC4AMAAxADUALAAgADAALgAwADEANQAsACAAMAAsACAAMAAsACAAMAAuADAAMAA0ADcALAAgADEAMQA7AFwAbgAgACAAIAAgACAAIAAgACAAIAAgAFwAIgBDAG8AbwBsAFwAIgAsACAAMQAyACwAIAAwAC4ANwAsACAAMAAuADEALAAgADAALgAxADMALAAgADAALgAwADAAMQAsACAAMAAuADAAMAA1ACwAIAAwAC4AMAAyACwAIAAwAC4AMAAzACwAIAAwAC4AMAA0ACwAIAAwAC4AMAAxADUALAAgADAALgAwADEANQAsACAAMAAsACAAMAAsACAAMAAuADAAMAA0ADcALAAgADEAMgA7AFwAbgAgACAAIAAgACAAIAAgACAAIAAgAFwAIgBDAG8AbwBsAFwAIgAsACAAMQAzACwAIAAwAC4ANwAxACwAIAAwAC4AMQAsACAAMAAuADEANAAsACAAMAAuADAAMAAxACwAIAAwAC4AMAAwADUALAAgADAALgAwADIALAAgADAALgAwADMALAAgADAALgAwADQALAAgADAALgAwADEANQAsACAAMAAuADAAMQA1ACwAIAAwACwAIAAwACwAIAAwAC4AMAAwADQANwAsACAAMQAzADsAXABuACAAIAAgACAAIAAgACAAIAAgACAAXAAiAEMAbwBvAGwAXAAiACwAIAAxADQALAAgADAALgA3ADMALAAgADAALgAxACwAIAAwAC4AMQA1ACwAIAAwAC4AMAAwADEALAAgADAALgAwADAANQAsACAAMAAuADAAMgAsACAAMAAuADAAMwAsACAAMAAuADAANAAsACAAMAAuADAAMQA1ACwAIAAwAC4AMAAxADUALAAgADAALAAgADAALAAgADAALgAwADAANAA3ACwAIAAxADQAOwBcAG4AIAAgACAAIAAgACAAIAAgACAAIABcACIAVABlAG0AcABlAHIAYQB0AGUAXAAiACwAIAAxADUALAAgADAALgA3ADQALAAgADAALgAxACwAIAAwAC4AMQA3ACwAIAAwAC4AMAAwADUALAAgADAALgAwADEALAAgADAALgAwADIALAAgADAALgAwADMALAAgADAALgAwADQALAAgADAALgAwADEANQAsACAAMAAuADAAMQA1ACwAIAAwACwAIAAwACwAIAAwAC4AMAAwADQANwAsACAAMQA1ADsAXABuACAAIAAgACAAIAAgACAAIAAgACAAXAAiAFQAZQBtAHAAZQByAGEAdABlAFwAIgAsACAAMQA2ACwAIAAwAC4ANwA1ACwAIAAwAC4AMQAsACAAMAAuADEAOAAsACAAMAAuADAAMAA1ACwAIAAwAC4AMAAxACwAIAAwAC4AMAAyACwAIAAwAC4AMAAzACwAIAAwAC4AMAA0ACwAIAAwAC4AMAAxADUALAAgADAALgAwADEANQAsACAAMAAsACAAMAAsACAAMAAuADAAMAA0ADcALAAgADEANgA7AFwAbgAgACAAIAAgACAAIAAgACAAIAAgAFwAIgBUAGUAbQBwAGUAcgBhAHQAZQBcACIALAAgADEANwAsACAAMAAuADcANgAsACAAMAAuADEALAAgADAALgAyACwAIAAwAC4AMAAwADUALAAgADAALgAwADEALAAgADAALgAwADIALAAgADAALgAwADMALAAgADAALgAwADQALAAgADAALgAwADEANQAsACAAMAAuADAAMQA1ACwAIAAwACwAIAAwACwAIAAwAC4AMAAwADQANwAsACAAMQA3ADsAXABuACAAIAAgACAAIAAgACAAIAAgACAAXAAiAFQAZQBtAHAAZQByAGEAdABlAFwAIgAsACAAMQA4ACwAIAAwAC4ANwA3ACwAIAAwAC4AMQAsACAAMAAuADIAMgAsACAAMAAuADAAMAA1ACwAIAAwAC4AMAAxACwAIAAwAC4AMAAyACwAIAAwAC4AMAAzACwAIAAwAC4AMAA0ACwAIAAwAC4AMAAxADUALAAgADAALgAwADEANQAsACAAMAAsACAAMAAsACAAMAAuADAAMAA0ADcALAAgADEAOAA7AFwAbgAgACAAIAAgACAAIAAgACAAIAAgAFwAIgBUAGUAbQBwAGUAcgBhAHQAZQBcACIALAAgADEAOQAsACAAMAAuADcANwAsACAAMAAuADEALAAgADAALgAyADQALAAgADAALgAwADAANQAsACAAMAAuADAAMQAsACAAMAAuADAAMgAsACAAMAAuADAAMwAsACAAMAAuADAANAAsACAAMAAuADAAMQA1ACwAIAAwAC4AMAAxADUALAAgADAALAAgADAALAAgADAALgAwADAANAA3ACwAIAAxADkAOwBcAG4AIAAgACAAIAAgACAAIAAgACAAIABcACIAVABlAG0AcABlAHIAYQB0AGUAXAAiACwAIAAyADAALAAgADAALgA3ADgALAAgADAALgAxACwAIAAwAC4AMgA2ACwAIAAwAC4AMAAwADUALAAgADAALgAwADEALAAgADAALgAwADIALAAgADAALgAwADMALAAgADAALgAwADQALAAgADAALgAwADEANQAsACAAMAAuADAAMQA1ACwAIAAwACwAIAAwACwAIAAwAC4AMAAwADQANwAsACAAMgAwADsAXABuACAAIAAgACAAIAAgACAAIAAgACAAXAAiAFQAZQBtAHAAZQByAGEAdABlAFwAIgAsACAAMgAxACwAIAAwAC4ANwA4ACwAIAAwAC4AMQAsACAAMAAuADIAOQAsACAAMAAuADAAMAA1ACwAIAAwAC4AMAAxACwAIAAwAC4AMAAyACwAIAAwAC4AMAAzACwAIAAwAC4AMAA0ACwAIAAwAC4AMAAxADUALAAgADAALgAwADEANQAsACAAMAAsACAAMAAsACAAMAAuADAAMAA0ADcALAAgADIAMQA7AFwAbgAgACAAIAAgACAAIAAgACAAIAAgAFwAIgBUAGUAbQBwAGUAcgBhAHQAZQBcACIALAAgADIAMgAsACAAMAAuADcAOAAsACAAMAAuADEALAAgADAALgAzADEALAAgADAALgAwADAANQAsACAAMAAuADAAMQAsACAAMAAuADAAMgAsACAAMAAuADAAMwAsACAAMAAuADAANAAsACAAMAAuADAAMQA1ACwAIAAwAC4AMAAxADUALAAgADAALAAgADAALAAgADAALgAwADAANAA3ACwAIAAyADIAOwBcAG4AIAAgACAAIAAgACAAIAAgACAAIABcACIAVABlAG0AcABlAHIAYQB0AGUAXAAiACwAIAAyADMALAAgADAALgA3ADkALAAgADAALgAxACwAIAAwAC4AMwA0ACwAIAAwAC4AMAAwADUALAAgADAALgAwADEALAAgADAALgAwADIALAAgADAALgAwADMALAAgADAALgAwADQALAAgADAALgAwADEANQAsACAAMAAuADAAMQA1ACwAIAAwACwAIAAwACwAIAAwAC4AMAAwADQANwAsACAAMgAzADsAXABuACAAIAAgACAAIAAgACAAIAAgACAAXAAiAFQAZQBtAHAAZQByAGEAdABlAFwAIgAsACAAMgA0ACwAIAAwAC4ANwA5ACwAIAAwAC4AMQAsACAAMAAuADMANwAsACAAMAAuADAAMAA1ACwAIAAwAC4AMAAxACwAIAAwAC4AMAAyACwAIAAwAC4AMAAzACwAIAAwAC4AMAA0ACwAIAAwAC4AMAAxADUALAAgADAALgAwADEANQAsACAAMAAsACAAMAAsACAAMAAuADAAMAA0ADcALAAgADIANAA7AFwAbgAgACAAIAAgACAAIAAgACAAIAAgAFwAIgBUAGUAbQBwAGUAcgBhAHQAZQBcACIALAAgADIANQAsACAAMAAuADcAOQAsACAAMAAuADEALAAgADAALgA0ADEALAAgADAALgAwADAANQAsACAAMAAuADAAMQAsACAAMAAuADAAMgAsACAAMAAuADAAMwAsACAAMAAuADAANAAsACAAMAAuADAAMQA1ACwAIAAwAC4AMAAxADUALAAgADAALAAgADAALAAgADAALgAwADAANAA3ACwAIAAyADUAOwBcAG4AIAAgACAAIAAgACAAIAAgACAAIABcACIAVwBhAHIAbQBcACIALAAgADIANgAsACAAMAAuADcAOQAsACAAMAAuADEALAAgADAALgA0ADQALAAgADAALgAwADEALAAgADAALgAwADEANQAsACAAMAAuADAAMgAsACAAMAAuADAAMwAsACAAMAAuADAANAAsACAAMAAuADAAMQA1ACwAIAAwAC4AMAAxADUALAAgADAALAAgADAALAAgADAALgAwADAANAA3ACwAIAAyADYAOwBcAG4AIAAgACAAIAAgACAAIAAgACAAIABcACIAVwBhAHIAbQBcACIALAAgADIANwAsACAAMAAuADgALAAgADAALgAxACwAIAAwAC4ANAA4ACwAIAAwAC4AMAAxACwAIAAwAC4AMAAxADUALAAgADAALgAwADIALAAgADAALgAwADMALAAgADAALgAwADQALAAgADAALgAwADEANQAsACAAMAAuADAAMQA1ACwAIAAwACwAIAAwACwAIAAwAC4AMAAwADQANwAsACAAMgA3ADsAXABuACAAIAAgACAAIAAgACAAIAAgACAAXAAiAFcAYQByAG0AXAAiACwAIABcACIAZSIyADgAXAAiACwAIAAwAC4AOAAsACAAMAAuADEALAAgADAALgA1ACwAIAAwAC4AMAAxACwAIAAwAC4AMAAxADUALAAgADAALgAwADIALAAgADAALgAwADMALAAgADAALgAwADQALAAgADAALgAwADEANQAsACAAMAAuADAAMQA1ACwAIAAwACwAIAAwACwAIAAwAC4AMAAwADQANwAsACAAMgA4ADsAXABuACAAIAAgACAAIAAgACAAIAAgACAAXAAiAFwAIgAsACAAXAAiAFwAIgAsACAAXAAiAEEAbgBhAGUAcgBvAGIAaQBjACAAbABhAGcAbwBvAG4AXAAiACwAIABcACIARABpAGcAZQBzAHQAZQByACAALwAgAGMAbwB2AGUAcgBlAGQAIABsAGEAZwBvAG8AbgBzAFwAIgAsACAAXAAiAEwAaQBxAHUAaQBkACAAcwB5AHMAdABlAG0AcwBcACIALAAgAFwAIgBEAGEAaQBsAHkAIABzAHAAcgBlAGEAZABcACIALAAgAFwAIgBDAG8AbQBwAG8AcwB0AGkAbgBnACAAKABwAGEAcwBzAGkAdgBlACAAdwBpAG4AZAByAG8AdwApAFwAIgAsACAAXAAiAFMAbwBsAGkAZAAgAHMAdABvAHIAYQBnAGUAXAAiACwAIABcACIAUABpAHQAIABzAHQAbwByAGEAZwBlAFwAIgAsACAAXAAiAEQAZQBlAHAAIABsAGkAdAB0AGUAcgBcACIALAAgAFwAIgBQAG8AdQBsAHQAcgB5ACAAbQBhAG4AdQByAGUAIAB3AGkAdABoACAAYgBlAGQAZABpAG4AZwBcACIALAAgAFwAIgBQAG8AdQBsAHQAcgB5ACAAbQBhAG4AdQByAGUAIAB3AGkAdABoAG8AdQB0ACAAYgBlAGQAZABpAG4AZwBcACIALAAgAFwAIgBEAGkAcgBlAGMAdAAgAHAAcgBvAGMAZQBzAHMAaQBuAGcAXAAiACwAIABcACIARABpAHIAZQBjAHQAIABhAHAAcABsAGkAYwBhAHQAaQBvAG4AXAAiACwAIABcACIAUABhAHMAdAB1AHIAZQAgAHIAYQBuAGcAZQAgAGEAbgBkACAAcABhAGQAZABvAGMAawBcACIALAAgAFwAIgBNAEEAVAAgAHIAYQB3AFwAIgAgAFwAbgAgACAAIAAgACAAIAAgACAAfQAsACAAcgAsACAAYwApAFwAbgAgACAAIAAgACAAIAApAFwAbgAgACAAIAAgACkAXABuACAAIAApADsAXABuAFwAbgBDAG8AbQBtAG8AbgBfAFMAbwB1AHIAYwBlAEQAYQB0AGEAXwBNAEMARgBUAGUAbQBwAGUAcgBhAHQAdQByAGUAWgBvAG4AZQBfAFYAYQByAGkAYQB0AGkAbwBuAFwAbgAgACAAPQBMAEEATQBCAEQAQQAoAFwAIgBWAEEAUgBJAEEAVABJAE8ATgAgAEYAUgBPAE0AIABTAE8AVQBSAEMARQA6ACAAQQBkAGQAZQBkACAAcgBvAHcAIABvAGYAIABOAEkAUgAgAE0ATQBBACAAZABlAGYAaQBuAGkAdABpAG8AbgBzACAAdABvACAAYQBpAGQAIABsAG8AbwBrAHUAcAAuACAARAB1AHAAbABpAGMAYQB0AGUAZAAgAFwAdQAwADAAMgA3AFAAbwB1AGwAdAByAHkAIAB3AGkAdABoACAAYQBuAGQAIAB3AGkAdABoAG8AdQB0ACAAbABpAHQAdABlAHIAXAB1ADAAMAAyADcAIABjAG8AbAB1AG0AbgAgAHcAaQB0AGgAIABzAGUAcABhAHIAYQB0AGUAIABOAEkAUgAgAGQAZQBmAGkAbgBpAHQAaQBvAG4AcwAgAHQAbwAgAGEAaQBkACAAbABvAG8AawB1AHAALgAgAEEAZABkAGUAZAAgAFwAdQAwADAAMgA3AE0AQQBUACAAcgBhAHcAXAB1ADAAMAAyADcAIABjAG8AbAB1AG0AbgAgAHQAbwAgAGEAbABsAG8AdwAgAGwAbwBvAGsAdQBwACAAbwBmACAAbgB1AG0AYgBlAHIAcwAuAFwAIgApADsAXABuAFwAbgBcAG4AXABuAC8AKgAgAFwAbgAtAC0ALQAtAC0ALQAtAC0ALQAtAC0ALQAtAC0ALQAtAC0ALQAtAC0ALQAtAC0ALQAtAC0ALQAtAC0ALQAtAC0ALQAtAC0ALQAtAC0AXABuAEMAbwBtAG0AbwBuAF8AUwBvAHUAcgBjAGUARABhAHQAYQBfAEUARgBPAHIAZwBhAG4AaQBjAEYAZQByAHQAaQBsAGkAcwBlAHIAQQBuAGQAQwByAG8AcABSAGUAcwBpAGQAdQBlAHMAXABuAC0ALQAtAC0ALQAtAC0ALQAtAC0ALQAtAC0ALQAtAC0ALQAtAC0ALQAtAC0ALQAtAC0ALQAtAC0ALQAtAC0ALQAtAC0ALQAtAC0ALQBcAG4AKgAvAFwAbgBcAG4AQwBvAG0AbQBvAG4AXwBTAG8AdQByAGMAZQBEAGEAdABhAF8ARQBGAE8AcgBnAGEAbgBpAGMARgBlAHIAdABpAGwAaQBzAGUAcgBBAG4AZABDAHIAbwBwAFIAZQBzAGkAZAB1AGUAcwBfAFQAaQB0AGwAZQBcAG4AIAAgAD0ATABBAE0AQgBEAEEAKABcACIARQBtAGkAcwBzAGkAbwBuACAAZgBhAGMAdABvAHIAIABmAG8AcgAgAG8AcgBnAGEAbgBpAGMAIABmAGUAcgB0AGkAbABpAHMAZQByACAAYQBuAGQAIABjAHIAbwBwACAAcgBlAHMAaQBkAHUAZQBzACAAcgBlAHQAdQByAG4AZQBkACAAdABvACAAdABoAGUAIABzAG8AaQBsAFwAIgApADsAXABuAFwAbgBDAG8AbQBtAG8AbgBfAFMAbwB1AHIAYwBlAEQAYQB0AGEAXwBFAEYATwByAGcAYQBuAGkAYwBGAGUAcgB0AGkAbABpAHMAZQByAEEAbgBkAEMAcgBvAHAAUgBlAHMAaQBkAHUAZQBzAF8AVgBhAHIAaQBhAGIAbABlAFwAbgAgACAAPQBMAEEATQBCAEQAQQAoAFwAIgBFAEYATgBpACAAXAB1ADAAMAAyADYAIABFAEYATgAyAE8AaQBcACIAKQA7AFwAbgBcAG4AQwBvAG0AbQBvAG4AXwBTAG8AdQByAGMAZQBEAGEAdABhAF8ARQBGAE8AcgBnAGEAbgBpAGMARgBlAHIAdABpAGwAaQBzAGUAcgBBAG4AZABDAHIAbwBwAFIAZQBzAGkAZAB1AGUAcwBfAFUAbgBpAHQAXABuACAAIAA9AEwAQQBNAEIARABBACgAXAAiAGsAZwAgAE4AMgBPACAALQAgAE4AIAAvACAAawBnACAATgBcACIAKQA7AFwAbgBcAG4AQwBvAG0AbQBvAG4AXwBTAG8AdQByAGMAZQBEAGEAdABhAF8ARQBGAE8AcgBnAGEAbgBpAGMARgBlAHIAdABpAGwAaQBzAGUAcgBBAG4AZABDAHIAbwBwAFIAZQBzAGkAZAB1AGUAcwBfAFMAbwB1AHIAYwBlAFwAbgAgACAAPQBMAEEATQBCAEQAQQAoAFwAIgBWAEUARQBSAEcAIAAyADAAMgA2ADoAIABUAGEAYgBsAGUAIABBAC4AMgAuADEALgA0AFwAIgApADsAXABuAFwAbgBDAG8AbQBtAG8AbgBfAFMAbwB1AHIAYwBlAEQAYQB0AGEAXwBFAEYATwByAGcAYQBuAGkAYwBGAGUAcgB0AGkAbABpAHMAZQByAEEAbgBkAEMAcgBvAHAAUgBlAHMAaQBkAHUAZQBzAF8ATgBJAFIAUgBlAGYAZQByAGUAbgBjAGUAXABuACAAIAA9AEwAQQBNAEIARABBACgAXAAiAFwAIgApADsAXABuAFwAbgBDAG8AbQBtAG8AbgBfAFMAbwB1AHIAYwBlAEQAYQB0AGEAXwBFAEYATwByAGcAYQBuAGkAYwBGAGUAcgB0AGkAbABpAHMAZQByAEEAbgBkAEMAcgBvAHAAUgBlAHMAaQBkAHUAZQBzAF8ARABhAHQAYQBcAG4AIAAgAD0ATABBAE0AQgBEAEEAKABcAG4AIAAgACAAIABNAEEASwBFAEEAUgBSAEEAWQAoADMALAAgADIALAAgAFwAbgAgACAAIAAgACAAIABMAEEATQBCAEQAQQAoAHIALABjACwAIABcAG4AIAAgACAAIAAgACAAIAAgAEkATgBEAEUAWAAoAHsAXABuACAAIAAgACAAIAAgACAAIAAgACAAXAAiAEMAbABpAG0AYQB0AGUAIAB6AG8AbgBlAFwAIgAsACAAXAAiAEUARgBOAGkAIABcAHUAMAAwADIANgAgAEUARgBOADIATwBcACIAOwBcAG4AIAAgACAAIAAgACAAIAAgACAAIABcACIAVwBlAHQAIABjAGwAaQBtAGEAdABlACAAegBvAG4AZQBcACIALAAgADAALgAwADAANgA7AFwAbgAgACAAIAAgACAAIAAgACAAIAAgAFwAIgBEAHIAeQAgAGMAbABpAG0AYQB0AGUAIAB6AG8AbgBlAFwAIgAsACAAMAAuADAAMAA1AFwAbgAgACAAIAAgACAAIAAgACAAfQAsACAAcgAsACAAYwApAFwAbgAgACAAIAAgACAAIAApAFwAbgAgACAAIAAgACkAXABuACAAIAApADsAXABuAFwAbgBDAG8AbQBtAG8AbgBfAFMAbwB1AHIAYwBlAEQAYQB0AGEAXwBFAEYATwByAGcAYQBuAGkAYwBGAGUAcgB0AGkAbABpAHMAZQByAEEAbgBkAEMAcgBvAHAAUgBlAHMAaQBkAHUAZQBzAF8AVgBhAHIAaQBhAHQAaQBvAG4AXABuACAAIAA9AEwAQQBNAEIARABBACgAXAAiAFwAIgApADsAXABuAFwAbgBcAG4AXABuAFwAbgBcAG4AXABuAFwAbgBcAG4AXABuAFwAbgBcAG4AXABuAFwAbgBcAG4AXABuAFwAbgAiAH0ALAB7ACIAcABhAHQAaAAiADoAIgAvAHAAcgBvAGoAZQBjAHQAcwAvAEMAbwBtAG0AbwBuAF8ARQBxAHUAYQB0AGkAbwBuAHMAIgAsACIAdABlAHgAdAAiADoAIgBcAG4ALwAqACAAXABuAC0ALQAtAC0ALQAtAC0ALQAtAC0ALQAtAC0ALQAtAC0ALQAtAC0ALQAtAC0ALQAtAC0ALQAtAC0ALQAtAC0ALQAtAC0ALQAtAC0ALQBcAG4AQwBvAG0AbQBvAG4AXwBDAG8AbgB2AGUAcgB0AE4AMgBPAFQAbwBDAE8AMgBlAFwAbgBDAG8AbgB2AGUAcgB0ACAAbgBpAHQAcgBvAHUAcwAgAG8AeABpAGQAZQAgAGUAbQBpAHMAcwBpAG8AbgBzACAAdABvACAAYwBhAHIAYgBvAG4AIABkAGkAbwB4AGkAZABlACAAZQBxAHUAaQB2AGEAbABlAG4AdAAgAGUAbQBpAHMAcwBpAG8AbgBzAFwAbgBFAE4AMgBPACAAQwBPADIAZQBcAG4AdAAgAEMATwAyAGUAXABuAEUATgAyAE8AOgAgAG4AaQB0AHIAbwB1AHMAIABvAHgAaQBkAGUAIABlAG0AaQBzAHMAaQBvAG4AcwAgACgAdAAgAE4AMgBPACkAXABuAEcAVwBQAE4AMgBPADoAIABnAGwAbwBiAGEAbAAgAHcAYQByAG0AaQBuAGcAIABwAG8AdABlAG4AdABpAGEAbAAgAGYAbwByACAAbgBpAHQAcgBvAHUAcwAgAG8AeABpAGQAZQAgACgAdAAgAEMATwAyAC0AZQAgAC8AIAB0ACAATgAyAE8AKQBcAG4ALQAtAC0ALQAtAC0ALQAtAC0ALQAtAC0ALQAtAC0ALQAtAC0ALQAtAC0ALQAtAC0ALQAtAC0ALQAtAC0ALQAtAC0ALQAtAC0ALQAtAFwAbgAqAC8AXABuAFwAbgBcAG4AQwBvAG0AbQBvAG4AXwBDAG8AbgB2AGUAcgB0AE4AMgBPAFQAbwBDAE8AMgBlAFwAbgAgACAAPQBMAEEATQBCAEQAQQAoAFwAbgAgACAAIAAgAEUAXwBOADIATwAsACAARwBXAFAAXwBOADIATwAsAFwAbgAgACAAIAAgAEUAXwBOADIATwAgACoAIABHAFcAUABfAE4AMgBPAFwAbgAgACAAKQBcAG4AOwBcAG4AXABuAEMAbwBtAG0AbwBuAF8AQwBvAG4AdgBlAHIAdABOADIATwBUAG8AQwBPADIAZQBfAFQAaQB0AGwAZQBcAG4AIAAgAD0ATABBAE0AQgBEAEEAKABcACIAQwBvAG4AdgBlAHIAdAAgAG4AaQB0AHIAbwB1AHMAIABvAHgAaQBkAGUAIABlAG0AaQBzAHMAaQBvAG4AcwAgAHQAbwAgAGMAYQByAGIAbwBuACAAZABpAG8AeABpAGQAZQAgAGUAcQB1AGkAdgBhAGwAZQBuAHQAIABlAG0AaQBzAHMAaQBvAG4AcwBcACIAKQA7AFwAbgBcAG4AQwBvAG0AbQBvAG4AXwBDAG8AbgB2AGUAcgB0AE4AMgBPAFQAbwBDAE8AMgBlAF8AVgBhAHIAaQBhAGIAbABlAFwAbgAgACAAPQBMAEEATQBCAEQAQQAoAFwAIgBFAE4AMgBPACAAQwBPADIAZQBcACIAKQA7AFwAbgBcAG4AQwBvAG0AbQBvAG4AXwBDAG8AbgB2AGUAcgB0AE4AMgBPAFQAbwBDAE8AMgBlAF8AVQBuAGkAdABcAG4AIAAgAD0ATABBAE0AQgBEAEEAKABcACIAdAAgAEMATwAyAGUAXAAiACkAOwBcAG4AXABuAEMAbwBtAG0AbwBuAF8AQwBvAG4AdgBlAHIAdABOADIATwBUAG8AQwBPADIAZQBfAE4ASQBSAFIAZQBmAGUAcgBlAG4AYwBlAFwAbgAgACAAPQBMAEEATQBCAEQAQQAoAFwAIgBcACIAKQA7AFwAbgBcAG4AQwBvAG0AbQBvAG4AXwBDAG8AbgB2AGUAcgB0AE4AMgBPAFQAbwBDAE8AMgBlAF8ATABhAHQAZQB4AEUAcQB1AGEAdABpAG8AbgBcAG4AIAAgAD0ATABBAE0AQgBEAEEAKABcACIAQwBPADIAXwBlACAAPQAgAEUAXwB7AE4AMgBPAH0AIABcAFwAdABpAG0AZQBzACAARwBXAFAAXwB7AE4AMgBPAH0AXAAiACkAOwBcAG4AXABuAEMAbwBtAG0AbwBuAF8AQwBvAG4AdgBlAHIAdABOADIATwBUAG8AQwBPADIAZQBfAEEAcgBnAHUAbQBlAG4AdABzAFwAbgAgACAAPQBMAEEATQBCAEQAQQAoAFwAbgAgACAAIAAgAE0AQQBLAEUAQQBSAFIAQQBZACgAMgAsACAAMgAsACAAXABuACAAIAAgACAAIAAgAEwAQQBNAEIARABBACgAcgAsAGMALAAgAFwAbgAgACAAIAAgACAAIAAgACAASQBOAEQARQBYACgAewBcAG4AIAAgACAAIAAgACAAIAAgACAAIABcACIARQBOADIATwBcACIALABcACIATgBpAHQAcgBvAHUAcwAgAG8AeABpAGQAZQAgAGUAbQBpAHMAcwBpAG8AbgBzACAAKAB0ACAATgAyAE8AKQBcACIAOwBcAG4AIAAgACAAIAAgACAAIAAgACAAIABcACIARwBXAFAATgAyAE8AXAAiACwAXAAiAEcAbABvAGIAYQBsACAAdwBhAHIAbQBpAG4AZwAgAHAAbwB0AGUAbgB0AGkAYQBsACAAZgBvAHIAIABuAGkAdAByAG8AdQBzACAAbwB4AGkAZABlACAAKAB0ACAAQwBPADIALQBlACAALwAgAHQAIABOADIATwApAFwAIgBcAG4AIAAgACAAIAAgACAAIAAgAH0ALAAgAHIALAAgAGMAKQBcAG4AIAAgACAAIAAgACAAKQBcAG4AIAAgACAAIAApAFwAbgAgACAAKQA7AFwAbgBcAG4ALwAqACAAXABuAC0ALQAtAC0ALQAtAC0ALQAtAC0ALQAtAC0ALQAtAC0ALQAtAC0ALQAtAC0ALQAtAC0ALQAtAC0ALQAtAC0ALQAtAC0ALQAtAC0ALQBcAG4AQwBvAG0AbQBvAG4AXwBDAG8AbgB2AGUAcgB0AEMASAA0AFQAbwBDAE8AMgBlAFwAbgBDAG8AbgB2AGUAcgB0ACAAbQBlAHQAaABhAG4AZQAgAGUAbQBpAHMAcwBpAG8AbgBzACAAdABvACAAYwBhAHIAYgBvAG4AIABkAGkAbwB4AGkAZABlACAAZQBxAHUAaQB2AGEAbABlAG4AdAAgAGUAbQBpAHMAcwBpAG8AbgBzAFwAbgBFAEMASAA0ACAAQwBPADIAZQBcAG4AdAAgAEMATwAyAGUAXABuAEUAQwBIADQAOgAgAG0AZQB0AGgAYQBuAGUAIABlAG0AaQBzAHMAaQBvAG4AcwAgACgAdAAgAEMASAA0ACkAXABuAEcAVwBQAEMASAA0ADoAIABnAGwAbwBiAGEAbAAgAHcAYQByAG0AaQBuAGcAIABwAG8AdABlAG4AdABpAGEAbAAgAGYAbwByACAAbQBlAHQAaABhAG4AZQAgACgAdAAgAEMATwAyAC0AZQAgAC8AIAB0ACAAQwBIADQAKQBcAG4ALQAtAC0ALQAtAC0ALQAtAC0ALQAtAC0ALQAtAC0ALQAtAC0ALQAtAC0ALQAtAC0ALQAtAC0ALQAtAC0ALQAtAC0ALQAtAC0ALQAtAFwAbgAqAC8AXABuAFwAbgBcAG4AQwBvAG0AbQBvAG4AXwBDAG8AbgB2AGUAcgB0AEMASAA0AFQAbwBDAE8AMgBlAFwAbgAgACAAPQBMAEEATQBCAEQAQQAoAFwAbgAgACAAIAAgAEUAXwBDAEgANAAsACAARwBXAFAAXwBDAEgANAAsAFwAbgAgACAAIAAgAEUAXwBDAEgANAAgACoAIABHAFcAUABfAEMASAA0AFwAbgAgACAAKQBcAG4AOwBcAG4AXABuAEMAbwBtAG0AbwBuAF8AQwBvAG4AdgBlAHIAdABDAEgANABUAG8AQwBPADIAZQBfAFQAaQB0AGwAZQBcAG4AIAAgAD0ATABBAE0AQgBEAEEAKABcACIAQwBvAG4AdgBlAHIAdAAgAG0AZQB0AGgAYQBuAGUAIABlAG0AaQBzAHMAaQBvAG4AcwAgAHQAbwAgAGMAYQByAGIAbwBuACAAZABpAG8AeABpAGQAZQAgAGUAcQB1AGkAdgBhAGwAZQBuAHQAIABlAG0AaQBzAHMAaQBvAG4AcwBcACIAKQA7AFwAbgBcAG4AQwBvAG0AbQBvAG4AXwBDAG8AbgB2AGUAcgB0AEMASAA0AFQAbwBDAE8AMgBlAF8AVgBhAHIAaQBhAGIAbABlAFwAbgAgACAAPQBMAEEATQBCAEQAQQAoAFwAIgBFAEMASAA0ACAAQwBPADIAZQBcACIAKQA7AFwAbgBcAG4AQwBvAG0AbQBvAG4AXwBDAG8AbgB2AGUAcgB0AEMASAA0AFQAbwBDAE8AMgBlAF8AVQBuAGkAdABcAG4AIAAgAD0ATABBAE0AQgBEAEEAKABcACIAdAAgAEMATwAyAGUAXAAiACkAOwBcAG4AXABuAEMAbwBtAG0AbwBuAF8AQwBvAG4AdgBlAHIAdABDAEgANABUAG8AQwBPADIAZQBfAE4ASQBSAFIAZQBmAGUAcgBlAG4AYwBlAFwAbgAgACAAPQBMAEEATQBCAEQAQQAoAFwAIgBcACIAKQA7AFwAbgBcAG4AQwBvAG0AbQBvAG4AXwBDAG8AbgB2AGUAcgB0AEMASAA0AFQAbwBDAE8AMgBlAF8ATABhAHQAZQB4AEUAcQB1AGEAdABpAG8AbgBcAG4AIAAgAD0ATABBAE0AQgBEAEEAKABcACIAQwBPADIAXwBlACAAPQAgAEUAXwB7AEMASAA0AH0AIABcAFwAdABpAG0AZQBzACAARwBXAFAAXwB7AEMASAA0AH0AXAAiACkAOwBcAG4AXABuAEMAbwBtAG0AbwBuAF8AQwBvAG4AdgBlAHIAdABDAEgANABUAG8AQwBPADIAZQBfAEEAcgBnAHUAbQBlAG4AdABzAFwAbgAgACAAPQBMAEEATQBCAEQAQQAoAFwAbgAgACAAIAAgAE0AQQBLAEUAQQBSAFIAQQBZACgAMgAsACAAMgAsACAAXABuACAAIAAgACAAIAAgAEwAQQBNAEIARABBACgAcgAsAGMALAAgAFwAbgAgACAAIAAgACAAIAAgACAASQBOAEQARQBYACgAewBcAG4AIAAgACAAIAAgACAAIAAgACAAIABcACIARQBDAEgANABcACIALABcACIATQBlAHQAaABhAG4AZQAgAGUAbQBpAHMAcwBpAG8AbgBzACAAKAB0ACAAQwBIADQAKQBcACIAOwBcAG4AIAAgACAAIAAgACAAIAAgACAAIABcACIARwBXAFAAQwBIADQAXAAiACwAXAAiAEcAbABvAGIAYQBsACAAdwBhAHIAbQBpAG4AZwAgAHAAbwB0AGUAbgB0AGkAYQBsACAAZgBvAHIAIABtAGUAdABoAGEAbgBlACAAKAB0ACAAQwBPADIALQBlACAALwAgAHQAIABDAEgANAApAFwAIgBcAG4AIAAgACAAIAAgACAAIAAgAH0ALAAgAHIALAAgAGMAKQBcAG4AIAAgACAAIAAgACAAKQBcAG4AIAAgACAAIAApAFwAbgAgACAAKQA7ACIAfQAsAHsAIgBwAGEAdABoACIAOgAiAC8AcAByAG8AagBlAGMAdABzAC8AQwBvAG0AbQBvAG4ATABpAHYAZQBzAHQAbwBjAGsAXwBTAG8AdQByAGMAZQBEAGEAdABhACIALAAiAHQAZQB4AHQAIgA6ACIALwAqAFwAbgA9AD0APQA9AD0APQA9AD0APQA9AD0APQA9AD0APQA9AD0APQA9AD0APQA9AD0APQA9AD0APQA9AD0APQA9AD0APQA9AD0APQA9AD0APQA9AD0APQA9AD0APQA9AD0APQA9AD0APQA9AD0APQA9AD0APQA9AD0APQA9AD0APQA9AD0APQA9AD0APQA9AD0APQA9AD0APQA9AFwAbgA9AD0APQA9AD0APQA9AD0APQA9AD0APQA9AD0APQA9AD0APQA9AD0APQA9AD0APQA9AD0APQA9AD0APQA9AD0APQA9AD0APQA9AD0APQA9AD0APQA9AD0APQA9AD0APQA9AD0APQA9AD0APQA9AD0APQA9AD0APQA9AD0APQA9AD0APQA9AD0APQA9AD0APQA9AD0APQA9AFwAbgBTAG8AdQByAGMAZQAgAGQAYQB0AGEAIAB0AGgAYQB0ACAAaQBzACAAYwBvAG0AbQBvAG4AIABhAGMAcgBvAHMAcwAgAGEAbABsACAAbABpAHYAZQBzAHQAbwBjAGsAIAB0AHkAcABlAHMAXABuAEUAeABjAGUAbAAgAG0AbwBkAHUAbABlACAAbgBhAG0AZQA6ACAAUwBvAHUAcgBjAGUARABhAHQAYQBfAEwAaQB2AGUAcwB0AG8AYwBrAF8AQwBvAG0AbQBvAG4AXABuAD0APQA9AD0APQA9AD0APQA9AD0APQA9AD0APQA9AD0APQA9AD0APQA9AD0APQA9AD0APQA9AD0APQA9AD0APQA9AD0APQA9AD0APQA9AD0APQA9AD0APQA9AD0APQA9AD0APQA9AD0APQA9AD0APQA9AD0APQA9AD0APQA9AD0APQA9AD0APQA9AD0APQA9AD0APQA9AD0AXABuAD0APQA9AD0APQA9AD0APQA9AD0APQA9AD0APQA9AD0APQA9AD0APQA9AD0APQA9AD0APQA9AD0APQA9AD0APQA9AD0APQA9AD0APQA9AD0APQA9AD0APQA9AD0APQA9AD0APQA9AD0APQA9AD0APQA9AD0APQA9AD0APQA9AD0APQA9AD0APQA9AD0APQA9AD0APQA9AD0AXABuACoALwBcAG4AXABuAC8AKgBcAG4APQA9AD0APQA9AD0APQA9AD0APQA9AD0APQA9AD0APQA9AD0APQA9AD0APQA9AD0APQA9AD0APQA9AD0APQA9AD0APQA9AD0APQA9AFwAbgA9AD0APQA9AD0APQA9AD0APQA9AD0APQA9AD0APQA9AD0APQA9AD0APQA9AD0APQA9AD0APQA9AD0APQA9AD0APQA9AD0APQA9AD0AXABuAFMAbwB1AHIAYwBlADoAIABOAGEAdABpAG8AbgBhAGwAIABJAG4AdgBlAG4AdABvAHIAeQAgAFIAZQBwAG8AcgB0ACAAMgAwADIAMwAgAFYAbwBsAHUAbQBlACAAMQBcAG4ATgBJAFIAXwAyADAAMgAzAF8AVgBvAGwAMQBcAG4APQA9AD0APQA9AD0APQA9AD0APQA9AD0APQA9AD0APQA9AD0APQA9AD0APQA9AD0APQA9AD0APQA9AD0APQA9AD0APQA9AD0APQA9AFwAbgA9AD0APQA9AD0APQA9AD0APQA9AD0APQA9AD0APQA9AD0APQA9AD0APQA9AD0APQA9AD0APQA9AD0APQA9AD0APQA9AD0APQA9AD0AXABuACoALwBcAG4AXABuAC8AKgAgAFwAbgAtAC0ALQAtAC0ALQAtAC0ALQAtAC0ALQAtAC0ALQAtAC0ALQAtAC0ALQAtAC0ALQAtAC0ALQAtAC0ALQAtAC0ALQAtAC0ALQAtAC0AXABuAFMAbwB1AHIAYwBlAEQAYQB0AGEAXwBMAGkAdgBlAHMAdABvAGMAawBfAEMAbwBtAG0AbwBuAF8ARgByAGEAYwBXAEUAVABNAE0AUwBcAG4ARgByAGEAYwBXAEUAVABNAE0AUwBpACAAPQAgAEYAcgBhAGMAdABpAG8AbgAgAG8AZgAgAE4AIABhAHYAYQBpAGwAYQBiAGwAZQAgAGYAbwByACAAbABlAGEAYwBoAGkAbgBnACAAYQBuAGQAIAByAHUAbgBvAGYAZgBcAG4AKABUAGEAYgBsAGUAIABBADUALgA1AC4AMQAwAC4AMgAgAGkAcwAgAHIAZQBmAGUAcgBlAG4AYwBlAGQAIABpAG4AIABOAEkAUgAgAGIAdQB0ACAAMQAgAGkAcwAgAHUAcwBlAGQAKQBcAG4ALQAtAC0ALQAtAC0ALQAtAC0ALQAtAC0ALQAtAC0ALQAtAC0ALQAtAC0ALQAtAC0ALQAtAC0ALQAtAC0ALQAtAC0ALQAtAC0ALQAtAFwAbgAqAC8AXABuAFwAbgBTAG8AdQByAGMAZQBEAGEAdABhAF8ATABpAHYAZQBzAHQAbwBjAGsAXwBDAG8AbQBtAG8AbgBfAEYAcgBhAGMAVwBFAFQATQBNAFMAXwBUAGkAdABsAGUAXABuACAAIAA9AEwAQQBNAEIARABBACgAXAAiAEYAcgBhAGMAdABpAG8AbgAgAG8AZgAgAE4AIABhAHYAYQBpAGwAYQBiAGwAZQAgAGYAbwByACAAbABlAGEAYwBoAGkAbgBnACAAYQBuAGQAIAByAHUAbgBvAGYAZgBcACIAKQA7AFwAbgBcAG4AUwBvAHUAcgBjAGUARABhAHQAYQBfAEwAaQB2AGUAcwB0AG8AYwBrAF8AQwBvAG0AbQBvAG4AXwBGAHIAYQBjAFcARQBUAE0ATQBTAF8AVQBuAGkAdABcAG4AIAAgAD0ATABBAE0AQgBEAEEAKABcACIARgByAGEAYwB0AGkAbwBuAFwAIgApADsAXABuAFwAbgBTAG8AdQByAGMAZQBEAGEAdABhAF8ATABpAHYAZQBzAHQAbwBjAGsAXwBDAG8AbQBtAG8AbgBfAEYAcgBhAGMAVwBFAFQATQBNAFMAXwBTAG8AdQByAGMAZQBcAG4AIAAgAD0ATABBAE0AQgBEAEEAKABcACIATgBhAHQAaQBvAG4AYQBsACAASQBuAHYAZQBuAHQAbwByAHkAIABSAGUAcABvAHIAdAAgADIAMAAyADMAIABWAG8AbAB1AG0AZQAgADEAOgAgAEUAcQB1AGEAdABpAG8AbgBzACAAMwAuAEIALgA1AGEAXwAzACwAIAAzAC4AQgAuADUAYwBfADMALAAgADMALgBCAC4ANQBkAF8AMwBcACIAKQA7AFwAbgBcAG4AUwBvAHUAcgBjAGUARABhAHQAYQBfAEwAaQB2AGUAcwB0AG8AYwBrAF8AQwBvAG0AbQBvAG4AXwBGAHIAYQBjAFcARQBUAE0ATQBTAF8ARABhAHQAYQBcAG4AIAAgAD0ATABBAE0AQgBEAEEAKAAxACkAOwBcAG4AXABuAC8AKgAgAFwAbgAtAC0ALQAtAC0ALQAtAC0ALQAtAC0ALQAtAC0ALQAtAC0ALQAtAC0ALQAtAC0ALQAtAC0ALQAtAC0ALQAtAC0ALQAtAC0ALQAtAC0AXABuAFMAbwB1AHIAYwBlAEQAYQB0AGEAXwBMAGkAdgBlAHMAdABvAGMAawBfAEMAbwBtAG0AbwBuAF8ARgByAGEAYwBMAEUAQQBDAEgAXwBNAFMAXABuAEYAcgBhAGMATABFAEEAQwBIAF8ATQBTACAAPQAgADAALgAwADIAIAAoAEcAZwAgAE4ALwBHAGcAIABhAHAAcABsAGkAZQBkACkAIAAoAEMAUwAgAEUARgAsACAAcwBvAHUAcgBjAGUAIABJAFAAQwBDACAAKAAyADAAMQA5ACkAKQAgAFwAbgBmAHIAYQBjAHQAaQBvAG4AIABvAGYAIABOACAAbABvAHMAdAAgAHQAaAByAG8AdQBnAGgAIABsAGUAYQBjAGgAaQBuAGcAIABhAG4AZAAgAHIAdQBuAG8AZgBmAFwAbgAtAC0ALQAtAC0ALQAtAC0ALQAtAC0ALQAtAC0ALQAtAC0ALQAtAC0ALQAtAC0ALQAtAC0ALQAtAC0ALQAtAC0ALQAtAC0ALQAtAC0AXABuACoALwBcAG4AXABuAFMAbwB1AHIAYwBlAEQAYQB0AGEAXwBMAGkAdgBlAHMAdABvAGMAawBfAEMAbwBtAG0AbwBuAF8ARgByAGEAYwBMAEUAQQBDAEgAXwBNAFMAXwBUAGkAdABsAGUAXABuACAAIAA9AEwAQQBNAEIARABBACgAXAAiAEYAcgBhAGMAdABpAG8AbgAgAG8AZgAgAE4AIABsAG8AcwB0ACAAdABoAHIAbwB1AGcAaAAgAGwAZQBhAGMAaABpAG4AZwAgAGEAbgBkACAAcgB1AG4AbwBmAGYAXAAiACkAOwBcAG4AXABuAFMAbwB1AHIAYwBlAEQAYQB0AGEAXwBMAGkAdgBlAHMAdABvAGMAawBfAEMAbwBtAG0AbwBuAF8ARgByAGEAYwBMAEUAQQBDAEgAXwBNAFMAXwBVAG4AaQB0AFwAbgAgACAAPQBMAEEATQBCAEQAQQAoAFwAIgBGAHIAYQBjAHQAaQBvAG4AXAAiACkAOwBcAG4AXABuAFMAbwB1AHIAYwBlAEQAYQB0AGEAXwBMAGkAdgBlAHMAdABvAGMAawBfAEMAbwBtAG0AbwBuAF8ARgByAGEAYwBMAEUAQQBDAEgAXwBNAFMAXwBTAG8AdQByAGMAZQBcAG4AIAAgAD0ATABBAE0AQgBEAEEAKABcACIATgBhAHQAaQBvAG4AYQBsACAASQBuAHYAZQBuAHQAbwByAHkAIABSAGUAcABvAHIAdAAgADIAMAAyADMAIABWAG8AbAB1AG0AZQAgADEAOgAgAEUAcQB1AGEAdABpAG8AbgBzACAAMwAuAEIALgA1AGEAXwAzACwAIAAzAC4AQgAuADUAYwBfADMALAAgADMALgBCAC4ANQBkAF8AMwBcACIAKQA7AFwAbgBcAG4AUwBvAHUAcgBjAGUARABhAHQAYQBfAEwAaQB2AGUAcwB0AG8AYwBrAF8AQwBvAG0AbQBvAG4AXwBGAHIAYQBjAEwARQBBAEMASABfAE0AUwBfAEQAYQB0AGEAXABuACAAIAA9AEwAQQBNAEIARABBACgAXABuACAAIAAgACAATQBBAEsARQBBAFIAUgBBAFkAKAA4ACwAIAAyACwAIABcAG4AIAAgACAAIAAgACAATABBAE0AQgBEAEEAKAByACwAYwAsACAAXABuACAAIAAgACAAIAAgACAAIABJAE4ARABFAFgAKAB7AFwAbgAgACAAIAAgACAAIAAgACAAIAAgAFwAIgBQAHIAbwBkAHUAYwB0AGkAbwBuACAAcwB5AHMAdABlAG0AXAAiACwAIABcACIARQBtAGkAcwBzAGkAbwBuACAAZgBhAGMAdABvAHIAXAAiADsAXABuACAAIAAgACAAIAAgACAAIAAgACAAIAAgAFwAIgBJAHIAcgBpAGcAYQB0AGUAZAAgAHAAYQBzAHQAdQByAGUAXAAiACwAIAAwAC4AMAAwADUAOQA7AFwAbgAgACAAIAAgACAAIAAgACAAIAAgACAAIABcACIASQByAHIAaQBnAGEAdABlAGQAIABjAHIAbwBwAFwAIgAsACAAMAAuADAAMAA3ADsAXABuACAAIAAgACAAIAAgACAAIAAgACAAIAAgAFwAIgBOAG8AbgAtAGkAcgByAGkAZwBhAHQAZQBkACAAcABhAHMAdAB1AHIAZQBcACIALAAgADAALgAwADAAMQA4ADsAXABuACAAIAAgACAAIAAgACAAIAAgACAAIAAgAFwAIgBOAG8AbgAtAGkAcgByAGkAZwBhAHQAZQBkACAAYwByAG8AcABcACIALAAgADAALgAwADAANAAxADsAXABuACAAIAAgACAAIAAgACAAIAAgACAAIAAgAFwAIgBTAHUAZwBhAHIAIABjAGEAbgBlAFwAIgAsACAAMAAuADAAMQA5ADkAOwBcAG4AIAAgACAAIAAgACAAIAAgACAAIAAgACAAXAAiAEMAbwB0AHQAbwBuAFwAIgAsACAAMAAuADAAMAA1ADMAOwBcAG4AIAAgACAAIAAgACAAIAAgACAAIAAgACAAXAAiAEgAbwByAHQAaQBjAHUAbAB0AHUAcgBlAFwAIgAsACAAMAAuADAAMAA2ADQAXABuACAAIAAgACAAIAAgACAAIAB9ACwAIAByACwAIABjACkAXABuACAAIAAgACAAIAAgACkAXABuACAAIAAgACAAKQBcAG4AIAAgACkAOwBcAG4AXABuAFwAbgAvACoAIABcAG4ALQAtAC0ALQAtAC0ALQAtAC0ALQAtAC0ALQAtAC0ALQAtAC0ALQAtAC0ALQAtAC0ALQAtAC0ALQAtAC0ALQAtAC0ALQAtAC0ALQAtAFwAbgBTAG8AdQByAGMAZQBEAGEAdABhAF8ATABpAHYAZQBzAHQAbwBjAGsAXwBDAG8AbQBtAG8AbgBfAFMAeQBtAGIAbwBsAHMATQBNAFMAXABuAFQAYQBiAGwAZQAgADUALgAxADIAIABBAGQAZABpAHQAaQBvAG4AYQBsACAAcwB5AG0AYgBvAGwAcwAgAHUAcwBlAGQAIABpAG4AIABhAGwAZwBvAHIAaQB0AGgAbQBzACAAZgBvAHIAIABtAGEAbgB1AHIAZQAgAHIAZQBsAGEAdABlAGQAIABlAG0AaQBzAHMAaQBvAG4AcwBcAG4ALQAtAC0ALQAtAC0ALQAtAC0ALQAtAC0ALQAtAC0ALQAtAC0ALQAtAC0ALQAtAC0ALQAtAC0ALQAtAC0ALQAtAC0ALQAtAC0ALQAtAFwAbgAqAC8AXABuAFwAbgBTAG8AdQByAGMAZQBEAGEAdABhAF8ATABpAHYAZQBzAHQAbwBjAGsAXwBDAG8AbQBtAG8AbgBfAFMAeQBtAGIAbwBsAHMATQBNAFMAXwBUAGkAdABsAGUAXABuACAAIAA9AEwAQQBNAEIARABBACgAXAAiAFQAYQBiAGwAZQAgADUALgAxADIAIABBAGQAZABpAHQAaQBvAG4AYQBsACAAcwB5AG0AYgBvAGwAcwAgAHUAcwBlAGQAIABpAG4AIABhAGwAZwBvAHIAaQB0AGgAbQBzACAAZgBvAHIAIABtAGEAbgB1AHIAZQAgAHIAZQBsAGEAdABlAGQAIABlAG0AaQBzAHMAaQBvAG4AcwBcACIAKQA7AFwAbgBcAG4AUwBvAHUAcgBjAGUARABhAHQAYQBfAEwAaQB2AGUAcwB0AG8AYwBrAF8AQwBvAG0AbQBvAG4AXwBTAHkAbQBiAG8AbABzAE0ATQBTAF8AVgBhAGkAcgBhAGIAbABlAFwAbgAgACAAPQBMAEEATQBCAEQAQQAoAFwAIgBNAE0AUwBcACIAKQA7AFwAbgBcAG4AUwBvAHUAcgBjAGUARABhAHQAYQBfAEwAaQB2AGUAcwB0AG8AYwBrAF8AQwBvAG0AbQBvAG4AXwBTAHkAbQBiAG8AbABzAE0ATQBTAF8AVQBuAGkAdABcAG4AIAAgAD0ATABBAE0AQgBEAEEAKABcACIAXAAiACkAOwBcAG4AXABuAFMAbwB1AHIAYwBlAEQAYQB0AGEAXwBMAGkAdgBlAHMAdABvAGMAawBfAEMAbwBtAG0AbwBuAF8AUwB5AG0AYgBvAGwAcwBNAE0AUwBfAFMAbwB1AHIAYwBlAFwAbgAgACAAPQBMAEEATQBCAEQAQQAoAFwAIgBOAGEAdABpAG8AbgBhAGwAIABJAG4AdgBlAG4AdABvAHIAeQAgAFIAZQBwAG8AcgB0ACAAMgAwADIAMwAgAFYAbwBsAHUAbQBlACAAMQA6ACAAVABhAGIAbABlACAANQAuADEAMgBcACIAKQA7AFwAbgBcAG4AUwBvAHUAcgBjAGUARABhAHQAYQBfAEwAaQB2AGUAcwB0AG8AYwBrAF8AQwBvAG0AbQBvAG4AXwBTAHkAbQBiAG8AbABzAE0ATQBTAF8ARABhAHQAYQBcAG4AIAAgAD0ATABBAE0AQgBEAEEAKABcAG4AIAAgACAAIABNAEEASwBFAEEAUgBSAEEAWQAoADEAOQAsACAAMwAsACAAXABuACAAIAAgACAAIAAgAEwAQQBNAEIARABBACgAcgAsAGMALAAgAFwAbgAgACAAIAAgACAAIAAgACAASQBOAEQARQBYACgAewBcAG4AIAAgACAAIAAgACAAIAAgACAAIABcACIAUwB5AG0AYgBvAGwAXAAiACwAIABcACIATQBhAG4AdQByAGUAIABtAGEAbgBhAGcAZQBtAGUAbgB0ACAAcwB5AHMAdABlAG0AXAAiACwAIABcACIAXAAiADsAXABuACAAIAAgACAAIAAgACAAIAAgACAAIAAgAFwAIgAxAFwAIgAsACAAXAAiAEEAbgBhAGUAcgBvAGIAaQBjACAAbABhAGcAbwBvAG4AXAAiACwAIABcACIAQQBuAGEAZQByAG8AYgBpAGMAIABsAGEAZwBvAG8AbgAgACgAbQA9ADEAKQBcACIAOwBcAG4AIAAgACAAIAAgACAAIAAgACAAIAAgACAAXAAiADIAXAAiACwAIABcACIATABpAHEAdQBpAGQAIABzAHkAcwB0AGUAbQBzAFwAIgAsACAAXAAiAEwAaQBxAHUAaQBkACAAcwB5AHMAdABlAG0AcwAgACgAbQA9ADIAKQBcACIAOwBcAG4AIAAgACAAIAAgACAAIAAgACAAIAAgACAAXAAiADMAXAAiACwAIABcACIARABhAGkAbAB5ACAAcwBwAHIAZQBhAGQAXAAiACwAIABcACIARABhAGkAbAB5ACAAcwBwAHIAZQBhAGQAIAAoAG0APQAzACkAXAAiADsAXABuACAAIAAgACAAIAAgACAAIAAgACAAIAAgAFwAIgAzAGEAXAAiACwAIABcACIAUwB1AG0AcAAgAGEAbgBkACAAZABpAHMAcABlAHIAcwBhAGwAIABzAHkAcwB0AGUAbQBcACIALAAgAFwAIgBTAHUAbQBwACAAYQBuAGQAIABkAGkAcwBwAGUAcgBzAGEAbAAgAHMAeQBzAHQAZQBtACAAKABtAD0AMwBhACkAXAAiADsAXABuACAAIAAgACAAIAAgACAAIAAgACAAIAAgAFwAIgAzAGIAXAAiACwAIABcACIARAByAGEAaQBuAHMAIAB0AG8AIABwAGEAZABkAG8AYwBrAFwAIgAsACAAXAAiAEQAcgBhAGkAbgBzACAAdABvACAAcABhAGQAZABvAGMAawAgACgAbQA9ADMAYgApAFwAIgA7AFwAbgAgACAAIAAgACAAIAAgACAAIAAgACAAIABcACIANABcACIALAAgAFwAIgBTAG8AbABpAGQAIABzAHQAbwByAGEAZwBlAFwAIgAsACAAXAAiAFMAbwBsAGkAZAAgAHMAdABvAHIAYQBnAGUAIAAoAG0APQA0ACkAXAAiADsAXABuACAAIAAgACAAIAAgACAAIAAgACAAIAAgAFwAIgA1AFwAIgAsACAAXAAiAEQAcgB5AGwAbwB0ACAAKABmAGUAZQBkACAAcABhAGQAKQBcACIALAAgAFwAIgBEAHIAeQBsAG8AdAAgACgAZgBlAGUAZAAgAHAAYQBkACkAIAAoAG0APQA1ACkAXAAiADsAXABuACAAIAAgACAAIAAgACAAIAAgACAAIAAgAFwAIgA2AFwAIgAsACAAXAAiAEMAbwBtAHAAbwBzAHQAaQBuAGcAIAAoAHAAYQBzAHMAaQB2AGUAIAB3AGkAbgBkAHIAbwB3ACkAXAAiACwAIABcACIAQwBvAG0AcABvAHMAdABpAG4AZwAgACgAcABhAHMAcwBpAHYAZQAgAHcAaQBuAGQAcgBvAHcAKQAgACgAbQA9ADYAKQBcACIAOwBcAG4AIAAgACAAIAAgACAAIAAgACAAIAAgACAAXAAiADcAXAAiACwAIABcACIARABpAGcAZQBzAHQAZQByACAALwAgAGMAbwB2AGUAcgBlAGQAIABsAGEAZwBvAG8AbgBzAFwAIgAsACAAXAAiAEQAaQBnAGUAcwB0AGUAcgAgAC8AIABjAG8AdgBlAHIAZQBkACAAbABhAGcAbwBvAG4AcwAgACgAbQA9ADcAKQBcACIAOwBcAG4AIAAgACAAIAAgACAAIAAgACAAIAAgACAAXAAiADgAXAAiACwAIABcACIARABlAGUAcAAgAGwAaQB0AHQAZQByAFwAIgAsACAAXAAiAEQAZQBlAHAAIABsAGkAdAB0AGUAcgAgACgAbQA9ADgAKQBcACIAOwBcAG4AIAAgACAAIAAgACAAIAAgACAAIAAgACAAXAAiADkAXAAiACwAIABcACIAUABpAHQAIABzAHQAbwByAGEAZwBlAFwAIgAsACAAXAAiAFAAaQB0ACAAcwB0AG8AcgBhAGcAZQAgACgAbQA9ADkAKQBcACIAOwBcAG4AIAAgACAAIAAgACAAIAAgACAAIAAgACAAXAAiADEAMABcACIALAAgAFwAIgBQAG8AdQBsAHQAcgB5ACAAbQBhAG4AdQByAGUAIAB3AGkAdABoACAAYgBlAGQAZABpAG4AZwBcACIALAAgAFwAIgBQAG8AdQBsAHQAcgB5ACAAbQBhAG4AdQByAGUAIAB3AGkAdABoACAAYgBlAGQAZABpAG4AZwAgACgAbQA9ADEAMAApAFwAIgA7AFwAbgAgACAAIAAgACAAIAAgACAAIAAgACAAIABcACIAMQAxAFwAIgAsACAAXAAiAFAAbwB1AGwAdAByAHkAIABtAGEAbgB1AHIAZQAgAHcAaQB0AGgAbwB1AHQAIABiAGUAZABkAGkAbgBnAFwAIgAsACAAXAAiAFAAbwB1AGwAdAByAHkAIABtAGEAbgB1AHIAZQAgAHcAaQB0AGgAbwB1AHQAIABiAGUAZABkAGkAbgBnACAAKABtAD0AMQAxACkAXAAiADsAXABuACAAIAAgACAAIAAgACAAIAAgACAAIAAgAFwAIgAxADEAYQBcACIALAAgAFwAIgBCAGUAbAB0ACAAbQBhAG4AdQByAGUAIAByAGUAbQBvAHYAYQBsAFwAIgAsACAAXAAiAEIAZQBsAHQAIABtAGEAbgB1AHIAZQAgAHIAZQBtAG8AdgBhAGwAIAAoAG0APQAxADEAYQApAFwAIgA7AFwAbgAgACAAIAAgACAAIAAgACAAIAAgACAAIABcACIAMQAxAGIAXAAiACwAIABcACIATQBhAG4AdQByAGUAIABzAHQAbwByAGUAZAAgAGkAbgAgAGgAbwB1AHMAZQBcACIALAAgAFwAIgBNAGEAbgB1AHIAZQAgAHMAdABvAHIAZQBkACAAaQBuACAAaABvAHUAcwBlACAAKABtAD0AMQAxAGIAKQBcACIAOwBcAG4AIAAgACAAIAAgACAAIAAgACAAIAAgACAAXAAiADEAMgBcACIALAAgAFwAIgBEAGkAcgBlAGMAdAAgAHAAcgBvAGMAZQBzAHMAaQBuAGcAXAAiACwAIABcACIARABpAHIAZQBjAHQAIABwAHIAbwBjAGUAcwBzAGkAbgBnACAAKABtAD0AMQAyACkAXAAiADsAXABuACAAIAAgACAAIAAgACAAIAAgACAAIAAgAFwAIgAxADMAXAAiACwAIABcACIARABpAHIAZQBjAHQAIABhAHAAcABsAGkAYwBhAHQAaQBvAG4AXAAiACwAIABcACIARABpAHIAZQBjAHQAIABhAHAAcABsAGkAYwBhAHQAaQBvAG4AIAAoAG0APQAxADMAKQBcACIAOwBcAG4AIAAgACAAIAAgACAAIAAgACAAIAAgACAAXAAiADEANABcACIALAAgAFwAIgBQAGEAcwB0AHUAcgBlACAAcgBhAG4AZwBlACAAYQBuAGQAIABwAGEAZABkAG8AYwBrAFwAIgAsACAAXAAiAFAAYQBzAHQAdQByAGUAIAByAGEAbgBnAGUAIABhAG4AZAAgAHAAYQBkAGQAbwBjAGsAIAAoAG0APQAxADQAKQBcACIAXABuACAAIAAgACAAIAAgACAAIAB9ACwAIAByACwAIABjACkAXABuACAAIAAgACAAIAAgACkAXABuACAAIAAgACAAKQBcAG4AIAAgACkAOwBcAG4AXABuAFwAbgAvACoAIABcAG4ALQAtAC0ALQAtAC0ALQAtAC0ALQAtAC0ALQAtAC0ALQAtAC0ALQAtAC0ALQAtAC0ALQAtAC0ALQAtAC0ALQAtAC0ALQAtAC0ALQAtAFwAbgBTAG8AdQByAGMAZQBEAGEAdABhAF8ATABpAHYAZQBzAHQAbwBjAGsAXwBQAHIAbwBkAHUAYwB0AF8AQgBlAGUAZgBDAGEAdAB0AGwAZQBcAG4ALQAtAC0ALQAtAC0ALQAtAC0ALQAtAC0ALQAtAC0ALQAtAC0ALQAtAC0ALQAtAC0ALQAtAC0ALQAtAC0ALQAtAC0ALQAtAC0ALQAtAFwAbgAqAC8AXABuAFwAbgBTAG8AdQByAGMAZQBEAGEAdABhAF8ATABpAHYAZQBzAHQAbwBjAGsAXwBQAHIAbwBkAHUAYwB0AF8AQgBlAGUAZgBDAGEAdAB0AGwAZQBfAFQAaQB0AGwAZQBcAG4AIAAgAD0ATABBAE0AQgBEAEEAKABcACIAQgBlAGUAZgAgAGMAYQB0AHQAbABlACAAcAByAG8AZAB1AGMAdABzACAAZgBvAHIAIABzAGMAbwBwAGUAIAAzAFwAIgApADsAXABuAFwAbgBTAG8AdQByAGMAZQBEAGEAdABhAF8ATABpAHYAZQBzAHQAbwBjAGsAXwBQAHIAbwBkAHUAYwB0AF8AQgBlAGUAZgBDAGEAdAB0AGwAZQBfAFYAYQBpAHIAYQBiAGwAZQBcAG4AIAAgAD0ATABBAE0AQgBEAEEAKABcACIAXAAiACkAOwBcAG4AXABuAFMAbwB1AHIAYwBlAEQAYQB0AGEAXwBMAGkAdgBlAHMAdABvAGMAawBfAFAAcgBvAGQAdQBjAHQAXwBCAGUAZQBmAEMAYQB0AHQAbABlAF8AVQBuAGkAdABcAG4AIAAgAD0ATABBAE0AQgBEAEEAKABcACIAXAAiACkAOwBcAG4AXABuAFMAbwB1AHIAYwBlAEQAYQB0AGEAXwBMAGkAdgBlAHMAdABvAGMAawBfAFAAcgBvAGQAdQBjAHQAXwBCAGUAZQBmAEMAYQB0AHQAbABlAF8AUwBvAHUAcgBjAGUAXABuACAAIAA9AEwAQQBNAEIARABB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OwBcAG4AXABuAFMAbwB1AHIAYwBlAEQAYQB0AGEAXwBMAGkAdgBlAHMAdABvAGMAawBfAFAAcgBvAGQAdQBjAHQAXwBCAGUAZQBmAEMAYQB0AHQAbABlAF8ARABhAHQAYQBcAG4AIAAgAD0ATABBAE0AQgBEAEEAKABcAG4AIAAgACAAIABNAEEASwBFAEEAUgBSAEEAWQAoADkALAAgADIALAAgAFwAbgAgACAAIAAgACAAIABMAEEATQBCAEQAQQAoAHIALABjACwAIABcAG4AIAAgACAAIAAgACAAIAAgAEkATgBEAEUAWAAoAHsAXABuACAAIAAgACAAIAAgACAAIAAgACAAXAAiAFAAcgBvAGQAdQBjAHQAXAAiACwAIABcACIAUwBvAHUAcgBjAGUAIAByAGUAZwBpAG8AbgBcACIAOwBcAG4AIAAgACAAIAAgACAAIAAgACAAIAAgACAAXAAiAEMAYQB0AHQAbABlACwAIABmAG8AcgAgAG0AYQBuAHUAZgBhAGMAdAB1AHIAaQBuAGcAIABiAGUAZQBmAFwAIgAsACAAXAAiAEEAdQBzAHQAcgBhAGwAaQBhAFwAIgA7AFwAbgAgACAAIAAgACAAIAAgACAAIAAgACAAIABcACIAQwBhAHQAdABsAGUALAAgAGYAbwByACAAcAByAGkAbQBlACAAYgBlAGUAZgBcACIALAAgAFwAIgBOAFMAVwBcACIAOwBcAG4AIAAgACAAIAAgACAAIAAgACAAIAAgACAAXAAiAEMAYQB0AHQAbABlACwAIAB3AGUAYQBuAGUAcgBzAFwAIgAsACAAXAAiAE4AVABcACIAOwBcAG4AIAAgACAAIAAgACAAIAAgACAAIAAgACAAXAAiAFwAIgAsACAAXAAiAFEATABEAFwAIgA7AFwAbgAgACAAIAAgACAAIAAgACAAIAAgACAAIABcACIAXAAiACwAIABcACIAUwBBAFwAIgA7AFwAbgAgACAAIAAgACAAIAAgACAAIAAgACAAIABcACIAXAAiACwAIABcACIAVABBAFMAXAAiADsAXABuACAAIAAgACAAIAAgACAAIAAgACAAIAAgAFwAIgBcACIALAAgAFwAIgBWAEkAQwBcACIAOwBcAG4AIAAgACAAIAAgACAAIAAgACAAIAAgACAAXAAiAFwAIgAsACAAXAAiAFcAQQBcACIAXABuACAAIAAgACAAIAAgACAAIAB9ACwAIAByACwAIABjACkAXABuACAAIAAgACAAIAAgACkAXABuACAAIAAgACAAKQBcAG4AIAAgACkAOwBcAG4AXABuAC8AKgAgAFwAbgAtAC0ALQAtAC0ALQAtAC0ALQAtAC0ALQAtAC0ALQAtAC0ALQAtAC0ALQAtAC0ALQAtAC0ALQAtAC0ALQAtAC0ALQAtAC0ALQAtAC0AXABuAFMAbwB1AHIAYwBlAEQAYQB0AGEAXwBMAGkAdgBlAHMAdABvAGMAawBfAFAAcgBvAGQAdQBjAHQAXwBDAGgAaQBjAGsAZQBuAHMAXABuAC0ALQAtAC0ALQAtAC0ALQAtAC0ALQAtAC0ALQAtAC0ALQAtAC0ALQAtAC0ALQAtAC0ALQAtAC0ALQAtAC0ALQAtAC0ALQAtAC0ALQBcAG4AKgAvAFwAbgBcAG4AUwBvAHUAcgBjAGUARABhAHQAYQBfAEwAaQB2AGUAcwB0AG8AYwBrAF8AUAByAG8AZAB1AGMAdABfAEMAaABpAGMAawBlAG4AcwBfAFQAaQB0AGwAZQBcAG4AIAAgAD0ATABBAE0AQgBEAEEAKABcACIAQwBoAGkAYwBrAGUAbgBzACAAcAByAG8AZAB1AGMAdABzACAAZgBvAHIAIABzAGMAbwBwAGUAIAAzAFwAIgApADsAXABuAFwAbgBTAG8AdQByAGMAZQBEAGEAdABhAF8ATABpAHYAZQBzAHQAbwBjAGsAXwBQAHIAbwBkAHUAYwB0AF8AQwBoAGkAYwBrAGUAbgBzAF8AVgBhAGkAcgBhAGIAbABlAFwAbgAgACAAPQBMAEEATQBCAEQAQQAoAFwAIgBcACIAKQA7AFwAbgBcAG4AUwBvAHUAcgBjAGUARABhAHQAYQBfAEwAaQB2AGUAcwB0AG8AYwBrAF8AUAByAG8AZAB1AGMAdABfAEMAaABpAGMAawBlAG4AcwBfAFUAbgBpAHQAXABuACAAIAA9AEwAQQBNAEIARABBACgAXAAiAFwAIgApADsAXABuAFwAbgBTAG8AdQByAGMAZQBEAGEAdABhAF8ATABpAHYAZQBzAHQAbwBjAGsAXwBQAHIAbwBkAHUAYwB0AF8AQwBoAGkAYwBrAGUAbgBzAF8AUwBvAHUAcgBjAGUAXABuACAAIAA9AEwAQQBNAEIARABB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OwBcAG4AXABuAFMAbwB1AHIAYwBlAEQAYQB0AGEAXwBMAGkAdgBlAHMAdABvAGMAawBfAFAAcgBvAGQAdQBjAHQAXwBDAGgAaQBjAGsAZQBuAHMAXwBEAGEAdABhAFwAbgAgACAAPQBMAEEATQBCAEQAQQAoAFwAbgAgACAAIAAgAE0AQQBLAEUAQQBSAFIAQQBZACgAMgAsACAAMgAsACAAXABuACAAIAAgACAAIAAgAEwAQQBNAEIARABBACgAcgAsAGMALAAgAFwAbgAgACAAIAAgACAAIAAgACAASQBOAEQARQBYACgAewBcAG4AIAAgACAAIAAgACAAIAAgACAAIABcACIAUAByAG8AZAB1AGMAdABcACIALAAgAFwAIgBTAG8AdQByAGMAZQAgAHIAZQBnAGkAbwBuAFwAIgA7AFwAbgAgACAAIAAgACAAIAAgACAAIAAgACAAIABcACIAQwBoAGkAYwBrAGUAbgBzAFwAIgAsACAAXAAiAEEAdQBzAHQAcgBhAGwAaQBhAFwAIgBcAG4AIAAgACAAIAAgACAAIAAgAH0ALAAgAHIALAAgAGMAKQBcAG4AIAAgACAAIAAgACAAKQBcAG4AIAAgACAAIAApAFwAbgAgACAAKQA7AFwAbgBcAG4AXABuAC8AKgAgAFwAbgAtAC0ALQAtAC0ALQAtAC0ALQAtAC0ALQAtAC0ALQAtAC0ALQAtAC0ALQAtAC0ALQAtAC0ALQAtAC0ALQAtAC0ALQAtAC0ALQAtAC0AXABuAFMAbwB1AHIAYwBlAEQAYQB0AGEAXwBMAGkAdgBlAHMAdABvAGMAawBfAFAAcgBvAGQAdQBjAHQAXwBEAGEAaQByAHkAYwBhAHQAdABsAGUAXABuAC0ALQAtAC0ALQAtAC0ALQAtAC0ALQAtAC0ALQAtAC0ALQAtAC0ALQAtAC0ALQAtAC0ALQAtAC0ALQAtAC0ALQAtAC0ALQAtAC0ALQBcAG4AKgAvAFwAbgBcAG4AUwBvAHUAcgBjAGUARABhAHQAYQBfAEwAaQB2AGUAcwB0AG8AYwBrAF8AUAByAG8AZAB1AGMAdABfAEQAYQBpAHIAeQBjAGEAdAB0AGwAZQBfAFQAaQB0AGwAZQBcAG4AIAAgAD0ATABBAE0AQgBEAEEAKABcACIARABhAGkAcgB5ACAAYwBhAHQAdABsAGUAIABwAHIAbwBkAHUAYwB0AHMAIABmAG8AcgAgAHMAYwBvAHAAZQAgADMAXAAiACkAOwBcAG4AXABuAFMAbwB1AHIAYwBlAEQAYQB0AGEAXwBMAGkAdgBlAHMAdABvAGMAawBfAFAAcgBvAGQAdQBjAHQAXwBEAGEAaQByAHkAYwBhAHQAdABsAGUAXwBWAGEAaQByAGEAYgBsAGUAXABuACAAIAA9AEwAQQBNAEIARABBACgAXAAiAFwAIgApADsAXABuAFwAbgBTAG8AdQByAGMAZQBEAGEAdABhAF8ATABpAHYAZQBzAHQAbwBjAGsAXwBQAHIAbwBkAHUAYwB0AF8ARABhAGkAcgB5AGMAYQB0AHQAbABlAF8AVQBuAGkAdABcAG4AIAAgAD0ATABBAE0AQgBEAEEAKABcACIAXAAiACkAOwBcAG4AXABuAFMAbwB1AHIAYwBlAEQAYQB0AGEAXwBMAGkAdgBlAHMAdABvAGMAawBfAFAAcgBvAGQAdQBjAHQAXwBEAGEAaQByAHkAYwBhAHQAdABsAGUAXwBTAG8AdQByAGMAZQBcAG4AIAAgAD0ATABBAE0AQgBEAEEAKABcACIATABpAGYAZQBjAHkAYwBsAGUAcwAuACAAKAAyADAAMgA2ACkALgAgAEcAcgBlAGUAbgBoAG8AdQBzAGUAIABHAGEAcwAgAEUAbQBpAHMAcwBpAG8AbgAgAEkAbgB0AGUAbgBzAGkAdABpAGUAcwAgAGYAbwByACAATQBhAHQAZQByAGkAYQBsACAASQBuAHAAdQB0AHMAIAB0AG8AIABBAHUAcwB0AHIAYQBsAGkAYQBuACAAQQBnAHIAaQBjAHUAbAB0AHUAcgBlACwAIABGAGkAcwBoAGUAcgBpAGUAcwAgAGEAbgBkACAARgBvAHIAZQBzAHQAcgB5AC4AIABWAGUAcgBzAGkAbwBuACAANAA4AC4AIABkAG8AaQAgADEAMAAuADUAMgA4ADEALwB6AGUAbgBvAGQAbwAuADEAOQA2ADUANgA1ADgAMABcACIAKQA7AFwAbgBcAG4AUwBvAHUAcgBjAGUARABhAHQAYQBfAEwAaQB2AGUAcwB0AG8AYwBrAF8AUAByAG8AZAB1AGMAdABfAEQAYQBpAHIAeQBjAGEAdAB0AGwAZQBfAEQAYQB0AGEAXABuACAAIAA9AEwAQQBNAEIARABBACgAXABuACAAIAAgACAATQBBAEsARQBBAFIAUgBBAFkAKAAyACwAIAAyACwAIABcAG4AIAAgACAAIAAgACAATABBAE0AQgBEAEEAKAByACwAYwAsACAAXABuACAAIAAgACAAIAAgACAAIABJAE4ARABFAFgAKAB7AFwAbgAgACAAIAAgACAAIAAgACAAIAAgAFwAIgBQAHIAbwBkAHUAYwB0AFwAIgAsACAAXAAiAFMAbwB1AHIAYwBlACAAcgBlAGcAaQBvAG4AXAAiADsAXABuACAAIAAgACAAIAAgACAAIAAgACAAIAAgAFwAIgBEAGEAaQByAHkAIABjAG8AdwBzAFwAIgAsACAAXAAiAFYASQBDAFwAIgBcAG4AIAAgACAAIAAgACAAIAAgAH0ALAAgAHIALAAgAGMAKQBcAG4AIAAgACAAIAAgACAAKQBcAG4AIAAgACAAIAApAFwAbgAgACAAKQA7AFwAbgBcAG4AXABuAC8AKgAgAFwAbgAtAC0ALQAtAC0ALQAtAC0ALQAtAC0ALQAtAC0ALQAtAC0ALQAtAC0ALQAtAC0ALQAtAC0ALQAtAC0ALQAtAC0ALQAtAC0ALQAtAC0AXABuAFMAbwB1AHIAYwBlAEQAYQB0AGEAXwBMAGkAdgBlAHMAdABvAGMAawBfAFAAcgBvAGQAdQBjAHQAXwBQAGkAZwBzAFwAbgAtAC0ALQAtAC0ALQAtAC0ALQAtAC0ALQAtAC0ALQAtAC0ALQAtAC0ALQAtAC0ALQAtAC0ALQAtAC0ALQAtAC0ALQAtAC0ALQAtAC0AXABuACoALwBcAG4AXABuAFMAbwB1AHIAYwBlAEQAYQB0AGEAXwBMAGkAdgBlAHMAdABvAGMAawBfAFAAcgBvAGQAdQBjAHQAXwBQAGkAZwBzAF8AVABpAHQAbABlAFwAbgAgACAAPQBMAEEATQBCAEQAQQAoAFwAIgBQAGkAZwBzACAAcAByAG8AZAB1AGMAdABzACAAZgBvAHIAIABzAGMAbwBwAGUAIAAzAFwAIgApADsAXABuAFwAbgBTAG8AdQByAGMAZQBEAGEAdABhAF8ATABpAHYAZQBzAHQAbwBjAGsAXwBQAHIAbwBkAHUAYwB0AF8AUABpAGcAcwBfAFYAYQBpAHIAYQBiAGwAZQBcAG4AIAAgAD0ATABBAE0AQgBEAEEAKABcACIAXAAiACkAOwBcAG4AXABuAFMAbwB1AHIAYwBlAEQAYQB0AGEAXwBMAGkAdgBlAHMAdABvAGMAawBfAFAAcgBvAGQAdQBjAHQAXwBQAGkAZwBzAF8AVQBuAGkAdABcAG4AIAAgAD0ATABBAE0AQgBEAEEAKABcACIAXAAiACkAOwBcAG4AXABuAFMAbwB1AHIAYwBlAEQAYQB0AGEAXwBMAGkAdgBlAHMAdABvAGMAawBfAFAAcgBvAGQAdQBjAHQAXwBQAGkAZwBzAF8AUwBvAHUAcgBjAGUAXABuACAAIAA9AEwAQQBNAEIARABB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OwBcAG4AXABuAFMAbwB1AHIAYwBlAEQAYQB0AGEAXwBMAGkAdgBlAHMAdABvAGMAawBfAFAAcgBvAGQAdQBjAHQAXwBQAGkAZwBzAF8ARABhAHQAYQBcAG4AIAAgAD0ATABBAE0AQgBEAEEAKABcAG4AIAAgACAAIABNAEEASwBFAEEAUgBSAEEAWQAoADIALAAgADIALAAgAFwAbgAgACAAIAAgACAAIABMAEEATQBCAEQAQQAoAHIALABjACwAIABcAG4AIAAgACAAIAAgACAAIAAgAEkATgBEAEUAWAAoAHsAXABuACAAIAAgACAAIAAgACAAIAAgACAAXAAiAFAAcgBvAGQAdQBjAHQAXAAiACwAIABcACIAUwBvAHUAcgBjAGUAIAByAGUAZwBpAG8AbgBcACIAOwBcAG4AIAAgACAAIAAgACAAIAAgACAAIAAgACAAXAAiAFAAaQBnAHMAXAAiACwAIABcACIAQQB1AHMAdAByAGEAbABpAGEAXAAiAFwAbgAgACAAIAAgACAAIAAgACAAfQAsACAAcgAsACAAYwApAFwAbgAgACAAIAAgACAAIAApAFwAbgAgACAAIAAgACkAXABuACAAIAApADsAXABuAFwAbgAvACoAIABcAG4ALQAtAC0ALQAtAC0ALQAtAC0ALQAtAC0ALQAtAC0ALQAtAC0ALQAtAC0ALQAtAC0ALQAtAC0ALQAtAC0ALQAtAC0ALQAtAC0ALQAtAFwAbgBTAG8AdQByAGMAZQBEAGEAdABhAF8ATABpAHYAZQBzAHQAbwBjAGsAXwBQAHIAbwBkAHUAYwB0AF8AUwBoAGUAZQBwAFwAbgAtAC0ALQAtAC0ALQAtAC0ALQAtAC0ALQAtAC0ALQAtAC0ALQAtAC0ALQAtAC0ALQAtAC0ALQAtAC0ALQAtAC0ALQAtAC0ALQAtAC0AXABuACoALwBcAG4AXABuAFMAbwB1AHIAYwBlAEQAYQB0AGEAXwBMAGkAdgBlAHMAdABvAGMAawBfAFAAcgBvAGQAdQBjAHQAXwBTAGgAZQBlAHAAXwBUAGkAdABsAGUAXABuACAAIAA9AEwAQQBNAEIARABBACgAXAAiAFMAaABlAGUAcAAgAHAAcgBvAGQAdQBjAHQAcwAgAGYAbwByACAAcwBjAG8AcABlACAAMwBcACIAKQA7AFwAbgBcAG4AUwBvAHUAcgBjAGUARABhAHQAYQBfAEwAaQB2AGUAcwB0AG8AYwBrAF8AUAByAG8AZAB1AGMAdABfAFMAaABlAGUAcABfAFYAYQBpAHIAYQBiAGwAZQBcAG4AIAAgAD0ATABBAE0AQgBEAEEAKABcACIAXAAiACkAOwBcAG4AXABuAFMAbwB1AHIAYwBlAEQAYQB0AGEAXwBMAGkAdgBlAHMAdABvAGMAawBfAFAAcgBvAGQAdQBjAHQAXwBTAGgAZQBlAHAAXwBVAG4AaQB0AFwAbgAgACAAPQBMAEEATQBCAEQAQQAoAFwAIgBcACIAKQA7AFwAbgBcAG4AUwBvAHUAcgBjAGUARABhAHQAYQBfAEwAaQB2AGUAcwB0AG8AYwBrAF8AUAByAG8AZAB1AGMAdABfAFMAaABlAGUAcABfAFMAbwB1AHIAYwBlAFwAbgAgACAAPQBMAEEATQBCAEQAQQAoAFwAIgBMAGkAZgBlAGMAeQBjAGwAZQBzAC4AIAAoADIAMAAyADYAKQAuACAARwByAGUAZQBuAGgAbwB1AHMAZQAgAEcAYQBzACAARQBtAGkAcwBzAGkAbwBuACAASQBuAHQAZQBuAHMAaQB0AGkAZQBzACAAZgBvAHIAIABNAGEAdABlAHIAaQBhAGwAIABJAG4AcAB1AHQAcwAgAHQAbwAgAEEAdQBzAHQAcgBhAGwAaQBhAG4AIABBAGcAcgBpAGMAdQBsAHQAdQByAGUALAAgAEYAaQBzAGgAZQByAGkAZQBzACAAYQBuAGQAIABGAG8AcgBlAHMAdAByAHkALgAgAFYAZQByAHMAaQBvAG4AIAA0ADgALgAgAGQAbwBpACAAMQAwAC4ANQAyADgAMQAvAHoAZQBuAG8AZABvAC4AMQA5ADYANQA2ADUAOAAwAFwAIgApADsAXABuAFwAbgBTAG8AdQByAGMAZQBEAGEAdABhAF8ATABpAHYAZQBzAHQAbwBjAGsAXwBQAHIAbwBkAHUAYwB0AF8AUwBoAGUAZQBwAF8ARABhAHQAYQBcAG4AIAAgAD0ATABBAE0AQgBEAEEAKABcAG4AIAAgACAAIABNAEEASwBFAEEAUgBSAEEAWQAoADgALAAgADIALAAgAFwAbgAgACAAIAAgACAAIABMAEEATQBCAEQAQQAoAHIALABjACwAIABcAG4AIAAgACAAIAAgACAAIAAgAEkATgBEAEUAWAAoAHsAXABuACAAIAAgACAAIAAgACAAIAAgACAAXAAiAFAAcgBvAGQAdQBjAHQAXAAiACwAIABcACIAUwBvAHUAcgBjAGUAIAByAGUAZwBpAG8AbgBcACIAOwBcAG4AIAAgACAAIAAgACAAIAAgACAAIAAgACAAXAAiAFMAaABlAGUAcAAsACAAZgBvAHIAIABtAHUAdAB0AG8AbgBcACIALAAgAFwAIgBBAHUAcwB0AHIAYQBsAGkAYQBcACIAOwBcAG4AIAAgACAAIAAgACAAIAAgACAAIAAgACAAXAAiAFMAaABlAGUAcAAsACAAZgBvAHIAIABwAHIAaQBtAGUAIABsAGEAbQBiAFwAIgAsACAAXAAiAE4AUwBXAFwAIgA7AFwAbgAgACAAIAAgACAAIAAgACAAIAAgACAAIABcACIAXAAiACwAIABcACIAUQBMAEQAXAAiADsAXABuACAAIAAgACAAIAAgACAAIAAgACAAIAAgAFwAIgBcACIALAAgAFwAIgBTAEEAXAAiADsAXABuACAAIAAgACAAIAAgACAAIAAgACAAIAAgAFwAIgBcACIALAAgAFwAIgBUAEEAUwBcACIAOwBcAG4AIAAgACAAIAAgACAAIAAgACAAIAAgACAAXAAiAFwAIgAsACAAXAAiAFYASQBDAFwAIgA7AFwAbgAgACAAIAAgACAAIAAgACAAIAAgACAAIABcACIAXAAiACwAIABcACIAVwBBAFwAIgBcAG4AIAAgACAAIAAgACAAIAAgAH0ALAAgAHIALAAgAGMAKQBcAG4AIAAgACAAIAAgACAAKQBcAG4AIAAgACAAIAApAFwAbgAgACAAKQA7AFwAbgBcAG4AIgB9ACwAewAiAHAAYQB0AGgAIgA6ACIALwBwAHIAbwBqAGUAYwB0AHMALwBDAG8AbQBtAG8AbgBfAEkAbgBwAHUAdABGAHUAbgBjAHQAaQBvAG4AcwAiACwAIgB0AGUAeAB0ACIAOgAiAFUAdABpAGwAaQB0AHkAXwBHAGUAdABBAHIAcgBhAHkAVABhAGIAbABlAFIAbwB3AFMAdABhAHIAdABOAHUAbQBiAGUAcgBcAG4APQBMAEEATQBCAEQAQQAoAFwAbgAgACAAIAAgAFQAYQBiAGwAZQBoAGUAYQBkAGUAcgBDAGUAbABsACwAUgBvAHcAcwBCAGUAdAB3AGUAZQBuAEgAZQBhAGQAZQByAGEAbgBkAEEAcgByAGEAeQAsAFwAbgAgACAAIAAgAFIATwBXACgAVABhAGIAbABlAGgAZQBhAGQAZQByAEMAZQBsAGwAKQAgACsAIABSAG8AdwBzAEIAZQB0AHcAZQBlAG4ASABlAGEAZABlAHIAYQBuAGQAQQByAHIAYQB5ACAALQAgADEAXABuACkAOwBcAG4AXABuAFUAdABpAGwAaQB0AHkAXwBHAGUAdABBAHIAcgBhAHkAVABhAGIAbABlAEMAbwBsAHUAbQBuAFMAdABhAHIAdABOAHUAbQBiAGUAcgBcAG4APQBMAEEATQBCAEQAQQAoAFwAbgAgACAAVABhAGIAbABlAEgAZQBhAGQAZQByAEMAZQBsAGwALABcAG4AIAAgAEMATwBMAFUATQBOACgAVABhAGIAbABlAEgAZQBhAGQAZQByAEMAZQBsAGwAKQBcAG4AKQA7AFwAbgBcAG4AVQB0AGkAbABpAHQAeQBfAEQAaQBzAHAAbABhAHkAQQByAHIAYQB5AEkAbgBUAGEAYgBsAGUAXABuAD0ATABBAE0AQgBEAEEAKABcAG4AIABBAHIAcgBhAHkARABhAHQAYQAsACAAVABhAGIAbABlAGgAZQBhAGQAZQByAEMAZQBsAGwALAAgAFIAbwB3AHMAQgBlAHQAdwBlAGUAbgBIAGUAYQBkAGUAcgBhAG4AZABBAHIAcgBhAHkALAAgAFsAQwBvAGwAdQBtAG4AcwBCAGUAdAB3AGUAZQBuAEgAZQBhAGQAZQByAEEAbgBkAEEAcgByAGEAeQBdACwAXABuACAASQBGAEUAUgBSAE8AUgAoAFwAbgAgACAAIAAgACAASQBOAEQARQBYACgAXABuACAAIAAgACAAIAAgACAAIAAgACAAIAAgAFUATgBJAFEAVQBFACgAQQByAHIAYQB5AEQAYQB0AGEAKQAsACAAXABuACAAIAAgACAAIAAgACAAIAAgACAAIAAgAFIATwBXACgAKQAtAFUAdABpAGwAaQB0AHkAXwBHAGUAdABBAHIAcgBhAHkAVABhAGIAbABlAFIAbwB3AFMAdABhAHIAdABOAHUAbQBiAGUAcgAoAFQAYQBiAGwAZQBoAGUAYQBkAGUAcgBDAGUAbABsACwAIABSAG8AdwBzAEIAZQB0AHcAZQBlAG4ASABlAGEAZABlAHIAYQBuAGQAQQByAHIAYQB5ACkALAAgAFwAbgAgACAAIAAgACAAIAAgACAAIAAgACAAIABDAE8ATABVAE0ATgAoACkALQBVAHQAaQBsAGkAdAB5AF8ARwBlAHQAQQByAHIAYQB5AFQAYQBiAGwAZQBDAG8AbAB1AG0AbgBTAHQAYQByAHQATgB1AG0AYgBlAHIAKABUAGEAYgBsAGUAaABlAGEAZABlAHIAQwBlAGwAbAApACAAKwBcAG4AIAAgACAAIAAgACAAIAAgACAAIAAgACAASQBGACgASQBTAE8ATQBJAFQAVABFAEQAKABDAG8AbAB1AG0AbgBzAEIAZQB0AHcAZQBlAG4ASABlAGEAZABlAHIAQQBuAGQAQQByAHIAYQB5ACkALAAgADEALAAgAEMAbwBsAHUAbQBuAHMAQgBlAHQAdwBlAGUAbgBIAGUAYQBkAGUAcgBBAG4AZABBAHIAcgBhAHkAKQBcAG4AIAAgACAAIAAgACAAIAAgACkALAAgAFwAIgBcACIAXABuACAAIAAgACAAKQBcAG4AKQA7AFwAbgBcAG4AVQB0AGkAbABpAHQAeQBfAEwAbwBvAGsAdQBwAFYAYQBsAHUAZQBJAG4AVABhAGIAbABlAFwAbgA9AEwAQQBNAEIARABBACgAXABuACAAIAAgACAATABvAG8AawB1AHAAVgBhAGwAdQBlACwAIABMAG8AbwBrAHUAcABBAHIAcgBhAHkALAAgAFIAZQB0AHUAcgBuAEEAcgByAGEAeQAsAFwAbgAgACAAIAAgAFgATABPAE8ASwBVAFAAKABMAG8AbwBrAHUAcABWAGEAbAB1AGUALAAgAEwAbwBvAGsAdQBwAEEAcgByAGEAeQAsACAAUgBlAHQAdQByAG4AQQByAHIAYQB5ACwAIABcACIAXAAiACkAXABuACkAOwBcAG4AXABuAFUAdABpAGwAaQB0AHkAXwBMAG8AbwBrAHUAcABWAGEAbAB1AGUASQBuAFQAYQBiAGwAZQBOAHUAbQBiAGUAcgBcAG4APQBMAEEATQBCAEQAQQAoAFwAbgAgACAAIAAgAEwAbwBvAGsAdQBwAFYAYQBsAHUAZQAsACAATABvAG8AawB1AHAAQQByAHIAYQB5ACwAIABSAGUAdAB1AHIAbgBBAHIAcgBhAHkALABcAG4AIAAgACAAIABJAEYAKABJAFMATgBVAE0AQgBFAFIAKABcAG4AIAAgACAAIAAgACAAIAAgAFgATABPAE8ASwBVAFAAKABMAG8AbwBrAHUAcABWAGEAbAB1AGUALAAgAEwAbwBvAGsAdQBwAEEAcgByAGEAeQAsACAAUgBlAHQAdQByAG4AQQByAHIAYQB5ACwAIABcACIAXAAiACkAXABuACAAIAAgACAAKQAsACAAWABMAE8ATwBLAFUAUAAoAEwAbwBvAGsAdQBwAFYAYQBsAHUAZQAsACAATABvAG8AawB1AHAAQQByAHIAYQB5ACwAIABSAGUAdAB1AHIAbgBBAHIAcgBhAHkALAAgAFwAIgBcACIAKQAsACAAMAApAFwAbgApADsAXABuAFwAbgBVAHQAaQBsAGkAdAB5AF8ATABvAG8AawB1AHAAVgBhAGwAdQBlAEkAbgBUAGEAYgBsAGUAVAB3AG8AQwBvAGwAdQBtAG4AcwBcAG4APQBMAEEATQBCAEQAQQAoAFwAbgAgACAAIAAgAEwAbwBvAGsAdQBwAFYAYQBsAHUAZQAxACwAIABMAG8AbwBrAHUAcABWAGEAbAB1AGUAMgAsACAATABvAG8AawB1AHAAQQByAHIAYQB5ADEALAAgAEwAbwBvAGsAdQBwAEEAcgByAGEAeQAyACwAIABSAGUAdAB1AHIAbgBBAHIAcgBhAHkALAAgAFsAVgBhAGwAdQBlAEkARgBGAGEAbABzAGUAXQAsAFwAbgAgACAAIAAgAFgATABPAE8ASwBVAFAAKAAxACwAIAAoAEwAbwBvAGsAdQBwAEEAcgByAGEAeQAxAD0ATABvAG8AawB1AHAAVgBhAGwAdQBlADEAKQAqACgATABvAG8AawB1AHAAQQByAHIAYQB5ADIAPQBMAG8AbwBrAHUAcABWAGEAbAB1AGUAMgApACwAIABSAGUAdAB1AHIAbgBBAHIAcgBhAHkALAAgAEkARgAoAEkAUwBPAE0ASQBUAFQARQBEACgAVgBhAGwAdQBlAEkARgBGAGEAbABzAGUAKQAsACAAXAAiAFwAIgAsACAAVgBhAGwAdQBlAEkARgBGAGEAbABzAGUAKQApAFwAbgApADsAXABuAFwAbgBVAHQAaQBsAGkAdAB5AF8ATABvAG8AawB1AHAAVgBhAGwAdQBlAEkAbgBUAGEAYgBsAGUATwBuAGUAQwBvAGwAdQBtAG4AQQBuAGQASABlAGEAZABlAHIAXABuAD0ATABBAE0AQgBEAEEAKABcAG4AIAAgACAAIABMAG8AbwBrAHUAcABWAGEAbAB1AGUAMQAsACAATABvAG8AawB1AHAAVgBhAGwAdQBlADIALAAgAEwAbwBvAGsAdQBwAEEAcgByAGEAeQAxACwAIABMAG8AbwBrAHUAcABBAHIAcgBhAHkAMgAsACAAUgBlAHQAdQByAG4AQQByAHIAYQB5ACwAIABbAFYAYQBsAHUAZQBJAGYARgBhAGwAcwBlAF0ALABcAG4AIAAgACAAIABJAEYARQBSAFIATwBSACgAXABuACAAIAAgACAAIAAgACAAIABYAEwATwBPAEsAVQBQACgATABvAG8AawB1AHAAVgBhAGwAdQBlADEALAAgAEwAbwBvAGsAdQBwAEEAcgByAGEAeQAxACwAXABuACAAIAAgACAAIAAgACAAIAAgACAAIAAgAFgATABPAE8ASwBVAFAAKABMAG8AbwBrAHUAcABWAGEAbAB1AGUAMgAsACAATABvAG8AawB1AHAAQQByAHIAYQB5ADIALAAgAFIAZQB0AHUAcgBuAEEAcgByAGEAeQApAFwAbgAgACAAIAAgACAAIAAgACAAKQAsAFwAbgAgACAAIAAgACAAIAAgACAASQBGACgASQBTAE8ATQBJAFQAVABFAEQAKABWAGEAbAB1AGUASQBmAEYAYQBsAHMAZQApACwAIABcACIAXAAiACwAIABWAGEAbAB1AGUASQBmAEYAYQBsAHMAZQApAFwAbgAgACAAIAAgACkAXABuACkAOwBcAG4AXABuAFUAdABpAGwAaQB0AHkAXwBTAHAAbABpAHQAUwB0AHIAaQBuAGcASQBuAHQAbwBBAHIAcgBhAHkAXABuAD0ATABBAE0AQgBEAEEAKABcAG4AIAAgACAAIABDAGUAbABsACwAIABEAGUAbABpAG0AaQB0AGUAcgAsACAAWwBDAGgAYQByAGEAYwB0AGUAcgBUAG8AUgBlAG0AbwB2AGUAMQBdACwAIABbAEMAaABhAHIAYQBjAHQAZQByAFQAbwBSAGUAbQBvAHYAZQAyAF0ALABcAG4AIAAgACAAIAAgACAAIAAgAEYASQBMAFQARQBSAFgATQBMACgAXABuACAAIAAgACAAIAAgACAAIABcACIAXAB1ADAAMAAzAGMAdABcAHUAMAAwADMAZQBcAHUAMAAwADMAYwBzAFwAdQAwADAAMwBlAFwAIgAgAFwAdQAwADAAMgA2AFwAbgAgACAAIAAgACAAIAAgACAAUwBVAEIAUwBUAEkAVABVAFQARQAoAFwAbgAgACAAIAAgACAAIAAgACAAIAAgACAAIABTAFUAQgBTAFQASQBUAFUAVABFACgAUwBVAEIAUwBUAEkAVABVAFQARQAoAEMAZQBsAGwALABDAGgAYQByAGEAYwB0AGUAcgBUAG8AUgBlAG0AbwB2AGUAMQAsAFwAIgBcACIAKQAsAEMAaABhAHIAYQBjAHQAZQByAFQAbwBSAGUAbQBvAHYAZQAyACwAXAAiAFwAIgApACwAXABuACAAIAAgACAAIAAgACAAIAAgACAAIAAgAEQAZQBsAGkAbQBpAHQAZQByACwAXAAiAFwAdQAwADAAMwBjAC8AcwBcAHUAMAAwADMAZQBcAHUAMAAwADMAYwBzAFwAdQAwADAAMwBlAFwAIgBcAG4AIAAgACAAIAAgACAAIAAgACkAIABcAHUAMAAwADIANgBcAG4AIAAgACAAIAAgACAAIAAgAFwAIgBcAHUAMAAwADMAYwAvAHMAXAB1ADAAMAAzAGUAXAB1ADAAMAAzAGMALwB0AFwAdQAwADAAMwBlAFwAIgAsAFwAbgAgACAAIAAgACAAIAAgACAAXAAiAC8ALwBzAFwAIgBcAG4AIAAgACAAIAApAFwAbgApADsAXABuAFwAbgBVAHQAaQBsAGkAdAB5AF8ARwBlAHQAQwBsAGkAbQBhAHQAZQBaAG8AbgBlAFwAbgA9AEwAQQBNAEIARABBACgAXABuACAAIAAgACAAYQB2AGcAVABlAG0AcAAsAGEAdgBnAFIAYQBpAG4ALABmAHIAbwBzAHQARABhAHkAcwAsAGUAbABlAHYALABtAGEAcABfAHAAZQB0ACwAXABuACAAIAAgACAAbQBpAG4AVABlAG0AcABBAHIAcgBhAHkALABtAGEAeABUAGUAbQBwAEEAcgByAGEAeQAsAFwAbgAgACAAIAAgAG0AaQBuAFIAYQBpAG4AZgBhAGwAbABBAHIAcgBhAHkALABtAGEAeABSAGEAaQBuAGYAYQBsAGwAQQByAHIAYQB5ACwAXABuACAAIAAgACAAbQBpAG4ARgByAG8AcwB0AEEAcgByAGEAeQAsAG0AYQB4AEYAcgBvAHMAdABBAHIAcgBhAHkALABcAG4AIAAgACAAIABtAGkAbgBFAGwAZQB2AGEAdABpAG8AbgBBAHIAcgBhAHkALABtAGEAeABFAGwAZQB2AGEAdABpAG8AbgBBAHIAcgBhAHkALABcAG4AIAAgACAAIABtAGkAbgBQAEUAVABBAHIAcgBhAHkALABtAGEAeABQAEUAVABBAHIAcgBhAHkALABcAG4AIAAgACAAIABjAGwAaQBtAGEAdABlAFoAbwBuAGUAQQByAHIAYQB5ACwAXABuACAAIAAgACAATABFAFQAKABcAG4AIAAgACAAIAAgACAAIAAgAG0AYQBzAGsALABcAG4AIAAgACAAIAAgACAAIAAgACgAVgBBAEwAVQBFACgAbQBpAG4AVABlAG0AcABBAHIAcgBhAHkAKQBcAHUAMAAwADMAYwA9AGEAdgBnAFQAZQBtAHAAKQAqAFwAbgAgACAAIAAgACAAIAAgACAAKABWAEEATABVAEUAKABtAGEAeABUAGUAbQBwAEEAcgByAGEAeQApAFwAdQAwADAAMwBlAD0AYQB2AGcAVABlAG0AcAApACoAXABuACAAIAAgACAAIAAgACAAIAAoAFYAQQBMAFUARQAoAG0AaQBuAFIAYQBpAG4AZgBhAGwAbABBAHIAcgBhAHkAKQBcAHUAMAAwADMAYwA9AGEAdgBnAFIAYQBpAG4AKQAqAFwAbgAgACAAIAAgACAAIAAgACAAKABWAEEATABVAEUAKABtAGEAeABSAGEAaQBuAGYAYQBsAGwAQQByAHIAYQB5ACkAXAB1ADAAMAAzAGUAPQBhAHYAZwBSAGEAaQBuACkAKgBcAG4AIAAgACAAIAAgACAAIAAgACgAVgBBAEwAVQBFACgAbQBpAG4ARgByAG8AcwB0AEEAcgByAGEAeQApAFwAdQAwADAAMwBjAD0AZgByAG8AcwB0AEQAYQB5AHMAKQAqAFwAbgAgACAAIAAgACAAIAAgACAAKABWAEEATABVAEUAKABtAGEAeABGAHIAbwBzAHQAQQByAHIAYQB5ACkAXAB1ADAAMAAzAGUAPQBmAHIAbwBzAHQARABhAHkAcwApACoAXABuACAAIAAgACAAIAAgACAAIAAoAFYAQQBMAFUARQAoAG0AaQBuAEUAbABlAHYAYQB0AGkAbwBuAEEAcgByAGEAeQApAFwAdQAwADAAMwBjAD0AZQBsAGUAdgApACoAXABuACAAIAAgACAAIAAgACAAIAAoAFYAQQBMAFUARQAoAG0AYQB4AEUAbABlAHYAYQB0AGkAbwBuAEEAcgByAGEAeQApAFwAdQAwADAAMwBlAD0AZQBsAGUAdgApACoAXABuACAAIAAgACAAIAAgACAAIAAoAFYAQQBMAFUARQAoAG0AaQBuAFAARQBUAEEAcgByAGEAeQApAFwAdQAwADAAMwBjAD0AbQBhAHAAXwBwAGUAdAApACoAXABuACAAIAAgACAAIAAgACAAIAAoAFYAQQBMAFUARQAoAG0AYQB4AFAARQBUAEEAcgByAGEAeQApAFwAdQAwADAAMwBlAD0AbQBhAHAAXwBwAGUAdAApACwAXABuACAAIAAgACAAIAAgACAAIABUAEEASwBFACgAXABuACAAIAAgACAAIAAgACAAIAAgACAAIAAgAEYASQBMAFQARQBSACgAYwBsAGkAbQBhAHQAZQBaAG8AbgBlAEEAcgByAGEAeQAsAG0AYQBzAGsALAAgAFwAIgBOAG8AIABtAGEAdABjAGgAXAAiACkALABcAG4AIAAgACAAIAAgACAAIAAgACAAIAAgACAAMQBcAG4AIAAgACAAIAAgACAAIAAgACkAXABuACAAIAAgACAAKQBcAG4AKQA7AFwAbgBcAG4AVQB0AGkAbABpAHQAeQBfAEwAbwBvAGsAdQBwAEkAdABlAG0ARgByAG8AbQBNAGkAbgBNAGEAeABcAG4APQBMAEEATQBCAEQAQQAoAFwAbgAgACAAIAAgAEwAbwBvAGsAdQBwAFYAYQBsAHUAZQAsACAATQBpAG4AQQByAHIAYQB5ACwAIABNAGEAeABBAHIAcgBhAHkALAAgAEkAdABlAG0AQQByAHIAYQB5ACwAXABuACAAIAAgACAATABFAFQAKABcAG4AIAAgACAAIAAgACAAIAAgAG0AYQBzAGsALABcAG4AIAAgACAAIAAgACAAIAAgACgAVgBBAEwAVQBFACgATQBpAG4AQQByAHIAYQB5ACkAXAB1ADAAMAAzAGMAPQBMAG8AbwBrAHUAcABWAGEAbAB1AGUAKQAqAFwAbgAgACAAIAAgACAAIAAgACAAKABWAEEATABVAEUAKABNAGEAeABBAHIAcgBhAHkAKQBcAHUAMAAwADMAZQA9AEwAbwBvAGsAdQBwAFYAYQBsAHUAZQApACwAXABuACAAIAAgACAAIAAgACAAIABGAEkATABUAEUAUgAoAEkAdABlAG0AQQByAHIAYQB5ACwAIABtAGEAcwBrACwAIABcACIATgBvACAAbQBhAHQAYwBoAFwAIgApAFwAbgAgACAAIAAgACkAXABuACkAOwBcAG4AXABuAFwAbgBVAHQAaQBsAGkAdAB5AF8AUwB1AG0AUQB1AGEAbgB0AGkAdAB5AEYAcgBvAG0AQwByAGkAdABlAHIAaQBhAFwAbgA9AEwAQQBNAEIARABBACgAXABuACAAIABDAHIAaQB0AGUAcgBpAGEAMQAsACAAQwByAGkAdABlAHIAaQBhADEAVAB5AHAAZQBBAHIAcgBhAHkALAAgAFEAdQBhAG4AdABpAHQAeQAsACAAWwBNAHUAbAB0AGkAcABsAGkAZQByAF0ALAAgAFsAQwByAGkAdABlAHIAaQBhADIAXQAsAFsAQwByAGkAdABlAHIAaQBhADIAQQByAHIAYQB5AF0ALABcAG4AIAAgAEwARQBUACgAXABuACAAIAAgACAAbQB1AGwAdABpAHAAbABpAGUAcgAsACAASQBGACgASQBTAE8ATQBJAFQAVABFAEQAKABNAHUAbAB0AGkAcABsAGkAZQByACkALAAxACwATQB1AGwAdABpAHAAbABpAGUAcgApACwAXABuACAAIAAgACAAcQB1AGEAbgB0AGkAdAB5ACwAIABRAHUAYQBuAHQAaQB0AHkAKgBNAHUAbAB0AGkAcABsAGkAZQByACwAXABuACAAIAAgACAAYwByAGkAdABlAHIAaQBhADEALAAtAC0AKABDAHIAaQB0AGUAcgBpAGEAMQBUAHkAcABlAEEAcgByAGEAeQA9AEMAcgBpAHQAZQByAGkAYQAxACkALABcAG4AIAAgACAAIABjAHIAaQB0AGUAcgBpAGEAMgAsAEkARgAoAEkAUwBPAE0ASQBUAFQARQBEACgAQwByAGkAdABlAHIAaQBhADIAKQAsADEALAAtAC0AKABDAHIAaQB0AGUAcgBpAGEAMgBBAHIAcgBhAHkAPQBDAHIAaQB0AGUAcgBpAGEAMgApACkALABcAG4AIAAgACAAIABTAFUATQBQAFIATwBEAFUAQwBUACgAYwByAGkAdABlAHIAaQBhADEAKgBjAHIAaQB0AGUAcgBpAGEAMgAqAHEAdQBhAG4AdABpAHQAeQApAFwAbgAgACAAKQBcAG4AKQA7AFwAbgBcAG4AZwBlAHQATwB2AGUAcgBsAGEAcABwAGkAbgBnAFIAZQBwAG8AcgB0AGkAbgBnAEMAeQBjAGwAZQBzAFwAbgA9AEwAQQBNAEIARABBACgAXABuACAAIAAgACAAUAByAG8AZAB1AGMAdABpAG8AbgBDAHkAYwBsAGUAUwB0AGEAcgB0ACwAUAByAG8AZAB1AGMAdABpAG8AbgBDAHkAYwBsAGUARQBuAGQALABSAGUAcABvAHIAdABpAG4AZwBDAHkAYwBsAGUAUwB0AGEAcgB0ACwAXABuACAAIAAgACAATABFAFQAKABcAG4AIAAgACAAIAAgACAAIAAgAFMALABQAHIAbwBkAHUAYwB0AGkAbwBuAEMAeQBjAGwAZQBTAHQAYQByAHQALABcAG4AIAAgACAAIAAgACAAIAAgAEUALABQAHIAbwBkAHUAYwB0AGkAbwBuAEMAeQBjAGwAZQBFAG4AZAAsAFwAbgAgACAAIAAgACAAIAAgACAAbQAsAE0ATwBOAFQASAAoAFIAZQBwAG8AcgB0AGkAbgBnAEMAeQBjAGwAZQBTAHQAYQByAHQAKQAsAFwAbgAgACAAIAAgACAAIAAgACAAZAAsAEQAQQBZACgAUgBlAHAAbwByAHQAaQBuAGcAQwB5AGMAbABlAFMAdABhAHIAdAApACwAXABuACAAIAAgACAAIAAgACAAIABQAGUAcgBpAG8AZABFAG4AZAAsAEwAQQBNAEIARABBACgAcwB0ACwARQBEAEEAVABFACgAcwB0ACwAMQAyACkALQAxACkALABcAG4AIAAgACAAIAAgACAAIAAgAEEALABTAC0AMwA2ADUALABcAG4AIAAgACAAIAAgACAAIAAgAHkAYQAsAFkARQBBAFIAKABBACkALABcAG4AIAAgACAAIAAgACAAIAAgAHkAYgAsAFkARQBBAFIAKABFACkALABcAG4AIAAgACAAIAAgACAAIAAgAGYAaQByAHMAdABZAGUAYQByACwAeQBhACsAKABQAGUAcgBpAG8AZABFAG4AZAAoAEQAQQBUAEUAKAB5AGEALABtACwAZAApACkAXAB1ADAAMAAzAGMAIABTACkALABcAG4AIAAgACAAIAAgACAAIAAgAGwAYQBzAHQAWQBlAGEAcgAsAHkAYgAtACgARABBAFQARQAoAHkAYgAsAG0ALABkACkAXAB1ADAAMAAzAGUAIABFACkALABcAG4AIAAgACAAIAAgACAAIAAgAE0AQQBYACgAMAAsAGwAYQBzAHQAWQBlAGEAcgAtAGYAaQByAHMAdABZAGUAYQByACsAMQApAFwAbgAgACAAIAAgACkAXABuACkAOwBcAG4AXABuAGcAZQB0AE8AdgBlAHIAbABhAHAAcABpAG4AZwBSAGUAcABvAHIAdABpAG4AZwBQAGUAcgBpAG8AZABzAFwAbgA9AEwAQQBNAEIARABBACgAXABuACAAIAAgACAAUAByAG8AZAB1AGMAdABpAG8AbgBDAHkAYwBsAGUAUwB0AGEAcgB0ACwAUAByAG8AZAB1AGMAdABpAG8AbgBDAHkAYwBsAGUARQBuAGQALABSAGUAcABvAHIAdABpAG4AZwBDAHkAYwBsAGUAUwB0AGEAcgB0ACwAXABuACAAIAAgACAATABFAFQAKABcAG4AIAAgACAAIAAgACAAIAAgAFMALABQAHIAbwBkAHUAYwB0AGkAbwBuAEMAeQBjAGwAZQBTAHQAYQByAHQALABcAG4AIAAgACAAIAAgACAAIAAgAEUALABQAHIAbwBkAHUAYwB0AGkAbwBuAEMAeQBjAGwAZQBFAG4AZAAsAFwAbgAgACAAIAAgACAAIAAgACAAbQAsAE0ATwBOAFQASAAoAFIAZQBwAG8AcgB0AGkAbgBnAEMAeQBjAGwAZQBTAHQAYQByAHQAKQAsAFwAbgAgACAAIAAgACAAIAAgACAAZAAsAEQAQQBZACgAUgBlAHAAbwByAHQAaQBuAGcAQwB5AGMAbABlAFMAdABhAHIAdAApACwAIAAvACoAaABlAGwAcABlAHIAOgAgAGUAbgBkACAAZABhAHQAZQAgAGYAbwByACAAYQAgAHIAZQBwAG8AcgB0AGkAbgBnACAAcABlAHIAaQBvAGQAIABzAHQAYQByAHQAaQBuAGcAIABhAHQAIABhACAAZwBpAHYAZQBuACAAZABhAHQAZQAqAC8AXABuACAAIAAgACAAIAAgACAAIABQAGUAcgBpAG8AZABFAG4AZAAsAEwAQQBNAEIARABBACgAcwB0ACwARQBEAEEAVABFACgAcwB0ACwAMQAyACkALQAxACkALAAgAC8AKgBvAG4AbAB5ACAAbgBlAGUAZAAgAHQAbwAgAGwAbwBvAGsAIABiAGEAYwBrACAAMwA2ADUAIABkAGEAeQBzACgAbQBhAHgAIABvAHYAZQByAGwAYQBwACAAdwBpAG4AZABvAHcAKQAqAC8AXABuACAAIAAgACAAIAAgACAAIABBACwAUwAtADMANgA1ACwAXABuACAAIAAgACAAIAAgACAAIAB5AGEALABZAEUAQQBSACgAQQApACwAXABuACAAIAAgACAAIAAgACAAIAB5AGIALABZAEUAQQBSACgARQApACwAIAAvACoAaQBmACAAdABoAGUAIABhAG4AYwBoAG8AcgAgAGYAbwByACAAeQBhACAAZQBuAGQAcwAgAGIAZQBmAG8AcgBlACAAUwAsAGkAdAAgAGMAYQBuAFwAdQAwADAAMgA3AHQAIABvAHYAZQByAGwAYQBwADsAIABtAG8AdgBlACAAdABvACAAbgBlAHgAdAAgAHkAZQBhAHIAKgAvAFwAbgAgACAAIAAgACAAIAAgACAAZgBpAHIAcwB0AFkAZQBhAHIALAB5AGEAKwAoAFAAZQByAGkAbwBkAEUAbgBkACgARABBAFQARQAoAHkAYQAsAG0ALABkACkAKQBcAHUAMAAwADMAYwBTACkALAAgAC8AKgBpAGYAIAB0AGgAZQAgAGEAbgBjAGgAbwByACAAZgBvAHIAIAB5AGIAIABzAHQAYQByAHQAcwAgAGEAZgB0AGUAcgAgAEUALABpAHQAIABjAGEAbgBcAHUAMAAwADIANwB0ACAAbwB2AGUAcgBsAGEAcAA7ACAAbQBvAHYAZQAgAHQAbwAgAHAAcgBlAHYAaQBvAHUAcwAgAHkAZQBhAHIAKgAvAFwAbgAgACAAIAAgACAAIAAgACAAbABhAHMAdABZAGUAYQByACwAeQBiAC0AKABEAEEAVABFACgAeQBiACwAbQAsAGQAKQBcAHUAMAAwADMAZQBFACkALABcAG4AIAAgACAAIAAgACAAIAAgAG4ALABNAEEAWAAoADAALABsAGEAcwB0AFkAZQBhAHIALQBmAGkAcgBzAHQAWQBlAGEAcgArADEAKQAsAFwAbgAgACAAIAAgACAAIAAgACAAeQByAHMALABTAEUAUQBVAEUATgBDAEUAKABuACwAMQAsAGYAaQByAHMAdABZAGUAYQByACwAMQApACwAXABuACAAIAAgACAAIAAgACAAIABzAHQAYQByAHQAcwAsAEQAQQBUAEUAKAB5AHIAcwAsAG0ALABkACkALABcAG4AIAAgACAAIAAgACAAIAAgAGUAbgBkAHMALABNAEEAUAAoAHMAdABhAHIAdABzACwAUABlAHIAaQBvAGQARQBuAGQAKQAsAFwAbgAgACAAIAAgACAAIAAgACAAdABhAGcALABJAEYAKABzAHQAYQByAHQAcwA9AFIAZQBwAG8AcgB0AGkAbgBnAEMAeQBjAGwAZQBTAHQAYQByAHQALABcACIAIAAoAFQAaABpAHMAIAByAGUAcABvAHIAdABpAG4AZwAgAGMAeQBjAGwAZQApAFwAIgAsAFwAIgBcACIAKQAsAFwAbgAgACAAIAAgACAAIAAgACAAcwB0AGEAcgB0AHMAVABlAHgAdAAsAFQARQBYAFQAKABzAHQAYQByAHQAcwAsAFwAIgBkAGQAIABtAG0AbQAgAHkAeQB5AHkAXAAiACkALABcAG4AIAAgACAAIAAgACAAIAAgAGUAbgBkAHMAVABlAHgAdAAsAFQARQBYAFQAKABlAG4AZABzACwAXAAiAGQAZAAgAG0AbQBtACAAeQB5AHkAeQBcACIAKQAsAFwAbgAgACAAIAAgACAAIAAgACAASQBGACgAbgA9ADAALABcACIAXAAiACwASABTAFQAQQBDAEsAKABzAHQAYQByAHQAcwBUAGUAeAB0ACAAXAB1ADAAMAAyADYAIABcACIAIAB0AG8AIABcACIAIABcAHUAMAAwADIANgAgAGUAbgBkAHMAVABlAHgAdAAgAFwAdQAwADAAMgA2ACAAdABhAGcAKQApAFwAbgAgACAAIAAgACkAXABuACkAOwBcAG4AXABuAFUAdABpAGwAaQB0AHkAXwBEAGkAcwBwAGwAYQB5AEYAdQBuAGMAdABpAG8AbgBOAGEAbQBlAFwAbgA9AEwAQQBNAEIARABBACgARgB1AG4AYwB0AGkAbwBuACwAIABUAEUAWABUAEIARQBGAE8AUgBFACgARgBPAFIATQBVAEwAQQBUAEUAWABUACgARgB1AG4AYwB0AGkAbwBuACkALAAgAFwAIgAoAFwAIgApACkAOwBcAG4AXABuAFUAdABpAGwAaQB0AHkAXwBMAG8AbwBrAHUAcABOADIATwBFAEYARgByAG8AbQBQAHIAbwBkAEkAcgByAGkAZwBhAHQAaQBvAG4AUgBhAGkAbgBmAGEAbABsAFwAbgA9AEwAQQBNAEIARABBACgAXABuACAAIAAgACAAUAByAG8AZAB1AGMAdABpAG8AbgBTAHkAcwB0AGUAbQAsACAASQByAHIAaQBnAGEAdABpAG8AbgBNAGUAdABoAG8AZAAsACAAUgBhAGkAbgBmAGEAbABsAFoAbwBuAGUALABcAG4AIAAgACAAIABQAHIAbwBkAHUAYwB0AGkAbwBuAFMAeQBzAHQAZQBtAEEAcgByAGEAeQAsACAASQByAHIAaQBnAGEAdABpAG8AbgBNAGUAdABoAG8AZABBAHIAcgBhAHkALAAgAFIAYQBpAG4AZgBhAGwAbABaAG8AbgBlAEEAcgByAGEAeQAsAFIAZQB0AHUAcgBuAEEAcgByAGEAeQAsAFwAbgAgACAAIAAgAEwARQBUACgAXABuACAAIAAgACAAIAAgACAAIABJAHIAcgBpAGcAYQB0AGkAbwBuAE0AZQB0AGgAbwBkACwAIABJAEYAKABJAHIAcgBpAGcAYQB0AGkAbwBuAE0AZQB0AGgAbwBkAD0AXAAiAE4AbwB0ACAAaQByAHIAaQBnAGEAdABlAGQAXAAiACwAIABcACIATgBvAHQAIABpAHIAcgBpAGcAYQB0AGUAZABcACIALAAgAFwAIgBBAG4AeQBcACIAKQAsAFwAbgAgACAAIAAgACAAIAAgACAAUgBhAGkAbgBmAGEAbABsAFoAbwBuAGUALAAgAEkARgAoAEkAcgByAGkAZwBhAHQAaQBvAG4ATQBlAHQAaABvAGQAIAA9ACAAXAAiAE4AbwB0ACAAaQByAHIAaQBnAGEAdABlAGQAXAAiACwAIABSAGEAaQBuAGYAYQBsAGwAWgBvAG4AZQAsACAAXAAiAEEAbgB5AFwAIgApACwAXABuACAAIAAgACAAIAAgACAAIABYAEwATwBPAEsAVQBQACgAMQAsACAAXABuACAAIAAgACAAIAAgACAAIAAgACAAIAAgACgAUAByAG8AZAB1AGMAdABpAG8AbgBTAHkAcwB0AGUAbQBBAHIAcgBhAHkAPQBQAHIAbwBkAHUAYwB0AGkAbwBuAFMAeQBzAHQAZQBtACkAKgBcAG4AIAAgACAAIAAgACAAIAAgACAAIAAgACAAKABJAHIAcgBpAGcAYQB0AGkAbwBuAE0AZQB0AGgAbwBkAEEAcgByAGEAeQA9AEkAcgByAGkAZwBhAHQAaQBvAG4ATQBlAHQAaABvAGQAKQAqAFwAbgAgACAAIAAgACAAIAAgACAAIAAgACAAIAAoAFIAYQBpAG4AZgBhAGwAbABaAG8AbgBlAEEAcgByAGEAeQA9AFIAYQBpAG4AZgBhAGwAbABaAG8AbgBlACkALAAgAFwAbgAgACAAIAAgACAAIAAgACAAIAAgACAAIABSAGUAdAB1AHIAbgBBAHIAcgBhAHkAKQBcAG4AIAAgACAAIAApAFwAbgApADsAXABuAFwAbgBDAG8AbQBtAG8AbgBDAHIAbwBwAHAAaQBuAGcAXwBHAGUAdABGAHIAYQBjAFcARQBUAFwAbgA9AEwAQQBNAEIARABBACgAXABuACAAIAAgACAATABlAGEAYwBoAGkAbgBnAFoAbwBuAGUALABcAG4AIAAgACAAIABQAHIAbwBkAHUAYwB0AGkAbwBuAFMAeQBzAHQAZQBtACwAXABuACAAIAAgACAATABlAGEAYwBoAGkAbgBnAFoAbwBuAGUATABvAG8AawB1AHAALABcAG4AIAAgACAAIABMAGUAYQBjAGgAaQBuAGcAWgBvAG4AZQBGAHIAYQBjAFcARQBUAEwAbwBvAGsAdQBwACwAXABuACAAIAAgACAAUAByAG8AZAB1AGMAdABpAG8AbgBTAHkAcwB0AGUAbQBMAG8AbwBrAHUAcAAsAFwAbgAgACAAIAAgAFAAcgBvAGQAdQBjAHQAaQBvAG4AUwB5AHMAdABlAG0ARgByAGEAYwBXAEUAVABMAG8AbwBrAHUAcAAsAFwAbgAgACAAIAAgAEwARQBUACgAXABuACAAIAAgACAAIAAgACAAIABMAGUAYQBjAGgAaQBuAGcAWgBvAG4AZQBGAHIAYQBjAFcARQBUACwAIABcAG4AIAAgACAAIAAgACAAIAAgAEMAbwBtAG0AbwBuAF8ASQBuAHAAdQB0AEYAdQBuAGMAdABpAG8AbgBzAC4AVQB0AGkAbABpAHQAeQBfAEwAbwBvAGsAdQBwAFYAYQBsAHUAZQBJAG4AVABhAGIAbABlAE4AdQBtAGIAZQByACgAXABuACAAIAAgACAAIAAgACAAIAAgACAAIAAgAEwAZQBhAGMAaABpAG4AZwBaAG8AbgBlACwATABlAGEAYwBoAGkAbgBnAFoAbwBuAGUATABvAG8AawB1AHAALABMAGUAYQBjAGgAaQBuAGcAWgBvAG4AZQBGAHIAYQBjAFcARQBUAEwAbwBvAGsAdQBwAFwAbgAgACAAIAAgACAAIAAgACAAKQAsAFwAbgAgACAAIAAgACAAIAAgACAAUAByAG8AZAB1AGMAdABpAG8AbgBTAHkAcwB0AGUAbQBGAHIAYQBjAFcARQBUACwAIABcAG4AIAAgACAAIAAgACAAIAAgAEMAbwBtAG0AbwBuAF8ASQBuAHAAdQB0AEYAdQBuAGMAdABpAG8AbgBzAC4AVQB0AGkAbABpAHQAeQBfAEwAbwBvAGsAdQBwAFYAYQBsAHUAZQBJAG4AVABhAGIAbABlAE4AdQBtAGIAZQByACgAXABuACAAIAAgACAAIAAgACAAIAAgACAAIAAgAFAAcgBvAGQAdQBjAHQAaQBvAG4AUwB5AHMAdABlAG0ALABQAHIAbwBkAHUAYwB0AGkAbwBuAFMAeQBzAHQAZQBtAEwAbwBvAGsAdQBwACwAUAByAG8AZAB1AGMAdABpAG8AbgBTAHkAcwB0AGUAbQBGAHIAYQBjAFcARQBUAEwAbwBvAGsAdQBwAFwAbgAgACAAIAAgACAAIAAgACAAKQAsAFwAbgAgACAAIAAgACAAIAAgACAASQBGACgATABlAGEAYwBoAGkAbgBnAFoAbwBuAGUARgByAGEAYwBXAEUAVAAgACsAIABQAHIAbwBkAHUAYwB0AGkAbwBuAFMAeQBzAHQAZQBtAEYAcgBhAGMAVwBFAFQAXAB1ADAAMAAzAGUAMAAsACAAMQAsACAAMAApAFwAbgAgACAAIAAgACkAKQA7AFwAbgBcAG4AXABuAFUAdABpAGwAaQB0AHkAXwBDAG8AbgB2AGUAcgB0AFMAdABhAHQAZQBDAG8AbQBtAG8AbgBOAGEAbQBlAFQAbwBBAGIAYgByAGUAdgBpAGEAdABpAG8AbgBcAG4APQBMAEEATQBCAEQAQQAoAFwAbgAgACAAIAAgAFMAdABhAHQAZQBDAG8AbQBtAG8AbgBOAGEAbQBlACwAXABuACAAIAAgACAAUwB0AGEAdABlAEMAbwBtAG0AbwBuAE4AYQBtAGUAQQByAHIAYQB5ACwAIABTAHQAYQB0AGUAQQBiAGIAcgBlAHYAaQBhAHQAaQBvAG4AQQByAHIAYQB5ACwAXABuACAAIAAgACAAWABMAE8ATwBLAFUAUAAoAFMAdABhAHQAZQBDAG8AbQBtAG8AbgBOAGEAbQBlACwAIABTAHQAYQB0AGUAQwBvAG0AbQBvAG4ATgBhAG0AZQBBAHIAcgBhAHkALAAgAFMAdABhAHQAZQBBAGIAYgByAGUAdgBpAGEAdABpAG8AbgBBAHIAcgBhAHkALAAgAFwAIgBcACIAKQBcAG4AKQA7AFwAbgBcAG4AVQB0AGkAbABpAHQAeQBfAFMAbwB1AHIAYwBlAEgAeQBwAGUAcgBsAGkAbgBrAFwAbgA9AEwAQQBNAEIARABBACgAVABhAHIAZwBlAHQAQwBlAGwAbAAsAFwAbgAgACAATABFAFQAKABcAG4AIAAgACAAIABzAGgALAAgAFQARQBYAFQAQQBGAFQARQBSACgAQwBFAEwATAAoAFwAIgBmAGkAbABlAG4AYQBtAGUAXAAiACwAIABUAGEAcgBnAGUAdABDAGUAbABsACkALAAgAFwAIgBdAFwAIgApACwAXABuACAAIAAgACAAYQBkAGQAcgAsACAAQwBFAEwATAAoAFwAIgBhAGQAZAByAGUAcwBzAFwAIgAsACAAVABhAHIAZwBlAHQAQwBlAGwAbAApACwAXABuACAAIAAgACAAXAAiACMAXAB1ADAAMAAyADcAXAAiACAAXAB1ADAAMAAyADYAIABzAGgAIABcAHUAMAAwADIANgAgAFwAIgBcAHUAMAAwADIANwAhAFwAIgAgAFwAdQAwADAAMgA2ACAAYQBkAGQAcgBcAG4AIAAgACkAXABuACkAOwBcAG4AXABuAFUAdABpAGwAaQB0AHkAXwBTAG8AdQByAGMAZQBIAHkAcABlAHIAbABpAG4AawBEAGkAZgBmAGUAcgBlAG4AdABTAGgAZQBlAHQAXABuAD0ATABBAE0AQgBEAEEAKABUAGEAcgBnAGUAdABDAGUAbABsACwAXABuACAAIABMAEUAVAAoAFwAbgAgACAAIAAgAHMAaAAsACAAVABFAFgAVABBAEYAVABFAFIAKABDAEUATABMACgAXAAiAGYAaQBsAGUAbgBhAG0AZQBcACIALAAgAFQAYQByAGcAZQB0AEMAZQBsAGwAKQAsACAAXAAiAF0AXAAiACkALABcAG4AIAAgACAAIABhAGQAZAByACwAIABDAEUATABMACgAXAAiAGEAZABkAHIAZQBzAHMAXAAiACwAIABUAGEAcgBnAGUAdABDAGUAbABsACkALABcAG4AIAAgACAAIABcACIAIwBcACIAIABcAHUAMAAwADIANgAgAGEAZABkAHIAXABuACAAIAApAFwAbgApADsAXABuAFwAbgBVAHQAaQBsAGkAdAB5AF8ARABpAHMAcABsAGEAeQBBAHIAZwB1AG0AZQBuAHQAcwBfADEAXwAyAFwAbgA9AEwAQQBNAEIARABBACgAXABuACAAIAAgACAAQQByAGcAdQBtAGUAbgB0AHMAQQByAHIAYQB5ACwAXABuACAAIAAgACAAQwBIAE8ATwBTAEUAQwBPAEwAUwAoAEEAcgBnAHUAbQBlAG4AdABzAEEAcgByAGEAeQAsACAAMQAsACAAMgApAFwAbgApADsAXABuAFwAbgBVAHQAaQBsAGkAdAB5AF8ARABpAHMAcABsAGEAeQBBAHIAZwB1AG0AZQBuAHQAcwBfADMAXwA0AFwAbgA9AEwAQQBNAEIARABBACgAXABuACAAIAAgACAAQQByAGcAdQBtAGUAbgB0AHMAQQByAHIAYQB5ACwAXABuACAAIAAgACAAQwBIAE8ATwBTAEUAQwBPAEwAUwAoAEEAcgBnAHUAbQBlAG4AdABzAEEAcgByAGEAeQAsACAAMwAsACAANAApAFwAbgApADsAXABuAFwAbgBDAG8AbQBtAG8AbgBfAEcAZQB0AE0AQwBGAFQAZQBtAHAAZQByAGEAdAB1AHIAZQBaAG8AbgBlAFwAbgA9AEwAQQBNAEIARABBACgAXABuACAAIAAgACAAVABlAG0AcABlAHIAYQB0AHUAcgBlACwAIABNAE0AUwAsACAAVABlAG0AcABlAHIAYQB0AHUAcgBlAEEAcgByAGEAeQAsACAATQBNAFMAQQByAHIAYQB5ACwAIABSAGUAdAB1AHIAbgBBAHIAcgBhAHkALABcAG4AIAAgACAAIABYAEwATwBPAEsAVQBQACgAXABuACAAIAAgACAAIAAgACAAIABNAEUARABJAEEATgAoAFwAbgAgACAAIAAgACAAIAAgACAAIAAgACAAIABSAE8AVQBOAEQAKABUAGUAbQBwAGUAcgBhAHQAdQByAGUALAAgADAAKQAsACAAXABuACAAIAAgACAAIAAgACAAIAAgACAAIAAgAE0ASQBOACgAVABlAG0AcABlAHIAYQB0AHUAcgBlAEEAcgByAGEAeQApACwAIABcAG4AIAAgACAAIAAgACAAIAAgACAAIAAgACAATQBBAFgAKABUAGUAbQBwAGUAcgBhAHQAdQByAGUAQQByAHIAYQB5ACkAXABuACAAIAAgACAAIAAgACAAIAApACwAXABuACAAIAAgACAAIAAgACAAIABUAGUAbQBwAGUAcgBhAHQAdQByAGUAQQByAHIAYQB5ACwAXABuACAAIAAgACAAIAAgACAAIABYAEwATwBPAEsAVQBQACgATQBNAFMALAAgAE0ATQBTAEEAcgByAGEAeQAsACAAUgBlAHQAdQByAG4AQQByAHIAYQB5ACkAXABuACAAIAAgACAAKQBcAG4AKQA7AFwAbgBcAG4AXABuAFUAdABpAGwAaQB0AHkAXwBSAGUAcwB1AGwAdABzAEkAdABlAG0ARgByAG8AbQBFAHEAdQBhAHQAaQBvAG4AVABpAHQAbABlAEEAbgBkAFMAbwB1AHIAYwBlAFwAbgA9AEwAQQBNAEIARABBACgAXABuACAAIAAgACAAVABpAHQAbABlAEMAZQBsAGwALAAgAFMAbwB1AHIAYwBlAEMAZQBsAGwALABcAG4AIAAgACAAIABTAFUAQgBTAFQASQBUAFUAVABFACgATABFAEYAVAAoAFMAbwB1AHIAYwBlAEMAZQBsAGwALAAgAEYASQBOAEQAKABcACIALABcACIALAAgAFMAbwB1AHIAYwBlAEMAZQBsAGwAKQAgAC0AMQApACwAIABcACIAVgBFAEUAUgBHACAAMgAwADIANgA6ACAAXAAiACwAIABcACIAXAAiACkAIABcAHUAMAAwADIANgAgAFwAIgAgAFwAIgAgAFwAdQAwADAAMgA2ACAAVABpAHQAbABlAEMAZQBsAGwAXABuACkAOwAiAH0ALAB7ACIAcABhAHQAaAAiADoAIgAvAHAAcgBvAGoAZQBjAHQAcwAvAEMAbwBtAG0AbwBuAEMAcgBvAHAAcABpAG4AZwBfAEkAbgBwAHUAdABGAHUAbgBjAHQAaQBvAG4AcwAiACwAIgB0AGUAeAB0ACIAOgAiAFwAbgBDAG8AbQBtAG8AbgBDAHIAbwBwAHAAaQBuAGcAXwBHAGUAdABGAHIAYQBjAFcARQBUAFwAbgA9AEwAQQBNAEIARABBACgAXABuACAAIAAgACAATABlAGEAYwBoAGkAbgBnAFoAbwBuAGUALABcAG4AIAAgACAAIABQAHIAbwBkAHUAYwB0AGkAbwBuAFMAeQBzAHQAZQBtACwAXABuACAAIAAgACAATABlAGEAYwBoAGkAbgBnAFoAbwBuAGUATABvAG8AawB1AHAALABcAG4AIAAgACAAIABMAGUAYQBjAGgAaQBuAGcAWgBvAG4AZQBGAHIAYQBjAFcARQBUAEwAbwBvAGsAdQBwACwAXABuACAAIAAgACAAUAByAG8AZAB1AGMAdABpAG8AbgBTAHkAcwB0AGUAbQBMAG8AbwBrAHUAcAAsAFwAbgAgACAAIAAgAFAAcgBvAGQAdQBjAHQAaQBvAG4AUwB5AHMAdABlAG0ARgByAGEAYwBXAEUAVABMAG8AbwBrAHUAcAAsAFwAbgAgACAAIAAgAEwARQBUACgAXABuACAAIAAgACAAIAAgACAAIABMAGUAYQBjAGgAaQBuAGcAWgBvAG4AZQBGAHIAYQBjAFcARQBUACwAIABcAG4AIAAgACAAIAAgACAAIAAgAEMAbwBtAG0AbwBuAF8ASQBuAHAAdQB0AEYAdQBuAGMAdABpAG8AbgBzAC4AVQB0AGkAbABpAHQAeQBfAEwAbwBvAGsAdQBwAFYAYQBsAHUAZQBJAG4AVABhAGIAbABlAE4AdQBtAGIAZQByACgAXABuACAAIAAgACAAIAAgACAAIAAgACAAIAAgAEwAZQBhAGMAaABpAG4AZwBaAG8AbgBlACwATABlAGEAYwBoAGkAbgBnAFoAbwBuAGUATABvAG8AawB1AHAALABMAGUAYQBjAGgAaQBuAGcAWgBvAG4AZQBGAHIAYQBjAFcARQBUAEwAbwBvAGsAdQBwAFwAbgAgACAAIAAgACAAIAAgACAAKQAsAFwAbgAgACAAIAAgACAAIAAgACAAUAByAG8AZAB1AGMAdABpAG8AbgBTAHkAcwB0AGUAbQBGAHIAYQBjAFcARQBUACwAIABcAG4AIAAgACAAIAAgACAAIAAgAEMAbwBtAG0AbwBuAF8ASQBuAHAAdQB0AEYAdQBuAGMAdABpAG8AbgBzAC4AVQB0AGkAbABpAHQAeQBfAEwAbwBvAGsAdQBwAFYAYQBsAHUAZQBJAG4AVABhAGIAbABlAE4AdQBtAGIAZQByACgAXABuACAAIAAgACAAIAAgACAAIAAgACAAIAAgAFAAcgBvAGQAdQBjAHQAaQBvAG4AUwB5AHMAdABlAG0ALABQAHIAbwBkAHUAYwB0AGkAbwBuAFMAeQBzAHQAZQBtAEwAbwBvAGsAdQBwACwAUAByAG8AZAB1AGMAdABpAG8AbgBTAHkAcwB0AGUAbQBGAHIAYQBjAFcARQBUAEwAbwBvAGsAdQBwAFwAbgAgACAAIAAgACAAIAAgACAAKQAsAFwAbgAgACAAIAAgACAAIAAgACAASQBGACgATABlAGEAYwBoAGkAbgBnAFoAbwBuAGUARgByAGEAYwBXAEUAVAAgACsAIABQAHIAbwBkAHUAYwB0AGkAbwBuAFMAeQBzAHQAZQBtAEYAcgBhAGMAVwBFAFQAXAB1ADAAMAAzAGUAMAAsACAAMQAsACAAMAApAFwAbgAgACAAIAAgACkAKQA7AFwAbgBcAG4AXABuAEMAbwBtAG0AbwBuAEMAcgBvAHAAcABpAG4AZwBfAEMAYQBsAGMAdQBsAGEAdABlAEgAYQByAHYAZQBzAHQASQBuAGQAZQB4AFwAbgA9AEwAQQBNAEIARABBACgAXABuACAAIAAgACAAQwByAG8AcABUAHkAcABlACwAIABDAHIAbwBwAFQAeQBwAGUAQQByAHIAYQB5ACwAIABSAGUAcwBpAGQAdQBlAEMAcgBvAHAAUgBhAHQAaQBvAEEAcgByAGEAeQAsAFwAbgAgACAAIAAgADEALwAoADEAKwBDAG8AbQBtAG8AbgBfAEkAbgBwAHUAdABGAHUAbgBjAHQAaQBvAG4AcwAuAFUAdABpAGwAaQB0AHkAXwBMAG8AbwBrAHUAcABWAGEAbAB1AGUASQBuAFQAYQBiAGwAZQBOAHUAbQBiAGUAcgAoAEMAcgBvAHAAVAB5AHAAZQAsACAAQwByAG8AcABUAHkAcABlAEEAcgByAGEAeQAsACAAUgBlAHMAaQBkAHUAZQBDAHIAbwBwAFIAYQB0AGkAbwBBAHIAcgBhAHkAKQApAFwAbgApADsAXABuAFwAbgBDAG8AbQBtAG8AbgBDAHIAbwBwAHAAaQBuAGcAXwBDAGEAbABjAHUAbABhAHQAZQBSAGUAcwBpAGQAdQBlAEMAcgBvAHAAUgBhAHQAaQBvAFwAbgA9AEwAQQBNAEIARABBACgAXABuACAAIAAgACAASABhAHIAdgBlAHMAdABJAG4AZABlAHgALABcAG4AIAAgACAAIAAoADEALQBIAGEAcgB2AGUAcwB0AEkAbgBkAGUAeAApAC8ASABhAHIAdgBlAHMAdABJAG4AZABlAHgAXABuACkAOwBcAG4AXABuAFwAbgBDAG8AbQBtAG8AbgBDAHIAbwBwAHAAaQBuAGcAXwBDAGEAbABjAHUAbABhAHQAZQBGAHIAYQBjAHQAaQBvAG4AUgBlAHMAaQBkAHUAZQBSAGUAbQBvAHYAZQBkAFwAbgA9AEwAQQBNAEIARABBACgAXABuACAAIAAgACAAVABvAHQAYQBsAFIAZQBzAGkAZAB1AGUALAAgAEEAbQBvAHUAbgB0AFIAZQBtAG8AdgBlAGQALABcAG4AIAAgACAAIAAoAEEAbQBvAHUAbgB0AFIAZQBtAG8AdgBlAGQAKgAxADAAXgAzACkALwAoAFQAbwB0AGEAbABSAGUAcwBpAGQAdQBlACoAMQAwAF4AMwApAFwAbgApACIAfQAsAHsAIgBwAGEAdABoACIAOgAiAC8AcAByAG8AagBlAGMAdABzAC8AUwBvAHUAcgBjAGUARABhAHQAYQBfAEYAZQBlAGQAbABvAHQAIgAsACIAdABlAHgAdAAiADoAIgAvACoAIABcAG4ALQAtAC0ALQAtAC0ALQAtAC0ALQAtAC0ALQAtAC0ALQAtAC0ALQAtAC0ALQAtAC0ALQAtAC0ALQAtAC0ALQAtAC0ALQAtAC0ALQAtAFwAbgBTAG8AdQByAGMAZQBEAGEAdABhAF8ARgBlAGUAZABsAG8AdABfAFYAUwBMAFwAbgBGAHIAYQBjAHQAaQBvAG4AIABvAGYAIAB2AG8AbABhAHQAaQBsAGUAIABzAG8AbABpAGQAcwAgAGwAbwBzAHQAIABpAG4AIAB0AGgAZQAgAHAAcgBpAG0AYQByAHkAIABNAE0AUwBcAG4ALQAtAC0ALQAtAC0ALQAtAC0ALQAtAC0ALQAtAC0ALQAtAC0ALQAtAC0ALQAtAC0ALQAtAC0ALQAtAC0ALQAtAC0ALQAtAC0ALQAtAFwAbgAqAC8AXABuAFwAbgBTAG8AdQByAGMAZQBEAGEAdABhAF8ARgBlAGUAZABsAG8AdABfAFYAUwBMAF8AVABpAHQAbABlAFwAbgAgACAAPQBMAEEATQBCAEQAQQAoAFwAIgBGAGUAZQBkAGwAbwB0ACAALQAgAEYAcgBhAGMAdABpAG8AbgAgAG8AZgAgAHYAbwBsAGEAdABpAGwAZQAgAHMAbwBsAGkAZABzACAAbABvAHMAdAAgAGQAdQByAGkAbgBnACAAcwB0AG8AcgBhAGcAZQAgAGkAbgAgAHQAaABlACAAcAByAGkAbQBhAHIAeQAgAHMAeQBzAHQAZQBtAFwAIgApADsAXABuAFwAbgBTAG8AdQByAGMAZQBEAGEAdABhAF8ARgBlAGUAZABsAG8AdABfAFYAUwBMAF8AVgBhAHIAaQBhAGIAbABlAFwAbgAgACAAPQBMAEEATQBCAEQAQQAoAFwAIgBWAFMATABcACIAKQA7AFwAbgBcAG4AUwBvAHUAcgBjAGUARABhAHQAYQBfAEYAZQBlAGQAbABvAHQAXwBWAFMATABfAFUAbgBpAHQAXABuACAAIAA9AEwAQQBNAEIARABBACgAXAAiAEYAcgBhAGMAdABpAG8AbgBcACIAKQA7AFwAbgBcAG4AUwBvAHUAcgBjAGUARABhAHQAYQBfAEYAZQBlAGQAbABvAHQAXwBWAFMATABfAFMAbwB1AHIAYwBlAFwAbgAgACAAPQBMAEEATQBCAEQAQQAoAFwAIgBWAEUARQBSAEcAIAAyADAAMgA2ADoAIAA0AC4AMQAuADIALgAzACAAQwBPAE4AUwBUAEEATgBUAFMAXAAiACkAOwBcAG4AXABuAFMAbwB1AHIAYwBlAEQAYQB0AGEAXwBGAGUAZQBkAGwAbwB0AF8AVgBTAEwAXwBWAGEAcgBpAGEAdABpAG8AbgBcAG4AIAAgAD0ATABBAE0AQgBEAEEAKABcACIAXAAiACkAOwBcAG4AXABuAFMAbwB1AHIAYwBlAEQAYQB0AGEAXwBGAGUAZQBkAGwAbwB0AF8AVgBTAEwAXwBEAGEAdABhAFwAbgAgACAAPQBMAEEATQBCAEQAQQAoADAALgA1ACkAOwBcAG4AXABuAC8AKgAgAFwAbgAtAC0ALQAtAC0ALQAtAC0ALQAtAC0ALQAtAC0ALQAtAC0ALQAtAC0ALQAtAC0ALQAtAC0ALQAtAC0ALQAtAC0ALQAtAC0ALQAtAC0AXABuAFMAbwB1AHIAYwBlAEQAYQB0AGEAXwBGAGUAZQBkAGwAbwB0AF8ATQBNAFMAbQAxAFQAMwBcAG4ARgByAGEAYwB0AGkAbwBuACAAbwBmACAAdgBvAGwAYQB0AGkAbABlACAAcwBvAGwAaQBkAHMAIAB0AG8AIABlAGEAYwBoACAAdABlAHIAdABpAGEAcgB5ACAAcwB5AHMAdABlAG0AIABhAHMAcwB1AG0AZQBkACAAdABoAGEAdAAgADIAIABwAGUAcgAgAGMAZQBuAHQAIABpAHMAIAByAHUAbgAgAC0AIABvAGYAZgAgAGYAcgBvAG0AIAB0AGgAZQAgAGYAZQBlAGQAIABwAGEAZAAuAFwAbgAtAC0ALQAtAC0ALQAtAC0ALQAtAC0ALQAtAC0ALQAtAC0ALQAtAC0ALQAtAC0ALQAtAC0ALQAtAC0ALQAtAC0ALQAtAC0ALQAtAC0AXABuACoALwBcAG4AXABuAFMAbwB1AHIAYwBlAEQAYQB0AGEAXwBGAGUAZQBkAGwAbwB0AF8ATQBNAFMAbQAxAFQAMwBfAFQAaQB0AGwAZQBcAG4AIAAgAD0ATABBAE0AQgBEAEEAKABcACIARgByAGEAYwB0AGkAbwBuACAAbwBmACAAdgBvAGwAYQB0AGkAbABlACAAcwBvAGwAaQBkAHMAIAB0AG8AIABlAGEAYwBoACAAdABlAHIAdABpAGEAcgB5ACAAcwB5AHMAdABlAG0AIABhAHMAcwB1AG0AZQBkACAAdABoAGEAdAAgADIAIABwAGUAcgAgAGMAZQBuAHQAIABpAHMAIAByAHUAbgAgAC0AIABvAGYAZgAgAGYAcgBvAG0AIAB0AGgAZQAgAGYAZQBlAGQAIABwAGEAZAAuAFwAIgApADsAXABuAFwAbgBTAG8AdQByAGMAZQBEAGEAdABhAF8ARgBlAGUAZABsAG8AdABfAE0ATQBTAG0AMQBUADMAXwBWAGEAcgBpAGEAYgBsAGUAXABuACAAIAA9AEwAQQBNAEIARABBACgAXAAiAE0ATQBTAG0AMQBUADMAXAAiACkAOwBcAG4AXABuAFMAbwB1AHIAYwBlAEQAYQB0AGEAXwBGAGUAZQBkAGwAbwB0AF8ATQBNAFMAbQAxAFQAMwBfAFUAbgBpAHQAXABuACAAIAA9AEwAQQBNAEIARABBACgAXAAiAEYAcgBhAGMAdABpAG8AbgBcACIAKQA7AFwAbgBcAG4AUwBvAHUAcgBjAGUARABhAHQAYQBfAEYAZQBlAGQAbABvAHQAXwBNAE0AUwBtADEAVAAzAF8AUwBvAHUAcgBjAGUAXABuACAAIAA9AEwAQQBNAEIARABBACgAXAAiAFYARQBFAFIARwAgADIAMAAyADYAOgAgADQALgAxAC4AMgAuADMAIABDAE8ATgBTAFQAQQBOAFQAUwBcACIAKQA7AFwAbgBcAG4AUwBvAHUAcgBjAGUARABhAHQAYQBfAEYAZQBlAGQAbABvAHQAXwBNAE0AUwBtADEAVAAzAF8AVgBhAHIAaQBhAHQAaQBvAG4AXABuACAAIAA9AEwAQQBNAEIARABBACgAXAAiAFwAIgApADsAXABuAFwAbgBTAG8AdQByAGMAZQBEAGEAdABhAF8ARgBlAGUAZABsAG8AdABfAE0ATQBTAG0AMQBUADMAXwBEAGEAdABhAFwAbgAgACAAPQBMAEEATQBCAEQAQQAoADAALgAwADIAKQA7AFwAbgBcAG4ALwAqACAAXABuAC0ALQAtAC0ALQAtAC0ALQAtAC0ALQAtAC0ALQAtAC0ALQAtAC0ALQAtAC0ALQAtAC0ALQAtAC0ALQAtAC0ALQAtAC0ALQAtAC0ALQBcAG4AUwBvAHUAcgBjAGUARABhAHQAYQBfAEYAZQBlAGQAbABvAHQAXwBBAHMAaABDAG8AbgB0AGUAbgB0AFwAbgBBAHMAaAAgAGMAbwBuAHQAZQBuAHQAIABvAGYAIABtAGEAbgB1AHIAZQAuAFwAbgAtAC0ALQAtAC0ALQAtAC0ALQAtAC0ALQAtAC0ALQAtAC0ALQAtAC0ALQAtAC0ALQAtAC0ALQAtAC0ALQAtAC0ALQAtAC0ALQAtAC0AXABuACoALwBcAG4AXABuAFMAbwB1AHIAYwBlAEQAYQB0AGEAXwBGAGUAZQBkAGwAbwB0AF8AQQBzAGgAQwBvAG4AdABlAG4AdABfAFQAaQB0AGwAZQBcAG4AIAAgAD0ATABBAE0AQgBEAEEAKABcACIAQQBzAGgAIABjAG8AbgB0AGUAbgB0ACAAbwBmACAAbQBhAG4AdQByAGUALgBcACIAKQA7AFwAbgBcAG4AUwBvAHUAcgBjAGUARABhAHQAYQBfAEYAZQBlAGQAbABvAHQAXwBBAHMAaABDAG8AbgB0AGUAbgB0AF8AVgBhAHIAaQBhAGIAbABlAFwAbgAgACAAPQBMAEEATQBCAEQAQQAoAFwAIgBBAFwAIgApADsAXABuAFwAbgBTAG8AdQByAGMAZQBEAGEAdABhAF8ARgBlAGUAZABsAG8AdABfAEEAcwBoAEMAbwBuAHQAZQBuAHQAXwBVAG4AaQB0AFwAbgAgACAAPQBMAEEATQBCAEQAQQAoAFwAIgBGAHIAYQBjAHQAaQBvAG4AXAAiACkAOwBcAG4AXABuAFMAbwB1AHIAYwBlAEQAYQB0AGEAXwBGAGUAZQBkAGwAbwB0AF8AQQBzAGgAQwBvAG4AdABlAG4AdABfAFMAbwB1AHIAYwBlAFwAbgAgACAAPQBMAEEATQBCAEQAQQAoAFwAIgBWAEUARQBSAEcAIAAyADAAMgA2ADoAIAA0AC4AMQAuADIALgAzACAAQwBPAE4AUwBUAEEATgBUAFMAXAAiACkAOwBcAG4AXABuAFMAbwB1AHIAYwBlAEQAYQB0AGEAXwBGAGUAZQBkAGwAbwB0AF8AQQBzAGgAQwBvAG4AdABlAG4AdABfAFYAYQByAGkAYQB0AGkAbwBuAFwAbgAgACAAPQBMAEEATQBCAEQAQQAoAFwAIgBcACIAKQA7AFwAbgBcAG4AUwBvAHUAcgBjAGUARABhAHQAYQBfAEYAZQBlAGQAbABvAHQAXwBBAHMAaABDAG8AbgB0AGUAbgB0AF8ARABhAHQAYQBcAG4AIAAgAD0ATABBAE0AQgBEAEEAKAAwAC4AMQA2ACkAOwBcAG4AXABuAC8AKgAgAFwAbgAtAC0ALQAtAC0ALQAtAC0ALQAtAC0ALQAtAC0ALQAtAC0ALQAtAC0ALQAtAC0ALQAtAC0ALQAtAC0ALQAtAC0ALQAtAC0ALQAtAC0AXABuAFMAbwB1AHIAYwBlAEQAYQB0AGEAXwBGAGUAZQBkAGwAbwB0AF8ATQBlAHQAaABhAG4AZQBFAG0AaQBzAHMAaQBvAG4AcwBQAG8AdABlAG4AdABpAGEAbABcAG4ATQBlAHQAaABhAG4AZQAgAGUAbQBpAHMAcwBpAG8AbgBzACAAcABvAHQAZQBuAHQAaQBhAGwALgBcAG4ALQAtAC0ALQAtAC0ALQAtAC0ALQAtAC0ALQAtAC0ALQAtAC0ALQAtAC0ALQAtAC0ALQAtAC0ALQAtAC0ALQAtAC0ALQAtAC0ALQAtAFwAbgAqAC8AXABuAFwAbgBTAG8AdQByAGMAZQBEAGEAdABhAF8ARgBlAGUAZABsAG8AdABfAE0AZQB0AGgAYQBuAGUARQBtAGkAcwBzAGkAbwBuAHMAUABvAHQAZQBuAHQAaQBhAGwAXwBUAGkAdABsAGUAXABuACAAIAA9AEwAQQBNAEIARABBACgAXAAiAE0AZQB0AGgAYQBuAGUAIABlAG0AaQBzAHMAaQBvAG4AcwAgAHAAbwB0AGUAbgB0AGkAYQBsAC4AXAAiACkAOwBcAG4AXABuAFMAbwB1AHIAYwBlAEQAYQB0AGEAXwBGAGUAZQBkAGwAbwB0AF8ATQBlAHQAaABhAG4AZQBFAG0AaQBzAHMAaQBvAG4AcwBQAG8AdABlAG4AdABpAGEAbABfAFYAYQByAGkAYQBiAGwAZQBcAG4AIAAgAD0ATABBAE0AQgBEAEEAKABcACIAQgAwAFwAIgApADsAXABuAFwAbgBTAG8AdQByAGMAZQBEAGEAdABhAF8ARgBlAGUAZABsAG8AdABfAE0AZQB0AGgAYQBuAGUARQBtAGkAcwBzAGkAbwBuAHMAUABvAHQAZQBuAHQAaQBhAGwAXwBVAG4AaQB0AFwAbgAgACAAPQBMAEEATQBCAEQAQQAoAFwAIgBtADMAIABDAEgANAAgAC8AIABrAGcAIABWAFMAXAAiACkAOwBcAG4AXABuAFMAbwB1AHIAYwBlAEQAYQB0AGEAXwBGAGUAZQBkAGwAbwB0AF8ATQBlAHQAaABhAG4AZQBFAG0AaQBzAHMAaQBvAG4AcwBQAG8AdABlAG4AdABpAGEAbABfAFMAbwB1AHIAYwBlAFwAbgAgACAAPQBMAEEATQBCAEQAQQAoAFwAIgBWAEUARQBSAEcAIAAyADAAMgA2ADoAIAA0AC4AMQAuADIALgAzACAAQwBPAE4AUwBUAEEATgBUAFMAXAAiACkAOwBcAG4AXABuAFMAbwB1AHIAYwBlAEQAYQB0AGEAXwBGAGUAZQBkAGwAbwB0AF8ATQBlAHQAaABhAG4AZQBFAG0AaQBzAHMAaQBvAG4AcwBQAG8AdABlAG4AdABpAGEAbABfAFYAYQByAGkAYQB0AGkAbwBuAFwAbgAgACAAPQBMAEEATQBCAEQAQQAoAFwAIgBcACIAKQA7AFwAbgBcAG4AUwBvAHUAcgBjAGUARABhAHQAYQBfAEYAZQBlAGQAbABvAHQAXwBNAGUAdABoAGEAbgBlAEUAbQBpAHMAcwBpAG8AbgBzAFAAbwB0AGUAbgB0AGkAYQBsAF8ARABhAHQAYQBcAG4AIAAgAD0ATABBAE0AQgBEAEEAKAAwAC4AMQA5ACkAOwBcAG4AXABuAFwAbgBTAG8AdQByAGMAZQBEAGEAdABhAF8ARgBlAGUAZABsAG8AdABfAFMAdABhAGcAZQAxAE0ATQBTAE8AcAB0AGkAbwBuAHMAXABuACAAIAA9AEwAQQBNAEIARABBACgAXABuACAAIAAgACAATQBBAEsARQBBAFIAUgBBAFkAKAAxACwAIAAxACwAXABuACAAIAAgACAAIAAgAEwAQQBNAEIARABBACgAcgAsAGMALABcAG4AIAAgACAAIAAgACAAIAAgAEkATgBEAEUAWAAoAHsAXABuACAAIAAgACAAIAAgACAAIAAgACAAXAAiAEQAcgB5AGwAbwB0ACAAKABmAGUAZQBkACAAcABhAGQAKQBcACIAXABuACAAIAAgACAAIAAgACAAIAB9ACwAIAByACwAIABjACkAXABuACAAIAAgACAAIAAgACkAXABuACAAIAAgACAAKQBcAG4AIAAgACkAOwBcAG4AXABuAFMAbwB1AHIAYwBlAEQAYQB0AGEAXwBGAGUAZQBkAGwAbwB0AF8AUwB0AGEAZwBlADIATQBNAFMATwBwAHQAaQBvAG4AcwBcAG4AIAAgAD0ATABBAE0AQgBEAEEAKABcAG4AIAAgACAAIABNAEEASwBFAEEAUgBSAEEAWQAoADQALAAgADEALABcAG4AIAAgACAAIAAgACAATABBAE0AQgBEAEEAKAByACwAYwAsAFwAbgAgACAAIAAgACAAIAAgACAASQBOAEQARQBYACgAewBcAG4AIAAgACAAIAAgACAAIAAgACAAIABcACIAUwBvAGwAaQBkACAAcwB0AG8AcgBhAGcAZQBcACIAOwBcAG4AIAAgACAAIAAgACAAIAAgACAAIABcACIAQwBvAG0AcABvAHMAdABpAG4AZwAgACgAcABhAHMAcwBpAHYAZQAgAHcAaQBuAGQAcgBvAHcAKQBcACIAOwBcAG4AIAAgACAAIAAgACAAIAAgACAAIABcACIARABpAHIAZQBjAHQAIABhAHAAcABsAGkAYwBhAHQAaQBvAG4AXAAiADsAXABuACAAIAAgACAAIAAgACAAIAAgACAAXAAiAE4AbwAgAE0ATQBTAFwAIgBcAG4AIAAgACAAIAAgACAAIAAgAH0ALAAgAHIALAAgAGMAKQBcAG4AIAAgACAAIAAgACAAKQBcAG4AIAAgACAAIAApAFwAbgAgACAAKQA7AFwAbgBcAG4AUwBvAHUAcgBjAGUARABhAHQAYQBfAEYAZQBlAGQAbABvAHQAXwBTAHQAYQBnAGUAMwBNAE0AUwBPAHAAdABpAG8AbgBzAFwAbgAgACAAPQBMAEEATQBCAEQAQQAoAFwAbgAgACAAIAAgAE0AQQBLAEUAQQBSAFIAQQBZACgAMQAsACAAMQAsAFwAbgAgACAAIAAgACAAIABMAEEATQBCAEQAQQAoAHIALABjACwAXABuACAAIAAgACAAIAAgACAAIABJAE4ARABFAFgAKAB7AFwAbgAgACAAIAAgACAAIAAgACAAIAAgAFwAIgBBAG4AYQBlAHIAbwBiAGkAYwAgAGwAYQBnAG8AbwBuAFwAIgBcAG4AIAAgACAAIAAgACAAIAAgAH0ALAAgAHIALAAgAGMAKQBcAG4AIAAgACAAIAAgACAAKQBcAG4AIAAgACAAIAApAFwAbgAgACAAKQA7AFwAbgBcAG4AUwBvAHUAcgBjAGUARABhAHQAYQBfAEYAZQBlAGQAbABvAHQAXwBMAGkAdgBlAHMAdABvAGMAawBDAGwAYQBzAHMAZQBzAFwAbgAgACAAPQBMAEEATQBCAEQAQQAoAFwAbgAgACAAIAAgAE0AQQBLAEUAQQBSAFIAQQBZACgAMwAsACAAMQAsAFwAbgAgACAAIAAgACAAIABMAEEATQBCAEQAQQAoAHIALABjACwAXABuACAAIAAgACAAIAAgACAAIABJAE4ARABFAFgAKAB7AFwAbgAgACAAIAAgACAAIAAgACAAIAAgAFwAIgBEAG8AbQBlAHMAdABpAGMAXAAiADsAIABcAG4AIAAgACAAIAAgACAAIAAgACAAIABcACIARQB4AHAAbwByAHQAIABtAGkAZAAgAGYAZQBkAFwAIgA7ACAAXABuACAAIAAgACAAIAAgACAAIAAgACAAXAAiAEUAeABwAG8AcgB0ACAAbABvAG4AZwAgAGYAZQBkAFwAIgBcAG4AIAAgACAAIAAgACAAIAAgAH0ALAAgAHIALAAgAGMAKQBcAG4AIAAgACAAIAAgACAAKQBcAG4AIAAgACAAIAApAFwAbgAgACAAKQA7AFwAbgBcAG4AXABuAC8AKgAgAFwAbgAtAC0ALQAtAC0ALQAtAC0ALQAtAC0ALQAtAC0ALQAtAC0ALQAtAC0ALQAtAC0ALQAtAC0ALQAtAC0ALQAtAC0ALQAtAC0ALQAtAC0AXABuAFMAbwB1AHIAYwBlAEQAYQB0AGEAXwBGAGUAZQBkAGwAbwB0AF8ARAB1AHIAYQB0AGkAbwBuAE8AZgBTAHQAYQB5AFwAbgBUAGEAYgBsAGUAIABBAC4AMQAuADEALgAxADoAIABCAGUAZQBmACAAZgBlAGUAZABsAG8AdAAgAGMAYQB0AHQAbABlACAALQAgAEQAdQByAGEAdABpAG8AbgAgAG8AZgAgAHMAdABhAHkAIAAoAGQAYQB5AHMAKQBcAG4ALQAtAC0ALQAtAC0ALQAtAC0ALQAtAC0ALQAtAC0ALQAtAC0ALQAtAC0ALQAtAC0ALQAtAC0ALQAtAC0ALQAtAC0ALQAtAC0ALQAtAFwAbgAqAC8AXABuAFwAbgBTAG8AdQByAGMAZQBEAGEAdABhAF8ARgBlAGUAZABsAG8AdABfAEQAdQByAGEAdABpAG8AbgBPAGYAUwB0AGEAeQBfAFQAaQB0AGwAZQBcAG4AIAAgAD0ATABBAE0AQgBEAEEAKABcACIAQgBlAGUAZgAgAGYAZQBlAGQAbABvAHQAIABjAGEAdAB0AGwAZQAgAC0AIABEAHUAcgBhAHQAaQBvAG4AIABvAGYAIABzAHQAYQB5ACAAKABkAGEAeQBzACkAXAAiACkAOwBcAG4AXABuAFMAbwB1AHIAYwBlAEQAYQB0AGEAXwBGAGUAZQBkAGwAbwB0AF8ARAB1AHIAYQB0AGkAbwBuAE8AZgBTAHQAYQB5AF8AVQBuAGkAdABcAG4AIAAgAD0ATABBAE0AQgBEAEEAKABcACIAXAAiACkAOwBcAG4AXABuAFMAbwB1AHIAYwBlAEQAYQB0AGEAXwBGAGUAZQBkAGwAbwB0AF8ARAB1AHIAYQB0AGkAbwBuAE8AZgBTAHQAYQB5AF8AUwBvAHUAcgBjAGUAXABuACAAIAA9AEwAQQBNAEIARABBACgAXAAiAFYARQBFAFIARwAgADIAMAAyADYAOgAgAFQAYQBiAGwAZQAgAEEALgAxAC4AMQAuADEAOgAgAEIAZQBlAGYAIABmAGUAZQBkAGwAbwB0ACAAYwBhAHQAdABsAGUAIAAtACAARAB1AHIAYQB0AGkAbwBuACAAbwBmACAAcwB0AGEAeQAgACgAZABhAHkAcwApAFwAIgApADsAXABuAFwAbgBTAG8AdQByAGMAZQBEAGEAdABhAF8ARgBlAGUAZABsAG8AdABfAEQAdQByAGEAdABpAG8AbgBPAGYAUwB0AGEAeQBfAFYAYQByAGkAYQB0AGkAbwBuAFwAbgAgACAAPQBMAEEATQBCAEQAQQAoAFwAIgBcACIAKQA7AFwAbgBcAG4AUwBvAHUAcgBjAGUARABhAHQAYQBfAEYAZQBlAGQAbABvAHQAXwBEAHUAcgBhAHQAaQBvAG4ATwBmAFMAdABhAHkAXwBEAGEAdABhAFwAbgAgACAAPQBMAEEATQBCAEQAQQAoAFwAbgAgACAAIAAgAE0AQQBLAEUAQQBSAFIAQQBZACgANAAsACAAMgAsACAAXABuACAAIAAgACAAIAAgAEwAQQBNAEIARABBACgAcgAsAGMALAAgAFwAbgAgACAAIAAgACAAIAAgACAASQBOAEQARQBYACgAewBcAG4AIAAgACAAIAAgACAAIAAgACAAIABcACIARgBlAGUAZABsAG8AdAAgAHQAeQBwAGUAXAAiACwAIABcACIATABlAG4AZwB0AGgAIABvAGYAIABTAHQAYQB5AFwAIgA7AFwAbgAgACAAIAAgACAAIAAgACAAIAAgAFwAIgBEAG8AbQBlAHMAdABpAGMAXAAiACwAIABcACIAMQAtADgAMAAgAGQAYQB5AHMAXAAiADsAXABuACAAIAAgACAAIAAgACAAIAAgACAAXAAiAE0AaQBkAC0AZgBlAGQAXAAiACwAIABcACIAOAAxAC0AMgAwADAAIABkAGEAeQBzAFwAIgA7AFwAbgAgACAAIAAgACAAIAAgACAAIAAgAFwAIgBMAG8AbgBnAC0AZgBlAGQAXAAiACwAIABcACIAMgAwADEAKwAgAGQAYQB5AHMAXAAiAFwAbgAgACAAIAAgACAAIAAgACAAfQAsACAAcgAsACAAYwApAFwAbgAgACAAIAAgACAAIAApAFwAbgAgACAAIAAgACkAXABuACAAIAApADsAXABuAFwAbgBcAG4AXABuAC8AKgAgAFwAbgAtAC0ALQAtAC0ALQAtAC0ALQAtAC0ALQAtAC0ALQAtAC0ALQAtAC0ALQAtAC0ALQAtAC0ALQAtAC0ALQAtAC0ALQAtAC0ALQAtAC0AXABuAFMAbwB1AHIAYwBlAEQAYQB0AGEAXwBGAGUAZQBkAGwAbwB0AF8AQQBuAGkAbQBhAGwAQwBoAGEAcgBhAGMAdABlAHIAaQBzAHQAaQBjAHMAXABuAFQAYQBiAGwAZQAgAEEALgAxAC4AMQAuADIAOgAgAEIAZQBlAGYAIABmAGUAZQBkAGwAbwB0ACAAYwBhAHQAdABsAGUAIAAtACAAQQBuAGkAbQBhAGwAIABjAGgAYQByAGEAYwB0AGUAcgBpAHMAdABpAGMAcwBcAG4ALQAtAC0ALQAtAC0ALQAtAC0ALQAtAC0ALQAtAC0ALQAtAC0ALQAtAC0ALQAtAC0ALQAtAC0ALQAtAC0ALQAtAC0ALQAtAC0ALQAtAFwAbgAqAC8AXABuAFwAbgBTAG8AdQByAGMAZQBEAGEAdABhAF8ARgBlAGUAZABsAG8AdABfAEEAbgBpAG0AYQBsAEMAaABhAHIAYQBjAHQAZQByAGkAcwB0AGkAYwBzAF8AVABpAHQAbABlAFwAbgAgACAAPQBMAEEATQBCAEQAQQAoAFwAIgBCAGUAZQBmACAAZgBlAGUAZABsAG8AdAAgAGMAYQB0AHQAbABlACAALQAgAEEAbgBpAG0AYQBsACAAYwBoAGEAcgBhAGMAdABlAHIAaQBzAHQAaQBjAHMAXAAiACkAOwBcAG4AXABuAFMAbwB1AHIAYwBlAEQAYQB0AGEAXwBGAGUAZQBkAGwAbwB0AF8AQQBuAGkAbQBhAGwAQwBoAGEAcgBhAGMAdABlAHIAaQBzAHQAaQBjAHMAXwBVAG4AaQB0AFwAbgAgACAAPQBMAEEATQBCAEQAQQAoAFwAIgBcACIAKQA7AFwAbgBcAG4AUwBvAHUAcgBjAGUARABhAHQAYQBfAEYAZQBlAGQAbABvAHQAXwBBAG4AaQBtAGEAbABDAGgAYQByAGEAYwB0AGUAcgBpAHMAdABpAGMAcwBfAFMAbwB1AHIAYwBlAFwAbgAgACAAPQBMAEEATQBCAEQAQQAoAFwAIgBWAEUARQBSAEcAIAAyADAAMgA2ADoAIABUAGEAYgBsAGUAIABBAC4AMQAuADEALgAyADoAIABCAGUAZQBmACAAZgBlAGUAZABsAG8AdAAgAGMAYQB0AHQAbABlACAALQAgAEEAbgBpAG0AYQBsACAAYwBoAGEAcgBhAGMAdABlAHIAaQBzAHQAaQBjAHMAXAAiACkAOwBcAG4AXABuAFMAbwB1AHIAYwBlAEQAYQB0AGEAXwBGAGUAZQBkAGwAbwB0AF8AQQBuAGkAbQBhAGwAQwBoAGEAcgBhAGMAdABlAHIAaQBzAHQAaQBjAHMAXwBWAGEAcgBpAGEAdABpAG8AbgBcAG4AIAAgAD0ATABBAE0AQgBEAEEAKABcAG4AIAAgACAAIABNAEEASwBFAEEAUgBSAEEAWQAoADMALAAgADEALAAgAFwAbgAgACAAIAAgACAAIABMAEEATQBCAEQAQQAoAHIALABjACwAIABcAG4AIAAgACAAIAAgACAAIAAgAEkATgBEAEUAWAAoAHsAXABuACAAIAAgACAAIAAgACAAIAAgACAAXAAiAFYAQQBSAEkAQQBUAEkATwBOACAATwBOACAAUwBPAFUAUgBDAEUAOgBcACIAOwBcAG4AIAAgACAAIAAgACAAIAAgACAAIABcACIATQBvAHYAZQBkACAAZgBlAGUAZABsAG8AdAAgAHQAeQBwAGUAcwAgAHQAbwAgAGEAIABzAGUAcABhAHIAYQB0AGUAIABjAG8AbAB1AG0AbgAgAHQAbwAgAGEAaQBkACAAbABvAG8AawB1AHAALgBcACIAOwBcAG4AIAAgACAAIAAgACAAIAAgACAAIABcACIATgBhAG0AZQBkACAAXAB1ADAAMAAyADcAYwBoAGEAcgBhAGMAdABlAHIAaQBzAHQAaQBjAFwAdQAwADAAMgA3ACAAYwBvAGwAdQBtAG4AIAAtACAAbwByAGkAZwBpAG4AYQBsACAAaABhAHMAIABoAGUAYQBkAGUAcgAgAFwAdQAwADAAMgA3AFUAbgBpAHQAXAB1ADAAMAAyADcAIAB3AGgAaQBjAGgAIABjAG8AdgBlAHIAcwAgAHQAdwBvACAAYwBvAGwAdQBtAG4AcwApAFwAIgBcAG4AIAAgACAAIAAgACAAIAAgAH0ALAAgAHIALAAgAGMAKQBcAG4AIAAgACAAIAAgACAAKQBcAG4AIAAgACAAIAApAFwAbgAgACAAKQA7AFwAbgBcAG4AUwBvAHUAcgBjAGUARABhAHQAYQBfAEYAZQBlAGQAbABvAHQAXwBBAG4AaQBtAGEAbABDAGgAYQByAGEAYwB0AGUAcgBpAHMAdABpAGMAcwBfAEQAYQB0AGEAXABuACAAIAA9AEwAQQBNAEIARABBACgAXABuACAAIAAgACAATQBBAEsARQBBAFIAUgBBAFkAKAAxADAALAAgADcALAAgAFwAbgAgACAAIAAgACAAIABMAEEATQBCAEQAQQAoAHIALABjACwAIABcAG4AIAAgACAAIAAgACAAIAAgAEkATgBEAEUAWAAoAHsAXABuACAAIAAgACAAIAAgACAAIAAgACAAXAAiAEYAZQBlAGQAbABvAHQAIAB0AHkAcABlAFwAIgAsACAAXAAiAEMAaABhAHIAYQBjAHQAZQByAGkAcwB0AGkAYwBcACIALAAgAFwAIgBVAG4AaQB0AFwAIgAsACAAXAAiADIAMAAwADUALQAyADAAMAA5AFwAIgAsACAAXAAiADIAMAAxADAALQAyADAAMQA0AFwAIgAsACAAXAAiADIAMAAxADUALQAyADAAMQA5AFwAIgAsACAAXAAiADIAMAAyADAALQAyADAAMgAzAFwAIgA7AFwAbgAgACAAIAAgACAAIAAgACAAIAAgAFwAIgBEAG8AbQBlAHMAdABpAGMAXAAiACwAIABcACIARABhAHkAcwAgAG8AbgAgAGYAZQBlAGQAXAAiACwAIABcACIAZABhAHkAcwBcACIALAAgADcAMAAsACAANwAwACwAIAA3ADAALAAgADcANQA7AFwAbgAgACAAIAAgACAAIAAgACAAIAAgAFwAIgBEAG8AbQBlAHMAdABpAGMAXAAiACwAIABcACIARgBlAGUAZAAgAGkAbgB0AGEAawBlAFwAIgAsACAAXAAiAGsAZwAgAEQATQAvAGQAYQB5AFwAIgAsACAAMQAwAC4AMAAsACAAMQAwAC4AMAAsACAAMQAwAC4ANAAsACAAMQAwAC4ANAA7AFwAbgAgACAAIAAgACAAIAAgACAAIAAgAFwAIgBEAG8AbQBlAHMAdABpAGMAXAAiACwAIABcACIATgAgAHIAZQB0AGUAbgB0AGkAbwBuAFwAIgAsACAAXAAiAHAAZQByACAAYwBlAG4AdAAgAG8AZgAgAGkAbgB0AGEAawBlAFwAIgAsACAAMgAxAC4AMQAsACAAMgAwAC4ANAAsACAAMgAwAC4ANAAsACAAMgAwAC4ANAA7AFwAbgAgACAAIAAgACAAIAAgACAAIAAgAFwAIgBNAGkAZAAtAGYAZQBkAFwAIgAsACAAXAAiAEQAYQB5AHMAIABvAG4AIABmAGUAZQBkAFwAIgAsACAAXAAiAGQAYQB5AHMAXAAiACwAIAAxADEANQAsACAAMQAxADUALAAgADEAMgAwACwAIAAxADUAMAA7AFwAbgAgACAAIAAgACAAIAAgACAAIAAgAFwAIgBNAGkAZAAtAGYAZQBkAFwAIgAsACAAXAAiAEYAZQBlAGQAIABpAG4AdABhAGsAZQBcACIALAAgAFwAIgBrAGcAIABEAE0ALwBkAGEAeQBcACIALAAgADEAMQAuADIALAAgADEAMAAuADgALAAgADEAMAAuADgALAAgADEAMAAuADgAOwBcAG4AIAAgACAAIAAgACAAIAAgACAAIABcACIATQBpAGQALQBmAGUAZABcACIALAAgAFwAIgBOACAAcgBlAHQAZQBuAHQAaQBvAG4AXAAiACwAIABcACIAcABlAHIAIABjAGUAbgB0ACAAbwBmACAAaQBuAHQAYQBrAGUAXAAiACwAIAAxADIALgA1ACwAIAAxADIALgA3ACwAIAAxADIALgA3ACwAIAAxADIALgA3ADsAXABuACAAIAAgACAAIAAgACAAIAAgACAAXAAiAEwAbwBuAGcALQBmAGUAZABcACIALAAgAFwAIgBEAGEAeQBzACAAbwBuACAAZgBlAGUAZABcACIALAAgAFwAIgBkAGEAeQBzAFwAIgAsACAAMgA1ADAALAAgADIANQAwACwAIAAyADUAMAAsACAAMgA1ADAAOwBcAG4AIAAgACAAIAAgACAAIAAgACAAIABcACIATABvAG4AZwAtAGYAZQBkAFwAIgAsACAAXAAiAEYAZQBlAGQAIABpAG4AdABhAGsAZQBcACIALAAgAFwAIgBrAGcAIABEAE0ALwBkAGEAeQBcACIALAAgADkALgAwACwAIAA4AC4ANQAsACAAOAAuADIALAAgADgALgAyADsAXABuACAAIAAgACAAIAAgACAAIAAgACAAXAAiAEwAbwBuAGcALQBmAGUAZABcACIALAAgAFwAIgBOACAAcgBlAHQAZQBuAHQAaQBvAG4AXAAiACwAIABcACIAcABlAHIAIABjAGUAbgB0ACAAbwBmACAAaQBuAHQAYQBrAGUAXAAiACwAIAA2AC4ANgAsACAANwAuADAALAAgADcALgAwACwAIAA3AC4AMABcAG4AIAAgACAAIAAgACAAIAAgAH0ALAAgAHIALAAgAGMAKQBcAG4AIAAgACAAIAAgACAAKQBcAG4AIAAgACAAIAApAFwAbgAgACAAKQA7AFwAbgBcAG4AXABuAFwAbgBcAG4AXABuAFwAbgBcAG4ALwAqACAAXABuAC0ALQAtAC0ALQAtAC0ALQAtAC0ALQAtAC0ALQAtAC0ALQAtAC0ALQAtAC0ALQAtAC0ALQAtAC0ALQAtAC0ALQAtAC0ALQAtAC0ALQBcAG4AUwBvAHUAcgBjAGUARABhAHQAYQBfAEYAZQBlAGQAbABvAHQAXwBEAGkAZQB0AFAAcgBvAHAAZQByAHQAaQBlAHMAXABuAFQAYQBiAGwAZQAgAEEALgAxAC4AMQAuADMAOgAgAEIAZQBlAGYAIABmAGUAZQBkAGwAbwB0ACAAYwBhAHQAdABsAGUAIAAtACAARABpAGUAdAAgAHAAcgBvAHAAZQByAHQAaQBlAHMAXABuAC0ALQAtAC0ALQAtAC0ALQAtAC0ALQAtAC0ALQAtAC0ALQAtAC0ALQAtAC0ALQAtAC0ALQAtAC0ALQAtAC0ALQAtAC0ALQAtAC0ALQBcAG4AKgAvAFwAbgBcAG4AUwBvAHUAcgBjAGUARABhAHQAYQBfAEYAZQBlAGQAbABvAHQAXwBEAGkAZQB0AFAAcgBvAHAAZQByAHQAaQBlAHMAXwBUAGkAdABsAGUAXABuACAAIAA9AEwAQQBNAEIARABBACgAXAAiAEIAZQBlAGYAIABmAGUAZQBkAGwAbwB0ACAAYwBhAHQAdABsAGUAIAAtACAARABpAGUAdAAgAHAAcgBvAHAAZQByAHQAaQBlAHMAXAAiACkAOwBcAG4AXABuAFMAbwB1AHIAYwBlAEQAYQB0AGEAXwBGAGUAZQBkAGwAbwB0AF8ARABpAGUAdABQAHIAbwBwAGUAcgB0AGkAZQBzAF8AVQBuAGkAdABcAG4AIAAgAD0ATABBAE0AQgBEAEEAKABcACIAXAAiACkAOwBcAG4AXABuAFMAbwB1AHIAYwBlAEQAYQB0AGEAXwBGAGUAZQBkAGwAbwB0AF8ARABpAGUAdABQAHIAbwBwAGUAcgB0AGkAZQBzAF8AUwBvAHUAcgBjAGUAXABuACAAIAA9AEwAQQBNAEIARABBACgAXAAiAFYARQBFAFIARwAgADIAMAAyADYAOgAgAFQAYQBiAGwAZQAgAEEALgAxAC4AMQAuADMAOgAgAEIAZQBlAGYAIABmAGUAZQBkAGwAbwB0ACAAYwBhAHQAdABsAGUAIAAtACAARABpAGUAdAAgAHAAcgBvAHAAZQByAHQAaQBlAHMAXAAiACkAOwBcAG4AXABuAFMAbwB1AHIAYwBlAEQAYQB0AGEAXwBGAGUAZQBkAGwAbwB0AF8ARABpAGUAdABQAHIAbwBwAGUAcgB0AGkAZQBzAF8AVgBhAHIAaQBhAHQAaQBvAG4AXABuACAAIAA9AEwAQQBNAEIARABBACgAXABuACAAIAAgACAATQBBAEsARQBBAFIAUgBBAFkAKAAzACwAIAAxACwAIABcAG4AIAAgACAAIAAgACAATABBAE0AQgBEAEEAKAByACwAYwAsACAAXABuACAAIAAgACAAIAAgACAAIABJAE4ARABFAFgAKAB7AFwAbgAgACAAIAAgACAAIAAgACAAIAAgAFwAIgBWAEEAUgBJAEEAVABJAE8ATgAgAE8ATgAgAFMATwBVAFIAQwBFADoAXAAiADsAXABuACAAIAAgACAAIAAgACAAIAAgACAAXAAiAEEAZABkAGUAZAAgAFwAdQAwADAAMgA3AEMAbwBuAHYAZQByAHQAZQBkACAAdABvACAAZgByAGEAYwB0AGkAbwBuACAAYwBvAGwAdQBtAG4AIABhAG4AZAAgAGMAbwBuAHYAZQByAHQAZQBkACAATgBEAEYAIABhAG4AZAAgAEUAdABoAGUAcgAgAGUAeAB0AHIAYQBjAHQAIAB2AGEAbAB1AGUAcwAgAHQAbwAgAGYAcgBhAGMAdABpAG8AbgBzAC4AXAAiADsAXABuACAAIAAgACAAIAAgACAAIAAgACAAXAAiAE0AbwB2AGUAZAAgAGYAZQBlAGQAbABvAHQAIAB0AHkAcABlAHMAIAB0AG8AIABhACAAcwBlAHAAYQByAGEAdABlACAAYwBvAGwAdQBtAG4AIAB0AG8AIABhAGkAZAAgAGwAbwBvAGsAdQBwAC4AXAAiAFwAbgAgACAAIAAgACAAIAAgACAAfQAsACAAcgAsACAAYwApAFwAbgAgACAAIAAgACAAIAApAFwAbgAgACAAIAAgACkAXABuACAAIAApADsAXABuAFwAbgBTAG8AdQByAGMAZQBEAGEAdABhAF8ARgBlAGUAZABsAG8AdABfAEQAaQBlAHQAUAByAG8AcABlAHIAdABpAGUAcwBfAEQAYQB0AGEAXABuACAAIAA9AEwAQQBNAEIARABBACgAXABuACAAIAAgACAATQBBAEsARQBBAFIAUgBBAFkAKAAxADMALAAgADgALAAgAFwAbgAgACAAIAAgACAAIABMAEEATQBCAEQAQQAoAHIALABjACwAIABcAG4AIAAgACAAIAAgACAAIAAgAEkATgBEAEUAWAAoAHsAXABuACAAIAAgACAAIAAgACAAIAAgACAAXAAiAEYAZQBlAGQAbABvAHQAIAB0AHkAcABlAFwAIgAsACAAXAAiAE4AdQB0AHIAaQBlAG4AdAAgAGEAbgBhAGwAeQBzAGkAcwBcACIALAAgAFwAIgBVAG4AaQB0AFwAIgAsACAAXAAiADIAMAAwADUALQAyADAAMAA5AFwAIgAsACAAXAAiADIAMAAxADAALQAyADAAMQA0AFwAIgAsACAAXAAiADIAMAAxADUALQAyADAAMQA5AFwAIgAsACAAXAAiADIAMAAyADAALQAyADAAMgAzAFwAIgAsACAAXAAiAEMAbwBuAHYAZQByAHQAZQBkACAAdABvACAAZgByAGEAYwB0AGkAbwBuAFwAIgA7AFwAbgAgACAAIAAgACAAIAAgACAAIAAgAFwAIgBEAG8AbQBlAHMAdABpAGMAXAAiACwAIABcACIARAByAHkAIABtAGEAdAB0AGUAcgAgAGQAaQBnAGUAcwB0AGkAYgBpAGwAaQB0AHkAXAAiACwAIABcACIAZgByAGEAYwB0AGkAbwBuAFwAIgAsACAAMAAuADgAMQAsACAAMAAuADgAMQAsACAAMAAuADgAMQAsACAAMAAuADgAMQAsACAAMAAuADgAMQA7AFwAbgAgACAAIAAgACAAIAAgACAAIAAgAFwAIgBEAG8AbQBlAHMAdABpAGMAXAAiACwAIABcACIAQwByAHUAZABlACAAcAByAG8AdABlAGkAbgBcACIALAAgAFwAIgBmAHIAYQBjAHQAaQBvAG4AXAAiACwAIAAwAC4AMQA0ACwAIAAwAC4AMQA0ACwAIAAwAC4AMQA0ACwAIAAwAC4AMQA0ACwAIAAwAC4AMQA0ADsAXABuACAAIAAgACAAIAAgACAAIAAgACAAXAAiAEQAbwBtAGUAcwB0AGkAYwBcACIALAAgAFwAIgBOAEQARgBcACIALAAgAFwAIgBwAGUAcgAgAGMAZQBuAHQAXAAiACwAIAAyADMALgAwACwAIAAyADIALgAwACwAIAAyADIALgAwACwAIAAyADIALgAwACwAIAAwAC4AMgAyADsAXABuACAAIAAgACAAIAAgACAAIAAgACAAXAAiAEQAbwBtAGUAcwB0AGkAYwBcACIALAAgAFwAIgBFAHQAaABlAHIAIABFAHgAdAByAGEAYwB0AFwAIgAsACAAXAAiAHAAZQByACAAYwBlAG4AdABcACIALAAgADQALgA1ACwAIAA0AC4ANQAsACAANAAuADgALAAgADQALgA4ACwAIAAwAC4AMAA0ADgAOwBcAG4AIAAgACAAIAAgACAAIAAgACAAIABcACIATQBpAGQALQBmAGUAZABcACIALAAgAFwAIgBEAHIAeQAgAG0AYQB0AHQAZQByACAAZABpAGcAZQBzAHQAaQBiAGkAbABpAHQAeQBcACIALAAgAFwAIgBmAHIAYQBjAHQAaQBvAG4AXAAiACwAIAAwAC4AOAAxACwAIAAwAC4AOAAxACwAIAAwAC4AOAAxACwAIAAwAC4AOAAxACwAIAAwAC4AOAAxADsAXABuACAAIAAgACAAIAAgACAAIAAgACAAXAAiAE0AaQBkAC0AZgBlAGQAXAAiACwAIABcACIAQwByAHUAZABlACAAcAByAG8AdABlAGkAbgBcACIALAAgAFwAIgBmAHIAYQBjAHQAaQBvAG4AXAAiACwAIAAwAC4AMQAzACwAIAAwAC4AMQAyADUALAAgADAALgAxADIALAAgADAALgAxADIALAAgADAALgAxADIAOwBcAG4AIAAgACAAIAAgACAAIAAgACAAIABcACIATQBpAGQALQBmAGUAZABcACIALAAgAFwAIgBOAEQARgBcACIALAAgAFwAIgBwAGUAcgAgAGMAZQBuAHQAXAAiACwAIAAyADQALgAwACwAIAAyADIALgAwACwAIAAyADIALgAwACwAIAAyADIALgAwACwAIAAwAC4AMgAyADsAXABuACAAIAAgACAAIAAgACAAIAAgACAAXAAiAE0AaQBkAC0AZgBlAGQAXAAiACwAIABcACIARQB0AGgAZQByACAARQB4AHQAcgBhAGMAdABcACIALAAgAFwAIgBwAGUAcgAgAGMAZQBuAHQAXAAiACwAIAA1AC4AMAAsACAANQAuADAALAAgADUALgAwACwAIAA1AC4AMAAsACAAMAAuADAANQA7AFwAbgAgACAAIAAgACAAIAAgACAAIAAgAFwAIgBMAG8AbgBnAC0ARgBlAGQAXAAiACwAIABcACIARAByAHkAIABtAGEAdAB0AGUAcgAgAGQAaQBnAGUAcwB0AGkAYgBpAGwAaQB0AHkAXAAiACwAIABcACIAZgByAGEAYwB0AGkAbwBuAFwAIgAsACAAMAAuADgAMQAsACAAMAAuADgAMQAsACAAMAAuADgAMQAsACAAMAAuADgAMQAsACAAMAAuADgAMQA7AFwAbgAgACAAIAAgACAAIAAgACAAIAAgAFwAIgBMAG8AbgBnAC0ARgBlAGQAXAAiACwAIABcACIAQwByAHUAZABlACAAcAByAG8AdABlAGkAbgBcACIALAAgAFwAIgBmAHIAYQBjAHQAaQBvAG4AXAAiACwAIAAwAC4AMQAzACwAIAAwAC4AMQAyADUALAAgADAALgAxADIALAAgADAALgAxADIALAAgADAALgAxADIAOwBcAG4AIAAgACAAIAAgACAAIAAgACAAIABcACIATABvAG4AZwAtAEYAZQBkAFwAIgAsACAAXAAiAE4ARABGAFwAIgAsACAAXAAiAHAAZQByACAAYwBlAG4AdABcACIALAAgADIANAAuADAALAAgADIANAAuADAALAAgADIANAAuADAALAAgADIANAAuADAALAAgADAALgAyADQAOwBcAG4AIAAgACAAIAAgACAAIAAgACAAIABcACIATABvAG4AZwAtAEYAZQBkAFwAIgAsACAAXAAiAEUAdABoAGUAcgAgAEUAeAB0AHIAYQBjAHQAXAAiACwAIABcACIAcABlAHIAIABjAGUAbgB0AFwAIgAsACAANQAuADAALAAgADUALgAwACwAIAA1AC4ANQAsACAANQAuADUALAAgADAALgAwADUANQBcAG4AIAAgACAAIAAgACAAIAAgAH0ALAAgAHIALAAgAGMAKQBcAG4AIAAgACAAIAAgACAAKQBcAG4AIAAgACAAIAApAFwAbgAgACAAKQA7AFwAbgBcAG4AXABuAC8AKgAgAFwAbgAtAC0ALQAtAC0ALQAtAC0ALQAtAC0ALQAtAC0ALQAtAC0ALQAtAC0ALQAtAC0ALQAtAC0ALQAtAC0ALQAtAC0ALQAtAC0ALQAtAC0AXABuAFMAbwB1AHIAYwBlAEQAYQB0AGEAXwBGAGUAZQBkAGwAbwB0AF8ATQBDAEYAXABuAFQAYQBiAGwAZQAgAEEALgAxAC4AMQAuADQAOgAgAEIAZQBlAGYAIABmAGUAZQBkAGwAbwB0ACAAYwBhAHQAdABsAGUAIAAtACAATQBDAEYAcwAgACgAZgByAGEAYwB0AGkAbwBuACkAIAAoAE0AQwBGAGkAbQBUACkAXABuAC0ALQAtAC0ALQAtAC0ALQAtAC0ALQAtAC0ALQAtAC0ALQAtAC0ALQAtAC0ALQAtAC0ALQAtAC0ALQAtAC0ALQAtAC0ALQAtAC0ALQBcAG4AKgAvAFwAbgBcAG4AUwBvAHUAcgBjAGUARABhAHQAYQBfAEYAZQBlAGQAbABvAHQAXwBNAEMARgBfAFQAaQB0AGwAZQBcAG4AIAAgAD0ATABBAE0AQgBEAEEAKABcACIARgBlAGUAZABsAG8AdAAgAC0AIABNAEMARgBzAFwAIgApADsAXABuAFwAbgBTAG8AdQByAGMAZQBEAGEAdABhAF8ARgBlAGUAZABsAG8AdABfAE0AQwBGAF8AVQBuAGkAdABcAG4AIAAgAD0ATABBAE0AQgBEAEEAKABcACIAXAAiACkAOwBcAG4AXABuAFMAbwB1AHIAYwBlAEQAYQB0AGEAXwBGAGUAZQBkAGwAbwB0AF8ATQBDAEYAXwBTAG8AdQByAGMAZQBcAG4AIAAgAD0ATABBAE0AQgBEAEEAKABcACIAVgBFAEUAUgBHACAAMgAwADIANgA6ACAAVABhAGIAbABlACAAQQAuADEALgAxAC4ANAA6ACAAQgBlAGUAZgAgAGYAZQBlAGQAbABvAHQAIABjAGEAdAB0AGwAZQAgAC0AIABNAEMARgBzACAAKABmAHIAYQBjAHQAaQBvAG4AKQAgACgATQBDAEYAaQBtAFQAKQBcACIAKQA7AFwAbgBcAG4AUwBvAHUAcgBjAGUARABhAHQAYQBfAEYAZQBlAGQAbABvAHQAXwBNAEMARgBfAFYAYQByAGkAYQB0AGkAbwBuAFwAbgAgACAAPQBMAEEATQBCAEQAQQAoAFwAbgAgACAAIAAgAE0AQQBLAEUAQQBSAFIAQQBZACgANAAsACAAMQAsACAAXABuACAAIAAgACAAIAAgAEwAQQBNAEIARABBACgAcgAsAGMALAAgAFwAbgAgACAAIAAgACAAIAAgACAASQBOAEQARQBYACgAewBcAG4AIAAgACAAIAAgACAAIAAgACAAIABcACIAVgBBAFIASQBBAFQASQBPAE4AIABPAE4AIABTAE8AVQBSAEMARQA6AFwAIgA7AFwAbgAgACAAIAAgACAAIAAgACAAIAAgAFwAIgBEAHUAcABsAGkAYwBhAHQAZQBkACAATgBTAFcAIAB2AGEAbAB1AGUAcwAgAGYAbwByACAAQQBDAFQAXAAiADsAXABuACAAIAAgACAAIAAgACAAIAAgACAAXAAiAEEAZABkAGUAZAAgAE4AVAAgAGMAbwBsAHUAbQBuACAAdABoAGEAdAAgAGQAdQBwAGwAaQBjAGEAdABlAHMAIABRAEwARAAgAHYAYQBsAHUAZQBzACAAYQBzACAAcABlAHIAIABhAGQAdgBpAGMAZQAgAGYAcgBvAG0AIABzAG8AdQByAGMAZQAgAGQAYQB0AGEAIABwAHIAbwB2AGkAZABlAHIALgBcACIAOwBcAG4AIAAgACAAIAAgACAAIAAgACAAIABcACIAQQBkAGQAZQBkACAAVABBAFMAIABjAG8AbAB1AG0AbgAgAHQAaABhAHQAIABkAHUAcABsAGkAYwBhAHQAZQBzACAAVgBJAEMAIAB2AGEAbAB1AGUAcwAgAGEAcwAgAHAAZQByACAAYQBkAHYAaQBjAGUAIABmAHIAbwBtACAAcwBvAHUAcgBjAGUAIABkAGEAdABhACAAcAByAG8AdgBpAGQAZQByAC4AXAAiADsAXABuACAAIAAgACAAIAAgACAAIAAgACAAXAAiAEEAZABkAGUAZAAgAFwAdQAwADAAMgA3AE4ASQBSACAAZABlAGYAaQBuAGkAdABpAG8AbgBcAHUAMAAwADIANwAgAGMAbwBsAHUAbQBuACAAdwBpAHQAaAAgAE0ATQBTACAAbgBhAG0AZQBzACAAdABoAGEAdAAgAG0AYQB0AGMAaAAgAE4ASQBSACAAZABlAGYAaQBuAGkAdABpAG8AbgBzAC4AXAAiAFwAbgAgACAAIAAgACAAIAAgACAAfQAsACAAcgAsACAAYwApAFwAbgAgACAAIAAgACAAIAApAFwAbgAgACAAIAAgACkAXABuACAAIAApADsAXABuAFwAbgBTAG8AdQByAGMAZQBEAGEAdABhAF8ARgBlAGUAZABsAG8AdABfAE0AQwBGAF8ARABhAHQAYQBcAG4AIAAgAD0ATABBAE0AQgBEAEEAKABcAG4AIAAgACAAIABNAEEASwBFAEEAUgBSAEEAWQAoADYALAAgADEAMQAsACAAXABuACAAIAAgACAAIAAgAEwAQQBNAEIARABBACgAcgAsAGMALAAgAFwAbgAgACAAIAAgACAAIAAgACAASQBOAEQARQBYACgAewBcAG4AIAAgACAAIAAgACAAIAAgACAAIABcACIAVAByAGUAYQB0AG0AZQBuAHQAIABzAHQAYQBnAGUAIABUAFwAIgAsACAAXAAiAE0ATQBTACAAbQBcACIALAAgAFwAIgBOAFMAVwBcACIALAAgAFwAIgBBAEMAVABcACIALAAgAFwAIgBRAEwARABcACIALAAgAFwAIgBOAFQAXAAiACwAIABcACIAUwBBAFwAIgAsACAAXAAiAFYASQBDAFwAIgAsACAAXAAiAFcAQQBcACIALAAgAFwAIgBUAEEAUwBcACIALAAgAFwAIgBOAEkAUgAgAGQAZQBmAGkAbgBpAHQAaQBvAG4AXAAiADsAXABuACAAIAAgACAAIAAgACAAIAAgACAAXAAiAFAAcgBpAG0AYQByAHkAXAAiACwAIABcACIARAByAHkAIABsAG8AdAAgACgARgBlAGUAZABwAGEAZAApAFwAIgAsACAAMAAuADAAMQAsACAAMAAuADAAMQAsACAAMAAuADAAMwAsACAAMAAuADAAMwAsACAAMAAuADAAMQAsACAAMAAuADAAMQAsACAAMAAuADAAMQAsACAAMAAuADAAMQAsACAAXAAiAEQAcgB5AGwAbwB0ACAAKABmAGUAZQBkACAAcABhAGQAKQBcACIAOwAgAFwAbgAgACAAIAAgACAAIAAgACAAIAAgAFwAIgBTAGUAYwBvAG4AZABhAHIAeQBcACIALAAgAFwAIgBTAG8AbABpAGQAIABTAHQAbwByAGEAZwBlACAAKABTAHQAbwBjAGsAcABpAGwAZQApAFwAIgAsACAAMAAuADAAMgAsACAAMAAuADAAMgAsACAAMAAuADAAMgAsACAAMAAuADAAMgAsACAAMAAuADAAMgAsACAAMAAuADAAMgAsACAAMAAuADAAMgAsACAAMAAuADAAMgAsACAAXAAiAFMAbwBsAGkAZAAgAHMAdABvAHIAYQBnAGUAXAAiADsAIABcAG4AIAAgACAAIAAgACAAIAAgACAAIABcACIAUwBlAGMAbwBuAGQAYQByAHkAXAAiACwAIABcACIAQwBvAG0AcABvAHMAdABpAG4AZwAgACgAUABhAHMAcwBpAHYAZQAgAFcAaQBuAGQAcgBvAHcAKQBcACIALAAgADAALgAwADEALAAgADAALgAwADEALAAgADAALgAwADEALAAgADAALgAwADEALAAgADAALgAwADEALAAgADAALgAwADEALAAgADAALgAwADEALAAgADAALgAwADEALAAgAFwAIgBDAG8AbQBwAG8AcwB0AGkAbgBnACAAKABwAGEAcwBzAGkAdgBlACAAdwBpAG4AZAByAG8AdwApAFwAIgA7ACAAXABuACAAIAAgACAAIAAgACAAIAAgACAAXAAiAFMAZQBjAG8AbgBkAGEAcgB5AFwAIgAsACAAXAAiAEQAaQByAGUAYwB0ACAAQQBwAHAAbABpAGMAYQB0AGkAbwBuACAAdABvACAAcwBvAGkAbABcACIALAAgADAALAAgADAALAAgADAALAAgADAALAAgADAALAAgADAALAAgADAALAAgADAALAAgAFwAIgBEAGkAcgBlAGMAdAAgAGEAcABwAGwAaQBjAGEAdABpAG8AbgBcACIAOwAgAFwAbgAgACAAIAAgACAAIAAgACAAIAAgAFwAIgBUAGUAcgB0AGkAYQByAHkAXAAiACwAIABcACIAVQBuAGMAbwB2AGUAcgBlAGQAIABhAG4AYQBlAHIAbwBiAGkAYwAgAGwAYQBnAG8AbwBuACAAKABFAGYAZgBsAHUAZQBuAHQAIABwAG8AbgBkACkAXAAiACwAIAAwAC4ANwA1ACwAIAAwAC4ANwA1ACwAIAAwAC4ANwA3ACwAIAAwAC4ANwA3ACwAIAAwAC4ANwA1ACwAIAAwAC4ANwA1ACwAIAAwAC4ANwA3ACwAIAAwAC4ANwA1ACwAIABcACIAQQBuAGEAZQByAG8AYgBpAGMAIABsAGEAZwBvAG8AbgBcACIAXABuACAAIAAgACAAIAAgACAAIAB9ACwAIAByACwAIABjACkAXABuACAAIAAgACAAIAAgACkAXABuACAAIAAgACAAKQBcAG4AIAAgACkAOwBcAG4AXABuAFwAbgBcAG4ALwAqACAAXABuAC0ALQAtAC0ALQAtAC0ALQAtAC0ALQAtAC0ALQAtAC0ALQAtAC0ALQAtAC0ALQAtAC0ALQAtAC0ALQAtAC0ALQAtAC0ALQAtAC0ALQBcAG4AUwBvAHUAcgBjAGUARABhAHQAYQBfAEYAZQBlAGQAbABvAHQAXwBOAGkAdAByAG8AdQBzAE8AeABpAGQAZQBFAEYAcwBcAG4AVABhAGIAbABlACAAQQAuADEALgAxAC4ANQA6ACAAQgBlAGUAZgAgAGYAZQBlAGQAbABvAHQAIABjAGEAdAB0AGwAZQAgAC0AIABOAGkAdAByAG8AdQBzACAAbwB4AGkAZABlACAARQBGAHMAIAAoAEUARgBtAFQAKQBcAG4ALQAtAC0ALQAtAC0ALQAtAC0ALQAtAC0ALQAtAC0ALQAtAC0ALQAtAC0ALQAtAC0ALQAtAC0ALQAtAC0ALQAtAC0ALQAtAC0ALQAtAFwAbgAqAC8AXABuAFwAbgBTAG8AdQByAGMAZQBEAGEAdABhAF8ARgBlAGUAZABsAG8AdABfAE4AaQB0AHIAbwB1AHMATwB4AGkAZABlAEUARgBzAF8AVABpAHQAbABlAFwAbgAgACAAPQBMAEEATQBCAEQAQQAoAFwAIgBGAGUAZQBkAGwAbwB0ACAALQAgAE4AaQB0AHIAbwB1AHMAIABvAHgAaQBkAGUAIABFAEYAcwBcACIAKQA7AFwAbgBcAG4AUwBvAHUAcgBjAGUARABhAHQAYQBfAEYAZQBlAGQAbABvAHQAXwBOAGkAdAByAG8AdQBzAE8AeABpAGQAZQBFAEYAcwBfAFUAbgBpAHQAXABuACAAIAA9AEwAQQBNAEIARABBACgAXAAiAFwAIgApADsAXABuAFwAbgBTAG8AdQByAGMAZQBEAGEAdABhAF8ARgBlAGUAZABsAG8AdABfAE4AaQB0AHIAbwB1AHMATwB4AGkAZABlAEUARgBzAF8AUwBvAHUAcgBjAGUAXABuACAAIAA9AEwAQQBNAEIARABBACgAXAAiAFYARQBFAFIARwAgADIAMAAyADYAOgAgAFQAYQBiAGwAZQAgAEEALgAxAC4AMQAuADUAOgAgAEIAZQBlAGYAIABmAGUAZQBkAGwAbwB0ACAAYwBhAHQAdABsAGUAIAAtACAATgBpAHQAcgBvAHUAcwAgAG8AeABpAGQAZQAgAEUARgBzACAAKABFAEYAbQBUACkAXAAiACkAOwBcAG4AXABuAFMAbwB1AHIAYwBlAEQAYQB0AGEAXwBGAGUAZQBkAGwAbwB0AF8ATgBpAHQAcgBvAHUAcwBPAHgAaQBkAGUARQBGAHMAXwBWAGEAcgBpAGEAdABpAG8AbgBcAG4AIAAgAD0ATABBAE0AQgBEAEEAKABcAG4AIAAgACAAIABNAEEASwBFAEEAUgBSAEEAWQAoADIALAAgADEALAAgAFwAbgAgACAAIAAgACAAIABMAEEATQBCAEQAQQAoAHIALABjACwAIABcAG4AIAAgACAAIAAgACAAIAAgAEkATgBEAEUAWAAoAHsAXABuACAAIAAgACAAIAAgACAAIAAgACAAXAAiAFYAQQBSAEkAQQBUAEkATwBOACAATwBOACAAUwBPAFUAUgBDAEUAOgBcACIAOwBcAG4AIAAgACAAIAAgACAAIAAgACAAIABcACIAQQBkAGQAZQBkACAAXAB1ADAAMAAyADcATgBJAFIAIABkAGUAZgBpAG4AaQB0AGkAbwBuAFwAdQAwADAAMgA3ACAAYwBvAGwAdQBtAG4AIAB3AGkAdABoACAATQBNAFMAIABuAGEAbQBlAHMAIAB0AGgAYQB0ACAAbQBhAHQAYwBoACAATgBJAFIAIABkAGUAZgBpAG4AaQB0AGkAbwBuAHMALgBcACIAXABuACAAIAAgACAAIAAgACAAIAB9ACwAIAByACwAIABjACkAXABuACAAIAAgACAAIAAgACkAXABuACAAIAAgACAAKQBcAG4AIAAgACkAOwBcAG4AXABuAFMAbwB1AHIAYwBlAEQAYQB0AGEAXwBGAGUAZQBkAGwAbwB0AF8ATgBpAHQAcgBvAHUAcwBPAHgAaQBkAGUARQBGAHMAXwBEAGEAdABhAFwAbgAgACAAPQBMAEEATQBCAEQAQQAoAFwAbgAgACAAIAAgAE0AQQBLAEUAQQBSAFIAQQBZACgANgAsACAANAAsACAAXABuACAAIAAgACAAIAAgAEwAQQBNAEIARABBACgAcgAsAGMALAAgAFwAbgAgACAAIAAgACAAIAAgACAASQBOAEQARQBYACgAewBcAG4AIAAgACAAIAAgACAAIAAgACAAIABcACIAVAByAGUAYQB0AG0AZQBuAHQAIABzAHQAYQBnAGUAIABUAFwAIgAsACAAXAAiAE0ATQBTACAAbQBcACIALAAgAFwAIgBFAEYAbQBUACAAKABrAGcAIABOADIATwAtAE4ALwBrAGcAIABOACkAXAAiACwAIABcACIATgBJAFIAIABkAGUAZgBpAG4AaQB0AGkAbwBuAFwAIgA7AFwAbgAgACAAIAAgACAAIAAgACAAIAAgAFwAIgBQAHIAaQBtAGEAcgB5AFwAIgAsACAAXAAiAEQAcgB5ACAAbABvAHQAIAAoAEYAZQBlAGQAcABhAGQAKQBcACIALAAgADAALgAwADAANQA0ACwAIABcACIARAByAHkAbABvAHQAIAAoAGYAZQBlAGQAIABwAGEAZAApAFwAIgA7AFwAbgAgACAAIAAgACAAIAAgACAAIAAgAFwAIgBTAGUAYwBvAG4AZABhAHIAeQBcACIALAAgAFwAIgBTAG8AbABpAGQAIABTAHQAbwByAGEAZwBlACAAKABTAHQAbwBjAGsAcABpAGwAZQApAFwAIgAsACAAMAAuADAAMAA1ACwAIABcACIAUwBvAGwAaQBkACAAcwB0AG8AcgBhAGcAZQBcACIAOwBcAG4AIAAgACAAIAAgACAAIAAgACAAIABcACIAUwBlAGMAbwBuAGQAYQByAHkAXAAiACwAIABcACIAQwBvAG0AcABvAHMAdABpAG4AZwAgACgAUABhAHMAcwBpAHYAZQAgAFcAaQBuAGQAcgBvAHcAKQBcACIALAAgADAALgAwADEALAAgAFwAIgBDAG8AbQBwAG8AcwB0AGkAbgBnACAAKABwAGEAcwBzAGkAdgBlACAAdwBpAG4AZAByAG8AdwApAFwAIgA7AFwAbgAgACAAIAAgACAAIAAgACAAIAAgAFwAIgBTAGUAYwBvAG4AZABhAHIAeQBcACIALAAgAFwAIgBEAGkAcgBlAGMAdAAgAEEAcABwAGwAaQBjAGEAdABpAG8AbgAgAHQAbwAgAHMAbwBpAGwAXAAiACwAIAAwACwAIABcACIARABpAHIAZQBjAHQAIABhAHAAcABsAGkAYwBhAHQAaQBvAG4AXAAiADsAXABuACAAIAAgACAAIAAgACAAIAAgACAAXAAiAFQAZQByAHQAaQBhAHIAeQBcACIALAAgAFwAIgBVAG4AYwBvAHYAZQByAGUAZAAgAGEAbgBhAGUAcgBvAGIAaQBjACAAbABhAGcAbwBvAG4AIAAoAEUAZgBmAGwAdQBlAG4AdAAgAFAAbwBuAGQAKQBcACIALAAgADAALAAgAFwAIgBBAG4AYQBlAHIAbwBiAGkAYwAgAGwAYQBnAG8AbwBuAFwAIgBcAG4AIAAgACAAIAAgACAAIAAgAH0ALAAgAHIALAAgAGMAKQBcAG4AIAAgACAAIAAgACAAKQBcAG4AIAAgACAAIAApAFwAbgAgACAAKQA7AFwAbgBcAG4AXABuAFwAbgAvACoAIABcAG4ALQAtAC0ALQAtAC0ALQAtAC0ALQAtAC0ALQAtAC0ALQAtAC0ALQAtAC0ALQAtAC0ALQAtAC0ALQAtAC0ALQAtAC0ALQAtAC0ALQAtAFwAbgBTAG8AdQByAGMAZQBEAGEAdABhAF8ARgBlAGUAZABsAG8AdABfAEYAcgBhAGMATgBWAG8AbABhAHQAaQBsAGkAcwBlAGQAXABuAFQAYQBiAGwAZQAgAEEALgAxAC4AMQAuADYAOgAgAEIAZQBlAGYAIABmAGUAZQBkAGwAbwB0ACAAYwBhAHQAdABsAGUAIAAtACAARgByAGEAYwB0AGkAbwBuACAAbwBmACAATgAgAHYAbwBsAGEAdABpAGwAaQBzAGUAZAAgAGIAeQAgAE0ATQBTACAAKABGAHIAYQBjAEcAQQBTAE0AbQBUACkAXABuAC0ALQAtAC0ALQAtAC0ALQAtAC0ALQAtAC0ALQAtAC0ALQAtAC0ALQAtAC0ALQAtAC0ALQAtAC0ALQAtAC0ALQAtAC0ALQAtAC0ALQBcAG4AKgAvAFwAbgBcAG4AUwBvAHUAcgBjAGUARABhAHQAYQBfAEYAZQBlAGQAbABvAHQAXwBGAHIAYQBjAE4AVgBvAGwAYQB0AGkAbABpAHMAZQBkAF8AVABpAHQAbABlAFwAbgAgACAAPQBMAEEATQBCAEQAQQAoAFwAIgBGAGUAZQBkAGwAbwB0ACAALQAgAEYAcgBhAGMAdABpAG8AbgAgAG8AZgAgAE4AIAB2AG8AbABhAHQAaQBsAGkAcwBlAGQAIABiAHkAIABNAE0AUwAgACgARgByAGEAYwBHAEEAUwBNAG0AVAApAFwAIgApADsAXABuAFwAbgBTAG8AdQByAGMAZQBEAGEAdABhAF8ARgBlAGUAZABsAG8AdABfAEYAcgBhAGMATgBWAG8AbABhAHQAaQBsAGkAcwBlAGQAXwBVAG4AaQB0AFwAbgAgACAAPQBMAEEATQBCAEQAQQAoAFwAIgBcACIAKQA7AFwAbgBcAG4AUwBvAHUAcgBjAGUARABhAHQAYQBfAEYAZQBlAGQAbABvAHQAXwBGAHIAYQBjAE4AVgBvAGwAYQB0AGkAbABpAHMAZQBkAF8AUwBvAHUAcgBjAGUAXABuACAAIAA9AEwAQQBNAEIARABBACgAXAAiAFYARQBFAFIARwAgADIAMAAyADYAOgAgAFQAYQBiAGwAZQAgAEEALgAxAC4AMQAuADYAOgAgAEIAZQBlAGYAIABmAGUAZQBkAGwAbwB0ACAAYwBhAHQAdABsAGUAIAAtACAARgByAGEAYwB0AGkAbwBuACAAbwBmACAATgAgAHYAbwBsAGEAdABpAGwAaQBzAGUAZAAgAGIAeQAgAE0ATQBTACAAKABGAHIAYQBjAEcAQQBTAE0AbQBUACkAXAAiACkAOwBcAG4AXABuAFMAbwB1AHIAYwBlAEQAYQB0AGEAXwBGAGUAZQBkAGwAbwB0AF8ARgByAGEAYwBOAFYAbwBsAGEAdABpAGwAaQBzAGUAZABfAFYAYQByAGkAYQB0AGkAbwBuAFwAbgAgACAAPQBMAEEATQBCAEQAQQAoAFwAbgAgACAAIAAgAE0AQQBLAEUAQQBSAFIAQQBZACgAMgAsACAAMQAsACAAXABuACAAIAAgACAAIAAgAEwAQQBNAEIARABBACgAcgAsAGMALAAgAFwAbgAgACAAIAAgACAAIAAgACAASQBOAEQARQBYACgAewBcAG4AIAAgACAAIAAgACAAIAAgACAAIABcACIAVgBBAFIASQBBAFQASQBPAE4AIABPAE4AIABTAE8AVQBSAEMARQA6AFwAIgA7AFwAbgAgACAAIAAgACAAIAAgACAAIAAgAFwAIgBBAGQAZABlAGQAIABcAHUAMAAwADIANwBOAEkAUgAgAGQAZQBmAGkAbgBpAHQAaQBvAG4AXAB1ADAAMAAyADcAIABjAG8AbAB1AG0AbgAgAHcAaQB0AGgAIABNAE0AUwAgAG4AYQBtAGUAcwAgAHQAaABhAHQAIABtAGEAdABjAGgAIABOAEkAUgAgAGQAZQBmAGkAbgBpAHQAaQBvAG4AcwAuAFwAIgBcAG4AIAAgACAAIAAgACAAIAAgAH0ALAAgAHIALAAgAGMAKQBcAG4AIAAgACAAIAAgACAAKQBcAG4AIAAgACAAIAApAFwAbgAgACAAKQA7AFwAbgBcAG4AUwBvAHUAcgBjAGUARABhAHQAYQBfAEYAZQBlAGQAbABvAHQAXwBGAHIAYQBjAE4AVgBvAGwAYQB0AGkAbABpAHMAZQBkAF8ARABhAHQAYQBcAG4AIAAgAD0ATABBAE0AQgBEAEEAKABcAG4AIAAgACAAIABNAEEASwBFAEEAUgBSAEEAWQAoADYALAAgADQALAAgAFwAbgAgACAAIAAgACAAIABMAEEATQBCAEQAQQAoAHIALABjACwAIABcAG4AIAAgACAAIAAgACAAIAAgAEkATgBEAEUAWAAoAHsAXABuACAAIAAgACAAIAAgACAAIAAgACAAXAAiAFQAcgBlAGEAdABtAGUAbgB0ACAAcwB0AGEAZwBlACAAVABcACIALAAgAFwAIgBNAE0AUwAgAG0AXAAiACwAIABcACIARgByAGEAYwBHAEEAUwBNAG0AVAAgACgAawBnACAATgBIADMALQBOACAAKwAgAE4ATwB4AC0ATgApAC8AawBnACAATgBcACIALAAgAFwAIgBOAEkAUgAgAGQAZQBmAGkAbgBpAHQAaQBvAG4AXAAiADsAXABuACAAIAAgACAAIAAgACAAIAAgACAAXAAiAFAAcgBpAG0AYQByAHkAXAAiACwAIABcACIARAByAHkAIABsAG8AdAAgACgARgBlAGUAZABwAGEAZAApAFwAIgAsACAAMAAuADYALAAgAFwAIgBEAHIAeQBsAG8AdAAgACgAZgBlAGUAZAAgAHAAYQBkACkAXAAiADsAXABuACAAIAAgACAAIAAgACAAIAAgACAAXAAiAFMAZQBjAG8AbgBkAGEAcgB5AFwAIgAsACAAXAAiAFMAbwBsAGkAZAAgAFMAdABvAHIAYQBnAGUAIAAoAFMAdABvAGMAawBwAGkAbABlACkAXAAiACwAIAAwAC4AMgA1ACwAIABcACIAUwBvAGwAaQBkACAAcwB0AG8AcgBhAGcAZQBcACIAOwBcAG4AIAAgACAAIAAgACAAIAAgACAAIABcACIAUwBlAGMAbwBuAGQAYQByAHkAXAAiACwAIABcACIAQwBvAG0AcABvAHMAdABpAG4AZwAgACgAUABhAHMAcwBpAHYAZQAgAFcAaQBuAGQAcgBvAHcAKQBcACIALAAgADAALgA0ACwAIABcACIAQwBvAG0AcABvAHMAdABpAG4AZwAgACgAcABhAHMAcwBpAHYAZQAgAHcAaQBuAGQAcgBvAHcAKQBcACIAOwBcAG4AIAAgACAAIAAgACAAIAAgACAAIABcACIAUwBlAGMAbwBuAGQAYQByAHkAXAAiACwAIABcACIARABpAHIAZQBjAHQAIABBAHAAcABsAGkAYwBhAHQAaQBvAG4AIAB0AG8AIABzAG8AaQBsAFwAIgAsACAAMAAsACAAXAAiAEQAaQByAGUAYwB0ACAAYQBwAHAAbABpAGMAYQB0AGkAbwBuAFwAIgA7AFwAbgAgACAAIAAgACAAIAAgACAAIAAgAFwAIgBUAGUAcgB0AGkAYQByAHkAXAAiACwAIABcACIAVQBuAGMAbwB2AGUAcgBlAGQAIABhAG4AYQBlAHIAbwBiAGkAYwAgAGwAYQBnAG8AbwBuACAAKABFAGYAZgBsAHUAZQBuAHQAIABwAG8AbgBkACkAXAAiACwAIAAwAC4AMwA1ACwAIABcACIAQQBuAGEAZQByAG8AYgBpAGMAIABsAGEAZwBvAG8AbgBcACIAXABuACAAIAAgACAAIAAgACAAIAB9ACwAIAByACwAIABjACkAXABuACAAIAAgACAAIAAgACkAXABuACAAIAAgACAAKQBcAG4AIAAgACkAOwBcAG4AXABuACIAfQAsAHsAIgBwAGEAdABoACIAOgAiAC8AcAByAG8AagBlAGMAdABzAC8ATQBNAFMAXwBGAGUAZQBkAGwAbwB0AF8ATQBlAHQAaABhAG4AZQBfAEUAcQB1AGEAdABpAG8AbgBzACIALAAiAHQAZQB4AHQAIgA6ACIALwAqAFwAbgA9AD0APQA9AD0APQA9AD0APQA9AD0APQA9AD0APQA9AD0APQA9AD0APQA9AD0APQA9AD0APQA9AD0APQA9AD0APQA9AD0APQA9AD0APQA9AD0APQA9AD0APQA9AD0APQA9AD0APQA9AD0APQA9AD0APQA9AD0APQA9AD0APQA9AD0APQA9AD0APQA9AD0APQA9AD0APQA9AFwAbgA0AC4AMQA6ACAAQgBlAGUAZgAgAEYAZQBlAGQAbABvAHQAXABuAD0APQA9AD0APQA9AD0APQA9AD0APQA9AD0APQA9AD0APQA9AD0APQA9AD0APQA9AD0APQA9AD0APQA9AD0APQA9AD0APQA9AD0APQA9AD0APQA9AD0APQA9AD0APQA9AD0APQA9AD0APQA9AD0APQA9AD0APQA9AD0APQA9AD0APQA9AD0APQA9AD0APQA9AD0APQA9AD0AXABuADQALgAxAC4AMQAuADEAIABNAGUAdABoAG8AZAAgADEAIAAtACAATQBhAG4AdQByAGUAIABNAGUAdABoAGEAbgBlACAAQgBlAGUAZgAgAEYAZQBlAGQAbABvAHQAXABuAD0APQA9AD0APQA9AD0APQA9AD0APQA9AD0APQA9AD0APQA9AD0APQA9AD0APQA9AD0APQA9AD0APQA9AD0APQA9AD0APQA9AD0APQA9AD0APQA9AD0APQA9AD0APQA9AD0APQA9AD0APQA9AD0APQA9AD0APQA9AD0APQA9AD0APQA9AD0APQA9AD0APQA9AD0APQA9AD0AXABuACoALwBcAG4AXABuAC8AKgBcAG4ALQAtAC0ALQAtAC0ALQAtAC0ALQAtAC0ALQAtAC0ALQAtAC0ALQAtAC0ALQAtAC0ALQAtAC0ALQAtAC0ALQAtAC0ALQAtAC0ALQAtAFwAbgBWAEUARQBSAEcAXwA0AF8AMQBfADEAXwAxAF8AXwAxAF8AVABvAHQAYQBsAEEAbgBuAHUAYQBsAE0AZQB0AGgAYQBuAGUARQBtAGkAcwBzAGkAbwBuAHMAXABuAFQAbwB0AGEAbAAgAGEAbgBuAHUAYQBsACAAbQBlAHQAaABhAG4AZQAgAGUAbQBpAHMAcwBpAG8AbgBzACAAZgByAG8AbQAgAG0AYQBuAHUAcgBlACAAbQBhAG4AYQBnAGUAbQBlAG4AdABcAG4ARQBfAEMASAA0AFwAbgB0ACAAQwBIADQAXABuAHsARQB9AF8AewBDAEgANAB9AD0AXABcAHMAdQBtAF8AewBqAH0AXABcAHMAdQBtAF8AewBtAH0AXABcAHMAdQBtAF8AewBUAH0AKABEAF8AewBqAH0AXABcAHQAaQBtAGUAcwAgAE0AXwB7AGoAbQBUAH0AXABcAHQAaQBtAGUAcwAgAE4AXwB7AGoAfQApAFwAXAB0AGkAbQBlAHMAMQAwAF4AewAtADMAfQBcAG4ARABfAGoAIAA9ACAAbABlAG4AZwB0AGgAIABvAGYAIABzAHQAYQB5ACAAbwBmACAAZQBhAGMAaAAgAGMAYQB0AHQAbABlACAAZwByAG8AdQBwACAAOgAgAGQAYQB5AHMAXABuAE0AXwBqAG0AVAAgAD0AIABtAGUAdABoAGEAbgBlACAAcAByAG8AZAB1AGMAdABpAG8AbgAgAGYAcgBvAG0AIABtAGEAbgB1AHIAZQAgAHAAZQByACAAYwBhAHQAdABsAGUAIABnAHIAbwB1AHAALAAgAE0ATQBTACwAIABhAG4AZAAgAHQAcgBlAGEAdABtAGUAbgB0ACAAcwB0AGEAZwBlACAAOgAgAGsAZwAgAEMASAA0AC8AaABlAGEAZAAvAGQAYQB5AFwAbgBOAF8AagAgAD0AIABuAHUAbQBiAGUAcgBzACAAbwBmACAAYgBlAGUAZgAgAGMAYQB0AHQAbABlACAAaQBuACAAZQBhAGMAaAAgAGcAcgBvAHUAcAAgADoAIABoAGUAYQBkAFwAbgAtAC0ALQAtAC0ALQAtAC0ALQAtAC0ALQAtAC0ALQAtAC0ALQAtAC0ALQAtAC0ALQAtAC0ALQAtAC0ALQAtAC0ALQAtAC0ALQAtAC0AXABuACoALwBcAG4AXABuAFYARQBFAFIARwBfADQAXwAxAF8AMQBfADEAXwBfADEAXwBUAG8AdABhAGwAQQBuAG4AdQBhAGwATQBlAHQAaABhAG4AZQBFAG0AaQBzAHMAaQBvAG4AcwBcAG4AIAAgAD0ATABBAE0AQgBEAEEAKABcAG4AIAAgACAAIABEAF8AagAsACAATQBfAGoAbQBUACwAIABOAF8AagAsAFwAbgAgACAAIAAgACgARABfAGoAIAAqACAATQBfAGoAbQBUACAAKgAgAE4AXwBqACkAIAAqACAAMQAwACAAXgAgAC0AMwBcAG4AIAAgACkAOwBcAG4AXABuAFYARQBFAFIARwBfADQAXwAxAF8AMQBfADEAXwBfADEAXwBUAG8AdABhAGwAQQBuAG4AdQBhAGwATQBlAHQAaABhAG4AZQBFAG0AaQBzAHMAaQBvAG4AcwBfAFQAaQB0AGwAZQBcAG4AIAAgAD0ATABBAE0AQgBEAEEAKABcACIAVABvAHQAYQBsACAAYQBuAG4AdQBhAGwAIABtAGUAdABoAGEAbgBlACAAZQBtAGkAcwBzAGkAbwBuAHMAIABmAHIAbwBtACAAbQBhAG4AdQByAGUAIABtAGEAbgBhAGcAZQBtAGUAbgB0AFwAIgApADsAXABuAFwAbgBWAEUARQBSAEcAXwA0AF8AMQBfADEAXwAxAF8AXwAxAF8AVABvAHQAYQBsAEEAbgBuAHUAYQBsAE0AZQB0AGgAYQBuAGUARQBtAGkAcwBzAGkAbwBuAHMAXwBWAGEAcgBpAGEAYgBsAGUAXABuACAAIAA9AEwAQQBNAEIARABBACgAXAAiAEUAXwBDAEgANABcACIAKQA7AFwAbgBcAG4AVgBFAEUAUgBHAF8ANABfADEAXwAxAF8AMQBfAF8AMQBfAFQAbwB0AGEAbABBAG4AbgB1AGEAbABNAGUAdABoAGEAbgBlAEUAbQBpAHMAcwBpAG8AbgBzAF8AVQBuAGkAdABcAG4AIAAgAD0ATABBAE0AQgBEAEEAKABcACIAdAAgAEMASAA0AFwAIgApADsAXABuAFwAbgBWAEUARQBSAEcAXwA0AF8AMQBfADEAXwAxAF8AXwAxAF8AVABvAHQAYQBsAEEAbgBuAHUAYQBsAE0AZQB0AGgAYQBuAGUARQBtAGkAcwBzAGkAbwBuAHMAXwBTAG8AdQByAGMAZQBcAG4AIAAgAD0ATABBAE0AQgBEAEEAKABcACIAVgBFAEUAUgBHACAAMgAwADIANgA6ACAANAAuADEALgAxAC4AMQAsACAARQBxAHUAYQB0AGkAbwBuACAAKAAxACkAXAAiACkAOwBcAG4AXABuAFYARQBFAFIARwBfADQAXwAxAF8AMQBfADEAXwBfADEAXwBUAG8AdABhAGwAQQBuAG4AdQBhAGwATQBlAHQAaABhAG4AZQBFAG0AaQBzAHMAaQBvAG4AcwBfAE4ASQBSAFIAZQBmAGUAcgBlAG4AYwBlAFwAbgAgACAAPQBMAEEATQBCAEQAQQAoAFwAIgBcACIAKQA7AFwAbgBcAG4AVgBFAEUAUgBHAF8ANABfADEAXwAxAF8AMQBfAF8AMQBfAFQAbwB0AGEAbABBAG4AbgB1AGEAbABNAGUAdABoAGEAbgBlAEUAbQBpAHMAcwBpAG8AbgBzAF8ATABhAHQAZQB4AEUAcQB1AGEAdABpAG8AbgBcAG4AIAAgAD0ATABBAE0AQgBEAEEAKABcACIAewBFAH0AXwB7AEMASAA0AH0APQBcAFwAcwB1AG0AXwB7AGoAfQBcAFwAcwB1AG0AXwB7AG0AfQBcAFwAcwB1AG0AXwB7AFQAfQAoAEQAXwB7AGoAfQBcAFwAdABpAG0AZQBzACAATQBfAHsAagBtAFQAfQBcAFwAdABpAG0AZQBzACAATgBfAHsAagB9ACkAXABcAHQAaQBtAGUAcwAxADAAXgB7AC0AMwB9AFwAIgApADsAXABuAFwAbgBWAEUARQBSAEcAXwA0AF8AMQBfADEAXwAxAF8AXwAxAF8AVABvAHQAYQBsAEEAbgBuAHUAYQBsAE0AZQB0AGgAYQBuAGUARQBtAGkAcwBzAGkAbwBuAHMAXwBBAHIAZwB1AG0AZQBuAHQAcwBcAG4AIAAgAD0ATABBAE0AQgBEAEEAKABcAG4AIAAgACAAIABNAEEASwBFAEEAUgBSAEEAWQAoADMALAAgADQALABcAG4AIAAgACAAIAAgACAATABBAE0AQgBEAEEAKAByACwAYwAsAFwAbgAgACAAIAAgACAAIAAgACAASQBOAEQARQBYACgAewBcAG4AIAAgACAAIAAgACAAIAAgACAAIABcACIARABfAGoAXAAiACwAXAAiAGwAZQBuAGcAdABoACAAbwBmACAAcwB0AGEAeQAgAG8AZgAgAGUAYQBjAGgAIABjAGEAdAB0AGwAZQAgAGcAcgBvAHUAcABcACIALAAgAFwAIgBkAGEAeQBzAFwAIgAsACAAXAAiAEkAbgBwAHUAdABcACIAOwBcAG4AIAAgACAAIAAgACAAIAAgACAAIABcACIATQBfAGoAbQBUAFwAIgAsAFwAIgBtAGUAdABoAGEAbgBlACAAcAByAG8AZAB1AGMAdABpAG8AbgAgAGYAcgBvAG0AIABtAGEAbgB1AHIAZQAgAHAAZQByACAAYwBhAHQAdABsAGUAIABnAHIAbwB1AHAALAAgAE0ATQBTACwAIABhAG4AZAAgAHQAcgBlAGEAdABtAGUAbgB0ACAAcwB0AGEAZwBlAFwAIgAsACAAXAAiAGsAZwAgAEMASAA0AC8AaABlAGEAZAAvAGQAYQB5AFwAIgAsACAAXAAiAEMAYQBsAGMAdQBsAGEAdABlAGQAIABmAHIAbwBtACAANAAuADEALgAxAC4AMQAgACgAMgApACgAMwApACgANAApAFwAIgA7AFwAbgAgACAAIAAgACAAIAAgACAAIAAgAFwAIgBOAF8AagBcACIALABcACIAbgB1AG0AYgBlAHIAcwAgAG8AZgAgAGIAZQBlAGYAIABjAGEAdAB0AGwAZQAgAGkAbgAgAGUAYQBjAGgAIABnAHIAbwB1AHAAXAAiACwAIABcACIAaABlAGEAZA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NABfADEAXwAxAF8AMQBfAF8AMgBfAFMAdABhAGcAZQAxAE0AZQB0AGgAYQBuAGUAUAByAG8AZAB1AGMAdABpAG8AbgBEAHIAeQBsAG8AdABcAG4AUAByAG8AZAB1AGMAdABpAG8AbgAgAG8AZgAgAG0AZQB0AGgAYQBuAGUAIABpAG4AIAB0AHIAZQBhAHQAbQBlAG4AdAAgAHMAdABhAGcAZQAgADEAIABNAE0AUwBcAG4ATQBfAGoAbQA1AFQAMQBcAG4AawBnACAAQwBIADQALwBoAGUAYQBkAC8AZABhAHkAXABuAE0AXwB7AGoAbQA9ADUALABUAD0AMQB9AD0AVgBTAF8AewBqAH0AXABcAHQAaQBtAGUAcwAgAEIATwBcAFwAdABpAG0AZQBzACAATQBNAFMAXwB7AG0APQA1ACwAVAA9ADEAfQBcAFwAdABpAG0AZQBzACAATQBDAEYAXwB7AGkAbQA9ADUAfQBcAFwAdABpAG0AZQBzACAAXABcAHIAaABvAFwAbgBWAFMAXwBqACAAPQAgAHYAbwBsAGEAdABpAGwAZQAgAHMAbwBsAGkAZAAgAHAAcgBvAGQAdQBjAHQAaQBvAG4AIABmAHIAbwBtACAAZgBlAGUAZABsAG8AdAAgAGMAYQB0AHQAbABlACAAaQBuACAAZQBhAGMAaAAgAGcAcgBvAHUAcAAgADoAIABrAGcALwBoAGUAYQBkAC8AZABhAHkAXABuAEIATwAgAD0AIABlAG0AaQBzAHMAaQBvAG4AcwAgAHAAbwB0AGUAbgB0AGkAYQBsACAAOgAgAG0AMwAgAEMASAA0AC8AawBnACAAVgBTAFwAbgBNAE0AUwBfAG0ANQBUADEAIAA9ACAAZgByAGEAYwB0AGkAbwBuACAAbwBmACAAbQBhAG4AdQByAGUAIABpAG4AIABwAHIAaQBtAGEAcgB5ACAAcwB5AHMAdABlAG0AIABkAHIAeQBsAG8AdAAgAE0ATQBTACAAOgAgAGYAcgBhAGMAdABpAG8AbgBcAG4ATQBDAEYAXwBpAG0ANQAgAD0AIABtAGUAdABoAGEAbgBlACAAYwBvAG4AdgBlAHIAcwBpAG8AbgAgAGYAYQBjAHQAbwByACAAZgBvAHIAIABtAGUAYQBuACAAYQBuAG4AdQBhAGwAIAB0AGUAbQBwAGUAcgBhAHQAdQByAGUAIABhAG4AZAAgAGQAcgB5AGwAbwB0ACAAcwB5AHMAdABlAG0AIAA6ACAAZgByAGEAYwB0AGkAbwBuAFwAbgByAGgAbwAgAD0AIABkAGUAbgBzAGkAdAB5ACAAbwBmACAAbQBlAHQAaABhAG4AZQAgADoAIABrAGcALwBtADMAXABuAC0ALQAtAC0ALQAtAC0ALQAtAC0ALQAtAC0ALQAtAC0ALQAtAC0ALQAtAC0ALQAtAC0ALQAtAC0ALQAtAC0ALQAtAC0ALQAtAC0ALQBcAG4AKgAvAFwAbgBcAG4AVgBFAEUAUgBHAF8ANABfADEAXwAxAF8AMQBfAF8AMgBfAFMAdABhAGcAZQAxAE0AZQB0AGgAYQBuAGUAUAByAG8AZAB1AGMAdABpAG8AbgBEAHIAeQBsAG8AdABcAG4AIAAgAD0ATABBAE0AQgBEAEEAKABcAG4AIAAgACAAIABWAFMAXwBqACwAIABCAE8ALAAgAE0ATQBTAF8AbQA1AFQAMQAsACAATQBDAEYAXwBpAG0ANQAsACAAcgBoAG8ALABcAG4AIAAgACAAIABMAEUAVAAoAFwAbgAgACAAIAAgACAAIABNAEMARgBfAGkAbQA1ACwAIABJAEYAKABJAFMATgBVAE0AQgBFAFIAKABNAEMARgBfAGkAbQA1ACkALAAgAE0AQwBGAF8AaQBtADUALAAgADAAKQAsAFwAbgAgACAAIAAgACAAIABWAFMAXwBqACAAKgAgAEIATwAgACoAIABNAE0AUwBfAG0ANQBUADEAIAAqACAATQBDAEYAXwBpAG0ANQAgACoAIAByAGgAbwBcAG4AIAAgACAAIAApAFwAbgAgACAAKQA7AFwAbgBcAG4AVgBFAEUAUgBHAF8ANABfADEAXwAxAF8AMQBfAF8AMgBfAFMAdABhAGcAZQAxAE0AZQB0AGgAYQBuAGUAUAByAG8AZAB1AGMAdABpAG8AbgBEAHIAeQBsAG8AdABfAFQAaQB0AGwAZQBcAG4AIAAgAD0ATABBAE0AQgBEAEEAKABcACIAUAByAG8AZAB1AGMAdABpAG8AbgAgAG8AZgAgAG0AZQB0AGgAYQBuAGUAIABpAG4AIAB0AHIAZQBhAHQAbQBlAG4AdAAgAHMAdABhAGcAZQAgADEAIABNAE0AUwBcACIAKQA7AFwAbgBcAG4AVgBFAEUAUgBHAF8ANABfADEAXwAxAF8AMQBfAF8AMgBfAFMAdABhAGcAZQAxAE0AZQB0AGgAYQBuAGUAUAByAG8AZAB1AGMAdABpAG8AbgBEAHIAeQBsAG8AdABfAFYAYQByAGkAYQBiAGwAZQBcAG4AIAAgAD0ATABBAE0AQgBEAEEAKABcACIATQBfAGoAbQA1AFQAMQBcACIAKQA7AFwAbgBcAG4AVgBFAEUAUgBHAF8ANABfADEAXwAxAF8AMQBfAF8AMgBfAFMAdABhAGcAZQAxAE0AZQB0AGgAYQBuAGUAUAByAG8AZAB1AGMAdABpAG8AbgBEAHIAeQBsAG8AdABfAFUAbgBpAHQAXABuACAAIAA9AEwAQQBNAEIARABBACgAXAAiAGsAZwAgAEMASAA0AC8AaABlAGEAZAAvAGQAYQB5AFwAIgApADsAXABuAFwAbgBWAEUARQBSAEcAXwA0AF8AMQBfADEAXwAxAF8AXwAyAF8AUwB0AGEAZwBlADEATQBlAHQAaABhAG4AZQBQAHIAbwBkAHUAYwB0AGkAbwBuAEQAcgB5AGwAbwB0AF8AUwBvAHUAcgBjAGUAXABuACAAIAA9AEwAQQBNAEIARABBACgAXAAiAFYARQBFAFIARwAgADIAMAAyADYAOgAgADQALgAxAC4AMQAuADEALAAgAEUAcQB1AGEAdABpAG8AbgAgACgAMgApAFwAIgApADsAXABuAFwAbgBWAEUARQBSAEcAXwA0AF8AMQBfADEAXwAxAF8AXwAyAF8AUwB0AGEAZwBlADEATQBlAHQAaABhAG4AZQBQAHIAbwBkAHUAYwB0AGkAbwBuAEQAcgB5AGwAbwB0AF8ATgBJAFIAUgBlAGYAZQByAGUAbgBjAGUAXABuACAAIAA9AEwAQQBNAEIARABBACgAXAAiAFwAIgApADsAXABuAFwAbgBWAEUARQBSAEcAXwA0AF8AMQBfADEAXwAxAF8AXwAyAF8AUwB0AGEAZwBlADEATQBlAHQAaABhAG4AZQBQAHIAbwBkAHUAYwB0AGkAbwBuAEQAcgB5AGwAbwB0AF8ATABhAHQAZQB4AEUAcQB1AGEAdABpAG8AbgBcAG4AIAAgAD0ATABBAE0AQgBEAEEAKABcACIATQBfAHsAagBtAD0ANQAsAFQAPQAxAH0APQBWAFMAXwB7AGoAfQBcAFwAdABpAG0AZQBzACAAQgBPAFwAXAB0AGkAbQBlAHMAIABNAE0AUwBfAHsAbQA9ADUALABUAD0AMQB9AFwAXAB0AGkAbQBlAHMAIABNAEMARgBfAHsAaQBtAD0ANQB9AFwAXAB0AGkAbQBlAHMAIABcAFwAcgBoAG8AXAAiACkAOwBcAG4AXABuAFYARQBFAFIARwBfADQAXwAxAF8AMQBfADEAXwBfADIAXwBTAHQAYQBnAGUAMQBNAGUAdABoAGEAbgBlAFAAcgBvAGQAdQBjAHQAaQBvAG4ARAByAHkAbABvAHQAXwBBAHIAZwB1AG0AZQBuAHQAcwBcAG4AIAAgAD0ATABBAE0AQgBEAEEAKABcAG4AIAAgACAAIABNAEEASwBFAEEAUgBSAEEAWQAoADYALAAgADQALABcAG4AIAAgACAAIAAgACAATABBAE0AQgBEAEEAKAByACwAYwAsAFwAbgAgACAAIAAgACAAIAAgACAASQBOAEQARQBYACgAewBcAG4AIAAgACAAIAAgACAAIAAgACAAIABcACIAVgBTAF8AagBcACIALABcACIAdgBvAGwAYQB0AGkAbABlACAAcwBvAGwAaQBkACAAcAByAG8AZAB1AGMAdABpAG8AbgAgAGYAcgBvAG0AIABmAGUAZQBkAGwAbwB0ACAAYwBhAHQAdABsAGUAIABpAG4AIABlAGEAYwBoACAAZwByAG8AdQBwAFwAIgAsACAAXAAiAGsAZwAvAGgAZQBhAGQALwBkAGEAeQBcACIALAAgAFwAIgBDAGEAbABjAHUAbABhAHQAZQBkACAAZgByAG8AbQAgADQALgAxAC4AMQAuADEAIAAoADUAKQBcACIAOwBcAG4AIAAgACAAIAAgACAAIAAgACAAIABcACIAQgBPAFwAIgAsAFwAIgBlAG0AaQBzAHMAaQBvAG4AcwAgAHAAbwB0AGUAbgB0AGkAYQBsAFwAIgAsACAAXAAiAG0AMwAgAEMASAA0AC8AawBnACAAVgBTAFwAIgAsACAAXAAiAEMAbwBuAHMAdABhAG4AdABcACIAOwBcAG4AIAAgACAAIAAgACAAIAAgACAAIABcACIATQBNAFMAXwBtADUAVAAxAFwAIgAsAFwAIgBmAHIAYQBjAHQAaQBvAG4AIABvAGYAIABtAGEAbgB1AHIAZQAgAGkAbgAgAHAAcgBpAG0AYQByAHkAIABzAHkAcwB0AGUAbQAgAGQAcgB5AGwAbwB0ACAATQBNAFMAXAAiACwAIABcACIAZgByAGEAYwB0AGkAbwBuAFwAIgAsACAAXAAiAEkAbgBwAHUAdABcACIAOwBcAG4AIAAgACAAIAAgACAAIAAgACAAIABcACIATQBDAEYAXwBpAG0ANQBcACIALABcACIAbQBlAHQAaABhAG4AZQAgAGMAbwBuAHYAZQByAHMAaQBvAG4AIABmAGEAYwB0AG8AcgAgAGYAbwByACAAcwB0AGEAdABlACAAYQBuAGQAIABkAHIAeQBsAG8AdAAgAHMAeQBzAHQAZQBtAFwAIgAsACAAXAAiAGYAcgBhAGMAdABpAG8AbgBcACIALAAgAFwAIgBDAG8AbgBzAHQAYQBuAHQAXAAiADsAXABuACAAIAAgACAAIAAgACAAIAAgACAAXAAiAHIAaABvAFwAIgAsAFwAIgBkAGUAbgBzAGkAdAB5ACAAbwBmACAAbQBlAHQAaABhAG4AZQBcACIALAAgAFwAIgBrAGcALwBtADMAXAAiACwAIABcACIAQwBvAG4AcwB0AGEAbgB0AFwAIgA7AFwAbgAgACAAIAAgACAAIAAgACAAIAAgAFwAIgBpAFwAIgAsACAAXAAiAHMAdABhAHQAZQBcACIALAAgAFwAIgBcACIALAAgAFwAIgBJAG4AcAB1AHQAXAAiAFwAbgAgACAAIAAgACAAIAAgACAAfQAsACAAcgAsACAAYwApAFwAbgAgACAAIAAgACAAIAApAFwAbgAgACAAIAAgACkAXABuACAAIAApADsAXABuAFwAbgBWAEUARQBSAEcAXwA0AF8AMQBfADEAXwAxAF8AXwAyAF8AUwB0AGEAZwBlADEATQBlAHQAaABhAG4AZQBQAHIAbwBkAHUAYwB0AGkAbwBuAEQAcgB5AGwAbwB0AF8AQQByAGcAdQBtAGUAbgB0AHMAXwBNAGUAdABoAG8AZAAyAFwAbgAgACAAPQBMAEEATQBCAEQAQQAoAFwAbgAgACAAIAAgAE0AQQBLAEUAQQBSAFIAQQBZACgANgAsACAANAAsAFwAbgAgACAAIAAgACAAIABMAEEATQBCAEQAQQAoAHIALABjACwAXABuACAAIAAgACAAIAAgACAAIABJAE4ARABFAFgAKAB7AFwAbgAgACAAIAAgACAAIAAgACAAIAAgAFwAIgBWAFMAXwBqAFwAIgAsAFwAIgB2AG8AbABhAHQAaQBsAGUAIABzAG8AbABpAGQAIABwAHIAbwBkAHUAYwB0AGkAbwBuACAAZgByAG8AbQAgAGYAZQBlAGQAbABvAHQAIABjAGEAdAB0AGwAZQAgAGkAbgAgAGUAYQBjAGgAIABnAHIAbwB1AHAAXAAiACwAIABcACIAawBnAC8AaABlAGEAZAAvAGQAYQB5AFwAIgAsACAAXAAiAEMAYQBsAGMAdQBsAGEAdABlAGQAIABmAHIAbwBtACAANAAuADEALgAxAC4AMQAgACgANQApAFwAIgA7AFwAbgAgACAAIAAgACAAIAAgACAAIAAgAFwAIgBCAE8AXAAiACwAXAAiAGUAbQBpAHMAcwBpAG8AbgBzACAAcABvAHQAZQBuAHQAaQBhAGwAXAAiACwAIABcACIAbQAzACAAQwBIADQALwBrAGcAIABWAFMAXAAiACwAIABcACIAQwBvAG4AcwB0AGEAbgB0AFwAIgA7AFwAbgAgACAAIAAgACAAIAAgACAAIAAgAFwAIgBNAE0AUwBfAG0ANQBUADEAXAAiACwAXAAiAGYAcgBhAGMAdABpAG8AbgAgAG8AZgAgAG0AYQBuAHUAcgBlACAAaQBuACAAcAByAGkAbQBhAHIAeQAgAHMAeQBzAHQAZQBtACAAZAByAHkAbABvAHQAIABNAE0AUwBcACIALAAgAFwAIgBmAHIAYQBjAHQAaQBvAG4AXAAiACwAIABcACIASQBuAHAAdQB0AFwAIgA7AFwAbgAgACAAIAAgACAAIAAgACAAIAAgAFwAIgBNAEMARgBfAGkAbQA1AFwAIgAsAFwAIgBtAGUAdABoAGEAbgBlACAAYwBvAG4AdgBlAHIAcwBpAG8AbgAgAGYAYQBjAHQAbwByACAAZgBvAHIAIABzAHQAYQB0AGUAIABhAG4AZAAgAGQAcgB5AGwAbwB0ACAAcwB5AHMAdABlAG0AXAAiACwAIABcACIAZgByAGEAYwB0AGkAbwBuAFwAIgAsACAAXAAiAEMAbwBuAHMAdABhAG4AdABcACIAOwBcAG4AIAAgACAAIAAgACAAIAAgACAAIABcACIAcgBoAG8AXAAiACwAXAAiAGQAZQBuAHMAaQB0AHkAIABvAGYAIABtAGUAdABoAGEAbgBlAFwAIgAsACAAXAAiAGsAZwAvAG0AMwBcACIALAAgAFwAIgBDAG8AbgBzAHQAYQBuAHQAXAAiADsAXABuACAAIAAgACAAIAAgACAAIAAgACAAXAAiAGkAXAAiACwAIABcACIAcwB0AGEAdABlAFwAIgAsACAAXAAi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0AF8AMQBfADEAXwAxAF8AXwAzAF8AUwB0AGEAZwBlADIATQBlAHQAaABhAG4AZQBQAHIAbwBkAHUAYwB0AGkAbwBuAFwAbgBQAHIAbwBkAHUAYwB0AGkAbwBuACAAbwBmACAAbQBlAHQAaABhAG4AZQAgAGkAbgAgAHQAcgBlAGEAdABtAGUAbgB0ACAAcwB0AGEAZwBlACAAMgAgAE0ATQBTAFwAbgBNAF8AagBtAFQAMgBcAG4AawBnACAAQwBIADQALwBoAGUAYQBkAC8AZABhAHkAXABuAE0AXwB7AGoAbQBUAD0AMgB9AD0AKAAxAC0AVgBTAEwAKQBcAFwAdABpAG0AZQBzACAAVgBTAF8AewBqAH0AXABcAHQAaQBtAGUAcwAgAEIATwBcAFwAdABpAG0AZQBzACAATQBNAFMAXwB7AG0AVAA9ADIAfQBcAFwAdABpAG0AZQBzACAATQBDAEYAXwB7AGkAbQB9AFwAXAB0AGkAbQBlAHMAIABcAFwAcgBoAG8AXABuAFYAUwBMACAAPQAgAGYAcgBhAGMAdABpAG8AbgAgAG8AZgAgAHYAbwBsAGEAdABpAGwAZQAgAHMAbwBsAGkAZABzACAAbABvAHMAdAAgAGQAdQByAGkAbgBnACAAcwB0AG8AcgBhAGcAZQAgAGkAbgAgAHQAaABlACAAcAByAGkAbQBhAHIAeQAgAHMAeQBzAHQAZQBtACAAOgAgAGYAcgBhAGMAdABpAG8AbgBcAG4AVgBTAF8AagAgAD0AIAB2AG8AbABhAHQAaQBsAGUAIABzAG8AbABpAGQAIABwAHIAbwBkAHUAYwB0AGkAbwBuACAAZgByAG8AbQAgAGYAZQBlAGQAbABvAHQAIABjAGEAdAB0AGwAZQAgAGkAbgAgAGUAYQBjAGgAIABnAHIAbwB1AHAAIAA6ACAAawBnAC8AaABlAGEAZAAvAGQAYQB5AFwAbgBCAE8AIAA9ACAAZQBtAGkAcwBzAGkAbwBuAHMAIABwAG8AdABlAG4AdABpAGEAbAAgADoAIABtADMAIABDAEgANAAvAGsAZwAgAFYAUwBcAG4ATQBNAFMAXwBtAFQAMgAgAD0AIABmAHIAYQBjAHQAaQBvAG4AIABvAGYAIABtAGEAbgB1AHIAZQAgAGkAbgAgAGUAYQBjAGgAIABzAGUAYwBvAG4AZABhAHIAeQAgAHMAeQBzAHQAZQBtACAAOgAgAGYAcgBhAGMAdABpAG8AbgBcAG4ATQBDAEYAXwBpAG0AIAA9ACAAbQBlAHQAaABhAG4AZQAgAGMAbwBuAHYAZQByAHMAaQBvAG4AIABmAGEAYwB0AG8AcgAgAGYAbwByACAAbQBlAGEAbgAgAGEAbgBuAHUAYQBsACAAdABlAG0AcABlAHIAYQB0AHUAcgBlACAAYQBuAGQAIABNAE0AUwAgADoAIABmAHIAYQBjAHQAaQBvAG4AXABuAHIAaABvACAAPQAgAGQAZQBuAHMAaQB0AHkAIABvAGYAIABtAGUAdABoAGEAbgBlACAAOgAgAGsAZwAvAG0AMwBcAG4ALQAtAC0ALQAtAC0ALQAtAC0ALQAtAC0ALQAtAC0ALQAtAC0ALQAtAC0ALQAtAC0ALQAtAC0ALQAtAC0ALQAtAC0ALQAtAC0ALQAtAFwAbgAqAC8AXABuAFwAbgBWAEUARQBSAEcAXwA0AF8AMQBfADEAXwAxAF8AXwAzAF8AUwB0AGEAZwBlADIATQBlAHQAaABhAG4AZQBQAHIAbwBkAHUAYwB0AGkAbwBuAFwAbgAgACAAPQBMAEEATQBCAEQAQQAoAFwAbgAgACAAIAAgAFYAUwBMACwAIABWAFMAXwBqACwAIABCAE8ALAAgAE0ATQBTAF8AbQBUADIALAAgAE0AQwBGAF8AaQBtACwAIAByAGgAbwAsAFwAbgAgACAAIAAgACgAMQAgAC0AIABWAFMATAApACAAKgAgAFYAUwBfAGoAIAAqACAAQgBPACAAKgAgAE0ATQBTAF8AbQBUADIAIAAqACAATQBDAEYAXwBpAG0AIAAqACAAcgBoAG8AXABuACAAIAApADsAXABuAFwAbgBWAEUARQBSAEcAXwA0AF8AMQBfADEAXwAxAF8AXwAzAF8AUwB0AGEAZwBlADIATQBlAHQAaABhAG4AZQBQAHIAbwBkAHUAYwB0AGkAbwBuAF8AVABpAHQAbABlAFwAbgAgACAAPQBMAEEATQBCAEQAQQAoAFwAIgBQAHIAbwBkAHUAYwB0AGkAbwBuACAAbwBmACAAbQBlAHQAaABhAG4AZQAgAGkAbgAgAHQAcgBlAGEAdABtAGUAbgB0ACAAcwB0AGEAZwBlACAAMgAgAE0ATQBTAFwAIgApADsAXABuAFwAbgBWAEUARQBSAEcAXwA0AF8AMQBfADEAXwAxAF8AXwAzAF8AUwB0AGEAZwBlADIATQBlAHQAaABhAG4AZQBQAHIAbwBkAHUAYwB0AGkAbwBuAF8AVgBhAHIAaQBhAGIAbABlAFwAbgAgACAAPQBMAEEATQBCAEQAQQAoAFwAIgBNAF8AagBtAFQAMgBcACIAKQA7AFwAbgBcAG4AVgBFAEUAUgBHAF8ANABfADEAXwAxAF8AMQBfAF8AMwBfAFMAdABhAGcAZQAyAE0AZQB0AGgAYQBuAGUAUAByAG8AZAB1AGMAdABpAG8AbgBfAFUAbgBpAHQAXABuACAAIAA9AEwAQQBNAEIARABBACgAXAAiAGsAZwAgAEMASAA0AC8AaABlAGEAZAAvAGQAYQB5AFwAIgApADsAXABuAFwAbgBWAEUARQBSAEcAXwA0AF8AMQBfADEAXwAxAF8AXwAzAF8AUwB0AGEAZwBlADIATQBlAHQAaABhAG4AZQBQAHIAbwBkAHUAYwB0AGkAbwBuAF8AUwBvAHUAcgBjAGUAXABuACAAIAA9AEwAQQBNAEIARABBACgAXAAiAFYARQBFAFIARwAgADIAMAAyADYAOgAgADQALgAxAC4AMQAuADEALAAgAEUAcQB1AGEAdABpAG8AbgAgACgAMwApAFwAIgApADsAXABuAFwAbgBWAEUARQBSAEcAXwA0AF8AMQBfADEAXwAxAF8AXwAzAF8AUwB0AGEAZwBlADIATQBlAHQAaABhAG4AZQBQAHIAbwBkAHUAYwB0AGkAbwBuAF8ATgBJAFIAUgBlAGYAZQByAGUAbgBjAGUAXABuACAAIAA9AEwAQQBNAEIARABBACgAXAAiAFwAIgApADsAXABuAFwAbgBWAEUARQBSAEcAXwA0AF8AMQBfADEAXwAxAF8AXwAzAF8AUwB0AGEAZwBlADIATQBlAHQAaABhAG4AZQBQAHIAbwBkAHUAYwB0AGkAbwBuAF8ATABhAHQAZQB4AEUAcQB1AGEAdABpAG8AbgBcAG4AIAAgAD0ATABBAE0AQgBEAEEAKABcACIATQBfAHsAagBtAFQAPQAyAH0APQAoADEALQBWAFMATAApAFwAXAB0AGkAbQBlAHMAIABWAFMAXwB7AGoAfQBcAFwAdABpAG0AZQBzACAAQgBPAFwAXAB0AGkAbQBlAHMAIABNAE0AUwBfAHsAbQBUAD0AMgB9AFwAXAB0AGkAbQBlAHMAIABNAEMARgBfAHsAaQBtAH0AXABcAHQAaQBtAGUAcwAgAFwAXAByAGgAbwBcACIAKQA7AFwAbgBcAG4AVgBFAEUAUgBHAF8ANABfADEAXwAxAF8AMQBfAF8AMwBfAFMAdABhAGcAZQAyAE0AZQB0AGgAYQBuAGUAUAByAG8AZAB1AGMAdABpAG8AbgBfAEEAcgBnAHUAbQBlAG4AdABzAFwAbgAgACAAPQBMAEEATQBCAEQAQQAoAFwAbgAgACAAIAAgAE0AQQBLAEUAQQBSAFIAQQBZACgANwAsACAANAAsAFwAbgAgACAAIAAgACAAIABMAEEATQBCAEQAQQAoAHIALABjACwAXABuACAAIAAgACAAIAAgACAAIABJAE4ARABFAFgAKAB7AFwAbgAgACAAIAAgACAAIAAgACAAIAAgAFwAIgBWAFMATABcACIALABcACIAZgByAGEAYwB0AGkAbwBuACAAbwBmACAAdgBvAGwAYQB0AGkAbABlACAAcwBvAGwAaQBkAHMAIABsAG8AcwB0ACAAZAB1AHIAaQBuAGcAIABzAHQAbwByAGEAZwBlACAAaQBuACAAdABoAGUAIABwAHIAaQBtAGEAcgB5ACAAcwB5AHMAdABlAG0AXAAiACwAIABcACIAZgByAGEAYwB0AGkAbwBuAFwAIgAsACAAXAAiAEMAbwBuAHMAdABhAG4AdABcACIAOwBcAG4AIAAgACAAIAAgACAAIAAgACAAIABcACIAVgBTAF8AagBcACIALABcACIAdgBvAGwAYQB0AGkAbABlACAAcwBvAGwAaQBkACAAcAByAG8AZAB1AGMAdABpAG8AbgAgAGYAcgBvAG0AIABmAGUAZQBkAGwAbwB0ACAAYwBhAHQAdABsAGUAIABpAG4AIABlAGEAYwBoACAAZwByAG8AdQBwAFwAIgAsACAAXAAiAGsAZwAvAGgAZQBhAGQALwBkAGEAeQBcACIALAAgAFwAIgBDAGEAbABjAHUAbABhAHQAZQBkACAAZgByAG8AbQAgADQALgAxAC4AMQAuADEAIAAoADUAKQBcACIAOwBcAG4AIAAgACAAIAAgACAAIAAgACAAIABcACIAQgBPAFwAIgAsAFwAIgBlAG0AaQBzAHMAaQBvAG4AcwAgAHAAbwB0AGUAbgB0AGkAYQBsAFwAIgAsACAAXAAiAG0AMwAgAEMASAA0AC8AawBnACAAVgBTAFwAIgAsACAAXAAiAEMAbwBuAHMAdABhAG4AdABcACIAOwBcAG4AIAAgACAAIAAgACAAIAAgACAAIABcACIATQBNAFMAXwBtAFQAMgBcACIALABcACIAZgByAGEAYwB0AGkAbwBuACAAbwBmACAAbQBhAG4AdQByAGUAIABpAG4AIABlAGEAYwBoACAAcwBlAGMAbwBuAGQAYQByAHkAIABzAHkAcwB0AGUAbQBcACIALAAgAFwAIgBmAHIAYQBjAHQAaQBvAG4AXAAiACwAIABcACIASQBuAHAAdQB0AFwAIgA7AFwAbgAgACAAIAAgACAAIAAgACAAIAAgAFwAIgBNAEMARgBfAGkAbQBcACIALABcACIAbQBlAHQAaABhAG4AZQAgAGMAbwBuAHYAZQByAHMAaQBvAG4AIABmAGEAYwB0AG8AcgAgAGYAbwByACAAcwB0AGEAdABlACAAYQBuAGQAIABNAE0AUwBcACIALAAgAFwAIgBmAHIAYQBjAHQAaQBvAG4AXAAiACwAIABcACIAQwBvAG4AcwB0AGEAbgB0AFwAIgA7AFwAbgAgACAAIAAgACAAIAAgACAAIAAgAFwAIgByAGgAbwBcACIALABcACIAZABlAG4AcwBpAHQAeQAgAG8AZgAgAG0AZQB0AGgAYQBuAGUAXAAiACwAIABcACIAawBnAC8AbQAzAFwAIgAsACAAXAAiAEMAbwBuAHMAdABhAG4AdABcACIAOwBcAG4AIAAgACAAIAAgACAAIAAgACAAIABcACIAaQBcACIALAAgAFwAIgBzAHQAYQB0AGUAXAAiACwAIABcACIAXAAiACwAIABcACIASQBuAHAAdQB0AFwAIgBcAG4AIAAgACAAIAAgACAAIAAgAH0ALAAgAHIALAAgAGMAKQBcAG4AIAAgACAAIAAgACAAKQBcAG4AIAAgACAAIAApAFwAbgAgACAAKQA7AFwAbgBcAG4AVgBFAEUAUgBHAF8ANABfADEAXwAxAF8AMQBfAF8AMwBfAFMAdABhAGcAZQAyAE0AZQB0AGgAYQBuAGUAUAByAG8AZAB1AGMAdABpAG8AbgBfAEEAcgBnAHUAbQBlAG4AdABzAF8ATQBlAHQAaABvAGQAMgBcAG4AIAAgAD0ATABBAE0AQgBEAEEAKABcAG4AIAAgACAAIABNAEEASwBFAEEAUgBSAEEAWQAoADcALAAgADQALABcAG4AIAAgACAAIAAgACAATABBAE0AQgBEAEEAKAByACwAYwAsAFwAbgAgACAAIAAgACAAIAAgACAASQBOAEQARQBYACgAewBcAG4AIAAgACAAIAAgACAAIAAgACAAIABcACIAVgBTAEwAXAAiACwAXAAiAGYAcgBhAGMAdABpAG8AbgAgAG8AZgAgAHYAbwBsAGEAdABpAGwAZQAgAHMAbwBsAGkAZABzACAAbABvAHMAdAAgAGQAdQByAGkAbgBnACAAcwB0AG8AcgBhAGcAZQAgAGkAbgAgAHQAaABlACAAcAByAGkAbQBhAHIAeQAgAHMAeQBzAHQAZQBtAFwAIgAsACAAXAAiAGYAcgBhAGMAdABpAG8AbgBcACIALAAgAFwAIgBDAG8AbgBzAHQAYQBuAHQAXAAiADsAXABuACAAIAAgACAAIAAgACAAIAAgACAAXAAiAFYAUwBfAGoAXAAiACwAXAAiAHYAbwBsAGEAdABpAGwAZQAgAHMAbwBsAGkAZAAgAHAAcgBvAGQAdQBjAHQAaQBvAG4AIABmAHIAbwBtACAAZgBlAGUAZABsAG8AdAAgAGMAYQB0AHQAbABlACAAaQBuACAAZQBhAGMAaAAgAGcAcgBvAHUAcABcACIALAAgAFwAIgBrAGcALwBoAGUAYQBkAC8AZABhAHkAXAAiACwAIABcACIAQwBhAGwAYwB1AGwAYQB0AGUAZAAgAGYAcgBvAG0AIAA0AC4AMQAuADEALgAxACAAKAA1ACkAXAAiADsAXABuACAAIAAgACAAIAAgACAAIAAgACAAXAAiAEIATwBcACIALABcACIAZQBtAGkAcwBzAGkAbwBuAHMAIABwAG8AdABlAG4AdABpAGEAbABcACIALAAgAFwAIgBtADMAIABDAEgANAAvAGsAZwAgAFYAUwBcACIALAAgAFwAIgBDAG8AbgBzAHQAYQBuAHQAXAAiADsAXABuACAAIAAgACAAIAAgACAAIAAgACAAXAAiAE0ATQBTAF8AbQBUADIAXAAiACwAXAAiAGYAcgBhAGMAdABpAG8AbgAgAG8AZgAgAG0AYQBuAHUAcgBlACAAaQBuACAAZQBhAGMAaAAgAHMAZQBjAG8AbgBkAGEAcgB5ACAAcwB5AHMAdABlAG0AXAAiACwAIABcACIAZgByAGEAYwB0AGkAbwBuAFwAIgAsACAAXAAiAEkAbgBwAHUAdABcACIAOwBcAG4AIAAgACAAIAAgACAAIAAgACAAIABcACIATQBDAEYAXwBpAG0AXAAiACwAXAAiAG0AZQB0AGgAYQBuAGUAIABjAG8AbgB2AGUAcgBzAGkAbwBuACAAZgBhAGMAdABvAHIAIABmAG8AcgAgAG0AZQBhAG4AIABhAG4AbgB1AGEAbAAgAHQAZQBtAHAAZQByAGEAdAB1AHIAZQAgAGEAbgBkACAATQBNAFMAXAAiACwAIABcACIAZgByAGEAYwB0AGkAbwBuAFwAIgAsACAAXAAiAEMAbwBuAHMAdABhAG4AdABcACIAOwBcAG4AIAAgACAAIAAgACAAIAAgACAAIABcACIAcgBoAG8AXAAiACwAXAAiAGQAZQBuAHMAaQB0AHkAIABvAGYAIABtAGUAdABoAGEAbgBlAFwAIgAsACAAXAAiAGsAZwAvAG0AMwBcACIALAAgAFwAIgBDAG8AbgBzAHQAYQBuAHQAXAAiADsAXABuACAAIAAgACAAIAAgACAAIAAgACAAXAAiAGkAXAAiACwAIABcACIATQBlAGEAbgAgAGEAbgBuAHUAYQBsACAAdABlAG0AcABlAHIAYQB0AHUAcgBlAFwAIgAsACAAXAAi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0AF8AMQBfADEAXwAxAF8AXwA0AF8AUwB0AGEAZwBlADMATQBlAHQAaABhAG4AZQBQAHIAbwBkAHUAYwB0AGkAbwBuAEEAbgBhAGUAcgBvAGIAaQBjAEwAYQBnAG8AbwBuAFwAbgBQAHIAbwBkAHUAYwB0AGkAbwBuACAAbwBmACAAbQBlAHQAaABhAG4AZQAgAGkAbgAgAHQAcgBlAGEAdABtAGUAbgB0ACAAcwB0AGEAZwBlACAAMwAgAE0ATQBTAFwAbgBNAF8AagBtADEAVAAzAFwAbgBrAGcAIABDAEgANAAvAGgAZQBhAGQALwBkAGEAeQBcAG4ATQBfAHsAagBtAD0AMQAsAFQAPQAzAH0APQBWAFMAXwB7AGoAfQBcAFwAdABpAG0AZQBzACAAQgBPAFwAXAB0AGkAbQBlAHMAIABNAE0AUwBfAHsAbQA9ADEALABUAD0AMwB9AFwAXAB0AGkAbQBlAHMAIABNAEMARgBfAHsAaQBtAD0AMQB9AFwAXAB0AGkAbQBlAHMAIABcAFwAcgBoAG8AXABuAFYAUwBfAGoAIAA9ACAAdgBvAGwAYQB0AGkAbABlACAAcwBvAGwAaQBkACAAcAByAG8AZAB1AGMAdABpAG8AbgAgAGYAcgBvAG0AIABmAGUAZQBkAGwAbwB0ACAAYwBhAHQAdABsAGUAIABpAG4AIABlAGEAYwBoACAAZwByAG8AdQBwACAAOgAgAGsAZwAvAGgAZQBhAGQALwBkAGEAeQBcAG4AQgBPACAAPQAgAGUAbQBpAHMAcwBpAG8AbgBzACAAcABvAHQAZQBuAHQAaQBhAGwAIAA6ACAAbQAzACAAQwBIADQALwBrAGcAIABWAFMAXABuAE0ATQBTAF8AbQAxAFQAMwAgAD0AIABmAHIAYQBjAHQAaQBvAG4AIABvAGYAIABtAGEAbgB1AHIAZQAgAHQAbwAgAHQAZQByAHQAaQBhAHIAeQAgAGEAbgBhAGUAcgBvAGIAaQBjACAAbABhAGcAbwBvAG4AIABzAHkAcwB0AGUAbQAgADoAIABmAHIAYQBjAHQAaQBvAG4AXABuAE0AQwBGAF8AaQBtADEAIAA9ACAAbQBlAHQAaABhAG4AZQAgAGMAbwBuAHYAZQByAHMAaQBvAG4AIABmAGEAYwB0AG8AcgAgAGYAbwByACAAbQBlAGEAbgAgAGEAbgBuAHUAYQBsACAAdABlAG0AcABlAHIAYQB0AHUAcgBlACAAYQBuAGQAIABhAG4AYQBlAHIAbwBiAGkAYwAgAGwAYQBnAG8AbwBuACAAcwB5AHMAdABlAG0AIAA6ACAAZgByAGEAYwB0AGkAbwBuAFwAbgByAGgAbwAgAD0AIABkAGUAbgBzAGkAdAB5ACAAbwBmACAAbQBlAHQAaABhAG4AZQAgADoAIABrAGcALwBtADMAXABuAC0ALQAtAC0ALQAtAC0ALQAtAC0ALQAtAC0ALQAtAC0ALQAtAC0ALQAtAC0ALQAtAC0ALQAtAC0ALQAtAC0ALQAtAC0ALQAtAC0ALQBcAG4AKgAvAFwAbgBcAG4AVgBFAEUAUgBHAF8ANABfADEAXwAxAF8AMQBfAF8ANABfAFMAdABhAGcAZQAzAE0AZQB0AGgAYQBuAGUAUAByAG8AZAB1AGMAdABpAG8AbgBBAG4AYQBlAHIAbwBiAGkAYwBMAGEAZwBvAG8AbgBcAG4AIAAgAD0ATABBAE0AQgBEAEEAKABcAG4AIAAgACAAIABWAFMAXwBqACwAIABCAE8ALAAgAE0ATQBTAF8AbQAxAFQAMwAsACAATQBDAEYAXwBpAG0AMQAsACAAcgBoAG8ALABcAG4AIAAgACAAIABWAFMAXwBqACAAKgAgAEIATwAgACoAIABNAE0AUwBfAG0AMQBUADMAIAAqACAATQBDAEYAXwBpAG0AMQAgACoAIAByAGgAbwBcAG4AIAAgACkAOwBcAG4AXABuAFYARQBFAFIARwBfADQAXwAxAF8AMQBfADEAXwBfADQAXwBTAHQAYQBnAGUAMwBNAGUAdABoAGEAbgBlAFAAcgBvAGQAdQBjAHQAaQBvAG4AQQBuAGEAZQByAG8AYgBpAGMATABhAGcAbwBvAG4AXwBUAGkAdABsAGUAXABuACAAIAA9AEwAQQBNAEIARABBACgAXAAiAFAAcgBvAGQAdQBjAHQAaQBvAG4AIABvAGYAIABtAGUAdABoAGEAbgBlACAAaQBuACAAdAByAGUAYQB0AG0AZQBuAHQAIABzAHQAYQBnAGUAIAAzACAATQBNAFMAXAAiACkAOwBcAG4AXABuAFYARQBFAFIARwBfADQAXwAxAF8AMQBfADEAXwBfADQAXwBTAHQAYQBnAGUAMwBNAGUAdABoAGEAbgBlAFAAcgBvAGQAdQBjAHQAaQBvAG4AQQBuAGEAZQByAG8AYgBpAGMATABhAGcAbwBvAG4AXwBWAGEAcgBpAGEAYgBsAGUAXABuACAAIAA9AEwAQQBNAEIARABBACgAXAAiAE0AXwBqAG0AMQBUADMAXAAiACkAOwBcAG4AXABuAFYARQBFAFIARwBfADQAXwAxAF8AMQBfADEAXwBfADQAXwBTAHQAYQBnAGUAMwBNAGUAdABoAGEAbgBlAFAAcgBvAGQAdQBjAHQAaQBvAG4AQQBuAGEAZQByAG8AYgBpAGMATABhAGcAbwBvAG4AXwBVAG4AaQB0AFwAbgAgACAAPQBMAEEATQBCAEQAQQAoAFwAIgBrAGcAIABDAEgANAAvAGgAZQBhAGQALwBkAGEAeQBcACIAKQA7AFwAbgBcAG4AVgBFAEUAUgBHAF8ANABfADEAXwAxAF8AMQBfAF8ANABfAFMAdABhAGcAZQAzAE0AZQB0AGgAYQBuAGUAUAByAG8AZAB1AGMAdABpAG8AbgBBAG4AYQBlAHIAbwBiAGkAYwBMAGEAZwBvAG8AbgBfAFMAbwB1AHIAYwBlAFwAbgAgACAAPQBMAEEATQBCAEQAQQAoAFwAIgBWAEUARQBSAEcAIAAyADAAMgA2ADoAIAA0AC4AMQAuADEALgAxACwAIABFAHEAdQBhAHQAaQBvAG4AIAAoADQAKQBcACIAKQA7AFwAbgBcAG4AVgBFAEUAUgBHAF8ANABfADEAXwAxAF8AMQBfAF8ANABfAFMAdABhAGcAZQAzAE0AZQB0AGgAYQBuAGUAUAByAG8AZAB1AGMAdABpAG8AbgBBAG4AYQBlAHIAbwBiAGkAYwBMAGEAZwBvAG8AbgBfAE4ASQBSAFIAZQBmAGUAcgBlAG4AYwBlAFwAbgAgACAAPQBMAEEATQBCAEQAQQAoAFwAIgBcACIAKQA7AFwAbgBcAG4AVgBFAEUAUgBHAF8ANABfADEAXwAxAF8AMQBfAF8ANABfAFMAdABhAGcAZQAzAE0AZQB0AGgAYQBuAGUAUAByAG8AZAB1AGMAdABpAG8AbgBBAG4AYQBlAHIAbwBiAGkAYwBMAGEAZwBvAG8AbgBfAEwAYQB0AGUAeABFAHEAdQBhAHQAaQBvAG4AXABuACAAIAA9AEwAQQBNAEIARABBACgAXAAiAE0AXwB7AGoAbQA9ADEALABUAD0AMwB9AD0AVgBTAF8AewBqAH0AXABcAHQAaQBtAGUAcwAgAEIATwBcAFwAdABpAG0AZQBzACAATQBNAFMAXwB7AG0APQAxACwAVAA9ADMAfQBcAFwAdABpAG0AZQBzACAATQBDAEYAXwB7AGkAbQA9ADEAfQBcAFwAdABpAG0AZQBzACAAXABcAHIAaABvAFwAIgApADsAXABuAFwAbgBWAEUARQBSAEcAXwA0AF8AMQBfADEAXwAxAF8AXwA0AF8AUwB0AGEAZwBlADMATQBlAHQAaABhAG4AZQBQAHIAbwBkAHUAYwB0AGkAbwBuAEEAbgBhAGUAcgBvAGIAaQBjAEwAYQBnAG8AbwBuAF8AQQByAGcAdQBtAGUAbgB0AHMAXABuACAAIAA9AEwAQQBNAEIARABBACgAXABuACAAIAAgACAATQBBAEsARQBBAFIAUgBBAFkAKAA2ACwAIAA0ACwAXABuACAAIAAgACAAIAAgAEwAQQBNAEIARABBACgAcgAsAGMALABcAG4AIAAgACAAIAAgACAAIAAgAEkATgBEAEUAWAAoAHsAXABuACAAIAAgACAAIAAgACAAIAAgACAAXAAiAFYAUwBfAGoAXAAiACwAXAAiAHYAbwBsAGEAdABpAGwAZQAgAHMAbwBsAGkAZAAgAHAAcgBvAGQAdQBjAHQAaQBvAG4AIABmAHIAbwBtACAAZgBlAGUAZABsAG8AdAAgAGMAYQB0AHQAbABlACAAaQBuACAAZQBhAGMAaAAgAGcAcgBvAHUAcAAgAGoAXAAiACwAIABcACIAawBnAC8AaABlAGEAZAAvAGQAYQB5AFwAIgAsACAAXAAiAEMAYQBsAGMAdQBsAGEAdABlAGQAIABmAHIAbwBtACAANAAuADEALgAxAC4AMQAgACgANQApAFwAIgA7AFwAbgAgACAAIAAgACAAIAAgACAAIAAgAFwAIgBCAE8AXAAiACwAXAAiAGUAbQBpAHMAcwBpAG8AbgBzACAAcABvAHQAZQBuAHQAaQBhAGwAXAAiACwAIABcACIAbQAzACAAQwBIADQALwBrAGcAIABWAFMAXAAiACwAIABcACIAQwBvAG4AcwB0AGEAbgB0AFwAIgA7AFwAbgAgACAAIAAgACAAIAAgACAAIAAgAFwAIgBNAE0AUwBfAG0AMQBUADMAXAAiACwAXAAiAGYAcgBhAGMAdABpAG8AbgAgAG8AZgAgAG0AYQBuAHUAcgBlACAAdABvACAAdABlAHIAdABpAGEAcgB5ACAAYQBuAGEAZQByAG8AYgBpAGMAIABsAGEAZwBvAG8AbgAgAHMAeQBzAHQAZQBtAFwAIgAsACAAXAAiAGYAcgBhAGMAdABpAG8AbgBcACIALAAgAFwAIgBJAG4AcAB1AHQAXAAiADsAXABuACAAIAAgACAAIAAgACAAIAAgACAAXAAiAE0AQwBGAF8AaQBtADEAXAAiACwAXAAiAG0AZQB0AGgAYQBuAGUAIABjAG8AbgB2AGUAcgBzAGkAbwBuACAAZgBhAGMAdABvAHIAIABmAG8AcgAgAHMAdABhAHQAZQAgAGEAbgBkACAAYQBuAGEAZQByAG8AYgBpAGMAIABsAGEAZwBvAG8AbgAgAHMAeQBzAHQAZQBtAFwAIgAsACAAXAAiAGYAcgBhAGMAdABpAG8AbgBcACIALAAgAFwAIgBDAG8AbgBzAHQAYQBuAHQAXAAiADsAXABuACAAIAAgACAAIAAgACAAIAAgACAAXAAiAHIAaABvAFwAIgAsAFwAIgBkAGUAbgBzAGkAdAB5ACAAbwBmACAAbQBlAHQAaABhAG4AZQBcACIALAAgAFwAIgBrAGcALwBtADMAXAAiACwAIABcACIAQwBvAG4AcwB0AGEAbgB0AFwAIgA7AFwAbgAgACAAIAAgACAAIAAgACAAIAAgAFwAIgBpAFwAIgAsACAAXAAiAHMAdABhAHQAZQBcACIALAAgAFwAIgBcACIALAAgAFwAIgBJAG4AcAB1AHQAXAAiAFwAbgAgACAAIAAgACAAIAAgACAAfQAsACAAcgAsACAAYwApAFwAbgAgACAAIAAgACAAIAApAFwAbgAgACAAIAAgACkAXABuACAAIAApADsAXABuAFwAbgBWAEUARQBSAEcAXwA0AF8AMQBfADEAXwAxAF8AXwA0AF8AUwB0AGEAZwBlADMATQBlAHQAaABhAG4AZQBQAHIAbwBkAHUAYwB0AGkAbwBuAEEAbgBhAGUAcgBvAGIAaQBjAEwAYQBnAG8AbwBuAF8AQQByAGcAdQBtAGUAbgB0AHMAXwBNAGUAdABoAG8AZAAyAFwAbgAgACAAPQBMAEEATQBCAEQAQQAoAFwAbgAgACAAIAAgAE0AQQBLAEUAQQBSAFIAQQBZACgANgAsACAANAAsAFwAbgAgACAAIAAgACAAIABMAEEATQBCAEQAQQAoAHIALABjACwAXABuACAAIAAgACAAIAAgACAAIABJAE4ARABFAFgAKAB7AFwAbgAgACAAIAAgACAAIAAgACAAIAAgAFwAIgBWAFMAXwBqAFwAIgAsAFwAIgB2AG8AbABhAHQAaQBsAGUAIABzAG8AbABpAGQAIABwAHIAbwBkAHUAYwB0AGkAbwBuACAAZgByAG8AbQAgAGYAZQBlAGQAbABvAHQAIABjAGEAdAB0AGwAZQAgAGkAbgAgAGUAYQBjAGgAIABnAHIAbwB1AHAAIABqAFwAIgAsACAAXAAiAGsAZwAvAGgAZQBhAGQALwBkAGEAeQBcACIALAAgAFwAIgBDAGEAbABjAHUAbABhAHQAZQBkACAAZgByAG8AbQAgADQALgAxAC4AMQAuADEAIAAoADUAKQBcACIAOwBcAG4AIAAgACAAIAAgACAAIAAgACAAIABcACIAQgBPAFwAIgAsAFwAIgBlAG0AaQBzAHMAaQBvAG4AcwAgAHAAbwB0AGUAbgB0AGkAYQBsAFwAIgAsACAAXAAiAG0AMwAgAEMASAA0AC8AawBnACAAVgBTAFwAIgAsACAAXAAiAEMAbwBuAHMAdABhAG4AdABcACIAOwBcAG4AIAAgACAAIAAgACAAIAAgACAAIABcACIATQBNAFMAXwBtADEAVAAzAFwAIgAsAFwAIgBmAHIAYQBjAHQAaQBvAG4AIABvAGYAIABtAGEAbgB1AHIAZQAgAHQAbwAgAHQAZQByAHQAaQBhAHIAeQAgAGEAbgBhAGUAcgBvAGIAaQBjACAAbABhAGcAbwBvAG4AIABzAHkAcwB0AGUAbQBcACIALAAgAFwAIgBmAHIAYQBjAHQAaQBvAG4AXAAiACwAIABcACIASQBuAHAAdQB0AFwAIgA7AFwAbgAgACAAIAAgACAAIAAgACAAIAAgAFwAIgBNAEMARgBfAGkAbQAxAFwAIgAsAFwAIgBtAGUAdABoAGEAbgBlACAAYwBvAG4AdgBlAHIAcwBpAG8AbgAgAGYAYQBjAHQAbwByACAAZgBvAHIAIABtAGUAYQBuACAAYQBuAG4AdQBhAGwAIAB0AGUAbQBwAGUAcgBhAHQAdQByAGUAIABhAG4AZAAgAGEAbgBhAGUAcgBvAGIAaQBjACAAbABhAGcAbwBvAG4AIABzAHkAcwB0AGUAbQBcACIALAAgAFwAIgBmAHIAYQBjAHQAaQBvAG4AXAAiACwAIABcACIAQwBvAG4AcwB0AGEAbgB0AFwAIgA7AFwAbgAgACAAIAAgACAAIAAgACAAIAAgAFwAIgByAGgAbwBcACIALABcACIAZABlAG4AcwBpAHQAeQAgAG8AZgAgAG0AZQB0AGgAYQBuAGUAXAAiACwAIABcACIAawBnAC8AbQAzAFwAIgAsACAAXAAiAEMAbwBuAHMAdABhAG4AdABcACIAOwBcAG4AIAAgACAAIAAgACAAIAAgACAAIABcACIAaQBcACIALAAgAFwAIgBNAGUAYQBuACAAYQBuAG4AdQBhAGwAIAB0AGUAbQBwAGUAcgBhAHQAdQByAGUAXAAiACwAIABcACIAXAAiACwAIABcACIASQBuAHAAdQB0AFwAIgBcAG4AIAAgACAAIAAgACAAIAAgAH0ALAAgAHIALAAgAGMAKQBcAG4AIAAgACAAIAAgACAAKQBcAG4AIAAgACAAIAApAFwAbgAgACAAKQA7AFwAbgBcAG4ALwAqAFwAbgAtAC0ALQAtAC0ALQAtAC0ALQAtAC0ALQAtAC0ALQAtAC0ALQAtAC0ALQAtAC0ALQAtAC0ALQAtAC0ALQAtAC0ALQAtAC0ALQAtAC0AXABuAFYARQBFAFIARwBfADQAXwAxAF8AMQBfADEAXwBfADUAXwBWAG8AbABhAHQAaQBsAGUAUwBvAGwAaQBkAFAAcgBvAGQAdQBjAHQAaQBvAG4AXABuAFYAbwBsAGEAdABpAGwAZQAgAHMAbwBsAGkAZAAgAHAAcgBvAGQAdQBjAHQAaQBvAG4AXABuAFYAUwBfAGoAXABuAGsAZwAvAGgAZQBhAGQALwBkAGEAeQBcAG4AVgBTAF8AewBqAH0APQBJAF8AewBqAH0AXABcAHQAaQBtAGUAcwAoADEALQBEAE0ARABfAHsAagB9ACkAXABcAHQAaQBtAGUAcwAoADEALQBBACkAXABuAEkAXwBqACAAPQAgAGQAcgB5ACAAbQBhAHQAdABlAHIAIABpAG4AdABhAGsAZQAgAGYAbwByACAAZQBhAGMAaAAgAGcAcgBvAHUAcAAgADoAIABrAGcAIABEAE0ALwBoAGUAYQBkAC8AZABhAHkAXABuAEQATQBEAF8AagAgAD0AIABkAHIAeQAgAG0AYQB0AHQAZQByACAAZABpAGcAZQBzAHQAaQBiAGkAbABpAHQAeQAgAGYAbwByACAAZQBhAGMAaAAgAGcAcgBvAHUAcAAgADoAIABmAHIAYQBjAHQAaQBvAG4AXABuAEEAIAA9ACAAYQBzAGgAIABjAG8AbgB0AGUAbgB0ACAAbwBmACAAbQBhAG4AdQByAGUAIAA6ACAAZgByAGEAYwB0AGkAbwBuAFwAbgAtAC0ALQAtAC0ALQAtAC0ALQAtAC0ALQAtAC0ALQAtAC0ALQAtAC0ALQAtAC0ALQAtAC0ALQAtAC0ALQAtAC0ALQAtAC0ALQAtAC0AXABuACoALwBcAG4AXABuAFYARQBFAFIARwBfADQAXwAxAF8AMQBfADEAXwBfADUAXwBWAG8AbABhAHQAaQBsAGUAUwBvAGwAaQBkAFAAcgBvAGQAdQBjAHQAaQBvAG4AXABuACAAIAA9AEwAQQBNAEIARABBACgAXABuACAAIAAgACAASQBfAGoALAAgAEQATQBEAF8AagAsACAAQQAsAFwAbgAgACAAIAAgAEkAXwBqACAAKgAgACgAMQAgAC0AIABEAE0ARABfAGoAKQAgACoAIAAoADEAIAAtACAAQQApAFwAbgAgACAAKQA7AFwAbgBcAG4AVgBFAEUAUgBHAF8ANABfADEAXwAxAF8AMQBfAF8ANQBfAFYAbwBsAGEAdABpAGwAZQBTAG8AbABpAGQAUAByAG8AZAB1AGMAdABpAG8AbgBfAFQAaQB0AGwAZQBcAG4AIAAgAD0ATABBAE0AQgBEAEEAKABcACIAVgBvAGwAYQB0AGkAbABlACAAcwBvAGwAaQBkACAAcAByAG8AZAB1AGMAdABpAG8AbgBcACIAKQA7AFwAbgBcAG4AVgBFAEUAUgBHAF8ANABfADEAXwAxAF8AMQBfAF8ANQBfAFYAbwBsAGEAdABpAGwAZQBTAG8AbABpAGQAUAByAG8AZAB1AGMAdABpAG8AbgBfAFYAYQByAGkAYQBiAGwAZQBcAG4AIAAgAD0ATABBAE0AQgBEAEEAKABcACIAVgBTAF8AagBcACIAKQA7AFwAbgBcAG4AVgBFAEUAUgBHAF8ANABfADEAXwAxAF8AMQBfAF8ANQBfAFYAbwBsAGEAdABpAGwAZQBTAG8AbABpAGQAUAByAG8AZAB1AGMAdABpAG8AbgBfAFUAbgBpAHQAXABuACAAIAA9AEwAQQBNAEIARABBACgAXAAiAGsAZwAvAGgAZQBhAGQALwBkAGEAeQBcACIAKQA7AFwAbgBcAG4AVgBFAEUAUgBHAF8ANABfADEAXwAxAF8AMQBfAF8ANQBfAFYAbwBsAGEAdABpAGwAZQBTAG8AbABpAGQAUAByAG8AZAB1AGMAdABpAG8AbgBfAFMAbwB1AHIAYwBlAFwAbgAgACAAPQBMAEEATQBCAEQAQQAoAFwAIgBWAEUARQBSAEcAIAAyADAAMgA2ADoAIAA0AC4AMQAuADEALgAxACwAIABFAHEAdQBhAHQAaQBvAG4AIAAoADUAKQBcACIAKQA7AFwAbgBcAG4AVgBFAEUAUgBHAF8ANABfADEAXwAxAF8AMQBfAF8ANQBfAFYAbwBsAGEAdABpAGwAZQBTAG8AbABpAGQAUAByAG8AZAB1AGMAdABpAG8AbgBfAE4ASQBSAFIAZQBmAGUAcgBlAG4AYwBlAFwAbgAgACAAPQBMAEEATQBCAEQAQQAoAFwAIgBcACIAKQA7AFwAbgBcAG4AVgBFAEUAUgBHAF8ANABfADEAXwAxAF8AMQBfAF8ANQBfAFYAbwBsAGEAdABpAGwAZQBTAG8AbABpAGQAUAByAG8AZAB1AGMAdABpAG8AbgBfAEwAYQB0AGUAeABFAHEAdQBhAHQAaQBvAG4AXABuACAAIAA9AEwAQQBNAEIARABBACgAXAAiAFYAUwBfAHsAagB9AD0ASQBfAHsAagB9AFwAXAB0AGkAbQBlAHMAKAAxAC0ARABNAEQAXwB7AGoAfQApAFwAXAB0AGkAbQBlAHMAKAAxAC0AQQApAFwAIgApADsAXABuAFwAbgBWAEUARQBSAEcAXwA0AF8AMQBfADEAXwAxAF8AXwA1AF8AVgBvAGwAYQB0AGkAbABlAFMAbwBsAGkAZABQAHIAbwBkAHUAYwB0AGkAbwBuAF8AQQByAGcAdQBtAGUAbgB0AHMAXABuACAAIAA9AEwAQQBNAEIARABBACgAXABuACAAIAAgACAATQBBAEsARQBBAFIAUgBBAFkAKAAzACwAIAA0ACwAXABuACAAIAAgACAAIAAgAEwAQQBNAEIARABBACgAcgAsAGMALABcAG4AIAAgACAAIAAgACAAIAAgAEkATgBEAEUAWAAoAHsAXABuACAAIAAgACAAIAAgACAAIAAgACAAXAAiAEkAXwBqAFwAIgAsAFwAIgBkAHIAeQAgAG0AYQB0AHQAZQByACAAaQBuAHQAYQBrAGUAIABmAG8AcgAgAGUAYQBjAGgAIABnAHIAbwB1AHAAIABqAFwAIgAsACAAXAAiAGsAZwAgAEQATQAvAGgAZQBhAGQALwBkAGEAeQBcACIALAAgAFwAIgBJAG4AcAB1AHQAXAAiADsAXABuACAAIAAgACAAIAAgACAAIAAgACAAXAAiAEQATQBEAF8AagBcACIALABcACIAZAByAHkAIABtAGEAdAB0AGUAcgAgAGQAaQBnAGUAcwB0AGkAYgBpAGwAaQB0AHkAIABmAG8AcgAgAGUAYQBjAGgAIABnAHIAbwB1AHAAIABqAFwAIgAsACAAXAAiAGYAcgBhAGMAdABpAG8AbgBcACIALAAgAFwAIgBJAG4AcAB1AHQAXAAiADsAXABuACAAIAAgACAAIAAgACAAIAAgACAAXAAiAEEAXAAiACwAXAAiAGEAcwBoACAAYwBvAG4AdABlAG4AdAAgAG8AZgAgAG0AYQBuAHUAcgBlAFwAIgAsACAAXAAiAGYAcgBhAGMAdABpAG8AbgBcACIALAAgAFwAIgBDAG8AbgBzAHQAYQBuAHQAXAAiAFwAbgAgACAAIAAgACAAIAAgACAAfQAsACAAcgAsACAAYwApAFwAbgAgACAAIAAgACAAIAApAFwAbgAgACAAIAAgACkAXABuACAAIAApADsAXABuAFwAbgBcAG4AXABuAFwAbgBcAG4AXABuACIAfQAsAHsAIgBwAGEAdABoACIAOgAiAC8AcAByAG8AagBlAGMAdABzAC8ATQBNAFMAXwBGAGUAZQBkAGwAbwB0AF8ATQBhAG4AdQByAGUAQQBwAHAAbABpAGUAZABUAG8AUwBvAGkAbABzAF8ARQBxAHUAYQB0AGkAbwBuAHMAIgAsACIAdABlAHgAdAAiADoAIgAvACoAXABuAD0APQA9AD0APQA9AD0APQA9AD0APQA9AD0APQA9AD0APQA9AD0APQA9AD0APQA9AD0APQA9AD0APQA9AD0APQA9AD0APQA9AD0APQA9AD0APQA9AD0APQA9AD0APQA9AD0APQA9AD0APQA9AD0APQA9AD0APQA9AD0APQA9AD0APQA9AD0APQA9AD0APQA9AD0APQA9AD0AXABuADQALgAxADoAIABCAGUAZQBmACAARgBlAGUAZABsAG8AdABcAG4APQA9AD0APQA9AD0APQA9AD0APQA9AD0APQA9AD0APQA9AD0APQA9AD0APQA9AD0APQA9AD0APQA9AD0APQA9AD0APQA9AD0APQA9AD0APQA9AD0APQA9AD0APQA9AD0APQA9AD0APQA9AD0APQA9AD0APQA9AD0APQA9AD0APQA9AD0APQA9AD0APQA9AD0APQA9AD0APQBcAG4ANAAuADEALgAxAC4AOQAgAE0AYQBuAHUAcgBlACAAQQBwAHAAbABpAGUAZAAgAHQAbwAgAFMAbwBpAGwAcwBcAG4APQA9AD0APQA9AD0APQA9AD0APQA9AD0APQA9AD0APQA9AD0APQA9AD0APQA9AD0APQA9AD0APQA9AD0APQA9AD0APQA9AD0APQA9AD0APQA9AD0APQA9AD0APQA9AD0APQA9AD0APQA9AD0APQA9AD0APQA9AD0APQA9AD0APQA9AD0APQA9AD0APQA9AD0APQA9AD0APQBcAG4AKgAvAFwAbgBcAG4ALwAqAFwAbgAtAC0ALQAtAC0ALQAtAC0ALQAtAC0ALQAtAC0ALQAtAC0ALQAtAC0ALQAtAC0ALQAtAC0ALQAtAC0ALQAtAC0ALQAtAC0ALQAtAC0AXABuAFYARQBFAFIARwBfADQAXwAxAF8AMQBfADkAXwBfADEAXwBNAGEAcwBzAE8AZgBOAGkAdAByAG8AZwBlAG4AQQBwAHAAbABpAGUAZABUAG8AUwBvAGkAbABzAFMAYwBvAHAAZQAxAFwAbgBNAGEAcwBzACAAbwBmACAAbgBpAHQAcgBvAGcAZQBuACAAYQBwAHAAbABpAGUAZAAgAHQAbwAgAHMAbwBpAGwAcwAgAGYAbwByACAAcwBjAG8AcABlACAAMQAgAGUAbQBpAHMAcwBpAG8AbgBzAFwAbgBNAE4AUwBvAGkAbABfAHMAYwBvAHAAZQAxAFwAbgBrAGcAIABOAFwAbgBNAE4AUwBvAGkAbABfAHsAcwBjAG8AcABlADEAfQA9AFwAXABzAHUAbQBfAHsAagB9AFwAXABzAHUAbQBfAHsAbQB9AFwAXABzAHUAbQBfAHsAVAB9ACgATQBOAF8AewBqAG0AVAA9ADIALAAzAH0AXABcAHQAaQBtAGUAcwAoADEALQBFAEYAXwB7AG0AVAA9ADIALAAzAH0ALQBGAHIAYQBjAEcAQQBTAE0AXwB7AG0AVAA9ADIALAAzAH0AKQApAFwAXAB0AGkAbQBlAHMAIABQAEYAXABuAE0ATgBfAGoAbQBUADIAMwAgAD0AIABtAGEAcwBzACAAbwBmACAATgAgAGkAbgAgAHMAZQBjAG8AbgBkAGEAcgB5ACAAYQBuAGQAIAB0AGUAcgB0AGkAYQByAHkAIAB0AHIAZQBhAHQAbQBlAG4AdAAgAE0ATQBTACAAcwB0AGEAZwBlAHMAIABhAHMAIABjAGEAbABjAHUAbABhAHQAZQBkACAAZgBvAHIAIABtAGEAbgB1AHIAZQAgAG0AYQBuAGEAZwBlAG0AZQBuAHQAIAA6ACAAawBnACAATgBcAG4ARQBGAF8AbQBUADIAMwAgAD0AIABuAGkAdAByAG8AdQBzACAAbwB4AGkAZABlACAAZQBtAGkAcwBzAGkAbwBuACAAZgBhAGMAdABvAHIAIABmAG8AcgAgAGUAYQBjAGgAIABNAE0AUwAgADoAIABrAGcAIABOADIATwAtAE4ALwBrAGcAIABOAFwAbgBGAHIAYQBjAEcAQQBTAE0AXwBtAFQAMgAzACAAPQAgAGYAcgBhAGMAdABpAG8AbgAgAG8AZgAgAGEAbgBpAG0AYQBsACAAdwBhAHMAdABlACAATgAgAHYAbwBsAGEAdABpAGwAaQBzAGUAZAAgAGkAbgAgAGUAYQBjAGgAIABNAE0AUwAgAGYAbwByACAAZQBhAGMAaAAgAGMAYQB0AHQAbABlACAAZwByAG8AdQBwACAAOgAgACgAawBnACAATgBIADMALQBOACAAKwAgAE4ATwB4AC0ATgApAC8AawBnACAATgBcAG4AUABGACAAPQAgAGYAcgBhAGMAdABpAG8AbgAgAG8AZgAgAG0AYQBuAHUAcgBlACAAYQBwAHAAbABpAGUAZAAgAHQAbwAgAHMAbwBpAGwAIAB3AGkAdABoAGkAbgAgAHQAaABlACAAZgBlAGUAZABsAG8AdAAgAGIAbwB1AG4AZABhAHIAeQAgADoAIABmAHIAYQBjAHQAaQBvAG4AXABuAC0ALQAtAC0ALQAtAC0ALQAtAC0ALQAtAC0ALQAtAC0ALQAtAC0ALQAtAC0ALQAtAC0ALQAtAC0ALQAtAC0ALQAtAC0ALQAtAC0ALQBcAG4AKgAvAFwAbgBcAG4AVgBFAEUAUgBHAF8ANABfADEAXwAxAF8AOQBfAF8AMQBfAE0AYQBzAHMATwBmAE4AaQB0AHIAbwBnAGUAbgBBAHAAcABsAGkAZQBkAFQAbwBTAG8AaQBsAHMAUwBjAG8AcABlADEAXABuACAAIAA9AEwAQQBNAEIARABBACgAXABuACAAIAAgACAATQBOAF8AagBtAFQAMgAzACwAIABFAEYAXwBtAFQAMgAzACwAIABGAHIAYQBjAEcAQQBTAE0AXwBtAFQAMgAzACwAIABQAEYALABcAG4AIAAgACAAIAAoAE0ATgBfAGoAbQBUADIAMwAgACoAIAAoADEAIAAtACAARQBGAF8AbQBUADIAMwAgAC0AIABGAHIAYQBjAEcAQQBTAE0AXwBtAFQAMgAzACkAKQAgACoAIABQAEYAXABuACAAIAApADsAXABuAFwAbgBWAEUARQBSAEcAXwA0AF8AMQBfADEAXwA5AF8AXwAxAF8ATQBhAHMAcwBPAGYATgBpAHQAcgBvAGcAZQBuAEEAcABwAGwAaQBlAGQAVABvAFMAbwBpAGwAcwBTAGMAbwBwAGUAMQBfAFQAaQB0AGwAZQBcAG4AIAAgAD0ATABBAE0AQgBEAEEAKABcACIATQBhAHMAcwAgAG8AZgAgAG4AaQB0AHIAbwBnAGUAbgAgAGEAcABwAGwAaQBlAGQAIAB0AG8AIABzAG8AaQBsAHMAIABmAG8AcgAgAHMAYwBvAHAAZQAgADEAIABlAG0AaQBzAHMAaQBvAG4AcwBcACIAKQA7AFwAbgBcAG4AVgBFAEUAUgBHAF8ANABfADEAXwAxAF8AOQBfAF8AMQBfAE0AYQBzAHMATwBmAE4AaQB0AHIAbwBnAGUAbgBBAHAAcABsAGkAZQBkAFQAbwBTAG8AaQBsAHMAUwBjAG8AcABlADEAXwBWAGEAcgBpAGEAYgBsAGUAXABuACAAIAA9AEwAQQBNAEIARABBACgAXAAiAE0ATgBTAG8AaQBsAF8AcwBjAG8AcABlADEAXAAiACkAOwBcAG4AXABuAFYARQBFAFIARwBfADQAXwAxAF8AMQBfADkAXwBfADEAXwBNAGEAcwBzAE8AZgBOAGkAdAByAG8AZwBlAG4AQQBwAHAAbABpAGUAZABUAG8AUwBvAGkAbABzAFMAYwBvAHAAZQAxAF8AVQBuAGkAdABcAG4AIAAgAD0ATABBAE0AQgBEAEEAKABcACIAawBnACAATgBcACIAKQA7AFwAbgBcAG4AVgBFAEUAUgBHAF8ANABfADEAXwAxAF8AOQBfAF8AMQBfAE0AYQBzAHMATwBmAE4AaQB0AHIAbwBnAGUAbgBBAHAAcABsAGkAZQBkAFQAbwBTAG8AaQBsAHMAUwBjAG8AcABlADEAXwBTAG8AdQByAGMAZQBcAG4AIAAgAD0ATABBAE0AQgBEAEEAKABcACIAVgBFAEUAUgBHACAAMgAwADIANgA6ACAANAAuADEALgAxAC4AOQAsACAARQBxAHUAYQB0AGkAbwBuACAAKAAxACkAXAAiACkAOwBcAG4AXABuAFYARQBFAFIARwBfADQAXwAxAF8AMQBfADkAXwBfADEAXwBNAGEAcwBzAE8AZgBOAGkAdAByAG8AZwBlAG4AQQBwAHAAbABpAGUAZABUAG8AUwBvAGkAbABzAFMAYwBvAHAAZQAxAF8ATgBJAFIAUgBlAGYAZQByAGUAbgBjAGUAXABuACAAIAA9AEwAQQBNAEIARABBACgAXAAiAFwAIgApADsAXABuAFwAbgBWAEUARQBSAEcAXwA0AF8AMQBfADEAXwA5AF8AXwAxAF8ATQBhAHMAcwBPAGYATgBpAHQAcgBvAGcAZQBuAEEAcABwAGwAaQBlAGQAVABvAFMAbwBpAGwAcwBTAGMAbwBwAGUAMQBfAEwAYQB0AGUAeABFAHEAdQBhAHQAaQBvAG4AXABuACAAIAA9AEwAQQBNAEIARABBACgAXAAiAE0ATgBTAG8AaQBsAF8AewBzAGMAbwBwAGUAMQB9AD0AXABcAHMAdQBtAF8AewBqAH0AXABcAHMAdQBtAF8AewBtAH0AXABcAHMAdQBtAF8AewBUAH0AKABNAE4AXwB7AGoAbQBUAD0AMgAsADMAfQBcAFwAdABpAG0AZQBzACgAMQAtAEUARgBfAHsAbQBUAD0AMgAsADMAfQAtAEYAcgBhAGMARwBBAFMATQBfAHsAbQBUAD0AMgAsADMAfQApACkAXABcAHQAaQBtAGUAcwAgAFAARgBcACIAKQA7AFwAbgBcAG4AVgBFAEUAUgBHAF8ANABfADEAXwAxAF8AOQBfAF8AMQBfAE0AYQBzAHMATwBmAE4AaQB0AHIAbwBnAGUAbgBBAHAAcABsAGkAZQBkAFQAbwBTAG8AaQBsAHMAUwBjAG8AcABlADEAXwBBAHIAZwB1AG0AZQBuAHQAcwBcAG4AIAAgAD0ATABBAE0AQgBEAEEAKABcAG4AIAAgACAAIABNAEEASwBFAEEAUgBSAEEAWQAoADQALAAgADQALABcAG4AIAAgACAAIAAgACAATABBAE0AQgBEAEEAKAByACwAYwAsAFwAbgAgACAAIAAgACAAIAAgACAASQBOAEQARQBYACgAewBcAG4AIAAgACAAIAAgACAAIAAgACAAIABcACIATQBOAF8AagBtAFQAMgAzAFwAIgAsAFwAIgBtAGEAcwBzACAAbwBmACAATgAgAGkAbgAgAHMAZQBjAG8AbgBkAGEAcgB5ACAAYQBuAGQAIAB0AGUAcgB0AGkAYQByAHkAIAB0AHIAZQBhAHQAbQBlAG4AdAAgAE0ATQBTACAAcwB0AGEAZwBlAHMAIABhAHMAIABjAGEAbABjAHUAbABhAHQAZQBkACAAZgBvAHIAIABtAGEAbgB1AHIAZQAgAG0AYQBuAGEAZwBlAG0AZQBuAHQAXAAiACwAXAAiAGsAZwAgAE4AXAAiACwAIABcACIAQwBhAGwAYwB1AGwAYQB0AGUAZAAgAGYAcgBvAG0AIAA0AC4AMQAuADEALgAzACAAKAA2ACkAKAA4ACkAXAAiADsAXABuACAAIAAgACAAIAAgACAAIAAgACAAXAAiAEUARgBfAG0AVAAyADMAXAAiACwAXAAiAG4AaQB0AHIAbwB1AHMAIABvAHgAaQBkAGUAIABlAG0AaQBzAHMAaQBvAG4AIABmAGEAYwB0AG8AcgAgAGYAbwByACAAZQBhAGMAaAAgAE0ATQBTAFwAIgAsAFwAIgBrAGcAIABOADIATwAtAE4ALwBrAGcAIABOAFwAIgAsACAAXAAiAEMAbwBuAHMAdABhAG4AdABcACIAOwBcAG4AIAAgACAAIAAgACAAIAAgACAAIABcACIARgByAGEAYwBHAEEAUwBNAF8AbQBUADIAMwBcACIALABcACIAZgByAGEAYwB0AGkAbwBuACAAbwBmACAAYQBuAGkAbQBhAGwAIAB3AGEAcwB0AGUAIABOACAAdgBvAGwAYQB0AGkAbABpAHMAZQBkACAAaQBuACAAZQBhAGMAaAAgAE0ATQBTACAAZgBvAHIAIABlAGEAYwBoACAAYwBhAHQAdABsAGUAIABnAHIAbwB1AHAAXAAiACwAXAAiACgAawBnACAATgBIADMALQBOACAAKwAgAE4ATwB4AC0ATgApAC8AawBnACAATgBcACIALAAgAFwAIgBDAG8AbgBzAHQAYQBuAHQAXAAiADsAXABuACAAIAAgACAAIAAgACAAIAAgACAAXAAiAFAARgBcACIALABcACIAZgByAGEAYwB0AGkAbwBuACAAbwBmACAAbQBhAG4AdQByAGUAIABhAHAAcABsAGkAZQBkACAAdABvACAAcwBvAGkAbAAgAHcAaQB0AGgAaQBuACAAdABoAGUAIABmAGUAZQBkAGwAbwB0ACAAYgBvAHUAbgBkAGEAcgB5AFwAIgAsAFwAIgBmAHIAYQBjAHQAaQBvAG4AXAAiACwAIABcACIASQBuAHAAdQB0AFwAIgBcAG4AIAAgACAAIAAgACAAIAAgAH0ALAAgAHIALAAgAGMAKQBcAG4AIAAgACAAIAAgACAAKQBcAG4AIAAgACAAIAApAFwAbgAgACAAKQA7AFwAbgBcAG4ALwAqAFwAbgAtAC0ALQAtAC0ALQAtAC0ALQAtAC0ALQAtAC0ALQAtAC0ALQAtAC0ALQAtAC0ALQAtAC0ALQAtAC0ALQAtAC0ALQAtAC0ALQAtAC0AXABuAFYARQBFAFIARwBfADQAXwAxAF8AMQBfADkAXwBfADIAXwBNAGEAcwBzAE8AZgBOAGkAdAByAG8AZwBlAG4AQQBwAHAAbABpAGUAZABUAG8AUwBvAGkAbABzAFMAYwBvAHAAZQAzAFwAbgBNAGEAcwBzACAAbwBmACAAbgBpAHQAcgBvAGcAZQBuACAAYQBwAHAAbABpAGUAZAAgAHQAbwAgAHMAbwBpAGwAcwAgAGYAbwByACAAcwBjAG8AcABlACAAMwAgAGUAbQBpAHMAcwBpAG8AbgBzAFwAbgBNAE4AUwBvAGkAbABfAHMAYwBvAHAAZQAzAFwAbgBrAGcAIABOAFwAbgBNAE4AUwBvAGkAbABfAHsAcwBjAG8AcABlADMAfQA9AFwAXABzAHUAbQBfAHsAagB9AFwAXABzAHUAbQBfAHsAbQB9AFwAXABzAHUAbQBfAHsAVAB9ACgATQBOAF8AewBqAG0AVAA9ADIALAAzAH0AXABcAHQAaQBtAGUAcwAoADEALQBFAEYAXwB7AG0AVAA9ADIALAAzAH0ALQBGAHIAYQBjAEcAQQBTAE0AXwB7AG0AVAA9ADIALAAzAH0AKQApAFwAXAB0AGkAbQBlAHMAKAAxAC0AUABGACkAXABuAE0ATgBfAGoAbQBUADIAMwAgAD0AIABtAGEAcwBzACAAbwBmACAATgAgAGkAbgAgAHMAZQBjAG8AbgBkAGEAcgB5ACAAYQBuAGQAIAB0AGUAcgB0AGkAYQByAHkAIAB0AHIAZQBhAHQAbQBlAG4AdAAgAE0ATQBTACAAcwB0AGEAZwBlAHMAIABhAHMAIABjAGEAbABjAHUAbABhAHQAZQBkACAAZgBvAHIAIABtAGEAbgB1AHIAZQAgAG0AYQBuAGEAZwBlAG0AZQBuAHQAIAA6ACAAawBnACAATgBcAG4ARQBGAF8AbQBUADIAMwAgAD0AIABuAGkAdAByAG8AdQBzACAAbwB4AGkAZABlACAAZQBtAGkAcwBzAGkAbwBuACAAZgBhAGMAdABvAHIAIABmAG8AcgAgAGUAYQBjAGgAIABNAE0AUwAgADoAIABrAGcAIABOADIATwAtAE4ALwBrAGcAIABOAFwAbgBGAHIAYQBjAEcAQQBTAE0AXwBtAFQAMgAzACAAPQAgAGYAcgBhAGMAdABpAG8AbgAgAG8AZgAgAGEAbgBpAG0AYQBsACAAdwBhAHMAdABlACAATgAgAHYAbwBsAGEAdABpAGwAaQBzAGUAZAAgAGkAbgAgAGUAYQBjAGgAIABNAE0AUwAgAGYAbwByACAAZQBhAGMAaAAgAGMAYQB0AHQAbABlACAAZwByAG8AdQBwACAAOgAgACgAawBnACAATgBIADMALQBOACAAKwAgAE4ATwB4AC0ATgApAC8AawBnACAATgBcAG4AUABGACAAPQAgAGYAcgBhAGMAdABpAG8AbgAgAG8AZgAgAG0AYQBuAHUAcgBlACAAYQBwAHAAbABpAGUAZAAgAHQAbwAgAHMAbwBpAGwAIAB3AGkAdABoAGkAbgAgAHQAaABlACAAZgBlAGUAZABsAG8AdAAgAGIAbwB1AG4AZABhAHIAeQAgADoAIABmAHIAYQBjAHQAaQBvAG4AXABuAC0ALQAtAC0ALQAtAC0ALQAtAC0ALQAtAC0ALQAtAC0ALQAtAC0ALQAtAC0ALQAtAC0ALQAtAC0ALQAtAC0ALQAtAC0ALQAtAC0ALQBcAG4AKgAvAFwAbgBcAG4AVgBFAEUAUgBHAF8ANABfADEAXwAxAF8AOQBfAF8AMgBfAE0AYQBzAHMATwBmAE4AaQB0AHIAbwBnAGUAbgBBAHAAcABsAGkAZQBkAFQAbwBTAG8AaQBsAHMAUwBjAG8AcABlADMAXABuACAAIAA9AEwAQQBNAEIARABBACgAXABuACAAIAAgACAATQBOAF8AagBtAFQAMgAzACwAIABFAEYAXwBtAFQAMgAzACwAIABGAHIAYQBjAEcAQQBTAE0AXwBtAFQAMgAzACwAIABQAEYALABcAG4AIAAgACAAIAAoAE0ATgBfAGoAbQBUADIAMwAgACoAIAAoADEAIAAtACAARQBGAF8AbQBUADIAMwAgAC0AIABGAHIAYQBjAEcAQQBTAE0AXwBtAFQAMgAzACkAKQAgACoAIAAoADEAIAAtACAAUABGACkAXABuACAAIAApADsAXABuAFwAbgBWAEUARQBSAEcAXwA0AF8AMQBfADEAXwA5AF8AXwAyAF8ATQBhAHMAcwBPAGYATgBpAHQAcgBvAGcAZQBuAEEAcABwAGwAaQBlAGQAVABvAFMAbwBpAGwAcwBTAGMAbwBwAGUAMwBfAFQAaQB0AGwAZQBcAG4AIAAgAD0ATABBAE0AQgBEAEEAKABcACIATQBhAHMAcwAgAG8AZgAgAG4AaQB0AHIAbwBnAGUAbgAgAGEAcABwAGwAaQBlAGQAIAB0AG8AIABzAG8AaQBsAHMAIABmAG8AcgAgAHMAYwBvAHAAZQAgADMAIABlAG0AaQBzAHMAaQBvAG4AcwBcACIAKQA7AFwAbgBcAG4AVgBFAEUAUgBHAF8ANABfADEAXwAxAF8AOQBfAF8AMgBfAE0AYQBzAHMATwBmAE4AaQB0AHIAbwBnAGUAbgBBAHAAcABsAGkAZQBkAFQAbwBTAG8AaQBsAHMAUwBjAG8AcABlADMAXwBWAGEAcgBpAGEAYgBsAGUAXABuACAAIAA9AEwAQQBNAEIARABBACgAXAAiAE0ATgBTAG8AaQBsAF8AcwBjAG8AcABlADMAXAAiACkAOwBcAG4AXABuAFYARQBFAFIARwBfADQAXwAxAF8AMQBfADkAXwBfADIAXwBNAGEAcwBzAE8AZgBOAGkAdAByAG8AZwBlAG4AQQBwAHAAbABpAGUAZABUAG8AUwBvAGkAbABzAFMAYwBvAHAAZQAzAF8AVQBuAGkAdABcAG4AIAAgAD0ATABBAE0AQgBEAEEAKABcACIAawBnACAATgBcACIAKQA7AFwAbgBcAG4AVgBFAEUAUgBHAF8ANABfADEAXwAxAF8AOQBfAF8AMgBfAE0AYQBzAHMATwBmAE4AaQB0AHIAbwBnAGUAbgBBAHAAcABsAGkAZQBkAFQAbwBTAG8AaQBsAHMAUwBjAG8AcABlADMAXwBTAG8AdQByAGMAZQBcAG4AIAAgAD0ATABBAE0AQgBEAEEAKABcACIAVgBFAEUAUgBHACAAMgAwADIANgA6ACAANAAuADEALgAxAC4AOQAsACAARQBxAHUAYQB0AGkAbwBuACAAKAAyACkAXAAiACkAOwBcAG4AXABuAFYARQBFAFIARwBfADQAXwAxAF8AMQBfADkAXwBfADIAXwBNAGEAcwBzAE8AZgBOAGkAdAByAG8AZwBlAG4AQQBwAHAAbABpAGUAZABUAG8AUwBvAGkAbABzAFMAYwBvAHAAZQAzAF8ATgBJAFIAUgBlAGYAZQByAGUAbgBjAGUAXABuACAAIAA9AEwAQQBNAEIARABBACgAXAAiAFwAIgApADsAXABuAFwAbgBWAEUARQBSAEcAXwA0AF8AMQBfADEAXwA5AF8AXwAyAF8ATQBhAHMAcwBPAGYATgBpAHQAcgBvAGcAZQBuAEEAcABwAGwAaQBlAGQAVABvAFMAbwBpAGwAcwBTAGMAbwBwAGUAMwBfAEwAYQB0AGUAeABFAHEAdQBhAHQAaQBvAG4AXABuACAAIAA9AEwAQQBNAEIARABBACgAXAAiAE0ATgBTAG8AaQBsAF8AewBzAGMAbwBwAGUAMwB9AD0AXABcAHMAdQBtAF8AewBqAH0AXABcAHMAdQBtAF8AewBtAH0AXABcAHMAdQBtAF8AewBUAH0AKABNAE4AXwB7AGoAbQBUAD0AMgAsADMAfQBcAFwAdABpAG0AZQBzACgAMQAtAEUARgBfAHsAbQBUAD0AMgAsADMAfQAtAEYAcgBhAGMARwBBAFMATQBfAHsAbQBUAD0AMgAsADMAfQApACkAXABcAHQAaQBtAGUAcwAoADEALQBQAEYAKQBcACIAKQA7AFwAbgBcAG4AVgBFAEUAUgBHAF8ANABfADEAXwAxAF8AOQBfAF8AMgBfAE0AYQBzAHMATwBmAE4AaQB0AHIAbwBnAGUAbgBBAHAAcABsAGkAZQBkAFQAbwBTAG8AaQBsAHMAUwBjAG8AcABlADMAXwBBAHIAZwB1AG0AZQBuAHQAcwBcAG4AIAAgAD0ATABBAE0AQgBEAEEAKABcAG4AIAAgACAAIABNAEEASwBFAEEAUgBSAEEAWQAoADQALAAgADQALABcAG4AIAAgACAAIAAgACAATABBAE0AQgBEAEEAKAByACwAYwAsAFwAbgAgACAAIAAgACAAIAAgACAASQBOAEQARQBYACgAewBcAG4AIAAgACAAIAAgACAAIAAgACAAIABcACIATQBOAF8AagBtAFQAMgAzAFwAIgAsAFwAIgBtAGEAcwBzACAAbwBmACAATgAgAGkAbgAgAHMAZQBjAG8AbgBkAGEAcgB5ACAAYQBuAGQAIAB0AGUAcgB0AGkAYQByAHkAIAB0AHIAZQBhAHQAbQBlAG4AdAAgAE0ATQBTACAAcwB0AGEAZwBlAHMAIABhAHMAIABjAGEAbABjAHUAbABhAHQAZQBkACAAZgBvAHIAIABtAGEAbgB1AHIAZQAgAG0AYQBuAGEAZwBlAG0AZQBuAHQAXAAiACwAXAAiAGsAZwAgAE4AXAAiACwAIABcACIAQwBhAGwAYwB1AGwAYQB0AGUAZAAgAGYAcgBvAG0AIAA0AC4AMQAuADEALgAzACAAKAA2ACkAKAA4ACkAXAAiADsAXABuACAAIAAgACAAIAAgACAAIAAgACAAXAAiAEUARgBfAG0AVAAyADMAXAAiACwAXAAiAG4AaQB0AHIAbwB1AHMAIABvAHgAaQBkAGUAIABlAG0AaQBzAHMAaQBvAG4AIABmAGEAYwB0AG8AcgAgAGYAbwByACAAZQBhAGMAaAAgAE0ATQBTAFwAIgAsAFwAIgBrAGcAIABOADIATwAtAE4ALwBrAGcAIABOAFwAIgAsACAAXAAiAEMAbwBuAHMAdABhAG4AdABcACIAOwBcAG4AIAAgACAAIAAgACAAIAAgACAAIABcACIARgByAGEAYwBHAEEAUwBNAF8AbQBUADIAMwBcACIALABcACIAZgByAGEAYwB0AGkAbwBuACAAbwBmACAAYQBuAGkAbQBhAGwAIAB3AGEAcwB0AGUAIABOACAAdgBvAGwAYQB0AGkAbABpAHMAZQBkACAAaQBuACAAZQBhAGMAaAAgAE0ATQBTACAAZgBvAHIAIABlAGEAYwBoACAAYwBhAHQAdABsAGUAIABnAHIAbwB1AHAAXAAiACwAXAAiACgAawBnACAATgBIADMALQBOACAAKwAgAE4ATwB4AC0ATgApAC8AawBnACAATgBcACIALAAgAFwAIgBDAG8AbgBzAHQAYQBuAHQAXAAiADsAXABuACAAIAAgACAAIAAgACAAIAAgACAAXAAiAFAARgBcACIALABcACIAZgByAGEAYwB0AGkAbwBuACAAbwBmACAAbQBhAG4AdQByAGUAIABhAHAAcABsAGkAZQBkACAAdABvACAAcwBvAGkAbAAgAHcAaQB0AGgAaQBuACAAdABoAGUAIABmAGUAZQBkAGwAbwB0ACAAYgBvAHUAbgBkAGEAcgB5AFwAIgAsAFwAIgBmAHIAYQBjAHQAaQBvAG4AXAAiACwAIABcACIASQBuAHAAdQB0AFwAIgBcAG4AIAAgACAAIAAgACAAIAAgAH0ALAAgAHIALAAgAGMAKQBcAG4AIAAgACAAIAAgACAAKQBcAG4AIAAgACAAIAApAFwAbgAgACAAKQA7AFwAbgBcAG4AXABuACIAfQAsAHsAIgBwAGEAdABoACIAOgAiAC8AcAByAG8AagBlAGMAdABzAC8ATQBNAFMAXwBGAGUAZQBkAGwAbwB0AF8AQQB0AG0AbwBzAHAAaABlAHIAaQBjAEQAZQBwAG8AcwBpAHQAaQBvAG4AXwBFAHEAdQBhAHQAaQBvAG4AcwAiACwAIgB0AGUAeAB0ACIAOgAiAC8AKgBcAG4APQA9AD0APQA9AD0APQA9AD0APQA9AD0APQA9AD0APQA9AD0APQA9AD0APQA9AD0APQA9AD0APQA9AD0APQA9AD0APQA9AD0APQA9AD0APQA9AD0APQA9AD0APQA9AD0APQA9AD0APQA9AD0APQA9AD0APQA9AD0APQA9AD0APQA9AD0APQA9AD0APQA9AD0APQA9AD0APQBcAG4ANAAuADEAOgAgAEIAZQBlAGYAIABGAGUAZQBkAGwAbwB0AFwAbgA9AD0APQA9AD0APQA9AD0APQA9AD0APQA9AD0APQA9AD0APQA9AD0APQA9AD0APQA9AD0APQA9AD0APQA9AD0APQA9AD0APQA9AD0APQA9AD0APQA9AD0APQA9AD0APQA9AD0APQA9AD0APQA9AD0APQA9AD0APQA9AD0APQA9AD0APQA9AD0APQA9AD0APQA9AD0APQA9AFwAbgA0AC4AMQAuADEALgA1ACAATQBlAHQAaABvAGQAIAAxACAALQAgAE0AYQBuAHUAcgBlACAAQQB0AG0AbwBzAHAAaABlAHIAaQBjACAARABlAHAAbwBzAGkAdABpAG8AbgAgAEIAZQBlAGYAIABGAGUAZQBkAGwAbwB0AFwAbgA9AD0APQA9AD0APQA9AD0APQA9AD0APQA9AD0APQA9AD0APQA9AD0APQA9AD0APQA9AD0APQA9AD0APQA9AD0APQA9AD0APQA9AD0APQA9AD0APQA9AD0APQA9AD0APQA9AD0APQA9AD0APQA9AD0APQA9AD0APQA9AD0APQA9AD0APQA9AD0APQA9AD0APQA9AD0APQA9AFwAbgAqAC8AXABuAFwAbgAvACoAXABuAC0ALQAtAC0ALQAtAC0ALQAtAC0ALQAtAC0ALQAtAC0ALQAtAC0ALQAtAC0ALQAtAC0ALQAtAC0ALQAtAC0ALQAtAC0ALQAtAC0ALQBcAG4AVgBFAEUAUgBHAF8ANABfADEAXwAxAF8ANQBfAF8AMQBfAFQAbwB0AGEAbABBAG4AbgB1AGEAbABBAHQAbQBvAHMAcABoAGUAcgBpAGMARABlAHAAbwBzAGkAdABpAG8AbgBFAG0AaQBzAHMAaQBvAG4AcwBcAG4AVABvAHQAYQBsACAAYQBuAG4AdQBhAGwAIABhAHQAbQBvAHMAcABoAGUAcgBpAGMAIABkAGUAcABvAHMAaQB0AGkAbwBuACAAZQBtAGkAcwBzAGkAbwBuAHMAIABmAHIAbwBtACAAbQBhAG4AdQByAGUAIABtAGEAbgBhAGcAZQBtAGUAbgB0AFwAbgBFAF8ATgAyAE8AYQBkAFwAbgB0ACAATgAyAE8AXABuAEUAXwB7AE4AMgBPACwAYQBkAH0APQAoAE0ATQBTAF8AewBBAFQATQBPAFMAfQBcAFwAdABpAG0AZQBzACAARQBGAF8AewBOADIATwB9AFwAXAB0AGkAbQBlAHMAIABDAF8AewBOADIATwB9ACkAXABcAHQAaQBtAGUAcwAxADAAXgB7AC0AMwB9AFwAbgBNAE0AUwBfAEEAVABNAE8AUwAgAD0AIABtAGEAcwBzACAAbwBmACAATgAgAHYAbwBsAGEAdABpAGwAaQBzAGUAZAAgAGYAcgBvAG0AIABNAE0AUwAgADoAIABrAGcAIABOAFwAbgBFAEYAXwBOADIATwAgAD0AIABuAGkAdAByAG8AdQBzACAAbwB4AGkAZABlACAAZQBtAGkAcwBzAGkAbwBuACAAZgBhAGMAdABvAHIAIABmAG8AcgAgAGEAdABtAG8AcwBwAGgAZQByAGkAYwAgAGQAZQBwAG8AcwBpAHQAaQBvAG4AIAA6ACAAawBnACAATgAyAE8ALQBOAC8AawBnACAATgBcAG4AQwBfAE4AMgBPACAAPQAgAGYAYQBjAHQAbwByACAAdABvACAAYwBvAG4AdgBlAHIAdAAgAGUAbABlAG0AZQBuAHQAYQBsACAAbQBhAHMAcwAgAG8AZgAgAG4AaQB0AHIAbwB1AHMAIABvAHgAaQBkAGUAIAB0AG8AIABtAG8AbABlAGMAdQBsAGEAcgAgAG0AYQBzAHMAIAA6ACAAcgBhAHQAaQBvAFwAbgAtAC0ALQAtAC0ALQAtAC0ALQAtAC0ALQAtAC0ALQAtAC0ALQAtAC0ALQAtAC0ALQAtAC0ALQAtAC0ALQAtAC0ALQAtAC0ALQAtAC0AXABuACoALwBcAG4AXABuAFYARQBFAFIARwBfADQAXwAxAF8AMQBfADUAXwBfADEAXwBUAG8AdABhAGwAQQBuAG4AdQBhAGwAQQB0AG0AbwBzAHAAaABlAHIAaQBjAEQAZQBwAG8AcwBpAHQAaQBvAG4ARQBtAGkAcwBzAGkAbwBuAHMAXABuACAAIAA9AEwAQQBNAEIARABBACgAXABuACAAIAAgACAATQBNAFMAXwBBAFQATQBPAFMALAAgAEUARgBfAE4AMgBPACwAIABDAF8ATgAyAE8ALABcAG4AIAAgACAAIAAoAE0ATQBTAF8AQQBUAE0ATwBTACAAKgAgAEUARgBfAE4AMgBPACAAKgAgAEMAXwBOADIATwApACAAKgAgADEAMAAgAF4AIAAtADMAXABuACAAIAApADsAXABuAFwAbgBWAEUARQBSAEcAXwA0AF8AMQBfADEAXwA1AF8AXwAxAF8AVABvAHQAYQBsAEEAbgBuAHUAYQBsAEEAdABtAG8AcwBwAGgAZQByAGkAYwBEAGUAcABvAHMAaQB0AGkAbwBuAEUAbQBpAHMAcwBpAG8AbgBzAF8AVABpAHQAbABlAFwAbgAgACAAPQBMAEEATQBCAEQAQQAoAFwAIgBUAG8AdABhAGwAIABhAG4AbgB1AGEAbAAgAGEAdABtAG8AcwBwAGgAZQByAGkAYwAgAGQAZQBwAG8AcwBpAHQAaQBvAG4AIABlAG0AaQBzAHMAaQBvAG4AcwAgAGYAcgBvAG0AIABtAGEAbgB1AHIAZQAgAG0AYQBuAGEAZwBlAG0AZQBuAHQAXAAiACkAOwBcAG4AXABuAFYARQBFAFIARwBfADQAXwAxAF8AMQBfADUAXwBfADEAXwBUAG8AdABhAGwAQQBuAG4AdQBhAGwAQQB0AG0AbwBzAHAAaABlAHIAaQBjAEQAZQBwAG8AcwBpAHQAaQBvAG4ARQBtAGkAcwBzAGkAbwBuAHMAXwBWAGEAcgBpAGEAYgBsAGUAXABuACAAIAA9AEwAQQBNAEIARABBACgAXAAiAEUAXwBOADIATwBhAGQAXAAiACkAOwBcAG4AXABuAFYARQBFAFIARwBfADQAXwAxAF8AMQBfADUAXwBfADEAXwBUAG8AdABhAGwAQQBuAG4AdQBhAGwAQQB0AG0AbwBzAHAAaABlAHIAaQBjAEQAZQBwAG8AcwBpAHQAaQBvAG4ARQBtAGkAcwBzAGkAbwBuAHMAXwBVAG4AaQB0AFwAbgAgACAAPQBMAEEATQBCAEQAQQAoAFwAIgB0ACAATgAyAE8AXAAiACkAOwBcAG4AXABuAFYARQBFAFIARwBfADQAXwAxAF8AMQBfADUAXwBfADEAXwBUAG8AdABhAGwAQQBuAG4AdQBhAGwAQQB0AG0AbwBzAHAAaABlAHIAaQBjAEQAZQBwAG8AcwBpAHQAaQBvAG4ARQBtAGkAcwBzAGkAbwBuAHMAXwBTAG8AdQByAGMAZQBcAG4AIAAgAD0ATABBAE0AQgBEAEEAKABcACIAVgBFAEUAUgBHACAAMgAwADIANgA6ACAANAAuADEALgAxAC4ANQAsACAARQBxAHUAYQB0AGkAbwBuACAAKAAxACkAXAAiACkAOwBcAG4AXABuAFYARQBFAFIARwBfADQAXwAxAF8AMQBfADUAXwBfADEAXwBUAG8AdABhAGwAQQBuAG4AdQBhAGwAQQB0AG0AbwBzAHAAaABlAHIAaQBjAEQAZQBwAG8AcwBpAHQAaQBvAG4ARQBtAGkAcwBzAGkAbwBuAHMAXwBOAEkAUgBSAGUAZgBlAHIAZQBuAGMAZQBcAG4AIAAgAD0ATABBAE0AQgBEAEEAKABcACIAXAAiACkAOwBcAG4AXABuAFYARQBFAFIARwBfADQAXwAxAF8AMQBfADUAXwBfADEAXwBUAG8AdABhAGwAQQBuAG4AdQBhAGwAQQB0AG0AbwBzAHAAaABlAHIAaQBjAEQAZQBwAG8AcwBpAHQAaQBvAG4ARQBtAGkAcwBzAGkAbwBuAHMAXwBMAGEAdABlAHgARQBxAHUAYQB0AGkAbwBuAFwAbgAgACAAPQBMAEEATQBCAEQAQQAoAFwAIgBFAF8AewBOADIATwAsAGEAZAB9AD0AKABNAE0AUwBfAHsAQQBUAE0ATwBTAH0AXABcAHQAaQBtAGUAcwAgAEUARgBfAHsATgAyAE8AfQBcAFwAdABpAG0AZQBzACAAQwBfAHsATgAyAE8AfQApAFwAXAB0AGkAbQBlAHMAMQAwAF4AewAtADMAfQBcACIAKQA7AFwAbgBcAG4AVgBFAEUAUgBHAF8ANABfADEAXwAxAF8ANQBfAF8AMQBfAFQAbwB0AGEAbABBAG4AbgB1AGEAbABBAHQAbQBvAHMAcABoAGUAcgBpAGMARABlAHAAbwBzAGkAdABpAG8AbgBFAG0AaQBzAHMAaQBvAG4AcwBfAEEAcgBnAHUAbQBlAG4AdABzAFwAbgAgACAAPQBMAEEATQBCAEQAQQAoAFwAbgAgACAAIAAgAE0AQQBLAEUAQQBSAFIAQQBZACgANgAsACAANAAsAFwAbgAgACAAIAAgACAAIABMAEEATQBCAEQAQQAoAHIALABjACwAXABuACAAIAAgACAAIAAgACAAIABJAE4ARABFAFgAKAB7AFwAbgAgACAAIAAgACAAIAAgACAAIAAgAFwAIgBNAE0AUwBfAEEAVABNAE8AUwBcACIALABcACIAbQBhAHMAcwAgAG8AZgAgAE4AIAB2AG8AbABhAHQAaQBsAGkAcwBlAGQAIABmAHIAbwBtACAATQBNAFMAXAAiACwAIABcACIAawBnACAATgBcACIALAAgAFwAIgBDAGEAbABjAHUAbABhAHQAZQBkACAAZgByAG8AbQAgADQALgAxAC4AMQAuADUAIAAoADIAKQBcACIAOwBcAG4AIAAgACAAIAAgACAAIAAgACAAIABcACIARQBGAF8ATgAyAE8AXAAiACwAXAAiAG4AaQB0AHIAbwB1AHMAIABvAHgAaQBkAGUAIABlAG0AaQBzAHMAaQBvAG4AIABmAGEAYwB0AG8AcgAgAGYAbwByACAAYQB0AG0AbwBzAHAAaABlAHIAaQBjACAAZABlAHAAbwBzAGkAdABpAG8AbgBcACIALAAgAFwAIgBrAGcAIABOADIATwAtAE4ALwBrAGcAIABOAFwAIgAsACAAXAAiAEMAbwBuAHMAdABhAG4AdABcACIAOwBcAG4AIAAgACAAIAAgACAAIAAgACAAIABcACIAQwBfAE4AMgBPAFwAIgAsAFwAIgBmAGEAYwB0AG8AcgAgAHQAbwAgAGMAbwBuAHYAZQByAHQAIABlAGwAZQBtAGUAbgB0AGEAbAAgAG0AYQBzAHMAIABvAGYAIABuAGkAdAByAG8AdQBzACAAbwB4AGkAZABlACAAdABvACAAbQBvAGwAZQBjAHUAbABhAHIAIABtAGEAcwBzAFwAIgAsACAAXAAiAFwAIgAsACAAXAAiAEMAbwBuAHMAdABhAG4AdABcACIAOwBcAG4AIAAgACAAIAAgACAAIAAgACAAIABcACIAagBcACIALAAgAFwAIgBwAHIAbwBkAHUAYwB0AGkAbwBuACAAcwB5AHMAdABlAG0AXAAiACwAIABcACIAXAAiACwAIABcACIASQBuAHAAdQB0AFwAIgA7AFwAbgAgACAAIAAgACAAIAAgACAAIAAgAFwAIgBpAFwAIgAsACAAXAAiAGkAcgByAGkAZwBhAHQAaQBvAG4AIABtAGUAdABoAG8AZABcACIALAAgAFwAIgBcACIALAAgAFwAIgBJAG4AcAB1AHQAXAAiADsAXABuACAAIAAgACAAIAAgACAAIAAgACAAXAAiAHIAXAAiACwAIABcACIAcgBhAGkAbgBmAGEAbABsACAAegBvAG4AZQBcACIALAAgAFwAIg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NABfADEAXwAxAF8ANQBfAF8AMgBfAFYAbwBsAGEAdABpAGwAaQBzAGUAZABOAGkAdAByAG8AZwBlAG4ARgByAG8AbQBNAGEAbgB1AHIAZQBNAGEAbgBhAGcAZQBtAGUAbgB0AFwAbgBWAG8AbABhAHQAaQBsAGkAcwBlAGQAIABuAGkAdAByAG8AZwBlAG4AIABmAHIAbwBtACAAbQBhAG4AdQByAGUAIABtAGEAbgBhAGcAZQBtAGUAbgB0AFwAbgBNAE0AUwBfAEEAVABNAE8AUwBcAG4AawBnACAATgBcAG4ATQBNAFMAXwB7AEEAVABNAE8AUwB9AD0AXABcAHMAdQBtAF8AewBqAH0AXABcAHMAdQBtAF8AewBtAH0AXABcAHMAdQBtAF8AewBUAH0AKABNAE4AXwB7AGoAbQBUAH0AXABcAHQAaQBtAGUAcwAgAEYAcgBhAGMARwBBAFMATQBfAHsAbQBUAH0AKQBcAG4ATQBOAF8AagBtAFQAIAA9ACAAbgBpAHQAcgBvAGcAZQBuACAAaQBuACAAZQBhAGMAaAAgAHQAcgBlAGEAdABtAGUAbgB0ACAAcwB0AGEAZwBlACAATQBNAFMAIAAoAGUAeABjAGwAdQBkAGkAbgBnACAATQBOAF8AaQBqAG0AMQAzAFQAMgApACAAOgAgAGsAZwAgAE4AXABuAEYAcgBhAGMARwBBAFMATQBfAG0AVAAgAD0AIABmAHIAYQBjAHQAaQBvAG4AIABvAGYAIABOACAAdgBvAGwAYQB0AGkAbABpAHMAZQBkACAAaQBuACAAZQBhAGMAaAAgAE0ATQBTACAAOgAgACgAawBnACAATgBIADMALQBOACAAKwAgAE4ATwB4AC0ATgApAC8AawBnACAATgBcAG4ALQAtAC0ALQAtAC0ALQAtAC0ALQAtAC0ALQAtAC0ALQAtAC0ALQAtAC0ALQAtAC0ALQAtAC0ALQAtAC0ALQAtAC0ALQAtAC0ALQAtAFwAbgAqAC8AXABuAFwAbgBWAEUARQBSAEcAXwA0AF8AMQBfADEAXwA1AF8AXwAyAF8AVgBvAGwAYQB0AGkAbABpAHMAZQBkAE4AaQB0AHIAbwBnAGUAbgBGAHIAbwBtAE0AYQBuAHUAcgBlAE0AYQBuAGEAZwBlAG0AZQBuAHQAXABuACAAIAA9AEwAQQBNAEIARABBACgAXABuACAAIAAgACAATQBOAF8AagBtAFQALAAgAEYAcgBhAGMARwBBAFMATQBfAG0AVAAsAFwAbgAgACAAIAAgAE0ATgBfAGoAbQBUACAAKgAgAEYAcgBhAGMARwBBAFMATQBfAG0AVABcAG4AIAAgACkAOwBcAG4AXABuAFYARQBFAFIARwBfADQAXwAxAF8AMQBfADUAXwBfADIAXwBWAG8AbABhAHQAaQBsAGkAcwBlAGQATgBpAHQAcgBvAGcAZQBuAEYAcgBvAG0ATQBhAG4AdQByAGUATQBhAG4AYQBnAGUAbQBlAG4AdABfAFQAaQB0AGwAZQBcAG4AIAAgAD0ATABBAE0AQgBEAEEAKABcACIAVgBvAGwAYQB0AGkAbABpAHMAZQBkACAAbgBpAHQAcgBvAGcAZQBuACAAZgByAG8AbQAgAG0AYQBuAHUAcgBlACAAbQBhAG4AYQBnAGUAbQBlAG4AdABcACIAKQA7AFwAbgBcAG4AVgBFAEUAUgBHAF8ANABfADEAXwAxAF8ANQBfAF8AMgBfAFYAbwBsAGEAdABpAGwAaQBzAGUAZABOAGkAdAByAG8AZwBlAG4ARgByAG8AbQBNAGEAbgB1AHIAZQBNAGEAbgBhAGcAZQBtAGUAbgB0AF8AVgBhAHIAaQBhAGIAbABlAFwAbgAgACAAPQBMAEEATQBCAEQAQQAoAFwAIgBNAE0AUwBfAEEAVABNAE8AUwBcACIAKQA7AFwAbgBcAG4AVgBFAEUAUgBHAF8ANABfADEAXwAxAF8ANQBfAF8AMgBfAFYAbwBsAGEAdABpAGwAaQBzAGUAZABOAGkAdAByAG8AZwBlAG4ARgByAG8AbQBNAGEAbgB1AHIAZQBNAGEAbgBhAGcAZQBtAGUAbgB0AF8AVQBuAGkAdABcAG4AIAAgAD0ATABBAE0AQgBEAEEAKABcACIAawBnACAATgBcACIAKQA7AFwAbgBcAG4AVgBFAEUAUgBHAF8ANABfADEAXwAxAF8ANQBfAF8AMgBfAFYAbwBsAGEAdABpAGwAaQBzAGUAZABOAGkAdAByAG8AZwBlAG4ARgByAG8AbQBNAGEAbgB1AHIAZQBNAGEAbgBhAGcAZQBtAGUAbgB0AF8AUwBvAHUAcgBjAGUAXABuACAAIAA9AEwAQQBNAEIARABBACgAXAAiAFYARQBFAFIARwAgADIAMAAyADYAOgAgADQALgAxAC4AMQAuADUALAAgAEUAcQB1AGEAdABpAG8AbgAgACgAMgApAFwAIgApADsAXABuAFwAbgBWAEUARQBSAEcAXwA0AF8AMQBfADEAXwA1AF8AXwAyAF8AVgBvAGwAYQB0AGkAbABpAHMAZQBkAE4AaQB0AHIAbwBnAGUAbgBGAHIAbwBtAE0AYQBuAHUAcgBlAE0AYQBuAGEAZwBlAG0AZQBuAHQAXwBOAEkAUgBSAGUAZgBlAHIAZQBuAGMAZQBcAG4AIAAgAD0ATABBAE0AQgBEAEEAKABcACIAXAAiACkAOwBcAG4AXABuAFYARQBFAFIARwBfADQAXwAxAF8AMQBfADUAXwBfADIAXwBWAG8AbABhAHQAaQBsAGkAcwBlAGQATgBpAHQAcgBvAGcAZQBuAEYAcgBvAG0ATQBhAG4AdQByAGUATQBhAG4AYQBnAGUAbQBlAG4AdABfAEwAYQB0AGUAeABFAHEAdQBhAHQAaQBvAG4AXABuACAAIAA9AEwAQQBNAEIARABBACgAXAAiAE0ATQBTAF8AewBBAFQATQBPAFMAfQA9AFwAXABzAHUAbQBfAHsAagB9AFwAXABzAHUAbQBfAHsAbQB9AFwAXABzAHUAbQBfAHsAVAB9ACgATQBOAF8AewBqAG0AVAB9AFwAXAB0AGkAbQBlAHMAIABGAHIAYQBjAEcAQQBTAE0AXwB7AG0AVAB9ACkAXAAiACkAOwBcAG4AXABuAFYARQBFAFIARwBfADQAXwAxAF8AMQBfADUAXwBfADIAXwBWAG8AbABhAHQAaQBsAGkAcwBlAGQATgBpAHQAcgBvAGcAZQBuAEYAcgBvAG0ATQBhAG4AdQByAGUATQBhAG4AYQBnAGUAbQBlAG4AdABfAEEAcgBnAHUAbQBlAG4AdABzAFwAbgAgACAAPQBMAEEATQBCAEQAQQAoAFwAbgAgACAAIAAgAE0AQQBLAEUAQQBSAFIAQQBZACgAMgAsACAANAAsAFwAbgAgACAAIAAgACAAIABMAEEATQBCAEQAQQAoAHIALABjACwAXABuACAAIAAgACAAIAAgACAAIABJAE4ARABFAFgAKAB7AFwAbgAgACAAIAAgACAAIAAgACAAIAAgAFwAIgBNAE4AXwBqAG0AVABcACIALABcACIAbgBpAHQAcgBvAGcAZQBuACAAaQBuACAAZQBhAGMAaAAgAHQAcgBlAGEAdABtAGUAbgB0ACAAcwB0AGEAZwBlACAATQBNAFMAIAAoAGUAeABjAGwAdQBkAGkAbgBnACAATQBOAF8AaQBqAG0AMQAzAFQAMgApAFwAIgAsACAAXAAiAGsAZwAgAE4AXAAiACwAIABcACIAQwBhAGwAYwB1AGwAYQB0AGUAZAAgAGYAcgBvAG0AIAA0AC4AMQAuADEALgAzACAAKAAyACkAKAA2ACkAKAA4ACkAXAAiADsAXABuACAAIAAgACAAIAAgACAAIAAgACAAXAAiAEYAcgBhAGMARwBBAFMATQBfAG0AVABcACIALABcACIAZgByAGEAYwB0AGkAbwBuACAAbwBmACAATgAgAHYAbwBsAGEAdABpAGwAaQBzAGUAZAAgAGkAbgAgAGUAYQBjAGgAIABNAE0AUwBcACIALAAgAFwAIgAoAGsAZwAgAE4ASAAzAC0ATgAgACsAIABOAE8AeAAtAE4AKQAvAGsAZwAgAE4AXAAiACwAIABcACIAQwBvAG4AcwB0AGEAbgB0AFwAIgBcAG4AIAAgACAAIAAgACAAIAAgAH0ALAAgAHIALAAgAGMAKQBcAG4AIAAgACAAIAAgACAAKQBcAG4AIAAgACAAIAApAFwAbgAgACAAKQA7AFwAbgAiAH0ALAB7ACIAcABhAHQAaAAiADoAIgAvAHAAcgBvAGoAZQBjAHQAcwAvAE0ATQBTAF8ARgBlAGUAZABsAG8AdABfAE4AMgBPAEQAaQByAGUAYwB0AF8ARQBxAHUAYQB0AGkAbwBuAHMAIgAsACIAdABlAHgAdAAiADoAIgAvACoAXABuAD0APQA9AD0APQA9AD0APQA9AD0APQA9AD0APQA9AD0APQA9AD0APQA9AD0APQA9AD0APQA9AD0APQA9AD0APQA9AD0APQA9AD0APQA9AD0APQA9AD0APQA9AD0APQA9AD0APQA9AD0APQA9AD0APQA9AD0APQA9AD0APQA9AD0APQA9AD0APQA9AD0APQA9AD0APQA9AD0AXABuADQALgAxADoAIABCAGUAZQBmACAARgBlAGUAZABsAG8AdABcAG4APQA9AD0APQA9AD0APQA9AD0APQA9AD0APQA9AD0APQA9AD0APQA9AD0APQA9AD0APQA9AD0APQA9AD0APQA9AD0APQA9AD0APQA9AD0APQA9AD0APQA9AD0APQA9AD0APQA9AD0APQA9AD0APQA9AD0APQA9AD0APQA9AD0APQA9AD0APQA9AD0APQA9AD0APQA9AD0APQBcAG4ANAAuADEALgAxAC4AMwAgAE0AZQB0AGgAbwBkACAAMQAgAC0AIABNAGEAbgB1AHIAZQAgAEQAaQByAGUAYwB0ACAATgAyAE8AIABCAGUAZQBmACAARgBlAGUAZABsAG8AdABcAG4APQA9AD0APQA9AD0APQA9AD0APQA9AD0APQA9AD0APQA9AD0APQA9AD0APQA9AD0APQA9AD0APQA9AD0APQA9AD0APQA9AD0APQA9AD0APQA9AD0APQA9AD0APQA9AD0APQA9AD0APQA9AD0APQA9AD0APQA9AD0APQA9AD0APQA9AD0APQA9AD0APQA9AD0APQA9AD0APQBcAG4AKgAvAFwAbgBcAG4ALwAqAFwAbgAtAC0ALQAtAC0ALQAtAC0ALQAtAC0ALQAtAC0ALQAtAC0ALQAtAC0ALQAtAC0ALQAtAC0ALQAtAC0ALQAtAC0ALQAtAC0ALQAtAC0AXABuAFYARQBFAFIARwBfADQAXwAxAF8AMQBfADMAXwBfADEAXwBUAG8AdABhAGwAQQBuAG4AdQBhAGwARABpAHIAZQBjAHQATgBpAHQAcgBvAHUAcwBPAHgAaQBkAGUARQBtAGkAcwBzAGkAbwBuAHMAXABuAFQAbwB0AGEAbAAgAGEAbgBuAHUAYQBsACAAZABpAHIAZQBjAHQAIABuAGkAdAByAG8AdQBzACAAbwB4AGkAZABlACAAZQBtAGkAcwBzAGkAbwBuAHMAIABmAHIAbwBtACAAbQBhAG4AdQByAGUAIABtAGEAbgBhAGcAZQBtAGUAbgB0ACAAcwB5AHMAdABlAG0AcwBcAG4ARQBfAE4AMgBPAGQAaQByAFwAbgB0ACAATgAyAE8AXABuAEUAXwB7AE4AMgBPACwAZABpAHIAfQA9AFwAXABzAHUAbQBfAHsAagB9AFwAXABzAHUAbQBfAHsAbQB9AFwAXABzAHUAbQBfAHsAVAB9ACgATQBOAF8AewBqAG0AVAB9AFwAXAB0AGkAbQBlAHMAIABFAEYAXwB7AGoAbQB9AFwAXAB0AGkAbQBlAHMAIABDAF8AewBOADIATwB9ACkAXABcAHQAaQBtAGUAcwAxADAAXgB7AC0AMwB9AFwAbgBNAE4AXwBqAG0AVAAgAD0AIABuAGkAdAByAG8AZwBlAG4AIABwAGUAcgAgAGMAYQB0AHQAbABlACAAZwByAG8AdQBwACwAIABNAE0AUwAgAGEAbgBkACAAdAByAGUAYQB0AG0AZQBuAHQAIABzAHQAYQBnAGUAIAA6ACAAawBnACAATgBcAG4ARQBGAF8AagBtACAAPQAgAG4AaQB0AHIAbwB1AHMAIABvAHgAaQBkAGUAIABlAG0AaQBzAHMAaQBvAG4AIABmAGEAYwB0AG8AcgAgAGYAbwByACAATQBNAFMAIAA6ACAAawBnACAATgAyAE8ALQBOAC8AawBnACAATgBcAG4AQwBfAE4AMgBPACAAPQAgAGYAYQBjAHQAbwByACAAdABvACAAYwBvAG4AdgBlAHIAdAAgAGUAbABlAG0AZQBuAHQAYQBsACAAbQBhAHMAcwAgAG8AZgAgAG4AaQB0AHIAbwB1AHMAIABvAHgAaQBkAGUAIAB0AG8AIABtAG8AbABlAGMAdQBsAGEAcgAgAG0AYQBzAHMAIAA6ACAAcgBhAHQAaQBvAFwAbgAtAC0ALQAtAC0ALQAtAC0ALQAtAC0ALQAtAC0ALQAtAC0ALQAtAC0ALQAtAC0ALQAtAC0ALQAtAC0ALQAtAC0ALQAtAC0ALQAtAC0AXABuACoALwBcAG4AXABuAFYARQBFAFIARwBfADQAXwAxAF8AMQBfADMAXwBfADEAXwBUAG8AdABhAGwAQQBuAG4AdQBhAGwARABpAHIAZQBjAHQATgBpAHQAcgBvAHUAcwBPAHgAaQBkAGUARQBtAGkAcwBzAGkAbwBuAHMAXABuACAAIAA9AEwAQQBNAEIARABBACgAXABuACAAIAAgACAATQBOAF8AagBtAFQALAAgAEUARgBfAGoAbQAsACAAQwBfAE4AMgBPACwAXABuACAAIAAgACAAUwBVAE0AUABSAE8ARABVAEMAVAAoAE0ATgBfAGoAbQBUACwAIABFAEYAXwBqAG0ALAAgAEMAXwBOADIATwApACAAKgAgADEAMAAgAF4AIAAtADMAXABuACAAIAApADsAXABuAFwAbgBWAEUARQBSAEcAXwA0AF8AMQBfADEAXwAzAF8AXwAxAF8AVABvAHQAYQBsAEEAbgBuAHUAYQBsAEQAaQByAGUAYwB0AE4AaQB0AHIAbwB1AHMATwB4AGkAZABlAEUAbQBpAHMAcwBpAG8AbgBzAF8AVABpAHQAbABlAFwAbgAgACAAPQBMAEEATQBCAEQAQQAoAFwAIgBUAG8AdABhAGwAIABhAG4AbgB1AGEAbAAgAGQAaQByAGUAYwB0ACAAbgBpAHQAcgBvAHUAcwAgAG8AeABpAGQAZQAgAGUAbQBpAHMAcwBpAG8AbgBzACAAZgByAG8AbQAgAG0AYQBuAHUAcgBlACAAbQBhAG4AYQBnAGUAbQBlAG4AdAAgAHMAeQBzAHQAZQBtAHMAXAAiACkAOwBcAG4AXABuAFYARQBFAFIARwBfADQAXwAxAF8AMQBfADMAXwBfADEAXwBUAG8AdABhAGwAQQBuAG4AdQBhAGwARABpAHIAZQBjAHQATgBpAHQAcgBvAHUAcwBPAHgAaQBkAGUARQBtAGkAcwBzAGkAbwBuAHMAXwBWAGEAcgBpAGEAYgBsAGUAXABuACAAIAA9AEwAQQBNAEIARABBACgAXAAiAEUAXwBOADIATwBkAGkAcgBcACIAKQA7AFwAbgBcAG4AVgBFAEUAUgBHAF8ANABfADEAXwAxAF8AMwBfAF8AMQBfAFQAbwB0AGEAbABBAG4AbgB1AGEAbABEAGkAcgBlAGMAdABOAGkAdAByAG8AdQBzAE8AeABpAGQAZQBFAG0AaQBzAHMAaQBvAG4AcwBfAFUAbgBpAHQAXABuACAAIAA9AEwAQQBNAEIARABBACgAXAAiAHQAIABOADIATwBcACIAKQA7AFwAbgBcAG4AVgBFAEUAUgBHAF8ANABfADEAXwAxAF8AMwBfAF8AMQBfAFQAbwB0AGEAbABBAG4AbgB1AGEAbABEAGkAcgBlAGMAdABOAGkAdAByAG8AdQBzAE8AeABpAGQAZQBFAG0AaQBzAHMAaQBvAG4AcwBfAFMAbwB1AHIAYwBlAFwAbgAgACAAPQBMAEEATQBCAEQAQQAoAFwAIgBWAEUARQBSAEcAIAAyADAAMgA2ADoAIAA0AC4AMQAuADEALgAzACwAIABFAHEAdQBhAHQAaQBvAG4AIAAoADEAKQBcACIAKQA7AFwAbgBcAG4AVgBFAEUAUgBHAF8ANABfADEAXwAxAF8AMwBfAF8AMQBfAFQAbwB0AGEAbABBAG4AbgB1AGEAbABEAGkAcgBlAGMAdABOAGkAdAByAG8AdQBzAE8AeABpAGQAZQBFAG0AaQBzAHMAaQBvAG4AcwBfAE4ASQBSAFIAZQBmAGUAcgBlAG4AYwBlAFwAbgAgACAAPQBMAEEATQBCAEQAQQAoAFwAIgBcACIAKQA7AFwAbgBcAG4AVgBFAEUAUgBHAF8ANABfADEAXwAxAF8AMwBfAF8AMQBfAFQAbwB0AGEAbABBAG4AbgB1AGEAbABEAGkAcgBlAGMAdABOAGkAdAByAG8AdQBzAE8AeABpAGQAZQBFAG0AaQBzAHMAaQBvAG4AcwBfAEwAYQB0AGUAeABFAHEAdQBhAHQAaQBvAG4AXABuACAAIAA9AEwAQQBNAEIARABBACgAXAAiAEUAXwB7AE4AMgBPACwAZABpAHIAfQA9AFwAXABzAHUAbQBfAHsAagB9AFwAXABzAHUAbQBfAHsAbQB9AFwAXABzAHUAbQBfAHsAVAB9ACgATQBOAF8AewBqAG0AVAB9AFwAXAB0AGkAbQBlAHMAIABFAEYAXwB7AGoAbQB9AFwAXAB0AGkAbQBlAHMAIABDAF8AewBOADIATwB9ACkAXABcAHQAaQBtAGUAcwAxADAAXgB7AC0AMwB9AFwAIgApADsAXABuAFwAbgBWAEUARQBSAEcAXwA0AF8AMQBfADEAXwAzAF8AXwAxAF8AVABvAHQAYQBsAEEAbgBuAHUAYQBsAEQAaQByAGUAYwB0AE4AaQB0AHIAbwB1AHMATwB4AGkAZABlAEUAbQBpAHMAcwBpAG8AbgBzAF8AQQByAGcAdQBtAGUAbgB0AHMAXABuACAAIAA9AEwAQQBNAEIARABBACgAXABuACAAIAAgACAATQBBAEsARQBBAFIAUgBBAFkAKAAzACwAIAA0ACwAXABuACAAIAAgACAAIAAgAEwAQQBNAEIARABBACgAcgAsAGMALABcAG4AIAAgACAAIAAgACAAIAAgAEkATgBEAEUAWAAoAHsAXABuACAAIAAgACAAIAAgACAAIAAgACAAXAAiAE0ATgBfAGoAbQBUAFwAIgAsAFwAIgBuAGkAdAByAG8AZwBlAG4AIABwAGUAcgAgAGMAYQB0AHQAbABlACAAZwByAG8AdQBwACwAIABNAE0AUwAgAGEAbgBkACAAdAByAGUAYQB0AG0AZQBuAHQAIABzAHQAYQBnAGUAXAAiACwAIABcACIAawBnACAATgBcACIALAAgAFwAIgBDAGEAbABjAHUAbABhAHQAZQBkACAAZgByAG8AbQAgADQALgAxAC4AMQAuADMAIAAoADIAKQAoADYAKQAoADgAKQBcACIAOwBcAG4AIAAgACAAIAAgACAAIAAgACAAIABcACIARQBGAF8AagBtAFwAIgAsAFwAIgBuAGkAdAByAG8AdQBzACAAbwB4AGkAZABlACAAZQBtAGkAcwBzAGkAbwBuACAAZgBhAGMAdABvAHIAIABmAG8AcgAgAE0ATQBTAFwAIgAsAFwAIgBrAGcAIABOADIATwAtAE4ALwBrAGcAIABOAFwAIgAsACAAXAAiAEMAbwBuAHMAdABhAG4AdABcACIAOwBcAG4AIAAgACAAIAAgACAAIAAgACAAIABcACIAQwBfAE4AMgBPAFwAIgAsAFwAIgBmAGEAYwB0AG8AcgAgAHQAbwAgAGMAbwBuAHYAZQByAHQAIABlAGwAZQBtAGUAbgB0AGEAbAAgAG0AYQBzAHMAIABvAGYAIABuAGkAdAByAG8AdQBzACAAbwB4AGkAZABlACAAdABvACAAbQBvAGwAZQBjAHUAbABhAHIAIABtAGEAcwBzAFwAIgAsAFwAIgByAGEAdABpAG8AXAAiACwAIABcACIAQwBvAG4AcwB0AGEAbgB0AFwAIgBcAG4AIAAgACAAIAAgACAAIAAgAH0ALAAgAHIALAAgAGMAKQBcAG4AIAAgACAAIAAgACAAKQBcAG4AIAAgACAAIAApAFwAbgAgACAAKQA7AFwAbgBcAG4ALwAqAFwAbgAtAC0ALQAtAC0ALQAtAC0ALQAtAC0ALQAtAC0ALQAtAC0ALQAtAC0ALQAtAC0ALQAtAC0ALQAtAC0ALQAtAC0ALQAtAC0ALQAtAC0AXABuAFYARQBFAFIARwBfADQAXwAxAF8AMQBfADMAXwBfADIAXwBTAHQAYQBnAGUAMQBOAGkAdAByAG8AZwBlAG4ASQBuAE0ATQBTAEQAcgB5AGwAbwB0AFwAbgBOAGkAdAByAG8AZwBlAG4AIABpAG4AIAB0AHIAZQBhAHQAbQBlAG4AdAAgAHMAdABhAGcAZQAgADEAIABNAE0AUwBcAG4ATQBOAF8AagBtADUAVAAxAFwAbgBrAGcAIABOAFwAbgBNAE4AXwB7AGoAbQA9ADUALABUAD0AMQB9AD0AQQBFAF8AewBqAH0AXABcAHQAaQBtAGUAcwAgAE0ATQBTAF8AewBqAG0APQA1ACwAVAA9ADEAfQBcAG4AQQBFAF8AagAgAD0AIAB0AG8AdABhAGwAIABuAGkAdAByAG8AZwBlAG4AIABlAHgAYwByAGUAdABlAGQAIABiAHkAIABlAGEAYwBoACAAYwBhAHQAdABsAGUAIABnAHIAbwB1AHAAIAA6ACAAawBnACAATgBcAG4ATQBNAFMAXwBqAG0ANQBUADEAIAA9ACAAZgByAGEAYwB0AGkAbwBuACAAbwBmACAAbQBhAG4AdQByAGUAIABpAG4AIABwAHIAaQBtAGEAcgB5ACAAcwB5AHMAdABlAG0AIABkAHIAeQBsAG8AdAAgAE0ATQBTACAAOgAgAGYAcgBhAGMAdABpAG8AbgBcAG4ALQAtAC0ALQAtAC0ALQAtAC0ALQAtAC0ALQAtAC0ALQAtAC0ALQAtAC0ALQAtAC0ALQAtAC0ALQAtAC0ALQAtAC0ALQAtAC0ALQAtAFwAbgAqAC8AXABuAFwAbgBWAEUARQBSAEcAXwA0AF8AMQBfADEAXwAzAF8AXwAyAF8AUwB0AGEAZwBlADEATgBpAHQAcgBvAGcAZQBuAEkAbgBNAE0AUwBEAHIAeQBsAG8AdABcAG4AIAAgAD0ATABBAE0AQgBEAEEAKABcAG4AIAAgACAAIABBAEUAXwBqACwAIABNAE0AUwBfAGoAbQA1AFQAMQAsAFwAbgAgACAAIAAgAEEARQBfAGoAIAAqACAATQBNAFMAXwBqAG0ANQBUADEAXABuACAAIAApADsAXABuAFwAbgBWAEUARQBSAEcAXwA0AF8AMQBfADEAXwAzAF8AXwAyAF8AUwB0AGEAZwBlADEATgBpAHQAcgBvAGcAZQBuAEkAbgBNAE0AUwBEAHIAeQBsAG8AdABfAFQAaQB0AGwAZQBcAG4AIAAgAD0ATABBAE0AQgBEAEEAKABcACIATgBpAHQAcgBvAGcAZQBuACAAaQBuACAAdAByAGUAYQB0AG0AZQBuAHQAIABzAHQAYQBnAGUAIAAxACAATQBNAFMAXAAiACkAOwBcAG4AXABuAFYARQBFAFIARwBfADQAXwAxAF8AMQBfADMAXwBfADIAXwBTAHQAYQBnAGUAMQBOAGkAdAByAG8AZwBlAG4ASQBuAE0ATQBTAEQAcgB5AGwAbwB0AF8AVgBhAHIAaQBhAGIAbABlAFwAbgAgACAAPQBMAEEATQBCAEQAQQAoAFwAIgBNAE4AXwBqAG0ANQBUADEAXAAiACkAOwBcAG4AXABuAFYARQBFAFIARwBfADQAXwAxAF8AMQBfADMAXwBfADIAXwBTAHQAYQBnAGUAMQBOAGkAdAByAG8AZwBlAG4ASQBuAE0ATQBTAEQAcgB5AGwAbwB0AF8AVQBuAGkAdABcAG4AIAAgAD0ATABBAE0AQgBEAEEAKABcACIAawBnACAATgBcACIAKQA7AFwAbgBcAG4AVgBFAEUAUgBHAF8ANABfADEAXwAxAF8AMwBfAF8AMgBfAFMAdABhAGcAZQAxAE4AaQB0AHIAbwBnAGUAbgBJAG4ATQBNAFMARAByAHkAbABvAHQAXwBTAG8AdQByAGMAZQBcAG4AIAAgAD0ATABBAE0AQgBEAEEAKABcACIAVgBFAEUAUgBHACAAMgAwADIANgA6ACAANAAuADEALgAxAC4AMwAsACAARQBxAHUAYQB0AGkAbwBuACAAKAAyACkAXAAiACkAOwBcAG4AXABuAFYARQBFAFIARwBfADQAXwAxAF8AMQBfADMAXwBfADIAXwBTAHQAYQBnAGUAMQBOAGkAdAByAG8AZwBlAG4ASQBuAE0ATQBTAEQAcgB5AGwAbwB0AF8ATgBJAFIAUgBlAGYAZQByAGUAbgBjAGUAXABuACAAIAA9AEwAQQBNAEIARABBACgAXAAiAFwAIgApADsAXABuAFwAbgBWAEUARQBSAEcAXwA0AF8AMQBfADEAXwAzAF8AXwAyAF8AUwB0AGEAZwBlADEATgBpAHQAcgBvAGcAZQBuAEkAbgBNAE0AUwBEAHIAeQBsAG8AdABfAEwAYQB0AGUAeABFAHEAdQBhAHQAaQBvAG4AXABuACAAIAA9AEwAQQBNAEIARABBACgAXAAiAE0ATgBfAHsAagBtAD0ANQAsAFQAPQAxAH0APQBBAEUAXwB7AGoAfQBcAFwAdABpAG0AZQBzACAATQBNAFMAXwB7AGoAbQA9ADUALABUAD0AMQB9AFwAIgApADsAXABuAFwAbgBWAEUARQBSAEcAXwA0AF8AMQBfADEAXwAzAF8AXwAyAF8AUwB0AGEAZwBlADEATgBpAHQAcgBvAGcAZQBuAEkAbgBNAE0AUwBEAHIAeQBsAG8AdABfAEEAcgBnAHUAbQBlAG4AdABzAFwAbgAgACAAPQBMAEEATQBCAEQAQQAoAFwAbgAgACAAIAAgAE0AQQBLAEUAQQBSAFIAQQBZACgAMgAsACAANAAsAFwAbgAgACAAIAAgACAAIABMAEEATQBCAEQAQQAoAHIALABjACwAXABuACAAIAAgACAAIAAgACAAIABJAE4ARABFAFgAKAB7AFwAbgAgACAAIAAgACAAIAAgACAAIAAgAFwAIgBBAEUAXwBqAFwAIgAsAFwAIgB0AG8AdABhAGwAIABuAGkAdAByAG8AZwBlAG4AIABlAHgAYwByAGUAdABlAGQAIABiAHkAIABlAGEAYwBoACAAYwBhAHQAdABsAGUAIABnAHIAbwB1AHAAXAAiACwAIABcACIAawBnACAATgBcACIALAAgAFwAIgBDAGEAbABjAHUAbABhAHQAZQBkACAAZgByAG8AbQAgADQALgAxAC4AMQAuADMAIAAoADMAKQBcACIAOwBcAG4AIAAgACAAIAAgACAAIAAgACAAIABcACIATQBNAFMAXwBqAG0ANQBUADEAXAAiACwAXAAiAGYAcgBhAGMAdABpAG8AbgAgAG8AZgAgAG0AYQBuAHUAcgBlACAAaQBuACAAcAByAGkAbQBhAHIAeQAgAHMAeQBzAHQAZQBtACAAZAByAHkAbABvAHQAIABNAE0AUwBcACIALAAgAFwAIgBmAHIAYQBjAHQAaQBvAG4AXAAiACwAIABcACIASQBuAHAAdQB0AFwAIgBcAG4AIAAgACAAIAAgACAAIAAgAH0ALAAgAHIALAAgAGMAKQBcAG4AIAAgACAAIAAgACAAKQBcAG4AIAAgACAAIAApAFwAbgAgACAAKQA7AFwAbgBcAG4ALwAqAFwAbgAtAC0ALQAtAC0ALQAtAC0ALQAtAC0ALQAtAC0ALQAtAC0ALQAtAC0ALQAtAC0ALQAtAC0ALQAtAC0ALQAtAC0ALQAtAC0ALQAtAC0AXABuAFYARQBFAFIARwBfADQAXwAxAF8AMQBfADMAXwBfADMAXwBBAG4AbgB1AGEAbABOAGkAdAByAG8AZwBlAG4ARQB4AGMAcgBlAHQAaQBvAG4AXABuAEEAbgBuAHUAYQBsACAAbgBpAHQAcgBvAGcAZQBuACAAZQB4AGMAcgBlAHQAaQBvAG4AIABmAHIAbwBtACAAZQBhAGMAaAAgAGYAZQBlAGQAbABvAHQAIABjAGEAdAB0AGwAZQAgAGcAcgBvAHUAcABcAG4AQQBFAF8AagBcAG4AawBnACAATgBcAG4AQQBFAF8AewBqAH0APQBOAF8AewBqAH0AXABcAHQAaQBtAGUAcwAgAE4ARQBfAHsAagB9AFwAXAB0AGkAbQBlAHMAIABEAF8AewBqAH0AXABuAE4AXwBqACAAPQAgAG4AdQBtAGIAZQByACAAbwBmACAAYwBhAHQAdABsAGUAIABpAG4AIABlAGEAYwBoACAAZwByAG8AdQBwACAAOgAgAGgAZQBhAGQAXABuAE4ARQBfAGoAIAA9ACAAbgBpAHQAcgBvAGcAZQBuACAAZQB4AGMAcgBlAHQAaQBvAG4AIAA6ACAAawBnACAATgAvAGgAZQBhAGQALwBkAGEAeQBcAG4ARABfAGoAIAA9ACAAZAB1AHIAYQB0AGkAbwBuACAAbwBmACAAcwB0AGEAeQAgAG8AZgAgAGMAYQB0AHQAbABlACAAZwByAG8AdQBwACAAOgAgAGQAYQB5AHMAXABuAC0ALQAtAC0ALQAtAC0ALQAtAC0ALQAtAC0ALQAtAC0ALQAtAC0ALQAtAC0ALQAtAC0ALQAtAC0ALQAtAC0ALQAtAC0ALQAtAC0ALQBcAG4AKgAvAFwAbgBcAG4AVgBFAEUAUgBHAF8ANABfADEAXwAxAF8AMwBfAF8AMwBfAEEAbgBuAHUAYQBsAE4AaQB0AHIAbwBnAGUAbgBFAHgAYwByAGUAdABpAG8AbgBcAG4AIAAgAD0ATABBAE0AQgBEAEEAKABcAG4AIAAgACAAIABOAF8AagAsACAATgBFAF8AagAsACAARABfAGoALABcAG4AIAAgACAAIABOAF8AagAgACoAIABOAEUAXwBqACAAKgAgAEQAXwBqAFwAbgAgACAAKQA7AFwAbgBcAG4AVgBFAEUAUgBHAF8ANABfADEAXwAxAF8AMwBfAF8AMwBfAEEAbgBuAHUAYQBsAE4AaQB0AHIAbwBnAGUAbgBFAHgAYwByAGUAdABpAG8AbgBfAFQAaQB0AGwAZQBcAG4AIAAgAD0ATABBAE0AQgBEAEEAKABcACIAQQBuAG4AdQBhAGwAIABuAGkAdAByAG8AZwBlAG4AIABlAHgAYwByAGUAdABpAG8AbgAgAGYAcgBvAG0AIABlAGEAYwBoACAAZgBlAGUAZABsAG8AdAAgAGMAYQB0AHQAbABlACAAZwByAG8AdQBwAFwAIgApADsAXABuAFwAbgBWAEUARQBSAEcAXwA0AF8AMQBfADEAXwAzAF8AXwAzAF8AQQBuAG4AdQBhAGwATgBpAHQAcgBvAGcAZQBuAEUAeABjAHIAZQB0AGkAbwBuAF8AVgBhAHIAaQBhAGIAbABlAFwAbgAgACAAPQBMAEEATQBCAEQAQQAoAFwAIgBBAEUAXwBqAFwAIgApADsAXABuAFwAbgBWAEUARQBSAEcAXwA0AF8AMQBfADEAXwAzAF8AXwAzAF8AQQBuAG4AdQBhAGwATgBpAHQAcgBvAGcAZQBuAEUAeABjAHIAZQB0AGkAbwBuAF8AVQBuAGkAdABcAG4AIAAgAD0ATABBAE0AQgBEAEEAKABcACIAawBnACAATgBcACIAKQA7AFwAbgBcAG4AVgBFAEUAUgBHAF8ANABfADEAXwAxAF8AMwBfAF8AMwBfAEEAbgBuAHUAYQBsAE4AaQB0AHIAbwBnAGUAbgBFAHgAYwByAGUAdABpAG8AbgBfAFMAbwB1AHIAYwBlAFwAbgAgACAAPQBMAEEATQBCAEQAQQAoAFwAIgBWAEUARQBSAEcAIAAyADAAMgA2ADoAIAA0AC4AMQAuADEALgAzACwAIABFAHEAdQBhAHQAaQBvAG4AIAAoADMAKQBcACIAKQA7AFwAbgBcAG4AVgBFAEUAUgBHAF8ANABfADEAXwAxAF8AMwBfAF8AMwBfAEEAbgBuAHUAYQBsAE4AaQB0AHIAbwBnAGUAbgBFAHgAYwByAGUAdABpAG8AbgBfAE4ASQBSAFIAZQBmAGUAcgBlAG4AYwBlAFwAbgAgACAAPQBMAEEATQBCAEQAQQAoAFwAIgBcACIAKQA7AFwAbgBcAG4AVgBFAEUAUgBHAF8ANABfADEAXwAxAF8AMwBfAF8AMwBfAEEAbgBuAHUAYQBsAE4AaQB0AHIAbwBnAGUAbgBFAHgAYwByAGUAdABpAG8AbgBfAEwAYQB0AGUAeABFAHEAdQBhAHQAaQBvAG4AXABuACAAIAA9AEwAQQBNAEIARABBACgAXAAiAEEARQBfAHsAagB9AD0ATgBfAHsAagB9AFwAXAB0AGkAbQBlAHMAIABOAEUAXwB7AGoAfQBcAFwAdABpAG0AZQBzACAARABfAHsAagB9AFwAIgApADsAXABuAFwAbgBWAEUARQBSAEcAXwA0AF8AMQBfADEAXwAzAF8AXwAzAF8AQQBuAG4AdQBhAGwATgBpAHQAcgBvAGcAZQBuAEUAeABjAHIAZQB0AGkAbwBuAF8AQQByAGcAdQBtAGUAbgB0AHMAXABuACAAIAA9AEwAQQBNAEIARABBACgAXABuACAAIAAgACAATQBBAEsARQBBAFIAUgBBAFkAKAAzACwAIAA0ACwAXABuACAAIAAgACAAIAAgAEwAQQBNAEIARABBACgAcgAsAGMALABcAG4AIAAgACAAIAAgACAAIAAgAEkATgBEAEUAWAAoAHsAXABuACAAIAAgACAAIAAgACAAIAAgACAAXAAiAE4AXwBqAFwAIgAsAFwAIgBuAHUAbQBiAGUAcgAgAG8AZgAgAGMAYQB0AHQAbABlACAAaQBuACAAZQBhAGMAaAAgAGcAcgBvAHUAcABcACIALAAgAFwAIgBoAGUAYQBkAFwAIgAsACAAXAAiAEkAbgBwAHUAdABcACIAOwBcAG4AIAAgACAAIAAgACAAIAAgACAAIABcACIATgBFAF8AagBcACIALABcACIAbgBpAHQAcgBvAGcAZQBuACAAZQB4AGMAcgBlAHQAaQBvAG4AXAAiACwAIABcACIAawBnACAATgAvAGgAZQBhAGQALwBkAGEAeQBcACIALAAgAFwAIgBDAGEAbABjAHUAbABhAHQAZQBkACAAZgByAG8AbQAgADQALgAxAC4AMQAuADMAIAAoADQAKQBcACIAOwBcAG4AIAAgACAAIAAgACAAIAAgACAAIABcACIARABfAGoAXAAiACwAXAAiAGQAdQByAGEAdABpAG8AbgAgAG8AZgAgAHMAdABhAHkAIABvAGYAIABjAGEAdAB0AGwAZQAgAGcAcgBvAHUAcABcACIALAAgAFwAIgBkAGEAeQBz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0AF8AMQBfADEAXwAzAF8AXwA0AF8ATgBpAHQAcgBvAGcAZQBuAEUAeABjAHIAZQB0AGkAbwBuAFAAZQByAEgAZQBhAGQAXABuAE4AaQB0AHIAbwBnAGUAbgAgAGUAeABjAHIAZQB0AGkAbwBuACAAcABlAHIAIABoAGUAYQBkACAAcABlAHIAIABkAGEAeQBcAG4ATgBFAF8AagBcAG4AawBnACAATgAvAGgAZQBhAGQALwBkAGEAeQBcAG4ATgBFAF8AewBqAH0APQBOAEkAXwB7AGoAfQBcAFwAdABpAG0AZQBzACgAMQAtAE4AUgBfAHsAagB9ACkAXABuAE4ASQBfAGoAIAA9ACAAbgBpAHQAcgBvAGcAZQBuACAAaQBuAHQAYQBrAGUAIAA6ACAAawBnACAATgAvAGgAZQBhAGQALwBkAGEAeQBcAG4ATgBSAF8AagAgAD0AIABuAGkAdAByAG8AZwBlAG4AIAByAGUAdABlAG4AdABpAG8AbgAgAGUAeABwAHIAZQBzAHMAZQBkACAAYQBzACAAYQAgAGYAcgBhAGMAdABpAG8AbgAgAG8AZgAgAGkAbgB0AGEAawBlACAAOgAgAGYAcgBhAGMAdABpAG8AbgBcAG4ALQAtAC0ALQAtAC0ALQAtAC0ALQAtAC0ALQAtAC0ALQAtAC0ALQAtAC0ALQAtAC0ALQAtAC0ALQAtAC0ALQAtAC0ALQAtAC0ALQAtAFwAbgAqAC8AXABuAFwAbgBWAEUARQBSAEcAXwA0AF8AMQBfADEAXwAzAF8AXwA0AF8ATgBpAHQAcgBvAGcAZQBuAEUAeABjAHIAZQB0AGkAbwBuAFAAZQByAEgAZQBhAGQAXABuACAAIAA9AEwAQQBNAEIARABBACgAXABuACAAIAAgACAATgBJAF8AagAsACAATgBSAF8AagAsAFwAbgAgACAAIAAgAE4ASQBfAGoAIAAqACAAKAAxACAALQAgAE4AUgBfAGoAKQBcAG4AIAAgACkAOwBcAG4AXABuAFYARQBFAFIARwBfADQAXwAxAF8AMQBfADMAXwBfADQAXwBOAGkAdAByAG8AZwBlAG4ARQB4AGMAcgBlAHQAaQBvAG4AUABlAHIASABlAGEAZABfAFQAaQB0AGwAZQBcAG4AIAAgAD0ATABBAE0AQgBEAEEAKABcACIATgBpAHQAcgBvAGcAZQBuACAAZQB4AGMAcgBlAHQAaQBvAG4AIABwAGUAcgAgAGgAZQBhAGQAIABwAGUAcgAgAGQAYQB5AFwAIgApADsAXABuAFwAbgBWAEUARQBSAEcAXwA0AF8AMQBfADEAXwAzAF8AXwA0AF8ATgBpAHQAcgBvAGcAZQBuAEUAeABjAHIAZQB0AGkAbwBuAFAAZQByAEgAZQBhAGQAXwBWAGEAcgBpAGEAYgBsAGUAXABuACAAIAA9AEwAQQBNAEIARABBACgAXAAiAE4ARQBfAGoAXAAiACkAOwBcAG4AXABuAFYARQBFAFIARwBfADQAXwAxAF8AMQBfADMAXwBfADQAXwBOAGkAdAByAG8AZwBlAG4ARQB4AGMAcgBlAHQAaQBvAG4AUABlAHIASABlAGEAZABfAFUAbgBpAHQAXABuACAAIAA9AEwAQQBNAEIARABBACgAXAAiAGsAZwAgAE4ALwBoAGUAYQBkAC8AZABhAHkAXAAiACkAOwBcAG4AXABuAFYARQBFAFIARwBfADQAXwAxAF8AMQBfADMAXwBfADQAXwBOAGkAdAByAG8AZwBlAG4ARQB4AGMAcgBlAHQAaQBvAG4AUABlAHIASABlAGEAZABfAFMAbwB1AHIAYwBlAFwAbgAgACAAPQBMAEEATQBCAEQAQQAoAFwAIgBWAEUARQBSAEcAIAAyADAAMgA2ADoAIAA0AC4AMQAuADEALgAzACwAIABFAHEAdQBhAHQAaQBvAG4AIAAoADQAKQBcACIAKQA7AFwAbgBcAG4AVgBFAEUAUgBHAF8ANABfADEAXwAxAF8AMwBfAF8ANABfAE4AaQB0AHIAbwBnAGUAbgBFAHgAYwByAGUAdABpAG8AbgBQAGUAcgBIAGUAYQBkAF8ATgBJAFIAUgBlAGYAZQByAGUAbgBjAGUAXABuACAAIAA9AEwAQQBNAEIARABBACgAXAAiAFwAIgApADsAXABuAFwAbgBWAEUARQBSAEcAXwA0AF8AMQBfADEAXwAzAF8AXwA0AF8ATgBpAHQAcgBvAGcAZQBuAEUAeABjAHIAZQB0AGkAbwBuAFAAZQByAEgAZQBhAGQAXwBMAGEAdABlAHgARQBxAHUAYQB0AGkAbwBuAFwAbgAgACAAPQBMAEEATQBCAEQAQQAoAFwAIgBOAEUAXwB7AGoAfQA9AE4ASQBfAHsAagB9AFwAXAB0AGkAbQBlAHMAKAAxAC0ATgBSAF8AewBqAH0AKQBcACIAKQA7AFwAbgBcAG4AVgBFAEUAUgBHAF8ANABfADEAXwAxAF8AMwBfAF8ANABfAE4AaQB0AHIAbwBnAGUAbgBFAHgAYwByAGUAdABpAG8AbgBQAGUAcgBIAGUAYQBkAF8AQQByAGcAdQBtAGUAbgB0AHMAXABuACAAIAA9AEwAQQBNAEIARABBACgAXABuACAAIAAgACAATQBBAEsARQBBAFIAUgBBAFkAKAAyACwAIAA0ACwAXABuACAAIAAgACAAIAAgAEwAQQBNAEIARABBACgAcgAsAGMALABcAG4AIAAgACAAIAAgACAAIAAgAEkATgBEAEUAWAAoAHsAXABuACAAIAAgACAAIAAgACAAIAAgACAAXAAiAE4ASQBfAGoAXAAiACwAXAAiAG4AaQB0AHIAbwBnAGUAbgAgAGkAbgB0AGEAawBlAFwAIgAsACAAXAAiAGsAZwAgAE4ALwBoAGUAYQBkAC8AZABhAHkAXAAiACwAIABcACIAQwBhAGwAYwB1AGwAYQB0AGUAZAAgAGYAcgBvAG0AIAA0AC4AMQAuADEALgAzACAAKAA1ACkAXAAiADsAXABuACAAIAAgACAAIAAgACAAIAAgACAAXAAiAE4AUgBfAGoAXAAiACwAXAAiAG4AaQB0AHIAbwBnAGUAbgAgAHIAZQB0AGUAbgB0AGkAbwBuACAAZQB4AHAAcgBlAHMAcwBlAGQAIABhAHMAIABhACAAZgByAGEAYwB0AGkAbwBuACAAbwBmACAAaQBuAHQAYQBrAGUAXAAiACwAIABcACIAZgByAGEAYwB0AGkAbwBu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0AF8AMQBfADEAXwAzAF8AXwA1AF8ATgBpAHQAcgBvAGcAZQBuAEkAbgB0AGEAawBlAFwAbgBOAGkAdAByAG8AZwBlAG4AIABpAG4AdABhAGsAZQAgAG8AZgAgAGYAZQBlAGQAbABvAHQAIABjAGEAdAB0AGwAZQBcAG4ATgBJAF8AagBcAG4AawBnACAATgAvAGgAZQBhAGQALwBkAGEAeQBcAG4ATgBJAF8AewBqAH0APQBJAF8AewBqAH0AXABcAHQAaQBtAGUAcwAgAEMAUABfAHsAagB9AFwAXABkAGkAdgAgADYALgAyADUAXABuAEkAXwBqACAAPQAgAGQAcgB5ACAAbQBhAHQAdABlAHIAIABpAG4AdABhAGsAZQAgADoAIABrAGcAIABEAE0ALwBoAGUAYQBkAC8AZABhAHkAXABuAEMAUABfAGoAIAA9ACAAYwByAHUAZABlACAAcAByAG8AdABlAGkAbgAgAGMAbwBuAHQAZQBuAHQAIABvAGYAIABmAGUAZQBkACAAOgAgAGYAcgBhAGMAdABpAG8AbgBcAG4ANgAuADIANQAgAD0AIABmAGEAYwB0AG8AcgAgAGYAbwByACAAYwBvAG4AdgBlAHIAdABpAG4AZwAgAGMAcgB1AGQAZQAgAHAAcgBvAHQAZQBpAG4AIABpAG4AdABvACAAbgBpAHQAcgBvAGcAZQBuACAAOgAgAHIAYQB0AGkAbwBcAG4ALQAtAC0ALQAtAC0ALQAtAC0ALQAtAC0ALQAtAC0ALQAtAC0ALQAtAC0ALQAtAC0ALQAtAC0ALQAtAC0ALQAtAC0ALQAtAC0ALQAtAFwAbgAqAC8AXABuAFwAbgBWAEUARQBSAEcAXwA0AF8AMQBfADEAXwAzAF8AXwA1AF8ATgBpAHQAcgBvAGcAZQBuAEkAbgB0AGEAawBlAFwAbgAgACAAPQBMAEEATQBCAEQAQQAoAFwAbgAgACAAIAAgAEkAXwBqACwAIABDAFAAXwBqACwAXABuACAAIAAgACAASQBfAGoAIAAqACAAQwBQAF8AagAgAC8AIAA2AC4AMgA1AFwAbgAgACAAKQA7AFwAbgBcAG4AVgBFAEUAUgBHAF8ANABfADEAXwAxAF8AMwBfAF8ANQBfAE4AaQB0AHIAbwBnAGUAbgBJAG4AdABhAGsAZQBfAFQAaQB0AGwAZQBcAG4AIAAgAD0ATABBAE0AQgBEAEEAKABcACIATgBpAHQAcgBvAGcAZQBuACAAaQBuAHQAYQBrAGUAIABvAGYAIABmAGUAZQBkAGwAbwB0ACAAYwBhAHQAdABsAGUAXAAiACkAOwBcAG4AXABuAFYARQBFAFIARwBfADQAXwAxAF8AMQBfADMAXwBfADUAXwBOAGkAdAByAG8AZwBlAG4ASQBuAHQAYQBrAGUAXwBWAGEAcgBpAGEAYgBsAGUAXABuACAAIAA9AEwAQQBNAEIARABBACgAXAAiAE4ASQBfAGoAXAAiACkAOwBcAG4AXABuAFYARQBFAFIARwBfADQAXwAxAF8AMQBfADMAXwBfADUAXwBOAGkAdAByAG8AZwBlAG4ASQBuAHQAYQBrAGUAXwBVAG4AaQB0AFwAbgAgACAAPQBMAEEATQBCAEQAQQAoAFwAIgBrAGcAIABOAC8AaABlAGEAZAAvAGQAYQB5AFwAIgApADsAXABuAFwAbgBWAEUARQBSAEcAXwA0AF8AMQBfADEAXwAzAF8AXwA1AF8ATgBpAHQAcgBvAGcAZQBuAEkAbgB0AGEAawBlAF8AUwBvAHUAcgBjAGUAXABuACAAIAA9AEwAQQBNAEIARABBACgAXAAiAFYARQBFAFIARwAgADIAMAAyADYAOgAgADQALgAxAC4AMQAuADMALAAgAEUAcQB1AGEAdABpAG8AbgAgACgANQApAFwAIgApADsAXABuAFwAbgBWAEUARQBSAEcAXwA0AF8AMQBfADEAXwAzAF8AXwA1AF8ATgBpAHQAcgBvAGcAZQBuAEkAbgB0AGEAawBlAF8ATgBJAFIAUgBlAGYAZQByAGUAbgBjAGUAXABuACAAIAA9AEwAQQBNAEIARABBACgAXAAiAFwAIgApADsAXABuAFwAbgBWAEUARQBSAEcAXwA0AF8AMQBfADEAXwAzAF8AXwA1AF8ATgBpAHQAcgBvAGcAZQBuAEkAbgB0AGEAawBlAF8ATABhAHQAZQB4AEUAcQB1AGEAdABpAG8AbgBcAG4AIAAgAD0ATABBAE0AQgBEAEEAKABcACIATgBJAF8AewBqAH0APQBJAF8AewBqAH0AXABcAHQAaQBtAGUAcwAgAEMAUABfAHsAagB9AFwAXABkAGkAdgAgADYALgAyADUAXAAiACkAOwBcAG4AXABuAFYARQBFAFIARwBfADQAXwAxAF8AMQBfADMAXwBfADUAXwBOAGkAdAByAG8AZwBlAG4ASQBuAHQAYQBrAGUAXwBBAHIAZwB1AG0AZQBuAHQAcwBcAG4AIAAgAD0ATABBAE0AQgBEAEEAKABcAG4AIAAgACAAIABNAEEASwBFAEEAUgBSAEEAWQAoADMALAAgADQALABcAG4AIAAgACAAIAAgACAATABBAE0AQgBEAEEAKAByACwAYwAsAFwAbgAgACAAIAAgACAAIAAgACAASQBOAEQARQBYACgAewBcAG4AIAAgACAAIAAgACAAIAAgACAAIABcACIASQBfAGoAXAAiACwAXAAiAGQAcgB5ACAAbQBhAHQAdABlAHIAIABpAG4AdABhAGsAZQBcACIALAAgAFwAIgBrAGcAIABEAE0ALwBoAGUAYQBkAC8AZABhAHkAXAAiACwAIABcACIASQBuAHAAdQB0AFwAIgA7AFwAbgAgACAAIAAgACAAIAAgACAAIAAgAFwAIgBDAFAAXwBqAFwAIgAsAFwAIgBjAHIAdQBkAGUAIABwAHIAbwB0AGUAaQBuACAAYwBvAG4AdABlAG4AdAAgAG8AZgAgAGYAZQBlAGQAXAAiACwAIABcACIAZgByAGEAYwB0AGkAbwBuAFwAIgAsACAAXAAiAEkAbgBwAHUAdABcACIAOwBcAG4AIAAgACAAIAAgACAAIAAgACAAIABcACIANgAuADIANQBcACIALABcACIAZgBhAGMAdABvAHIAIABmAG8AcgAgAGMAbwBuAHYAZQByAHQAaQBuAGcAIABjAHIAdQBkAGUAIABwAHIAbwB0AGUAaQBuACAAaQBuAHQAbwAgAG4AaQB0AHIAbwBnAGUAbgBcACIALAAgAFwAIgByAGEAdABpAG8AXAAiACwAIABcACIAQwBvAG4AcwB0AGEAbgB0AFwAIgBcAG4AIAAgACAAIAAgACAAIAAgAH0ALAAgAHIALAAgAGMAKQBcAG4AIAAgACAAIAAgACAAKQBcAG4AIAAgACAAIAApAFwAbgAgACAAKQA7AFwAbgBcAG4ALwAqAFwAbgAtAC0ALQAtAC0ALQAtAC0ALQAtAC0ALQAtAC0ALQAtAC0ALQAtAC0ALQAtAC0ALQAtAC0ALQAtAC0ALQAtAC0ALQAtAC0ALQAtAC0AXABuAFYARQBFAFIARwBfADQAXwAxAF8AMQBfADMAXwBfADYAXwBTAHQAYQBnAGUAMgBOAGkAdAByAG8AZwBlAG4ASQBuAE0ATQBTAFwAbgBOAGkAdAByAG8AZwBlAG4AIABpAG4AIAB0AHIAZQBhAHQAbQBlAG4AdAAgAHMAdABhAGcAZQAgADIAIABNAE0AUwBcAG4ATQBOAF8AagBtAFQAMgBcAG4AawBnACAATgBcAG4ATQBOAF8AewBqAG0ALABUAD0AMgB9AD0ATgBUAF8AewBqAG0ALABUAD0AMgB9AFwAXAB0AGkAbQBlAHMAIABNAE0AUwBfAHsAagBtACwAVAA9ADIAfQBcAG4ATgBUAF8AagBtAFQAMgAgAD0AIABuAGkAdAByAG8AZwBlAG4AIAB0AHIAYQBuAHMAZgBlAHIAcgBlAGQAIAB0AG8AIABzAGUAYwBvAG4AZABhAHIAeQAgAHQAcgBlAGEAdABtAGUAbgB0ACAATQBNAFMAIAA6ACAAawBnACAATgBcAG4ATQBNAFMAXwBqAG0AVAAyACAAPQAgAGYAcgBhAGMAdABpAG8AbgAgAG8AZgAgAG0AYQBuAHUAcgBlACAAaQBuACAAZQBhAGMAaAAgAHMAZQBjAG8AbgBkAGEAcgB5ACAAcwB5AHMAdABlAG0AIAA6ACAAZgByAGEAYwB0AGkAbwBuAFwAbgAtAC0ALQAtAC0ALQAtAC0ALQAtAC0ALQAtAC0ALQAtAC0ALQAtAC0ALQAtAC0ALQAtAC0ALQAtAC0ALQAtAC0ALQAtAC0ALQAtAC0AXABuACoALwBcAG4AXABuAFYARQBFAFIARwBfADQAXwAxAF8AMQBfADMAXwBfADYAXwBTAHQAYQBnAGUAMgBOAGkAdAByAG8AZwBlAG4ASQBuAE0ATQBTAFwAbgAgACAAPQBMAEEATQBCAEQAQQAoAFwAbgAgACAAIAAgAE4AVABfAGoAbQBUADIALAAgAE0ATQBTAF8AagBtAFQAMgAsAFwAbgAgACAAIAAgAE4AVABfAGoAbQBUADIAIAAqACAATQBNAFMAXwBqAG0AVAAyAFwAbgAgACAAKQA7AFwAbgBcAG4AVgBFAEUAUgBHAF8ANABfADEAXwAxAF8AMwBfAF8ANgBfAFMAdABhAGcAZQAyAE4AaQB0AHIAbwBnAGUAbgBJAG4ATQBNAFMAXwBUAGkAdABsAGUAXABuACAAIAA9AEwAQQBNAEIARABBACgAXAAiAE4AaQB0AHIAbwBnAGUAbgAgAGkAbgAgAHQAcgBlAGEAdABtAGUAbgB0ACAAcwB0AGEAZwBlACAAMgAgAE0ATQBTAFwAIgApADsAXABuAFwAbgBWAEUARQBSAEcAXwA0AF8AMQBfADEAXwAzAF8AXwA2AF8AUwB0AGEAZwBlADIATgBpAHQAcgBvAGcAZQBuAEkAbgBNAE0AUwBfAFYAYQByAGkAYQBiAGwAZQBcAG4AIAAgAD0ATABBAE0AQgBEAEEAKABcACIATQBOAF8AagBtAFQAMgBcACIAKQA7AFwAbgBcAG4AVgBFAEUAUgBHAF8ANABfADEAXwAxAF8AMwBfAF8ANgBfAFMAdABhAGcAZQAyAE4AaQB0AHIAbwBnAGUAbgBJAG4ATQBNAFMAXwBVAG4AaQB0AFwAbgAgACAAPQBMAEEATQBCAEQAQQAoAFwAIgBrAGcAIABOAFwAIgApADsAXABuAFwAbgBWAEUARQBSAEcAXwA0AF8AMQBfADEAXwAzAF8AXwA2AF8AUwB0AGEAZwBlADIATgBpAHQAcgBvAGcAZQBuAEkAbgBNAE0AUwBfAFMAbwB1AHIAYwBlAFwAbgAgACAAPQBMAEEATQBCAEQAQQAoAFwAIgBWAEUARQBSAEcAIAAyADAAMgA2ADoAIAA0AC4AMQAuADEALgAzACwAIABFAHEAdQBhAHQAaQBvAG4AIAAoADYAKQBcACIAKQA7AFwAbgBcAG4AVgBFAEUAUgBHAF8ANABfADEAXwAxAF8AMwBfAF8ANgBfAFMAdABhAGcAZQAyAE4AaQB0AHIAbwBnAGUAbgBJAG4ATQBNAFMAXwBOAEkAUgBSAGUAZgBlAHIAZQBuAGMAZQBcAG4AIAAgAD0ATABBAE0AQgBEAEEAKABcACIAXAAiACkAOwBcAG4AXABuAFYARQBFAFIARwBfADQAXwAxAF8AMQBfADMAXwBfADYAXwBTAHQAYQBnAGUAMgBOAGkAdAByAG8AZwBlAG4ASQBuAE0ATQBTAF8ATABhAHQAZQB4AEUAcQB1AGEAdABpAG8AbgBcAG4AIAAgAD0ATABBAE0AQgBEAEEAKABcACIATQBOAF8AewBqAG0ALABUAD0AMgB9AD0ATgBUAF8AewBqAG0ALABUAD0AMgB9AFwAXAB0AGkAbQBlAHMAIABNAE0AUwBfAHsAagBtACwAVAA9ADIAfQBcACIAKQA7AFwAbgBcAG4AVgBFAEUAUgBHAF8ANABfADEAXwAxAF8AMwBfAF8ANgBfAFMAdABhAGcAZQAyAE4AaQB0AHIAbwBnAGUAbgBJAG4ATQBNAFMAXwBBAHIAZwB1AG0AZQBuAHQAcwBcAG4AIAAgAD0ATABBAE0AQgBEAEEAKABcAG4AIAAgACAAIABNAEEASwBFAEEAUgBSAEEAWQAoADIALAAgADQALABcAG4AIAAgACAAIAAgACAATABBAE0AQgBEAEEAKAByACwAYwAsAFwAbgAgACAAIAAgACAAIAAgACAASQBOAEQARQBYACgAewBcAG4AIAAgACAAIAAgACAAIAAgACAAIABcACIATgBUAF8AagBtAFQAMgBcACIALABcACIAbgBpAHQAcgBvAGcAZQBuACAAdAByAGEAbgBzAGYAZQByAHIAZQBkACAAdABvACAAcwBlAGMAbwBuAGQAYQByAHkAIAB0AHIAZQBhAHQAbQBlAG4AdAAgAE0ATQBTAFwAIgAsACAAXAAiAGsAZwAgAE4AXAAiACwAIABcACIAQwBhAGwAYwB1AGwAYQB0AGUAZAAgAGYAcgBvAG0AIAA0AC4AMQAuADEALgAzACAAKAA3ACkAXAAiADsAXABuACAAIAAgACAAIAAgACAAIAAgACAAXAAiAE0ATQBTAF8AagBtAFQAMgBcACIALABcACIAZgByAGEAYwB0AGkAbwBuACAAbwBmACAAbQBhAG4AdQByAGUAIABpAG4AIABlAGEAYwBoACAAcwBlAGMAbwBuAGQAYQByAHkAIABzAHkAcwB0AGUAbQBcACIALAAgAFwAIgBmAHIAYQBjAHQAaQBvAG4AXAAiACwAIABcACIASQBuAHAAdQB0AFwAIgBcAG4AIAAgACAAIAAgACAAIAAgAH0ALAAgAHIALAAgAGMAKQBcAG4AIAAgACAAIAAgACAAKQBcAG4AIAAgACAAIAApAFwAbgAgACAAKQA7AFwAbgBcAG4ALwAqAFwAbgAtAC0ALQAtAC0ALQAtAC0ALQAtAC0ALQAtAC0ALQAtAC0ALQAtAC0ALQAtAC0ALQAtAC0ALQAtAC0ALQAtAC0ALQAtAC0ALQAtAC0AXABuAFYARQBFAFIARwBfADQAXwAxAF8AMQBfADMAXwBfADcAXwBOAGkAdAByAG8AZwBlAG4AVAByAGEAbgBzAGYAZQByAHIAZQBkAFQAbwBTAHQAYQBnAGUAMgBcAG4ATgBpAHQAcgBvAGcAZQBuACAAdAByAGEAbgBzAGYAZQByAHIAZQBkACAAdABvACAAdAByAGUAYQB0AG0AZQBuAHQAIABzAHQAYQBnAGUAIAAyACAATQBNAFMAXABuAE4AVABfAGoAbQBUADIAXABuAGsAZwAgAE4AXABuAE4AVABfAHsAagBtACwAVAA9ADIAfQA9ACgATQBOAF8AewBqAG0APQA1ACwAVAA9ADEAfQBcAFwAdABpAG0AZQBzACgAMQAtAEYAcgBhAGMARwBBAFMATQBfAHsAbQA9ADUAfQAtAEUARgBfAHsAbQA9ADUAfQApACkALQBNAE4AXwB7AGoAbQAsAFQAPQAzAH0AXABuAE0ATgBfAGoAbQA1AFQAMQAgAD0AIABuAGkAdAByAG8AZwBlAG4AIABpAG4AIABNAE0AUwAgAHQAcgBlAGEAdABtAGUAbgB0ACAAcwB0AGEAZwBlACAAMQAgADoAIABrAGcAIABOAFwAbgBGAHIAYQBjAEcAQQBTAE0AXwBtADUAIAA9ACAAZgByAGEAYwB0AGkAbwBuACAAbwBmACAATgAgAHYAbwBsAGEAdABpAGwAaQBzAGUAZAAgAGYAcgBvAG0AIABkAHIAeQBsAG8AdAAgAE0ATQBTACAAOgAgAGYAcgBhAGMAdABpAG8AbgBcAG4ARQBGAF8AbQA1ACAAPQAgAG4AaQB0AHIAbwB1AHMAIABvAHgAaQBkAGUAIABlAG0AaQBzAHMAaQBvAG4AIABmAGEAYwB0AG8AcgAgAGYAbwByACAAZAByAHkAbABvAHQAIABNAE0AUwAgADoAIABrAGcAIABOADIATwAtAE4ALwBrAGcAIABOACAAZABlAHAAbwBzAGkAdABlAGQAXABuAE0ATgBfAGoAbQBUADMAIAA9ACAAbgBpAHQAcgBvAGcAZQBuACAAaQBuACAATQBNAFMAIAB0AHIAZQBhAHQAbQBlAG4AdAAgAHMAdABhAGcAZQAgADMAIAA6ACAAawBnACAATgBcAG4ALQAtAC0ALQAtAC0ALQAtAC0ALQAtAC0ALQAtAC0ALQAtAC0ALQAtAC0ALQAtAC0ALQAtAC0ALQAtAC0ALQAtAC0ALQAtAC0ALQAtAFwAbgAqAC8AXABuAFwAbgBWAEUARQBSAEcAXwA0AF8AMQBfADEAXwAzAF8AXwA3AF8ATgBpAHQAcgBvAGcAZQBuAFQAcgBhAG4AcwBmAGUAcgByAGUAZABUAG8AUwB0AGEAZwBlADIAXABuACAAIAA9AEwAQQBNAEIARABBACgAXABuACAAIAAgACAATQBOAF8AagBtADUAVAAxACwAIABGAHIAYQBjAEcAQQBTAE0AXwBtADUALAAgAEUARgBfAG0ANQAsACAATQBOAF8AagBtAFQAMwAsAFwAbgAgACAAIAAgACgATQBOAF8AagBtADUAVAAxACAAKgAgACgAMQAgAC0AIABGAHIAYQBjAEcAQQBTAE0AXwBtADUAIAAtACAARQBGAF8AbQA1ACkAKQAgAC0AIABNAE4AXwBqAG0AVAAzAFwAbgAgACAAKQA7AFwAbgBcAG4AVgBFAEUAUgBHAF8ANABfADEAXwAxAF8AMwBfAF8ANwBfAE4AaQB0AHIAbwBnAGUAbgBUAHIAYQBuAHMAZgBlAHIAcgBlAGQAVABvAFMAdABhAGcAZQAyAF8AVABpAHQAbABlAFwAbgAgACAAPQBMAEEATQBCAEQAQQAoAFwAIgBOAGkAdAByAG8AZwBlAG4AIAB0AHIAYQBuAHMAZgBlAHIAcgBlAGQAIAB0AG8AIAB0AHIAZQBhAHQAbQBlAG4AdAAgAHMAdABhAGcAZQAgADIAIABNAE0AUwBcACIAKQA7AFwAbgBcAG4AVgBFAEUAUgBHAF8ANABfADEAXwAxAF8AMwBfAF8ANwBfAE4AaQB0AHIAbwBnAGUAbgBUAHIAYQBuAHMAZgBlAHIAcgBlAGQAVABvAFMAdABhAGcAZQAyAF8AVgBhAHIAaQBhAGIAbABlAFwAbgAgACAAPQBMAEEATQBCAEQAQQAoAFwAIgBOAFQAXwBqAG0AVAAyAFwAIgApADsAXABuAFwAbgBWAEUARQBSAEcAXwA0AF8AMQBfADEAXwAzAF8AXwA3AF8ATgBpAHQAcgBvAGcAZQBuAFQAcgBhAG4AcwBmAGUAcgByAGUAZABUAG8AUwB0AGEAZwBlADIAXwBVAG4AaQB0AFwAbgAgACAAPQBMAEEATQBCAEQAQQAoAFwAIgBrAGcAIABOAFwAIgApADsAXABuAFwAbgBWAEUARQBSAEcAXwA0AF8AMQBfADEAXwAzAF8AXwA3AF8ATgBpAHQAcgBvAGcAZQBuAFQAcgBhAG4AcwBmAGUAcgByAGUAZABUAG8AUwB0AGEAZwBlADIAXwBTAG8AdQByAGMAZQBcAG4AIAAgAD0ATABBAE0AQgBEAEEAKABcACIAVgBFAEUAUgBHACAAMgAwADIANgA6ACAANAAuADEALgAxAC4AMwAsACAARQBxAHUAYQB0AGkAbwBuACAAKAA3ACkAXAAiACkAOwBcAG4AXABuAFYARQBFAFIARwBfADQAXwAxAF8AMQBfADMAXwBfADcAXwBOAGkAdAByAG8AZwBlAG4AVAByAGEAbgBzAGYAZQByAHIAZQBkAFQAbwBTAHQAYQBnAGUAMgBfAE4ASQBSAFIAZQBmAGUAcgBlAG4AYwBlAFwAbgAgACAAPQBMAEEATQBCAEQAQQAoAFwAIgBcACIAKQA7AFwAbgBcAG4AVgBFAEUAUgBHAF8ANABfADEAXwAxAF8AMwBfAF8ANwBfAE4AaQB0AHIAbwBnAGUAbgBUAHIAYQBuAHMAZgBlAHIAcgBlAGQAVABvAFMAdABhAGcAZQAyAF8ATABhAHQAZQB4AEUAcQB1AGEAdABpAG8AbgBcAG4AIAAgAD0ATABBAE0AQgBEAEEAKABcACIATgBUAF8AewBqAG0ALABUAD0AMgB9AD0AKABNAE4AXwB7AGoAbQA9ADUALABUAD0AMQB9AFwAXAB0AGkAbQBlAHMAKAAxAC0ARgByAGEAYwBHAEEAUwBNAF8AewBtAD0ANQB9AC0ARQBGAF8AewBtAD0ANQB9ACkAKQAtAE0ATgBfAHsAagBtACwAVAA9ADMAfQBcACIAKQA7AFwAbgBcAG4AVgBFAEUAUgBHAF8ANABfADEAXwAxAF8AMwBfAF8ANwBfAE4AaQB0AHIAbwBnAGUAbgBUAHIAYQBuAHMAZgBlAHIAcgBlAGQAVABvAFMAdABhAGcAZQAyAF8AQQByAGcAdQBtAGUAbgB0AHMAXABuACAAIAA9AEwAQQBNAEIARABBACgAXABuACAAIAAgACAATQBBAEsARQBBAFIAUgBBAFkAKAA0ACwAIAA0ACwAXABuACAAIAAgACAAIAAgAEwAQQBNAEIARABBACgAcgAsAGMALABcAG4AIAAgACAAIAAgACAAIAAgAEkATgBEAEUAWAAoAHsAXABuACAAIAAgACAAIAAgACAAIAAgACAAXAAiAE0ATgBfAGoAbQA1AFQAMQBcACIALABcACIAbgBpAHQAcgBvAGcAZQBuACAAaQBuACAATQBNAFMAIAB0AHIAZQBhAHQAbQBlAG4AdAAgAHMAdABhAGcAZQAgADEAXAAiACwAIABcACIAawBnACAATgBcACIALAAgAFwAIgBDAGEAbABjAHUAbABhAHQAZQBkACAAZgByAG8AbQAgADQALgAxAC4AMQAuADMAIAAoADIAKQBcACIAOwBcAG4AIAAgACAAIAAgACAAIAAgACAAIABcACIARgByAGEAYwBHAEEAUwBNAF8AbQA1AFwAIgAsAFwAIgBmAHIAYQBjAHQAaQBvAG4AIABvAGYAIABOACAAdgBvAGwAYQB0AGkAbABpAHMAZQBkACAAZgByAG8AbQAgAGQAcgB5AGwAbwB0ACAATQBNAFMAXAAiACwAIABcACIAZgByAGEAYwB0AGkAbwBuAFwAIgAsACAAXAAiAEMAbwBuAHMAdABhAG4AdABcACIAOwBcAG4AIAAgACAAIAAgACAAIAAgACAAIABcACIARQBGAF8AbQA1AFwAIgAsAFwAIgBuAGkAdAByAG8AdQBzACAAbwB4AGkAZABlACAAZQBtAGkAcwBzAGkAbwBuACAAZgBhAGMAdABvAHIAIABmAG8AcgAgAGQAcgB5AGwAbwB0ACAATQBNAFMAXAAiACwAIABcACIAawBnACAATgAyAE8ALQBOAC8AawBnACAATgAgAGQAZQBwAG8AcwBpAHQAZQBkAFwAIgAsACAAXAAiAEMAbwBuAHMAdABhAG4AdABcACIAOwBcAG4AIAAgACAAIAAgACAAIAAgACAAIABcACIATQBOAF8AagBtAFQAMwBcACIALABcACIAbgBpAHQAcgBvAGcAZQBuACAAaQBuACAATQBNAFMAIAB0AHIAZQBhAHQAbQBlAG4AdAAgAHMAdABhAGcAZQAgADMAXAAiACwAIABcACIAawBnACAATgBcACIALAAgAFwAIgBDAGEAbABjAHUAbABhAHQAZQBkACAAZgByAG8AbQAgADQALgAxAC4AMQAuADMAIAAoADgAKQBcACIAXABuACAAIAAgACAAIAAgACAAIAB9ACwAIAByACwAIABjACkAXABuACAAIAAgACAAIAAgACkAXABuACAAIAAgACAAKQBcAG4AIAAgACkAOwBcAG4AXABuAC8AKgBcAG4ALQAtAC0ALQAtAC0ALQAtAC0ALQAtAC0ALQAtAC0ALQAtAC0ALQAtAC0ALQAtAC0ALQAtAC0ALQAtAC0ALQAtAC0ALQAtAC0ALQAtAFwAbgBWAEUARQBSAEcAXwA0AF8AMQBfADEAXwAzAF8AXwA4AF8AUwB0AGEAZwBlADMATgBpAHQAcgBvAGcAZQBuAEkAbgBNAE0AUwBBAG4AYQBlAHIAbwBiAGkAYwBMAGEAZwBvAG8AbgBcAG4ATgBpAHQAcgBvAGcAZQBuACAAaQBuACAAdAByAGUAYQB0AG0AZQBuAHQAIABzAHQAYQBnAGUAIAAzACAATQBNAFMAXABuAE0ATgBfAGoAbQAxAFQAMwBcAG4AawBnACAATgBcAG4ATQBOAF8AewBqAG0APQAxACwAVAA9ADMAfQA9AEEARQBfAHsAagB9AFwAXAB0AGkAbQBlAHMAIABNAE0AUwBfAHsAagBtAD0AMQAsAFQAPQAzAH0AXABuAEEARQBfAGoAIAA9ACAAdABvAHQAYQBsACAAbgBpAHQAcgBvAGcAZQBuACAAZQB4AGMAcgBlAHQAZQBkACAAYgB5ACAAZQBhAGMAaAAgAGMAYQB0AHQAbABlACAAZwByAG8AdQBwACAAOgAgAGsAZwAgAE4AXABuAE0ATQBTAF8AagBtADEAVAAzACAAPQAgAGYAcgBhAGMAdABpAG8AbgAgAG8AZgAgAG0AYQBuAHUAcgBlACAAdABvACAAdABlAHIAdABpAGEAcgB5ACAAYQBuAGEAZQByAG8AYgBpAGMAIABsAGEAZwBvAG8AbgAgAHMAeQBzAHQAZQBtACAAOgAgAGYAcgBhAGMAdABpAG8AbgBcAG4ALQAtAC0ALQAtAC0ALQAtAC0ALQAtAC0ALQAtAC0ALQAtAC0ALQAtAC0ALQAtAC0ALQAtAC0ALQAtAC0ALQAtAC0ALQAtAC0ALQAtAFwAbgAqAC8AXABuAFwAbgBWAEUARQBSAEcAXwA0AF8AMQBfADEAXwAzAF8AXwA4AF8AUwB0AGEAZwBlADMATgBpAHQAcgBvAGcAZQBuAEkAbgBNAE0AUwBBAG4AYQBlAHIAbwBiAGkAYwBMAGEAZwBvAG8AbgBcAG4AIAAgAD0ATABBAE0AQgBEAEEAKABcAG4AIAAgACAAIABBAEUAXwBqACwAIABNAE0AUwBfAGoAbQAxAFQAMwAsAFwAbgAgACAAIAAgAEEARQBfAGoAIAAqACAATQBNAFMAXwBqAG0AMQBUADMAXABuACAAIAApADsAXABuAFwAbgBWAEUARQBSAEcAXwA0AF8AMQBfADEAXwAzAF8AXwA4AF8AUwB0AGEAZwBlADMATgBpAHQAcgBvAGcAZQBuAEkAbgBNAE0AUwBBAG4AYQBlAHIAbwBiAGkAYwBMAGEAZwBvAG8AbgBfAFQAaQB0AGwAZQBcAG4AIAAgAD0ATABBAE0AQgBEAEEAKABcACIATgBpAHQAcgBvAGcAZQBuACAAaQBuACAAdAByAGUAYQB0AG0AZQBuAHQAIABzAHQAYQBnAGUAIAAzACAATQBNAFMAXAAiACkAOwBcAG4AXABuAFYARQBFAFIARwBfADQAXwAxAF8AMQBfADMAXwBfADgAXwBTAHQAYQBnAGUAMwBOAGkAdAByAG8AZwBlAG4ASQBuAE0ATQBTAEEAbgBhAGUAcgBvAGIAaQBjAEwAYQBnAG8AbwBuAF8AVgBhAHIAaQBhAGIAbABlAFwAbgAgACAAPQBMAEEATQBCAEQAQQAoAFwAIgBNAE4AXwBqAG0AMQBUADMAXAAiACkAOwBcAG4AXABuAFYARQBFAFIARwBfADQAXwAxAF8AMQBfADMAXwBfADgAXwBTAHQAYQBnAGUAMwBOAGkAdAByAG8AZwBlAG4ASQBuAE0ATQBTAEEAbgBhAGUAcgBvAGIAaQBjAEwAYQBnAG8AbwBuAF8AVQBuAGkAdABcAG4AIAAgAD0ATABBAE0AQgBEAEEAKABcACIAawBnACAATgBcACIAKQA7AFwAbgBcAG4AVgBFAEUAUgBHAF8ANABfADEAXwAxAF8AMwBfAF8AOABfAFMAdABhAGcAZQAzAE4AaQB0AHIAbwBnAGUAbgBJAG4ATQBNAFMAQQBuAGEAZQByAG8AYgBpAGMATABhAGcAbwBvAG4AXwBTAG8AdQByAGMAZQBcAG4AIAAgAD0ATABBAE0AQgBEAEEAKABcACIAVgBFAEUAUgBHACAAMgAwADIANgA6ACAANAAuADEALgAxAC4AMwAsACAARQBxAHUAYQB0AGkAbwBuACAAKAA4ACkAXAAiACkAOwBcAG4AXABuAFYARQBFAFIARwBfADQAXwAxAF8AMQBfADMAXwBfADgAXwBTAHQAYQBnAGUAMwBOAGkAdAByAG8AZwBlAG4ASQBuAE0ATQBTAEEAbgBhAGUAcgBvAGIAaQBjAEwAYQBnAG8AbwBuAF8ATgBJAFIAUgBlAGYAZQByAGUAbgBjAGUAXABuACAAIAA9AEwAQQBNAEIARABBACgAXAAiAFwAIgApADsAXABuAFwAbgBWAEUARQBSAEcAXwA0AF8AMQBfADEAXwAzAF8AXwA4AF8AUwB0AGEAZwBlADMATgBpAHQAcgBvAGcAZQBuAEkAbgBNAE0AUwBBAG4AYQBlAHIAbwBiAGkAYwBMAGEAZwBvAG8AbgBfAEwAYQB0AGUAeABFAHEAdQBhAHQAaQBvAG4AXABuACAAIAA9AEwAQQBNAEIARABBACgAXAAiAE0ATgBfAHsAagBtAD0AMQAsAFQAPQAzAH0APQBBAEUAXwB7AGoAfQBcAFwAdABpAG0AZQBzACAATQBNAFMAXwB7AGoAbQA9ADEALABUAD0AMwB9AFwAIgApADsAXABuAFwAbgBWAEUARQBSAEcAXwA0AF8AMQBfADEAXwAzAF8AXwA4AF8AUwB0AGEAZwBlADMATgBpAHQAcgBvAGcAZQBuAEkAbgBNAE0AUwBBAG4AYQBlAHIAbwBiAGkAYwBMAGEAZwBvAG8AbgBfAEEAcgBnAHUAbQBlAG4AdABzAFwAbgAgACAAPQBMAEEATQBCAEQAQQAoAFwAbgAgACAAIAAgAE0AQQBLAEUAQQBSAFIAQQBZACgAMgAsACAANAAsAFwAbgAgACAAIAAgACAAIABMAEEATQBCAEQAQQAoAHIALABjACwAXABuACAAIAAgACAAIAAgACAAIABJAE4ARABFAFgAKAB7AFwAbgAgACAAIAAgACAAIAAgACAAIAAgAFwAIgBBAEUAXwBqAFwAIgAsAFwAIgB0AG8AdABhAGwAIABuAGkAdAByAG8AZwBlAG4AIABlAHgAYwByAGUAdABlAGQAIABiAHkAIABlAGEAYwBoACAAYwBhAHQAdABsAGUAIABnAHIAbwB1AHAAXAAiACwAIABcACIAawBnACAATgBcACIALAAgAFwAIgBDAGEAbABjAHUAbABhAHQAZQBkACAAZgByAG8AbQAgADQALgAxAC4AMQAuADMAIAAoADMAKQBcACIAOwBcAG4AIAAgACAAIAAgACAAIAAgACAAIABcACIATQBNAFMAXwBqAG0AMQBUADMAXAAiACwAXAAiAGYAcgBhAGMAdABpAG8AbgAgAG8AZgAgAG0AYQBuAHUAcgBlACAAdABvACAAdABlAHIAdABpAGEAcgB5ACAAYQBuAGEAZQByAG8AYgBpAGMAIABsAGEAZwBvAG8AbgAgAHMAeQBzAHQAZQBtAFwAIgAsACAAXAAiAGYAcgBhAGMAdABpAG8AbgBcACIALAAgAFwAIgBJAG4AcAB1AHQAXAAiAFwAbgAgACAAIAAgACAAIAAgACAAfQAsACAAcgAsACAAYwApAFwAbgAgACAAIAAgACAAIAApAFwAbgAgACAAIAAgACkAXABuACAAIAApADsAXABuAFwAbgAiAH0AXQAsACIAcAByAG8AagBlAGMAdABOAGEAbQBlAHMAIgA6AFsAIgBDAG8AbQBtAG8AbgBfAFMAbwB1AHIAYwBlAEQAYQB0AGEALgBDAG8AbQBtAG8AbgBfAFMAbwB1AHIAYwBlAEQAYQB0AGEAXwBEAGUAbgBzAGkAdAB5AE8AZgBNAGUAdABoAGEAbgBlAF8AVABpAHQAbABlACIALAAiAEMAbwBtAG0AbwBuAF8AUwBvAHUAcgBjAGUARABhAHQAYQAuAEMAbwBtAG0AbwBuAF8AUwBvAHUAcgBjAGUARABhAHQAYQBfAEQAZQBuAHMAaQB0AHkATwBmAE0AZQB0AGgAYQBuAGUAXwBVAG4AaQB0ACIALAAiAEMAbwBtAG0AbwBuAF8AUwBvAHUAcgBjAGUARABhAHQAYQAuAEMAbwBtAG0AbwBuAF8AUwBvAHUAcgBjAGUARABhAHQAYQBfAEQAZQBuAHMAaQB0AHkATwBmAE0AZQB0AGgAYQBuAGUAXwBTAG8AdQByAGMAZQAiACwAIgBDAG8AbQBtAG8AbgBfAFMAbwB1AHIAYwBlAEQAYQB0AGEALgBDAG8AbQBtAG8AbgBfAFMAbwB1AHIAYwBlAEQAYQB0AGEAXwBEAGUAbgBzAGkAdAB5AE8AZgBNAGUAdABoAGEAbgBlAF8ARABhAHQAYQAiACwAIgBDAG8AbQBtAG8AbgBfAFMAbwB1AHIAYwBlAEQAYQB0AGEALgBDAG8AbQBtAG8AbgBfAFMAbwB1AHIAYwBlAEQAYQB0AGEAXwBDAG8AbgB2AGUAcgB0AE4AMgBvAEUAbABlAG0AZQBuAHQAYQBsAFQAbwBNAG8AbABlAGMAdQBsAGEAcgBDAGcAXwBUAGkAdABsAGUAIgAsACIAQwBvAG0AbQBvAG4AXwBTAG8AdQByAGMAZQBEAGEAdABhAC4AQwBvAG0AbQBvAG4AXwBTAG8AdQByAGMAZQBEAGEAdABhAF8AQwBvAG4AdgBlAHIAdABOADIAbwBFAGwAZQBtAGUAbgB0AGEAbABUAG8ATQBvAGwAZQBjAHUAbABhAHIAQwBnAF8AVgBhAHIAaQBhAGIAbABlACIALAAiAEMAbwBtAG0AbwBuAF8AUwBvAHUAcgBjAGUARABhAHQAYQAuAEMAbwBtAG0AbwBuAF8AUwBvAHUAcgBjAGUARABhAHQAYQBfAEMAbwBuAHYAZQByAHQATgAyAG8ARQBsAGUAbQBlAG4AdABhAGwAVABvAE0AbwBsAGUAYwB1AGwAYQByAEMAZwBfAFUAbgBpAHQAIgAsACIAQwBvAG0AbQBvAG4AXwBTAG8AdQByAGMAZQBEAGEAdABhAC4AQwBvAG0AbQBvAG4AXwBTAG8AdQByAGMAZQBEAGEAdABhAF8AQwBvAG4AdgBlAHIAdABOADIAbwBFAGwAZQBtAGUAbgB0AGEAbABUAG8ATQBvAGwAZQBjAHUAbABhAHIAQwBnAF8AUwBvAHUAcgBjAGUAIgAsACIAQwBvAG0AbQBvAG4AXwBTAG8AdQByAGMAZQBEAGEAdABhAC4AQwBvAG0AbQBvAG4AXwBTAG8AdQByAGMAZQBEAGEAdABhAF8AQwBvAG4AdgBlAHIAdABOADIAbwBFAGwAZQBtAGUAbgB0AGEAbABUAG8ATQBvAGwAZQBjAHUAbABhAHIAQwBnAF8ARABhAHQAYQAiACwAIgBDAG8AbQBtAG8AbgBfAFMAbwB1AHIAYwBlAEQAYQB0AGEALgBDAG8AbQBtAG8AbgBfAFMAbwB1AHIAYwBlAEQAYQB0AGEAXwBDAG8AbgB2AGUAcgB0AEcAYQBzAEUAbABlAG0AZQBuAHQAYQBsAFQAbwBNAG8AbABlAGMAdQBsAGEAcgBfAFQAaQB0AGwAZQAiACwAIgBDAG8AbQBtAG8AbgBfAFMAbwB1AHIAYwBlAEQAYQB0AGEALgBDAG8AbQBtAG8AbgBfAFMAbwB1AHIAYwBlAEQAYQB0AGEAXwBDAG8AbgB2AGUAcgB0AEcAYQBzAEUAbABlAG0AZQBuAHQAYQBsAFQAbwBNAG8AbABlAGMAdQBsAGEAcgBfAFYAYQByAGkAYQBiAGwAZQAiACwAIgBDAG8AbQBtAG8AbgBfAFMAbwB1AHIAYwBlAEQAYQB0AGEALgBDAG8AbQBtAG8AbgBfAFMAbwB1AHIAYwBlAEQAYQB0AGEAXwBDAG8AbgB2AGUAcgB0AEcAYQBzAEUAbABlAG0AZQBuAHQAYQBsAFQAbwBNAG8AbABlAGMAdQBsAGEAcgBfAFUAbgBpAHQAIgAsACIAQwBvAG0AbQBvAG4AXwBTAG8AdQByAGMAZQBEAGEAdABhAC4AQwBvAG0AbQBvAG4AXwBTAG8AdQByAGMAZQBEAGEAdABhAF8AQwBvAG4AdgBlAHIAdABHAGEAcwBFAGwAZQBtAGUAbgB0AGEAbABUAG8ATQBvAGwAZQBjAHUAbABhAHIAXwBTAG8AdQByAGMAZQAiACwAIgBDAG8AbQBtAG8AbgBfAFMAbwB1AHIAYwBlAEQAYQB0AGEALgBDAG8AbQBtAG8AbgBfAFMAbwB1AHIAYwBlAEQAYQB0AGEAXwBDAG8AbgB2AGUAcgB0AEcAYQBzAEUAbABlAG0AZQBuAHQAYQBsAFQAbwBNAG8AbABlAGMAdQBsAGEAcgBfAEQAYQB0AGEAIgAsACIAQwBvAG0AbQBvAG4AXwBTAG8AdQByAGMAZQBEAGEAdABhAC4AQwBvAG0AbQBvAG4AXwBTAG8AdQByAGMAZQBEAGEAdABhAF8ARwBXAFAAXwBUAGkAdABsAGUAIgAsACIAQwBvAG0AbQBvAG4AXwBTAG8AdQByAGMAZQBEAGEAdABhAC4AQwBvAG0AbQBvAG4AXwBTAG8AdQByAGMAZQBEAGEAdABhAF8ARwBXAFAAXwBWAGEAcgBpAGEAYgBsAGUAIgAsACIAQwBvAG0AbQBvAG4AXwBTAG8AdQByAGMAZQBEAGEAdABhAC4AQwBvAG0AbQBvAG4AXwBTAG8AdQByAGMAZQBEAGEAdABhAF8ARwBXAFAAXwBVAG4AaQB0ACIALAAiAEMAbwBtAG0AbwBuAF8AUwBvAHUAcgBjAGUARABhAHQAYQAuAEMAbwBtAG0AbwBuAF8AUwBvAHUAcgBjAGUARABhAHQAYQBfAEcAVwBQAF8AUwBvAHUAcgBjAGUAIgAsACIAQwBvAG0AbQBvAG4AXwBTAG8AdQByAGMAZQBEAGEAdABhAC4AQwBvAG0AbQBvAG4AXwBTAG8AdQByAGMAZQBEAGEAdABhAF8ARwBXAFAAXwBEAGEAdABhACIALAAiAEMAbwBtAG0AbwBuAF8AUwBvAHUAcgBjAGUARABhAHQAYQAuAEMAbwBtAG0AbwBuAF8AUwBvAHUAcgBjAGUARABhAHQAYQBfAEEAdQBzAHQAcgBhAGwAaQBhAG4AUwB0AGEAdABlAHMAVABlAHIAcgBpAHQAbwByAGkAZQBzAF8AVABpAHQAbABlACIALAAiAEMAbwBtAG0AbwBuAF8AUwBvAHUAcgBjAGUARABhAHQAYQAuAEMAbwBtAG0AbwBuAF8AUwBvAHUAcgBjAGUARABhAHQAYQBfAEEAdQBzAHQAcgBhAGwAaQBhAG4AUwB0AGEAdABlAHMAVABlAHIAcgBpAHQAbwByAGkAZQBzAF8AVgBhAHIAaQBhAGIAbABlACIALAAiAEMAbwBtAG0AbwBuAF8AUwBvAHUAcgBjAGUARABhAHQAYQAuAEMAbwBtAG0AbwBuAF8AUwBvAHUAcgBjAGUARABhAHQAYQBfAEEAdQBzAHQAcgBhAGwAaQBhAG4AUwB0AGEAdABlAHMAVABlAHIAcgBpAHQAbwByAGkAZQBzAF8AVQBuAGkAdAAiACwAIgBDAG8AbQBtAG8AbgBfAFMAbwB1AHIAYwBlAEQAYQB0AGEALgBDAG8AbQBtAG8AbgBfAFMAbwB1AHIAYwBlAEQAYQB0AGEAXwBBAHUAcwB0AHIAYQBsAGkAYQBuAFMAdABhAHQAZQBzAFQAZQByAHIAaQB0AG8AcgBpAGUAcwBfAFMAbwB1AHIAYwBlACIALAAiAEMAbwBtAG0AbwBuAF8AUwBvAHUAcgBjAGUARABhAHQAYQAuAEMAbwBtAG0AbwBuAF8AUwBvAHUAcgBjAGUARABhAHQAYQBfAEEAdQBzAHQAcgBhAGwAaQBhAG4AUwB0AGEAdABlAHMAVABlAHIAcgBpAHQAbwByAGkAZQBzAF8ARABhAHQAYQAiACwAIgBDAG8AbQBtAG8AbgBfAFMAbwB1AHIAYwBlAEQAYQB0AGEALgBDAG8AbQBtAG8AbgBfAFMAbwB1AHIAYwBlAEQAYQB0AGEAXwBXAEEAUwBBADQAQQByAGUAYQBzAF8AVABpAHQAbABlACIALAAiAEMAbwBtAG0AbwBuAF8AUwBvAHUAcgBjAGUARABhAHQAYQAuAEMAbwBtAG0AbwBuAF8AUwBvAHUAcgBjAGUARABhAHQAYQBfAFcAQQBTAEEANABBAHIAZQBhAHMAXwBWAGEAcgBpAGEAYgBsAGUAIgAsACIAQwBvAG0AbQBvAG4AXwBTAG8AdQByAGMAZQBEAGEAdABhAC4AQwBvAG0AbQBvAG4AXwBTAG8AdQByAGMAZQBEAGEAdABhAF8AVwBBAFMAQQA0AEEAcgBlAGEAcwBfAFUAbgBpAHQAIgAsACIAQwBvAG0AbQBvAG4AXwBTAG8AdQByAGMAZQBEAGEAdABhAC4AQwBvAG0AbQBvAG4AXwBTAG8AdQByAGMAZQBEAGEAdABhAF8AVwBBAFMAQQA0AEEAcgBlAGEAcwBfAFMAbwB1AHIAYwBlACIALAAiAEMAbwBtAG0AbwBuAF8AUwBvAHUAcgBjAGUARABhAHQAYQAuAEMAbwBtAG0AbwBuAF8AUwBvAHUAcgBjAGUARABhAHQAYQBfAFcAQQBTAEEANABBAHIAZQBhAHMAXwBEAGEAdABhACIALAAiAEMAbwBtAG0AbwBuAF8AUwBvAHUAcgBjAGUARABhAHQAYQAuAEMAbwBtAG0AbwBuAF8AUwBvAHUAcgBjAGUARABhAHQAYQBfAFcAZQB0AEEAbgBkAEQAcgB5AFoAbwBuAGUAcwBfAFQAaQB0AGwAZQAiACwAIgBDAG8AbQBtAG8AbgBfAFMAbwB1AHIAYwBlAEQAYQB0AGEALgBDAG8AbQBtAG8AbgBfAFMAbwB1AHIAYwBlAEQAYQB0AGEAXwBXAGUAdABBAG4AZABEAHIAeQBaAG8AbgBlAHMAXwBWAGEAcgBpAGEAYgBsAGUAIgAsACIAQwBvAG0AbQBvAG4AXwBTAG8AdQByAGMAZQBEAGEAdABhAC4AQwBvAG0AbQBvAG4AXwBTAG8AdQByAGMAZQBEAGEAdABhAF8AVwBlAHQAQQBuAGQARAByAHkAWgBvAG4AZQBzAF8AVQBuAGkAdAAiACwAIgBDAG8AbQBtAG8AbgBfAFMAbwB1AHIAYwBlAEQAYQB0AGEALgBDAG8AbQBtAG8AbgBfAFMAbwB1AHIAYwBlAEQAYQB0AGEAXwBXAGUAdABBAG4AZABEAHIAeQBaAG8AbgBlAHMAXwBTAG8AdQByAGMAZQAiACwAIgBDAG8AbQBtAG8AbgBfAFMAbwB1AHIAYwBlAEQAYQB0AGEALgBDAG8AbQBtAG8AbgBfAFMAbwB1AHIAYwBlAEQAYQB0AGEAXwBXAGUAdABBAG4AZABEAHIAeQBaAG8AbgBlAHMAXwBWAGEAcgBpAGEAdABpAG8AbgAiACwAIgBDAG8AbQBtAG8AbgBfAFMAbwB1AHIAYwBlAEQAYQB0AGEALgBDAG8AbQBtAG8AbgBfAFMAbwB1AHIAYwBlAEQAYQB0AGEAXwBXAGUAdABBAG4AZABEAHIAeQBaAG8AbgBlAHMAXwBEAGEAdABhACIALAAiAEMAbwBtAG0AbwBuAF8AUwBvAHUAcgBjAGUARABhAHQAYQAuAEMAbwBtAG0AbwBuAF8AUwBvAHUAcgBjAGUARABhAHQAYQBfAEMAbABpAG0AYQB0AGUAWgBvAG4AZQBzAF8AVABpAHQAbABlACIALAAiAEMAbwBtAG0AbwBuAF8AUwBvAHUAcgBjAGUARABhAHQAYQAuAEMAbwBtAG0AbwBuAF8AUwBvAHUAcgBjAGUARABhAHQAYQBfAEMAbABpAG0AYQB0AGUAWgBvAG4AZQBzAF8AVgBhAHIAaQBhAGIAbABlACIALAAiAEMAbwBtAG0AbwBuAF8AUwBvAHUAcgBjAGUARABhAHQAYQAuAEMAbwBtAG0AbwBuAF8AUwBvAHUAcgBjAGUARABhAHQAYQBfAEMAbABpAG0AYQB0AGUAWgBvAG4AZQBzAF8AVQBuAGkAdAAiACwAIgBDAG8AbQBtAG8AbgBfAFMAbwB1AHIAYwBlAEQAYQB0AGEALgBDAG8AbQBtAG8AbgBfAFMAbwB1AHIAYwBlAEQAYQB0AGEAXwBDAGwAaQBtAGEAdABlAFoAbwBuAGUAcwBfAFMAbwB1AHIAYwBlACIALAAiAEMAbwBtAG0AbwBuAF8AUwBvAHUAcgBjAGUARABhAHQAYQAuAEMAbwBtAG0AbwBuAF8AUwBvAHUAcgBjAGUARABhAHQAYQBfAEMAbABpAG0AYQB0AGUAWgBvAG4AZQBzAF8AVgBhAHIAaQBhAHQAaQBvAG4AIgAsACIAQwBvAG0AbQBvAG4AXwBTAG8AdQByAGMAZQBEAGEAdABhAC4AQwBvAG0AbQBvAG4AXwBTAG8AdQByAGMAZQBEAGEAdABhAF8AQwBsAGkAbQBhAHQAZQBaAG8AbgBlAHMAXwBEAGEAdABhACIALAAiAEMAbwBtAG0AbwBuAF8AUwBvAHUAcgBjAGUARABhAHQAYQAuAEMAbwBtAG0AbwBuAF8AUwBvAHUAcgBjAGUARABhAHQAYQBfAEMAbABpAG0AYQB0AGUAWgBvAG4AZQBzAF8AQQBwAHAAZQBuAGQAaQBjAGUAcwAiACwAIgBDAG8AbQBtAG8AbgBfAFMAbwB1AHIAYwBlAEQAYQB0AGEALgBDAG8AbQBtAG8AbgBfAFMAbwB1AHIAYwBlAEQAYQB0AGEAXwBUAGUAbQBwAGUAcgBhAHQAdQByAGUAWgBvAG4AZQBzAF8AVABpAHQAbABlACIALAAiAEMAbwBtAG0AbwBuAF8AUwBvAHUAcgBjAGUARABhAHQAYQAuAEMAbwBtAG0AbwBuAF8AUwBvAHUAcgBjAGUARABhAHQAYQBfAFQAZQBtAHAAZQByAGEAdAB1AHIAZQBaAG8AbgBlAHMAXwBWAGEAcgBpAGEAYgBsAGUAIgAsACIAQwBvAG0AbQBvAG4AXwBTAG8AdQByAGMAZQBEAGEAdABhAC4AQwBvAG0AbQBvAG4AXwBTAG8AdQByAGMAZQBEAGEAdABhAF8AVABlAG0AcABlAHIAYQB0AHUAcgBlAFoAbwBuAGUAcwBfAFUAbgBpAHQAIgAsACIAQwBvAG0AbQBvAG4AXwBTAG8AdQByAGMAZQBEAGEAdABhAC4AQwBvAG0AbQBvAG4AXwBTAG8AdQByAGMAZQBEAGEAdABhAF8AVABlAG0AcABlAHIAYQB0AHUAcgBlAFoAbwBuAGUAcwBfAFMAbwB1AHIAYwBlACIALAAiAEMAbwBtAG0AbwBuAF8AUwBvAHUAcgBjAGUARABhAHQAYQAuAEMAbwBtAG0AbwBuAF8AUwBvAHUAcgBjAGUARABhAHQAYQBfAFQAZQBtAHAAZQByAGEAdAB1AHIAZQBaAG8AbgBlAHMAXwBWAGEAcgBpAGEAdABpAG8AbgAiACwAIgBDAG8AbQBtAG8AbgBfAFMAbwB1AHIAYwBlAEQAYQB0AGEALgBDAG8AbQBtAG8AbgBfAFMAbwB1AHIAYwBlAEQAYQB0AGEAXwBUAGUAbQBwAGUAcgBhAHQAdQByAGUAWgBvAG4AZQBzAF8ARABhAHQAYQAiACwAIgBDAG8AbQBtAG8AbgBfAFMAbwB1AHIAYwBlAEQAYQB0AGEALgBDAG8AbQBtAG8AbgBfAFMAbwB1AHIAYwBlAEQAYQB0AGEAXwBSAGEAaQBuAGYAYQBsAGwAWgBvAG4AZQBzAF8AVABpAHQAbABlACIALAAiAEMAbwBtAG0AbwBuAF8AUwBvAHUAcgBjAGUARABhAHQAYQAuAEMAbwBtAG0AbwBuAF8AUwBvAHUAcgBjAGUARABhAHQAYQBfAFIAYQBpAG4AZgBhAGwAbABaAG8AbgBlAHMAXwBWAGEAcgBpAGEAYgBsAGUAIgAsACIAQwBvAG0AbQBvAG4AXwBTAG8AdQByAGMAZQBEAGEAdABhAC4AQwBvAG0AbQBvAG4AXwBTAG8AdQByAGMAZQBEAGEAdABhAF8AUgBhAGkAbgBmAGEAbABsAFoAbwBuAGUAcwBfAFUAbgBpAHQAIgAsACIAQwBvAG0AbQBvAG4AXwBTAG8AdQByAGMAZQBEAGEAdABhAC4AQwBvAG0AbQBvAG4AXwBTAG8AdQByAGMAZQBEAGEAdABhAF8AUgBhAGkAbgBmAGEAbABsAFoAbwBuAGUAcwBfAFMAbwB1AHIAYwBlACIALAAiAEMAbwBtAG0AbwBuAF8AUwBvAHUAcgBjAGUARABhAHQAYQAuAEMAbwBtAG0AbwBuAF8AUwBvAHUAcgBjAGUARABhAHQAYQBfAFIAYQBpAG4AZgBhAGwAbABaAG8AbgBlAHMAXwBWAGEAcgBpAGEAdABpAG8AbgAiACwAIgBDAG8AbQBtAG8AbgBfAFMAbwB1AHIAYwBlAEQAYQB0AGEALgBDAG8AbQBtAG8AbgBfAFMAbwB1AHIAYwBlAEQAYQB0AGEAXwBSAGEAaQBuAGYAYQBsAGwAWgBvAG4AZQBzAF8ARABhAHQAYQAiACwAIgBDAG8AbQBtAG8AbgBfAFMAbwB1AHIAYwBlAEQAYQB0AGEALgBDAG8AbQBtAG8AbgBfAFMAbwB1AHIAYwBlAEQAYQB0AGEAXwBMAGUAYQBjAGgAaQBuAGcAWgBvAG4AZQBzAF8AVABpAHQAbABlACIALAAiAEMAbwBtAG0AbwBuAF8AUwBvAHUAcgBjAGUARABhAHQAYQAuAEMAbwBtAG0AbwBuAF8AUwBvAHUAcgBjAGUARABhAHQAYQBfAEwAZQBhAGMAaABpAG4AZwBaAG8AbgBlAHMAXwBWAGEAcgBpAGEAYgBsAGUAIgAsACIAQwBvAG0AbQBvAG4AXwBTAG8AdQByAGMAZQBEAGEAdABhAC4AQwBvAG0AbQBvAG4AXwBTAG8AdQByAGMAZQBEAGEAdABhAF8ATABlAGEAYwBoAGkAbgBnAFoAbwBuAGUAcwBfAFUAbgBpAHQAIgAsACIAQwBvAG0AbQBvAG4AXwBTAG8AdQByAGMAZQBEAGEAdABhAC4AQwBvAG0AbQBvAG4AXwBTAG8AdQByAGMAZQBEAGEAdABhAF8ATABlAGEAYwBoAGkAbgBnAFoAbwBuAGUAcwBfAFMAbwB1AHIAYwBlACIALAAiAEMAbwBtAG0AbwBuAF8AUwBvAHUAcgBjAGUARABhAHQAYQAuAEMAbwBtAG0AbwBuAF8AUwBvAHUAcgBjAGUARABhAHQAYQBfAEwAZQBhAGMAaABpAG4AZwBaAG8AbgBlAHMAXwBWAGEAcgBpAGEAdABpAG8AbgAiACwAIgBDAG8AbQBtAG8AbgBfAFMAbwB1AHIAYwBlAEQAYQB0AGEALgBDAG8AbQBtAG8AbgBfAFMAbwB1AHIAYwBlAEQAYQB0AGEAXwBMAGUAYQBjAGgAaQBuAGcAWgBvAG4AZQBzAF8ARABhAHQAYQAiACwAIgBDAG8AbQBtAG8AbgBfAFMAbwB1AHIAYwBlAEQAYQB0AGEALgBDAG8AbQBtAG8AbgBfAFMAbwB1AHIAYwBlAEQAYQB0AGEAXwBGAHIAYQBjAFcARQBUAF8AVABpAHQAbABlACIALAAiAEMAbwBtAG0AbwBuAF8AUwBvAHUAcgBjAGUARABhAHQAYQAuAEMAbwBtAG0AbwBuAF8AUwBvAHUAcgBjAGUARABhAHQAYQBfAEYAcgBhAGMAVwBFAFQAXwBVAG4AaQB0ACIALAAiAEMAbwBtAG0AbwBuAF8AUwBvAHUAcgBjAGUARABhAHQAYQAuAEMAbwBtAG0AbwBuAF8AUwBvAHUAcgBjAGUARABhAHQAYQBfAEYAcgBhAGMAVwBFAFQAXwBTAG8AdQByAGMAZQAiACwAIgBDAG8AbQBtAG8AbgBfAFMAbwB1AHIAYwBlAEQAYQB0AGEALgBDAG8AbQBtAG8AbgBfAFMAbwB1AHIAYwBlAEQAYQB0AGEAXwBGAHIAYQBjAFcARQBUAF8ATgBJAFIAUgBlAGYAZQByAGUAbgBjAGUAIgAsACIAQwBvAG0AbQBvAG4AXwBTAG8AdQByAGMAZQBEAGEAdABhAC4AQwBvAG0AbQBvAG4AXwBTAG8AdQByAGMAZQBEAGEAdABhAF8ARgByAGEAYwBXAEUAVABfAEQAYQB0AGEAIgAsACIAQwBvAG0AbQBvAG4AXwBTAG8AdQByAGMAZQBEAGEAdABhAC4AQwBvAG0AbQBvAG4AXwBTAG8AdQByAGMAZQBEAGEAdABhAF8ARgByAGEAYwBXAEUAVABfAFYAYQByAGkAYQB0AGkAbwBuACIALAAiAEMAbwBtAG0AbwBuAF8AUwBvAHUAcgBjAGUARABhAHQAYQAuAEMAbwBtAG0AbwBuAF8AUwBvAHUAcgBjAGUARABhAHQAYQBfAEQAYQB0AGEAUwBjAG8AcgBlAHMAXwBTAGMAbwBwAGUAMwBfAFQAaQB0AGwAZQAiACwAIgBDAG8AbQBtAG8AbgBfAFMAbwB1AHIAYwBlAEQAYQB0AGEALgBDAG8AbQBtAG8AbgBfAFMAbwB1AHIAYwBlAEQAYQB0AGEAXwBEAGEAdABhAFMAYwBvAHIAZQBzAF8AUwBjAG8AcABlADMAXwBWAGEAcgBpAGEAYgBsAGUAIgAsACIAQwBvAG0AbQBvAG4AXwBTAG8AdQByAGMAZQBEAGEAdABhAC4AQwBvAG0AbQBvAG4AXwBTAG8AdQByAGMAZQBEAGEAdABhAF8ARABhAHQAYQBTAGMAbwByAGUAcwBfAFMAYwBvAHAAZQAzAF8AVQBuAGkAdAAiACwAIgBDAG8AbQBtAG8AbgBfAFMAbwB1AHIAYwBlAEQAYQB0AGEALgBDAG8AbQBtAG8AbgBfAFMAbwB1AHIAYwBlAEQAYQB0AGEAXwBEAGEAdABhAFMAYwBvAHIAZQBzAF8AUwBjAG8AcABlADMAXwBTAG8AdQByAGMAZQAiACwAIgBDAG8AbQBtAG8AbgBfAFMAbwB1AHIAYwBlAEQAYQB0AGEALgBDAG8AbQBtAG8AbgBfAFMAbwB1AHIAYwBlAEQAYQB0AGEAXwBEAGEAdABhAFMAYwBvAHIAZQBzAF8AUwBjAG8AcABlADMAXwBWAGEAcgBpAGEAdABpAG8AbgAiACwAIgBDAG8AbQBtAG8AbgBfAFMAbwB1AHIAYwBlAEQAYQB0AGEALgBDAG8AbQBtAG8AbgBfAFMAbwB1AHIAYwBlAEQAYQB0AGEAXwBEAGEAdABhAFMAYwBvAHIAZQBzAF8AUwBjAG8AcABlADMAXwBEAGEAdABhACIALAAiAEMAbwBtAG0AbwBuAF8AUwBvAHUAcgBjAGUARABhAHQAYQAuAEMAbwBtAG0AbwBuAF8AUwBvAHUAcgBjAGUARABhAHQAYQBfAEYAcgBhAGMATABFAEEAQwBIAF8AVABpAHQAbABlACIALAAiAEMAbwBtAG0AbwBuAF8AUwBvAHUAcgBjAGUARABhAHQAYQAuAEMAbwBtAG0AbwBuAF8AUwBvAHUAcgBjAGUARABhAHQAYQBfAEYAcgBhAGMATABFAEEAQwBIAF8AVQBuAGkAdAAiACwAIgBDAG8AbQBtAG8AbgBfAFMAbwB1AHIAYwBlAEQAYQB0AGEALgBDAG8AbQBtAG8AbgBfAFMAbwB1AHIAYwBlAEQAYQB0AGEAXwBGAHIAYQBjAEwARQBBAEMASABfAFMAbwB1AHIAYwBlACIALAAiAEMAbwBtAG0AbwBuAF8AUwBvAHUAcgBjAGUARABhAHQAYQAuAEMAbwBtAG0AbwBuAF8AUwBvAHUAcgBjAGUARABhAHQAYQBfAEYAcgBhAGMATABFAEEAQwBIAF8ATgBJAFIAUgBlAGYAZQByAGUAbgBjAGUAIgAsACIAQwBvAG0AbQBvAG4AXwBTAG8AdQByAGMAZQBEAGEAdABhAC4AQwBvAG0AbQBvAG4AXwBTAG8AdQByAGMAZQBEAGEAdABhAF8ARgByAGEAYwBMAEUAQQBDAEgAXwBEAGEAdABhACIALAAiAEMAbwBtAG0AbwBuAF8AUwBvAHUAcgBjAGUARABhAHQAYQAuAEMAbwBtAG0AbwBuAF8AUwBvAHUAcgBjAGUARABhAHQAYQBfAEYAcgBhAGMATABFAEEAQwBIAF8AVgBhAHIAaQBhAHQAaQBvAG4AIgAsACIAQwBvAG0AbQBvAG4AXwBTAG8AdQByAGMAZQBEAGEAdABhAC4AQwBvAG0AbQBvAG4AXwBTAG8AdQByAGMAZQBEAGEAdABhAF8ARQBGAGwAZQBhAGMAaABfAFQAaQB0AGwAZQAiACwAIgBDAG8AbQBtAG8AbgBfAFMAbwB1AHIAYwBlAEQAYQB0AGEALgBDAG8AbQBtAG8AbgBfAFMAbwB1AHIAYwBlAEQAYQB0AGEAXwBFAEYAbABlAGEAYwBoAF8AVQBuAGkAdAAiACwAIgBDAG8AbQBtAG8AbgBfAFMAbwB1AHIAYwBlAEQAYQB0AGEALgBDAG8AbQBtAG8AbgBfAFMAbwB1AHIAYwBlAEQAYQB0AGEAXwBFAEYAbABlAGEAYwBoAF8AUwBvAHUAcgBjAGUAIgAsACIAQwBvAG0AbQBvAG4AXwBTAG8AdQByAGMAZQBEAGEAdABhAC4AQwBvAG0AbQBvAG4AXwBTAG8AdQByAGMAZQBEAGEAdABhAF8ARQBGAGwAZQBhAGMAaABfAE4ASQBSAFIAZQBmAGUAcgBlAG4AYwBlACIALAAiAEMAbwBtAG0AbwBuAF8AUwBvAHUAcgBjAGUARABhAHQAYQAuAEMAbwBtAG0AbwBuAF8AUwBvAHUAcgBjAGUARABhAHQAYQBfAEUARgBsAGUAYQBjAGgAXwBEAGEAdABhACIALAAiAEMAbwBtAG0AbwBuAF8AUwBvAHUAcgBjAGUARABhAHQAYQAuAEMAbwBtAG0AbwBuAF8AUwBvAHUAcgBjAGUARABhAHQAYQBfAEUARgBsAGUAYQBjAGgAXwBWAGEAcgBpAGEAdABpAG8AbgAiACwAIgBDAG8AbQBtAG8AbgBfAFMAbwB1AHIAYwBlAEQAYQB0AGEALgBDAG8AbQBtAG8AbgBfAFMAbwB1AHIAYwBlAEQAYQB0AGEAXwBFAEYATgAyAE8AXwBUAGkAdABsAGUAIgAsACIAQwBvAG0AbQBvAG4AXwBTAG8AdQByAGMAZQBEAGEAdABhAC4AQwBvAG0AbQBvAG4AXwBTAG8AdQByAGMAZQBEAGEAdABhAF8ARQBGAE4AMgBPAF8AVQBuAGkAdAAiACwAIgBDAG8AbQBtAG8AbgBfAFMAbwB1AHIAYwBlAEQAYQB0AGEALgBDAG8AbQBtAG8AbgBfAFMAbwB1AHIAYwBlAEQAYQB0AGEAXwBFAEYATgAyAE8AXwBTAG8AdQByAGMAZQAiACwAIgBDAG8AbQBtAG8AbgBfAFMAbwB1AHIAYwBlAEQAYQB0AGEALgBDAG8AbQBtAG8AbgBfAFMAbwB1AHIAYwBlAEQAYQB0AGEAXwBFAEYATgAyAE8AXwBOAEkAUgBSAGUAZgBlAHIAZQBuAGMAZQAiACwAIgBDAG8AbQBtAG8AbgBfAFMAbwB1AHIAYwBlAEQAYQB0AGEALgBDAG8AbQBtAG8AbgBfAFMAbwB1AHIAYwBlAEQAYQB0AGEAXwBFAEYATgAyAE8AXwBEAGEAdABhACIALAAiAEMAbwBtAG0AbwBuAF8AUwBvAHUAcgBjAGUARABhAHQAYQAuAEMAbwBtAG0AbwBuAF8AUwBvAHUAcgBjAGUARABhAHQAYQBfAEUARgBOADIATwBfAFYAYQByAGkAYQB0AGkAbwBuACIALAAiAEMAbwBtAG0AbwBuAF8AUwBvAHUAcgBjAGUARABhAHQAYQAuAEMAbwBtAG0AbwBuAF8AUwBvAHUAcgBjAGUARABhAHQAYQBfAEYAcgBhAGMAVwBFAFQASQByAHIAaQBnAGEAdABpAG8AbgBfAFQAaQB0AGwAZQAiACwAIgBDAG8AbQBtAG8AbgBfAFMAbwB1AHIAYwBlAEQAYQB0AGEALgBDAG8AbQBtAG8AbgBfAFMAbwB1AHIAYwBlAEQAYQB0AGEAXwBGAHIAYQBjAFcARQBUAEkAcgByAGkAZwBhAHQAaQBvAG4AXwBVAG4AaQB0ACIALAAiAEMAbwBtAG0AbwBuAF8AUwBvAHUAcgBjAGUARABhAHQAYQAuAEMAbwBtAG0AbwBuAF8AUwBvAHUAcgBjAGUARABhAHQAYQBfAEYAcgBhAGMAVwBFAFQASQByAHIAaQBnAGEAdABpAG8AbgBfAFMAbwB1AHIAYwBlACIALAAiAEMAbwBtAG0AbwBuAF8AUwBvAHUAcgBjAGUARABhAHQAYQAuAEMAbwBtAG0AbwBuAF8AUwBvAHUAcgBjAGUARABhAHQAYQBfAEYAcgBhAGMAVwBFAFQASQByAHIAaQBnAGEAdABpAG8AbgBfAE4ASQBSAFIAZQBmAGUAcgBlAG4AYwBlACIALAAiAEMAbwBtAG0AbwBuAF8AUwBvAHUAcgBjAGUARABhAHQAYQAuAEMAbwBtAG0AbwBuAF8AUwBvAHUAcgBjAGUARABhAHQAYQBfAEYAcgBhAGMAVwBFAFQASQByAHIAaQBnAGEAdABpAG8AbgBfAEQAYQB0AGEAIgAsACIAQwBvAG0AbQBvAG4AXwBTAG8AdQByAGMAZQBEAGEAdABhAC4AQwBvAG0AbQBvAG4AXwBTAG8AdQByAGMAZQBEAGEAdABhAF8ARgByAGEAYwBXAEUAVABJAHIAcgBpAGcAYQB0AGkAbwBuAF8AVgBhAHIAaQBhAHQAaQBvAG4AIgAsACIAQwBvAG0AbQBvAG4AXwBTAG8AdQByAGMAZQBEAGEAdABhAC4AQwBvAG0AbQBvAG4AXwBTAG8AdQByAGMAZQBEAGEAdABhAF8ARQBGAFAAYQBzAHQAdQByAGUAUgBhAG4AZwBlAEEAbgBkAFAAYQBkAGQAbwBjAGsAXwBUAGkAdABsAGUAIgAsACIAQwBvAG0AbQBvAG4AXwBTAG8AdQByAGMAZQBEAGEAdABhAC4AQwBvAG0AbQBvAG4AXwBTAG8AdQByAGMAZQBEAGEAdABhAF8ARQBGAFAAYQBzAHQAdQByAGUAUgBhAG4AZwBlAEEAbgBkAFAAYQBkAGQAbwBjAGsAXwBVAG4AaQB0ACIALAAiAEMAbwBtAG0AbwBuAF8AUwBvAHUAcgBjAGUARABhAHQAYQAuAEMAbwBtAG0AbwBuAF8AUwBvAHUAcgBjAGUARABhAHQAYQBfAEUARgBQAGEAcwB0AHUAcgBlAFIAYQBuAGcAZQBBAG4AZABQAGEAZABkAG8AYwBrAF8AUwBvAHUAcgBjAGUAIgAsACIAQwBvAG0AbQBvAG4AXwBTAG8AdQByAGMAZQBEAGEAdABhAC4AQwBvAG0AbQBvAG4AXwBTAG8AdQByAGMAZQBEAGEAdABhAF8ARQBGAFAAYQBzAHQAdQByAGUAUgBhAG4AZwBlAEEAbgBkAFAAYQBkAGQAbwBjAGsAXwBOAEkAUgBSAGUAZgBlAHIAZQBuAGMAZQAiACwAIgBDAG8AbQBtAG8AbgBfAFMAbwB1AHIAYwBlAEQAYQB0AGEALgBDAG8AbQBtAG8AbgBfAFMAbwB1AHIAYwBlAEQAYQB0AGEAXwBFAEYAUABhAHMAdAB1AHIAZQBSAGEAbgBnAGUAQQBuAGQAUABhAGQAZABvAGMAawBfAEQAYQB0AGEAIgAsACIAQwBvAG0AbQBvAG4AXwBTAG8AdQByAGMAZQBEAGEAdABhAC4AQwBvAG0AbQBvAG4AXwBTAG8AdQByAGMAZQBEAGEAdABhAF8ARQBGAFAAYQBzAHQAdQByAGUAUgBhAG4AZwBlAEEAbgBkAFAAYQBkAGQAbwBjAGsAXwBWAGEAcgBpAGEAdABpAG8AbgAiACwAIgBDAG8AbQBtAG8AbgBfAEUAcQB1AGEAdABpAG8AbgBzAC4AQwBvAG0AbQBvAG4AXwBDAG8AbgB2AGUAcgB0AE4AMgBPAFQAbwBDAE8AMgBlACIALAAiAEMAbwBtAG0AbwBuAF8ARQBxAHUAYQB0AGkAbwBuAHMALgBDAG8AbQBtAG8AbgBfAEMAbwBuAHYAZQByAHQATgAyAE8AVABvAEMATwAyAGUAXwBUAGkAdABsAGUAIgAsACIAQwBvAG0AbQBvAG4AXwBFAHEAdQBhAHQAaQBvAG4AcwAuAEMAbwBtAG0AbwBuAF8AQwBvAG4AdgBlAHIAdABOADIATwBUAG8AQwBPADIAZQBfAFYAYQByAGkAYQBiAGwAZQAiACwAIgBDAG8AbQBtAG8AbgBfAEUAcQB1AGEAdABpAG8AbgBzAC4AQwBvAG0AbQBvAG4AXwBDAG8AbgB2AGUAcgB0AE4AMgBPAFQAbwBDAE8AMgBlAF8AVQBuAGkAdAAiACwAIgBDAG8AbQBtAG8AbgBfAEUAcQB1AGEAdABpAG8AbgBzAC4AQwBvAG0AbQBvAG4AXwBDAG8AbgB2AGUAcgB0AE4AMgBPAFQAbwBDAE8AMgBlAF8ATgBJAFIAUgBlAGYAZQByAGUAbgBjAGUAIgAsACIAQwBvAG0AbQBvAG4AXwBFAHEAdQBhAHQAaQBvAG4AcwAuAEMAbwBtAG0AbwBuAF8AQwBvAG4AdgBlAHIAdABOADIATwBUAG8AQwBPADIAZQBfAEwAYQB0AGUAeABFAHEAdQBhAHQAaQBvAG4AIgAsACIAQwBvAG0AbQBvAG4AXwBFAHEAdQBhAHQAaQBvAG4AcwAuAEMAbwBtAG0AbwBuAF8AQwBvAG4AdgBlAHIAdABOADIATwBUAG8AQwBPADIAZQBfAEEAcgBnAHUAbQBlAG4AdABzACIALAAiAEMAbwBtAG0AbwBuAF8ARQBxAHUAYQB0AGkAbwBuAHMALgBDAG8AbQBtAG8AbgBfAEMAbwBuAHYAZQByAHQAQwBIADQAVABvAEMATwAyAGUAIgAsACIAQwBvAG0AbQBvAG4AXwBFAHEAdQBhAHQAaQBvAG4AcwAuAEMAbwBtAG0AbwBuAF8AQwBvAG4AdgBlAHIAdABDAEgANABUAG8AQwBPADIAZQBfAFQAaQB0AGwAZQAiACwAIgBDAG8AbQBtAG8AbgBfAEUAcQB1AGEAdABpAG8AbgBzAC4AQwBvAG0AbQBvAG4AXwBDAG8AbgB2AGUAcgB0AEMASAA0AFQAbwBDAE8AMgBlAF8AVgBhAHIAaQBhAGIAbABlACIALAAiAEMAbwBtAG0AbwBuAF8ARQBxAHUAYQB0AGkAbwBuAHMALgBDAG8AbQBtAG8AbgBfAEMAbwBuAHYAZQByAHQAQwBIADQAVABvAEMATwAyAGUAXwBVAG4AaQB0ACIALAAiAEMAbwBtAG0AbwBuAF8ARQBxAHUAYQB0AGkAbwBuAHMALgBDAG8AbQBtAG8AbgBfAEMAbwBuAHYAZQByAHQAQwBIADQAVABvAEMATwAyAGUAXwBOAEkAUgBSAGUAZgBlAHIAZQBuAGMAZQAiACwAIgBDAG8AbQBtAG8AbgBfAEUAcQB1AGEAdABpAG8AbgBzAC4AQwBvAG0AbQBvAG4AXwBDAG8AbgB2AGUAcgB0AEMASAA0AFQAbwBDAE8AMgBlAF8ATABhAHQAZQB4AEUAcQB1AGEAdABpAG8AbgAiACwAIgBDAG8AbQBtAG8AbgBfAEUAcQB1AGEAdABpAG8AbgBzAC4AQwBvAG0AbQBvAG4AXwBDAG8AbgB2AGUAcgB0AEMASAA0AFQAbwBDAE8AMgBlAF8AQQByAGcAdQBtAGUAbgB0AHMAIgAsACIAQwBvAG0AbQBvAG4ATABpAHYAZQBzAHQAbwBjAGsAXwBTAG8AdQByAGMAZQBEAGEAdABhAC4AUwBvAHUAcgBjAGUARABhAHQAYQBfAEwAaQB2AGUAcwB0AG8AYwBrAF8AQwBvAG0AbQBvAG4AXwBGAHIAYQBjAFcARQBUAE0ATQBTAF8AVABpAHQAbABlACIALAAiAEMAbwBtAG0AbwBuAEwAaQB2AGUAcwB0AG8AYwBrAF8AUwBvAHUAcgBjAGUARABhAHQAYQAuAFMAbwB1AHIAYwBlAEQAYQB0AGEAXwBMAGkAdgBlAHMAdABvAGMAawBfAEMAbwBtAG0AbwBuAF8ARgByAGEAYwBXAEUAVABNAE0AUwBfAFUAbgBpAHQAIgAsACIAQwBvAG0AbQBvAG4ATABpAHYAZQBzAHQAbwBjAGsAXwBTAG8AdQByAGMAZQBEAGEAdABhAC4AUwBvAHUAcgBjAGUARABhAHQAYQBfAEwAaQB2AGUAcwB0AG8AYwBrAF8AQwBvAG0AbQBvAG4AXwBGAHIAYQBjAFcARQBUAE0ATQBTAF8AUwBvAHUAcgBjAGUAIgAsACIAQwBvAG0AbQBvAG4ATABpAHYAZQBzAHQAbwBjAGsAXwBTAG8AdQByAGMAZQBEAGEAdABhAC4AUwBvAHUAcgBjAGUARABhAHQAYQBfAEwAaQB2AGUAcwB0AG8AYwBrAF8AQwBvAG0AbQBvAG4AXwBGAHIAYQBjAFcARQBUAE0ATQBTAF8ARABhAHQAYQAiACwAIgBDAG8AbQBtAG8AbgBMAGkAdgBlAHMAdABvAGMAawBfAFMAbwB1AHIAYwBlAEQAYQB0AGEALgBTAG8AdQByAGMAZQBEAGEAdABhAF8ATABpAHYAZQBzAHQAbwBjAGsAXwBDAG8AbQBtAG8AbgBfAEYAcgBhAGMATABFAEEAQwBIAF8ATQBTAF8AVABpAHQAbABlACIALAAiAEMAbwBtAG0AbwBuAEwAaQB2AGUAcwB0AG8AYwBrAF8AUwBvAHUAcgBjAGUARABhAHQAYQAuAFMAbwB1AHIAYwBlAEQAYQB0AGEAXwBMAGkAdgBlAHMAdABvAGMAawBfAEMAbwBtAG0AbwBuAF8ARgByAGEAYwBMAEUAQQBDAEgAXwBNAFMAXwBVAG4AaQB0ACIALAAiAEMAbwBtAG0AbwBuAEwAaQB2AGUAcwB0AG8AYwBrAF8AUwBvAHUAcgBjAGUARABhAHQAYQAuAFMAbwB1AHIAYwBlAEQAYQB0AGEAXwBMAGkAdgBlAHMAdABvAGMAawBfAEMAbwBtAG0AbwBuAF8ARgByAGEAYwBMAEUAQQBDAEgAXwBNAFMAXwBTAG8AdQByAGMAZQAiACwAIgBDAG8AbQBtAG8AbgBMAGkAdgBlAHMAdABvAGMAawBfAFMAbwB1AHIAYwBlAEQAYQB0AGEALgBTAG8AdQByAGMAZQBEAGEAdABhAF8ATABpAHYAZQBzAHQAbwBjAGsAXwBDAG8AbQBtAG8AbgBfAEYAcgBhAGMATABFAEEAQwBIAF8ATQBTAF8ARABhAHQAYQAiACwAIgBDAG8AbQBtAG8AbgBMAGkAdgBlAHMAdABvAGMAawBfAFMAbwB1AHIAYwBlAEQAYQB0AGEALgBTAG8AdQByAGMAZQBEAGEAdABhAF8ATABpAHYAZQBzAHQAbwBjAGsAXwBDAG8AbQBtAG8AbgBfAFMAeQBtAGIAbwBsAHMATQBNAFMAXwBUAGkAdABsAGUAIgAsACIAQwBvAG0AbQBvAG4ATABpAHYAZQBzAHQAbwBjAGsAXwBTAG8AdQByAGMAZQBEAGEAdABhAC4AUwBvAHUAcgBjAGUARABhAHQAYQBfAEwAaQB2AGUAcwB0AG8AYwBrAF8AQwBvAG0AbQBvAG4AXwBTAHkAbQBiAG8AbABzAE0ATQBTAF8AVgBhAGkAcgBhAGIAbABlACIALAAiAEMAbwBtAG0AbwBuAEwAaQB2AGUAcwB0AG8AYwBrAF8AUwBvAHUAcgBjAGUARABhAHQAYQAuAFMAbwB1AHIAYwBlAEQAYQB0AGEAXwBMAGkAdgBlAHMAdABvAGMAawBfAEMAbwBtAG0AbwBuAF8AUwB5AG0AYgBvAGwAcwBNAE0AUwBfAFUAbgBpAHQAIgAsACIAQwBvAG0AbQBvAG4ATABpAHYAZQBzAHQAbwBjAGsAXwBTAG8AdQByAGMAZQBEAGEAdABhAC4AUwBvAHUAcgBjAGUARABhAHQAYQBfAEwAaQB2AGUAcwB0AG8AYwBrAF8AQwBvAG0AbQBvAG4AXwBTAHkAbQBiAG8AbABzAE0ATQBTAF8AUwBvAHUAcgBjAGUAIgAsACIAQwBvAG0AbQBvAG4ATABpAHYAZQBzAHQAbwBjAGsAXwBTAG8AdQByAGMAZQBEAGEAdABhAC4AUwBvAHUAcgBjAGUARABhAHQAYQBfAEwAaQB2AGUAcwB0AG8AYwBrAF8AQwBvAG0AbQBvAG4AXwBTAHkAbQBiAG8AbABzAE0ATQBTAF8ARABhAHQAYQAiACwAIgBDAG8AbQBtAG8AbgBfAEkAbgBwAHUAdABGAHUAbgBjAHQAaQBvAG4AcwAuAFUAdABpAGwAaQB0AHkAXwBHAGUAdABBAHIAcgBhAHkAVABhAGIAbABlAFIAbwB3AFMAdABhAHIAdABOAHUAbQBiAGUAcgAiACwAIgBDAG8AbQBtAG8AbgBfAEkAbgBwAHUAdABGAHUAbgBjAHQAaQBvAG4AcwAuAFUAdABpAGwAaQB0AHkAXwBHAGUAdABBAHIAcgBhAHkAVABhAGIAbABlAEMAbwBsAHUAbQBuAFMAdABhAHIAdABOAHUAbQBiAGUAcgAiACwAIgBDAG8AbQBtAG8AbgBfAEkAbgBwAHUAdABGAHUAbgBjAHQAaQBvAG4AcwAuAFUAdABpAGwAaQB0AHkAXwBEAGkAcwBwAGwAYQB5AEEAcgByAGEAeQBJAG4AVABhAGIAbABlACIALAAiAEMAbwBtAG0AbwBuAF8ASQBuAHAAdQB0AEYAdQBuAGMAdABpAG8AbgBzAC4AVQB0AGkAbABpAHQAeQBfAEwAbwBvAGsAdQBwAFYAYQBsAHUAZQBJAG4AVABhAGIAbABlACIALAAiAEMAbwBtAG0AbwBuAF8ASQBuAHAAdQB0AEYAdQBuAGMAdABpAG8AbgBzAC4AVQB0AGkAbABpAHQAeQBfAEwAbwBvAGsAdQBwAFYAYQBsAHUAZQBJAG4AVABhAGIAbABlAE4AdQBtAGIAZQByACIALAAiAEMAbwBtAG0AbwBuAF8ASQBuAHAAdQB0AEYAdQBuAGMAdABpAG8AbgBzAC4AVQB0AGkAbABpAHQAeQBfAEwAbwBvAGsAdQBwAFYAYQBsAHUAZQBJAG4AVABhAGIAbABlAFQAdwBvAEMAbwBsAHUAbQBuAHMAIgAsACIAQwBvAG0AbQBvAG4AXwBJAG4AcAB1AHQARgB1AG4AYwB0AGkAbwBuAHMALgBVAHQAaQBsAGkAdAB5AF8ATABvAG8AawB1AHAAVgBhAGwAdQBlAEkAbgBUAGEAYgBsAGUATwBuAGUAQwBvAGwAdQBtAG4AQQBuAGQASABlAGEAZABlAHIAIgAsACIAQwBvAG0AbQBvAG4AXwBJAG4AcAB1AHQARgB1AG4AYwB0AGkAbwBuAHMALgBVAHQAaQBsAGkAdAB5AF8AUwBwAGwAaQB0AFMAdAByAGkAbgBnAEkAbgB0AG8AQQByAHIAYQB5ACIALAAiAEMAbwBtAG0AbwBuAF8ASQBuAHAAdQB0AEYAdQBuAGMAdABpAG8AbgBzAC4AVQB0AGkAbABpAHQAeQBfAEcAZQB0AEMAbABpAG0AYQB0AGUAWgBvAG4AZQAiACwAIgBDAG8AbQBtAG8AbgBfAEkAbgBwAHUAdABGAHUAbgBjAHQAaQBvAG4AcwAuAFUAdABpAGwAaQB0AHkAXwBMAG8AbwBrAHUAcABJAHQAZQBtAEYAcgBvAG0ATQBpAG4ATQBhAHgAIgAsACIAQwBvAG0AbQBvAG4AXwBJAG4AcAB1AHQARgB1AG4AYwB0AGkAbwBuAHMALgBVAHQAaQBsAGkAdAB5AF8AUwB1AG0AUQB1AGEAbgB0AGkAdAB5AEYAcgBvAG0AQwByAGkAdABlAHIAaQBhACIALAAiAEMAbwBtAG0AbwBuAF8ASQBuAHAAdQB0AEYAdQBuAGMAdABpAG8AbgBzAC4AZwBlAHQATwB2AGUAcgBsAGEAcABwAGkAbgBnAFIAZQBwAG8AcgB0AGkAbgBnAEMAeQBjAGwAZQBzACIALAAiAEMAbwBtAG0AbwBuAF8ASQBuAHAAdQB0AEYAdQBuAGMAdABpAG8AbgBzAC4AZwBlAHQATwB2AGUAcgBsAGEAcABwAGkAbgBnAFIAZQBwAG8AcgB0AGkAbgBnAFAAZQByAGkAbwBkAHMAIgAsACIAQwBvAG0AbQBvAG4AXwBJAG4AcAB1AHQARgB1AG4AYwB0AGkAbwBuAHMALgBVAHQAaQBsAGkAdAB5AF8ARABpAHMAcABsAGEAeQBGAHUAbgBjAHQAaQBvAG4ATgBhAG0AZQAiACwAIgBDAG8AbQBtAG8AbgBfAEkAbgBwAHUAdABGAHUAbgBjAHQAaQBvAG4AcwAuAFUAdABpAGwAaQB0AHkAXwBMAG8AbwBrAHUAcABOADIATwBFAEYARgByAG8AbQBQAHIAbwBkAEkAcgByAGkAZwBhAHQAaQBvAG4AUgBhAGkAbgBmAGEAbABsACIALAAiAEMAbwBtAG0AbwBuAF8ASQBuAHAAdQB0AEYAdQBuAGMAdABpAG8AbgBzAC4AQwBvAG0AbQBvAG4AQwByAG8AcABwAGkAbgBnAF8ARwBlAHQARgByAGEAYwBXAEUAVAAiACwAIgBDAG8AbQBtAG8AbgBfAEkAbgBwAHUAdABGAHUAbgBjAHQAaQBvAG4AcwAuAFUAdABpAGwAaQB0AHkAXwBDAG8AbgB2AGUAcgB0AFMAdABhAHQAZQBDAG8AbQBtAG8AbgBOAGEAbQBlAFQAbwBBAGIAYgByAGUAdgBpAGEAdABpAG8AbgAiACwAIgBDAG8AbQBtAG8AbgBfAEkAbgBwAHUAdABGAHUAbgBjAHQAaQBvAG4AcwAuAFUAdABpAGwAaQB0AHkAXwBTAG8AdQByAGMAZQBIAHkAcABlAHIAbABpAG4AawAiACwAIgBDAG8AbQBtAG8AbgBfAEkAbgBwAHUAdABGAHUAbgBjAHQAaQBvAG4AcwAuAFUAdABpAGwAaQB0AHkAXwBEAGkAcwBwAGwAYQB5AEEAcgBnAHUAbQBlAG4AdABzAF8AMQBfADIAIgAsACIAQwBvAG0AbQBvAG4AXwBJAG4AcAB1AHQARgB1AG4AYwB0AGkAbwBuAHMALgBVAHQAaQBsAGkAdAB5AF8ARABpAHMAcABsAGEAeQBBAHIAZwB1AG0AZQBuAHQAcwBfADMAXwA0ACIALAAiAEMAbwBtAG0AbwBuAF8ASQBuAHAAdQB0AEYAdQBuAGMAdABpAG8AbgBzAC4AQwBvAG0AbQBvAG4AXwBHAGUAdABNAEMARgBUAGUAbQBwAGUAcgBhAHQAdQByAGUAWgBvAG4AZQAiACwAIgBDAG8AbQBtAG8AbgBDAHIAbwBwAHAAaQBuAGcAXwBJAG4AcAB1AHQARgB1AG4AYwB0AGkAbwBuAHMALgBDAG8AbQBtAG8AbgBDAHIAbwBwAHAAaQBuAGcAXwBHAGUAdABGAHIAYQBjAFcARQBUACIALAAiAEMAbwBtAG0AbwBuAEMAcgBvAHAAcABpAG4AZwBfAEkAbgBwAHUAdABGAHUAbgBjAHQAaQBvAG4AcwAuAEMAbwBtAG0AbwBuAEMAcgBvAHAAcABpAG4AZwBfAEMAYQBsAGMAdQBsAGEAdABlAEgAYQByAHYAZQBzAHQASQBuAGQAZQB4ACIALAAiAEMAbwBtAG0AbwBuAEMAcgBvAHAAcABpAG4AZwBfAEkAbgBwAHUAdABGAHUAbgBjAHQAaQBvAG4AcwAuAEMAbwBtAG0AbwBuAEMAcgBvAHAAcABpAG4AZwBfAEMAYQBsAGMAdQBsAGEAdABlAFIAZQBzAGkAZAB1AGUAQwByAG8AcABSAGEAdABpAG8AIgAsACIAQwBvAG0AbQBvAG4AQwByAG8AcABwAGkAbgBnAF8ASQBuAHAAdQB0AEYAdQBuAGMAdABpAG8AbgBzAC4AQwBvAG0AbQBvAG4AQwByAG8AcABwAGkAbgBnAF8AQwBhAGwAYwB1AGwAYQB0AGUARgByAGEAYwB0AGkAbwBuAFIAZQBzAGkAZAB1AGUAUgBlAG0AbwB2AGUAZAAiACwAIgBTAG8AdQByAGMAZQBEAGEAdABhAF8ARgBlAGUAZABsAG8AdAAuAFMAbwB1AHIAYwBlAEQAYQB0AGEAXwBGAGUAZQBkAGwAbwB0AF8AVgBTAEwAXwBUAGkAdABsAGUAIgAsACIAUwBvAHUAcgBjAGUARABhAHQAYQBfAEYAZQBlAGQAbABvAHQALgBTAG8AdQByAGMAZQBEAGEAdABhAF8ARgBlAGUAZABsAG8AdABfAFYAUwBMAF8AVgBhAHIAaQBhAGIAbABlACIALAAiAFMAbwB1AHIAYwBlAEQAYQB0AGEAXwBGAGUAZQBkAGwAbwB0AC4AUwBvAHUAcgBjAGUARABhAHQAYQBfAEYAZQBlAGQAbABvAHQAXwBWAFMATABfAFUAbgBpAHQAIgAsACIAUwBvAHUAcgBjAGUARABhAHQAYQBfAEYAZQBlAGQAbABvAHQALgBTAG8AdQByAGMAZQBEAGEAdABhAF8ARgBlAGUAZABsAG8AdABfAFYAUwBMAF8AUwBvAHUAcgBjAGUAIgAsACIAUwBvAHUAcgBjAGUARABhAHQAYQBfAEYAZQBlAGQAbABvAHQALgBTAG8AdQByAGMAZQBEAGEAdABhAF8ARgBlAGUAZABsAG8AdABfAFYAUwBMAF8AVgBhAHIAaQBhAHQAaQBvAG4AIgAsACIAUwBvAHUAcgBjAGUARABhAHQAYQBfAEYAZQBlAGQAbABvAHQALgBTAG8AdQByAGMAZQBEAGEAdABhAF8ARgBlAGUAZABsAG8AdABfAFYAUwBMAF8ARABhAHQAYQAiACwAIgBTAG8AdQByAGMAZQBEAGEAdABhAF8ARgBlAGUAZABsAG8AdAAuAFMAbwB1AHIAYwBlAEQAYQB0AGEAXwBGAGUAZQBkAGwAbwB0AF8ATQBNAFMAbQAxAFQAMwBfAFQAaQB0AGwAZQAiACwAIgBTAG8AdQByAGMAZQBEAGEAdABhAF8ARgBlAGUAZABsAG8AdAAuAFMAbwB1AHIAYwBlAEQAYQB0AGEAXwBGAGUAZQBkAGwAbwB0AF8ATQBNAFMAbQAxAFQAMwBfAFYAYQByAGkAYQBiAGwAZQAiACwAIgBTAG8AdQByAGMAZQBEAGEAdABhAF8ARgBlAGUAZABsAG8AdAAuAFMAbwB1AHIAYwBlAEQAYQB0AGEAXwBGAGUAZQBkAGwAbwB0AF8ATQBNAFMAbQAxAFQAMwBfAFUAbgBpAHQAIgAsACIAUwBvAHUAcgBjAGUARABhAHQAYQBfAEYAZQBlAGQAbABvAHQALgBTAG8AdQByAGMAZQBEAGEAdABhAF8ARgBlAGUAZABsAG8AdABfAE0ATQBTAG0AMQBUADMAXwBTAG8AdQByAGMAZQAiACwAIgBTAG8AdQByAGMAZQBEAGEAdABhAF8ARgBlAGUAZABsAG8AdAAuAFMAbwB1AHIAYwBlAEQAYQB0AGEAXwBGAGUAZQBkAGwAbwB0AF8ATQBNAFMAbQAxAFQAMwBfAFYAYQByAGkAYQB0AGkAbwBuACIALAAiAFMAbwB1AHIAYwBlAEQAYQB0AGEAXwBGAGUAZQBkAGwAbwB0AC4AUwBvAHUAcgBjAGUARABhAHQAYQBfAEYAZQBlAGQAbABvAHQAXwBNAE0AUwBtADEAVAAzAF8ARABhAHQAYQAiACwAIgBTAG8AdQByAGMAZQBEAGEAdABhAF8ARgBlAGUAZABsAG8AdAAuAFMAbwB1AHIAYwBlAEQAYQB0AGEAXwBGAGUAZQBkAGwAbwB0AF8AQQBzAGgAQwBvAG4AdABlAG4AdABfAFQAaQB0AGwAZQAiACwAIgBTAG8AdQByAGMAZQBEAGEAdABhAF8ARgBlAGUAZABsAG8AdAAuAFMAbwB1AHIAYwBlAEQAYQB0AGEAXwBGAGUAZQBkAGwAbwB0AF8AQQBzAGgAQwBvAG4AdABlAG4AdABfAFYAYQByAGkAYQBiAGwAZQAiACwAIgBTAG8AdQByAGMAZQBEAGEAdABhAF8ARgBlAGUAZABsAG8AdAAuAFMAbwB1AHIAYwBlAEQAYQB0AGEAXwBGAGUAZQBkAGwAbwB0AF8AQQBzAGgAQwBvAG4AdABlAG4AdABfAFUAbgBpAHQAIgAsACIAUwBvAHUAcgBjAGUARABhAHQAYQBfAEYAZQBlAGQAbABvAHQALgBTAG8AdQByAGMAZQBEAGEAdABhAF8ARgBlAGUAZABsAG8AdABfAEEAcwBoAEMAbwBuAHQAZQBuAHQAXwBTAG8AdQByAGMAZQAiACwAIgBTAG8AdQByAGMAZQBEAGEAdABhAF8ARgBlAGUAZABsAG8AdAAuAFMAbwB1AHIAYwBlAEQAYQB0AGEAXwBGAGUAZQBkAGwAbwB0AF8AQQBzAGgAQwBvAG4AdABlAG4AdABfAFYAYQByAGkAYQB0AGkAbwBuACIALAAiAFMAbwB1AHIAYwBlAEQAYQB0AGEAXwBGAGUAZQBkAGwAbwB0AC4AUwBvAHUAcgBjAGUARABhAHQAYQBfAEYAZQBlAGQAbABvAHQAXwBBAHMAaABDAG8AbgB0AGUAbgB0AF8ARABhAHQAYQAiACwAIgBTAG8AdQByAGMAZQBEAGEAdABhAF8ARgBlAGUAZABsAG8AdAAuAFMAbwB1AHIAYwBlAEQAYQB0AGEAXwBGAGUAZQBkAGwAbwB0AF8ATQBlAHQAaABhAG4AZQBFAG0AaQBzAHMAaQBvAG4AcwBQAG8AdABlAG4AdABpAGEAbABfAFQAaQB0AGwAZQAiACwAIgBTAG8AdQByAGMAZQBEAGEAdABhAF8ARgBlAGUAZABsAG8AdAAuAFMAbwB1AHIAYwBlAEQAYQB0AGEAXwBGAGUAZQBkAGwAbwB0AF8ATQBlAHQAaABhAG4AZQBFAG0AaQBzAHMAaQBvAG4AcwBQAG8AdABlAG4AdABpAGEAbABfAFYAYQByAGkAYQBiAGwAZQAiACwAIgBTAG8AdQByAGMAZQBEAGEAdABhAF8ARgBlAGUAZABsAG8AdAAuAFMAbwB1AHIAYwBlAEQAYQB0AGEAXwBGAGUAZQBkAGwAbwB0AF8ATQBlAHQAaABhAG4AZQBFAG0AaQBzAHMAaQBvAG4AcwBQAG8AdABlAG4AdABpAGEAbABfAFUAbgBpAHQAIgAsACIAUwBvAHUAcgBjAGUARABhAHQAYQBfAEYAZQBlAGQAbABvAHQALgBTAG8AdQByAGMAZQBEAGEAdABhAF8ARgBlAGUAZABsAG8AdABfAE0AZQB0AGgAYQBuAGUARQBtAGkAcwBzAGkAbwBuAHMAUABvAHQAZQBuAHQAaQBhAGwAXwBTAG8AdQByAGMAZQAiACwAIgBTAG8AdQByAGMAZQBEAGEAdABhAF8ARgBlAGUAZABsAG8AdAAuAFMAbwB1AHIAYwBlAEQAYQB0AGEAXwBGAGUAZQBkAGwAbwB0AF8ATQBlAHQAaABhAG4AZQBFAG0AaQBzAHMAaQBvAG4AcwBQAG8AdABlAG4AdABpAGEAbABfAFYAYQByAGkAYQB0AGkAbwBuACIALAAiAFMAbwB1AHIAYwBlAEQAYQB0AGEAXwBGAGUAZQBkAGwAbwB0AC4AUwBvAHUAcgBjAGUARABhAHQAYQBfAEYAZQBlAGQAbABvAHQAXwBNAGUAdABoAGEAbgBlAEUAbQBpAHMAcwBpAG8AbgBzAFAAbwB0AGUAbgB0AGkAYQBsAF8ARABhAHQAYQAiACwAIgBTAG8AdQByAGMAZQBEAGEAdABhAF8ARgBlAGUAZABsAG8AdAAuAFMAbwB1AHIAYwBlAEQAYQB0AGEAXwBGAGUAZQBkAGwAbwB0AF8AUwB0AGEAZwBlADEATQBNAFMATwBwAHQAaQBvAG4AcwAiACwAIgBTAG8AdQByAGMAZQBEAGEAdABhAF8ARgBlAGUAZABsAG8AdAAuAFMAbwB1AHIAYwBlAEQAYQB0AGEAXwBGAGUAZQBkAGwAbwB0AF8AUwB0AGEAZwBlADIATQBNAFMATwBwAHQAaQBvAG4AcwAiACwAIgBTAG8AdQByAGMAZQBEAGEAdABhAF8ARgBlAGUAZABsAG8AdAAuAFMAbwB1AHIAYwBlAEQAYQB0AGEAXwBGAGUAZQBkAGwAbwB0AF8AUwB0AGEAZwBlADMATQBNAFMATwBwAHQAaQBvAG4AcwAiACwAIgBTAG8AdQByAGMAZQBEAGEAdABhAF8ARgBlAGUAZABsAG8AdAAuAFMAbwB1AHIAYwBlAEQAYQB0AGEAXwBGAGUAZQBkAGwAbwB0AF8ATABpAHYAZQBzAHQAbwBjAGsAQwBsAGEAcwBzAGUAcwAiACwAIgBTAG8AdQByAGMAZQBEAGEAdABhAF8ARgBlAGUAZABsAG8AdAAuAFMAbwB1AHIAYwBlAEQAYQB0AGEAXwBGAGUAZQBkAGwAbwB0AF8ARAB1AHIAYQB0AGkAbwBuAE8AZgBTAHQAYQB5AF8AVABpAHQAbABlACIALAAiAFMAbwB1AHIAYwBlAEQAYQB0AGEAXwBGAGUAZQBkAGwAbwB0AC4AUwBvAHUAcgBjAGUARABhAHQAYQBfAEYAZQBlAGQAbABvAHQAXwBEAHUAcgBhAHQAaQBvAG4ATwBmAFMAdABhAHkAXwBVAG4AaQB0ACIALAAiAFMAbwB1AHIAYwBlAEQAYQB0AGEAXwBGAGUAZQBkAGwAbwB0AC4AUwBvAHUAcgBjAGUARABhAHQAYQBfAEYAZQBlAGQAbABvAHQAXwBEAHUAcgBhAHQAaQBvAG4ATwBmAFMAdABhAHkAXwBTAG8AdQByAGMAZQAiACwAIgBTAG8AdQByAGMAZQBEAGEAdABhAF8ARgBlAGUAZABsAG8AdAAuAFMAbwB1AHIAYwBlAEQAYQB0AGEAXwBGAGUAZQBkAGwAbwB0AF8ARAB1AHIAYQB0AGkAbwBuAE8AZgBTAHQAYQB5AF8AVgBhAHIAaQBhAHQAaQBvAG4AIgAsACIAUwBvAHUAcgBjAGUARABhAHQAYQBfAEYAZQBlAGQAbABvAHQALgBTAG8AdQByAGMAZQBEAGEAdABhAF8ARgBlAGUAZABsAG8AdABfAEQAdQByAGEAdABpAG8AbgBPAGYAUwB0AGEAeQBfAEQAYQB0AGEAIgAsACIAUwBvAHUAcgBjAGUARABhAHQAYQBfAEYAZQBlAGQAbABvAHQALgBTAG8AdQByAGMAZQBEAGEAdABhAF8ARgBlAGUAZABsAG8AdABfAEEAbgBpAG0AYQBsAEMAaABhAHIAYQBjAHQAZQByAGkAcwB0AGkAYwBzAF8AVABpAHQAbABlACIALAAiAFMAbwB1AHIAYwBlAEQAYQB0AGEAXwBGAGUAZQBkAGwAbwB0AC4AUwBvAHUAcgBjAGUARABhAHQAYQBfAEYAZQBlAGQAbABvAHQAXwBBAG4AaQBtAGEAbABDAGgAYQByAGEAYwB0AGUAcgBpAHMAdABpAGMAcwBfAFUAbgBpAHQAIgAsACIAUwBvAHUAcgBjAGUARABhAHQAYQBfAEYAZQBlAGQAbABvAHQALgBTAG8AdQByAGMAZQBEAGEAdABhAF8ARgBlAGUAZABsAG8AdABfAEEAbgBpAG0AYQBsAEMAaABhAHIAYQBjAHQAZQByAGkAcwB0AGkAYwBzAF8AUwBvAHUAcgBjAGUAIgAsACIAUwBvAHUAcgBjAGUARABhAHQAYQBfAEYAZQBlAGQAbABvAHQALgBTAG8AdQByAGMAZQBEAGEAdABhAF8ARgBlAGUAZABsAG8AdABfAEEAbgBpAG0AYQBsAEMAaABhAHIAYQBjAHQAZQByAGkAcwB0AGkAYwBzAF8AVgBhAHIAaQBhAHQAaQBvAG4AIgAsACIAUwBvAHUAcgBjAGUARABhAHQAYQBfAEYAZQBlAGQAbABvAHQALgBTAG8AdQByAGMAZQBEAGEAdABhAF8ARgBlAGUAZABsAG8AdABfAEEAbgBpAG0AYQBsAEMAaABhAHIAYQBjAHQAZQByAGkAcwB0AGkAYwBzAF8ARABhAHQAYQAiACwAIgBTAG8AdQByAGMAZQBEAGEAdABhAF8ARgBlAGUAZABsAG8AdAAuAFMAbwB1AHIAYwBlAEQAYQB0AGEAXwBGAGUAZQBkAGwAbwB0AF8ARABpAGUAdABQAHIAbwBwAGUAcgB0AGkAZQBzAF8AVABpAHQAbABlACIALAAiAFMAbwB1AHIAYwBlAEQAYQB0AGEAXwBGAGUAZQBkAGwAbwB0AC4AUwBvAHUAcgBjAGUARABhAHQAYQBfAEYAZQBlAGQAbABvAHQAXwBEAGkAZQB0AFAAcgBvAHAAZQByAHQAaQBlAHMAXwBVAG4AaQB0ACIALAAiAFMAbwB1AHIAYwBlAEQAYQB0AGEAXwBGAGUAZQBkAGwAbwB0AC4AUwBvAHUAcgBjAGUARABhAHQAYQBfAEYAZQBlAGQAbABvAHQAXwBEAGkAZQB0AFAAcgBvAHAAZQByAHQAaQBlAHMAXwBTAG8AdQByAGMAZQAiACwAIgBTAG8AdQByAGMAZQBEAGEAdABhAF8ARgBlAGUAZABsAG8AdAAuAFMAbwB1AHIAYwBlAEQAYQB0AGEAXwBGAGUAZQBkAGwAbwB0AF8ARABpAGUAdABQAHIAbwBwAGUAcgB0AGkAZQBzAF8AVgBhAHIAaQBhAHQAaQBvAG4AIgAsACIAUwBvAHUAcgBjAGUARABhAHQAYQBfAEYAZQBlAGQAbABvAHQALgBTAG8AdQByAGMAZQBEAGEAdABhAF8ARgBlAGUAZABsAG8AdABfAEQAaQBlAHQAUAByAG8AcABlAHIAdABpAGUAcwBfAEQAYQB0AGEAIgAsACIAUwBvAHUAcgBjAGUARABhAHQAYQBfAEYAZQBlAGQAbABvAHQALgBTAG8AdQByAGMAZQBEAGEAdABhAF8ARgBlAGUAZABsAG8AdABfAE0AQwBGAF8AVABpAHQAbABlACIALAAiAFMAbwB1AHIAYwBlAEQAYQB0AGEAXwBGAGUAZQBkAGwAbwB0AC4AUwBvAHUAcgBjAGUARABhAHQAYQBfAEYAZQBlAGQAbABvAHQAXwBNAEMARgBfAFUAbgBpAHQAIgAsACIAUwBvAHUAcgBjAGUARABhAHQAYQBfAEYAZQBlAGQAbABvAHQALgBTAG8AdQByAGMAZQBEAGEAdABhAF8ARgBlAGUAZABsAG8AdABfAE0AQwBGAF8AUwBvAHUAcgBjAGUAIgAsACIAUwBvAHUAcgBjAGUARABhAHQAYQBfAEYAZQBlAGQAbABvAHQALgBTAG8AdQByAGMAZQBEAGEAdABhAF8ARgBlAGUAZABsAG8AdABfAE0AQwBGAF8AVgBhAHIAaQBhAHQAaQBvAG4AIgAsACIAUwBvAHUAcgBjAGUARABhAHQAYQBfAEYAZQBlAGQAbABvAHQALgBTAG8AdQByAGMAZQBEAGEAdABhAF8ARgBlAGUAZABsAG8AdABfAE0AQwBGAF8ARABhAHQAYQAiACwAIgBTAG8AdQByAGMAZQBEAGEAdABhAF8ARgBlAGUAZABsAG8AdAAuAFMAbwB1AHIAYwBlAEQAYQB0AGEAXwBGAGUAZQBkAGwAbwB0AF8ATgBpAHQAcgBvAHUAcwBPAHgAaQBkAGUARQBGAHMAXwBUAGkAdABsAGUAIgAsACIAUwBvAHUAcgBjAGUARABhAHQAYQBfAEYAZQBlAGQAbABvAHQALgBTAG8AdQByAGMAZQBEAGEAdABhAF8ARgBlAGUAZABsAG8AdABfAE4AaQB0AHIAbwB1AHMATwB4AGkAZABlAEUARgBzAF8AVQBuAGkAdAAiACwAIgBTAG8AdQByAGMAZQBEAGEAdABhAF8ARgBlAGUAZABsAG8AdAAuAFMAbwB1AHIAYwBlAEQAYQB0AGEAXwBGAGUAZQBkAGwAbwB0AF8ATgBpAHQAcgBvAHUAcwBPAHgAaQBkAGUARQBGAHMAXwBTAG8AdQByAGMAZQAiACwAIgBTAG8AdQByAGMAZQBEAGEAdABhAF8ARgBlAGUAZABsAG8AdAAuAFMAbwB1AHIAYwBlAEQAYQB0AGEAXwBGAGUAZQBkAGwAbwB0AF8ATgBpAHQAcgBvAHUAcwBPAHgAaQBkAGUARQBGAHMAXwBWAGEAcgBpAGEAdABpAG8AbgAiACwAIgBTAG8AdQByAGMAZQBEAGEAdABhAF8ARgBlAGUAZABsAG8AdAAuAFMAbwB1AHIAYwBlAEQAYQB0AGEAXwBGAGUAZQBkAGwAbwB0AF8ATgBpAHQAcgBvAHUAcwBPAHgAaQBkAGUARQBGAHMAXwBEAGEAdABhACIALAAiAFMAbwB1AHIAYwBlAEQAYQB0AGEAXwBGAGUAZQBkAGwAbwB0AC4AUwBvAHUAcgBjAGUARABhAHQAYQBfAEYAZQBlAGQAbABvAHQAXwBGAHIAYQBjAE4AVgBvAGwAYQB0AGkAbABpAHMAZQBkAF8AVABpAHQAbABlACIALAAiAFMAbwB1AHIAYwBlAEQAYQB0AGEAXwBGAGUAZQBkAGwAbwB0AC4AUwBvAHUAcgBjAGUARABhAHQAYQBfAEYAZQBlAGQAbABvAHQAXwBGAHIAYQBjAE4AVgBvAGwAYQB0AGkAbABpAHMAZQBkAF8AVQBuAGkAdAAiACwAIgBTAG8AdQByAGMAZQBEAGEAdABhAF8ARgBlAGUAZABsAG8AdAAuAFMAbwB1AHIAYwBlAEQAYQB0AGEAXwBGAGUAZQBkAGwAbwB0AF8ARgByAGEAYwBOAFYAbwBsAGEAdABpAGwAaQBzAGUAZABfAFMAbwB1AHIAYwBlACIALAAiAFMAbwB1AHIAYwBlAEQAYQB0AGEAXwBGAGUAZQBkAGwAbwB0AC4AUwBvAHUAcgBjAGUARABhAHQAYQBfAEYAZQBlAGQAbABvAHQAXwBGAHIAYQBjAE4AVgBvAGwAYQB0AGkAbABpAHMAZQBkAF8AVgBhAHIAaQBhAHQAaQBvAG4AIgAsACIAUwBvAHUAcgBjAGUARABhAHQAYQBfAEYAZQBlAGQAbABvAHQALgBTAG8AdQByAGMAZQBEAGEAdABhAF8ARgBlAGUAZABsAG8AdABfAEYAcgBhAGMATgBWAG8AbABhAHQAaQBsAGkAcwBlAGQAXwBEAGEAdABhACIALAAiAE0ATQBTAF8ARgBlAGUAZABsAG8AdABfAE0AZQB0AGgAYQBuAGUAXwBFAHEAdQBhAHQAaQBvAG4AcwAuAFYARQBFAFIARwBfADQAXwAxAF8AMQBfADEAXwBfADEAXwBUAG8AdABhAGwAQQBuAG4AdQBhAGwATQBlAHQAaABhAG4AZQBFAG0AaQBzAHMAaQBvAG4AcwAiACwAIgBNAE0AUwBfAEYAZQBlAGQAbABvAHQAXwBNAGUAdABoAGEAbgBlAF8ARQBxAHUAYQB0AGkAbwBuAHMALgBWAEUARQBSAEcAXwA0AF8AMQBfADEAXwAxAF8AXwAxAF8AVABvAHQAYQBsAEEAbgBuAHUAYQBsAE0AZQB0AGgAYQBuAGUARQBtAGkAcwBzAGkAbwBuAHMAXwBUAGkAdABsAGUAIgAsACIATQBNAFMAXwBGAGUAZQBkAGwAbwB0AF8ATQBlAHQAaABhAG4AZQBfAEUAcQB1AGEAdABpAG8AbgBzAC4AVgBFAEUAUgBHAF8ANABfADEAXwAxAF8AMQBfAF8AMQBfAFQAbwB0AGEAbABBAG4AbgB1AGEAbABNAGUAdABoAGEAbgBlAEUAbQBpAHMAcwBpAG8AbgBzAF8AVgBhAHIAaQBhAGIAbABlACIALAAiAE0ATQBTAF8ARgBlAGUAZABsAG8AdABfAE0AZQB0AGgAYQBuAGUAXwBFAHEAdQBhAHQAaQBvAG4AcwAuAFYARQBFAFIARwBfADQAXwAxAF8AMQBfADEAXwBfADEAXwBUAG8AdABhAGwAQQBuAG4AdQBhAGwATQBlAHQAaABhAG4AZQBFAG0AaQBzAHMAaQBvAG4AcwBfAFUAbgBpAHQAIgAsACIATQBNAFMAXwBGAGUAZQBkAGwAbwB0AF8ATQBlAHQAaABhAG4AZQBfAEUAcQB1AGEAdABpAG8AbgBzAC4AVgBFAEUAUgBHAF8ANABfADEAXwAxAF8AMQBfAF8AMQBfAFQAbwB0AGEAbABBAG4AbgB1AGEAbABNAGUAdABoAGEAbgBlAEUAbQBpAHMAcwBpAG8AbgBzAF8AUwBvAHUAcgBjAGUAIgAsACIATQBNAFMAXwBGAGUAZQBkAGwAbwB0AF8ATQBlAHQAaABhAG4AZQBfAEUAcQB1AGEAdABpAG8AbgBzAC4AVgBFAEUAUgBHAF8ANABfADEAXwAxAF8AMQBfAF8AMQBfAFQAbwB0AGEAbABBAG4AbgB1AGEAbABNAGUAdABoAGEAbgBlAEUAbQBpAHMAcwBpAG8AbgBzAF8ATgBJAFIAUgBlAGYAZQByAGUAbgBjAGUAIgAsACIATQBNAFMAXwBGAGUAZQBkAGwAbwB0AF8ATQBlAHQAaABhAG4AZQBfAEUAcQB1AGEAdABpAG8AbgBzAC4AVgBFAEUAUgBHAF8ANABfADEAXwAxAF8AMQBfAF8AMQBfAFQAbwB0AGEAbABBAG4AbgB1AGEAbABNAGUAdABoAGEAbgBlAEUAbQBpAHMAcwBpAG8AbgBzAF8ATABhAHQAZQB4AEUAcQB1AGEAdABpAG8AbgAiACwAIgBNAE0AUwBfAEYAZQBlAGQAbABvAHQAXwBNAGUAdABoAGEAbgBlAF8ARQBxAHUAYQB0AGkAbwBuAHMALgBWAEUARQBSAEcAXwA0AF8AMQBfADEAXwAxAF8AXwAxAF8AVABvAHQAYQBsAEEAbgBuAHUAYQBsAE0AZQB0AGgAYQBuAGUARQBtAGkAcwBzAGkAbwBuAHMAXwBBAHIAZwB1AG0AZQBuAHQAcwAiACwAIgBNAE0AUwBfAEYAZQBlAGQAbABvAHQAXwBNAGUAdABoAGEAbgBlAF8ARQBxAHUAYQB0AGkAbwBuAHMALgBWAEUARQBSAEcAXwA0AF8AMQBfADEAXwAxAF8AXwAyAF8AUwB0AGEAZwBlADEATQBlAHQAaABhAG4AZQBQAHIAbwBkAHUAYwB0AGkAbwBuAEQAcgB5AGwAbwB0ACIALAAiAE0ATQBTAF8ARgBlAGUAZABsAG8AdABfAE0AZQB0AGgAYQBuAGUAXwBFAHEAdQBhAHQAaQBvAG4AcwAuAFYARQBFAFIARwBfADQAXwAxAF8AMQBfADEAXwBfADIAXwBTAHQAYQBnAGUAMQBNAGUAdABoAGEAbgBlAFAAcgBvAGQAdQBjAHQAaQBvAG4ARAByAHkAbABvAHQAXwBUAGkAdABsAGUAIgAsACIATQBNAFMAXwBGAGUAZQBkAGwAbwB0AF8ATQBlAHQAaABhAG4AZQBfAEUAcQB1AGEAdABpAG8AbgBzAC4AVgBFAEUAUgBHAF8ANABfADEAXwAxAF8AMQBfAF8AMgBfAFMAdABhAGcAZQAxAE0AZQB0AGgAYQBuAGUAUAByAG8AZAB1AGMAdABpAG8AbgBEAHIAeQBsAG8AdABfAFYAYQByAGkAYQBiAGwAZQAiACwAIgBNAE0AUwBfAEYAZQBlAGQAbABvAHQAXwBNAGUAdABoAGEAbgBlAF8ARQBxAHUAYQB0AGkAbwBuAHMALgBWAEUARQBSAEcAXwA0AF8AMQBfADEAXwAxAF8AXwAyAF8AUwB0AGEAZwBlADEATQBlAHQAaABhAG4AZQBQAHIAbwBkAHUAYwB0AGkAbwBuAEQAcgB5AGwAbwB0AF8AVQBuAGkAdAAiACwAIgBNAE0AUwBfAEYAZQBlAGQAbABvAHQAXwBNAGUAdABoAGEAbgBlAF8ARQBxAHUAYQB0AGkAbwBuAHMALgBWAEUARQBSAEcAXwA0AF8AMQBfADEAXwAxAF8AXwAyAF8AUwB0AGEAZwBlADEATQBlAHQAaABhAG4AZQBQAHIAbwBkAHUAYwB0AGkAbwBuAEQAcgB5AGwAbwB0AF8AUwBvAHUAcgBjAGUAIgAsACIATQBNAFMAXwBGAGUAZQBkAGwAbwB0AF8ATQBlAHQAaABhAG4AZQBfAEUAcQB1AGEAdABpAG8AbgBzAC4AVgBFAEUAUgBHAF8ANABfADEAXwAxAF8AMQBfAF8AMgBfAFMAdABhAGcAZQAxAE0AZQB0AGgAYQBuAGUAUAByAG8AZAB1AGMAdABpAG8AbgBEAHIAeQBsAG8AdABfAE4ASQBSAFIAZQBmAGUAcgBlAG4AYwBlACIALAAiAE0ATQBTAF8ARgBlAGUAZABsAG8AdABfAE0AZQB0AGgAYQBuAGUAXwBFAHEAdQBhAHQAaQBvAG4AcwAuAFYARQBFAFIARwBfADQAXwAxAF8AMQBfADEAXwBfADIAXwBTAHQAYQBnAGUAMQBNAGUAdABoAGEAbgBlAFAAcgBvAGQAdQBjAHQAaQBvAG4ARAByAHkAbABvAHQAXwBMAGEAdABlAHgARQBxAHUAYQB0AGkAbwBuACIALAAiAE0ATQBTAF8ARgBlAGUAZABsAG8AdABfAE0AZQB0AGgAYQBuAGUAXwBFAHEAdQBhAHQAaQBvAG4AcwAuAFYARQBFAFIARwBfADQAXwAxAF8AMQBfADEAXwBfADIAXwBTAHQAYQBnAGUAMQBNAGUAdABoAGEAbgBlAFAAcgBvAGQAdQBjAHQAaQBvAG4ARAByAHkAbABvAHQAXwBBAHIAZwB1AG0AZQBuAHQAcwAiACwAIgBNAE0AUwBfAEYAZQBlAGQAbABvAHQAXwBNAGUAdABoAGEAbgBlAF8ARQBxAHUAYQB0AGkAbwBuAHMALgBWAEUARQBSAEcAXwA0AF8AMQBfADEAXwAxAF8AXwAyAF8AUwB0AGEAZwBlADEATQBlAHQAaABhAG4AZQBQAHIAbwBkAHUAYwB0AGkAbwBuAEQAcgB5AGwAbwB0AF8AQQByAGcAdQBtAGUAbgB0AHMAXwBNAGUAdABoAG8AZAAyACIALAAiAE0ATQBTAF8ARgBlAGUAZABsAG8AdABfAE0AZQB0AGgAYQBuAGUAXwBFAHEAdQBhAHQAaQBvAG4AcwAuAFYARQBFAFIARwBfADQAXwAxAF8AMQBfADEAXwBfADMAXwBTAHQAYQBnAGUAMgBNAGUAdABoAGEAbgBlAFAAcgBvAGQAdQBjAHQAaQBvAG4AIgAsACIATQBNAFMAXwBGAGUAZQBkAGwAbwB0AF8ATQBlAHQAaABhAG4AZQBfAEUAcQB1AGEAdABpAG8AbgBzAC4AVgBFAEUAUgBHAF8ANABfADEAXwAxAF8AMQBfAF8AMwBfAFMAdABhAGcAZQAyAE0AZQB0AGgAYQBuAGUAUAByAG8AZAB1AGMAdABpAG8AbgBfAFQAaQB0AGwAZQAiACwAIgBNAE0AUwBfAEYAZQBlAGQAbABvAHQAXwBNAGUAdABoAGEAbgBlAF8ARQBxAHUAYQB0AGkAbwBuAHMALgBWAEUARQBSAEcAXwA0AF8AMQBfADEAXwAxAF8AXwAzAF8AUwB0AGEAZwBlADIATQBlAHQAaABhAG4AZQBQAHIAbwBkAHUAYwB0AGkAbwBuAF8AVgBhAHIAaQBhAGIAbABlACIALAAiAE0ATQBTAF8ARgBlAGUAZABsAG8AdABfAE0AZQB0AGgAYQBuAGUAXwBFAHEAdQBhAHQAaQBvAG4AcwAuAFYARQBFAFIARwBfADQAXwAxAF8AMQBfADEAXwBfADMAXwBTAHQAYQBnAGUAMgBNAGUAdABoAGEAbgBlAFAAcgBvAGQAdQBjAHQAaQBvAG4AXwBVAG4AaQB0ACIALAAiAE0ATQBTAF8ARgBlAGUAZABsAG8AdABfAE0AZQB0AGgAYQBuAGUAXwBFAHEAdQBhAHQAaQBvAG4AcwAuAFYARQBFAFIARwBfADQAXwAxAF8AMQBfADEAXwBfADMAXwBTAHQAYQBnAGUAMgBNAGUAdABoAGEAbgBlAFAAcgBvAGQAdQBjAHQAaQBvAG4AXwBTAG8AdQByAGMAZQAiACwAIgBNAE0AUwBfAEYAZQBlAGQAbABvAHQAXwBNAGUAdABoAGEAbgBlAF8ARQBxAHUAYQB0AGkAbwBuAHMALgBWAEUARQBSAEcAXwA0AF8AMQBfADEAXwAxAF8AXwAzAF8AUwB0AGEAZwBlADIATQBlAHQAaABhAG4AZQBQAHIAbwBkAHUAYwB0AGkAbwBuAF8ATgBJAFIAUgBlAGYAZQByAGUAbgBjAGUAIgAsACIATQBNAFMAXwBGAGUAZQBkAGwAbwB0AF8ATQBlAHQAaABhAG4AZQBfAEUAcQB1AGEAdABpAG8AbgBzAC4AVgBFAEUAUgBHAF8ANABfADEAXwAxAF8AMQBfAF8AMwBfAFMAdABhAGcAZQAyAE0AZQB0AGgAYQBuAGUAUAByAG8AZAB1AGMAdABpAG8AbgBfAEwAYQB0AGUAeABFAHEAdQBhAHQAaQBvAG4AIgAsACIATQBNAFMAXwBGAGUAZQBkAGwAbwB0AF8ATQBlAHQAaABhAG4AZQBfAEUAcQB1AGEAdABpAG8AbgBzAC4AVgBFAEUAUgBHAF8ANABfADEAXwAxAF8AMQBfAF8AMwBfAFMAdABhAGcAZQAyAE0AZQB0AGgAYQBuAGUAUAByAG8AZAB1AGMAdABpAG8AbgBfAEEAcgBnAHUAbQBlAG4AdABzACIALAAiAE0ATQBTAF8ARgBlAGUAZABsAG8AdABfAE0AZQB0AGgAYQBuAGUAXwBFAHEAdQBhAHQAaQBvAG4AcwAuAFYARQBFAFIARwBfADQAXwAxAF8AMQBfADEAXwBfADMAXwBTAHQAYQBnAGUAMgBNAGUAdABoAGEAbgBlAFAAcgBvAGQAdQBjAHQAaQBvAG4AXwBBAHIAZwB1AG0AZQBuAHQAcwBfAE0AZQB0AGgAbwBkADIAIgAsACIATQBNAFMAXwBGAGUAZQBkAGwAbwB0AF8ATQBlAHQAaABhAG4AZQBfAEUAcQB1AGEAdABpAG8AbgBzAC4AVgBFAEUAUgBHAF8ANABfADEAXwAxAF8AMQBfAF8ANABfAFMAdABhAGcAZQAzAE0AZQB0AGgAYQBuAGUAUAByAG8AZAB1AGMAdABpAG8AbgBBAG4AYQBlAHIAbwBiAGkAYwBMAGEAZwBvAG8AbgAiACwAIgBNAE0AUwBfAEYAZQBlAGQAbABvAHQAXwBNAGUAdABoAGEAbgBlAF8ARQBxAHUAYQB0AGkAbwBuAHMALgBWAEUARQBSAEcAXwA0AF8AMQBfADEAXwAxAF8AXwA0AF8AUwB0AGEAZwBlADMATQBlAHQAaABhAG4AZQBQAHIAbwBkAHUAYwB0AGkAbwBuAEEAbgBhAGUAcgBvAGIAaQBjAEwAYQBnAG8AbwBuAF8AVABpAHQAbABlACIALAAiAE0ATQBTAF8ARgBlAGUAZABsAG8AdABfAE0AZQB0AGgAYQBuAGUAXwBFAHEAdQBhAHQAaQBvAG4AcwAuAFYARQBFAFIARwBfADQAXwAxAF8AMQBfADEAXwBfADQAXwBTAHQAYQBnAGUAMwBNAGUAdABoAGEAbgBlAFAAcgBvAGQAdQBjAHQAaQBvAG4AQQBuAGEAZQByAG8AYgBpAGMATABhAGcAbwBvAG4AXwBWAGEAcgBpAGEAYgBsAGUAIgAsACIATQBNAFMAXwBGAGUAZQBkAGwAbwB0AF8ATQBlAHQAaABhAG4AZQBfAEUAcQB1AGEAdABpAG8AbgBzAC4AVgBFAEUAUgBHAF8ANABfADEAXwAxAF8AMQBfAF8ANABfAFMAdABhAGcAZQAzAE0AZQB0AGgAYQBuAGUAUAByAG8AZAB1AGMAdABpAG8AbgBBAG4AYQBlAHIAbwBiAGkAYwBMAGEAZwBvAG8AbgBfAFUAbgBpAHQAIgAsACIATQBNAFMAXwBGAGUAZQBkAGwAbwB0AF8ATQBlAHQAaABhAG4AZQBfAEUAcQB1AGEAdABpAG8AbgBzAC4AVgBFAEUAUgBHAF8ANABfADEAXwAxAF8AMQBfAF8ANABfAFMAdABhAGcAZQAzAE0AZQB0AGgAYQBuAGUAUAByAG8AZAB1AGMAdABpAG8AbgBBAG4AYQBlAHIAbwBiAGkAYwBMAGEAZwBvAG8AbgBfAFMAbwB1AHIAYwBlACIALAAiAE0ATQBTAF8ARgBlAGUAZABsAG8AdABfAE0AZQB0AGgAYQBuAGUAXwBFAHEAdQBhAHQAaQBvAG4AcwAuAFYARQBFAFIARwBfADQAXwAxAF8AMQBfADEAXwBfADQAXwBTAHQAYQBnAGUAMwBNAGUAdABoAGEAbgBlAFAAcgBvAGQAdQBjAHQAaQBvAG4AQQBuAGEAZQByAG8AYgBpAGMATABhAGcAbwBvAG4AXwBOAEkAUgBSAGUAZgBlAHIAZQBuAGMAZQAiACwAIgBNAE0AUwBfAEYAZQBlAGQAbABvAHQAXwBNAGUAdABoAGEAbgBlAF8ARQBxAHUAYQB0AGkAbwBuAHMALgBWAEUARQBSAEcAXwA0AF8AMQBfADEAXwAxAF8AXwA0AF8AUwB0AGEAZwBlADMATQBlAHQAaABhAG4AZQBQAHIAbwBkAHUAYwB0AGkAbwBuAEEAbgBhAGUAcgBvAGIAaQBjAEwAYQBnAG8AbwBuAF8ATABhAHQAZQB4AEUAcQB1AGEAdABpAG8AbgAiACwAIgBNAE0AUwBfAEYAZQBlAGQAbABvAHQAXwBNAGUAdABoAGEAbgBlAF8ARQBxAHUAYQB0AGkAbwBuAHMALgBWAEUARQBSAEcAXwA0AF8AMQBfADEAXwAxAF8AXwA0AF8AUwB0AGEAZwBlADMATQBlAHQAaABhAG4AZQBQAHIAbwBkAHUAYwB0AGkAbwBuAEEAbgBhAGUAcgBvAGIAaQBjAEwAYQBnAG8AbwBuAF8AQQByAGcAdQBtAGUAbgB0AHMAIgAsACIATQBNAFMAXwBGAGUAZQBkAGwAbwB0AF8ATQBlAHQAaABhAG4AZQBfAEUAcQB1AGEAdABpAG8AbgBzAC4AVgBFAEUAUgBHAF8ANABfADEAXwAxAF8AMQBfAF8ANABfAFMAdABhAGcAZQAzAE0AZQB0AGgAYQBuAGUAUAByAG8AZAB1AGMAdABpAG8AbgBBAG4AYQBlAHIAbwBiAGkAYwBMAGEAZwBvAG8AbgBfAEEAcgBnAHUAbQBlAG4AdABzAF8ATQBlAHQAaABvAGQAMgAiACwAIgBNAE0AUwBfAEYAZQBlAGQAbABvAHQAXwBNAGUAdABoAGEAbgBlAF8ARQBxAHUAYQB0AGkAbwBuAHMALgBWAEUARQBSAEcAXwA0AF8AMQBfADEAXwAxAF8AXwA1AF8AVgBvAGwAYQB0AGkAbABlAFMAbwBsAGkAZABQAHIAbwBkAHUAYwB0AGkAbwBuACIALAAiAE0ATQBTAF8ARgBlAGUAZABsAG8AdABfAE0AZQB0AGgAYQBuAGUAXwBFAHEAdQBhAHQAaQBvAG4AcwAuAFYARQBFAFIARwBfADQAXwAxAF8AMQBfADEAXwBfADUAXwBWAG8AbABhAHQAaQBsAGUAUwBvAGwAaQBkAFAAcgBvAGQAdQBjAHQAaQBvAG4AXwBUAGkAdABsAGUAIgAsACIATQBNAFMAXwBGAGUAZQBkAGwAbwB0AF8ATQBlAHQAaABhAG4AZQBfAEUAcQB1AGEAdABpAG8AbgBzAC4AVgBFAEUAUgBHAF8ANABfADEAXwAxAF8AMQBfAF8ANQBfAFYAbwBsAGEAdABpAGwAZQBTAG8AbABpAGQAUAByAG8AZAB1AGMAdABpAG8AbgBfAFYAYQByAGkAYQBiAGwAZQAiACwAIgBNAE0AUwBfAEYAZQBlAGQAbABvAHQAXwBNAGUAdABoAGEAbgBlAF8ARQBxAHUAYQB0AGkAbwBuAHMALgBWAEUARQBSAEcAXwA0AF8AMQBfADEAXwAxAF8AXwA1AF8AVgBvAGwAYQB0AGkAbABlAFMAbwBsAGkAZABQAHIAbwBkAHUAYwB0AGkAbwBuAF8AVQBuAGkAdAAiACwAIgBNAE0AUwBfAEYAZQBlAGQAbABvAHQAXwBNAGUAdABoAGEAbgBlAF8ARQBxAHUAYQB0AGkAbwBuAHMALgBWAEUARQBSAEcAXwA0AF8AMQBfADEAXwAxAF8AXwA1AF8AVgBvAGwAYQB0AGkAbABlAFMAbwBsAGkAZABQAHIAbwBkAHUAYwB0AGkAbwBuAF8AUwBvAHUAcgBjAGUAIgAsACIATQBNAFMAXwBGAGUAZQBkAGwAbwB0AF8ATQBlAHQAaABhAG4AZQBfAEUAcQB1AGEAdABpAG8AbgBzAC4AVgBFAEUAUgBHAF8ANABfADEAXwAxAF8AMQBfAF8ANQBfAFYAbwBsAGEAdABpAGwAZQBTAG8AbABpAGQAUAByAG8AZAB1AGMAdABpAG8AbgBfAE4ASQBSAFIAZQBmAGUAcgBlAG4AYwBlACIALAAiAE0ATQBTAF8ARgBlAGUAZABsAG8AdABfAE0AZQB0AGgAYQBuAGUAXwBFAHEAdQBhAHQAaQBvAG4AcwAuAFYARQBFAFIARwBfADQAXwAxAF8AMQBfADEAXwBfADUAXwBWAG8AbABhAHQAaQBsAGUAUwBvAGwAaQBkAFAAcgBvAGQAdQBjAHQAaQBvAG4AXwBMAGEAdABlAHgARQBxAHUAYQB0AGkAbwBuACIALAAiAE0ATQBTAF8ARgBlAGUAZABsAG8AdABfAE0AZQB0AGgAYQBuAGUAXwBFAHEAdQBhAHQAaQBvAG4AcwAuAFYARQBFAFIARwBfADQAXwAxAF8AMQBfADEAXwBfADUAXwBWAG8AbABhAHQAaQBsAGUAUwBvAGwAaQBkAFAAcgBvAGQAdQBjAHQAaQBvAG4AXwBBAHIAZwB1AG0AZQBuAHQAcwAiACwAIgBNAE0AUwBfAEYAZQBlAGQAbABvAHQAXwBNAGEAbgB1AHIAZQBBAHAAcABsAGkAZQBkAFQAbwBTAG8AaQBsAHMAXwBFAHEAdQBhAHQAaQBvAG4AcwAuAFYARQBFAFIARwBfADQAXwAxAF8AMQBfADkAXwBfADEAXwBNAGEAcwBzAE8AZgBOAGkAdAByAG8AZwBlAG4AQQBwAHAAbABpAGUAZABUAG8AUwBvAGkAbABzAFMAYwBvAHAAZQAxACIALAAiAE0ATQBTAF8ARgBlAGUAZABsAG8AdABfAE0AYQBuAHUAcgBlAEEAcABwAGwAaQBlAGQAVABvAFMAbwBpAGwAcwBfAEUAcQB1AGEAdABpAG8AbgBzAC4AVgBFAEUAUgBHAF8ANABfADEAXwAxAF8AOQBfAF8AMQBfAE0AYQBzAHMATwBmAE4AaQB0AHIAbwBnAGUAbgBBAHAAcABsAGkAZQBkAFQAbwBTAG8AaQBsAHMAUwBjAG8AcABlADEAXwBUAGkAdABsAGUAIgAsACIATQBNAFMAXwBGAGUAZQBkAGwAbwB0AF8ATQBhAG4AdQByAGUAQQBwAHAAbABpAGUAZABUAG8AUwBvAGkAbABzAF8ARQBxAHUAYQB0AGkAbwBuAHMALgBWAEUARQBSAEcAXwA0AF8AMQBfADEAXwA5AF8AXwAxAF8ATQBhAHMAcwBPAGYATgBpAHQAcgBvAGcAZQBuAEEAcABwAGwAaQBlAGQAVABvAFMAbwBpAGwAcwBTAGMAbwBwAGUAMQBfAFYAYQByAGkAYQBiAGwAZQAiACwAIgBNAE0AUwBfAEYAZQBlAGQAbABvAHQAXwBNAGEAbgB1AHIAZQBBAHAAcABsAGkAZQBkAFQAbwBTAG8AaQBsAHMAXwBFAHEAdQBhAHQAaQBvAG4AcwAuAFYARQBFAFIARwBfADQAXwAxAF8AMQBfADkAXwBfADEAXwBNAGEAcwBzAE8AZgBOAGkAdAByAG8AZwBlAG4AQQBwAHAAbABpAGUAZABUAG8AUwBvAGkAbABzAFMAYwBvAHAAZQAxAF8AVQBuAGkAdAAiACwAIgBNAE0AUwBfAEYAZQBlAGQAbABvAHQAXwBNAGEAbgB1AHIAZQBBAHAAcABsAGkAZQBkAFQAbwBTAG8AaQBsAHMAXwBFAHEAdQBhAHQAaQBvAG4AcwAuAFYARQBFAFIARwBfADQAXwAxAF8AMQBfADkAXwBfADEAXwBNAGEAcwBzAE8AZgBOAGkAdAByAG8AZwBlAG4AQQBwAHAAbABpAGUAZABUAG8AUwBvAGkAbABzAFMAYwBvAHAAZQAxAF8AUwBvAHUAcgBjAGUAIgAsACIATQBNAFMAXwBGAGUAZQBkAGwAbwB0AF8ATQBhAG4AdQByAGUAQQBwAHAAbABpAGUAZABUAG8AUwBvAGkAbABzAF8ARQBxAHUAYQB0AGkAbwBuAHMALgBWAEUARQBSAEcAXwA0AF8AMQBfADEAXwA5AF8AXwAxAF8ATQBhAHMAcwBPAGYATgBpAHQAcgBvAGcAZQBuAEEAcABwAGwAaQBlAGQAVABvAFMAbwBpAGwAcwBTAGMAbwBwAGUAMQBfAE4ASQBSAFIAZQBmAGUAcgBlAG4AYwBlACIALAAiAE0ATQBTAF8ARgBlAGUAZABsAG8AdABfAE0AYQBuAHUAcgBlAEEAcABwAGwAaQBlAGQAVABvAFMAbwBpAGwAcwBfAEUAcQB1AGEAdABpAG8AbgBzAC4AVgBFAEUAUgBHAF8ANABfADEAXwAxAF8AOQBfAF8AMQBfAE0AYQBzAHMATwBmAE4AaQB0AHIAbwBnAGUAbgBBAHAAcABsAGkAZQBkAFQAbwBTAG8AaQBsAHMAUwBjAG8AcABlADEAXwBMAGEAdABlAHgARQBxAHUAYQB0AGkAbwBuACIALAAiAE0ATQBTAF8ARgBlAGUAZABsAG8AdABfAE0AYQBuAHUAcgBlAEEAcABwAGwAaQBlAGQAVABvAFMAbwBpAGwAcwBfAEUAcQB1AGEAdABpAG8AbgBzAC4AVgBFAEUAUgBHAF8ANABfADEAXwAxAF8AOQBfAF8AMQBfAE0AYQBzAHMATwBmAE4AaQB0AHIAbwBnAGUAbgBBAHAAcABsAGkAZQBkAFQAbwBTAG8AaQBsAHMAUwBjAG8AcABlADEAXwBBAHIAZwB1AG0AZQBuAHQAcwAiACwAIgBNAE0AUwBfAEYAZQBlAGQAbABvAHQAXwBNAGEAbgB1AHIAZQBBAHAAcABsAGkAZQBkAFQAbwBTAG8AaQBsAHMAXwBFAHEAdQBhAHQAaQBvAG4AcwAuAFYARQBFAFIARwBfADQAXwAxAF8AMQBfADkAXwBfADIAXwBNAGEAcwBzAE8AZgBOAGkAdAByAG8AZwBlAG4AQQBwAHAAbABpAGUAZABUAG8AUwBvAGkAbABzAFMAYwBvAHAAZQAzACIALAAiAE0ATQBTAF8ARgBlAGUAZABsAG8AdABfAE0AYQBuAHUAcgBlAEEAcABwAGwAaQBlAGQAVABvAFMAbwBpAGwAcwBfAEUAcQB1AGEAdABpAG8AbgBzAC4AVgBFAEUAUgBHAF8ANABfADEAXwAxAF8AOQBfAF8AMgBfAE0AYQBzAHMATwBmAE4AaQB0AHIAbwBnAGUAbgBBAHAAcABsAGkAZQBkAFQAbwBTAG8AaQBsAHMAUwBjAG8AcABlADMAXwBUAGkAdABsAGUAIgAsACIATQBNAFMAXwBGAGUAZQBkAGwAbwB0AF8ATQBhAG4AdQByAGUAQQBwAHAAbABpAGUAZABUAG8AUwBvAGkAbABzAF8ARQBxAHUAYQB0AGkAbwBuAHMALgBWAEUARQBSAEcAXwA0AF8AMQBfADEAXwA5AF8AXwAyAF8ATQBhAHMAcwBPAGYATgBpAHQAcgBvAGcAZQBuAEEAcABwAGwAaQBlAGQAVABvAFMAbwBpAGwAcwBTAGMAbwBwAGUAMwBfAFYAYQByAGkAYQBiAGwAZQAiACwAIgBNAE0AUwBfAEYAZQBlAGQAbABvAHQAXwBNAGEAbgB1AHIAZQBBAHAAcABsAGkAZQBkAFQAbwBTAG8AaQBsAHMAXwBFAHEAdQBhAHQAaQBvAG4AcwAuAFYARQBFAFIARwBfADQAXwAxAF8AMQBfADkAXwBfADIAXwBNAGEAcwBzAE8AZgBOAGkAdAByAG8AZwBlAG4AQQBwAHAAbABpAGUAZABUAG8AUwBvAGkAbABzAFMAYwBvAHAAZQAzAF8AVQBuAGkAdAAiACwAIgBNAE0AUwBfAEYAZQBlAGQAbABvAHQAXwBNAGEAbgB1AHIAZQBBAHAAcABsAGkAZQBkAFQAbwBTAG8AaQBsAHMAXwBFAHEAdQBhAHQAaQBvAG4AcwAuAFYARQBFAFIARwBfADQAXwAxAF8AMQBfADkAXwBfADIAXwBNAGEAcwBzAE8AZgBOAGkAdAByAG8AZwBlAG4AQQBwAHAAbABpAGUAZABUAG8AUwBvAGkAbABzAFMAYwBvAHAAZQAzAF8AUwBvAHUAcgBjAGUAIgAsACIATQBNAFMAXwBGAGUAZQBkAGwAbwB0AF8ATQBhAG4AdQByAGUAQQBwAHAAbABpAGUAZABUAG8AUwBvAGkAbABzAF8ARQBxAHUAYQB0AGkAbwBuAHMALgBWAEUARQBSAEcAXwA0AF8AMQBfADEAXwA5AF8AXwAyAF8ATQBhAHMAcwBPAGYATgBpAHQAcgBvAGcAZQBuAEEAcABwAGwAaQBlAGQAVABvAFMAbwBpAGwAcwBTAGMAbwBwAGUAMwBfAE4ASQBSAFIAZQBmAGUAcgBlAG4AYwBlACIALAAiAE0ATQBTAF8ARgBlAGUAZABsAG8AdABfAE0AYQBuAHUAcgBlAEEAcABwAGwAaQBlAGQAVABvAFMAbwBpAGwAcwBfAEUAcQB1AGEAdABpAG8AbgBzAC4AVgBFAEUAUgBHAF8ANABfADEAXwAxAF8AOQBfAF8AMgBfAE0AYQBzAHMATwBmAE4AaQB0AHIAbwBnAGUAbgBBAHAAcABsAGkAZQBkAFQAbwBTAG8AaQBsAHMAUwBjAG8AcABlADMAXwBMAGEAdABlAHgARQBxAHUAYQB0AGkAbwBuACIALAAiAE0ATQBTAF8ARgBlAGUAZABsAG8AdABfAE0AYQBuAHUAcgBlAEEAcABwAGwAaQBlAGQAVABvAFMAbwBpAGwAcwBfAEUAcQB1AGEAdABpAG8AbgBzAC4AVgBFAEUAUgBHAF8ANABfADEAXwAxAF8AOQBfAF8AMgBfAE0AYQBzAHMATwBmAE4AaQB0AHIAbwBnAGUAbgBBAHAAcABsAGkAZQBkAFQAbwBTAG8AaQBsAHMAUwBjAG8AcABlADMAXwBBAHIAZwB1AG0AZQBuAHQAcwAiACwAIgBNAE0AUwBfAEYAZQBlAGQAbABvAHQAXwBBAHQAbQBvAHMAcABoAGUAcgBpAGMARABlAHAAbwBzAGkAdABpAG8AbgBfAEUAcQB1AGEAdABpAG8AbgBzAC4AVgBFAEUAUgBHAF8ANABfADEAXwAxAF8ANQBfAF8AMQBfAFQAbwB0AGEAbABBAG4AbgB1AGEAbABBAHQAbQBvAHMAcABoAGUAcgBpAGMARABlAHAAbwBzAGkAdABpAG8AbgBFAG0AaQBzAHMAaQBvAG4AcwAiACwAIgBNAE0AUwBfAEYAZQBlAGQAbABvAHQAXwBBAHQAbQBvAHMAcABoAGUAcgBpAGMARABlAHAAbwBzAGkAdABpAG8AbgBfAEUAcQB1AGEAdABpAG8AbgBzAC4AVgBFAEUAUgBHAF8ANABfADEAXwAxAF8ANQBfAF8AMQBfAFQAbwB0AGEAbABBAG4AbgB1AGEAbABBAHQAbQBvAHMAcABoAGUAcgBpAGMARABlAHAAbwBzAGkAdABpAG8AbgBFAG0AaQBzAHMAaQBvAG4AcwBfAFQAaQB0AGwAZQAiACwAIgBNAE0AUwBfAEYAZQBlAGQAbABvAHQAXwBBAHQAbQBvAHMAcABoAGUAcgBpAGMARABlAHAAbwBzAGkAdABpAG8AbgBfAEUAcQB1AGEAdABpAG8AbgBzAC4AVgBFAEUAUgBHAF8ANABfADEAXwAxAF8ANQBfAF8AMQBfAFQAbwB0AGEAbABBAG4AbgB1AGEAbABBAHQAbQBvAHMAcABoAGUAcgBpAGMARABlAHAAbwBzAGkAdABpAG8AbgBFAG0AaQBzAHMAaQBvAG4AcwBfAFYAYQByAGkAYQBiAGwAZQAiACwAIgBNAE0AUwBfAEYAZQBlAGQAbABvAHQAXwBBAHQAbQBvAHMAcABoAGUAcgBpAGMARABlAHAAbwBzAGkAdABpAG8AbgBfAEUAcQB1AGEAdABpAG8AbgBzAC4AVgBFAEUAUgBHAF8ANABfADEAXwAxAF8ANQBfAF8AMQBfAFQAbwB0AGEAbABBAG4AbgB1AGEAbABBAHQAbQBvAHMAcABoAGUAcgBpAGMARABlAHAAbwBzAGkAdABpAG8AbgBFAG0AaQBzAHMAaQBvAG4AcwBfAFUAbgBpAHQAIgAsACIATQBNAFMAXwBGAGUAZQBkAGwAbwB0AF8AQQB0AG0AbwBzAHAAaABlAHIAaQBjAEQAZQBwAG8AcwBpAHQAaQBvAG4AXwBFAHEAdQBhAHQAaQBvAG4AcwAuAFYARQBFAFIARwBfADQAXwAxAF8AMQBfADUAXwBfADEAXwBUAG8AdABhAGwAQQBuAG4AdQBhAGwAQQB0AG0AbwBzAHAAaABlAHIAaQBjAEQAZQBwAG8AcwBpAHQAaQBvAG4ARQBtAGkAcwBzAGkAbwBuAHMAXwBTAG8AdQByAGMAZQAiACwAIgBNAE0AUwBfAEYAZQBlAGQAbABvAHQAXwBBAHQAbQBvAHMAcABoAGUAcgBpAGMARABlAHAAbwBzAGkAdABpAG8AbgBfAEUAcQB1AGEAdABpAG8AbgBzAC4AVgBFAEUAUgBHAF8ANABfADEAXwAxAF8ANQBfAF8AMQBfAFQAbwB0AGEAbABBAG4AbgB1AGEAbABBAHQAbQBvAHMAcABoAGUAcgBpAGMARABlAHAAbwBzAGkAdABpAG8AbgBFAG0AaQBzAHMAaQBvAG4AcwBfAE4ASQBSAFIAZQBmAGUAcgBlAG4AYwBlACIALAAiAE0ATQBTAF8ARgBlAGUAZABsAG8AdABfAEEAdABtAG8AcwBwAGgAZQByAGkAYwBEAGUAcABvAHMAaQB0AGkAbwBuAF8ARQBxAHUAYQB0AGkAbwBuAHMALgBWAEUARQBSAEcAXwA0AF8AMQBfADEAXwA1AF8AXwAxAF8AVABvAHQAYQBsAEEAbgBuAHUAYQBsAEEAdABtAG8AcwBwAGgAZQByAGkAYwBEAGUAcABvAHMAaQB0AGkAbwBuAEUAbQBpAHMAcwBpAG8AbgBzAF8ATABhAHQAZQB4AEUAcQB1AGEAdABpAG8AbgAiACwAIgBNAE0AUwBfAEYAZQBlAGQAbABvAHQAXwBBAHQAbQBvAHMAcABoAGUAcgBpAGMARABlAHAAbwBzAGkAdABpAG8AbgBfAEUAcQB1AGEAdABpAG8AbgBzAC4AVgBFAEUAUgBHAF8ANABfADEAXwAxAF8ANQBfAF8AMQBfAFQAbwB0AGEAbABBAG4AbgB1AGEAbABBAHQAbQBvAHMAcABoAGUAcgBpAGMARABlAHAAbwBzAGkAdABpAG8AbgBFAG0AaQBzAHMAaQBvAG4AcwBfAEEAcgBnAHUAbQBlAG4AdABzACIALAAiAE0ATQBTAF8ARgBlAGUAZABsAG8AdABfAEEAdABtAG8AcwBwAGgAZQByAGkAYwBEAGUAcABvAHMAaQB0AGkAbwBuAF8ARQBxAHUAYQB0AGkAbwBuAHMALgBWAEUARQBSAEcAXwA0AF8AMQBfADEAXwA1AF8AXwAyAF8AVgBvAGwAYQB0AGkAbABpAHMAZQBkAE4AaQB0AHIAbwBnAGUAbgBGAHIAbwBtAE0AYQBuAHUAcgBlAE0AYQBuAGEAZwBlAG0AZQBuAHQAIgAsACIATQBNAFMAXwBGAGUAZQBkAGwAbwB0AF8AQQB0AG0AbwBzAHAAaABlAHIAaQBjAEQAZQBwAG8AcwBpAHQAaQBvAG4AXwBFAHEAdQBhAHQAaQBvAG4AcwAuAFYARQBFAFIARwBfADQAXwAxAF8AMQBfADUAXwBfADIAXwBWAG8AbABhAHQAaQBsAGkAcwBlAGQATgBpAHQAcgBvAGcAZQBuAEYAcgBvAG0ATQBhAG4AdQByAGUATQBhAG4AYQBnAGUAbQBlAG4AdABfAFQAaQB0AGwAZQAiACwAIgBNAE0AUwBfAEYAZQBlAGQAbABvAHQAXwBBAHQAbQBvAHMAcABoAGUAcgBpAGMARABlAHAAbwBzAGkAdABpAG8AbgBfAEUAcQB1AGEAdABpAG8AbgBzAC4AVgBFAEUAUgBHAF8ANABfADEAXwAxAF8ANQBfAF8AMgBfAFYAbwBsAGEAdABpAGwAaQBzAGUAZABOAGkAdAByAG8AZwBlAG4ARgByAG8AbQBNAGEAbgB1AHIAZQBNAGEAbgBhAGcAZQBtAGUAbgB0AF8AVgBhAHIAaQBhAGIAbABlACIALAAiAE0ATQBTAF8ARgBlAGUAZABsAG8AdABfAEEAdABtAG8AcwBwAGgAZQByAGkAYwBEAGUAcABvAHMAaQB0AGkAbwBuAF8ARQBxAHUAYQB0AGkAbwBuAHMALgBWAEUARQBSAEcAXwA0AF8AMQBfADEAXwA1AF8AXwAyAF8AVgBvAGwAYQB0AGkAbABpAHMAZQBkAE4AaQB0AHIAbwBnAGUAbgBGAHIAbwBtAE0AYQBuAHUAcgBlAE0AYQBuAGEAZwBlAG0AZQBuAHQAXwBVAG4AaQB0ACIALAAiAE0ATQBTAF8ARgBlAGUAZABsAG8AdABfAEEAdABtAG8AcwBwAGgAZQByAGkAYwBEAGUAcABvAHMAaQB0AGkAbwBuAF8ARQBxAHUAYQB0AGkAbwBuAHMALgBWAEUARQBSAEcAXwA0AF8AMQBfADEAXwA1AF8AXwAyAF8AVgBvAGwAYQB0AGkAbABpAHMAZQBkAE4AaQB0AHIAbwBnAGUAbgBGAHIAbwBtAE0AYQBuAHUAcgBlAE0AYQBuAGEAZwBlAG0AZQBuAHQAXwBTAG8AdQByAGMAZQAiACwAIgBNAE0AUwBfAEYAZQBlAGQAbABvAHQAXwBBAHQAbQBvAHMAcABoAGUAcgBpAGMARABlAHAAbwBzAGkAdABpAG8AbgBfAEUAcQB1AGEAdABpAG8AbgBzAC4AVgBFAEUAUgBHAF8ANABfADEAXwAxAF8ANQBfAF8AMgBfAFYAbwBsAGEAdABpAGwAaQBzAGUAZABOAGkAdAByAG8AZwBlAG4ARgByAG8AbQBNAGEAbgB1AHIAZQBNAGEAbgBhAGcAZQBtAGUAbgB0AF8ATgBJAFIAUgBlAGYAZQByAGUAbgBjAGUAIgAsACIATQBNAFMAXwBGAGUAZQBkAGwAbwB0AF8AQQB0AG0AbwBzAHAAaABlAHIAaQBjAEQAZQBwAG8AcwBpAHQAaQBvAG4AXwBFAHEAdQBhAHQAaQBvAG4AcwAuAFYARQBFAFIARwBfADQAXwAxAF8AMQBfADUAXwBfADIAXwBWAG8AbABhAHQAaQBsAGkAcwBlAGQATgBpAHQAcgBvAGcAZQBuAEYAcgBvAG0ATQBhAG4AdQByAGUATQBhAG4AYQBnAGUAbQBlAG4AdABfAEwAYQB0AGUAeABFAHEAdQBhAHQAaQBvAG4AIgAsACIATQBNAFMAXwBGAGUAZQBkAGwAbwB0AF8AQQB0AG0AbwBzAHAAaABlAHIAaQBjAEQAZQBwAG8AcwBpAHQAaQBvAG4AXwBFAHEAdQBhAHQAaQBvAG4AcwAuAFYARQBFAFIARwBfADQAXwAxAF8AMQBfADUAXwBfADIAXwBWAG8AbABhAHQAaQBsAGkAcwBlAGQATgBpAHQAcgBvAGcAZQBuAEYAcgBvAG0ATQBhAG4AdQByAGUATQBhAG4AYQBnAGUAbQBlAG4AdABfAEEAcgBnAHUAbQBlAG4AdABzACIALAAiAE0ATQBTAF8ARgBlAGUAZABsAG8AdABfAE4AMgBPAEQAaQByAGUAYwB0AF8ARQBxAHUAYQB0AGkAbwBuAHMALgBWAEUARQBSAEcAXwA0AF8AMQBfADEAXwAzAF8AXwAxAF8AVABvAHQAYQBsAEEAbgBuAHUAYQBsAEQAaQByAGUAYwB0AE4AaQB0AHIAbwB1AHMATwB4AGkAZABlAEUAbQBpAHMAcwBpAG8AbgBzACIALAAiAE0ATQBTAF8ARgBlAGUAZABsAG8AdABfAE4AMgBPAEQAaQByAGUAYwB0AF8ARQBxAHUAYQB0AGkAbwBuAHMALgBWAEUARQBSAEcAXwA0AF8AMQBfADEAXwAzAF8AXwAxAF8AVABvAHQAYQBsAEEAbgBuAHUAYQBsAEQAaQByAGUAYwB0AE4AaQB0AHIAbwB1AHMATwB4AGkAZABlAEUAbQBpAHMAcwBpAG8AbgBzAF8AVABpAHQAbABlACIALAAiAE0ATQBTAF8ARgBlAGUAZABsAG8AdABfAE4AMgBPAEQAaQByAGUAYwB0AF8ARQBxAHUAYQB0AGkAbwBuAHMALgBWAEUARQBSAEcAXwA0AF8AMQBfADEAXwAzAF8AXwAxAF8AVABvAHQAYQBsAEEAbgBuAHUAYQBsAEQAaQByAGUAYwB0AE4AaQB0AHIAbwB1AHMATwB4AGkAZABlAEUAbQBpAHMAcwBpAG8AbgBzAF8AVgBhAHIAaQBhAGIAbABlACIALAAiAE0ATQBTAF8ARgBlAGUAZABsAG8AdABfAE4AMgBPAEQAaQByAGUAYwB0AF8ARQBxAHUAYQB0AGkAbwBuAHMALgBWAEUARQBSAEcAXwA0AF8AMQBfADEAXwAzAF8AXwAxAF8AVABvAHQAYQBsAEEAbgBuAHUAYQBsAEQAaQByAGUAYwB0AE4AaQB0AHIAbwB1AHMATwB4AGkAZABlAEUAbQBpAHMAcwBpAG8AbgBzAF8AVQBuAGkAdAAiACwAIgBNAE0AUwBfAEYAZQBlAGQAbABvAHQAXwBOADIATwBEAGkAcgBlAGMAdABfAEUAcQB1AGEAdABpAG8AbgBzAC4AVgBFAEUAUgBHAF8ANABfADEAXwAxAF8AMwBfAF8AMQBfAFQAbwB0AGEAbABBAG4AbgB1AGEAbABEAGkAcgBlAGMAdABOAGkAdAByAG8AdQBzAE8AeABpAGQAZQBFAG0AaQBzAHMAaQBvAG4AcwBfAFMAbwB1AHIAYwBlACIALAAiAE0ATQBTAF8ARgBlAGUAZABsAG8AdABfAE4AMgBPAEQAaQByAGUAYwB0AF8ARQBxAHUAYQB0AGkAbwBuAHMALgBWAEUARQBSAEcAXwA0AF8AMQBfADEAXwAzAF8AXwAxAF8AVABvAHQAYQBsAEEAbgBuAHUAYQBsAEQAaQByAGUAYwB0AE4AaQB0AHIAbwB1AHMATwB4AGkAZABlAEUAbQBpAHMAcwBpAG8AbgBzAF8ATgBJAFIAUgBlAGYAZQByAGUAbgBjAGUAIgAsACIATQBNAFMAXwBGAGUAZQBkAGwAbwB0AF8ATgAyAE8ARABpAHIAZQBjAHQAXwBFAHEAdQBhAHQAaQBvAG4AcwAuAFYARQBFAFIARwBfADQAXwAxAF8AMQBfADMAXwBfADEAXwBUAG8AdABhAGwAQQBuAG4AdQBhAGwARABpAHIAZQBjAHQATgBpAHQAcgBvAHUAcwBPAHgAaQBkAGUARQBtAGkAcwBzAGkAbwBuAHMAXwBMAGEAdABlAHgARQBxAHUAYQB0AGkAbwBuACIALAAiAE0ATQBTAF8ARgBlAGUAZABsAG8AdABfAE4AMgBPAEQAaQByAGUAYwB0AF8ARQBxAHUAYQB0AGkAbwBuAHMALgBWAEUARQBSAEcAXwA0AF8AMQBfADEAXwAzAF8AXwAxAF8AVABvAHQAYQBsAEEAbgBuAHUAYQBsAEQAaQByAGUAYwB0AE4AaQB0AHIAbwB1AHMATwB4AGkAZABlAEUAbQBpAHMAcwBpAG8AbgBzAF8AQQByAGcAdQBtAGUAbgB0AHMAIgAsACIATQBNAFMAXwBGAGUAZQBkAGwAbwB0AF8ATgAyAE8ARABpAHIAZQBjAHQAXwBFAHEAdQBhAHQAaQBvAG4AcwAuAFYARQBFAFIARwBfADQAXwAxAF8AMQBfADMAXwBfADIAXwBTAHQAYQBnAGUAMQBOAGkAdAByAG8AZwBlAG4ASQBuAE0ATQBTAEQAcgB5AGwAbwB0ACIALAAiAE0ATQBTAF8ARgBlAGUAZABsAG8AdABfAE4AMgBPAEQAaQByAGUAYwB0AF8ARQBxAHUAYQB0AGkAbwBuAHMALgBWAEUARQBSAEcAXwA0AF8AMQBfADEAXwAzAF8AXwAyAF8AUwB0AGEAZwBlADEATgBpAHQAcgBvAGcAZQBuAEkAbgBNAE0AUwBEAHIAeQBsAG8AdABfAFQAaQB0AGwAZQAiACwAIgBNAE0AUwBfAEYAZQBlAGQAbABvAHQAXwBOADIATwBEAGkAcgBlAGMAdABfAEUAcQB1AGEAdABpAG8AbgBzAC4AVgBFAEUAUgBHAF8ANABfADEAXwAxAF8AMwBfAF8AMgBfAFMAdABhAGcAZQAxAE4AaQB0AHIAbwBnAGUAbgBJAG4ATQBNAFMARAByAHkAbABvAHQAXwBWAGEAcgBpAGEAYgBsAGUAIgAsACIATQBNAFMAXwBGAGUAZQBkAGwAbwB0AF8ATgAyAE8ARABpAHIAZQBjAHQAXwBFAHEAdQBhAHQAaQBvAG4AcwAuAFYARQBFAFIARwBfADQAXwAxAF8AMQBfADMAXwBfADIAXwBTAHQAYQBnAGUAMQBOAGkAdAByAG8AZwBlAG4ASQBuAE0ATQBTAEQAcgB5AGwAbwB0AF8AVQBuAGkAdAAiACwAIgBNAE0AUwBfAEYAZQBlAGQAbABvAHQAXwBOADIATwBEAGkAcgBlAGMAdABfAEUAcQB1AGEAdABpAG8AbgBzAC4AVgBFAEUAUgBHAF8ANABfADEAXwAxAF8AMwBfAF8AMgBfAFMAdABhAGcAZQAxAE4AaQB0AHIAbwBnAGUAbgBJAG4ATQBNAFMARAByAHkAbABvAHQAXwBTAG8AdQByAGMAZQAiACwAIgBNAE0AUwBfAEYAZQBlAGQAbABvAHQAXwBOADIATwBEAGkAcgBlAGMAdABfAEUAcQB1AGEAdABpAG8AbgBzAC4AVgBFAEUAUgBHAF8ANABfADEAXwAxAF8AMwBfAF8AMgBfAFMAdABhAGcAZQAxAE4AaQB0AHIAbwBnAGUAbgBJAG4ATQBNAFMARAByAHkAbABvAHQAXwBOAEkAUgBSAGUAZgBlAHIAZQBuAGMAZQAiACwAIgBNAE0AUwBfAEYAZQBlAGQAbABvAHQAXwBOADIATwBEAGkAcgBlAGMAdABfAEUAcQB1AGEAdABpAG8AbgBzAC4AVgBFAEUAUgBHAF8ANABfADEAXwAxAF8AMwBfAF8AMgBfAFMAdABhAGcAZQAxAE4AaQB0AHIAbwBnAGUAbgBJAG4ATQBNAFMARAByAHkAbABvAHQAXwBMAGEAdABlAHgARQBxAHUAYQB0AGkAbwBuACIALAAiAE0ATQBTAF8ARgBlAGUAZABsAG8AdABfAE4AMgBPAEQAaQByAGUAYwB0AF8ARQBxAHUAYQB0AGkAbwBuAHMALgBWAEUARQBSAEcAXwA0AF8AMQBfADEAXwAzAF8AXwAyAF8AUwB0AGEAZwBlADEATgBpAHQAcgBvAGcAZQBuAEkAbgBNAE0AUwBEAHIAeQBsAG8AdABfAEEAcgBnAHUAbQBlAG4AdABzACIALAAiAE0ATQBTAF8ARgBlAGUAZABsAG8AdABfAE4AMgBPAEQAaQByAGUAYwB0AF8ARQBxAHUAYQB0AGkAbwBuAHMALgBWAEUARQBSAEcAXwA0AF8AMQBfADEAXwAzAF8AXwAzAF8AQQBuAG4AdQBhAGwATgBpAHQAcgBvAGcAZQBuAEUAeABjAHIAZQB0AGkAbwBuACIALAAiAE0ATQBTAF8ARgBlAGUAZABsAG8AdABfAE4AMgBPAEQAaQByAGUAYwB0AF8ARQBxAHUAYQB0AGkAbwBuAHMALgBWAEUARQBSAEcAXwA0AF8AMQBfADEAXwAzAF8AXwAzAF8AQQBuAG4AdQBhAGwATgBpAHQAcgBvAGcAZQBuAEUAeABjAHIAZQB0AGkAbwBuAF8AVABpAHQAbABlACIALAAiAE0ATQBTAF8ARgBlAGUAZABsAG8AdABfAE4AMgBPAEQAaQByAGUAYwB0AF8ARQBxAHUAYQB0AGkAbwBuAHMALgBWAEUARQBSAEcAXwA0AF8AMQBfADEAXwAzAF8AXwAzAF8AQQBuAG4AdQBhAGwATgBpAHQAcgBvAGcAZQBuAEUAeABjAHIAZQB0AGkAbwBuAF8AVgBhAHIAaQBhAGIAbABlACIALAAiAE0ATQBTAF8ARgBlAGUAZABsAG8AdABfAE4AMgBPAEQAaQByAGUAYwB0AF8ARQBxAHUAYQB0AGkAbwBuAHMALgBWAEUARQBSAEcAXwA0AF8AMQBfADEAXwAzAF8AXwAzAF8AQQBuAG4AdQBhAGwATgBpAHQAcgBvAGcAZQBuAEUAeABjAHIAZQB0AGkAbwBuAF8AVQBuAGkAdAAiACwAIgBNAE0AUwBfAEYAZQBlAGQAbABvAHQAXwBOADIATwBEAGkAcgBlAGMAdABfAEUAcQB1AGEAdABpAG8AbgBzAC4AVgBFAEUAUgBHAF8ANABfADEAXwAxAF8AMwBfAF8AMwBfAEEAbgBuAHUAYQBsAE4AaQB0AHIAbwBnAGUAbgBFAHgAYwByAGUAdABpAG8AbgBfAFMAbwB1AHIAYwBlACIALAAiAE0ATQBTAF8ARgBlAGUAZABsAG8AdABfAE4AMgBPAEQAaQByAGUAYwB0AF8ARQBxAHUAYQB0AGkAbwBuAHMALgBWAEUARQBSAEcAXwA0AF8AMQBfADEAXwAzAF8AXwAzAF8AQQBuAG4AdQBhAGwATgBpAHQAcgBvAGcAZQBuAEUAeABjAHIAZQB0AGkAbwBuAF8ATgBJAFIAUgBlAGYAZQByAGUAbgBjAGUAIgAsACIATQBNAFMAXwBGAGUAZQBkAGwAbwB0AF8ATgAyAE8ARABpAHIAZQBjAHQAXwBFAHEAdQBhAHQAaQBvAG4AcwAuAFYARQBFAFIARwBfADQAXwAxAF8AMQBfADMAXwBfADMAXwBBAG4AbgB1AGEAbABOAGkAdAByAG8AZwBlAG4ARQB4AGMAcgBlAHQAaQBvAG4AXwBMAGEAdABlAHgARQBxAHUAYQB0AGkAbwBuACIALAAiAE0ATQBTAF8ARgBlAGUAZABsAG8AdABfAE4AMgBPAEQAaQByAGUAYwB0AF8ARQBxAHUAYQB0AGkAbwBuAHMALgBWAEUARQBSAEcAXwA0AF8AMQBfADEAXwAzAF8AXwAzAF8AQQBuAG4AdQBhAGwATgBpAHQAcgBvAGcAZQBuAEUAeABjAHIAZQB0AGkAbwBuAF8AQQByAGcAdQBtAGUAbgB0AHMAIgAsACIATQBNAFMAXwBGAGUAZQBkAGwAbwB0AF8ATgAyAE8ARABpAHIAZQBjAHQAXwBFAHEAdQBhAHQAaQBvAG4AcwAuAFYARQBFAFIARwBfADQAXwAxAF8AMQBfADMAXwBfADQAXwBOAGkAdAByAG8AZwBlAG4ARQB4AGMAcgBlAHQAaQBvAG4AUABlAHIASABlAGEAZAAiACwAIgBNAE0AUwBfAEYAZQBlAGQAbABvAHQAXwBOADIATwBEAGkAcgBlAGMAdABfAEUAcQB1AGEAdABpAG8AbgBzAC4AVgBFAEUAUgBHAF8ANABfADEAXwAxAF8AMwBfAF8ANABfAE4AaQB0AHIAbwBnAGUAbgBFAHgAYwByAGUAdABpAG8AbgBQAGUAcgBIAGUAYQBkAF8AVABpAHQAbABlACIALAAiAE0ATQBTAF8ARgBlAGUAZABsAG8AdABfAE4AMgBPAEQAaQByAGUAYwB0AF8ARQBxAHUAYQB0AGkAbwBuAHMALgBWAEUARQBSAEcAXwA0AF8AMQBfADEAXwAzAF8AXwA0AF8ATgBpAHQAcgBvAGcAZQBuAEUAeABjAHIAZQB0AGkAbwBuAFAAZQByAEgAZQBhAGQAXwBWAGEAcgBpAGEAYgBsAGUAIgAsACIATQBNAFMAXwBGAGUAZQBkAGwAbwB0AF8ATgAyAE8ARABpAHIAZQBjAHQAXwBFAHEAdQBhAHQAaQBvAG4AcwAuAFYARQBFAFIARwBfADQAXwAxAF8AMQBfADMAXwBfADQAXwBOAGkAdAByAG8AZwBlAG4ARQB4AGMAcgBlAHQAaQBvAG4AUABlAHIASABlAGEAZABfAFUAbgBpAHQAIgAsACIATQBNAFMAXwBGAGUAZQBkAGwAbwB0AF8ATgAyAE8ARABpAHIAZQBjAHQAXwBFAHEAdQBhAHQAaQBvAG4AcwAuAFYARQBFAFIARwBfADQAXwAxAF8AMQBfADMAXwBfADQAXwBOAGkAdAByAG8AZwBlAG4ARQB4AGMAcgBlAHQAaQBvAG4AUABlAHIASABlAGEAZABfAFMAbwB1AHIAYwBlACIALAAiAE0ATQBTAF8ARgBlAGUAZABsAG8AdABfAE4AMgBPAEQAaQByAGUAYwB0AF8ARQBxAHUAYQB0AGkAbwBuAHMALgBWAEUARQBSAEcAXwA0AF8AMQBfADEAXwAzAF8AXwA0AF8ATgBpAHQAcgBvAGcAZQBuAEUAeABjAHIAZQB0AGkAbwBuAFAAZQByAEgAZQBhAGQAXwBOAEkAUgBSAGUAZgBlAHIAZQBuAGMAZQAiACwAIgBNAE0AUwBfAEYAZQBlAGQAbABvAHQAXwBOADIATwBEAGkAcgBlAGMAdABfAEUAcQB1AGEAdABpAG8AbgBzAC4AVgBFAEUAUgBHAF8ANABfADEAXwAxAF8AMwBfAF8ANABfAE4AaQB0AHIAbwBnAGUAbgBFAHgAYwByAGUAdABpAG8AbgBQAGUAcgBIAGUAYQBkAF8ATABhAHQAZQB4AEUAcQB1AGEAdABpAG8AbgAiACwAIgBNAE0AUwBfAEYAZQBlAGQAbABvAHQAXwBOADIATwBEAGkAcgBlAGMAdABfAEUAcQB1AGEAdABpAG8AbgBzAC4AVgBFAEUAUgBHAF8ANABfADEAXwAxAF8AMwBfAF8ANABfAE4AaQB0AHIAbwBnAGUAbgBFAHgAYwByAGUAdABpAG8AbgBQAGUAcgBIAGUAYQBkAF8AQQByAGcAdQBtAGUAbgB0AHMAIgAsACIATQBNAFMAXwBGAGUAZQBkAGwAbwB0AF8ATgAyAE8ARABpAHIAZQBjAHQAXwBFAHEAdQBhAHQAaQBvAG4AcwAuAFYARQBFAFIARwBfADQAXwAxAF8AMQBfADMAXwBfADUAXwBOAGkAdAByAG8AZwBlAG4ASQBuAHQAYQBrAGUAIgAsACIATQBNAFMAXwBGAGUAZQBkAGwAbwB0AF8ATgAyAE8ARABpAHIAZQBjAHQAXwBFAHEAdQBhAHQAaQBvAG4AcwAuAFYARQBFAFIARwBfADQAXwAxAF8AMQBfADMAXwBfADUAXwBOAGkAdAByAG8AZwBlAG4ASQBuAHQAYQBrAGUAXwBUAGkAdABsAGUAIgAsACIATQBNAFMAXwBGAGUAZQBkAGwAbwB0AF8ATgAyAE8ARABpAHIAZQBjAHQAXwBFAHEAdQBhAHQAaQBvAG4AcwAuAFYARQBFAFIARwBfADQAXwAxAF8AMQBfADMAXwBfADUAXwBOAGkAdAByAG8AZwBlAG4ASQBuAHQAYQBrAGUAXwBWAGEAcgBpAGEAYgBsAGUAIgAsACIATQBNAFMAXwBGAGUAZQBkAGwAbwB0AF8ATgAyAE8ARABpAHIAZQBjAHQAXwBFAHEAdQBhAHQAaQBvAG4AcwAuAFYARQBFAFIARwBfADQAXwAxAF8AMQBfADMAXwBfADUAXwBOAGkAdAByAG8AZwBlAG4ASQBuAHQAYQBrAGUAXwBVAG4AaQB0ACIALAAiAE0ATQBTAF8ARgBlAGUAZABsAG8AdABfAE4AMgBPAEQAaQByAGUAYwB0AF8ARQBxAHUAYQB0AGkAbwBuAHMALgBWAEUARQBSAEcAXwA0AF8AMQBfADEAXwAzAF8AXwA1AF8ATgBpAHQAcgBvAGcAZQBuAEkAbgB0AGEAawBlAF8AUwBvAHUAcgBjAGUAIgAsACIATQBNAFMAXwBGAGUAZQBkAGwAbwB0AF8ATgAyAE8ARABpAHIAZQBjAHQAXwBFAHEAdQBhAHQAaQBvAG4AcwAuAFYARQBFAFIARwBfADQAXwAxAF8AMQBfADMAXwBfADUAXwBOAGkAdAByAG8AZwBlAG4ASQBuAHQAYQBrAGUAXwBOAEkAUgBSAGUAZgBlAHIAZQBuAGMAZQAiACwAIgBNAE0AUwBfAEYAZQBlAGQAbABvAHQAXwBOADIATwBEAGkAcgBlAGMAdABfAEUAcQB1AGEAdABpAG8AbgBzAC4AVgBFAEUAUgBHAF8ANABfADEAXwAxAF8AMwBfAF8ANQBfAE4AaQB0AHIAbwBnAGUAbgBJAG4AdABhAGsAZQBfAEwAYQB0AGUAeABFAHEAdQBhAHQAaQBvAG4AIgAsACIATQBNAFMAXwBGAGUAZQBkAGwAbwB0AF8ATgAyAE8ARABpAHIAZQBjAHQAXwBFAHEAdQBhAHQAaQBvAG4AcwAuAFYARQBFAFIARwBfADQAXwAxAF8AMQBfADMAXwBfADUAXwBOAGkAdAByAG8AZwBlAG4ASQBuAHQAYQBrAGUAXwBBAHIAZwB1AG0AZQBuAHQAcwAiACwAIgBNAE0AUwBfAEYAZQBlAGQAbABvAHQAXwBOADIATwBEAGkAcgBlAGMAdABfAEUAcQB1AGEAdABpAG8AbgBzAC4AVgBFAEUAUgBHAF8ANABfADEAXwAxAF8AMwBfAF8ANgBfAFMAdABhAGcAZQAyAE4AaQB0AHIAbwBnAGUAbgBJAG4ATQBNAFMAIgAsACIATQBNAFMAXwBGAGUAZQBkAGwAbwB0AF8ATgAyAE8ARABpAHIAZQBjAHQAXwBFAHEAdQBhAHQAaQBvAG4AcwAuAFYARQBFAFIARwBfADQAXwAxAF8AMQBfADMAXwBfADYAXwBTAHQAYQBnAGUAMgBOAGkAdAByAG8AZwBlAG4ASQBuAE0ATQBTAF8AVABpAHQAbABlACIALAAiAE0ATQBTAF8ARgBlAGUAZABsAG8AdABfAE4AMgBPAEQAaQByAGUAYwB0AF8ARQBxAHUAYQB0AGkAbwBuAHMALgBWAEUARQBSAEcAXwA0AF8AMQBfADEAXwAzAF8AXwA2AF8AUwB0AGEAZwBlADIATgBpAHQAcgBvAGcAZQBuAEkAbgBNAE0AUwBfAFYAYQByAGkAYQBiAGwAZQAiACwAIgBNAE0AUwBfAEYAZQBlAGQAbABvAHQAXwBOADIATwBEAGkAcgBlAGMAdABfAEUAcQB1AGEAdABpAG8AbgBzAC4AVgBFAEUAUgBHAF8ANABfADEAXwAxAF8AMwBfAF8ANgBfAFMAdABhAGcAZQAyAE4AaQB0AHIAbwBnAGUAbgBJAG4ATQBNAFMAXwBVAG4AaQB0ACIALAAiAE0ATQBTAF8ARgBlAGUAZABsAG8AdABfAE4AMgBPAEQAaQByAGUAYwB0AF8ARQBxAHUAYQB0AGkAbwBuAHMALgBWAEUARQBSAEcAXwA0AF8AMQBfADEAXwAzAF8AXwA2AF8AUwB0AGEAZwBlADIATgBpAHQAcgBvAGcAZQBuAEkAbgBNAE0AUwBfAFMAbwB1AHIAYwBlACIALAAiAE0ATQBTAF8ARgBlAGUAZABsAG8AdABfAE4AMgBPAEQAaQByAGUAYwB0AF8ARQBxAHUAYQB0AGkAbwBuAHMALgBWAEUARQBSAEcAXwA0AF8AMQBfADEAXwAzAF8AXwA2AF8AUwB0AGEAZwBlADIATgBpAHQAcgBvAGcAZQBuAEkAbgBNAE0AUwBfAE4ASQBSAFIAZQBmAGUAcgBlAG4AYwBlACIALAAiAE0ATQBTAF8ARgBlAGUAZABsAG8AdABfAE4AMgBPAEQAaQByAGUAYwB0AF8ARQBxAHUAYQB0AGkAbwBuAHMALgBWAEUARQBSAEcAXwA0AF8AMQBfADEAXwAzAF8AXwA2AF8AUwB0AGEAZwBlADIATgBpAHQAcgBvAGcAZQBuAEkAbgBNAE0AUwBfAEwAYQB0AGUAeABFAHEAdQBhAHQAaQBvAG4AIgAsACIATQBNAFMAXwBGAGUAZQBkAGwAbwB0AF8ATgAyAE8ARABpAHIAZQBjAHQAXwBFAHEAdQBhAHQAaQBvAG4AcwAuAFYARQBFAFIARwBfADQAXwAxAF8AMQBfADMAXwBfADYAXwBTAHQAYQBnAGUAMgBOAGkAdAByAG8AZwBlAG4ASQBuAE0ATQBTAF8AQQByAGcAdQBtAGUAbgB0AHMAIgAsACIATQBNAFMAXwBGAGUAZQBkAGwAbwB0AF8ATgAyAE8ARABpAHIAZQBjAHQAXwBFAHEAdQBhAHQAaQBvAG4AcwAuAFYARQBFAFIARwBfADQAXwAxAF8AMQBfADMAXwBfADcAXwBOAGkAdAByAG8AZwBlAG4AVAByAGEAbgBzAGYAZQByAHIAZQBkAFQAbwBTAHQAYQBnAGUAMgAiACwAIgBNAE0AUwBfAEYAZQBlAGQAbABvAHQAXwBOADIATwBEAGkAcgBlAGMAdABfAEUAcQB1AGEAdABpAG8AbgBzAC4AVgBFAEUAUgBHAF8ANABfADEAXwAxAF8AMwBfAF8ANwBfAE4AaQB0AHIAbwBnAGUAbgBUAHIAYQBuAHMAZgBlAHIAcgBlAGQAVABvAFMAdABhAGcAZQAyAF8AVABpAHQAbABlACIALAAiAE0ATQBTAF8ARgBlAGUAZABsAG8AdABfAE4AMgBPAEQAaQByAGUAYwB0AF8ARQBxAHUAYQB0AGkAbwBuAHMALgBWAEUARQBSAEcAXwA0AF8AMQBfADEAXwAzAF8AXwA3AF8ATgBpAHQAcgBvAGcAZQBuAFQAcgBhAG4AcwBmAGUAcgByAGUAZABUAG8AUwB0AGEAZwBlADIAXwBWAGEAcgBpAGEAYgBsAGUAIgAsACIATQBNAFMAXwBGAGUAZQBkAGwAbwB0AF8ATgAyAE8ARABpAHIAZQBjAHQAXwBFAHEAdQBhAHQAaQBvAG4AcwAuAFYARQBFAFIARwBfADQAXwAxAF8AMQBfADMAXwBfADcAXwBOAGkAdAByAG8AZwBlAG4AVAByAGEAbgBzAGYAZQByAHIAZQBkAFQAbwBTAHQAYQBnAGUAMgBfAFUAbgBpAHQAIgAsACIATQBNAFMAXwBGAGUAZQBkAGwAbwB0AF8ATgAyAE8ARABpAHIAZQBjAHQAXwBFAHEAdQBhAHQAaQBvAG4AcwAuAFYARQBFAFIARwBfADQAXwAxAF8AMQBfADMAXwBfADcAXwBOAGkAdAByAG8AZwBlAG4AVAByAGEAbgBzAGYAZQByAHIAZQBkAFQAbwBTAHQAYQBnAGUAMgBfAFMAbwB1AHIAYwBlACIALAAiAE0ATQBTAF8ARgBlAGUAZABsAG8AdABfAE4AMgBPAEQAaQByAGUAYwB0AF8ARQBxAHUAYQB0AGkAbwBuAHMALgBWAEUARQBSAEcAXwA0AF8AMQBfADEAXwAzAF8AXwA3AF8ATgBpAHQAcgBvAGcAZQBuAFQAcgBhAG4AcwBmAGUAcgByAGUAZABUAG8AUwB0AGEAZwBlADIAXwBOAEkAUgBSAGUAZgBlAHIAZQBuAGMAZQAiACwAIgBNAE0AUwBfAEYAZQBlAGQAbABvAHQAXwBOADIATwBEAGkAcgBlAGMAdABfAEUAcQB1AGEAdABpAG8AbgBzAC4AVgBFAEUAUgBHAF8ANABfADEAXwAxAF8AMwBfAF8ANwBfAE4AaQB0AHIAbwBnAGUAbgBUAHIAYQBuAHMAZgBlAHIAcgBlAGQAVABvAFMAdABhAGcAZQAyAF8ATABhAHQAZQB4AEUAcQB1AGEAdABpAG8AbgAiACwAIgBNAE0AUwBfAEYAZQBlAGQAbABvAHQAXwBOADIATwBEAGkAcgBlAGMAdABfAEUAcQB1AGEAdABpAG8AbgBzAC4AVgBFAEUAUgBHAF8ANABfADEAXwAxAF8AMwBfAF8ANwBfAE4AaQB0AHIAbwBnAGUAbgBUAHIAYQBuAHMAZgBlAHIAcgBlAGQAVABvAFMAdABhAGcAZQAyAF8AQQByAGcAdQBtAGUAbgB0AHMAIgAsACIATQBNAFMAXwBGAGUAZQBkAGwAbwB0AF8ATgAyAE8ARABpAHIAZQBjAHQAXwBFAHEAdQBhAHQAaQBvAG4AcwAuAFYARQBFAFIARwBfADQAXwAxAF8AMQBfADMAXwBfADgAXwBTAHQAYQBnAGUAMwBOAGkAdAByAG8AZwBlAG4ASQBuAE0ATQBTAEEAbgBhAGUAcgBvAGIAaQBjAEwAYQBnAG8AbwBuACIALAAiAE0ATQBTAF8ARgBlAGUAZABsAG8AdABfAE4AMgBPAEQAaQByAGUAYwB0AF8ARQBxAHUAYQB0AGkAbwBuAHMALgBWAEUARQBSAEcAXwA0AF8AMQBfADEAXwAzAF8AXwA4AF8AUwB0AGEAZwBlADMATgBpAHQAcgBvAGcAZQBuAEkAbgBNAE0AUwBBAG4AYQBlAHIAbwBiAGkAYwBMAGEAZwBvAG8AbgBfAFQAaQB0AGwAZQAiACwAIgBNAE0AUwBfAEYAZQBlAGQAbABvAHQAXwBOADIATwBEAGkAcgBlAGMAdABfAEUAcQB1AGEAdABpAG8AbgBzAC4AVgBFAEUAUgBHAF8ANABfADEAXwAxAF8AMwBfAF8AOABfAFMAdABhAGcAZQAzAE4AaQB0AHIAbwBnAGUAbgBJAG4ATQBNAFMAQQBuAGEAZQByAG8AYgBpAGMATABhAGcAbwBvAG4AXwBWAGEAcgBpAGEAYgBsAGUAIgAsACIATQBNAFMAXwBGAGUAZQBkAGwAbwB0AF8ATgAyAE8ARABpAHIAZQBjAHQAXwBFAHEAdQBhAHQAaQBvAG4AcwAuAFYARQBFAFIARwBfADQAXwAxAF8AMQBfADMAXwBfADgAXwBTAHQAYQBnAGUAMwBOAGkAdAByAG8AZwBlAG4ASQBuAE0ATQBTAEEAbgBhAGUAcgBvAGIAaQBjAEwAYQBnAG8AbwBuAF8AVQBuAGkAdAAiACwAIgBNAE0AUwBfAEYAZQBlAGQAbABvAHQAXwBOADIATwBEAGkAcgBlAGMAdABfAEUAcQB1AGEAdABpAG8AbgBzAC4AVgBFAEUAUgBHAF8ANABfADEAXwAxAF8AMwBfAF8AOABfAFMAdABhAGcAZQAzAE4AaQB0AHIAbwBnAGUAbgBJAG4ATQBNAFMAQQBuAGEAZQByAG8AYgBpAGMATABhAGcAbwBvAG4AXwBTAG8AdQByAGMAZQAiACwAIgBNAE0AUwBfAEYAZQBlAGQAbABvAHQAXwBOADIATwBEAGkAcgBlAGMAdABfAEUAcQB1AGEAdABpAG8AbgBzAC4AVgBFAEUAUgBHAF8ANABfADEAXwAxAF8AMwBfAF8AOABfAFMAdABhAGcAZQAzAE4AaQB0AHIAbwBnAGUAbgBJAG4ATQBNAFMAQQBuAGEAZQByAG8AYgBpAGMATABhAGcAbwBvAG4AXwBOAEkAUgBSAGUAZgBlAHIAZQBuAGMAZQAiACwAIgBNAE0AUwBfAEYAZQBlAGQAbABvAHQAXwBOADIATwBEAGkAcgBlAGMAdABfAEUAcQB1AGEAdABpAG8AbgBzAC4AVgBFAEUAUgBHAF8ANABfADEAXwAxAF8AMwBfAF8AOABfAFMAdABhAGcAZQAzAE4AaQB0AHIAbwBnAGUAbgBJAG4ATQBNAFMAQQBuAGEAZQByAG8AYgBpAGMATABhAGcAbwBvAG4AXwBMAGEAdABlAHgARQBxAHUAYQB0AGkAbwBuACIALAAiAE0ATQBTAF8ARgBlAGUAZABsAG8AdABfAE4AMgBPAEQAaQByAGUAYwB0AF8ARQBxAHUAYQB0AGkAbwBuAHMALgBWAEUARQBSAEcAXwA0AF8AMQBfADEAXwAzAF8AXwA4AF8AUwB0AGEAZwBlADMATgBpAHQAcgBvAGcAZQBuAEkAbgBNAE0AUwBBAG4AYQBlAHIAbwBiAGkAYwBMAGEAZwBvAG8AbgBfAEEAcgBnAHUAbQBlAG4AdABzACIAXQAsACIAbABvAGMAYQBsAGUAIgA6AHsAIgBsAGkAcwB0AFMAZQBwAGEAcgBhAHQAbwByACIAOgAiACwAIgAsACIAcgBvAHcAUwBlAHAAYQByAGEAdABvAHIAIgA6ACIAOwAiACwAIgBjAG8AbAB1AG0AbgBTAGUAcABhAHIAYQB0AG8AcgAiADoAIgAsACIALAAiAHQAaABvAHUAcwBhAG4AZABzAFMAZQBwAGEAcgBhAHQAbwByACIAOgAiACwAIgAsACIAdABoAG8AdQBzAGEAbgBkAHMAUABvAHMAaQB0AGkAbwBuAHMAIgA6AFsAMwBdACwAIgBkAGUAYwBpAG0AYQBsAFMAZQBwAGEAcgBhAHQAbwByACIAOgAiAC4AIgAsACIAZABhAHQAZQBPAHIAZABlAHIAIgA6ACIARABNAFkAIgAsACIAYwB1AHIAcgBlAG4AYwB5AFMAeQBtAGIAbwBsACIAOgAiACQAIgAsACIAaQBzAEMAdQByAHIAZQBuAGMAeQBTAHkAbQBiAG8AbABMAGUAYQBkACIAOgB0AHIAdQBlACwAIgBpAHMAQwB1AHIAcgBlAG4AYwB5AFMAZQBwAEIAeQBTAHAAYQBjAGUAIgA6AGYAYQBsAHMAZQAsACIAcgBvAHcATABlAHQAdABlAHIAIgA6ACIAUgAiACwAIgBjAG8AbAB1AG0AbgBMAGUAdAB0AGUAcgAiADoAIgBDACIALAAiAHIAYwBMAGUAZgB0AEIAcgBhAGMAawBlAHQAIgA6ACIAWwAiACwAIgByAGMAUgBpAGcAaAB0AEIAcgBhAGMAawBlAHQAIgA6ACIAXQAiACwAIgBzAHQAYQB0AGUAbQBlAG4AdABTAGUAcABhAHIAYQB0AG8AcgAiADoAIgA7ACIALAAiAGwAbwBjAGEAbABlAE4AYQBtAGUAIgA6ACIAZQBuAC0AdQBzACIAfQB9AA==</AFEJSONBlob>
</file>

<file path=customXml/item3.xml><?xml version="1.0" encoding="utf-8"?>
<ct:contentTypeSchema xmlns:ct="http://schemas.microsoft.com/office/2006/metadata/contentType" xmlns:ma="http://schemas.microsoft.com/office/2006/metadata/properties/metaAttributes" ct:_="" ma:_="" ma:contentTypeName="Document" ma:contentTypeID="0x010100ACB660BB23738846A00119B5826AC974" ma:contentTypeVersion="11" ma:contentTypeDescription="Create a new document." ma:contentTypeScope="" ma:versionID="3e3613359d4ae7f6bda6c57be713f101">
  <xsd:schema xmlns:xsd="http://www.w3.org/2001/XMLSchema" xmlns:xs="http://www.w3.org/2001/XMLSchema" xmlns:p="http://schemas.microsoft.com/office/2006/metadata/properties" xmlns:ns2="7291119c-fce9-4911-96ae-b800be5dccd8" xmlns:ns3="09eef6d6-daa8-4301-8f9f-b1ec38079286" targetNamespace="http://schemas.microsoft.com/office/2006/metadata/properties" ma:root="true" ma:fieldsID="87491bfad7f11426ad96486e70428b3e" ns2:_="" ns3:_="">
    <xsd:import namespace="7291119c-fce9-4911-96ae-b800be5dccd8"/>
    <xsd:import namespace="09eef6d6-daa8-4301-8f9f-b1ec38079286"/>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7291119c-fce9-4911-96ae-b800be5dccd8"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db163b37-248a-4bdb-8038-6e8df1cc47ab" ma:termSetId="09814cd3-568e-fe90-9814-8d621ff8fb84" ma:anchorId="fba54fb3-c3e1-fe81-a776-ca4b69148c4d" ma:open="true" ma:isKeyword="false">
      <xsd:complexType>
        <xsd:sequence>
          <xsd:element ref="pc:Terms" minOccurs="0" maxOccurs="1"/>
        </xsd:sequence>
      </xsd:complexType>
    </xsd:element>
    <xsd:element name="MediaServiceDateTaken" ma:index="15" nillable="true" ma:displayName="MediaServiceDateTaken" ma:hidden="true" ma:indexed="true" ma:internalName="MediaServiceDateTaken" ma:readOnly="true">
      <xsd:simpleType>
        <xsd:restriction base="dms:Text"/>
      </xsd:simpleType>
    </xsd:element>
    <xsd:element name="MediaServiceOCR" ma:index="16" nillable="true" ma:displayName="Extracted Text" ma:internalName="MediaServiceOCR" ma:readOnly="true">
      <xsd:simpleType>
        <xsd:restriction base="dms:Note">
          <xsd:maxLength value="255"/>
        </xsd:restriction>
      </xsd:simple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09eef6d6-daa8-4301-8f9f-b1ec38079286"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152b9829-e58f-4759-907b-e4bc75f6ae89}" ma:internalName="TaxCatchAll" ma:showField="CatchAllData" ma:web="09eef6d6-daa8-4301-8f9f-b1ec38079286">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4.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CD460F9D-420A-4723-B323-396E4D19EC9B}">
  <ds:schemaRefs>
    <ds:schemaRef ds:uri="http://schemas.microsoft.com/office/2006/metadata/properties"/>
    <ds:schemaRef ds:uri="http://schemas.microsoft.com/office/infopath/2007/PartnerControls"/>
    <ds:schemaRef ds:uri="09eef6d6-daa8-4301-8f9f-b1ec38079286"/>
    <ds:schemaRef ds:uri="7291119c-fce9-4911-96ae-b800be5dccd8"/>
  </ds:schemaRefs>
</ds:datastoreItem>
</file>

<file path=customXml/itemProps2.xml><?xml version="1.0" encoding="utf-8"?>
<ds:datastoreItem xmlns:ds="http://schemas.openxmlformats.org/officeDocument/2006/customXml" ds:itemID="{B6BE249C-20B1-4A62-BBCD-F2A46D88BCAB}">
  <ds:schemaRefs>
    <ds:schemaRef ds:uri="http://schemas.advancedformulaenvironment.officeapps.live.com/afejsonblob/1.0"/>
  </ds:schemaRefs>
</ds:datastoreItem>
</file>

<file path=customXml/itemProps3.xml><?xml version="1.0" encoding="utf-8"?>
<ds:datastoreItem xmlns:ds="http://schemas.openxmlformats.org/officeDocument/2006/customXml" ds:itemID="{809E3D44-A88D-4EBF-A307-6B8CE77A3361}">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7291119c-fce9-4911-96ae-b800be5dccd8"/>
    <ds:schemaRef ds:uri="09eef6d6-daa8-4301-8f9f-b1ec38079286"/>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4.xml><?xml version="1.0" encoding="utf-8"?>
<ds:datastoreItem xmlns:ds="http://schemas.openxmlformats.org/officeDocument/2006/customXml" ds:itemID="{9A9CF321-0D35-4044-BC72-33748FE2B865}">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14</vt:i4>
      </vt:variant>
      <vt:variant>
        <vt:lpstr>Named Ranges</vt:lpstr>
      </vt:variant>
      <vt:variant>
        <vt:i4>102</vt:i4>
      </vt:variant>
    </vt:vector>
  </HeadingPairs>
  <TitlesOfParts>
    <vt:vector size="116" baseType="lpstr">
      <vt:lpstr>Home</vt:lpstr>
      <vt:lpstr>Overview</vt:lpstr>
      <vt:lpstr>Results</vt:lpstr>
      <vt:lpstr>Input - Site</vt:lpstr>
      <vt:lpstr>Input - Feedlot</vt:lpstr>
      <vt:lpstr>4.1.1.1-2 Methane</vt:lpstr>
      <vt:lpstr>4.1.1.3-4 Direct N20</vt:lpstr>
      <vt:lpstr>4.1.1.5-6 Atmos Deposition</vt:lpstr>
      <vt:lpstr>4.1.1.9 Manure applied to soils</vt:lpstr>
      <vt:lpstr>Constants - Feedlot</vt:lpstr>
      <vt:lpstr>Constants - Common</vt:lpstr>
      <vt:lpstr>Constants - Livestock</vt:lpstr>
      <vt:lpstr>Acknowledgements</vt:lpstr>
      <vt:lpstr>Tab template</vt:lpstr>
      <vt:lpstr>Common_SourceData_DensityOfMethane_Data</vt:lpstr>
      <vt:lpstr>M1_Table_AE_j</vt:lpstr>
      <vt:lpstr>M1_Table_CP_j</vt:lpstr>
      <vt:lpstr>M1_Table_DMD_j</vt:lpstr>
      <vt:lpstr>M1_Table_E_N2O_dir</vt:lpstr>
      <vt:lpstr>M1_Table_I_j</vt:lpstr>
      <vt:lpstr>M1_Table_I_j_Consumer_1</vt:lpstr>
      <vt:lpstr>M1_Table_M_j_m_T</vt:lpstr>
      <vt:lpstr>M1_Table_M_j_m_T2</vt:lpstr>
      <vt:lpstr>M1_Table_M_j_m1_T3</vt:lpstr>
      <vt:lpstr>M1_Table_M_j_m5_T1</vt:lpstr>
      <vt:lpstr>M1_Table_MCF_i_m</vt:lpstr>
      <vt:lpstr>M1_Table_MMS_ATMOS</vt:lpstr>
      <vt:lpstr>M1_Table_MN_j_m_T</vt:lpstr>
      <vt:lpstr>M1_Table_MN_j_m_T2</vt:lpstr>
      <vt:lpstr>M1_Table_MN_j_m_T2_Consumer_1</vt:lpstr>
      <vt:lpstr>M1_Table_MN_j_m_T23</vt:lpstr>
      <vt:lpstr>M1_Table_MN_j_m1_T3</vt:lpstr>
      <vt:lpstr>M1_Table_MN_j_m5_T1</vt:lpstr>
      <vt:lpstr>M1_Table_MNSoil_scope1</vt:lpstr>
      <vt:lpstr>M1_Table_MNSoil_scope3</vt:lpstr>
      <vt:lpstr>M1_Table_MNSoil_scope3_fert</vt:lpstr>
      <vt:lpstr>M1_Table_NE_j</vt:lpstr>
      <vt:lpstr>M1_Table_NI_j</vt:lpstr>
      <vt:lpstr>M1_Table_NR_j</vt:lpstr>
      <vt:lpstr>M1_Table_NT_j_m_T2</vt:lpstr>
      <vt:lpstr>M1_Table_VS_j</vt:lpstr>
      <vt:lpstr>M2_Table_AE_j</vt:lpstr>
      <vt:lpstr>M2_Table_CP_j</vt:lpstr>
      <vt:lpstr>M2_Table_DMD_j</vt:lpstr>
      <vt:lpstr>M2_Table_E_N2O_dir</vt:lpstr>
      <vt:lpstr>M2_Table_I_j</vt:lpstr>
      <vt:lpstr>M2_Table_I_j_Consumer_1</vt:lpstr>
      <vt:lpstr>M2_Table_M_j_m_T</vt:lpstr>
      <vt:lpstr>M2_Table_M_j_m_T2</vt:lpstr>
      <vt:lpstr>M2_Table_M_j_m1_T3</vt:lpstr>
      <vt:lpstr>M2_Table_M_j_m5_T1</vt:lpstr>
      <vt:lpstr>M2_Table_MCF_i_m</vt:lpstr>
      <vt:lpstr>M2_Table_MMS_ATMOS</vt:lpstr>
      <vt:lpstr>M2_Table_MN_j_m_T</vt:lpstr>
      <vt:lpstr>M2_Table_MN_j_m_T23</vt:lpstr>
      <vt:lpstr>M2_Table_MN_j_m1_T3</vt:lpstr>
      <vt:lpstr>M2_Table_MN_j_m5_T1</vt:lpstr>
      <vt:lpstr>M2_Table_MNSoil_scope1</vt:lpstr>
      <vt:lpstr>M2_Table_MNSoil_scope3</vt:lpstr>
      <vt:lpstr>M2_Table_MNSoil_scope3_fert</vt:lpstr>
      <vt:lpstr>M2_Table_NE_j</vt:lpstr>
      <vt:lpstr>M2_Table_NI_j</vt:lpstr>
      <vt:lpstr>M2_Table_NR_j</vt:lpstr>
      <vt:lpstr>M2_Table_NT_j_m_T2</vt:lpstr>
      <vt:lpstr>M2_Table_VS_j</vt:lpstr>
      <vt:lpstr>SourceData_Feedlot_AshContent_Data</vt:lpstr>
      <vt:lpstr>SourceData_Feedlot_MethaneEmissionsPotential_Data</vt:lpstr>
      <vt:lpstr>SourceData_Feedlot_MMSm1T3_Data</vt:lpstr>
      <vt:lpstr>SourceData_Feedlot_VSL_Data</vt:lpstr>
      <vt:lpstr>Table_D_j</vt:lpstr>
      <vt:lpstr>Table_D_j_Consumer_1</vt:lpstr>
      <vt:lpstr>Table_E_CH4</vt:lpstr>
      <vt:lpstr>Table_E_CH4_Consumer_1</vt:lpstr>
      <vt:lpstr>Table_EF_j_m</vt:lpstr>
      <vt:lpstr>Table_EF_j_m_T23</vt:lpstr>
      <vt:lpstr>Table_FracGASM_m_T23</vt:lpstr>
      <vt:lpstr>Table_FracGASM_m_T23_Consumer_1</vt:lpstr>
      <vt:lpstr>Table_MMS_j_m_T2</vt:lpstr>
      <vt:lpstr>Table_MMS_j_m1_T3</vt:lpstr>
      <vt:lpstr>Table_MMS_j_m5_T1</vt:lpstr>
      <vt:lpstr>Table_MMS_m_T2</vt:lpstr>
      <vt:lpstr>Table_MMS_m1_T3</vt:lpstr>
      <vt:lpstr>Table_MMS_m5_T1</vt:lpstr>
      <vt:lpstr>Table_N_j</vt:lpstr>
      <vt:lpstr>Table_N_j_Consumer_1</vt:lpstr>
      <vt:lpstr>Table_PF</vt:lpstr>
      <vt:lpstr>Table_PF_fert</vt:lpstr>
      <vt:lpstr>VEERG_4_1_1_1__1_TotalAnnualMethaneEmissions_Result_Method1</vt:lpstr>
      <vt:lpstr>VEERG_4_1_1_1__1_TotalAnnualMethaneEmissions_Result_Method2</vt:lpstr>
      <vt:lpstr>VEERG_4_1_1_3__1_TotalAnnualDirectNitrousOxideEmissions_Result_Method1</vt:lpstr>
      <vt:lpstr>VEERG_4_1_1_3__1_TotalAnnualDirectNitrousOxideEmissions_Result_Method2</vt:lpstr>
      <vt:lpstr>VEERG_4_1_1_5__1_TotalAnnualAtmosphericDepositionEmissions_Result_Method1</vt:lpstr>
      <vt:lpstr>VEERG_4_1_1_5__1_TotalAnnualAtmosphericDepositionEmissions_Result_Method2</vt:lpstr>
      <vt:lpstr>VEERG_4_1_1_9__1_MassOfNitrogenAppliedToSoilsScope1_Result_Method1</vt:lpstr>
      <vt:lpstr>VEERG_4_1_1_9__1_MassOfNitrogenAppliedToSoilsScope1_Result_Method2</vt:lpstr>
      <vt:lpstr>VEERG_4_1_1_9__2_MassOfNitrogenAppliedToSoilsScope3_Result_Method1</vt:lpstr>
      <vt:lpstr>VEERG_4_1_1_9__2_MassOfNitrogenAppliedToSoilsScope3_Result_Method2</vt:lpstr>
      <vt:lpstr>X_Cell_Site_AverageTemperature</vt:lpstr>
      <vt:lpstr>X_Cell_Site_Elevation</vt:lpstr>
      <vt:lpstr>X_Cell_Site_FarmName</vt:lpstr>
      <vt:lpstr>X_Cell_Site_FrostDays</vt:lpstr>
      <vt:lpstr>X_Cell_Site_LeachingZone</vt:lpstr>
      <vt:lpstr>X_Cell_Site_PotentialEvapotranspiration</vt:lpstr>
      <vt:lpstr>X_Cell_Site_Region</vt:lpstr>
      <vt:lpstr>X_Cell_Site_ReportingEntityName</vt:lpstr>
      <vt:lpstr>X_Cell_Site_StartDate</vt:lpstr>
      <vt:lpstr>X_Cell_Site_State</vt:lpstr>
      <vt:lpstr>X_Cell_Site_TotalRainfall</vt:lpstr>
      <vt:lpstr>X_Table_Feedlot_HerdMovement</vt:lpstr>
      <vt:lpstr>X_Table_Feedlot_Intake_Method1</vt:lpstr>
      <vt:lpstr>X_Table_Feedlot_Intake_Method2</vt:lpstr>
      <vt:lpstr>X_Table_Feedlot_MMS_Stage1</vt:lpstr>
      <vt:lpstr>X_Table_Feedlot_MMS_Stage2</vt:lpstr>
      <vt:lpstr>X_Table_Feedlot_MMS_Stage2_Destinations</vt:lpstr>
      <vt:lpstr>X_Table_Feedlot_MMS_Stage3</vt:lpstr>
      <vt:lpstr>X_Table_Feedlot_MMS_Stage3_Destinations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Paul Kotz</dc:creator>
  <cp:lastModifiedBy>Paul Kotz</cp:lastModifiedBy>
  <dcterms:created xsi:type="dcterms:W3CDTF">2025-11-17T03:37:23Z</dcterms:created>
  <dcterms:modified xsi:type="dcterms:W3CDTF">2026-08-10T06:17:32Z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0x010100ACB660BB23738846A00119B5826AC974</vt:lpwstr>
  </property>
  <property fmtid="{D5CDD505-2E9C-101B-9397-08002B2CF9AE}" pid="3" name="MediaServiceImageTags">
    <vt:lpwstr/>
  </property>
</Properties>
</file>