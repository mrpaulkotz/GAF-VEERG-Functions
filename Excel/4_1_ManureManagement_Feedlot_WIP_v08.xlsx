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1B9203B-A908-4E08-A83E-BCCE69441D77}" xr6:coauthVersionLast="47" xr6:coauthVersionMax="47" xr10:uidLastSave="{00000000-0000-0000-0000-000000000000}"/>
  <bookViews>
    <workbookView xWindow="1560" yWindow="1560" windowWidth="21600" windowHeight="12645" firstSheet="1" activeTab="3"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2"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9" i="81" l="1"/>
  <c r="D109" i="81"/>
  <c r="N108" i="81"/>
  <c r="D108" i="81"/>
  <c r="N107" i="81"/>
  <c r="D107" i="81"/>
  <c r="N106" i="81"/>
  <c r="D106" i="81"/>
  <c r="E101" i="81"/>
  <c r="D101" i="81"/>
  <c r="D100" i="81"/>
  <c r="E99" i="81"/>
  <c r="D99" i="81"/>
  <c r="E98" i="81"/>
  <c r="D98" i="81"/>
  <c r="N85" i="81"/>
  <c r="D85" i="81"/>
  <c r="N84" i="81"/>
  <c r="D84" i="81"/>
  <c r="N83" i="81"/>
  <c r="D83" i="81"/>
  <c r="N82" i="81"/>
  <c r="D82" i="81"/>
  <c r="N59" i="81"/>
  <c r="D59" i="81"/>
  <c r="N58" i="81"/>
  <c r="D58" i="81"/>
  <c r="N57" i="81"/>
  <c r="D57" i="81"/>
  <c r="N56" i="81"/>
  <c r="D56" i="81"/>
  <c r="D51" i="81"/>
  <c r="D50" i="81"/>
  <c r="D49" i="81"/>
  <c r="D48" i="81"/>
  <c r="D43" i="81"/>
  <c r="D42" i="81"/>
  <c r="D41" i="81"/>
  <c r="D40" i="81"/>
  <c r="D39" i="81"/>
  <c r="D34" i="81"/>
  <c r="D32" i="81"/>
  <c r="D31" i="81"/>
  <c r="D30" i="81"/>
  <c r="Q25" i="81"/>
  <c r="P25" i="81"/>
  <c r="O25" i="81"/>
  <c r="N25" i="81"/>
  <c r="G25" i="81"/>
  <c r="F25" i="81"/>
  <c r="E25" i="81"/>
  <c r="D25" i="81"/>
  <c r="Q24" i="81"/>
  <c r="P24" i="81"/>
  <c r="O24" i="81"/>
  <c r="N24" i="81"/>
  <c r="G24" i="81"/>
  <c r="F24" i="81"/>
  <c r="E24" i="81"/>
  <c r="D24" i="81"/>
  <c r="Q23" i="81"/>
  <c r="P23" i="81"/>
  <c r="O23" i="81"/>
  <c r="N23" i="81"/>
  <c r="G23" i="81"/>
  <c r="F23" i="81"/>
  <c r="E23" i="81"/>
  <c r="D23" i="81"/>
  <c r="Q22" i="81"/>
  <c r="P22" i="81"/>
  <c r="O22" i="81"/>
  <c r="N22" i="81"/>
  <c r="G22" i="81"/>
  <c r="F22" i="81"/>
  <c r="E22" i="81"/>
  <c r="D22" i="81"/>
  <c r="M44" i="82"/>
  <c r="D44" i="82"/>
  <c r="M43" i="82"/>
  <c r="D43" i="82"/>
  <c r="M42" i="82"/>
  <c r="D42" i="82"/>
  <c r="M41" i="82"/>
  <c r="D41" i="82"/>
  <c r="M40" i="82"/>
  <c r="D40" i="82"/>
  <c r="D35" i="82"/>
  <c r="D34" i="82"/>
  <c r="D33" i="82"/>
  <c r="D32" i="82"/>
  <c r="P27" i="82"/>
  <c r="O27" i="82"/>
  <c r="N27" i="82"/>
  <c r="M27" i="82"/>
  <c r="G27" i="82"/>
  <c r="F27" i="82"/>
  <c r="E27" i="82"/>
  <c r="D27" i="82"/>
  <c r="M26" i="82"/>
  <c r="D26" i="82"/>
  <c r="P25" i="82"/>
  <c r="O25" i="82"/>
  <c r="N25" i="82"/>
  <c r="M25" i="82"/>
  <c r="G25" i="82"/>
  <c r="F25" i="82"/>
  <c r="E25" i="82"/>
  <c r="D25" i="82"/>
  <c r="P24" i="82"/>
  <c r="O24" i="82"/>
  <c r="N24" i="82"/>
  <c r="M24" i="82"/>
  <c r="G24" i="82"/>
  <c r="F24" i="82"/>
  <c r="E24" i="82"/>
  <c r="D24" i="82"/>
  <c r="P23" i="82"/>
  <c r="O23" i="82"/>
  <c r="N23" i="82"/>
  <c r="M23" i="82"/>
  <c r="G23" i="82"/>
  <c r="F23" i="82"/>
  <c r="E23" i="82"/>
  <c r="D23" i="82"/>
  <c r="O210" i="76"/>
  <c r="D210" i="76"/>
  <c r="O209" i="76"/>
  <c r="D209" i="76"/>
  <c r="O208" i="76"/>
  <c r="D208" i="76"/>
  <c r="O207" i="76"/>
  <c r="D207" i="76"/>
  <c r="O206" i="76"/>
  <c r="D206" i="76"/>
  <c r="D198" i="76"/>
  <c r="D197" i="76"/>
  <c r="D196" i="76"/>
  <c r="D195" i="76"/>
  <c r="O176" i="76"/>
  <c r="D176" i="76"/>
  <c r="O175" i="76"/>
  <c r="D175" i="76"/>
  <c r="O174" i="76"/>
  <c r="D174" i="76"/>
  <c r="G169" i="76"/>
  <c r="F169" i="76"/>
  <c r="E169" i="76"/>
  <c r="D169" i="76"/>
  <c r="G168" i="76"/>
  <c r="F168" i="76"/>
  <c r="E168" i="76"/>
  <c r="D168" i="76"/>
  <c r="G167" i="76"/>
  <c r="F167" i="76"/>
  <c r="E167" i="76"/>
  <c r="D167" i="76"/>
  <c r="O129" i="76"/>
  <c r="D129" i="76"/>
  <c r="G124" i="76"/>
  <c r="F124" i="76"/>
  <c r="E124" i="76"/>
  <c r="D124" i="76"/>
  <c r="O106" i="76"/>
  <c r="D106" i="76"/>
  <c r="G101" i="76"/>
  <c r="F101" i="76"/>
  <c r="E101" i="76"/>
  <c r="D101" i="76"/>
  <c r="F78" i="76"/>
  <c r="E78" i="76"/>
  <c r="D78" i="76"/>
  <c r="F73" i="76"/>
  <c r="E73" i="76"/>
  <c r="D73" i="76"/>
  <c r="Q25" i="76"/>
  <c r="P25" i="76"/>
  <c r="O25" i="76"/>
  <c r="F25" i="76"/>
  <c r="E25" i="76"/>
  <c r="D25" i="76"/>
  <c r="Q20" i="76"/>
  <c r="P20" i="76"/>
  <c r="O20" i="76"/>
  <c r="F20" i="76"/>
  <c r="E20" i="76"/>
  <c r="D20" i="76"/>
  <c r="N168" i="69"/>
  <c r="E168" i="69"/>
  <c r="N167" i="69"/>
  <c r="E167" i="69"/>
  <c r="N166" i="69"/>
  <c r="E166" i="69"/>
  <c r="N165" i="69"/>
  <c r="E165" i="69"/>
  <c r="N164" i="69"/>
  <c r="E164" i="69"/>
  <c r="F159" i="69"/>
  <c r="E159" i="69"/>
  <c r="D159" i="69"/>
  <c r="N154" i="69"/>
  <c r="E154" i="69"/>
  <c r="N153" i="69"/>
  <c r="E153" i="69"/>
  <c r="N152" i="69"/>
  <c r="E152" i="69"/>
  <c r="N151" i="69"/>
  <c r="E151" i="69"/>
  <c r="N150" i="69"/>
  <c r="E150" i="69"/>
  <c r="F145" i="69"/>
  <c r="E145" i="69"/>
  <c r="D145" i="69"/>
  <c r="M125" i="69"/>
  <c r="D125" i="69"/>
  <c r="G120" i="69"/>
  <c r="F120" i="69"/>
  <c r="E120" i="69"/>
  <c r="D120" i="69"/>
  <c r="R115" i="69"/>
  <c r="M98" i="69"/>
  <c r="D98" i="69"/>
  <c r="M97" i="69"/>
  <c r="D97" i="69"/>
  <c r="M96" i="69"/>
  <c r="D96" i="69"/>
  <c r="N89" i="69"/>
  <c r="M89" i="69"/>
  <c r="E89" i="69"/>
  <c r="D89" i="69"/>
  <c r="N88" i="69"/>
  <c r="M88" i="69"/>
  <c r="E88" i="69"/>
  <c r="D88" i="69"/>
  <c r="N87" i="69"/>
  <c r="M87" i="69"/>
  <c r="E87" i="69"/>
  <c r="D87" i="69"/>
  <c r="H82" i="69"/>
  <c r="G82" i="69"/>
  <c r="F82" i="69"/>
  <c r="E82" i="69"/>
  <c r="D82" i="69"/>
  <c r="H81" i="69"/>
  <c r="G81" i="69"/>
  <c r="F81" i="69"/>
  <c r="E81" i="69"/>
  <c r="D81" i="69"/>
  <c r="H80" i="69"/>
  <c r="G80" i="69"/>
  <c r="F80" i="69"/>
  <c r="E80" i="69"/>
  <c r="D80" i="69"/>
  <c r="R75" i="69"/>
  <c r="M57" i="69"/>
  <c r="D57" i="69"/>
  <c r="G52" i="69"/>
  <c r="F52" i="69"/>
  <c r="E52" i="69"/>
  <c r="D52" i="69"/>
  <c r="O25" i="69"/>
  <c r="N25" i="69"/>
  <c r="M25" i="69"/>
  <c r="F25" i="69"/>
  <c r="E25" i="69"/>
  <c r="D25" i="69"/>
  <c r="O20" i="69"/>
  <c r="N20" i="69"/>
  <c r="M20" i="69"/>
  <c r="F20" i="69"/>
  <c r="E20" i="69"/>
  <c r="D20" i="69"/>
  <c r="O87" i="69"/>
  <c r="O88" i="69"/>
  <c r="O89" i="69"/>
  <c r="G29" i="79"/>
  <c r="G28" i="79"/>
  <c r="I114" i="69"/>
  <c r="I74" i="69"/>
  <c r="R46" i="69"/>
  <c r="I46" i="69"/>
  <c r="R113" i="69"/>
  <c r="I59" i="82"/>
  <c r="E30" i="15"/>
  <c r="E33" i="15"/>
  <c r="E32" i="15"/>
  <c r="E31" i="15"/>
  <c r="I60" i="82"/>
  <c r="I190" i="76"/>
  <c r="P68" i="82"/>
  <c r="G68" i="82"/>
  <c r="R215" i="76"/>
  <c r="G215" i="76"/>
  <c r="P174" i="69"/>
  <c r="G174" i="69"/>
  <c r="I115" i="69"/>
  <c r="I75" i="69"/>
  <c r="R47" i="69"/>
  <c r="I47"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c r="D228" i="102" a="1"/>
  <c r="D227" i="102" a="1"/>
  <c r="D227" i="102" s="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a="1"/>
  <c r="D203" i="102" s="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a="1"/>
  <c r="D174" i="102" s="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a="1"/>
  <c r="D151" i="102" s="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a="1"/>
  <c r="D124" i="102" s="1"/>
  <c r="G121" i="102" a="1"/>
  <c r="G121" i="102" s="1"/>
  <c r="F121" i="102" a="1"/>
  <c r="F121" i="102" s="1"/>
  <c r="E121" i="102" a="1"/>
  <c r="E121" i="102" s="1"/>
  <c r="D121" i="102" a="1"/>
  <c r="D121" i="102" s="1"/>
  <c r="G120" i="102" a="1"/>
  <c r="G120" i="102" s="1"/>
  <c r="F120" i="102" a="1"/>
  <c r="F120" i="102" s="1"/>
  <c r="E120" i="102" a="1"/>
  <c r="E120" i="102" s="1"/>
  <c r="D120" i="102" a="1"/>
  <c r="D120" i="102" s="1"/>
  <c r="D117" i="102" a="1"/>
  <c r="D117" i="102" s="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a="1"/>
  <c r="D57" i="102" s="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c r="D46" i="102" a="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a="1"/>
  <c r="D18" i="102" s="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4" i="102" l="1"/>
  <c r="H48" i="102"/>
  <c r="H52" i="102"/>
  <c r="H50" i="102"/>
  <c r="H53" i="102"/>
  <c r="H51" i="102"/>
  <c r="H49" i="102"/>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E50" i="81"/>
  <c r="K34" i="70"/>
  <c r="E51" i="81"/>
  <c r="K33" i="70"/>
  <c r="E49" i="81" s="1"/>
  <c r="K32" i="70"/>
  <c r="E48" i="81" s="1"/>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67" i="81" a="1"/>
  <c r="E7" i="81" a="1"/>
  <c r="E7" i="82"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R43" i="6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135" i="76" a="1"/>
  <c r="E60" i="76" a="1"/>
  <c r="E112" i="76" a="1"/>
  <c r="E155" i="76" a="1"/>
  <c r="E36" i="76" a="1"/>
  <c r="E89" i="76" a="1"/>
  <c r="E7"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F30" i="76" l="1" a="1"/>
  <c r="F30" i="76" s="1"/>
  <c r="F54" i="76" s="1" a="1"/>
  <c r="F54" i="76" s="1"/>
  <c r="F83" i="76" s="1" a="1"/>
  <c r="F83" i="76" s="1"/>
  <c r="G106" i="76" s="1" a="1"/>
  <c r="G106" i="76" s="1"/>
  <c r="E30" i="76" a="1"/>
  <c r="E30" i="76" s="1"/>
  <c r="E54" i="76" s="1" a="1"/>
  <c r="E54" i="76" s="1"/>
  <c r="E83" i="76" s="1" a="1"/>
  <c r="E83" i="76" s="1"/>
  <c r="F106" i="76" s="1" a="1"/>
  <c r="F106" i="76" s="1"/>
  <c r="D30" i="76" a="1"/>
  <c r="D30" i="76" s="1"/>
  <c r="D54" i="76" s="1" a="1"/>
  <c r="D54" i="76" s="1"/>
  <c r="D83" i="76" s="1" a="1"/>
  <c r="D83" i="76" s="1"/>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40" i="82" a="1"/>
  <c r="G40" i="82" s="1"/>
  <c r="F40" i="82" a="1"/>
  <c r="F40" i="82" s="1"/>
  <c r="D8" i="70"/>
  <c r="D9" i="70"/>
  <c r="P106" i="76" l="1" a="1"/>
  <c r="P106" i="76" s="1"/>
  <c r="Q106" i="76" a="1"/>
  <c r="Q106" i="76" s="1"/>
  <c r="E206" i="76" a="1"/>
  <c r="E206" i="76" s="1"/>
  <c r="R106" i="76" a="1"/>
  <c r="R106" i="76"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H15" i="69"/>
  <c r="I69" i="69"/>
  <c r="E36" i="69" a="1"/>
  <c r="E7"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57" i="69" l="1" a="1"/>
  <c r="O57" i="69" s="1"/>
  <c r="P150" i="69" s="1"/>
  <c r="P164" i="69" s="1" a="1"/>
  <c r="P164" i="69" s="1"/>
  <c r="P57" i="69" a="1"/>
  <c r="P57" i="69" s="1"/>
  <c r="Q150" i="69" s="1"/>
  <c r="Q164" i="69" s="1" a="1"/>
  <c r="Q164" i="69" s="1"/>
  <c r="N57" i="69" a="1"/>
  <c r="N57" i="69" s="1"/>
  <c r="O150" i="69" s="1"/>
  <c r="O164" i="69" s="1" a="1"/>
  <c r="O164" i="69" s="1"/>
  <c r="G125" i="69" a="1"/>
  <c r="G125" i="69" s="1"/>
  <c r="H154" i="69" s="1"/>
  <c r="H168" i="69" s="1" a="1"/>
  <c r="H168" i="69" s="1"/>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R129" i="76" a="1"/>
  <c r="R129" i="76" s="1"/>
  <c r="Q149" i="76" s="1" a="1"/>
  <c r="Q149" i="76" s="1"/>
  <c r="R176" i="76" s="1" a="1"/>
  <c r="R176" i="76" s="1"/>
  <c r="F129" i="76" a="1"/>
  <c r="F129" i="76" s="1"/>
  <c r="E149" i="76" s="1" a="1"/>
  <c r="E149" i="76" s="1"/>
  <c r="F176" i="76" s="1" a="1"/>
  <c r="F176" i="76" s="1"/>
  <c r="Q129" i="76" a="1"/>
  <c r="Q129" i="76" s="1"/>
  <c r="P149" i="76" s="1" a="1"/>
  <c r="P149" i="76" s="1"/>
  <c r="Q176" i="76" s="1" a="1"/>
  <c r="Q176" i="76" s="1"/>
  <c r="E129" i="76" a="1"/>
  <c r="E129" i="76" s="1"/>
  <c r="D149" i="76" s="1" a="1"/>
  <c r="D149" i="76" s="1"/>
  <c r="E176" i="76" s="1" a="1"/>
  <c r="E176" i="76" s="1"/>
  <c r="P129" i="76" a="1"/>
  <c r="P129" i="76" s="1"/>
  <c r="O149" i="76" s="1" a="1"/>
  <c r="O149" i="76" s="1"/>
  <c r="P176" i="76" s="1" a="1"/>
  <c r="P176" i="76" s="1"/>
  <c r="E125" i="69" a="1"/>
  <c r="E125" i="69" s="1"/>
  <c r="F154" i="69" s="1"/>
  <c r="F168" i="69" s="1" a="1"/>
  <c r="F168" i="69" s="1"/>
  <c r="F125" i="69" a="1"/>
  <c r="F125" i="69" s="1"/>
  <c r="G154" i="69" s="1"/>
  <c r="G168" i="69" s="1" a="1"/>
  <c r="G168" i="69" s="1"/>
  <c r="F150" i="69"/>
  <c r="F164" i="69" s="1" a="1"/>
  <c r="F164" i="69" s="1"/>
  <c r="P174" i="76" l="1" a="1"/>
  <c r="P174" i="76" s="1"/>
  <c r="P175" i="76" a="1"/>
  <c r="P175" i="76" s="1"/>
  <c r="E174" i="76" a="1"/>
  <c r="E174" i="76" s="1"/>
  <c r="E175" i="76" a="1"/>
  <c r="E175" i="76" s="1"/>
  <c r="Q174" i="76" a="1"/>
  <c r="Q174" i="76" s="1"/>
  <c r="Q175" i="76" a="1"/>
  <c r="Q175" i="76" s="1"/>
  <c r="F175" i="76" a="1"/>
  <c r="F175" i="76" s="1"/>
  <c r="F174" i="76" a="1"/>
  <c r="F174" i="76" s="1"/>
  <c r="R174" i="76" a="1"/>
  <c r="R174" i="76" s="1"/>
  <c r="R175" i="76" a="1"/>
  <c r="R175" i="76" s="1"/>
  <c r="G174" i="76" a="1"/>
  <c r="G174" i="76" s="1"/>
  <c r="G175" i="76" a="1"/>
  <c r="G175" i="76" s="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O98" i="69" l="1" a="1"/>
  <c r="O98" i="69" s="1"/>
  <c r="P98" i="69" a="1"/>
  <c r="P98" i="69" s="1"/>
  <c r="N98" i="69" a="1"/>
  <c r="N98" i="69" s="1"/>
  <c r="E33" i="82"/>
  <c r="E35" i="82"/>
  <c r="E34" i="82"/>
  <c r="G42" i="82" s="1" a="1"/>
  <c r="G42" i="82" s="1"/>
  <c r="E41" i="81"/>
  <c r="E32" i="81"/>
  <c r="E40" i="81"/>
  <c r="E34" i="81"/>
  <c r="E43" i="81"/>
  <c r="E197" i="76"/>
  <c r="F88" i="69" a="1"/>
  <c r="F88" i="69" s="1"/>
  <c r="E198" i="76"/>
  <c r="F87" i="69" l="1"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F96" i="69" l="1"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F9" i="13" s="1"/>
  <c r="E46" i="82"/>
  <c r="I58" i="82" s="1"/>
  <c r="E65" i="82" s="1" a="1"/>
  <c r="E65" i="82" s="1"/>
  <c r="E9" i="13" s="1"/>
  <c r="E29" i="15"/>
  <c r="O87" i="81" l="1"/>
  <c r="F17" i="13" s="1"/>
  <c r="N171" i="69"/>
  <c r="E171" i="69"/>
  <c r="E61" i="81"/>
  <c r="E16" i="13" s="1"/>
  <c r="O61" i="81"/>
  <c r="F16" i="13" s="1"/>
  <c r="O111" i="81"/>
  <c r="F18" i="13" s="1"/>
  <c r="E111" i="81"/>
  <c r="E17" i="13" s="1"/>
  <c r="E87" i="81"/>
  <c r="E18" i="13" s="1"/>
  <c r="G67" i="82"/>
  <c r="E70" i="82" s="1" a="1"/>
  <c r="E70" i="82" s="1"/>
  <c r="H9" i="13" s="1"/>
  <c r="P67" i="82"/>
  <c r="N70" i="82" s="1" a="1"/>
  <c r="N70" i="82" s="1"/>
  <c r="I9" i="13" s="1"/>
  <c r="P212" i="76"/>
  <c r="F8" i="13" s="1"/>
  <c r="E212" i="76"/>
  <c r="E8" i="13" s="1"/>
  <c r="G173" i="69" l="1"/>
  <c r="E176" i="69" s="1" a="1"/>
  <c r="E176" i="69" s="1"/>
  <c r="H7" i="13" s="1"/>
  <c r="E7" i="13"/>
  <c r="P173" i="69"/>
  <c r="N176" i="69" s="1" a="1"/>
  <c r="N176" i="69" s="1"/>
  <c r="I7" i="13" s="1"/>
  <c r="F7" i="13"/>
  <c r="G214" i="76"/>
  <c r="E217" i="76" s="1" a="1"/>
  <c r="E217" i="76" s="1"/>
  <c r="H8" i="13" s="1"/>
  <c r="R214" i="76"/>
  <c r="P217" i="76" s="1" a="1"/>
  <c r="P217" i="76" s="1"/>
  <c r="I8" i="13" s="1"/>
  <c r="E13" i="15"/>
  <c r="I10" i="13" l="1"/>
  <c r="H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<sst xmlns="http://schemas.openxmlformats.org/spreadsheetml/2006/main" count="839" uniqueCount="364">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</sst>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E0D1AC-E263-4888-BD82-9BA83D9C0E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14DDA4-D27B-4D7F-9E65-994EBEC3F746}" name="State/Territory">
      <calculatedColumnFormula array="1">Common_InputFunctions.Utility_DisplayArrayInTable(Common_SourceData.Common_SourceData_AustralianStatesTerritories_Data(),Table_AustralianStates[[#Headers],[State/Territory]],0)</calculatedColumnFormula>
    </tableColumn>
    <tableColumn id="2" xr3:uid="{3700E6DF-A9D3-4D46-9C7C-42AF7927B496}" name="Common Name">
      <calculatedColumnFormula array="1">Common_InputFunctions.Utility_DisplayArrayInTable(Common_SourceData.Common_SourceData_AustralianStatesTerritories_Data(),Table_AustralianStates[[#Headers],[State/Territory]],0)</calculatedColumnFormula>
    </tableColumn>
    <tableColumn id="3" xr3:uid="{6872AAA4-E0CB-4AF1-82F9-FE2AB04996A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F47694-57D8-4008-A3C3-E0075C585EDB}" name="Table_WASA4Areas" displayName="Table_WASA4Areas" ref="D20:D30" totalsRowShown="0">
  <autoFilter ref="D20:D30" xr:uid="{5FA81339-C6C8-4D36-BEEA-6C4AEDD9E676}">
    <filterColumn colId="0" hiddenButton="1"/>
  </autoFilter>
  <tableColumns count="1">
    <tableColumn id="1" xr3:uid="{F75EEDD7-13D4-4927-83BD-CEC6483DA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E7BE49D-2A76-4939-A964-0874C379D495}" name="Table_GWPData" displayName="Table_GWPData" ref="D36:E43" totalsRowShown="0">
  <autoFilter ref="D36:E43" xr:uid="{B8E87A66-3E41-4AD3-925D-01EE21B43D7A}">
    <filterColumn colId="0" hiddenButton="1"/>
    <filterColumn colId="1" hiddenButton="1"/>
  </autoFilter>
  <tableColumns count="2">
    <tableColumn id="1" xr3:uid="{716DE615-E5CA-4104-BF1A-A1EC60212E3A}" name="Gas">
      <calculatedColumnFormula array="1">Common_InputFunctions.Utility_DisplayArrayInTable(Common_SourceData.Common_SourceData_GWP_Data(), Table_GWPData[[#Headers],[Gas]], 0)</calculatedColumnFormula>
    </tableColumn>
    <tableColumn id="2" xr3:uid="{7B03BA42-5846-4E91-AB4C-CF0D27E1607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479A7E-0BE6-4A5B-8EBB-EBC2986C75D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14F8EBB-4DC6-4027-96EF-D275E86B6AC5}" name="Gas">
      <calculatedColumnFormula array="1">Common_InputFunctions.Utility_DisplayArrayInTable(Common_SourceData.Common_SourceData_ConvertGasElementalToMolecular_Data(),Table_GasToMolecularConversionFactor[[#Headers],[Gas]], 0)</calculatedColumnFormula>
    </tableColumn>
    <tableColumn id="5" xr3:uid="{BF6EF291-CB3F-4D37-9A25-D1B63FAC04BB}" name="Conversion factor">
      <calculatedColumnFormula array="1">Common_InputFunctions.Utility_DisplayArrayInTable(Common_SourceData.Common_SourceData_ConvertGasElementalToMolecular_Data(),Table_GasToMolecularConversionFactor[[#Headers],[Gas]], 0)</calculatedColumnFormula>
    </tableColumn>
    <tableColumn id="2" xr3:uid="{41957899-0B4F-49DB-8387-9C1F8612425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B045E39-0C95-42E7-9A11-6A422EA1049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CDECAF-60DA-4624-92A5-170D9F81FB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FE3ECBF-5F36-4AEF-8BBB-56C560422E2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9E87A8-427D-402D-820C-77BE14B8003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7640195-38D0-40A2-8F4E-ED2E3782723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73F507F-E183-4120-B9B0-65F93C56EA1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2A017B0-9395-4BD5-8DBC-68DB04E4715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D355141-6D72-4DEB-AB96-6337D781DEF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B1556290-B1D7-468D-B8D1-7D23916A774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0BF862A-1ABC-4736-B87B-C9AF564FD67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C52250B-D4B7-4086-ABF4-1F3F1B5D2C7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0D89DC1-3CB4-4B95-AF47-3EDA5F9D7F55}"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2D78BA7-2CAC-424C-89A3-7E8693081B0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27FCE2F-4D27-4093-BC91-A1FED02C160D}"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75D41F8-CEAB-47EC-AF61-3F0C943CC90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67FFB31-71FD-4C83-9808-59E1D8E2B6BC}"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84D5615-806D-4C2D-9449-CE49660281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B6638A7-6AF3-40E8-BD9B-C88BBAEFAA2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6EF6738-A3DB-4B19-B8C6-1EF1BDE2DD6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C98DEFD-D6E5-4B03-A150-8F0C578A250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6A5D07E-EA8A-44AE-8147-1E0D5443E32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78AE17-E7FA-47E9-A816-5C5C8EFABD1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1BB0D6-53E6-4A7B-87E8-07A76038297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19985D-2D22-4ACB-AB0E-FF704D376400}" name="Temperature Zone">
      <calculatedColumnFormula array="1">Common_InputFunctions.Utility_DisplayArrayInTable(Common_SourceData.Common_SourceData_TemperatureZones_Data(),Table_SourceData_TemperatureZones[[#Headers],[Temperature Zone]],0)</calculatedColumnFormula>
    </tableColumn>
    <tableColumn id="2" xr3:uid="{D3437F49-A4E8-4E5B-8A0B-41FCC10E5A73}" name="MAT">
      <calculatedColumnFormula array="1">Common_InputFunctions.Utility_DisplayArrayInTable(Common_SourceData.Common_SourceData_TemperatureZones_Data(),Table_SourceData_TemperatureZones[[#Headers],[Temperature Zone]],0)</calculatedColumnFormula>
    </tableColumn>
    <tableColumn id="3" xr3:uid="{B40D72F3-A811-431A-A5B3-36DB48B46278}" name="Min MAT">
      <calculatedColumnFormula array="1">Common_InputFunctions.Utility_DisplayArrayInTable(Common_SourceData.Common_SourceData_TemperatureZones_Data(),Table_SourceData_TemperatureZones[[#Headers],[Temperature Zone]],0)</calculatedColumnFormula>
    </tableColumn>
    <tableColumn id="4" xr3:uid="{2F3AD32D-1DC7-49C3-AB3D-28AD5A719A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779FD4-FE2F-41A6-ADD3-67C6B58A542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BD7D9F6-B198-499B-80AD-D34D3501689A}" name="Rainfall Zone">
      <calculatedColumnFormula array="1">Common_InputFunctions.Utility_DisplayArrayInTable(Common_SourceData.Common_SourceData_RainfallZones_Data(),Table_SourceData_RainfallZones[[#Headers],[Rainfall Zone]],0)</calculatedColumnFormula>
    </tableColumn>
    <tableColumn id="2" xr3:uid="{8126D928-3B78-4186-AC8C-644BE034864A}" name="Annual rainfall">
      <calculatedColumnFormula array="1">Common_InputFunctions.Utility_DisplayArrayInTable(Common_SourceData.Common_SourceData_RainfallZones_Data(),Table_SourceData_RainfallZones[[#Headers],[Rainfall Zone]],0)</calculatedColumnFormula>
    </tableColumn>
    <tableColumn id="3" xr3:uid="{430674E7-C1C7-40A9-BB96-A1B05C300B20}" name="Min rainfall">
      <calculatedColumnFormula array="1">Common_InputFunctions.Utility_DisplayArrayInTable(Common_SourceData.Common_SourceData_RainfallZones_Data(),Table_SourceData_RainfallZones[[#Headers],[Rainfall Zone]],0)</calculatedColumnFormula>
    </tableColumn>
    <tableColumn id="4" xr3:uid="{03AF5C4C-EC63-4EF9-99F0-DEBFC2EBA32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DBA160-3AD7-4A00-ACD5-61C6F5B2AC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C973E91-3D46-44AF-9C98-2380E99FD6AB}" name="Leaching Zone">
      <calculatedColumnFormula array="1">Common_InputFunctions.Utility_DisplayArrayInTable(Common_SourceData.Common_SourceData_LeachingZones_Data(), Table_SourceData_LeachingZones[[#Headers],[Leaching Zone]], 0)</calculatedColumnFormula>
    </tableColumn>
    <tableColumn id="2" xr3:uid="{4C863D31-D584-4CED-9446-119B52FF59F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33DE523-01EF-4A28-A14E-F727E6549A9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56B6BBE-8E42-4167-BC9A-01847FA138CB}" name="Data source">
      <calculatedColumnFormula array="1">Common_InputFunctions.Utility_DisplayArrayInTable(Common_SourceData.Common_SourceData_DataScores_Scope3_Data(), Table_SourceData_DataScores_Scope3[[#Headers],[Data source]], 0)</calculatedColumnFormula>
    </tableColumn>
    <tableColumn id="2" xr3:uid="{1E06F022-8CAC-4970-8E22-DC38E851615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0133C7C-7D47-49D5-8F68-FE568C724139}" name="Table_SourceData_FracWET" displayName="Table_SourceData_FracWET" ref="D134:E136" totalsRowShown="0">
  <autoFilter ref="D134:E136" xr:uid="{308E99BE-FE1F-47A4-B2CA-97217277C4E9}">
    <filterColumn colId="0" hiddenButton="1"/>
    <filterColumn colId="1" hiddenButton="1"/>
  </autoFilter>
  <tableColumns count="2">
    <tableColumn id="1" xr3:uid="{384B72E3-6207-4969-9D64-A5F9FB1D8555}" name="Is in leaching zone">
      <calculatedColumnFormula array="1">Common_InputFunctions.Utility_DisplayArrayInTable(Common_SourceData.Common_SourceData_FracWET_Data(),Table_SourceData_FracWET[[#Headers],[Is in leaching zone]],0)</calculatedColumnFormula>
    </tableColumn>
    <tableColumn id="2" xr3:uid="{3091E474-D075-40C5-A170-5E36A22F206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D1E3757-52DE-4C72-9DE6-4A671FBF11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0CA4E4-74B2-4FB8-B5C2-0D29FC54555E}" name="Production system j">
      <calculatedColumnFormula array="1">Common_InputFunctions.Utility_DisplayArrayInTable(Common_SourceData.Common_SourceData_EFN2O_Data(), Table_SourceData_Common_EFN2O[[#Headers],[Production system j]], 0)</calculatedColumnFormula>
    </tableColumn>
    <tableColumn id="2" xr3:uid="{1A62860A-8752-4152-8472-494CFDC9C6B9}" name="EFN2O">
      <calculatedColumnFormula array="1">Common_InputFunctions.Utility_DisplayArrayInTable(Common_SourceData.Common_SourceData_EFN2O_Data(), Table_SourceData_Common_EFN2O[[#Headers],[Production system j]], 0)</calculatedColumnFormula>
    </tableColumn>
    <tableColumn id="3" xr3:uid="{1EA9C65C-1A0D-48E8-9C14-4250E6C19F91}" name="Production system only">
      <calculatedColumnFormula array="1">Common_InputFunctions.Utility_DisplayArrayInTable(Common_SourceData.Common_SourceData_EFN2O_Data(), Table_SourceData_Common_EFN2O[[#Headers],[Production system j]], 0)</calculatedColumnFormula>
    </tableColumn>
    <tableColumn id="4" xr3:uid="{4EBE0069-0B4C-49FB-B784-53D54D270B85}" name="Irrigation method">
      <calculatedColumnFormula array="1">Common_InputFunctions.Utility_DisplayArrayInTable(Common_SourceData.Common_SourceData_EFN2O_Data(), Table_SourceData_Common_EFN2O[[#Headers],[Production system j]], 0)</calculatedColumnFormula>
    </tableColumn>
    <tableColumn id="5" xr3:uid="{4ECECD93-8A2C-4F22-BAFE-6E8F3D8591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2C8F87A-78AC-4FE6-82D3-DEC700AFAC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65084BB-0748-45B7-9479-6FBAABCC24EE}" name="Irrigation type i">
      <calculatedColumnFormula array="1">Common_InputFunctions.Utility_DisplayArrayInTable(Common_SourceData.Common_SourceData_FracWETIrrigation_Data(), Table_SourceData_FracWETIrrigation[[#Headers],[Irrigation type i]], 0)</calculatedColumnFormula>
    </tableColumn>
    <tableColumn id="2" xr3:uid="{4C567D5B-A084-4D80-A062-0CD201A191C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5D96C7-FDF3-4C63-B65B-770CBFA98A8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51BB27-7091-4140-98F2-BB960EFCC0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5D23273-C26A-4FC1-8D47-489264139E7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8F5368D-6C3F-4B58-BB51-EFF613A3381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2ECEA9-F27A-4A25-AE53-5C118E524610}" name="Month">
      <calculatedColumnFormula array="1">Common_InputFunctions.Utility_DisplayArrayInTable(Common_SourceData.Common_SourceData_MonthsToSeasons_Data(), Table_SourceData_Common_MonthToSeason[[#Headers],[Month]], 0)</calculatedColumnFormula>
    </tableColumn>
    <tableColumn id="2" xr3:uid="{015A751B-3D0B-4702-9B38-2CC23D2812F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2E05D65-4A0D-48C6-8B90-EFB94F6CB7A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5A25F8A-2C9D-4FFB-ACC2-A96D20D5BF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2484594-960C-44E7-921F-9E7AA24C68E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EA291FA-45F1-44F8-B43B-9CD46C14436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60243AF-DDBF-4C51-9790-DB8FEBA030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1CBBCF-41DC-4833-BD02-5360D72C2C2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FD3A716-E4AD-4D72-937C-6A34972ACAF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CA9D931-676F-497F-9893-E6009D58C09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C22C28-F7B5-436C-B317-A03FCC1AC41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95CD790-AB9E-4B92-89B7-98A1517E65D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98F88-8A19-46FE-85FD-9D50230EB40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1410ED1-8C4C-4DB3-B50B-917B399CBC7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F609028-4CE3-45F9-8060-2713C170773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39B0518-1B7A-406E-89DA-EB0734E226E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1AA5C9B-CA6A-4848-B459-C913FABA3D4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0E074B0-33FA-4E1C-8761-617D850535A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E92D546-2A02-4FF9-9A0E-AC53F0892C5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7807C48-0DD2-4F55-926D-8FF58BEF670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9084FF-FE60-4B47-A440-79DEA373020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BB9A99-26A2-42B6-AE47-377EDC50059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VEERG_4_1_1_1__1_TotalAnnualMethaneEmissions_Result_Method1</f>
        <v>2.6279077661491193</v>
      </c>
      <c r="F7" s="119">
        <f>VEERG_4_1_1_1__1_TotalAnnualMethaneEmissions_Result_Method2</f>
        <v>2.6279077661491193</v>
      </c>
      <c r="G7" s="57" t="str">
        <f>'4.1.1.1-2 Methane'!F171</f>
        <v>t CH4</v>
      </c>
      <c r="H7" s="119">
        <f>'4.1.1.1-2 Methane'!E176</f>
        <v>73.581417452175344</v>
      </c>
      <c r="I7" s="119">
        <f>'4.1.1.1-2 Methane'!N176</f>
        <v>73.581417452175344</v>
      </c>
      <c r="J7" s="57" t="s">
        <v>313</v>
      </c>
      <c r="K7" s="24"/>
      <c r="L7" s="24"/>
    </row>
    <row r="8" spans="1:12" ht="20.100000000000001" customHeight="1" x14ac:dyDescent="0.25">
      <c r="A8" s="17" t="str">
        <f>HYPERLINK("#'Input - Site'!A1", "Site")</f>
        <v>Site</v>
      </c>
      <c r="C8" s="24"/>
      <c r="D8" s="1" t="s">
        <v>308</v>
      </c>
      <c r="E8" s="119">
        <f>VEERG_4_1_1_3__1_TotalAnnualDirectNitrousOxideEmissions_Result_Method1</f>
        <v>0.80616789491492569</v>
      </c>
      <c r="F8" s="119">
        <f>VEERG_4_1_1_3__1_TotalAnnualDirectNitrousOxideEmissions_Result_Method2</f>
        <v>0.80616789491492569</v>
      </c>
      <c r="G8" s="57" t="str">
        <f>'4.1.1.3-4 Direct N20'!F212</f>
        <v>t N2O</v>
      </c>
      <c r="H8" s="119">
        <f>'4.1.1.3-4 Direct N20'!E217</f>
        <v>213.63449215245529</v>
      </c>
      <c r="I8" s="119">
        <f>'4.1.1.3-4 Direct N20'!P217</f>
        <v>213.63449215245529</v>
      </c>
      <c r="J8" s="57" t="s">
        <v>313</v>
      </c>
      <c r="K8" s="24"/>
      <c r="L8" s="24"/>
    </row>
    <row r="9" spans="1:12" ht="20.100000000000001" customHeight="1" x14ac:dyDescent="0.25">
      <c r="A9" s="17" t="str">
        <f>HYPERLINK("#'Input - Feedlot'!A1", "Feedlot")</f>
        <v>Feedlot</v>
      </c>
      <c r="C9" s="24"/>
      <c r="D9" s="1" t="s">
        <v>309</v>
      </c>
      <c r="E9" s="119">
        <f>VEERG_4_1_1_5__1_TotalAnnualAtmosphericDepositionEmissions_Result_Method1</f>
        <v>0.1458482506281413</v>
      </c>
      <c r="F9" s="119">
        <f>VEERG_4_1_1_5__1_TotalAnnualAtmosphericDepositionEmissions_Result_Method2</f>
        <v>0.1458482506281413</v>
      </c>
      <c r="G9" s="57" t="str">
        <f>'4.1.1.5-6 Atmos Deposition'!$F$65</f>
        <v>t N2O</v>
      </c>
      <c r="H9" s="119">
        <f>'4.1.1.5-6 Atmos Deposition'!$E$70</f>
        <v>38.649786416457445</v>
      </c>
      <c r="I9" s="119">
        <f>'4.1.1.5-6 Atmos Deposition'!$N$70</f>
        <v>38.649786416457445</v>
      </c>
      <c r="J9" s="57" t="s">
        <v>313</v>
      </c>
      <c r="K9" s="24"/>
      <c r="L9" s="24"/>
    </row>
    <row r="10" spans="1:12" ht="20.100000000000001" customHeight="1" x14ac:dyDescent="0.3">
      <c r="A10" s="17"/>
      <c r="C10" s="24"/>
      <c r="D10" s="31" t="s">
        <v>281</v>
      </c>
      <c r="E10" s="25"/>
      <c r="F10" s="31"/>
      <c r="G10" s="31"/>
      <c r="H10" s="123">
        <f>SUM(H7:H9)</f>
        <v>325.86569602108807</v>
      </c>
      <c r="I10" s="123">
        <f>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VEERG_4_1_1_9__1_MassOfNitrogenAppliedToSoilsScope1_Result_Method1</f>
        <v>24340.194998288636</v>
      </c>
      <c r="F16" s="125">
        <f>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'4.1.1.9 Manure applied to soils'!$E$111</f>
        <v>2221.8698202508799</v>
      </c>
      <c r="F17" s="125">
        <f>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VEERG_4_1_1_9__2_MassOfNitrogenAppliedToSoilsScope3_Result_Method1</f>
        <v>2221.8698202508799</v>
      </c>
      <c r="F18" s="125">
        <f>'4.1.1.9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H8" sqref="H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'Constants - Feedlot'!$E$12</f>
        <v>0.02</v>
      </c>
      <c r="F38" s="101">
        <f>'Constants - Feedlot'!$E$12</f>
        <v>0.02</v>
      </c>
      <c r="G38" s="101">
        <f>'Constants - Feedlot'!$E$12</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157" zoomScaleNormal="100" workbookViewId="0">
      <selection activeCell="N171" sqref="N17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'Constants - Feedlot'!$E$17</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f>INDEX(X_Table_Feedlot_Intake_Method1,2,2)</f>
        <v>10.4</v>
      </c>
      <c r="E20" s="55">
        <f>INDEX(X_Table_Feedlot_Intake_Method1,2,3)</f>
        <v>10.8</v>
      </c>
      <c r="F20" s="55">
        <f>INDEX(X_Table_Feedlot_Intake_Method1,2,4)</f>
        <v>8.1999999999999993</v>
      </c>
      <c r="G20" s="2" t="s">
        <v>103</v>
      </c>
      <c r="M20" s="55">
        <f>INDEX(X_Table_Feedlot_Intake_Method2,2,2)</f>
        <v>10.4</v>
      </c>
      <c r="N20" s="55">
        <f>INDEX(X_Table_Feedlot_Intake_Method2,2,3)</f>
        <v>10.8</v>
      </c>
      <c r="O20" s="55">
        <f>INDEX(X_Table_Feedlot_Intake_Method2,2,4)</f>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f>INDEX(X_Table_Feedlot_Intake_Method1,3,2)</f>
        <v>0.81</v>
      </c>
      <c r="E25" s="55">
        <f>INDEX(X_Table_Feedlot_Intake_Method1,3,3)</f>
        <v>0.81</v>
      </c>
      <c r="F25" s="55">
        <f>INDEX(X_Table_Feedlot_Intake_Method1,3,4)</f>
        <v>0.81</v>
      </c>
      <c r="G25" s="2" t="s">
        <v>324</v>
      </c>
      <c r="M25" s="55">
        <f>INDEX(X_Table_Feedlot_Intake_Method2,3,2)</f>
        <v>0.81</v>
      </c>
      <c r="N25" s="55">
        <f>INDEX(X_Table_Feedlot_Intake_Method2,3,3)</f>
        <v>0.81</v>
      </c>
      <c r="O25" s="55">
        <f>INDEX(X_Table_Feedlot_Intake_Method2,3,4)</f>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'Constants - Feedlot'!$E$22</f>
        <v>0.19</v>
      </c>
      <c r="M43" s="138" t="str">
        <v>BO</v>
      </c>
      <c r="N43" s="141" t="str">
        <v>emissions potential</v>
      </c>
      <c r="O43" s="140"/>
      <c r="P43" s="138" t="str">
        <v>m3 CH4/kg VS</v>
      </c>
      <c r="Q43" s="130" t="str">
        <v>Constant</v>
      </c>
      <c r="R43" s="138">
        <f>'Constants - Feedlot'!$E$22</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'Constants - Common'!$D$175</f>
        <v>0.6784</v>
      </c>
      <c r="M46" s="138" t="str">
        <v>rho</v>
      </c>
      <c r="N46" s="141" t="str">
        <v>density of methane</v>
      </c>
      <c r="O46" s="140"/>
      <c r="P46" s="138" t="str">
        <v>kg/m3</v>
      </c>
      <c r="Q46" s="130" t="str">
        <v>Constant</v>
      </c>
      <c r="R46" s="138">
        <f>'Constants - Common'!$D$175</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f>INDEX(X_Table_Feedlot_MMS_Stage1,2,2)</f>
        <v>1</v>
      </c>
      <c r="F52" s="55">
        <f>INDEX(X_Table_Feedlot_MMS_Stage1,2,3)</f>
        <v>1</v>
      </c>
      <c r="G52" s="55">
        <f>INDEX(X_Table_Feedlot_MMS_Stage1,2,4)</f>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INDEX(X_Table_Feedlot_MMS_Stage1,2,1)</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'Constants - Feedlot'!$E$7</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'Constants - Feedlot'!$E$22</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'Constants - Common'!$D$175</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tr">
        <f>INDEX(X_Table_Feedlot_MMS_Stage1,2,1)</f>
        <v>Drylot (feed pad)</v>
      </c>
      <c r="E80" s="55" t="str">
        <f>INDEX(X_Table_Feedlot_MMS_Stage2,3,1)</f>
        <v>Solid storage</v>
      </c>
      <c r="F80" s="55">
        <f>INDEX(X_Table_Feedlot_MMS_Stage2,3,2)</f>
        <v>0.2</v>
      </c>
      <c r="G80" s="55">
        <f>INDEX(X_Table_Feedlot_MMS_Stage2,3,3)</f>
        <v>0.2</v>
      </c>
      <c r="H80" s="55">
        <f>INDEX(X_Table_Feedlot_MMS_Stage2,3,4)</f>
        <v>0.2</v>
      </c>
      <c r="I80" s="2" t="str">
        <f>G72</f>
        <v>fraction</v>
      </c>
    </row>
    <row r="81" spans="4:17" ht="20.100000000000001" customHeight="1" x14ac:dyDescent="0.25">
      <c r="D81" s="55" t="str">
        <f>INDEX(X_Table_Feedlot_MMS_Stage1,2,1)</f>
        <v>Drylot (feed pad)</v>
      </c>
      <c r="E81" s="55" t="str">
        <f>INDEX(X_Table_Feedlot_MMS_Stage2,4,1)</f>
        <v>Composting (passive windrow)</v>
      </c>
      <c r="F81" s="55">
        <f>INDEX(X_Table_Feedlot_MMS_Stage2,4,2)</f>
        <v>0.2</v>
      </c>
      <c r="G81" s="55">
        <f>INDEX(X_Table_Feedlot_MMS_Stage2,4,3)</f>
        <v>0.2</v>
      </c>
      <c r="H81" s="55">
        <f>INDEX(X_Table_Feedlot_MMS_Stage2,4,4)</f>
        <v>0.2</v>
      </c>
      <c r="I81" s="2"/>
    </row>
    <row r="82" spans="4:17" ht="20.100000000000001" customHeight="1" x14ac:dyDescent="0.25">
      <c r="D82" s="55" t="str">
        <f>INDEX(X_Table_Feedlot_MMS_Stage1,2,1)</f>
        <v>Drylot (feed pad)</v>
      </c>
      <c r="E82" s="55" t="str">
        <f>INDEX(X_Table_Feedlot_MMS_Stage2,5,1)</f>
        <v>Direct application</v>
      </c>
      <c r="F82" s="55">
        <f>INDEX(X_Table_Feedlot_MMS_Stage2,5,2)</f>
        <v>0.6</v>
      </c>
      <c r="G82" s="55">
        <f>INDEX(X_Table_Feedlot_MMS_Stage2,5,3)</f>
        <v>0.6</v>
      </c>
      <c r="H82" s="55">
        <f>INDEX(X_Table_Feedlot_MMS_Stage2,5,4)</f>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tr">
        <f>INDEX(X_Table_Feedlot_MMS_Stage1,2,1)</f>
        <v>Drylot (feed pad)</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INDEX(X_Table_Feedlot_MMS_Stage1,2,1)</f>
        <v>Drylot (feed pad)</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tr">
        <f>INDEX(X_Table_Feedlot_MMS_Stage1,2,1)</f>
        <v>Drylot (feed pad)</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INDEX(X_Table_Feedlot_MMS_Stage2,3,1)</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INDEX(X_Table_Feedlot_MMS_Stage2,4,1)</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INDEX(X_Table_Feedlot_MMS_Stage2,5,1)</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'Constants - Feedlot'!$E$22</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'Constants - Common'!$D$175</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Common_InputFunctions.Utility_LookupValueInTable('Input - Site'!$E$21,Table_AustralianStates[Common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f>INDEX(X_Table_Feedlot_MMS_Stage3,3,1)</f>
        <v>Anaerobic lagoon</v>
      </c>
      <c r="E120" s="55">
        <f>INDEX(X_Table_Feedlot_MMS_Stage3,3,2)</f>
        <v>0.02</v>
      </c>
      <c r="F120" s="55">
        <f>INDEX(X_Table_Feedlot_MMS_Stage3,3,3)</f>
        <v>0.02</v>
      </c>
      <c r="G120" s="55">
        <f>INDEX(X_Table_Feedlot_MMS_Stage3,3,4)</f>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ref="E125">MMS_Feedlot_Methane_Equations.VEERG_4_1_1_1__4_Stage3MethaneProductionAnaerobicLagoon(D$30, $I$111,E120,$I$113,$I$114)</f>
        <v>3.2947797442559996E-3</v>
      </c>
      <c r="F125" s="55" cm="1">
        <f t="array" ref="F125">MMS_Feedlot_Methane_Equations.VEERG_4_1_1_1__4_Stage3MethaneProductionAnaerobicLagoon(E$30, $I$111,F120,$I$113,$I$114)</f>
        <v>3.4215020421119995E-3</v>
      </c>
      <c r="G125" s="55" cm="1">
        <f t="array" ref="G125">MMS_Feedlot_Methane_Equations.VEERG_4_1_1_1__4_Stage3MethaneProductionAnaerobicLagoon(F$30, $I$111,G120,$I$113,$I$114)</f>
        <v>2.5978071060479987E-3</v>
      </c>
      <c r="H125" s="2" t="str">
        <f>$E$108</f>
        <v>kg CH4/head/day</v>
      </c>
      <c r="M125" s="55" t="str">
        <f>INDEX(X_Table_Feedlot_MMS_Stage3,3,1)</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f>INDEX(X_Table_Feedlot_HerdMovement,3,2)</f>
        <v>90</v>
      </c>
      <c r="E145" s="107">
        <f>INDEX(X_Table_Feedlot_HerdMovement,3,3)</f>
        <v>140</v>
      </c>
      <c r="F145" s="107">
        <f>INDEX(X_Table_Feedlot_HerdMovement,3,4)</f>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$E$57</f>
        <v>2.1394673663999997E-3</v>
      </c>
      <c r="G150" s="55">
        <f>$F$57</f>
        <v>2.2217545727999995E-3</v>
      </c>
      <c r="H150" s="55">
        <f>$G$57</f>
        <v>1.6868877311999992E-3</v>
      </c>
      <c r="I150" s="2" t="str">
        <f>$G$139</f>
        <v>kg CH4/head/day</v>
      </c>
      <c r="M150" s="55">
        <v>1</v>
      </c>
      <c r="N150" s="55" t="str">
        <f>INDEX(X_Table_Feedlot_MMS_Stage1,2,1)</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INDEX(X_Table_Feedlot_MMS_Stage2,3,1)</f>
        <v>Solid storage</v>
      </c>
      <c r="F151" s="55">
        <f>$E$96</f>
        <v>4.2789347327999993E-4</v>
      </c>
      <c r="G151" s="55">
        <f>$F$96</f>
        <v>4.4435091455999993E-4</v>
      </c>
      <c r="H151" s="55">
        <f>$G$96</f>
        <v>3.3737754623999993E-4</v>
      </c>
      <c r="I151" s="2"/>
      <c r="M151" s="55">
        <v>2</v>
      </c>
      <c r="N151" s="55" t="str">
        <f>INDEX(X_Table_Feedlot_MMS_Stage2,3,1)</f>
        <v>Solid storage</v>
      </c>
      <c r="O151" s="55">
        <f>$N$96</f>
        <v>4.2789347327999993E-4</v>
      </c>
      <c r="P151" s="55">
        <f>$O$96</f>
        <v>4.4435091455999993E-4</v>
      </c>
      <c r="Q151" s="55">
        <f>$P$96</f>
        <v>3.3737754623999993E-4</v>
      </c>
      <c r="R151" s="2"/>
    </row>
    <row r="152" spans="4:18" ht="20.100000000000001" customHeight="1" x14ac:dyDescent="0.25">
      <c r="D152" s="55">
        <v>2</v>
      </c>
      <c r="E152" s="55" t="str">
        <f>INDEX(X_Table_Feedlot_MMS_Stage2,4,1)</f>
        <v>Composting (passive windrow)</v>
      </c>
      <c r="F152" s="55">
        <f>$E$97</f>
        <v>2.1394673663999996E-4</v>
      </c>
      <c r="G152" s="55">
        <f>$F$97</f>
        <v>2.2217545727999996E-4</v>
      </c>
      <c r="H152" s="55">
        <f>$G$97</f>
        <v>1.6868877311999997E-4</v>
      </c>
      <c r="I152" s="2"/>
      <c r="M152" s="55">
        <v>2</v>
      </c>
      <c r="N152" s="55" t="str">
        <f>INDEX(X_Table_Feedlot_MMS_Stage2,4,1)</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INDEX(X_Table_Feedlot_MMS_Stage2,5,1)</f>
        <v>Direct application</v>
      </c>
      <c r="F153" s="55">
        <f>$E$98</f>
        <v>0</v>
      </c>
      <c r="G153" s="55">
        <f>$E$98</f>
        <v>0</v>
      </c>
      <c r="H153" s="55">
        <f>$E$98</f>
        <v>0</v>
      </c>
      <c r="I153" s="2"/>
      <c r="M153" s="55">
        <v>2</v>
      </c>
      <c r="N153" s="55" t="str">
        <f>INDEX(X_Table_Feedlot_MMS_Stage2,5,1)</f>
        <v>Direct application</v>
      </c>
      <c r="O153" s="55">
        <f>$E$98</f>
        <v>0</v>
      </c>
      <c r="P153" s="55">
        <f>$E$98</f>
        <v>0</v>
      </c>
      <c r="Q153" s="55">
        <f>$E$98</f>
        <v>0</v>
      </c>
      <c r="R153" s="2"/>
    </row>
    <row r="154" spans="4:18" ht="20.100000000000001" customHeight="1" x14ac:dyDescent="0.25">
      <c r="D154" s="55">
        <v>3</v>
      </c>
      <c r="E154" s="55" t="str">
        <f>INDEX(X_Table_Feedlot_MMS_Stage3,3,1)</f>
        <v>Anaerobic lagoon</v>
      </c>
      <c r="F154" s="55">
        <f>$E$125</f>
        <v>3.2947797442559996E-3</v>
      </c>
      <c r="G154" s="55">
        <f>$F$125</f>
        <v>3.4215020421119995E-3</v>
      </c>
      <c r="H154" s="55">
        <f>$G$125</f>
        <v>2.5978071060479987E-3</v>
      </c>
      <c r="I154" s="2"/>
      <c r="M154" s="55">
        <v>3</v>
      </c>
      <c r="N154" s="55" t="str">
        <f>INDEX(X_Table_Feedlot_MMS_Stage3,3,1)</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f>INDEX(X_Table_Feedlot_HerdMovement,2,2)</f>
        <v>1000</v>
      </c>
      <c r="E159" s="107">
        <f>INDEX(X_Table_Feedlot_HerdMovement,2,3)</f>
        <v>1000</v>
      </c>
      <c r="F159" s="107">
        <f>INDEX(X_Table_Feedlot_HerdMovement,2,4)</f>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ref="F164">MMS_Feedlot_Methane_Equations.VEERG_4_1_1_1__1_TotalAnnualMethaneEmissions(D$145, F150, D$159)</f>
        <v>0.19255206297599997</v>
      </c>
      <c r="G164" s="55" cm="1">
        <f t="array" ref="G164">MMS_Feedlot_Methane_Equations.VEERG_4_1_1_1__1_TotalAnnualMethaneEmissions(E$145, G150, E$159)</f>
        <v>0.31104564019199998</v>
      </c>
      <c r="H164" s="55" cm="1">
        <f t="array" ref="H164">MMS_Feedlot_Methane_Equations.VEERG_4_1_1_1__1_TotalAnnualMethaneEmissions(F$145, H150, F$159)</f>
        <v>0.42172193279999981</v>
      </c>
      <c r="I164" s="2" t="str">
        <f>$E$136</f>
        <v>t CH4</v>
      </c>
      <c r="M164" s="55">
        <v>1</v>
      </c>
      <c r="N164" s="55" t="str">
        <f>INDEX(X_Table_Feedlot_MMS_Stage1,2,1)</f>
        <v>Drylot (feed pad)</v>
      </c>
      <c r="O164" s="55" cm="1">
        <f t="array" ref="O164">MMS_Feedlot_Methane_Equations.VEERG_4_1_1_1__1_TotalAnnualMethaneEmissions(D$145, O150, D$159)</f>
        <v>0.19255206297599997</v>
      </c>
      <c r="P164" s="55" cm="1">
        <f t="array" ref="P164">MMS_Feedlot_Methane_Equations.VEERG_4_1_1_1__1_TotalAnnualMethaneEmissions(E$145, P150, E$159)</f>
        <v>0.31104564019199998</v>
      </c>
      <c r="Q164" s="55" cm="1">
        <f t="array" ref="Q164">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ref="F165">MMS_Feedlot_Methane_Equations.VEERG_4_1_1_1__1_TotalAnnualMethaneEmissions(D$145, F151, D$159)</f>
        <v>3.8510412595199994E-2</v>
      </c>
      <c r="G165" s="55" cm="1">
        <f t="array" ref="G165">MMS_Feedlot_Methane_Equations.VEERG_4_1_1_1__1_TotalAnnualMethaneEmissions(E$145, G151, E$159)</f>
        <v>6.2209128038399987E-2</v>
      </c>
      <c r="H165" s="55" cm="1">
        <f t="array" ref="H165">MMS_Feedlot_Methane_Equations.VEERG_4_1_1_1__1_TotalAnnualMethaneEmissions(F$145, H151, F$159)</f>
        <v>8.4344386559999998E-2</v>
      </c>
      <c r="I165" s="2"/>
      <c r="M165" s="55">
        <v>2</v>
      </c>
      <c r="N165" s="55" t="str">
        <f>INDEX(X_Table_Feedlot_MMS_Stage2,3,1)</f>
        <v>Solid storage</v>
      </c>
      <c r="O165" s="55" cm="1">
        <f t="array" ref="O165">MMS_Feedlot_Methane_Equations.VEERG_4_1_1_1__1_TotalAnnualMethaneEmissions(D$145, O151, D$159)</f>
        <v>3.8510412595199994E-2</v>
      </c>
      <c r="P165" s="55" cm="1">
        <f t="array" ref="P165">MMS_Feedlot_Methane_Equations.VEERG_4_1_1_1__1_TotalAnnualMethaneEmissions(E$145, P151, E$159)</f>
        <v>6.2209128038399987E-2</v>
      </c>
      <c r="Q165" s="55" cm="1">
        <f t="array" ref="Q165">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ref="F166">MMS_Feedlot_Methane_Equations.VEERG_4_1_1_1__1_TotalAnnualMethaneEmissions(D$145, F152, D$159)</f>
        <v>1.9255206297599997E-2</v>
      </c>
      <c r="G166" s="55" cm="1">
        <f t="array" ref="G166">MMS_Feedlot_Methane_Equations.VEERG_4_1_1_1__1_TotalAnnualMethaneEmissions(E$145, G152, E$159)</f>
        <v>3.1104564019199994E-2</v>
      </c>
      <c r="H166" s="55" cm="1">
        <f t="array" ref="H166">MMS_Feedlot_Methane_Equations.VEERG_4_1_1_1__1_TotalAnnualMethaneEmissions(F$145, H152, F$159)</f>
        <v>4.2172193279999999E-2</v>
      </c>
      <c r="I166" s="2"/>
      <c r="M166" s="55">
        <v>2</v>
      </c>
      <c r="N166" s="55" t="str">
        <f>INDEX(X_Table_Feedlot_MMS_Stage2,4,1)</f>
        <v>Composting (passive windrow)</v>
      </c>
      <c r="O166" s="55" cm="1">
        <f t="array" ref="O166">MMS_Feedlot_Methane_Equations.VEERG_4_1_1_1__1_TotalAnnualMethaneEmissions(D$145, O152, D$159)</f>
        <v>1.9255206297599997E-2</v>
      </c>
      <c r="P166" s="55" cm="1">
        <f t="array" ref="P166">MMS_Feedlot_Methane_Equations.VEERG_4_1_1_1__1_TotalAnnualMethaneEmissions(E$145, P152, E$159)</f>
        <v>3.1104564019199994E-2</v>
      </c>
      <c r="Q166" s="55" cm="1">
        <f t="array" ref="Q166">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INDEX(X_Table_Feedlot_MMS_Stage2,5,1)</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ref="F168">MMS_Feedlot_Methane_Equations.VEERG_4_1_1_1__1_TotalAnnualMethaneEmissions(D$145, F154, D$159)</f>
        <v>0.29653017698303996</v>
      </c>
      <c r="G168" s="55" cm="1">
        <f t="array" ref="G168">MMS_Feedlot_Methane_Equations.VEERG_4_1_1_1__1_TotalAnnualMethaneEmissions(E$145, G154, E$159)</f>
        <v>0.47901028589567995</v>
      </c>
      <c r="H168" s="55" cm="1">
        <f t="array" ref="H168">MMS_Feedlot_Methane_Equations.VEERG_4_1_1_1__1_TotalAnnualMethaneEmissions(F$145, H154, F$159)</f>
        <v>0.6494517765119997</v>
      </c>
      <c r="I168" s="2"/>
      <c r="M168" s="55">
        <v>3</v>
      </c>
      <c r="N168" s="55" t="str">
        <f>INDEX(X_Table_Feedlot_MMS_Stage3,3,1)</f>
        <v>Anaerobic lagoon</v>
      </c>
      <c r="O168" s="55" cm="1">
        <f t="array" ref="O168">MMS_Feedlot_Methane_Equations.VEERG_4_1_1_1__1_TotalAnnualMethaneEmissions(D$145, O154, D$159)</f>
        <v>0.29653017698303996</v>
      </c>
      <c r="P168" s="55" cm="1">
        <f t="array" ref="P168">MMS_Feedlot_Methane_Equations.VEERG_4_1_1_1__1_TotalAnnualMethaneEmissions(E$145, P154, E$159)</f>
        <v>0.47901028589567995</v>
      </c>
      <c r="Q168" s="55" cm="1">
        <f t="array" ref="Q168">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SUM(F164:H168)</f>
        <v>2.6279077661491193</v>
      </c>
      <c r="F171" s="110" t="str">
        <f>$E$136</f>
        <v>t CH4</v>
      </c>
      <c r="M171" s="108" t="s">
        <v>223</v>
      </c>
      <c r="N171" s="109">
        <f>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2.6279077661491193</v>
      </c>
      <c r="H173" s="2" t="str">
        <f>$E$136</f>
        <v>t CH4</v>
      </c>
      <c r="M173" s="60" t="str" cm="1">
        <f t="array" ref="M173:N174">Common_Equations.Common_ConvertCH4ToCO2e_Arguments()</f>
        <v>ECH4</v>
      </c>
      <c r="N173" s="61" t="str">
        <v>Methane emissions (t CH4)</v>
      </c>
      <c r="O173" s="111"/>
      <c r="P173" s="55">
        <f>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ref="E176">Common_Equations.Common_ConvertCH4ToCO2e(G173,G174)</f>
        <v>73.581417452175344</v>
      </c>
      <c r="F176" s="112" t="str" cm="1">
        <f t="array" ref="F176">Common_Equations.Common_ConvertN2OToCO2e_Unit()</f>
        <v>t CO2e</v>
      </c>
      <c r="M176" s="48" t="s">
        <v>225</v>
      </c>
      <c r="N176" s="48" cm="1">
        <f t="array" ref="N176">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91" zoomScaleNormal="100" workbookViewId="0">
      <selection activeCell="E212" sqref="E2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f>INDEX(X_Table_Feedlot_Intake_Method1,2,2)</f>
        <v>10.4</v>
      </c>
      <c r="E20" s="55">
        <f>INDEX(X_Table_Feedlot_Intake_Method1,2,3)</f>
        <v>10.8</v>
      </c>
      <c r="F20" s="55">
        <f>INDEX(X_Table_Feedlot_Intake_Method1,2,4)</f>
        <v>8.1999999999999993</v>
      </c>
      <c r="G20" s="2" t="s">
        <v>103</v>
      </c>
      <c r="H20" s="2"/>
      <c r="I20" s="2"/>
      <c r="J20" s="2"/>
      <c r="K20" s="2"/>
      <c r="O20" s="55">
        <f>INDEX(X_Table_Feedlot_Intake_Method2,2,2)</f>
        <v>10.4</v>
      </c>
      <c r="P20" s="55">
        <f>INDEX(X_Table_Feedlot_Intake_Method2,2,3)</f>
        <v>10.8</v>
      </c>
      <c r="Q20" s="55">
        <f>INDEX(X_Table_Feedlot_Intake_Method2,2,4)</f>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f>INDEX(X_Table_Feedlot_Intake_Method1,4,2)</f>
        <v>0.14000000000000001</v>
      </c>
      <c r="E25" s="55">
        <f>INDEX(X_Table_Feedlot_Intake_Method1,4,3)</f>
        <v>0.12</v>
      </c>
      <c r="F25" s="55">
        <f>INDEX(X_Table_Feedlot_Intake_Method1,4,4)</f>
        <v>0.12</v>
      </c>
      <c r="G25" s="2" t="s">
        <v>324</v>
      </c>
      <c r="H25" s="2"/>
      <c r="I25" s="2"/>
      <c r="J25" s="2"/>
      <c r="K25" s="2"/>
      <c r="O25" s="55">
        <f>INDEX(X_Table_Feedlot_Intake_Method2,4,2)</f>
        <v>0.14000000000000001</v>
      </c>
      <c r="P25" s="55">
        <f>INDEX(X_Table_Feedlot_Intake_Method2,4,3)</f>
        <v>0.12</v>
      </c>
      <c r="Q25" s="55">
        <f>INDEX(X_Table_Feedlot_Intake_Method2,4,4)</f>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f>'Input - Feedlot'!$E$17/100</f>
        <v>0.20399999999999999</v>
      </c>
      <c r="E49" s="55">
        <f>'Input - Feedlot'!$F$17/100</f>
        <v>0.127</v>
      </c>
      <c r="F49" s="55">
        <f>'Input - Feedlot'!$G$17/100</f>
        <v>7.0000000000000007E-2</v>
      </c>
      <c r="G49" s="2" t="s">
        <v>160</v>
      </c>
      <c r="H49" s="2"/>
      <c r="I49" s="2"/>
      <c r="J49" s="2"/>
      <c r="K49" s="2"/>
      <c r="O49" s="55">
        <f>'Input - Feedlot'!$E$23/100</f>
        <v>0.20399999999999999</v>
      </c>
      <c r="P49" s="55">
        <f>'Input - Feedlot'!$F$23/100</f>
        <v>0.127</v>
      </c>
      <c r="Q49" s="55">
        <f>'Input - Feedlot'!$G$23/100</f>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f>INDEX(X_Table_Feedlot_HerdMovement,2,2)</f>
        <v>1000</v>
      </c>
      <c r="E73" s="107">
        <f>INDEX(X_Table_Feedlot_HerdMovement,2,3)</f>
        <v>1000</v>
      </c>
      <c r="F73" s="107">
        <f>INDEX(X_Table_Feedlot_HerdMovement,2,4)</f>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f>INDEX(X_Table_Feedlot_HerdMovement,3,2)</f>
        <v>90</v>
      </c>
      <c r="E78" s="107">
        <f>INDEX(X_Table_Feedlot_HerdMovement,3,3)</f>
        <v>140</v>
      </c>
      <c r="F78" s="107">
        <f>INDEX(X_Table_Feedlot_HerdMovement,3,4)</f>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ref="D83">MMS_Feedlot_N2ODirect_Equations.VEERG_4_1_1_3__3_AnnualNitrogenExcretion(D73,D54,D78)</f>
        <v>16689.254400000005</v>
      </c>
      <c r="E83" s="107" cm="1">
        <f t="array" ref="E83">MMS_Feedlot_N2ODirect_Equations.VEERG_4_1_1_3__3_AnnualNitrogenExcretion(E73,E54,E78)</f>
        <v>25343.539200000003</v>
      </c>
      <c r="F83" s="107" cm="1">
        <f t="array" ref="F83">MMS_Feedlot_N2ODirect_Equations.VEERG_4_1_1_3__3_AnnualNitrogenExcretion(F73,F54,F78)</f>
        <v>36604.799999999988</v>
      </c>
      <c r="G83" s="2" t="str">
        <f>$E$64</f>
        <v>kg N</v>
      </c>
      <c r="H83" s="2"/>
      <c r="I83" s="2"/>
      <c r="J83" s="2"/>
      <c r="K83" s="2"/>
      <c r="O83" s="107" cm="1">
        <f t="array" ref="O83">MMS_Feedlot_N2ODirect_Equations.VEERG_4_1_1_3__3_AnnualNitrogenExcretion(D73,O54,D78)</f>
        <v>16689.254400000005</v>
      </c>
      <c r="P83" s="107" cm="1">
        <f t="array" ref="P83">MMS_Feedlot_N2ODirect_Equations.VEERG_4_1_1_3__3_AnnualNitrogenExcretion(E73,P54,E78)</f>
        <v>25343.539200000003</v>
      </c>
      <c r="Q83" s="107" cm="1">
        <f t="array" ref="Q83">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tr">
        <f>INDEX(X_Table_Feedlot_MMS_Stage1,2,1)</f>
        <v>Drylot (feed pad)</v>
      </c>
      <c r="E101" s="55">
        <f>INDEX(X_Table_Feedlot_MMS_Stage1,2,2)</f>
        <v>1</v>
      </c>
      <c r="F101" s="55">
        <f>INDEX(X_Table_Feedlot_MMS_Stage1,2,3)</f>
        <v>1</v>
      </c>
      <c r="G101" s="55">
        <f>INDEX(X_Table_Feedlot_MMS_Stage1,2,4)</f>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ref="E106">MMS_Feedlot_N2ODirect_Equations.VEERG_4_1_1_3__2_Stage1NitrogenInMMSDrylot(D83,E101)</f>
        <v>16689.254400000005</v>
      </c>
      <c r="F106" s="55" cm="1">
        <f t="array" ref="F106">MMS_Feedlot_N2ODirect_Equations.VEERG_4_1_1_3__2_Stage1NitrogenInMMSDrylot(E83,F101)</f>
        <v>25343.539200000003</v>
      </c>
      <c r="G106" s="55" cm="1">
        <f t="array" ref="G106">MMS_Feedlot_N2ODirect_Equations.VEERG_4_1_1_3__2_Stage1NitrogenInMMSDrylot(F83,G101)</f>
        <v>36604.799999999988</v>
      </c>
      <c r="H106" s="2" t="str">
        <f>$E$93</f>
        <v>kg N</v>
      </c>
      <c r="I106" s="2"/>
      <c r="J106" s="2"/>
      <c r="K106" s="2"/>
      <c r="O106" s="55" t="str">
        <f>INDEX(X_Table_Feedlot_MMS_Stage1,2,1)</f>
        <v>Drylot (feed pad)</v>
      </c>
      <c r="P106" s="55" cm="1">
        <f t="array" ref="P106">MMS_Feedlot_N2ODirect_Equations.VEERG_4_1_1_3__2_Stage1NitrogenInMMSDrylot(O83,E101)</f>
        <v>16689.254400000005</v>
      </c>
      <c r="Q106" s="55" cm="1">
        <f t="array" ref="Q106">MMS_Feedlot_N2ODirect_Equations.VEERG_4_1_1_3__2_Stage1NitrogenInMMSDrylot(P83,F101)</f>
        <v>25343.539200000003</v>
      </c>
      <c r="R106" s="55" cm="1">
        <f t="array" ref="R106">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f>INDEX(X_Table_Feedlot_MMS_Stage3,3,1)</f>
        <v>Anaerobic lagoon</v>
      </c>
      <c r="E124" s="55">
        <f>INDEX(X_Table_Feedlot_MMS_Stage3,3,2)</f>
        <v>0.02</v>
      </c>
      <c r="F124" s="55">
        <f>INDEX(X_Table_Feedlot_MMS_Stage3,3,3)</f>
        <v>0.02</v>
      </c>
      <c r="G124" s="55">
        <f>INDEX(X_Table_Feedlot_MMS_Stage3,3,4)</f>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ref="E129">MMS_Feedlot_N2ODirect_Equations.VEERG_4_1_1_3__8_Stage3NitrogenInMMSAnaerobicLagoon(D83,E124)</f>
        <v>333.78508800000009</v>
      </c>
      <c r="F129" s="55" cm="1">
        <f t="array" ref="F129">MMS_Feedlot_N2ODirect_Equations.VEERG_4_1_1_3__8_Stage3NitrogenInMMSAnaerobicLagoon(E83,F124)</f>
        <v>506.87078400000007</v>
      </c>
      <c r="G129" s="55" cm="1">
        <f t="array" ref="G129">MMS_Feedlot_N2ODirect_Equations.VEERG_4_1_1_3__8_Stage3NitrogenInMMSAnaerobicLagoon(F83,G124)</f>
        <v>732.09599999999978</v>
      </c>
      <c r="H129" s="2" t="str">
        <f>$E$116</f>
        <v>kg N</v>
      </c>
      <c r="I129" s="2"/>
      <c r="J129" s="2"/>
      <c r="K129" s="2"/>
      <c r="O129" s="55" t="str">
        <f>INDEX(X_Table_Feedlot_MMS_Stage3,3,1)</f>
        <v>Anaerobic lagoon</v>
      </c>
      <c r="P129" s="55" cm="1">
        <f t="array" ref="P129">MMS_Feedlot_N2ODirect_Equations.VEERG_4_1_1_3__8_Stage3NitrogenInMMSAnaerobicLagoon(O83,E124)</f>
        <v>333.78508800000009</v>
      </c>
      <c r="Q129" s="55" cm="1">
        <f t="array" ref="Q129">MMS_Feedlot_N2ODirect_Equations.VEERG_4_1_1_3__8_Stage3NitrogenInMMSAnaerobicLagoon(P83,F124)</f>
        <v>506.87078400000007</v>
      </c>
      <c r="R129" s="55" cm="1">
        <f t="array" ref="R129">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ref="D149">MMS_Feedlot_N2ODirect_Equations.VEERG_4_1_1_3__7_NitrogenTransferredToStage2(E106,$I$142,$I$143,E129)</f>
        <v>6251.7946982400026</v>
      </c>
      <c r="E149" s="55" cm="1">
        <f t="array" ref="E149">MMS_Feedlot_N2ODirect_Equations.VEERG_4_1_1_3__7_NitrogenTransferredToStage2(F106,$I$142,$I$143,F129)</f>
        <v>9493.6897843200004</v>
      </c>
      <c r="F149" s="55" cm="1">
        <f t="array" ref="F149">MMS_Feedlot_N2ODirect_Equations.VEERG_4_1_1_3__7_NitrogenTransferredToStage2(G106,$I$142,$I$143,G129)</f>
        <v>13712.158079999996</v>
      </c>
      <c r="G149" s="2" t="str">
        <f>$E$116</f>
        <v>kg N</v>
      </c>
      <c r="O149" s="55" cm="1">
        <f t="array" ref="O149">MMS_Feedlot_N2ODirect_Equations.VEERG_4_1_1_3__7_NitrogenTransferredToStage2(P106,$I$142,$I$143,P129)</f>
        <v>6251.7946982400026</v>
      </c>
      <c r="P149" s="55" cm="1">
        <f t="array" ref="P149">MMS_Feedlot_N2ODirect_Equations.VEERG_4_1_1_3__7_NitrogenTransferredToStage2(Q106,$I$142,$I$143,Q129)</f>
        <v>9493.6897843200004</v>
      </c>
      <c r="Q149" s="55" cm="1">
        <f t="array" ref="Q149">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f>INDEX(X_Table_Feedlot_MMS_Stage2,3,1)</f>
        <v>Solid storage</v>
      </c>
      <c r="E167" s="55">
        <f>INDEX(X_Table_Feedlot_MMS_Stage2,3,2)</f>
        <v>0.2</v>
      </c>
      <c r="F167" s="55">
        <f>INDEX(X_Table_Feedlot_MMS_Stage2,3,3)</f>
        <v>0.2</v>
      </c>
      <c r="G167" s="55">
        <f>INDEX(X_Table_Feedlot_MMS_Stage2,3,4)</f>
        <v>0.2</v>
      </c>
      <c r="H167" s="2" t="s">
        <v>324</v>
      </c>
      <c r="I167" s="2"/>
      <c r="J167" s="2"/>
      <c r="K167" s="2"/>
    </row>
    <row r="168" spans="4:19" ht="20.100000000000001" customHeight="1" x14ac:dyDescent="0.25">
      <c r="D168" s="55" t="str">
        <f>INDEX(X_Table_Feedlot_MMS_Stage2,4,1)</f>
        <v>Composting (passive windrow)</v>
      </c>
      <c r="E168" s="55">
        <f>INDEX(X_Table_Feedlot_MMS_Stage2,4,2)</f>
        <v>0.2</v>
      </c>
      <c r="F168" s="55">
        <f>INDEX(X_Table_Feedlot_MMS_Stage2,4,3)</f>
        <v>0.2</v>
      </c>
      <c r="G168" s="55">
        <f>INDEX(X_Table_Feedlot_MMS_Stage2,4,4)</f>
        <v>0.2</v>
      </c>
      <c r="H168" s="2" t="s">
        <v>324</v>
      </c>
      <c r="I168" s="2"/>
      <c r="J168" s="2"/>
      <c r="K168" s="2"/>
    </row>
    <row r="169" spans="4:19" ht="20.100000000000001" customHeight="1" x14ac:dyDescent="0.25">
      <c r="D169" s="55" t="str">
        <f>INDEX(X_Table_Feedlot_MMS_Stage2,5,1)</f>
        <v>Direct application</v>
      </c>
      <c r="E169" s="55">
        <f>INDEX(X_Table_Feedlot_MMS_Stage2,5,2)</f>
        <v>0.6</v>
      </c>
      <c r="F169" s="55">
        <f>INDEX(X_Table_Feedlot_MMS_Stage2,5,3)</f>
        <v>0.6</v>
      </c>
      <c r="G169" s="55">
        <f>INDEX(X_Table_Feedlot_MMS_Stage2,5,4)</f>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ref="E174">MMS_Feedlot_N2ODirect_Equations.VEERG_4_1_1_3__6_Stage2NitrogenInMMS(D$149,E167)</f>
        <v>1250.3589396480006</v>
      </c>
      <c r="F174" s="55" cm="1">
        <f t="array" ref="F174">MMS_Feedlot_N2ODirect_Equations.VEERG_4_1_1_3__6_Stage2NitrogenInMMS(E$149,F167)</f>
        <v>1898.7379568640001</v>
      </c>
      <c r="G174" s="55" cm="1">
        <f t="array" ref="G174">MMS_Feedlot_N2ODirect_Equations.VEERG_4_1_1_3__6_Stage2NitrogenInMMS(F$149,G167)</f>
        <v>2742.4316159999994</v>
      </c>
      <c r="H174" s="2" t="str">
        <f>$E$159</f>
        <v>kg N</v>
      </c>
      <c r="I174" s="2"/>
      <c r="J174" s="2"/>
      <c r="K174" s="2"/>
      <c r="O174" s="55" t="str">
        <f>INDEX(X_Table_Feedlot_MMS_Stage2,3,1)</f>
        <v>Solid storage</v>
      </c>
      <c r="P174" s="55" cm="1">
        <f t="array" ref="P174">MMS_Feedlot_N2ODirect_Equations.VEERG_4_1_1_3__6_Stage2NitrogenInMMS(O$149,E167)</f>
        <v>1250.3589396480006</v>
      </c>
      <c r="Q174" s="55" cm="1">
        <f t="array" ref="Q174">MMS_Feedlot_N2ODirect_Equations.VEERG_4_1_1_3__6_Stage2NitrogenInMMS(P$149,F167)</f>
        <v>1898.7379568640001</v>
      </c>
      <c r="R174" s="55" cm="1">
        <f t="array" ref="R174">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ref="E175">MMS_Feedlot_N2ODirect_Equations.VEERG_4_1_1_3__6_Stage2NitrogenInMMS(D$149,E168)</f>
        <v>1250.3589396480006</v>
      </c>
      <c r="F175" s="55" cm="1">
        <f t="array" ref="F175">MMS_Feedlot_N2ODirect_Equations.VEERG_4_1_1_3__6_Stage2NitrogenInMMS(E$149,F168)</f>
        <v>1898.7379568640001</v>
      </c>
      <c r="G175" s="55" cm="1">
        <f t="array" ref="G175">MMS_Feedlot_N2ODirect_Equations.VEERG_4_1_1_3__6_Stage2NitrogenInMMS(F$149,G168)</f>
        <v>2742.4316159999994</v>
      </c>
      <c r="H175" s="2" t="str">
        <f>$E$159</f>
        <v>kg N</v>
      </c>
      <c r="I175" s="2"/>
      <c r="J175" s="2"/>
      <c r="K175" s="2"/>
      <c r="O175" s="55" t="str">
        <f>INDEX(X_Table_Feedlot_MMS_Stage2,4,1)</f>
        <v>Composting (passive windrow)</v>
      </c>
      <c r="P175" s="55" cm="1">
        <f t="array" ref="P175">MMS_Feedlot_N2ODirect_Equations.VEERG_4_1_1_3__6_Stage2NitrogenInMMS(O$149,E168)</f>
        <v>1250.3589396480006</v>
      </c>
      <c r="Q175" s="55" cm="1">
        <f t="array" ref="Q175">MMS_Feedlot_N2ODirect_Equations.VEERG_4_1_1_3__6_Stage2NitrogenInMMS(P$149,F168)</f>
        <v>1898.7379568640001</v>
      </c>
      <c r="R175" s="55" cm="1">
        <f t="array" ref="R175">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ref="E176">MMS_Feedlot_N2ODirect_Equations.VEERG_4_1_1_3__6_Stage2NitrogenInMMS(D$149,E169)</f>
        <v>3751.0768189440014</v>
      </c>
      <c r="F176" s="55" cm="1">
        <f t="array" ref="F176">MMS_Feedlot_N2ODirect_Equations.VEERG_4_1_1_3__6_Stage2NitrogenInMMS(E$149,F169)</f>
        <v>5696.2138705919997</v>
      </c>
      <c r="G176" s="55" cm="1">
        <f t="array" ref="G176">MMS_Feedlot_N2ODirect_Equations.VEERG_4_1_1_3__6_Stage2NitrogenInMMS(F$149,G169)</f>
        <v>8227.2948479999977</v>
      </c>
      <c r="H176" s="2" t="str">
        <f>$E$159</f>
        <v>kg N</v>
      </c>
      <c r="I176" s="2"/>
      <c r="J176" s="2"/>
      <c r="K176" s="2"/>
      <c r="O176" s="55" t="str">
        <f>INDEX(X_Table_Feedlot_MMS_Stage2,5,1)</f>
        <v>Direct application</v>
      </c>
      <c r="P176" s="55" cm="1">
        <f t="array" ref="P176">MMS_Feedlot_N2ODirect_Equations.VEERG_4_1_1_3__6_Stage2NitrogenInMMS(O$149,E169)</f>
        <v>3751.0768189440014</v>
      </c>
      <c r="Q176" s="55" cm="1">
        <f t="array" ref="Q176">MMS_Feedlot_N2ODirect_Equations.VEERG_4_1_1_3__6_Stage2NitrogenInMMS(P$149,F169)</f>
        <v>5696.2138705919997</v>
      </c>
      <c r="R176" s="55" cm="1">
        <f t="array" ref="R176">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ref="E206">MMS_Feedlot_N2ODirect_Equations.VEERG_4_1_1_3__1_TotalAnnualDirectNitrousOxideEmissions(E$106,$E195,$I$190)</f>
        <v>0.14162024448000005</v>
      </c>
      <c r="F206" s="55" cm="1">
        <f t="array" ref="F206">MMS_Feedlot_N2ODirect_Equations.VEERG_4_1_1_3__1_TotalAnnualDirectNitrousOxideEmissions(F$106,$E195,$I$190)</f>
        <v>0.21505803264000004</v>
      </c>
      <c r="G206" s="55" cm="1">
        <f t="array" ref="G206">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ref="P206">MMS_Feedlot_N2ODirect_Equations.VEERG_4_1_1_3__1_TotalAnnualDirectNitrousOxideEmissions(P$106,$E195,$I$190)</f>
        <v>0.14162024448000005</v>
      </c>
      <c r="Q206" s="55" cm="1">
        <f t="array" ref="Q206">MMS_Feedlot_N2ODirect_Equations.VEERG_4_1_1_3__1_TotalAnnualDirectNitrousOxideEmissions(Q$106,$E195,$I$190)</f>
        <v>0.21505803264000004</v>
      </c>
      <c r="R206" s="55" cm="1">
        <f t="array" ref="R206">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ref="E207">MMS_Feedlot_N2ODirect_Equations.VEERG_4_1_1_3__1_TotalAnnualDirectNitrousOxideEmissions(E$174,$E196,$I$190)</f>
        <v>9.8242488115200047E-3</v>
      </c>
      <c r="F207" s="55" cm="1">
        <f t="array" ref="F207">MMS_Feedlot_N2ODirect_Equations.VEERG_4_1_1_3__1_TotalAnnualDirectNitrousOxideEmissions(F$174,$E196,$I$190)</f>
        <v>1.4918655375360001E-2</v>
      </c>
      <c r="G207" s="55" cm="1">
        <f t="array" ref="G207">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ref="P207">MMS_Feedlot_N2ODirect_Equations.VEERG_4_1_1_3__1_TotalAnnualDirectNitrousOxideEmissions(P$174,$E196,$I$190)</f>
        <v>9.8242488115200047E-3</v>
      </c>
      <c r="Q207" s="55" cm="1">
        <f t="array" ref="Q207">MMS_Feedlot_N2ODirect_Equations.VEERG_4_1_1_3__1_TotalAnnualDirectNitrousOxideEmissions(Q$174,$E196,$I$190)</f>
        <v>1.4918655375360001E-2</v>
      </c>
      <c r="R207" s="55" cm="1">
        <f t="array" ref="R207">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ref="E208">MMS_Feedlot_N2ODirect_Equations.VEERG_4_1_1_3__1_TotalAnnualDirectNitrousOxideEmissions(E$175,$E197,$I$190)</f>
        <v>1.9648497623040009E-2</v>
      </c>
      <c r="F208" s="55" cm="1">
        <f t="array" ref="F208">MMS_Feedlot_N2ODirect_Equations.VEERG_4_1_1_3__1_TotalAnnualDirectNitrousOxideEmissions(F$175,$E197,$I$190)</f>
        <v>2.9837310750720002E-2</v>
      </c>
      <c r="G208" s="55" cm="1">
        <f t="array" ref="G208">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ref="P208">MMS_Feedlot_N2ODirect_Equations.VEERG_4_1_1_3__1_TotalAnnualDirectNitrousOxideEmissions(P$175,$E197,$I$190)</f>
        <v>1.9648497623040009E-2</v>
      </c>
      <c r="Q208" s="55" cm="1">
        <f t="array" ref="Q208">MMS_Feedlot_N2ODirect_Equations.VEERG_4_1_1_3__1_TotalAnnualDirectNitrousOxideEmissions(Q$175,$E197,$I$190)</f>
        <v>2.9837310750720002E-2</v>
      </c>
      <c r="R208" s="55" cm="1">
        <f t="array" ref="R208">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INDEX(X_Table_Feedlot_MMS_Stage3,3,1)</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SUM(E206:G210)</f>
        <v>0.80616789491492569</v>
      </c>
      <c r="F212" s="110" t="str">
        <f>$E$186</f>
        <v>t N2O</v>
      </c>
      <c r="O212" s="108" t="s">
        <v>172</v>
      </c>
      <c r="P212" s="109">
        <f>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0.80616789491492569</v>
      </c>
      <c r="O214" s="60" t="str" cm="1">
        <f t="array" ref="O214:P215">Common_Equations.Common_ConvertN2OToCO2e_Arguments()</f>
        <v>EN2O</v>
      </c>
      <c r="P214" s="61" t="str">
        <v>Nitrous oxide emissions (t N2O)</v>
      </c>
      <c r="Q214" s="111"/>
      <c r="R214" s="55">
        <f>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ref="E217">Common_Equations.Common_ConvertN2OToCO2e(G214,G215)</f>
        <v>213.63449215245529</v>
      </c>
      <c r="F217" s="112" t="str" cm="1">
        <f t="array" ref="F217">Common_Equations.Common_ConvertN2OToCO2e_Unit()</f>
        <v>t CO2e</v>
      </c>
      <c r="O217" s="48" t="s">
        <v>126</v>
      </c>
      <c r="P217" s="48" cm="1">
        <f t="array" ref="P217">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41" zoomScale="85" zoomScaleNormal="85" workbookViewId="0">
      <selection activeCell="N65" sqref="N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INDEX(M1_Table_MN_j_m5_T1,2,2)</f>
        <v>16689.254400000005</v>
      </c>
      <c r="F23" s="55">
        <f>INDEX(M1_Table_MN_j_m5_T1,2,3)</f>
        <v>25343.539200000003</v>
      </c>
      <c r="G23" s="55">
        <f>INDEX(M1_Table_MN_j_m5_T1,2,4)</f>
        <v>36604.799999999988</v>
      </c>
      <c r="H23" s="2" t="str">
        <f>$G$14</f>
        <v>kg N</v>
      </c>
      <c r="I23" s="2"/>
      <c r="M23" s="55" t="str">
        <f>INDEX(X_Table_Feedlot_MMS_Stage1,2,1)</f>
        <v>Drylot (feed pad)</v>
      </c>
      <c r="N23" s="55">
        <f>INDEX(M2_Table_MN_j_m5_T1,2,2)</f>
        <v>16689.254400000005</v>
      </c>
      <c r="O23" s="55">
        <f>INDEX(M2_Table_MN_j_m5_T1,2,3)</f>
        <v>25343.539200000003</v>
      </c>
      <c r="P23" s="55">
        <f>INDEX(M2_Table_MN_j_m5_T1,2,4)</f>
        <v>36604.799999999988</v>
      </c>
      <c r="Q23" s="2" t="str">
        <f>$G$14</f>
        <v>kg N</v>
      </c>
      <c r="R23" s="2"/>
    </row>
    <row r="24" spans="1:18" ht="20.100000000000001" customHeight="1" x14ac:dyDescent="0.25">
      <c r="A24" s="17"/>
      <c r="D24" s="55" t="str">
        <f>INDEX(X_Table_Feedlot_MMS_Stage2,3,1)</f>
        <v>Solid storage</v>
      </c>
      <c r="E24" s="55">
        <f>INDEX(M1_Table_MN_j_m_T2_Consumer_1,2,2)</f>
        <v>1250.3589396480006</v>
      </c>
      <c r="F24" s="55">
        <f>INDEX(M1_Table_MN_j_m_T2_Consumer_1,2,3)</f>
        <v>1898.7379568640001</v>
      </c>
      <c r="G24" s="55">
        <f>INDEX(M1_Table_MN_j_m_T2_Consumer_1,2,4)</f>
        <v>2742.4316159999994</v>
      </c>
      <c r="H24" s="2"/>
      <c r="I24" s="2"/>
      <c r="M24" s="55" t="str">
        <f>INDEX(X_Table_Feedlot_MMS_Stage2,3,1)</f>
        <v>Solid storage</v>
      </c>
      <c r="N24" s="55">
        <f>INDEX(M1_Table_MN_j_m_T2,2,2)</f>
        <v>1250.3589396480006</v>
      </c>
      <c r="O24" s="55">
        <f>INDEX(M1_Table_MN_j_m_T2,2,3)</f>
        <v>1898.7379568640001</v>
      </c>
      <c r="P24" s="55">
        <f>INDEX(M1_Table_MN_j_m_T2,2,4)</f>
        <v>2742.4316159999994</v>
      </c>
      <c r="Q24" s="2"/>
      <c r="R24" s="2"/>
    </row>
    <row r="25" spans="1:18" ht="20.100000000000001" customHeight="1" x14ac:dyDescent="0.25">
      <c r="A25" s="17"/>
      <c r="D25" s="55" t="str">
        <f>INDEX(X_Table_Feedlot_MMS_Stage2,4,1)</f>
        <v>Composting (passive windrow)</v>
      </c>
      <c r="E25" s="55">
        <f>INDEX(M1_Table_MN_j_m_T2_Consumer_1,3,2)</f>
        <v>1250.3589396480006</v>
      </c>
      <c r="F25" s="55">
        <f>INDEX(M1_Table_MN_j_m_T2_Consumer_1,3,3)</f>
        <v>1898.7379568640001</v>
      </c>
      <c r="G25" s="55">
        <f>INDEX(M1_Table_MN_j_m_T2_Consumer_1,3,4)</f>
        <v>2742.4316159999994</v>
      </c>
      <c r="H25" s="2"/>
      <c r="I25" s="2"/>
      <c r="M25" s="55" t="str">
        <f>INDEX(X_Table_Feedlot_MMS_Stage2,4,1)</f>
        <v>Composting (passive windrow)</v>
      </c>
      <c r="N25" s="55">
        <f>INDEX(M1_Table_MN_j_m_T2,3,2)</f>
        <v>1250.3589396480006</v>
      </c>
      <c r="O25" s="55">
        <f>INDEX(M1_Table_MN_j_m_T2,3,3)</f>
        <v>1898.7379568640001</v>
      </c>
      <c r="P25" s="55">
        <f>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INDEX(M1_Table_MN_j_m1_T3,2,2)</f>
        <v>333.78508800000009</v>
      </c>
      <c r="F27" s="55">
        <f>INDEX(M1_Table_MN_j_m1_T3,2,3)</f>
        <v>506.87078400000007</v>
      </c>
      <c r="G27" s="55">
        <f>INDEX(M1_Table_MN_j_m1_T3,2,4)</f>
        <v>732.09599999999978</v>
      </c>
      <c r="H27" s="2"/>
      <c r="I27" s="2"/>
      <c r="M27" s="55" t="str">
        <f>INDEX(X_Table_Feedlot_MMS_Stage3,3,1)</f>
        <v>Anaerobic lagoon</v>
      </c>
      <c r="N27" s="55">
        <f>INDEX(M2_Table_MN_j_m1_T3,2,2)</f>
        <v>333.78508800000009</v>
      </c>
      <c r="O27" s="55">
        <f>INDEX(M2_Table_MN_j_m1_T3,2,3)</f>
        <v>506.87078400000007</v>
      </c>
      <c r="P27" s="55">
        <f>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ref="E40">MMS_Feedlot_AtmosphericDeposition_Equations.VEERG_4_1_1_5__2_VolatilisedNitrogenFromManureManagement(E23,$E32)</f>
        <v>10013.552640000004</v>
      </c>
      <c r="F40" s="55" cm="1">
        <f t="array" ref="F40">MMS_Feedlot_AtmosphericDeposition_Equations.VEERG_4_1_1_5__2_VolatilisedNitrogenFromManureManagement(F23,$E32)</f>
        <v>15206.123520000001</v>
      </c>
      <c r="G40" s="55" cm="1">
        <f t="array" ref="G40">MMS_Feedlot_AtmosphericDeposition_Equations.VEERG_4_1_1_5__2_VolatilisedNitrogenFromManureManagement(G23,$E32)</f>
        <v>21962.879999999994</v>
      </c>
      <c r="H40" s="2" t="str">
        <f>$E$12</f>
        <v>kg N</v>
      </c>
      <c r="I40" s="2"/>
      <c r="M40" s="55" t="str">
        <f>INDEX(X_Table_Feedlot_MMS_Stage1,2,1)</f>
        <v>Drylot (feed pad)</v>
      </c>
      <c r="N40" s="55" cm="1">
        <f t="array" ref="N40">MMS_Feedlot_AtmosphericDeposition_Equations.VEERG_4_1_1_5__2_VolatilisedNitrogenFromManureManagement(N23,$E32)</f>
        <v>10013.552640000004</v>
      </c>
      <c r="O40" s="55" cm="1">
        <f t="array" ref="O40">MMS_Feedlot_AtmosphericDeposition_Equations.VEERG_4_1_1_5__2_VolatilisedNitrogenFromManureManagement(O23,$E32)</f>
        <v>15206.123520000001</v>
      </c>
      <c r="P40" s="55" cm="1">
        <f t="array" ref="P40">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ref="E41">MMS_Feedlot_AtmosphericDeposition_Equations.VEERG_4_1_1_5__2_VolatilisedNitrogenFromManureManagement(E24,$E33)</f>
        <v>312.58973491200015</v>
      </c>
      <c r="F41" s="55" cm="1">
        <f t="array" ref="F41">MMS_Feedlot_AtmosphericDeposition_Equations.VEERG_4_1_1_5__2_VolatilisedNitrogenFromManureManagement(F24,$E33)</f>
        <v>474.68448921600003</v>
      </c>
      <c r="G41" s="55" cm="1">
        <f t="array" ref="G41">MMS_Feedlot_AtmosphericDeposition_Equations.VEERG_4_1_1_5__2_VolatilisedNitrogenFromManureManagement(G24,$E33)</f>
        <v>685.60790399999985</v>
      </c>
      <c r="H41" s="2"/>
      <c r="I41" s="2"/>
      <c r="M41" s="55" t="str">
        <f>INDEX(X_Table_Feedlot_MMS_Stage2,3,1)</f>
        <v>Solid storage</v>
      </c>
      <c r="N41" s="55" cm="1">
        <f t="array" ref="N41">MMS_Feedlot_AtmosphericDeposition_Equations.VEERG_4_1_1_5__2_VolatilisedNitrogenFromManureManagement(N24,$E33)</f>
        <v>312.58973491200015</v>
      </c>
      <c r="O41" s="55" cm="1">
        <f t="array" ref="O41">MMS_Feedlot_AtmosphericDeposition_Equations.VEERG_4_1_1_5__2_VolatilisedNitrogenFromManureManagement(O24,$E33)</f>
        <v>474.68448921600003</v>
      </c>
      <c r="P41" s="55" cm="1">
        <f t="array" ref="P4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ref="E42">MMS_Feedlot_AtmosphericDeposition_Equations.VEERG_4_1_1_5__2_VolatilisedNitrogenFromManureManagement(E25,$E34)</f>
        <v>500.14357585920027</v>
      </c>
      <c r="F42" s="55" cm="1">
        <f t="array" ref="F42">MMS_Feedlot_AtmosphericDeposition_Equations.VEERG_4_1_1_5__2_VolatilisedNitrogenFromManureManagement(F25,$E34)</f>
        <v>759.49518274560012</v>
      </c>
      <c r="G42" s="55" cm="1">
        <f t="array" ref="G42">MMS_Feedlot_AtmosphericDeposition_Equations.VEERG_4_1_1_5__2_VolatilisedNitrogenFromManureManagement(G25,$E34)</f>
        <v>1096.9726463999998</v>
      </c>
      <c r="H42" s="2"/>
      <c r="I42" s="2"/>
      <c r="M42" s="55" t="str">
        <f>INDEX(X_Table_Feedlot_MMS_Stage2,4,1)</f>
        <v>Composting (passive windrow)</v>
      </c>
      <c r="N42" s="55" cm="1">
        <f t="array" ref="N42">MMS_Feedlot_AtmosphericDeposition_Equations.VEERG_4_1_1_5__2_VolatilisedNitrogenFromManureManagement(N25,$E34)</f>
        <v>500.14357585920027</v>
      </c>
      <c r="O42" s="55" cm="1">
        <f t="array" ref="O42">MMS_Feedlot_AtmosphericDeposition_Equations.VEERG_4_1_1_5__2_VolatilisedNitrogenFromManureManagement(O25,$E34)</f>
        <v>759.49518274560012</v>
      </c>
      <c r="P42" s="55" cm="1">
        <f t="array" ref="P42">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ref="E44">MMS_Feedlot_AtmosphericDeposition_Equations.VEERG_4_1_1_5__2_VolatilisedNitrogenFromManureManagement(E27,$E35)</f>
        <v>116.82478080000003</v>
      </c>
      <c r="F44" s="55" cm="1">
        <f t="array" ref="F44">MMS_Feedlot_AtmosphericDeposition_Equations.VEERG_4_1_1_5__2_VolatilisedNitrogenFromManureManagement(F27,$E35)</f>
        <v>177.40477440000001</v>
      </c>
      <c r="G44" s="55" cm="1">
        <f t="array" ref="G44">MMS_Feedlot_AtmosphericDeposition_Equations.VEERG_4_1_1_5__2_VolatilisedNitrogenFromManureManagement(G27,$E35)</f>
        <v>256.23359999999991</v>
      </c>
      <c r="H44" s="2"/>
      <c r="I44" s="2"/>
      <c r="M44" s="55" t="str">
        <f>INDEX(X_Table_Feedlot_MMS_Stage3,3,1)</f>
        <v>Anaerobic lagoon</v>
      </c>
      <c r="N44" s="55" cm="1">
        <f t="array" ref="N44">MMS_Feedlot_AtmosphericDeposition_Equations.VEERG_4_1_1_5__2_VolatilisedNitrogenFromManureManagement(N27,$E35)</f>
        <v>116.82478080000003</v>
      </c>
      <c r="O44" s="55" cm="1">
        <f t="array" ref="O44">MMS_Feedlot_AtmosphericDeposition_Equations.VEERG_4_1_1_5__2_VolatilisedNitrogenFromManureManagement(O27,$E35)</f>
        <v>177.40477440000001</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SUM(E40:G44)</f>
        <v>51562.512848332786</v>
      </c>
      <c r="F46" s="120" t="str">
        <f>$E$12</f>
        <v>kg N</v>
      </c>
      <c r="M46" s="122" t="s">
        <v>266</v>
      </c>
      <c r="N46" s="48">
        <f>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ref="E65">MMS_Feedlot_AtmosphericDeposition_Equations.VEERG_4_1_1_5__1_TotalAnnualAtmosphericDepositionEmissions(I58,I59,I60)</f>
        <v>0.1458482506281413</v>
      </c>
      <c r="F65" s="110" t="str">
        <f>$E$56</f>
        <v>t N2O</v>
      </c>
      <c r="M65" s="108" t="s">
        <v>280</v>
      </c>
      <c r="N65" s="109" cm="1">
        <f t="array" ref="N65">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0.1458482506281413</v>
      </c>
      <c r="M67" s="60" t="str" cm="1">
        <f t="array" ref="M67:N68">Common_Equations.Common_ConvertN2OToCO2e_Arguments()</f>
        <v>EN2O</v>
      </c>
      <c r="N67" s="61" t="str">
        <v>Nitrous oxide emissions (t N2O)</v>
      </c>
      <c r="O67" s="111"/>
      <c r="P67" s="55">
        <f>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ref="E70">Common_Equations.Common_ConvertN2OToCO2e(G67,G68)</f>
        <v>38.649786416457445</v>
      </c>
      <c r="F70" s="112" t="str" cm="1">
        <f t="array" ref="F70">Common_Equations.Common_ConvertN2OToCO2e_Unit()</f>
        <v>t CO2e</v>
      </c>
      <c r="M70" s="48" t="s">
        <v>126</v>
      </c>
      <c r="N70" s="48" cm="1">
        <f t="array" ref="N70">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B85" zoomScaleNormal="100" workbookViewId="0">
      <selection activeCell="O87" sqref="O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INDEX(M1_Table_MN_j_m_T2_Consumer_1,2,2)</f>
        <v>1250.3589396480006</v>
      </c>
      <c r="F22" s="55">
        <f>INDEX(M1_Table_MN_j_m_T2_Consumer_1,2,3)</f>
        <v>1898.7379568640001</v>
      </c>
      <c r="G22" s="55">
        <f>INDEX(M1_Table_MN_j_m_T2_Consumer_1,2,4)</f>
        <v>2742.4316159999994</v>
      </c>
      <c r="H22" s="2" t="s">
        <v>227</v>
      </c>
      <c r="I22" s="2"/>
      <c r="J22" s="2"/>
      <c r="N22" s="55" t="str">
        <f>INDEX(X_Table_Feedlot_MMS_Stage2,3,1)</f>
        <v>Solid storage</v>
      </c>
      <c r="O22" s="55">
        <f>INDEX(M1_Table_MN_j_m_T2,2,2)</f>
        <v>1250.3589396480006</v>
      </c>
      <c r="P22" s="55">
        <f>INDEX(M1_Table_MN_j_m_T2,2,3)</f>
        <v>1898.7379568640001</v>
      </c>
      <c r="Q22" s="55">
        <f>INDEX(M1_Table_MN_j_m_T2,2,4)</f>
        <v>2742.4316159999994</v>
      </c>
      <c r="R22" s="2" t="s">
        <v>227</v>
      </c>
    </row>
    <row r="23" spans="1:18" ht="20.100000000000001" customHeight="1" x14ac:dyDescent="0.25">
      <c r="D23" s="55" t="str">
        <f>INDEX(X_Table_Feedlot_MMS_Stage2,4,1)</f>
        <v>Composting (passive windrow)</v>
      </c>
      <c r="E23" s="55">
        <f>INDEX(M1_Table_MN_j_m_T2_Consumer_1,3,2)</f>
        <v>1250.3589396480006</v>
      </c>
      <c r="F23" s="55">
        <f>INDEX(M1_Table_MN_j_m_T2_Consumer_1,3,3)</f>
        <v>1898.7379568640001</v>
      </c>
      <c r="G23" s="55">
        <f>INDEX(M1_Table_MN_j_m_T2_Consumer_1,3,4)</f>
        <v>2742.4316159999994</v>
      </c>
      <c r="H23" s="2" t="s">
        <v>227</v>
      </c>
      <c r="I23" s="2"/>
      <c r="J23" s="2"/>
      <c r="N23" s="55" t="str">
        <f>INDEX(X_Table_Feedlot_MMS_Stage2,4,1)</f>
        <v>Composting (passive windrow)</v>
      </c>
      <c r="O23" s="55">
        <f>INDEX(M1_Table_MN_j_m_T2,3,2)</f>
        <v>1250.3589396480006</v>
      </c>
      <c r="P23" s="55">
        <f>INDEX(M1_Table_MN_j_m_T2,3,3)</f>
        <v>1898.7379568640001</v>
      </c>
      <c r="Q23" s="55">
        <f>INDEX(M1_Table_MN_j_m_T2,3,4)</f>
        <v>2742.4316159999994</v>
      </c>
      <c r="R23" s="2" t="s">
        <v>227</v>
      </c>
    </row>
    <row r="24" spans="1:18" ht="20.100000000000001" customHeight="1" x14ac:dyDescent="0.25">
      <c r="A24" s="17"/>
      <c r="D24" s="55" t="str">
        <f>INDEX(X_Table_Feedlot_MMS_Stage2,5,1)</f>
        <v>Direct application</v>
      </c>
      <c r="E24" s="55">
        <f>INDEX(M1_Table_MN_j_m_T2_Consumer_1,4,2)</f>
        <v>3751.0768189440014</v>
      </c>
      <c r="F24" s="55">
        <f>INDEX(M1_Table_MN_j_m_T2_Consumer_1,4,3)</f>
        <v>5696.2138705919997</v>
      </c>
      <c r="G24" s="55">
        <f>INDEX(M1_Table_MN_j_m_T2_Consumer_1,4,4)</f>
        <v>8227.2948479999977</v>
      </c>
      <c r="N24" s="55" t="str">
        <f>INDEX(X_Table_Feedlot_MMS_Stage2,5,1)</f>
        <v>Direct application</v>
      </c>
      <c r="O24" s="55">
        <f>INDEX(M1_Table_MN_j_m_T2,4,2)</f>
        <v>3751.0768189440014</v>
      </c>
      <c r="P24" s="55">
        <f>INDEX(M1_Table_MN_j_m_T2,4,3)</f>
        <v>5696.2138705919997</v>
      </c>
      <c r="Q24" s="55">
        <f>INDEX(M1_Table_MN_j_m_T2,4,4)</f>
        <v>8227.2948479999977</v>
      </c>
      <c r="R24" s="2" t="s">
        <v>227</v>
      </c>
    </row>
    <row r="25" spans="1:18" ht="20.100000000000001" customHeight="1" x14ac:dyDescent="0.25">
      <c r="A25" s="17"/>
      <c r="D25" s="55" t="str">
        <f>INDEX(X_Table_Feedlot_MMS_Stage3,3,1)</f>
        <v>Anaerobic lagoon</v>
      </c>
      <c r="E25" s="55">
        <f>INDEX(M1_Table_MN_j_m1_T3,2,2)</f>
        <v>333.78508800000009</v>
      </c>
      <c r="F25" s="55">
        <f>INDEX(M1_Table_MN_j_m1_T3,2,3)</f>
        <v>506.87078400000007</v>
      </c>
      <c r="G25" s="55">
        <f>INDEX(M1_Table_MN_j_m1_T3,2,4)</f>
        <v>732.09599999999978</v>
      </c>
      <c r="H25" s="2" t="s">
        <v>227</v>
      </c>
      <c r="I25" s="2"/>
      <c r="J25" s="2"/>
      <c r="N25" s="55" t="str">
        <f>INDEX(X_Table_Feedlot_MMS_Stage3,3,1)</f>
        <v>Anaerobic lagoon</v>
      </c>
      <c r="O25" s="55">
        <f>INDEX(M2_Table_MN_j_m1_T3,2,2)</f>
        <v>333.78508800000009</v>
      </c>
      <c r="P25" s="55">
        <f>INDEX(M2_Table_MN_j_m1_T3,2,3)</f>
        <v>506.87078400000007</v>
      </c>
      <c r="Q25" s="55">
        <f>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'Input - Feedlot'!J32+'Input - Feedlot'!K32</f>
        <v>0.75</v>
      </c>
      <c r="F48" s="2" t="s">
        <v>324</v>
      </c>
      <c r="H48" s="2"/>
      <c r="I48" s="2"/>
      <c r="J48" s="2"/>
    </row>
    <row r="49" spans="3:19" ht="20.100000000000001" customHeight="1" x14ac:dyDescent="0.25">
      <c r="D49" s="55" t="str">
        <f>INDEX(X_Table_Feedlot_MMS_Stage2,4,1)</f>
        <v>Composting (passive windrow)</v>
      </c>
      <c r="E49" s="55">
        <f>'Input - Feedlot'!J33+'Input - Feedlot'!K33</f>
        <v>0.75</v>
      </c>
      <c r="F49" s="2" t="s">
        <v>324</v>
      </c>
      <c r="H49" s="2"/>
      <c r="I49" s="2"/>
      <c r="J49" s="2"/>
    </row>
    <row r="50" spans="3:19" ht="20.100000000000001" customHeight="1" x14ac:dyDescent="0.25">
      <c r="D50" s="55" t="str">
        <f>INDEX(X_Table_Feedlot_MMS_Stage2,5,1)</f>
        <v>Direct application</v>
      </c>
      <c r="E50" s="55">
        <f>'Input - Feedlot'!J34+'Input - Feedlot'!K34</f>
        <v>1</v>
      </c>
      <c r="F50" s="2" t="s">
        <v>324</v>
      </c>
      <c r="H50" s="2"/>
      <c r="I50" s="2"/>
      <c r="J50" s="2"/>
    </row>
    <row r="51" spans="3:19" ht="20.100000000000001" customHeight="1" x14ac:dyDescent="0.25">
      <c r="D51" s="55" t="str">
        <f>INDEX(X_Table_Feedlot_MMS_Stage3,3,1)</f>
        <v>Anaerobic lagoon</v>
      </c>
      <c r="E51" s="55">
        <f>'Input - Feedlot'!J38+'Input - Feedlot'!K38</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ref="E56">MMS_Feedlot_ManureAppliedToSoils_Equations.VEERG_4_1_1_9__1_MassOfNitrogenAppliedToSoilsScope1(E22,_xlfn.XLOOKUP($D56,$D$30:$D$34,$E$30:$E$34),_xlfn.XLOOKUP($D56,$D$39:$D$43,$E$39:$E$43),$E48)</f>
        <v>698.63805752832036</v>
      </c>
      <c r="F56" s="55" cm="1">
        <f t="array" ref="F56">MMS_Feedlot_ManureAppliedToSoils_Equations.VEERG_4_1_1_9__1_MassOfNitrogenAppliedToSoilsScope1(F22,_xlfn.XLOOKUP($D56,$D$30:$D$34,$E$30:$E$34),_xlfn.XLOOKUP($D56,$D$39:$D$43,$E$39:$E$43),$E48)</f>
        <v>1060.9198333977599</v>
      </c>
      <c r="G56" s="55" cm="1">
        <f t="array" ref="G56">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ref="O56">MMS_Feedlot_ManureAppliedToSoils_Equations.VEERG_4_1_1_9__1_MassOfNitrogenAppliedToSoilsScope1(O22,_xlfn.XLOOKUP($N56,$D$30:$D$34,$E$30:$E$34),_xlfn.XLOOKUP($N56,$D$39:$D$43,$E$39:$E$43),$E48)</f>
        <v>698.63805752832036</v>
      </c>
      <c r="P56" s="55" cm="1">
        <f t="array" ref="P56">MMS_Feedlot_ManureAppliedToSoils_Equations.VEERG_4_1_1_9__1_MassOfNitrogenAppliedToSoilsScope1(P22,_xlfn.XLOOKUP($N56,$D$30:$D$34,$E$30:$E$34),_xlfn.XLOOKUP($N56,$D$39:$D$43,$E$39:$E$43),$E48)</f>
        <v>1060.9198333977599</v>
      </c>
      <c r="Q56" s="55" cm="1">
        <f t="array" ref="Q56">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ref="E57">MMS_Feedlot_ManureAppliedToSoils_Equations.VEERG_4_1_1_9__1_MassOfNitrogenAppliedToSoilsScope1(E23,_xlfn.XLOOKUP($D57,$D$30:$D$34,$E$30:$E$34),_xlfn.XLOOKUP($D57,$D$39:$D$43,$E$39:$E$43),$E49)</f>
        <v>553.2838307942402</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ref="O57">MMS_Feedlot_ManureAppliedToSoils_Equations.VEERG_4_1_1_9__1_MassOfNitrogenAppliedToSoilsScope1(O23,_xlfn.XLOOKUP($N57,$D$30:$D$34,$E$30:$E$34),_xlfn.XLOOKUP($N57,$D$39:$D$43,$E$39:$E$43),$E49)</f>
        <v>553.2838307942402</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ref="E58">MMS_Feedlot_ManureAppliedToSoils_Equations.VEERG_4_1_1_9__1_MassOfNitrogenAppliedToSoilsScope1(E24,_xlfn.XLOOKUP($D58,$D$30:$D$34,$E$30:$E$34),_xlfn.XLOOKUP($D58,$D$39:$D$43,$E$39:$E$43),$E50)</f>
        <v>3751.0768189440014</v>
      </c>
      <c r="F58" s="55" cm="1">
        <f t="array" ref="F58">MMS_Feedlot_ManureAppliedToSoils_Equations.VEERG_4_1_1_9__1_MassOfNitrogenAppliedToSoilsScope1(F24,_xlfn.XLOOKUP($D58,$D$30:$D$34,$E$30:$E$34),_xlfn.XLOOKUP($D58,$D$39:$D$43,$E$39:$E$43),$E50)</f>
        <v>5696.2138705919997</v>
      </c>
      <c r="G58" s="55" cm="1">
        <f t="array" ref="G58">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ref="O58">MMS_Feedlot_ManureAppliedToSoils_Equations.VEERG_4_1_1_9__1_MassOfNitrogenAppliedToSoilsScope1(O24,_xlfn.XLOOKUP($N58,$D$30:$D$34,$E$30:$E$34),_xlfn.XLOOKUP($N58,$D$39:$D$43,$E$39:$E$43),$E50)</f>
        <v>3751.0768189440014</v>
      </c>
      <c r="P58" s="55" cm="1">
        <f t="array" ref="P58">MMS_Feedlot_ManureAppliedToSoils_Equations.VEERG_4_1_1_9__1_MassOfNitrogenAppliedToSoilsScope1(P24,_xlfn.XLOOKUP($N58,$D$30:$D$34,$E$30:$E$34),_xlfn.XLOOKUP($N58,$D$39:$D$43,$E$39:$E$43),$E50)</f>
        <v>5696.2138705919997</v>
      </c>
      <c r="Q58" s="55" cm="1">
        <f t="array" ref="Q58">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ref="E59">MMS_Feedlot_ManureAppliedToSoils_Equations.VEERG_4_1_1_9__1_MassOfNitrogenAppliedToSoilsScope1(E25,_xlfn.XLOOKUP($D59,$D$30:$D$34,$E$30:$E$34),_xlfn.XLOOKUP($D59,$D$39:$D$43,$E$39:$E$43),$E51)</f>
        <v>162.72023040000005</v>
      </c>
      <c r="F59" s="55" cm="1">
        <f t="array" ref="F59">MMS_Feedlot_ManureAppliedToSoils_Equations.VEERG_4_1_1_9__1_MassOfNitrogenAppliedToSoilsScope1(F25,_xlfn.XLOOKUP($D59,$D$30:$D$34,$E$30:$E$34),_xlfn.XLOOKUP($D59,$D$39:$D$43,$E$39:$E$43),$E51)</f>
        <v>247.09950720000006</v>
      </c>
      <c r="G59" s="55" cm="1">
        <f t="array" ref="G59">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ref="O59">MMS_Feedlot_ManureAppliedToSoils_Equations.VEERG_4_1_1_9__1_MassOfNitrogenAppliedToSoilsScope1(O25,_xlfn.XLOOKUP($N59,$D$30:$D$34,$E$30:$E$34),_xlfn.XLOOKUP($N59,$D$39:$D$43,$E$39:$E$43),$E51)</f>
        <v>162.72023040000005</v>
      </c>
      <c r="P59" s="55" cm="1">
        <f t="array" ref="P59">MMS_Feedlot_ManureAppliedToSoils_Equations.VEERG_4_1_1_9__1_MassOfNitrogenAppliedToSoilsScope1(P25,_xlfn.XLOOKUP($N59,$D$30:$D$34,$E$30:$E$34),_xlfn.XLOOKUP($N59,$D$39:$D$43,$E$39:$E$43),$E51)</f>
        <v>247.09950720000006</v>
      </c>
      <c r="Q59" s="55" cm="1">
        <f t="array" ref="Q59">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SUM(E56:G59)</f>
        <v>24340.194998288636</v>
      </c>
      <c r="F61" s="110" t="str">
        <f>$E$12</f>
        <v>kg N</v>
      </c>
      <c r="N61" s="108" t="s">
        <v>240</v>
      </c>
      <c r="O61" s="109">
        <f>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ref="E82">MMS_Feedlot_ManureAppliedToSoils_Equations.VEERG_4_1_1_9__2_MassOfNitrogenAppliedToSoilsScope3(E22,_xlfn.XLOOKUP($D82, $D$30:$D$34,$E$30:$E$34),_xlfn.XLOOKUP($D82,$D$39:$D$43,$E$39:$E$43),$E48)</f>
        <v>232.87935250944011</v>
      </c>
      <c r="F82" s="55" cm="1">
        <f t="array" ref="F82">MMS_Feedlot_ManureAppliedToSoils_Equations.VEERG_4_1_1_9__2_MassOfNitrogenAppliedToSoilsScope3(F22,_xlfn.XLOOKUP($D82, $D$30:$D$34,$E$30:$E$34),_xlfn.XLOOKUP($D82,$D$39:$D$43,$E$39:$E$43),$E48)</f>
        <v>353.63994446592</v>
      </c>
      <c r="G82" s="55" cm="1">
        <f t="array" ref="G82">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ref="O82">MMS_Feedlot_ManureAppliedToSoils_Equations.VEERG_4_1_1_9__2_MassOfNitrogenAppliedToSoilsScope3(O22,_xlfn.XLOOKUP($N82, $D$30:$D$34,$E$30:$E$34),_xlfn.XLOOKUP($N82,$D$39:$D$43,$E$39:$E$43),$E48)</f>
        <v>232.87935250944011</v>
      </c>
      <c r="P82" s="55" cm="1">
        <f t="array" ref="P82">MMS_Feedlot_ManureAppliedToSoils_Equations.VEERG_4_1_1_9__2_MassOfNitrogenAppliedToSoilsScope3(P22,_xlfn.XLOOKUP($N82, $D$30:$D$34,$E$30:$E$34),_xlfn.XLOOKUP($N82,$D$39:$D$43,$E$39:$E$43),$E48)</f>
        <v>353.63994446592</v>
      </c>
      <c r="Q82" s="55" cm="1">
        <f t="array" ref="Q82">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ref="E83">MMS_Feedlot_ManureAppliedToSoils_Equations.VEERG_4_1_1_9__2_MassOfNitrogenAppliedToSoilsScope3(E23,_xlfn.XLOOKUP($D83, $D$30:$D$34,$E$30:$E$34),_xlfn.XLOOKUP($D83,$D$39:$D$43,$E$39:$E$43),$E49)</f>
        <v>184.42794359808008</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ref="O83">MMS_Feedlot_ManureAppliedToSoils_Equations.VEERG_4_1_1_9__2_MassOfNitrogenAppliedToSoilsScope3(O23,_xlfn.XLOOKUP($N83, $D$30:$D$34,$E$30:$E$34),_xlfn.XLOOKUP($N83,$D$39:$D$43,$E$39:$E$43),$E49)</f>
        <v>184.42794359808008</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ref="E85">MMS_Feedlot_ManureAppliedToSoils_Equations.VEERG_4_1_1_9__2_MassOfNitrogenAppliedToSoilsScope3(E25,_xlfn.XLOOKUP($D85, $D$30:$D$34,$E$30:$E$34),_xlfn.XLOOKUP($D85,$D$39:$D$43,$E$39:$E$43),$E51)</f>
        <v>54.240076800000018</v>
      </c>
      <c r="F85" s="55" cm="1">
        <f t="array" ref="F85">MMS_Feedlot_ManureAppliedToSoils_Equations.VEERG_4_1_1_9__2_MassOfNitrogenAppliedToSoilsScope3(F25,_xlfn.XLOOKUP($D85, $D$30:$D$34,$E$30:$E$34),_xlfn.XLOOKUP($D85,$D$39:$D$43,$E$39:$E$43),$E51)</f>
        <v>82.366502400000016</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ref="O85">MMS_Feedlot_ManureAppliedToSoils_Equations.VEERG_4_1_1_9__2_MassOfNitrogenAppliedToSoilsScope3(O25,_xlfn.XLOOKUP($N85, $D$30:$D$34,$E$30:$E$34),_xlfn.XLOOKUP($N85,$D$39:$D$43,$E$39:$E$43),$E51)</f>
        <v>54.240076800000018</v>
      </c>
      <c r="P85" s="55" cm="1">
        <f t="array" ref="P85">MMS_Feedlot_ManureAppliedToSoils_Equations.VEERG_4_1_1_9__2_MassOfNitrogenAppliedToSoilsScope3(P25,_xlfn.XLOOKUP($N85, $D$30:$D$34,$E$30:$E$34),_xlfn.XLOOKUP($N85,$D$39:$D$43,$E$39:$E$43),$E51)</f>
        <v>82.366502400000016</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SUM(E82:G85)</f>
        <v>2221.8698202508799</v>
      </c>
      <c r="F87" s="110" t="str">
        <f>$E$12</f>
        <v>kg N</v>
      </c>
      <c r="N87" s="108" t="s">
        <v>245</v>
      </c>
      <c r="O87" s="109">
        <f>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ref="E106">MMS_Feedlot_ManureAppliedToSoils_Equations.VEERG_4_1_1_9__1_MassOfNitrogenAppliedToSoilsScope1(E22,_xlfn.XLOOKUP($D106,$D$30:$D$34,$E$30:$E$34),_xlfn.XLOOKUP($D106,$D$39:$D$43,$E$39:$E$43),$E98)</f>
        <v>232.87935250944011</v>
      </c>
      <c r="F106" s="55" cm="1">
        <f t="array" ref="F106">MMS_Feedlot_ManureAppliedToSoils_Equations.VEERG_4_1_1_9__1_MassOfNitrogenAppliedToSoilsScope1(F22,_xlfn.XLOOKUP($D106,$D$30:$D$34,$E$30:$E$34),_xlfn.XLOOKUP($D106,$D$39:$D$43,$E$39:$E$43),$E98)</f>
        <v>353.63994446592</v>
      </c>
      <c r="G106" s="55" cm="1">
        <f t="array" ref="G106">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ref="O106">MMS_Feedlot_ManureAppliedToSoils_Equations.VEERG_4_1_1_9__1_MassOfNitrogenAppliedToSoilsScope1(O22,_xlfn.XLOOKUP($N106,$D$30:$D$34,$E$30:$E$34),_xlfn.XLOOKUP($N106,$D$39:$D$43,$E$39:$E$43),$E98)</f>
        <v>232.87935250944011</v>
      </c>
      <c r="P106" s="55" cm="1">
        <f t="array" ref="P106">MMS_Feedlot_ManureAppliedToSoils_Equations.VEERG_4_1_1_9__1_MassOfNitrogenAppliedToSoilsScope1(P22,_xlfn.XLOOKUP($N106,$D$30:$D$34,$E$30:$E$34),_xlfn.XLOOKUP($N106,$D$39:$D$43,$E$39:$E$43),$E98)</f>
        <v>353.63994446592</v>
      </c>
      <c r="Q106" s="55" cm="1">
        <f t="array" ref="Q106">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ref="E107">MMS_Feedlot_ManureAppliedToSoils_Equations.VEERG_4_1_1_9__1_MassOfNitrogenAppliedToSoilsScope1(E23,_xlfn.XLOOKUP($D107,$D$30:$D$34,$E$30:$E$34),_xlfn.XLOOKUP($D107,$D$39:$D$43,$E$39:$E$43),$E99)</f>
        <v>184.42794359808008</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ref="O107">MMS_Feedlot_ManureAppliedToSoils_Equations.VEERG_4_1_1_9__1_MassOfNitrogenAppliedToSoilsScope1(O23,_xlfn.XLOOKUP($N107,$D$30:$D$34,$E$30:$E$34),_xlfn.XLOOKUP($N107,$D$39:$D$43,$E$39:$E$43),$E99)</f>
        <v>184.42794359808008</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ref="E109">MMS_Feedlot_ManureAppliedToSoils_Equations.VEERG_4_1_1_9__1_MassOfNitrogenAppliedToSoilsScope1(E25,_xlfn.XLOOKUP($D109,$D$30:$D$34,$E$30:$E$34),_xlfn.XLOOKUP($D109,$D$39:$D$43,$E$39:$E$43),$E101)</f>
        <v>54.240076800000018</v>
      </c>
      <c r="F109" s="55" cm="1">
        <f t="array" ref="F109">MMS_Feedlot_ManureAppliedToSoils_Equations.VEERG_4_1_1_9__1_MassOfNitrogenAppliedToSoilsScope1(F25,_xlfn.XLOOKUP($D109,$D$30:$D$34,$E$30:$E$34),_xlfn.XLOOKUP($D109,$D$39:$D$43,$E$39:$E$43),$E101)</f>
        <v>82.366502400000016</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ref="O109">MMS_Feedlot_ManureAppliedToSoils_Equations.VEERG_4_1_1_9__1_MassOfNitrogenAppliedToSoilsScope1(O25,_xlfn.XLOOKUP($N109,$D$30:$D$34,$E$30:$E$34),_xlfn.XLOOKUP($N109,$D$39:$D$43,$E$39:$E$43),$E101)</f>
        <v>54.240076800000018</v>
      </c>
      <c r="P109" s="55" cm="1">
        <f t="array" ref="P109">MMS_Feedlot_ManureAppliedToSoils_Equations.VEERG_4_1_1_9__1_MassOfNitrogenAppliedToSoilsScope1(P25,_xlfn.XLOOKUP($N109,$D$30:$D$34,$E$30:$E$34),_xlfn.XLOOKUP($N109,$D$39:$D$43,$E$39:$E$43),$E101)</f>
        <v>82.366502400000016</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SUM(E106:G109)</f>
        <v>2221.8698202508799</v>
      </c>
      <c r="F111" s="110" t="str">
        <f>$E$12</f>
        <v>kg N</v>
      </c>
      <c r="N111" s="108" t="s">
        <v>256</v>
      </c>
      <c r="O111" s="109">
        <f>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77640-6DF1-4835-A544-C89E2377F216}">
  <dimension ref="A1:BY259"/>
  <sheetViews>
    <sheetView showGridLines="0" topLeftCell="A202"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gBfAFMAdABhAGcAZQAxAE0AZQB0AGgAYQBuAGUAUAByAG8AZAB1AGMAdABpAG8AbgBEAHIAeQBsAG8AdABfAEEAcgBnAHUAbQBlAG4AdABzAF8ATQBlAHQAaABvAGQAMg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zAF8AUwB0AGEAZwBlADIATQBlAHQAaABhAG4AZQBQAHIAbwBkAHUAYwB0AGkAbwBuAF8AQQByAGcAdQBtAGUAbgB0AHMAXwBNAGUAdABoAG8AZAAy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QAXwBTAHQAYQBnAGUAMwBNAGUAdABoAGEAbgBlAFAAcgBvAGQAdQBjAHQAaQBvAG4AQQBuAGEAZQByAG8AYgBpAGMATABhAGcAbwBvAG4AXwBBAHIAZwB1AG0AZQBuAHQAcwBfAE0AZQB0AGgAbwBkADI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97</vt:i4>
      </vt:variant>
    </vt:vector>
  </HeadingPairs>
  <TitlesOfParts>
    <vt:vector size="111"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