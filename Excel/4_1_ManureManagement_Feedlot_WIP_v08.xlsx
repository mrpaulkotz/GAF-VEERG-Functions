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F644BCC-0C41-4074-9E86-E80FE4865C6D}" xr6:coauthVersionLast="47" xr6:coauthVersionMax="47" xr10:uidLastSave="{00000000-0000-0000-0000-000000000000}"/>
  <bookViews>
    <workbookView xWindow="1350" yWindow="360" windowWidth="36255" windowHeight="19140"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3"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R113" i="69"/>
  <c r="O89" i="69"/>
  <c r="O88" i="69"/>
  <c r="O87" i="69"/>
  <c r="I59" i="82"/>
  <c r="E30" i="15"/>
  <c r="E33" i="15"/>
  <c r="E32" i="15"/>
  <c r="E31" i="15"/>
  <c r="I60" i="82"/>
  <c r="I190" i="76"/>
  <c r="P68" i="82"/>
  <c r="G68" i="82"/>
  <c r="R215" i="76"/>
  <c r="G215" i="76"/>
  <c r="P174" i="69"/>
  <c r="G174" i="69"/>
  <c r="I115" i="69"/>
  <c r="I75" i="69"/>
  <c r="R47" i="69"/>
  <c r="I47" i="69"/>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c r="D175" i="103" a="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c r="D141" i="103" a="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I114" i="69"/>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3" i="103" l="1"/>
  <c r="H50" i="103"/>
  <c r="H48" i="103"/>
  <c r="H54" i="103"/>
  <c r="H52" i="103"/>
  <c r="I46" i="69"/>
  <c r="R46" i="69"/>
  <c r="I74" i="69"/>
  <c r="H51" i="103"/>
  <c r="H49" i="103"/>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1" a="1"/>
  <c r="E7" i="82" a="1"/>
  <c r="E181" i="76" a="1"/>
  <c r="E6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60" i="76" a="1"/>
  <c r="E89" i="76" a="1"/>
  <c r="E112" i="76" a="1"/>
  <c r="E155" i="76" a="1"/>
  <c r="E135" i="76" a="1"/>
  <c r="E36" i="76" a="1"/>
  <c r="E7"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D8" i="70"/>
  <c r="D9" i="70"/>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52" i="69"/>
  <c r="N57" i="81"/>
  <c r="N152" i="69"/>
  <c r="D99" i="81"/>
  <c r="D32" i="81"/>
  <c r="E32" i="81" s="1"/>
  <c r="M42" i="82"/>
  <c r="D42" i="82"/>
  <c r="N166" i="69"/>
  <c r="N88" i="69"/>
  <c r="D25" i="82"/>
  <c r="E166" i="69"/>
  <c r="O175" i="76"/>
  <c r="E88" i="69"/>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E197" i="76"/>
  <c r="F88" i="69" a="1"/>
  <c r="F88" i="69" s="1"/>
  <c r="E198" i="76"/>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E29" i="15"/>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E171" i="69"/>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G173" i="69"/>
  <c r="E176" i="69" s="1" a="1"/>
  <c r="E176" i="69" s="1"/>
  <c r="H7" i="13" s="1"/>
  <c r="E7" i="13"/>
  <c r="P173" i="69"/>
  <c r="N176" i="69" s="1" a="1"/>
  <c r="N176" i="69" s="1"/>
  <c r="I7" i="13" s="1"/>
  <c r="F7" i="13"/>
  <c r="E13" i="15"/>
  <c r="E212" i="76" l="1"/>
  <c r="E8" i="13" s="1"/>
  <c r="N46" i="82"/>
  <c r="R58" i="82" s="1"/>
  <c r="N65" i="82" s="1" a="1"/>
  <c r="N65" i="82" s="1"/>
  <c r="G57" i="81" a="1"/>
  <c r="G57" i="81" s="1"/>
  <c r="G83" i="81" a="1"/>
  <c r="G83" i="81" s="1"/>
  <c r="G107" i="81" a="1"/>
  <c r="G107" i="81" s="1"/>
  <c r="O56" i="81" a="1"/>
  <c r="O56" i="81" s="1"/>
  <c r="O106" i="81" a="1"/>
  <c r="O106" i="81" s="1"/>
  <c r="O82" i="81" a="1"/>
  <c r="O82" i="81" s="1"/>
  <c r="E46" i="82"/>
  <c r="I58" i="82" s="1"/>
  <c r="E65" i="82" s="1" a="1"/>
  <c r="E65"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G214" i="76" l="1"/>
  <c r="E217" i="76" s="1" a="1"/>
  <c r="E217" i="76" s="1"/>
  <c r="H8" i="13" s="1"/>
  <c r="F8" i="13"/>
  <c r="R214" i="76"/>
  <c r="P217" i="76" s="1" a="1"/>
  <c r="P217" i="76" s="1"/>
  <c r="I8" i="13" s="1"/>
  <c r="E9" i="13"/>
  <c r="G67" i="82"/>
  <c r="E70" i="82" s="1" a="1"/>
  <c r="E70" i="82" s="1"/>
  <c r="H9" i="13" s="1"/>
  <c r="E87" i="81"/>
  <c r="E18" i="13" s="1"/>
  <c r="O61" i="81"/>
  <c r="F16" i="13" s="1"/>
  <c r="E111" i="81"/>
  <c r="E17" i="13" s="1"/>
  <c r="O87" i="81"/>
  <c r="F17" i="13" s="1"/>
  <c r="O111" i="81"/>
  <c r="F18" i="13" s="1"/>
  <c r="E61" i="81"/>
  <c r="E16" i="13" s="1"/>
  <c r="F9" i="13"/>
  <c r="P67" i="82"/>
  <c r="N70" i="82" s="1"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<sst xmlns="http://schemas.openxmlformats.org/spreadsheetml/2006/main" count="846" uniqueCount="364">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</sst>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FA5FAF2-D980-48EC-BA80-F194D5C4ED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72998F7-F8CF-48E8-AD48-9D872D394101}" name="State/Territory">
      <calculatedColumnFormula array="1">Common_InputFunctions.Utility_DisplayArrayInTable(Common_SourceData.Common_SourceData_AustralianStatesTerritories_Data(),Table_AustralianStates[[#Headers],[State/Territory]],0)</calculatedColumnFormula>
    </tableColumn>
    <tableColumn id="2" xr3:uid="{EF49697C-6139-4D8B-9EE8-7EEF21EA1069}" name="Common Name">
      <calculatedColumnFormula array="1">Common_InputFunctions.Utility_DisplayArrayInTable(Common_SourceData.Common_SourceData_AustralianStatesTerritories_Data(),Table_AustralianStates[[#Headers],[State/Territory]],0)</calculatedColumnFormula>
    </tableColumn>
    <tableColumn id="3" xr3:uid="{B3375FBB-B114-47D1-866E-1D13B1FDFD1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16EBF2-0A3F-4F37-A47C-07094CC4299C}" name="Table_WASA4Areas" displayName="Table_WASA4Areas" ref="D20:D30" totalsRowShown="0">
  <autoFilter ref="D20:D30" xr:uid="{5FA81339-C6C8-4D36-BEEA-6C4AEDD9E676}">
    <filterColumn colId="0" hiddenButton="1"/>
  </autoFilter>
  <tableColumns count="1">
    <tableColumn id="1" xr3:uid="{353F6282-0F70-4EEF-BEA4-BB6A614B209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0AD8C16-B69E-4E21-B6F1-57C6A03B03D6}" name="Table_GWPData" displayName="Table_GWPData" ref="D36:E43" totalsRowShown="0">
  <autoFilter ref="D36:E43" xr:uid="{B8E87A66-3E41-4AD3-925D-01EE21B43D7A}">
    <filterColumn colId="0" hiddenButton="1"/>
    <filterColumn colId="1" hiddenButton="1"/>
  </autoFilter>
  <tableColumns count="2">
    <tableColumn id="1" xr3:uid="{5F3913CC-C598-4281-8976-9BA57639875B}" name="Gas">
      <calculatedColumnFormula array="1">Common_InputFunctions.Utility_DisplayArrayInTable(Common_SourceData.Common_SourceData_GWP_Data(), Table_GWPData[[#Headers],[Gas]], 0)</calculatedColumnFormula>
    </tableColumn>
    <tableColumn id="2" xr3:uid="{1E0DAB8F-50E1-47DB-885F-74C1F93F018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3A891A-ACB4-4A4D-BB47-FB6A54B171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4890C8-9890-48A6-B5C9-088E3B695C8B}" name="Gas">
      <calculatedColumnFormula array="1">Common_InputFunctions.Utility_DisplayArrayInTable(Common_SourceData.Common_SourceData_ConvertGasElementalToMolecular_Data(),Table_GasToMolecularConversionFactor[[#Headers],[Gas]], 0)</calculatedColumnFormula>
    </tableColumn>
    <tableColumn id="5" xr3:uid="{12712BF7-BD39-46F7-86CA-88CF0D0AF6D1}" name="Conversion factor">
      <calculatedColumnFormula array="1">Common_InputFunctions.Utility_DisplayArrayInTable(Common_SourceData.Common_SourceData_ConvertGasElementalToMolecular_Data(),Table_GasToMolecularConversionFactor[[#Headers],[Gas]], 0)</calculatedColumnFormula>
    </tableColumn>
    <tableColumn id="2" xr3:uid="{C1429E39-C8AA-408C-9E0C-BA83D4B8173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BEBF69-7FF2-48A9-B58F-D79306E0748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BEFC721-7C10-4CDE-A922-8ACF518AEC3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0AE6D6C-326F-4C4C-A2E2-EE1F23E0E24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5F4ADD-FB54-4181-8CF9-15AD4D24906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B139CE8-D376-4428-ADB4-F923628A3C86}"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EC6750DC-8948-4977-BD54-E1E463368F19}"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97FFC23-D542-4891-9F65-27AB80E5163E}"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9350286A-004E-43D4-ACF0-19F2238FBB8C}"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452331F5-D521-49E4-93B3-BA5F72DB59D8}"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789A66CE-D805-4177-BDFC-A02AD31B7858}"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71B3B836-F32D-4292-9AD0-50B81614A6B0}"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09AD60DE-D7A3-4CE0-B808-9BEC8C640250}"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A0630F06-76E0-4A12-BFB8-CE409B762641}"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90A5100D-67A8-4752-981C-B07674ED27D3}"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61C8491-0919-4EE1-AC4D-941237724892}"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01294C3D-DE8C-4097-A724-F8CFCD6B421B}"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C1578B3B-C0CD-472A-95C3-1422914BA36B}"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826A9A56-C023-4EBA-B2D7-4F92BC07629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ACF506BE-C925-424B-88B1-864F0D8E8F19}"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3D53D19-491E-4EF3-9CBB-5968F008CB6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C93F53-C3CE-46DF-AD87-B8806737492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601A13E-5B87-49A7-9463-63399A3CC78C}"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97435EC-3456-48E9-8E37-B4D75FA5035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2FDF9E-0601-4762-9DD1-9E7EA08ADCFC}" name="Temperature Zone">
      <calculatedColumnFormula array="1">Common_InputFunctions.Utility_DisplayArrayInTable(Common_SourceData.Common_SourceData_TemperatureZones_Data(),Table_SourceData_TemperatureZones[[#Headers],[Temperature Zone]],0)</calculatedColumnFormula>
    </tableColumn>
    <tableColumn id="2" xr3:uid="{1707BC25-924C-4784-A1C5-DC5F221592E7}" name="MAT">
      <calculatedColumnFormula array="1">Common_InputFunctions.Utility_DisplayArrayInTable(Common_SourceData.Common_SourceData_TemperatureZones_Data(),Table_SourceData_TemperatureZones[[#Headers],[Temperature Zone]],0)</calculatedColumnFormula>
    </tableColumn>
    <tableColumn id="3" xr3:uid="{423B6EA9-DC62-4338-B24D-61E1E9AD7CD7}" name="Min MAT">
      <calculatedColumnFormula array="1">Common_InputFunctions.Utility_DisplayArrayInTable(Common_SourceData.Common_SourceData_TemperatureZones_Data(),Table_SourceData_TemperatureZones[[#Headers],[Temperature Zone]],0)</calculatedColumnFormula>
    </tableColumn>
    <tableColumn id="4" xr3:uid="{054A8E7C-F8A9-4953-992E-40A78BFC1F2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BFEAF56-AFE3-4E46-9755-3B89F7B479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E984005-BA31-4382-A94C-C7407DD41186}" name="Rainfall Zone">
      <calculatedColumnFormula array="1">Common_InputFunctions.Utility_DisplayArrayInTable(Common_SourceData.Common_SourceData_RainfallZones_Data(),Table_SourceData_RainfallZones[[#Headers],[Rainfall Zone]],0)</calculatedColumnFormula>
    </tableColumn>
    <tableColumn id="2" xr3:uid="{307C2857-D074-48F2-9CFF-31912A18ABE4}" name="Annual rainfall">
      <calculatedColumnFormula array="1">Common_InputFunctions.Utility_DisplayArrayInTable(Common_SourceData.Common_SourceData_RainfallZones_Data(),Table_SourceData_RainfallZones[[#Headers],[Rainfall Zone]],0)</calculatedColumnFormula>
    </tableColumn>
    <tableColumn id="3" xr3:uid="{C1A0F0C3-81D7-43C0-90F1-33A0B8065B3B}" name="Min rainfall">
      <calculatedColumnFormula array="1">Common_InputFunctions.Utility_DisplayArrayInTable(Common_SourceData.Common_SourceData_RainfallZones_Data(),Table_SourceData_RainfallZones[[#Headers],[Rainfall Zone]],0)</calculatedColumnFormula>
    </tableColumn>
    <tableColumn id="4" xr3:uid="{BC06D63E-1A89-4EC6-856D-864EAC2733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F6A6D3-1EF5-425E-9805-80C34310E34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3EFE028-E036-4CCF-A10B-02215F028DEB}" name="Leaching Zone">
      <calculatedColumnFormula array="1">Common_InputFunctions.Utility_DisplayArrayInTable(Common_SourceData.Common_SourceData_LeachingZones_Data(), Table_SourceData_LeachingZones[[#Headers],[Leaching Zone]], 0)</calculatedColumnFormula>
    </tableColumn>
    <tableColumn id="2" xr3:uid="{9C7351BD-4934-4207-824B-1E99106BCD1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945FE6-9DF9-4857-BEAD-EE4237CCB2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862DD1B-C803-47C8-862B-10D35BBDDC90}" name="Data source">
      <calculatedColumnFormula array="1">Common_InputFunctions.Utility_DisplayArrayInTable(Common_SourceData.Common_SourceData_DataScores_Scope3_Data(), Table_SourceData_DataScores_Scope3[[#Headers],[Data source]], 0)</calculatedColumnFormula>
    </tableColumn>
    <tableColumn id="2" xr3:uid="{E4E4C88D-1E0B-4A51-BC8D-F99C84A9D7D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F3387BB-33C3-4293-AC2F-E69721DC490F}" name="Table_SourceData_FracWET" displayName="Table_SourceData_FracWET" ref="D134:E136" totalsRowShown="0">
  <autoFilter ref="D134:E136" xr:uid="{308E99BE-FE1F-47A4-B2CA-97217277C4E9}">
    <filterColumn colId="0" hiddenButton="1"/>
    <filterColumn colId="1" hiddenButton="1"/>
  </autoFilter>
  <tableColumns count="2">
    <tableColumn id="1" xr3:uid="{9F218752-EE4A-4D4D-B656-32AAE7808CAF}" name="Is in leaching zone">
      <calculatedColumnFormula array="1">Common_InputFunctions.Utility_DisplayArrayInTable(Common_SourceData.Common_SourceData_FracWET_Data(),Table_SourceData_FracWET[[#Headers],[Is in leaching zone]],0)</calculatedColumnFormula>
    </tableColumn>
    <tableColumn id="2" xr3:uid="{7E7997DD-93B3-4D67-8C45-2CB719D8F264}"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14BC82-1FBE-4F95-A9D6-BEAC974D85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7B15FAC-E76A-45A2-A370-3CBD236DFDF6}" name="Production system j">
      <calculatedColumnFormula array="1">Common_InputFunctions.Utility_DisplayArrayInTable(Common_SourceData.Common_SourceData_EFN2O_Data(), Table_SourceData_Common_EFN2O[[#Headers],[Production system j]], 0)</calculatedColumnFormula>
    </tableColumn>
    <tableColumn id="2" xr3:uid="{3091089B-9BBA-40DC-A966-215959CD480B}" name="EFN2O">
      <calculatedColumnFormula array="1">Common_InputFunctions.Utility_DisplayArrayInTable(Common_SourceData.Common_SourceData_EFN2O_Data(), Table_SourceData_Common_EFN2O[[#Headers],[Production system j]], 0)</calculatedColumnFormula>
    </tableColumn>
    <tableColumn id="3" xr3:uid="{DE3950B5-E93D-4353-AE06-581CCD98B8AF}" name="Production system only">
      <calculatedColumnFormula array="1">Common_InputFunctions.Utility_DisplayArrayInTable(Common_SourceData.Common_SourceData_EFN2O_Data(), Table_SourceData_Common_EFN2O[[#Headers],[Production system j]], 0)</calculatedColumnFormula>
    </tableColumn>
    <tableColumn id="4" xr3:uid="{DBF1B608-DFEA-4B5C-90A0-874A677DCFD8}" name="Irrigation method">
      <calculatedColumnFormula array="1">Common_InputFunctions.Utility_DisplayArrayInTable(Common_SourceData.Common_SourceData_EFN2O_Data(), Table_SourceData_Common_EFN2O[[#Headers],[Production system j]], 0)</calculatedColumnFormula>
    </tableColumn>
    <tableColumn id="5" xr3:uid="{576D0BB6-B26F-4B53-AF7F-FA13312817A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C71B0C0-5110-4E36-AC72-9A04D73F5AB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680B6FE-A5A0-4985-A4B8-867B950E7CD5}" name="Irrigation type i">
      <calculatedColumnFormula array="1">Common_InputFunctions.Utility_DisplayArrayInTable(Common_SourceData.Common_SourceData_FracWETIrrigation_Data(), Table_SourceData_FracWETIrrigation[[#Headers],[Irrigation type i]], 0)</calculatedColumnFormula>
    </tableColumn>
    <tableColumn id="2" xr3:uid="{9167694A-018A-4739-9F01-FF952D0E87BF}"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BDAACC5-5EAC-4DAD-B503-AAD8EBA886D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197A3BD-4493-4FDB-B3EC-9713ADD6956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FDC2AE2-21E8-496C-B203-D99A360B4994}"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FC86542-32BA-4644-9B9B-42C8DA62658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F26ED27-DAD8-4AEB-91B6-DCDC3EB19F41}" name="Month">
      <calculatedColumnFormula array="1">Common_InputFunctions.Utility_DisplayArrayInTable(Common_SourceData.Common_SourceData_MonthsToSeasons_Data(), Table_SourceData_Common_MonthToSeason[[#Headers],[Month]], 0)</calculatedColumnFormula>
    </tableColumn>
    <tableColumn id="2" xr3:uid="{1DA21020-A190-4085-9305-BE5683AEA9E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E35FFE-89B3-4250-87C3-E68ABDA8F4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03F8DF-2E93-4E8D-8FE8-E75A45729A8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B2D4C1-8FBC-413C-978B-C715B4CC88F2}"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C95DAA5-22FA-45A6-8ED8-3CD2E908266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8A8DFF-C1B7-478D-9493-B1C1FFB4AAD8}"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2FC90D7-062C-4598-8967-6AFE0A7659AF}"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44D8B4B-B138-466E-900B-EBA3C2B1BC6A}"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B5B807-E22D-40A5-B5C4-7511770E59B7}"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7035C5B-140D-41E8-B582-2146B6027D00}"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96F44CA-CE84-45C0-B478-71AF5499BB6C}"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4CF3075-2436-4653-9E26-DD8BDD858E80}"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C941687-1849-4BC9-A5EA-31ADE8B492EE}"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7878970-32EE-44FE-94A5-0C11197748DF}"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E437D11-3752-4A37-9CF5-3023050EDD42}"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4ED8672-C625-411D-84AD-1ACBA4A63146}"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232719-E04F-4932-877D-045783389F7B}"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7BA064D-4D57-43F8-8363-33819F7585E4}"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E2C6AE3-CB9D-4867-AD43-AE2446EBDFD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2C477E-CD14-4160-B8E4-E875F756637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AAF717F-4542-4957-8BC5-7E4ED2F64F1F}"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 ca="1">VEERG_4_1_1_1__1_TotalAnnualMethaneEmissions_Result_Method1</f>
        <v>2.6279077661491193</v>
      </c>
      <c r="F7" s="119">
        <f ca="1">VEERG_4_1_1_1__1_TotalAnnualMethaneEmissions_Result_Method2</f>
        <v>2.6279077661491193</v>
      </c>
      <c r="G7" s="57" t="str">
        <f>'4.1.1.1-2 Methane'!F171</f>
        <v>t CH4</v>
      </c>
      <c r="H7" s="119">
        <f ca="1">'4.1.1.1-2 Methane'!E176</f>
        <v>73.581417452175344</v>
      </c>
      <c r="I7" s="119">
        <f ca="1">'4.1.1.1-2 Methane'!N176</f>
        <v>73.581417452175344</v>
      </c>
      <c r="J7" s="57" t="s">
        <v>313</v>
      </c>
      <c r="K7" s="24"/>
      <c r="L7" s="24"/>
    </row>
    <row r="8" spans="1:12" ht="20.100000000000001" customHeight="1" x14ac:dyDescent="0.25">
      <c r="A8" s="17" t="str">
        <f>HYPERLINK("#'Input - Site'!A1", "Site")</f>
        <v>Site</v>
      </c>
      <c r="C8" s="24"/>
      <c r="D8" s="1" t="s">
        <v>308</v>
      </c>
      <c r="E8" s="119">
        <f ca="1">VEERG_4_1_1_3__1_TotalAnnualDirectNitrousOxideEmissions_Result_Method1</f>
        <v>0.80616789491492569</v>
      </c>
      <c r="F8" s="119">
        <f ca="1">VEERG_4_1_1_3__1_TotalAnnualDirectNitrousOxideEmissions_Result_Method2</f>
        <v>0.80616789491492569</v>
      </c>
      <c r="G8" s="57" t="str">
        <f>'4.1.1.3-4 Direct N20'!F212</f>
        <v>t N2O</v>
      </c>
      <c r="H8" s="119">
        <f ca="1">'4.1.1.3-4 Direct N20'!E217</f>
        <v>213.63449215245529</v>
      </c>
      <c r="I8" s="119">
        <f ca="1">'4.1.1.3-4 Direct N20'!P217</f>
        <v>213.63449215245529</v>
      </c>
      <c r="J8" s="57" t="s">
        <v>313</v>
      </c>
      <c r="K8" s="24"/>
      <c r="L8" s="24"/>
    </row>
    <row r="9" spans="1:12" ht="20.100000000000001" customHeight="1" x14ac:dyDescent="0.25">
      <c r="A9" s="17" t="str">
        <f>HYPERLINK("#'Input - Feedlot'!A1", "Feedlot")</f>
        <v>Feedlot</v>
      </c>
      <c r="C9" s="24"/>
      <c r="D9" s="1" t="s">
        <v>309</v>
      </c>
      <c r="E9" s="119">
        <f ca="1">VEERG_4_1_1_5__1_TotalAnnualAtmosphericDepositionEmissions_Result_Method1</f>
        <v>0.1458482506281413</v>
      </c>
      <c r="F9" s="119">
        <f ca="1">VEERG_4_1_1_5__1_TotalAnnualAtmosphericDepositionEmissions_Result_Method2</f>
        <v>0.1458482506281413</v>
      </c>
      <c r="G9" s="57" t="str">
        <f>'4.1.1.5-6 Atmos Deposition'!$F$65</f>
        <v>t N2O</v>
      </c>
      <c r="H9" s="119">
        <f ca="1">'4.1.1.5-6 Atmos Deposition'!$E$70</f>
        <v>38.649786416457445</v>
      </c>
      <c r="I9" s="119">
        <f ca="1">'4.1.1.5-6 Atmos Deposition'!$N$70</f>
        <v>38.649786416457445</v>
      </c>
      <c r="J9" s="57" t="s">
        <v>313</v>
      </c>
      <c r="K9" s="24"/>
      <c r="L9" s="24"/>
    </row>
    <row r="10" spans="1:12" ht="20.100000000000001" customHeight="1" x14ac:dyDescent="0.3">
      <c r="A10" s="17"/>
      <c r="C10" s="24"/>
      <c r="D10" s="31" t="s">
        <v>281</v>
      </c>
      <c r="E10" s="25"/>
      <c r="F10" s="31"/>
      <c r="G10" s="31"/>
      <c r="H10" s="123">
        <f ca="1">SUM(H7:H9)</f>
        <v>325.86569602108807</v>
      </c>
      <c r="I10" s="123">
        <f ca="1">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 ca="1">VEERG_4_1_1_9__1_MassOfNitrogenAppliedToSoilsScope1_Result_Method1</f>
        <v>24340.194998288636</v>
      </c>
      <c r="F16" s="125">
        <f ca="1">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 ca="1">'4.1.1.9 Manure applied to soils'!$E$111</f>
        <v>2221.8698202508799</v>
      </c>
      <c r="F17" s="125">
        <f ca="1">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 ca="1">VEERG_4_1_1_9__2_MassOfNitrogenAppliedToSoilsScope3_Result_Method1</f>
        <v>2221.8698202508799</v>
      </c>
      <c r="F18" s="125">
        <f ca="1">'4.1.1.9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I30" sqref="I30:K34"/>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SourceData_Feedlot_MMSm1T3_Data</f>
        <v>0.02</v>
      </c>
      <c r="F38" s="101">
        <f>SourceData_Feedlot_MMSm1T3_Data</f>
        <v>0.02</v>
      </c>
      <c r="G38" s="101">
        <f>SourceData_Feedlot_MMSm1T3_Data</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E80" sqref="E80:H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SourceData_Feedlot_AshContent_Data</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cm="1">
        <f t="array" aca="1" ref="D20:F20" ca="1">OFFSET(X_Table_Feedlot_Intake_Method1, 1, 1, 1, 3)</f>
        <v>10.4</v>
      </c>
      <c r="E20" s="55">
        <f ca="1"/>
        <v>10.8</v>
      </c>
      <c r="F20" s="55">
        <f ca="1"/>
        <v>8.1999999999999993</v>
      </c>
      <c r="G20" s="2" t="s">
        <v>103</v>
      </c>
      <c r="M20" s="55" cm="1">
        <f t="array" aca="1" ref="M20:O20" ca="1">OFFSET(X_Table_Feedlot_Intake_Method2, 1, 1, 1, 3)</f>
        <v>10.4</v>
      </c>
      <c r="N20" s="55">
        <f ca="1"/>
        <v>10.8</v>
      </c>
      <c r="O20" s="55">
        <f ca="1"/>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cm="1">
        <f t="array" aca="1" ref="D25:F25" ca="1">OFFSET(X_Table_Feedlot_Intake_Method1, 2, 1, 1, 3)</f>
        <v>0.81</v>
      </c>
      <c r="E25" s="55">
        <f ca="1"/>
        <v>0.81</v>
      </c>
      <c r="F25" s="55">
        <f ca="1"/>
        <v>0.81</v>
      </c>
      <c r="G25" s="2" t="s">
        <v>324</v>
      </c>
      <c r="M25" s="55" cm="1">
        <f t="array" aca="1" ref="M25:O25" ca="1">OFFSET(X_Table_Feedlot_Intake_Method2, 2, 1, 1, 3)</f>
        <v>0.81</v>
      </c>
      <c r="N25" s="55">
        <f ca="1"/>
        <v>0.81</v>
      </c>
      <c r="O25" s="55">
        <f ca="1"/>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aca="1" ref="D30" ca="1">MMS_Feedlot_Methane_Equations.VEERG_4_1_1_1__5_VolatileSolidProduction(D20,D25,$H$15)</f>
        <v>1.6598399999999995</v>
      </c>
      <c r="E30" s="55" cm="1">
        <f t="array" aca="1" ref="E30" ca="1">MMS_Feedlot_Methane_Equations.VEERG_4_1_1_1__5_VolatileSolidProduction(E20,E25,$H$15)</f>
        <v>1.7236799999999997</v>
      </c>
      <c r="F30" s="55" cm="1">
        <f t="array" aca="1" ref="F30" ca="1">MMS_Feedlot_Methane_Equations.VEERG_4_1_1_1__5_VolatileSolidProduction(F20,F25,$H$15)</f>
        <v>1.3087199999999994</v>
      </c>
      <c r="G30" s="2" t="str">
        <f>$E$11</f>
        <v>kg/head/day</v>
      </c>
      <c r="M30" s="55" cm="1">
        <f t="array" aca="1" ref="M30" ca="1">MMS_Feedlot_Methane_Equations.VEERG_4_1_1_1__5_VolatileSolidProduction(M20,M25,$H$15)</f>
        <v>1.6598399999999995</v>
      </c>
      <c r="N30" s="55" cm="1">
        <f t="array" aca="1" ref="N30" ca="1">MMS_Feedlot_Methane_Equations.VEERG_4_1_1_1__5_VolatileSolidProduction(N20,N25,$H$15)</f>
        <v>1.7236799999999997</v>
      </c>
      <c r="O30" s="55"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SourceData_Feedlot_MethaneEmissionsPotential_Data</f>
        <v>0.19</v>
      </c>
      <c r="M43" s="138" t="str">
        <v>BO</v>
      </c>
      <c r="N43" s="141" t="str">
        <v>emissions potential</v>
      </c>
      <c r="O43" s="140"/>
      <c r="P43" s="138" t="str">
        <v>m3 CH4/kg VS</v>
      </c>
      <c r="Q43" s="130" t="str">
        <v>Constant</v>
      </c>
      <c r="R43" s="138">
        <f>SourceData_Feedlot_MethaneEmissionsPotential_Data</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Common_SourceData_DensityOfMethane_Data</f>
        <v>0.6784</v>
      </c>
      <c r="M46" s="138" t="str">
        <v>rho</v>
      </c>
      <c r="N46" s="141" t="str">
        <v>density of methane</v>
      </c>
      <c r="O46" s="140"/>
      <c r="P46" s="138" t="str">
        <v>kg/m3</v>
      </c>
      <c r="Q46" s="130" t="str">
        <v>Constant</v>
      </c>
      <c r="R46" s="138">
        <f>Common_SourceData_DensityOfMethane_Data</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cm="1">
        <f t="array" aca="1" ref="E52:G52" ca="1">OFFSET(X_Table_Feedlot_MMS_Stage1, 1,1,1,3)</f>
        <v>1</v>
      </c>
      <c r="F52" s="55">
        <f ca="1"/>
        <v>1</v>
      </c>
      <c r="G52" s="55">
        <f ca="1"/>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aca="1" ref="E57" ca="1">MMS_Feedlot_Methane_Equations.VEERG_4_1_1_1__2_Stage1MethaneProductionDrylot(D30,$I$43,E52,$I$45,$I$46)</f>
        <v>2.1394673663999997E-3</v>
      </c>
      <c r="F57" s="55" cm="1">
        <f t="array" aca="1" ref="F57" ca="1">MMS_Feedlot_Methane_Equations.VEERG_4_1_1_1__2_Stage1MethaneProductionDrylot(E30,$I$43,F52,$I$45,$I$46)</f>
        <v>2.2217545727999995E-3</v>
      </c>
      <c r="G57" s="55" cm="1">
        <f t="array" aca="1" ref="G57" ca="1">MMS_Feedlot_Methane_Equations.VEERG_4_1_1_1__2_Stage1MethaneProductionDrylot(F30,$I$43,G52,$I$45,$I$46)</f>
        <v>1.6868877311999992E-3</v>
      </c>
      <c r="H57" s="2" t="str">
        <f>$E$40</f>
        <v>kg CH4/head/day</v>
      </c>
      <c r="M57" s="55" t="str">
        <f>INDEX(X_Table_Feedlot_MMS_Stage1,2,1)</f>
        <v>Drylot (feed pad)</v>
      </c>
      <c r="N57" s="55" cm="1">
        <f t="array" aca="1" ref="N57" ca="1">MMS_Feedlot_Methane_Equations.VEERG_4_1_1_1__2_Stage1MethaneProductionDrylot(M30,$I$43,E52,$I$45,$I$46)</f>
        <v>2.1394673663999997E-3</v>
      </c>
      <c r="O57" s="55" cm="1">
        <f t="array" aca="1" ref="O57" ca="1">MMS_Feedlot_Methane_Equations.VEERG_4_1_1_1__2_Stage1MethaneProductionDrylot(N30,$I$43,F52,$I$45,$I$46)</f>
        <v>2.2217545727999995E-3</v>
      </c>
      <c r="P57" s="55" cm="1">
        <f t="array" aca="1" ref="P57" ca="1">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SourceData_Feedlot_VSL_Data</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SourceData_Feedlot_MethaneEmissionsPotential_Data</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Common_SourceData_DensityOfMethane_Data</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
        <v>100</v>
      </c>
      <c r="E80" s="55" t="str" cm="1">
        <f t="array" aca="1" ref="E80:H82" ca="1">OFFSET(X_Table_Feedlot_MMS_Stage2,2, 0, 3, 4)</f>
        <v>Solid storage</v>
      </c>
      <c r="F80" s="55">
        <f ca="1"/>
        <v>0.2</v>
      </c>
      <c r="G80" s="55">
        <f ca="1"/>
        <v>0.2</v>
      </c>
      <c r="H80" s="55">
        <f ca="1"/>
        <v>0.2</v>
      </c>
      <c r="I80" s="2" t="str">
        <f>G72</f>
        <v>fraction</v>
      </c>
    </row>
    <row r="81" spans="4:17" ht="20.100000000000001" customHeight="1" x14ac:dyDescent="0.25">
      <c r="D81" s="55" t="s">
        <v>100</v>
      </c>
      <c r="E81" s="55" t="str">
        <f ca="1"/>
        <v>Composting (passive windrow)</v>
      </c>
      <c r="F81" s="55">
        <f ca="1"/>
        <v>0.2</v>
      </c>
      <c r="G81" s="55">
        <f ca="1"/>
        <v>0.2</v>
      </c>
      <c r="H81" s="55">
        <f ca="1"/>
        <v>0.2</v>
      </c>
      <c r="I81" s="2"/>
    </row>
    <row r="82" spans="4:17" ht="20.100000000000001" customHeight="1" x14ac:dyDescent="0.25">
      <c r="D82" s="55" t="s">
        <v>100</v>
      </c>
      <c r="E82" s="55" t="str">
        <f ca="1"/>
        <v>Direct application</v>
      </c>
      <c r="F82" s="55">
        <f ca="1"/>
        <v>0.6</v>
      </c>
      <c r="G82" s="55">
        <f ca="1"/>
        <v>0.6</v>
      </c>
      <c r="H82" s="55">
        <f ca="1"/>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
        <v>100</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
        <v>100</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
        <v>100</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aca="1" ref="E96" ca="1">MMS_Feedlot_Methane_Equations.VEERG_4_1_1_1__3_Stage2MethaneProduction($I$69,D$30,$I$71,F80,_xlfn.XLOOKUP($D96,$E$87:$E$89,$F$87:$F$89),$I$74)</f>
        <v>4.2789347327999993E-4</v>
      </c>
      <c r="F96" s="55" cm="1">
        <f t="array" aca="1" ref="F96" ca="1">MMS_Feedlot_Methane_Equations.VEERG_4_1_1_1__3_Stage2MethaneProduction($I$69,E$30,$I$71,G80,_xlfn.XLOOKUP($D96,$E$87:$E$89,$F$87:$F$89),$I$74)</f>
        <v>4.4435091455999993E-4</v>
      </c>
      <c r="G96" s="55" cm="1">
        <f t="array" aca="1" ref="G96" ca="1">MMS_Feedlot_Methane_Equations.VEERG_4_1_1_1__3_Stage2MethaneProduction($I$69,F$30,$I$71,H80,_xlfn.XLOOKUP($D96,$E$87:$E$89,$F$87:$F$89),$I$74)</f>
        <v>3.3737754623999993E-4</v>
      </c>
      <c r="H96" s="2" t="str">
        <f>$E$67</f>
        <v>kg CH4/head/day</v>
      </c>
      <c r="M96" s="55" t="str">
        <f>INDEX(X_Table_Feedlot_MMS_Stage2,3,1)</f>
        <v>Solid storage</v>
      </c>
      <c r="N96" s="55" cm="1">
        <f t="array" aca="1" ref="N96" ca="1">MMS_Feedlot_Methane_Equations.VEERG_4_1_1_1__3_Stage2MethaneProduction($I$69,M$30,$I$71,F80,_xlfn.XLOOKUP($M96,$N$87:$N$89,$O$87:$O$89),$I$74)</f>
        <v>4.2789347327999993E-4</v>
      </c>
      <c r="O96" s="55" cm="1">
        <f t="array" aca="1" ref="O96" ca="1">MMS_Feedlot_Methane_Equations.VEERG_4_1_1_1__3_Stage2MethaneProduction($I$69,N$30,$I$71,G80,_xlfn.XLOOKUP($M96,$N$87:$N$89,$O$87:$O$89),$I$74)</f>
        <v>4.4435091455999993E-4</v>
      </c>
      <c r="P96" s="55"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aca="1" ref="E97" ca="1">MMS_Feedlot_Methane_Equations.VEERG_4_1_1_1__3_Stage2MethaneProduction($I$69,D$30,$I$71,F81,_xlfn.XLOOKUP($D97,$E$87:$E$89,$F$87:$F$89),$I$74)</f>
        <v>2.1394673663999996E-4</v>
      </c>
      <c r="F97" s="55" cm="1">
        <f t="array" aca="1" ref="F97" ca="1">MMS_Feedlot_Methane_Equations.VEERG_4_1_1_1__3_Stage2MethaneProduction($I$69,E$30,$I$71,G81,_xlfn.XLOOKUP($D97,$E$87:$E$89,$F$87:$F$89),$I$74)</f>
        <v>2.2217545727999996E-4</v>
      </c>
      <c r="G97" s="55" cm="1">
        <f t="array" aca="1" ref="G97" ca="1">MMS_Feedlot_Methane_Equations.VEERG_4_1_1_1__3_Stage2MethaneProduction($I$69,F$30,$I$71,H81,_xlfn.XLOOKUP($D97,$E$87:$E$89,$F$87:$F$89),$I$74)</f>
        <v>1.6868877311999997E-4</v>
      </c>
      <c r="H97" s="2"/>
      <c r="M97" s="55" t="str">
        <f>INDEX(X_Table_Feedlot_MMS_Stage2,4,1)</f>
        <v>Composting (passive windrow)</v>
      </c>
      <c r="N97" s="55" cm="1">
        <f t="array" aca="1" ref="N97" ca="1">MMS_Feedlot_Methane_Equations.VEERG_4_1_1_1__3_Stage2MethaneProduction($I$69,M$30,$I$71,F81,_xlfn.XLOOKUP($M97,$N$87:$N$89,$O$87:$O$89),$I$74)</f>
        <v>2.1394673663999996E-4</v>
      </c>
      <c r="O97" s="55" cm="1">
        <f t="array" aca="1" ref="O97" ca="1">MMS_Feedlot_Methane_Equations.VEERG_4_1_1_1__3_Stage2MethaneProduction($I$69,N$30,$I$71,G81,_xlfn.XLOOKUP($M97,$N$87:$N$89,$O$87:$O$89),$I$74)</f>
        <v>2.2217545727999996E-4</v>
      </c>
      <c r="P97" s="55" cm="1">
        <f t="array" aca="1" ref="P97" ca="1">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aca="1" ref="E98" ca="1">MMS_Feedlot_Methane_Equations.VEERG_4_1_1_1__3_Stage2MethaneProduction($I$69,D$30,$I$71,F82,_xlfn.XLOOKUP($D98,$E$87:$E$89,$F$87:$F$89),$I$74)</f>
        <v>0</v>
      </c>
      <c r="F98" s="55" cm="1">
        <f t="array" aca="1" ref="F98" ca="1">MMS_Feedlot_Methane_Equations.VEERG_4_1_1_1__3_Stage2MethaneProduction($I$69,E$30,$I$71,G82,_xlfn.XLOOKUP($D98,$E$87:$E$89,$F$87:$F$89),$I$74)</f>
        <v>0</v>
      </c>
      <c r="G98" s="55" cm="1">
        <f t="array" aca="1" ref="G98" ca="1">MMS_Feedlot_Methane_Equations.VEERG_4_1_1_1__3_Stage2MethaneProduction($I$69,F$30,$I$71,H82,_xlfn.XLOOKUP($D98,$E$87:$E$89,$F$87:$F$89),$I$74)</f>
        <v>0</v>
      </c>
      <c r="H98" s="2"/>
      <c r="M98" s="55" t="str">
        <f>INDEX(X_Table_Feedlot_MMS_Stage2,5,1)</f>
        <v>Direct application</v>
      </c>
      <c r="N98" s="55" cm="1">
        <f t="array" aca="1" ref="N98" ca="1">MMS_Feedlot_Methane_Equations.VEERG_4_1_1_1__3_Stage2MethaneProduction($I$69,M$30,$I$71,F82,_xlfn.XLOOKUP($M98,$N$87:$N$89,$O$87:$O$89),$I$74)</f>
        <v>0</v>
      </c>
      <c r="O98" s="55" cm="1">
        <f t="array" aca="1" ref="O98" ca="1">MMS_Feedlot_Methane_Equations.VEERG_4_1_1_1__3_Stage2MethaneProduction($I$69,N$30,$I$71,G82,_xlfn.XLOOKUP($M98,$N$87:$N$89,$O$87:$O$89),$I$74)</f>
        <v>0</v>
      </c>
      <c r="P98" s="55"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SourceData_Feedlot_MethaneEmissionsPotential_Data</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t="str" cm="1">
        <f t="array" aca="1" ref="R112" ca="1">HYPERLINK(Common_InputFunctions.Utility_SourceHyperlink($D$117),$D$117)</f>
        <v>Table_MMS_m-1_T-3</v>
      </c>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Common_SourceData_DensityOfMethane_Data</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Common_InputFunctions.Utility_LookupValueInTable(X_Cell_Site_State,Table_AustralianStates[Common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cm="1">
        <f t="array" aca="1" ref="D120:G120" ca="1">OFFSET(X_Table_Feedlot_MMS_Stage3,2,0,1,4)</f>
        <v>Anaerobic lagoon</v>
      </c>
      <c r="E120" s="55">
        <f ca="1"/>
        <v>0.02</v>
      </c>
      <c r="F120" s="55">
        <f ca="1"/>
        <v>0.02</v>
      </c>
      <c r="G120" s="55">
        <f ca="1"/>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aca="1" ref="E125" ca="1">MMS_Feedlot_Methane_Equations.VEERG_4_1_1_1__4_Stage3MethaneProductionAnaerobicLagoon(D$30, $I$111,E120,$I$113,$I$114)</f>
        <v>3.2947797442559996E-3</v>
      </c>
      <c r="F125" s="55" cm="1">
        <f t="array" aca="1" ref="F125" ca="1">MMS_Feedlot_Methane_Equations.VEERG_4_1_1_1__4_Stage3MethaneProductionAnaerobicLagoon(E$30, $I$111,F120,$I$113,$I$114)</f>
        <v>3.4215020421119995E-3</v>
      </c>
      <c r="G125" s="55" cm="1">
        <f t="array" aca="1" ref="G125" ca="1">MMS_Feedlot_Methane_Equations.VEERG_4_1_1_1__4_Stage3MethaneProductionAnaerobicLagoon(F$30, $I$111,G120,$I$113,$I$114)</f>
        <v>2.5978071060479987E-3</v>
      </c>
      <c r="H125" s="2" t="str">
        <f>$E$108</f>
        <v>kg CH4/head/day</v>
      </c>
      <c r="M125" s="55" t="str">
        <f>INDEX(X_Table_Feedlot_MMS_Stage3,3,1)</f>
        <v>Anaerobic lagoon</v>
      </c>
      <c r="N125" s="55" cm="1">
        <f t="array" aca="1" ref="N125" ca="1">MMS_Feedlot_Methane_Equations.VEERG_4_1_1_1__4_Stage3MethaneProductionAnaerobicLagoon(M$30, $I$111,E120,$R$113,$I$114)</f>
        <v>3.2947797442559996E-3</v>
      </c>
      <c r="O125" s="55" cm="1">
        <f t="array" aca="1" ref="O125" ca="1">MMS_Feedlot_Methane_Equations.VEERG_4_1_1_1__4_Stage3MethaneProductionAnaerobicLagoon(N$30, $I$111,F120,$R$113,$I$114)</f>
        <v>3.4215020421119995E-3</v>
      </c>
      <c r="P125" s="55"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cm="1">
        <f t="array" aca="1" ref="D145:F145" ca="1">OFFSET(X_Table_Feedlot_HerdMovement,2,1,1,3)</f>
        <v>90</v>
      </c>
      <c r="E145" s="107">
        <f ca="1"/>
        <v>140</v>
      </c>
      <c r="F145" s="107">
        <f ca="1"/>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 ca="1">$E$57</f>
        <v>2.1394673663999997E-3</v>
      </c>
      <c r="G150" s="55">
        <f ca="1">$F$57</f>
        <v>2.2217545727999995E-3</v>
      </c>
      <c r="H150" s="55">
        <f ca="1">$G$57</f>
        <v>1.6868877311999992E-3</v>
      </c>
      <c r="I150" s="2" t="str">
        <f>$G$139</f>
        <v>kg CH4/head/day</v>
      </c>
      <c r="M150" s="55">
        <v>1</v>
      </c>
      <c r="N150" s="55" t="str">
        <f>INDEX(X_Table_Feedlot_MMS_Stage1,2,1)</f>
        <v>Drylot (feed pad)</v>
      </c>
      <c r="O150" s="55">
        <f ca="1">$N$57</f>
        <v>2.1394673663999997E-3</v>
      </c>
      <c r="P150" s="55">
        <f ca="1">$O$57</f>
        <v>2.2217545727999995E-3</v>
      </c>
      <c r="Q150" s="55">
        <f ca="1">$P$57</f>
        <v>1.6868877311999992E-3</v>
      </c>
      <c r="R150" s="2" t="str">
        <f>$G$139</f>
        <v>kg CH4/head/day</v>
      </c>
    </row>
    <row r="151" spans="4:18" ht="20.100000000000001" customHeight="1" x14ac:dyDescent="0.25">
      <c r="D151" s="55">
        <v>2</v>
      </c>
      <c r="E151" s="55" t="str">
        <f>INDEX(X_Table_Feedlot_MMS_Stage2,3,1)</f>
        <v>Solid storage</v>
      </c>
      <c r="F151" s="55">
        <f ca="1">$E$96</f>
        <v>4.2789347327999993E-4</v>
      </c>
      <c r="G151" s="55">
        <f ca="1">$F$96</f>
        <v>4.4435091455999993E-4</v>
      </c>
      <c r="H151" s="55">
        <f ca="1">$G$96</f>
        <v>3.3737754623999993E-4</v>
      </c>
      <c r="I151" s="2"/>
      <c r="M151" s="55">
        <v>2</v>
      </c>
      <c r="N151" s="55" t="str">
        <f>INDEX(X_Table_Feedlot_MMS_Stage2,3,1)</f>
        <v>Solid storage</v>
      </c>
      <c r="O151" s="55">
        <f ca="1">$N$96</f>
        <v>4.2789347327999993E-4</v>
      </c>
      <c r="P151" s="55">
        <f ca="1">$O$96</f>
        <v>4.4435091455999993E-4</v>
      </c>
      <c r="Q151" s="55">
        <f ca="1">$P$96</f>
        <v>3.3737754623999993E-4</v>
      </c>
      <c r="R151" s="2"/>
    </row>
    <row r="152" spans="4:18" ht="20.100000000000001" customHeight="1" x14ac:dyDescent="0.25">
      <c r="D152" s="55">
        <v>2</v>
      </c>
      <c r="E152" s="55" t="str">
        <f>INDEX(X_Table_Feedlot_MMS_Stage2,4,1)</f>
        <v>Composting (passive windrow)</v>
      </c>
      <c r="F152" s="55">
        <f ca="1">$E$97</f>
        <v>2.1394673663999996E-4</v>
      </c>
      <c r="G152" s="55">
        <f ca="1">$F$97</f>
        <v>2.2217545727999996E-4</v>
      </c>
      <c r="H152" s="55">
        <f ca="1">$G$97</f>
        <v>1.6868877311999997E-4</v>
      </c>
      <c r="I152" s="2"/>
      <c r="M152" s="55">
        <v>2</v>
      </c>
      <c r="N152" s="55" t="str">
        <f>INDEX(X_Table_Feedlot_MMS_Stage2,4,1)</f>
        <v>Composting (passive windrow)</v>
      </c>
      <c r="O152" s="55">
        <f ca="1">$N$97</f>
        <v>2.1394673663999996E-4</v>
      </c>
      <c r="P152" s="55">
        <f ca="1">$O$97</f>
        <v>2.2217545727999996E-4</v>
      </c>
      <c r="Q152" s="55">
        <f ca="1">$P$97</f>
        <v>1.6868877311999997E-4</v>
      </c>
      <c r="R152" s="2"/>
    </row>
    <row r="153" spans="4:18" ht="20.100000000000001" customHeight="1" x14ac:dyDescent="0.25">
      <c r="D153" s="55">
        <v>2</v>
      </c>
      <c r="E153" s="55" t="str">
        <f>INDEX(X_Table_Feedlot_MMS_Stage2,5,1)</f>
        <v>Direct application</v>
      </c>
      <c r="F153" s="55">
        <f ca="1">$E$98</f>
        <v>0</v>
      </c>
      <c r="G153" s="55">
        <f ca="1">$E$98</f>
        <v>0</v>
      </c>
      <c r="H153" s="55">
        <f ca="1">$E$98</f>
        <v>0</v>
      </c>
      <c r="I153" s="2"/>
      <c r="M153" s="55">
        <v>2</v>
      </c>
      <c r="N153" s="55" t="str">
        <f>INDEX(X_Table_Feedlot_MMS_Stage2,5,1)</f>
        <v>Direct application</v>
      </c>
      <c r="O153" s="55">
        <f ca="1">$E$98</f>
        <v>0</v>
      </c>
      <c r="P153" s="55">
        <f ca="1">$E$98</f>
        <v>0</v>
      </c>
      <c r="Q153" s="55">
        <f ca="1">$E$98</f>
        <v>0</v>
      </c>
      <c r="R153" s="2"/>
    </row>
    <row r="154" spans="4:18" ht="20.100000000000001" customHeight="1" x14ac:dyDescent="0.25">
      <c r="D154" s="55">
        <v>3</v>
      </c>
      <c r="E154" s="55" t="str">
        <f>INDEX(X_Table_Feedlot_MMS_Stage3,3,1)</f>
        <v>Anaerobic lagoon</v>
      </c>
      <c r="F154" s="55">
        <f ca="1">$E$125</f>
        <v>3.2947797442559996E-3</v>
      </c>
      <c r="G154" s="55">
        <f ca="1">$F$125</f>
        <v>3.4215020421119995E-3</v>
      </c>
      <c r="H154" s="55">
        <f ca="1">$G$125</f>
        <v>2.5978071060479987E-3</v>
      </c>
      <c r="I154" s="2"/>
      <c r="M154" s="55">
        <v>3</v>
      </c>
      <c r="N154" s="55" t="str">
        <f>INDEX(X_Table_Feedlot_MMS_Stage3,3,1)</f>
        <v>Anaerobic lagoon</v>
      </c>
      <c r="O154" s="55">
        <f ca="1">$N$125</f>
        <v>3.2947797442559996E-3</v>
      </c>
      <c r="P154" s="55">
        <f ca="1">$O$125</f>
        <v>3.4215020421119995E-3</v>
      </c>
      <c r="Q154" s="55">
        <f ca="1">$P$125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cm="1">
        <f t="array" aca="1" ref="D159:F159" ca="1">OFFSET(X_Table_Feedlot_HerdMovement,1,1,1,3)</f>
        <v>1000</v>
      </c>
      <c r="E159" s="107">
        <f ca="1"/>
        <v>1000</v>
      </c>
      <c r="F159" s="107">
        <f ca="1"/>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aca="1" ref="F164" ca="1">MMS_Feedlot_Methane_Equations.VEERG_4_1_1_1__1_TotalAnnualMethaneEmissions(D$145, F150, D$159)</f>
        <v>0.19255206297599997</v>
      </c>
      <c r="G164" s="55" cm="1">
        <f t="array" aca="1" ref="G164" ca="1">MMS_Feedlot_Methane_Equations.VEERG_4_1_1_1__1_TotalAnnualMethaneEmissions(E$145, G150, E$159)</f>
        <v>0.31104564019199998</v>
      </c>
      <c r="H164" s="55" cm="1">
        <f t="array" aca="1" ref="H164" ca="1">MMS_Feedlot_Methane_Equations.VEERG_4_1_1_1__1_TotalAnnualMethaneEmissions(F$145, H150, F$159)</f>
        <v>0.42172193279999981</v>
      </c>
      <c r="I164" s="2" t="str">
        <f>$E$136</f>
        <v>t CH4</v>
      </c>
      <c r="M164" s="55">
        <v>1</v>
      </c>
      <c r="N164" s="55" t="str">
        <f>INDEX(X_Table_Feedlot_MMS_Stage1,2,1)</f>
        <v>Drylot (feed pad)</v>
      </c>
      <c r="O164" s="55" cm="1">
        <f t="array" aca="1" ref="O164" ca="1">MMS_Feedlot_Methane_Equations.VEERG_4_1_1_1__1_TotalAnnualMethaneEmissions(D$145, O150, D$159)</f>
        <v>0.19255206297599997</v>
      </c>
      <c r="P164" s="55" cm="1">
        <f t="array" aca="1" ref="P164" ca="1">MMS_Feedlot_Methane_Equations.VEERG_4_1_1_1__1_TotalAnnualMethaneEmissions(E$145, P150, E$159)</f>
        <v>0.31104564019199998</v>
      </c>
      <c r="Q164" s="55" cm="1">
        <f t="array" aca="1" ref="Q164" ca="1">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aca="1" ref="F165" ca="1">MMS_Feedlot_Methane_Equations.VEERG_4_1_1_1__1_TotalAnnualMethaneEmissions(D$145, F151, D$159)</f>
        <v>3.8510412595199994E-2</v>
      </c>
      <c r="G165" s="55" cm="1">
        <f t="array" aca="1" ref="G165" ca="1">MMS_Feedlot_Methane_Equations.VEERG_4_1_1_1__1_TotalAnnualMethaneEmissions(E$145, G151, E$159)</f>
        <v>6.2209128038399987E-2</v>
      </c>
      <c r="H165" s="55" cm="1">
        <f t="array" aca="1" ref="H165" ca="1">MMS_Feedlot_Methane_Equations.VEERG_4_1_1_1__1_TotalAnnualMethaneEmissions(F$145, H151, F$159)</f>
        <v>8.4344386559999998E-2</v>
      </c>
      <c r="I165" s="2"/>
      <c r="M165" s="55">
        <v>2</v>
      </c>
      <c r="N165" s="55" t="str">
        <f>INDEX(X_Table_Feedlot_MMS_Stage2,3,1)</f>
        <v>Solid storage</v>
      </c>
      <c r="O165" s="55" cm="1">
        <f t="array" aca="1" ref="O165" ca="1">MMS_Feedlot_Methane_Equations.VEERG_4_1_1_1__1_TotalAnnualMethaneEmissions(D$145, O151, D$159)</f>
        <v>3.8510412595199994E-2</v>
      </c>
      <c r="P165" s="55" cm="1">
        <f t="array" aca="1" ref="P165" ca="1">MMS_Feedlot_Methane_Equations.VEERG_4_1_1_1__1_TotalAnnualMethaneEmissions(E$145, P151, E$159)</f>
        <v>6.2209128038399987E-2</v>
      </c>
      <c r="Q165" s="55" cm="1">
        <f t="array" aca="1" ref="Q165" ca="1">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aca="1" ref="F166" ca="1">MMS_Feedlot_Methane_Equations.VEERG_4_1_1_1__1_TotalAnnualMethaneEmissions(D$145, F152, D$159)</f>
        <v>1.9255206297599997E-2</v>
      </c>
      <c r="G166" s="55" cm="1">
        <f t="array" aca="1" ref="G166" ca="1">MMS_Feedlot_Methane_Equations.VEERG_4_1_1_1__1_TotalAnnualMethaneEmissions(E$145, G152, E$159)</f>
        <v>3.1104564019199994E-2</v>
      </c>
      <c r="H166" s="55" cm="1">
        <f t="array" aca="1" ref="H166" ca="1">MMS_Feedlot_Methane_Equations.VEERG_4_1_1_1__1_TotalAnnualMethaneEmissions(F$145, H152, F$159)</f>
        <v>4.2172193279999999E-2</v>
      </c>
      <c r="I166" s="2"/>
      <c r="M166" s="55">
        <v>2</v>
      </c>
      <c r="N166" s="55" t="str">
        <f>INDEX(X_Table_Feedlot_MMS_Stage2,4,1)</f>
        <v>Composting (passive windrow)</v>
      </c>
      <c r="O166" s="55" cm="1">
        <f t="array" aca="1" ref="O166" ca="1">MMS_Feedlot_Methane_Equations.VEERG_4_1_1_1__1_TotalAnnualMethaneEmissions(D$145, O152, D$159)</f>
        <v>1.9255206297599997E-2</v>
      </c>
      <c r="P166" s="55" cm="1">
        <f t="array" aca="1" ref="P166" ca="1">MMS_Feedlot_Methane_Equations.VEERG_4_1_1_1__1_TotalAnnualMethaneEmissions(E$145, P152, E$159)</f>
        <v>3.1104564019199994E-2</v>
      </c>
      <c r="Q166" s="55" cm="1">
        <f t="array" aca="1" ref="Q166" ca="1">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aca="1" ref="F167" ca="1">MMS_Feedlot_Methane_Equations.VEERG_4_1_1_1__1_TotalAnnualMethaneEmissions(D$145, F153, D$159)</f>
        <v>0</v>
      </c>
      <c r="G167" s="55" cm="1">
        <f t="array" aca="1" ref="G167" ca="1">MMS_Feedlot_Methane_Equations.VEERG_4_1_1_1__1_TotalAnnualMethaneEmissions(E$145, G153, E$159)</f>
        <v>0</v>
      </c>
      <c r="H167" s="55" cm="1">
        <f t="array" aca="1" ref="H167" ca="1">MMS_Feedlot_Methane_Equations.VEERG_4_1_1_1__1_TotalAnnualMethaneEmissions(F$145, H153, F$159)</f>
        <v>0</v>
      </c>
      <c r="I167" s="2"/>
      <c r="M167" s="55">
        <v>2</v>
      </c>
      <c r="N167" s="55" t="str">
        <f>INDEX(X_Table_Feedlot_MMS_Stage2,5,1)</f>
        <v>Direct application</v>
      </c>
      <c r="O167" s="55" cm="1">
        <f t="array" aca="1" ref="O167" ca="1">MMS_Feedlot_Methane_Equations.VEERG_4_1_1_1__1_TotalAnnualMethaneEmissions(D$145, O153, D$159)</f>
        <v>0</v>
      </c>
      <c r="P167" s="55" cm="1">
        <f t="array" aca="1" ref="P167" ca="1">MMS_Feedlot_Methane_Equations.VEERG_4_1_1_1__1_TotalAnnualMethaneEmissions(E$145, P153, E$159)</f>
        <v>0</v>
      </c>
      <c r="Q167" s="55" cm="1">
        <f t="array" aca="1" ref="Q167" ca="1">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aca="1" ref="F168" ca="1">MMS_Feedlot_Methane_Equations.VEERG_4_1_1_1__1_TotalAnnualMethaneEmissions(D$145, F154, D$159)</f>
        <v>0.29653017698303996</v>
      </c>
      <c r="G168" s="55" cm="1">
        <f t="array" aca="1" ref="G168" ca="1">MMS_Feedlot_Methane_Equations.VEERG_4_1_1_1__1_TotalAnnualMethaneEmissions(E$145, G154, E$159)</f>
        <v>0.47901028589567995</v>
      </c>
      <c r="H168" s="55" cm="1">
        <f t="array" aca="1" ref="H168" ca="1">MMS_Feedlot_Methane_Equations.VEERG_4_1_1_1__1_TotalAnnualMethaneEmissions(F$145, H154, F$159)</f>
        <v>0.6494517765119997</v>
      </c>
      <c r="I168" s="2"/>
      <c r="M168" s="55">
        <v>3</v>
      </c>
      <c r="N168" s="55" t="str">
        <f>INDEX(X_Table_Feedlot_MMS_Stage3,3,1)</f>
        <v>Anaerobic lagoon</v>
      </c>
      <c r="O168" s="55" cm="1">
        <f t="array" aca="1" ref="O168" ca="1">MMS_Feedlot_Methane_Equations.VEERG_4_1_1_1__1_TotalAnnualMethaneEmissions(D$145, O154, D$159)</f>
        <v>0.29653017698303996</v>
      </c>
      <c r="P168" s="55" cm="1">
        <f t="array" aca="1" ref="P168" ca="1">MMS_Feedlot_Methane_Equations.VEERG_4_1_1_1__1_TotalAnnualMethaneEmissions(E$145, P154, E$159)</f>
        <v>0.47901028589567995</v>
      </c>
      <c r="Q168" s="55"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 ca="1">SUM(F164:H168)</f>
        <v>2.6279077661491193</v>
      </c>
      <c r="F171" s="110" t="str">
        <f>$E$136</f>
        <v>t CH4</v>
      </c>
      <c r="M171" s="108" t="s">
        <v>223</v>
      </c>
      <c r="N171" s="109">
        <f ca="1">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 ca="1">E171</f>
        <v>2.6279077661491193</v>
      </c>
      <c r="H173" s="2" t="str">
        <f>$E$136</f>
        <v>t CH4</v>
      </c>
      <c r="M173" s="60" t="str" cm="1">
        <f t="array" ref="M173:N174">Common_Equations.Common_ConvertCH4ToCO2e_Arguments()</f>
        <v>ECH4</v>
      </c>
      <c r="N173" s="61" t="str">
        <v>Methane emissions (t CH4)</v>
      </c>
      <c r="O173" s="111"/>
      <c r="P173" s="55">
        <f ca="1">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aca="1" ref="E176" ca="1">Common_Equations.Common_ConvertCH4ToCO2e(G173,G174)</f>
        <v>73.581417452175344</v>
      </c>
      <c r="F176" s="112" t="str" cm="1">
        <f t="array" ref="F176">Common_Equations.Common_ConvertN2OToCO2e_Unit()</f>
        <v>t CO2e</v>
      </c>
      <c r="M176" s="48" t="s">
        <v>225</v>
      </c>
      <c r="N176" s="48" cm="1">
        <f t="array" aca="1" ref="N176" ca="1">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D167" sqref="D167:G16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cm="1">
        <f t="array" aca="1" ref="D20:F20" ca="1">OFFSET(X_Table_Feedlot_Intake_Method1,1,1,1,3)</f>
        <v>10.4</v>
      </c>
      <c r="E20" s="55">
        <f ca="1"/>
        <v>10.8</v>
      </c>
      <c r="F20" s="55">
        <f ca="1"/>
        <v>8.1999999999999993</v>
      </c>
      <c r="G20" s="2" t="s">
        <v>103</v>
      </c>
      <c r="H20" s="2"/>
      <c r="I20" s="2"/>
      <c r="J20" s="2"/>
      <c r="K20" s="2"/>
      <c r="O20" s="55" cm="1">
        <f t="array" aca="1" ref="O20:Q20" ca="1">OFFSET(X_Table_Feedlot_Intake_Method2,1,1,1,3)</f>
        <v>10.4</v>
      </c>
      <c r="P20" s="55">
        <f ca="1"/>
        <v>10.8</v>
      </c>
      <c r="Q20" s="55">
        <f ca="1"/>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cm="1">
        <f t="array" aca="1" ref="D25:F25" ca="1">OFFSET(X_Table_Feedlot_Intake_Method1,3,1,1,3)</f>
        <v>0.14000000000000001</v>
      </c>
      <c r="E25" s="55">
        <f ca="1"/>
        <v>0.12</v>
      </c>
      <c r="F25" s="55">
        <f ca="1"/>
        <v>0.12</v>
      </c>
      <c r="G25" s="2" t="s">
        <v>324</v>
      </c>
      <c r="H25" s="2"/>
      <c r="I25" s="2"/>
      <c r="J25" s="2"/>
      <c r="K25" s="2"/>
      <c r="O25" s="55" cm="1">
        <f t="array" aca="1" ref="O25:Q25" ca="1">OFFSET(X_Table_Feedlot_Intake_Method2,3,1,1,3)</f>
        <v>0.14000000000000001</v>
      </c>
      <c r="P25" s="55">
        <f ca="1"/>
        <v>0.12</v>
      </c>
      <c r="Q25" s="55">
        <f ca="1"/>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aca="1" ref="D30" ca="1">MMS_Feedlot_N2ODirect_Equations.VEERG_4_1_1_3__5_NitrogenIntake(D20,D25)</f>
        <v>0.23296000000000003</v>
      </c>
      <c r="E30" s="55" cm="1">
        <f t="array" aca="1" ref="E30" ca="1">MMS_Feedlot_N2ODirect_Equations.VEERG_4_1_1_3__5_NitrogenIntake(E20,E25)</f>
        <v>0.20736000000000002</v>
      </c>
      <c r="F30" s="55" cm="1">
        <f t="array" aca="1" ref="F30" ca="1">MMS_Feedlot_N2ODirect_Equations.VEERG_4_1_1_3__5_NitrogenIntake(F20,F25)</f>
        <v>0.15743999999999997</v>
      </c>
      <c r="G30" s="2" t="str">
        <f>$E$11</f>
        <v>kg N/head/day</v>
      </c>
      <c r="H30" s="2"/>
      <c r="I30" s="2"/>
      <c r="J30" s="2"/>
      <c r="K30" s="2"/>
      <c r="O30" s="55" cm="1">
        <f t="array" aca="1" ref="O30" ca="1">MMS_Feedlot_N2ODirect_Equations.VEERG_4_1_1_3__5_NitrogenIntake(O20,O25)</f>
        <v>0.23296000000000003</v>
      </c>
      <c r="P30" s="55" cm="1">
        <f t="array" aca="1" ref="P30" ca="1">MMS_Feedlot_N2ODirect_Equations.VEERG_4_1_1_3__5_NitrogenIntake(P20,P25)</f>
        <v>0.20736000000000002</v>
      </c>
      <c r="Q30" s="55"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cm="1">
        <f t="array" aca="1" ref="D49:F49" ca="1">OFFSET(X_Table_Feedlot_Intake_Method1,4,1,1,3)/100</f>
        <v>0.20399999999999999</v>
      </c>
      <c r="E49" s="55">
        <f ca="1"/>
        <v>0.127</v>
      </c>
      <c r="F49" s="55">
        <f ca="1"/>
        <v>7.0000000000000007E-2</v>
      </c>
      <c r="G49" s="2" t="s">
        <v>160</v>
      </c>
      <c r="H49" s="2"/>
      <c r="I49" s="2"/>
      <c r="J49" s="2"/>
      <c r="K49" s="2"/>
      <c r="O49" s="55" cm="1">
        <f t="array" aca="1" ref="O49:Q49" ca="1">OFFSET(X_Table_Feedlot_Intake_Method2,4,1,1,3)/100</f>
        <v>0.20399999999999999</v>
      </c>
      <c r="P49" s="55">
        <f ca="1"/>
        <v>0.127</v>
      </c>
      <c r="Q49" s="55">
        <f ca="1"/>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aca="1" ref="D54" ca="1">MMS_Feedlot_N2ODirect_Equations.VEERG_4_1_1_3__4_NitrogenExcretionPerHead(D30,D49)</f>
        <v>0.18543616000000004</v>
      </c>
      <c r="E54" s="55" cm="1">
        <f t="array" aca="1" ref="E54" ca="1">MMS_Feedlot_N2ODirect_Equations.VEERG_4_1_1_3__4_NitrogenExcretionPerHead(E30,E49)</f>
        <v>0.18102528000000001</v>
      </c>
      <c r="F54" s="55" cm="1">
        <f t="array" aca="1" ref="F54" ca="1">MMS_Feedlot_N2ODirect_Equations.VEERG_4_1_1_3__4_NitrogenExcretionPerHead(F30,F49)</f>
        <v>0.14641919999999997</v>
      </c>
      <c r="G54" s="2" t="str">
        <f>$E$41</f>
        <v>kg N/head/day</v>
      </c>
      <c r="H54" s="2"/>
      <c r="I54" s="2"/>
      <c r="J54" s="2"/>
      <c r="K54" s="2"/>
      <c r="O54" s="55" cm="1">
        <f t="array" aca="1" ref="O54" ca="1">MMS_Feedlot_N2ODirect_Equations.VEERG_4_1_1_3__4_NitrogenExcretionPerHead(O30,O49)</f>
        <v>0.18543616000000004</v>
      </c>
      <c r="P54" s="55" cm="1">
        <f t="array" aca="1" ref="P54" ca="1">MMS_Feedlot_N2ODirect_Equations.VEERG_4_1_1_3__4_NitrogenExcretionPerHead(P30,P49)</f>
        <v>0.18102528000000001</v>
      </c>
      <c r="Q54" s="55"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cm="1">
        <f t="array" aca="1" ref="D73:F73" ca="1">OFFSET(X_Table_Feedlot_HerdMovement,1,1,1,3)</f>
        <v>1000</v>
      </c>
      <c r="E73" s="107">
        <f ca="1"/>
        <v>1000</v>
      </c>
      <c r="F73" s="107">
        <f ca="1"/>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cm="1">
        <f t="array" aca="1" ref="D78:F78" ca="1">OFFSET(X_Table_Feedlot_HerdMovement,2,1,1,3)</f>
        <v>90</v>
      </c>
      <c r="E78" s="107">
        <f ca="1"/>
        <v>140</v>
      </c>
      <c r="F78" s="107">
        <f ca="1"/>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aca="1" ref="D83" ca="1">MMS_Feedlot_N2ODirect_Equations.VEERG_4_1_1_3__3_AnnualNitrogenExcretion(D73,D54,D78)</f>
        <v>16689.254400000005</v>
      </c>
      <c r="E83" s="107" cm="1">
        <f t="array" aca="1" ref="E83" ca="1">MMS_Feedlot_N2ODirect_Equations.VEERG_4_1_1_3__3_AnnualNitrogenExcretion(E73,E54,E78)</f>
        <v>25343.539200000003</v>
      </c>
      <c r="F83" s="107" cm="1">
        <f t="array" aca="1" ref="F83" ca="1">MMS_Feedlot_N2ODirect_Equations.VEERG_4_1_1_3__3_AnnualNitrogenExcretion(F73,F54,F78)</f>
        <v>36604.799999999988</v>
      </c>
      <c r="G83" s="2" t="str">
        <f>$E$64</f>
        <v>kg N</v>
      </c>
      <c r="H83" s="2"/>
      <c r="I83" s="2"/>
      <c r="J83" s="2"/>
      <c r="K83" s="2"/>
      <c r="O83" s="107" cm="1">
        <f t="array" aca="1" ref="O83" ca="1">MMS_Feedlot_N2ODirect_Equations.VEERG_4_1_1_3__3_AnnualNitrogenExcretion(D73,O54,D78)</f>
        <v>16689.254400000005</v>
      </c>
      <c r="P83" s="107" cm="1">
        <f t="array" aca="1" ref="P83" ca="1">MMS_Feedlot_N2ODirect_Equations.VEERG_4_1_1_3__3_AnnualNitrogenExcretion(E73,P54,E78)</f>
        <v>25343.539200000003</v>
      </c>
      <c r="Q83" s="107"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
        <v>100</v>
      </c>
      <c r="E101" s="55" cm="1">
        <f t="array" aca="1" ref="E101:G101" ca="1">OFFSET(X_Table_Feedlot_MMS_Stage1, 1,1,1,3)</f>
        <v>1</v>
      </c>
      <c r="F101" s="55">
        <f ca="1"/>
        <v>1</v>
      </c>
      <c r="G101" s="55">
        <f ca="1"/>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aca="1" ref="E106" ca="1">MMS_Feedlot_N2ODirect_Equations.VEERG_4_1_1_3__2_Stage1NitrogenInMMSDrylot(D83,E101)</f>
        <v>16689.254400000005</v>
      </c>
      <c r="F106" s="55" cm="1">
        <f t="array" aca="1" ref="F106" ca="1">MMS_Feedlot_N2ODirect_Equations.VEERG_4_1_1_3__2_Stage1NitrogenInMMSDrylot(E83,F101)</f>
        <v>25343.539200000003</v>
      </c>
      <c r="G106" s="55" cm="1">
        <f t="array" aca="1" ref="G106" ca="1">MMS_Feedlot_N2ODirect_Equations.VEERG_4_1_1_3__2_Stage1NitrogenInMMSDrylot(F83,G101)</f>
        <v>36604.799999999988</v>
      </c>
      <c r="H106" s="2" t="str">
        <f>$E$93</f>
        <v>kg N</v>
      </c>
      <c r="I106" s="2"/>
      <c r="J106" s="2"/>
      <c r="K106" s="2"/>
      <c r="O106" s="55" t="str">
        <f>INDEX(X_Table_Feedlot_MMS_Stage1,2,1)</f>
        <v>Drylot (feed pad)</v>
      </c>
      <c r="P106" s="55" cm="1">
        <f t="array" aca="1" ref="P106" ca="1">MMS_Feedlot_N2ODirect_Equations.VEERG_4_1_1_3__2_Stage1NitrogenInMMSDrylot(O83,E101)</f>
        <v>16689.254400000005</v>
      </c>
      <c r="Q106" s="55" cm="1">
        <f t="array" aca="1" ref="Q106" ca="1">MMS_Feedlot_N2ODirect_Equations.VEERG_4_1_1_3__2_Stage1NitrogenInMMSDrylot(P83,F101)</f>
        <v>25343.539200000003</v>
      </c>
      <c r="R106" s="55"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cm="1">
        <f t="array" aca="1" ref="D124:G124" ca="1">OFFSET(X_Table_Feedlot_MMS_Stage3,2,0,1,4)</f>
        <v>Anaerobic lagoon</v>
      </c>
      <c r="E124" s="55">
        <f ca="1"/>
        <v>0.02</v>
      </c>
      <c r="F124" s="55">
        <f ca="1"/>
        <v>0.02</v>
      </c>
      <c r="G124" s="55">
        <f ca="1"/>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aca="1" ref="E129" ca="1">MMS_Feedlot_N2ODirect_Equations.VEERG_4_1_1_3__8_Stage3NitrogenInMMSAnaerobicLagoon(D83,E124)</f>
        <v>333.78508800000009</v>
      </c>
      <c r="F129" s="55" cm="1">
        <f t="array" aca="1" ref="F129" ca="1">MMS_Feedlot_N2ODirect_Equations.VEERG_4_1_1_3__8_Stage3NitrogenInMMSAnaerobicLagoon(E83,F124)</f>
        <v>506.87078400000007</v>
      </c>
      <c r="G129" s="55" cm="1">
        <f t="array" aca="1" ref="G129" ca="1">MMS_Feedlot_N2ODirect_Equations.VEERG_4_1_1_3__8_Stage3NitrogenInMMSAnaerobicLagoon(F83,G124)</f>
        <v>732.09599999999978</v>
      </c>
      <c r="H129" s="2" t="str">
        <f>$E$116</f>
        <v>kg N</v>
      </c>
      <c r="I129" s="2"/>
      <c r="J129" s="2"/>
      <c r="K129" s="2"/>
      <c r="O129" s="55" t="str">
        <f>INDEX(X_Table_Feedlot_MMS_Stage3,3,1)</f>
        <v>Anaerobic lagoon</v>
      </c>
      <c r="P129" s="55" cm="1">
        <f t="array" aca="1" ref="P129" ca="1">MMS_Feedlot_N2ODirect_Equations.VEERG_4_1_1_3__8_Stage3NitrogenInMMSAnaerobicLagoon(O83,E124)</f>
        <v>333.78508800000009</v>
      </c>
      <c r="Q129" s="55" cm="1">
        <f t="array" aca="1" ref="Q129" ca="1">MMS_Feedlot_N2ODirect_Equations.VEERG_4_1_1_3__8_Stage3NitrogenInMMSAnaerobicLagoon(P83,F124)</f>
        <v>506.87078400000007</v>
      </c>
      <c r="R129" s="55"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aca="1" ref="D149" ca="1">MMS_Feedlot_N2ODirect_Equations.VEERG_4_1_1_3__7_NitrogenTransferredToStage2(E106,$I$142,$I$143,E129)</f>
        <v>6251.7946982400026</v>
      </c>
      <c r="E149" s="55" cm="1">
        <f t="array" aca="1" ref="E149" ca="1">MMS_Feedlot_N2ODirect_Equations.VEERG_4_1_1_3__7_NitrogenTransferredToStage2(F106,$I$142,$I$143,F129)</f>
        <v>9493.6897843200004</v>
      </c>
      <c r="F149" s="55" cm="1">
        <f t="array" aca="1" ref="F149" ca="1">MMS_Feedlot_N2ODirect_Equations.VEERG_4_1_1_3__7_NitrogenTransferredToStage2(G106,$I$142,$I$143,G129)</f>
        <v>13712.158079999996</v>
      </c>
      <c r="G149" s="2" t="str">
        <f>$E$116</f>
        <v>kg N</v>
      </c>
      <c r="O149" s="55" cm="1">
        <f t="array" aca="1" ref="O149" ca="1">MMS_Feedlot_N2ODirect_Equations.VEERG_4_1_1_3__7_NitrogenTransferredToStage2(P106,$I$142,$I$143,P129)</f>
        <v>6251.7946982400026</v>
      </c>
      <c r="P149" s="55" cm="1">
        <f t="array" aca="1" ref="P149" ca="1">MMS_Feedlot_N2ODirect_Equations.VEERG_4_1_1_3__7_NitrogenTransferredToStage2(Q106,$I$142,$I$143,Q129)</f>
        <v>9493.6897843200004</v>
      </c>
      <c r="Q149" s="55"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cm="1">
        <f t="array" aca="1" ref="D167:G169" ca="1">OFFSET(X_Table_Feedlot_MMS_Stage2,2, 0, 3, 4)</f>
        <v>Solid storage</v>
      </c>
      <c r="E167" s="55">
        <f ca="1"/>
        <v>0.2</v>
      </c>
      <c r="F167" s="55">
        <f ca="1"/>
        <v>0.2</v>
      </c>
      <c r="G167" s="55">
        <f ca="1"/>
        <v>0.2</v>
      </c>
      <c r="H167" s="2" t="s">
        <v>324</v>
      </c>
      <c r="I167" s="2"/>
      <c r="J167" s="2"/>
      <c r="K167" s="2"/>
    </row>
    <row r="168" spans="4:19" ht="20.100000000000001" customHeight="1" x14ac:dyDescent="0.25">
      <c r="D168" s="55" t="str">
        <f ca="1"/>
        <v>Composting (passive windrow)</v>
      </c>
      <c r="E168" s="55">
        <f ca="1"/>
        <v>0.2</v>
      </c>
      <c r="F168" s="55">
        <f ca="1"/>
        <v>0.2</v>
      </c>
      <c r="G168" s="55">
        <f ca="1"/>
        <v>0.2</v>
      </c>
      <c r="H168" s="2" t="s">
        <v>324</v>
      </c>
      <c r="I168" s="2"/>
      <c r="J168" s="2"/>
      <c r="K168" s="2"/>
    </row>
    <row r="169" spans="4:19" ht="20.100000000000001" customHeight="1" x14ac:dyDescent="0.25">
      <c r="D169" s="55" t="str">
        <f ca="1"/>
        <v>Direct application</v>
      </c>
      <c r="E169" s="55">
        <f ca="1"/>
        <v>0.6</v>
      </c>
      <c r="F169" s="55">
        <f ca="1"/>
        <v>0.6</v>
      </c>
      <c r="G169" s="55">
        <f ca="1"/>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aca="1" ref="E174" ca="1">MMS_Feedlot_N2ODirect_Equations.VEERG_4_1_1_3__6_Stage2NitrogenInMMS(D$149,E167)</f>
        <v>1250.3589396480006</v>
      </c>
      <c r="F174" s="55" cm="1">
        <f t="array" aca="1" ref="F174" ca="1">MMS_Feedlot_N2ODirect_Equations.VEERG_4_1_1_3__6_Stage2NitrogenInMMS(E$149,F167)</f>
        <v>1898.7379568640001</v>
      </c>
      <c r="G174" s="55" cm="1">
        <f t="array" aca="1" ref="G174" ca="1">MMS_Feedlot_N2ODirect_Equations.VEERG_4_1_1_3__6_Stage2NitrogenInMMS(F$149,G167)</f>
        <v>2742.4316159999994</v>
      </c>
      <c r="H174" s="2" t="str">
        <f>$E$159</f>
        <v>kg N</v>
      </c>
      <c r="I174" s="2"/>
      <c r="J174" s="2"/>
      <c r="K174" s="2"/>
      <c r="O174" s="55" t="str">
        <f>INDEX(X_Table_Feedlot_MMS_Stage2,3,1)</f>
        <v>Solid storage</v>
      </c>
      <c r="P174" s="55" cm="1">
        <f t="array" aca="1" ref="P174" ca="1">MMS_Feedlot_N2ODirect_Equations.VEERG_4_1_1_3__6_Stage2NitrogenInMMS(O$149,E167)</f>
        <v>1250.3589396480006</v>
      </c>
      <c r="Q174" s="55" cm="1">
        <f t="array" aca="1" ref="Q174" ca="1">MMS_Feedlot_N2ODirect_Equations.VEERG_4_1_1_3__6_Stage2NitrogenInMMS(P$149,F167)</f>
        <v>1898.7379568640001</v>
      </c>
      <c r="R174" s="55" cm="1">
        <f t="array" aca="1" ref="R174" ca="1">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aca="1" ref="E175" ca="1">MMS_Feedlot_N2ODirect_Equations.VEERG_4_1_1_3__6_Stage2NitrogenInMMS(D$149,E168)</f>
        <v>1250.3589396480006</v>
      </c>
      <c r="F175" s="55" cm="1">
        <f t="array" aca="1" ref="F175" ca="1">MMS_Feedlot_N2ODirect_Equations.VEERG_4_1_1_3__6_Stage2NitrogenInMMS(E$149,F168)</f>
        <v>1898.7379568640001</v>
      </c>
      <c r="G175" s="55" cm="1">
        <f t="array" aca="1" ref="G175" ca="1">MMS_Feedlot_N2ODirect_Equations.VEERG_4_1_1_3__6_Stage2NitrogenInMMS(F$149,G168)</f>
        <v>2742.4316159999994</v>
      </c>
      <c r="H175" s="2" t="str">
        <f>$E$159</f>
        <v>kg N</v>
      </c>
      <c r="I175" s="2"/>
      <c r="J175" s="2"/>
      <c r="K175" s="2"/>
      <c r="O175" s="55" t="str">
        <f>INDEX(X_Table_Feedlot_MMS_Stage2,4,1)</f>
        <v>Composting (passive windrow)</v>
      </c>
      <c r="P175" s="55" cm="1">
        <f t="array" aca="1" ref="P175" ca="1">MMS_Feedlot_N2ODirect_Equations.VEERG_4_1_1_3__6_Stage2NitrogenInMMS(O$149,E168)</f>
        <v>1250.3589396480006</v>
      </c>
      <c r="Q175" s="55" cm="1">
        <f t="array" aca="1" ref="Q175" ca="1">MMS_Feedlot_N2ODirect_Equations.VEERG_4_1_1_3__6_Stage2NitrogenInMMS(P$149,F168)</f>
        <v>1898.7379568640001</v>
      </c>
      <c r="R175" s="55" cm="1">
        <f t="array" aca="1" ref="R175" ca="1">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aca="1" ref="E176" ca="1">MMS_Feedlot_N2ODirect_Equations.VEERG_4_1_1_3__6_Stage2NitrogenInMMS(D$149,E169)</f>
        <v>3751.0768189440014</v>
      </c>
      <c r="F176" s="55" cm="1">
        <f t="array" aca="1" ref="F176" ca="1">MMS_Feedlot_N2ODirect_Equations.VEERG_4_1_1_3__6_Stage2NitrogenInMMS(E$149,F169)</f>
        <v>5696.2138705919997</v>
      </c>
      <c r="G176" s="55" cm="1">
        <f t="array" aca="1" ref="G176" ca="1">MMS_Feedlot_N2ODirect_Equations.VEERG_4_1_1_3__6_Stage2NitrogenInMMS(F$149,G169)</f>
        <v>8227.2948479999977</v>
      </c>
      <c r="H176" s="2" t="str">
        <f>$E$159</f>
        <v>kg N</v>
      </c>
      <c r="I176" s="2"/>
      <c r="J176" s="2"/>
      <c r="K176" s="2"/>
      <c r="O176" s="55" t="str">
        <f>INDEX(X_Table_Feedlot_MMS_Stage2,5,1)</f>
        <v>Direct application</v>
      </c>
      <c r="P176" s="55" cm="1">
        <f t="array" aca="1" ref="P176" ca="1">MMS_Feedlot_N2ODirect_Equations.VEERG_4_1_1_3__6_Stage2NitrogenInMMS(O$149,E169)</f>
        <v>3751.0768189440014</v>
      </c>
      <c r="Q176" s="55" cm="1">
        <f t="array" aca="1" ref="Q176" ca="1">MMS_Feedlot_N2ODirect_Equations.VEERG_4_1_1_3__6_Stage2NitrogenInMMS(P$149,F169)</f>
        <v>5696.2138705919997</v>
      </c>
      <c r="R176" s="55"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aca="1" ref="E206" ca="1">MMS_Feedlot_N2ODirect_Equations.VEERG_4_1_1_3__1_TotalAnnualDirectNitrousOxideEmissions(E$106,$E195,$I$190)</f>
        <v>0.14162024448000005</v>
      </c>
      <c r="F206" s="55" cm="1">
        <f t="array" aca="1" ref="F206" ca="1">MMS_Feedlot_N2ODirect_Equations.VEERG_4_1_1_3__1_TotalAnnualDirectNitrousOxideEmissions(F$106,$E195,$I$190)</f>
        <v>0.21505803264000004</v>
      </c>
      <c r="G206" s="55" cm="1">
        <f t="array" aca="1" ref="G206" ca="1">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aca="1" ref="P206" ca="1">MMS_Feedlot_N2ODirect_Equations.VEERG_4_1_1_3__1_TotalAnnualDirectNitrousOxideEmissions(P$106,$E195,$I$190)</f>
        <v>0.14162024448000005</v>
      </c>
      <c r="Q206" s="55" cm="1">
        <f t="array" aca="1" ref="Q206" ca="1">MMS_Feedlot_N2ODirect_Equations.VEERG_4_1_1_3__1_TotalAnnualDirectNitrousOxideEmissions(Q$106,$E195,$I$190)</f>
        <v>0.21505803264000004</v>
      </c>
      <c r="R206" s="55" cm="1">
        <f t="array" aca="1" ref="R206" ca="1">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aca="1" ref="E207" ca="1">MMS_Feedlot_N2ODirect_Equations.VEERG_4_1_1_3__1_TotalAnnualDirectNitrousOxideEmissions(E$174,$E196,$I$190)</f>
        <v>9.8242488115200047E-3</v>
      </c>
      <c r="F207" s="55" cm="1">
        <f t="array" aca="1" ref="F207" ca="1">MMS_Feedlot_N2ODirect_Equations.VEERG_4_1_1_3__1_TotalAnnualDirectNitrousOxideEmissions(F$174,$E196,$I$190)</f>
        <v>1.4918655375360001E-2</v>
      </c>
      <c r="G207" s="55" cm="1">
        <f t="array" aca="1" ref="G207" ca="1">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aca="1" ref="P207" ca="1">MMS_Feedlot_N2ODirect_Equations.VEERG_4_1_1_3__1_TotalAnnualDirectNitrousOxideEmissions(P$174,$E196,$I$190)</f>
        <v>9.8242488115200047E-3</v>
      </c>
      <c r="Q207" s="55" cm="1">
        <f t="array" aca="1" ref="Q207" ca="1">MMS_Feedlot_N2ODirect_Equations.VEERG_4_1_1_3__1_TotalAnnualDirectNitrousOxideEmissions(Q$174,$E196,$I$190)</f>
        <v>1.4918655375360001E-2</v>
      </c>
      <c r="R207" s="55" cm="1">
        <f t="array" aca="1" ref="R207" ca="1">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aca="1" ref="E208" ca="1">MMS_Feedlot_N2ODirect_Equations.VEERG_4_1_1_3__1_TotalAnnualDirectNitrousOxideEmissions(E$175,$E197,$I$190)</f>
        <v>1.9648497623040009E-2</v>
      </c>
      <c r="F208" s="55" cm="1">
        <f t="array" aca="1" ref="F208" ca="1">MMS_Feedlot_N2ODirect_Equations.VEERG_4_1_1_3__1_TotalAnnualDirectNitrousOxideEmissions(F$175,$E197,$I$190)</f>
        <v>2.9837310750720002E-2</v>
      </c>
      <c r="G208" s="55" cm="1">
        <f t="array" aca="1" ref="G208" ca="1">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aca="1" ref="P208" ca="1">MMS_Feedlot_N2ODirect_Equations.VEERG_4_1_1_3__1_TotalAnnualDirectNitrousOxideEmissions(P$175,$E197,$I$190)</f>
        <v>1.9648497623040009E-2</v>
      </c>
      <c r="Q208" s="55" cm="1">
        <f t="array" aca="1" ref="Q208" ca="1">MMS_Feedlot_N2ODirect_Equations.VEERG_4_1_1_3__1_TotalAnnualDirectNitrousOxideEmissions(Q$175,$E197,$I$190)</f>
        <v>2.9837310750720002E-2</v>
      </c>
      <c r="R208" s="55" cm="1">
        <f t="array" aca="1" ref="R208" ca="1">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aca="1" ref="E210" ca="1">MMS_Feedlot_N2ODirect_Equations.VEERG_4_1_1_3__1_TotalAnnualDirectNitrousOxideEmissions(E$129,$E198,$I$190)</f>
        <v>0</v>
      </c>
      <c r="F210" s="55" cm="1">
        <f t="array" aca="1" ref="F210" ca="1">MMS_Feedlot_N2ODirect_Equations.VEERG_4_1_1_3__1_TotalAnnualDirectNitrousOxideEmissions(F$129,$E198,$I$190)</f>
        <v>0</v>
      </c>
      <c r="G210" s="55" cm="1">
        <f t="array" aca="1" ref="G210" ca="1">MMS_Feedlot_N2ODirect_Equations.VEERG_4_1_1_3__1_TotalAnnualDirectNitrousOxideEmissions(G$129,$E198,$I$190)</f>
        <v>0</v>
      </c>
      <c r="H210" s="2" t="str">
        <f>$E$186</f>
        <v>t N2O</v>
      </c>
      <c r="I210" s="2"/>
      <c r="J210" s="2"/>
      <c r="K210" s="2"/>
      <c r="O210" s="55" t="str">
        <f>INDEX(X_Table_Feedlot_MMS_Stage3,3,1)</f>
        <v>Anaerobic lagoon</v>
      </c>
      <c r="P210" s="55" cm="1">
        <f t="array" aca="1" ref="P210" ca="1">MMS_Feedlot_N2ODirect_Equations.VEERG_4_1_1_3__1_TotalAnnualDirectNitrousOxideEmissions(P$129,$E198,$I$190)</f>
        <v>0</v>
      </c>
      <c r="Q210" s="55" cm="1">
        <f t="array" aca="1" ref="Q210" ca="1">MMS_Feedlot_N2ODirect_Equations.VEERG_4_1_1_3__1_TotalAnnualDirectNitrousOxideEmissions(Q$129,$E198,$I$190)</f>
        <v>0</v>
      </c>
      <c r="R210" s="55"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 ca="1">SUM(E206:G210)</f>
        <v>0.80616789491492569</v>
      </c>
      <c r="F212" s="110" t="str">
        <f>$E$186</f>
        <v>t N2O</v>
      </c>
      <c r="O212" s="108" t="s">
        <v>172</v>
      </c>
      <c r="P212" s="109">
        <f ca="1">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 ca="1">E212</f>
        <v>0.80616789491492569</v>
      </c>
      <c r="O214" s="60" t="str" cm="1">
        <f t="array" ref="O214:P215">Common_Equations.Common_ConvertN2OToCO2e_Arguments()</f>
        <v>EN2O</v>
      </c>
      <c r="P214" s="61" t="str">
        <v>Nitrous oxide emissions (t N2O)</v>
      </c>
      <c r="Q214" s="111"/>
      <c r="R214" s="55">
        <f ca="1">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aca="1" ref="E217" ca="1">Common_Equations.Common_ConvertN2OToCO2e(G214,G215)</f>
        <v>213.63449215245529</v>
      </c>
      <c r="F217" s="112" t="str" cm="1">
        <f t="array" ref="F217">Common_Equations.Common_ConvertN2OToCO2e_Unit()</f>
        <v>t CO2e</v>
      </c>
      <c r="O217" s="48" t="s">
        <v>126</v>
      </c>
      <c r="P217" s="48" cm="1">
        <f t="array" aca="1" ref="P217" ca="1">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85" zoomScaleNormal="85" workbookViewId="0">
      <selection activeCell="E23" sqref="E2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 ca="1">INDEX(M1_Table_MN_j_m5_T1,2,2)</f>
        <v>16689.254400000005</v>
      </c>
      <c r="F23" s="55">
        <f ca="1">INDEX(M1_Table_MN_j_m5_T1,2,3)</f>
        <v>25343.539200000003</v>
      </c>
      <c r="G23" s="55">
        <f ca="1">INDEX(M1_Table_MN_j_m5_T1,2,4)</f>
        <v>36604.799999999988</v>
      </c>
      <c r="H23" s="2" t="str">
        <f>$G$14</f>
        <v>kg N</v>
      </c>
      <c r="I23" s="2"/>
      <c r="M23" s="55" t="str">
        <f>INDEX(X_Table_Feedlot_MMS_Stage1,2,1)</f>
        <v>Drylot (feed pad)</v>
      </c>
      <c r="N23" s="55">
        <f ca="1">INDEX(M2_Table_MN_j_m5_T1,2,2)</f>
        <v>16689.254400000005</v>
      </c>
      <c r="O23" s="55">
        <f ca="1">INDEX(M2_Table_MN_j_m5_T1,2,3)</f>
        <v>25343.539200000003</v>
      </c>
      <c r="P23" s="55">
        <f ca="1">INDEX(M2_Table_MN_j_m5_T1,2,4)</f>
        <v>36604.799999999988</v>
      </c>
      <c r="Q23" s="2" t="str">
        <f>$G$14</f>
        <v>kg N</v>
      </c>
      <c r="R23" s="2"/>
    </row>
    <row r="24" spans="1:18" ht="20.100000000000001" customHeight="1" x14ac:dyDescent="0.25">
      <c r="A24" s="17"/>
      <c r="D24" s="55" t="str">
        <f>INDEX(X_Table_Feedlot_MMS_Stage2,3,1)</f>
        <v>Solid storage</v>
      </c>
      <c r="E24" s="55">
        <f ca="1">INDEX(M1_Table_MN_j_m_T2_Consumer_1,2,2)</f>
        <v>1250.3589396480006</v>
      </c>
      <c r="F24" s="55">
        <f ca="1">INDEX(M1_Table_MN_j_m_T2_Consumer_1,2,3)</f>
        <v>1898.7379568640001</v>
      </c>
      <c r="G24" s="55">
        <f ca="1">INDEX(M1_Table_MN_j_m_T2_Consumer_1,2,4)</f>
        <v>2742.4316159999994</v>
      </c>
      <c r="H24" s="2"/>
      <c r="I24" s="2"/>
      <c r="M24" s="55" t="str">
        <f>INDEX(X_Table_Feedlot_MMS_Stage2,3,1)</f>
        <v>Solid storage</v>
      </c>
      <c r="N24" s="55">
        <f ca="1">INDEX(M1_Table_MN_j_m_T2,2,2)</f>
        <v>1250.3589396480006</v>
      </c>
      <c r="O24" s="55">
        <f ca="1">INDEX(M1_Table_MN_j_m_T2,2,3)</f>
        <v>1898.7379568640001</v>
      </c>
      <c r="P24" s="55">
        <f ca="1">INDEX(M1_Table_MN_j_m_T2,2,4)</f>
        <v>2742.4316159999994</v>
      </c>
      <c r="Q24" s="2"/>
      <c r="R24" s="2"/>
    </row>
    <row r="25" spans="1:18" ht="20.100000000000001" customHeight="1" x14ac:dyDescent="0.25">
      <c r="A25" s="17"/>
      <c r="D25" s="55" t="str">
        <f>INDEX(X_Table_Feedlot_MMS_Stage2,4,1)</f>
        <v>Composting (passive windrow)</v>
      </c>
      <c r="E25" s="55">
        <f ca="1">INDEX(M1_Table_MN_j_m_T2_Consumer_1,3,2)</f>
        <v>1250.3589396480006</v>
      </c>
      <c r="F25" s="55">
        <f ca="1">INDEX(M1_Table_MN_j_m_T2_Consumer_1,3,3)</f>
        <v>1898.7379568640001</v>
      </c>
      <c r="G25" s="55">
        <f ca="1">INDEX(M1_Table_MN_j_m_T2_Consumer_1,3,4)</f>
        <v>2742.4316159999994</v>
      </c>
      <c r="H25" s="2"/>
      <c r="I25" s="2"/>
      <c r="M25" s="55" t="str">
        <f>INDEX(X_Table_Feedlot_MMS_Stage2,4,1)</f>
        <v>Composting (passive windrow)</v>
      </c>
      <c r="N25" s="55">
        <f ca="1">INDEX(M1_Table_MN_j_m_T2,3,2)</f>
        <v>1250.3589396480006</v>
      </c>
      <c r="O25" s="55">
        <f ca="1">INDEX(M1_Table_MN_j_m_T2,3,3)</f>
        <v>1898.7379568640001</v>
      </c>
      <c r="P25" s="55">
        <f ca="1">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 ca="1">INDEX(M1_Table_MN_j_m1_T3,2,2)</f>
        <v>333.78508800000009</v>
      </c>
      <c r="F27" s="55">
        <f ca="1">INDEX(M1_Table_MN_j_m1_T3,2,3)</f>
        <v>506.87078400000007</v>
      </c>
      <c r="G27" s="55">
        <f ca="1">INDEX(M1_Table_MN_j_m1_T3,2,4)</f>
        <v>732.09599999999978</v>
      </c>
      <c r="H27" s="2"/>
      <c r="I27" s="2"/>
      <c r="M27" s="55" t="str">
        <f>INDEX(X_Table_Feedlot_MMS_Stage3,3,1)</f>
        <v>Anaerobic lagoon</v>
      </c>
      <c r="N27" s="55">
        <f ca="1">INDEX(M2_Table_MN_j_m1_T3,2,2)</f>
        <v>333.78508800000009</v>
      </c>
      <c r="O27" s="55">
        <f ca="1">INDEX(M2_Table_MN_j_m1_T3,2,3)</f>
        <v>506.87078400000007</v>
      </c>
      <c r="P27" s="55">
        <f ca="1">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aca="1" ref="E40" ca="1">MMS_Feedlot_AtmosphericDeposition_Equations.VEERG_4_1_1_5__2_VolatilisedNitrogenFromManureManagement(E23,$E32)</f>
        <v>10013.552640000004</v>
      </c>
      <c r="F40" s="55" cm="1">
        <f t="array" aca="1" ref="F40" ca="1">MMS_Feedlot_AtmosphericDeposition_Equations.VEERG_4_1_1_5__2_VolatilisedNitrogenFromManureManagement(F23,$E32)</f>
        <v>15206.123520000001</v>
      </c>
      <c r="G40" s="55" cm="1">
        <f t="array" aca="1" ref="G40" ca="1">MMS_Feedlot_AtmosphericDeposition_Equations.VEERG_4_1_1_5__2_VolatilisedNitrogenFromManureManagement(G23,$E32)</f>
        <v>21962.879999999994</v>
      </c>
      <c r="H40" s="2" t="str">
        <f>$E$12</f>
        <v>kg N</v>
      </c>
      <c r="I40" s="2"/>
      <c r="M40" s="55" t="str">
        <f>INDEX(X_Table_Feedlot_MMS_Stage1,2,1)</f>
        <v>Drylot (feed pad)</v>
      </c>
      <c r="N40" s="55" cm="1">
        <f t="array" aca="1" ref="N40" ca="1">MMS_Feedlot_AtmosphericDeposition_Equations.VEERG_4_1_1_5__2_VolatilisedNitrogenFromManureManagement(N23,$E32)</f>
        <v>10013.552640000004</v>
      </c>
      <c r="O40" s="55" cm="1">
        <f t="array" aca="1" ref="O40" ca="1">MMS_Feedlot_AtmosphericDeposition_Equations.VEERG_4_1_1_5__2_VolatilisedNitrogenFromManureManagement(O23,$E32)</f>
        <v>15206.123520000001</v>
      </c>
      <c r="P40" s="55"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aca="1" ref="E41" ca="1">MMS_Feedlot_AtmosphericDeposition_Equations.VEERG_4_1_1_5__2_VolatilisedNitrogenFromManureManagement(E24,$E33)</f>
        <v>312.58973491200015</v>
      </c>
      <c r="F41" s="55" cm="1">
        <f t="array" aca="1" ref="F41" ca="1">MMS_Feedlot_AtmosphericDeposition_Equations.VEERG_4_1_1_5__2_VolatilisedNitrogenFromManureManagement(F24,$E33)</f>
        <v>474.68448921600003</v>
      </c>
      <c r="G41" s="55" cm="1">
        <f t="array" aca="1" ref="G41" ca="1">MMS_Feedlot_AtmosphericDeposition_Equations.VEERG_4_1_1_5__2_VolatilisedNitrogenFromManureManagement(G24,$E33)</f>
        <v>685.60790399999985</v>
      </c>
      <c r="H41" s="2"/>
      <c r="I41" s="2"/>
      <c r="M41" s="55" t="str">
        <f>INDEX(X_Table_Feedlot_MMS_Stage2,3,1)</f>
        <v>Solid storage</v>
      </c>
      <c r="N41" s="55" cm="1">
        <f t="array" aca="1" ref="N41" ca="1">MMS_Feedlot_AtmosphericDeposition_Equations.VEERG_4_1_1_5__2_VolatilisedNitrogenFromManureManagement(N24,$E33)</f>
        <v>312.58973491200015</v>
      </c>
      <c r="O41" s="55" cm="1">
        <f t="array" aca="1" ref="O41" ca="1">MMS_Feedlot_AtmosphericDeposition_Equations.VEERG_4_1_1_5__2_VolatilisedNitrogenFromManureManagement(O24,$E33)</f>
        <v>474.68448921600003</v>
      </c>
      <c r="P41" s="55" cm="1">
        <f t="array" aca="1" ref="P41" ca="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aca="1" ref="E42" ca="1">MMS_Feedlot_AtmosphericDeposition_Equations.VEERG_4_1_1_5__2_VolatilisedNitrogenFromManureManagement(E25,$E34)</f>
        <v>500.14357585920027</v>
      </c>
      <c r="F42" s="55" cm="1">
        <f t="array" aca="1" ref="F42" ca="1">MMS_Feedlot_AtmosphericDeposition_Equations.VEERG_4_1_1_5__2_VolatilisedNitrogenFromManureManagement(F25,$E34)</f>
        <v>759.49518274560012</v>
      </c>
      <c r="G42" s="55" cm="1">
        <f t="array" aca="1" ref="G42" ca="1">MMS_Feedlot_AtmosphericDeposition_Equations.VEERG_4_1_1_5__2_VolatilisedNitrogenFromManureManagement(G25,$E34)</f>
        <v>1096.9726463999998</v>
      </c>
      <c r="H42" s="2"/>
      <c r="I42" s="2"/>
      <c r="M42" s="55" t="str">
        <f>INDEX(X_Table_Feedlot_MMS_Stage2,4,1)</f>
        <v>Composting (passive windrow)</v>
      </c>
      <c r="N42" s="55" cm="1">
        <f t="array" aca="1" ref="N42" ca="1">MMS_Feedlot_AtmosphericDeposition_Equations.VEERG_4_1_1_5__2_VolatilisedNitrogenFromManureManagement(N25,$E34)</f>
        <v>500.14357585920027</v>
      </c>
      <c r="O42" s="55" cm="1">
        <f t="array" aca="1" ref="O42" ca="1">MMS_Feedlot_AtmosphericDeposition_Equations.VEERG_4_1_1_5__2_VolatilisedNitrogenFromManureManagement(O25,$E34)</f>
        <v>759.49518274560012</v>
      </c>
      <c r="P42" s="55" cm="1">
        <f t="array" aca="1" ref="P42" ca="1">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aca="1" ref="E44" ca="1">MMS_Feedlot_AtmosphericDeposition_Equations.VEERG_4_1_1_5__2_VolatilisedNitrogenFromManureManagement(E27,$E35)</f>
        <v>116.82478080000003</v>
      </c>
      <c r="F44" s="55" cm="1">
        <f t="array" aca="1" ref="F44" ca="1">MMS_Feedlot_AtmosphericDeposition_Equations.VEERG_4_1_1_5__2_VolatilisedNitrogenFromManureManagement(F27,$E35)</f>
        <v>177.40477440000001</v>
      </c>
      <c r="G44" s="55" cm="1">
        <f t="array" aca="1" ref="G44" ca="1">MMS_Feedlot_AtmosphericDeposition_Equations.VEERG_4_1_1_5__2_VolatilisedNitrogenFromManureManagement(G27,$E35)</f>
        <v>256.23359999999991</v>
      </c>
      <c r="H44" s="2"/>
      <c r="I44" s="2"/>
      <c r="M44" s="55" t="str">
        <f>INDEX(X_Table_Feedlot_MMS_Stage3,3,1)</f>
        <v>Anaerobic lagoon</v>
      </c>
      <c r="N44" s="55" cm="1">
        <f t="array" aca="1" ref="N44" ca="1">MMS_Feedlot_AtmosphericDeposition_Equations.VEERG_4_1_1_5__2_VolatilisedNitrogenFromManureManagement(N27,$E35)</f>
        <v>116.82478080000003</v>
      </c>
      <c r="O44" s="55" cm="1">
        <f t="array" aca="1" ref="O44" ca="1">MMS_Feedlot_AtmosphericDeposition_Equations.VEERG_4_1_1_5__2_VolatilisedNitrogenFromManureManagement(O27,$E35)</f>
        <v>177.40477440000001</v>
      </c>
      <c r="P44" s="55"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 ca="1">SUM(E40:G44)</f>
        <v>51562.512848332786</v>
      </c>
      <c r="F46" s="120" t="str">
        <f>$E$12</f>
        <v>kg N</v>
      </c>
      <c r="M46" s="122" t="s">
        <v>266</v>
      </c>
      <c r="N46" s="48">
        <f ca="1">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 ca="1">$E$46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 ca="1">$N$46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aca="1" ref="E65" ca="1">MMS_Feedlot_AtmosphericDeposition_Equations.VEERG_4_1_1_5__1_TotalAnnualAtmosphericDepositionEmissions(I58,I59,I60)</f>
        <v>0.1458482506281413</v>
      </c>
      <c r="F65" s="110" t="str">
        <f>$E$56</f>
        <v>t N2O</v>
      </c>
      <c r="M65" s="108" t="s">
        <v>280</v>
      </c>
      <c r="N65" s="109" cm="1">
        <f t="array" aca="1" ref="N65" ca="1">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 ca="1">E65</f>
        <v>0.1458482506281413</v>
      </c>
      <c r="M67" s="60" t="str" cm="1">
        <f t="array" ref="M67:N68">Common_Equations.Common_ConvertN2OToCO2e_Arguments()</f>
        <v>EN2O</v>
      </c>
      <c r="N67" s="61" t="str">
        <v>Nitrous oxide emissions (t N2O)</v>
      </c>
      <c r="O67" s="111"/>
      <c r="P67" s="55">
        <f ca="1">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aca="1" ref="E70" ca="1">Common_Equations.Common_ConvertN2OToCO2e(G67,G68)</f>
        <v>38.649786416457445</v>
      </c>
      <c r="F70" s="112" t="str" cm="1">
        <f t="array" ref="F70">Common_Equations.Common_ConvertN2OToCO2e_Unit()</f>
        <v>t CO2e</v>
      </c>
      <c r="M70" s="48" t="s">
        <v>126</v>
      </c>
      <c r="N70" s="48" cm="1">
        <f t="array" aca="1" ref="N70" ca="1">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E99" sqref="E9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 ca="1">INDEX(M1_Table_MN_j_m_T2_Consumer_1,2,2)</f>
        <v>1250.3589396480006</v>
      </c>
      <c r="F22" s="55">
        <f ca="1">INDEX(M1_Table_MN_j_m_T2_Consumer_1,2,3)</f>
        <v>1898.7379568640001</v>
      </c>
      <c r="G22" s="55">
        <f ca="1">INDEX(M1_Table_MN_j_m_T2_Consumer_1,2,4)</f>
        <v>2742.4316159999994</v>
      </c>
      <c r="H22" s="2" t="s">
        <v>227</v>
      </c>
      <c r="I22" s="2"/>
      <c r="J22" s="2"/>
      <c r="N22" s="55" t="str">
        <f>INDEX(X_Table_Feedlot_MMS_Stage2,3,1)</f>
        <v>Solid storage</v>
      </c>
      <c r="O22" s="55">
        <f ca="1">INDEX(M1_Table_MN_j_m_T2,2,2)</f>
        <v>1250.3589396480006</v>
      </c>
      <c r="P22" s="55">
        <f ca="1">INDEX(M1_Table_MN_j_m_T2,2,3)</f>
        <v>1898.7379568640001</v>
      </c>
      <c r="Q22" s="55">
        <f ca="1">INDEX(M1_Table_MN_j_m_T2,2,4)</f>
        <v>2742.4316159999994</v>
      </c>
      <c r="R22" s="2" t="s">
        <v>227</v>
      </c>
    </row>
    <row r="23" spans="1:18" ht="20.100000000000001" customHeight="1" x14ac:dyDescent="0.25">
      <c r="D23" s="55" t="str">
        <f>INDEX(X_Table_Feedlot_MMS_Stage2,4,1)</f>
        <v>Composting (passive windrow)</v>
      </c>
      <c r="E23" s="55">
        <f ca="1">INDEX(M1_Table_MN_j_m_T2_Consumer_1,3,2)</f>
        <v>1250.3589396480006</v>
      </c>
      <c r="F23" s="55">
        <f ca="1">INDEX(M1_Table_MN_j_m_T2_Consumer_1,3,3)</f>
        <v>1898.7379568640001</v>
      </c>
      <c r="G23" s="55">
        <f ca="1">INDEX(M1_Table_MN_j_m_T2_Consumer_1,3,4)</f>
        <v>2742.4316159999994</v>
      </c>
      <c r="H23" s="2" t="s">
        <v>227</v>
      </c>
      <c r="I23" s="2"/>
      <c r="J23" s="2"/>
      <c r="N23" s="55" t="str">
        <f>INDEX(X_Table_Feedlot_MMS_Stage2,4,1)</f>
        <v>Composting (passive windrow)</v>
      </c>
      <c r="O23" s="55">
        <f ca="1">INDEX(M1_Table_MN_j_m_T2,3,2)</f>
        <v>1250.3589396480006</v>
      </c>
      <c r="P23" s="55">
        <f ca="1">INDEX(M1_Table_MN_j_m_T2,3,3)</f>
        <v>1898.7379568640001</v>
      </c>
      <c r="Q23" s="55">
        <f ca="1">INDEX(M1_Table_MN_j_m_T2,3,4)</f>
        <v>2742.4316159999994</v>
      </c>
      <c r="R23" s="2" t="s">
        <v>227</v>
      </c>
    </row>
    <row r="24" spans="1:18" ht="20.100000000000001" customHeight="1" x14ac:dyDescent="0.25">
      <c r="A24" s="17"/>
      <c r="D24" s="55" t="str">
        <f>INDEX(X_Table_Feedlot_MMS_Stage2,5,1)</f>
        <v>Direct application</v>
      </c>
      <c r="E24" s="55">
        <f ca="1">INDEX(M1_Table_MN_j_m_T2_Consumer_1,4,2)</f>
        <v>3751.0768189440014</v>
      </c>
      <c r="F24" s="55">
        <f ca="1">INDEX(M1_Table_MN_j_m_T2_Consumer_1,4,3)</f>
        <v>5696.2138705919997</v>
      </c>
      <c r="G24" s="55">
        <f ca="1">INDEX(M1_Table_MN_j_m_T2_Consumer_1,4,4)</f>
        <v>8227.2948479999977</v>
      </c>
      <c r="N24" s="55" t="str">
        <f>INDEX(X_Table_Feedlot_MMS_Stage2,5,1)</f>
        <v>Direct application</v>
      </c>
      <c r="O24" s="55">
        <f ca="1">INDEX(M1_Table_MN_j_m_T2,4,2)</f>
        <v>3751.0768189440014</v>
      </c>
      <c r="P24" s="55">
        <f ca="1">INDEX(M1_Table_MN_j_m_T2,4,3)</f>
        <v>5696.2138705919997</v>
      </c>
      <c r="Q24" s="55">
        <f ca="1">INDEX(M1_Table_MN_j_m_T2,4,4)</f>
        <v>8227.2948479999977</v>
      </c>
      <c r="R24" s="2" t="s">
        <v>227</v>
      </c>
    </row>
    <row r="25" spans="1:18" ht="20.100000000000001" customHeight="1" x14ac:dyDescent="0.25">
      <c r="A25" s="17"/>
      <c r="D25" s="55" t="str">
        <f>INDEX(X_Table_Feedlot_MMS_Stage3,3,1)</f>
        <v>Anaerobic lagoon</v>
      </c>
      <c r="E25" s="55">
        <f ca="1">INDEX(M1_Table_MN_j_m1_T3,2,2)</f>
        <v>333.78508800000009</v>
      </c>
      <c r="F25" s="55">
        <f ca="1">INDEX(M1_Table_MN_j_m1_T3,2,3)</f>
        <v>506.87078400000007</v>
      </c>
      <c r="G25" s="55">
        <f ca="1">INDEX(M1_Table_MN_j_m1_T3,2,4)</f>
        <v>732.09599999999978</v>
      </c>
      <c r="H25" s="2" t="s">
        <v>227</v>
      </c>
      <c r="I25" s="2"/>
      <c r="J25" s="2"/>
      <c r="N25" s="55" t="str">
        <f>INDEX(X_Table_Feedlot_MMS_Stage3,3,1)</f>
        <v>Anaerobic lagoon</v>
      </c>
      <c r="O25" s="55">
        <f ca="1">INDEX(M2_Table_MN_j_m1_T3,2,2)</f>
        <v>333.78508800000009</v>
      </c>
      <c r="P25" s="55">
        <f ca="1">INDEX(M2_Table_MN_j_m1_T3,2,3)</f>
        <v>506.87078400000007</v>
      </c>
      <c r="Q25" s="55">
        <f ca="1">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 ca="1">SUM(OFFSET(X_Table_Feedlot_MMS_Stage2_Destinations, 2,1,1,2))</f>
        <v>0.75</v>
      </c>
      <c r="F48" s="2" t="s">
        <v>324</v>
      </c>
      <c r="H48" s="2"/>
      <c r="I48" s="2"/>
      <c r="J48" s="2"/>
    </row>
    <row r="49" spans="3:19" ht="20.100000000000001" customHeight="1" x14ac:dyDescent="0.25">
      <c r="D49" s="55" t="str">
        <f>INDEX(X_Table_Feedlot_MMS_Stage2,4,1)</f>
        <v>Composting (passive windrow)</v>
      </c>
      <c r="E49" s="55">
        <f ca="1">SUM(OFFSET(X_Table_Feedlot_MMS_Stage2_Destinations, 3,1,1,2))</f>
        <v>0.75</v>
      </c>
      <c r="F49" s="2" t="s">
        <v>324</v>
      </c>
      <c r="H49" s="2"/>
      <c r="I49" s="2"/>
      <c r="J49" s="2"/>
    </row>
    <row r="50" spans="3:19" ht="20.100000000000001" customHeight="1" x14ac:dyDescent="0.25">
      <c r="D50" s="55" t="str">
        <f>INDEX(X_Table_Feedlot_MMS_Stage2,5,1)</f>
        <v>Direct application</v>
      </c>
      <c r="E50" s="55">
        <f ca="1">SUM(OFFSET(X_Table_Feedlot_MMS_Stage2_Destinations, 4,1,1,2))</f>
        <v>1</v>
      </c>
      <c r="F50" s="2" t="s">
        <v>324</v>
      </c>
      <c r="H50" s="2"/>
      <c r="I50" s="2"/>
      <c r="J50" s="2"/>
    </row>
    <row r="51" spans="3:19" ht="20.100000000000001" customHeight="1" x14ac:dyDescent="0.25">
      <c r="D51" s="55" t="str">
        <f>INDEX(X_Table_Feedlot_MMS_Stage3,3,1)</f>
        <v>Anaerobic lagoon</v>
      </c>
      <c r="E51" s="55">
        <f ca="1">SUM(OFFSET(X_Table_Feedlot_MMS_Stage3_Destinations, 2,1,1,2))</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aca="1" ref="E56" ca="1">MMS_Feedlot_ManureAppliedToSoils_Equations.VEERG_4_1_1_9__1_MassOfNitrogenAppliedToSoilsScope1(E22,_xlfn.XLOOKUP($D56,$D$30:$D$34,$E$30:$E$34),_xlfn.XLOOKUP($D56,$D$39:$D$43,$E$39:$E$43),$E48)</f>
        <v>698.63805752832036</v>
      </c>
      <c r="F56" s="55" cm="1">
        <f t="array" aca="1" ref="F56" ca="1">MMS_Feedlot_ManureAppliedToSoils_Equations.VEERG_4_1_1_9__1_MassOfNitrogenAppliedToSoilsScope1(F22,_xlfn.XLOOKUP($D56,$D$30:$D$34,$E$30:$E$34),_xlfn.XLOOKUP($D56,$D$39:$D$43,$E$39:$E$43),$E48)</f>
        <v>1060.9198333977599</v>
      </c>
      <c r="G56" s="55" cm="1">
        <f t="array" aca="1" ref="G56" ca="1">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aca="1" ref="O56" ca="1">MMS_Feedlot_ManureAppliedToSoils_Equations.VEERG_4_1_1_9__1_MassOfNitrogenAppliedToSoilsScope1(O22,_xlfn.XLOOKUP($N56,$D$30:$D$34,$E$30:$E$34),_xlfn.XLOOKUP($N56,$D$39:$D$43,$E$39:$E$43),$E48)</f>
        <v>698.63805752832036</v>
      </c>
      <c r="P56" s="55" cm="1">
        <f t="array" aca="1" ref="P56" ca="1">MMS_Feedlot_ManureAppliedToSoils_Equations.VEERG_4_1_1_9__1_MassOfNitrogenAppliedToSoilsScope1(P22,_xlfn.XLOOKUP($N56,$D$30:$D$34,$E$30:$E$34),_xlfn.XLOOKUP($N56,$D$39:$D$43,$E$39:$E$43),$E48)</f>
        <v>1060.9198333977599</v>
      </c>
      <c r="Q56" s="55"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aca="1" ref="E57" ca="1">MMS_Feedlot_ManureAppliedToSoils_Equations.VEERG_4_1_1_9__1_MassOfNitrogenAppliedToSoilsScope1(E23,_xlfn.XLOOKUP($D57,$D$30:$D$34,$E$30:$E$34),_xlfn.XLOOKUP($D57,$D$39:$D$43,$E$39:$E$43),$E49)</f>
        <v>553.2838307942402</v>
      </c>
      <c r="F57" s="55" cm="1">
        <f t="array" aca="1" ref="F57" ca="1">MMS_Feedlot_ManureAppliedToSoils_Equations.VEERG_4_1_1_9__1_MassOfNitrogenAppliedToSoilsScope1(F23,_xlfn.XLOOKUP($D57,$D$30:$D$34,$E$30:$E$34),_xlfn.XLOOKUP($D57,$D$39:$D$43,$E$39:$E$43),$E49)</f>
        <v>840.19154591231995</v>
      </c>
      <c r="G57" s="55" cm="1">
        <f t="array" aca="1" ref="G57" ca="1">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aca="1" ref="O57" ca="1">MMS_Feedlot_ManureAppliedToSoils_Equations.VEERG_4_1_1_9__1_MassOfNitrogenAppliedToSoilsScope1(O23,_xlfn.XLOOKUP($N57,$D$30:$D$34,$E$30:$E$34),_xlfn.XLOOKUP($N57,$D$39:$D$43,$E$39:$E$43),$E49)</f>
        <v>553.2838307942402</v>
      </c>
      <c r="P57" s="55" cm="1">
        <f t="array" aca="1" ref="P57" ca="1">MMS_Feedlot_ManureAppliedToSoils_Equations.VEERG_4_1_1_9__1_MassOfNitrogenAppliedToSoilsScope1(P23,_xlfn.XLOOKUP($N57,$D$30:$D$34,$E$30:$E$34),_xlfn.XLOOKUP($N57,$D$39:$D$43,$E$39:$E$43),$E49)</f>
        <v>840.19154591231995</v>
      </c>
      <c r="Q57" s="55"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aca="1" ref="E58" ca="1">MMS_Feedlot_ManureAppliedToSoils_Equations.VEERG_4_1_1_9__1_MassOfNitrogenAppliedToSoilsScope1(E24,_xlfn.XLOOKUP($D58,$D$30:$D$34,$E$30:$E$34),_xlfn.XLOOKUP($D58,$D$39:$D$43,$E$39:$E$43),$E50)</f>
        <v>3751.0768189440014</v>
      </c>
      <c r="F58" s="55" cm="1">
        <f t="array" aca="1" ref="F58" ca="1">MMS_Feedlot_ManureAppliedToSoils_Equations.VEERG_4_1_1_9__1_MassOfNitrogenAppliedToSoilsScope1(F24,_xlfn.XLOOKUP($D58,$D$30:$D$34,$E$30:$E$34),_xlfn.XLOOKUP($D58,$D$39:$D$43,$E$39:$E$43),$E50)</f>
        <v>5696.2138705919997</v>
      </c>
      <c r="G58" s="55" cm="1">
        <f t="array" aca="1" ref="G58" ca="1">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aca="1" ref="O58" ca="1">MMS_Feedlot_ManureAppliedToSoils_Equations.VEERG_4_1_1_9__1_MassOfNitrogenAppliedToSoilsScope1(O24,_xlfn.XLOOKUP($N58,$D$30:$D$34,$E$30:$E$34),_xlfn.XLOOKUP($N58,$D$39:$D$43,$E$39:$E$43),$E50)</f>
        <v>3751.0768189440014</v>
      </c>
      <c r="P58" s="55" cm="1">
        <f t="array" aca="1" ref="P58" ca="1">MMS_Feedlot_ManureAppliedToSoils_Equations.VEERG_4_1_1_9__1_MassOfNitrogenAppliedToSoilsScope1(P24,_xlfn.XLOOKUP($N58,$D$30:$D$34,$E$30:$E$34),_xlfn.XLOOKUP($N58,$D$39:$D$43,$E$39:$E$43),$E50)</f>
        <v>5696.2138705919997</v>
      </c>
      <c r="Q58" s="55"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aca="1" ref="E59" ca="1">MMS_Feedlot_ManureAppliedToSoils_Equations.VEERG_4_1_1_9__1_MassOfNitrogenAppliedToSoilsScope1(E25,_xlfn.XLOOKUP($D59,$D$30:$D$34,$E$30:$E$34),_xlfn.XLOOKUP($D59,$D$39:$D$43,$E$39:$E$43),$E51)</f>
        <v>162.72023040000005</v>
      </c>
      <c r="F59" s="55" cm="1">
        <f t="array" aca="1" ref="F59" ca="1">MMS_Feedlot_ManureAppliedToSoils_Equations.VEERG_4_1_1_9__1_MassOfNitrogenAppliedToSoilsScope1(F25,_xlfn.XLOOKUP($D59,$D$30:$D$34,$E$30:$E$34),_xlfn.XLOOKUP($D59,$D$39:$D$43,$E$39:$E$43),$E51)</f>
        <v>247.09950720000006</v>
      </c>
      <c r="G59" s="55" cm="1">
        <f t="array" aca="1" ref="G59" ca="1">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aca="1" ref="O59" ca="1">MMS_Feedlot_ManureAppliedToSoils_Equations.VEERG_4_1_1_9__1_MassOfNitrogenAppliedToSoilsScope1(O25,_xlfn.XLOOKUP($N59,$D$30:$D$34,$E$30:$E$34),_xlfn.XLOOKUP($N59,$D$39:$D$43,$E$39:$E$43),$E51)</f>
        <v>162.72023040000005</v>
      </c>
      <c r="P59" s="55" cm="1">
        <f t="array" aca="1" ref="P59" ca="1">MMS_Feedlot_ManureAppliedToSoils_Equations.VEERG_4_1_1_9__1_MassOfNitrogenAppliedToSoilsScope1(P25,_xlfn.XLOOKUP($N59,$D$30:$D$34,$E$30:$E$34),_xlfn.XLOOKUP($N59,$D$39:$D$43,$E$39:$E$43),$E51)</f>
        <v>247.09950720000006</v>
      </c>
      <c r="Q59" s="55"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 ca="1">SUM(E56:G59)</f>
        <v>24340.194998288636</v>
      </c>
      <c r="F61" s="110" t="str">
        <f>$E$12</f>
        <v>kg N</v>
      </c>
      <c r="N61" s="108" t="s">
        <v>240</v>
      </c>
      <c r="O61" s="109">
        <f ca="1">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aca="1" ref="E82" ca="1">MMS_Feedlot_ManureAppliedToSoils_Equations.VEERG_4_1_1_9__2_MassOfNitrogenAppliedToSoilsScope3(E22,_xlfn.XLOOKUP($D82, $D$30:$D$34,$E$30:$E$34),_xlfn.XLOOKUP($D82,$D$39:$D$43,$E$39:$E$43),$E48)</f>
        <v>232.87935250944011</v>
      </c>
      <c r="F82" s="55" cm="1">
        <f t="array" aca="1" ref="F82" ca="1">MMS_Feedlot_ManureAppliedToSoils_Equations.VEERG_4_1_1_9__2_MassOfNitrogenAppliedToSoilsScope3(F22,_xlfn.XLOOKUP($D82, $D$30:$D$34,$E$30:$E$34),_xlfn.XLOOKUP($D82,$D$39:$D$43,$E$39:$E$43),$E48)</f>
        <v>353.63994446592</v>
      </c>
      <c r="G82" s="55" cm="1">
        <f t="array" aca="1" ref="G82" ca="1">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aca="1" ref="O82" ca="1">MMS_Feedlot_ManureAppliedToSoils_Equations.VEERG_4_1_1_9__2_MassOfNitrogenAppliedToSoilsScope3(O22,_xlfn.XLOOKUP($N82, $D$30:$D$34,$E$30:$E$34),_xlfn.XLOOKUP($N82,$D$39:$D$43,$E$39:$E$43),$E48)</f>
        <v>232.87935250944011</v>
      </c>
      <c r="P82" s="55" cm="1">
        <f t="array" aca="1" ref="P82" ca="1">MMS_Feedlot_ManureAppliedToSoils_Equations.VEERG_4_1_1_9__2_MassOfNitrogenAppliedToSoilsScope3(P22,_xlfn.XLOOKUP($N82, $D$30:$D$34,$E$30:$E$34),_xlfn.XLOOKUP($N82,$D$39:$D$43,$E$39:$E$43),$E48)</f>
        <v>353.63994446592</v>
      </c>
      <c r="Q82" s="55"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aca="1" ref="E83" ca="1">MMS_Feedlot_ManureAppliedToSoils_Equations.VEERG_4_1_1_9__2_MassOfNitrogenAppliedToSoilsScope3(E23,_xlfn.XLOOKUP($D83, $D$30:$D$34,$E$30:$E$34),_xlfn.XLOOKUP($D83,$D$39:$D$43,$E$39:$E$43),$E49)</f>
        <v>184.42794359808008</v>
      </c>
      <c r="F83" s="55" cm="1">
        <f t="array" aca="1" ref="F83" ca="1">MMS_Feedlot_ManureAppliedToSoils_Equations.VEERG_4_1_1_9__2_MassOfNitrogenAppliedToSoilsScope3(F23,_xlfn.XLOOKUP($D83, $D$30:$D$34,$E$30:$E$34),_xlfn.XLOOKUP($D83,$D$39:$D$43,$E$39:$E$43),$E49)</f>
        <v>280.06384863744</v>
      </c>
      <c r="G83" s="55" cm="1">
        <f t="array" aca="1" ref="G83" ca="1">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aca="1" ref="O83" ca="1">MMS_Feedlot_ManureAppliedToSoils_Equations.VEERG_4_1_1_9__2_MassOfNitrogenAppliedToSoilsScope3(O23,_xlfn.XLOOKUP($N83, $D$30:$D$34,$E$30:$E$34),_xlfn.XLOOKUP($N83,$D$39:$D$43,$E$39:$E$43),$E49)</f>
        <v>184.42794359808008</v>
      </c>
      <c r="P83" s="55" cm="1">
        <f t="array" aca="1" ref="P83" ca="1">MMS_Feedlot_ManureAppliedToSoils_Equations.VEERG_4_1_1_9__2_MassOfNitrogenAppliedToSoilsScope3(P23,_xlfn.XLOOKUP($N83, $D$30:$D$34,$E$30:$E$34),_xlfn.XLOOKUP($N83,$D$39:$D$43,$E$39:$E$43),$E49)</f>
        <v>280.06384863744</v>
      </c>
      <c r="Q83" s="55"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aca="1" ref="E84" ca="1">MMS_Feedlot_ManureAppliedToSoils_Equations.VEERG_4_1_1_9__2_MassOfNitrogenAppliedToSoilsScope3(E24,_xlfn.XLOOKUP($D84, $D$30:$D$34,$E$30:$E$34),_xlfn.XLOOKUP($D84,$D$39:$D$43,$E$39:$E$43),$E50)</f>
        <v>0</v>
      </c>
      <c r="F84" s="55" cm="1">
        <f t="array" aca="1" ref="F84" ca="1">MMS_Feedlot_ManureAppliedToSoils_Equations.VEERG_4_1_1_9__2_MassOfNitrogenAppliedToSoilsScope3(F24,_xlfn.XLOOKUP($D84, $D$30:$D$34,$E$30:$E$34),_xlfn.XLOOKUP($D84,$D$39:$D$43,$E$39:$E$43),$E50)</f>
        <v>0</v>
      </c>
      <c r="G84" s="55" cm="1">
        <f t="array" aca="1" ref="G84" ca="1">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aca="1" ref="O84" ca="1">MMS_Feedlot_ManureAppliedToSoils_Equations.VEERG_4_1_1_9__2_MassOfNitrogenAppliedToSoilsScope3(O24,_xlfn.XLOOKUP($N84, $D$30:$D$34,$E$30:$E$34),_xlfn.XLOOKUP($N84,$D$39:$D$43,$E$39:$E$43),$E50)</f>
        <v>0</v>
      </c>
      <c r="P84" s="55" cm="1">
        <f t="array" aca="1" ref="P84" ca="1">MMS_Feedlot_ManureAppliedToSoils_Equations.VEERG_4_1_1_9__2_MassOfNitrogenAppliedToSoilsScope3(P24,_xlfn.XLOOKUP($N84, $D$30:$D$34,$E$30:$E$34),_xlfn.XLOOKUP($N84,$D$39:$D$43,$E$39:$E$43),$E50)</f>
        <v>0</v>
      </c>
      <c r="Q84" s="55"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aca="1" ref="E85" ca="1">MMS_Feedlot_ManureAppliedToSoils_Equations.VEERG_4_1_1_9__2_MassOfNitrogenAppliedToSoilsScope3(E25,_xlfn.XLOOKUP($D85, $D$30:$D$34,$E$30:$E$34),_xlfn.XLOOKUP($D85,$D$39:$D$43,$E$39:$E$43),$E51)</f>
        <v>54.240076800000018</v>
      </c>
      <c r="F85" s="55" cm="1">
        <f t="array" aca="1" ref="F85" ca="1">MMS_Feedlot_ManureAppliedToSoils_Equations.VEERG_4_1_1_9__2_MassOfNitrogenAppliedToSoilsScope3(F25,_xlfn.XLOOKUP($D85, $D$30:$D$34,$E$30:$E$34),_xlfn.XLOOKUP($D85,$D$39:$D$43,$E$39:$E$43),$E51)</f>
        <v>82.366502400000016</v>
      </c>
      <c r="G85" s="55" cm="1">
        <f t="array" aca="1" ref="G85" ca="1">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aca="1" ref="O85" ca="1">MMS_Feedlot_ManureAppliedToSoils_Equations.VEERG_4_1_1_9__2_MassOfNitrogenAppliedToSoilsScope3(O25,_xlfn.XLOOKUP($N85, $D$30:$D$34,$E$30:$E$34),_xlfn.XLOOKUP($N85,$D$39:$D$43,$E$39:$E$43),$E51)</f>
        <v>54.240076800000018</v>
      </c>
      <c r="P85" s="55" cm="1">
        <f t="array" aca="1" ref="P85" ca="1">MMS_Feedlot_ManureAppliedToSoils_Equations.VEERG_4_1_1_9__2_MassOfNitrogenAppliedToSoilsScope3(P25,_xlfn.XLOOKUP($N85, $D$30:$D$34,$E$30:$E$34),_xlfn.XLOOKUP($N85,$D$39:$D$43,$E$39:$E$43),$E51)</f>
        <v>82.366502400000016</v>
      </c>
      <c r="Q85" s="55"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 ca="1">SUM(E82:G85)</f>
        <v>2221.8698202508799</v>
      </c>
      <c r="F87" s="110" t="str">
        <f>$E$12</f>
        <v>kg N</v>
      </c>
      <c r="N87" s="108" t="s">
        <v>245</v>
      </c>
      <c r="O87" s="109">
        <f ca="1">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aca="1" ref="E106" ca="1">MMS_Feedlot_ManureAppliedToSoils_Equations.VEERG_4_1_1_9__1_MassOfNitrogenAppliedToSoilsScope1(E22,_xlfn.XLOOKUP($D106,$D$30:$D$34,$E$30:$E$34),_xlfn.XLOOKUP($D106,$D$39:$D$43,$E$39:$E$43),$E98)</f>
        <v>232.87935250944011</v>
      </c>
      <c r="F106" s="55" cm="1">
        <f t="array" aca="1" ref="F106" ca="1">MMS_Feedlot_ManureAppliedToSoils_Equations.VEERG_4_1_1_9__1_MassOfNitrogenAppliedToSoilsScope1(F22,_xlfn.XLOOKUP($D106,$D$30:$D$34,$E$30:$E$34),_xlfn.XLOOKUP($D106,$D$39:$D$43,$E$39:$E$43),$E98)</f>
        <v>353.63994446592</v>
      </c>
      <c r="G106" s="55" cm="1">
        <f t="array" aca="1" ref="G106" ca="1">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aca="1" ref="O106" ca="1">MMS_Feedlot_ManureAppliedToSoils_Equations.VEERG_4_1_1_9__1_MassOfNitrogenAppliedToSoilsScope1(O22,_xlfn.XLOOKUP($N106,$D$30:$D$34,$E$30:$E$34),_xlfn.XLOOKUP($N106,$D$39:$D$43,$E$39:$E$43),$E98)</f>
        <v>232.87935250944011</v>
      </c>
      <c r="P106" s="55" cm="1">
        <f t="array" aca="1" ref="P106" ca="1">MMS_Feedlot_ManureAppliedToSoils_Equations.VEERG_4_1_1_9__1_MassOfNitrogenAppliedToSoilsScope1(P22,_xlfn.XLOOKUP($N106,$D$30:$D$34,$E$30:$E$34),_xlfn.XLOOKUP($N106,$D$39:$D$43,$E$39:$E$43),$E98)</f>
        <v>353.63994446592</v>
      </c>
      <c r="Q106" s="55"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aca="1" ref="E107" ca="1">MMS_Feedlot_ManureAppliedToSoils_Equations.VEERG_4_1_1_9__1_MassOfNitrogenAppliedToSoilsScope1(E23,_xlfn.XLOOKUP($D107,$D$30:$D$34,$E$30:$E$34),_xlfn.XLOOKUP($D107,$D$39:$D$43,$E$39:$E$43),$E99)</f>
        <v>184.42794359808008</v>
      </c>
      <c r="F107" s="55" cm="1">
        <f t="array" aca="1" ref="F107" ca="1">MMS_Feedlot_ManureAppliedToSoils_Equations.VEERG_4_1_1_9__1_MassOfNitrogenAppliedToSoilsScope1(F23,_xlfn.XLOOKUP($D107,$D$30:$D$34,$E$30:$E$34),_xlfn.XLOOKUP($D107,$D$39:$D$43,$E$39:$E$43),$E99)</f>
        <v>280.06384863744</v>
      </c>
      <c r="G107" s="55" cm="1">
        <f t="array" aca="1" ref="G107" ca="1">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aca="1" ref="O107" ca="1">MMS_Feedlot_ManureAppliedToSoils_Equations.VEERG_4_1_1_9__1_MassOfNitrogenAppliedToSoilsScope1(O23,_xlfn.XLOOKUP($N107,$D$30:$D$34,$E$30:$E$34),_xlfn.XLOOKUP($N107,$D$39:$D$43,$E$39:$E$43),$E99)</f>
        <v>184.42794359808008</v>
      </c>
      <c r="P107" s="55" cm="1">
        <f t="array" aca="1" ref="P107" ca="1">MMS_Feedlot_ManureAppliedToSoils_Equations.VEERG_4_1_1_9__1_MassOfNitrogenAppliedToSoilsScope1(P23,_xlfn.XLOOKUP($N107,$D$30:$D$34,$E$30:$E$34),_xlfn.XLOOKUP($N107,$D$39:$D$43,$E$39:$E$43),$E99)</f>
        <v>280.06384863744</v>
      </c>
      <c r="Q107" s="55"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aca="1" ref="E108" ca="1">MMS_Feedlot_ManureAppliedToSoils_Equations.VEERG_4_1_1_9__1_MassOfNitrogenAppliedToSoilsScope1(E24,_xlfn.XLOOKUP($D108,$D$30:$D$34,$E$30:$E$34),_xlfn.XLOOKUP($D108,$D$39:$D$43,$E$39:$E$43),$E100)</f>
        <v>0</v>
      </c>
      <c r="F108" s="55" cm="1">
        <f t="array" aca="1" ref="F108" ca="1">MMS_Feedlot_ManureAppliedToSoils_Equations.VEERG_4_1_1_9__1_MassOfNitrogenAppliedToSoilsScope1(F24,_xlfn.XLOOKUP($D108,$D$30:$D$34,$E$30:$E$34),_xlfn.XLOOKUP($D108,$D$39:$D$43,$E$39:$E$43),$E100)</f>
        <v>0</v>
      </c>
      <c r="G108" s="55" cm="1">
        <f t="array" aca="1" ref="G108" ca="1">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aca="1" ref="O108" ca="1">MMS_Feedlot_ManureAppliedToSoils_Equations.VEERG_4_1_1_9__1_MassOfNitrogenAppliedToSoilsScope1(O24,_xlfn.XLOOKUP($N108,$D$30:$D$34,$E$30:$E$34),_xlfn.XLOOKUP($N108,$D$39:$D$43,$E$39:$E$43),$E100)</f>
        <v>0</v>
      </c>
      <c r="P108" s="55" cm="1">
        <f t="array" aca="1" ref="P108" ca="1">MMS_Feedlot_ManureAppliedToSoils_Equations.VEERG_4_1_1_9__1_MassOfNitrogenAppliedToSoilsScope1(P24,_xlfn.XLOOKUP($N108,$D$30:$D$34,$E$30:$E$34),_xlfn.XLOOKUP($N108,$D$39:$D$43,$E$39:$E$43),$E100)</f>
        <v>0</v>
      </c>
      <c r="Q108" s="55"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aca="1" ref="E109" ca="1">MMS_Feedlot_ManureAppliedToSoils_Equations.VEERG_4_1_1_9__1_MassOfNitrogenAppliedToSoilsScope1(E25,_xlfn.XLOOKUP($D109,$D$30:$D$34,$E$30:$E$34),_xlfn.XLOOKUP($D109,$D$39:$D$43,$E$39:$E$43),$E101)</f>
        <v>54.240076800000018</v>
      </c>
      <c r="F109" s="55" cm="1">
        <f t="array" aca="1" ref="F109" ca="1">MMS_Feedlot_ManureAppliedToSoils_Equations.VEERG_4_1_1_9__1_MassOfNitrogenAppliedToSoilsScope1(F25,_xlfn.XLOOKUP($D109,$D$30:$D$34,$E$30:$E$34),_xlfn.XLOOKUP($D109,$D$39:$D$43,$E$39:$E$43),$E101)</f>
        <v>82.366502400000016</v>
      </c>
      <c r="G109" s="55" cm="1">
        <f t="array" aca="1" ref="G109" ca="1">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aca="1" ref="O109" ca="1">MMS_Feedlot_ManureAppliedToSoils_Equations.VEERG_4_1_1_9__1_MassOfNitrogenAppliedToSoilsScope1(O25,_xlfn.XLOOKUP($N109,$D$30:$D$34,$E$30:$E$34),_xlfn.XLOOKUP($N109,$D$39:$D$43,$E$39:$E$43),$E101)</f>
        <v>54.240076800000018</v>
      </c>
      <c r="P109" s="55" cm="1">
        <f t="array" aca="1" ref="P109" ca="1">MMS_Feedlot_ManureAppliedToSoils_Equations.VEERG_4_1_1_9__1_MassOfNitrogenAppliedToSoilsScope1(P25,_xlfn.XLOOKUP($N109,$D$30:$D$34,$E$30:$E$34),_xlfn.XLOOKUP($N109,$D$39:$D$43,$E$39:$E$43),$E101)</f>
        <v>82.366502400000016</v>
      </c>
      <c r="Q109" s="55"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 ca="1">SUM(E106:G109)</f>
        <v>2221.8698202508799</v>
      </c>
      <c r="F111" s="110" t="str">
        <f>$E$12</f>
        <v>kg N</v>
      </c>
      <c r="N111" s="108" t="s">
        <v>256</v>
      </c>
      <c r="O111" s="109">
        <f ca="1">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93BF4-FCDB-40F9-972C-5FB57AB5D8B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