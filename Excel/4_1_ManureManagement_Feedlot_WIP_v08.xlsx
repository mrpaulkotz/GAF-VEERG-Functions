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F4012F4-5EB7-4796-A7D0-53FFEC048F5C}" xr6:coauthVersionLast="47" xr6:coauthVersionMax="47" xr10:uidLastSave="{00000000-0000-0000-0000-000000000000}"/>
  <bookViews>
    <workbookView xWindow="1950" yWindow="1950" windowWidth="28800" windowHeight="15345" firstSheet="7" activeTab="10"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5"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29" i="79"/>
  <c r="G28" i="79"/>
  <c r="R113" i="69"/>
  <c r="O89" i="69"/>
  <c r="O88" i="69"/>
  <c r="O87" i="69"/>
  <c r="I59" i="82"/>
  <c r="E30" i="15"/>
  <c r="E33" i="15"/>
  <c r="E32" i="15"/>
  <c r="E31" i="15"/>
  <c r="I60" i="82"/>
  <c r="I190" i="76"/>
  <c r="P68" i="82"/>
  <c r="G68" i="82"/>
  <c r="R215" i="76"/>
  <c r="G215" i="76"/>
  <c r="P174" i="69"/>
  <c r="G174" i="69"/>
  <c r="I115" i="69"/>
  <c r="I75" i="69"/>
  <c r="R47" i="69"/>
  <c r="I47" i="69"/>
  <c r="E259" i="105" a="1"/>
  <c r="E259" i="105" s="1"/>
  <c r="D259" i="105" a="1"/>
  <c r="D259" i="105" s="1"/>
  <c r="E258" i="105" a="1"/>
  <c r="E258" i="105" s="1"/>
  <c r="D258" i="105" a="1"/>
  <c r="D258" i="105" s="1"/>
  <c r="D256" i="105" a="1"/>
  <c r="D256" i="105" s="1"/>
  <c r="D255" i="105" a="1"/>
  <c r="D255" i="105" s="1"/>
  <c r="D254" i="105" a="1"/>
  <c r="D254" i="105" s="1"/>
  <c r="D253" i="105" a="1"/>
  <c r="D253" i="105" s="1"/>
  <c r="S250" i="105" a="1"/>
  <c r="S250" i="105" s="1"/>
  <c r="R250" i="105" a="1"/>
  <c r="R250" i="105" s="1"/>
  <c r="Q250" i="105" a="1"/>
  <c r="Q250" i="105" s="1"/>
  <c r="P250" i="105" a="1"/>
  <c r="P250" i="105" s="1"/>
  <c r="O250" i="105" a="1"/>
  <c r="O250" i="105" s="1"/>
  <c r="N250" i="105" a="1"/>
  <c r="N250" i="105" s="1"/>
  <c r="M250" i="105" a="1"/>
  <c r="M250" i="105" s="1"/>
  <c r="L250" i="105" a="1"/>
  <c r="L250" i="105" s="1"/>
  <c r="K250" i="105" a="1"/>
  <c r="K250" i="105" s="1"/>
  <c r="J250" i="105" a="1"/>
  <c r="J250" i="105" s="1"/>
  <c r="I250" i="105" a="1"/>
  <c r="I250" i="105" s="1"/>
  <c r="H250" i="105" a="1"/>
  <c r="H250" i="105" s="1"/>
  <c r="G250" i="105" a="1"/>
  <c r="G250" i="105" s="1"/>
  <c r="F250" i="105" a="1"/>
  <c r="F250" i="105" s="1"/>
  <c r="E250" i="105" a="1"/>
  <c r="E250" i="105" s="1"/>
  <c r="D250" i="105" a="1"/>
  <c r="D250" i="105" s="1"/>
  <c r="S249" i="105" a="1"/>
  <c r="S249" i="105" s="1"/>
  <c r="R249" i="105" a="1"/>
  <c r="R249" i="105" s="1"/>
  <c r="Q249" i="105" a="1"/>
  <c r="Q249" i="105" s="1"/>
  <c r="P249" i="105" a="1"/>
  <c r="P249" i="105" s="1"/>
  <c r="O249" i="105" a="1"/>
  <c r="O249" i="105" s="1"/>
  <c r="N249" i="105" a="1"/>
  <c r="N249" i="105" s="1"/>
  <c r="M249" i="105" a="1"/>
  <c r="M249" i="105" s="1"/>
  <c r="L249" i="105" a="1"/>
  <c r="L249" i="105" s="1"/>
  <c r="K249" i="105" a="1"/>
  <c r="K249" i="105" s="1"/>
  <c r="J249" i="105" a="1"/>
  <c r="J249" i="105" s="1"/>
  <c r="I249" i="105" a="1"/>
  <c r="I249" i="105" s="1"/>
  <c r="H249" i="105" a="1"/>
  <c r="H249" i="105" s="1"/>
  <c r="G249" i="105" a="1"/>
  <c r="G249" i="105" s="1"/>
  <c r="F249" i="105" a="1"/>
  <c r="F249" i="105" s="1"/>
  <c r="E249" i="105" a="1"/>
  <c r="E249" i="105" s="1"/>
  <c r="D249" i="105" a="1"/>
  <c r="D249" i="105" s="1"/>
  <c r="S248" i="105" a="1"/>
  <c r="S248" i="105" s="1"/>
  <c r="R248" i="105" a="1"/>
  <c r="R248" i="105" s="1"/>
  <c r="Q248" i="105" a="1"/>
  <c r="Q248" i="105" s="1"/>
  <c r="P248" i="105" a="1"/>
  <c r="P248" i="105" s="1"/>
  <c r="O248" i="105" a="1"/>
  <c r="O248" i="105" s="1"/>
  <c r="N248" i="105" a="1"/>
  <c r="N248" i="105" s="1"/>
  <c r="M248" i="105" a="1"/>
  <c r="M248" i="105" s="1"/>
  <c r="L248" i="105" a="1"/>
  <c r="L248" i="105" s="1"/>
  <c r="K248" i="105" a="1"/>
  <c r="K248" i="105" s="1"/>
  <c r="J248" i="105" a="1"/>
  <c r="J248" i="105" s="1"/>
  <c r="I248" i="105" a="1"/>
  <c r="I248" i="105" s="1"/>
  <c r="H248" i="105" a="1"/>
  <c r="H248" i="105" s="1"/>
  <c r="G248" i="105" a="1"/>
  <c r="G248" i="105" s="1"/>
  <c r="F248" i="105" a="1"/>
  <c r="F248" i="105" s="1"/>
  <c r="E248" i="105" a="1"/>
  <c r="E248" i="105" s="1"/>
  <c r="D248" i="105" a="1"/>
  <c r="D248" i="105" s="1"/>
  <c r="S247" i="105" a="1"/>
  <c r="S247" i="105" s="1"/>
  <c r="R247" i="105" a="1"/>
  <c r="R247" i="105" s="1"/>
  <c r="Q247" i="105" a="1"/>
  <c r="Q247" i="105" s="1"/>
  <c r="P247" i="105" a="1"/>
  <c r="P247" i="105" s="1"/>
  <c r="O247" i="105" a="1"/>
  <c r="O247" i="105" s="1"/>
  <c r="N247" i="105" a="1"/>
  <c r="N247" i="105" s="1"/>
  <c r="M247" i="105" a="1"/>
  <c r="M247" i="105" s="1"/>
  <c r="L247" i="105" a="1"/>
  <c r="L247" i="105" s="1"/>
  <c r="K247" i="105" a="1"/>
  <c r="K247" i="105" s="1"/>
  <c r="J247" i="105" a="1"/>
  <c r="J247" i="105" s="1"/>
  <c r="I247" i="105" a="1"/>
  <c r="I247" i="105" s="1"/>
  <c r="H247" i="105" a="1"/>
  <c r="H247" i="105" s="1"/>
  <c r="G247" i="105" a="1"/>
  <c r="G247" i="105" s="1"/>
  <c r="F247" i="105" a="1"/>
  <c r="F247" i="105" s="1"/>
  <c r="E247" i="105" a="1"/>
  <c r="E247" i="105" s="1"/>
  <c r="D247" i="105" a="1"/>
  <c r="D247" i="105" s="1"/>
  <c r="S246" i="105" a="1"/>
  <c r="S246" i="105" s="1"/>
  <c r="R246" i="105" a="1"/>
  <c r="R246" i="105" s="1"/>
  <c r="Q246" i="105" a="1"/>
  <c r="Q246" i="105" s="1"/>
  <c r="P246" i="105" a="1"/>
  <c r="P246" i="105" s="1"/>
  <c r="O246" i="105" a="1"/>
  <c r="O246" i="105" s="1"/>
  <c r="N246" i="105" a="1"/>
  <c r="N246" i="105" s="1"/>
  <c r="M246" i="105" a="1"/>
  <c r="M246" i="105" s="1"/>
  <c r="L246" i="105" a="1"/>
  <c r="L246" i="105" s="1"/>
  <c r="K246" i="105" a="1"/>
  <c r="K246" i="105" s="1"/>
  <c r="J246" i="105" a="1"/>
  <c r="J246" i="105" s="1"/>
  <c r="I246" i="105" a="1"/>
  <c r="I246" i="105" s="1"/>
  <c r="H246" i="105" a="1"/>
  <c r="H246" i="105" s="1"/>
  <c r="G246" i="105" a="1"/>
  <c r="G246" i="105" s="1"/>
  <c r="F246" i="105" a="1"/>
  <c r="F246" i="105" s="1"/>
  <c r="E246" i="105" a="1"/>
  <c r="E246" i="105" s="1"/>
  <c r="D246" i="105" a="1"/>
  <c r="D246" i="105" s="1"/>
  <c r="S245" i="105" a="1"/>
  <c r="S245" i="105" s="1"/>
  <c r="R245" i="105" a="1"/>
  <c r="R245" i="105" s="1"/>
  <c r="Q245" i="105" a="1"/>
  <c r="Q245" i="105" s="1"/>
  <c r="P245" i="105" a="1"/>
  <c r="P245" i="105" s="1"/>
  <c r="O245" i="105" a="1"/>
  <c r="O245" i="105" s="1"/>
  <c r="N245" i="105" a="1"/>
  <c r="N245" i="105" s="1"/>
  <c r="M245" i="105" a="1"/>
  <c r="M245" i="105" s="1"/>
  <c r="L245" i="105" a="1"/>
  <c r="L245" i="105" s="1"/>
  <c r="K245" i="105" a="1"/>
  <c r="K245" i="105" s="1"/>
  <c r="J245" i="105" a="1"/>
  <c r="J245" i="105" s="1"/>
  <c r="I245" i="105" a="1"/>
  <c r="I245" i="105" s="1"/>
  <c r="H245" i="105" a="1"/>
  <c r="H245" i="105" s="1"/>
  <c r="G245" i="105" a="1"/>
  <c r="G245" i="105" s="1"/>
  <c r="F245" i="105" a="1"/>
  <c r="F245" i="105" s="1"/>
  <c r="E245" i="105" a="1"/>
  <c r="E245" i="105" s="1"/>
  <c r="D245" i="105" a="1"/>
  <c r="D245" i="105" s="1"/>
  <c r="S244" i="105" a="1"/>
  <c r="S244" i="105" s="1"/>
  <c r="R244" i="105" a="1"/>
  <c r="R244" i="105" s="1"/>
  <c r="Q244" i="105" a="1"/>
  <c r="Q244" i="105" s="1"/>
  <c r="P244" i="105" a="1"/>
  <c r="P244" i="105" s="1"/>
  <c r="O244" i="105" a="1"/>
  <c r="O244" i="105" s="1"/>
  <c r="N244" i="105" a="1"/>
  <c r="N244" i="105" s="1"/>
  <c r="M244" i="105" a="1"/>
  <c r="M244" i="105" s="1"/>
  <c r="L244" i="105" a="1"/>
  <c r="L244" i="105" s="1"/>
  <c r="K244" i="105" a="1"/>
  <c r="K244" i="105" s="1"/>
  <c r="J244" i="105" a="1"/>
  <c r="J244" i="105" s="1"/>
  <c r="I244" i="105" a="1"/>
  <c r="I244" i="105" s="1"/>
  <c r="H244" i="105" a="1"/>
  <c r="H244" i="105" s="1"/>
  <c r="G244" i="105" a="1"/>
  <c r="G244" i="105" s="1"/>
  <c r="F244" i="105" a="1"/>
  <c r="F244" i="105" s="1"/>
  <c r="E244" i="105" a="1"/>
  <c r="E244" i="105" s="1"/>
  <c r="D244" i="105" a="1"/>
  <c r="D244" i="105" s="1"/>
  <c r="S243" i="105" a="1"/>
  <c r="S243" i="105" s="1"/>
  <c r="R243" i="105" a="1"/>
  <c r="R243" i="105" s="1"/>
  <c r="Q243" i="105" a="1"/>
  <c r="Q243" i="105" s="1"/>
  <c r="P243" i="105" a="1"/>
  <c r="P243" i="105" s="1"/>
  <c r="O243" i="105" a="1"/>
  <c r="O243" i="105" s="1"/>
  <c r="N243" i="105" a="1"/>
  <c r="N243" i="105" s="1"/>
  <c r="M243" i="105" a="1"/>
  <c r="M243" i="105" s="1"/>
  <c r="L243" i="105" a="1"/>
  <c r="L243" i="105" s="1"/>
  <c r="K243" i="105" a="1"/>
  <c r="K243" i="105" s="1"/>
  <c r="J243" i="105" a="1"/>
  <c r="J243" i="105" s="1"/>
  <c r="I243" i="105" a="1"/>
  <c r="I243" i="105" s="1"/>
  <c r="H243" i="105" a="1"/>
  <c r="H243" i="105" s="1"/>
  <c r="G243" i="105" a="1"/>
  <c r="G243" i="105" s="1"/>
  <c r="F243" i="105" a="1"/>
  <c r="F243" i="105" s="1"/>
  <c r="E243" i="105" a="1"/>
  <c r="E243" i="105" s="1"/>
  <c r="D243" i="105" a="1"/>
  <c r="D243" i="105" s="1"/>
  <c r="S242" i="105" a="1"/>
  <c r="S242" i="105" s="1"/>
  <c r="R242" i="105" a="1"/>
  <c r="R242" i="105" s="1"/>
  <c r="Q242" i="105" a="1"/>
  <c r="Q242" i="105" s="1"/>
  <c r="P242" i="105" a="1"/>
  <c r="P242" i="105" s="1"/>
  <c r="O242" i="105" a="1"/>
  <c r="O242" i="105" s="1"/>
  <c r="N242" i="105" a="1"/>
  <c r="N242" i="105" s="1"/>
  <c r="M242" i="105" a="1"/>
  <c r="M242" i="105" s="1"/>
  <c r="L242" i="105" a="1"/>
  <c r="L242" i="105" s="1"/>
  <c r="K242" i="105" a="1"/>
  <c r="K242" i="105" s="1"/>
  <c r="J242" i="105" a="1"/>
  <c r="J242" i="105" s="1"/>
  <c r="I242" i="105" a="1"/>
  <c r="I242" i="105" s="1"/>
  <c r="H242" i="105" a="1"/>
  <c r="H242" i="105" s="1"/>
  <c r="G242" i="105" a="1"/>
  <c r="G242" i="105" s="1"/>
  <c r="F242" i="105" a="1"/>
  <c r="F242" i="105" s="1"/>
  <c r="E242" i="105" a="1"/>
  <c r="E242" i="105" s="1"/>
  <c r="D242" i="105" a="1"/>
  <c r="D242" i="105" s="1"/>
  <c r="S241" i="105" a="1"/>
  <c r="S241" i="105" s="1"/>
  <c r="R241" i="105" a="1"/>
  <c r="R241" i="105" s="1"/>
  <c r="Q241" i="105" a="1"/>
  <c r="Q241" i="105" s="1"/>
  <c r="P241" i="105" a="1"/>
  <c r="P241" i="105" s="1"/>
  <c r="O241" i="105" a="1"/>
  <c r="O241" i="105" s="1"/>
  <c r="N241" i="105" a="1"/>
  <c r="N241" i="105" s="1"/>
  <c r="M241" i="105" a="1"/>
  <c r="M241" i="105" s="1"/>
  <c r="L241" i="105" a="1"/>
  <c r="L241" i="105" s="1"/>
  <c r="K241" i="105" a="1"/>
  <c r="K241" i="105" s="1"/>
  <c r="J241" i="105" a="1"/>
  <c r="J241" i="105" s="1"/>
  <c r="I241" i="105" a="1"/>
  <c r="I241" i="105" s="1"/>
  <c r="H241" i="105" a="1"/>
  <c r="H241" i="105" s="1"/>
  <c r="G241" i="105" a="1"/>
  <c r="G241" i="105" s="1"/>
  <c r="F241" i="105" a="1"/>
  <c r="F241" i="105" s="1"/>
  <c r="E241" i="105" a="1"/>
  <c r="E241" i="105" s="1"/>
  <c r="D241" i="105" a="1"/>
  <c r="D241" i="105" s="1"/>
  <c r="S240" i="105" a="1"/>
  <c r="S240" i="105" s="1"/>
  <c r="R240" i="105" a="1"/>
  <c r="R240" i="105" s="1"/>
  <c r="Q240" i="105" a="1"/>
  <c r="Q240" i="105" s="1"/>
  <c r="P240" i="105" a="1"/>
  <c r="P240" i="105" s="1"/>
  <c r="O240" i="105" a="1"/>
  <c r="O240" i="105" s="1"/>
  <c r="N240" i="105" a="1"/>
  <c r="N240" i="105" s="1"/>
  <c r="M240" i="105" a="1"/>
  <c r="M240" i="105" s="1"/>
  <c r="L240" i="105" a="1"/>
  <c r="L240" i="105" s="1"/>
  <c r="K240" i="105" a="1"/>
  <c r="K240" i="105" s="1"/>
  <c r="J240" i="105" a="1"/>
  <c r="J240" i="105" s="1"/>
  <c r="I240" i="105" a="1"/>
  <c r="I240" i="105" s="1"/>
  <c r="H240" i="105" a="1"/>
  <c r="H240" i="105" s="1"/>
  <c r="G240" i="105" a="1"/>
  <c r="G240" i="105" s="1"/>
  <c r="F240" i="105" a="1"/>
  <c r="F240" i="105" s="1"/>
  <c r="E240" i="105" a="1"/>
  <c r="E240" i="105" s="1"/>
  <c r="D240" i="105" a="1"/>
  <c r="D240" i="105" s="1"/>
  <c r="S239" i="105" a="1"/>
  <c r="S239" i="105" s="1"/>
  <c r="R239" i="105" a="1"/>
  <c r="R239" i="105" s="1"/>
  <c r="Q239" i="105" a="1"/>
  <c r="Q239" i="105" s="1"/>
  <c r="P239" i="105" a="1"/>
  <c r="P239" i="105" s="1"/>
  <c r="O239" i="105" a="1"/>
  <c r="O239" i="105" s="1"/>
  <c r="N239" i="105" a="1"/>
  <c r="N239" i="105" s="1"/>
  <c r="M239" i="105" a="1"/>
  <c r="M239" i="105" s="1"/>
  <c r="L239" i="105" a="1"/>
  <c r="L239" i="105" s="1"/>
  <c r="K239" i="105" a="1"/>
  <c r="K239" i="105" s="1"/>
  <c r="J239" i="105" a="1"/>
  <c r="J239" i="105" s="1"/>
  <c r="I239" i="105" a="1"/>
  <c r="I239" i="105" s="1"/>
  <c r="H239" i="105" a="1"/>
  <c r="H239" i="105" s="1"/>
  <c r="G239" i="105" a="1"/>
  <c r="G239" i="105" s="1"/>
  <c r="F239" i="105" a="1"/>
  <c r="F239" i="105" s="1"/>
  <c r="E239" i="105" a="1"/>
  <c r="E239" i="105" s="1"/>
  <c r="D239" i="105" a="1"/>
  <c r="D239" i="105" s="1"/>
  <c r="S238" i="105" a="1"/>
  <c r="S238" i="105" s="1"/>
  <c r="R238" i="105" a="1"/>
  <c r="R238" i="105" s="1"/>
  <c r="Q238" i="105" a="1"/>
  <c r="Q238" i="105" s="1"/>
  <c r="P238" i="105" a="1"/>
  <c r="P238" i="105" s="1"/>
  <c r="O238" i="105" a="1"/>
  <c r="O238" i="105" s="1"/>
  <c r="N238" i="105" a="1"/>
  <c r="N238" i="105" s="1"/>
  <c r="M238" i="105" a="1"/>
  <c r="M238" i="105" s="1"/>
  <c r="L238" i="105" a="1"/>
  <c r="L238" i="105" s="1"/>
  <c r="K238" i="105" a="1"/>
  <c r="K238" i="105" s="1"/>
  <c r="J238" i="105" a="1"/>
  <c r="J238" i="105" s="1"/>
  <c r="I238" i="105" a="1"/>
  <c r="I238" i="105" s="1"/>
  <c r="H238" i="105" a="1"/>
  <c r="H238" i="105" s="1"/>
  <c r="G238" i="105" a="1"/>
  <c r="G238" i="105" s="1"/>
  <c r="F238" i="105" a="1"/>
  <c r="F238" i="105" s="1"/>
  <c r="E238" i="105" a="1"/>
  <c r="E238" i="105" s="1"/>
  <c r="D238" i="105" a="1"/>
  <c r="D238" i="105" s="1"/>
  <c r="S237" i="105" a="1"/>
  <c r="S237" i="105" s="1"/>
  <c r="R237" i="105" a="1"/>
  <c r="R237" i="105" s="1"/>
  <c r="Q237" i="105" a="1"/>
  <c r="Q237" i="105" s="1"/>
  <c r="P237" i="105" a="1"/>
  <c r="P237" i="105" s="1"/>
  <c r="O237" i="105" a="1"/>
  <c r="O237" i="105" s="1"/>
  <c r="N237" i="105" a="1"/>
  <c r="N237" i="105" s="1"/>
  <c r="M237" i="105" a="1"/>
  <c r="M237" i="105" s="1"/>
  <c r="L237" i="105" a="1"/>
  <c r="L237" i="105" s="1"/>
  <c r="K237" i="105" a="1"/>
  <c r="K237" i="105" s="1"/>
  <c r="J237" i="105" a="1"/>
  <c r="J237" i="105" s="1"/>
  <c r="I237" i="105" a="1"/>
  <c r="I237" i="105" s="1"/>
  <c r="H237" i="105" a="1"/>
  <c r="H237" i="105" s="1"/>
  <c r="G237" i="105" a="1"/>
  <c r="G237" i="105" s="1"/>
  <c r="F237" i="105" a="1"/>
  <c r="F237" i="105" s="1"/>
  <c r="E237" i="105" a="1"/>
  <c r="E237" i="105" s="1"/>
  <c r="D237" i="105" a="1"/>
  <c r="D237" i="105" s="1"/>
  <c r="S236" i="105" a="1"/>
  <c r="S236" i="105" s="1"/>
  <c r="R236" i="105" a="1"/>
  <c r="R236" i="105" s="1"/>
  <c r="Q236" i="105" a="1"/>
  <c r="Q236" i="105" s="1"/>
  <c r="P236" i="105" a="1"/>
  <c r="P236" i="105" s="1"/>
  <c r="O236" i="105" a="1"/>
  <c r="O236" i="105" s="1"/>
  <c r="N236" i="105" a="1"/>
  <c r="N236" i="105" s="1"/>
  <c r="M236" i="105" a="1"/>
  <c r="M236" i="105" s="1"/>
  <c r="L236" i="105" a="1"/>
  <c r="L236" i="105" s="1"/>
  <c r="K236" i="105" a="1"/>
  <c r="K236" i="105" s="1"/>
  <c r="J236" i="105" a="1"/>
  <c r="J236" i="105" s="1"/>
  <c r="I236" i="105" a="1"/>
  <c r="I236" i="105" s="1"/>
  <c r="H236" i="105" a="1"/>
  <c r="H236" i="105" s="1"/>
  <c r="G236" i="105" a="1"/>
  <c r="G236" i="105" s="1"/>
  <c r="F236" i="105" a="1"/>
  <c r="F236" i="105" s="1"/>
  <c r="E236" i="105" a="1"/>
  <c r="E236" i="105" s="1"/>
  <c r="D236" i="105" a="1"/>
  <c r="D236" i="105" s="1"/>
  <c r="S235" i="105" a="1"/>
  <c r="S235" i="105" s="1"/>
  <c r="R235" i="105" a="1"/>
  <c r="R235" i="105" s="1"/>
  <c r="Q235" i="105" a="1"/>
  <c r="Q235" i="105" s="1"/>
  <c r="P235" i="105" a="1"/>
  <c r="P235" i="105" s="1"/>
  <c r="O235" i="105" a="1"/>
  <c r="O235" i="105" s="1"/>
  <c r="N235" i="105" a="1"/>
  <c r="N235" i="105" s="1"/>
  <c r="M235" i="105" a="1"/>
  <c r="M235" i="105" s="1"/>
  <c r="L235" i="105" a="1"/>
  <c r="L235" i="105" s="1"/>
  <c r="K235" i="105" a="1"/>
  <c r="K235" i="105" s="1"/>
  <c r="J235" i="105" a="1"/>
  <c r="J235" i="105" s="1"/>
  <c r="I235" i="105" a="1"/>
  <c r="I235" i="105" s="1"/>
  <c r="H235" i="105" a="1"/>
  <c r="H235" i="105" s="1"/>
  <c r="G235" i="105" a="1"/>
  <c r="G235" i="105" s="1"/>
  <c r="F235" i="105" a="1"/>
  <c r="F235" i="105" s="1"/>
  <c r="E235" i="105" a="1"/>
  <c r="E235" i="105" s="1"/>
  <c r="D235" i="105" a="1"/>
  <c r="D235" i="105" s="1"/>
  <c r="S234" i="105" a="1"/>
  <c r="S234" i="105" s="1"/>
  <c r="R234" i="105" a="1"/>
  <c r="R234" i="105" s="1"/>
  <c r="Q234" i="105" a="1"/>
  <c r="Q234" i="105" s="1"/>
  <c r="P234" i="105" a="1"/>
  <c r="P234" i="105" s="1"/>
  <c r="O234" i="105" a="1"/>
  <c r="O234" i="105" s="1"/>
  <c r="N234" i="105" a="1"/>
  <c r="N234" i="105" s="1"/>
  <c r="M234" i="105" a="1"/>
  <c r="M234" i="105" s="1"/>
  <c r="L234" i="105" a="1"/>
  <c r="L234" i="105" s="1"/>
  <c r="K234" i="105" a="1"/>
  <c r="K234" i="105" s="1"/>
  <c r="J234" i="105" a="1"/>
  <c r="J234" i="105" s="1"/>
  <c r="I234" i="105" a="1"/>
  <c r="I234" i="105" s="1"/>
  <c r="H234" i="105" a="1"/>
  <c r="H234" i="105" s="1"/>
  <c r="G234" i="105" a="1"/>
  <c r="G234" i="105" s="1"/>
  <c r="F234" i="105" a="1"/>
  <c r="F234" i="105" s="1"/>
  <c r="E234" i="105" a="1"/>
  <c r="E234" i="105" s="1"/>
  <c r="D234" i="105" a="1"/>
  <c r="D234" i="105" s="1"/>
  <c r="S233" i="105" a="1"/>
  <c r="S233" i="105" s="1"/>
  <c r="R233" i="105" a="1"/>
  <c r="R233" i="105" s="1"/>
  <c r="Q233" i="105" a="1"/>
  <c r="Q233" i="105" s="1"/>
  <c r="P233" i="105" a="1"/>
  <c r="P233" i="105" s="1"/>
  <c r="O233" i="105" a="1"/>
  <c r="O233" i="105" s="1"/>
  <c r="N233" i="105" a="1"/>
  <c r="N233" i="105" s="1"/>
  <c r="M233" i="105" a="1"/>
  <c r="M233" i="105" s="1"/>
  <c r="L233" i="105" a="1"/>
  <c r="L233" i="105" s="1"/>
  <c r="K233" i="105" a="1"/>
  <c r="K233" i="105" s="1"/>
  <c r="J233" i="105" a="1"/>
  <c r="J233" i="105" s="1"/>
  <c r="I233" i="105" a="1"/>
  <c r="I233" i="105" s="1"/>
  <c r="H233" i="105" a="1"/>
  <c r="H233" i="105" s="1"/>
  <c r="G233" i="105" a="1"/>
  <c r="G233" i="105" s="1"/>
  <c r="F233" i="105" a="1"/>
  <c r="F233" i="105" s="1"/>
  <c r="E233" i="105" a="1"/>
  <c r="E233" i="105" s="1"/>
  <c r="D233" i="105" a="1"/>
  <c r="D233" i="105" s="1"/>
  <c r="S232" i="105" a="1"/>
  <c r="S232" i="105" s="1"/>
  <c r="R232" i="105" a="1"/>
  <c r="R232" i="105" s="1"/>
  <c r="Q232" i="105" a="1"/>
  <c r="Q232" i="105" s="1"/>
  <c r="P232" i="105" a="1"/>
  <c r="P232" i="105" s="1"/>
  <c r="O232" i="105" a="1"/>
  <c r="O232" i="105" s="1"/>
  <c r="N232" i="105" a="1"/>
  <c r="N232" i="105" s="1"/>
  <c r="M232" i="105" a="1"/>
  <c r="M232" i="105" s="1"/>
  <c r="L232" i="105" a="1"/>
  <c r="L232" i="105" s="1"/>
  <c r="K232" i="105" a="1"/>
  <c r="K232" i="105" s="1"/>
  <c r="J232" i="105" a="1"/>
  <c r="J232" i="105" s="1"/>
  <c r="I232" i="105" a="1"/>
  <c r="I232" i="105" s="1"/>
  <c r="H232" i="105" a="1"/>
  <c r="H232" i="105" s="1"/>
  <c r="G232" i="105" a="1"/>
  <c r="G232" i="105" s="1"/>
  <c r="F232" i="105" a="1"/>
  <c r="F232" i="105" s="1"/>
  <c r="E232" i="105" a="1"/>
  <c r="E232" i="105" s="1"/>
  <c r="D232" i="105" a="1"/>
  <c r="D232" i="105" s="1"/>
  <c r="D229" i="105" a="1"/>
  <c r="D229" i="105" s="1"/>
  <c r="D228" i="105" a="1"/>
  <c r="D228" i="105" s="1"/>
  <c r="D227" i="105" a="1"/>
  <c r="D227" i="105" s="1"/>
  <c r="E224" i="105" a="1"/>
  <c r="E224" i="105" s="1"/>
  <c r="D224" i="105" a="1"/>
  <c r="D224" i="105" s="1"/>
  <c r="E223" i="105" a="1"/>
  <c r="E223" i="105" s="1"/>
  <c r="D223" i="105" a="1"/>
  <c r="D223" i="105" s="1"/>
  <c r="E222" i="105" a="1"/>
  <c r="E222" i="105" s="1"/>
  <c r="D222" i="105" a="1"/>
  <c r="D222" i="105" s="1"/>
  <c r="E221" i="105" a="1"/>
  <c r="E221" i="105" s="1"/>
  <c r="D221" i="105" a="1"/>
  <c r="D221" i="105" s="1"/>
  <c r="E220" i="105" a="1"/>
  <c r="E220" i="105" s="1"/>
  <c r="D220" i="105" a="1"/>
  <c r="D220" i="105" s="1"/>
  <c r="E219" i="105" a="1"/>
  <c r="E219" i="105" s="1"/>
  <c r="D219" i="105" a="1"/>
  <c r="D219" i="105" s="1"/>
  <c r="E218" i="105" a="1"/>
  <c r="E218" i="105" s="1"/>
  <c r="D218" i="105" a="1"/>
  <c r="D218" i="105" s="1"/>
  <c r="E217" i="105" a="1"/>
  <c r="E217" i="105" s="1"/>
  <c r="D217" i="105" a="1"/>
  <c r="D217" i="105" s="1"/>
  <c r="E216" i="105" a="1"/>
  <c r="E216" i="105" s="1"/>
  <c r="D216" i="105" a="1"/>
  <c r="D216" i="105" s="1"/>
  <c r="E215" i="105" a="1"/>
  <c r="E215" i="105" s="1"/>
  <c r="D215" i="105" a="1"/>
  <c r="D215" i="105" s="1"/>
  <c r="E214" i="105" a="1"/>
  <c r="E214" i="105" s="1"/>
  <c r="D214" i="105" a="1"/>
  <c r="D214" i="105" s="1"/>
  <c r="E213" i="105" a="1"/>
  <c r="E213" i="105" s="1"/>
  <c r="D213" i="105" a="1"/>
  <c r="D213" i="105" s="1"/>
  <c r="D211" i="105" a="1"/>
  <c r="D211" i="105" s="1"/>
  <c r="E208" i="105" a="1"/>
  <c r="E208" i="105" s="1"/>
  <c r="D208" i="105" a="1"/>
  <c r="D208" i="105" s="1"/>
  <c r="E207" i="105" a="1"/>
  <c r="E207" i="105" s="1"/>
  <c r="D207" i="105" a="1"/>
  <c r="D207" i="105" s="1"/>
  <c r="D205" i="105" a="1"/>
  <c r="D205" i="105" s="1"/>
  <c r="D204" i="105" a="1"/>
  <c r="D204" i="105" s="1"/>
  <c r="D203" i="105" a="1"/>
  <c r="D203" i="105" s="1"/>
  <c r="D202" i="105" a="1"/>
  <c r="D202" i="105" s="1"/>
  <c r="H199" i="105" a="1"/>
  <c r="H199" i="105" s="1"/>
  <c r="G199" i="105" a="1"/>
  <c r="G199" i="105" s="1"/>
  <c r="F199" i="105" a="1"/>
  <c r="F199" i="105" s="1"/>
  <c r="E199" i="105" a="1"/>
  <c r="E199" i="105" s="1"/>
  <c r="D199" i="105" a="1"/>
  <c r="D199" i="105" s="1"/>
  <c r="H198" i="105" a="1"/>
  <c r="H198" i="105" s="1"/>
  <c r="G198" i="105" a="1"/>
  <c r="G198" i="105" s="1"/>
  <c r="F198" i="105" a="1"/>
  <c r="F198" i="105" s="1"/>
  <c r="E198" i="105" a="1"/>
  <c r="E198" i="105" s="1"/>
  <c r="D198" i="105" a="1"/>
  <c r="D198" i="105" s="1"/>
  <c r="H197" i="105" a="1"/>
  <c r="H197" i="105" s="1"/>
  <c r="G197" i="105" a="1"/>
  <c r="G197" i="105" s="1"/>
  <c r="F197" i="105" a="1"/>
  <c r="F197" i="105" s="1"/>
  <c r="E197" i="105" a="1"/>
  <c r="E197" i="105" s="1"/>
  <c r="D197" i="105" a="1"/>
  <c r="D197" i="105" s="1"/>
  <c r="H196" i="105" a="1"/>
  <c r="H196" i="105" s="1"/>
  <c r="G196" i="105" a="1"/>
  <c r="G196" i="105" s="1"/>
  <c r="F196" i="105" a="1"/>
  <c r="F196" i="105" s="1"/>
  <c r="E196" i="105" a="1"/>
  <c r="E196" i="105" s="1"/>
  <c r="D196" i="105" a="1"/>
  <c r="D196" i="105" s="1"/>
  <c r="H195" i="105" a="1"/>
  <c r="H195" i="105" s="1"/>
  <c r="G195" i="105" a="1"/>
  <c r="G195" i="105" s="1"/>
  <c r="F195" i="105" a="1"/>
  <c r="F195" i="105" s="1"/>
  <c r="E195" i="105" a="1"/>
  <c r="E195" i="105" s="1"/>
  <c r="D195" i="105" a="1"/>
  <c r="D195" i="105" s="1"/>
  <c r="H194" i="105" a="1"/>
  <c r="H194" i="105" s="1"/>
  <c r="G194" i="105" a="1"/>
  <c r="G194" i="105" s="1"/>
  <c r="F194" i="105" a="1"/>
  <c r="F194" i="105" s="1"/>
  <c r="E194" i="105" a="1"/>
  <c r="E194" i="105" s="1"/>
  <c r="D194" i="105" a="1"/>
  <c r="D194" i="105" s="1"/>
  <c r="H193" i="105" a="1"/>
  <c r="H193" i="105" s="1"/>
  <c r="G193" i="105" a="1"/>
  <c r="G193" i="105" s="1"/>
  <c r="F193" i="105" a="1"/>
  <c r="F193" i="105" s="1"/>
  <c r="E193" i="105" a="1"/>
  <c r="E193" i="105" s="1"/>
  <c r="D193" i="105" a="1"/>
  <c r="D193" i="105" s="1"/>
  <c r="H192" i="105" a="1"/>
  <c r="H192" i="105" s="1"/>
  <c r="G192" i="105" a="1"/>
  <c r="G192" i="105" s="1"/>
  <c r="F192" i="105" a="1"/>
  <c r="F192" i="105" s="1"/>
  <c r="E192" i="105" a="1"/>
  <c r="E192" i="105" s="1"/>
  <c r="D192" i="105" a="1"/>
  <c r="D192" i="105" s="1"/>
  <c r="H191" i="105" a="1"/>
  <c r="H191" i="105" s="1"/>
  <c r="G191" i="105" a="1"/>
  <c r="G191" i="105" s="1"/>
  <c r="F191" i="105" a="1"/>
  <c r="F191" i="105" s="1"/>
  <c r="E191" i="105" a="1"/>
  <c r="E191" i="105" s="1"/>
  <c r="D191" i="105" a="1"/>
  <c r="D191" i="105" s="1"/>
  <c r="H190" i="105" a="1"/>
  <c r="H190" i="105" s="1"/>
  <c r="G190" i="105" a="1"/>
  <c r="G190" i="105" s="1"/>
  <c r="F190" i="105" a="1"/>
  <c r="F190" i="105" s="1"/>
  <c r="E190" i="105" a="1"/>
  <c r="E190" i="105" s="1"/>
  <c r="D190" i="105" a="1"/>
  <c r="D190" i="105" s="1"/>
  <c r="H189" i="105" a="1"/>
  <c r="H189" i="105" s="1"/>
  <c r="G189" i="105" a="1"/>
  <c r="G189" i="105" s="1"/>
  <c r="F189" i="105" a="1"/>
  <c r="F189" i="105" s="1"/>
  <c r="E189" i="105" a="1"/>
  <c r="E189" i="105" s="1"/>
  <c r="D189" i="105" a="1"/>
  <c r="D189" i="105" s="1"/>
  <c r="H188" i="105" a="1"/>
  <c r="H188" i="105" s="1"/>
  <c r="G188" i="105" a="1"/>
  <c r="G188" i="105" s="1"/>
  <c r="F188" i="105" a="1"/>
  <c r="F188" i="105" s="1"/>
  <c r="E188" i="105" a="1"/>
  <c r="E188" i="105" s="1"/>
  <c r="D188" i="105" a="1"/>
  <c r="D188" i="105" s="1"/>
  <c r="H187" i="105" a="1"/>
  <c r="H187" i="105" s="1"/>
  <c r="G187" i="105" a="1"/>
  <c r="G187" i="105" s="1"/>
  <c r="F187" i="105" a="1"/>
  <c r="F187" i="105" s="1"/>
  <c r="E187" i="105" a="1"/>
  <c r="E187" i="105" s="1"/>
  <c r="D187" i="105" a="1"/>
  <c r="D187" i="105" s="1"/>
  <c r="D181" i="105" a="1"/>
  <c r="D181" i="105" s="1"/>
  <c r="D180" i="105" a="1"/>
  <c r="D180" i="105" s="1"/>
  <c r="D179" i="105" a="1"/>
  <c r="D179" i="105" s="1"/>
  <c r="D178" i="105" a="1"/>
  <c r="D178" i="105" s="1"/>
  <c r="E175" i="105" a="1"/>
  <c r="E175" i="105" s="1"/>
  <c r="D175" i="105" a="1"/>
  <c r="D175" i="105" s="1"/>
  <c r="D174" i="105" a="1"/>
  <c r="D174" i="105" s="1"/>
  <c r="D173" i="105" a="1"/>
  <c r="D173" i="105" s="1"/>
  <c r="D170" i="105" a="1"/>
  <c r="D170" i="105" s="1"/>
  <c r="D169" i="105" a="1"/>
  <c r="D169" i="105" s="1"/>
  <c r="D168" i="105" a="1"/>
  <c r="D168" i="105" s="1"/>
  <c r="D167" i="105" a="1"/>
  <c r="D167" i="105" s="1"/>
  <c r="D164" i="105" a="1"/>
  <c r="D164" i="105" s="1"/>
  <c r="D163" i="105" a="1"/>
  <c r="D163" i="105" s="1"/>
  <c r="D162" i="105" a="1"/>
  <c r="D162" i="105" s="1"/>
  <c r="D161" i="105" a="1"/>
  <c r="D161" i="105" s="1"/>
  <c r="E158" i="105" a="1"/>
  <c r="E158" i="105" s="1"/>
  <c r="D158" i="105" a="1"/>
  <c r="D158" i="105" s="1"/>
  <c r="E157" i="105" a="1"/>
  <c r="E157" i="105" s="1"/>
  <c r="D157" i="105" a="1"/>
  <c r="D157" i="105" s="1"/>
  <c r="E156" i="105" a="1"/>
  <c r="E156" i="105" s="1"/>
  <c r="D156" i="105" a="1"/>
  <c r="D156" i="105" s="1"/>
  <c r="E155" i="105" a="1"/>
  <c r="E155" i="105" s="1"/>
  <c r="D155" i="105" a="1"/>
  <c r="D155" i="105" s="1"/>
  <c r="E154" i="105" a="1"/>
  <c r="E154" i="105" s="1"/>
  <c r="D154" i="105" a="1"/>
  <c r="D154" i="105" s="1"/>
  <c r="D151" i="105" a="1"/>
  <c r="D151" i="105" s="1"/>
  <c r="D150" i="105" a="1"/>
  <c r="D150" i="105" s="1"/>
  <c r="E147" i="105" a="1"/>
  <c r="E147" i="105" s="1"/>
  <c r="D147" i="105" a="1"/>
  <c r="D147" i="105" s="1"/>
  <c r="E146" i="105" a="1"/>
  <c r="E146" i="105" s="1"/>
  <c r="D146" i="105" a="1"/>
  <c r="D146" i="105" s="1"/>
  <c r="E145" i="105" a="1"/>
  <c r="E145" i="105" s="1"/>
  <c r="D145" i="105" a="1"/>
  <c r="D145" i="105" s="1"/>
  <c r="E144" i="105" a="1"/>
  <c r="E144" i="105" s="1"/>
  <c r="D144" i="105" a="1"/>
  <c r="D144" i="105" s="1"/>
  <c r="E143" i="105" a="1"/>
  <c r="E143" i="105" s="1"/>
  <c r="D143" i="105" a="1"/>
  <c r="D143" i="105" s="1"/>
  <c r="D141" i="105" a="1"/>
  <c r="D141" i="105" s="1"/>
  <c r="D140" i="105" a="1"/>
  <c r="D140" i="105" s="1"/>
  <c r="D139" i="105" a="1"/>
  <c r="D139" i="105" s="1"/>
  <c r="E136" i="105" a="1"/>
  <c r="E136" i="105" s="1"/>
  <c r="D136" i="105" a="1"/>
  <c r="D136" i="105" s="1"/>
  <c r="E135" i="105" a="1"/>
  <c r="E135" i="105" s="1"/>
  <c r="D135" i="105" a="1"/>
  <c r="D135" i="105" s="1"/>
  <c r="D133" i="105" a="1"/>
  <c r="D133" i="105" s="1"/>
  <c r="D132" i="105" a="1"/>
  <c r="D132" i="105" s="1"/>
  <c r="E129" i="105" a="1"/>
  <c r="E129" i="105" s="1"/>
  <c r="D129" i="105" a="1"/>
  <c r="D129" i="105" s="1"/>
  <c r="E128" i="105" a="1"/>
  <c r="E128" i="105" s="1"/>
  <c r="D128" i="105" a="1"/>
  <c r="D128" i="105" s="1"/>
  <c r="D125" i="105" a="1"/>
  <c r="D125" i="105" s="1"/>
  <c r="D124" i="105" a="1"/>
  <c r="D124" i="105" s="1"/>
  <c r="G121" i="105" a="1"/>
  <c r="G121" i="105" s="1"/>
  <c r="F121" i="105" a="1"/>
  <c r="F121" i="105" s="1"/>
  <c r="E121" i="105" a="1"/>
  <c r="E121" i="105" s="1"/>
  <c r="D121" i="105" a="1"/>
  <c r="D121" i="105" s="1"/>
  <c r="G120" i="105" a="1"/>
  <c r="G120" i="105" s="1"/>
  <c r="F120" i="105" a="1"/>
  <c r="F120" i="105" s="1"/>
  <c r="E120" i="105" a="1"/>
  <c r="E120" i="105" s="1"/>
  <c r="D120" i="105" a="1"/>
  <c r="D120" i="105" s="1"/>
  <c r="D117" i="105" a="1"/>
  <c r="D117" i="105" s="1"/>
  <c r="D116" i="105" a="1"/>
  <c r="D116" i="105" s="1"/>
  <c r="D115" i="105" a="1"/>
  <c r="D115" i="105" s="1"/>
  <c r="G112" i="105" a="1"/>
  <c r="G112" i="105" s="1"/>
  <c r="F112" i="105" a="1"/>
  <c r="F112" i="105" s="1"/>
  <c r="E112" i="105" a="1"/>
  <c r="E112" i="105" s="1"/>
  <c r="D112" i="105" a="1"/>
  <c r="D112" i="105" s="1"/>
  <c r="G111" i="105" a="1"/>
  <c r="G111" i="105" s="1"/>
  <c r="F111" i="105" a="1"/>
  <c r="F111" i="105" s="1"/>
  <c r="E111" i="105" a="1"/>
  <c r="E111" i="105" s="1"/>
  <c r="D111" i="105" a="1"/>
  <c r="D111" i="105" s="1"/>
  <c r="G110" i="105" a="1"/>
  <c r="G110" i="105" s="1"/>
  <c r="F110" i="105" a="1"/>
  <c r="F110" i="105" s="1"/>
  <c r="E110" i="105" a="1"/>
  <c r="E110" i="105" s="1"/>
  <c r="D110" i="105" a="1"/>
  <c r="D110" i="105" s="1"/>
  <c r="D107" i="105" a="1"/>
  <c r="D107" i="105" s="1"/>
  <c r="D106" i="105" a="1"/>
  <c r="D106" i="105" s="1"/>
  <c r="D105" i="105" a="1"/>
  <c r="D105" i="105" s="1"/>
  <c r="D99" i="105" a="1"/>
  <c r="D99"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D83" i="105" a="1"/>
  <c r="D83" i="105" s="1"/>
  <c r="D82" i="105" a="1"/>
  <c r="D82" i="105" s="1"/>
  <c r="D81" i="105" a="1"/>
  <c r="D81" i="105" s="1"/>
  <c r="E77" i="105" a="1"/>
  <c r="E77" i="105" s="1"/>
  <c r="D77" i="105" a="1"/>
  <c r="D77" i="105" s="1"/>
  <c r="E76" i="105" a="1"/>
  <c r="E76" i="105" s="1"/>
  <c r="D76" i="105" a="1"/>
  <c r="D76" i="105" s="1"/>
  <c r="E75" i="105" a="1"/>
  <c r="E75" i="105" s="1"/>
  <c r="D75" i="105" a="1"/>
  <c r="D75" i="105" s="1"/>
  <c r="E74" i="105" a="1"/>
  <c r="E74" i="105" s="1"/>
  <c r="D74" i="105" a="1"/>
  <c r="D74" i="105" s="1"/>
  <c r="E73" i="105" a="1"/>
  <c r="E73" i="105" s="1"/>
  <c r="D73" i="105" a="1"/>
  <c r="D73" i="105" s="1"/>
  <c r="E72" i="105" a="1"/>
  <c r="E72" i="105" s="1"/>
  <c r="D72" i="105" a="1"/>
  <c r="D72" i="105" s="1"/>
  <c r="E71" i="105" a="1"/>
  <c r="E71" i="105" s="1"/>
  <c r="D71" i="105" a="1"/>
  <c r="D71" i="105" s="1"/>
  <c r="E70" i="105" a="1"/>
  <c r="E70" i="105" s="1"/>
  <c r="D70" i="105" a="1"/>
  <c r="D70" i="105" s="1"/>
  <c r="E69" i="105" a="1"/>
  <c r="E69" i="105" s="1"/>
  <c r="D69" i="105" a="1"/>
  <c r="D69" i="105"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D59" i="105" a="1"/>
  <c r="D59" i="105" s="1"/>
  <c r="D58" i="105" a="1"/>
  <c r="D58" i="105" s="1"/>
  <c r="D57" i="105" a="1"/>
  <c r="D57" i="105" s="1"/>
  <c r="G54" i="105" a="1"/>
  <c r="G54" i="105" s="1"/>
  <c r="F54" i="105" a="1"/>
  <c r="F54" i="105" s="1"/>
  <c r="E54" i="105" a="1"/>
  <c r="E54" i="105" s="1"/>
  <c r="D54" i="105" a="1"/>
  <c r="D54" i="105" s="1"/>
  <c r="G53" i="105" a="1"/>
  <c r="G53" i="105" s="1"/>
  <c r="F53" i="105" a="1"/>
  <c r="F53" i="105" s="1"/>
  <c r="E53" i="105" a="1"/>
  <c r="E53" i="105" s="1"/>
  <c r="D53" i="105" a="1"/>
  <c r="D53" i="105" s="1"/>
  <c r="G52" i="105" a="1"/>
  <c r="G52" i="105" s="1"/>
  <c r="F52" i="105" a="1"/>
  <c r="F52" i="105" s="1"/>
  <c r="E52" i="105" a="1"/>
  <c r="E52" i="105" s="1"/>
  <c r="D52" i="105" a="1"/>
  <c r="D52" i="105" s="1"/>
  <c r="G51" i="105" a="1"/>
  <c r="G51" i="105" s="1"/>
  <c r="F51" i="105" a="1"/>
  <c r="F51" i="105" s="1"/>
  <c r="E51" i="105" a="1"/>
  <c r="E51" i="105" s="1"/>
  <c r="D51" i="105" a="1"/>
  <c r="D51" i="105" s="1"/>
  <c r="G50" i="105" a="1"/>
  <c r="G50" i="105" s="1"/>
  <c r="F50" i="105" a="1"/>
  <c r="F50" i="105" s="1"/>
  <c r="E50" i="105" a="1"/>
  <c r="E50" i="105" s="1"/>
  <c r="D50" i="105" a="1"/>
  <c r="D50" i="105" s="1"/>
  <c r="G49" i="105" a="1"/>
  <c r="G49" i="105" s="1"/>
  <c r="F49" i="105" a="1"/>
  <c r="F49" i="105" s="1"/>
  <c r="E49" i="105" a="1"/>
  <c r="E49" i="105" s="1"/>
  <c r="D49" i="105" a="1"/>
  <c r="D49" i="105" s="1"/>
  <c r="G48" i="105" a="1"/>
  <c r="G48" i="105" s="1"/>
  <c r="F48" i="105" a="1"/>
  <c r="F48" i="105" s="1"/>
  <c r="E48" i="105" a="1"/>
  <c r="E48" i="105" s="1"/>
  <c r="D48" i="105" a="1"/>
  <c r="D48" i="105" s="1"/>
  <c r="D46" i="105" a="1"/>
  <c r="D46" i="105" s="1"/>
  <c r="D45" i="105" a="1"/>
  <c r="D45" i="105" s="1"/>
  <c r="E43" i="105" a="1"/>
  <c r="E43" i="105" s="1"/>
  <c r="D43" i="105" a="1"/>
  <c r="D43" i="105" s="1"/>
  <c r="E42" i="105" a="1"/>
  <c r="E42" i="105" s="1"/>
  <c r="D42" i="105" a="1"/>
  <c r="D42" i="105" s="1"/>
  <c r="E41" i="105" a="1"/>
  <c r="E41" i="105" s="1"/>
  <c r="D41" i="105" a="1"/>
  <c r="D41" i="105" s="1"/>
  <c r="E40" i="105" a="1"/>
  <c r="E40" i="105" s="1"/>
  <c r="D40" i="105" a="1"/>
  <c r="D40" i="105" s="1"/>
  <c r="E39" i="105" a="1"/>
  <c r="E39" i="105" s="1"/>
  <c r="D39" i="105" a="1"/>
  <c r="D39" i="105" s="1"/>
  <c r="E38" i="105" a="1"/>
  <c r="E38" i="105" s="1"/>
  <c r="D38" i="105" a="1"/>
  <c r="D38" i="105" s="1"/>
  <c r="E37" i="105" a="1"/>
  <c r="E37" i="105" s="1"/>
  <c r="D37" i="105" a="1"/>
  <c r="D37" i="105" s="1"/>
  <c r="D35" i="105" a="1"/>
  <c r="D35" i="105" s="1"/>
  <c r="D34" i="105"/>
  <c r="D34" i="105" a="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19" i="105" a="1"/>
  <c r="D19" i="105" s="1"/>
  <c r="D18" i="105"/>
  <c r="D18" i="105" a="1"/>
  <c r="F14" i="105" a="1"/>
  <c r="F14" i="105" s="1"/>
  <c r="E14" i="105" a="1"/>
  <c r="E14" i="105" s="1"/>
  <c r="D14" i="105" a="1"/>
  <c r="D14" i="105" s="1"/>
  <c r="F13" i="105" a="1"/>
  <c r="F13" i="105" s="1"/>
  <c r="E13" i="105" a="1"/>
  <c r="E13" i="105" s="1"/>
  <c r="D13" i="105" a="1"/>
  <c r="D13" i="105" s="1"/>
  <c r="F12" i="105" a="1"/>
  <c r="F12" i="105" s="1"/>
  <c r="E12" i="105" a="1"/>
  <c r="E12" i="105" s="1"/>
  <c r="D12" i="105" a="1"/>
  <c r="D12" i="105" s="1"/>
  <c r="F11" i="105" a="1"/>
  <c r="F11" i="105" s="1"/>
  <c r="E11" i="105" a="1"/>
  <c r="E11" i="105" s="1"/>
  <c r="D11" i="105" a="1"/>
  <c r="D11" i="105" s="1"/>
  <c r="F10" i="105" a="1"/>
  <c r="F10" i="105" s="1"/>
  <c r="E10" i="105" a="1"/>
  <c r="E10" i="105" s="1"/>
  <c r="D10" i="105" a="1"/>
  <c r="D10" i="105" s="1"/>
  <c r="F9" i="105" a="1"/>
  <c r="F9" i="105" s="1"/>
  <c r="E9" i="105" a="1"/>
  <c r="E9" i="105" s="1"/>
  <c r="D9" i="105" a="1"/>
  <c r="D9" i="105" s="1"/>
  <c r="F8" i="105" a="1"/>
  <c r="F8" i="105" s="1"/>
  <c r="E8" i="105" a="1"/>
  <c r="E8" i="105" s="1"/>
  <c r="D8" i="105" a="1"/>
  <c r="D8" i="105" s="1"/>
  <c r="A8" i="105"/>
  <c r="F7" i="105" a="1"/>
  <c r="F7" i="105" s="1"/>
  <c r="E7" i="105" a="1"/>
  <c r="E7" i="105" s="1"/>
  <c r="D7" i="105" a="1"/>
  <c r="D7" i="105" s="1"/>
  <c r="A7" i="105"/>
  <c r="D5" i="105"/>
  <c r="D5" i="105" a="1"/>
  <c r="A3" i="105"/>
  <c r="A8" i="71"/>
  <c r="A7" i="71"/>
  <c r="A3" i="71"/>
  <c r="E29" i="15"/>
  <c r="E13" i="15"/>
  <c r="D9" i="70" s="1"/>
  <c r="A25" i="74"/>
  <c r="A24" i="74"/>
  <c r="A23" i="74"/>
  <c r="A22" i="74"/>
  <c r="A21" i="74"/>
  <c r="A17" i="74"/>
  <c r="A16" i="74"/>
  <c r="A15" i="74"/>
  <c r="A14" i="74"/>
  <c r="A10" i="74"/>
  <c r="A9" i="74"/>
  <c r="A5" i="74"/>
  <c r="A4" i="74"/>
  <c r="A3" i="74"/>
  <c r="A25" i="43"/>
  <c r="A24" i="43"/>
  <c r="A23" i="43"/>
  <c r="A22" i="43"/>
  <c r="A21" i="43"/>
  <c r="A17" i="43"/>
  <c r="A16" i="43"/>
  <c r="A15" i="43"/>
  <c r="A14" i="43"/>
  <c r="A10" i="43"/>
  <c r="A9" i="43"/>
  <c r="A5" i="43"/>
  <c r="A4" i="43"/>
  <c r="A3" i="43"/>
  <c r="A25" i="79"/>
  <c r="A24" i="79"/>
  <c r="A23" i="79"/>
  <c r="A22" i="79"/>
  <c r="A21" i="79"/>
  <c r="A17" i="79"/>
  <c r="A16" i="79"/>
  <c r="A15" i="79"/>
  <c r="A14" i="79"/>
  <c r="A10" i="79"/>
  <c r="A9" i="79"/>
  <c r="A5" i="79"/>
  <c r="A4" i="79"/>
  <c r="A3" i="79"/>
  <c r="A25" i="81"/>
  <c r="A24" i="81"/>
  <c r="A23" i="81"/>
  <c r="A22" i="81"/>
  <c r="A21" i="81"/>
  <c r="A17" i="81"/>
  <c r="A16" i="81"/>
  <c r="A15" i="81"/>
  <c r="A14" i="81"/>
  <c r="A10" i="81"/>
  <c r="A9" i="81"/>
  <c r="A5" i="81"/>
  <c r="A4" i="81"/>
  <c r="A3" i="81"/>
  <c r="A25" i="82"/>
  <c r="A24" i="82"/>
  <c r="A23" i="82"/>
  <c r="A22" i="82"/>
  <c r="A21" i="82"/>
  <c r="A17" i="82"/>
  <c r="A16" i="82"/>
  <c r="A15" i="82"/>
  <c r="A14" i="82"/>
  <c r="A10" i="82"/>
  <c r="A9" i="82"/>
  <c r="A5" i="82"/>
  <c r="A4" i="82"/>
  <c r="A3" i="82"/>
  <c r="A25" i="76"/>
  <c r="A24" i="76"/>
  <c r="A23" i="76"/>
  <c r="A22" i="76"/>
  <c r="A21" i="76"/>
  <c r="A17" i="76"/>
  <c r="A16" i="76"/>
  <c r="A15" i="76"/>
  <c r="A14" i="76"/>
  <c r="A10" i="76"/>
  <c r="A9" i="76"/>
  <c r="A5" i="76"/>
  <c r="A4" i="76"/>
  <c r="A3" i="76"/>
  <c r="A25" i="69"/>
  <c r="A24" i="69"/>
  <c r="A23" i="69"/>
  <c r="A22" i="69"/>
  <c r="A21" i="69"/>
  <c r="A17" i="69"/>
  <c r="A16" i="69"/>
  <c r="A15" i="69"/>
  <c r="A14" i="69"/>
  <c r="A10" i="69"/>
  <c r="A9" i="69"/>
  <c r="A5" i="69"/>
  <c r="A4" i="69"/>
  <c r="A3" i="69"/>
  <c r="A25" i="70"/>
  <c r="A24" i="70"/>
  <c r="A23" i="70"/>
  <c r="A22" i="70"/>
  <c r="A21" i="70"/>
  <c r="A17" i="70"/>
  <c r="A16" i="70"/>
  <c r="A15" i="70"/>
  <c r="A14" i="70"/>
  <c r="A10" i="70"/>
  <c r="A9" i="70"/>
  <c r="A5" i="70"/>
  <c r="A4" i="70"/>
  <c r="A3" i="70"/>
  <c r="A25" i="15"/>
  <c r="A24" i="15"/>
  <c r="A23" i="15"/>
  <c r="A22" i="15"/>
  <c r="A21" i="15"/>
  <c r="A17" i="15"/>
  <c r="A16" i="15"/>
  <c r="A15" i="15"/>
  <c r="A14" i="15"/>
  <c r="A10" i="15"/>
  <c r="A9" i="15"/>
  <c r="A5" i="15"/>
  <c r="A4" i="15"/>
  <c r="A3" i="15"/>
  <c r="A25" i="13"/>
  <c r="A24" i="13"/>
  <c r="A23" i="13"/>
  <c r="A22" i="13"/>
  <c r="A21" i="13"/>
  <c r="A17" i="13"/>
  <c r="A16" i="13"/>
  <c r="A15" i="13"/>
  <c r="A14" i="13"/>
  <c r="A10" i="13"/>
  <c r="A9" i="13"/>
  <c r="A5" i="13"/>
  <c r="A4" i="13"/>
  <c r="A3" i="13"/>
  <c r="A25" i="100"/>
  <c r="A24" i="100"/>
  <c r="A23" i="100"/>
  <c r="A22" i="100"/>
  <c r="A21" i="100"/>
  <c r="A17" i="100"/>
  <c r="A16" i="100"/>
  <c r="A15" i="100"/>
  <c r="A14" i="100"/>
  <c r="A10" i="100"/>
  <c r="A9" i="100"/>
  <c r="A5" i="100"/>
  <c r="A4" i="100"/>
  <c r="A3" i="100"/>
  <c r="I114" i="69"/>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E52" i="82"/>
  <c r="D8" i="70" l="1"/>
  <c r="H49" i="105"/>
  <c r="H51" i="105"/>
  <c r="H52" i="105"/>
  <c r="H48" i="105"/>
  <c r="H54" i="105"/>
  <c r="H50" i="105"/>
  <c r="H53" i="105"/>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7" i="82" a="1"/>
  <c r="E67" i="81" a="1"/>
  <c r="E7" i="81" a="1"/>
  <c r="E181" i="76"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112" i="76" a="1"/>
  <c r="E7" i="76" a="1"/>
  <c r="E36" i="76" a="1"/>
  <c r="E155" i="76" a="1"/>
  <c r="E60" i="76" a="1"/>
  <c r="E89" i="76" a="1"/>
  <c r="E135"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63" i="69" a="1"/>
  <c r="E104"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36" i="69" a="1"/>
  <c r="E7"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97" i="76" s="1"/>
  <c r="E152" i="69"/>
  <c r="N57" i="81"/>
  <c r="N152" i="69"/>
  <c r="D99" i="81"/>
  <c r="D32" i="81"/>
  <c r="E32" i="81" s="1"/>
  <c r="M42" i="82"/>
  <c r="D42" i="82"/>
  <c r="N166" i="69"/>
  <c r="N88" i="69"/>
  <c r="D25" i="82"/>
  <c r="E166" i="69"/>
  <c r="O175" i="76"/>
  <c r="E88" i="69"/>
  <c r="F88" i="69" s="1" a="1"/>
  <c r="F88" i="69" s="1"/>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E198" i="76" s="1"/>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N98" i="69" l="1" a="1"/>
  <c r="N98" i="69" s="1"/>
  <c r="P98" i="69" a="1"/>
  <c r="P98"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s="1"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<sst xmlns="http://schemas.openxmlformats.org/spreadsheetml/2006/main" count="898" uniqueCount="407">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</sst>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7">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7">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27"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26"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25"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24"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23"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22"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21"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20"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19"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1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17"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1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1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1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1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1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1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1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328AD4-94CE-4D7E-959F-DACFA24EA07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293A862-2BC0-4908-955E-FADDE9148AA2}" name="State/Territory">
      <calculatedColumnFormula array="1">Common_InputFunctions.Utility_DisplayArrayInTable(Common_SourceData.Common_SourceData_AustralianStatesTerritories_Data(),Table_AustralianStates[[#Headers],[State/Territory]],0)</calculatedColumnFormula>
    </tableColumn>
    <tableColumn id="2" xr3:uid="{DF37989E-3C33-42C6-9DF4-E831C72FC17C}" name="Common Name">
      <calculatedColumnFormula array="1">Common_InputFunctions.Utility_DisplayArrayInTable(Common_SourceData.Common_SourceData_AustralianStatesTerritories_Data(),Table_AustralianStates[[#Headers],[State/Territory]],0)</calculatedColumnFormula>
    </tableColumn>
    <tableColumn id="3" xr3:uid="{60ADFEB1-C1AE-474E-BBAB-B86DD3AA2E4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5F3D621-24E2-4CE5-B1DC-60AD88452C17}" name="Table_WASA4Areas" displayName="Table_WASA4Areas" ref="D20:D30" totalsRowShown="0">
  <autoFilter ref="D20:D30" xr:uid="{5FA81339-C6C8-4D36-BEEA-6C4AEDD9E676}">
    <filterColumn colId="0" hiddenButton="1"/>
  </autoFilter>
  <tableColumns count="1">
    <tableColumn id="1" xr3:uid="{AC34CA8A-9C17-4788-B6B6-5232B868607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B3A1E8F-7832-4198-A186-0823489CDE32}" name="Table_GWPData" displayName="Table_GWPData" ref="D36:E43" totalsRowShown="0">
  <autoFilter ref="D36:E43" xr:uid="{B8E87A66-3E41-4AD3-925D-01EE21B43D7A}">
    <filterColumn colId="0" hiddenButton="1"/>
    <filterColumn colId="1" hiddenButton="1"/>
  </autoFilter>
  <tableColumns count="2">
    <tableColumn id="1" xr3:uid="{E3CE2B0A-E21B-485F-8986-0E07CD20552B}" name="Gas">
      <calculatedColumnFormula array="1">Common_InputFunctions.Utility_DisplayArrayInTable(Common_SourceData.Common_SourceData_GWP_Data(), Table_GWPData[[#Headers],[Gas]], 0)</calculatedColumnFormula>
    </tableColumn>
    <tableColumn id="2" xr3:uid="{8E77F8B9-28E4-411F-8F7E-EA47BE1224D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48B222D-1A35-4D9F-972C-6BE87FBFB76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99D6350-4E69-4874-A11C-715173DAC64D}" name="Gas">
      <calculatedColumnFormula array="1">Common_InputFunctions.Utility_DisplayArrayInTable(Common_SourceData.Common_SourceData_ConvertGasElementalToMolecular_Data(),Table_GasToMolecularConversionFactor[[#Headers],[Gas]], 0)</calculatedColumnFormula>
    </tableColumn>
    <tableColumn id="5" xr3:uid="{52AD29AF-31EC-4EA3-9D46-634D08FCD568}" name="Conversion factor">
      <calculatedColumnFormula array="1">Common_InputFunctions.Utility_DisplayArrayInTable(Common_SourceData.Common_SourceData_ConvertGasElementalToMolecular_Data(),Table_GasToMolecularConversionFactor[[#Headers],[Gas]], 0)</calculatedColumnFormula>
    </tableColumn>
    <tableColumn id="2" xr3:uid="{11ED0561-0D28-48C4-B6D6-CB9DA363770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B9EFBD-3157-4BA6-AACA-DE3BE58F408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DDF8C4F-8A2E-41B5-949E-51D0555AF21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1DDDF7-3E1E-4CF3-9B74-AA3FB00364E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01D4413-478C-4A71-AFD4-D85D801EABC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B5DD0BF3-DAC6-4ABF-A59C-1F114CA4942B}" name="MAT"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3" xr3:uid="{318EBEFE-08B3-46D0-9467-2CDA17FD253F}" name="MAP"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4" xr3:uid="{0F1509B0-E3B6-4585-82DF-3D645A787E53}" name="Frost days per year"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5" xr3:uid="{F018EBE9-3BAD-4618-966B-A6C554F98A77}" name="Elevation"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6" xr3:uid="{A36228ED-2638-4F29-A105-B42F5347DF82}" name="MAP:PE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7" xr3:uid="{5AAF2CD2-5363-49C9-BEA6-AD2236670A9E}" name="Min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8" xr3:uid="{B86DF8A5-B51E-4E2C-9C9B-626D78885059}" name="Max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9" xr3:uid="{0208343E-CFBB-46F8-8EAB-D41A85B73AE6}" name="Min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0" xr3:uid="{D4FB8819-16C7-4C74-B59D-10C8F5A7351E}" name="Max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1" xr3:uid="{9D109E46-D06B-4122-A06F-0AA683442EC9}" name="Min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5" xr3:uid="{E3461A80-9D25-4C18-A1BF-E6C97600A41A}" name="Max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2" xr3:uid="{5F3C019E-6CE4-4C89-A54A-37770CB4D2AF}" name="Min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6" xr3:uid="{D43962C7-3E9C-41B2-A8B1-62A63BB061E7}" name="Max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3" xr3:uid="{7073B070-AD69-4BC0-AF91-31BAD06B716D}" name="Min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7" xr3:uid="{BAA95BD6-C92D-4275-99D9-4EBB8ABAF9DF}" name="Max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FE0B2D2-92AE-418F-AE2A-F0AAD44EE2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F89BC26-D79C-4E35-8886-44C96228790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988F069-D4DD-4014-A785-3008D3B1F223}" name="Wet or Dry Zone" totalsRowDxfId="4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B3CF61-D17B-4F0E-B00D-FCACB544E49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545B580-2A93-465A-BA94-D8B85D1BD744}" name="Temperature Zone">
      <calculatedColumnFormula array="1">Common_InputFunctions.Utility_DisplayArrayInTable(Common_SourceData.Common_SourceData_TemperatureZones_Data(),Table_SourceData_TemperatureZones[[#Headers],[Temperature Zone]],0)</calculatedColumnFormula>
    </tableColumn>
    <tableColumn id="2" xr3:uid="{53B74DA8-AD43-4CB5-8AF5-C8BEF2606623}" name="MAT">
      <calculatedColumnFormula array="1">Common_InputFunctions.Utility_DisplayArrayInTable(Common_SourceData.Common_SourceData_TemperatureZones_Data(),Table_SourceData_TemperatureZones[[#Headers],[Temperature Zone]],0)</calculatedColumnFormula>
    </tableColumn>
    <tableColumn id="3" xr3:uid="{4922C595-2AB4-4326-870F-B012959664AF}" name="Min MAT">
      <calculatedColumnFormula array="1">Common_InputFunctions.Utility_DisplayArrayInTable(Common_SourceData.Common_SourceData_TemperatureZones_Data(),Table_SourceData_TemperatureZones[[#Headers],[Temperature Zone]],0)</calculatedColumnFormula>
    </tableColumn>
    <tableColumn id="4" xr3:uid="{C8283BF1-2970-43AA-A9BC-60CB887A152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FD0675E-F522-40CE-9DCF-872348BAD7A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59F542D-C0F0-4E44-9473-3E3B05A65846}" name="Rainfall Zone">
      <calculatedColumnFormula array="1">Common_InputFunctions.Utility_DisplayArrayInTable(Common_SourceData.Common_SourceData_RainfallZones_Data(),Table_SourceData_RainfallZones[[#Headers],[Rainfall Zone]],0)</calculatedColumnFormula>
    </tableColumn>
    <tableColumn id="2" xr3:uid="{E5F5FB2D-C585-4FAC-92F1-41F7804B2904}" name="Annual rainfall">
      <calculatedColumnFormula array="1">Common_InputFunctions.Utility_DisplayArrayInTable(Common_SourceData.Common_SourceData_RainfallZones_Data(),Table_SourceData_RainfallZones[[#Headers],[Rainfall Zone]],0)</calculatedColumnFormula>
    </tableColumn>
    <tableColumn id="3" xr3:uid="{9D8DA7A4-D653-44E2-AD78-E2B3EFDEE595}" name="Min rainfall">
      <calculatedColumnFormula array="1">Common_InputFunctions.Utility_DisplayArrayInTable(Common_SourceData.Common_SourceData_RainfallZones_Data(),Table_SourceData_RainfallZones[[#Headers],[Rainfall Zone]],0)</calculatedColumnFormula>
    </tableColumn>
    <tableColumn id="4" xr3:uid="{74A3DF96-7AF1-41DC-BCF5-3CE8CC95575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13E7745-91EC-4524-A311-9E2B4B3D164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692DD4D-20C7-423F-92C9-92E6CA2F4B11}" name="Leaching Zone">
      <calculatedColumnFormula array="1">Common_InputFunctions.Utility_DisplayArrayInTable(Common_SourceData.Common_SourceData_LeachingZones_Data(), Table_SourceData_LeachingZones[[#Headers],[Leaching Zone]], 0)</calculatedColumnFormula>
    </tableColumn>
    <tableColumn id="2" xr3:uid="{A72F4D4B-3123-419B-AC0F-1815CF77623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27C8D94-6406-4C55-B7E8-1E4600B2B12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A9F24DC-18BB-45DB-BD54-5E1E42498211}" name="Data source">
      <calculatedColumnFormula array="1">Common_InputFunctions.Utility_DisplayArrayInTable(Common_SourceData.Common_SourceData_DataScores_Scope3_Data(), Table_SourceData_DataScores_Scope3[[#Headers],[Data source]], 0)</calculatedColumnFormula>
    </tableColumn>
    <tableColumn id="2" xr3:uid="{D9CE3036-741F-45AA-844E-682FE053C5F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AF119C-B725-46F7-878A-C50EE943BEC7}" name="Table_SourceData_FracWET" displayName="Table_SourceData_FracWET" ref="D134:E136" totalsRowShown="0">
  <autoFilter ref="D134:E136" xr:uid="{308E99BE-FE1F-47A4-B2CA-97217277C4E9}">
    <filterColumn colId="0" hiddenButton="1"/>
    <filterColumn colId="1" hiddenButton="1"/>
  </autoFilter>
  <tableColumns count="2">
    <tableColumn id="1" xr3:uid="{915F86DC-0C1E-43C8-9064-81DB52A22B6E}" name="Is in leaching zone">
      <calculatedColumnFormula array="1">Common_InputFunctions.Utility_DisplayArrayInTable(Common_SourceData.Common_SourceData_FracWET_Data(),Table_SourceData_FracWET[[#Headers],[Is in leaching zone]],0)</calculatedColumnFormula>
    </tableColumn>
    <tableColumn id="2" xr3:uid="{48AD3B85-AB20-4B39-B1A8-85C070E22B72}" name="FracWET" dataDxfId="4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69DD002-93C8-4C09-83ED-803A82563B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2A8A8C2-92E2-4A27-8ADD-FB3C4C010E1A}" name="Production system j">
      <calculatedColumnFormula array="1">Common_InputFunctions.Utility_DisplayArrayInTable(Common_SourceData.Common_SourceData_EFN2O_Data(), Table_SourceData_Common_EFN2O[[#Headers],[Production system j]], 0)</calculatedColumnFormula>
    </tableColumn>
    <tableColumn id="2" xr3:uid="{B4F87E41-113E-47BB-AEE0-49B87E26B4C6}" name="EFN2O">
      <calculatedColumnFormula array="1">Common_InputFunctions.Utility_DisplayArrayInTable(Common_SourceData.Common_SourceData_EFN2O_Data(), Table_SourceData_Common_EFN2O[[#Headers],[Production system j]], 0)</calculatedColumnFormula>
    </tableColumn>
    <tableColumn id="3" xr3:uid="{2A643BD6-A519-470F-B2B1-D66081AD6244}" name="Production system only">
      <calculatedColumnFormula array="1">Common_InputFunctions.Utility_DisplayArrayInTable(Common_SourceData.Common_SourceData_EFN2O_Data(), Table_SourceData_Common_EFN2O[[#Headers],[Production system j]], 0)</calculatedColumnFormula>
    </tableColumn>
    <tableColumn id="4" xr3:uid="{AD136837-1BEA-43F7-A582-B8AC4E632755}" name="Irrigation method">
      <calculatedColumnFormula array="1">Common_InputFunctions.Utility_DisplayArrayInTable(Common_SourceData.Common_SourceData_EFN2O_Data(), Table_SourceData_Common_EFN2O[[#Headers],[Production system j]], 0)</calculatedColumnFormula>
    </tableColumn>
    <tableColumn id="5" xr3:uid="{5BC8F207-B480-4B62-9E44-1791E00BFBD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4E68AFB-898D-4930-919C-198A4A1FB3F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137CB11-61BA-4EA2-B339-5583CCA42F39}" name="Irrigation type i">
      <calculatedColumnFormula array="1">Common_InputFunctions.Utility_DisplayArrayInTable(Common_SourceData.Common_SourceData_FracWETIrrigation_Data(), Table_SourceData_FracWETIrrigation[[#Headers],[Irrigation type i]], 0)</calculatedColumnFormula>
    </tableColumn>
    <tableColumn id="2" xr3:uid="{E339C514-CDFB-4198-A6D9-642AF0FFEE45}" name="FracWET" dataDxfId="4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3062621-B122-44C0-A218-19A0A8D4EC2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6F0752A-A52C-4BB9-ADD1-8F813DEF1A3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1A9406D-4C70-4AAB-9ACA-881AB65211E4}" name="EFPRP" dataDxfId="4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C279F03-78E7-4F42-8419-45060731FC8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75AFAA8-CA2E-4F72-BABB-5D856F3A123D}" name="Month">
      <calculatedColumnFormula array="1">Common_InputFunctions.Utility_DisplayArrayInTable(Common_SourceData.Common_SourceData_MonthsToSeasons_Data(), Table_SourceData_Common_MonthToSeason[[#Headers],[Month]], 0)</calculatedColumnFormula>
    </tableColumn>
    <tableColumn id="2" xr3:uid="{75A896E4-418C-45A4-8F51-CC7860BE6255}" name="Season" dataDxfId="4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C6369E6-9EAC-48D4-BE16-BF1DAE2CE7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5D73E65-46DD-40AF-A061-82A5ADBA45C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AA6E9D5-91C2-4DE2-B61F-8909EC7424D6}" name="MAT (ºC)"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F59F454-94EF-4F9D-A326-6C67C08138E7}" name="Anaerobic lagoon"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31B562-6B91-4DDF-8C58-A1133A9B1AF8}" name="Digester / covered lagoon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53C5889-D7EA-4F57-8705-C3BE53535804}" name="Liquid system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62C6470-AB62-4FFA-9F6D-CFD0A11C3B53}" name="Daily spread"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8C779FD-BDA4-4EC9-B495-5BFB3E08FE90}" name="Composting (passive windrow)"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6EAB8F8-5B1E-4150-AFA4-7B9D686AB1D9}" name="Solid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0647FDD-D5C1-491C-BE71-7F3F092775EF}" name="Pit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B5846EE-6262-4362-AE05-011BDC6190A8}" name="Deep litter"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867DD44-BE66-4E43-96AF-09EE85819B23}" name="Poultry manure with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DA16B48-786B-401B-9016-FC4BA58CBF77}" name="Poultry manure without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F33EED0-DFC4-4A32-91CF-1CE63A54F1F9}" name="Direct process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60A99D-CC23-4898-9948-34AAFC34CC50}" name="Direct applicati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C215C8D-74FE-441D-8182-5B1EA0694FAD}" name="Pasture range and paddock"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1F5B1EA-05AB-4477-B86B-EE626D135C9C}" name="MAT raw"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F7A4DB5-ACE7-495D-8295-BCC314C759D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B7A590A-4537-4CC8-90AD-CCB324C6F06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8ED9C8D-DEC5-44E5-AE40-08A4F385EB60}" name="EFNi &amp; EFN2Oi" dataDxfId="2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7E754F9-161D-4DBE-ACDB-524420875F35}"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91AF8B6B-7528-4F52-A454-FFB912C4322E}" name="Description" dataDxfId="28" dataCellStyle="Content normal"/>
    <tableColumn id="1" xr3:uid="{B77B7C2C-E3F6-4CE1-9718-A54DC4AB074C}" name="ID"/>
    <tableColumn id="3" xr3:uid="{A3C0AC3F-72C5-4DA8-B1F5-8B9B760D3709}"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13B04F6-7F12-4538-978D-87FF429B6E4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DBBDE0C-1266-4C57-8583-05EB40EF0243}" name="Description"/>
    <tableColumn id="2" xr3:uid="{BD46DF54-EFC6-48FA-B612-5A3FA24DE6DF}" name="ID"/>
    <tableColumn id="3" xr3:uid="{896FC834-5349-4202-B0A3-3FF6A2EC58F9}"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2990117-BD2C-4641-A3F2-EC6FA3571273}"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4B782AB4-AD1A-4C05-906B-EF101D096317}" name="Description"/>
    <tableColumn id="2" xr3:uid="{22E182B8-59CE-4F29-AC0A-5649F97CBBE0}" name="ID"/>
    <tableColumn id="3" xr3:uid="{D0A22DAF-4DA3-4FFF-B4AE-31113F834AF5}"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CD620208-F34D-4E54-A2A6-64A6EBF244B3}"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57CD3911-063D-41CA-A3FE-D640BAC295B3}" name="Description"/>
    <tableColumn id="2" xr3:uid="{E9BED3D2-A3CF-4C42-895A-8604287298DD}" name="ID"/>
    <tableColumn id="3" xr3:uid="{B4195834-11A1-41EA-8644-29E3529E6A9E}"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5" sqref="A25"/>
    </sheetView>
  </sheetViews>
  <sheetFormatPr defaultRowHeight="15" x14ac:dyDescent="0.25"/>
  <sheetData>
    <row r="1" spans="1:1" x14ac:dyDescent="0.25">
      <c r="A1" t="s">
        <v>357</v>
      </c>
    </row>
    <row r="3" spans="1:1" x14ac:dyDescent="0.25">
      <c r="A3" s="146"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5" sqref="A25"/>
    </sheetView>
  </sheetViews>
  <sheetFormatPr defaultRowHeight="15" x14ac:dyDescent="0.25"/>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23" t="str">
        <f>HYPERLINK("#'Results'!A1", "Results")</f>
        <v>Results</v>
      </c>
      <c r="C5" s="23"/>
      <c r="D5" s="27"/>
      <c r="E5" s="28"/>
      <c r="F5" s="28"/>
      <c r="G5" s="28"/>
      <c r="H5" s="25"/>
      <c r="I5" s="23"/>
      <c r="J5" s="23"/>
      <c r="K5" s="23"/>
      <c r="L5" s="23"/>
    </row>
    <row r="6" spans="1:12" ht="20.100000000000001" customHeight="1" x14ac:dyDescent="0.25">
      <c r="C6" s="23"/>
      <c r="D6" s="122" t="s">
        <v>251</v>
      </c>
      <c r="E6" s="122" t="s">
        <v>303</v>
      </c>
      <c r="F6" s="122" t="s">
        <v>304</v>
      </c>
      <c r="G6" s="122" t="s">
        <v>277</v>
      </c>
      <c r="H6" s="122" t="s">
        <v>305</v>
      </c>
      <c r="I6" s="122" t="s">
        <v>307</v>
      </c>
      <c r="J6" s="122" t="s">
        <v>278</v>
      </c>
      <c r="K6" s="23"/>
      <c r="L6" s="23"/>
    </row>
    <row r="7" spans="1:12" ht="20.100000000000001"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100000000000001"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100000000000001"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100000000000001"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100000000000001" customHeight="1" x14ac:dyDescent="0.25">
      <c r="C11" s="23"/>
      <c r="D11" s="1"/>
      <c r="E11" s="1"/>
      <c r="F11" s="1"/>
      <c r="G11" s="25"/>
      <c r="H11" s="23"/>
      <c r="I11" s="1"/>
      <c r="J11" s="1"/>
      <c r="K11" s="23"/>
      <c r="L11" s="23"/>
    </row>
    <row r="12" spans="1:12" ht="20.100000000000001" customHeight="1" x14ac:dyDescent="0.25">
      <c r="C12" s="23"/>
      <c r="D12" s="49" t="s">
        <v>220</v>
      </c>
      <c r="E12" s="1"/>
      <c r="F12" s="1"/>
      <c r="G12" s="1"/>
      <c r="H12" s="25"/>
      <c r="I12" s="23"/>
      <c r="J12" s="23"/>
      <c r="K12" s="23"/>
      <c r="L12" s="23"/>
    </row>
    <row r="13" spans="1:12" ht="20.100000000000001" customHeight="1" x14ac:dyDescent="0.25">
      <c r="A13" s="18" t="s">
        <v>71</v>
      </c>
      <c r="C13" s="23"/>
      <c r="D13" s="109" t="s">
        <v>282</v>
      </c>
      <c r="E13" s="1"/>
      <c r="F13" s="1"/>
      <c r="G13" s="1"/>
      <c r="H13" s="1"/>
      <c r="I13" s="1"/>
      <c r="J13" s="1"/>
      <c r="K13" s="23"/>
      <c r="L13" s="23"/>
    </row>
    <row r="14" spans="1:12" ht="20.100000000000001" customHeight="1" x14ac:dyDescent="0.25">
      <c r="A14" s="17" t="str">
        <f>HYPERLINK("#'4.1.1.1-2 Methane'!A1", "4.1.1.1-2 Methane")</f>
        <v>4.1.1.1-2 Methane</v>
      </c>
      <c r="C14" s="23"/>
      <c r="D14" s="120" t="s">
        <v>288</v>
      </c>
      <c r="E14" s="1"/>
      <c r="F14" s="1"/>
      <c r="G14" s="1"/>
      <c r="H14" s="1"/>
      <c r="I14" s="1"/>
      <c r="J14" s="1"/>
      <c r="K14" s="23"/>
      <c r="L14" s="23"/>
    </row>
    <row r="15" spans="1:12" ht="20.100000000000001"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100000000000001"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100000000000001"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100000000000001"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45" t="s">
        <v>1</v>
      </c>
      <c r="C20" s="23"/>
      <c r="D20" s="1"/>
      <c r="E20" s="1"/>
      <c r="F20" s="1"/>
      <c r="G20" s="1"/>
      <c r="H20" s="1"/>
      <c r="I20" s="1"/>
      <c r="J20" s="1"/>
      <c r="K20" s="23"/>
      <c r="L20" s="23"/>
    </row>
    <row r="21" spans="1:12" ht="20.100000000000001" customHeight="1" x14ac:dyDescent="0.25">
      <c r="A21" s="17" t="str">
        <f>HYPERLINK("#'Constants - Feedlot'!A1", "Constants - Feedlot")</f>
        <v>Constants - Feedlot</v>
      </c>
      <c r="C21" s="23"/>
      <c r="D21" s="1"/>
      <c r="E21" s="1"/>
      <c r="F21" s="1"/>
      <c r="G21" s="1"/>
      <c r="H21" s="1"/>
      <c r="I21" s="1"/>
      <c r="J21" s="1"/>
      <c r="K21" s="23"/>
      <c r="L21" s="23"/>
    </row>
    <row r="22" spans="1:12" ht="20.100000000000001" customHeight="1" x14ac:dyDescent="0.25">
      <c r="A22" s="17" t="str">
        <f>HYPERLINK("#'Constants - Common'!A1", "Constants - Common")</f>
        <v>Constants - Common</v>
      </c>
      <c r="C22" s="23"/>
      <c r="D22" s="1"/>
      <c r="E22" s="1"/>
      <c r="F22" s="1"/>
      <c r="G22" s="1"/>
      <c r="H22" s="1"/>
      <c r="I22" s="1"/>
      <c r="J22" s="1"/>
      <c r="K22" s="23"/>
      <c r="L22" s="23"/>
    </row>
    <row r="23" spans="1:12" ht="20.100000000000001" customHeight="1" x14ac:dyDescent="0.25">
      <c r="A23" s="17" t="str">
        <f>HYPERLINK("#'Constants - Livestock'!A1", "Constants - Livestock")</f>
        <v>Constants - Livestock</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A25" s="17" t="str">
        <f>HYPERLINK("#'Tab template'!A1", "Tab template")</f>
        <v>Tab template</v>
      </c>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14"/>
      <c r="J38" s="114"/>
      <c r="K38" s="114"/>
      <c r="L38" s="23"/>
    </row>
    <row r="39" spans="3:12" ht="20.100000000000001" customHeight="1" x14ac:dyDescent="0.25">
      <c r="C39" s="23"/>
      <c r="D39" s="1"/>
      <c r="E39" s="1"/>
      <c r="F39" s="1"/>
      <c r="G39" s="1"/>
      <c r="H39" s="1"/>
      <c r="I39" s="114"/>
      <c r="J39" s="114"/>
      <c r="K39" s="114"/>
      <c r="L39" s="23"/>
    </row>
    <row r="40" spans="3:12" ht="20.100000000000001" customHeight="1" x14ac:dyDescent="0.25">
      <c r="C40" s="23"/>
      <c r="D40" s="1"/>
      <c r="E40" s="1"/>
      <c r="F40" s="1"/>
      <c r="G40" s="1"/>
      <c r="H40" s="1"/>
      <c r="I40" s="114"/>
      <c r="J40" s="114"/>
      <c r="K40" s="114"/>
      <c r="L40" s="23"/>
    </row>
    <row r="41" spans="3:12" ht="20.100000000000001" customHeight="1" x14ac:dyDescent="0.25">
      <c r="C41" s="23"/>
      <c r="D41" s="1"/>
      <c r="E41" s="1"/>
      <c r="F41" s="1"/>
      <c r="G41" s="1"/>
      <c r="H41" s="1"/>
      <c r="I41" s="114"/>
      <c r="J41" s="114"/>
      <c r="K41" s="114"/>
      <c r="L41" s="23"/>
    </row>
    <row r="42" spans="3:12" ht="20.100000000000001" customHeight="1" x14ac:dyDescent="0.25">
      <c r="C42" s="23"/>
      <c r="D42" s="1"/>
      <c r="E42" s="1"/>
      <c r="F42" s="1"/>
      <c r="G42" s="1"/>
      <c r="H42" s="1"/>
      <c r="I42" s="114"/>
      <c r="J42" s="114"/>
      <c r="K42" s="114"/>
      <c r="L42" s="23"/>
    </row>
    <row r="43" spans="3:12" ht="20.100000000000001" customHeight="1" x14ac:dyDescent="0.25">
      <c r="C43" s="23"/>
      <c r="D43" s="1"/>
      <c r="E43" s="1"/>
      <c r="F43" s="1"/>
      <c r="G43" s="1"/>
      <c r="H43" s="1"/>
      <c r="I43" s="114"/>
      <c r="J43" s="114"/>
      <c r="K43" s="114"/>
      <c r="L43" s="23"/>
    </row>
    <row r="44" spans="3:12" ht="20.100000000000001" customHeight="1" x14ac:dyDescent="0.25">
      <c r="C44" s="23"/>
      <c r="D44" s="1"/>
      <c r="E44" s="1"/>
      <c r="F44" s="1"/>
      <c r="G44" s="1"/>
      <c r="H44" s="1"/>
      <c r="I44" s="114"/>
      <c r="J44" s="114"/>
      <c r="K44" s="114"/>
      <c r="L44" s="23"/>
    </row>
    <row r="45" spans="3:12" ht="20.100000000000001" customHeight="1" x14ac:dyDescent="0.25">
      <c r="C45" s="23"/>
      <c r="D45" s="1"/>
      <c r="E45" s="1"/>
      <c r="F45" s="1"/>
      <c r="G45" s="1"/>
      <c r="H45" s="1"/>
      <c r="I45" s="114"/>
      <c r="J45" s="114"/>
      <c r="K45" s="114"/>
      <c r="L45" s="23"/>
    </row>
    <row r="46" spans="3:12" ht="20.100000000000001" customHeight="1" x14ac:dyDescent="0.25">
      <c r="C46" s="23"/>
      <c r="D46" s="1"/>
      <c r="E46" s="1"/>
      <c r="F46" s="1"/>
      <c r="G46" s="1"/>
      <c r="H46" s="1"/>
      <c r="I46" s="114"/>
      <c r="J46" s="114"/>
      <c r="K46" s="114"/>
      <c r="L46" s="23"/>
    </row>
    <row r="47" spans="3:12" ht="20.100000000000001" customHeight="1" x14ac:dyDescent="0.25">
      <c r="C47" s="23"/>
      <c r="D47" s="1"/>
      <c r="E47" s="1"/>
      <c r="F47" s="1"/>
      <c r="G47" s="1"/>
      <c r="H47" s="1"/>
      <c r="I47" s="114"/>
      <c r="J47" s="114"/>
      <c r="K47" s="114"/>
      <c r="L47" s="23"/>
    </row>
    <row r="48" spans="3:12" ht="20.100000000000001" customHeight="1" x14ac:dyDescent="0.25">
      <c r="C48" s="23"/>
      <c r="D48" s="1"/>
      <c r="E48" s="1"/>
      <c r="F48" s="1"/>
      <c r="G48" s="1"/>
      <c r="H48" s="1"/>
      <c r="I48" s="114"/>
      <c r="J48" s="114"/>
      <c r="K48" s="114"/>
      <c r="L48" s="23"/>
    </row>
    <row r="49" spans="3:12" ht="20.100000000000001" customHeight="1" x14ac:dyDescent="0.25">
      <c r="C49" s="23"/>
      <c r="D49" s="1"/>
      <c r="E49" s="1"/>
      <c r="F49" s="1"/>
      <c r="G49" s="1"/>
      <c r="H49" s="114"/>
      <c r="I49" s="114"/>
      <c r="J49" s="114"/>
      <c r="K49" s="114"/>
      <c r="L49" s="23"/>
    </row>
    <row r="50" spans="3:12" ht="20.100000000000001" customHeight="1" x14ac:dyDescent="0.25">
      <c r="C50" s="23"/>
      <c r="D50" s="1"/>
      <c r="E50" s="1"/>
      <c r="F50" s="1"/>
      <c r="G50" s="1"/>
      <c r="H50" s="114"/>
      <c r="I50" s="114"/>
      <c r="J50" s="114"/>
      <c r="K50" s="114"/>
      <c r="L50" s="23"/>
    </row>
    <row r="51" spans="3:12" ht="20.100000000000001" customHeight="1" x14ac:dyDescent="0.25">
      <c r="C51" s="23"/>
      <c r="D51" s="1"/>
      <c r="E51" s="1"/>
      <c r="F51" s="1"/>
      <c r="G51" s="1"/>
      <c r="H51" s="114"/>
      <c r="I51" s="114"/>
      <c r="J51" s="114"/>
      <c r="K51" s="114"/>
      <c r="L51" s="23"/>
    </row>
    <row r="52" spans="3:12" ht="20.100000000000001" customHeight="1" x14ac:dyDescent="0.25">
      <c r="C52" s="23"/>
      <c r="D52" s="1"/>
      <c r="E52" s="1"/>
      <c r="F52" s="1"/>
      <c r="G52" s="1"/>
      <c r="H52" s="114"/>
      <c r="I52" s="114"/>
      <c r="J52" s="114"/>
      <c r="K52" s="114"/>
      <c r="L52" s="23"/>
    </row>
    <row r="53" spans="3:12" ht="20.100000000000001" customHeight="1" x14ac:dyDescent="0.25">
      <c r="C53" s="23"/>
      <c r="D53" s="1"/>
      <c r="E53" s="1"/>
      <c r="F53" s="1"/>
      <c r="G53" s="1"/>
      <c r="H53" s="114"/>
      <c r="I53" s="114"/>
      <c r="J53" s="114"/>
      <c r="K53" s="114"/>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5" sqref="A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Feedlot'!A1", "Feedlot")</f>
        <v>Feedlot</v>
      </c>
      <c r="D10" s="93" t="s">
        <v>84</v>
      </c>
      <c r="E10" s="91"/>
      <c r="F10" s="94"/>
      <c r="G10" s="88"/>
      <c r="N10" s="44"/>
    </row>
    <row r="11" spans="1:24" ht="20.100000000000001" customHeight="1" x14ac:dyDescent="0.25">
      <c r="A11"/>
      <c r="N11" s="45"/>
    </row>
    <row r="12" spans="1:24" ht="20.100000000000001" customHeight="1" x14ac:dyDescent="0.25">
      <c r="A12"/>
      <c r="D12" s="10" t="s">
        <v>90</v>
      </c>
      <c r="E12" s="64">
        <v>45292</v>
      </c>
      <c r="F12" s="2" t="s">
        <v>67</v>
      </c>
    </row>
    <row r="13" spans="1:24" ht="20.100000000000001" customHeight="1" x14ac:dyDescent="0.25">
      <c r="A13" s="18" t="s">
        <v>71</v>
      </c>
      <c r="D13" s="10" t="s">
        <v>91</v>
      </c>
      <c r="E13" s="69">
        <f>DATE(YEAR(X_Cell_Site_StartDate)+1,MONTH(X_Cell_Site_StartDate),DAY(X_Cell_Site_StartDate))-1</f>
        <v>45657</v>
      </c>
      <c r="F13" s="2" t="s">
        <v>14</v>
      </c>
      <c r="N13" s="39"/>
      <c r="O13" s="39"/>
    </row>
    <row r="14" spans="1:24" ht="20.100000000000001" customHeight="1" x14ac:dyDescent="0.25">
      <c r="A14" s="17" t="str">
        <f>HYPERLINK("#'4.1.1.1-2 Methane'!A1", "4.1.1.1-2 Methane")</f>
        <v>4.1.1.1-2 Methane</v>
      </c>
      <c r="N14" s="39"/>
      <c r="O14" s="39"/>
    </row>
    <row r="15" spans="1:24" ht="20.100000000000001" customHeight="1" x14ac:dyDescent="0.25">
      <c r="A15" s="17" t="str">
        <f>HYPERLINK("#'4.1.1.3-4 Direct N20'!A1", "4.1.1.3-4 Direct N20")</f>
        <v>4.1.1.3-4 Direct N20</v>
      </c>
      <c r="N15" s="39"/>
      <c r="O15" s="39"/>
    </row>
    <row r="16" spans="1:24" ht="20.100000000000001" customHeight="1" x14ac:dyDescent="0.25">
      <c r="A16" s="17" t="str">
        <f>HYPERLINK("#'4.1.1.5-6 Atmos Deposition'!A1", "4.1.1.5-6 Atmos Deposition")</f>
        <v>4.1.1.5-6 Atmos Deposition</v>
      </c>
      <c r="D16" s="6" t="s">
        <v>11</v>
      </c>
      <c r="N16" s="39"/>
      <c r="O16" s="39"/>
    </row>
    <row r="17" spans="1:25" ht="20.100000000000001" customHeight="1" x14ac:dyDescent="0.25">
      <c r="A17" s="17" t="str">
        <f>HYPERLINK("#'4.1.1.9 Manure applied to soils'!A1", "4.1.1.9 Manure applied to soils")</f>
        <v>4.1.1.9 Manure applied to soils</v>
      </c>
    </row>
    <row r="18" spans="1:25" ht="20.100000000000001" customHeight="1" x14ac:dyDescent="0.25">
      <c r="A18"/>
      <c r="D18" s="95" t="s">
        <v>13</v>
      </c>
      <c r="E18" s="90"/>
      <c r="F18" s="90"/>
      <c r="G18" s="86"/>
    </row>
    <row r="19" spans="1:25" ht="20.100000000000001" customHeight="1" x14ac:dyDescent="0.25">
      <c r="A19"/>
      <c r="D19" s="92" t="s">
        <v>68</v>
      </c>
      <c r="E19" s="89"/>
      <c r="F19" s="89"/>
      <c r="G19" s="87"/>
      <c r="N19" s="42"/>
    </row>
    <row r="20" spans="1:25" ht="20.100000000000001" customHeight="1" x14ac:dyDescent="0.25">
      <c r="A20" s="145" t="s">
        <v>1</v>
      </c>
      <c r="D20" s="1"/>
      <c r="E20" s="32"/>
      <c r="F20" s="2"/>
      <c r="N20" s="43"/>
    </row>
    <row r="21" spans="1:25" ht="20.100000000000001" customHeight="1" x14ac:dyDescent="0.25">
      <c r="A21" s="17" t="str">
        <f>HYPERLINK("#'Constants - Feedlot'!A1", "Constants - Feedlot")</f>
        <v>Constants - Feedlot</v>
      </c>
      <c r="D21" s="1" t="s">
        <v>5</v>
      </c>
      <c r="E21" s="41" t="s">
        <v>356</v>
      </c>
      <c r="F21" s="2" t="s">
        <v>8</v>
      </c>
    </row>
    <row r="22" spans="1:25" ht="20.100000000000001" customHeight="1" x14ac:dyDescent="0.25">
      <c r="A22" s="17" t="str">
        <f>HYPERLINK("#'Constants - Common'!A1", "Constants - Common")</f>
        <v>Constants - Common</v>
      </c>
      <c r="D22" s="1" t="s">
        <v>22</v>
      </c>
      <c r="E22" s="41" t="s">
        <v>31</v>
      </c>
      <c r="F22" s="2" t="s">
        <v>8</v>
      </c>
      <c r="G22" s="1"/>
    </row>
    <row r="23" spans="1:25" ht="20.100000000000001" customHeight="1" x14ac:dyDescent="0.25">
      <c r="A23" s="17" t="str">
        <f>HYPERLINK("#'Constants - Livestock'!A1", "Constants - Livestock")</f>
        <v>Constants - Livestock</v>
      </c>
      <c r="D23" s="1" t="s">
        <v>6</v>
      </c>
      <c r="E23" s="41" t="s">
        <v>89</v>
      </c>
      <c r="F23" s="2" t="s">
        <v>8</v>
      </c>
    </row>
    <row r="24" spans="1:25" ht="20.100000000000001" customHeight="1" x14ac:dyDescent="0.25">
      <c r="A24" s="17" t="str">
        <f>HYPERLINK("#'Acknowledgements'!A1", "Acknowledgements")</f>
        <v>Acknowledgements</v>
      </c>
      <c r="D24" s="1" t="s">
        <v>36</v>
      </c>
      <c r="E24" s="34">
        <v>307.7</v>
      </c>
      <c r="F24" s="2" t="s">
        <v>50</v>
      </c>
    </row>
    <row r="25" spans="1:25" ht="20.100000000000001" customHeight="1" x14ac:dyDescent="0.25">
      <c r="A25" s="17" t="str">
        <f>HYPERLINK("#'Tab template'!A1", "Tab template")</f>
        <v>Tab template</v>
      </c>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3">
        <f>X_Cell_Site_TotalRainfall/X_Cell_Site_PotentialEvapotranspiration</f>
        <v>0.45324283559577677</v>
      </c>
      <c r="F29" s="2"/>
    </row>
    <row r="30" spans="1:25" ht="20.100000000000001"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100000000000001" customHeight="1" x14ac:dyDescent="0.25">
      <c r="A34"/>
      <c r="J34" s="61"/>
      <c r="K34" s="73"/>
      <c r="L34" s="48"/>
      <c r="M34" s="48"/>
      <c r="N34" s="48"/>
      <c r="O34" s="48"/>
      <c r="P34" s="48"/>
      <c r="Q34" s="48"/>
      <c r="R34" s="48"/>
      <c r="S34" s="48"/>
      <c r="T34" s="48"/>
      <c r="U34" s="48"/>
      <c r="V34" s="48"/>
      <c r="W34" s="48"/>
      <c r="X34" s="48"/>
      <c r="Y34" s="48"/>
    </row>
    <row r="35" spans="1:25" ht="20.100000000000001" customHeight="1" x14ac:dyDescent="0.25">
      <c r="A35"/>
      <c r="J35" s="61"/>
      <c r="K35" s="73"/>
      <c r="L35" s="48"/>
      <c r="M35" s="48"/>
      <c r="N35" s="48"/>
      <c r="O35" s="48"/>
      <c r="P35" s="48"/>
      <c r="Q35" s="48"/>
      <c r="R35" s="48"/>
      <c r="S35" s="48"/>
      <c r="T35" s="48"/>
      <c r="U35" s="48"/>
      <c r="V35" s="48"/>
      <c r="W35" s="48"/>
      <c r="X35" s="48"/>
      <c r="Y35" s="48"/>
    </row>
    <row r="36" spans="1:25" ht="20.100000000000001"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100000000000001"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100000000000001"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100000000000001"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100000000000001"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7"/>
      <c r="E47" s="77"/>
      <c r="F47" s="77"/>
      <c r="G47" s="77"/>
      <c r="H47" s="77"/>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8"/>
      <c r="E51" s="79"/>
      <c r="F51" s="79"/>
      <c r="G51" s="79"/>
      <c r="H51" s="80"/>
    </row>
    <row r="52" spans="1:8" ht="20.100000000000001" customHeight="1" x14ac:dyDescent="0.25">
      <c r="A52"/>
    </row>
    <row r="53" spans="1:8" ht="20.100000000000001" customHeight="1" x14ac:dyDescent="0.25">
      <c r="A53"/>
    </row>
    <row r="54" spans="1:8" ht="20.100000000000001" customHeight="1" x14ac:dyDescent="0.25">
      <c r="A54"/>
      <c r="G54" s="81"/>
    </row>
    <row r="55" spans="1:8" ht="20.100000000000001" customHeight="1" x14ac:dyDescent="0.25">
      <c r="A55"/>
      <c r="D55" s="6"/>
    </row>
    <row r="56" spans="1:8" ht="20.100000000000001" customHeight="1" x14ac:dyDescent="0.25">
      <c r="A56"/>
    </row>
    <row r="57" spans="1:8" ht="20.100000000000001" customHeight="1" x14ac:dyDescent="0.25">
      <c r="A57"/>
      <c r="D57" s="22"/>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60"/>
      <c r="E69" s="60"/>
      <c r="F69" s="60"/>
      <c r="G69" s="60"/>
      <c r="H69" s="60"/>
      <c r="I69" s="60"/>
    </row>
    <row r="70" spans="1:9" ht="20.100000000000001" customHeight="1" x14ac:dyDescent="0.25">
      <c r="A70"/>
      <c r="D70" s="60"/>
      <c r="E70" s="60"/>
      <c r="F70" s="60"/>
      <c r="G70" s="60"/>
      <c r="H70" s="60"/>
      <c r="I70" s="60"/>
    </row>
    <row r="71" spans="1:9" ht="20.100000000000001" customHeight="1" x14ac:dyDescent="0.25">
      <c r="A71"/>
      <c r="D71" s="60"/>
      <c r="E71" s="60"/>
      <c r="F71" s="60"/>
      <c r="G71" s="60"/>
      <c r="H71" s="60"/>
      <c r="I71" s="60"/>
    </row>
    <row r="72" spans="1:9" ht="20.100000000000001" customHeight="1" x14ac:dyDescent="0.25">
      <c r="A72"/>
      <c r="D72" s="60"/>
      <c r="E72" s="60"/>
      <c r="F72" s="60"/>
      <c r="G72" s="60"/>
      <c r="H72" s="60"/>
      <c r="I72" s="6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100000000000001" customHeight="1" x14ac:dyDescent="0.25">
      <c r="A2"/>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112</v>
      </c>
    </row>
    <row r="6" spans="1:21" ht="20.100000000000001" customHeight="1" x14ac:dyDescent="0.25"/>
    <row r="7" spans="1:21" ht="20.100000000000001" customHeight="1" x14ac:dyDescent="0.25">
      <c r="D7" s="63"/>
      <c r="E7" s="40" t="s">
        <v>131</v>
      </c>
      <c r="F7" s="40" t="s">
        <v>132</v>
      </c>
      <c r="G7" s="40" t="s">
        <v>133</v>
      </c>
    </row>
    <row r="8" spans="1:21" ht="20.100000000000001" customHeight="1" x14ac:dyDescent="0.25">
      <c r="A8" s="19" t="s">
        <v>0</v>
      </c>
      <c r="D8" s="1" t="str">
        <f>"Average number of head between " &amp; TEXT(X_Cell_Site_StartDate, "dd mmm yy") &amp; " and " &amp; TEXT('Input - Site'!$E$13, "dd mmm yy")</f>
        <v>Average number of head between 01 Jan 24 and 31 Dec 24</v>
      </c>
      <c r="E8" s="102">
        <v>1000</v>
      </c>
      <c r="F8" s="102">
        <v>1000</v>
      </c>
      <c r="G8" s="102">
        <v>1000</v>
      </c>
      <c r="H8" s="2" t="s">
        <v>114</v>
      </c>
      <c r="I8" s="2"/>
      <c r="J8" s="2"/>
      <c r="K8" s="2"/>
    </row>
    <row r="9" spans="1:21" ht="20.100000000000001" customHeight="1" x14ac:dyDescent="0.25">
      <c r="A9" s="17" t="str">
        <f>HYPERLINK("#'Input - Site'!A1", "Site")</f>
        <v>Site</v>
      </c>
      <c r="D9" s="1" t="str">
        <f>"Average duration of stay between " &amp; TEXT(X_Cell_Site_StartDate, "dd mmm yy") &amp; " and " &amp; TEXT('Input - Site'!$E$13, "dd mmm yy")</f>
        <v>Average duration of stay between 01 Jan 24 and 31 Dec 24</v>
      </c>
      <c r="E9" s="102">
        <v>90</v>
      </c>
      <c r="F9" s="102">
        <v>140</v>
      </c>
      <c r="G9" s="102">
        <v>250</v>
      </c>
      <c r="H9" s="2" t="s">
        <v>316</v>
      </c>
      <c r="I9" s="2"/>
      <c r="J9" s="2"/>
      <c r="K9" s="2"/>
    </row>
    <row r="10" spans="1:21" ht="20.100000000000001" customHeight="1" x14ac:dyDescent="0.25">
      <c r="A10" s="20" t="str">
        <f>HYPERLINK("#'Input - Feedlot'!A1", "Feedlot")</f>
        <v>Feedlot</v>
      </c>
    </row>
    <row r="11" spans="1:21" ht="20.100000000000001" customHeight="1" x14ac:dyDescent="0.25">
      <c r="D11" s="6" t="s">
        <v>96</v>
      </c>
    </row>
    <row r="12" spans="1:21" ht="20.100000000000001" customHeight="1" x14ac:dyDescent="0.25"/>
    <row r="13" spans="1:21" ht="20.100000000000001" customHeight="1" x14ac:dyDescent="0.25">
      <c r="A13" s="18" t="s">
        <v>71</v>
      </c>
      <c r="D13" s="63" t="s">
        <v>290</v>
      </c>
      <c r="E13" s="40" t="s">
        <v>131</v>
      </c>
      <c r="F13" s="40" t="s">
        <v>132</v>
      </c>
      <c r="G13" s="40" t="s">
        <v>133</v>
      </c>
    </row>
    <row r="14" spans="1:21" ht="20.100000000000001"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100000000000001" customHeight="1" x14ac:dyDescent="0.25">
      <c r="A15" s="17" t="str">
        <f>HYPERLINK("#'4.1.1.3-4 Direct N20'!A1", "4.1.1.3-4 Direct N20")</f>
        <v>4.1.1.3-4 Direct N20</v>
      </c>
      <c r="D15" s="1" t="s">
        <v>15</v>
      </c>
      <c r="E15" s="53" cm="1">
        <f t="array" ref="E15">_xlfn.XLOOKUP(1, (Table_SourceData_Feedlot_DietProperties[Feedlot type] = E$13) * (Table_SourceData_Feedlot_DietProperties[Nutrient analysis] = $D$15), Table_SourceData_Feedlot_DietProperties[2020-2023 Converted to fraction], "Not Found")</f>
        <v>0.81</v>
      </c>
      <c r="F15" s="53" cm="1">
        <f t="array" ref="F15">_xlfn.XLOOKUP(1, (Table_SourceData_Feedlot_DietProperties[Feedlot type] = F$13) * (Table_SourceData_Feedlot_DietProperties[Nutrient analysis] = $D$15), Table_SourceData_Feedlot_DietProperties[2020-2023 Converted to fraction], "Not Found")</f>
        <v>0.81</v>
      </c>
      <c r="G15" s="53" cm="1">
        <f t="array" ref="G15">_xlfn.XLOOKUP(1, (Table_SourceData_Feedlot_DietProperties[Feedlot type] = G$13) * (Table_SourceData_Feedlot_DietProperties[Nutrient analysis] = $D$15), Table_SourceData_Feedlot_DietProperties[2020-2023 Converted to fraction], "Not Found")</f>
        <v>0.81</v>
      </c>
      <c r="H15" s="2" t="s">
        <v>317</v>
      </c>
      <c r="I15" s="2"/>
      <c r="J15" s="2"/>
      <c r="K15" s="2"/>
    </row>
    <row r="16" spans="1:21" ht="20.100000000000001" customHeight="1" x14ac:dyDescent="0.25">
      <c r="A16" s="17" t="str">
        <f>HYPERLINK("#'4.1.1.5-6 Atmos Deposition'!A1", "4.1.1.5-6 Atmos Deposition")</f>
        <v>4.1.1.5-6 Atmos Deposition</v>
      </c>
      <c r="D16" s="1" t="s">
        <v>124</v>
      </c>
      <c r="E16" s="53" cm="1">
        <f t="array" ref="E16">_xlfn.XLOOKUP(1, (Table_SourceData_Feedlot_DietProperties[Feedlot type] = E$13) * (Table_SourceData_Feedlot_DietProperties[Nutrient analysis] = $D$16), Table_SourceData_Feedlot_DietProperties[2020-2023 Converted to fraction], "Not Found")</f>
        <v>0.14000000000000001</v>
      </c>
      <c r="F16" s="53" cm="1">
        <f t="array" ref="F16">_xlfn.XLOOKUP(1, (Table_SourceData_Feedlot_DietProperties[Feedlot type] = F$13) * (Table_SourceData_Feedlot_DietProperties[Nutrient analysis] = $D$16), Table_SourceData_Feedlot_DietProperties[2020-2023 Converted to fraction], "Not Found")</f>
        <v>0.12</v>
      </c>
      <c r="G16" s="53" cm="1">
        <f t="array" ref="G16">_xlfn.XLOOKUP(1, (Table_SourceData_Feedlot_DietProperties[Feedlot type] = G$13) * (Table_SourceData_Feedlot_DietProperties[Nutrient analysis] = $D$16), Table_SourceData_Feedlot_DietProperties[2020-2023 Converted to fraction], "Not Found")</f>
        <v>0.12</v>
      </c>
      <c r="H16" s="2" t="s">
        <v>317</v>
      </c>
      <c r="I16" s="2"/>
      <c r="J16" s="2"/>
      <c r="K16" s="2"/>
    </row>
    <row r="17" spans="1:11" ht="20.100000000000001" customHeight="1" x14ac:dyDescent="0.25">
      <c r="A17" s="17" t="str">
        <f>HYPERLINK("#'4.1.1.9 Manure applied to soils'!A1", "4.1.1.9 Manure applied to soils")</f>
        <v>4.1.1.9 Manure applied to soils</v>
      </c>
      <c r="D17" s="1" t="s">
        <v>141</v>
      </c>
      <c r="E17" s="53" cm="1">
        <f t="array" ref="E17">_xlfn.XLOOKUP(1, (Table_SourceData_Feedlot_AnimalCharacteristics[Feedlot type] = E$13) * (Table_SourceData_Feedlot_AnimalCharacteristics[Characteristic] = $D$17), Table_SourceData_Feedlot_AnimalCharacteristics[2020-2023], "Not Found")</f>
        <v>20.399999999999999</v>
      </c>
      <c r="F17" s="53" cm="1">
        <f t="array" ref="F17">_xlfn.XLOOKUP(1, (Table_SourceData_Feedlot_AnimalCharacteristics[Feedlot type] = F$13) * (Table_SourceData_Feedlot_AnimalCharacteristics[Characteristic] = $D$17), Table_SourceData_Feedlot_AnimalCharacteristics[2020-2023], "Not Found")</f>
        <v>12.7</v>
      </c>
      <c r="G17" s="53" cm="1">
        <f t="array" ref="G17">_xlfn.XLOOKUP(1, (Table_SourceData_Feedlot_AnimalCharacteristics[Feedlot type] = G$13) * (Table_SourceData_Feedlot_AnimalCharacteristics[Characteristic] = $D$17), Table_SourceData_Feedlot_AnimalCharacteristics[2020-2023], "Not Found")</f>
        <v>7</v>
      </c>
      <c r="H17" s="2" t="s">
        <v>319</v>
      </c>
      <c r="I17" s="2"/>
      <c r="J17" s="2"/>
      <c r="K17" s="2"/>
    </row>
    <row r="18" spans="1:11" ht="20.100000000000001" customHeight="1" x14ac:dyDescent="0.25"/>
    <row r="19" spans="1:11" ht="20.100000000000001" customHeight="1" x14ac:dyDescent="0.25">
      <c r="D19" s="63" t="s">
        <v>291</v>
      </c>
      <c r="E19" s="40" t="s">
        <v>131</v>
      </c>
      <c r="F19" s="40" t="s">
        <v>132</v>
      </c>
      <c r="G19" s="40" t="s">
        <v>133</v>
      </c>
    </row>
    <row r="20" spans="1:11" ht="20.100000000000001" customHeight="1" x14ac:dyDescent="0.25">
      <c r="A20" s="145" t="s">
        <v>1</v>
      </c>
      <c r="D20" s="1" t="s">
        <v>137</v>
      </c>
      <c r="E20" s="65" cm="1">
        <f t="array" ref="E20">_xlfn.XLOOKUP(1, (Table_SourceData_Feedlot_AnimalCharacteristics[Feedlot type] = E$19) * (Table_SourceData_Feedlot_AnimalCharacteristics[Characteristic] = $D$20), Table_SourceData_Feedlot_AnimalCharacteristics[2020-2023], "Not Found")</f>
        <v>10.4</v>
      </c>
      <c r="F20" s="65" cm="1">
        <f t="array" ref="F20">_xlfn.XLOOKUP(1, (Table_SourceData_Feedlot_AnimalCharacteristics[Feedlot type] = F$19) * (Table_SourceData_Feedlot_AnimalCharacteristics[Characteristic] = $D$20), Table_SourceData_Feedlot_AnimalCharacteristics[2020-2023], "Not Found")</f>
        <v>10.8</v>
      </c>
      <c r="G20" s="65" cm="1">
        <f t="array" ref="G20">_xlfn.XLOOKUP(1, (Table_SourceData_Feedlot_AnimalCharacteristics[Feedlot type] = G$19) * (Table_SourceData_Feedlot_AnimalCharacteristics[Characteristic] = $D$20), Table_SourceData_Feedlot_AnimalCharacteristics[2020-2023], "Not Found")</f>
        <v>8.1999999999999993</v>
      </c>
      <c r="H20" s="2" t="s">
        <v>101</v>
      </c>
      <c r="I20" s="2"/>
      <c r="J20" s="2"/>
      <c r="K20" s="2"/>
    </row>
    <row r="21" spans="1:11" ht="20.100000000000001" customHeight="1" x14ac:dyDescent="0.25">
      <c r="A21" s="17" t="str">
        <f>HYPERLINK("#'Constants - Feedlot'!A1", "Constants - Feedlot")</f>
        <v>Constants - Feedlot</v>
      </c>
      <c r="D21" s="1" t="s">
        <v>15</v>
      </c>
      <c r="E21" s="65" cm="1">
        <f t="array" ref="E21">_xlfn.XLOOKUP(1, (Table_SourceData_Feedlot_DietProperties[Feedlot type] = E$19) * (Table_SourceData_Feedlot_DietProperties[Nutrient analysis] = $D$21), Table_SourceData_Feedlot_DietProperties[2020-2023 Converted to fraction], "Not Found")</f>
        <v>0.81</v>
      </c>
      <c r="F21" s="65" cm="1">
        <f t="array" ref="F21">_xlfn.XLOOKUP(1, (Table_SourceData_Feedlot_DietProperties[Feedlot type] = F$19) * (Table_SourceData_Feedlot_DietProperties[Nutrient analysis] = $D$21), Table_SourceData_Feedlot_DietProperties[2020-2023 Converted to fraction], "Not Found")</f>
        <v>0.81</v>
      </c>
      <c r="G21" s="65" cm="1">
        <f t="array" ref="G21">_xlfn.XLOOKUP(1, (Table_SourceData_Feedlot_DietProperties[Feedlot type] = G$19) * (Table_SourceData_Feedlot_DietProperties[Nutrient analysis] = $D$21), Table_SourceData_Feedlot_DietProperties[2020-2023 Converted to fraction], "Not Found")</f>
        <v>0.81</v>
      </c>
      <c r="H21" s="2" t="s">
        <v>317</v>
      </c>
      <c r="I21" s="2"/>
      <c r="J21" s="2"/>
      <c r="K21" s="2"/>
    </row>
    <row r="22" spans="1:11" ht="20.100000000000001" customHeight="1" x14ac:dyDescent="0.25">
      <c r="A22" s="17" t="str">
        <f>HYPERLINK("#'Constants - Common'!A1", "Constants - Common")</f>
        <v>Constants - Common</v>
      </c>
      <c r="D22" s="1" t="s">
        <v>124</v>
      </c>
      <c r="E22" s="65" cm="1">
        <f t="array" ref="E22">_xlfn.XLOOKUP(1, (Table_SourceData_Feedlot_DietProperties[Feedlot type] = E$19) * (Table_SourceData_Feedlot_DietProperties[Nutrient analysis] = $D$22), Table_SourceData_Feedlot_DietProperties[2020-2023 Converted to fraction], "Not Found")</f>
        <v>0.14000000000000001</v>
      </c>
      <c r="F22" s="65" cm="1">
        <f t="array" ref="F22">_xlfn.XLOOKUP(1, (Table_SourceData_Feedlot_DietProperties[Feedlot type] = F$19) * (Table_SourceData_Feedlot_DietProperties[Nutrient analysis] = $D$22), Table_SourceData_Feedlot_DietProperties[2020-2023 Converted to fraction], "Not Found")</f>
        <v>0.12</v>
      </c>
      <c r="G22" s="65" cm="1">
        <f t="array" ref="G22">_xlfn.XLOOKUP(1, (Table_SourceData_Feedlot_DietProperties[Feedlot type] = G$19) * (Table_SourceData_Feedlot_DietProperties[Nutrient analysis] = $D$22), Table_SourceData_Feedlot_DietProperties[2020-2023 Converted to fraction], "Not Found")</f>
        <v>0.12</v>
      </c>
      <c r="H22" s="2" t="s">
        <v>317</v>
      </c>
      <c r="I22" s="2"/>
      <c r="J22" s="2"/>
      <c r="K22" s="2"/>
    </row>
    <row r="23" spans="1:11" ht="20.100000000000001" customHeight="1" x14ac:dyDescent="0.25">
      <c r="A23" s="17" t="str">
        <f>HYPERLINK("#'Constants - Livestock'!A1", "Constants - Livestock")</f>
        <v>Constants - Livestock</v>
      </c>
      <c r="D23" s="1" t="s">
        <v>141</v>
      </c>
      <c r="E23" s="65" cm="1">
        <f t="array" ref="E23">_xlfn.XLOOKUP(1, (Table_SourceData_Feedlot_AnimalCharacteristics[Feedlot type] = E$19) * (Table_SourceData_Feedlot_AnimalCharacteristics[Characteristic] = $D$23), Table_SourceData_Feedlot_AnimalCharacteristics[2020-2023], "Not Found")</f>
        <v>20.399999999999999</v>
      </c>
      <c r="F23" s="65" cm="1">
        <f t="array" ref="F23">_xlfn.XLOOKUP(1, (Table_SourceData_Feedlot_AnimalCharacteristics[Feedlot type] = F$19) * (Table_SourceData_Feedlot_AnimalCharacteristics[Characteristic] = $D$23), Table_SourceData_Feedlot_AnimalCharacteristics[2020-2023], "Not Found")</f>
        <v>12.7</v>
      </c>
      <c r="G23" s="65" cm="1">
        <f t="array" ref="G23">_xlfn.XLOOKUP(1, (Table_SourceData_Feedlot_AnimalCharacteristics[Feedlot type] = G$19) * (Table_SourceData_Feedlot_AnimalCharacteristics[Characteristic] = $D$23), Table_SourceData_Feedlot_AnimalCharacteristics[2020-2023], "Not Found")</f>
        <v>7</v>
      </c>
      <c r="H23" s="2" t="s">
        <v>319</v>
      </c>
      <c r="I23" s="2"/>
      <c r="J23" s="2"/>
      <c r="K23" s="2"/>
    </row>
    <row r="24" spans="1:11" ht="20.100000000000001" customHeight="1" x14ac:dyDescent="0.25">
      <c r="A24" s="17" t="str">
        <f>HYPERLINK("#'Acknowledgements'!A1", "Acknowledgements")</f>
        <v>Acknowledgements</v>
      </c>
    </row>
    <row r="25" spans="1:11" ht="20.100000000000001" customHeight="1" x14ac:dyDescent="0.25">
      <c r="A25" s="17" t="str">
        <f>HYPERLINK("#'Tab template'!A1", "Tab template")</f>
        <v>Tab template</v>
      </c>
      <c r="D25" s="6" t="s">
        <v>105</v>
      </c>
    </row>
    <row r="26" spans="1:11" ht="20.100000000000001" customHeight="1" x14ac:dyDescent="0.25"/>
    <row r="27" spans="1:11" ht="20.100000000000001" customHeight="1" x14ac:dyDescent="0.25">
      <c r="D27" s="63" t="s">
        <v>99</v>
      </c>
      <c r="E27" s="96" t="s">
        <v>131</v>
      </c>
      <c r="F27" s="96" t="s">
        <v>132</v>
      </c>
      <c r="G27" s="96" t="s">
        <v>133</v>
      </c>
    </row>
    <row r="28" spans="1:11" ht="20.100000000000001" customHeight="1" x14ac:dyDescent="0.25">
      <c r="D28" s="130" t="s">
        <v>94</v>
      </c>
      <c r="E28" s="97">
        <v>1</v>
      </c>
      <c r="F28" s="97">
        <v>1</v>
      </c>
      <c r="G28" s="97">
        <v>1</v>
      </c>
      <c r="H28" s="2" t="s">
        <v>318</v>
      </c>
      <c r="I28" s="2"/>
      <c r="J28" s="2"/>
      <c r="K28" s="2"/>
    </row>
    <row r="29" spans="1:11" ht="20.100000000000001" customHeight="1" x14ac:dyDescent="0.25">
      <c r="D29" s="127" t="s">
        <v>310</v>
      </c>
    </row>
    <row r="30" spans="1:11" ht="20.100000000000001" customHeight="1" x14ac:dyDescent="0.25">
      <c r="D30" s="128" t="s">
        <v>95</v>
      </c>
      <c r="E30" s="96" t="s">
        <v>131</v>
      </c>
      <c r="F30" s="96" t="s">
        <v>132</v>
      </c>
      <c r="G30" s="96" t="s">
        <v>133</v>
      </c>
      <c r="H30" s="133" t="s">
        <v>314</v>
      </c>
      <c r="I30" s="63" t="s">
        <v>321</v>
      </c>
      <c r="J30" s="63"/>
      <c r="K30" s="63"/>
    </row>
    <row r="31" spans="1:11" ht="20.100000000000001" customHeight="1" x14ac:dyDescent="0.25">
      <c r="D31" s="131" t="str">
        <f>"From Stage 1: " &amp; $D$28 &amp; " to:"</f>
        <v>From Stage 1: Drylot (feed pad) to:</v>
      </c>
      <c r="E31" s="56"/>
      <c r="I31" s="121" t="s">
        <v>311</v>
      </c>
      <c r="J31" s="121" t="s">
        <v>312</v>
      </c>
      <c r="K31" s="121" t="s">
        <v>313</v>
      </c>
    </row>
    <row r="32" spans="1:11" ht="20.100000000000001" customHeight="1" x14ac:dyDescent="0.25">
      <c r="D32" s="132" t="str">
        <f>'Constants - Feedlot'!D29</f>
        <v>Solid storage</v>
      </c>
      <c r="E32" s="47">
        <v>0.2</v>
      </c>
      <c r="F32" s="47">
        <v>0.2</v>
      </c>
      <c r="G32" s="47">
        <v>0.2</v>
      </c>
      <c r="H32" s="2" t="s">
        <v>318</v>
      </c>
      <c r="I32" s="47">
        <v>0.25</v>
      </c>
      <c r="J32" s="47">
        <v>0.25</v>
      </c>
      <c r="K32" s="97">
        <f t="shared" ref="K32:K34" si="0">1-SUM(I32:J32)</f>
        <v>0.5</v>
      </c>
    </row>
    <row r="33" spans="4:11" ht="20.100000000000001" customHeight="1" x14ac:dyDescent="0.25">
      <c r="D33" s="132" t="str">
        <f>'Constants - Feedlot'!D30</f>
        <v>Composting (passive windrow)</v>
      </c>
      <c r="E33" s="47">
        <v>0.2</v>
      </c>
      <c r="F33" s="47">
        <v>0.2</v>
      </c>
      <c r="G33" s="47">
        <v>0.2</v>
      </c>
      <c r="H33" s="2" t="s">
        <v>318</v>
      </c>
      <c r="I33" s="47">
        <v>0.25</v>
      </c>
      <c r="J33" s="47">
        <v>0.25</v>
      </c>
      <c r="K33" s="97">
        <f t="shared" si="0"/>
        <v>0.5</v>
      </c>
    </row>
    <row r="34" spans="4:11" ht="20.100000000000001" customHeight="1" x14ac:dyDescent="0.25">
      <c r="D34" s="132" t="s">
        <v>309</v>
      </c>
      <c r="E34" s="97">
        <f>1-SUM(E32, E33)</f>
        <v>0.6</v>
      </c>
      <c r="F34" s="97">
        <f t="shared" ref="F34:G34" si="1">1-SUM(F32, F33)</f>
        <v>0.6</v>
      </c>
      <c r="G34" s="97">
        <f t="shared" si="1"/>
        <v>0.6</v>
      </c>
      <c r="H34" s="2" t="s">
        <v>318</v>
      </c>
      <c r="I34" s="97">
        <v>0</v>
      </c>
      <c r="J34" s="97">
        <v>0</v>
      </c>
      <c r="K34" s="97">
        <f t="shared" si="0"/>
        <v>1</v>
      </c>
    </row>
    <row r="35" spans="4:11" ht="20.100000000000001" customHeight="1" x14ac:dyDescent="0.25"/>
    <row r="36" spans="4:11" ht="20.100000000000001" customHeight="1" x14ac:dyDescent="0.25">
      <c r="D36" s="129" t="s">
        <v>110</v>
      </c>
      <c r="E36" s="96" t="s">
        <v>131</v>
      </c>
      <c r="F36" s="96" t="s">
        <v>132</v>
      </c>
      <c r="G36" s="96" t="s">
        <v>133</v>
      </c>
      <c r="H36" s="133" t="s">
        <v>314</v>
      </c>
      <c r="I36" s="63" t="s">
        <v>320</v>
      </c>
      <c r="J36" s="63"/>
      <c r="K36" s="63"/>
    </row>
    <row r="37" spans="4:11" ht="20.100000000000001" customHeight="1" x14ac:dyDescent="0.25">
      <c r="D37" s="131" t="str">
        <f>"From Stage 1: " &amp; $D$28 &amp; " to:"</f>
        <v>From Stage 1: Drylot (feed pad) to:</v>
      </c>
      <c r="I37" s="121" t="s">
        <v>311</v>
      </c>
      <c r="J37" s="121" t="s">
        <v>312</v>
      </c>
      <c r="K37" s="121" t="s">
        <v>313</v>
      </c>
    </row>
    <row r="38" spans="4:11" ht="20.100000000000001" customHeight="1" x14ac:dyDescent="0.25">
      <c r="D38" s="132" t="str">
        <f>'Constants - Feedlot'!$D$32</f>
        <v>Anaerobic lagoon</v>
      </c>
      <c r="E38" s="97">
        <f>SourceData_Feedlot_MMSm1T3_Data</f>
        <v>0.02</v>
      </c>
      <c r="F38" s="97">
        <f>SourceData_Feedlot_MMSm1T3_Data</f>
        <v>0.02</v>
      </c>
      <c r="G38" s="97">
        <f>SourceData_Feedlot_MMSm1T3_Data</f>
        <v>0.02</v>
      </c>
      <c r="H38" s="2" t="s">
        <v>318</v>
      </c>
      <c r="I38" s="47">
        <v>0.25</v>
      </c>
      <c r="J38" s="47">
        <v>0.25</v>
      </c>
      <c r="K38" s="97">
        <f>1-SUM(I38:J38)</f>
        <v>0.5</v>
      </c>
    </row>
    <row r="39" spans="4:11" ht="20.100000000000001" customHeight="1" x14ac:dyDescent="0.25"/>
    <row r="40" spans="4:11" ht="20.100000000000001" customHeight="1" x14ac:dyDescent="0.25"/>
    <row r="41" spans="4:11" ht="20.100000000000001" customHeight="1" x14ac:dyDescent="0.25">
      <c r="D41" s="1" t="s">
        <v>297</v>
      </c>
      <c r="E41" s="41" t="s">
        <v>265</v>
      </c>
      <c r="F41" s="2" t="s">
        <v>8</v>
      </c>
    </row>
    <row r="42" spans="4:11" ht="20.100000000000001" customHeight="1" x14ac:dyDescent="0.25">
      <c r="E42" s="41" t="s">
        <v>269</v>
      </c>
      <c r="F42" s="2" t="s">
        <v>8</v>
      </c>
    </row>
    <row r="43" spans="4:11" ht="20.100000000000001" customHeight="1" x14ac:dyDescent="0.25">
      <c r="I43" s="2"/>
      <c r="J43" s="2"/>
      <c r="K43" s="2"/>
    </row>
    <row r="44" spans="4:11" ht="20.100000000000001" customHeight="1" x14ac:dyDescent="0.25">
      <c r="I44" s="2"/>
      <c r="J44" s="2"/>
      <c r="K44" s="2"/>
    </row>
    <row r="45" spans="4:11" ht="20.100000000000001" customHeight="1" x14ac:dyDescent="0.25">
      <c r="I45" s="2"/>
      <c r="J45" s="2"/>
      <c r="K45" s="2"/>
    </row>
    <row r="46" spans="4:11" ht="20.100000000000001" customHeight="1" x14ac:dyDescent="0.25"/>
    <row r="47" spans="4:11" ht="20.100000000000001" customHeight="1" x14ac:dyDescent="0.25"/>
    <row r="48" spans="4: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0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D6" s="5" t="str" cm="1">
        <f t="array" ref="D6">MMS_Feedlot_Methane_Equations.VEERG_4_1_1_1__5_VolatileSolidProduction_Source()</f>
        <v>VEERG 2026: 4.1.1.1, Equation (5)</v>
      </c>
    </row>
    <row r="7" spans="1:19" ht="20.100000000000001" customHeight="1" x14ac:dyDescent="0.25">
      <c r="D7" s="13" t="s">
        <v>23</v>
      </c>
      <c r="E7" s="13" t="str" cm="1">
        <f t="array" aca="1" ref="E7" ca="1">Common_InputFunctions.Utility_DisplayFunctionName(D30)</f>
        <v>=MMS_Feedlot_Methane_Equations.VEERG_4_1_1_1__5_VolatileSolidProduction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54" t="s">
        <v>26</v>
      </c>
      <c r="E10" s="1" t="str" cm="1">
        <f t="array" ref="E10">MMS_Feedlot_Methane_Equations.VEERG_4_1_1_1__5_VolatileSolidProduction_Variable()</f>
        <v>VS_j</v>
      </c>
    </row>
    <row r="11" spans="1:19" ht="20.100000000000001" customHeight="1" x14ac:dyDescent="0.25">
      <c r="D11" s="54" t="s">
        <v>16</v>
      </c>
      <c r="E11" s="55" t="str" cm="1">
        <f t="array" ref="E11">MMS_Feedlot_Methane_Equations.VEERG_4_1_1_1__5_VolatileSolidProduction_Unit()</f>
        <v>kg/head/day</v>
      </c>
    </row>
    <row r="12" spans="1:19" ht="20.100000000000001" customHeight="1" x14ac:dyDescent="0.25"/>
    <row r="13" spans="1:19" ht="20.100000000000001"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100000000000001"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100000000000001"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100000000000001" customHeight="1" x14ac:dyDescent="0.25">
      <c r="A16" s="17" t="str">
        <f>HYPERLINK("#'4.1.1.5-6 Atmos Deposition'!A1", "4.1.1.5-6 Atmos Deposition")</f>
        <v>4.1.1.5-6 Atmos Deposition</v>
      </c>
    </row>
    <row r="17" spans="1:16" ht="20.100000000000001" customHeight="1" x14ac:dyDescent="0.25">
      <c r="A17" s="17" t="str">
        <f>HYPERLINK("#'4.1.1.9 Manure applied to soils'!A1", "4.1.1.9 Manure applied to soils")</f>
        <v>4.1.1.9 Manure applied to soils</v>
      </c>
      <c r="D17" s="100" t="s">
        <v>142</v>
      </c>
      <c r="M17" s="100" t="s">
        <v>145</v>
      </c>
    </row>
    <row r="18" spans="1:16" ht="20.100000000000001" customHeight="1" x14ac:dyDescent="0.25">
      <c r="D18" s="99" t="s">
        <v>189</v>
      </c>
      <c r="M18" s="99" t="s">
        <v>190</v>
      </c>
    </row>
    <row r="19" spans="1:16" ht="20.100000000000001" customHeight="1" x14ac:dyDescent="0.25">
      <c r="D19" s="40" t="s">
        <v>131</v>
      </c>
      <c r="E19" s="40" t="s">
        <v>132</v>
      </c>
      <c r="F19" s="40" t="s">
        <v>133</v>
      </c>
      <c r="M19" s="40" t="s">
        <v>131</v>
      </c>
      <c r="N19" s="40" t="s">
        <v>132</v>
      </c>
      <c r="O19" s="40" t="s">
        <v>133</v>
      </c>
    </row>
    <row r="20" spans="1:16" ht="20.100000000000001"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100000000000001" customHeight="1" x14ac:dyDescent="0.25">
      <c r="A21" s="17" t="str">
        <f>HYPERLINK("#'Constants - Feedlot'!A1", "Constants - Feedlot")</f>
        <v>Constants - Feedlot</v>
      </c>
    </row>
    <row r="22" spans="1:16" ht="20.100000000000001" customHeight="1" x14ac:dyDescent="0.25">
      <c r="A22" s="17" t="str">
        <f>HYPERLINK("#'Constants - Common'!A1", "Constants - Common")</f>
        <v>Constants - Common</v>
      </c>
      <c r="D22" s="100" t="s">
        <v>193</v>
      </c>
      <c r="M22" s="100" t="s">
        <v>197</v>
      </c>
    </row>
    <row r="23" spans="1:16" ht="20.100000000000001" customHeight="1" x14ac:dyDescent="0.25">
      <c r="A23" s="17" t="str">
        <f>HYPERLINK("#'Constants - Livestock'!A1", "Constants - Livestock")</f>
        <v>Constants - Livestock</v>
      </c>
      <c r="D23" s="99" t="s">
        <v>196</v>
      </c>
      <c r="M23" s="99" t="s">
        <v>347</v>
      </c>
    </row>
    <row r="24" spans="1:16" ht="20.100000000000001" customHeight="1" x14ac:dyDescent="0.25">
      <c r="A24" s="17" t="str">
        <f>HYPERLINK("#'Acknowledgements'!A1", "Acknowledgements")</f>
        <v>Acknowledgements</v>
      </c>
      <c r="D24" s="40" t="s">
        <v>131</v>
      </c>
      <c r="E24" s="40" t="s">
        <v>132</v>
      </c>
      <c r="F24" s="40" t="s">
        <v>133</v>
      </c>
      <c r="M24" s="40" t="s">
        <v>131</v>
      </c>
      <c r="N24" s="40" t="s">
        <v>132</v>
      </c>
      <c r="O24" s="40" t="s">
        <v>133</v>
      </c>
    </row>
    <row r="25" spans="1:16" ht="20.100000000000001" customHeight="1" x14ac:dyDescent="0.25">
      <c r="A25" s="17" t="str">
        <f>HYPERLINK("#'Tab template'!A1", "Tab template")</f>
        <v>Tab template</v>
      </c>
      <c r="D25" s="53" cm="1">
        <f t="array" aca="1" ref="D25:F25" ca="1">OFFSET(X_Table_Feedlot_Intake_Method1, 2, 1, 1, 3)</f>
        <v>0.81</v>
      </c>
      <c r="E25" s="53">
        <f ca="1"/>
        <v>0.81</v>
      </c>
      <c r="F25" s="53">
        <f ca="1"/>
        <v>0.81</v>
      </c>
      <c r="G25" s="2" t="s">
        <v>317</v>
      </c>
      <c r="M25" s="53" cm="1">
        <f t="array" aca="1" ref="M25:O25" ca="1">OFFSET(X_Table_Feedlot_Intake_Method2, 2, 1, 1, 3)</f>
        <v>0.81</v>
      </c>
      <c r="N25" s="53">
        <f ca="1"/>
        <v>0.81</v>
      </c>
      <c r="O25" s="53">
        <f ca="1"/>
        <v>0.81</v>
      </c>
      <c r="P25" s="2" t="s">
        <v>317</v>
      </c>
    </row>
    <row r="26" spans="1:16" ht="20.100000000000001" customHeight="1" x14ac:dyDescent="0.25"/>
    <row r="27" spans="1:16" ht="20.100000000000001" customHeight="1" x14ac:dyDescent="0.25">
      <c r="D27" s="100" t="s">
        <v>194</v>
      </c>
      <c r="M27" s="100" t="s">
        <v>198</v>
      </c>
    </row>
    <row r="28" spans="1:16" ht="20.100000000000001" customHeight="1" x14ac:dyDescent="0.25">
      <c r="D28" s="99" t="s">
        <v>195</v>
      </c>
      <c r="M28" s="99" t="s">
        <v>199</v>
      </c>
    </row>
    <row r="29" spans="1:16" ht="20.100000000000001" customHeight="1" x14ac:dyDescent="0.25">
      <c r="D29" s="52" t="s">
        <v>131</v>
      </c>
      <c r="E29" s="52" t="s">
        <v>132</v>
      </c>
      <c r="F29" s="52" t="s">
        <v>133</v>
      </c>
      <c r="M29" s="52" t="s">
        <v>131</v>
      </c>
      <c r="N29" s="52" t="s">
        <v>132</v>
      </c>
      <c r="O29" s="52" t="s">
        <v>133</v>
      </c>
    </row>
    <row r="30" spans="1:16" ht="20.100000000000001"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6"/>
      <c r="D33" s="46"/>
      <c r="E33" s="46"/>
      <c r="F33" s="46"/>
      <c r="G33" s="46"/>
      <c r="H33" s="46"/>
      <c r="I33" s="46"/>
      <c r="J33" s="46"/>
      <c r="L33" s="46"/>
      <c r="M33" s="46"/>
      <c r="N33" s="46"/>
      <c r="O33" s="46"/>
      <c r="P33" s="46"/>
      <c r="Q33" s="46"/>
      <c r="R33" s="46"/>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23</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4" t="s">
        <v>26</v>
      </c>
      <c r="E39" s="1" t="str" cm="1">
        <f t="array" ref="E39">MMS_Feedlot_Methane_Equations.VEERG_4_1_1_1__2_Stage1MethaneProductionDrylot_Variable()</f>
        <v>M_jm5T1</v>
      </c>
    </row>
    <row r="40" spans="3:18" ht="20.100000000000001" customHeight="1" x14ac:dyDescent="0.25">
      <c r="D40" s="54" t="s">
        <v>16</v>
      </c>
      <c r="E40" s="55" t="str" cm="1">
        <f t="array" ref="E40">MMS_Feedlot_Methane_Equations.VEERG_4_1_1_1__2_Stage1MethaneProductionDrylot_Unit()</f>
        <v>kg CH4/head/day</v>
      </c>
      <c r="M40" s="93" t="s">
        <v>341</v>
      </c>
      <c r="N40" s="88"/>
    </row>
    <row r="41" spans="3:18" ht="20.100000000000001" customHeight="1" x14ac:dyDescent="0.25"/>
    <row r="42" spans="3:18" ht="20.100000000000001"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100000000000001"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100000000000001"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100000000000001"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100000000000001"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100000000000001"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100000000000001" customHeight="1" x14ac:dyDescent="0.25"/>
    <row r="49" spans="3:18" ht="20.100000000000001" customHeight="1" x14ac:dyDescent="0.25">
      <c r="D49" s="100" t="s">
        <v>104</v>
      </c>
    </row>
    <row r="50" spans="3:18" ht="20.100000000000001" customHeight="1" x14ac:dyDescent="0.25">
      <c r="D50" s="99" t="s">
        <v>102</v>
      </c>
    </row>
    <row r="51" spans="3:18" ht="20.100000000000001" customHeight="1" x14ac:dyDescent="0.25">
      <c r="D51" s="40" t="s">
        <v>99</v>
      </c>
      <c r="E51" s="40" t="s">
        <v>131</v>
      </c>
      <c r="F51" s="40" t="s">
        <v>132</v>
      </c>
      <c r="G51" s="40" t="s">
        <v>133</v>
      </c>
    </row>
    <row r="52" spans="3:18" ht="20.100000000000001"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100000000000001" customHeight="1" x14ac:dyDescent="0.25"/>
    <row r="54" spans="3:18" ht="20.100000000000001" customHeight="1" x14ac:dyDescent="0.25">
      <c r="D54" s="100" t="s">
        <v>200</v>
      </c>
      <c r="M54" s="100" t="s">
        <v>202</v>
      </c>
    </row>
    <row r="55" spans="3:18" ht="20.100000000000001" customHeight="1" x14ac:dyDescent="0.25">
      <c r="D55" s="99" t="s">
        <v>201</v>
      </c>
      <c r="M55" s="99" t="s">
        <v>203</v>
      </c>
    </row>
    <row r="56" spans="3:18" ht="20.100000000000001" customHeight="1" x14ac:dyDescent="0.25">
      <c r="D56" s="52" t="s">
        <v>99</v>
      </c>
      <c r="E56" s="52" t="s">
        <v>131</v>
      </c>
      <c r="F56" s="52" t="s">
        <v>132</v>
      </c>
      <c r="G56" s="52" t="s">
        <v>133</v>
      </c>
      <c r="M56" s="52" t="s">
        <v>99</v>
      </c>
      <c r="N56" s="52" t="s">
        <v>131</v>
      </c>
      <c r="O56" s="52" t="s">
        <v>132</v>
      </c>
      <c r="P56" s="52" t="s">
        <v>133</v>
      </c>
    </row>
    <row r="57" spans="3:18" ht="20.100000000000001"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100000000000001" customHeight="1" x14ac:dyDescent="0.25">
      <c r="D58" s="101" t="str">
        <f>IF(ISNUMBER($I$45),"", "⚠️ ALERT: No MCFim5 data provided. Zero is used instead.")</f>
        <v/>
      </c>
    </row>
    <row r="59" spans="3:18" ht="20.100000000000001" customHeight="1" x14ac:dyDescent="0.25"/>
    <row r="60" spans="3:18" ht="20.100000000000001" customHeight="1" x14ac:dyDescent="0.25">
      <c r="C60" s="46"/>
      <c r="D60" s="46"/>
      <c r="E60" s="46"/>
      <c r="F60" s="46"/>
      <c r="G60" s="46"/>
      <c r="H60" s="46"/>
      <c r="I60" s="46"/>
      <c r="J60" s="46"/>
      <c r="L60" s="46"/>
      <c r="M60" s="46"/>
      <c r="N60" s="46"/>
      <c r="O60" s="46"/>
      <c r="P60" s="46"/>
      <c r="Q60" s="46"/>
      <c r="R60" s="46"/>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23</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4" t="s">
        <v>26</v>
      </c>
      <c r="E66" s="1" t="str" cm="1">
        <f t="array" ref="E66">MMS_Feedlot_Methane_Equations.VEERG_4_1_1_1__3_Stage2MethaneProduction_Variable()</f>
        <v>M_jmT2</v>
      </c>
    </row>
    <row r="67" spans="4:18" ht="20.100000000000001" customHeight="1" x14ac:dyDescent="0.25">
      <c r="D67" s="54" t="s">
        <v>16</v>
      </c>
      <c r="E67" s="55" t="str" cm="1">
        <f t="array" ref="E67">MMS_Feedlot_Methane_Equations.VEERG_4_1_1_1__3_Stage2MethaneProduction_Unit()</f>
        <v>kg CH4/head/day</v>
      </c>
    </row>
    <row r="68" spans="4:18" ht="20.100000000000001" customHeight="1" x14ac:dyDescent="0.25"/>
    <row r="69" spans="4:18" ht="20.100000000000001"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100000000000001"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100000000000001"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100000000000001"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100000000000001"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100000000000001"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100000000000001"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100000000000001" customHeight="1" x14ac:dyDescent="0.25"/>
    <row r="77" spans="4:18" ht="20.100000000000001" customHeight="1" x14ac:dyDescent="0.25">
      <c r="D77" s="100" t="s">
        <v>106</v>
      </c>
    </row>
    <row r="78" spans="4:18" ht="20.100000000000001" customHeight="1" x14ac:dyDescent="0.25">
      <c r="D78" s="99" t="s">
        <v>107</v>
      </c>
    </row>
    <row r="79" spans="4:18" ht="20.100000000000001" customHeight="1" x14ac:dyDescent="0.25">
      <c r="D79" s="40" t="s">
        <v>99</v>
      </c>
      <c r="E79" s="40" t="s">
        <v>95</v>
      </c>
      <c r="F79" s="40" t="s">
        <v>131</v>
      </c>
      <c r="G79" s="40" t="s">
        <v>132</v>
      </c>
      <c r="H79" s="40" t="s">
        <v>133</v>
      </c>
    </row>
    <row r="80" spans="4:18" ht="20.100000000000001"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100000000000001" customHeight="1" x14ac:dyDescent="0.25">
      <c r="D81" s="53" t="s">
        <v>94</v>
      </c>
      <c r="E81" s="53" t="str">
        <f ca="1"/>
        <v>Composting (passive windrow)</v>
      </c>
      <c r="F81" s="53">
        <f ca="1"/>
        <v>0.2</v>
      </c>
      <c r="G81" s="53">
        <f ca="1"/>
        <v>0.2</v>
      </c>
      <c r="H81" s="53">
        <f ca="1"/>
        <v>0.2</v>
      </c>
      <c r="I81" s="2"/>
    </row>
    <row r="82" spans="4:17" ht="20.100000000000001" customHeight="1" x14ac:dyDescent="0.25">
      <c r="D82" s="53" t="s">
        <v>94</v>
      </c>
      <c r="E82" s="53" t="str">
        <f ca="1"/>
        <v>Direct application</v>
      </c>
      <c r="F82" s="53">
        <f ca="1"/>
        <v>0.6</v>
      </c>
      <c r="G82" s="53">
        <f ca="1"/>
        <v>0.6</v>
      </c>
      <c r="H82" s="53">
        <f ca="1"/>
        <v>0.6</v>
      </c>
      <c r="I82" s="2"/>
    </row>
    <row r="83" spans="4:17" ht="20.100000000000001" customHeight="1" x14ac:dyDescent="0.25"/>
    <row r="84" spans="4:17" ht="20.100000000000001" customHeight="1" x14ac:dyDescent="0.25">
      <c r="D84" s="100" t="s">
        <v>350</v>
      </c>
      <c r="M84" s="100" t="s">
        <v>348</v>
      </c>
    </row>
    <row r="85" spans="4:17" ht="20.100000000000001" customHeight="1" x14ac:dyDescent="0.25">
      <c r="D85" s="99" t="s">
        <v>351</v>
      </c>
      <c r="M85" s="99" t="s">
        <v>349</v>
      </c>
    </row>
    <row r="86" spans="4:17" ht="20.100000000000001" customHeight="1" x14ac:dyDescent="0.25">
      <c r="D86" s="52" t="s">
        <v>99</v>
      </c>
      <c r="E86" s="52" t="s">
        <v>95</v>
      </c>
      <c r="F86" s="52" t="s">
        <v>92</v>
      </c>
      <c r="M86" s="52" t="s">
        <v>99</v>
      </c>
      <c r="N86" s="52" t="s">
        <v>95</v>
      </c>
      <c r="O86" s="52" t="s">
        <v>92</v>
      </c>
    </row>
    <row r="87" spans="4:17" ht="20.100000000000001"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3" t="s">
        <v>340</v>
      </c>
      <c r="E91" s="94"/>
      <c r="F91" s="94"/>
      <c r="G91" s="94"/>
      <c r="H91" s="88"/>
    </row>
    <row r="92" spans="4:17" ht="20.100000000000001" customHeight="1" x14ac:dyDescent="0.25"/>
    <row r="93" spans="4:17" ht="20.100000000000001" customHeight="1" x14ac:dyDescent="0.25">
      <c r="D93" s="100" t="s">
        <v>204</v>
      </c>
      <c r="M93" s="100" t="s">
        <v>206</v>
      </c>
    </row>
    <row r="94" spans="4:17" ht="20.100000000000001" customHeight="1" x14ac:dyDescent="0.25">
      <c r="D94" s="99" t="s">
        <v>205</v>
      </c>
      <c r="M94" s="99" t="s">
        <v>207</v>
      </c>
    </row>
    <row r="95" spans="4:17" ht="20.100000000000001" customHeight="1" x14ac:dyDescent="0.25">
      <c r="D95" s="52" t="s">
        <v>95</v>
      </c>
      <c r="E95" s="52" t="s">
        <v>131</v>
      </c>
      <c r="F95" s="52" t="s">
        <v>132</v>
      </c>
      <c r="G95" s="52" t="s">
        <v>133</v>
      </c>
      <c r="M95" s="52" t="s">
        <v>95</v>
      </c>
      <c r="N95" s="52" t="s">
        <v>131</v>
      </c>
      <c r="O95" s="52" t="s">
        <v>132</v>
      </c>
      <c r="P95" s="52" t="s">
        <v>133</v>
      </c>
    </row>
    <row r="96" spans="4:17" ht="20.100000000000001"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100000000000001"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6"/>
      <c r="D101" s="46"/>
      <c r="E101" s="46"/>
      <c r="F101" s="46"/>
      <c r="G101" s="46"/>
      <c r="H101" s="46"/>
      <c r="I101" s="46"/>
      <c r="J101" s="46"/>
      <c r="L101" s="46"/>
      <c r="M101" s="46"/>
      <c r="N101" s="46"/>
      <c r="O101" s="46"/>
      <c r="P101" s="46"/>
      <c r="Q101" s="46"/>
      <c r="R101" s="46"/>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23</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4" t="s">
        <v>26</v>
      </c>
      <c r="E107" s="1" t="str" cm="1">
        <f t="array" ref="E107">MMS_Feedlot_Methane_Equations.VEERG_4_1_1_1__4_Stage3MethaneProductionAnaerobicLagoon_Variable()</f>
        <v>M_jm1T3</v>
      </c>
    </row>
    <row r="108" spans="3:18" ht="20.100000000000001" customHeight="1" x14ac:dyDescent="0.25">
      <c r="D108" s="54" t="s">
        <v>16</v>
      </c>
      <c r="E108" s="55"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100000000000001"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100000000000001"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100000000000001"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100000000000001"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100000000000001" customHeight="1" x14ac:dyDescent="0.25"/>
    <row r="117" spans="3:18" ht="20.100000000000001" customHeight="1" x14ac:dyDescent="0.25">
      <c r="D117" s="100" t="s">
        <v>109</v>
      </c>
    </row>
    <row r="118" spans="3:18" ht="20.100000000000001" customHeight="1" x14ac:dyDescent="0.25">
      <c r="D118" s="99" t="s">
        <v>111</v>
      </c>
    </row>
    <row r="119" spans="3:18" ht="20.100000000000001" customHeight="1" x14ac:dyDescent="0.25">
      <c r="D119" s="40" t="s">
        <v>110</v>
      </c>
      <c r="E119" s="40" t="s">
        <v>131</v>
      </c>
      <c r="F119" s="40" t="s">
        <v>132</v>
      </c>
      <c r="G119" s="40" t="s">
        <v>133</v>
      </c>
    </row>
    <row r="120" spans="3:18" ht="20.100000000000001"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100000000000001" customHeight="1" x14ac:dyDescent="0.25"/>
    <row r="122" spans="3:18" ht="20.100000000000001" customHeight="1" x14ac:dyDescent="0.25">
      <c r="D122" s="100" t="s">
        <v>208</v>
      </c>
      <c r="M122" s="100" t="s">
        <v>210</v>
      </c>
    </row>
    <row r="123" spans="3:18" ht="20.100000000000001" customHeight="1" x14ac:dyDescent="0.25">
      <c r="D123" s="99" t="s">
        <v>209</v>
      </c>
      <c r="M123" s="99" t="s">
        <v>211</v>
      </c>
    </row>
    <row r="124" spans="3:18" ht="20.100000000000001" customHeight="1" x14ac:dyDescent="0.25">
      <c r="D124" s="52" t="s">
        <v>110</v>
      </c>
      <c r="E124" s="52" t="s">
        <v>131</v>
      </c>
      <c r="F124" s="52" t="s">
        <v>132</v>
      </c>
      <c r="G124" s="52" t="s">
        <v>133</v>
      </c>
      <c r="M124" s="52" t="s">
        <v>110</v>
      </c>
      <c r="N124" s="52" t="s">
        <v>131</v>
      </c>
      <c r="O124" s="52" t="s">
        <v>132</v>
      </c>
      <c r="P124" s="52" t="s">
        <v>133</v>
      </c>
    </row>
    <row r="125" spans="3:18" ht="20.100000000000001"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6"/>
      <c r="D128" s="46"/>
      <c r="E128" s="46"/>
      <c r="F128" s="46"/>
      <c r="G128" s="46"/>
      <c r="H128" s="46"/>
      <c r="I128" s="46"/>
      <c r="J128" s="46"/>
      <c r="L128" s="46"/>
      <c r="M128" s="46"/>
      <c r="N128" s="46"/>
      <c r="O128" s="46"/>
      <c r="P128" s="46"/>
      <c r="Q128" s="46"/>
      <c r="R128" s="46"/>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23</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4" t="s">
        <v>26</v>
      </c>
      <c r="E135" s="1" t="str" cm="1">
        <f t="array" ref="E135">MMS_Feedlot_Methane_Equations.VEERG_4_1_1_1__1_TotalAnnualMethaneEmissions_Variable()</f>
        <v>E_CH4</v>
      </c>
    </row>
    <row r="136" spans="4:9" ht="20.100000000000001" customHeight="1" x14ac:dyDescent="0.25">
      <c r="D136" s="54" t="s">
        <v>16</v>
      </c>
      <c r="E136" s="55" t="str" cm="1">
        <f t="array" ref="E136">MMS_Feedlot_Methane_Equations.VEERG_4_1_1_1__1_TotalAnnualMethaneEmissions_Unit()</f>
        <v>t CH4</v>
      </c>
    </row>
    <row r="137" spans="4:9" ht="20.100000000000001" customHeight="1" x14ac:dyDescent="0.25"/>
    <row r="138" spans="4:9" ht="20.100000000000001"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100000000000001"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100000000000001"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100000000000001" customHeight="1" x14ac:dyDescent="0.25"/>
    <row r="142" spans="4:9" ht="20.100000000000001" customHeight="1" x14ac:dyDescent="0.25">
      <c r="D142" s="100" t="s">
        <v>115</v>
      </c>
    </row>
    <row r="143" spans="4:9" ht="20.100000000000001" customHeight="1" x14ac:dyDescent="0.25">
      <c r="D143" s="99" t="s">
        <v>113</v>
      </c>
    </row>
    <row r="144" spans="4:9" ht="20.100000000000001" customHeight="1" x14ac:dyDescent="0.25">
      <c r="D144" s="40" t="s">
        <v>131</v>
      </c>
      <c r="E144" s="40" t="s">
        <v>132</v>
      </c>
      <c r="F144" s="40" t="s">
        <v>133</v>
      </c>
    </row>
    <row r="145" spans="4:18" ht="20.100000000000001" customHeight="1" x14ac:dyDescent="0.25">
      <c r="D145" s="103" cm="1">
        <f t="array" aca="1" ref="D145:F145" ca="1">OFFSET(X_Table_Feedlot_HerdMovement,2,1,1,3)</f>
        <v>90</v>
      </c>
      <c r="E145" s="103">
        <f ca="1"/>
        <v>140</v>
      </c>
      <c r="F145" s="103">
        <f ca="1"/>
        <v>250</v>
      </c>
      <c r="G145" s="2" t="str">
        <f>G138</f>
        <v>days</v>
      </c>
    </row>
    <row r="146" spans="4:18" ht="20.100000000000001" customHeight="1" x14ac:dyDescent="0.25"/>
    <row r="147" spans="4:18" ht="20.100000000000001" customHeight="1" x14ac:dyDescent="0.25">
      <c r="D147" s="100" t="s">
        <v>212</v>
      </c>
      <c r="M147" s="100" t="s">
        <v>214</v>
      </c>
    </row>
    <row r="148" spans="4:18" ht="20.100000000000001" customHeight="1" x14ac:dyDescent="0.25">
      <c r="D148" s="99" t="s">
        <v>213</v>
      </c>
      <c r="M148" s="99" t="s">
        <v>215</v>
      </c>
    </row>
    <row r="149" spans="4:18" ht="20.100000000000001"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100000000000001"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100000000000001"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100000000000001"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100000000000001" customHeight="1" x14ac:dyDescent="0.25">
      <c r="D153" s="53">
        <v>2</v>
      </c>
      <c r="E153" s="53" t="str">
        <f>INDEX(X_Table_Feedlot_MMS_Stage2,5,1)</f>
        <v>Direct application</v>
      </c>
      <c r="F153" s="53">
        <f ca="1">$E$98</f>
        <v>0</v>
      </c>
      <c r="G153" s="53">
        <f ca="1">$E$98</f>
        <v>0</v>
      </c>
      <c r="H153" s="53">
        <f ca="1">$E$98</f>
        <v>0</v>
      </c>
      <c r="I153" s="2"/>
      <c r="M153" s="53">
        <v>2</v>
      </c>
      <c r="N153" s="53" t="str">
        <f>INDEX(X_Table_Feedlot_MMS_Stage2,5,1)</f>
        <v>Direct application</v>
      </c>
      <c r="O153" s="53">
        <f ca="1">$E$98</f>
        <v>0</v>
      </c>
      <c r="P153" s="53">
        <f ca="1">$E$98</f>
        <v>0</v>
      </c>
      <c r="Q153" s="53">
        <f ca="1">$E$98</f>
        <v>0</v>
      </c>
      <c r="R153" s="2"/>
    </row>
    <row r="154" spans="4:18" ht="20.100000000000001"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100000000000001" customHeight="1" x14ac:dyDescent="0.25"/>
    <row r="156" spans="4:18" ht="20.100000000000001" customHeight="1" x14ac:dyDescent="0.25">
      <c r="D156" s="100" t="s">
        <v>116</v>
      </c>
    </row>
    <row r="157" spans="4:18" ht="20.100000000000001" customHeight="1" x14ac:dyDescent="0.25">
      <c r="D157" s="99" t="s">
        <v>117</v>
      </c>
    </row>
    <row r="158" spans="4:18" ht="20.100000000000001" customHeight="1" x14ac:dyDescent="0.25">
      <c r="D158" s="40" t="s">
        <v>131</v>
      </c>
      <c r="E158" s="40" t="s">
        <v>132</v>
      </c>
      <c r="F158" s="40" t="s">
        <v>133</v>
      </c>
    </row>
    <row r="159" spans="4:18" ht="20.100000000000001" customHeight="1" x14ac:dyDescent="0.25">
      <c r="D159" s="103" cm="1">
        <f t="array" aca="1" ref="D159:F159" ca="1">OFFSET(X_Table_Feedlot_HerdMovement,1,1,1,3)</f>
        <v>1000</v>
      </c>
      <c r="E159" s="103">
        <f ca="1"/>
        <v>1000</v>
      </c>
      <c r="F159" s="103">
        <f ca="1"/>
        <v>1000</v>
      </c>
      <c r="G159" s="2" t="str">
        <f>G140</f>
        <v>head</v>
      </c>
    </row>
    <row r="160" spans="4:18" ht="20.100000000000001" customHeight="1" x14ac:dyDescent="0.25"/>
    <row r="161" spans="4:18" ht="20.100000000000001" customHeight="1" x14ac:dyDescent="0.25">
      <c r="D161" s="100" t="s">
        <v>121</v>
      </c>
      <c r="M161" s="100" t="s">
        <v>121</v>
      </c>
    </row>
    <row r="162" spans="4:18" ht="20.100000000000001" customHeight="1" x14ac:dyDescent="0.25">
      <c r="D162" s="99" t="s">
        <v>122</v>
      </c>
      <c r="M162" s="99" t="s">
        <v>122</v>
      </c>
    </row>
    <row r="163" spans="4:18" ht="20.100000000000001"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100000000000001"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100000000000001"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100000000000001"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100000000000001"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100000000000001"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100000000000001" customHeight="1" x14ac:dyDescent="0.25"/>
    <row r="173" spans="4:18" ht="20.100000000000001"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100000000000001"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100000000000001" customHeight="1" x14ac:dyDescent="0.25"/>
    <row r="176" spans="4:18" ht="20.100000000000001"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100000000000001" customHeight="1" x14ac:dyDescent="0.25">
      <c r="A2"/>
    </row>
    <row r="3" spans="1:20" ht="20.100000000000001" customHeight="1" x14ac:dyDescent="0.25">
      <c r="A3" s="17" t="str">
        <f>HYPERLINK("#'Home'!A1", "Home")</f>
        <v>Home</v>
      </c>
      <c r="C3" s="4"/>
      <c r="D3" s="4" t="s">
        <v>152</v>
      </c>
      <c r="E3" s="4"/>
      <c r="F3" s="4"/>
      <c r="G3" s="4"/>
      <c r="H3" s="4"/>
      <c r="I3" s="4"/>
      <c r="J3" s="4"/>
      <c r="K3" s="4"/>
      <c r="L3" s="4"/>
      <c r="N3" s="4"/>
      <c r="O3" s="4" t="s">
        <v>153</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D6" s="5" t="str" cm="1">
        <f t="array" ref="D6">MMS_Feedlot_N2ODirect_Equations.VEERG_4_1_1_3__5_NitrogenIntake_Source()</f>
        <v>VEERG 2026: 4.1.1.3, Equation (5)</v>
      </c>
    </row>
    <row r="7" spans="1:20" ht="20.100000000000001" customHeight="1" x14ac:dyDescent="0.25">
      <c r="D7" s="13" t="s">
        <v>123</v>
      </c>
      <c r="E7" s="13" t="str" cm="1">
        <f t="array" aca="1" ref="E7" ca="1">Common_InputFunctions.Utility_DisplayFunctionName(D30)</f>
        <v>=MMS_Feedlot_N2ODirect_Equations.VEERG_4_1_1_3__5_NitrogenIntake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Feedlot'!A1", "Feedlot")</f>
        <v>Feedlot</v>
      </c>
      <c r="D10" s="54" t="s">
        <v>26</v>
      </c>
      <c r="E10" s="1" t="str" cm="1">
        <f t="array" ref="E10">MMS_Feedlot_N2ODirect_Equations.VEERG_4_1_1_3__5_NitrogenIntake_Variable()</f>
        <v>NI_j</v>
      </c>
    </row>
    <row r="11" spans="1:20" ht="20.100000000000001" customHeight="1" x14ac:dyDescent="0.25">
      <c r="D11" s="54" t="s">
        <v>16</v>
      </c>
      <c r="E11" s="55" t="str" cm="1">
        <f t="array" ref="E11">MMS_Feedlot_N2ODirect_Equations.VEERG_4_1_1_3__5_NitrogenIntake_Unit()</f>
        <v>kg N/head/day</v>
      </c>
    </row>
    <row r="12" spans="1:20" ht="20.100000000000001" customHeight="1" x14ac:dyDescent="0.25"/>
    <row r="13" spans="1:20" ht="20.100000000000001"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100000000000001"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100000000000001"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100000000000001" customHeight="1" x14ac:dyDescent="0.25">
      <c r="A16" s="17" t="str">
        <f>HYPERLINK("#'4.1.1.5-6 Atmos Deposition'!A1", "4.1.1.5-6 Atmos Deposition")</f>
        <v>4.1.1.5-6 Atmos Deposition</v>
      </c>
    </row>
    <row r="17" spans="1:19" ht="20.100000000000001" customHeight="1" x14ac:dyDescent="0.25">
      <c r="A17" s="17" t="str">
        <f>HYPERLINK("#'4.1.1.9 Manure applied to soils'!A1", "4.1.1.9 Manure applied to soils")</f>
        <v>4.1.1.9 Manure applied to soils</v>
      </c>
      <c r="D17" s="100" t="s">
        <v>142</v>
      </c>
      <c r="O17" s="100" t="s">
        <v>145</v>
      </c>
    </row>
    <row r="18" spans="1:19" ht="20.100000000000001" customHeight="1" x14ac:dyDescent="0.25">
      <c r="D18" s="99" t="s">
        <v>189</v>
      </c>
      <c r="O18" s="99" t="s">
        <v>190</v>
      </c>
    </row>
    <row r="19" spans="1:19" ht="20.100000000000001" customHeight="1" x14ac:dyDescent="0.25">
      <c r="D19" s="40" t="s">
        <v>131</v>
      </c>
      <c r="E19" s="40" t="s">
        <v>132</v>
      </c>
      <c r="F19" s="40" t="s">
        <v>133</v>
      </c>
      <c r="O19" s="40" t="s">
        <v>131</v>
      </c>
      <c r="P19" s="40" t="s">
        <v>132</v>
      </c>
      <c r="Q19" s="40" t="s">
        <v>133</v>
      </c>
    </row>
    <row r="20" spans="1:19" ht="20.100000000000001"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100000000000001" customHeight="1" x14ac:dyDescent="0.25">
      <c r="A21" s="17" t="str">
        <f>HYPERLINK("#'Constants - Feedlot'!A1", "Constants - Feedlot")</f>
        <v>Constants - Feedlot</v>
      </c>
    </row>
    <row r="22" spans="1:19" ht="20.100000000000001" customHeight="1" x14ac:dyDescent="0.25">
      <c r="A22" s="17" t="str">
        <f>HYPERLINK("#'Constants - Common'!A1", "Constants - Common")</f>
        <v>Constants - Common</v>
      </c>
      <c r="D22" s="100" t="s">
        <v>143</v>
      </c>
      <c r="O22" s="100" t="s">
        <v>146</v>
      </c>
    </row>
    <row r="23" spans="1:19" ht="20.100000000000001" customHeight="1" x14ac:dyDescent="0.25">
      <c r="A23" s="17" t="str">
        <f>HYPERLINK("#'Constants - Livestock'!A1", "Constants - Livestock")</f>
        <v>Constants - Livestock</v>
      </c>
      <c r="D23" s="99" t="s">
        <v>188</v>
      </c>
      <c r="O23" s="99" t="s">
        <v>191</v>
      </c>
    </row>
    <row r="24" spans="1:19" ht="20.100000000000001" customHeight="1" x14ac:dyDescent="0.25">
      <c r="A24" s="17" t="str">
        <f>HYPERLINK("#'Acknowledgements'!A1", "Acknowledgements")</f>
        <v>Acknowledgements</v>
      </c>
      <c r="D24" s="40" t="s">
        <v>131</v>
      </c>
      <c r="E24" s="40" t="s">
        <v>132</v>
      </c>
      <c r="F24" s="40" t="s">
        <v>133</v>
      </c>
      <c r="O24" s="40" t="s">
        <v>131</v>
      </c>
      <c r="P24" s="40" t="s">
        <v>132</v>
      </c>
      <c r="Q24" s="40" t="s">
        <v>133</v>
      </c>
    </row>
    <row r="25" spans="1:19" ht="20.100000000000001" customHeight="1" x14ac:dyDescent="0.25">
      <c r="A25" s="17" t="str">
        <f>HYPERLINK("#'Tab template'!A1", "Tab template")</f>
        <v>Tab template</v>
      </c>
      <c r="D25" s="53" cm="1">
        <f t="array" aca="1" ref="D25:F25" ca="1">OFFSET(X_Table_Feedlot_Intake_Method1,3,1,1,3)</f>
        <v>0.14000000000000001</v>
      </c>
      <c r="E25" s="53">
        <f ca="1"/>
        <v>0.12</v>
      </c>
      <c r="F25" s="53">
        <f ca="1"/>
        <v>0.12</v>
      </c>
      <c r="G25" s="2" t="s">
        <v>317</v>
      </c>
      <c r="H25" s="2"/>
      <c r="I25" s="2"/>
      <c r="J25" s="2"/>
      <c r="K25" s="2"/>
      <c r="O25" s="53" cm="1">
        <f t="array" aca="1" ref="O25:Q25" ca="1">OFFSET(X_Table_Feedlot_Intake_Method2,3,1,1,3)</f>
        <v>0.14000000000000001</v>
      </c>
      <c r="P25" s="53">
        <f ca="1"/>
        <v>0.12</v>
      </c>
      <c r="Q25" s="53">
        <f ca="1"/>
        <v>0.12</v>
      </c>
      <c r="R25" s="2" t="s">
        <v>317</v>
      </c>
      <c r="S25" s="2"/>
    </row>
    <row r="26" spans="1:19" ht="20.100000000000001" customHeight="1" x14ac:dyDescent="0.25"/>
    <row r="27" spans="1:19" ht="20.100000000000001" customHeight="1" x14ac:dyDescent="0.25">
      <c r="D27" s="100" t="s">
        <v>144</v>
      </c>
      <c r="O27" s="100" t="s">
        <v>147</v>
      </c>
    </row>
    <row r="28" spans="1:19" ht="20.100000000000001" customHeight="1" x14ac:dyDescent="0.25">
      <c r="D28" s="99" t="s">
        <v>187</v>
      </c>
      <c r="O28" s="99" t="s">
        <v>192</v>
      </c>
    </row>
    <row r="29" spans="1:19" ht="20.100000000000001" customHeight="1" x14ac:dyDescent="0.25">
      <c r="D29" s="52" t="s">
        <v>131</v>
      </c>
      <c r="E29" s="52" t="s">
        <v>132</v>
      </c>
      <c r="F29" s="52" t="s">
        <v>133</v>
      </c>
      <c r="O29" s="52" t="s">
        <v>131</v>
      </c>
      <c r="P29" s="52" t="s">
        <v>132</v>
      </c>
      <c r="Q29" s="52" t="s">
        <v>133</v>
      </c>
    </row>
    <row r="30" spans="1:19" ht="20.100000000000001"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6"/>
      <c r="D33" s="46"/>
      <c r="E33" s="46"/>
      <c r="F33" s="46"/>
      <c r="G33" s="46"/>
      <c r="H33" s="46"/>
      <c r="I33" s="46"/>
      <c r="J33" s="46"/>
      <c r="K33" s="46"/>
      <c r="L33" s="46"/>
      <c r="N33" s="46"/>
      <c r="O33" s="46"/>
      <c r="P33" s="46"/>
      <c r="Q33" s="46"/>
      <c r="R33" s="46"/>
      <c r="S33" s="46"/>
      <c r="T33" s="46"/>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23</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4" t="s">
        <v>26</v>
      </c>
      <c r="E40" s="1" t="str" cm="1">
        <f t="array" ref="E40">MMS_Feedlot_N2ODirect_Equations.VEERG_4_1_1_3__4_NitrogenExcretionPerHead_Variable()</f>
        <v>NE_j</v>
      </c>
    </row>
    <row r="41" spans="3:20" ht="20.100000000000001" customHeight="1" x14ac:dyDescent="0.25">
      <c r="D41" s="54" t="s">
        <v>16</v>
      </c>
      <c r="E41" s="55" t="str" cm="1">
        <f t="array" ref="E41">MMS_Feedlot_N2ODirect_Equations.VEERG_4_1_1_3__4_NitrogenExcretionPerHead_Unit()</f>
        <v>kg N/head/day</v>
      </c>
    </row>
    <row r="42" spans="3:20" ht="20.100000000000001" customHeight="1" x14ac:dyDescent="0.25"/>
    <row r="43" spans="3:20" ht="20.100000000000001"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100000000000001"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100000000000001" customHeight="1" x14ac:dyDescent="0.25"/>
    <row r="46" spans="3:20" ht="20.100000000000001" customHeight="1" x14ac:dyDescent="0.25">
      <c r="D46" s="100" t="s">
        <v>148</v>
      </c>
      <c r="E46" s="2"/>
      <c r="F46" s="2"/>
      <c r="O46" s="100" t="s">
        <v>149</v>
      </c>
      <c r="P46" s="2"/>
      <c r="Q46" s="2"/>
    </row>
    <row r="47" spans="3:20" ht="20.100000000000001" customHeight="1" x14ac:dyDescent="0.25">
      <c r="D47" s="99" t="s">
        <v>185</v>
      </c>
      <c r="O47" s="99" t="s">
        <v>186</v>
      </c>
    </row>
    <row r="48" spans="3:20" ht="20.100000000000001" customHeight="1" x14ac:dyDescent="0.25">
      <c r="D48" s="40" t="s">
        <v>131</v>
      </c>
      <c r="E48" s="40" t="s">
        <v>132</v>
      </c>
      <c r="F48" s="40" t="s">
        <v>133</v>
      </c>
      <c r="O48" s="40" t="s">
        <v>131</v>
      </c>
      <c r="P48" s="40" t="s">
        <v>132</v>
      </c>
      <c r="Q48" s="40" t="s">
        <v>133</v>
      </c>
    </row>
    <row r="49" spans="3:20" ht="20.100000000000001" customHeight="1" x14ac:dyDescent="0.25">
      <c r="D49" s="53" cm="1">
        <f t="array" aca="1" ref="D49:F49" ca="1">OFFSET(X_Table_Feedlot_Intake_Method1,4,1,1,3)/100</f>
        <v>0.20399999999999999</v>
      </c>
      <c r="E49" s="53">
        <f ca="1"/>
        <v>0.127</v>
      </c>
      <c r="F49" s="53">
        <f ca="1"/>
        <v>7.0000000000000007E-2</v>
      </c>
      <c r="G49" s="2" t="s">
        <v>154</v>
      </c>
      <c r="H49" s="2"/>
      <c r="I49" s="2"/>
      <c r="J49" s="2"/>
      <c r="K49" s="2"/>
      <c r="O49" s="53" cm="1">
        <f t="array" aca="1" ref="O49:Q49" ca="1">OFFSET(X_Table_Feedlot_Intake_Method2,4,1,1,3)/100</f>
        <v>0.20399999999999999</v>
      </c>
      <c r="P49" s="53">
        <f ca="1"/>
        <v>0.127</v>
      </c>
      <c r="Q49" s="53">
        <f ca="1"/>
        <v>7.0000000000000007E-2</v>
      </c>
      <c r="R49" s="2" t="s">
        <v>317</v>
      </c>
      <c r="S49" s="2"/>
    </row>
    <row r="50" spans="3:20" ht="20.100000000000001" customHeight="1" x14ac:dyDescent="0.25"/>
    <row r="51" spans="3:20" ht="20.100000000000001" customHeight="1" x14ac:dyDescent="0.25">
      <c r="D51" s="100" t="s">
        <v>150</v>
      </c>
      <c r="O51" s="100" t="s">
        <v>151</v>
      </c>
    </row>
    <row r="52" spans="3:20" ht="20.100000000000001" customHeight="1" x14ac:dyDescent="0.25">
      <c r="D52" s="99" t="s">
        <v>185</v>
      </c>
      <c r="O52" s="99" t="s">
        <v>186</v>
      </c>
    </row>
    <row r="53" spans="3:20" ht="20.100000000000001" customHeight="1" x14ac:dyDescent="0.25">
      <c r="D53" s="52" t="s">
        <v>131</v>
      </c>
      <c r="E53" s="52" t="s">
        <v>132</v>
      </c>
      <c r="F53" s="52" t="s">
        <v>133</v>
      </c>
      <c r="O53" s="52" t="s">
        <v>131</v>
      </c>
      <c r="P53" s="52" t="s">
        <v>132</v>
      </c>
      <c r="Q53" s="52" t="s">
        <v>133</v>
      </c>
    </row>
    <row r="54" spans="3:20" ht="20.100000000000001"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6"/>
      <c r="D57" s="46"/>
      <c r="E57" s="46"/>
      <c r="F57" s="46"/>
      <c r="G57" s="46"/>
      <c r="H57" s="46"/>
      <c r="I57" s="46"/>
      <c r="J57" s="46"/>
      <c r="K57" s="46"/>
      <c r="L57" s="46"/>
      <c r="N57" s="46"/>
      <c r="O57" s="46"/>
      <c r="P57" s="46"/>
      <c r="Q57" s="46"/>
      <c r="R57" s="46"/>
      <c r="S57" s="46"/>
      <c r="T57" s="46"/>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23</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4" t="s">
        <v>26</v>
      </c>
      <c r="E63" s="1" t="str" cm="1">
        <f t="array" ref="E63">MMS_Feedlot_N2ODirect_Equations.VEERG_4_1_1_3__3_AnnualNitrogenExcretion_Variable()</f>
        <v>AE_j</v>
      </c>
    </row>
    <row r="64" spans="3:20" ht="20.100000000000001" customHeight="1" x14ac:dyDescent="0.25">
      <c r="D64" s="54" t="s">
        <v>16</v>
      </c>
      <c r="E64" s="55" t="str" cm="1">
        <f t="array" ref="E64">MMS_Feedlot_N2ODirect_Equations.VEERG_4_1_1_3__3_AnnualNitrogenExcretion_Unit()</f>
        <v>kg N</v>
      </c>
    </row>
    <row r="65" spans="4:15" ht="20.100000000000001" customHeight="1" x14ac:dyDescent="0.25"/>
    <row r="66" spans="4:15" ht="20.100000000000001"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100000000000001"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100000000000001"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100000000000001" customHeight="1" x14ac:dyDescent="0.25"/>
    <row r="70" spans="4:15" ht="20.100000000000001" customHeight="1" x14ac:dyDescent="0.25">
      <c r="D70" s="100" t="s">
        <v>116</v>
      </c>
    </row>
    <row r="71" spans="4:15" ht="20.100000000000001" customHeight="1" x14ac:dyDescent="0.25">
      <c r="D71" s="99" t="s">
        <v>117</v>
      </c>
    </row>
    <row r="72" spans="4:15" ht="20.100000000000001" customHeight="1" x14ac:dyDescent="0.25">
      <c r="D72" s="40" t="s">
        <v>131</v>
      </c>
      <c r="E72" s="40" t="s">
        <v>132</v>
      </c>
      <c r="F72" s="40" t="s">
        <v>133</v>
      </c>
    </row>
    <row r="73" spans="4:15" ht="20.100000000000001" customHeight="1" x14ac:dyDescent="0.25">
      <c r="D73" s="103" cm="1">
        <f t="array" aca="1" ref="D73:F73" ca="1">OFFSET(X_Table_Feedlot_HerdMovement,1,1,1,3)</f>
        <v>1000</v>
      </c>
      <c r="E73" s="103">
        <f ca="1"/>
        <v>1000</v>
      </c>
      <c r="F73" s="103">
        <f ca="1"/>
        <v>1000</v>
      </c>
      <c r="G73" s="2" t="s">
        <v>118</v>
      </c>
      <c r="H73" s="2"/>
      <c r="I73" s="2"/>
      <c r="J73" s="2"/>
      <c r="K73" s="2"/>
    </row>
    <row r="74" spans="4:15" ht="20.100000000000001" customHeight="1" x14ac:dyDescent="0.25"/>
    <row r="75" spans="4:15" ht="20.100000000000001" customHeight="1" x14ac:dyDescent="0.25">
      <c r="D75" s="100" t="s">
        <v>115</v>
      </c>
    </row>
    <row r="76" spans="4:15" ht="20.100000000000001" customHeight="1" x14ac:dyDescent="0.25">
      <c r="D76" s="99" t="s">
        <v>113</v>
      </c>
    </row>
    <row r="77" spans="4:15" ht="20.100000000000001" customHeight="1" x14ac:dyDescent="0.25">
      <c r="D77" s="40" t="s">
        <v>131</v>
      </c>
      <c r="E77" s="40" t="s">
        <v>132</v>
      </c>
      <c r="F77" s="40" t="s">
        <v>133</v>
      </c>
    </row>
    <row r="78" spans="4:15" ht="20.100000000000001" customHeight="1" x14ac:dyDescent="0.25">
      <c r="D78" s="103" cm="1">
        <f t="array" aca="1" ref="D78:F78" ca="1">OFFSET(X_Table_Feedlot_HerdMovement,2,1,1,3)</f>
        <v>90</v>
      </c>
      <c r="E78" s="103">
        <f ca="1"/>
        <v>140</v>
      </c>
      <c r="F78" s="103">
        <f ca="1"/>
        <v>250</v>
      </c>
      <c r="G78" s="2" t="s">
        <v>51</v>
      </c>
      <c r="H78" s="2"/>
      <c r="I78" s="2"/>
      <c r="J78" s="2"/>
      <c r="K78" s="2"/>
    </row>
    <row r="79" spans="4:15" ht="20.100000000000001" customHeight="1" x14ac:dyDescent="0.25"/>
    <row r="80" spans="4:15" ht="20.100000000000001" customHeight="1" x14ac:dyDescent="0.25">
      <c r="D80" s="100" t="s">
        <v>155</v>
      </c>
      <c r="O80" s="100" t="s">
        <v>156</v>
      </c>
    </row>
    <row r="81" spans="3:20" ht="20.100000000000001" customHeight="1" x14ac:dyDescent="0.25">
      <c r="D81" s="99" t="s">
        <v>183</v>
      </c>
      <c r="O81" s="99" t="s">
        <v>184</v>
      </c>
    </row>
    <row r="82" spans="3:20" ht="20.100000000000001" customHeight="1" x14ac:dyDescent="0.25">
      <c r="D82" s="52" t="s">
        <v>131</v>
      </c>
      <c r="E82" s="52" t="s">
        <v>132</v>
      </c>
      <c r="F82" s="52" t="s">
        <v>133</v>
      </c>
      <c r="O82" s="52" t="s">
        <v>131</v>
      </c>
      <c r="P82" s="52" t="s">
        <v>132</v>
      </c>
      <c r="Q82" s="52" t="s">
        <v>133</v>
      </c>
    </row>
    <row r="83" spans="3:20" ht="20.100000000000001"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6"/>
      <c r="D86" s="46"/>
      <c r="E86" s="46"/>
      <c r="F86" s="46"/>
      <c r="G86" s="46"/>
      <c r="H86" s="46"/>
      <c r="I86" s="46"/>
      <c r="J86" s="46"/>
      <c r="K86" s="46"/>
      <c r="L86" s="46"/>
      <c r="N86" s="46"/>
      <c r="O86" s="46"/>
      <c r="P86" s="46"/>
      <c r="Q86" s="46"/>
      <c r="R86" s="46"/>
      <c r="S86" s="46"/>
      <c r="T86" s="46"/>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23</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4" t="s">
        <v>26</v>
      </c>
      <c r="E92" s="1" t="str" cm="1">
        <f t="array" ref="E92">MMS_Feedlot_N2ODirect_Equations.VEERG_4_1_1_3__2_Stage1NitrogenInMMSDrylot_Variable()</f>
        <v>MN_jm5T1</v>
      </c>
    </row>
    <row r="93" spans="3:20" ht="20.100000000000001" customHeight="1" x14ac:dyDescent="0.25">
      <c r="D93" s="54" t="s">
        <v>16</v>
      </c>
      <c r="E93" s="55" t="str" cm="1">
        <f t="array" ref="E93">MMS_Feedlot_N2ODirect_Equations.VEERG_4_1_1_3__2_Stage1NitrogenInMMSDrylot_Unit()</f>
        <v>kg N</v>
      </c>
    </row>
    <row r="94" spans="3:20" ht="20.100000000000001" customHeight="1" x14ac:dyDescent="0.25"/>
    <row r="95" spans="3:20" ht="20.100000000000001"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100000000000001"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100000000000001" customHeight="1" x14ac:dyDescent="0.25"/>
    <row r="98" spans="3:20" ht="20.100000000000001" customHeight="1" x14ac:dyDescent="0.25">
      <c r="D98" s="100" t="s">
        <v>157</v>
      </c>
    </row>
    <row r="99" spans="3:20" ht="20.100000000000001" customHeight="1" x14ac:dyDescent="0.25">
      <c r="D99" s="99" t="s">
        <v>102</v>
      </c>
    </row>
    <row r="100" spans="3:20" ht="20.100000000000001" customHeight="1" x14ac:dyDescent="0.25">
      <c r="D100" s="40" t="s">
        <v>99</v>
      </c>
      <c r="E100" s="40" t="s">
        <v>131</v>
      </c>
      <c r="F100" s="40" t="s">
        <v>132</v>
      </c>
      <c r="G100" s="40" t="s">
        <v>133</v>
      </c>
    </row>
    <row r="101" spans="3:20" ht="20.100000000000001" customHeight="1" x14ac:dyDescent="0.25">
      <c r="D101" s="53" t="s">
        <v>94</v>
      </c>
      <c r="E101" s="53" cm="1">
        <f t="array" aca="1" ref="E101:G101" ca="1">OFFSET(X_Table_Feedlot_MMS_Stage1, 1,1,1,3)</f>
        <v>1</v>
      </c>
      <c r="F101" s="53">
        <f ca="1"/>
        <v>1</v>
      </c>
      <c r="G101" s="53">
        <f ca="1"/>
        <v>1</v>
      </c>
      <c r="H101" s="2" t="s">
        <v>317</v>
      </c>
      <c r="I101" s="2"/>
      <c r="J101" s="2"/>
      <c r="K101" s="2"/>
    </row>
    <row r="102" spans="3:20" ht="20.100000000000001" customHeight="1" x14ac:dyDescent="0.25"/>
    <row r="103" spans="3:20" ht="20.100000000000001" customHeight="1" x14ac:dyDescent="0.25">
      <c r="D103" s="100" t="s">
        <v>158</v>
      </c>
      <c r="O103" s="100" t="s">
        <v>159</v>
      </c>
    </row>
    <row r="104" spans="3:20" ht="20.100000000000001" customHeight="1" x14ac:dyDescent="0.25">
      <c r="D104" s="99" t="s">
        <v>181</v>
      </c>
      <c r="O104" s="99" t="s">
        <v>182</v>
      </c>
    </row>
    <row r="105" spans="3:20" ht="20.100000000000001" customHeight="1" x14ac:dyDescent="0.25">
      <c r="D105" s="52" t="s">
        <v>99</v>
      </c>
      <c r="E105" s="52" t="s">
        <v>131</v>
      </c>
      <c r="F105" s="52" t="s">
        <v>132</v>
      </c>
      <c r="G105" s="52" t="s">
        <v>133</v>
      </c>
      <c r="O105" s="52" t="s">
        <v>99</v>
      </c>
      <c r="P105" s="52" t="s">
        <v>131</v>
      </c>
      <c r="Q105" s="52" t="s">
        <v>132</v>
      </c>
      <c r="R105" s="52" t="s">
        <v>133</v>
      </c>
    </row>
    <row r="106" spans="3:20" ht="20.100000000000001"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6"/>
      <c r="D109" s="46"/>
      <c r="E109" s="46"/>
      <c r="F109" s="46"/>
      <c r="G109" s="46"/>
      <c r="H109" s="46"/>
      <c r="I109" s="46"/>
      <c r="J109" s="46"/>
      <c r="K109" s="46"/>
      <c r="L109" s="46"/>
      <c r="N109" s="46"/>
      <c r="O109" s="46"/>
      <c r="P109" s="46"/>
      <c r="Q109" s="46"/>
      <c r="R109" s="46"/>
      <c r="S109" s="46"/>
      <c r="T109" s="46"/>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23</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4" t="s">
        <v>26</v>
      </c>
      <c r="E115" s="1" t="str" cm="1">
        <f t="array" ref="E115">MMS_Feedlot_N2ODirect_Equations.VEERG_4_1_1_3__8_Stage3NitrogenInMMSAnaerobicLagoon_Variable()</f>
        <v>MN_jm1T3</v>
      </c>
    </row>
    <row r="116" spans="4:18" ht="20.100000000000001" customHeight="1" x14ac:dyDescent="0.25">
      <c r="D116" s="54" t="s">
        <v>16</v>
      </c>
      <c r="E116" s="55" t="str" cm="1">
        <f t="array" ref="E116">MMS_Feedlot_N2ODirect_Equations.VEERG_4_1_1_3__8_Stage3NitrogenInMMSAnaerobicLagoon_Unit()</f>
        <v>kg N</v>
      </c>
    </row>
    <row r="117" spans="4:18" ht="20.100000000000001" customHeight="1" x14ac:dyDescent="0.25"/>
    <row r="118" spans="4:18" ht="20.100000000000001"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100000000000001"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100000000000001" customHeight="1" x14ac:dyDescent="0.25"/>
    <row r="121" spans="4:18" ht="20.100000000000001" customHeight="1" x14ac:dyDescent="0.25">
      <c r="D121" s="100" t="s">
        <v>162</v>
      </c>
    </row>
    <row r="122" spans="4:18" ht="20.100000000000001" customHeight="1" x14ac:dyDescent="0.25">
      <c r="D122" s="99" t="s">
        <v>161</v>
      </c>
    </row>
    <row r="123" spans="4:18" ht="20.100000000000001" customHeight="1" x14ac:dyDescent="0.25">
      <c r="D123" s="40" t="s">
        <v>110</v>
      </c>
      <c r="E123" s="40" t="s">
        <v>131</v>
      </c>
      <c r="F123" s="40" t="s">
        <v>132</v>
      </c>
      <c r="G123" s="40" t="s">
        <v>133</v>
      </c>
    </row>
    <row r="124" spans="4:18" ht="20.100000000000001"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100000000000001" customHeight="1" x14ac:dyDescent="0.25"/>
    <row r="126" spans="4:18" ht="20.100000000000001" customHeight="1" x14ac:dyDescent="0.25">
      <c r="D126" s="100" t="s">
        <v>167</v>
      </c>
      <c r="O126" s="100" t="s">
        <v>168</v>
      </c>
    </row>
    <row r="127" spans="4:18" ht="20.100000000000001" customHeight="1" x14ac:dyDescent="0.25">
      <c r="D127" s="99" t="s">
        <v>179</v>
      </c>
      <c r="O127" s="99" t="s">
        <v>180</v>
      </c>
    </row>
    <row r="128" spans="4:18" ht="20.100000000000001" customHeight="1" x14ac:dyDescent="0.25">
      <c r="D128" s="52" t="s">
        <v>110</v>
      </c>
      <c r="E128" s="52" t="s">
        <v>131</v>
      </c>
      <c r="F128" s="52" t="s">
        <v>132</v>
      </c>
      <c r="G128" s="52" t="s">
        <v>133</v>
      </c>
      <c r="O128" s="52" t="s">
        <v>110</v>
      </c>
      <c r="P128" s="52" t="s">
        <v>131</v>
      </c>
      <c r="Q128" s="52" t="s">
        <v>132</v>
      </c>
      <c r="R128" s="52" t="s">
        <v>133</v>
      </c>
    </row>
    <row r="129" spans="3:20" ht="20.100000000000001"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6"/>
      <c r="D132" s="46"/>
      <c r="E132" s="46"/>
      <c r="F132" s="46"/>
      <c r="G132" s="46"/>
      <c r="H132" s="46"/>
      <c r="I132" s="46"/>
      <c r="J132" s="46"/>
      <c r="K132" s="46"/>
      <c r="L132" s="46"/>
      <c r="N132" s="46"/>
      <c r="O132" s="46"/>
      <c r="P132" s="46"/>
      <c r="Q132" s="46"/>
      <c r="R132" s="46"/>
      <c r="S132" s="46"/>
      <c r="T132" s="46"/>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23</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4" t="s">
        <v>26</v>
      </c>
      <c r="E138" s="1" t="str" cm="1">
        <f t="array" ref="E138">MMS_Feedlot_N2ODirect_Equations.VEERG_4_1_1_3__7_NitrogenTransferredToStage2_Variable()</f>
        <v>NT_jmT2</v>
      </c>
    </row>
    <row r="139" spans="3:20" ht="20.100000000000001" customHeight="1" x14ac:dyDescent="0.25">
      <c r="D139" s="54" t="s">
        <v>16</v>
      </c>
      <c r="E139" s="55" t="str" cm="1">
        <f t="array" ref="E139">MMS_Feedlot_N2ODirect_Equations.VEERG_4_1_1_3__7_NitrogenTransferredToStage2_Unit()</f>
        <v>kg N</v>
      </c>
    </row>
    <row r="140" spans="3:20" ht="20.100000000000001" customHeight="1" x14ac:dyDescent="0.25"/>
    <row r="141" spans="3:20" ht="20.100000000000001"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100000000000001" customHeight="1" x14ac:dyDescent="0.25">
      <c r="D142" s="134" t="str">
        <v>FracGASM_m5</v>
      </c>
      <c r="E142" s="137" t="str">
        <v>fraction of N volatilised from drylot MMS</v>
      </c>
      <c r="F142" s="136"/>
      <c r="G142" s="134" t="str">
        <v>fraction</v>
      </c>
      <c r="H142" s="126" t="str">
        <v>Constant</v>
      </c>
      <c r="I142" s="134">
        <f>'Constants - Feedlot'!$F$113</f>
        <v>0.6</v>
      </c>
    </row>
    <row r="143" spans="3:20" ht="20.100000000000001"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100000000000001"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100000000000001" customHeight="1" x14ac:dyDescent="0.25"/>
    <row r="146" spans="3:20" ht="20.100000000000001" customHeight="1" x14ac:dyDescent="0.25">
      <c r="D146" s="100" t="s">
        <v>169</v>
      </c>
      <c r="O146" s="100" t="s">
        <v>170</v>
      </c>
    </row>
    <row r="147" spans="3:20" ht="20.100000000000001" customHeight="1" x14ac:dyDescent="0.25">
      <c r="D147" s="99" t="s">
        <v>177</v>
      </c>
      <c r="O147" s="99" t="s">
        <v>178</v>
      </c>
    </row>
    <row r="148" spans="3:20" ht="20.100000000000001" customHeight="1" x14ac:dyDescent="0.25">
      <c r="D148" s="52" t="s">
        <v>131</v>
      </c>
      <c r="E148" s="52" t="s">
        <v>132</v>
      </c>
      <c r="F148" s="52" t="s">
        <v>133</v>
      </c>
      <c r="O148" s="52" t="s">
        <v>131</v>
      </c>
      <c r="P148" s="52" t="s">
        <v>132</v>
      </c>
      <c r="Q148" s="52" t="s">
        <v>133</v>
      </c>
    </row>
    <row r="149" spans="3:20" ht="20.100000000000001"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6"/>
      <c r="D152" s="46"/>
      <c r="E152" s="46"/>
      <c r="F152" s="46"/>
      <c r="G152" s="46"/>
      <c r="H152" s="46"/>
      <c r="I152" s="46"/>
      <c r="J152" s="46"/>
      <c r="K152" s="46"/>
      <c r="L152" s="46"/>
      <c r="N152" s="46"/>
      <c r="O152" s="46"/>
      <c r="P152" s="46"/>
      <c r="Q152" s="46"/>
      <c r="R152" s="46"/>
      <c r="S152" s="46"/>
      <c r="T152" s="46"/>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23</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4" t="s">
        <v>26</v>
      </c>
      <c r="E158" s="1" t="str" cm="1">
        <f t="array" ref="E158">MMS_Feedlot_N2ODirect_Equations.VEERG_4_1_1_3__6_Stage2NitrogenInMMS_Variable()</f>
        <v>MN_jmT2</v>
      </c>
    </row>
    <row r="159" spans="3:20" ht="20.100000000000001" customHeight="1" x14ac:dyDescent="0.25">
      <c r="D159" s="54" t="s">
        <v>16</v>
      </c>
      <c r="E159" s="55" t="str" cm="1">
        <f t="array" ref="E159">MMS_Feedlot_N2ODirect_Equations.VEERG_4_1_1_3__6_Stage2NitrogenInMMS_Unit()</f>
        <v>kg N</v>
      </c>
    </row>
    <row r="160" spans="3:20" ht="20.100000000000001" customHeight="1" x14ac:dyDescent="0.25"/>
    <row r="161" spans="4:19" ht="20.100000000000001"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100000000000001"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0" t="s">
        <v>160</v>
      </c>
      <c r="L164" s="2"/>
    </row>
    <row r="165" spans="4:19" ht="20.100000000000001" customHeight="1" x14ac:dyDescent="0.25">
      <c r="D165" s="99" t="s">
        <v>107</v>
      </c>
    </row>
    <row r="166" spans="4:19" ht="20.100000000000001" customHeight="1" x14ac:dyDescent="0.25">
      <c r="D166" s="40" t="s">
        <v>95</v>
      </c>
      <c r="E166" s="40" t="s">
        <v>131</v>
      </c>
      <c r="F166" s="40" t="s">
        <v>132</v>
      </c>
      <c r="G166" s="40" t="s">
        <v>133</v>
      </c>
    </row>
    <row r="167" spans="4:19" ht="20.100000000000001"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100000000000001" customHeight="1" x14ac:dyDescent="0.25">
      <c r="D168" s="53" t="str">
        <f ca="1"/>
        <v>Composting (passive windrow)</v>
      </c>
      <c r="E168" s="53">
        <f ca="1"/>
        <v>0.2</v>
      </c>
      <c r="F168" s="53">
        <f ca="1"/>
        <v>0.2</v>
      </c>
      <c r="G168" s="53">
        <f ca="1"/>
        <v>0.2</v>
      </c>
      <c r="H168" s="2" t="s">
        <v>317</v>
      </c>
      <c r="I168" s="2"/>
      <c r="J168" s="2"/>
      <c r="K168" s="2"/>
    </row>
    <row r="169" spans="4:19" ht="20.100000000000001" customHeight="1" x14ac:dyDescent="0.25">
      <c r="D169" s="53" t="str">
        <f ca="1"/>
        <v>Direct application</v>
      </c>
      <c r="E169" s="53">
        <f ca="1"/>
        <v>0.6</v>
      </c>
      <c r="F169" s="53">
        <f ca="1"/>
        <v>0.6</v>
      </c>
      <c r="G169" s="53">
        <f ca="1"/>
        <v>0.6</v>
      </c>
    </row>
    <row r="170" spans="4:19" ht="20.100000000000001" customHeight="1" x14ac:dyDescent="0.25"/>
    <row r="171" spans="4:19" ht="20.100000000000001" customHeight="1" x14ac:dyDescent="0.25">
      <c r="D171" s="100" t="s">
        <v>171</v>
      </c>
      <c r="O171" s="100" t="s">
        <v>171</v>
      </c>
    </row>
    <row r="172" spans="4:19" ht="20.100000000000001" customHeight="1" x14ac:dyDescent="0.25">
      <c r="D172" s="99" t="s">
        <v>175</v>
      </c>
      <c r="O172" s="99" t="s">
        <v>176</v>
      </c>
    </row>
    <row r="173" spans="4:19" ht="20.100000000000001" customHeight="1" x14ac:dyDescent="0.25">
      <c r="D173" s="52" t="s">
        <v>95</v>
      </c>
      <c r="E173" s="52" t="s">
        <v>131</v>
      </c>
      <c r="F173" s="52" t="s">
        <v>132</v>
      </c>
      <c r="G173" s="52" t="s">
        <v>133</v>
      </c>
      <c r="O173" s="52" t="s">
        <v>95</v>
      </c>
      <c r="P173" s="52" t="s">
        <v>131</v>
      </c>
      <c r="Q173" s="52" t="s">
        <v>132</v>
      </c>
      <c r="R173" s="52" t="s">
        <v>133</v>
      </c>
    </row>
    <row r="174" spans="4:19" ht="20.100000000000001"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100000000000001"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100000000000001"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6"/>
      <c r="D178" s="46"/>
      <c r="E178" s="46"/>
      <c r="F178" s="46"/>
      <c r="G178" s="46"/>
      <c r="H178" s="46"/>
      <c r="I178" s="46"/>
      <c r="J178" s="46"/>
      <c r="K178" s="46"/>
      <c r="L178" s="46"/>
      <c r="N178" s="46"/>
      <c r="O178" s="46"/>
      <c r="P178" s="46"/>
      <c r="Q178" s="46"/>
      <c r="R178" s="46"/>
      <c r="S178" s="46"/>
      <c r="T178" s="46"/>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23</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4" t="s">
        <v>26</v>
      </c>
      <c r="E185" s="1" t="str" cm="1">
        <f t="array" ref="E185">MMS_Feedlot_N2ODirect_Equations.VEERG_4_1_1_3__1_TotalAnnualDirectNitrousOxideEmissions_Variable()</f>
        <v>E_N2Odir</v>
      </c>
    </row>
    <row r="186" spans="3:20" ht="20.100000000000001" customHeight="1" x14ac:dyDescent="0.25">
      <c r="D186" s="54" t="s">
        <v>16</v>
      </c>
      <c r="E186" s="55"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100000000000001"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100000000000001"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100000000000001" customHeight="1" x14ac:dyDescent="0.25"/>
    <row r="192" spans="3:20" ht="20.100000000000001" customHeight="1" x14ac:dyDescent="0.25">
      <c r="D192" s="100" t="s">
        <v>163</v>
      </c>
    </row>
    <row r="193" spans="4:19" ht="20.100000000000001" customHeight="1" x14ac:dyDescent="0.25">
      <c r="D193" s="99" t="s">
        <v>164</v>
      </c>
    </row>
    <row r="194" spans="4:19" ht="20.100000000000001" customHeight="1" x14ac:dyDescent="0.25">
      <c r="D194" s="111" t="s">
        <v>64</v>
      </c>
      <c r="E194" s="111" t="s">
        <v>165</v>
      </c>
    </row>
    <row r="195" spans="4:19" ht="20.100000000000001" customHeight="1" x14ac:dyDescent="0.25">
      <c r="D195" s="53" t="str">
        <f>INDEX(X_Table_Feedlot_MMS_Stage1,2,1)</f>
        <v>Drylot (feed pad)</v>
      </c>
      <c r="E195" s="53">
        <f>_xlfn.XLOOKUP($D$195, Table_SourceData_Feedlot_NO2EFs[NIR definition], Table_SourceData_Feedlot_NO2EFs[EF mT])</f>
        <v>5.4000000000000003E-3</v>
      </c>
    </row>
    <row r="196" spans="4:19" ht="20.100000000000001" customHeight="1" x14ac:dyDescent="0.25">
      <c r="D196" s="53" t="str">
        <f>INDEX(X_Table_Feedlot_MMS_Stage2,3,1)</f>
        <v>Solid storage</v>
      </c>
      <c r="E196" s="53">
        <f>_xlfn.XLOOKUP($D$196, Table_SourceData_Feedlot_NO2EFs[NIR definition], Table_SourceData_Feedlot_NO2EFs[EF mT])</f>
        <v>5.0000000000000001E-3</v>
      </c>
    </row>
    <row r="197" spans="4:19" ht="20.100000000000001" customHeight="1" x14ac:dyDescent="0.25">
      <c r="D197" s="53" t="str">
        <f>INDEX(X_Table_Feedlot_MMS_Stage2,4,1)</f>
        <v>Composting (passive windrow)</v>
      </c>
      <c r="E197" s="53">
        <f>_xlfn.XLOOKUP($D$197, Table_SourceData_Feedlot_NO2EFs[NIR definition], Table_SourceData_Feedlot_NO2EFs[EF mT])</f>
        <v>0.01</v>
      </c>
    </row>
    <row r="198" spans="4:19" ht="20.100000000000001" customHeight="1" x14ac:dyDescent="0.25">
      <c r="D198" s="53" t="str">
        <f>INDEX(X_Table_Feedlot_MMS_Stage3,3,1)</f>
        <v>Anaerobic lagoon</v>
      </c>
      <c r="E198" s="53">
        <f>_xlfn.XLOOKUP($D$198, Table_SourceData_Feedlot_NO2EFs[NIR definition], Table_SourceData_Feedlot_NO2EFs[EF mT])</f>
        <v>0</v>
      </c>
    </row>
    <row r="199" spans="4:19" ht="20.100000000000001" customHeight="1" x14ac:dyDescent="0.25"/>
    <row r="200" spans="4:19" ht="20.100000000000001" customHeight="1" x14ac:dyDescent="0.25">
      <c r="D200" s="112" t="s">
        <v>339</v>
      </c>
      <c r="E200" s="90"/>
      <c r="F200" s="90"/>
      <c r="G200" s="86"/>
    </row>
    <row r="201" spans="4:19" ht="20.100000000000001" customHeight="1" x14ac:dyDescent="0.25">
      <c r="D201" s="92" t="s">
        <v>322</v>
      </c>
      <c r="E201" s="89"/>
      <c r="F201" s="89"/>
      <c r="G201" s="87"/>
    </row>
    <row r="202" spans="4:19" ht="20.100000000000001" customHeight="1" x14ac:dyDescent="0.25"/>
    <row r="203" spans="4:19" ht="20.100000000000001" customHeight="1" x14ac:dyDescent="0.25">
      <c r="D203" s="100" t="s">
        <v>172</v>
      </c>
      <c r="O203" s="100" t="s">
        <v>352</v>
      </c>
    </row>
    <row r="204" spans="4:19" ht="20.100000000000001" customHeight="1" x14ac:dyDescent="0.25">
      <c r="D204" s="99" t="s">
        <v>173</v>
      </c>
      <c r="O204" s="99" t="s">
        <v>174</v>
      </c>
    </row>
    <row r="205" spans="4:19" ht="20.100000000000001" customHeight="1" x14ac:dyDescent="0.25">
      <c r="D205" s="111" t="s">
        <v>64</v>
      </c>
      <c r="E205" s="52" t="s">
        <v>131</v>
      </c>
      <c r="F205" s="52" t="s">
        <v>132</v>
      </c>
      <c r="G205" s="52" t="s">
        <v>133</v>
      </c>
      <c r="O205" s="111" t="s">
        <v>64</v>
      </c>
      <c r="P205" s="52" t="s">
        <v>131</v>
      </c>
      <c r="Q205" s="52" t="s">
        <v>132</v>
      </c>
      <c r="R205" s="52" t="s">
        <v>133</v>
      </c>
    </row>
    <row r="206" spans="4:19" ht="20.100000000000001"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100000000000001"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100000000000001"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100000000000001"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100000000000001"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100000000000001" customHeight="1" x14ac:dyDescent="0.25"/>
    <row r="214" spans="4:19" ht="20.100000000000001"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100000000000001"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100000000000001" customHeight="1" x14ac:dyDescent="0.25"/>
    <row r="217" spans="4:19" ht="20.100000000000001"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D6" s="5" t="str" cm="1">
        <f t="array" ref="D6">MMS_Feedlot_AtmosphericDeposition_Equations.VEERG_4_1_1_5__2_VolatilisedNitrogenFromManureManagement_Source()</f>
        <v>VEERG 2026: 4.1.1.5, Equation (2)</v>
      </c>
    </row>
    <row r="7" spans="1:19" ht="20.100000000000001" customHeight="1" x14ac:dyDescent="0.25">
      <c r="D7" s="13" t="s">
        <v>23</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row>
    <row r="11" spans="1:19" ht="20.100000000000001" customHeight="1" x14ac:dyDescent="0.25">
      <c r="D11" s="54" t="s">
        <v>26</v>
      </c>
      <c r="E11" s="1" t="str" cm="1">
        <f t="array" ref="E11">MMS_Feedlot_AtmosphericDeposition_Equations.VEERG_4_1_1_5__2_VolatilisedNitrogenFromManureManagement_Variable()</f>
        <v>MMS_ATMOS</v>
      </c>
    </row>
    <row r="12" spans="1:19" ht="20.100000000000001" customHeight="1" x14ac:dyDescent="0.25">
      <c r="D12" s="54" t="s">
        <v>16</v>
      </c>
      <c r="E12" s="55" t="str" cm="1">
        <f t="array" ref="E12">MMS_Feedlot_AtmosphericDeposition_Equations.VEERG_4_1_1_5__2_VolatilisedNitrogenFromManureManagement_Unit()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100000000000001"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100000000000001" customHeight="1" x14ac:dyDescent="0.25">
      <c r="A16" s="21" t="str">
        <f>HYPERLINK("#'4.1.1.5-6 Atmos Deposition'!A1", "4.1.1.5-6 Atmos Deposition")</f>
        <v>4.1.1.5-6 Atmos Deposition</v>
      </c>
    </row>
    <row r="17" spans="1:18" ht="20.100000000000001" customHeight="1" x14ac:dyDescent="0.25">
      <c r="A17" s="17" t="str">
        <f>HYPERLINK("#'4.1.1.9 Manure applied to soils'!A1", "4.1.1.9 Manure applied to soils")</f>
        <v>4.1.1.9 Manure applied to soils</v>
      </c>
      <c r="D17" s="112" t="s">
        <v>323</v>
      </c>
      <c r="E17" s="90"/>
      <c r="F17" s="90"/>
      <c r="G17" s="86"/>
    </row>
    <row r="18" spans="1:18" ht="20.100000000000001" customHeight="1" x14ac:dyDescent="0.25">
      <c r="D18" s="92" t="s">
        <v>322</v>
      </c>
      <c r="E18" s="89"/>
      <c r="F18" s="89"/>
      <c r="G18" s="87"/>
    </row>
    <row r="19" spans="1:18" ht="20.100000000000001" customHeight="1" x14ac:dyDescent="0.25"/>
    <row r="20" spans="1:18" ht="20.100000000000001" customHeight="1" x14ac:dyDescent="0.25">
      <c r="A20" s="145" t="s">
        <v>1</v>
      </c>
      <c r="D20" s="100" t="s">
        <v>255</v>
      </c>
      <c r="M20" s="100" t="s">
        <v>258</v>
      </c>
    </row>
    <row r="21" spans="1:18" ht="20.100000000000001" customHeight="1" x14ac:dyDescent="0.25">
      <c r="A21" s="17" t="str">
        <f>HYPERLINK("#'Constants - Feedlot'!A1", "Constants - Feedlot")</f>
        <v>Constants - Feedlot</v>
      </c>
      <c r="D21" s="99" t="s">
        <v>257</v>
      </c>
      <c r="M21" s="99" t="s">
        <v>259</v>
      </c>
    </row>
    <row r="22" spans="1:18" ht="20.100000000000001"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100000000000001" customHeight="1" x14ac:dyDescent="0.25">
      <c r="A23" s="17" t="str">
        <f>HYPERLINK("#'Constants - Livestock'!A1", "Constants - Livestock")</f>
        <v>Constants -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100000000000001"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100000000000001"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100000000000001"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100000000000001"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100000000000001" customHeight="1" x14ac:dyDescent="0.25"/>
    <row r="29" spans="1:18" ht="20.100000000000001" customHeight="1" x14ac:dyDescent="0.25">
      <c r="D29" s="100" t="s">
        <v>223</v>
      </c>
    </row>
    <row r="30" spans="1:18" ht="20.100000000000001" customHeight="1" x14ac:dyDescent="0.25">
      <c r="D30" s="99" t="s">
        <v>225</v>
      </c>
    </row>
    <row r="31" spans="1:18" ht="20.100000000000001" customHeight="1" x14ac:dyDescent="0.25">
      <c r="D31" s="111" t="s">
        <v>64</v>
      </c>
      <c r="E31" s="111" t="s">
        <v>165</v>
      </c>
    </row>
    <row r="32" spans="1:18" ht="20.100000000000001"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100000000000001" customHeight="1" x14ac:dyDescent="0.25">
      <c r="D33" s="53" t="str">
        <f>INDEX(X_Table_Feedlot_MMS_Stage2,3,1)</f>
        <v>Solid storage</v>
      </c>
      <c r="E33" s="53">
        <f>_xlfn.XLOOKUP(D33, Table_SourceData_Feedlot_FracGASMmT[NIR definition], Table_SourceData_Feedlot_FracGASMmT[FracGASMmT])</f>
        <v>0.25</v>
      </c>
      <c r="F33" s="2"/>
    </row>
    <row r="34" spans="3:19" ht="20.100000000000001"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100000000000001" customHeight="1" x14ac:dyDescent="0.25">
      <c r="D35" s="53" t="str">
        <f>INDEX(X_Table_Feedlot_MMS_Stage3,3,1)</f>
        <v>Anaerobic lagoon</v>
      </c>
      <c r="E35" s="53">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0" t="s">
        <v>256</v>
      </c>
      <c r="M37" s="100" t="s">
        <v>353</v>
      </c>
    </row>
    <row r="38" spans="3:19" ht="20.100000000000001" customHeight="1" x14ac:dyDescent="0.25">
      <c r="D38" s="99" t="s">
        <v>257</v>
      </c>
      <c r="M38" s="99" t="s">
        <v>259</v>
      </c>
    </row>
    <row r="39" spans="3:19" ht="20.100000000000001" customHeight="1" x14ac:dyDescent="0.25">
      <c r="D39" s="111" t="s">
        <v>64</v>
      </c>
      <c r="E39" s="52" t="s">
        <v>131</v>
      </c>
      <c r="F39" s="52" t="s">
        <v>132</v>
      </c>
      <c r="G39" s="52" t="s">
        <v>133</v>
      </c>
      <c r="M39" s="111" t="s">
        <v>64</v>
      </c>
      <c r="N39" s="52" t="s">
        <v>131</v>
      </c>
      <c r="O39" s="52" t="s">
        <v>132</v>
      </c>
      <c r="P39" s="52" t="s">
        <v>133</v>
      </c>
    </row>
    <row r="40" spans="3:19" ht="20.100000000000001"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100000000000001"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100000000000001"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100000000000001"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18" t="s">
        <v>260</v>
      </c>
      <c r="E46" s="46">
        <f ca="1">SUM(E40:G44)</f>
        <v>51562.512848332786</v>
      </c>
      <c r="F46" s="116" t="str">
        <f>$E$12</f>
        <v>kg N</v>
      </c>
      <c r="M46" s="118" t="s">
        <v>260</v>
      </c>
      <c r="N46" s="46">
        <f ca="1">SUM(N40:P44)</f>
        <v>51562.512848332786</v>
      </c>
      <c r="O46" s="116" t="str">
        <f>$E$12</f>
        <v>kg N</v>
      </c>
    </row>
    <row r="47" spans="3:19" ht="20.100000000000001" customHeight="1" x14ac:dyDescent="0.25"/>
    <row r="48" spans="3:19" ht="20.100000000000001" customHeight="1" x14ac:dyDescent="0.25">
      <c r="C48" s="117"/>
      <c r="D48" s="117"/>
      <c r="E48" s="117"/>
      <c r="F48" s="117"/>
      <c r="G48" s="117"/>
      <c r="H48" s="117"/>
      <c r="I48" s="117"/>
      <c r="J48" s="117"/>
      <c r="L48" s="117"/>
      <c r="M48" s="117"/>
      <c r="N48" s="117"/>
      <c r="O48" s="117"/>
      <c r="P48" s="117"/>
      <c r="Q48" s="117"/>
      <c r="R48" s="117"/>
      <c r="S48" s="117"/>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4" t="s">
        <v>26</v>
      </c>
      <c r="E55" s="1" t="str" cm="1">
        <f t="array" ref="E55">MMS_Feedlot_AtmosphericDeposition_Equations.VEERG_4_1_1_5__1_TotalAnnualAtmosphericDepositionEmissions_Variable()</f>
        <v>E_N2Oad</v>
      </c>
    </row>
    <row r="56" spans="4:18" ht="20.100000000000001" customHeight="1" x14ac:dyDescent="0.25">
      <c r="D56" s="54" t="s">
        <v>16</v>
      </c>
      <c r="E56" s="55"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100000000000001"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100000000000001"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100000000000001" customHeight="1" x14ac:dyDescent="0.25">
      <c r="D61" s="134" t="str">
        <v>j</v>
      </c>
      <c r="E61" s="137" t="str">
        <v>production system</v>
      </c>
      <c r="F61" s="136"/>
      <c r="G61" s="134" t="str">
        <v/>
      </c>
      <c r="H61" s="125" t="str">
        <v>Input</v>
      </c>
      <c r="I61" s="134" t="str">
        <f>'Input - Feedlot'!$E$41</f>
        <v>Pasture</v>
      </c>
      <c r="M61" s="134" t="str">
        <v>j</v>
      </c>
      <c r="N61" s="137" t="str">
        <v>production system</v>
      </c>
      <c r="O61" s="136"/>
      <c r="P61" s="134" t="str">
        <v/>
      </c>
      <c r="Q61" s="125" t="str">
        <v>Input</v>
      </c>
      <c r="R61" s="58"/>
    </row>
    <row r="62" spans="4:18" ht="20.100000000000001" customHeight="1" x14ac:dyDescent="0.25">
      <c r="D62" s="134" t="str">
        <v>i</v>
      </c>
      <c r="E62" s="137" t="str">
        <v>irrigation method</v>
      </c>
      <c r="F62" s="136"/>
      <c r="G62" s="134" t="str">
        <v/>
      </c>
      <c r="H62" s="125" t="str">
        <v>Input</v>
      </c>
      <c r="I62" s="134" t="str">
        <f>'Input - Feedlot'!$E$42</f>
        <v>Not irrigated</v>
      </c>
      <c r="M62" s="134" t="str">
        <v>i</v>
      </c>
      <c r="N62" s="137" t="str">
        <v>irrigation method</v>
      </c>
      <c r="O62" s="136"/>
      <c r="P62" s="134" t="str">
        <v/>
      </c>
      <c r="Q62" s="125" t="str">
        <v>Input</v>
      </c>
      <c r="R62" s="58"/>
    </row>
    <row r="63" spans="4:18" ht="20.100000000000001" customHeight="1" x14ac:dyDescent="0.25">
      <c r="D63" s="134" t="str">
        <v>r</v>
      </c>
      <c r="E63" s="137" t="str">
        <v>rainfall zone</v>
      </c>
      <c r="F63" s="136"/>
      <c r="G63" s="134" t="str">
        <v/>
      </c>
      <c r="H63" s="125" t="str">
        <v>Input</v>
      </c>
      <c r="I63" s="134" t="str">
        <f>'Input - Site'!$E$30</f>
        <v>High rainfall</v>
      </c>
      <c r="M63" s="134" t="str">
        <v>r</v>
      </c>
      <c r="N63" s="137" t="str">
        <v>rainfall zone</v>
      </c>
      <c r="O63" s="136"/>
      <c r="P63" s="134" t="str">
        <v/>
      </c>
      <c r="Q63" s="125" t="str">
        <v>Input</v>
      </c>
      <c r="R63" s="58"/>
    </row>
    <row r="64" spans="4:18" ht="20.100000000000001" customHeight="1" x14ac:dyDescent="0.25"/>
    <row r="65" spans="4:16" ht="20.100000000000001"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100000000000001" customHeight="1" x14ac:dyDescent="0.25"/>
    <row r="67" spans="4:16" ht="20.100000000000001"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100000000000001"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100000000000001" customHeight="1" x14ac:dyDescent="0.25"/>
    <row r="70" spans="4:16" ht="20.100000000000001"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A8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K3" s="4"/>
      <c r="M3" s="4"/>
      <c r="N3" s="4" t="s">
        <v>153</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D6" s="5" t="str" cm="1">
        <f t="array" ref="D6">MMS_Feedlot_ManureAppliedToSoils_Equations.VEERG_4_1_1_9__1_MassOfNitrogenAppliedToSoilsScope1_Source()</f>
        <v>VEERG 2026: 4.1.1.9, Equation (1)</v>
      </c>
    </row>
    <row r="7" spans="1:19" ht="20.100000000000001" customHeight="1" x14ac:dyDescent="0.25">
      <c r="D7" s="13" t="s">
        <v>23</v>
      </c>
      <c r="E7" s="13" t="str" cm="1">
        <f t="array" aca="1" ref="E7" ca="1">Common_InputFunctions.Utility_DisplayFunctionName(E56)</f>
        <v>=MMS_Feedlot_ManureAppliedToSoils_Equations.VEERG_4_1_1_9__1_MassOfNitrogenAppliedToSoilsScope1</v>
      </c>
    </row>
    <row r="8" spans="1:19" ht="20.100000000000001" customHeight="1" x14ac:dyDescent="0.25">
      <c r="A8" s="19" t="s">
        <v>0</v>
      </c>
    </row>
    <row r="9" spans="1:19" ht="20.100000000000001" customHeight="1" x14ac:dyDescent="0.25">
      <c r="A9" s="17" t="str">
        <f>HYPERLINK("#'Input - Site'!A1", "Site")</f>
        <v>Site</v>
      </c>
      <c r="D9" s="6"/>
    </row>
    <row r="10" spans="1:19" ht="20.100000000000001" customHeight="1" x14ac:dyDescent="0.25">
      <c r="A10" s="17" t="str">
        <f>HYPERLINK("#'Input - Feedlot'!A1", "Feedlot")</f>
        <v>Feedlot</v>
      </c>
    </row>
    <row r="11" spans="1:19" ht="20.100000000000001" customHeight="1" x14ac:dyDescent="0.25">
      <c r="D11" s="54" t="s">
        <v>26</v>
      </c>
      <c r="E11" s="1" t="str" cm="1">
        <f t="array" ref="E11">MMS_Feedlot_ManureAppliedToSoils_Equations.VEERG_4_1_1_9__1_MassOfNitrogenAppliedToSoilsScope1_Variable()</f>
        <v>MNSoil_scope1</v>
      </c>
    </row>
    <row r="12" spans="1:19" ht="20.100000000000001" customHeight="1" x14ac:dyDescent="0.25">
      <c r="D12" s="54" t="s">
        <v>16</v>
      </c>
      <c r="E12" s="55" t="str" cm="1">
        <f t="array" ref="E12">MMS_Feedlot_ManureAppliedToSoils_Equations.VEERG_4_1_1_9__1_MassOfNitrogenAppliedToSoilsScope1_Unit()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100000000000001"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100000000000001"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100000000000001"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100000000000001" customHeight="1" x14ac:dyDescent="0.25"/>
    <row r="19" spans="1:18" ht="20.100000000000001" customHeight="1" x14ac:dyDescent="0.25">
      <c r="D19" s="100" t="s">
        <v>222</v>
      </c>
      <c r="N19" s="100" t="s">
        <v>230</v>
      </c>
    </row>
    <row r="20" spans="1:18" ht="20.100000000000001" customHeight="1" x14ac:dyDescent="0.25">
      <c r="A20" s="145" t="s">
        <v>1</v>
      </c>
      <c r="D20" s="99" t="s">
        <v>232</v>
      </c>
      <c r="N20" s="99" t="s">
        <v>231</v>
      </c>
    </row>
    <row r="21" spans="1:18" ht="20.100000000000001"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100000000000001"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100000000000001" customHeight="1" x14ac:dyDescent="0.25">
      <c r="A23" s="17" t="str">
        <f>HYPERLINK("#'Constants - Livestock'!A1", "Constants - Livestock")</f>
        <v>Constants -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t="s">
        <v>221</v>
      </c>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t="s">
        <v>221</v>
      </c>
    </row>
    <row r="24" spans="1:18" ht="20.100000000000001"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t="s">
        <v>221</v>
      </c>
    </row>
    <row r="25" spans="1:18" ht="20.100000000000001"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t="s">
        <v>221</v>
      </c>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t="s">
        <v>221</v>
      </c>
    </row>
    <row r="26" spans="1:18" ht="20.100000000000001" customHeight="1" x14ac:dyDescent="0.25"/>
    <row r="27" spans="1:18" ht="20.100000000000001" customHeight="1" x14ac:dyDescent="0.25">
      <c r="D27" s="100" t="s">
        <v>224</v>
      </c>
    </row>
    <row r="28" spans="1:18" ht="20.100000000000001" customHeight="1" x14ac:dyDescent="0.25">
      <c r="D28" s="99" t="s">
        <v>164</v>
      </c>
    </row>
    <row r="29" spans="1:18" ht="20.100000000000001" customHeight="1" x14ac:dyDescent="0.25">
      <c r="D29" s="111" t="s">
        <v>64</v>
      </c>
      <c r="E29" s="111" t="s">
        <v>165</v>
      </c>
    </row>
    <row r="30" spans="1:18" ht="20.100000000000001"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100000000000001" customHeight="1" x14ac:dyDescent="0.25">
      <c r="D31" s="53" t="str">
        <f>INDEX(X_Table_Feedlot_MMS_Stage2,3,1)</f>
        <v>Solid storage</v>
      </c>
      <c r="E31" s="53">
        <f>_xlfn.XLOOKUP($D$31, Table_SourceData_Feedlot_NO2EFs[NIR definition], Table_SourceData_Feedlot_NO2EFs[EF mT])</f>
        <v>5.0000000000000001E-3</v>
      </c>
      <c r="F31" s="2" t="s">
        <v>228</v>
      </c>
    </row>
    <row r="32" spans="1:18" ht="20.100000000000001" customHeight="1" x14ac:dyDescent="0.25">
      <c r="D32" s="53" t="str">
        <f>INDEX(X_Table_Feedlot_MMS_Stage2,4,1)</f>
        <v>Composting (passive windrow)</v>
      </c>
      <c r="E32" s="53">
        <f>_xlfn.XLOOKUP($D$32, Table_SourceData_Feedlot_NO2EFs[NIR definition], Table_SourceData_Feedlot_NO2EFs[EF mT])</f>
        <v>0.01</v>
      </c>
      <c r="F32" s="2" t="s">
        <v>228</v>
      </c>
    </row>
    <row r="33" spans="4:10" ht="20.100000000000001" customHeight="1" x14ac:dyDescent="0.25">
      <c r="D33" s="53" t="s">
        <v>309</v>
      </c>
      <c r="E33" s="53">
        <f>_xlfn.XLOOKUP($D$33, Table_SourceData_Feedlot_NO2EFs[NIR definition], Table_SourceData_Feedlot_NO2EFs[EF mT])</f>
        <v>0</v>
      </c>
      <c r="F33" s="2" t="s">
        <v>228</v>
      </c>
    </row>
    <row r="34" spans="4:10" ht="20.100000000000001" customHeight="1" x14ac:dyDescent="0.25">
      <c r="D34" s="53" t="str">
        <f>INDEX(X_Table_Feedlot_MMS_Stage3,3,1)</f>
        <v>Anaerobic lagoon</v>
      </c>
      <c r="E34" s="53">
        <f>_xlfn.XLOOKUP($D$34, Table_SourceData_Feedlot_NO2EFs[NIR definition], Table_SourceData_Feedlot_NO2EFs[EF mT])</f>
        <v>0</v>
      </c>
      <c r="F34" s="2" t="s">
        <v>228</v>
      </c>
    </row>
    <row r="35" spans="4:10" ht="20.100000000000001" customHeight="1" x14ac:dyDescent="0.25"/>
    <row r="36" spans="4:10" ht="20.100000000000001" customHeight="1" x14ac:dyDescent="0.25">
      <c r="D36" s="100" t="s">
        <v>223</v>
      </c>
    </row>
    <row r="37" spans="4:10" ht="20.100000000000001" customHeight="1" x14ac:dyDescent="0.25">
      <c r="D37" s="99" t="s">
        <v>225</v>
      </c>
    </row>
    <row r="38" spans="4:10" ht="20.100000000000001" customHeight="1" x14ac:dyDescent="0.25">
      <c r="D38" s="111" t="s">
        <v>64</v>
      </c>
      <c r="E38" s="111" t="s">
        <v>165</v>
      </c>
    </row>
    <row r="39" spans="4:10" ht="20.100000000000001"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100000000000001" customHeight="1" x14ac:dyDescent="0.25">
      <c r="D40" s="53" t="str">
        <f>INDEX(X_Table_Feedlot_MMS_Stage2,3,1)</f>
        <v>Solid storage</v>
      </c>
      <c r="E40" s="53">
        <f>_xlfn.XLOOKUP(D40, Table_SourceData_Feedlot_FracGASMmT[NIR definition], Table_SourceData_Feedlot_FracGASMmT[FracGASMmT])</f>
        <v>0.25</v>
      </c>
      <c r="F40" s="2" t="s">
        <v>229</v>
      </c>
    </row>
    <row r="41" spans="4:10" ht="20.100000000000001" customHeight="1" x14ac:dyDescent="0.25">
      <c r="D41" s="53" t="str">
        <f>INDEX(X_Table_Feedlot_MMS_Stage2,4,1)</f>
        <v>Composting (passive windrow)</v>
      </c>
      <c r="E41" s="53">
        <f>_xlfn.XLOOKUP(D41, Table_SourceData_Feedlot_FracGASMmT[NIR definition], Table_SourceData_Feedlot_FracGASMmT[FracGASMmT])</f>
        <v>0.4</v>
      </c>
      <c r="F41" s="2" t="s">
        <v>229</v>
      </c>
    </row>
    <row r="42" spans="4:10" ht="20.100000000000001" customHeight="1" x14ac:dyDescent="0.25">
      <c r="D42" s="53" t="str">
        <f>INDEX(X_Table_Feedlot_MMS_Stage2,5,1)</f>
        <v>Direct application</v>
      </c>
      <c r="E42" s="53">
        <f>_xlfn.XLOOKUP(D42, Table_SourceData_Feedlot_FracGASMmT[NIR definition], Table_SourceData_Feedlot_FracGASMmT[FracGASMmT])</f>
        <v>0</v>
      </c>
      <c r="F42" s="2" t="s">
        <v>229</v>
      </c>
    </row>
    <row r="43" spans="4:10" ht="20.100000000000001" customHeight="1" x14ac:dyDescent="0.25">
      <c r="D43" s="53" t="str">
        <f>INDEX(X_Table_Feedlot_MMS_Stage3,3,1)</f>
        <v>Anaerobic lagoon</v>
      </c>
      <c r="E43" s="53">
        <f>_xlfn.XLOOKUP(D43, Table_SourceData_Feedlot_FracGASMmT[NIR definition], Table_SourceData_Feedlot_FracGASMmT[FracGASMmT])</f>
        <v>0.35</v>
      </c>
      <c r="F43" s="2" t="s">
        <v>229</v>
      </c>
    </row>
    <row r="44" spans="4:10" ht="20.100000000000001" customHeight="1" x14ac:dyDescent="0.25"/>
    <row r="45" spans="4:10" ht="20.100000000000001" customHeight="1" x14ac:dyDescent="0.25">
      <c r="D45" s="100" t="s">
        <v>226</v>
      </c>
    </row>
    <row r="46" spans="4:10" ht="20.100000000000001" customHeight="1" x14ac:dyDescent="0.25">
      <c r="D46" s="99" t="s">
        <v>227</v>
      </c>
    </row>
    <row r="47" spans="4:10" ht="20.100000000000001" customHeight="1" x14ac:dyDescent="0.25">
      <c r="D47" s="63" t="s">
        <v>64</v>
      </c>
      <c r="E47" s="63" t="s">
        <v>315</v>
      </c>
    </row>
    <row r="48" spans="4:10" ht="20.100000000000001" customHeight="1" x14ac:dyDescent="0.25">
      <c r="D48" s="53" t="str">
        <f>INDEX(X_Table_Feedlot_MMS_Stage2,3,1)</f>
        <v>Solid storage</v>
      </c>
      <c r="E48" s="53">
        <f ca="1">SUM(OFFSET(X_Table_Feedlot_MMS_Stage2_Destinations, 2,1,1,2))</f>
        <v>0.75</v>
      </c>
      <c r="F48" s="2" t="s">
        <v>317</v>
      </c>
      <c r="H48" s="2"/>
      <c r="I48" s="2"/>
      <c r="J48" s="2"/>
    </row>
    <row r="49" spans="3:19" ht="20.100000000000001" customHeight="1" x14ac:dyDescent="0.25">
      <c r="D49" s="53" t="str">
        <f>INDEX(X_Table_Feedlot_MMS_Stage2,4,1)</f>
        <v>Composting (passive windrow)</v>
      </c>
      <c r="E49" s="53">
        <f ca="1">SUM(OFFSET(X_Table_Feedlot_MMS_Stage2_Destinations, 3,1,1,2))</f>
        <v>0.75</v>
      </c>
      <c r="F49" s="2" t="s">
        <v>317</v>
      </c>
      <c r="H49" s="2"/>
      <c r="I49" s="2"/>
      <c r="J49" s="2"/>
    </row>
    <row r="50" spans="3:19" ht="20.100000000000001" customHeight="1" x14ac:dyDescent="0.25">
      <c r="D50" s="53" t="str">
        <f>INDEX(X_Table_Feedlot_MMS_Stage2,5,1)</f>
        <v>Direct application</v>
      </c>
      <c r="E50" s="53">
        <f ca="1">SUM(OFFSET(X_Table_Feedlot_MMS_Stage2_Destinations, 4,1,1,2))</f>
        <v>1</v>
      </c>
      <c r="F50" s="2" t="s">
        <v>317</v>
      </c>
      <c r="H50" s="2"/>
      <c r="I50" s="2"/>
      <c r="J50" s="2"/>
    </row>
    <row r="51" spans="3:19" ht="20.100000000000001" customHeight="1" x14ac:dyDescent="0.25">
      <c r="D51" s="53" t="str">
        <f>INDEX(X_Table_Feedlot_MMS_Stage3,3,1)</f>
        <v>Anaerobic lagoon</v>
      </c>
      <c r="E51" s="53">
        <f ca="1">SUM(OFFSET(X_Table_Feedlot_MMS_Stage3_Destinations, 2,1,1,2))</f>
        <v>0.75</v>
      </c>
      <c r="F51" s="2" t="s">
        <v>317</v>
      </c>
      <c r="H51" s="2"/>
      <c r="I51" s="2"/>
      <c r="J51" s="2"/>
    </row>
    <row r="52" spans="3:19" ht="20.100000000000001" customHeight="1" x14ac:dyDescent="0.25"/>
    <row r="53" spans="3:19" ht="20.100000000000001" customHeight="1" x14ac:dyDescent="0.25">
      <c r="D53" s="100" t="s">
        <v>233</v>
      </c>
      <c r="N53" s="100" t="s">
        <v>246</v>
      </c>
    </row>
    <row r="54" spans="3:19" ht="20.100000000000001" customHeight="1" x14ac:dyDescent="0.25">
      <c r="D54" s="99" t="s">
        <v>248</v>
      </c>
      <c r="N54" s="99" t="s">
        <v>247</v>
      </c>
    </row>
    <row r="55" spans="3:19" ht="20.100000000000001" customHeight="1" x14ac:dyDescent="0.25">
      <c r="D55" s="52" t="s">
        <v>64</v>
      </c>
      <c r="E55" s="52" t="s">
        <v>131</v>
      </c>
      <c r="F55" s="52" t="s">
        <v>132</v>
      </c>
      <c r="G55" s="52" t="s">
        <v>133</v>
      </c>
      <c r="N55" s="52" t="s">
        <v>64</v>
      </c>
      <c r="O55" s="52" t="s">
        <v>131</v>
      </c>
      <c r="P55" s="52" t="s">
        <v>132</v>
      </c>
      <c r="Q55" s="52" t="s">
        <v>133</v>
      </c>
    </row>
    <row r="56" spans="3:19" ht="20.100000000000001"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t="str">
        <f>$E$12</f>
        <v>kg N</v>
      </c>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t="str">
        <f>$E$12</f>
        <v>kg N</v>
      </c>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t="str">
        <f>$E$12</f>
        <v>kg N</v>
      </c>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4" t="s">
        <v>234</v>
      </c>
      <c r="E61" s="105">
        <f ca="1">SUM(E56:G59)</f>
        <v>24340.194998288636</v>
      </c>
      <c r="F61" s="106" t="str">
        <f>$E$12</f>
        <v>kg N</v>
      </c>
      <c r="N61" s="104" t="s">
        <v>234</v>
      </c>
      <c r="O61" s="105">
        <f ca="1">SUM(O56:Q59)</f>
        <v>24340.194998288636</v>
      </c>
      <c r="P61" s="106" t="str">
        <f>$E$12</f>
        <v>kg N</v>
      </c>
    </row>
    <row r="62" spans="3:19" ht="20.100000000000001" customHeight="1" x14ac:dyDescent="0.25"/>
    <row r="63" spans="3:19" ht="20.100000000000001" customHeight="1" x14ac:dyDescent="0.25"/>
    <row r="64" spans="3:19" ht="20.100000000000001" customHeight="1" x14ac:dyDescent="0.25">
      <c r="C64" s="46"/>
      <c r="D64" s="46"/>
      <c r="E64" s="46"/>
      <c r="F64" s="46"/>
      <c r="G64" s="46"/>
      <c r="H64" s="46"/>
      <c r="I64" s="46"/>
      <c r="J64" s="46"/>
      <c r="K64" s="46"/>
      <c r="M64" s="46"/>
      <c r="N64" s="46"/>
      <c r="O64" s="46"/>
      <c r="P64" s="46"/>
      <c r="Q64" s="46"/>
      <c r="R64" s="46"/>
      <c r="S64" s="46"/>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23</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4" t="s">
        <v>26</v>
      </c>
      <c r="E71" s="1" t="str" cm="1">
        <f t="array" ref="E71">MMS_Feedlot_ManureAppliedToSoils_Equations.VEERG_4_1_1_9__2_MassOfNitrogenAppliedToSoilsScope3_Variable()</f>
        <v>MNSoil_scope3</v>
      </c>
    </row>
    <row r="72" spans="4:14" ht="20.100000000000001" customHeight="1" x14ac:dyDescent="0.25">
      <c r="D72" s="54" t="s">
        <v>16</v>
      </c>
      <c r="E72" s="55"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100000000000001"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100000000000001"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100000000000001"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100000000000001" customHeight="1" x14ac:dyDescent="0.25"/>
    <row r="79" spans="4:14" ht="20.100000000000001" customHeight="1" x14ac:dyDescent="0.25">
      <c r="D79" s="100" t="s">
        <v>237</v>
      </c>
      <c r="N79" s="100" t="s">
        <v>242</v>
      </c>
    </row>
    <row r="80" spans="4:14" ht="20.100000000000001" customHeight="1" x14ac:dyDescent="0.25">
      <c r="D80" s="99" t="s">
        <v>245</v>
      </c>
      <c r="N80" s="99" t="s">
        <v>243</v>
      </c>
    </row>
    <row r="81" spans="3:19" ht="20.100000000000001" customHeight="1" x14ac:dyDescent="0.25">
      <c r="D81" s="52" t="s">
        <v>64</v>
      </c>
      <c r="E81" s="52" t="s">
        <v>131</v>
      </c>
      <c r="F81" s="52" t="s">
        <v>132</v>
      </c>
      <c r="G81" s="52" t="s">
        <v>133</v>
      </c>
      <c r="N81" s="52" t="s">
        <v>64</v>
      </c>
      <c r="O81" s="52" t="s">
        <v>131</v>
      </c>
      <c r="P81" s="52" t="s">
        <v>132</v>
      </c>
      <c r="Q81" s="52" t="s">
        <v>133</v>
      </c>
    </row>
    <row r="82" spans="3:19" ht="20.100000000000001"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t="str">
        <f>$E$12</f>
        <v>kg N</v>
      </c>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t="str">
        <f>$E$12</f>
        <v>kg N</v>
      </c>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t="str">
        <f>$E$12</f>
        <v>kg N</v>
      </c>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4" t="s">
        <v>239</v>
      </c>
      <c r="E87" s="105">
        <f ca="1">SUM(E82:G85)</f>
        <v>2221.8698202508799</v>
      </c>
      <c r="F87" s="106" t="str">
        <f>$E$12</f>
        <v>kg N</v>
      </c>
      <c r="N87" s="104" t="s">
        <v>239</v>
      </c>
      <c r="O87" s="105">
        <f ca="1">SUM(O82:Q85)</f>
        <v>2221.8698202508799</v>
      </c>
      <c r="P87" s="106" t="str">
        <f>$E$12</f>
        <v>kg N</v>
      </c>
    </row>
    <row r="88" spans="3:19" ht="20.100000000000001" customHeight="1" x14ac:dyDescent="0.25"/>
    <row r="89" spans="3:19" ht="20.100000000000001" customHeight="1" x14ac:dyDescent="0.25"/>
    <row r="90" spans="3:19" ht="20.100000000000001" customHeight="1" x14ac:dyDescent="0.25">
      <c r="C90" s="46"/>
      <c r="D90" s="46"/>
      <c r="E90" s="46"/>
      <c r="F90" s="46"/>
      <c r="G90" s="46"/>
      <c r="H90" s="46"/>
      <c r="I90" s="46"/>
      <c r="J90" s="46"/>
      <c r="K90" s="46"/>
      <c r="L90" s="113"/>
      <c r="M90" s="46"/>
      <c r="N90" s="46"/>
      <c r="O90" s="46"/>
      <c r="P90" s="46"/>
      <c r="Q90" s="46"/>
      <c r="R90" s="46"/>
      <c r="S90" s="46"/>
    </row>
    <row r="91" spans="3:19" ht="20.100000000000001"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100000000000001" customHeight="1" x14ac:dyDescent="0.25">
      <c r="D92" s="92" t="s">
        <v>249</v>
      </c>
      <c r="E92" s="89"/>
      <c r="F92" s="89"/>
      <c r="G92" s="89"/>
      <c r="H92" s="87"/>
    </row>
    <row r="93" spans="3:19" ht="20.100000000000001" customHeight="1" x14ac:dyDescent="0.25"/>
    <row r="94" spans="3:19" ht="20.100000000000001" customHeight="1" x14ac:dyDescent="0.25">
      <c r="D94" s="6" t="s">
        <v>298</v>
      </c>
    </row>
    <row r="95" spans="3:19" ht="20.100000000000001" customHeight="1" x14ac:dyDescent="0.25">
      <c r="D95" s="100" t="s">
        <v>235</v>
      </c>
    </row>
    <row r="96" spans="3:19" ht="20.100000000000001" customHeight="1" x14ac:dyDescent="0.25">
      <c r="D96" s="99" t="s">
        <v>236</v>
      </c>
    </row>
    <row r="97" spans="4:18" ht="20.100000000000001" customHeight="1" x14ac:dyDescent="0.25">
      <c r="D97" s="63" t="s">
        <v>64</v>
      </c>
      <c r="E97" s="63" t="s">
        <v>338</v>
      </c>
    </row>
    <row r="98" spans="4:18" ht="20.100000000000001" customHeight="1" x14ac:dyDescent="0.25">
      <c r="D98" s="53" t="str">
        <f>INDEX(X_Table_Feedlot_MMS_Stage2,3,1)</f>
        <v>Solid storage</v>
      </c>
      <c r="E98" s="53">
        <f>INDEX(X_Table_Feedlot_MMS_Stage2_Destinations,3,2)</f>
        <v>0.25</v>
      </c>
      <c r="F98" s="2" t="s">
        <v>317</v>
      </c>
    </row>
    <row r="99" spans="4:18" ht="20.100000000000001" customHeight="1" x14ac:dyDescent="0.25">
      <c r="D99" s="53" t="str">
        <f>INDEX(X_Table_Feedlot_MMS_Stage2,4,1)</f>
        <v>Composting (passive windrow)</v>
      </c>
      <c r="E99" s="53">
        <f>INDEX(X_Table_Feedlot_MMS_Stage2_Destinations,4,2)</f>
        <v>0.25</v>
      </c>
      <c r="F99" s="2" t="s">
        <v>317</v>
      </c>
    </row>
    <row r="100" spans="4:18" ht="20.100000000000001" customHeight="1" x14ac:dyDescent="0.25">
      <c r="D100" s="53" t="str">
        <f>INDEX(X_Table_Feedlot_MMS_Stage2,5,1)</f>
        <v>Direct application</v>
      </c>
      <c r="E100" s="53">
        <v>0</v>
      </c>
      <c r="F100" s="2" t="s">
        <v>317</v>
      </c>
    </row>
    <row r="101" spans="4:18" ht="20.100000000000001" customHeight="1" x14ac:dyDescent="0.25">
      <c r="D101" s="53" t="str">
        <f>INDEX(X_Table_Feedlot_MMS_Stage3,3,1)</f>
        <v>Anaerobic lagoon</v>
      </c>
      <c r="E101" s="53">
        <f>INDEX(X_Table_Feedlot_MMS_Stage3_Destinations,3,2)</f>
        <v>0.25</v>
      </c>
      <c r="F101" s="2" t="s">
        <v>317</v>
      </c>
    </row>
    <row r="102" spans="4:18" ht="20.100000000000001" customHeight="1" x14ac:dyDescent="0.25"/>
    <row r="103" spans="4:18" ht="20.100000000000001" customHeight="1" x14ac:dyDescent="0.25">
      <c r="D103" s="100" t="s">
        <v>238</v>
      </c>
      <c r="N103" s="100" t="s">
        <v>240</v>
      </c>
    </row>
    <row r="104" spans="4:18" ht="20.100000000000001" customHeight="1" x14ac:dyDescent="0.25">
      <c r="D104" s="99" t="s">
        <v>244</v>
      </c>
      <c r="N104" s="99" t="s">
        <v>241</v>
      </c>
    </row>
    <row r="105" spans="4:18" ht="20.100000000000001" customHeight="1" x14ac:dyDescent="0.25">
      <c r="D105" s="52" t="s">
        <v>64</v>
      </c>
      <c r="E105" s="52" t="s">
        <v>131</v>
      </c>
      <c r="F105" s="52" t="s">
        <v>132</v>
      </c>
      <c r="G105" s="52" t="s">
        <v>133</v>
      </c>
      <c r="N105" s="52" t="s">
        <v>64</v>
      </c>
      <c r="O105" s="52" t="s">
        <v>131</v>
      </c>
      <c r="P105" s="52" t="s">
        <v>132</v>
      </c>
      <c r="Q105" s="52" t="s">
        <v>133</v>
      </c>
    </row>
    <row r="106" spans="4:18" ht="20.100000000000001"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t="str">
        <f>$E$12</f>
        <v>kg N</v>
      </c>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t="str">
        <f>$E$12</f>
        <v>kg N</v>
      </c>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t="str">
        <f>$E$12</f>
        <v>kg N</v>
      </c>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4" t="s">
        <v>250</v>
      </c>
      <c r="E111" s="105">
        <f ca="1">SUM(E106:G109)</f>
        <v>2221.8698202508799</v>
      </c>
      <c r="F111" s="106" t="str">
        <f>$E$12</f>
        <v>kg N</v>
      </c>
      <c r="N111" s="104" t="s">
        <v>250</v>
      </c>
      <c r="O111" s="105">
        <f ca="1">SUM(O106:Q109)</f>
        <v>2221.8698202508799</v>
      </c>
      <c r="P111" s="106"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100000000000001" customHeight="1" x14ac:dyDescent="0.25">
      <c r="A13" s="18" t="s">
        <v>71</v>
      </c>
      <c r="M13" s="1"/>
    </row>
    <row r="14" spans="1:21" ht="20.100000000000001" customHeight="1" x14ac:dyDescent="0.25">
      <c r="A14" s="17" t="str">
        <f>HYPERLINK("#'4.1.1.1-2 Methane'!A1", "4.1.1.1-2 Methane")</f>
        <v>4.1.1.1-2 Methane</v>
      </c>
      <c r="M14" s="1"/>
    </row>
    <row r="15" spans="1:21" ht="20.100000000000001" customHeight="1" x14ac:dyDescent="0.25">
      <c r="A15" s="17" t="str">
        <f>HYPERLINK("#'4.1.1.3-4 Direct N20'!A1", "4.1.1.3-4 Direct N20")</f>
        <v>4.1.1.3-4 Direct N20</v>
      </c>
      <c r="D15" s="6" t="str" cm="1">
        <f t="array" ref="D15">SourceData_Feedlot.SourceData_Feedlot_AshContent_Title()</f>
        <v>Ash content of manure.</v>
      </c>
      <c r="M15" s="1"/>
    </row>
    <row r="16" spans="1:21" ht="20.100000000000001"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100000000000001"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100000000000001" customHeight="1" x14ac:dyDescent="0.25">
      <c r="M18" s="1"/>
    </row>
    <row r="19" spans="1:13" ht="20.100000000000001" customHeight="1" x14ac:dyDescent="0.25">
      <c r="M19" s="1"/>
    </row>
    <row r="20" spans="1:13" ht="20.100000000000001" customHeight="1" x14ac:dyDescent="0.25">
      <c r="A20" s="145" t="s">
        <v>1</v>
      </c>
      <c r="D20" s="6" t="str" cm="1">
        <f t="array" ref="D20">SourceData_Feedlot.SourceData_Feedlot_MethaneEmissionsPotential_Title()</f>
        <v>Methane emissions potential.</v>
      </c>
      <c r="M20" s="1"/>
    </row>
    <row r="21" spans="1:13" ht="20.100000000000001"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100000000000001"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HYPERLINK("#'Acknowledgements'!A1", "Acknowledgements")</f>
        <v>Acknowledgements</v>
      </c>
      <c r="M24" s="1"/>
    </row>
    <row r="25" spans="1:13" ht="20.100000000000001" customHeight="1" x14ac:dyDescent="0.25">
      <c r="A25" s="17" t="str">
        <f>HYPERLINK("#'Tab template'!A1", "Tab template")</f>
        <v>Tab template</v>
      </c>
      <c r="D25" s="6" t="s">
        <v>108</v>
      </c>
      <c r="G25" s="6" t="s">
        <v>266</v>
      </c>
      <c r="J25" s="6" t="s">
        <v>268</v>
      </c>
      <c r="M25" s="1"/>
    </row>
    <row r="26" spans="1:13" ht="20.100000000000001" customHeight="1" x14ac:dyDescent="0.25">
      <c r="M26" s="1"/>
    </row>
    <row r="27" spans="1:13" ht="20.100000000000001" customHeight="1" x14ac:dyDescent="0.25">
      <c r="D27" s="98" t="s">
        <v>64</v>
      </c>
      <c r="E27" s="38" t="s">
        <v>75</v>
      </c>
      <c r="G27" s="38" t="s">
        <v>267</v>
      </c>
      <c r="J27" s="38" t="s">
        <v>264</v>
      </c>
      <c r="M27" s="1"/>
    </row>
    <row r="28" spans="1:13" ht="20.100000000000001" customHeight="1" x14ac:dyDescent="0.25">
      <c r="D28" s="38" t="str">
        <f>'Constants - Livestock'!$E$16</f>
        <v>Drylot (feed pad)</v>
      </c>
      <c r="E28" s="38" t="str">
        <f>'Constants - Livestock'!$F$16</f>
        <v>Drylot (feed pad) (m=5)</v>
      </c>
      <c r="G28" s="38" t="str">
        <f>'Constants - Common'!$F$188</f>
        <v>Crop</v>
      </c>
      <c r="J28" s="38" t="s">
        <v>269</v>
      </c>
      <c r="M28" s="1"/>
    </row>
    <row r="29" spans="1:13" ht="20.100000000000001" customHeight="1" x14ac:dyDescent="0.25">
      <c r="D29" s="38" t="str">
        <f>'Constants - Livestock'!$E$15</f>
        <v>Solid storage</v>
      </c>
      <c r="E29" s="38" t="str">
        <f>'Constants - Livestock'!$F$15</f>
        <v>Solid storage (m=4)</v>
      </c>
      <c r="G29" s="1" t="str">
        <f>'Constants - Common'!$F$187</f>
        <v>Pasture</v>
      </c>
      <c r="J29" s="38" t="s">
        <v>270</v>
      </c>
      <c r="M29" s="1"/>
    </row>
    <row r="30" spans="1:13" ht="20.100000000000001" customHeight="1" x14ac:dyDescent="0.25">
      <c r="D30" s="38" t="str">
        <f>'Constants - Livestock'!$E$17</f>
        <v>Composting (passive windrow)</v>
      </c>
      <c r="E30" s="38" t="str">
        <f>'Constants - Livestock'!$F$17</f>
        <v>Composting (passive windrow) (m=6)</v>
      </c>
      <c r="J30" s="1" t="s">
        <v>271</v>
      </c>
      <c r="M30" s="1"/>
    </row>
    <row r="31" spans="1:13" ht="20.100000000000001" customHeight="1" x14ac:dyDescent="0.25">
      <c r="D31" s="38" t="str">
        <f>'Constants - Livestock'!$E$26</f>
        <v>Direct application</v>
      </c>
      <c r="E31" s="38" t="str">
        <f>'Constants - Livestock'!$F$26</f>
        <v>Direct application (m=13)</v>
      </c>
      <c r="J31" s="1" t="s">
        <v>272</v>
      </c>
      <c r="M31" s="1"/>
    </row>
    <row r="32" spans="1:13" ht="20.100000000000001" customHeight="1" x14ac:dyDescent="0.25">
      <c r="D32" s="1" t="str">
        <f>'Constants - Livestock'!$E$10</f>
        <v>Anaerobic lagoon</v>
      </c>
      <c r="E32" s="1" t="str">
        <f>'Constants - Livestock'!$F$10</f>
        <v>Anaerobic lagoon (m=1)</v>
      </c>
      <c r="J32" s="1" t="s">
        <v>273</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8" t="s">
        <v>125</v>
      </c>
      <c r="E38" s="38" t="s">
        <v>138</v>
      </c>
      <c r="M38" s="1"/>
    </row>
    <row r="39" spans="4:13" ht="20.100000000000001"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6" t="str" cm="1">
        <f t="array" ref="D46:D48">SourceData_Feedlot.SourceData_Feedlot_AnimalCharacteristics_Variation()</f>
        <v>VARIATION ON SOURCE:</v>
      </c>
      <c r="M46" s="23"/>
    </row>
    <row r="47" spans="4:13" ht="20.100000000000001" customHeight="1" x14ac:dyDescent="0.25">
      <c r="D47" s="56" t="str">
        <v>Moved feedlot types to a separate column to aid lookup.</v>
      </c>
      <c r="M47" s="23"/>
    </row>
    <row r="48" spans="4:13" ht="20.100000000000001" customHeight="1" x14ac:dyDescent="0.25">
      <c r="D48" s="56" t="str">
        <v>Named 'characteristic' column - original has header 'Unit' which covers two columns)</v>
      </c>
      <c r="M48" s="23"/>
    </row>
    <row r="49" spans="4:13" ht="20.100000000000001" customHeight="1" x14ac:dyDescent="0.25">
      <c r="D49" s="38" t="s">
        <v>125</v>
      </c>
      <c r="E49" s="38" t="s">
        <v>135</v>
      </c>
      <c r="F49" s="38" t="s">
        <v>16</v>
      </c>
      <c r="G49" s="38" t="s">
        <v>136</v>
      </c>
      <c r="H49" s="38" t="s">
        <v>127</v>
      </c>
      <c r="I49" s="38" t="s">
        <v>128</v>
      </c>
      <c r="J49" s="38" t="s">
        <v>129</v>
      </c>
      <c r="M49" s="23"/>
    </row>
    <row r="50" spans="4:13" ht="20.100000000000001"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6" t="str" cm="1">
        <f t="array" ref="D63:D65">SourceData_Feedlot.SourceData_Feedlot_DietProperties_Variation()</f>
        <v>VARIATION ON SOURCE:</v>
      </c>
      <c r="M63" s="23"/>
    </row>
    <row r="64" spans="4:13" ht="20.100000000000001" customHeight="1" x14ac:dyDescent="0.25">
      <c r="D64" s="56" t="str">
        <v>Added 'Converted to fraction column and converted NDF and Ether extract values to fractions.</v>
      </c>
      <c r="M64" s="23"/>
    </row>
    <row r="65" spans="4:13" ht="20.100000000000001" customHeight="1" x14ac:dyDescent="0.25">
      <c r="D65" s="56" t="str">
        <v>Moved feedlot types to a separate column to aid lookup.</v>
      </c>
      <c r="M65" s="23"/>
    </row>
    <row r="66" spans="4:13" ht="20.100000000000001" customHeight="1" x14ac:dyDescent="0.25">
      <c r="D66" s="38" t="s">
        <v>125</v>
      </c>
      <c r="E66" s="38" t="s">
        <v>126</v>
      </c>
      <c r="F66" s="38" t="s">
        <v>16</v>
      </c>
      <c r="G66" s="38" t="s">
        <v>127</v>
      </c>
      <c r="H66" s="38" t="s">
        <v>128</v>
      </c>
      <c r="I66" s="38" t="s">
        <v>129</v>
      </c>
      <c r="J66" s="38" t="s">
        <v>134</v>
      </c>
      <c r="M66" s="23"/>
    </row>
    <row r="67" spans="4:13" ht="20.100000000000001"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6" t="str" cm="1">
        <f t="array" ref="D83:D86">SourceData_Feedlot.SourceData_Feedlot_MCF_Variation()</f>
        <v>VARIATION ON SOURCE:</v>
      </c>
      <c r="M83" s="1"/>
    </row>
    <row r="84" spans="4:14" ht="20.100000000000001" customHeight="1" x14ac:dyDescent="0.25">
      <c r="D84" s="56" t="str">
        <v>Duplicated NSW values for ACT</v>
      </c>
      <c r="M84" s="1"/>
    </row>
    <row r="85" spans="4:14" ht="20.100000000000001" customHeight="1" x14ac:dyDescent="0.25">
      <c r="D85" s="56" t="str">
        <v>Added NT column that duplicates QLD values as per advice from source data provider.</v>
      </c>
      <c r="M85" s="1"/>
    </row>
    <row r="86" spans="4:14" ht="20.100000000000001" customHeight="1" x14ac:dyDescent="0.25">
      <c r="D86" s="56" t="str">
        <v>Added TAS column that duplicates VIC values as per advice from source data provider.</v>
      </c>
      <c r="M86" s="1"/>
    </row>
    <row r="87" spans="4:14" ht="20.100000000000001" customHeight="1" x14ac:dyDescent="0.25">
      <c r="M87" s="1"/>
    </row>
    <row r="88" spans="4:14" ht="20.100000000000001"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100000000000001"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6" t="str" cm="1">
        <f t="array" ref="D98:D99">SourceData_Feedlot.SourceData_Feedlot_NitrousOxideEFs_Variation()</f>
        <v>VARIATION ON SOURCE:</v>
      </c>
      <c r="M98" s="23"/>
    </row>
    <row r="99" spans="4:14" ht="20.100000000000001" customHeight="1" x14ac:dyDescent="0.25">
      <c r="D99" s="56" t="str">
        <v>Added 'NIR definition' column with MMS names that match NIR definitions.</v>
      </c>
      <c r="M99" s="23"/>
    </row>
    <row r="100" spans="4:14" ht="20.100000000000001" customHeight="1" x14ac:dyDescent="0.25">
      <c r="D100" s="38" t="s">
        <v>103</v>
      </c>
      <c r="E100" s="38" t="s">
        <v>98</v>
      </c>
      <c r="F100" s="38" t="s">
        <v>139</v>
      </c>
      <c r="G100" s="38" t="s">
        <v>93</v>
      </c>
      <c r="M100" s="1"/>
      <c r="N100" s="23"/>
    </row>
    <row r="101" spans="4:14" ht="20.100000000000001"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6" t="str" cm="1">
        <f t="array" ref="D110:D111">SourceData_Feedlot.SourceData_Feedlot_FracNVolatilised_Variation()</f>
        <v>VARIATION ON SOURCE:</v>
      </c>
      <c r="M110" s="23"/>
    </row>
    <row r="111" spans="4:14" ht="20.100000000000001" customHeight="1" x14ac:dyDescent="0.25">
      <c r="D111" s="56" t="str">
        <v>Added 'NIR definition' column with MMS names that match NIR definitions.</v>
      </c>
      <c r="M111" s="23"/>
    </row>
    <row r="112" spans="4:14" ht="20.100000000000001" customHeight="1" x14ac:dyDescent="0.25">
      <c r="D112" s="110" t="s">
        <v>103</v>
      </c>
      <c r="E112" s="110" t="s">
        <v>98</v>
      </c>
      <c r="F112" s="110" t="s">
        <v>140</v>
      </c>
      <c r="G112" s="110" t="s">
        <v>93</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502F3-860F-4278-BB91-7DE8573C7AD4}">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8" t="s">
        <v>18</v>
      </c>
      <c r="E6" s="38" t="s">
        <v>19</v>
      </c>
      <c r="F6" s="38" t="s">
        <v>20</v>
      </c>
    </row>
    <row r="7" spans="1:65" ht="20.100000000000001" customHeight="1" x14ac:dyDescent="0.25">
      <c r="A7" s="67"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292</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261</v>
      </c>
      <c r="E186" s="38" t="s">
        <v>262</v>
      </c>
      <c r="F186" s="38" t="s">
        <v>263</v>
      </c>
      <c r="G186" s="38" t="s">
        <v>264</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293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295</v>
      </c>
      <c r="E212" s="38" t="s">
        <v>296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345</v>
      </c>
      <c r="E257" s="38" t="s">
        <v>346</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358</v>
      </c>
    </row>
    <row r="264" spans="4:6" x14ac:dyDescent="0.25">
      <c r="D264" s="1" t="s">
        <v>359</v>
      </c>
    </row>
    <row r="265" spans="4:6" x14ac:dyDescent="0.25">
      <c r="D265" s="38" t="s">
        <v>360</v>
      </c>
      <c r="E265" s="38" t="s">
        <v>361</v>
      </c>
      <c r="F265" s="38" t="s">
        <v>362</v>
      </c>
    </row>
    <row r="266" spans="4:6" x14ac:dyDescent="0.25">
      <c r="D266" s="38" t="s">
        <v>363</v>
      </c>
      <c r="E266" s="38" t="s">
        <v>364</v>
      </c>
      <c r="F266" s="38">
        <v>5</v>
      </c>
    </row>
    <row r="267" spans="4:6" x14ac:dyDescent="0.25">
      <c r="D267" s="38" t="s">
        <v>365</v>
      </c>
      <c r="E267" s="38" t="s">
        <v>366</v>
      </c>
      <c r="F267" s="38">
        <v>4</v>
      </c>
    </row>
    <row r="268" spans="4:6" x14ac:dyDescent="0.25">
      <c r="D268" s="38" t="s">
        <v>367</v>
      </c>
      <c r="E268" s="38" t="s">
        <v>368</v>
      </c>
      <c r="F268" s="38">
        <v>3</v>
      </c>
    </row>
    <row r="269" spans="4:6" x14ac:dyDescent="0.25">
      <c r="D269" s="38" t="s">
        <v>369</v>
      </c>
      <c r="E269" s="38" t="s">
        <v>370</v>
      </c>
      <c r="F269" s="38">
        <v>2</v>
      </c>
    </row>
    <row r="270" spans="4:6" x14ac:dyDescent="0.25">
      <c r="D270" s="38" t="s">
        <v>371</v>
      </c>
      <c r="E270" s="38" t="s">
        <v>372</v>
      </c>
      <c r="F270" s="38">
        <v>1</v>
      </c>
    </row>
    <row r="273" spans="4:6" x14ac:dyDescent="0.25">
      <c r="D273" s="1" t="s">
        <v>373</v>
      </c>
    </row>
    <row r="274" spans="4:6" x14ac:dyDescent="0.25">
      <c r="D274" s="38" t="s">
        <v>360</v>
      </c>
      <c r="E274" s="38" t="s">
        <v>361</v>
      </c>
      <c r="F274" s="38" t="s">
        <v>362</v>
      </c>
    </row>
    <row r="275" spans="4:6" x14ac:dyDescent="0.25">
      <c r="D275" s="38" t="s">
        <v>374</v>
      </c>
      <c r="E275" s="38" t="s">
        <v>375</v>
      </c>
      <c r="F275" s="38">
        <v>5</v>
      </c>
    </row>
    <row r="276" spans="4:6" x14ac:dyDescent="0.25">
      <c r="D276" s="38" t="s">
        <v>376</v>
      </c>
      <c r="E276" s="38" t="s">
        <v>377</v>
      </c>
      <c r="F276" s="38">
        <v>4</v>
      </c>
    </row>
    <row r="277" spans="4:6" x14ac:dyDescent="0.25">
      <c r="D277" s="38" t="s">
        <v>378</v>
      </c>
      <c r="E277" s="38" t="s">
        <v>379</v>
      </c>
      <c r="F277" s="38">
        <v>3</v>
      </c>
    </row>
    <row r="278" spans="4:6" x14ac:dyDescent="0.25">
      <c r="D278" s="38" t="s">
        <v>380</v>
      </c>
      <c r="E278" s="38" t="s">
        <v>381</v>
      </c>
      <c r="F278" s="38">
        <v>2</v>
      </c>
    </row>
    <row r="279" spans="4:6" x14ac:dyDescent="0.25">
      <c r="D279" s="38" t="s">
        <v>382</v>
      </c>
      <c r="E279" s="38" t="s">
        <v>383</v>
      </c>
      <c r="F279" s="38">
        <v>1</v>
      </c>
    </row>
    <row r="282" spans="4:6" x14ac:dyDescent="0.25">
      <c r="D282" s="1" t="s">
        <v>384</v>
      </c>
    </row>
    <row r="283" spans="4:6" x14ac:dyDescent="0.25">
      <c r="D283" s="38" t="s">
        <v>360</v>
      </c>
      <c r="E283" s="38" t="s">
        <v>361</v>
      </c>
      <c r="F283" s="38" t="s">
        <v>362</v>
      </c>
    </row>
    <row r="284" spans="4:6" x14ac:dyDescent="0.25">
      <c r="D284" s="38" t="s">
        <v>385</v>
      </c>
      <c r="E284" s="38" t="s">
        <v>386</v>
      </c>
      <c r="F284" s="38">
        <v>5</v>
      </c>
    </row>
    <row r="285" spans="4:6" x14ac:dyDescent="0.25">
      <c r="D285" s="38" t="s">
        <v>387</v>
      </c>
      <c r="E285" s="38" t="s">
        <v>388</v>
      </c>
      <c r="F285" s="38">
        <v>4</v>
      </c>
    </row>
    <row r="286" spans="4:6" x14ac:dyDescent="0.25">
      <c r="D286" s="38" t="s">
        <v>389</v>
      </c>
      <c r="E286" s="38" t="s">
        <v>390</v>
      </c>
      <c r="F286" s="38">
        <v>3</v>
      </c>
    </row>
    <row r="287" spans="4:6" x14ac:dyDescent="0.25">
      <c r="D287" s="38" t="s">
        <v>391</v>
      </c>
      <c r="E287" s="38" t="s">
        <v>392</v>
      </c>
      <c r="F287" s="38">
        <v>2</v>
      </c>
    </row>
    <row r="288" spans="4:6" x14ac:dyDescent="0.25">
      <c r="D288" s="38" t="s">
        <v>393</v>
      </c>
      <c r="E288" s="38" t="s">
        <v>394</v>
      </c>
      <c r="F288" s="38">
        <v>1</v>
      </c>
    </row>
    <row r="291" spans="4:6" x14ac:dyDescent="0.25">
      <c r="D291" s="1" t="s">
        <v>395</v>
      </c>
    </row>
    <row r="292" spans="4:6" x14ac:dyDescent="0.25">
      <c r="D292" s="38" t="s">
        <v>360</v>
      </c>
      <c r="E292" s="38" t="s">
        <v>361</v>
      </c>
      <c r="F292" s="38" t="s">
        <v>362</v>
      </c>
    </row>
    <row r="293" spans="4:6" x14ac:dyDescent="0.25">
      <c r="D293" s="38" t="s">
        <v>396</v>
      </c>
      <c r="E293" s="38" t="s">
        <v>397</v>
      </c>
      <c r="F293" s="38">
        <v>5</v>
      </c>
    </row>
    <row r="294" spans="4:6" x14ac:dyDescent="0.25">
      <c r="D294" s="38" t="s">
        <v>398</v>
      </c>
      <c r="E294" s="38" t="s">
        <v>399</v>
      </c>
      <c r="F294" s="38">
        <v>4</v>
      </c>
    </row>
    <row r="295" spans="4:6" x14ac:dyDescent="0.25">
      <c r="D295" s="38" t="s">
        <v>400</v>
      </c>
      <c r="E295" s="38" t="s">
        <v>401</v>
      </c>
      <c r="F295" s="38">
        <v>3</v>
      </c>
    </row>
    <row r="296" spans="4:6" x14ac:dyDescent="0.25">
      <c r="D296" s="38" t="s">
        <v>402</v>
      </c>
      <c r="E296" s="38" t="s">
        <v>403</v>
      </c>
      <c r="F296" s="38">
        <v>2</v>
      </c>
    </row>
    <row r="297" spans="4:6" x14ac:dyDescent="0.25">
      <c r="D297" s="38" t="s">
        <v>404</v>
      </c>
      <c r="E297" s="38" t="s">
        <v>405</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67" t="str">
        <f>HYPERLINK("#'Constants - Livestock'!A1", "Constants - Livestock")</f>
        <v>Constants -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5" sqref="A25"/>
    </sheetView>
  </sheetViews>
  <sheetFormatPr defaultRowHeight="15" x14ac:dyDescent="0.25"/>
  <sheetData>
    <row r="1" spans="1:1" x14ac:dyDescent="0.25">
      <c r="A1" t="s">
        <v>406</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67" t="str">
        <f>HYPERLINK("#'Acknowledgements'!A1", "Acknowledgements")</f>
        <v>Acknowledgements</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HYPERLINK("#'4.1.1.1-2 Methane'!A1", "4.1.1.1-2 Methane")</f>
        <v>4.1.1.1-2 Methane</v>
      </c>
    </row>
    <row r="15" spans="1:21" ht="20.100000000000001" customHeight="1" x14ac:dyDescent="0.25">
      <c r="A15" s="17" t="str">
        <f>HYPERLINK("#'4.1.1.3-4 Direct N20'!A1", "4.1.1.3-4 Direct N20")</f>
        <v>4.1.1.3-4 Direct N20</v>
      </c>
    </row>
    <row r="16" spans="1:21" ht="20.100000000000001" customHeight="1" x14ac:dyDescent="0.25">
      <c r="A16" s="17" t="str">
        <f>HYPERLINK("#'4.1.1.5-6 Atmos Deposition'!A1", "4.1.1.5-6 Atmos Deposition")</f>
        <v>4.1.1.5-6 Atmos Deposition</v>
      </c>
    </row>
    <row r="17" spans="1:1" ht="20.100000000000001" customHeight="1" x14ac:dyDescent="0.25">
      <c r="A17" s="17" t="str">
        <f>HYPERLINK("#'4.1.1.9 Manure applied to soils'!A1", "4.1.1.9 Manure applied to soils")</f>
        <v>4.1.1.9 Manure applied to soils</v>
      </c>
    </row>
    <row r="18" spans="1:1" ht="20.100000000000001" customHeight="1" x14ac:dyDescent="0.25"/>
    <row r="19" spans="1:1" ht="20.100000000000001" customHeight="1" x14ac:dyDescent="0.25"/>
    <row r="20" spans="1:1" ht="20.100000000000001" customHeight="1" x14ac:dyDescent="0.25">
      <c r="A20" s="145" t="s">
        <v>1</v>
      </c>
    </row>
    <row r="21" spans="1:1" ht="20.100000000000001" customHeight="1" x14ac:dyDescent="0.25">
      <c r="A21" s="17" t="str">
        <f>HYPERLINK("#'Constants - Feedlot'!A1", "Constants - Feedlot")</f>
        <v>Constants - Feedlot</v>
      </c>
    </row>
    <row r="22" spans="1:1" ht="20.100000000000001" customHeight="1" x14ac:dyDescent="0.25">
      <c r="A22" s="17" t="str">
        <f>HYPERLINK("#'Constants - Common'!A1", "Constants - Common")</f>
        <v>Constants - Common</v>
      </c>
    </row>
    <row r="23" spans="1:1" ht="20.100000000000001" customHeight="1" x14ac:dyDescent="0.25">
      <c r="A23" s="17" t="str">
        <f>HYPERLINK("#'Constants - Livestock'!A1", "Constants - Livestock")</f>
        <v>Constants - Livestock</v>
      </c>
    </row>
    <row r="24" spans="1:1" ht="20.100000000000001" customHeight="1" x14ac:dyDescent="0.25">
      <c r="A24" s="17" t="str">
        <f>HYPERLINK("#'Acknowledgements'!A1", "Acknowledgements")</f>
        <v>Acknowledgements</v>
      </c>
    </row>
    <row r="25" spans="1:1" ht="20.100000000000001" customHeight="1" x14ac:dyDescent="0.25">
      <c r="A25" s="67" t="str">
        <f>HYPERLINK("#'Tab template'!A1", "Tab template")</f>
        <v>Tab template</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102</vt:i4>
      </vt:variant>
    </vt:vector>
  </HeadingPairs>
  <TitlesOfParts>
    <vt:vector size="116"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