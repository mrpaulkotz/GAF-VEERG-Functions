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FE3C580-280D-4490-A5B0-8BB1DB9ACFD8}" xr6:coauthVersionLast="47" xr6:coauthVersionMax="47" xr10:uidLastSave="{00000000-0000-0000-0000-000000000000}"/>
  <bookViews>
    <workbookView xWindow="1080" yWindow="300" windowWidth="37170" windowHeight="19920" activeTab="1"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6"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P68" i="82"/>
  <c r="G68" i="82"/>
  <c r="I60" i="82"/>
  <c r="I59" i="82"/>
  <c r="R215" i="76"/>
  <c r="G215" i="76"/>
  <c r="I190" i="76"/>
  <c r="P174" i="69"/>
  <c r="G174" i="69"/>
  <c r="I115" i="69"/>
  <c r="R113" i="69"/>
  <c r="O89" i="69"/>
  <c r="O88" i="69"/>
  <c r="O87" i="69"/>
  <c r="I75" i="69"/>
  <c r="R47" i="69"/>
  <c r="I47" i="69"/>
  <c r="E33" i="15"/>
  <c r="E32" i="15"/>
  <c r="E31" i="15"/>
  <c r="E30" i="15"/>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c r="D45" i="106" a="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c r="D35" i="106" a="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c r="D5" i="106" a="1"/>
  <c r="A3" i="106"/>
  <c r="A8" i="71"/>
  <c r="A7" i="71"/>
  <c r="A3" i="71"/>
  <c r="E29" i="15"/>
  <c r="E13" i="15"/>
  <c r="D9" i="70" s="1"/>
  <c r="A25" i="74"/>
  <c r="A24" i="74"/>
  <c r="A23" i="74"/>
  <c r="A22" i="74"/>
  <c r="A21" i="74"/>
  <c r="A17" i="74"/>
  <c r="A16" i="74"/>
  <c r="A15" i="74"/>
  <c r="A14" i="74"/>
  <c r="A10" i="74"/>
  <c r="A9" i="74"/>
  <c r="A5" i="74"/>
  <c r="A4" i="74"/>
  <c r="A3" i="74"/>
  <c r="A25" i="43"/>
  <c r="A24" i="43"/>
  <c r="A23" i="43"/>
  <c r="A22" i="43"/>
  <c r="A21" i="43"/>
  <c r="A17" i="43"/>
  <c r="A16" i="43"/>
  <c r="A15" i="43"/>
  <c r="A14" i="43"/>
  <c r="A10" i="43"/>
  <c r="A9" i="43"/>
  <c r="A5" i="43"/>
  <c r="A4" i="43"/>
  <c r="A3" i="43"/>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H51" i="106" l="1"/>
  <c r="H54" i="106"/>
  <c r="H48" i="106"/>
  <c r="H52" i="106"/>
  <c r="H50" i="106"/>
  <c r="H53" i="106"/>
  <c r="H49" i="106"/>
  <c r="D8" i="70"/>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2" a="1"/>
  <c r="E7" i="81" a="1"/>
  <c r="E67" i="81" a="1"/>
  <c r="E181" i="76"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155" i="76" a="1"/>
  <c r="E36" i="76" a="1"/>
  <c r="E60" i="76" a="1"/>
  <c r="E7" i="76" a="1"/>
  <c r="E135" i="76" a="1"/>
  <c r="E112" i="76" a="1"/>
  <c r="E89"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7" i="69" a="1"/>
  <c r="E36"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97" i="76" s="1"/>
  <c r="E152" i="69"/>
  <c r="N57" i="81"/>
  <c r="N152" i="69"/>
  <c r="D99" i="81"/>
  <c r="D32" i="81"/>
  <c r="E32" i="81" s="1"/>
  <c r="M42" i="82"/>
  <c r="D42" i="82"/>
  <c r="N166" i="69"/>
  <c r="N88" i="69"/>
  <c r="D25" i="82"/>
  <c r="E166" i="69"/>
  <c r="O175" i="76"/>
  <c r="E88" i="69"/>
  <c r="F88" i="69" s="1" a="1"/>
  <c r="F88" i="69" s="1"/>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<sst xmlns="http://schemas.openxmlformats.org/spreadsheetml/2006/main" count="898" uniqueCount="407">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</sst>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7EA89D-ED63-4F20-B648-63035AA0331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6F7F04-A704-42B7-90E6-50FFAF320098}" name="State/Territory">
      <calculatedColumnFormula array="1">Common_InputFunctions.Utility_DisplayArrayInTable(Common_SourceData.Common_SourceData_AustralianStatesTerritories_Data(),Table_AustralianStates[[#Headers],[State/Territory]],0)</calculatedColumnFormula>
    </tableColumn>
    <tableColumn id="2" xr3:uid="{F3000B37-6A76-421C-B752-E2AC28FF687D}" name="Common Name">
      <calculatedColumnFormula array="1">Common_InputFunctions.Utility_DisplayArrayInTable(Common_SourceData.Common_SourceData_AustralianStatesTerritories_Data(),Table_AustralianStates[[#Headers],[State/Territory]],0)</calculatedColumnFormula>
    </tableColumn>
    <tableColumn id="3" xr3:uid="{2EC40060-BE4A-4651-9C17-9FEE8A7FADA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52D110-D7FA-46DF-8FDF-50ADA5B8D899}" name="Table_WASA4Areas" displayName="Table_WASA4Areas" ref="D20:D30" totalsRowShown="0">
  <autoFilter ref="D20:D30" xr:uid="{5FA81339-C6C8-4D36-BEEA-6C4AEDD9E676}">
    <filterColumn colId="0" hiddenButton="1"/>
  </autoFilter>
  <tableColumns count="1">
    <tableColumn id="1" xr3:uid="{C26F4198-9663-4E7D-AF03-E4959B35384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4226C40-2BBC-496A-B2E0-61D406610B88}" name="Table_GWPData" displayName="Table_GWPData" ref="D36:E43" totalsRowShown="0">
  <autoFilter ref="D36:E43" xr:uid="{B8E87A66-3E41-4AD3-925D-01EE21B43D7A}">
    <filterColumn colId="0" hiddenButton="1"/>
    <filterColumn colId="1" hiddenButton="1"/>
  </autoFilter>
  <tableColumns count="2">
    <tableColumn id="1" xr3:uid="{61A75658-05EE-42FF-A12F-1BD5CCC6EA50}" name="Gas">
      <calculatedColumnFormula array="1">Common_InputFunctions.Utility_DisplayArrayInTable(Common_SourceData.Common_SourceData_GWP_Data(), Table_GWPData[[#Headers],[Gas]], 0)</calculatedColumnFormula>
    </tableColumn>
    <tableColumn id="2" xr3:uid="{81807736-2098-4DE3-AF00-6076AABC923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E6ABE54-6ED4-48D5-829A-AABEFA545F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9AE4552-C90E-409E-81DD-12143AAC320B}" name="Gas">
      <calculatedColumnFormula array="1">Common_InputFunctions.Utility_DisplayArrayInTable(Common_SourceData.Common_SourceData_ConvertGasElementalToMolecular_Data(),Table_GasToMolecularConversionFactor[[#Headers],[Gas]], 0)</calculatedColumnFormula>
    </tableColumn>
    <tableColumn id="5" xr3:uid="{61481A1E-139A-42A3-87C1-3D2B887A42DA}" name="Conversion factor">
      <calculatedColumnFormula array="1">Common_InputFunctions.Utility_DisplayArrayInTable(Common_SourceData.Common_SourceData_ConvertGasElementalToMolecular_Data(),Table_GasToMolecularConversionFactor[[#Headers],[Gas]], 0)</calculatedColumnFormula>
    </tableColumn>
    <tableColumn id="2" xr3:uid="{74CE7FD0-32D6-4426-A5BF-3B28B32CEF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04D84CA-04DA-472B-99C1-B2B6EB54F6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6FF847-A99F-47A7-8E70-6DE89901B2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EE6952-C576-40A5-B3D3-5878A9A533F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D3BFFF-B3E2-4CA7-BA31-8916CE18F92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C10F859-2ECA-4663-89AC-125865DD5BC3}" name="MAT"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3" xr3:uid="{93432CF1-ACDA-4007-90C2-46CDFED0FE61}" name="MAP"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4" xr3:uid="{369B85A7-DA47-4A2E-B4CB-9607297BDAE8}" name="Frost days per year"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5" xr3:uid="{A2BF0949-C289-45EC-8383-310C6890B057}" name="Elevation"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6" xr3:uid="{60237139-323B-4328-B7C0-522F7A1CB32F}" name="MAP:PE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7" xr3:uid="{9EAC10D6-CE2F-49AE-9A8B-E2E0FC881D22}" name="Min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8" xr3:uid="{AEDC1287-B9AE-4427-BDEB-3C8AD3D7502D}" name="Max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9" xr3:uid="{E810DD86-4129-4C6F-B007-4EBB85F557CE}" name="Min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0" xr3:uid="{1DD484CE-DCAC-4C45-AC85-501CB661F17E}" name="Max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1" xr3:uid="{ABCC129F-6D96-406C-BDCE-665C9FE7616C}" name="Min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5" xr3:uid="{780ADD70-7139-40E7-A4F4-7CDFCCC4D847}" name="Max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2" xr3:uid="{203E5454-313A-4934-8269-C6BAF602861B}" name="Min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6" xr3:uid="{6F92D3B1-0744-4C6E-8750-65FF6F95096E}" name="Max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3" xr3:uid="{C3AAB1D7-2E7A-4562-ABB4-92F7C0864A8E}" name="Min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7" xr3:uid="{D20983EF-5C2D-4B53-AF35-A659F842318C}" name="Max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7C8927-F7B7-4D06-8B9D-DE2D0520840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124BBC2-1B94-42CF-8AC8-DF4A25A7B2C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36F6F35-AF43-4ABB-90A5-0666D838904E}" name="Wet or Dry Zone" totalsRowDxfId="4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A158AB-0395-49AB-95C6-27FAA0E57B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9541DB0-7A44-4B20-B2B5-F3C2E02201FE}" name="Temperature Zone">
      <calculatedColumnFormula array="1">Common_InputFunctions.Utility_DisplayArrayInTable(Common_SourceData.Common_SourceData_TemperatureZones_Data(),Table_SourceData_TemperatureZones[[#Headers],[Temperature Zone]],0)</calculatedColumnFormula>
    </tableColumn>
    <tableColumn id="2" xr3:uid="{873F6514-DCB4-46F5-901D-61CA79A3117B}" name="MAT">
      <calculatedColumnFormula array="1">Common_InputFunctions.Utility_DisplayArrayInTable(Common_SourceData.Common_SourceData_TemperatureZones_Data(),Table_SourceData_TemperatureZones[[#Headers],[Temperature Zone]],0)</calculatedColumnFormula>
    </tableColumn>
    <tableColumn id="3" xr3:uid="{FADD8036-4F96-4216-94A1-5BC107DFF23A}" name="Min MAT">
      <calculatedColumnFormula array="1">Common_InputFunctions.Utility_DisplayArrayInTable(Common_SourceData.Common_SourceData_TemperatureZones_Data(),Table_SourceData_TemperatureZones[[#Headers],[Temperature Zone]],0)</calculatedColumnFormula>
    </tableColumn>
    <tableColumn id="4" xr3:uid="{604EB7BD-589A-4CE3-87EA-64333C3C463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1372755-25ED-4553-9FD9-8DC1D39646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A88149-AF4F-444F-9010-F7F01C70A934}" name="Rainfall Zone">
      <calculatedColumnFormula array="1">Common_InputFunctions.Utility_DisplayArrayInTable(Common_SourceData.Common_SourceData_RainfallZones_Data(),Table_SourceData_RainfallZones[[#Headers],[Rainfall Zone]],0)</calculatedColumnFormula>
    </tableColumn>
    <tableColumn id="2" xr3:uid="{896A8369-4A00-4951-97DF-CEB08A42B949}" name="Annual rainfall">
      <calculatedColumnFormula array="1">Common_InputFunctions.Utility_DisplayArrayInTable(Common_SourceData.Common_SourceData_RainfallZones_Data(),Table_SourceData_RainfallZones[[#Headers],[Rainfall Zone]],0)</calculatedColumnFormula>
    </tableColumn>
    <tableColumn id="3" xr3:uid="{3FD719C1-DA25-486C-8580-BDAF3DEC6732}" name="Min rainfall">
      <calculatedColumnFormula array="1">Common_InputFunctions.Utility_DisplayArrayInTable(Common_SourceData.Common_SourceData_RainfallZones_Data(),Table_SourceData_RainfallZones[[#Headers],[Rainfall Zone]],0)</calculatedColumnFormula>
    </tableColumn>
    <tableColumn id="4" xr3:uid="{B2E30F4C-6BA3-4780-96AA-8CAE7ED62E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E74E8-6327-4BF4-A5FB-B1A7EDAD2A5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3E12D70-8A6D-43A8-A8C6-1ED09237C734}" name="Leaching Zone">
      <calculatedColumnFormula array="1">Common_InputFunctions.Utility_DisplayArrayInTable(Common_SourceData.Common_SourceData_LeachingZones_Data(), Table_SourceData_LeachingZones[[#Headers],[Leaching Zone]], 0)</calculatedColumnFormula>
    </tableColumn>
    <tableColumn id="2" xr3:uid="{AE5468C2-CA5A-46CB-AF65-52C9ADEA22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2447C6F-7630-490C-AA0C-974FF092EA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806E290-D755-4A68-9C18-14C54A91F7C9}" name="Data source">
      <calculatedColumnFormula array="1">Common_InputFunctions.Utility_DisplayArrayInTable(Common_SourceData.Common_SourceData_DataScores_Scope3_Data(), Table_SourceData_DataScores_Scope3[[#Headers],[Data source]], 0)</calculatedColumnFormula>
    </tableColumn>
    <tableColumn id="2" xr3:uid="{E295B2BD-6E5A-48EC-AD28-7D88AEFF972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C27A366-F39C-4A2C-9FB0-BCED1B8A4C25}" name="Table_SourceData_FracWET" displayName="Table_SourceData_FracWET" ref="D134:E136" totalsRowShown="0">
  <autoFilter ref="D134:E136" xr:uid="{308E99BE-FE1F-47A4-B2CA-97217277C4E9}">
    <filterColumn colId="0" hiddenButton="1"/>
    <filterColumn colId="1" hiddenButton="1"/>
  </autoFilter>
  <tableColumns count="2">
    <tableColumn id="1" xr3:uid="{E9B42BED-9AB7-4E70-B01D-23DCF7A51EF6}" name="Is in leaching zone">
      <calculatedColumnFormula array="1">Common_InputFunctions.Utility_DisplayArrayInTable(Common_SourceData.Common_SourceData_FracWET_Data(),Table_SourceData_FracWET[[#Headers],[Is in leaching zone]],0)</calculatedColumnFormula>
    </tableColumn>
    <tableColumn id="2" xr3:uid="{ED4B5D61-D65C-4A8D-9881-59B5822D1C2F}" name="FracWET" dataDxfId="4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0182A4C-FD1B-42C5-ADA1-D0922CEB70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6C5601E-AE8C-45CE-B033-CC1F3A334F16}" name="Production system j">
      <calculatedColumnFormula array="1">Common_InputFunctions.Utility_DisplayArrayInTable(Common_SourceData.Common_SourceData_EFN2O_Data(), Table_SourceData_Common_EFN2O[[#Headers],[Production system j]], 0)</calculatedColumnFormula>
    </tableColumn>
    <tableColumn id="2" xr3:uid="{FC750381-E6FC-4424-A90E-AAD69DB211FC}" name="EFN2O">
      <calculatedColumnFormula array="1">Common_InputFunctions.Utility_DisplayArrayInTable(Common_SourceData.Common_SourceData_EFN2O_Data(), Table_SourceData_Common_EFN2O[[#Headers],[Production system j]], 0)</calculatedColumnFormula>
    </tableColumn>
    <tableColumn id="3" xr3:uid="{1409F416-5CF2-494A-BF12-C5A7BF990C4C}" name="Production system only">
      <calculatedColumnFormula array="1">Common_InputFunctions.Utility_DisplayArrayInTable(Common_SourceData.Common_SourceData_EFN2O_Data(), Table_SourceData_Common_EFN2O[[#Headers],[Production system j]], 0)</calculatedColumnFormula>
    </tableColumn>
    <tableColumn id="4" xr3:uid="{BC640B0C-624E-4406-9647-4661A4C3CF86}" name="Irrigation method">
      <calculatedColumnFormula array="1">Common_InputFunctions.Utility_DisplayArrayInTable(Common_SourceData.Common_SourceData_EFN2O_Data(), Table_SourceData_Common_EFN2O[[#Headers],[Production system j]], 0)</calculatedColumnFormula>
    </tableColumn>
    <tableColumn id="5" xr3:uid="{A358B440-E53B-46CF-8131-9EC21490F5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13E3437-5838-4BD7-8F2C-1E960BECB17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C925E3F-90AE-42B3-B0B0-10F1F15D5A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A1486F8-4BDE-41EA-8F12-3E72965D7D17}" name="FracWET" dataDxfId="4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783DCF2-FAB7-4E36-80B6-E3766A33287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2A3484-4576-400B-BF02-2BA2BA15CC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CC4379D-8655-422B-8FF0-AA17854FAF7A}" name="EFPRP" dataDxfId="4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14D05E-6D84-4432-BD1A-AAEDE4FAFB7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CF204F-F10B-4B5B-888D-ADADD76441CE}" name="Month">
      <calculatedColumnFormula array="1">Common_InputFunctions.Utility_DisplayArrayInTable(Common_SourceData.Common_SourceData_MonthsToSeasons_Data(), Table_SourceData_Common_MonthToSeason[[#Headers],[Month]], 0)</calculatedColumnFormula>
    </tableColumn>
    <tableColumn id="2" xr3:uid="{E57B1625-54DC-4874-BABD-B416E1672579}" name="Season" dataDxfId="4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47E01-AA53-4CC3-9E00-5A5CD66A41A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875EDE-D48C-4226-B7B5-C89CE3CCEC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FD9B489-459F-4C1C-A691-D7299F05307C}" name="MAT (ºC)"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0F9497-50B5-4622-A29A-1FF792C7B756}" name="Anaerobic lagoon"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7ADA9D-0BBA-460C-A091-FE2D703131C2}" name="Digester / covered lagoon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CA6C83A-48C8-423F-BE78-D5C44B180809}" name="Liquid system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81FC88F-1BE0-4B3B-8B4D-226D9D65F3F9}" name="Daily spread"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8DF2DEC-849E-4A8C-8CA4-1A5192E8BB52}" name="Composting (passive windrow)"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D9BC3D-57AE-48D5-8F71-C55A3FA11F83}" name="Solid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DDB6C5-EE65-4168-93E2-97BEE76C5E7B}" name="Pit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E5C7ACC-B6D6-4F0F-8703-B9749788359A}" name="Deep litter"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0BA4C-6CD9-4A01-9C0F-BF226691E3AA}" name="Poultry manure with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489225D-63F0-4A3C-8555-D46DABE80699}" name="Poultry manure without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D70B15-477A-45F6-B4BA-900CAD8D193C}" name="Direct process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4A73B9B-ABA2-4381-908F-F542549755EF}" name="Direct applicati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BA161CC-FBF1-4D0A-B450-AAF38252E3BC}" name="Pasture range and paddock"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48E0045-5DC2-4910-9A85-04EA9DE961FA}" name="MAT ra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9B59D3-028F-4908-B78C-BFC042336F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6E915B-7EB3-472E-9579-D58D9E97CC9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567BFB-ECB1-4C92-8622-396B0559A2E1}" name="EFNi &amp; EFN2Oi" dataDxfId="2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1C32FB-9502-43AE-9377-E3370D3A68A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7EF746D-311C-47D7-BC8B-BA248A71090E}" name="Description" dataDxfId="28" dataCellStyle="Content normal"/>
    <tableColumn id="1" xr3:uid="{54C0B6F9-435C-46D7-ACA0-A27133C12E22}" name="ID"/>
    <tableColumn id="3" xr3:uid="{F0F028F8-E2FB-4F8F-A065-BD1D2F6572C1}"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9178CB8-A4DF-4882-9C11-1E5CD689479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34CF320-D353-44DA-AA58-4D4148380DC3}" name="Description"/>
    <tableColumn id="2" xr3:uid="{4F25DBF4-AC0F-424C-B6D5-D6380F224878}" name="ID"/>
    <tableColumn id="3" xr3:uid="{DC6D70C8-D3CD-4EAB-8492-BB1C192D3C7B}"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6A95753-DB21-4851-BC28-A42F6330CB4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750C5D5-77BF-4C5D-B3DD-DE4E78212A22}" name="Description"/>
    <tableColumn id="2" xr3:uid="{441EA0E9-746A-4934-8B63-1E18E687E016}" name="ID"/>
    <tableColumn id="3" xr3:uid="{E74A744A-E9D1-4118-8AC5-8117B352D1F0}"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A691A2-5E29-4CD7-9EF0-1D6FC0C9559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CCF145B-0804-482E-B169-2B20615C2804}" name="Description"/>
    <tableColumn id="2" xr3:uid="{83AC46A7-914A-44C6-8498-5723FF9CEF32}" name="ID"/>
    <tableColumn id="3" xr3:uid="{13CC559F-1DC5-4891-8E66-FC76D1650A4B}"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5" sqref="A25"/>
    </sheetView>
  </sheetViews>
  <sheetFormatPr defaultRowHeight="15" x14ac:dyDescent="0.25"/>
  <sheetData>
    <row r="1" spans="1:1" x14ac:dyDescent="0.25">
      <c r="A1" t="s">
        <v>357</v>
      </c>
    </row>
    <row r="3" spans="1:1" x14ac:dyDescent="0.25">
      <c r="A3" s="146"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tabSelected="1"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TEXT('Input - Site'!$E$13,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TEXT('Input - Site'!$E$13,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6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$E$98</f>
        <v>0</v>
      </c>
      <c r="H153" s="53">
        <f ca="1">$E$98</f>
        <v>0</v>
      </c>
      <c r="I153" s="2"/>
      <c r="M153" s="53">
        <v>2</v>
      </c>
      <c r="N153" s="53" t="str">
        <f>INDEX(X_Table_Feedlot_MMS_Stage2,5,1)</f>
        <v>Direct application</v>
      </c>
      <c r="O153" s="53">
        <f ca="1">$E$98</f>
        <v>0</v>
      </c>
      <c r="P153" s="53">
        <f ca="1">$E$98</f>
        <v>0</v>
      </c>
      <c r="Q153" s="53">
        <f ca="1">$E$98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6F25-26A3-4520-984A-0571CD11C947}">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8" t="s">
        <v>18</v>
      </c>
      <c r="E6" s="38" t="s">
        <v>19</v>
      </c>
      <c r="F6" s="38" t="s">
        <v>20</v>
      </c>
    </row>
    <row r="7" spans="1:65" ht="20.100000000000001"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345</v>
      </c>
      <c r="E257" s="38" t="s">
        <v>346</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358</v>
      </c>
    </row>
    <row r="264" spans="4:6" x14ac:dyDescent="0.25">
      <c r="D264" s="1" t="s">
        <v>359</v>
      </c>
    </row>
    <row r="265" spans="4:6" x14ac:dyDescent="0.25">
      <c r="D265" s="38" t="s">
        <v>360</v>
      </c>
      <c r="E265" s="38" t="s">
        <v>361</v>
      </c>
      <c r="F265" s="38" t="s">
        <v>362</v>
      </c>
    </row>
    <row r="266" spans="4:6" x14ac:dyDescent="0.25">
      <c r="D266" s="38" t="s">
        <v>363</v>
      </c>
      <c r="E266" s="38" t="s">
        <v>364</v>
      </c>
      <c r="F266" s="38">
        <v>5</v>
      </c>
    </row>
    <row r="267" spans="4:6" x14ac:dyDescent="0.25">
      <c r="D267" s="38" t="s">
        <v>365</v>
      </c>
      <c r="E267" s="38" t="s">
        <v>366</v>
      </c>
      <c r="F267" s="38">
        <v>4</v>
      </c>
    </row>
    <row r="268" spans="4:6" x14ac:dyDescent="0.25">
      <c r="D268" s="38" t="s">
        <v>367</v>
      </c>
      <c r="E268" s="38" t="s">
        <v>368</v>
      </c>
      <c r="F268" s="38">
        <v>3</v>
      </c>
    </row>
    <row r="269" spans="4:6" x14ac:dyDescent="0.25">
      <c r="D269" s="38" t="s">
        <v>369</v>
      </c>
      <c r="E269" s="38" t="s">
        <v>370</v>
      </c>
      <c r="F269" s="38">
        <v>2</v>
      </c>
    </row>
    <row r="270" spans="4:6" x14ac:dyDescent="0.25">
      <c r="D270" s="38" t="s">
        <v>371</v>
      </c>
      <c r="E270" s="38" t="s">
        <v>372</v>
      </c>
      <c r="F270" s="38">
        <v>1</v>
      </c>
    </row>
    <row r="273" spans="4:6" x14ac:dyDescent="0.25">
      <c r="D273" s="1" t="s">
        <v>373</v>
      </c>
    </row>
    <row r="274" spans="4:6" x14ac:dyDescent="0.25">
      <c r="D274" s="38" t="s">
        <v>360</v>
      </c>
      <c r="E274" s="38" t="s">
        <v>361</v>
      </c>
      <c r="F274" s="38" t="s">
        <v>362</v>
      </c>
    </row>
    <row r="275" spans="4:6" x14ac:dyDescent="0.25">
      <c r="D275" s="38" t="s">
        <v>374</v>
      </c>
      <c r="E275" s="38" t="s">
        <v>375</v>
      </c>
      <c r="F275" s="38">
        <v>5</v>
      </c>
    </row>
    <row r="276" spans="4:6" x14ac:dyDescent="0.25">
      <c r="D276" s="38" t="s">
        <v>376</v>
      </c>
      <c r="E276" s="38" t="s">
        <v>377</v>
      </c>
      <c r="F276" s="38">
        <v>4</v>
      </c>
    </row>
    <row r="277" spans="4:6" x14ac:dyDescent="0.25">
      <c r="D277" s="38" t="s">
        <v>378</v>
      </c>
      <c r="E277" s="38" t="s">
        <v>379</v>
      </c>
      <c r="F277" s="38">
        <v>3</v>
      </c>
    </row>
    <row r="278" spans="4:6" x14ac:dyDescent="0.25">
      <c r="D278" s="38" t="s">
        <v>380</v>
      </c>
      <c r="E278" s="38" t="s">
        <v>381</v>
      </c>
      <c r="F278" s="38">
        <v>2</v>
      </c>
    </row>
    <row r="279" spans="4:6" x14ac:dyDescent="0.25">
      <c r="D279" s="38" t="s">
        <v>382</v>
      </c>
      <c r="E279" s="38" t="s">
        <v>383</v>
      </c>
      <c r="F279" s="38">
        <v>1</v>
      </c>
    </row>
    <row r="282" spans="4:6" x14ac:dyDescent="0.25">
      <c r="D282" s="1" t="s">
        <v>384</v>
      </c>
    </row>
    <row r="283" spans="4:6" x14ac:dyDescent="0.25">
      <c r="D283" s="38" t="s">
        <v>360</v>
      </c>
      <c r="E283" s="38" t="s">
        <v>361</v>
      </c>
      <c r="F283" s="38" t="s">
        <v>362</v>
      </c>
    </row>
    <row r="284" spans="4:6" x14ac:dyDescent="0.25">
      <c r="D284" s="38" t="s">
        <v>385</v>
      </c>
      <c r="E284" s="38" t="s">
        <v>386</v>
      </c>
      <c r="F284" s="38">
        <v>5</v>
      </c>
    </row>
    <row r="285" spans="4:6" x14ac:dyDescent="0.25">
      <c r="D285" s="38" t="s">
        <v>387</v>
      </c>
      <c r="E285" s="38" t="s">
        <v>388</v>
      </c>
      <c r="F285" s="38">
        <v>4</v>
      </c>
    </row>
    <row r="286" spans="4:6" x14ac:dyDescent="0.25">
      <c r="D286" s="38" t="s">
        <v>389</v>
      </c>
      <c r="E286" s="38" t="s">
        <v>390</v>
      </c>
      <c r="F286" s="38">
        <v>3</v>
      </c>
    </row>
    <row r="287" spans="4:6" x14ac:dyDescent="0.25">
      <c r="D287" s="38" t="s">
        <v>391</v>
      </c>
      <c r="E287" s="38" t="s">
        <v>392</v>
      </c>
      <c r="F287" s="38">
        <v>2</v>
      </c>
    </row>
    <row r="288" spans="4:6" x14ac:dyDescent="0.25">
      <c r="D288" s="38" t="s">
        <v>393</v>
      </c>
      <c r="E288" s="38" t="s">
        <v>394</v>
      </c>
      <c r="F288" s="38">
        <v>1</v>
      </c>
    </row>
    <row r="291" spans="4:6" x14ac:dyDescent="0.25">
      <c r="D291" s="1" t="s">
        <v>395</v>
      </c>
    </row>
    <row r="292" spans="4:6" x14ac:dyDescent="0.25">
      <c r="D292" s="38" t="s">
        <v>360</v>
      </c>
      <c r="E292" s="38" t="s">
        <v>361</v>
      </c>
      <c r="F292" s="38" t="s">
        <v>362</v>
      </c>
    </row>
    <row r="293" spans="4:6" x14ac:dyDescent="0.25">
      <c r="D293" s="38" t="s">
        <v>396</v>
      </c>
      <c r="E293" s="38" t="s">
        <v>397</v>
      </c>
      <c r="F293" s="38">
        <v>5</v>
      </c>
    </row>
    <row r="294" spans="4:6" x14ac:dyDescent="0.25">
      <c r="D294" s="38" t="s">
        <v>398</v>
      </c>
      <c r="E294" s="38" t="s">
        <v>399</v>
      </c>
      <c r="F294" s="38">
        <v>4</v>
      </c>
    </row>
    <row r="295" spans="4:6" x14ac:dyDescent="0.25">
      <c r="D295" s="38" t="s">
        <v>400</v>
      </c>
      <c r="E295" s="38" t="s">
        <v>401</v>
      </c>
      <c r="F295" s="38">
        <v>3</v>
      </c>
    </row>
    <row r="296" spans="4:6" x14ac:dyDescent="0.25">
      <c r="D296" s="38" t="s">
        <v>402</v>
      </c>
      <c r="E296" s="38" t="s">
        <v>403</v>
      </c>
      <c r="F296" s="38">
        <v>2</v>
      </c>
    </row>
    <row r="297" spans="4:6" x14ac:dyDescent="0.25">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5" sqref="A25"/>
    </sheetView>
  </sheetViews>
  <sheetFormatPr defaultRowHeight="15" x14ac:dyDescent="0.25"/>
  <sheetData>
    <row r="1" spans="1:1" x14ac:dyDescent="0.25">
      <c r="A1" t="s">
        <v>406</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103</vt:i4>
      </vt:variant>
    </vt:vector>
  </HeadingPairs>
  <TitlesOfParts>
    <vt:vector size="117"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X_Cell_Site_EndDate</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