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55A968F-18EA-472A-A845-76B05F15F50F}"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0" r:id="rId2"/>
    <sheet name="Results" sheetId="13" r:id="rId3"/>
    <sheet name="Input - Site" sheetId="15" r:id="rId4"/>
    <sheet name="Input - Other Livestock" sheetId="70" r:id="rId5"/>
    <sheet name="3.6.1.1-2 Enteric Methane" sheetId="69" r:id="rId6"/>
    <sheet name="Constants - Other Livestock" sheetId="79" r:id="rId7"/>
    <sheet name="Constants - Common" sheetId="103" r:id="rId8"/>
    <sheet name="Acknowledgements" sheetId="72" r:id="rId9"/>
    <sheet name="Tab template" sheetId="74" r:id="rId10"/>
  </sheets>
  <externalReferences>
    <externalReference r:id="rId11"/>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icMethane_OtherLivestock_Equations.VEERG_3_6_1_1__1_TotalAnnualMethaneFromEntericFermentationOtherLivestock">_xlfn.LAMBDA(_xlpm.N_j,_xlpm.M_j, SUM(_xlpm.N_j * _xlpm.M_j) * 10 ^ -3)</definedName>
    <definedName name="EntericMethane_OtherLivestock_Equations.VEERG_3_6_1_1__1_TotalAnnualMethaneFromEntericFermentationOtherLivestock_Arguments">_xlfn.LAMBDA(_xlfn.MAKEARRAY(3, 4, _xlfn.LAMBDA(_xlpm.r,_xlpm.c, INDEX({"N_j","number of livestock of each livestock type j","head","Input";"M_j","enteric fermentation emission factor","kg CH4/head/year","Constant";"j","livestock type","","Input"}, _xlpm.r, _xlpm.c))))</definedName>
    <definedName name="EntericMethane_OtherLivestock_Equations.VEERG_3_6_1_1__1_TotalAnnualMethaneFromEntericFermentationOtherLivestock_LatexEquation">_xlfn.LAMBDA("E_{enteric}=\sum_j(N_j\times M_j)\times 10^{-3}")</definedName>
    <definedName name="EntericMethane_OtherLivestock_Equations.VEERG_3_6_1_1__1_TotalAnnualMethaneFromEntericFermentationOtherLivestock_NIRReference">_xlfn.LAMBDA("")</definedName>
    <definedName name="EntericMethane_OtherLivestock_Equations.VEERG_3_6_1_1__1_TotalAnnualMethaneFromEntericFermentationOtherLivestock_Source">_xlfn.LAMBDA("VEERG 2026: 3.6.1.1, Equation (1)")</definedName>
    <definedName name="EntericMethane_OtherLivestock_Equations.VEERG_3_6_1_1__1_TotalAnnualMethaneFromEntericFermentationOtherLivestock_Title">_xlfn.LAMBDA("Total annual methane production from enteric fermentation in other livestock")</definedName>
    <definedName name="EntericMethane_OtherLivestock_Equations.VEERG_3_6_1_1__1_TotalAnnualMethaneFromEntericFermentationOtherLivestock_Unit">_xlfn.LAMBDA("t CH4")</definedName>
    <definedName name="EntericMethane_OtherLivestock_Equations.VEERG_3_6_1_1__1_TotalAnnualMethaneFromEntericFermentationOtherLivestock_Variable">_xlfn.LAMBDA("E_enteric")</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ourceData_OtherLivestock.SourceData_OtherLivestock_AverageLiveweight_Data">_xlfn.LAMBDA(_xlfn.MAKEARRAY(11, 3, _xlfn.LAMBDA(_xlpm.r,_xlpm.c, INDEX({"Other Livestock Type j","Average Liveweight","Average Liveweight";"Buffalo",336,"-";"Goats",33,"28kg - low productivity systems";"Goats",33,"50kg - high productivity systems";"Deer",120,120;"Camels",217,570;"Alpacas","-",65;"Horses",377,550;"Mules/asses",130,245;"Emus/ostriches",120,120;"Reference","IPCC 2019 Table 10A.5 [2]","IPCC 2019 Table 10.10 [2]"}, _xlpm.r, _xlpm.c))))</definedName>
    <definedName name="SourceData_OtherLivestock.SourceData_OtherLivestock_AverageLiveweight_Source">_xlfn.LAMBDA("VEERG 2026: Table A.1.5.4")</definedName>
    <definedName name="SourceData_OtherLivestock.SourceData_OtherLivestock_AverageLiveweight_Title">_xlfn.LAMBDA("Other Livestock - Average Liveweights")</definedName>
    <definedName name="SourceData_OtherLivestock.SourceData_OtherLivestock_AverageLiveweight_Unit">_xlfn.LAMBDA("kg")</definedName>
    <definedName name="SourceData_OtherLivestock.SourceData_OtherLivestock_AverageLiveweight_Variable">_xlfn.LAMBDA("Wco")</definedName>
    <definedName name="SourceData_OtherLivestock.SourceData_OtherLivestock_AverageLiveweight_Variation">_xlfn.LAMBDA("")</definedName>
    <definedName name="SourceData_OtherLivestock.SourceData_OtherLivestock_EntericFermentationEmissionFactor_Data">_xlfn.LAMBDA(_xlfn.MAKEARRAY(9, 2, _xlfn.LAMBDA(_xlpm.r,_xlpm.c, INDEX({"Other Livestock Type","Mj";"Buffalo",68;"Goats",5;"Deer",20;"Camels",46;"Alpacas",8;"Horses",18;"Mules/asses",10;"Emus/ostriches",5}, _xlpm.r, _xlpm.c))))</definedName>
    <definedName name="SourceData_OtherLivestock.SourceData_OtherLivestock_EntericFermentationEmissionFactor_Source">_xlfn.LAMBDA("VEERG 2026: Table A.1.5.1")</definedName>
    <definedName name="SourceData_OtherLivestock.SourceData_OtherLivestock_EntericFermentationEmissionFactor_Title">_xlfn.LAMBDA("Other Livestock - Enteric fermentation emission factor for each other livestock type")</definedName>
    <definedName name="SourceData_OtherLivestock.SourceData_OtherLivestock_EntericFermentationEmissionFactor_Unit">_xlfn.LAMBDA("kg CH4 / head / year")</definedName>
    <definedName name="SourceData_OtherLivestock.SourceData_OtherLivestock_EntericFermentationEmissionFactor_Variable">_xlfn.LAMBDA("Mj")</definedName>
    <definedName name="SourceData_OtherLivestock.SourceData_OtherLivestock_EntericFermentationEmissionFactor_Variation">_xlfn.LAMBDA("")</definedName>
    <definedName name="SourceData_OtherLivestock.SourceData_OtherLivestock_FractionWasteInMMS_Data">_xlfn.LAMBDA(_xlfn.MAKEARRAY(9, 3, _xlfn.LAMBDA(_xlpm.r,_xlpm.c, INDEX({"State","Pasture range and paddock","Uncovered Anaerobic lagoon";"ACT",99.66,0.34;"NSW",99.66,0.34;"NT",99.66,0.34;"QLD",99.66,0.34;"SA",99.66,0.34;"TAS",99.66,0.34;"VIC",99.66,0.34;"WA",99.66,0.34}, _xlpm.r, _xlpm.c))))</definedName>
    <definedName name="SourceData_OtherLivestock.SourceData_OtherLivestock_FractionWasteInMMS_Source">_xlfn.LAMBDA("VEERG 2026: Table A.1.5.5")</definedName>
    <definedName name="SourceData_OtherLivestock.SourceData_OtherLivestock_FractionWasteInMMS_Title">_xlfn.LAMBDA("Other Livestock - Fraction of waste in each manure management system")</definedName>
    <definedName name="SourceData_OtherLivestock.SourceData_OtherLivestock_FractionWasteInMMS_Unit">_xlfn.LAMBDA("fraction")</definedName>
    <definedName name="SourceData_OtherLivestock.SourceData_OtherLivestock_FractionWasteInMMS_Variable">_xlfn.LAMBDA("MMSm")</definedName>
    <definedName name="SourceData_OtherLivestock.SourceData_OtherLivestock_FractionWasteInMMS_Variation">_xlfn.LAMBDA("")</definedName>
    <definedName name="SourceData_OtherLivestock.SourceData_OtherLivestock_MethaneConversionFactor_Data">_xlfn.LAMBDA(_xlfn.MAKEARRAY(9, 3, _xlfn.LAMBDA(_xlpm.r,_xlpm.c, INDEX({"State","Pasture range and paddock","Uncovered Anaerobic lagoon";"ACT",0.0047,0.71;"NSW",0.0047,0.75;"NT",0.0047,0.8;"QLD",0.0047,0.78;"SA",0.0047,0.74;"TAS",0.0047,0.7;"VIC",0.0047,0.74;"WA",0.0047,0.76}, _xlpm.r, _xlpm.c))))</definedName>
    <definedName name="SourceData_OtherLivestock.SourceData_OtherLivestock_MethaneConversionFactor_Source">_xlfn.LAMBDA("VEERG 2026: Table A.1.5.6")</definedName>
    <definedName name="SourceData_OtherLivestock.SourceData_OtherLivestock_MethaneConversionFactor_Title">_xlfn.LAMBDA("Other Livestock - Methane conversion factor per region")</definedName>
    <definedName name="SourceData_OtherLivestock.SourceData_OtherLivestock_MethaneConversionFactor_Unit">_xlfn.LAMBDA("fraction")</definedName>
    <definedName name="SourceData_OtherLivestock.SourceData_OtherLivestock_MethaneConversionFactor_Variable">_xlfn.LAMBDA("MCFim")</definedName>
    <definedName name="SourceData_OtherLivestock.SourceData_OtherLivestock_MethaneConversionFactor_Variation">_xlfn.LAMBDA("")</definedName>
    <definedName name="SourceData_OtherLivestock.SourceData_OtherLivestock_NitrogenExcreted_Data">_xlfn.LAMBDA(_xlfn.MAKEARRAY(9, 2, _xlfn.LAMBDA(_xlpm.r,_xlpm.c, INDEX({"Other Livestock Type","NEj";"Buffalo",39.5;"Goats",7;"Deer",13.2;"Camels",39.5;"Alpacas",7;"Horses",39.5;"Mules/asses",13.2;"Emus/ostriches",7}, _xlpm.r, _xlpm.c))))</definedName>
    <definedName name="SourceData_OtherLivestock.SourceData_OtherLivestock_NitrogenExcreted_Source">_xlfn.LAMBDA("VEERG 2026: Table A.1.5.3")</definedName>
    <definedName name="SourceData_OtherLivestock.SourceData_OtherLivestock_NitrogenExcreted_Title">_xlfn.LAMBDA("Other Livestock - Nitrogen excreted per livestock type")</definedName>
    <definedName name="SourceData_OtherLivestock.SourceData_OtherLivestock_NitrogenExcreted_Unit">_xlfn.LAMBDA("kg N2O / head / year")</definedName>
    <definedName name="SourceData_OtherLivestock.SourceData_OtherLivestock_NitrogenExcreted_Variable">_xlfn.LAMBDA("NEj")</definedName>
    <definedName name="SourceData_OtherLivestock.SourceData_OtherLivestock_NitrogenExcreted_Variation">_xlfn.LAMBDA("")</definedName>
    <definedName name="SourceData_OtherLivestock.SourceData_OtherLivestock_VolatileSolidsProduced_Data">_xlfn.LAMBDA(_xlfn.MAKEARRAY(9, 2, _xlfn.LAMBDA(_xlpm.r,_xlpm.c, INDEX({"Other Livestock Type","VSj";"Buffalo",2.73;"Goats",0.34;"Deer",0.91;"Camels",2.73;"Alpacas",0.34;"Horses",2.73;"Mules/asses",0.91;"Emus/ostriches",0.34}, _xlpm.r, _xlpm.c))))</definedName>
    <definedName name="SourceData_OtherLivestock.SourceData_OtherLivestock_VolatileSolidsProduced_Source">_xlfn.LAMBDA("VEERG 2026: Table A.1.5.2")</definedName>
    <definedName name="SourceData_OtherLivestock.SourceData_OtherLivestock_VolatileSolidsProduced_Title">_xlfn.LAMBDA("Other Livestock - Volatile solids produced by each other livestock type")</definedName>
    <definedName name="SourceData_OtherLivestock.SourceData_OtherLivestock_VolatileSolidsProduced_Unit">_xlfn.LAMBDA("kg VS / head / day")</definedName>
    <definedName name="SourceData_OtherLivestock.SourceData_OtherLivestock_VolatileSolidsProduced_Variable">_xlfn.LAMBDA("VSj")</definedName>
    <definedName name="SourceData_OtherLivestock.SourceData_OtherLivestock_VolatileSolidsProduced_Variation">_xlfn.LAMBDA("")</definedName>
    <definedName name="Step1">#REF!</definedName>
    <definedName name="Step2">#REF!</definedName>
    <definedName name="Step3">#REF!</definedName>
    <definedName name="X_Cell_OtherLivestock_Others_Alpacas_Head">'Input - Other Livestock'!$F$26</definedName>
    <definedName name="X_Cell_OtherLivestock_Others_Camels_Head">'Input - Other Livestock'!$E$26</definedName>
    <definedName name="X_Cell_OtherLivestock_Others_Emus_Head">'Input - Other Livestock'!$I$26</definedName>
    <definedName name="X_Cell_OtherLivestock_Others_Horses_Head">'Input - Other Livestock'!$G$26</definedName>
    <definedName name="X_Cell_OtherLivestock_Others_Mules_Head">'Input - Other Livestock'!$H$26</definedName>
    <definedName name="X_Cell_Site_EndDate">'Input - Site'!$E$13</definedName>
    <definedName name="X_Cell_Site_FarmName">'Input - Site'!$E$7</definedName>
    <definedName name="X_Cell_Site_ReportingEntityName">'Input - Site'!$E$8</definedName>
    <definedName name="X_Cell_Site_StartDate">'Input - Site'!$E$12</definedName>
    <definedName name="X_Table_OtherLivestock_Buffalo_Head">'Input - Other Livestock'!$D$7:$H$8</definedName>
    <definedName name="X_Table_OtherLivestock_Deer_Head">'Input - Other Livestock'!$D$19:$H$20</definedName>
    <definedName name="X_Table_OtherLivestock_Goats_Head">'Input - Other Livestock'!$D$13:$J$14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69" l="1"/>
  <c r="E259" i="103" a="1"/>
  <c r="E259" i="103" s="1"/>
  <c r="D259" i="103" a="1"/>
  <c r="D259" i="103" s="1"/>
  <c r="E258" i="103" a="1"/>
  <c r="E258" i="103" s="1"/>
  <c r="D258" i="103" a="1"/>
  <c r="D258" i="103" s="1"/>
  <c r="D256" i="103" a="1"/>
  <c r="D256" i="103" s="1"/>
  <c r="D255" i="103" a="1"/>
  <c r="D255" i="103" s="1"/>
  <c r="D254" i="103" a="1"/>
  <c r="D254" i="103" s="1"/>
  <c r="D253" i="103" a="1"/>
  <c r="D253" i="103" s="1"/>
  <c r="S250" i="103" a="1"/>
  <c r="S250" i="103" s="1"/>
  <c r="R250" i="103" a="1"/>
  <c r="R250" i="103" s="1"/>
  <c r="Q250" i="103" a="1"/>
  <c r="Q250" i="103" s="1"/>
  <c r="P250" i="103" a="1"/>
  <c r="P250" i="103" s="1"/>
  <c r="O250" i="103" a="1"/>
  <c r="O250" i="103" s="1"/>
  <c r="N250" i="103" a="1"/>
  <c r="N250" i="103" s="1"/>
  <c r="M250" i="103" a="1"/>
  <c r="M250" i="103" s="1"/>
  <c r="L250" i="103" a="1"/>
  <c r="L250" i="103" s="1"/>
  <c r="K250" i="103" a="1"/>
  <c r="K250" i="103" s="1"/>
  <c r="J250" i="103" a="1"/>
  <c r="J250" i="103" s="1"/>
  <c r="I250" i="103" a="1"/>
  <c r="I250" i="103" s="1"/>
  <c r="H250" i="103" a="1"/>
  <c r="H250" i="103" s="1"/>
  <c r="G250" i="103" a="1"/>
  <c r="G250" i="103" s="1"/>
  <c r="F250" i="103" a="1"/>
  <c r="F250" i="103" s="1"/>
  <c r="E250" i="103" a="1"/>
  <c r="E250" i="103" s="1"/>
  <c r="D250" i="103" a="1"/>
  <c r="D250" i="103" s="1"/>
  <c r="S249" i="103" a="1"/>
  <c r="S249" i="103" s="1"/>
  <c r="R249" i="103" a="1"/>
  <c r="R249" i="103" s="1"/>
  <c r="Q249" i="103" a="1"/>
  <c r="Q249" i="103" s="1"/>
  <c r="P249" i="103" a="1"/>
  <c r="P249" i="103" s="1"/>
  <c r="O249" i="103" a="1"/>
  <c r="O249" i="103" s="1"/>
  <c r="N249" i="103" a="1"/>
  <c r="N249" i="103" s="1"/>
  <c r="M249" i="103" a="1"/>
  <c r="M249" i="103" s="1"/>
  <c r="L249" i="103" a="1"/>
  <c r="L249" i="103" s="1"/>
  <c r="K249" i="103" a="1"/>
  <c r="K249" i="103" s="1"/>
  <c r="J249" i="103" a="1"/>
  <c r="J249" i="103" s="1"/>
  <c r="I249" i="103" a="1"/>
  <c r="I249" i="103" s="1"/>
  <c r="H249" i="103" a="1"/>
  <c r="H249" i="103" s="1"/>
  <c r="G249" i="103" a="1"/>
  <c r="G249" i="103" s="1"/>
  <c r="F249" i="103" a="1"/>
  <c r="F249" i="103" s="1"/>
  <c r="E249" i="103" a="1"/>
  <c r="E249" i="103" s="1"/>
  <c r="D249" i="103" a="1"/>
  <c r="D249" i="103" s="1"/>
  <c r="S248" i="103" a="1"/>
  <c r="S248" i="103" s="1"/>
  <c r="R248" i="103" a="1"/>
  <c r="R248" i="103" s="1"/>
  <c r="Q248" i="103" a="1"/>
  <c r="Q248" i="103" s="1"/>
  <c r="P248" i="103" a="1"/>
  <c r="P248" i="103" s="1"/>
  <c r="O248" i="103" a="1"/>
  <c r="O248" i="103" s="1"/>
  <c r="N248" i="103" a="1"/>
  <c r="N248" i="103" s="1"/>
  <c r="M248" i="103" a="1"/>
  <c r="M248" i="103" s="1"/>
  <c r="L248" i="103" a="1"/>
  <c r="L248" i="103" s="1"/>
  <c r="K248" i="103" a="1"/>
  <c r="K248" i="103" s="1"/>
  <c r="J248" i="103" a="1"/>
  <c r="J248" i="103" s="1"/>
  <c r="I248" i="103" a="1"/>
  <c r="I248" i="103" s="1"/>
  <c r="H248" i="103" a="1"/>
  <c r="H248" i="103" s="1"/>
  <c r="G248" i="103" a="1"/>
  <c r="G248" i="103" s="1"/>
  <c r="F248" i="103" a="1"/>
  <c r="F248" i="103" s="1"/>
  <c r="E248" i="103" a="1"/>
  <c r="E248" i="103" s="1"/>
  <c r="D248" i="103" a="1"/>
  <c r="D248" i="103" s="1"/>
  <c r="S247" i="103" a="1"/>
  <c r="S247" i="103" s="1"/>
  <c r="R247" i="103" a="1"/>
  <c r="R247" i="103" s="1"/>
  <c r="Q247" i="103" a="1"/>
  <c r="Q247" i="103" s="1"/>
  <c r="P247" i="103" a="1"/>
  <c r="P247" i="103" s="1"/>
  <c r="O247" i="103" a="1"/>
  <c r="O247" i="103" s="1"/>
  <c r="N247" i="103" a="1"/>
  <c r="N247" i="103" s="1"/>
  <c r="M247" i="103" a="1"/>
  <c r="M247" i="103" s="1"/>
  <c r="L247" i="103" a="1"/>
  <c r="L247" i="103" s="1"/>
  <c r="K247" i="103" a="1"/>
  <c r="K247" i="103" s="1"/>
  <c r="J247" i="103" a="1"/>
  <c r="J247" i="103" s="1"/>
  <c r="I247" i="103" a="1"/>
  <c r="I247" i="103" s="1"/>
  <c r="H247" i="103" a="1"/>
  <c r="H247" i="103" s="1"/>
  <c r="G247" i="103" a="1"/>
  <c r="G247" i="103" s="1"/>
  <c r="F247" i="103" a="1"/>
  <c r="F247" i="103" s="1"/>
  <c r="E247" i="103" a="1"/>
  <c r="E247" i="103" s="1"/>
  <c r="D247" i="103" a="1"/>
  <c r="D247" i="103" s="1"/>
  <c r="S246" i="103" a="1"/>
  <c r="S246" i="103" s="1"/>
  <c r="R246" i="103" a="1"/>
  <c r="R246" i="103" s="1"/>
  <c r="Q246" i="103" a="1"/>
  <c r="Q246" i="103" s="1"/>
  <c r="P246" i="103" a="1"/>
  <c r="P246" i="103" s="1"/>
  <c r="O246" i="103" a="1"/>
  <c r="O246" i="103" s="1"/>
  <c r="N246" i="103" a="1"/>
  <c r="N246" i="103" s="1"/>
  <c r="M246" i="103" a="1"/>
  <c r="M246" i="103" s="1"/>
  <c r="L246" i="103" a="1"/>
  <c r="L246" i="103" s="1"/>
  <c r="K246" i="103" a="1"/>
  <c r="K246" i="103" s="1"/>
  <c r="J246" i="103" a="1"/>
  <c r="J246" i="103" s="1"/>
  <c r="I246" i="103" a="1"/>
  <c r="I246" i="103" s="1"/>
  <c r="H246" i="103" a="1"/>
  <c r="H246" i="103" s="1"/>
  <c r="G246" i="103" a="1"/>
  <c r="G246" i="103" s="1"/>
  <c r="F246" i="103" a="1"/>
  <c r="F246" i="103" s="1"/>
  <c r="E246" i="103" a="1"/>
  <c r="E246" i="103" s="1"/>
  <c r="D246" i="103" a="1"/>
  <c r="D246" i="103" s="1"/>
  <c r="S245" i="103" a="1"/>
  <c r="S245" i="103" s="1"/>
  <c r="R245" i="103" a="1"/>
  <c r="R245" i="103" s="1"/>
  <c r="Q245" i="103" a="1"/>
  <c r="Q245" i="103" s="1"/>
  <c r="P245" i="103" a="1"/>
  <c r="P245" i="103" s="1"/>
  <c r="O245" i="103" a="1"/>
  <c r="O245" i="103" s="1"/>
  <c r="N245" i="103" a="1"/>
  <c r="N245" i="103" s="1"/>
  <c r="M245" i="103" a="1"/>
  <c r="M245" i="103" s="1"/>
  <c r="L245" i="103" a="1"/>
  <c r="L245" i="103" s="1"/>
  <c r="K245" i="103" a="1"/>
  <c r="K245" i="103" s="1"/>
  <c r="J245" i="103" a="1"/>
  <c r="J245" i="103" s="1"/>
  <c r="I245" i="103" a="1"/>
  <c r="I245" i="103" s="1"/>
  <c r="H245" i="103" a="1"/>
  <c r="H245" i="103" s="1"/>
  <c r="G245" i="103" a="1"/>
  <c r="G245" i="103" s="1"/>
  <c r="F245" i="103" a="1"/>
  <c r="F245" i="103" s="1"/>
  <c r="E245" i="103" a="1"/>
  <c r="E245" i="103" s="1"/>
  <c r="D245" i="103" a="1"/>
  <c r="D245" i="103" s="1"/>
  <c r="S244" i="103" a="1"/>
  <c r="S244" i="103" s="1"/>
  <c r="R244" i="103" a="1"/>
  <c r="R244" i="103" s="1"/>
  <c r="Q244" i="103" a="1"/>
  <c r="Q244" i="103" s="1"/>
  <c r="P244" i="103" a="1"/>
  <c r="P244" i="103" s="1"/>
  <c r="O244" i="103" a="1"/>
  <c r="O244" i="103" s="1"/>
  <c r="N244" i="103" a="1"/>
  <c r="N244" i="103" s="1"/>
  <c r="M244" i="103" a="1"/>
  <c r="M244" i="103" s="1"/>
  <c r="L244" i="103" a="1"/>
  <c r="L244" i="103" s="1"/>
  <c r="K244" i="103" a="1"/>
  <c r="K244" i="103" s="1"/>
  <c r="J244" i="103" a="1"/>
  <c r="J244" i="103" s="1"/>
  <c r="I244" i="103" a="1"/>
  <c r="I244" i="103" s="1"/>
  <c r="H244" i="103" a="1"/>
  <c r="H244" i="103" s="1"/>
  <c r="G244" i="103" a="1"/>
  <c r="G244" i="103" s="1"/>
  <c r="F244" i="103" a="1"/>
  <c r="F244" i="103" s="1"/>
  <c r="E244" i="103" a="1"/>
  <c r="E244" i="103" s="1"/>
  <c r="D244" i="103" a="1"/>
  <c r="D244" i="103" s="1"/>
  <c r="S243" i="103" a="1"/>
  <c r="S243" i="103" s="1"/>
  <c r="R243" i="103" a="1"/>
  <c r="R243" i="103" s="1"/>
  <c r="Q243" i="103" a="1"/>
  <c r="Q243" i="103" s="1"/>
  <c r="P243" i="103" a="1"/>
  <c r="P243" i="103" s="1"/>
  <c r="O243" i="103" a="1"/>
  <c r="O243" i="103" s="1"/>
  <c r="N243" i="103" a="1"/>
  <c r="N243" i="103" s="1"/>
  <c r="M243" i="103" a="1"/>
  <c r="M243" i="103" s="1"/>
  <c r="L243" i="103" a="1"/>
  <c r="L243" i="103" s="1"/>
  <c r="K243" i="103" a="1"/>
  <c r="K243" i="103" s="1"/>
  <c r="J243" i="103" a="1"/>
  <c r="J243" i="103" s="1"/>
  <c r="I243" i="103" a="1"/>
  <c r="I243" i="103" s="1"/>
  <c r="H243" i="103" a="1"/>
  <c r="H243" i="103" s="1"/>
  <c r="G243" i="103" a="1"/>
  <c r="G243" i="103" s="1"/>
  <c r="F243" i="103" a="1"/>
  <c r="F243" i="103" s="1"/>
  <c r="E243" i="103" a="1"/>
  <c r="E243" i="103" s="1"/>
  <c r="D243" i="103" a="1"/>
  <c r="D243" i="103" s="1"/>
  <c r="S242" i="103" a="1"/>
  <c r="S242" i="103" s="1"/>
  <c r="R242" i="103" a="1"/>
  <c r="R242" i="103" s="1"/>
  <c r="Q242" i="103" a="1"/>
  <c r="Q242" i="103" s="1"/>
  <c r="P242" i="103" a="1"/>
  <c r="P242" i="103" s="1"/>
  <c r="O242" i="103" a="1"/>
  <c r="O242" i="103" s="1"/>
  <c r="N242" i="103" a="1"/>
  <c r="N242" i="103" s="1"/>
  <c r="M242" i="103" a="1"/>
  <c r="M242" i="103" s="1"/>
  <c r="L242" i="103" a="1"/>
  <c r="L242" i="103" s="1"/>
  <c r="K242" i="103" a="1"/>
  <c r="K242" i="103" s="1"/>
  <c r="J242" i="103" a="1"/>
  <c r="J242" i="103" s="1"/>
  <c r="I242" i="103" a="1"/>
  <c r="I242" i="103" s="1"/>
  <c r="H242" i="103" a="1"/>
  <c r="H242" i="103" s="1"/>
  <c r="G242" i="103" a="1"/>
  <c r="G242" i="103" s="1"/>
  <c r="F242" i="103" a="1"/>
  <c r="F242" i="103" s="1"/>
  <c r="E242" i="103" a="1"/>
  <c r="E242" i="103" s="1"/>
  <c r="D242" i="103" a="1"/>
  <c r="D242" i="103" s="1"/>
  <c r="S241" i="103" a="1"/>
  <c r="S241" i="103" s="1"/>
  <c r="R241" i="103" a="1"/>
  <c r="R241" i="103" s="1"/>
  <c r="Q241" i="103" a="1"/>
  <c r="Q241" i="103" s="1"/>
  <c r="P241" i="103" a="1"/>
  <c r="P241" i="103" s="1"/>
  <c r="O241" i="103" a="1"/>
  <c r="O241" i="103" s="1"/>
  <c r="N241" i="103" a="1"/>
  <c r="N241" i="103" s="1"/>
  <c r="M241" i="103" a="1"/>
  <c r="M241" i="103" s="1"/>
  <c r="L241" i="103" a="1"/>
  <c r="L241" i="103" s="1"/>
  <c r="K241" i="103" a="1"/>
  <c r="K241" i="103" s="1"/>
  <c r="J241" i="103" a="1"/>
  <c r="J241" i="103" s="1"/>
  <c r="I241" i="103" a="1"/>
  <c r="I241" i="103" s="1"/>
  <c r="H241" i="103" a="1"/>
  <c r="H241" i="103" s="1"/>
  <c r="G241" i="103" a="1"/>
  <c r="G241" i="103" s="1"/>
  <c r="F241" i="103" a="1"/>
  <c r="F241" i="103" s="1"/>
  <c r="E241" i="103" a="1"/>
  <c r="E241" i="103" s="1"/>
  <c r="D241" i="103" a="1"/>
  <c r="D241" i="103" s="1"/>
  <c r="S240" i="103" a="1"/>
  <c r="S240" i="103" s="1"/>
  <c r="R240" i="103" a="1"/>
  <c r="R240" i="103" s="1"/>
  <c r="Q240" i="103" a="1"/>
  <c r="Q240" i="103" s="1"/>
  <c r="P240" i="103" a="1"/>
  <c r="P240" i="103" s="1"/>
  <c r="O240" i="103" a="1"/>
  <c r="O240" i="103" s="1"/>
  <c r="N240" i="103" a="1"/>
  <c r="N240" i="103" s="1"/>
  <c r="M240" i="103" a="1"/>
  <c r="M240" i="103" s="1"/>
  <c r="L240" i="103" a="1"/>
  <c r="L240" i="103" s="1"/>
  <c r="K240" i="103" a="1"/>
  <c r="K240" i="103" s="1"/>
  <c r="J240" i="103" a="1"/>
  <c r="J240" i="103" s="1"/>
  <c r="I240" i="103" a="1"/>
  <c r="I240" i="103" s="1"/>
  <c r="H240" i="103" a="1"/>
  <c r="H240" i="103" s="1"/>
  <c r="G240" i="103" a="1"/>
  <c r="G240" i="103" s="1"/>
  <c r="F240" i="103" a="1"/>
  <c r="F240" i="103" s="1"/>
  <c r="E240" i="103" a="1"/>
  <c r="E240" i="103" s="1"/>
  <c r="D240" i="103" a="1"/>
  <c r="D240" i="103" s="1"/>
  <c r="S239" i="103" a="1"/>
  <c r="S239" i="103" s="1"/>
  <c r="R239" i="103" a="1"/>
  <c r="R239" i="103" s="1"/>
  <c r="Q239" i="103" a="1"/>
  <c r="Q239" i="103" s="1"/>
  <c r="P239" i="103" a="1"/>
  <c r="P239" i="103" s="1"/>
  <c r="O239" i="103" a="1"/>
  <c r="O239" i="103" s="1"/>
  <c r="N239" i="103" a="1"/>
  <c r="N239" i="103" s="1"/>
  <c r="M239" i="103" a="1"/>
  <c r="M239" i="103" s="1"/>
  <c r="L239" i="103" a="1"/>
  <c r="L239" i="103" s="1"/>
  <c r="K239" i="103" a="1"/>
  <c r="K239" i="103" s="1"/>
  <c r="J239" i="103" a="1"/>
  <c r="J239" i="103" s="1"/>
  <c r="I239" i="103" a="1"/>
  <c r="I239" i="103" s="1"/>
  <c r="H239" i="103" a="1"/>
  <c r="H239" i="103" s="1"/>
  <c r="G239" i="103" a="1"/>
  <c r="G239" i="103" s="1"/>
  <c r="F239" i="103" a="1"/>
  <c r="F239" i="103" s="1"/>
  <c r="E239" i="103" a="1"/>
  <c r="E239" i="103" s="1"/>
  <c r="D239" i="103" a="1"/>
  <c r="D239" i="103" s="1"/>
  <c r="S238" i="103" a="1"/>
  <c r="S238" i="103" s="1"/>
  <c r="R238" i="103" a="1"/>
  <c r="R238" i="103" s="1"/>
  <c r="Q238" i="103" a="1"/>
  <c r="Q238" i="103" s="1"/>
  <c r="P238" i="103" a="1"/>
  <c r="P238" i="103" s="1"/>
  <c r="O238" i="103" a="1"/>
  <c r="O238" i="103" s="1"/>
  <c r="N238" i="103" a="1"/>
  <c r="N238" i="103" s="1"/>
  <c r="M238" i="103" a="1"/>
  <c r="M238" i="103" s="1"/>
  <c r="L238" i="103" a="1"/>
  <c r="L238" i="103" s="1"/>
  <c r="K238" i="103" a="1"/>
  <c r="K238" i="103" s="1"/>
  <c r="J238" i="103" a="1"/>
  <c r="J238" i="103" s="1"/>
  <c r="I238" i="103" a="1"/>
  <c r="I238" i="103" s="1"/>
  <c r="H238" i="103" a="1"/>
  <c r="H238" i="103" s="1"/>
  <c r="G238" i="103" a="1"/>
  <c r="G238" i="103" s="1"/>
  <c r="F238" i="103" a="1"/>
  <c r="F238" i="103" s="1"/>
  <c r="E238" i="103" a="1"/>
  <c r="E238" i="103" s="1"/>
  <c r="D238" i="103" a="1"/>
  <c r="D238" i="103" s="1"/>
  <c r="S237" i="103" a="1"/>
  <c r="S237" i="103" s="1"/>
  <c r="R237" i="103" a="1"/>
  <c r="R237" i="103" s="1"/>
  <c r="Q237" i="103" a="1"/>
  <c r="Q237" i="103" s="1"/>
  <c r="P237" i="103" a="1"/>
  <c r="P237" i="103" s="1"/>
  <c r="O237" i="103" a="1"/>
  <c r="O237" i="103" s="1"/>
  <c r="N237" i="103" a="1"/>
  <c r="N237" i="103" s="1"/>
  <c r="M237" i="103" a="1"/>
  <c r="M237" i="103" s="1"/>
  <c r="L237" i="103" a="1"/>
  <c r="L237" i="103" s="1"/>
  <c r="K237" i="103" a="1"/>
  <c r="K237" i="103" s="1"/>
  <c r="J237" i="103" a="1"/>
  <c r="J237" i="103" s="1"/>
  <c r="I237" i="103" a="1"/>
  <c r="I237" i="103" s="1"/>
  <c r="H237" i="103" a="1"/>
  <c r="H237" i="103" s="1"/>
  <c r="G237" i="103" a="1"/>
  <c r="G237" i="103" s="1"/>
  <c r="F237" i="103" a="1"/>
  <c r="F237" i="103" s="1"/>
  <c r="E237" i="103" a="1"/>
  <c r="E237" i="103" s="1"/>
  <c r="D237" i="103" a="1"/>
  <c r="D237" i="103" s="1"/>
  <c r="S236" i="103" a="1"/>
  <c r="S236" i="103" s="1"/>
  <c r="R236" i="103" a="1"/>
  <c r="R236" i="103" s="1"/>
  <c r="Q236" i="103" a="1"/>
  <c r="Q236" i="103" s="1"/>
  <c r="P236" i="103" a="1"/>
  <c r="P236" i="103" s="1"/>
  <c r="O236" i="103" a="1"/>
  <c r="O236" i="103" s="1"/>
  <c r="N236" i="103" a="1"/>
  <c r="N236" i="103" s="1"/>
  <c r="M236" i="103" a="1"/>
  <c r="M236" i="103" s="1"/>
  <c r="L236" i="103" a="1"/>
  <c r="L236" i="103" s="1"/>
  <c r="K236" i="103" a="1"/>
  <c r="K236" i="103" s="1"/>
  <c r="J236" i="103" a="1"/>
  <c r="J236" i="103" s="1"/>
  <c r="I236" i="103" a="1"/>
  <c r="I236" i="103" s="1"/>
  <c r="H236" i="103" a="1"/>
  <c r="H236" i="103" s="1"/>
  <c r="G236" i="103" a="1"/>
  <c r="G236" i="103" s="1"/>
  <c r="F236" i="103" a="1"/>
  <c r="F236" i="103" s="1"/>
  <c r="E236" i="103" a="1"/>
  <c r="E236" i="103" s="1"/>
  <c r="D236" i="103" a="1"/>
  <c r="D236" i="103" s="1"/>
  <c r="S235" i="103" a="1"/>
  <c r="S235" i="103" s="1"/>
  <c r="R235" i="103" a="1"/>
  <c r="R235" i="103" s="1"/>
  <c r="Q235" i="103" a="1"/>
  <c r="Q235" i="103" s="1"/>
  <c r="P235" i="103" a="1"/>
  <c r="P235" i="103" s="1"/>
  <c r="O235" i="103" a="1"/>
  <c r="O235" i="103" s="1"/>
  <c r="N235" i="103" a="1"/>
  <c r="N235" i="103" s="1"/>
  <c r="M235" i="103" a="1"/>
  <c r="M235" i="103" s="1"/>
  <c r="L235" i="103" a="1"/>
  <c r="L235" i="103" s="1"/>
  <c r="K235" i="103" a="1"/>
  <c r="K235" i="103" s="1"/>
  <c r="J235" i="103" a="1"/>
  <c r="J235" i="103" s="1"/>
  <c r="I235" i="103" a="1"/>
  <c r="I235" i="103" s="1"/>
  <c r="H235" i="103" a="1"/>
  <c r="H235" i="103" s="1"/>
  <c r="G235" i="103" a="1"/>
  <c r="G235" i="103" s="1"/>
  <c r="F235" i="103" a="1"/>
  <c r="F235" i="103" s="1"/>
  <c r="E235" i="103" a="1"/>
  <c r="E235" i="103" s="1"/>
  <c r="D235" i="103" a="1"/>
  <c r="D235" i="103" s="1"/>
  <c r="S234" i="103" a="1"/>
  <c r="S234" i="103" s="1"/>
  <c r="R234" i="103" a="1"/>
  <c r="R234" i="103" s="1"/>
  <c r="Q234" i="103" a="1"/>
  <c r="Q234" i="103" s="1"/>
  <c r="P234" i="103" a="1"/>
  <c r="P234" i="103" s="1"/>
  <c r="O234" i="103" a="1"/>
  <c r="O234" i="103" s="1"/>
  <c r="N234" i="103" a="1"/>
  <c r="N234" i="103" s="1"/>
  <c r="M234" i="103" a="1"/>
  <c r="M234" i="103" s="1"/>
  <c r="L234" i="103" a="1"/>
  <c r="L234" i="103" s="1"/>
  <c r="K234" i="103" a="1"/>
  <c r="K234" i="103" s="1"/>
  <c r="J234" i="103" a="1"/>
  <c r="J234" i="103" s="1"/>
  <c r="I234" i="103" a="1"/>
  <c r="I234" i="103" s="1"/>
  <c r="H234" i="103" a="1"/>
  <c r="H234" i="103" s="1"/>
  <c r="G234" i="103" a="1"/>
  <c r="G234" i="103" s="1"/>
  <c r="F234" i="103" a="1"/>
  <c r="F234" i="103" s="1"/>
  <c r="E234" i="103" a="1"/>
  <c r="E234" i="103" s="1"/>
  <c r="D234" i="103" a="1"/>
  <c r="D234" i="103" s="1"/>
  <c r="S233" i="103" a="1"/>
  <c r="S233" i="103" s="1"/>
  <c r="R233" i="103" a="1"/>
  <c r="R233" i="103" s="1"/>
  <c r="Q233" i="103" a="1"/>
  <c r="Q233" i="103" s="1"/>
  <c r="P233" i="103" a="1"/>
  <c r="P233" i="103" s="1"/>
  <c r="O233" i="103" a="1"/>
  <c r="O233" i="103" s="1"/>
  <c r="N233" i="103" a="1"/>
  <c r="N233" i="103" s="1"/>
  <c r="M233" i="103" a="1"/>
  <c r="M233" i="103" s="1"/>
  <c r="L233" i="103" a="1"/>
  <c r="L233" i="103" s="1"/>
  <c r="K233" i="103" a="1"/>
  <c r="K233" i="103" s="1"/>
  <c r="J233" i="103" a="1"/>
  <c r="J233" i="103" s="1"/>
  <c r="I233" i="103" a="1"/>
  <c r="I233" i="103" s="1"/>
  <c r="H233" i="103" a="1"/>
  <c r="H233" i="103" s="1"/>
  <c r="G233" i="103" a="1"/>
  <c r="G233" i="103" s="1"/>
  <c r="F233" i="103" a="1"/>
  <c r="F233" i="103" s="1"/>
  <c r="E233" i="103" a="1"/>
  <c r="E233" i="103" s="1"/>
  <c r="D233" i="103" a="1"/>
  <c r="D233" i="103" s="1"/>
  <c r="S232" i="103" a="1"/>
  <c r="S232" i="103" s="1"/>
  <c r="R232" i="103" a="1"/>
  <c r="R232" i="103" s="1"/>
  <c r="Q232" i="103" a="1"/>
  <c r="Q232" i="103" s="1"/>
  <c r="P232" i="103" a="1"/>
  <c r="P232" i="103" s="1"/>
  <c r="O232" i="103" a="1"/>
  <c r="O232" i="103" s="1"/>
  <c r="N232" i="103" a="1"/>
  <c r="N232" i="103" s="1"/>
  <c r="M232" i="103" a="1"/>
  <c r="M232" i="103" s="1"/>
  <c r="L232" i="103" a="1"/>
  <c r="L232" i="103" s="1"/>
  <c r="K232" i="103" a="1"/>
  <c r="K232" i="103" s="1"/>
  <c r="J232" i="103" a="1"/>
  <c r="J232" i="103" s="1"/>
  <c r="I232" i="103" a="1"/>
  <c r="I232" i="103" s="1"/>
  <c r="H232" i="103" a="1"/>
  <c r="H232" i="103" s="1"/>
  <c r="G232" i="103" a="1"/>
  <c r="G232" i="103" s="1"/>
  <c r="F232" i="103" a="1"/>
  <c r="F232" i="103" s="1"/>
  <c r="E232" i="103" a="1"/>
  <c r="E232" i="103" s="1"/>
  <c r="D232" i="103" a="1"/>
  <c r="D232" i="103" s="1"/>
  <c r="D229" i="103" a="1"/>
  <c r="D229" i="103" s="1"/>
  <c r="D228" i="103" a="1"/>
  <c r="D228" i="103" s="1"/>
  <c r="D227" i="103" a="1"/>
  <c r="D227" i="103" s="1"/>
  <c r="E224" i="103" a="1"/>
  <c r="E224" i="103" s="1"/>
  <c r="D224" i="103" a="1"/>
  <c r="D224" i="103" s="1"/>
  <c r="E223" i="103" a="1"/>
  <c r="E223" i="103" s="1"/>
  <c r="D223" i="103" a="1"/>
  <c r="D223" i="103" s="1"/>
  <c r="E222" i="103" a="1"/>
  <c r="E222" i="103" s="1"/>
  <c r="D222" i="103" a="1"/>
  <c r="D222" i="103" s="1"/>
  <c r="E221" i="103" a="1"/>
  <c r="E221" i="103" s="1"/>
  <c r="D221" i="103" a="1"/>
  <c r="D221" i="103" s="1"/>
  <c r="E220" i="103" a="1"/>
  <c r="E220" i="103" s="1"/>
  <c r="D220" i="103" a="1"/>
  <c r="D220" i="103" s="1"/>
  <c r="E219" i="103" a="1"/>
  <c r="E219" i="103" s="1"/>
  <c r="D219" i="103" a="1"/>
  <c r="D219" i="103" s="1"/>
  <c r="E218" i="103" a="1"/>
  <c r="E218" i="103" s="1"/>
  <c r="D218" i="103" a="1"/>
  <c r="D218" i="103" s="1"/>
  <c r="E217" i="103" a="1"/>
  <c r="E217" i="103" s="1"/>
  <c r="D217" i="103" a="1"/>
  <c r="D217" i="103" s="1"/>
  <c r="E216" i="103" a="1"/>
  <c r="E216" i="103" s="1"/>
  <c r="D216" i="103" a="1"/>
  <c r="D216" i="103" s="1"/>
  <c r="E215" i="103" a="1"/>
  <c r="E215" i="103" s="1"/>
  <c r="D215" i="103" a="1"/>
  <c r="D215" i="103" s="1"/>
  <c r="E214" i="103" a="1"/>
  <c r="E214" i="103" s="1"/>
  <c r="D214" i="103" a="1"/>
  <c r="D214" i="103" s="1"/>
  <c r="E213" i="103" a="1"/>
  <c r="E213" i="103" s="1"/>
  <c r="D213" i="103" a="1"/>
  <c r="D213" i="103" s="1"/>
  <c r="D211" i="103" a="1"/>
  <c r="D211" i="103" s="1"/>
  <c r="E208" i="103" a="1"/>
  <c r="E208" i="103" s="1"/>
  <c r="D208" i="103" a="1"/>
  <c r="D208" i="103" s="1"/>
  <c r="E207" i="103" a="1"/>
  <c r="E207" i="103" s="1"/>
  <c r="D207" i="103" a="1"/>
  <c r="D207" i="103" s="1"/>
  <c r="D205" i="103" a="1"/>
  <c r="D205" i="103" s="1"/>
  <c r="D204" i="103" a="1"/>
  <c r="D204" i="103" s="1"/>
  <c r="D203" i="103" a="1"/>
  <c r="D203" i="103" s="1"/>
  <c r="D202" i="103" a="1"/>
  <c r="D202" i="103" s="1"/>
  <c r="H199" i="103" a="1"/>
  <c r="H199" i="103" s="1"/>
  <c r="G199" i="103" a="1"/>
  <c r="G199" i="103" s="1"/>
  <c r="F199" i="103" a="1"/>
  <c r="F199" i="103" s="1"/>
  <c r="E199" i="103" a="1"/>
  <c r="E199" i="103" s="1"/>
  <c r="D199" i="103" a="1"/>
  <c r="D199" i="103" s="1"/>
  <c r="H198" i="103" a="1"/>
  <c r="H198" i="103" s="1"/>
  <c r="G198" i="103" a="1"/>
  <c r="G198" i="103" s="1"/>
  <c r="F198" i="103" a="1"/>
  <c r="F198" i="103" s="1"/>
  <c r="E198" i="103" a="1"/>
  <c r="E198" i="103" s="1"/>
  <c r="D198" i="103" a="1"/>
  <c r="D198" i="103" s="1"/>
  <c r="H197" i="103" a="1"/>
  <c r="H197" i="103" s="1"/>
  <c r="G197" i="103" a="1"/>
  <c r="G197" i="103" s="1"/>
  <c r="F197" i="103" a="1"/>
  <c r="F197" i="103" s="1"/>
  <c r="E197" i="103" a="1"/>
  <c r="E197" i="103" s="1"/>
  <c r="D197" i="103" a="1"/>
  <c r="D197" i="103" s="1"/>
  <c r="H196" i="103" a="1"/>
  <c r="H196" i="103" s="1"/>
  <c r="G196" i="103" a="1"/>
  <c r="G196" i="103" s="1"/>
  <c r="F196" i="103" a="1"/>
  <c r="F196" i="103" s="1"/>
  <c r="E196" i="103" a="1"/>
  <c r="E196" i="103" s="1"/>
  <c r="D196" i="103" a="1"/>
  <c r="D196" i="103" s="1"/>
  <c r="H195" i="103" a="1"/>
  <c r="H195" i="103" s="1"/>
  <c r="G195" i="103" a="1"/>
  <c r="G195" i="103" s="1"/>
  <c r="F195" i="103" a="1"/>
  <c r="F195" i="103" s="1"/>
  <c r="E195" i="103" a="1"/>
  <c r="E195" i="103" s="1"/>
  <c r="D195" i="103" a="1"/>
  <c r="D195" i="103" s="1"/>
  <c r="H194" i="103" a="1"/>
  <c r="H194" i="103" s="1"/>
  <c r="G194" i="103" a="1"/>
  <c r="G194" i="103" s="1"/>
  <c r="F194" i="103" a="1"/>
  <c r="F194" i="103" s="1"/>
  <c r="E194" i="103" a="1"/>
  <c r="E194" i="103" s="1"/>
  <c r="D194" i="103" a="1"/>
  <c r="D194" i="103" s="1"/>
  <c r="H193" i="103" a="1"/>
  <c r="H193" i="103" s="1"/>
  <c r="G193" i="103" a="1"/>
  <c r="G193" i="103" s="1"/>
  <c r="F193" i="103" a="1"/>
  <c r="F193" i="103" s="1"/>
  <c r="E193" i="103" a="1"/>
  <c r="E193" i="103" s="1"/>
  <c r="D193" i="103" a="1"/>
  <c r="D193" i="103" s="1"/>
  <c r="H192" i="103" a="1"/>
  <c r="H192" i="103" s="1"/>
  <c r="G192" i="103" a="1"/>
  <c r="G192" i="103" s="1"/>
  <c r="F192" i="103" a="1"/>
  <c r="F192" i="103" s="1"/>
  <c r="E192" i="103" a="1"/>
  <c r="E192" i="103" s="1"/>
  <c r="D192" i="103" a="1"/>
  <c r="D192" i="103" s="1"/>
  <c r="H191" i="103" a="1"/>
  <c r="H191" i="103" s="1"/>
  <c r="G191" i="103" a="1"/>
  <c r="G191" i="103" s="1"/>
  <c r="F191" i="103" a="1"/>
  <c r="F191" i="103" s="1"/>
  <c r="E191" i="103" a="1"/>
  <c r="E191" i="103" s="1"/>
  <c r="D191" i="103" a="1"/>
  <c r="D191" i="103" s="1"/>
  <c r="H190" i="103" a="1"/>
  <c r="H190" i="103" s="1"/>
  <c r="G190" i="103" a="1"/>
  <c r="G190" i="103" s="1"/>
  <c r="F190" i="103" a="1"/>
  <c r="F190" i="103" s="1"/>
  <c r="E190" i="103" a="1"/>
  <c r="E190" i="103" s="1"/>
  <c r="D190" i="103" a="1"/>
  <c r="D190" i="103" s="1"/>
  <c r="H189" i="103" a="1"/>
  <c r="H189" i="103" s="1"/>
  <c r="G189" i="103" a="1"/>
  <c r="G189" i="103" s="1"/>
  <c r="F189" i="103" a="1"/>
  <c r="F189" i="103" s="1"/>
  <c r="E189" i="103" a="1"/>
  <c r="E189" i="103" s="1"/>
  <c r="D189" i="103" a="1"/>
  <c r="D189" i="103" s="1"/>
  <c r="H188" i="103" a="1"/>
  <c r="H188" i="103" s="1"/>
  <c r="G188" i="103" a="1"/>
  <c r="G188" i="103" s="1"/>
  <c r="F188" i="103" a="1"/>
  <c r="F188" i="103" s="1"/>
  <c r="E188" i="103" a="1"/>
  <c r="E188" i="103" s="1"/>
  <c r="D188" i="103" a="1"/>
  <c r="D188" i="103" s="1"/>
  <c r="H187" i="103" a="1"/>
  <c r="H187" i="103" s="1"/>
  <c r="G187" i="103" a="1"/>
  <c r="G187" i="103" s="1"/>
  <c r="F187" i="103" a="1"/>
  <c r="F187" i="103" s="1"/>
  <c r="E187" i="103" a="1"/>
  <c r="E187" i="103" s="1"/>
  <c r="D187" i="103" a="1"/>
  <c r="D187" i="103" s="1"/>
  <c r="D181" i="103" a="1"/>
  <c r="D181" i="103" s="1"/>
  <c r="D180" i="103" a="1"/>
  <c r="D180" i="103" s="1"/>
  <c r="D179" i="103" a="1"/>
  <c r="D179" i="103" s="1"/>
  <c r="D178" i="103" a="1"/>
  <c r="D178" i="103" s="1"/>
  <c r="E175" i="103" a="1"/>
  <c r="E175" i="103" s="1"/>
  <c r="D175" i="103" a="1"/>
  <c r="D175" i="103" s="1"/>
  <c r="D174" i="103" a="1"/>
  <c r="D174" i="103" s="1"/>
  <c r="D173" i="103" a="1"/>
  <c r="D173" i="103" s="1"/>
  <c r="D170" i="103" a="1"/>
  <c r="D170" i="103" s="1"/>
  <c r="D169" i="103" a="1"/>
  <c r="D169" i="103" s="1"/>
  <c r="D168" i="103" a="1"/>
  <c r="D168" i="103" s="1"/>
  <c r="D167" i="103" a="1"/>
  <c r="D167" i="103" s="1"/>
  <c r="D164" i="103" a="1"/>
  <c r="D164" i="103" s="1"/>
  <c r="D163" i="103" a="1"/>
  <c r="D163" i="103" s="1"/>
  <c r="D162" i="103" a="1"/>
  <c r="D162" i="103" s="1"/>
  <c r="D161" i="103" a="1"/>
  <c r="D161" i="103" s="1"/>
  <c r="E158" i="103" a="1"/>
  <c r="E158" i="103" s="1"/>
  <c r="D158" i="103" a="1"/>
  <c r="D158" i="103" s="1"/>
  <c r="E157" i="103" a="1"/>
  <c r="E157" i="103" s="1"/>
  <c r="D157" i="103" a="1"/>
  <c r="D157" i="103" s="1"/>
  <c r="E156" i="103" a="1"/>
  <c r="E156" i="103" s="1"/>
  <c r="D156" i="103" a="1"/>
  <c r="D156" i="103" s="1"/>
  <c r="E155" i="103" a="1"/>
  <c r="E155" i="103" s="1"/>
  <c r="D155" i="103" a="1"/>
  <c r="D155" i="103" s="1"/>
  <c r="E154" i="103" a="1"/>
  <c r="E154" i="103" s="1"/>
  <c r="D154" i="103" a="1"/>
  <c r="D154" i="103" s="1"/>
  <c r="D151" i="103" a="1"/>
  <c r="D151" i="103" s="1"/>
  <c r="D150" i="103" a="1"/>
  <c r="D150" i="103" s="1"/>
  <c r="E147" i="103" a="1"/>
  <c r="E147" i="103" s="1"/>
  <c r="D147" i="103" a="1"/>
  <c r="D147" i="103" s="1"/>
  <c r="E146" i="103" a="1"/>
  <c r="E146" i="103" s="1"/>
  <c r="D146" i="103" a="1"/>
  <c r="D146" i="103" s="1"/>
  <c r="E145" i="103" a="1"/>
  <c r="E145" i="103" s="1"/>
  <c r="D145" i="103" a="1"/>
  <c r="D145" i="103" s="1"/>
  <c r="E144" i="103" a="1"/>
  <c r="E144" i="103" s="1"/>
  <c r="D144" i="103" a="1"/>
  <c r="D144" i="103" s="1"/>
  <c r="E143" i="103" a="1"/>
  <c r="E143" i="103" s="1"/>
  <c r="D143" i="103" a="1"/>
  <c r="D143" i="103" s="1"/>
  <c r="D141" i="103" a="1"/>
  <c r="D141" i="103" s="1"/>
  <c r="D140" i="103" a="1"/>
  <c r="D140" i="103" s="1"/>
  <c r="D139" i="103" a="1"/>
  <c r="D139" i="103" s="1"/>
  <c r="E136" i="103" a="1"/>
  <c r="E136" i="103" s="1"/>
  <c r="D136" i="103" a="1"/>
  <c r="D136" i="103" s="1"/>
  <c r="E135" i="103" a="1"/>
  <c r="E135" i="103" s="1"/>
  <c r="D135" i="103" a="1"/>
  <c r="D135" i="103" s="1"/>
  <c r="D133" i="103" a="1"/>
  <c r="D133" i="103" s="1"/>
  <c r="D132" i="103" a="1"/>
  <c r="D132" i="103" s="1"/>
  <c r="E129" i="103" a="1"/>
  <c r="E129" i="103" s="1"/>
  <c r="D129" i="103" a="1"/>
  <c r="D129" i="103" s="1"/>
  <c r="E128" i="103" a="1"/>
  <c r="E128" i="103" s="1"/>
  <c r="D128" i="103" a="1"/>
  <c r="D128" i="103" s="1"/>
  <c r="D125" i="103" a="1"/>
  <c r="D125" i="103" s="1"/>
  <c r="D124" i="103" a="1"/>
  <c r="D124" i="103" s="1"/>
  <c r="G121" i="103" a="1"/>
  <c r="G121" i="103" s="1"/>
  <c r="F121" i="103" a="1"/>
  <c r="F121" i="103" s="1"/>
  <c r="E121" i="103" a="1"/>
  <c r="E121" i="103" s="1"/>
  <c r="D121" i="103" a="1"/>
  <c r="D121" i="103" s="1"/>
  <c r="G120" i="103" a="1"/>
  <c r="G120" i="103" s="1"/>
  <c r="F120" i="103" a="1"/>
  <c r="F120" i="103" s="1"/>
  <c r="E120" i="103" a="1"/>
  <c r="E120" i="103" s="1"/>
  <c r="D120" i="103" a="1"/>
  <c r="D120" i="103" s="1"/>
  <c r="D117" i="103" a="1"/>
  <c r="D117" i="103" s="1"/>
  <c r="D116" i="103" a="1"/>
  <c r="D116" i="103" s="1"/>
  <c r="D115" i="103" a="1"/>
  <c r="D115" i="103" s="1"/>
  <c r="G112" i="103" a="1"/>
  <c r="G112" i="103" s="1"/>
  <c r="F112" i="103" a="1"/>
  <c r="F112" i="103" s="1"/>
  <c r="E112" i="103" a="1"/>
  <c r="E112" i="103" s="1"/>
  <c r="D112" i="103" a="1"/>
  <c r="D112" i="103" s="1"/>
  <c r="G111" i="103" a="1"/>
  <c r="G111" i="103" s="1"/>
  <c r="F111" i="103" a="1"/>
  <c r="F111" i="103" s="1"/>
  <c r="E111" i="103" a="1"/>
  <c r="E111" i="103" s="1"/>
  <c r="D111" i="103" a="1"/>
  <c r="D111" i="103" s="1"/>
  <c r="G110" i="103" a="1"/>
  <c r="G110" i="103" s="1"/>
  <c r="F110" i="103" a="1"/>
  <c r="F110" i="103" s="1"/>
  <c r="E110" i="103" a="1"/>
  <c r="E110" i="103" s="1"/>
  <c r="D110" i="103" a="1"/>
  <c r="D110" i="103" s="1"/>
  <c r="D107" i="103" a="1"/>
  <c r="D107" i="103" s="1"/>
  <c r="D106" i="103" a="1"/>
  <c r="D106" i="103" s="1"/>
  <c r="D105" i="103" a="1"/>
  <c r="D105" i="103" s="1"/>
  <c r="D99" i="103" a="1"/>
  <c r="D99" i="103" s="1"/>
  <c r="S97" i="103" a="1"/>
  <c r="S97" i="103" s="1"/>
  <c r="R97" i="103" a="1"/>
  <c r="R97" i="103" s="1"/>
  <c r="Q97" i="103" a="1"/>
  <c r="Q97" i="103" s="1"/>
  <c r="P97" i="103" a="1"/>
  <c r="P97" i="103" s="1"/>
  <c r="O97" i="103" a="1"/>
  <c r="O97" i="103" s="1"/>
  <c r="N97" i="103" a="1"/>
  <c r="N97" i="103" s="1"/>
  <c r="M97" i="103" a="1"/>
  <c r="M97" i="103" s="1"/>
  <c r="L97" i="103" a="1"/>
  <c r="L97" i="103" s="1"/>
  <c r="K97" i="103" a="1"/>
  <c r="K97" i="103" s="1"/>
  <c r="J97" i="103" a="1"/>
  <c r="J97" i="103" s="1"/>
  <c r="I97" i="103" a="1"/>
  <c r="I97" i="103" s="1"/>
  <c r="H97" i="103" a="1"/>
  <c r="H97" i="103" s="1"/>
  <c r="G97" i="103" a="1"/>
  <c r="G97" i="103" s="1"/>
  <c r="F97" i="103" a="1"/>
  <c r="F97" i="103" s="1"/>
  <c r="E97" i="103" a="1"/>
  <c r="E97" i="103" s="1"/>
  <c r="D97" i="103" a="1"/>
  <c r="D97" i="103" s="1"/>
  <c r="S96" i="103" a="1"/>
  <c r="S96" i="103" s="1"/>
  <c r="R96" i="103" a="1"/>
  <c r="R96" i="103" s="1"/>
  <c r="Q96" i="103" a="1"/>
  <c r="Q96" i="103" s="1"/>
  <c r="P96" i="103" a="1"/>
  <c r="P96" i="103" s="1"/>
  <c r="O96" i="103" a="1"/>
  <c r="O96" i="103" s="1"/>
  <c r="N96" i="103" a="1"/>
  <c r="N96" i="103" s="1"/>
  <c r="M96" i="103" a="1"/>
  <c r="M96" i="103" s="1"/>
  <c r="L96" i="103" a="1"/>
  <c r="L96" i="103" s="1"/>
  <c r="K96" i="103" a="1"/>
  <c r="K96" i="103" s="1"/>
  <c r="J96" i="103" a="1"/>
  <c r="J96" i="103" s="1"/>
  <c r="I96" i="103" a="1"/>
  <c r="I96" i="103" s="1"/>
  <c r="H96" i="103" a="1"/>
  <c r="H96" i="103" s="1"/>
  <c r="G96" i="103" a="1"/>
  <c r="G96" i="103" s="1"/>
  <c r="F96" i="103" a="1"/>
  <c r="F96" i="103" s="1"/>
  <c r="E96" i="103" a="1"/>
  <c r="E96" i="103" s="1"/>
  <c r="D96" i="103" a="1"/>
  <c r="D96" i="103" s="1"/>
  <c r="S95" i="103" a="1"/>
  <c r="S95" i="103" s="1"/>
  <c r="R95" i="103" a="1"/>
  <c r="R95" i="103" s="1"/>
  <c r="Q95" i="103" a="1"/>
  <c r="Q95" i="103" s="1"/>
  <c r="P95" i="103" a="1"/>
  <c r="P95" i="103" s="1"/>
  <c r="O95" i="103" a="1"/>
  <c r="O95" i="103" s="1"/>
  <c r="N95" i="103" a="1"/>
  <c r="N95" i="103" s="1"/>
  <c r="M95" i="103" a="1"/>
  <c r="M95" i="103" s="1"/>
  <c r="L95" i="103" a="1"/>
  <c r="L95" i="103" s="1"/>
  <c r="K95" i="103" a="1"/>
  <c r="K95" i="103" s="1"/>
  <c r="J95" i="103" a="1"/>
  <c r="J95" i="103" s="1"/>
  <c r="I95" i="103" a="1"/>
  <c r="I95" i="103" s="1"/>
  <c r="H95" i="103" a="1"/>
  <c r="H95" i="103" s="1"/>
  <c r="G95" i="103" a="1"/>
  <c r="G95" i="103" s="1"/>
  <c r="F95" i="103" a="1"/>
  <c r="F95" i="103" s="1"/>
  <c r="E95" i="103" a="1"/>
  <c r="E95" i="103" s="1"/>
  <c r="D95" i="103" a="1"/>
  <c r="D95" i="103" s="1"/>
  <c r="S94" i="103" a="1"/>
  <c r="S94" i="103" s="1"/>
  <c r="R94" i="103" a="1"/>
  <c r="R94" i="103" s="1"/>
  <c r="Q94" i="103" a="1"/>
  <c r="Q94" i="103" s="1"/>
  <c r="P94" i="103" a="1"/>
  <c r="P94" i="103" s="1"/>
  <c r="O94" i="103" a="1"/>
  <c r="O94" i="103" s="1"/>
  <c r="N94" i="103" a="1"/>
  <c r="N94" i="103" s="1"/>
  <c r="M94" i="103" a="1"/>
  <c r="M94" i="103" s="1"/>
  <c r="L94" i="103" a="1"/>
  <c r="L94" i="103" s="1"/>
  <c r="K94" i="103" a="1"/>
  <c r="K94" i="103" s="1"/>
  <c r="J94" i="103" a="1"/>
  <c r="J94" i="103" s="1"/>
  <c r="I94" i="103" a="1"/>
  <c r="I94" i="103" s="1"/>
  <c r="H94" i="103" a="1"/>
  <c r="H94" i="103" s="1"/>
  <c r="G94" i="103" a="1"/>
  <c r="G94" i="103" s="1"/>
  <c r="F94" i="103" a="1"/>
  <c r="F94" i="103" s="1"/>
  <c r="E94" i="103" a="1"/>
  <c r="E94" i="103" s="1"/>
  <c r="D94" i="103" a="1"/>
  <c r="D94" i="103" s="1"/>
  <c r="S93" i="103" a="1"/>
  <c r="S93" i="103" s="1"/>
  <c r="R93" i="103" a="1"/>
  <c r="R93" i="103" s="1"/>
  <c r="Q93" i="103" a="1"/>
  <c r="Q93" i="103" s="1"/>
  <c r="P93" i="103" a="1"/>
  <c r="P93" i="103" s="1"/>
  <c r="O93" i="103" a="1"/>
  <c r="O93" i="103" s="1"/>
  <c r="N93" i="103" a="1"/>
  <c r="N93" i="103" s="1"/>
  <c r="M93" i="103" a="1"/>
  <c r="M93" i="103" s="1"/>
  <c r="L93" i="103" a="1"/>
  <c r="L93" i="103" s="1"/>
  <c r="K93" i="103" a="1"/>
  <c r="K93" i="103" s="1"/>
  <c r="J93" i="103" a="1"/>
  <c r="J93" i="103" s="1"/>
  <c r="I93" i="103" a="1"/>
  <c r="I93" i="103" s="1"/>
  <c r="H93" i="103" a="1"/>
  <c r="H93" i="103" s="1"/>
  <c r="G93" i="103" a="1"/>
  <c r="G93" i="103" s="1"/>
  <c r="F93" i="103" a="1"/>
  <c r="F93" i="103" s="1"/>
  <c r="E93" i="103" a="1"/>
  <c r="E93" i="103" s="1"/>
  <c r="D93" i="103" a="1"/>
  <c r="D93" i="103" s="1"/>
  <c r="S92" i="103" a="1"/>
  <c r="S92" i="103" s="1"/>
  <c r="R92" i="103" a="1"/>
  <c r="R92" i="103" s="1"/>
  <c r="Q92" i="103" a="1"/>
  <c r="Q92" i="103" s="1"/>
  <c r="P92" i="103" a="1"/>
  <c r="P92" i="103" s="1"/>
  <c r="O92" i="103" a="1"/>
  <c r="O92" i="103" s="1"/>
  <c r="N92" i="103" a="1"/>
  <c r="N92" i="103" s="1"/>
  <c r="M92" i="103" a="1"/>
  <c r="M92" i="103" s="1"/>
  <c r="L92" i="103" a="1"/>
  <c r="L92" i="103" s="1"/>
  <c r="K92" i="103" a="1"/>
  <c r="K92" i="103" s="1"/>
  <c r="J92" i="103" a="1"/>
  <c r="J92" i="103" s="1"/>
  <c r="I92" i="103" a="1"/>
  <c r="I92" i="103" s="1"/>
  <c r="H92" i="103" a="1"/>
  <c r="H92" i="103" s="1"/>
  <c r="G92" i="103" a="1"/>
  <c r="G92" i="103" s="1"/>
  <c r="F92" i="103" a="1"/>
  <c r="F92" i="103" s="1"/>
  <c r="E92" i="103" a="1"/>
  <c r="E92" i="103" s="1"/>
  <c r="D92" i="103" a="1"/>
  <c r="D92" i="103" s="1"/>
  <c r="S91" i="103" a="1"/>
  <c r="S91" i="103" s="1"/>
  <c r="R91" i="103" a="1"/>
  <c r="R91" i="103" s="1"/>
  <c r="Q91" i="103" a="1"/>
  <c r="Q91" i="103" s="1"/>
  <c r="P91" i="103" a="1"/>
  <c r="P91" i="103" s="1"/>
  <c r="O91" i="103" a="1"/>
  <c r="O91" i="103" s="1"/>
  <c r="N91" i="103" a="1"/>
  <c r="N91" i="103" s="1"/>
  <c r="M91" i="103" a="1"/>
  <c r="M91" i="103" s="1"/>
  <c r="L91" i="103" a="1"/>
  <c r="L91" i="103" s="1"/>
  <c r="K91" i="103" a="1"/>
  <c r="K91" i="103" s="1"/>
  <c r="J91" i="103" a="1"/>
  <c r="J91" i="103" s="1"/>
  <c r="I91" i="103" a="1"/>
  <c r="I91" i="103" s="1"/>
  <c r="H91" i="103" a="1"/>
  <c r="H91" i="103" s="1"/>
  <c r="G91" i="103" a="1"/>
  <c r="G91" i="103" s="1"/>
  <c r="F91" i="103" a="1"/>
  <c r="F91" i="103" s="1"/>
  <c r="E91" i="103" a="1"/>
  <c r="E91" i="103" s="1"/>
  <c r="D91" i="103" a="1"/>
  <c r="D91" i="103" s="1"/>
  <c r="S90" i="103" a="1"/>
  <c r="S90" i="103" s="1"/>
  <c r="R90" i="103" a="1"/>
  <c r="R90" i="103" s="1"/>
  <c r="Q90" i="103" a="1"/>
  <c r="Q90" i="103" s="1"/>
  <c r="P90" i="103" a="1"/>
  <c r="P90" i="103" s="1"/>
  <c r="O90" i="103" a="1"/>
  <c r="O90" i="103" s="1"/>
  <c r="N90" i="103" a="1"/>
  <c r="N90" i="103" s="1"/>
  <c r="M90" i="103" a="1"/>
  <c r="M90" i="103" s="1"/>
  <c r="L90" i="103" a="1"/>
  <c r="L90" i="103" s="1"/>
  <c r="K90" i="103" a="1"/>
  <c r="K90" i="103" s="1"/>
  <c r="J90" i="103" a="1"/>
  <c r="J90" i="103" s="1"/>
  <c r="I90" i="103" a="1"/>
  <c r="I90" i="103" s="1"/>
  <c r="H90" i="103" a="1"/>
  <c r="H90" i="103" s="1"/>
  <c r="G90" i="103" a="1"/>
  <c r="G90" i="103" s="1"/>
  <c r="F90" i="103" a="1"/>
  <c r="F90" i="103" s="1"/>
  <c r="E90" i="103" a="1"/>
  <c r="E90" i="103" s="1"/>
  <c r="D90" i="103" a="1"/>
  <c r="D90" i="103" s="1"/>
  <c r="D83" i="103" a="1"/>
  <c r="D83" i="103" s="1"/>
  <c r="D82" i="103" a="1"/>
  <c r="D82" i="103" s="1"/>
  <c r="D81" i="103" a="1"/>
  <c r="D81" i="103" s="1"/>
  <c r="E77" i="103" a="1"/>
  <c r="E77" i="103" s="1"/>
  <c r="D77" i="103" a="1"/>
  <c r="D77" i="103" s="1"/>
  <c r="E76" i="103" a="1"/>
  <c r="E76" i="103" s="1"/>
  <c r="D76" i="103" a="1"/>
  <c r="D76" i="103" s="1"/>
  <c r="E75" i="103" a="1"/>
  <c r="E75" i="103" s="1"/>
  <c r="D75" i="103" a="1"/>
  <c r="D75" i="103" s="1"/>
  <c r="E74" i="103" a="1"/>
  <c r="E74" i="103" s="1"/>
  <c r="D74" i="103" a="1"/>
  <c r="D74" i="103" s="1"/>
  <c r="E73" i="103" a="1"/>
  <c r="E73" i="103" s="1"/>
  <c r="D73" i="103" a="1"/>
  <c r="D73" i="103" s="1"/>
  <c r="E72" i="103" a="1"/>
  <c r="E72" i="103" s="1"/>
  <c r="D72" i="103" a="1"/>
  <c r="D72" i="103" s="1"/>
  <c r="E71" i="103" a="1"/>
  <c r="E71" i="103" s="1"/>
  <c r="D71" i="103" a="1"/>
  <c r="D71" i="103" s="1"/>
  <c r="E70" i="103" a="1"/>
  <c r="E70" i="103" s="1"/>
  <c r="D70" i="103" a="1"/>
  <c r="D70" i="103" s="1"/>
  <c r="E69" i="103" a="1"/>
  <c r="E69" i="103" s="1"/>
  <c r="D69" i="103" a="1"/>
  <c r="D69" i="103" s="1"/>
  <c r="E68" i="103" a="1"/>
  <c r="E68" i="103" s="1"/>
  <c r="D68" i="103" a="1"/>
  <c r="D68" i="103" s="1"/>
  <c r="E67" i="103" a="1"/>
  <c r="E67" i="103" s="1"/>
  <c r="D67" i="103" a="1"/>
  <c r="D67" i="103" s="1"/>
  <c r="E66" i="103" a="1"/>
  <c r="E66" i="103" s="1"/>
  <c r="D66" i="103" a="1"/>
  <c r="D66" i="103" s="1"/>
  <c r="E65" i="103" a="1"/>
  <c r="E65" i="103" s="1"/>
  <c r="D65" i="103" a="1"/>
  <c r="D65" i="103" s="1"/>
  <c r="E64" i="103" a="1"/>
  <c r="E64" i="103" s="1"/>
  <c r="D64" i="103" a="1"/>
  <c r="D64" i="103" s="1"/>
  <c r="D59" i="103" a="1"/>
  <c r="D59" i="103" s="1"/>
  <c r="D58" i="103" a="1"/>
  <c r="D58" i="103" s="1"/>
  <c r="D57" i="103" a="1"/>
  <c r="D57" i="103" s="1"/>
  <c r="G54" i="103" a="1"/>
  <c r="G54" i="103" s="1"/>
  <c r="F54" i="103" a="1"/>
  <c r="F54" i="103" s="1"/>
  <c r="E54" i="103" a="1"/>
  <c r="E54" i="103" s="1"/>
  <c r="D54" i="103" a="1"/>
  <c r="D54" i="103" s="1"/>
  <c r="G53" i="103" a="1"/>
  <c r="G53" i="103" s="1"/>
  <c r="F53" i="103" a="1"/>
  <c r="F53" i="103" s="1"/>
  <c r="E53" i="103" a="1"/>
  <c r="E53" i="103" s="1"/>
  <c r="D53" i="103" a="1"/>
  <c r="D53" i="103" s="1"/>
  <c r="G52" i="103" a="1"/>
  <c r="G52" i="103" s="1"/>
  <c r="F52" i="103" a="1"/>
  <c r="F52" i="103" s="1"/>
  <c r="E52" i="103" a="1"/>
  <c r="E52" i="103" s="1"/>
  <c r="D52" i="103" a="1"/>
  <c r="D52" i="103" s="1"/>
  <c r="G51" i="103" a="1"/>
  <c r="G51" i="103" s="1"/>
  <c r="F51" i="103" a="1"/>
  <c r="F51" i="103" s="1"/>
  <c r="E51" i="103" a="1"/>
  <c r="E51" i="103" s="1"/>
  <c r="D51" i="103" a="1"/>
  <c r="D51" i="103" s="1"/>
  <c r="G50" i="103" a="1"/>
  <c r="G50" i="103" s="1"/>
  <c r="F50" i="103" a="1"/>
  <c r="F50" i="103" s="1"/>
  <c r="E50" i="103" a="1"/>
  <c r="E50" i="103" s="1"/>
  <c r="D50" i="103" a="1"/>
  <c r="D50" i="103" s="1"/>
  <c r="G49" i="103" a="1"/>
  <c r="G49" i="103" s="1"/>
  <c r="F49" i="103" a="1"/>
  <c r="F49" i="103" s="1"/>
  <c r="E49" i="103" a="1"/>
  <c r="E49" i="103" s="1"/>
  <c r="D49" i="103" a="1"/>
  <c r="D49" i="103" s="1"/>
  <c r="G48" i="103" a="1"/>
  <c r="G48" i="103" s="1"/>
  <c r="F48" i="103" a="1"/>
  <c r="F48" i="103" s="1"/>
  <c r="E48" i="103" a="1"/>
  <c r="E48" i="103" s="1"/>
  <c r="D48" i="103" a="1"/>
  <c r="D48" i="103" s="1"/>
  <c r="D46" i="103" a="1"/>
  <c r="D46" i="103" s="1"/>
  <c r="D45" i="103" a="1"/>
  <c r="D45" i="103" s="1"/>
  <c r="E43" i="103" a="1"/>
  <c r="E43" i="103" s="1"/>
  <c r="D43" i="103" a="1"/>
  <c r="D43" i="103" s="1"/>
  <c r="E42" i="103" a="1"/>
  <c r="E42" i="103" s="1"/>
  <c r="D42" i="103" a="1"/>
  <c r="D42" i="103" s="1"/>
  <c r="E41" i="103" a="1"/>
  <c r="E41" i="103" s="1"/>
  <c r="D41" i="103" a="1"/>
  <c r="D41" i="103" s="1"/>
  <c r="E40" i="103" a="1"/>
  <c r="E40" i="103" s="1"/>
  <c r="D40" i="103" a="1"/>
  <c r="D40" i="103" s="1"/>
  <c r="E39" i="103" a="1"/>
  <c r="E39" i="103" s="1"/>
  <c r="D39" i="103" a="1"/>
  <c r="D39" i="103" s="1"/>
  <c r="E38" i="103" a="1"/>
  <c r="E38" i="103" s="1"/>
  <c r="D38" i="103" a="1"/>
  <c r="D38" i="103" s="1"/>
  <c r="E37" i="103" a="1"/>
  <c r="E37" i="103" s="1"/>
  <c r="D37" i="103" a="1"/>
  <c r="D37" i="103" s="1"/>
  <c r="D35" i="103" a="1"/>
  <c r="D35" i="103" s="1"/>
  <c r="D34" i="103" a="1"/>
  <c r="D34" i="103" s="1"/>
  <c r="D30" i="103" a="1"/>
  <c r="D30" i="103" s="1"/>
  <c r="D29" i="103" a="1"/>
  <c r="D29" i="103" s="1"/>
  <c r="D28" i="103" a="1"/>
  <c r="D28" i="103" s="1"/>
  <c r="D27" i="103" a="1"/>
  <c r="D27" i="103" s="1"/>
  <c r="D26" i="103" a="1"/>
  <c r="D26" i="103" s="1"/>
  <c r="D25" i="103" a="1"/>
  <c r="D25" i="103" s="1"/>
  <c r="D24" i="103" a="1"/>
  <c r="D24" i="103" s="1"/>
  <c r="D23" i="103" a="1"/>
  <c r="D23" i="103" s="1"/>
  <c r="D22" i="103" a="1"/>
  <c r="D22" i="103" s="1"/>
  <c r="D21" i="103" a="1"/>
  <c r="D21" i="103" s="1"/>
  <c r="D19" i="103" a="1"/>
  <c r="D19" i="103" s="1"/>
  <c r="D18" i="103" a="1"/>
  <c r="D18" i="103" s="1"/>
  <c r="F14" i="103" a="1"/>
  <c r="F14" i="103" s="1"/>
  <c r="E14" i="103" a="1"/>
  <c r="E14" i="103" s="1"/>
  <c r="D14" i="103" a="1"/>
  <c r="D14" i="103" s="1"/>
  <c r="F13" i="103" a="1"/>
  <c r="F13" i="103" s="1"/>
  <c r="E13" i="103" a="1"/>
  <c r="E13" i="103" s="1"/>
  <c r="D13" i="103" a="1"/>
  <c r="D13" i="103" s="1"/>
  <c r="F12" i="103" a="1"/>
  <c r="F12" i="103" s="1"/>
  <c r="E12" i="103" a="1"/>
  <c r="E12" i="103" s="1"/>
  <c r="D12" i="103" a="1"/>
  <c r="D12" i="103" s="1"/>
  <c r="F11" i="103" a="1"/>
  <c r="F11" i="103" s="1"/>
  <c r="E11" i="103" a="1"/>
  <c r="E11" i="103" s="1"/>
  <c r="D11" i="103" a="1"/>
  <c r="D11" i="103" s="1"/>
  <c r="F10" i="103" a="1"/>
  <c r="F10" i="103" s="1"/>
  <c r="E10" i="103" a="1"/>
  <c r="E10" i="103" s="1"/>
  <c r="D10" i="103" a="1"/>
  <c r="D10" i="103" s="1"/>
  <c r="F9" i="103" a="1"/>
  <c r="F9" i="103" s="1"/>
  <c r="E9" i="103" a="1"/>
  <c r="E9" i="103" s="1"/>
  <c r="D9" i="103" a="1"/>
  <c r="D9" i="103" s="1"/>
  <c r="F8" i="103" a="1"/>
  <c r="F8" i="103" s="1"/>
  <c r="E8" i="103" a="1"/>
  <c r="E8" i="103" s="1"/>
  <c r="D8" i="103" a="1"/>
  <c r="D8" i="103" s="1"/>
  <c r="F7" i="103" a="1"/>
  <c r="F7" i="103" s="1"/>
  <c r="E7" i="103" a="1"/>
  <c r="E7" i="103" s="1"/>
  <c r="D7" i="103" a="1"/>
  <c r="D7" i="103" s="1"/>
  <c r="D5" i="103" a="1"/>
  <c r="D5" i="103" s="1"/>
  <c r="E26" i="69"/>
  <c r="E25" i="69"/>
  <c r="E24" i="69"/>
  <c r="E23" i="69"/>
  <c r="E22" i="69"/>
  <c r="E21" i="69"/>
  <c r="E20" i="69"/>
  <c r="E19" i="69"/>
  <c r="F33" i="69" a="1"/>
  <c r="F33" i="69" s="1"/>
  <c r="D30" i="69" a="1"/>
  <c r="D30" i="69" s="1"/>
  <c r="A17" i="79"/>
  <c r="A16" i="79"/>
  <c r="A15" i="79"/>
  <c r="A12" i="79"/>
  <c r="A9" i="79"/>
  <c r="A8" i="79"/>
  <c r="A5" i="79"/>
  <c r="A4" i="79"/>
  <c r="A3" i="79"/>
  <c r="A17" i="70"/>
  <c r="A16" i="70"/>
  <c r="A15" i="70"/>
  <c r="A12" i="70"/>
  <c r="A9" i="70"/>
  <c r="A8" i="70"/>
  <c r="A5" i="70"/>
  <c r="A4" i="70"/>
  <c r="A3" i="70"/>
  <c r="A17" i="15"/>
  <c r="A16" i="15"/>
  <c r="A15" i="15"/>
  <c r="A12" i="15"/>
  <c r="A9" i="15"/>
  <c r="A8" i="15"/>
  <c r="A5" i="15"/>
  <c r="A4" i="15"/>
  <c r="A3" i="15"/>
  <c r="A17" i="13"/>
  <c r="A16" i="13"/>
  <c r="A15" i="13"/>
  <c r="A12" i="13"/>
  <c r="A9" i="13"/>
  <c r="A8" i="13"/>
  <c r="A5" i="13"/>
  <c r="A4" i="13"/>
  <c r="A3" i="13"/>
  <c r="A17" i="100"/>
  <c r="A16" i="100"/>
  <c r="A15" i="100"/>
  <c r="A12" i="100"/>
  <c r="A9" i="100"/>
  <c r="A8" i="100"/>
  <c r="A5" i="100"/>
  <c r="A4" i="100"/>
  <c r="A3" i="100"/>
  <c r="A9" i="69"/>
  <c r="A12" i="69"/>
  <c r="A15" i="69"/>
  <c r="D26" i="70"/>
  <c r="D20" i="70"/>
  <c r="D14" i="70"/>
  <c r="G13" i="69" a="1"/>
  <c r="G13" i="69" s="1"/>
  <c r="D13" i="69" a="1"/>
  <c r="D13" i="69" s="1"/>
  <c r="E11" i="69" a="1"/>
  <c r="E11" i="69" s="1"/>
  <c r="H30" i="69" s="1"/>
  <c r="E10" i="69" a="1"/>
  <c r="E10" i="69" s="1"/>
  <c r="D6" i="69" a="1"/>
  <c r="D6" i="69" s="1"/>
  <c r="D5" i="69" a="1"/>
  <c r="D5" i="69" s="1"/>
  <c r="E7" i="69" a="1"/>
  <c r="H48" i="103" l="1"/>
  <c r="H49" i="103"/>
  <c r="H53" i="103"/>
  <c r="H54" i="103"/>
  <c r="H50" i="103"/>
  <c r="H51" i="103"/>
  <c r="H52" i="103"/>
  <c r="H19" i="69"/>
  <c r="F28" i="69"/>
  <c r="E7" i="69"/>
  <c r="F94" i="79" a="1"/>
  <c r="F94" i="79" s="1"/>
  <c r="E94" i="79" a="1"/>
  <c r="E94" i="79" s="1"/>
  <c r="D94" i="79" a="1"/>
  <c r="D94" i="79" s="1"/>
  <c r="F93" i="79" a="1"/>
  <c r="F93" i="79" s="1"/>
  <c r="E93" i="79" a="1"/>
  <c r="E93" i="79" s="1"/>
  <c r="D93" i="79" a="1"/>
  <c r="D93" i="79" s="1"/>
  <c r="F92" i="79" a="1"/>
  <c r="F92" i="79" s="1"/>
  <c r="E92" i="79" a="1"/>
  <c r="E92" i="79" s="1"/>
  <c r="D92" i="79" a="1"/>
  <c r="D92" i="79" s="1"/>
  <c r="F91" i="79" a="1"/>
  <c r="F91" i="79" s="1"/>
  <c r="E91" i="79" a="1"/>
  <c r="E91" i="79" s="1"/>
  <c r="D91" i="79" a="1"/>
  <c r="D91" i="79" s="1"/>
  <c r="F90" i="79" a="1"/>
  <c r="F90" i="79" s="1"/>
  <c r="E90" i="79" a="1"/>
  <c r="E90" i="79" s="1"/>
  <c r="D90" i="79" a="1"/>
  <c r="D90" i="79" s="1"/>
  <c r="F89" i="79" a="1"/>
  <c r="F89" i="79" s="1"/>
  <c r="E89" i="79" a="1"/>
  <c r="E89" i="79" s="1"/>
  <c r="D89" i="79" a="1"/>
  <c r="D89" i="79" s="1"/>
  <c r="F88" i="79" a="1"/>
  <c r="F88" i="79" s="1"/>
  <c r="E88" i="79" a="1"/>
  <c r="E88" i="79" s="1"/>
  <c r="D88" i="79" a="1"/>
  <c r="D88" i="79" s="1"/>
  <c r="F87" i="79" a="1"/>
  <c r="F87" i="79" s="1"/>
  <c r="E87" i="79" a="1"/>
  <c r="E87" i="79" s="1"/>
  <c r="D87" i="79" a="1"/>
  <c r="D87" i="79" s="1"/>
  <c r="D85" i="79" a="1"/>
  <c r="D85" i="79" s="1"/>
  <c r="D84" i="79" a="1"/>
  <c r="D84" i="79" s="1"/>
  <c r="D83" i="79" a="1"/>
  <c r="D83" i="79" s="1"/>
  <c r="D82" i="79" a="1"/>
  <c r="D82" i="79" s="1"/>
  <c r="F79" i="79" a="1"/>
  <c r="F79" i="79" s="1"/>
  <c r="F78" i="79" a="1"/>
  <c r="F78" i="79" s="1"/>
  <c r="F77" i="79" a="1"/>
  <c r="F77" i="79" s="1"/>
  <c r="F76" i="79" a="1"/>
  <c r="F76" i="79" s="1"/>
  <c r="F75" i="79" a="1"/>
  <c r="F75" i="79" s="1"/>
  <c r="F74" i="79" a="1"/>
  <c r="F74" i="79" s="1"/>
  <c r="F73" i="79" a="1"/>
  <c r="F73" i="79" s="1"/>
  <c r="F72" i="79" a="1"/>
  <c r="F72" i="79" s="1"/>
  <c r="E79" i="79" a="1"/>
  <c r="E79" i="79" s="1"/>
  <c r="D79" i="79" a="1"/>
  <c r="D79" i="79" s="1"/>
  <c r="E78" i="79" a="1"/>
  <c r="E78" i="79" s="1"/>
  <c r="D78" i="79" a="1"/>
  <c r="D78"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D70" i="79" a="1"/>
  <c r="D70" i="79" s="1"/>
  <c r="D69" i="79" a="1"/>
  <c r="D69" i="79" s="1"/>
  <c r="D68" i="79" a="1"/>
  <c r="D68" i="79" s="1"/>
  <c r="D67" i="79" a="1"/>
  <c r="D67" i="79" s="1"/>
  <c r="D64" i="79" a="1"/>
  <c r="D64" i="79" s="1"/>
  <c r="E64" i="79" a="1"/>
  <c r="E64" i="79" s="1"/>
  <c r="F64" i="79" a="1"/>
  <c r="F64" i="79" s="1"/>
  <c r="D63" i="79" a="1"/>
  <c r="D63" i="79" s="1"/>
  <c r="E63" i="79" a="1"/>
  <c r="E63" i="79" s="1"/>
  <c r="F63" i="79" a="1"/>
  <c r="F63" i="79" s="1"/>
  <c r="F62" i="79" a="1"/>
  <c r="F62" i="79" s="1"/>
  <c r="F61" i="79" a="1"/>
  <c r="F61" i="79" s="1"/>
  <c r="F60" i="79" a="1"/>
  <c r="F60" i="79" s="1"/>
  <c r="F59" i="79" a="1"/>
  <c r="F59" i="79" s="1"/>
  <c r="F58" i="79" a="1"/>
  <c r="F58" i="79" s="1"/>
  <c r="F57" i="79" a="1"/>
  <c r="F57" i="79" s="1"/>
  <c r="F56" i="79" a="1"/>
  <c r="F56" i="79" s="1"/>
  <c r="F55" i="79" a="1"/>
  <c r="F55" i="79" s="1"/>
  <c r="E62" i="79" a="1"/>
  <c r="E62" i="79" s="1"/>
  <c r="D62" i="79" a="1"/>
  <c r="D62" i="79" s="1"/>
  <c r="E61" i="79" a="1"/>
  <c r="E61" i="79" s="1"/>
  <c r="D61" i="79" a="1"/>
  <c r="D61" i="79" s="1"/>
  <c r="E60" i="79" a="1"/>
  <c r="E60" i="79" s="1"/>
  <c r="D60" i="79" a="1"/>
  <c r="D60" i="79" s="1"/>
  <c r="E59" i="79" a="1"/>
  <c r="E59" i="79" s="1"/>
  <c r="D59" i="79" a="1"/>
  <c r="D59" i="79" s="1"/>
  <c r="E58" i="79" a="1"/>
  <c r="E58" i="79" s="1"/>
  <c r="D58" i="79" a="1"/>
  <c r="D58" i="79" s="1"/>
  <c r="E57" i="79" a="1"/>
  <c r="E57" i="79" s="1"/>
  <c r="D57" i="79" a="1"/>
  <c r="D57" i="79" s="1"/>
  <c r="E56" i="79" a="1"/>
  <c r="E56" i="79" s="1"/>
  <c r="D56" i="79" a="1"/>
  <c r="D56" i="79" s="1"/>
  <c r="E55" i="79" a="1"/>
  <c r="E55" i="79" s="1"/>
  <c r="D55" i="79" a="1"/>
  <c r="D55" i="79" s="1"/>
  <c r="D53" i="79" a="1"/>
  <c r="D53" i="79" s="1"/>
  <c r="D52" i="79" a="1"/>
  <c r="D52" i="79" s="1"/>
  <c r="D51" i="79" a="1"/>
  <c r="D51" i="79" s="1"/>
  <c r="D50" i="79" a="1"/>
  <c r="D50" i="79" s="1"/>
  <c r="E47" i="79" a="1"/>
  <c r="E47" i="79" s="1"/>
  <c r="D47" i="79" a="1"/>
  <c r="D47" i="79" s="1"/>
  <c r="E46" i="79" a="1"/>
  <c r="E46" i="79" s="1"/>
  <c r="D46" i="79" a="1"/>
  <c r="D46" i="79" s="1"/>
  <c r="E45" i="79" a="1"/>
  <c r="E45" i="79" s="1"/>
  <c r="D45" i="79" a="1"/>
  <c r="D45" i="79" s="1"/>
  <c r="E44" i="79" a="1"/>
  <c r="E44" i="79" s="1"/>
  <c r="D44" i="79" a="1"/>
  <c r="D44" i="79" s="1"/>
  <c r="E43" i="79" a="1"/>
  <c r="E43" i="79" s="1"/>
  <c r="D43" i="79" a="1"/>
  <c r="D43" i="79" s="1"/>
  <c r="E42" i="79" a="1"/>
  <c r="E42" i="79" s="1"/>
  <c r="D42" i="79" a="1"/>
  <c r="D42" i="79" s="1"/>
  <c r="E41" i="79" a="1"/>
  <c r="E41" i="79" s="1"/>
  <c r="D41" i="79" a="1"/>
  <c r="D41" i="79" s="1"/>
  <c r="E40" i="79" a="1"/>
  <c r="E40" i="79" s="1"/>
  <c r="D40" i="79" a="1"/>
  <c r="D40" i="79" s="1"/>
  <c r="D38" i="79" a="1"/>
  <c r="D38" i="79" s="1"/>
  <c r="D37" i="79" a="1"/>
  <c r="D37" i="79" s="1"/>
  <c r="D36" i="79" a="1"/>
  <c r="D36" i="79" s="1"/>
  <c r="D35" i="79" a="1"/>
  <c r="D35" i="79" s="1"/>
  <c r="E32" i="79" a="1"/>
  <c r="E32" i="79" s="1"/>
  <c r="D32" i="79" a="1"/>
  <c r="D32" i="79" s="1"/>
  <c r="E31" i="79" a="1"/>
  <c r="E31" i="79" s="1"/>
  <c r="D31" i="79" a="1"/>
  <c r="D31" i="79" s="1"/>
  <c r="E30" i="79" a="1"/>
  <c r="E30" i="79" s="1"/>
  <c r="D30" i="79" a="1"/>
  <c r="D30" i="79" s="1"/>
  <c r="E29" i="79" a="1"/>
  <c r="E29" i="79" s="1"/>
  <c r="D29" i="79" a="1"/>
  <c r="D29" i="79" s="1"/>
  <c r="E28" i="79" a="1"/>
  <c r="E28" i="79" s="1"/>
  <c r="D28" i="79" a="1"/>
  <c r="D28" i="79" s="1"/>
  <c r="E27" i="79" a="1"/>
  <c r="E27" i="79" s="1"/>
  <c r="D27" i="79" a="1"/>
  <c r="D27" i="79" s="1"/>
  <c r="E26" i="79" a="1"/>
  <c r="E26" i="79" s="1"/>
  <c r="D26" i="79" a="1"/>
  <c r="D26" i="79" s="1"/>
  <c r="E25" i="79" a="1"/>
  <c r="E25" i="79" s="1"/>
  <c r="D25" i="79" a="1"/>
  <c r="D25" i="79" s="1"/>
  <c r="D23" i="79" a="1"/>
  <c r="D23" i="79" s="1"/>
  <c r="D22" i="79" a="1"/>
  <c r="D22" i="79" s="1"/>
  <c r="D21" i="79" a="1"/>
  <c r="D21" i="79" s="1"/>
  <c r="D20" i="79" a="1"/>
  <c r="D20" i="79" s="1"/>
  <c r="D17" i="79" a="1"/>
  <c r="D17" i="79" s="1"/>
  <c r="D26" i="69" s="1"/>
  <c r="E17" i="79" a="1"/>
  <c r="E17" i="79" s="1"/>
  <c r="D16" i="79" a="1"/>
  <c r="D16" i="79" s="1"/>
  <c r="D25" i="69" s="1"/>
  <c r="E16" i="79" a="1"/>
  <c r="E16" i="79" s="1"/>
  <c r="D15" i="79" a="1"/>
  <c r="D15" i="79" s="1"/>
  <c r="D24" i="69" s="1"/>
  <c r="E15" i="79" a="1"/>
  <c r="E15" i="79" s="1"/>
  <c r="D14" i="79" a="1"/>
  <c r="D14" i="79" s="1"/>
  <c r="D23" i="69" s="1"/>
  <c r="E14" i="79" a="1"/>
  <c r="E14" i="79" s="1"/>
  <c r="D13" i="79" a="1"/>
  <c r="D13" i="79" s="1"/>
  <c r="D22" i="69" s="1"/>
  <c r="E13" i="79" a="1"/>
  <c r="E13" i="79" s="1"/>
  <c r="D12" i="79" a="1"/>
  <c r="D12" i="79" s="1"/>
  <c r="D21" i="69" s="1"/>
  <c r="E12" i="79" a="1"/>
  <c r="E12" i="79" s="1"/>
  <c r="D11" i="79" a="1"/>
  <c r="D11" i="79" s="1"/>
  <c r="D20" i="69" s="1"/>
  <c r="E11" i="79" a="1"/>
  <c r="E11" i="79" s="1"/>
  <c r="E10" i="79" a="1"/>
  <c r="E10" i="79" s="1"/>
  <c r="D10" i="79" a="1"/>
  <c r="D10" i="79" s="1"/>
  <c r="D19" i="69" s="1"/>
  <c r="D8" i="79" a="1"/>
  <c r="D8" i="79" s="1"/>
  <c r="D7" i="79" a="1"/>
  <c r="D7" i="79" s="1"/>
  <c r="D6" i="79" a="1"/>
  <c r="D6" i="79" s="1"/>
  <c r="D5" i="79" a="1"/>
  <c r="D5" i="79" s="1"/>
  <c r="A17" i="69"/>
  <c r="A16" i="69"/>
  <c r="A8" i="69"/>
  <c r="A5" i="69"/>
  <c r="A4" i="69"/>
  <c r="A3" i="69"/>
  <c r="F26" i="69" l="1" a="1"/>
  <c r="F26" i="69" s="1"/>
  <c r="G26" i="69" s="1" a="1"/>
  <c r="G26" i="69" s="1"/>
  <c r="F25" i="69" a="1"/>
  <c r="F25" i="69" s="1"/>
  <c r="G25" i="69" s="1" a="1"/>
  <c r="G25" i="69" s="1"/>
  <c r="F20" i="69" a="1"/>
  <c r="F20" i="69" s="1"/>
  <c r="G20" i="69" s="1" a="1"/>
  <c r="G20" i="69" s="1"/>
  <c r="F23" i="69" a="1"/>
  <c r="F23" i="69" s="1"/>
  <c r="G23" i="69" s="1" a="1"/>
  <c r="G23" i="69" s="1"/>
  <c r="F19" i="69" a="1"/>
  <c r="F19" i="69" s="1"/>
  <c r="G19" i="69" s="1" a="1"/>
  <c r="G19" i="69" s="1"/>
  <c r="F21" i="69" a="1"/>
  <c r="F21" i="69" s="1"/>
  <c r="G21" i="69" s="1" a="1"/>
  <c r="G21" i="69" s="1"/>
  <c r="F22" i="69" a="1"/>
  <c r="F22" i="69" s="1"/>
  <c r="G22" i="69" s="1" a="1"/>
  <c r="G22" i="69" s="1"/>
  <c r="F24" i="69" a="1"/>
  <c r="F24" i="69" s="1"/>
  <c r="G24" i="69" s="1" a="1"/>
  <c r="G24" i="69" s="1"/>
  <c r="E28" i="69" l="1"/>
  <c r="E7" i="13" l="1"/>
  <c r="F7" i="13" s="1"/>
  <c r="G30" i="69"/>
  <c r="E33" i="69" s="1" a="1"/>
  <c r="E33" i="69" s="1"/>
  <c r="H7" i="13" s="1"/>
  <c r="I7" i="13" s="1"/>
  <c r="A39" i="74"/>
  <c r="A38" i="74"/>
  <c r="A37" i="74"/>
  <c r="A36" i="74"/>
  <c r="A33" i="74"/>
  <c r="A30" i="74"/>
  <c r="A29" i="74"/>
  <c r="A28" i="74"/>
  <c r="A27" i="74"/>
  <c r="A26" i="74"/>
  <c r="A25" i="74"/>
  <c r="A24" i="74"/>
  <c r="A19" i="74"/>
  <c r="A18" i="74"/>
  <c r="A15" i="74"/>
  <c r="A14" i="74"/>
  <c r="A13" i="74"/>
  <c r="A12" i="74"/>
  <c r="A11" i="74"/>
  <c r="A10" i="74"/>
  <c r="A9" i="74"/>
  <c r="A8" i="74"/>
  <c r="A7" i="74"/>
  <c r="A4" i="74"/>
  <c r="D8" i="70" l="1"/>
  <c r="H8" i="13" l="1"/>
  <c r="I8" i="13"/>
  <c r="E13" i="1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<sst xmlns="http://schemas.openxmlformats.org/spreadsheetml/2006/main" count="188" uniqueCount="146">
  <si>
    <t>Home</t>
  </si>
  <si>
    <t>N2O MMS</t>
  </si>
  <si>
    <t>Sources &amp; acknowledgements</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</si>
  <si>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</si>
  <si>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</si>
  <si>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</si>
  <si>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</si>
  <si>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</si>
  <si>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</si>
  <si>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</si>
  <si>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</si>
  <si>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</si>
  <si>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</si>
  <si>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</si>
  <si>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</si>
  <si>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</si>
  <si>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</si>
  <si>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</si>
  <si>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</si>
  <si>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</si>
  <si>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</si>
  <si>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</si>
  <si>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</si>
  <si>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</si>
  <si>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</si>
  <si>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</si>
  <si>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</si>
  <si>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</si>
  <si>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</si>
  <si>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</si>
  <si>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</si>
  <si>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</si>
  <si>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</si>
  <si>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</si>
  <si>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</si>
  <si>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</si>
  <si>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</si>
  <si>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</si>
  <si>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</si>
  <si>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</si>
  <si>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</si>
  <si>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</si>
  <si>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</si>
  <si>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</si>
  <si>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</si>
  <si>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</si>
  <si>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</si>
  <si>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</si>
  <si>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</si>
  <si>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</si>
  <si>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</si>
  <si>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</si>
  <si>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</si>
  <si>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</si>
  <si>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Freight and transport</t>
  </si>
  <si>
    <t>Enteric methane</t>
  </si>
  <si>
    <t>CALCULATIONS</t>
  </si>
  <si>
    <t>Constants - Common</t>
  </si>
  <si>
    <t>Waste</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</si>
  <si>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</si>
  <si>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</si>
  <si>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</si>
  <si>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</si>
  <si>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</si>
  <si>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</si>
  <si>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head</t>
  </si>
  <si>
    <t>Method 1</t>
  </si>
  <si>
    <t>Method 2</t>
  </si>
  <si>
    <t>Scope 1 source</t>
  </si>
  <si>
    <t>Production system j</t>
  </si>
  <si>
    <t>EFN2O</t>
  </si>
  <si>
    <t>Production system only</t>
  </si>
  <si>
    <t>Irrigation method</t>
  </si>
  <si>
    <t>Total</t>
  </si>
  <si>
    <t>GHG Unit</t>
  </si>
  <si>
    <t>CO2-e unit</t>
  </si>
  <si>
    <t>Irrigation type i</t>
  </si>
  <si>
    <t>EFPRP</t>
  </si>
  <si>
    <t>Month</t>
  </si>
  <si>
    <t>Season</t>
  </si>
  <si>
    <t>Acknowledgements</t>
  </si>
  <si>
    <t>GHG emissions method 1</t>
  </si>
  <si>
    <t>GHG emissions method 2</t>
  </si>
  <si>
    <t>CO2-e emissions method 1</t>
  </si>
  <si>
    <t>t CO2e</t>
  </si>
  <si>
    <t>CO2-e emissions method 2</t>
  </si>
  <si>
    <t>Direct application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</si>
  <si>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</si>
  <si>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</si>
  <si>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</si>
  <si>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</si>
  <si>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</si>
  <si>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</si>
  <si>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</si>
  <si>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</si>
  <si>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</si>
  <si>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</si>
  <si>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</si>
  <si>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</si>
  <si>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</si>
  <si>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</si>
  <si>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</si>
  <si>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</si>
  <si>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 Below is a diagram that maps the equations used to calculate emissions and how they interact with each other.</t>
  </si>
  <si>
    <t>Source Data - Other Livestock</t>
  </si>
  <si>
    <t>Other livestock type</t>
  </si>
  <si>
    <t>Mj</t>
  </si>
  <si>
    <t>NEj</t>
  </si>
  <si>
    <t>VSj</t>
  </si>
  <si>
    <t>Wco</t>
  </si>
  <si>
    <t>Wco2</t>
  </si>
  <si>
    <t>Uncovered anaerobic lagoon</t>
  </si>
  <si>
    <t>3.6.1.1-2 Manure Methane</t>
  </si>
  <si>
    <t>Input - Other Livestock</t>
  </si>
  <si>
    <t>Buffalo</t>
  </si>
  <si>
    <t>Bulls</t>
  </si>
  <si>
    <t>Cows</t>
  </si>
  <si>
    <t>Steers</t>
  </si>
  <si>
    <t>Calves</t>
  </si>
  <si>
    <t>Goats</t>
  </si>
  <si>
    <t>Bucks / billy</t>
  </si>
  <si>
    <t>Wethers</t>
  </si>
  <si>
    <t>Maiden breeding does / nannies</t>
  </si>
  <si>
    <t>Breeding does / nannies</t>
  </si>
  <si>
    <t>Other</t>
  </si>
  <si>
    <t>Kids</t>
  </si>
  <si>
    <t>Deer</t>
  </si>
  <si>
    <t>Bucks</t>
  </si>
  <si>
    <t>Breeding does</t>
  </si>
  <si>
    <t>Other does</t>
  </si>
  <si>
    <t>Fawn</t>
  </si>
  <si>
    <t>Others</t>
  </si>
  <si>
    <t>Camels</t>
  </si>
  <si>
    <t>Alpacas</t>
  </si>
  <si>
    <t>Horses</t>
  </si>
  <si>
    <t>Mules / asses</t>
  </si>
  <si>
    <t>Emus / ostriches</t>
  </si>
  <si>
    <t>Livestock type</t>
  </si>
  <si>
    <t>Nj</t>
  </si>
  <si>
    <t>Eenteric</t>
  </si>
  <si>
    <t>3.6 Enteric Methane: Other Livestock: Results</t>
  </si>
  <si>
    <t>3.6: Enteric Methane: Other Livestock: Overview</t>
  </si>
  <si>
    <r>
      <t>E</t>
    </r>
    <r>
      <rPr>
        <vertAlign val="subscript"/>
        <sz val="12"/>
        <color theme="1" tint="0.24994659260841701"/>
        <rFont val="Times New Roman"/>
        <family val="1"/>
      </rPr>
      <t>CO2e</t>
    </r>
    <r>
      <rPr>
        <sz val="12"/>
        <color theme="1" tint="0.24994659260841701"/>
        <rFont val="Times New Roman"/>
        <family val="1"/>
      </rPr>
      <t xml:space="preserve"> (Method 1)</t>
    </r>
  </si>
  <si>
    <t>t CH4</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</si>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</sst>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59"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
      <vertAlign val="subscript"/>
      <sz val="12"/>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
      <left/>
      <right/>
      <top style="thin">
        <color theme="0" tint="-0.34998626667073579"/>
      </top>
      <bottom style="thin">
        <color theme="0" tint="-0.34998626667073579"/>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1"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2" fillId="4" borderId="0">
      <alignment horizontal="left" vertical="center"/>
    </xf>
    <xf numFmtId="0" fontId="45" fillId="11" borderId="0">
      <alignment horizontal="center" vertical="center"/>
    </xf>
    <xf numFmtId="0" fontId="22" fillId="11" borderId="0">
      <alignment horizontal="left" vertical="center" indent="1"/>
    </xf>
    <xf numFmtId="0" fontId="54" fillId="14" borderId="2">
      <alignment horizontal="center" vertical="center"/>
    </xf>
    <xf numFmtId="0" fontId="55" fillId="15" borderId="2">
      <alignment horizontal="center" vertical="center"/>
    </xf>
    <xf numFmtId="0" fontId="33" fillId="4" borderId="2">
      <alignment horizontal="left" vertical="center"/>
    </xf>
    <xf numFmtId="0" fontId="56" fillId="4" borderId="2">
      <alignment horizontal="left" vertical="center"/>
    </xf>
  </cellStyleXfs>
  <cellXfs count="107">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3" fontId="2" fillId="0" borderId="2" xfId="18">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6" fillId="4" borderId="1" xfId="55" applyBorder="1">
      <alignment horizontal="left" vertical="center"/>
    </xf>
    <xf numFmtId="0" fontId="52" fillId="4" borderId="0" xfId="6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53" fillId="0" borderId="0" xfId="2" applyFont="1"/>
    <xf numFmtId="0" fontId="54" fillId="14" borderId="2" xfId="64">
      <alignment horizontal="center" vertical="center"/>
    </xf>
    <xf numFmtId="0" fontId="55" fillId="15" borderId="2" xfId="65">
      <alignment horizontal="center" vertical="center"/>
    </xf>
    <xf numFmtId="0" fontId="33" fillId="4" borderId="2" xfId="66">
      <alignment horizontal="left" vertical="center"/>
    </xf>
    <xf numFmtId="0" fontId="33" fillId="4" borderId="6" xfId="66" applyBorder="1">
      <alignment horizontal="left" vertical="center"/>
    </xf>
    <xf numFmtId="0" fontId="33" fillId="4" borderId="7" xfId="66" applyBorder="1">
      <alignment horizontal="left" vertical="center"/>
    </xf>
    <xf numFmtId="0" fontId="57" fillId="9" borderId="0" xfId="32" applyFont="1" applyFill="1"/>
    <xf numFmtId="0" fontId="38" fillId="9" borderId="0" xfId="8" applyFill="1">
      <alignment horizontal="left" vertical="center"/>
    </xf>
    <xf numFmtId="0" fontId="17" fillId="11" borderId="0" xfId="31" applyFill="1">
      <alignment vertical="center"/>
    </xf>
    <xf numFmtId="0" fontId="43" fillId="13" borderId="19" xfId="40" applyBorder="1">
      <alignment horizontal="left" vertical="center"/>
    </xf>
    <xf numFmtId="0" fontId="44" fillId="13" borderId="20" xfId="40" applyFont="1" applyBorder="1">
      <alignment horizontal="left" vertical="center"/>
    </xf>
    <xf numFmtId="0" fontId="43" fillId="13" borderId="20" xfId="40" applyBorder="1">
      <alignment horizontal="left" vertical="center"/>
    </xf>
    <xf numFmtId="0" fontId="50" fillId="4" borderId="1" xfId="12" applyFont="1" applyBorder="1">
      <alignment horizontal="left" vertical="center" indent="1"/>
    </xf>
    <xf numFmtId="0" fontId="22" fillId="8" borderId="0" xfId="38">
      <alignment horizontal="left" vertical="center" indent="1"/>
    </xf>
    <xf numFmtId="0" fontId="22" fillId="5" borderId="0" xfId="37">
      <alignment horizontal="left" vertical="center" indent="1"/>
    </xf>
    <xf numFmtId="0" fontId="22" fillId="11" borderId="0" xfId="63">
      <alignment horizontal="left" vertical="center" indent="1"/>
    </xf>
    <xf numFmtId="0" fontId="33" fillId="4" borderId="2" xfId="54" applyAlignment="1">
      <alignment horizontal="left" vertical="center"/>
    </xf>
    <xf numFmtId="0" fontId="33" fillId="4" borderId="7" xfId="54" applyBorder="1" applyAlignment="1">
      <alignment horizontal="left" vertical="center"/>
    </xf>
    <xf numFmtId="0" fontId="33" fillId="4" borderId="21" xfId="54" applyBorder="1">
      <alignment horizontal="center"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67">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6"/>
      <tableStyleElement type="headerRow" dxfId="65"/>
      <tableStyleElement type="totalRow" dxfId="64"/>
      <tableStyleElement type="firstColumn" dxfId="63"/>
      <tableStyleElement type="firstRowStripe" dxfId="62"/>
      <tableStyleElement type="secondRowStripe" dxfId="61"/>
    </tableStyle>
    <tableStyle name="Equation table" pivot="0" count="6" xr9:uid="{B247698E-E41D-4CCD-AA0A-C14817E9DE65}">
      <tableStyleElement type="wholeTable" dxfId="60"/>
      <tableStyleElement type="headerRow" dxfId="59"/>
      <tableStyleElement type="totalRow" dxfId="58"/>
      <tableStyleElement type="firstColumn" dxfId="57"/>
      <tableStyleElement type="firstRowStripe" dxfId="56"/>
      <tableStyleElement type="secondRowStripe" dxfId="55"/>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3.6.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3.6.1.1-2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6.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Total annual methane production from enteric fermentation in other livestock</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38100</xdr:rowOff>
    </xdr:from>
    <xdr:ext cx="190616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6AD7154-B3B2-1B2E-CD59-54B89FE69FDA}"/>
                </a:ext>
              </a:extLst>
            </xdr:cNvPr>
            <xdr:cNvSpPr txBox="1"/>
          </xdr:nvSpPr>
          <xdr:spPr>
            <a:xfrm>
              <a:off x="2690812" y="1905000"/>
              <a:ext cx="190616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6AD7154-B3B2-1B2E-CD59-54B89FE69FDA}"/>
                </a:ext>
              </a:extLst>
            </xdr:cNvPr>
            <xdr:cNvSpPr txBox="1"/>
          </xdr:nvSpPr>
          <xdr:spPr>
            <a:xfrm>
              <a:off x="2690812" y="1905000"/>
              <a:ext cx="190616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𝐸_𝑒𝑛𝑡𝑒𝑟𝑖𝑐=∑8_𝑗▒(𝑁_𝑗×𝑀_𝑗 ) ×10^(−3)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C024E4-8969-4519-9E31-15AF99CB48B1}" name="Table_SourceData_OtherLivestock_EntericEF" displayName="Table_SourceData_OtherLivestock_EntericEF" ref="D9:E17" totalsRowShown="0">
  <autoFilter ref="D9:E17" xr:uid="{3DC024E4-8969-4519-9E31-15AF99CB48B1}">
    <filterColumn colId="0" hiddenButton="1"/>
    <filterColumn colId="1" hiddenButton="1"/>
  </autoFilter>
  <tableColumns count="2">
    <tableColumn id="1" xr3:uid="{D57CB9BE-4423-4B3C-8812-0053460E9FD4}" name="Other livestock type">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 id="2" xr3:uid="{076CA99E-B6FF-4452-AA90-21B8618FF161}" name="Mj" dataDxfId="54" dataCellStyle="Content normal">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649617-63F2-4A80-A5EB-06A3280A3C57}" name="Table_SourceData_OtherLivestock_VolatileSolids" displayName="Table_SourceData_OtherLivestock_VolatileSolids" ref="D24:E32" totalsRowShown="0" dataDxfId="53" dataCellStyle="Content normal">
  <autoFilter ref="D24:E32" xr:uid="{75649617-63F2-4A80-A5EB-06A3280A3C57}">
    <filterColumn colId="0" hiddenButton="1"/>
    <filterColumn colId="1" hiddenButton="1"/>
  </autoFilter>
  <tableColumns count="2">
    <tableColumn id="1" xr3:uid="{3E3B834E-0F7A-47D3-954A-A57B2234370A}" name="Other livestock type" dataDxfId="52"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 id="2" xr3:uid="{0BCFF128-A246-43C6-BB57-DC9448A80579}" name="VSj" dataDxfId="51"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2C94C8-449D-4574-AF4D-39C274C53A6F}" name="Table_SourceData_OtherLivestock_NitrogenExcreted" displayName="Table_SourceData_OtherLivestock_NitrogenExcreted" ref="D39:E47" totalsRowShown="0" dataDxfId="50" dataCellStyle="Content normal">
  <autoFilter ref="D39:E47" xr:uid="{522C94C8-449D-4574-AF4D-39C274C53A6F}">
    <filterColumn colId="0" hiddenButton="1"/>
    <filterColumn colId="1" hiddenButton="1"/>
  </autoFilter>
  <tableColumns count="2">
    <tableColumn id="1" xr3:uid="{92CD5559-01AC-4144-B6DC-7F856864840C}" name="Other livestock type" dataDxfId="49"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 id="2" xr3:uid="{A4955FC2-927B-4DF6-B94C-068E74A6FF39}" name="NEj" dataDxfId="48"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C66B47-C28A-4E61-BD61-AB59792A938B}" name="Table_SourceData_OtherLivestock_AverageLiveweight" displayName="Table_SourceData_OtherLivestock_AverageLiveweight" ref="D54:F64" totalsRowShown="0" dataDxfId="47" dataCellStyle="Content normal">
  <autoFilter ref="D54:F64" xr:uid="{08C66B47-C28A-4E61-BD61-AB59792A938B}">
    <filterColumn colId="0" hiddenButton="1"/>
    <filterColumn colId="1" hiddenButton="1"/>
    <filterColumn colId="2" hiddenButton="1"/>
  </autoFilter>
  <tableColumns count="3">
    <tableColumn id="1" xr3:uid="{92B26601-57E2-4637-B097-133483C8744F}" name="Other livestock type" dataDxfId="46"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2" xr3:uid="{6D10B565-469B-4476-91DD-3E192D501AEC}" name="Wco" dataDxfId="45"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3" xr3:uid="{4285ACF1-A507-45A9-B06F-3C8A119CF7C4}" name="Wco2" dataDxfId="44"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7E53D2-4463-4A85-80B5-5691AD7D98C8}" name="Table_SourceData_OtherLivestock_FractionWasteInMMS" displayName="Table_SourceData_OtherLivestock_FractionWasteInMMS" ref="D71:F79" totalsRowShown="0" dataDxfId="43" dataCellStyle="Content normal">
  <autoFilter ref="D71:F79" xr:uid="{717E53D2-4463-4A85-80B5-5691AD7D98C8}">
    <filterColumn colId="0" hiddenButton="1"/>
    <filterColumn colId="1" hiddenButton="1"/>
    <filterColumn colId="2" hiddenButton="1"/>
  </autoFilter>
  <tableColumns count="3">
    <tableColumn id="1" xr3:uid="{3C1197CD-1D52-441D-BBC2-CD949C23252D}" name="Other livestock type" dataDxfId="42"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2" xr3:uid="{8073D8FF-B3DA-4F6A-932F-294E074768D7}" name="Pasture range and paddock" dataDxfId="41"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3" xr3:uid="{BE446918-69F7-4B13-8457-24AF8D4D48BC}" name="Uncovered anaerobic lagoon" dataDxfId="40"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A04BB4-DA20-428E-BF28-5455856D0A35}" name="Table_SourceData_OtherLivestock_MCF" displayName="Table_SourceData_OtherLivestock_MCF" ref="D86:F94" totalsRowShown="0" dataDxfId="39" dataCellStyle="Content normal">
  <autoFilter ref="D86:F94" xr:uid="{AFA04BB4-DA20-428E-BF28-5455856D0A35}">
    <filterColumn colId="0" hiddenButton="1"/>
    <filterColumn colId="1" hiddenButton="1"/>
    <filterColumn colId="2" hiddenButton="1"/>
  </autoFilter>
  <tableColumns count="3">
    <tableColumn id="1" xr3:uid="{378D0529-B2BA-4B26-B22D-9D5AE994C705}" name="Other livestock type" dataDxfId="38"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2" xr3:uid="{614FC5E3-9067-4D7A-9048-5C785284F6FC}" name="Pasture range and paddock" dataDxfId="37"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3" xr3:uid="{9125F130-A695-42FD-984B-66D9A47F338B}" name="Uncovered anaerobic lagoon" dataDxfId="36"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320292-9552-4656-AD4F-E8F3D0BA7E3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E505F12-DC34-48FD-AC7F-94006894DBCF}" name="State/Territory">
      <calculatedColumnFormula array="1">Common_InputFunctions.Utility_DisplayArrayInTable(Common_SourceData.Common_SourceData_AustralianStatesTerritories_Data(),Table_AustralianStates[[#Headers],[State/Territory]],0)</calculatedColumnFormula>
    </tableColumn>
    <tableColumn id="2" xr3:uid="{27005C19-1871-44AB-BE94-DF01016F50DE}" name="Common Name">
      <calculatedColumnFormula array="1">Common_InputFunctions.Utility_DisplayArrayInTable(Common_SourceData.Common_SourceData_AustralianStatesTerritories_Data(),Table_AustralianStates[[#Headers],[State/Territory]],0)</calculatedColumnFormula>
    </tableColumn>
    <tableColumn id="3" xr3:uid="{42E5A32F-71E6-470F-BDCF-3C7B1ECB656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637D80E-838F-4ED8-907A-08565BD6FE03}" name="Table_WASA4Areas" displayName="Table_WASA4Areas" ref="D20:D30" totalsRowShown="0">
  <autoFilter ref="D20:D30" xr:uid="{5FA81339-C6C8-4D36-BEEA-6C4AEDD9E676}">
    <filterColumn colId="0" hiddenButton="1"/>
  </autoFilter>
  <tableColumns count="1">
    <tableColumn id="1" xr3:uid="{DFC1AE81-1B6A-4C26-9DDA-9D788F97E13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A102ACE-7374-4296-801B-CCA0012FB084}" name="Table_GWPData" displayName="Table_GWPData" ref="D36:E43" totalsRowShown="0">
  <autoFilter ref="D36:E43" xr:uid="{B8E87A66-3E41-4AD3-925D-01EE21B43D7A}">
    <filterColumn colId="0" hiddenButton="1"/>
    <filterColumn colId="1" hiddenButton="1"/>
  </autoFilter>
  <tableColumns count="2">
    <tableColumn id="1" xr3:uid="{E3B4C18B-475F-44A5-905F-3ED6F9739FE4}" name="Gas">
      <calculatedColumnFormula array="1">Common_InputFunctions.Utility_DisplayArrayInTable(Common_SourceData.Common_SourceData_GWP_Data(), Table_GWPData[[#Headers],[Gas]], 0)</calculatedColumnFormula>
    </tableColumn>
    <tableColumn id="2" xr3:uid="{2891B658-D650-4E4C-9679-E416182679E5}"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B6D82FE-52E2-4456-900B-F138A5E453C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74C98FE8-DD8F-4498-8F54-33BC2D6CB13B}" name="Gas">
      <calculatedColumnFormula array="1">Common_InputFunctions.Utility_DisplayArrayInTable(Common_SourceData.Common_SourceData_ConvertGasElementalToMolecular_Data(),Table_GasToMolecularConversionFactor[[#Headers],[Gas]], 0)</calculatedColumnFormula>
    </tableColumn>
    <tableColumn id="5" xr3:uid="{89AAA73E-A537-45B2-97F4-1548197704E3}" name="Conversion factor">
      <calculatedColumnFormula array="1">Common_InputFunctions.Utility_DisplayArrayInTable(Common_SourceData.Common_SourceData_ConvertGasElementalToMolecular_Data(),Table_GasToMolecularConversionFactor[[#Headers],[Gas]], 0)</calculatedColumnFormula>
    </tableColumn>
    <tableColumn id="2" xr3:uid="{4A1CDDE7-E455-48A5-9B4E-ADB1F4C739D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DA8BDCF-A5F4-4BC9-ADFB-6DCFBC3E0CC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2E2DC43-53D6-4691-BA26-CDC5FAF653F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DBA155B-AEB8-43DD-BD57-2641338A22C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DD7961F-9EEF-45C2-8C59-34B34FEC339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AE7F6AC-BF24-43A7-935D-1DDE23121D91}"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1441F6BA-1211-45A0-B261-6F7B85C96DA8}"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6884853C-B3F5-453D-9667-82C0D22C8BD8}"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9B853960-58EC-4074-878F-C0EB6845DA7E}"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A5745A29-5C6D-4D98-91A6-5BCA2C460FA1}"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F33B96C0-2333-460F-BD53-49107388C096}"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920D9CB8-C794-4CFE-B37A-49C282A0AADA}"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F3B37FB8-3A5A-4108-BC9A-E5CC22E801DA}"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B2195D86-BC90-408A-9A95-C156057DF038}"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08DB41F8-81B1-4510-9581-C21A5BB807F3}"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B94F9652-797D-46AB-AAA5-A95A97020086}"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6B78447-307F-4DE4-AB7C-D7197E85CD62}"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5A33714B-AAA2-46ED-AEA2-B1D75F1C2726}"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70500306-DEBE-48CB-9176-9F8BD1AC0124}"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D97451EE-194A-44AE-B788-B6608E144C72}"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336196B-AEEF-49BD-84FA-F39D4981A9AC}"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753AA7A7-9F51-44A3-8AE4-6CB2E0052F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12C0E10-6831-4C42-9CC2-C94E2581C9CC}"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663DF0E-5916-4877-B15A-7C6783BED2C9}"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344AE25-37A9-4AC6-A8C8-C758481108F3}" name="Temperature Zone">
      <calculatedColumnFormula array="1">Common_InputFunctions.Utility_DisplayArrayInTable(Common_SourceData.Common_SourceData_TemperatureZones_Data(),Table_SourceData_TemperatureZones[[#Headers],[Temperature Zone]],0)</calculatedColumnFormula>
    </tableColumn>
    <tableColumn id="2" xr3:uid="{52C335D4-C69C-407F-83A5-CDD3CD84BC3B}" name="MAT">
      <calculatedColumnFormula array="1">Common_InputFunctions.Utility_DisplayArrayInTable(Common_SourceData.Common_SourceData_TemperatureZones_Data(),Table_SourceData_TemperatureZones[[#Headers],[Temperature Zone]],0)</calculatedColumnFormula>
    </tableColumn>
    <tableColumn id="3" xr3:uid="{1EC6ADF1-CB54-44B3-9929-5B9C7908C253}" name="Min MAT">
      <calculatedColumnFormula array="1">Common_InputFunctions.Utility_DisplayArrayInTable(Common_SourceData.Common_SourceData_TemperatureZones_Data(),Table_SourceData_TemperatureZones[[#Headers],[Temperature Zone]],0)</calculatedColumnFormula>
    </tableColumn>
    <tableColumn id="4" xr3:uid="{DCD2E016-863B-4838-A164-01C063DA004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E23B789-848B-46FD-BBD4-5D6B62CFEF5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823B5EC-ECA1-4465-A74C-2C8DB51232CE}" name="Rainfall Zone">
      <calculatedColumnFormula array="1">Common_InputFunctions.Utility_DisplayArrayInTable(Common_SourceData.Common_SourceData_RainfallZones_Data(),Table_SourceData_RainfallZones[[#Headers],[Rainfall Zone]],0)</calculatedColumnFormula>
    </tableColumn>
    <tableColumn id="2" xr3:uid="{ED59FBCB-8AB2-4913-BE05-B04500521D4E}" name="Annual rainfall">
      <calculatedColumnFormula array="1">Common_InputFunctions.Utility_DisplayArrayInTable(Common_SourceData.Common_SourceData_RainfallZones_Data(),Table_SourceData_RainfallZones[[#Headers],[Rainfall Zone]],0)</calculatedColumnFormula>
    </tableColumn>
    <tableColumn id="3" xr3:uid="{D8F775E4-6AEC-469E-A134-392ABB58E657}" name="Min rainfall">
      <calculatedColumnFormula array="1">Common_InputFunctions.Utility_DisplayArrayInTable(Common_SourceData.Common_SourceData_RainfallZones_Data(),Table_SourceData_RainfallZones[[#Headers],[Rainfall Zone]],0)</calculatedColumnFormula>
    </tableColumn>
    <tableColumn id="4" xr3:uid="{5ACADD39-05F7-40D6-856D-719AE13363CC}"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E1CB805-BB76-414E-B4EB-9B641ADA43B7}"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DF455A8F-6B07-40D4-9044-7EB8A3D508E9}" name="Leaching Zone">
      <calculatedColumnFormula array="1">Common_InputFunctions.Utility_DisplayArrayInTable(Common_SourceData.Common_SourceData_LeachingZones_Data(), Table_SourceData_LeachingZones[[#Headers],[Leaching Zone]], 0)</calculatedColumnFormula>
    </tableColumn>
    <tableColumn id="2" xr3:uid="{242A7482-AD83-466B-B463-12C2089097D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3882EDC-0863-465B-BF53-7CDBF3A8035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3CBA5A6-9545-423D-B711-BFEC9FFCBAFD}" name="Data source">
      <calculatedColumnFormula array="1">Common_InputFunctions.Utility_DisplayArrayInTable(Common_SourceData.Common_SourceData_DataScores_Scope3_Data(), Table_SourceData_DataScores_Scope3[[#Headers],[Data source]], 0)</calculatedColumnFormula>
    </tableColumn>
    <tableColumn id="2" xr3:uid="{F5F200B8-E589-4FA4-A964-4E2E0EF11CB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5A62EF-EE41-4F52-B839-1738550457C9}" name="Table_SourceData_FracWET" displayName="Table_SourceData_FracWET" ref="D134:E136" totalsRowShown="0">
  <autoFilter ref="D134:E136" xr:uid="{308E99BE-FE1F-47A4-B2CA-97217277C4E9}">
    <filterColumn colId="0" hiddenButton="1"/>
    <filterColumn colId="1" hiddenButton="1"/>
  </autoFilter>
  <tableColumns count="2">
    <tableColumn id="1" xr3:uid="{4C1D1B3B-09B0-4D65-9E07-3B435A268031}" name="Is in leaching zone">
      <calculatedColumnFormula array="1">Common_InputFunctions.Utility_DisplayArrayInTable(Common_SourceData.Common_SourceData_FracWET_Data(),Table_SourceData_FracWET[[#Headers],[Is in leaching zone]],0)</calculatedColumnFormula>
    </tableColumn>
    <tableColumn id="2" xr3:uid="{50F34143-BDC2-4CB2-A3C9-DBF40BFBDB6F}"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1B54C41-E334-4E1D-853B-61AF9D6CD94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810DAA-1EAF-4615-8A8F-106407E54D10}" name="Production system j">
      <calculatedColumnFormula array="1">Common_InputFunctions.Utility_DisplayArrayInTable(Common_SourceData.Common_SourceData_EFN2O_Data(), Table_SourceData_Common_EFN2O[[#Headers],[Production system j]], 0)</calculatedColumnFormula>
    </tableColumn>
    <tableColumn id="2" xr3:uid="{DE50C039-BBE7-42E1-BE63-EC44E38C836B}" name="EFN2O">
      <calculatedColumnFormula array="1">Common_InputFunctions.Utility_DisplayArrayInTable(Common_SourceData.Common_SourceData_EFN2O_Data(), Table_SourceData_Common_EFN2O[[#Headers],[Production system j]], 0)</calculatedColumnFormula>
    </tableColumn>
    <tableColumn id="3" xr3:uid="{297662C3-2481-4CB0-95F7-C64F552EE597}" name="Production system only">
      <calculatedColumnFormula array="1">Common_InputFunctions.Utility_DisplayArrayInTable(Common_SourceData.Common_SourceData_EFN2O_Data(), Table_SourceData_Common_EFN2O[[#Headers],[Production system j]], 0)</calculatedColumnFormula>
    </tableColumn>
    <tableColumn id="4" xr3:uid="{A9DB9637-9991-47DC-B246-9AABAD16B550}" name="Irrigation method">
      <calculatedColumnFormula array="1">Common_InputFunctions.Utility_DisplayArrayInTable(Common_SourceData.Common_SourceData_EFN2O_Data(), Table_SourceData_Common_EFN2O[[#Headers],[Production system j]], 0)</calculatedColumnFormula>
    </tableColumn>
    <tableColumn id="5" xr3:uid="{5A801390-7C0B-45F9-A611-C1C2D38E86E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F71AD23-A5A7-4A36-B4D3-781E7D6AE8D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12F9552-7B71-4586-823B-5B686FED07A2}" name="Irrigation type i">
      <calculatedColumnFormula array="1">Common_InputFunctions.Utility_DisplayArrayInTable(Common_SourceData.Common_SourceData_FracWETIrrigation_Data(), Table_SourceData_FracWETIrrigation[[#Headers],[Irrigation type i]], 0)</calculatedColumnFormula>
    </tableColumn>
    <tableColumn id="2" xr3:uid="{6703E72A-32FA-48EC-B4AE-550A5A675567}"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9D9F514-B021-4FA4-9B0F-499C05CE82D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10C248C-8A0C-41C0-9C36-53340E126B1C}"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144A316-A6EA-461E-9DB4-005D6D67AE82}"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8BC1C07-EBA1-4019-B058-FA211D6FB730}"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8CCE8AB-B609-465A-9C85-F41274DCB6A1}" name="Month">
      <calculatedColumnFormula array="1">Common_InputFunctions.Utility_DisplayArrayInTable(Common_SourceData.Common_SourceData_MonthsToSeasons_Data(), Table_SourceData_Common_MonthToSeason[[#Headers],[Month]], 0)</calculatedColumnFormula>
    </tableColumn>
    <tableColumn id="2" xr3:uid="{07D1DA27-19F9-4350-8AAA-0C977EF57229}"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88A2C36-3A26-4353-99BC-F9EC2594CD4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BAFBCCA-1A75-4016-8159-03324968E3F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D731334-D4A4-4E9B-8143-73D2B8D5E0B5}"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74F60FC-BDE9-41AA-8BF7-124C3E8E3D32}"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458BC4F-1757-4413-9488-11CD6F3C2ECA}"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BD3AB15-DB6F-47D2-96A0-6A029F761C84}"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794EA5B4-A829-42BC-9EED-FF0E62D27012}"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EB2AFAD-D0B9-48BD-AF62-3D568960CE79}"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9FF9EC3-C762-42A7-85FE-4305036265AB}"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C1A64715-CD5C-4A10-BA64-5D7980308D8A}"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E4F6154-7DF1-4EA0-9905-A02024F06A57}"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2287901-5837-4D3A-BF43-0D90413688EF}"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ECE3F4F-A48B-4DDF-A86F-702F1851A69E}"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12F0D17-AC87-47F9-85B1-9022451BF097}"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0538B05-8AEA-4BFF-B60D-FA82C52E8481}"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CD70DDE5-8750-4FBF-BAF4-7F92345EEAB6}"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E3323418-FA24-42B2-8C67-981A1D9A95C9}"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8C646CA-06BE-44E0-A502-5E56945B526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3C443D8-99EB-436C-8C33-6A8883F271B5}"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8E10E13-FC11-4995-A94E-C1844BEB8810}"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9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3.xml"/><Relationship Id="rId13" Type="http://schemas.openxmlformats.org/officeDocument/2006/relationships/table" Target="../tables/table18.xml"/><Relationship Id="rId18" Type="http://schemas.openxmlformats.org/officeDocument/2006/relationships/table" Target="../tables/table23.xml"/><Relationship Id="rId3" Type="http://schemas.openxmlformats.org/officeDocument/2006/relationships/table" Target="../tables/table8.xml"/><Relationship Id="rId7" Type="http://schemas.openxmlformats.org/officeDocument/2006/relationships/table" Target="../tables/table12.xml"/><Relationship Id="rId12" Type="http://schemas.openxmlformats.org/officeDocument/2006/relationships/table" Target="../tables/table17.xml"/><Relationship Id="rId17" Type="http://schemas.openxmlformats.org/officeDocument/2006/relationships/table" Target="../tables/table22.xml"/><Relationship Id="rId2" Type="http://schemas.openxmlformats.org/officeDocument/2006/relationships/table" Target="../tables/table7.xml"/><Relationship Id="rId16"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11.xml"/><Relationship Id="rId11" Type="http://schemas.openxmlformats.org/officeDocument/2006/relationships/table" Target="../tables/table16.xml"/><Relationship Id="rId5" Type="http://schemas.openxmlformats.org/officeDocument/2006/relationships/table" Target="../tables/table10.xml"/><Relationship Id="rId15" Type="http://schemas.openxmlformats.org/officeDocument/2006/relationships/table" Target="../tables/table20.xml"/><Relationship Id="rId10" Type="http://schemas.openxmlformats.org/officeDocument/2006/relationships/table" Target="../tables/table15.xml"/><Relationship Id="rId4" Type="http://schemas.openxmlformats.org/officeDocument/2006/relationships/table" Target="../tables/table9.xml"/><Relationship Id="rId9" Type="http://schemas.openxmlformats.org/officeDocument/2006/relationships/table" Target="../tables/table14.xml"/><Relationship Id="rId14"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57" t="e" vm="1">
        <v>#VALUE!</v>
      </c>
      <c r="C1" s="94" t="s">
        <v>141</v>
      </c>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row>
    <row r="2" spans="1:64" ht="20.100000000000001" customHeight="1" x14ac:dyDescent="0.25">
      <c r="A2" s="9"/>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row>
    <row r="3" spans="1:64" ht="20.100000000000001" customHeight="1" x14ac:dyDescent="0.25">
      <c r="A3" s="17" t="str">
        <f>HYPERLINK("#'Home'!A1", "Home")</f>
        <v>Home</v>
      </c>
      <c r="C3" s="96"/>
      <c r="D3" s="96"/>
      <c r="E3" s="96"/>
      <c r="F3" s="96"/>
      <c r="G3" s="96"/>
      <c r="H3" s="96"/>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row>
    <row r="4" spans="1:64" ht="20.100000000000001" customHeight="1" x14ac:dyDescent="0.25">
      <c r="A4" s="10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row>
    <row r="5" spans="1:64" ht="20.100000000000001" customHeight="1" x14ac:dyDescent="0.25">
      <c r="A5" s="17" t="str">
        <f>HYPERLINK("#'Results'!A1", "Results")</f>
        <v>Results</v>
      </c>
      <c r="C5" s="1"/>
      <c r="D5" s="97" t="s">
        <v>103</v>
      </c>
      <c r="E5" s="97"/>
      <c r="F5" s="97"/>
      <c r="G5" s="97"/>
      <c r="H5" s="97"/>
      <c r="I5" s="83"/>
      <c r="J5" s="73"/>
      <c r="K5" s="73"/>
      <c r="L5" s="73"/>
      <c r="M5" s="73"/>
      <c r="N5" s="73"/>
      <c r="O5" s="69"/>
      <c r="P5" s="1"/>
      <c r="Q5" s="1"/>
      <c r="R5" s="1"/>
      <c r="S5" s="1"/>
      <c r="T5" s="1"/>
      <c r="U5" s="1"/>
      <c r="V5" s="1"/>
      <c r="W5" s="1"/>
      <c r="X5" s="1"/>
      <c r="Y5" s="1"/>
      <c r="Z5" s="1"/>
      <c r="AA5" s="1"/>
      <c r="AB5" s="1"/>
      <c r="AC5" s="1"/>
      <c r="AD5" s="1"/>
      <c r="AE5" s="1"/>
      <c r="AF5" s="1"/>
      <c r="AG5" s="1"/>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row>
    <row r="6" spans="1:64" ht="20.100000000000001" customHeight="1" x14ac:dyDescent="0.25">
      <c r="A6" s="16"/>
      <c r="C6" s="1"/>
      <c r="D6" s="98" t="s">
        <v>101</v>
      </c>
      <c r="E6" s="99"/>
      <c r="F6" s="99"/>
      <c r="G6" s="99"/>
      <c r="H6" s="99"/>
      <c r="I6" s="75"/>
      <c r="J6" s="72"/>
      <c r="K6" s="72"/>
      <c r="L6" s="72"/>
      <c r="M6" s="72"/>
      <c r="N6" s="72"/>
      <c r="O6" s="70"/>
      <c r="P6" s="1"/>
      <c r="Q6" s="1"/>
      <c r="R6" s="1"/>
      <c r="S6" s="1"/>
      <c r="T6" s="1"/>
      <c r="U6" s="1"/>
      <c r="V6" s="1"/>
      <c r="W6" s="1"/>
      <c r="X6" s="1"/>
      <c r="Y6" s="1"/>
      <c r="Z6" s="1"/>
      <c r="AA6" s="1"/>
      <c r="AB6" s="1"/>
      <c r="AC6" s="1"/>
      <c r="AD6" s="1"/>
      <c r="AE6" s="1"/>
      <c r="AF6" s="1"/>
      <c r="AG6" s="1"/>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1:64" ht="20.100000000000001" customHeight="1" x14ac:dyDescent="0.25">
      <c r="A9" s="17" t="str">
        <f>HYPERLINK("#'Input - Other Livestock'!A1", "Other Livestock")</f>
        <v>Other Livestock</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1:64" ht="20.100000000000001" customHeight="1" x14ac:dyDescent="0.25">
      <c r="A12" s="17" t="str">
        <f>HYPERLINK("#'3.6.1.1-2 Enteric Methane'!A1", "3.6.1.1-2 Enteric Methane")</f>
        <v>3.6.1.1-2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1:64" ht="20.100000000000001" customHeight="1" x14ac:dyDescent="0.25">
      <c r="A15" s="17" t="str">
        <f>HYPERLINK("#'Constants - Other Livestock'!A1", "Constants - Other Livestock")</f>
        <v>Constants - Other Livestock</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1:64" ht="20.100000000000001" customHeight="1" x14ac:dyDescent="0.25">
      <c r="A16" s="17" t="str">
        <f>HYPERLINK("#'Constants - Common'!A1", "Constants - Common")</f>
        <v>Constants - Common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1:64" ht="20.100000000000001" customHeight="1" x14ac:dyDescent="0.25">
      <c r="A17" s="17" t="str">
        <f>HYPERLINK("#'Acknowledgements'!A1", "Acknowledgements")</f>
        <v>Acknowledgements</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1:64" ht="20.100000000000001" customHeight="1" x14ac:dyDescent="0.25">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3:64" ht="20.100000000000001" customHeight="1" x14ac:dyDescent="0.25">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3:64" ht="20.100000000000001" customHeight="1" x14ac:dyDescent="0.25">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3:64" ht="20.100000000000001" customHeight="1" x14ac:dyDescent="0.25">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row>
    <row r="40" spans="3:64" ht="20.100000000000001" customHeight="1" x14ac:dyDescent="0.25">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row>
    <row r="41" spans="3:64" ht="20.100000000000001" customHeight="1" x14ac:dyDescent="0.25">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row>
    <row r="42" spans="3:64" ht="20.100000000000001" customHeight="1" x14ac:dyDescent="0.25">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3:64" ht="20.100000000000001" customHeight="1" x14ac:dyDescent="0.25">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row>
    <row r="44" spans="3:64" ht="20.100000000000001" customHeight="1" x14ac:dyDescent="0.25">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row>
    <row r="45" spans="3:64" ht="20.100000000000001" customHeight="1" x14ac:dyDescent="0.25">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row>
    <row r="46" spans="3:64" ht="20.100000000000001" customHeight="1" x14ac:dyDescent="0.25">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row>
    <row r="47" spans="3:64" ht="20.100000000000001" customHeight="1" x14ac:dyDescent="0.25">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row>
    <row r="48" spans="3:64" ht="20.100000000000001" customHeight="1" x14ac:dyDescent="0.25">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row>
    <row r="49" spans="3:64" ht="20.100000000000001" customHeight="1" x14ac:dyDescent="0.25">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row>
    <row r="50" spans="3:64" ht="20.100000000000001" customHeight="1" x14ac:dyDescent="0.25">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row>
    <row r="51" spans="3:64" ht="20.100000000000001" customHeight="1" x14ac:dyDescent="0.25">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row>
    <row r="52" spans="3:64" ht="20.100000000000001" customHeight="1" x14ac:dyDescent="0.25">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row>
    <row r="53" spans="3:64" ht="20.100000000000001" customHeight="1" x14ac:dyDescent="0.25">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row>
    <row r="54" spans="3:64" ht="20.100000000000001" customHeight="1" x14ac:dyDescent="0.25">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row>
    <row r="55" spans="3:64" ht="20.100000000000001" customHeight="1" x14ac:dyDescent="0.25">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row>
    <row r="56" spans="3:64" ht="20.100000000000001" customHeight="1" x14ac:dyDescent="0.25">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row>
    <row r="57" spans="3:64" ht="20.100000000000001" customHeight="1" x14ac:dyDescent="0.25">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row>
    <row r="58" spans="3:64" ht="20.100000000000001" customHeight="1" x14ac:dyDescent="0.25">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row>
    <row r="59" spans="3:64" x14ac:dyDescent="0.25">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row>
    <row r="60" spans="3:64" x14ac:dyDescent="0.25">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row>
    <row r="61" spans="3:64" x14ac:dyDescent="0.25">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row>
    <row r="62" spans="3:64" x14ac:dyDescent="0.25">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row>
    <row r="63" spans="3:64" x14ac:dyDescent="0.25">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row>
    <row r="64" spans="3:64" x14ac:dyDescent="0.25">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row>
    <row r="65" spans="3:64" x14ac:dyDescent="0.25">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row>
    <row r="66" spans="3:64" x14ac:dyDescent="0.25">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row>
    <row r="67" spans="3:64" x14ac:dyDescent="0.25">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row>
    <row r="68" spans="3:64" x14ac:dyDescent="0.25">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row>
    <row r="69" spans="3:64" x14ac:dyDescent="0.25">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row>
    <row r="70" spans="3:64" x14ac:dyDescent="0.25">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row>
    <row r="71" spans="3:64" x14ac:dyDescent="0.25">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row>
    <row r="72" spans="3:64" x14ac:dyDescent="0.25">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row>
    <row r="73" spans="3:64" x14ac:dyDescent="0.25">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row>
    <row r="74" spans="3:64" x14ac:dyDescent="0.25">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row>
    <row r="75" spans="3:64" x14ac:dyDescent="0.25">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row>
    <row r="76" spans="3:64" x14ac:dyDescent="0.25">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row>
    <row r="77" spans="3:64" x14ac:dyDescent="0.25">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row>
    <row r="78" spans="3:64" x14ac:dyDescent="0.25">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row>
    <row r="79" spans="3:64" x14ac:dyDescent="0.25">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row>
    <row r="80" spans="3:64" x14ac:dyDescent="0.25">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row>
    <row r="81" spans="3:64" x14ac:dyDescent="0.25">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row>
    <row r="82" spans="3:64" x14ac:dyDescent="0.25">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H16" sqref="H16"/>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57" t="e" vm="1">
        <v>#VALUE!</v>
      </c>
      <c r="C1" s="88" t="s">
        <v>140</v>
      </c>
    </row>
    <row r="2" spans="1:12" ht="20.100000000000001" customHeight="1" x14ac:dyDescent="0.25">
      <c r="A2" s="9"/>
      <c r="C2" s="9"/>
    </row>
    <row r="3" spans="1:12" ht="20.100000000000001" customHeight="1" x14ac:dyDescent="0.25">
      <c r="A3" s="17" t="str">
        <f>HYPERLINK("#'Home'!A1", "Home")</f>
        <v>Home</v>
      </c>
      <c r="C3" s="22"/>
      <c r="D3" s="22"/>
      <c r="E3" s="22"/>
      <c r="F3" s="22"/>
      <c r="G3" s="22"/>
      <c r="H3" s="22"/>
      <c r="I3" s="22"/>
      <c r="J3" s="22"/>
      <c r="K3" s="22"/>
      <c r="L3" s="22"/>
    </row>
    <row r="4" spans="1:12" ht="20.100000000000001" customHeight="1" x14ac:dyDescent="0.25">
      <c r="A4" s="17" t="str">
        <f>HYPERLINK("#'Overview'!A1", "Overview")</f>
        <v>Overview</v>
      </c>
      <c r="C4" s="22"/>
      <c r="D4" s="6" t="s">
        <v>5</v>
      </c>
      <c r="E4" s="24"/>
      <c r="F4" s="24"/>
      <c r="G4" s="24"/>
      <c r="H4" s="6"/>
      <c r="I4" s="6"/>
      <c r="J4" s="6"/>
      <c r="K4" s="6"/>
      <c r="L4" s="25"/>
    </row>
    <row r="5" spans="1:12" ht="20.100000000000001" customHeight="1" x14ac:dyDescent="0.3">
      <c r="A5" s="103" t="str">
        <f>HYPERLINK("#'Results'!A1", "Results")</f>
        <v>Results</v>
      </c>
      <c r="C5" s="22"/>
      <c r="D5" s="26"/>
      <c r="E5" s="27"/>
      <c r="F5" s="27"/>
      <c r="G5" s="27"/>
      <c r="H5" s="24"/>
      <c r="I5" s="22"/>
      <c r="J5" s="22"/>
      <c r="K5" s="22"/>
      <c r="L5" s="22"/>
    </row>
    <row r="6" spans="1:12" ht="20.100000000000001" customHeight="1" x14ac:dyDescent="0.25">
      <c r="A6" s="16"/>
      <c r="C6" s="22"/>
      <c r="D6" s="87" t="s">
        <v>68</v>
      </c>
      <c r="E6" s="87" t="s">
        <v>81</v>
      </c>
      <c r="F6" s="87" t="s">
        <v>82</v>
      </c>
      <c r="G6" s="87" t="s">
        <v>74</v>
      </c>
      <c r="H6" s="87" t="s">
        <v>83</v>
      </c>
      <c r="I6" s="87" t="s">
        <v>85</v>
      </c>
      <c r="J6" s="87" t="s">
        <v>75</v>
      </c>
      <c r="K6" s="22"/>
      <c r="L6" s="22"/>
    </row>
    <row r="7" spans="1:12" ht="20.100000000000001" customHeight="1" x14ac:dyDescent="0.25">
      <c r="A7" s="20" t="s">
        <v>3</v>
      </c>
      <c r="C7" s="22"/>
      <c r="D7" s="1" t="s">
        <v>102</v>
      </c>
      <c r="E7" s="85">
        <f>'3.6.1.1-2 Enteric Methane'!E28</f>
        <v>630.69999999999993</v>
      </c>
      <c r="F7" s="85">
        <f>E7</f>
        <v>630.69999999999993</v>
      </c>
      <c r="G7" s="50" t="s">
        <v>143</v>
      </c>
      <c r="H7" s="85">
        <f>'3.6.1.1-2 Enteric Methane'!E33</f>
        <v>17659.599999999999</v>
      </c>
      <c r="I7" s="85">
        <f>H7</f>
        <v>17659.599999999999</v>
      </c>
      <c r="J7" s="50" t="s">
        <v>84</v>
      </c>
      <c r="K7" s="22"/>
      <c r="L7" s="22"/>
    </row>
    <row r="8" spans="1:12" ht="20.100000000000001" customHeight="1" x14ac:dyDescent="0.3">
      <c r="A8" s="17" t="str">
        <f>HYPERLINK("#'Input - Site'!A1", "Site")</f>
        <v>Site</v>
      </c>
      <c r="C8" s="22"/>
      <c r="D8" s="29" t="s">
        <v>73</v>
      </c>
      <c r="E8" s="23"/>
      <c r="F8" s="29"/>
      <c r="G8" s="29"/>
      <c r="H8" s="86">
        <f>SUM(H7:H7)</f>
        <v>17659.599999999999</v>
      </c>
      <c r="I8" s="86">
        <f>SUM(I7:I7)</f>
        <v>17659.599999999999</v>
      </c>
      <c r="J8" s="81" t="s">
        <v>84</v>
      </c>
      <c r="K8" s="22"/>
      <c r="L8" s="22"/>
    </row>
    <row r="9" spans="1:12" ht="20.100000000000001" customHeight="1" x14ac:dyDescent="0.25">
      <c r="A9" s="17" t="str">
        <f>HYPERLINK("#'Input - Other Livestock'!A1", "Other Livestock")</f>
        <v>Other Livestock</v>
      </c>
      <c r="C9" s="22"/>
      <c r="D9" s="1"/>
      <c r="E9" s="1"/>
      <c r="F9" s="1"/>
      <c r="G9" s="24"/>
      <c r="H9" s="22"/>
      <c r="I9" s="1"/>
      <c r="J9" s="1"/>
      <c r="K9" s="22"/>
      <c r="L9" s="22"/>
    </row>
    <row r="10" spans="1:12" ht="20.100000000000001" customHeight="1" x14ac:dyDescent="0.25">
      <c r="A10" s="17"/>
      <c r="C10" s="22"/>
      <c r="D10" s="1"/>
      <c r="E10" s="1"/>
      <c r="F10" s="1"/>
      <c r="G10" s="1"/>
      <c r="H10" s="1"/>
      <c r="I10" s="1"/>
      <c r="J10" s="1"/>
      <c r="K10" s="22"/>
      <c r="L10" s="22"/>
    </row>
    <row r="11" spans="1:12" ht="20.100000000000001" customHeight="1" x14ac:dyDescent="0.25">
      <c r="A11" s="19" t="s">
        <v>56</v>
      </c>
      <c r="C11" s="22"/>
      <c r="D11" s="1"/>
      <c r="E11" s="1"/>
      <c r="F11" s="1"/>
      <c r="G11" s="1"/>
      <c r="H11" s="1"/>
      <c r="I11" s="1"/>
      <c r="J11" s="1"/>
      <c r="K11" s="22"/>
      <c r="L11" s="22"/>
    </row>
    <row r="12" spans="1:12" ht="20.100000000000001" customHeight="1" x14ac:dyDescent="0.25">
      <c r="A12" s="17" t="str">
        <f>HYPERLINK("#'3.6.1.1-2 Enteric Methane'!A1", "3.6.1.1-2 Enteric Methane")</f>
        <v>3.6.1.1-2 Enteric Methane</v>
      </c>
      <c r="C12" s="22"/>
      <c r="D12" s="1"/>
      <c r="E12" s="1"/>
      <c r="F12" s="1"/>
      <c r="G12" s="1"/>
      <c r="H12" s="1"/>
      <c r="I12" s="1"/>
      <c r="J12" s="1"/>
      <c r="K12" s="22"/>
      <c r="L12" s="22"/>
    </row>
    <row r="13" spans="1:12" ht="20.100000000000001" customHeight="1" x14ac:dyDescent="0.25">
      <c r="C13" s="22"/>
      <c r="D13" s="1"/>
      <c r="E13" s="1"/>
      <c r="F13" s="1"/>
      <c r="G13" s="1"/>
      <c r="H13" s="1"/>
      <c r="I13" s="1"/>
      <c r="J13" s="1"/>
      <c r="K13" s="22"/>
      <c r="L13" s="22"/>
    </row>
    <row r="14" spans="1:12" ht="20.100000000000001" customHeight="1" x14ac:dyDescent="0.25">
      <c r="A14" s="18" t="s">
        <v>4</v>
      </c>
      <c r="C14" s="22"/>
      <c r="D14" s="1"/>
      <c r="E14" s="1"/>
      <c r="F14" s="1"/>
      <c r="G14" s="1"/>
      <c r="H14" s="1"/>
      <c r="I14" s="1"/>
      <c r="J14" s="1"/>
      <c r="K14" s="22"/>
      <c r="L14" s="22"/>
    </row>
    <row r="15" spans="1:12" ht="20.100000000000001" customHeight="1" x14ac:dyDescent="0.25">
      <c r="A15" s="17" t="str">
        <f>HYPERLINK("#'Constants - Other Livestock'!A1", "Constants - Other Livestock")</f>
        <v>Constants - Other Livestock</v>
      </c>
      <c r="C15" s="22"/>
      <c r="D15" s="1"/>
      <c r="E15" s="1"/>
      <c r="F15" s="1"/>
      <c r="G15" s="1"/>
      <c r="H15" s="1"/>
      <c r="I15" s="1"/>
      <c r="J15" s="1"/>
      <c r="K15" s="22"/>
      <c r="L15" s="22"/>
    </row>
    <row r="16" spans="1:12" ht="20.100000000000001" customHeight="1" x14ac:dyDescent="0.25">
      <c r="A16" s="17" t="str">
        <f>HYPERLINK("#'Constants - Common'!A1", "Constants - Common")</f>
        <v>Constants - Common</v>
      </c>
      <c r="C16" s="22"/>
      <c r="D16" s="1"/>
      <c r="E16" s="1"/>
      <c r="F16" s="1"/>
      <c r="G16" s="1"/>
      <c r="H16" s="1"/>
      <c r="I16" s="1"/>
      <c r="J16" s="1"/>
      <c r="K16" s="22"/>
      <c r="L16" s="22"/>
    </row>
    <row r="17" spans="1:12" ht="20.100000000000001" customHeight="1" x14ac:dyDescent="0.25">
      <c r="A17" s="17" t="str">
        <f>HYPERLINK("#'Acknowledgements'!A1", "Acknowledgements")</f>
        <v>Acknowledgements</v>
      </c>
      <c r="C17" s="22"/>
      <c r="D17" s="1"/>
      <c r="E17" s="1"/>
      <c r="F17" s="1"/>
      <c r="G17" s="1"/>
      <c r="H17" s="1"/>
      <c r="I17" s="1"/>
      <c r="J17" s="1"/>
      <c r="K17" s="22"/>
      <c r="L17" s="22"/>
    </row>
    <row r="18" spans="1:12" ht="20.100000000000001" customHeight="1" x14ac:dyDescent="0.25">
      <c r="C18" s="22"/>
      <c r="D18" s="1"/>
      <c r="E18" s="1"/>
      <c r="F18" s="1"/>
      <c r="G18" s="1"/>
      <c r="H18" s="1"/>
      <c r="I18" s="1"/>
      <c r="J18" s="1"/>
      <c r="K18" s="22"/>
      <c r="L18" s="22"/>
    </row>
    <row r="19" spans="1:12" ht="20.100000000000001" customHeight="1" x14ac:dyDescent="0.25">
      <c r="C19" s="22"/>
      <c r="D19" s="1"/>
      <c r="E19" s="1"/>
      <c r="F19" s="1"/>
      <c r="G19" s="1"/>
      <c r="H19" s="1"/>
      <c r="I19" s="1"/>
      <c r="J19" s="1"/>
      <c r="K19" s="22"/>
      <c r="L19" s="22"/>
    </row>
    <row r="20" spans="1:12" ht="20.100000000000001" customHeight="1" x14ac:dyDescent="0.25">
      <c r="C20" s="22"/>
      <c r="D20" s="1"/>
      <c r="E20" s="1"/>
      <c r="F20" s="1"/>
      <c r="G20" s="1"/>
      <c r="H20" s="1"/>
      <c r="I20" s="1"/>
      <c r="J20" s="1"/>
      <c r="K20" s="22"/>
      <c r="L20" s="22"/>
    </row>
    <row r="21" spans="1:12" ht="20.100000000000001" customHeight="1" x14ac:dyDescent="0.25">
      <c r="A21" s="17"/>
      <c r="C21" s="22"/>
      <c r="D21" s="1"/>
      <c r="E21" s="1"/>
      <c r="F21" s="1"/>
      <c r="G21" s="1"/>
      <c r="H21" s="1"/>
      <c r="I21" s="1"/>
      <c r="J21" s="1"/>
      <c r="K21" s="22"/>
      <c r="L21" s="22"/>
    </row>
    <row r="22" spans="1:12" ht="20.100000000000001" customHeight="1" x14ac:dyDescent="0.25">
      <c r="C22" s="22"/>
      <c r="D22" s="1"/>
      <c r="E22" s="1"/>
      <c r="F22" s="1"/>
      <c r="G22" s="1"/>
      <c r="H22" s="1"/>
      <c r="I22" s="1"/>
      <c r="J22" s="1"/>
      <c r="K22" s="22"/>
      <c r="L22" s="22"/>
    </row>
    <row r="23" spans="1:12" ht="20.100000000000001" customHeight="1" x14ac:dyDescent="0.25">
      <c r="C23" s="22"/>
      <c r="D23" s="1"/>
      <c r="E23" s="1"/>
      <c r="F23" s="1"/>
      <c r="G23" s="1"/>
      <c r="H23" s="1"/>
      <c r="I23" s="1"/>
      <c r="J23" s="1"/>
      <c r="K23" s="22"/>
      <c r="L23" s="22"/>
    </row>
    <row r="24" spans="1:12" ht="20.100000000000001" customHeight="1" x14ac:dyDescent="0.25">
      <c r="A24" s="17"/>
      <c r="C24" s="22"/>
      <c r="D24" s="1"/>
      <c r="E24" s="1"/>
      <c r="F24" s="1"/>
      <c r="G24" s="1"/>
      <c r="H24" s="1"/>
      <c r="I24" s="1"/>
      <c r="J24" s="1"/>
      <c r="K24" s="22"/>
      <c r="L24" s="22"/>
    </row>
    <row r="25" spans="1:12" ht="20.100000000000001" customHeight="1" x14ac:dyDescent="0.25">
      <c r="A25" s="17"/>
      <c r="C25" s="22"/>
      <c r="D25" s="1"/>
      <c r="E25" s="1"/>
      <c r="F25" s="1"/>
      <c r="G25" s="1"/>
      <c r="H25" s="1"/>
      <c r="I25" s="1"/>
      <c r="J25" s="1"/>
      <c r="K25" s="22"/>
      <c r="L25" s="22"/>
    </row>
    <row r="26" spans="1:12" ht="20.100000000000001" customHeight="1" x14ac:dyDescent="0.25">
      <c r="C26" s="22"/>
      <c r="D26" s="1"/>
      <c r="E26" s="1"/>
      <c r="F26" s="1"/>
      <c r="G26" s="1"/>
      <c r="H26" s="1"/>
      <c r="I26" s="1"/>
      <c r="J26" s="1"/>
      <c r="K26" s="22"/>
      <c r="L26" s="22"/>
    </row>
    <row r="27" spans="1:12" ht="20.100000000000001" customHeight="1" x14ac:dyDescent="0.25">
      <c r="C27" s="22"/>
      <c r="D27" s="1"/>
      <c r="E27" s="1"/>
      <c r="F27" s="1"/>
      <c r="G27" s="1"/>
      <c r="H27" s="1"/>
      <c r="I27" s="1"/>
      <c r="J27" s="1"/>
      <c r="K27" s="22"/>
      <c r="L27" s="22"/>
    </row>
    <row r="28" spans="1:12" ht="20.100000000000001" customHeight="1" x14ac:dyDescent="0.25">
      <c r="C28" s="22"/>
      <c r="D28" s="1"/>
      <c r="E28" s="1"/>
      <c r="F28" s="1"/>
      <c r="G28" s="1"/>
      <c r="H28" s="1"/>
      <c r="I28" s="1"/>
      <c r="J28" s="1"/>
      <c r="K28" s="22"/>
      <c r="L28" s="22"/>
    </row>
    <row r="29" spans="1:12" ht="20.100000000000001" customHeight="1" x14ac:dyDescent="0.25">
      <c r="C29" s="22"/>
      <c r="D29" s="1"/>
      <c r="E29" s="1"/>
      <c r="F29" s="1"/>
      <c r="G29" s="1"/>
      <c r="H29" s="22"/>
      <c r="I29" s="22"/>
      <c r="J29" s="22"/>
      <c r="K29" s="22"/>
      <c r="L29" s="22"/>
    </row>
    <row r="30" spans="1:12" ht="20.100000000000001" customHeight="1" x14ac:dyDescent="0.25">
      <c r="C30" s="22"/>
      <c r="D30" s="1"/>
      <c r="E30" s="1"/>
      <c r="F30" s="1"/>
      <c r="G30" s="1"/>
      <c r="H30" s="22"/>
      <c r="I30" s="22"/>
      <c r="J30" s="22"/>
      <c r="K30" s="22"/>
      <c r="L30" s="22"/>
    </row>
    <row r="31" spans="1:12" ht="20.100000000000001" customHeight="1" x14ac:dyDescent="0.25">
      <c r="C31" s="22"/>
      <c r="D31" s="1"/>
      <c r="E31" s="1"/>
      <c r="F31" s="1"/>
      <c r="G31" s="1"/>
      <c r="H31" s="22"/>
      <c r="I31" s="22"/>
      <c r="J31" s="22"/>
      <c r="K31" s="22"/>
      <c r="L31" s="22"/>
    </row>
    <row r="32" spans="1:12" ht="20.100000000000001" customHeight="1" x14ac:dyDescent="0.25">
      <c r="C32" s="22"/>
      <c r="D32" s="1"/>
      <c r="E32" s="1"/>
      <c r="F32" s="1"/>
      <c r="G32" s="1"/>
      <c r="H32" s="24"/>
      <c r="I32" s="22"/>
      <c r="J32" s="22"/>
      <c r="K32" s="22"/>
      <c r="L32" s="22"/>
    </row>
    <row r="33" spans="3:12" ht="20.100000000000001" customHeight="1" x14ac:dyDescent="0.3">
      <c r="C33" s="22"/>
      <c r="D33" s="1"/>
      <c r="E33" s="1"/>
      <c r="F33" s="1"/>
      <c r="G33" s="1"/>
      <c r="H33" s="27"/>
      <c r="I33" s="22"/>
      <c r="J33" s="22"/>
      <c r="K33" s="22"/>
      <c r="L33" s="22"/>
    </row>
    <row r="34" spans="3:12" ht="20.100000000000001" customHeight="1" x14ac:dyDescent="0.25">
      <c r="C34" s="22"/>
      <c r="D34" s="1"/>
      <c r="E34" s="1"/>
      <c r="F34" s="1"/>
      <c r="G34" s="1"/>
      <c r="H34" s="1"/>
      <c r="I34" s="22"/>
      <c r="J34" s="22"/>
      <c r="K34" s="22"/>
      <c r="L34" s="22"/>
    </row>
    <row r="35" spans="3:12" ht="20.100000000000001" customHeight="1" x14ac:dyDescent="0.25">
      <c r="C35" s="22"/>
      <c r="D35" s="1"/>
      <c r="E35" s="1"/>
      <c r="F35" s="1"/>
      <c r="G35" s="1"/>
      <c r="H35" s="1"/>
      <c r="I35" s="22"/>
      <c r="J35" s="22"/>
      <c r="K35" s="22"/>
      <c r="L35" s="22"/>
    </row>
    <row r="36" spans="3:12" ht="20.100000000000001" customHeight="1" x14ac:dyDescent="0.25">
      <c r="C36" s="22"/>
      <c r="D36" s="1"/>
      <c r="E36" s="1"/>
      <c r="F36" s="1"/>
      <c r="G36" s="1"/>
      <c r="H36" s="1"/>
      <c r="I36" s="22"/>
      <c r="J36" s="22"/>
      <c r="K36" s="22"/>
      <c r="L36" s="22"/>
    </row>
    <row r="37" spans="3:12" ht="20.100000000000001" customHeight="1" x14ac:dyDescent="0.25">
      <c r="C37" s="22"/>
      <c r="D37" s="1"/>
      <c r="E37" s="1"/>
      <c r="F37" s="1"/>
      <c r="G37" s="1"/>
      <c r="H37" s="1"/>
      <c r="I37" s="22"/>
      <c r="J37" s="22"/>
      <c r="K37" s="22"/>
      <c r="L37" s="22"/>
    </row>
    <row r="38" spans="3:12" ht="20.100000000000001" customHeight="1" x14ac:dyDescent="0.25">
      <c r="C38" s="22"/>
      <c r="D38" s="1"/>
      <c r="E38" s="1"/>
      <c r="F38" s="1"/>
      <c r="G38" s="1"/>
      <c r="H38" s="1"/>
      <c r="I38" s="84"/>
      <c r="J38" s="84"/>
      <c r="K38" s="84"/>
      <c r="L38" s="22"/>
    </row>
    <row r="39" spans="3:12" ht="20.100000000000001" customHeight="1" x14ac:dyDescent="0.25">
      <c r="C39" s="22"/>
      <c r="D39" s="1"/>
      <c r="E39" s="1"/>
      <c r="F39" s="1"/>
      <c r="G39" s="1"/>
      <c r="H39" s="1"/>
      <c r="I39" s="84"/>
      <c r="J39" s="84"/>
      <c r="K39" s="84"/>
      <c r="L39" s="22"/>
    </row>
    <row r="40" spans="3:12" ht="20.100000000000001" customHeight="1" x14ac:dyDescent="0.25">
      <c r="C40" s="22"/>
      <c r="D40" s="1"/>
      <c r="E40" s="1"/>
      <c r="F40" s="1"/>
      <c r="G40" s="1"/>
      <c r="H40" s="1"/>
      <c r="I40" s="84"/>
      <c r="J40" s="84"/>
      <c r="K40" s="84"/>
      <c r="L40" s="22"/>
    </row>
    <row r="41" spans="3:12" ht="20.100000000000001" customHeight="1" x14ac:dyDescent="0.25">
      <c r="C41" s="22"/>
      <c r="D41" s="1"/>
      <c r="E41" s="1"/>
      <c r="F41" s="1"/>
      <c r="G41" s="1"/>
      <c r="H41" s="1"/>
      <c r="I41" s="84"/>
      <c r="J41" s="84"/>
      <c r="K41" s="84"/>
      <c r="L41" s="22"/>
    </row>
    <row r="42" spans="3:12" ht="20.100000000000001" customHeight="1" x14ac:dyDescent="0.25">
      <c r="C42" s="22"/>
      <c r="D42" s="1"/>
      <c r="E42" s="1"/>
      <c r="F42" s="1"/>
      <c r="G42" s="1"/>
      <c r="H42" s="1"/>
      <c r="I42" s="84"/>
      <c r="J42" s="84"/>
      <c r="K42" s="84"/>
      <c r="L42" s="22"/>
    </row>
    <row r="43" spans="3:12" ht="20.100000000000001" customHeight="1" x14ac:dyDescent="0.25">
      <c r="C43" s="22"/>
      <c r="D43" s="1"/>
      <c r="E43" s="1"/>
      <c r="F43" s="1"/>
      <c r="G43" s="1"/>
      <c r="H43" s="1"/>
      <c r="I43" s="84"/>
      <c r="J43" s="84"/>
      <c r="K43" s="84"/>
      <c r="L43" s="22"/>
    </row>
    <row r="44" spans="3:12" ht="20.100000000000001" customHeight="1" x14ac:dyDescent="0.25">
      <c r="C44" s="22"/>
      <c r="D44" s="1"/>
      <c r="E44" s="1"/>
      <c r="F44" s="1"/>
      <c r="G44" s="1"/>
      <c r="H44" s="1"/>
      <c r="I44" s="84"/>
      <c r="J44" s="84"/>
      <c r="K44" s="84"/>
      <c r="L44" s="22"/>
    </row>
    <row r="45" spans="3:12" ht="20.100000000000001" customHeight="1" x14ac:dyDescent="0.25">
      <c r="C45" s="22"/>
      <c r="D45" s="1"/>
      <c r="E45" s="1"/>
      <c r="F45" s="1"/>
      <c r="G45" s="1"/>
      <c r="H45" s="1"/>
      <c r="I45" s="84"/>
      <c r="J45" s="84"/>
      <c r="K45" s="84"/>
      <c r="L45" s="22"/>
    </row>
    <row r="46" spans="3:12" ht="20.100000000000001" customHeight="1" x14ac:dyDescent="0.25">
      <c r="C46" s="22"/>
      <c r="D46" s="1"/>
      <c r="E46" s="1"/>
      <c r="F46" s="1"/>
      <c r="G46" s="1"/>
      <c r="H46" s="1"/>
      <c r="I46" s="84"/>
      <c r="J46" s="84"/>
      <c r="K46" s="84"/>
      <c r="L46" s="22"/>
    </row>
    <row r="47" spans="3:12" ht="20.100000000000001" customHeight="1" x14ac:dyDescent="0.25">
      <c r="C47" s="22"/>
      <c r="D47" s="1"/>
      <c r="E47" s="1"/>
      <c r="F47" s="1"/>
      <c r="G47" s="1"/>
      <c r="H47" s="1"/>
      <c r="I47" s="84"/>
      <c r="J47" s="84"/>
      <c r="K47" s="84"/>
      <c r="L47" s="22"/>
    </row>
    <row r="48" spans="3:12" ht="20.100000000000001" customHeight="1" x14ac:dyDescent="0.25">
      <c r="C48" s="22"/>
      <c r="D48" s="1"/>
      <c r="E48" s="1"/>
      <c r="F48" s="1"/>
      <c r="G48" s="1"/>
      <c r="H48" s="1"/>
      <c r="I48" s="84"/>
      <c r="J48" s="84"/>
      <c r="K48" s="84"/>
      <c r="L48" s="22"/>
    </row>
    <row r="49" spans="3:12" ht="20.100000000000001" customHeight="1" x14ac:dyDescent="0.25">
      <c r="C49" s="22"/>
      <c r="D49" s="1"/>
      <c r="E49" s="1"/>
      <c r="F49" s="1"/>
      <c r="G49" s="1"/>
      <c r="H49" s="84"/>
      <c r="I49" s="84"/>
      <c r="J49" s="84"/>
      <c r="K49" s="84"/>
      <c r="L49" s="22"/>
    </row>
    <row r="50" spans="3:12" ht="20.100000000000001" customHeight="1" x14ac:dyDescent="0.25">
      <c r="C50" s="22"/>
      <c r="D50" s="1"/>
      <c r="E50" s="1"/>
      <c r="F50" s="1"/>
      <c r="G50" s="1"/>
      <c r="H50" s="84"/>
      <c r="I50" s="84"/>
      <c r="J50" s="84"/>
      <c r="K50" s="84"/>
      <c r="L50" s="22"/>
    </row>
    <row r="51" spans="3:12" ht="20.100000000000001" customHeight="1" x14ac:dyDescent="0.25">
      <c r="C51" s="22"/>
      <c r="D51" s="1"/>
      <c r="E51" s="1"/>
      <c r="F51" s="1"/>
      <c r="G51" s="1"/>
      <c r="H51" s="84"/>
      <c r="I51" s="84"/>
      <c r="J51" s="84"/>
      <c r="K51" s="84"/>
      <c r="L51" s="22"/>
    </row>
    <row r="52" spans="3:12" ht="20.100000000000001" customHeight="1" x14ac:dyDescent="0.25">
      <c r="C52" s="22"/>
      <c r="D52" s="1"/>
      <c r="E52" s="1"/>
      <c r="F52" s="1"/>
      <c r="G52" s="1"/>
      <c r="H52" s="84"/>
      <c r="I52" s="84"/>
      <c r="J52" s="84"/>
      <c r="K52" s="84"/>
      <c r="L52" s="22"/>
    </row>
    <row r="53" spans="3:12" ht="20.100000000000001" customHeight="1" x14ac:dyDescent="0.25">
      <c r="C53" s="22"/>
      <c r="D53" s="1"/>
      <c r="E53" s="1"/>
      <c r="F53" s="1"/>
      <c r="G53" s="1"/>
      <c r="H53" s="84"/>
      <c r="I53" s="84"/>
      <c r="J53" s="84"/>
      <c r="K53" s="84"/>
      <c r="L53" s="22"/>
    </row>
    <row r="54" spans="3:12" ht="20.100000000000001" customHeight="1" x14ac:dyDescent="0.25">
      <c r="C54" s="22"/>
      <c r="D54" s="1"/>
      <c r="E54" s="1"/>
      <c r="F54" s="1"/>
      <c r="G54" s="1"/>
      <c r="H54" s="22"/>
      <c r="I54" s="22"/>
      <c r="J54" s="22"/>
      <c r="K54" s="22"/>
      <c r="L54" s="22"/>
    </row>
    <row r="55" spans="3:12" ht="20.100000000000001" customHeight="1" x14ac:dyDescent="0.25">
      <c r="C55" s="22"/>
      <c r="D55" s="1"/>
      <c r="E55" s="1"/>
      <c r="F55" s="1"/>
      <c r="G55" s="1"/>
      <c r="H55" s="22"/>
      <c r="I55" s="22"/>
      <c r="J55" s="22"/>
      <c r="K55" s="22"/>
      <c r="L55" s="22"/>
    </row>
    <row r="56" spans="3:12" ht="20.100000000000001" customHeight="1" x14ac:dyDescent="0.25">
      <c r="C56" s="22"/>
      <c r="D56" s="1"/>
      <c r="E56" s="1"/>
      <c r="F56" s="1"/>
      <c r="G56" s="1"/>
      <c r="H56" s="22"/>
      <c r="I56" s="22"/>
      <c r="J56" s="22"/>
      <c r="K56" s="22"/>
      <c r="L56" s="22"/>
    </row>
    <row r="57" spans="3:12" ht="20.100000000000001" customHeight="1" x14ac:dyDescent="0.25">
      <c r="C57" s="22"/>
      <c r="D57" s="1"/>
      <c r="E57" s="1"/>
      <c r="F57" s="1"/>
      <c r="G57" s="1"/>
      <c r="H57" s="22"/>
      <c r="I57" s="22"/>
      <c r="J57" s="22"/>
      <c r="K57" s="22"/>
      <c r="L57" s="22"/>
    </row>
    <row r="58" spans="3:12" ht="20.100000000000001" customHeight="1" x14ac:dyDescent="0.25">
      <c r="C58" s="22"/>
      <c r="D58" s="1"/>
      <c r="E58" s="30"/>
      <c r="F58" s="28"/>
      <c r="G58" s="22"/>
      <c r="H58" s="22"/>
      <c r="I58" s="22"/>
      <c r="J58" s="22"/>
      <c r="K58" s="22"/>
      <c r="L58" s="22"/>
    </row>
    <row r="59" spans="3:12" ht="20.100000000000001" customHeight="1" x14ac:dyDescent="0.25">
      <c r="C59" s="22"/>
      <c r="D59" s="1"/>
      <c r="E59" s="1"/>
      <c r="F59" s="1"/>
      <c r="G59" s="1"/>
      <c r="H59" s="1"/>
      <c r="I59" s="1"/>
      <c r="J59" s="1"/>
      <c r="K59" s="1"/>
      <c r="L59" s="22"/>
    </row>
    <row r="60" spans="3:12" ht="20.100000000000001" customHeight="1" x14ac:dyDescent="0.25">
      <c r="C60" s="22"/>
      <c r="D60" s="1"/>
      <c r="E60" s="1"/>
      <c r="F60" s="1"/>
      <c r="G60" s="1"/>
      <c r="H60" s="1"/>
      <c r="I60" s="1"/>
      <c r="J60" s="1"/>
      <c r="K60" s="1"/>
      <c r="L60" s="22"/>
    </row>
    <row r="61" spans="3:12" ht="20.100000000000001" customHeight="1" x14ac:dyDescent="0.25">
      <c r="C61" s="22"/>
      <c r="D61" s="1"/>
      <c r="E61" s="1"/>
      <c r="F61" s="1"/>
      <c r="G61" s="1"/>
      <c r="H61" s="1"/>
      <c r="I61" s="1"/>
      <c r="J61" s="1"/>
      <c r="K61" s="1"/>
      <c r="L61" s="22"/>
    </row>
    <row r="62" spans="3:12" ht="20.100000000000001" customHeight="1" x14ac:dyDescent="0.25">
      <c r="C62" s="22"/>
      <c r="D62" s="1"/>
      <c r="E62" s="1"/>
      <c r="F62" s="1"/>
      <c r="G62" s="1"/>
      <c r="H62" s="1"/>
      <c r="I62" s="1"/>
      <c r="J62" s="1"/>
      <c r="K62" s="1"/>
      <c r="L62" s="22"/>
    </row>
    <row r="63" spans="3:12" ht="20.100000000000001" customHeight="1" x14ac:dyDescent="0.25">
      <c r="C63" s="22"/>
      <c r="D63" s="1"/>
      <c r="E63" s="1"/>
      <c r="F63" s="1"/>
      <c r="G63" s="1"/>
      <c r="H63" s="1"/>
      <c r="I63" s="1"/>
      <c r="J63" s="1"/>
      <c r="K63" s="1"/>
      <c r="L63" s="22"/>
    </row>
    <row r="64" spans="3:12" ht="20.100000000000001" customHeight="1" x14ac:dyDescent="0.25">
      <c r="C64" s="22"/>
      <c r="D64" s="1"/>
      <c r="E64" s="1"/>
      <c r="F64" s="1"/>
      <c r="G64" s="1"/>
      <c r="H64" s="1"/>
      <c r="I64" s="1"/>
      <c r="J64" s="1"/>
      <c r="K64" s="1"/>
      <c r="L64" s="22"/>
    </row>
    <row r="65" spans="3:12" ht="20.100000000000001" customHeight="1" x14ac:dyDescent="0.25">
      <c r="C65" s="22"/>
      <c r="D65" s="1"/>
      <c r="E65" s="1"/>
      <c r="F65" s="1"/>
      <c r="G65" s="1"/>
      <c r="H65" s="1"/>
      <c r="I65" s="1"/>
      <c r="J65" s="1"/>
      <c r="K65" s="1"/>
      <c r="L65" s="22"/>
    </row>
    <row r="66" spans="3:12" ht="20.100000000000001" customHeight="1" x14ac:dyDescent="0.25">
      <c r="C66" s="22"/>
      <c r="D66" s="1"/>
      <c r="E66" s="1"/>
      <c r="F66" s="1"/>
      <c r="G66" s="1"/>
      <c r="H66" s="1"/>
      <c r="I66" s="1"/>
      <c r="J66" s="1"/>
      <c r="K66" s="1"/>
      <c r="L66" s="22"/>
    </row>
    <row r="67" spans="3:12" ht="20.100000000000001" customHeight="1" x14ac:dyDescent="0.25">
      <c r="C67" s="22"/>
      <c r="D67" s="1"/>
      <c r="E67" s="1"/>
      <c r="F67" s="1"/>
      <c r="G67" s="1"/>
      <c r="H67" s="1"/>
      <c r="I67" s="1"/>
      <c r="J67" s="1"/>
      <c r="K67" s="1"/>
      <c r="L67" s="22"/>
    </row>
    <row r="68" spans="3:12" ht="20.100000000000001" customHeight="1" x14ac:dyDescent="0.25">
      <c r="C68" s="22"/>
      <c r="D68" s="1"/>
      <c r="E68" s="1"/>
      <c r="F68" s="1"/>
      <c r="G68" s="1"/>
      <c r="H68" s="1"/>
      <c r="I68" s="1"/>
      <c r="J68" s="1"/>
      <c r="K68" s="1"/>
      <c r="L68" s="22"/>
    </row>
    <row r="69" spans="3:12" ht="20.100000000000001" customHeight="1" x14ac:dyDescent="0.25">
      <c r="C69" s="22"/>
      <c r="D69" s="1"/>
      <c r="E69" s="1"/>
      <c r="F69" s="1"/>
      <c r="G69" s="1"/>
      <c r="H69" s="1"/>
      <c r="I69" s="1"/>
      <c r="J69" s="1"/>
      <c r="K69" s="1"/>
      <c r="L69" s="22"/>
    </row>
    <row r="70" spans="3:12" ht="20.100000000000001" customHeight="1" x14ac:dyDescent="0.25">
      <c r="C70" s="22"/>
      <c r="D70" s="1"/>
      <c r="E70" s="1"/>
      <c r="F70" s="1"/>
      <c r="G70" s="1"/>
      <c r="H70" s="1"/>
      <c r="I70" s="1"/>
      <c r="J70" s="1"/>
      <c r="K70" s="1"/>
      <c r="L70" s="22"/>
    </row>
    <row r="71" spans="3:12" ht="20.100000000000001" customHeight="1" x14ac:dyDescent="0.25">
      <c r="C71" s="22"/>
      <c r="D71" s="1"/>
      <c r="E71" s="1"/>
      <c r="F71" s="1"/>
      <c r="G71" s="1"/>
      <c r="H71" s="1"/>
      <c r="I71" s="1"/>
      <c r="J71" s="1"/>
      <c r="K71" s="1"/>
      <c r="L71" s="22"/>
    </row>
    <row r="72" spans="3:12" ht="20.100000000000001" customHeight="1" x14ac:dyDescent="0.25">
      <c r="C72" s="22"/>
      <c r="D72" s="1"/>
      <c r="E72" s="1"/>
      <c r="F72" s="1"/>
      <c r="G72" s="1"/>
      <c r="H72" s="1"/>
      <c r="I72" s="1"/>
      <c r="J72" s="1"/>
      <c r="K72" s="1"/>
      <c r="L72" s="22"/>
    </row>
    <row r="73" spans="3:12" ht="20.100000000000001" customHeight="1" x14ac:dyDescent="0.25">
      <c r="C73" s="22"/>
      <c r="D73" s="1"/>
      <c r="E73" s="1"/>
      <c r="F73" s="1"/>
      <c r="G73" s="1"/>
      <c r="H73" s="1"/>
      <c r="I73" s="1"/>
      <c r="J73" s="1"/>
      <c r="K73" s="1"/>
      <c r="L73" s="22"/>
    </row>
    <row r="74" spans="3:12" ht="20.100000000000001" customHeight="1" x14ac:dyDescent="0.25">
      <c r="C74" s="22"/>
      <c r="D74" s="1"/>
      <c r="E74" s="1"/>
      <c r="F74" s="1"/>
      <c r="G74" s="1"/>
      <c r="H74" s="1"/>
      <c r="I74" s="1"/>
      <c r="J74" s="1"/>
      <c r="K74" s="1"/>
      <c r="L74" s="22"/>
    </row>
    <row r="75" spans="3:12" ht="20.100000000000001" customHeight="1" x14ac:dyDescent="0.25">
      <c r="C75" s="22"/>
      <c r="D75" s="1"/>
      <c r="E75" s="1"/>
      <c r="F75" s="1"/>
      <c r="G75" s="1"/>
      <c r="H75" s="1"/>
      <c r="I75" s="1"/>
      <c r="J75" s="1"/>
      <c r="K75" s="1"/>
      <c r="L75" s="22"/>
    </row>
    <row r="76" spans="3:12" ht="15.75" x14ac:dyDescent="0.25">
      <c r="C76" s="22"/>
      <c r="D76" s="1"/>
      <c r="E76" s="1"/>
      <c r="F76" s="1"/>
      <c r="G76" s="1"/>
      <c r="H76" s="1"/>
      <c r="I76" s="1"/>
      <c r="J76" s="1"/>
      <c r="K76" s="1"/>
      <c r="L76" s="22"/>
    </row>
    <row r="77" spans="3:12" ht="15.75" x14ac:dyDescent="0.25">
      <c r="C77" s="22"/>
      <c r="D77" s="1"/>
      <c r="E77" s="1"/>
      <c r="F77" s="1"/>
      <c r="G77" s="1"/>
      <c r="H77" s="1"/>
      <c r="I77" s="1"/>
      <c r="J77" s="1"/>
      <c r="K77" s="1"/>
      <c r="L77" s="22"/>
    </row>
    <row r="78" spans="3:12" ht="15.75" x14ac:dyDescent="0.25">
      <c r="C78" s="22"/>
      <c r="D78" s="1"/>
      <c r="E78" s="1"/>
      <c r="F78" s="1"/>
      <c r="G78" s="1"/>
      <c r="H78" s="1"/>
      <c r="I78" s="1"/>
      <c r="J78" s="1"/>
      <c r="K78" s="1"/>
      <c r="L78" s="22"/>
    </row>
    <row r="79" spans="3:12" ht="15.75" x14ac:dyDescent="0.25">
      <c r="C79" s="22"/>
      <c r="D79" s="1"/>
      <c r="E79" s="1"/>
      <c r="F79" s="1"/>
      <c r="G79" s="1"/>
      <c r="H79" s="1"/>
      <c r="I79" s="1"/>
      <c r="J79" s="1"/>
      <c r="K79" s="1"/>
      <c r="L79" s="22"/>
    </row>
    <row r="80" spans="3:12" ht="15.75" x14ac:dyDescent="0.25">
      <c r="C80" s="22"/>
      <c r="D80" s="1"/>
      <c r="E80" s="1"/>
      <c r="F80" s="1"/>
      <c r="G80" s="1"/>
      <c r="H80" s="1"/>
      <c r="I80" s="1"/>
      <c r="J80" s="1"/>
      <c r="K80" s="1"/>
      <c r="L80" s="22"/>
    </row>
    <row r="81" spans="3:12" ht="15.75" x14ac:dyDescent="0.25">
      <c r="C81" s="22"/>
      <c r="D81" s="1"/>
      <c r="E81" s="1"/>
      <c r="F81" s="1"/>
      <c r="G81" s="1"/>
      <c r="H81" s="1"/>
      <c r="I81" s="1"/>
      <c r="J81" s="1"/>
      <c r="K81" s="1"/>
      <c r="L81" s="22"/>
    </row>
    <row r="82" spans="3:12" ht="15.75" x14ac:dyDescent="0.25">
      <c r="C82" s="22"/>
      <c r="D82" s="1"/>
      <c r="E82" s="1"/>
      <c r="F82" s="1"/>
      <c r="G82" s="1"/>
      <c r="H82" s="1"/>
      <c r="I82" s="1"/>
      <c r="J82" s="1"/>
      <c r="K82" s="1"/>
      <c r="L82" s="22"/>
    </row>
    <row r="83" spans="3:12" ht="15.75" x14ac:dyDescent="0.25">
      <c r="C83" s="22"/>
      <c r="D83" s="1"/>
      <c r="E83" s="1"/>
      <c r="F83" s="1"/>
      <c r="G83" s="1"/>
      <c r="H83" s="1"/>
      <c r="I83" s="1"/>
      <c r="J83" s="1"/>
      <c r="K83" s="1"/>
      <c r="L83" s="22"/>
    </row>
    <row r="84" spans="3:12" ht="15.75" x14ac:dyDescent="0.25">
      <c r="C84" s="22"/>
      <c r="D84" s="1"/>
      <c r="E84" s="1"/>
      <c r="F84" s="1"/>
      <c r="G84" s="1"/>
      <c r="H84" s="1"/>
      <c r="I84" s="1"/>
      <c r="J84" s="1"/>
      <c r="K84" s="1"/>
      <c r="L84" s="22"/>
    </row>
    <row r="85" spans="3:12" ht="15.75" x14ac:dyDescent="0.25">
      <c r="C85" s="22"/>
      <c r="D85" s="1"/>
      <c r="E85" s="1"/>
      <c r="F85" s="1"/>
      <c r="G85" s="1"/>
      <c r="H85" s="1"/>
      <c r="I85" s="1"/>
      <c r="J85" s="1"/>
      <c r="K85" s="1"/>
      <c r="L85" s="22"/>
    </row>
    <row r="86" spans="3:12" x14ac:dyDescent="0.25">
      <c r="C86" s="22"/>
      <c r="D86" s="22"/>
      <c r="E86" s="22"/>
      <c r="F86" s="22"/>
      <c r="G86" s="22"/>
      <c r="H86" s="22"/>
      <c r="I86" s="22"/>
      <c r="J86" s="22"/>
      <c r="K86" s="22"/>
      <c r="L86" s="22"/>
    </row>
    <row r="87" spans="3:12" x14ac:dyDescent="0.25">
      <c r="C87" s="22"/>
      <c r="D87" s="22"/>
      <c r="E87" s="22"/>
      <c r="F87" s="22"/>
      <c r="G87" s="22"/>
      <c r="H87" s="22"/>
      <c r="I87" s="22"/>
      <c r="J87" s="22"/>
      <c r="K87" s="22"/>
      <c r="L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3" sqref="E1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7" t="e" vm="1">
        <v>#VALUE!</v>
      </c>
      <c r="C1" s="12" t="s">
        <v>60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59"/>
      <c r="D4" s="59"/>
      <c r="E4" s="59"/>
      <c r="F4" s="59"/>
      <c r="G4" s="59"/>
      <c r="H4" s="59"/>
      <c r="I4" s="59"/>
      <c r="J4" s="59"/>
      <c r="K4" s="59"/>
    </row>
    <row r="5" spans="1:24" ht="20.100000000000001" customHeight="1" x14ac:dyDescent="0.25">
      <c r="A5" s="17" t="str">
        <f>HYPERLINK("#'Results'!A1", "Results")</f>
        <v>Results</v>
      </c>
      <c r="D5" s="6" t="s">
        <v>9</v>
      </c>
      <c r="N5" s="38"/>
    </row>
    <row r="6" spans="1:24" ht="20.100000000000001" customHeight="1" x14ac:dyDescent="0.25">
      <c r="D6" s="14"/>
      <c r="N6" s="39"/>
    </row>
    <row r="7" spans="1:24" ht="20.100000000000001" customHeight="1" x14ac:dyDescent="0.25">
      <c r="A7" s="20" t="s">
        <v>3</v>
      </c>
      <c r="D7" s="1" t="s">
        <v>7</v>
      </c>
      <c r="E7" s="31" t="s">
        <v>6</v>
      </c>
      <c r="F7" s="2"/>
    </row>
    <row r="8" spans="1:24" ht="20.100000000000001" customHeight="1" x14ac:dyDescent="0.25">
      <c r="A8" s="102" t="str">
        <f>HYPERLINK("#'Input - Site'!A1", "Site")</f>
        <v>Site</v>
      </c>
      <c r="D8" s="10" t="s">
        <v>52</v>
      </c>
      <c r="E8" s="31" t="s">
        <v>53</v>
      </c>
    </row>
    <row r="9" spans="1:24" ht="20.100000000000001" customHeight="1" x14ac:dyDescent="0.25">
      <c r="A9" s="17" t="str">
        <f>HYPERLINK("#'Input - Other Livestock'!A1", "Other Livestock")</f>
        <v>Other Livestock</v>
      </c>
      <c r="N9" s="40"/>
    </row>
    <row r="10" spans="1:24" ht="20.100000000000001" customHeight="1" x14ac:dyDescent="0.25">
      <c r="A10" s="17"/>
      <c r="D10" s="76" t="s">
        <v>59</v>
      </c>
      <c r="E10" s="74"/>
      <c r="F10" s="77"/>
      <c r="G10" s="71"/>
      <c r="N10" s="40"/>
    </row>
    <row r="11" spans="1:24" ht="20.100000000000001" customHeight="1" x14ac:dyDescent="0.25">
      <c r="A11" s="19" t="s">
        <v>56</v>
      </c>
      <c r="N11" s="41"/>
    </row>
    <row r="12" spans="1:24" ht="20.100000000000001" customHeight="1" x14ac:dyDescent="0.25">
      <c r="A12" s="17" t="str">
        <f>HYPERLINK("#'3.6.1.1-2 Enteric Methane'!A1", "3.6.1.1-2 Enteric Methane")</f>
        <v>3.6.1.1-2 Enteric Methane</v>
      </c>
      <c r="D12" s="10" t="s">
        <v>63</v>
      </c>
      <c r="E12" s="55">
        <v>45292</v>
      </c>
      <c r="F12" s="2" t="s">
        <v>51</v>
      </c>
    </row>
    <row r="13" spans="1:24" ht="20.100000000000001" customHeight="1" x14ac:dyDescent="0.25">
      <c r="A13"/>
      <c r="D13" s="10" t="s">
        <v>64</v>
      </c>
      <c r="E13" s="60">
        <f>DATE(YEAR(E12)+1,MONTH(E12),DAY(E12))-1</f>
        <v>45657</v>
      </c>
      <c r="F13" s="2" t="s">
        <v>10</v>
      </c>
      <c r="N13" s="36"/>
      <c r="O13" s="36"/>
    </row>
    <row r="14" spans="1:24" ht="20.100000000000001" customHeight="1" x14ac:dyDescent="0.25">
      <c r="A14" s="18" t="s">
        <v>4</v>
      </c>
      <c r="N14" s="36"/>
      <c r="O14" s="36"/>
    </row>
    <row r="15" spans="1:24" ht="20.100000000000001" customHeight="1" x14ac:dyDescent="0.25">
      <c r="A15" s="17" t="str">
        <f>HYPERLINK("#'Constants - Other Livestock'!A1", "Constants - Other Livestock")</f>
        <v>Constants - Other Livestock</v>
      </c>
      <c r="D15" s="32"/>
      <c r="E15" s="32"/>
      <c r="F15" s="32"/>
      <c r="G15" s="32"/>
      <c r="H15" s="32"/>
      <c r="I15" s="32"/>
      <c r="J15" s="32"/>
      <c r="K15" s="32"/>
      <c r="N15" s="36"/>
      <c r="O15" s="36"/>
    </row>
    <row r="16" spans="1:24" ht="20.100000000000001" customHeight="1" x14ac:dyDescent="0.25">
      <c r="A16" s="17" t="str">
        <f>HYPERLINK("#'Constants - Common'!A1", "Constants - Common")</f>
        <v>Constants - Common</v>
      </c>
      <c r="D16" s="32"/>
      <c r="E16" s="32"/>
      <c r="F16" s="32"/>
      <c r="G16" s="32"/>
      <c r="H16" s="32"/>
      <c r="I16" s="32"/>
      <c r="J16" s="32"/>
      <c r="K16" s="32"/>
      <c r="N16" s="36"/>
      <c r="O16" s="36"/>
    </row>
    <row r="17" spans="1:25" ht="20.100000000000001" customHeight="1" x14ac:dyDescent="0.25">
      <c r="A17" s="17" t="str">
        <f>HYPERLINK("#'Acknowledgements'!A1", "Acknowledgements")</f>
        <v>Acknowledgements</v>
      </c>
      <c r="D17" s="32"/>
      <c r="E17" s="32"/>
      <c r="F17" s="32"/>
      <c r="G17" s="32"/>
      <c r="H17" s="32"/>
      <c r="I17" s="32"/>
      <c r="J17" s="32"/>
      <c r="K17" s="32"/>
    </row>
    <row r="18" spans="1:25" ht="20.100000000000001" customHeight="1" x14ac:dyDescent="0.25">
      <c r="A18"/>
      <c r="D18" s="32"/>
      <c r="E18" s="32"/>
      <c r="F18" s="32"/>
      <c r="G18" s="32"/>
      <c r="H18" s="32"/>
      <c r="I18" s="32"/>
      <c r="J18" s="32"/>
      <c r="K18" s="32"/>
    </row>
    <row r="19" spans="1:25" ht="20.100000000000001" customHeight="1" x14ac:dyDescent="0.25">
      <c r="A19"/>
      <c r="D19" s="32"/>
      <c r="E19" s="32"/>
      <c r="F19" s="32"/>
      <c r="G19" s="32"/>
      <c r="H19" s="32"/>
      <c r="I19" s="32"/>
      <c r="J19" s="32"/>
      <c r="K19" s="32"/>
      <c r="N19" s="38"/>
    </row>
    <row r="20" spans="1:25" ht="20.100000000000001" customHeight="1" x14ac:dyDescent="0.25">
      <c r="A20"/>
      <c r="D20" s="32"/>
      <c r="E20" s="32"/>
      <c r="F20" s="32"/>
      <c r="G20" s="32"/>
      <c r="H20" s="32"/>
      <c r="I20" s="32"/>
      <c r="J20" s="32"/>
      <c r="K20" s="32"/>
      <c r="N20" s="39"/>
    </row>
    <row r="21" spans="1:25" ht="20.100000000000001" customHeight="1" x14ac:dyDescent="0.25">
      <c r="A21" s="17"/>
      <c r="D21" s="32"/>
      <c r="E21" s="32"/>
      <c r="F21" s="32"/>
      <c r="G21" s="32"/>
      <c r="H21" s="32"/>
      <c r="I21" s="32"/>
      <c r="J21" s="32"/>
      <c r="K21" s="32"/>
    </row>
    <row r="22" spans="1:25" ht="20.100000000000001" customHeight="1" x14ac:dyDescent="0.25">
      <c r="A22"/>
      <c r="D22" s="32"/>
      <c r="E22" s="32"/>
      <c r="F22" s="32"/>
      <c r="G22" s="32"/>
      <c r="H22" s="32"/>
      <c r="I22" s="32"/>
      <c r="J22" s="32"/>
      <c r="K22" s="32"/>
    </row>
    <row r="23" spans="1:25" ht="20.100000000000001" customHeight="1" x14ac:dyDescent="0.25">
      <c r="A23"/>
      <c r="D23" s="32"/>
      <c r="E23" s="32"/>
      <c r="F23" s="32"/>
      <c r="G23" s="32"/>
      <c r="H23" s="32"/>
      <c r="I23" s="32"/>
      <c r="J23" s="32"/>
      <c r="K23" s="32"/>
    </row>
    <row r="24" spans="1:25" ht="20.100000000000001" customHeight="1" x14ac:dyDescent="0.25">
      <c r="A24"/>
      <c r="D24" s="32"/>
      <c r="E24" s="32"/>
      <c r="F24" s="32"/>
      <c r="G24" s="32"/>
      <c r="H24" s="32"/>
      <c r="I24" s="32"/>
      <c r="J24" s="32"/>
      <c r="K24" s="32"/>
    </row>
    <row r="25" spans="1:25" ht="20.100000000000001" customHeight="1" x14ac:dyDescent="0.25">
      <c r="A25"/>
      <c r="D25" s="32"/>
      <c r="E25" s="32"/>
      <c r="F25" s="32"/>
      <c r="G25" s="32"/>
      <c r="H25" s="32"/>
      <c r="I25" s="32"/>
      <c r="J25" s="32"/>
      <c r="K25" s="32"/>
      <c r="N25" s="39"/>
    </row>
    <row r="26" spans="1:25" ht="20.100000000000001" customHeight="1" x14ac:dyDescent="0.25">
      <c r="A26"/>
      <c r="D26" s="32"/>
      <c r="E26" s="32"/>
      <c r="F26" s="32"/>
      <c r="G26" s="32"/>
      <c r="H26" s="32"/>
      <c r="I26" s="32"/>
      <c r="J26" s="32"/>
      <c r="K26" s="32"/>
    </row>
    <row r="27" spans="1:25" ht="20.100000000000001" customHeight="1" x14ac:dyDescent="0.25">
      <c r="A27"/>
      <c r="D27" s="32"/>
      <c r="E27" s="32"/>
      <c r="F27" s="32"/>
      <c r="G27" s="32"/>
      <c r="H27" s="32"/>
      <c r="I27" s="32"/>
      <c r="J27" s="32"/>
      <c r="K27" s="32"/>
    </row>
    <row r="28" spans="1:25" ht="20.100000000000001" customHeight="1" x14ac:dyDescent="0.25">
      <c r="A28"/>
      <c r="D28" s="32"/>
      <c r="E28" s="32"/>
      <c r="F28" s="32"/>
      <c r="G28" s="32"/>
      <c r="H28" s="32"/>
      <c r="I28" s="32"/>
      <c r="J28" s="32"/>
      <c r="K28" s="32"/>
    </row>
    <row r="29" spans="1:25" ht="20.100000000000001" customHeight="1" x14ac:dyDescent="0.25">
      <c r="A29"/>
      <c r="D29" s="32"/>
      <c r="E29" s="32"/>
      <c r="F29" s="32"/>
      <c r="G29" s="32"/>
      <c r="H29" s="32"/>
      <c r="I29" s="32"/>
      <c r="J29" s="32"/>
      <c r="K29" s="32"/>
    </row>
    <row r="30" spans="1:25" ht="20.100000000000001" customHeight="1" x14ac:dyDescent="0.25">
      <c r="A30"/>
      <c r="D30" s="32"/>
      <c r="E30" s="32"/>
      <c r="F30" s="32"/>
      <c r="G30" s="32"/>
      <c r="H30" s="32"/>
      <c r="I30" s="32"/>
      <c r="J30" s="32"/>
      <c r="K30" s="32"/>
      <c r="L30" s="45"/>
      <c r="M30" s="45"/>
      <c r="N30" s="45"/>
      <c r="O30" s="45"/>
      <c r="P30" s="45"/>
      <c r="Q30" s="45"/>
      <c r="R30" s="45"/>
      <c r="S30" s="45"/>
      <c r="T30" s="45"/>
      <c r="U30" s="45"/>
      <c r="V30" s="45"/>
      <c r="W30" s="45"/>
      <c r="X30" s="45"/>
      <c r="Y30" s="45"/>
    </row>
    <row r="31" spans="1:25" ht="20.100000000000001" customHeight="1" x14ac:dyDescent="0.25">
      <c r="A31"/>
      <c r="D31" s="32"/>
      <c r="E31" s="32"/>
      <c r="F31" s="32"/>
      <c r="G31" s="32"/>
      <c r="H31" s="32"/>
      <c r="I31" s="32"/>
      <c r="J31" s="32"/>
      <c r="K31" s="32"/>
      <c r="L31" s="44"/>
      <c r="M31" s="44"/>
      <c r="N31" s="44"/>
      <c r="O31" s="44"/>
      <c r="P31" s="44"/>
      <c r="Q31" s="44"/>
      <c r="R31" s="44"/>
      <c r="S31" s="44"/>
      <c r="T31" s="44"/>
      <c r="U31" s="44"/>
      <c r="V31" s="44"/>
      <c r="W31" s="44"/>
      <c r="X31" s="44"/>
      <c r="Y31" s="44"/>
    </row>
    <row r="32" spans="1:25" ht="20.100000000000001" customHeight="1" x14ac:dyDescent="0.25">
      <c r="A32"/>
      <c r="D32" s="32"/>
      <c r="E32" s="32"/>
      <c r="F32" s="32"/>
      <c r="G32" s="32"/>
      <c r="H32" s="32"/>
      <c r="I32" s="32"/>
      <c r="J32" s="32"/>
      <c r="K32" s="32"/>
      <c r="L32" s="44"/>
      <c r="M32" s="44"/>
      <c r="N32" s="44"/>
      <c r="O32" s="44"/>
      <c r="P32" s="44"/>
      <c r="Q32" s="44"/>
      <c r="R32" s="44"/>
      <c r="S32" s="44"/>
      <c r="T32" s="44"/>
      <c r="U32" s="44"/>
      <c r="V32" s="44"/>
      <c r="W32" s="44"/>
      <c r="X32" s="44"/>
      <c r="Y32" s="44"/>
    </row>
    <row r="33" spans="1:25" ht="20.100000000000001" customHeight="1" x14ac:dyDescent="0.25">
      <c r="A33"/>
      <c r="D33" s="32"/>
      <c r="E33" s="32"/>
      <c r="F33" s="32"/>
      <c r="G33" s="32"/>
      <c r="H33" s="32"/>
      <c r="I33" s="32"/>
      <c r="J33" s="32"/>
      <c r="K33" s="32"/>
      <c r="L33" s="44"/>
      <c r="M33" s="44"/>
      <c r="N33" s="44"/>
      <c r="O33" s="44"/>
      <c r="P33" s="44"/>
      <c r="Q33" s="44"/>
      <c r="R33" s="44"/>
      <c r="S33" s="44"/>
      <c r="T33" s="44"/>
      <c r="U33" s="44"/>
      <c r="V33" s="44"/>
      <c r="W33" s="44"/>
      <c r="X33" s="44"/>
      <c r="Y33" s="44"/>
    </row>
    <row r="34" spans="1:25" ht="20.100000000000001" customHeight="1" x14ac:dyDescent="0.25">
      <c r="A34"/>
      <c r="D34" s="32"/>
      <c r="E34" s="32"/>
      <c r="F34" s="32"/>
      <c r="G34" s="32"/>
      <c r="H34" s="32"/>
      <c r="I34" s="32"/>
      <c r="J34" s="32"/>
      <c r="K34" s="32"/>
      <c r="L34" s="44"/>
      <c r="M34" s="44"/>
      <c r="N34" s="44"/>
      <c r="O34" s="44"/>
      <c r="P34" s="44"/>
      <c r="Q34" s="44"/>
      <c r="R34" s="44"/>
      <c r="S34" s="44"/>
      <c r="T34" s="44"/>
      <c r="U34" s="44"/>
      <c r="V34" s="44"/>
      <c r="W34" s="44"/>
      <c r="X34" s="44"/>
      <c r="Y34" s="44"/>
    </row>
    <row r="35" spans="1:25" ht="20.100000000000001" customHeight="1" x14ac:dyDescent="0.25">
      <c r="A35"/>
      <c r="D35" s="32"/>
      <c r="E35" s="32"/>
      <c r="F35" s="32"/>
      <c r="G35" s="32"/>
      <c r="H35" s="32"/>
      <c r="I35" s="32"/>
      <c r="J35" s="32"/>
      <c r="K35" s="32"/>
      <c r="L35" s="44"/>
      <c r="M35" s="44"/>
      <c r="N35" s="44"/>
      <c r="O35" s="44"/>
      <c r="P35" s="44"/>
      <c r="Q35" s="44"/>
      <c r="R35" s="44"/>
      <c r="S35" s="44"/>
      <c r="T35" s="44"/>
      <c r="U35" s="44"/>
      <c r="V35" s="44"/>
      <c r="W35" s="44"/>
      <c r="X35" s="44"/>
      <c r="Y35" s="44"/>
    </row>
    <row r="36" spans="1:25" ht="20.100000000000001" customHeight="1" x14ac:dyDescent="0.25">
      <c r="A36"/>
      <c r="D36" s="32"/>
      <c r="E36" s="32"/>
      <c r="F36" s="32"/>
      <c r="G36" s="32"/>
      <c r="H36" s="32"/>
      <c r="I36" s="32"/>
      <c r="J36" s="32"/>
      <c r="K36" s="32"/>
      <c r="L36" s="44"/>
      <c r="M36" s="44"/>
      <c r="N36" s="44"/>
      <c r="O36" s="44"/>
      <c r="P36" s="44"/>
      <c r="Q36" s="44"/>
      <c r="R36" s="44"/>
      <c r="S36" s="44"/>
      <c r="T36" s="44"/>
      <c r="U36" s="44"/>
      <c r="V36" s="44"/>
      <c r="W36" s="44"/>
      <c r="X36" s="44"/>
      <c r="Y36" s="44"/>
    </row>
    <row r="37" spans="1:25" ht="20.100000000000001" customHeight="1" x14ac:dyDescent="0.25">
      <c r="A37"/>
      <c r="D37" s="32"/>
      <c r="E37" s="32"/>
      <c r="F37" s="32"/>
      <c r="G37" s="32"/>
      <c r="H37" s="32"/>
      <c r="I37" s="32"/>
      <c r="J37" s="32"/>
      <c r="K37" s="32"/>
      <c r="L37" s="44"/>
      <c r="M37" s="44"/>
      <c r="N37" s="44"/>
      <c r="O37" s="44"/>
      <c r="P37" s="44"/>
      <c r="Q37" s="44"/>
      <c r="R37" s="44"/>
      <c r="S37" s="44"/>
      <c r="T37" s="44"/>
      <c r="U37" s="44"/>
      <c r="V37" s="44"/>
      <c r="W37" s="44"/>
      <c r="X37" s="44"/>
      <c r="Y37" s="44"/>
    </row>
    <row r="38" spans="1:25" ht="20.100000000000001" customHeight="1" x14ac:dyDescent="0.25">
      <c r="A38"/>
      <c r="D38" s="32"/>
      <c r="E38" s="32"/>
      <c r="F38" s="32"/>
      <c r="G38" s="32"/>
      <c r="H38" s="32"/>
      <c r="I38" s="32"/>
      <c r="J38" s="32"/>
      <c r="K38" s="32"/>
      <c r="L38" s="44"/>
      <c r="M38" s="44"/>
      <c r="N38" s="44"/>
      <c r="O38" s="44"/>
      <c r="P38" s="44"/>
      <c r="Q38" s="44"/>
      <c r="R38" s="44"/>
      <c r="S38" s="44"/>
      <c r="T38" s="44"/>
      <c r="U38" s="44"/>
      <c r="V38" s="44"/>
      <c r="W38" s="44"/>
      <c r="X38" s="44"/>
      <c r="Y38" s="44"/>
    </row>
    <row r="39" spans="1:25" ht="20.100000000000001" customHeight="1" x14ac:dyDescent="0.25">
      <c r="A39"/>
      <c r="D39" s="32"/>
      <c r="E39" s="32"/>
      <c r="F39" s="32"/>
      <c r="G39" s="32"/>
      <c r="H39" s="32"/>
      <c r="I39" s="32"/>
      <c r="J39" s="32"/>
      <c r="K39" s="32"/>
      <c r="L39" s="44"/>
      <c r="M39" s="44"/>
      <c r="N39" s="44"/>
      <c r="O39" s="44"/>
      <c r="P39" s="44"/>
      <c r="Q39" s="44"/>
      <c r="R39" s="44"/>
      <c r="S39" s="44"/>
      <c r="T39" s="44"/>
      <c r="U39" s="44"/>
      <c r="V39" s="44"/>
      <c r="W39" s="44"/>
      <c r="X39" s="44"/>
      <c r="Y39" s="44"/>
    </row>
    <row r="40" spans="1:25" ht="20.100000000000001" customHeight="1" x14ac:dyDescent="0.25">
      <c r="A40"/>
      <c r="D40" s="32"/>
      <c r="E40" s="32"/>
      <c r="F40" s="32"/>
      <c r="G40" s="32"/>
      <c r="H40" s="32"/>
      <c r="I40" s="32"/>
      <c r="J40" s="32"/>
      <c r="K40" s="32"/>
      <c r="L40" s="46"/>
      <c r="M40" s="46"/>
      <c r="N40" s="46"/>
      <c r="O40" s="46"/>
      <c r="P40" s="46"/>
      <c r="Q40" s="46"/>
      <c r="R40" s="46"/>
      <c r="S40" s="46"/>
      <c r="T40" s="46"/>
      <c r="U40" s="46"/>
      <c r="V40" s="46"/>
      <c r="W40" s="46"/>
      <c r="X40" s="46"/>
      <c r="Y40" s="46"/>
    </row>
    <row r="41" spans="1:25" ht="20.100000000000001" customHeight="1" x14ac:dyDescent="0.25">
      <c r="A41"/>
      <c r="D41" s="32"/>
      <c r="E41" s="32"/>
      <c r="F41" s="32"/>
      <c r="G41" s="32"/>
      <c r="H41" s="32"/>
      <c r="I41" s="32"/>
      <c r="J41" s="32"/>
      <c r="K41" s="32"/>
    </row>
    <row r="42" spans="1:25" ht="20.100000000000001" customHeight="1" x14ac:dyDescent="0.25">
      <c r="A42"/>
      <c r="D42" s="32"/>
      <c r="E42" s="32"/>
      <c r="F42" s="32"/>
      <c r="G42" s="32"/>
      <c r="H42" s="32"/>
      <c r="I42" s="32"/>
      <c r="J42" s="32"/>
      <c r="K42" s="32"/>
    </row>
    <row r="43" spans="1:25" ht="20.100000000000001" customHeight="1" x14ac:dyDescent="0.25">
      <c r="A43"/>
      <c r="D43" s="32"/>
      <c r="E43" s="32"/>
      <c r="F43" s="32"/>
      <c r="G43" s="32"/>
      <c r="H43" s="32"/>
      <c r="I43" s="32"/>
      <c r="J43" s="32"/>
      <c r="K43" s="32"/>
    </row>
    <row r="44" spans="1:25" ht="20.100000000000001" customHeight="1" x14ac:dyDescent="0.25">
      <c r="D44" s="32"/>
      <c r="E44" s="32"/>
      <c r="F44" s="32"/>
      <c r="G44" s="32"/>
      <c r="H44" s="32"/>
      <c r="I44" s="32"/>
      <c r="J44" s="32"/>
      <c r="K44" s="32"/>
    </row>
    <row r="45" spans="1:25" ht="20.100000000000001" customHeight="1" x14ac:dyDescent="0.25">
      <c r="D45" s="32"/>
      <c r="E45" s="32"/>
      <c r="F45" s="32"/>
      <c r="G45" s="32"/>
      <c r="H45" s="32"/>
      <c r="I45" s="32"/>
      <c r="J45" s="32"/>
      <c r="K45" s="32"/>
    </row>
    <row r="46" spans="1:25" ht="20.100000000000001" customHeight="1" x14ac:dyDescent="0.25">
      <c r="D46" s="32"/>
      <c r="E46" s="32"/>
      <c r="F46" s="32"/>
      <c r="G46" s="32"/>
      <c r="H46" s="32"/>
      <c r="I46" s="32"/>
      <c r="J46" s="32"/>
      <c r="K46" s="32"/>
    </row>
    <row r="47" spans="1:25" ht="20.100000000000001" customHeight="1" x14ac:dyDescent="0.25">
      <c r="D47" s="32"/>
      <c r="E47" s="32"/>
      <c r="F47" s="32"/>
      <c r="G47" s="32"/>
      <c r="H47" s="32"/>
      <c r="I47" s="32"/>
      <c r="J47" s="32"/>
      <c r="K47" s="32"/>
    </row>
    <row r="48" spans="1:25" ht="20.100000000000001" customHeight="1" x14ac:dyDescent="0.25">
      <c r="D48" s="32"/>
      <c r="E48" s="32"/>
      <c r="F48" s="32"/>
      <c r="G48" s="32"/>
      <c r="H48" s="32"/>
      <c r="I48" s="32"/>
      <c r="J48" s="32"/>
      <c r="K48" s="32"/>
    </row>
    <row r="49" spans="4:8" ht="20.100000000000001" customHeight="1" x14ac:dyDescent="0.25">
      <c r="D49" s="32"/>
      <c r="E49" s="32"/>
      <c r="F49" s="33"/>
      <c r="G49" s="33"/>
      <c r="H49" s="32"/>
    </row>
    <row r="50" spans="4:8" ht="20.100000000000001" customHeight="1" x14ac:dyDescent="0.25">
      <c r="D50" s="32"/>
      <c r="E50" s="32"/>
      <c r="F50" s="33"/>
      <c r="G50" s="33"/>
      <c r="H50" s="32"/>
    </row>
    <row r="51" spans="4:8" ht="20.100000000000001" customHeight="1" x14ac:dyDescent="0.25">
      <c r="D51" s="61"/>
      <c r="E51" s="62"/>
      <c r="F51" s="62"/>
      <c r="G51" s="62"/>
      <c r="H51" s="63"/>
    </row>
    <row r="52" spans="4:8" ht="20.100000000000001" customHeight="1" x14ac:dyDescent="0.25"/>
    <row r="53" spans="4:8" ht="20.100000000000001" customHeight="1" x14ac:dyDescent="0.25"/>
    <row r="54" spans="4:8" ht="20.100000000000001" customHeight="1" x14ac:dyDescent="0.25">
      <c r="G54" s="64"/>
    </row>
    <row r="55" spans="4:8" ht="20.100000000000001" customHeight="1" x14ac:dyDescent="0.25">
      <c r="D55" s="6"/>
    </row>
    <row r="56" spans="4:8" ht="20.100000000000001" customHeight="1" x14ac:dyDescent="0.25"/>
    <row r="57" spans="4:8" ht="20.100000000000001" customHeight="1" x14ac:dyDescent="0.25">
      <c r="D57" s="21"/>
      <c r="F57" s="65"/>
    </row>
    <row r="58" spans="4:8" ht="20.100000000000001" customHeight="1" x14ac:dyDescent="0.25">
      <c r="D58" s="1"/>
      <c r="E58" s="66"/>
    </row>
    <row r="59" spans="4:8" ht="20.100000000000001" customHeight="1" x14ac:dyDescent="0.25">
      <c r="D59" s="1"/>
      <c r="E59" s="66"/>
    </row>
    <row r="60" spans="4:8" ht="20.100000000000001" customHeight="1" x14ac:dyDescent="0.25">
      <c r="D60" s="1"/>
      <c r="E60" s="67"/>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66"/>
    </row>
    <row r="65" spans="4:9" ht="20.100000000000001" customHeight="1" x14ac:dyDescent="0.25">
      <c r="D65" s="1"/>
      <c r="E65" s="66"/>
    </row>
    <row r="66" spans="4:9" ht="20.100000000000001" customHeight="1" x14ac:dyDescent="0.25">
      <c r="D66" s="1"/>
      <c r="E66" s="67"/>
    </row>
    <row r="67" spans="4:9" ht="20.100000000000001" customHeight="1" x14ac:dyDescent="0.25"/>
    <row r="68" spans="4:9" ht="20.100000000000001" customHeight="1" x14ac:dyDescent="0.25"/>
    <row r="69" spans="4:9" ht="20.100000000000001" customHeight="1" x14ac:dyDescent="0.25">
      <c r="D69" s="53"/>
      <c r="E69" s="53"/>
      <c r="F69" s="53"/>
      <c r="G69" s="53"/>
      <c r="H69" s="53"/>
      <c r="I69" s="53"/>
    </row>
    <row r="70" spans="4:9" ht="20.100000000000001" customHeight="1" x14ac:dyDescent="0.25">
      <c r="D70" s="53"/>
      <c r="E70" s="53"/>
      <c r="F70" s="53"/>
      <c r="G70" s="53"/>
      <c r="H70" s="53"/>
      <c r="I70" s="53"/>
    </row>
    <row r="71" spans="4:9" ht="20.100000000000001" customHeight="1" x14ac:dyDescent="0.25">
      <c r="D71" s="53"/>
      <c r="E71" s="53"/>
      <c r="F71" s="53"/>
      <c r="G71" s="53"/>
      <c r="H71" s="53"/>
      <c r="I71" s="53"/>
    </row>
    <row r="72" spans="4:9" ht="20.100000000000001" customHeight="1" x14ac:dyDescent="0.25">
      <c r="D72" s="53"/>
      <c r="E72" s="53"/>
      <c r="F72" s="53"/>
      <c r="G72" s="53"/>
      <c r="H72" s="53"/>
      <c r="I72" s="5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68"/>
    </row>
    <row r="79" spans="4:9" ht="20.100000000000001" customHeight="1" x14ac:dyDescent="0.25">
      <c r="D79" s="68"/>
    </row>
    <row r="80" spans="4:9" ht="20.100000000000001" customHeight="1" x14ac:dyDescent="0.25">
      <c r="D80" s="68"/>
    </row>
    <row r="81" spans="4:4" ht="20.100000000000001" customHeight="1" x14ac:dyDescent="0.25">
      <c r="D81" s="68"/>
    </row>
    <row r="82" spans="4:4" ht="20.100000000000001" customHeight="1" x14ac:dyDescent="0.25">
      <c r="D82" s="6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E26" sqref="E26"/>
    </sheetView>
  </sheetViews>
  <sheetFormatPr defaultRowHeight="15.75" x14ac:dyDescent="0.25"/>
  <cols>
    <col min="1" max="1" width="30.7109375" customWidth="1"/>
    <col min="2" max="2" width="4.7109375" customWidth="1"/>
    <col min="3" max="3" width="4.7109375" style="1" customWidth="1"/>
    <col min="4" max="4" width="62.5703125" style="1" customWidth="1"/>
    <col min="5" max="11" width="30.7109375" style="1" customWidth="1"/>
    <col min="12" max="12" width="4.7109375" style="1" customWidth="1"/>
    <col min="13" max="13" width="4.7109375" customWidth="1"/>
    <col min="14" max="14" width="4.7109375" style="52" customWidth="1"/>
    <col min="15" max="20" width="30.7109375" style="52" customWidth="1"/>
    <col min="21" max="21" width="4.7109375" style="52" customWidth="1"/>
  </cols>
  <sheetData>
    <row r="1" spans="1:21" s="57" customFormat="1" ht="30" customHeight="1" x14ac:dyDescent="0.35">
      <c r="A1" s="57" t="e" vm="1">
        <v>#VALUE!</v>
      </c>
      <c r="C1" s="57" t="s">
        <v>113</v>
      </c>
      <c r="N1" s="52"/>
      <c r="O1" s="52"/>
      <c r="P1" s="52"/>
      <c r="Q1" s="52"/>
      <c r="R1" s="52"/>
      <c r="S1" s="52"/>
      <c r="T1" s="52"/>
      <c r="U1" s="52"/>
    </row>
    <row r="2" spans="1:21" s="9" customFormat="1" ht="20.100000000000001" customHeight="1" x14ac:dyDescent="0.25">
      <c r="N2" s="52"/>
      <c r="O2" s="52"/>
      <c r="P2" s="52"/>
      <c r="Q2" s="52"/>
      <c r="R2" s="52"/>
      <c r="S2" s="52"/>
      <c r="T2" s="52"/>
      <c r="U2" s="52"/>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114</v>
      </c>
    </row>
    <row r="6" spans="1:21" ht="20.100000000000001" customHeight="1" x14ac:dyDescent="0.25">
      <c r="A6" s="16"/>
    </row>
    <row r="7" spans="1:21" ht="20.100000000000001" customHeight="1" x14ac:dyDescent="0.25">
      <c r="A7" s="20" t="s">
        <v>3</v>
      </c>
      <c r="D7" s="54"/>
      <c r="E7" s="37" t="s">
        <v>115</v>
      </c>
      <c r="F7" s="37" t="s">
        <v>116</v>
      </c>
      <c r="G7" s="37" t="s">
        <v>117</v>
      </c>
      <c r="H7" s="37" t="s">
        <v>118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78">
        <v>4300</v>
      </c>
      <c r="F8" s="78">
        <v>100</v>
      </c>
      <c r="G8" s="78">
        <v>100</v>
      </c>
      <c r="H8" s="78">
        <v>100</v>
      </c>
      <c r="I8" s="2" t="s">
        <v>65</v>
      </c>
      <c r="J8" s="2"/>
      <c r="K8" s="2"/>
    </row>
    <row r="9" spans="1:21" ht="20.100000000000001" customHeight="1" x14ac:dyDescent="0.25">
      <c r="A9" s="102" t="str">
        <f>HYPERLINK("#'Input - Other Livestock'!A1", "Other Livestock")</f>
        <v>Other Livestock</v>
      </c>
      <c r="J9" s="2"/>
      <c r="K9" s="2"/>
    </row>
    <row r="10" spans="1:21" ht="20.100000000000001" customHeight="1" x14ac:dyDescent="0.25">
      <c r="A10" s="17"/>
    </row>
    <row r="11" spans="1:21" ht="20.100000000000001" customHeight="1" x14ac:dyDescent="0.25">
      <c r="A11" s="19" t="s">
        <v>56</v>
      </c>
      <c r="D11" s="6" t="s">
        <v>119</v>
      </c>
    </row>
    <row r="12" spans="1:21" ht="20.100000000000001" customHeight="1" x14ac:dyDescent="0.25">
      <c r="A12" s="17" t="str">
        <f>HYPERLINK("#'3.6.1.1-2 Enteric Methane'!A1", "3.6.1.1-2 Enteric Methane")</f>
        <v>3.6.1.1-2 Enteric Methane</v>
      </c>
    </row>
    <row r="13" spans="1:21" ht="20.100000000000001" customHeight="1" x14ac:dyDescent="0.25">
      <c r="D13" s="54"/>
      <c r="E13" s="37" t="s">
        <v>120</v>
      </c>
      <c r="F13" s="37" t="s">
        <v>121</v>
      </c>
      <c r="G13" s="37" t="s">
        <v>122</v>
      </c>
      <c r="H13" s="37" t="s">
        <v>123</v>
      </c>
      <c r="I13" s="37" t="s">
        <v>124</v>
      </c>
      <c r="J13" s="37" t="s">
        <v>125</v>
      </c>
    </row>
    <row r="14" spans="1:21" ht="20.100000000000001" customHeight="1" x14ac:dyDescent="0.25">
      <c r="A14" s="18" t="s">
        <v>4</v>
      </c>
      <c r="D14" s="1" t="str">
        <f>"Average number of head between " &amp; TEXT('Input - Site'!$E$12, "dd mmm yy") &amp; " and " &amp; TEXT('Input - Site'!$E$13, "dd mmm yy")</f>
        <v>Average number of head between 01 Jan 24 and 31 Dec 24</v>
      </c>
      <c r="E14" s="78">
        <v>4300</v>
      </c>
      <c r="F14" s="78">
        <v>100</v>
      </c>
      <c r="G14" s="78">
        <v>100</v>
      </c>
      <c r="H14" s="78">
        <v>100</v>
      </c>
      <c r="I14" s="78">
        <v>100</v>
      </c>
      <c r="J14" s="78">
        <v>100</v>
      </c>
      <c r="K14" s="2" t="s">
        <v>65</v>
      </c>
    </row>
    <row r="15" spans="1:21" ht="20.100000000000001" customHeight="1" x14ac:dyDescent="0.25">
      <c r="A15" s="17" t="str">
        <f>HYPERLINK("#'Constants - Other Livestock'!A1", "Constants - Other Livestock")</f>
        <v>Constants - Other Livestock</v>
      </c>
      <c r="J15" s="2"/>
      <c r="K15" s="2"/>
    </row>
    <row r="16" spans="1:21" ht="20.100000000000001" customHeight="1" x14ac:dyDescent="0.25">
      <c r="A16" s="17" t="str">
        <f>HYPERLINK("#'Constants - Common'!A1", "Constants - Common")</f>
        <v>Constants - Common</v>
      </c>
      <c r="J16" s="2"/>
      <c r="K16" s="2"/>
    </row>
    <row r="17" spans="1:11" ht="20.100000000000001" customHeight="1" x14ac:dyDescent="0.25">
      <c r="A17" s="17" t="str">
        <f>HYPERLINK("#'Acknowledgements'!A1", "Acknowledgements")</f>
        <v>Acknowledgements</v>
      </c>
      <c r="D17" s="6" t="s">
        <v>126</v>
      </c>
      <c r="J17" s="2"/>
      <c r="K17" s="2"/>
    </row>
    <row r="18" spans="1:11" ht="20.100000000000001" customHeight="1" x14ac:dyDescent="0.25"/>
    <row r="19" spans="1:11" ht="20.100000000000001" customHeight="1" x14ac:dyDescent="0.25">
      <c r="D19" s="54"/>
      <c r="E19" s="37" t="s">
        <v>127</v>
      </c>
      <c r="F19" s="37" t="s">
        <v>128</v>
      </c>
      <c r="G19" s="37" t="s">
        <v>129</v>
      </c>
      <c r="H19" s="37" t="s">
        <v>130</v>
      </c>
    </row>
    <row r="20" spans="1:11" ht="20.100000000000001" customHeight="1" x14ac:dyDescent="0.25">
      <c r="D20" s="1" t="str">
        <f>"Average number of head between " &amp; TEXT('Input - Site'!$E$12, "dd mmm yy") &amp; " and " &amp; TEXT('Input - Site'!$E$13, "dd mmm yy")</f>
        <v>Average number of head between 01 Jan 24 and 31 Dec 24</v>
      </c>
      <c r="E20" s="78">
        <v>4300</v>
      </c>
      <c r="F20" s="78">
        <v>100</v>
      </c>
      <c r="G20" s="78">
        <v>100</v>
      </c>
      <c r="H20" s="78">
        <v>100</v>
      </c>
      <c r="I20" s="2" t="s">
        <v>65</v>
      </c>
      <c r="J20" s="2"/>
      <c r="K20" s="2"/>
    </row>
    <row r="21" spans="1:11" ht="20.100000000000001" customHeight="1" x14ac:dyDescent="0.25">
      <c r="A21" s="17"/>
      <c r="J21" s="2"/>
      <c r="K21" s="2"/>
    </row>
    <row r="22" spans="1:11" ht="20.100000000000001" customHeight="1" x14ac:dyDescent="0.25">
      <c r="J22" s="2"/>
      <c r="K22" s="2"/>
    </row>
    <row r="23" spans="1:11" ht="20.100000000000001" customHeight="1" x14ac:dyDescent="0.25">
      <c r="D23" s="6" t="s">
        <v>131</v>
      </c>
      <c r="J23" s="2"/>
      <c r="K23" s="2"/>
    </row>
    <row r="24" spans="1:11" ht="20.100000000000001" customHeight="1" x14ac:dyDescent="0.25"/>
    <row r="25" spans="1:11" ht="20.100000000000001" customHeight="1" x14ac:dyDescent="0.25">
      <c r="A25" s="17"/>
      <c r="D25" s="54"/>
      <c r="E25" s="37" t="s">
        <v>132</v>
      </c>
      <c r="F25" s="37" t="s">
        <v>133</v>
      </c>
      <c r="G25" s="37" t="s">
        <v>134</v>
      </c>
      <c r="H25" s="37" t="s">
        <v>135</v>
      </c>
      <c r="I25" s="37" t="s">
        <v>136</v>
      </c>
    </row>
    <row r="26" spans="1:11" ht="20.100000000000001" customHeight="1" x14ac:dyDescent="0.25">
      <c r="A26" s="17"/>
      <c r="D26" s="1" t="str">
        <f>"Average number of head between " &amp; TEXT('Input - Site'!$E$12, "dd mmm yy") &amp; " and " &amp; TEXT('Input - Site'!$E$13, "dd mmm yy")</f>
        <v>Average number of head between 01 Jan 24 and 31 Dec 24</v>
      </c>
      <c r="E26" s="78">
        <v>4300</v>
      </c>
      <c r="F26" s="78">
        <v>100</v>
      </c>
      <c r="G26" s="78">
        <v>100</v>
      </c>
      <c r="H26" s="78">
        <v>100</v>
      </c>
      <c r="I26" s="78">
        <v>100</v>
      </c>
      <c r="J26" s="2" t="s">
        <v>65</v>
      </c>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56"/>
    </row>
    <row r="32" spans="1:11" ht="20.100000000000001" customHeight="1" x14ac:dyDescent="0.25">
      <c r="A32" s="56"/>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2"/>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82"/>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5" zoomScaleNormal="100" workbookViewId="0">
      <selection activeCell="G32" sqref="G3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57" t="e" vm="1">
        <v>#VALUE!</v>
      </c>
      <c r="C1" s="8" t="s">
        <v>112</v>
      </c>
      <c r="K1"/>
    </row>
    <row r="2" spans="1:19" s="9" customFormat="1" ht="20.100000000000001" customHeight="1" x14ac:dyDescent="0.25">
      <c r="K2"/>
    </row>
    <row r="3" spans="1:19" ht="20.100000000000001" customHeight="1" x14ac:dyDescent="0.25">
      <c r="A3" s="17" t="str">
        <f>HYPERLINK("#'Home'!A1", "Home")</f>
        <v>Home</v>
      </c>
      <c r="C3" s="4"/>
      <c r="D3" s="4" t="s">
        <v>66</v>
      </c>
      <c r="E3" s="4"/>
      <c r="F3" s="4"/>
      <c r="G3" s="4"/>
      <c r="H3" s="4"/>
      <c r="I3" s="4"/>
      <c r="J3" s="4"/>
      <c r="L3" s="4"/>
      <c r="M3" s="4" t="s">
        <v>67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EntericMethane_OtherLivestock_Equations.VEERG_3_6_1_1__1_TotalAnnualMethaneFromEntericFermentationOtherLivestock_Title()</f>
        <v>Total annual methane production from enteric fermentation in other livestock</v>
      </c>
    </row>
    <row r="6" spans="1:19" ht="20.100000000000001" customHeight="1" x14ac:dyDescent="0.25">
      <c r="A6" s="16"/>
      <c r="D6" s="5" t="str" cm="1">
        <f t="array" ref="D6">EntericMethane_OtherLivestock_Equations.VEERG_3_6_1_1__1_TotalAnnualMethaneFromEntericFermentationOtherLivestock_Source()</f>
        <v>VEERG 2026: 3.6.1.1, Equation (1)</v>
      </c>
    </row>
    <row r="7" spans="1:19" ht="20.100000000000001" customHeight="1" x14ac:dyDescent="0.25">
      <c r="A7" s="20" t="s">
        <v>3</v>
      </c>
      <c r="D7" s="13" t="s">
        <v>16</v>
      </c>
      <c r="E7" s="13" t="str" cm="1">
        <f t="array" aca="1" ref="E7" ca="1">Common_InputFunctions.Utility_DisplayFunctionName(G19)</f>
        <v>=EntericMethane_OtherLivestock_Equations.VEERG_3_6_1_1__1_TotalAnnualMethaneFromEntericFermentationOtherLivestock</v>
      </c>
    </row>
    <row r="8" spans="1:19" ht="20.100000000000001" customHeight="1" x14ac:dyDescent="0.25">
      <c r="A8" s="17" t="str">
        <f>HYPERLINK("#'Input - Site'!A1", "Site")</f>
        <v>Site</v>
      </c>
    </row>
    <row r="9" spans="1:19" ht="20.100000000000001" customHeight="1" x14ac:dyDescent="0.25">
      <c r="A9" s="17" t="str">
        <f>HYPERLINK("#'Input - Other Livestock'!A1", "Other Livestock")</f>
        <v>Other Livestock</v>
      </c>
    </row>
    <row r="10" spans="1:19" ht="20.100000000000001" customHeight="1" x14ac:dyDescent="0.25">
      <c r="A10" s="17"/>
      <c r="D10" s="49" t="s">
        <v>19</v>
      </c>
      <c r="E10" s="1" t="str" cm="1">
        <f t="array" ref="E10">EntericMethane_OtherLivestock_Equations.VEERG_3_6_1_1__1_TotalAnnualMethaneFromEntericFermentationOtherLivestock_Variable()</f>
        <v>E_enteric</v>
      </c>
    </row>
    <row r="11" spans="1:19" ht="20.100000000000001" customHeight="1" x14ac:dyDescent="0.25">
      <c r="A11" s="19" t="s">
        <v>56</v>
      </c>
      <c r="D11" s="49" t="s">
        <v>11</v>
      </c>
      <c r="E11" s="50" t="str" cm="1">
        <f t="array" ref="E11">EntericMethane_OtherLivestock_Equations.VEERG_3_6_1_1__1_TotalAnnualMethaneFromEntericFermentationOtherLivestock_Unit()</f>
        <v>t CH4</v>
      </c>
    </row>
    <row r="12" spans="1:19" ht="20.100000000000001" customHeight="1" x14ac:dyDescent="0.25">
      <c r="A12" s="101" t="str">
        <f>HYPERLINK("#'3.6.1.1-2 Enteric Methane'!A1", "3.6.1.1-2 Enteric Methane")</f>
        <v>3.6.1.1-2 Enteric Methane</v>
      </c>
    </row>
    <row r="13" spans="1:19" ht="20.100000000000001" customHeight="1" x14ac:dyDescent="0.25">
      <c r="D13" s="91" t="str" cm="1">
        <f t="array" ref="D13:E15">_xlfn.CHOOSECOLS(EntericMethane_OtherLivestock_Equations.VEERG_3_6_1_1__1_TotalAnnualMethaneFromEntericFermentationOtherLivestock_Arguments(),1,2)</f>
        <v>N_j</v>
      </c>
      <c r="E13" s="93" t="str">
        <v>number of livestock of each livestock type j</v>
      </c>
      <c r="F13" s="92"/>
      <c r="G13" s="91" t="str" cm="1">
        <f t="array" ref="G13:H15">_xlfn.CHOOSECOLS(EntericMethane_OtherLivestock_Equations.VEERG_3_6_1_1__1_TotalAnnualMethaneFromEntericFermentationOtherLivestock_Arguments(),3,4)</f>
        <v>head</v>
      </c>
      <c r="H13" s="89" t="str">
        <v>Input</v>
      </c>
    </row>
    <row r="14" spans="1:19" ht="20.100000000000001" customHeight="1" x14ac:dyDescent="0.25">
      <c r="A14" s="18" t="s">
        <v>4</v>
      </c>
      <c r="D14" s="91" t="str">
        <v>M_j</v>
      </c>
      <c r="E14" s="93" t="str">
        <v>enteric fermentation emission factor</v>
      </c>
      <c r="F14" s="92"/>
      <c r="G14" s="91" t="str">
        <v>kg CH4/head/year</v>
      </c>
      <c r="H14" s="90" t="str">
        <v>Constant</v>
      </c>
    </row>
    <row r="15" spans="1:19" ht="20.100000000000001" customHeight="1" x14ac:dyDescent="0.25">
      <c r="A15" s="17" t="str">
        <f>HYPERLINK("#'Constants - Other Livestock'!A1", "Constants - Other Livestock")</f>
        <v>Constants - Other Livestock</v>
      </c>
      <c r="D15" s="91" t="str">
        <v>j</v>
      </c>
      <c r="E15" s="93" t="str">
        <v>livestock type</v>
      </c>
      <c r="F15" s="92"/>
      <c r="G15" s="91" t="str">
        <v/>
      </c>
      <c r="H15" s="89" t="str">
        <v>Input</v>
      </c>
    </row>
    <row r="16" spans="1:19" ht="20.100000000000001" customHeight="1" x14ac:dyDescent="0.25">
      <c r="A16" s="17" t="str">
        <f>HYPERLINK("#'Constants - Common'!A1", "Constants - Common")</f>
        <v>Constants - Common</v>
      </c>
    </row>
    <row r="17" spans="1:8" ht="20.100000000000001" customHeight="1" x14ac:dyDescent="0.25">
      <c r="A17" s="17" t="str">
        <f>HYPERLINK("#'Acknowledgements'!A1", "Acknowledgements")</f>
        <v>Acknowledgements</v>
      </c>
    </row>
    <row r="18" spans="1:8" ht="20.100000000000001" customHeight="1" x14ac:dyDescent="0.25">
      <c r="D18" s="37" t="s">
        <v>137</v>
      </c>
      <c r="E18" s="37" t="s">
        <v>138</v>
      </c>
      <c r="F18" s="47" t="s">
        <v>106</v>
      </c>
      <c r="G18" s="47" t="s">
        <v>139</v>
      </c>
    </row>
    <row r="19" spans="1:8" ht="20.100000000000001" customHeight="1" x14ac:dyDescent="0.25">
      <c r="D19" s="48" t="str">
        <f>'Constants - Other Livestock'!D10</f>
        <v>Buffalo</v>
      </c>
      <c r="E19" s="48">
        <f>SUM(X_Table_OtherLivestock_Buffalo_Head)</f>
        <v>4600</v>
      </c>
      <c r="F19" s="48" cm="1">
        <f t="array" ref="F19">Common_InputFunctions.Utility_LookupValueInTableNumber(D19, Table_SourceData_OtherLivestock_EntericEF[Other livestock type],Table_SourceData_OtherLivestock_EntericEF[Mj])</f>
        <v>68</v>
      </c>
      <c r="G19" s="48" cm="1">
        <f t="array" ref="G19">EntericMethane_OtherLivestock_Equations.VEERG_3_6_1_1__1_TotalAnnualMethaneFromEntericFermentationOtherLivestock(E19,F19)</f>
        <v>312.8</v>
      </c>
      <c r="H19" s="2" t="str">
        <f>$E$11</f>
        <v>t CH4</v>
      </c>
    </row>
    <row r="20" spans="1:8" ht="20.100000000000001" customHeight="1" x14ac:dyDescent="0.25">
      <c r="D20" s="48" t="str">
        <f>'Constants - Other Livestock'!D11</f>
        <v>Goats</v>
      </c>
      <c r="E20" s="48">
        <f>SUM(X_Table_OtherLivestock_Goats_Head)</f>
        <v>4800</v>
      </c>
      <c r="F20" s="48" cm="1">
        <f t="array" ref="F20">Common_InputFunctions.Utility_LookupValueInTableNumber(D20, Table_SourceData_OtherLivestock_EntericEF[Other livestock type],Table_SourceData_OtherLivestock_EntericEF[Mj])</f>
        <v>5</v>
      </c>
      <c r="G20" s="48" cm="1">
        <f t="array" ref="G20">EntericMethane_OtherLivestock_Equations.VEERG_3_6_1_1__1_TotalAnnualMethaneFromEntericFermentationOtherLivestock(E20,F20)</f>
        <v>24</v>
      </c>
    </row>
    <row r="21" spans="1:8" ht="20.100000000000001" customHeight="1" x14ac:dyDescent="0.25">
      <c r="A21" s="17"/>
      <c r="D21" s="48" t="str">
        <f>'Constants - Other Livestock'!D12</f>
        <v>Deer</v>
      </c>
      <c r="E21" s="48">
        <f>SUM(X_Table_OtherLivestock_Deer_Head)</f>
        <v>4600</v>
      </c>
      <c r="F21" s="48" cm="1">
        <f t="array" ref="F21">Common_InputFunctions.Utility_LookupValueInTableNumber(D21, Table_SourceData_OtherLivestock_EntericEF[Other livestock type],Table_SourceData_OtherLivestock_EntericEF[Mj])</f>
        <v>20</v>
      </c>
      <c r="G21" s="48" cm="1">
        <f t="array" ref="G21">EntericMethane_OtherLivestock_Equations.VEERG_3_6_1_1__1_TotalAnnualMethaneFromEntericFermentationOtherLivestock(E21,F21)</f>
        <v>92</v>
      </c>
    </row>
    <row r="22" spans="1:8" ht="20.100000000000001" customHeight="1" x14ac:dyDescent="0.25">
      <c r="D22" s="48" t="str">
        <f>'Constants - Other Livestock'!D13</f>
        <v>Camels</v>
      </c>
      <c r="E22" s="48">
        <f>X_Cell_OtherLivestock_Others_Camels_Head</f>
        <v>4300</v>
      </c>
      <c r="F22" s="48" cm="1">
        <f t="array" ref="F22">Common_InputFunctions.Utility_LookupValueInTableNumber(D22, Table_SourceData_OtherLivestock_EntericEF[Other livestock type],Table_SourceData_OtherLivestock_EntericEF[Mj])</f>
        <v>46</v>
      </c>
      <c r="G22" s="48" cm="1">
        <f t="array" ref="G22">EntericMethane_OtherLivestock_Equations.VEERG_3_6_1_1__1_TotalAnnualMethaneFromEntericFermentationOtherLivestock(E22,F22)</f>
        <v>197.8</v>
      </c>
    </row>
    <row r="23" spans="1:8" ht="20.100000000000001" customHeight="1" x14ac:dyDescent="0.25">
      <c r="D23" s="48" t="str">
        <f>'Constants - Other Livestock'!D14</f>
        <v>Alpacas</v>
      </c>
      <c r="E23" s="48">
        <f>X_Cell_OtherLivestock_Others_Alpacas_Head</f>
        <v>100</v>
      </c>
      <c r="F23" s="48" cm="1">
        <f t="array" ref="F23">Common_InputFunctions.Utility_LookupValueInTableNumber(D23, Table_SourceData_OtherLivestock_EntericEF[Other livestock type],Table_SourceData_OtherLivestock_EntericEF[Mj])</f>
        <v>8</v>
      </c>
      <c r="G23" s="48" cm="1">
        <f t="array" ref="G23">EntericMethane_OtherLivestock_Equations.VEERG_3_6_1_1__1_TotalAnnualMethaneFromEntericFermentationOtherLivestock(E23,F23)</f>
        <v>0.8</v>
      </c>
    </row>
    <row r="24" spans="1:8" ht="20.100000000000001" customHeight="1" x14ac:dyDescent="0.25">
      <c r="D24" s="48" t="str">
        <f>'Constants - Other Livestock'!D15</f>
        <v>Horses</v>
      </c>
      <c r="E24" s="48">
        <f>X_Cell_OtherLivestock_Others_Horses_Head</f>
        <v>100</v>
      </c>
      <c r="F24" s="48" cm="1">
        <f t="array" ref="F24">Common_InputFunctions.Utility_LookupValueInTableNumber(D24, Table_SourceData_OtherLivestock_EntericEF[Other livestock type],Table_SourceData_OtherLivestock_EntericEF[Mj])</f>
        <v>18</v>
      </c>
      <c r="G24" s="48" cm="1">
        <f t="array" ref="G24">EntericMethane_OtherLivestock_Equations.VEERG_3_6_1_1__1_TotalAnnualMethaneFromEntericFermentationOtherLivestock(E24,F24)</f>
        <v>1.8</v>
      </c>
    </row>
    <row r="25" spans="1:8" ht="20.100000000000001" customHeight="1" x14ac:dyDescent="0.25">
      <c r="A25" s="17"/>
      <c r="D25" s="48" t="str">
        <f>'Constants - Other Livestock'!D16</f>
        <v>Mules/asses</v>
      </c>
      <c r="E25" s="48">
        <f>X_Cell_OtherLivestock_Others_Mules_Head</f>
        <v>100</v>
      </c>
      <c r="F25" s="48" cm="1">
        <f t="array" ref="F25">Common_InputFunctions.Utility_LookupValueInTableNumber(D25, Table_SourceData_OtherLivestock_EntericEF[Other livestock type],Table_SourceData_OtherLivestock_EntericEF[Mj])</f>
        <v>10</v>
      </c>
      <c r="G25" s="48" cm="1">
        <f t="array" ref="G25">EntericMethane_OtherLivestock_Equations.VEERG_3_6_1_1__1_TotalAnnualMethaneFromEntericFermentationOtherLivestock(E25,F25)</f>
        <v>1</v>
      </c>
    </row>
    <row r="26" spans="1:8" ht="20.100000000000001" customHeight="1" x14ac:dyDescent="0.25">
      <c r="D26" s="48" t="str">
        <f>'Constants - Other Livestock'!D17</f>
        <v>Emus/ostriches</v>
      </c>
      <c r="E26" s="48">
        <f>X_Cell_OtherLivestock_Others_Emus_Head</f>
        <v>100</v>
      </c>
      <c r="F26" s="48" cm="1">
        <f t="array" ref="F26">Common_InputFunctions.Utility_LookupValueInTableNumber(D26, Table_SourceData_OtherLivestock_EntericEF[Other livestock type],Table_SourceData_OtherLivestock_EntericEF[Mj])</f>
        <v>5</v>
      </c>
      <c r="G26" s="48" cm="1">
        <f t="array" ref="G26">EntericMethane_OtherLivestock_Equations.VEERG_3_6_1_1__1_TotalAnnualMethaneFromEntericFermentationOtherLivestock(E26,F26)</f>
        <v>0.5</v>
      </c>
    </row>
    <row r="27" spans="1:8" ht="20.100000000000001" customHeight="1" x14ac:dyDescent="0.25"/>
    <row r="28" spans="1:8" ht="20.100000000000001" customHeight="1" x14ac:dyDescent="0.25">
      <c r="D28" s="79" t="s">
        <v>139</v>
      </c>
      <c r="E28" s="80">
        <f>SUM(G19:G26)</f>
        <v>630.69999999999993</v>
      </c>
      <c r="F28" s="100" t="str">
        <f>$E$11</f>
        <v>t CH4</v>
      </c>
      <c r="G28" s="43"/>
    </row>
    <row r="29" spans="1:8" ht="20.100000000000001" customHeight="1" x14ac:dyDescent="0.25"/>
    <row r="30" spans="1:8" ht="20.100000000000001" customHeight="1" x14ac:dyDescent="0.25">
      <c r="D30" s="104" t="str" cm="1">
        <f t="array" ref="D30:E31">Common_Equations.Common_ConvertCH4ToCO2e_Arguments()</f>
        <v>ECH4</v>
      </c>
      <c r="E30" s="105" t="str">
        <v>Methane emissions (t CH4)</v>
      </c>
      <c r="F30" s="106"/>
      <c r="G30" s="48">
        <f>E28</f>
        <v>630.69999999999993</v>
      </c>
      <c r="H30" s="2" t="str">
        <f>E11</f>
        <v>t CH4</v>
      </c>
    </row>
    <row r="31" spans="1:8" ht="20.100000000000001" customHeight="1" x14ac:dyDescent="0.25">
      <c r="D31" s="104" t="str">
        <v>GWPCH4</v>
      </c>
      <c r="E31" s="105" t="str">
        <v>Global warming potential for methane (t CO2-e / t CH4)</v>
      </c>
      <c r="F31" s="106"/>
      <c r="G31" s="48">
        <f>Common_InputFunctions.Utility_LookupValueInTableNumber("CH4",Table_GWPData[Gas],Table_GWPData[CO2-e factor])</f>
        <v>28</v>
      </c>
    </row>
    <row r="32" spans="1:8" ht="20.100000000000001" customHeight="1" x14ac:dyDescent="0.25"/>
    <row r="33" spans="4:6" ht="20.100000000000001" customHeight="1" x14ac:dyDescent="0.25">
      <c r="D33" s="43" t="s">
        <v>142</v>
      </c>
      <c r="E33" s="43" cm="1">
        <f t="array" ref="E33">Common_Equations.Common_ConvertCH4ToCO2e(G30,G31)</f>
        <v>17659.599999999999</v>
      </c>
      <c r="F33" s="81" t="str" cm="1">
        <f t="array" ref="F33">Common_Equations.Common_ConvertN2OToCO2e_Unit()</f>
        <v>t CO2e</v>
      </c>
    </row>
    <row r="34" spans="4:6" ht="20.100000000000001" customHeight="1" x14ac:dyDescent="0.25"/>
    <row r="35" spans="4:6" ht="20.100000000000001" customHeight="1" x14ac:dyDescent="0.25"/>
    <row r="36" spans="4:6" ht="20.100000000000001" customHeight="1" x14ac:dyDescent="0.25"/>
    <row r="37" spans="4:6" ht="20.100000000000001" customHeight="1" x14ac:dyDescent="0.25"/>
    <row r="38" spans="4:6" ht="20.100000000000001" customHeight="1" x14ac:dyDescent="0.25"/>
    <row r="39" spans="4:6" ht="20.100000000000001" customHeight="1" x14ac:dyDescent="0.25"/>
    <row r="40" spans="4:6" ht="20.100000000000001" customHeight="1" x14ac:dyDescent="0.25"/>
    <row r="41" spans="4:6" ht="20.100000000000001" customHeight="1" x14ac:dyDescent="0.25"/>
    <row r="42" spans="4:6" ht="20.100000000000001" customHeight="1" x14ac:dyDescent="0.25"/>
    <row r="43" spans="4:6" ht="20.100000000000001" customHeight="1" x14ac:dyDescent="0.25"/>
    <row r="44" spans="4:6" ht="20.100000000000001" customHeight="1" x14ac:dyDescent="0.25"/>
    <row r="45" spans="4:6" ht="20.100000000000001" customHeight="1" x14ac:dyDescent="0.25"/>
    <row r="46" spans="4:6" ht="20.100000000000001" customHeight="1" x14ac:dyDescent="0.25"/>
    <row r="47" spans="4:6" ht="20.100000000000001" customHeight="1" x14ac:dyDescent="0.25"/>
    <row r="48" spans="4:6"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workbookViewId="0">
      <selection activeCell="A12" sqref="A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104</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1"/>
    </row>
    <row r="5" spans="1:21" ht="20.100000000000001" customHeight="1" x14ac:dyDescent="0.25">
      <c r="A5" s="17" t="str">
        <f>HYPERLINK("#'Results'!A1", "Results")</f>
        <v>Results</v>
      </c>
      <c r="D5" s="6" t="str" cm="1">
        <f t="array" ref="D5">SourceData_OtherLivestock.SourceData_OtherLivestock_EntericFermentationEmissionFactor_Title()</f>
        <v>Other Livestock - Enteric fermentation emission factor for each other livestock type</v>
      </c>
      <c r="M5" s="1"/>
    </row>
    <row r="6" spans="1:21" ht="20.100000000000001" customHeight="1" x14ac:dyDescent="0.25">
      <c r="A6" s="16"/>
      <c r="D6" s="5" t="str" cm="1">
        <f t="array" ref="D6">SourceData_OtherLivestock.SourceData_OtherLivestock_EntericFermentationEmissionFactor_Source()</f>
        <v>VEERG 2026: Table A.1.5.1</v>
      </c>
      <c r="M6" s="1"/>
    </row>
    <row r="7" spans="1:21" ht="20.100000000000001" customHeight="1" x14ac:dyDescent="0.25">
      <c r="A7" s="20" t="s">
        <v>3</v>
      </c>
      <c r="D7" s="1" t="str" cm="1">
        <f t="array" ref="D7">SourceData_OtherLivestock.SourceData_OtherLivestock_EntericFermentationEmissionFactor_Variable()</f>
        <v>Mj</v>
      </c>
      <c r="M7" s="1"/>
    </row>
    <row r="8" spans="1:21" ht="20.100000000000001" customHeight="1" x14ac:dyDescent="0.25">
      <c r="A8" s="17" t="str">
        <f>HYPERLINK("#'Input - Site'!A1", "Site")</f>
        <v>Site</v>
      </c>
      <c r="D8" s="50" t="str" cm="1">
        <f t="array" ref="D8">SourceData_OtherLivestock.SourceData_OtherLivestock_EntericFermentationEmissionFactor_Unit()</f>
        <v>kg CH4 / head / year</v>
      </c>
      <c r="M8" s="1"/>
    </row>
    <row r="9" spans="1:21" ht="20.100000000000001" customHeight="1" x14ac:dyDescent="0.25">
      <c r="A9" s="17" t="str">
        <f>HYPERLINK("#'Input - Other Livestock'!A1", "Other Livestock")</f>
        <v>Other Livestock</v>
      </c>
      <c r="D9" s="35" t="s">
        <v>105</v>
      </c>
      <c r="E9" s="35" t="s">
        <v>106</v>
      </c>
      <c r="M9" s="1"/>
    </row>
    <row r="10" spans="1:21" ht="20.100000000000001" customHeight="1" x14ac:dyDescent="0.25">
      <c r="A10" s="17"/>
      <c r="D10" s="35" t="str" cm="1">
        <f t="array" ref="D10">Common_InputFunctions.Utility_DisplayArrayInTable(SourceData_OtherLivestock.SourceData_OtherLivestock_EntericFermentationEmissionFactor_Data(),Table_SourceData_OtherLivestock_EntericEF[[#Headers],[Other livestock type]],0)</f>
        <v>Buffalo</v>
      </c>
      <c r="E10" s="35" cm="1">
        <f t="array" ref="E10">Common_InputFunctions.Utility_DisplayArrayInTable(SourceData_OtherLivestock.SourceData_OtherLivestock_EntericFermentationEmissionFactor_Data(),Table_SourceData_OtherLivestock_EntericEF[[#Headers],[Other livestock type]],0)</f>
        <v>68</v>
      </c>
      <c r="M10" s="1"/>
    </row>
    <row r="11" spans="1:21" ht="20.100000000000001" customHeight="1" x14ac:dyDescent="0.25">
      <c r="A11" s="19" t="s">
        <v>56</v>
      </c>
      <c r="D11" s="1" t="str" cm="1">
        <f t="array" ref="D11">Common_InputFunctions.Utility_DisplayArrayInTable(SourceData_OtherLivestock.SourceData_OtherLivestock_EntericFermentationEmissionFactor_Data(),Table_SourceData_OtherLivestock_EntericEF[[#Headers],[Other livestock type]],0)</f>
        <v>Goats</v>
      </c>
      <c r="E11" s="35" cm="1">
        <f t="array" ref="E11">Common_InputFunctions.Utility_DisplayArrayInTable(SourceData_OtherLivestock.SourceData_OtherLivestock_EntericFermentationEmissionFactor_Data(),Table_SourceData_OtherLivestock_EntericEF[[#Headers],[Other livestock type]],0)</f>
        <v>5</v>
      </c>
      <c r="M11" s="1"/>
    </row>
    <row r="12" spans="1:21" ht="20.100000000000001" customHeight="1" x14ac:dyDescent="0.25">
      <c r="A12" s="17" t="str">
        <f>HYPERLINK("#'3.6.1.1-2 Enteric Methane'!A1", "3.6.1.1-2 Enteric Methane")</f>
        <v>3.6.1.1-2 Enteric Methane</v>
      </c>
      <c r="D12" s="1" t="str" cm="1">
        <f t="array" ref="D12">Common_InputFunctions.Utility_DisplayArrayInTable(SourceData_OtherLivestock.SourceData_OtherLivestock_EntericFermentationEmissionFactor_Data(),Table_SourceData_OtherLivestock_EntericEF[[#Headers],[Other livestock type]],0)</f>
        <v>Deer</v>
      </c>
      <c r="E12" s="35" cm="1">
        <f t="array" ref="E12">Common_InputFunctions.Utility_DisplayArrayInTable(SourceData_OtherLivestock.SourceData_OtherLivestock_EntericFermentationEmissionFactor_Data(),Table_SourceData_OtherLivestock_EntericEF[[#Headers],[Other livestock type]],0)</f>
        <v>20</v>
      </c>
      <c r="M12" s="1"/>
    </row>
    <row r="13" spans="1:21" ht="20.100000000000001" customHeight="1" x14ac:dyDescent="0.25">
      <c r="D13" s="1" t="str" cm="1">
        <f t="array" ref="D13">Common_InputFunctions.Utility_DisplayArrayInTable(SourceData_OtherLivestock.SourceData_OtherLivestock_EntericFermentationEmissionFactor_Data(),Table_SourceData_OtherLivestock_EntericEF[[#Headers],[Other livestock type]],0)</f>
        <v>Camels</v>
      </c>
      <c r="E13" s="35" cm="1">
        <f t="array" ref="E13">Common_InputFunctions.Utility_DisplayArrayInTable(SourceData_OtherLivestock.SourceData_OtherLivestock_EntericFermentationEmissionFactor_Data(),Table_SourceData_OtherLivestock_EntericEF[[#Headers],[Other livestock type]],0)</f>
        <v>46</v>
      </c>
      <c r="M13" s="1"/>
    </row>
    <row r="14" spans="1:21" ht="20.100000000000001" customHeight="1" x14ac:dyDescent="0.25">
      <c r="A14" s="18" t="s">
        <v>4</v>
      </c>
      <c r="D14" s="1" t="str" cm="1">
        <f t="array" ref="D14">Common_InputFunctions.Utility_DisplayArrayInTable(SourceData_OtherLivestock.SourceData_OtherLivestock_EntericFermentationEmissionFactor_Data(),Table_SourceData_OtherLivestock_EntericEF[[#Headers],[Other livestock type]],0)</f>
        <v>Alpacas</v>
      </c>
      <c r="E14" s="35" cm="1">
        <f t="array" ref="E14">Common_InputFunctions.Utility_DisplayArrayInTable(SourceData_OtherLivestock.SourceData_OtherLivestock_EntericFermentationEmissionFactor_Data(),Table_SourceData_OtherLivestock_EntericEF[[#Headers],[Other livestock type]],0)</f>
        <v>8</v>
      </c>
      <c r="M14" s="1"/>
    </row>
    <row r="15" spans="1:21" ht="20.100000000000001" customHeight="1" x14ac:dyDescent="0.25">
      <c r="A15" s="58" t="str">
        <f>HYPERLINK("#'Constants - Other Livestock'!A1", "Constants - Other Livestock")</f>
        <v>Constants - Other Livestock</v>
      </c>
      <c r="D15" s="1" t="str" cm="1">
        <f t="array" ref="D15">Common_InputFunctions.Utility_DisplayArrayInTable(SourceData_OtherLivestock.SourceData_OtherLivestock_EntericFermentationEmissionFactor_Data(),Table_SourceData_OtherLivestock_EntericEF[[#Headers],[Other livestock type]],0)</f>
        <v>Horses</v>
      </c>
      <c r="E15" s="35" cm="1">
        <f t="array" ref="E15">Common_InputFunctions.Utility_DisplayArrayInTable(SourceData_OtherLivestock.SourceData_OtherLivestock_EntericFermentationEmissionFactor_Data(),Table_SourceData_OtherLivestock_EntericEF[[#Headers],[Other livestock type]],0)</f>
        <v>18</v>
      </c>
      <c r="M15" s="1"/>
    </row>
    <row r="16" spans="1:21" ht="20.100000000000001" customHeight="1" x14ac:dyDescent="0.25">
      <c r="A16" s="17" t="str">
        <f>HYPERLINK("#'Constants - Common'!A1", "Constants - Common")</f>
        <v>Constants - Common</v>
      </c>
      <c r="D16" s="1" t="str" cm="1">
        <f t="array" ref="D16">Common_InputFunctions.Utility_DisplayArrayInTable(SourceData_OtherLivestock.SourceData_OtherLivestock_EntericFermentationEmissionFactor_Data(),Table_SourceData_OtherLivestock_EntericEF[[#Headers],[Other livestock type]],0)</f>
        <v>Mules/asses</v>
      </c>
      <c r="E16" s="35" cm="1">
        <f t="array" ref="E16">Common_InputFunctions.Utility_DisplayArrayInTable(SourceData_OtherLivestock.SourceData_OtherLivestock_EntericFermentationEmissionFactor_Data(),Table_SourceData_OtherLivestock_EntericEF[[#Headers],[Other livestock type]],0)</f>
        <v>10</v>
      </c>
      <c r="M16" s="1"/>
    </row>
    <row r="17" spans="1:13" ht="20.100000000000001" customHeight="1" x14ac:dyDescent="0.25">
      <c r="A17" s="17" t="str">
        <f>HYPERLINK("#'Acknowledgements'!A1", "Acknowledgements")</f>
        <v>Acknowledgements</v>
      </c>
      <c r="D17" s="1" t="str" cm="1">
        <f t="array" ref="D17">Common_InputFunctions.Utility_DisplayArrayInTable(SourceData_OtherLivestock.SourceData_OtherLivestock_EntericFermentationEmissionFactor_Data(),Table_SourceData_OtherLivestock_EntericEF[[#Headers],[Other livestock type]],0)</f>
        <v>Emus/ostriches</v>
      </c>
      <c r="E17" s="35" cm="1">
        <f t="array" ref="E17">Common_InputFunctions.Utility_DisplayArrayInTable(SourceData_OtherLivestock.SourceData_OtherLivestock_EntericFermentationEmissionFactor_Data(),Table_SourceData_OtherLivestock_EntericEF[[#Headers],[Other livestock type]],0)</f>
        <v>5</v>
      </c>
      <c r="M17" s="1"/>
    </row>
    <row r="18" spans="1:13" ht="20.100000000000001" customHeight="1" x14ac:dyDescent="0.25">
      <c r="M18" s="1"/>
    </row>
    <row r="19" spans="1:13" ht="20.100000000000001" customHeight="1" x14ac:dyDescent="0.25">
      <c r="M19" s="1"/>
    </row>
    <row r="20" spans="1:13" ht="20.100000000000001" customHeight="1" x14ac:dyDescent="0.25">
      <c r="D20" s="6" t="str" cm="1">
        <f t="array" ref="D20">SourceData_OtherLivestock.SourceData_OtherLivestock_VolatileSolidsProduced_Title()</f>
        <v>Other Livestock - Volatile solids produced by each other livestock type</v>
      </c>
      <c r="M20" s="1"/>
    </row>
    <row r="21" spans="1:13" ht="20.100000000000001" customHeight="1" x14ac:dyDescent="0.25">
      <c r="A21" s="17"/>
      <c r="D21" s="5" t="str" cm="1">
        <f t="array" ref="D21">SourceData_OtherLivestock.SourceData_OtherLivestock_VolatileSolidsProduced_Source()</f>
        <v>VEERG 2026: Table A.1.5.2</v>
      </c>
      <c r="M21" s="1"/>
    </row>
    <row r="22" spans="1:13" ht="20.100000000000001" customHeight="1" x14ac:dyDescent="0.25">
      <c r="D22" s="1" t="str" cm="1">
        <f t="array" ref="D22">SourceData_OtherLivestock.SourceData_OtherLivestock_VolatileSolidsProduced_Variable()</f>
        <v>VSj</v>
      </c>
      <c r="M22" s="1"/>
    </row>
    <row r="23" spans="1:13" ht="20.100000000000001" customHeight="1" x14ac:dyDescent="0.25">
      <c r="D23" s="50" t="str" cm="1">
        <f t="array" ref="D23">SourceData_OtherLivestock.SourceData_OtherLivestock_VolatileSolidsProduced_Unit()</f>
        <v>kg VS / head / day</v>
      </c>
      <c r="M23" s="1"/>
    </row>
    <row r="24" spans="1:13" ht="20.100000000000001" customHeight="1" x14ac:dyDescent="0.25">
      <c r="D24" s="35" t="s">
        <v>105</v>
      </c>
      <c r="E24" s="35" t="s">
        <v>108</v>
      </c>
      <c r="M24" s="1"/>
    </row>
    <row r="25" spans="1:13" ht="20.100000000000001" customHeight="1" x14ac:dyDescent="0.25">
      <c r="A25" s="17"/>
      <c r="D25" s="35" t="str" cm="1">
        <f t="array" ref="D25">Common_InputFunctions.Utility_DisplayArrayInTable(SourceData_OtherLivestock.SourceData_OtherLivestock_VolatileSolidsProduced_Data(),Table_SourceData_OtherLivestock_VolatileSolids[[#Headers],[Other livestock type]],0)</f>
        <v>Buffalo</v>
      </c>
      <c r="E25" s="35" cm="1">
        <f t="array" ref="E25">Common_InputFunctions.Utility_DisplayArrayInTable(SourceData_OtherLivestock.SourceData_OtherLivestock_VolatileSolidsProduced_Data(),Table_SourceData_OtherLivestock_VolatileSolids[[#Headers],[Other livestock type]],0)</f>
        <v>2.73</v>
      </c>
      <c r="M25" s="1"/>
    </row>
    <row r="26" spans="1:13" ht="20.100000000000001" customHeight="1" x14ac:dyDescent="0.25">
      <c r="D26" s="35" t="str" cm="1">
        <f t="array" ref="D26">Common_InputFunctions.Utility_DisplayArrayInTable(SourceData_OtherLivestock.SourceData_OtherLivestock_VolatileSolidsProduced_Data(),Table_SourceData_OtherLivestock_VolatileSolids[[#Headers],[Other livestock type]],0)</f>
        <v>Goats</v>
      </c>
      <c r="E26" s="35" cm="1">
        <f t="array" ref="E26">Common_InputFunctions.Utility_DisplayArrayInTable(SourceData_OtherLivestock.SourceData_OtherLivestock_VolatileSolidsProduced_Data(),Table_SourceData_OtherLivestock_VolatileSolids[[#Headers],[Other livestock type]],0)</f>
        <v>0.34</v>
      </c>
      <c r="M26" s="1"/>
    </row>
    <row r="27" spans="1:13" ht="20.100000000000001" customHeight="1" x14ac:dyDescent="0.25">
      <c r="D27" s="35" t="str" cm="1">
        <f t="array" ref="D27">Common_InputFunctions.Utility_DisplayArrayInTable(SourceData_OtherLivestock.SourceData_OtherLivestock_VolatileSolidsProduced_Data(),Table_SourceData_OtherLivestock_VolatileSolids[[#Headers],[Other livestock type]],0)</f>
        <v>Deer</v>
      </c>
      <c r="E27" s="35" cm="1">
        <f t="array" ref="E27">Common_InputFunctions.Utility_DisplayArrayInTable(SourceData_OtherLivestock.SourceData_OtherLivestock_VolatileSolidsProduced_Data(),Table_SourceData_OtherLivestock_VolatileSolids[[#Headers],[Other livestock type]],0)</f>
        <v>0.91</v>
      </c>
      <c r="M27" s="1"/>
    </row>
    <row r="28" spans="1:13" ht="20.100000000000001" customHeight="1" x14ac:dyDescent="0.25">
      <c r="D28" s="35" t="str" cm="1">
        <f t="array" ref="D28">Common_InputFunctions.Utility_DisplayArrayInTable(SourceData_OtherLivestock.SourceData_OtherLivestock_VolatileSolidsProduced_Data(),Table_SourceData_OtherLivestock_VolatileSolids[[#Headers],[Other livestock type]],0)</f>
        <v>Camels</v>
      </c>
      <c r="E28" s="35" cm="1">
        <f t="array" ref="E28">Common_InputFunctions.Utility_DisplayArrayInTable(SourceData_OtherLivestock.SourceData_OtherLivestock_VolatileSolidsProduced_Data(),Table_SourceData_OtherLivestock_VolatileSolids[[#Headers],[Other livestock type]],0)</f>
        <v>2.73</v>
      </c>
      <c r="M28" s="1"/>
    </row>
    <row r="29" spans="1:13" ht="20.100000000000001" customHeight="1" x14ac:dyDescent="0.25">
      <c r="D29" s="35" t="str" cm="1">
        <f t="array" ref="D29">Common_InputFunctions.Utility_DisplayArrayInTable(SourceData_OtherLivestock.SourceData_OtherLivestock_VolatileSolidsProduced_Data(),Table_SourceData_OtherLivestock_VolatileSolids[[#Headers],[Other livestock type]],0)</f>
        <v>Alpacas</v>
      </c>
      <c r="E29" s="35" cm="1">
        <f t="array" ref="E29">Common_InputFunctions.Utility_DisplayArrayInTable(SourceData_OtherLivestock.SourceData_OtherLivestock_VolatileSolidsProduced_Data(),Table_SourceData_OtherLivestock_VolatileSolids[[#Headers],[Other livestock type]],0)</f>
        <v>0.34</v>
      </c>
      <c r="M29" s="1"/>
    </row>
    <row r="30" spans="1:13" ht="20.100000000000001" customHeight="1" x14ac:dyDescent="0.25">
      <c r="D30" s="35" t="str" cm="1">
        <f t="array" ref="D30">Common_InputFunctions.Utility_DisplayArrayInTable(SourceData_OtherLivestock.SourceData_OtherLivestock_VolatileSolidsProduced_Data(),Table_SourceData_OtherLivestock_VolatileSolids[[#Headers],[Other livestock type]],0)</f>
        <v>Horses</v>
      </c>
      <c r="E30" s="35" cm="1">
        <f t="array" ref="E30">Common_InputFunctions.Utility_DisplayArrayInTable(SourceData_OtherLivestock.SourceData_OtherLivestock_VolatileSolidsProduced_Data(),Table_SourceData_OtherLivestock_VolatileSolids[[#Headers],[Other livestock type]],0)</f>
        <v>2.73</v>
      </c>
      <c r="M30" s="1"/>
    </row>
    <row r="31" spans="1:13" ht="20.100000000000001" customHeight="1" x14ac:dyDescent="0.25">
      <c r="D31" s="35" t="str" cm="1">
        <f t="array" ref="D31">Common_InputFunctions.Utility_DisplayArrayInTable(SourceData_OtherLivestock.SourceData_OtherLivestock_VolatileSolidsProduced_Data(),Table_SourceData_OtherLivestock_VolatileSolids[[#Headers],[Other livestock type]],0)</f>
        <v>Mules/asses</v>
      </c>
      <c r="E31" s="35" cm="1">
        <f t="array" ref="E31">Common_InputFunctions.Utility_DisplayArrayInTable(SourceData_OtherLivestock.SourceData_OtherLivestock_VolatileSolidsProduced_Data(),Table_SourceData_OtherLivestock_VolatileSolids[[#Headers],[Other livestock type]],0)</f>
        <v>0.91</v>
      </c>
      <c r="M31" s="1"/>
    </row>
    <row r="32" spans="1:13" ht="20.100000000000001" customHeight="1" x14ac:dyDescent="0.25">
      <c r="D32" s="35" t="str" cm="1">
        <f t="array" ref="D32">Common_InputFunctions.Utility_DisplayArrayInTable(SourceData_OtherLivestock.SourceData_OtherLivestock_VolatileSolidsProduced_Data(),Table_SourceData_OtherLivestock_VolatileSolids[[#Headers],[Other livestock type]],0)</f>
        <v>Emus/ostriches</v>
      </c>
      <c r="E32" s="35" cm="1">
        <f t="array" ref="E32">Common_InputFunctions.Utility_DisplayArrayInTable(SourceData_OtherLivestock.SourceData_OtherLivestock_VolatileSolidsProduced_Data(),Table_SourceData_OtherLivestock_VolatileSolids[[#Headers],[Other livestock type]],0)</f>
        <v>0.34</v>
      </c>
      <c r="M32" s="1"/>
    </row>
    <row r="33" spans="4:13" ht="20.100000000000001" customHeight="1" x14ac:dyDescent="0.25">
      <c r="M33" s="1"/>
    </row>
    <row r="34" spans="4:13" ht="20.100000000000001" customHeight="1" x14ac:dyDescent="0.25">
      <c r="M34" s="1"/>
    </row>
    <row r="35" spans="4:13" ht="20.100000000000001" customHeight="1" x14ac:dyDescent="0.25">
      <c r="D35" s="6" t="str" cm="1">
        <f t="array" ref="D35">SourceData_OtherLivestock.SourceData_OtherLivestock_NitrogenExcreted_Title()</f>
        <v>Other Livestock - Nitrogen excreted per livestock type</v>
      </c>
      <c r="M35" s="1"/>
    </row>
    <row r="36" spans="4:13" ht="20.100000000000001" customHeight="1" x14ac:dyDescent="0.25">
      <c r="D36" s="5" t="str" cm="1">
        <f t="array" ref="D36">SourceData_OtherLivestock.SourceData_OtherLivestock_NitrogenExcreted_Source()</f>
        <v>VEERG 2026: Table A.1.5.3</v>
      </c>
      <c r="M36" s="1"/>
    </row>
    <row r="37" spans="4:13" ht="20.100000000000001" customHeight="1" x14ac:dyDescent="0.25">
      <c r="D37" s="1" t="str" cm="1">
        <f t="array" ref="D37">SourceData_OtherLivestock.SourceData_OtherLivestock_NitrogenExcreted_Variable()</f>
        <v>NEj</v>
      </c>
      <c r="M37" s="1"/>
    </row>
    <row r="38" spans="4:13" ht="20.100000000000001" customHeight="1" x14ac:dyDescent="0.25">
      <c r="D38" s="50" t="str" cm="1">
        <f t="array" ref="D38">SourceData_OtherLivestock.SourceData_OtherLivestock_NitrogenExcreted_Unit()</f>
        <v>kg N2O / head / year</v>
      </c>
      <c r="M38" s="1"/>
    </row>
    <row r="39" spans="4:13" ht="20.100000000000001" customHeight="1" x14ac:dyDescent="0.25">
      <c r="D39" s="35" t="s">
        <v>105</v>
      </c>
      <c r="E39" s="35" t="s">
        <v>107</v>
      </c>
      <c r="M39" s="1"/>
    </row>
    <row r="40" spans="4:13" ht="20.100000000000001" customHeight="1" x14ac:dyDescent="0.25">
      <c r="D40" s="35" t="str" cm="1">
        <f t="array" ref="D40">Common_InputFunctions.Utility_DisplayArrayInTable(SourceData_OtherLivestock.SourceData_OtherLivestock_NitrogenExcreted_Data(),Table_SourceData_OtherLivestock_NitrogenExcreted[[#Headers],[Other livestock type]],0)</f>
        <v>Buffalo</v>
      </c>
      <c r="E40" s="35" cm="1">
        <f t="array" ref="E40">Common_InputFunctions.Utility_DisplayArrayInTable(SourceData_OtherLivestock.SourceData_OtherLivestock_NitrogenExcreted_Data(),Table_SourceData_OtherLivestock_NitrogenExcreted[[#Headers],[Other livestock type]],0)</f>
        <v>39.5</v>
      </c>
      <c r="M40" s="1"/>
    </row>
    <row r="41" spans="4:13" ht="20.100000000000001" customHeight="1" x14ac:dyDescent="0.25">
      <c r="D41" s="35" t="str" cm="1">
        <f t="array" ref="D41">Common_InputFunctions.Utility_DisplayArrayInTable(SourceData_OtherLivestock.SourceData_OtherLivestock_NitrogenExcreted_Data(),Table_SourceData_OtherLivestock_NitrogenExcreted[[#Headers],[Other livestock type]],0)</f>
        <v>Goats</v>
      </c>
      <c r="E41" s="35" cm="1">
        <f t="array" ref="E41">Common_InputFunctions.Utility_DisplayArrayInTable(SourceData_OtherLivestock.SourceData_OtherLivestock_NitrogenExcreted_Data(),Table_SourceData_OtherLivestock_NitrogenExcreted[[#Headers],[Other livestock type]],0)</f>
        <v>7</v>
      </c>
      <c r="M41" s="1"/>
    </row>
    <row r="42" spans="4:13" ht="20.100000000000001" customHeight="1" x14ac:dyDescent="0.25">
      <c r="D42" s="35" t="str" cm="1">
        <f t="array" ref="D42">Common_InputFunctions.Utility_DisplayArrayInTable(SourceData_OtherLivestock.SourceData_OtherLivestock_NitrogenExcreted_Data(),Table_SourceData_OtherLivestock_NitrogenExcreted[[#Headers],[Other livestock type]],0)</f>
        <v>Deer</v>
      </c>
      <c r="E42" s="35" cm="1">
        <f t="array" ref="E42">Common_InputFunctions.Utility_DisplayArrayInTable(SourceData_OtherLivestock.SourceData_OtherLivestock_NitrogenExcreted_Data(),Table_SourceData_OtherLivestock_NitrogenExcreted[[#Headers],[Other livestock type]],0)</f>
        <v>13.2</v>
      </c>
      <c r="M42" s="1"/>
    </row>
    <row r="43" spans="4:13" ht="20.100000000000001" customHeight="1" x14ac:dyDescent="0.25">
      <c r="D43" s="35" t="str" cm="1">
        <f t="array" ref="D43">Common_InputFunctions.Utility_DisplayArrayInTable(SourceData_OtherLivestock.SourceData_OtherLivestock_NitrogenExcreted_Data(),Table_SourceData_OtherLivestock_NitrogenExcreted[[#Headers],[Other livestock type]],0)</f>
        <v>Camels</v>
      </c>
      <c r="E43" s="35" cm="1">
        <f t="array" ref="E43">Common_InputFunctions.Utility_DisplayArrayInTable(SourceData_OtherLivestock.SourceData_OtherLivestock_NitrogenExcreted_Data(),Table_SourceData_OtherLivestock_NitrogenExcreted[[#Headers],[Other livestock type]],0)</f>
        <v>39.5</v>
      </c>
      <c r="M43" s="1"/>
    </row>
    <row r="44" spans="4:13" ht="20.100000000000001" customHeight="1" x14ac:dyDescent="0.25">
      <c r="D44" s="35" t="str" cm="1">
        <f t="array" ref="D44">Common_InputFunctions.Utility_DisplayArrayInTable(SourceData_OtherLivestock.SourceData_OtherLivestock_NitrogenExcreted_Data(),Table_SourceData_OtherLivestock_NitrogenExcreted[[#Headers],[Other livestock type]],0)</f>
        <v>Alpacas</v>
      </c>
      <c r="E44" s="35" cm="1">
        <f t="array" ref="E44">Common_InputFunctions.Utility_DisplayArrayInTable(SourceData_OtherLivestock.SourceData_OtherLivestock_NitrogenExcreted_Data(),Table_SourceData_OtherLivestock_NitrogenExcreted[[#Headers],[Other livestock type]],0)</f>
        <v>7</v>
      </c>
      <c r="M44" s="1"/>
    </row>
    <row r="45" spans="4:13" ht="20.100000000000001" customHeight="1" x14ac:dyDescent="0.25">
      <c r="D45" s="35" t="str" cm="1">
        <f t="array" ref="D45">Common_InputFunctions.Utility_DisplayArrayInTable(SourceData_OtherLivestock.SourceData_OtherLivestock_NitrogenExcreted_Data(),Table_SourceData_OtherLivestock_NitrogenExcreted[[#Headers],[Other livestock type]],0)</f>
        <v>Horses</v>
      </c>
      <c r="E45" s="35" cm="1">
        <f t="array" ref="E45">Common_InputFunctions.Utility_DisplayArrayInTable(SourceData_OtherLivestock.SourceData_OtherLivestock_NitrogenExcreted_Data(),Table_SourceData_OtherLivestock_NitrogenExcreted[[#Headers],[Other livestock type]],0)</f>
        <v>39.5</v>
      </c>
      <c r="M45" s="1"/>
    </row>
    <row r="46" spans="4:13" ht="20.100000000000001" customHeight="1" x14ac:dyDescent="0.25">
      <c r="D46" s="35" t="str" cm="1">
        <f t="array" ref="D46">Common_InputFunctions.Utility_DisplayArrayInTable(SourceData_OtherLivestock.SourceData_OtherLivestock_NitrogenExcreted_Data(),Table_SourceData_OtherLivestock_NitrogenExcreted[[#Headers],[Other livestock type]],0)</f>
        <v>Mules/asses</v>
      </c>
      <c r="E46" s="35" cm="1">
        <f t="array" ref="E46">Common_InputFunctions.Utility_DisplayArrayInTable(SourceData_OtherLivestock.SourceData_OtherLivestock_NitrogenExcreted_Data(),Table_SourceData_OtherLivestock_NitrogenExcreted[[#Headers],[Other livestock type]],0)</f>
        <v>13.2</v>
      </c>
      <c r="M46" s="1"/>
    </row>
    <row r="47" spans="4:13" ht="20.100000000000001" customHeight="1" x14ac:dyDescent="0.25">
      <c r="D47" s="35" t="str" cm="1">
        <f t="array" ref="D47">Common_InputFunctions.Utility_DisplayArrayInTable(SourceData_OtherLivestock.SourceData_OtherLivestock_NitrogenExcreted_Data(),Table_SourceData_OtherLivestock_NitrogenExcreted[[#Headers],[Other livestock type]],0)</f>
        <v>Emus/ostriches</v>
      </c>
      <c r="E47" s="35" cm="1">
        <f t="array" ref="E47">Common_InputFunctions.Utility_DisplayArrayInTable(SourceData_OtherLivestock.SourceData_OtherLivestock_NitrogenExcreted_Data(),Table_SourceData_OtherLivestock_NitrogenExcreted[[#Headers],[Other livestock type]],0)</f>
        <v>7</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SourceData_OtherLivestock.SourceData_OtherLivestock_AverageLiveweight_Title()</f>
        <v>Other Livestock - Average Liveweights</v>
      </c>
      <c r="M50" s="1"/>
    </row>
    <row r="51" spans="4:13" ht="20.100000000000001" customHeight="1" x14ac:dyDescent="0.25">
      <c r="D51" s="5" t="str" cm="1">
        <f t="array" ref="D51">SourceData_OtherLivestock.SourceData_OtherLivestock_AverageLiveweight_Source()</f>
        <v>VEERG 2026: Table A.1.5.4</v>
      </c>
      <c r="M51" s="1"/>
    </row>
    <row r="52" spans="4:13" ht="20.100000000000001" customHeight="1" x14ac:dyDescent="0.25">
      <c r="D52" s="1" t="str" cm="1">
        <f t="array" ref="D52">SourceData_OtherLivestock.SourceData_OtherLivestock_AverageLiveweight_Variable()</f>
        <v>Wco</v>
      </c>
      <c r="M52" s="1"/>
    </row>
    <row r="53" spans="4:13" ht="20.100000000000001" customHeight="1" x14ac:dyDescent="0.25">
      <c r="D53" s="50" t="str" cm="1">
        <f t="array" ref="D53">SourceData_OtherLivestock.SourceData_OtherLivestock_AverageLiveweight_Unit()</f>
        <v>kg</v>
      </c>
      <c r="M53" s="1"/>
    </row>
    <row r="54" spans="4:13" ht="20.100000000000001" customHeight="1" x14ac:dyDescent="0.25">
      <c r="D54" s="35" t="s">
        <v>105</v>
      </c>
      <c r="E54" s="35" t="s">
        <v>109</v>
      </c>
      <c r="F54" s="35" t="s">
        <v>110</v>
      </c>
      <c r="M54" s="1"/>
    </row>
    <row r="55" spans="4:13" ht="20.100000000000001" customHeight="1" x14ac:dyDescent="0.25">
      <c r="D55" s="35" t="str" cm="1">
        <f t="array" ref="D55">Common_InputFunctions.Utility_DisplayArrayInTable(SourceData_OtherLivestock.SourceData_OtherLivestock_AverageLiveweight_Data(),Table_SourceData_OtherLivestock_AverageLiveweight[[#Headers],[Other livestock type]],0)</f>
        <v>Buffalo</v>
      </c>
      <c r="E55" s="35" cm="1">
        <f t="array" ref="E55">Common_InputFunctions.Utility_DisplayArrayInTable(SourceData_OtherLivestock.SourceData_OtherLivestock_AverageLiveweight_Data(),Table_SourceData_OtherLivestock_AverageLiveweight[[#Headers],[Other livestock type]],0)</f>
        <v>336</v>
      </c>
      <c r="F55" s="35" t="str" cm="1">
        <f t="array" ref="F55">Common_InputFunctions.Utility_DisplayArrayInTable(SourceData_OtherLivestock.SourceData_OtherLivestock_AverageLiveweight_Data(),Table_SourceData_OtherLivestock_AverageLiveweight[[#Headers],[Other livestock type]],0)</f>
        <v>-</v>
      </c>
      <c r="M55" s="1"/>
    </row>
    <row r="56" spans="4:13" ht="20.100000000000001" customHeight="1" x14ac:dyDescent="0.25">
      <c r="D56" s="35" t="str" cm="1">
        <f t="array" ref="D56">Common_InputFunctions.Utility_DisplayArrayInTable(SourceData_OtherLivestock.SourceData_OtherLivestock_AverageLiveweight_Data(),Table_SourceData_OtherLivestock_AverageLiveweight[[#Headers],[Other livestock type]],0)</f>
        <v>Goats</v>
      </c>
      <c r="E56" s="35" cm="1">
        <f t="array" ref="E56">Common_InputFunctions.Utility_DisplayArrayInTable(SourceData_OtherLivestock.SourceData_OtherLivestock_AverageLiveweight_Data(),Table_SourceData_OtherLivestock_AverageLiveweight[[#Headers],[Other livestock type]],0)</f>
        <v>33</v>
      </c>
      <c r="F56" s="35" t="str" cm="1">
        <f t="array" ref="F56">Common_InputFunctions.Utility_DisplayArrayInTable(SourceData_OtherLivestock.SourceData_OtherLivestock_AverageLiveweight_Data(),Table_SourceData_OtherLivestock_AverageLiveweight[[#Headers],[Other livestock type]],0)</f>
        <v>28kg - low productivity systems</v>
      </c>
      <c r="M56" s="1"/>
    </row>
    <row r="57" spans="4:13" ht="20.100000000000001" customHeight="1" x14ac:dyDescent="0.25">
      <c r="D57" s="35" t="str" cm="1">
        <f t="array" ref="D57">Common_InputFunctions.Utility_DisplayArrayInTable(SourceData_OtherLivestock.SourceData_OtherLivestock_AverageLiveweight_Data(),Table_SourceData_OtherLivestock_AverageLiveweight[[#Headers],[Other livestock type]],0)</f>
        <v>Goats</v>
      </c>
      <c r="E57" s="35" cm="1">
        <f t="array" ref="E57">Common_InputFunctions.Utility_DisplayArrayInTable(SourceData_OtherLivestock.SourceData_OtherLivestock_AverageLiveweight_Data(),Table_SourceData_OtherLivestock_AverageLiveweight[[#Headers],[Other livestock type]],0)</f>
        <v>33</v>
      </c>
      <c r="F57" s="35" t="str" cm="1">
        <f t="array" ref="F57">Common_InputFunctions.Utility_DisplayArrayInTable(SourceData_OtherLivestock.SourceData_OtherLivestock_AverageLiveweight_Data(),Table_SourceData_OtherLivestock_AverageLiveweight[[#Headers],[Other livestock type]],0)</f>
        <v>50kg - high productivity systems</v>
      </c>
      <c r="M57" s="1"/>
    </row>
    <row r="58" spans="4:13" ht="20.100000000000001" customHeight="1" x14ac:dyDescent="0.25">
      <c r="D58" s="35" t="str" cm="1">
        <f t="array" ref="D58">Common_InputFunctions.Utility_DisplayArrayInTable(SourceData_OtherLivestock.SourceData_OtherLivestock_AverageLiveweight_Data(),Table_SourceData_OtherLivestock_AverageLiveweight[[#Headers],[Other livestock type]],0)</f>
        <v>Deer</v>
      </c>
      <c r="E58" s="35" cm="1">
        <f t="array" ref="E58">Common_InputFunctions.Utility_DisplayArrayInTable(SourceData_OtherLivestock.SourceData_OtherLivestock_AverageLiveweight_Data(),Table_SourceData_OtherLivestock_AverageLiveweight[[#Headers],[Other livestock type]],0)</f>
        <v>120</v>
      </c>
      <c r="F58" s="35" cm="1">
        <f t="array" ref="F58">Common_InputFunctions.Utility_DisplayArrayInTable(SourceData_OtherLivestock.SourceData_OtherLivestock_AverageLiveweight_Data(),Table_SourceData_OtherLivestock_AverageLiveweight[[#Headers],[Other livestock type]],0)</f>
        <v>120</v>
      </c>
      <c r="M58" s="1"/>
    </row>
    <row r="59" spans="4:13" ht="20.100000000000001" customHeight="1" x14ac:dyDescent="0.25">
      <c r="D59" s="35" t="str" cm="1">
        <f t="array" ref="D59">Common_InputFunctions.Utility_DisplayArrayInTable(SourceData_OtherLivestock.SourceData_OtherLivestock_AverageLiveweight_Data(),Table_SourceData_OtherLivestock_AverageLiveweight[[#Headers],[Other livestock type]],0)</f>
        <v>Camels</v>
      </c>
      <c r="E59" s="35" cm="1">
        <f t="array" ref="E59">Common_InputFunctions.Utility_DisplayArrayInTable(SourceData_OtherLivestock.SourceData_OtherLivestock_AverageLiveweight_Data(),Table_SourceData_OtherLivestock_AverageLiveweight[[#Headers],[Other livestock type]],0)</f>
        <v>217</v>
      </c>
      <c r="F59" s="35" cm="1">
        <f t="array" ref="F59">Common_InputFunctions.Utility_DisplayArrayInTable(SourceData_OtherLivestock.SourceData_OtherLivestock_AverageLiveweight_Data(),Table_SourceData_OtherLivestock_AverageLiveweight[[#Headers],[Other livestock type]],0)</f>
        <v>570</v>
      </c>
      <c r="M59" s="1"/>
    </row>
    <row r="60" spans="4:13" ht="20.100000000000001" customHeight="1" x14ac:dyDescent="0.25">
      <c r="D60" s="35" t="str" cm="1">
        <f t="array" ref="D60">Common_InputFunctions.Utility_DisplayArrayInTable(SourceData_OtherLivestock.SourceData_OtherLivestock_AverageLiveweight_Data(),Table_SourceData_OtherLivestock_AverageLiveweight[[#Headers],[Other livestock type]],0)</f>
        <v>Alpacas</v>
      </c>
      <c r="E60" s="35" t="str" cm="1">
        <f t="array" ref="E60">Common_InputFunctions.Utility_DisplayArrayInTable(SourceData_OtherLivestock.SourceData_OtherLivestock_AverageLiveweight_Data(),Table_SourceData_OtherLivestock_AverageLiveweight[[#Headers],[Other livestock type]],0)</f>
        <v>-</v>
      </c>
      <c r="F60" s="35" cm="1">
        <f t="array" ref="F60">Common_InputFunctions.Utility_DisplayArrayInTable(SourceData_OtherLivestock.SourceData_OtherLivestock_AverageLiveweight_Data(),Table_SourceData_OtherLivestock_AverageLiveweight[[#Headers],[Other livestock type]],0)</f>
        <v>65</v>
      </c>
      <c r="M60" s="1"/>
    </row>
    <row r="61" spans="4:13" ht="20.100000000000001" customHeight="1" x14ac:dyDescent="0.25">
      <c r="D61" s="35" t="str" cm="1">
        <f t="array" ref="D61">Common_InputFunctions.Utility_DisplayArrayInTable(SourceData_OtherLivestock.SourceData_OtherLivestock_AverageLiveweight_Data(),Table_SourceData_OtherLivestock_AverageLiveweight[[#Headers],[Other livestock type]],0)</f>
        <v>Horses</v>
      </c>
      <c r="E61" s="35" cm="1">
        <f t="array" ref="E61">Common_InputFunctions.Utility_DisplayArrayInTable(SourceData_OtherLivestock.SourceData_OtherLivestock_AverageLiveweight_Data(),Table_SourceData_OtherLivestock_AverageLiveweight[[#Headers],[Other livestock type]],0)</f>
        <v>377</v>
      </c>
      <c r="F61" s="35" cm="1">
        <f t="array" ref="F61">Common_InputFunctions.Utility_DisplayArrayInTable(SourceData_OtherLivestock.SourceData_OtherLivestock_AverageLiveweight_Data(),Table_SourceData_OtherLivestock_AverageLiveweight[[#Headers],[Other livestock type]],0)</f>
        <v>550</v>
      </c>
      <c r="M61" s="1"/>
    </row>
    <row r="62" spans="4:13" ht="20.100000000000001" customHeight="1" x14ac:dyDescent="0.25">
      <c r="D62" s="35" t="str" cm="1">
        <f t="array" ref="D62">Common_InputFunctions.Utility_DisplayArrayInTable(SourceData_OtherLivestock.SourceData_OtherLivestock_AverageLiveweight_Data(),Table_SourceData_OtherLivestock_AverageLiveweight[[#Headers],[Other livestock type]],0)</f>
        <v>Mules/asses</v>
      </c>
      <c r="E62" s="35" cm="1">
        <f t="array" ref="E62">Common_InputFunctions.Utility_DisplayArrayInTable(SourceData_OtherLivestock.SourceData_OtherLivestock_AverageLiveweight_Data(),Table_SourceData_OtherLivestock_AverageLiveweight[[#Headers],[Other livestock type]],0)</f>
        <v>130</v>
      </c>
      <c r="F62" s="35" cm="1">
        <f t="array" ref="F62">Common_InputFunctions.Utility_DisplayArrayInTable(SourceData_OtherLivestock.SourceData_OtherLivestock_AverageLiveweight_Data(),Table_SourceData_OtherLivestock_AverageLiveweight[[#Headers],[Other livestock type]],0)</f>
        <v>245</v>
      </c>
      <c r="M62" s="1"/>
    </row>
    <row r="63" spans="4:13" ht="20.100000000000001" customHeight="1" x14ac:dyDescent="0.25">
      <c r="D63" s="35" t="str" cm="1">
        <f t="array" ref="D63">Common_InputFunctions.Utility_DisplayArrayInTable(SourceData_OtherLivestock.SourceData_OtherLivestock_AverageLiveweight_Data(),Table_SourceData_OtherLivestock_AverageLiveweight[[#Headers],[Other livestock type]],0)</f>
        <v>Emus/ostriches</v>
      </c>
      <c r="E63" s="35" cm="1">
        <f t="array" ref="E63">Common_InputFunctions.Utility_DisplayArrayInTable(SourceData_OtherLivestock.SourceData_OtherLivestock_AverageLiveweight_Data(),Table_SourceData_OtherLivestock_AverageLiveweight[[#Headers],[Other livestock type]],0)</f>
        <v>120</v>
      </c>
      <c r="F63" s="35" cm="1">
        <f t="array" ref="F63">Common_InputFunctions.Utility_DisplayArrayInTable(SourceData_OtherLivestock.SourceData_OtherLivestock_AverageLiveweight_Data(),Table_SourceData_OtherLivestock_AverageLiveweight[[#Headers],[Other livestock type]],0)</f>
        <v>120</v>
      </c>
      <c r="M63" s="1"/>
    </row>
    <row r="64" spans="4:13" ht="20.100000000000001" customHeight="1" x14ac:dyDescent="0.25">
      <c r="D64" s="35" t="str" cm="1">
        <f t="array" ref="D64">Common_InputFunctions.Utility_DisplayArrayInTable(SourceData_OtherLivestock.SourceData_OtherLivestock_AverageLiveweight_Data(),Table_SourceData_OtherLivestock_AverageLiveweight[[#Headers],[Other livestock type]],0)</f>
        <v>Reference</v>
      </c>
      <c r="E64" s="35" t="str" cm="1">
        <f t="array" ref="E64">Common_InputFunctions.Utility_DisplayArrayInTable(SourceData_OtherLivestock.SourceData_OtherLivestock_AverageLiveweight_Data(),Table_SourceData_OtherLivestock_AverageLiveweight[[#Headers],[Other livestock type]],0)</f>
        <v>IPCC 2019 Table 10A.5 [2]</v>
      </c>
      <c r="F64" s="35" t="str" cm="1">
        <f t="array" ref="F64">Common_InputFunctions.Utility_DisplayArrayInTable(SourceData_OtherLivestock.SourceData_OtherLivestock_AverageLiveweight_Data(),Table_SourceData_OtherLivestock_AverageLiveweight[[#Headers],[Other livestock type]],0)</f>
        <v>IPCC 2019 Table 10.10 [2]</v>
      </c>
      <c r="M64" s="1"/>
    </row>
    <row r="65" spans="4:13" ht="20.100000000000001" customHeight="1" x14ac:dyDescent="0.25">
      <c r="M65" s="1"/>
    </row>
    <row r="66" spans="4:13" ht="20.100000000000001" customHeight="1" x14ac:dyDescent="0.25">
      <c r="M66" s="1"/>
    </row>
    <row r="67" spans="4:13" ht="20.100000000000001" customHeight="1" x14ac:dyDescent="0.25">
      <c r="D67" s="6" t="str" cm="1">
        <f t="array" ref="D67">SourceData_OtherLivestock.SourceData_OtherLivestock_FractionWasteInMMS_Title()</f>
        <v>Other Livestock - Fraction of waste in each manure management system</v>
      </c>
      <c r="M67" s="1"/>
    </row>
    <row r="68" spans="4:13" ht="20.100000000000001" customHeight="1" x14ac:dyDescent="0.25">
      <c r="D68" s="5" t="str" cm="1">
        <f t="array" ref="D68">SourceData_OtherLivestock.SourceData_OtherLivestock_FractionWasteInMMS_Source()</f>
        <v>VEERG 2026: Table A.1.5.5</v>
      </c>
      <c r="M68" s="1"/>
    </row>
    <row r="69" spans="4:13" ht="20.100000000000001" customHeight="1" x14ac:dyDescent="0.25">
      <c r="D69" s="1" t="str" cm="1">
        <f t="array" ref="D69">SourceData_OtherLivestock.SourceData_OtherLivestock_FractionWasteInMMS_Variable()</f>
        <v>MMSm</v>
      </c>
      <c r="M69" s="1"/>
    </row>
    <row r="70" spans="4:13" ht="20.100000000000001" customHeight="1" x14ac:dyDescent="0.25">
      <c r="D70" s="50" t="str" cm="1">
        <f t="array" ref="D70">SourceData_OtherLivestock.SourceData_OtherLivestock_FractionWasteInMMS_Unit()</f>
        <v>fraction</v>
      </c>
      <c r="M70" s="1"/>
    </row>
    <row r="71" spans="4:13" ht="20.100000000000001" customHeight="1" x14ac:dyDescent="0.25">
      <c r="D71" s="35" t="s">
        <v>105</v>
      </c>
      <c r="E71" s="35" t="s">
        <v>99</v>
      </c>
      <c r="F71" s="47" t="s">
        <v>111</v>
      </c>
      <c r="M71" s="1"/>
    </row>
    <row r="72" spans="4:13" ht="20.100000000000001" customHeight="1" x14ac:dyDescent="0.25">
      <c r="D72" s="35" t="str" cm="1">
        <f t="array" ref="D72">Common_InputFunctions.Utility_DisplayArrayInTable(SourceData_OtherLivestock.SourceData_OtherLivestock_FractionWasteInMMS_Data(),Table_SourceData_OtherLivestock_FractionWasteInMMS[[#Headers],[Other livestock type]],0)</f>
        <v>ACT</v>
      </c>
      <c r="E72" s="35" cm="1">
        <f t="array" ref="E72">Common_InputFunctions.Utility_DisplayArrayInTable(SourceData_OtherLivestock.SourceData_OtherLivestock_FractionWasteInMMS_Data(),Table_SourceData_OtherLivestock_FractionWasteInMMS[[#Headers],[Other livestock type]],0)</f>
        <v>99.66</v>
      </c>
      <c r="F72" s="35" cm="1">
        <f t="array" ref="F72">Common_InputFunctions.Utility_DisplayArrayInTable(SourceData_OtherLivestock.SourceData_OtherLivestock_FractionWasteInMMS_Data(),Table_SourceData_OtherLivestock_FractionWasteInMMS[[#Headers],[Other livestock type]],0)</f>
        <v>0.34</v>
      </c>
      <c r="M72" s="1"/>
    </row>
    <row r="73" spans="4:13" ht="20.100000000000001" customHeight="1" x14ac:dyDescent="0.25">
      <c r="D73" s="35" t="str" cm="1">
        <f t="array" ref="D73">Common_InputFunctions.Utility_DisplayArrayInTable(SourceData_OtherLivestock.SourceData_OtherLivestock_FractionWasteInMMS_Data(),Table_SourceData_OtherLivestock_FractionWasteInMMS[[#Headers],[Other livestock type]],0)</f>
        <v>NSW</v>
      </c>
      <c r="E73" s="35" cm="1">
        <f t="array" ref="E73">Common_InputFunctions.Utility_DisplayArrayInTable(SourceData_OtherLivestock.SourceData_OtherLivestock_FractionWasteInMMS_Data(),Table_SourceData_OtherLivestock_FractionWasteInMMS[[#Headers],[Other livestock type]],0)</f>
        <v>99.66</v>
      </c>
      <c r="F73" s="35" cm="1">
        <f t="array" ref="F73">Common_InputFunctions.Utility_DisplayArrayInTable(SourceData_OtherLivestock.SourceData_OtherLivestock_FractionWasteInMMS_Data(),Table_SourceData_OtherLivestock_FractionWasteInMMS[[#Headers],[Other livestock type]],0)</f>
        <v>0.34</v>
      </c>
      <c r="M73" s="1"/>
    </row>
    <row r="74" spans="4:13" ht="20.100000000000001" customHeight="1" x14ac:dyDescent="0.25">
      <c r="D74" s="35" t="str" cm="1">
        <f t="array" ref="D74">Common_InputFunctions.Utility_DisplayArrayInTable(SourceData_OtherLivestock.SourceData_OtherLivestock_FractionWasteInMMS_Data(),Table_SourceData_OtherLivestock_FractionWasteInMMS[[#Headers],[Other livestock type]],0)</f>
        <v>NT</v>
      </c>
      <c r="E74" s="35" cm="1">
        <f t="array" ref="E74">Common_InputFunctions.Utility_DisplayArrayInTable(SourceData_OtherLivestock.SourceData_OtherLivestock_FractionWasteInMMS_Data(),Table_SourceData_OtherLivestock_FractionWasteInMMS[[#Headers],[Other livestock type]],0)</f>
        <v>99.66</v>
      </c>
      <c r="F74" s="35" cm="1">
        <f t="array" ref="F74">Common_InputFunctions.Utility_DisplayArrayInTable(SourceData_OtherLivestock.SourceData_OtherLivestock_FractionWasteInMMS_Data(),Table_SourceData_OtherLivestock_FractionWasteInMMS[[#Headers],[Other livestock type]],0)</f>
        <v>0.34</v>
      </c>
      <c r="M74" s="1"/>
    </row>
    <row r="75" spans="4:13" ht="20.100000000000001" customHeight="1" x14ac:dyDescent="0.25">
      <c r="D75" s="35" t="str" cm="1">
        <f t="array" ref="D75">Common_InputFunctions.Utility_DisplayArrayInTable(SourceData_OtherLivestock.SourceData_OtherLivestock_FractionWasteInMMS_Data(),Table_SourceData_OtherLivestock_FractionWasteInMMS[[#Headers],[Other livestock type]],0)</f>
        <v>QLD</v>
      </c>
      <c r="E75" s="35" cm="1">
        <f t="array" ref="E75">Common_InputFunctions.Utility_DisplayArrayInTable(SourceData_OtherLivestock.SourceData_OtherLivestock_FractionWasteInMMS_Data(),Table_SourceData_OtherLivestock_FractionWasteInMMS[[#Headers],[Other livestock type]],0)</f>
        <v>99.66</v>
      </c>
      <c r="F75" s="35" cm="1">
        <f t="array" ref="F75">Common_InputFunctions.Utility_DisplayArrayInTable(SourceData_OtherLivestock.SourceData_OtherLivestock_FractionWasteInMMS_Data(),Table_SourceData_OtherLivestock_FractionWasteInMMS[[#Headers],[Other livestock type]],0)</f>
        <v>0.34</v>
      </c>
      <c r="M75" s="1"/>
    </row>
    <row r="76" spans="4:13" ht="20.100000000000001" customHeight="1" x14ac:dyDescent="0.25">
      <c r="D76" s="35" t="str" cm="1">
        <f t="array" ref="D76">Common_InputFunctions.Utility_DisplayArrayInTable(SourceData_OtherLivestock.SourceData_OtherLivestock_FractionWasteInMMS_Data(),Table_SourceData_OtherLivestock_FractionWasteInMMS[[#Headers],[Other livestock type]],0)</f>
        <v>SA</v>
      </c>
      <c r="E76" s="35" cm="1">
        <f t="array" ref="E76">Common_InputFunctions.Utility_DisplayArrayInTable(SourceData_OtherLivestock.SourceData_OtherLivestock_FractionWasteInMMS_Data(),Table_SourceData_OtherLivestock_FractionWasteInMMS[[#Headers],[Other livestock type]],0)</f>
        <v>99.66</v>
      </c>
      <c r="F76" s="35" cm="1">
        <f t="array" ref="F76">Common_InputFunctions.Utility_DisplayArrayInTable(SourceData_OtherLivestock.SourceData_OtherLivestock_FractionWasteInMMS_Data(),Table_SourceData_OtherLivestock_FractionWasteInMMS[[#Headers],[Other livestock type]],0)</f>
        <v>0.34</v>
      </c>
      <c r="M76" s="1"/>
    </row>
    <row r="77" spans="4:13" ht="20.100000000000001" customHeight="1" x14ac:dyDescent="0.25">
      <c r="D77" s="35" t="str" cm="1">
        <f t="array" ref="D77">Common_InputFunctions.Utility_DisplayArrayInTable(SourceData_OtherLivestock.SourceData_OtherLivestock_FractionWasteInMMS_Data(),Table_SourceData_OtherLivestock_FractionWasteInMMS[[#Headers],[Other livestock type]],0)</f>
        <v>TAS</v>
      </c>
      <c r="E77" s="35" cm="1">
        <f t="array" ref="E77">Common_InputFunctions.Utility_DisplayArrayInTable(SourceData_OtherLivestock.SourceData_OtherLivestock_FractionWasteInMMS_Data(),Table_SourceData_OtherLivestock_FractionWasteInMMS[[#Headers],[Other livestock type]],0)</f>
        <v>99.66</v>
      </c>
      <c r="F77" s="35" cm="1">
        <f t="array" ref="F77">Common_InputFunctions.Utility_DisplayArrayInTable(SourceData_OtherLivestock.SourceData_OtherLivestock_FractionWasteInMMS_Data(),Table_SourceData_OtherLivestock_FractionWasteInMMS[[#Headers],[Other livestock type]],0)</f>
        <v>0.34</v>
      </c>
      <c r="M77" s="1"/>
    </row>
    <row r="78" spans="4:13" ht="20.100000000000001" customHeight="1" x14ac:dyDescent="0.25">
      <c r="D78" s="35" t="str" cm="1">
        <f t="array" ref="D78">Common_InputFunctions.Utility_DisplayArrayInTable(SourceData_OtherLivestock.SourceData_OtherLivestock_FractionWasteInMMS_Data(),Table_SourceData_OtherLivestock_FractionWasteInMMS[[#Headers],[Other livestock type]],0)</f>
        <v>VIC</v>
      </c>
      <c r="E78" s="35" cm="1">
        <f t="array" ref="E78">Common_InputFunctions.Utility_DisplayArrayInTable(SourceData_OtherLivestock.SourceData_OtherLivestock_FractionWasteInMMS_Data(),Table_SourceData_OtherLivestock_FractionWasteInMMS[[#Headers],[Other livestock type]],0)</f>
        <v>99.66</v>
      </c>
      <c r="F78" s="35" cm="1">
        <f t="array" ref="F78">Common_InputFunctions.Utility_DisplayArrayInTable(SourceData_OtherLivestock.SourceData_OtherLivestock_FractionWasteInMMS_Data(),Table_SourceData_OtherLivestock_FractionWasteInMMS[[#Headers],[Other livestock type]],0)</f>
        <v>0.34</v>
      </c>
      <c r="M78" s="1"/>
    </row>
    <row r="79" spans="4:13" ht="20.100000000000001" customHeight="1" x14ac:dyDescent="0.25">
      <c r="D79" s="35" t="str" cm="1">
        <f t="array" ref="D79">Common_InputFunctions.Utility_DisplayArrayInTable(SourceData_OtherLivestock.SourceData_OtherLivestock_FractionWasteInMMS_Data(),Table_SourceData_OtherLivestock_FractionWasteInMMS[[#Headers],[Other livestock type]],0)</f>
        <v>WA</v>
      </c>
      <c r="E79" s="35" cm="1">
        <f t="array" ref="E79">Common_InputFunctions.Utility_DisplayArrayInTable(SourceData_OtherLivestock.SourceData_OtherLivestock_FractionWasteInMMS_Data(),Table_SourceData_OtherLivestock_FractionWasteInMMS[[#Headers],[Other livestock type]],0)</f>
        <v>99.66</v>
      </c>
      <c r="F79" s="35" cm="1">
        <f t="array" ref="F79">Common_InputFunctions.Utility_DisplayArrayInTable(SourceData_OtherLivestock.SourceData_OtherLivestock_FractionWasteInMMS_Data(),Table_SourceData_OtherLivestock_FractionWasteInMMS[[#Headers],[Other livestock type]],0)</f>
        <v>0.34</v>
      </c>
      <c r="M79" s="1"/>
    </row>
    <row r="80" spans="4:13" ht="20.100000000000001" customHeight="1" x14ac:dyDescent="0.25">
      <c r="M80" s="1"/>
    </row>
    <row r="81" spans="4:13" ht="20.100000000000001" customHeight="1" x14ac:dyDescent="0.25">
      <c r="M81" s="1"/>
    </row>
    <row r="82" spans="4:13" ht="20.100000000000001" customHeight="1" x14ac:dyDescent="0.25">
      <c r="D82" s="6" t="str" cm="1">
        <f t="array" ref="D82">SourceData_OtherLivestock.SourceData_OtherLivestock_MethaneConversionFactor_Title()</f>
        <v>Other Livestock - Methane conversion factor per region</v>
      </c>
      <c r="M82" s="1"/>
    </row>
    <row r="83" spans="4:13" ht="20.100000000000001" customHeight="1" x14ac:dyDescent="0.25">
      <c r="D83" s="5" t="str" cm="1">
        <f t="array" ref="D83">SourceData_OtherLivestock.SourceData_OtherLivestock_MethaneConversionFactor_Source()</f>
        <v>VEERG 2026: Table A.1.5.6</v>
      </c>
      <c r="M83" s="1"/>
    </row>
    <row r="84" spans="4:13" ht="20.100000000000001" customHeight="1" x14ac:dyDescent="0.25">
      <c r="D84" s="1" t="str" cm="1">
        <f t="array" ref="D84">SourceData_OtherLivestock.SourceData_OtherLivestock_MethaneConversionFactor_Variable()</f>
        <v>MCFim</v>
      </c>
      <c r="M84" s="1"/>
    </row>
    <row r="85" spans="4:13" ht="20.100000000000001" customHeight="1" x14ac:dyDescent="0.25">
      <c r="D85" s="50" t="str" cm="1">
        <f t="array" ref="D85">SourceData_OtherLivestock.SourceData_OtherLivestock_MethaneConversionFactor_Unit()</f>
        <v>fraction</v>
      </c>
      <c r="M85" s="1"/>
    </row>
    <row r="86" spans="4:13" ht="20.100000000000001" customHeight="1" x14ac:dyDescent="0.25">
      <c r="D86" s="35" t="s">
        <v>105</v>
      </c>
      <c r="E86" s="35" t="s">
        <v>99</v>
      </c>
      <c r="F86" s="47" t="s">
        <v>111</v>
      </c>
      <c r="M86" s="1"/>
    </row>
    <row r="87" spans="4:13" ht="20.100000000000001" customHeight="1" x14ac:dyDescent="0.25">
      <c r="D87" s="35" t="str" cm="1">
        <f t="array" ref="D87">Common_InputFunctions.Utility_DisplayArrayInTable(SourceData_OtherLivestock.SourceData_OtherLivestock_MethaneConversionFactor_Data(),Table_SourceData_OtherLivestock_MCF[[#Headers],[Other livestock type]],0)</f>
        <v>ACT</v>
      </c>
      <c r="E87" s="35" cm="1">
        <f t="array" ref="E87">Common_InputFunctions.Utility_DisplayArrayInTable(SourceData_OtherLivestock.SourceData_OtherLivestock_MethaneConversionFactor_Data(),Table_SourceData_OtherLivestock_MCF[[#Headers],[Other livestock type]],0)</f>
        <v>4.7000000000000002E-3</v>
      </c>
      <c r="F87" s="35" cm="1">
        <f t="array" ref="F87">Common_InputFunctions.Utility_DisplayArrayInTable(SourceData_OtherLivestock.SourceData_OtherLivestock_MethaneConversionFactor_Data(),Table_SourceData_OtherLivestock_MCF[[#Headers],[Other livestock type]],0)</f>
        <v>0.71</v>
      </c>
      <c r="M87" s="1"/>
    </row>
    <row r="88" spans="4:13" ht="20.100000000000001" customHeight="1" x14ac:dyDescent="0.25">
      <c r="D88" s="35" t="str" cm="1">
        <f t="array" ref="D88">Common_InputFunctions.Utility_DisplayArrayInTable(SourceData_OtherLivestock.SourceData_OtherLivestock_MethaneConversionFactor_Data(),Table_SourceData_OtherLivestock_MCF[[#Headers],[Other livestock type]],0)</f>
        <v>NSW</v>
      </c>
      <c r="E88" s="35" cm="1">
        <f t="array" ref="E88">Common_InputFunctions.Utility_DisplayArrayInTable(SourceData_OtherLivestock.SourceData_OtherLivestock_MethaneConversionFactor_Data(),Table_SourceData_OtherLivestock_MCF[[#Headers],[Other livestock type]],0)</f>
        <v>4.7000000000000002E-3</v>
      </c>
      <c r="F88" s="35" cm="1">
        <f t="array" ref="F88">Common_InputFunctions.Utility_DisplayArrayInTable(SourceData_OtherLivestock.SourceData_OtherLivestock_MethaneConversionFactor_Data(),Table_SourceData_OtherLivestock_MCF[[#Headers],[Other livestock type]],0)</f>
        <v>0.75</v>
      </c>
      <c r="M88" s="1"/>
    </row>
    <row r="89" spans="4:13" ht="20.100000000000001" customHeight="1" x14ac:dyDescent="0.25">
      <c r="D89" s="35" t="str" cm="1">
        <f t="array" ref="D89">Common_InputFunctions.Utility_DisplayArrayInTable(SourceData_OtherLivestock.SourceData_OtherLivestock_MethaneConversionFactor_Data(),Table_SourceData_OtherLivestock_MCF[[#Headers],[Other livestock type]],0)</f>
        <v>NT</v>
      </c>
      <c r="E89" s="35" cm="1">
        <f t="array" ref="E89">Common_InputFunctions.Utility_DisplayArrayInTable(SourceData_OtherLivestock.SourceData_OtherLivestock_MethaneConversionFactor_Data(),Table_SourceData_OtherLivestock_MCF[[#Headers],[Other livestock type]],0)</f>
        <v>4.7000000000000002E-3</v>
      </c>
      <c r="F89" s="35" cm="1">
        <f t="array" ref="F89">Common_InputFunctions.Utility_DisplayArrayInTable(SourceData_OtherLivestock.SourceData_OtherLivestock_MethaneConversionFactor_Data(),Table_SourceData_OtherLivestock_MCF[[#Headers],[Other livestock type]],0)</f>
        <v>0.8</v>
      </c>
      <c r="M89" s="1"/>
    </row>
    <row r="90" spans="4:13" ht="20.100000000000001" customHeight="1" x14ac:dyDescent="0.25">
      <c r="D90" s="35" t="str" cm="1">
        <f t="array" ref="D90">Common_InputFunctions.Utility_DisplayArrayInTable(SourceData_OtherLivestock.SourceData_OtherLivestock_MethaneConversionFactor_Data(),Table_SourceData_OtherLivestock_MCF[[#Headers],[Other livestock type]],0)</f>
        <v>QLD</v>
      </c>
      <c r="E90" s="35" cm="1">
        <f t="array" ref="E90">Common_InputFunctions.Utility_DisplayArrayInTable(SourceData_OtherLivestock.SourceData_OtherLivestock_MethaneConversionFactor_Data(),Table_SourceData_OtherLivestock_MCF[[#Headers],[Other livestock type]],0)</f>
        <v>4.7000000000000002E-3</v>
      </c>
      <c r="F90" s="35" cm="1">
        <f t="array" ref="F90">Common_InputFunctions.Utility_DisplayArrayInTable(SourceData_OtherLivestock.SourceData_OtherLivestock_MethaneConversionFactor_Data(),Table_SourceData_OtherLivestock_MCF[[#Headers],[Other livestock type]],0)</f>
        <v>0.78</v>
      </c>
      <c r="M90" s="1"/>
    </row>
    <row r="91" spans="4:13" ht="20.100000000000001" customHeight="1" x14ac:dyDescent="0.25">
      <c r="D91" s="35" t="str" cm="1">
        <f t="array" ref="D91">Common_InputFunctions.Utility_DisplayArrayInTable(SourceData_OtherLivestock.SourceData_OtherLivestock_MethaneConversionFactor_Data(),Table_SourceData_OtherLivestock_MCF[[#Headers],[Other livestock type]],0)</f>
        <v>SA</v>
      </c>
      <c r="E91" s="35" cm="1">
        <f t="array" ref="E91">Common_InputFunctions.Utility_DisplayArrayInTable(SourceData_OtherLivestock.SourceData_OtherLivestock_MethaneConversionFactor_Data(),Table_SourceData_OtherLivestock_MCF[[#Headers],[Other livestock type]],0)</f>
        <v>4.7000000000000002E-3</v>
      </c>
      <c r="F91" s="35" cm="1">
        <f t="array" ref="F91">Common_InputFunctions.Utility_DisplayArrayInTable(SourceData_OtherLivestock.SourceData_OtherLivestock_MethaneConversionFactor_Data(),Table_SourceData_OtherLivestock_MCF[[#Headers],[Other livestock type]],0)</f>
        <v>0.74</v>
      </c>
      <c r="M91" s="1"/>
    </row>
    <row r="92" spans="4:13" ht="20.100000000000001" customHeight="1" x14ac:dyDescent="0.25">
      <c r="D92" s="35" t="str" cm="1">
        <f t="array" ref="D92">Common_InputFunctions.Utility_DisplayArrayInTable(SourceData_OtherLivestock.SourceData_OtherLivestock_MethaneConversionFactor_Data(),Table_SourceData_OtherLivestock_MCF[[#Headers],[Other livestock type]],0)</f>
        <v>TAS</v>
      </c>
      <c r="E92" s="35" cm="1">
        <f t="array" ref="E92">Common_InputFunctions.Utility_DisplayArrayInTable(SourceData_OtherLivestock.SourceData_OtherLivestock_MethaneConversionFactor_Data(),Table_SourceData_OtherLivestock_MCF[[#Headers],[Other livestock type]],0)</f>
        <v>4.7000000000000002E-3</v>
      </c>
      <c r="F92" s="35" cm="1">
        <f t="array" ref="F92">Common_InputFunctions.Utility_DisplayArrayInTable(SourceData_OtherLivestock.SourceData_OtherLivestock_MethaneConversionFactor_Data(),Table_SourceData_OtherLivestock_MCF[[#Headers],[Other livestock type]],0)</f>
        <v>0.7</v>
      </c>
      <c r="M92" s="1"/>
    </row>
    <row r="93" spans="4:13" ht="20.100000000000001" customHeight="1" x14ac:dyDescent="0.25">
      <c r="D93" s="35" t="str" cm="1">
        <f t="array" ref="D93">Common_InputFunctions.Utility_DisplayArrayInTable(SourceData_OtherLivestock.SourceData_OtherLivestock_MethaneConversionFactor_Data(),Table_SourceData_OtherLivestock_MCF[[#Headers],[Other livestock type]],0)</f>
        <v>VIC</v>
      </c>
      <c r="E93" s="35" cm="1">
        <f t="array" ref="E93">Common_InputFunctions.Utility_DisplayArrayInTable(SourceData_OtherLivestock.SourceData_OtherLivestock_MethaneConversionFactor_Data(),Table_SourceData_OtherLivestock_MCF[[#Headers],[Other livestock type]],0)</f>
        <v>4.7000000000000002E-3</v>
      </c>
      <c r="F93" s="35" cm="1">
        <f t="array" ref="F93">Common_InputFunctions.Utility_DisplayArrayInTable(SourceData_OtherLivestock.SourceData_OtherLivestock_MethaneConversionFactor_Data(),Table_SourceData_OtherLivestock_MCF[[#Headers],[Other livestock type]],0)</f>
        <v>0.74</v>
      </c>
      <c r="M93" s="1"/>
    </row>
    <row r="94" spans="4:13" ht="20.100000000000001" customHeight="1" x14ac:dyDescent="0.25">
      <c r="D94" s="35" t="str" cm="1">
        <f t="array" ref="D94">Common_InputFunctions.Utility_DisplayArrayInTable(SourceData_OtherLivestock.SourceData_OtherLivestock_MethaneConversionFactor_Data(),Table_SourceData_OtherLivestock_MCF[[#Headers],[Other livestock type]],0)</f>
        <v>WA</v>
      </c>
      <c r="E94" s="35" cm="1">
        <f t="array" ref="E94">Common_InputFunctions.Utility_DisplayArrayInTable(SourceData_OtherLivestock.SourceData_OtherLivestock_MethaneConversionFactor_Data(),Table_SourceData_OtherLivestock_MCF[[#Headers],[Other livestock type]],0)</f>
        <v>4.7000000000000002E-3</v>
      </c>
      <c r="F94" s="35" cm="1">
        <f t="array" ref="F94">Common_InputFunctions.Utility_DisplayArrayInTable(SourceData_OtherLivestock.SourceData_OtherLivestock_MethaneConversionFactor_Data(),Table_SourceData_OtherLivestock_MCF[[#Headers],[Other livestock type]],0)</f>
        <v>0.76</v>
      </c>
      <c r="M94" s="1"/>
    </row>
    <row r="95" spans="4:13" ht="20.100000000000001" customHeight="1" x14ac:dyDescent="0.25">
      <c r="M95" s="1"/>
    </row>
    <row r="96" spans="4:13" ht="20.100000000000001" customHeight="1" x14ac:dyDescent="0.25">
      <c r="M96" s="1"/>
    </row>
    <row r="97" spans="13:13" ht="20.100000000000001" customHeight="1" x14ac:dyDescent="0.25">
      <c r="M97" s="1"/>
    </row>
    <row r="98" spans="13:13" ht="20.100000000000001" customHeight="1" x14ac:dyDescent="0.25">
      <c r="M98" s="1"/>
    </row>
    <row r="99" spans="13:13" ht="20.100000000000001" customHeight="1" x14ac:dyDescent="0.25">
      <c r="M99" s="1"/>
    </row>
    <row r="100" spans="13:13" ht="20.100000000000001" customHeight="1" x14ac:dyDescent="0.25">
      <c r="M100" s="1"/>
    </row>
    <row r="101" spans="13:13" ht="20.100000000000001" customHeight="1" x14ac:dyDescent="0.25">
      <c r="M101" s="1"/>
    </row>
    <row r="102" spans="13:13" ht="20.100000000000001" customHeight="1" x14ac:dyDescent="0.25">
      <c r="M102" s="1"/>
    </row>
    <row r="103" spans="13:13" ht="20.100000000000001" customHeight="1" x14ac:dyDescent="0.25">
      <c r="M103" s="1"/>
    </row>
    <row r="104" spans="13:13" ht="20.100000000000001" customHeight="1" x14ac:dyDescent="0.25">
      <c r="M104" s="1"/>
    </row>
    <row r="105" spans="13:13" ht="20.100000000000001" customHeight="1" x14ac:dyDescent="0.25">
      <c r="M105" s="1"/>
    </row>
    <row r="106" spans="13:13" ht="20.100000000000001" customHeight="1" x14ac:dyDescent="0.25">
      <c r="M106" s="1"/>
    </row>
    <row r="107" spans="13:13" ht="20.100000000000001" customHeight="1" x14ac:dyDescent="0.25">
      <c r="M107" s="1"/>
    </row>
    <row r="108" spans="13:13" ht="20.100000000000001" customHeight="1" x14ac:dyDescent="0.25">
      <c r="M108" s="1"/>
    </row>
    <row r="109" spans="13:13" ht="20.100000000000001" customHeight="1" x14ac:dyDescent="0.25">
      <c r="M109" s="1"/>
    </row>
    <row r="110" spans="13:13" ht="20.100000000000001" customHeight="1" x14ac:dyDescent="0.25">
      <c r="M110" s="1"/>
    </row>
    <row r="111" spans="13:13" ht="20.100000000000001" customHeight="1" x14ac:dyDescent="0.25">
      <c r="M111" s="1"/>
    </row>
    <row r="112" spans="13:13" ht="20.100000000000001" customHeight="1" x14ac:dyDescent="0.25">
      <c r="M112" s="1"/>
    </row>
    <row r="113" spans="13:22" ht="20.100000000000001" customHeight="1" x14ac:dyDescent="0.25">
      <c r="M113" s="1"/>
    </row>
    <row r="114" spans="13:22" ht="20.100000000000001" customHeight="1" x14ac:dyDescent="0.25">
      <c r="M114" s="1"/>
    </row>
    <row r="115" spans="13:22" ht="20.100000000000001" customHeight="1" x14ac:dyDescent="0.25">
      <c r="M115" s="1"/>
      <c r="V115" s="1"/>
    </row>
    <row r="116" spans="13:22" ht="20.100000000000001" customHeight="1" x14ac:dyDescent="0.25">
      <c r="M116" s="1"/>
      <c r="V116" s="1"/>
    </row>
    <row r="117" spans="13:22" ht="20.100000000000001" customHeight="1" x14ac:dyDescent="0.25">
      <c r="M117" s="1"/>
      <c r="V117" s="1"/>
    </row>
    <row r="118" spans="13:22" ht="20.100000000000001" customHeight="1" x14ac:dyDescent="0.25">
      <c r="M118" s="1"/>
    </row>
    <row r="119" spans="13:22" ht="20.100000000000001" customHeight="1" x14ac:dyDescent="0.25">
      <c r="M119" s="1"/>
    </row>
    <row r="120" spans="13:22" ht="20.100000000000001" customHeight="1" x14ac:dyDescent="0.25">
      <c r="M120" s="1"/>
    </row>
    <row r="121" spans="13:22" ht="20.100000000000001" customHeight="1" x14ac:dyDescent="0.25">
      <c r="M121" s="1"/>
    </row>
    <row r="122" spans="13:22" ht="20.100000000000001" customHeight="1" x14ac:dyDescent="0.25">
      <c r="M122" s="1"/>
    </row>
    <row r="123" spans="13:22" ht="20.100000000000001" customHeight="1" x14ac:dyDescent="0.25">
      <c r="M123" s="1"/>
    </row>
    <row r="124" spans="13:22" ht="20.100000000000001" customHeight="1" x14ac:dyDescent="0.25">
      <c r="M124" s="22"/>
    </row>
    <row r="125" spans="13:22" ht="20.100000000000001" customHeight="1" x14ac:dyDescent="0.25">
      <c r="M125" s="22"/>
    </row>
    <row r="126" spans="13:22" ht="20.100000000000001" customHeight="1" x14ac:dyDescent="0.25">
      <c r="M126" s="22"/>
    </row>
    <row r="127" spans="13:22" ht="20.100000000000001" customHeight="1" x14ac:dyDescent="0.25">
      <c r="M127" s="22"/>
    </row>
    <row r="128" spans="13:22" ht="20.100000000000001" customHeight="1" x14ac:dyDescent="0.25">
      <c r="M128" s="22"/>
    </row>
    <row r="129" spans="13:13" ht="20.100000000000001" customHeight="1" x14ac:dyDescent="0.25">
      <c r="M129" s="22"/>
    </row>
    <row r="130" spans="13:13" ht="20.100000000000001" customHeight="1" x14ac:dyDescent="0.25">
      <c r="M130" s="22"/>
    </row>
    <row r="131" spans="13:13" ht="20.100000000000001" customHeight="1" x14ac:dyDescent="0.25">
      <c r="M131" s="22"/>
    </row>
    <row r="132" spans="13:13" ht="20.100000000000001" customHeight="1" x14ac:dyDescent="0.25">
      <c r="M132" s="22"/>
    </row>
    <row r="133" spans="13:13" ht="20.100000000000001" customHeight="1" x14ac:dyDescent="0.25">
      <c r="M133" s="22"/>
    </row>
    <row r="134" spans="13:13" ht="20.100000000000001" customHeight="1" x14ac:dyDescent="0.25">
      <c r="M134" s="22"/>
    </row>
    <row r="135" spans="13:13" ht="20.100000000000001" customHeight="1" x14ac:dyDescent="0.25">
      <c r="M135" s="22"/>
    </row>
    <row r="136" spans="13:13" ht="20.100000000000001" customHeight="1" x14ac:dyDescent="0.25">
      <c r="M136" s="22"/>
    </row>
    <row r="137" spans="13:13" ht="20.100000000000001" customHeight="1" x14ac:dyDescent="0.25">
      <c r="M137" s="22"/>
    </row>
    <row r="138" spans="13:13" ht="20.100000000000001" customHeight="1" x14ac:dyDescent="0.25">
      <c r="M138" s="22"/>
    </row>
    <row r="139" spans="13:13" ht="20.100000000000001" customHeight="1" x14ac:dyDescent="0.25">
      <c r="M139" s="22"/>
    </row>
    <row r="140" spans="13:13" ht="20.100000000000001" customHeight="1" x14ac:dyDescent="0.25">
      <c r="M140" s="22"/>
    </row>
    <row r="141" spans="13:13" ht="20.100000000000001" customHeight="1" x14ac:dyDescent="0.25">
      <c r="M141" s="22"/>
    </row>
    <row r="142" spans="13:13" ht="20.100000000000001" customHeight="1" x14ac:dyDescent="0.25">
      <c r="M142" s="22"/>
    </row>
    <row r="143" spans="13:13" ht="20.100000000000001" customHeight="1" x14ac:dyDescent="0.25">
      <c r="M143" s="22"/>
    </row>
    <row r="144" spans="13:13" ht="20.100000000000001" customHeight="1" x14ac:dyDescent="0.25">
      <c r="M144" s="22"/>
    </row>
    <row r="145" spans="13:13" ht="20.100000000000001" customHeight="1" x14ac:dyDescent="0.25">
      <c r="M145" s="22"/>
    </row>
    <row r="146" spans="13:13" ht="20.100000000000001" customHeight="1" x14ac:dyDescent="0.25">
      <c r="M146" s="22"/>
    </row>
    <row r="147" spans="13:13" ht="20.100000000000001" customHeight="1" x14ac:dyDescent="0.25">
      <c r="M147" s="22"/>
    </row>
    <row r="148" spans="13:13" ht="20.100000000000001" customHeight="1" x14ac:dyDescent="0.25">
      <c r="M148" s="22"/>
    </row>
    <row r="149" spans="13:13" ht="20.100000000000001" customHeight="1" x14ac:dyDescent="0.25">
      <c r="M149" s="22"/>
    </row>
    <row r="150" spans="13:13" ht="20.100000000000001" customHeight="1" x14ac:dyDescent="0.25">
      <c r="M150" s="22"/>
    </row>
    <row r="151" spans="13:13" ht="20.100000000000001" customHeight="1" x14ac:dyDescent="0.25">
      <c r="M151" s="22"/>
    </row>
    <row r="152" spans="13:13" ht="20.100000000000001" customHeight="1" x14ac:dyDescent="0.25">
      <c r="M152" s="22"/>
    </row>
    <row r="153" spans="13:13" ht="20.100000000000001" customHeight="1" x14ac:dyDescent="0.25">
      <c r="M153" s="22"/>
    </row>
    <row r="154" spans="13:13" ht="20.100000000000001" customHeight="1" x14ac:dyDescent="0.25">
      <c r="M154" s="22"/>
    </row>
    <row r="155" spans="13:13" ht="20.100000000000001" customHeight="1" x14ac:dyDescent="0.25">
      <c r="M155" s="22"/>
    </row>
    <row r="156" spans="13:13" ht="20.100000000000001" customHeight="1" x14ac:dyDescent="0.25">
      <c r="M156" s="22"/>
    </row>
    <row r="157" spans="13:13" ht="20.100000000000001" customHeight="1" x14ac:dyDescent="0.25">
      <c r="M157" s="22"/>
    </row>
    <row r="158" spans="13:13" ht="20.100000000000001" customHeight="1" x14ac:dyDescent="0.25">
      <c r="M158" s="22"/>
    </row>
    <row r="159" spans="13:13" ht="20.100000000000001" customHeight="1" x14ac:dyDescent="0.25">
      <c r="M159" s="22"/>
    </row>
    <row r="160" spans="13:13" ht="20.100000000000001" customHeight="1" x14ac:dyDescent="0.25">
      <c r="M160" s="22"/>
    </row>
    <row r="161" spans="13:13" ht="20.100000000000001" customHeight="1" x14ac:dyDescent="0.25">
      <c r="M161" s="22"/>
    </row>
    <row r="162" spans="13:13" ht="20.100000000000001" customHeight="1" x14ac:dyDescent="0.25">
      <c r="M162" s="22"/>
    </row>
    <row r="163" spans="13:13" ht="20.100000000000001" customHeight="1" x14ac:dyDescent="0.25">
      <c r="M163" s="22"/>
    </row>
    <row r="164" spans="13:13" ht="20.100000000000001" customHeight="1" x14ac:dyDescent="0.25">
      <c r="M164" s="22"/>
    </row>
    <row r="165" spans="13:13" ht="20.100000000000001" customHeight="1" x14ac:dyDescent="0.25">
      <c r="M165" s="22"/>
    </row>
    <row r="166" spans="13:13" x14ac:dyDescent="0.25">
      <c r="M166" s="22"/>
    </row>
    <row r="167" spans="13:13" x14ac:dyDescent="0.25">
      <c r="M167" s="22"/>
    </row>
    <row r="168" spans="13:13" x14ac:dyDescent="0.25">
      <c r="M168" s="22"/>
    </row>
    <row r="169" spans="13:13" x14ac:dyDescent="0.25">
      <c r="M169" s="22"/>
    </row>
    <row r="170" spans="13:13" x14ac:dyDescent="0.25">
      <c r="M170" s="22"/>
    </row>
    <row r="171" spans="13:13" x14ac:dyDescent="0.25">
      <c r="M171" s="22"/>
    </row>
    <row r="172" spans="13:13" x14ac:dyDescent="0.25">
      <c r="M172" s="22"/>
    </row>
    <row r="173" spans="13:13" x14ac:dyDescent="0.25">
      <c r="M173" s="22"/>
    </row>
    <row r="174" spans="13:13" x14ac:dyDescent="0.25">
      <c r="M174" s="22"/>
    </row>
    <row r="175" spans="13:13" x14ac:dyDescent="0.25">
      <c r="M175" s="22"/>
    </row>
    <row r="176" spans="13:13" x14ac:dyDescent="0.25">
      <c r="M176" s="22"/>
    </row>
    <row r="177" spans="13:13" x14ac:dyDescent="0.25">
      <c r="M177" s="22"/>
    </row>
    <row r="178" spans="13:13" x14ac:dyDescent="0.25">
      <c r="M178" s="22"/>
    </row>
    <row r="179" spans="13:13" x14ac:dyDescent="0.25">
      <c r="M179" s="22"/>
    </row>
    <row r="180" spans="13:13" x14ac:dyDescent="0.25">
      <c r="M180" s="22"/>
    </row>
    <row r="181" spans="13:13" x14ac:dyDescent="0.25">
      <c r="M181" s="22"/>
    </row>
    <row r="182" spans="13:13" x14ac:dyDescent="0.25">
      <c r="M182" s="22"/>
    </row>
    <row r="183" spans="13:13" x14ac:dyDescent="0.25">
      <c r="M183" s="22"/>
    </row>
    <row r="184" spans="13:13" x14ac:dyDescent="0.25">
      <c r="M184" s="22"/>
    </row>
    <row r="185" spans="13:13" x14ac:dyDescent="0.25">
      <c r="M185" s="22"/>
    </row>
    <row r="186" spans="13:13" x14ac:dyDescent="0.25">
      <c r="M186" s="22"/>
    </row>
    <row r="187" spans="13:13" x14ac:dyDescent="0.25">
      <c r="M187" s="22"/>
    </row>
    <row r="188" spans="13:13" x14ac:dyDescent="0.25">
      <c r="M188" s="22"/>
    </row>
    <row r="189" spans="13:13" x14ac:dyDescent="0.25">
      <c r="M189" s="22"/>
    </row>
    <row r="190" spans="13:13" x14ac:dyDescent="0.25">
      <c r="M190" s="22"/>
    </row>
    <row r="191" spans="13:13" x14ac:dyDescent="0.25">
      <c r="M191" s="22"/>
    </row>
    <row r="192" spans="13:13" x14ac:dyDescent="0.25">
      <c r="M192" s="22"/>
    </row>
    <row r="193" spans="13:13" x14ac:dyDescent="0.25">
      <c r="M193" s="22"/>
    </row>
    <row r="194" spans="13:13" x14ac:dyDescent="0.25">
      <c r="M194" s="22"/>
    </row>
    <row r="195" spans="13:13" x14ac:dyDescent="0.25">
      <c r="M195" s="22"/>
    </row>
    <row r="196" spans="13:13" x14ac:dyDescent="0.25">
      <c r="M196" s="22"/>
    </row>
    <row r="197" spans="13:13" x14ac:dyDescent="0.25">
      <c r="M197" s="22"/>
    </row>
    <row r="198" spans="13:13" x14ac:dyDescent="0.25">
      <c r="M198" s="22"/>
    </row>
    <row r="199" spans="13:13" x14ac:dyDescent="0.25">
      <c r="M199" s="22"/>
    </row>
    <row r="200" spans="13:13" x14ac:dyDescent="0.25">
      <c r="M200" s="22"/>
    </row>
    <row r="201" spans="13:13" x14ac:dyDescent="0.25">
      <c r="M201" s="22"/>
    </row>
    <row r="202" spans="13:13" x14ac:dyDescent="0.25">
      <c r="M202" s="22"/>
    </row>
    <row r="203" spans="13:13" x14ac:dyDescent="0.25">
      <c r="M203" s="22"/>
    </row>
    <row r="204" spans="13:13" x14ac:dyDescent="0.25">
      <c r="M204" s="22"/>
    </row>
    <row r="205" spans="13:13" x14ac:dyDescent="0.25">
      <c r="M205" s="22"/>
    </row>
    <row r="206" spans="13:13" x14ac:dyDescent="0.25">
      <c r="M206" s="22"/>
    </row>
    <row r="207" spans="13:13" x14ac:dyDescent="0.25">
      <c r="M207" s="22"/>
    </row>
    <row r="208" spans="13:13" x14ac:dyDescent="0.25">
      <c r="M208" s="22"/>
    </row>
    <row r="209" spans="13:13" x14ac:dyDescent="0.25">
      <c r="M209" s="22"/>
    </row>
    <row r="210" spans="13:13" x14ac:dyDescent="0.25">
      <c r="M210" s="22"/>
    </row>
    <row r="211" spans="13:13" x14ac:dyDescent="0.25">
      <c r="M211" s="22"/>
    </row>
    <row r="212" spans="13:13" x14ac:dyDescent="0.25">
      <c r="M212" s="22"/>
    </row>
    <row r="213" spans="13:13" x14ac:dyDescent="0.25">
      <c r="M213" s="22"/>
    </row>
    <row r="214" spans="13:13" x14ac:dyDescent="0.25">
      <c r="M214" s="22"/>
    </row>
    <row r="215" spans="13:13" x14ac:dyDescent="0.25">
      <c r="M215" s="22"/>
    </row>
    <row r="216" spans="13:13" x14ac:dyDescent="0.25">
      <c r="M216" s="22"/>
    </row>
    <row r="217" spans="13:13" x14ac:dyDescent="0.25">
      <c r="M217" s="22"/>
    </row>
    <row r="218" spans="13:13" x14ac:dyDescent="0.25">
      <c r="M218" s="22"/>
    </row>
    <row r="219" spans="13:13" x14ac:dyDescent="0.25">
      <c r="M219" s="22"/>
    </row>
    <row r="220" spans="13:13" x14ac:dyDescent="0.25">
      <c r="M220" s="22"/>
    </row>
    <row r="221" spans="13:13" x14ac:dyDescent="0.25">
      <c r="M221" s="22"/>
    </row>
    <row r="222" spans="13:13" x14ac:dyDescent="0.25">
      <c r="M222" s="22"/>
    </row>
    <row r="223" spans="13:13" x14ac:dyDescent="0.25">
      <c r="M223" s="22"/>
    </row>
    <row r="224" spans="13:13" x14ac:dyDescent="0.25">
      <c r="M224" s="22"/>
    </row>
    <row r="225" spans="13:13" x14ac:dyDescent="0.25">
      <c r="M225" s="22"/>
    </row>
    <row r="226" spans="13:13" x14ac:dyDescent="0.25">
      <c r="M226" s="22"/>
    </row>
    <row r="227" spans="13:13" x14ac:dyDescent="0.25">
      <c r="M227" s="22"/>
    </row>
    <row r="228" spans="13:13" x14ac:dyDescent="0.25">
      <c r="M228" s="22"/>
    </row>
    <row r="229" spans="13:13" x14ac:dyDescent="0.25">
      <c r="M229" s="22"/>
    </row>
    <row r="230" spans="13:13" x14ac:dyDescent="0.25">
      <c r="M230" s="22"/>
    </row>
    <row r="231" spans="13:13" x14ac:dyDescent="0.25">
      <c r="M231" s="22"/>
    </row>
    <row r="232" spans="13:13" x14ac:dyDescent="0.25">
      <c r="M232" s="22"/>
    </row>
    <row r="233" spans="13:13" x14ac:dyDescent="0.25">
      <c r="M233" s="22"/>
    </row>
    <row r="234" spans="13:13" x14ac:dyDescent="0.25">
      <c r="M234" s="22"/>
    </row>
    <row r="235" spans="13:13" x14ac:dyDescent="0.25">
      <c r="M235" s="22"/>
    </row>
    <row r="236" spans="13:13" x14ac:dyDescent="0.25">
      <c r="M236" s="22"/>
    </row>
    <row r="237" spans="13:13" x14ac:dyDescent="0.25">
      <c r="M237" s="22"/>
    </row>
    <row r="238" spans="13:13" x14ac:dyDescent="0.25">
      <c r="M238" s="22"/>
    </row>
    <row r="239" spans="13:13" x14ac:dyDescent="0.25">
      <c r="M239" s="22"/>
    </row>
    <row r="240" spans="13:13" x14ac:dyDescent="0.25">
      <c r="M240" s="22"/>
    </row>
    <row r="241" spans="13:13" x14ac:dyDescent="0.25">
      <c r="M241" s="22"/>
    </row>
    <row r="242" spans="13:13" x14ac:dyDescent="0.25">
      <c r="M242" s="22"/>
    </row>
    <row r="243" spans="13:13" x14ac:dyDescent="0.25">
      <c r="M243" s="22"/>
    </row>
    <row r="244" spans="13:13" x14ac:dyDescent="0.25">
      <c r="M244" s="22"/>
    </row>
    <row r="245" spans="13:13" x14ac:dyDescent="0.25">
      <c r="M245" s="22"/>
    </row>
    <row r="246" spans="13:13" x14ac:dyDescent="0.25">
      <c r="M246" s="22"/>
    </row>
    <row r="247" spans="13:13" x14ac:dyDescent="0.25">
      <c r="M247" s="22"/>
    </row>
    <row r="248" spans="13:13" x14ac:dyDescent="0.25">
      <c r="M248" s="22"/>
    </row>
    <row r="249" spans="13:13" x14ac:dyDescent="0.25">
      <c r="M249" s="22"/>
    </row>
    <row r="250" spans="13:13" x14ac:dyDescent="0.25">
      <c r="M250" s="22"/>
    </row>
    <row r="251" spans="13:13" x14ac:dyDescent="0.25">
      <c r="M251" s="22"/>
    </row>
    <row r="252" spans="13:13" x14ac:dyDescent="0.25">
      <c r="M252" s="22"/>
    </row>
    <row r="253" spans="13:13" x14ac:dyDescent="0.25">
      <c r="M253" s="22"/>
    </row>
    <row r="254" spans="13:13" x14ac:dyDescent="0.25">
      <c r="M254" s="22"/>
    </row>
    <row r="255" spans="13:13" x14ac:dyDescent="0.25">
      <c r="M255" s="22"/>
    </row>
    <row r="256" spans="13:13" x14ac:dyDescent="0.25">
      <c r="M256" s="22"/>
    </row>
    <row r="257" spans="13:13" x14ac:dyDescent="0.25">
      <c r="M257" s="22"/>
    </row>
    <row r="258" spans="13:13" x14ac:dyDescent="0.25">
      <c r="M258" s="22"/>
    </row>
    <row r="259" spans="13:13" x14ac:dyDescent="0.25">
      <c r="M259" s="22"/>
    </row>
    <row r="260" spans="13:13" x14ac:dyDescent="0.25">
      <c r="M260" s="22"/>
    </row>
    <row r="261" spans="13:13" x14ac:dyDescent="0.25">
      <c r="M261" s="22"/>
    </row>
    <row r="262" spans="13:13" x14ac:dyDescent="0.25">
      <c r="M262" s="22"/>
    </row>
    <row r="263" spans="13:13" x14ac:dyDescent="0.25">
      <c r="M263" s="22"/>
    </row>
    <row r="264" spans="13:13" x14ac:dyDescent="0.25">
      <c r="M264" s="22"/>
    </row>
    <row r="265" spans="13:13" x14ac:dyDescent="0.25">
      <c r="M265" s="22"/>
    </row>
    <row r="266" spans="13:13" x14ac:dyDescent="0.25">
      <c r="M266" s="22"/>
    </row>
    <row r="267" spans="13:13" x14ac:dyDescent="0.25">
      <c r="M267" s="22"/>
    </row>
    <row r="268" spans="13:13" x14ac:dyDescent="0.25">
      <c r="M268" s="22"/>
    </row>
    <row r="269" spans="13:13" x14ac:dyDescent="0.25">
      <c r="M269" s="22"/>
    </row>
    <row r="270" spans="13:13" x14ac:dyDescent="0.25">
      <c r="M270" s="22"/>
    </row>
    <row r="271" spans="13:13" x14ac:dyDescent="0.25">
      <c r="M271" s="22"/>
    </row>
    <row r="272" spans="13:13" x14ac:dyDescent="0.25">
      <c r="M272" s="22"/>
    </row>
    <row r="273" spans="13:13" x14ac:dyDescent="0.25">
      <c r="M273" s="22"/>
    </row>
    <row r="274" spans="13:13" x14ac:dyDescent="0.25">
      <c r="M274" s="22"/>
    </row>
    <row r="275" spans="13:13" x14ac:dyDescent="0.25">
      <c r="M275" s="22"/>
    </row>
    <row r="276" spans="13:13" x14ac:dyDescent="0.25">
      <c r="M276" s="22"/>
    </row>
    <row r="277" spans="13:13" x14ac:dyDescent="0.25">
      <c r="M277" s="22"/>
    </row>
    <row r="278" spans="13:13" x14ac:dyDescent="0.25">
      <c r="M278" s="22"/>
    </row>
    <row r="279" spans="13:13" x14ac:dyDescent="0.25">
      <c r="M279" s="22"/>
    </row>
    <row r="280" spans="13:13" x14ac:dyDescent="0.25">
      <c r="M280" s="22"/>
    </row>
    <row r="281" spans="13:13" x14ac:dyDescent="0.25">
      <c r="M281" s="22"/>
    </row>
    <row r="282" spans="13:13" x14ac:dyDescent="0.25">
      <c r="M282" s="22"/>
    </row>
    <row r="283" spans="13:13" x14ac:dyDescent="0.25">
      <c r="M283" s="22"/>
    </row>
    <row r="284" spans="13:13" x14ac:dyDescent="0.25">
      <c r="M284" s="22"/>
    </row>
    <row r="285" spans="13:13" x14ac:dyDescent="0.25">
      <c r="M285" s="22"/>
    </row>
    <row r="286" spans="13:13" x14ac:dyDescent="0.25">
      <c r="M286" s="22"/>
    </row>
    <row r="287" spans="13:13" x14ac:dyDescent="0.25">
      <c r="M287" s="22"/>
    </row>
    <row r="288" spans="13:13" x14ac:dyDescent="0.25">
      <c r="M288" s="22"/>
    </row>
  </sheetData>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7E21F-B456-47D3-B600-0068340ECD34}">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5" t="s">
        <v>12</v>
      </c>
      <c r="E6" s="35" t="s">
        <v>13</v>
      </c>
      <c r="F6" s="35" t="s">
        <v>14</v>
      </c>
    </row>
    <row r="7" spans="1:65" ht="20.100000000000001" customHeight="1" x14ac:dyDescent="0.25">
      <c r="A7"/>
      <c r="D7" s="35" t="str" cm="1">
        <f t="array" ref="D7">Common_InputFunctions.Utility_DisplayArrayInTable(Common_SourceData.Common_SourceData_AustralianStatesTerritories_Data(),Table_AustralianStates[[#Headers],[State/Territory]],0)</f>
        <v>New South Wales</v>
      </c>
      <c r="E7" s="35" t="str" cm="1">
        <f t="array" ref="E7">Common_InputFunctions.Utility_DisplayArrayInTable(Common_SourceData.Common_SourceData_AustralianStatesTerritories_Data(),Table_AustralianStates[[#Headers],[State/Territory]],0)</f>
        <v>New South Wales</v>
      </c>
      <c r="F7" s="35" t="str" cm="1">
        <f t="array" ref="F7">Common_InputFunctions.Utility_DisplayArrayInTable(Common_SourceData.Common_SourceData_AustralianStatesTerritories_Data(),Table_AustralianStates[[#Headers],[State/Territory]],0)</f>
        <v>NSW</v>
      </c>
    </row>
    <row r="8" spans="1:65" ht="20.100000000000001" customHeight="1" x14ac:dyDescent="0.25">
      <c r="A8"/>
      <c r="D8" s="35" t="str" cm="1">
        <f t="array" ref="D8">Common_InputFunctions.Utility_DisplayArrayInTable(Common_SourceData.Common_SourceData_AustralianStatesTerritories_Data(),Table_AustralianStates[[#Headers],[State/Territory]],0)</f>
        <v>Australian Capital Territory</v>
      </c>
      <c r="E8" s="35" t="str" cm="1">
        <f t="array" ref="E8">Common_InputFunctions.Utility_DisplayArrayInTable(Common_SourceData.Common_SourceData_AustralianStatesTerritories_Data(),Table_AustralianStates[[#Headers],[State/Territory]],0)</f>
        <v>ACT</v>
      </c>
      <c r="F8" s="35" t="str" cm="1">
        <f t="array" ref="F8">Common_InputFunctions.Utility_DisplayArrayInTable(Common_SourceData.Common_SourceData_AustralianStatesTerritories_Data(),Table_AustralianStates[[#Headers],[State/Territory]],0)</f>
        <v>ACT</v>
      </c>
    </row>
    <row r="9" spans="1:65" ht="20.100000000000001" customHeight="1" x14ac:dyDescent="0.25">
      <c r="A9"/>
      <c r="D9" s="35" t="str" cm="1">
        <f t="array" ref="D9">Common_InputFunctions.Utility_DisplayArrayInTable(Common_SourceData.Common_SourceData_AustralianStatesTerritories_Data(),Table_AustralianStates[[#Headers],[State/Territory]],0)</f>
        <v>Victoria</v>
      </c>
      <c r="E9" s="35" t="str" cm="1">
        <f t="array" ref="E9">Common_InputFunctions.Utility_DisplayArrayInTable(Common_SourceData.Common_SourceData_AustralianStatesTerritories_Data(),Table_AustralianStates[[#Headers],[State/Territory]],0)</f>
        <v>Victoria</v>
      </c>
      <c r="F9" s="35"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5" t="str" cm="1">
        <f t="array" ref="D10">Common_InputFunctions.Utility_DisplayArrayInTable(Common_SourceData.Common_SourceData_AustralianStatesTerritories_Data(),Table_AustralianStates[[#Headers],[State/Territory]],0)</f>
        <v>Queensland</v>
      </c>
      <c r="E10" s="35" t="str" cm="1">
        <f t="array" ref="E10">Common_InputFunctions.Utility_DisplayArrayInTable(Common_SourceData.Common_SourceData_AustralianStatesTerritories_Data(),Table_AustralianStates[[#Headers],[State/Territory]],0)</f>
        <v>Queensland</v>
      </c>
      <c r="F10" s="35"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5" t="str" cm="1">
        <f t="array" ref="D11">Common_InputFunctions.Utility_DisplayArrayInTable(Common_SourceData.Common_SourceData_AustralianStatesTerritories_Data(),Table_AustralianStates[[#Headers],[State/Territory]],0)</f>
        <v>South Australia</v>
      </c>
      <c r="E11" s="35" t="str" cm="1">
        <f t="array" ref="E11">Common_InputFunctions.Utility_DisplayArrayInTable(Common_SourceData.Common_SourceData_AustralianStatesTerritories_Data(),Table_AustralianStates[[#Headers],[State/Territory]],0)</f>
        <v>South Australia</v>
      </c>
      <c r="F11" s="35"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5" t="str" cm="1">
        <f t="array" ref="D12">Common_InputFunctions.Utility_DisplayArrayInTable(Common_SourceData.Common_SourceData_AustralianStatesTerritories_Data(),Table_AustralianStates[[#Headers],[State/Territory]],0)</f>
        <v>Western Australia</v>
      </c>
      <c r="E12" s="35" t="str" cm="1">
        <f t="array" ref="E12">Common_InputFunctions.Utility_DisplayArrayInTable(Common_SourceData.Common_SourceData_AustralianStatesTerritories_Data(),Table_AustralianStates[[#Headers],[State/Territory]],0)</f>
        <v>Western Australia</v>
      </c>
      <c r="F12" s="35"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5" t="str" cm="1">
        <f t="array" ref="D13">Common_InputFunctions.Utility_DisplayArrayInTable(Common_SourceData.Common_SourceData_AustralianStatesTerritories_Data(),Table_AustralianStates[[#Headers],[State/Territory]],0)</f>
        <v>Tasmania</v>
      </c>
      <c r="E13" s="35" t="str" cm="1">
        <f t="array" ref="E13">Common_InputFunctions.Utility_DisplayArrayInTable(Common_SourceData.Common_SourceData_AustralianStatesTerritories_Data(),Table_AustralianStates[[#Headers],[State/Territory]],0)</f>
        <v>Tasmania</v>
      </c>
      <c r="F13" s="35"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5" t="str" cm="1">
        <f t="array" ref="D14">Common_InputFunctions.Utility_DisplayArrayInTable(Common_SourceData.Common_SourceData_AustralianStatesTerritories_Data(),Table_AustralianStates[[#Headers],[State/Territory]],0)</f>
        <v>Northern Territory</v>
      </c>
      <c r="E14" s="35" t="str" cm="1">
        <f t="array" ref="E14">Common_InputFunctions.Utility_DisplayArrayInTable(Common_SourceData.Common_SourceData_AustralianStatesTerritories_Data(),Table_AustralianStates[[#Headers],[State/Territory]],0)</f>
        <v>Northern Territory</v>
      </c>
      <c r="F14" s="35"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5" t="s">
        <v>15</v>
      </c>
    </row>
    <row r="21" spans="1:4" ht="20.100000000000001" customHeight="1" x14ac:dyDescent="0.25">
      <c r="A21"/>
      <c r="D21" s="35" t="str" cm="1">
        <f t="array" ref="D21">Common_InputFunctions.Utility_DisplayArrayInTable(Common_SourceData.Common_SourceData_WASA4Areas_Data(), Table_WASA4Areas[[#Headers],[SA 4 Name]], 0)</f>
        <v>Bunbury</v>
      </c>
    </row>
    <row r="22" spans="1:4" ht="20.100000000000001" customHeight="1" x14ac:dyDescent="0.25">
      <c r="A22"/>
      <c r="D22" s="35" t="str" cm="1">
        <f t="array" ref="D22">Common_InputFunctions.Utility_DisplayArrayInTable(Common_SourceData.Common_SourceData_WASA4Areas_Data(), Table_WASA4Areas[[#Headers],[SA 4 Name]], 0)</f>
        <v>Mandurah</v>
      </c>
    </row>
    <row r="23" spans="1:4" ht="20.100000000000001" customHeight="1" x14ac:dyDescent="0.25">
      <c r="A23"/>
      <c r="D23" s="35" t="str" cm="1">
        <f t="array" ref="D23">Common_InputFunctions.Utility_DisplayArrayInTable(Common_SourceData.Common_SourceData_WASA4Areas_Data(), Table_WASA4Areas[[#Headers],[SA 4 Name]], 0)</f>
        <v>Perth - Inner</v>
      </c>
    </row>
    <row r="24" spans="1:4" ht="20.100000000000001" customHeight="1" x14ac:dyDescent="0.25">
      <c r="A24"/>
      <c r="D24" s="35" t="str" cm="1">
        <f t="array" ref="D24">Common_InputFunctions.Utility_DisplayArrayInTable(Common_SourceData.Common_SourceData_WASA4Areas_Data(), Table_WASA4Areas[[#Headers],[SA 4 Name]], 0)</f>
        <v>Perth - North East</v>
      </c>
    </row>
    <row r="25" spans="1:4" ht="20.100000000000001" customHeight="1" x14ac:dyDescent="0.25">
      <c r="A25"/>
      <c r="D25" s="35" t="str" cm="1">
        <f t="array" ref="D25">Common_InputFunctions.Utility_DisplayArrayInTable(Common_SourceData.Common_SourceData_WASA4Areas_Data(), Table_WASA4Areas[[#Headers],[SA 4 Name]], 0)</f>
        <v>Perth - North West</v>
      </c>
    </row>
    <row r="26" spans="1:4" ht="20.100000000000001" customHeight="1" x14ac:dyDescent="0.25">
      <c r="A26"/>
      <c r="D26" s="35" t="str" cm="1">
        <f t="array" ref="D26">Common_InputFunctions.Utility_DisplayArrayInTable(Common_SourceData.Common_SourceData_WASA4Areas_Data(), Table_WASA4Areas[[#Headers],[SA 4 Name]], 0)</f>
        <v>Perth - South East</v>
      </c>
    </row>
    <row r="27" spans="1:4" ht="20.100000000000001" customHeight="1" x14ac:dyDescent="0.25">
      <c r="A27"/>
      <c r="D27" s="35" t="str" cm="1">
        <f t="array" ref="D27">Common_InputFunctions.Utility_DisplayArrayInTable(Common_SourceData.Common_SourceData_WASA4Areas_Data(), Table_WASA4Areas[[#Headers],[SA 4 Name]], 0)</f>
        <v>Perth - South West</v>
      </c>
    </row>
    <row r="28" spans="1:4" ht="20.100000000000001" customHeight="1" x14ac:dyDescent="0.25">
      <c r="A28"/>
      <c r="D28" s="35"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5"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5"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5" t="s">
        <v>17</v>
      </c>
      <c r="E36" s="35" t="s">
        <v>18</v>
      </c>
    </row>
    <row r="37" spans="1:8" ht="20.100000000000001" customHeight="1" x14ac:dyDescent="0.25">
      <c r="A37"/>
      <c r="D37" s="35" t="str" cm="1">
        <f t="array" ref="D37">Common_InputFunctions.Utility_DisplayArrayInTable(Common_SourceData.Common_SourceData_GWP_Data(), Table_GWPData[[#Headers],[Gas]], 0)</f>
        <v>CO2</v>
      </c>
      <c r="E37" s="35" cm="1">
        <f t="array" ref="E37">Common_InputFunctions.Utility_DisplayArrayInTable(Common_SourceData.Common_SourceData_GWP_Data(), Table_GWPData[[#Headers],[Gas]], 0)</f>
        <v>1</v>
      </c>
    </row>
    <row r="38" spans="1:8" ht="20.100000000000001" customHeight="1" x14ac:dyDescent="0.25">
      <c r="A38"/>
      <c r="D38" s="35" t="str" cm="1">
        <f t="array" ref="D38">Common_InputFunctions.Utility_DisplayArrayInTable(Common_SourceData.Common_SourceData_GWP_Data(), Table_GWPData[[#Headers],[Gas]], 0)</f>
        <v>CH4</v>
      </c>
      <c r="E38" s="35" cm="1">
        <f t="array" ref="E38">Common_InputFunctions.Utility_DisplayArrayInTable(Common_SourceData.Common_SourceData_GWP_Data(), Table_GWPData[[#Headers],[Gas]], 0)</f>
        <v>28</v>
      </c>
    </row>
    <row r="39" spans="1:8" ht="20.100000000000001" customHeight="1" x14ac:dyDescent="0.25">
      <c r="A39"/>
      <c r="D39" s="35" t="str" cm="1">
        <f t="array" ref="D39">Common_InputFunctions.Utility_DisplayArrayInTable(Common_SourceData.Common_SourceData_GWP_Data(), Table_GWPData[[#Headers],[Gas]], 0)</f>
        <v>N2O</v>
      </c>
      <c r="E39" s="35" cm="1">
        <f t="array" ref="E39">Common_InputFunctions.Utility_DisplayArrayInTable(Common_SourceData.Common_SourceData_GWP_Data(), Table_GWPData[[#Headers],[Gas]], 0)</f>
        <v>265</v>
      </c>
    </row>
    <row r="40" spans="1:8" ht="20.100000000000001" customHeight="1" x14ac:dyDescent="0.25">
      <c r="A40"/>
      <c r="D40" s="35" t="str" cm="1">
        <f t="array" ref="D40">Common_InputFunctions.Utility_DisplayArrayInTable(Common_SourceData.Common_SourceData_GWP_Data(), Table_GWPData[[#Headers],[Gas]], 0)</f>
        <v>CF4</v>
      </c>
      <c r="E40" s="35" cm="1">
        <f t="array" ref="E40">Common_InputFunctions.Utility_DisplayArrayInTable(Common_SourceData.Common_SourceData_GWP_Data(), Table_GWPData[[#Headers],[Gas]], 0)</f>
        <v>6630</v>
      </c>
    </row>
    <row r="41" spans="1:8" ht="20.100000000000001" customHeight="1" x14ac:dyDescent="0.25">
      <c r="A41"/>
      <c r="D41" s="35" t="str" cm="1">
        <f t="array" ref="D41">Common_InputFunctions.Utility_DisplayArrayInTable(Common_SourceData.Common_SourceData_GWP_Data(), Table_GWPData[[#Headers],[Gas]], 0)</f>
        <v>C2F6</v>
      </c>
      <c r="E41" s="35" cm="1">
        <f t="array" ref="E41">Common_InputFunctions.Utility_DisplayArrayInTable(Common_SourceData.Common_SourceData_GWP_Data(), Table_GWPData[[#Headers],[Gas]], 0)</f>
        <v>12200</v>
      </c>
    </row>
    <row r="42" spans="1:8" ht="20.100000000000001" customHeight="1" x14ac:dyDescent="0.25">
      <c r="D42" s="35" t="str" cm="1">
        <f t="array" ref="D42">Common_InputFunctions.Utility_DisplayArrayInTable(Common_SourceData.Common_SourceData_GWP_Data(), Table_GWPData[[#Headers],[Gas]], 0)</f>
        <v>SF6</v>
      </c>
      <c r="E42" s="35" cm="1">
        <f t="array" ref="E42">Common_InputFunctions.Utility_DisplayArrayInTable(Common_SourceData.Common_SourceData_GWP_Data(), Table_GWPData[[#Headers],[Gas]], 0)</f>
        <v>22800</v>
      </c>
    </row>
    <row r="43" spans="1:8" ht="20.100000000000001" customHeight="1" x14ac:dyDescent="0.25">
      <c r="D43" s="35" t="str" cm="1">
        <f t="array" ref="D43">Common_InputFunctions.Utility_DisplayArrayInTable(Common_SourceData.Common_SourceData_GWP_Data(), Table_GWPData[[#Headers],[Gas]], 0)</f>
        <v>NF3</v>
      </c>
      <c r="E43" s="35"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5" t="s">
        <v>17</v>
      </c>
      <c r="E47" s="35" t="s">
        <v>20</v>
      </c>
      <c r="F47" s="35" t="s">
        <v>21</v>
      </c>
      <c r="G47" s="35" t="s">
        <v>22</v>
      </c>
      <c r="H47" s="35" t="s">
        <v>23</v>
      </c>
    </row>
    <row r="48" spans="1:8" ht="20.100000000000001" customHeight="1" x14ac:dyDescent="0.25">
      <c r="D48" s="35" t="str" cm="1">
        <f t="array" ref="D48">Common_InputFunctions.Utility_DisplayArrayInTable(Common_SourceData.Common_SourceData_ConvertGasElementalToMolecular_Data(),Table_GasToMolecularConversionFactor[[#Headers],[Gas]], 0)</f>
        <v>CO2</v>
      </c>
      <c r="E48" s="35" t="str" cm="1">
        <f t="array" ref="E48">Common_InputFunctions.Utility_DisplayArrayInTable(Common_SourceData.Common_SourceData_ConvertGasElementalToMolecular_Data(),Table_GasToMolecularConversionFactor[[#Headers],[Gas]], 0)</f>
        <v>44/12</v>
      </c>
      <c r="F48" s="35" cm="1">
        <f t="array" ref="F48">Common_InputFunctions.Utility_DisplayArrayInTable(Common_SourceData.Common_SourceData_ConvertGasElementalToMolecular_Data(),Table_GasToMolecularConversionFactor[[#Headers],[Gas]], 0)</f>
        <v>44</v>
      </c>
      <c r="G48" s="35" cm="1">
        <f t="array" ref="G48">Common_InputFunctions.Utility_DisplayArrayInTable(Common_SourceData.Common_SourceData_ConvertGasElementalToMolecular_Data(),Table_GasToMolecularConversionFactor[[#Headers],[Gas]], 0)</f>
        <v>12</v>
      </c>
      <c r="H48" s="35">
        <f>Table_GasToMolecularConversionFactor[[#This Row],[Conversion factor 1]]/Table_GasToMolecularConversionFactor[[#This Row],[Conversion factor 2]]</f>
        <v>3.6666666666666665</v>
      </c>
    </row>
    <row r="49" spans="4:8" ht="20.100000000000001" customHeight="1" x14ac:dyDescent="0.25">
      <c r="D49" s="35" t="str" cm="1">
        <f t="array" ref="D49">Common_InputFunctions.Utility_DisplayArrayInTable(Common_SourceData.Common_SourceData_ConvertGasElementalToMolecular_Data(),Table_GasToMolecularConversionFactor[[#Headers],[Gas]], 0)</f>
        <v>CH4</v>
      </c>
      <c r="E49" s="35" t="str" cm="1">
        <f t="array" ref="E49">Common_InputFunctions.Utility_DisplayArrayInTable(Common_SourceData.Common_SourceData_ConvertGasElementalToMolecular_Data(),Table_GasToMolecularConversionFactor[[#Headers],[Gas]], 0)</f>
        <v>16/12</v>
      </c>
      <c r="F49" s="35" cm="1">
        <f t="array" ref="F49">Common_InputFunctions.Utility_DisplayArrayInTable(Common_SourceData.Common_SourceData_ConvertGasElementalToMolecular_Data(),Table_GasToMolecularConversionFactor[[#Headers],[Gas]], 0)</f>
        <v>16</v>
      </c>
      <c r="G49" s="35" cm="1">
        <f t="array" ref="G49">Common_InputFunctions.Utility_DisplayArrayInTable(Common_SourceData.Common_SourceData_ConvertGasElementalToMolecular_Data(),Table_GasToMolecularConversionFactor[[#Headers],[Gas]], 0)</f>
        <v>12</v>
      </c>
      <c r="H49" s="35">
        <f>Table_GasToMolecularConversionFactor[[#This Row],[Conversion factor 1]]/Table_GasToMolecularConversionFactor[[#This Row],[Conversion factor 2]]</f>
        <v>1.3333333333333333</v>
      </c>
    </row>
    <row r="50" spans="4:8" ht="20.100000000000001" customHeight="1" x14ac:dyDescent="0.25">
      <c r="D50" s="35" t="str" cm="1">
        <f t="array" ref="D50">Common_InputFunctions.Utility_DisplayArrayInTable(Common_SourceData.Common_SourceData_ConvertGasElementalToMolecular_Data(),Table_GasToMolecularConversionFactor[[#Headers],[Gas]], 0)</f>
        <v>N2O</v>
      </c>
      <c r="E50" s="35" t="str" cm="1">
        <f t="array" ref="E50">Common_InputFunctions.Utility_DisplayArrayInTable(Common_SourceData.Common_SourceData_ConvertGasElementalToMolecular_Data(),Table_GasToMolecularConversionFactor[[#Headers],[Gas]], 0)</f>
        <v>44/28</v>
      </c>
      <c r="F50" s="35" cm="1">
        <f t="array" ref="F50">Common_InputFunctions.Utility_DisplayArrayInTable(Common_SourceData.Common_SourceData_ConvertGasElementalToMolecular_Data(),Table_GasToMolecularConversionFactor[[#Headers],[Gas]], 0)</f>
        <v>44</v>
      </c>
      <c r="G50" s="35" cm="1">
        <f t="array" ref="G50">Common_InputFunctions.Utility_DisplayArrayInTable(Common_SourceData.Common_SourceData_ConvertGasElementalToMolecular_Data(),Table_GasToMolecularConversionFactor[[#Headers],[Gas]], 0)</f>
        <v>28</v>
      </c>
      <c r="H50" s="35">
        <f>Table_GasToMolecularConversionFactor[[#This Row],[Conversion factor 1]]/Table_GasToMolecularConversionFactor[[#This Row],[Conversion factor 2]]</f>
        <v>1.5714285714285714</v>
      </c>
    </row>
    <row r="51" spans="4:8" ht="20.100000000000001" customHeight="1" x14ac:dyDescent="0.25">
      <c r="D51" s="35" t="str" cm="1">
        <f t="array" ref="D51">Common_InputFunctions.Utility_DisplayArrayInTable(Common_SourceData.Common_SourceData_ConvertGasElementalToMolecular_Data(),Table_GasToMolecularConversionFactor[[#Headers],[Gas]], 0)</f>
        <v>Nox</v>
      </c>
      <c r="E51" s="35" t="str" cm="1">
        <f t="array" ref="E51">Common_InputFunctions.Utility_DisplayArrayInTable(Common_SourceData.Common_SourceData_ConvertGasElementalToMolecular_Data(),Table_GasToMolecularConversionFactor[[#Headers],[Gas]], 0)</f>
        <v>46/14</v>
      </c>
      <c r="F51" s="35" cm="1">
        <f t="array" ref="F51">Common_InputFunctions.Utility_DisplayArrayInTable(Common_SourceData.Common_SourceData_ConvertGasElementalToMolecular_Data(),Table_GasToMolecularConversionFactor[[#Headers],[Gas]], 0)</f>
        <v>46</v>
      </c>
      <c r="G51" s="35" cm="1">
        <f t="array" ref="G51">Common_InputFunctions.Utility_DisplayArrayInTable(Common_SourceData.Common_SourceData_ConvertGasElementalToMolecular_Data(),Table_GasToMolecularConversionFactor[[#Headers],[Gas]], 0)</f>
        <v>14</v>
      </c>
      <c r="H51" s="35">
        <f>Table_GasToMolecularConversionFactor[[#This Row],[Conversion factor 1]]/Table_GasToMolecularConversionFactor[[#This Row],[Conversion factor 2]]</f>
        <v>3.2857142857142856</v>
      </c>
    </row>
    <row r="52" spans="4:8" ht="20.100000000000001" customHeight="1" x14ac:dyDescent="0.25">
      <c r="D52" s="35" t="str" cm="1">
        <f t="array" ref="D52">Common_InputFunctions.Utility_DisplayArrayInTable(Common_SourceData.Common_SourceData_ConvertGasElementalToMolecular_Data(),Table_GasToMolecularConversionFactor[[#Headers],[Gas]], 0)</f>
        <v>CO</v>
      </c>
      <c r="E52" s="35" t="str" cm="1">
        <f t="array" ref="E52">Common_InputFunctions.Utility_DisplayArrayInTable(Common_SourceData.Common_SourceData_ConvertGasElementalToMolecular_Data(),Table_GasToMolecularConversionFactor[[#Headers],[Gas]], 0)</f>
        <v>28/12</v>
      </c>
      <c r="F52" s="35" cm="1">
        <f t="array" ref="F52">Common_InputFunctions.Utility_DisplayArrayInTable(Common_SourceData.Common_SourceData_ConvertGasElementalToMolecular_Data(),Table_GasToMolecularConversionFactor[[#Headers],[Gas]], 0)</f>
        <v>28</v>
      </c>
      <c r="G52" s="35" cm="1">
        <f t="array" ref="G52">Common_InputFunctions.Utility_DisplayArrayInTable(Common_SourceData.Common_SourceData_ConvertGasElementalToMolecular_Data(),Table_GasToMolecularConversionFactor[[#Headers],[Gas]], 0)</f>
        <v>12</v>
      </c>
      <c r="H52" s="35">
        <f>Table_GasToMolecularConversionFactor[[#This Row],[Conversion factor 1]]/Table_GasToMolecularConversionFactor[[#This Row],[Conversion factor 2]]</f>
        <v>2.3333333333333335</v>
      </c>
    </row>
    <row r="53" spans="4:8" ht="20.100000000000001" customHeight="1" x14ac:dyDescent="0.25">
      <c r="D53" s="35" t="str" cm="1">
        <f t="array" ref="D53">Common_InputFunctions.Utility_DisplayArrayInTable(Common_SourceData.Common_SourceData_ConvertGasElementalToMolecular_Data(),Table_GasToMolecularConversionFactor[[#Headers],[Gas]], 0)</f>
        <v>CO2 Lime</v>
      </c>
      <c r="E53" s="35" t="str" cm="1">
        <f t="array" ref="E53">Common_InputFunctions.Utility_DisplayArrayInTable(Common_SourceData.Common_SourceData_ConvertGasElementalToMolecular_Data(),Table_GasToMolecularConversionFactor[[#Headers],[Gas]], 0)</f>
        <v>44/12</v>
      </c>
      <c r="F53" s="35" cm="1">
        <f t="array" ref="F53">Common_InputFunctions.Utility_DisplayArrayInTable(Common_SourceData.Common_SourceData_ConvertGasElementalToMolecular_Data(),Table_GasToMolecularConversionFactor[[#Headers],[Gas]], 0)</f>
        <v>44</v>
      </c>
      <c r="G53" s="35" cm="1">
        <f t="array" ref="G53">Common_InputFunctions.Utility_DisplayArrayInTable(Common_SourceData.Common_SourceData_ConvertGasElementalToMolecular_Data(),Table_GasToMolecularConversionFactor[[#Headers],[Gas]], 0)</f>
        <v>12</v>
      </c>
      <c r="H53" s="35">
        <f>Table_GasToMolecularConversionFactor[[#This Row],[Conversion factor 1]]/Table_GasToMolecularConversionFactor[[#This Row],[Conversion factor 2]]</f>
        <v>3.6666666666666665</v>
      </c>
    </row>
    <row r="54" spans="4:8" ht="20.100000000000001" customHeight="1" x14ac:dyDescent="0.25">
      <c r="D54" s="35" t="str" cm="1">
        <f t="array" ref="D54">Common_InputFunctions.Utility_DisplayArrayInTable(Common_SourceData.Common_SourceData_ConvertGasElementalToMolecular_Data(),Table_GasToMolecularConversionFactor[[#Headers],[Gas]], 0)</f>
        <v>NMVOC</v>
      </c>
      <c r="E54" s="35" t="str" cm="1">
        <f t="array" ref="E54">Common_InputFunctions.Utility_DisplayArrayInTable(Common_SourceData.Common_SourceData_ConvertGasElementalToMolecular_Data(),Table_GasToMolecularConversionFactor[[#Headers],[Gas]], 0)</f>
        <v>14/12</v>
      </c>
      <c r="F54" s="35" cm="1">
        <f t="array" ref="F54">Common_InputFunctions.Utility_DisplayArrayInTable(Common_SourceData.Common_SourceData_ConvertGasElementalToMolecular_Data(),Table_GasToMolecularConversionFactor[[#Headers],[Gas]], 0)</f>
        <v>14</v>
      </c>
      <c r="G54" s="35" cm="1">
        <f t="array" ref="G54">Common_InputFunctions.Utility_DisplayArrayInTable(Common_SourceData.Common_SourceData_ConvertGasElementalToMolecular_Data(),Table_GasToMolecularConversionFactor[[#Headers],[Gas]], 0)</f>
        <v>12</v>
      </c>
      <c r="H54" s="35">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1" t="str" cm="1">
        <f t="array" ref="D59:D61">"⚠️" &amp; Common_SourceData.Common_SourceData_WetAndDryZones_Variation()</f>
        <v>⚠️VARIATION OF SOURCE DATA:</v>
      </c>
    </row>
    <row r="60" spans="4:8" ht="20.100000000000001" customHeight="1" x14ac:dyDescent="0.25">
      <c r="D60" s="51" t="str">
        <v>⚠️Added warm / cool temperate moist / dry - low frost and high temp classes to accommodate climate scenarios excluded by VEERG criteria.</v>
      </c>
    </row>
    <row r="61" spans="4:8" ht="20.100000000000001" customHeight="1" x14ac:dyDescent="0.25">
      <c r="D61" s="51" t="str">
        <v>⚠️Fixed typo - Changed 'Fry' to 'Dry'.</v>
      </c>
    </row>
    <row r="62" spans="4:8" ht="20.100000000000001" customHeight="1" x14ac:dyDescent="0.25"/>
    <row r="63" spans="4:8" ht="20.100000000000001" customHeight="1" x14ac:dyDescent="0.25">
      <c r="D63" s="35" t="s">
        <v>8</v>
      </c>
      <c r="E63" s="35" t="s">
        <v>37</v>
      </c>
    </row>
    <row r="64" spans="4:8" ht="20.100000000000001" customHeight="1" x14ac:dyDescent="0.25">
      <c r="D64" s="35" t="str" cm="1">
        <f t="array" ref="D64">Common_InputFunctions.Utility_DisplayArrayInTable(Common_SourceData.Common_SourceData_WetAndDryZones_Data(), Table_SourceData_WetDryZones[[#Headers],[Climate zone]], 0)</f>
        <v>Tropical montane</v>
      </c>
      <c r="E64" s="35"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5" t="str" cm="1">
        <f t="array" ref="D65">Common_InputFunctions.Utility_DisplayArrayInTable(Common_SourceData.Common_SourceData_WetAndDryZones_Data(), Table_SourceData_WetDryZones[[#Headers],[Climate zone]], 0)</f>
        <v>Tropical wet</v>
      </c>
      <c r="E65" s="35"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5" t="str" cm="1">
        <f t="array" ref="D66">Common_InputFunctions.Utility_DisplayArrayInTable(Common_SourceData.Common_SourceData_WetAndDryZones_Data(), Table_SourceData_WetDryZones[[#Headers],[Climate zone]], 0)</f>
        <v>Tropical moist</v>
      </c>
      <c r="E66" s="35"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5" t="str" cm="1">
        <f t="array" ref="D67">Common_InputFunctions.Utility_DisplayArrayInTable(Common_SourceData.Common_SourceData_WetAndDryZones_Data(), Table_SourceData_WetDryZones[[#Headers],[Climate zone]], 0)</f>
        <v>Tropical dry</v>
      </c>
      <c r="E67" s="35"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5" t="str" cm="1">
        <f t="array" ref="D68">Common_InputFunctions.Utility_DisplayArrayInTable(Common_SourceData.Common_SourceData_WetAndDryZones_Data(), Table_SourceData_WetDryZones[[#Headers],[Climate zone]], 0)</f>
        <v>Warm temperate moist</v>
      </c>
      <c r="E68" s="35"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5" t="str" cm="1">
        <f t="array" ref="D69">Common_InputFunctions.Utility_DisplayArrayInTable(Common_SourceData.Common_SourceData_WetAndDryZones_Data(), Table_SourceData_WetDryZones[[#Headers],[Climate zone]], 0)</f>
        <v>Warm temperate dry</v>
      </c>
      <c r="E69" s="35"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5" t="str" cm="1">
        <f t="array" ref="D70">Common_InputFunctions.Utility_DisplayArrayInTable(Common_SourceData.Common_SourceData_WetAndDryZones_Data(), Table_SourceData_WetDryZones[[#Headers],[Climate zone]], 0)</f>
        <v>Cool temperate moist</v>
      </c>
      <c r="E70" s="35"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5" t="str" cm="1">
        <f t="array" ref="D71">Common_InputFunctions.Utility_DisplayArrayInTable(Common_SourceData.Common_SourceData_WetAndDryZones_Data(), Table_SourceData_WetDryZones[[#Headers],[Climate zone]], 0)</f>
        <v>Cool temperate dry</v>
      </c>
      <c r="E71" s="35"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5" t="str" cm="1">
        <f t="array" ref="D72">Common_InputFunctions.Utility_DisplayArrayInTable(Common_SourceData.Common_SourceData_WetAndDryZones_Data(), Table_SourceData_WetDryZones[[#Headers],[Climate zone]], 0)</f>
        <v>Warm temperate moist - low frost</v>
      </c>
      <c r="E72" s="35"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5" t="str" cm="1">
        <f t="array" ref="D73">Common_InputFunctions.Utility_DisplayArrayInTable(Common_SourceData.Common_SourceData_WetAndDryZones_Data(), Table_SourceData_WetDryZones[[#Headers],[Climate zone]], 0)</f>
        <v>Warm temperate dry - low frost</v>
      </c>
      <c r="E73" s="35"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5" t="str" cm="1">
        <f t="array" ref="D74">Common_InputFunctions.Utility_DisplayArrayInTable(Common_SourceData.Common_SourceData_WetAndDryZones_Data(), Table_SourceData_WetDryZones[[#Headers],[Climate zone]], 0)</f>
        <v>Warm temperate moist - high temp</v>
      </c>
      <c r="E74" s="35"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5" t="str" cm="1">
        <f t="array" ref="D75">Common_InputFunctions.Utility_DisplayArrayInTable(Common_SourceData.Common_SourceData_WetAndDryZones_Data(), Table_SourceData_WetDryZones[[#Headers],[Climate zone]], 0)</f>
        <v>Warm temperate dry - high temp</v>
      </c>
      <c r="E75" s="35"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5" t="str" cm="1">
        <f t="array" ref="D76">Common_InputFunctions.Utility_DisplayArrayInTable(Common_SourceData.Common_SourceData_WetAndDryZones_Data(), Table_SourceData_WetDryZones[[#Headers],[Climate zone]], 0)</f>
        <v>Cool temperate moist - low frost</v>
      </c>
      <c r="E76" s="35"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5" t="str" cm="1">
        <f t="array" ref="D77">Common_InputFunctions.Utility_DisplayArrayInTable(Common_SourceData.Common_SourceData_WetAndDryZones_Data(), Table_SourceData_WetDryZones[[#Headers],[Climate zone]], 0)</f>
        <v>Cool temperate dry - low frost</v>
      </c>
      <c r="E77" s="35"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1" t="str" cm="1">
        <f t="array" ref="D83:D87">"⚠️" &amp; Common_SourceData.Common_SourceData_ClimateZones_Variation()</f>
        <v>⚠️VARIATION OF SOURCE DATA:</v>
      </c>
    </row>
    <row r="84" spans="4:20" ht="20.100000000000001" customHeight="1" x14ac:dyDescent="0.25">
      <c r="D84" s="51" t="str">
        <v>⚠️Added warm / cool temperate moist / dry - low frost and high temp classes to accommodate climate scenarios excluded by VEERG criteria.</v>
      </c>
    </row>
    <row r="85" spans="4:20" ht="20.100000000000001" customHeight="1" x14ac:dyDescent="0.25">
      <c r="D85" s="51" t="str">
        <v>⚠️Fixed typo in MAT value for warm temperate dry - changed 10 to 11.</v>
      </c>
    </row>
    <row r="86" spans="4:20" ht="20.100000000000001" customHeight="1" x14ac:dyDescent="0.25">
      <c r="D86" s="51" t="str">
        <v>⚠️Added min and max columns for MAT, MAP, frost days per year, elevation, MAP:PET to calculate zones from real climate data.</v>
      </c>
    </row>
    <row r="87" spans="4:20" ht="20.100000000000001" customHeight="1" x14ac:dyDescent="0.25">
      <c r="D87" s="51" t="str">
        <v>⚠️GAF accepts rainfall as a proxy for precipitation.</v>
      </c>
    </row>
    <row r="88" spans="4:20" ht="20.100000000000001" customHeight="1" x14ac:dyDescent="0.25"/>
    <row r="89" spans="4:20" ht="20.100000000000001" customHeight="1" x14ac:dyDescent="0.25">
      <c r="D89" s="35" t="s">
        <v>8</v>
      </c>
      <c r="E89" s="35" t="s">
        <v>25</v>
      </c>
      <c r="F89" s="35" t="s">
        <v>26</v>
      </c>
      <c r="G89" s="35" t="s">
        <v>27</v>
      </c>
      <c r="H89" s="35" t="s">
        <v>28</v>
      </c>
      <c r="I89" s="35" t="s">
        <v>29</v>
      </c>
      <c r="J89" s="35" t="s">
        <v>30</v>
      </c>
      <c r="K89" s="35" t="s">
        <v>31</v>
      </c>
      <c r="L89" s="35" t="s">
        <v>32</v>
      </c>
      <c r="M89" s="35" t="s">
        <v>33</v>
      </c>
      <c r="N89" s="35" t="s">
        <v>34</v>
      </c>
      <c r="O89" s="35" t="s">
        <v>38</v>
      </c>
      <c r="P89" s="35" t="s">
        <v>35</v>
      </c>
      <c r="Q89" s="35" t="s">
        <v>39</v>
      </c>
      <c r="R89" s="35" t="s">
        <v>36</v>
      </c>
      <c r="S89" s="35" t="s">
        <v>40</v>
      </c>
      <c r="T89" s="35"/>
    </row>
    <row r="90" spans="4:20" ht="20.100000000000001" customHeight="1" x14ac:dyDescent="0.25">
      <c r="D90" s="35" t="str" cm="1">
        <f t="array" ref="D90">Common_InputFunctions.Utility_DisplayArrayInTable(Common_SourceData.Common_SourceData_ClimateZones_Data(), Table_SourceData_ClimateZones[[#Headers],[Climate zone]], 0)</f>
        <v>Tropical montane</v>
      </c>
      <c r="E90" s="35" t="str" cm="1">
        <f t="array" ref="E90">Common_InputFunctions.Utility_DisplayArrayInTable(Common_SourceData.Common_SourceData_ClimateZones_Data(), Table_SourceData_ClimateZones[[#Headers],[Climate zone]], 0)</f>
        <v>&gt; 18 C</v>
      </c>
      <c r="F90" s="35" t="str" cm="1">
        <f t="array" ref="F90">Common_InputFunctions.Utility_DisplayArrayInTable(Common_SourceData.Common_SourceData_ClimateZones_Data(), Table_SourceData_ClimateZones[[#Headers],[Climate zone]], 0)</f>
        <v>Any</v>
      </c>
      <c r="G90" s="35" t="str" cm="1">
        <f t="array" ref="G90">Common_InputFunctions.Utility_DisplayArrayInTable(Common_SourceData.Common_SourceData_ClimateZones_Data(), Table_SourceData_ClimateZones[[#Headers],[Climate zone]], 0)</f>
        <v>≤ 7</v>
      </c>
      <c r="H90" s="35" t="str" cm="1">
        <f t="array" ref="H90">Common_InputFunctions.Utility_DisplayArrayInTable(Common_SourceData.Common_SourceData_ClimateZones_Data(), Table_SourceData_ClimateZones[[#Headers],[Climate zone]], 0)</f>
        <v>&gt; 1000 m</v>
      </c>
      <c r="I90" s="35" t="str" cm="1">
        <f t="array" ref="I90">Common_InputFunctions.Utility_DisplayArrayInTable(Common_SourceData.Common_SourceData_ClimateZones_Data(), Table_SourceData_ClimateZones[[#Headers],[Climate zone]], 0)</f>
        <v>Any</v>
      </c>
      <c r="J90" s="35" cm="1">
        <f t="array" ref="J90">Common_InputFunctions.Utility_DisplayArrayInTable(Common_SourceData.Common_SourceData_ClimateZones_Data(), Table_SourceData_ClimateZones[[#Headers],[Climate zone]], 0)</f>
        <v>18.001000000000001</v>
      </c>
      <c r="K90" s="35" cm="1">
        <f t="array" ref="K90">Common_InputFunctions.Utility_DisplayArrayInTable(Common_SourceData.Common_SourceData_ClimateZones_Data(), Table_SourceData_ClimateZones[[#Headers],[Climate zone]], 0)</f>
        <v>999999</v>
      </c>
      <c r="L90" s="35" cm="1">
        <f t="array" ref="L90">Common_InputFunctions.Utility_DisplayArrayInTable(Common_SourceData.Common_SourceData_ClimateZones_Data(), Table_SourceData_ClimateZones[[#Headers],[Climate zone]], 0)</f>
        <v>-999999</v>
      </c>
      <c r="M90" s="35" cm="1">
        <f t="array" ref="M90">Common_InputFunctions.Utility_DisplayArrayInTable(Common_SourceData.Common_SourceData_ClimateZones_Data(), Table_SourceData_ClimateZones[[#Headers],[Climate zone]], 0)</f>
        <v>999999</v>
      </c>
      <c r="N90" s="35" cm="1">
        <f t="array" ref="N90">Common_InputFunctions.Utility_DisplayArrayInTable(Common_SourceData.Common_SourceData_ClimateZones_Data(), Table_SourceData_ClimateZones[[#Headers],[Climate zone]], 0)</f>
        <v>-999999</v>
      </c>
      <c r="O90" s="35" cm="1">
        <f t="array" ref="O90">Common_InputFunctions.Utility_DisplayArrayInTable(Common_SourceData.Common_SourceData_ClimateZones_Data(), Table_SourceData_ClimateZones[[#Headers],[Climate zone]], 0)</f>
        <v>7</v>
      </c>
      <c r="P90" s="35" cm="1">
        <f t="array" ref="P90">Common_InputFunctions.Utility_DisplayArrayInTable(Common_SourceData.Common_SourceData_ClimateZones_Data(), Table_SourceData_ClimateZones[[#Headers],[Climate zone]], 0)</f>
        <v>1000</v>
      </c>
      <c r="Q90" s="35" cm="1">
        <f t="array" ref="Q90">Common_InputFunctions.Utility_DisplayArrayInTable(Common_SourceData.Common_SourceData_ClimateZones_Data(), Table_SourceData_ClimateZones[[#Headers],[Climate zone]], 0)</f>
        <v>999999</v>
      </c>
      <c r="R90" s="35" cm="1">
        <f t="array" ref="R90">Common_InputFunctions.Utility_DisplayArrayInTable(Common_SourceData.Common_SourceData_ClimateZones_Data(), Table_SourceData_ClimateZones[[#Headers],[Climate zone]], 0)</f>
        <v>-999999</v>
      </c>
      <c r="S90" s="35" cm="1">
        <f t="array" ref="S90">Common_InputFunctions.Utility_DisplayArrayInTable(Common_SourceData.Common_SourceData_ClimateZones_Data(), Table_SourceData_ClimateZones[[#Headers],[Climate zone]], 0)</f>
        <v>999999</v>
      </c>
      <c r="T90" s="35"/>
    </row>
    <row r="91" spans="4:20" ht="20.100000000000001" customHeight="1" x14ac:dyDescent="0.25">
      <c r="D91" s="35" t="str" cm="1">
        <f t="array" ref="D91">Common_InputFunctions.Utility_DisplayArrayInTable(Common_SourceData.Common_SourceData_ClimateZones_Data(), Table_SourceData_ClimateZones[[#Headers],[Climate zone]], 0)</f>
        <v>Tropical wet</v>
      </c>
      <c r="E91" s="35" t="str" cm="1">
        <f t="array" ref="E91">Common_InputFunctions.Utility_DisplayArrayInTable(Common_SourceData.Common_SourceData_ClimateZones_Data(), Table_SourceData_ClimateZones[[#Headers],[Climate zone]], 0)</f>
        <v>&gt; 18 C</v>
      </c>
      <c r="F91" s="35" t="str" cm="1">
        <f t="array" ref="F91">Common_InputFunctions.Utility_DisplayArrayInTable(Common_SourceData.Common_SourceData_ClimateZones_Data(), Table_SourceData_ClimateZones[[#Headers],[Climate zone]], 0)</f>
        <v>&gt; 2000 mm</v>
      </c>
      <c r="G91" s="35" t="str" cm="1">
        <f t="array" ref="G91">Common_InputFunctions.Utility_DisplayArrayInTable(Common_SourceData.Common_SourceData_ClimateZones_Data(), Table_SourceData_ClimateZones[[#Headers],[Climate zone]], 0)</f>
        <v>≤ 7</v>
      </c>
      <c r="H91" s="35" t="str" cm="1">
        <f t="array" ref="H91">Common_InputFunctions.Utility_DisplayArrayInTable(Common_SourceData.Common_SourceData_ClimateZones_Data(), Table_SourceData_ClimateZones[[#Headers],[Climate zone]], 0)</f>
        <v>≤ 1000 m</v>
      </c>
      <c r="I91" s="35" t="str" cm="1">
        <f t="array" ref="I91">Common_InputFunctions.Utility_DisplayArrayInTable(Common_SourceData.Common_SourceData_ClimateZones_Data(), Table_SourceData_ClimateZones[[#Headers],[Climate zone]], 0)</f>
        <v>Any</v>
      </c>
      <c r="J91" s="35" cm="1">
        <f t="array" ref="J91">Common_InputFunctions.Utility_DisplayArrayInTable(Common_SourceData.Common_SourceData_ClimateZones_Data(), Table_SourceData_ClimateZones[[#Headers],[Climate zone]], 0)</f>
        <v>18.001000000000001</v>
      </c>
      <c r="K91" s="35" cm="1">
        <f t="array" ref="K91">Common_InputFunctions.Utility_DisplayArrayInTable(Common_SourceData.Common_SourceData_ClimateZones_Data(), Table_SourceData_ClimateZones[[#Headers],[Climate zone]], 0)</f>
        <v>999999</v>
      </c>
      <c r="L91" s="35" cm="1">
        <f t="array" ref="L91">Common_InputFunctions.Utility_DisplayArrayInTable(Common_SourceData.Common_SourceData_ClimateZones_Data(), Table_SourceData_ClimateZones[[#Headers],[Climate zone]], 0)</f>
        <v>2000.001</v>
      </c>
      <c r="M91" s="35" cm="1">
        <f t="array" ref="M91">Common_InputFunctions.Utility_DisplayArrayInTable(Common_SourceData.Common_SourceData_ClimateZones_Data(), Table_SourceData_ClimateZones[[#Headers],[Climate zone]], 0)</f>
        <v>999999</v>
      </c>
      <c r="N91" s="35" cm="1">
        <f t="array" ref="N91">Common_InputFunctions.Utility_DisplayArrayInTable(Common_SourceData.Common_SourceData_ClimateZones_Data(), Table_SourceData_ClimateZones[[#Headers],[Climate zone]], 0)</f>
        <v>-999999</v>
      </c>
      <c r="O91" s="35" cm="1">
        <f t="array" ref="O91">Common_InputFunctions.Utility_DisplayArrayInTable(Common_SourceData.Common_SourceData_ClimateZones_Data(), Table_SourceData_ClimateZones[[#Headers],[Climate zone]], 0)</f>
        <v>7</v>
      </c>
      <c r="P91" s="35" cm="1">
        <f t="array" ref="P91">Common_InputFunctions.Utility_DisplayArrayInTable(Common_SourceData.Common_SourceData_ClimateZones_Data(), Table_SourceData_ClimateZones[[#Headers],[Climate zone]], 0)</f>
        <v>-999999</v>
      </c>
      <c r="Q91" s="35" cm="1">
        <f t="array" ref="Q91">Common_InputFunctions.Utility_DisplayArrayInTable(Common_SourceData.Common_SourceData_ClimateZones_Data(), Table_SourceData_ClimateZones[[#Headers],[Climate zone]], 0)</f>
        <v>999.99900000000002</v>
      </c>
      <c r="R91" s="35" cm="1">
        <f t="array" ref="R91">Common_InputFunctions.Utility_DisplayArrayInTable(Common_SourceData.Common_SourceData_ClimateZones_Data(), Table_SourceData_ClimateZones[[#Headers],[Climate zone]], 0)</f>
        <v>-999999</v>
      </c>
      <c r="S91" s="35" cm="1">
        <f t="array" ref="S91">Common_InputFunctions.Utility_DisplayArrayInTable(Common_SourceData.Common_SourceData_ClimateZones_Data(), Table_SourceData_ClimateZones[[#Headers],[Climate zone]], 0)</f>
        <v>999999</v>
      </c>
      <c r="T91" s="35"/>
    </row>
    <row r="92" spans="4:20" ht="20.100000000000001" customHeight="1" x14ac:dyDescent="0.25">
      <c r="D92" s="35" t="str" cm="1">
        <f t="array" ref="D92">Common_InputFunctions.Utility_DisplayArrayInTable(Common_SourceData.Common_SourceData_ClimateZones_Data(), Table_SourceData_ClimateZones[[#Headers],[Climate zone]], 0)</f>
        <v>Tropical moist</v>
      </c>
      <c r="E92" s="35" t="str" cm="1">
        <f t="array" ref="E92">Common_InputFunctions.Utility_DisplayArrayInTable(Common_SourceData.Common_SourceData_ClimateZones_Data(), Table_SourceData_ClimateZones[[#Headers],[Climate zone]], 0)</f>
        <v>&gt; 18 C</v>
      </c>
      <c r="F92" s="35" t="str" cm="1">
        <f t="array" ref="F92">Common_InputFunctions.Utility_DisplayArrayInTable(Common_SourceData.Common_SourceData_ClimateZones_Data(), Table_SourceData_ClimateZones[[#Headers],[Climate zone]], 0)</f>
        <v>&gt; 1000 mm - ≤ 2000 mm</v>
      </c>
      <c r="G92" s="35" t="str" cm="1">
        <f t="array" ref="G92">Common_InputFunctions.Utility_DisplayArrayInTable(Common_SourceData.Common_SourceData_ClimateZones_Data(), Table_SourceData_ClimateZones[[#Headers],[Climate zone]], 0)</f>
        <v>≤ 7</v>
      </c>
      <c r="H92" s="35" t="str" cm="1">
        <f t="array" ref="H92">Common_InputFunctions.Utility_DisplayArrayInTable(Common_SourceData.Common_SourceData_ClimateZones_Data(), Table_SourceData_ClimateZones[[#Headers],[Climate zone]], 0)</f>
        <v>≤ 1000 m</v>
      </c>
      <c r="I92" s="35" t="str" cm="1">
        <f t="array" ref="I92">Common_InputFunctions.Utility_DisplayArrayInTable(Common_SourceData.Common_SourceData_ClimateZones_Data(), Table_SourceData_ClimateZones[[#Headers],[Climate zone]], 0)</f>
        <v>Any</v>
      </c>
      <c r="J92" s="35" cm="1">
        <f t="array" ref="J92">Common_InputFunctions.Utility_DisplayArrayInTable(Common_SourceData.Common_SourceData_ClimateZones_Data(), Table_SourceData_ClimateZones[[#Headers],[Climate zone]], 0)</f>
        <v>18.001000000000001</v>
      </c>
      <c r="K92" s="35" cm="1">
        <f t="array" ref="K92">Common_InputFunctions.Utility_DisplayArrayInTable(Common_SourceData.Common_SourceData_ClimateZones_Data(), Table_SourceData_ClimateZones[[#Headers],[Climate zone]], 0)</f>
        <v>999999</v>
      </c>
      <c r="L92" s="35" cm="1">
        <f t="array" ref="L92">Common_InputFunctions.Utility_DisplayArrayInTable(Common_SourceData.Common_SourceData_ClimateZones_Data(), Table_SourceData_ClimateZones[[#Headers],[Climate zone]], 0)</f>
        <v>1000.001</v>
      </c>
      <c r="M92" s="35" cm="1">
        <f t="array" ref="M92">Common_InputFunctions.Utility_DisplayArrayInTable(Common_SourceData.Common_SourceData_ClimateZones_Data(), Table_SourceData_ClimateZones[[#Headers],[Climate zone]], 0)</f>
        <v>2000</v>
      </c>
      <c r="N92" s="35" cm="1">
        <f t="array" ref="N92">Common_InputFunctions.Utility_DisplayArrayInTable(Common_SourceData.Common_SourceData_ClimateZones_Data(), Table_SourceData_ClimateZones[[#Headers],[Climate zone]], 0)</f>
        <v>-999999</v>
      </c>
      <c r="O92" s="35" cm="1">
        <f t="array" ref="O92">Common_InputFunctions.Utility_DisplayArrayInTable(Common_SourceData.Common_SourceData_ClimateZones_Data(), Table_SourceData_ClimateZones[[#Headers],[Climate zone]], 0)</f>
        <v>7</v>
      </c>
      <c r="P92" s="35" cm="1">
        <f t="array" ref="P92">Common_InputFunctions.Utility_DisplayArrayInTable(Common_SourceData.Common_SourceData_ClimateZones_Data(), Table_SourceData_ClimateZones[[#Headers],[Climate zone]], 0)</f>
        <v>-999999</v>
      </c>
      <c r="Q92" s="35" cm="1">
        <f t="array" ref="Q92">Common_InputFunctions.Utility_DisplayArrayInTable(Common_SourceData.Common_SourceData_ClimateZones_Data(), Table_SourceData_ClimateZones[[#Headers],[Climate zone]], 0)</f>
        <v>999.99900000000002</v>
      </c>
      <c r="R92" s="35" cm="1">
        <f t="array" ref="R92">Common_InputFunctions.Utility_DisplayArrayInTable(Common_SourceData.Common_SourceData_ClimateZones_Data(), Table_SourceData_ClimateZones[[#Headers],[Climate zone]], 0)</f>
        <v>-999999</v>
      </c>
      <c r="S92" s="35" cm="1">
        <f t="array" ref="S92">Common_InputFunctions.Utility_DisplayArrayInTable(Common_SourceData.Common_SourceData_ClimateZones_Data(), Table_SourceData_ClimateZones[[#Headers],[Climate zone]], 0)</f>
        <v>999999</v>
      </c>
      <c r="T92" s="35"/>
    </row>
    <row r="93" spans="4:20" ht="20.100000000000001" customHeight="1" x14ac:dyDescent="0.25">
      <c r="D93" s="35" t="str" cm="1">
        <f t="array" ref="D93">Common_InputFunctions.Utility_DisplayArrayInTable(Common_SourceData.Common_SourceData_ClimateZones_Data(), Table_SourceData_ClimateZones[[#Headers],[Climate zone]], 0)</f>
        <v>Tropical dry</v>
      </c>
      <c r="E93" s="35" t="str" cm="1">
        <f t="array" ref="E93">Common_InputFunctions.Utility_DisplayArrayInTable(Common_SourceData.Common_SourceData_ClimateZones_Data(), Table_SourceData_ClimateZones[[#Headers],[Climate zone]], 0)</f>
        <v>&gt; 18 C</v>
      </c>
      <c r="F93" s="35" t="str" cm="1">
        <f t="array" ref="F93">Common_InputFunctions.Utility_DisplayArrayInTable(Common_SourceData.Common_SourceData_ClimateZones_Data(), Table_SourceData_ClimateZones[[#Headers],[Climate zone]], 0)</f>
        <v>≤ 1000 mm</v>
      </c>
      <c r="G93" s="35" t="str" cm="1">
        <f t="array" ref="G93">Common_InputFunctions.Utility_DisplayArrayInTable(Common_SourceData.Common_SourceData_ClimateZones_Data(), Table_SourceData_ClimateZones[[#Headers],[Climate zone]], 0)</f>
        <v>≤ 7</v>
      </c>
      <c r="H93" s="35" t="str" cm="1">
        <f t="array" ref="H93">Common_InputFunctions.Utility_DisplayArrayInTable(Common_SourceData.Common_SourceData_ClimateZones_Data(), Table_SourceData_ClimateZones[[#Headers],[Climate zone]], 0)</f>
        <v>≤ 1000 m</v>
      </c>
      <c r="I93" s="35" t="str" cm="1">
        <f t="array" ref="I93">Common_InputFunctions.Utility_DisplayArrayInTable(Common_SourceData.Common_SourceData_ClimateZones_Data(), Table_SourceData_ClimateZones[[#Headers],[Climate zone]], 0)</f>
        <v>Any</v>
      </c>
      <c r="J93" s="35" cm="1">
        <f t="array" ref="J93">Common_InputFunctions.Utility_DisplayArrayInTable(Common_SourceData.Common_SourceData_ClimateZones_Data(), Table_SourceData_ClimateZones[[#Headers],[Climate zone]], 0)</f>
        <v>18.001000000000001</v>
      </c>
      <c r="K93" s="35" cm="1">
        <f t="array" ref="K93">Common_InputFunctions.Utility_DisplayArrayInTable(Common_SourceData.Common_SourceData_ClimateZones_Data(), Table_SourceData_ClimateZones[[#Headers],[Climate zone]], 0)</f>
        <v>999999</v>
      </c>
      <c r="L93" s="35" cm="1">
        <f t="array" ref="L93">Common_InputFunctions.Utility_DisplayArrayInTable(Common_SourceData.Common_SourceData_ClimateZones_Data(), Table_SourceData_ClimateZones[[#Headers],[Climate zone]], 0)</f>
        <v>-999999</v>
      </c>
      <c r="M93" s="35" cm="1">
        <f t="array" ref="M93">Common_InputFunctions.Utility_DisplayArrayInTable(Common_SourceData.Common_SourceData_ClimateZones_Data(), Table_SourceData_ClimateZones[[#Headers],[Climate zone]], 0)</f>
        <v>1000</v>
      </c>
      <c r="N93" s="35" cm="1">
        <f t="array" ref="N93">Common_InputFunctions.Utility_DisplayArrayInTable(Common_SourceData.Common_SourceData_ClimateZones_Data(), Table_SourceData_ClimateZones[[#Headers],[Climate zone]], 0)</f>
        <v>-999999</v>
      </c>
      <c r="O93" s="35" cm="1">
        <f t="array" ref="O93">Common_InputFunctions.Utility_DisplayArrayInTable(Common_SourceData.Common_SourceData_ClimateZones_Data(), Table_SourceData_ClimateZones[[#Headers],[Climate zone]], 0)</f>
        <v>7</v>
      </c>
      <c r="P93" s="35" cm="1">
        <f t="array" ref="P93">Common_InputFunctions.Utility_DisplayArrayInTable(Common_SourceData.Common_SourceData_ClimateZones_Data(), Table_SourceData_ClimateZones[[#Headers],[Climate zone]], 0)</f>
        <v>-999999</v>
      </c>
      <c r="Q93" s="35" cm="1">
        <f t="array" ref="Q93">Common_InputFunctions.Utility_DisplayArrayInTable(Common_SourceData.Common_SourceData_ClimateZones_Data(), Table_SourceData_ClimateZones[[#Headers],[Climate zone]], 0)</f>
        <v>999.99900000000002</v>
      </c>
      <c r="R93" s="35" cm="1">
        <f t="array" ref="R93">Common_InputFunctions.Utility_DisplayArrayInTable(Common_SourceData.Common_SourceData_ClimateZones_Data(), Table_SourceData_ClimateZones[[#Headers],[Climate zone]], 0)</f>
        <v>-999999</v>
      </c>
      <c r="S93" s="35" cm="1">
        <f t="array" ref="S93">Common_InputFunctions.Utility_DisplayArrayInTable(Common_SourceData.Common_SourceData_ClimateZones_Data(), Table_SourceData_ClimateZones[[#Headers],[Climate zone]], 0)</f>
        <v>999999</v>
      </c>
      <c r="T93" s="35"/>
    </row>
    <row r="94" spans="4:20" ht="20.100000000000001" customHeight="1" x14ac:dyDescent="0.25">
      <c r="D94" s="35" t="str" cm="1">
        <f t="array" ref="D94">Common_InputFunctions.Utility_DisplayArrayInTable(Common_SourceData.Common_SourceData_ClimateZones_Data(), Table_SourceData_ClimateZones[[#Headers],[Climate zone]], 0)</f>
        <v>Warm temperate moist</v>
      </c>
      <c r="E94" s="35" t="str" cm="1">
        <f t="array" ref="E94">Common_InputFunctions.Utility_DisplayArrayInTable(Common_SourceData.Common_SourceData_ClimateZones_Data(), Table_SourceData_ClimateZones[[#Headers],[Climate zone]], 0)</f>
        <v>&gt; 10 C</v>
      </c>
      <c r="F94" s="35" t="str" cm="1">
        <f t="array" ref="F94">Common_InputFunctions.Utility_DisplayArrayInTable(Common_SourceData.Common_SourceData_ClimateZones_Data(), Table_SourceData_ClimateZones[[#Headers],[Climate zone]], 0)</f>
        <v>Any</v>
      </c>
      <c r="G94" s="35" t="str" cm="1">
        <f t="array" ref="G94">Common_InputFunctions.Utility_DisplayArrayInTable(Common_SourceData.Common_SourceData_ClimateZones_Data(), Table_SourceData_ClimateZones[[#Headers],[Climate zone]], 0)</f>
        <v>Any</v>
      </c>
      <c r="H94" s="35" t="str" cm="1">
        <f t="array" ref="H94">Common_InputFunctions.Utility_DisplayArrayInTable(Common_SourceData.Common_SourceData_ClimateZones_Data(), Table_SourceData_ClimateZones[[#Headers],[Climate zone]], 0)</f>
        <v>Any</v>
      </c>
      <c r="I94" s="35" t="str" cm="1">
        <f t="array" ref="I94">Common_InputFunctions.Utility_DisplayArrayInTable(Common_SourceData.Common_SourceData_ClimateZones_Data(), Table_SourceData_ClimateZones[[#Headers],[Climate zone]], 0)</f>
        <v>&gt; 1</v>
      </c>
      <c r="J94" s="35" cm="1">
        <f t="array" ref="J94">Common_InputFunctions.Utility_DisplayArrayInTable(Common_SourceData.Common_SourceData_ClimateZones_Data(), Table_SourceData_ClimateZones[[#Headers],[Climate zone]], 0)</f>
        <v>10.000999999999999</v>
      </c>
      <c r="K94" s="35" cm="1">
        <f t="array" ref="K94">Common_InputFunctions.Utility_DisplayArrayInTable(Common_SourceData.Common_SourceData_ClimateZones_Data(), Table_SourceData_ClimateZones[[#Headers],[Climate zone]], 0)</f>
        <v>999999</v>
      </c>
      <c r="L94" s="35" cm="1">
        <f t="array" ref="L94">Common_InputFunctions.Utility_DisplayArrayInTable(Common_SourceData.Common_SourceData_ClimateZones_Data(), Table_SourceData_ClimateZones[[#Headers],[Climate zone]], 0)</f>
        <v>-999999</v>
      </c>
      <c r="M94" s="35" cm="1">
        <f t="array" ref="M94">Common_InputFunctions.Utility_DisplayArrayInTable(Common_SourceData.Common_SourceData_ClimateZones_Data(), Table_SourceData_ClimateZones[[#Headers],[Climate zone]], 0)</f>
        <v>999999</v>
      </c>
      <c r="N94" s="35" cm="1">
        <f t="array" ref="N94">Common_InputFunctions.Utility_DisplayArrayInTable(Common_SourceData.Common_SourceData_ClimateZones_Data(), Table_SourceData_ClimateZones[[#Headers],[Climate zone]], 0)</f>
        <v>-999999</v>
      </c>
      <c r="O94" s="35" cm="1">
        <f t="array" ref="O94">Common_InputFunctions.Utility_DisplayArrayInTable(Common_SourceData.Common_SourceData_ClimateZones_Data(), Table_SourceData_ClimateZones[[#Headers],[Climate zone]], 0)</f>
        <v>999999</v>
      </c>
      <c r="P94" s="35" cm="1">
        <f t="array" ref="P94">Common_InputFunctions.Utility_DisplayArrayInTable(Common_SourceData.Common_SourceData_ClimateZones_Data(), Table_SourceData_ClimateZones[[#Headers],[Climate zone]], 0)</f>
        <v>-999999</v>
      </c>
      <c r="Q94" s="35" cm="1">
        <f t="array" ref="Q94">Common_InputFunctions.Utility_DisplayArrayInTable(Common_SourceData.Common_SourceData_ClimateZones_Data(), Table_SourceData_ClimateZones[[#Headers],[Climate zone]], 0)</f>
        <v>999999</v>
      </c>
      <c r="R94" s="35" cm="1">
        <f t="array" ref="R94">Common_InputFunctions.Utility_DisplayArrayInTable(Common_SourceData.Common_SourceData_ClimateZones_Data(), Table_SourceData_ClimateZones[[#Headers],[Climate zone]], 0)</f>
        <v>1.0009999999999999</v>
      </c>
      <c r="S94" s="35" cm="1">
        <f t="array" ref="S94">Common_InputFunctions.Utility_DisplayArrayInTable(Common_SourceData.Common_SourceData_ClimateZones_Data(), Table_SourceData_ClimateZones[[#Headers],[Climate zone]], 0)</f>
        <v>999999</v>
      </c>
      <c r="T94" s="35"/>
    </row>
    <row r="95" spans="4:20" ht="20.100000000000001" customHeight="1" x14ac:dyDescent="0.25">
      <c r="D95" s="35" t="str" cm="1">
        <f t="array" ref="D95">Common_InputFunctions.Utility_DisplayArrayInTable(Common_SourceData.Common_SourceData_ClimateZones_Data(), Table_SourceData_ClimateZones[[#Headers],[Climate zone]], 0)</f>
        <v>Warm temperate dry</v>
      </c>
      <c r="E95" s="35" t="str" cm="1">
        <f t="array" ref="E95">Common_InputFunctions.Utility_DisplayArrayInTable(Common_SourceData.Common_SourceData_ClimateZones_Data(), Table_SourceData_ClimateZones[[#Headers],[Climate zone]], 0)</f>
        <v>&gt; 10 C</v>
      </c>
      <c r="F95" s="35" t="str" cm="1">
        <f t="array" ref="F95">Common_InputFunctions.Utility_DisplayArrayInTable(Common_SourceData.Common_SourceData_ClimateZones_Data(), Table_SourceData_ClimateZones[[#Headers],[Climate zone]], 0)</f>
        <v>Any</v>
      </c>
      <c r="G95" s="35" t="str" cm="1">
        <f t="array" ref="G95">Common_InputFunctions.Utility_DisplayArrayInTable(Common_SourceData.Common_SourceData_ClimateZones_Data(), Table_SourceData_ClimateZones[[#Headers],[Climate zone]], 0)</f>
        <v>Any</v>
      </c>
      <c r="H95" s="35" t="str" cm="1">
        <f t="array" ref="H95">Common_InputFunctions.Utility_DisplayArrayInTable(Common_SourceData.Common_SourceData_ClimateZones_Data(), Table_SourceData_ClimateZones[[#Headers],[Climate zone]], 0)</f>
        <v>Any</v>
      </c>
      <c r="I95" s="35" t="str" cm="1">
        <f t="array" ref="I95">Common_InputFunctions.Utility_DisplayArrayInTable(Common_SourceData.Common_SourceData_ClimateZones_Data(), Table_SourceData_ClimateZones[[#Headers],[Climate zone]], 0)</f>
        <v>≤ 1</v>
      </c>
      <c r="J95" s="35" cm="1">
        <f t="array" ref="J95">Common_InputFunctions.Utility_DisplayArrayInTable(Common_SourceData.Common_SourceData_ClimateZones_Data(), Table_SourceData_ClimateZones[[#Headers],[Climate zone]], 0)</f>
        <v>10.000999999999999</v>
      </c>
      <c r="K95" s="35" cm="1">
        <f t="array" ref="K95">Common_InputFunctions.Utility_DisplayArrayInTable(Common_SourceData.Common_SourceData_ClimateZones_Data(), Table_SourceData_ClimateZones[[#Headers],[Climate zone]], 0)</f>
        <v>999999</v>
      </c>
      <c r="L95" s="35" cm="1">
        <f t="array" ref="L95">Common_InputFunctions.Utility_DisplayArrayInTable(Common_SourceData.Common_SourceData_ClimateZones_Data(), Table_SourceData_ClimateZones[[#Headers],[Climate zone]], 0)</f>
        <v>-999999</v>
      </c>
      <c r="M95" s="35" cm="1">
        <f t="array" ref="M95">Common_InputFunctions.Utility_DisplayArrayInTable(Common_SourceData.Common_SourceData_ClimateZones_Data(), Table_SourceData_ClimateZones[[#Headers],[Climate zone]], 0)</f>
        <v>999999</v>
      </c>
      <c r="N95" s="35" cm="1">
        <f t="array" ref="N95">Common_InputFunctions.Utility_DisplayArrayInTable(Common_SourceData.Common_SourceData_ClimateZones_Data(), Table_SourceData_ClimateZones[[#Headers],[Climate zone]], 0)</f>
        <v>-999999</v>
      </c>
      <c r="O95" s="35" cm="1">
        <f t="array" ref="O95">Common_InputFunctions.Utility_DisplayArrayInTable(Common_SourceData.Common_SourceData_ClimateZones_Data(), Table_SourceData_ClimateZones[[#Headers],[Climate zone]], 0)</f>
        <v>999999</v>
      </c>
      <c r="P95" s="35" cm="1">
        <f t="array" ref="P95">Common_InputFunctions.Utility_DisplayArrayInTable(Common_SourceData.Common_SourceData_ClimateZones_Data(), Table_SourceData_ClimateZones[[#Headers],[Climate zone]], 0)</f>
        <v>-999999</v>
      </c>
      <c r="Q95" s="35" cm="1">
        <f t="array" ref="Q95">Common_InputFunctions.Utility_DisplayArrayInTable(Common_SourceData.Common_SourceData_ClimateZones_Data(), Table_SourceData_ClimateZones[[#Headers],[Climate zone]], 0)</f>
        <v>999999</v>
      </c>
      <c r="R95" s="35" cm="1">
        <f t="array" ref="R95">Common_InputFunctions.Utility_DisplayArrayInTable(Common_SourceData.Common_SourceData_ClimateZones_Data(), Table_SourceData_ClimateZones[[#Headers],[Climate zone]], 0)</f>
        <v>-999999</v>
      </c>
      <c r="S95" s="35" cm="1">
        <f t="array" ref="S95">Common_InputFunctions.Utility_DisplayArrayInTable(Common_SourceData.Common_SourceData_ClimateZones_Data(), Table_SourceData_ClimateZones[[#Headers],[Climate zone]], 0)</f>
        <v>1</v>
      </c>
      <c r="T95" s="35"/>
    </row>
    <row r="96" spans="4:20" ht="20.100000000000001" customHeight="1" x14ac:dyDescent="0.25">
      <c r="D96" s="35" t="str" cm="1">
        <f t="array" ref="D96">Common_InputFunctions.Utility_DisplayArrayInTable(Common_SourceData.Common_SourceData_ClimateZones_Data(), Table_SourceData_ClimateZones[[#Headers],[Climate zone]], 0)</f>
        <v>Cool temperate moist</v>
      </c>
      <c r="E96" s="35" t="str" cm="1">
        <f t="array" ref="E96">Common_InputFunctions.Utility_DisplayArrayInTable(Common_SourceData.Common_SourceData_ClimateZones_Data(), Table_SourceData_ClimateZones[[#Headers],[Climate zone]], 0)</f>
        <v>&gt; 0 C - ≤ 10 C</v>
      </c>
      <c r="F96" s="35" t="str" cm="1">
        <f t="array" ref="F96">Common_InputFunctions.Utility_DisplayArrayInTable(Common_SourceData.Common_SourceData_ClimateZones_Data(), Table_SourceData_ClimateZones[[#Headers],[Climate zone]], 0)</f>
        <v>Any</v>
      </c>
      <c r="G96" s="35" t="str" cm="1">
        <f t="array" ref="G96">Common_InputFunctions.Utility_DisplayArrayInTable(Common_SourceData.Common_SourceData_ClimateZones_Data(), Table_SourceData_ClimateZones[[#Headers],[Climate zone]], 0)</f>
        <v>Any</v>
      </c>
      <c r="H96" s="35" t="str" cm="1">
        <f t="array" ref="H96">Common_InputFunctions.Utility_DisplayArrayInTable(Common_SourceData.Common_SourceData_ClimateZones_Data(), Table_SourceData_ClimateZones[[#Headers],[Climate zone]], 0)</f>
        <v>Any</v>
      </c>
      <c r="I96" s="35" t="str" cm="1">
        <f t="array" ref="I96">Common_InputFunctions.Utility_DisplayArrayInTable(Common_SourceData.Common_SourceData_ClimateZones_Data(), Table_SourceData_ClimateZones[[#Headers],[Climate zone]], 0)</f>
        <v>&gt; 1</v>
      </c>
      <c r="J96" s="35" cm="1">
        <f t="array" ref="J96">Common_InputFunctions.Utility_DisplayArrayInTable(Common_SourceData.Common_SourceData_ClimateZones_Data(), Table_SourceData_ClimateZones[[#Headers],[Climate zone]], 0)</f>
        <v>-999999</v>
      </c>
      <c r="K96" s="35" cm="1">
        <f t="array" ref="K96">Common_InputFunctions.Utility_DisplayArrayInTable(Common_SourceData.Common_SourceData_ClimateZones_Data(), Table_SourceData_ClimateZones[[#Headers],[Climate zone]], 0)</f>
        <v>10</v>
      </c>
      <c r="L96" s="35" cm="1">
        <f t="array" ref="L96">Common_InputFunctions.Utility_DisplayArrayInTable(Common_SourceData.Common_SourceData_ClimateZones_Data(), Table_SourceData_ClimateZones[[#Headers],[Climate zone]], 0)</f>
        <v>-999999</v>
      </c>
      <c r="M96" s="35" cm="1">
        <f t="array" ref="M96">Common_InputFunctions.Utility_DisplayArrayInTable(Common_SourceData.Common_SourceData_ClimateZones_Data(), Table_SourceData_ClimateZones[[#Headers],[Climate zone]], 0)</f>
        <v>999999</v>
      </c>
      <c r="N96" s="35" cm="1">
        <f t="array" ref="N96">Common_InputFunctions.Utility_DisplayArrayInTable(Common_SourceData.Common_SourceData_ClimateZones_Data(), Table_SourceData_ClimateZones[[#Headers],[Climate zone]], 0)</f>
        <v>-999999</v>
      </c>
      <c r="O96" s="35" cm="1">
        <f t="array" ref="O96">Common_InputFunctions.Utility_DisplayArrayInTable(Common_SourceData.Common_SourceData_ClimateZones_Data(), Table_SourceData_ClimateZones[[#Headers],[Climate zone]], 0)</f>
        <v>999999</v>
      </c>
      <c r="P96" s="35" cm="1">
        <f t="array" ref="P96">Common_InputFunctions.Utility_DisplayArrayInTable(Common_SourceData.Common_SourceData_ClimateZones_Data(), Table_SourceData_ClimateZones[[#Headers],[Climate zone]], 0)</f>
        <v>-999999</v>
      </c>
      <c r="Q96" s="35" cm="1">
        <f t="array" ref="Q96">Common_InputFunctions.Utility_DisplayArrayInTable(Common_SourceData.Common_SourceData_ClimateZones_Data(), Table_SourceData_ClimateZones[[#Headers],[Climate zone]], 0)</f>
        <v>999999</v>
      </c>
      <c r="R96" s="35" cm="1">
        <f t="array" ref="R96">Common_InputFunctions.Utility_DisplayArrayInTable(Common_SourceData.Common_SourceData_ClimateZones_Data(), Table_SourceData_ClimateZones[[#Headers],[Climate zone]], 0)</f>
        <v>1.0009999999999999</v>
      </c>
      <c r="S96" s="35" cm="1">
        <f t="array" ref="S96">Common_InputFunctions.Utility_DisplayArrayInTable(Common_SourceData.Common_SourceData_ClimateZones_Data(), Table_SourceData_ClimateZones[[#Headers],[Climate zone]], 0)</f>
        <v>999999</v>
      </c>
      <c r="T96" s="35"/>
    </row>
    <row r="97" spans="4:20" ht="20.100000000000001" customHeight="1" x14ac:dyDescent="0.25">
      <c r="D97" s="35" t="str" cm="1">
        <f t="array" ref="D97">Common_InputFunctions.Utility_DisplayArrayInTable(Common_SourceData.Common_SourceData_ClimateZones_Data(), Table_SourceData_ClimateZones[[#Headers],[Climate zone]], 0)</f>
        <v>Cool temperate dry</v>
      </c>
      <c r="E97" s="35" t="str" cm="1">
        <f t="array" ref="E97">Common_InputFunctions.Utility_DisplayArrayInTable(Common_SourceData.Common_SourceData_ClimateZones_Data(), Table_SourceData_ClimateZones[[#Headers],[Climate zone]], 0)</f>
        <v>&gt; 0 C - ≤ 10 C</v>
      </c>
      <c r="F97" s="35" t="str" cm="1">
        <f t="array" ref="F97">Common_InputFunctions.Utility_DisplayArrayInTable(Common_SourceData.Common_SourceData_ClimateZones_Data(), Table_SourceData_ClimateZones[[#Headers],[Climate zone]], 0)</f>
        <v>Any</v>
      </c>
      <c r="G97" s="35" t="str" cm="1">
        <f t="array" ref="G97">Common_InputFunctions.Utility_DisplayArrayInTable(Common_SourceData.Common_SourceData_ClimateZones_Data(), Table_SourceData_ClimateZones[[#Headers],[Climate zone]], 0)</f>
        <v>Any</v>
      </c>
      <c r="H97" s="35" t="str" cm="1">
        <f t="array" ref="H97">Common_InputFunctions.Utility_DisplayArrayInTable(Common_SourceData.Common_SourceData_ClimateZones_Data(), Table_SourceData_ClimateZones[[#Headers],[Climate zone]], 0)</f>
        <v>Any</v>
      </c>
      <c r="I97" s="35" t="str" cm="1">
        <f t="array" ref="I97">Common_InputFunctions.Utility_DisplayArrayInTable(Common_SourceData.Common_SourceData_ClimateZones_Data(), Table_SourceData_ClimateZones[[#Headers],[Climate zone]], 0)</f>
        <v>≤ 1</v>
      </c>
      <c r="J97" s="35" cm="1">
        <f t="array" ref="J97">Common_InputFunctions.Utility_DisplayArrayInTable(Common_SourceData.Common_SourceData_ClimateZones_Data(), Table_SourceData_ClimateZones[[#Headers],[Climate zone]], 0)</f>
        <v>-999999</v>
      </c>
      <c r="K97" s="35" cm="1">
        <f t="array" ref="K97">Common_InputFunctions.Utility_DisplayArrayInTable(Common_SourceData.Common_SourceData_ClimateZones_Data(), Table_SourceData_ClimateZones[[#Headers],[Climate zone]], 0)</f>
        <v>10</v>
      </c>
      <c r="L97" s="35" cm="1">
        <f t="array" ref="L97">Common_InputFunctions.Utility_DisplayArrayInTable(Common_SourceData.Common_SourceData_ClimateZones_Data(), Table_SourceData_ClimateZones[[#Headers],[Climate zone]], 0)</f>
        <v>-999999</v>
      </c>
      <c r="M97" s="35" cm="1">
        <f t="array" ref="M97">Common_InputFunctions.Utility_DisplayArrayInTable(Common_SourceData.Common_SourceData_ClimateZones_Data(), Table_SourceData_ClimateZones[[#Headers],[Climate zone]], 0)</f>
        <v>999999</v>
      </c>
      <c r="N97" s="35" cm="1">
        <f t="array" ref="N97">Common_InputFunctions.Utility_DisplayArrayInTable(Common_SourceData.Common_SourceData_ClimateZones_Data(), Table_SourceData_ClimateZones[[#Headers],[Climate zone]], 0)</f>
        <v>-999999</v>
      </c>
      <c r="O97" s="35" cm="1">
        <f t="array" ref="O97">Common_InputFunctions.Utility_DisplayArrayInTable(Common_SourceData.Common_SourceData_ClimateZones_Data(), Table_SourceData_ClimateZones[[#Headers],[Climate zone]], 0)</f>
        <v>999999</v>
      </c>
      <c r="P97" s="35" cm="1">
        <f t="array" ref="P97">Common_InputFunctions.Utility_DisplayArrayInTable(Common_SourceData.Common_SourceData_ClimateZones_Data(), Table_SourceData_ClimateZones[[#Headers],[Climate zone]], 0)</f>
        <v>-999999</v>
      </c>
      <c r="Q97" s="35" cm="1">
        <f t="array" ref="Q97">Common_InputFunctions.Utility_DisplayArrayInTable(Common_SourceData.Common_SourceData_ClimateZones_Data(), Table_SourceData_ClimateZones[[#Headers],[Climate zone]], 0)</f>
        <v>999999</v>
      </c>
      <c r="R97" s="35" cm="1">
        <f t="array" ref="R97">Common_InputFunctions.Utility_DisplayArrayInTable(Common_SourceData.Common_SourceData_ClimateZones_Data(), Table_SourceData_ClimateZones[[#Headers],[Climate zone]], 0)</f>
        <v>-999999</v>
      </c>
      <c r="S97" s="35" cm="1">
        <f t="array" ref="S97">Common_InputFunctions.Utility_DisplayArrayInTable(Common_SourceData.Common_SourceData_ClimateZones_Data(), Table_SourceData_ClimateZones[[#Headers],[Climate zone]], 0)</f>
        <v>1</v>
      </c>
      <c r="T97" s="35"/>
    </row>
    <row r="98" spans="4:20" ht="20.100000000000001" customHeight="1" x14ac:dyDescent="0.25"/>
    <row r="99" spans="4:20" ht="20.100000000000001" customHeight="1" x14ac:dyDescent="0.25">
      <c r="D99" s="50" t="str" cm="1">
        <f t="array" ref="D99:D102">Common_SourceData.Common_SourceData_ClimateZones_Appendices()</f>
        <v>Note:</v>
      </c>
    </row>
    <row r="100" spans="4:20" ht="20.100000000000001" customHeight="1" x14ac:dyDescent="0.25">
      <c r="D100" s="50" t="str">
        <v>MAT = mean annual temperature</v>
      </c>
    </row>
    <row r="101" spans="4:20" ht="20.100000000000001" customHeight="1" x14ac:dyDescent="0.25">
      <c r="D101" s="50" t="str">
        <v>MAP = mean annual precipitation</v>
      </c>
    </row>
    <row r="102" spans="4:20" ht="20.100000000000001" customHeight="1" x14ac:dyDescent="0.25">
      <c r="D102" s="50" t="str">
        <v>PET = potential evapotranspiration</v>
      </c>
    </row>
    <row r="103" spans="4:20" ht="20.100000000000001" customHeight="1" x14ac:dyDescent="0.25">
      <c r="D103" s="50"/>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5" t="s">
        <v>42</v>
      </c>
      <c r="E109" s="35" t="s">
        <v>25</v>
      </c>
      <c r="F109" s="35" t="s">
        <v>43</v>
      </c>
      <c r="G109" s="35" t="s">
        <v>44</v>
      </c>
    </row>
    <row r="110" spans="4:20" ht="20.100000000000001" customHeight="1" x14ac:dyDescent="0.25">
      <c r="D110" s="35" t="str" cm="1">
        <f t="array" ref="D110">Common_InputFunctions.Utility_DisplayArrayInTable(Common_SourceData.Common_SourceData_TemperatureZones_Data(),Table_SourceData_TemperatureZones[[#Headers],[Temperature Zone]],0)</f>
        <v>Warm</v>
      </c>
      <c r="E110" s="35" t="str" cm="1">
        <f t="array" ref="E110">Common_InputFunctions.Utility_DisplayArrayInTable(Common_SourceData.Common_SourceData_TemperatureZones_Data(),Table_SourceData_TemperatureZones[[#Headers],[Temperature Zone]],0)</f>
        <v>≥ 26 C</v>
      </c>
      <c r="F110" s="35" cm="1">
        <f t="array" ref="F110">Common_InputFunctions.Utility_DisplayArrayInTable(Common_SourceData.Common_SourceData_TemperatureZones_Data(),Table_SourceData_TemperatureZones[[#Headers],[Temperature Zone]],0)</f>
        <v>26</v>
      </c>
      <c r="G110" s="35" cm="1">
        <f t="array" ref="G110">Common_InputFunctions.Utility_DisplayArrayInTable(Common_SourceData.Common_SourceData_TemperatureZones_Data(),Table_SourceData_TemperatureZones[[#Headers],[Temperature Zone]],0)</f>
        <v>999999</v>
      </c>
    </row>
    <row r="111" spans="4:20" ht="20.100000000000001" customHeight="1" x14ac:dyDescent="0.25">
      <c r="D111" s="35" t="str" cm="1">
        <f t="array" ref="D111">Common_InputFunctions.Utility_DisplayArrayInTable(Common_SourceData.Common_SourceData_TemperatureZones_Data(),Table_SourceData_TemperatureZones[[#Headers],[Temperature Zone]],0)</f>
        <v>Temperate</v>
      </c>
      <c r="E111" s="35" t="str" cm="1">
        <f t="array" ref="E111">Common_InputFunctions.Utility_DisplayArrayInTable(Common_SourceData.Common_SourceData_TemperatureZones_Data(),Table_SourceData_TemperatureZones[[#Headers],[Temperature Zone]],0)</f>
        <v>15 - 25 C</v>
      </c>
      <c r="F111" s="35" cm="1">
        <f t="array" ref="F111">Common_InputFunctions.Utility_DisplayArrayInTable(Common_SourceData.Common_SourceData_TemperatureZones_Data(),Table_SourceData_TemperatureZones[[#Headers],[Temperature Zone]],0)</f>
        <v>15</v>
      </c>
      <c r="G111" s="35"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5" t="str" cm="1">
        <f t="array" ref="D112">Common_InputFunctions.Utility_DisplayArrayInTable(Common_SourceData.Common_SourceData_TemperatureZones_Data(),Table_SourceData_TemperatureZones[[#Headers],[Temperature Zone]],0)</f>
        <v>Cool</v>
      </c>
      <c r="E112" s="35" t="str" cm="1">
        <f t="array" ref="E112">Common_InputFunctions.Utility_DisplayArrayInTable(Common_SourceData.Common_SourceData_TemperatureZones_Data(),Table_SourceData_TemperatureZones[[#Headers],[Temperature Zone]],0)</f>
        <v>≤ 14 C</v>
      </c>
      <c r="F112" s="35" cm="1">
        <f t="array" ref="F112">Common_InputFunctions.Utility_DisplayArrayInTable(Common_SourceData.Common_SourceData_TemperatureZones_Data(),Table_SourceData_TemperatureZones[[#Headers],[Temperature Zone]],0)</f>
        <v>-999999</v>
      </c>
      <c r="G112" s="35"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1"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5" t="s">
        <v>45</v>
      </c>
      <c r="E119" s="35" t="s">
        <v>46</v>
      </c>
      <c r="F119" s="35" t="s">
        <v>32</v>
      </c>
      <c r="G119" s="35" t="s">
        <v>33</v>
      </c>
      <c r="BN119" s="7"/>
    </row>
    <row r="120" spans="4:66" ht="20.100000000000001" customHeight="1" x14ac:dyDescent="0.25">
      <c r="D120" s="35" t="str" cm="1">
        <f t="array" ref="D120">Common_InputFunctions.Utility_DisplayArrayInTable(Common_SourceData.Common_SourceData_RainfallZones_Data(),Table_SourceData_RainfallZones[[#Headers],[Rainfall Zone]],0)</f>
        <v>High rainfall</v>
      </c>
      <c r="E120" s="35" t="str" cm="1">
        <f t="array" ref="E120">Common_InputFunctions.Utility_DisplayArrayInTable(Common_SourceData.Common_SourceData_RainfallZones_Data(),Table_SourceData_RainfallZones[[#Headers],[Rainfall Zone]],0)</f>
        <v>Annual rainfall &gt; 600mm</v>
      </c>
      <c r="F120" s="35" cm="1">
        <f t="array" ref="F120">Common_InputFunctions.Utility_DisplayArrayInTable(Common_SourceData.Common_SourceData_RainfallZones_Data(),Table_SourceData_RainfallZones[[#Headers],[Rainfall Zone]],0)</f>
        <v>600.00099999999998</v>
      </c>
      <c r="G120" s="35"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5" t="str" cm="1">
        <f t="array" ref="D121">Common_InputFunctions.Utility_DisplayArrayInTable(Common_SourceData.Common_SourceData_RainfallZones_Data(),Table_SourceData_RainfallZones[[#Headers],[Rainfall Zone]],0)</f>
        <v>Low rainfall</v>
      </c>
      <c r="E121" s="35" t="str" cm="1">
        <f t="array" ref="E121">Common_InputFunctions.Utility_DisplayArrayInTable(Common_SourceData.Common_SourceData_RainfallZones_Data(),Table_SourceData_RainfallZones[[#Headers],[Rainfall Zone]],0)</f>
        <v>Annual rainfall ≤ 600mm</v>
      </c>
      <c r="F121" s="35" cm="1">
        <f t="array" ref="F121">Common_InputFunctions.Utility_DisplayArrayInTable(Common_SourceData.Common_SourceData_RainfallZones_Data(),Table_SourceData_RainfallZones[[#Headers],[Rainfall Zone]],0)</f>
        <v>-999999</v>
      </c>
      <c r="G121" s="35"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5" t="s">
        <v>47</v>
      </c>
      <c r="E127" s="35" t="s">
        <v>48</v>
      </c>
    </row>
    <row r="128" spans="4:66" ht="20.100000000000001" customHeight="1" x14ac:dyDescent="0.25">
      <c r="D128" s="35" t="str" cm="1">
        <f t="array" ref="D128">Common_InputFunctions.Utility_DisplayArrayInTable(Common_SourceData.Common_SourceData_LeachingZones_Data(), Table_SourceData_LeachingZones[[#Headers],[Leaching Zone]], 0)</f>
        <v>Leaching occurs</v>
      </c>
      <c r="E128" s="35"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5" t="str" cm="1">
        <f t="array" ref="D129">Common_InputFunctions.Utility_DisplayArrayInTable(Common_SourceData.Common_SourceData_LeachingZones_Data(), Table_SourceData_LeachingZones[[#Headers],[Leaching Zone]], 0)</f>
        <v>Leaching does not occur</v>
      </c>
      <c r="E129" s="35"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61</v>
      </c>
      <c r="E134" t="s">
        <v>62</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5"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1"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5" t="s">
        <v>76</v>
      </c>
      <c r="E142" s="35" t="s">
        <v>62</v>
      </c>
      <c r="BN142" s="7"/>
    </row>
    <row r="143" spans="4:77" ht="20.100000000000001" customHeight="1" x14ac:dyDescent="0.25">
      <c r="D143" s="35" t="str" cm="1">
        <f t="array" ref="D143">Common_InputFunctions.Utility_DisplayArrayInTable(Common_SourceData.Common_SourceData_FracWETIrrigation_Data(), Table_SourceData_FracWETIrrigation[[#Headers],[Irrigation type i]], 0)</f>
        <v>Not irrigated</v>
      </c>
      <c r="E143" s="35"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5"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5"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5"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5"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5" t="s">
        <v>49</v>
      </c>
      <c r="E153" s="35" t="s">
        <v>50</v>
      </c>
      <c r="BC153" s="3"/>
      <c r="BD153" s="3"/>
      <c r="BE153" s="3"/>
      <c r="BF153" s="3"/>
      <c r="BG153" s="3"/>
      <c r="BH153" s="3"/>
      <c r="BI153" s="3"/>
      <c r="BJ153" s="3"/>
      <c r="BK153" s="3"/>
      <c r="BL153" s="3"/>
      <c r="BM153" s="3"/>
    </row>
    <row r="154" spans="4:66" ht="20.100000000000001" customHeight="1" x14ac:dyDescent="0.25">
      <c r="D154" s="35" t="str" cm="1">
        <f t="array" ref="D154">Common_InputFunctions.Utility_DisplayArrayInTable(Common_SourceData.Common_SourceData_DataScores_Scope3_Data(), Table_SourceData_DataScores_Scope3[[#Headers],[Data source]], 0)</f>
        <v>International scope 3 database</v>
      </c>
      <c r="E154" s="35"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5" t="str" cm="1">
        <f t="array" ref="D155">Common_InputFunctions.Utility_DisplayArrayInTable(Common_SourceData.Common_SourceData_DataScores_Scope3_Data(), Table_SourceData_DataScores_Scope3[[#Headers],[Data source]], 0)</f>
        <v>Australian scope 3 database</v>
      </c>
      <c r="E155" s="35"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5" t="str" cm="1">
        <f t="array" ref="D156">Common_InputFunctions.Utility_DisplayArrayInTable(Common_SourceData.Common_SourceData_DataScores_Scope3_Data(), Table_SourceData_DataScores_Scope3[[#Headers],[Data source]], 0)</f>
        <v>State or regional scope 3 database</v>
      </c>
      <c r="E156" s="35" cm="1">
        <f t="array" ref="E156">Common_InputFunctions.Utility_DisplayArrayInTable(Common_SourceData.Common_SourceData_DataScores_Scope3_Data(), Table_SourceData_DataScores_Scope3[[#Headers],[Data source]], 0)</f>
        <v>3</v>
      </c>
    </row>
    <row r="157" spans="4:66" ht="20.100000000000001" customHeight="1" x14ac:dyDescent="0.25">
      <c r="D157" s="35" t="str" cm="1">
        <f t="array" ref="D157">Common_InputFunctions.Utility_DisplayArrayInTable(Common_SourceData.Common_SourceData_DataScores_Scope3_Data(), Table_SourceData_DataScores_Scope3[[#Headers],[Data source]], 0)</f>
        <v>Emissions intensity calculated from approved method</v>
      </c>
      <c r="E157" s="35" cm="1">
        <f t="array" ref="E157">Common_InputFunctions.Utility_DisplayArrayInTable(Common_SourceData.Common_SourceData_DataScores_Scope3_Data(), Table_SourceData_DataScores_Scope3[[#Headers],[Data source]], 0)</f>
        <v>4</v>
      </c>
    </row>
    <row r="158" spans="4:66" ht="20.100000000000001" customHeight="1" x14ac:dyDescent="0.25">
      <c r="D158" s="35" t="str" cm="1">
        <f t="array" ref="D158">Common_InputFunctions.Utility_DisplayArrayInTable(Common_SourceData.Common_SourceData_DataScores_Scope3_Data(), Table_SourceData_DataScores_Scope3[[#Headers],[Data source]], 0)</f>
        <v>Verified credential matching ISO14067</v>
      </c>
      <c r="E158" s="35"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0"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0" t="str" cm="1">
        <f t="array" ref="D180">Common_SourceData.Common_SourceData_EFN2O_Unit()</f>
        <v>(kg N2O-N / kg N</v>
      </c>
    </row>
    <row r="181" spans="4:68" ht="20.100000000000001" customHeight="1" x14ac:dyDescent="0.25">
      <c r="D181" s="51" t="str" cm="1">
        <f t="array" ref="D181:D185">Common_SourceData.Common_SourceData_EFN2O_Variation()</f>
        <v>VARIATION OF SOURCE DATA:</v>
      </c>
    </row>
    <row r="182" spans="4:68" ht="20.100000000000001" customHeight="1" x14ac:dyDescent="0.25">
      <c r="D182" s="51" t="str">
        <v>Removed duplicate 'Aquaculture' row.</v>
      </c>
    </row>
    <row r="183" spans="4:68" ht="20.100000000000001" customHeight="1" x14ac:dyDescent="0.25">
      <c r="D183" s="51" t="str">
        <v>Removed asterisks to aid lookup.</v>
      </c>
    </row>
    <row r="184" spans="4:68" ht="20.100000000000001" customHeight="1" x14ac:dyDescent="0.25">
      <c r="D184" s="51" t="str">
        <v>Added 'production system only', 'rainfall zone' and 'irrigation method' columns to aid lookup.</v>
      </c>
    </row>
    <row r="185" spans="4:68" ht="20.100000000000001" customHeight="1" x14ac:dyDescent="0.25">
      <c r="D185" s="51" t="str">
        <v>Duplicated 'non-irrigated pasture' row with same EF for low and high rainfall zones to aid lookup.</v>
      </c>
    </row>
    <row r="186" spans="4:68" ht="20.100000000000001" customHeight="1" x14ac:dyDescent="0.25">
      <c r="D186" s="35" t="s">
        <v>69</v>
      </c>
      <c r="E186" s="35" t="s">
        <v>70</v>
      </c>
      <c r="F186" s="35" t="s">
        <v>71</v>
      </c>
      <c r="G186" s="35" t="s">
        <v>72</v>
      </c>
      <c r="H186" s="35" t="s">
        <v>24</v>
      </c>
    </row>
    <row r="187" spans="4:68" ht="20.100000000000001" customHeight="1" x14ac:dyDescent="0.25">
      <c r="D187" s="35" t="str" cm="1">
        <f t="array" ref="D187">Common_InputFunctions.Utility_DisplayArrayInTable(Common_SourceData.Common_SourceData_EFN2O_Data(), Table_SourceData_Common_EFN2O[[#Headers],[Production system j]], 0)</f>
        <v>Irrigated pasture</v>
      </c>
      <c r="E187" s="35" cm="1">
        <f t="array" ref="E187">Common_InputFunctions.Utility_DisplayArrayInTable(Common_SourceData.Common_SourceData_EFN2O_Data(), Table_SourceData_Common_EFN2O[[#Headers],[Production system j]], 0)</f>
        <v>5.8999999999999999E-3</v>
      </c>
      <c r="F187" s="35" t="str" cm="1">
        <f t="array" ref="F187">Common_InputFunctions.Utility_DisplayArrayInTable(Common_SourceData.Common_SourceData_EFN2O_Data(), Table_SourceData_Common_EFN2O[[#Headers],[Production system j]], 0)</f>
        <v>Pasture</v>
      </c>
      <c r="G187" s="35" t="str" cm="1">
        <f t="array" ref="G187">Common_InputFunctions.Utility_DisplayArrayInTable(Common_SourceData.Common_SourceData_EFN2O_Data(), Table_SourceData_Common_EFN2O[[#Headers],[Production system j]], 0)</f>
        <v>Any</v>
      </c>
      <c r="H187" s="35" t="str" cm="1">
        <f t="array" ref="H187">Common_InputFunctions.Utility_DisplayArrayInTable(Common_SourceData.Common_SourceData_EFN2O_Data(), Table_SourceData_Common_EFN2O[[#Headers],[Production system j]], 0)</f>
        <v>Any</v>
      </c>
    </row>
    <row r="188" spans="4:68" ht="20.100000000000001" customHeight="1" x14ac:dyDescent="0.25">
      <c r="D188" s="35" t="str" cm="1">
        <f t="array" ref="D188">Common_InputFunctions.Utility_DisplayArrayInTable(Common_SourceData.Common_SourceData_EFN2O_Data(), Table_SourceData_Common_EFN2O[[#Headers],[Production system j]], 0)</f>
        <v>Irrigated crop</v>
      </c>
      <c r="E188" s="35" cm="1">
        <f t="array" ref="E188">Common_InputFunctions.Utility_DisplayArrayInTable(Common_SourceData.Common_SourceData_EFN2O_Data(), Table_SourceData_Common_EFN2O[[#Headers],[Production system j]], 0)</f>
        <v>7.0000000000000001E-3</v>
      </c>
      <c r="F188" s="35" t="str" cm="1">
        <f t="array" ref="F188">Common_InputFunctions.Utility_DisplayArrayInTable(Common_SourceData.Common_SourceData_EFN2O_Data(), Table_SourceData_Common_EFN2O[[#Headers],[Production system j]], 0)</f>
        <v>Crop</v>
      </c>
      <c r="G188" s="35" t="str" cm="1">
        <f t="array" ref="G188">Common_InputFunctions.Utility_DisplayArrayInTable(Common_SourceData.Common_SourceData_EFN2O_Data(), Table_SourceData_Common_EFN2O[[#Headers],[Production system j]], 0)</f>
        <v>Any</v>
      </c>
      <c r="H188" s="35" t="str" cm="1">
        <f t="array" ref="H188">Common_InputFunctions.Utility_DisplayArrayInTable(Common_SourceData.Common_SourceData_EFN2O_Data(), Table_SourceData_Common_EFN2O[[#Headers],[Production system j]], 0)</f>
        <v>Any</v>
      </c>
    </row>
    <row r="189" spans="4:68" ht="20.100000000000001" customHeight="1" x14ac:dyDescent="0.25">
      <c r="D189" s="35" t="str" cm="1">
        <f t="array" ref="D189">Common_InputFunctions.Utility_DisplayArrayInTable(Common_SourceData.Common_SourceData_EFN2O_Data(), Table_SourceData_Common_EFN2O[[#Headers],[Production system j]], 0)</f>
        <v>Non-irrigated pasture</v>
      </c>
      <c r="E189" s="35" cm="1">
        <f t="array" ref="E189">Common_InputFunctions.Utility_DisplayArrayInTable(Common_SourceData.Common_SourceData_EFN2O_Data(), Table_SourceData_Common_EFN2O[[#Headers],[Production system j]], 0)</f>
        <v>1.8E-3</v>
      </c>
      <c r="F189" s="35" t="str" cm="1">
        <f t="array" ref="F189">Common_InputFunctions.Utility_DisplayArrayInTable(Common_SourceData.Common_SourceData_EFN2O_Data(), Table_SourceData_Common_EFN2O[[#Headers],[Production system j]], 0)</f>
        <v>Pasture</v>
      </c>
      <c r="G189" s="35" t="str" cm="1">
        <f t="array" ref="G189">Common_InputFunctions.Utility_DisplayArrayInTable(Common_SourceData.Common_SourceData_EFN2O_Data(), Table_SourceData_Common_EFN2O[[#Headers],[Production system j]], 0)</f>
        <v>Not irrigated</v>
      </c>
      <c r="H189" s="35"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5" t="str" cm="1">
        <f t="array" ref="D190">Common_InputFunctions.Utility_DisplayArrayInTable(Common_SourceData.Common_SourceData_EFN2O_Data(), Table_SourceData_Common_EFN2O[[#Headers],[Production system j]], 0)</f>
        <v>Non-irrigated pasture</v>
      </c>
      <c r="E190" s="35" cm="1">
        <f t="array" ref="E190">Common_InputFunctions.Utility_DisplayArrayInTable(Common_SourceData.Common_SourceData_EFN2O_Data(), Table_SourceData_Common_EFN2O[[#Headers],[Production system j]], 0)</f>
        <v>1.8E-3</v>
      </c>
      <c r="F190" s="35" t="str" cm="1">
        <f t="array" ref="F190">Common_InputFunctions.Utility_DisplayArrayInTable(Common_SourceData.Common_SourceData_EFN2O_Data(), Table_SourceData_Common_EFN2O[[#Headers],[Production system j]], 0)</f>
        <v>Pasture</v>
      </c>
      <c r="G190" s="35" t="str" cm="1">
        <f t="array" ref="G190">Common_InputFunctions.Utility_DisplayArrayInTable(Common_SourceData.Common_SourceData_EFN2O_Data(), Table_SourceData_Common_EFN2O[[#Headers],[Production system j]], 0)</f>
        <v>Not irrigated</v>
      </c>
      <c r="H190" s="35"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5" t="str" cm="1">
        <f t="array" ref="D191">Common_InputFunctions.Utility_DisplayArrayInTable(Common_SourceData.Common_SourceData_EFN2O_Data(), Table_SourceData_Common_EFN2O[[#Headers],[Production system j]], 0)</f>
        <v>Non-irrigated crop (low rainfall)</v>
      </c>
      <c r="E191" s="35" cm="1">
        <f t="array" ref="E191">Common_InputFunctions.Utility_DisplayArrayInTable(Common_SourceData.Common_SourceData_EFN2O_Data(), Table_SourceData_Common_EFN2O[[#Headers],[Production system j]], 0)</f>
        <v>2.8999999999999998E-3</v>
      </c>
      <c r="F191" s="35" t="str" cm="1">
        <f t="array" ref="F191">Common_InputFunctions.Utility_DisplayArrayInTable(Common_SourceData.Common_SourceData_EFN2O_Data(), Table_SourceData_Common_EFN2O[[#Headers],[Production system j]], 0)</f>
        <v>Crop</v>
      </c>
      <c r="G191" s="35" t="str" cm="1">
        <f t="array" ref="G191">Common_InputFunctions.Utility_DisplayArrayInTable(Common_SourceData.Common_SourceData_EFN2O_Data(), Table_SourceData_Common_EFN2O[[#Headers],[Production system j]], 0)</f>
        <v>Not irrigated</v>
      </c>
      <c r="H191" s="35"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5" t="str" cm="1">
        <f t="array" ref="D192">Common_InputFunctions.Utility_DisplayArrayInTable(Common_SourceData.Common_SourceData_EFN2O_Data(), Table_SourceData_Common_EFN2O[[#Headers],[Production system j]], 0)</f>
        <v>Non-irrigated crop (high rainfall)</v>
      </c>
      <c r="E192" s="35" cm="1">
        <f t="array" ref="E192">Common_InputFunctions.Utility_DisplayArrayInTable(Common_SourceData.Common_SourceData_EFN2O_Data(), Table_SourceData_Common_EFN2O[[#Headers],[Production system j]], 0)</f>
        <v>8.0000000000000002E-3</v>
      </c>
      <c r="F192" s="35" t="str" cm="1">
        <f t="array" ref="F192">Common_InputFunctions.Utility_DisplayArrayInTable(Common_SourceData.Common_SourceData_EFN2O_Data(), Table_SourceData_Common_EFN2O[[#Headers],[Production system j]], 0)</f>
        <v>Crop</v>
      </c>
      <c r="G192" s="35" t="str" cm="1">
        <f t="array" ref="G192">Common_InputFunctions.Utility_DisplayArrayInTable(Common_SourceData.Common_SourceData_EFN2O_Data(), Table_SourceData_Common_EFN2O[[#Headers],[Production system j]], 0)</f>
        <v>Not irrigated</v>
      </c>
      <c r="H192" s="35"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5" t="str" cm="1">
        <f t="array" ref="D193">Common_InputFunctions.Utility_DisplayArrayInTable(Common_SourceData.Common_SourceData_EFN2O_Data(), Table_SourceData_Common_EFN2O[[#Headers],[Production system j]], 0)</f>
        <v>Sugar</v>
      </c>
      <c r="E193" s="35" cm="1">
        <f t="array" ref="E193">Common_InputFunctions.Utility_DisplayArrayInTable(Common_SourceData.Common_SourceData_EFN2O_Data(), Table_SourceData_Common_EFN2O[[#Headers],[Production system j]], 0)</f>
        <v>1.9900000000000001E-2</v>
      </c>
      <c r="F193" s="35" t="str" cm="1">
        <f t="array" ref="F193">Common_InputFunctions.Utility_DisplayArrayInTable(Common_SourceData.Common_SourceData_EFN2O_Data(), Table_SourceData_Common_EFN2O[[#Headers],[Production system j]], 0)</f>
        <v>Sugar</v>
      </c>
      <c r="G193" s="35" t="str" cm="1">
        <f t="array" ref="G193">Common_InputFunctions.Utility_DisplayArrayInTable(Common_SourceData.Common_SourceData_EFN2O_Data(), Table_SourceData_Common_EFN2O[[#Headers],[Production system j]], 0)</f>
        <v>Any</v>
      </c>
      <c r="H193" s="35" t="str" cm="1">
        <f t="array" ref="H193">Common_InputFunctions.Utility_DisplayArrayInTable(Common_SourceData.Common_SourceData_EFN2O_Data(), Table_SourceData_Common_EFN2O[[#Headers],[Production system j]], 0)</f>
        <v>Any</v>
      </c>
    </row>
    <row r="194" spans="4:8" ht="20.100000000000001" customHeight="1" x14ac:dyDescent="0.25">
      <c r="D194" s="35" t="str" cm="1">
        <f t="array" ref="D194">Common_InputFunctions.Utility_DisplayArrayInTable(Common_SourceData.Common_SourceData_EFN2O_Data(), Table_SourceData_Common_EFN2O[[#Headers],[Production system j]], 0)</f>
        <v>Cotton</v>
      </c>
      <c r="E194" s="35" cm="1">
        <f t="array" ref="E194">Common_InputFunctions.Utility_DisplayArrayInTable(Common_SourceData.Common_SourceData_EFN2O_Data(), Table_SourceData_Common_EFN2O[[#Headers],[Production system j]], 0)</f>
        <v>5.3E-3</v>
      </c>
      <c r="F194" s="35" t="str" cm="1">
        <f t="array" ref="F194">Common_InputFunctions.Utility_DisplayArrayInTable(Common_SourceData.Common_SourceData_EFN2O_Data(), Table_SourceData_Common_EFN2O[[#Headers],[Production system j]], 0)</f>
        <v>Cotton</v>
      </c>
      <c r="G194" s="35" t="str" cm="1">
        <f t="array" ref="G194">Common_InputFunctions.Utility_DisplayArrayInTable(Common_SourceData.Common_SourceData_EFN2O_Data(), Table_SourceData_Common_EFN2O[[#Headers],[Production system j]], 0)</f>
        <v>Any</v>
      </c>
      <c r="H194" s="35" t="str" cm="1">
        <f t="array" ref="H194">Common_InputFunctions.Utility_DisplayArrayInTable(Common_SourceData.Common_SourceData_EFN2O_Data(), Table_SourceData_Common_EFN2O[[#Headers],[Production system j]], 0)</f>
        <v>Any</v>
      </c>
    </row>
    <row r="195" spans="4:8" ht="20.100000000000001" customHeight="1" x14ac:dyDescent="0.25">
      <c r="D195" s="35" t="str" cm="1">
        <f t="array" ref="D195">Common_InputFunctions.Utility_DisplayArrayInTable(Common_SourceData.Common_SourceData_EFN2O_Data(), Table_SourceData_Common_EFN2O[[#Headers],[Production system j]], 0)</f>
        <v>Horticultural crops</v>
      </c>
      <c r="E195" s="35" cm="1">
        <f t="array" ref="E195">Common_InputFunctions.Utility_DisplayArrayInTable(Common_SourceData.Common_SourceData_EFN2O_Data(), Table_SourceData_Common_EFN2O[[#Headers],[Production system j]], 0)</f>
        <v>6.4000000000000003E-3</v>
      </c>
      <c r="F195" s="35" t="str" cm="1">
        <f t="array" ref="F195">Common_InputFunctions.Utility_DisplayArrayInTable(Common_SourceData.Common_SourceData_EFN2O_Data(), Table_SourceData_Common_EFN2O[[#Headers],[Production system j]], 0)</f>
        <v>Horticultural crops</v>
      </c>
      <c r="G195" s="35" t="str" cm="1">
        <f t="array" ref="G195">Common_InputFunctions.Utility_DisplayArrayInTable(Common_SourceData.Common_SourceData_EFN2O_Data(), Table_SourceData_Common_EFN2O[[#Headers],[Production system j]], 0)</f>
        <v>Any</v>
      </c>
      <c r="H195" s="35" t="str" cm="1">
        <f t="array" ref="H195">Common_InputFunctions.Utility_DisplayArrayInTable(Common_SourceData.Common_SourceData_EFN2O_Data(), Table_SourceData_Common_EFN2O[[#Headers],[Production system j]], 0)</f>
        <v>Any</v>
      </c>
    </row>
    <row r="196" spans="4:8" ht="20.100000000000001" customHeight="1" x14ac:dyDescent="0.25">
      <c r="D196" s="35" t="str" cm="1">
        <f t="array" ref="D196">Common_InputFunctions.Utility_DisplayArrayInTable(Common_SourceData.Common_SourceData_EFN2O_Data(), Table_SourceData_Common_EFN2O[[#Headers],[Production system j]], 0)</f>
        <v>Rice (continuous flooding)</v>
      </c>
      <c r="E196" s="35" cm="1">
        <f t="array" ref="E196">Common_InputFunctions.Utility_DisplayArrayInTable(Common_SourceData.Common_SourceData_EFN2O_Data(), Table_SourceData_Common_EFN2O[[#Headers],[Production system j]], 0)</f>
        <v>3.0000000000000001E-3</v>
      </c>
      <c r="F196" s="35" t="str" cm="1">
        <f t="array" ref="F196">Common_InputFunctions.Utility_DisplayArrayInTable(Common_SourceData.Common_SourceData_EFN2O_Data(), Table_SourceData_Common_EFN2O[[#Headers],[Production system j]], 0)</f>
        <v>Rice</v>
      </c>
      <c r="G196" s="35" t="str" cm="1">
        <f t="array" ref="G196">Common_InputFunctions.Utility_DisplayArrayInTable(Common_SourceData.Common_SourceData_EFN2O_Data(), Table_SourceData_Common_EFN2O[[#Headers],[Production system j]], 0)</f>
        <v>Continuous flooding</v>
      </c>
      <c r="H196" s="35" t="str" cm="1">
        <f t="array" ref="H196">Common_InputFunctions.Utility_DisplayArrayInTable(Common_SourceData.Common_SourceData_EFN2O_Data(), Table_SourceData_Common_EFN2O[[#Headers],[Production system j]], 0)</f>
        <v>Any</v>
      </c>
    </row>
    <row r="197" spans="4:8" x14ac:dyDescent="0.25">
      <c r="D197" s="35" t="str" cm="1">
        <f t="array" ref="D197">Common_InputFunctions.Utility_DisplayArrayInTable(Common_SourceData.Common_SourceData_EFN2O_Data(), Table_SourceData_Common_EFN2O[[#Headers],[Production system j]], 0)</f>
        <v>Rice (single and multiple drainage, or alternate wetting and drying)</v>
      </c>
      <c r="E197" s="35" cm="1">
        <f t="array" ref="E197">Common_InputFunctions.Utility_DisplayArrayInTable(Common_SourceData.Common_SourceData_EFN2O_Data(), Table_SourceData_Common_EFN2O[[#Headers],[Production system j]], 0)</f>
        <v>5.0000000000000001E-3</v>
      </c>
      <c r="F197" s="35" t="str" cm="1">
        <f t="array" ref="F197">Common_InputFunctions.Utility_DisplayArrayInTable(Common_SourceData.Common_SourceData_EFN2O_Data(), Table_SourceData_Common_EFN2O[[#Headers],[Production system j]], 0)</f>
        <v>Rice</v>
      </c>
      <c r="G197" s="35" t="str" cm="1">
        <f t="array" ref="G197">Common_InputFunctions.Utility_DisplayArrayInTable(Common_SourceData.Common_SourceData_EFN2O_Data(), Table_SourceData_Common_EFN2O[[#Headers],[Production system j]], 0)</f>
        <v>Single and multiple drainage, or alternate wetting and drying</v>
      </c>
      <c r="H197" s="35" t="str" cm="1">
        <f t="array" ref="H197">Common_InputFunctions.Utility_DisplayArrayInTable(Common_SourceData.Common_SourceData_EFN2O_Data(), Table_SourceData_Common_EFN2O[[#Headers],[Production system j]], 0)</f>
        <v>Any</v>
      </c>
    </row>
    <row r="198" spans="4:8" x14ac:dyDescent="0.25">
      <c r="D198" s="35" t="str" cm="1">
        <f t="array" ref="D198">Common_InputFunctions.Utility_DisplayArrayInTable(Common_SourceData.Common_SourceData_EFN2O_Data(), Table_SourceData_Common_EFN2O[[#Headers],[Production system j]], 0)</f>
        <v>Aquaculture</v>
      </c>
      <c r="E198" s="35" cm="1">
        <f t="array" ref="E198">Common_InputFunctions.Utility_DisplayArrayInTable(Common_SourceData.Common_SourceData_EFN2O_Data(), Table_SourceData_Common_EFN2O[[#Headers],[Production system j]], 0)</f>
        <v>2.5999999999999999E-3</v>
      </c>
      <c r="F198" s="35" t="str" cm="1">
        <f t="array" ref="F198">Common_InputFunctions.Utility_DisplayArrayInTable(Common_SourceData.Common_SourceData_EFN2O_Data(), Table_SourceData_Common_EFN2O[[#Headers],[Production system j]], 0)</f>
        <v>Aquaculture</v>
      </c>
      <c r="G198" s="35" t="str" cm="1">
        <f t="array" ref="G198">Common_InputFunctions.Utility_DisplayArrayInTable(Common_SourceData.Common_SourceData_EFN2O_Data(), Table_SourceData_Common_EFN2O[[#Headers],[Production system j]], 0)</f>
        <v>Any</v>
      </c>
      <c r="H198" s="35" t="str" cm="1">
        <f t="array" ref="H198">Common_InputFunctions.Utility_DisplayArrayInTable(Common_SourceData.Common_SourceData_EFN2O_Data(), Table_SourceData_Common_EFN2O[[#Headers],[Production system j]], 0)</f>
        <v>Any</v>
      </c>
    </row>
    <row r="199" spans="4:8" x14ac:dyDescent="0.25">
      <c r="D199" s="35" t="str" cm="1">
        <f t="array" ref="D199">Common_InputFunctions.Utility_DisplayArrayInTable(Common_SourceData.Common_SourceData_EFN2O_Data(), Table_SourceData_Common_EFN2O[[#Headers],[Production system j]], 0)</f>
        <v>Forestry</v>
      </c>
      <c r="E199" s="35" cm="1">
        <f t="array" ref="E199">Common_InputFunctions.Utility_DisplayArrayInTable(Common_SourceData.Common_SourceData_EFN2O_Data(), Table_SourceData_Common_EFN2O[[#Headers],[Production system j]], 0)</f>
        <v>1.8E-3</v>
      </c>
      <c r="F199" s="35" t="str" cm="1">
        <f t="array" ref="F199">Common_InputFunctions.Utility_DisplayArrayInTable(Common_SourceData.Common_SourceData_EFN2O_Data(), Table_SourceData_Common_EFN2O[[#Headers],[Production system j]], 0)</f>
        <v>Forestry</v>
      </c>
      <c r="G199" s="35" t="str" cm="1">
        <f t="array" ref="G199">Common_InputFunctions.Utility_DisplayArrayInTable(Common_SourceData.Common_SourceData_EFN2O_Data(), Table_SourceData_Common_EFN2O[[#Headers],[Production system j]], 0)</f>
        <v>Any</v>
      </c>
      <c r="H199" s="35"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1" t="str" cm="1">
        <f t="array" ref="D204">Common_SourceData.Common_SourceData_EFPastureRangeAndPaddock_Variation()</f>
        <v>VARIATION FROM SOURCE DATA: Changed 'Dry climate zones' to singular 'Dry climate zone' to aid lookup.</v>
      </c>
    </row>
    <row r="205" spans="4:8" x14ac:dyDescent="0.25">
      <c r="D205" s="50" t="str" cm="1">
        <f t="array" ref="D205">Common_SourceData.Common_SourceData_EFPastureRangeAndPaddock_Unit()</f>
        <v>kg N2O - N / kg N</v>
      </c>
    </row>
    <row r="206" spans="4:8" x14ac:dyDescent="0.25">
      <c r="D206" s="35" t="s">
        <v>8</v>
      </c>
      <c r="E206" s="35" t="s">
        <v>77</v>
      </c>
    </row>
    <row r="207" spans="4:8" x14ac:dyDescent="0.25">
      <c r="D207" s="35" t="str" cm="1">
        <f t="array" ref="D207">Common_InputFunctions.Utility_DisplayArrayInTable(Common_SourceData.Common_SourceData_EFPastureRangeAndPaddock_Data(), Table_SourceData_EFPastureRangeAndPaddock[[#Headers],[Climate zone]], 0)</f>
        <v>Wet climate zone</v>
      </c>
      <c r="E207" s="35"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5"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5" t="s">
        <v>78</v>
      </c>
      <c r="E212" s="35" t="s">
        <v>79</v>
      </c>
    </row>
    <row r="213" spans="4:5" x14ac:dyDescent="0.25">
      <c r="D213" s="35" t="str" cm="1">
        <f t="array" ref="D213">Common_InputFunctions.Utility_DisplayArrayInTable(Common_SourceData.Common_SourceData_MonthsToSeasons_Data(), Table_SourceData_Common_MonthToSeason[[#Headers],[Month]], 0)</f>
        <v>January</v>
      </c>
      <c r="E213" s="35"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5"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5"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5"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5"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5"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5"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5"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5"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5"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5"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5"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5" t="s">
        <v>41</v>
      </c>
      <c r="E231" s="35" t="s">
        <v>87</v>
      </c>
      <c r="F231" s="34" t="s">
        <v>88</v>
      </c>
      <c r="G231" s="35" t="s">
        <v>89</v>
      </c>
      <c r="H231" s="35" t="s">
        <v>90</v>
      </c>
      <c r="I231" s="35" t="s">
        <v>91</v>
      </c>
      <c r="J231" s="35" t="s">
        <v>92</v>
      </c>
      <c r="K231" s="35" t="s">
        <v>93</v>
      </c>
      <c r="L231" s="35" t="s">
        <v>94</v>
      </c>
      <c r="M231" s="35" t="s">
        <v>95</v>
      </c>
      <c r="N231" s="35" t="s">
        <v>96</v>
      </c>
      <c r="O231" s="35" t="s">
        <v>97</v>
      </c>
      <c r="P231" s="35" t="s">
        <v>98</v>
      </c>
      <c r="Q231" s="35" t="s">
        <v>86</v>
      </c>
      <c r="R231" s="35" t="s">
        <v>99</v>
      </c>
      <c r="S231" s="35" t="s">
        <v>100</v>
      </c>
    </row>
    <row r="232" spans="4:19" x14ac:dyDescent="0.25">
      <c r="D232" s="35" t="str" cm="1">
        <f t="array" ref="D232">Common_InputFunctions.Utility_DisplayArrayInTable(Common_SourceData.Common_SourceData_MCFTemperatureZone_Data(),Table_SourceData_Common_MCFTemperatureZone[[#Headers],[Temperature zone]],0)</f>
        <v>Cool</v>
      </c>
      <c r="E232" s="35" t="str" cm="1">
        <f t="array" ref="E232">Common_InputFunctions.Utility_DisplayArrayInTable(Common_SourceData.Common_SourceData_MCFTemperatureZone_Data(),Table_SourceData_Common_MCFTemperatureZone[[#Headers],[Temperature zone]],0)</f>
        <v>≤10</v>
      </c>
      <c r="F232" s="35" cm="1">
        <f t="array" ref="F232">Common_InputFunctions.Utility_DisplayArrayInTable(Common_SourceData.Common_SourceData_MCFTemperatureZone_Data(),Table_SourceData_Common_MCFTemperatureZone[[#Headers],[Temperature zone]],0)</f>
        <v>0.66</v>
      </c>
      <c r="G232" s="35" cm="1">
        <f t="array" ref="G232">Common_InputFunctions.Utility_DisplayArrayInTable(Common_SourceData.Common_SourceData_MCFTemperatureZone_Data(),Table_SourceData_Common_MCFTemperatureZone[[#Headers],[Temperature zone]],0)</f>
        <v>0.1</v>
      </c>
      <c r="H232" s="35" cm="1">
        <f t="array" ref="H232">Common_InputFunctions.Utility_DisplayArrayInTable(Common_SourceData.Common_SourceData_MCFTemperatureZone_Data(),Table_SourceData_Common_MCFTemperatureZone[[#Headers],[Temperature zone]],0)</f>
        <v>0.1</v>
      </c>
      <c r="I232" s="35" cm="1">
        <f t="array" ref="I232">Common_InputFunctions.Utility_DisplayArrayInTable(Common_SourceData.Common_SourceData_MCFTemperatureZone_Data(),Table_SourceData_Common_MCFTemperatureZone[[#Headers],[Temperature zone]],0)</f>
        <v>1E-3</v>
      </c>
      <c r="J232" s="35" cm="1">
        <f t="array" ref="J232">Common_InputFunctions.Utility_DisplayArrayInTable(Common_SourceData.Common_SourceData_MCFTemperatureZone_Data(),Table_SourceData_Common_MCFTemperatureZone[[#Headers],[Temperature zone]],0)</f>
        <v>5.0000000000000001E-3</v>
      </c>
      <c r="K232" s="35" cm="1">
        <f t="array" ref="K232">Common_InputFunctions.Utility_DisplayArrayInTable(Common_SourceData.Common_SourceData_MCFTemperatureZone_Data(),Table_SourceData_Common_MCFTemperatureZone[[#Headers],[Temperature zone]],0)</f>
        <v>0.02</v>
      </c>
      <c r="L232" s="35" cm="1">
        <f t="array" ref="L232">Common_InputFunctions.Utility_DisplayArrayInTable(Common_SourceData.Common_SourceData_MCFTemperatureZone_Data(),Table_SourceData_Common_MCFTemperatureZone[[#Headers],[Temperature zone]],0)</f>
        <v>0.03</v>
      </c>
      <c r="M232" s="35" cm="1">
        <f t="array" ref="M232">Common_InputFunctions.Utility_DisplayArrayInTable(Common_SourceData.Common_SourceData_MCFTemperatureZone_Data(),Table_SourceData_Common_MCFTemperatureZone[[#Headers],[Temperature zone]],0)</f>
        <v>0.04</v>
      </c>
      <c r="N232" s="35" cm="1">
        <f t="array" ref="N232">Common_InputFunctions.Utility_DisplayArrayInTable(Common_SourceData.Common_SourceData_MCFTemperatureZone_Data(),Table_SourceData_Common_MCFTemperatureZone[[#Headers],[Temperature zone]],0)</f>
        <v>1.4999999999999999E-2</v>
      </c>
      <c r="O232" s="35" cm="1">
        <f t="array" ref="O232">Common_InputFunctions.Utility_DisplayArrayInTable(Common_SourceData.Common_SourceData_MCFTemperatureZone_Data(),Table_SourceData_Common_MCFTemperatureZone[[#Headers],[Temperature zone]],0)</f>
        <v>1.4999999999999999E-2</v>
      </c>
      <c r="P232" s="35" cm="1">
        <f t="array" ref="P232">Common_InputFunctions.Utility_DisplayArrayInTable(Common_SourceData.Common_SourceData_MCFTemperatureZone_Data(),Table_SourceData_Common_MCFTemperatureZone[[#Headers],[Temperature zone]],0)</f>
        <v>0</v>
      </c>
      <c r="Q232" s="35" cm="1">
        <f t="array" ref="Q232">Common_InputFunctions.Utility_DisplayArrayInTable(Common_SourceData.Common_SourceData_MCFTemperatureZone_Data(),Table_SourceData_Common_MCFTemperatureZone[[#Headers],[Temperature zone]],0)</f>
        <v>0</v>
      </c>
      <c r="R232" s="35" cm="1">
        <f t="array" ref="R232">Common_InputFunctions.Utility_DisplayArrayInTable(Common_SourceData.Common_SourceData_MCFTemperatureZone_Data(),Table_SourceData_Common_MCFTemperatureZone[[#Headers],[Temperature zone]],0)</f>
        <v>4.7000000000000002E-3</v>
      </c>
      <c r="S232" s="35"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5" cm="1">
        <f t="array" ref="E233">Common_InputFunctions.Utility_DisplayArrayInTable(Common_SourceData.Common_SourceData_MCFTemperatureZone_Data(),Table_SourceData_Common_MCFTemperatureZone[[#Headers],[Temperature zone]],0)</f>
        <v>11</v>
      </c>
      <c r="F233" s="35" cm="1">
        <f t="array" ref="F233">Common_InputFunctions.Utility_DisplayArrayInTable(Common_SourceData.Common_SourceData_MCFTemperatureZone_Data(),Table_SourceData_Common_MCFTemperatureZone[[#Headers],[Temperature zone]],0)</f>
        <v>0.68</v>
      </c>
      <c r="G233" s="35" cm="1">
        <f t="array" ref="G233">Common_InputFunctions.Utility_DisplayArrayInTable(Common_SourceData.Common_SourceData_MCFTemperatureZone_Data(),Table_SourceData_Common_MCFTemperatureZone[[#Headers],[Temperature zone]],0)</f>
        <v>0.1</v>
      </c>
      <c r="H233" s="35" cm="1">
        <f t="array" ref="H233">Common_InputFunctions.Utility_DisplayArrayInTable(Common_SourceData.Common_SourceData_MCFTemperatureZone_Data(),Table_SourceData_Common_MCFTemperatureZone[[#Headers],[Temperature zone]],0)</f>
        <v>0.11</v>
      </c>
      <c r="I233" s="35" cm="1">
        <f t="array" ref="I233">Common_InputFunctions.Utility_DisplayArrayInTable(Common_SourceData.Common_SourceData_MCFTemperatureZone_Data(),Table_SourceData_Common_MCFTemperatureZone[[#Headers],[Temperature zone]],0)</f>
        <v>1E-3</v>
      </c>
      <c r="J233" s="35" cm="1">
        <f t="array" ref="J233">Common_InputFunctions.Utility_DisplayArrayInTable(Common_SourceData.Common_SourceData_MCFTemperatureZone_Data(),Table_SourceData_Common_MCFTemperatureZone[[#Headers],[Temperature zone]],0)</f>
        <v>5.0000000000000001E-3</v>
      </c>
      <c r="K233" s="35" cm="1">
        <f t="array" ref="K233">Common_InputFunctions.Utility_DisplayArrayInTable(Common_SourceData.Common_SourceData_MCFTemperatureZone_Data(),Table_SourceData_Common_MCFTemperatureZone[[#Headers],[Temperature zone]],0)</f>
        <v>0.02</v>
      </c>
      <c r="L233" s="35" cm="1">
        <f t="array" ref="L233">Common_InputFunctions.Utility_DisplayArrayInTable(Common_SourceData.Common_SourceData_MCFTemperatureZone_Data(),Table_SourceData_Common_MCFTemperatureZone[[#Headers],[Temperature zone]],0)</f>
        <v>0.03</v>
      </c>
      <c r="M233" s="35" cm="1">
        <f t="array" ref="M233">Common_InputFunctions.Utility_DisplayArrayInTable(Common_SourceData.Common_SourceData_MCFTemperatureZone_Data(),Table_SourceData_Common_MCFTemperatureZone[[#Headers],[Temperature zone]],0)</f>
        <v>0.04</v>
      </c>
      <c r="N233" s="35" cm="1">
        <f t="array" ref="N233">Common_InputFunctions.Utility_DisplayArrayInTable(Common_SourceData.Common_SourceData_MCFTemperatureZone_Data(),Table_SourceData_Common_MCFTemperatureZone[[#Headers],[Temperature zone]],0)</f>
        <v>1.4999999999999999E-2</v>
      </c>
      <c r="O233" s="35" cm="1">
        <f t="array" ref="O233">Common_InputFunctions.Utility_DisplayArrayInTable(Common_SourceData.Common_SourceData_MCFTemperatureZone_Data(),Table_SourceData_Common_MCFTemperatureZone[[#Headers],[Temperature zone]],0)</f>
        <v>1.4999999999999999E-2</v>
      </c>
      <c r="P233" s="35" cm="1">
        <f t="array" ref="P233">Common_InputFunctions.Utility_DisplayArrayInTable(Common_SourceData.Common_SourceData_MCFTemperatureZone_Data(),Table_SourceData_Common_MCFTemperatureZone[[#Headers],[Temperature zone]],0)</f>
        <v>0</v>
      </c>
      <c r="Q233" s="35" cm="1">
        <f t="array" ref="Q233">Common_InputFunctions.Utility_DisplayArrayInTable(Common_SourceData.Common_SourceData_MCFTemperatureZone_Data(),Table_SourceData_Common_MCFTemperatureZone[[#Headers],[Temperature zone]],0)</f>
        <v>0</v>
      </c>
      <c r="R233" s="35" cm="1">
        <f t="array" ref="R233">Common_InputFunctions.Utility_DisplayArrayInTable(Common_SourceData.Common_SourceData_MCFTemperatureZone_Data(),Table_SourceData_Common_MCFTemperatureZone[[#Headers],[Temperature zone]],0)</f>
        <v>4.7000000000000002E-3</v>
      </c>
      <c r="S233" s="35"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5" cm="1">
        <f t="array" ref="E234">Common_InputFunctions.Utility_DisplayArrayInTable(Common_SourceData.Common_SourceData_MCFTemperatureZone_Data(),Table_SourceData_Common_MCFTemperatureZone[[#Headers],[Temperature zone]],0)</f>
        <v>12</v>
      </c>
      <c r="F234" s="35" cm="1">
        <f t="array" ref="F234">Common_InputFunctions.Utility_DisplayArrayInTable(Common_SourceData.Common_SourceData_MCFTemperatureZone_Data(),Table_SourceData_Common_MCFTemperatureZone[[#Headers],[Temperature zone]],0)</f>
        <v>0.7</v>
      </c>
      <c r="G234" s="35" cm="1">
        <f t="array" ref="G234">Common_InputFunctions.Utility_DisplayArrayInTable(Common_SourceData.Common_SourceData_MCFTemperatureZone_Data(),Table_SourceData_Common_MCFTemperatureZone[[#Headers],[Temperature zone]],0)</f>
        <v>0.1</v>
      </c>
      <c r="H234" s="35" cm="1">
        <f t="array" ref="H234">Common_InputFunctions.Utility_DisplayArrayInTable(Common_SourceData.Common_SourceData_MCFTemperatureZone_Data(),Table_SourceData_Common_MCFTemperatureZone[[#Headers],[Temperature zone]],0)</f>
        <v>0.13</v>
      </c>
      <c r="I234" s="35" cm="1">
        <f t="array" ref="I234">Common_InputFunctions.Utility_DisplayArrayInTable(Common_SourceData.Common_SourceData_MCFTemperatureZone_Data(),Table_SourceData_Common_MCFTemperatureZone[[#Headers],[Temperature zone]],0)</f>
        <v>1E-3</v>
      </c>
      <c r="J234" s="35" cm="1">
        <f t="array" ref="J234">Common_InputFunctions.Utility_DisplayArrayInTable(Common_SourceData.Common_SourceData_MCFTemperatureZone_Data(),Table_SourceData_Common_MCFTemperatureZone[[#Headers],[Temperature zone]],0)</f>
        <v>5.0000000000000001E-3</v>
      </c>
      <c r="K234" s="35" cm="1">
        <f t="array" ref="K234">Common_InputFunctions.Utility_DisplayArrayInTable(Common_SourceData.Common_SourceData_MCFTemperatureZone_Data(),Table_SourceData_Common_MCFTemperatureZone[[#Headers],[Temperature zone]],0)</f>
        <v>0.02</v>
      </c>
      <c r="L234" s="35" cm="1">
        <f t="array" ref="L234">Common_InputFunctions.Utility_DisplayArrayInTable(Common_SourceData.Common_SourceData_MCFTemperatureZone_Data(),Table_SourceData_Common_MCFTemperatureZone[[#Headers],[Temperature zone]],0)</f>
        <v>0.03</v>
      </c>
      <c r="M234" s="35" cm="1">
        <f t="array" ref="M234">Common_InputFunctions.Utility_DisplayArrayInTable(Common_SourceData.Common_SourceData_MCFTemperatureZone_Data(),Table_SourceData_Common_MCFTemperatureZone[[#Headers],[Temperature zone]],0)</f>
        <v>0.04</v>
      </c>
      <c r="N234" s="35" cm="1">
        <f t="array" ref="N234">Common_InputFunctions.Utility_DisplayArrayInTable(Common_SourceData.Common_SourceData_MCFTemperatureZone_Data(),Table_SourceData_Common_MCFTemperatureZone[[#Headers],[Temperature zone]],0)</f>
        <v>1.4999999999999999E-2</v>
      </c>
      <c r="O234" s="35" cm="1">
        <f t="array" ref="O234">Common_InputFunctions.Utility_DisplayArrayInTable(Common_SourceData.Common_SourceData_MCFTemperatureZone_Data(),Table_SourceData_Common_MCFTemperatureZone[[#Headers],[Temperature zone]],0)</f>
        <v>1.4999999999999999E-2</v>
      </c>
      <c r="P234" s="35" cm="1">
        <f t="array" ref="P234">Common_InputFunctions.Utility_DisplayArrayInTable(Common_SourceData.Common_SourceData_MCFTemperatureZone_Data(),Table_SourceData_Common_MCFTemperatureZone[[#Headers],[Temperature zone]],0)</f>
        <v>0</v>
      </c>
      <c r="Q234" s="35" cm="1">
        <f t="array" ref="Q234">Common_InputFunctions.Utility_DisplayArrayInTable(Common_SourceData.Common_SourceData_MCFTemperatureZone_Data(),Table_SourceData_Common_MCFTemperatureZone[[#Headers],[Temperature zone]],0)</f>
        <v>0</v>
      </c>
      <c r="R234" s="35" cm="1">
        <f t="array" ref="R234">Common_InputFunctions.Utility_DisplayArrayInTable(Common_SourceData.Common_SourceData_MCFTemperatureZone_Data(),Table_SourceData_Common_MCFTemperatureZone[[#Headers],[Temperature zone]],0)</f>
        <v>4.7000000000000002E-3</v>
      </c>
      <c r="S234" s="35"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5" cm="1">
        <f t="array" ref="E235">Common_InputFunctions.Utility_DisplayArrayInTable(Common_SourceData.Common_SourceData_MCFTemperatureZone_Data(),Table_SourceData_Common_MCFTemperatureZone[[#Headers],[Temperature zone]],0)</f>
        <v>13</v>
      </c>
      <c r="F235" s="35" cm="1">
        <f t="array" ref="F235">Common_InputFunctions.Utility_DisplayArrayInTable(Common_SourceData.Common_SourceData_MCFTemperatureZone_Data(),Table_SourceData_Common_MCFTemperatureZone[[#Headers],[Temperature zone]],0)</f>
        <v>0.71</v>
      </c>
      <c r="G235" s="35" cm="1">
        <f t="array" ref="G235">Common_InputFunctions.Utility_DisplayArrayInTable(Common_SourceData.Common_SourceData_MCFTemperatureZone_Data(),Table_SourceData_Common_MCFTemperatureZone[[#Headers],[Temperature zone]],0)</f>
        <v>0.1</v>
      </c>
      <c r="H235" s="35" cm="1">
        <f t="array" ref="H235">Common_InputFunctions.Utility_DisplayArrayInTable(Common_SourceData.Common_SourceData_MCFTemperatureZone_Data(),Table_SourceData_Common_MCFTemperatureZone[[#Headers],[Temperature zone]],0)</f>
        <v>0.14000000000000001</v>
      </c>
      <c r="I235" s="35" cm="1">
        <f t="array" ref="I235">Common_InputFunctions.Utility_DisplayArrayInTable(Common_SourceData.Common_SourceData_MCFTemperatureZone_Data(),Table_SourceData_Common_MCFTemperatureZone[[#Headers],[Temperature zone]],0)</f>
        <v>1E-3</v>
      </c>
      <c r="J235" s="35" cm="1">
        <f t="array" ref="J235">Common_InputFunctions.Utility_DisplayArrayInTable(Common_SourceData.Common_SourceData_MCFTemperatureZone_Data(),Table_SourceData_Common_MCFTemperatureZone[[#Headers],[Temperature zone]],0)</f>
        <v>5.0000000000000001E-3</v>
      </c>
      <c r="K235" s="35" cm="1">
        <f t="array" ref="K235">Common_InputFunctions.Utility_DisplayArrayInTable(Common_SourceData.Common_SourceData_MCFTemperatureZone_Data(),Table_SourceData_Common_MCFTemperatureZone[[#Headers],[Temperature zone]],0)</f>
        <v>0.02</v>
      </c>
      <c r="L235" s="35" cm="1">
        <f t="array" ref="L235">Common_InputFunctions.Utility_DisplayArrayInTable(Common_SourceData.Common_SourceData_MCFTemperatureZone_Data(),Table_SourceData_Common_MCFTemperatureZone[[#Headers],[Temperature zone]],0)</f>
        <v>0.03</v>
      </c>
      <c r="M235" s="35" cm="1">
        <f t="array" ref="M235">Common_InputFunctions.Utility_DisplayArrayInTable(Common_SourceData.Common_SourceData_MCFTemperatureZone_Data(),Table_SourceData_Common_MCFTemperatureZone[[#Headers],[Temperature zone]],0)</f>
        <v>0.04</v>
      </c>
      <c r="N235" s="35" cm="1">
        <f t="array" ref="N235">Common_InputFunctions.Utility_DisplayArrayInTable(Common_SourceData.Common_SourceData_MCFTemperatureZone_Data(),Table_SourceData_Common_MCFTemperatureZone[[#Headers],[Temperature zone]],0)</f>
        <v>1.4999999999999999E-2</v>
      </c>
      <c r="O235" s="35" cm="1">
        <f t="array" ref="O235">Common_InputFunctions.Utility_DisplayArrayInTable(Common_SourceData.Common_SourceData_MCFTemperatureZone_Data(),Table_SourceData_Common_MCFTemperatureZone[[#Headers],[Temperature zone]],0)</f>
        <v>1.4999999999999999E-2</v>
      </c>
      <c r="P235" s="35" cm="1">
        <f t="array" ref="P235">Common_InputFunctions.Utility_DisplayArrayInTable(Common_SourceData.Common_SourceData_MCFTemperatureZone_Data(),Table_SourceData_Common_MCFTemperatureZone[[#Headers],[Temperature zone]],0)</f>
        <v>0</v>
      </c>
      <c r="Q235" s="35" cm="1">
        <f t="array" ref="Q235">Common_InputFunctions.Utility_DisplayArrayInTable(Common_SourceData.Common_SourceData_MCFTemperatureZone_Data(),Table_SourceData_Common_MCFTemperatureZone[[#Headers],[Temperature zone]],0)</f>
        <v>0</v>
      </c>
      <c r="R235" s="35" cm="1">
        <f t="array" ref="R235">Common_InputFunctions.Utility_DisplayArrayInTable(Common_SourceData.Common_SourceData_MCFTemperatureZone_Data(),Table_SourceData_Common_MCFTemperatureZone[[#Headers],[Temperature zone]],0)</f>
        <v>4.7000000000000002E-3</v>
      </c>
      <c r="S235" s="35"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5" cm="1">
        <f t="array" ref="E236">Common_InputFunctions.Utility_DisplayArrayInTable(Common_SourceData.Common_SourceData_MCFTemperatureZone_Data(),Table_SourceData_Common_MCFTemperatureZone[[#Headers],[Temperature zone]],0)</f>
        <v>14</v>
      </c>
      <c r="F236" s="35" cm="1">
        <f t="array" ref="F236">Common_InputFunctions.Utility_DisplayArrayInTable(Common_SourceData.Common_SourceData_MCFTemperatureZone_Data(),Table_SourceData_Common_MCFTemperatureZone[[#Headers],[Temperature zone]],0)</f>
        <v>0.73</v>
      </c>
      <c r="G236" s="35" cm="1">
        <f t="array" ref="G236">Common_InputFunctions.Utility_DisplayArrayInTable(Common_SourceData.Common_SourceData_MCFTemperatureZone_Data(),Table_SourceData_Common_MCFTemperatureZone[[#Headers],[Temperature zone]],0)</f>
        <v>0.1</v>
      </c>
      <c r="H236" s="35" cm="1">
        <f t="array" ref="H236">Common_InputFunctions.Utility_DisplayArrayInTable(Common_SourceData.Common_SourceData_MCFTemperatureZone_Data(),Table_SourceData_Common_MCFTemperatureZone[[#Headers],[Temperature zone]],0)</f>
        <v>0.15</v>
      </c>
      <c r="I236" s="35" cm="1">
        <f t="array" ref="I236">Common_InputFunctions.Utility_DisplayArrayInTable(Common_SourceData.Common_SourceData_MCFTemperatureZone_Data(),Table_SourceData_Common_MCFTemperatureZone[[#Headers],[Temperature zone]],0)</f>
        <v>1E-3</v>
      </c>
      <c r="J236" s="35" cm="1">
        <f t="array" ref="J236">Common_InputFunctions.Utility_DisplayArrayInTable(Common_SourceData.Common_SourceData_MCFTemperatureZone_Data(),Table_SourceData_Common_MCFTemperatureZone[[#Headers],[Temperature zone]],0)</f>
        <v>5.0000000000000001E-3</v>
      </c>
      <c r="K236" s="35" cm="1">
        <f t="array" ref="K236">Common_InputFunctions.Utility_DisplayArrayInTable(Common_SourceData.Common_SourceData_MCFTemperatureZone_Data(),Table_SourceData_Common_MCFTemperatureZone[[#Headers],[Temperature zone]],0)</f>
        <v>0.02</v>
      </c>
      <c r="L236" s="35" cm="1">
        <f t="array" ref="L236">Common_InputFunctions.Utility_DisplayArrayInTable(Common_SourceData.Common_SourceData_MCFTemperatureZone_Data(),Table_SourceData_Common_MCFTemperatureZone[[#Headers],[Temperature zone]],0)</f>
        <v>0.03</v>
      </c>
      <c r="M236" s="35" cm="1">
        <f t="array" ref="M236">Common_InputFunctions.Utility_DisplayArrayInTable(Common_SourceData.Common_SourceData_MCFTemperatureZone_Data(),Table_SourceData_Common_MCFTemperatureZone[[#Headers],[Temperature zone]],0)</f>
        <v>0.04</v>
      </c>
      <c r="N236" s="35" cm="1">
        <f t="array" ref="N236">Common_InputFunctions.Utility_DisplayArrayInTable(Common_SourceData.Common_SourceData_MCFTemperatureZone_Data(),Table_SourceData_Common_MCFTemperatureZone[[#Headers],[Temperature zone]],0)</f>
        <v>1.4999999999999999E-2</v>
      </c>
      <c r="O236" s="35" cm="1">
        <f t="array" ref="O236">Common_InputFunctions.Utility_DisplayArrayInTable(Common_SourceData.Common_SourceData_MCFTemperatureZone_Data(),Table_SourceData_Common_MCFTemperatureZone[[#Headers],[Temperature zone]],0)</f>
        <v>1.4999999999999999E-2</v>
      </c>
      <c r="P236" s="35" cm="1">
        <f t="array" ref="P236">Common_InputFunctions.Utility_DisplayArrayInTable(Common_SourceData.Common_SourceData_MCFTemperatureZone_Data(),Table_SourceData_Common_MCFTemperatureZone[[#Headers],[Temperature zone]],0)</f>
        <v>0</v>
      </c>
      <c r="Q236" s="35" cm="1">
        <f t="array" ref="Q236">Common_InputFunctions.Utility_DisplayArrayInTable(Common_SourceData.Common_SourceData_MCFTemperatureZone_Data(),Table_SourceData_Common_MCFTemperatureZone[[#Headers],[Temperature zone]],0)</f>
        <v>0</v>
      </c>
      <c r="R236" s="35" cm="1">
        <f t="array" ref="R236">Common_InputFunctions.Utility_DisplayArrayInTable(Common_SourceData.Common_SourceData_MCFTemperatureZone_Data(),Table_SourceData_Common_MCFTemperatureZone[[#Headers],[Temperature zone]],0)</f>
        <v>4.7000000000000002E-3</v>
      </c>
      <c r="S236" s="35"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5" cm="1">
        <f t="array" ref="E237">Common_InputFunctions.Utility_DisplayArrayInTable(Common_SourceData.Common_SourceData_MCFTemperatureZone_Data(),Table_SourceData_Common_MCFTemperatureZone[[#Headers],[Temperature zone]],0)</f>
        <v>15</v>
      </c>
      <c r="F237" s="35" cm="1">
        <f t="array" ref="F237">Common_InputFunctions.Utility_DisplayArrayInTable(Common_SourceData.Common_SourceData_MCFTemperatureZone_Data(),Table_SourceData_Common_MCFTemperatureZone[[#Headers],[Temperature zone]],0)</f>
        <v>0.74</v>
      </c>
      <c r="G237" s="35" cm="1">
        <f t="array" ref="G237">Common_InputFunctions.Utility_DisplayArrayInTable(Common_SourceData.Common_SourceData_MCFTemperatureZone_Data(),Table_SourceData_Common_MCFTemperatureZone[[#Headers],[Temperature zone]],0)</f>
        <v>0.1</v>
      </c>
      <c r="H237" s="35" cm="1">
        <f t="array" ref="H237">Common_InputFunctions.Utility_DisplayArrayInTable(Common_SourceData.Common_SourceData_MCFTemperatureZone_Data(),Table_SourceData_Common_MCFTemperatureZone[[#Headers],[Temperature zone]],0)</f>
        <v>0.17</v>
      </c>
      <c r="I237" s="35" cm="1">
        <f t="array" ref="I237">Common_InputFunctions.Utility_DisplayArrayInTable(Common_SourceData.Common_SourceData_MCFTemperatureZone_Data(),Table_SourceData_Common_MCFTemperatureZone[[#Headers],[Temperature zone]],0)</f>
        <v>5.0000000000000001E-3</v>
      </c>
      <c r="J237" s="35" cm="1">
        <f t="array" ref="J237">Common_InputFunctions.Utility_DisplayArrayInTable(Common_SourceData.Common_SourceData_MCFTemperatureZone_Data(),Table_SourceData_Common_MCFTemperatureZone[[#Headers],[Temperature zone]],0)</f>
        <v>0.01</v>
      </c>
      <c r="K237" s="35" cm="1">
        <f t="array" ref="K237">Common_InputFunctions.Utility_DisplayArrayInTable(Common_SourceData.Common_SourceData_MCFTemperatureZone_Data(),Table_SourceData_Common_MCFTemperatureZone[[#Headers],[Temperature zone]],0)</f>
        <v>0.02</v>
      </c>
      <c r="L237" s="35" cm="1">
        <f t="array" ref="L237">Common_InputFunctions.Utility_DisplayArrayInTable(Common_SourceData.Common_SourceData_MCFTemperatureZone_Data(),Table_SourceData_Common_MCFTemperatureZone[[#Headers],[Temperature zone]],0)</f>
        <v>0.03</v>
      </c>
      <c r="M237" s="35" cm="1">
        <f t="array" ref="M237">Common_InputFunctions.Utility_DisplayArrayInTable(Common_SourceData.Common_SourceData_MCFTemperatureZone_Data(),Table_SourceData_Common_MCFTemperatureZone[[#Headers],[Temperature zone]],0)</f>
        <v>0.04</v>
      </c>
      <c r="N237" s="35" cm="1">
        <f t="array" ref="N237">Common_InputFunctions.Utility_DisplayArrayInTable(Common_SourceData.Common_SourceData_MCFTemperatureZone_Data(),Table_SourceData_Common_MCFTemperatureZone[[#Headers],[Temperature zone]],0)</f>
        <v>1.4999999999999999E-2</v>
      </c>
      <c r="O237" s="35" cm="1">
        <f t="array" ref="O237">Common_InputFunctions.Utility_DisplayArrayInTable(Common_SourceData.Common_SourceData_MCFTemperatureZone_Data(),Table_SourceData_Common_MCFTemperatureZone[[#Headers],[Temperature zone]],0)</f>
        <v>1.4999999999999999E-2</v>
      </c>
      <c r="P237" s="35" cm="1">
        <f t="array" ref="P237">Common_InputFunctions.Utility_DisplayArrayInTable(Common_SourceData.Common_SourceData_MCFTemperatureZone_Data(),Table_SourceData_Common_MCFTemperatureZone[[#Headers],[Temperature zone]],0)</f>
        <v>0</v>
      </c>
      <c r="Q237" s="35" cm="1">
        <f t="array" ref="Q237">Common_InputFunctions.Utility_DisplayArrayInTable(Common_SourceData.Common_SourceData_MCFTemperatureZone_Data(),Table_SourceData_Common_MCFTemperatureZone[[#Headers],[Temperature zone]],0)</f>
        <v>0</v>
      </c>
      <c r="R237" s="35" cm="1">
        <f t="array" ref="R237">Common_InputFunctions.Utility_DisplayArrayInTable(Common_SourceData.Common_SourceData_MCFTemperatureZone_Data(),Table_SourceData_Common_MCFTemperatureZone[[#Headers],[Temperature zone]],0)</f>
        <v>4.7000000000000002E-3</v>
      </c>
      <c r="S237" s="35"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5" cm="1">
        <f t="array" ref="E238">Common_InputFunctions.Utility_DisplayArrayInTable(Common_SourceData.Common_SourceData_MCFTemperatureZone_Data(),Table_SourceData_Common_MCFTemperatureZone[[#Headers],[Temperature zone]],0)</f>
        <v>16</v>
      </c>
      <c r="F238" s="35" cm="1">
        <f t="array" ref="F238">Common_InputFunctions.Utility_DisplayArrayInTable(Common_SourceData.Common_SourceData_MCFTemperatureZone_Data(),Table_SourceData_Common_MCFTemperatureZone[[#Headers],[Temperature zone]],0)</f>
        <v>0.75</v>
      </c>
      <c r="G238" s="35" cm="1">
        <f t="array" ref="G238">Common_InputFunctions.Utility_DisplayArrayInTable(Common_SourceData.Common_SourceData_MCFTemperatureZone_Data(),Table_SourceData_Common_MCFTemperatureZone[[#Headers],[Temperature zone]],0)</f>
        <v>0.1</v>
      </c>
      <c r="H238" s="35" cm="1">
        <f t="array" ref="H238">Common_InputFunctions.Utility_DisplayArrayInTable(Common_SourceData.Common_SourceData_MCFTemperatureZone_Data(),Table_SourceData_Common_MCFTemperatureZone[[#Headers],[Temperature zone]],0)</f>
        <v>0.18</v>
      </c>
      <c r="I238" s="35" cm="1">
        <f t="array" ref="I238">Common_InputFunctions.Utility_DisplayArrayInTable(Common_SourceData.Common_SourceData_MCFTemperatureZone_Data(),Table_SourceData_Common_MCFTemperatureZone[[#Headers],[Temperature zone]],0)</f>
        <v>5.0000000000000001E-3</v>
      </c>
      <c r="J238" s="35" cm="1">
        <f t="array" ref="J238">Common_InputFunctions.Utility_DisplayArrayInTable(Common_SourceData.Common_SourceData_MCFTemperatureZone_Data(),Table_SourceData_Common_MCFTemperatureZone[[#Headers],[Temperature zone]],0)</f>
        <v>0.01</v>
      </c>
      <c r="K238" s="35" cm="1">
        <f t="array" ref="K238">Common_InputFunctions.Utility_DisplayArrayInTable(Common_SourceData.Common_SourceData_MCFTemperatureZone_Data(),Table_SourceData_Common_MCFTemperatureZone[[#Headers],[Temperature zone]],0)</f>
        <v>0.02</v>
      </c>
      <c r="L238" s="35" cm="1">
        <f t="array" ref="L238">Common_InputFunctions.Utility_DisplayArrayInTable(Common_SourceData.Common_SourceData_MCFTemperatureZone_Data(),Table_SourceData_Common_MCFTemperatureZone[[#Headers],[Temperature zone]],0)</f>
        <v>0.03</v>
      </c>
      <c r="M238" s="35" cm="1">
        <f t="array" ref="M238">Common_InputFunctions.Utility_DisplayArrayInTable(Common_SourceData.Common_SourceData_MCFTemperatureZone_Data(),Table_SourceData_Common_MCFTemperatureZone[[#Headers],[Temperature zone]],0)</f>
        <v>0.04</v>
      </c>
      <c r="N238" s="35" cm="1">
        <f t="array" ref="N238">Common_InputFunctions.Utility_DisplayArrayInTable(Common_SourceData.Common_SourceData_MCFTemperatureZone_Data(),Table_SourceData_Common_MCFTemperatureZone[[#Headers],[Temperature zone]],0)</f>
        <v>1.4999999999999999E-2</v>
      </c>
      <c r="O238" s="35" cm="1">
        <f t="array" ref="O238">Common_InputFunctions.Utility_DisplayArrayInTable(Common_SourceData.Common_SourceData_MCFTemperatureZone_Data(),Table_SourceData_Common_MCFTemperatureZone[[#Headers],[Temperature zone]],0)</f>
        <v>1.4999999999999999E-2</v>
      </c>
      <c r="P238" s="35" cm="1">
        <f t="array" ref="P238">Common_InputFunctions.Utility_DisplayArrayInTable(Common_SourceData.Common_SourceData_MCFTemperatureZone_Data(),Table_SourceData_Common_MCFTemperatureZone[[#Headers],[Temperature zone]],0)</f>
        <v>0</v>
      </c>
      <c r="Q238" s="35" cm="1">
        <f t="array" ref="Q238">Common_InputFunctions.Utility_DisplayArrayInTable(Common_SourceData.Common_SourceData_MCFTemperatureZone_Data(),Table_SourceData_Common_MCFTemperatureZone[[#Headers],[Temperature zone]],0)</f>
        <v>0</v>
      </c>
      <c r="R238" s="35" cm="1">
        <f t="array" ref="R238">Common_InputFunctions.Utility_DisplayArrayInTable(Common_SourceData.Common_SourceData_MCFTemperatureZone_Data(),Table_SourceData_Common_MCFTemperatureZone[[#Headers],[Temperature zone]],0)</f>
        <v>4.7000000000000002E-3</v>
      </c>
      <c r="S238" s="35"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5" cm="1">
        <f t="array" ref="E239">Common_InputFunctions.Utility_DisplayArrayInTable(Common_SourceData.Common_SourceData_MCFTemperatureZone_Data(),Table_SourceData_Common_MCFTemperatureZone[[#Headers],[Temperature zone]],0)</f>
        <v>17</v>
      </c>
      <c r="F239" s="35" cm="1">
        <f t="array" ref="F239">Common_InputFunctions.Utility_DisplayArrayInTable(Common_SourceData.Common_SourceData_MCFTemperatureZone_Data(),Table_SourceData_Common_MCFTemperatureZone[[#Headers],[Temperature zone]],0)</f>
        <v>0.76</v>
      </c>
      <c r="G239" s="35" cm="1">
        <f t="array" ref="G239">Common_InputFunctions.Utility_DisplayArrayInTable(Common_SourceData.Common_SourceData_MCFTemperatureZone_Data(),Table_SourceData_Common_MCFTemperatureZone[[#Headers],[Temperature zone]],0)</f>
        <v>0.1</v>
      </c>
      <c r="H239" s="35" cm="1">
        <f t="array" ref="H239">Common_InputFunctions.Utility_DisplayArrayInTable(Common_SourceData.Common_SourceData_MCFTemperatureZone_Data(),Table_SourceData_Common_MCFTemperatureZone[[#Headers],[Temperature zone]],0)</f>
        <v>0.2</v>
      </c>
      <c r="I239" s="35" cm="1">
        <f t="array" ref="I239">Common_InputFunctions.Utility_DisplayArrayInTable(Common_SourceData.Common_SourceData_MCFTemperatureZone_Data(),Table_SourceData_Common_MCFTemperatureZone[[#Headers],[Temperature zone]],0)</f>
        <v>5.0000000000000001E-3</v>
      </c>
      <c r="J239" s="35" cm="1">
        <f t="array" ref="J239">Common_InputFunctions.Utility_DisplayArrayInTable(Common_SourceData.Common_SourceData_MCFTemperatureZone_Data(),Table_SourceData_Common_MCFTemperatureZone[[#Headers],[Temperature zone]],0)</f>
        <v>0.01</v>
      </c>
      <c r="K239" s="35" cm="1">
        <f t="array" ref="K239">Common_InputFunctions.Utility_DisplayArrayInTable(Common_SourceData.Common_SourceData_MCFTemperatureZone_Data(),Table_SourceData_Common_MCFTemperatureZone[[#Headers],[Temperature zone]],0)</f>
        <v>0.02</v>
      </c>
      <c r="L239" s="35" cm="1">
        <f t="array" ref="L239">Common_InputFunctions.Utility_DisplayArrayInTable(Common_SourceData.Common_SourceData_MCFTemperatureZone_Data(),Table_SourceData_Common_MCFTemperatureZone[[#Headers],[Temperature zone]],0)</f>
        <v>0.03</v>
      </c>
      <c r="M239" s="35" cm="1">
        <f t="array" ref="M239">Common_InputFunctions.Utility_DisplayArrayInTable(Common_SourceData.Common_SourceData_MCFTemperatureZone_Data(),Table_SourceData_Common_MCFTemperatureZone[[#Headers],[Temperature zone]],0)</f>
        <v>0.04</v>
      </c>
      <c r="N239" s="35" cm="1">
        <f t="array" ref="N239">Common_InputFunctions.Utility_DisplayArrayInTable(Common_SourceData.Common_SourceData_MCFTemperatureZone_Data(),Table_SourceData_Common_MCFTemperatureZone[[#Headers],[Temperature zone]],0)</f>
        <v>1.4999999999999999E-2</v>
      </c>
      <c r="O239" s="35" cm="1">
        <f t="array" ref="O239">Common_InputFunctions.Utility_DisplayArrayInTable(Common_SourceData.Common_SourceData_MCFTemperatureZone_Data(),Table_SourceData_Common_MCFTemperatureZone[[#Headers],[Temperature zone]],0)</f>
        <v>1.4999999999999999E-2</v>
      </c>
      <c r="P239" s="35" cm="1">
        <f t="array" ref="P239">Common_InputFunctions.Utility_DisplayArrayInTable(Common_SourceData.Common_SourceData_MCFTemperatureZone_Data(),Table_SourceData_Common_MCFTemperatureZone[[#Headers],[Temperature zone]],0)</f>
        <v>0</v>
      </c>
      <c r="Q239" s="35" cm="1">
        <f t="array" ref="Q239">Common_InputFunctions.Utility_DisplayArrayInTable(Common_SourceData.Common_SourceData_MCFTemperatureZone_Data(),Table_SourceData_Common_MCFTemperatureZone[[#Headers],[Temperature zone]],0)</f>
        <v>0</v>
      </c>
      <c r="R239" s="35" cm="1">
        <f t="array" ref="R239">Common_InputFunctions.Utility_DisplayArrayInTable(Common_SourceData.Common_SourceData_MCFTemperatureZone_Data(),Table_SourceData_Common_MCFTemperatureZone[[#Headers],[Temperature zone]],0)</f>
        <v>4.7000000000000002E-3</v>
      </c>
      <c r="S239" s="35"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5" cm="1">
        <f t="array" ref="E240">Common_InputFunctions.Utility_DisplayArrayInTable(Common_SourceData.Common_SourceData_MCFTemperatureZone_Data(),Table_SourceData_Common_MCFTemperatureZone[[#Headers],[Temperature zone]],0)</f>
        <v>18</v>
      </c>
      <c r="F240" s="35" cm="1">
        <f t="array" ref="F240">Common_InputFunctions.Utility_DisplayArrayInTable(Common_SourceData.Common_SourceData_MCFTemperatureZone_Data(),Table_SourceData_Common_MCFTemperatureZone[[#Headers],[Temperature zone]],0)</f>
        <v>0.77</v>
      </c>
      <c r="G240" s="35" cm="1">
        <f t="array" ref="G240">Common_InputFunctions.Utility_DisplayArrayInTable(Common_SourceData.Common_SourceData_MCFTemperatureZone_Data(),Table_SourceData_Common_MCFTemperatureZone[[#Headers],[Temperature zone]],0)</f>
        <v>0.1</v>
      </c>
      <c r="H240" s="35" cm="1">
        <f t="array" ref="H240">Common_InputFunctions.Utility_DisplayArrayInTable(Common_SourceData.Common_SourceData_MCFTemperatureZone_Data(),Table_SourceData_Common_MCFTemperatureZone[[#Headers],[Temperature zone]],0)</f>
        <v>0.22</v>
      </c>
      <c r="I240" s="35" cm="1">
        <f t="array" ref="I240">Common_InputFunctions.Utility_DisplayArrayInTable(Common_SourceData.Common_SourceData_MCFTemperatureZone_Data(),Table_SourceData_Common_MCFTemperatureZone[[#Headers],[Temperature zone]],0)</f>
        <v>5.0000000000000001E-3</v>
      </c>
      <c r="J240" s="35" cm="1">
        <f t="array" ref="J240">Common_InputFunctions.Utility_DisplayArrayInTable(Common_SourceData.Common_SourceData_MCFTemperatureZone_Data(),Table_SourceData_Common_MCFTemperatureZone[[#Headers],[Temperature zone]],0)</f>
        <v>0.01</v>
      </c>
      <c r="K240" s="35" cm="1">
        <f t="array" ref="K240">Common_InputFunctions.Utility_DisplayArrayInTable(Common_SourceData.Common_SourceData_MCFTemperatureZone_Data(),Table_SourceData_Common_MCFTemperatureZone[[#Headers],[Temperature zone]],0)</f>
        <v>0.02</v>
      </c>
      <c r="L240" s="35" cm="1">
        <f t="array" ref="L240">Common_InputFunctions.Utility_DisplayArrayInTable(Common_SourceData.Common_SourceData_MCFTemperatureZone_Data(),Table_SourceData_Common_MCFTemperatureZone[[#Headers],[Temperature zone]],0)</f>
        <v>0.03</v>
      </c>
      <c r="M240" s="35" cm="1">
        <f t="array" ref="M240">Common_InputFunctions.Utility_DisplayArrayInTable(Common_SourceData.Common_SourceData_MCFTemperatureZone_Data(),Table_SourceData_Common_MCFTemperatureZone[[#Headers],[Temperature zone]],0)</f>
        <v>0.04</v>
      </c>
      <c r="N240" s="35" cm="1">
        <f t="array" ref="N240">Common_InputFunctions.Utility_DisplayArrayInTable(Common_SourceData.Common_SourceData_MCFTemperatureZone_Data(),Table_SourceData_Common_MCFTemperatureZone[[#Headers],[Temperature zone]],0)</f>
        <v>1.4999999999999999E-2</v>
      </c>
      <c r="O240" s="35" cm="1">
        <f t="array" ref="O240">Common_InputFunctions.Utility_DisplayArrayInTable(Common_SourceData.Common_SourceData_MCFTemperatureZone_Data(),Table_SourceData_Common_MCFTemperatureZone[[#Headers],[Temperature zone]],0)</f>
        <v>1.4999999999999999E-2</v>
      </c>
      <c r="P240" s="35" cm="1">
        <f t="array" ref="P240">Common_InputFunctions.Utility_DisplayArrayInTable(Common_SourceData.Common_SourceData_MCFTemperatureZone_Data(),Table_SourceData_Common_MCFTemperatureZone[[#Headers],[Temperature zone]],0)</f>
        <v>0</v>
      </c>
      <c r="Q240" s="35" cm="1">
        <f t="array" ref="Q240">Common_InputFunctions.Utility_DisplayArrayInTable(Common_SourceData.Common_SourceData_MCFTemperatureZone_Data(),Table_SourceData_Common_MCFTemperatureZone[[#Headers],[Temperature zone]],0)</f>
        <v>0</v>
      </c>
      <c r="R240" s="35" cm="1">
        <f t="array" ref="R240">Common_InputFunctions.Utility_DisplayArrayInTable(Common_SourceData.Common_SourceData_MCFTemperatureZone_Data(),Table_SourceData_Common_MCFTemperatureZone[[#Headers],[Temperature zone]],0)</f>
        <v>4.7000000000000002E-3</v>
      </c>
      <c r="S240" s="35"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5" cm="1">
        <f t="array" ref="E241">Common_InputFunctions.Utility_DisplayArrayInTable(Common_SourceData.Common_SourceData_MCFTemperatureZone_Data(),Table_SourceData_Common_MCFTemperatureZone[[#Headers],[Temperature zone]],0)</f>
        <v>19</v>
      </c>
      <c r="F241" s="35" cm="1">
        <f t="array" ref="F241">Common_InputFunctions.Utility_DisplayArrayInTable(Common_SourceData.Common_SourceData_MCFTemperatureZone_Data(),Table_SourceData_Common_MCFTemperatureZone[[#Headers],[Temperature zone]],0)</f>
        <v>0.77</v>
      </c>
      <c r="G241" s="35" cm="1">
        <f t="array" ref="G241">Common_InputFunctions.Utility_DisplayArrayInTable(Common_SourceData.Common_SourceData_MCFTemperatureZone_Data(),Table_SourceData_Common_MCFTemperatureZone[[#Headers],[Temperature zone]],0)</f>
        <v>0.1</v>
      </c>
      <c r="H241" s="35" cm="1">
        <f t="array" ref="H241">Common_InputFunctions.Utility_DisplayArrayInTable(Common_SourceData.Common_SourceData_MCFTemperatureZone_Data(),Table_SourceData_Common_MCFTemperatureZone[[#Headers],[Temperature zone]],0)</f>
        <v>0.24</v>
      </c>
      <c r="I241" s="35" cm="1">
        <f t="array" ref="I241">Common_InputFunctions.Utility_DisplayArrayInTable(Common_SourceData.Common_SourceData_MCFTemperatureZone_Data(),Table_SourceData_Common_MCFTemperatureZone[[#Headers],[Temperature zone]],0)</f>
        <v>5.0000000000000001E-3</v>
      </c>
      <c r="J241" s="35" cm="1">
        <f t="array" ref="J241">Common_InputFunctions.Utility_DisplayArrayInTable(Common_SourceData.Common_SourceData_MCFTemperatureZone_Data(),Table_SourceData_Common_MCFTemperatureZone[[#Headers],[Temperature zone]],0)</f>
        <v>0.01</v>
      </c>
      <c r="K241" s="35" cm="1">
        <f t="array" ref="K241">Common_InputFunctions.Utility_DisplayArrayInTable(Common_SourceData.Common_SourceData_MCFTemperatureZone_Data(),Table_SourceData_Common_MCFTemperatureZone[[#Headers],[Temperature zone]],0)</f>
        <v>0.02</v>
      </c>
      <c r="L241" s="35" cm="1">
        <f t="array" ref="L241">Common_InputFunctions.Utility_DisplayArrayInTable(Common_SourceData.Common_SourceData_MCFTemperatureZone_Data(),Table_SourceData_Common_MCFTemperatureZone[[#Headers],[Temperature zone]],0)</f>
        <v>0.03</v>
      </c>
      <c r="M241" s="35" cm="1">
        <f t="array" ref="M241">Common_InputFunctions.Utility_DisplayArrayInTable(Common_SourceData.Common_SourceData_MCFTemperatureZone_Data(),Table_SourceData_Common_MCFTemperatureZone[[#Headers],[Temperature zone]],0)</f>
        <v>0.04</v>
      </c>
      <c r="N241" s="35" cm="1">
        <f t="array" ref="N241">Common_InputFunctions.Utility_DisplayArrayInTable(Common_SourceData.Common_SourceData_MCFTemperatureZone_Data(),Table_SourceData_Common_MCFTemperatureZone[[#Headers],[Temperature zone]],0)</f>
        <v>1.4999999999999999E-2</v>
      </c>
      <c r="O241" s="35" cm="1">
        <f t="array" ref="O241">Common_InputFunctions.Utility_DisplayArrayInTable(Common_SourceData.Common_SourceData_MCFTemperatureZone_Data(),Table_SourceData_Common_MCFTemperatureZone[[#Headers],[Temperature zone]],0)</f>
        <v>1.4999999999999999E-2</v>
      </c>
      <c r="P241" s="35" cm="1">
        <f t="array" ref="P241">Common_InputFunctions.Utility_DisplayArrayInTable(Common_SourceData.Common_SourceData_MCFTemperatureZone_Data(),Table_SourceData_Common_MCFTemperatureZone[[#Headers],[Temperature zone]],0)</f>
        <v>0</v>
      </c>
      <c r="Q241" s="35" cm="1">
        <f t="array" ref="Q241">Common_InputFunctions.Utility_DisplayArrayInTable(Common_SourceData.Common_SourceData_MCFTemperatureZone_Data(),Table_SourceData_Common_MCFTemperatureZone[[#Headers],[Temperature zone]],0)</f>
        <v>0</v>
      </c>
      <c r="R241" s="35" cm="1">
        <f t="array" ref="R241">Common_InputFunctions.Utility_DisplayArrayInTable(Common_SourceData.Common_SourceData_MCFTemperatureZone_Data(),Table_SourceData_Common_MCFTemperatureZone[[#Headers],[Temperature zone]],0)</f>
        <v>4.7000000000000002E-3</v>
      </c>
      <c r="S241" s="35"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5" cm="1">
        <f t="array" ref="E242">Common_InputFunctions.Utility_DisplayArrayInTable(Common_SourceData.Common_SourceData_MCFTemperatureZone_Data(),Table_SourceData_Common_MCFTemperatureZone[[#Headers],[Temperature zone]],0)</f>
        <v>20</v>
      </c>
      <c r="F242" s="35" cm="1">
        <f t="array" ref="F242">Common_InputFunctions.Utility_DisplayArrayInTable(Common_SourceData.Common_SourceData_MCFTemperatureZone_Data(),Table_SourceData_Common_MCFTemperatureZone[[#Headers],[Temperature zone]],0)</f>
        <v>0.78</v>
      </c>
      <c r="G242" s="35" cm="1">
        <f t="array" ref="G242">Common_InputFunctions.Utility_DisplayArrayInTable(Common_SourceData.Common_SourceData_MCFTemperatureZone_Data(),Table_SourceData_Common_MCFTemperatureZone[[#Headers],[Temperature zone]],0)</f>
        <v>0.1</v>
      </c>
      <c r="H242" s="35" cm="1">
        <f t="array" ref="H242">Common_InputFunctions.Utility_DisplayArrayInTable(Common_SourceData.Common_SourceData_MCFTemperatureZone_Data(),Table_SourceData_Common_MCFTemperatureZone[[#Headers],[Temperature zone]],0)</f>
        <v>0.26</v>
      </c>
      <c r="I242" s="35" cm="1">
        <f t="array" ref="I242">Common_InputFunctions.Utility_DisplayArrayInTable(Common_SourceData.Common_SourceData_MCFTemperatureZone_Data(),Table_SourceData_Common_MCFTemperatureZone[[#Headers],[Temperature zone]],0)</f>
        <v>5.0000000000000001E-3</v>
      </c>
      <c r="J242" s="35" cm="1">
        <f t="array" ref="J242">Common_InputFunctions.Utility_DisplayArrayInTable(Common_SourceData.Common_SourceData_MCFTemperatureZone_Data(),Table_SourceData_Common_MCFTemperatureZone[[#Headers],[Temperature zone]],0)</f>
        <v>0.01</v>
      </c>
      <c r="K242" s="35" cm="1">
        <f t="array" ref="K242">Common_InputFunctions.Utility_DisplayArrayInTable(Common_SourceData.Common_SourceData_MCFTemperatureZone_Data(),Table_SourceData_Common_MCFTemperatureZone[[#Headers],[Temperature zone]],0)</f>
        <v>0.02</v>
      </c>
      <c r="L242" s="35" cm="1">
        <f t="array" ref="L242">Common_InputFunctions.Utility_DisplayArrayInTable(Common_SourceData.Common_SourceData_MCFTemperatureZone_Data(),Table_SourceData_Common_MCFTemperatureZone[[#Headers],[Temperature zone]],0)</f>
        <v>0.03</v>
      </c>
      <c r="M242" s="35" cm="1">
        <f t="array" ref="M242">Common_InputFunctions.Utility_DisplayArrayInTable(Common_SourceData.Common_SourceData_MCFTemperatureZone_Data(),Table_SourceData_Common_MCFTemperatureZone[[#Headers],[Temperature zone]],0)</f>
        <v>0.04</v>
      </c>
      <c r="N242" s="35" cm="1">
        <f t="array" ref="N242">Common_InputFunctions.Utility_DisplayArrayInTable(Common_SourceData.Common_SourceData_MCFTemperatureZone_Data(),Table_SourceData_Common_MCFTemperatureZone[[#Headers],[Temperature zone]],0)</f>
        <v>1.4999999999999999E-2</v>
      </c>
      <c r="O242" s="35" cm="1">
        <f t="array" ref="O242">Common_InputFunctions.Utility_DisplayArrayInTable(Common_SourceData.Common_SourceData_MCFTemperatureZone_Data(),Table_SourceData_Common_MCFTemperatureZone[[#Headers],[Temperature zone]],0)</f>
        <v>1.4999999999999999E-2</v>
      </c>
      <c r="P242" s="35" cm="1">
        <f t="array" ref="P242">Common_InputFunctions.Utility_DisplayArrayInTable(Common_SourceData.Common_SourceData_MCFTemperatureZone_Data(),Table_SourceData_Common_MCFTemperatureZone[[#Headers],[Temperature zone]],0)</f>
        <v>0</v>
      </c>
      <c r="Q242" s="35" cm="1">
        <f t="array" ref="Q242">Common_InputFunctions.Utility_DisplayArrayInTable(Common_SourceData.Common_SourceData_MCFTemperatureZone_Data(),Table_SourceData_Common_MCFTemperatureZone[[#Headers],[Temperature zone]],0)</f>
        <v>0</v>
      </c>
      <c r="R242" s="35" cm="1">
        <f t="array" ref="R242">Common_InputFunctions.Utility_DisplayArrayInTable(Common_SourceData.Common_SourceData_MCFTemperatureZone_Data(),Table_SourceData_Common_MCFTemperatureZone[[#Headers],[Temperature zone]],0)</f>
        <v>4.7000000000000002E-3</v>
      </c>
      <c r="S242" s="35"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5" cm="1">
        <f t="array" ref="E243">Common_InputFunctions.Utility_DisplayArrayInTable(Common_SourceData.Common_SourceData_MCFTemperatureZone_Data(),Table_SourceData_Common_MCFTemperatureZone[[#Headers],[Temperature zone]],0)</f>
        <v>21</v>
      </c>
      <c r="F243" s="35" cm="1">
        <f t="array" ref="F243">Common_InputFunctions.Utility_DisplayArrayInTable(Common_SourceData.Common_SourceData_MCFTemperatureZone_Data(),Table_SourceData_Common_MCFTemperatureZone[[#Headers],[Temperature zone]],0)</f>
        <v>0.78</v>
      </c>
      <c r="G243" s="35" cm="1">
        <f t="array" ref="G243">Common_InputFunctions.Utility_DisplayArrayInTable(Common_SourceData.Common_SourceData_MCFTemperatureZone_Data(),Table_SourceData_Common_MCFTemperatureZone[[#Headers],[Temperature zone]],0)</f>
        <v>0.1</v>
      </c>
      <c r="H243" s="35" cm="1">
        <f t="array" ref="H243">Common_InputFunctions.Utility_DisplayArrayInTable(Common_SourceData.Common_SourceData_MCFTemperatureZone_Data(),Table_SourceData_Common_MCFTemperatureZone[[#Headers],[Temperature zone]],0)</f>
        <v>0.28999999999999998</v>
      </c>
      <c r="I243" s="35" cm="1">
        <f t="array" ref="I243">Common_InputFunctions.Utility_DisplayArrayInTable(Common_SourceData.Common_SourceData_MCFTemperatureZone_Data(),Table_SourceData_Common_MCFTemperatureZone[[#Headers],[Temperature zone]],0)</f>
        <v>5.0000000000000001E-3</v>
      </c>
      <c r="J243" s="35" cm="1">
        <f t="array" ref="J243">Common_InputFunctions.Utility_DisplayArrayInTable(Common_SourceData.Common_SourceData_MCFTemperatureZone_Data(),Table_SourceData_Common_MCFTemperatureZone[[#Headers],[Temperature zone]],0)</f>
        <v>0.01</v>
      </c>
      <c r="K243" s="35" cm="1">
        <f t="array" ref="K243">Common_InputFunctions.Utility_DisplayArrayInTable(Common_SourceData.Common_SourceData_MCFTemperatureZone_Data(),Table_SourceData_Common_MCFTemperatureZone[[#Headers],[Temperature zone]],0)</f>
        <v>0.02</v>
      </c>
      <c r="L243" s="35" cm="1">
        <f t="array" ref="L243">Common_InputFunctions.Utility_DisplayArrayInTable(Common_SourceData.Common_SourceData_MCFTemperatureZone_Data(),Table_SourceData_Common_MCFTemperatureZone[[#Headers],[Temperature zone]],0)</f>
        <v>0.03</v>
      </c>
      <c r="M243" s="35" cm="1">
        <f t="array" ref="M243">Common_InputFunctions.Utility_DisplayArrayInTable(Common_SourceData.Common_SourceData_MCFTemperatureZone_Data(),Table_SourceData_Common_MCFTemperatureZone[[#Headers],[Temperature zone]],0)</f>
        <v>0.04</v>
      </c>
      <c r="N243" s="35" cm="1">
        <f t="array" ref="N243">Common_InputFunctions.Utility_DisplayArrayInTable(Common_SourceData.Common_SourceData_MCFTemperatureZone_Data(),Table_SourceData_Common_MCFTemperatureZone[[#Headers],[Temperature zone]],0)</f>
        <v>1.4999999999999999E-2</v>
      </c>
      <c r="O243" s="35" cm="1">
        <f t="array" ref="O243">Common_InputFunctions.Utility_DisplayArrayInTable(Common_SourceData.Common_SourceData_MCFTemperatureZone_Data(),Table_SourceData_Common_MCFTemperatureZone[[#Headers],[Temperature zone]],0)</f>
        <v>1.4999999999999999E-2</v>
      </c>
      <c r="P243" s="35" cm="1">
        <f t="array" ref="P243">Common_InputFunctions.Utility_DisplayArrayInTable(Common_SourceData.Common_SourceData_MCFTemperatureZone_Data(),Table_SourceData_Common_MCFTemperatureZone[[#Headers],[Temperature zone]],0)</f>
        <v>0</v>
      </c>
      <c r="Q243" s="35" cm="1">
        <f t="array" ref="Q243">Common_InputFunctions.Utility_DisplayArrayInTable(Common_SourceData.Common_SourceData_MCFTemperatureZone_Data(),Table_SourceData_Common_MCFTemperatureZone[[#Headers],[Temperature zone]],0)</f>
        <v>0</v>
      </c>
      <c r="R243" s="35" cm="1">
        <f t="array" ref="R243">Common_InputFunctions.Utility_DisplayArrayInTable(Common_SourceData.Common_SourceData_MCFTemperatureZone_Data(),Table_SourceData_Common_MCFTemperatureZone[[#Headers],[Temperature zone]],0)</f>
        <v>4.7000000000000002E-3</v>
      </c>
      <c r="S243" s="35"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5" cm="1">
        <f t="array" ref="E244">Common_InputFunctions.Utility_DisplayArrayInTable(Common_SourceData.Common_SourceData_MCFTemperatureZone_Data(),Table_SourceData_Common_MCFTemperatureZone[[#Headers],[Temperature zone]],0)</f>
        <v>22</v>
      </c>
      <c r="F244" s="35" cm="1">
        <f t="array" ref="F244">Common_InputFunctions.Utility_DisplayArrayInTable(Common_SourceData.Common_SourceData_MCFTemperatureZone_Data(),Table_SourceData_Common_MCFTemperatureZone[[#Headers],[Temperature zone]],0)</f>
        <v>0.78</v>
      </c>
      <c r="G244" s="35" cm="1">
        <f t="array" ref="G244">Common_InputFunctions.Utility_DisplayArrayInTable(Common_SourceData.Common_SourceData_MCFTemperatureZone_Data(),Table_SourceData_Common_MCFTemperatureZone[[#Headers],[Temperature zone]],0)</f>
        <v>0.1</v>
      </c>
      <c r="H244" s="35" cm="1">
        <f t="array" ref="H244">Common_InputFunctions.Utility_DisplayArrayInTable(Common_SourceData.Common_SourceData_MCFTemperatureZone_Data(),Table_SourceData_Common_MCFTemperatureZone[[#Headers],[Temperature zone]],0)</f>
        <v>0.31</v>
      </c>
      <c r="I244" s="35" cm="1">
        <f t="array" ref="I244">Common_InputFunctions.Utility_DisplayArrayInTable(Common_SourceData.Common_SourceData_MCFTemperatureZone_Data(),Table_SourceData_Common_MCFTemperatureZone[[#Headers],[Temperature zone]],0)</f>
        <v>5.0000000000000001E-3</v>
      </c>
      <c r="J244" s="35" cm="1">
        <f t="array" ref="J244">Common_InputFunctions.Utility_DisplayArrayInTable(Common_SourceData.Common_SourceData_MCFTemperatureZone_Data(),Table_SourceData_Common_MCFTemperatureZone[[#Headers],[Temperature zone]],0)</f>
        <v>0.01</v>
      </c>
      <c r="K244" s="35" cm="1">
        <f t="array" ref="K244">Common_InputFunctions.Utility_DisplayArrayInTable(Common_SourceData.Common_SourceData_MCFTemperatureZone_Data(),Table_SourceData_Common_MCFTemperatureZone[[#Headers],[Temperature zone]],0)</f>
        <v>0.02</v>
      </c>
      <c r="L244" s="35" cm="1">
        <f t="array" ref="L244">Common_InputFunctions.Utility_DisplayArrayInTable(Common_SourceData.Common_SourceData_MCFTemperatureZone_Data(),Table_SourceData_Common_MCFTemperatureZone[[#Headers],[Temperature zone]],0)</f>
        <v>0.03</v>
      </c>
      <c r="M244" s="35" cm="1">
        <f t="array" ref="M244">Common_InputFunctions.Utility_DisplayArrayInTable(Common_SourceData.Common_SourceData_MCFTemperatureZone_Data(),Table_SourceData_Common_MCFTemperatureZone[[#Headers],[Temperature zone]],0)</f>
        <v>0.04</v>
      </c>
      <c r="N244" s="35" cm="1">
        <f t="array" ref="N244">Common_InputFunctions.Utility_DisplayArrayInTable(Common_SourceData.Common_SourceData_MCFTemperatureZone_Data(),Table_SourceData_Common_MCFTemperatureZone[[#Headers],[Temperature zone]],0)</f>
        <v>1.4999999999999999E-2</v>
      </c>
      <c r="O244" s="35" cm="1">
        <f t="array" ref="O244">Common_InputFunctions.Utility_DisplayArrayInTable(Common_SourceData.Common_SourceData_MCFTemperatureZone_Data(),Table_SourceData_Common_MCFTemperatureZone[[#Headers],[Temperature zone]],0)</f>
        <v>1.4999999999999999E-2</v>
      </c>
      <c r="P244" s="35" cm="1">
        <f t="array" ref="P244">Common_InputFunctions.Utility_DisplayArrayInTable(Common_SourceData.Common_SourceData_MCFTemperatureZone_Data(),Table_SourceData_Common_MCFTemperatureZone[[#Headers],[Temperature zone]],0)</f>
        <v>0</v>
      </c>
      <c r="Q244" s="35" cm="1">
        <f t="array" ref="Q244">Common_InputFunctions.Utility_DisplayArrayInTable(Common_SourceData.Common_SourceData_MCFTemperatureZone_Data(),Table_SourceData_Common_MCFTemperatureZone[[#Headers],[Temperature zone]],0)</f>
        <v>0</v>
      </c>
      <c r="R244" s="35" cm="1">
        <f t="array" ref="R244">Common_InputFunctions.Utility_DisplayArrayInTable(Common_SourceData.Common_SourceData_MCFTemperatureZone_Data(),Table_SourceData_Common_MCFTemperatureZone[[#Headers],[Temperature zone]],0)</f>
        <v>4.7000000000000002E-3</v>
      </c>
      <c r="S244" s="35"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5" cm="1">
        <f t="array" ref="E245">Common_InputFunctions.Utility_DisplayArrayInTable(Common_SourceData.Common_SourceData_MCFTemperatureZone_Data(),Table_SourceData_Common_MCFTemperatureZone[[#Headers],[Temperature zone]],0)</f>
        <v>23</v>
      </c>
      <c r="F245" s="35" cm="1">
        <f t="array" ref="F245">Common_InputFunctions.Utility_DisplayArrayInTable(Common_SourceData.Common_SourceData_MCFTemperatureZone_Data(),Table_SourceData_Common_MCFTemperatureZone[[#Headers],[Temperature zone]],0)</f>
        <v>0.79</v>
      </c>
      <c r="G245" s="35" cm="1">
        <f t="array" ref="G245">Common_InputFunctions.Utility_DisplayArrayInTable(Common_SourceData.Common_SourceData_MCFTemperatureZone_Data(),Table_SourceData_Common_MCFTemperatureZone[[#Headers],[Temperature zone]],0)</f>
        <v>0.1</v>
      </c>
      <c r="H245" s="35" cm="1">
        <f t="array" ref="H245">Common_InputFunctions.Utility_DisplayArrayInTable(Common_SourceData.Common_SourceData_MCFTemperatureZone_Data(),Table_SourceData_Common_MCFTemperatureZone[[#Headers],[Temperature zone]],0)</f>
        <v>0.34</v>
      </c>
      <c r="I245" s="35" cm="1">
        <f t="array" ref="I245">Common_InputFunctions.Utility_DisplayArrayInTable(Common_SourceData.Common_SourceData_MCFTemperatureZone_Data(),Table_SourceData_Common_MCFTemperatureZone[[#Headers],[Temperature zone]],0)</f>
        <v>5.0000000000000001E-3</v>
      </c>
      <c r="J245" s="35" cm="1">
        <f t="array" ref="J245">Common_InputFunctions.Utility_DisplayArrayInTable(Common_SourceData.Common_SourceData_MCFTemperatureZone_Data(),Table_SourceData_Common_MCFTemperatureZone[[#Headers],[Temperature zone]],0)</f>
        <v>0.01</v>
      </c>
      <c r="K245" s="35" cm="1">
        <f t="array" ref="K245">Common_InputFunctions.Utility_DisplayArrayInTable(Common_SourceData.Common_SourceData_MCFTemperatureZone_Data(),Table_SourceData_Common_MCFTemperatureZone[[#Headers],[Temperature zone]],0)</f>
        <v>0.02</v>
      </c>
      <c r="L245" s="35" cm="1">
        <f t="array" ref="L245">Common_InputFunctions.Utility_DisplayArrayInTable(Common_SourceData.Common_SourceData_MCFTemperatureZone_Data(),Table_SourceData_Common_MCFTemperatureZone[[#Headers],[Temperature zone]],0)</f>
        <v>0.03</v>
      </c>
      <c r="M245" s="35" cm="1">
        <f t="array" ref="M245">Common_InputFunctions.Utility_DisplayArrayInTable(Common_SourceData.Common_SourceData_MCFTemperatureZone_Data(),Table_SourceData_Common_MCFTemperatureZone[[#Headers],[Temperature zone]],0)</f>
        <v>0.04</v>
      </c>
      <c r="N245" s="35" cm="1">
        <f t="array" ref="N245">Common_InputFunctions.Utility_DisplayArrayInTable(Common_SourceData.Common_SourceData_MCFTemperatureZone_Data(),Table_SourceData_Common_MCFTemperatureZone[[#Headers],[Temperature zone]],0)</f>
        <v>1.4999999999999999E-2</v>
      </c>
      <c r="O245" s="35" cm="1">
        <f t="array" ref="O245">Common_InputFunctions.Utility_DisplayArrayInTable(Common_SourceData.Common_SourceData_MCFTemperatureZone_Data(),Table_SourceData_Common_MCFTemperatureZone[[#Headers],[Temperature zone]],0)</f>
        <v>1.4999999999999999E-2</v>
      </c>
      <c r="P245" s="35" cm="1">
        <f t="array" ref="P245">Common_InputFunctions.Utility_DisplayArrayInTable(Common_SourceData.Common_SourceData_MCFTemperatureZone_Data(),Table_SourceData_Common_MCFTemperatureZone[[#Headers],[Temperature zone]],0)</f>
        <v>0</v>
      </c>
      <c r="Q245" s="35" cm="1">
        <f t="array" ref="Q245">Common_InputFunctions.Utility_DisplayArrayInTable(Common_SourceData.Common_SourceData_MCFTemperatureZone_Data(),Table_SourceData_Common_MCFTemperatureZone[[#Headers],[Temperature zone]],0)</f>
        <v>0</v>
      </c>
      <c r="R245" s="35" cm="1">
        <f t="array" ref="R245">Common_InputFunctions.Utility_DisplayArrayInTable(Common_SourceData.Common_SourceData_MCFTemperatureZone_Data(),Table_SourceData_Common_MCFTemperatureZone[[#Headers],[Temperature zone]],0)</f>
        <v>4.7000000000000002E-3</v>
      </c>
      <c r="S245" s="35"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5" cm="1">
        <f t="array" ref="E246">Common_InputFunctions.Utility_DisplayArrayInTable(Common_SourceData.Common_SourceData_MCFTemperatureZone_Data(),Table_SourceData_Common_MCFTemperatureZone[[#Headers],[Temperature zone]],0)</f>
        <v>24</v>
      </c>
      <c r="F246" s="35" cm="1">
        <f t="array" ref="F246">Common_InputFunctions.Utility_DisplayArrayInTable(Common_SourceData.Common_SourceData_MCFTemperatureZone_Data(),Table_SourceData_Common_MCFTemperatureZone[[#Headers],[Temperature zone]],0)</f>
        <v>0.79</v>
      </c>
      <c r="G246" s="35" cm="1">
        <f t="array" ref="G246">Common_InputFunctions.Utility_DisplayArrayInTable(Common_SourceData.Common_SourceData_MCFTemperatureZone_Data(),Table_SourceData_Common_MCFTemperatureZone[[#Headers],[Temperature zone]],0)</f>
        <v>0.1</v>
      </c>
      <c r="H246" s="35" cm="1">
        <f t="array" ref="H246">Common_InputFunctions.Utility_DisplayArrayInTable(Common_SourceData.Common_SourceData_MCFTemperatureZone_Data(),Table_SourceData_Common_MCFTemperatureZone[[#Headers],[Temperature zone]],0)</f>
        <v>0.37</v>
      </c>
      <c r="I246" s="35" cm="1">
        <f t="array" ref="I246">Common_InputFunctions.Utility_DisplayArrayInTable(Common_SourceData.Common_SourceData_MCFTemperatureZone_Data(),Table_SourceData_Common_MCFTemperatureZone[[#Headers],[Temperature zone]],0)</f>
        <v>5.0000000000000001E-3</v>
      </c>
      <c r="J246" s="35" cm="1">
        <f t="array" ref="J246">Common_InputFunctions.Utility_DisplayArrayInTable(Common_SourceData.Common_SourceData_MCFTemperatureZone_Data(),Table_SourceData_Common_MCFTemperatureZone[[#Headers],[Temperature zone]],0)</f>
        <v>0.01</v>
      </c>
      <c r="K246" s="35" cm="1">
        <f t="array" ref="K246">Common_InputFunctions.Utility_DisplayArrayInTable(Common_SourceData.Common_SourceData_MCFTemperatureZone_Data(),Table_SourceData_Common_MCFTemperatureZone[[#Headers],[Temperature zone]],0)</f>
        <v>0.02</v>
      </c>
      <c r="L246" s="35" cm="1">
        <f t="array" ref="L246">Common_InputFunctions.Utility_DisplayArrayInTable(Common_SourceData.Common_SourceData_MCFTemperatureZone_Data(),Table_SourceData_Common_MCFTemperatureZone[[#Headers],[Temperature zone]],0)</f>
        <v>0.03</v>
      </c>
      <c r="M246" s="35" cm="1">
        <f t="array" ref="M246">Common_InputFunctions.Utility_DisplayArrayInTable(Common_SourceData.Common_SourceData_MCFTemperatureZone_Data(),Table_SourceData_Common_MCFTemperatureZone[[#Headers],[Temperature zone]],0)</f>
        <v>0.04</v>
      </c>
      <c r="N246" s="35" cm="1">
        <f t="array" ref="N246">Common_InputFunctions.Utility_DisplayArrayInTable(Common_SourceData.Common_SourceData_MCFTemperatureZone_Data(),Table_SourceData_Common_MCFTemperatureZone[[#Headers],[Temperature zone]],0)</f>
        <v>1.4999999999999999E-2</v>
      </c>
      <c r="O246" s="35" cm="1">
        <f t="array" ref="O246">Common_InputFunctions.Utility_DisplayArrayInTable(Common_SourceData.Common_SourceData_MCFTemperatureZone_Data(),Table_SourceData_Common_MCFTemperatureZone[[#Headers],[Temperature zone]],0)</f>
        <v>1.4999999999999999E-2</v>
      </c>
      <c r="P246" s="35" cm="1">
        <f t="array" ref="P246">Common_InputFunctions.Utility_DisplayArrayInTable(Common_SourceData.Common_SourceData_MCFTemperatureZone_Data(),Table_SourceData_Common_MCFTemperatureZone[[#Headers],[Temperature zone]],0)</f>
        <v>0</v>
      </c>
      <c r="Q246" s="35" cm="1">
        <f t="array" ref="Q246">Common_InputFunctions.Utility_DisplayArrayInTable(Common_SourceData.Common_SourceData_MCFTemperatureZone_Data(),Table_SourceData_Common_MCFTemperatureZone[[#Headers],[Temperature zone]],0)</f>
        <v>0</v>
      </c>
      <c r="R246" s="35" cm="1">
        <f t="array" ref="R246">Common_InputFunctions.Utility_DisplayArrayInTable(Common_SourceData.Common_SourceData_MCFTemperatureZone_Data(),Table_SourceData_Common_MCFTemperatureZone[[#Headers],[Temperature zone]],0)</f>
        <v>4.7000000000000002E-3</v>
      </c>
      <c r="S246" s="35"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5" cm="1">
        <f t="array" ref="E247">Common_InputFunctions.Utility_DisplayArrayInTable(Common_SourceData.Common_SourceData_MCFTemperatureZone_Data(),Table_SourceData_Common_MCFTemperatureZone[[#Headers],[Temperature zone]],0)</f>
        <v>25</v>
      </c>
      <c r="F247" s="35" cm="1">
        <f t="array" ref="F247">Common_InputFunctions.Utility_DisplayArrayInTable(Common_SourceData.Common_SourceData_MCFTemperatureZone_Data(),Table_SourceData_Common_MCFTemperatureZone[[#Headers],[Temperature zone]],0)</f>
        <v>0.79</v>
      </c>
      <c r="G247" s="35" cm="1">
        <f t="array" ref="G247">Common_InputFunctions.Utility_DisplayArrayInTable(Common_SourceData.Common_SourceData_MCFTemperatureZone_Data(),Table_SourceData_Common_MCFTemperatureZone[[#Headers],[Temperature zone]],0)</f>
        <v>0.1</v>
      </c>
      <c r="H247" s="35" cm="1">
        <f t="array" ref="H247">Common_InputFunctions.Utility_DisplayArrayInTable(Common_SourceData.Common_SourceData_MCFTemperatureZone_Data(),Table_SourceData_Common_MCFTemperatureZone[[#Headers],[Temperature zone]],0)</f>
        <v>0.41</v>
      </c>
      <c r="I247" s="35" cm="1">
        <f t="array" ref="I247">Common_InputFunctions.Utility_DisplayArrayInTable(Common_SourceData.Common_SourceData_MCFTemperatureZone_Data(),Table_SourceData_Common_MCFTemperatureZone[[#Headers],[Temperature zone]],0)</f>
        <v>5.0000000000000001E-3</v>
      </c>
      <c r="J247" s="35" cm="1">
        <f t="array" ref="J247">Common_InputFunctions.Utility_DisplayArrayInTable(Common_SourceData.Common_SourceData_MCFTemperatureZone_Data(),Table_SourceData_Common_MCFTemperatureZone[[#Headers],[Temperature zone]],0)</f>
        <v>0.01</v>
      </c>
      <c r="K247" s="35" cm="1">
        <f t="array" ref="K247">Common_InputFunctions.Utility_DisplayArrayInTable(Common_SourceData.Common_SourceData_MCFTemperatureZone_Data(),Table_SourceData_Common_MCFTemperatureZone[[#Headers],[Temperature zone]],0)</f>
        <v>0.02</v>
      </c>
      <c r="L247" s="35" cm="1">
        <f t="array" ref="L247">Common_InputFunctions.Utility_DisplayArrayInTable(Common_SourceData.Common_SourceData_MCFTemperatureZone_Data(),Table_SourceData_Common_MCFTemperatureZone[[#Headers],[Temperature zone]],0)</f>
        <v>0.03</v>
      </c>
      <c r="M247" s="35" cm="1">
        <f t="array" ref="M247">Common_InputFunctions.Utility_DisplayArrayInTable(Common_SourceData.Common_SourceData_MCFTemperatureZone_Data(),Table_SourceData_Common_MCFTemperatureZone[[#Headers],[Temperature zone]],0)</f>
        <v>0.04</v>
      </c>
      <c r="N247" s="35" cm="1">
        <f t="array" ref="N247">Common_InputFunctions.Utility_DisplayArrayInTable(Common_SourceData.Common_SourceData_MCFTemperatureZone_Data(),Table_SourceData_Common_MCFTemperatureZone[[#Headers],[Temperature zone]],0)</f>
        <v>1.4999999999999999E-2</v>
      </c>
      <c r="O247" s="35" cm="1">
        <f t="array" ref="O247">Common_InputFunctions.Utility_DisplayArrayInTable(Common_SourceData.Common_SourceData_MCFTemperatureZone_Data(),Table_SourceData_Common_MCFTemperatureZone[[#Headers],[Temperature zone]],0)</f>
        <v>1.4999999999999999E-2</v>
      </c>
      <c r="P247" s="35" cm="1">
        <f t="array" ref="P247">Common_InputFunctions.Utility_DisplayArrayInTable(Common_SourceData.Common_SourceData_MCFTemperatureZone_Data(),Table_SourceData_Common_MCFTemperatureZone[[#Headers],[Temperature zone]],0)</f>
        <v>0</v>
      </c>
      <c r="Q247" s="35" cm="1">
        <f t="array" ref="Q247">Common_InputFunctions.Utility_DisplayArrayInTable(Common_SourceData.Common_SourceData_MCFTemperatureZone_Data(),Table_SourceData_Common_MCFTemperatureZone[[#Headers],[Temperature zone]],0)</f>
        <v>0</v>
      </c>
      <c r="R247" s="35" cm="1">
        <f t="array" ref="R247">Common_InputFunctions.Utility_DisplayArrayInTable(Common_SourceData.Common_SourceData_MCFTemperatureZone_Data(),Table_SourceData_Common_MCFTemperatureZone[[#Headers],[Temperature zone]],0)</f>
        <v>4.7000000000000002E-3</v>
      </c>
      <c r="S247" s="35"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5" cm="1">
        <f t="array" ref="E248">Common_InputFunctions.Utility_DisplayArrayInTable(Common_SourceData.Common_SourceData_MCFTemperatureZone_Data(),Table_SourceData_Common_MCFTemperatureZone[[#Headers],[Temperature zone]],0)</f>
        <v>26</v>
      </c>
      <c r="F248" s="35" cm="1">
        <f t="array" ref="F248">Common_InputFunctions.Utility_DisplayArrayInTable(Common_SourceData.Common_SourceData_MCFTemperatureZone_Data(),Table_SourceData_Common_MCFTemperatureZone[[#Headers],[Temperature zone]],0)</f>
        <v>0.79</v>
      </c>
      <c r="G248" s="35" cm="1">
        <f t="array" ref="G248">Common_InputFunctions.Utility_DisplayArrayInTable(Common_SourceData.Common_SourceData_MCFTemperatureZone_Data(),Table_SourceData_Common_MCFTemperatureZone[[#Headers],[Temperature zone]],0)</f>
        <v>0.1</v>
      </c>
      <c r="H248" s="35" cm="1">
        <f t="array" ref="H248">Common_InputFunctions.Utility_DisplayArrayInTable(Common_SourceData.Common_SourceData_MCFTemperatureZone_Data(),Table_SourceData_Common_MCFTemperatureZone[[#Headers],[Temperature zone]],0)</f>
        <v>0.44</v>
      </c>
      <c r="I248" s="35" cm="1">
        <f t="array" ref="I248">Common_InputFunctions.Utility_DisplayArrayInTable(Common_SourceData.Common_SourceData_MCFTemperatureZone_Data(),Table_SourceData_Common_MCFTemperatureZone[[#Headers],[Temperature zone]],0)</f>
        <v>0.01</v>
      </c>
      <c r="J248" s="35" cm="1">
        <f t="array" ref="J248">Common_InputFunctions.Utility_DisplayArrayInTable(Common_SourceData.Common_SourceData_MCFTemperatureZone_Data(),Table_SourceData_Common_MCFTemperatureZone[[#Headers],[Temperature zone]],0)</f>
        <v>1.4999999999999999E-2</v>
      </c>
      <c r="K248" s="35" cm="1">
        <f t="array" ref="K248">Common_InputFunctions.Utility_DisplayArrayInTable(Common_SourceData.Common_SourceData_MCFTemperatureZone_Data(),Table_SourceData_Common_MCFTemperatureZone[[#Headers],[Temperature zone]],0)</f>
        <v>0.02</v>
      </c>
      <c r="L248" s="35" cm="1">
        <f t="array" ref="L248">Common_InputFunctions.Utility_DisplayArrayInTable(Common_SourceData.Common_SourceData_MCFTemperatureZone_Data(),Table_SourceData_Common_MCFTemperatureZone[[#Headers],[Temperature zone]],0)</f>
        <v>0.03</v>
      </c>
      <c r="M248" s="35" cm="1">
        <f t="array" ref="M248">Common_InputFunctions.Utility_DisplayArrayInTable(Common_SourceData.Common_SourceData_MCFTemperatureZone_Data(),Table_SourceData_Common_MCFTemperatureZone[[#Headers],[Temperature zone]],0)</f>
        <v>0.04</v>
      </c>
      <c r="N248" s="35" cm="1">
        <f t="array" ref="N248">Common_InputFunctions.Utility_DisplayArrayInTable(Common_SourceData.Common_SourceData_MCFTemperatureZone_Data(),Table_SourceData_Common_MCFTemperatureZone[[#Headers],[Temperature zone]],0)</f>
        <v>1.4999999999999999E-2</v>
      </c>
      <c r="O248" s="35" cm="1">
        <f t="array" ref="O248">Common_InputFunctions.Utility_DisplayArrayInTable(Common_SourceData.Common_SourceData_MCFTemperatureZone_Data(),Table_SourceData_Common_MCFTemperatureZone[[#Headers],[Temperature zone]],0)</f>
        <v>1.4999999999999999E-2</v>
      </c>
      <c r="P248" s="35" cm="1">
        <f t="array" ref="P248">Common_InputFunctions.Utility_DisplayArrayInTable(Common_SourceData.Common_SourceData_MCFTemperatureZone_Data(),Table_SourceData_Common_MCFTemperatureZone[[#Headers],[Temperature zone]],0)</f>
        <v>0</v>
      </c>
      <c r="Q248" s="35" cm="1">
        <f t="array" ref="Q248">Common_InputFunctions.Utility_DisplayArrayInTable(Common_SourceData.Common_SourceData_MCFTemperatureZone_Data(),Table_SourceData_Common_MCFTemperatureZone[[#Headers],[Temperature zone]],0)</f>
        <v>0</v>
      </c>
      <c r="R248" s="35" cm="1">
        <f t="array" ref="R248">Common_InputFunctions.Utility_DisplayArrayInTable(Common_SourceData.Common_SourceData_MCFTemperatureZone_Data(),Table_SourceData_Common_MCFTemperatureZone[[#Headers],[Temperature zone]],0)</f>
        <v>4.7000000000000002E-3</v>
      </c>
      <c r="S248" s="35"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5" cm="1">
        <f t="array" ref="E249">Common_InputFunctions.Utility_DisplayArrayInTable(Common_SourceData.Common_SourceData_MCFTemperatureZone_Data(),Table_SourceData_Common_MCFTemperatureZone[[#Headers],[Temperature zone]],0)</f>
        <v>27</v>
      </c>
      <c r="F249" s="35" cm="1">
        <f t="array" ref="F249">Common_InputFunctions.Utility_DisplayArrayInTable(Common_SourceData.Common_SourceData_MCFTemperatureZone_Data(),Table_SourceData_Common_MCFTemperatureZone[[#Headers],[Temperature zone]],0)</f>
        <v>0.8</v>
      </c>
      <c r="G249" s="35" cm="1">
        <f t="array" ref="G249">Common_InputFunctions.Utility_DisplayArrayInTable(Common_SourceData.Common_SourceData_MCFTemperatureZone_Data(),Table_SourceData_Common_MCFTemperatureZone[[#Headers],[Temperature zone]],0)</f>
        <v>0.1</v>
      </c>
      <c r="H249" s="35" cm="1">
        <f t="array" ref="H249">Common_InputFunctions.Utility_DisplayArrayInTable(Common_SourceData.Common_SourceData_MCFTemperatureZone_Data(),Table_SourceData_Common_MCFTemperatureZone[[#Headers],[Temperature zone]],0)</f>
        <v>0.48</v>
      </c>
      <c r="I249" s="35" cm="1">
        <f t="array" ref="I249">Common_InputFunctions.Utility_DisplayArrayInTable(Common_SourceData.Common_SourceData_MCFTemperatureZone_Data(),Table_SourceData_Common_MCFTemperatureZone[[#Headers],[Temperature zone]],0)</f>
        <v>0.01</v>
      </c>
      <c r="J249" s="35" cm="1">
        <f t="array" ref="J249">Common_InputFunctions.Utility_DisplayArrayInTable(Common_SourceData.Common_SourceData_MCFTemperatureZone_Data(),Table_SourceData_Common_MCFTemperatureZone[[#Headers],[Temperature zone]],0)</f>
        <v>1.4999999999999999E-2</v>
      </c>
      <c r="K249" s="35" cm="1">
        <f t="array" ref="K249">Common_InputFunctions.Utility_DisplayArrayInTable(Common_SourceData.Common_SourceData_MCFTemperatureZone_Data(),Table_SourceData_Common_MCFTemperatureZone[[#Headers],[Temperature zone]],0)</f>
        <v>0.02</v>
      </c>
      <c r="L249" s="35" cm="1">
        <f t="array" ref="L249">Common_InputFunctions.Utility_DisplayArrayInTable(Common_SourceData.Common_SourceData_MCFTemperatureZone_Data(),Table_SourceData_Common_MCFTemperatureZone[[#Headers],[Temperature zone]],0)</f>
        <v>0.03</v>
      </c>
      <c r="M249" s="35" cm="1">
        <f t="array" ref="M249">Common_InputFunctions.Utility_DisplayArrayInTable(Common_SourceData.Common_SourceData_MCFTemperatureZone_Data(),Table_SourceData_Common_MCFTemperatureZone[[#Headers],[Temperature zone]],0)</f>
        <v>0.04</v>
      </c>
      <c r="N249" s="35" cm="1">
        <f t="array" ref="N249">Common_InputFunctions.Utility_DisplayArrayInTable(Common_SourceData.Common_SourceData_MCFTemperatureZone_Data(),Table_SourceData_Common_MCFTemperatureZone[[#Headers],[Temperature zone]],0)</f>
        <v>1.4999999999999999E-2</v>
      </c>
      <c r="O249" s="35" cm="1">
        <f t="array" ref="O249">Common_InputFunctions.Utility_DisplayArrayInTable(Common_SourceData.Common_SourceData_MCFTemperatureZone_Data(),Table_SourceData_Common_MCFTemperatureZone[[#Headers],[Temperature zone]],0)</f>
        <v>1.4999999999999999E-2</v>
      </c>
      <c r="P249" s="35" cm="1">
        <f t="array" ref="P249">Common_InputFunctions.Utility_DisplayArrayInTable(Common_SourceData.Common_SourceData_MCFTemperatureZone_Data(),Table_SourceData_Common_MCFTemperatureZone[[#Headers],[Temperature zone]],0)</f>
        <v>0</v>
      </c>
      <c r="Q249" s="35" cm="1">
        <f t="array" ref="Q249">Common_InputFunctions.Utility_DisplayArrayInTable(Common_SourceData.Common_SourceData_MCFTemperatureZone_Data(),Table_SourceData_Common_MCFTemperatureZone[[#Headers],[Temperature zone]],0)</f>
        <v>0</v>
      </c>
      <c r="R249" s="35" cm="1">
        <f t="array" ref="R249">Common_InputFunctions.Utility_DisplayArrayInTable(Common_SourceData.Common_SourceData_MCFTemperatureZone_Data(),Table_SourceData_Common_MCFTemperatureZone[[#Headers],[Temperature zone]],0)</f>
        <v>4.7000000000000002E-3</v>
      </c>
      <c r="S249" s="35"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5" t="str" cm="1">
        <f t="array" ref="E250">Common_InputFunctions.Utility_DisplayArrayInTable(Common_SourceData.Common_SourceData_MCFTemperatureZone_Data(),Table_SourceData_Common_MCFTemperatureZone[[#Headers],[Temperature zone]],0)</f>
        <v>≥28</v>
      </c>
      <c r="F250" s="35" cm="1">
        <f t="array" ref="F250">Common_InputFunctions.Utility_DisplayArrayInTable(Common_SourceData.Common_SourceData_MCFTemperatureZone_Data(),Table_SourceData_Common_MCFTemperatureZone[[#Headers],[Temperature zone]],0)</f>
        <v>0.8</v>
      </c>
      <c r="G250" s="35" cm="1">
        <f t="array" ref="G250">Common_InputFunctions.Utility_DisplayArrayInTable(Common_SourceData.Common_SourceData_MCFTemperatureZone_Data(),Table_SourceData_Common_MCFTemperatureZone[[#Headers],[Temperature zone]],0)</f>
        <v>0.1</v>
      </c>
      <c r="H250" s="35" cm="1">
        <f t="array" ref="H250">Common_InputFunctions.Utility_DisplayArrayInTable(Common_SourceData.Common_SourceData_MCFTemperatureZone_Data(),Table_SourceData_Common_MCFTemperatureZone[[#Headers],[Temperature zone]],0)</f>
        <v>0.5</v>
      </c>
      <c r="I250" s="35" cm="1">
        <f t="array" ref="I250">Common_InputFunctions.Utility_DisplayArrayInTable(Common_SourceData.Common_SourceData_MCFTemperatureZone_Data(),Table_SourceData_Common_MCFTemperatureZone[[#Headers],[Temperature zone]],0)</f>
        <v>0.01</v>
      </c>
      <c r="J250" s="35" cm="1">
        <f t="array" ref="J250">Common_InputFunctions.Utility_DisplayArrayInTable(Common_SourceData.Common_SourceData_MCFTemperatureZone_Data(),Table_SourceData_Common_MCFTemperatureZone[[#Headers],[Temperature zone]],0)</f>
        <v>1.4999999999999999E-2</v>
      </c>
      <c r="K250" s="35" cm="1">
        <f t="array" ref="K250">Common_InputFunctions.Utility_DisplayArrayInTable(Common_SourceData.Common_SourceData_MCFTemperatureZone_Data(),Table_SourceData_Common_MCFTemperatureZone[[#Headers],[Temperature zone]],0)</f>
        <v>0.02</v>
      </c>
      <c r="L250" s="35" cm="1">
        <f t="array" ref="L250">Common_InputFunctions.Utility_DisplayArrayInTable(Common_SourceData.Common_SourceData_MCFTemperatureZone_Data(),Table_SourceData_Common_MCFTemperatureZone[[#Headers],[Temperature zone]],0)</f>
        <v>0.03</v>
      </c>
      <c r="M250" s="35" cm="1">
        <f t="array" ref="M250">Common_InputFunctions.Utility_DisplayArrayInTable(Common_SourceData.Common_SourceData_MCFTemperatureZone_Data(),Table_SourceData_Common_MCFTemperatureZone[[#Headers],[Temperature zone]],0)</f>
        <v>0.04</v>
      </c>
      <c r="N250" s="35" cm="1">
        <f t="array" ref="N250">Common_InputFunctions.Utility_DisplayArrayInTable(Common_SourceData.Common_SourceData_MCFTemperatureZone_Data(),Table_SourceData_Common_MCFTemperatureZone[[#Headers],[Temperature zone]],0)</f>
        <v>1.4999999999999999E-2</v>
      </c>
      <c r="O250" s="35" cm="1">
        <f t="array" ref="O250">Common_InputFunctions.Utility_DisplayArrayInTable(Common_SourceData.Common_SourceData_MCFTemperatureZone_Data(),Table_SourceData_Common_MCFTemperatureZone[[#Headers],[Temperature zone]],0)</f>
        <v>1.4999999999999999E-2</v>
      </c>
      <c r="P250" s="35" cm="1">
        <f t="array" ref="P250">Common_InputFunctions.Utility_DisplayArrayInTable(Common_SourceData.Common_SourceData_MCFTemperatureZone_Data(),Table_SourceData_Common_MCFTemperatureZone[[#Headers],[Temperature zone]],0)</f>
        <v>0</v>
      </c>
      <c r="Q250" s="35" cm="1">
        <f t="array" ref="Q250">Common_InputFunctions.Utility_DisplayArrayInTable(Common_SourceData.Common_SourceData_MCFTemperatureZone_Data(),Table_SourceData_Common_MCFTemperatureZone[[#Headers],[Temperature zone]],0)</f>
        <v>0</v>
      </c>
      <c r="R250" s="35" cm="1">
        <f t="array" ref="R250">Common_InputFunctions.Utility_DisplayArrayInTable(Common_SourceData.Common_SourceData_MCFTemperatureZone_Data(),Table_SourceData_Common_MCFTemperatureZone[[#Headers],[Temperature zone]],0)</f>
        <v>4.7000000000000002E-3</v>
      </c>
      <c r="S250" s="35"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0" t="str" cm="1">
        <f t="array" ref="D256">Common_SourceData.Common_SourceData_EFOrganicFertiliserAndCropResidues_Unit()</f>
        <v>kg N2O - N / kg N</v>
      </c>
    </row>
    <row r="257" spans="4:5" x14ac:dyDescent="0.25">
      <c r="D257" s="35" t="s">
        <v>144</v>
      </c>
      <c r="E257" s="35" t="s">
        <v>145</v>
      </c>
    </row>
    <row r="258" spans="4:5" x14ac:dyDescent="0.25">
      <c r="D258" s="35" t="str" cm="1">
        <f t="array" ref="D258">Common_InputFunctions.Utility_DisplayArrayInTable(Common_SourceData.Common_SourceData_EFOrganicFertiliserAndCropResidues_Data(), Table_SourceData_Common_EFOrganicFertCropResidues[[#Headers],[Climate Zone]], 0)</f>
        <v>Wet climate zone</v>
      </c>
      <c r="E258" s="35"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5"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election activeCell="L45" sqref="L45"/>
    </sheetView>
  </sheetViews>
  <sheetFormatPr defaultRowHeight="15" x14ac:dyDescent="0.25"/>
  <sheetData>
    <row r="1" spans="1:1" x14ac:dyDescent="0.25">
      <c r="A1" t="s">
        <v>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56" t="s">
        <v>58</v>
      </c>
    </row>
    <row r="17" spans="1:1" ht="20.100000000000001" customHeight="1" x14ac:dyDescent="0.25">
      <c r="A17" s="56"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56" t="s">
        <v>1</v>
      </c>
    </row>
    <row r="23" spans="1:1" ht="20.100000000000001" customHeight="1" x14ac:dyDescent="0.25">
      <c r="A23" s="56"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56" t="s">
        <v>58</v>
      </c>
    </row>
    <row r="32" spans="1:1" ht="20.100000000000001" customHeight="1" x14ac:dyDescent="0.25">
      <c r="A32" s="56"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56" t="s">
        <v>2</v>
      </c>
    </row>
    <row r="41" spans="1:1" ht="20.100000000000001" customHeight="1" x14ac:dyDescent="0.25">
      <c r="A41" s="42"/>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TwB0AGgAZQByAEwAaQB2AGUAcwB0AG8AYwBrACIALAAiAHQAZQB4AHQAIgA6ACIAXABuAC8AKgAgAFwAbgAtAC0ALQAtAC0ALQAtAC0ALQAtAC0ALQAtAC0ALQAtAC0ALQAtAC0ALQAtAC0ALQAtAC0ALQAtAC0ALQAtAC0ALQAtAC0ALQAtAC0AXABuAFMAbwB1AHIAYwBlAEQAYQB0AGEAXwBPAHQAaABlAHIATABpAHYAZQBzAHQAbwBjAGsAXwBFAG4AdABlAHIAaQBjAEYAZQByAG0AZQBuAHQAYQB0AGkAbwBuAEUAbQBpAHMAcwBpAG8AbgBGAGEAYwB0AG8AcgBcAG4AVABhAGIAbABlACAAQQAuADEALgA1AC4AMQA6ACAATwB0AGgAZQByACAATABpAHYAZQBzAHQAbwBjAGsAIAAtACAARQBuAHQAZQByAGkAYwAgAGYAZQByAG0AZQBuAHQAYQB0AGkAbwBuACAAZQBtAGkAcwBzAGkAbwBuACAAZgBhAGMAdABvAHIAIABmAG8AcgAgAGUAYQBjAGgAIABvAHQAaABlAHIAIABsAGkAdgBlAHMAdABvAGMAawAgAHQAeQBwAGUAIAAoAGsAZwAgAEMASAA0AC8AaABlAGEAZAAvAHkAZQBhAHIAKQAgACgATQBqACkAXABuAC0ALQAtAC0ALQAtAC0ALQAtAC0ALQAtAC0ALQAtAC0ALQAtAC0ALQAtAC0ALQAtAC0ALQAtAC0ALQAtAC0ALQAtAC0ALQAtAC0ALQBcAG4AKgAvAFwAbgBcAG4AUwBvAHUAcgBjAGUARABhAHQAYQBfAE8AdABoAGUAcgBMAGkAdgBlAHMAdABvAGMAawBfAEUAbgB0AGUAcgBpAGMARgBlAHIAbQBlAG4AdABhAHQAaQBvAG4ARQBtAGkAcwBzAGkAbwBuAEYAYQBjAHQAbwByAF8AVABpAHQAbABlAFwAbgAgACAAPQBMAEEATQBCAEQAQQAoAFwAIgBPAHQAaABlAHIAIABMAGkAdgBlAHMAdABvAGMAawAgAC0AIABFAG4AdABlAHIAaQBjACAAZgBlAHIAbQBlAG4AdABhAHQAaQBvAG4AIABlAG0AaQBzAHMAaQBvAG4AIABmAGEAYwB0AG8AcgAgAGYAbwByACAAZQBhAGMAaAAgAG8AdABoAGUAcgAgAGwAaQB2AGUAcwB0AG8AYwBrACAAdAB5AHAAZQBcACIAKQA7AFwAbgBcAG4AUwBvAHUAcgBjAGUARABhAHQAYQBfAE8AdABoAGUAcgBMAGkAdgBlAHMAdABvAGMAawBfAEUAbgB0AGUAcgBpAGMARgBlAHIAbQBlAG4AdABhAHQAaQBvAG4ARQBtAGkAcwBzAGkAbwBuAEYAYQBjAHQAbwByAF8AVgBhAHIAaQBhAGIAbABlAFwAbgAgACAAPQBMAEEATQBCAEQAQQAoAFwAIgBNAGoAXAAiACkAOwBcAG4AXABuAFMAbwB1AHIAYwBlAEQAYQB0AGEAXwBPAHQAaABlAHIATABpAHYAZQBzAHQAbwBjAGsAXwBFAG4AdABlAHIAaQBjAEYAZQByAG0AZQBuAHQAYQB0AGkAbwBuAEUAbQBpAHMAcwBpAG8AbgBGAGEAYwB0AG8AcgBfAFUAbgBpAHQAXABuACAAIAA9AEwAQQBNAEIARABBACgAXAAiAGsAZwAgAEMASAA0ACAALwAgAGgAZQBhAGQAIAAvACAAeQBlAGEAcgBcACIAKQA7AFwAbgBcAG4AUwBvAHUAcgBjAGUARABhAHQAYQBfAE8AdABoAGUAcgBMAGkAdgBlAHMAdABvAGMAawBfAEUAbgB0AGUAcgBpAGMARgBlAHIAbQBlAG4AdABhAHQAaQBvAG4ARQBtAGkAcwBzAGkAbwBuAEYAYQBjAHQAbwByAF8AUwBvAHUAcgBjAGUAXABuACAAIAA9AEwAQQBNAEIARABBACgAXAAiAFYARQBFAFIARwAgADIAMAAyADYAOgAgAFQAYQBiAGwAZQAgAEEALgAxAC4ANQAuADEAXAAiACkAOwBcAG4AXABuAFMAbwB1AHIAYwBlAEQAYQB0AGEAXwBPAHQAaABlAHIATABpAHYAZQBzAHQAbwBjAGsAXwBFAG4AdABlAHIAaQBjAEYAZQByAG0AZQBuAHQAYQB0AGkAbwBuAEUAbQBpAHMAcwBpAG8AbgBGAGEAYwB0AG8AcgBfAFYAYQByAGkAYQB0AGkAbwBuAFwAbgAgACAAPQBMAEEATQBCAEQAQQAoAFwAIgBcACIAKQA7AFwAbgBcAG4AUwBvAHUAcgBjAGUARABhAHQAYQBfAE8AdABoAGUAcgBMAGkAdgBlAHMAdABvAGMAawBfAEUAbgB0AGUAcgBpAGMARgBlAHIAbQBlAG4AdABhAHQAaQBvAG4ARQBtAGkAcwBzAGkAbwBuAEYAYQBjAHQAbwByAF8ARABhAHQAYQBcAG4AIAAgAD0ATABBAE0AQgBEAEEAKABcAG4AIAAgACAAIABNAEEASwBFAEEAUgBSAEEAWQAoADkALAAgADIALABcAG4AIAAgACAAIAAgACAATABBAE0AQgBEAEEAKAByACwAYwAsAFwAbgAgACAAIAAgACAAIAAgACAASQBOAEQARQBYACgAewBcAG4AIAAgACAAIAAgACAAIAAgACAAIABcACIATwB0AGgAZQByACAATABpAHYAZQBzAHQAbwBjAGsAIABUAHkAcABlAFwAIgAsACAAXAAiAE0AagBcACIAOwBcAG4AIAAgACAAIAAgACAAIAAgACAAIABcACIAQgB1AGYAZgBhAGwAbwBcACIALAAgADYAOAA7AFwAbgAgACAAIAAgACAAIAAgACAAIAAgAFwAIgBHAG8AYQB0AHMAXAAiACwAIAA1ADsAXABuACAAIAAgACAAIAAgACAAIAAgACAAXAAiAEQAZQBlAHIAXAAiACwAIAAyADAAOwBcAG4AIAAgACAAIAAgACAAIAAgACAAIABcACIAQwBhAG0AZQBsAHMAXAAiACwAIAA0ADYAOwBcAG4AIAAgACAAIAAgACAAIAAgACAAIABcACIAQQBsAHAAYQBjAGEAcwBcACIALAAgADgAOwBcAG4AIAAgACAAIAAgACAAIAAgACAAIABcACIASABvAHIAcwBlAHMAXAAiACwAIAAxADgAOwBcAG4AIAAgACAAIAAgACAAIAAgACAAIABcACIATQB1AGwAZQBzAC8AYQBzAHMAZQBzAFwAIgAsACAAMQAwADsAXABuACAAIAAgACAAIAAgACAAIAAgACAAXAAiAEUAbQB1AHMALwBvAHMAdAByAGkAYwBoAGUAcwBcACIALAAgADU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VgBvAGwAYQB0AGkAbABlAFMAbwBsAGkAZABzAFAAcgBvAGQAdQBjAGUAZABcAG4AVABhAGIAbABlACAAQQAuADEALgA1AC4AMgA6ACAATwB0AGgAZQByACAATABpAHYAZQBzAHQAbwBjAGsAIAAtACAAVgBvAGwAYQB0AGkAbABlACAAcwBvAGwAaQBkAHMAIABwAHIAbwBkAHUAYwBlAGQAIABiAHkAIABlAGEAYwBoACAAbwB0AGgAZQByACAAbABpAHYAZQBzAHQAbwBjAGsAIAB0AHkAcABlACAAKABrAGcAIABWAFMALwBoAGUAYQBkAC8AZABhAHkAKQAgACgAVgBTAGoAKQBcAG4ALQAtAC0ALQAtAC0ALQAtAC0ALQAtAC0ALQAtAC0ALQAtAC0ALQAtAC0ALQAtAC0ALQAtAC0ALQAtAC0ALQAtAC0ALQAtAC0ALQAtAFwAbgAqAC8AXABuAFwAbgBTAG8AdQByAGMAZQBEAGEAdABhAF8ATwB0AGgAZQByAEwAaQB2AGUAcwB0AG8AYwBrAF8AVgBvAGwAYQB0AGkAbABlAFMAbwBsAGkAZABzAFAAcgBvAGQAdQBjAGUAZABfAFQAaQB0AGwAZQBcAG4AIAAgAD0ATABBAE0AQgBEAEEAKABcACIATwB0AGgAZQByACAATABpAHYAZQBzAHQAbwBjAGsAIAAtACAAVgBvAGwAYQB0AGkAbABlACAAcwBvAGwAaQBkAHMAIABwAHIAbwBkAHUAYwBlAGQAIABiAHkAIABlAGEAYwBoACAAbwB0AGgAZQByACAAbABpAHYAZQBzAHQAbwBjAGsAIAB0AHkAcABlAFwAIgApADsAXABuAFwAbgBTAG8AdQByAGMAZQBEAGEAdABhAF8ATwB0AGgAZQByAEwAaQB2AGUAcwB0AG8AYwBrAF8AVgBvAGwAYQB0AGkAbABlAFMAbwBsAGkAZABzAFAAcgBvAGQAdQBjAGUAZABfAFYAYQByAGkAYQBiAGwAZQBcAG4AIAAgAD0ATABBAE0AQgBEAEEAKABcACIAVgBTAGoAXAAiACkAOwBcAG4AXABuAFMAbwB1AHIAYwBlAEQAYQB0AGEAXwBPAHQAaABlAHIATABpAHYAZQBzAHQAbwBjAGsAXwBWAG8AbABhAHQAaQBsAGUAUwBvAGwAaQBkAHMAUAByAG8AZAB1AGMAZQBkAF8AVQBuAGkAdABcAG4AIAAgAD0ATABBAE0AQgBEAEEAKABcACIAawBnACAAVgBTACAALwAgAGgAZQBhAGQAIAAvACAAZABhAHkAXAAiACkAOwBcAG4AXABuAFMAbwB1AHIAYwBlAEQAYQB0AGEAXwBPAHQAaABlAHIATABpAHYAZQBzAHQAbwBjAGsAXwBWAG8AbABhAHQAaQBsAGUAUwBvAGwAaQBkAHMAUAByAG8AZAB1AGMAZQBkAF8AUwBvAHUAcgBjAGUAXABuACAAIAA9AEwAQQBNAEIARABBACgAXAAiAFYARQBFAFIARwAgADIAMAAyADYAOgAgAFQAYQBiAGwAZQAgAEEALgAxAC4ANQAuADIAXAAiACkAOwBcAG4AXABuAFMAbwB1AHIAYwBlAEQAYQB0AGEAXwBPAHQAaABlAHIATABpAHYAZQBzAHQAbwBjAGsAXwBWAG8AbABhAHQAaQBsAGUAUwBvAGwAaQBkAHMAUAByAG8AZAB1AGMAZQBkAF8AVgBhAHIAaQBhAHQAaQBvAG4AXABuACAAIAA9AEwAQQBNAEIARABBACgAXAAiAFwAIgApADsAXABuAFwAbgBTAG8AdQByAGMAZQBEAGEAdABhAF8ATwB0AGgAZQByAEwAaQB2AGUAcwB0AG8AYwBrAF8AVgBvAGwAYQB0AGkAbABlAFMAbwBsAGkAZABzAFAAcgBvAGQAdQBjAGUAZA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WAFMAagBcACIAOwBcAG4AIAAgACAAIAAgACAAIAAgACAAIABcACIAQgB1AGYAZgBhAGwAbwBcACIALAAgADIALgA3ADMAOwBcAG4AIAAgACAAIAAgACAAIAAgACAAIABcACIARwBvAGEAdABzAFwAIgAsACAAMAAuADMANAA7AFwAbgAgACAAIAAgACAAIAAgACAAIAAgAFwAIgBEAGUAZQByAFwAIgAsACAAMAAuADkAMQA7AFwAbgAgACAAIAAgACAAIAAgACAAIAAgAFwAIgBDAGEAbQBlAGwAcwBcACIALAAgADIALgA3ADMAOwBcAG4AIAAgACAAIAAgACAAIAAgACAAIABcACIAQQBsAHAAYQBjAGEAcwBcACIALAAgADAALgAzADQAOwBcAG4AIAAgACAAIAAgACAAIAAgACAAIABcACIASABvAHIAcwBlAHMAXAAiACwAIAAyAC4ANwAzADsAXABuACAAIAAgACAAIAAgACAAIAAgACAAXAAiAE0AdQBsAGUAcwAvAGEAcwBzAGUAcwBcACIALAAgADAALgA5ADEAOwBcAG4AIAAgACAAIAAgACAAIAAgACAAIABcACIARQBtAHUAcwAvAG8AcwB0AHIAaQBjAGgAZQBzAFwAIgAsACAAMAAuADMAN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OAGkAdAByAG8AZwBlAG4ARQB4AGMAcgBlAHQAZQBkAFwAbgBUAGEAYgBsAGUAIABBAC4AMQAuADUALgAzADoAIABPAHQAaABlAHIAIABMAGkAdgBlAHMAdABvAGMAawAgAC0AIABOAGkAdAByAG8AZwBlAG4AIABlAHgAYwByAGUAdABlAGQAIABwAGUAcgAgAGwAaQB2AGUAcwB0AG8AYwBrACAAdAB5AHAAZQAgACgAawBnACAATgAyAE8ALwBoAGUAYQBkAC8AeQBlAGEAcgApACAAKABOAEUAagApAFwAbgAtAC0ALQAtAC0ALQAtAC0ALQAtAC0ALQAtAC0ALQAtAC0ALQAtAC0ALQAtAC0ALQAtAC0ALQAtAC0ALQAtAC0ALQAtAC0ALQAtAC0AXABuACoALwBcAG4AXABuAFMAbwB1AHIAYwBlAEQAYQB0AGEAXwBPAHQAaABlAHIATABpAHYAZQBzAHQAbwBjAGsAXwBOAGkAdAByAG8AZwBlAG4ARQB4AGMAcgBlAHQAZQBkAF8AVABpAHQAbABlAFwAbgAgACAAPQBMAEEATQBCAEQAQQAoAFwAIgBPAHQAaABlAHIAIABMAGkAdgBlAHMAdABvAGMAawAgAC0AIABOAGkAdAByAG8AZwBlAG4AIABlAHgAYwByAGUAdABlAGQAIABwAGUAcgAgAGwAaQB2AGUAcwB0AG8AYwBrACAAdAB5AHAAZQBcACIAKQA7AFwAbgBcAG4AUwBvAHUAcgBjAGUARABhAHQAYQBfAE8AdABoAGUAcgBMAGkAdgBlAHMAdABvAGMAawBfAE4AaQB0AHIAbwBnAGUAbgBFAHgAYwByAGUAdABlAGQAXwBWAGEAcgBpAGEAYgBsAGUAXABuACAAIAA9AEwAQQBNAEIARABBACgAXAAiAE4ARQBqAFwAIgApADsAXABuAFwAbgBTAG8AdQByAGMAZQBEAGEAdABhAF8ATwB0AGgAZQByAEwAaQB2AGUAcwB0AG8AYwBrAF8ATgBpAHQAcgBvAGcAZQBuAEUAeABjAHIAZQB0AGUAZABfAFUAbgBpAHQAXABuACAAIAA9AEwAQQBNAEIARABBACgAXAAiAGsAZwAgAE4AMgBPACAALwAgAGgAZQBhAGQAIAAvACAAeQBlAGEAcgBcACIAKQA7AFwAbgBcAG4AUwBvAHUAcgBjAGUARABhAHQAYQBfAE8AdABoAGUAcgBMAGkAdgBlAHMAdABvAGMAawBfAE4AaQB0AHIAbwBnAGUAbgBFAHgAYwByAGUAdABlAGQAXwBTAG8AdQByAGMAZQBcAG4AIAAgAD0ATABBAE0AQgBEAEEAKABcACIAVgBFAEUAUgBHACAAMgAwADIANgA6ACAAVABhAGIAbABlACAAQQAuADEALgA1AC4AMwBcACIAKQA7AFwAbgBcAG4AUwBvAHUAcgBjAGUARABhAHQAYQBfAE8AdABoAGUAcgBMAGkAdgBlAHMAdABvAGMAawBfAE4AaQB0AHIAbwBnAGUAbgBFAHgAYwByAGUAdABlAGQAXwBWAGEAcgBpAGEAdABpAG8AbgBcAG4AIAAgAD0ATABBAE0AQgBEAEEAKABcACIAXAAiACkAOwBcAG4AXABuAFMAbwB1AHIAYwBlAEQAYQB0AGEAXwBPAHQAaABlAHIATABpAHYAZQBzAHQAbwBjAGsAXwBOAGkAdAByAG8AZwBlAG4ARQB4AGMAcgBlAHQAZQBkAF8ARABhAHQAYQBcAG4AIAAgAD0ATABBAE0AQgBEAEEAKABcAG4AIAAgACAAIABNAEEASwBFAEEAUgBSAEEAWQAoADkALAAgADIALABcAG4AIAAgACAAIAAgACAATABBAE0AQgBEAEEAKAByACwAYwAsAFwAbgAgACAAIAAgACAAIAAgACAASQBOAEQARQBYACgAewBcAG4AIAAgACAAIAAgACAAIAAgACAAIABcACIATwB0AGgAZQByACAATABpAHYAZQBzAHQAbwBjAGsAIABUAHkAcABlAFwAIgAsACAAXAAiAE4ARQBqAFwAIgA7AFwAbgAgACAAIAAgACAAIAAgACAAIAAgAFwAIgBCAHUAZgBmAGEAbABvAFwAIgAsACAAMwA5AC4ANQA7AFwAbgAgACAAIAAgACAAIAAgACAAIAAgAFwAIgBHAG8AYQB0AHMAXAAiACwAIAA3AC4AMAA7AFwAbgAgACAAIAAgACAAIAAgACAAIAAgAFwAIgBEAGUAZQByAFwAIgAsACAAMQAzAC4AMgA7AFwAbgAgACAAIAAgACAAIAAgACAAIAAgAFwAIgBDAGEAbQBlAGwAcwBcACIALAAgADMAOQAuADUAOwBcAG4AIAAgACAAIAAgACAAIAAgACAAIABcACIAQQBsAHAAYQBjAGEAcwBcACIALAAgADcALgAwADsAXABuACAAIAAgACAAIAAgACAAIAAgACAAXAAiAEgAbwByAHMAZQBzAFwAIgAsACAAMwA5AC4ANQA7AFwAbgAgACAAIAAgACAAIAAgACAAIAAgAFwAIgBNAHUAbABlAHMALwBhAHMAcwBlAHMAXAAiACwAIAAxADMALgAyADsAXABuACAAIAAgACAAIAAgACAAIAAgACAAXAAiAEUAbQB1AHMALwBvAHMAdAByAGkAYwBoAGUAcwBcACIALAAgADcALgAw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EAdgBlAHIAYQBnAGUATABpAHYAZQB3AGUAaQBnAGgAdABcAG4AVABhAGIAbABlACAAQQAuADEALgA1AC4ANAA6ACAATwB0AGgAZQByACAATABpAHYAZQBzAHQAbwBjAGsAIAAtACAAQQB2AGUAcgBhAGcAZQAgAEwAaQB2AGUAdwBlAGkAZwBoAHQAcwAgACgAVwBjAG8AKQAgACgAawBnACkAIABcAG4ALQAtAC0ALQAtAC0ALQAtAC0ALQAtAC0ALQAtAC0ALQAtAC0ALQAtAC0ALQAtAC0ALQAtAC0ALQAtAC0ALQAtAC0ALQAtAC0ALQAtAFwAbgAqAC8AXABuAFwAbgBTAG8AdQByAGMAZQBEAGEAdABhAF8ATwB0AGgAZQByAEwAaQB2AGUAcwB0AG8AYwBrAF8AQQB2AGUAcgBhAGcAZQBMAGkAdgBlAHcAZQBpAGcAaAB0AF8AVABpAHQAbABlAFwAbgAgACAAPQBMAEEATQBCAEQAQQAoAFwAIgBPAHQAaABlAHIAIABMAGkAdgBlAHMAdABvAGMAawAgAC0AIABBAHYAZQByAGEAZwBlACAATABpAHYAZQB3AGUAaQBnAGgAdABzAFwAIgApADsAXABuAFwAbgBTAG8AdQByAGMAZQBEAGEAdABhAF8ATwB0AGgAZQByAEwAaQB2AGUAcwB0AG8AYwBrAF8AQQB2AGUAcgBhAGcAZQBMAGkAdgBlAHcAZQBpAGcAaAB0AF8AVgBhAHIAaQBhAGIAbABlAFwAbgAgACAAPQBMAEEATQBCAEQAQQAoAFwAIgBXAGMAbwBcACIAKQA7AFwAbgBcAG4AUwBvAHUAcgBjAGUARABhAHQAYQBfAE8AdABoAGUAcgBMAGkAdgBlAHMAdABvAGMAawBfAEEAdgBlAHIAYQBnAGUATABpAHYAZQB3AGUAaQBnAGgAdABfAFUAbgBpAHQAXABuACAAIAA9AEwAQQBNAEIARABBACgAXAAiAGsAZwBcACIAKQA7AFwAbgBcAG4AUwBvAHUAcgBjAGUARABhAHQAYQBfAE8AdABoAGUAcgBMAGkAdgBlAHMAdABvAGMAawBfAEEAdgBlAHIAYQBnAGUATABpAHYAZQB3AGUAaQBnAGgAdABfAFMAbwB1AHIAYwBlAFwAbgAgACAAPQBMAEEATQBCAEQAQQAoAFwAIgBWAEUARQBSAEcAIAAyADAAMgA2ADoAIABUAGEAYgBsAGUAIABBAC4AMQAuADUALgA0AFwAIgApADsAXABuAFwAbgBTAG8AdQByAGMAZQBEAGEAdABhAF8ATwB0AGgAZQByAEwAaQB2AGUAcwB0AG8AYwBrAF8AQQB2AGUAcgBhAGcAZQBMAGkAdgBlAHcAZQBpAGcAaAB0AF8AVgBhAHIAaQBhAHQAaQBvAG4AXABuACAAIAA9AEwAQQBNAEIARABBACgAXAAiAFwAIgApADsAXABuAFwAbgBTAG8AdQByAGMAZQBEAGEAdABhAF8ATwB0AGgAZQByAEwAaQB2AGUAcwB0AG8AYwBrAF8AQQB2AGUAcgBhAGcAZQBMAGkAdgBlAHcAZQBpAGcAaAB0AF8ARABhAHQAYQBcAG4AIAAgAD0ATABBAE0AQgBEAEEAKABcAG4AIAAgACAAIABNAEEASwBFAEEAUgBSAEEAWQAoADEAMQAsACAAMwAsAFwAbgAgACAAIAAgACAAIABMAEEATQBCAEQAQQAoAHIALABjACwAXABuACAAIAAgACAAIAAgACAAIABJAE4ARABFAFgAKAB7AFwAbgAgACAAIAAgACAAIAAgACAAIAAgAFwAIgBPAHQAaABlAHIAIABMAGkAdgBlAHMAdABvAGMAawAgAFQAeQBwAGUAIABqAFwAIgAsACAAXAAiAEEAdgBlAHIAYQBnAGUAIABMAGkAdgBlAHcAZQBpAGcAaAB0AFwAIgAsACAAXAAiAEEAdgBlAHIAYQBnAGUAIABMAGkAdgBlAHcAZQBpAGcAaAB0AFwAIgA7AFwAbgAgACAAIAAgACAAIAAgACAAIAAgAFwAIgBCAHUAZgBmAGEAbABvAFwAIgAsACAAMwAzADYALAAgAFwAIgAtAFwAIgA7AFwAbgAgACAAIAAgACAAIAAgACAAIAAgAFwAIgBHAG8AYQB0AHMAXAAiACwAIAAzADMALAAgAFwAIgAyADgAawBnACAALQAgAGwAbwB3ACAAcAByAG8AZAB1AGMAdABpAHYAaQB0AHkAIABzAHkAcwB0AGUAbQBzAFwAIgA7AFwAbgAgACAAIAAgACAAIAAgACAAIAAgAFwAIgBHAG8AYQB0AHMAXAAiACwAIAAzADMALAAgAFwAIgA1ADAAawBnACAALQAgAGgAaQBnAGgAIABwAHIAbwBkAHUAYwB0AGkAdgBpAHQAeQAgAHMAeQBzAHQAZQBtAHMAXAAiADsAXABuACAAIAAgACAAIAAgACAAIAAgACAAXAAiAEQAZQBlAHIAXAAiACwAIAAxADIAMAAsACAAMQAyADAAOwBcAG4AIAAgACAAIAAgACAAIAAgACAAIABcACIAQwBhAG0AZQBsAHMAXAAiACwAIAAyADEANwAsACAANQA3ADAAOwBcAG4AIAAgACAAIAAgACAAIAAgACAAIABcACIAQQBsAHAAYQBjAGEAcwBcACIALAAgAFwAIgAtAFwAIgAsACAANgA1ADsAXABuACAAIAAgACAAIAAgACAAIAAgACAAXAAiAEgAbwByAHMAZQBzAFwAIgAsACAAMwA3ADcALAAgADUANQAwADsAXABuACAAIAAgACAAIAAgACAAIAAgACAAXAAiAE0AdQBsAGUAcwAvAGEAcwBzAGUAcwBcACIALAAgADEAMwAwACwAIAAyADQANQA7AFwAbgAgACAAIAAgACAAIAAgACAAIAAgAFwAIgBFAG0AdQBzAC8AbwBzAHQAcgBpAGMAaABlAHMAXAAiACwAIAAxADIAMAAsACAAMQAyADAAOwBcAG4AIAAgACAAIAAgACAAIAAgACAAIABcACIAUgBlAGYAZQByAGUAbgBjAGUAXAAiACwAIABcACIASQBQAEMAQwAgADIAMAAxADkAIABUAGEAYgBsAGUAIAAxADAAQQAuADUAIABbADIAXQBcACIALAAgAFwAIgBJAFAAQwBDACAAMgAwADEAOQAgAFQAYQBiAGwAZQAgADEAMAAuADEAMAAgAFsAMg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GAHIAYQBjAHQAaQBvAG4AVwBhAHMAdABlAEkAbgBNAE0AUwBcAG4AVABhAGIAbABlACAAQQAuADEALgA1AC4ANQA6ACAATwB0AGgAZQByACAATABpAHYAZQBzAHQAbwBjAGsAIAAtACAARgByAGEAYwB0AGkAbwBuACAAbwBmACAAdwBhAHMAdABlACAAaQBu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PAHQAaABlAHIATABpAHYAZQBzAHQAbwBjAGsAXwBGAHIAYQBjAHQAaQBvAG4AVwBhAHMAdABlAEkAbgBNAE0AUwBfAFQAaQB0AGwAZQBcAG4AIAAgAD0ATABBAE0AQgBEAEEAKABcACIATwB0AGgAZQByACAATABpAHYAZQBzAHQAbwBjAGsAIAAtACAARgByAGEAYwB0AGkAbwBuACAAbwBmACAAdwBhAHMAdABlACAAaQBuACAAZQBhAGMAaAAgAG0AYQBuAHUAcgBlACAAbQBhAG4AYQBnAGUAbQBlAG4AdAAgAHMAeQBzAHQAZQBtAFwAIgApADsAXABuAFwAbgBTAG8AdQByAGMAZQBEAGEAdABhAF8ATwB0AGgAZQByAEwAaQB2AGUAcwB0AG8AYwBrAF8ARgByAGEAYwB0AGkAbwBuAFcAYQBzAHQAZQBJAG4ATQBNAFMAXwBWAGEAcgBpAGEAYgBsAGUAXABuACAAIAA9AEwAQQBNAEIARABBACgAXAAiAE0ATQBTAG0AXAAiACkAOwBcAG4AXABuAFMAbwB1AHIAYwBlAEQAYQB0AGEAXwBPAHQAaABlAHIATABpAHYAZQBzAHQAbwBjAGsAXwBGAHIAYQBjAHQAaQBvAG4AVwBhAHMAdABlAEkAbgBNAE0AUwBfAFUAbgBpAHQAXABuACAAIAA9AEwAQQBNAEIARABBACgAXAAiAGYAcgBhAGMAdABpAG8AbgBcACIAKQA7AFwAbgBcAG4AUwBvAHUAcgBjAGUARABhAHQAYQBfAE8AdABoAGUAcgBMAGkAdgBlAHMAdABvAGMAawBfAEYAcgBhAGMAdABpAG8AbgBXAGEAcwB0AGUASQBuAE0ATQBTAF8AUwBvAHUAcgBjAGUAXABuACAAIAA9AEwAQQBNAEIARABBACgAXAAiAFYARQBFAFIARwAgADIAMAAyADYAOgAgAFQAYQBiAGwAZQAgAEEALgAxAC4ANQAuADUAXAAiACkAOwBcAG4AXABuAFMAbwB1AHIAYwBlAEQAYQB0AGEAXwBPAHQAaABlAHIATABpAHYAZQBzAHQAbwBjAGsAXwBGAHIAYQBjAHQAaQBvAG4AVwBhAHMAdABlAEkAbgBNAE0AUwBfAFYAYQByAGkAYQB0AGkAbwBuAFwAbgAgACAAPQBMAEEATQBCAEQAQQAoAFwAIgBcACIAKQA7AFwAbgBcAG4AUwBvAHUAcgBjAGUARABhAHQAYQBfAE8AdABoAGUAcgBMAGkAdgBlAHMAdABvAGMAawBfAEYAcgBhAGMAdABpAG8AbgBXAGEAcwB0AGUASQBuAE0ATQBTAF8ARABhAHQAYQBcAG4AIAAgAD0ATABBAE0AQgBEAEEAKABcAG4AIAAgACAAIABNAEEASwBFAEEAUgBSAEEAWQAoADkALAAgADMALABcAG4AIAAgACAAIAAgACAATABBAE0AQgBEAEEAKAByACwAYwAsAFwAbgAgACAAIAAgACAAIAAgACAASQBOAEQARQBYACgAewBcAG4AIAAgACAAIAAgACAAIAAgACAAIABcACIAUwB0AGEAdABlAFwAIgAsACAAXAAiAFAAYQBzAHQAdQByAGUAIAByAGEAbgBnAGUAIABhAG4AZAAgAHAAYQBkAGQAbwBjAGsAXAAiACwAIABcACIAVQBuAGMAbwB2AGUAcgBlAGQAIABBAG4AYQBlAHIAbwBiAGkAYwAgAGwAYQBnAG8AbwBuAFwAIgA7AFwAbgAgACAAIAAgACAAIAAgACAAIAAgAFwAIgBBAEMAVABcACIALAAgACAAOQA5AC4ANgA2ACwAIAAgADAALgAzADQAOwBcAG4AIAAgACAAIAAgACAAIAAgACAAIABcACIATgBTAFcAXAAiACwAIAAgADkAOQAuADYANgAsACAAIAAwAC4AMwA0ADsAXABuACAAIAAgACAAIAAgACAAIAAgACAAXAAiAE4AVABcACIALAAgACAAOQA5AC4ANgA2ACwAIAAgADAALgAzADQAOwBcAG4AIAAgACAAIAAgACAAIAAgACAAIABcACIAUQBMAEQAXAAiACwAIAAgADkAOQAuADYANgAsACAAIAAwAC4AMwA0ADsAXABuACAAIAAgACAAIAAgACAAIAAgACAAXAAiAFMAQQBcACIALAAgACAAOQA5AC4ANgA2ACwAIAAgADAALgAzADQAOwBcAG4AIAAgACAAIAAgACAAIAAgACAAIABcACIAVABBAFMAXAAiACwAIAAgADkAOQAuADYANgAsACAAIAAwAC4AMwA0ADsAXABuACAAIAAgACAAIAAgACAAIAAgACAAXAAiAFYASQBDAFwAIgAsACAAIAA5ADkALgA2ADYALAAgACAAMAAuADMANAA7AFwAbgAgACAAIAAgACAAIAAgACAAIAAgAFwAIgBXAEEAXAAiACwAIAAgADkAOQAuADYANgAsACAAIAAwAC4AMwA0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0AZQB0AGgAYQBuAGUAQwBvAG4AdgBlAHIAcwBpAG8AbgBGAGEAYwB0AG8AcgBcAG4AVABhAGIAbABlACAAQQAuADEALgA1AC4ANgA6ACAATwB0AGgAZQByACAATABpAHYAZQBzAHQAbwBjAGs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TwB0AGgAZQByAEwAaQB2AGUAcwB0AG8AYwBrAF8ATQBlAHQAaABhAG4AZQBDAG8AbgB2AGUAcgBzAGkAbwBuAEYAYQBjAHQAbwByAF8AVABpAHQAbABlAFwAbgAgACAAPQBMAEEATQBCAEQAQQAoAFwAIgBPAHQAaABlAHIAIABMAGkAdgBlAHMAdABvAGMAawAgAC0AIABNAGUAdABoAGEAbgBlACAAYwBvAG4AdgBlAHIAcwBpAG8AbgAgAGYAYQBjAHQAbwByACAAcABlAHIAIAByAGUAZwBpAG8AbgBcACIAKQA7AFwAbgBcAG4AUwBvAHUAcgBjAGUARABhAHQAYQBfAE8AdABoAGUAcgBMAGkAdgBlAHMAdABvAGMAawBfAE0AZQB0AGgAYQBuAGUAQwBvAG4AdgBlAHIAcwBpAG8AbgBGAGEAYwB0AG8AcgBfAFYAYQByAGkAYQBiAGwAZQBcAG4AIAAgAD0ATABBAE0AQgBEAEEAKABcACIATQBDAEYAaQBtAFwAIgApADsAXABuAFwAbgBTAG8AdQByAGMAZQBEAGEAdABhAF8ATwB0AGgAZQByAEwAaQB2AGUAcwB0AG8AYwBrAF8ATQBlAHQAaABhAG4AZQBDAG8AbgB2AGUAcgBzAGkAbwBuAEYAYQBjAHQAbwByAF8AVQBuAGkAdABcAG4AIAAgAD0ATABBAE0AQgBEAEEAKABcACIAZgByAGEAYwB0AGkAbwBuAFwAIgApADsAXABuAFwAbgBTAG8AdQByAGMAZQBEAGEAdABhAF8ATwB0AGgAZQByAEwAaQB2AGUAcwB0AG8AYwBrAF8ATQBlAHQAaABhAG4AZQBDAG8AbgB2AGUAcgBzAGkAbwBuAEYAYQBjAHQAbwByAF8AUwBvAHUAcgBjAGUAXABuACAAIAA9AEwAQQBNAEIARABBACgAXAAiAFYARQBFAFIARwAgADIAMAAyADYAOgAgAFQAYQBiAGwAZQAgAEEALgAxAC4ANQAuADYAXAAiACkAOwBcAG4AXABuAFMAbwB1AHIAYwBlAEQAYQB0AGEAXwBPAHQAaABlAHIATABpAHYAZQBzAHQAbwBjAGsAXwBNAGUAdABoAGEAbgBlAEMAbwBuAHYAZQByAHMAaQBvAG4ARgBhAGMAdABvAHIAXwBWAGEAcgBpAGEAdABpAG8AbgBcAG4AIAAgAD0ATABBAE0AQgBEAEEAKABcACIAXAAiACkAOwBcAG4AXABuAFMAbwB1AHIAYwBlAEQAYQB0AGEAXwBPAHQAaABlAHIATABpAHYAZQBzAHQAbwBjAGsAXwBNAGUAdABoAGEAbgBlAEMAbwBuAHYAZQByAHMAaQBvAG4ARgBhAGMAdABvAHIAXwBEAGEAdABhAFwAbgAgACAAPQBMAEEATQBCAEQAQQAoAFwAbgAgACAAIAAgAE0AQQBLAEUAQQBSAFIAQQBZACgAOQAsACAAMwAsAFwAbgAgACAAIAAgACAAIABMAEEATQBCAEQAQQAoAHIALABjACwAXABuACAAIAAgACAAIAAgACAAIABJAE4ARABFAFgAKAB7AFwAbgAgACAAIAAgACAAIAAgACAAIAAgAFwAIgBTAHQAYQB0AGUAXAAiACwAIABcACIAUABhAHMAdAB1AHIAZQAgAHIAYQBuAGcAZQAgAGEAbgBkACAAcABhAGQAZABvAGMAawBcACIALAAgAFwAIgBVAG4AYwBvAHYAZQByAGUAZAAgAEEAbgBhAGUAcgBvAGIAaQBjACAAbABhAGcAbwBvAG4AXAAiADsAXABuACAAIAAgACAAIAAgACAAIAAgACAAXAAiAEEAQwBUAFwAIgAsACAAIAAwAC4AMAAwADQANwAsACAAIAAwAC4ANwAxADsAXABuACAAIAAgACAAIAAgACAAIAAgACAAXAAiAE4AUwBXAFwAIgAsACAAIAAwAC4AMAAwADQANwAsACAAIAAwAC4ANwA1ADsAXABuACAAIAAgACAAIAAgACAAIAAgACAAXAAiAE4AVABcACIALAAgACAAMAAuADAAMAA0ADcALAAgACAAMAAuADgAMAA7AFwAbgAgACAAIAAgACAAIAAgACAAIAAgAFwAIgBRAEwARABcACIALAAgACAAMAAuADAAMAA0ADcALAAgACAAMAAuADcAOAA7AFwAbgAgACAAIAAgACAAIAAgACAAIAAgAFwAIgBTAEEAXAAiACwAIAAgADAALgAwADAANAA3ACwAIAAgADAALgA3ADQAOwBcAG4AIAAgACAAIAAgACAAIAAgACAAIABcACIAVABBAFMAXAAiACwAIAAgADAALgAwADAANAA3ACwAIAAgADAALgA3ADAAOwBcAG4AIAAgACAAIAAgACAAIAAgACAAIABcACIAVgBJAEMAXAAiACwAIAAgADAALgAwADAANAA3ACwAIAAgADAALgA3ADQAOwBcAG4AIAAgACAAIAAgACAAIAAgACAAIABcACIAVwBBAFwAIgAsACAAIAAwAC4AMAAwADQANwAsACAAIAAwAC4ANwA2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0AZQB0AGgAYQBuAGUARQBtAGkAcwBzAGkAbwBuAHMAUABvAHQAZQBuAHQAaQBhAGwAXABuAFQAYQBiAGwAZQAgAEEALgAxAC4ANQAuAFgAOgAgAE8AdABoAGUAcgAgAEwAaQB2AGUAcwB0AG8AYwBrACAALQAgAE0AZQB0AGgAYQBuAGUAIABlAG0AaQBzAHMAaQBvAG4AcwAgAHAAbwB0AGUAbgB0AGkAYQBsACAAKABtADMAIABDAEgANAAgAC8AIABrAGcAIABWAFMAKQAgACgAQgBPACkAXABuAC0ALQAtAC0ALQAtAC0ALQAtAC0ALQAtAC0ALQAtAC0ALQAtAC0ALQAtAC0ALQAtAC0ALQAtAC0ALQAtAC0ALQAtAC0ALQAtAC0ALQBcAG4AKgAvAFwAbgBcAG4AUwBvAHUAcgBjAGUARABhAHQAYQBfAE8AdABoAGUAcgBMAGkAdgBlAHMAdABvAGMAawBfAE0AZQB0AGgAYQBuAGUARQBtAGkAcwBzAGkAbwBuAHMAUABvAHQAZQBuAHQAaQBhAGwAXwBUAGkAdABsAGUAXABuACAAIAA9AEwAQQBNAEIARABBACgAXAAiAE8AdABoAGUAcgAgAEwAaQB2AGUAcwB0AG8AYwBrACAALQAgAE0AZQB0AGgAYQBuAGUAIABlAG0AaQBzAHMAaQBvAG4AcwAgAHAAbwB0AGUAbgB0AGkAYQBsAFwAIgApADsAXABuAFwAbgBTAG8AdQByAGMAZQBEAGEAdABhAF8ATwB0AGgAZQByAEwAaQB2AGUAcwB0AG8AYwBrAF8ATQBlAHQAaABhAG4AZQBFAG0AaQBzAHMAaQBvAG4AcwBQAG8AdABlAG4AdABpAGEAbABfAFYAYQByAGkAYQBiAGwAZQBcAG4AIAAgAD0ATABBAE0AQgBEAEEAKABcACIAQgBPAFwAIgApADsAXABuAFwAbgBTAG8AdQByAGMAZQBEAGEAdABhAF8ATwB0AGgAZQByAEwAaQB2AGUAcwB0AG8AYwBrAF8ATQBlAHQAaABhAG4AZQBFAG0AaQBzAHMAaQBvAG4AcwBQAG8AdABlAG4AdABpAGEAbABfAFUAbgBpAHQAXABuACAAIAA9AEwAQQBNAEIARABBACgAXAAiAG0AMwAgAEMASAA0ACAALwAgAGsAZwAgAFYAUwBcACIAKQA7AFwAbgBcAG4AUwBvAHUAcgBjAGUARABhAHQAYQBfAE8AdABoAGUAcgBMAGkAdgBlAHMAdABvAGMAawBfAE0AZQB0AGgAYQBuAGUARQBtAGkAcwBzAGkAbwBuAHMAUABvAHQAZQBuAHQAaQBhAGwAXwBTAG8AdQByAGMAZQBcAG4AIAAgAD0ATABBAE0AQgBEAEEAKABcACIAVgBFAEUAUgBHACAAMgAwADIANgA6ACAAVABhAGIAbABlACAAQQAuADEALgA1AC4AWABcACIAKQA7AFwAbgBcAG4AUwBvAHUAcgBjAGUARABhAHQAYQBfAE8AdABoAGUAcgBMAGkAdgBlAHMAdABvAGMAawBfAE0AZQB0AGgAYQBuAGUARQBtAGkAcwBzAGkAbwBuAHMAUABvAHQAZQBuAHQAaQBhAGwAXwBWAGEAcgBpAGEAdABpAG8AbgBcAG4AIAAgAD0ATABBAE0AQgBEAEEAKABcACIAVgBBAFIASQBBAFQASQBPAE4AIABPAE4AIABTAE8AVQBSAEMARQA6ACAAVABoAGUAcgBlACAAdwBlAHIAZQAgAG4AbwAgAHYAYQBsAHUAZQBzACAAaQBuACAAVgBFAEUAUgBHACAAcwBvACAAdABoAGkAcwAgAGQAYQB0AGEAIABoAGEAcwAgAGIAZQBlAG4AIABnAGUAbgBlAHIAYQB0AGUAZAAgAGIAeQAgAHUAcwBpAG4AZwAgAGQAbwBjAHUAbQBlAG4AdABlAGQAIABCAE8AIAB2AGEAbAB1AGUAcwAgAGYAcgBvAG0AIABvAHQAaABlAHIAIABsAGkAdgBlAHMAdABvAGMAawBcACIAKQA7AFwAbgBcAG4AUwBvAHUAcgBjAGUARABhAHQAYQBfAE8AdABoAGUAcgBMAGkAdgBlAHMAdABvAGMAawBfAE0AZQB0AGgAYQBuAGUARQBtAGkAcwBzAGkAbwBuAHMAUABvAHQAZQBuAHQAaQBhAGwAXwBEAGEAdABhAFwAbgAgACAAPQBMAEEATQBCAEQAQQAoAFwAbgAgACAAIAAgAE0AQQBLAEUAQQBSAFIAQQBZACgAOQAsACAAMwAsAFwAbgAgACAAIAAgACAAIABMAEEATQBCAEQAQQAoAHIALABjACwAXABuACAAIAAgACAAIAAgACAAIABJAE4ARABFAFgAKAB7AFwAbgAgACAAIAAgACAAIAAgACAAIAAgAFwAIgBPAHQAaABlAHIAIABMAGkAdgBlAHMAdABvAGMAawAgAFQAeQBwAGUAXAAiACwAIABcACIAQgBPAFwAIgAsACAAXAAiAFQAYQBrAGUAbgAgAGYAcgBvAG0AXAAiADsAXABuACAAIAAgACAAIAAgACAAIAAgACAAXAAiAEIAdQBmAGYAYQBsAG8AXAAiACwAIAAwAC4AMQA5ACwAIABcACIARgBlAGUAZABsAG8AdAAsACAAUABhAHMAdAB1AHIAZQAgAGIAZQBlAGYAXAAiADsAXABuACAAIAAgACAAIAAgACAAIAAgACAAXAAiAEcAbwBhAHQAcwBcACIALAAgADAALgAyADQALAAgAFwAIgBTAGgAZQBlAHAAXAAiADsAXABuACAAIAAgACAAIAAgACAAIAAgACAAXAAiAEQAZQBlAHIAXAAiACwAIAAwAC4AMgA0ACwAIABcACIAUwBoAGUAZQBwAFwAIgA7AFwAbgAgACAAIAAgACAAIAAgACAAIAAgAFwAIgBDAGEAbQBlAGwAcwBcACIALAAgADAALgAyADQALAAgAFwAIgBTAGgAZQBlAHAAXAAiADsAXABuACAAIAAgACAAIAAgACAAIAAgACAAXAAiAEEAbABwAGEAYwBhAHMAXAAiACwAIAAwAC4AMgA0ACwAIABcACIAUwBoAGUAZQBwAFwAIgA7AFwAbgAgACAAIAAgACAAIAAgACAAIAAgAFwAIgBIAG8AcgBzAGUAcwBcACIALAAgADAALgAxADkALAAgAFwAIgBGAGUAZQBkAGwAbwB0ACwAIABQAGEAcwB0AHUAcgBlACAAYgBlAGUAZgBcACIAOwBcAG4AIAAgACAAIAAgACAAIAAgACAAIABcACIATQB1AGwAZQBzAC8AYQBzAHMAZQBzAFwAIgAsACAAMAAuADIANAAsACAAXAAiAFMAaABlAGUAcABcACIAOwBcAG4AIAAgACAAIAAgACAAIAAgACAAIABcACIARQBtAHUAcwAvAG8AcwB0AHIAaQBjAGgAZQBzAFwAIgAsACAAMAAuADMANgAsACAAXAAiAFAAbwB1AGwAdAByAHkAIAAtACAAbQBlAGEAdAAgAGMAaABpAGMAawBl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PAHQAaABlAHIATABpAHYAZQBzAHQAbwBjAGs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PAHQAaABlAHIATABpAHYAZQBzAHQAbwBjAGsAXwBGAHIAYQBjAEcAQQBTAE0AUwBvAGkAbABfAFYAYQByAGkAYQBiAGwAZQBcAG4AIAAgAD0ATABBAE0AQgBEAEEAKABcACIARgByAGEAYwBHAEEAUwBNAHMAbwBpAGwAXAAiACkAOwBcAG4AXABuAFMAbwB1AHIAYwBlAEQAYQB0AGEAXwBPAHQAaABlAHIATABpAHYAZQBzAHQAbwBjAGsAXwBGAHIAYQBjAEcAQQBTAE0AUwBvAGkAbABfAFUAbgBpAHQAXABuACAAIAA9AEwAQQBNAEIARABBACgAXAAiACgAawBnACAATgBIADMALQBOACAAKwAgAE4ATwB4AC0ATgApAC8AawBnACAATgBcACIAKQA7AFwAbgBcAG4AUwBvAHUAcgBjAGUARABhAHQAYQBfAE8AdABoAGUAcgBMAGkAdgBlAHMAdABvAGMAawBfAEYAcgBhAGMARwBBAFMATQBTAG8AaQBsAF8AUwBvAHUAcgBjAGUAXABuACAAIAA9AEwAQQBNAEIARABBACgAXAAiAFYARQBFAFIARwAgADIAMAAyADYAOgAgADQALgA3AC4AMgAuADMAIABDAE8ATgBTAFQAQQBOAFQAUwBcACIAKQA7AFwAbgBcAG4AUwBvAHUAcgBjAGUARABhAHQAYQBfAE8AdABoAGUAcgBMAGkAdgBlAHMAdABvAGMAawBfAEYAcgBhAGMARwBBAFMATQBTAG8AaQBsAF8AVgBhAHIAaQBhAHQAaQBvAG4AXABuACAAIAA9AEwAQQBNAEIARABBACgAXAAiAFwAIgApADsAXABuAFwAbgBTAG8AdQByAGMAZQBEAGEAdABhAF8ATwB0AGgAZQByAEwAaQB2AGUAcwB0AG8AYwBrAF8ARgByAGEAYwBHAEEAUwBNAFMAbwBpAGwAXwBEAGEAdABhAFwAbgAgACAAPQBMAEEATQBCAEQAQQAoADAALgAyADEAKQA7AFwAbgBcAG4AIgB9ACwAewAiAHAAYQB0AGgAIgA6ACIALwBwAHIAbwBqAGUAYwB0AHMALwBFAG4AdABlAHIAaQBjAE0AZQB0AGgAYQBuAGUAXwBPAHQAaABlAHIATABpAHYAZQBzAHQAbwBjAGsAXwBFAHEAdQBhAHQAaQBvAG4AcwAiACwAIgB0AGUAeAB0ACIAOgAiAC8AKgBcAG4APQA9AD0APQA9AD0APQA9AD0APQA9AD0APQA9AD0APQA9AD0APQA9AD0APQA9AD0APQA9AD0APQA9AD0APQA9AD0APQA9AD0APQA9AD0APQA9AD0APQA9AD0APQA9AD0APQA9AD0APQA9AD0APQA9AD0APQA9AD0APQA9AD0APQA9AD0APQA9AD0APQA9AD0APQA9AD0APQBcAG4AMwAuADYAOgAgAEUAbgB0AGUAcgBpAGMAIABNAGUAdABoAGEAbgBlACAALQAgAE8AdABoAGUAcgAgAEwAaQB2AGUAcwB0AG8AYwBrAFwAbgA9AD0APQA9AD0APQA9AD0APQA9AD0APQA9AD0APQA9AD0APQA9AD0APQA9AD0APQA9AD0APQA9AD0APQA9AD0APQA9AD0APQA9AD0APQA9AD0APQA9AD0APQA9AD0APQA9AD0APQA9AD0APQA9AD0APQA9AD0APQA9AD0APQA9AD0APQA9AD0APQA9AD0APQA9AD0APQA9AFwAbgAzAC4ANgAuADEALgAxACAATQBlAHQAaABvAGQAIAAxACAALQAgAEUAbgB0AGUAcgBpAGMAIABPAHQAaABlAHIAIABMAGkAdgBlAHMAdABvAGMAa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2AF8AMQBfADEAXwBfADEAXwBUAG8AdABhAGwAQQBuAG4AdQBhAGwATQBlAHQAaABhAG4AZQBGAHIAbwBtAEUAbgB0AGUAcgBpAGMARgBlAHIAbQBlAG4AdABhAHQAaQBvAG4ATwB0AGgAZQByAEwAaQB2AGUAcwB0AG8AYwBrAFwAbgBUAG8AdABhAGwAIABhAG4AbgB1AGEAbAAgAG0AZQB0AGgAYQBuAGUAIABwAHIAbwBkAHUAYwB0AGkAbwBuACAAZgByAG8AbQAgAGUAbgB0AGUAcgBpAGMAIABmAGUAcgBtAGUAbgB0AGEAdABpAG8AbgAgAGkAbgAgAG8AdABoAGUAcgAgAGwAaQB2AGUAcwB0AG8AYwBrAFwAbgBFAF8AZQBuAHQAZQByAGkAYwBcAG4AdAAgAEMASAA0AFwAbgBFAF8AewBlAG4AdABlAHIAaQBjAH0APQBcAFwAcwB1AG0AXwBqACgATgBfAGoAXABcAHQAaQBtAGUAcwAgAE0AXwBqACkAXABcAHQAaQBtAGUAcwAgADEAMABeAHsALQAzAH0AXABuAE4AXwBqACAAPQAgAG4AdQBtAGIAZQByACAAbwBmACAAbABpAHYAZQBzAHQAbwBjAGsAIABvAGYAIABlAGEAYwBoACAAbABpAHYAZQBzAHQAbwBjAGsAIAB0AHkAcABlACAAagAgACgAaABlAGEAZAApAFwAbgBNAF8AagAgAD0AIABlAG4AdABlAHIAaQBjACAAZgBlAHIAbQBlAG4AdABhAHQAaQBvAG4AIABlAG0AaQBzAHMAaQBvAG4AIABmAGEAYwB0AG8AcgAgACgAawBnACAAQwBIADQALwBoAGUAYQBkAC8AeQBlAGEAcgApAFwAbgAtAC0ALQAtAC0ALQAtAC0ALQAtAC0ALQAtAC0ALQAtAC0ALQAtAC0ALQAtAC0ALQAtAC0ALQAtAC0ALQAtAC0ALQAtAC0ALQAtAC0AXABuACoALwBcAG4AXABuAFYARQBFAFIARwBfADMAXwA2AF8AMQBfADEAXwBfADEAXwBUAG8AdABhAGwAQQBuAG4AdQBhAGwATQBlAHQAaABhAG4AZQBGAHIAbwBtAEUAbgB0AGUAcgBpAGMARgBlAHIAbQBlAG4AdABhAHQAaQBvAG4ATwB0AGgAZQByAEwAaQB2AGUAcwB0AG8AYwBrAFwAbgAgACAAPQBMAEEATQBCAEQAQQAoAFwAbgAgACAAIAAgAE4AXwBqACwAIABNAF8AagAsAFwAbgAgACAAIAAgAFMAVQBNACgATgBfAGoAIAAqACAATQBfAGoAKQAgACoAIAAxADAAIABeACAALQAzAFwAbgAgACAAKQA7AFwAbgBcAG4AVgBFAEUAUgBHAF8AMwBfADYAXwAxAF8AMQBfAF8AMQBfAFQAbwB0AGEAbABBAG4AbgB1AGEAbABNAGUAdABoAGEAbgBlAEYAcgBvAG0ARQBuAHQAZQByAGkAYwBGAGUAcgBtAGUAbgB0AGEAdABpAG8AbgBPAHQAaABlAHIATABpAHYAZQBzAHQAbwBjAGsAXwBUAGkAdABsAGUAXABuACAAIAA9AEwAQQBNAEIARABBACgAXAAiAFQAbwB0AGEAbAAgAGEAbgBuAHUAYQBsACAAbQBlAHQAaABhAG4AZQAgAHAAcgBvAGQAdQBjAHQAaQBvAG4AIABmAHIAbwBtACAAZQBuAHQAZQByAGkAYwAgAGYAZQByAG0AZQBuAHQAYQB0AGkAbwBuACAAaQBuACAAbwB0AGgAZQByACAAbABpAHYAZQBzAHQAbwBjAGsAXAAiACkAOwBcAG4AXABuAFYARQBFAFIARwBfADMAXwA2AF8AMQBfADEAXwBfADEAXwBUAG8AdABhAGwAQQBuAG4AdQBhAGwATQBlAHQAaABhAG4AZQBGAHIAbwBtAEUAbgB0AGUAcgBpAGMARgBlAHIAbQBlAG4AdABhAHQAaQBvAG4ATwB0AGgAZQByAEwAaQB2AGUAcwB0AG8AYwBrAF8AVgBhAHIAaQBhAGIAbABlAFwAbgAgACAAPQBMAEEATQBCAEQAQQAoAFwAIgBFAF8AZQBuAHQAZQByAGkAYwBcACIAKQA7AFwAbgBcAG4AVgBFAEUAUgBHAF8AMwBfADYAXwAxAF8AMQBfAF8AMQBfAFQAbwB0AGEAbABBAG4AbgB1AGEAbABNAGUAdABoAGEAbgBlAEYAcgBvAG0ARQBuAHQAZQByAGkAYwBGAGUAcgBtAGUAbgB0AGEAdABpAG8AbgBPAHQAaABlAHIATABpAHYAZQBzAHQAbwBjAGsAXwBVAG4AaQB0AFwAbgAgACAAPQBMAEEATQBCAEQAQQAoAFwAIgB0ACAAQwBIADQAXAAiACkAOwBcAG4AXABuAFYARQBFAFIARwBfADMAXwA2AF8AMQBfADEAXwBfADEAXwBUAG8AdABhAGwAQQBuAG4AdQBhAGwATQBlAHQAaABhAG4AZQBGAHIAbwBtAEUAbgB0AGUAcgBpAGMARgBlAHIAbQBlAG4AdABhAHQAaQBvAG4ATwB0AGgAZQByAEwAaQB2AGUAcwB0AG8AYwBrAF8AUwBvAHUAcgBjAGUAXABuACAAIAA9AEwAQQBNAEIARABBACgAXAAiAFYARQBFAFIARwAgADIAMAAyADYAOgAgADMALgA2AC4AMQAuADEALAAgAEUAcQB1AGEAdABpAG8AbgAgACgAMQApAFwAIgApADsAXABuAFwAbgBWAEUARQBSAEcAXwAzAF8ANgBfADEAXwAxAF8AXwAxAF8AVABvAHQAYQBsAEEAbgBuAHUAYQBsAE0AZQB0AGgAYQBuAGUARgByAG8AbQBFAG4AdABlAHIAaQBjAEYAZQByAG0AZQBuAHQAYQB0AGkAbwBuAE8AdABoAGUAcgBMAGkAdgBlAHMAdABvAGMAawBfAE4ASQBSAFIAZQBmAGUAcgBlAG4AYwBlAFwAbgAgACAAPQBMAEEATQBCAEQAQQAoAFwAIgBcACIAKQA7AFwAbgBcAG4AVgBFAEUAUgBHAF8AMwBfADYAXwAxAF8AMQBfAF8AMQBfAFQAbwB0AGEAbABBAG4AbgB1AGEAbABNAGUAdABoAGEAbgBlAEYAcgBvAG0ARQBuAHQAZQByAGkAYwBGAGUAcgBtAGUAbgB0AGEAdABpAG8AbgBPAHQAaABlAHIATABpAHYAZQBzAHQAbwBjAGsAXwBMAGEAdABlAHgARQBxAHUAYQB0AGkAbwBuAFwAbgAgACAAPQBMAEEATQBCAEQAQQAoAFwAIgBFAF8AewBlAG4AdABlAHIAaQBjAH0APQBcAFwAcwB1AG0AXwBqACgATgBfAGoAXABcAHQAaQBtAGUAcwAgAE0AXwBqACkAXABcAHQAaQBtAGUAcwAgADEAMABeAHsALQAzAH0AXAAiACkAOwBcAG4AXABuAFYARQBFAFIARwBfADMAXwA2AF8AMQBfADEAXwBfADEAXwBUAG8AdABhAGwAQQBuAG4AdQBhAGwATQBlAHQAaABhAG4AZQBGAHIAbwBtAEUAbgB0AGUAcgBpAGMARgBlAHIAbQBlAG4AdABhAHQAaQBvAG4ATwB0AGgAZQByAEwAaQB2AGUAcwB0AG8AYwBr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bABpAHYAZQBzAHQAbwBjAGsAIABvAGYAIABlAGEAYwBoACAAbABpAHYAZQBzAHQAbwBjAGsAIAB0AHkAcABlACAAagBcACIALAAgAFwAIgBoAGUAYQBkAFwAIgAsACAAXAAiAEkAbgBwAHUAdABcACIAOwBcAG4AIAAgACAAIAAgACAAIAAgACAAIABcACIATQBfAGoAXAAiACwAIABcACIAZQBuAHQAZQByAGkAYwAgAGYAZQByAG0AZQBuAHQAYQB0AGkAbwBuACAAZQBtAGkAcwBzAGkAbwBuACAAZgBhAGMAdABvAHIAXAAiACwAIABcACIAawBnACAAQwBIADQALwBoAGUAYQBkAC8AeQBlAGEAcgBcACIALAAgAFwAIgBDAG8AbgBzAHQAYQBuAHQAXAAiADsAXABuACAAIAAgACAAIAAgACAAIAAgACAAXAAiAGoAXAAiACwAIABcACIAbABpAHYAZQBzAHQAbwBjAGsAIAB0AHkAcABl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PAHQAaABlAHIATABpAHYAZQBzAHQAbwBjAGsALgBTAG8AdQByAGMAZQBEAGEAdABhAF8ATwB0AGgAZQByAEwAaQB2AGUAcwB0AG8AYwBrAF8ARQBuAHQAZQByAGkAYwBGAGUAcgBtAGUAbgB0AGEAdABpAG8AbgBFAG0AaQBzAHMAaQBvAG4ARgBhAGMAdABvAHIAXwBUAGkAdABsAGUAIgAsACIAUwBvAHUAcgBjAGUARABhAHQAYQBfAE8AdABoAGUAcgBMAGkAdgBlAHMAdABvAGMAawAuAFMAbwB1AHIAYwBlAEQAYQB0AGEAXwBPAHQAaABlAHIATABpAHYAZQBzAHQAbwBjAGsAXwBFAG4AdABlAHIAaQBjAEYAZQByAG0AZQBuAHQAYQB0AGkAbwBuAEUAbQBpAHMAcwBpAG8AbgBGAGEAYwB0AG8AcgBfAFYAYQByAGkAYQBiAGwAZQAiACwAIgBTAG8AdQByAGMAZQBEAGEAdABhAF8ATwB0AGgAZQByAEwAaQB2AGUAcwB0AG8AYwBrAC4AUwBvAHUAcgBjAGUARABhAHQAYQBfAE8AdABoAGUAcgBMAGkAdgBlAHMAdABvAGMAawBfAEUAbgB0AGUAcgBpAGMARgBlAHIAbQBlAG4AdABhAHQAaQBvAG4ARQBtAGkAcwBzAGkAbwBuAEYAYQBjAHQAbwByAF8AVQBuAGkAdAAiACwAIgBTAG8AdQByAGMAZQBEAGEAdABhAF8ATwB0AGgAZQByAEwAaQB2AGUAcwB0AG8AYwBrAC4AUwBvAHUAcgBjAGUARABhAHQAYQBfAE8AdABoAGUAcgBMAGkAdgBlAHMAdABvAGMAawBfAEUAbgB0AGUAcgBpAGMARgBlAHIAbQBlAG4AdABhAHQAaQBvAG4ARQBtAGkAcwBzAGkAbwBuAEYAYQBjAHQAbwByAF8AUwBvAHUAcgBjAGUAIgAsACIAUwBvAHUAcgBjAGUARABhAHQAYQBfAE8AdABoAGUAcgBMAGkAdgBlAHMAdABvAGMAawAuAFMAbwB1AHIAYwBlAEQAYQB0AGEAXwBPAHQAaABlAHIATABpAHYAZQBzAHQAbwBjAGsAXwBFAG4AdABlAHIAaQBjAEYAZQByAG0AZQBuAHQAYQB0AGkAbwBuAEUAbQBpAHMAcwBpAG8AbgBGAGEAYwB0AG8AcgBfAFYAYQByAGkAYQB0AGkAbwBuACIALAAiAFMAbwB1AHIAYwBlAEQAYQB0AGEAXwBPAHQAaABlAHIATABpAHYAZQBzAHQAbwBjAGsALgBTAG8AdQByAGMAZQBEAGEAdABhAF8ATwB0AGgAZQByAEwAaQB2AGUAcwB0AG8AYwBrAF8ARQBuAHQAZQByAGkAYwBGAGUAcgBtAGUAbgB0AGEAdABpAG8AbgBFAG0AaQBzAHMAaQBvAG4ARgBhAGMAdABvAHIAXwBEAGEAdABhACIALAAiAFMAbwB1AHIAYwBlAEQAYQB0AGEAXwBPAHQAaABlAHIATABpAHYAZQBzAHQAbwBjAGsALgBTAG8AdQByAGMAZQBEAGEAdABhAF8ATwB0AGgAZQByAEwAaQB2AGUAcwB0AG8AYwBrAF8AVgBvAGwAYQB0AGkAbABlAFMAbwBsAGkAZABzAFAAcgBvAGQAdQBjAGUAZABfAFQAaQB0AGwAZQAiACwAIgBTAG8AdQByAGMAZQBEAGEAdABhAF8ATwB0AGgAZQByAEwAaQB2AGUAcwB0AG8AYwBrAC4AUwBvAHUAcgBjAGUARABhAHQAYQBfAE8AdABoAGUAcgBMAGkAdgBlAHMAdABvAGMAawBfAFYAbwBsAGEAdABpAGwAZQBTAG8AbABpAGQAcwBQAHIAbwBkAHUAYwBlAGQAXwBWAGEAcgBpAGEAYgBsAGUAIgAsACIAUwBvAHUAcgBjAGUARABhAHQAYQBfAE8AdABoAGUAcgBMAGkAdgBlAHMAdABvAGMAawAuAFMAbwB1AHIAYwBlAEQAYQB0AGEAXwBPAHQAaABlAHIATABpAHYAZQBzAHQAbwBjAGsAXwBWAG8AbABhAHQAaQBsAGUAUwBvAGwAaQBkAHMAUAByAG8AZAB1AGMAZQBkAF8AVQBuAGkAdAAiACwAIgBTAG8AdQByAGMAZQBEAGEAdABhAF8ATwB0AGgAZQByAEwAaQB2AGUAcwB0AG8AYwBrAC4AUwBvAHUAcgBjAGUARABhAHQAYQBfAE8AdABoAGUAcgBMAGkAdgBlAHMAdABvAGMAawBfAFYAbwBsAGEAdABpAGwAZQBTAG8AbABpAGQAcwBQAHIAbwBkAHUAYwBlAGQAXwBTAG8AdQByAGMAZQAiACwAIgBTAG8AdQByAGMAZQBEAGEAdABhAF8ATwB0AGgAZQByAEwAaQB2AGUAcwB0AG8AYwBrAC4AUwBvAHUAcgBjAGUARABhAHQAYQBfAE8AdABoAGUAcgBMAGkAdgBlAHMAdABvAGMAawBfAFYAbwBsAGEAdABpAGwAZQBTAG8AbABpAGQAcwBQAHIAbwBkAHUAYwBlAGQAXwBWAGEAcgBpAGEAdABpAG8AbgAiACwAIgBTAG8AdQByAGMAZQBEAGEAdABhAF8ATwB0AGgAZQByAEwAaQB2AGUAcwB0AG8AYwBrAC4AUwBvAHUAcgBjAGUARABhAHQAYQBfAE8AdABoAGUAcgBMAGkAdgBlAHMAdABvAGMAawBfAFYAbwBsAGEAdABpAGwAZQBTAG8AbABpAGQAcwBQAHIAbwBkAHUAYwBlAGQAXwBEAGEAdABhACIALAAiAFMAbwB1AHIAYwBlAEQAYQB0AGEAXwBPAHQAaABlAHIATABpAHYAZQBzAHQAbwBjAGsALgBTAG8AdQByAGMAZQBEAGEAdABhAF8ATwB0AGgAZQByAEwAaQB2AGUAcwB0AG8AYwBrAF8ATgBpAHQAcgBvAGcAZQBuAEUAeABjAHIAZQB0AGUAZABfAFQAaQB0AGwAZQAiACwAIgBTAG8AdQByAGMAZQBEAGEAdABhAF8ATwB0AGgAZQByAEwAaQB2AGUAcwB0AG8AYwBrAC4AUwBvAHUAcgBjAGUARABhAHQAYQBfAE8AdABoAGUAcgBMAGkAdgBlAHMAdABvAGMAawBfAE4AaQB0AHIAbwBnAGUAbgBFAHgAYwByAGUAdABlAGQAXwBWAGEAcgBpAGEAYgBsAGUAIgAsACIAUwBvAHUAcgBjAGUARABhAHQAYQBfAE8AdABoAGUAcgBMAGkAdgBlAHMAdABvAGMAawAuAFMAbwB1AHIAYwBlAEQAYQB0AGEAXwBPAHQAaABlAHIATABpAHYAZQBzAHQAbwBjAGsAXwBOAGkAdAByAG8AZwBlAG4ARQB4AGMAcgBlAHQAZQBkAF8AVQBuAGkAdAAiACwAIgBTAG8AdQByAGMAZQBEAGEAdABhAF8ATwB0AGgAZQByAEwAaQB2AGUAcwB0AG8AYwBrAC4AUwBvAHUAcgBjAGUARABhAHQAYQBfAE8AdABoAGUAcgBMAGkAdgBlAHMAdABvAGMAawBfAE4AaQB0AHIAbwBnAGUAbgBFAHgAYwByAGUAdABlAGQAXwBTAG8AdQByAGMAZQAiACwAIgBTAG8AdQByAGMAZQBEAGEAdABhAF8ATwB0AGgAZQByAEwAaQB2AGUAcwB0AG8AYwBrAC4AUwBvAHUAcgBjAGUARABhAHQAYQBfAE8AdABoAGUAcgBMAGkAdgBlAHMAdABvAGMAawBfAE4AaQB0AHIAbwBnAGUAbgBFAHgAYwByAGUAdABlAGQAXwBWAGEAcgBpAGEAdABpAG8AbgAiACwAIgBTAG8AdQByAGMAZQBEAGEAdABhAF8ATwB0AGgAZQByAEwAaQB2AGUAcwB0AG8AYwBrAC4AUwBvAHUAcgBjAGUARABhAHQAYQBfAE8AdABoAGUAcgBMAGkAdgBlAHMAdABvAGMAawBfAE4AaQB0AHIAbwBnAGUAbgBFAHgAYwByAGUAdABlAGQAXwBEAGEAdABhACIALAAiAFMAbwB1AHIAYwBlAEQAYQB0AGEAXwBPAHQAaABlAHIATABpAHYAZQBzAHQAbwBjAGsALgBTAG8AdQByAGMAZQBEAGEAdABhAF8ATwB0AGgAZQByAEwAaQB2AGUAcwB0AG8AYwBrAF8AQQB2AGUAcgBhAGcAZQBMAGkAdgBlAHcAZQBpAGcAaAB0AF8AVABpAHQAbABlACIALAAiAFMAbwB1AHIAYwBlAEQAYQB0AGEAXwBPAHQAaABlAHIATABpAHYAZQBzAHQAbwBjAGsALgBTAG8AdQByAGMAZQBEAGEAdABhAF8ATwB0AGgAZQByAEwAaQB2AGUAcwB0AG8AYwBrAF8AQQB2AGUAcgBhAGcAZQBMAGkAdgBlAHcAZQBpAGcAaAB0AF8AVgBhAHIAaQBhAGIAbABlACIALAAiAFMAbwB1AHIAYwBlAEQAYQB0AGEAXwBPAHQAaABlAHIATABpAHYAZQBzAHQAbwBjAGsALgBTAG8AdQByAGMAZQBEAGEAdABhAF8ATwB0AGgAZQByAEwAaQB2AGUAcwB0AG8AYwBrAF8AQQB2AGUAcgBhAGcAZQBMAGkAdgBlAHcAZQBpAGcAaAB0AF8AVQBuAGkAdAAiACwAIgBTAG8AdQByAGMAZQBEAGEAdABhAF8ATwB0AGgAZQByAEwAaQB2AGUAcwB0AG8AYwBrAC4AUwBvAHUAcgBjAGUARABhAHQAYQBfAE8AdABoAGUAcgBMAGkAdgBlAHMAdABvAGMAawBfAEEAdgBlAHIAYQBnAGUATABpAHYAZQB3AGUAaQBnAGgAdABfAFMAbwB1AHIAYwBlACIALAAiAFMAbwB1AHIAYwBlAEQAYQB0AGEAXwBPAHQAaABlAHIATABpAHYAZQBzAHQAbwBjAGsALgBTAG8AdQByAGMAZQBEAGEAdABhAF8ATwB0AGgAZQByAEwAaQB2AGUAcwB0AG8AYwBrAF8AQQB2AGUAcgBhAGcAZQBMAGkAdgBlAHcAZQBpAGcAaAB0AF8AVgBhAHIAaQBhAHQAaQBvAG4AIgAsACIAUwBvAHUAcgBjAGUARABhAHQAYQBfAE8AdABoAGUAcgBMAGkAdgBlAHMAdABvAGMAawAuAFMAbwB1AHIAYwBlAEQAYQB0AGEAXwBPAHQAaABlAHIATABpAHYAZQBzAHQAbwBjAGsAXwBBAHYAZQByAGEAZwBlAEwAaQB2AGUAdwBlAGkAZwBoAHQAXwBEAGEAdABhACIALAAiAFMAbwB1AHIAYwBlAEQAYQB0AGEAXwBPAHQAaABlAHIATABpAHYAZQBzAHQAbwBjAGsALgBTAG8AdQByAGMAZQBEAGEAdABhAF8ATwB0AGgAZQByAEwAaQB2AGUAcwB0AG8AYwBrAF8ARgByAGEAYwB0AGkAbwBuAFcAYQBzAHQAZQBJAG4ATQBNAFMAXwBUAGkAdABsAGUAIgAsACIAUwBvAHUAcgBjAGUARABhAHQAYQBfAE8AdABoAGUAcgBMAGkAdgBlAHMAdABvAGMAawAuAFMAbwB1AHIAYwBlAEQAYQB0AGEAXwBPAHQAaABlAHIATABpAHYAZQBzAHQAbwBjAGsAXwBGAHIAYQBjAHQAaQBvAG4AVwBhAHMAdABlAEkAbgBNAE0AUwBfAFYAYQByAGkAYQBiAGwAZQAiACwAIgBTAG8AdQByAGMAZQBEAGEAdABhAF8ATwB0AGgAZQByAEwAaQB2AGUAcwB0AG8AYwBrAC4AUwBvAHUAcgBjAGUARABhAHQAYQBfAE8AdABoAGUAcgBMAGkAdgBlAHMAdABvAGMAawBfAEYAcgBhAGMAdABpAG8AbgBXAGEAcwB0AGUASQBuAE0ATQBTAF8AVQBuAGkAdAAiACwAIgBTAG8AdQByAGMAZQBEAGEAdABhAF8ATwB0AGgAZQByAEwAaQB2AGUAcwB0AG8AYwBrAC4AUwBvAHUAcgBjAGUARABhAHQAYQBfAE8AdABoAGUAcgBMAGkAdgBlAHMAdABvAGMAawBfAEYAcgBhAGMAdABpAG8AbgBXAGEAcwB0AGUASQBuAE0ATQBTAF8AUwBvAHUAcgBjAGUAIgAsACIAUwBvAHUAcgBjAGUARABhAHQAYQBfAE8AdABoAGUAcgBMAGkAdgBlAHMAdABvAGMAawAuAFMAbwB1AHIAYwBlAEQAYQB0AGEAXwBPAHQAaABlAHIATABpAHYAZQBzAHQAbwBjAGsAXwBGAHIAYQBjAHQAaQBvAG4AVwBhAHMAdABlAEkAbgBNAE0AUwBfAFYAYQByAGkAYQB0AGkAbwBuACIALAAiAFMAbwB1AHIAYwBlAEQAYQB0AGEAXwBPAHQAaABlAHIATABpAHYAZQBzAHQAbwBjAGsALgBTAG8AdQByAGMAZQBEAGEAdABhAF8ATwB0AGgAZQByAEwAaQB2AGUAcwB0AG8AYwBrAF8ARgByAGEAYwB0AGkAbwBuAFcAYQBzAHQAZQBJAG4ATQBNAFMAXwBEAGEAdABhACIALAAiAFMAbwB1AHIAYwBlAEQAYQB0AGEAXwBPAHQAaABlAHIATABpAHYAZQBzAHQAbwBjAGsALgBTAG8AdQByAGMAZQBEAGEAdABhAF8ATwB0AGgAZQByAEwAaQB2AGUAcwB0AG8AYwBrAF8ATQBlAHQAaABhAG4AZQBDAG8AbgB2AGUAcgBzAGkAbwBuAEYAYQBjAHQAbwByAF8AVABpAHQAbABlACIALAAiAFMAbwB1AHIAYwBlAEQAYQB0AGEAXwBPAHQAaABlAHIATABpAHYAZQBzAHQAbwBjAGsALgBTAG8AdQByAGMAZQBEAGEAdABhAF8ATwB0AGgAZQByAEwAaQB2AGUAcwB0AG8AYwBrAF8ATQBlAHQAaABhAG4AZQBDAG8AbgB2AGUAcgBzAGkAbwBuAEYAYQBjAHQAbwByAF8AVgBhAHIAaQBhAGIAbABlACIALAAiAFMAbwB1AHIAYwBlAEQAYQB0AGEAXwBPAHQAaABlAHIATABpAHYAZQBzAHQAbwBjAGsALgBTAG8AdQByAGMAZQBEAGEAdABhAF8ATwB0AGgAZQByAEwAaQB2AGUAcwB0AG8AYwBrAF8ATQBlAHQAaABhAG4AZQBDAG8AbgB2AGUAcgBzAGkAbwBuAEYAYQBjAHQAbwByAF8AVQBuAGkAdAAiACwAIgBTAG8AdQByAGMAZQBEAGEAdABhAF8ATwB0AGgAZQByAEwAaQB2AGUAcwB0AG8AYwBrAC4AUwBvAHUAcgBjAGUARABhAHQAYQBfAE8AdABoAGUAcgBMAGkAdgBlAHMAdABvAGMAawBfAE0AZQB0AGgAYQBuAGUAQwBvAG4AdgBlAHIAcwBpAG8AbgBGAGEAYwB0AG8AcgBfAFMAbwB1AHIAYwBlACIALAAiAFMAbwB1AHIAYwBlAEQAYQB0AGEAXwBPAHQAaABlAHIATABpAHYAZQBzAHQAbwBjAGsALgBTAG8AdQByAGMAZQBEAGEAdABhAF8ATwB0AGgAZQByAEwAaQB2AGUAcwB0AG8AYwBrAF8ATQBlAHQAaABhAG4AZQBDAG8AbgB2AGUAcgBzAGkAbwBuAEYAYQBjAHQAbwByAF8AVgBhAHIAaQBhAHQAaQBvAG4AIgAsACIAUwBvAHUAcgBjAGUARABhAHQAYQBfAE8AdABoAGUAcgBMAGkAdgBlAHMAdABvAGMAawAuAFMAbwB1AHIAYwBlAEQAYQB0AGEAXwBPAHQAaABlAHIATABpAHYAZQBzAHQAbwBjAGsAXwBNAGUAdABoAGEAbgBlAEMAbwBuAHYAZQByAHMAaQBvAG4ARgBhAGMAdABvAHIAXwBEAGEAdABhACIALAAiAEUAbgB0AGUAcgBpAGMATQBlAHQAaABhAG4AZQBfAE8AdABoAGUAcgBMAGkAdgBlAHMAdABvAGMAawBfAEUAcQB1AGEAdABpAG8AbgBzAC4AVgBFAEUAUgBHAF8AMwBfADYAXwAxAF8AMQBfAF8AMQBfAFQAbwB0AGEAbABBAG4AbgB1AGEAbABNAGUAdABoAGEAbgBlAEYAcgBvAG0ARQBuAHQAZQByAGkAYwBGAGUAcgBtAGUAbgB0AGEAdABpAG8AbgBPAHQAaABlAHIATABpAHYAZQBzAHQAbwBjAGsAIgAsACIARQBuAHQAZQByAGkAYwBNAGUAdABoAGEAbgBlAF8ATwB0AGgAZQByAEwAaQB2AGUAcwB0AG8AYwBrAF8ARQBxAHUAYQB0AGkAbwBuAHMALgBWAEUARQBSAEcAXwAzAF8ANgBfADEAXwAxAF8AXwAxAF8AVABvAHQAYQBsAEEAbgBuAHUAYQBsAE0AZQB0AGgAYQBuAGUARgByAG8AbQBFAG4AdABlAHIAaQBjAEYAZQByAG0AZQBuAHQAYQB0AGkAbwBuAE8AdABoAGUAcgBMAGkAdgBlAHMAdABvAGMAawBfAFQAaQB0AGwAZQAiACwAIgBFAG4AdABlAHIAaQBjAE0AZQB0AGgAYQBuAGUAXwBPAHQAaABlAHIATABpAHYAZQBzAHQAbwBjAGsAXwBFAHEAdQBhAHQAaQBvAG4AcwAuAFYARQBFAFIARwBfADMAXwA2AF8AMQBfADEAXwBfADEAXwBUAG8AdABhAGwAQQBuAG4AdQBhAGwATQBlAHQAaABhAG4AZQBGAHIAbwBtAEUAbgB0AGUAcgBpAGMARgBlAHIAbQBlAG4AdABhAHQAaQBvAG4ATwB0AGgAZQByAEwAaQB2AGUAcwB0AG8AYwBrAF8AVgBhAHIAaQBhAGIAbABlACIALAAiAEUAbgB0AGUAcgBpAGMATQBlAHQAaABhAG4AZQBfAE8AdABoAGUAcgBMAGkAdgBlAHMAdABvAGMAawBfAEUAcQB1AGEAdABpAG8AbgBzAC4AVgBFAEUAUgBHAF8AMwBfADYAXwAxAF8AMQBfAF8AMQBfAFQAbwB0AGEAbABBAG4AbgB1AGEAbABNAGUAdABoAGEAbgBlAEYAcgBvAG0ARQBuAHQAZQByAGkAYwBGAGUAcgBtAGUAbgB0AGEAdABpAG8AbgBPAHQAaABlAHIATABpAHYAZQBzAHQAbwBjAGsAXwBVAG4AaQB0ACIALAAiAEUAbgB0AGUAcgBpAGMATQBlAHQAaABhAG4AZQBfAE8AdABoAGUAcgBMAGkAdgBlAHMAdABvAGMAawBfAEUAcQB1AGEAdABpAG8AbgBzAC4AVgBFAEUAUgBHAF8AMwBfADYAXwAxAF8AMQBfAF8AMQBfAFQAbwB0AGEAbABBAG4AbgB1AGEAbABNAGUAdABoAGEAbgBlAEYAcgBvAG0ARQBuAHQAZQByAGkAYwBGAGUAcgBtAGUAbgB0AGEAdABpAG8AbgBPAHQAaABlAHIATABpAHYAZQBzAHQAbwBjAGsAXwBTAG8AdQByAGMAZQAiACwAIgBFAG4AdABlAHIAaQBjAE0AZQB0AGgAYQBuAGUAXwBPAHQAaABlAHIATABpAHYAZQBzAHQAbwBjAGsAXwBFAHEAdQBhAHQAaQBvAG4AcwAuAFYARQBFAFIARwBfADMAXwA2AF8AMQBfADEAXwBfADEAXwBUAG8AdABhAGwAQQBuAG4AdQBhAGwATQBlAHQAaABhAG4AZQBGAHIAbwBtAEUAbgB0AGUAcgBpAGMARgBlAHIAbQBlAG4AdABhAHQAaQBvAG4ATwB0AGgAZQByAEwAaQB2AGUAcwB0AG8AYwBrAF8ATgBJAFIAUgBlAGYAZQByAGUAbgBjAGUAIgAsACIARQBuAHQAZQByAGkAYwBNAGUAdABoAGEAbgBlAF8ATwB0AGgAZQByAEwAaQB2AGUAcwB0AG8AYwBrAF8ARQBxAHUAYQB0AGkAbwBuAHMALgBWAEUARQBSAEcAXwAzAF8ANgBfADEAXwAxAF8AXwAxAF8AVABvAHQAYQBsAEEAbgBuAHUAYQBsAE0AZQB0AGgAYQBuAGUARgByAG8AbQBFAG4AdABlAHIAaQBjAEYAZQByAG0AZQBuAHQAYQB0AGkAbwBuAE8AdABoAGUAcgBMAGkAdgBlAHMAdABvAGMAawBfAEwAYQB0AGUAeABFAHEAdQBhAHQAaQBvAG4AIgAsACIARQBuAHQAZQByAGkAYwBNAGUAdABoAGEAbgBlAF8ATwB0AGgAZQByAEwAaQB2AGUAcwB0AG8AYwBrAF8ARQBxAHUAYQB0AGkAbwBuAHMALgBWAEUARQBSAEcAXwAzAF8ANgBfADEAXwAxAF8AXwAxAF8AVABvAHQAYQBsAEEAbgBuAHUAYQBsAE0AZQB0AGgAYQBuAGUARgByAG8AbQBFAG4AdABlAHIAaQBjAEYAZQByAG0AZQBuAHQAYQB0AGkAbwBuAE8AdABoAGUAcgBMAGkAdgBlAHMAdABvAGMAaw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13</vt:i4>
      </vt:variant>
    </vt:vector>
  </HeadingPairs>
  <TitlesOfParts>
    <vt:vector size="23" baseType="lpstr">
      <vt:lpstr>Home</vt:lpstr>
      <vt:lpstr>Overview</vt:lpstr>
      <vt:lpstr>Results</vt:lpstr>
      <vt:lpstr>Input - Site</vt:lpstr>
      <vt:lpstr>Input - Other Livestock</vt:lpstr>
      <vt:lpstr>3.6.1.1-2 Enteric Methane</vt:lpstr>
      <vt:lpstr>Constants - Other Livestock</vt:lpstr>
      <vt:lpstr>Constants - Common</vt:lpstr>
      <vt:lpstr>Acknowledgements</vt:lpstr>
      <vt:lpstr>Tab template</vt:lpstr>
      <vt:lpstr>Common_SourceData_DensityOfMethane_Data</vt:lpstr>
      <vt:lpstr>X_Cell_OtherLivestock_Others_Alpacas_Head</vt:lpstr>
      <vt:lpstr>X_Cell_OtherLivestock_Others_Camels_Head</vt:lpstr>
      <vt:lpstr>X_Cell_OtherLivestock_Others_Emus_Head</vt:lpstr>
      <vt:lpstr>X_Cell_OtherLivestock_Others_Horses_Head</vt:lpstr>
      <vt:lpstr>X_Cell_OtherLivestock_Others_Mules_Head</vt:lpstr>
      <vt:lpstr>X_Cell_Site_EndDate</vt:lpstr>
      <vt:lpstr>X_Cell_Site_FarmName</vt:lpstr>
      <vt:lpstr>X_Cell_Site_ReportingEntityName</vt:lpstr>
      <vt:lpstr>X_Cell_Site_StartDate</vt:lpstr>
      <vt:lpstr>X_Table_OtherLivestock_Buffalo_Head</vt:lpstr>
      <vt:lpstr>X_Table_OtherLivestock_Deer_Head</vt:lpstr>
      <vt:lpstr>X_Table_OtherLivestock_Goats_Head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2026-07-23T06:20:52Z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