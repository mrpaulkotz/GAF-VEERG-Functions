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6A7CCCB-E061-48DF-AD7E-99DA7CF1C642}" xr6:coauthVersionLast="47" xr6:coauthVersionMax="47" xr10:uidLastSave="{00000000-0000-0000-0000-000000000000}"/>
  <bookViews>
    <workbookView xWindow="2145" yWindow="2460" windowWidth="36255" windowHeight="19140" firstSheet="7" activeTab="7" xr2:uid="{992023F3-CAB7-4E5B-A348-08D563A0EF40}"/>
  </bookViews>
  <sheets>
    <sheet name="Home" sheetId="71" r:id="rId1"/>
    <sheet name="Overview" sheetId="100" r:id="rId2"/>
    <sheet name="Results" sheetId="13" r:id="rId3"/>
    <sheet name="Input - Site" sheetId="15" r:id="rId4"/>
    <sheet name="Input - Other Livestock" sheetId="70" r:id="rId5"/>
    <sheet name="3.6.1.1-2 Enteric Methane" sheetId="69" r:id="rId6"/>
    <sheet name="Constants - Other Livestock" sheetId="79" r:id="rId7"/>
    <sheet name="Constants - Common" sheetId="104" r:id="rId8"/>
    <sheet name="Acknowledgements" sheetId="72" r:id="rId9"/>
    <sheet name="Tab template" sheetId="74"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icMethane_OtherLivestock_Equations.VEERG_3_6_1_1__1_TotalAnnualMethaneFromEntericFermentationOtherLivestock">_xlfn.LAMBDA(_xlpm.N_j,_xlpm.M_j, SUM(_xlpm.N_j * _xlpm.M_j) * 10 ^ -3)</definedName>
    <definedName name="EntericMethane_OtherLivestock_Equations.VEERG_3_6_1_1__1_TotalAnnualMethaneFromEntericFermentationOtherLivestock_Arguments">_xlfn.LAMBDA(_xlfn.MAKEARRAY(3, 4, _xlfn.LAMBDA(_xlpm.r,_xlpm.c, INDEX({"N_j","number of livestock of each livestock type j","head","Input";"M_j","enteric fermentation emission factor","kg CH4/head/year","Constant";"j","livestock type","","Input"}, _xlpm.r, _xlpm.c))))</definedName>
    <definedName name="EntericMethane_OtherLivestock_Equations.VEERG_3_6_1_1__1_TotalAnnualMethaneFromEntericFermentationOtherLivestock_LatexEquation">_xlfn.LAMBDA("E_{enteric}=\sum_j(N_j\times M_j)\times 10^{-3}")</definedName>
    <definedName name="EntericMethane_OtherLivestock_Equations.VEERG_3_6_1_1__1_TotalAnnualMethaneFromEntericFermentationOtherLivestock_NIRReference">_xlfn.LAMBDA("")</definedName>
    <definedName name="EntericMethane_OtherLivestock_Equations.VEERG_3_6_1_1__1_TotalAnnualMethaneFromEntericFermentationOtherLivestock_Source">_xlfn.LAMBDA("VEERG 2026: 3.6.1.1, Equation (1)")</definedName>
    <definedName name="EntericMethane_OtherLivestock_Equations.VEERG_3_6_1_1__1_TotalAnnualMethaneFromEntericFermentationOtherLivestock_Title">_xlfn.LAMBDA("Total annual methane production from enteric fermentation in other livestock")</definedName>
    <definedName name="EntericMethane_OtherLivestock_Equations.VEERG_3_6_1_1__1_TotalAnnualMethaneFromEntericFermentationOtherLivestock_Unit">_xlfn.LAMBDA("t CH4")</definedName>
    <definedName name="EntericMethane_OtherLivestock_Equations.VEERG_3_6_1_1__1_TotalAnnualMethaneFromEntericFermentationOtherLivestock_Variable">_xlfn.LAMBDA("E_enteric")</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
    _xlfn.MAKEARRAY(9, 3,
      _xlfn.LAMBDA(_xlpm.r,_xlpm.c,
        INDEX({"Other Livestock Type","BO","Taken from";"Buffalo",0.19,"Feedlot, Pasture beef";"Goats",0.24,"Sheep";"Deer",0.24,"Sheep";"Camels",0.24,"Sheep";"Alpacas",0.24,"Sheep";"Horses",0.19,"Feedlot, Pasture beef";"Mules/asses",0.24,"Sheep";"Emus/ostriches",0.36,"Poultry - meat chickens"}, _xlpm.r, _xlpm.c)
      )
    )
  )</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X_Cell_OtherLivestock_Others_Alpacas_Head">'Input - Other Livestock'!$F$26</definedName>
    <definedName name="X_Cell_OtherLivestock_Others_Camels_Head">'Input - Other Livestock'!$E$26</definedName>
    <definedName name="X_Cell_OtherLivestock_Others_Emus_Head">'Input - Other Livestock'!$I$26</definedName>
    <definedName name="X_Cell_OtherLivestock_Others_Horses_Head">'Input - Other Livestock'!$G$26</definedName>
    <definedName name="X_Cell_OtherLivestock_Others_Mules_Head">'Input - Other Livestock'!$H$26</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Table_OtherLivestock_Buffalo_Head">'Input - Other Livestock'!$D$7:$H$8</definedName>
    <definedName name="X_Table_OtherLivestock_Deer_Head">'Input - Other Livestock'!$D$19:$H$20</definedName>
    <definedName name="X_Table_OtherLivestock_Goats_Head">'Input - Other Livestock'!$D$13:$J$14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70" l="1"/>
  <c r="D20" i="70"/>
  <c r="D14" i="70"/>
  <c r="D8" i="70"/>
  <c r="E13" i="15"/>
  <c r="A21" i="74"/>
  <c r="A20" i="74"/>
  <c r="A19" i="74"/>
  <c r="A18" i="74"/>
  <c r="A14" i="74"/>
  <c r="A10" i="74"/>
  <c r="A9" i="74"/>
  <c r="A5" i="74"/>
  <c r="A4" i="74"/>
  <c r="A3" i="74"/>
  <c r="A21" i="72"/>
  <c r="A20" i="72"/>
  <c r="A19" i="72"/>
  <c r="A18" i="72"/>
  <c r="A14" i="72"/>
  <c r="A10" i="72"/>
  <c r="A9" i="72"/>
  <c r="A5" i="72"/>
  <c r="A4" i="72"/>
  <c r="A3" i="72"/>
  <c r="A21" i="104"/>
  <c r="A20" i="104"/>
  <c r="A19" i="104"/>
  <c r="A18" i="104"/>
  <c r="A14" i="104"/>
  <c r="A10" i="104"/>
  <c r="A9" i="104"/>
  <c r="A5" i="104"/>
  <c r="A4" i="104"/>
  <c r="A3" i="104"/>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0"/>
  <c r="A20" i="100"/>
  <c r="A19" i="100"/>
  <c r="A18" i="100"/>
  <c r="A14" i="100"/>
  <c r="A10" i="100"/>
  <c r="A9" i="100"/>
  <c r="A5" i="100"/>
  <c r="A4" i="100"/>
  <c r="A3" i="100"/>
  <c r="A21" i="71"/>
  <c r="A20" i="71"/>
  <c r="A19" i="71"/>
  <c r="A18" i="71"/>
  <c r="A14" i="71"/>
  <c r="A10" i="71"/>
  <c r="A9" i="71"/>
  <c r="A5" i="71"/>
  <c r="A4" i="71"/>
  <c r="A3" i="71"/>
  <c r="G31" i="69"/>
  <c r="E259" i="104"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c r="D46" i="104" a="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c r="D35" i="104" a="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c r="D5" i="104" a="1"/>
  <c r="E26" i="69"/>
  <c r="E25" i="69"/>
  <c r="E24" i="69"/>
  <c r="E23" i="69"/>
  <c r="E22" i="69"/>
  <c r="E21" i="69"/>
  <c r="E20" i="69"/>
  <c r="F33" i="69" a="1"/>
  <c r="F33" i="69" s="1"/>
  <c r="D30" i="69" a="1"/>
  <c r="D30" i="69" s="1"/>
  <c r="G13" i="69" a="1"/>
  <c r="G13" i="69" s="1"/>
  <c r="D13" i="69" a="1"/>
  <c r="D13" i="69" s="1"/>
  <c r="E11" i="69" a="1"/>
  <c r="E11" i="69" s="1"/>
  <c r="H30" i="69" s="1"/>
  <c r="E10" i="69" a="1"/>
  <c r="E10" i="69" s="1"/>
  <c r="D6" i="69" a="1"/>
  <c r="D6" i="69" s="1"/>
  <c r="D5" i="69" a="1"/>
  <c r="D5" i="69" s="1"/>
  <c r="E7" i="69" a="1"/>
  <c r="H49" i="104" l="1"/>
  <c r="H53" i="104"/>
  <c r="H52" i="104"/>
  <c r="H48" i="104"/>
  <c r="H50" i="104"/>
  <c r="H51" i="104"/>
  <c r="H54" i="104"/>
  <c r="H19" i="69"/>
  <c r="F28" i="69"/>
  <c r="E7"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F78" i="79" a="1"/>
  <c r="F78" i="79" s="1"/>
  <c r="F77" i="79" a="1"/>
  <c r="F77" i="79" s="1"/>
  <c r="F76" i="79" a="1"/>
  <c r="F76" i="79" s="1"/>
  <c r="F75" i="79" a="1"/>
  <c r="F75" i="79" s="1"/>
  <c r="F74" i="79" a="1"/>
  <c r="F74" i="79" s="1"/>
  <c r="F73" i="79" a="1"/>
  <c r="F73" i="79" s="1"/>
  <c r="F72" i="79" a="1"/>
  <c r="F72" i="79" s="1"/>
  <c r="E79" i="79" a="1"/>
  <c r="E79" i="79" s="1"/>
  <c r="D79" i="79" a="1"/>
  <c r="D79" i="79" s="1"/>
  <c r="E78" i="79" a="1"/>
  <c r="E78" i="79" s="1"/>
  <c r="D78" i="79" a="1"/>
  <c r="D78"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D70" i="79" a="1"/>
  <c r="D70" i="79" s="1"/>
  <c r="D69" i="79" a="1"/>
  <c r="D69" i="79" s="1"/>
  <c r="D68" i="79" a="1"/>
  <c r="D68" i="79" s="1"/>
  <c r="D67" i="79" a="1"/>
  <c r="D67" i="79" s="1"/>
  <c r="D64" i="79" a="1"/>
  <c r="D64" i="79" s="1"/>
  <c r="E64" i="79" a="1"/>
  <c r="E64" i="79" s="1"/>
  <c r="F64" i="79" a="1"/>
  <c r="F64" i="79" s="1"/>
  <c r="D63" i="79" a="1"/>
  <c r="D63" i="79" s="1"/>
  <c r="E63" i="79" a="1"/>
  <c r="E63" i="79" s="1"/>
  <c r="F63" i="79" a="1"/>
  <c r="F63" i="79" s="1"/>
  <c r="F62" i="79" a="1"/>
  <c r="F62" i="79" s="1"/>
  <c r="F61" i="79" a="1"/>
  <c r="F61" i="79" s="1"/>
  <c r="F60" i="79" a="1"/>
  <c r="F60" i="79" s="1"/>
  <c r="F59" i="79" a="1"/>
  <c r="F59" i="79" s="1"/>
  <c r="F58" i="79" a="1"/>
  <c r="F58" i="79" s="1"/>
  <c r="F57" i="79" a="1"/>
  <c r="F57" i="79" s="1"/>
  <c r="F56" i="79" a="1"/>
  <c r="F56" i="79" s="1"/>
  <c r="F55" i="79" a="1"/>
  <c r="F55" i="79" s="1"/>
  <c r="E62" i="79" a="1"/>
  <c r="E62" i="79" s="1"/>
  <c r="D62" i="79" a="1"/>
  <c r="D62" i="79" s="1"/>
  <c r="E61" i="79" a="1"/>
  <c r="E61" i="79" s="1"/>
  <c r="D61" i="79" a="1"/>
  <c r="D61" i="79" s="1"/>
  <c r="E60" i="79" a="1"/>
  <c r="E60" i="79" s="1"/>
  <c r="D60" i="79" a="1"/>
  <c r="D60" i="79" s="1"/>
  <c r="E59" i="79" a="1"/>
  <c r="E59" i="79" s="1"/>
  <c r="D59" i="79" a="1"/>
  <c r="D59" i="79" s="1"/>
  <c r="E58" i="79" a="1"/>
  <c r="E58" i="79" s="1"/>
  <c r="D58" i="79" a="1"/>
  <c r="D58" i="79" s="1"/>
  <c r="E57" i="79" a="1"/>
  <c r="E57" i="79" s="1"/>
  <c r="D57" i="79" a="1"/>
  <c r="D57" i="79" s="1"/>
  <c r="E56" i="79" a="1"/>
  <c r="E56" i="79" s="1"/>
  <c r="D56" i="79" a="1"/>
  <c r="D56"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D17" i="79" a="1"/>
  <c r="D17" i="79" s="1"/>
  <c r="D26" i="69" s="1"/>
  <c r="E17" i="79" a="1"/>
  <c r="E17" i="79" s="1"/>
  <c r="D16" i="79" a="1"/>
  <c r="D16" i="79" s="1"/>
  <c r="D25" i="69" s="1"/>
  <c r="E16" i="79" a="1"/>
  <c r="E16" i="79" s="1"/>
  <c r="D15" i="79" a="1"/>
  <c r="D15" i="79" s="1"/>
  <c r="D24" i="69" s="1"/>
  <c r="E15" i="79" a="1"/>
  <c r="E15" i="79" s="1"/>
  <c r="D14" i="79" a="1"/>
  <c r="D14" i="79" s="1"/>
  <c r="D23" i="69" s="1"/>
  <c r="E14" i="79" a="1"/>
  <c r="E14" i="79" s="1"/>
  <c r="D13" i="79" a="1"/>
  <c r="D13" i="79" s="1"/>
  <c r="D22" i="69" s="1"/>
  <c r="E13" i="79" a="1"/>
  <c r="E13" i="79" s="1"/>
  <c r="D12" i="79" a="1"/>
  <c r="D12" i="79" s="1"/>
  <c r="D21" i="69" s="1"/>
  <c r="E12" i="79" a="1"/>
  <c r="E12" i="79" s="1"/>
  <c r="D11" i="79" a="1"/>
  <c r="D11" i="79" s="1"/>
  <c r="D20" i="69" s="1"/>
  <c r="E11" i="79" a="1"/>
  <c r="E11" i="79" s="1"/>
  <c r="E10" i="79" a="1"/>
  <c r="E10" i="79" s="1"/>
  <c r="D10" i="79" a="1"/>
  <c r="D10" i="79" s="1"/>
  <c r="D19" i="69" s="1"/>
  <c r="D8" i="79" a="1"/>
  <c r="D8" i="79" s="1"/>
  <c r="D7" i="79" a="1"/>
  <c r="D7" i="79" s="1"/>
  <c r="D6" i="79" a="1"/>
  <c r="D6" i="79" s="1"/>
  <c r="D5" i="79" a="1"/>
  <c r="D5" i="79" s="1"/>
  <c r="F26" i="69" l="1" a="1"/>
  <c r="F26" i="69" s="1"/>
  <c r="G26" i="69" s="1" a="1"/>
  <c r="G26" i="69" s="1"/>
  <c r="F25" i="69" a="1"/>
  <c r="F25" i="69" s="1"/>
  <c r="G25" i="69" s="1" a="1"/>
  <c r="G25" i="69" s="1"/>
  <c r="F20" i="69" a="1"/>
  <c r="F20" i="69" s="1"/>
  <c r="G20" i="69" s="1" a="1"/>
  <c r="G20" i="69" s="1"/>
  <c r="F23" i="69" a="1"/>
  <c r="F23" i="69" s="1"/>
  <c r="G23" i="69" s="1" a="1"/>
  <c r="G23" i="69" s="1"/>
  <c r="F19" i="69" a="1"/>
  <c r="F19" i="69" s="1"/>
  <c r="F21" i="69" a="1"/>
  <c r="F21" i="69" s="1"/>
  <c r="G21" i="69" s="1" a="1"/>
  <c r="G21" i="69" s="1"/>
  <c r="F22" i="69" a="1"/>
  <c r="F22" i="69" s="1"/>
  <c r="G22" i="69" s="1" a="1"/>
  <c r="G22" i="69" s="1"/>
  <c r="F24" i="69" a="1"/>
  <c r="F24" i="69" s="1"/>
  <c r="G24" i="69" s="1" a="1"/>
  <c r="G24" i="69" s="1"/>
  <c r="E19" i="69" l="1"/>
  <c r="G19" i="69" s="1" a="1"/>
  <c r="G19" i="69" s="1"/>
  <c r="E28" i="69" s="1"/>
  <c r="E7" i="13" l="1"/>
  <c r="F7" i="13" s="1"/>
  <c r="G30" i="69"/>
  <c r="E33" i="69" s="1" a="1"/>
  <c r="E33" i="69" s="1"/>
  <c r="H7" i="13" s="1"/>
  <c r="I7" i="13" s="1"/>
  <c r="I8" i="13" s="1"/>
  <c r="H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<sst xmlns="http://schemas.openxmlformats.org/spreadsheetml/2006/main" count="187" uniqueCount="139">
  <si>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</si>
  <si>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</si>
  <si>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</si>
  <si>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</si>
  <si>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</si>
  <si>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</si>
  <si>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</si>
  <si>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</si>
  <si>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</si>
  <si>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</si>
  <si>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</si>
  <si>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</si>
  <si>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</si>
  <si>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</si>
  <si>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</si>
  <si>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</si>
  <si>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</si>
  <si>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</si>
  <si>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</si>
  <si>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</si>
  <si>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</si>
  <si>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</si>
  <si>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</si>
  <si>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</si>
  <si>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</si>
  <si>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</si>
  <si>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</si>
  <si>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</si>
  <si>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</si>
  <si>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</si>
  <si>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</si>
  <si>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</si>
  <si>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</si>
  <si>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</si>
  <si>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</si>
  <si>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</si>
  <si>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</si>
  <si>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</si>
  <si>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</si>
  <si>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</si>
  <si>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</si>
  <si>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</si>
  <si>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</si>
  <si>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</si>
  <si>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</si>
  <si>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</si>
  <si>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</si>
  <si>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</si>
  <si>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</si>
  <si>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</si>
  <si>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</si>
  <si>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</si>
  <si>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</si>
  <si>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</si>
  <si>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</si>
  <si>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</si>
  <si>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</si>
  <si>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</si>
  <si>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</si>
  <si>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</si>
  <si>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</si>
  <si>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</si>
  <si>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</si>
  <si>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</si>
  <si>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</si>
  <si>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</si>
  <si>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</si>
  <si>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Total</t>
  </si>
  <si>
    <t>GHG Unit</t>
  </si>
  <si>
    <t>CO2-e unit</t>
  </si>
  <si>
    <t>Irrigation type i</t>
  </si>
  <si>
    <t>EFPRP</t>
  </si>
  <si>
    <t>Month</t>
  </si>
  <si>
    <t>Season</t>
  </si>
  <si>
    <t>GHG emissions method 1</t>
  </si>
  <si>
    <t>GHG emissions method 2</t>
  </si>
  <si>
    <t>CO2-e emissions method 1</t>
  </si>
  <si>
    <t>t CO2e</t>
  </si>
  <si>
    <t>CO2-e emissions method 2</t>
  </si>
  <si>
    <t>Direct application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</si>
  <si>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</si>
  <si>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</si>
  <si>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</si>
  <si>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</si>
  <si>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</si>
  <si>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</si>
  <si>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</si>
  <si>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</si>
  <si>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</si>
  <si>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</si>
  <si>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</si>
  <si>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</si>
  <si>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</si>
  <si>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</si>
  <si>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</si>
  <si>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</si>
  <si>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 Below is a diagram that maps the equations used to calculate emissions and how they interact with each other.</t>
  </si>
  <si>
    <t>Source Data - Other Livestock</t>
  </si>
  <si>
    <t>Other livestock type</t>
  </si>
  <si>
    <t>Mj</t>
  </si>
  <si>
    <t>NEj</t>
  </si>
  <si>
    <t>VSj</t>
  </si>
  <si>
    <t>Wco</t>
  </si>
  <si>
    <t>Wco2</t>
  </si>
  <si>
    <t>Uncovered anaerobic lagoon</t>
  </si>
  <si>
    <t>3.6.1.1-2 Manure Methane</t>
  </si>
  <si>
    <t>Input - Other Livestock</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</si>
  <si>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</si>
  <si>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</si>
  <si>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</si>
  <si>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</si>
  <si>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</si>
  <si>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</si>
  <si>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</si>
  <si>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</si>
  <si>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</si>
  <si>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</si>
  <si>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</si>
  <si>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</si>
  <si>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</si>
  <si>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</si>
  <si>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</si>
  <si>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</si>
  <si>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</si>
  <si>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</si>
  <si>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</si>
  <si>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</si>
  <si>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</si>
  <si>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</si>
  <si>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</si>
  <si>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Livestock type</t>
  </si>
  <si>
    <t>Nj</t>
  </si>
  <si>
    <t>Eenteric</t>
  </si>
  <si>
    <t>3.6 Enteric Methane: Other Livestock: Results</t>
  </si>
  <si>
    <t>3.6: Enteric Methane: Other Livestock: Overview</t>
  </si>
  <si>
    <r>
      <t>E</t>
    </r>
    <r>
      <rPr>
        <vertAlign val="subscript"/>
        <sz val="12"/>
        <color theme="1" tint="0.24994659260841701"/>
        <rFont val="Times New Roman"/>
        <family val="1"/>
      </rPr>
      <t>CO2e</t>
    </r>
    <r>
      <rPr>
        <sz val="12"/>
        <color theme="1" tint="0.24994659260841701"/>
        <rFont val="Times New Roman"/>
        <family val="1"/>
      </rPr>
      <t xml:space="preserve"> (Method 1)</t>
    </r>
  </si>
  <si>
    <t>t CH4</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</si>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</sst>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58"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vertAlign val="subscript"/>
      <sz val="12"/>
      <color theme="1" tint="0.249946592608417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style="thin">
        <color theme="0" tint="-0.34998626667073579"/>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5" fillId="4" borderId="0">
      <alignment horizontal="left" vertical="center"/>
    </xf>
    <xf numFmtId="0" fontId="40" fillId="4" borderId="0">
      <alignment vertical="center"/>
    </xf>
    <xf numFmtId="0" fontId="3" fillId="4" borderId="0">
      <alignment horizontal="left" vertical="center"/>
    </xf>
    <xf numFmtId="0" fontId="3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49" fillId="4" borderId="0">
      <alignment horizontal="left" vertical="center"/>
    </xf>
    <xf numFmtId="0" fontId="36"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0" fillId="4" borderId="0">
      <alignment horizontal="left" vertical="center"/>
    </xf>
    <xf numFmtId="0" fontId="43" fillId="11" borderId="0">
      <alignment horizontal="center" vertical="center"/>
    </xf>
    <xf numFmtId="0" fontId="22" fillId="11" borderId="0">
      <alignment horizontal="left" vertical="center" indent="1"/>
    </xf>
    <xf numFmtId="0" fontId="52" fillId="14" borderId="2">
      <alignment horizontal="center" vertical="center"/>
    </xf>
    <xf numFmtId="0" fontId="53" fillId="15" borderId="2">
      <alignment horizontal="center" vertical="center"/>
    </xf>
    <xf numFmtId="0" fontId="33" fillId="4" borderId="2">
      <alignment horizontal="left" vertical="center"/>
    </xf>
    <xf numFmtId="0" fontId="54" fillId="4" borderId="2">
      <alignment horizontal="left" vertical="center"/>
    </xf>
  </cellStyleXfs>
  <cellXfs count="105">
    <xf numFmtId="0" fontId="0" fillId="0" borderId="0" xfId="0"/>
    <xf numFmtId="0" fontId="37"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5"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41"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7"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5" fillId="0" borderId="0" xfId="5" applyFill="1">
      <alignment horizontal="left" vertical="center"/>
    </xf>
    <xf numFmtId="0" fontId="40" fillId="0" borderId="0" xfId="6" applyFill="1">
      <alignment vertical="center"/>
    </xf>
    <xf numFmtId="0" fontId="37" fillId="0" borderId="0" xfId="8" applyFill="1">
      <alignment horizontal="left" vertical="center"/>
    </xf>
    <xf numFmtId="0" fontId="9" fillId="0" borderId="0" xfId="12" applyFont="1" applyFill="1" applyAlignment="1">
      <alignment horizontal="left" vertical="center"/>
    </xf>
    <xf numFmtId="0" fontId="37"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8" fillId="4" borderId="0" xfId="8" applyFont="1">
      <alignment horizontal="left" vertical="center"/>
    </xf>
    <xf numFmtId="0" fontId="6" fillId="4" borderId="0" xfId="55">
      <alignment horizontal="left" vertical="center"/>
    </xf>
    <xf numFmtId="0" fontId="39" fillId="4" borderId="0" xfId="56">
      <alignment horizontal="left" vertical="center"/>
    </xf>
    <xf numFmtId="0" fontId="10" fillId="0" borderId="0" xfId="57"/>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1" fillId="13" borderId="10" xfId="40" applyBorder="1">
      <alignment horizontal="left" vertical="center"/>
    </xf>
    <xf numFmtId="0" fontId="41" fillId="13" borderId="12" xfId="40" applyBorder="1">
      <alignment horizontal="left" vertical="center"/>
    </xf>
    <xf numFmtId="0" fontId="41" fillId="13" borderId="14" xfId="40" applyBorder="1">
      <alignment horizontal="left" vertical="center"/>
    </xf>
    <xf numFmtId="0" fontId="41" fillId="13" borderId="13" xfId="40" applyBorder="1">
      <alignment horizontal="left" vertical="center"/>
    </xf>
    <xf numFmtId="0" fontId="41" fillId="13" borderId="15" xfId="40" applyBorder="1">
      <alignment horizontal="left" vertical="center"/>
    </xf>
    <xf numFmtId="0" fontId="41" fillId="13" borderId="17" xfId="40" applyBorder="1">
      <alignment horizontal="left" vertical="center"/>
    </xf>
    <xf numFmtId="0" fontId="41" fillId="13" borderId="11" xfId="40" applyBorder="1">
      <alignment horizontal="left" vertical="center"/>
    </xf>
    <xf numFmtId="0" fontId="41" fillId="13" borderId="16" xfId="40" applyBorder="1">
      <alignment horizontal="left" vertical="center"/>
    </xf>
    <xf numFmtId="0" fontId="41" fillId="13" borderId="18" xfId="40" applyBorder="1">
      <alignment horizontal="left" vertical="center"/>
    </xf>
    <xf numFmtId="3" fontId="2" fillId="0" borderId="2" xfId="18">
      <alignment horizontal="center" vertical="center"/>
    </xf>
    <xf numFmtId="0" fontId="46" fillId="4" borderId="1" xfId="8" applyFont="1" applyBorder="1">
      <alignment horizontal="left" vertical="center"/>
    </xf>
    <xf numFmtId="0" fontId="47" fillId="4" borderId="1" xfId="8" applyFont="1" applyBorder="1">
      <alignment horizontal="left" vertical="center"/>
    </xf>
    <xf numFmtId="0" fontId="6" fillId="4" borderId="1" xfId="55" applyBorder="1">
      <alignment horizontal="left" vertical="center"/>
    </xf>
    <xf numFmtId="0" fontId="50" fillId="4" borderId="0" xfId="61">
      <alignment horizontal="left" vertical="center"/>
    </xf>
    <xf numFmtId="0" fontId="41"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3" fillId="11" borderId="0" xfId="62">
      <alignment horizontal="center" vertical="center"/>
    </xf>
    <xf numFmtId="0" fontId="51" fillId="0" borderId="0" xfId="2" applyFont="1"/>
    <xf numFmtId="0" fontId="52" fillId="14" borderId="2" xfId="64">
      <alignment horizontal="center" vertical="center"/>
    </xf>
    <xf numFmtId="0" fontId="53" fillId="15" borderId="2" xfId="65">
      <alignment horizontal="center" vertical="center"/>
    </xf>
    <xf numFmtId="0" fontId="33" fillId="4" borderId="2" xfId="66">
      <alignment horizontal="left" vertical="center"/>
    </xf>
    <xf numFmtId="0" fontId="33" fillId="4" borderId="6" xfId="66" applyBorder="1">
      <alignment horizontal="left" vertical="center"/>
    </xf>
    <xf numFmtId="0" fontId="33" fillId="4" borderId="7" xfId="66" applyBorder="1">
      <alignment horizontal="left" vertical="center"/>
    </xf>
    <xf numFmtId="0" fontId="55" fillId="9" borderId="0" xfId="32" applyFont="1" applyFill="1"/>
    <xf numFmtId="0" fontId="37" fillId="9" borderId="0" xfId="8" applyFill="1">
      <alignment horizontal="left" vertical="center"/>
    </xf>
    <xf numFmtId="0" fontId="17" fillId="11" borderId="0" xfId="31" applyFill="1">
      <alignment vertical="center"/>
    </xf>
    <xf numFmtId="0" fontId="41" fillId="13" borderId="19" xfId="40" applyBorder="1">
      <alignment horizontal="left" vertical="center"/>
    </xf>
    <xf numFmtId="0" fontId="42" fillId="13" borderId="20" xfId="40" applyFont="1" applyBorder="1">
      <alignment horizontal="left" vertical="center"/>
    </xf>
    <xf numFmtId="0" fontId="41" fillId="13" borderId="20" xfId="40" applyBorder="1">
      <alignment horizontal="left" vertical="center"/>
    </xf>
    <xf numFmtId="0" fontId="48" fillId="4" borderId="1" xfId="12" applyFont="1" applyBorder="1">
      <alignment horizontal="left" vertical="center" indent="1"/>
    </xf>
    <xf numFmtId="0" fontId="22" fillId="8" borderId="0" xfId="38">
      <alignment horizontal="left" vertical="center" indent="1"/>
    </xf>
    <xf numFmtId="0" fontId="22" fillId="5" borderId="0" xfId="37">
      <alignment horizontal="left" vertical="center" indent="1"/>
    </xf>
    <xf numFmtId="0" fontId="22" fillId="11" borderId="0" xfId="63">
      <alignment horizontal="left" vertical="center" indent="1"/>
    </xf>
    <xf numFmtId="0" fontId="33" fillId="4" borderId="2" xfId="54" applyAlignment="1">
      <alignment horizontal="left" vertical="center"/>
    </xf>
    <xf numFmtId="0" fontId="33" fillId="4" borderId="7" xfId="54" applyBorder="1" applyAlignment="1">
      <alignment horizontal="left" vertical="center"/>
    </xf>
    <xf numFmtId="0" fontId="33" fillId="4" borderId="21" xfId="54" applyBorder="1">
      <alignment horizontal="center" vertical="center"/>
    </xf>
    <xf numFmtId="0" fontId="57" fillId="9" borderId="5" xfId="35" applyFont="1">
      <alignment horizontal="left" vertical="center" indent="1"/>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6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6"/>
      <tableStyleElement type="headerRow" dxfId="65"/>
      <tableStyleElement type="totalRow" dxfId="64"/>
      <tableStyleElement type="firstColumn" dxfId="63"/>
      <tableStyleElement type="firstRowStripe" dxfId="62"/>
      <tableStyleElement type="secondRowStripe" dxfId="61"/>
    </tableStyle>
    <tableStyle name="Equation table" pivot="0" count="6" xr9:uid="{B247698E-E41D-4CCD-AA0A-C14817E9DE65}">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3.6.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3.6.1.1-2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6.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Total annual methane production from enteric fermentation in other livestock</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38100</xdr:rowOff>
    </xdr:from>
    <xdr:ext cx="190616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𝐸_𝑒𝑛𝑡𝑒𝑟𝑖𝑐=∑8_𝑗▒(𝑁_𝑗×𝑀_𝑗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024E4-8969-4519-9E31-15AF99CB48B1}" name="Table_SourceData_OtherLivestock_EntericEF" displayName="Table_SourceData_OtherLivestock_EntericEF" ref="D9:E17" totalsRowShown="0">
  <autoFilter ref="D9:E17" xr:uid="{3DC024E4-8969-4519-9E31-15AF99CB48B1}">
    <filterColumn colId="0" hiddenButton="1"/>
    <filterColumn colId="1" hiddenButton="1"/>
  </autoFilter>
  <tableColumns count="2">
    <tableColumn id="1" xr3:uid="{D57CB9BE-4423-4B3C-8812-0053460E9FD4}"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76CA99E-B6FF-4452-AA90-21B8618FF161}" name="Mj" dataDxfId="18"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49617-63F2-4A80-A5EB-06A3280A3C57}" name="Table_SourceData_OtherLivestock_VolatileSolids" displayName="Table_SourceData_OtherLivestock_VolatileSolids" ref="D24:E32" totalsRowShown="0" dataDxfId="17" dataCellStyle="Content normal">
  <autoFilter ref="D24:E32" xr:uid="{75649617-63F2-4A80-A5EB-06A3280A3C57}">
    <filterColumn colId="0" hiddenButton="1"/>
    <filterColumn colId="1" hiddenButton="1"/>
  </autoFilter>
  <tableColumns count="2">
    <tableColumn id="1" xr3:uid="{3E3B834E-0F7A-47D3-954A-A57B2234370A}" name="Other livestock type" dataDxfId="16"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0BCFF128-A246-43C6-BB57-DC9448A80579}" name="VSj" dataDxfId="15"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C94C8-449D-4574-AF4D-39C274C53A6F}" name="Table_SourceData_OtherLivestock_NitrogenExcreted" displayName="Table_SourceData_OtherLivestock_NitrogenExcreted" ref="D39:E47" totalsRowShown="0" dataDxfId="14" dataCellStyle="Content normal">
  <autoFilter ref="D39:E47" xr:uid="{522C94C8-449D-4574-AF4D-39C274C53A6F}">
    <filterColumn colId="0" hiddenButton="1"/>
    <filterColumn colId="1" hiddenButton="1"/>
  </autoFilter>
  <tableColumns count="2">
    <tableColumn id="1" xr3:uid="{92CD5559-01AC-4144-B6DC-7F856864840C}" name="Other livestock type" dataDxfId="13"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A4955FC2-927B-4DF6-B94C-068E74A6FF39}" name="NEj" dataDxfId="12"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66B47-C28A-4E61-BD61-AB59792A938B}" name="Table_SourceData_OtherLivestock_AverageLiveweight" displayName="Table_SourceData_OtherLivestock_AverageLiveweight" ref="D54:F64" totalsRowShown="0" dataDxfId="11" dataCellStyle="Content normal">
  <autoFilter ref="D54:F64" xr:uid="{08C66B47-C28A-4E61-BD61-AB59792A938B}">
    <filterColumn colId="0" hiddenButton="1"/>
    <filterColumn colId="1" hiddenButton="1"/>
    <filterColumn colId="2" hiddenButton="1"/>
  </autoFilter>
  <tableColumns count="3">
    <tableColumn id="1" xr3:uid="{92B26601-57E2-4637-B097-133483C8744F}" name="Other livestock type" dataDxfId="10"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6D10B565-469B-4476-91DD-3E192D501AEC}" name="Wco" dataDxfId="9"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4285ACF1-A507-45A9-B06F-3C8A119CF7C4}" name="Wco2" dataDxfId="8"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7E53D2-4463-4A85-80B5-5691AD7D98C8}" name="Table_SourceData_OtherLivestock_FractionWasteInMMS" displayName="Table_SourceData_OtherLivestock_FractionWasteInMMS" ref="D71:F79" totalsRowShown="0" dataDxfId="7" dataCellStyle="Content normal">
  <autoFilter ref="D71:F79" xr:uid="{717E53D2-4463-4A85-80B5-5691AD7D98C8}">
    <filterColumn colId="0" hiddenButton="1"/>
    <filterColumn colId="1" hiddenButton="1"/>
    <filterColumn colId="2" hiddenButton="1"/>
  </autoFilter>
  <tableColumns count="3">
    <tableColumn id="1" xr3:uid="{3C1197CD-1D52-441D-BBC2-CD949C23252D}" name="Other livestock type" dataDxfId="6"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073D8FF-B3DA-4F6A-932F-294E074768D7}" name="Pasture range and paddock" dataDxfId="5"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BE446918-69F7-4B13-8457-24AF8D4D48BC}" name="Uncovered anaerobic lagoon" dataDxfId="4"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A04BB4-DA20-428E-BF28-5455856D0A35}" name="Table_SourceData_OtherLivestock_MCF" displayName="Table_SourceData_OtherLivestock_MCF" ref="D86:F94" totalsRowShown="0" dataDxfId="3" dataCellStyle="Content normal">
  <autoFilter ref="D86:F94" xr:uid="{AFA04BB4-DA20-428E-BF28-5455856D0A35}">
    <filterColumn colId="0" hiddenButton="1"/>
    <filterColumn colId="1" hiddenButton="1"/>
    <filterColumn colId="2" hiddenButton="1"/>
  </autoFilter>
  <tableColumns count="3">
    <tableColumn id="1" xr3:uid="{378D0529-B2BA-4B26-B22D-9D5AE994C705}" name="Other livestock type" dataDxfId="2"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614FC5E3-9067-4D7A-9048-5C785284F6FC}" name="Pasture range and paddock" dataDxfId="1"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9125F130-A695-42FD-984B-66D9A47F338B}" name="Uncovered anaerobic lagoon" dataDxfId="0"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B7010C-D032-43D0-80B8-C7F22CE0F4E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1D757B0-B28C-4BCF-9150-E1C6A39A1566}" name="State/Territory">
      <calculatedColumnFormula array="1">Common_InputFunctions.Utility_DisplayArrayInTable(Common_SourceData.Common_SourceData_AustralianStatesTerritories_Data(),Table_AustralianStates[[#Headers],[State/Territory]],0)</calculatedColumnFormula>
    </tableColumn>
    <tableColumn id="2" xr3:uid="{0159C4E4-515C-44CC-9583-463C87918123}" name="Common Name">
      <calculatedColumnFormula array="1">Common_InputFunctions.Utility_DisplayArrayInTable(Common_SourceData.Common_SourceData_AustralianStatesTerritories_Data(),Table_AustralianStates[[#Headers],[State/Territory]],0)</calculatedColumnFormula>
    </tableColumn>
    <tableColumn id="3" xr3:uid="{351FFF59-0007-44FA-A45A-C1B6110E075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323D407-F371-446B-BD38-4019BA2AB4AE}" name="Table_WASA4Areas" displayName="Table_WASA4Areas" ref="D20:D30" totalsRowShown="0">
  <autoFilter ref="D20:D30" xr:uid="{5FA81339-C6C8-4D36-BEEA-6C4AEDD9E676}">
    <filterColumn colId="0" hiddenButton="1"/>
  </autoFilter>
  <tableColumns count="1">
    <tableColumn id="1" xr3:uid="{615F1E08-D6F3-44DB-AB0A-89595B6B0A3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9CED97A-3F20-494D-A679-E5D4D464C8F8}" name="Table_GWPData" displayName="Table_GWPData" ref="D36:E43" totalsRowShown="0">
  <autoFilter ref="D36:E43" xr:uid="{B8E87A66-3E41-4AD3-925D-01EE21B43D7A}">
    <filterColumn colId="0" hiddenButton="1"/>
    <filterColumn colId="1" hiddenButton="1"/>
  </autoFilter>
  <tableColumns count="2">
    <tableColumn id="1" xr3:uid="{1A59E5AE-BDE7-48E0-B193-17FFE328280F}" name="Gas">
      <calculatedColumnFormula array="1">Common_InputFunctions.Utility_DisplayArrayInTable(Common_SourceData.Common_SourceData_GWP_Data(), Table_GWPData[[#Headers],[Gas]], 0)</calculatedColumnFormula>
    </tableColumn>
    <tableColumn id="2" xr3:uid="{9CA49EA0-F660-4891-8EE3-B455957D129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98B2EFE-1724-4088-8A5F-0378E8460A87}"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EB3B39E-F224-4335-AEB6-5F2EDD9BA874}" name="Gas">
      <calculatedColumnFormula array="1">Common_InputFunctions.Utility_DisplayArrayInTable(Common_SourceData.Common_SourceData_ConvertGasElementalToMolecular_Data(),Table_GasToMolecularConversionFactor[[#Headers],[Gas]], 0)</calculatedColumnFormula>
    </tableColumn>
    <tableColumn id="5" xr3:uid="{50578462-57BD-4398-B175-53931F67327C}" name="Conversion factor">
      <calculatedColumnFormula array="1">Common_InputFunctions.Utility_DisplayArrayInTable(Common_SourceData.Common_SourceData_ConvertGasElementalToMolecular_Data(),Table_GasToMolecularConversionFactor[[#Headers],[Gas]], 0)</calculatedColumnFormula>
    </tableColumn>
    <tableColumn id="2" xr3:uid="{D5139C54-B197-400A-A4CA-20F83361C89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F33B7E2-6266-4FC7-A8BE-F506FA88EF1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80D5B2E-244C-4BD0-B04A-8555C8752D8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2DDD97D-6937-47BE-8509-E2240AB53A3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AC831C2-4A81-44C8-BFF6-62F2E50A2F0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830DDC9-67BD-4259-B06D-06E0BA3969D5}" name="MA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3" xr3:uid="{C3B9A2DC-DE7D-48BF-B7F6-C8A627D8E31E}" name="MA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4" xr3:uid="{2DB7172A-3408-456D-9EAB-DD0E2E9FFAA8}" name="Frost days per year"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5" xr3:uid="{BC96341E-3495-4EDF-BF2A-11900A976AAC}" name="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6" xr3:uid="{767602AF-B45A-4F94-9B8C-B11CBAB91DB4}" name="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7" xr3:uid="{454B806C-D0EC-47F5-869A-CA26E5746178}" name="Min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8" xr3:uid="{535031F8-4A32-4890-ADB0-36387ED70A41}" name="Max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9" xr3:uid="{F2D6063F-7420-4AB7-8C2A-120B9C516672}" name="Min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0" xr3:uid="{56CE8063-81D7-4A83-9C1F-965DC8BA8351}" name="Max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1" xr3:uid="{79BBCA99-724B-42EC-880B-0DF51C7A15C8}" name="Min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5" xr3:uid="{452E33DB-3313-46C7-8FF4-6A9D85486B06}" name="Max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2" xr3:uid="{AA819A6C-1EB1-44DB-A8BA-D5EDDB58BD06}" name="Min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6" xr3:uid="{7B8FA001-13E7-4D41-BD35-8A3FEACEA719}" name="Max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3" xr3:uid="{4EB145A9-EF9C-4F10-A286-B9FD355103DD}" name="Min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7" xr3:uid="{147BB05C-AC9D-46F7-B649-04ACE1B47B56}" name="Max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B7DC288-EBEC-4818-A817-B4FE3F13FE5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3C88E21-BDCA-4113-B9F8-9E4EC092F87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59A8492-85EA-4478-A1BC-E43FA49EAF23}" name="Wet or Dry Zone" totalsRowDxfId="3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F8D710C-49F6-43CB-8FB4-1F572861414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74BE8BF-2EEE-4BF3-815C-7ACE07A4EF10}" name="Temperature Zone">
      <calculatedColumnFormula array="1">Common_InputFunctions.Utility_DisplayArrayInTable(Common_SourceData.Common_SourceData_TemperatureZones_Data(),Table_SourceData_TemperatureZones[[#Headers],[Temperature Zone]],0)</calculatedColumnFormula>
    </tableColumn>
    <tableColumn id="2" xr3:uid="{D65DF0A1-C73A-41FB-9C54-D56DD33602C3}" name="MAT">
      <calculatedColumnFormula array="1">Common_InputFunctions.Utility_DisplayArrayInTable(Common_SourceData.Common_SourceData_TemperatureZones_Data(),Table_SourceData_TemperatureZones[[#Headers],[Temperature Zone]],0)</calculatedColumnFormula>
    </tableColumn>
    <tableColumn id="3" xr3:uid="{F6AF0065-5A69-40CA-B697-5820FE21DFBB}" name="Min MAT">
      <calculatedColumnFormula array="1">Common_InputFunctions.Utility_DisplayArrayInTable(Common_SourceData.Common_SourceData_TemperatureZones_Data(),Table_SourceData_TemperatureZones[[#Headers],[Temperature Zone]],0)</calculatedColumnFormula>
    </tableColumn>
    <tableColumn id="4" xr3:uid="{68C99992-8065-4C6F-B23B-5C6A8656150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32BC3C-B142-46BE-9EB4-2634D863DC5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5161B19-BC66-4CA6-BE5D-ABDF042F5F0B}" name="Rainfall Zone">
      <calculatedColumnFormula array="1">Common_InputFunctions.Utility_DisplayArrayInTable(Common_SourceData.Common_SourceData_RainfallZones_Data(),Table_SourceData_RainfallZones[[#Headers],[Rainfall Zone]],0)</calculatedColumnFormula>
    </tableColumn>
    <tableColumn id="2" xr3:uid="{DC3F6D71-75CD-49E1-BFBE-6B73410BB8CF}" name="Annual rainfall">
      <calculatedColumnFormula array="1">Common_InputFunctions.Utility_DisplayArrayInTable(Common_SourceData.Common_SourceData_RainfallZones_Data(),Table_SourceData_RainfallZones[[#Headers],[Rainfall Zone]],0)</calculatedColumnFormula>
    </tableColumn>
    <tableColumn id="3" xr3:uid="{3A49811B-C92E-4B77-A2DC-EA29225A4237}" name="Min rainfall">
      <calculatedColumnFormula array="1">Common_InputFunctions.Utility_DisplayArrayInTable(Common_SourceData.Common_SourceData_RainfallZones_Data(),Table_SourceData_RainfallZones[[#Headers],[Rainfall Zone]],0)</calculatedColumnFormula>
    </tableColumn>
    <tableColumn id="4" xr3:uid="{CFD5AD0B-7C7B-42E7-A5DA-19B2C037BE3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30FE618-FBF2-4BFF-83FE-D7429E581FF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A3374D-EE6C-4142-AB79-BA191EFE7688}" name="Leaching Zone">
      <calculatedColumnFormula array="1">Common_InputFunctions.Utility_DisplayArrayInTable(Common_SourceData.Common_SourceData_LeachingZones_Data(), Table_SourceData_LeachingZones[[#Headers],[Leaching Zone]], 0)</calculatedColumnFormula>
    </tableColumn>
    <tableColumn id="2" xr3:uid="{ACB58144-0AA6-44D6-9B06-F5E120ED34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ED90C15-B0F7-4824-B89F-30BA9347999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AD6621A-A10E-455D-A9FE-B85C723852D7}" name="Data source">
      <calculatedColumnFormula array="1">Common_InputFunctions.Utility_DisplayArrayInTable(Common_SourceData.Common_SourceData_DataScores_Scope3_Data(), Table_SourceData_DataScores_Scope3[[#Headers],[Data source]], 0)</calculatedColumnFormula>
    </tableColumn>
    <tableColumn id="2" xr3:uid="{E93C12A3-51ED-42AA-984C-4FAE90D458D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D6422D6-F3F3-4662-9C90-AA9D0B0FF44C}" name="Table_SourceData_FracWET" displayName="Table_SourceData_FracWET" ref="D134:E136" totalsRowShown="0">
  <autoFilter ref="D134:E136" xr:uid="{308E99BE-FE1F-47A4-B2CA-97217277C4E9}">
    <filterColumn colId="0" hiddenButton="1"/>
    <filterColumn colId="1" hiddenButton="1"/>
  </autoFilter>
  <tableColumns count="2">
    <tableColumn id="1" xr3:uid="{CFC5062F-70D3-4770-9539-C1BFB8293B5B}" name="Is in leaching zone">
      <calculatedColumnFormula array="1">Common_InputFunctions.Utility_DisplayArrayInTable(Common_SourceData.Common_SourceData_FracWET_Data(),Table_SourceData_FracWET[[#Headers],[Is in leaching zone]],0)</calculatedColumnFormula>
    </tableColumn>
    <tableColumn id="2" xr3:uid="{49589B80-CBD8-4A97-852A-FDF73EDFACB8}" name="FracWET" dataDxfId="3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97206C-C55C-42FC-857A-E241A6950B01}"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1C2A8-8388-4A3D-B0FF-34D7AF79D3A6}" name="Production system j">
      <calculatedColumnFormula array="1">Common_InputFunctions.Utility_DisplayArrayInTable(Common_SourceData.Common_SourceData_EFN2O_Data(), Table_SourceData_Common_EFN2O[[#Headers],[Production system j]], 0)</calculatedColumnFormula>
    </tableColumn>
    <tableColumn id="2" xr3:uid="{B474F6C4-EA24-460C-AD37-B51E514E57D6}" name="EFN2O">
      <calculatedColumnFormula array="1">Common_InputFunctions.Utility_DisplayArrayInTable(Common_SourceData.Common_SourceData_EFN2O_Data(), Table_SourceData_Common_EFN2O[[#Headers],[Production system j]], 0)</calculatedColumnFormula>
    </tableColumn>
    <tableColumn id="3" xr3:uid="{55B2E2E4-58F0-44B3-8464-5B50C34DB004}" name="Production system only">
      <calculatedColumnFormula array="1">Common_InputFunctions.Utility_DisplayArrayInTable(Common_SourceData.Common_SourceData_EFN2O_Data(), Table_SourceData_Common_EFN2O[[#Headers],[Production system j]], 0)</calculatedColumnFormula>
    </tableColumn>
    <tableColumn id="4" xr3:uid="{43A1649E-7E64-4A21-AD3B-9CAE0F357B54}" name="Irrigation method">
      <calculatedColumnFormula array="1">Common_InputFunctions.Utility_DisplayArrayInTable(Common_SourceData.Common_SourceData_EFN2O_Data(), Table_SourceData_Common_EFN2O[[#Headers],[Production system j]], 0)</calculatedColumnFormula>
    </tableColumn>
    <tableColumn id="5" xr3:uid="{50C51862-689E-4FF2-9B44-D1013612E56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17C20F6-F537-4761-A773-8770A6E4685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0FCE464-0200-45F8-ABB2-98752B86A2F5}" name="Irrigation type i">
      <calculatedColumnFormula array="1">Common_InputFunctions.Utility_DisplayArrayInTable(Common_SourceData.Common_SourceData_FracWETIrrigation_Data(), Table_SourceData_FracWETIrrigation[[#Headers],[Irrigation type i]], 0)</calculatedColumnFormula>
    </tableColumn>
    <tableColumn id="2" xr3:uid="{3C10588B-AA36-480E-9D02-ADA8893AFA1D}" name="FracWET" dataDxfId="3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3FC6D0-3423-472C-9BC6-8F9EE03240BC}"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AD863CD-5670-4174-8007-5A9282FE56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7133290-1EF8-4D60-944C-14AB8CFD8DD9}" name="EFPRP" dataDxfId="3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5E9B3A7-D32C-483F-8295-D30F6A90D12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BC7CE1B-5A3C-426C-A3BF-1686880165A2}" name="Month">
      <calculatedColumnFormula array="1">Common_InputFunctions.Utility_DisplayArrayInTable(Common_SourceData.Common_SourceData_MonthsToSeasons_Data(), Table_SourceData_Common_MonthToSeason[[#Headers],[Month]], 0)</calculatedColumnFormula>
    </tableColumn>
    <tableColumn id="2" xr3:uid="{BA850298-0601-4FE2-A7A9-72C131B027A1}" name="Season" dataDxfId="3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142424-53F4-436B-8D97-E0B7260DBBF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EA6CB26-E37A-4775-A19A-0A2E169F71F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1D4B2BE-35F3-4097-85BE-8BE7F83D81DB}" name="MAT (ºC)"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AFB31D2-FBAB-402E-929D-659DCC1CC87E}" name="Anaerobic lago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D324C43E-C637-40E6-9F70-2FA1223FAD33}" name="Digester / covered lagoon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BA44DDA-BE94-4FEC-8940-F358D830D27B}" name="Liquid system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C2DE796-1116-4117-9FA3-52E1F0994A05}" name="Daily spread"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8660AF6-E4FF-4EBF-96B4-04299A13A87D}" name="Composting (passive windro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B710E63A-D204-4F6F-8D26-331E0F513E69}" name="Solid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92B3DF3-22A8-4D2D-B7AB-AC8B24C0CD41}" name="Pit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7A8127A-751A-492F-9532-90AD4410E0C1}" name="Deep litter"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EB88F4CE-6C86-4274-A8DD-B2E6DDD0067C}" name="Poultry manure with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3313004-5F53-4984-9BD3-BB9F52602D94}" name="Poultry manure without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4A05F572-5513-44C3-9585-65F38F10CCA2}" name="Direct process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01579AA-A163-4B6F-B441-1EA6C3CC93AB}" name="Direct applicati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1BC5478-C722-4DD1-857D-225862B7B3B2}" name="Pasture range and paddock"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E316024-7014-4506-B975-B2FCFB1210E9}" name="MAT raw"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AD8EFB3-8FFA-430D-82FC-515FA0923E5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3AF8F70-D442-4F0F-89D5-45A7CA142C9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3DD6DC-E063-4FCB-B1B7-1E6642608191}" name="EFNi &amp; EFN2Oi" dataDxfId="1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54" t="e" vm="1">
        <v>#VALUE!</v>
      </c>
    </row>
    <row r="3" spans="1:1" ht="15.75" x14ac:dyDescent="0.25">
      <c r="A3" s="10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Other Livestock'!A1", "Other Livestock")</f>
        <v>Other Livestock</v>
      </c>
    </row>
    <row r="13" spans="1:1" x14ac:dyDescent="0.25">
      <c r="A13" s="18" t="s">
        <v>51</v>
      </c>
    </row>
    <row r="14" spans="1:1" ht="15.75" x14ac:dyDescent="0.25">
      <c r="A14" s="17" t="str">
        <f>HYPERLINK("#'3.6.1.1-2 Enteric Methane'!A1", "3.6.1.1-2 Enteric Methane")</f>
        <v>3.6.1.1-2 Enteric Methane</v>
      </c>
    </row>
    <row r="17" spans="1:1" x14ac:dyDescent="0.25">
      <c r="A17" s="104" t="s">
        <v>1</v>
      </c>
    </row>
    <row r="18" spans="1:1" ht="15.75" x14ac:dyDescent="0.25">
      <c r="A18" s="17" t="str">
        <f>HYPERLINK("#'Constants - Other Livestock'!A1", "Constants - Other Livestock")</f>
        <v>Constants - Other Livestock</v>
      </c>
    </row>
    <row r="19" spans="1:1" ht="15.75" x14ac:dyDescent="0.25">
      <c r="A19" s="17" t="str">
        <f>HYPERLINK("#'Constants - Common'!A1", "Constants - Common")</f>
        <v>Constants - Common</v>
      </c>
    </row>
    <row r="20" spans="1:1" ht="15.75" x14ac:dyDescent="0.25">
      <c r="A20" s="17" t="str">
        <f>HYPERLINK("#'Acknowledgements'!A1", "Acknowledgements")</f>
        <v>Acknowledgements</v>
      </c>
    </row>
    <row r="21" spans="1:1" ht="15.75" x14ac:dyDescent="0.25">
      <c r="A21"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64" ht="30" customHeight="1" x14ac:dyDescent="0.35">
      <c r="A1" s="54" t="e" vm="1">
        <v>#VALUE!</v>
      </c>
      <c r="C1" s="91" t="s">
        <v>134</v>
      </c>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row>
    <row r="2" spans="1:64" ht="20.100000000000001" customHeight="1" x14ac:dyDescent="0.25">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row>
    <row r="3" spans="1:64" ht="20.100000000000001" customHeight="1" x14ac:dyDescent="0.25">
      <c r="A3" s="17" t="str">
        <f>HYPERLINK("#'Home'!A1", "Home")</f>
        <v>Home</v>
      </c>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row>
    <row r="4" spans="1:64" ht="20.100000000000001" customHeight="1" x14ac:dyDescent="0.25">
      <c r="A4" s="100"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row>
    <row r="5" spans="1:64" ht="20.100000000000001" customHeight="1" x14ac:dyDescent="0.25">
      <c r="A5" s="17" t="str">
        <f>HYPERLINK("#'Results'!A1", "Results")</f>
        <v>Results</v>
      </c>
      <c r="C5" s="1"/>
      <c r="D5" s="94" t="s">
        <v>96</v>
      </c>
      <c r="E5" s="94"/>
      <c r="F5" s="94"/>
      <c r="G5" s="94"/>
      <c r="H5" s="94"/>
      <c r="I5" s="80"/>
      <c r="J5" s="70"/>
      <c r="K5" s="70"/>
      <c r="L5" s="70"/>
      <c r="M5" s="70"/>
      <c r="N5" s="70"/>
      <c r="O5" s="66"/>
      <c r="P5" s="1"/>
      <c r="Q5" s="1"/>
      <c r="R5" s="1"/>
      <c r="S5" s="1"/>
      <c r="T5" s="1"/>
      <c r="U5" s="1"/>
      <c r="V5" s="1"/>
      <c r="W5" s="1"/>
      <c r="X5" s="1"/>
      <c r="Y5" s="1"/>
      <c r="Z5" s="1"/>
      <c r="AA5" s="1"/>
      <c r="AB5" s="1"/>
      <c r="AC5" s="1"/>
      <c r="AD5" s="1"/>
      <c r="AE5" s="1"/>
      <c r="AF5" s="1"/>
      <c r="AG5" s="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row>
    <row r="6" spans="1:64" ht="20.100000000000001" customHeight="1" x14ac:dyDescent="0.25">
      <c r="C6" s="1"/>
      <c r="D6" s="95" t="s">
        <v>94</v>
      </c>
      <c r="E6" s="96"/>
      <c r="F6" s="96"/>
      <c r="G6" s="96"/>
      <c r="H6" s="96"/>
      <c r="I6" s="72"/>
      <c r="J6" s="69"/>
      <c r="K6" s="69"/>
      <c r="L6" s="69"/>
      <c r="M6" s="69"/>
      <c r="N6" s="69"/>
      <c r="O6" s="67"/>
      <c r="P6" s="1"/>
      <c r="Q6" s="1"/>
      <c r="R6" s="1"/>
      <c r="S6" s="1"/>
      <c r="T6" s="1"/>
      <c r="U6" s="1"/>
      <c r="V6" s="1"/>
      <c r="W6" s="1"/>
      <c r="X6" s="1"/>
      <c r="Y6" s="1"/>
      <c r="Z6" s="1"/>
      <c r="AA6" s="1"/>
      <c r="AB6" s="1"/>
      <c r="AC6" s="1"/>
      <c r="AD6" s="1"/>
      <c r="AE6" s="1"/>
      <c r="AF6" s="1"/>
      <c r="AG6" s="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ht="20.100000000000001" customHeight="1" x14ac:dyDescent="0.25">
      <c r="A10" s="17" t="str">
        <f>HYPERLINK("#'Input - Other Livestock'!A1", "Other Livestock")</f>
        <v>Other Livestock</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ht="20.100000000000001" customHeight="1" x14ac:dyDescent="0.25">
      <c r="A13" s="18" t="s">
        <v>51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ht="20.100000000000001" customHeight="1" x14ac:dyDescent="0.25">
      <c r="A14" s="17" t="str">
        <f>HYPERLINK("#'3.6.1.1-2 Enteric Methane'!A1", "3.6.1.1-2 Enteric Methane")</f>
        <v>3.6.1.1-2 Enteric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ht="20.100000000000001" customHeight="1" x14ac:dyDescent="0.2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ht="20.100000000000001" customHeight="1" x14ac:dyDescent="0.25">
      <c r="A17" s="104"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ht="20.100000000000001" customHeight="1" x14ac:dyDescent="0.25">
      <c r="A18" s="17" t="str">
        <f>HYPERLINK("#'Constants - Other Livestock'!A1", "Constants - Other Livestock")</f>
        <v>Constants - Other Livestock</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ht="20.100000000000001" customHeight="1" x14ac:dyDescent="0.25">
      <c r="A20" s="17" t="str">
        <f>HYPERLINK("#'Acknowledgements'!A1", "Acknowledgements")</f>
        <v>Acknowledgements</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ht="20.100000000000001" customHeight="1" x14ac:dyDescent="0.25">
      <c r="A21" s="17" t="str">
        <f>HYPERLINK("#'Tab template'!A1", "Tab template")</f>
        <v>Tab template</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ht="20.100000000000001" customHeight="1" x14ac:dyDescent="0.2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row>
    <row r="37" spans="3:64" ht="20.100000000000001" customHeight="1" x14ac:dyDescent="0.25">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row>
    <row r="38" spans="3:64" ht="20.100000000000001" customHeight="1" x14ac:dyDescent="0.25">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row>
    <row r="39" spans="3:64" ht="20.100000000000001" customHeight="1" x14ac:dyDescent="0.25">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row>
    <row r="40" spans="3:64" ht="20.100000000000001" customHeight="1" x14ac:dyDescent="0.25">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row>
    <row r="41" spans="3:64" ht="20.100000000000001" customHeight="1" x14ac:dyDescent="0.25">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row>
    <row r="42" spans="3:64" ht="20.100000000000001" customHeight="1" x14ac:dyDescent="0.25">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row>
    <row r="43" spans="3:64" ht="20.100000000000001" customHeight="1" x14ac:dyDescent="0.25">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row>
    <row r="44" spans="3:64" ht="20.100000000000001" customHeight="1" x14ac:dyDescent="0.25">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row>
    <row r="45" spans="3:64" ht="20.100000000000001" customHeight="1" x14ac:dyDescent="0.25">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row>
    <row r="46" spans="3:64" ht="20.100000000000001" customHeight="1" x14ac:dyDescent="0.25">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row>
    <row r="47" spans="3:64" ht="20.100000000000001" customHeight="1" x14ac:dyDescent="0.25">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row>
    <row r="48" spans="3:64" ht="20.100000000000001" customHeight="1" x14ac:dyDescent="0.25">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row>
    <row r="49" spans="3:64" ht="20.100000000000001" customHeight="1" x14ac:dyDescent="0.25">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row>
    <row r="50" spans="3:64" ht="20.100000000000001" customHeight="1" x14ac:dyDescent="0.25">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row>
    <row r="51" spans="3:64" ht="20.100000000000001" customHeight="1" x14ac:dyDescent="0.25">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row>
    <row r="52" spans="3:64" ht="20.100000000000001" customHeight="1" x14ac:dyDescent="0.25">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row>
    <row r="53" spans="3:64" ht="20.100000000000001" customHeight="1" x14ac:dyDescent="0.25">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row>
    <row r="54" spans="3:64" ht="20.100000000000001" customHeight="1" x14ac:dyDescent="0.25">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row>
    <row r="55" spans="3:64" ht="20.100000000000001" customHeight="1" x14ac:dyDescent="0.25">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row>
    <row r="56" spans="3:64" ht="20.100000000000001" customHeight="1" x14ac:dyDescent="0.25">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row>
    <row r="57" spans="3:64" ht="20.100000000000001" customHeight="1" x14ac:dyDescent="0.25">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row>
    <row r="58" spans="3:64" ht="20.100000000000001" customHeight="1" x14ac:dyDescent="0.25">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row>
    <row r="59" spans="3:64" x14ac:dyDescent="0.25">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row>
    <row r="60" spans="3:64" x14ac:dyDescent="0.25">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row>
    <row r="61" spans="3:64" x14ac:dyDescent="0.25">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row>
    <row r="62" spans="3:64" x14ac:dyDescent="0.25">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row>
    <row r="63" spans="3:64" x14ac:dyDescent="0.25">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row>
    <row r="64" spans="3:64" x14ac:dyDescent="0.25">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row>
    <row r="65" spans="3:64" x14ac:dyDescent="0.25">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row>
    <row r="66" spans="3:64" x14ac:dyDescent="0.25">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row>
    <row r="67" spans="3:64" x14ac:dyDescent="0.25">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row>
    <row r="68" spans="3:64" x14ac:dyDescent="0.25">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row>
    <row r="69" spans="3:64" x14ac:dyDescent="0.25">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row>
    <row r="70" spans="3:64" x14ac:dyDescent="0.25">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row>
    <row r="71" spans="3:64" x14ac:dyDescent="0.25">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row>
    <row r="72" spans="3:64" x14ac:dyDescent="0.25">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row>
    <row r="73" spans="3:64" x14ac:dyDescent="0.25">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row>
    <row r="74" spans="3:64" x14ac:dyDescent="0.25">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row>
    <row r="75" spans="3:64" x14ac:dyDescent="0.25">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row>
    <row r="76" spans="3:64" x14ac:dyDescent="0.25">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row>
    <row r="77" spans="3:64" x14ac:dyDescent="0.25">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row>
    <row r="78" spans="3:64" x14ac:dyDescent="0.25">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row>
    <row r="79" spans="3:64" x14ac:dyDescent="0.25">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row>
    <row r="80" spans="3:64" x14ac:dyDescent="0.25">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row>
    <row r="81" spans="3:64" x14ac:dyDescent="0.25">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row>
    <row r="82" spans="3:64" x14ac:dyDescent="0.25">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4" t="e" vm="1">
        <v>#VALUE!</v>
      </c>
      <c r="C1" s="85" t="s">
        <v>133</v>
      </c>
    </row>
    <row r="2" spans="1:12" ht="20.100000000000001" customHeight="1" x14ac:dyDescent="0.25">
      <c r="C2" s="9"/>
    </row>
    <row r="3" spans="1:12" ht="20.100000000000001" customHeight="1" x14ac:dyDescent="0.25">
      <c r="A3" s="17" t="str">
        <f>HYPERLINK("#'Home'!A1", "Home")</f>
        <v>Home</v>
      </c>
      <c r="C3" s="21"/>
      <c r="D3" s="21"/>
      <c r="E3" s="21"/>
      <c r="F3" s="21"/>
      <c r="G3" s="21"/>
      <c r="H3" s="21"/>
      <c r="I3" s="21"/>
      <c r="J3" s="21"/>
      <c r="K3" s="21"/>
      <c r="L3" s="21"/>
    </row>
    <row r="4" spans="1:12" ht="20.100000000000001" customHeight="1" x14ac:dyDescent="0.25">
      <c r="A4" s="17" t="str">
        <f>HYPERLINK("#'Overview'!A1", "Overview")</f>
        <v>Overview</v>
      </c>
      <c r="C4" s="21"/>
      <c r="D4" s="6" t="s">
        <v>2</v>
      </c>
      <c r="E4" s="23"/>
      <c r="F4" s="23"/>
      <c r="G4" s="23"/>
      <c r="H4" s="6"/>
      <c r="I4" s="6"/>
      <c r="J4" s="6"/>
      <c r="K4" s="6"/>
      <c r="L4" s="24"/>
    </row>
    <row r="5" spans="1:12" ht="20.100000000000001" customHeight="1" x14ac:dyDescent="0.3">
      <c r="A5" s="100" t="str">
        <f>HYPERLINK("#'Results'!A1", "Results")</f>
        <v>Results</v>
      </c>
      <c r="C5" s="21"/>
      <c r="D5" s="25"/>
      <c r="E5" s="26"/>
      <c r="F5" s="26"/>
      <c r="G5" s="26"/>
      <c r="H5" s="23"/>
      <c r="I5" s="21"/>
      <c r="J5" s="21"/>
      <c r="K5" s="21"/>
      <c r="L5" s="21"/>
    </row>
    <row r="6" spans="1:12" ht="20.100000000000001" customHeight="1" x14ac:dyDescent="0.25">
      <c r="C6" s="21"/>
      <c r="D6" s="84" t="s">
        <v>62</v>
      </c>
      <c r="E6" s="84" t="s">
        <v>74</v>
      </c>
      <c r="F6" s="84" t="s">
        <v>75</v>
      </c>
      <c r="G6" s="84" t="s">
        <v>68</v>
      </c>
      <c r="H6" s="84" t="s">
        <v>76</v>
      </c>
      <c r="I6" s="84" t="s">
        <v>78</v>
      </c>
      <c r="J6" s="84" t="s">
        <v>69</v>
      </c>
      <c r="K6" s="21"/>
      <c r="L6" s="21"/>
    </row>
    <row r="7" spans="1:12" ht="20.100000000000001" customHeight="1" x14ac:dyDescent="0.25">
      <c r="C7" s="21"/>
      <c r="D7" s="1" t="s">
        <v>95</v>
      </c>
      <c r="E7" s="82">
        <f>'3.6.1.1-2 Enteric Methane'!E28</f>
        <v>630.69999999999993</v>
      </c>
      <c r="F7" s="82">
        <f>E7</f>
        <v>630.69999999999993</v>
      </c>
      <c r="G7" s="48" t="s">
        <v>136</v>
      </c>
      <c r="H7" s="82">
        <f>'3.6.1.1-2 Enteric Methane'!E33</f>
        <v>17659.599999999999</v>
      </c>
      <c r="I7" s="82">
        <f>H7</f>
        <v>17659.599999999999</v>
      </c>
      <c r="J7" s="48" t="s">
        <v>77</v>
      </c>
      <c r="K7" s="21"/>
      <c r="L7" s="21"/>
    </row>
    <row r="8" spans="1:12" ht="20.100000000000001" customHeight="1" x14ac:dyDescent="0.3">
      <c r="A8" s="19" t="s">
        <v>0</v>
      </c>
      <c r="C8" s="21"/>
      <c r="D8" s="28" t="s">
        <v>67</v>
      </c>
      <c r="E8" s="22"/>
      <c r="F8" s="28"/>
      <c r="G8" s="28"/>
      <c r="H8" s="83">
        <f>SUM(H7:H7)</f>
        <v>17659.599999999999</v>
      </c>
      <c r="I8" s="83">
        <f>SUM(I7:I7)</f>
        <v>17659.599999999999</v>
      </c>
      <c r="J8" s="78" t="s">
        <v>77</v>
      </c>
      <c r="K8" s="21"/>
      <c r="L8" s="21"/>
    </row>
    <row r="9" spans="1:12" ht="20.100000000000001" customHeight="1" x14ac:dyDescent="0.25">
      <c r="A9" s="17" t="str">
        <f>HYPERLINK("#'Input - Site'!A1", "Site")</f>
        <v>Site</v>
      </c>
      <c r="C9" s="21"/>
      <c r="D9" s="1"/>
      <c r="E9" s="1"/>
      <c r="F9" s="1"/>
      <c r="G9" s="23"/>
      <c r="H9" s="21"/>
      <c r="I9" s="1"/>
      <c r="J9" s="1"/>
      <c r="K9" s="21"/>
      <c r="L9" s="21"/>
    </row>
    <row r="10" spans="1:12" ht="20.100000000000001" customHeight="1" x14ac:dyDescent="0.25">
      <c r="A10" s="17" t="str">
        <f>HYPERLINK("#'Input - Other Livestock'!A1", "Other Livestock")</f>
        <v>Other Livestock</v>
      </c>
      <c r="C10" s="21"/>
      <c r="D10" s="1"/>
      <c r="E10" s="1"/>
      <c r="F10" s="1"/>
      <c r="G10" s="1"/>
      <c r="H10" s="1"/>
      <c r="I10" s="1"/>
      <c r="J10" s="1"/>
      <c r="K10" s="21"/>
      <c r="L10" s="21"/>
    </row>
    <row r="11" spans="1:12" ht="20.100000000000001" customHeight="1" x14ac:dyDescent="0.25">
      <c r="C11" s="21"/>
      <c r="D11" s="1"/>
      <c r="E11" s="1"/>
      <c r="F11" s="1"/>
      <c r="G11" s="1"/>
      <c r="H11" s="1"/>
      <c r="I11" s="1"/>
      <c r="J11" s="1"/>
      <c r="K11" s="21"/>
      <c r="L11" s="21"/>
    </row>
    <row r="12" spans="1:12" ht="20.100000000000001" customHeight="1" x14ac:dyDescent="0.25">
      <c r="C12" s="21"/>
      <c r="D12" s="1"/>
      <c r="E12" s="1"/>
      <c r="F12" s="1"/>
      <c r="G12" s="1"/>
      <c r="H12" s="1"/>
      <c r="I12" s="1"/>
      <c r="J12" s="1"/>
      <c r="K12" s="21"/>
      <c r="L12" s="21"/>
    </row>
    <row r="13" spans="1:12" ht="20.100000000000001" customHeight="1" x14ac:dyDescent="0.25">
      <c r="A13" s="18" t="s">
        <v>51</v>
      </c>
      <c r="C13" s="21"/>
      <c r="D13" s="1"/>
      <c r="E13" s="1"/>
      <c r="F13" s="1"/>
      <c r="G13" s="1"/>
      <c r="H13" s="1"/>
      <c r="I13" s="1"/>
      <c r="J13" s="1"/>
      <c r="K13" s="21"/>
      <c r="L13" s="21"/>
    </row>
    <row r="14" spans="1:12" ht="20.100000000000001" customHeight="1" x14ac:dyDescent="0.25">
      <c r="A14" s="17" t="str">
        <f>HYPERLINK("#'3.6.1.1-2 Enteric Methane'!A1", "3.6.1.1-2 Enteric Methane")</f>
        <v>3.6.1.1-2 Enteric Methane</v>
      </c>
      <c r="C14" s="21"/>
      <c r="D14" s="1"/>
      <c r="E14" s="1"/>
      <c r="F14" s="1"/>
      <c r="G14" s="1"/>
      <c r="H14" s="1"/>
      <c r="I14" s="1"/>
      <c r="J14" s="1"/>
      <c r="K14" s="21"/>
      <c r="L14" s="21"/>
    </row>
    <row r="15" spans="1:12" ht="20.100000000000001" customHeight="1" x14ac:dyDescent="0.25">
      <c r="C15" s="21"/>
      <c r="D15" s="1"/>
      <c r="E15" s="1"/>
      <c r="F15" s="1"/>
      <c r="G15" s="1"/>
      <c r="H15" s="1"/>
      <c r="I15" s="1"/>
      <c r="J15" s="1"/>
      <c r="K15" s="21"/>
      <c r="L15" s="21"/>
    </row>
    <row r="16" spans="1:12" ht="20.100000000000001" customHeight="1" x14ac:dyDescent="0.25">
      <c r="C16" s="21"/>
      <c r="D16" s="1"/>
      <c r="E16" s="1"/>
      <c r="F16" s="1"/>
      <c r="G16" s="1"/>
      <c r="H16" s="1"/>
      <c r="I16" s="1"/>
      <c r="J16" s="1"/>
      <c r="K16" s="21"/>
      <c r="L16" s="21"/>
    </row>
    <row r="17" spans="1:12" ht="20.100000000000001" customHeight="1" x14ac:dyDescent="0.25">
      <c r="A17" s="104" t="s">
        <v>1</v>
      </c>
      <c r="C17" s="21"/>
      <c r="D17" s="1"/>
      <c r="E17" s="1"/>
      <c r="F17" s="1"/>
      <c r="G17" s="1"/>
      <c r="H17" s="1"/>
      <c r="I17" s="1"/>
      <c r="J17" s="1"/>
      <c r="K17" s="21"/>
      <c r="L17" s="21"/>
    </row>
    <row r="18" spans="1:12" ht="20.100000000000001" customHeight="1" x14ac:dyDescent="0.25">
      <c r="A18" s="17" t="str">
        <f>HYPERLINK("#'Constants - Other Livestock'!A1", "Constants - Other Livestock")</f>
        <v>Constants - Other Livestock</v>
      </c>
      <c r="C18" s="21"/>
      <c r="D18" s="1"/>
      <c r="E18" s="1"/>
      <c r="F18" s="1"/>
      <c r="G18" s="1"/>
      <c r="H18" s="1"/>
      <c r="I18" s="1"/>
      <c r="J18" s="1"/>
      <c r="K18" s="21"/>
      <c r="L18" s="21"/>
    </row>
    <row r="19" spans="1:12" ht="20.100000000000001" customHeight="1" x14ac:dyDescent="0.25">
      <c r="A19" s="17" t="str">
        <f>HYPERLINK("#'Constants - Common'!A1", "Constants - Common")</f>
        <v>Constants - Common</v>
      </c>
      <c r="C19" s="21"/>
      <c r="D19" s="1"/>
      <c r="E19" s="1"/>
      <c r="F19" s="1"/>
      <c r="G19" s="1"/>
      <c r="H19" s="1"/>
      <c r="I19" s="1"/>
      <c r="J19" s="1"/>
      <c r="K19" s="21"/>
      <c r="L19" s="21"/>
    </row>
    <row r="20" spans="1:12" ht="20.100000000000001" customHeight="1" x14ac:dyDescent="0.25">
      <c r="A20" s="17" t="str">
        <f>HYPERLINK("#'Acknowledgements'!A1", "Acknowledgements")</f>
        <v>Acknowledgements</v>
      </c>
      <c r="C20" s="21"/>
      <c r="D20" s="1"/>
      <c r="E20" s="1"/>
      <c r="F20" s="1"/>
      <c r="G20" s="1"/>
      <c r="H20" s="1"/>
      <c r="I20" s="1"/>
      <c r="J20" s="1"/>
      <c r="K20" s="21"/>
      <c r="L20" s="21"/>
    </row>
    <row r="21" spans="1:12" ht="20.100000000000001" customHeight="1" x14ac:dyDescent="0.25">
      <c r="A21" s="17" t="str">
        <f>HYPERLINK("#'Tab template'!A1", "Tab template")</f>
        <v>Tab template</v>
      </c>
      <c r="C21" s="21"/>
      <c r="D21" s="1"/>
      <c r="E21" s="1"/>
      <c r="F21" s="1"/>
      <c r="G21" s="1"/>
      <c r="H21" s="1"/>
      <c r="I21" s="1"/>
      <c r="J21" s="1"/>
      <c r="K21" s="21"/>
      <c r="L21" s="21"/>
    </row>
    <row r="22" spans="1:12" ht="20.100000000000001" customHeight="1" x14ac:dyDescent="0.25">
      <c r="C22" s="21"/>
      <c r="D22" s="1"/>
      <c r="E22" s="1"/>
      <c r="F22" s="1"/>
      <c r="G22" s="1"/>
      <c r="H22" s="1"/>
      <c r="I22" s="1"/>
      <c r="J22" s="1"/>
      <c r="K22" s="21"/>
      <c r="L22" s="21"/>
    </row>
    <row r="23" spans="1:12" ht="20.100000000000001" customHeight="1" x14ac:dyDescent="0.25">
      <c r="C23" s="21"/>
      <c r="D23" s="1"/>
      <c r="E23" s="1"/>
      <c r="F23" s="1"/>
      <c r="G23" s="1"/>
      <c r="H23" s="1"/>
      <c r="I23" s="1"/>
      <c r="J23" s="1"/>
      <c r="K23" s="21"/>
      <c r="L23" s="21"/>
    </row>
    <row r="24" spans="1:12" ht="20.100000000000001" customHeight="1" x14ac:dyDescent="0.25">
      <c r="C24" s="21"/>
      <c r="D24" s="1"/>
      <c r="E24" s="1"/>
      <c r="F24" s="1"/>
      <c r="G24" s="1"/>
      <c r="H24" s="1"/>
      <c r="I24" s="1"/>
      <c r="J24" s="1"/>
      <c r="K24" s="21"/>
      <c r="L24" s="21"/>
    </row>
    <row r="25" spans="1:12" ht="20.100000000000001" customHeight="1" x14ac:dyDescent="0.25">
      <c r="C25" s="21"/>
      <c r="D25" s="1"/>
      <c r="E25" s="1"/>
      <c r="F25" s="1"/>
      <c r="G25" s="1"/>
      <c r="H25" s="1"/>
      <c r="I25" s="1"/>
      <c r="J25" s="1"/>
      <c r="K25" s="21"/>
      <c r="L25" s="21"/>
    </row>
    <row r="26" spans="1:12" ht="20.100000000000001" customHeight="1" x14ac:dyDescent="0.25">
      <c r="C26" s="21"/>
      <c r="D26" s="1"/>
      <c r="E26" s="1"/>
      <c r="F26" s="1"/>
      <c r="G26" s="1"/>
      <c r="H26" s="1"/>
      <c r="I26" s="1"/>
      <c r="J26" s="1"/>
      <c r="K26" s="21"/>
      <c r="L26" s="21"/>
    </row>
    <row r="27" spans="1:12" ht="20.100000000000001" customHeight="1" x14ac:dyDescent="0.25">
      <c r="C27" s="21"/>
      <c r="D27" s="1"/>
      <c r="E27" s="1"/>
      <c r="F27" s="1"/>
      <c r="G27" s="1"/>
      <c r="H27" s="1"/>
      <c r="I27" s="1"/>
      <c r="J27" s="1"/>
      <c r="K27" s="21"/>
      <c r="L27" s="21"/>
    </row>
    <row r="28" spans="1:12" ht="20.100000000000001" customHeight="1" x14ac:dyDescent="0.25">
      <c r="C28" s="21"/>
      <c r="D28" s="1"/>
      <c r="E28" s="1"/>
      <c r="F28" s="1"/>
      <c r="G28" s="1"/>
      <c r="H28" s="1"/>
      <c r="I28" s="1"/>
      <c r="J28" s="1"/>
      <c r="K28" s="21"/>
      <c r="L28" s="21"/>
    </row>
    <row r="29" spans="1:12" ht="20.100000000000001" customHeight="1" x14ac:dyDescent="0.25">
      <c r="C29" s="21"/>
      <c r="D29" s="1"/>
      <c r="E29" s="1"/>
      <c r="F29" s="1"/>
      <c r="G29" s="1"/>
      <c r="H29" s="21"/>
      <c r="I29" s="21"/>
      <c r="J29" s="21"/>
      <c r="K29" s="21"/>
      <c r="L29" s="21"/>
    </row>
    <row r="30" spans="1:12" ht="20.100000000000001" customHeight="1" x14ac:dyDescent="0.25">
      <c r="C30" s="21"/>
      <c r="D30" s="1"/>
      <c r="E30" s="1"/>
      <c r="F30" s="1"/>
      <c r="G30" s="1"/>
      <c r="H30" s="21"/>
      <c r="I30" s="21"/>
      <c r="J30" s="21"/>
      <c r="K30" s="21"/>
      <c r="L30" s="21"/>
    </row>
    <row r="31" spans="1:12" ht="20.100000000000001" customHeight="1" x14ac:dyDescent="0.25">
      <c r="C31" s="21"/>
      <c r="D31" s="1"/>
      <c r="E31" s="1"/>
      <c r="F31" s="1"/>
      <c r="G31" s="1"/>
      <c r="H31" s="21"/>
      <c r="I31" s="21"/>
      <c r="J31" s="21"/>
      <c r="K31" s="21"/>
      <c r="L31" s="21"/>
    </row>
    <row r="32" spans="1:12" ht="20.100000000000001" customHeight="1" x14ac:dyDescent="0.25">
      <c r="C32" s="21"/>
      <c r="D32" s="1"/>
      <c r="E32" s="1"/>
      <c r="F32" s="1"/>
      <c r="G32" s="1"/>
      <c r="H32" s="23"/>
      <c r="I32" s="21"/>
      <c r="J32" s="21"/>
      <c r="K32" s="21"/>
      <c r="L32" s="21"/>
    </row>
    <row r="33" spans="3:12" ht="20.100000000000001" customHeight="1" x14ac:dyDescent="0.3">
      <c r="C33" s="21"/>
      <c r="D33" s="1"/>
      <c r="E33" s="1"/>
      <c r="F33" s="1"/>
      <c r="G33" s="1"/>
      <c r="H33" s="26"/>
      <c r="I33" s="21"/>
      <c r="J33" s="21"/>
      <c r="K33" s="21"/>
      <c r="L33" s="21"/>
    </row>
    <row r="34" spans="3:12" ht="20.100000000000001" customHeight="1" x14ac:dyDescent="0.25">
      <c r="C34" s="21"/>
      <c r="D34" s="1"/>
      <c r="E34" s="1"/>
      <c r="F34" s="1"/>
      <c r="G34" s="1"/>
      <c r="H34" s="1"/>
      <c r="I34" s="21"/>
      <c r="J34" s="21"/>
      <c r="K34" s="21"/>
      <c r="L34" s="21"/>
    </row>
    <row r="35" spans="3:12" ht="20.100000000000001" customHeight="1" x14ac:dyDescent="0.25">
      <c r="C35" s="21"/>
      <c r="D35" s="1"/>
      <c r="E35" s="1"/>
      <c r="F35" s="1"/>
      <c r="G35" s="1"/>
      <c r="H35" s="1"/>
      <c r="I35" s="21"/>
      <c r="J35" s="21"/>
      <c r="K35" s="21"/>
      <c r="L35" s="21"/>
    </row>
    <row r="36" spans="3:12" ht="20.100000000000001" customHeight="1" x14ac:dyDescent="0.25">
      <c r="C36" s="21"/>
      <c r="D36" s="1"/>
      <c r="E36" s="1"/>
      <c r="F36" s="1"/>
      <c r="G36" s="1"/>
      <c r="H36" s="1"/>
      <c r="I36" s="21"/>
      <c r="J36" s="21"/>
      <c r="K36" s="21"/>
      <c r="L36" s="21"/>
    </row>
    <row r="37" spans="3:12" ht="20.100000000000001" customHeight="1" x14ac:dyDescent="0.25">
      <c r="C37" s="21"/>
      <c r="D37" s="1"/>
      <c r="E37" s="1"/>
      <c r="F37" s="1"/>
      <c r="G37" s="1"/>
      <c r="H37" s="1"/>
      <c r="I37" s="21"/>
      <c r="J37" s="21"/>
      <c r="K37" s="21"/>
      <c r="L37" s="21"/>
    </row>
    <row r="38" spans="3:12" ht="20.100000000000001" customHeight="1" x14ac:dyDescent="0.25">
      <c r="C38" s="21"/>
      <c r="D38" s="1"/>
      <c r="E38" s="1"/>
      <c r="F38" s="1"/>
      <c r="G38" s="1"/>
      <c r="H38" s="1"/>
      <c r="I38" s="81"/>
      <c r="J38" s="81"/>
      <c r="K38" s="81"/>
      <c r="L38" s="21"/>
    </row>
    <row r="39" spans="3:12" ht="20.100000000000001" customHeight="1" x14ac:dyDescent="0.25">
      <c r="C39" s="21"/>
      <c r="D39" s="1"/>
      <c r="E39" s="1"/>
      <c r="F39" s="1"/>
      <c r="G39" s="1"/>
      <c r="H39" s="1"/>
      <c r="I39" s="81"/>
      <c r="J39" s="81"/>
      <c r="K39" s="81"/>
      <c r="L39" s="21"/>
    </row>
    <row r="40" spans="3:12" ht="20.100000000000001" customHeight="1" x14ac:dyDescent="0.25">
      <c r="C40" s="21"/>
      <c r="D40" s="1"/>
      <c r="E40" s="1"/>
      <c r="F40" s="1"/>
      <c r="G40" s="1"/>
      <c r="H40" s="1"/>
      <c r="I40" s="81"/>
      <c r="J40" s="81"/>
      <c r="K40" s="81"/>
      <c r="L40" s="21"/>
    </row>
    <row r="41" spans="3:12" ht="20.100000000000001" customHeight="1" x14ac:dyDescent="0.25">
      <c r="C41" s="21"/>
      <c r="D41" s="1"/>
      <c r="E41" s="1"/>
      <c r="F41" s="1"/>
      <c r="G41" s="1"/>
      <c r="H41" s="1"/>
      <c r="I41" s="81"/>
      <c r="J41" s="81"/>
      <c r="K41" s="81"/>
      <c r="L41" s="21"/>
    </row>
    <row r="42" spans="3:12" ht="20.100000000000001" customHeight="1" x14ac:dyDescent="0.25">
      <c r="C42" s="21"/>
      <c r="D42" s="1"/>
      <c r="E42" s="1"/>
      <c r="F42" s="1"/>
      <c r="G42" s="1"/>
      <c r="H42" s="1"/>
      <c r="I42" s="81"/>
      <c r="J42" s="81"/>
      <c r="K42" s="81"/>
      <c r="L42" s="21"/>
    </row>
    <row r="43" spans="3:12" ht="20.100000000000001" customHeight="1" x14ac:dyDescent="0.25">
      <c r="C43" s="21"/>
      <c r="D43" s="1"/>
      <c r="E43" s="1"/>
      <c r="F43" s="1"/>
      <c r="G43" s="1"/>
      <c r="H43" s="1"/>
      <c r="I43" s="81"/>
      <c r="J43" s="81"/>
      <c r="K43" s="81"/>
      <c r="L43" s="21"/>
    </row>
    <row r="44" spans="3:12" ht="20.100000000000001" customHeight="1" x14ac:dyDescent="0.25">
      <c r="C44" s="21"/>
      <c r="D44" s="1"/>
      <c r="E44" s="1"/>
      <c r="F44" s="1"/>
      <c r="G44" s="1"/>
      <c r="H44" s="1"/>
      <c r="I44" s="81"/>
      <c r="J44" s="81"/>
      <c r="K44" s="81"/>
      <c r="L44" s="21"/>
    </row>
    <row r="45" spans="3:12" ht="20.100000000000001" customHeight="1" x14ac:dyDescent="0.25">
      <c r="C45" s="21"/>
      <c r="D45" s="1"/>
      <c r="E45" s="1"/>
      <c r="F45" s="1"/>
      <c r="G45" s="1"/>
      <c r="H45" s="1"/>
      <c r="I45" s="81"/>
      <c r="J45" s="81"/>
      <c r="K45" s="81"/>
      <c r="L45" s="21"/>
    </row>
    <row r="46" spans="3:12" ht="20.100000000000001" customHeight="1" x14ac:dyDescent="0.25">
      <c r="C46" s="21"/>
      <c r="D46" s="1"/>
      <c r="E46" s="1"/>
      <c r="F46" s="1"/>
      <c r="G46" s="1"/>
      <c r="H46" s="1"/>
      <c r="I46" s="81"/>
      <c r="J46" s="81"/>
      <c r="K46" s="81"/>
      <c r="L46" s="21"/>
    </row>
    <row r="47" spans="3:12" ht="20.100000000000001" customHeight="1" x14ac:dyDescent="0.25">
      <c r="C47" s="21"/>
      <c r="D47" s="1"/>
      <c r="E47" s="1"/>
      <c r="F47" s="1"/>
      <c r="G47" s="1"/>
      <c r="H47" s="1"/>
      <c r="I47" s="81"/>
      <c r="J47" s="81"/>
      <c r="K47" s="81"/>
      <c r="L47" s="21"/>
    </row>
    <row r="48" spans="3:12" ht="20.100000000000001" customHeight="1" x14ac:dyDescent="0.25">
      <c r="C48" s="21"/>
      <c r="D48" s="1"/>
      <c r="E48" s="1"/>
      <c r="F48" s="1"/>
      <c r="G48" s="1"/>
      <c r="H48" s="1"/>
      <c r="I48" s="81"/>
      <c r="J48" s="81"/>
      <c r="K48" s="81"/>
      <c r="L48" s="21"/>
    </row>
    <row r="49" spans="3:12" ht="20.100000000000001" customHeight="1" x14ac:dyDescent="0.25">
      <c r="C49" s="21"/>
      <c r="D49" s="1"/>
      <c r="E49" s="1"/>
      <c r="F49" s="1"/>
      <c r="G49" s="1"/>
      <c r="H49" s="81"/>
      <c r="I49" s="81"/>
      <c r="J49" s="81"/>
      <c r="K49" s="81"/>
      <c r="L49" s="21"/>
    </row>
    <row r="50" spans="3:12" ht="20.100000000000001" customHeight="1" x14ac:dyDescent="0.25">
      <c r="C50" s="21"/>
      <c r="D50" s="1"/>
      <c r="E50" s="1"/>
      <c r="F50" s="1"/>
      <c r="G50" s="1"/>
      <c r="H50" s="81"/>
      <c r="I50" s="81"/>
      <c r="J50" s="81"/>
      <c r="K50" s="81"/>
      <c r="L50" s="21"/>
    </row>
    <row r="51" spans="3:12" ht="20.100000000000001" customHeight="1" x14ac:dyDescent="0.25">
      <c r="C51" s="21"/>
      <c r="D51" s="1"/>
      <c r="E51" s="1"/>
      <c r="F51" s="1"/>
      <c r="G51" s="1"/>
      <c r="H51" s="81"/>
      <c r="I51" s="81"/>
      <c r="J51" s="81"/>
      <c r="K51" s="81"/>
      <c r="L51" s="21"/>
    </row>
    <row r="52" spans="3:12" ht="20.100000000000001" customHeight="1" x14ac:dyDescent="0.25">
      <c r="C52" s="21"/>
      <c r="D52" s="1"/>
      <c r="E52" s="1"/>
      <c r="F52" s="1"/>
      <c r="G52" s="1"/>
      <c r="H52" s="81"/>
      <c r="I52" s="81"/>
      <c r="J52" s="81"/>
      <c r="K52" s="81"/>
      <c r="L52" s="21"/>
    </row>
    <row r="53" spans="3:12" ht="20.100000000000001" customHeight="1" x14ac:dyDescent="0.25">
      <c r="C53" s="21"/>
      <c r="D53" s="1"/>
      <c r="E53" s="1"/>
      <c r="F53" s="1"/>
      <c r="G53" s="1"/>
      <c r="H53" s="81"/>
      <c r="I53" s="81"/>
      <c r="J53" s="81"/>
      <c r="K53" s="81"/>
      <c r="L53" s="21"/>
    </row>
    <row r="54" spans="3:12" ht="20.100000000000001" customHeight="1" x14ac:dyDescent="0.25">
      <c r="C54" s="21"/>
      <c r="D54" s="1"/>
      <c r="E54" s="1"/>
      <c r="F54" s="1"/>
      <c r="G54" s="1"/>
      <c r="H54" s="21"/>
      <c r="I54" s="21"/>
      <c r="J54" s="21"/>
      <c r="K54" s="21"/>
      <c r="L54" s="21"/>
    </row>
    <row r="55" spans="3:12" ht="20.100000000000001" customHeight="1" x14ac:dyDescent="0.25">
      <c r="C55" s="21"/>
      <c r="D55" s="1"/>
      <c r="E55" s="1"/>
      <c r="F55" s="1"/>
      <c r="G55" s="1"/>
      <c r="H55" s="21"/>
      <c r="I55" s="21"/>
      <c r="J55" s="21"/>
      <c r="K55" s="21"/>
      <c r="L55" s="21"/>
    </row>
    <row r="56" spans="3:12" ht="20.100000000000001" customHeight="1" x14ac:dyDescent="0.25">
      <c r="C56" s="21"/>
      <c r="D56" s="1"/>
      <c r="E56" s="1"/>
      <c r="F56" s="1"/>
      <c r="G56" s="1"/>
      <c r="H56" s="21"/>
      <c r="I56" s="21"/>
      <c r="J56" s="21"/>
      <c r="K56" s="21"/>
      <c r="L56" s="21"/>
    </row>
    <row r="57" spans="3:12" ht="20.100000000000001" customHeight="1" x14ac:dyDescent="0.25">
      <c r="C57" s="21"/>
      <c r="D57" s="1"/>
      <c r="E57" s="1"/>
      <c r="F57" s="1"/>
      <c r="G57" s="1"/>
      <c r="H57" s="21"/>
      <c r="I57" s="21"/>
      <c r="J57" s="21"/>
      <c r="K57" s="21"/>
      <c r="L57" s="21"/>
    </row>
    <row r="58" spans="3:12" ht="20.100000000000001" customHeight="1" x14ac:dyDescent="0.25">
      <c r="C58" s="21"/>
      <c r="D58" s="1"/>
      <c r="E58" s="29"/>
      <c r="F58" s="27"/>
      <c r="G58" s="21"/>
      <c r="H58" s="21"/>
      <c r="I58" s="21"/>
      <c r="J58" s="21"/>
      <c r="K58" s="21"/>
      <c r="L58" s="21"/>
    </row>
    <row r="59" spans="3:12" ht="20.100000000000001" customHeight="1" x14ac:dyDescent="0.25">
      <c r="C59" s="21"/>
      <c r="D59" s="1"/>
      <c r="E59" s="1"/>
      <c r="F59" s="1"/>
      <c r="G59" s="1"/>
      <c r="H59" s="1"/>
      <c r="I59" s="1"/>
      <c r="J59" s="1"/>
      <c r="K59" s="1"/>
      <c r="L59" s="21"/>
    </row>
    <row r="60" spans="3:12" ht="20.100000000000001" customHeight="1" x14ac:dyDescent="0.25">
      <c r="C60" s="21"/>
      <c r="D60" s="1"/>
      <c r="E60" s="1"/>
      <c r="F60" s="1"/>
      <c r="G60" s="1"/>
      <c r="H60" s="1"/>
      <c r="I60" s="1"/>
      <c r="J60" s="1"/>
      <c r="K60" s="1"/>
      <c r="L60" s="21"/>
    </row>
    <row r="61" spans="3:12" ht="20.100000000000001" customHeight="1" x14ac:dyDescent="0.25">
      <c r="C61" s="21"/>
      <c r="D61" s="1"/>
      <c r="E61" s="1"/>
      <c r="F61" s="1"/>
      <c r="G61" s="1"/>
      <c r="H61" s="1"/>
      <c r="I61" s="1"/>
      <c r="J61" s="1"/>
      <c r="K61" s="1"/>
      <c r="L61" s="21"/>
    </row>
    <row r="62" spans="3:12" ht="20.100000000000001" customHeight="1" x14ac:dyDescent="0.25">
      <c r="C62" s="21"/>
      <c r="D62" s="1"/>
      <c r="E62" s="1"/>
      <c r="F62" s="1"/>
      <c r="G62" s="1"/>
      <c r="H62" s="1"/>
      <c r="I62" s="1"/>
      <c r="J62" s="1"/>
      <c r="K62" s="1"/>
      <c r="L62" s="21"/>
    </row>
    <row r="63" spans="3:12" ht="20.100000000000001" customHeight="1" x14ac:dyDescent="0.25">
      <c r="C63" s="21"/>
      <c r="D63" s="1"/>
      <c r="E63" s="1"/>
      <c r="F63" s="1"/>
      <c r="G63" s="1"/>
      <c r="H63" s="1"/>
      <c r="I63" s="1"/>
      <c r="J63" s="1"/>
      <c r="K63" s="1"/>
      <c r="L63" s="21"/>
    </row>
    <row r="64" spans="3:12" ht="20.100000000000001" customHeight="1" x14ac:dyDescent="0.25">
      <c r="C64" s="21"/>
      <c r="D64" s="1"/>
      <c r="E64" s="1"/>
      <c r="F64" s="1"/>
      <c r="G64" s="1"/>
      <c r="H64" s="1"/>
      <c r="I64" s="1"/>
      <c r="J64" s="1"/>
      <c r="K64" s="1"/>
      <c r="L64" s="21"/>
    </row>
    <row r="65" spans="3:12" ht="20.100000000000001" customHeight="1" x14ac:dyDescent="0.25">
      <c r="C65" s="21"/>
      <c r="D65" s="1"/>
      <c r="E65" s="1"/>
      <c r="F65" s="1"/>
      <c r="G65" s="1"/>
      <c r="H65" s="1"/>
      <c r="I65" s="1"/>
      <c r="J65" s="1"/>
      <c r="K65" s="1"/>
      <c r="L65" s="21"/>
    </row>
    <row r="66" spans="3:12" ht="20.100000000000001" customHeight="1" x14ac:dyDescent="0.25">
      <c r="C66" s="21"/>
      <c r="D66" s="1"/>
      <c r="E66" s="1"/>
      <c r="F66" s="1"/>
      <c r="G66" s="1"/>
      <c r="H66" s="1"/>
      <c r="I66" s="1"/>
      <c r="J66" s="1"/>
      <c r="K66" s="1"/>
      <c r="L66" s="21"/>
    </row>
    <row r="67" spans="3:12" ht="20.100000000000001" customHeight="1" x14ac:dyDescent="0.25">
      <c r="C67" s="21"/>
      <c r="D67" s="1"/>
      <c r="E67" s="1"/>
      <c r="F67" s="1"/>
      <c r="G67" s="1"/>
      <c r="H67" s="1"/>
      <c r="I67" s="1"/>
      <c r="J67" s="1"/>
      <c r="K67" s="1"/>
      <c r="L67" s="21"/>
    </row>
    <row r="68" spans="3:12" ht="20.100000000000001" customHeight="1" x14ac:dyDescent="0.25">
      <c r="C68" s="21"/>
      <c r="D68" s="1"/>
      <c r="E68" s="1"/>
      <c r="F68" s="1"/>
      <c r="G68" s="1"/>
      <c r="H68" s="1"/>
      <c r="I68" s="1"/>
      <c r="J68" s="1"/>
      <c r="K68" s="1"/>
      <c r="L68" s="21"/>
    </row>
    <row r="69" spans="3:12" ht="20.100000000000001" customHeight="1" x14ac:dyDescent="0.25">
      <c r="C69" s="21"/>
      <c r="D69" s="1"/>
      <c r="E69" s="1"/>
      <c r="F69" s="1"/>
      <c r="G69" s="1"/>
      <c r="H69" s="1"/>
      <c r="I69" s="1"/>
      <c r="J69" s="1"/>
      <c r="K69" s="1"/>
      <c r="L69" s="21"/>
    </row>
    <row r="70" spans="3:12" ht="20.100000000000001" customHeight="1" x14ac:dyDescent="0.25">
      <c r="C70" s="21"/>
      <c r="D70" s="1"/>
      <c r="E70" s="1"/>
      <c r="F70" s="1"/>
      <c r="G70" s="1"/>
      <c r="H70" s="1"/>
      <c r="I70" s="1"/>
      <c r="J70" s="1"/>
      <c r="K70" s="1"/>
      <c r="L70" s="21"/>
    </row>
    <row r="71" spans="3:12" ht="20.100000000000001" customHeight="1" x14ac:dyDescent="0.25">
      <c r="C71" s="21"/>
      <c r="D71" s="1"/>
      <c r="E71" s="1"/>
      <c r="F71" s="1"/>
      <c r="G71" s="1"/>
      <c r="H71" s="1"/>
      <c r="I71" s="1"/>
      <c r="J71" s="1"/>
      <c r="K71" s="1"/>
      <c r="L71" s="21"/>
    </row>
    <row r="72" spans="3:12" ht="20.100000000000001" customHeight="1" x14ac:dyDescent="0.25">
      <c r="C72" s="21"/>
      <c r="D72" s="1"/>
      <c r="E72" s="1"/>
      <c r="F72" s="1"/>
      <c r="G72" s="1"/>
      <c r="H72" s="1"/>
      <c r="I72" s="1"/>
      <c r="J72" s="1"/>
      <c r="K72" s="1"/>
      <c r="L72" s="21"/>
    </row>
    <row r="73" spans="3:12" ht="20.100000000000001" customHeight="1" x14ac:dyDescent="0.25">
      <c r="C73" s="21"/>
      <c r="D73" s="1"/>
      <c r="E73" s="1"/>
      <c r="F73" s="1"/>
      <c r="G73" s="1"/>
      <c r="H73" s="1"/>
      <c r="I73" s="1"/>
      <c r="J73" s="1"/>
      <c r="K73" s="1"/>
      <c r="L73" s="21"/>
    </row>
    <row r="74" spans="3:12" ht="20.100000000000001" customHeight="1" x14ac:dyDescent="0.25">
      <c r="C74" s="21"/>
      <c r="D74" s="1"/>
      <c r="E74" s="1"/>
      <c r="F74" s="1"/>
      <c r="G74" s="1"/>
      <c r="H74" s="1"/>
      <c r="I74" s="1"/>
      <c r="J74" s="1"/>
      <c r="K74" s="1"/>
      <c r="L74" s="21"/>
    </row>
    <row r="75" spans="3:12" ht="20.100000000000001" customHeight="1" x14ac:dyDescent="0.25">
      <c r="C75" s="21"/>
      <c r="D75" s="1"/>
      <c r="E75" s="1"/>
      <c r="F75" s="1"/>
      <c r="G75" s="1"/>
      <c r="H75" s="1"/>
      <c r="I75" s="1"/>
      <c r="J75" s="1"/>
      <c r="K75" s="1"/>
      <c r="L75" s="21"/>
    </row>
    <row r="76" spans="3:12" ht="15.75" x14ac:dyDescent="0.25">
      <c r="C76" s="21"/>
      <c r="D76" s="1"/>
      <c r="E76" s="1"/>
      <c r="F76" s="1"/>
      <c r="G76" s="1"/>
      <c r="H76" s="1"/>
      <c r="I76" s="1"/>
      <c r="J76" s="1"/>
      <c r="K76" s="1"/>
      <c r="L76" s="21"/>
    </row>
    <row r="77" spans="3:12" ht="15.75" x14ac:dyDescent="0.25">
      <c r="C77" s="21"/>
      <c r="D77" s="1"/>
      <c r="E77" s="1"/>
      <c r="F77" s="1"/>
      <c r="G77" s="1"/>
      <c r="H77" s="1"/>
      <c r="I77" s="1"/>
      <c r="J77" s="1"/>
      <c r="K77" s="1"/>
      <c r="L77" s="21"/>
    </row>
    <row r="78" spans="3:12" ht="15.75" x14ac:dyDescent="0.25">
      <c r="C78" s="21"/>
      <c r="D78" s="1"/>
      <c r="E78" s="1"/>
      <c r="F78" s="1"/>
      <c r="G78" s="1"/>
      <c r="H78" s="1"/>
      <c r="I78" s="1"/>
      <c r="J78" s="1"/>
      <c r="K78" s="1"/>
      <c r="L78" s="21"/>
    </row>
    <row r="79" spans="3:12" ht="15.75" x14ac:dyDescent="0.25">
      <c r="C79" s="21"/>
      <c r="D79" s="1"/>
      <c r="E79" s="1"/>
      <c r="F79" s="1"/>
      <c r="G79" s="1"/>
      <c r="H79" s="1"/>
      <c r="I79" s="1"/>
      <c r="J79" s="1"/>
      <c r="K79" s="1"/>
      <c r="L79" s="21"/>
    </row>
    <row r="80" spans="3:12" ht="15.75" x14ac:dyDescent="0.25">
      <c r="C80" s="21"/>
      <c r="D80" s="1"/>
      <c r="E80" s="1"/>
      <c r="F80" s="1"/>
      <c r="G80" s="1"/>
      <c r="H80" s="1"/>
      <c r="I80" s="1"/>
      <c r="J80" s="1"/>
      <c r="K80" s="1"/>
      <c r="L80" s="21"/>
    </row>
    <row r="81" spans="3:12" ht="15.75" x14ac:dyDescent="0.25">
      <c r="C81" s="21"/>
      <c r="D81" s="1"/>
      <c r="E81" s="1"/>
      <c r="F81" s="1"/>
      <c r="G81" s="1"/>
      <c r="H81" s="1"/>
      <c r="I81" s="1"/>
      <c r="J81" s="1"/>
      <c r="K81" s="1"/>
      <c r="L81" s="21"/>
    </row>
    <row r="82" spans="3:12" ht="15.75" x14ac:dyDescent="0.25">
      <c r="C82" s="21"/>
      <c r="D82" s="1"/>
      <c r="E82" s="1"/>
      <c r="F82" s="1"/>
      <c r="G82" s="1"/>
      <c r="H82" s="1"/>
      <c r="I82" s="1"/>
      <c r="J82" s="1"/>
      <c r="K82" s="1"/>
      <c r="L82" s="21"/>
    </row>
    <row r="83" spans="3:12" ht="15.75" x14ac:dyDescent="0.25">
      <c r="C83" s="21"/>
      <c r="D83" s="1"/>
      <c r="E83" s="1"/>
      <c r="F83" s="1"/>
      <c r="G83" s="1"/>
      <c r="H83" s="1"/>
      <c r="I83" s="1"/>
      <c r="J83" s="1"/>
      <c r="K83" s="1"/>
      <c r="L83" s="21"/>
    </row>
    <row r="84" spans="3:12" ht="15.75" x14ac:dyDescent="0.25">
      <c r="C84" s="21"/>
      <c r="D84" s="1"/>
      <c r="E84" s="1"/>
      <c r="F84" s="1"/>
      <c r="G84" s="1"/>
      <c r="H84" s="1"/>
      <c r="I84" s="1"/>
      <c r="J84" s="1"/>
      <c r="K84" s="1"/>
      <c r="L84" s="21"/>
    </row>
    <row r="85" spans="3:12" ht="15.75" x14ac:dyDescent="0.25">
      <c r="C85" s="21"/>
      <c r="D85" s="1"/>
      <c r="E85" s="1"/>
      <c r="F85" s="1"/>
      <c r="G85" s="1"/>
      <c r="H85" s="1"/>
      <c r="I85" s="1"/>
      <c r="J85" s="1"/>
      <c r="K85" s="1"/>
      <c r="L85" s="21"/>
    </row>
    <row r="86" spans="3:12" x14ac:dyDescent="0.25">
      <c r="C86" s="21"/>
      <c r="D86" s="21"/>
      <c r="E86" s="21"/>
      <c r="F86" s="21"/>
      <c r="G86" s="21"/>
      <c r="H86" s="21"/>
      <c r="I86" s="21"/>
      <c r="J86" s="21"/>
      <c r="K86" s="21"/>
      <c r="L86" s="21"/>
    </row>
    <row r="87" spans="3:12" x14ac:dyDescent="0.25">
      <c r="C87" s="21"/>
      <c r="D87" s="21"/>
      <c r="E87" s="21"/>
      <c r="F87" s="21"/>
      <c r="G87" s="21"/>
      <c r="H87" s="21"/>
      <c r="I87" s="21"/>
      <c r="J87" s="21"/>
      <c r="K87" s="21"/>
      <c r="L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4" t="e" vm="1">
        <v>#VALUE!</v>
      </c>
      <c r="C1" s="12" t="s">
        <v>54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6"/>
      <c r="D4" s="56"/>
      <c r="E4" s="56"/>
      <c r="F4" s="56"/>
      <c r="G4" s="56"/>
      <c r="H4" s="56"/>
      <c r="I4" s="56"/>
      <c r="J4" s="56"/>
      <c r="K4" s="56"/>
    </row>
    <row r="5" spans="1:24" ht="20.100000000000001" customHeight="1" x14ac:dyDescent="0.25">
      <c r="A5" s="17" t="str">
        <f>HYPERLINK("#'Results'!A1", "Results")</f>
        <v>Results</v>
      </c>
      <c r="D5" s="6" t="s">
        <v>6</v>
      </c>
      <c r="N5" s="37"/>
    </row>
    <row r="6" spans="1:24" ht="20.100000000000001" customHeight="1" x14ac:dyDescent="0.25">
      <c r="A6"/>
      <c r="D6" s="14"/>
      <c r="N6" s="38"/>
    </row>
    <row r="7" spans="1:24" ht="20.100000000000001" customHeight="1" x14ac:dyDescent="0.25">
      <c r="A7"/>
      <c r="D7" s="1" t="s">
        <v>4</v>
      </c>
      <c r="E7" s="30" t="s">
        <v>3</v>
      </c>
      <c r="F7" s="2"/>
    </row>
    <row r="8" spans="1:24" ht="20.100000000000001" customHeight="1" x14ac:dyDescent="0.25">
      <c r="A8" s="19" t="s">
        <v>0</v>
      </c>
      <c r="D8" s="10" t="s">
        <v>49</v>
      </c>
      <c r="E8" s="30" t="s">
        <v>50</v>
      </c>
    </row>
    <row r="9" spans="1:24" ht="20.100000000000001" customHeight="1" x14ac:dyDescent="0.25">
      <c r="A9" s="99" t="str">
        <f>HYPERLINK("#'Input - Site'!A1", "Site")</f>
        <v>Site</v>
      </c>
      <c r="N9" s="39"/>
    </row>
    <row r="10" spans="1:24" ht="20.100000000000001" customHeight="1" x14ac:dyDescent="0.25">
      <c r="A10" s="17" t="str">
        <f>HYPERLINK("#'Input - Other Livestock'!A1", "Other Livestock")</f>
        <v>Other Livestock</v>
      </c>
      <c r="D10" s="73" t="s">
        <v>53</v>
      </c>
      <c r="E10" s="71"/>
      <c r="F10" s="74"/>
      <c r="G10" s="68"/>
      <c r="N10" s="39"/>
    </row>
    <row r="11" spans="1:24" ht="20.100000000000001" customHeight="1" x14ac:dyDescent="0.25">
      <c r="A11"/>
      <c r="N11" s="40"/>
    </row>
    <row r="12" spans="1:24" ht="20.100000000000001" customHeight="1" x14ac:dyDescent="0.25">
      <c r="A12"/>
      <c r="D12" s="10" t="s">
        <v>57</v>
      </c>
      <c r="E12" s="53">
        <v>45292</v>
      </c>
      <c r="F12" s="2" t="s">
        <v>48</v>
      </c>
    </row>
    <row r="13" spans="1:24" ht="20.100000000000001" customHeight="1" x14ac:dyDescent="0.25">
      <c r="A13" s="18" t="s">
        <v>51</v>
      </c>
      <c r="D13" s="10" t="s">
        <v>58</v>
      </c>
      <c r="E13" s="57">
        <f>DATE(YEAR(X_Cell_Site_StartDate)+1,MONTH(X_Cell_Site_StartDate),DAY(X_Cell_Site_StartDate))-1</f>
        <v>45657</v>
      </c>
      <c r="F13" s="2" t="s">
        <v>7</v>
      </c>
      <c r="N13" s="35"/>
      <c r="O13" s="35"/>
    </row>
    <row r="14" spans="1:24" ht="20.100000000000001" customHeight="1" x14ac:dyDescent="0.25">
      <c r="A14" s="17" t="str">
        <f>HYPERLINK("#'3.6.1.1-2 Enteric Methane'!A1", "3.6.1.1-2 Enteric Methane")</f>
        <v>3.6.1.1-2 Enteric Methane</v>
      </c>
      <c r="N14" s="35"/>
      <c r="O14" s="35"/>
    </row>
    <row r="15" spans="1:24" ht="20.100000000000001" customHeight="1" x14ac:dyDescent="0.25">
      <c r="A15"/>
      <c r="D15" s="31"/>
      <c r="E15" s="31"/>
      <c r="F15" s="31"/>
      <c r="G15" s="31"/>
      <c r="H15" s="31"/>
      <c r="I15" s="31"/>
      <c r="J15" s="31"/>
      <c r="K15" s="31"/>
      <c r="N15" s="35"/>
      <c r="O15" s="35"/>
    </row>
    <row r="16" spans="1:24" ht="20.100000000000001" customHeight="1" x14ac:dyDescent="0.25">
      <c r="A16"/>
      <c r="D16" s="31"/>
      <c r="E16" s="31"/>
      <c r="F16" s="31"/>
      <c r="G16" s="31"/>
      <c r="H16" s="31"/>
      <c r="I16" s="31"/>
      <c r="J16" s="31"/>
      <c r="K16" s="31"/>
      <c r="N16" s="35"/>
      <c r="O16" s="35"/>
    </row>
    <row r="17" spans="1:25" ht="20.100000000000001" customHeight="1" x14ac:dyDescent="0.25">
      <c r="A17" s="104" t="s">
        <v>1</v>
      </c>
      <c r="D17" s="31"/>
      <c r="E17" s="31"/>
      <c r="F17" s="31"/>
      <c r="G17" s="31"/>
      <c r="H17" s="31"/>
      <c r="I17" s="31"/>
      <c r="J17" s="31"/>
      <c r="K17" s="31"/>
    </row>
    <row r="18" spans="1:25" ht="20.100000000000001" customHeight="1" x14ac:dyDescent="0.25">
      <c r="A18" s="17" t="str">
        <f>HYPERLINK("#'Constants - Other Livestock'!A1", "Constants - Other Livestock")</f>
        <v>Constants - Other Livestock</v>
      </c>
      <c r="D18" s="31"/>
      <c r="E18" s="31"/>
      <c r="F18" s="31"/>
      <c r="G18" s="31"/>
      <c r="H18" s="31"/>
      <c r="I18" s="31"/>
      <c r="J18" s="31"/>
      <c r="K18" s="31"/>
    </row>
    <row r="19" spans="1:25" ht="20.100000000000001" customHeight="1" x14ac:dyDescent="0.25">
      <c r="A19" s="17" t="str">
        <f>HYPERLINK("#'Constants - Common'!A1", "Constants - Common")</f>
        <v>Constants - Common</v>
      </c>
      <c r="D19" s="31"/>
      <c r="E19" s="31"/>
      <c r="F19" s="31"/>
      <c r="G19" s="31"/>
      <c r="H19" s="31"/>
      <c r="I19" s="31"/>
      <c r="J19" s="31"/>
      <c r="K19" s="31"/>
      <c r="N19" s="37"/>
    </row>
    <row r="20" spans="1:25" ht="20.100000000000001" customHeight="1" x14ac:dyDescent="0.25">
      <c r="A20" s="17" t="str">
        <f>HYPERLINK("#'Acknowledgements'!A1", "Acknowledgements")</f>
        <v>Acknowledgements</v>
      </c>
      <c r="D20" s="31"/>
      <c r="E20" s="31"/>
      <c r="F20" s="31"/>
      <c r="G20" s="31"/>
      <c r="H20" s="31"/>
      <c r="I20" s="31"/>
      <c r="J20" s="31"/>
      <c r="K20" s="31"/>
      <c r="N20" s="38"/>
    </row>
    <row r="21" spans="1:25" ht="20.100000000000001" customHeight="1" x14ac:dyDescent="0.25">
      <c r="A21" s="17" t="str">
        <f>HYPERLINK("#'Tab template'!A1", "Tab template")</f>
        <v>Tab template</v>
      </c>
      <c r="D21" s="31"/>
      <c r="E21" s="31"/>
      <c r="F21" s="31"/>
      <c r="G21" s="31"/>
      <c r="H21" s="31"/>
      <c r="I21" s="31"/>
      <c r="J21" s="31"/>
      <c r="K21" s="31"/>
    </row>
    <row r="22" spans="1:25" ht="20.100000000000001" customHeight="1" x14ac:dyDescent="0.25">
      <c r="A22"/>
      <c r="D22" s="31"/>
      <c r="E22" s="31"/>
      <c r="F22" s="31"/>
      <c r="G22" s="31"/>
      <c r="H22" s="31"/>
      <c r="I22" s="31"/>
      <c r="J22" s="31"/>
      <c r="K22" s="31"/>
    </row>
    <row r="23" spans="1:25" ht="20.100000000000001" customHeight="1" x14ac:dyDescent="0.25">
      <c r="A23"/>
      <c r="D23" s="31"/>
      <c r="E23" s="31"/>
      <c r="F23" s="31"/>
      <c r="G23" s="31"/>
      <c r="H23" s="31"/>
      <c r="I23" s="31"/>
      <c r="J23" s="31"/>
      <c r="K23" s="31"/>
    </row>
    <row r="24" spans="1:25" ht="20.100000000000001" customHeight="1" x14ac:dyDescent="0.25">
      <c r="A24"/>
      <c r="D24" s="31"/>
      <c r="E24" s="31"/>
      <c r="F24" s="31"/>
      <c r="G24" s="31"/>
      <c r="H24" s="31"/>
      <c r="I24" s="31"/>
      <c r="J24" s="31"/>
      <c r="K24" s="31"/>
    </row>
    <row r="25" spans="1:25" ht="20.100000000000001" customHeight="1" x14ac:dyDescent="0.25">
      <c r="A25"/>
      <c r="D25" s="31"/>
      <c r="E25" s="31"/>
      <c r="F25" s="31"/>
      <c r="G25" s="31"/>
      <c r="H25" s="31"/>
      <c r="I25" s="31"/>
      <c r="J25" s="31"/>
      <c r="K25" s="31"/>
      <c r="N25" s="38"/>
    </row>
    <row r="26" spans="1:25" ht="20.100000000000001" customHeight="1" x14ac:dyDescent="0.25">
      <c r="A26"/>
      <c r="D26" s="31"/>
      <c r="E26" s="31"/>
      <c r="F26" s="31"/>
      <c r="G26" s="31"/>
      <c r="H26" s="31"/>
      <c r="I26" s="31"/>
      <c r="J26" s="31"/>
      <c r="K26" s="31"/>
    </row>
    <row r="27" spans="1:25" ht="20.100000000000001" customHeight="1" x14ac:dyDescent="0.25">
      <c r="A27"/>
      <c r="D27" s="31"/>
      <c r="E27" s="31"/>
      <c r="F27" s="31"/>
      <c r="G27" s="31"/>
      <c r="H27" s="31"/>
      <c r="I27" s="31"/>
      <c r="J27" s="31"/>
      <c r="K27" s="31"/>
    </row>
    <row r="28" spans="1:25" ht="20.100000000000001" customHeight="1" x14ac:dyDescent="0.25">
      <c r="A28"/>
      <c r="D28" s="31"/>
      <c r="E28" s="31"/>
      <c r="F28" s="31"/>
      <c r="G28" s="31"/>
      <c r="H28" s="31"/>
      <c r="I28" s="31"/>
      <c r="J28" s="31"/>
      <c r="K28" s="31"/>
    </row>
    <row r="29" spans="1:25" ht="20.100000000000001" customHeight="1" x14ac:dyDescent="0.25">
      <c r="A29"/>
      <c r="D29" s="31"/>
      <c r="E29" s="31"/>
      <c r="F29" s="31"/>
      <c r="G29" s="31"/>
      <c r="H29" s="31"/>
      <c r="I29" s="31"/>
      <c r="J29" s="31"/>
      <c r="K29" s="31"/>
    </row>
    <row r="30" spans="1:25" ht="20.100000000000001" customHeight="1" x14ac:dyDescent="0.25">
      <c r="A30"/>
      <c r="D30" s="31"/>
      <c r="E30" s="31"/>
      <c r="F30" s="31"/>
      <c r="G30" s="31"/>
      <c r="H30" s="31"/>
      <c r="I30" s="31"/>
      <c r="J30" s="31"/>
      <c r="K30" s="31"/>
      <c r="L30" s="43"/>
      <c r="M30" s="43"/>
      <c r="N30" s="43"/>
      <c r="O30" s="43"/>
      <c r="P30" s="43"/>
      <c r="Q30" s="43"/>
      <c r="R30" s="43"/>
      <c r="S30" s="43"/>
      <c r="T30" s="43"/>
      <c r="U30" s="43"/>
      <c r="V30" s="43"/>
      <c r="W30" s="43"/>
      <c r="X30" s="43"/>
      <c r="Y30" s="43"/>
    </row>
    <row r="31" spans="1:25" ht="20.100000000000001" customHeight="1" x14ac:dyDescent="0.25">
      <c r="A31"/>
      <c r="D31" s="31"/>
      <c r="E31" s="31"/>
      <c r="F31" s="31"/>
      <c r="G31" s="31"/>
      <c r="H31" s="31"/>
      <c r="I31" s="31"/>
      <c r="J31" s="31"/>
      <c r="K31" s="31"/>
      <c r="L31" s="42"/>
      <c r="M31" s="42"/>
      <c r="N31" s="42"/>
      <c r="O31" s="42"/>
      <c r="P31" s="42"/>
      <c r="Q31" s="42"/>
      <c r="R31" s="42"/>
      <c r="S31" s="42"/>
      <c r="T31" s="42"/>
      <c r="U31" s="42"/>
      <c r="V31" s="42"/>
      <c r="W31" s="42"/>
      <c r="X31" s="42"/>
      <c r="Y31" s="42"/>
    </row>
    <row r="32" spans="1:25" ht="20.100000000000001" customHeight="1" x14ac:dyDescent="0.25">
      <c r="A32"/>
      <c r="D32" s="31"/>
      <c r="E32" s="31"/>
      <c r="F32" s="31"/>
      <c r="G32" s="31"/>
      <c r="H32" s="31"/>
      <c r="I32" s="31"/>
      <c r="J32" s="31"/>
      <c r="K32" s="31"/>
      <c r="L32" s="42"/>
      <c r="M32" s="42"/>
      <c r="N32" s="42"/>
      <c r="O32" s="42"/>
      <c r="P32" s="42"/>
      <c r="Q32" s="42"/>
      <c r="R32" s="42"/>
      <c r="S32" s="42"/>
      <c r="T32" s="42"/>
      <c r="U32" s="42"/>
      <c r="V32" s="42"/>
      <c r="W32" s="42"/>
      <c r="X32" s="42"/>
      <c r="Y32" s="42"/>
    </row>
    <row r="33" spans="1:25" ht="20.100000000000001" customHeight="1" x14ac:dyDescent="0.25">
      <c r="A33"/>
      <c r="D33" s="31"/>
      <c r="E33" s="31"/>
      <c r="F33" s="31"/>
      <c r="G33" s="31"/>
      <c r="H33" s="31"/>
      <c r="I33" s="31"/>
      <c r="J33" s="31"/>
      <c r="K33" s="31"/>
      <c r="L33" s="42"/>
      <c r="M33" s="42"/>
      <c r="N33" s="42"/>
      <c r="O33" s="42"/>
      <c r="P33" s="42"/>
      <c r="Q33" s="42"/>
      <c r="R33" s="42"/>
      <c r="S33" s="42"/>
      <c r="T33" s="42"/>
      <c r="U33" s="42"/>
      <c r="V33" s="42"/>
      <c r="W33" s="42"/>
      <c r="X33" s="42"/>
      <c r="Y33" s="42"/>
    </row>
    <row r="34" spans="1:25" ht="20.100000000000001" customHeight="1" x14ac:dyDescent="0.25">
      <c r="A34"/>
      <c r="D34" s="31"/>
      <c r="E34" s="31"/>
      <c r="F34" s="31"/>
      <c r="G34" s="31"/>
      <c r="H34" s="31"/>
      <c r="I34" s="31"/>
      <c r="J34" s="31"/>
      <c r="K34" s="31"/>
      <c r="L34" s="42"/>
      <c r="M34" s="42"/>
      <c r="N34" s="42"/>
      <c r="O34" s="42"/>
      <c r="P34" s="42"/>
      <c r="Q34" s="42"/>
      <c r="R34" s="42"/>
      <c r="S34" s="42"/>
      <c r="T34" s="42"/>
      <c r="U34" s="42"/>
      <c r="V34" s="42"/>
      <c r="W34" s="42"/>
      <c r="X34" s="42"/>
      <c r="Y34" s="42"/>
    </row>
    <row r="35" spans="1:25" ht="20.100000000000001" customHeight="1" x14ac:dyDescent="0.25">
      <c r="A35"/>
      <c r="D35" s="31"/>
      <c r="E35" s="31"/>
      <c r="F35" s="31"/>
      <c r="G35" s="31"/>
      <c r="H35" s="31"/>
      <c r="I35" s="31"/>
      <c r="J35" s="31"/>
      <c r="K35" s="31"/>
      <c r="L35" s="42"/>
      <c r="M35" s="42"/>
      <c r="N35" s="42"/>
      <c r="O35" s="42"/>
      <c r="P35" s="42"/>
      <c r="Q35" s="42"/>
      <c r="R35" s="42"/>
      <c r="S35" s="42"/>
      <c r="T35" s="42"/>
      <c r="U35" s="42"/>
      <c r="V35" s="42"/>
      <c r="W35" s="42"/>
      <c r="X35" s="42"/>
      <c r="Y35" s="42"/>
    </row>
    <row r="36" spans="1:25" ht="20.100000000000001" customHeight="1" x14ac:dyDescent="0.25">
      <c r="A36"/>
      <c r="D36" s="31"/>
      <c r="E36" s="31"/>
      <c r="F36" s="31"/>
      <c r="G36" s="31"/>
      <c r="H36" s="31"/>
      <c r="I36" s="31"/>
      <c r="J36" s="31"/>
      <c r="K36" s="31"/>
      <c r="L36" s="42"/>
      <c r="M36" s="42"/>
      <c r="N36" s="42"/>
      <c r="O36" s="42"/>
      <c r="P36" s="42"/>
      <c r="Q36" s="42"/>
      <c r="R36" s="42"/>
      <c r="S36" s="42"/>
      <c r="T36" s="42"/>
      <c r="U36" s="42"/>
      <c r="V36" s="42"/>
      <c r="W36" s="42"/>
      <c r="X36" s="42"/>
      <c r="Y36" s="42"/>
    </row>
    <row r="37" spans="1:25" ht="20.100000000000001" customHeight="1" x14ac:dyDescent="0.25">
      <c r="A37"/>
      <c r="D37" s="31"/>
      <c r="E37" s="31"/>
      <c r="F37" s="31"/>
      <c r="G37" s="31"/>
      <c r="H37" s="31"/>
      <c r="I37" s="31"/>
      <c r="J37" s="31"/>
      <c r="K37" s="31"/>
      <c r="L37" s="42"/>
      <c r="M37" s="42"/>
      <c r="N37" s="42"/>
      <c r="O37" s="42"/>
      <c r="P37" s="42"/>
      <c r="Q37" s="42"/>
      <c r="R37" s="42"/>
      <c r="S37" s="42"/>
      <c r="T37" s="42"/>
      <c r="U37" s="42"/>
      <c r="V37" s="42"/>
      <c r="W37" s="42"/>
      <c r="X37" s="42"/>
      <c r="Y37" s="42"/>
    </row>
    <row r="38" spans="1:25" ht="20.100000000000001" customHeight="1" x14ac:dyDescent="0.25">
      <c r="A38"/>
      <c r="D38" s="31"/>
      <c r="E38" s="31"/>
      <c r="F38" s="31"/>
      <c r="G38" s="31"/>
      <c r="H38" s="31"/>
      <c r="I38" s="31"/>
      <c r="J38" s="31"/>
      <c r="K38" s="31"/>
      <c r="L38" s="42"/>
      <c r="M38" s="42"/>
      <c r="N38" s="42"/>
      <c r="O38" s="42"/>
      <c r="P38" s="42"/>
      <c r="Q38" s="42"/>
      <c r="R38" s="42"/>
      <c r="S38" s="42"/>
      <c r="T38" s="42"/>
      <c r="U38" s="42"/>
      <c r="V38" s="42"/>
      <c r="W38" s="42"/>
      <c r="X38" s="42"/>
      <c r="Y38" s="42"/>
    </row>
    <row r="39" spans="1:25" ht="20.100000000000001" customHeight="1" x14ac:dyDescent="0.25">
      <c r="A39"/>
      <c r="D39" s="31"/>
      <c r="E39" s="31"/>
      <c r="F39" s="31"/>
      <c r="G39" s="31"/>
      <c r="H39" s="31"/>
      <c r="I39" s="31"/>
      <c r="J39" s="31"/>
      <c r="K39" s="31"/>
      <c r="L39" s="42"/>
      <c r="M39" s="42"/>
      <c r="N39" s="42"/>
      <c r="O39" s="42"/>
      <c r="P39" s="42"/>
      <c r="Q39" s="42"/>
      <c r="R39" s="42"/>
      <c r="S39" s="42"/>
      <c r="T39" s="42"/>
      <c r="U39" s="42"/>
      <c r="V39" s="42"/>
      <c r="W39" s="42"/>
      <c r="X39" s="42"/>
      <c r="Y39" s="42"/>
    </row>
    <row r="40" spans="1:25" ht="20.100000000000001" customHeight="1" x14ac:dyDescent="0.25">
      <c r="A40"/>
      <c r="D40" s="31"/>
      <c r="E40" s="31"/>
      <c r="F40" s="31"/>
      <c r="G40" s="31"/>
      <c r="H40" s="31"/>
      <c r="I40" s="31"/>
      <c r="J40" s="31"/>
      <c r="K40" s="31"/>
      <c r="L40" s="44"/>
      <c r="M40" s="44"/>
      <c r="N40" s="44"/>
      <c r="O40" s="44"/>
      <c r="P40" s="44"/>
      <c r="Q40" s="44"/>
      <c r="R40" s="44"/>
      <c r="S40" s="44"/>
      <c r="T40" s="44"/>
      <c r="U40" s="44"/>
      <c r="V40" s="44"/>
      <c r="W40" s="44"/>
      <c r="X40" s="44"/>
      <c r="Y40" s="44"/>
    </row>
    <row r="41" spans="1:25" ht="20.100000000000001" customHeight="1" x14ac:dyDescent="0.25">
      <c r="A41"/>
      <c r="D41" s="31"/>
      <c r="E41" s="31"/>
      <c r="F41" s="31"/>
      <c r="G41" s="31"/>
      <c r="H41" s="31"/>
      <c r="I41" s="31"/>
      <c r="J41" s="31"/>
      <c r="K41" s="31"/>
    </row>
    <row r="42" spans="1:25" ht="20.100000000000001" customHeight="1" x14ac:dyDescent="0.25">
      <c r="A42"/>
      <c r="D42" s="31"/>
      <c r="E42" s="31"/>
      <c r="F42" s="31"/>
      <c r="G42" s="31"/>
      <c r="H42" s="31"/>
      <c r="I42" s="31"/>
      <c r="J42" s="31"/>
      <c r="K42" s="31"/>
    </row>
    <row r="43" spans="1:25" ht="20.100000000000001" customHeight="1" x14ac:dyDescent="0.25">
      <c r="A43"/>
      <c r="D43" s="31"/>
      <c r="E43" s="31"/>
      <c r="F43" s="31"/>
      <c r="G43" s="31"/>
      <c r="H43" s="31"/>
      <c r="I43" s="31"/>
      <c r="J43" s="31"/>
      <c r="K43" s="31"/>
    </row>
    <row r="44" spans="1:25" ht="20.100000000000001" customHeight="1" x14ac:dyDescent="0.25">
      <c r="A44"/>
      <c r="D44" s="31"/>
      <c r="E44" s="31"/>
      <c r="F44" s="31"/>
      <c r="G44" s="31"/>
      <c r="H44" s="31"/>
      <c r="I44" s="31"/>
      <c r="J44" s="31"/>
      <c r="K44" s="31"/>
    </row>
    <row r="45" spans="1:25" ht="20.100000000000001" customHeight="1" x14ac:dyDescent="0.25">
      <c r="A45"/>
      <c r="D45" s="31"/>
      <c r="E45" s="31"/>
      <c r="F45" s="31"/>
      <c r="G45" s="31"/>
      <c r="H45" s="31"/>
      <c r="I45" s="31"/>
      <c r="J45" s="31"/>
      <c r="K45" s="31"/>
    </row>
    <row r="46" spans="1:25" ht="20.100000000000001" customHeight="1" x14ac:dyDescent="0.25">
      <c r="A46"/>
      <c r="D46" s="31"/>
      <c r="E46" s="31"/>
      <c r="F46" s="31"/>
      <c r="G46" s="31"/>
      <c r="H46" s="31"/>
      <c r="I46" s="31"/>
      <c r="J46" s="31"/>
      <c r="K46" s="31"/>
    </row>
    <row r="47" spans="1:25" ht="20.100000000000001" customHeight="1" x14ac:dyDescent="0.25">
      <c r="A47"/>
      <c r="D47" s="31"/>
      <c r="E47" s="31"/>
      <c r="F47" s="31"/>
      <c r="G47" s="31"/>
      <c r="H47" s="31"/>
      <c r="I47" s="31"/>
      <c r="J47" s="31"/>
      <c r="K47" s="31"/>
    </row>
    <row r="48" spans="1:25" ht="20.100000000000001" customHeight="1" x14ac:dyDescent="0.25">
      <c r="A48"/>
      <c r="D48" s="31"/>
      <c r="E48" s="31"/>
      <c r="F48" s="31"/>
      <c r="G48" s="31"/>
      <c r="H48" s="31"/>
      <c r="I48" s="31"/>
      <c r="J48" s="31"/>
      <c r="K48" s="31"/>
    </row>
    <row r="49" spans="1:8" ht="20.100000000000001" customHeight="1" x14ac:dyDescent="0.25">
      <c r="A49"/>
      <c r="D49" s="31"/>
      <c r="E49" s="31"/>
      <c r="F49" s="32"/>
      <c r="G49" s="32"/>
      <c r="H49" s="31"/>
    </row>
    <row r="50" spans="1:8" ht="20.100000000000001" customHeight="1" x14ac:dyDescent="0.25">
      <c r="A50"/>
      <c r="D50" s="31"/>
      <c r="E50" s="31"/>
      <c r="F50" s="32"/>
      <c r="G50" s="32"/>
      <c r="H50" s="31"/>
    </row>
    <row r="51" spans="1:8" ht="20.100000000000001" customHeight="1" x14ac:dyDescent="0.25">
      <c r="A51"/>
      <c r="D51" s="58"/>
      <c r="E51" s="59"/>
      <c r="F51" s="59"/>
      <c r="G51" s="59"/>
      <c r="H51" s="60"/>
    </row>
    <row r="52" spans="1:8" ht="20.100000000000001" customHeight="1" x14ac:dyDescent="0.25">
      <c r="A52"/>
    </row>
    <row r="53" spans="1:8" ht="20.100000000000001" customHeight="1" x14ac:dyDescent="0.25">
      <c r="A53"/>
    </row>
    <row r="54" spans="1:8" ht="20.100000000000001" customHeight="1" x14ac:dyDescent="0.25">
      <c r="A54"/>
      <c r="G54" s="61"/>
    </row>
    <row r="55" spans="1:8" ht="20.100000000000001" customHeight="1" x14ac:dyDescent="0.25">
      <c r="A55"/>
      <c r="D55" s="6"/>
    </row>
    <row r="56" spans="1:8" ht="20.100000000000001" customHeight="1" x14ac:dyDescent="0.25">
      <c r="A56"/>
    </row>
    <row r="57" spans="1:8" ht="20.100000000000001" customHeight="1" x14ac:dyDescent="0.25">
      <c r="A57"/>
      <c r="D57" s="20"/>
      <c r="F57" s="62"/>
    </row>
    <row r="58" spans="1:8" ht="20.100000000000001" customHeight="1" x14ac:dyDescent="0.25">
      <c r="A58"/>
      <c r="D58" s="1"/>
      <c r="E58" s="63"/>
    </row>
    <row r="59" spans="1:8" ht="20.100000000000001" customHeight="1" x14ac:dyDescent="0.25">
      <c r="A59"/>
      <c r="D59" s="1"/>
      <c r="E59" s="63"/>
    </row>
    <row r="60" spans="1:8" ht="20.100000000000001" customHeight="1" x14ac:dyDescent="0.25">
      <c r="A60"/>
      <c r="D60" s="1"/>
      <c r="E60" s="64"/>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63"/>
    </row>
    <row r="65" spans="1:9" ht="20.100000000000001" customHeight="1" x14ac:dyDescent="0.25">
      <c r="A65"/>
      <c r="D65" s="1"/>
      <c r="E65" s="63"/>
    </row>
    <row r="66" spans="1:9" ht="20.100000000000001" customHeight="1" x14ac:dyDescent="0.25">
      <c r="A66"/>
      <c r="D66" s="1"/>
      <c r="E66" s="64"/>
    </row>
    <row r="67" spans="1:9" ht="20.100000000000001" customHeight="1" x14ac:dyDescent="0.25">
      <c r="A67"/>
    </row>
    <row r="68" spans="1:9" ht="20.100000000000001" customHeight="1" x14ac:dyDescent="0.25">
      <c r="A68"/>
    </row>
    <row r="69" spans="1:9" ht="20.100000000000001" customHeight="1" x14ac:dyDescent="0.25">
      <c r="A69"/>
      <c r="D69" s="51"/>
      <c r="E69" s="51"/>
      <c r="F69" s="51"/>
      <c r="G69" s="51"/>
      <c r="H69" s="51"/>
      <c r="I69" s="51"/>
    </row>
    <row r="70" spans="1:9" ht="20.100000000000001" customHeight="1" x14ac:dyDescent="0.25">
      <c r="A70"/>
      <c r="D70" s="51"/>
      <c r="E70" s="51"/>
      <c r="F70" s="51"/>
      <c r="G70" s="51"/>
      <c r="H70" s="51"/>
      <c r="I70" s="51"/>
    </row>
    <row r="71" spans="1:9" ht="20.100000000000001" customHeight="1" x14ac:dyDescent="0.25">
      <c r="A71"/>
      <c r="D71" s="51"/>
      <c r="E71" s="51"/>
      <c r="F71" s="51"/>
      <c r="G71" s="51"/>
      <c r="H71" s="51"/>
      <c r="I71" s="51"/>
    </row>
    <row r="72" spans="1:9" ht="20.100000000000001" customHeight="1" x14ac:dyDescent="0.25">
      <c r="A72"/>
      <c r="D72" s="51"/>
      <c r="E72" s="51"/>
      <c r="F72" s="51"/>
      <c r="G72" s="51"/>
      <c r="H72" s="51"/>
      <c r="I72" s="5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65"/>
    </row>
    <row r="79" spans="1:9" ht="20.100000000000001" customHeight="1" x14ac:dyDescent="0.25">
      <c r="A79"/>
      <c r="D79" s="65"/>
    </row>
    <row r="80" spans="1:9" ht="20.100000000000001" customHeight="1" x14ac:dyDescent="0.25">
      <c r="A80"/>
      <c r="D80" s="65"/>
    </row>
    <row r="81" spans="1:4" ht="20.100000000000001" customHeight="1" x14ac:dyDescent="0.25">
      <c r="A81"/>
      <c r="D81" s="65"/>
    </row>
    <row r="82" spans="1:4" ht="20.100000000000001" customHeight="1" x14ac:dyDescent="0.25">
      <c r="A82"/>
      <c r="D82" s="6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62.5703125" style="1" customWidth="1"/>
    <col min="5" max="11" width="30.7109375" style="1" customWidth="1"/>
    <col min="12" max="12" width="4.7109375" style="1" customWidth="1"/>
    <col min="13" max="13" width="4.7109375" customWidth="1"/>
    <col min="14" max="14" width="4.7109375" style="50" customWidth="1"/>
    <col min="15" max="20" width="30.7109375" style="50" customWidth="1"/>
    <col min="21" max="21" width="4.7109375" style="50" customWidth="1"/>
  </cols>
  <sheetData>
    <row r="1" spans="1:21" s="54" customFormat="1" ht="30" customHeight="1" x14ac:dyDescent="0.35">
      <c r="A1" s="54" t="e" vm="1">
        <v>#VALUE!</v>
      </c>
      <c r="C1" s="54" t="s">
        <v>106</v>
      </c>
      <c r="N1" s="50"/>
      <c r="O1" s="50"/>
      <c r="P1" s="50"/>
      <c r="Q1" s="50"/>
      <c r="R1" s="50"/>
      <c r="S1" s="50"/>
      <c r="T1" s="50"/>
      <c r="U1" s="50"/>
    </row>
    <row r="2" spans="1:21" s="9" customFormat="1" ht="20.100000000000001" customHeight="1" x14ac:dyDescent="0.25">
      <c r="A2"/>
      <c r="N2" s="50"/>
      <c r="O2" s="50"/>
      <c r="P2" s="50"/>
      <c r="Q2" s="50"/>
      <c r="R2" s="50"/>
      <c r="S2" s="50"/>
      <c r="T2" s="50"/>
      <c r="U2" s="50"/>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107</v>
      </c>
    </row>
    <row r="6" spans="1:21" ht="20.100000000000001" customHeight="1" x14ac:dyDescent="0.25"/>
    <row r="7" spans="1:21" ht="20.100000000000001" customHeight="1" x14ac:dyDescent="0.25">
      <c r="D7" s="52"/>
      <c r="E7" s="36" t="s">
        <v>108</v>
      </c>
      <c r="F7" s="36" t="s">
        <v>109</v>
      </c>
      <c r="G7" s="36" t="s">
        <v>110</v>
      </c>
      <c r="H7" s="36" t="s">
        <v>111</v>
      </c>
    </row>
    <row r="8" spans="1:21" ht="20.100000000000001" customHeight="1" x14ac:dyDescent="0.25">
      <c r="A8" s="19" t="s">
        <v>0</v>
      </c>
      <c r="D8" s="1" t="str">
        <f>"Average number of head between " &amp; TEXT(X_Cell_Site_StartDate, "dd mmm yy") &amp; " and " &amp; TEXT(X_Cell_Site_EndDate, "dd mmm yy")</f>
        <v>Average number of head between 01 Jan 24 and 31 Dec 24</v>
      </c>
      <c r="E8" s="75">
        <v>4300</v>
      </c>
      <c r="F8" s="75">
        <v>100</v>
      </c>
      <c r="G8" s="75">
        <v>100</v>
      </c>
      <c r="H8" s="75">
        <v>100</v>
      </c>
      <c r="I8" s="2" t="s">
        <v>59</v>
      </c>
      <c r="J8" s="2"/>
      <c r="K8" s="2"/>
    </row>
    <row r="9" spans="1:21" ht="20.100000000000001" customHeight="1" x14ac:dyDescent="0.25">
      <c r="A9" s="17" t="str">
        <f>HYPERLINK("#'Input - Site'!A1", "Site")</f>
        <v>Site</v>
      </c>
      <c r="J9" s="2"/>
      <c r="K9" s="2"/>
    </row>
    <row r="10" spans="1:21" ht="20.100000000000001" customHeight="1" x14ac:dyDescent="0.25">
      <c r="A10" s="99" t="str">
        <f>HYPERLINK("#'Input - Other Livestock'!A1", "Other Livestock")</f>
        <v>Other Livestock</v>
      </c>
    </row>
    <row r="11" spans="1:21" ht="20.100000000000001" customHeight="1" x14ac:dyDescent="0.25">
      <c r="D11" s="6" t="s">
        <v>112</v>
      </c>
    </row>
    <row r="12" spans="1:21" ht="20.100000000000001" customHeight="1" x14ac:dyDescent="0.25"/>
    <row r="13" spans="1:21" ht="20.100000000000001" customHeight="1" x14ac:dyDescent="0.25">
      <c r="A13" s="18" t="s">
        <v>51</v>
      </c>
      <c r="D13" s="52"/>
      <c r="E13" s="36" t="s">
        <v>113</v>
      </c>
      <c r="F13" s="36" t="s">
        <v>114</v>
      </c>
      <c r="G13" s="36" t="s">
        <v>115</v>
      </c>
      <c r="H13" s="36" t="s">
        <v>116</v>
      </c>
      <c r="I13" s="36" t="s">
        <v>117</v>
      </c>
      <c r="J13" s="36" t="s">
        <v>118</v>
      </c>
    </row>
    <row r="14" spans="1:21" ht="20.100000000000001" customHeight="1" x14ac:dyDescent="0.25">
      <c r="A14" s="17" t="str">
        <f>HYPERLINK("#'3.6.1.1-2 Enteric Methane'!A1", "3.6.1.1-2 Enteric Methane")</f>
        <v>3.6.1.1-2 Enteric Methane</v>
      </c>
      <c r="D14" s="1" t="str">
        <f>"Average number of head between " &amp; TEXT(X_Cell_Site_StartDate, "dd mmm yy") &amp; " and " &amp; TEXT(X_Cell_Site_EndDate, "dd mmm yy")</f>
        <v>Average number of head between 01 Jan 24 and 31 Dec 24</v>
      </c>
      <c r="E14" s="75">
        <v>4300</v>
      </c>
      <c r="F14" s="75">
        <v>100</v>
      </c>
      <c r="G14" s="75">
        <v>100</v>
      </c>
      <c r="H14" s="75">
        <v>100</v>
      </c>
      <c r="I14" s="75">
        <v>100</v>
      </c>
      <c r="J14" s="75">
        <v>100</v>
      </c>
      <c r="K14" s="2" t="s">
        <v>59</v>
      </c>
    </row>
    <row r="15" spans="1:21" ht="20.100000000000001" customHeight="1" x14ac:dyDescent="0.25">
      <c r="J15" s="2"/>
      <c r="K15" s="2"/>
    </row>
    <row r="16" spans="1:21" ht="20.100000000000001" customHeight="1" x14ac:dyDescent="0.25">
      <c r="J16" s="2"/>
      <c r="K16" s="2"/>
    </row>
    <row r="17" spans="1:11" ht="20.100000000000001" customHeight="1" x14ac:dyDescent="0.25">
      <c r="A17" s="104" t="s">
        <v>1</v>
      </c>
      <c r="D17" s="6" t="s">
        <v>119</v>
      </c>
      <c r="J17" s="2"/>
      <c r="K17" s="2"/>
    </row>
    <row r="18" spans="1:11" ht="20.100000000000001" customHeight="1" x14ac:dyDescent="0.25">
      <c r="A18" s="17" t="str">
        <f>HYPERLINK("#'Constants - Other Livestock'!A1", "Constants - Other Livestock")</f>
        <v>Constants - Other Livestock</v>
      </c>
    </row>
    <row r="19" spans="1:11" ht="20.100000000000001" customHeight="1" x14ac:dyDescent="0.25">
      <c r="A19" s="17" t="str">
        <f>HYPERLINK("#'Constants - Common'!A1", "Constants - Common")</f>
        <v>Constants - Common</v>
      </c>
      <c r="D19" s="52"/>
      <c r="E19" s="36" t="s">
        <v>120</v>
      </c>
      <c r="F19" s="36" t="s">
        <v>121</v>
      </c>
      <c r="G19" s="36" t="s">
        <v>122</v>
      </c>
      <c r="H19" s="36" t="s">
        <v>123</v>
      </c>
    </row>
    <row r="20" spans="1:11" ht="20.100000000000001" customHeight="1" x14ac:dyDescent="0.25">
      <c r="A20" s="17" t="str">
        <f>HYPERLINK("#'Acknowledgements'!A1", "Acknowledgements")</f>
        <v>Acknowledgements</v>
      </c>
      <c r="D20" s="1" t="str">
        <f>"Average number of head between " &amp; TEXT(X_Cell_Site_StartDate, "dd mmm yy") &amp; " and " &amp; TEXT(X_Cell_Site_EndDate, "dd mmm yy")</f>
        <v>Average number of head between 01 Jan 24 and 31 Dec 24</v>
      </c>
      <c r="E20" s="75">
        <v>4300</v>
      </c>
      <c r="F20" s="75">
        <v>100</v>
      </c>
      <c r="G20" s="75">
        <v>100</v>
      </c>
      <c r="H20" s="75">
        <v>100</v>
      </c>
      <c r="I20" s="2" t="s">
        <v>59</v>
      </c>
      <c r="J20" s="2"/>
      <c r="K20" s="2"/>
    </row>
    <row r="21" spans="1:11" ht="20.100000000000001" customHeight="1" x14ac:dyDescent="0.25">
      <c r="A21" s="17" t="str">
        <f>HYPERLINK("#'Tab template'!A1", "Tab template")</f>
        <v>Tab template</v>
      </c>
      <c r="J21" s="2"/>
      <c r="K21" s="2"/>
    </row>
    <row r="22" spans="1:11" ht="20.100000000000001" customHeight="1" x14ac:dyDescent="0.25">
      <c r="J22" s="2"/>
      <c r="K22" s="2"/>
    </row>
    <row r="23" spans="1:11" ht="20.100000000000001" customHeight="1" x14ac:dyDescent="0.25">
      <c r="D23" s="6" t="s">
        <v>124</v>
      </c>
      <c r="J23" s="2"/>
      <c r="K23" s="2"/>
    </row>
    <row r="24" spans="1:11" ht="20.100000000000001" customHeight="1" x14ac:dyDescent="0.25"/>
    <row r="25" spans="1:11" ht="20.100000000000001" customHeight="1" x14ac:dyDescent="0.25">
      <c r="D25" s="52"/>
      <c r="E25" s="36" t="s">
        <v>125</v>
      </c>
      <c r="F25" s="36" t="s">
        <v>126</v>
      </c>
      <c r="G25" s="36" t="s">
        <v>127</v>
      </c>
      <c r="H25" s="36" t="s">
        <v>128</v>
      </c>
      <c r="I25" s="36" t="s">
        <v>129</v>
      </c>
    </row>
    <row r="26" spans="1:11" ht="20.100000000000001" customHeight="1" x14ac:dyDescent="0.25">
      <c r="D26" s="1" t="str">
        <f>"Average number of head between " &amp; TEXT(X_Cell_Site_StartDate, "dd mmm yy") &amp; " and " &amp; TEXT(X_Cell_Site_EndDate, "dd mmm yy")</f>
        <v>Average number of head between 01 Jan 24 and 31 Dec 24</v>
      </c>
      <c r="E26" s="75">
        <v>4300</v>
      </c>
      <c r="F26" s="75">
        <v>100</v>
      </c>
      <c r="G26" s="75">
        <v>100</v>
      </c>
      <c r="H26" s="75">
        <v>100</v>
      </c>
      <c r="I26" s="75">
        <v>100</v>
      </c>
      <c r="J26" s="2" t="s">
        <v>59</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9:11" ht="20.100000000000001" customHeight="1" x14ac:dyDescent="0.25"/>
    <row r="34" spans="9:11" ht="20.100000000000001" customHeight="1" x14ac:dyDescent="0.25"/>
    <row r="35" spans="9:11" ht="20.100000000000001" customHeight="1" x14ac:dyDescent="0.25"/>
    <row r="36" spans="9:11" ht="20.100000000000001" customHeight="1" x14ac:dyDescent="0.25"/>
    <row r="37" spans="9:11" ht="20.100000000000001" customHeight="1" x14ac:dyDescent="0.25"/>
    <row r="38" spans="9:11" ht="20.100000000000001" customHeight="1" x14ac:dyDescent="0.25"/>
    <row r="39" spans="9:11" ht="20.100000000000001" customHeight="1" x14ac:dyDescent="0.25"/>
    <row r="40" spans="9:11" ht="20.100000000000001" customHeight="1" x14ac:dyDescent="0.25"/>
    <row r="41" spans="9:11" ht="20.100000000000001" customHeight="1" x14ac:dyDescent="0.25"/>
    <row r="42" spans="9:11" ht="20.100000000000001" customHeight="1" x14ac:dyDescent="0.25"/>
    <row r="43" spans="9:11" ht="20.100000000000001" customHeight="1" x14ac:dyDescent="0.25"/>
    <row r="44" spans="9:11" ht="20.100000000000001" customHeight="1" x14ac:dyDescent="0.25"/>
    <row r="45" spans="9:11" ht="20.100000000000001" customHeight="1" x14ac:dyDescent="0.25">
      <c r="I45" s="2"/>
      <c r="J45" s="2"/>
      <c r="K45" s="2"/>
    </row>
    <row r="46" spans="9:11" ht="20.100000000000001" customHeight="1" x14ac:dyDescent="0.25"/>
    <row r="47" spans="9:11" ht="20.100000000000001" customHeight="1" x14ac:dyDescent="0.25"/>
    <row r="48" spans="9: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79"/>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4" t="e" vm="1">
        <v>#VALUE!</v>
      </c>
      <c r="C1" s="8" t="s">
        <v>105</v>
      </c>
      <c r="K1"/>
    </row>
    <row r="2" spans="1:19" s="9" customFormat="1" ht="20.100000000000001" customHeight="1" x14ac:dyDescent="0.25">
      <c r="A2"/>
      <c r="K2"/>
    </row>
    <row r="3" spans="1:19" ht="20.100000000000001" customHeight="1" x14ac:dyDescent="0.25">
      <c r="A3" s="17" t="str">
        <f>HYPERLINK("#'Home'!A1", "Home")</f>
        <v>Home</v>
      </c>
      <c r="C3" s="4"/>
      <c r="D3" s="4" t="s">
        <v>60</v>
      </c>
      <c r="E3" s="4"/>
      <c r="F3" s="4"/>
      <c r="G3" s="4"/>
      <c r="H3" s="4"/>
      <c r="I3" s="4"/>
      <c r="J3" s="4"/>
      <c r="L3" s="4"/>
      <c r="M3" s="4" t="s">
        <v>61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EntericMethane_OtherLivestock_Equations.VEERG_3_6_1_1__1_TotalAnnualMethaneFromEntericFermentationOtherLivestock_Title()</f>
        <v>Total annual methane production from enteric fermentation in other livestock</v>
      </c>
    </row>
    <row r="6" spans="1:19" ht="20.100000000000001" customHeight="1" x14ac:dyDescent="0.25">
      <c r="D6" s="5" t="str" cm="1">
        <f t="array" ref="D6">EntericMethane_OtherLivestock_Equations.VEERG_3_6_1_1__1_TotalAnnualMethaneFromEntericFermentationOtherLivestock_Source()</f>
        <v>VEERG 2026: 3.6.1.1, Equation (1)</v>
      </c>
    </row>
    <row r="7" spans="1:19" ht="20.100000000000001" customHeight="1" x14ac:dyDescent="0.25">
      <c r="D7" s="13" t="s">
        <v>13</v>
      </c>
      <c r="E7" s="13" t="str" cm="1">
        <f t="array" aca="1" ref="E7" ca="1">Common_InputFunctions.Utility_DisplayFunctionName(G19)</f>
        <v>=EntericMethane_OtherLivestock_Equations.VEERG_3_6_1_1__1_TotalAnnualMethaneFromEntericFermentationOtherLivestock</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Other Livestock'!A1", "Other Livestock")</f>
        <v>Other Livestock</v>
      </c>
      <c r="D10" s="47" t="s">
        <v>16</v>
      </c>
      <c r="E10" s="1" t="str" cm="1">
        <f t="array" ref="E10">EntericMethane_OtherLivestock_Equations.VEERG_3_6_1_1__1_TotalAnnualMethaneFromEntericFermentationOtherLivestock_Variable()</f>
        <v>E_enteric</v>
      </c>
    </row>
    <row r="11" spans="1:19" ht="20.100000000000001" customHeight="1" x14ac:dyDescent="0.25">
      <c r="D11" s="47" t="s">
        <v>8</v>
      </c>
      <c r="E11" s="48" t="str" cm="1">
        <f t="array" ref="E11">EntericMethane_OtherLivestock_Equations.VEERG_3_6_1_1__1_TotalAnnualMethaneFromEntericFermentationOtherLivestock_Unit()</f>
        <v>t CH4</v>
      </c>
    </row>
    <row r="12" spans="1:19" ht="20.100000000000001" customHeight="1" x14ac:dyDescent="0.25"/>
    <row r="13" spans="1:19" ht="20.100000000000001" customHeight="1" x14ac:dyDescent="0.25">
      <c r="A13" s="18" t="s">
        <v>51</v>
      </c>
      <c r="D13" s="88" t="str" cm="1">
        <f t="array" ref="D13:E15">_xlfn.CHOOSECOLS(EntericMethane_OtherLivestock_Equations.VEERG_3_6_1_1__1_TotalAnnualMethaneFromEntericFermentationOtherLivestock_Arguments(),1,2)</f>
        <v>N_j</v>
      </c>
      <c r="E13" s="90" t="str">
        <v>number of livestock of each livestock type j</v>
      </c>
      <c r="F13" s="89"/>
      <c r="G13" s="88" t="str" cm="1">
        <f t="array" ref="G13:H15">_xlfn.CHOOSECOLS(EntericMethane_OtherLivestock_Equations.VEERG_3_6_1_1__1_TotalAnnualMethaneFromEntericFermentationOtherLivestock_Arguments(),3,4)</f>
        <v>head</v>
      </c>
      <c r="H13" s="86" t="str">
        <v>Input</v>
      </c>
    </row>
    <row r="14" spans="1:19" ht="20.100000000000001" customHeight="1" x14ac:dyDescent="0.25">
      <c r="A14" s="98" t="str">
        <f>HYPERLINK("#'3.6.1.1-2 Enteric Methane'!A1", "3.6.1.1-2 Enteric Methane")</f>
        <v>3.6.1.1-2 Enteric Methane</v>
      </c>
      <c r="D14" s="88" t="str">
        <v>M_j</v>
      </c>
      <c r="E14" s="90" t="str">
        <v>enteric fermentation emission factor</v>
      </c>
      <c r="F14" s="89"/>
      <c r="G14" s="88" t="str">
        <v>kg CH4/head/year</v>
      </c>
      <c r="H14" s="87" t="str">
        <v>Constant</v>
      </c>
    </row>
    <row r="15" spans="1:19" ht="20.100000000000001" customHeight="1" x14ac:dyDescent="0.25">
      <c r="D15" s="88" t="str">
        <v>j</v>
      </c>
      <c r="E15" s="90" t="str">
        <v>livestock type</v>
      </c>
      <c r="F15" s="89"/>
      <c r="G15" s="88" t="str">
        <v/>
      </c>
      <c r="H15" s="86" t="str">
        <v>Input</v>
      </c>
    </row>
    <row r="16" spans="1:19" ht="20.100000000000001" customHeight="1" x14ac:dyDescent="0.25"/>
    <row r="17" spans="1:8" ht="20.100000000000001" customHeight="1" x14ac:dyDescent="0.25">
      <c r="A17" s="104" t="s">
        <v>1</v>
      </c>
    </row>
    <row r="18" spans="1:8" ht="20.100000000000001" customHeight="1" x14ac:dyDescent="0.25">
      <c r="A18" s="17" t="str">
        <f>HYPERLINK("#'Constants - Other Livestock'!A1", "Constants - Other Livestock")</f>
        <v>Constants - Other Livestock</v>
      </c>
      <c r="D18" s="36" t="s">
        <v>130</v>
      </c>
      <c r="E18" s="36" t="s">
        <v>131</v>
      </c>
      <c r="F18" s="45" t="s">
        <v>99</v>
      </c>
      <c r="G18" s="45" t="s">
        <v>132</v>
      </c>
    </row>
    <row r="19" spans="1:8" ht="20.100000000000001" customHeight="1" x14ac:dyDescent="0.25">
      <c r="A19" s="17" t="str">
        <f>HYPERLINK("#'Constants - Common'!A1", "Constants - Common")</f>
        <v>Constants - Common</v>
      </c>
      <c r="D19" s="46" t="str">
        <f>'Constants - Other Livestock'!D10</f>
        <v>Buffalo</v>
      </c>
      <c r="E19" s="46">
        <f>SUM(X_Table_OtherLivestock_Buffalo_Head)</f>
        <v>4600</v>
      </c>
      <c r="F19" s="46" cm="1">
        <f t="array" ref="F19">Common_InputFunctions.Utility_LookupValueInTableNumber(D19, Table_SourceData_OtherLivestock_EntericEF[Other livestock type],Table_SourceData_OtherLivestock_EntericEF[Mj])</f>
        <v>68</v>
      </c>
      <c r="G19" s="46" cm="1">
        <f t="array" ref="G19">EntericMethane_OtherLivestock_Equations.VEERG_3_6_1_1__1_TotalAnnualMethaneFromEntericFermentationOtherLivestock(E19,F19)</f>
        <v>312.8</v>
      </c>
      <c r="H19" s="2" t="str">
        <f>$E$11</f>
        <v>t CH4</v>
      </c>
    </row>
    <row r="20" spans="1:8" ht="20.100000000000001" customHeight="1" x14ac:dyDescent="0.25">
      <c r="A20" s="17" t="str">
        <f>HYPERLINK("#'Acknowledgements'!A1", "Acknowledgements")</f>
        <v>Acknowledgements</v>
      </c>
      <c r="D20" s="46" t="str">
        <f>'Constants - Other Livestock'!D11</f>
        <v>Goats</v>
      </c>
      <c r="E20" s="46">
        <f>SUM(X_Table_OtherLivestock_Goats_Head)</f>
        <v>4800</v>
      </c>
      <c r="F20" s="46" cm="1">
        <f t="array" ref="F20">Common_InputFunctions.Utility_LookupValueInTableNumber(D20, Table_SourceData_OtherLivestock_EntericEF[Other livestock type],Table_SourceData_OtherLivestock_EntericEF[Mj])</f>
        <v>5</v>
      </c>
      <c r="G20" s="46" cm="1">
        <f t="array" ref="G20">EntericMethane_OtherLivestock_Equations.VEERG_3_6_1_1__1_TotalAnnualMethaneFromEntericFermentationOtherLivestock(E20,F20)</f>
        <v>24</v>
      </c>
    </row>
    <row r="21" spans="1:8" ht="20.100000000000001" customHeight="1" x14ac:dyDescent="0.25">
      <c r="A21" s="17" t="str">
        <f>HYPERLINK("#'Tab template'!A1", "Tab template")</f>
        <v>Tab template</v>
      </c>
      <c r="D21" s="46" t="str">
        <f>'Constants - Other Livestock'!D12</f>
        <v>Deer</v>
      </c>
      <c r="E21" s="46">
        <f>SUM(X_Table_OtherLivestock_Deer_Head)</f>
        <v>4600</v>
      </c>
      <c r="F21" s="46" cm="1">
        <f t="array" ref="F21">Common_InputFunctions.Utility_LookupValueInTableNumber(D21, Table_SourceData_OtherLivestock_EntericEF[Other livestock type],Table_SourceData_OtherLivestock_EntericEF[Mj])</f>
        <v>20</v>
      </c>
      <c r="G21" s="46" cm="1">
        <f t="array" ref="G21">EntericMethane_OtherLivestock_Equations.VEERG_3_6_1_1__1_TotalAnnualMethaneFromEntericFermentationOtherLivestock(E21,F21)</f>
        <v>92</v>
      </c>
    </row>
    <row r="22" spans="1:8" ht="20.100000000000001" customHeight="1" x14ac:dyDescent="0.25">
      <c r="D22" s="46" t="str">
        <f>'Constants - Other Livestock'!D13</f>
        <v>Camels</v>
      </c>
      <c r="E22" s="46">
        <f>X_Cell_OtherLivestock_Others_Camels_Head</f>
        <v>4300</v>
      </c>
      <c r="F22" s="46" cm="1">
        <f t="array" ref="F22">Common_InputFunctions.Utility_LookupValueInTableNumber(D22, Table_SourceData_OtherLivestock_EntericEF[Other livestock type],Table_SourceData_OtherLivestock_EntericEF[Mj])</f>
        <v>46</v>
      </c>
      <c r="G22" s="46" cm="1">
        <f t="array" ref="G22">EntericMethane_OtherLivestock_Equations.VEERG_3_6_1_1__1_TotalAnnualMethaneFromEntericFermentationOtherLivestock(E22,F22)</f>
        <v>197.8</v>
      </c>
    </row>
    <row r="23" spans="1:8" ht="20.100000000000001" customHeight="1" x14ac:dyDescent="0.25">
      <c r="D23" s="46" t="str">
        <f>'Constants - Other Livestock'!D14</f>
        <v>Alpacas</v>
      </c>
      <c r="E23" s="46">
        <f>X_Cell_OtherLivestock_Others_Alpacas_Head</f>
        <v>100</v>
      </c>
      <c r="F23" s="46" cm="1">
        <f t="array" ref="F23">Common_InputFunctions.Utility_LookupValueInTableNumber(D23, Table_SourceData_OtherLivestock_EntericEF[Other livestock type],Table_SourceData_OtherLivestock_EntericEF[Mj])</f>
        <v>8</v>
      </c>
      <c r="G23" s="46" cm="1">
        <f t="array" ref="G23">EntericMethane_OtherLivestock_Equations.VEERG_3_6_1_1__1_TotalAnnualMethaneFromEntericFermentationOtherLivestock(E23,F23)</f>
        <v>0.8</v>
      </c>
    </row>
    <row r="24" spans="1:8" ht="20.100000000000001" customHeight="1" x14ac:dyDescent="0.25">
      <c r="D24" s="46" t="str">
        <f>'Constants - Other Livestock'!D15</f>
        <v>Horses</v>
      </c>
      <c r="E24" s="46">
        <f>X_Cell_OtherLivestock_Others_Horses_Head</f>
        <v>100</v>
      </c>
      <c r="F24" s="46" cm="1">
        <f t="array" ref="F24">Common_InputFunctions.Utility_LookupValueInTableNumber(D24, Table_SourceData_OtherLivestock_EntericEF[Other livestock type],Table_SourceData_OtherLivestock_EntericEF[Mj])</f>
        <v>18</v>
      </c>
      <c r="G24" s="46" cm="1">
        <f t="array" ref="G24">EntericMethane_OtherLivestock_Equations.VEERG_3_6_1_1__1_TotalAnnualMethaneFromEntericFermentationOtherLivestock(E24,F24)</f>
        <v>1.8</v>
      </c>
    </row>
    <row r="25" spans="1:8" ht="20.100000000000001" customHeight="1" x14ac:dyDescent="0.25">
      <c r="D25" s="46" t="str">
        <f>'Constants - Other Livestock'!D16</f>
        <v>Mules/asses</v>
      </c>
      <c r="E25" s="46">
        <f>X_Cell_OtherLivestock_Others_Mules_Head</f>
        <v>100</v>
      </c>
      <c r="F25" s="46" cm="1">
        <f t="array" ref="F25">Common_InputFunctions.Utility_LookupValueInTableNumber(D25, Table_SourceData_OtherLivestock_EntericEF[Other livestock type],Table_SourceData_OtherLivestock_EntericEF[Mj])</f>
        <v>10</v>
      </c>
      <c r="G25" s="46" cm="1">
        <f t="array" ref="G25">EntericMethane_OtherLivestock_Equations.VEERG_3_6_1_1__1_TotalAnnualMethaneFromEntericFermentationOtherLivestock(E25,F25)</f>
        <v>1</v>
      </c>
    </row>
    <row r="26" spans="1:8" ht="20.100000000000001" customHeight="1" x14ac:dyDescent="0.25">
      <c r="D26" s="46" t="str">
        <f>'Constants - Other Livestock'!D17</f>
        <v>Emus/ostriches</v>
      </c>
      <c r="E26" s="46">
        <f>X_Cell_OtherLivestock_Others_Emus_Head</f>
        <v>100</v>
      </c>
      <c r="F26" s="46" cm="1">
        <f t="array" ref="F26">Common_InputFunctions.Utility_LookupValueInTableNumber(D26, Table_SourceData_OtherLivestock_EntericEF[Other livestock type],Table_SourceData_OtherLivestock_EntericEF[Mj])</f>
        <v>5</v>
      </c>
      <c r="G26" s="46" cm="1">
        <f t="array" ref="G26">EntericMethane_OtherLivestock_Equations.VEERG_3_6_1_1__1_TotalAnnualMethaneFromEntericFermentationOtherLivestock(E26,F26)</f>
        <v>0.5</v>
      </c>
    </row>
    <row r="27" spans="1:8" ht="20.100000000000001" customHeight="1" x14ac:dyDescent="0.25"/>
    <row r="28" spans="1:8" ht="20.100000000000001" customHeight="1" x14ac:dyDescent="0.25">
      <c r="D28" s="76" t="s">
        <v>132</v>
      </c>
      <c r="E28" s="77">
        <f>SUM(G19:G26)</f>
        <v>630.69999999999993</v>
      </c>
      <c r="F28" s="97" t="str">
        <f>$E$11</f>
        <v>t CH4</v>
      </c>
      <c r="G28" s="41"/>
    </row>
    <row r="29" spans="1:8" ht="20.100000000000001" customHeight="1" x14ac:dyDescent="0.25"/>
    <row r="30" spans="1:8" ht="20.100000000000001" customHeight="1" x14ac:dyDescent="0.25">
      <c r="D30" s="101" t="str" cm="1">
        <f t="array" ref="D30:E31">Common_Equations.Common_ConvertCH4ToCO2e_Arguments()</f>
        <v>ECH4</v>
      </c>
      <c r="E30" s="102" t="str">
        <v>Methane emissions (t CH4)</v>
      </c>
      <c r="F30" s="103"/>
      <c r="G30" s="46">
        <f>E28</f>
        <v>630.69999999999993</v>
      </c>
      <c r="H30" s="2" t="str">
        <f>E11</f>
        <v>t CH4</v>
      </c>
    </row>
    <row r="31" spans="1:8" ht="20.100000000000001" customHeight="1" x14ac:dyDescent="0.25">
      <c r="D31" s="101" t="str">
        <v>GWPCH4</v>
      </c>
      <c r="E31" s="102" t="str">
        <v>Global warming potential for methane (t CO2-e / t CH4)</v>
      </c>
      <c r="F31" s="103"/>
      <c r="G31" s="46">
        <f>Common_InputFunctions.Utility_LookupValueInTableNumber("CH4",Table_GWPData[Gas],Table_GWPData[CO2-e factor])</f>
        <v>28</v>
      </c>
    </row>
    <row r="32" spans="1:8" ht="20.100000000000001" customHeight="1" x14ac:dyDescent="0.25"/>
    <row r="33" spans="4:6" ht="20.100000000000001" customHeight="1" x14ac:dyDescent="0.25">
      <c r="D33" s="41" t="s">
        <v>135</v>
      </c>
      <c r="E33" s="41" cm="1">
        <f t="array" ref="E33">Common_Equations.Common_ConvertCH4ToCO2e(G30,G31)</f>
        <v>17659.599999999999</v>
      </c>
      <c r="F33" s="78" t="str" cm="1">
        <f t="array" ref="F33">Common_Equations.Common_ConvertN2OToCO2e_Unit()</f>
        <v>t CO2e</v>
      </c>
    </row>
    <row r="34" spans="4:6" ht="20.100000000000001" customHeight="1" x14ac:dyDescent="0.25"/>
    <row r="35" spans="4:6" ht="20.100000000000001" customHeight="1" x14ac:dyDescent="0.25"/>
    <row r="36" spans="4:6" ht="20.100000000000001" customHeight="1" x14ac:dyDescent="0.25"/>
    <row r="37" spans="4:6" ht="20.100000000000001" customHeight="1" x14ac:dyDescent="0.25"/>
    <row r="38" spans="4:6" ht="20.100000000000001" customHeight="1" x14ac:dyDescent="0.25"/>
    <row r="39" spans="4:6" ht="20.100000000000001" customHeight="1" x14ac:dyDescent="0.25"/>
    <row r="40" spans="4:6" ht="20.100000000000001" customHeight="1" x14ac:dyDescent="0.25"/>
    <row r="41" spans="4:6" ht="20.100000000000001" customHeight="1" x14ac:dyDescent="0.25"/>
    <row r="42" spans="4:6" ht="20.100000000000001" customHeight="1" x14ac:dyDescent="0.25"/>
    <row r="43" spans="4:6" ht="20.100000000000001" customHeight="1" x14ac:dyDescent="0.25"/>
    <row r="44" spans="4:6" ht="20.100000000000001" customHeight="1" x14ac:dyDescent="0.25"/>
    <row r="45" spans="4:6" ht="20.100000000000001" customHeight="1" x14ac:dyDescent="0.25"/>
    <row r="46" spans="4:6" ht="20.100000000000001" customHeight="1" x14ac:dyDescent="0.25"/>
    <row r="47" spans="4:6" ht="20.100000000000001" customHeight="1" x14ac:dyDescent="0.25"/>
    <row r="48" spans="4: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4" t="e" vm="1">
        <v>#VALUE!</v>
      </c>
      <c r="C1" s="8" t="s">
        <v>97</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D6" s="5" t="str" cm="1">
        <f t="array" ref="D6">SourceData_OtherLivestock.SourceData_OtherLivestock_EntericFermentationEmissionFactor_Source()</f>
        <v>VEERG 2026: Table A.1.5.1</v>
      </c>
      <c r="M6" s="1"/>
    </row>
    <row r="7" spans="1:21" ht="20.100000000000001" customHeight="1" x14ac:dyDescent="0.25">
      <c r="D7" s="1" t="str" cm="1">
        <f t="array" ref="D7">SourceData_OtherLivestock.SourceData_OtherLivestock_EntericFermentationEmissionFactor_Variable()</f>
        <v>Mj</v>
      </c>
      <c r="M7" s="1"/>
    </row>
    <row r="8" spans="1:21" ht="20.100000000000001" customHeight="1" x14ac:dyDescent="0.25">
      <c r="A8" s="19" t="s">
        <v>0</v>
      </c>
      <c r="D8" s="48" t="str" cm="1">
        <f t="array" ref="D8">SourceData_OtherLivestock.SourceData_OtherLivestock_EntericFermentationEmissionFactor_Unit()</f>
        <v>kg CH4 / head / year</v>
      </c>
      <c r="M8" s="1"/>
    </row>
    <row r="9" spans="1:21" ht="20.100000000000001" customHeight="1" x14ac:dyDescent="0.25">
      <c r="A9" s="17" t="str">
        <f>HYPERLINK("#'Input - Site'!A1", "Site")</f>
        <v>Site</v>
      </c>
      <c r="D9" s="34" t="s">
        <v>98</v>
      </c>
      <c r="E9" s="34" t="s">
        <v>99</v>
      </c>
      <c r="M9" s="1"/>
    </row>
    <row r="10" spans="1:21" ht="20.100000000000001" customHeight="1" x14ac:dyDescent="0.25">
      <c r="A10" s="17" t="str">
        <f>HYPERLINK("#'Input - Other Livestock'!A1", "Other Livestock")</f>
        <v>Other Livestock</v>
      </c>
      <c r="D10" s="34" t="str" cm="1">
        <f t="array" ref="D10">Common_InputFunctions.Utility_DisplayArrayInTable(SourceData_OtherLivestock.SourceData_OtherLivestock_EntericFermentationEmissionFactor_Data(),Table_SourceData_OtherLivestock_EntericEF[[#Headers],[Other livestock type]],0)</f>
        <v>Buffalo</v>
      </c>
      <c r="E10" s="34"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D11" s="1" t="str" cm="1">
        <f t="array" ref="D11">Common_InputFunctions.Utility_DisplayArrayInTable(SourceData_OtherLivestock.SourceData_OtherLivestock_EntericFermentationEmissionFactor_Data(),Table_SourceData_OtherLivestock_EntericEF[[#Headers],[Other livestock type]],0)</f>
        <v>Goats</v>
      </c>
      <c r="E11" s="34"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D12" s="1" t="str" cm="1">
        <f t="array" ref="D12">Common_InputFunctions.Utility_DisplayArrayInTable(SourceData_OtherLivestock.SourceData_OtherLivestock_EntericFermentationEmissionFactor_Data(),Table_SourceData_OtherLivestock_EntericEF[[#Headers],[Other livestock type]],0)</f>
        <v>Deer</v>
      </c>
      <c r="E12" s="34"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8" t="s">
        <v>51</v>
      </c>
      <c r="D13" s="1" t="str" cm="1">
        <f t="array" ref="D13">Common_InputFunctions.Utility_DisplayArrayInTable(SourceData_OtherLivestock.SourceData_OtherLivestock_EntericFermentationEmissionFactor_Data(),Table_SourceData_OtherLivestock_EntericEF[[#Headers],[Other livestock type]],0)</f>
        <v>Camels</v>
      </c>
      <c r="E13" s="34"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HYPERLINK("#'3.6.1.1-2 Enteric Methane'!A1", "3.6.1.1-2 Enteric Methane")</f>
        <v>3.6.1.1-2 Enteric Methane</v>
      </c>
      <c r="D14" s="1" t="str" cm="1">
        <f t="array" ref="D14">Common_InputFunctions.Utility_DisplayArrayInTable(SourceData_OtherLivestock.SourceData_OtherLivestock_EntericFermentationEmissionFactor_Data(),Table_SourceData_OtherLivestock_EntericEF[[#Headers],[Other livestock type]],0)</f>
        <v>Alpacas</v>
      </c>
      <c r="E14" s="34"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D15" s="1" t="str" cm="1">
        <f t="array" ref="D15">Common_InputFunctions.Utility_DisplayArrayInTable(SourceData_OtherLivestock.SourceData_OtherLivestock_EntericFermentationEmissionFactor_Data(),Table_SourceData_OtherLivestock_EntericEF[[#Headers],[Other livestock type]],0)</f>
        <v>Horses</v>
      </c>
      <c r="E15" s="34"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D16" s="1" t="str" cm="1">
        <f t="array" ref="D16">Common_InputFunctions.Utility_DisplayArrayInTable(SourceData_OtherLivestock.SourceData_OtherLivestock_EntericFermentationEmissionFactor_Data(),Table_SourceData_OtherLivestock_EntericEF[[#Headers],[Other livestock type]],0)</f>
        <v>Mules/asses</v>
      </c>
      <c r="E16" s="34"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04" t="s">
        <v>1</v>
      </c>
      <c r="D17" s="1" t="str" cm="1">
        <f t="array" ref="D17">Common_InputFunctions.Utility_DisplayArrayInTable(SourceData_OtherLivestock.SourceData_OtherLivestock_EntericFermentationEmissionFactor_Data(),Table_SourceData_OtherLivestock_EntericEF[[#Headers],[Other livestock type]],0)</f>
        <v>Emus/ostriches</v>
      </c>
      <c r="E17" s="34"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A18" s="55" t="str">
        <f>HYPERLINK("#'Constants - Other Livestock'!A1", "Constants - Other Livestock")</f>
        <v>Constants - Other Livestock</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HYPERLINK("#'Acknowledgements'!A1", "Acknowledgements")</f>
        <v>Acknowledgements</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t="str">
        <f>HYPERLINK("#'Tab template'!A1", "Tab template")</f>
        <v>Tab template</v>
      </c>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48" t="str" cm="1">
        <f t="array" ref="D23">SourceData_OtherLivestock.SourceData_OtherLivestock_VolatileSolidsProduced_Unit()</f>
        <v>kg VS / head / day</v>
      </c>
      <c r="M23" s="1"/>
    </row>
    <row r="24" spans="1:13" ht="20.100000000000001" customHeight="1" x14ac:dyDescent="0.25">
      <c r="D24" s="34" t="s">
        <v>98</v>
      </c>
      <c r="E24" s="34" t="s">
        <v>101</v>
      </c>
      <c r="M24" s="1"/>
    </row>
    <row r="25" spans="1:13" ht="20.100000000000001" customHeight="1" x14ac:dyDescent="0.25">
      <c r="D25" s="34" t="str" cm="1">
        <f t="array" ref="D25">Common_InputFunctions.Utility_DisplayArrayInTable(SourceData_OtherLivestock.SourceData_OtherLivestock_VolatileSolidsProduced_Data(),Table_SourceData_OtherLivestock_VolatileSolids[[#Headers],[Other livestock type]],0)</f>
        <v>Buffalo</v>
      </c>
      <c r="E25" s="34"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4" t="str" cm="1">
        <f t="array" ref="D26">Common_InputFunctions.Utility_DisplayArrayInTable(SourceData_OtherLivestock.SourceData_OtherLivestock_VolatileSolidsProduced_Data(),Table_SourceData_OtherLivestock_VolatileSolids[[#Headers],[Other livestock type]],0)</f>
        <v>Goats</v>
      </c>
      <c r="E26" s="34"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4" t="str" cm="1">
        <f t="array" ref="D27">Common_InputFunctions.Utility_DisplayArrayInTable(SourceData_OtherLivestock.SourceData_OtherLivestock_VolatileSolidsProduced_Data(),Table_SourceData_OtherLivestock_VolatileSolids[[#Headers],[Other livestock type]],0)</f>
        <v>Deer</v>
      </c>
      <c r="E27" s="34"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4" t="str" cm="1">
        <f t="array" ref="D28">Common_InputFunctions.Utility_DisplayArrayInTable(SourceData_OtherLivestock.SourceData_OtherLivestock_VolatileSolidsProduced_Data(),Table_SourceData_OtherLivestock_VolatileSolids[[#Headers],[Other livestock type]],0)</f>
        <v>Camels</v>
      </c>
      <c r="E28" s="34"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4" t="str" cm="1">
        <f t="array" ref="D29">Common_InputFunctions.Utility_DisplayArrayInTable(SourceData_OtherLivestock.SourceData_OtherLivestock_VolatileSolidsProduced_Data(),Table_SourceData_OtherLivestock_VolatileSolids[[#Headers],[Other livestock type]],0)</f>
        <v>Alpacas</v>
      </c>
      <c r="E29" s="34"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4" t="str" cm="1">
        <f t="array" ref="D30">Common_InputFunctions.Utility_DisplayArrayInTable(SourceData_OtherLivestock.SourceData_OtherLivestock_VolatileSolidsProduced_Data(),Table_SourceData_OtherLivestock_VolatileSolids[[#Headers],[Other livestock type]],0)</f>
        <v>Horses</v>
      </c>
      <c r="E30" s="34"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4" t="str" cm="1">
        <f t="array" ref="D31">Common_InputFunctions.Utility_DisplayArrayInTable(SourceData_OtherLivestock.SourceData_OtherLivestock_VolatileSolidsProduced_Data(),Table_SourceData_OtherLivestock_VolatileSolids[[#Headers],[Other livestock type]],0)</f>
        <v>Mules/asses</v>
      </c>
      <c r="E31" s="34"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4" t="str" cm="1">
        <f t="array" ref="D32">Common_InputFunctions.Utility_DisplayArrayInTable(SourceData_OtherLivestock.SourceData_OtherLivestock_VolatileSolidsProduced_Data(),Table_SourceData_OtherLivestock_VolatileSolids[[#Headers],[Other livestock type]],0)</f>
        <v>Emus/ostriches</v>
      </c>
      <c r="E32" s="34"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48" t="str" cm="1">
        <f t="array" ref="D38">SourceData_OtherLivestock.SourceData_OtherLivestock_NitrogenExcreted_Unit()</f>
        <v>kg N2O / head / year</v>
      </c>
      <c r="M38" s="1"/>
    </row>
    <row r="39" spans="4:13" ht="20.100000000000001" customHeight="1" x14ac:dyDescent="0.25">
      <c r="D39" s="34" t="s">
        <v>98</v>
      </c>
      <c r="E39" s="34" t="s">
        <v>100</v>
      </c>
      <c r="M39" s="1"/>
    </row>
    <row r="40" spans="4:13" ht="20.100000000000001" customHeight="1" x14ac:dyDescent="0.25">
      <c r="D40" s="34" t="str" cm="1">
        <f t="array" ref="D40">Common_InputFunctions.Utility_DisplayArrayInTable(SourceData_OtherLivestock.SourceData_OtherLivestock_NitrogenExcreted_Data(),Table_SourceData_OtherLivestock_NitrogenExcreted[[#Headers],[Other livestock type]],0)</f>
        <v>Buffalo</v>
      </c>
      <c r="E40" s="34"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4" t="str" cm="1">
        <f t="array" ref="D41">Common_InputFunctions.Utility_DisplayArrayInTable(SourceData_OtherLivestock.SourceData_OtherLivestock_NitrogenExcreted_Data(),Table_SourceData_OtherLivestock_NitrogenExcreted[[#Headers],[Other livestock type]],0)</f>
        <v>Goats</v>
      </c>
      <c r="E41" s="34"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4" t="str" cm="1">
        <f t="array" ref="D42">Common_InputFunctions.Utility_DisplayArrayInTable(SourceData_OtherLivestock.SourceData_OtherLivestock_NitrogenExcreted_Data(),Table_SourceData_OtherLivestock_NitrogenExcreted[[#Headers],[Other livestock type]],0)</f>
        <v>Deer</v>
      </c>
      <c r="E42" s="34"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4" t="str" cm="1">
        <f t="array" ref="D43">Common_InputFunctions.Utility_DisplayArrayInTable(SourceData_OtherLivestock.SourceData_OtherLivestock_NitrogenExcreted_Data(),Table_SourceData_OtherLivestock_NitrogenExcreted[[#Headers],[Other livestock type]],0)</f>
        <v>Camels</v>
      </c>
      <c r="E43" s="34"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4" t="str" cm="1">
        <f t="array" ref="D44">Common_InputFunctions.Utility_DisplayArrayInTable(SourceData_OtherLivestock.SourceData_OtherLivestock_NitrogenExcreted_Data(),Table_SourceData_OtherLivestock_NitrogenExcreted[[#Headers],[Other livestock type]],0)</f>
        <v>Alpacas</v>
      </c>
      <c r="E44" s="34"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4" t="str" cm="1">
        <f t="array" ref="D45">Common_InputFunctions.Utility_DisplayArrayInTable(SourceData_OtherLivestock.SourceData_OtherLivestock_NitrogenExcreted_Data(),Table_SourceData_OtherLivestock_NitrogenExcreted[[#Headers],[Other livestock type]],0)</f>
        <v>Horses</v>
      </c>
      <c r="E45" s="34"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4" t="str" cm="1">
        <f t="array" ref="D46">Common_InputFunctions.Utility_DisplayArrayInTable(SourceData_OtherLivestock.SourceData_OtherLivestock_NitrogenExcreted_Data(),Table_SourceData_OtherLivestock_NitrogenExcreted[[#Headers],[Other livestock type]],0)</f>
        <v>Mules/asses</v>
      </c>
      <c r="E46" s="34"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4" t="str" cm="1">
        <f t="array" ref="D47">Common_InputFunctions.Utility_DisplayArrayInTable(SourceData_OtherLivestock.SourceData_OtherLivestock_NitrogenExcreted_Data(),Table_SourceData_OtherLivestock_NitrogenExcreted[[#Headers],[Other livestock type]],0)</f>
        <v>Emus/ostriches</v>
      </c>
      <c r="E47" s="34"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48" t="str" cm="1">
        <f t="array" ref="D53">SourceData_OtherLivestock.SourceData_OtherLivestock_AverageLiveweight_Unit()</f>
        <v>kg</v>
      </c>
      <c r="M53" s="1"/>
    </row>
    <row r="54" spans="4:13" ht="20.100000000000001" customHeight="1" x14ac:dyDescent="0.25">
      <c r="D54" s="34" t="s">
        <v>98</v>
      </c>
      <c r="E54" s="34" t="s">
        <v>102</v>
      </c>
      <c r="F54" s="34" t="s">
        <v>103</v>
      </c>
      <c r="M54" s="1"/>
    </row>
    <row r="55" spans="4:13" ht="20.100000000000001" customHeight="1" x14ac:dyDescent="0.25">
      <c r="D55" s="34" t="str" cm="1">
        <f t="array" ref="D55">Common_InputFunctions.Utility_DisplayArrayInTable(SourceData_OtherLivestock.SourceData_OtherLivestock_AverageLiveweight_Data(),Table_SourceData_OtherLivestock_AverageLiveweight[[#Headers],[Other livestock type]],0)</f>
        <v>Buffalo</v>
      </c>
      <c r="E55" s="34" cm="1">
        <f t="array" ref="E55">Common_InputFunctions.Utility_DisplayArrayInTable(SourceData_OtherLivestock.SourceData_OtherLivestock_AverageLiveweight_Data(),Table_SourceData_OtherLivestock_AverageLiveweight[[#Headers],[Other livestock type]],0)</f>
        <v>336</v>
      </c>
      <c r="F55" s="34"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4" t="str" cm="1">
        <f t="array" ref="D56">Common_InputFunctions.Utility_DisplayArrayInTable(SourceData_OtherLivestock.SourceData_OtherLivestock_AverageLiveweight_Data(),Table_SourceData_OtherLivestock_AverageLiveweight[[#Headers],[Other livestock type]],0)</f>
        <v>Goats</v>
      </c>
      <c r="E56" s="34" cm="1">
        <f t="array" ref="E56">Common_InputFunctions.Utility_DisplayArrayInTable(SourceData_OtherLivestock.SourceData_OtherLivestock_AverageLiveweight_Data(),Table_SourceData_OtherLivestock_AverageLiveweight[[#Headers],[Other livestock type]],0)</f>
        <v>33</v>
      </c>
      <c r="F56" s="34"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4" t="str" cm="1">
        <f t="array" ref="D57">Common_InputFunctions.Utility_DisplayArrayInTable(SourceData_OtherLivestock.SourceData_OtherLivestock_AverageLiveweight_Data(),Table_SourceData_OtherLivestock_AverageLiveweight[[#Headers],[Other livestock type]],0)</f>
        <v>Goats</v>
      </c>
      <c r="E57" s="34" cm="1">
        <f t="array" ref="E57">Common_InputFunctions.Utility_DisplayArrayInTable(SourceData_OtherLivestock.SourceData_OtherLivestock_AverageLiveweight_Data(),Table_SourceData_OtherLivestock_AverageLiveweight[[#Headers],[Other livestock type]],0)</f>
        <v>33</v>
      </c>
      <c r="F57" s="34"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4" t="str" cm="1">
        <f t="array" ref="D58">Common_InputFunctions.Utility_DisplayArrayInTable(SourceData_OtherLivestock.SourceData_OtherLivestock_AverageLiveweight_Data(),Table_SourceData_OtherLivestock_AverageLiveweight[[#Headers],[Other livestock type]],0)</f>
        <v>Deer</v>
      </c>
      <c r="E58" s="34" cm="1">
        <f t="array" ref="E58">Common_InputFunctions.Utility_DisplayArrayInTable(SourceData_OtherLivestock.SourceData_OtherLivestock_AverageLiveweight_Data(),Table_SourceData_OtherLivestock_AverageLiveweight[[#Headers],[Other livestock type]],0)</f>
        <v>120</v>
      </c>
      <c r="F58" s="34"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4" t="str" cm="1">
        <f t="array" ref="D59">Common_InputFunctions.Utility_DisplayArrayInTable(SourceData_OtherLivestock.SourceData_OtherLivestock_AverageLiveweight_Data(),Table_SourceData_OtherLivestock_AverageLiveweight[[#Headers],[Other livestock type]],0)</f>
        <v>Camels</v>
      </c>
      <c r="E59" s="34" cm="1">
        <f t="array" ref="E59">Common_InputFunctions.Utility_DisplayArrayInTable(SourceData_OtherLivestock.SourceData_OtherLivestock_AverageLiveweight_Data(),Table_SourceData_OtherLivestock_AverageLiveweight[[#Headers],[Other livestock type]],0)</f>
        <v>217</v>
      </c>
      <c r="F59" s="34"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4" t="str" cm="1">
        <f t="array" ref="D60">Common_InputFunctions.Utility_DisplayArrayInTable(SourceData_OtherLivestock.SourceData_OtherLivestock_AverageLiveweight_Data(),Table_SourceData_OtherLivestock_AverageLiveweight[[#Headers],[Other livestock type]],0)</f>
        <v>Alpacas</v>
      </c>
      <c r="E60" s="34" t="str" cm="1">
        <f t="array" ref="E60">Common_InputFunctions.Utility_DisplayArrayInTable(SourceData_OtherLivestock.SourceData_OtherLivestock_AverageLiveweight_Data(),Table_SourceData_OtherLivestock_AverageLiveweight[[#Headers],[Other livestock type]],0)</f>
        <v>-</v>
      </c>
      <c r="F60" s="34"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4" t="str" cm="1">
        <f t="array" ref="D61">Common_InputFunctions.Utility_DisplayArrayInTable(SourceData_OtherLivestock.SourceData_OtherLivestock_AverageLiveweight_Data(),Table_SourceData_OtherLivestock_AverageLiveweight[[#Headers],[Other livestock type]],0)</f>
        <v>Horses</v>
      </c>
      <c r="E61" s="34" cm="1">
        <f t="array" ref="E61">Common_InputFunctions.Utility_DisplayArrayInTable(SourceData_OtherLivestock.SourceData_OtherLivestock_AverageLiveweight_Data(),Table_SourceData_OtherLivestock_AverageLiveweight[[#Headers],[Other livestock type]],0)</f>
        <v>377</v>
      </c>
      <c r="F61" s="34"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4" t="str" cm="1">
        <f t="array" ref="D62">Common_InputFunctions.Utility_DisplayArrayInTable(SourceData_OtherLivestock.SourceData_OtherLivestock_AverageLiveweight_Data(),Table_SourceData_OtherLivestock_AverageLiveweight[[#Headers],[Other livestock type]],0)</f>
        <v>Mules/asses</v>
      </c>
      <c r="E62" s="34" cm="1">
        <f t="array" ref="E62">Common_InputFunctions.Utility_DisplayArrayInTable(SourceData_OtherLivestock.SourceData_OtherLivestock_AverageLiveweight_Data(),Table_SourceData_OtherLivestock_AverageLiveweight[[#Headers],[Other livestock type]],0)</f>
        <v>130</v>
      </c>
      <c r="F62" s="34"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4" t="str" cm="1">
        <f t="array" ref="D63">Common_InputFunctions.Utility_DisplayArrayInTable(SourceData_OtherLivestock.SourceData_OtherLivestock_AverageLiveweight_Data(),Table_SourceData_OtherLivestock_AverageLiveweight[[#Headers],[Other livestock type]],0)</f>
        <v>Emus/ostriches</v>
      </c>
      <c r="E63" s="34" cm="1">
        <f t="array" ref="E63">Common_InputFunctions.Utility_DisplayArrayInTable(SourceData_OtherLivestock.SourceData_OtherLivestock_AverageLiveweight_Data(),Table_SourceData_OtherLivestock_AverageLiveweight[[#Headers],[Other livestock type]],0)</f>
        <v>120</v>
      </c>
      <c r="F63" s="34"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4" t="str" cm="1">
        <f t="array" ref="D64">Common_InputFunctions.Utility_DisplayArrayInTable(SourceData_OtherLivestock.SourceData_OtherLivestock_AverageLiveweight_Data(),Table_SourceData_OtherLivestock_AverageLiveweight[[#Headers],[Other livestock type]],0)</f>
        <v>Reference</v>
      </c>
      <c r="E64" s="34" t="str" cm="1">
        <f t="array" ref="E64">Common_InputFunctions.Utility_DisplayArrayInTable(SourceData_OtherLivestock.SourceData_OtherLivestock_AverageLiveweight_Data(),Table_SourceData_OtherLivestock_AverageLiveweight[[#Headers],[Other livestock type]],0)</f>
        <v>IPCC 2019 Table 10A.5 [2]</v>
      </c>
      <c r="F64" s="34"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48" t="str" cm="1">
        <f t="array" ref="D70">SourceData_OtherLivestock.SourceData_OtherLivestock_FractionWasteInMMS_Unit()</f>
        <v>fraction</v>
      </c>
      <c r="M70" s="1"/>
    </row>
    <row r="71" spans="4:13" ht="20.100000000000001" customHeight="1" x14ac:dyDescent="0.25">
      <c r="D71" s="34" t="s">
        <v>98</v>
      </c>
      <c r="E71" s="34" t="s">
        <v>92</v>
      </c>
      <c r="F71" s="45" t="s">
        <v>104</v>
      </c>
      <c r="M71" s="1"/>
    </row>
    <row r="72" spans="4:13" ht="20.100000000000001" customHeight="1" x14ac:dyDescent="0.25">
      <c r="D72" s="34" t="str" cm="1">
        <f t="array" ref="D72">Common_InputFunctions.Utility_DisplayArrayInTable(SourceData_OtherLivestock.SourceData_OtherLivestock_FractionWasteInMMS_Data(),Table_SourceData_OtherLivestock_FractionWasteInMMS[[#Headers],[Other livestock type]],0)</f>
        <v>ACT</v>
      </c>
      <c r="E72" s="34" cm="1">
        <f t="array" ref="E72">Common_InputFunctions.Utility_DisplayArrayInTable(SourceData_OtherLivestock.SourceData_OtherLivestock_FractionWasteInMMS_Data(),Table_SourceData_OtherLivestock_FractionWasteInMMS[[#Headers],[Other livestock type]],0)</f>
        <v>99.66</v>
      </c>
      <c r="F72" s="34"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4" t="str" cm="1">
        <f t="array" ref="D73">Common_InputFunctions.Utility_DisplayArrayInTable(SourceData_OtherLivestock.SourceData_OtherLivestock_FractionWasteInMMS_Data(),Table_SourceData_OtherLivestock_FractionWasteInMMS[[#Headers],[Other livestock type]],0)</f>
        <v>NSW</v>
      </c>
      <c r="E73" s="34" cm="1">
        <f t="array" ref="E73">Common_InputFunctions.Utility_DisplayArrayInTable(SourceData_OtherLivestock.SourceData_OtherLivestock_FractionWasteInMMS_Data(),Table_SourceData_OtherLivestock_FractionWasteInMMS[[#Headers],[Other livestock type]],0)</f>
        <v>99.66</v>
      </c>
      <c r="F73" s="34"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4" t="str" cm="1">
        <f t="array" ref="D74">Common_InputFunctions.Utility_DisplayArrayInTable(SourceData_OtherLivestock.SourceData_OtherLivestock_FractionWasteInMMS_Data(),Table_SourceData_OtherLivestock_FractionWasteInMMS[[#Headers],[Other livestock type]],0)</f>
        <v>NT</v>
      </c>
      <c r="E74" s="34" cm="1">
        <f t="array" ref="E74">Common_InputFunctions.Utility_DisplayArrayInTable(SourceData_OtherLivestock.SourceData_OtherLivestock_FractionWasteInMMS_Data(),Table_SourceData_OtherLivestock_FractionWasteInMMS[[#Headers],[Other livestock type]],0)</f>
        <v>99.66</v>
      </c>
      <c r="F74" s="34"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4" t="str" cm="1">
        <f t="array" ref="D75">Common_InputFunctions.Utility_DisplayArrayInTable(SourceData_OtherLivestock.SourceData_OtherLivestock_FractionWasteInMMS_Data(),Table_SourceData_OtherLivestock_FractionWasteInMMS[[#Headers],[Other livestock type]],0)</f>
        <v>QLD</v>
      </c>
      <c r="E75" s="34" cm="1">
        <f t="array" ref="E75">Common_InputFunctions.Utility_DisplayArrayInTable(SourceData_OtherLivestock.SourceData_OtherLivestock_FractionWasteInMMS_Data(),Table_SourceData_OtherLivestock_FractionWasteInMMS[[#Headers],[Other livestock type]],0)</f>
        <v>99.66</v>
      </c>
      <c r="F75" s="34"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4" t="str" cm="1">
        <f t="array" ref="D76">Common_InputFunctions.Utility_DisplayArrayInTable(SourceData_OtherLivestock.SourceData_OtherLivestock_FractionWasteInMMS_Data(),Table_SourceData_OtherLivestock_FractionWasteInMMS[[#Headers],[Other livestock type]],0)</f>
        <v>SA</v>
      </c>
      <c r="E76" s="34" cm="1">
        <f t="array" ref="E76">Common_InputFunctions.Utility_DisplayArrayInTable(SourceData_OtherLivestock.SourceData_OtherLivestock_FractionWasteInMMS_Data(),Table_SourceData_OtherLivestock_FractionWasteInMMS[[#Headers],[Other livestock type]],0)</f>
        <v>99.66</v>
      </c>
      <c r="F76" s="34"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4" t="str" cm="1">
        <f t="array" ref="D77">Common_InputFunctions.Utility_DisplayArrayInTable(SourceData_OtherLivestock.SourceData_OtherLivestock_FractionWasteInMMS_Data(),Table_SourceData_OtherLivestock_FractionWasteInMMS[[#Headers],[Other livestock type]],0)</f>
        <v>TAS</v>
      </c>
      <c r="E77" s="34" cm="1">
        <f t="array" ref="E77">Common_InputFunctions.Utility_DisplayArrayInTable(SourceData_OtherLivestock.SourceData_OtherLivestock_FractionWasteInMMS_Data(),Table_SourceData_OtherLivestock_FractionWasteInMMS[[#Headers],[Other livestock type]],0)</f>
        <v>99.66</v>
      </c>
      <c r="F77" s="34"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4" t="str" cm="1">
        <f t="array" ref="D78">Common_InputFunctions.Utility_DisplayArrayInTable(SourceData_OtherLivestock.SourceData_OtherLivestock_FractionWasteInMMS_Data(),Table_SourceData_OtherLivestock_FractionWasteInMMS[[#Headers],[Other livestock type]],0)</f>
        <v>VIC</v>
      </c>
      <c r="E78" s="34" cm="1">
        <f t="array" ref="E78">Common_InputFunctions.Utility_DisplayArrayInTable(SourceData_OtherLivestock.SourceData_OtherLivestock_FractionWasteInMMS_Data(),Table_SourceData_OtherLivestock_FractionWasteInMMS[[#Headers],[Other livestock type]],0)</f>
        <v>99.66</v>
      </c>
      <c r="F78" s="34"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4" t="str" cm="1">
        <f t="array" ref="D79">Common_InputFunctions.Utility_DisplayArrayInTable(SourceData_OtherLivestock.SourceData_OtherLivestock_FractionWasteInMMS_Data(),Table_SourceData_OtherLivestock_FractionWasteInMMS[[#Headers],[Other livestock type]],0)</f>
        <v>WA</v>
      </c>
      <c r="E79" s="34" cm="1">
        <f t="array" ref="E79">Common_InputFunctions.Utility_DisplayArrayInTable(SourceData_OtherLivestock.SourceData_OtherLivestock_FractionWasteInMMS_Data(),Table_SourceData_OtherLivestock_FractionWasteInMMS[[#Headers],[Other livestock type]],0)</f>
        <v>99.66</v>
      </c>
      <c r="F79" s="34"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48" t="str" cm="1">
        <f t="array" ref="D85">SourceData_OtherLivestock.SourceData_OtherLivestock_MethaneConversionFactor_Unit()</f>
        <v>fraction</v>
      </c>
      <c r="M85" s="1"/>
    </row>
    <row r="86" spans="4:13" ht="20.100000000000001" customHeight="1" x14ac:dyDescent="0.25">
      <c r="D86" s="34" t="s">
        <v>98</v>
      </c>
      <c r="E86" s="34" t="s">
        <v>92</v>
      </c>
      <c r="F86" s="45" t="s">
        <v>104</v>
      </c>
      <c r="M86" s="1"/>
    </row>
    <row r="87" spans="4:13" ht="20.100000000000001" customHeight="1" x14ac:dyDescent="0.25">
      <c r="D87" s="34" t="str" cm="1">
        <f t="array" ref="D87">Common_InputFunctions.Utility_DisplayArrayInTable(SourceData_OtherLivestock.SourceData_OtherLivestock_MethaneConversionFactor_Data(),Table_SourceData_OtherLivestock_MCF[[#Headers],[Other livestock type]],0)</f>
        <v>ACT</v>
      </c>
      <c r="E87" s="34" cm="1">
        <f t="array" ref="E87">Common_InputFunctions.Utility_DisplayArrayInTable(SourceData_OtherLivestock.SourceData_OtherLivestock_MethaneConversionFactor_Data(),Table_SourceData_OtherLivestock_MCF[[#Headers],[Other livestock type]],0)</f>
        <v>4.7000000000000002E-3</v>
      </c>
      <c r="F87" s="34"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4" t="str" cm="1">
        <f t="array" ref="D88">Common_InputFunctions.Utility_DisplayArrayInTable(SourceData_OtherLivestock.SourceData_OtherLivestock_MethaneConversionFactor_Data(),Table_SourceData_OtherLivestock_MCF[[#Headers],[Other livestock type]],0)</f>
        <v>NSW</v>
      </c>
      <c r="E88" s="34" cm="1">
        <f t="array" ref="E88">Common_InputFunctions.Utility_DisplayArrayInTable(SourceData_OtherLivestock.SourceData_OtherLivestock_MethaneConversionFactor_Data(),Table_SourceData_OtherLivestock_MCF[[#Headers],[Other livestock type]],0)</f>
        <v>4.7000000000000002E-3</v>
      </c>
      <c r="F88" s="34"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4" t="str" cm="1">
        <f t="array" ref="D89">Common_InputFunctions.Utility_DisplayArrayInTable(SourceData_OtherLivestock.SourceData_OtherLivestock_MethaneConversionFactor_Data(),Table_SourceData_OtherLivestock_MCF[[#Headers],[Other livestock type]],0)</f>
        <v>NT</v>
      </c>
      <c r="E89" s="34" cm="1">
        <f t="array" ref="E89">Common_InputFunctions.Utility_DisplayArrayInTable(SourceData_OtherLivestock.SourceData_OtherLivestock_MethaneConversionFactor_Data(),Table_SourceData_OtherLivestock_MCF[[#Headers],[Other livestock type]],0)</f>
        <v>4.7000000000000002E-3</v>
      </c>
      <c r="F89" s="34"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4" t="str" cm="1">
        <f t="array" ref="D90">Common_InputFunctions.Utility_DisplayArrayInTable(SourceData_OtherLivestock.SourceData_OtherLivestock_MethaneConversionFactor_Data(),Table_SourceData_OtherLivestock_MCF[[#Headers],[Other livestock type]],0)</f>
        <v>QLD</v>
      </c>
      <c r="E90" s="34" cm="1">
        <f t="array" ref="E90">Common_InputFunctions.Utility_DisplayArrayInTable(SourceData_OtherLivestock.SourceData_OtherLivestock_MethaneConversionFactor_Data(),Table_SourceData_OtherLivestock_MCF[[#Headers],[Other livestock type]],0)</f>
        <v>4.7000000000000002E-3</v>
      </c>
      <c r="F90" s="34"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4" t="str" cm="1">
        <f t="array" ref="D91">Common_InputFunctions.Utility_DisplayArrayInTable(SourceData_OtherLivestock.SourceData_OtherLivestock_MethaneConversionFactor_Data(),Table_SourceData_OtherLivestock_MCF[[#Headers],[Other livestock type]],0)</f>
        <v>SA</v>
      </c>
      <c r="E91" s="34" cm="1">
        <f t="array" ref="E91">Common_InputFunctions.Utility_DisplayArrayInTable(SourceData_OtherLivestock.SourceData_OtherLivestock_MethaneConversionFactor_Data(),Table_SourceData_OtherLivestock_MCF[[#Headers],[Other livestock type]],0)</f>
        <v>4.7000000000000002E-3</v>
      </c>
      <c r="F91" s="34"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4" t="str" cm="1">
        <f t="array" ref="D92">Common_InputFunctions.Utility_DisplayArrayInTable(SourceData_OtherLivestock.SourceData_OtherLivestock_MethaneConversionFactor_Data(),Table_SourceData_OtherLivestock_MCF[[#Headers],[Other livestock type]],0)</f>
        <v>TAS</v>
      </c>
      <c r="E92" s="34" cm="1">
        <f t="array" ref="E92">Common_InputFunctions.Utility_DisplayArrayInTable(SourceData_OtherLivestock.SourceData_OtherLivestock_MethaneConversionFactor_Data(),Table_SourceData_OtherLivestock_MCF[[#Headers],[Other livestock type]],0)</f>
        <v>4.7000000000000002E-3</v>
      </c>
      <c r="F92" s="34"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4" t="str" cm="1">
        <f t="array" ref="D93">Common_InputFunctions.Utility_DisplayArrayInTable(SourceData_OtherLivestock.SourceData_OtherLivestock_MethaneConversionFactor_Data(),Table_SourceData_OtherLivestock_MCF[[#Headers],[Other livestock type]],0)</f>
        <v>VIC</v>
      </c>
      <c r="E93" s="34" cm="1">
        <f t="array" ref="E93">Common_InputFunctions.Utility_DisplayArrayInTable(SourceData_OtherLivestock.SourceData_OtherLivestock_MethaneConversionFactor_Data(),Table_SourceData_OtherLivestock_MCF[[#Headers],[Other livestock type]],0)</f>
        <v>4.7000000000000002E-3</v>
      </c>
      <c r="F93" s="34"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4" t="str" cm="1">
        <f t="array" ref="D94">Common_InputFunctions.Utility_DisplayArrayInTable(SourceData_OtherLivestock.SourceData_OtherLivestock_MethaneConversionFactor_Data(),Table_SourceData_OtherLivestock_MCF[[#Headers],[Other livestock type]],0)</f>
        <v>WA</v>
      </c>
      <c r="E94" s="34" cm="1">
        <f t="array" ref="E94">Common_InputFunctions.Utility_DisplayArrayInTable(SourceData_OtherLivestock.SourceData_OtherLivestock_MethaneConversionFactor_Data(),Table_SourceData_OtherLivestock_MCF[[#Headers],[Other livestock type]],0)</f>
        <v>4.7000000000000002E-3</v>
      </c>
      <c r="F94" s="34"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13:13" ht="20.100000000000001" customHeight="1" x14ac:dyDescent="0.25">
      <c r="M97" s="1"/>
    </row>
    <row r="98" spans="13:13" ht="20.100000000000001" customHeight="1" x14ac:dyDescent="0.25">
      <c r="M98" s="1"/>
    </row>
    <row r="99" spans="13:13" ht="20.100000000000001" customHeight="1" x14ac:dyDescent="0.25">
      <c r="M99" s="1"/>
    </row>
    <row r="100" spans="13:13" ht="20.100000000000001" customHeight="1" x14ac:dyDescent="0.25">
      <c r="M100" s="1"/>
    </row>
    <row r="101" spans="13:13" ht="20.100000000000001" customHeight="1" x14ac:dyDescent="0.25">
      <c r="M101" s="1"/>
    </row>
    <row r="102" spans="13:13" ht="20.100000000000001" customHeight="1" x14ac:dyDescent="0.25">
      <c r="M102" s="1"/>
    </row>
    <row r="103" spans="13:13" ht="20.100000000000001" customHeight="1" x14ac:dyDescent="0.25">
      <c r="M103" s="1"/>
    </row>
    <row r="104" spans="13:13" ht="20.100000000000001" customHeight="1" x14ac:dyDescent="0.25">
      <c r="M104" s="1"/>
    </row>
    <row r="105" spans="13:13" ht="20.100000000000001" customHeight="1" x14ac:dyDescent="0.25">
      <c r="M105" s="1"/>
    </row>
    <row r="106" spans="13:13" ht="20.100000000000001" customHeight="1" x14ac:dyDescent="0.25">
      <c r="M106" s="1"/>
    </row>
    <row r="107" spans="13:13" ht="20.100000000000001" customHeight="1" x14ac:dyDescent="0.25">
      <c r="M107" s="1"/>
    </row>
    <row r="108" spans="13:13" ht="20.100000000000001" customHeight="1" x14ac:dyDescent="0.25">
      <c r="M108" s="1"/>
    </row>
    <row r="109" spans="13:13" ht="20.100000000000001" customHeight="1" x14ac:dyDescent="0.25">
      <c r="M109" s="1"/>
    </row>
    <row r="110" spans="13:13" ht="20.100000000000001" customHeight="1" x14ac:dyDescent="0.25">
      <c r="M110" s="1"/>
    </row>
    <row r="111" spans="13:13" ht="20.100000000000001" customHeight="1" x14ac:dyDescent="0.25">
      <c r="M111" s="1"/>
    </row>
    <row r="112" spans="13:13" ht="20.100000000000001" customHeight="1" x14ac:dyDescent="0.25">
      <c r="M112" s="1"/>
    </row>
    <row r="113" spans="13:22" ht="20.100000000000001" customHeight="1" x14ac:dyDescent="0.25">
      <c r="M113" s="1"/>
    </row>
    <row r="114" spans="13:22" ht="20.100000000000001" customHeight="1" x14ac:dyDescent="0.25">
      <c r="M114" s="1"/>
    </row>
    <row r="115" spans="13:22" ht="20.100000000000001" customHeight="1" x14ac:dyDescent="0.25">
      <c r="M115" s="1"/>
      <c r="V115" s="1"/>
    </row>
    <row r="116" spans="13:22" ht="20.100000000000001" customHeight="1" x14ac:dyDescent="0.25">
      <c r="M116" s="1"/>
      <c r="V116" s="1"/>
    </row>
    <row r="117" spans="13:22" ht="20.100000000000001" customHeight="1" x14ac:dyDescent="0.25">
      <c r="M117" s="1"/>
      <c r="V117" s="1"/>
    </row>
    <row r="118" spans="13:22" ht="20.100000000000001" customHeight="1" x14ac:dyDescent="0.25">
      <c r="M118" s="1"/>
    </row>
    <row r="119" spans="13:22" ht="20.100000000000001" customHeight="1" x14ac:dyDescent="0.25">
      <c r="M119" s="1"/>
    </row>
    <row r="120" spans="13:22" ht="20.100000000000001" customHeight="1" x14ac:dyDescent="0.25">
      <c r="M120" s="1"/>
    </row>
    <row r="121" spans="13:22" ht="20.100000000000001" customHeight="1" x14ac:dyDescent="0.25">
      <c r="M121" s="1"/>
    </row>
    <row r="122" spans="13:22" ht="20.100000000000001" customHeight="1" x14ac:dyDescent="0.25">
      <c r="M122" s="1"/>
    </row>
    <row r="123" spans="13:22" ht="20.100000000000001" customHeight="1" x14ac:dyDescent="0.25">
      <c r="M123" s="1"/>
    </row>
    <row r="124" spans="13:22" ht="20.100000000000001" customHeight="1" x14ac:dyDescent="0.25">
      <c r="M124" s="21"/>
    </row>
    <row r="125" spans="13:22" ht="20.100000000000001" customHeight="1" x14ac:dyDescent="0.25">
      <c r="M125" s="21"/>
    </row>
    <row r="126" spans="13:22" ht="20.100000000000001" customHeight="1" x14ac:dyDescent="0.25">
      <c r="M126" s="21"/>
    </row>
    <row r="127" spans="13:22" ht="20.100000000000001" customHeight="1" x14ac:dyDescent="0.25">
      <c r="M127" s="21"/>
    </row>
    <row r="128" spans="13:22" ht="20.100000000000001" customHeight="1" x14ac:dyDescent="0.25">
      <c r="M128" s="21"/>
    </row>
    <row r="129" spans="13:13" ht="20.100000000000001" customHeight="1" x14ac:dyDescent="0.25">
      <c r="M129" s="21"/>
    </row>
    <row r="130" spans="13:13" ht="20.100000000000001" customHeight="1" x14ac:dyDescent="0.25">
      <c r="M130" s="21"/>
    </row>
    <row r="131" spans="13:13" ht="20.100000000000001" customHeight="1" x14ac:dyDescent="0.25">
      <c r="M131" s="21"/>
    </row>
    <row r="132" spans="13:13" ht="20.100000000000001" customHeight="1" x14ac:dyDescent="0.25">
      <c r="M132" s="21"/>
    </row>
    <row r="133" spans="13:13" ht="20.100000000000001" customHeight="1" x14ac:dyDescent="0.25">
      <c r="M133" s="21"/>
    </row>
    <row r="134" spans="13:13" ht="20.100000000000001" customHeight="1" x14ac:dyDescent="0.25">
      <c r="M134" s="21"/>
    </row>
    <row r="135" spans="13:13" ht="20.100000000000001" customHeight="1" x14ac:dyDescent="0.25">
      <c r="M135" s="21"/>
    </row>
    <row r="136" spans="13:13" ht="20.100000000000001" customHeight="1" x14ac:dyDescent="0.25">
      <c r="M136" s="21"/>
    </row>
    <row r="137" spans="13:13" ht="20.100000000000001" customHeight="1" x14ac:dyDescent="0.25">
      <c r="M137" s="21"/>
    </row>
    <row r="138" spans="13:13" ht="20.100000000000001" customHeight="1" x14ac:dyDescent="0.25">
      <c r="M138" s="21"/>
    </row>
    <row r="139" spans="13:13" ht="20.100000000000001" customHeight="1" x14ac:dyDescent="0.25">
      <c r="M139" s="21"/>
    </row>
    <row r="140" spans="13:13" ht="20.100000000000001" customHeight="1" x14ac:dyDescent="0.25">
      <c r="M140" s="21"/>
    </row>
    <row r="141" spans="13:13" ht="20.100000000000001" customHeight="1" x14ac:dyDescent="0.25">
      <c r="M141" s="21"/>
    </row>
    <row r="142" spans="13:13" ht="20.100000000000001" customHeight="1" x14ac:dyDescent="0.25">
      <c r="M142" s="21"/>
    </row>
    <row r="143" spans="13:13" ht="20.100000000000001" customHeight="1" x14ac:dyDescent="0.25">
      <c r="M143" s="21"/>
    </row>
    <row r="144" spans="13:13" ht="20.100000000000001" customHeight="1" x14ac:dyDescent="0.25">
      <c r="M144" s="21"/>
    </row>
    <row r="145" spans="13:13" ht="20.100000000000001" customHeight="1" x14ac:dyDescent="0.25">
      <c r="M145" s="21"/>
    </row>
    <row r="146" spans="13:13" ht="20.100000000000001" customHeight="1" x14ac:dyDescent="0.25">
      <c r="M146" s="21"/>
    </row>
    <row r="147" spans="13:13" ht="20.100000000000001" customHeight="1" x14ac:dyDescent="0.25">
      <c r="M147" s="21"/>
    </row>
    <row r="148" spans="13:13" ht="20.100000000000001" customHeight="1" x14ac:dyDescent="0.25">
      <c r="M148" s="21"/>
    </row>
    <row r="149" spans="13:13" ht="20.100000000000001" customHeight="1" x14ac:dyDescent="0.25">
      <c r="M149" s="21"/>
    </row>
    <row r="150" spans="13:13" ht="20.100000000000001" customHeight="1" x14ac:dyDescent="0.25">
      <c r="M150" s="21"/>
    </row>
    <row r="151" spans="13:13" ht="20.100000000000001" customHeight="1" x14ac:dyDescent="0.25">
      <c r="M151" s="21"/>
    </row>
    <row r="152" spans="13:13" ht="20.100000000000001" customHeight="1" x14ac:dyDescent="0.25">
      <c r="M152" s="21"/>
    </row>
    <row r="153" spans="13:13" ht="20.100000000000001" customHeight="1" x14ac:dyDescent="0.25">
      <c r="M153" s="21"/>
    </row>
    <row r="154" spans="13:13" ht="20.100000000000001" customHeight="1" x14ac:dyDescent="0.25">
      <c r="M154" s="21"/>
    </row>
    <row r="155" spans="13:13" ht="20.100000000000001" customHeight="1" x14ac:dyDescent="0.25">
      <c r="M155" s="21"/>
    </row>
    <row r="156" spans="13:13" ht="20.100000000000001" customHeight="1" x14ac:dyDescent="0.25">
      <c r="M156" s="21"/>
    </row>
    <row r="157" spans="13:13" ht="20.100000000000001" customHeight="1" x14ac:dyDescent="0.25">
      <c r="M157" s="21"/>
    </row>
    <row r="158" spans="13:13" ht="20.100000000000001" customHeight="1" x14ac:dyDescent="0.25">
      <c r="M158" s="21"/>
    </row>
    <row r="159" spans="13:13" ht="20.100000000000001" customHeight="1" x14ac:dyDescent="0.25">
      <c r="M159" s="21"/>
    </row>
    <row r="160" spans="13:13" ht="20.100000000000001" customHeight="1" x14ac:dyDescent="0.25">
      <c r="M160" s="21"/>
    </row>
    <row r="161" spans="13:13" ht="20.100000000000001" customHeight="1" x14ac:dyDescent="0.25">
      <c r="M161" s="21"/>
    </row>
    <row r="162" spans="13:13" ht="20.100000000000001" customHeight="1" x14ac:dyDescent="0.25">
      <c r="M162" s="21"/>
    </row>
    <row r="163" spans="13:13" ht="20.100000000000001" customHeight="1" x14ac:dyDescent="0.25">
      <c r="M163" s="21"/>
    </row>
    <row r="164" spans="13:13" ht="20.100000000000001" customHeight="1" x14ac:dyDescent="0.25">
      <c r="M164" s="21"/>
    </row>
    <row r="165" spans="13:13" ht="20.100000000000001" customHeight="1" x14ac:dyDescent="0.25">
      <c r="M165" s="21"/>
    </row>
    <row r="166" spans="13:13" x14ac:dyDescent="0.25">
      <c r="M166" s="21"/>
    </row>
    <row r="167" spans="13:13" x14ac:dyDescent="0.25">
      <c r="M167" s="21"/>
    </row>
    <row r="168" spans="13:13" x14ac:dyDescent="0.25">
      <c r="M168" s="21"/>
    </row>
    <row r="169" spans="13:13" x14ac:dyDescent="0.25">
      <c r="M169" s="21"/>
    </row>
    <row r="170" spans="13:13" x14ac:dyDescent="0.25">
      <c r="M170" s="21"/>
    </row>
    <row r="171" spans="13:13" x14ac:dyDescent="0.25">
      <c r="M171" s="21"/>
    </row>
    <row r="172" spans="13:13" x14ac:dyDescent="0.25">
      <c r="M172" s="21"/>
    </row>
    <row r="173" spans="13:13" x14ac:dyDescent="0.25">
      <c r="M173" s="21"/>
    </row>
    <row r="174" spans="13:13" x14ac:dyDescent="0.25">
      <c r="M174" s="21"/>
    </row>
    <row r="175" spans="13:13" x14ac:dyDescent="0.25">
      <c r="M175" s="21"/>
    </row>
    <row r="176" spans="13:13" x14ac:dyDescent="0.25">
      <c r="M176" s="21"/>
    </row>
    <row r="177" spans="13:13" x14ac:dyDescent="0.25">
      <c r="M177" s="21"/>
    </row>
    <row r="178" spans="13:13" x14ac:dyDescent="0.25">
      <c r="M178" s="21"/>
    </row>
    <row r="179" spans="13:13" x14ac:dyDescent="0.25">
      <c r="M179" s="21"/>
    </row>
    <row r="180" spans="13:13" x14ac:dyDescent="0.25">
      <c r="M180" s="21"/>
    </row>
    <row r="181" spans="13:13" x14ac:dyDescent="0.25">
      <c r="M181" s="21"/>
    </row>
    <row r="182" spans="13:13" x14ac:dyDescent="0.25">
      <c r="M182" s="21"/>
    </row>
    <row r="183" spans="13:13" x14ac:dyDescent="0.25">
      <c r="M183" s="21"/>
    </row>
    <row r="184" spans="13:13" x14ac:dyDescent="0.25">
      <c r="M184" s="21"/>
    </row>
    <row r="185" spans="13:13" x14ac:dyDescent="0.25">
      <c r="M185" s="21"/>
    </row>
    <row r="186" spans="13:13" x14ac:dyDescent="0.25">
      <c r="M186" s="21"/>
    </row>
    <row r="187" spans="13:13" x14ac:dyDescent="0.25">
      <c r="M187" s="21"/>
    </row>
    <row r="188" spans="13:13" x14ac:dyDescent="0.25">
      <c r="M188" s="21"/>
    </row>
    <row r="189" spans="13:13" x14ac:dyDescent="0.25">
      <c r="M189" s="21"/>
    </row>
    <row r="190" spans="13:13" x14ac:dyDescent="0.25">
      <c r="M190" s="21"/>
    </row>
    <row r="191" spans="13:13" x14ac:dyDescent="0.25">
      <c r="M191" s="21"/>
    </row>
    <row r="192" spans="13:13" x14ac:dyDescent="0.25">
      <c r="M192" s="21"/>
    </row>
    <row r="193" spans="13:13" x14ac:dyDescent="0.25">
      <c r="M193" s="21"/>
    </row>
    <row r="194" spans="13:13" x14ac:dyDescent="0.25">
      <c r="M194" s="21"/>
    </row>
    <row r="195" spans="13:13" x14ac:dyDescent="0.25">
      <c r="M195" s="21"/>
    </row>
    <row r="196" spans="13:13" x14ac:dyDescent="0.25">
      <c r="M196" s="21"/>
    </row>
    <row r="197" spans="13:13" x14ac:dyDescent="0.25">
      <c r="M197" s="21"/>
    </row>
    <row r="198" spans="13:13" x14ac:dyDescent="0.25">
      <c r="M198" s="21"/>
    </row>
    <row r="199" spans="13:13" x14ac:dyDescent="0.25">
      <c r="M199" s="21"/>
    </row>
    <row r="200" spans="13:13" x14ac:dyDescent="0.25">
      <c r="M200" s="21"/>
    </row>
    <row r="201" spans="13:13" x14ac:dyDescent="0.25">
      <c r="M201" s="21"/>
    </row>
    <row r="202" spans="13:13" x14ac:dyDescent="0.25">
      <c r="M202" s="21"/>
    </row>
    <row r="203" spans="13:13" x14ac:dyDescent="0.25">
      <c r="M203" s="21"/>
    </row>
    <row r="204" spans="13:13" x14ac:dyDescent="0.25">
      <c r="M204" s="21"/>
    </row>
    <row r="205" spans="13:13" x14ac:dyDescent="0.25">
      <c r="M205" s="21"/>
    </row>
    <row r="206" spans="13:13" x14ac:dyDescent="0.25">
      <c r="M206" s="21"/>
    </row>
    <row r="207" spans="13:13" x14ac:dyDescent="0.25">
      <c r="M207" s="21"/>
    </row>
    <row r="208" spans="13:13" x14ac:dyDescent="0.25">
      <c r="M208" s="21"/>
    </row>
    <row r="209" spans="13:13" x14ac:dyDescent="0.25">
      <c r="M209" s="21"/>
    </row>
    <row r="210" spans="13:13" x14ac:dyDescent="0.25">
      <c r="M210" s="21"/>
    </row>
    <row r="211" spans="13:13" x14ac:dyDescent="0.25">
      <c r="M211" s="21"/>
    </row>
    <row r="212" spans="13:13" x14ac:dyDescent="0.25">
      <c r="M212" s="21"/>
    </row>
    <row r="213" spans="13:13" x14ac:dyDescent="0.25">
      <c r="M213" s="21"/>
    </row>
    <row r="214" spans="13:13" x14ac:dyDescent="0.25">
      <c r="M214" s="21"/>
    </row>
    <row r="215" spans="13:13" x14ac:dyDescent="0.25">
      <c r="M215" s="21"/>
    </row>
    <row r="216" spans="13:13" x14ac:dyDescent="0.25">
      <c r="M216" s="21"/>
    </row>
    <row r="217" spans="13:13" x14ac:dyDescent="0.25">
      <c r="M217" s="21"/>
    </row>
    <row r="218" spans="13:13" x14ac:dyDescent="0.25">
      <c r="M218" s="21"/>
    </row>
    <row r="219" spans="13:13" x14ac:dyDescent="0.25">
      <c r="M219" s="21"/>
    </row>
    <row r="220" spans="13:13" x14ac:dyDescent="0.25">
      <c r="M220" s="21"/>
    </row>
    <row r="221" spans="13:13" x14ac:dyDescent="0.25">
      <c r="M221" s="21"/>
    </row>
    <row r="222" spans="13:13" x14ac:dyDescent="0.25">
      <c r="M222" s="21"/>
    </row>
    <row r="223" spans="13:13" x14ac:dyDescent="0.25">
      <c r="M223" s="21"/>
    </row>
    <row r="224" spans="13:13" x14ac:dyDescent="0.25">
      <c r="M224" s="21"/>
    </row>
    <row r="225" spans="13:13" x14ac:dyDescent="0.25">
      <c r="M225" s="21"/>
    </row>
    <row r="226" spans="13:13" x14ac:dyDescent="0.25">
      <c r="M226" s="21"/>
    </row>
    <row r="227" spans="13:13" x14ac:dyDescent="0.25">
      <c r="M227" s="21"/>
    </row>
    <row r="228" spans="13:13" x14ac:dyDescent="0.25">
      <c r="M228" s="21"/>
    </row>
    <row r="229" spans="13:13" x14ac:dyDescent="0.25">
      <c r="M229" s="21"/>
    </row>
    <row r="230" spans="13:13" x14ac:dyDescent="0.25">
      <c r="M230" s="21"/>
    </row>
    <row r="231" spans="13:13" x14ac:dyDescent="0.25">
      <c r="M231" s="21"/>
    </row>
    <row r="232" spans="13:13" x14ac:dyDescent="0.25">
      <c r="M232" s="21"/>
    </row>
    <row r="233" spans="13:13" x14ac:dyDescent="0.25">
      <c r="M233" s="21"/>
    </row>
    <row r="234" spans="13:13" x14ac:dyDescent="0.25">
      <c r="M234" s="21"/>
    </row>
    <row r="235" spans="13:13" x14ac:dyDescent="0.25">
      <c r="M235" s="21"/>
    </row>
    <row r="236" spans="13:13" x14ac:dyDescent="0.25">
      <c r="M236" s="21"/>
    </row>
    <row r="237" spans="13:13" x14ac:dyDescent="0.25">
      <c r="M237" s="21"/>
    </row>
    <row r="238" spans="13:13" x14ac:dyDescent="0.25">
      <c r="M238" s="21"/>
    </row>
    <row r="239" spans="13:13" x14ac:dyDescent="0.25">
      <c r="M239" s="21"/>
    </row>
    <row r="240" spans="13:13" x14ac:dyDescent="0.25">
      <c r="M240" s="21"/>
    </row>
    <row r="241" spans="13:13" x14ac:dyDescent="0.25">
      <c r="M241" s="21"/>
    </row>
    <row r="242" spans="13:13" x14ac:dyDescent="0.25">
      <c r="M242" s="21"/>
    </row>
    <row r="243" spans="13:13" x14ac:dyDescent="0.25">
      <c r="M243" s="21"/>
    </row>
    <row r="244" spans="13:13" x14ac:dyDescent="0.25">
      <c r="M244" s="21"/>
    </row>
    <row r="245" spans="13:13" x14ac:dyDescent="0.25">
      <c r="M245" s="21"/>
    </row>
    <row r="246" spans="13:13" x14ac:dyDescent="0.25">
      <c r="M246" s="21"/>
    </row>
    <row r="247" spans="13:13" x14ac:dyDescent="0.25">
      <c r="M247" s="21"/>
    </row>
    <row r="248" spans="13:13" x14ac:dyDescent="0.25">
      <c r="M248" s="21"/>
    </row>
    <row r="249" spans="13:13" x14ac:dyDescent="0.25">
      <c r="M249" s="21"/>
    </row>
    <row r="250" spans="13:13" x14ac:dyDescent="0.25">
      <c r="M250" s="21"/>
    </row>
    <row r="251" spans="13:13" x14ac:dyDescent="0.25">
      <c r="M251" s="21"/>
    </row>
    <row r="252" spans="13:13" x14ac:dyDescent="0.25">
      <c r="M252" s="21"/>
    </row>
    <row r="253" spans="13:13" x14ac:dyDescent="0.25">
      <c r="M253" s="21"/>
    </row>
    <row r="254" spans="13:13" x14ac:dyDescent="0.25">
      <c r="M254" s="21"/>
    </row>
    <row r="255" spans="13:13" x14ac:dyDescent="0.25">
      <c r="M255" s="21"/>
    </row>
    <row r="256" spans="13:13" x14ac:dyDescent="0.25">
      <c r="M256" s="21"/>
    </row>
    <row r="257" spans="13:13" x14ac:dyDescent="0.25">
      <c r="M257" s="21"/>
    </row>
    <row r="258" spans="13:13" x14ac:dyDescent="0.25">
      <c r="M258" s="21"/>
    </row>
    <row r="259" spans="13:13" x14ac:dyDescent="0.25">
      <c r="M259" s="21"/>
    </row>
    <row r="260" spans="13:13" x14ac:dyDescent="0.25">
      <c r="M260" s="21"/>
    </row>
    <row r="261" spans="13:13" x14ac:dyDescent="0.25">
      <c r="M261" s="21"/>
    </row>
    <row r="262" spans="13:13" x14ac:dyDescent="0.25">
      <c r="M262" s="21"/>
    </row>
    <row r="263" spans="13:13" x14ac:dyDescent="0.25">
      <c r="M263" s="21"/>
    </row>
    <row r="264" spans="13:13" x14ac:dyDescent="0.25">
      <c r="M264" s="21"/>
    </row>
    <row r="265" spans="13:13" x14ac:dyDescent="0.25">
      <c r="M265" s="21"/>
    </row>
    <row r="266" spans="13:13" x14ac:dyDescent="0.25">
      <c r="M266" s="21"/>
    </row>
    <row r="267" spans="13:13" x14ac:dyDescent="0.25">
      <c r="M267" s="21"/>
    </row>
    <row r="268" spans="13:13" x14ac:dyDescent="0.25">
      <c r="M268" s="21"/>
    </row>
    <row r="269" spans="13:13" x14ac:dyDescent="0.25">
      <c r="M269" s="21"/>
    </row>
    <row r="270" spans="13:13" x14ac:dyDescent="0.25">
      <c r="M270" s="21"/>
    </row>
    <row r="271" spans="13:13" x14ac:dyDescent="0.25">
      <c r="M271" s="21"/>
    </row>
    <row r="272" spans="13:13" x14ac:dyDescent="0.25">
      <c r="M272" s="21"/>
    </row>
    <row r="273" spans="13:13" x14ac:dyDescent="0.25">
      <c r="M273" s="21"/>
    </row>
    <row r="274" spans="13:13" x14ac:dyDescent="0.25">
      <c r="M274" s="21"/>
    </row>
    <row r="275" spans="13:13" x14ac:dyDescent="0.25">
      <c r="M275" s="21"/>
    </row>
    <row r="276" spans="13:13" x14ac:dyDescent="0.25">
      <c r="M276" s="21"/>
    </row>
    <row r="277" spans="13:13" x14ac:dyDescent="0.25">
      <c r="M277" s="21"/>
    </row>
    <row r="278" spans="13:13" x14ac:dyDescent="0.25">
      <c r="M278" s="21"/>
    </row>
    <row r="279" spans="13:13" x14ac:dyDescent="0.25">
      <c r="M279" s="21"/>
    </row>
    <row r="280" spans="13:13" x14ac:dyDescent="0.25">
      <c r="M280" s="21"/>
    </row>
    <row r="281" spans="13:13" x14ac:dyDescent="0.25">
      <c r="M281" s="21"/>
    </row>
    <row r="282" spans="13:13" x14ac:dyDescent="0.25">
      <c r="M282" s="21"/>
    </row>
    <row r="283" spans="13:13" x14ac:dyDescent="0.25">
      <c r="M283" s="21"/>
    </row>
    <row r="284" spans="13:13" x14ac:dyDescent="0.25">
      <c r="M284" s="21"/>
    </row>
    <row r="285" spans="13:13" x14ac:dyDescent="0.25">
      <c r="M285" s="21"/>
    </row>
    <row r="286" spans="13:13" x14ac:dyDescent="0.25">
      <c r="M286" s="21"/>
    </row>
    <row r="287" spans="13:13" x14ac:dyDescent="0.25">
      <c r="M287" s="21"/>
    </row>
    <row r="288" spans="13:13" x14ac:dyDescent="0.25">
      <c r="M288" s="21"/>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EBB8-7C73-49E2-8EC8-080FFD8F0DEB}">
  <dimension ref="A1:BY259"/>
  <sheetViews>
    <sheetView showGridLines="0" tabSelected="1" topLeftCell="A2"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4" t="e" vm="1">
        <v>#VALUE!</v>
      </c>
      <c r="C1" s="8" t="s">
        <v>52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4" t="s">
        <v>9</v>
      </c>
      <c r="E6" s="34" t="s">
        <v>10</v>
      </c>
      <c r="F6" s="34" t="s">
        <v>11</v>
      </c>
    </row>
    <row r="7" spans="1:65" ht="20.100000000000001" customHeight="1" x14ac:dyDescent="0.25">
      <c r="A7"/>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Other Livestock'!A1", "Other Livestock")</f>
        <v>Other Livestock</v>
      </c>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51</v>
      </c>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HYPERLINK("#'3.6.1.1-2 Enteric Methane'!A1", "3.6.1.1-2 Enteric Methane")</f>
        <v>3.6.1.1-2 Enteric Methane</v>
      </c>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04" t="s">
        <v>1</v>
      </c>
    </row>
    <row r="18" spans="1:4" ht="20.100000000000001" customHeight="1" x14ac:dyDescent="0.25">
      <c r="A18" s="17" t="str">
        <f>HYPERLINK("#'Constants - Other Livestock'!A1", "Constants - Other Livestock")</f>
        <v>Constants - Other Livestock</v>
      </c>
      <c r="D18" s="6" t="str" cm="1">
        <f t="array" ref="D18">Common_SourceData.Common_SourceData_WASA4Areas_Title()</f>
        <v>ABS Statistcal Areas Level 4 - Western Australia</v>
      </c>
    </row>
    <row r="19" spans="1:4" ht="20.100000000000001" customHeight="1" x14ac:dyDescent="0.25">
      <c r="A19" s="55"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HYPERLINK("#'Acknowledgements'!A1", "Acknowledgements")</f>
        <v>Acknowledgements</v>
      </c>
      <c r="D20" s="34" t="s">
        <v>12</v>
      </c>
    </row>
    <row r="21" spans="1:4" ht="20.100000000000001" customHeight="1" x14ac:dyDescent="0.25">
      <c r="A21" s="17" t="str">
        <f>HYPERLINK("#'Tab template'!A1", "Tab template")</f>
        <v>Tab template</v>
      </c>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14</v>
      </c>
      <c r="E36" s="34" t="s">
        <v>15</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A42"/>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A43"/>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4" t="s">
        <v>14</v>
      </c>
      <c r="E47" s="34" t="s">
        <v>17</v>
      </c>
      <c r="F47" s="34" t="s">
        <v>18</v>
      </c>
      <c r="G47" s="34" t="s">
        <v>19</v>
      </c>
      <c r="H47" s="34" t="s">
        <v>20</v>
      </c>
    </row>
    <row r="48" spans="1:8" ht="20.100000000000001" customHeight="1" x14ac:dyDescent="0.25">
      <c r="A48"/>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1:8" ht="20.100000000000001" customHeight="1" x14ac:dyDescent="0.25">
      <c r="A49"/>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1:8" ht="20.100000000000001" customHeight="1" x14ac:dyDescent="0.25">
      <c r="A50"/>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1:8" ht="20.100000000000001" customHeight="1" x14ac:dyDescent="0.25">
      <c r="A51"/>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1:8" ht="20.100000000000001" customHeight="1" x14ac:dyDescent="0.25">
      <c r="A52"/>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1:8" ht="20.100000000000001" customHeight="1" x14ac:dyDescent="0.25">
      <c r="A53"/>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1:8" ht="20.100000000000001" customHeight="1" x14ac:dyDescent="0.25">
      <c r="A54"/>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49" t="str" cm="1">
        <f t="array" ref="D59:D61">"⚠️" &amp; Common_SourceData.Common_SourceData_WetAndDryZones_Variation()</f>
        <v>⚠️VARIATION OF SOURCE DATA:</v>
      </c>
    </row>
    <row r="60" spans="1:8" ht="20.100000000000001" customHeight="1" x14ac:dyDescent="0.25">
      <c r="A60"/>
      <c r="D60" s="49" t="str">
        <v>⚠️Added warm / cool temperate moist / dry - low frost and high temp classes to accommodate climate scenarios excluded by VEERG criteria.</v>
      </c>
    </row>
    <row r="61" spans="1:8" ht="20.100000000000001" customHeight="1" x14ac:dyDescent="0.25">
      <c r="A61"/>
      <c r="D61" s="49" t="str">
        <v>⚠️Fixed typo - Changed 'Fry' to 'Dry'.</v>
      </c>
    </row>
    <row r="62" spans="1:8" ht="20.100000000000001" customHeight="1" x14ac:dyDescent="0.25">
      <c r="A62"/>
    </row>
    <row r="63" spans="1:8" ht="20.100000000000001" customHeight="1" x14ac:dyDescent="0.25">
      <c r="A63"/>
      <c r="D63" s="34" t="s">
        <v>5</v>
      </c>
      <c r="E63" s="34" t="s">
        <v>34</v>
      </c>
    </row>
    <row r="64" spans="1:8" ht="20.100000000000001" customHeight="1" x14ac:dyDescent="0.25">
      <c r="A64"/>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49" t="str" cm="1">
        <f t="array" ref="D83:D87">"⚠️" &amp; Common_SourceData.Common_SourceData_ClimateZones_Variation()</f>
        <v>⚠️VARIATION OF SOURCE DATA:</v>
      </c>
    </row>
    <row r="84" spans="1:20" ht="20.100000000000001" customHeight="1" x14ac:dyDescent="0.25">
      <c r="A84"/>
      <c r="D84" s="49" t="str">
        <v>⚠️Added warm / cool temperate moist / dry - low frost and high temp classes to accommodate climate scenarios excluded by VEERG criteria.</v>
      </c>
    </row>
    <row r="85" spans="1:20" ht="20.100000000000001" customHeight="1" x14ac:dyDescent="0.25">
      <c r="A85"/>
      <c r="D85" s="49" t="str">
        <v>⚠️Fixed typo in MAT value for warm temperate dry - changed 10 to 11.</v>
      </c>
    </row>
    <row r="86" spans="1:20" ht="20.100000000000001" customHeight="1" x14ac:dyDescent="0.25">
      <c r="A86"/>
      <c r="D86" s="49" t="str">
        <v>⚠️Added min and max columns for MAT, MAP, frost days per year, elevation, MAP:PET to calculate zones from real climate data.</v>
      </c>
    </row>
    <row r="87" spans="1:20" ht="20.100000000000001" customHeight="1" x14ac:dyDescent="0.25">
      <c r="A87"/>
      <c r="D87" s="49" t="str">
        <v>⚠️GAF accepts rainfall as a proxy for precipitation.</v>
      </c>
    </row>
    <row r="88" spans="1:20" ht="20.100000000000001" customHeight="1" x14ac:dyDescent="0.25">
      <c r="A88"/>
    </row>
    <row r="89" spans="1:20" ht="20.100000000000001" customHeight="1" x14ac:dyDescent="0.25">
      <c r="A89"/>
      <c r="D89" s="34" t="s">
        <v>5</v>
      </c>
      <c r="E89" s="34" t="s">
        <v>22</v>
      </c>
      <c r="F89" s="34" t="s">
        <v>23</v>
      </c>
      <c r="G89" s="34" t="s">
        <v>24</v>
      </c>
      <c r="H89" s="34" t="s">
        <v>25</v>
      </c>
      <c r="I89" s="34" t="s">
        <v>26</v>
      </c>
      <c r="J89" s="34" t="s">
        <v>27</v>
      </c>
      <c r="K89" s="34" t="s">
        <v>28</v>
      </c>
      <c r="L89" s="34" t="s">
        <v>29</v>
      </c>
      <c r="M89" s="34" t="s">
        <v>30</v>
      </c>
      <c r="N89" s="34" t="s">
        <v>31</v>
      </c>
      <c r="O89" s="34" t="s">
        <v>35</v>
      </c>
      <c r="P89" s="34" t="s">
        <v>32</v>
      </c>
      <c r="Q89" s="34" t="s">
        <v>36</v>
      </c>
      <c r="R89" s="34" t="s">
        <v>33</v>
      </c>
      <c r="S89" s="34" t="s">
        <v>37</v>
      </c>
      <c r="T89" s="34"/>
    </row>
    <row r="90" spans="1:20" ht="20.100000000000001" customHeight="1" x14ac:dyDescent="0.25">
      <c r="A90"/>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1:20" ht="20.100000000000001" customHeight="1" x14ac:dyDescent="0.25">
      <c r="A91"/>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1:20" ht="20.100000000000001" customHeight="1" x14ac:dyDescent="0.25">
      <c r="A92"/>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1:20" ht="20.100000000000001" customHeight="1" x14ac:dyDescent="0.25">
      <c r="A93"/>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1:20" ht="20.100000000000001" customHeight="1" x14ac:dyDescent="0.25">
      <c r="A94"/>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1:20" ht="20.100000000000001" customHeight="1" x14ac:dyDescent="0.25">
      <c r="A9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1:20" ht="20.100000000000001" customHeight="1" x14ac:dyDescent="0.25">
      <c r="A96"/>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1:20" ht="20.100000000000001" customHeight="1" x14ac:dyDescent="0.25">
      <c r="A97"/>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1:20" ht="20.100000000000001" customHeight="1" x14ac:dyDescent="0.25">
      <c r="A98"/>
    </row>
    <row r="99" spans="1:20" ht="20.100000000000001" customHeight="1" x14ac:dyDescent="0.25">
      <c r="A99"/>
      <c r="D99" s="48" t="str" cm="1">
        <f t="array" ref="D99:D102">Common_SourceData.Common_SourceData_ClimateZones_Appendices()</f>
        <v>Note:</v>
      </c>
    </row>
    <row r="100" spans="1:20" ht="20.100000000000001" customHeight="1" x14ac:dyDescent="0.25">
      <c r="A100"/>
      <c r="D100" s="48" t="str">
        <v>MAT = mean annual temperature</v>
      </c>
    </row>
    <row r="101" spans="1:20" ht="20.100000000000001" customHeight="1" x14ac:dyDescent="0.25">
      <c r="A101"/>
      <c r="D101" s="48" t="str">
        <v>MAP = mean annual precipitation</v>
      </c>
    </row>
    <row r="102" spans="1:20" ht="20.100000000000001" customHeight="1" x14ac:dyDescent="0.25">
      <c r="A102"/>
      <c r="D102" s="48" t="str">
        <v>PET = potential evapotranspiration</v>
      </c>
    </row>
    <row r="103" spans="1:20" ht="20.100000000000001" customHeight="1" x14ac:dyDescent="0.25">
      <c r="A103"/>
      <c r="D103" s="48"/>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4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4" t="s">
        <v>39</v>
      </c>
      <c r="E109" s="34" t="s">
        <v>22</v>
      </c>
      <c r="F109" s="34" t="s">
        <v>40</v>
      </c>
      <c r="G109" s="34" t="s">
        <v>41</v>
      </c>
    </row>
    <row r="110" spans="1:20" ht="20.100000000000001" customHeight="1" x14ac:dyDescent="0.25">
      <c r="A110"/>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49"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4" t="s">
        <v>42</v>
      </c>
      <c r="E119" s="34" t="s">
        <v>43</v>
      </c>
      <c r="F119" s="34" t="s">
        <v>29</v>
      </c>
      <c r="G119" s="34" t="s">
        <v>30</v>
      </c>
      <c r="BN119" s="7"/>
    </row>
    <row r="120" spans="1:66" ht="20.100000000000001" customHeight="1" x14ac:dyDescent="0.25">
      <c r="A120"/>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4" t="s">
        <v>44</v>
      </c>
      <c r="E127" s="34" t="s">
        <v>45</v>
      </c>
    </row>
    <row r="128" spans="1:66" ht="20.100000000000001" customHeight="1" x14ac:dyDescent="0.25">
      <c r="A128"/>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49"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4" t="s">
        <v>70</v>
      </c>
      <c r="E142" s="34" t="s">
        <v>56</v>
      </c>
      <c r="BN142" s="7"/>
    </row>
    <row r="143" spans="1:77" ht="20.100000000000001" customHeight="1" x14ac:dyDescent="0.25">
      <c r="A143"/>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4" t="s">
        <v>46</v>
      </c>
      <c r="E153" s="34" t="s">
        <v>47</v>
      </c>
      <c r="BC153" s="3"/>
      <c r="BD153" s="3"/>
      <c r="BE153" s="3"/>
      <c r="BF153" s="3"/>
      <c r="BG153" s="3"/>
      <c r="BH153" s="3"/>
      <c r="BI153" s="3"/>
      <c r="BJ153" s="3"/>
      <c r="BK153" s="3"/>
      <c r="BL153" s="3"/>
      <c r="BM153" s="3"/>
    </row>
    <row r="154" spans="1:66" ht="20.100000000000001" customHeight="1" x14ac:dyDescent="0.25">
      <c r="A154"/>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8"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8" t="str" cm="1">
        <f t="array" ref="D180">Common_SourceData.Common_SourceData_EFN2O_Unit()</f>
        <v>(kg N2O-N / kg N</v>
      </c>
    </row>
    <row r="181" spans="4:68" ht="20.100000000000001" customHeight="1" x14ac:dyDescent="0.25">
      <c r="D181" s="49" t="str" cm="1">
        <f t="array" ref="D181:D185">Common_SourceData.Common_SourceData_EFN2O_Variation()</f>
        <v>VARIATION OF SOURCE DATA:</v>
      </c>
    </row>
    <row r="182" spans="4:68" ht="20.100000000000001" customHeight="1" x14ac:dyDescent="0.25">
      <c r="D182" s="49" t="str">
        <v>Removed duplicate 'Aquaculture' row.</v>
      </c>
    </row>
    <row r="183" spans="4:68" ht="20.100000000000001" customHeight="1" x14ac:dyDescent="0.25">
      <c r="D183" s="49" t="str">
        <v>Removed asterisks to aid lookup.</v>
      </c>
    </row>
    <row r="184" spans="4:68" ht="20.100000000000001" customHeight="1" x14ac:dyDescent="0.25">
      <c r="D184" s="49" t="str">
        <v>Added 'production system only', 'rainfall zone' and 'irrigation method' columns to aid lookup.</v>
      </c>
    </row>
    <row r="185" spans="4:68" ht="20.100000000000001" customHeight="1" x14ac:dyDescent="0.25">
      <c r="D185" s="49" t="str">
        <v>Duplicated 'non-irrigated pasture' row with same EF for low and high rainfall zones to aid lookup.</v>
      </c>
    </row>
    <row r="186" spans="4:68" ht="20.100000000000001" customHeight="1" x14ac:dyDescent="0.25">
      <c r="D186" s="34" t="s">
        <v>63</v>
      </c>
      <c r="E186" s="34" t="s">
        <v>64</v>
      </c>
      <c r="F186" s="34" t="s">
        <v>65</v>
      </c>
      <c r="G186" s="34" t="s">
        <v>66</v>
      </c>
      <c r="H186" s="34" t="s">
        <v>21</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49" t="str" cm="1">
        <f t="array" ref="D204">Common_SourceData.Common_SourceData_EFPastureRangeAndPaddock_Variation()</f>
        <v>VARIATION FROM SOURCE DATA: Changed 'Dry climate zones' to singular 'Dry climate zone' to aid lookup.</v>
      </c>
    </row>
    <row r="205" spans="4:8" x14ac:dyDescent="0.25">
      <c r="D205" s="48" t="str" cm="1">
        <f t="array" ref="D205">Common_SourceData.Common_SourceData_EFPastureRangeAndPaddock_Unit()</f>
        <v>kg N2O - N / kg N</v>
      </c>
    </row>
    <row r="206" spans="4:8" x14ac:dyDescent="0.25">
      <c r="D206" s="34" t="s">
        <v>5</v>
      </c>
      <c r="E206" s="34" t="s">
        <v>71</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72</v>
      </c>
      <c r="E212" s="34" t="s">
        <v>73</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4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38</v>
      </c>
      <c r="E231" s="34" t="s">
        <v>80</v>
      </c>
      <c r="F231" s="33" t="s">
        <v>81</v>
      </c>
      <c r="G231" s="34" t="s">
        <v>82</v>
      </c>
      <c r="H231" s="34" t="s">
        <v>83</v>
      </c>
      <c r="I231" s="34" t="s">
        <v>84</v>
      </c>
      <c r="J231" s="34" t="s">
        <v>85</v>
      </c>
      <c r="K231" s="34" t="s">
        <v>86</v>
      </c>
      <c r="L231" s="34" t="s">
        <v>87</v>
      </c>
      <c r="M231" s="34" t="s">
        <v>88</v>
      </c>
      <c r="N231" s="34" t="s">
        <v>89</v>
      </c>
      <c r="O231" s="34" t="s">
        <v>90</v>
      </c>
      <c r="P231" s="34" t="s">
        <v>91</v>
      </c>
      <c r="Q231" s="34" t="s">
        <v>79</v>
      </c>
      <c r="R231" s="34" t="s">
        <v>92</v>
      </c>
      <c r="S231" s="34" t="s">
        <v>93</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8" t="str" cm="1">
        <f t="array" ref="D256">Common_SourceData.Common_SourceData_EFOrganicFertiliserAndCropResidues_Unit()</f>
        <v>kg N2O - N / kg N</v>
      </c>
    </row>
    <row r="257" spans="4:5" x14ac:dyDescent="0.25">
      <c r="D257" s="34" t="s">
        <v>137</v>
      </c>
      <c r="E257" s="34" t="s">
        <v>138</v>
      </c>
    </row>
    <row r="258" spans="4:5"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54"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Other Livestock'!A1", "Other Livestock")</f>
        <v>Other Livestock</v>
      </c>
    </row>
    <row r="13" spans="1:1" x14ac:dyDescent="0.25">
      <c r="A13" s="18" t="s">
        <v>51</v>
      </c>
    </row>
    <row r="14" spans="1:1" ht="15.75" x14ac:dyDescent="0.25">
      <c r="A14" s="17" t="str">
        <f>HYPERLINK("#'3.6.1.1-2 Enteric Methane'!A1", "3.6.1.1-2 Enteric Methane")</f>
        <v>3.6.1.1-2 Enteric Methane</v>
      </c>
    </row>
    <row r="17" spans="1:1" x14ac:dyDescent="0.25">
      <c r="A17" s="104" t="s">
        <v>1</v>
      </c>
    </row>
    <row r="18" spans="1:1" ht="15.75" x14ac:dyDescent="0.25">
      <c r="A18" s="17" t="str">
        <f>HYPERLINK("#'Constants - Other Livestock'!A1", "Constants - Other Livestock")</f>
        <v>Constants - Other Livestock</v>
      </c>
    </row>
    <row r="19" spans="1:1" ht="15.75" x14ac:dyDescent="0.25">
      <c r="A19" s="17" t="str">
        <f>HYPERLINK("#'Constants - Common'!A1", "Constants - Common")</f>
        <v>Constants - Common</v>
      </c>
    </row>
    <row r="20" spans="1:1" ht="15.75" x14ac:dyDescent="0.25">
      <c r="A20" s="55" t="str">
        <f>HYPERLINK("#'Acknowledgements'!A1", "Acknowledgements")</f>
        <v>Acknowledgements</v>
      </c>
    </row>
    <row r="21" spans="1:1" ht="15.75" x14ac:dyDescent="0.25">
      <c r="A21" s="17" t="str">
        <f>HYPERLINK("#'Tab template'!A1", "Tab template")</f>
        <v>Tab template</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54"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row>
    <row r="11" spans="1:21" ht="20.100000000000001" customHeight="1" x14ac:dyDescent="0.25"/>
    <row r="12" spans="1:21" ht="20.100000000000001" customHeight="1" x14ac:dyDescent="0.25"/>
    <row r="13" spans="1:21" ht="20.100000000000001" customHeight="1" x14ac:dyDescent="0.25">
      <c r="A13" s="18" t="s">
        <v>51</v>
      </c>
    </row>
    <row r="14" spans="1:21" ht="20.100000000000001" customHeight="1" x14ac:dyDescent="0.25">
      <c r="A14" s="17" t="str">
        <f>HYPERLINK("#'3.6.1.1-2 Enteric Methane'!A1", "3.6.1.1-2 Enteric Methane")</f>
        <v>3.6.1.1-2 Enteric Methane</v>
      </c>
    </row>
    <row r="15" spans="1:21" ht="20.100000000000001" customHeight="1" x14ac:dyDescent="0.25"/>
    <row r="16" spans="1:21" ht="20.100000000000001" customHeight="1" x14ac:dyDescent="0.25"/>
    <row r="17" spans="1:1" ht="20.100000000000001" customHeight="1" x14ac:dyDescent="0.25">
      <c r="A17" s="104" t="s">
        <v>1</v>
      </c>
    </row>
    <row r="18" spans="1:1" ht="20.100000000000001" customHeight="1" x14ac:dyDescent="0.25">
      <c r="A18" s="17" t="str">
        <f>HYPERLINK("#'Constants - Other Livestock'!A1", "Constants - Other Livestock")</f>
        <v>Constants - Other Livestock</v>
      </c>
    </row>
    <row r="19" spans="1:1" ht="20.100000000000001" customHeight="1" x14ac:dyDescent="0.25">
      <c r="A19" s="17" t="str">
        <f>HYPERLINK("#'Constants - Common'!A1", "Constants - Common")</f>
        <v>Constants - Common</v>
      </c>
    </row>
    <row r="20" spans="1:1" ht="20.100000000000001" customHeight="1" x14ac:dyDescent="0.25">
      <c r="A20" s="17" t="str">
        <f>HYPERLINK("#'Acknowledgements'!A1", "Acknowledgements")</f>
        <v>Acknowledgements</v>
      </c>
    </row>
    <row r="21" spans="1:1" ht="20.100000000000001" customHeight="1" x14ac:dyDescent="0.25">
      <c r="A21" s="55" t="str">
        <f>HYPERLINK("#'Tab template'!A1", "Tab template")</f>
        <v>Tab template</v>
      </c>
    </row>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TwB0AGgAZQByAEwAaQB2AGUAcwB0AG8AYwBrACIALAAiAHQAZQB4AHQAIgA6ACIAXABuAC8AKgAgAFwAbgAtAC0ALQAtAC0ALQAtAC0ALQAtAC0ALQAtAC0ALQAtAC0ALQAtAC0ALQAtAC0ALQAtAC0ALQAtAC0ALQAtAC0ALQAtAC0ALQAtAC0AXABuAFMAbwB1AHIAYwBlAEQAYQB0AGEAXwBPAHQAaABlAHIATABpAHYAZQBzAHQAbwBjAGsAXwBFAG4AdABlAHIAaQBjAEYAZQByAG0AZQBuAHQAYQB0AGkAbwBuAEUAbQBpAHMAcwBpAG8AbgBGAGEAYwB0AG8AcgBcAG4AVABhAGIAbABlACAAQQAuADEALgA1AC4AMQA6ACAATwB0AGgAZQByACAATABpAHYAZQBzAHQAbwBjAGsAIAAtACAARQBuAHQAZQByAGkAYwAgAGYAZQByAG0AZQBuAHQAYQB0AGkAbwBuACAAZQBtAGkAcwBzAGkAbwBuACAAZgBhAGMAdABvAHIAIABmAG8AcgAgAGUAYQBjAGgAIABvAHQAaABlAHIAIABsAGkAdgBlAHMAdABvAGMAawAgAHQAeQBwAGUAIAAoAGsAZwAgAEMASAA0AC8AaABlAGEAZAAvAHkAZQBhAHIAKQAgACgATQBqACkAXABuAC0ALQAtAC0ALQAtAC0ALQAtAC0ALQAtAC0ALQAtAC0ALQAtAC0ALQAtAC0ALQAtAC0ALQAtAC0ALQAtAC0ALQAtAC0ALQAtAC0ALQBcAG4AKgAvAFwAbgBcAG4AUwBvAHUAcgBjAGUARABhAHQAYQBfAE8AdABoAGUAcgBMAGkAdgBlAHMAdABvAGMAawBfAEUAbgB0AGUAcgBpAGMARgBlAHIAbQBlAG4AdABhAHQAaQBvAG4ARQBtAGkAcwBzAGkAbwBuAEYAYQBjAHQAbwByAF8AVABpAHQAbABlAFwAbgAgACAAPQBMAEEATQBCAEQAQQAoAFwAIgBPAHQAaABlAHIAIABMAGkAdgBlAHMAdABvAGMAawAgAC0AIABFAG4AdABlAHIAaQBjACAAZgBlAHIAbQBlAG4AdABhAHQAaQBvAG4AIABlAG0AaQBzAHMAaQBvAG4AIABmAGEAYwB0AG8AcgAgAGYAbwByACAAZQBhAGMAaAAgAG8AdABoAGUAcgAgAGwAaQB2AGUAcwB0AG8AYwBrACAAdAB5AHAAZQBcACIAKQA7AFwAbgBcAG4AUwBvAHUAcgBjAGUARABhAHQAYQBfAE8AdABoAGUAcgBMAGkAdgBlAHMAdABvAGMAawBfAEUAbgB0AGUAcgBpAGMARgBlAHIAbQBlAG4AdABhAHQAaQBvAG4ARQBtAGkAcwBzAGkAbwBuAEYAYQBjAHQAbwByAF8AVgBhAHIAaQBhAGIAbABlAFwAbgAgACAAPQBMAEEATQBCAEQAQQAoAFwAIgBNAGoAXAAiACkAOwBcAG4AXABuAFMAbwB1AHIAYwBlAEQAYQB0AGEAXwBPAHQAaABlAHIATABpAHYAZQBzAHQAbwBjAGsAXwBFAG4AdABlAHIAaQBjAEYAZQByAG0AZQBuAHQAYQB0AGkAbwBuAEUAbQBpAHMAcwBpAG8AbgBGAGEAYwB0AG8AcgBfAFUAbgBpAHQAXABuACAAIAA9AEwAQQBNAEIARABBACgAXAAiAGsAZwAgAEMASAA0ACAALwAgAGgAZQBhAGQAIAAvACAAeQBlAGEAcgBcACIAKQA7AFwAbgBcAG4AUwBvAHUAcgBjAGUARABhAHQAYQBfAE8AdABoAGUAcgBMAGkAdgBlAHMAdABvAGMAawBfAEUAbgB0AGUAcgBpAGMARgBlAHIAbQBlAG4AdABhAHQAaQBvAG4ARQBtAGkAcwBzAGkAbwBuAEYAYQBjAHQAbwByAF8AUwBvAHUAcgBjAGUAXABuACAAIAA9AEwAQQBNAEIARABBACgAXAAiAFYARQBFAFIARwAgADIAMAAyADYAOgAgAFQAYQBiAGwAZQAgAEEALgAxAC4ANQAuADEAXAAiACkAOwBcAG4AXABuAFMAbwB1AHIAYwBlAEQAYQB0AGEAXwBPAHQAaABlAHIATABpAHYAZQBzAHQAbwBjAGsAXwBFAG4AdABlAHIAaQBjAEYAZQByAG0AZQBuAHQAYQB0AGkAbwBuAEUAbQBpAHMAcwBpAG8AbgBGAGEAYwB0AG8AcgBfAFYAYQByAGkAYQB0AGkAbwBuAFwAbgAgACAAPQBMAEEATQBCAEQAQQAoAFwAIgBcACIAKQA7AFwAbgBcAG4AUwBvAHUAcgBjAGUARABhAHQAYQBfAE8AdABoAGUAcgBMAGkAdgBlAHMAdABvAGMAawBfAEUAbgB0AGUAcgBpAGMARgBlAHIAbQBlAG4AdABhAHQAaQBvAG4ARQBtAGkAcwBzAGkAbwBuAEYAYQBjAHQAbwBy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0AagBcACIAOwBcAG4AIAAgACAAIAAgACAAIAAgACAAIABcACIAQgB1AGYAZgBhAGwAbwBcACIALAAgADYAOAA7AFwAbgAgACAAIAAgACAAIAAgACAAIAAgAFwAIgBHAG8AYQB0AHMAXAAiACwAIAA1ADsAXABuACAAIAAgACAAIAAgACAAIAAgACAAXAAiAEQAZQBlAHIAXAAiACwAIAAyADAAOwBcAG4AIAAgACAAIAAgACAAIAAgACAAIABcACIAQwBhAG0AZQBsAHMAXAAiACwAIAA0ADYAOwBcAG4AIAAgACAAIAAgACAAIAAgACAAIABcACIAQQBsAHAAYQBjAGEAcwBcACIALAAgADgAOwBcAG4AIAAgACAAIAAgACAAIAAgACAAIABcACIASABvAHIAcwBlAHMAXAAiACwAIAAxADgAOwBcAG4AIAAgACAAIAAgACAAIAAgACAAIABcACIATQB1AGwAZQBzAC8AYQBzAHMAZQBzAFwAIgAsACAAMQAwADsAXABuACAAIAAgACAAIAAgACAAIAAgACAAXAAiAEUAbQB1AHMALwBvAHMAdAByAGkAYwBoAGUAcwBcACIALAAgADU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VgBvAGwAYQB0AGkAbABlAFMAbwBsAGkAZABzAFAAcgBvAGQAdQBjAGUAZABcAG4AVABhAGIAbABlACAAQQAuADEALgA1AC4AMgA6ACAATwB0AGgAZQByACAATABpAHYAZQBzAHQAbwBjAGsAIAAtACAAVgBvAGwAYQB0AGkAbABlACAAcwBvAGwAaQBkAHMAIABwAHIAbwBkAHUAYwBlAGQAIABiAHkAIABlAGEAYwBoACAAbwB0AGgAZQByACAAbABpAHYAZQBzAHQAbwBjAGsAIAB0AHkAcABlACAAKABrAGcAIABWAFMALwBoAGUAYQBkAC8AZABhAHkAKQAgACgAVgBTAGoAKQBcAG4ALQAtAC0ALQAtAC0ALQAtAC0ALQAtAC0ALQAtAC0ALQAtAC0ALQAtAC0ALQAtAC0ALQAtAC0ALQAtAC0ALQAtAC0ALQAtAC0ALQAtAFwAbgAqAC8AXABuAFwAbgBTAG8AdQByAGMAZQBEAGEAdABhAF8ATwB0AGgAZQByAEwAaQB2AGUAcwB0AG8AYwBrAF8AVgBvAGwAYQB0AGkAbABlAFMAbwBsAGkAZABzAFAAcgBvAGQAdQBjAGUAZABfAFQAaQB0AGwAZQBcAG4AIAAgAD0ATABBAE0AQgBEAEEAKABcACIATwB0AGgAZQByACAATABpAHYAZQBzAHQAbwBjAGsAIAAtACAAVgBvAGwAYQB0AGkAbABlACAAcwBvAGwAaQBkAHMAIABwAHIAbwBkAHUAYwBlAGQAIABiAHkAIABlAGEAYwBoACAAbwB0AGgAZQByACAAbABpAHYAZQBzAHQAbwBjAGsAIAB0AHkAcABlAFwAIgApADsAXABuAFwAbgBTAG8AdQByAGMAZQBEAGEAdABhAF8ATwB0AGgAZQByAEwAaQB2AGUAcwB0AG8AYwBrAF8AVgBvAGwAYQB0AGkAbABlAFMAbwBsAGkAZABzAFAAcgBvAGQAdQBjAGUAZABfAFYAYQByAGkAYQBiAGwAZQBcAG4AIAAgAD0ATABBAE0AQgBEAEEAKABcACIAVgBTAGoAXAAiACkAOwBcAG4AXABuAFMAbwB1AHIAYwBlAEQAYQB0AGEAXwBPAHQAaABlAHIATABpAHYAZQBzAHQAbwBjAGsAXwBWAG8AbABhAHQAaQBsAGUAUwBvAGwAaQBkAHMAUAByAG8AZAB1AGMAZQBkAF8AVQBuAGkAdABcAG4AIAAgAD0ATABBAE0AQgBEAEEAKABcACIAawBnACAAVgBTACAALwAgAGgAZQBhAGQAIAAvACAAZABhAHkAXAAiACkAOwBcAG4AXABuAFMAbwB1AHIAYwBlAEQAYQB0AGEAXwBPAHQAaABlAHIATABpAHYAZQBzAHQAbwBjAGsAXwBWAG8AbABhAHQAaQBsAGUAUwBvAGwAaQBkAHMAUAByAG8AZAB1AGMAZQBkAF8AUwBvAHUAcgBjAGUAXABuACAAIAA9AEwAQQBNAEIARABBACgAXAAiAFYARQBFAFIARwAgADIAMAAyADYAOgAgAFQAYQBiAGwAZQAgAEEALgAxAC4ANQAuADIAXAAiACkAOwBcAG4AXABuAFMAbwB1AHIAYwBlAEQAYQB0AGEAXwBPAHQAaABlAHIATABpAHYAZQBzAHQAbwBjAGsAXwBWAG8AbABhAHQAaQBsAGUAUwBvAGwAaQBkAHMAUAByAG8AZAB1AGMAZQBkAF8AVgBhAHIAaQBhAHQAaQBvAG4AXABuACAAIAA9AEwAQQBNAEIARABBACgAXAAiAFwAIgApADsAXABuAFwAbgBTAG8AdQByAGMAZQBEAGEAdABhAF8ATwB0AGgAZQByAEwAaQB2AGUAcwB0AG8AYwBrAF8AVgBvAGwAYQB0AGkAbABlAFMAbwBsAGkAZABzAFAAcgBvAGQAdQBj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WAFMAagBcACIAOwBcAG4AIAAgACAAIAAgACAAIAAgACAAIABcACIAQgB1AGYAZgBhAGwAbwBcACIALAAgADIALgA3ADMAOwBcAG4AIAAgACAAIAAgACAAIAAgACAAIABcACIARwBvAGEAdABzAFwAIgAsACAAMAAuADMANAA7AFwAbgAgACAAIAAgACAAIAAgACAAIAAgAFwAIgBEAGUAZQByAFwAIgAsACAAMAAuADkAMQA7AFwAbgAgACAAIAAgACAAIAAgACAAIAAgAFwAIgBDAGEAbQBlAGwAcwBcACIALAAgADIALgA3ADMAOwBcAG4AIAAgACAAIAAgACAAIAAgACAAIABcACIAQQBsAHAAYQBjAGEAcwBcACIALAAgADAALgAzADQAOwBcAG4AIAAgACAAIAAgACAAIAAgACAAIABcACIASABvAHIAcwBlAHMAXAAiACwAIAAyAC4ANwAzADsAXABuACAAIAAgACAAIAAgACAAIAAgACAAXAAiAE0AdQBsAGUAcwAvAGEAcwBzAGUAcwBcACIALAAgADAALgA5ADEAOwBcAG4AIAAgACAAIAAgACAAIAAgACAAIABcACIARQBtAHUAcwAvAG8AcwB0AHIAaQBjAGgAZQBzAFwAIgAs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OAGkAdAByAG8AZwBlAG4ARQB4AGMAcgBlAHQAZQBkAFwAbgBUAGEAYgBsAGUAIABBAC4AMQAuADUALgAzADoAIABPAHQAaABlAHIAIABMAGkAdgBlAHMAdABvAGMAawAgAC0AIABOAGkAdAByAG8AZwBlAG4AIABlAHgAYwByAGUAdABlAGQAIABwAGUAcgAgAGwAaQB2AGUAcwB0AG8AYwBrACAAdAB5AHAAZQAgACgAawBnACAATgAyAE8ALwBoAGUAYQBkAC8AeQBlAGEAcgApACAAKABOAEUAagApAFwAbgAtAC0ALQAtAC0ALQAtAC0ALQAtAC0ALQAtAC0ALQAtAC0ALQAtAC0ALQAtAC0ALQAtAC0ALQAtAC0ALQAtAC0ALQAtAC0ALQAtAC0AXABuACoALwBcAG4AXABuAFMAbwB1AHIAYwBlAEQAYQB0AGEAXwBPAHQAaABlAHIATABpAHYAZQBzAHQAbwBjAGsAXwBOAGkAdAByAG8AZwBlAG4ARQB4AGMAcgBlAHQAZQBkAF8AVABpAHQAbABlAFwAbgAgACAAPQBMAEEATQBCAEQAQQAoAFwAIgBPAHQAaABlAHIAIABMAGkAdgBlAHMAdABvAGMAawAgAC0AIABOAGkAdAByAG8AZwBlAG4AIABlAHgAYwByAGUAdABlAGQAIABwAGUAcgAgAGwAaQB2AGUAcwB0AG8AYwBrACAAdAB5AHAAZQBcACIAKQA7AFwAbgBcAG4AUwBvAHUAcgBjAGUARABhAHQAYQBfAE8AdABoAGUAcgBMAGkAdgBlAHMAdABvAGMAawBfAE4AaQB0AHIAbwBnAGUAbgBFAHgAYwByAGUAdABlAGQAXwBWAGEAcgBpAGEAYgBsAGUAXABuACAAIAA9AEwAQQBNAEIARABBACgAXAAiAE4ARQBqAFwAIgApADsAXABuAFwAbgBTAG8AdQByAGMAZQBEAGEAdABhAF8ATwB0AGgAZQByAEwAaQB2AGUAcwB0AG8AYwBrAF8ATgBpAHQAcgBvAGcAZQBuAEUAeABjAHIAZQB0AGUAZABfAFUAbgBpAHQAXABuACAAIAA9AEwAQQBNAEIARABBACgAXAAiAGsAZwAgAE4AMgBPACAALwAgAGgAZQBhAGQAIAAvACAAeQBlAGEAcgBcACIAKQA7AFwAbgBcAG4AUwBvAHUAcgBjAGUARABhAHQAYQBfAE8AdABoAGUAcgBMAGkAdgBlAHMAdABvAGMAawBfAE4AaQB0AHIAbwBnAGUAbgBFAHgAYwByAGUAdABlAGQAXwBTAG8AdQByAGMAZQBcAG4AIAAgAD0ATABBAE0AQgBEAEEAKABcACIAVgBFAEUAUgBHACAAMgAwADIANgA6ACAAVABhAGIAbABlACAAQQAuADEALgA1AC4AMwBcACIAKQA7AFwAbgBcAG4AUwBvAHUAcgBjAGUARABhAHQAYQBfAE8AdABoAGUAcgBMAGkAdgBlAHMAdABvAGMAawBfAE4AaQB0AHIAbwBnAGUAbgBFAHgAYwByAGUAdABlAGQAXwBWAGEAcgBpAGEAdABpAG8AbgBcAG4AIAAgAD0ATABBAE0AQgBEAEEAKABcACIAXAAiACkAOwBcAG4AXABuAFMAbwB1AHIAYwBlAEQAYQB0AGEAXwBPAHQAaABlAHIATABpAHYAZQBzAHQAbwBjAGsAXwBOAGkAdAByAG8AZwBlAG4ARQB4AGMAcgBlAHQAZQBk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E4ARQBqAFwAIgA7AFwAbgAgACAAIAAgACAAIAAgACAAIAAgAFwAIgBCAHUAZgBmAGEAbABvAFwAIgAsACAAMwA5AC4ANQA7AFwAbgAgACAAIAAgACAAIAAgACAAIAAgAFwAIgBHAG8AYQB0AHMAXAAiACwAIAA3AC4AMAA7AFwAbgAgACAAIAAgACAAIAAgACAAIAAgAFwAIgBEAGUAZQByAFwAIgAsACAAMQAzAC4AMgA7AFwAbgAgACAAIAAgACAAIAAgACAAIAAgAFwAIgBDAGEAbQBlAGwAcwBcACIALAAgADMAOQAuADUAOwBcAG4AIAAgACAAIAAgACAAIAAgACAAIABcACIAQQBsAHAAYQBjAGEAcwBcACIALAAgADcALgAwADsAXABuACAAIAAgACAAIAAgACAAIAAgACAAXAAiAEgAbwByAHMAZQBzAFwAIgAsACAAMwA5AC4ANQA7AFwAbgAgACAAIAAgACAAIAAgACAAIAAgAFwAIgBNAHUAbABlAHMALwBhAHMAcwBlAHMAXAAiACwAIAAxADMALgAyADsAXABuACAAIAAgACAAIAAgACAAIAAgACAAXAAiAEUAbQB1AHMALwBvAHMAdAByAGkAYwBoAGUAcwBcACIALAAgADcALgAw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EAdgBlAHIAYQBnAGUATABpAHYAZQB3AGUAaQBnAGgAdABcAG4AVABhAGIAbABlACAAQQAuADEALgA1AC4ANAA6ACAATwB0AGgAZQByACAATABpAHYAZQBzAHQAbwBjAGsAIAAtACAAQQB2AGUAcgBhAGcAZQAgAEwAaQB2AGUAdwBlAGkAZwBoAHQAcwAgACgAVwBjAG8AKQAgACgAawBnACkAIABcAG4ALQAtAC0ALQAtAC0ALQAtAC0ALQAtAC0ALQAtAC0ALQAtAC0ALQAtAC0ALQAtAC0ALQAtAC0ALQAtAC0ALQAtAC0ALQAtAC0ALQAtAFwAbgAqAC8AXABuAFwAbgBTAG8AdQByAGMAZQBEAGEAdABhAF8ATwB0AGgAZQByAEwAaQB2AGUAcwB0AG8AYwBrAF8AQQB2AGUAcgBhAGcAZQBMAGkAdgBlAHcAZQBpAGcAaAB0AF8AVABpAHQAbABlAFwAbgAgACAAPQBMAEEATQBCAEQAQQAoAFwAIgBPAHQAaABlAHIAIABMAGkAdgBlAHMAdABvAGMAawAgAC0AIABBAHYAZQByAGEAZwBlACAATABpAHYAZQB3AGUAaQBnAGgAdABzAFwAIgApADsAXABuAFwAbgBTAG8AdQByAGMAZQBEAGEAdABhAF8ATwB0AGgAZQByAEwAaQB2AGUAcwB0AG8AYwBrAF8AQQB2AGUAcgBhAGcAZQBMAGkAdgBlAHcAZQBpAGcAaAB0AF8AVgBhAHIAaQBhAGIAbABlAFwAbgAgACAAPQBMAEEATQBCAEQAQQAoAFwAIgBXAGMAbwBcACIAKQA7AFwAbgBcAG4AUwBvAHUAcgBjAGUARABhAHQAYQBfAE8AdABoAGUAcgBMAGkAdgBlAHMAdABvAGMAawBfAEEAdgBlAHIAYQBnAGUATABpAHYAZQB3AGUAaQBnAGgAdABfAFUAbgBpAHQAXABuACAAIAA9AEwAQQBNAEIARABBACgAXAAiAGsAZwBcACIAKQA7AFwAbgBcAG4AUwBvAHUAcgBjAGUARABhAHQAYQBfAE8AdABoAGUAcgBMAGkAdgBlAHMAdABvAGMAawBfAEEAdgBlAHIAYQBnAGUATABpAHYAZQB3AGUAaQBnAGgAdABfAFMAbwB1AHIAYwBlAFwAbgAgACAAPQBMAEEATQBCAEQAQQAoAFwAIgBWAEUARQBSAEcAIAAyADAAMgA2ADoAIABUAGEAYgBsAGUAIABBAC4AMQAuADUALgA0AFwAIgApADsAXABuAFwAbgBTAG8AdQByAGMAZQBEAGEAdABhAF8ATwB0AGgAZQByAEwAaQB2AGUAcwB0AG8AYwBrAF8AQQB2AGUAcgBhAGcAZQBMAGkAdgBlAHcAZQBpAGcAaAB0AF8AVgBhAHIAaQBhAHQAaQBvAG4AXABuACAAIAA9AEwAQQBNAEIARABBACgAXAAiAFwAIgApADsAXABuAFwAbgBTAG8AdQByAGMAZQBEAGEAdABhAF8ATwB0AGgAZQByAEwAaQB2AGUAcwB0AG8AYwBrAF8AQQB2AGUAcgBhAGcAZQBMAGkAdgBlAHcAZQBpAGcAaAB0AF8ARABhAHQAYQBcAG4AIAAgAD0ATABBAE0AQgBEAEEAKABcAG4AIAAgACAAIABNAEEASwBFAEEAUgBSAEEAWQAoADEAMQAsACAAMwAsAFwAbgAgACAAIAAgACAAIABMAEEATQBCAEQAQQAoAHIALABjACwAXABuACAAIAAgACAAIAAgACAAIABJAE4ARABFAFgAKAB7AFwAbgAgACAAIAAgACAAIAAgACAAIAAgAFwAIgBPAHQAaABlAHIAIABMAGkAdgBlAHMAdABvAGMAawAgAFQAeQBwAGUAIABqAFwAIgAsACAAXAAiAEEAdgBlAHIAYQBnAGUAIABMAGkAdgBlAHcAZQBpAGcAaAB0AFwAIgAsACAAXAAiAEEAdgBlAHIAYQBnAGUAIABMAGkAdgBlAHcAZQBpAGcAaAB0AFwAIgA7AFwAbgAgACAAIAAgACAAIAAgACAAIAAgAFwAIgBCAHUAZgBmAGEAbABvAFwAIgAsACAAMwAzADYALAAgAFwAIgAtAFwAIgA7AFwAbgAgACAAIAAgACAAIAAgACAAIAAgAFwAIgBHAG8AYQB0AHMAXAAiACwAIAAzADMALAAgAFwAIgAyADgAawBnACAALQAgAGwAbwB3ACAAcAByAG8AZAB1AGMAdABpAHYAaQB0AHkAIABzAHkAcwB0AGUAbQBzAFwAIgA7AFwAbgAgACAAIAAgACAAIAAgACAAIAAgAFwAIgBHAG8AYQB0AHMAXAAiACwAIAAzADMALAAgAFwAIgA1ADAAawBnACAALQAgAGgAaQBnAGgAIABwAHIAbwBkAHUAYwB0AGkAdgBpAHQAeQAgAHMAeQBzAHQAZQBtAHMAXAAiADsAXABuACAAIAAgACAAIAAgACAAIAAgACAAXAAiAEQAZQBlAHIAXAAiACwAIAAxADIAMAAsACAAMQAyADAAOwBcAG4AIAAgACAAIAAgACAAIAAgACAAIABcACIAQwBhAG0AZQBsAHMAXAAiACwAIAAyADEANwAsACAANQA3ADAAOwBcAG4AIAAgACAAIAAgACAAIAAgACAAIABcACIAQQBsAHAAYQBjAGEAcwBcACIALAAgAFwAIgAtAFwAIgAsACAANgA1ADsAXABuACAAIAAgACAAIAAgACAAIAAgACAAXAAiAEgAbwByAHMAZQBzAFwAIgAsACAAMwA3ADcALAAgADUANQAwADsAXABuACAAIAAgACAAIAAgACAAIAAgACAAXAAiAE0AdQBsAGUAcwAvAGEAcwBzAGUAcwBcACIALAAgADEAMwAwACwAIAAyADQANQA7AFwAbgAgACAAIAAgACAAIAAgACAAIAAgAFwAIgBFAG0AdQBzAC8AbwBzAHQAcgBpAGMAaABlAHMAXAAiACwAIAAxADIAMAAsACAAMQAyADAAOwBcAG4AIAAgACAAIAAgACAAIAAgACAAIABcACIAUgBlAGYAZQByAGUAbgBjAGUAXAAiACwAIABcACIASQBQAEMAQwAgADIAMAAxADkAIABUAGEAYgBsAGUAIAAxADAAQQAuADUAIABbADIAXQBcACIALAAgAFwAIgBJAFAAQwBDACAAMgAwADEAOQAgAFQAYQBiAGwAZQAgADEAMAAuADEAMAAgAFsAMg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GAHIAYQBjAHQAaQBvAG4AVwBhAHMAdABlAEkAbgBNAE0AUwBcAG4AVABhAGIAbABlACAAQQAuADEALgA1AC4ANQA6ACAATwB0AGgAZQByACAATABpAHYAZQBzAHQAbwBjAGsAIAAtACAARgByAGEAYwB0AGkAbwBuACAAbwBmACAAdwBhAHMAdABlACAAaQBu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PAHQAaABlAHIATABpAHYAZQBzAHQAbwBjAGsAXwBGAHIAYQBjAHQAaQBvAG4AVwBhAHMAdABlAEkAbgBNAE0AUwBfAFQAaQB0AGwAZQBcAG4AIAAgAD0ATABBAE0AQgBEAEEAKABcACIATwB0AGgAZQByACAATABpAHYAZQBzAHQAbwBjAGsAIAAtACAARgByAGEAYwB0AGkAbwBuACAAbwBmACAAdwBhAHMAdABlACAAaQBuACAAZQBhAGMAaAAgAG0AYQBuAHUAcgBlACAAbQBhAG4AYQBnAGUAbQBlAG4AdAAgAHMAeQBzAHQAZQBtAFwAIgApADsAXABuAFwAbgBTAG8AdQByAGMAZQBEAGEAdABhAF8ATwB0AGgAZQByAEwAaQB2AGUAcwB0AG8AYwBrAF8ARgByAGEAYwB0AGkAbwBuAFcAYQBzAHQAZQBJAG4ATQBNAFMAXwBWAGEAcgBpAGEAYgBsAGUAXABuACAAIAA9AEwAQQBNAEIARABBACgAXAAiAE0ATQBTAG0AXAAiACkAOwBcAG4AXABuAFMAbwB1AHIAYwBlAEQAYQB0AGEAXwBPAHQAaABlAHIATABpAHYAZQBzAHQAbwBjAGsAXwBGAHIAYQBjAHQAaQBvAG4AVwBhAHMAdABlAEkAbgBNAE0AUwBfAFUAbgBpAHQAXABuACAAIAA9AEwAQQBNAEIARABBACgAXAAiAGYAcgBhAGMAdABpAG8AbgBcACIAKQA7AFwAbgBcAG4AUwBvAHUAcgBjAGUARABhAHQAYQBfAE8AdABoAGUAcgBMAGkAdgBlAHMAdABvAGMAawBfAEYAcgBhAGMAdABpAG8AbgBXAGEAcwB0AGUASQBuAE0ATQBTAF8AUwBvAHUAcgBjAGUAXABuACAAIAA9AEwAQQBNAEIARABBACgAXAAiAFYARQBFAFIARwAgADIAMAAyADYAOgAgAFQAYQBiAGwAZQAgAEEALgAxAC4ANQAuADUAXAAiACkAOwBcAG4AXABuAFMAbwB1AHIAYwBlAEQAYQB0AGEAXwBPAHQAaABlAHIATABpAHYAZQBzAHQAbwBjAGsAXwBGAHIAYQBjAHQAaQBvAG4AVwBhAHMAdABlAEkAbgBNAE0AUwBfAFYAYQByAGkAYQB0AGkAbwBuAFwAbgAgACAAPQBMAEEATQBCAEQAQQAoAFwAIgBcACIAKQA7AFwAbgBcAG4AUwBvAHUAcgBjAGUARABhAHQAYQBfAE8AdABoAGUAcgBMAGkAdgBlAHMAdABvAGMAawBfAEYAcgBhAGMAdABpAG8AbgBXAGEAcwB0AGUASQBuAE0ATQBT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OQA5AC4ANgA2ACwAIAAgADAALgAzADQAOwBcAG4AIAAgACAAIAAgACAAIAAgACAAIABcACIATgBTAFcAXAAiACwAIAAgADkAOQAuADYANgAsACAAIAAwAC4AMwA0ADsAXABuACAAIAAgACAAIAAgACAAIAAgACAAXAAiAE4AVABcACIALAAgACAAOQA5AC4ANgA2ACwAIAAgADAALgAzADQAOwBcAG4AIAAgACAAIAAgACAAIAAgACAAIABcACIAUQBMAEQAXAAiACwAIAAgADkAOQAuADYANgAsACAAIAAwAC4AMwA0ADsAXABuACAAIAAgACAAIAAgACAAIAAgACAAXAAiAFMAQQBcACIALAAgACAAOQA5AC4ANgA2ACwAIAAgADAALgAzADQAOwBcAG4AIAAgACAAIAAgACAAIAAgACAAIABcACIAVABBAFMAXAAiACwAIAAgADkAOQAuADYANgAsACAAIAAwAC4AMwA0ADsAXABuACAAIAAgACAAIAAgACAAIAAgACAAXAAiAFYASQBDAFwAIgAsACAAIAA5ADkALgA2ADYALAAgACAAMAAuADMANAA7AFwAbgAgACAAIAAgACAAIAAgACAAIAAgAFwAIgBXAEEAXAAiACwAIAAgADkAOQAuADYANgAsACAAIAAwAC4AMwA0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QwBvAG4AdgBlAHIAcwBpAG8AbgBGAGEAYwB0AG8AcgBcAG4AVABhAGIAbABlACAAQQAuADEALgA1AC4ANgA6ACAATwB0AGgAZQByACAATABpAHYAZQBzAHQAbwBjAGs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TwB0AGgAZQByAEwAaQB2AGUAcwB0AG8AYwBrAF8ATQBlAHQAaABhAG4AZQBDAG8AbgB2AGUAcgBzAGkAbwBuAEYAYQBjAHQAbwByAF8AVABpAHQAbABlAFwAbgAgACAAPQBMAEEATQBCAEQAQQAoAFwAIgBPAHQAaABlAHIAIABMAGkAdgBlAHMAdABvAGMAawAgAC0AIABNAGUAdABoAGEAbgBlACAAYwBvAG4AdgBlAHIAcwBpAG8AbgAgAGYAYQBjAHQAbwByACAAcABlAHIAIAByAGUAZwBpAG8AbgBcACIAKQA7AFwAbgBcAG4AUwBvAHUAcgBjAGUARABhAHQAYQBfAE8AdABoAGUAcgBMAGkAdgBlAHMAdABvAGMAawBfAE0AZQB0AGgAYQBuAGUAQwBvAG4AdgBlAHIAcwBpAG8AbgBGAGEAYwB0AG8AcgBfAFYAYQByAGkAYQBiAGwAZQBcAG4AIAAgAD0ATABBAE0AQgBEAEEAKABcACIATQBDAEYAaQBtAFwAIgApADsAXABuAFwAbgBTAG8AdQByAGMAZQBEAGEAdABhAF8ATwB0AGgAZQByAEwAaQB2AGUAcwB0AG8AYwBrAF8ATQBlAHQAaABhAG4AZQBDAG8AbgB2AGUAcgBzAGkAbwBuAEYAYQBjAHQAbwByAF8AVQBuAGkAdABcAG4AIAAgAD0ATABBAE0AQgBEAEEAKABcACIAZgByAGEAYwB0AGkAbwBuAFwAIgApADsAXABuAFwAbgBTAG8AdQByAGMAZQBEAGEAdABhAF8ATwB0AGgAZQByAEwAaQB2AGUAcwB0AG8AYwBrAF8ATQBlAHQAaABhAG4AZQBDAG8AbgB2AGUAcgBzAGkAbwBuAEYAYQBjAHQAbwByAF8AUwBvAHUAcgBjAGUAXABuACAAIAA9AEwAQQBNAEIARABBACgAXAAiAFYARQBFAFIARwAgADIAMAAyADYAOgAgAFQAYQBiAGwAZQAgAEEALgAxAC4ANQAuADYAXAAiACkAOwBcAG4AXABuAFMAbwB1AHIAYwBlAEQAYQB0AGEAXwBPAHQAaABlAHIATABpAHYAZQBzAHQAbwBjAGsAXwBNAGUAdABoAGEAbgBlAEMAbwBuAHYAZQByAHMAaQBvAG4ARgBhAGMAdABvAHIAXwBWAGEAcgBpAGEAdABpAG8AbgBcAG4AIAAgAD0ATABBAE0AQgBEAEEAKABcACIAXAAiACkAOwBcAG4AXABuAFMAbwB1AHIAYwBlAEQAYQB0AGEAXwBPAHQAaABlAHIATABpAHYAZQBzAHQAbwBjAGsAXwBNAGUAdABoAGEAbgBlAEMAbwBuAHYAZQByAHMAaQBvAG4ARgBhAGMAdABvAHIAXwBEAGEAdABhAFwAbgAgACAAPQBMAEEATQBCAEQAQQAoAFwAbgAgACAAIAAgAE0AQQBLAEUAQQBSAFIAQQBZACgAOQAsACAAMwAsAFwAbgAgACAAIAAgACAAIABMAEEATQBCAEQAQQAoAHIALABjACwAXABuACAAIAAgACAAIAAgACAAIABJAE4ARABFAFgAKAB7AFwAbgAgACAAIAAgACAAIAAgACAAIAAgAFwAIgBTAHQAYQB0AGUAXAAiACwAIABcACIAUABhAHMAdAB1AHIAZQAgAHIAYQBuAGcAZQAgAGEAbgBkACAAcABhAGQAZABvAGMAawBcACIALAAgAFwAIgBVAG4AYwBvAHYAZQByAGUAZAAgAEEAbgBhAGUAcgBvAGIAaQBjACAAbABhAGcAbwBvAG4AXAAiADsAXABuACAAIAAgACAAIAAgACAAIAAgACAAXAAiAEEAQwBUAFwAIgAsACAAIAAwAC4AMAAwADQANwAsACAAIAAwAC4ANwAxADsAXABuACAAIAAgACAAIAAgACAAIAAgACAAXAAiAE4AUwBXAFwAIgAsACAAIAAwAC4AMAAwADQANwAsACAAIAAwAC4ANwA1ADsAXABuACAAIAAgACAAIAAgACAAIAAgACAAXAAiAE4AVABcACIALAAgACAAMAAuADAAMAA0ADcALAAgACAAMAAuADgAMAA7AFwAbgAgACAAIAAgACAAIAAgACAAIAAgAFwAIgBRAEwARABcACIALAAgACAAMAAuADAAMAA0ADcALAAgACAAMAAuADcAOAA7AFwAbgAgACAAIAAgACAAIAAgACAAIAAgAFwAIgBTAEEAXAAiACwAIAAgADAALgAwADAANAA3ACwAIAAgADAALgA3ADQAOwBcAG4AIAAgACAAIAAgACAAIAAgACAAIABcACIAVABBAFMAXAAiACwAIAAgADAALgAwADAANAA3ACwAIAAgADAALgA3ADAAOwBcAG4AIAAgACAAIAAgACAAIAAgACAAIABcACIAVgBJAEMAXAAiACwAIAAgADAALgAwADAANAA3ACwAIAAgADAALgA3ADQAOwBcAG4AIAAgACAAIAAgACAAIAAgACAAIABcACIAVwBBAFwAIgAsACAAIAAwAC4AMAAwADQANwAsACAAIAAwAC4ANwA2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0AZQB0AGgAYQBuAGUARQBtAGkAcwBzAGkAbwBuAHMAUABvAHQAZQBuAHQAaQBhAGwAXABuAFQAYQBiAGwAZQAgAEEALgAxAC4ANQAuAFgAOgAgAE8AdABoAGUAcgAgAEwAaQB2AGUAcwB0AG8AYwBrACAALQAgAE0AZQB0AGgAYQBuAGUAIABlAG0AaQBzAHMAaQBvAG4AcwAgAHAAbwB0AGUAbgB0AGkAYQBsACAAKABtADMAIABDAEgANAAgAC8AIABrAGcAIABWAFMAKQAgACgAQgBPACkAXABuAC0ALQAtAC0ALQAtAC0ALQAtAC0ALQAtAC0ALQAtAC0ALQAtAC0ALQAtAC0ALQAtAC0ALQAtAC0ALQAtAC0ALQAtAC0ALQAtAC0ALQBcAG4AKgAvAFwAbgBcAG4AUwBvAHUAcgBjAGUARABhAHQAYQBfAE8AdABoAGUAcgBMAGkAdgBlAHMAdABvAGMAawBfAE0AZQB0AGgAYQBuAGUARQBtAGkAcwBzAGkAbwBuAHMAUABvAHQAZQBuAHQAaQBhAGwAXwBUAGkAdABsAGUAXABuACAAIAA9AEwAQQBNAEIARABBACgAXAAiAE8AdABoAGUAcgAgAEwAaQB2AGUAcwB0AG8AYwBrACAALQAgAE0AZQB0AGgAYQBuAGUAIABlAG0AaQBzAHMAaQBvAG4AcwAgAHAAbwB0AGUAbgB0AGkAYQBsAFwAIgApADsAXABuAFwAbgBTAG8AdQByAGMAZQBEAGEAdABhAF8ATwB0AGgAZQByAEwAaQB2AGUAcwB0AG8AYwBrAF8ATQBlAHQAaABhAG4AZQBFAG0AaQBzAHMAaQBvAG4AcwBQAG8AdABlAG4AdABpAGEAbABfAFYAYQByAGkAYQBiAGwAZQBcAG4AIAAgAD0ATABBAE0AQgBEAEEAKABcACIAQgBPAFwAIgApADsAXABuAFwAbgBTAG8AdQByAGMAZQBEAGEAdABhAF8ATwB0AGgAZQByAEwAaQB2AGUAcwB0AG8AYwBrAF8ATQBlAHQAaABhAG4AZQBFAG0AaQBzAHMAaQBvAG4AcwBQAG8AdABlAG4AdABpAGEAbABfAFUAbgBpAHQAXABuACAAIAA9AEwAQQBNAEIARABBACgAXAAiAG0AMwAgAEMASAA0ACAALwAgAGsAZwAgAFYAUwBcACIAKQA7AFwAbgBcAG4AUwBvAHUAcgBjAGUARABhAHQAYQBfAE8AdABoAGUAcgBMAGkAdgBlAHMAdABvAGMAawBfAE0AZQB0AGgAYQBuAGUARQBtAGkAcwBzAGkAbwBuAHMAUABvAHQAZQBuAHQAaQBhAGwAXwBTAG8AdQByAGMAZQBcAG4AIAAgAD0ATABBAE0AQgBEAEEAKABcACIAVgBFAEUAUgBHACAAMgAwADIANgA6ACAAVABhAGIAbABlACAAQQAuADEALgA1AC4AWABcACIAKQA7AFwAbgBcAG4AUwBvAHUAcgBjAGUARABhAHQAYQBfAE8AdABoAGUAcgBMAGkAdgBlAHMAdABvAGMAawBfAE0AZQB0AGgAYQBuAGUARQBtAGkAcwBzAGkAbwBuAHMAUABvAHQAZQBuAHQAaQBhAGwAXwBWAGEAcgBpAGEAdABpAG8AbgBcAG4AIAAgAD0ATABBAE0AQgBEAEEAKABcACIAVgBBAFIASQBBAFQASQBPAE4AIABPAE4AIABTAE8AVQBSAEMARQA6ACAAVABoAGUAcgBlACAAdwBlAHIAZQAgAG4AbwAgAHYAYQBsAHUAZQBzACAAaQBuACAAVgBFAEUAUgBHACAAcwBvACAAdABoAGkAcwAgAGQAYQB0AGEAIABoAGEAcwAgAGIAZQBlAG4AIABnAGUAbgBlAHIAYQB0AGUAZAAgAGIAeQAgAHUAcwBpAG4AZwAgAGQAbwBjAHUAbQBlAG4AdABlAGQAIABCAE8AIAB2AGEAbAB1AGUAcwAgAGYAcgBvAG0AIABvAHQAaABlAHIAIABsAGkAdgBlAHMAdABvAGMAawBcACIAKQA7AFwAbgBcAG4AUwBvAHUAcgBjAGUARABhAHQAYQBfAE8AdABoAGUAcgBMAGkAdgBlAHMAdABvAGMAawBfAE0AZQB0AGgAYQBuAGUARQBtAGkAcwBzAGkAbwBuAHMAUABvAHQAZQBuAHQAaQBhAGwAXwBEAGEAdABhAFwAbgAgACAAPQBMAEEATQBCAEQAQQAoAFwAbgAgACAAIAAgAE0AQQBLAEUAQQBSAFIAQQBZACgAOQAsACAAMwAsAFwAbgAgACAAIAAgACAAIABMAEEATQBCAEQAQQAoAHIALABjACwAXABuACAAIAAgACAAIAAgACAAIABJAE4ARABFAFgAKAB7AFwAbgAgACAAIAAgACAAIAAgACAAIAAgAFwAIgBPAHQAaABlAHIAIABMAGkAdgBlAHMAdABvAGMAawAgAFQAeQBwAGUAXAAiACwAIABcACIAQgBPAFwAIgAsACAAXAAiAFQAYQBrAGUAbgAgAGYAcgBvAG0AXAAiADsAXABuACAAIAAgACAAIAAgACAAIAAgACAAXAAiAEIAdQBmAGYAYQBsAG8AXAAiACwAIAAwAC4AMQA5ACwAIABcACIARgBlAGUAZABsAG8AdAAsACAAUABhAHMAdAB1AHIAZQAgAGIAZQBlAGYAXAAiADsAXABuACAAIAAgACAAIAAgACAAIAAgACAAXAAiAEcAbwBhAHQAcwBcACIALAAgADAALgAyADQALAAgAFwAIgBTAGgAZQBlAHAAXAAiADsAXABuACAAIAAgACAAIAAgACAAIAAgACAAXAAiAEQAZQBlAHIAXAAiACwAIAAwAC4AMgA0ACwAIABcACIAUwBoAGUAZQBwAFwAIgA7AFwAbgAgACAAIAAgACAAIAAgACAAIAAgAFwAIgBDAGEAbQBlAGwAcwBcACIALAAgADAALgAyADQALAAgAFwAIgBTAGgAZQBlAHAAXAAiADsAXABuACAAIAAgACAAIAAgACAAIAAgACAAXAAiAEEAbABwAGEAYwBhAHMAXAAiACwAIAAwAC4AMgA0ACwAIABcACIAUwBoAGUAZQBwAFwAIgA7AFwAbgAgACAAIAAgACAAIAAgACAAIAAgAFwAIgBIAG8AcgBzAGUAcwBcACIALAAgADAALgAxADkALAAgAFwAIgBGAGUAZQBkAGwAbwB0ACwAIABQAGEAcwB0AHUAcgBlACAAYgBlAGUAZgBcACIAOwBcAG4AIAAgACAAIAAgACAAIAAgACAAIABcACIATQB1AGwAZQBzAC8AYQBzAHMAZQBzAFwAIgAsACAAMAAuADIANAAsACAAXAAiAFMAaABlAGUAcABcACIAOwBcAG4AIAAgACAAIAAgACAAIAAgACAAIABcACIARQBtAHUAcwAvAG8AcwB0AHIAaQBjAGgAZQBzAFwAIgAsACAAMAAuADMANgAsACAAXAAiAFAAbwB1AGwAdAByAHkAIAAtACAAbQBlAGEAdAAgAGMAaABpAGMAawBl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PAHQAaABlAHIATABpAHYAZQBzAHQAbwBjAGs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PAHQAaABlAHIATABpAHYAZQBzAHQAbwBjAGsAXwBGAHIAYQBjAEcAQQBTAE0AUwBvAGkAbABfAFYAYQByAGkAYQBiAGwAZQBcAG4AIAAgAD0ATABBAE0AQgBEAEEAKABcACIARgByAGEAYwBHAEEAUwBNAHMAbwBpAGwAXAAiACkAOwBcAG4AXABuAFMAbwB1AHIAYwBlAEQAYQB0AGEAXwBPAHQAaABlAHIATABpAHYAZQBzAHQAbwBjAGsAXwBGAHIAYQBjAEcAQQBTAE0AUwBvAGkAbABfAFUAbgBpAHQAXABuACAAIAA9AEwAQQBNAEIARABBACgAXAAiACgAawBnACAATgBIADMALQBOACAAKwAgAE4ATwB4AC0ATgApAC8AawBnACAATgBcACIAKQA7AFwAbgBcAG4AUwBvAHUAcgBjAGUARABhAHQAYQBfAE8AdABoAGUAcgBMAGkAdgBlAHMAdABvAGMAawBfAEYAcgBhAGMARwBBAFMATQBTAG8AaQBsAF8AUwBvAHUAcgBjAGUAXABuACAAIAA9AEwAQQBNAEIARABBACgAXAAiAFYARQBFAFIARwAgADIAMAAyADYAOgAgADQALgA3AC4AMgAuADMAIABDAE8ATgBTAFQAQQBOAFQAUwBcACIAKQA7AFwAbgBcAG4AUwBvAHUAcgBjAGUARABhAHQAYQBfAE8AdABoAGUAcgBMAGkAdgBlAHMAdABvAGMAawBfAEYAcgBhAGMARwBBAFMATQBTAG8AaQBsAF8AVgBhAHIAaQBhAHQAaQBvAG4AXABuACAAIAA9AEwAQQBNAEIARABBACgAXAAiAFwAIgApADsAXABuAFwAbgBTAG8AdQByAGMAZQBEAGEAdABhAF8ATwB0AGgAZQByAEwAaQB2AGUAcwB0AG8AYwBrAF8ARgByAGEAYwBHAEEAUwBNAFMAbwBpAGwAXwBEAGEAdABhAFwAbgAgACAAPQBMAEEATQBCAEQAQQAoADAALgAyADEAKQA7AFwAbgBcAG4AIgB9ACwAewAiAHAAYQB0AGgAIgA6ACIALwBwAHIAbwBqAGUAYwB0AHMALwBFAG4AdABlAHIAaQBjAE0AZQB0AGgAYQBuAGUAXwBPAHQAaABlAHIATABpAHYAZQBzAHQAbwBjAGsAXwBFAHEAdQBhAHQAaQBvAG4AcwAiACwAIgB0AGUAeAB0ACIAOgAiAC8AKgBcAG4APQA9AD0APQA9AD0APQA9AD0APQA9AD0APQA9AD0APQA9AD0APQA9AD0APQA9AD0APQA9AD0APQA9AD0APQA9AD0APQA9AD0APQA9AD0APQA9AD0APQA9AD0APQA9AD0APQA9AD0APQA9AD0APQA9AD0APQA9AD0APQA9AD0APQA9AD0APQA9AD0APQA9AD0APQA9AD0APQBcAG4AMwAuADYAOgAgAEUAbgB0AGUAcgBpAGMAIABNAGUAdABoAGEAbgBlACAALQAgAE8AdABoAGUAcgAgAEwAaQB2AGUAcwB0AG8AYwBrAFwAbgA9AD0APQA9AD0APQA9AD0APQA9AD0APQA9AD0APQA9AD0APQA9AD0APQA9AD0APQA9AD0APQA9AD0APQA9AD0APQA9AD0APQA9AD0APQA9AD0APQA9AD0APQA9AD0APQA9AD0APQA9AD0APQA9AD0APQA9AD0APQA9AD0APQA9AD0APQA9AD0APQA9AD0APQA9AD0APQA9AFwAbgAzAC4ANgAuADEALgAxACAATQBlAHQAaABvAGQAIAAxACAALQAgAEUAbgB0AGUAcgBpAGM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2AF8AMQBfADEAXwBfADEAXwBUAG8AdABhAGwAQQBuAG4AdQBhAGwATQBlAHQAaABhAG4AZQBGAHIAbwBtAEUAbgB0AGUAcgBpAGMARgBlAHIAbQBlAG4AdABhAHQAaQBvAG4ATwB0AGgAZQByAEwAaQB2AGUAcwB0AG8AYwBrAFwAbgBUAG8AdABhAGwAIABhAG4AbgB1AGEAbAAgAG0AZQB0AGgAYQBuAGUAIABwAHIAbwBkAHUAYwB0AGkAbwBuACAAZgByAG8AbQAgAGUAbgB0AGUAcgBpAGMAIABmAGUAcgBtAGUAbgB0AGEAdABpAG8AbgAgAGkAbgAgAG8AdABoAGUAcgAgAGwAaQB2AGUAcwB0AG8AYwBrAFwAbgBFAF8AZQBuAHQAZQByAGkAYwBcAG4AdAAgAEMASAA0AFwAbgBFAF8AewBlAG4AdABlAHIAaQBjAH0APQBcAFwAcwB1AG0AXwBqACgATgBfAGoAXABcAHQAaQBtAGUAcwAgAE0AXwBqACkAXABcAHQAaQBtAGUAcwAgADEAMABeAHsALQAzAH0AXABuAE4AXwBqACAAPQAgAG4AdQBtAGIAZQByACAAbwBmACAAbABpAHYAZQBzAHQAbwBjAGsAIABvAGYAIABlAGEAYwBoACAAbABpAHYAZQBzAHQAbwBjAGsAIAB0AHkAcABlACAAagAgACgAaABlAGEAZAApAFwAbgBNAF8AagAgAD0AIABlAG4AdABlAHIAaQBjACAAZgBlAHIAbQBlAG4AdABhAHQAaQBvAG4AIABlAG0AaQBzAHMAaQBvAG4AIABmAGEAYwB0AG8AcgAgACgAawBnACAAQwBIADQALwBoAGUAYQBkAC8AeQBlAGEAcgApAFwAbgAtAC0ALQAtAC0ALQAtAC0ALQAtAC0ALQAtAC0ALQAtAC0ALQAtAC0ALQAtAC0ALQAtAC0ALQAtAC0ALQAtAC0ALQAtAC0ALQAtAC0AXABuACoALwBcAG4AXABuAFYARQBFAFIARwBfADMAXwA2AF8AMQBfADEAXwBfADEAXwBUAG8AdABhAGwAQQBuAG4AdQBhAGwATQBlAHQAaABhAG4AZQBGAHIAbwBtAEUAbgB0AGUAcgBpAGMARgBlAHIAbQBlAG4AdABhAHQAaQBvAG4ATwB0AGgAZQByAEwAaQB2AGUAcwB0AG8AYwBrAFwAbgAgACAAPQBMAEEATQBCAEQAQQAoAFwAbgAgACAAIAAgAE4AXwBqACwAIABNAF8AagAsAFwAbgAgACAAIAAgAFMAVQBNACgATgBfAGoAIAAqACAATQBfAGoAKQAgACoAIAAxADAAIABeACAALQAzAFwAbgAgACAAKQA7AFwAbgBcAG4AVgBFAEUAUgBHAF8AMwBfADYAXwAxAF8AMQBfAF8AMQBfAFQAbwB0AGEAbABBAG4AbgB1AGEAbABNAGUAdABoAGEAbgBlAEYAcgBvAG0ARQBuAHQAZQByAGkAYwBGAGUAcgBtAGUAbgB0AGEAdABpAG8AbgBPAHQAaABlAHIATABpAHYAZQBzAHQAbwBjAGsAXwBUAGkAdABsAGUAXABuACAAIAA9AEwAQQBNAEIARABBACgAXAAiAFQAbwB0AGEAbAAgAGEAbgBuAHUAYQBsACAAbQBlAHQAaABhAG4AZQAgAHAAcgBvAGQAdQBjAHQAaQBvAG4AIABmAHIAbwBtACAAZQBuAHQAZQByAGkAYwAgAGYAZQByAG0AZQBuAHQAYQB0AGkAbwBuACAAaQBuACAAbwB0AGgAZQByACAAbABpAHYAZQBzAHQAbwBjAGsAXAAiACkAOwBcAG4AXABuAFYARQBFAFIARwBfADMAXwA2AF8AMQBfADEAXwBfADEAXwBUAG8AdABhAGwAQQBuAG4AdQBhAGwATQBlAHQAaABhAG4AZQBGAHIAbwBtAEUAbgB0AGUAcgBpAGMARgBlAHIAbQBlAG4AdABhAHQAaQBvAG4ATwB0AGgAZQByAEwAaQB2AGUAcwB0AG8AYwBrAF8AVgBhAHIAaQBhAGIAbABlAFwAbgAgACAAPQBMAEEATQBCAEQAQQAoAFwAIgBFAF8AZQBuAHQAZQByAGkAYwBcACIAKQA7AFwAbgBcAG4AVgBFAEUAUgBHAF8AMwBfADYAXwAxAF8AMQBfAF8AMQBfAFQAbwB0AGEAbABBAG4AbgB1AGEAbABNAGUAdABoAGEAbgBlAEYAcgBvAG0ARQBuAHQAZQByAGkAYwBGAGUAcgBtAGUAbgB0AGEAdABpAG8AbgBPAHQAaABlAHIATABpAHYAZQBzAHQAbwBjAGsAXwBVAG4AaQB0AFwAbgAgACAAPQBMAEEATQBCAEQAQQAoAFwAIgB0ACAAQwBIADQAXAAiACkAOwBcAG4AXABuAFYARQBFAFIARwBfADMAXwA2AF8AMQBfADEAXwBfADEAXwBUAG8AdABhAGwAQQBuAG4AdQBhAGwATQBlAHQAaABhAG4AZQBGAHIAbwBtAEUAbgB0AGUAcgBpAGMARgBlAHIAbQBlAG4AdABhAHQAaQBvAG4ATwB0AGgAZQByAEwAaQB2AGUAcwB0AG8AYwBrAF8AUwBvAHUAcgBjAGUAXABuACAAIAA9AEwAQQBNAEIARABBACgAXAAiAFYARQBFAFIARwAgADIAMAAyADYAOgAgADMALgA2AC4AMQAuADEALAAgAEUAcQB1AGEAdABpAG8AbgAgACgAMQApAFwAIgApADsAXABuAFwAbgBWAEUARQBSAEcAXwAzAF8ANgBfADEAXwAxAF8AXwAxAF8AVABvAHQAYQBsAEEAbgBuAHUAYQBsAE0AZQB0AGgAYQBuAGUARgByAG8AbQBFAG4AdABlAHIAaQBjAEYAZQByAG0AZQBuAHQAYQB0AGkAbwBuAE8AdABoAGUAcgBMAGkAdgBlAHMAdABvAGMAawBfAE4ASQBSAFIAZQBmAGUAcgBlAG4AYwBlAFwAbgAgACAAPQBMAEEATQBCAEQAQQAoAFwAIgBcACIAKQA7AFwAbgBcAG4AVgBFAEUAUgBHAF8AMwBfADYAXwAxAF8AMQBfAF8AMQBfAFQAbwB0AGEAbABBAG4AbgB1AGEAbABNAGUAdABoAGEAbgBlAEYAcgBvAG0ARQBuAHQAZQByAGkAYwBGAGUAcgBtAGUAbgB0AGEAdABpAG8AbgBPAHQAaABlAHIATABpAHYAZQBzAHQAbwBjAGsAXwBMAGEAdABlAHgARQBxAHUAYQB0AGkAbwBuAFwAbgAgACAAPQBMAEEATQBCAEQAQQAoAFwAIgBFAF8AewBlAG4AdABlAHIAaQBjAH0APQBcAFwAcwB1AG0AXwBqACgATgBfAGoAXABcAHQAaQBtAGUAcwAgAE0AXwBqACkAXABcAHQAaQBtAGUAcwAgADEAMABeAHsALQAzAH0AXAAiACkAOwBcAG4AXABuAFYARQBFAFIARwBfADMAXwA2AF8AMQBfADEAXwBfADEAXwBUAG8AdABhAGwAQQBuAG4AdQBhAGwATQBlAHQAaABhAG4AZQBGAHIAbwBtAEUAbgB0AGUAcgBpAGMARgBlAHIAbQBlAG4AdABhAHQAaQBvAG4ATwB0AGgAZQByAEwAaQB2AGUAcwB0AG8AYwBr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bABpAHYAZQBzAHQAbwBjAGsAIABvAGYAIABlAGEAYwBoACAAbABpAHYAZQBzAHQAbwBjAGsAIAB0AHkAcABlACAAagBcACIALAAgAFwAIgBoAGUAYQBkAFwAIgAsACAAXAAiAEkAbgBwAHUAdABcACIAOwBcAG4AIAAgACAAIAAgACAAIAAgACAAIABcACIATQBfAGoAXAAiACwAIABcACIAZQBuAHQAZQByAGkAYwAgAGYAZQByAG0AZQBuAHQAYQB0AGkAbwBuACAAZQBtAGkAcwBzAGkAbwBuACAAZgBhAGMAdABvAHIAXAAiACwAIABcACIAawBnACAAQwBIADQALwBoAGUAYQBkAC8AeQBlAGEAcg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PAHQAaABlAHIATABpAHYAZQBzAHQAbwBjAGsALgBTAG8AdQByAGMAZQBEAGEAdABhAF8ATwB0AGgAZQByAEwAaQB2AGUAcwB0AG8AYwBrAF8ARQBuAHQAZQByAGkAYwBGAGUAcgBtAGUAbgB0AGEAdABpAG8AbgBFAG0AaQBzAHMAaQBvAG4ARgBhAGMAdABvAHIAXwBUAGkAdABsAGUAIgAsACIAUwBvAHUAcgBjAGUARABhAHQAYQBfAE8AdABoAGUAcgBMAGkAdgBlAHMAdABvAGMAawAuAFMAbwB1AHIAYwBlAEQAYQB0AGEAXwBPAHQAaABlAHIATABpAHYAZQBzAHQAbwBjAGsAXwBFAG4AdABlAHIAaQBjAEYAZQByAG0AZQBuAHQAYQB0AGkAbwBuAEUAbQBpAHMAcwBpAG8AbgBGAGEAYwB0AG8AcgBfAFYAYQByAGkAYQBiAGwAZQAiACwAIgBTAG8AdQByAGMAZQBEAGEAdABhAF8ATwB0AGgAZQByAEwAaQB2AGUAcwB0AG8AYwBrAC4AUwBvAHUAcgBjAGUARABhAHQAYQBfAE8AdABoAGUAcgBMAGkAdgBlAHMAdABvAGMAawBfAEUAbgB0AGUAcgBpAGMARgBlAHIAbQBlAG4AdABhAHQAaQBvAG4ARQBtAGkAcwBzAGkAbwBuAEYAYQBjAHQAbwByAF8AVQBuAGkAdAAiACwAIgBTAG8AdQByAGMAZQBEAGEAdABhAF8ATwB0AGgAZQByAEwAaQB2AGUAcwB0AG8AYwBrAC4AUwBvAHUAcgBjAGUARABhAHQAYQBfAE8AdABoAGUAcgBMAGkAdgBlAHMAdABvAGMAawBfAEUAbgB0AGUAcgBpAGMARgBlAHIAbQBlAG4AdABhAHQAaQBvAG4ARQBtAGkAcwBzAGkAbwBuAEYAYQBjAHQAbwByAF8AUwBvAHUAcgBjAGUAIgAsACIAUwBvAHUAcgBjAGUARABhAHQAYQBfAE8AdABoAGUAcgBMAGkAdgBlAHMAdABvAGMAawAuAFMAbwB1AHIAYwBlAEQAYQB0AGEAXwBPAHQAaABlAHIATABpAHYAZQBzAHQAbwBjAGsAXwBFAG4AdABlAHIAaQBjAEYAZQByAG0AZQBuAHQAYQB0AGkAbwBuAEUAbQBpAHMAcwBpAG8AbgBGAGEAYwB0AG8AcgBfAFYAYQByAGkAYQB0AGkAbwBuACIALAAiAFMAbwB1AHIAYwBlAEQAYQB0AGEAXwBPAHQAaABlAHIATABpAHYAZQBzAHQAbwBjAGsALgBTAG8AdQByAGMAZQBEAGEAdABhAF8ATwB0AGgAZQByAEwAaQB2AGUAcwB0AG8AYwBrAF8ARQBuAHQAZQByAGkAYwBGAGUAcgBtAGUAbgB0AGEAdABpAG8AbgBFAG0AaQBzAHMAaQBvAG4ARgBhAGMAdABvAHIAXwBEAGEAdABhACIALAAiAFMAbwB1AHIAYwBlAEQAYQB0AGEAXwBPAHQAaABlAHIATABpAHYAZQBzAHQAbwBjAGsALgBTAG8AdQByAGMAZQBEAGEAdABhAF8ATwB0AGgAZQByAEwAaQB2AGUAcwB0AG8AYwBrAF8AVgBvAGwAYQB0AGkAbABlAFMAbwBsAGkAZABzAFAAcgBvAGQAdQBjAGUAZABfAFQAaQB0AGwAZQAiACwAIgBTAG8AdQByAGMAZQBEAGEAdABhAF8ATwB0AGgAZQByAEwAaQB2AGUAcwB0AG8AYwBrAC4AUwBvAHUAcgBjAGUARABhAHQAYQBfAE8AdABoAGUAcgBMAGkAdgBlAHMAdABvAGMAawBfAFYAbwBsAGEAdABpAGwAZQBTAG8AbABpAGQAcwBQAHIAbwBkAHUAYwBlAGQAXwBWAGEAcgBpAGEAYgBsAGUAIgAsACIAUwBvAHUAcgBjAGUARABhAHQAYQBfAE8AdABoAGUAcgBMAGkAdgBlAHMAdABvAGMAawAuAFMAbwB1AHIAYwBlAEQAYQB0AGEAXwBPAHQAaABlAHIATABpAHYAZQBzAHQAbwBjAGsAXwBWAG8AbABhAHQAaQBsAGUAUwBvAGwAaQBkAHMAUAByAG8AZAB1AGMAZQBkAF8AVQBuAGkAdAAiACwAIgBTAG8AdQByAGMAZQBEAGEAdABhAF8ATwB0AGgAZQByAEwAaQB2AGUAcwB0AG8AYwBrAC4AUwBvAHUAcgBjAGUARABhAHQAYQBfAE8AdABoAGUAcgBMAGkAdgBlAHMAdABvAGMAawBfAFYAbwBsAGEAdABpAGwAZQBTAG8AbABpAGQAcwBQAHIAbwBkAHUAYwBlAGQAXwBTAG8AdQByAGMAZQAiACwAIgBTAG8AdQByAGMAZQBEAGEAdABhAF8ATwB0AGgAZQByAEwAaQB2AGUAcwB0AG8AYwBrAC4AUwBvAHUAcgBjAGUARABhAHQAYQBfAE8AdABoAGUAcgBMAGkAdgBlAHMAdABvAGMAawBfAFYAbwBsAGEAdABpAGwAZQBTAG8AbABpAGQAcwBQAHIAbwBkAHUAYwBlAGQAXwBWAGEAcgBpAGEAdABpAG8AbgAiACwAIgBTAG8AdQByAGMAZQBEAGEAdABhAF8ATwB0AGgAZQByAEwAaQB2AGUAcwB0AG8AYwBrAC4AUwBvAHUAcgBjAGUARABhAHQAYQBfAE8AdABoAGUAcgBMAGkAdgBlAHMAdABvAGMAawBfAFYAbwBsAGEAdABpAGwAZQBTAG8AbABpAGQAcwBQAHIAbwBkAHUAYwBlAGQAXwBEAGEAdABhACIALAAiAFMAbwB1AHIAYwBlAEQAYQB0AGEAXwBPAHQAaABlAHIATABpAHYAZQBzAHQAbwBjAGsALgBTAG8AdQByAGMAZQBEAGEAdABhAF8ATwB0AGgAZQByAEwAaQB2AGUAcwB0AG8AYwBrAF8ATgBpAHQAcgBvAGcAZQBuAEUAeABjAHIAZQB0AGUAZABfAFQAaQB0AGwAZQAiACwAIgBTAG8AdQByAGMAZQBEAGEAdABhAF8ATwB0AGgAZQByAEwAaQB2AGUAcwB0AG8AYwBrAC4AUwBvAHUAcgBjAGUARABhAHQAYQBfAE8AdABoAGUAcgBMAGkAdgBlAHMAdABvAGMAawBfAE4AaQB0AHIAbwBnAGUAbgBFAHgAYwByAGUAdABlAGQAXwBWAGEAcgBpAGEAYgBsAGUAIgAsACIAUwBvAHUAcgBjAGUARABhAHQAYQBfAE8AdABoAGUAcgBMAGkAdgBlAHMAdABvAGMAawAuAFMAbwB1AHIAYwBlAEQAYQB0AGEAXwBPAHQAaABlAHIATABpAHYAZQBzAHQAbwBjAGsAXwBOAGkAdAByAG8AZwBlAG4ARQB4AGMAcgBlAHQAZQBkAF8AVQBuAGkAdAAiACwAIgBTAG8AdQByAGMAZQBEAGEAdABhAF8ATwB0AGgAZQByAEwAaQB2AGUAcwB0AG8AYwBrAC4AUwBvAHUAcgBjAGUARABhAHQAYQBfAE8AdABoAGUAcgBMAGkAdgBlAHMAdABvAGMAawBfAE4AaQB0AHIAbwBnAGUAbgBFAHgAYwByAGUAdABlAGQAXwBTAG8AdQByAGMAZQAiACwAIgBTAG8AdQByAGMAZQBEAGEAdABhAF8ATwB0AGgAZQByAEwAaQB2AGUAcwB0AG8AYwBrAC4AUwBvAHUAcgBjAGUARABhAHQAYQBfAE8AdABoAGUAcgBMAGkAdgBlAHMAdABvAGMAawBfAE4AaQB0AHIAbwBnAGUAbgBFAHgAYwByAGUAdABlAGQAXwBWAGEAcgBpAGEAdABpAG8AbgAiACwAIgBTAG8AdQByAGMAZQBEAGEAdABhAF8ATwB0AGgAZQByAEwAaQB2AGUAcwB0AG8AYwBrAC4AUwBvAHUAcgBjAGUARABhAHQAYQBfAE8AdABoAGUAcgBMAGkAdgBlAHMAdABvAGMAawBfAE4AaQB0AHIAbwBnAGUAbgBFAHgAYwByAGUAdABlAGQAXwBEAGEAdABhACIALAAiAFMAbwB1AHIAYwBlAEQAYQB0AGEAXwBPAHQAaABlAHIATABpAHYAZQBzAHQAbwBjAGsALgBTAG8AdQByAGMAZQBEAGEAdABhAF8ATwB0AGgAZQByAEwAaQB2AGUAcwB0AG8AYwBrAF8AQQB2AGUAcgBhAGcAZQBMAGkAdgBlAHcAZQBpAGcAaAB0AF8AVABpAHQAbABlACIALAAiAFMAbwB1AHIAYwBlAEQAYQB0AGEAXwBPAHQAaABlAHIATABpAHYAZQBzAHQAbwBjAGsALgBTAG8AdQByAGMAZQBEAGEAdABhAF8ATwB0AGgAZQByAEwAaQB2AGUAcwB0AG8AYwBrAF8AQQB2AGUAcgBhAGcAZQBMAGkAdgBlAHcAZQBpAGcAaAB0AF8AVgBhAHIAaQBhAGIAbABlACIALAAiAFMAbwB1AHIAYwBlAEQAYQB0AGEAXwBPAHQAaABlAHIATABpAHYAZQBzAHQAbwBjAGsALgBTAG8AdQByAGMAZQBEAGEAdABhAF8ATwB0AGgAZQByAEwAaQB2AGUAcwB0AG8AYwBrAF8AQQB2AGUAcgBhAGcAZQBMAGkAdgBlAHcAZQBpAGcAaAB0AF8AVQBuAGkAdAAiACwAIgBTAG8AdQByAGMAZQBEAGEAdABhAF8ATwB0AGgAZQByAEwAaQB2AGUAcwB0AG8AYwBrAC4AUwBvAHUAcgBjAGUARABhAHQAYQBfAE8AdABoAGUAcgBMAGkAdgBlAHMAdABvAGMAawBfAEEAdgBlAHIAYQBnAGUATABpAHYAZQB3AGUAaQBnAGgAdABfAFMAbwB1AHIAYwBlACIALAAiAFMAbwB1AHIAYwBlAEQAYQB0AGEAXwBPAHQAaABlAHIATABpAHYAZQBzAHQAbwBjAGsALgBTAG8AdQByAGMAZQBEAGEAdABhAF8ATwB0AGgAZQByAEwAaQB2AGUAcwB0AG8AYwBrAF8AQQB2AGUAcgBhAGcAZQBMAGkAdgBlAHcAZQBpAGcAaAB0AF8AVgBhAHIAaQBhAHQAaQBvAG4AIgAsACIAUwBvAHUAcgBjAGUARABhAHQAYQBfAE8AdABoAGUAcgBMAGkAdgBlAHMAdABvAGMAawAuAFMAbwB1AHIAYwBlAEQAYQB0AGEAXwBPAHQAaABlAHIATABpAHYAZQBzAHQAbwBjAGsAXwBBAHYAZQByAGEAZwBlAEwAaQB2AGUAdwBlAGkAZwBoAHQAXwBEAGEAdABhACIALAAiAFMAbwB1AHIAYwBlAEQAYQB0AGEAXwBPAHQAaABlAHIATABpAHYAZQBzAHQAbwBjAGsALgBTAG8AdQByAGMAZQBEAGEAdABhAF8ATwB0AGgAZQByAEwAaQB2AGUAcwB0AG8AYwBrAF8ARgByAGEAYwB0AGkAbwBuAFcAYQBzAHQAZQBJAG4ATQBNAFMAXwBUAGkAdABsAGUAIgAsACIAUwBvAHUAcgBjAGUARABhAHQAYQBfAE8AdABoAGUAcgBMAGkAdgBlAHMAdABvAGMAawAuAFMAbwB1AHIAYwBlAEQAYQB0AGEAXwBPAHQAaABlAHIATABpAHYAZQBzAHQAbwBjAGsAXwBGAHIAYQBjAHQAaQBvAG4AVwBhAHMAdABlAEkAbgBNAE0AUwBfAFYAYQByAGkAYQBiAGwAZQAiACwAIgBTAG8AdQByAGMAZQBEAGEAdABhAF8ATwB0AGgAZQByAEwAaQB2AGUAcwB0AG8AYwBrAC4AUwBvAHUAcgBjAGUARABhAHQAYQBfAE8AdABoAGUAcgBMAGkAdgBlAHMAdABvAGMAawBfAEYAcgBhAGMAdABpAG8AbgBXAGEAcwB0AGUASQBuAE0ATQBTAF8AVQBuAGkAdAAiACwAIgBTAG8AdQByAGMAZQBEAGEAdABhAF8ATwB0AGgAZQByAEwAaQB2AGUAcwB0AG8AYwBrAC4AUwBvAHUAcgBjAGUARABhAHQAYQBfAE8AdABoAGUAcgBMAGkAdgBlAHMAdABvAGMAawBfAEYAcgBhAGMAdABpAG8AbgBXAGEAcwB0AGUASQBuAE0ATQBTAF8AUwBvAHUAcgBjAGUAIgAsACIAUwBvAHUAcgBjAGUARABhAHQAYQBfAE8AdABoAGUAcgBMAGkAdgBlAHMAdABvAGMAawAuAFMAbwB1AHIAYwBlAEQAYQB0AGEAXwBPAHQAaABlAHIATABpAHYAZQBzAHQAbwBjAGsAXwBGAHIAYQBjAHQAaQBvAG4AVwBhAHMAdABlAEkAbgBNAE0AUwBfAFYAYQByAGkAYQB0AGkAbwBuACIALAAiAFMAbwB1AHIAYwBlAEQAYQB0AGEAXwBPAHQAaABlAHIATABpAHYAZQBzAHQAbwBjAGsALgBTAG8AdQByAGMAZQBEAGEAdABhAF8ATwB0AGgAZQByAEwAaQB2AGUAcwB0AG8AYwBrAF8ARgByAGEAYwB0AGkAbwBuAFcAYQBzAHQAZQBJAG4ATQBNAFMAXwBEAGEAdABhACIALAAiAFMAbwB1AHIAYwBlAEQAYQB0AGEAXwBPAHQAaABlAHIATABpAHYAZQBzAHQAbwBjAGsALgBTAG8AdQByAGMAZQBEAGEAdABhAF8ATwB0AGgAZQByAEwAaQB2AGUAcwB0AG8AYwBrAF8ATQBlAHQAaABhAG4AZQBDAG8AbgB2AGUAcgBzAGkAbwBuAEYAYQBjAHQAbwByAF8AVABpAHQAbABlACIALAAiAFMAbwB1AHIAYwBlAEQAYQB0AGEAXwBPAHQAaABlAHIATABpAHYAZQBzAHQAbwBjAGsALgBTAG8AdQByAGMAZQBEAGEAdABhAF8ATwB0AGgAZQByAEwAaQB2AGUAcwB0AG8AYwBrAF8ATQBlAHQAaABhAG4AZQBDAG8AbgB2AGUAcgBzAGkAbwBuAEYAYQBjAHQAbwByAF8AVgBhAHIAaQBhAGIAbABlACIALAAiAFMAbwB1AHIAYwBlAEQAYQB0AGEAXwBPAHQAaABlAHIATABpAHYAZQBzAHQAbwBjAGsALgBTAG8AdQByAGMAZQBEAGEAdABhAF8ATwB0AGgAZQByAEwAaQB2AGUAcwB0AG8AYwBrAF8ATQBlAHQAaABhAG4AZQBDAG8AbgB2AGUAcgBzAGkAbwBuAEYAYQBjAHQAbwByAF8AVQBuAGkAdAAiACwAIgBTAG8AdQByAGMAZQBEAGEAdABhAF8ATwB0AGgAZQByAEwAaQB2AGUAcwB0AG8AYwBrAC4AUwBvAHUAcgBjAGUARABhAHQAYQBfAE8AdABoAGUAcgBMAGkAdgBlAHMAdABvAGMAawBfAE0AZQB0AGgAYQBuAGUAQwBvAG4AdgBlAHIAcwBpAG8AbgBGAGEAYwB0AG8AcgBfAFMAbwB1AHIAYwBlACIALAAiAFMAbwB1AHIAYwBlAEQAYQB0AGEAXwBPAHQAaABlAHIATABpAHYAZQBzAHQAbwBjAGsALgBTAG8AdQByAGMAZQBEAGEAdABhAF8ATwB0AGgAZQByAEwAaQB2AGUAcwB0AG8AYwBrAF8ATQBlAHQAaABhAG4AZQBDAG8AbgB2AGUAcgBzAGkAbwBuAEYAYQBjAHQAbwByAF8AVgBhAHIAaQBhAHQAaQBvAG4AIgAsACIAUwBvAHUAcgBjAGUARABhAHQAYQBfAE8AdABoAGUAcgBMAGkAdgBlAHMAdABvAGMAawAuAFMAbwB1AHIAYwBlAEQAYQB0AGEAXwBPAHQAaABlAHIATABpAHYAZQBzAHQAbwBjAGsAXwBNAGUAdABoAGEAbgBlAEMAbwBuAHYAZQByAHMAaQBvAG4ARgBhAGMAdABvAHIAXwBEAGEAdABh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FQAaQB0AGw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VgBhAHIAaQBhAGIAbABl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VAG4AaQB0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TAG8AdQByAGM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TgBJAFIAUgBlAGYAZQByAGUAbgBjAGU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wAYQB0AGUAeABFAHEAdQBhAHQAaQBvAG4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Home</vt:lpstr>
      <vt:lpstr>Overview</vt:lpstr>
      <vt:lpstr>Results</vt:lpstr>
      <vt:lpstr>Input - Site</vt:lpstr>
      <vt:lpstr>Input - Other Livestock</vt:lpstr>
      <vt:lpstr>3.6.1.1-2 Enteric Methane</vt:lpstr>
      <vt:lpstr>Constants - Other Livestock</vt:lpstr>
      <vt:lpstr>Constants - Common</vt:lpstr>
      <vt:lpstr>Acknowledgements</vt:lpstr>
      <vt:lpstr>Tab template</vt:lpstr>
      <vt:lpstr>Common_SourceData_DensityOfMethane_Data</vt:lpstr>
      <vt:lpstr>X_Cell_OtherLivestock_Others_Alpacas_Head</vt:lpstr>
      <vt:lpstr>X_Cell_OtherLivestock_Others_Camels_Head</vt:lpstr>
      <vt:lpstr>X_Cell_OtherLivestock_Others_Emus_Head</vt:lpstr>
      <vt:lpstr>X_Cell_OtherLivestock_Others_Horses_Head</vt:lpstr>
      <vt:lpstr>X_Cell_OtherLivestock_Others_Mules_Head</vt:lpstr>
      <vt:lpstr>X_Cell_Site_EndDate</vt:lpstr>
      <vt:lpstr>X_Cell_Site_FarmName</vt:lpstr>
      <vt:lpstr>X_Cell_Site_ReportingEntityName</vt:lpstr>
      <vt:lpstr>X_Cell_Site_StartDate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2026-08-03T06:53:27Z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