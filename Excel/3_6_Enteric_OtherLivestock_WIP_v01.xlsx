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DB85443-1AB0-4F6B-8C19-503EACF4483A}" xr6:coauthVersionLast="47" xr6:coauthVersionMax="47" xr10:uidLastSave="{00000000-0000-0000-0000-000000000000}"/>
  <bookViews>
    <workbookView xWindow="270" yWindow="120" windowWidth="38085" windowHeight="20475" activeTab="2"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98" r:id="rId8"/>
    <sheet name="Acknowledgements" sheetId="72" r:id="rId9"/>
    <sheet name="Tab template" sheetId="74"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3" l="1"/>
  <c r="I7" i="13" s="1"/>
  <c r="F7" i="13"/>
  <c r="E7" i="13"/>
  <c r="H30" i="69"/>
  <c r="F33" i="69" a="1"/>
  <c r="F33" i="69" s="1"/>
  <c r="G31" i="69"/>
  <c r="G30" i="69"/>
  <c r="E33" i="69" s="1" a="1"/>
  <c r="E33" i="69" s="1"/>
  <c r="D30" i="69" a="1"/>
  <c r="D30" i="69" s="1"/>
  <c r="A17" i="98"/>
  <c r="A16" i="98"/>
  <c r="A15" i="98"/>
  <c r="A12" i="98"/>
  <c r="A9" i="98"/>
  <c r="A8" i="98"/>
  <c r="A5" i="98"/>
  <c r="A4" i="98"/>
  <c r="A3" i="98"/>
  <c r="A17" i="79"/>
  <c r="A16" i="79"/>
  <c r="A15" i="79"/>
  <c r="A12" i="79"/>
  <c r="A9" i="79"/>
  <c r="A8" i="79"/>
  <c r="A5" i="79"/>
  <c r="A4" i="79"/>
  <c r="A3" i="79"/>
  <c r="A17" i="70"/>
  <c r="A16" i="70"/>
  <c r="A15" i="70"/>
  <c r="A12" i="70"/>
  <c r="A9" i="70"/>
  <c r="A8" i="70"/>
  <c r="A5" i="70"/>
  <c r="A4" i="70"/>
  <c r="A3" i="70"/>
  <c r="A17" i="15"/>
  <c r="A16" i="15"/>
  <c r="A15" i="15"/>
  <c r="A12" i="15"/>
  <c r="A9" i="15"/>
  <c r="A8" i="15"/>
  <c r="A5" i="15"/>
  <c r="A4" i="15"/>
  <c r="A3" i="15"/>
  <c r="A17" i="13"/>
  <c r="A16" i="13"/>
  <c r="A15" i="13"/>
  <c r="A12" i="13"/>
  <c r="A9" i="13"/>
  <c r="A8" i="13"/>
  <c r="A5" i="13"/>
  <c r="A4" i="13"/>
  <c r="A3" i="13"/>
  <c r="A17" i="100"/>
  <c r="A16" i="100"/>
  <c r="A15" i="100"/>
  <c r="A12" i="100"/>
  <c r="A9" i="100"/>
  <c r="A8" i="100"/>
  <c r="A5" i="100"/>
  <c r="A4" i="100"/>
  <c r="A3" i="100"/>
  <c r="A9" i="69"/>
  <c r="A12" i="69"/>
  <c r="A15" i="69"/>
  <c r="F28" i="69"/>
  <c r="E28" i="69"/>
  <c r="H19" i="69"/>
  <c r="G26" i="69" a="1"/>
  <c r="G26" i="69" s="1"/>
  <c r="G25" i="69" a="1"/>
  <c r="G25" i="69" s="1"/>
  <c r="G24" i="69" a="1"/>
  <c r="G24" i="69" s="1"/>
  <c r="G23" i="69" a="1"/>
  <c r="G23" i="69" s="1"/>
  <c r="G22" i="69" a="1"/>
  <c r="G22" i="69" s="1"/>
  <c r="G21" i="69" a="1"/>
  <c r="G21" i="69" s="1"/>
  <c r="G20" i="69" a="1"/>
  <c r="G20" i="69" s="1"/>
  <c r="G19" i="69" a="1"/>
  <c r="G19" i="69" s="1"/>
  <c r="E26" i="69"/>
  <c r="E25" i="69"/>
  <c r="E24" i="69"/>
  <c r="E23" i="69"/>
  <c r="E22" i="69"/>
  <c r="E21" i="69"/>
  <c r="E20" i="69"/>
  <c r="E19" i="69"/>
  <c r="F26" i="69" a="1"/>
  <c r="F26" i="69" s="1"/>
  <c r="F25" i="69" a="1"/>
  <c r="F25" i="69" s="1"/>
  <c r="F24" i="69" a="1"/>
  <c r="F24" i="69" s="1"/>
  <c r="F23" i="69" a="1"/>
  <c r="F23" i="69" s="1"/>
  <c r="F22" i="69" a="1"/>
  <c r="F22" i="69" s="1"/>
  <c r="F21" i="69" a="1"/>
  <c r="F21" i="69" s="1"/>
  <c r="F20" i="69" a="1"/>
  <c r="F20" i="69" s="1"/>
  <c r="F19" i="69" a="1"/>
  <c r="F19" i="69" s="1"/>
  <c r="D26" i="69"/>
  <c r="D25" i="69"/>
  <c r="D24" i="69"/>
  <c r="D23" i="69"/>
  <c r="D22" i="69"/>
  <c r="D21" i="69"/>
  <c r="D20" i="69"/>
  <c r="D19" i="69"/>
  <c r="D26" i="70"/>
  <c r="D20" i="70"/>
  <c r="D14" i="70"/>
  <c r="G13" i="69" a="1"/>
  <c r="G13" i="69" s="1"/>
  <c r="D13" i="69" a="1"/>
  <c r="D13" i="69" s="1"/>
  <c r="E11" i="69" a="1"/>
  <c r="E11" i="69" s="1"/>
  <c r="E10" i="69" a="1"/>
  <c r="E10" i="69" s="1"/>
  <c r="D6" i="69" a="1"/>
  <c r="D6" i="69" s="1"/>
  <c r="D5" i="69" a="1"/>
  <c r="D5" i="69" s="1"/>
  <c r="E7" i="69" a="1"/>
  <c r="E7" i="69" l="1"/>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c r="D46" i="79" a="1"/>
  <c r="E45" i="79" a="1"/>
  <c r="E45" i="79" s="1"/>
  <c r="D45" i="79" a="1"/>
  <c r="D45" i="79" s="1"/>
  <c r="E44" i="79" a="1"/>
  <c r="E44" i="79" s="1"/>
  <c r="D44" i="79" a="1"/>
  <c r="D44" i="79" s="1"/>
  <c r="E43" i="79" a="1"/>
  <c r="E43" i="79" s="1"/>
  <c r="D43" i="79" a="1"/>
  <c r="D43" i="79" s="1"/>
  <c r="E42" i="79"/>
  <c r="E42" i="79" a="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c r="D31" i="79" a="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E17" i="79" a="1"/>
  <c r="E17" i="79" s="1"/>
  <c r="D16" i="79" a="1"/>
  <c r="D16" i="79" s="1"/>
  <c r="E16" i="79" a="1"/>
  <c r="E16" i="79" s="1"/>
  <c r="D15" i="79" a="1"/>
  <c r="D15" i="79" s="1"/>
  <c r="E15" i="79" a="1"/>
  <c r="E15" i="79" s="1"/>
  <c r="D14" i="79" a="1"/>
  <c r="D14" i="79" s="1"/>
  <c r="E14" i="79" a="1"/>
  <c r="E14" i="79" s="1"/>
  <c r="D13" i="79" a="1"/>
  <c r="D13" i="79" s="1"/>
  <c r="E13" i="79" a="1"/>
  <c r="E13" i="79" s="1"/>
  <c r="D12" i="79" a="1"/>
  <c r="D12" i="79" s="1"/>
  <c r="E12" i="79" a="1"/>
  <c r="E12" i="79" s="1"/>
  <c r="D11" i="79" a="1"/>
  <c r="D11" i="79" s="1"/>
  <c r="E11" i="79" a="1"/>
  <c r="E11" i="79" s="1"/>
  <c r="E10" i="79" a="1"/>
  <c r="E10" i="79" s="1"/>
  <c r="D10" i="79" a="1"/>
  <c r="D10" i="79" s="1"/>
  <c r="D8" i="79" a="1"/>
  <c r="D8" i="79" s="1"/>
  <c r="D7" i="79" a="1"/>
  <c r="D7" i="79" s="1"/>
  <c r="D6" i="79" a="1"/>
  <c r="D6" i="79" s="1"/>
  <c r="D5" i="79" a="1"/>
  <c r="D5" i="79" s="1"/>
  <c r="A17" i="69"/>
  <c r="A16" i="69"/>
  <c r="A8" i="69"/>
  <c r="A5" i="69"/>
  <c r="A4" i="69"/>
  <c r="A3" i="69"/>
  <c r="S250" i="98" l="1" a="1"/>
  <c r="S250" i="98" s="1"/>
  <c r="R250" i="98" a="1"/>
  <c r="R250" i="98" s="1"/>
  <c r="Q250" i="98" a="1"/>
  <c r="Q250" i="98" s="1"/>
  <c r="P250" i="98" a="1"/>
  <c r="P250" i="98" s="1"/>
  <c r="O250" i="98" a="1"/>
  <c r="O250" i="98" s="1"/>
  <c r="N250" i="98" a="1"/>
  <c r="N250" i="98" s="1"/>
  <c r="M250" i="98" a="1"/>
  <c r="M250" i="98" s="1"/>
  <c r="L250" i="98" a="1"/>
  <c r="L250" i="98" s="1"/>
  <c r="K250" i="98" a="1"/>
  <c r="K250" i="98" s="1"/>
  <c r="J250" i="98" a="1"/>
  <c r="J250" i="98" s="1"/>
  <c r="I250" i="98" a="1"/>
  <c r="I250" i="98" s="1"/>
  <c r="H250" i="98" a="1"/>
  <c r="H250" i="98" s="1"/>
  <c r="G250" i="98" a="1"/>
  <c r="G250" i="98" s="1"/>
  <c r="F250" i="98" a="1"/>
  <c r="F250" i="98" s="1"/>
  <c r="E250" i="98" a="1"/>
  <c r="E250" i="98" s="1"/>
  <c r="D250" i="98" a="1"/>
  <c r="D250" i="98" s="1"/>
  <c r="S249" i="98" a="1"/>
  <c r="S249" i="98" s="1"/>
  <c r="R249" i="98" a="1"/>
  <c r="R249" i="98" s="1"/>
  <c r="Q249" i="98" a="1"/>
  <c r="Q249" i="98" s="1"/>
  <c r="P249" i="98" a="1"/>
  <c r="P249" i="98" s="1"/>
  <c r="O249" i="98" a="1"/>
  <c r="O249" i="98" s="1"/>
  <c r="N249" i="98" a="1"/>
  <c r="N249" i="98" s="1"/>
  <c r="M249" i="98" a="1"/>
  <c r="M249" i="98" s="1"/>
  <c r="L249" i="98" a="1"/>
  <c r="L249" i="98" s="1"/>
  <c r="K249" i="98" a="1"/>
  <c r="K249" i="98" s="1"/>
  <c r="J249" i="98" a="1"/>
  <c r="J249" i="98" s="1"/>
  <c r="I249" i="98" a="1"/>
  <c r="I249" i="98" s="1"/>
  <c r="H249" i="98" a="1"/>
  <c r="H249" i="98" s="1"/>
  <c r="G249" i="98" a="1"/>
  <c r="G249" i="98" s="1"/>
  <c r="F249" i="98" a="1"/>
  <c r="F249" i="98" s="1"/>
  <c r="E249" i="98" a="1"/>
  <c r="E249" i="98" s="1"/>
  <c r="D249" i="98" a="1"/>
  <c r="D249" i="98" s="1"/>
  <c r="S248" i="98" a="1"/>
  <c r="S248" i="98" s="1"/>
  <c r="R248" i="98" a="1"/>
  <c r="R248" i="98" s="1"/>
  <c r="Q248" i="98" a="1"/>
  <c r="Q248" i="98" s="1"/>
  <c r="P248" i="98" a="1"/>
  <c r="P248" i="98" s="1"/>
  <c r="O248" i="98" a="1"/>
  <c r="O248" i="98" s="1"/>
  <c r="N248" i="98" a="1"/>
  <c r="N248" i="98" s="1"/>
  <c r="M248" i="98" a="1"/>
  <c r="M248" i="98" s="1"/>
  <c r="L248" i="98" a="1"/>
  <c r="L248" i="98" s="1"/>
  <c r="K248" i="98" a="1"/>
  <c r="K248" i="98" s="1"/>
  <c r="J248" i="98" a="1"/>
  <c r="J248" i="98" s="1"/>
  <c r="I248" i="98" a="1"/>
  <c r="I248" i="98" s="1"/>
  <c r="H248" i="98" a="1"/>
  <c r="H248" i="98" s="1"/>
  <c r="G248" i="98" a="1"/>
  <c r="G248" i="98" s="1"/>
  <c r="F248" i="98" a="1"/>
  <c r="F248" i="98" s="1"/>
  <c r="E248" i="98" a="1"/>
  <c r="E248" i="98" s="1"/>
  <c r="D248" i="98" a="1"/>
  <c r="D248" i="98" s="1"/>
  <c r="S247" i="98" a="1"/>
  <c r="S247" i="98" s="1"/>
  <c r="R247" i="98" a="1"/>
  <c r="R247" i="98" s="1"/>
  <c r="Q247" i="98" a="1"/>
  <c r="Q247" i="98" s="1"/>
  <c r="P247" i="98" a="1"/>
  <c r="P247" i="98" s="1"/>
  <c r="O247" i="98" a="1"/>
  <c r="O247" i="98" s="1"/>
  <c r="N247" i="98" a="1"/>
  <c r="N247" i="98" s="1"/>
  <c r="M247" i="98" a="1"/>
  <c r="M247" i="98" s="1"/>
  <c r="L247" i="98" a="1"/>
  <c r="L247" i="98" s="1"/>
  <c r="K247" i="98" a="1"/>
  <c r="K247" i="98" s="1"/>
  <c r="J247" i="98" a="1"/>
  <c r="J247" i="98" s="1"/>
  <c r="I247" i="98" a="1"/>
  <c r="I247" i="98" s="1"/>
  <c r="H247" i="98" a="1"/>
  <c r="H247" i="98" s="1"/>
  <c r="G247" i="98" a="1"/>
  <c r="G247" i="98" s="1"/>
  <c r="F247" i="98" a="1"/>
  <c r="F247" i="98" s="1"/>
  <c r="E247" i="98" a="1"/>
  <c r="E247" i="98" s="1"/>
  <c r="D247" i="98" a="1"/>
  <c r="D247" i="98" s="1"/>
  <c r="S246" i="98" a="1"/>
  <c r="S246" i="98" s="1"/>
  <c r="R246" i="98" a="1"/>
  <c r="R246" i="98" s="1"/>
  <c r="Q246" i="98" a="1"/>
  <c r="Q246" i="98" s="1"/>
  <c r="P246" i="98" a="1"/>
  <c r="P246" i="98" s="1"/>
  <c r="O246" i="98" a="1"/>
  <c r="O246" i="98" s="1"/>
  <c r="N246" i="98" a="1"/>
  <c r="N246" i="98" s="1"/>
  <c r="M246" i="98" a="1"/>
  <c r="M246" i="98" s="1"/>
  <c r="L246" i="98" a="1"/>
  <c r="L246" i="98" s="1"/>
  <c r="K246" i="98" a="1"/>
  <c r="K246" i="98" s="1"/>
  <c r="J246" i="98" a="1"/>
  <c r="J246" i="98" s="1"/>
  <c r="I246" i="98" a="1"/>
  <c r="I246" i="98" s="1"/>
  <c r="H246" i="98" a="1"/>
  <c r="H246" i="98" s="1"/>
  <c r="G246" i="98" a="1"/>
  <c r="G246" i="98" s="1"/>
  <c r="F246" i="98" a="1"/>
  <c r="F246" i="98" s="1"/>
  <c r="E246" i="98" a="1"/>
  <c r="E246" i="98" s="1"/>
  <c r="D246" i="98" a="1"/>
  <c r="D246" i="98" s="1"/>
  <c r="S245" i="98" a="1"/>
  <c r="S245" i="98" s="1"/>
  <c r="R245" i="98" a="1"/>
  <c r="R245" i="98" s="1"/>
  <c r="Q245" i="98" a="1"/>
  <c r="Q245" i="98" s="1"/>
  <c r="P245" i="98" a="1"/>
  <c r="P245" i="98" s="1"/>
  <c r="O245" i="98" a="1"/>
  <c r="O245" i="98" s="1"/>
  <c r="N245" i="98" a="1"/>
  <c r="N245" i="98" s="1"/>
  <c r="M245" i="98" a="1"/>
  <c r="M245" i="98" s="1"/>
  <c r="L245" i="98" a="1"/>
  <c r="L245" i="98" s="1"/>
  <c r="K245" i="98" a="1"/>
  <c r="K245" i="98" s="1"/>
  <c r="J245" i="98" a="1"/>
  <c r="J245" i="98" s="1"/>
  <c r="I245" i="98" a="1"/>
  <c r="I245" i="98" s="1"/>
  <c r="H245" i="98" a="1"/>
  <c r="H245" i="98" s="1"/>
  <c r="G245" i="98" a="1"/>
  <c r="G245" i="98" s="1"/>
  <c r="F245" i="98" a="1"/>
  <c r="F245" i="98" s="1"/>
  <c r="E245" i="98" a="1"/>
  <c r="E245" i="98" s="1"/>
  <c r="D245" i="98" a="1"/>
  <c r="D245" i="98" s="1"/>
  <c r="S244" i="98" a="1"/>
  <c r="S244" i="98" s="1"/>
  <c r="R244" i="98" a="1"/>
  <c r="R244" i="98" s="1"/>
  <c r="Q244" i="98" a="1"/>
  <c r="Q244" i="98" s="1"/>
  <c r="P244" i="98" a="1"/>
  <c r="P244" i="98" s="1"/>
  <c r="O244" i="98" a="1"/>
  <c r="O244" i="98" s="1"/>
  <c r="N244" i="98" a="1"/>
  <c r="N244" i="98" s="1"/>
  <c r="M244" i="98" a="1"/>
  <c r="M244" i="98" s="1"/>
  <c r="L244" i="98" a="1"/>
  <c r="L244" i="98" s="1"/>
  <c r="K244" i="98" a="1"/>
  <c r="K244" i="98" s="1"/>
  <c r="J244" i="98" a="1"/>
  <c r="J244" i="98" s="1"/>
  <c r="I244" i="98" a="1"/>
  <c r="I244" i="98" s="1"/>
  <c r="H244" i="98" a="1"/>
  <c r="H244" i="98" s="1"/>
  <c r="G244" i="98" a="1"/>
  <c r="G244" i="98" s="1"/>
  <c r="F244" i="98" a="1"/>
  <c r="F244" i="98" s="1"/>
  <c r="E244" i="98" a="1"/>
  <c r="E244" i="98" s="1"/>
  <c r="D244" i="98" a="1"/>
  <c r="D244" i="98" s="1"/>
  <c r="S243" i="98" a="1"/>
  <c r="S243" i="98" s="1"/>
  <c r="R243" i="98" a="1"/>
  <c r="R243" i="98" s="1"/>
  <c r="Q243" i="98" a="1"/>
  <c r="Q243" i="98" s="1"/>
  <c r="P243" i="98" a="1"/>
  <c r="P243" i="98" s="1"/>
  <c r="O243" i="98" a="1"/>
  <c r="O243" i="98" s="1"/>
  <c r="N243" i="98" a="1"/>
  <c r="N243" i="98" s="1"/>
  <c r="M243" i="98" a="1"/>
  <c r="M243" i="98" s="1"/>
  <c r="L243" i="98" a="1"/>
  <c r="L243" i="98" s="1"/>
  <c r="K243" i="98" a="1"/>
  <c r="K243" i="98" s="1"/>
  <c r="J243" i="98" a="1"/>
  <c r="J243" i="98" s="1"/>
  <c r="I243" i="98" a="1"/>
  <c r="I243" i="98" s="1"/>
  <c r="H243" i="98" a="1"/>
  <c r="H243" i="98" s="1"/>
  <c r="G243" i="98" a="1"/>
  <c r="G243" i="98" s="1"/>
  <c r="F243" i="98" a="1"/>
  <c r="F243" i="98" s="1"/>
  <c r="E243" i="98" a="1"/>
  <c r="E243" i="98" s="1"/>
  <c r="D243" i="98" a="1"/>
  <c r="D243" i="98" s="1"/>
  <c r="S242" i="98" a="1"/>
  <c r="S242" i="98" s="1"/>
  <c r="R242" i="98" a="1"/>
  <c r="R242" i="98" s="1"/>
  <c r="Q242" i="98" a="1"/>
  <c r="Q242" i="98" s="1"/>
  <c r="P242" i="98" a="1"/>
  <c r="P242" i="98" s="1"/>
  <c r="O242" i="98" a="1"/>
  <c r="O242" i="98" s="1"/>
  <c r="N242" i="98" a="1"/>
  <c r="N242" i="98" s="1"/>
  <c r="M242" i="98" a="1"/>
  <c r="M242" i="98" s="1"/>
  <c r="L242" i="98" a="1"/>
  <c r="L242" i="98" s="1"/>
  <c r="K242" i="98" a="1"/>
  <c r="K242" i="98" s="1"/>
  <c r="J242" i="98" a="1"/>
  <c r="J242" i="98" s="1"/>
  <c r="I242" i="98" a="1"/>
  <c r="I242" i="98" s="1"/>
  <c r="H242" i="98" a="1"/>
  <c r="H242" i="98" s="1"/>
  <c r="G242" i="98" a="1"/>
  <c r="G242" i="98" s="1"/>
  <c r="F242" i="98" a="1"/>
  <c r="F242" i="98" s="1"/>
  <c r="E242" i="98" a="1"/>
  <c r="E242" i="98" s="1"/>
  <c r="D242" i="98" a="1"/>
  <c r="D242" i="98" s="1"/>
  <c r="S241" i="98" a="1"/>
  <c r="S241" i="98" s="1"/>
  <c r="R241" i="98" a="1"/>
  <c r="R241" i="98" s="1"/>
  <c r="Q241" i="98" a="1"/>
  <c r="Q241" i="98" s="1"/>
  <c r="P241" i="98" a="1"/>
  <c r="P241" i="98" s="1"/>
  <c r="O241" i="98" a="1"/>
  <c r="O241" i="98" s="1"/>
  <c r="N241" i="98" a="1"/>
  <c r="N241" i="98" s="1"/>
  <c r="M241" i="98" a="1"/>
  <c r="M241" i="98" s="1"/>
  <c r="L241" i="98" a="1"/>
  <c r="L241" i="98" s="1"/>
  <c r="K241" i="98" a="1"/>
  <c r="K241" i="98" s="1"/>
  <c r="J241" i="98" a="1"/>
  <c r="J241" i="98" s="1"/>
  <c r="I241" i="98" a="1"/>
  <c r="I241" i="98" s="1"/>
  <c r="H241" i="98" a="1"/>
  <c r="H241" i="98" s="1"/>
  <c r="G241" i="98" a="1"/>
  <c r="G241" i="98" s="1"/>
  <c r="F241" i="98" a="1"/>
  <c r="F241" i="98" s="1"/>
  <c r="E241" i="98" a="1"/>
  <c r="E241" i="98" s="1"/>
  <c r="D241" i="98" a="1"/>
  <c r="D241" i="98" s="1"/>
  <c r="S240" i="98" a="1"/>
  <c r="S240" i="98" s="1"/>
  <c r="R240" i="98" a="1"/>
  <c r="R240" i="98" s="1"/>
  <c r="Q240" i="98" a="1"/>
  <c r="Q240" i="98" s="1"/>
  <c r="P240" i="98" a="1"/>
  <c r="P240" i="98" s="1"/>
  <c r="O240" i="98" a="1"/>
  <c r="O240" i="98" s="1"/>
  <c r="N240" i="98" a="1"/>
  <c r="N240" i="98" s="1"/>
  <c r="M240" i="98" a="1"/>
  <c r="M240" i="98" s="1"/>
  <c r="L240" i="98" a="1"/>
  <c r="L240" i="98" s="1"/>
  <c r="K240" i="98" a="1"/>
  <c r="K240" i="98" s="1"/>
  <c r="J240" i="98" a="1"/>
  <c r="J240" i="98" s="1"/>
  <c r="I240" i="98" a="1"/>
  <c r="I240" i="98" s="1"/>
  <c r="H240" i="98" a="1"/>
  <c r="H240" i="98" s="1"/>
  <c r="G240" i="98" a="1"/>
  <c r="G240" i="98" s="1"/>
  <c r="F240" i="98" a="1"/>
  <c r="F240" i="98" s="1"/>
  <c r="E240" i="98" a="1"/>
  <c r="E240" i="98" s="1"/>
  <c r="D240" i="98" a="1"/>
  <c r="D240" i="98" s="1"/>
  <c r="S239" i="98" a="1"/>
  <c r="S239" i="98" s="1"/>
  <c r="R239" i="98" a="1"/>
  <c r="R239" i="98" s="1"/>
  <c r="Q239" i="98" a="1"/>
  <c r="Q239" i="98" s="1"/>
  <c r="P239" i="98" a="1"/>
  <c r="P239" i="98" s="1"/>
  <c r="O239" i="98" a="1"/>
  <c r="O239" i="98" s="1"/>
  <c r="N239" i="98" a="1"/>
  <c r="N239" i="98" s="1"/>
  <c r="M239" i="98" a="1"/>
  <c r="M239" i="98" s="1"/>
  <c r="L239" i="98" a="1"/>
  <c r="L239" i="98" s="1"/>
  <c r="K239" i="98" a="1"/>
  <c r="K239" i="98" s="1"/>
  <c r="J239" i="98" a="1"/>
  <c r="J239" i="98" s="1"/>
  <c r="I239" i="98" a="1"/>
  <c r="I239" i="98" s="1"/>
  <c r="H239" i="98" a="1"/>
  <c r="H239" i="98" s="1"/>
  <c r="G239" i="98" a="1"/>
  <c r="G239" i="98" s="1"/>
  <c r="F239" i="98" a="1"/>
  <c r="F239" i="98" s="1"/>
  <c r="E239" i="98" a="1"/>
  <c r="E239" i="98" s="1"/>
  <c r="D239" i="98" a="1"/>
  <c r="D239" i="98" s="1"/>
  <c r="S238" i="98" a="1"/>
  <c r="S238" i="98" s="1"/>
  <c r="R238" i="98" a="1"/>
  <c r="R238" i="98" s="1"/>
  <c r="Q238" i="98" a="1"/>
  <c r="Q238" i="98" s="1"/>
  <c r="P238" i="98" a="1"/>
  <c r="P238" i="98" s="1"/>
  <c r="O238" i="98" a="1"/>
  <c r="O238" i="98" s="1"/>
  <c r="N238" i="98" a="1"/>
  <c r="N238" i="98" s="1"/>
  <c r="M238" i="98" a="1"/>
  <c r="M238" i="98" s="1"/>
  <c r="L238" i="98" a="1"/>
  <c r="L238" i="98" s="1"/>
  <c r="K238" i="98" a="1"/>
  <c r="K238" i="98" s="1"/>
  <c r="J238" i="98" a="1"/>
  <c r="J238" i="98" s="1"/>
  <c r="I238" i="98" a="1"/>
  <c r="I238" i="98" s="1"/>
  <c r="H238" i="98" a="1"/>
  <c r="H238" i="98" s="1"/>
  <c r="G238" i="98" a="1"/>
  <c r="G238" i="98" s="1"/>
  <c r="F238" i="98" a="1"/>
  <c r="F238" i="98" s="1"/>
  <c r="E238" i="98" a="1"/>
  <c r="E238" i="98" s="1"/>
  <c r="D238" i="98" a="1"/>
  <c r="D238" i="98" s="1"/>
  <c r="S237" i="98" a="1"/>
  <c r="S237" i="98" s="1"/>
  <c r="R237" i="98" a="1"/>
  <c r="R237" i="98" s="1"/>
  <c r="Q237" i="98" a="1"/>
  <c r="Q237" i="98" s="1"/>
  <c r="P237" i="98" a="1"/>
  <c r="P237" i="98" s="1"/>
  <c r="O237" i="98" a="1"/>
  <c r="O237" i="98" s="1"/>
  <c r="N237" i="98" a="1"/>
  <c r="N237" i="98" s="1"/>
  <c r="M237" i="98" a="1"/>
  <c r="M237" i="98" s="1"/>
  <c r="L237" i="98" a="1"/>
  <c r="L237" i="98" s="1"/>
  <c r="K237" i="98" a="1"/>
  <c r="K237" i="98" s="1"/>
  <c r="J237" i="98" a="1"/>
  <c r="J237" i="98" s="1"/>
  <c r="I237" i="98" a="1"/>
  <c r="I237" i="98" s="1"/>
  <c r="H237" i="98" a="1"/>
  <c r="H237" i="98" s="1"/>
  <c r="G237" i="98" a="1"/>
  <c r="G237" i="98" s="1"/>
  <c r="F237" i="98" a="1"/>
  <c r="F237" i="98" s="1"/>
  <c r="E237" i="98" a="1"/>
  <c r="E237" i="98" s="1"/>
  <c r="D237" i="98" a="1"/>
  <c r="D237" i="98" s="1"/>
  <c r="S236" i="98" a="1"/>
  <c r="S236" i="98" s="1"/>
  <c r="R236" i="98" a="1"/>
  <c r="R236" i="98" s="1"/>
  <c r="Q236" i="98" a="1"/>
  <c r="Q236" i="98" s="1"/>
  <c r="P236" i="98" a="1"/>
  <c r="P236" i="98" s="1"/>
  <c r="O236" i="98" a="1"/>
  <c r="O236" i="98" s="1"/>
  <c r="N236" i="98" a="1"/>
  <c r="N236" i="98" s="1"/>
  <c r="M236" i="98" a="1"/>
  <c r="M236" i="98" s="1"/>
  <c r="L236" i="98" a="1"/>
  <c r="L236" i="98" s="1"/>
  <c r="K236" i="98" a="1"/>
  <c r="K236" i="98" s="1"/>
  <c r="J236" i="98" a="1"/>
  <c r="J236" i="98" s="1"/>
  <c r="I236" i="98" a="1"/>
  <c r="I236" i="98" s="1"/>
  <c r="H236" i="98" a="1"/>
  <c r="H236" i="98" s="1"/>
  <c r="G236" i="98" a="1"/>
  <c r="G236" i="98" s="1"/>
  <c r="F236" i="98" a="1"/>
  <c r="F236" i="98" s="1"/>
  <c r="E236" i="98" a="1"/>
  <c r="E236" i="98" s="1"/>
  <c r="D236" i="98" a="1"/>
  <c r="D236" i="98" s="1"/>
  <c r="S235" i="98" a="1"/>
  <c r="S235" i="98" s="1"/>
  <c r="R235" i="98" a="1"/>
  <c r="R235" i="98" s="1"/>
  <c r="Q235" i="98" a="1"/>
  <c r="Q235" i="98" s="1"/>
  <c r="P235" i="98" a="1"/>
  <c r="P235" i="98" s="1"/>
  <c r="O235" i="98" a="1"/>
  <c r="O235" i="98" s="1"/>
  <c r="N235" i="98" a="1"/>
  <c r="N235" i="98" s="1"/>
  <c r="M235" i="98" a="1"/>
  <c r="M235" i="98" s="1"/>
  <c r="L235" i="98" a="1"/>
  <c r="L235" i="98" s="1"/>
  <c r="K235" i="98" a="1"/>
  <c r="K235" i="98" s="1"/>
  <c r="J235" i="98" a="1"/>
  <c r="J235" i="98" s="1"/>
  <c r="I235" i="98" a="1"/>
  <c r="I235" i="98" s="1"/>
  <c r="H235" i="98" a="1"/>
  <c r="H235" i="98" s="1"/>
  <c r="G235" i="98" a="1"/>
  <c r="G235" i="98" s="1"/>
  <c r="F235" i="98" a="1"/>
  <c r="F235" i="98" s="1"/>
  <c r="E235" i="98" a="1"/>
  <c r="E235" i="98" s="1"/>
  <c r="D235" i="98" a="1"/>
  <c r="D235" i="98" s="1"/>
  <c r="S234" i="98" a="1"/>
  <c r="S234" i="98" s="1"/>
  <c r="R234" i="98" a="1"/>
  <c r="R234" i="98" s="1"/>
  <c r="Q234" i="98" a="1"/>
  <c r="Q234" i="98" s="1"/>
  <c r="P234" i="98" a="1"/>
  <c r="P234" i="98" s="1"/>
  <c r="O234" i="98" a="1"/>
  <c r="O234" i="98" s="1"/>
  <c r="N234" i="98" a="1"/>
  <c r="N234" i="98" s="1"/>
  <c r="M234" i="98" a="1"/>
  <c r="M234" i="98" s="1"/>
  <c r="L234" i="98" a="1"/>
  <c r="L234" i="98" s="1"/>
  <c r="K234" i="98" a="1"/>
  <c r="K234" i="98" s="1"/>
  <c r="J234" i="98" a="1"/>
  <c r="J234" i="98" s="1"/>
  <c r="I234" i="98" a="1"/>
  <c r="I234" i="98" s="1"/>
  <c r="H234" i="98" a="1"/>
  <c r="H234" i="98" s="1"/>
  <c r="G234" i="98" a="1"/>
  <c r="G234" i="98" s="1"/>
  <c r="F234" i="98" a="1"/>
  <c r="F234" i="98" s="1"/>
  <c r="E234" i="98" a="1"/>
  <c r="E234" i="98" s="1"/>
  <c r="D234" i="98" a="1"/>
  <c r="D234" i="98" s="1"/>
  <c r="S233" i="98" a="1"/>
  <c r="S233" i="98" s="1"/>
  <c r="R233" i="98" a="1"/>
  <c r="R233" i="98" s="1"/>
  <c r="Q233" i="98" a="1"/>
  <c r="Q233" i="98" s="1"/>
  <c r="P233" i="98" a="1"/>
  <c r="P233" i="98" s="1"/>
  <c r="O233" i="98" a="1"/>
  <c r="O233" i="98" s="1"/>
  <c r="N233" i="98" a="1"/>
  <c r="N233" i="98" s="1"/>
  <c r="M233" i="98" a="1"/>
  <c r="M233" i="98" s="1"/>
  <c r="L233" i="98" a="1"/>
  <c r="L233" i="98" s="1"/>
  <c r="K233" i="98" a="1"/>
  <c r="K233" i="98" s="1"/>
  <c r="J233" i="98" a="1"/>
  <c r="J233" i="98" s="1"/>
  <c r="I233" i="98" a="1"/>
  <c r="I233" i="98" s="1"/>
  <c r="H233" i="98" a="1"/>
  <c r="H233" i="98" s="1"/>
  <c r="G233" i="98" a="1"/>
  <c r="G233" i="98" s="1"/>
  <c r="F233" i="98" a="1"/>
  <c r="F233" i="98" s="1"/>
  <c r="E233" i="98" a="1"/>
  <c r="E233" i="98" s="1"/>
  <c r="D233" i="98" a="1"/>
  <c r="D233" i="98" s="1"/>
  <c r="S232" i="98" a="1"/>
  <c r="S232" i="98" s="1"/>
  <c r="R232" i="98" a="1"/>
  <c r="R232" i="98" s="1"/>
  <c r="Q232" i="98" a="1"/>
  <c r="Q232" i="98" s="1"/>
  <c r="P232" i="98" a="1"/>
  <c r="P232" i="98" s="1"/>
  <c r="O232" i="98" a="1"/>
  <c r="O232" i="98" s="1"/>
  <c r="N232" i="98" a="1"/>
  <c r="N232" i="98" s="1"/>
  <c r="M232" i="98" a="1"/>
  <c r="M232" i="98" s="1"/>
  <c r="L232" i="98" a="1"/>
  <c r="L232" i="98" s="1"/>
  <c r="K232" i="98" a="1"/>
  <c r="K232" i="98" s="1"/>
  <c r="J232" i="98" a="1"/>
  <c r="J232" i="98" s="1"/>
  <c r="I232" i="98" a="1"/>
  <c r="I232" i="98" s="1"/>
  <c r="H232" i="98" a="1"/>
  <c r="H232" i="98" s="1"/>
  <c r="G232" i="98" a="1"/>
  <c r="G232" i="98" s="1"/>
  <c r="F232" i="98" a="1"/>
  <c r="F232" i="98" s="1"/>
  <c r="E232" i="98" a="1"/>
  <c r="E232" i="98" s="1"/>
  <c r="D232" i="98" a="1"/>
  <c r="D232" i="98" s="1"/>
  <c r="D229" i="98" a="1"/>
  <c r="D229" i="98" s="1"/>
  <c r="D228" i="98" a="1"/>
  <c r="D228" i="98" s="1"/>
  <c r="D227" i="98" a="1"/>
  <c r="D227" i="98" s="1"/>
  <c r="E224" i="98" a="1"/>
  <c r="E224" i="98" s="1"/>
  <c r="D224" i="98" a="1"/>
  <c r="D224" i="98" s="1"/>
  <c r="E223" i="98" a="1"/>
  <c r="E223" i="98" s="1"/>
  <c r="D223" i="98" a="1"/>
  <c r="D223" i="98" s="1"/>
  <c r="E222" i="98" a="1"/>
  <c r="E222" i="98" s="1"/>
  <c r="D222" i="98" a="1"/>
  <c r="D222" i="98" s="1"/>
  <c r="E221" i="98" a="1"/>
  <c r="E221" i="98" s="1"/>
  <c r="D221" i="98" a="1"/>
  <c r="D221" i="98" s="1"/>
  <c r="E220" i="98" a="1"/>
  <c r="E220" i="98" s="1"/>
  <c r="D220" i="98" a="1"/>
  <c r="D220" i="98" s="1"/>
  <c r="E219" i="98" a="1"/>
  <c r="E219" i="98" s="1"/>
  <c r="D219" i="98" a="1"/>
  <c r="D219" i="98" s="1"/>
  <c r="E218" i="98" a="1"/>
  <c r="E218" i="98" s="1"/>
  <c r="D218" i="98" a="1"/>
  <c r="D218" i="98" s="1"/>
  <c r="E217" i="98" a="1"/>
  <c r="E217" i="98" s="1"/>
  <c r="D217" i="98" a="1"/>
  <c r="D217" i="98" s="1"/>
  <c r="E216" i="98" a="1"/>
  <c r="E216" i="98" s="1"/>
  <c r="D216" i="98" a="1"/>
  <c r="D216" i="98" s="1"/>
  <c r="E215" i="98" a="1"/>
  <c r="E215" i="98" s="1"/>
  <c r="D215" i="98" a="1"/>
  <c r="D215" i="98" s="1"/>
  <c r="E214" i="98" a="1"/>
  <c r="E214" i="98" s="1"/>
  <c r="D214" i="98" a="1"/>
  <c r="D214" i="98" s="1"/>
  <c r="E213" i="98" a="1"/>
  <c r="E213" i="98" s="1"/>
  <c r="D213" i="98" a="1"/>
  <c r="D213" i="98" s="1"/>
  <c r="D211" i="98" a="1"/>
  <c r="D211" i="98" s="1"/>
  <c r="E208" i="98" a="1"/>
  <c r="E208" i="98" s="1"/>
  <c r="D208" i="98" a="1"/>
  <c r="D208" i="98" s="1"/>
  <c r="E207" i="98" a="1"/>
  <c r="E207" i="98" s="1"/>
  <c r="D207" i="98" a="1"/>
  <c r="D207" i="98" s="1"/>
  <c r="D205" i="98" a="1"/>
  <c r="D205" i="98" s="1"/>
  <c r="D204" i="98" a="1"/>
  <c r="D204" i="98" s="1"/>
  <c r="D203" i="98"/>
  <c r="D203" i="98" a="1"/>
  <c r="D202" i="98" a="1"/>
  <c r="D202" i="98" s="1"/>
  <c r="H199" i="98" a="1"/>
  <c r="H199" i="98" s="1"/>
  <c r="G199" i="98" a="1"/>
  <c r="G199" i="98" s="1"/>
  <c r="F199" i="98" a="1"/>
  <c r="F199" i="98" s="1"/>
  <c r="E199" i="98" a="1"/>
  <c r="E199" i="98" s="1"/>
  <c r="D199" i="98" a="1"/>
  <c r="D199" i="98" s="1"/>
  <c r="H198" i="98" a="1"/>
  <c r="H198" i="98" s="1"/>
  <c r="G198" i="98" a="1"/>
  <c r="G198" i="98" s="1"/>
  <c r="F198" i="98" a="1"/>
  <c r="F198" i="98" s="1"/>
  <c r="E198" i="98" a="1"/>
  <c r="E198" i="98" s="1"/>
  <c r="D198" i="98" a="1"/>
  <c r="D198" i="98" s="1"/>
  <c r="H197" i="98" a="1"/>
  <c r="H197" i="98" s="1"/>
  <c r="G197" i="98" a="1"/>
  <c r="G197" i="98" s="1"/>
  <c r="F197" i="98" a="1"/>
  <c r="F197" i="98" s="1"/>
  <c r="E197" i="98" a="1"/>
  <c r="E197" i="98" s="1"/>
  <c r="D197" i="98" a="1"/>
  <c r="D197" i="98" s="1"/>
  <c r="H196" i="98" a="1"/>
  <c r="H196" i="98" s="1"/>
  <c r="G196" i="98" a="1"/>
  <c r="G196" i="98" s="1"/>
  <c r="F196" i="98" a="1"/>
  <c r="F196" i="98" s="1"/>
  <c r="E196" i="98" a="1"/>
  <c r="E196" i="98" s="1"/>
  <c r="D196" i="98" a="1"/>
  <c r="D196" i="98" s="1"/>
  <c r="H195" i="98" a="1"/>
  <c r="H195" i="98" s="1"/>
  <c r="G195" i="98" a="1"/>
  <c r="G195" i="98" s="1"/>
  <c r="F195" i="98" a="1"/>
  <c r="F195" i="98" s="1"/>
  <c r="E195" i="98" a="1"/>
  <c r="E195" i="98" s="1"/>
  <c r="D195" i="98" a="1"/>
  <c r="D195" i="98" s="1"/>
  <c r="H194" i="98" a="1"/>
  <c r="H194" i="98" s="1"/>
  <c r="G194" i="98" a="1"/>
  <c r="G194" i="98" s="1"/>
  <c r="F194" i="98" a="1"/>
  <c r="F194" i="98" s="1"/>
  <c r="E194" i="98" a="1"/>
  <c r="E194" i="98" s="1"/>
  <c r="D194" i="98" a="1"/>
  <c r="D194" i="98" s="1"/>
  <c r="H193" i="98" a="1"/>
  <c r="H193" i="98" s="1"/>
  <c r="G193" i="98" a="1"/>
  <c r="G193" i="98" s="1"/>
  <c r="F193" i="98" a="1"/>
  <c r="F193" i="98" s="1"/>
  <c r="E193" i="98" a="1"/>
  <c r="E193" i="98" s="1"/>
  <c r="D193" i="98" a="1"/>
  <c r="D193" i="98" s="1"/>
  <c r="H192" i="98" a="1"/>
  <c r="H192" i="98" s="1"/>
  <c r="G192" i="98" a="1"/>
  <c r="G192" i="98" s="1"/>
  <c r="F192" i="98" a="1"/>
  <c r="F192" i="98" s="1"/>
  <c r="E192" i="98" a="1"/>
  <c r="E192" i="98" s="1"/>
  <c r="D192" i="98" a="1"/>
  <c r="D192" i="98" s="1"/>
  <c r="H191" i="98" a="1"/>
  <c r="H191" i="98" s="1"/>
  <c r="G191" i="98" a="1"/>
  <c r="G191" i="98" s="1"/>
  <c r="F191" i="98" a="1"/>
  <c r="F191" i="98" s="1"/>
  <c r="E191" i="98" a="1"/>
  <c r="E191" i="98" s="1"/>
  <c r="D191" i="98" a="1"/>
  <c r="D191" i="98" s="1"/>
  <c r="H190" i="98" a="1"/>
  <c r="H190" i="98" s="1"/>
  <c r="G190" i="98" a="1"/>
  <c r="G190" i="98" s="1"/>
  <c r="F190" i="98" a="1"/>
  <c r="F190" i="98" s="1"/>
  <c r="E190" i="98" a="1"/>
  <c r="E190" i="98" s="1"/>
  <c r="D190" i="98" a="1"/>
  <c r="D190" i="98" s="1"/>
  <c r="H189" i="98" a="1"/>
  <c r="H189" i="98" s="1"/>
  <c r="G189" i="98" a="1"/>
  <c r="G189" i="98" s="1"/>
  <c r="F189" i="98" a="1"/>
  <c r="F189" i="98" s="1"/>
  <c r="E189" i="98" a="1"/>
  <c r="E189" i="98" s="1"/>
  <c r="D189" i="98" a="1"/>
  <c r="D189" i="98" s="1"/>
  <c r="H188" i="98" a="1"/>
  <c r="H188" i="98" s="1"/>
  <c r="G188" i="98" a="1"/>
  <c r="G188" i="98" s="1"/>
  <c r="F188" i="98" a="1"/>
  <c r="F188" i="98" s="1"/>
  <c r="E188" i="98" a="1"/>
  <c r="E188" i="98" s="1"/>
  <c r="D188" i="98" a="1"/>
  <c r="D188" i="98" s="1"/>
  <c r="H187" i="98" a="1"/>
  <c r="H187" i="98" s="1"/>
  <c r="G187" i="98" a="1"/>
  <c r="G187" i="98" s="1"/>
  <c r="F187" i="98" a="1"/>
  <c r="F187" i="98" s="1"/>
  <c r="E187" i="98" a="1"/>
  <c r="E187" i="98" s="1"/>
  <c r="D187" i="98" a="1"/>
  <c r="D187" i="98" s="1"/>
  <c r="D181" i="98" a="1"/>
  <c r="D181" i="98" s="1"/>
  <c r="D180" i="98" a="1"/>
  <c r="D180" i="98" s="1"/>
  <c r="D179" i="98" a="1"/>
  <c r="D179" i="98" s="1"/>
  <c r="D178" i="98"/>
  <c r="D178" i="98" a="1"/>
  <c r="E175" i="98" a="1"/>
  <c r="E175" i="98" s="1"/>
  <c r="D175" i="98" a="1"/>
  <c r="D175" i="98" s="1"/>
  <c r="D174" i="98" a="1"/>
  <c r="D174" i="98" s="1"/>
  <c r="D173" i="98" a="1"/>
  <c r="D173" i="98" s="1"/>
  <c r="D170" i="98" a="1"/>
  <c r="D170" i="98" s="1"/>
  <c r="D169" i="98" a="1"/>
  <c r="D169" i="98" s="1"/>
  <c r="D168" i="98" a="1"/>
  <c r="D168" i="98" s="1"/>
  <c r="D167" i="98" a="1"/>
  <c r="D167" i="98" s="1"/>
  <c r="D164" i="98" a="1"/>
  <c r="D164" i="98" s="1"/>
  <c r="D163" i="98" a="1"/>
  <c r="D163" i="98" s="1"/>
  <c r="D162" i="98" a="1"/>
  <c r="D162" i="98" s="1"/>
  <c r="D161" i="98" a="1"/>
  <c r="D161" i="98" s="1"/>
  <c r="E158" i="98" a="1"/>
  <c r="E158" i="98" s="1"/>
  <c r="D158" i="98" a="1"/>
  <c r="D158" i="98" s="1"/>
  <c r="E157" i="98" a="1"/>
  <c r="E157" i="98" s="1"/>
  <c r="D157" i="98" a="1"/>
  <c r="D157" i="98" s="1"/>
  <c r="E156" i="98" a="1"/>
  <c r="E156" i="98" s="1"/>
  <c r="D156" i="98" a="1"/>
  <c r="D156" i="98" s="1"/>
  <c r="E155" i="98" a="1"/>
  <c r="E155" i="98" s="1"/>
  <c r="D155" i="98" a="1"/>
  <c r="D155" i="98" s="1"/>
  <c r="E154" i="98" a="1"/>
  <c r="E154" i="98" s="1"/>
  <c r="D154" i="98" a="1"/>
  <c r="D154" i="98" s="1"/>
  <c r="D151" i="98" a="1"/>
  <c r="D151" i="98" s="1"/>
  <c r="D150" i="98" a="1"/>
  <c r="D150" i="98" s="1"/>
  <c r="E147" i="98" a="1"/>
  <c r="E147" i="98" s="1"/>
  <c r="D147" i="98" a="1"/>
  <c r="D147" i="98" s="1"/>
  <c r="E146" i="98" a="1"/>
  <c r="E146" i="98" s="1"/>
  <c r="D146" i="98" a="1"/>
  <c r="D146" i="98" s="1"/>
  <c r="E145" i="98" a="1"/>
  <c r="E145" i="98" s="1"/>
  <c r="D145" i="98" a="1"/>
  <c r="D145" i="98" s="1"/>
  <c r="E144" i="98" a="1"/>
  <c r="E144" i="98" s="1"/>
  <c r="D144" i="98" a="1"/>
  <c r="D144" i="98" s="1"/>
  <c r="E143" i="98" a="1"/>
  <c r="E143" i="98" s="1"/>
  <c r="D143" i="98" a="1"/>
  <c r="D143" i="98" s="1"/>
  <c r="D141" i="98" a="1"/>
  <c r="D141" i="98" s="1"/>
  <c r="D140" i="98" a="1"/>
  <c r="D140" i="98" s="1"/>
  <c r="D139" i="98" a="1"/>
  <c r="D139" i="98" s="1"/>
  <c r="E136" i="98" a="1"/>
  <c r="E136" i="98" s="1"/>
  <c r="D136" i="98" a="1"/>
  <c r="D136" i="98" s="1"/>
  <c r="E135" i="98" a="1"/>
  <c r="E135" i="98" s="1"/>
  <c r="D135" i="98" a="1"/>
  <c r="D135" i="98" s="1"/>
  <c r="D133" i="98" a="1"/>
  <c r="D133" i="98" s="1"/>
  <c r="D132" i="98" a="1"/>
  <c r="D132" i="98" s="1"/>
  <c r="E129" i="98" a="1"/>
  <c r="E129" i="98" s="1"/>
  <c r="D129" i="98" a="1"/>
  <c r="D129" i="98" s="1"/>
  <c r="E128" i="98" a="1"/>
  <c r="E128" i="98" s="1"/>
  <c r="D128" i="98" a="1"/>
  <c r="D128" i="98" s="1"/>
  <c r="D125" i="98" a="1"/>
  <c r="D125" i="98" s="1"/>
  <c r="D124" i="98" a="1"/>
  <c r="D124" i="98" s="1"/>
  <c r="G121" i="98" a="1"/>
  <c r="G121" i="98" s="1"/>
  <c r="F121" i="98" a="1"/>
  <c r="F121" i="98" s="1"/>
  <c r="E121" i="98" a="1"/>
  <c r="E121" i="98" s="1"/>
  <c r="D121" i="98" a="1"/>
  <c r="D121" i="98" s="1"/>
  <c r="G120" i="98" a="1"/>
  <c r="G120" i="98" s="1"/>
  <c r="F120" i="98" a="1"/>
  <c r="F120" i="98" s="1"/>
  <c r="E120" i="98" a="1"/>
  <c r="E120" i="98" s="1"/>
  <c r="D120" i="98" a="1"/>
  <c r="D120" i="98" s="1"/>
  <c r="D117" i="98"/>
  <c r="D117" i="98" a="1"/>
  <c r="D116" i="98" a="1"/>
  <c r="D116" i="98" s="1"/>
  <c r="D115" i="98" a="1"/>
  <c r="D115" i="98" s="1"/>
  <c r="G112" i="98" a="1"/>
  <c r="G112" i="98" s="1"/>
  <c r="F112" i="98" a="1"/>
  <c r="F112" i="98" s="1"/>
  <c r="E112" i="98" a="1"/>
  <c r="E112" i="98" s="1"/>
  <c r="D112" i="98" a="1"/>
  <c r="D112" i="98" s="1"/>
  <c r="G111" i="98" a="1"/>
  <c r="G111" i="98" s="1"/>
  <c r="F111" i="98" a="1"/>
  <c r="F111" i="98" s="1"/>
  <c r="E111" i="98" a="1"/>
  <c r="E111" i="98" s="1"/>
  <c r="D111" i="98" a="1"/>
  <c r="D111" i="98" s="1"/>
  <c r="G110" i="98" a="1"/>
  <c r="G110" i="98" s="1"/>
  <c r="F110" i="98" a="1"/>
  <c r="F110" i="98" s="1"/>
  <c r="E110" i="98" a="1"/>
  <c r="E110" i="98" s="1"/>
  <c r="D110" i="98" a="1"/>
  <c r="D110" i="98" s="1"/>
  <c r="D107" i="98" a="1"/>
  <c r="D107" i="98" s="1"/>
  <c r="D106" i="98" a="1"/>
  <c r="D106" i="98" s="1"/>
  <c r="D105" i="98" a="1"/>
  <c r="D105" i="98" s="1"/>
  <c r="D98" i="98" a="1"/>
  <c r="D98"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I90" i="98" a="1"/>
  <c r="I90" i="98" s="1"/>
  <c r="H90" i="98" a="1"/>
  <c r="H90" i="98" s="1"/>
  <c r="G90" i="98" a="1"/>
  <c r="G90" i="98" s="1"/>
  <c r="F90" i="98" a="1"/>
  <c r="F90" i="98" s="1"/>
  <c r="E90" i="98" a="1"/>
  <c r="E90" i="98" s="1"/>
  <c r="D90" i="98" a="1"/>
  <c r="D90" i="98" s="1"/>
  <c r="D83" i="98" a="1"/>
  <c r="D83" i="98" s="1"/>
  <c r="D82" i="98" a="1"/>
  <c r="D82" i="98" s="1"/>
  <c r="D81" i="98" a="1"/>
  <c r="D81" i="98" s="1"/>
  <c r="E77" i="98" a="1"/>
  <c r="E77" i="98" s="1"/>
  <c r="D77" i="98" a="1"/>
  <c r="D77" i="98" s="1"/>
  <c r="E76" i="98" a="1"/>
  <c r="E76" i="98" s="1"/>
  <c r="D76" i="98" a="1"/>
  <c r="D76" i="98" s="1"/>
  <c r="E75" i="98" a="1"/>
  <c r="E75" i="98" s="1"/>
  <c r="D75" i="98" a="1"/>
  <c r="D75" i="98" s="1"/>
  <c r="E74" i="98" a="1"/>
  <c r="E74" i="98" s="1"/>
  <c r="D74" i="98" a="1"/>
  <c r="D74" i="98" s="1"/>
  <c r="E73" i="98" a="1"/>
  <c r="E73" i="98" s="1"/>
  <c r="D73" i="98" a="1"/>
  <c r="D73" i="98" s="1"/>
  <c r="E72" i="98" a="1"/>
  <c r="E72" i="98" s="1"/>
  <c r="D72" i="98" a="1"/>
  <c r="D72" i="98" s="1"/>
  <c r="E71" i="98" a="1"/>
  <c r="E71" i="98" s="1"/>
  <c r="D71" i="98" a="1"/>
  <c r="D71" i="98" s="1"/>
  <c r="E70" i="98" a="1"/>
  <c r="E70" i="98" s="1"/>
  <c r="D70" i="98" a="1"/>
  <c r="D70" i="98" s="1"/>
  <c r="E69" i="98" a="1"/>
  <c r="E69" i="98" s="1"/>
  <c r="D69" i="98" a="1"/>
  <c r="D69" i="98" s="1"/>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D59" i="98" a="1"/>
  <c r="D59" i="98" s="1"/>
  <c r="D58" i="98"/>
  <c r="D58" i="98" a="1"/>
  <c r="D57" i="98" a="1"/>
  <c r="D57" i="98" s="1"/>
  <c r="G54" i="98" a="1"/>
  <c r="G54" i="98" s="1"/>
  <c r="F54" i="98" a="1"/>
  <c r="F54" i="98" s="1"/>
  <c r="E54" i="98" a="1"/>
  <c r="E54" i="98" s="1"/>
  <c r="D54" i="98" a="1"/>
  <c r="D54" i="98" s="1"/>
  <c r="G53" i="98" a="1"/>
  <c r="G53" i="98" s="1"/>
  <c r="F53" i="98" a="1"/>
  <c r="F53" i="98" s="1"/>
  <c r="E53" i="98" a="1"/>
  <c r="E53" i="98" s="1"/>
  <c r="D53" i="98" a="1"/>
  <c r="D53" i="98" s="1"/>
  <c r="G52" i="98" a="1"/>
  <c r="G52" i="98" s="1"/>
  <c r="F52" i="98" a="1"/>
  <c r="F52" i="98" s="1"/>
  <c r="E52" i="98" a="1"/>
  <c r="E52" i="98" s="1"/>
  <c r="D52" i="98" a="1"/>
  <c r="D52" i="98" s="1"/>
  <c r="G51" i="98" a="1"/>
  <c r="G51" i="98" s="1"/>
  <c r="F51" i="98" a="1"/>
  <c r="F51" i="98" s="1"/>
  <c r="E51" i="98" a="1"/>
  <c r="E51" i="98" s="1"/>
  <c r="D51" i="98" a="1"/>
  <c r="D51" i="98" s="1"/>
  <c r="G50" i="98" a="1"/>
  <c r="G50" i="98" s="1"/>
  <c r="F50" i="98" a="1"/>
  <c r="F50" i="98" s="1"/>
  <c r="E50" i="98" a="1"/>
  <c r="E50" i="98" s="1"/>
  <c r="D50" i="98" a="1"/>
  <c r="D50" i="98" s="1"/>
  <c r="G49" i="98" a="1"/>
  <c r="G49" i="98" s="1"/>
  <c r="F49" i="98" a="1"/>
  <c r="F49" i="98" s="1"/>
  <c r="E49" i="98" a="1"/>
  <c r="E49" i="98" s="1"/>
  <c r="D49" i="98" a="1"/>
  <c r="D49" i="98" s="1"/>
  <c r="G48" i="98" a="1"/>
  <c r="G48" i="98" s="1"/>
  <c r="F48" i="98" a="1"/>
  <c r="F48" i="98" s="1"/>
  <c r="E48" i="98" a="1"/>
  <c r="E48" i="98" s="1"/>
  <c r="D48" i="98" a="1"/>
  <c r="D48" i="98" s="1"/>
  <c r="D46" i="98" a="1"/>
  <c r="D46" i="98" s="1"/>
  <c r="D45" i="98" a="1"/>
  <c r="D45" i="98" s="1"/>
  <c r="E43" i="98" a="1"/>
  <c r="E43" i="98" s="1"/>
  <c r="D43" i="98" a="1"/>
  <c r="D43" i="98" s="1"/>
  <c r="E42" i="98" a="1"/>
  <c r="E42" i="98" s="1"/>
  <c r="D42" i="98" a="1"/>
  <c r="D42" i="98" s="1"/>
  <c r="E41" i="98" a="1"/>
  <c r="E41" i="98" s="1"/>
  <c r="D41" i="98" a="1"/>
  <c r="D41" i="98" s="1"/>
  <c r="E40" i="98" a="1"/>
  <c r="E40" i="98" s="1"/>
  <c r="D40" i="98" a="1"/>
  <c r="D40" i="98" s="1"/>
  <c r="E39" i="98" a="1"/>
  <c r="E39" i="98" s="1"/>
  <c r="D39" i="98" a="1"/>
  <c r="D39" i="98" s="1"/>
  <c r="E38" i="98" a="1"/>
  <c r="E38" i="98" s="1"/>
  <c r="D38" i="98" a="1"/>
  <c r="D38" i="98" s="1"/>
  <c r="E37" i="98" a="1"/>
  <c r="E37" i="98" s="1"/>
  <c r="D37" i="98" a="1"/>
  <c r="D37" i="98" s="1"/>
  <c r="D35" i="98" a="1"/>
  <c r="D35" i="98" s="1"/>
  <c r="D34" i="98" a="1"/>
  <c r="D34" i="98" s="1"/>
  <c r="D30" i="98" a="1"/>
  <c r="D30" i="98" s="1"/>
  <c r="D29" i="98" a="1"/>
  <c r="D29" i="98" s="1"/>
  <c r="D28" i="98" a="1"/>
  <c r="D28" i="98" s="1"/>
  <c r="D27" i="98" a="1"/>
  <c r="D27" i="98" s="1"/>
  <c r="D26" i="98" a="1"/>
  <c r="D26" i="98" s="1"/>
  <c r="D25" i="98" a="1"/>
  <c r="D25" i="98" s="1"/>
  <c r="D24" i="98" a="1"/>
  <c r="D24" i="98" s="1"/>
  <c r="D23" i="98" a="1"/>
  <c r="D23" i="98" s="1"/>
  <c r="D22" i="98" a="1"/>
  <c r="D22" i="98" s="1"/>
  <c r="D21" i="98" a="1"/>
  <c r="D21" i="98" s="1"/>
  <c r="D19" i="98" a="1"/>
  <c r="D19" i="98" s="1"/>
  <c r="D18" i="98" a="1"/>
  <c r="D18"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F9" i="98" a="1"/>
  <c r="F9" i="98" s="1"/>
  <c r="E9" i="98" a="1"/>
  <c r="E9" i="98" s="1"/>
  <c r="D9" i="98" a="1"/>
  <c r="D9" i="98" s="1"/>
  <c r="F8" i="98" a="1"/>
  <c r="F8" i="98" s="1"/>
  <c r="E8" i="98" a="1"/>
  <c r="E8" i="98" s="1"/>
  <c r="D8" i="98" a="1"/>
  <c r="D8" i="98" s="1"/>
  <c r="F7" i="98" a="1"/>
  <c r="F7" i="98" s="1"/>
  <c r="E7" i="98" a="1"/>
  <c r="E7" i="98" s="1"/>
  <c r="D7" i="98" a="1"/>
  <c r="D7" i="98" s="1"/>
  <c r="D5" i="98" a="1"/>
  <c r="D5" i="98" s="1"/>
  <c r="H51" i="98" l="1"/>
  <c r="H48" i="98"/>
  <c r="H54" i="98"/>
  <c r="H52" i="98"/>
  <c r="H53" i="98"/>
  <c r="H50" i="98"/>
  <c r="H49" i="98"/>
  <c r="A39" i="74" l="1"/>
  <c r="A38" i="74"/>
  <c r="A37" i="74"/>
  <c r="A36" i="74"/>
  <c r="A33" i="74"/>
  <c r="A30" i="74"/>
  <c r="A29" i="74"/>
  <c r="A28" i="74"/>
  <c r="A27" i="74"/>
  <c r="A26" i="74"/>
  <c r="A25" i="74"/>
  <c r="A24" i="74"/>
  <c r="A19" i="74"/>
  <c r="A18" i="74"/>
  <c r="A15" i="74"/>
  <c r="A14" i="74"/>
  <c r="A13" i="74"/>
  <c r="A12" i="74"/>
  <c r="A11" i="74"/>
  <c r="A10" i="74"/>
  <c r="A9" i="74"/>
  <c r="A8" i="74"/>
  <c r="A7" i="74"/>
  <c r="A4" i="74"/>
  <c r="D8" i="70" l="1"/>
  <c r="H8" i="13" l="1"/>
  <c r="I8" i="13"/>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<sst xmlns="http://schemas.openxmlformats.org/spreadsheetml/2006/main" count="189" uniqueCount="144">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</sst>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9"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1"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2" fillId="4" borderId="0">
      <alignment horizontal="left" vertical="center"/>
    </xf>
    <xf numFmtId="0" fontId="45" fillId="11" borderId="0">
      <alignment horizontal="center" vertical="center"/>
    </xf>
    <xf numFmtId="0" fontId="22" fillId="11" borderId="0">
      <alignment horizontal="left" vertical="center" indent="1"/>
    </xf>
    <xf numFmtId="0" fontId="54" fillId="14" borderId="2">
      <alignment horizontal="center" vertical="center"/>
    </xf>
    <xf numFmtId="0" fontId="55" fillId="15" borderId="2">
      <alignment horizontal="center" vertical="center"/>
    </xf>
    <xf numFmtId="0" fontId="33" fillId="4" borderId="2">
      <alignment horizontal="left" vertical="center"/>
    </xf>
    <xf numFmtId="0" fontId="56" fillId="4" borderId="2">
      <alignment horizontal="left" vertical="center"/>
    </xf>
  </cellStyleXfs>
  <cellXfs count="107">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3" fontId="2" fillId="0" borderId="2" xfId="18">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6" fillId="4" borderId="1" xfId="55" applyBorder="1">
      <alignment horizontal="left" vertical="center"/>
    </xf>
    <xf numFmtId="0" fontId="52" fillId="4" borderId="0" xfId="6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53" fillId="0" borderId="0" xfId="2" applyFont="1"/>
    <xf numFmtId="0" fontId="54" fillId="14" borderId="2" xfId="64">
      <alignment horizontal="center" vertical="center"/>
    </xf>
    <xf numFmtId="0" fontId="55"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7" fillId="9" borderId="0" xfId="32" applyFont="1" applyFill="1"/>
    <xf numFmtId="0" fontId="38" fillId="9" borderId="0" xfId="8" applyFill="1">
      <alignment horizontal="left" vertical="center"/>
    </xf>
    <xf numFmtId="0" fontId="17" fillId="11" borderId="0" xfId="31" applyFill="1">
      <alignment vertical="center"/>
    </xf>
    <xf numFmtId="0" fontId="43" fillId="13" borderId="19" xfId="40" applyBorder="1">
      <alignment horizontal="left" vertical="center"/>
    </xf>
    <xf numFmtId="0" fontId="44" fillId="13" borderId="20" xfId="40" applyFont="1" applyBorder="1">
      <alignment horizontal="left" vertical="center"/>
    </xf>
    <xf numFmtId="0" fontId="43" fillId="13" borderId="20" xfId="40" applyBorder="1">
      <alignment horizontal="left" vertical="center"/>
    </xf>
    <xf numFmtId="0" fontId="50"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7_ManureManagement_OtherLivestock_WIP_v01.xlsx" TargetMode="External"/><Relationship Id="rId1" Type="http://schemas.openxmlformats.org/officeDocument/2006/relationships/externalLinkPath" Target="4_7_ManureManagement_OtherLivestock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Feedlot"/>
      <sheetName val="4.6.1.1-2 Manure Methane"/>
      <sheetName val="Constants - Other Livestock"/>
      <sheetName val="Constants - Common"/>
      <sheetName val="Constants - Livestock"/>
      <sheetName val="Acknowledgements"/>
    </sheetNames>
    <sheetDataSet>
      <sheetData sheetId="0"/>
      <sheetData sheetId="1"/>
      <sheetData sheetId="2"/>
      <sheetData sheetId="3"/>
      <sheetData sheetId="4"/>
      <sheetData sheetId="5"/>
      <sheetData sheetId="6"/>
      <sheetData sheetId="7"/>
      <sheetData sheetId="8"/>
      <sheetData sheetId="9"/>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53"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52" dataCellStyle="Content normal">
  <autoFilter ref="D24:E32" xr:uid="{75649617-63F2-4A80-A5EB-06A3280A3C57}">
    <filterColumn colId="0" hiddenButton="1"/>
    <filterColumn colId="1" hiddenButton="1"/>
  </autoFilter>
  <tableColumns count="2">
    <tableColumn id="1" xr3:uid="{3E3B834E-0F7A-47D3-954A-A57B2234370A}" name="Other livestock type" dataDxfId="51"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5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49" dataCellStyle="Content normal">
  <autoFilter ref="D39:E47" xr:uid="{522C94C8-449D-4574-AF4D-39C274C53A6F}">
    <filterColumn colId="0" hiddenButton="1"/>
    <filterColumn colId="1" hiddenButton="1"/>
  </autoFilter>
  <tableColumns count="2">
    <tableColumn id="1" xr3:uid="{92CD5559-01AC-4144-B6DC-7F856864840C}" name="Other livestock type" dataDxfId="48"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4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46"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45"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4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4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42"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41"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4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3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8"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37"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3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3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9F82E1-8BFB-49BB-A84C-1541D2694B3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652AFC-F3E8-4421-AFD1-2D686D40D22D}" name="State/Territory">
      <calculatedColumnFormula array="1">Common_InputFunctions.Utility_DisplayArrayInTable(Common_SourceData.Common_SourceData_AustralianStatesTerritories_Data(),Table_AustralianStates[[#Headers],[State/Territory]],0)</calculatedColumnFormula>
    </tableColumn>
    <tableColumn id="2" xr3:uid="{1FA7E548-C0EA-432C-8E8B-704642D10B8B}" name="Common Name">
      <calculatedColumnFormula array="1">Common_InputFunctions.Utility_DisplayArrayInTable(Common_SourceData.Common_SourceData_AustralianStatesTerritories_Data(),Table_AustralianStates[[#Headers],[State/Territory]],0)</calculatedColumnFormula>
    </tableColumn>
    <tableColumn id="3" xr3:uid="{EBC3E112-1444-44E8-96B3-3CA9BA6303F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187021-E65C-4405-B076-51664A260F70}" name="Table_WASA4Areas" displayName="Table_WASA4Areas" ref="D20:D30" totalsRowShown="0">
  <autoFilter ref="D20:D30" xr:uid="{5FA81339-C6C8-4D36-BEEA-6C4AEDD9E676}">
    <filterColumn colId="0" hiddenButton="1"/>
  </autoFilter>
  <tableColumns count="1">
    <tableColumn id="1" xr3:uid="{BE8A74F0-502F-4C09-B30D-79967B1CA4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85DEA7-0F0B-4043-8184-02AAE04CE1D3}" name="Table_GWPData" displayName="Table_GWPData" ref="D36:E43" totalsRowShown="0">
  <autoFilter ref="D36:E43" xr:uid="{B8E87A66-3E41-4AD3-925D-01EE21B43D7A}">
    <filterColumn colId="0" hiddenButton="1"/>
    <filterColumn colId="1" hiddenButton="1"/>
  </autoFilter>
  <tableColumns count="2">
    <tableColumn id="1" xr3:uid="{969FB6F5-5748-416A-B0E7-0FA856E9228D}" name="Gas">
      <calculatedColumnFormula array="1">Common_InputFunctions.Utility_DisplayArrayInTable(Common_SourceData.Common_SourceData_GWP_Data(), Table_GWPData[[#Headers],[Gas]], 0)</calculatedColumnFormula>
    </tableColumn>
    <tableColumn id="2" xr3:uid="{D288383E-5A93-48FA-8608-CEA132940F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1E3F9B-244C-4BDB-9EAA-280B1B88DFD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07412D-787D-4251-B022-2C951856B5CC}" name="Gas">
      <calculatedColumnFormula array="1">Common_InputFunctions.Utility_DisplayArrayInTable(Common_SourceData.Common_SourceData_ConvertGasElementalToMolecular_Data(),Table_GasToMolecularConversionFactor[[#Headers],[Gas]], 0)</calculatedColumnFormula>
    </tableColumn>
    <tableColumn id="5" xr3:uid="{EDAE218C-BED9-4F30-BC1A-BDA604C52911}" name="Conversion factor">
      <calculatedColumnFormula array="1">Common_InputFunctions.Utility_DisplayArrayInTable(Common_SourceData.Common_SourceData_ConvertGasElementalToMolecular_Data(),Table_GasToMolecularConversionFactor[[#Headers],[Gas]], 0)</calculatedColumnFormula>
    </tableColumn>
    <tableColumn id="2" xr3:uid="{7B252330-4D09-4BE1-91E1-8F007E37DA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B2A94A6-B09F-44FC-92A1-CCB07CD838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DB3A9E-EA47-4626-8AA6-4142F2BE5B3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639B46-F2B6-417E-849A-4051D3B16B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62FA7-7F7F-4C9C-8231-8FC51C581FD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2C0A27-43A1-4D92-B3A8-944DC7691E0A}" name="MA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3" xr3:uid="{BCEE406F-741C-4AB5-8347-FD3CEB5D1690}" name="MA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4" xr3:uid="{BF112A88-84E8-4D38-B54C-79713ED69470}" name="Frost days per year"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5" xr3:uid="{DEDF2179-1AFD-46AA-97FF-2C7CC2C8F0A0}" name="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6" xr3:uid="{517703E3-C0ED-43E3-909F-4C1979577D3C}" name="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7" xr3:uid="{666A24A7-650A-4B3E-982A-50311730DB7C}" name="Min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8" xr3:uid="{5604EDD5-66DF-4ECC-BCE6-DD11FD6DB4D6}" name="Max temp"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9" xr3:uid="{6DA99F2D-CE18-432C-AB0D-72F425C17C5E}" name="Min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0" xr3:uid="{BC2916D3-A7D1-4722-A9DC-991CB2F62BD8}" name="Max rainfall"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1" xr3:uid="{1E64F234-4E02-4B45-A3A1-B18E3FFCFC37}" name="Min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5" xr3:uid="{70F03B18-1155-4824-8E62-AE5F3FA2A39C}" name="Max frost days"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2" xr3:uid="{C3AD9C66-0836-47F7-A64C-E903E6DAF5EE}" name="Min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6" xr3:uid="{ED33ED06-8D20-47FE-B0B6-650FCDD420E2}" name="Max elevation"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3" xr3:uid="{3C28BB66-16DC-4BC9-BE53-61187001ECC2}" name="Min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 id="17" xr3:uid="{FFF015AD-8516-434B-A94C-11CB9D62F62D}" name="Max MAP:PET" totalsRowDxfId="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975CFAC-C9D3-4E10-914B-A7477650269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E1D44-5D3C-421E-B886-5F058BD82B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E0B2F3-1F7B-4FCF-B0F4-658087312975}" name="Wet or Dry Zone" totalsRowDxfId="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86B9BF-70ED-46B9-A712-EA42AC7345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5BB3355-DBBC-43C3-9C8D-BC097471993C}" name="Temperature Zone">
      <calculatedColumnFormula array="1">Common_InputFunctions.Utility_DisplayArrayInTable(Common_SourceData.Common_SourceData_TemperatureZones_Data(),Table_SourceData_TemperatureZones[[#Headers],[Temperature Zone]],0)</calculatedColumnFormula>
    </tableColumn>
    <tableColumn id="2" xr3:uid="{15DB6AA7-91D7-4725-9AA9-D1055AF7678C}" name="MAT">
      <calculatedColumnFormula array="1">Common_InputFunctions.Utility_DisplayArrayInTable(Common_SourceData.Common_SourceData_TemperatureZones_Data(),Table_SourceData_TemperatureZones[[#Headers],[Temperature Zone]],0)</calculatedColumnFormula>
    </tableColumn>
    <tableColumn id="3" xr3:uid="{0AD7766B-F917-4247-BA12-141E5E455D92}" name="Min MAT">
      <calculatedColumnFormula array="1">Common_InputFunctions.Utility_DisplayArrayInTable(Common_SourceData.Common_SourceData_TemperatureZones_Data(),Table_SourceData_TemperatureZones[[#Headers],[Temperature Zone]],0)</calculatedColumnFormula>
    </tableColumn>
    <tableColumn id="4" xr3:uid="{BEC491C5-29B7-47D8-92E3-A6B4AA3DF9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F94A906-91DA-4FAF-A89B-CEF60B0D12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D6E0C09-0BD8-471F-8A53-A12A9E178BF7}" name="Rainfall Zone">
      <calculatedColumnFormula array="1">Common_InputFunctions.Utility_DisplayArrayInTable(Common_SourceData.Common_SourceData_RainfallZones_Data(),Table_SourceData_RainfallZones[[#Headers],[Rainfall Zone]],0)</calculatedColumnFormula>
    </tableColumn>
    <tableColumn id="2" xr3:uid="{13B32985-837D-4685-9D0B-839BCC352710}" name="Annual rainfall">
      <calculatedColumnFormula array="1">Common_InputFunctions.Utility_DisplayArrayInTable(Common_SourceData.Common_SourceData_RainfallZones_Data(),Table_SourceData_RainfallZones[[#Headers],[Rainfall Zone]],0)</calculatedColumnFormula>
    </tableColumn>
    <tableColumn id="3" xr3:uid="{81010191-F2A6-4E17-8104-721B45E9D660}" name="Min rainfall">
      <calculatedColumnFormula array="1">Common_InputFunctions.Utility_DisplayArrayInTable(Common_SourceData.Common_SourceData_RainfallZones_Data(),Table_SourceData_RainfallZones[[#Headers],[Rainfall Zone]],0)</calculatedColumnFormula>
    </tableColumn>
    <tableColumn id="4" xr3:uid="{AD6D3163-2840-4E3F-896D-5DF709C34D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2C3C00-7D5E-482F-8CA2-A213D7DF8D3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167ABF-B475-4336-9AEE-96008ED98E6B}" name="Leaching Zone">
      <calculatedColumnFormula array="1">Common_InputFunctions.Utility_DisplayArrayInTable(Common_SourceData.Common_SourceData_LeachingZones_Data(), Table_SourceData_LeachingZones[[#Headers],[Leaching Zone]], 0)</calculatedColumnFormula>
    </tableColumn>
    <tableColumn id="2" xr3:uid="{75B56258-627E-484F-9B94-6FD90490B5C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10AEB1-ABAB-4497-8F48-0C15CDA4602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FCAEBE-8FA0-4664-B3AE-973A3E77EF02}" name="Data source">
      <calculatedColumnFormula array="1">Common_InputFunctions.Utility_DisplayArrayInTable(Common_SourceData.Common_SourceData_DataScores_Scope3_Data(), Table_SourceData_DataScores_Scope3[[#Headers],[Data source]], 0)</calculatedColumnFormula>
    </tableColumn>
    <tableColumn id="2" xr3:uid="{F269D724-DA61-40DD-B1DD-62089B53A25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FE08A5-0001-4080-8F90-757F959BAB2B}" name="Table_SourceData_FracWET" displayName="Table_SourceData_FracWET" ref="D134:E136" totalsRowShown="0">
  <autoFilter ref="D134:E136" xr:uid="{308E99BE-FE1F-47A4-B2CA-97217277C4E9}">
    <filterColumn colId="0" hiddenButton="1"/>
    <filterColumn colId="1" hiddenButton="1"/>
  </autoFilter>
  <tableColumns count="2">
    <tableColumn id="1" xr3:uid="{ACC4E2B3-A6FC-4D50-BE90-6D711BFC3B97}" name="Is in leaching zone">
      <calculatedColumnFormula array="1">Common_InputFunctions.Utility_DisplayArrayInTable(Common_SourceData.Common_SourceData_FracWET_Data(),Table_SourceData_FracWET[[#Headers],[Is in leaching zone]],0)</calculatedColumnFormula>
    </tableColumn>
    <tableColumn id="2" xr3:uid="{35F8284C-32FA-4320-AF32-3F44CCB77CF7}" name="FracWET" dataDxfId="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985452B-55AC-4EB5-AA25-EAD220463D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4A144B-9F75-433D-BE41-D183AF51F2BB}" name="Production system j">
      <calculatedColumnFormula array="1">Common_InputFunctions.Utility_DisplayArrayInTable(Common_SourceData.Common_SourceData_EFN2O_Data(), Table_SourceData_Common_EFN2O[[#Headers],[Production system j]], 0)</calculatedColumnFormula>
    </tableColumn>
    <tableColumn id="2" xr3:uid="{87B0476D-5F45-43A5-9823-48327AFBBFC0}" name="EFN2O">
      <calculatedColumnFormula array="1">Common_InputFunctions.Utility_DisplayArrayInTable(Common_SourceData.Common_SourceData_EFN2O_Data(), Table_SourceData_Common_EFN2O[[#Headers],[Production system j]], 0)</calculatedColumnFormula>
    </tableColumn>
    <tableColumn id="3" xr3:uid="{A580C8EE-E9FD-4201-94D1-F99A9BC27373}" name="Production system only">
      <calculatedColumnFormula array="1">Common_InputFunctions.Utility_DisplayArrayInTable(Common_SourceData.Common_SourceData_EFN2O_Data(), Table_SourceData_Common_EFN2O[[#Headers],[Production system j]], 0)</calculatedColumnFormula>
    </tableColumn>
    <tableColumn id="4" xr3:uid="{50C2C17E-A21C-4FDA-82A8-EF761C0E6BF7}" name="Irrigation method">
      <calculatedColumnFormula array="1">Common_InputFunctions.Utility_DisplayArrayInTable(Common_SourceData.Common_SourceData_EFN2O_Data(), Table_SourceData_Common_EFN2O[[#Headers],[Production system j]], 0)</calculatedColumnFormula>
    </tableColumn>
    <tableColumn id="5" xr3:uid="{7F2E249C-6080-446E-8674-6F29CE0873E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1D7CB04-0839-425A-B673-CEA7A9C3FB8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328C683-420D-4EA6-AF9D-245995DC8FD1}" name="Irrigation type i">
      <calculatedColumnFormula array="1">Common_InputFunctions.Utility_DisplayArrayInTable(Common_SourceData.Common_SourceData_FracWETIrrigation_Data(), Table_SourceData_FracWETIrrigation[[#Headers],[Irrigation type i]], 0)</calculatedColumnFormula>
    </tableColumn>
    <tableColumn id="2" xr3:uid="{9E5FEA9D-8FB5-494C-9D24-0E6BFC0C6057}" name="FracWET" dataDxfId="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9AFCB04-6C42-4BD7-84F4-CB502355AF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B787692-FEAA-422C-9A68-A116E1C1D8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FBB6C89-F456-4C86-80FD-B734DEFDFF30}" name="EFPRP" dataDxfId="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23F6973-616E-44B9-9455-AEC834A8AAD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0DBFFCC-335E-4C29-BC47-5C2A3243CFF0}" name="Month">
      <calculatedColumnFormula array="1">Common_InputFunctions.Utility_DisplayArrayInTable(Common_SourceData.Common_SourceData_MonthsToSeasons_Data(), Table_SourceData_Common_MonthToSeason[[#Headers],[Month]], 0)</calculatedColumnFormula>
    </tableColumn>
    <tableColumn id="2" xr3:uid="{AC3827EF-FE9E-4E81-A7C7-95A7165D62C5}" name="Season" dataDxfId="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FD98D7-E5DB-4B28-9E47-A6481BEC137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C0CBC0D-B831-4C7E-9F24-0EE0037F3E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0D171-2FBE-46A9-9B1F-1269E55C1B38}" name="MAT (ºC)"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FF50BBA-30EE-4E1A-9449-9265A1067683}" name="Anaerobic lagoon"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3654E61-5BB1-44D1-A97F-E38B4117F28F}" name="Digester / covered lagoon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736C277-B619-4577-BE61-C6F2CFEBBDF4}" name="Liquid systems"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F5FCA7-77C5-40B2-BAC9-EBF849F5559B}" name="Daily spread"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7CABD47-531A-49AF-865F-934434068DEC}" name="Composting (passive windro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3C335A-BC58-40E9-8E75-96ED6CCF795D}" name="Solid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3901FD-AFED-45CA-9E32-1204AF6D4874}" name="Pit storage"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3A0FE7-0AA0-43C9-9A4F-02E9C242020A}" name="Deep litter"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AF69A1E-4587-4DCD-9535-2ECADB3A8A73}" name="Poultry manure with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D86AF5D-FDC1-4EE1-9D47-BA4BE96F619F}" name="Poultry manure without bedd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5483D8-6A7E-4D26-B81F-096629F52A98}" name="Direct processing"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82A14FE-E6A5-4C72-AE16-87CCAF66B3DB}" name="Direct application"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BBFE03E-A035-4E39-B68B-F044C4B1E37F}" name="Pasture range and paddock"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478F66-8602-4161-AB22-52FED9A026F5}" name="MAT raw" dataDxfId="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57" t="e" vm="1">
        <v>#VALUE!</v>
      </c>
      <c r="C1" s="94" t="s">
        <v>141</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row>
    <row r="2" spans="1:64" ht="20.100000000000001" customHeight="1" x14ac:dyDescent="0.25">
      <c r="A2" s="9"/>
      <c r="C2" s="95"/>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row>
    <row r="3" spans="1:64" ht="20.100000000000001" customHeight="1" x14ac:dyDescent="0.25">
      <c r="A3" s="17" t="str">
        <f>HYPERLINK("#'Home'!A1", "Home")</f>
        <v>Home</v>
      </c>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c r="AM3" s="96"/>
      <c r="AN3" s="96"/>
      <c r="AO3" s="96"/>
      <c r="AP3" s="96"/>
      <c r="AQ3" s="96"/>
      <c r="AR3" s="96"/>
      <c r="AS3" s="96"/>
      <c r="AT3" s="96"/>
      <c r="AU3" s="96"/>
      <c r="AV3" s="96"/>
      <c r="AW3" s="96"/>
      <c r="AX3" s="96"/>
      <c r="AY3" s="96"/>
      <c r="AZ3" s="96"/>
      <c r="BA3" s="96"/>
      <c r="BB3" s="96"/>
      <c r="BC3" s="96"/>
      <c r="BD3" s="96"/>
      <c r="BE3" s="96"/>
      <c r="BF3" s="96"/>
      <c r="BG3" s="96"/>
      <c r="BH3" s="96"/>
      <c r="BI3" s="96"/>
      <c r="BJ3" s="96"/>
      <c r="BK3" s="96"/>
      <c r="BL3" s="96"/>
    </row>
    <row r="4" spans="1:64" ht="20.100000000000001" customHeight="1" x14ac:dyDescent="0.25">
      <c r="A4" s="10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97" t="s">
        <v>103</v>
      </c>
      <c r="E5" s="97"/>
      <c r="F5" s="97"/>
      <c r="G5" s="97"/>
      <c r="H5" s="97"/>
      <c r="I5" s="83"/>
      <c r="J5" s="73"/>
      <c r="K5" s="73"/>
      <c r="L5" s="73"/>
      <c r="M5" s="73"/>
      <c r="N5" s="73"/>
      <c r="O5" s="69"/>
      <c r="P5" s="1"/>
      <c r="Q5" s="1"/>
      <c r="R5" s="1"/>
      <c r="S5" s="1"/>
      <c r="T5" s="1"/>
      <c r="U5" s="1"/>
      <c r="V5" s="1"/>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98" t="s">
        <v>101</v>
      </c>
      <c r="E6" s="99"/>
      <c r="F6" s="99"/>
      <c r="G6" s="99"/>
      <c r="H6" s="99"/>
      <c r="I6" s="75"/>
      <c r="J6" s="72"/>
      <c r="K6" s="72"/>
      <c r="L6" s="72"/>
      <c r="M6" s="72"/>
      <c r="N6" s="72"/>
      <c r="O6" s="70"/>
      <c r="P6" s="1"/>
      <c r="Q6" s="1"/>
      <c r="R6" s="1"/>
      <c r="S6" s="1"/>
      <c r="T6" s="1"/>
      <c r="U6" s="1"/>
      <c r="V6" s="1"/>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56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HYPERLINK("#'3.6.1.1-2 Enteric Methane'!A1", "3.6.1.1-2 Enteric Methane")</f>
        <v>3.6.1.1-2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HYPERLINK("#'Constants - Other Livestock'!A1", "Constants - Other Livestock")</f>
        <v>Constants - Other Livestock</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HYPERLINK("#'Constants - Common'!A1", "Constants - Common")</f>
        <v>Constants - Common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HYPERLINK("#'Acknowledgements'!A1", "Acknowledgements")</f>
        <v>Acknowledgements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tabSelected="1" zoomScaleNormal="100" workbookViewId="0">
      <selection activeCell="H16" sqref="H16"/>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7" t="e" vm="1">
        <v>#VALUE!</v>
      </c>
      <c r="C1" s="88" t="s">
        <v>140</v>
      </c>
    </row>
    <row r="2" spans="1:12" ht="20.100000000000001" customHeight="1" x14ac:dyDescent="0.25">
      <c r="A2" s="9"/>
      <c r="C2" s="9"/>
    </row>
    <row r="3" spans="1:12" ht="20.100000000000001" customHeight="1" x14ac:dyDescent="0.25">
      <c r="A3" s="17" t="str">
        <f>HYPERLINK("#'Home'!A1", "Home")</f>
        <v>Home</v>
      </c>
      <c r="C3" s="22"/>
      <c r="D3" s="22"/>
      <c r="E3" s="22"/>
      <c r="F3" s="22"/>
      <c r="G3" s="22"/>
      <c r="H3" s="22"/>
      <c r="I3" s="22"/>
      <c r="J3" s="22"/>
      <c r="K3" s="22"/>
      <c r="L3" s="22"/>
    </row>
    <row r="4" spans="1:12" ht="20.100000000000001" customHeight="1" x14ac:dyDescent="0.25">
      <c r="A4" s="17" t="str">
        <f>HYPERLINK("#'Overview'!A1", "Overview")</f>
        <v>Overview</v>
      </c>
      <c r="C4" s="22"/>
      <c r="D4" s="6" t="s">
        <v>5</v>
      </c>
      <c r="E4" s="24"/>
      <c r="F4" s="24"/>
      <c r="G4" s="24"/>
      <c r="H4" s="6"/>
      <c r="I4" s="6"/>
      <c r="J4" s="6"/>
      <c r="K4" s="6"/>
      <c r="L4" s="25"/>
    </row>
    <row r="5" spans="1:12" ht="20.100000000000001" customHeight="1" x14ac:dyDescent="0.3">
      <c r="A5" s="103" t="str">
        <f>HYPERLINK("#'Results'!A1", "Results")</f>
        <v>Results</v>
      </c>
      <c r="C5" s="22"/>
      <c r="D5" s="26"/>
      <c r="E5" s="27"/>
      <c r="F5" s="27"/>
      <c r="G5" s="27"/>
      <c r="H5" s="24"/>
      <c r="I5" s="22"/>
      <c r="J5" s="22"/>
      <c r="K5" s="22"/>
      <c r="L5" s="22"/>
    </row>
    <row r="6" spans="1:12" ht="20.100000000000001" customHeight="1" x14ac:dyDescent="0.25">
      <c r="A6" s="16"/>
      <c r="C6" s="22"/>
      <c r="D6" s="87" t="s">
        <v>68</v>
      </c>
      <c r="E6" s="87" t="s">
        <v>81</v>
      </c>
      <c r="F6" s="87" t="s">
        <v>82</v>
      </c>
      <c r="G6" s="87" t="s">
        <v>74</v>
      </c>
      <c r="H6" s="87" t="s">
        <v>83</v>
      </c>
      <c r="I6" s="87" t="s">
        <v>85</v>
      </c>
      <c r="J6" s="87" t="s">
        <v>75</v>
      </c>
      <c r="K6" s="22"/>
      <c r="L6" s="22"/>
    </row>
    <row r="7" spans="1:12" ht="20.100000000000001" customHeight="1" x14ac:dyDescent="0.25">
      <c r="A7" s="20" t="s">
        <v>3</v>
      </c>
      <c r="C7" s="22"/>
      <c r="D7" s="1" t="s">
        <v>102</v>
      </c>
      <c r="E7" s="85">
        <f>'3.6.1.1-2 Enteric Methane'!E28</f>
        <v>630.69999999999993</v>
      </c>
      <c r="F7" s="85">
        <f>E7</f>
        <v>630.69999999999993</v>
      </c>
      <c r="G7" s="50" t="s">
        <v>143</v>
      </c>
      <c r="H7" s="85">
        <f>'3.6.1.1-2 Enteric Methane'!E33</f>
        <v>17659.599999999999</v>
      </c>
      <c r="I7" s="85">
        <f>H7</f>
        <v>17659.599999999999</v>
      </c>
      <c r="J7" s="50" t="s">
        <v>84</v>
      </c>
      <c r="K7" s="22"/>
      <c r="L7" s="22"/>
    </row>
    <row r="8" spans="1:12" ht="20.100000000000001" customHeight="1" x14ac:dyDescent="0.3">
      <c r="A8" s="17" t="str">
        <f>HYPERLINK("#'Input - Site'!A1", "Site")</f>
        <v>Site</v>
      </c>
      <c r="C8" s="22"/>
      <c r="D8" s="29" t="s">
        <v>73</v>
      </c>
      <c r="E8" s="23"/>
      <c r="F8" s="29"/>
      <c r="G8" s="29"/>
      <c r="H8" s="86">
        <f>SUM(H7:H7)</f>
        <v>17659.599999999999</v>
      </c>
      <c r="I8" s="86">
        <f>SUM(I7:I7)</f>
        <v>17659.599999999999</v>
      </c>
      <c r="J8" s="81" t="s">
        <v>84</v>
      </c>
      <c r="K8" s="22"/>
      <c r="L8" s="22"/>
    </row>
    <row r="9" spans="1:12" ht="20.100000000000001" customHeight="1" x14ac:dyDescent="0.25">
      <c r="A9" s="17" t="str">
        <f>HYPERLINK("#'Input - Other Livestock'!A1", "Other Livestock")</f>
        <v>Other Livestock</v>
      </c>
      <c r="C9" s="22"/>
      <c r="D9" s="1"/>
      <c r="E9" s="1"/>
      <c r="F9" s="1"/>
      <c r="G9" s="24"/>
      <c r="H9" s="22"/>
      <c r="I9" s="1"/>
      <c r="J9" s="1"/>
      <c r="K9" s="22"/>
      <c r="L9" s="22"/>
    </row>
    <row r="10" spans="1:12" ht="20.100000000000001" customHeight="1" x14ac:dyDescent="0.25">
      <c r="A10" s="17"/>
      <c r="C10" s="22"/>
      <c r="D10" s="1"/>
      <c r="E10" s="1"/>
      <c r="F10" s="1"/>
      <c r="G10" s="1"/>
      <c r="H10" s="1"/>
      <c r="I10" s="1"/>
      <c r="J10" s="1"/>
      <c r="K10" s="22"/>
      <c r="L10" s="22"/>
    </row>
    <row r="11" spans="1:12" ht="20.100000000000001" customHeight="1" x14ac:dyDescent="0.25">
      <c r="A11" s="19" t="s">
        <v>56</v>
      </c>
      <c r="C11" s="22"/>
      <c r="D11" s="1"/>
      <c r="E11" s="1"/>
      <c r="F11" s="1"/>
      <c r="G11" s="1"/>
      <c r="H11" s="1"/>
      <c r="I11" s="1"/>
      <c r="J11" s="1"/>
      <c r="K11" s="22"/>
      <c r="L11" s="22"/>
    </row>
    <row r="12" spans="1:12" ht="20.100000000000001" customHeight="1" x14ac:dyDescent="0.25">
      <c r="A12" s="17" t="str">
        <f>HYPERLINK("#'3.6.1.1-2 Enteric Methane'!A1", "3.6.1.1-2 Enteric Methane")</f>
        <v>3.6.1.1-2 Enteric Methane</v>
      </c>
      <c r="C12" s="22"/>
      <c r="D12" s="1"/>
      <c r="E12" s="1"/>
      <c r="F12" s="1"/>
      <c r="G12" s="1"/>
      <c r="H12" s="1"/>
      <c r="I12" s="1"/>
      <c r="J12" s="1"/>
      <c r="K12" s="22"/>
      <c r="L12" s="22"/>
    </row>
    <row r="13" spans="1:12" ht="20.100000000000001" customHeight="1" x14ac:dyDescent="0.25">
      <c r="C13" s="22"/>
      <c r="D13" s="1"/>
      <c r="E13" s="1"/>
      <c r="F13" s="1"/>
      <c r="G13" s="1"/>
      <c r="H13" s="1"/>
      <c r="I13" s="1"/>
      <c r="J13" s="1"/>
      <c r="K13" s="22"/>
      <c r="L13" s="22"/>
    </row>
    <row r="14" spans="1:12" ht="20.100000000000001" customHeight="1" x14ac:dyDescent="0.25">
      <c r="A14" s="18" t="s">
        <v>4</v>
      </c>
      <c r="C14" s="22"/>
      <c r="D14" s="1"/>
      <c r="E14" s="1"/>
      <c r="F14" s="1"/>
      <c r="G14" s="1"/>
      <c r="H14" s="1"/>
      <c r="I14" s="1"/>
      <c r="J14" s="1"/>
      <c r="K14" s="22"/>
      <c r="L14" s="22"/>
    </row>
    <row r="15" spans="1:12" ht="20.100000000000001" customHeight="1" x14ac:dyDescent="0.25">
      <c r="A15" s="17" t="str">
        <f>HYPERLINK("#'Constants - Other Livestock'!A1", "Constants - Other Livestock")</f>
        <v>Constants - Other Livestock</v>
      </c>
      <c r="C15" s="22"/>
      <c r="D15" s="1"/>
      <c r="E15" s="1"/>
      <c r="F15" s="1"/>
      <c r="G15" s="1"/>
      <c r="H15" s="1"/>
      <c r="I15" s="1"/>
      <c r="J15" s="1"/>
      <c r="K15" s="22"/>
      <c r="L15" s="22"/>
    </row>
    <row r="16" spans="1:12" ht="20.100000000000001" customHeight="1" x14ac:dyDescent="0.25">
      <c r="A16" s="17" t="str">
        <f>HYPERLINK("#'Constants - Common'!A1", "Constants - Common")</f>
        <v>Constants - Common</v>
      </c>
      <c r="C16" s="22"/>
      <c r="D16" s="1"/>
      <c r="E16" s="1"/>
      <c r="F16" s="1"/>
      <c r="G16" s="1"/>
      <c r="H16" s="1"/>
      <c r="I16" s="1"/>
      <c r="J16" s="1"/>
      <c r="K16" s="22"/>
      <c r="L16" s="22"/>
    </row>
    <row r="17" spans="1:12" ht="20.100000000000001" customHeight="1" x14ac:dyDescent="0.25">
      <c r="A17" s="17" t="str">
        <f>HYPERLINK("#'Acknowledgements'!A1", "Acknowledgements")</f>
        <v>Acknowledgements</v>
      </c>
      <c r="C17" s="22"/>
      <c r="D17" s="1"/>
      <c r="E17" s="1"/>
      <c r="F17" s="1"/>
      <c r="G17" s="1"/>
      <c r="H17" s="1"/>
      <c r="I17" s="1"/>
      <c r="J17" s="1"/>
      <c r="K17" s="22"/>
      <c r="L17" s="22"/>
    </row>
    <row r="18" spans="1:12" ht="20.100000000000001" customHeight="1" x14ac:dyDescent="0.25">
      <c r="C18" s="22"/>
      <c r="D18" s="1"/>
      <c r="E18" s="1"/>
      <c r="F18" s="1"/>
      <c r="G18" s="1"/>
      <c r="H18" s="1"/>
      <c r="I18" s="1"/>
      <c r="J18" s="1"/>
      <c r="K18" s="22"/>
      <c r="L18" s="22"/>
    </row>
    <row r="19" spans="1:12" ht="20.100000000000001" customHeight="1" x14ac:dyDescent="0.25">
      <c r="C19" s="22"/>
      <c r="D19" s="1"/>
      <c r="E19" s="1"/>
      <c r="F19" s="1"/>
      <c r="G19" s="1"/>
      <c r="H19" s="1"/>
      <c r="I19" s="1"/>
      <c r="J19" s="1"/>
      <c r="K19" s="22"/>
      <c r="L19" s="22"/>
    </row>
    <row r="20" spans="1:12" ht="20.100000000000001" customHeight="1" x14ac:dyDescent="0.25">
      <c r="C20" s="22"/>
      <c r="D20" s="1"/>
      <c r="E20" s="1"/>
      <c r="F20" s="1"/>
      <c r="G20" s="1"/>
      <c r="H20" s="1"/>
      <c r="I20" s="1"/>
      <c r="J20" s="1"/>
      <c r="K20" s="22"/>
      <c r="L20" s="22"/>
    </row>
    <row r="21" spans="1:12" ht="20.100000000000001" customHeight="1" x14ac:dyDescent="0.25">
      <c r="A21" s="17"/>
      <c r="C21" s="22"/>
      <c r="D21" s="1"/>
      <c r="E21" s="1"/>
      <c r="F21" s="1"/>
      <c r="G21" s="1"/>
      <c r="H21" s="1"/>
      <c r="I21" s="1"/>
      <c r="J21" s="1"/>
      <c r="K21" s="22"/>
      <c r="L21" s="22"/>
    </row>
    <row r="22" spans="1:12" ht="20.100000000000001" customHeight="1" x14ac:dyDescent="0.25">
      <c r="C22" s="22"/>
      <c r="D22" s="1"/>
      <c r="E22" s="1"/>
      <c r="F22" s="1"/>
      <c r="G22" s="1"/>
      <c r="H22" s="1"/>
      <c r="I22" s="1"/>
      <c r="J22" s="1"/>
      <c r="K22" s="22"/>
      <c r="L22" s="22"/>
    </row>
    <row r="23" spans="1:12" ht="20.100000000000001" customHeight="1" x14ac:dyDescent="0.25">
      <c r="C23" s="22"/>
      <c r="D23" s="1"/>
      <c r="E23" s="1"/>
      <c r="F23" s="1"/>
      <c r="G23" s="1"/>
      <c r="H23" s="1"/>
      <c r="I23" s="1"/>
      <c r="J23" s="1"/>
      <c r="K23" s="22"/>
      <c r="L23" s="22"/>
    </row>
    <row r="24" spans="1:12" ht="20.100000000000001" customHeight="1" x14ac:dyDescent="0.25">
      <c r="A24" s="17"/>
      <c r="C24" s="22"/>
      <c r="D24" s="1"/>
      <c r="E24" s="1"/>
      <c r="F24" s="1"/>
      <c r="G24" s="1"/>
      <c r="H24" s="1"/>
      <c r="I24" s="1"/>
      <c r="J24" s="1"/>
      <c r="K24" s="22"/>
      <c r="L24" s="22"/>
    </row>
    <row r="25" spans="1:12" ht="20.100000000000001" customHeight="1" x14ac:dyDescent="0.25">
      <c r="A25" s="17"/>
      <c r="C25" s="22"/>
      <c r="D25" s="1"/>
      <c r="E25" s="1"/>
      <c r="F25" s="1"/>
      <c r="G25" s="1"/>
      <c r="H25" s="1"/>
      <c r="I25" s="1"/>
      <c r="J25" s="1"/>
      <c r="K25" s="22"/>
      <c r="L25" s="22"/>
    </row>
    <row r="26" spans="1:12" ht="20.100000000000001" customHeight="1" x14ac:dyDescent="0.25">
      <c r="C26" s="22"/>
      <c r="D26" s="1"/>
      <c r="E26" s="1"/>
      <c r="F26" s="1"/>
      <c r="G26" s="1"/>
      <c r="H26" s="1"/>
      <c r="I26" s="1"/>
      <c r="J26" s="1"/>
      <c r="K26" s="22"/>
      <c r="L26" s="22"/>
    </row>
    <row r="27" spans="1:12" ht="20.100000000000001" customHeight="1" x14ac:dyDescent="0.25">
      <c r="C27" s="22"/>
      <c r="D27" s="1"/>
      <c r="E27" s="1"/>
      <c r="F27" s="1"/>
      <c r="G27" s="1"/>
      <c r="H27" s="1"/>
      <c r="I27" s="1"/>
      <c r="J27" s="1"/>
      <c r="K27" s="22"/>
      <c r="L27" s="22"/>
    </row>
    <row r="28" spans="1:12" ht="20.100000000000001" customHeight="1" x14ac:dyDescent="0.25">
      <c r="C28" s="22"/>
      <c r="D28" s="1"/>
      <c r="E28" s="1"/>
      <c r="F28" s="1"/>
      <c r="G28" s="1"/>
      <c r="H28" s="1"/>
      <c r="I28" s="1"/>
      <c r="J28" s="1"/>
      <c r="K28" s="22"/>
      <c r="L28" s="22"/>
    </row>
    <row r="29" spans="1:12" ht="20.100000000000001" customHeight="1" x14ac:dyDescent="0.25">
      <c r="C29" s="22"/>
      <c r="D29" s="1"/>
      <c r="E29" s="1"/>
      <c r="F29" s="1"/>
      <c r="G29" s="1"/>
      <c r="H29" s="22"/>
      <c r="I29" s="22"/>
      <c r="J29" s="22"/>
      <c r="K29" s="22"/>
      <c r="L29" s="22"/>
    </row>
    <row r="30" spans="1:12" ht="20.100000000000001" customHeight="1" x14ac:dyDescent="0.25">
      <c r="C30" s="22"/>
      <c r="D30" s="1"/>
      <c r="E30" s="1"/>
      <c r="F30" s="1"/>
      <c r="G30" s="1"/>
      <c r="H30" s="22"/>
      <c r="I30" s="22"/>
      <c r="J30" s="22"/>
      <c r="K30" s="22"/>
      <c r="L30" s="22"/>
    </row>
    <row r="31" spans="1:12" ht="20.100000000000001" customHeight="1" x14ac:dyDescent="0.25">
      <c r="C31" s="22"/>
      <c r="D31" s="1"/>
      <c r="E31" s="1"/>
      <c r="F31" s="1"/>
      <c r="G31" s="1"/>
      <c r="H31" s="22"/>
      <c r="I31" s="22"/>
      <c r="J31" s="22"/>
      <c r="K31" s="22"/>
      <c r="L31" s="22"/>
    </row>
    <row r="32" spans="1:12" ht="20.100000000000001" customHeight="1" x14ac:dyDescent="0.25">
      <c r="C32" s="22"/>
      <c r="D32" s="1"/>
      <c r="E32" s="1"/>
      <c r="F32" s="1"/>
      <c r="G32" s="1"/>
      <c r="H32" s="24"/>
      <c r="I32" s="22"/>
      <c r="J32" s="22"/>
      <c r="K32" s="22"/>
      <c r="L32" s="22"/>
    </row>
    <row r="33" spans="3:12" ht="20.100000000000001" customHeight="1" x14ac:dyDescent="0.3">
      <c r="C33" s="22"/>
      <c r="D33" s="1"/>
      <c r="E33" s="1"/>
      <c r="F33" s="1"/>
      <c r="G33" s="1"/>
      <c r="H33" s="27"/>
      <c r="I33" s="22"/>
      <c r="J33" s="22"/>
      <c r="K33" s="22"/>
      <c r="L33" s="22"/>
    </row>
    <row r="34" spans="3:12" ht="20.100000000000001" customHeight="1" x14ac:dyDescent="0.25">
      <c r="C34" s="22"/>
      <c r="D34" s="1"/>
      <c r="E34" s="1"/>
      <c r="F34" s="1"/>
      <c r="G34" s="1"/>
      <c r="H34" s="1"/>
      <c r="I34" s="22"/>
      <c r="J34" s="22"/>
      <c r="K34" s="22"/>
      <c r="L34" s="22"/>
    </row>
    <row r="35" spans="3:12" ht="20.100000000000001" customHeight="1" x14ac:dyDescent="0.25">
      <c r="C35" s="22"/>
      <c r="D35" s="1"/>
      <c r="E35" s="1"/>
      <c r="F35" s="1"/>
      <c r="G35" s="1"/>
      <c r="H35" s="1"/>
      <c r="I35" s="22"/>
      <c r="J35" s="22"/>
      <c r="K35" s="22"/>
      <c r="L35" s="22"/>
    </row>
    <row r="36" spans="3:12" ht="20.100000000000001" customHeight="1" x14ac:dyDescent="0.25">
      <c r="C36" s="22"/>
      <c r="D36" s="1"/>
      <c r="E36" s="1"/>
      <c r="F36" s="1"/>
      <c r="G36" s="1"/>
      <c r="H36" s="1"/>
      <c r="I36" s="22"/>
      <c r="J36" s="22"/>
      <c r="K36" s="22"/>
      <c r="L36" s="22"/>
    </row>
    <row r="37" spans="3:12" ht="20.100000000000001" customHeight="1" x14ac:dyDescent="0.25">
      <c r="C37" s="22"/>
      <c r="D37" s="1"/>
      <c r="E37" s="1"/>
      <c r="F37" s="1"/>
      <c r="G37" s="1"/>
      <c r="H37" s="1"/>
      <c r="I37" s="22"/>
      <c r="J37" s="22"/>
      <c r="K37" s="22"/>
      <c r="L37" s="22"/>
    </row>
    <row r="38" spans="3:12" ht="20.100000000000001" customHeight="1" x14ac:dyDescent="0.25">
      <c r="C38" s="22"/>
      <c r="D38" s="1"/>
      <c r="E38" s="1"/>
      <c r="F38" s="1"/>
      <c r="G38" s="1"/>
      <c r="H38" s="1"/>
      <c r="I38" s="84"/>
      <c r="J38" s="84"/>
      <c r="K38" s="84"/>
      <c r="L38" s="22"/>
    </row>
    <row r="39" spans="3:12" ht="20.100000000000001" customHeight="1" x14ac:dyDescent="0.25">
      <c r="C39" s="22"/>
      <c r="D39" s="1"/>
      <c r="E39" s="1"/>
      <c r="F39" s="1"/>
      <c r="G39" s="1"/>
      <c r="H39" s="1"/>
      <c r="I39" s="84"/>
      <c r="J39" s="84"/>
      <c r="K39" s="84"/>
      <c r="L39" s="22"/>
    </row>
    <row r="40" spans="3:12" ht="20.100000000000001" customHeight="1" x14ac:dyDescent="0.25">
      <c r="C40" s="22"/>
      <c r="D40" s="1"/>
      <c r="E40" s="1"/>
      <c r="F40" s="1"/>
      <c r="G40" s="1"/>
      <c r="H40" s="1"/>
      <c r="I40" s="84"/>
      <c r="J40" s="84"/>
      <c r="K40" s="84"/>
      <c r="L40" s="22"/>
    </row>
    <row r="41" spans="3:12" ht="20.100000000000001" customHeight="1" x14ac:dyDescent="0.25">
      <c r="C41" s="22"/>
      <c r="D41" s="1"/>
      <c r="E41" s="1"/>
      <c r="F41" s="1"/>
      <c r="G41" s="1"/>
      <c r="H41" s="1"/>
      <c r="I41" s="84"/>
      <c r="J41" s="84"/>
      <c r="K41" s="84"/>
      <c r="L41" s="22"/>
    </row>
    <row r="42" spans="3:12" ht="20.100000000000001" customHeight="1" x14ac:dyDescent="0.25">
      <c r="C42" s="22"/>
      <c r="D42" s="1"/>
      <c r="E42" s="1"/>
      <c r="F42" s="1"/>
      <c r="G42" s="1"/>
      <c r="H42" s="1"/>
      <c r="I42" s="84"/>
      <c r="J42" s="84"/>
      <c r="K42" s="84"/>
      <c r="L42" s="22"/>
    </row>
    <row r="43" spans="3:12" ht="20.100000000000001" customHeight="1" x14ac:dyDescent="0.25">
      <c r="C43" s="22"/>
      <c r="D43" s="1"/>
      <c r="E43" s="1"/>
      <c r="F43" s="1"/>
      <c r="G43" s="1"/>
      <c r="H43" s="1"/>
      <c r="I43" s="84"/>
      <c r="J43" s="84"/>
      <c r="K43" s="84"/>
      <c r="L43" s="22"/>
    </row>
    <row r="44" spans="3:12" ht="20.100000000000001" customHeight="1" x14ac:dyDescent="0.25">
      <c r="C44" s="22"/>
      <c r="D44" s="1"/>
      <c r="E44" s="1"/>
      <c r="F44" s="1"/>
      <c r="G44" s="1"/>
      <c r="H44" s="1"/>
      <c r="I44" s="84"/>
      <c r="J44" s="84"/>
      <c r="K44" s="84"/>
      <c r="L44" s="22"/>
    </row>
    <row r="45" spans="3:12" ht="20.100000000000001" customHeight="1" x14ac:dyDescent="0.25">
      <c r="C45" s="22"/>
      <c r="D45" s="1"/>
      <c r="E45" s="1"/>
      <c r="F45" s="1"/>
      <c r="G45" s="1"/>
      <c r="H45" s="1"/>
      <c r="I45" s="84"/>
      <c r="J45" s="84"/>
      <c r="K45" s="84"/>
      <c r="L45" s="22"/>
    </row>
    <row r="46" spans="3:12" ht="20.100000000000001" customHeight="1" x14ac:dyDescent="0.25">
      <c r="C46" s="22"/>
      <c r="D46" s="1"/>
      <c r="E46" s="1"/>
      <c r="F46" s="1"/>
      <c r="G46" s="1"/>
      <c r="H46" s="1"/>
      <c r="I46" s="84"/>
      <c r="J46" s="84"/>
      <c r="K46" s="84"/>
      <c r="L46" s="22"/>
    </row>
    <row r="47" spans="3:12" ht="20.100000000000001" customHeight="1" x14ac:dyDescent="0.25">
      <c r="C47" s="22"/>
      <c r="D47" s="1"/>
      <c r="E47" s="1"/>
      <c r="F47" s="1"/>
      <c r="G47" s="1"/>
      <c r="H47" s="1"/>
      <c r="I47" s="84"/>
      <c r="J47" s="84"/>
      <c r="K47" s="84"/>
      <c r="L47" s="22"/>
    </row>
    <row r="48" spans="3:12" ht="20.100000000000001" customHeight="1" x14ac:dyDescent="0.25">
      <c r="C48" s="22"/>
      <c r="D48" s="1"/>
      <c r="E48" s="1"/>
      <c r="F48" s="1"/>
      <c r="G48" s="1"/>
      <c r="H48" s="1"/>
      <c r="I48" s="84"/>
      <c r="J48" s="84"/>
      <c r="K48" s="84"/>
      <c r="L48" s="22"/>
    </row>
    <row r="49" spans="3:12" ht="20.100000000000001" customHeight="1" x14ac:dyDescent="0.25">
      <c r="C49" s="22"/>
      <c r="D49" s="1"/>
      <c r="E49" s="1"/>
      <c r="F49" s="1"/>
      <c r="G49" s="1"/>
      <c r="H49" s="84"/>
      <c r="I49" s="84"/>
      <c r="J49" s="84"/>
      <c r="K49" s="84"/>
      <c r="L49" s="22"/>
    </row>
    <row r="50" spans="3:12" ht="20.100000000000001" customHeight="1" x14ac:dyDescent="0.25">
      <c r="C50" s="22"/>
      <c r="D50" s="1"/>
      <c r="E50" s="1"/>
      <c r="F50" s="1"/>
      <c r="G50" s="1"/>
      <c r="H50" s="84"/>
      <c r="I50" s="84"/>
      <c r="J50" s="84"/>
      <c r="K50" s="84"/>
      <c r="L50" s="22"/>
    </row>
    <row r="51" spans="3:12" ht="20.100000000000001" customHeight="1" x14ac:dyDescent="0.25">
      <c r="C51" s="22"/>
      <c r="D51" s="1"/>
      <c r="E51" s="1"/>
      <c r="F51" s="1"/>
      <c r="G51" s="1"/>
      <c r="H51" s="84"/>
      <c r="I51" s="84"/>
      <c r="J51" s="84"/>
      <c r="K51" s="84"/>
      <c r="L51" s="22"/>
    </row>
    <row r="52" spans="3:12" ht="20.100000000000001" customHeight="1" x14ac:dyDescent="0.25">
      <c r="C52" s="22"/>
      <c r="D52" s="1"/>
      <c r="E52" s="1"/>
      <c r="F52" s="1"/>
      <c r="G52" s="1"/>
      <c r="H52" s="84"/>
      <c r="I52" s="84"/>
      <c r="J52" s="84"/>
      <c r="K52" s="84"/>
      <c r="L52" s="22"/>
    </row>
    <row r="53" spans="3:12" ht="20.100000000000001" customHeight="1" x14ac:dyDescent="0.25">
      <c r="C53" s="22"/>
      <c r="D53" s="1"/>
      <c r="E53" s="1"/>
      <c r="F53" s="1"/>
      <c r="G53" s="1"/>
      <c r="H53" s="84"/>
      <c r="I53" s="84"/>
      <c r="J53" s="84"/>
      <c r="K53" s="84"/>
      <c r="L53" s="22"/>
    </row>
    <row r="54" spans="3:12" ht="20.100000000000001" customHeight="1" x14ac:dyDescent="0.25">
      <c r="C54" s="22"/>
      <c r="D54" s="1"/>
      <c r="E54" s="1"/>
      <c r="F54" s="1"/>
      <c r="G54" s="1"/>
      <c r="H54" s="22"/>
      <c r="I54" s="22"/>
      <c r="J54" s="22"/>
      <c r="K54" s="22"/>
      <c r="L54" s="22"/>
    </row>
    <row r="55" spans="3:12" ht="20.100000000000001" customHeight="1" x14ac:dyDescent="0.25">
      <c r="C55" s="22"/>
      <c r="D55" s="1"/>
      <c r="E55" s="1"/>
      <c r="F55" s="1"/>
      <c r="G55" s="1"/>
      <c r="H55" s="22"/>
      <c r="I55" s="22"/>
      <c r="J55" s="22"/>
      <c r="K55" s="22"/>
      <c r="L55" s="22"/>
    </row>
    <row r="56" spans="3:12" ht="20.100000000000001" customHeight="1" x14ac:dyDescent="0.25">
      <c r="C56" s="22"/>
      <c r="D56" s="1"/>
      <c r="E56" s="1"/>
      <c r="F56" s="1"/>
      <c r="G56" s="1"/>
      <c r="H56" s="22"/>
      <c r="I56" s="22"/>
      <c r="J56" s="22"/>
      <c r="K56" s="22"/>
      <c r="L56" s="22"/>
    </row>
    <row r="57" spans="3:12" ht="20.100000000000001" customHeight="1" x14ac:dyDescent="0.25">
      <c r="C57" s="22"/>
      <c r="D57" s="1"/>
      <c r="E57" s="1"/>
      <c r="F57" s="1"/>
      <c r="G57" s="1"/>
      <c r="H57" s="22"/>
      <c r="I57" s="22"/>
      <c r="J57" s="22"/>
      <c r="K57" s="22"/>
      <c r="L57" s="22"/>
    </row>
    <row r="58" spans="3:12" ht="20.100000000000001" customHeight="1" x14ac:dyDescent="0.25">
      <c r="C58" s="22"/>
      <c r="D58" s="1"/>
      <c r="E58" s="30"/>
      <c r="F58" s="28"/>
      <c r="G58" s="22"/>
      <c r="H58" s="22"/>
      <c r="I58" s="22"/>
      <c r="J58" s="22"/>
      <c r="K58" s="22"/>
      <c r="L58" s="22"/>
    </row>
    <row r="59" spans="3:12" ht="20.100000000000001" customHeight="1" x14ac:dyDescent="0.25">
      <c r="C59" s="22"/>
      <c r="D59" s="1"/>
      <c r="E59" s="1"/>
      <c r="F59" s="1"/>
      <c r="G59" s="1"/>
      <c r="H59" s="1"/>
      <c r="I59" s="1"/>
      <c r="J59" s="1"/>
      <c r="K59" s="1"/>
      <c r="L59" s="22"/>
    </row>
    <row r="60" spans="3:12" ht="20.100000000000001" customHeight="1" x14ac:dyDescent="0.25">
      <c r="C60" s="22"/>
      <c r="D60" s="1"/>
      <c r="E60" s="1"/>
      <c r="F60" s="1"/>
      <c r="G60" s="1"/>
      <c r="H60" s="1"/>
      <c r="I60" s="1"/>
      <c r="J60" s="1"/>
      <c r="K60" s="1"/>
      <c r="L60" s="22"/>
    </row>
    <row r="61" spans="3:12" ht="20.100000000000001" customHeight="1" x14ac:dyDescent="0.25">
      <c r="C61" s="22"/>
      <c r="D61" s="1"/>
      <c r="E61" s="1"/>
      <c r="F61" s="1"/>
      <c r="G61" s="1"/>
      <c r="H61" s="1"/>
      <c r="I61" s="1"/>
      <c r="J61" s="1"/>
      <c r="K61" s="1"/>
      <c r="L61" s="22"/>
    </row>
    <row r="62" spans="3:12" ht="20.100000000000001" customHeight="1" x14ac:dyDescent="0.25">
      <c r="C62" s="22"/>
      <c r="D62" s="1"/>
      <c r="E62" s="1"/>
      <c r="F62" s="1"/>
      <c r="G62" s="1"/>
      <c r="H62" s="1"/>
      <c r="I62" s="1"/>
      <c r="J62" s="1"/>
      <c r="K62" s="1"/>
      <c r="L62" s="22"/>
    </row>
    <row r="63" spans="3:12" ht="20.100000000000001" customHeight="1" x14ac:dyDescent="0.25">
      <c r="C63" s="22"/>
      <c r="D63" s="1"/>
      <c r="E63" s="1"/>
      <c r="F63" s="1"/>
      <c r="G63" s="1"/>
      <c r="H63" s="1"/>
      <c r="I63" s="1"/>
      <c r="J63" s="1"/>
      <c r="K63" s="1"/>
      <c r="L63" s="22"/>
    </row>
    <row r="64" spans="3:12" ht="20.100000000000001" customHeight="1" x14ac:dyDescent="0.25">
      <c r="C64" s="22"/>
      <c r="D64" s="1"/>
      <c r="E64" s="1"/>
      <c r="F64" s="1"/>
      <c r="G64" s="1"/>
      <c r="H64" s="1"/>
      <c r="I64" s="1"/>
      <c r="J64" s="1"/>
      <c r="K64" s="1"/>
      <c r="L64" s="22"/>
    </row>
    <row r="65" spans="3:12" ht="20.100000000000001" customHeight="1" x14ac:dyDescent="0.25">
      <c r="C65" s="22"/>
      <c r="D65" s="1"/>
      <c r="E65" s="1"/>
      <c r="F65" s="1"/>
      <c r="G65" s="1"/>
      <c r="H65" s="1"/>
      <c r="I65" s="1"/>
      <c r="J65" s="1"/>
      <c r="K65" s="1"/>
      <c r="L65" s="22"/>
    </row>
    <row r="66" spans="3:12" ht="20.100000000000001" customHeight="1" x14ac:dyDescent="0.25">
      <c r="C66" s="22"/>
      <c r="D66" s="1"/>
      <c r="E66" s="1"/>
      <c r="F66" s="1"/>
      <c r="G66" s="1"/>
      <c r="H66" s="1"/>
      <c r="I66" s="1"/>
      <c r="J66" s="1"/>
      <c r="K66" s="1"/>
      <c r="L66" s="22"/>
    </row>
    <row r="67" spans="3:12" ht="20.100000000000001" customHeight="1" x14ac:dyDescent="0.25">
      <c r="C67" s="22"/>
      <c r="D67" s="1"/>
      <c r="E67" s="1"/>
      <c r="F67" s="1"/>
      <c r="G67" s="1"/>
      <c r="H67" s="1"/>
      <c r="I67" s="1"/>
      <c r="J67" s="1"/>
      <c r="K67" s="1"/>
      <c r="L67" s="22"/>
    </row>
    <row r="68" spans="3:12" ht="20.100000000000001" customHeight="1" x14ac:dyDescent="0.25">
      <c r="C68" s="22"/>
      <c r="D68" s="1"/>
      <c r="E68" s="1"/>
      <c r="F68" s="1"/>
      <c r="G68" s="1"/>
      <c r="H68" s="1"/>
      <c r="I68" s="1"/>
      <c r="J68" s="1"/>
      <c r="K68" s="1"/>
      <c r="L68" s="22"/>
    </row>
    <row r="69" spans="3:12" ht="20.100000000000001" customHeight="1" x14ac:dyDescent="0.25">
      <c r="C69" s="22"/>
      <c r="D69" s="1"/>
      <c r="E69" s="1"/>
      <c r="F69" s="1"/>
      <c r="G69" s="1"/>
      <c r="H69" s="1"/>
      <c r="I69" s="1"/>
      <c r="J69" s="1"/>
      <c r="K69" s="1"/>
      <c r="L69" s="22"/>
    </row>
    <row r="70" spans="3:12" ht="20.100000000000001" customHeight="1" x14ac:dyDescent="0.25">
      <c r="C70" s="22"/>
      <c r="D70" s="1"/>
      <c r="E70" s="1"/>
      <c r="F70" s="1"/>
      <c r="G70" s="1"/>
      <c r="H70" s="1"/>
      <c r="I70" s="1"/>
      <c r="J70" s="1"/>
      <c r="K70" s="1"/>
      <c r="L70" s="22"/>
    </row>
    <row r="71" spans="3:12" ht="20.100000000000001" customHeight="1" x14ac:dyDescent="0.25">
      <c r="C71" s="22"/>
      <c r="D71" s="1"/>
      <c r="E71" s="1"/>
      <c r="F71" s="1"/>
      <c r="G71" s="1"/>
      <c r="H71" s="1"/>
      <c r="I71" s="1"/>
      <c r="J71" s="1"/>
      <c r="K71" s="1"/>
      <c r="L71" s="22"/>
    </row>
    <row r="72" spans="3:12" ht="20.100000000000001" customHeight="1" x14ac:dyDescent="0.25">
      <c r="C72" s="22"/>
      <c r="D72" s="1"/>
      <c r="E72" s="1"/>
      <c r="F72" s="1"/>
      <c r="G72" s="1"/>
      <c r="H72" s="1"/>
      <c r="I72" s="1"/>
      <c r="J72" s="1"/>
      <c r="K72" s="1"/>
      <c r="L72" s="22"/>
    </row>
    <row r="73" spans="3:12" ht="20.100000000000001" customHeight="1" x14ac:dyDescent="0.25">
      <c r="C73" s="22"/>
      <c r="D73" s="1"/>
      <c r="E73" s="1"/>
      <c r="F73" s="1"/>
      <c r="G73" s="1"/>
      <c r="H73" s="1"/>
      <c r="I73" s="1"/>
      <c r="J73" s="1"/>
      <c r="K73" s="1"/>
      <c r="L73" s="22"/>
    </row>
    <row r="74" spans="3:12" ht="20.100000000000001" customHeight="1" x14ac:dyDescent="0.25">
      <c r="C74" s="22"/>
      <c r="D74" s="1"/>
      <c r="E74" s="1"/>
      <c r="F74" s="1"/>
      <c r="G74" s="1"/>
      <c r="H74" s="1"/>
      <c r="I74" s="1"/>
      <c r="J74" s="1"/>
      <c r="K74" s="1"/>
      <c r="L74" s="22"/>
    </row>
    <row r="75" spans="3:12" ht="20.100000000000001" customHeight="1" x14ac:dyDescent="0.25">
      <c r="C75" s="22"/>
      <c r="D75" s="1"/>
      <c r="E75" s="1"/>
      <c r="F75" s="1"/>
      <c r="G75" s="1"/>
      <c r="H75" s="1"/>
      <c r="I75" s="1"/>
      <c r="J75" s="1"/>
      <c r="K75" s="1"/>
      <c r="L75" s="22"/>
    </row>
    <row r="76" spans="3:12" ht="15.75" x14ac:dyDescent="0.25">
      <c r="C76" s="22"/>
      <c r="D76" s="1"/>
      <c r="E76" s="1"/>
      <c r="F76" s="1"/>
      <c r="G76" s="1"/>
      <c r="H76" s="1"/>
      <c r="I76" s="1"/>
      <c r="J76" s="1"/>
      <c r="K76" s="1"/>
      <c r="L76" s="22"/>
    </row>
    <row r="77" spans="3:12" ht="15.75" x14ac:dyDescent="0.25">
      <c r="C77" s="22"/>
      <c r="D77" s="1"/>
      <c r="E77" s="1"/>
      <c r="F77" s="1"/>
      <c r="G77" s="1"/>
      <c r="H77" s="1"/>
      <c r="I77" s="1"/>
      <c r="J77" s="1"/>
      <c r="K77" s="1"/>
      <c r="L77" s="22"/>
    </row>
    <row r="78" spans="3:12" ht="15.75" x14ac:dyDescent="0.25">
      <c r="C78" s="22"/>
      <c r="D78" s="1"/>
      <c r="E78" s="1"/>
      <c r="F78" s="1"/>
      <c r="G78" s="1"/>
      <c r="H78" s="1"/>
      <c r="I78" s="1"/>
      <c r="J78" s="1"/>
      <c r="K78" s="1"/>
      <c r="L78" s="22"/>
    </row>
    <row r="79" spans="3:12" ht="15.75" x14ac:dyDescent="0.25">
      <c r="C79" s="22"/>
      <c r="D79" s="1"/>
      <c r="E79" s="1"/>
      <c r="F79" s="1"/>
      <c r="G79" s="1"/>
      <c r="H79" s="1"/>
      <c r="I79" s="1"/>
      <c r="J79" s="1"/>
      <c r="K79" s="1"/>
      <c r="L79" s="22"/>
    </row>
    <row r="80" spans="3:12" ht="15.75" x14ac:dyDescent="0.25">
      <c r="C80" s="22"/>
      <c r="D80" s="1"/>
      <c r="E80" s="1"/>
      <c r="F80" s="1"/>
      <c r="G80" s="1"/>
      <c r="H80" s="1"/>
      <c r="I80" s="1"/>
      <c r="J80" s="1"/>
      <c r="K80" s="1"/>
      <c r="L80" s="22"/>
    </row>
    <row r="81" spans="3:12" ht="15.75" x14ac:dyDescent="0.25">
      <c r="C81" s="22"/>
      <c r="D81" s="1"/>
      <c r="E81" s="1"/>
      <c r="F81" s="1"/>
      <c r="G81" s="1"/>
      <c r="H81" s="1"/>
      <c r="I81" s="1"/>
      <c r="J81" s="1"/>
      <c r="K81" s="1"/>
      <c r="L81" s="22"/>
    </row>
    <row r="82" spans="3:12" ht="15.75" x14ac:dyDescent="0.25">
      <c r="C82" s="22"/>
      <c r="D82" s="1"/>
      <c r="E82" s="1"/>
      <c r="F82" s="1"/>
      <c r="G82" s="1"/>
      <c r="H82" s="1"/>
      <c r="I82" s="1"/>
      <c r="J82" s="1"/>
      <c r="K82" s="1"/>
      <c r="L82" s="22"/>
    </row>
    <row r="83" spans="3:12" ht="15.75" x14ac:dyDescent="0.25">
      <c r="C83" s="22"/>
      <c r="D83" s="1"/>
      <c r="E83" s="1"/>
      <c r="F83" s="1"/>
      <c r="G83" s="1"/>
      <c r="H83" s="1"/>
      <c r="I83" s="1"/>
      <c r="J83" s="1"/>
      <c r="K83" s="1"/>
      <c r="L83" s="22"/>
    </row>
    <row r="84" spans="3:12" ht="15.75" x14ac:dyDescent="0.25">
      <c r="C84" s="22"/>
      <c r="D84" s="1"/>
      <c r="E84" s="1"/>
      <c r="F84" s="1"/>
      <c r="G84" s="1"/>
      <c r="H84" s="1"/>
      <c r="I84" s="1"/>
      <c r="J84" s="1"/>
      <c r="K84" s="1"/>
      <c r="L84" s="22"/>
    </row>
    <row r="85" spans="3:12" ht="15.75" x14ac:dyDescent="0.25">
      <c r="C85" s="22"/>
      <c r="D85" s="1"/>
      <c r="E85" s="1"/>
      <c r="F85" s="1"/>
      <c r="G85" s="1"/>
      <c r="H85" s="1"/>
      <c r="I85" s="1"/>
      <c r="J85" s="1"/>
      <c r="K85" s="1"/>
      <c r="L85" s="22"/>
    </row>
    <row r="86" spans="3:12" x14ac:dyDescent="0.25">
      <c r="C86" s="22"/>
      <c r="D86" s="22"/>
      <c r="E86" s="22"/>
      <c r="F86" s="22"/>
      <c r="G86" s="22"/>
      <c r="H86" s="22"/>
      <c r="I86" s="22"/>
      <c r="J86" s="22"/>
      <c r="K86" s="22"/>
      <c r="L86" s="22"/>
    </row>
    <row r="87" spans="3:12" x14ac:dyDescent="0.25">
      <c r="C87" s="22"/>
      <c r="D87" s="22"/>
      <c r="E87" s="22"/>
      <c r="F87" s="22"/>
      <c r="G87" s="22"/>
      <c r="H87" s="22"/>
      <c r="I87" s="22"/>
      <c r="J87" s="22"/>
      <c r="K87" s="22"/>
      <c r="L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4" sqref="A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7" t="e" vm="1">
        <v>#VALUE!</v>
      </c>
      <c r="C1" s="12" t="s">
        <v>60</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9</v>
      </c>
      <c r="N5" s="38"/>
    </row>
    <row r="6" spans="1:24" ht="20.100000000000001" customHeight="1" x14ac:dyDescent="0.25">
      <c r="D6" s="14"/>
      <c r="N6" s="39"/>
    </row>
    <row r="7" spans="1:24" ht="20.100000000000001" customHeight="1" x14ac:dyDescent="0.25">
      <c r="A7" s="20" t="s">
        <v>3</v>
      </c>
      <c r="D7" s="1" t="s">
        <v>7</v>
      </c>
      <c r="E7" s="31" t="s">
        <v>6</v>
      </c>
      <c r="F7" s="2"/>
    </row>
    <row r="8" spans="1:24" ht="20.100000000000001" customHeight="1" x14ac:dyDescent="0.25">
      <c r="A8" s="102" t="str">
        <f>HYPERLINK("#'Input - Site'!A1", "Site")</f>
        <v>Site</v>
      </c>
      <c r="D8" s="10" t="s">
        <v>52</v>
      </c>
      <c r="E8" s="31" t="s">
        <v>53</v>
      </c>
    </row>
    <row r="9" spans="1:24" ht="20.100000000000001" customHeight="1" x14ac:dyDescent="0.25">
      <c r="A9" s="17" t="str">
        <f>HYPERLINK("#'Input - Other Livestock'!A1", "Other Livestock")</f>
        <v>Other Livestock</v>
      </c>
      <c r="N9" s="40"/>
    </row>
    <row r="10" spans="1:24" ht="20.100000000000001" customHeight="1" x14ac:dyDescent="0.25">
      <c r="A10" s="17"/>
      <c r="D10" s="76" t="s">
        <v>59</v>
      </c>
      <c r="E10" s="74"/>
      <c r="F10" s="77"/>
      <c r="G10" s="71"/>
      <c r="N10" s="40"/>
    </row>
    <row r="11" spans="1:24" ht="20.100000000000001" customHeight="1" x14ac:dyDescent="0.25">
      <c r="A11" s="19" t="s">
        <v>56</v>
      </c>
      <c r="N11" s="41"/>
    </row>
    <row r="12" spans="1:24" ht="20.100000000000001" customHeight="1" x14ac:dyDescent="0.25">
      <c r="A12" s="17" t="str">
        <f>HYPERLINK("#'3.6.1.1-2 Enteric Methane'!A1", "3.6.1.1-2 Enteric Methane")</f>
        <v>3.6.1.1-2 Enteric Methane</v>
      </c>
      <c r="D12" s="10" t="s">
        <v>63</v>
      </c>
      <c r="E12" s="55">
        <v>45292</v>
      </c>
      <c r="F12" s="2" t="s">
        <v>51</v>
      </c>
    </row>
    <row r="13" spans="1:24" ht="20.100000000000001" customHeight="1" x14ac:dyDescent="0.25">
      <c r="A13"/>
      <c r="D13" s="10" t="s">
        <v>64</v>
      </c>
      <c r="E13" s="60">
        <f>DATE(YEAR(E12)+1,MONTH(E12),DAY(E12))-1</f>
        <v>45657</v>
      </c>
      <c r="F13" s="2" t="s">
        <v>10</v>
      </c>
      <c r="N13" s="36"/>
      <c r="O13" s="36"/>
    </row>
    <row r="14" spans="1:24" ht="20.100000000000001" customHeight="1" x14ac:dyDescent="0.25">
      <c r="A14" s="18" t="s">
        <v>4</v>
      </c>
      <c r="N14" s="36"/>
      <c r="O14" s="36"/>
    </row>
    <row r="15" spans="1:24" ht="20.100000000000001" customHeight="1" x14ac:dyDescent="0.25">
      <c r="A15" s="17" t="str">
        <f>HYPERLINK("#'Constants - Other Livestock'!A1", "Constants - Other Livestock")</f>
        <v>Constants - Other Livestock</v>
      </c>
      <c r="D15" s="32"/>
      <c r="E15" s="32"/>
      <c r="F15" s="32"/>
      <c r="G15" s="32"/>
      <c r="H15" s="32"/>
      <c r="I15" s="32"/>
      <c r="J15" s="32"/>
      <c r="K15" s="32"/>
      <c r="N15" s="36"/>
      <c r="O15" s="36"/>
    </row>
    <row r="16" spans="1:24" ht="20.100000000000001" customHeight="1" x14ac:dyDescent="0.25">
      <c r="A16" s="17" t="str">
        <f>HYPERLINK("#'Constants - Common'!A1", "Constants - Common")</f>
        <v>Constants - Common</v>
      </c>
      <c r="D16" s="32"/>
      <c r="E16" s="32"/>
      <c r="F16" s="32"/>
      <c r="G16" s="32"/>
      <c r="H16" s="32"/>
      <c r="I16" s="32"/>
      <c r="J16" s="32"/>
      <c r="K16" s="32"/>
      <c r="N16" s="36"/>
      <c r="O16" s="36"/>
    </row>
    <row r="17" spans="1:25" ht="20.100000000000001" customHeight="1" x14ac:dyDescent="0.25">
      <c r="A17" s="17" t="str">
        <f>HYPERLINK("#'Acknowledgements'!A1", "Acknowledgements")</f>
        <v>Acknowledgements</v>
      </c>
      <c r="D17" s="32"/>
      <c r="E17" s="32"/>
      <c r="F17" s="32"/>
      <c r="G17" s="32"/>
      <c r="H17" s="32"/>
      <c r="I17" s="32"/>
      <c r="J17" s="32"/>
      <c r="K17" s="32"/>
    </row>
    <row r="18" spans="1:25" ht="20.100000000000001" customHeight="1" x14ac:dyDescent="0.25">
      <c r="A18"/>
      <c r="D18" s="32"/>
      <c r="E18" s="32"/>
      <c r="F18" s="32"/>
      <c r="G18" s="32"/>
      <c r="H18" s="32"/>
      <c r="I18" s="32"/>
      <c r="J18" s="32"/>
      <c r="K18" s="32"/>
    </row>
    <row r="19" spans="1:25" ht="20.100000000000001" customHeight="1" x14ac:dyDescent="0.25">
      <c r="A19"/>
      <c r="D19" s="32"/>
      <c r="E19" s="32"/>
      <c r="F19" s="32"/>
      <c r="G19" s="32"/>
      <c r="H19" s="32"/>
      <c r="I19" s="32"/>
      <c r="J19" s="32"/>
      <c r="K19" s="32"/>
      <c r="N19" s="38"/>
    </row>
    <row r="20" spans="1:25" ht="20.100000000000001" customHeight="1" x14ac:dyDescent="0.25">
      <c r="A20"/>
      <c r="D20" s="32"/>
      <c r="E20" s="32"/>
      <c r="F20" s="32"/>
      <c r="G20" s="32"/>
      <c r="H20" s="32"/>
      <c r="I20" s="32"/>
      <c r="J20" s="32"/>
      <c r="K20" s="32"/>
      <c r="N20" s="39"/>
    </row>
    <row r="21" spans="1:25" ht="20.100000000000001" customHeight="1" x14ac:dyDescent="0.25">
      <c r="A21" s="17"/>
      <c r="D21" s="32"/>
      <c r="E21" s="32"/>
      <c r="F21" s="32"/>
      <c r="G21" s="32"/>
      <c r="H21" s="32"/>
      <c r="I21" s="32"/>
      <c r="J21" s="32"/>
      <c r="K21" s="32"/>
    </row>
    <row r="22" spans="1:25" ht="20.100000000000001" customHeight="1" x14ac:dyDescent="0.25">
      <c r="A22"/>
      <c r="D22" s="32"/>
      <c r="E22" s="32"/>
      <c r="F22" s="32"/>
      <c r="G22" s="32"/>
      <c r="H22" s="32"/>
      <c r="I22" s="32"/>
      <c r="J22" s="32"/>
      <c r="K22" s="32"/>
    </row>
    <row r="23" spans="1:25" ht="20.100000000000001" customHeight="1" x14ac:dyDescent="0.25">
      <c r="A23"/>
      <c r="D23" s="32"/>
      <c r="E23" s="32"/>
      <c r="F23" s="32"/>
      <c r="G23" s="32"/>
      <c r="H23" s="32"/>
      <c r="I23" s="32"/>
      <c r="J23" s="32"/>
      <c r="K23" s="32"/>
    </row>
    <row r="24" spans="1:25" ht="20.100000000000001" customHeight="1" x14ac:dyDescent="0.25">
      <c r="A24"/>
      <c r="D24" s="32"/>
      <c r="E24" s="32"/>
      <c r="F24" s="32"/>
      <c r="G24" s="32"/>
      <c r="H24" s="32"/>
      <c r="I24" s="32"/>
      <c r="J24" s="32"/>
      <c r="K24" s="32"/>
    </row>
    <row r="25" spans="1:25" ht="20.100000000000001" customHeight="1" x14ac:dyDescent="0.25">
      <c r="A25"/>
      <c r="D25" s="32"/>
      <c r="E25" s="32"/>
      <c r="F25" s="32"/>
      <c r="G25" s="32"/>
      <c r="H25" s="32"/>
      <c r="I25" s="32"/>
      <c r="J25" s="32"/>
      <c r="K25" s="32"/>
      <c r="N25" s="39"/>
    </row>
    <row r="26" spans="1:25" ht="20.100000000000001" customHeight="1" x14ac:dyDescent="0.25">
      <c r="A26"/>
      <c r="D26" s="32"/>
      <c r="E26" s="32"/>
      <c r="F26" s="32"/>
      <c r="G26" s="32"/>
      <c r="H26" s="32"/>
      <c r="I26" s="32"/>
      <c r="J26" s="32"/>
      <c r="K26" s="32"/>
    </row>
    <row r="27" spans="1:25" ht="20.100000000000001" customHeight="1" x14ac:dyDescent="0.25">
      <c r="A27"/>
      <c r="D27" s="32"/>
      <c r="E27" s="32"/>
      <c r="F27" s="32"/>
      <c r="G27" s="32"/>
      <c r="H27" s="32"/>
      <c r="I27" s="32"/>
      <c r="J27" s="32"/>
      <c r="K27" s="32"/>
    </row>
    <row r="28" spans="1:25" ht="20.100000000000001" customHeight="1" x14ac:dyDescent="0.25">
      <c r="A28"/>
      <c r="D28" s="32"/>
      <c r="E28" s="32"/>
      <c r="F28" s="32"/>
      <c r="G28" s="32"/>
      <c r="H28" s="32"/>
      <c r="I28" s="32"/>
      <c r="J28" s="32"/>
      <c r="K28" s="32"/>
    </row>
    <row r="29" spans="1:25" ht="20.100000000000001" customHeight="1" x14ac:dyDescent="0.25">
      <c r="A29"/>
      <c r="D29" s="32"/>
      <c r="E29" s="32"/>
      <c r="F29" s="32"/>
      <c r="G29" s="32"/>
      <c r="H29" s="32"/>
      <c r="I29" s="32"/>
      <c r="J29" s="32"/>
      <c r="K29" s="32"/>
    </row>
    <row r="30" spans="1:25" ht="20.100000000000001" customHeight="1" x14ac:dyDescent="0.25">
      <c r="A30"/>
      <c r="D30" s="32"/>
      <c r="E30" s="32"/>
      <c r="F30" s="32"/>
      <c r="G30" s="32"/>
      <c r="H30" s="32"/>
      <c r="I30" s="32"/>
      <c r="J30" s="32"/>
      <c r="K30" s="32"/>
      <c r="L30" s="45"/>
      <c r="M30" s="45"/>
      <c r="N30" s="45"/>
      <c r="O30" s="45"/>
      <c r="P30" s="45"/>
      <c r="Q30" s="45"/>
      <c r="R30" s="45"/>
      <c r="S30" s="45"/>
      <c r="T30" s="45"/>
      <c r="U30" s="45"/>
      <c r="V30" s="45"/>
      <c r="W30" s="45"/>
      <c r="X30" s="45"/>
      <c r="Y30" s="45"/>
    </row>
    <row r="31" spans="1:25" ht="20.100000000000001" customHeight="1" x14ac:dyDescent="0.25">
      <c r="A31"/>
      <c r="D31" s="32"/>
      <c r="E31" s="32"/>
      <c r="F31" s="32"/>
      <c r="G31" s="32"/>
      <c r="H31" s="32"/>
      <c r="I31" s="32"/>
      <c r="J31" s="32"/>
      <c r="K31" s="32"/>
      <c r="L31" s="44"/>
      <c r="M31" s="44"/>
      <c r="N31" s="44"/>
      <c r="O31" s="44"/>
      <c r="P31" s="44"/>
      <c r="Q31" s="44"/>
      <c r="R31" s="44"/>
      <c r="S31" s="44"/>
      <c r="T31" s="44"/>
      <c r="U31" s="44"/>
      <c r="V31" s="44"/>
      <c r="W31" s="44"/>
      <c r="X31" s="44"/>
      <c r="Y31" s="44"/>
    </row>
    <row r="32" spans="1:25" ht="20.100000000000001" customHeight="1" x14ac:dyDescent="0.25">
      <c r="A32"/>
      <c r="D32" s="32"/>
      <c r="E32" s="32"/>
      <c r="F32" s="32"/>
      <c r="G32" s="32"/>
      <c r="H32" s="32"/>
      <c r="I32" s="32"/>
      <c r="J32" s="32"/>
      <c r="K32" s="32"/>
      <c r="L32" s="44"/>
      <c r="M32" s="44"/>
      <c r="N32" s="44"/>
      <c r="O32" s="44"/>
      <c r="P32" s="44"/>
      <c r="Q32" s="44"/>
      <c r="R32" s="44"/>
      <c r="S32" s="44"/>
      <c r="T32" s="44"/>
      <c r="U32" s="44"/>
      <c r="V32" s="44"/>
      <c r="W32" s="44"/>
      <c r="X32" s="44"/>
      <c r="Y32" s="44"/>
    </row>
    <row r="33" spans="1:25" ht="20.100000000000001" customHeight="1" x14ac:dyDescent="0.25">
      <c r="A33"/>
      <c r="D33" s="32"/>
      <c r="E33" s="32"/>
      <c r="F33" s="32"/>
      <c r="G33" s="32"/>
      <c r="H33" s="32"/>
      <c r="I33" s="32"/>
      <c r="J33" s="32"/>
      <c r="K33" s="32"/>
      <c r="L33" s="44"/>
      <c r="M33" s="44"/>
      <c r="N33" s="44"/>
      <c r="O33" s="44"/>
      <c r="P33" s="44"/>
      <c r="Q33" s="44"/>
      <c r="R33" s="44"/>
      <c r="S33" s="44"/>
      <c r="T33" s="44"/>
      <c r="U33" s="44"/>
      <c r="V33" s="44"/>
      <c r="W33" s="44"/>
      <c r="X33" s="44"/>
      <c r="Y33" s="44"/>
    </row>
    <row r="34" spans="1:25" ht="20.100000000000001" customHeight="1" x14ac:dyDescent="0.25">
      <c r="A34"/>
      <c r="D34" s="32"/>
      <c r="E34" s="32"/>
      <c r="F34" s="32"/>
      <c r="G34" s="32"/>
      <c r="H34" s="32"/>
      <c r="I34" s="32"/>
      <c r="J34" s="32"/>
      <c r="K34" s="32"/>
      <c r="L34" s="44"/>
      <c r="M34" s="44"/>
      <c r="N34" s="44"/>
      <c r="O34" s="44"/>
      <c r="P34" s="44"/>
      <c r="Q34" s="44"/>
      <c r="R34" s="44"/>
      <c r="S34" s="44"/>
      <c r="T34" s="44"/>
      <c r="U34" s="44"/>
      <c r="V34" s="44"/>
      <c r="W34" s="44"/>
      <c r="X34" s="44"/>
      <c r="Y34" s="44"/>
    </row>
    <row r="35" spans="1:25" ht="20.100000000000001" customHeight="1" x14ac:dyDescent="0.25">
      <c r="A35"/>
      <c r="D35" s="32"/>
      <c r="E35" s="32"/>
      <c r="F35" s="32"/>
      <c r="G35" s="32"/>
      <c r="H35" s="32"/>
      <c r="I35" s="32"/>
      <c r="J35" s="32"/>
      <c r="K35" s="32"/>
      <c r="L35" s="44"/>
      <c r="M35" s="44"/>
      <c r="N35" s="44"/>
      <c r="O35" s="44"/>
      <c r="P35" s="44"/>
      <c r="Q35" s="44"/>
      <c r="R35" s="44"/>
      <c r="S35" s="44"/>
      <c r="T35" s="44"/>
      <c r="U35" s="44"/>
      <c r="V35" s="44"/>
      <c r="W35" s="44"/>
      <c r="X35" s="44"/>
      <c r="Y35" s="44"/>
    </row>
    <row r="36" spans="1:25" ht="20.100000000000001" customHeight="1" x14ac:dyDescent="0.25">
      <c r="A36"/>
      <c r="D36" s="32"/>
      <c r="E36" s="32"/>
      <c r="F36" s="32"/>
      <c r="G36" s="32"/>
      <c r="H36" s="32"/>
      <c r="I36" s="32"/>
      <c r="J36" s="32"/>
      <c r="K36" s="32"/>
      <c r="L36" s="44"/>
      <c r="M36" s="44"/>
      <c r="N36" s="44"/>
      <c r="O36" s="44"/>
      <c r="P36" s="44"/>
      <c r="Q36" s="44"/>
      <c r="R36" s="44"/>
      <c r="S36" s="44"/>
      <c r="T36" s="44"/>
      <c r="U36" s="44"/>
      <c r="V36" s="44"/>
      <c r="W36" s="44"/>
      <c r="X36" s="44"/>
      <c r="Y36" s="44"/>
    </row>
    <row r="37" spans="1:25" ht="20.100000000000001" customHeight="1" x14ac:dyDescent="0.25">
      <c r="A37"/>
      <c r="D37" s="32"/>
      <c r="E37" s="32"/>
      <c r="F37" s="32"/>
      <c r="G37" s="32"/>
      <c r="H37" s="32"/>
      <c r="I37" s="32"/>
      <c r="J37" s="32"/>
      <c r="K37" s="32"/>
      <c r="L37" s="44"/>
      <c r="M37" s="44"/>
      <c r="N37" s="44"/>
      <c r="O37" s="44"/>
      <c r="P37" s="44"/>
      <c r="Q37" s="44"/>
      <c r="R37" s="44"/>
      <c r="S37" s="44"/>
      <c r="T37" s="44"/>
      <c r="U37" s="44"/>
      <c r="V37" s="44"/>
      <c r="W37" s="44"/>
      <c r="X37" s="44"/>
      <c r="Y37" s="44"/>
    </row>
    <row r="38" spans="1:25" ht="20.100000000000001" customHeight="1" x14ac:dyDescent="0.25">
      <c r="A38"/>
      <c r="D38" s="32"/>
      <c r="E38" s="32"/>
      <c r="F38" s="32"/>
      <c r="G38" s="32"/>
      <c r="H38" s="32"/>
      <c r="I38" s="32"/>
      <c r="J38" s="32"/>
      <c r="K38" s="32"/>
      <c r="L38" s="44"/>
      <c r="M38" s="44"/>
      <c r="N38" s="44"/>
      <c r="O38" s="44"/>
      <c r="P38" s="44"/>
      <c r="Q38" s="44"/>
      <c r="R38" s="44"/>
      <c r="S38" s="44"/>
      <c r="T38" s="44"/>
      <c r="U38" s="44"/>
      <c r="V38" s="44"/>
      <c r="W38" s="44"/>
      <c r="X38" s="44"/>
      <c r="Y38" s="44"/>
    </row>
    <row r="39" spans="1:25" ht="20.100000000000001" customHeight="1" x14ac:dyDescent="0.25">
      <c r="A39"/>
      <c r="D39" s="32"/>
      <c r="E39" s="32"/>
      <c r="F39" s="32"/>
      <c r="G39" s="32"/>
      <c r="H39" s="32"/>
      <c r="I39" s="32"/>
      <c r="J39" s="32"/>
      <c r="K39" s="32"/>
      <c r="L39" s="44"/>
      <c r="M39" s="44"/>
      <c r="N39" s="44"/>
      <c r="O39" s="44"/>
      <c r="P39" s="44"/>
      <c r="Q39" s="44"/>
      <c r="R39" s="44"/>
      <c r="S39" s="44"/>
      <c r="T39" s="44"/>
      <c r="U39" s="44"/>
      <c r="V39" s="44"/>
      <c r="W39" s="44"/>
      <c r="X39" s="44"/>
      <c r="Y39" s="44"/>
    </row>
    <row r="40" spans="1:25" ht="20.100000000000001" customHeight="1" x14ac:dyDescent="0.25">
      <c r="A40"/>
      <c r="D40" s="32"/>
      <c r="E40" s="32"/>
      <c r="F40" s="32"/>
      <c r="G40" s="32"/>
      <c r="H40" s="32"/>
      <c r="I40" s="32"/>
      <c r="J40" s="32"/>
      <c r="K40" s="32"/>
      <c r="L40" s="46"/>
      <c r="M40" s="46"/>
      <c r="N40" s="46"/>
      <c r="O40" s="46"/>
      <c r="P40" s="46"/>
      <c r="Q40" s="46"/>
      <c r="R40" s="46"/>
      <c r="S40" s="46"/>
      <c r="T40" s="46"/>
      <c r="U40" s="46"/>
      <c r="V40" s="46"/>
      <c r="W40" s="46"/>
      <c r="X40" s="46"/>
      <c r="Y40" s="46"/>
    </row>
    <row r="41" spans="1:25" ht="20.100000000000001" customHeight="1" x14ac:dyDescent="0.25">
      <c r="A41"/>
      <c r="D41" s="32"/>
      <c r="E41" s="32"/>
      <c r="F41" s="32"/>
      <c r="G41" s="32"/>
      <c r="H41" s="32"/>
      <c r="I41" s="32"/>
      <c r="J41" s="32"/>
      <c r="K41" s="32"/>
    </row>
    <row r="42" spans="1:25" ht="20.100000000000001" customHeight="1" x14ac:dyDescent="0.25">
      <c r="A42"/>
      <c r="D42" s="32"/>
      <c r="E42" s="32"/>
      <c r="F42" s="32"/>
      <c r="G42" s="32"/>
      <c r="H42" s="32"/>
      <c r="I42" s="32"/>
      <c r="J42" s="32"/>
      <c r="K42" s="32"/>
    </row>
    <row r="43" spans="1:25" ht="20.100000000000001" customHeight="1" x14ac:dyDescent="0.25">
      <c r="A43"/>
      <c r="D43" s="32"/>
      <c r="E43" s="32"/>
      <c r="F43" s="32"/>
      <c r="G43" s="32"/>
      <c r="H43" s="32"/>
      <c r="I43" s="32"/>
      <c r="J43" s="32"/>
      <c r="K43" s="32"/>
    </row>
    <row r="44" spans="1:25" ht="20.100000000000001" customHeight="1" x14ac:dyDescent="0.25">
      <c r="D44" s="32"/>
      <c r="E44" s="32"/>
      <c r="F44" s="32"/>
      <c r="G44" s="32"/>
      <c r="H44" s="32"/>
      <c r="I44" s="32"/>
      <c r="J44" s="32"/>
      <c r="K44" s="32"/>
    </row>
    <row r="45" spans="1:25" ht="20.100000000000001" customHeight="1" x14ac:dyDescent="0.25">
      <c r="D45" s="32"/>
      <c r="E45" s="32"/>
      <c r="F45" s="32"/>
      <c r="G45" s="32"/>
      <c r="H45" s="32"/>
      <c r="I45" s="32"/>
      <c r="J45" s="32"/>
      <c r="K45" s="32"/>
    </row>
    <row r="46" spans="1:25" ht="20.100000000000001" customHeight="1" x14ac:dyDescent="0.25">
      <c r="D46" s="32"/>
      <c r="E46" s="32"/>
      <c r="F46" s="32"/>
      <c r="G46" s="32"/>
      <c r="H46" s="32"/>
      <c r="I46" s="32"/>
      <c r="J46" s="32"/>
      <c r="K46" s="32"/>
    </row>
    <row r="47" spans="1:25" ht="20.100000000000001" customHeight="1" x14ac:dyDescent="0.25">
      <c r="D47" s="32"/>
      <c r="E47" s="32"/>
      <c r="F47" s="32"/>
      <c r="G47" s="32"/>
      <c r="H47" s="32"/>
      <c r="I47" s="32"/>
      <c r="J47" s="32"/>
      <c r="K47" s="32"/>
    </row>
    <row r="48" spans="1:25" ht="20.100000000000001" customHeight="1" x14ac:dyDescent="0.25">
      <c r="D48" s="32"/>
      <c r="E48" s="32"/>
      <c r="F48" s="32"/>
      <c r="G48" s="32"/>
      <c r="H48" s="32"/>
      <c r="I48" s="32"/>
      <c r="J48" s="32"/>
      <c r="K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1"/>
      <c r="E51" s="62"/>
      <c r="F51" s="62"/>
      <c r="G51" s="62"/>
      <c r="H51" s="63"/>
    </row>
    <row r="52" spans="4:8" ht="20.100000000000001" customHeight="1" x14ac:dyDescent="0.25"/>
    <row r="53" spans="4:8" ht="20.100000000000001" customHeight="1" x14ac:dyDescent="0.25"/>
    <row r="54" spans="4:8" ht="20.100000000000001" customHeight="1" x14ac:dyDescent="0.25">
      <c r="G54" s="64"/>
    </row>
    <row r="55" spans="4:8" ht="20.100000000000001" customHeight="1" x14ac:dyDescent="0.25">
      <c r="D55" s="6"/>
    </row>
    <row r="56" spans="4:8" ht="20.100000000000001" customHeight="1" x14ac:dyDescent="0.25"/>
    <row r="57" spans="4:8" ht="20.100000000000001" customHeight="1" x14ac:dyDescent="0.25">
      <c r="D57" s="21"/>
      <c r="F57" s="65"/>
    </row>
    <row r="58" spans="4:8" ht="20.100000000000001" customHeight="1" x14ac:dyDescent="0.25">
      <c r="D58" s="1"/>
      <c r="E58" s="66"/>
    </row>
    <row r="59" spans="4:8" ht="20.100000000000001" customHeight="1" x14ac:dyDescent="0.25">
      <c r="D59" s="1"/>
      <c r="E59" s="66"/>
    </row>
    <row r="60" spans="4:8" ht="20.100000000000001" customHeight="1" x14ac:dyDescent="0.25">
      <c r="D60" s="1"/>
      <c r="E60" s="67"/>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66"/>
    </row>
    <row r="65" spans="4:9" ht="20.100000000000001" customHeight="1" x14ac:dyDescent="0.25">
      <c r="D65" s="1"/>
      <c r="E65" s="66"/>
    </row>
    <row r="66" spans="4:9" ht="20.100000000000001" customHeight="1" x14ac:dyDescent="0.25">
      <c r="D66" s="1"/>
      <c r="E66" s="67"/>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68"/>
    </row>
    <row r="79" spans="4:9" ht="20.100000000000001" customHeight="1" x14ac:dyDescent="0.25">
      <c r="D79" s="68"/>
    </row>
    <row r="80" spans="4:9" ht="20.100000000000001" customHeight="1" x14ac:dyDescent="0.25">
      <c r="D80" s="68"/>
    </row>
    <row r="81" spans="4:4" ht="20.100000000000001" customHeight="1" x14ac:dyDescent="0.25">
      <c r="D81" s="68"/>
    </row>
    <row r="82" spans="4:4" ht="20.100000000000001" customHeight="1" x14ac:dyDescent="0.25">
      <c r="D82" s="6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7" customFormat="1" ht="30" customHeight="1" x14ac:dyDescent="0.35">
      <c r="A1" s="57" t="e" vm="1">
        <v>#VALUE!</v>
      </c>
      <c r="C1" s="57" t="s">
        <v>113</v>
      </c>
      <c r="N1" s="52"/>
      <c r="O1" s="52"/>
      <c r="P1" s="52"/>
      <c r="Q1" s="52"/>
      <c r="R1" s="52"/>
      <c r="S1" s="52"/>
      <c r="T1" s="52"/>
      <c r="U1" s="52"/>
    </row>
    <row r="2" spans="1:21" s="9" customFormat="1" ht="20.100000000000001" customHeight="1" x14ac:dyDescent="0.25">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114</v>
      </c>
    </row>
    <row r="6" spans="1:21" ht="20.100000000000001" customHeight="1" x14ac:dyDescent="0.25">
      <c r="A6" s="16"/>
    </row>
    <row r="7" spans="1:21" ht="20.100000000000001" customHeight="1" x14ac:dyDescent="0.25">
      <c r="A7" s="20" t="s">
        <v>3</v>
      </c>
      <c r="D7" s="54"/>
      <c r="E7" s="37" t="s">
        <v>115</v>
      </c>
      <c r="F7" s="37" t="s">
        <v>116</v>
      </c>
      <c r="G7" s="37" t="s">
        <v>117</v>
      </c>
      <c r="H7" s="37" t="s">
        <v>118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78">
        <v>4300</v>
      </c>
      <c r="F8" s="78">
        <v>100</v>
      </c>
      <c r="G8" s="78">
        <v>100</v>
      </c>
      <c r="H8" s="78">
        <v>100</v>
      </c>
      <c r="I8" s="2" t="s">
        <v>65</v>
      </c>
      <c r="J8" s="2"/>
      <c r="K8" s="2"/>
    </row>
    <row r="9" spans="1:21" ht="20.100000000000001" customHeight="1" x14ac:dyDescent="0.25">
      <c r="A9" s="102" t="str">
        <f>HYPERLINK("#'Input - Other Livestock'!A1", "Other Livestock")</f>
        <v>Other Livestock</v>
      </c>
      <c r="J9" s="2"/>
      <c r="K9" s="2"/>
    </row>
    <row r="10" spans="1:21" ht="20.100000000000001" customHeight="1" x14ac:dyDescent="0.25">
      <c r="A10" s="17"/>
    </row>
    <row r="11" spans="1:21" ht="20.100000000000001" customHeight="1" x14ac:dyDescent="0.25">
      <c r="A11" s="19" t="s">
        <v>56</v>
      </c>
      <c r="D11" s="6" t="s">
        <v>119</v>
      </c>
    </row>
    <row r="12" spans="1:21" ht="20.100000000000001" customHeight="1" x14ac:dyDescent="0.25">
      <c r="A12" s="17" t="str">
        <f>HYPERLINK("#'3.6.1.1-2 Enteric Methane'!A1", "3.6.1.1-2 Enteric Methane")</f>
        <v>3.6.1.1-2 Enteric Methane</v>
      </c>
    </row>
    <row r="13" spans="1:21" ht="20.100000000000001" customHeight="1" x14ac:dyDescent="0.25">
      <c r="D13" s="54"/>
      <c r="E13" s="37" t="s">
        <v>120</v>
      </c>
      <c r="F13" s="37" t="s">
        <v>121</v>
      </c>
      <c r="G13" s="37" t="s">
        <v>122</v>
      </c>
      <c r="H13" s="37" t="s">
        <v>123</v>
      </c>
      <c r="I13" s="37" t="s">
        <v>124</v>
      </c>
      <c r="J13" s="37" t="s">
        <v>125</v>
      </c>
    </row>
    <row r="14" spans="1:21" ht="20.100000000000001" customHeight="1" x14ac:dyDescent="0.25">
      <c r="A14" s="18" t="s">
        <v>4</v>
      </c>
      <c r="D14" s="1" t="str">
        <f>"Average number of head between " &amp; TEXT('Input - Site'!$E$12, "dd mmm yy") &amp; " and " &amp; TEXT('Input - Site'!$E$13, "dd mmm yy")</f>
        <v>Average number of head between 01 Jan 24 and 31 Dec 24</v>
      </c>
      <c r="E14" s="78">
        <v>4300</v>
      </c>
      <c r="F14" s="78">
        <v>100</v>
      </c>
      <c r="G14" s="78">
        <v>100</v>
      </c>
      <c r="H14" s="78">
        <v>100</v>
      </c>
      <c r="I14" s="78">
        <v>100</v>
      </c>
      <c r="J14" s="78">
        <v>100</v>
      </c>
      <c r="K14" s="2" t="s">
        <v>65</v>
      </c>
    </row>
    <row r="15" spans="1:21" ht="20.100000000000001" customHeight="1" x14ac:dyDescent="0.25">
      <c r="A15" s="17" t="str">
        <f>HYPERLINK("#'Constants - Other Livestock'!A1", "Constants - Other Livestock")</f>
        <v>Constants - Other Livestock</v>
      </c>
      <c r="J15" s="2"/>
      <c r="K15" s="2"/>
    </row>
    <row r="16" spans="1:21" ht="20.100000000000001" customHeight="1" x14ac:dyDescent="0.25">
      <c r="A16" s="17" t="str">
        <f>HYPERLINK("#'Constants - Common'!A1", "Constants - Common")</f>
        <v>Constants - Common</v>
      </c>
      <c r="J16" s="2"/>
      <c r="K16" s="2"/>
    </row>
    <row r="17" spans="1:11" ht="20.100000000000001" customHeight="1" x14ac:dyDescent="0.25">
      <c r="A17" s="17" t="str">
        <f>HYPERLINK("#'Acknowledgements'!A1", "Acknowledgements")</f>
        <v>Acknowledgements</v>
      </c>
      <c r="D17" s="6" t="s">
        <v>126</v>
      </c>
      <c r="J17" s="2"/>
      <c r="K17" s="2"/>
    </row>
    <row r="18" spans="1:11" ht="20.100000000000001" customHeight="1" x14ac:dyDescent="0.25"/>
    <row r="19" spans="1:11" ht="20.100000000000001" customHeight="1" x14ac:dyDescent="0.25">
      <c r="D19" s="54"/>
      <c r="E19" s="37" t="s">
        <v>127</v>
      </c>
      <c r="F19" s="37" t="s">
        <v>128</v>
      </c>
      <c r="G19" s="37" t="s">
        <v>129</v>
      </c>
      <c r="H19" s="37" t="s">
        <v>130</v>
      </c>
    </row>
    <row r="20" spans="1:11" ht="20.100000000000001" customHeight="1" x14ac:dyDescent="0.25">
      <c r="D20" s="1" t="str">
        <f>"Average number of head between " &amp; TEXT('Input - Site'!$E$12, "dd mmm yy") &amp; " and " &amp; TEXT('Input - Site'!$E$13, "dd mmm yy")</f>
        <v>Average number of head between 01 Jan 24 and 31 Dec 24</v>
      </c>
      <c r="E20" s="78">
        <v>4300</v>
      </c>
      <c r="F20" s="78">
        <v>100</v>
      </c>
      <c r="G20" s="78">
        <v>100</v>
      </c>
      <c r="H20" s="78">
        <v>100</v>
      </c>
      <c r="I20" s="2" t="s">
        <v>65</v>
      </c>
      <c r="J20" s="2"/>
      <c r="K20" s="2"/>
    </row>
    <row r="21" spans="1:11" ht="20.100000000000001" customHeight="1" x14ac:dyDescent="0.25">
      <c r="A21" s="17"/>
      <c r="J21" s="2"/>
      <c r="K21" s="2"/>
    </row>
    <row r="22" spans="1:11" ht="20.100000000000001" customHeight="1" x14ac:dyDescent="0.25">
      <c r="J22" s="2"/>
      <c r="K22" s="2"/>
    </row>
    <row r="23" spans="1:11" ht="20.100000000000001" customHeight="1" x14ac:dyDescent="0.25">
      <c r="D23" s="6" t="s">
        <v>131</v>
      </c>
      <c r="J23" s="2"/>
      <c r="K23" s="2"/>
    </row>
    <row r="24" spans="1:11" ht="20.100000000000001" customHeight="1" x14ac:dyDescent="0.25"/>
    <row r="25" spans="1:11" ht="20.100000000000001" customHeight="1" x14ac:dyDescent="0.25">
      <c r="A25" s="17"/>
      <c r="D25" s="54"/>
      <c r="E25" s="37" t="s">
        <v>132</v>
      </c>
      <c r="F25" s="37" t="s">
        <v>133</v>
      </c>
      <c r="G25" s="37" t="s">
        <v>134</v>
      </c>
      <c r="H25" s="37" t="s">
        <v>135</v>
      </c>
      <c r="I25" s="37" t="s">
        <v>136</v>
      </c>
    </row>
    <row r="26" spans="1:11" ht="20.100000000000001" customHeight="1" x14ac:dyDescent="0.25">
      <c r="A26" s="17"/>
      <c r="D26" s="1" t="str">
        <f>"Average number of head between " &amp; TEXT('Input - Site'!$E$12, "dd mmm yy") &amp; " and " &amp; TEXT('Input - Site'!$E$13, "dd mmm yy")</f>
        <v>Average number of head between 01 Jan 24 and 31 Dec 24</v>
      </c>
      <c r="E26" s="78">
        <v>4300</v>
      </c>
      <c r="F26" s="78">
        <v>100</v>
      </c>
      <c r="G26" s="78">
        <v>100</v>
      </c>
      <c r="H26" s="78">
        <v>100</v>
      </c>
      <c r="I26" s="78">
        <v>100</v>
      </c>
      <c r="J26" s="2" t="s">
        <v>65</v>
      </c>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56"/>
    </row>
    <row r="32" spans="1:11" ht="20.100000000000001" customHeight="1" x14ac:dyDescent="0.25">
      <c r="A32" s="56"/>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2"/>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82"/>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E32" sqref="E3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7" t="e" vm="1">
        <v>#VALUE!</v>
      </c>
      <c r="C1" s="8" t="s">
        <v>112</v>
      </c>
      <c r="K1"/>
    </row>
    <row r="2" spans="1:19" s="9" customFormat="1" ht="20.100000000000001" customHeight="1" x14ac:dyDescent="0.25">
      <c r="K2"/>
    </row>
    <row r="3" spans="1:19" ht="20.100000000000001" customHeight="1" x14ac:dyDescent="0.25">
      <c r="A3" s="17" t="str">
        <f>HYPERLINK("#'Home'!A1", "Home")</f>
        <v>Home</v>
      </c>
      <c r="C3" s="4"/>
      <c r="D3" s="4" t="s">
        <v>66</v>
      </c>
      <c r="E3" s="4"/>
      <c r="F3" s="4"/>
      <c r="G3" s="4"/>
      <c r="H3" s="4"/>
      <c r="I3" s="4"/>
      <c r="J3" s="4"/>
      <c r="L3" s="4"/>
      <c r="M3" s="4" t="s">
        <v>67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A6" s="16"/>
      <c r="D6" s="5" t="str" cm="1">
        <f t="array" ref="D6">EntericMethane_OtherLivestock_Equations.VEERG_3_6_1_1__1_TotalAnnualMethaneFromEntericFermentationOtherLivestock_Source()</f>
        <v>VEERG 2026: 3.6.1.1, Equation (1)</v>
      </c>
    </row>
    <row r="7" spans="1:19" ht="20.100000000000001" customHeight="1" x14ac:dyDescent="0.25">
      <c r="A7" s="20" t="s">
        <v>3</v>
      </c>
      <c r="D7" s="13" t="s">
        <v>16</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7" t="str">
        <f>HYPERLINK("#'Input - Site'!A1", "Site")</f>
        <v>Site</v>
      </c>
    </row>
    <row r="9" spans="1:19" ht="20.100000000000001" customHeight="1" x14ac:dyDescent="0.25">
      <c r="A9" s="17" t="str">
        <f>HYPERLINK("#'Input - Other Livestock'!A1", "Other Livestock")</f>
        <v>Other Livestock</v>
      </c>
    </row>
    <row r="10" spans="1:19" ht="20.100000000000001" customHeight="1" x14ac:dyDescent="0.25">
      <c r="A10" s="17"/>
      <c r="D10" s="49" t="s">
        <v>19</v>
      </c>
      <c r="E10" s="1" t="str" cm="1">
        <f t="array" ref="E10">EntericMethane_OtherLivestock_Equations.VEERG_3_6_1_1__1_TotalAnnualMethaneFromEntericFermentationOtherLivestock_Variable()</f>
        <v>E_enteric</v>
      </c>
    </row>
    <row r="11" spans="1:19" ht="20.100000000000001" customHeight="1" x14ac:dyDescent="0.25">
      <c r="A11" s="19" t="s">
        <v>56</v>
      </c>
      <c r="D11" s="49" t="s">
        <v>11</v>
      </c>
      <c r="E11" s="50" t="str" cm="1">
        <f t="array" ref="E11">EntericMethane_OtherLivestock_Equations.VEERG_3_6_1_1__1_TotalAnnualMethaneFromEntericFermentationOtherLivestock_Unit()</f>
        <v>t CH4</v>
      </c>
    </row>
    <row r="12" spans="1:19" ht="20.100000000000001" customHeight="1" x14ac:dyDescent="0.25">
      <c r="A12" s="101" t="str">
        <f>HYPERLINK("#'3.6.1.1-2 Enteric Methane'!A1", "3.6.1.1-2 Enteric Methane")</f>
        <v>3.6.1.1-2 Enteric Methane</v>
      </c>
    </row>
    <row r="13" spans="1:19" ht="20.100000000000001" customHeight="1" x14ac:dyDescent="0.25">
      <c r="D13" s="91" t="str" cm="1">
        <f t="array" ref="D13:E15">_xlfn.CHOOSECOLS(EntericMethane_OtherLivestock_Equations.VEERG_3_6_1_1__1_TotalAnnualMethaneFromEntericFermentationOtherLivestock_Arguments(),1,2)</f>
        <v>N_j</v>
      </c>
      <c r="E13" s="93" t="str">
        <v>number of livestock of each livestock type j</v>
      </c>
      <c r="F13" s="92"/>
      <c r="G13" s="91" t="str" cm="1">
        <f t="array" ref="G13:H15">_xlfn.CHOOSECOLS(EntericMethane_OtherLivestock_Equations.VEERG_3_6_1_1__1_TotalAnnualMethaneFromEntericFermentationOtherLivestock_Arguments(),3,4)</f>
        <v>head</v>
      </c>
      <c r="H13" s="89" t="str">
        <v>Input</v>
      </c>
    </row>
    <row r="14" spans="1:19" ht="20.100000000000001" customHeight="1" x14ac:dyDescent="0.25">
      <c r="A14" s="18" t="s">
        <v>4</v>
      </c>
      <c r="D14" s="91" t="str">
        <v>M_j</v>
      </c>
      <c r="E14" s="93" t="str">
        <v>enteric fermentation emission factor</v>
      </c>
      <c r="F14" s="92"/>
      <c r="G14" s="91" t="str">
        <v>kg CH4/head/year</v>
      </c>
      <c r="H14" s="90" t="str">
        <v>Constant</v>
      </c>
    </row>
    <row r="15" spans="1:19" ht="20.100000000000001" customHeight="1" x14ac:dyDescent="0.25">
      <c r="A15" s="17" t="str">
        <f>HYPERLINK("#'Constants - Other Livestock'!A1", "Constants - Other Livestock")</f>
        <v>Constants - Other Livestock</v>
      </c>
      <c r="D15" s="91" t="str">
        <v>j</v>
      </c>
      <c r="E15" s="93" t="str">
        <v>livestock type</v>
      </c>
      <c r="F15" s="92"/>
      <c r="G15" s="91" t="str">
        <v/>
      </c>
      <c r="H15" s="89" t="str">
        <v>Input</v>
      </c>
    </row>
    <row r="16" spans="1:19" ht="20.100000000000001" customHeight="1" x14ac:dyDescent="0.25">
      <c r="A16" s="17" t="str">
        <f>HYPERLINK("#'Constants - Common'!A1", "Constants - Common")</f>
        <v>Constants - Common</v>
      </c>
    </row>
    <row r="17" spans="1:8" ht="20.100000000000001" customHeight="1" x14ac:dyDescent="0.25">
      <c r="A17" s="17" t="str">
        <f>HYPERLINK("#'Acknowledgements'!A1", "Acknowledgements")</f>
        <v>Acknowledgements</v>
      </c>
    </row>
    <row r="18" spans="1:8" ht="20.100000000000001" customHeight="1" x14ac:dyDescent="0.25">
      <c r="D18" s="37" t="s">
        <v>137</v>
      </c>
      <c r="E18" s="37" t="s">
        <v>138</v>
      </c>
      <c r="F18" s="47" t="s">
        <v>106</v>
      </c>
      <c r="G18" s="47" t="s">
        <v>139</v>
      </c>
    </row>
    <row r="19" spans="1:8" ht="20.100000000000001" customHeight="1" x14ac:dyDescent="0.25">
      <c r="D19" s="48" t="str">
        <f>'Constants - Other Livestock'!D10</f>
        <v>Buffalo</v>
      </c>
      <c r="E19" s="48">
        <f>SUM('Input - Other Livestock'!E8:H8)</f>
        <v>4600</v>
      </c>
      <c r="F19" s="48" cm="1">
        <f t="array" ref="F19">Common_InputFunctions.Utility_LookupValueInTableNumber(D19, Table_SourceData_OtherLivestock_EntericEF[Other livestock type],Table_SourceData_OtherLivestock_EntericEF[Mj])</f>
        <v>68</v>
      </c>
      <c r="G19" s="48" cm="1">
        <f t="array" ref="G19">EntericMethane_OtherLivestock_Equations.VEERG_3_6_1_1__1_TotalAnnualMethaneFromEntericFermentationOtherLivestock(E19,F19)</f>
        <v>312.8</v>
      </c>
      <c r="H19" s="2" t="str">
        <f>$E$11</f>
        <v>t CH4</v>
      </c>
    </row>
    <row r="20" spans="1:8" ht="20.100000000000001" customHeight="1" x14ac:dyDescent="0.25">
      <c r="D20" s="48" t="str">
        <f>'Constants - Other Livestock'!D11</f>
        <v>Goats</v>
      </c>
      <c r="E20" s="48">
        <f>SUM('Input - Other Livestock'!E14:J14)</f>
        <v>4800</v>
      </c>
      <c r="F20" s="48" cm="1">
        <f t="array" ref="F20">Common_InputFunctions.Utility_LookupValueInTableNumber(D20, Table_SourceData_OtherLivestock_EntericEF[Other livestock type],Table_SourceData_OtherLivestock_EntericEF[Mj])</f>
        <v>5</v>
      </c>
      <c r="G20" s="48" cm="1">
        <f t="array" ref="G20">EntericMethane_OtherLivestock_Equations.VEERG_3_6_1_1__1_TotalAnnualMethaneFromEntericFermentationOtherLivestock(E20,F20)</f>
        <v>24</v>
      </c>
    </row>
    <row r="21" spans="1:8" ht="20.100000000000001" customHeight="1" x14ac:dyDescent="0.25">
      <c r="A21" s="17"/>
      <c r="D21" s="48" t="str">
        <f>'Constants - Other Livestock'!D12</f>
        <v>Deer</v>
      </c>
      <c r="E21" s="48">
        <f>SUM('Input - Other Livestock'!E20:H20)</f>
        <v>4600</v>
      </c>
      <c r="F21" s="48" cm="1">
        <f t="array" ref="F21">Common_InputFunctions.Utility_LookupValueInTableNumber(D21, Table_SourceData_OtherLivestock_EntericEF[Other livestock type],Table_SourceData_OtherLivestock_EntericEF[Mj])</f>
        <v>20</v>
      </c>
      <c r="G21" s="48" cm="1">
        <f t="array" ref="G21">EntericMethane_OtherLivestock_Equations.VEERG_3_6_1_1__1_TotalAnnualMethaneFromEntericFermentationOtherLivestock(E21,F21)</f>
        <v>92</v>
      </c>
    </row>
    <row r="22" spans="1:8" ht="20.100000000000001" customHeight="1" x14ac:dyDescent="0.25">
      <c r="D22" s="48" t="str">
        <f>'Constants - Other Livestock'!D13</f>
        <v>Camels</v>
      </c>
      <c r="E22" s="48">
        <f>'Input - Other Livestock'!E26</f>
        <v>4300</v>
      </c>
      <c r="F22" s="48" cm="1">
        <f t="array" ref="F22">Common_InputFunctions.Utility_LookupValueInTableNumber(D22, Table_SourceData_OtherLivestock_EntericEF[Other livestock type],Table_SourceData_OtherLivestock_EntericEF[Mj])</f>
        <v>46</v>
      </c>
      <c r="G22" s="48" cm="1">
        <f t="array" ref="G22">EntericMethane_OtherLivestock_Equations.VEERG_3_6_1_1__1_TotalAnnualMethaneFromEntericFermentationOtherLivestock(E22,F22)</f>
        <v>197.8</v>
      </c>
    </row>
    <row r="23" spans="1:8" ht="20.100000000000001" customHeight="1" x14ac:dyDescent="0.25">
      <c r="D23" s="48" t="str">
        <f>'Constants - Other Livestock'!D14</f>
        <v>Alpacas</v>
      </c>
      <c r="E23" s="48">
        <f>'Input - Other Livestock'!F26</f>
        <v>100</v>
      </c>
      <c r="F23" s="48" cm="1">
        <f t="array" ref="F23">Common_InputFunctions.Utility_LookupValueInTableNumber(D23, Table_SourceData_OtherLivestock_EntericEF[Other livestock type],Table_SourceData_OtherLivestock_EntericEF[Mj])</f>
        <v>8</v>
      </c>
      <c r="G23" s="48" cm="1">
        <f t="array" ref="G23">EntericMethane_OtherLivestock_Equations.VEERG_3_6_1_1__1_TotalAnnualMethaneFromEntericFermentationOtherLivestock(E23,F23)</f>
        <v>0.8</v>
      </c>
    </row>
    <row r="24" spans="1:8" ht="20.100000000000001" customHeight="1" x14ac:dyDescent="0.25">
      <c r="D24" s="48" t="str">
        <f>'Constants - Other Livestock'!D15</f>
        <v>Horses</v>
      </c>
      <c r="E24" s="48">
        <f>'Input - Other Livestock'!G26</f>
        <v>100</v>
      </c>
      <c r="F24" s="48" cm="1">
        <f t="array" ref="F24">Common_InputFunctions.Utility_LookupValueInTableNumber(D24, Table_SourceData_OtherLivestock_EntericEF[Other livestock type],Table_SourceData_OtherLivestock_EntericEF[Mj])</f>
        <v>18</v>
      </c>
      <c r="G24" s="48" cm="1">
        <f t="array" ref="G24">EntericMethane_OtherLivestock_Equations.VEERG_3_6_1_1__1_TotalAnnualMethaneFromEntericFermentationOtherLivestock(E24,F24)</f>
        <v>1.8</v>
      </c>
    </row>
    <row r="25" spans="1:8" ht="20.100000000000001" customHeight="1" x14ac:dyDescent="0.25">
      <c r="A25" s="17"/>
      <c r="D25" s="48" t="str">
        <f>'Constants - Other Livestock'!D16</f>
        <v>Mules/asses</v>
      </c>
      <c r="E25" s="48">
        <f>'Input - Other Livestock'!H26</f>
        <v>100</v>
      </c>
      <c r="F25" s="48" cm="1">
        <f t="array" ref="F25">Common_InputFunctions.Utility_LookupValueInTableNumber(D25, Table_SourceData_OtherLivestock_EntericEF[Other livestock type],Table_SourceData_OtherLivestock_EntericEF[Mj])</f>
        <v>10</v>
      </c>
      <c r="G25" s="48" cm="1">
        <f t="array" ref="G25">EntericMethane_OtherLivestock_Equations.VEERG_3_6_1_1__1_TotalAnnualMethaneFromEntericFermentationOtherLivestock(E25,F25)</f>
        <v>1</v>
      </c>
    </row>
    <row r="26" spans="1:8" ht="20.100000000000001" customHeight="1" x14ac:dyDescent="0.25">
      <c r="D26" s="48" t="str">
        <f>'Constants - Other Livestock'!D17</f>
        <v>Emus/ostriches</v>
      </c>
      <c r="E26" s="48">
        <f>'Input - Other Livestock'!I26</f>
        <v>100</v>
      </c>
      <c r="F26" s="48" cm="1">
        <f t="array" ref="F26">Common_InputFunctions.Utility_LookupValueInTableNumber(D26, Table_SourceData_OtherLivestock_EntericEF[Other livestock type],Table_SourceData_OtherLivestock_EntericEF[Mj])</f>
        <v>5</v>
      </c>
      <c r="G26" s="48"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9" t="s">
        <v>139</v>
      </c>
      <c r="E28" s="80">
        <f>SUM(G19:G26)</f>
        <v>630.69999999999993</v>
      </c>
      <c r="F28" s="100" t="str">
        <f>$E$11</f>
        <v>t CH4</v>
      </c>
      <c r="G28" s="43"/>
    </row>
    <row r="29" spans="1:8" ht="20.100000000000001" customHeight="1" x14ac:dyDescent="0.25"/>
    <row r="30" spans="1:8" ht="20.100000000000001" customHeight="1" x14ac:dyDescent="0.25">
      <c r="D30" s="104" t="str" cm="1">
        <f t="array" ref="D30:E31">Common_Equations.Common_ConvertCH4ToCO2e_Arguments()</f>
        <v>ECH4</v>
      </c>
      <c r="E30" s="105" t="str">
        <v>Methane emissions (t CH4)</v>
      </c>
      <c r="F30" s="106"/>
      <c r="G30" s="48">
        <f>E28</f>
        <v>630.69999999999993</v>
      </c>
      <c r="H30" s="2" t="str">
        <f>E11</f>
        <v>t CH4</v>
      </c>
    </row>
    <row r="31" spans="1:8" ht="20.100000000000001" customHeight="1" x14ac:dyDescent="0.25">
      <c r="D31" s="104" t="str">
        <v>GWPCH4</v>
      </c>
      <c r="E31" s="105" t="str">
        <v>Global warming potential for methane (t CO2-e / t CH4)</v>
      </c>
      <c r="F31" s="106"/>
      <c r="G31" s="48">
        <f>Common_InputFunctions.Utility_LookupValueInTableNumber("CH4",[1]!Table_GWPData[Gas],[1]!Table_GWPData[CO2-e factor])</f>
        <v>28</v>
      </c>
    </row>
    <row r="32" spans="1:8" ht="20.100000000000001" customHeight="1" x14ac:dyDescent="0.25"/>
    <row r="33" spans="4:6" ht="20.100000000000001" customHeight="1" x14ac:dyDescent="0.25">
      <c r="D33" s="43" t="s">
        <v>142</v>
      </c>
      <c r="E33" s="43" cm="1">
        <f t="array" ref="E33">Common_Equations.Common_ConvertCH4ToCO2e(G30,G31)</f>
        <v>17659.599999999999</v>
      </c>
      <c r="F33" s="81"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3</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0"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5" t="s">
        <v>105</v>
      </c>
      <c r="E9" s="35" t="s">
        <v>106</v>
      </c>
      <c r="M9" s="1"/>
    </row>
    <row r="10" spans="1:21" ht="20.100000000000001" customHeight="1" x14ac:dyDescent="0.25">
      <c r="A10" s="17"/>
      <c r="D10" s="35" t="str" cm="1">
        <f t="array" ref="D10">Common_InputFunctions.Utility_DisplayArrayInTable(SourceData_OtherLivestock.SourceData_OtherLivestock_EntericFermentationEmissionFactor_Data(),Table_SourceData_OtherLivestock_EntericEF[[#Headers],[Other livestock type]],0)</f>
        <v>Buffalo</v>
      </c>
      <c r="E10" s="35"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56</v>
      </c>
      <c r="D11" s="1" t="str" cm="1">
        <f t="array" ref="D11">Common_InputFunctions.Utility_DisplayArrayInTable(SourceData_OtherLivestock.SourceData_OtherLivestock_EntericFermentationEmissionFactor_Data(),Table_SourceData_OtherLivestock_EntericEF[[#Headers],[Other livestock type]],0)</f>
        <v>Goats</v>
      </c>
      <c r="E11" s="35"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HYPERLINK("#'3.6.1.1-2 Enteric Methane'!A1", "3.6.1.1-2 Enteric Methane")</f>
        <v>3.6.1.1-2 Enteric Methane</v>
      </c>
      <c r="D12" s="1" t="str" cm="1">
        <f t="array" ref="D12">Common_InputFunctions.Utility_DisplayArrayInTable(SourceData_OtherLivestock.SourceData_OtherLivestock_EntericFermentationEmissionFactor_Data(),Table_SourceData_OtherLivestock_EntericEF[[#Headers],[Other livestock type]],0)</f>
        <v>Deer</v>
      </c>
      <c r="E12" s="35"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D13" s="1" t="str" cm="1">
        <f t="array" ref="D13">Common_InputFunctions.Utility_DisplayArrayInTable(SourceData_OtherLivestock.SourceData_OtherLivestock_EntericFermentationEmissionFactor_Data(),Table_SourceData_OtherLivestock_EntericEF[[#Headers],[Other livestock type]],0)</f>
        <v>Camels</v>
      </c>
      <c r="E13" s="35"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8" t="s">
        <v>4</v>
      </c>
      <c r="D14" s="1" t="str" cm="1">
        <f t="array" ref="D14">Common_InputFunctions.Utility_DisplayArrayInTable(SourceData_OtherLivestock.SourceData_OtherLivestock_EntericFermentationEmissionFactor_Data(),Table_SourceData_OtherLivestock_EntericEF[[#Headers],[Other livestock type]],0)</f>
        <v>Alpacas</v>
      </c>
      <c r="E14" s="35"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58" t="str">
        <f>HYPERLINK("#'Constants - Other Livestock'!A1", "Constants - Other Livestock")</f>
        <v>Constants - Other Livestock</v>
      </c>
      <c r="D15" s="1" t="str" cm="1">
        <f t="array" ref="D15">Common_InputFunctions.Utility_DisplayArrayInTable(SourceData_OtherLivestock.SourceData_OtherLivestock_EntericFermentationEmissionFactor_Data(),Table_SourceData_OtherLivestock_EntericEF[[#Headers],[Other livestock type]],0)</f>
        <v>Horses</v>
      </c>
      <c r="E15" s="35"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HYPERLINK("#'Constants - Common'!A1", "Constants - Common")</f>
        <v>Constants - Common</v>
      </c>
      <c r="D16" s="1" t="str" cm="1">
        <f t="array" ref="D16">Common_InputFunctions.Utility_DisplayArrayInTable(SourceData_OtherLivestock.SourceData_OtherLivestock_EntericFermentationEmissionFactor_Data(),Table_SourceData_OtherLivestock_EntericEF[[#Headers],[Other livestock type]],0)</f>
        <v>Mules/asses</v>
      </c>
      <c r="E16" s="35"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HYPERLINK("#'Acknowledgements'!A1", "Acknowledgements")</f>
        <v>Acknowledgements</v>
      </c>
      <c r="D17" s="1" t="str" cm="1">
        <f t="array" ref="D17">Common_InputFunctions.Utility_DisplayArrayInTable(SourceData_OtherLivestock.SourceData_OtherLivestock_EntericFermentationEmissionFactor_Data(),Table_SourceData_OtherLivestock_EntericEF[[#Headers],[Other livestock type]],0)</f>
        <v>Emus/ostriches</v>
      </c>
      <c r="E17" s="35"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0" t="str" cm="1">
        <f t="array" ref="D23">SourceData_OtherLivestock.SourceData_OtherLivestock_VolatileSolidsProduced_Unit()</f>
        <v>kg VS / head / day</v>
      </c>
      <c r="M23" s="1"/>
    </row>
    <row r="24" spans="1:13" ht="20.100000000000001" customHeight="1" x14ac:dyDescent="0.25">
      <c r="D24" s="35" t="s">
        <v>105</v>
      </c>
      <c r="E24" s="35" t="s">
        <v>108</v>
      </c>
      <c r="M24" s="1"/>
    </row>
    <row r="25" spans="1:13" ht="20.100000000000001" customHeight="1" x14ac:dyDescent="0.25">
      <c r="A25" s="17"/>
      <c r="D25" s="35" t="str" cm="1">
        <f t="array" ref="D25">Common_InputFunctions.Utility_DisplayArrayInTable(SourceData_OtherLivestock.SourceData_OtherLivestock_VolatileSolidsProduced_Data(),Table_SourceData_OtherLivestock_VolatileSolids[[#Headers],[Other livestock type]],0)</f>
        <v>Buffalo</v>
      </c>
      <c r="E25" s="35"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5" t="str" cm="1">
        <f t="array" ref="D26">Common_InputFunctions.Utility_DisplayArrayInTable(SourceData_OtherLivestock.SourceData_OtherLivestock_VolatileSolidsProduced_Data(),Table_SourceData_OtherLivestock_VolatileSolids[[#Headers],[Other livestock type]],0)</f>
        <v>Goats</v>
      </c>
      <c r="E26" s="35"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5" t="str" cm="1">
        <f t="array" ref="D27">Common_InputFunctions.Utility_DisplayArrayInTable(SourceData_OtherLivestock.SourceData_OtherLivestock_VolatileSolidsProduced_Data(),Table_SourceData_OtherLivestock_VolatileSolids[[#Headers],[Other livestock type]],0)</f>
        <v>Deer</v>
      </c>
      <c r="E27" s="35"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5" t="str" cm="1">
        <f t="array" ref="D28">Common_InputFunctions.Utility_DisplayArrayInTable(SourceData_OtherLivestock.SourceData_OtherLivestock_VolatileSolidsProduced_Data(),Table_SourceData_OtherLivestock_VolatileSolids[[#Headers],[Other livestock type]],0)</f>
        <v>Camels</v>
      </c>
      <c r="E28" s="35"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5" t="str" cm="1">
        <f t="array" ref="D29">Common_InputFunctions.Utility_DisplayArrayInTable(SourceData_OtherLivestock.SourceData_OtherLivestock_VolatileSolidsProduced_Data(),Table_SourceData_OtherLivestock_VolatileSolids[[#Headers],[Other livestock type]],0)</f>
        <v>Alpacas</v>
      </c>
      <c r="E29" s="35"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5" t="str" cm="1">
        <f t="array" ref="D30">Common_InputFunctions.Utility_DisplayArrayInTable(SourceData_OtherLivestock.SourceData_OtherLivestock_VolatileSolidsProduced_Data(),Table_SourceData_OtherLivestock_VolatileSolids[[#Headers],[Other livestock type]],0)</f>
        <v>Horses</v>
      </c>
      <c r="E30" s="35"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5" t="str" cm="1">
        <f t="array" ref="D31">Common_InputFunctions.Utility_DisplayArrayInTable(SourceData_OtherLivestock.SourceData_OtherLivestock_VolatileSolidsProduced_Data(),Table_SourceData_OtherLivestock_VolatileSolids[[#Headers],[Other livestock type]],0)</f>
        <v>Mules/asses</v>
      </c>
      <c r="E31" s="35"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5" t="str" cm="1">
        <f t="array" ref="D32">Common_InputFunctions.Utility_DisplayArrayInTable(SourceData_OtherLivestock.SourceData_OtherLivestock_VolatileSolidsProduced_Data(),Table_SourceData_OtherLivestock_VolatileSolids[[#Headers],[Other livestock type]],0)</f>
        <v>Emus/ostriches</v>
      </c>
      <c r="E32" s="35"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0" t="str" cm="1">
        <f t="array" ref="D38">SourceData_OtherLivestock.SourceData_OtherLivestock_NitrogenExcreted_Unit()</f>
        <v>kg N2O / head / year</v>
      </c>
      <c r="M38" s="1"/>
    </row>
    <row r="39" spans="4:13" ht="20.100000000000001" customHeight="1" x14ac:dyDescent="0.25">
      <c r="D39" s="35" t="s">
        <v>105</v>
      </c>
      <c r="E39" s="35" t="s">
        <v>107</v>
      </c>
      <c r="M39" s="1"/>
    </row>
    <row r="40" spans="4:13" ht="20.100000000000001" customHeight="1" x14ac:dyDescent="0.25">
      <c r="D40" s="35" t="str" cm="1">
        <f t="array" ref="D40">Common_InputFunctions.Utility_DisplayArrayInTable(SourceData_OtherLivestock.SourceData_OtherLivestock_NitrogenExcreted_Data(),Table_SourceData_OtherLivestock_NitrogenExcreted[[#Headers],[Other livestock type]],0)</f>
        <v>Buffalo</v>
      </c>
      <c r="E40" s="35"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5" t="str" cm="1">
        <f t="array" ref="D41">Common_InputFunctions.Utility_DisplayArrayInTable(SourceData_OtherLivestock.SourceData_OtherLivestock_NitrogenExcreted_Data(),Table_SourceData_OtherLivestock_NitrogenExcreted[[#Headers],[Other livestock type]],0)</f>
        <v>Goats</v>
      </c>
      <c r="E41" s="35"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5" t="str" cm="1">
        <f t="array" ref="D42">Common_InputFunctions.Utility_DisplayArrayInTable(SourceData_OtherLivestock.SourceData_OtherLivestock_NitrogenExcreted_Data(),Table_SourceData_OtherLivestock_NitrogenExcreted[[#Headers],[Other livestock type]],0)</f>
        <v>Deer</v>
      </c>
      <c r="E42" s="35"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5" t="str" cm="1">
        <f t="array" ref="D43">Common_InputFunctions.Utility_DisplayArrayInTable(SourceData_OtherLivestock.SourceData_OtherLivestock_NitrogenExcreted_Data(),Table_SourceData_OtherLivestock_NitrogenExcreted[[#Headers],[Other livestock type]],0)</f>
        <v>Camels</v>
      </c>
      <c r="E43" s="35"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5" t="str" cm="1">
        <f t="array" ref="D44">Common_InputFunctions.Utility_DisplayArrayInTable(SourceData_OtherLivestock.SourceData_OtherLivestock_NitrogenExcreted_Data(),Table_SourceData_OtherLivestock_NitrogenExcreted[[#Headers],[Other livestock type]],0)</f>
        <v>Alpacas</v>
      </c>
      <c r="E44" s="35"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5" t="str" cm="1">
        <f t="array" ref="D45">Common_InputFunctions.Utility_DisplayArrayInTable(SourceData_OtherLivestock.SourceData_OtherLivestock_NitrogenExcreted_Data(),Table_SourceData_OtherLivestock_NitrogenExcreted[[#Headers],[Other livestock type]],0)</f>
        <v>Horses</v>
      </c>
      <c r="E45" s="35"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5" t="str" cm="1">
        <f t="array" ref="D46">Common_InputFunctions.Utility_DisplayArrayInTable(SourceData_OtherLivestock.SourceData_OtherLivestock_NitrogenExcreted_Data(),Table_SourceData_OtherLivestock_NitrogenExcreted[[#Headers],[Other livestock type]],0)</f>
        <v>Mules/asses</v>
      </c>
      <c r="E46" s="35"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5" t="str" cm="1">
        <f t="array" ref="D47">Common_InputFunctions.Utility_DisplayArrayInTable(SourceData_OtherLivestock.SourceData_OtherLivestock_NitrogenExcreted_Data(),Table_SourceData_OtherLivestock_NitrogenExcreted[[#Headers],[Other livestock type]],0)</f>
        <v>Emus/ostriches</v>
      </c>
      <c r="E47" s="35"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0" t="str" cm="1">
        <f t="array" ref="D53">SourceData_OtherLivestock.SourceData_OtherLivestock_AverageLiveweight_Unit()</f>
        <v>kg</v>
      </c>
      <c r="M53" s="1"/>
    </row>
    <row r="54" spans="4:13" ht="20.100000000000001" customHeight="1" x14ac:dyDescent="0.25">
      <c r="D54" s="35" t="s">
        <v>105</v>
      </c>
      <c r="E54" s="35" t="s">
        <v>109</v>
      </c>
      <c r="F54" s="35" t="s">
        <v>110</v>
      </c>
      <c r="M54" s="1"/>
    </row>
    <row r="55" spans="4:13" ht="20.100000000000001" customHeight="1" x14ac:dyDescent="0.25">
      <c r="D55" s="35" t="str" cm="1">
        <f t="array" ref="D55">Common_InputFunctions.Utility_DisplayArrayInTable(SourceData_OtherLivestock.SourceData_OtherLivestock_AverageLiveweight_Data(),Table_SourceData_OtherLivestock_AverageLiveweight[[#Headers],[Other livestock type]],0)</f>
        <v>Buffalo</v>
      </c>
      <c r="E55" s="35" cm="1">
        <f t="array" ref="E55">Common_InputFunctions.Utility_DisplayArrayInTable(SourceData_OtherLivestock.SourceData_OtherLivestock_AverageLiveweight_Data(),Table_SourceData_OtherLivestock_AverageLiveweight[[#Headers],[Other livestock type]],0)</f>
        <v>336</v>
      </c>
      <c r="F55" s="35"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5" t="str" cm="1">
        <f t="array" ref="D56">Common_InputFunctions.Utility_DisplayArrayInTable(SourceData_OtherLivestock.SourceData_OtherLivestock_AverageLiveweight_Data(),Table_SourceData_OtherLivestock_AverageLiveweight[[#Headers],[Other livestock type]],0)</f>
        <v>Goats</v>
      </c>
      <c r="E56" s="35" cm="1">
        <f t="array" ref="E56">Common_InputFunctions.Utility_DisplayArrayInTable(SourceData_OtherLivestock.SourceData_OtherLivestock_AverageLiveweight_Data(),Table_SourceData_OtherLivestock_AverageLiveweight[[#Headers],[Other livestock type]],0)</f>
        <v>33</v>
      </c>
      <c r="F56" s="35"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5" t="str" cm="1">
        <f t="array" ref="D57">Common_InputFunctions.Utility_DisplayArrayInTable(SourceData_OtherLivestock.SourceData_OtherLivestock_AverageLiveweight_Data(),Table_SourceData_OtherLivestock_AverageLiveweight[[#Headers],[Other livestock type]],0)</f>
        <v>Goats</v>
      </c>
      <c r="E57" s="35" cm="1">
        <f t="array" ref="E57">Common_InputFunctions.Utility_DisplayArrayInTable(SourceData_OtherLivestock.SourceData_OtherLivestock_AverageLiveweight_Data(),Table_SourceData_OtherLivestock_AverageLiveweight[[#Headers],[Other livestock type]],0)</f>
        <v>33</v>
      </c>
      <c r="F57" s="35"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5" t="str" cm="1">
        <f t="array" ref="D58">Common_InputFunctions.Utility_DisplayArrayInTable(SourceData_OtherLivestock.SourceData_OtherLivestock_AverageLiveweight_Data(),Table_SourceData_OtherLivestock_AverageLiveweight[[#Headers],[Other livestock type]],0)</f>
        <v>Deer</v>
      </c>
      <c r="E58" s="35" cm="1">
        <f t="array" ref="E58">Common_InputFunctions.Utility_DisplayArrayInTable(SourceData_OtherLivestock.SourceData_OtherLivestock_AverageLiveweight_Data(),Table_SourceData_OtherLivestock_AverageLiveweight[[#Headers],[Other livestock type]],0)</f>
        <v>120</v>
      </c>
      <c r="F58" s="35"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5" t="str" cm="1">
        <f t="array" ref="D59">Common_InputFunctions.Utility_DisplayArrayInTable(SourceData_OtherLivestock.SourceData_OtherLivestock_AverageLiveweight_Data(),Table_SourceData_OtherLivestock_AverageLiveweight[[#Headers],[Other livestock type]],0)</f>
        <v>Camels</v>
      </c>
      <c r="E59" s="35" cm="1">
        <f t="array" ref="E59">Common_InputFunctions.Utility_DisplayArrayInTable(SourceData_OtherLivestock.SourceData_OtherLivestock_AverageLiveweight_Data(),Table_SourceData_OtherLivestock_AverageLiveweight[[#Headers],[Other livestock type]],0)</f>
        <v>217</v>
      </c>
      <c r="F59" s="35"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5" t="str" cm="1">
        <f t="array" ref="D60">Common_InputFunctions.Utility_DisplayArrayInTable(SourceData_OtherLivestock.SourceData_OtherLivestock_AverageLiveweight_Data(),Table_SourceData_OtherLivestock_AverageLiveweight[[#Headers],[Other livestock type]],0)</f>
        <v>Alpacas</v>
      </c>
      <c r="E60" s="35" t="str" cm="1">
        <f t="array" ref="E60">Common_InputFunctions.Utility_DisplayArrayInTable(SourceData_OtherLivestock.SourceData_OtherLivestock_AverageLiveweight_Data(),Table_SourceData_OtherLivestock_AverageLiveweight[[#Headers],[Other livestock type]],0)</f>
        <v>-</v>
      </c>
      <c r="F60" s="35"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5" t="str" cm="1">
        <f t="array" ref="D61">Common_InputFunctions.Utility_DisplayArrayInTable(SourceData_OtherLivestock.SourceData_OtherLivestock_AverageLiveweight_Data(),Table_SourceData_OtherLivestock_AverageLiveweight[[#Headers],[Other livestock type]],0)</f>
        <v>Horses</v>
      </c>
      <c r="E61" s="35" cm="1">
        <f t="array" ref="E61">Common_InputFunctions.Utility_DisplayArrayInTable(SourceData_OtherLivestock.SourceData_OtherLivestock_AverageLiveweight_Data(),Table_SourceData_OtherLivestock_AverageLiveweight[[#Headers],[Other livestock type]],0)</f>
        <v>377</v>
      </c>
      <c r="F61" s="35"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5" t="str" cm="1">
        <f t="array" ref="D62">Common_InputFunctions.Utility_DisplayArrayInTable(SourceData_OtherLivestock.SourceData_OtherLivestock_AverageLiveweight_Data(),Table_SourceData_OtherLivestock_AverageLiveweight[[#Headers],[Other livestock type]],0)</f>
        <v>Mules/asses</v>
      </c>
      <c r="E62" s="35" cm="1">
        <f t="array" ref="E62">Common_InputFunctions.Utility_DisplayArrayInTable(SourceData_OtherLivestock.SourceData_OtherLivestock_AverageLiveweight_Data(),Table_SourceData_OtherLivestock_AverageLiveweight[[#Headers],[Other livestock type]],0)</f>
        <v>130</v>
      </c>
      <c r="F62" s="35"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5" t="str" cm="1">
        <f t="array" ref="D63">Common_InputFunctions.Utility_DisplayArrayInTable(SourceData_OtherLivestock.SourceData_OtherLivestock_AverageLiveweight_Data(),Table_SourceData_OtherLivestock_AverageLiveweight[[#Headers],[Other livestock type]],0)</f>
        <v>Emus/ostriches</v>
      </c>
      <c r="E63" s="35" cm="1">
        <f t="array" ref="E63">Common_InputFunctions.Utility_DisplayArrayInTable(SourceData_OtherLivestock.SourceData_OtherLivestock_AverageLiveweight_Data(),Table_SourceData_OtherLivestock_AverageLiveweight[[#Headers],[Other livestock type]],0)</f>
        <v>120</v>
      </c>
      <c r="F63" s="35"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5" t="str" cm="1">
        <f t="array" ref="D64">Common_InputFunctions.Utility_DisplayArrayInTable(SourceData_OtherLivestock.SourceData_OtherLivestock_AverageLiveweight_Data(),Table_SourceData_OtherLivestock_AverageLiveweight[[#Headers],[Other livestock type]],0)</f>
        <v>Reference</v>
      </c>
      <c r="E64" s="35" t="str" cm="1">
        <f t="array" ref="E64">Common_InputFunctions.Utility_DisplayArrayInTable(SourceData_OtherLivestock.SourceData_OtherLivestock_AverageLiveweight_Data(),Table_SourceData_OtherLivestock_AverageLiveweight[[#Headers],[Other livestock type]],0)</f>
        <v>IPCC 2019 Table 10A.5 [2]</v>
      </c>
      <c r="F64" s="35"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0" t="str" cm="1">
        <f t="array" ref="D70">SourceData_OtherLivestock.SourceData_OtherLivestock_FractionWasteInMMS_Unit()</f>
        <v>fraction</v>
      </c>
      <c r="M70" s="1"/>
    </row>
    <row r="71" spans="4:13" ht="20.100000000000001" customHeight="1" x14ac:dyDescent="0.25">
      <c r="D71" s="35" t="s">
        <v>105</v>
      </c>
      <c r="E71" s="35" t="s">
        <v>99</v>
      </c>
      <c r="F71" s="47" t="s">
        <v>111</v>
      </c>
      <c r="M71" s="1"/>
    </row>
    <row r="72" spans="4:13" ht="20.100000000000001" customHeight="1" x14ac:dyDescent="0.25">
      <c r="D72" s="35" t="str" cm="1">
        <f t="array" ref="D72">Common_InputFunctions.Utility_DisplayArrayInTable(SourceData_OtherLivestock.SourceData_OtherLivestock_FractionWasteInMMS_Data(),Table_SourceData_OtherLivestock_FractionWasteInMMS[[#Headers],[Other livestock type]],0)</f>
        <v>ACT</v>
      </c>
      <c r="E72" s="35" cm="1">
        <f t="array" ref="E72">Common_InputFunctions.Utility_DisplayArrayInTable(SourceData_OtherLivestock.SourceData_OtherLivestock_FractionWasteInMMS_Data(),Table_SourceData_OtherLivestock_FractionWasteInMMS[[#Headers],[Other livestock type]],0)</f>
        <v>99.66</v>
      </c>
      <c r="F72" s="35"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5" t="str" cm="1">
        <f t="array" ref="D73">Common_InputFunctions.Utility_DisplayArrayInTable(SourceData_OtherLivestock.SourceData_OtherLivestock_FractionWasteInMMS_Data(),Table_SourceData_OtherLivestock_FractionWasteInMMS[[#Headers],[Other livestock type]],0)</f>
        <v>NSW</v>
      </c>
      <c r="E73" s="35" cm="1">
        <f t="array" ref="E73">Common_InputFunctions.Utility_DisplayArrayInTable(SourceData_OtherLivestock.SourceData_OtherLivestock_FractionWasteInMMS_Data(),Table_SourceData_OtherLivestock_FractionWasteInMMS[[#Headers],[Other livestock type]],0)</f>
        <v>99.66</v>
      </c>
      <c r="F73" s="35"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5" t="str" cm="1">
        <f t="array" ref="D74">Common_InputFunctions.Utility_DisplayArrayInTable(SourceData_OtherLivestock.SourceData_OtherLivestock_FractionWasteInMMS_Data(),Table_SourceData_OtherLivestock_FractionWasteInMMS[[#Headers],[Other livestock type]],0)</f>
        <v>NT</v>
      </c>
      <c r="E74" s="35" cm="1">
        <f t="array" ref="E74">Common_InputFunctions.Utility_DisplayArrayInTable(SourceData_OtherLivestock.SourceData_OtherLivestock_FractionWasteInMMS_Data(),Table_SourceData_OtherLivestock_FractionWasteInMMS[[#Headers],[Other livestock type]],0)</f>
        <v>99.66</v>
      </c>
      <c r="F74" s="35"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5" t="str" cm="1">
        <f t="array" ref="D75">Common_InputFunctions.Utility_DisplayArrayInTable(SourceData_OtherLivestock.SourceData_OtherLivestock_FractionWasteInMMS_Data(),Table_SourceData_OtherLivestock_FractionWasteInMMS[[#Headers],[Other livestock type]],0)</f>
        <v>QLD</v>
      </c>
      <c r="E75" s="35" cm="1">
        <f t="array" ref="E75">Common_InputFunctions.Utility_DisplayArrayInTable(SourceData_OtherLivestock.SourceData_OtherLivestock_FractionWasteInMMS_Data(),Table_SourceData_OtherLivestock_FractionWasteInMMS[[#Headers],[Other livestock type]],0)</f>
        <v>99.66</v>
      </c>
      <c r="F75" s="35"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5" t="str" cm="1">
        <f t="array" ref="D76">Common_InputFunctions.Utility_DisplayArrayInTable(SourceData_OtherLivestock.SourceData_OtherLivestock_FractionWasteInMMS_Data(),Table_SourceData_OtherLivestock_FractionWasteInMMS[[#Headers],[Other livestock type]],0)</f>
        <v>SA</v>
      </c>
      <c r="E76" s="35" cm="1">
        <f t="array" ref="E76">Common_InputFunctions.Utility_DisplayArrayInTable(SourceData_OtherLivestock.SourceData_OtherLivestock_FractionWasteInMMS_Data(),Table_SourceData_OtherLivestock_FractionWasteInMMS[[#Headers],[Other livestock type]],0)</f>
        <v>99.66</v>
      </c>
      <c r="F76" s="35"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5" t="str" cm="1">
        <f t="array" ref="D77">Common_InputFunctions.Utility_DisplayArrayInTable(SourceData_OtherLivestock.SourceData_OtherLivestock_FractionWasteInMMS_Data(),Table_SourceData_OtherLivestock_FractionWasteInMMS[[#Headers],[Other livestock type]],0)</f>
        <v>TAS</v>
      </c>
      <c r="E77" s="35" cm="1">
        <f t="array" ref="E77">Common_InputFunctions.Utility_DisplayArrayInTable(SourceData_OtherLivestock.SourceData_OtherLivestock_FractionWasteInMMS_Data(),Table_SourceData_OtherLivestock_FractionWasteInMMS[[#Headers],[Other livestock type]],0)</f>
        <v>99.66</v>
      </c>
      <c r="F77" s="35"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5" t="str" cm="1">
        <f t="array" ref="D78">Common_InputFunctions.Utility_DisplayArrayInTable(SourceData_OtherLivestock.SourceData_OtherLivestock_FractionWasteInMMS_Data(),Table_SourceData_OtherLivestock_FractionWasteInMMS[[#Headers],[Other livestock type]],0)</f>
        <v>VIC</v>
      </c>
      <c r="E78" s="35" cm="1">
        <f t="array" ref="E78">Common_InputFunctions.Utility_DisplayArrayInTable(SourceData_OtherLivestock.SourceData_OtherLivestock_FractionWasteInMMS_Data(),Table_SourceData_OtherLivestock_FractionWasteInMMS[[#Headers],[Other livestock type]],0)</f>
        <v>99.66</v>
      </c>
      <c r="F78" s="35"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5" t="str" cm="1">
        <f t="array" ref="D79">Common_InputFunctions.Utility_DisplayArrayInTable(SourceData_OtherLivestock.SourceData_OtherLivestock_FractionWasteInMMS_Data(),Table_SourceData_OtherLivestock_FractionWasteInMMS[[#Headers],[Other livestock type]],0)</f>
        <v>WA</v>
      </c>
      <c r="E79" s="35" cm="1">
        <f t="array" ref="E79">Common_InputFunctions.Utility_DisplayArrayInTable(SourceData_OtherLivestock.SourceData_OtherLivestock_FractionWasteInMMS_Data(),Table_SourceData_OtherLivestock_FractionWasteInMMS[[#Headers],[Other livestock type]],0)</f>
        <v>99.66</v>
      </c>
      <c r="F79" s="35"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0" t="str" cm="1">
        <f t="array" ref="D85">SourceData_OtherLivestock.SourceData_OtherLivestock_MethaneConversionFactor_Unit()</f>
        <v>fraction</v>
      </c>
      <c r="M85" s="1"/>
    </row>
    <row r="86" spans="4:13" ht="20.100000000000001" customHeight="1" x14ac:dyDescent="0.25">
      <c r="D86" s="35" t="s">
        <v>105</v>
      </c>
      <c r="E86" s="35" t="s">
        <v>99</v>
      </c>
      <c r="F86" s="47" t="s">
        <v>111</v>
      </c>
      <c r="M86" s="1"/>
    </row>
    <row r="87" spans="4:13" ht="20.100000000000001" customHeight="1" x14ac:dyDescent="0.25">
      <c r="D87" s="35" t="str" cm="1">
        <f t="array" ref="D87">Common_InputFunctions.Utility_DisplayArrayInTable(SourceData_OtherLivestock.SourceData_OtherLivestock_MethaneConversionFactor_Data(),Table_SourceData_OtherLivestock_MCF[[#Headers],[Other livestock type]],0)</f>
        <v>ACT</v>
      </c>
      <c r="E87" s="35" cm="1">
        <f t="array" ref="E87">Common_InputFunctions.Utility_DisplayArrayInTable(SourceData_OtherLivestock.SourceData_OtherLivestock_MethaneConversionFactor_Data(),Table_SourceData_OtherLivestock_MCF[[#Headers],[Other livestock type]],0)</f>
        <v>4.7000000000000002E-3</v>
      </c>
      <c r="F87" s="35"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5" t="str" cm="1">
        <f t="array" ref="D88">Common_InputFunctions.Utility_DisplayArrayInTable(SourceData_OtherLivestock.SourceData_OtherLivestock_MethaneConversionFactor_Data(),Table_SourceData_OtherLivestock_MCF[[#Headers],[Other livestock type]],0)</f>
        <v>NSW</v>
      </c>
      <c r="E88" s="35" cm="1">
        <f t="array" ref="E88">Common_InputFunctions.Utility_DisplayArrayInTable(SourceData_OtherLivestock.SourceData_OtherLivestock_MethaneConversionFactor_Data(),Table_SourceData_OtherLivestock_MCF[[#Headers],[Other livestock type]],0)</f>
        <v>4.7000000000000002E-3</v>
      </c>
      <c r="F88" s="35"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5" t="str" cm="1">
        <f t="array" ref="D89">Common_InputFunctions.Utility_DisplayArrayInTable(SourceData_OtherLivestock.SourceData_OtherLivestock_MethaneConversionFactor_Data(),Table_SourceData_OtherLivestock_MCF[[#Headers],[Other livestock type]],0)</f>
        <v>NT</v>
      </c>
      <c r="E89" s="35" cm="1">
        <f t="array" ref="E89">Common_InputFunctions.Utility_DisplayArrayInTable(SourceData_OtherLivestock.SourceData_OtherLivestock_MethaneConversionFactor_Data(),Table_SourceData_OtherLivestock_MCF[[#Headers],[Other livestock type]],0)</f>
        <v>4.7000000000000002E-3</v>
      </c>
      <c r="F89" s="35"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5" t="str" cm="1">
        <f t="array" ref="D90">Common_InputFunctions.Utility_DisplayArrayInTable(SourceData_OtherLivestock.SourceData_OtherLivestock_MethaneConversionFactor_Data(),Table_SourceData_OtherLivestock_MCF[[#Headers],[Other livestock type]],0)</f>
        <v>QLD</v>
      </c>
      <c r="E90" s="35" cm="1">
        <f t="array" ref="E90">Common_InputFunctions.Utility_DisplayArrayInTable(SourceData_OtherLivestock.SourceData_OtherLivestock_MethaneConversionFactor_Data(),Table_SourceData_OtherLivestock_MCF[[#Headers],[Other livestock type]],0)</f>
        <v>4.7000000000000002E-3</v>
      </c>
      <c r="F90" s="35"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5" t="str" cm="1">
        <f t="array" ref="D91">Common_InputFunctions.Utility_DisplayArrayInTable(SourceData_OtherLivestock.SourceData_OtherLivestock_MethaneConversionFactor_Data(),Table_SourceData_OtherLivestock_MCF[[#Headers],[Other livestock type]],0)</f>
        <v>SA</v>
      </c>
      <c r="E91" s="35" cm="1">
        <f t="array" ref="E91">Common_InputFunctions.Utility_DisplayArrayInTable(SourceData_OtherLivestock.SourceData_OtherLivestock_MethaneConversionFactor_Data(),Table_SourceData_OtherLivestock_MCF[[#Headers],[Other livestock type]],0)</f>
        <v>4.7000000000000002E-3</v>
      </c>
      <c r="F91" s="35"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5" t="str" cm="1">
        <f t="array" ref="D92">Common_InputFunctions.Utility_DisplayArrayInTable(SourceData_OtherLivestock.SourceData_OtherLivestock_MethaneConversionFactor_Data(),Table_SourceData_OtherLivestock_MCF[[#Headers],[Other livestock type]],0)</f>
        <v>TAS</v>
      </c>
      <c r="E92" s="35" cm="1">
        <f t="array" ref="E92">Common_InputFunctions.Utility_DisplayArrayInTable(SourceData_OtherLivestock.SourceData_OtherLivestock_MethaneConversionFactor_Data(),Table_SourceData_OtherLivestock_MCF[[#Headers],[Other livestock type]],0)</f>
        <v>4.7000000000000002E-3</v>
      </c>
      <c r="F92" s="35"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5" t="str" cm="1">
        <f t="array" ref="D93">Common_InputFunctions.Utility_DisplayArrayInTable(SourceData_OtherLivestock.SourceData_OtherLivestock_MethaneConversionFactor_Data(),Table_SourceData_OtherLivestock_MCF[[#Headers],[Other livestock type]],0)</f>
        <v>VIC</v>
      </c>
      <c r="E93" s="35" cm="1">
        <f t="array" ref="E93">Common_InputFunctions.Utility_DisplayArrayInTable(SourceData_OtherLivestock.SourceData_OtherLivestock_MethaneConversionFactor_Data(),Table_SourceData_OtherLivestock_MCF[[#Headers],[Other livestock type]],0)</f>
        <v>4.7000000000000002E-3</v>
      </c>
      <c r="F93" s="35"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5" t="str" cm="1">
        <f t="array" ref="D94">Common_InputFunctions.Utility_DisplayArrayInTable(SourceData_OtherLivestock.SourceData_OtherLivestock_MethaneConversionFactor_Data(),Table_SourceData_OtherLivestock_MCF[[#Headers],[Other livestock type]],0)</f>
        <v>WA</v>
      </c>
      <c r="E94" s="35" cm="1">
        <f t="array" ref="E94">Common_InputFunctions.Utility_DisplayArrayInTable(SourceData_OtherLivestock.SourceData_OtherLivestock_MethaneConversionFactor_Data(),Table_SourceData_OtherLivestock_MCF[[#Headers],[Other livestock type]],0)</f>
        <v>4.7000000000000002E-3</v>
      </c>
      <c r="F94" s="35"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2"/>
    </row>
    <row r="125" spans="13:22" ht="20.100000000000001" customHeight="1" x14ac:dyDescent="0.25">
      <c r="M125" s="22"/>
    </row>
    <row r="126" spans="13:22" ht="20.100000000000001" customHeight="1" x14ac:dyDescent="0.25">
      <c r="M126" s="22"/>
    </row>
    <row r="127" spans="13:22" ht="20.100000000000001" customHeight="1" x14ac:dyDescent="0.25">
      <c r="M127" s="22"/>
    </row>
    <row r="128" spans="13:22" ht="20.100000000000001" customHeight="1" x14ac:dyDescent="0.25">
      <c r="M128" s="22"/>
    </row>
    <row r="129" spans="13:13" ht="20.100000000000001" customHeight="1" x14ac:dyDescent="0.25">
      <c r="M129" s="22"/>
    </row>
    <row r="130" spans="13:13" ht="20.100000000000001" customHeight="1" x14ac:dyDescent="0.25">
      <c r="M130" s="22"/>
    </row>
    <row r="131" spans="13:13" ht="20.100000000000001" customHeight="1" x14ac:dyDescent="0.25">
      <c r="M131" s="22"/>
    </row>
    <row r="132" spans="13:13" ht="20.100000000000001" customHeight="1" x14ac:dyDescent="0.25">
      <c r="M132" s="22"/>
    </row>
    <row r="133" spans="13:13" ht="20.100000000000001" customHeight="1" x14ac:dyDescent="0.25">
      <c r="M133" s="22"/>
    </row>
    <row r="134" spans="13:13" ht="20.100000000000001" customHeight="1" x14ac:dyDescent="0.25">
      <c r="M134" s="22"/>
    </row>
    <row r="135" spans="13:13" ht="20.100000000000001" customHeight="1" x14ac:dyDescent="0.25">
      <c r="M135" s="22"/>
    </row>
    <row r="136" spans="13:13" ht="20.100000000000001" customHeight="1" x14ac:dyDescent="0.25">
      <c r="M136" s="22"/>
    </row>
    <row r="137" spans="13:13" ht="20.100000000000001" customHeight="1" x14ac:dyDescent="0.25">
      <c r="M137" s="22"/>
    </row>
    <row r="138" spans="13:13" ht="20.100000000000001" customHeight="1" x14ac:dyDescent="0.25">
      <c r="M138" s="22"/>
    </row>
    <row r="139" spans="13:13" ht="20.100000000000001" customHeight="1" x14ac:dyDescent="0.25">
      <c r="M139" s="22"/>
    </row>
    <row r="140" spans="13:13" ht="20.100000000000001" customHeight="1" x14ac:dyDescent="0.25">
      <c r="M140" s="22"/>
    </row>
    <row r="141" spans="13:13" ht="20.100000000000001" customHeight="1" x14ac:dyDescent="0.25">
      <c r="M141" s="22"/>
    </row>
    <row r="142" spans="13:13" ht="20.100000000000001" customHeight="1" x14ac:dyDescent="0.25">
      <c r="M142" s="22"/>
    </row>
    <row r="143" spans="13:13" ht="20.100000000000001" customHeight="1" x14ac:dyDescent="0.25">
      <c r="M143" s="22"/>
    </row>
    <row r="144" spans="13:13" ht="20.100000000000001" customHeight="1" x14ac:dyDescent="0.25">
      <c r="M144" s="22"/>
    </row>
    <row r="145" spans="13:13" ht="20.100000000000001" customHeight="1" x14ac:dyDescent="0.25">
      <c r="M145" s="22"/>
    </row>
    <row r="146" spans="13:13" ht="20.100000000000001" customHeight="1" x14ac:dyDescent="0.25">
      <c r="M146" s="22"/>
    </row>
    <row r="147" spans="13:13" ht="20.100000000000001" customHeight="1" x14ac:dyDescent="0.25">
      <c r="M147" s="22"/>
    </row>
    <row r="148" spans="13:13" ht="20.100000000000001" customHeight="1" x14ac:dyDescent="0.25">
      <c r="M148" s="22"/>
    </row>
    <row r="149" spans="13:13" ht="20.100000000000001" customHeight="1" x14ac:dyDescent="0.25">
      <c r="M149" s="22"/>
    </row>
    <row r="150" spans="13:13" ht="20.100000000000001" customHeight="1" x14ac:dyDescent="0.25">
      <c r="M150" s="22"/>
    </row>
    <row r="151" spans="13:13" ht="20.100000000000001" customHeight="1" x14ac:dyDescent="0.25">
      <c r="M151" s="22"/>
    </row>
    <row r="152" spans="13:13" ht="20.100000000000001" customHeight="1" x14ac:dyDescent="0.25">
      <c r="M152" s="22"/>
    </row>
    <row r="153" spans="13:13" ht="20.100000000000001" customHeight="1" x14ac:dyDescent="0.25">
      <c r="M153" s="22"/>
    </row>
    <row r="154" spans="13:13" ht="20.100000000000001" customHeight="1" x14ac:dyDescent="0.25">
      <c r="M154" s="22"/>
    </row>
    <row r="155" spans="13:13" ht="20.100000000000001" customHeight="1" x14ac:dyDescent="0.25">
      <c r="M155" s="22"/>
    </row>
    <row r="156" spans="13:13" ht="20.100000000000001" customHeight="1" x14ac:dyDescent="0.25">
      <c r="M156" s="22"/>
    </row>
    <row r="157" spans="13:13" ht="20.100000000000001" customHeight="1" x14ac:dyDescent="0.25">
      <c r="M157" s="22"/>
    </row>
    <row r="158" spans="13:13" ht="20.100000000000001" customHeight="1" x14ac:dyDescent="0.25">
      <c r="M158" s="22"/>
    </row>
    <row r="159" spans="13:13" ht="20.100000000000001" customHeight="1" x14ac:dyDescent="0.25">
      <c r="M159" s="22"/>
    </row>
    <row r="160" spans="13:13" ht="20.100000000000001" customHeight="1" x14ac:dyDescent="0.25">
      <c r="M160" s="22"/>
    </row>
    <row r="161" spans="13:13" ht="20.100000000000001" customHeight="1" x14ac:dyDescent="0.25">
      <c r="M161" s="22"/>
    </row>
    <row r="162" spans="13:13" ht="20.100000000000001" customHeight="1" x14ac:dyDescent="0.25">
      <c r="M162" s="22"/>
    </row>
    <row r="163" spans="13:13" ht="20.100000000000001" customHeight="1" x14ac:dyDescent="0.25">
      <c r="M163" s="22"/>
    </row>
    <row r="164" spans="13:13" ht="20.100000000000001" customHeight="1" x14ac:dyDescent="0.25">
      <c r="M164" s="22"/>
    </row>
    <row r="165" spans="13:13" ht="20.100000000000001" customHeight="1" x14ac:dyDescent="0.25">
      <c r="M165" s="22"/>
    </row>
    <row r="166" spans="13:13" x14ac:dyDescent="0.25">
      <c r="M166" s="22"/>
    </row>
    <row r="167" spans="13:13" x14ac:dyDescent="0.25">
      <c r="M167" s="22"/>
    </row>
    <row r="168" spans="13:13" x14ac:dyDescent="0.25">
      <c r="M168" s="22"/>
    </row>
    <row r="169" spans="13:13" x14ac:dyDescent="0.25">
      <c r="M169" s="22"/>
    </row>
    <row r="170" spans="13:13" x14ac:dyDescent="0.25">
      <c r="M170" s="22"/>
    </row>
    <row r="171" spans="13:13" x14ac:dyDescent="0.25">
      <c r="M171" s="22"/>
    </row>
    <row r="172" spans="13:13" x14ac:dyDescent="0.25">
      <c r="M172" s="22"/>
    </row>
    <row r="173" spans="13:13" x14ac:dyDescent="0.25">
      <c r="M173" s="22"/>
    </row>
    <row r="174" spans="13:13" x14ac:dyDescent="0.25">
      <c r="M174" s="22"/>
    </row>
    <row r="175" spans="13:13" x14ac:dyDescent="0.25">
      <c r="M175" s="22"/>
    </row>
    <row r="176" spans="13:13" x14ac:dyDescent="0.25">
      <c r="M176" s="22"/>
    </row>
    <row r="177" spans="13:13" x14ac:dyDescent="0.25">
      <c r="M177" s="22"/>
    </row>
    <row r="178" spans="13:13" x14ac:dyDescent="0.25">
      <c r="M178" s="22"/>
    </row>
    <row r="179" spans="13:13" x14ac:dyDescent="0.25">
      <c r="M179" s="22"/>
    </row>
    <row r="180" spans="13:13" x14ac:dyDescent="0.25">
      <c r="M180" s="22"/>
    </row>
    <row r="181" spans="13:13" x14ac:dyDescent="0.25">
      <c r="M181" s="22"/>
    </row>
    <row r="182" spans="13:13" x14ac:dyDescent="0.25">
      <c r="M182" s="22"/>
    </row>
    <row r="183" spans="13:13" x14ac:dyDescent="0.25">
      <c r="M183" s="22"/>
    </row>
    <row r="184" spans="13:13" x14ac:dyDescent="0.25">
      <c r="M184" s="22"/>
    </row>
    <row r="185" spans="13:13" x14ac:dyDescent="0.25">
      <c r="M185" s="22"/>
    </row>
    <row r="186" spans="13:13" x14ac:dyDescent="0.25">
      <c r="M186" s="22"/>
    </row>
    <row r="187" spans="13:13" x14ac:dyDescent="0.25">
      <c r="M187" s="22"/>
    </row>
    <row r="188" spans="13:13" x14ac:dyDescent="0.25">
      <c r="M188" s="22"/>
    </row>
    <row r="189" spans="13:13" x14ac:dyDescent="0.25">
      <c r="M189" s="22"/>
    </row>
    <row r="190" spans="13:13" x14ac:dyDescent="0.25">
      <c r="M190" s="22"/>
    </row>
    <row r="191" spans="13:13" x14ac:dyDescent="0.25">
      <c r="M191" s="22"/>
    </row>
    <row r="192" spans="13:13" x14ac:dyDescent="0.25">
      <c r="M192" s="22"/>
    </row>
    <row r="193" spans="13:13" x14ac:dyDescent="0.25">
      <c r="M193" s="22"/>
    </row>
    <row r="194" spans="13:13" x14ac:dyDescent="0.25">
      <c r="M194" s="22"/>
    </row>
    <row r="195" spans="13:13" x14ac:dyDescent="0.25">
      <c r="M195" s="22"/>
    </row>
    <row r="196" spans="13:13" x14ac:dyDescent="0.25">
      <c r="M196" s="22"/>
    </row>
    <row r="197" spans="13:13" x14ac:dyDescent="0.25">
      <c r="M197" s="22"/>
    </row>
    <row r="198" spans="13:13" x14ac:dyDescent="0.25">
      <c r="M198" s="22"/>
    </row>
    <row r="199" spans="13:13" x14ac:dyDescent="0.25">
      <c r="M199" s="22"/>
    </row>
    <row r="200" spans="13:13" x14ac:dyDescent="0.25">
      <c r="M200" s="22"/>
    </row>
    <row r="201" spans="13:13" x14ac:dyDescent="0.25">
      <c r="M201" s="22"/>
    </row>
    <row r="202" spans="13:13" x14ac:dyDescent="0.25">
      <c r="M202" s="22"/>
    </row>
    <row r="203" spans="13:13" x14ac:dyDescent="0.25">
      <c r="M203" s="22"/>
    </row>
    <row r="204" spans="13:13" x14ac:dyDescent="0.25">
      <c r="M204" s="22"/>
    </row>
    <row r="205" spans="13:13" x14ac:dyDescent="0.25">
      <c r="M205" s="22"/>
    </row>
    <row r="206" spans="13:13" x14ac:dyDescent="0.25">
      <c r="M206" s="22"/>
    </row>
    <row r="207" spans="13:13" x14ac:dyDescent="0.25">
      <c r="M207" s="22"/>
    </row>
    <row r="208" spans="13:13" x14ac:dyDescent="0.25">
      <c r="M208" s="22"/>
    </row>
    <row r="209" spans="13:13" x14ac:dyDescent="0.25">
      <c r="M209" s="22"/>
    </row>
    <row r="210" spans="13:13" x14ac:dyDescent="0.25">
      <c r="M210" s="22"/>
    </row>
    <row r="211" spans="13:13" x14ac:dyDescent="0.25">
      <c r="M211" s="22"/>
    </row>
    <row r="212" spans="13:13" x14ac:dyDescent="0.25">
      <c r="M212" s="22"/>
    </row>
    <row r="213" spans="13:13" x14ac:dyDescent="0.25">
      <c r="M213" s="22"/>
    </row>
    <row r="214" spans="13:13" x14ac:dyDescent="0.25">
      <c r="M214" s="22"/>
    </row>
    <row r="215" spans="13:13" x14ac:dyDescent="0.25">
      <c r="M215" s="22"/>
    </row>
    <row r="216" spans="13:13" x14ac:dyDescent="0.25">
      <c r="M216" s="22"/>
    </row>
    <row r="217" spans="13:13" x14ac:dyDescent="0.25">
      <c r="M217" s="22"/>
    </row>
    <row r="218" spans="13:13" x14ac:dyDescent="0.25">
      <c r="M218" s="22"/>
    </row>
    <row r="219" spans="13:13" x14ac:dyDescent="0.25">
      <c r="M219" s="22"/>
    </row>
    <row r="220" spans="13:13" x14ac:dyDescent="0.25">
      <c r="M220" s="22"/>
    </row>
    <row r="221" spans="13:13" x14ac:dyDescent="0.25">
      <c r="M221" s="22"/>
    </row>
    <row r="222" spans="13:13" x14ac:dyDescent="0.25">
      <c r="M222" s="22"/>
    </row>
    <row r="223" spans="13:13" x14ac:dyDescent="0.25">
      <c r="M223" s="22"/>
    </row>
    <row r="224" spans="13:13" x14ac:dyDescent="0.25">
      <c r="M224" s="22"/>
    </row>
    <row r="225" spans="13:13" x14ac:dyDescent="0.25">
      <c r="M225" s="22"/>
    </row>
    <row r="226" spans="13:13" x14ac:dyDescent="0.25">
      <c r="M226" s="22"/>
    </row>
    <row r="227" spans="13:13" x14ac:dyDescent="0.25">
      <c r="M227" s="22"/>
    </row>
    <row r="228" spans="13:13" x14ac:dyDescent="0.25">
      <c r="M228" s="22"/>
    </row>
    <row r="229" spans="13:13" x14ac:dyDescent="0.25">
      <c r="M229" s="22"/>
    </row>
    <row r="230" spans="13:13" x14ac:dyDescent="0.25">
      <c r="M230" s="22"/>
    </row>
    <row r="231" spans="13:13" x14ac:dyDescent="0.25">
      <c r="M231" s="22"/>
    </row>
    <row r="232" spans="13:13" x14ac:dyDescent="0.25">
      <c r="M232" s="22"/>
    </row>
    <row r="233" spans="13:13" x14ac:dyDescent="0.25">
      <c r="M233" s="22"/>
    </row>
    <row r="234" spans="13:13" x14ac:dyDescent="0.25">
      <c r="M234" s="22"/>
    </row>
    <row r="235" spans="13:13" x14ac:dyDescent="0.25">
      <c r="M235" s="22"/>
    </row>
    <row r="236" spans="13:13" x14ac:dyDescent="0.25">
      <c r="M236" s="22"/>
    </row>
    <row r="237" spans="13:13" x14ac:dyDescent="0.25">
      <c r="M237" s="22"/>
    </row>
    <row r="238" spans="13:13" x14ac:dyDescent="0.25">
      <c r="M238" s="22"/>
    </row>
    <row r="239" spans="13:13" x14ac:dyDescent="0.25">
      <c r="M239" s="22"/>
    </row>
    <row r="240" spans="13:13" x14ac:dyDescent="0.25">
      <c r="M240" s="22"/>
    </row>
    <row r="241" spans="13:13" x14ac:dyDescent="0.25">
      <c r="M241" s="22"/>
    </row>
    <row r="242" spans="13:13" x14ac:dyDescent="0.25">
      <c r="M242" s="22"/>
    </row>
    <row r="243" spans="13:13" x14ac:dyDescent="0.25">
      <c r="M243" s="22"/>
    </row>
    <row r="244" spans="13:13" x14ac:dyDescent="0.25">
      <c r="M244" s="22"/>
    </row>
    <row r="245" spans="13:13" x14ac:dyDescent="0.25">
      <c r="M245" s="22"/>
    </row>
    <row r="246" spans="13:13" x14ac:dyDescent="0.25">
      <c r="M246" s="22"/>
    </row>
    <row r="247" spans="13:13" x14ac:dyDescent="0.25">
      <c r="M247" s="22"/>
    </row>
    <row r="248" spans="13:13" x14ac:dyDescent="0.25">
      <c r="M248" s="22"/>
    </row>
    <row r="249" spans="13:13" x14ac:dyDescent="0.25">
      <c r="M249" s="22"/>
    </row>
    <row r="250" spans="13:13" x14ac:dyDescent="0.25">
      <c r="M250" s="22"/>
    </row>
    <row r="251" spans="13:13" x14ac:dyDescent="0.25">
      <c r="M251" s="22"/>
    </row>
    <row r="252" spans="13:13" x14ac:dyDescent="0.25">
      <c r="M252" s="22"/>
    </row>
    <row r="253" spans="13:13" x14ac:dyDescent="0.25">
      <c r="M253" s="22"/>
    </row>
    <row r="254" spans="13:13" x14ac:dyDescent="0.25">
      <c r="M254" s="22"/>
    </row>
    <row r="255" spans="13:13" x14ac:dyDescent="0.25">
      <c r="M255" s="22"/>
    </row>
    <row r="256" spans="13:13" x14ac:dyDescent="0.25">
      <c r="M256" s="22"/>
    </row>
    <row r="257" spans="13:13" x14ac:dyDescent="0.25">
      <c r="M257" s="22"/>
    </row>
    <row r="258" spans="13:13" x14ac:dyDescent="0.25">
      <c r="M258" s="22"/>
    </row>
    <row r="259" spans="13:13" x14ac:dyDescent="0.25">
      <c r="M259" s="22"/>
    </row>
    <row r="260" spans="13:13" x14ac:dyDescent="0.25">
      <c r="M260" s="22"/>
    </row>
    <row r="261" spans="13:13" x14ac:dyDescent="0.25">
      <c r="M261" s="22"/>
    </row>
    <row r="262" spans="13:13" x14ac:dyDescent="0.25">
      <c r="M262" s="22"/>
    </row>
    <row r="263" spans="13:13" x14ac:dyDescent="0.25">
      <c r="M263" s="22"/>
    </row>
    <row r="264" spans="13:13" x14ac:dyDescent="0.25">
      <c r="M264" s="22"/>
    </row>
    <row r="265" spans="13:13" x14ac:dyDescent="0.25">
      <c r="M265" s="22"/>
    </row>
    <row r="266" spans="13:13" x14ac:dyDescent="0.25">
      <c r="M266" s="22"/>
    </row>
    <row r="267" spans="13:13" x14ac:dyDescent="0.25">
      <c r="M267" s="22"/>
    </row>
    <row r="268" spans="13:13" x14ac:dyDescent="0.25">
      <c r="M268" s="22"/>
    </row>
    <row r="269" spans="13:13" x14ac:dyDescent="0.25">
      <c r="M269" s="22"/>
    </row>
    <row r="270" spans="13:13" x14ac:dyDescent="0.25">
      <c r="M270" s="22"/>
    </row>
    <row r="271" spans="13:13" x14ac:dyDescent="0.25">
      <c r="M271" s="22"/>
    </row>
    <row r="272" spans="13:13" x14ac:dyDescent="0.25">
      <c r="M272" s="22"/>
    </row>
    <row r="273" spans="13:13" x14ac:dyDescent="0.25">
      <c r="M273" s="22"/>
    </row>
    <row r="274" spans="13:13" x14ac:dyDescent="0.25">
      <c r="M274" s="22"/>
    </row>
    <row r="275" spans="13:13" x14ac:dyDescent="0.25">
      <c r="M275" s="22"/>
    </row>
    <row r="276" spans="13:13" x14ac:dyDescent="0.25">
      <c r="M276" s="22"/>
    </row>
    <row r="277" spans="13:13" x14ac:dyDescent="0.25">
      <c r="M277" s="22"/>
    </row>
    <row r="278" spans="13:13" x14ac:dyDescent="0.25">
      <c r="M278" s="22"/>
    </row>
    <row r="279" spans="13:13" x14ac:dyDescent="0.25">
      <c r="M279" s="22"/>
    </row>
    <row r="280" spans="13:13" x14ac:dyDescent="0.25">
      <c r="M280" s="22"/>
    </row>
    <row r="281" spans="13:13" x14ac:dyDescent="0.25">
      <c r="M281" s="22"/>
    </row>
    <row r="282" spans="13:13" x14ac:dyDescent="0.25">
      <c r="M282" s="22"/>
    </row>
    <row r="283" spans="13:13" x14ac:dyDescent="0.25">
      <c r="M283" s="22"/>
    </row>
    <row r="284" spans="13:13" x14ac:dyDescent="0.25">
      <c r="M284" s="22"/>
    </row>
    <row r="285" spans="13:13" x14ac:dyDescent="0.25">
      <c r="M285" s="22"/>
    </row>
    <row r="286" spans="13:13" x14ac:dyDescent="0.25">
      <c r="M286" s="22"/>
    </row>
    <row r="287" spans="13:13" x14ac:dyDescent="0.25">
      <c r="M287" s="22"/>
    </row>
    <row r="288" spans="13:13" x14ac:dyDescent="0.25">
      <c r="M288" s="22"/>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F5C8-4326-4B87-AF98-B62783E0FF5C}">
  <dimension ref="A1:BY250"/>
  <sheetViews>
    <sheetView showGridLines="0" zoomScale="85" zoomScaleNormal="85" workbookViewId="0">
      <selection activeCell="A2" sqref="A2:A2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57</v>
      </c>
    </row>
    <row r="2" spans="1:65" s="9" customFormat="1" ht="20.100000000000001" customHeight="1" x14ac:dyDescent="0.25"/>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s="16"/>
      <c r="D6" s="35" t="s">
        <v>12</v>
      </c>
      <c r="E6" s="35" t="s">
        <v>13</v>
      </c>
      <c r="F6" s="35" t="s">
        <v>14</v>
      </c>
    </row>
    <row r="7" spans="1:65" ht="20.100000000000001" customHeight="1" x14ac:dyDescent="0.25">
      <c r="A7" s="20" t="s">
        <v>3</v>
      </c>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HYPERLINK("#'Input - Site'!A1", "Site")</f>
        <v>Site</v>
      </c>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Other Livestock'!A1", "Other Livestock")</f>
        <v>Other Livestock</v>
      </c>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s="17"/>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s="19" t="s">
        <v>56</v>
      </c>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s="17" t="str">
        <f>HYPERLINK("#'3.6.1.1-2 Enteric Methane'!A1", "3.6.1.1-2 Enteric Methane")</f>
        <v>3.6.1.1-2 Enteric Methane</v>
      </c>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s="18" t="s">
        <v>4</v>
      </c>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HYPERLINK("#'Constants - Other Livestock'!A1", "Constants - Other Livestock")</f>
        <v>Constants - Other Livestock</v>
      </c>
    </row>
    <row r="16" spans="1:65" ht="20.100000000000001" customHeight="1" x14ac:dyDescent="0.25">
      <c r="A16" s="17" t="str">
        <f>HYPERLINK("#'Constants - Common'!A1", "Constants - Common")</f>
        <v>Constants - Common</v>
      </c>
    </row>
    <row r="17" spans="1:4" ht="20.100000000000001" customHeight="1" x14ac:dyDescent="0.25">
      <c r="A17" s="17" t="str">
        <f>HYPERLINK("#'Acknowledgements'!A1", "Acknowledgements")</f>
        <v>Acknowledgements</v>
      </c>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15</v>
      </c>
    </row>
    <row r="21" spans="1:4" ht="20.100000000000001" customHeight="1" x14ac:dyDescent="0.25">
      <c r="A21" s="17"/>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17</v>
      </c>
      <c r="E36" s="35" t="s">
        <v>18</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17</v>
      </c>
      <c r="E47" s="35" t="s">
        <v>20</v>
      </c>
      <c r="F47" s="35" t="s">
        <v>21</v>
      </c>
      <c r="G47" s="35" t="s">
        <v>22</v>
      </c>
      <c r="H47" s="35" t="s">
        <v>23</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1" t="str" cm="1">
        <f t="array" ref="D59:D61">"⚠️" &amp; Common_SourceData.Common_SourceData_WetAndDryZones_Variation()</f>
        <v>⚠️VARIATION OF SOURCE DATA:</v>
      </c>
    </row>
    <row r="60" spans="4:8" ht="20.100000000000001" customHeight="1" x14ac:dyDescent="0.25">
      <c r="D60" s="51" t="str">
        <v>⚠️Added warm / cool temperate moist / dry - low frost and high temp classes to accommodate climate scenarios excluded by VEERG criteria.</v>
      </c>
    </row>
    <row r="61" spans="4:8" ht="20.100000000000001" customHeight="1" x14ac:dyDescent="0.25">
      <c r="D61" s="51" t="str">
        <v>⚠️Fixed typo - Changed 'Fry' to 'Dry'.</v>
      </c>
    </row>
    <row r="62" spans="4:8" ht="20.100000000000001" customHeight="1" x14ac:dyDescent="0.25"/>
    <row r="63" spans="4:8" ht="20.100000000000001" customHeight="1" x14ac:dyDescent="0.25">
      <c r="D63" s="35" t="s">
        <v>8</v>
      </c>
      <c r="E63" s="35" t="s">
        <v>37</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1" t="str" cm="1">
        <f t="array" ref="D83:D87">"⚠️" &amp; Common_SourceData.Common_SourceData_ClimateZones_Variation()</f>
        <v>⚠️VARIATION OF SOURCE DATA:</v>
      </c>
    </row>
    <row r="84" spans="4:20" ht="20.100000000000001" customHeight="1" x14ac:dyDescent="0.25">
      <c r="D84" s="51" t="str">
        <v>⚠️Added warm / cool temperate moist / dry - low frost and high temp classes to accommodate climate scenarios excluded by VEERG criteria.</v>
      </c>
    </row>
    <row r="85" spans="4:20" ht="20.100000000000001" customHeight="1" x14ac:dyDescent="0.25">
      <c r="D85" s="51" t="str">
        <v>⚠️Fixed typo in MAT value for warm temperate dry - changed 10 to 11.</v>
      </c>
    </row>
    <row r="86" spans="4:20" ht="20.100000000000001" customHeight="1" x14ac:dyDescent="0.25">
      <c r="D86" s="51" t="str">
        <v>⚠️Added min and max columns for MAT, MAP, frost days per year, elevation, MAP:PET to calculate zones from real climate data.</v>
      </c>
    </row>
    <row r="87" spans="4:20" ht="20.100000000000001" customHeight="1" x14ac:dyDescent="0.25">
      <c r="D87" s="51" t="str">
        <v>⚠️GAF accepts rainfall as a proxy for precipitation.</v>
      </c>
    </row>
    <row r="88" spans="4:20" ht="20.100000000000001" customHeight="1" x14ac:dyDescent="0.25"/>
    <row r="89" spans="4:20" ht="20.100000000000001" customHeight="1" x14ac:dyDescent="0.25">
      <c r="D89" s="35" t="s">
        <v>8</v>
      </c>
      <c r="E89" s="35" t="s">
        <v>25</v>
      </c>
      <c r="F89" s="35" t="s">
        <v>26</v>
      </c>
      <c r="G89" s="35" t="s">
        <v>27</v>
      </c>
      <c r="H89" s="35" t="s">
        <v>28</v>
      </c>
      <c r="I89" s="35" t="s">
        <v>29</v>
      </c>
      <c r="J89" s="35" t="s">
        <v>30</v>
      </c>
      <c r="K89" s="35" t="s">
        <v>31</v>
      </c>
      <c r="L89" s="35" t="s">
        <v>32</v>
      </c>
      <c r="M89" s="35" t="s">
        <v>33</v>
      </c>
      <c r="N89" s="35" t="s">
        <v>34</v>
      </c>
      <c r="O89" s="35" t="s">
        <v>38</v>
      </c>
      <c r="P89" s="35" t="s">
        <v>35</v>
      </c>
      <c r="Q89" s="35" t="s">
        <v>39</v>
      </c>
      <c r="R89" s="35" t="s">
        <v>36</v>
      </c>
      <c r="S89" s="35" t="s">
        <v>40</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c r="D98" s="50" t="str" cm="1">
        <f t="array" ref="D98:D101">Common_SourceData.Common_SourceData_ClimateZones_Appendices()</f>
        <v>Note:</v>
      </c>
    </row>
    <row r="99" spans="4:20" ht="20.100000000000001" customHeight="1" x14ac:dyDescent="0.25">
      <c r="D99" s="50" t="str">
        <v>MAT = mean annual temperature</v>
      </c>
    </row>
    <row r="100" spans="4:20" ht="20.100000000000001" customHeight="1" x14ac:dyDescent="0.25">
      <c r="D100" s="50" t="str">
        <v>MAP = mean annual precipitation</v>
      </c>
    </row>
    <row r="101" spans="4:20" ht="20.100000000000001" customHeight="1" x14ac:dyDescent="0.25">
      <c r="D101" s="50" t="str">
        <v>PET = potential evapotranspiration</v>
      </c>
    </row>
    <row r="102" spans="4:20" ht="20.100000000000001" customHeight="1" x14ac:dyDescent="0.25">
      <c r="D102" s="50"/>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42</v>
      </c>
      <c r="E109" s="35" t="s">
        <v>25</v>
      </c>
      <c r="F109" s="35" t="s">
        <v>43</v>
      </c>
      <c r="G109" s="35" t="s">
        <v>44</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1"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45</v>
      </c>
      <c r="E119" s="35" t="s">
        <v>46</v>
      </c>
      <c r="F119" s="35" t="s">
        <v>32</v>
      </c>
      <c r="G119" s="35" t="s">
        <v>33</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47</v>
      </c>
      <c r="E127" s="35" t="s">
        <v>48</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61</v>
      </c>
      <c r="E134" t="s">
        <v>62</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76</v>
      </c>
      <c r="E142" s="35" t="s">
        <v>62</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49</v>
      </c>
      <c r="E153" s="35" t="s">
        <v>50</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5" t="s">
        <v>69</v>
      </c>
      <c r="E186" s="35" t="s">
        <v>70</v>
      </c>
      <c r="F186" s="35" t="s">
        <v>71</v>
      </c>
      <c r="G186" s="35" t="s">
        <v>72</v>
      </c>
      <c r="H186" s="35" t="s">
        <v>24</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5" t="s">
        <v>8</v>
      </c>
      <c r="E206" s="35" t="s">
        <v>77</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78</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41</v>
      </c>
      <c r="E231" s="35" t="s">
        <v>87</v>
      </c>
      <c r="F231" s="34" t="s">
        <v>88</v>
      </c>
      <c r="G231" s="35" t="s">
        <v>89</v>
      </c>
      <c r="H231" s="35" t="s">
        <v>90</v>
      </c>
      <c r="I231" s="35" t="s">
        <v>91</v>
      </c>
      <c r="J231" s="35" t="s">
        <v>92</v>
      </c>
      <c r="K231" s="35" t="s">
        <v>93</v>
      </c>
      <c r="L231" s="35" t="s">
        <v>94</v>
      </c>
      <c r="M231" s="35" t="s">
        <v>95</v>
      </c>
      <c r="N231" s="35" t="s">
        <v>96</v>
      </c>
      <c r="O231" s="35" t="s">
        <v>97</v>
      </c>
      <c r="P231" s="35" t="s">
        <v>98</v>
      </c>
      <c r="Q231" s="35" t="s">
        <v>86</v>
      </c>
      <c r="R231" s="35" t="s">
        <v>99</v>
      </c>
      <c r="S231" s="35" t="s">
        <v>100</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election activeCell="L45" sqref="L45"/>
    </sheetView>
  </sheetViews>
  <sheetFormatPr defaultRowHeight="15" x14ac:dyDescent="0.25"/>
  <sheetData>
    <row r="1" spans="1:1" x14ac:dyDescent="0.25">
      <c r="A1" t="s">
        <v>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56" t="s">
        <v>58</v>
      </c>
    </row>
    <row r="17" spans="1:1" ht="20.100000000000001" customHeight="1" x14ac:dyDescent="0.25">
      <c r="A17" s="56" t="s">
        <v>54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56</v>
      </c>
    </row>
    <row r="22" spans="1:1" ht="20.100000000000001" customHeight="1" x14ac:dyDescent="0.25">
      <c r="A22" s="56" t="s">
        <v>1</v>
      </c>
    </row>
    <row r="23" spans="1:1" ht="20.100000000000001" customHeight="1" x14ac:dyDescent="0.25">
      <c r="A23" s="56" t="s">
        <v>55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56" t="s">
        <v>58</v>
      </c>
    </row>
    <row r="32" spans="1:1" ht="20.100000000000001" customHeight="1" x14ac:dyDescent="0.25">
      <c r="A32" s="56" t="s">
        <v>54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56" t="s">
        <v>2</v>
      </c>
    </row>
    <row r="41" spans="1:1" ht="20.100000000000001" customHeight="1" x14ac:dyDescent="0.25">
      <c r="A41" s="42"/>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AiAH0ALAB7ACIAcABhAHQAaAAiADoAIgAvAHAAcgBvAGoAZQBjAHQAcwAvAEUAbgB0AGUAcgBpAGMATQBlAHQAaABhAG4AZQBfAE8AdABoAGUAcgBMAGkAdgBlAHMAdABvAGMAawBfAEUAcQB1AGEAdABpAG8AbgBzACIALAAiAHQAZQB4AHQAIgA6ACIALwAqAFwAbgA9AD0APQA9AD0APQA9AD0APQA9AD0APQA9AD0APQA9AD0APQA9AD0APQA9AD0APQA9AD0APQA9AD0APQA9AD0APQA9AD0APQA9AD0APQA9AD0APQA9AD0APQA9AD0APQA9AD0APQA9AD0APQA9AD0APQA9AD0APQA9AD0APQA9AD0APQA9AD0APQA9AD0APQA9AD0APQA9AFwAbgAzAC4ANgA6ACAARQBuAHQAZQByAGkAYwAgAE0AZQB0AGgAYQBuAGUAIAAtACAATwB0AGgAZQByACAATABpAHYAZQBzAHQAbwBjAGsAXABuAD0APQA9AD0APQA9AD0APQA9AD0APQA9AD0APQA9AD0APQA9AD0APQA9AD0APQA9AD0APQA9AD0APQA9AD0APQA9AD0APQA9AD0APQA9AD0APQA9AD0APQA9AD0APQA9AD0APQA9AD0APQA9AD0APQA9AD0APQA9AD0APQA9AD0APQA9AD0APQA9AD0APQA9AD0APQA9AD0AXABuADMALgA2AC4AMQAuADEAIABNAGUAdABoAG8AZAAgADEAIAAtACAARQBuAHQAZQByAGkAY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YAXwAxAF8AMQBfAF8AMQBfAFQAbwB0AGEAbABBAG4AbgB1AGEAbABNAGUAdABoAGEAbgBlAEYAcgBvAG0ARQBuAHQAZQByAGkAYwBGAGUAcgBtAGUAbgB0AGEAdABpAG8AbgBPAHQAaABlAHIATABpAHYAZQBzAHQAbwBjAGsAXABuAFQAbwB0AGEAbAAgAGEAbgBuAHUAYQBsACAAbQBlAHQAaABhAG4AZQAgAHAAcgBvAGQAdQBjAHQAaQBvAG4AIABmAHIAbwBtACAAZQBuAHQAZQByAGkAYwAgAGYAZQByAG0AZQBuAHQAYQB0AGkAbwBuACAAaQBuACAAbwB0AGgAZQByACAAbABpAHYAZQBzAHQAbwBjAGsAXABuAEUAXwBlAG4AdABlAHIAaQBjAFwAbgB0ACAAQwBIADQAXABuAEUAXwB7AGUAbgB0AGUAcgBpAGMAfQA9AFwAXABzAHUAbQBfAGoAKABOAF8AagBcAFwAdABpAG0AZQBzACAATQBfAGoAKQBcAFwAdABpAG0AZQBzACAAMQAwAF4AewAtADMAfQBcAG4ATgBfAGoAIAA9ACAAbgB1AG0AYgBlAHIAIABvAGYAIABsAGkAdgBlAHMAdABvAGMAawAgAG8AZgAgAGUAYQBjAGgAIABsAGkAdgBlAHMAdABvAGMAawAgAHQAeQBwAGUAIABqACAAKABoAGUAYQBkACkAXABuAE0AXwBqACAAPQAgAGUAbgB0AGUAcgBpAGMAIABmAGUAcgBtAGUAbgB0AGEAdABpAG8AbgAgAGUAbQBpAHMAcwBpAG8AbgAgAGYAYQBjAHQAbwByACAAKABrAGcAIABDAEgANAAvAGgAZQBhAGQALwB5AGUAYQByACkAXABuAC0ALQAtAC0ALQAtAC0ALQAtAC0ALQAtAC0ALQAtAC0ALQAtAC0ALQAtAC0ALQAtAC0ALQAtAC0ALQAtAC0ALQAtAC0ALQAtAC0ALQBcAG4AKgAvAFwAbgBcAG4AVgBFAEUAUgBHAF8AMwBfADYAXwAxAF8AMQBfAF8AMQBfAFQAbwB0AGEAbABBAG4AbgB1AGEAbABNAGUAdABoAGEAbgBlAEYAcgBvAG0ARQBuAHQAZQByAGkAYwBGAGUAcgBtAGUAbgB0AGEAdABpAG8AbgBPAHQAaABlAHIATABpAHYAZQBzAHQAbwBjAGsAXABuACAAIAA9AEwAQQBNAEIARABBACgAXABuACAAIAAgACAATgBfAGoALAAgAE0AXwBqACwAXABuACAAIAAgACAAUwBVAE0AKABOAF8AagAgACoAIABNAF8AagApACAAKgAgADEAMAAgAF4AIAAtADMAXABuACAAIAApADsAXABuAFwAbgBWAEUARQBSAEcAXwAzAF8ANgBfADEAXwAxAF8AXwAxAF8AVABvAHQAYQBsAEEAbgBuAHUAYQBsAE0AZQB0AGgAYQBuAGUARgByAG8AbQBFAG4AdABlAHIAaQBjAEYAZQByAG0AZQBuAHQAYQB0AGkAbwBuAE8AdABoAGUAcgBMAGkAdgBlAHMAdABvAGMAawBfAFQAaQB0AGwAZQBcAG4AIAAgAD0ATABBAE0AQgBEAEEAKABcACIAVABvAHQAYQBsACAAYQBuAG4AdQBhAGwAIABtAGUAdABoAGEAbgBlACAAcAByAG8AZAB1AGMAdABpAG8AbgAgAGYAcgBvAG0AIABlAG4AdABlAHIAaQBjACAAZgBlAHIAbQBlAG4AdABhAHQAaQBvAG4AIABpAG4AIABvAHQAaABlAHIAIABsAGkAdgBlAHMAdABvAGMAawBcACIAKQA7AFwAbgBcAG4AVgBFAEUAUgBHAF8AMwBfADYAXwAxAF8AMQBfAF8AMQBfAFQAbwB0AGEAbABBAG4AbgB1AGEAbABNAGUAdABoAGEAbgBlAEYAcgBvAG0ARQBuAHQAZQByAGkAYwBGAGUAcgBtAGUAbgB0AGEAdABpAG8AbgBPAHQAaABlAHIATABpAHYAZQBzAHQAbwBjAGsAXwBWAGEAcgBpAGEAYgBsAGUAXABuACAAIAA9AEwAQQBNAEIARABBACgAXAAiAEUAXwBlAG4AdABlAHIAaQBjAFwAIgApADsAXABuAFwAbgBWAEUARQBSAEcAXwAzAF8ANgBfADEAXwAxAF8AXwAxAF8AVABvAHQAYQBsAEEAbgBuAHUAYQBsAE0AZQB0AGgAYQBuAGUARgByAG8AbQBFAG4AdABlAHIAaQBjAEYAZQByAG0AZQBuAHQAYQB0AGkAbwBuAE8AdABoAGUAcgBMAGkAdgBlAHMAdABvAGMAawBfAFUAbgBpAHQAXABuACAAIAA9AEwAQQBNAEIARABBACgAXAAiAHQAIABDAEgANABcACIAKQA7AFwAbgBcAG4AVgBFAEUAUgBHAF8AMwBfADYAXwAxAF8AMQBfAF8AMQBfAFQAbwB0AGEAbABBAG4AbgB1AGEAbABNAGUAdABoAGEAbgBlAEYAcgBvAG0ARQBuAHQAZQByAGkAYwBGAGUAcgBtAGUAbgB0AGEAdABpAG8AbgBPAHQAaABlAHIATABpAHYAZQBzAHQAbwBjAGsAXwBTAG8AdQByAGMAZQBcAG4AIAAgAD0ATABBAE0AQgBEAEEAKABcACIAVgBFAEUAUgBHACAAMgAwADIANgA6ACAAMwAuADYALgAxAC4AMQAsACAARQBxAHUAYQB0AGkAbwBuACAAKAAxACkAXAAiACkAOwBcAG4AXABuAFYARQBFAFIARwBfADMAXwA2AF8AMQBfADEAXwBfADEAXwBUAG8AdABhAGwAQQBuAG4AdQBhAGwATQBlAHQAaABhAG4AZQBGAHIAbwBtAEUAbgB0AGUAcgBpAGMARgBlAHIAbQBlAG4AdABhAHQAaQBvAG4ATwB0AGgAZQByAEwAaQB2AGUAcwB0AG8AYwBrAF8ATgBJAFIAUgBlAGYAZQByAGUAbgBjAGUAXABuACAAIAA9AEwAQQBNAEIARABBACgAXAAiAFwAIgApADsAXABuAFwAbgBWAEUARQBSAEcAXwAzAF8ANgBfADEAXwAxAF8AXwAxAF8AVABvAHQAYQBsAEEAbgBuAHUAYQBsAE0AZQB0AGgAYQBuAGUARgByAG8AbQBFAG4AdABlAHIAaQBjAEYAZQByAG0AZQBuAHQAYQB0AGkAbwBuAE8AdABoAGUAcgBMAGkAdgBlAHMAdABvAGMAawBfAEwAYQB0AGUAeABFAHEAdQBhAHQAaQBvAG4AXABuACAAIAA9AEwAQQBNAEIARABBACgAXAAiAEUAXwB7AGUAbgB0AGUAcgBpAGMAfQA9AFwAXABzAHUAbQBfAGoAKABOAF8AagBcAFwAdABpAG0AZQBzACAATQBfAGoAKQBcAFwAdABpAG0AZQBzACAAMQAwAF4AewAtADMAfQBcACIAKQA7AFwAbgBcAG4AVgBFAEUAUgBHAF8AMwBfADYAXwAxAF8AMQBfAF8AMQBfAFQAbwB0AGEAbABBAG4AbgB1AGEAbABNAGUAdABoAGEAbgBlAEYAcgBvAG0ARQBuAHQAZQByAGkAYwBGAGUAcgBtAGUAbgB0AGEAdABpAG8AbgBPAHQAaABlAHIATABpAHYAZQBzAHQAbwBjAGs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sAGkAdgBlAHMAdABvAGMAawAgAG8AZgAgAGUAYQBjAGgAIABsAGkAdgBlAHMAdABvAGMAawAgAHQAeQBwAGUAIABqAFwAIgAsACAAXAAiAGgAZQBhAGQAXAAiACwAIABcACIASQBuAHAAdQB0AFwAIgA7AFwAbgAgACAAIAAgACAAIAAgACAAIAAgAFwAIgBNAF8AagBcACIALAAgAFwAIgBlAG4AdABlAHIAaQBjACAAZgBlAHIAbQBlAG4AdABhAHQAaQBvAG4AIABlAG0AaQBzAHMAaQBvAG4AIABmAGEAYwB0AG8AcgBcACIALAAgAFwAIgBrAGcAIABDAEgANAAvAGgAZQBhAGQALwB5AGUAYQByAFwAIgAsACAAXAAiAEMAbwBuAHMAdABhAG4AdABcACIAOwBcAG4AIAAgACAAIAAgACAAIAAgACAAIABcACIAagBcACIALAAgAFwAIgBsAGkAdgBlAHMAdABvAGMAawAgAHQAeQBwAGU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ABpAHQ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WAGEAcgBpAGEAYgBs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UAbgBpAHQ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MAbwB1AHIAYw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OAEkAUgBSAGUAZgBlAHIAZQBu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ABhAHQAZQB4AEUAcQB1AGEAdABpAG8Abg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2026-05-20T23:47:27Z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