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81702B8-4F57-49AC-B39F-97B65B3C9083}" xr6:coauthVersionLast="47" xr6:coauthVersionMax="47" xr10:uidLastSave="{00000000-0000-0000-0000-000000000000}"/>
  <bookViews>
    <workbookView xWindow="1350" yWindow="360" windowWidth="36255" windowHeight="19140" firstSheet="1" activeTab="5"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102" r:id="rId8"/>
    <sheet name="Acknowledgements" sheetId="72" r:id="rId9"/>
    <sheet name="Tab template" sheetId="74"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_xlfn.LAMBDA(_xlfn.MAKEARRAY(9, 3, _xlfn.LAMBDA(_xlpm.r,_xlpm.c, INDEX({"State","Pasture range and paddock","Uncovered Anaerobic lagoon";"ACT",0.0047,0.71;"NSW",0.0047,0.75;"NT",0.0047,0.8;"QLD",0.0047,0.78;"SA",0.0047,0.74;"TAS",0.0047,0.7;"VIC",0.0047,0.74;"WA",0.0047,0.76}, _xlpm.r, _xlpm.c))))</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NitrogenExcreted_Data">_xlfn.LAMBDA(_xlfn.MAKEARRAY(9, 2, _xlfn.LAMBDA(_xlpm.r,_xlpm.c, INDEX({"Other Livestock Type","NEj";"Buffalo",39.5;"Goats",7;"Deer",13.2;"Camels",39.5;"Alpacas",7;"Horses",39.5;"Mules/asses",13.2;"Emus/ostriches",7}, _xlpm.r, _xlpm.c))))</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 name="X_Cell_OtherLivestock_Others_Alpacas_Head">'Input - Other Livestock'!$F$26</definedName>
    <definedName name="X_Cell_OtherLivestock_Others_Camels_Head">'Input - Other Livestock'!$E$26</definedName>
    <definedName name="X_Cell_OtherLivestock_Others_Emus_Head">'Input - Other Livestock'!$I$26</definedName>
    <definedName name="X_Cell_OtherLivestock_Others_Horses_Head">'Input - Other Livestock'!$G$26</definedName>
    <definedName name="X_Cell_OtherLivestock_Others_Mules_Head">'Input - Other Livestock'!$H$26</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OtherLivestock_Buffalo_Head">'Input - Other Livestock'!$D$7:$H$8</definedName>
    <definedName name="X_Table_OtherLivestock_Deer_Head">'Input - Other Livestock'!$D$19:$H$20</definedName>
    <definedName name="X_Table_OtherLivestock_Goats_Head">'Input - Other Livestock'!$D$13:$J$14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1" i="69" l="1"/>
  <c r="E26" i="69"/>
  <c r="E25" i="69"/>
  <c r="E24" i="69"/>
  <c r="E23" i="69"/>
  <c r="E22" i="69"/>
  <c r="E21" i="69"/>
  <c r="E20" i="69"/>
  <c r="E19" i="69"/>
  <c r="E259" i="102" a="1"/>
  <c r="E259" i="102" s="1"/>
  <c r="D259" i="102" a="1"/>
  <c r="D259" i="102" s="1"/>
  <c r="E258" i="102" a="1"/>
  <c r="E258" i="102" s="1"/>
  <c r="D258" i="102" a="1"/>
  <c r="D258" i="102" s="1"/>
  <c r="D256" i="102" a="1"/>
  <c r="D256" i="102" s="1"/>
  <c r="D255" i="102" a="1"/>
  <c r="D255" i="102" s="1"/>
  <c r="D254" i="102" a="1"/>
  <c r="D254" i="102" s="1"/>
  <c r="D253" i="102" a="1"/>
  <c r="D253" i="102" s="1"/>
  <c r="S250" i="102" a="1"/>
  <c r="S250" i="102" s="1"/>
  <c r="R250" i="102" a="1"/>
  <c r="R250" i="102" s="1"/>
  <c r="Q250" i="102" a="1"/>
  <c r="Q250" i="102" s="1"/>
  <c r="P250" i="102" a="1"/>
  <c r="P250" i="102" s="1"/>
  <c r="O250" i="102" a="1"/>
  <c r="O250" i="102" s="1"/>
  <c r="N250" i="102" a="1"/>
  <c r="N250" i="102" s="1"/>
  <c r="M250" i="102" a="1"/>
  <c r="M250" i="102" s="1"/>
  <c r="L250" i="102" a="1"/>
  <c r="L250" i="102" s="1"/>
  <c r="K250" i="102" a="1"/>
  <c r="K250" i="102" s="1"/>
  <c r="J250" i="102" a="1"/>
  <c r="J250" i="102" s="1"/>
  <c r="I250" i="102" a="1"/>
  <c r="I250" i="102" s="1"/>
  <c r="H250" i="102" a="1"/>
  <c r="H250" i="102" s="1"/>
  <c r="G250" i="102" a="1"/>
  <c r="G250" i="102" s="1"/>
  <c r="F250" i="102" a="1"/>
  <c r="F250" i="102" s="1"/>
  <c r="E250" i="102" a="1"/>
  <c r="E250" i="102" s="1"/>
  <c r="D250" i="102" a="1"/>
  <c r="D250" i="102" s="1"/>
  <c r="S249" i="102" a="1"/>
  <c r="S249" i="102" s="1"/>
  <c r="R249" i="102" a="1"/>
  <c r="R249" i="102" s="1"/>
  <c r="Q249" i="102" a="1"/>
  <c r="Q249" i="102" s="1"/>
  <c r="P249" i="102" a="1"/>
  <c r="P249" i="102" s="1"/>
  <c r="O249" i="102" a="1"/>
  <c r="O249" i="102" s="1"/>
  <c r="N249" i="102" a="1"/>
  <c r="N249" i="102" s="1"/>
  <c r="M249" i="102" a="1"/>
  <c r="M249" i="102" s="1"/>
  <c r="L249" i="102" a="1"/>
  <c r="L249" i="102" s="1"/>
  <c r="K249" i="102" a="1"/>
  <c r="K249" i="102" s="1"/>
  <c r="J249" i="102" a="1"/>
  <c r="J249" i="102" s="1"/>
  <c r="I249" i="102" a="1"/>
  <c r="I249" i="102" s="1"/>
  <c r="H249" i="102" a="1"/>
  <c r="H249" i="102" s="1"/>
  <c r="G249" i="102" a="1"/>
  <c r="G249" i="102" s="1"/>
  <c r="F249" i="102" a="1"/>
  <c r="F249" i="102" s="1"/>
  <c r="E249" i="102" a="1"/>
  <c r="E249" i="102" s="1"/>
  <c r="D249" i="102" a="1"/>
  <c r="D249" i="102" s="1"/>
  <c r="S248" i="102" a="1"/>
  <c r="S248" i="102" s="1"/>
  <c r="R248" i="102" a="1"/>
  <c r="R248" i="102" s="1"/>
  <c r="Q248" i="102" a="1"/>
  <c r="Q248" i="102" s="1"/>
  <c r="P248" i="102" a="1"/>
  <c r="P248" i="102" s="1"/>
  <c r="O248" i="102" a="1"/>
  <c r="O248" i="102" s="1"/>
  <c r="N248" i="102" a="1"/>
  <c r="N248" i="102" s="1"/>
  <c r="M248" i="102" a="1"/>
  <c r="M248" i="102" s="1"/>
  <c r="L248" i="102" a="1"/>
  <c r="L248" i="102" s="1"/>
  <c r="K248" i="102" a="1"/>
  <c r="K248" i="102" s="1"/>
  <c r="J248" i="102" a="1"/>
  <c r="J248" i="102" s="1"/>
  <c r="I248" i="102" a="1"/>
  <c r="I248" i="102" s="1"/>
  <c r="H248" i="102" a="1"/>
  <c r="H248" i="102" s="1"/>
  <c r="G248" i="102" a="1"/>
  <c r="G248" i="102" s="1"/>
  <c r="F248" i="102" a="1"/>
  <c r="F248" i="102" s="1"/>
  <c r="E248" i="102" a="1"/>
  <c r="E248" i="102" s="1"/>
  <c r="D248" i="102" a="1"/>
  <c r="D248" i="102" s="1"/>
  <c r="S247" i="102" a="1"/>
  <c r="S247" i="102" s="1"/>
  <c r="R247" i="102" a="1"/>
  <c r="R247" i="102" s="1"/>
  <c r="Q247" i="102" a="1"/>
  <c r="Q247" i="102" s="1"/>
  <c r="P247" i="102" a="1"/>
  <c r="P247" i="102" s="1"/>
  <c r="O247" i="102" a="1"/>
  <c r="O247" i="102" s="1"/>
  <c r="N247" i="102" a="1"/>
  <c r="N247" i="102" s="1"/>
  <c r="M247" i="102" a="1"/>
  <c r="M247" i="102" s="1"/>
  <c r="L247" i="102" a="1"/>
  <c r="L247" i="102" s="1"/>
  <c r="K247" i="102" a="1"/>
  <c r="K247" i="102" s="1"/>
  <c r="J247" i="102" a="1"/>
  <c r="J247" i="102" s="1"/>
  <c r="I247" i="102" a="1"/>
  <c r="I247" i="102" s="1"/>
  <c r="H247" i="102" a="1"/>
  <c r="H247" i="102" s="1"/>
  <c r="G247" i="102" a="1"/>
  <c r="G247" i="102" s="1"/>
  <c r="F247" i="102" a="1"/>
  <c r="F247" i="102" s="1"/>
  <c r="E247" i="102" a="1"/>
  <c r="E247" i="102" s="1"/>
  <c r="D247" i="102" a="1"/>
  <c r="D247" i="102" s="1"/>
  <c r="S246" i="102" a="1"/>
  <c r="S246" i="102" s="1"/>
  <c r="R246" i="102" a="1"/>
  <c r="R246" i="102" s="1"/>
  <c r="Q246" i="102" a="1"/>
  <c r="Q246" i="102" s="1"/>
  <c r="P246" i="102" a="1"/>
  <c r="P246" i="102" s="1"/>
  <c r="O246" i="102" a="1"/>
  <c r="O246" i="102" s="1"/>
  <c r="N246" i="102" a="1"/>
  <c r="N246" i="102" s="1"/>
  <c r="M246" i="102" a="1"/>
  <c r="M246" i="102" s="1"/>
  <c r="L246" i="102" a="1"/>
  <c r="L246" i="102" s="1"/>
  <c r="K246" i="102" a="1"/>
  <c r="K246" i="102" s="1"/>
  <c r="J246" i="102" a="1"/>
  <c r="J246" i="102" s="1"/>
  <c r="I246" i="102" a="1"/>
  <c r="I246" i="102" s="1"/>
  <c r="H246" i="102" a="1"/>
  <c r="H246" i="102" s="1"/>
  <c r="G246" i="102" a="1"/>
  <c r="G246" i="102" s="1"/>
  <c r="F246" i="102" a="1"/>
  <c r="F246" i="102" s="1"/>
  <c r="E246" i="102" a="1"/>
  <c r="E246" i="102" s="1"/>
  <c r="D246" i="102" a="1"/>
  <c r="D246" i="102" s="1"/>
  <c r="S245" i="102" a="1"/>
  <c r="S245" i="102" s="1"/>
  <c r="R245" i="102" a="1"/>
  <c r="R245" i="102" s="1"/>
  <c r="Q245" i="102" a="1"/>
  <c r="Q245" i="102" s="1"/>
  <c r="P245" i="102" a="1"/>
  <c r="P245" i="102" s="1"/>
  <c r="O245" i="102" a="1"/>
  <c r="O245" i="102" s="1"/>
  <c r="N245" i="102" a="1"/>
  <c r="N245" i="102" s="1"/>
  <c r="M245" i="102" a="1"/>
  <c r="M245" i="102" s="1"/>
  <c r="L245" i="102" a="1"/>
  <c r="L245" i="102" s="1"/>
  <c r="K245" i="102" a="1"/>
  <c r="K245" i="102" s="1"/>
  <c r="J245" i="102" a="1"/>
  <c r="J245" i="102" s="1"/>
  <c r="I245" i="102" a="1"/>
  <c r="I245" i="102" s="1"/>
  <c r="H245" i="102" a="1"/>
  <c r="H245" i="102" s="1"/>
  <c r="G245" i="102" a="1"/>
  <c r="G245" i="102" s="1"/>
  <c r="F245" i="102" a="1"/>
  <c r="F245" i="102" s="1"/>
  <c r="E245" i="102" a="1"/>
  <c r="E245" i="102" s="1"/>
  <c r="D245" i="102" a="1"/>
  <c r="D245" i="102" s="1"/>
  <c r="S244" i="102" a="1"/>
  <c r="S244" i="102" s="1"/>
  <c r="R244" i="102" a="1"/>
  <c r="R244" i="102" s="1"/>
  <c r="Q244" i="102" a="1"/>
  <c r="Q244" i="102" s="1"/>
  <c r="P244" i="102" a="1"/>
  <c r="P244" i="102" s="1"/>
  <c r="O244" i="102" a="1"/>
  <c r="O244" i="102" s="1"/>
  <c r="N244" i="102" a="1"/>
  <c r="N244" i="102" s="1"/>
  <c r="M244" i="102" a="1"/>
  <c r="M244" i="102" s="1"/>
  <c r="L244" i="102" a="1"/>
  <c r="L244" i="102" s="1"/>
  <c r="K244" i="102" a="1"/>
  <c r="K244" i="102" s="1"/>
  <c r="J244" i="102" a="1"/>
  <c r="J244" i="102" s="1"/>
  <c r="I244" i="102" a="1"/>
  <c r="I244" i="102" s="1"/>
  <c r="H244" i="102" a="1"/>
  <c r="H244" i="102" s="1"/>
  <c r="G244" i="102" a="1"/>
  <c r="G244" i="102" s="1"/>
  <c r="F244" i="102" a="1"/>
  <c r="F244" i="102" s="1"/>
  <c r="E244" i="102" a="1"/>
  <c r="E244" i="102" s="1"/>
  <c r="D244" i="102" a="1"/>
  <c r="D244" i="102" s="1"/>
  <c r="S243" i="102" a="1"/>
  <c r="S243" i="102" s="1"/>
  <c r="R243" i="102" a="1"/>
  <c r="R243" i="102" s="1"/>
  <c r="Q243" i="102" a="1"/>
  <c r="Q243" i="102" s="1"/>
  <c r="P243" i="102" a="1"/>
  <c r="P243" i="102" s="1"/>
  <c r="O243" i="102" a="1"/>
  <c r="O243" i="102" s="1"/>
  <c r="N243" i="102" a="1"/>
  <c r="N243" i="102" s="1"/>
  <c r="M243" i="102" a="1"/>
  <c r="M243" i="102" s="1"/>
  <c r="L243" i="102" a="1"/>
  <c r="L243" i="102" s="1"/>
  <c r="K243" i="102" a="1"/>
  <c r="K243" i="102" s="1"/>
  <c r="J243" i="102" a="1"/>
  <c r="J243" i="102" s="1"/>
  <c r="I243" i="102" a="1"/>
  <c r="I243" i="102" s="1"/>
  <c r="H243" i="102" a="1"/>
  <c r="H243" i="102" s="1"/>
  <c r="G243" i="102" a="1"/>
  <c r="G243" i="102" s="1"/>
  <c r="F243" i="102" a="1"/>
  <c r="F243" i="102" s="1"/>
  <c r="E243" i="102" a="1"/>
  <c r="E243" i="102" s="1"/>
  <c r="D243" i="102" a="1"/>
  <c r="D243" i="102" s="1"/>
  <c r="S242" i="102" a="1"/>
  <c r="S242" i="102" s="1"/>
  <c r="R242" i="102" a="1"/>
  <c r="R242" i="102" s="1"/>
  <c r="Q242" i="102" a="1"/>
  <c r="Q242" i="102" s="1"/>
  <c r="P242" i="102" a="1"/>
  <c r="P242" i="102" s="1"/>
  <c r="O242" i="102" a="1"/>
  <c r="O242" i="102" s="1"/>
  <c r="N242" i="102" a="1"/>
  <c r="N242" i="102" s="1"/>
  <c r="M242" i="102" a="1"/>
  <c r="M242" i="102" s="1"/>
  <c r="L242" i="102" a="1"/>
  <c r="L242" i="102" s="1"/>
  <c r="K242" i="102" a="1"/>
  <c r="K242" i="102" s="1"/>
  <c r="J242" i="102" a="1"/>
  <c r="J242" i="102" s="1"/>
  <c r="I242" i="102" a="1"/>
  <c r="I242" i="102" s="1"/>
  <c r="H242" i="102" a="1"/>
  <c r="H242" i="102" s="1"/>
  <c r="G242" i="102" a="1"/>
  <c r="G242" i="102" s="1"/>
  <c r="F242" i="102" a="1"/>
  <c r="F242" i="102" s="1"/>
  <c r="E242" i="102" a="1"/>
  <c r="E242" i="102" s="1"/>
  <c r="D242" i="102" a="1"/>
  <c r="D242" i="102" s="1"/>
  <c r="S241" i="102" a="1"/>
  <c r="S241" i="102" s="1"/>
  <c r="R241" i="102" a="1"/>
  <c r="R241" i="102" s="1"/>
  <c r="Q241" i="102" a="1"/>
  <c r="Q241" i="102" s="1"/>
  <c r="P241" i="102" a="1"/>
  <c r="P241" i="102" s="1"/>
  <c r="O241" i="102" a="1"/>
  <c r="O241" i="102" s="1"/>
  <c r="N241" i="102" a="1"/>
  <c r="N241" i="102" s="1"/>
  <c r="M241" i="102" a="1"/>
  <c r="M241" i="102" s="1"/>
  <c r="L241" i="102" a="1"/>
  <c r="L241" i="102" s="1"/>
  <c r="K241" i="102" a="1"/>
  <c r="K241" i="102" s="1"/>
  <c r="J241" i="102" a="1"/>
  <c r="J241" i="102" s="1"/>
  <c r="I241" i="102" a="1"/>
  <c r="I241" i="102" s="1"/>
  <c r="H241" i="102" a="1"/>
  <c r="H241" i="102" s="1"/>
  <c r="G241" i="102" a="1"/>
  <c r="G241" i="102" s="1"/>
  <c r="F241" i="102" a="1"/>
  <c r="F241" i="102" s="1"/>
  <c r="E241" i="102" a="1"/>
  <c r="E241" i="102" s="1"/>
  <c r="D241" i="102" a="1"/>
  <c r="D241" i="102" s="1"/>
  <c r="S240" i="102" a="1"/>
  <c r="S240" i="102" s="1"/>
  <c r="R240" i="102" a="1"/>
  <c r="R240" i="102" s="1"/>
  <c r="Q240" i="102" a="1"/>
  <c r="Q240" i="102" s="1"/>
  <c r="P240" i="102" a="1"/>
  <c r="P240" i="102" s="1"/>
  <c r="O240" i="102" a="1"/>
  <c r="O240" i="102" s="1"/>
  <c r="N240" i="102" a="1"/>
  <c r="N240" i="102" s="1"/>
  <c r="M240" i="102" a="1"/>
  <c r="M240" i="102" s="1"/>
  <c r="L240" i="102" a="1"/>
  <c r="L240" i="102" s="1"/>
  <c r="K240" i="102" a="1"/>
  <c r="K240" i="102" s="1"/>
  <c r="J240" i="102" a="1"/>
  <c r="J240" i="102" s="1"/>
  <c r="I240" i="102" a="1"/>
  <c r="I240" i="102" s="1"/>
  <c r="H240" i="102" a="1"/>
  <c r="H240" i="102" s="1"/>
  <c r="G240" i="102" a="1"/>
  <c r="G240" i="102" s="1"/>
  <c r="F240" i="102" a="1"/>
  <c r="F240" i="102" s="1"/>
  <c r="E240" i="102" a="1"/>
  <c r="E240" i="102" s="1"/>
  <c r="D240" i="102" a="1"/>
  <c r="D240" i="102" s="1"/>
  <c r="S239" i="102" a="1"/>
  <c r="S239" i="102" s="1"/>
  <c r="R239" i="102" a="1"/>
  <c r="R239" i="102" s="1"/>
  <c r="Q239" i="102" a="1"/>
  <c r="Q239" i="102" s="1"/>
  <c r="P239" i="102" a="1"/>
  <c r="P239" i="102" s="1"/>
  <c r="O239" i="102" a="1"/>
  <c r="O239" i="102" s="1"/>
  <c r="N239" i="102" a="1"/>
  <c r="N239" i="102" s="1"/>
  <c r="M239" i="102" a="1"/>
  <c r="M239" i="102" s="1"/>
  <c r="L239" i="102" a="1"/>
  <c r="L239" i="102" s="1"/>
  <c r="K239" i="102" a="1"/>
  <c r="K239" i="102" s="1"/>
  <c r="J239" i="102" a="1"/>
  <c r="J239" i="102" s="1"/>
  <c r="I239" i="102" a="1"/>
  <c r="I239" i="102" s="1"/>
  <c r="H239" i="102" a="1"/>
  <c r="H239" i="102" s="1"/>
  <c r="G239" i="102" a="1"/>
  <c r="G239" i="102" s="1"/>
  <c r="F239" i="102" a="1"/>
  <c r="F239" i="102" s="1"/>
  <c r="E239" i="102" a="1"/>
  <c r="E239" i="102" s="1"/>
  <c r="D239" i="102" a="1"/>
  <c r="D239" i="102" s="1"/>
  <c r="S238" i="102" a="1"/>
  <c r="S238" i="102" s="1"/>
  <c r="R238" i="102" a="1"/>
  <c r="R238" i="102" s="1"/>
  <c r="Q238" i="102" a="1"/>
  <c r="Q238" i="102" s="1"/>
  <c r="P238" i="102" a="1"/>
  <c r="P238" i="102" s="1"/>
  <c r="O238" i="102" a="1"/>
  <c r="O238" i="102" s="1"/>
  <c r="N238" i="102" a="1"/>
  <c r="N238" i="102" s="1"/>
  <c r="M238" i="102" a="1"/>
  <c r="M238" i="102" s="1"/>
  <c r="L238" i="102" a="1"/>
  <c r="L238" i="102" s="1"/>
  <c r="K238" i="102" a="1"/>
  <c r="K238" i="102" s="1"/>
  <c r="J238" i="102" a="1"/>
  <c r="J238" i="102" s="1"/>
  <c r="I238" i="102" a="1"/>
  <c r="I238" i="102" s="1"/>
  <c r="H238" i="102" a="1"/>
  <c r="H238" i="102" s="1"/>
  <c r="G238" i="102" a="1"/>
  <c r="G238" i="102" s="1"/>
  <c r="F238" i="102" a="1"/>
  <c r="F238" i="102" s="1"/>
  <c r="E238" i="102" a="1"/>
  <c r="E238" i="102" s="1"/>
  <c r="D238" i="102" a="1"/>
  <c r="D238" i="102" s="1"/>
  <c r="S237" i="102" a="1"/>
  <c r="S237" i="102" s="1"/>
  <c r="R237" i="102" a="1"/>
  <c r="R237" i="102" s="1"/>
  <c r="Q237" i="102" a="1"/>
  <c r="Q237" i="102" s="1"/>
  <c r="P237" i="102" a="1"/>
  <c r="P237" i="102" s="1"/>
  <c r="O237" i="102" a="1"/>
  <c r="O237" i="102" s="1"/>
  <c r="N237" i="102" a="1"/>
  <c r="N237" i="102" s="1"/>
  <c r="M237" i="102" a="1"/>
  <c r="M237" i="102" s="1"/>
  <c r="L237" i="102" a="1"/>
  <c r="L237" i="102" s="1"/>
  <c r="K237" i="102" a="1"/>
  <c r="K237" i="102" s="1"/>
  <c r="J237" i="102" a="1"/>
  <c r="J237" i="102" s="1"/>
  <c r="I237" i="102" a="1"/>
  <c r="I237" i="102" s="1"/>
  <c r="H237" i="102" a="1"/>
  <c r="H237" i="102" s="1"/>
  <c r="G237" i="102" a="1"/>
  <c r="G237" i="102" s="1"/>
  <c r="F237" i="102" a="1"/>
  <c r="F237" i="102" s="1"/>
  <c r="E237" i="102" a="1"/>
  <c r="E237" i="102" s="1"/>
  <c r="D237" i="102" a="1"/>
  <c r="D237" i="102" s="1"/>
  <c r="S236" i="102" a="1"/>
  <c r="S236" i="102" s="1"/>
  <c r="R236" i="102" a="1"/>
  <c r="R236" i="102" s="1"/>
  <c r="Q236" i="102" a="1"/>
  <c r="Q236" i="102" s="1"/>
  <c r="P236" i="102" a="1"/>
  <c r="P236" i="102" s="1"/>
  <c r="O236" i="102" a="1"/>
  <c r="O236" i="102" s="1"/>
  <c r="N236" i="102" a="1"/>
  <c r="N236" i="102" s="1"/>
  <c r="M236" i="102" a="1"/>
  <c r="M236" i="102" s="1"/>
  <c r="L236" i="102" a="1"/>
  <c r="L236" i="102" s="1"/>
  <c r="K236" i="102" a="1"/>
  <c r="K236" i="102" s="1"/>
  <c r="J236" i="102" a="1"/>
  <c r="J236" i="102" s="1"/>
  <c r="I236" i="102" a="1"/>
  <c r="I236" i="102" s="1"/>
  <c r="H236" i="102" a="1"/>
  <c r="H236" i="102" s="1"/>
  <c r="G236" i="102" a="1"/>
  <c r="G236" i="102" s="1"/>
  <c r="F236" i="102" a="1"/>
  <c r="F236" i="102" s="1"/>
  <c r="E236" i="102" a="1"/>
  <c r="E236" i="102" s="1"/>
  <c r="D236" i="102" a="1"/>
  <c r="D236" i="102" s="1"/>
  <c r="S235" i="102" a="1"/>
  <c r="S235" i="102" s="1"/>
  <c r="R235" i="102" a="1"/>
  <c r="R235" i="102" s="1"/>
  <c r="Q235" i="102" a="1"/>
  <c r="Q235" i="102" s="1"/>
  <c r="P235" i="102" a="1"/>
  <c r="P235" i="102" s="1"/>
  <c r="O235" i="102" a="1"/>
  <c r="O235" i="102" s="1"/>
  <c r="N235" i="102" a="1"/>
  <c r="N235" i="102" s="1"/>
  <c r="M235" i="102" a="1"/>
  <c r="M235" i="102" s="1"/>
  <c r="L235" i="102" a="1"/>
  <c r="L235" i="102" s="1"/>
  <c r="K235" i="102" a="1"/>
  <c r="K235" i="102" s="1"/>
  <c r="J235" i="102" a="1"/>
  <c r="J235" i="102" s="1"/>
  <c r="I235" i="102" a="1"/>
  <c r="I235" i="102" s="1"/>
  <c r="H235" i="102" a="1"/>
  <c r="H235" i="102" s="1"/>
  <c r="G235" i="102" a="1"/>
  <c r="G235" i="102" s="1"/>
  <c r="F235" i="102" a="1"/>
  <c r="F235" i="102" s="1"/>
  <c r="E235" i="102" a="1"/>
  <c r="E235" i="102" s="1"/>
  <c r="D235" i="102" a="1"/>
  <c r="D235" i="102" s="1"/>
  <c r="S234" i="102" a="1"/>
  <c r="S234" i="102" s="1"/>
  <c r="R234" i="102" a="1"/>
  <c r="R234" i="102" s="1"/>
  <c r="Q234" i="102" a="1"/>
  <c r="Q234" i="102" s="1"/>
  <c r="P234" i="102" a="1"/>
  <c r="P234" i="102" s="1"/>
  <c r="O234" i="102" a="1"/>
  <c r="O234" i="102" s="1"/>
  <c r="N234" i="102" a="1"/>
  <c r="N234" i="102" s="1"/>
  <c r="M234" i="102" a="1"/>
  <c r="M234" i="102" s="1"/>
  <c r="L234" i="102" a="1"/>
  <c r="L234" i="102" s="1"/>
  <c r="K234" i="102" a="1"/>
  <c r="K234" i="102" s="1"/>
  <c r="J234" i="102" a="1"/>
  <c r="J234" i="102" s="1"/>
  <c r="I234" i="102" a="1"/>
  <c r="I234" i="102" s="1"/>
  <c r="H234" i="102" a="1"/>
  <c r="H234" i="102" s="1"/>
  <c r="G234" i="102" a="1"/>
  <c r="G234" i="102" s="1"/>
  <c r="F234" i="102" a="1"/>
  <c r="F234" i="102" s="1"/>
  <c r="E234" i="102" a="1"/>
  <c r="E234" i="102" s="1"/>
  <c r="D234" i="102" a="1"/>
  <c r="D234" i="102" s="1"/>
  <c r="S233" i="102" a="1"/>
  <c r="S233" i="102" s="1"/>
  <c r="R233" i="102" a="1"/>
  <c r="R233" i="102" s="1"/>
  <c r="Q233" i="102" a="1"/>
  <c r="Q233" i="102" s="1"/>
  <c r="P233" i="102" a="1"/>
  <c r="P233" i="102" s="1"/>
  <c r="O233" i="102" a="1"/>
  <c r="O233" i="102" s="1"/>
  <c r="N233" i="102" a="1"/>
  <c r="N233" i="102" s="1"/>
  <c r="M233" i="102" a="1"/>
  <c r="M233" i="102" s="1"/>
  <c r="L233" i="102" a="1"/>
  <c r="L233" i="102" s="1"/>
  <c r="K233" i="102" a="1"/>
  <c r="K233" i="102" s="1"/>
  <c r="J233" i="102" a="1"/>
  <c r="J233" i="102" s="1"/>
  <c r="I233" i="102" a="1"/>
  <c r="I233" i="102" s="1"/>
  <c r="H233" i="102" a="1"/>
  <c r="H233" i="102" s="1"/>
  <c r="G233" i="102" a="1"/>
  <c r="G233" i="102" s="1"/>
  <c r="F233" i="102" a="1"/>
  <c r="F233" i="102" s="1"/>
  <c r="E233" i="102" a="1"/>
  <c r="E233" i="102" s="1"/>
  <c r="D233" i="102" a="1"/>
  <c r="D233" i="102" s="1"/>
  <c r="S232" i="102" a="1"/>
  <c r="S232" i="102" s="1"/>
  <c r="R232" i="102" a="1"/>
  <c r="R232" i="102" s="1"/>
  <c r="Q232" i="102" a="1"/>
  <c r="Q232" i="102" s="1"/>
  <c r="P232" i="102" a="1"/>
  <c r="P232" i="102" s="1"/>
  <c r="O232" i="102" a="1"/>
  <c r="O232" i="102" s="1"/>
  <c r="N232" i="102" a="1"/>
  <c r="N232" i="102" s="1"/>
  <c r="M232" i="102" a="1"/>
  <c r="M232" i="102" s="1"/>
  <c r="L232" i="102" a="1"/>
  <c r="L232" i="102" s="1"/>
  <c r="K232" i="102" a="1"/>
  <c r="K232" i="102" s="1"/>
  <c r="J232" i="102" a="1"/>
  <c r="J232" i="102" s="1"/>
  <c r="I232" i="102" a="1"/>
  <c r="I232" i="102" s="1"/>
  <c r="H232" i="102" a="1"/>
  <c r="H232" i="102" s="1"/>
  <c r="G232" i="102" a="1"/>
  <c r="G232" i="102" s="1"/>
  <c r="F232" i="102" a="1"/>
  <c r="F232" i="102" s="1"/>
  <c r="E232" i="102" a="1"/>
  <c r="E232" i="102" s="1"/>
  <c r="D232" i="102" a="1"/>
  <c r="D232" i="102" s="1"/>
  <c r="D229" i="102" a="1"/>
  <c r="D229" i="102" s="1"/>
  <c r="D228" i="102" a="1"/>
  <c r="D228" i="102" s="1"/>
  <c r="D227" i="102"/>
  <c r="D227" i="102" a="1"/>
  <c r="E224" i="102" a="1"/>
  <c r="E224" i="102" s="1"/>
  <c r="D224" i="102" a="1"/>
  <c r="D224" i="102" s="1"/>
  <c r="E223" i="102" a="1"/>
  <c r="E223" i="102" s="1"/>
  <c r="D223" i="102" a="1"/>
  <c r="D223" i="102" s="1"/>
  <c r="E222" i="102" a="1"/>
  <c r="E222" i="102" s="1"/>
  <c r="D222" i="102" a="1"/>
  <c r="D222" i="102" s="1"/>
  <c r="E221" i="102" a="1"/>
  <c r="E221" i="102" s="1"/>
  <c r="D221" i="102" a="1"/>
  <c r="D221" i="102" s="1"/>
  <c r="E220" i="102" a="1"/>
  <c r="E220" i="102" s="1"/>
  <c r="D220" i="102" a="1"/>
  <c r="D220" i="102" s="1"/>
  <c r="E219" i="102" a="1"/>
  <c r="E219" i="102" s="1"/>
  <c r="D219" i="102" a="1"/>
  <c r="D219" i="102" s="1"/>
  <c r="E218" i="102" a="1"/>
  <c r="E218" i="102" s="1"/>
  <c r="D218" i="102" a="1"/>
  <c r="D218" i="102" s="1"/>
  <c r="E217" i="102" a="1"/>
  <c r="E217" i="102" s="1"/>
  <c r="D217" i="102" a="1"/>
  <c r="D217" i="102" s="1"/>
  <c r="E216" i="102" a="1"/>
  <c r="E216" i="102" s="1"/>
  <c r="D216" i="102" a="1"/>
  <c r="D216" i="102" s="1"/>
  <c r="E215" i="102" a="1"/>
  <c r="E215" i="102" s="1"/>
  <c r="D215" i="102" a="1"/>
  <c r="D215" i="102" s="1"/>
  <c r="E214" i="102" a="1"/>
  <c r="E214" i="102" s="1"/>
  <c r="D214" i="102" a="1"/>
  <c r="D214" i="102" s="1"/>
  <c r="E213" i="102" a="1"/>
  <c r="E213" i="102" s="1"/>
  <c r="D213" i="102" a="1"/>
  <c r="D213" i="102" s="1"/>
  <c r="D211" i="102" a="1"/>
  <c r="D211" i="102" s="1"/>
  <c r="E208" i="102" a="1"/>
  <c r="E208" i="102" s="1"/>
  <c r="D208" i="102" a="1"/>
  <c r="D208" i="102" s="1"/>
  <c r="E207" i="102" a="1"/>
  <c r="E207" i="102" s="1"/>
  <c r="D207" i="102" a="1"/>
  <c r="D207" i="102" s="1"/>
  <c r="D205" i="102" a="1"/>
  <c r="D205" i="102" s="1"/>
  <c r="D204" i="102" a="1"/>
  <c r="D204" i="102" s="1"/>
  <c r="D203" i="102"/>
  <c r="D203" i="102" a="1"/>
  <c r="D202" i="102" a="1"/>
  <c r="D202" i="102" s="1"/>
  <c r="H199" i="102" a="1"/>
  <c r="H199" i="102" s="1"/>
  <c r="G199" i="102" a="1"/>
  <c r="G199" i="102" s="1"/>
  <c r="F199" i="102" a="1"/>
  <c r="F199" i="102" s="1"/>
  <c r="E199" i="102" a="1"/>
  <c r="E199" i="102" s="1"/>
  <c r="D199" i="102" a="1"/>
  <c r="D199" i="102" s="1"/>
  <c r="H198" i="102" a="1"/>
  <c r="H198" i="102" s="1"/>
  <c r="G198" i="102" a="1"/>
  <c r="G198" i="102" s="1"/>
  <c r="F198" i="102" a="1"/>
  <c r="F198" i="102" s="1"/>
  <c r="E198" i="102" a="1"/>
  <c r="E198" i="102" s="1"/>
  <c r="D198" i="102" a="1"/>
  <c r="D198" i="102" s="1"/>
  <c r="H197" i="102" a="1"/>
  <c r="H197" i="102" s="1"/>
  <c r="G197" i="102" a="1"/>
  <c r="G197" i="102" s="1"/>
  <c r="F197" i="102" a="1"/>
  <c r="F197" i="102" s="1"/>
  <c r="E197" i="102" a="1"/>
  <c r="E197" i="102" s="1"/>
  <c r="D197" i="102" a="1"/>
  <c r="D197" i="102" s="1"/>
  <c r="H196" i="102" a="1"/>
  <c r="H196" i="102" s="1"/>
  <c r="G196" i="102" a="1"/>
  <c r="G196" i="102" s="1"/>
  <c r="F196" i="102" a="1"/>
  <c r="F196" i="102" s="1"/>
  <c r="E196" i="102" a="1"/>
  <c r="E196" i="102" s="1"/>
  <c r="D196" i="102" a="1"/>
  <c r="D196" i="102" s="1"/>
  <c r="H195" i="102" a="1"/>
  <c r="H195" i="102" s="1"/>
  <c r="G195" i="102" a="1"/>
  <c r="G195" i="102" s="1"/>
  <c r="F195" i="102" a="1"/>
  <c r="F195" i="102" s="1"/>
  <c r="E195" i="102" a="1"/>
  <c r="E195" i="102" s="1"/>
  <c r="D195" i="102" a="1"/>
  <c r="D195" i="102" s="1"/>
  <c r="H194" i="102" a="1"/>
  <c r="H194" i="102" s="1"/>
  <c r="G194" i="102" a="1"/>
  <c r="G194" i="102" s="1"/>
  <c r="F194" i="102" a="1"/>
  <c r="F194" i="102" s="1"/>
  <c r="E194" i="102" a="1"/>
  <c r="E194" i="102" s="1"/>
  <c r="D194" i="102" a="1"/>
  <c r="D194" i="102" s="1"/>
  <c r="H193" i="102" a="1"/>
  <c r="H193" i="102" s="1"/>
  <c r="G193" i="102" a="1"/>
  <c r="G193" i="102" s="1"/>
  <c r="F193" i="102" a="1"/>
  <c r="F193" i="102" s="1"/>
  <c r="E193" i="102" a="1"/>
  <c r="E193" i="102" s="1"/>
  <c r="D193" i="102" a="1"/>
  <c r="D193" i="102" s="1"/>
  <c r="H192" i="102" a="1"/>
  <c r="H192" i="102" s="1"/>
  <c r="G192" i="102" a="1"/>
  <c r="G192" i="102" s="1"/>
  <c r="F192" i="102" a="1"/>
  <c r="F192" i="102" s="1"/>
  <c r="E192" i="102" a="1"/>
  <c r="E192" i="102" s="1"/>
  <c r="D192" i="102" a="1"/>
  <c r="D192" i="102" s="1"/>
  <c r="H191" i="102" a="1"/>
  <c r="H191" i="102" s="1"/>
  <c r="G191" i="102" a="1"/>
  <c r="G191" i="102" s="1"/>
  <c r="F191" i="102" a="1"/>
  <c r="F191" i="102" s="1"/>
  <c r="E191" i="102" a="1"/>
  <c r="E191" i="102" s="1"/>
  <c r="D191" i="102" a="1"/>
  <c r="D191" i="102" s="1"/>
  <c r="H190" i="102" a="1"/>
  <c r="H190" i="102" s="1"/>
  <c r="G190" i="102" a="1"/>
  <c r="G190" i="102" s="1"/>
  <c r="F190" i="102" a="1"/>
  <c r="F190" i="102" s="1"/>
  <c r="E190" i="102" a="1"/>
  <c r="E190" i="102" s="1"/>
  <c r="D190" i="102" a="1"/>
  <c r="D190" i="102" s="1"/>
  <c r="H189" i="102" a="1"/>
  <c r="H189" i="102" s="1"/>
  <c r="G189" i="102" a="1"/>
  <c r="G189" i="102" s="1"/>
  <c r="F189" i="102" a="1"/>
  <c r="F189" i="102" s="1"/>
  <c r="E189" i="102" a="1"/>
  <c r="E189" i="102" s="1"/>
  <c r="D189" i="102" a="1"/>
  <c r="D189" i="102" s="1"/>
  <c r="H188" i="102" a="1"/>
  <c r="H188" i="102" s="1"/>
  <c r="G188" i="102" a="1"/>
  <c r="G188" i="102" s="1"/>
  <c r="F188" i="102" a="1"/>
  <c r="F188" i="102" s="1"/>
  <c r="E188" i="102" a="1"/>
  <c r="E188" i="102" s="1"/>
  <c r="D188" i="102" a="1"/>
  <c r="D188" i="102" s="1"/>
  <c r="H187" i="102" a="1"/>
  <c r="H187" i="102" s="1"/>
  <c r="G187" i="102" a="1"/>
  <c r="G187" i="102" s="1"/>
  <c r="F187" i="102" a="1"/>
  <c r="F187" i="102" s="1"/>
  <c r="E187" i="102" a="1"/>
  <c r="E187" i="102" s="1"/>
  <c r="D187" i="102" a="1"/>
  <c r="D187" i="102" s="1"/>
  <c r="D181" i="102" a="1"/>
  <c r="D181" i="102" s="1"/>
  <c r="D180" i="102" a="1"/>
  <c r="D180" i="102" s="1"/>
  <c r="D179" i="102" a="1"/>
  <c r="D179" i="102" s="1"/>
  <c r="D178" i="102" a="1"/>
  <c r="D178" i="102" s="1"/>
  <c r="E175" i="102" a="1"/>
  <c r="E175" i="102" s="1"/>
  <c r="D175" i="102" a="1"/>
  <c r="D175" i="102" s="1"/>
  <c r="D174" i="102"/>
  <c r="D174" i="102" a="1"/>
  <c r="D173" i="102" a="1"/>
  <c r="D173" i="102" s="1"/>
  <c r="D170" i="102" a="1"/>
  <c r="D170" i="102" s="1"/>
  <c r="D169" i="102" a="1"/>
  <c r="D169" i="102" s="1"/>
  <c r="D168" i="102" a="1"/>
  <c r="D168" i="102" s="1"/>
  <c r="D167" i="102" a="1"/>
  <c r="D167" i="102" s="1"/>
  <c r="D164" i="102" a="1"/>
  <c r="D164" i="102" s="1"/>
  <c r="D163" i="102" a="1"/>
  <c r="D163" i="102" s="1"/>
  <c r="D162" i="102" a="1"/>
  <c r="D162" i="102" s="1"/>
  <c r="D161" i="102" a="1"/>
  <c r="D161" i="102" s="1"/>
  <c r="E158" i="102" a="1"/>
  <c r="E158" i="102" s="1"/>
  <c r="D158" i="102" a="1"/>
  <c r="D158" i="102" s="1"/>
  <c r="E157" i="102" a="1"/>
  <c r="E157" i="102" s="1"/>
  <c r="D157" i="102" a="1"/>
  <c r="D157" i="102" s="1"/>
  <c r="E156" i="102" a="1"/>
  <c r="E156" i="102" s="1"/>
  <c r="D156" i="102" a="1"/>
  <c r="D156" i="102" s="1"/>
  <c r="E155" i="102" a="1"/>
  <c r="E155" i="102" s="1"/>
  <c r="D155" i="102" a="1"/>
  <c r="D155" i="102" s="1"/>
  <c r="E154" i="102" a="1"/>
  <c r="E154" i="102" s="1"/>
  <c r="D154" i="102" a="1"/>
  <c r="D154" i="102" s="1"/>
  <c r="D151" i="102"/>
  <c r="D151" i="102" a="1"/>
  <c r="D150" i="102" a="1"/>
  <c r="D150" i="102" s="1"/>
  <c r="E147" i="102" a="1"/>
  <c r="E147" i="102" s="1"/>
  <c r="D147" i="102" a="1"/>
  <c r="D147" i="102" s="1"/>
  <c r="E146" i="102" a="1"/>
  <c r="E146" i="102" s="1"/>
  <c r="D146" i="102" a="1"/>
  <c r="D146" i="102" s="1"/>
  <c r="E145" i="102" a="1"/>
  <c r="E145" i="102" s="1"/>
  <c r="D145" i="102" a="1"/>
  <c r="D145" i="102" s="1"/>
  <c r="E144" i="102" a="1"/>
  <c r="E144" i="102" s="1"/>
  <c r="D144" i="102" a="1"/>
  <c r="D144" i="102" s="1"/>
  <c r="E143" i="102" a="1"/>
  <c r="E143" i="102" s="1"/>
  <c r="D143" i="102" a="1"/>
  <c r="D143" i="102" s="1"/>
  <c r="D141" i="102" a="1"/>
  <c r="D141" i="102" s="1"/>
  <c r="D140" i="102" a="1"/>
  <c r="D140" i="102" s="1"/>
  <c r="D139" i="102" a="1"/>
  <c r="D139" i="102" s="1"/>
  <c r="E136" i="102" a="1"/>
  <c r="E136" i="102" s="1"/>
  <c r="D136" i="102" a="1"/>
  <c r="D136" i="102" s="1"/>
  <c r="E135" i="102" a="1"/>
  <c r="E135" i="102" s="1"/>
  <c r="D135" i="102" a="1"/>
  <c r="D135" i="102" s="1"/>
  <c r="D133" i="102" a="1"/>
  <c r="D133" i="102" s="1"/>
  <c r="D132" i="102" a="1"/>
  <c r="D132" i="102" s="1"/>
  <c r="E129" i="102" a="1"/>
  <c r="E129" i="102" s="1"/>
  <c r="D129" i="102" a="1"/>
  <c r="D129" i="102" s="1"/>
  <c r="E128" i="102" a="1"/>
  <c r="E128" i="102" s="1"/>
  <c r="D128" i="102" a="1"/>
  <c r="D128" i="102" s="1"/>
  <c r="D125" i="102" a="1"/>
  <c r="D125" i="102" s="1"/>
  <c r="D124" i="102"/>
  <c r="D124" i="102" a="1"/>
  <c r="G121" i="102" a="1"/>
  <c r="G121" i="102" s="1"/>
  <c r="F121" i="102" a="1"/>
  <c r="F121" i="102" s="1"/>
  <c r="E121" i="102" a="1"/>
  <c r="E121" i="102" s="1"/>
  <c r="D121" i="102" a="1"/>
  <c r="D121" i="102" s="1"/>
  <c r="G120" i="102" a="1"/>
  <c r="G120" i="102" s="1"/>
  <c r="F120" i="102" a="1"/>
  <c r="F120" i="102" s="1"/>
  <c r="E120" i="102" a="1"/>
  <c r="E120" i="102" s="1"/>
  <c r="D120" i="102" a="1"/>
  <c r="D120" i="102" s="1"/>
  <c r="D117" i="102"/>
  <c r="D117" i="102" a="1"/>
  <c r="D116" i="102" a="1"/>
  <c r="D116" i="102" s="1"/>
  <c r="D115" i="102" a="1"/>
  <c r="D115" i="102" s="1"/>
  <c r="G112" i="102" a="1"/>
  <c r="G112" i="102" s="1"/>
  <c r="F112" i="102" a="1"/>
  <c r="F112" i="102" s="1"/>
  <c r="E112" i="102" a="1"/>
  <c r="E112" i="102" s="1"/>
  <c r="D112" i="102" a="1"/>
  <c r="D112" i="102" s="1"/>
  <c r="G111" i="102" a="1"/>
  <c r="G111" i="102" s="1"/>
  <c r="F111" i="102" a="1"/>
  <c r="F111" i="102" s="1"/>
  <c r="E111" i="102" a="1"/>
  <c r="E111" i="102" s="1"/>
  <c r="D111" i="102" a="1"/>
  <c r="D111" i="102" s="1"/>
  <c r="G110" i="102" a="1"/>
  <c r="G110" i="102" s="1"/>
  <c r="F110" i="102" a="1"/>
  <c r="F110" i="102" s="1"/>
  <c r="E110" i="102" a="1"/>
  <c r="E110" i="102" s="1"/>
  <c r="D110" i="102" a="1"/>
  <c r="D110" i="102" s="1"/>
  <c r="D107" i="102" a="1"/>
  <c r="D107" i="102" s="1"/>
  <c r="D106" i="102" a="1"/>
  <c r="D106" i="102" s="1"/>
  <c r="D105" i="102" a="1"/>
  <c r="D105" i="102" s="1"/>
  <c r="D99" i="102" a="1"/>
  <c r="D99" i="102" s="1"/>
  <c r="S97" i="102" a="1"/>
  <c r="S97" i="102" s="1"/>
  <c r="R97" i="102" a="1"/>
  <c r="R97" i="102" s="1"/>
  <c r="Q97" i="102" a="1"/>
  <c r="Q97" i="102" s="1"/>
  <c r="P97" i="102" a="1"/>
  <c r="P97" i="102" s="1"/>
  <c r="O97" i="102" a="1"/>
  <c r="O97" i="102" s="1"/>
  <c r="N97" i="102" a="1"/>
  <c r="N97" i="102" s="1"/>
  <c r="M97" i="102" a="1"/>
  <c r="M97" i="102" s="1"/>
  <c r="L97" i="102" a="1"/>
  <c r="L97" i="102" s="1"/>
  <c r="K97" i="102" a="1"/>
  <c r="K97" i="102" s="1"/>
  <c r="J97" i="102" a="1"/>
  <c r="J97" i="102" s="1"/>
  <c r="I97" i="102" a="1"/>
  <c r="I97" i="102" s="1"/>
  <c r="H97" i="102" a="1"/>
  <c r="H97" i="102" s="1"/>
  <c r="G97" i="102" a="1"/>
  <c r="G97" i="102" s="1"/>
  <c r="F97" i="102" a="1"/>
  <c r="F97" i="102" s="1"/>
  <c r="E97" i="102" a="1"/>
  <c r="E97" i="102" s="1"/>
  <c r="D97" i="102" a="1"/>
  <c r="D97" i="102" s="1"/>
  <c r="S96" i="102" a="1"/>
  <c r="S96" i="102" s="1"/>
  <c r="R96" i="102" a="1"/>
  <c r="R96" i="102" s="1"/>
  <c r="Q96" i="102" a="1"/>
  <c r="Q96" i="102" s="1"/>
  <c r="P96" i="102" a="1"/>
  <c r="P96" i="102" s="1"/>
  <c r="O96" i="102" a="1"/>
  <c r="O96" i="102" s="1"/>
  <c r="N96" i="102" a="1"/>
  <c r="N96" i="102" s="1"/>
  <c r="M96" i="102" a="1"/>
  <c r="M96" i="102" s="1"/>
  <c r="L96" i="102" a="1"/>
  <c r="L96" i="102" s="1"/>
  <c r="K96" i="102" a="1"/>
  <c r="K96" i="102" s="1"/>
  <c r="J96" i="102" a="1"/>
  <c r="J96" i="102" s="1"/>
  <c r="I96" i="102" a="1"/>
  <c r="I96" i="102" s="1"/>
  <c r="H96" i="102" a="1"/>
  <c r="H96" i="102" s="1"/>
  <c r="G96" i="102" a="1"/>
  <c r="G96" i="102" s="1"/>
  <c r="F96" i="102" a="1"/>
  <c r="F96" i="102" s="1"/>
  <c r="E96" i="102" a="1"/>
  <c r="E96" i="102" s="1"/>
  <c r="D96" i="102" a="1"/>
  <c r="D96" i="102" s="1"/>
  <c r="S95" i="102" a="1"/>
  <c r="S95" i="102" s="1"/>
  <c r="R95" i="102" a="1"/>
  <c r="R95" i="102" s="1"/>
  <c r="Q95" i="102" a="1"/>
  <c r="Q95" i="102" s="1"/>
  <c r="P95" i="102" a="1"/>
  <c r="P95" i="102" s="1"/>
  <c r="O95" i="102" a="1"/>
  <c r="O95" i="102" s="1"/>
  <c r="N95" i="102" a="1"/>
  <c r="N95" i="102" s="1"/>
  <c r="M95" i="102" a="1"/>
  <c r="M95" i="102" s="1"/>
  <c r="L95" i="102" a="1"/>
  <c r="L95" i="102" s="1"/>
  <c r="K95" i="102" a="1"/>
  <c r="K95" i="102" s="1"/>
  <c r="J95" i="102" a="1"/>
  <c r="J95" i="102" s="1"/>
  <c r="I95" i="102" a="1"/>
  <c r="I95" i="102" s="1"/>
  <c r="H95" i="102" a="1"/>
  <c r="H95" i="102" s="1"/>
  <c r="G95" i="102" a="1"/>
  <c r="G95" i="102" s="1"/>
  <c r="F95" i="102" a="1"/>
  <c r="F95" i="102" s="1"/>
  <c r="E95" i="102" a="1"/>
  <c r="E95" i="102" s="1"/>
  <c r="D95" i="102" a="1"/>
  <c r="D95" i="102" s="1"/>
  <c r="S94" i="102" a="1"/>
  <c r="S94" i="102" s="1"/>
  <c r="R94" i="102" a="1"/>
  <c r="R94" i="102" s="1"/>
  <c r="Q94" i="102" a="1"/>
  <c r="Q94" i="102" s="1"/>
  <c r="P94" i="102" a="1"/>
  <c r="P94" i="102" s="1"/>
  <c r="O94" i="102" a="1"/>
  <c r="O94" i="102" s="1"/>
  <c r="N94" i="102" a="1"/>
  <c r="N94" i="102" s="1"/>
  <c r="M94" i="102" a="1"/>
  <c r="M94" i="102" s="1"/>
  <c r="L94" i="102" a="1"/>
  <c r="L94" i="102" s="1"/>
  <c r="K94" i="102" a="1"/>
  <c r="K94" i="102" s="1"/>
  <c r="J94" i="102" a="1"/>
  <c r="J94" i="102" s="1"/>
  <c r="I94" i="102" a="1"/>
  <c r="I94" i="102" s="1"/>
  <c r="H94" i="102" a="1"/>
  <c r="H94" i="102" s="1"/>
  <c r="G94" i="102" a="1"/>
  <c r="G94" i="102" s="1"/>
  <c r="F94" i="102" a="1"/>
  <c r="F94" i="102" s="1"/>
  <c r="E94" i="102" a="1"/>
  <c r="E94" i="102" s="1"/>
  <c r="D94" i="102" a="1"/>
  <c r="D94" i="102" s="1"/>
  <c r="S93" i="102" a="1"/>
  <c r="S93" i="102" s="1"/>
  <c r="R93" i="102" a="1"/>
  <c r="R93" i="102" s="1"/>
  <c r="Q93" i="102" a="1"/>
  <c r="Q93" i="102" s="1"/>
  <c r="P93" i="102" a="1"/>
  <c r="P93" i="102" s="1"/>
  <c r="O93" i="102" a="1"/>
  <c r="O93" i="102" s="1"/>
  <c r="N93" i="102" a="1"/>
  <c r="N93" i="102" s="1"/>
  <c r="M93" i="102" a="1"/>
  <c r="M93" i="102" s="1"/>
  <c r="L93" i="102" a="1"/>
  <c r="L93" i="102" s="1"/>
  <c r="K93" i="102" a="1"/>
  <c r="K93" i="102" s="1"/>
  <c r="J93" i="102" a="1"/>
  <c r="J93" i="102" s="1"/>
  <c r="I93" i="102" a="1"/>
  <c r="I93" i="102" s="1"/>
  <c r="H93" i="102" a="1"/>
  <c r="H93" i="102" s="1"/>
  <c r="G93" i="102" a="1"/>
  <c r="G93" i="102" s="1"/>
  <c r="F93" i="102" a="1"/>
  <c r="F93" i="102" s="1"/>
  <c r="E93" i="102" a="1"/>
  <c r="E93" i="102" s="1"/>
  <c r="D93" i="102" a="1"/>
  <c r="D93" i="102" s="1"/>
  <c r="S92" i="102" a="1"/>
  <c r="S92" i="102" s="1"/>
  <c r="R92" i="102" a="1"/>
  <c r="R92" i="102" s="1"/>
  <c r="Q92" i="102" a="1"/>
  <c r="Q92" i="102" s="1"/>
  <c r="P92" i="102" a="1"/>
  <c r="P92" i="102" s="1"/>
  <c r="O92" i="102" a="1"/>
  <c r="O92" i="102" s="1"/>
  <c r="N92" i="102" a="1"/>
  <c r="N92" i="102" s="1"/>
  <c r="M92" i="102" a="1"/>
  <c r="M92" i="102" s="1"/>
  <c r="L92" i="102" a="1"/>
  <c r="L92" i="102" s="1"/>
  <c r="K92" i="102" a="1"/>
  <c r="K92" i="102" s="1"/>
  <c r="J92" i="102" a="1"/>
  <c r="J92" i="102" s="1"/>
  <c r="I92" i="102" a="1"/>
  <c r="I92" i="102" s="1"/>
  <c r="H92" i="102" a="1"/>
  <c r="H92" i="102" s="1"/>
  <c r="G92" i="102" a="1"/>
  <c r="G92" i="102" s="1"/>
  <c r="F92" i="102" a="1"/>
  <c r="F92" i="102" s="1"/>
  <c r="E92" i="102" a="1"/>
  <c r="E92" i="102" s="1"/>
  <c r="D92" i="102" a="1"/>
  <c r="D92" i="102" s="1"/>
  <c r="S91" i="102" a="1"/>
  <c r="S91" i="102" s="1"/>
  <c r="R91" i="102" a="1"/>
  <c r="R91" i="102" s="1"/>
  <c r="Q91" i="102" a="1"/>
  <c r="Q91" i="102" s="1"/>
  <c r="P91" i="102" a="1"/>
  <c r="P91" i="102" s="1"/>
  <c r="O91" i="102" a="1"/>
  <c r="O91" i="102" s="1"/>
  <c r="N91" i="102" a="1"/>
  <c r="N91" i="102" s="1"/>
  <c r="M91" i="102" a="1"/>
  <c r="M91" i="102" s="1"/>
  <c r="L91" i="102" a="1"/>
  <c r="L91" i="102" s="1"/>
  <c r="K91" i="102" a="1"/>
  <c r="K91" i="102" s="1"/>
  <c r="J91" i="102" a="1"/>
  <c r="J91" i="102" s="1"/>
  <c r="I91" i="102" a="1"/>
  <c r="I91" i="102" s="1"/>
  <c r="H91" i="102" a="1"/>
  <c r="H91" i="102" s="1"/>
  <c r="G91" i="102" a="1"/>
  <c r="G91" i="102" s="1"/>
  <c r="F91" i="102" a="1"/>
  <c r="F91" i="102" s="1"/>
  <c r="E91" i="102" a="1"/>
  <c r="E91" i="102" s="1"/>
  <c r="D91" i="102" a="1"/>
  <c r="D91" i="102" s="1"/>
  <c r="S90" i="102" a="1"/>
  <c r="S90" i="102" s="1"/>
  <c r="R90" i="102" a="1"/>
  <c r="R90" i="102" s="1"/>
  <c r="Q90" i="102" a="1"/>
  <c r="Q90" i="102" s="1"/>
  <c r="P90" i="102" a="1"/>
  <c r="P90" i="102" s="1"/>
  <c r="O90" i="102" a="1"/>
  <c r="O90" i="102" s="1"/>
  <c r="N90" i="102" a="1"/>
  <c r="N90" i="102" s="1"/>
  <c r="M90" i="102" a="1"/>
  <c r="M90" i="102" s="1"/>
  <c r="L90" i="102" a="1"/>
  <c r="L90" i="102" s="1"/>
  <c r="K90" i="102" a="1"/>
  <c r="K90" i="102" s="1"/>
  <c r="J90" i="102" a="1"/>
  <c r="J90" i="102" s="1"/>
  <c r="I90" i="102" a="1"/>
  <c r="I90" i="102" s="1"/>
  <c r="H90" i="102" a="1"/>
  <c r="H90" i="102" s="1"/>
  <c r="G90" i="102" a="1"/>
  <c r="G90" i="102" s="1"/>
  <c r="F90" i="102" a="1"/>
  <c r="F90" i="102" s="1"/>
  <c r="E90" i="102" a="1"/>
  <c r="E90" i="102" s="1"/>
  <c r="D90" i="102" a="1"/>
  <c r="D90" i="102" s="1"/>
  <c r="D83" i="102" a="1"/>
  <c r="D83" i="102" s="1"/>
  <c r="D82" i="102" a="1"/>
  <c r="D82" i="102" s="1"/>
  <c r="D81" i="102" a="1"/>
  <c r="D81" i="102" s="1"/>
  <c r="E77" i="102" a="1"/>
  <c r="E77" i="102" s="1"/>
  <c r="D77" i="102" a="1"/>
  <c r="D77" i="102" s="1"/>
  <c r="E76" i="102" a="1"/>
  <c r="E76" i="102" s="1"/>
  <c r="D76" i="102" a="1"/>
  <c r="D76" i="102" s="1"/>
  <c r="E75" i="102" a="1"/>
  <c r="E75" i="102" s="1"/>
  <c r="D75" i="102" a="1"/>
  <c r="D75" i="102" s="1"/>
  <c r="E74" i="102" a="1"/>
  <c r="E74" i="102" s="1"/>
  <c r="D74" i="102" a="1"/>
  <c r="D74" i="102" s="1"/>
  <c r="E73" i="102" a="1"/>
  <c r="E73" i="102" s="1"/>
  <c r="D73" i="102" a="1"/>
  <c r="D73" i="102" s="1"/>
  <c r="E72" i="102" a="1"/>
  <c r="E72" i="102" s="1"/>
  <c r="D72" i="102" a="1"/>
  <c r="D72" i="102" s="1"/>
  <c r="E71" i="102" a="1"/>
  <c r="E71" i="102" s="1"/>
  <c r="D71" i="102" a="1"/>
  <c r="D71" i="102" s="1"/>
  <c r="E70" i="102" a="1"/>
  <c r="E70" i="102" s="1"/>
  <c r="D70" i="102" a="1"/>
  <c r="D70" i="102" s="1"/>
  <c r="E69" i="102" a="1"/>
  <c r="E69" i="102" s="1"/>
  <c r="D69" i="102" a="1"/>
  <c r="D69" i="102" s="1"/>
  <c r="E68" i="102" a="1"/>
  <c r="E68" i="102" s="1"/>
  <c r="D68" i="102" a="1"/>
  <c r="D68" i="102" s="1"/>
  <c r="E67" i="102" a="1"/>
  <c r="E67" i="102" s="1"/>
  <c r="D67" i="102" a="1"/>
  <c r="D67" i="102" s="1"/>
  <c r="E66" i="102" a="1"/>
  <c r="E66" i="102" s="1"/>
  <c r="D66" i="102" a="1"/>
  <c r="D66" i="102" s="1"/>
  <c r="E65" i="102" a="1"/>
  <c r="E65" i="102" s="1"/>
  <c r="D65" i="102" a="1"/>
  <c r="D65" i="102" s="1"/>
  <c r="E64" i="102" a="1"/>
  <c r="E64" i="102" s="1"/>
  <c r="D64" i="102" a="1"/>
  <c r="D64" i="102" s="1"/>
  <c r="D59" i="102" a="1"/>
  <c r="D59" i="102" s="1"/>
  <c r="D58" i="102" a="1"/>
  <c r="D58" i="102" s="1"/>
  <c r="D57" i="102"/>
  <c r="D57" i="102" a="1"/>
  <c r="G54" i="102" a="1"/>
  <c r="G54" i="102" s="1"/>
  <c r="F54" i="102" a="1"/>
  <c r="F54" i="102" s="1"/>
  <c r="E54" i="102" a="1"/>
  <c r="E54" i="102" s="1"/>
  <c r="D54" i="102" a="1"/>
  <c r="D54" i="102" s="1"/>
  <c r="G53" i="102" a="1"/>
  <c r="G53" i="102" s="1"/>
  <c r="F53" i="102" a="1"/>
  <c r="F53" i="102" s="1"/>
  <c r="E53" i="102" a="1"/>
  <c r="E53" i="102" s="1"/>
  <c r="D53" i="102" a="1"/>
  <c r="D53" i="102" s="1"/>
  <c r="G52" i="102" a="1"/>
  <c r="G52" i="102" s="1"/>
  <c r="F52" i="102" a="1"/>
  <c r="F52" i="102" s="1"/>
  <c r="E52" i="102" a="1"/>
  <c r="E52" i="102" s="1"/>
  <c r="D52" i="102" a="1"/>
  <c r="D52" i="102" s="1"/>
  <c r="G51" i="102" a="1"/>
  <c r="G51" i="102" s="1"/>
  <c r="F51" i="102" a="1"/>
  <c r="F51" i="102" s="1"/>
  <c r="E51" i="102" a="1"/>
  <c r="E51" i="102" s="1"/>
  <c r="D51" i="102" a="1"/>
  <c r="D51" i="102" s="1"/>
  <c r="G50" i="102" a="1"/>
  <c r="G50" i="102" s="1"/>
  <c r="F50" i="102" a="1"/>
  <c r="F50" i="102" s="1"/>
  <c r="E50" i="102" a="1"/>
  <c r="E50" i="102" s="1"/>
  <c r="D50" i="102" a="1"/>
  <c r="D50" i="102" s="1"/>
  <c r="G49" i="102" a="1"/>
  <c r="G49" i="102" s="1"/>
  <c r="F49" i="102" a="1"/>
  <c r="F49" i="102" s="1"/>
  <c r="E49" i="102" a="1"/>
  <c r="E49" i="102" s="1"/>
  <c r="D49" i="102" a="1"/>
  <c r="D49" i="102" s="1"/>
  <c r="G48" i="102" a="1"/>
  <c r="G48" i="102" s="1"/>
  <c r="F48" i="102" a="1"/>
  <c r="F48" i="102" s="1"/>
  <c r="E48" i="102" a="1"/>
  <c r="E48" i="102" s="1"/>
  <c r="D48" i="102" a="1"/>
  <c r="D48" i="102" s="1"/>
  <c r="D46" i="102" a="1"/>
  <c r="D46" i="102" s="1"/>
  <c r="D45" i="102" a="1"/>
  <c r="D45" i="102" s="1"/>
  <c r="E43" i="102" a="1"/>
  <c r="E43" i="102" s="1"/>
  <c r="D43" i="102" a="1"/>
  <c r="D43" i="102" s="1"/>
  <c r="E42" i="102" a="1"/>
  <c r="E42" i="102" s="1"/>
  <c r="D42" i="102" a="1"/>
  <c r="D42" i="102" s="1"/>
  <c r="E41" i="102" a="1"/>
  <c r="E41" i="102" s="1"/>
  <c r="D41" i="102" a="1"/>
  <c r="D41" i="102" s="1"/>
  <c r="E40" i="102" a="1"/>
  <c r="E40" i="102" s="1"/>
  <c r="D40" i="102" a="1"/>
  <c r="D40" i="102" s="1"/>
  <c r="E39" i="102" a="1"/>
  <c r="E39" i="102" s="1"/>
  <c r="D39" i="102" a="1"/>
  <c r="D39" i="102" s="1"/>
  <c r="E38" i="102" a="1"/>
  <c r="E38" i="102" s="1"/>
  <c r="D38" i="102" a="1"/>
  <c r="D38" i="102" s="1"/>
  <c r="E37" i="102" a="1"/>
  <c r="E37" i="102" s="1"/>
  <c r="D37" i="102" a="1"/>
  <c r="D37" i="102" s="1"/>
  <c r="D35" i="102" a="1"/>
  <c r="D35" i="102" s="1"/>
  <c r="D34" i="102" a="1"/>
  <c r="D34"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19" i="102" a="1"/>
  <c r="D19" i="102" s="1"/>
  <c r="D18" i="102"/>
  <c r="D18" i="102" a="1"/>
  <c r="F14" i="102" a="1"/>
  <c r="F14" i="102" s="1"/>
  <c r="E14" i="102" a="1"/>
  <c r="E14" i="102" s="1"/>
  <c r="D14" i="102" a="1"/>
  <c r="D14" i="102" s="1"/>
  <c r="F13" i="102" a="1"/>
  <c r="F13" i="102" s="1"/>
  <c r="E13" i="102" a="1"/>
  <c r="E13" i="102" s="1"/>
  <c r="D13" i="102" a="1"/>
  <c r="D13" i="102" s="1"/>
  <c r="F12" i="102" a="1"/>
  <c r="F12" i="102" s="1"/>
  <c r="E12" i="102" a="1"/>
  <c r="E12" i="102" s="1"/>
  <c r="D12" i="102" a="1"/>
  <c r="D12" i="102" s="1"/>
  <c r="F11" i="102" a="1"/>
  <c r="F11" i="102" s="1"/>
  <c r="E11" i="102" a="1"/>
  <c r="E11" i="102" s="1"/>
  <c r="D11" i="102" a="1"/>
  <c r="D11" i="102" s="1"/>
  <c r="F10" i="102" a="1"/>
  <c r="F10" i="102" s="1"/>
  <c r="E10" i="102" a="1"/>
  <c r="E10" i="102" s="1"/>
  <c r="D10" i="102" a="1"/>
  <c r="D10" i="102" s="1"/>
  <c r="F9" i="102" a="1"/>
  <c r="F9" i="102" s="1"/>
  <c r="E9" i="102" a="1"/>
  <c r="E9" i="102" s="1"/>
  <c r="D9" i="102" a="1"/>
  <c r="D9" i="102" s="1"/>
  <c r="F8" i="102" a="1"/>
  <c r="F8" i="102" s="1"/>
  <c r="E8" i="102" a="1"/>
  <c r="E8" i="102" s="1"/>
  <c r="D8" i="102" a="1"/>
  <c r="D8" i="102" s="1"/>
  <c r="F7" i="102" a="1"/>
  <c r="F7" i="102" s="1"/>
  <c r="E7" i="102" a="1"/>
  <c r="E7" i="102" s="1"/>
  <c r="D7" i="102" a="1"/>
  <c r="D7" i="102" s="1"/>
  <c r="D5" i="102" a="1"/>
  <c r="D5" i="102" s="1"/>
  <c r="F33" i="69" a="1"/>
  <c r="F33" i="69" s="1"/>
  <c r="D30" i="69" a="1"/>
  <c r="D30" i="69" s="1"/>
  <c r="A17" i="79"/>
  <c r="A16" i="79"/>
  <c r="A15" i="79"/>
  <c r="A12" i="79"/>
  <c r="A9" i="79"/>
  <c r="A8" i="79"/>
  <c r="A5" i="79"/>
  <c r="A4" i="79"/>
  <c r="A3" i="79"/>
  <c r="A17" i="70"/>
  <c r="A16" i="70"/>
  <c r="A15" i="70"/>
  <c r="A12" i="70"/>
  <c r="A9" i="70"/>
  <c r="A8" i="70"/>
  <c r="A5" i="70"/>
  <c r="A4" i="70"/>
  <c r="A3" i="70"/>
  <c r="A17" i="15"/>
  <c r="A16" i="15"/>
  <c r="A15" i="15"/>
  <c r="A12" i="15"/>
  <c r="A9" i="15"/>
  <c r="A8" i="15"/>
  <c r="A5" i="15"/>
  <c r="A4" i="15"/>
  <c r="A3" i="15"/>
  <c r="A17" i="13"/>
  <c r="A16" i="13"/>
  <c r="A15" i="13"/>
  <c r="A12" i="13"/>
  <c r="A9" i="13"/>
  <c r="A8" i="13"/>
  <c r="A5" i="13"/>
  <c r="A4" i="13"/>
  <c r="A3" i="13"/>
  <c r="A17" i="100"/>
  <c r="A16" i="100"/>
  <c r="A15" i="100"/>
  <c r="A12" i="100"/>
  <c r="A9" i="100"/>
  <c r="A8" i="100"/>
  <c r="A5" i="100"/>
  <c r="A4" i="100"/>
  <c r="A3" i="100"/>
  <c r="A9" i="69"/>
  <c r="A12" i="69"/>
  <c r="A15" i="69"/>
  <c r="D26" i="70"/>
  <c r="D20" i="70"/>
  <c r="D14" i="70"/>
  <c r="G13" i="69" a="1"/>
  <c r="G13" i="69" s="1"/>
  <c r="D13" i="69" a="1"/>
  <c r="D13" i="69" s="1"/>
  <c r="E11" i="69" a="1"/>
  <c r="E11" i="69" s="1"/>
  <c r="H30" i="69" s="1"/>
  <c r="E10" i="69" a="1"/>
  <c r="E10" i="69" s="1"/>
  <c r="D6" i="69" a="1"/>
  <c r="D6" i="69" s="1"/>
  <c r="D5" i="69" a="1"/>
  <c r="D5" i="69" s="1"/>
  <c r="E7" i="69" a="1"/>
  <c r="H53" i="102" l="1"/>
  <c r="H52" i="102"/>
  <c r="H50" i="102"/>
  <c r="H54" i="102"/>
  <c r="H19" i="69"/>
  <c r="F28" i="69"/>
  <c r="H51" i="102"/>
  <c r="H49" i="102"/>
  <c r="H48" i="102"/>
  <c r="E7"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s="1"/>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D26" i="69" s="1"/>
  <c r="E17" i="79" a="1"/>
  <c r="E17" i="79" s="1"/>
  <c r="D16" i="79" a="1"/>
  <c r="D16" i="79" s="1"/>
  <c r="D25" i="69" s="1"/>
  <c r="E16" i="79" a="1"/>
  <c r="E16" i="79" s="1"/>
  <c r="D15" i="79" a="1"/>
  <c r="D15" i="79" s="1"/>
  <c r="D24" i="69" s="1"/>
  <c r="E15" i="79" a="1"/>
  <c r="E15" i="79" s="1"/>
  <c r="D14" i="79" a="1"/>
  <c r="D14" i="79" s="1"/>
  <c r="D23" i="69" s="1"/>
  <c r="E14" i="79" a="1"/>
  <c r="E14" i="79" s="1"/>
  <c r="D13" i="79" a="1"/>
  <c r="D13" i="79" s="1"/>
  <c r="D22" i="69" s="1"/>
  <c r="E13" i="79" a="1"/>
  <c r="E13" i="79" s="1"/>
  <c r="D12" i="79" a="1"/>
  <c r="D12" i="79" s="1"/>
  <c r="D21" i="69" s="1"/>
  <c r="E12" i="79" a="1"/>
  <c r="E12" i="79" s="1"/>
  <c r="D11" i="79" a="1"/>
  <c r="D11" i="79" s="1"/>
  <c r="D20" i="69" s="1"/>
  <c r="E11" i="79" a="1"/>
  <c r="E11" i="79" s="1"/>
  <c r="E10" i="79" a="1"/>
  <c r="E10" i="79" s="1"/>
  <c r="D10" i="79" a="1"/>
  <c r="D10" i="79" s="1"/>
  <c r="D19" i="69" s="1"/>
  <c r="D8" i="79" a="1"/>
  <c r="D8" i="79" s="1"/>
  <c r="D7" i="79" a="1"/>
  <c r="D7" i="79" s="1"/>
  <c r="D6" i="79" a="1"/>
  <c r="D6" i="79" s="1"/>
  <c r="D5" i="79" a="1"/>
  <c r="D5" i="79" s="1"/>
  <c r="A17" i="69"/>
  <c r="A16" i="69"/>
  <c r="A8" i="69"/>
  <c r="A5" i="69"/>
  <c r="A4" i="69"/>
  <c r="A3" i="69"/>
  <c r="F26" i="69" l="1" a="1"/>
  <c r="F26" i="69" s="1"/>
  <c r="G26" i="69" s="1" a="1"/>
  <c r="G26" i="69" s="1"/>
  <c r="F25" i="69" a="1"/>
  <c r="F25" i="69" s="1"/>
  <c r="G25" i="69" s="1" a="1"/>
  <c r="G25" i="69" s="1"/>
  <c r="F20" i="69" a="1"/>
  <c r="F20" i="69" s="1"/>
  <c r="G20" i="69" s="1" a="1"/>
  <c r="G20" i="69" s="1"/>
  <c r="F23" i="69" a="1"/>
  <c r="F23" i="69" s="1"/>
  <c r="G23" i="69" s="1" a="1"/>
  <c r="G23" i="69" s="1"/>
  <c r="F19" i="69" a="1"/>
  <c r="F19" i="69" s="1"/>
  <c r="G19" i="69" s="1" a="1"/>
  <c r="G19" i="69" s="1"/>
  <c r="F21" i="69" a="1"/>
  <c r="F21" i="69" s="1"/>
  <c r="G21" i="69" s="1" a="1"/>
  <c r="G21" i="69" s="1"/>
  <c r="F22" i="69" a="1"/>
  <c r="F22" i="69" s="1"/>
  <c r="G22" i="69" s="1" a="1"/>
  <c r="G22" i="69" s="1"/>
  <c r="F24" i="69" a="1"/>
  <c r="F24" i="69" s="1"/>
  <c r="G24" i="69" s="1" a="1"/>
  <c r="G24" i="69" s="1"/>
  <c r="E28" i="69" l="1"/>
  <c r="E7" i="13" l="1"/>
  <c r="F7" i="13" s="1"/>
  <c r="G30" i="69"/>
  <c r="E33" i="69" s="1" a="1"/>
  <c r="E33" i="69" s="1"/>
  <c r="H7" i="13" s="1"/>
  <c r="I7" i="13" s="1"/>
  <c r="A39" i="74"/>
  <c r="A38" i="74"/>
  <c r="A37" i="74"/>
  <c r="A36" i="74"/>
  <c r="A33" i="74"/>
  <c r="A30" i="74"/>
  <c r="A29" i="74"/>
  <c r="A28" i="74"/>
  <c r="A27" i="74"/>
  <c r="A26" i="74"/>
  <c r="A25" i="74"/>
  <c r="A24" i="74"/>
  <c r="A19" i="74"/>
  <c r="A18" i="74"/>
  <c r="A15" i="74"/>
  <c r="A14" i="74"/>
  <c r="A13" i="74"/>
  <c r="A12" i="74"/>
  <c r="A11" i="74"/>
  <c r="A10" i="74"/>
  <c r="A9" i="74"/>
  <c r="A8" i="74"/>
  <c r="A7" i="74"/>
  <c r="A4" i="74"/>
  <c r="D8" i="70" l="1"/>
  <c r="H8" i="13" l="1"/>
  <c r="I8" i="13"/>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<sst xmlns="http://schemas.openxmlformats.org/spreadsheetml/2006/main" count="188" uniqueCount="146">
  <si>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</si>
  <si>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</si>
  <si>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</si>
  <si>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</si>
  <si>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</si>
  <si>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</si>
  <si>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</si>
  <si>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</si>
  <si>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</si>
  <si>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</si>
  <si>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</si>
  <si>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</si>
  <si>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</si>
  <si>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</si>
  <si>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</si>
  <si>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</si>
  <si>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</si>
  <si>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</si>
  <si>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</si>
  <si>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</si>
  <si>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</si>
  <si>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</si>
  <si>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</si>
  <si>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</si>
  <si>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</si>
  <si>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</si>
  <si>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</si>
  <si>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</si>
  <si>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</si>
  <si>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</si>
  <si>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</si>
  <si>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</si>
  <si>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</si>
  <si>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</si>
  <si>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</si>
  <si>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</si>
  <si>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</si>
  <si>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</si>
  <si>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</si>
  <si>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</si>
  <si>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</si>
  <si>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</si>
  <si>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</si>
  <si>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</si>
  <si>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</si>
  <si>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</si>
  <si>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</si>
  <si>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</si>
  <si>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</si>
  <si>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</si>
  <si>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</si>
  <si>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</si>
  <si>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</si>
  <si>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</si>
  <si>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</si>
  <si>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</si>
  <si>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</si>
  <si>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</si>
  <si>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</si>
  <si>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</si>
  <si>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</si>
  <si>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</si>
  <si>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</si>
  <si>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</si>
  <si>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</si>
  <si>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</si>
  <si>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</si>
  <si>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</si>
  <si>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</si>
  <si>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</si>
  <si>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</si>
  <si>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</si>
  <si>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</si>
  <si>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</si>
  <si>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</si>
  <si>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</si>
  <si>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</si>
  <si>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</si>
  <si>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</si>
  <si>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</si>
  <si>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</si>
  <si>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</si>
  <si>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</si>
  <si>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</si>
  <si>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</si>
  <si>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</si>
  <si>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</si>
  <si>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</si>
  <si>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</si>
  <si>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</si>
  <si>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</si>
  <si>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</si>
  <si>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</si>
  <si>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</si>
  <si>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</si>
  <si>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</si>
  <si>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</si>
  <si>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</si>
  <si>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</si>
  <si>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</si>
  <si>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</si>
  <si>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</si>
  <si>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</si>
  <si>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</si>
  <si>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</si>
  <si>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</si>
  <si>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</si>
  <si>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</si>
  <si>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</si>
  <si>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</si>
  <si>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</si>
  <si>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</si>
  <si>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</si>
  <si>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</si>
  <si>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</si>
  <si>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</si>
  <si>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</si>
  <si>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</si>
  <si>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</si>
  <si>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</si>
  <si>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</si>
  <si>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</si>
  <si>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</si>
  <si>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</si>
  <si>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</si>
  <si>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</si>
  <si>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</si>
  <si>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</si>
  <si>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</si>
  <si>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</si>
  <si>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</si>
  <si>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</si>
  <si>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</si>
  <si>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</si>
  <si>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</si>
  <si>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</si>
  <si>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</si>
  <si>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</si>
  <si>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</si>
  <si>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</si>
  <si>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</si>
  <si>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</si>
  <si>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2"/>
        <color theme="1" tint="0.24994659260841701"/>
        <rFont val="Times New Roman"/>
        <family val="1"/>
      </rPr>
      <t>CO2e</t>
    </r>
    <r>
      <rPr>
        <sz val="12"/>
        <color theme="1" tint="0.24994659260841701"/>
        <rFont val="Times New Roman"/>
        <family val="1"/>
      </rPr>
      <t xml:space="preserve"> (Method 1)</t>
    </r>
  </si>
  <si>
    <t>t CH4</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</si>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</sst>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9"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vertAlign val="subscript"/>
      <sz val="12"/>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1"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2" fillId="4" borderId="0">
      <alignment horizontal="left" vertical="center"/>
    </xf>
    <xf numFmtId="0" fontId="45" fillId="11" borderId="0">
      <alignment horizontal="center" vertical="center"/>
    </xf>
    <xf numFmtId="0" fontId="22" fillId="11" borderId="0">
      <alignment horizontal="left" vertical="center" indent="1"/>
    </xf>
    <xf numFmtId="0" fontId="54" fillId="14" borderId="2">
      <alignment horizontal="center" vertical="center"/>
    </xf>
    <xf numFmtId="0" fontId="55" fillId="15" borderId="2">
      <alignment horizontal="center" vertical="center"/>
    </xf>
    <xf numFmtId="0" fontId="33" fillId="4" borderId="2">
      <alignment horizontal="left" vertical="center"/>
    </xf>
    <xf numFmtId="0" fontId="56" fillId="4" borderId="2">
      <alignment horizontal="left" vertical="center"/>
    </xf>
  </cellStyleXfs>
  <cellXfs count="107">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3" fontId="2" fillId="0" borderId="2" xfId="18">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6" fillId="4" borderId="1" xfId="55" applyBorder="1">
      <alignment horizontal="left" vertical="center"/>
    </xf>
    <xf numFmtId="0" fontId="52" fillId="4" borderId="0" xfId="6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53" fillId="0" borderId="0" xfId="2" applyFont="1"/>
    <xf numFmtId="0" fontId="54" fillId="14" borderId="2" xfId="64">
      <alignment horizontal="center" vertical="center"/>
    </xf>
    <xf numFmtId="0" fontId="55"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7" fillId="9" borderId="0" xfId="32" applyFont="1" applyFill="1"/>
    <xf numFmtId="0" fontId="38" fillId="9" borderId="0" xfId="8" applyFill="1">
      <alignment horizontal="left" vertical="center"/>
    </xf>
    <xf numFmtId="0" fontId="17" fillId="11" borderId="0" xfId="31" applyFill="1">
      <alignment vertical="center"/>
    </xf>
    <xf numFmtId="0" fontId="43" fillId="13" borderId="19" xfId="40" applyBorder="1">
      <alignment horizontal="left" vertical="center"/>
    </xf>
    <xf numFmtId="0" fontId="44" fillId="13" borderId="20" xfId="40" applyFont="1" applyBorder="1">
      <alignment horizontal="left" vertical="center"/>
    </xf>
    <xf numFmtId="0" fontId="43" fillId="13" borderId="20" xfId="40" applyBorder="1">
      <alignment horizontal="left" vertical="center"/>
    </xf>
    <xf numFmtId="0" fontId="50"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6"/>
      <tableStyleElement type="headerRow" dxfId="65"/>
      <tableStyleElement type="totalRow" dxfId="64"/>
      <tableStyleElement type="firstColumn" dxfId="63"/>
      <tableStyleElement type="firstRowStripe" dxfId="62"/>
      <tableStyleElement type="secondRowStripe" dxfId="61"/>
    </tableStyle>
    <tableStyle name="Equation table" pivot="0" count="6" xr9:uid="{B247698E-E41D-4CCD-AA0A-C14817E9DE65}">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Total annual methane production from enteric fermentation in other livestock</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𝐸_𝑒𝑛𝑡𝑒𝑟𝑖𝑐=∑8_𝑗▒(𝑁_𝑗×𝑀_𝑗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54"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53" dataCellStyle="Content normal">
  <autoFilter ref="D24:E32" xr:uid="{75649617-63F2-4A80-A5EB-06A3280A3C57}">
    <filterColumn colId="0" hiddenButton="1"/>
    <filterColumn colId="1" hiddenButton="1"/>
  </autoFilter>
  <tableColumns count="2">
    <tableColumn id="1" xr3:uid="{3E3B834E-0F7A-47D3-954A-A57B2234370A}" name="Other livestock type" dataDxfId="52"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51"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50" dataCellStyle="Content normal">
  <autoFilter ref="D39:E47" xr:uid="{522C94C8-449D-4574-AF4D-39C274C53A6F}">
    <filterColumn colId="0" hiddenButton="1"/>
    <filterColumn colId="1" hiddenButton="1"/>
  </autoFilter>
  <tableColumns count="2">
    <tableColumn id="1" xr3:uid="{92CD5559-01AC-4144-B6DC-7F856864840C}" name="Other livestock type" dataDxfId="49"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48"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47"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46"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45"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44"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43"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42"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41"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40"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39"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38"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37"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36"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E089AD-2CC8-4A13-B28C-D1C37F1413FD}"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C8F314E-448B-4DFB-9FB6-24EB1C068822}" name="State/Territory">
      <calculatedColumnFormula array="1">Common_InputFunctions.Utility_DisplayArrayInTable(Common_SourceData.Common_SourceData_AustralianStatesTerritories_Data(),Table_AustralianStates[[#Headers],[State/Territory]],0)</calculatedColumnFormula>
    </tableColumn>
    <tableColumn id="2" xr3:uid="{0CDE5FB6-156E-4C8F-BE5E-AE847E4623E5}" name="Common Name">
      <calculatedColumnFormula array="1">Common_InputFunctions.Utility_DisplayArrayInTable(Common_SourceData.Common_SourceData_AustralianStatesTerritories_Data(),Table_AustralianStates[[#Headers],[State/Territory]],0)</calculatedColumnFormula>
    </tableColumn>
    <tableColumn id="3" xr3:uid="{48462493-A4EA-444E-992B-54CD236800A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77630A7-A8D1-4F5F-B575-BC9FABFD34E8}" name="Table_WASA4Areas" displayName="Table_WASA4Areas" ref="D20:D30" totalsRowShown="0">
  <autoFilter ref="D20:D30" xr:uid="{5FA81339-C6C8-4D36-BEEA-6C4AEDD9E676}">
    <filterColumn colId="0" hiddenButton="1"/>
  </autoFilter>
  <tableColumns count="1">
    <tableColumn id="1" xr3:uid="{D18F34C1-11FB-4248-811F-713D855F694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11C6061-9DBF-4C48-A0C9-EF5912EE11FB}" name="Table_GWPData" displayName="Table_GWPData" ref="D36:E43" totalsRowShown="0">
  <autoFilter ref="D36:E43" xr:uid="{B8E87A66-3E41-4AD3-925D-01EE21B43D7A}">
    <filterColumn colId="0" hiddenButton="1"/>
    <filterColumn colId="1" hiddenButton="1"/>
  </autoFilter>
  <tableColumns count="2">
    <tableColumn id="1" xr3:uid="{D1260DFE-7F08-4477-ADE7-CA810E99F721}" name="Gas">
      <calculatedColumnFormula array="1">Common_InputFunctions.Utility_DisplayArrayInTable(Common_SourceData.Common_SourceData_GWP_Data(), Table_GWPData[[#Headers],[Gas]], 0)</calculatedColumnFormula>
    </tableColumn>
    <tableColumn id="2" xr3:uid="{E52C9195-EBCB-4DA9-9E83-AFF26E2BF1B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71AF780-EF58-40FF-A830-4A54D473212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2AB5E5-72DD-48EA-A441-7826E274BEFA}" name="Gas">
      <calculatedColumnFormula array="1">Common_InputFunctions.Utility_DisplayArrayInTable(Common_SourceData.Common_SourceData_ConvertGasElementalToMolecular_Data(),Table_GasToMolecularConversionFactor[[#Headers],[Gas]], 0)</calculatedColumnFormula>
    </tableColumn>
    <tableColumn id="5" xr3:uid="{C069A4B0-ECBC-487A-9D3E-D40BCB3AFE2D}" name="Conversion factor">
      <calculatedColumnFormula array="1">Common_InputFunctions.Utility_DisplayArrayInTable(Common_SourceData.Common_SourceData_ConvertGasElementalToMolecular_Data(),Table_GasToMolecularConversionFactor[[#Headers],[Gas]], 0)</calculatedColumnFormula>
    </tableColumn>
    <tableColumn id="2" xr3:uid="{6F9E09B3-0380-428A-9CB8-C5355F18AB24}"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99DCAD2-B15F-455D-A39D-C0CB7872FAC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79D1385-10B4-4C3D-812C-B3ADC8B6446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571E06B-2FB6-4DCB-9306-6E8B7E50DF1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1368F08-D067-4EEC-B0CC-D2E1F6D9327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73305BF-D908-4C35-A934-C13BC9D3D8FF}"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DF05DA85-723A-420A-AA03-0A716BECCE22}"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8B8F9D2B-3A8F-44F1-9417-280165AE86AB}"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31B1CBF8-C757-4A17-AD4E-3FED04A08D97}"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9F5D51C1-ECC4-49B6-A4BE-AE3B3C663E64}"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874F3D25-0748-4359-BEF3-58E34D4DFAA6}"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79652299-3198-47E6-B342-A54F0A0B367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A0139A89-1186-4484-B833-03C424C4D2C4}"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BD7A797C-3EEA-481F-9533-984ECCA62AC3}"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29123C0E-9E60-43AB-8679-2AC0908200D0}"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04AF6D35-FBEF-4E38-B28D-0C23F8EDC5F6}"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475991F7-F3B5-4EEA-966A-7AA8BC301814}"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767BBD4C-C554-4460-AAD8-ECADA490C9C0}"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5D9D85B-649F-4683-B866-BF022CDF3E13}"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69B2D30-E5CD-48F6-AF2A-DAC6295F1FF1}"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DDF37ED-9327-4273-B740-938A1214436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6F7317C-9F68-4F62-B737-D7ABF2DFF38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29B1B14-5629-4B1C-9602-463A80BF745E}"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90E8CDE-696F-471D-B4F7-D0F3BE6AD6E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767FA53-E454-4115-A4B3-DED062EED278}" name="Temperature Zone">
      <calculatedColumnFormula array="1">Common_InputFunctions.Utility_DisplayArrayInTable(Common_SourceData.Common_SourceData_TemperatureZones_Data(),Table_SourceData_TemperatureZones[[#Headers],[Temperature Zone]],0)</calculatedColumnFormula>
    </tableColumn>
    <tableColumn id="2" xr3:uid="{28532D1E-227F-4FEB-818C-7F2BC92126D0}" name="MAT">
      <calculatedColumnFormula array="1">Common_InputFunctions.Utility_DisplayArrayInTable(Common_SourceData.Common_SourceData_TemperatureZones_Data(),Table_SourceData_TemperatureZones[[#Headers],[Temperature Zone]],0)</calculatedColumnFormula>
    </tableColumn>
    <tableColumn id="3" xr3:uid="{45E163CE-3902-4B82-B9CC-59620B4E4ED4}" name="Min MAT">
      <calculatedColumnFormula array="1">Common_InputFunctions.Utility_DisplayArrayInTable(Common_SourceData.Common_SourceData_TemperatureZones_Data(),Table_SourceData_TemperatureZones[[#Headers],[Temperature Zone]],0)</calculatedColumnFormula>
    </tableColumn>
    <tableColumn id="4" xr3:uid="{96F2EA78-ED18-493D-8A43-55427191118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8354839-706C-4F2B-BF62-2EF4D3DA4D6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87CE355-CB72-4F48-96ED-6DC9E1A54DA9}" name="Rainfall Zone">
      <calculatedColumnFormula array="1">Common_InputFunctions.Utility_DisplayArrayInTable(Common_SourceData.Common_SourceData_RainfallZones_Data(),Table_SourceData_RainfallZones[[#Headers],[Rainfall Zone]],0)</calculatedColumnFormula>
    </tableColumn>
    <tableColumn id="2" xr3:uid="{CF57602B-CA70-4AA7-94E6-9CE1D9C8C294}" name="Annual rainfall">
      <calculatedColumnFormula array="1">Common_InputFunctions.Utility_DisplayArrayInTable(Common_SourceData.Common_SourceData_RainfallZones_Data(),Table_SourceData_RainfallZones[[#Headers],[Rainfall Zone]],0)</calculatedColumnFormula>
    </tableColumn>
    <tableColumn id="3" xr3:uid="{6165D635-272A-4C24-B337-38B8A33057DA}" name="Min rainfall">
      <calculatedColumnFormula array="1">Common_InputFunctions.Utility_DisplayArrayInTable(Common_SourceData.Common_SourceData_RainfallZones_Data(),Table_SourceData_RainfallZones[[#Headers],[Rainfall Zone]],0)</calculatedColumnFormula>
    </tableColumn>
    <tableColumn id="4" xr3:uid="{02DC014A-F442-41A1-82FF-EFC4545791D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8538017-FC63-4011-82EC-704266C8D2C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DFAA5237-AAFB-4DF9-9DA3-DCD93FAB1DC5}" name="Leaching Zone">
      <calculatedColumnFormula array="1">Common_InputFunctions.Utility_DisplayArrayInTable(Common_SourceData.Common_SourceData_LeachingZones_Data(), Table_SourceData_LeachingZones[[#Headers],[Leaching Zone]], 0)</calculatedColumnFormula>
    </tableColumn>
    <tableColumn id="2" xr3:uid="{A09764E1-6E11-4B1C-B1F1-FEBC49B8E8D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853BA63-FF03-4462-8DF7-1B181A1E988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2863E7D-F37C-4BA5-9E68-29F1E38F6FDA}" name="Data source">
      <calculatedColumnFormula array="1">Common_InputFunctions.Utility_DisplayArrayInTable(Common_SourceData.Common_SourceData_DataScores_Scope3_Data(), Table_SourceData_DataScores_Scope3[[#Headers],[Data source]], 0)</calculatedColumnFormula>
    </tableColumn>
    <tableColumn id="2" xr3:uid="{4991511C-C30A-414A-A986-F9F2B5CC50F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3AEE5E4-934C-4F38-B902-F08C65D152AC}" name="Table_SourceData_FracWET" displayName="Table_SourceData_FracWET" ref="D134:E136" totalsRowShown="0">
  <autoFilter ref="D134:E136" xr:uid="{308E99BE-FE1F-47A4-B2CA-97217277C4E9}">
    <filterColumn colId="0" hiddenButton="1"/>
    <filterColumn colId="1" hiddenButton="1"/>
  </autoFilter>
  <tableColumns count="2">
    <tableColumn id="1" xr3:uid="{C06588B3-DEB9-485D-8845-44DC96AA1C03}" name="Is in leaching zone">
      <calculatedColumnFormula array="1">Common_InputFunctions.Utility_DisplayArrayInTable(Common_SourceData.Common_SourceData_FracWET_Data(),Table_SourceData_FracWET[[#Headers],[Is in leaching zone]],0)</calculatedColumnFormula>
    </tableColumn>
    <tableColumn id="2" xr3:uid="{0CB971CE-8314-492D-B32B-05442AFAE65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C204499-D622-48C9-BC09-4C59BFEF7A1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E9A6402-9F17-45D6-81C9-B41AC3C7954F}" name="Production system j">
      <calculatedColumnFormula array="1">Common_InputFunctions.Utility_DisplayArrayInTable(Common_SourceData.Common_SourceData_EFN2O_Data(), Table_SourceData_Common_EFN2O[[#Headers],[Production system j]], 0)</calculatedColumnFormula>
    </tableColumn>
    <tableColumn id="2" xr3:uid="{7CE8B532-E797-4359-A943-59732EBA406D}" name="EFN2O">
      <calculatedColumnFormula array="1">Common_InputFunctions.Utility_DisplayArrayInTable(Common_SourceData.Common_SourceData_EFN2O_Data(), Table_SourceData_Common_EFN2O[[#Headers],[Production system j]], 0)</calculatedColumnFormula>
    </tableColumn>
    <tableColumn id="3" xr3:uid="{A318BF51-4D2E-48DE-BE88-1E4A8ED19B82}" name="Production system only">
      <calculatedColumnFormula array="1">Common_InputFunctions.Utility_DisplayArrayInTable(Common_SourceData.Common_SourceData_EFN2O_Data(), Table_SourceData_Common_EFN2O[[#Headers],[Production system j]], 0)</calculatedColumnFormula>
    </tableColumn>
    <tableColumn id="4" xr3:uid="{2C6FADCF-C3FB-4DD1-9001-F40AFA0E89CC}" name="Irrigation method">
      <calculatedColumnFormula array="1">Common_InputFunctions.Utility_DisplayArrayInTable(Common_SourceData.Common_SourceData_EFN2O_Data(), Table_SourceData_Common_EFN2O[[#Headers],[Production system j]], 0)</calculatedColumnFormula>
    </tableColumn>
    <tableColumn id="5" xr3:uid="{8487FBC9-6B3C-4956-B063-649C33304B0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1ECE1AA-22EA-44EA-9C2E-4882AFCB4FA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69E76C7-3ABC-4D33-A248-F4FD8C78DC75}" name="Irrigation type i">
      <calculatedColumnFormula array="1">Common_InputFunctions.Utility_DisplayArrayInTable(Common_SourceData.Common_SourceData_FracWETIrrigation_Data(), Table_SourceData_FracWETIrrigation[[#Headers],[Irrigation type i]], 0)</calculatedColumnFormula>
    </tableColumn>
    <tableColumn id="2" xr3:uid="{30062886-D624-44B9-A4D6-8172FDB32ACC}"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C67BE23-86D2-4A05-B2BC-EE396C2C0C0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236BDD8-AEEC-4D8A-AEFB-ED9356DF3DD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6888293-D606-47A6-8932-E2CD434BD8A5}"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FCD272F-7568-43A4-AF7A-23066986692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82A87F0-D13A-4480-8492-F3D2503C41E2}" name="Month">
      <calculatedColumnFormula array="1">Common_InputFunctions.Utility_DisplayArrayInTable(Common_SourceData.Common_SourceData_MonthsToSeasons_Data(), Table_SourceData_Common_MonthToSeason[[#Headers],[Month]], 0)</calculatedColumnFormula>
    </tableColumn>
    <tableColumn id="2" xr3:uid="{3A38DFCE-8BC1-411E-9649-BA3B242C5C67}"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9D87315-F27A-46A3-A327-DB14F89DB92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4BFEBA4-3487-4BE5-88B9-85DB7D433F7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E7A79F3-7EC2-470C-8060-08333EAEE5D6}"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B41F6A9-5353-48F8-BBE2-FDDAFFCEC3DF}"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6BC84F5-D586-4491-8920-08D8E8254F8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8357028-DF7D-43C1-8693-BE3CCAEDC19B}"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6A64015-6571-40C8-8B97-9ACD24D0FDFF}"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BE8A0DB7-DA22-4D11-8D6E-5B03E95383E1}"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E9FF3D7-C170-4D01-8CAA-D667E3762352}"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E8195E9-7EB7-4255-B88A-1A7D661007AC}"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8290DA2-F81B-417D-8DFF-811E04AE5CD6}"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556C44B-D53C-43B5-AFA8-775CF9A97C5A}"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D7005A7-1332-4775-A075-04932CE4CB0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D24F3C7-0171-4241-9095-F217ACFB21FD}"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9A1E1BC-6DAC-4A86-933B-0394729DEF0D}"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37545E7-3A7F-4E1D-9175-AF768DF5CDB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1BDA555-814C-4F57-A554-B9E8D1197D3B}"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18D91AC-F0D7-45AF-888F-8CCD5245EE6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D1030A0-8423-4F54-A208-B8E2F9F2CCA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D7849B7-3122-4868-94E6-53DB0ADF4E31}"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57" t="e" vm="1">
        <v>#VALUE!</v>
      </c>
      <c r="C1" s="94" t="s">
        <v>141</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row>
    <row r="2" spans="1:64" ht="20.100000000000001" customHeight="1" x14ac:dyDescent="0.25">
      <c r="A2" s="9"/>
      <c r="C2" s="95"/>
      <c r="D2" s="95"/>
      <c r="E2" s="95"/>
      <c r="F2" s="95"/>
      <c r="G2" s="95"/>
      <c r="H2" s="95"/>
      <c r="I2" s="95"/>
      <c r="J2" s="95"/>
      <c r="K2" s="95"/>
      <c r="L2" s="95"/>
      <c r="M2" s="95"/>
      <c r="N2" s="95"/>
      <c r="O2" s="95"/>
      <c r="P2" s="95"/>
      <c r="Q2" s="95"/>
      <c r="R2" s="95"/>
      <c r="S2" s="95"/>
      <c r="T2" s="95"/>
      <c r="U2" s="95"/>
      <c r="V2" s="95"/>
      <c r="W2" s="95"/>
      <c r="X2" s="95"/>
      <c r="Y2" s="95"/>
      <c r="Z2" s="95"/>
      <c r="AA2" s="95"/>
      <c r="AB2" s="95"/>
      <c r="AC2" s="95"/>
      <c r="AD2" s="95"/>
      <c r="AE2" s="95"/>
      <c r="AF2" s="95"/>
      <c r="AG2" s="95"/>
    </row>
    <row r="3" spans="1:64" ht="20.100000000000001" customHeight="1" x14ac:dyDescent="0.25">
      <c r="A3" s="17" t="str">
        <f>HYPERLINK("#'Home'!A1", "Home")</f>
        <v>Home</v>
      </c>
      <c r="C3" s="96"/>
      <c r="D3" s="96"/>
      <c r="E3" s="96"/>
      <c r="F3" s="96"/>
      <c r="G3" s="96"/>
      <c r="H3" s="96"/>
      <c r="I3" s="96"/>
      <c r="J3" s="96"/>
      <c r="K3" s="96"/>
      <c r="L3" s="96"/>
      <c r="M3" s="96"/>
      <c r="N3" s="96"/>
      <c r="O3" s="96"/>
      <c r="P3" s="96"/>
      <c r="Q3" s="96"/>
      <c r="R3" s="96"/>
      <c r="S3" s="96"/>
      <c r="T3" s="96"/>
      <c r="U3" s="96"/>
      <c r="V3" s="96"/>
      <c r="W3" s="96"/>
      <c r="X3" s="96"/>
      <c r="Y3" s="96"/>
      <c r="Z3" s="96"/>
      <c r="AA3" s="96"/>
      <c r="AB3" s="96"/>
      <c r="AC3" s="96"/>
      <c r="AD3" s="96"/>
      <c r="AE3" s="96"/>
      <c r="AF3" s="96"/>
      <c r="AG3" s="96"/>
      <c r="AH3" s="96"/>
      <c r="AI3" s="96"/>
      <c r="AJ3" s="96"/>
      <c r="AK3" s="96"/>
      <c r="AL3" s="96"/>
      <c r="AM3" s="96"/>
      <c r="AN3" s="96"/>
      <c r="AO3" s="96"/>
      <c r="AP3" s="96"/>
      <c r="AQ3" s="96"/>
      <c r="AR3" s="96"/>
      <c r="AS3" s="96"/>
      <c r="AT3" s="96"/>
      <c r="AU3" s="96"/>
      <c r="AV3" s="96"/>
      <c r="AW3" s="96"/>
      <c r="AX3" s="96"/>
      <c r="AY3" s="96"/>
      <c r="AZ3" s="96"/>
      <c r="BA3" s="96"/>
      <c r="BB3" s="96"/>
      <c r="BC3" s="96"/>
      <c r="BD3" s="96"/>
      <c r="BE3" s="96"/>
      <c r="BF3" s="96"/>
      <c r="BG3" s="96"/>
      <c r="BH3" s="96"/>
      <c r="BI3" s="96"/>
      <c r="BJ3" s="96"/>
      <c r="BK3" s="96"/>
      <c r="BL3" s="96"/>
    </row>
    <row r="4" spans="1:64" ht="20.100000000000001" customHeight="1" x14ac:dyDescent="0.25">
      <c r="A4" s="10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97" t="s">
        <v>103</v>
      </c>
      <c r="E5" s="97"/>
      <c r="F5" s="97"/>
      <c r="G5" s="97"/>
      <c r="H5" s="97"/>
      <c r="I5" s="83"/>
      <c r="J5" s="73"/>
      <c r="K5" s="73"/>
      <c r="L5" s="73"/>
      <c r="M5" s="73"/>
      <c r="N5" s="73"/>
      <c r="O5" s="69"/>
      <c r="P5" s="1"/>
      <c r="Q5" s="1"/>
      <c r="R5" s="1"/>
      <c r="S5" s="1"/>
      <c r="T5" s="1"/>
      <c r="U5" s="1"/>
      <c r="V5" s="1"/>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98" t="s">
        <v>101</v>
      </c>
      <c r="E6" s="99"/>
      <c r="F6" s="99"/>
      <c r="G6" s="99"/>
      <c r="H6" s="99"/>
      <c r="I6" s="75"/>
      <c r="J6" s="72"/>
      <c r="K6" s="72"/>
      <c r="L6" s="72"/>
      <c r="M6" s="72"/>
      <c r="N6" s="72"/>
      <c r="O6" s="70"/>
      <c r="P6" s="1"/>
      <c r="Q6" s="1"/>
      <c r="R6" s="1"/>
      <c r="S6" s="1"/>
      <c r="T6" s="1"/>
      <c r="U6" s="1"/>
      <c r="V6" s="1"/>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56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HYPERLINK("#'3.6.1.1-2 Enteric Methane'!A1", "3.6.1.1-2 Enteric Methane")</f>
        <v>3.6.1.1-2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HYPERLINK("#'Constants - Other Livestock'!A1", "Constants - Other Livestock")</f>
        <v>Constants - Other Livestock</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HYPERLINK("#'Constants - Common'!A1", "Constants - Common")</f>
        <v>Constants - Common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HYPERLINK("#'Acknowledgements'!A1", "Acknowledgements")</f>
        <v>Acknowledgements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H16" sqref="H16"/>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7" t="e" vm="1">
        <v>#VALUE!</v>
      </c>
      <c r="C1" s="88" t="s">
        <v>140</v>
      </c>
    </row>
    <row r="2" spans="1:12" ht="20.100000000000001" customHeight="1" x14ac:dyDescent="0.25">
      <c r="A2" s="9"/>
      <c r="C2" s="9"/>
    </row>
    <row r="3" spans="1:12" ht="20.100000000000001" customHeight="1" x14ac:dyDescent="0.25">
      <c r="A3" s="17" t="str">
        <f>HYPERLINK("#'Home'!A1", "Home")</f>
        <v>Home</v>
      </c>
      <c r="C3" s="22"/>
      <c r="D3" s="22"/>
      <c r="E3" s="22"/>
      <c r="F3" s="22"/>
      <c r="G3" s="22"/>
      <c r="H3" s="22"/>
      <c r="I3" s="22"/>
      <c r="J3" s="22"/>
      <c r="K3" s="22"/>
      <c r="L3" s="22"/>
    </row>
    <row r="4" spans="1:12" ht="20.100000000000001" customHeight="1" x14ac:dyDescent="0.25">
      <c r="A4" s="17" t="str">
        <f>HYPERLINK("#'Overview'!A1", "Overview")</f>
        <v>Overview</v>
      </c>
      <c r="C4" s="22"/>
      <c r="D4" s="6" t="s">
        <v>5</v>
      </c>
      <c r="E4" s="24"/>
      <c r="F4" s="24"/>
      <c r="G4" s="24"/>
      <c r="H4" s="6"/>
      <c r="I4" s="6"/>
      <c r="J4" s="6"/>
      <c r="K4" s="6"/>
      <c r="L4" s="25"/>
    </row>
    <row r="5" spans="1:12" ht="20.100000000000001" customHeight="1" x14ac:dyDescent="0.3">
      <c r="A5" s="103" t="str">
        <f>HYPERLINK("#'Results'!A1", "Results")</f>
        <v>Results</v>
      </c>
      <c r="C5" s="22"/>
      <c r="D5" s="26"/>
      <c r="E5" s="27"/>
      <c r="F5" s="27"/>
      <c r="G5" s="27"/>
      <c r="H5" s="24"/>
      <c r="I5" s="22"/>
      <c r="J5" s="22"/>
      <c r="K5" s="22"/>
      <c r="L5" s="22"/>
    </row>
    <row r="6" spans="1:12" ht="20.100000000000001" customHeight="1" x14ac:dyDescent="0.25">
      <c r="A6" s="16"/>
      <c r="C6" s="22"/>
      <c r="D6" s="87" t="s">
        <v>68</v>
      </c>
      <c r="E6" s="87" t="s">
        <v>81</v>
      </c>
      <c r="F6" s="87" t="s">
        <v>82</v>
      </c>
      <c r="G6" s="87" t="s">
        <v>74</v>
      </c>
      <c r="H6" s="87" t="s">
        <v>83</v>
      </c>
      <c r="I6" s="87" t="s">
        <v>85</v>
      </c>
      <c r="J6" s="87" t="s">
        <v>75</v>
      </c>
      <c r="K6" s="22"/>
      <c r="L6" s="22"/>
    </row>
    <row r="7" spans="1:12" ht="20.100000000000001" customHeight="1" x14ac:dyDescent="0.25">
      <c r="A7" s="20" t="s">
        <v>3</v>
      </c>
      <c r="C7" s="22"/>
      <c r="D7" s="1" t="s">
        <v>102</v>
      </c>
      <c r="E7" s="85">
        <f>'3.6.1.1-2 Enteric Methane'!E28</f>
        <v>630.69999999999993</v>
      </c>
      <c r="F7" s="85">
        <f>E7</f>
        <v>630.69999999999993</v>
      </c>
      <c r="G7" s="50" t="s">
        <v>143</v>
      </c>
      <c r="H7" s="85">
        <f>'3.6.1.1-2 Enteric Methane'!E33</f>
        <v>17659.599999999999</v>
      </c>
      <c r="I7" s="85">
        <f>H7</f>
        <v>17659.599999999999</v>
      </c>
      <c r="J7" s="50" t="s">
        <v>84</v>
      </c>
      <c r="K7" s="22"/>
      <c r="L7" s="22"/>
    </row>
    <row r="8" spans="1:12" ht="20.100000000000001" customHeight="1" x14ac:dyDescent="0.3">
      <c r="A8" s="17" t="str">
        <f>HYPERLINK("#'Input - Site'!A1", "Site")</f>
        <v>Site</v>
      </c>
      <c r="C8" s="22"/>
      <c r="D8" s="29" t="s">
        <v>73</v>
      </c>
      <c r="E8" s="23"/>
      <c r="F8" s="29"/>
      <c r="G8" s="29"/>
      <c r="H8" s="86">
        <f>SUM(H7:H7)</f>
        <v>17659.599999999999</v>
      </c>
      <c r="I8" s="86">
        <f>SUM(I7:I7)</f>
        <v>17659.599999999999</v>
      </c>
      <c r="J8" s="81" t="s">
        <v>84</v>
      </c>
      <c r="K8" s="22"/>
      <c r="L8" s="22"/>
    </row>
    <row r="9" spans="1:12" ht="20.100000000000001" customHeight="1" x14ac:dyDescent="0.25">
      <c r="A9" s="17" t="str">
        <f>HYPERLINK("#'Input - Other Livestock'!A1", "Other Livestock")</f>
        <v>Other Livestock</v>
      </c>
      <c r="C9" s="22"/>
      <c r="D9" s="1"/>
      <c r="E9" s="1"/>
      <c r="F9" s="1"/>
      <c r="G9" s="24"/>
      <c r="H9" s="22"/>
      <c r="I9" s="1"/>
      <c r="J9" s="1"/>
      <c r="K9" s="22"/>
      <c r="L9" s="22"/>
    </row>
    <row r="10" spans="1:12" ht="20.100000000000001" customHeight="1" x14ac:dyDescent="0.25">
      <c r="A10" s="17"/>
      <c r="C10" s="22"/>
      <c r="D10" s="1"/>
      <c r="E10" s="1"/>
      <c r="F10" s="1"/>
      <c r="G10" s="1"/>
      <c r="H10" s="1"/>
      <c r="I10" s="1"/>
      <c r="J10" s="1"/>
      <c r="K10" s="22"/>
      <c r="L10" s="22"/>
    </row>
    <row r="11" spans="1:12" ht="20.100000000000001" customHeight="1" x14ac:dyDescent="0.25">
      <c r="A11" s="19" t="s">
        <v>56</v>
      </c>
      <c r="C11" s="22"/>
      <c r="D11" s="1"/>
      <c r="E11" s="1"/>
      <c r="F11" s="1"/>
      <c r="G11" s="1"/>
      <c r="H11" s="1"/>
      <c r="I11" s="1"/>
      <c r="J11" s="1"/>
      <c r="K11" s="22"/>
      <c r="L11" s="22"/>
    </row>
    <row r="12" spans="1:12" ht="20.100000000000001" customHeight="1" x14ac:dyDescent="0.25">
      <c r="A12" s="17" t="str">
        <f>HYPERLINK("#'3.6.1.1-2 Enteric Methane'!A1", "3.6.1.1-2 Enteric Methane")</f>
        <v>3.6.1.1-2 Enteric Methane</v>
      </c>
      <c r="C12" s="22"/>
      <c r="D12" s="1"/>
      <c r="E12" s="1"/>
      <c r="F12" s="1"/>
      <c r="G12" s="1"/>
      <c r="H12" s="1"/>
      <c r="I12" s="1"/>
      <c r="J12" s="1"/>
      <c r="K12" s="22"/>
      <c r="L12" s="22"/>
    </row>
    <row r="13" spans="1:12" ht="20.100000000000001" customHeight="1" x14ac:dyDescent="0.25">
      <c r="C13" s="22"/>
      <c r="D13" s="1"/>
      <c r="E13" s="1"/>
      <c r="F13" s="1"/>
      <c r="G13" s="1"/>
      <c r="H13" s="1"/>
      <c r="I13" s="1"/>
      <c r="J13" s="1"/>
      <c r="K13" s="22"/>
      <c r="L13" s="22"/>
    </row>
    <row r="14" spans="1:12" ht="20.100000000000001" customHeight="1" x14ac:dyDescent="0.25">
      <c r="A14" s="18" t="s">
        <v>4</v>
      </c>
      <c r="C14" s="22"/>
      <c r="D14" s="1"/>
      <c r="E14" s="1"/>
      <c r="F14" s="1"/>
      <c r="G14" s="1"/>
      <c r="H14" s="1"/>
      <c r="I14" s="1"/>
      <c r="J14" s="1"/>
      <c r="K14" s="22"/>
      <c r="L14" s="22"/>
    </row>
    <row r="15" spans="1:12" ht="20.100000000000001" customHeight="1" x14ac:dyDescent="0.25">
      <c r="A15" s="17" t="str">
        <f>HYPERLINK("#'Constants - Other Livestock'!A1", "Constants - Other Livestock")</f>
        <v>Constants - Other Livestock</v>
      </c>
      <c r="C15" s="22"/>
      <c r="D15" s="1"/>
      <c r="E15" s="1"/>
      <c r="F15" s="1"/>
      <c r="G15" s="1"/>
      <c r="H15" s="1"/>
      <c r="I15" s="1"/>
      <c r="J15" s="1"/>
      <c r="K15" s="22"/>
      <c r="L15" s="22"/>
    </row>
    <row r="16" spans="1:12" ht="20.100000000000001" customHeight="1" x14ac:dyDescent="0.25">
      <c r="A16" s="17" t="str">
        <f>HYPERLINK("#'Constants - Common'!A1", "Constants - Common")</f>
        <v>Constants - Common</v>
      </c>
      <c r="C16" s="22"/>
      <c r="D16" s="1"/>
      <c r="E16" s="1"/>
      <c r="F16" s="1"/>
      <c r="G16" s="1"/>
      <c r="H16" s="1"/>
      <c r="I16" s="1"/>
      <c r="J16" s="1"/>
      <c r="K16" s="22"/>
      <c r="L16" s="22"/>
    </row>
    <row r="17" spans="1:12" ht="20.100000000000001" customHeight="1" x14ac:dyDescent="0.25">
      <c r="A17" s="17" t="str">
        <f>HYPERLINK("#'Acknowledgements'!A1", "Acknowledgements")</f>
        <v>Acknowledgements</v>
      </c>
      <c r="C17" s="22"/>
      <c r="D17" s="1"/>
      <c r="E17" s="1"/>
      <c r="F17" s="1"/>
      <c r="G17" s="1"/>
      <c r="H17" s="1"/>
      <c r="I17" s="1"/>
      <c r="J17" s="1"/>
      <c r="K17" s="22"/>
      <c r="L17" s="22"/>
    </row>
    <row r="18" spans="1:12" ht="20.100000000000001" customHeight="1" x14ac:dyDescent="0.25">
      <c r="C18" s="22"/>
      <c r="D18" s="1"/>
      <c r="E18" s="1"/>
      <c r="F18" s="1"/>
      <c r="G18" s="1"/>
      <c r="H18" s="1"/>
      <c r="I18" s="1"/>
      <c r="J18" s="1"/>
      <c r="K18" s="22"/>
      <c r="L18" s="22"/>
    </row>
    <row r="19" spans="1:12" ht="20.100000000000001" customHeight="1" x14ac:dyDescent="0.25">
      <c r="C19" s="22"/>
      <c r="D19" s="1"/>
      <c r="E19" s="1"/>
      <c r="F19" s="1"/>
      <c r="G19" s="1"/>
      <c r="H19" s="1"/>
      <c r="I19" s="1"/>
      <c r="J19" s="1"/>
      <c r="K19" s="22"/>
      <c r="L19" s="22"/>
    </row>
    <row r="20" spans="1:12" ht="20.100000000000001" customHeight="1" x14ac:dyDescent="0.25">
      <c r="C20" s="22"/>
      <c r="D20" s="1"/>
      <c r="E20" s="1"/>
      <c r="F20" s="1"/>
      <c r="G20" s="1"/>
      <c r="H20" s="1"/>
      <c r="I20" s="1"/>
      <c r="J20" s="1"/>
      <c r="K20" s="22"/>
      <c r="L20" s="22"/>
    </row>
    <row r="21" spans="1:12" ht="20.100000000000001" customHeight="1" x14ac:dyDescent="0.25">
      <c r="A21" s="17"/>
      <c r="C21" s="22"/>
      <c r="D21" s="1"/>
      <c r="E21" s="1"/>
      <c r="F21" s="1"/>
      <c r="G21" s="1"/>
      <c r="H21" s="1"/>
      <c r="I21" s="1"/>
      <c r="J21" s="1"/>
      <c r="K21" s="22"/>
      <c r="L21" s="22"/>
    </row>
    <row r="22" spans="1:12" ht="20.100000000000001" customHeight="1" x14ac:dyDescent="0.25">
      <c r="C22" s="22"/>
      <c r="D22" s="1"/>
      <c r="E22" s="1"/>
      <c r="F22" s="1"/>
      <c r="G22" s="1"/>
      <c r="H22" s="1"/>
      <c r="I22" s="1"/>
      <c r="J22" s="1"/>
      <c r="K22" s="22"/>
      <c r="L22" s="22"/>
    </row>
    <row r="23" spans="1:12" ht="20.100000000000001" customHeight="1" x14ac:dyDescent="0.25">
      <c r="C23" s="22"/>
      <c r="D23" s="1"/>
      <c r="E23" s="1"/>
      <c r="F23" s="1"/>
      <c r="G23" s="1"/>
      <c r="H23" s="1"/>
      <c r="I23" s="1"/>
      <c r="J23" s="1"/>
      <c r="K23" s="22"/>
      <c r="L23" s="22"/>
    </row>
    <row r="24" spans="1:12" ht="20.100000000000001" customHeight="1" x14ac:dyDescent="0.25">
      <c r="A24" s="17"/>
      <c r="C24" s="22"/>
      <c r="D24" s="1"/>
      <c r="E24" s="1"/>
      <c r="F24" s="1"/>
      <c r="G24" s="1"/>
      <c r="H24" s="1"/>
      <c r="I24" s="1"/>
      <c r="J24" s="1"/>
      <c r="K24" s="22"/>
      <c r="L24" s="22"/>
    </row>
    <row r="25" spans="1:12" ht="20.100000000000001" customHeight="1" x14ac:dyDescent="0.25">
      <c r="A25" s="17"/>
      <c r="C25" s="22"/>
      <c r="D25" s="1"/>
      <c r="E25" s="1"/>
      <c r="F25" s="1"/>
      <c r="G25" s="1"/>
      <c r="H25" s="1"/>
      <c r="I25" s="1"/>
      <c r="J25" s="1"/>
      <c r="K25" s="22"/>
      <c r="L25" s="22"/>
    </row>
    <row r="26" spans="1:12" ht="20.100000000000001" customHeight="1" x14ac:dyDescent="0.25">
      <c r="C26" s="22"/>
      <c r="D26" s="1"/>
      <c r="E26" s="1"/>
      <c r="F26" s="1"/>
      <c r="G26" s="1"/>
      <c r="H26" s="1"/>
      <c r="I26" s="1"/>
      <c r="J26" s="1"/>
      <c r="K26" s="22"/>
      <c r="L26" s="22"/>
    </row>
    <row r="27" spans="1:12" ht="20.100000000000001" customHeight="1" x14ac:dyDescent="0.25">
      <c r="C27" s="22"/>
      <c r="D27" s="1"/>
      <c r="E27" s="1"/>
      <c r="F27" s="1"/>
      <c r="G27" s="1"/>
      <c r="H27" s="1"/>
      <c r="I27" s="1"/>
      <c r="J27" s="1"/>
      <c r="K27" s="22"/>
      <c r="L27" s="22"/>
    </row>
    <row r="28" spans="1:12" ht="20.100000000000001" customHeight="1" x14ac:dyDescent="0.25">
      <c r="C28" s="22"/>
      <c r="D28" s="1"/>
      <c r="E28" s="1"/>
      <c r="F28" s="1"/>
      <c r="G28" s="1"/>
      <c r="H28" s="1"/>
      <c r="I28" s="1"/>
      <c r="J28" s="1"/>
      <c r="K28" s="22"/>
      <c r="L28" s="22"/>
    </row>
    <row r="29" spans="1:12" ht="20.100000000000001" customHeight="1" x14ac:dyDescent="0.25">
      <c r="C29" s="22"/>
      <c r="D29" s="1"/>
      <c r="E29" s="1"/>
      <c r="F29" s="1"/>
      <c r="G29" s="1"/>
      <c r="H29" s="22"/>
      <c r="I29" s="22"/>
      <c r="J29" s="22"/>
      <c r="K29" s="22"/>
      <c r="L29" s="22"/>
    </row>
    <row r="30" spans="1:12" ht="20.100000000000001" customHeight="1" x14ac:dyDescent="0.25">
      <c r="C30" s="22"/>
      <c r="D30" s="1"/>
      <c r="E30" s="1"/>
      <c r="F30" s="1"/>
      <c r="G30" s="1"/>
      <c r="H30" s="22"/>
      <c r="I30" s="22"/>
      <c r="J30" s="22"/>
      <c r="K30" s="22"/>
      <c r="L30" s="22"/>
    </row>
    <row r="31" spans="1:12" ht="20.100000000000001" customHeight="1" x14ac:dyDescent="0.25">
      <c r="C31" s="22"/>
      <c r="D31" s="1"/>
      <c r="E31" s="1"/>
      <c r="F31" s="1"/>
      <c r="G31" s="1"/>
      <c r="H31" s="22"/>
      <c r="I31" s="22"/>
      <c r="J31" s="22"/>
      <c r="K31" s="22"/>
      <c r="L31" s="22"/>
    </row>
    <row r="32" spans="1:12" ht="20.100000000000001" customHeight="1" x14ac:dyDescent="0.25">
      <c r="C32" s="22"/>
      <c r="D32" s="1"/>
      <c r="E32" s="1"/>
      <c r="F32" s="1"/>
      <c r="G32" s="1"/>
      <c r="H32" s="24"/>
      <c r="I32" s="22"/>
      <c r="J32" s="22"/>
      <c r="K32" s="22"/>
      <c r="L32" s="22"/>
    </row>
    <row r="33" spans="3:12" ht="20.100000000000001" customHeight="1" x14ac:dyDescent="0.3">
      <c r="C33" s="22"/>
      <c r="D33" s="1"/>
      <c r="E33" s="1"/>
      <c r="F33" s="1"/>
      <c r="G33" s="1"/>
      <c r="H33" s="27"/>
      <c r="I33" s="22"/>
      <c r="J33" s="22"/>
      <c r="K33" s="22"/>
      <c r="L33" s="22"/>
    </row>
    <row r="34" spans="3:12" ht="20.100000000000001" customHeight="1" x14ac:dyDescent="0.25">
      <c r="C34" s="22"/>
      <c r="D34" s="1"/>
      <c r="E34" s="1"/>
      <c r="F34" s="1"/>
      <c r="G34" s="1"/>
      <c r="H34" s="1"/>
      <c r="I34" s="22"/>
      <c r="J34" s="22"/>
      <c r="K34" s="22"/>
      <c r="L34" s="22"/>
    </row>
    <row r="35" spans="3:12" ht="20.100000000000001" customHeight="1" x14ac:dyDescent="0.25">
      <c r="C35" s="22"/>
      <c r="D35" s="1"/>
      <c r="E35" s="1"/>
      <c r="F35" s="1"/>
      <c r="G35" s="1"/>
      <c r="H35" s="1"/>
      <c r="I35" s="22"/>
      <c r="J35" s="22"/>
      <c r="K35" s="22"/>
      <c r="L35" s="22"/>
    </row>
    <row r="36" spans="3:12" ht="20.100000000000001" customHeight="1" x14ac:dyDescent="0.25">
      <c r="C36" s="22"/>
      <c r="D36" s="1"/>
      <c r="E36" s="1"/>
      <c r="F36" s="1"/>
      <c r="G36" s="1"/>
      <c r="H36" s="1"/>
      <c r="I36" s="22"/>
      <c r="J36" s="22"/>
      <c r="K36" s="22"/>
      <c r="L36" s="22"/>
    </row>
    <row r="37" spans="3:12" ht="20.100000000000001" customHeight="1" x14ac:dyDescent="0.25">
      <c r="C37" s="22"/>
      <c r="D37" s="1"/>
      <c r="E37" s="1"/>
      <c r="F37" s="1"/>
      <c r="G37" s="1"/>
      <c r="H37" s="1"/>
      <c r="I37" s="22"/>
      <c r="J37" s="22"/>
      <c r="K37" s="22"/>
      <c r="L37" s="22"/>
    </row>
    <row r="38" spans="3:12" ht="20.100000000000001" customHeight="1" x14ac:dyDescent="0.25">
      <c r="C38" s="22"/>
      <c r="D38" s="1"/>
      <c r="E38" s="1"/>
      <c r="F38" s="1"/>
      <c r="G38" s="1"/>
      <c r="H38" s="1"/>
      <c r="I38" s="84"/>
      <c r="J38" s="84"/>
      <c r="K38" s="84"/>
      <c r="L38" s="22"/>
    </row>
    <row r="39" spans="3:12" ht="20.100000000000001" customHeight="1" x14ac:dyDescent="0.25">
      <c r="C39" s="22"/>
      <c r="D39" s="1"/>
      <c r="E39" s="1"/>
      <c r="F39" s="1"/>
      <c r="G39" s="1"/>
      <c r="H39" s="1"/>
      <c r="I39" s="84"/>
      <c r="J39" s="84"/>
      <c r="K39" s="84"/>
      <c r="L39" s="22"/>
    </row>
    <row r="40" spans="3:12" ht="20.100000000000001" customHeight="1" x14ac:dyDescent="0.25">
      <c r="C40" s="22"/>
      <c r="D40" s="1"/>
      <c r="E40" s="1"/>
      <c r="F40" s="1"/>
      <c r="G40" s="1"/>
      <c r="H40" s="1"/>
      <c r="I40" s="84"/>
      <c r="J40" s="84"/>
      <c r="K40" s="84"/>
      <c r="L40" s="22"/>
    </row>
    <row r="41" spans="3:12" ht="20.100000000000001" customHeight="1" x14ac:dyDescent="0.25">
      <c r="C41" s="22"/>
      <c r="D41" s="1"/>
      <c r="E41" s="1"/>
      <c r="F41" s="1"/>
      <c r="G41" s="1"/>
      <c r="H41" s="1"/>
      <c r="I41" s="84"/>
      <c r="J41" s="84"/>
      <c r="K41" s="84"/>
      <c r="L41" s="22"/>
    </row>
    <row r="42" spans="3:12" ht="20.100000000000001" customHeight="1" x14ac:dyDescent="0.25">
      <c r="C42" s="22"/>
      <c r="D42" s="1"/>
      <c r="E42" s="1"/>
      <c r="F42" s="1"/>
      <c r="G42" s="1"/>
      <c r="H42" s="1"/>
      <c r="I42" s="84"/>
      <c r="J42" s="84"/>
      <c r="K42" s="84"/>
      <c r="L42" s="22"/>
    </row>
    <row r="43" spans="3:12" ht="20.100000000000001" customHeight="1" x14ac:dyDescent="0.25">
      <c r="C43" s="22"/>
      <c r="D43" s="1"/>
      <c r="E43" s="1"/>
      <c r="F43" s="1"/>
      <c r="G43" s="1"/>
      <c r="H43" s="1"/>
      <c r="I43" s="84"/>
      <c r="J43" s="84"/>
      <c r="K43" s="84"/>
      <c r="L43" s="22"/>
    </row>
    <row r="44" spans="3:12" ht="20.100000000000001" customHeight="1" x14ac:dyDescent="0.25">
      <c r="C44" s="22"/>
      <c r="D44" s="1"/>
      <c r="E44" s="1"/>
      <c r="F44" s="1"/>
      <c r="G44" s="1"/>
      <c r="H44" s="1"/>
      <c r="I44" s="84"/>
      <c r="J44" s="84"/>
      <c r="K44" s="84"/>
      <c r="L44" s="22"/>
    </row>
    <row r="45" spans="3:12" ht="20.100000000000001" customHeight="1" x14ac:dyDescent="0.25">
      <c r="C45" s="22"/>
      <c r="D45" s="1"/>
      <c r="E45" s="1"/>
      <c r="F45" s="1"/>
      <c r="G45" s="1"/>
      <c r="H45" s="1"/>
      <c r="I45" s="84"/>
      <c r="J45" s="84"/>
      <c r="K45" s="84"/>
      <c r="L45" s="22"/>
    </row>
    <row r="46" spans="3:12" ht="20.100000000000001" customHeight="1" x14ac:dyDescent="0.25">
      <c r="C46" s="22"/>
      <c r="D46" s="1"/>
      <c r="E46" s="1"/>
      <c r="F46" s="1"/>
      <c r="G46" s="1"/>
      <c r="H46" s="1"/>
      <c r="I46" s="84"/>
      <c r="J46" s="84"/>
      <c r="K46" s="84"/>
      <c r="L46" s="22"/>
    </row>
    <row r="47" spans="3:12" ht="20.100000000000001" customHeight="1" x14ac:dyDescent="0.25">
      <c r="C47" s="22"/>
      <c r="D47" s="1"/>
      <c r="E47" s="1"/>
      <c r="F47" s="1"/>
      <c r="G47" s="1"/>
      <c r="H47" s="1"/>
      <c r="I47" s="84"/>
      <c r="J47" s="84"/>
      <c r="K47" s="84"/>
      <c r="L47" s="22"/>
    </row>
    <row r="48" spans="3:12" ht="20.100000000000001" customHeight="1" x14ac:dyDescent="0.25">
      <c r="C48" s="22"/>
      <c r="D48" s="1"/>
      <c r="E48" s="1"/>
      <c r="F48" s="1"/>
      <c r="G48" s="1"/>
      <c r="H48" s="1"/>
      <c r="I48" s="84"/>
      <c r="J48" s="84"/>
      <c r="K48" s="84"/>
      <c r="L48" s="22"/>
    </row>
    <row r="49" spans="3:12" ht="20.100000000000001" customHeight="1" x14ac:dyDescent="0.25">
      <c r="C49" s="22"/>
      <c r="D49" s="1"/>
      <c r="E49" s="1"/>
      <c r="F49" s="1"/>
      <c r="G49" s="1"/>
      <c r="H49" s="84"/>
      <c r="I49" s="84"/>
      <c r="J49" s="84"/>
      <c r="K49" s="84"/>
      <c r="L49" s="22"/>
    </row>
    <row r="50" spans="3:12" ht="20.100000000000001" customHeight="1" x14ac:dyDescent="0.25">
      <c r="C50" s="22"/>
      <c r="D50" s="1"/>
      <c r="E50" s="1"/>
      <c r="F50" s="1"/>
      <c r="G50" s="1"/>
      <c r="H50" s="84"/>
      <c r="I50" s="84"/>
      <c r="J50" s="84"/>
      <c r="K50" s="84"/>
      <c r="L50" s="22"/>
    </row>
    <row r="51" spans="3:12" ht="20.100000000000001" customHeight="1" x14ac:dyDescent="0.25">
      <c r="C51" s="22"/>
      <c r="D51" s="1"/>
      <c r="E51" s="1"/>
      <c r="F51" s="1"/>
      <c r="G51" s="1"/>
      <c r="H51" s="84"/>
      <c r="I51" s="84"/>
      <c r="J51" s="84"/>
      <c r="K51" s="84"/>
      <c r="L51" s="22"/>
    </row>
    <row r="52" spans="3:12" ht="20.100000000000001" customHeight="1" x14ac:dyDescent="0.25">
      <c r="C52" s="22"/>
      <c r="D52" s="1"/>
      <c r="E52" s="1"/>
      <c r="F52" s="1"/>
      <c r="G52" s="1"/>
      <c r="H52" s="84"/>
      <c r="I52" s="84"/>
      <c r="J52" s="84"/>
      <c r="K52" s="84"/>
      <c r="L52" s="22"/>
    </row>
    <row r="53" spans="3:12" ht="20.100000000000001" customHeight="1" x14ac:dyDescent="0.25">
      <c r="C53" s="22"/>
      <c r="D53" s="1"/>
      <c r="E53" s="1"/>
      <c r="F53" s="1"/>
      <c r="G53" s="1"/>
      <c r="H53" s="84"/>
      <c r="I53" s="84"/>
      <c r="J53" s="84"/>
      <c r="K53" s="84"/>
      <c r="L53" s="22"/>
    </row>
    <row r="54" spans="3:12" ht="20.100000000000001" customHeight="1" x14ac:dyDescent="0.25">
      <c r="C54" s="22"/>
      <c r="D54" s="1"/>
      <c r="E54" s="1"/>
      <c r="F54" s="1"/>
      <c r="G54" s="1"/>
      <c r="H54" s="22"/>
      <c r="I54" s="22"/>
      <c r="J54" s="22"/>
      <c r="K54" s="22"/>
      <c r="L54" s="22"/>
    </row>
    <row r="55" spans="3:12" ht="20.100000000000001" customHeight="1" x14ac:dyDescent="0.25">
      <c r="C55" s="22"/>
      <c r="D55" s="1"/>
      <c r="E55" s="1"/>
      <c r="F55" s="1"/>
      <c r="G55" s="1"/>
      <c r="H55" s="22"/>
      <c r="I55" s="22"/>
      <c r="J55" s="22"/>
      <c r="K55" s="22"/>
      <c r="L55" s="22"/>
    </row>
    <row r="56" spans="3:12" ht="20.100000000000001" customHeight="1" x14ac:dyDescent="0.25">
      <c r="C56" s="22"/>
      <c r="D56" s="1"/>
      <c r="E56" s="1"/>
      <c r="F56" s="1"/>
      <c r="G56" s="1"/>
      <c r="H56" s="22"/>
      <c r="I56" s="22"/>
      <c r="J56" s="22"/>
      <c r="K56" s="22"/>
      <c r="L56" s="22"/>
    </row>
    <row r="57" spans="3:12" ht="20.100000000000001" customHeight="1" x14ac:dyDescent="0.25">
      <c r="C57" s="22"/>
      <c r="D57" s="1"/>
      <c r="E57" s="1"/>
      <c r="F57" s="1"/>
      <c r="G57" s="1"/>
      <c r="H57" s="22"/>
      <c r="I57" s="22"/>
      <c r="J57" s="22"/>
      <c r="K57" s="22"/>
      <c r="L57" s="22"/>
    </row>
    <row r="58" spans="3:12" ht="20.100000000000001" customHeight="1" x14ac:dyDescent="0.25">
      <c r="C58" s="22"/>
      <c r="D58" s="1"/>
      <c r="E58" s="30"/>
      <c r="F58" s="28"/>
      <c r="G58" s="22"/>
      <c r="H58" s="22"/>
      <c r="I58" s="22"/>
      <c r="J58" s="22"/>
      <c r="K58" s="22"/>
      <c r="L58" s="22"/>
    </row>
    <row r="59" spans="3:12" ht="20.100000000000001" customHeight="1" x14ac:dyDescent="0.25">
      <c r="C59" s="22"/>
      <c r="D59" s="1"/>
      <c r="E59" s="1"/>
      <c r="F59" s="1"/>
      <c r="G59" s="1"/>
      <c r="H59" s="1"/>
      <c r="I59" s="1"/>
      <c r="J59" s="1"/>
      <c r="K59" s="1"/>
      <c r="L59" s="22"/>
    </row>
    <row r="60" spans="3:12" ht="20.100000000000001" customHeight="1" x14ac:dyDescent="0.25">
      <c r="C60" s="22"/>
      <c r="D60" s="1"/>
      <c r="E60" s="1"/>
      <c r="F60" s="1"/>
      <c r="G60" s="1"/>
      <c r="H60" s="1"/>
      <c r="I60" s="1"/>
      <c r="J60" s="1"/>
      <c r="K60" s="1"/>
      <c r="L60" s="22"/>
    </row>
    <row r="61" spans="3:12" ht="20.100000000000001" customHeight="1" x14ac:dyDescent="0.25">
      <c r="C61" s="22"/>
      <c r="D61" s="1"/>
      <c r="E61" s="1"/>
      <c r="F61" s="1"/>
      <c r="G61" s="1"/>
      <c r="H61" s="1"/>
      <c r="I61" s="1"/>
      <c r="J61" s="1"/>
      <c r="K61" s="1"/>
      <c r="L61" s="22"/>
    </row>
    <row r="62" spans="3:12" ht="20.100000000000001" customHeight="1" x14ac:dyDescent="0.25">
      <c r="C62" s="22"/>
      <c r="D62" s="1"/>
      <c r="E62" s="1"/>
      <c r="F62" s="1"/>
      <c r="G62" s="1"/>
      <c r="H62" s="1"/>
      <c r="I62" s="1"/>
      <c r="J62" s="1"/>
      <c r="K62" s="1"/>
      <c r="L62" s="22"/>
    </row>
    <row r="63" spans="3:12" ht="20.100000000000001" customHeight="1" x14ac:dyDescent="0.25">
      <c r="C63" s="22"/>
      <c r="D63" s="1"/>
      <c r="E63" s="1"/>
      <c r="F63" s="1"/>
      <c r="G63" s="1"/>
      <c r="H63" s="1"/>
      <c r="I63" s="1"/>
      <c r="J63" s="1"/>
      <c r="K63" s="1"/>
      <c r="L63" s="22"/>
    </row>
    <row r="64" spans="3:12" ht="20.100000000000001" customHeight="1" x14ac:dyDescent="0.25">
      <c r="C64" s="22"/>
      <c r="D64" s="1"/>
      <c r="E64" s="1"/>
      <c r="F64" s="1"/>
      <c r="G64" s="1"/>
      <c r="H64" s="1"/>
      <c r="I64" s="1"/>
      <c r="J64" s="1"/>
      <c r="K64" s="1"/>
      <c r="L64" s="22"/>
    </row>
    <row r="65" spans="3:12" ht="20.100000000000001" customHeight="1" x14ac:dyDescent="0.25">
      <c r="C65" s="22"/>
      <c r="D65" s="1"/>
      <c r="E65" s="1"/>
      <c r="F65" s="1"/>
      <c r="G65" s="1"/>
      <c r="H65" s="1"/>
      <c r="I65" s="1"/>
      <c r="J65" s="1"/>
      <c r="K65" s="1"/>
      <c r="L65" s="22"/>
    </row>
    <row r="66" spans="3:12" ht="20.100000000000001" customHeight="1" x14ac:dyDescent="0.25">
      <c r="C66" s="22"/>
      <c r="D66" s="1"/>
      <c r="E66" s="1"/>
      <c r="F66" s="1"/>
      <c r="G66" s="1"/>
      <c r="H66" s="1"/>
      <c r="I66" s="1"/>
      <c r="J66" s="1"/>
      <c r="K66" s="1"/>
      <c r="L66" s="22"/>
    </row>
    <row r="67" spans="3:12" ht="20.100000000000001" customHeight="1" x14ac:dyDescent="0.25">
      <c r="C67" s="22"/>
      <c r="D67" s="1"/>
      <c r="E67" s="1"/>
      <c r="F67" s="1"/>
      <c r="G67" s="1"/>
      <c r="H67" s="1"/>
      <c r="I67" s="1"/>
      <c r="J67" s="1"/>
      <c r="K67" s="1"/>
      <c r="L67" s="22"/>
    </row>
    <row r="68" spans="3:12" ht="20.100000000000001" customHeight="1" x14ac:dyDescent="0.25">
      <c r="C68" s="22"/>
      <c r="D68" s="1"/>
      <c r="E68" s="1"/>
      <c r="F68" s="1"/>
      <c r="G68" s="1"/>
      <c r="H68" s="1"/>
      <c r="I68" s="1"/>
      <c r="J68" s="1"/>
      <c r="K68" s="1"/>
      <c r="L68" s="22"/>
    </row>
    <row r="69" spans="3:12" ht="20.100000000000001" customHeight="1" x14ac:dyDescent="0.25">
      <c r="C69" s="22"/>
      <c r="D69" s="1"/>
      <c r="E69" s="1"/>
      <c r="F69" s="1"/>
      <c r="G69" s="1"/>
      <c r="H69" s="1"/>
      <c r="I69" s="1"/>
      <c r="J69" s="1"/>
      <c r="K69" s="1"/>
      <c r="L69" s="22"/>
    </row>
    <row r="70" spans="3:12" ht="20.100000000000001" customHeight="1" x14ac:dyDescent="0.25">
      <c r="C70" s="22"/>
      <c r="D70" s="1"/>
      <c r="E70" s="1"/>
      <c r="F70" s="1"/>
      <c r="G70" s="1"/>
      <c r="H70" s="1"/>
      <c r="I70" s="1"/>
      <c r="J70" s="1"/>
      <c r="K70" s="1"/>
      <c r="L70" s="22"/>
    </row>
    <row r="71" spans="3:12" ht="20.100000000000001" customHeight="1" x14ac:dyDescent="0.25">
      <c r="C71" s="22"/>
      <c r="D71" s="1"/>
      <c r="E71" s="1"/>
      <c r="F71" s="1"/>
      <c r="G71" s="1"/>
      <c r="H71" s="1"/>
      <c r="I71" s="1"/>
      <c r="J71" s="1"/>
      <c r="K71" s="1"/>
      <c r="L71" s="22"/>
    </row>
    <row r="72" spans="3:12" ht="20.100000000000001" customHeight="1" x14ac:dyDescent="0.25">
      <c r="C72" s="22"/>
      <c r="D72" s="1"/>
      <c r="E72" s="1"/>
      <c r="F72" s="1"/>
      <c r="G72" s="1"/>
      <c r="H72" s="1"/>
      <c r="I72" s="1"/>
      <c r="J72" s="1"/>
      <c r="K72" s="1"/>
      <c r="L72" s="22"/>
    </row>
    <row r="73" spans="3:12" ht="20.100000000000001" customHeight="1" x14ac:dyDescent="0.25">
      <c r="C73" s="22"/>
      <c r="D73" s="1"/>
      <c r="E73" s="1"/>
      <c r="F73" s="1"/>
      <c r="G73" s="1"/>
      <c r="H73" s="1"/>
      <c r="I73" s="1"/>
      <c r="J73" s="1"/>
      <c r="K73" s="1"/>
      <c r="L73" s="22"/>
    </row>
    <row r="74" spans="3:12" ht="20.100000000000001" customHeight="1" x14ac:dyDescent="0.25">
      <c r="C74" s="22"/>
      <c r="D74" s="1"/>
      <c r="E74" s="1"/>
      <c r="F74" s="1"/>
      <c r="G74" s="1"/>
      <c r="H74" s="1"/>
      <c r="I74" s="1"/>
      <c r="J74" s="1"/>
      <c r="K74" s="1"/>
      <c r="L74" s="22"/>
    </row>
    <row r="75" spans="3:12" ht="20.100000000000001" customHeight="1" x14ac:dyDescent="0.25">
      <c r="C75" s="22"/>
      <c r="D75" s="1"/>
      <c r="E75" s="1"/>
      <c r="F75" s="1"/>
      <c r="G75" s="1"/>
      <c r="H75" s="1"/>
      <c r="I75" s="1"/>
      <c r="J75" s="1"/>
      <c r="K75" s="1"/>
      <c r="L75" s="22"/>
    </row>
    <row r="76" spans="3:12" ht="15.75" x14ac:dyDescent="0.25">
      <c r="C76" s="22"/>
      <c r="D76" s="1"/>
      <c r="E76" s="1"/>
      <c r="F76" s="1"/>
      <c r="G76" s="1"/>
      <c r="H76" s="1"/>
      <c r="I76" s="1"/>
      <c r="J76" s="1"/>
      <c r="K76" s="1"/>
      <c r="L76" s="22"/>
    </row>
    <row r="77" spans="3:12" ht="15.75" x14ac:dyDescent="0.25">
      <c r="C77" s="22"/>
      <c r="D77" s="1"/>
      <c r="E77" s="1"/>
      <c r="F77" s="1"/>
      <c r="G77" s="1"/>
      <c r="H77" s="1"/>
      <c r="I77" s="1"/>
      <c r="J77" s="1"/>
      <c r="K77" s="1"/>
      <c r="L77" s="22"/>
    </row>
    <row r="78" spans="3:12" ht="15.75" x14ac:dyDescent="0.25">
      <c r="C78" s="22"/>
      <c r="D78" s="1"/>
      <c r="E78" s="1"/>
      <c r="F78" s="1"/>
      <c r="G78" s="1"/>
      <c r="H78" s="1"/>
      <c r="I78" s="1"/>
      <c r="J78" s="1"/>
      <c r="K78" s="1"/>
      <c r="L78" s="22"/>
    </row>
    <row r="79" spans="3:12" ht="15.75" x14ac:dyDescent="0.25">
      <c r="C79" s="22"/>
      <c r="D79" s="1"/>
      <c r="E79" s="1"/>
      <c r="F79" s="1"/>
      <c r="G79" s="1"/>
      <c r="H79" s="1"/>
      <c r="I79" s="1"/>
      <c r="J79" s="1"/>
      <c r="K79" s="1"/>
      <c r="L79" s="22"/>
    </row>
    <row r="80" spans="3:12" ht="15.75" x14ac:dyDescent="0.25">
      <c r="C80" s="22"/>
      <c r="D80" s="1"/>
      <c r="E80" s="1"/>
      <c r="F80" s="1"/>
      <c r="G80" s="1"/>
      <c r="H80" s="1"/>
      <c r="I80" s="1"/>
      <c r="J80" s="1"/>
      <c r="K80" s="1"/>
      <c r="L80" s="22"/>
    </row>
    <row r="81" spans="3:12" ht="15.75" x14ac:dyDescent="0.25">
      <c r="C81" s="22"/>
      <c r="D81" s="1"/>
      <c r="E81" s="1"/>
      <c r="F81" s="1"/>
      <c r="G81" s="1"/>
      <c r="H81" s="1"/>
      <c r="I81" s="1"/>
      <c r="J81" s="1"/>
      <c r="K81" s="1"/>
      <c r="L81" s="22"/>
    </row>
    <row r="82" spans="3:12" ht="15.75" x14ac:dyDescent="0.25">
      <c r="C82" s="22"/>
      <c r="D82" s="1"/>
      <c r="E82" s="1"/>
      <c r="F82" s="1"/>
      <c r="G82" s="1"/>
      <c r="H82" s="1"/>
      <c r="I82" s="1"/>
      <c r="J82" s="1"/>
      <c r="K82" s="1"/>
      <c r="L82" s="22"/>
    </row>
    <row r="83" spans="3:12" ht="15.75" x14ac:dyDescent="0.25">
      <c r="C83" s="22"/>
      <c r="D83" s="1"/>
      <c r="E83" s="1"/>
      <c r="F83" s="1"/>
      <c r="G83" s="1"/>
      <c r="H83" s="1"/>
      <c r="I83" s="1"/>
      <c r="J83" s="1"/>
      <c r="K83" s="1"/>
      <c r="L83" s="22"/>
    </row>
    <row r="84" spans="3:12" ht="15.75" x14ac:dyDescent="0.25">
      <c r="C84" s="22"/>
      <c r="D84" s="1"/>
      <c r="E84" s="1"/>
      <c r="F84" s="1"/>
      <c r="G84" s="1"/>
      <c r="H84" s="1"/>
      <c r="I84" s="1"/>
      <c r="J84" s="1"/>
      <c r="K84" s="1"/>
      <c r="L84" s="22"/>
    </row>
    <row r="85" spans="3:12" ht="15.75" x14ac:dyDescent="0.25">
      <c r="C85" s="22"/>
      <c r="D85" s="1"/>
      <c r="E85" s="1"/>
      <c r="F85" s="1"/>
      <c r="G85" s="1"/>
      <c r="H85" s="1"/>
      <c r="I85" s="1"/>
      <c r="J85" s="1"/>
      <c r="K85" s="1"/>
      <c r="L85" s="22"/>
    </row>
    <row r="86" spans="3:12" x14ac:dyDescent="0.25">
      <c r="C86" s="22"/>
      <c r="D86" s="22"/>
      <c r="E86" s="22"/>
      <c r="F86" s="22"/>
      <c r="G86" s="22"/>
      <c r="H86" s="22"/>
      <c r="I86" s="22"/>
      <c r="J86" s="22"/>
      <c r="K86" s="22"/>
      <c r="L86" s="22"/>
    </row>
    <row r="87" spans="3:12" x14ac:dyDescent="0.25">
      <c r="C87" s="22"/>
      <c r="D87" s="22"/>
      <c r="E87" s="22"/>
      <c r="F87" s="22"/>
      <c r="G87" s="22"/>
      <c r="H87" s="22"/>
      <c r="I87" s="22"/>
      <c r="J87" s="22"/>
      <c r="K87" s="22"/>
      <c r="L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7" t="e" vm="1">
        <v>#VALUE!</v>
      </c>
      <c r="C1" s="12" t="s">
        <v>60</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9</v>
      </c>
      <c r="N5" s="38"/>
    </row>
    <row r="6" spans="1:24" ht="20.100000000000001" customHeight="1" x14ac:dyDescent="0.25">
      <c r="D6" s="14"/>
      <c r="N6" s="39"/>
    </row>
    <row r="7" spans="1:24" ht="20.100000000000001" customHeight="1" x14ac:dyDescent="0.25">
      <c r="A7" s="20" t="s">
        <v>3</v>
      </c>
      <c r="D7" s="1" t="s">
        <v>7</v>
      </c>
      <c r="E7" s="31" t="s">
        <v>6</v>
      </c>
      <c r="F7" s="2"/>
    </row>
    <row r="8" spans="1:24" ht="20.100000000000001" customHeight="1" x14ac:dyDescent="0.25">
      <c r="A8" s="102" t="str">
        <f>HYPERLINK("#'Input - Site'!A1", "Site")</f>
        <v>Site</v>
      </c>
      <c r="D8" s="10" t="s">
        <v>52</v>
      </c>
      <c r="E8" s="31" t="s">
        <v>53</v>
      </c>
    </row>
    <row r="9" spans="1:24" ht="20.100000000000001" customHeight="1" x14ac:dyDescent="0.25">
      <c r="A9" s="17" t="str">
        <f>HYPERLINK("#'Input - Other Livestock'!A1", "Other Livestock")</f>
        <v>Other Livestock</v>
      </c>
      <c r="N9" s="40"/>
    </row>
    <row r="10" spans="1:24" ht="20.100000000000001" customHeight="1" x14ac:dyDescent="0.25">
      <c r="A10" s="17"/>
      <c r="D10" s="76" t="s">
        <v>59</v>
      </c>
      <c r="E10" s="74"/>
      <c r="F10" s="77"/>
      <c r="G10" s="71"/>
      <c r="N10" s="40"/>
    </row>
    <row r="11" spans="1:24" ht="20.100000000000001" customHeight="1" x14ac:dyDescent="0.25">
      <c r="A11" s="19" t="s">
        <v>56</v>
      </c>
      <c r="N11" s="41"/>
    </row>
    <row r="12" spans="1:24" ht="20.100000000000001" customHeight="1" x14ac:dyDescent="0.25">
      <c r="A12" s="17" t="str">
        <f>HYPERLINK("#'3.6.1.1-2 Enteric Methane'!A1", "3.6.1.1-2 Enteric Methane")</f>
        <v>3.6.1.1-2 Enteric Methane</v>
      </c>
      <c r="D12" s="10" t="s">
        <v>63</v>
      </c>
      <c r="E12" s="55">
        <v>45292</v>
      </c>
      <c r="F12" s="2" t="s">
        <v>51</v>
      </c>
    </row>
    <row r="13" spans="1:24" ht="20.100000000000001" customHeight="1" x14ac:dyDescent="0.25">
      <c r="A13"/>
      <c r="D13" s="10" t="s">
        <v>64</v>
      </c>
      <c r="E13" s="60">
        <f>DATE(YEAR(E12)+1,MONTH(E12),DAY(E12))-1</f>
        <v>45657</v>
      </c>
      <c r="F13" s="2" t="s">
        <v>10</v>
      </c>
      <c r="N13" s="36"/>
      <c r="O13" s="36"/>
    </row>
    <row r="14" spans="1:24" ht="20.100000000000001" customHeight="1" x14ac:dyDescent="0.25">
      <c r="A14" s="18" t="s">
        <v>4</v>
      </c>
      <c r="N14" s="36"/>
      <c r="O14" s="36"/>
    </row>
    <row r="15" spans="1:24" ht="20.100000000000001" customHeight="1" x14ac:dyDescent="0.25">
      <c r="A15" s="17" t="str">
        <f>HYPERLINK("#'Constants - Other Livestock'!A1", "Constants - Other Livestock")</f>
        <v>Constants - Other Livestock</v>
      </c>
      <c r="D15" s="32"/>
      <c r="E15" s="32"/>
      <c r="F15" s="32"/>
      <c r="G15" s="32"/>
      <c r="H15" s="32"/>
      <c r="I15" s="32"/>
      <c r="J15" s="32"/>
      <c r="K15" s="32"/>
      <c r="N15" s="36"/>
      <c r="O15" s="36"/>
    </row>
    <row r="16" spans="1:24" ht="20.100000000000001" customHeight="1" x14ac:dyDescent="0.25">
      <c r="A16" s="17" t="str">
        <f>HYPERLINK("#'Constants - Common'!A1", "Constants - Common")</f>
        <v>Constants - Common</v>
      </c>
      <c r="D16" s="32"/>
      <c r="E16" s="32"/>
      <c r="F16" s="32"/>
      <c r="G16" s="32"/>
      <c r="H16" s="32"/>
      <c r="I16" s="32"/>
      <c r="J16" s="32"/>
      <c r="K16" s="32"/>
      <c r="N16" s="36"/>
      <c r="O16" s="36"/>
    </row>
    <row r="17" spans="1:25" ht="20.100000000000001" customHeight="1" x14ac:dyDescent="0.25">
      <c r="A17" s="17" t="str">
        <f>HYPERLINK("#'Acknowledgements'!A1", "Acknowledgements")</f>
        <v>Acknowledgements</v>
      </c>
      <c r="D17" s="32"/>
      <c r="E17" s="32"/>
      <c r="F17" s="32"/>
      <c r="G17" s="32"/>
      <c r="H17" s="32"/>
      <c r="I17" s="32"/>
      <c r="J17" s="32"/>
      <c r="K17" s="32"/>
    </row>
    <row r="18" spans="1:25" ht="20.100000000000001" customHeight="1" x14ac:dyDescent="0.25">
      <c r="A18"/>
      <c r="D18" s="32"/>
      <c r="E18" s="32"/>
      <c r="F18" s="32"/>
      <c r="G18" s="32"/>
      <c r="H18" s="32"/>
      <c r="I18" s="32"/>
      <c r="J18" s="32"/>
      <c r="K18" s="32"/>
    </row>
    <row r="19" spans="1:25" ht="20.100000000000001" customHeight="1" x14ac:dyDescent="0.25">
      <c r="A19"/>
      <c r="D19" s="32"/>
      <c r="E19" s="32"/>
      <c r="F19" s="32"/>
      <c r="G19" s="32"/>
      <c r="H19" s="32"/>
      <c r="I19" s="32"/>
      <c r="J19" s="32"/>
      <c r="K19" s="32"/>
      <c r="N19" s="38"/>
    </row>
    <row r="20" spans="1:25" ht="20.100000000000001" customHeight="1" x14ac:dyDescent="0.25">
      <c r="A20"/>
      <c r="D20" s="32"/>
      <c r="E20" s="32"/>
      <c r="F20" s="32"/>
      <c r="G20" s="32"/>
      <c r="H20" s="32"/>
      <c r="I20" s="32"/>
      <c r="J20" s="32"/>
      <c r="K20" s="32"/>
      <c r="N20" s="39"/>
    </row>
    <row r="21" spans="1:25" ht="20.100000000000001" customHeight="1" x14ac:dyDescent="0.25">
      <c r="A21" s="17"/>
      <c r="D21" s="32"/>
      <c r="E21" s="32"/>
      <c r="F21" s="32"/>
      <c r="G21" s="32"/>
      <c r="H21" s="32"/>
      <c r="I21" s="32"/>
      <c r="J21" s="32"/>
      <c r="K21" s="32"/>
    </row>
    <row r="22" spans="1:25" ht="20.100000000000001" customHeight="1" x14ac:dyDescent="0.25">
      <c r="A22"/>
      <c r="D22" s="32"/>
      <c r="E22" s="32"/>
      <c r="F22" s="32"/>
      <c r="G22" s="32"/>
      <c r="H22" s="32"/>
      <c r="I22" s="32"/>
      <c r="J22" s="32"/>
      <c r="K22" s="32"/>
    </row>
    <row r="23" spans="1:25" ht="20.100000000000001" customHeight="1" x14ac:dyDescent="0.25">
      <c r="A23"/>
      <c r="D23" s="32"/>
      <c r="E23" s="32"/>
      <c r="F23" s="32"/>
      <c r="G23" s="32"/>
      <c r="H23" s="32"/>
      <c r="I23" s="32"/>
      <c r="J23" s="32"/>
      <c r="K23" s="32"/>
    </row>
    <row r="24" spans="1:25" ht="20.100000000000001" customHeight="1" x14ac:dyDescent="0.25">
      <c r="A24"/>
      <c r="D24" s="32"/>
      <c r="E24" s="32"/>
      <c r="F24" s="32"/>
      <c r="G24" s="32"/>
      <c r="H24" s="32"/>
      <c r="I24" s="32"/>
      <c r="J24" s="32"/>
      <c r="K24" s="32"/>
    </row>
    <row r="25" spans="1:25" ht="20.100000000000001" customHeight="1" x14ac:dyDescent="0.25">
      <c r="A25"/>
      <c r="D25" s="32"/>
      <c r="E25" s="32"/>
      <c r="F25" s="32"/>
      <c r="G25" s="32"/>
      <c r="H25" s="32"/>
      <c r="I25" s="32"/>
      <c r="J25" s="32"/>
      <c r="K25" s="32"/>
      <c r="N25" s="39"/>
    </row>
    <row r="26" spans="1:25" ht="20.100000000000001" customHeight="1" x14ac:dyDescent="0.25">
      <c r="A26"/>
      <c r="D26" s="32"/>
      <c r="E26" s="32"/>
      <c r="F26" s="32"/>
      <c r="G26" s="32"/>
      <c r="H26" s="32"/>
      <c r="I26" s="32"/>
      <c r="J26" s="32"/>
      <c r="K26" s="32"/>
    </row>
    <row r="27" spans="1:25" ht="20.100000000000001" customHeight="1" x14ac:dyDescent="0.25">
      <c r="A27"/>
      <c r="D27" s="32"/>
      <c r="E27" s="32"/>
      <c r="F27" s="32"/>
      <c r="G27" s="32"/>
      <c r="H27" s="32"/>
      <c r="I27" s="32"/>
      <c r="J27" s="32"/>
      <c r="K27" s="32"/>
    </row>
    <row r="28" spans="1:25" ht="20.100000000000001" customHeight="1" x14ac:dyDescent="0.25">
      <c r="A28"/>
      <c r="D28" s="32"/>
      <c r="E28" s="32"/>
      <c r="F28" s="32"/>
      <c r="G28" s="32"/>
      <c r="H28" s="32"/>
      <c r="I28" s="32"/>
      <c r="J28" s="32"/>
      <c r="K28" s="32"/>
    </row>
    <row r="29" spans="1:25" ht="20.100000000000001" customHeight="1" x14ac:dyDescent="0.25">
      <c r="A29"/>
      <c r="D29" s="32"/>
      <c r="E29" s="32"/>
      <c r="F29" s="32"/>
      <c r="G29" s="32"/>
      <c r="H29" s="32"/>
      <c r="I29" s="32"/>
      <c r="J29" s="32"/>
      <c r="K29" s="32"/>
    </row>
    <row r="30" spans="1:25" ht="20.100000000000001" customHeight="1" x14ac:dyDescent="0.25">
      <c r="A30"/>
      <c r="D30" s="32"/>
      <c r="E30" s="32"/>
      <c r="F30" s="32"/>
      <c r="G30" s="32"/>
      <c r="H30" s="32"/>
      <c r="I30" s="32"/>
      <c r="J30" s="32"/>
      <c r="K30" s="32"/>
      <c r="L30" s="45"/>
      <c r="M30" s="45"/>
      <c r="N30" s="45"/>
      <c r="O30" s="45"/>
      <c r="P30" s="45"/>
      <c r="Q30" s="45"/>
      <c r="R30" s="45"/>
      <c r="S30" s="45"/>
      <c r="T30" s="45"/>
      <c r="U30" s="45"/>
      <c r="V30" s="45"/>
      <c r="W30" s="45"/>
      <c r="X30" s="45"/>
      <c r="Y30" s="45"/>
    </row>
    <row r="31" spans="1:25" ht="20.100000000000001" customHeight="1" x14ac:dyDescent="0.25">
      <c r="A31"/>
      <c r="D31" s="32"/>
      <c r="E31" s="32"/>
      <c r="F31" s="32"/>
      <c r="G31" s="32"/>
      <c r="H31" s="32"/>
      <c r="I31" s="32"/>
      <c r="J31" s="32"/>
      <c r="K31" s="32"/>
      <c r="L31" s="44"/>
      <c r="M31" s="44"/>
      <c r="N31" s="44"/>
      <c r="O31" s="44"/>
      <c r="P31" s="44"/>
      <c r="Q31" s="44"/>
      <c r="R31" s="44"/>
      <c r="S31" s="44"/>
      <c r="T31" s="44"/>
      <c r="U31" s="44"/>
      <c r="V31" s="44"/>
      <c r="W31" s="44"/>
      <c r="X31" s="44"/>
      <c r="Y31" s="44"/>
    </row>
    <row r="32" spans="1:25" ht="20.100000000000001" customHeight="1" x14ac:dyDescent="0.25">
      <c r="A32"/>
      <c r="D32" s="32"/>
      <c r="E32" s="32"/>
      <c r="F32" s="32"/>
      <c r="G32" s="32"/>
      <c r="H32" s="32"/>
      <c r="I32" s="32"/>
      <c r="J32" s="32"/>
      <c r="K32" s="32"/>
      <c r="L32" s="44"/>
      <c r="M32" s="44"/>
      <c r="N32" s="44"/>
      <c r="O32" s="44"/>
      <c r="P32" s="44"/>
      <c r="Q32" s="44"/>
      <c r="R32" s="44"/>
      <c r="S32" s="44"/>
      <c r="T32" s="44"/>
      <c r="U32" s="44"/>
      <c r="V32" s="44"/>
      <c r="W32" s="44"/>
      <c r="X32" s="44"/>
      <c r="Y32" s="44"/>
    </row>
    <row r="33" spans="1:25" ht="20.100000000000001" customHeight="1" x14ac:dyDescent="0.25">
      <c r="A33"/>
      <c r="D33" s="32"/>
      <c r="E33" s="32"/>
      <c r="F33" s="32"/>
      <c r="G33" s="32"/>
      <c r="H33" s="32"/>
      <c r="I33" s="32"/>
      <c r="J33" s="32"/>
      <c r="K33" s="32"/>
      <c r="L33" s="44"/>
      <c r="M33" s="44"/>
      <c r="N33" s="44"/>
      <c r="O33" s="44"/>
      <c r="P33" s="44"/>
      <c r="Q33" s="44"/>
      <c r="R33" s="44"/>
      <c r="S33" s="44"/>
      <c r="T33" s="44"/>
      <c r="U33" s="44"/>
      <c r="V33" s="44"/>
      <c r="W33" s="44"/>
      <c r="X33" s="44"/>
      <c r="Y33" s="44"/>
    </row>
    <row r="34" spans="1:25" ht="20.100000000000001" customHeight="1" x14ac:dyDescent="0.25">
      <c r="A34"/>
      <c r="D34" s="32"/>
      <c r="E34" s="32"/>
      <c r="F34" s="32"/>
      <c r="G34" s="32"/>
      <c r="H34" s="32"/>
      <c r="I34" s="32"/>
      <c r="J34" s="32"/>
      <c r="K34" s="32"/>
      <c r="L34" s="44"/>
      <c r="M34" s="44"/>
      <c r="N34" s="44"/>
      <c r="O34" s="44"/>
      <c r="P34" s="44"/>
      <c r="Q34" s="44"/>
      <c r="R34" s="44"/>
      <c r="S34" s="44"/>
      <c r="T34" s="44"/>
      <c r="U34" s="44"/>
      <c r="V34" s="44"/>
      <c r="W34" s="44"/>
      <c r="X34" s="44"/>
      <c r="Y34" s="44"/>
    </row>
    <row r="35" spans="1:25" ht="20.100000000000001" customHeight="1" x14ac:dyDescent="0.25">
      <c r="A35"/>
      <c r="D35" s="32"/>
      <c r="E35" s="32"/>
      <c r="F35" s="32"/>
      <c r="G35" s="32"/>
      <c r="H35" s="32"/>
      <c r="I35" s="32"/>
      <c r="J35" s="32"/>
      <c r="K35" s="32"/>
      <c r="L35" s="44"/>
      <c r="M35" s="44"/>
      <c r="N35" s="44"/>
      <c r="O35" s="44"/>
      <c r="P35" s="44"/>
      <c r="Q35" s="44"/>
      <c r="R35" s="44"/>
      <c r="S35" s="44"/>
      <c r="T35" s="44"/>
      <c r="U35" s="44"/>
      <c r="V35" s="44"/>
      <c r="W35" s="44"/>
      <c r="X35" s="44"/>
      <c r="Y35" s="44"/>
    </row>
    <row r="36" spans="1:25" ht="20.100000000000001" customHeight="1" x14ac:dyDescent="0.25">
      <c r="A36"/>
      <c r="D36" s="32"/>
      <c r="E36" s="32"/>
      <c r="F36" s="32"/>
      <c r="G36" s="32"/>
      <c r="H36" s="32"/>
      <c r="I36" s="32"/>
      <c r="J36" s="32"/>
      <c r="K36" s="32"/>
      <c r="L36" s="44"/>
      <c r="M36" s="44"/>
      <c r="N36" s="44"/>
      <c r="O36" s="44"/>
      <c r="P36" s="44"/>
      <c r="Q36" s="44"/>
      <c r="R36" s="44"/>
      <c r="S36" s="44"/>
      <c r="T36" s="44"/>
      <c r="U36" s="44"/>
      <c r="V36" s="44"/>
      <c r="W36" s="44"/>
      <c r="X36" s="44"/>
      <c r="Y36" s="44"/>
    </row>
    <row r="37" spans="1:25" ht="20.100000000000001" customHeight="1" x14ac:dyDescent="0.25">
      <c r="A37"/>
      <c r="D37" s="32"/>
      <c r="E37" s="32"/>
      <c r="F37" s="32"/>
      <c r="G37" s="32"/>
      <c r="H37" s="32"/>
      <c r="I37" s="32"/>
      <c r="J37" s="32"/>
      <c r="K37" s="32"/>
      <c r="L37" s="44"/>
      <c r="M37" s="44"/>
      <c r="N37" s="44"/>
      <c r="O37" s="44"/>
      <c r="P37" s="44"/>
      <c r="Q37" s="44"/>
      <c r="R37" s="44"/>
      <c r="S37" s="44"/>
      <c r="T37" s="44"/>
      <c r="U37" s="44"/>
      <c r="V37" s="44"/>
      <c r="W37" s="44"/>
      <c r="X37" s="44"/>
      <c r="Y37" s="44"/>
    </row>
    <row r="38" spans="1:25" ht="20.100000000000001" customHeight="1" x14ac:dyDescent="0.25">
      <c r="A38"/>
      <c r="D38" s="32"/>
      <c r="E38" s="32"/>
      <c r="F38" s="32"/>
      <c r="G38" s="32"/>
      <c r="H38" s="32"/>
      <c r="I38" s="32"/>
      <c r="J38" s="32"/>
      <c r="K38" s="32"/>
      <c r="L38" s="44"/>
      <c r="M38" s="44"/>
      <c r="N38" s="44"/>
      <c r="O38" s="44"/>
      <c r="P38" s="44"/>
      <c r="Q38" s="44"/>
      <c r="R38" s="44"/>
      <c r="S38" s="44"/>
      <c r="T38" s="44"/>
      <c r="U38" s="44"/>
      <c r="V38" s="44"/>
      <c r="W38" s="44"/>
      <c r="X38" s="44"/>
      <c r="Y38" s="44"/>
    </row>
    <row r="39" spans="1:25" ht="20.100000000000001" customHeight="1" x14ac:dyDescent="0.25">
      <c r="A39"/>
      <c r="D39" s="32"/>
      <c r="E39" s="32"/>
      <c r="F39" s="32"/>
      <c r="G39" s="32"/>
      <c r="H39" s="32"/>
      <c r="I39" s="32"/>
      <c r="J39" s="32"/>
      <c r="K39" s="32"/>
      <c r="L39" s="44"/>
      <c r="M39" s="44"/>
      <c r="N39" s="44"/>
      <c r="O39" s="44"/>
      <c r="P39" s="44"/>
      <c r="Q39" s="44"/>
      <c r="R39" s="44"/>
      <c r="S39" s="44"/>
      <c r="T39" s="44"/>
      <c r="U39" s="44"/>
      <c r="V39" s="44"/>
      <c r="W39" s="44"/>
      <c r="X39" s="44"/>
      <c r="Y39" s="44"/>
    </row>
    <row r="40" spans="1:25" ht="20.100000000000001" customHeight="1" x14ac:dyDescent="0.25">
      <c r="A40"/>
      <c r="D40" s="32"/>
      <c r="E40" s="32"/>
      <c r="F40" s="32"/>
      <c r="G40" s="32"/>
      <c r="H40" s="32"/>
      <c r="I40" s="32"/>
      <c r="J40" s="32"/>
      <c r="K40" s="32"/>
      <c r="L40" s="46"/>
      <c r="M40" s="46"/>
      <c r="N40" s="46"/>
      <c r="O40" s="46"/>
      <c r="P40" s="46"/>
      <c r="Q40" s="46"/>
      <c r="R40" s="46"/>
      <c r="S40" s="46"/>
      <c r="T40" s="46"/>
      <c r="U40" s="46"/>
      <c r="V40" s="46"/>
      <c r="W40" s="46"/>
      <c r="X40" s="46"/>
      <c r="Y40" s="46"/>
    </row>
    <row r="41" spans="1:25" ht="20.100000000000001" customHeight="1" x14ac:dyDescent="0.25">
      <c r="A41"/>
      <c r="D41" s="32"/>
      <c r="E41" s="32"/>
      <c r="F41" s="32"/>
      <c r="G41" s="32"/>
      <c r="H41" s="32"/>
      <c r="I41" s="32"/>
      <c r="J41" s="32"/>
      <c r="K41" s="32"/>
    </row>
    <row r="42" spans="1:25" ht="20.100000000000001" customHeight="1" x14ac:dyDescent="0.25">
      <c r="A42"/>
      <c r="D42" s="32"/>
      <c r="E42" s="32"/>
      <c r="F42" s="32"/>
      <c r="G42" s="32"/>
      <c r="H42" s="32"/>
      <c r="I42" s="32"/>
      <c r="J42" s="32"/>
      <c r="K42" s="32"/>
    </row>
    <row r="43" spans="1:25" ht="20.100000000000001" customHeight="1" x14ac:dyDescent="0.25">
      <c r="A43"/>
      <c r="D43" s="32"/>
      <c r="E43" s="32"/>
      <c r="F43" s="32"/>
      <c r="G43" s="32"/>
      <c r="H43" s="32"/>
      <c r="I43" s="32"/>
      <c r="J43" s="32"/>
      <c r="K43" s="32"/>
    </row>
    <row r="44" spans="1:25" ht="20.100000000000001" customHeight="1" x14ac:dyDescent="0.25">
      <c r="D44" s="32"/>
      <c r="E44" s="32"/>
      <c r="F44" s="32"/>
      <c r="G44" s="32"/>
      <c r="H44" s="32"/>
      <c r="I44" s="32"/>
      <c r="J44" s="32"/>
      <c r="K44" s="32"/>
    </row>
    <row r="45" spans="1:25" ht="20.100000000000001" customHeight="1" x14ac:dyDescent="0.25">
      <c r="D45" s="32"/>
      <c r="E45" s="32"/>
      <c r="F45" s="32"/>
      <c r="G45" s="32"/>
      <c r="H45" s="32"/>
      <c r="I45" s="32"/>
      <c r="J45" s="32"/>
      <c r="K45" s="32"/>
    </row>
    <row r="46" spans="1:25" ht="20.100000000000001" customHeight="1" x14ac:dyDescent="0.25">
      <c r="D46" s="32"/>
      <c r="E46" s="32"/>
      <c r="F46" s="32"/>
      <c r="G46" s="32"/>
      <c r="H46" s="32"/>
      <c r="I46" s="32"/>
      <c r="J46" s="32"/>
      <c r="K46" s="32"/>
    </row>
    <row r="47" spans="1:25" ht="20.100000000000001" customHeight="1" x14ac:dyDescent="0.25">
      <c r="D47" s="32"/>
      <c r="E47" s="32"/>
      <c r="F47" s="32"/>
      <c r="G47" s="32"/>
      <c r="H47" s="32"/>
      <c r="I47" s="32"/>
      <c r="J47" s="32"/>
      <c r="K47" s="32"/>
    </row>
    <row r="48" spans="1:25" ht="20.100000000000001" customHeight="1" x14ac:dyDescent="0.25">
      <c r="D48" s="32"/>
      <c r="E48" s="32"/>
      <c r="F48" s="32"/>
      <c r="G48" s="32"/>
      <c r="H48" s="32"/>
      <c r="I48" s="32"/>
      <c r="J48" s="32"/>
      <c r="K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1"/>
      <c r="E51" s="62"/>
      <c r="F51" s="62"/>
      <c r="G51" s="62"/>
      <c r="H51" s="63"/>
    </row>
    <row r="52" spans="4:8" ht="20.100000000000001" customHeight="1" x14ac:dyDescent="0.25"/>
    <row r="53" spans="4:8" ht="20.100000000000001" customHeight="1" x14ac:dyDescent="0.25"/>
    <row r="54" spans="4:8" ht="20.100000000000001" customHeight="1" x14ac:dyDescent="0.25">
      <c r="G54" s="64"/>
    </row>
    <row r="55" spans="4:8" ht="20.100000000000001" customHeight="1" x14ac:dyDescent="0.25">
      <c r="D55" s="6"/>
    </row>
    <row r="56" spans="4:8" ht="20.100000000000001" customHeight="1" x14ac:dyDescent="0.25"/>
    <row r="57" spans="4:8" ht="20.100000000000001" customHeight="1" x14ac:dyDescent="0.25">
      <c r="D57" s="21"/>
      <c r="F57" s="65"/>
    </row>
    <row r="58" spans="4:8" ht="20.100000000000001" customHeight="1" x14ac:dyDescent="0.25">
      <c r="D58" s="1"/>
      <c r="E58" s="66"/>
    </row>
    <row r="59" spans="4:8" ht="20.100000000000001" customHeight="1" x14ac:dyDescent="0.25">
      <c r="D59" s="1"/>
      <c r="E59" s="66"/>
    </row>
    <row r="60" spans="4:8" ht="20.100000000000001" customHeight="1" x14ac:dyDescent="0.25">
      <c r="D60" s="1"/>
      <c r="E60" s="67"/>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66"/>
    </row>
    <row r="65" spans="4:9" ht="20.100000000000001" customHeight="1" x14ac:dyDescent="0.25">
      <c r="D65" s="1"/>
      <c r="E65" s="66"/>
    </row>
    <row r="66" spans="4:9" ht="20.100000000000001" customHeight="1" x14ac:dyDescent="0.25">
      <c r="D66" s="1"/>
      <c r="E66" s="67"/>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68"/>
    </row>
    <row r="79" spans="4:9" ht="20.100000000000001" customHeight="1" x14ac:dyDescent="0.25">
      <c r="D79" s="68"/>
    </row>
    <row r="80" spans="4:9" ht="20.100000000000001" customHeight="1" x14ac:dyDescent="0.25">
      <c r="D80" s="68"/>
    </row>
    <row r="81" spans="4:4" ht="20.100000000000001" customHeight="1" x14ac:dyDescent="0.25">
      <c r="D81" s="68"/>
    </row>
    <row r="82" spans="4:4" ht="20.100000000000001" customHeight="1" x14ac:dyDescent="0.25">
      <c r="D82" s="6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E26" sqref="E26"/>
    </sheetView>
  </sheetViews>
  <sheetFormatPr defaultRowHeight="15.75" x14ac:dyDescent="0.25"/>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2" customWidth="1"/>
    <col min="15" max="20" width="30.7109375" style="52" customWidth="1"/>
    <col min="21" max="21" width="4.7109375" style="52" customWidth="1"/>
  </cols>
  <sheetData>
    <row r="1" spans="1:21" s="57" customFormat="1" ht="30" customHeight="1" x14ac:dyDescent="0.35">
      <c r="A1" s="57" t="e" vm="1">
        <v>#VALUE!</v>
      </c>
      <c r="C1" s="57" t="s">
        <v>113</v>
      </c>
      <c r="N1" s="52"/>
      <c r="O1" s="52"/>
      <c r="P1" s="52"/>
      <c r="Q1" s="52"/>
      <c r="R1" s="52"/>
      <c r="S1" s="52"/>
      <c r="T1" s="52"/>
      <c r="U1" s="52"/>
    </row>
    <row r="2" spans="1:21" s="9" customFormat="1" ht="20.100000000000001" customHeight="1" x14ac:dyDescent="0.25">
      <c r="N2" s="52"/>
      <c r="O2" s="52"/>
      <c r="P2" s="52"/>
      <c r="Q2" s="52"/>
      <c r="R2" s="52"/>
      <c r="S2" s="52"/>
      <c r="T2" s="52"/>
      <c r="U2" s="52"/>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114</v>
      </c>
    </row>
    <row r="6" spans="1:21" ht="20.100000000000001" customHeight="1" x14ac:dyDescent="0.25">
      <c r="A6" s="16"/>
    </row>
    <row r="7" spans="1:21" ht="20.100000000000001" customHeight="1" x14ac:dyDescent="0.25">
      <c r="A7" s="20" t="s">
        <v>3</v>
      </c>
      <c r="D7" s="54"/>
      <c r="E7" s="37" t="s">
        <v>115</v>
      </c>
      <c r="F7" s="37" t="s">
        <v>116</v>
      </c>
      <c r="G7" s="37" t="s">
        <v>117</v>
      </c>
      <c r="H7" s="37" t="s">
        <v>118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78">
        <v>4300</v>
      </c>
      <c r="F8" s="78">
        <v>100</v>
      </c>
      <c r="G8" s="78">
        <v>100</v>
      </c>
      <c r="H8" s="78">
        <v>100</v>
      </c>
      <c r="I8" s="2" t="s">
        <v>65</v>
      </c>
      <c r="J8" s="2"/>
      <c r="K8" s="2"/>
    </row>
    <row r="9" spans="1:21" ht="20.100000000000001" customHeight="1" x14ac:dyDescent="0.25">
      <c r="A9" s="102" t="str">
        <f>HYPERLINK("#'Input - Other Livestock'!A1", "Other Livestock")</f>
        <v>Other Livestock</v>
      </c>
      <c r="J9" s="2"/>
      <c r="K9" s="2"/>
    </row>
    <row r="10" spans="1:21" ht="20.100000000000001" customHeight="1" x14ac:dyDescent="0.25">
      <c r="A10" s="17"/>
    </row>
    <row r="11" spans="1:21" ht="20.100000000000001" customHeight="1" x14ac:dyDescent="0.25">
      <c r="A11" s="19" t="s">
        <v>56</v>
      </c>
      <c r="D11" s="6" t="s">
        <v>119</v>
      </c>
    </row>
    <row r="12" spans="1:21" ht="20.100000000000001" customHeight="1" x14ac:dyDescent="0.25">
      <c r="A12" s="17" t="str">
        <f>HYPERLINK("#'3.6.1.1-2 Enteric Methane'!A1", "3.6.1.1-2 Enteric Methane")</f>
        <v>3.6.1.1-2 Enteric Methane</v>
      </c>
    </row>
    <row r="13" spans="1:21" ht="20.100000000000001" customHeight="1" x14ac:dyDescent="0.25">
      <c r="D13" s="54"/>
      <c r="E13" s="37" t="s">
        <v>120</v>
      </c>
      <c r="F13" s="37" t="s">
        <v>121</v>
      </c>
      <c r="G13" s="37" t="s">
        <v>122</v>
      </c>
      <c r="H13" s="37" t="s">
        <v>123</v>
      </c>
      <c r="I13" s="37" t="s">
        <v>124</v>
      </c>
      <c r="J13" s="37" t="s">
        <v>125</v>
      </c>
    </row>
    <row r="14" spans="1:21" ht="20.100000000000001" customHeight="1" x14ac:dyDescent="0.25">
      <c r="A14" s="18" t="s">
        <v>4</v>
      </c>
      <c r="D14" s="1" t="str">
        <f>"Average number of head between " &amp; TEXT('Input - Site'!$E$12, "dd mmm yy") &amp; " and " &amp; TEXT('Input - Site'!$E$13, "dd mmm yy")</f>
        <v>Average number of head between 01 Jan 24 and 31 Dec 24</v>
      </c>
      <c r="E14" s="78">
        <v>4300</v>
      </c>
      <c r="F14" s="78">
        <v>100</v>
      </c>
      <c r="G14" s="78">
        <v>100</v>
      </c>
      <c r="H14" s="78">
        <v>100</v>
      </c>
      <c r="I14" s="78">
        <v>100</v>
      </c>
      <c r="J14" s="78">
        <v>100</v>
      </c>
      <c r="K14" s="2" t="s">
        <v>65</v>
      </c>
    </row>
    <row r="15" spans="1:21" ht="20.100000000000001" customHeight="1" x14ac:dyDescent="0.25">
      <c r="A15" s="17" t="str">
        <f>HYPERLINK("#'Constants - Other Livestock'!A1", "Constants - Other Livestock")</f>
        <v>Constants - Other Livestock</v>
      </c>
      <c r="J15" s="2"/>
      <c r="K15" s="2"/>
    </row>
    <row r="16" spans="1:21" ht="20.100000000000001" customHeight="1" x14ac:dyDescent="0.25">
      <c r="A16" s="17" t="str">
        <f>HYPERLINK("#'Constants - Common'!A1", "Constants - Common")</f>
        <v>Constants - Common</v>
      </c>
      <c r="J16" s="2"/>
      <c r="K16" s="2"/>
    </row>
    <row r="17" spans="1:11" ht="20.100000000000001" customHeight="1" x14ac:dyDescent="0.25">
      <c r="A17" s="17" t="str">
        <f>HYPERLINK("#'Acknowledgements'!A1", "Acknowledgements")</f>
        <v>Acknowledgements</v>
      </c>
      <c r="D17" s="6" t="s">
        <v>126</v>
      </c>
      <c r="J17" s="2"/>
      <c r="K17" s="2"/>
    </row>
    <row r="18" spans="1:11" ht="20.100000000000001" customHeight="1" x14ac:dyDescent="0.25"/>
    <row r="19" spans="1:11" ht="20.100000000000001" customHeight="1" x14ac:dyDescent="0.25">
      <c r="D19" s="54"/>
      <c r="E19" s="37" t="s">
        <v>127</v>
      </c>
      <c r="F19" s="37" t="s">
        <v>128</v>
      </c>
      <c r="G19" s="37" t="s">
        <v>129</v>
      </c>
      <c r="H19" s="37" t="s">
        <v>130</v>
      </c>
    </row>
    <row r="20" spans="1:11" ht="20.100000000000001" customHeight="1" x14ac:dyDescent="0.25">
      <c r="D20" s="1" t="str">
        <f>"Average number of head between " &amp; TEXT('Input - Site'!$E$12, "dd mmm yy") &amp; " and " &amp; TEXT('Input - Site'!$E$13, "dd mmm yy")</f>
        <v>Average number of head between 01 Jan 24 and 31 Dec 24</v>
      </c>
      <c r="E20" s="78">
        <v>4300</v>
      </c>
      <c r="F20" s="78">
        <v>100</v>
      </c>
      <c r="G20" s="78">
        <v>100</v>
      </c>
      <c r="H20" s="78">
        <v>100</v>
      </c>
      <c r="I20" s="2" t="s">
        <v>65</v>
      </c>
      <c r="J20" s="2"/>
      <c r="K20" s="2"/>
    </row>
    <row r="21" spans="1:11" ht="20.100000000000001" customHeight="1" x14ac:dyDescent="0.25">
      <c r="A21" s="17"/>
      <c r="J21" s="2"/>
      <c r="K21" s="2"/>
    </row>
    <row r="22" spans="1:11" ht="20.100000000000001" customHeight="1" x14ac:dyDescent="0.25">
      <c r="J22" s="2"/>
      <c r="K22" s="2"/>
    </row>
    <row r="23" spans="1:11" ht="20.100000000000001" customHeight="1" x14ac:dyDescent="0.25">
      <c r="D23" s="6" t="s">
        <v>131</v>
      </c>
      <c r="J23" s="2"/>
      <c r="K23" s="2"/>
    </row>
    <row r="24" spans="1:11" ht="20.100000000000001" customHeight="1" x14ac:dyDescent="0.25"/>
    <row r="25" spans="1:11" ht="20.100000000000001" customHeight="1" x14ac:dyDescent="0.25">
      <c r="A25" s="17"/>
      <c r="D25" s="54"/>
      <c r="E25" s="37" t="s">
        <v>132</v>
      </c>
      <c r="F25" s="37" t="s">
        <v>133</v>
      </c>
      <c r="G25" s="37" t="s">
        <v>134</v>
      </c>
      <c r="H25" s="37" t="s">
        <v>135</v>
      </c>
      <c r="I25" s="37" t="s">
        <v>136</v>
      </c>
    </row>
    <row r="26" spans="1:11" ht="20.100000000000001" customHeight="1" x14ac:dyDescent="0.25">
      <c r="A26" s="17"/>
      <c r="D26" s="1" t="str">
        <f>"Average number of head between " &amp; TEXT('Input - Site'!$E$12, "dd mmm yy") &amp; " and " &amp; TEXT('Input - Site'!$E$13, "dd mmm yy")</f>
        <v>Average number of head between 01 Jan 24 and 31 Dec 24</v>
      </c>
      <c r="E26" s="78">
        <v>4300</v>
      </c>
      <c r="F26" s="78">
        <v>100</v>
      </c>
      <c r="G26" s="78">
        <v>100</v>
      </c>
      <c r="H26" s="78">
        <v>100</v>
      </c>
      <c r="I26" s="78">
        <v>100</v>
      </c>
      <c r="J26" s="2" t="s">
        <v>65</v>
      </c>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56"/>
    </row>
    <row r="32" spans="1:11" ht="20.100000000000001" customHeight="1" x14ac:dyDescent="0.25">
      <c r="A32" s="56"/>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2"/>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82"/>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abSelected="1" topLeftCell="A5" zoomScaleNormal="100" workbookViewId="0">
      <selection activeCell="G32" sqref="G3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7" t="e" vm="1">
        <v>#VALUE!</v>
      </c>
      <c r="C1" s="8" t="s">
        <v>112</v>
      </c>
      <c r="K1"/>
    </row>
    <row r="2" spans="1:19" s="9" customFormat="1" ht="20.100000000000001" customHeight="1" x14ac:dyDescent="0.25">
      <c r="K2"/>
    </row>
    <row r="3" spans="1:19" ht="20.100000000000001" customHeight="1" x14ac:dyDescent="0.25">
      <c r="A3" s="17" t="str">
        <f>HYPERLINK("#'Home'!A1", "Home")</f>
        <v>Home</v>
      </c>
      <c r="C3" s="4"/>
      <c r="D3" s="4" t="s">
        <v>66</v>
      </c>
      <c r="E3" s="4"/>
      <c r="F3" s="4"/>
      <c r="G3" s="4"/>
      <c r="H3" s="4"/>
      <c r="I3" s="4"/>
      <c r="J3" s="4"/>
      <c r="L3" s="4"/>
      <c r="M3" s="4" t="s">
        <v>67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100000000000001" customHeight="1" x14ac:dyDescent="0.25">
      <c r="A6" s="16"/>
      <c r="D6" s="5" t="str" cm="1">
        <f t="array" ref="D6">EntericMethane_OtherLivestock_Equations.VEERG_3_6_1_1__1_TotalAnnualMethaneFromEntericFermentationOtherLivestock_Source()</f>
        <v>VEERG 2026: 3.6.1.1, Equation (1)</v>
      </c>
    </row>
    <row r="7" spans="1:19" ht="20.100000000000001" customHeight="1" x14ac:dyDescent="0.25">
      <c r="A7" s="20" t="s">
        <v>3</v>
      </c>
      <c r="D7" s="13" t="s">
        <v>16</v>
      </c>
      <c r="E7" s="13" t="str" cm="1">
        <f t="array" aca="1" ref="E7" ca="1">Common_InputFunctions.Utility_DisplayFunctionName(G19)</f>
        <v>=EntericMethane_OtherLivestock_Equations.VEERG_3_6_1_1__1_TotalAnnualMethaneFromEntericFermentationOtherLivestock</v>
      </c>
    </row>
    <row r="8" spans="1:19" ht="20.100000000000001" customHeight="1" x14ac:dyDescent="0.25">
      <c r="A8" s="17" t="str">
        <f>HYPERLINK("#'Input - Site'!A1", "Site")</f>
        <v>Site</v>
      </c>
    </row>
    <row r="9" spans="1:19" ht="20.100000000000001" customHeight="1" x14ac:dyDescent="0.25">
      <c r="A9" s="17" t="str">
        <f>HYPERLINK("#'Input - Other Livestock'!A1", "Other Livestock")</f>
        <v>Other Livestock</v>
      </c>
    </row>
    <row r="10" spans="1:19" ht="20.100000000000001" customHeight="1" x14ac:dyDescent="0.25">
      <c r="A10" s="17"/>
      <c r="D10" s="49" t="s">
        <v>19</v>
      </c>
      <c r="E10" s="1" t="str" cm="1">
        <f t="array" ref="E10">EntericMethane_OtherLivestock_Equations.VEERG_3_6_1_1__1_TotalAnnualMethaneFromEntericFermentationOtherLivestock_Variable()</f>
        <v>E_enteric</v>
      </c>
    </row>
    <row r="11" spans="1:19" ht="20.100000000000001" customHeight="1" x14ac:dyDescent="0.25">
      <c r="A11" s="19" t="s">
        <v>56</v>
      </c>
      <c r="D11" s="49" t="s">
        <v>11</v>
      </c>
      <c r="E11" s="50" t="str" cm="1">
        <f t="array" ref="E11">EntericMethane_OtherLivestock_Equations.VEERG_3_6_1_1__1_TotalAnnualMethaneFromEntericFermentationOtherLivestock_Unit()</f>
        <v>t CH4</v>
      </c>
    </row>
    <row r="12" spans="1:19" ht="20.100000000000001" customHeight="1" x14ac:dyDescent="0.25">
      <c r="A12" s="101" t="str">
        <f>HYPERLINK("#'3.6.1.1-2 Enteric Methane'!A1", "3.6.1.1-2 Enteric Methane")</f>
        <v>3.6.1.1-2 Enteric Methane</v>
      </c>
    </row>
    <row r="13" spans="1:19" ht="20.100000000000001" customHeight="1" x14ac:dyDescent="0.25">
      <c r="D13" s="91" t="str" cm="1">
        <f t="array" ref="D13:E15">_xlfn.CHOOSECOLS(EntericMethane_OtherLivestock_Equations.VEERG_3_6_1_1__1_TotalAnnualMethaneFromEntericFermentationOtherLivestock_Arguments(),1,2)</f>
        <v>N_j</v>
      </c>
      <c r="E13" s="93" t="str">
        <v>number of livestock of each livestock type j</v>
      </c>
      <c r="F13" s="92"/>
      <c r="G13" s="91" t="str" cm="1">
        <f t="array" ref="G13:H15">_xlfn.CHOOSECOLS(EntericMethane_OtherLivestock_Equations.VEERG_3_6_1_1__1_TotalAnnualMethaneFromEntericFermentationOtherLivestock_Arguments(),3,4)</f>
        <v>head</v>
      </c>
      <c r="H13" s="89" t="str">
        <v>Input</v>
      </c>
    </row>
    <row r="14" spans="1:19" ht="20.100000000000001" customHeight="1" x14ac:dyDescent="0.25">
      <c r="A14" s="18" t="s">
        <v>4</v>
      </c>
      <c r="D14" s="91" t="str">
        <v>M_j</v>
      </c>
      <c r="E14" s="93" t="str">
        <v>enteric fermentation emission factor</v>
      </c>
      <c r="F14" s="92"/>
      <c r="G14" s="91" t="str">
        <v>kg CH4/head/year</v>
      </c>
      <c r="H14" s="90" t="str">
        <v>Constant</v>
      </c>
    </row>
    <row r="15" spans="1:19" ht="20.100000000000001" customHeight="1" x14ac:dyDescent="0.25">
      <c r="A15" s="17" t="str">
        <f>HYPERLINK("#'Constants - Other Livestock'!A1", "Constants - Other Livestock")</f>
        <v>Constants - Other Livestock</v>
      </c>
      <c r="D15" s="91" t="str">
        <v>j</v>
      </c>
      <c r="E15" s="93" t="str">
        <v>livestock type</v>
      </c>
      <c r="F15" s="92"/>
      <c r="G15" s="91" t="str">
        <v/>
      </c>
      <c r="H15" s="89" t="str">
        <v>Input</v>
      </c>
    </row>
    <row r="16" spans="1:19" ht="20.100000000000001" customHeight="1" x14ac:dyDescent="0.25">
      <c r="A16" s="17" t="str">
        <f>HYPERLINK("#'Constants - Common'!A1", "Constants - Common")</f>
        <v>Constants - Common</v>
      </c>
    </row>
    <row r="17" spans="1:8" ht="20.100000000000001" customHeight="1" x14ac:dyDescent="0.25">
      <c r="A17" s="17" t="str">
        <f>HYPERLINK("#'Acknowledgements'!A1", "Acknowledgements")</f>
        <v>Acknowledgements</v>
      </c>
    </row>
    <row r="18" spans="1:8" ht="20.100000000000001" customHeight="1" x14ac:dyDescent="0.25">
      <c r="D18" s="37" t="s">
        <v>137</v>
      </c>
      <c r="E18" s="37" t="s">
        <v>138</v>
      </c>
      <c r="F18" s="47" t="s">
        <v>106</v>
      </c>
      <c r="G18" s="47" t="s">
        <v>139</v>
      </c>
    </row>
    <row r="19" spans="1:8" ht="20.100000000000001" customHeight="1" x14ac:dyDescent="0.25">
      <c r="D19" s="48" t="str">
        <f>'Constants - Other Livestock'!D10</f>
        <v>Buffalo</v>
      </c>
      <c r="E19" s="48">
        <f>SUM(X_Table_OtherLivestock_Buffalo_Head)</f>
        <v>4600</v>
      </c>
      <c r="F19" s="48" cm="1">
        <f t="array" ref="F19">Common_InputFunctions.Utility_LookupValueInTableNumber(D19, Table_SourceData_OtherLivestock_EntericEF[Other livestock type],Table_SourceData_OtherLivestock_EntericEF[Mj])</f>
        <v>68</v>
      </c>
      <c r="G19" s="48" cm="1">
        <f t="array" ref="G19">EntericMethane_OtherLivestock_Equations.VEERG_3_6_1_1__1_TotalAnnualMethaneFromEntericFermentationOtherLivestock(E19,F19)</f>
        <v>312.8</v>
      </c>
      <c r="H19" s="2" t="str">
        <f>$E$11</f>
        <v>t CH4</v>
      </c>
    </row>
    <row r="20" spans="1:8" ht="20.100000000000001" customHeight="1" x14ac:dyDescent="0.25">
      <c r="D20" s="48" t="str">
        <f>'Constants - Other Livestock'!D11</f>
        <v>Goats</v>
      </c>
      <c r="E20" s="48">
        <f>SUM(X_Table_OtherLivestock_Goats_Head)</f>
        <v>4800</v>
      </c>
      <c r="F20" s="48" cm="1">
        <f t="array" ref="F20">Common_InputFunctions.Utility_LookupValueInTableNumber(D20, Table_SourceData_OtherLivestock_EntericEF[Other livestock type],Table_SourceData_OtherLivestock_EntericEF[Mj])</f>
        <v>5</v>
      </c>
      <c r="G20" s="48" cm="1">
        <f t="array" ref="G20">EntericMethane_OtherLivestock_Equations.VEERG_3_6_1_1__1_TotalAnnualMethaneFromEntericFermentationOtherLivestock(E20,F20)</f>
        <v>24</v>
      </c>
    </row>
    <row r="21" spans="1:8" ht="20.100000000000001" customHeight="1" x14ac:dyDescent="0.25">
      <c r="A21" s="17"/>
      <c r="D21" s="48" t="str">
        <f>'Constants - Other Livestock'!D12</f>
        <v>Deer</v>
      </c>
      <c r="E21" s="48">
        <f>SUM(X_Table_OtherLivestock_Deer_Head)</f>
        <v>4600</v>
      </c>
      <c r="F21" s="48" cm="1">
        <f t="array" ref="F21">Common_InputFunctions.Utility_LookupValueInTableNumber(D21, Table_SourceData_OtherLivestock_EntericEF[Other livestock type],Table_SourceData_OtherLivestock_EntericEF[Mj])</f>
        <v>20</v>
      </c>
      <c r="G21" s="48" cm="1">
        <f t="array" ref="G21">EntericMethane_OtherLivestock_Equations.VEERG_3_6_1_1__1_TotalAnnualMethaneFromEntericFermentationOtherLivestock(E21,F21)</f>
        <v>92</v>
      </c>
    </row>
    <row r="22" spans="1:8" ht="20.100000000000001" customHeight="1" x14ac:dyDescent="0.25">
      <c r="D22" s="48" t="str">
        <f>'Constants - Other Livestock'!D13</f>
        <v>Camels</v>
      </c>
      <c r="E22" s="48">
        <f>X_Cell_OtherLivestock_Others_Camels_Head</f>
        <v>4300</v>
      </c>
      <c r="F22" s="48" cm="1">
        <f t="array" ref="F22">Common_InputFunctions.Utility_LookupValueInTableNumber(D22, Table_SourceData_OtherLivestock_EntericEF[Other livestock type],Table_SourceData_OtherLivestock_EntericEF[Mj])</f>
        <v>46</v>
      </c>
      <c r="G22" s="48" cm="1">
        <f t="array" ref="G22">EntericMethane_OtherLivestock_Equations.VEERG_3_6_1_1__1_TotalAnnualMethaneFromEntericFermentationOtherLivestock(E22,F22)</f>
        <v>197.8</v>
      </c>
    </row>
    <row r="23" spans="1:8" ht="20.100000000000001" customHeight="1" x14ac:dyDescent="0.25">
      <c r="D23" s="48" t="str">
        <f>'Constants - Other Livestock'!D14</f>
        <v>Alpacas</v>
      </c>
      <c r="E23" s="48">
        <f>X_Cell_OtherLivestock_Others_Alpacas_Head</f>
        <v>100</v>
      </c>
      <c r="F23" s="48" cm="1">
        <f t="array" ref="F23">Common_InputFunctions.Utility_LookupValueInTableNumber(D23, Table_SourceData_OtherLivestock_EntericEF[Other livestock type],Table_SourceData_OtherLivestock_EntericEF[Mj])</f>
        <v>8</v>
      </c>
      <c r="G23" s="48" cm="1">
        <f t="array" ref="G23">EntericMethane_OtherLivestock_Equations.VEERG_3_6_1_1__1_TotalAnnualMethaneFromEntericFermentationOtherLivestock(E23,F23)</f>
        <v>0.8</v>
      </c>
    </row>
    <row r="24" spans="1:8" ht="20.100000000000001" customHeight="1" x14ac:dyDescent="0.25">
      <c r="D24" s="48" t="str">
        <f>'Constants - Other Livestock'!D15</f>
        <v>Horses</v>
      </c>
      <c r="E24" s="48">
        <f>X_Cell_OtherLivestock_Others_Horses_Head</f>
        <v>100</v>
      </c>
      <c r="F24" s="48" cm="1">
        <f t="array" ref="F24">Common_InputFunctions.Utility_LookupValueInTableNumber(D24, Table_SourceData_OtherLivestock_EntericEF[Other livestock type],Table_SourceData_OtherLivestock_EntericEF[Mj])</f>
        <v>18</v>
      </c>
      <c r="G24" s="48" cm="1">
        <f t="array" ref="G24">EntericMethane_OtherLivestock_Equations.VEERG_3_6_1_1__1_TotalAnnualMethaneFromEntericFermentationOtherLivestock(E24,F24)</f>
        <v>1.8</v>
      </c>
    </row>
    <row r="25" spans="1:8" ht="20.100000000000001" customHeight="1" x14ac:dyDescent="0.25">
      <c r="A25" s="17"/>
      <c r="D25" s="48" t="str">
        <f>'Constants - Other Livestock'!D16</f>
        <v>Mules/asses</v>
      </c>
      <c r="E25" s="48">
        <f>X_Cell_OtherLivestock_Others_Mules_Head</f>
        <v>100</v>
      </c>
      <c r="F25" s="48" cm="1">
        <f t="array" ref="F25">Common_InputFunctions.Utility_LookupValueInTableNumber(D25, Table_SourceData_OtherLivestock_EntericEF[Other livestock type],Table_SourceData_OtherLivestock_EntericEF[Mj])</f>
        <v>10</v>
      </c>
      <c r="G25" s="48" cm="1">
        <f t="array" ref="G25">EntericMethane_OtherLivestock_Equations.VEERG_3_6_1_1__1_TotalAnnualMethaneFromEntericFermentationOtherLivestock(E25,F25)</f>
        <v>1</v>
      </c>
    </row>
    <row r="26" spans="1:8" ht="20.100000000000001" customHeight="1" x14ac:dyDescent="0.25">
      <c r="D26" s="48" t="str">
        <f>'Constants - Other Livestock'!D17</f>
        <v>Emus/ostriches</v>
      </c>
      <c r="E26" s="48">
        <f>X_Cell_OtherLivestock_Others_Emus_Head</f>
        <v>100</v>
      </c>
      <c r="F26" s="48" cm="1">
        <f t="array" ref="F26">Common_InputFunctions.Utility_LookupValueInTableNumber(D26, Table_SourceData_OtherLivestock_EntericEF[Other livestock type],Table_SourceData_OtherLivestock_EntericEF[Mj])</f>
        <v>5</v>
      </c>
      <c r="G26" s="48" cm="1">
        <f t="array" ref="G26">EntericMethane_OtherLivestock_Equations.VEERG_3_6_1_1__1_TotalAnnualMethaneFromEntericFermentationOtherLivestock(E26,F26)</f>
        <v>0.5</v>
      </c>
    </row>
    <row r="27" spans="1:8" ht="20.100000000000001" customHeight="1" x14ac:dyDescent="0.25"/>
    <row r="28" spans="1:8" ht="20.100000000000001" customHeight="1" x14ac:dyDescent="0.25">
      <c r="D28" s="79" t="s">
        <v>139</v>
      </c>
      <c r="E28" s="80">
        <f>SUM(G19:G26)</f>
        <v>630.69999999999993</v>
      </c>
      <c r="F28" s="100" t="str">
        <f>$E$11</f>
        <v>t CH4</v>
      </c>
      <c r="G28" s="43"/>
    </row>
    <row r="29" spans="1:8" ht="20.100000000000001" customHeight="1" x14ac:dyDescent="0.25"/>
    <row r="30" spans="1:8" ht="20.100000000000001" customHeight="1" x14ac:dyDescent="0.25">
      <c r="D30" s="104" t="str" cm="1">
        <f t="array" ref="D30:E31">Common_Equations.Common_ConvertCH4ToCO2e_Arguments()</f>
        <v>ECH4</v>
      </c>
      <c r="E30" s="105" t="str">
        <v>Methane emissions (t CH4)</v>
      </c>
      <c r="F30" s="106"/>
      <c r="G30" s="48">
        <f>E28</f>
        <v>630.69999999999993</v>
      </c>
      <c r="H30" s="2" t="str">
        <f>E11</f>
        <v>t CH4</v>
      </c>
    </row>
    <row r="31" spans="1:8" ht="20.100000000000001" customHeight="1" x14ac:dyDescent="0.25">
      <c r="D31" s="104" t="str">
        <v>GWPCH4</v>
      </c>
      <c r="E31" s="105" t="str">
        <v>Global warming potential for methane (t CO2-e / t CH4)</v>
      </c>
      <c r="F31" s="106"/>
      <c r="G31" s="48">
        <f>Common_InputFunctions.Utility_LookupValueInTableNumber("CH4",Table_GWPData[Gas],Table_GWPData[CO2-e factor])</f>
        <v>28</v>
      </c>
    </row>
    <row r="32" spans="1:8" ht="20.100000000000001" customHeight="1" x14ac:dyDescent="0.25"/>
    <row r="33" spans="4:6" ht="20.100000000000001" customHeight="1" x14ac:dyDescent="0.25">
      <c r="D33" s="43" t="s">
        <v>142</v>
      </c>
      <c r="E33" s="43" cm="1">
        <f t="array" ref="E33">Common_Equations.Common_ConvertCH4ToCO2e(G30,G31)</f>
        <v>17659.599999999999</v>
      </c>
      <c r="F33" s="81" t="str" cm="1">
        <f t="array" ref="F33">Common_Equations.Common_ConvertN2OToCO2e_Unit()</f>
        <v>t CO2e</v>
      </c>
    </row>
    <row r="34" spans="4:6" ht="20.100000000000001" customHeight="1" x14ac:dyDescent="0.25"/>
    <row r="35" spans="4:6" ht="20.100000000000001" customHeight="1" x14ac:dyDescent="0.25"/>
    <row r="36" spans="4:6" ht="20.100000000000001" customHeight="1" x14ac:dyDescent="0.25"/>
    <row r="37" spans="4:6" ht="20.100000000000001" customHeight="1" x14ac:dyDescent="0.25"/>
    <row r="38" spans="4:6" ht="20.100000000000001" customHeight="1" x14ac:dyDescent="0.25"/>
    <row r="39" spans="4:6" ht="20.100000000000001" customHeight="1" x14ac:dyDescent="0.25"/>
    <row r="40" spans="4:6" ht="20.100000000000001" customHeight="1" x14ac:dyDescent="0.25"/>
    <row r="41" spans="4:6" ht="20.100000000000001" customHeight="1" x14ac:dyDescent="0.25"/>
    <row r="42" spans="4:6" ht="20.100000000000001" customHeight="1" x14ac:dyDescent="0.25"/>
    <row r="43" spans="4:6" ht="20.100000000000001" customHeight="1" x14ac:dyDescent="0.25"/>
    <row r="44" spans="4:6" ht="20.100000000000001" customHeight="1" x14ac:dyDescent="0.25"/>
    <row r="45" spans="4:6" ht="20.100000000000001" customHeight="1" x14ac:dyDescent="0.25"/>
    <row r="46" spans="4:6" ht="20.100000000000001" customHeight="1" x14ac:dyDescent="0.25"/>
    <row r="47" spans="4:6" ht="20.100000000000001" customHeight="1" x14ac:dyDescent="0.25"/>
    <row r="48" spans="4: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workbookViewId="0">
      <selection activeCell="A12" sqref="A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3</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0"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5" t="s">
        <v>105</v>
      </c>
      <c r="E9" s="35" t="s">
        <v>106</v>
      </c>
      <c r="M9" s="1"/>
    </row>
    <row r="10" spans="1:21" ht="20.100000000000001" customHeight="1" x14ac:dyDescent="0.25">
      <c r="A10" s="17"/>
      <c r="D10" s="35" t="str" cm="1">
        <f t="array" ref="D10">Common_InputFunctions.Utility_DisplayArrayInTable(SourceData_OtherLivestock.SourceData_OtherLivestock_EntericFermentationEmissionFactor_Data(),Table_SourceData_OtherLivestock_EntericEF[[#Headers],[Other livestock type]],0)</f>
        <v>Buffalo</v>
      </c>
      <c r="E10" s="35"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56</v>
      </c>
      <c r="D11" s="1" t="str" cm="1">
        <f t="array" ref="D11">Common_InputFunctions.Utility_DisplayArrayInTable(SourceData_OtherLivestock.SourceData_OtherLivestock_EntericFermentationEmissionFactor_Data(),Table_SourceData_OtherLivestock_EntericEF[[#Headers],[Other livestock type]],0)</f>
        <v>Goats</v>
      </c>
      <c r="E11" s="35"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HYPERLINK("#'3.6.1.1-2 Enteric Methane'!A1", "3.6.1.1-2 Enteric Methane")</f>
        <v>3.6.1.1-2 Enteric Methane</v>
      </c>
      <c r="D12" s="1" t="str" cm="1">
        <f t="array" ref="D12">Common_InputFunctions.Utility_DisplayArrayInTable(SourceData_OtherLivestock.SourceData_OtherLivestock_EntericFermentationEmissionFactor_Data(),Table_SourceData_OtherLivestock_EntericEF[[#Headers],[Other livestock type]],0)</f>
        <v>Deer</v>
      </c>
      <c r="E12" s="35"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D13" s="1" t="str" cm="1">
        <f t="array" ref="D13">Common_InputFunctions.Utility_DisplayArrayInTable(SourceData_OtherLivestock.SourceData_OtherLivestock_EntericFermentationEmissionFactor_Data(),Table_SourceData_OtherLivestock_EntericEF[[#Headers],[Other livestock type]],0)</f>
        <v>Camels</v>
      </c>
      <c r="E13" s="35"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8" t="s">
        <v>4</v>
      </c>
      <c r="D14" s="1" t="str" cm="1">
        <f t="array" ref="D14">Common_InputFunctions.Utility_DisplayArrayInTable(SourceData_OtherLivestock.SourceData_OtherLivestock_EntericFermentationEmissionFactor_Data(),Table_SourceData_OtherLivestock_EntericEF[[#Headers],[Other livestock type]],0)</f>
        <v>Alpacas</v>
      </c>
      <c r="E14" s="35"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58" t="str">
        <f>HYPERLINK("#'Constants - Other Livestock'!A1", "Constants - Other Livestock")</f>
        <v>Constants - Other Livestock</v>
      </c>
      <c r="D15" s="1" t="str" cm="1">
        <f t="array" ref="D15">Common_InputFunctions.Utility_DisplayArrayInTable(SourceData_OtherLivestock.SourceData_OtherLivestock_EntericFermentationEmissionFactor_Data(),Table_SourceData_OtherLivestock_EntericEF[[#Headers],[Other livestock type]],0)</f>
        <v>Horses</v>
      </c>
      <c r="E15" s="35"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HYPERLINK("#'Constants - Common'!A1", "Constants - Common")</f>
        <v>Constants - Common</v>
      </c>
      <c r="D16" s="1" t="str" cm="1">
        <f t="array" ref="D16">Common_InputFunctions.Utility_DisplayArrayInTable(SourceData_OtherLivestock.SourceData_OtherLivestock_EntericFermentationEmissionFactor_Data(),Table_SourceData_OtherLivestock_EntericEF[[#Headers],[Other livestock type]],0)</f>
        <v>Mules/asses</v>
      </c>
      <c r="E16" s="35"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HYPERLINK("#'Acknowledgements'!A1", "Acknowledgements")</f>
        <v>Acknowledgements</v>
      </c>
      <c r="D17" s="1" t="str" cm="1">
        <f t="array" ref="D17">Common_InputFunctions.Utility_DisplayArrayInTable(SourceData_OtherLivestock.SourceData_OtherLivestock_EntericFermentationEmissionFactor_Data(),Table_SourceData_OtherLivestock_EntericEF[[#Headers],[Other livestock type]],0)</f>
        <v>Emus/ostriches</v>
      </c>
      <c r="E17" s="35"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0" t="str" cm="1">
        <f t="array" ref="D23">SourceData_OtherLivestock.SourceData_OtherLivestock_VolatileSolidsProduced_Unit()</f>
        <v>kg VS / head / day</v>
      </c>
      <c r="M23" s="1"/>
    </row>
    <row r="24" spans="1:13" ht="20.100000000000001" customHeight="1" x14ac:dyDescent="0.25">
      <c r="D24" s="35" t="s">
        <v>105</v>
      </c>
      <c r="E24" s="35" t="s">
        <v>108</v>
      </c>
      <c r="M24" s="1"/>
    </row>
    <row r="25" spans="1:13" ht="20.100000000000001" customHeight="1" x14ac:dyDescent="0.25">
      <c r="A25" s="17"/>
      <c r="D25" s="35" t="str" cm="1">
        <f t="array" ref="D25">Common_InputFunctions.Utility_DisplayArrayInTable(SourceData_OtherLivestock.SourceData_OtherLivestock_VolatileSolidsProduced_Data(),Table_SourceData_OtherLivestock_VolatileSolids[[#Headers],[Other livestock type]],0)</f>
        <v>Buffalo</v>
      </c>
      <c r="E25" s="35"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5" t="str" cm="1">
        <f t="array" ref="D26">Common_InputFunctions.Utility_DisplayArrayInTable(SourceData_OtherLivestock.SourceData_OtherLivestock_VolatileSolidsProduced_Data(),Table_SourceData_OtherLivestock_VolatileSolids[[#Headers],[Other livestock type]],0)</f>
        <v>Goats</v>
      </c>
      <c r="E26" s="35"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5" t="str" cm="1">
        <f t="array" ref="D27">Common_InputFunctions.Utility_DisplayArrayInTable(SourceData_OtherLivestock.SourceData_OtherLivestock_VolatileSolidsProduced_Data(),Table_SourceData_OtherLivestock_VolatileSolids[[#Headers],[Other livestock type]],0)</f>
        <v>Deer</v>
      </c>
      <c r="E27" s="35"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5" t="str" cm="1">
        <f t="array" ref="D28">Common_InputFunctions.Utility_DisplayArrayInTable(SourceData_OtherLivestock.SourceData_OtherLivestock_VolatileSolidsProduced_Data(),Table_SourceData_OtherLivestock_VolatileSolids[[#Headers],[Other livestock type]],0)</f>
        <v>Camels</v>
      </c>
      <c r="E28" s="35"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5" t="str" cm="1">
        <f t="array" ref="D29">Common_InputFunctions.Utility_DisplayArrayInTable(SourceData_OtherLivestock.SourceData_OtherLivestock_VolatileSolidsProduced_Data(),Table_SourceData_OtherLivestock_VolatileSolids[[#Headers],[Other livestock type]],0)</f>
        <v>Alpacas</v>
      </c>
      <c r="E29" s="35"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5" t="str" cm="1">
        <f t="array" ref="D30">Common_InputFunctions.Utility_DisplayArrayInTable(SourceData_OtherLivestock.SourceData_OtherLivestock_VolatileSolidsProduced_Data(),Table_SourceData_OtherLivestock_VolatileSolids[[#Headers],[Other livestock type]],0)</f>
        <v>Horses</v>
      </c>
      <c r="E30" s="35"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5" t="str" cm="1">
        <f t="array" ref="D31">Common_InputFunctions.Utility_DisplayArrayInTable(SourceData_OtherLivestock.SourceData_OtherLivestock_VolatileSolidsProduced_Data(),Table_SourceData_OtherLivestock_VolatileSolids[[#Headers],[Other livestock type]],0)</f>
        <v>Mules/asses</v>
      </c>
      <c r="E31" s="35"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5" t="str" cm="1">
        <f t="array" ref="D32">Common_InputFunctions.Utility_DisplayArrayInTable(SourceData_OtherLivestock.SourceData_OtherLivestock_VolatileSolidsProduced_Data(),Table_SourceData_OtherLivestock_VolatileSolids[[#Headers],[Other livestock type]],0)</f>
        <v>Emus/ostriches</v>
      </c>
      <c r="E32" s="35"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0" t="str" cm="1">
        <f t="array" ref="D38">SourceData_OtherLivestock.SourceData_OtherLivestock_NitrogenExcreted_Unit()</f>
        <v>kg N2O / head / year</v>
      </c>
      <c r="M38" s="1"/>
    </row>
    <row r="39" spans="4:13" ht="20.100000000000001" customHeight="1" x14ac:dyDescent="0.25">
      <c r="D39" s="35" t="s">
        <v>105</v>
      </c>
      <c r="E39" s="35" t="s">
        <v>107</v>
      </c>
      <c r="M39" s="1"/>
    </row>
    <row r="40" spans="4:13" ht="20.100000000000001" customHeight="1" x14ac:dyDescent="0.25">
      <c r="D40" s="35" t="str" cm="1">
        <f t="array" ref="D40">Common_InputFunctions.Utility_DisplayArrayInTable(SourceData_OtherLivestock.SourceData_OtherLivestock_NitrogenExcreted_Data(),Table_SourceData_OtherLivestock_NitrogenExcreted[[#Headers],[Other livestock type]],0)</f>
        <v>Buffalo</v>
      </c>
      <c r="E40" s="35"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5" t="str" cm="1">
        <f t="array" ref="D41">Common_InputFunctions.Utility_DisplayArrayInTable(SourceData_OtherLivestock.SourceData_OtherLivestock_NitrogenExcreted_Data(),Table_SourceData_OtherLivestock_NitrogenExcreted[[#Headers],[Other livestock type]],0)</f>
        <v>Goats</v>
      </c>
      <c r="E41" s="35"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5" t="str" cm="1">
        <f t="array" ref="D42">Common_InputFunctions.Utility_DisplayArrayInTable(SourceData_OtherLivestock.SourceData_OtherLivestock_NitrogenExcreted_Data(),Table_SourceData_OtherLivestock_NitrogenExcreted[[#Headers],[Other livestock type]],0)</f>
        <v>Deer</v>
      </c>
      <c r="E42" s="35"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5" t="str" cm="1">
        <f t="array" ref="D43">Common_InputFunctions.Utility_DisplayArrayInTable(SourceData_OtherLivestock.SourceData_OtherLivestock_NitrogenExcreted_Data(),Table_SourceData_OtherLivestock_NitrogenExcreted[[#Headers],[Other livestock type]],0)</f>
        <v>Camels</v>
      </c>
      <c r="E43" s="35"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5" t="str" cm="1">
        <f t="array" ref="D44">Common_InputFunctions.Utility_DisplayArrayInTable(SourceData_OtherLivestock.SourceData_OtherLivestock_NitrogenExcreted_Data(),Table_SourceData_OtherLivestock_NitrogenExcreted[[#Headers],[Other livestock type]],0)</f>
        <v>Alpacas</v>
      </c>
      <c r="E44" s="35"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5" t="str" cm="1">
        <f t="array" ref="D45">Common_InputFunctions.Utility_DisplayArrayInTable(SourceData_OtherLivestock.SourceData_OtherLivestock_NitrogenExcreted_Data(),Table_SourceData_OtherLivestock_NitrogenExcreted[[#Headers],[Other livestock type]],0)</f>
        <v>Horses</v>
      </c>
      <c r="E45" s="35"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5" t="str" cm="1">
        <f t="array" ref="D46">Common_InputFunctions.Utility_DisplayArrayInTable(SourceData_OtherLivestock.SourceData_OtherLivestock_NitrogenExcreted_Data(),Table_SourceData_OtherLivestock_NitrogenExcreted[[#Headers],[Other livestock type]],0)</f>
        <v>Mules/asses</v>
      </c>
      <c r="E46" s="35"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5" t="str" cm="1">
        <f t="array" ref="D47">Common_InputFunctions.Utility_DisplayArrayInTable(SourceData_OtherLivestock.SourceData_OtherLivestock_NitrogenExcreted_Data(),Table_SourceData_OtherLivestock_NitrogenExcreted[[#Headers],[Other livestock type]],0)</f>
        <v>Emus/ostriches</v>
      </c>
      <c r="E47" s="35"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0" t="str" cm="1">
        <f t="array" ref="D53">SourceData_OtherLivestock.SourceData_OtherLivestock_AverageLiveweight_Unit()</f>
        <v>kg</v>
      </c>
      <c r="M53" s="1"/>
    </row>
    <row r="54" spans="4:13" ht="20.100000000000001" customHeight="1" x14ac:dyDescent="0.25">
      <c r="D54" s="35" t="s">
        <v>105</v>
      </c>
      <c r="E54" s="35" t="s">
        <v>109</v>
      </c>
      <c r="F54" s="35" t="s">
        <v>110</v>
      </c>
      <c r="M54" s="1"/>
    </row>
    <row r="55" spans="4:13" ht="20.100000000000001" customHeight="1" x14ac:dyDescent="0.25">
      <c r="D55" s="35" t="str" cm="1">
        <f t="array" ref="D55">Common_InputFunctions.Utility_DisplayArrayInTable(SourceData_OtherLivestock.SourceData_OtherLivestock_AverageLiveweight_Data(),Table_SourceData_OtherLivestock_AverageLiveweight[[#Headers],[Other livestock type]],0)</f>
        <v>Buffalo</v>
      </c>
      <c r="E55" s="35" cm="1">
        <f t="array" ref="E55">Common_InputFunctions.Utility_DisplayArrayInTable(SourceData_OtherLivestock.SourceData_OtherLivestock_AverageLiveweight_Data(),Table_SourceData_OtherLivestock_AverageLiveweight[[#Headers],[Other livestock type]],0)</f>
        <v>336</v>
      </c>
      <c r="F55" s="35"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5" t="str" cm="1">
        <f t="array" ref="D56">Common_InputFunctions.Utility_DisplayArrayInTable(SourceData_OtherLivestock.SourceData_OtherLivestock_AverageLiveweight_Data(),Table_SourceData_OtherLivestock_AverageLiveweight[[#Headers],[Other livestock type]],0)</f>
        <v>Goats</v>
      </c>
      <c r="E56" s="35" cm="1">
        <f t="array" ref="E56">Common_InputFunctions.Utility_DisplayArrayInTable(SourceData_OtherLivestock.SourceData_OtherLivestock_AverageLiveweight_Data(),Table_SourceData_OtherLivestock_AverageLiveweight[[#Headers],[Other livestock type]],0)</f>
        <v>33</v>
      </c>
      <c r="F56" s="35"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5" t="str" cm="1">
        <f t="array" ref="D57">Common_InputFunctions.Utility_DisplayArrayInTable(SourceData_OtherLivestock.SourceData_OtherLivestock_AverageLiveweight_Data(),Table_SourceData_OtherLivestock_AverageLiveweight[[#Headers],[Other livestock type]],0)</f>
        <v>Goats</v>
      </c>
      <c r="E57" s="35" cm="1">
        <f t="array" ref="E57">Common_InputFunctions.Utility_DisplayArrayInTable(SourceData_OtherLivestock.SourceData_OtherLivestock_AverageLiveweight_Data(),Table_SourceData_OtherLivestock_AverageLiveweight[[#Headers],[Other livestock type]],0)</f>
        <v>33</v>
      </c>
      <c r="F57" s="35"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5" t="str" cm="1">
        <f t="array" ref="D58">Common_InputFunctions.Utility_DisplayArrayInTable(SourceData_OtherLivestock.SourceData_OtherLivestock_AverageLiveweight_Data(),Table_SourceData_OtherLivestock_AverageLiveweight[[#Headers],[Other livestock type]],0)</f>
        <v>Deer</v>
      </c>
      <c r="E58" s="35" cm="1">
        <f t="array" ref="E58">Common_InputFunctions.Utility_DisplayArrayInTable(SourceData_OtherLivestock.SourceData_OtherLivestock_AverageLiveweight_Data(),Table_SourceData_OtherLivestock_AverageLiveweight[[#Headers],[Other livestock type]],0)</f>
        <v>120</v>
      </c>
      <c r="F58" s="35"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5" t="str" cm="1">
        <f t="array" ref="D59">Common_InputFunctions.Utility_DisplayArrayInTable(SourceData_OtherLivestock.SourceData_OtherLivestock_AverageLiveweight_Data(),Table_SourceData_OtherLivestock_AverageLiveweight[[#Headers],[Other livestock type]],0)</f>
        <v>Camels</v>
      </c>
      <c r="E59" s="35" cm="1">
        <f t="array" ref="E59">Common_InputFunctions.Utility_DisplayArrayInTable(SourceData_OtherLivestock.SourceData_OtherLivestock_AverageLiveweight_Data(),Table_SourceData_OtherLivestock_AverageLiveweight[[#Headers],[Other livestock type]],0)</f>
        <v>217</v>
      </c>
      <c r="F59" s="35"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5" t="str" cm="1">
        <f t="array" ref="D60">Common_InputFunctions.Utility_DisplayArrayInTable(SourceData_OtherLivestock.SourceData_OtherLivestock_AverageLiveweight_Data(),Table_SourceData_OtherLivestock_AverageLiveweight[[#Headers],[Other livestock type]],0)</f>
        <v>Alpacas</v>
      </c>
      <c r="E60" s="35" t="str" cm="1">
        <f t="array" ref="E60">Common_InputFunctions.Utility_DisplayArrayInTable(SourceData_OtherLivestock.SourceData_OtherLivestock_AverageLiveweight_Data(),Table_SourceData_OtherLivestock_AverageLiveweight[[#Headers],[Other livestock type]],0)</f>
        <v>-</v>
      </c>
      <c r="F60" s="35"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5" t="str" cm="1">
        <f t="array" ref="D61">Common_InputFunctions.Utility_DisplayArrayInTable(SourceData_OtherLivestock.SourceData_OtherLivestock_AverageLiveweight_Data(),Table_SourceData_OtherLivestock_AverageLiveweight[[#Headers],[Other livestock type]],0)</f>
        <v>Horses</v>
      </c>
      <c r="E61" s="35" cm="1">
        <f t="array" ref="E61">Common_InputFunctions.Utility_DisplayArrayInTable(SourceData_OtherLivestock.SourceData_OtherLivestock_AverageLiveweight_Data(),Table_SourceData_OtherLivestock_AverageLiveweight[[#Headers],[Other livestock type]],0)</f>
        <v>377</v>
      </c>
      <c r="F61" s="35"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5" t="str" cm="1">
        <f t="array" ref="D62">Common_InputFunctions.Utility_DisplayArrayInTable(SourceData_OtherLivestock.SourceData_OtherLivestock_AverageLiveweight_Data(),Table_SourceData_OtherLivestock_AverageLiveweight[[#Headers],[Other livestock type]],0)</f>
        <v>Mules/asses</v>
      </c>
      <c r="E62" s="35" cm="1">
        <f t="array" ref="E62">Common_InputFunctions.Utility_DisplayArrayInTable(SourceData_OtherLivestock.SourceData_OtherLivestock_AverageLiveweight_Data(),Table_SourceData_OtherLivestock_AverageLiveweight[[#Headers],[Other livestock type]],0)</f>
        <v>130</v>
      </c>
      <c r="F62" s="35"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5" t="str" cm="1">
        <f t="array" ref="D63">Common_InputFunctions.Utility_DisplayArrayInTable(SourceData_OtherLivestock.SourceData_OtherLivestock_AverageLiveweight_Data(),Table_SourceData_OtherLivestock_AverageLiveweight[[#Headers],[Other livestock type]],0)</f>
        <v>Emus/ostriches</v>
      </c>
      <c r="E63" s="35" cm="1">
        <f t="array" ref="E63">Common_InputFunctions.Utility_DisplayArrayInTable(SourceData_OtherLivestock.SourceData_OtherLivestock_AverageLiveweight_Data(),Table_SourceData_OtherLivestock_AverageLiveweight[[#Headers],[Other livestock type]],0)</f>
        <v>120</v>
      </c>
      <c r="F63" s="35"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5" t="str" cm="1">
        <f t="array" ref="D64">Common_InputFunctions.Utility_DisplayArrayInTable(SourceData_OtherLivestock.SourceData_OtherLivestock_AverageLiveweight_Data(),Table_SourceData_OtherLivestock_AverageLiveweight[[#Headers],[Other livestock type]],0)</f>
        <v>Reference</v>
      </c>
      <c r="E64" s="35" t="str" cm="1">
        <f t="array" ref="E64">Common_InputFunctions.Utility_DisplayArrayInTable(SourceData_OtherLivestock.SourceData_OtherLivestock_AverageLiveweight_Data(),Table_SourceData_OtherLivestock_AverageLiveweight[[#Headers],[Other livestock type]],0)</f>
        <v>IPCC 2019 Table 10A.5 [2]</v>
      </c>
      <c r="F64" s="35"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0" t="str" cm="1">
        <f t="array" ref="D70">SourceData_OtherLivestock.SourceData_OtherLivestock_FractionWasteInMMS_Unit()</f>
        <v>fraction</v>
      </c>
      <c r="M70" s="1"/>
    </row>
    <row r="71" spans="4:13" ht="20.100000000000001" customHeight="1" x14ac:dyDescent="0.25">
      <c r="D71" s="35" t="s">
        <v>105</v>
      </c>
      <c r="E71" s="35" t="s">
        <v>99</v>
      </c>
      <c r="F71" s="47" t="s">
        <v>111</v>
      </c>
      <c r="M71" s="1"/>
    </row>
    <row r="72" spans="4:13" ht="20.100000000000001" customHeight="1" x14ac:dyDescent="0.25">
      <c r="D72" s="35" t="str" cm="1">
        <f t="array" ref="D72">Common_InputFunctions.Utility_DisplayArrayInTable(SourceData_OtherLivestock.SourceData_OtherLivestock_FractionWasteInMMS_Data(),Table_SourceData_OtherLivestock_FractionWasteInMMS[[#Headers],[Other livestock type]],0)</f>
        <v>ACT</v>
      </c>
      <c r="E72" s="35" cm="1">
        <f t="array" ref="E72">Common_InputFunctions.Utility_DisplayArrayInTable(SourceData_OtherLivestock.SourceData_OtherLivestock_FractionWasteInMMS_Data(),Table_SourceData_OtherLivestock_FractionWasteInMMS[[#Headers],[Other livestock type]],0)</f>
        <v>99.66</v>
      </c>
      <c r="F72" s="35"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5" t="str" cm="1">
        <f t="array" ref="D73">Common_InputFunctions.Utility_DisplayArrayInTable(SourceData_OtherLivestock.SourceData_OtherLivestock_FractionWasteInMMS_Data(),Table_SourceData_OtherLivestock_FractionWasteInMMS[[#Headers],[Other livestock type]],0)</f>
        <v>NSW</v>
      </c>
      <c r="E73" s="35" cm="1">
        <f t="array" ref="E73">Common_InputFunctions.Utility_DisplayArrayInTable(SourceData_OtherLivestock.SourceData_OtherLivestock_FractionWasteInMMS_Data(),Table_SourceData_OtherLivestock_FractionWasteInMMS[[#Headers],[Other livestock type]],0)</f>
        <v>99.66</v>
      </c>
      <c r="F73" s="35"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5" t="str" cm="1">
        <f t="array" ref="D74">Common_InputFunctions.Utility_DisplayArrayInTable(SourceData_OtherLivestock.SourceData_OtherLivestock_FractionWasteInMMS_Data(),Table_SourceData_OtherLivestock_FractionWasteInMMS[[#Headers],[Other livestock type]],0)</f>
        <v>NT</v>
      </c>
      <c r="E74" s="35" cm="1">
        <f t="array" ref="E74">Common_InputFunctions.Utility_DisplayArrayInTable(SourceData_OtherLivestock.SourceData_OtherLivestock_FractionWasteInMMS_Data(),Table_SourceData_OtherLivestock_FractionWasteInMMS[[#Headers],[Other livestock type]],0)</f>
        <v>99.66</v>
      </c>
      <c r="F74" s="35"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5" t="str" cm="1">
        <f t="array" ref="D75">Common_InputFunctions.Utility_DisplayArrayInTable(SourceData_OtherLivestock.SourceData_OtherLivestock_FractionWasteInMMS_Data(),Table_SourceData_OtherLivestock_FractionWasteInMMS[[#Headers],[Other livestock type]],0)</f>
        <v>QLD</v>
      </c>
      <c r="E75" s="35" cm="1">
        <f t="array" ref="E75">Common_InputFunctions.Utility_DisplayArrayInTable(SourceData_OtherLivestock.SourceData_OtherLivestock_FractionWasteInMMS_Data(),Table_SourceData_OtherLivestock_FractionWasteInMMS[[#Headers],[Other livestock type]],0)</f>
        <v>99.66</v>
      </c>
      <c r="F75" s="35"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5" t="str" cm="1">
        <f t="array" ref="D76">Common_InputFunctions.Utility_DisplayArrayInTable(SourceData_OtherLivestock.SourceData_OtherLivestock_FractionWasteInMMS_Data(),Table_SourceData_OtherLivestock_FractionWasteInMMS[[#Headers],[Other livestock type]],0)</f>
        <v>SA</v>
      </c>
      <c r="E76" s="35" cm="1">
        <f t="array" ref="E76">Common_InputFunctions.Utility_DisplayArrayInTable(SourceData_OtherLivestock.SourceData_OtherLivestock_FractionWasteInMMS_Data(),Table_SourceData_OtherLivestock_FractionWasteInMMS[[#Headers],[Other livestock type]],0)</f>
        <v>99.66</v>
      </c>
      <c r="F76" s="35"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5" t="str" cm="1">
        <f t="array" ref="D77">Common_InputFunctions.Utility_DisplayArrayInTable(SourceData_OtherLivestock.SourceData_OtherLivestock_FractionWasteInMMS_Data(),Table_SourceData_OtherLivestock_FractionWasteInMMS[[#Headers],[Other livestock type]],0)</f>
        <v>TAS</v>
      </c>
      <c r="E77" s="35" cm="1">
        <f t="array" ref="E77">Common_InputFunctions.Utility_DisplayArrayInTable(SourceData_OtherLivestock.SourceData_OtherLivestock_FractionWasteInMMS_Data(),Table_SourceData_OtherLivestock_FractionWasteInMMS[[#Headers],[Other livestock type]],0)</f>
        <v>99.66</v>
      </c>
      <c r="F77" s="35"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5" t="str" cm="1">
        <f t="array" ref="D78">Common_InputFunctions.Utility_DisplayArrayInTable(SourceData_OtherLivestock.SourceData_OtherLivestock_FractionWasteInMMS_Data(),Table_SourceData_OtherLivestock_FractionWasteInMMS[[#Headers],[Other livestock type]],0)</f>
        <v>VIC</v>
      </c>
      <c r="E78" s="35" cm="1">
        <f t="array" ref="E78">Common_InputFunctions.Utility_DisplayArrayInTable(SourceData_OtherLivestock.SourceData_OtherLivestock_FractionWasteInMMS_Data(),Table_SourceData_OtherLivestock_FractionWasteInMMS[[#Headers],[Other livestock type]],0)</f>
        <v>99.66</v>
      </c>
      <c r="F78" s="35"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5" t="str" cm="1">
        <f t="array" ref="D79">Common_InputFunctions.Utility_DisplayArrayInTable(SourceData_OtherLivestock.SourceData_OtherLivestock_FractionWasteInMMS_Data(),Table_SourceData_OtherLivestock_FractionWasteInMMS[[#Headers],[Other livestock type]],0)</f>
        <v>WA</v>
      </c>
      <c r="E79" s="35" cm="1">
        <f t="array" ref="E79">Common_InputFunctions.Utility_DisplayArrayInTable(SourceData_OtherLivestock.SourceData_OtherLivestock_FractionWasteInMMS_Data(),Table_SourceData_OtherLivestock_FractionWasteInMMS[[#Headers],[Other livestock type]],0)</f>
        <v>99.66</v>
      </c>
      <c r="F79" s="35"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0" t="str" cm="1">
        <f t="array" ref="D85">SourceData_OtherLivestock.SourceData_OtherLivestock_MethaneConversionFactor_Unit()</f>
        <v>fraction</v>
      </c>
      <c r="M85" s="1"/>
    </row>
    <row r="86" spans="4:13" ht="20.100000000000001" customHeight="1" x14ac:dyDescent="0.25">
      <c r="D86" s="35" t="s">
        <v>105</v>
      </c>
      <c r="E86" s="35" t="s">
        <v>99</v>
      </c>
      <c r="F86" s="47" t="s">
        <v>111</v>
      </c>
      <c r="M86" s="1"/>
    </row>
    <row r="87" spans="4:13" ht="20.100000000000001" customHeight="1" x14ac:dyDescent="0.25">
      <c r="D87" s="35" t="str" cm="1">
        <f t="array" ref="D87">Common_InputFunctions.Utility_DisplayArrayInTable(SourceData_OtherLivestock.SourceData_OtherLivestock_MethaneConversionFactor_Data(),Table_SourceData_OtherLivestock_MCF[[#Headers],[Other livestock type]],0)</f>
        <v>ACT</v>
      </c>
      <c r="E87" s="35" cm="1">
        <f t="array" ref="E87">Common_InputFunctions.Utility_DisplayArrayInTable(SourceData_OtherLivestock.SourceData_OtherLivestock_MethaneConversionFactor_Data(),Table_SourceData_OtherLivestock_MCF[[#Headers],[Other livestock type]],0)</f>
        <v>4.7000000000000002E-3</v>
      </c>
      <c r="F87" s="35"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5" t="str" cm="1">
        <f t="array" ref="D88">Common_InputFunctions.Utility_DisplayArrayInTable(SourceData_OtherLivestock.SourceData_OtherLivestock_MethaneConversionFactor_Data(),Table_SourceData_OtherLivestock_MCF[[#Headers],[Other livestock type]],0)</f>
        <v>NSW</v>
      </c>
      <c r="E88" s="35" cm="1">
        <f t="array" ref="E88">Common_InputFunctions.Utility_DisplayArrayInTable(SourceData_OtherLivestock.SourceData_OtherLivestock_MethaneConversionFactor_Data(),Table_SourceData_OtherLivestock_MCF[[#Headers],[Other livestock type]],0)</f>
        <v>4.7000000000000002E-3</v>
      </c>
      <c r="F88" s="35"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5" t="str" cm="1">
        <f t="array" ref="D89">Common_InputFunctions.Utility_DisplayArrayInTable(SourceData_OtherLivestock.SourceData_OtherLivestock_MethaneConversionFactor_Data(),Table_SourceData_OtherLivestock_MCF[[#Headers],[Other livestock type]],0)</f>
        <v>NT</v>
      </c>
      <c r="E89" s="35" cm="1">
        <f t="array" ref="E89">Common_InputFunctions.Utility_DisplayArrayInTable(SourceData_OtherLivestock.SourceData_OtherLivestock_MethaneConversionFactor_Data(),Table_SourceData_OtherLivestock_MCF[[#Headers],[Other livestock type]],0)</f>
        <v>4.7000000000000002E-3</v>
      </c>
      <c r="F89" s="35"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5" t="str" cm="1">
        <f t="array" ref="D90">Common_InputFunctions.Utility_DisplayArrayInTable(SourceData_OtherLivestock.SourceData_OtherLivestock_MethaneConversionFactor_Data(),Table_SourceData_OtherLivestock_MCF[[#Headers],[Other livestock type]],0)</f>
        <v>QLD</v>
      </c>
      <c r="E90" s="35" cm="1">
        <f t="array" ref="E90">Common_InputFunctions.Utility_DisplayArrayInTable(SourceData_OtherLivestock.SourceData_OtherLivestock_MethaneConversionFactor_Data(),Table_SourceData_OtherLivestock_MCF[[#Headers],[Other livestock type]],0)</f>
        <v>4.7000000000000002E-3</v>
      </c>
      <c r="F90" s="35"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5" t="str" cm="1">
        <f t="array" ref="D91">Common_InputFunctions.Utility_DisplayArrayInTable(SourceData_OtherLivestock.SourceData_OtherLivestock_MethaneConversionFactor_Data(),Table_SourceData_OtherLivestock_MCF[[#Headers],[Other livestock type]],0)</f>
        <v>SA</v>
      </c>
      <c r="E91" s="35" cm="1">
        <f t="array" ref="E91">Common_InputFunctions.Utility_DisplayArrayInTable(SourceData_OtherLivestock.SourceData_OtherLivestock_MethaneConversionFactor_Data(),Table_SourceData_OtherLivestock_MCF[[#Headers],[Other livestock type]],0)</f>
        <v>4.7000000000000002E-3</v>
      </c>
      <c r="F91" s="35"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5" t="str" cm="1">
        <f t="array" ref="D92">Common_InputFunctions.Utility_DisplayArrayInTable(SourceData_OtherLivestock.SourceData_OtherLivestock_MethaneConversionFactor_Data(),Table_SourceData_OtherLivestock_MCF[[#Headers],[Other livestock type]],0)</f>
        <v>TAS</v>
      </c>
      <c r="E92" s="35" cm="1">
        <f t="array" ref="E92">Common_InputFunctions.Utility_DisplayArrayInTable(SourceData_OtherLivestock.SourceData_OtherLivestock_MethaneConversionFactor_Data(),Table_SourceData_OtherLivestock_MCF[[#Headers],[Other livestock type]],0)</f>
        <v>4.7000000000000002E-3</v>
      </c>
      <c r="F92" s="35"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5" t="str" cm="1">
        <f t="array" ref="D93">Common_InputFunctions.Utility_DisplayArrayInTable(SourceData_OtherLivestock.SourceData_OtherLivestock_MethaneConversionFactor_Data(),Table_SourceData_OtherLivestock_MCF[[#Headers],[Other livestock type]],0)</f>
        <v>VIC</v>
      </c>
      <c r="E93" s="35" cm="1">
        <f t="array" ref="E93">Common_InputFunctions.Utility_DisplayArrayInTable(SourceData_OtherLivestock.SourceData_OtherLivestock_MethaneConversionFactor_Data(),Table_SourceData_OtherLivestock_MCF[[#Headers],[Other livestock type]],0)</f>
        <v>4.7000000000000002E-3</v>
      </c>
      <c r="F93" s="35"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5" t="str" cm="1">
        <f t="array" ref="D94">Common_InputFunctions.Utility_DisplayArrayInTable(SourceData_OtherLivestock.SourceData_OtherLivestock_MethaneConversionFactor_Data(),Table_SourceData_OtherLivestock_MCF[[#Headers],[Other livestock type]],0)</f>
        <v>WA</v>
      </c>
      <c r="E94" s="35" cm="1">
        <f t="array" ref="E94">Common_InputFunctions.Utility_DisplayArrayInTable(SourceData_OtherLivestock.SourceData_OtherLivestock_MethaneConversionFactor_Data(),Table_SourceData_OtherLivestock_MCF[[#Headers],[Other livestock type]],0)</f>
        <v>4.7000000000000002E-3</v>
      </c>
      <c r="F94" s="35"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13:13" ht="20.100000000000001" customHeight="1" x14ac:dyDescent="0.25">
      <c r="M97" s="1"/>
    </row>
    <row r="98" spans="13:13" ht="20.100000000000001" customHeight="1" x14ac:dyDescent="0.25">
      <c r="M98" s="1"/>
    </row>
    <row r="99" spans="13:13" ht="20.100000000000001" customHeight="1" x14ac:dyDescent="0.25">
      <c r="M99" s="1"/>
    </row>
    <row r="100" spans="13:13" ht="20.100000000000001" customHeight="1" x14ac:dyDescent="0.25">
      <c r="M100" s="1"/>
    </row>
    <row r="101" spans="13:13" ht="20.100000000000001" customHeight="1" x14ac:dyDescent="0.25">
      <c r="M101" s="1"/>
    </row>
    <row r="102" spans="13:13" ht="20.100000000000001" customHeight="1" x14ac:dyDescent="0.25">
      <c r="M102" s="1"/>
    </row>
    <row r="103" spans="13:13" ht="20.100000000000001" customHeight="1" x14ac:dyDescent="0.25">
      <c r="M103" s="1"/>
    </row>
    <row r="104" spans="13:13" ht="20.100000000000001" customHeight="1" x14ac:dyDescent="0.25">
      <c r="M104" s="1"/>
    </row>
    <row r="105" spans="13:13" ht="20.100000000000001" customHeight="1" x14ac:dyDescent="0.25">
      <c r="M105" s="1"/>
    </row>
    <row r="106" spans="13:13" ht="20.100000000000001" customHeight="1" x14ac:dyDescent="0.25">
      <c r="M106" s="1"/>
    </row>
    <row r="107" spans="13:13" ht="20.100000000000001" customHeight="1" x14ac:dyDescent="0.25">
      <c r="M107" s="1"/>
    </row>
    <row r="108" spans="13:13" ht="20.100000000000001" customHeight="1" x14ac:dyDescent="0.25">
      <c r="M108" s="1"/>
    </row>
    <row r="109" spans="13:13" ht="20.100000000000001" customHeight="1" x14ac:dyDescent="0.25">
      <c r="M109" s="1"/>
    </row>
    <row r="110" spans="13:13" ht="20.100000000000001" customHeight="1" x14ac:dyDescent="0.25">
      <c r="M110" s="1"/>
    </row>
    <row r="111" spans="13:13" ht="20.100000000000001" customHeight="1" x14ac:dyDescent="0.25">
      <c r="M111" s="1"/>
    </row>
    <row r="112" spans="13: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22"/>
    </row>
    <row r="125" spans="13:22" ht="20.100000000000001" customHeight="1" x14ac:dyDescent="0.25">
      <c r="M125" s="22"/>
    </row>
    <row r="126" spans="13:22" ht="20.100000000000001" customHeight="1" x14ac:dyDescent="0.25">
      <c r="M126" s="22"/>
    </row>
    <row r="127" spans="13:22" ht="20.100000000000001" customHeight="1" x14ac:dyDescent="0.25">
      <c r="M127" s="22"/>
    </row>
    <row r="128" spans="13:22" ht="20.100000000000001" customHeight="1" x14ac:dyDescent="0.25">
      <c r="M128" s="22"/>
    </row>
    <row r="129" spans="13:13" ht="20.100000000000001" customHeight="1" x14ac:dyDescent="0.25">
      <c r="M129" s="22"/>
    </row>
    <row r="130" spans="13:13" ht="20.100000000000001" customHeight="1" x14ac:dyDescent="0.25">
      <c r="M130" s="22"/>
    </row>
    <row r="131" spans="13:13" ht="20.100000000000001" customHeight="1" x14ac:dyDescent="0.25">
      <c r="M131" s="22"/>
    </row>
    <row r="132" spans="13:13" ht="20.100000000000001" customHeight="1" x14ac:dyDescent="0.25">
      <c r="M132" s="22"/>
    </row>
    <row r="133" spans="13:13" ht="20.100000000000001" customHeight="1" x14ac:dyDescent="0.25">
      <c r="M133" s="22"/>
    </row>
    <row r="134" spans="13:13" ht="20.100000000000001" customHeight="1" x14ac:dyDescent="0.25">
      <c r="M134" s="22"/>
    </row>
    <row r="135" spans="13:13" ht="20.100000000000001" customHeight="1" x14ac:dyDescent="0.25">
      <c r="M135" s="22"/>
    </row>
    <row r="136" spans="13:13" ht="20.100000000000001" customHeight="1" x14ac:dyDescent="0.25">
      <c r="M136" s="22"/>
    </row>
    <row r="137" spans="13:13" ht="20.100000000000001" customHeight="1" x14ac:dyDescent="0.25">
      <c r="M137" s="22"/>
    </row>
    <row r="138" spans="13:13" ht="20.100000000000001" customHeight="1" x14ac:dyDescent="0.25">
      <c r="M138" s="22"/>
    </row>
    <row r="139" spans="13:13" ht="20.100000000000001" customHeight="1" x14ac:dyDescent="0.25">
      <c r="M139" s="22"/>
    </row>
    <row r="140" spans="13:13" ht="20.100000000000001" customHeight="1" x14ac:dyDescent="0.25">
      <c r="M140" s="22"/>
    </row>
    <row r="141" spans="13:13" ht="20.100000000000001" customHeight="1" x14ac:dyDescent="0.25">
      <c r="M141" s="22"/>
    </row>
    <row r="142" spans="13:13" ht="20.100000000000001" customHeight="1" x14ac:dyDescent="0.25">
      <c r="M142" s="22"/>
    </row>
    <row r="143" spans="13:13" ht="20.100000000000001" customHeight="1" x14ac:dyDescent="0.25">
      <c r="M143" s="22"/>
    </row>
    <row r="144" spans="13:13" ht="20.100000000000001" customHeight="1" x14ac:dyDescent="0.25">
      <c r="M144" s="22"/>
    </row>
    <row r="145" spans="13:13" ht="20.100000000000001" customHeight="1" x14ac:dyDescent="0.25">
      <c r="M145" s="22"/>
    </row>
    <row r="146" spans="13:13" ht="20.100000000000001" customHeight="1" x14ac:dyDescent="0.25">
      <c r="M146" s="22"/>
    </row>
    <row r="147" spans="13:13" ht="20.100000000000001" customHeight="1" x14ac:dyDescent="0.25">
      <c r="M147" s="22"/>
    </row>
    <row r="148" spans="13:13" ht="20.100000000000001" customHeight="1" x14ac:dyDescent="0.25">
      <c r="M148" s="22"/>
    </row>
    <row r="149" spans="13:13" ht="20.100000000000001" customHeight="1" x14ac:dyDescent="0.25">
      <c r="M149" s="22"/>
    </row>
    <row r="150" spans="13:13" ht="20.100000000000001" customHeight="1" x14ac:dyDescent="0.25">
      <c r="M150" s="22"/>
    </row>
    <row r="151" spans="13:13" ht="20.100000000000001" customHeight="1" x14ac:dyDescent="0.25">
      <c r="M151" s="22"/>
    </row>
    <row r="152" spans="13:13" ht="20.100000000000001" customHeight="1" x14ac:dyDescent="0.25">
      <c r="M152" s="22"/>
    </row>
    <row r="153" spans="13:13" ht="20.100000000000001" customHeight="1" x14ac:dyDescent="0.25">
      <c r="M153" s="22"/>
    </row>
    <row r="154" spans="13:13" ht="20.100000000000001" customHeight="1" x14ac:dyDescent="0.25">
      <c r="M154" s="22"/>
    </row>
    <row r="155" spans="13:13" ht="20.100000000000001" customHeight="1" x14ac:dyDescent="0.25">
      <c r="M155" s="22"/>
    </row>
    <row r="156" spans="13:13" ht="20.100000000000001" customHeight="1" x14ac:dyDescent="0.25">
      <c r="M156" s="22"/>
    </row>
    <row r="157" spans="13:13" ht="20.100000000000001" customHeight="1" x14ac:dyDescent="0.25">
      <c r="M157" s="22"/>
    </row>
    <row r="158" spans="13:13" ht="20.100000000000001" customHeight="1" x14ac:dyDescent="0.25">
      <c r="M158" s="22"/>
    </row>
    <row r="159" spans="13:13" ht="20.100000000000001" customHeight="1" x14ac:dyDescent="0.25">
      <c r="M159" s="22"/>
    </row>
    <row r="160" spans="13:13" ht="20.100000000000001" customHeight="1" x14ac:dyDescent="0.25">
      <c r="M160" s="22"/>
    </row>
    <row r="161" spans="13:13" ht="20.100000000000001" customHeight="1" x14ac:dyDescent="0.25">
      <c r="M161" s="22"/>
    </row>
    <row r="162" spans="13:13" ht="20.100000000000001" customHeight="1" x14ac:dyDescent="0.25">
      <c r="M162" s="22"/>
    </row>
    <row r="163" spans="13:13" ht="20.100000000000001" customHeight="1" x14ac:dyDescent="0.25">
      <c r="M163" s="22"/>
    </row>
    <row r="164" spans="13:13" ht="20.100000000000001" customHeight="1" x14ac:dyDescent="0.25">
      <c r="M164" s="22"/>
    </row>
    <row r="165" spans="13:13" ht="20.100000000000001" customHeight="1" x14ac:dyDescent="0.25">
      <c r="M165" s="22"/>
    </row>
    <row r="166" spans="13:13" x14ac:dyDescent="0.25">
      <c r="M166" s="22"/>
    </row>
    <row r="167" spans="13:13" x14ac:dyDescent="0.25">
      <c r="M167" s="22"/>
    </row>
    <row r="168" spans="13:13" x14ac:dyDescent="0.25">
      <c r="M168" s="22"/>
    </row>
    <row r="169" spans="13:13" x14ac:dyDescent="0.25">
      <c r="M169" s="22"/>
    </row>
    <row r="170" spans="13:13" x14ac:dyDescent="0.25">
      <c r="M170" s="22"/>
    </row>
    <row r="171" spans="13:13" x14ac:dyDescent="0.25">
      <c r="M171" s="22"/>
    </row>
    <row r="172" spans="13:13" x14ac:dyDescent="0.25">
      <c r="M172" s="22"/>
    </row>
    <row r="173" spans="13:13" x14ac:dyDescent="0.25">
      <c r="M173" s="22"/>
    </row>
    <row r="174" spans="13:13" x14ac:dyDescent="0.25">
      <c r="M174" s="22"/>
    </row>
    <row r="175" spans="13:13" x14ac:dyDescent="0.25">
      <c r="M175" s="22"/>
    </row>
    <row r="176" spans="13:13" x14ac:dyDescent="0.25">
      <c r="M176" s="22"/>
    </row>
    <row r="177" spans="13:13" x14ac:dyDescent="0.25">
      <c r="M177" s="22"/>
    </row>
    <row r="178" spans="13:13" x14ac:dyDescent="0.25">
      <c r="M178" s="22"/>
    </row>
    <row r="179" spans="13:13" x14ac:dyDescent="0.25">
      <c r="M179" s="22"/>
    </row>
    <row r="180" spans="13:13" x14ac:dyDescent="0.25">
      <c r="M180" s="22"/>
    </row>
    <row r="181" spans="13:13" x14ac:dyDescent="0.25">
      <c r="M181" s="22"/>
    </row>
    <row r="182" spans="13:13" x14ac:dyDescent="0.25">
      <c r="M182" s="22"/>
    </row>
    <row r="183" spans="13:13" x14ac:dyDescent="0.25">
      <c r="M183" s="22"/>
    </row>
    <row r="184" spans="13:13" x14ac:dyDescent="0.25">
      <c r="M184" s="22"/>
    </row>
    <row r="185" spans="13:13" x14ac:dyDescent="0.25">
      <c r="M185" s="22"/>
    </row>
    <row r="186" spans="13:13" x14ac:dyDescent="0.25">
      <c r="M186" s="22"/>
    </row>
    <row r="187" spans="13:13" x14ac:dyDescent="0.25">
      <c r="M187" s="22"/>
    </row>
    <row r="188" spans="13:13" x14ac:dyDescent="0.25">
      <c r="M188" s="22"/>
    </row>
    <row r="189" spans="13:13" x14ac:dyDescent="0.25">
      <c r="M189" s="22"/>
    </row>
    <row r="190" spans="13:13" x14ac:dyDescent="0.25">
      <c r="M190" s="22"/>
    </row>
    <row r="191" spans="13:13" x14ac:dyDescent="0.25">
      <c r="M191" s="22"/>
    </row>
    <row r="192" spans="13:13" x14ac:dyDescent="0.25">
      <c r="M192" s="22"/>
    </row>
    <row r="193" spans="13:13" x14ac:dyDescent="0.25">
      <c r="M193" s="22"/>
    </row>
    <row r="194" spans="13:13" x14ac:dyDescent="0.25">
      <c r="M194" s="22"/>
    </row>
    <row r="195" spans="13:13" x14ac:dyDescent="0.25">
      <c r="M195" s="22"/>
    </row>
    <row r="196" spans="13:13" x14ac:dyDescent="0.25">
      <c r="M196" s="22"/>
    </row>
    <row r="197" spans="13:13" x14ac:dyDescent="0.25">
      <c r="M197" s="22"/>
    </row>
    <row r="198" spans="13:13" x14ac:dyDescent="0.25">
      <c r="M198" s="22"/>
    </row>
    <row r="199" spans="13:13" x14ac:dyDescent="0.25">
      <c r="M199" s="22"/>
    </row>
    <row r="200" spans="13:13" x14ac:dyDescent="0.25">
      <c r="M200" s="22"/>
    </row>
    <row r="201" spans="13:13" x14ac:dyDescent="0.25">
      <c r="M201" s="22"/>
    </row>
    <row r="202" spans="13:13" x14ac:dyDescent="0.25">
      <c r="M202" s="22"/>
    </row>
    <row r="203" spans="13:13" x14ac:dyDescent="0.25">
      <c r="M203" s="22"/>
    </row>
    <row r="204" spans="13:13" x14ac:dyDescent="0.25">
      <c r="M204" s="22"/>
    </row>
    <row r="205" spans="13:13" x14ac:dyDescent="0.25">
      <c r="M205" s="22"/>
    </row>
    <row r="206" spans="13:13" x14ac:dyDescent="0.25">
      <c r="M206" s="22"/>
    </row>
    <row r="207" spans="13:13" x14ac:dyDescent="0.25">
      <c r="M207" s="22"/>
    </row>
    <row r="208" spans="13:13" x14ac:dyDescent="0.25">
      <c r="M208" s="22"/>
    </row>
    <row r="209" spans="13:13" x14ac:dyDescent="0.25">
      <c r="M209" s="22"/>
    </row>
    <row r="210" spans="13:13" x14ac:dyDescent="0.25">
      <c r="M210" s="22"/>
    </row>
    <row r="211" spans="13:13" x14ac:dyDescent="0.25">
      <c r="M211" s="22"/>
    </row>
    <row r="212" spans="13:13" x14ac:dyDescent="0.25">
      <c r="M212" s="22"/>
    </row>
    <row r="213" spans="13:13" x14ac:dyDescent="0.25">
      <c r="M213" s="22"/>
    </row>
    <row r="214" spans="13:13" x14ac:dyDescent="0.25">
      <c r="M214" s="22"/>
    </row>
    <row r="215" spans="13:13" x14ac:dyDescent="0.25">
      <c r="M215" s="22"/>
    </row>
    <row r="216" spans="13:13" x14ac:dyDescent="0.25">
      <c r="M216" s="22"/>
    </row>
    <row r="217" spans="13:13" x14ac:dyDescent="0.25">
      <c r="M217" s="22"/>
    </row>
    <row r="218" spans="13:13" x14ac:dyDescent="0.25">
      <c r="M218" s="22"/>
    </row>
    <row r="219" spans="13:13" x14ac:dyDescent="0.25">
      <c r="M219" s="22"/>
    </row>
    <row r="220" spans="13:13" x14ac:dyDescent="0.25">
      <c r="M220" s="22"/>
    </row>
    <row r="221" spans="13:13" x14ac:dyDescent="0.25">
      <c r="M221" s="22"/>
    </row>
    <row r="222" spans="13:13" x14ac:dyDescent="0.25">
      <c r="M222" s="22"/>
    </row>
    <row r="223" spans="13:13" x14ac:dyDescent="0.25">
      <c r="M223" s="22"/>
    </row>
    <row r="224" spans="13:13" x14ac:dyDescent="0.25">
      <c r="M224" s="22"/>
    </row>
    <row r="225" spans="13:13" x14ac:dyDescent="0.25">
      <c r="M225" s="22"/>
    </row>
    <row r="226" spans="13:13" x14ac:dyDescent="0.25">
      <c r="M226" s="22"/>
    </row>
    <row r="227" spans="13:13" x14ac:dyDescent="0.25">
      <c r="M227" s="22"/>
    </row>
    <row r="228" spans="13:13" x14ac:dyDescent="0.25">
      <c r="M228" s="22"/>
    </row>
    <row r="229" spans="13:13" x14ac:dyDescent="0.25">
      <c r="M229" s="22"/>
    </row>
    <row r="230" spans="13:13" x14ac:dyDescent="0.25">
      <c r="M230" s="22"/>
    </row>
    <row r="231" spans="13:13" x14ac:dyDescent="0.25">
      <c r="M231" s="22"/>
    </row>
    <row r="232" spans="13:13" x14ac:dyDescent="0.25">
      <c r="M232" s="22"/>
    </row>
    <row r="233" spans="13:13" x14ac:dyDescent="0.25">
      <c r="M233" s="22"/>
    </row>
    <row r="234" spans="13:13" x14ac:dyDescent="0.25">
      <c r="M234" s="22"/>
    </row>
    <row r="235" spans="13:13" x14ac:dyDescent="0.25">
      <c r="M235" s="22"/>
    </row>
    <row r="236" spans="13:13" x14ac:dyDescent="0.25">
      <c r="M236" s="22"/>
    </row>
    <row r="237" spans="13:13" x14ac:dyDescent="0.25">
      <c r="M237" s="22"/>
    </row>
    <row r="238" spans="13:13" x14ac:dyDescent="0.25">
      <c r="M238" s="22"/>
    </row>
    <row r="239" spans="13:13" x14ac:dyDescent="0.25">
      <c r="M239" s="22"/>
    </row>
    <row r="240" spans="13:13" x14ac:dyDescent="0.25">
      <c r="M240" s="22"/>
    </row>
    <row r="241" spans="13:13" x14ac:dyDescent="0.25">
      <c r="M241" s="22"/>
    </row>
    <row r="242" spans="13:13" x14ac:dyDescent="0.25">
      <c r="M242" s="22"/>
    </row>
    <row r="243" spans="13:13" x14ac:dyDescent="0.25">
      <c r="M243" s="22"/>
    </row>
    <row r="244" spans="13:13" x14ac:dyDescent="0.25">
      <c r="M244" s="22"/>
    </row>
    <row r="245" spans="13:13" x14ac:dyDescent="0.25">
      <c r="M245" s="22"/>
    </row>
    <row r="246" spans="13:13" x14ac:dyDescent="0.25">
      <c r="M246" s="22"/>
    </row>
    <row r="247" spans="13:13" x14ac:dyDescent="0.25">
      <c r="M247" s="22"/>
    </row>
    <row r="248" spans="13:13" x14ac:dyDescent="0.25">
      <c r="M248" s="22"/>
    </row>
    <row r="249" spans="13:13" x14ac:dyDescent="0.25">
      <c r="M249" s="22"/>
    </row>
    <row r="250" spans="13:13" x14ac:dyDescent="0.25">
      <c r="M250" s="22"/>
    </row>
    <row r="251" spans="13:13" x14ac:dyDescent="0.25">
      <c r="M251" s="22"/>
    </row>
    <row r="252" spans="13:13" x14ac:dyDescent="0.25">
      <c r="M252" s="22"/>
    </row>
    <row r="253" spans="13:13" x14ac:dyDescent="0.25">
      <c r="M253" s="22"/>
    </row>
    <row r="254" spans="13:13" x14ac:dyDescent="0.25">
      <c r="M254" s="22"/>
    </row>
    <row r="255" spans="13:13" x14ac:dyDescent="0.25">
      <c r="M255" s="22"/>
    </row>
    <row r="256" spans="13:13" x14ac:dyDescent="0.25">
      <c r="M256" s="22"/>
    </row>
    <row r="257" spans="13:13" x14ac:dyDescent="0.25">
      <c r="M257" s="22"/>
    </row>
    <row r="258" spans="13:13" x14ac:dyDescent="0.25">
      <c r="M258" s="22"/>
    </row>
    <row r="259" spans="13:13" x14ac:dyDescent="0.25">
      <c r="M259" s="22"/>
    </row>
    <row r="260" spans="13:13" x14ac:dyDescent="0.25">
      <c r="M260" s="22"/>
    </row>
    <row r="261" spans="13:13" x14ac:dyDescent="0.25">
      <c r="M261" s="22"/>
    </row>
    <row r="262" spans="13:13" x14ac:dyDescent="0.25">
      <c r="M262" s="22"/>
    </row>
    <row r="263" spans="13:13" x14ac:dyDescent="0.25">
      <c r="M263" s="22"/>
    </row>
    <row r="264" spans="13:13" x14ac:dyDescent="0.25">
      <c r="M264" s="22"/>
    </row>
    <row r="265" spans="13:13" x14ac:dyDescent="0.25">
      <c r="M265" s="22"/>
    </row>
    <row r="266" spans="13:13" x14ac:dyDescent="0.25">
      <c r="M266" s="22"/>
    </row>
    <row r="267" spans="13:13" x14ac:dyDescent="0.25">
      <c r="M267" s="22"/>
    </row>
    <row r="268" spans="13:13" x14ac:dyDescent="0.25">
      <c r="M268" s="22"/>
    </row>
    <row r="269" spans="13:13" x14ac:dyDescent="0.25">
      <c r="M269" s="22"/>
    </row>
    <row r="270" spans="13:13" x14ac:dyDescent="0.25">
      <c r="M270" s="22"/>
    </row>
    <row r="271" spans="13:13" x14ac:dyDescent="0.25">
      <c r="M271" s="22"/>
    </row>
    <row r="272" spans="13:13" x14ac:dyDescent="0.25">
      <c r="M272" s="22"/>
    </row>
    <row r="273" spans="13:13" x14ac:dyDescent="0.25">
      <c r="M273" s="22"/>
    </row>
    <row r="274" spans="13:13" x14ac:dyDescent="0.25">
      <c r="M274" s="22"/>
    </row>
    <row r="275" spans="13:13" x14ac:dyDescent="0.25">
      <c r="M275" s="22"/>
    </row>
    <row r="276" spans="13:13" x14ac:dyDescent="0.25">
      <c r="M276" s="22"/>
    </row>
    <row r="277" spans="13:13" x14ac:dyDescent="0.25">
      <c r="M277" s="22"/>
    </row>
    <row r="278" spans="13:13" x14ac:dyDescent="0.25">
      <c r="M278" s="22"/>
    </row>
    <row r="279" spans="13:13" x14ac:dyDescent="0.25">
      <c r="M279" s="22"/>
    </row>
    <row r="280" spans="13:13" x14ac:dyDescent="0.25">
      <c r="M280" s="22"/>
    </row>
    <row r="281" spans="13:13" x14ac:dyDescent="0.25">
      <c r="M281" s="22"/>
    </row>
    <row r="282" spans="13:13" x14ac:dyDescent="0.25">
      <c r="M282" s="22"/>
    </row>
    <row r="283" spans="13:13" x14ac:dyDescent="0.25">
      <c r="M283" s="22"/>
    </row>
    <row r="284" spans="13:13" x14ac:dyDescent="0.25">
      <c r="M284" s="22"/>
    </row>
    <row r="285" spans="13:13" x14ac:dyDescent="0.25">
      <c r="M285" s="22"/>
    </row>
    <row r="286" spans="13:13" x14ac:dyDescent="0.25">
      <c r="M286" s="22"/>
    </row>
    <row r="287" spans="13:13" x14ac:dyDescent="0.25">
      <c r="M287" s="22"/>
    </row>
    <row r="288" spans="13:13" x14ac:dyDescent="0.25">
      <c r="M288" s="22"/>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8245-077D-4620-A68F-E98BAE61B1C4}">
  <dimension ref="A1:BY259"/>
  <sheetViews>
    <sheetView showGridLines="0" topLeftCell="A15" zoomScale="85" zoomScaleNormal="85" workbookViewId="0"/>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12</v>
      </c>
      <c r="E6" s="35" t="s">
        <v>13</v>
      </c>
      <c r="F6" s="35" t="s">
        <v>14</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15</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17</v>
      </c>
      <c r="E36" s="35" t="s">
        <v>18</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17</v>
      </c>
      <c r="E47" s="35" t="s">
        <v>20</v>
      </c>
      <c r="F47" s="35" t="s">
        <v>21</v>
      </c>
      <c r="G47" s="35" t="s">
        <v>22</v>
      </c>
      <c r="H47" s="35" t="s">
        <v>23</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1" t="str" cm="1">
        <f t="array" ref="D59:D61">"⚠️" &amp; Common_SourceData.Common_SourceData_WetAndDryZones_Variation()</f>
        <v>⚠️VARIATION OF SOURCE DATA:</v>
      </c>
    </row>
    <row r="60" spans="4:8" ht="20.100000000000001" customHeight="1" x14ac:dyDescent="0.25">
      <c r="D60" s="51" t="str">
        <v>⚠️Added warm / cool temperate moist / dry - low frost and high temp classes to accommodate climate scenarios excluded by VEERG criteria.</v>
      </c>
    </row>
    <row r="61" spans="4:8" ht="20.100000000000001" customHeight="1" x14ac:dyDescent="0.25">
      <c r="D61" s="51" t="str">
        <v>⚠️Fixed typo - Changed 'Fry' to 'Dry'.</v>
      </c>
    </row>
    <row r="62" spans="4:8" ht="20.100000000000001" customHeight="1" x14ac:dyDescent="0.25"/>
    <row r="63" spans="4:8" ht="20.100000000000001" customHeight="1" x14ac:dyDescent="0.25">
      <c r="D63" s="35" t="s">
        <v>8</v>
      </c>
      <c r="E63" s="35" t="s">
        <v>37</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1" t="str" cm="1">
        <f t="array" ref="D83:D87">"⚠️" &amp; Common_SourceData.Common_SourceData_ClimateZones_Variation()</f>
        <v>⚠️VARIATION OF SOURCE DATA:</v>
      </c>
    </row>
    <row r="84" spans="4:20" ht="20.100000000000001" customHeight="1" x14ac:dyDescent="0.25">
      <c r="D84" s="51" t="str">
        <v>⚠️Added warm / cool temperate moist / dry - low frost and high temp classes to accommodate climate scenarios excluded by VEERG criteria.</v>
      </c>
    </row>
    <row r="85" spans="4:20" ht="20.100000000000001" customHeight="1" x14ac:dyDescent="0.25">
      <c r="D85" s="51" t="str">
        <v>⚠️Fixed typo in MAT value for warm temperate dry - changed 10 to 11.</v>
      </c>
    </row>
    <row r="86" spans="4:20" ht="20.100000000000001" customHeight="1" x14ac:dyDescent="0.25">
      <c r="D86" s="51" t="str">
        <v>⚠️Added min and max columns for MAT, MAP, frost days per year, elevation, MAP:PET to calculate zones from real climate data.</v>
      </c>
    </row>
    <row r="87" spans="4:20" ht="20.100000000000001" customHeight="1" x14ac:dyDescent="0.25">
      <c r="D87" s="51" t="str">
        <v>⚠️GAF accepts rainfall as a proxy for precipitation.</v>
      </c>
    </row>
    <row r="88" spans="4:20" ht="20.100000000000001" customHeight="1" x14ac:dyDescent="0.25"/>
    <row r="89" spans="4:20" ht="20.100000000000001" customHeight="1" x14ac:dyDescent="0.25">
      <c r="D89" s="35" t="s">
        <v>8</v>
      </c>
      <c r="E89" s="35" t="s">
        <v>25</v>
      </c>
      <c r="F89" s="35" t="s">
        <v>26</v>
      </c>
      <c r="G89" s="35" t="s">
        <v>27</v>
      </c>
      <c r="H89" s="35" t="s">
        <v>28</v>
      </c>
      <c r="I89" s="35" t="s">
        <v>29</v>
      </c>
      <c r="J89" s="35" t="s">
        <v>30</v>
      </c>
      <c r="K89" s="35" t="s">
        <v>31</v>
      </c>
      <c r="L89" s="35" t="s">
        <v>32</v>
      </c>
      <c r="M89" s="35" t="s">
        <v>33</v>
      </c>
      <c r="N89" s="35" t="s">
        <v>34</v>
      </c>
      <c r="O89" s="35" t="s">
        <v>38</v>
      </c>
      <c r="P89" s="35" t="s">
        <v>35</v>
      </c>
      <c r="Q89" s="35" t="s">
        <v>39</v>
      </c>
      <c r="R89" s="35" t="s">
        <v>36</v>
      </c>
      <c r="S89" s="35" t="s">
        <v>40</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row r="99" spans="4:20" ht="20.100000000000001" customHeight="1" x14ac:dyDescent="0.25">
      <c r="D99" s="50" t="str" cm="1">
        <f t="array" ref="D99:D102">Common_SourceData.Common_SourceData_ClimateZones_Appendices()</f>
        <v>Note:</v>
      </c>
    </row>
    <row r="100" spans="4:20" ht="20.100000000000001" customHeight="1" x14ac:dyDescent="0.25">
      <c r="D100" s="50" t="str">
        <v>MAT = mean annual temperature</v>
      </c>
    </row>
    <row r="101" spans="4:20" ht="20.100000000000001" customHeight="1" x14ac:dyDescent="0.25">
      <c r="D101" s="50" t="str">
        <v>MAP = mean annual precipitation</v>
      </c>
    </row>
    <row r="102" spans="4:20" ht="20.100000000000001" customHeight="1" x14ac:dyDescent="0.25">
      <c r="D102" s="50" t="str">
        <v>PET = potential evapotranspiration</v>
      </c>
    </row>
    <row r="103" spans="4:20" ht="20.100000000000001" customHeight="1" x14ac:dyDescent="0.25">
      <c r="D103" s="50"/>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42</v>
      </c>
      <c r="E109" s="35" t="s">
        <v>25</v>
      </c>
      <c r="F109" s="35" t="s">
        <v>43</v>
      </c>
      <c r="G109" s="35" t="s">
        <v>44</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1"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45</v>
      </c>
      <c r="E119" s="35" t="s">
        <v>46</v>
      </c>
      <c r="F119" s="35" t="s">
        <v>32</v>
      </c>
      <c r="G119" s="35" t="s">
        <v>33</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47</v>
      </c>
      <c r="E127" s="35" t="s">
        <v>48</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61</v>
      </c>
      <c r="E134" t="s">
        <v>62</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76</v>
      </c>
      <c r="E142" s="35" t="s">
        <v>62</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49</v>
      </c>
      <c r="E153" s="35" t="s">
        <v>50</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0" t="str" cm="1">
        <f t="array" ref="D180">Common_SourceData.Common_SourceData_EFN2O_Unit()</f>
        <v>(kg N2O-N / kg N</v>
      </c>
    </row>
    <row r="181" spans="4:68" ht="20.100000000000001" customHeight="1" x14ac:dyDescent="0.25">
      <c r="D181" s="51" t="str" cm="1">
        <f t="array" ref="D181:D185">Common_SourceData.Common_SourceData_EFN2O_Variation()</f>
        <v>VARIATION OF SOURCE DATA:</v>
      </c>
    </row>
    <row r="182" spans="4:68" ht="20.100000000000001" customHeight="1" x14ac:dyDescent="0.25">
      <c r="D182" s="51" t="str">
        <v>Removed duplicate 'Aquaculture' row.</v>
      </c>
    </row>
    <row r="183" spans="4:68" ht="20.100000000000001" customHeight="1" x14ac:dyDescent="0.25">
      <c r="D183" s="51" t="str">
        <v>Removed asterisks to aid lookup.</v>
      </c>
    </row>
    <row r="184" spans="4:68" ht="20.100000000000001" customHeight="1" x14ac:dyDescent="0.25">
      <c r="D184" s="51" t="str">
        <v>Added 'production system only', 'rainfall zone' and 'irrigation method' columns to aid lookup.</v>
      </c>
    </row>
    <row r="185" spans="4:68" ht="20.100000000000001" customHeight="1" x14ac:dyDescent="0.25">
      <c r="D185" s="51" t="str">
        <v>Duplicated 'non-irrigated pasture' row with same EF for low and high rainfall zones to aid lookup.</v>
      </c>
    </row>
    <row r="186" spans="4:68" ht="20.100000000000001" customHeight="1" x14ac:dyDescent="0.25">
      <c r="D186" s="35" t="s">
        <v>69</v>
      </c>
      <c r="E186" s="35" t="s">
        <v>70</v>
      </c>
      <c r="F186" s="35" t="s">
        <v>71</v>
      </c>
      <c r="G186" s="35" t="s">
        <v>72</v>
      </c>
      <c r="H186" s="35" t="s">
        <v>24</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1" t="str" cm="1">
        <f t="array" ref="D204">Common_SourceData.Common_SourceData_EFPastureRangeAndPaddock_Variation()</f>
        <v>VARIATION FROM SOURCE DATA: Changed 'Dry climate zones' to singular 'Dry climate zone' to aid lookup.</v>
      </c>
    </row>
    <row r="205" spans="4:8" x14ac:dyDescent="0.25">
      <c r="D205" s="50" t="str" cm="1">
        <f t="array" ref="D205">Common_SourceData.Common_SourceData_EFPastureRangeAndPaddock_Unit()</f>
        <v>kg N2O - N / kg N</v>
      </c>
    </row>
    <row r="206" spans="4:8" x14ac:dyDescent="0.25">
      <c r="D206" s="35" t="s">
        <v>8</v>
      </c>
      <c r="E206" s="35" t="s">
        <v>77</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78</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41</v>
      </c>
      <c r="E231" s="35" t="s">
        <v>87</v>
      </c>
      <c r="F231" s="34" t="s">
        <v>88</v>
      </c>
      <c r="G231" s="35" t="s">
        <v>89</v>
      </c>
      <c r="H231" s="35" t="s">
        <v>90</v>
      </c>
      <c r="I231" s="35" t="s">
        <v>91</v>
      </c>
      <c r="J231" s="35" t="s">
        <v>92</v>
      </c>
      <c r="K231" s="35" t="s">
        <v>93</v>
      </c>
      <c r="L231" s="35" t="s">
        <v>94</v>
      </c>
      <c r="M231" s="35" t="s">
        <v>95</v>
      </c>
      <c r="N231" s="35" t="s">
        <v>96</v>
      </c>
      <c r="O231" s="35" t="s">
        <v>97</v>
      </c>
      <c r="P231" s="35" t="s">
        <v>98</v>
      </c>
      <c r="Q231" s="35" t="s">
        <v>86</v>
      </c>
      <c r="R231" s="35" t="s">
        <v>99</v>
      </c>
      <c r="S231" s="35" t="s">
        <v>100</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0" t="str" cm="1">
        <f t="array" ref="D256">Common_SourceData.Common_SourceData_EFOrganicFertiliserAndCropResidues_Unit()</f>
        <v>kg N2O - N / kg N</v>
      </c>
    </row>
    <row r="257" spans="4:5" x14ac:dyDescent="0.25">
      <c r="D257" s="35" t="s">
        <v>144</v>
      </c>
      <c r="E257" s="35" t="s">
        <v>145</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election activeCell="L45" sqref="L45"/>
    </sheetView>
  </sheetViews>
  <sheetFormatPr defaultRowHeight="15" x14ac:dyDescent="0.25"/>
  <sheetData>
    <row r="1" spans="1:1" x14ac:dyDescent="0.25">
      <c r="A1" t="s">
        <v>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56" t="s">
        <v>58</v>
      </c>
    </row>
    <row r="17" spans="1:1" ht="20.100000000000001" customHeight="1" x14ac:dyDescent="0.25">
      <c r="A17" s="56" t="s">
        <v>54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56</v>
      </c>
    </row>
    <row r="22" spans="1:1" ht="20.100000000000001" customHeight="1" x14ac:dyDescent="0.25">
      <c r="A22" s="56" t="s">
        <v>1</v>
      </c>
    </row>
    <row r="23" spans="1:1" ht="20.100000000000001" customHeight="1" x14ac:dyDescent="0.25">
      <c r="A23" s="56" t="s">
        <v>55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56" t="s">
        <v>58</v>
      </c>
    </row>
    <row r="32" spans="1:1" ht="20.100000000000001" customHeight="1" x14ac:dyDescent="0.25">
      <c r="A32" s="56" t="s">
        <v>54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56" t="s">
        <v>2</v>
      </c>
    </row>
    <row r="41" spans="1:1" ht="20.100000000000001" customHeight="1" x14ac:dyDescent="0.25">
      <c r="A41" s="42"/>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RQBuAHQAZQByAGkAYwBNAGUAdABoAGEAbgBlAF8ATwB0AGgAZQByAEwAaQB2AGUAcwB0AG8AYwBrAF8ARQBxAHUAYQB0AGkAbwBuAHMAIgAsACIAdABlAHgAdAAiADoAIgAvACoAXABuAD0APQA9AD0APQA9AD0APQA9AD0APQA9AD0APQA9AD0APQA9AD0APQA9AD0APQA9AD0APQA9AD0APQA9AD0APQA9AD0APQA9AD0APQA9AD0APQA9AD0APQA9AD0APQA9AD0APQA9AD0APQA9AD0APQA9AD0APQA9AD0APQA9AD0APQA9AD0APQA9AD0APQA9AD0APQA9AD0AXABuADMALgA2ADoAIABFAG4AdABlAHIAaQBjACAATQBlAHQAaABhAG4AZQAgAC0AIABPAHQAaABlAHIAIABMAGkAdgBlAHMAdABvAGMAawBcAG4APQA9AD0APQA9AD0APQA9AD0APQA9AD0APQA9AD0APQA9AD0APQA9AD0APQA9AD0APQA9AD0APQA9AD0APQA9AD0APQA9AD0APQA9AD0APQA9AD0APQA9AD0APQA9AD0APQA9AD0APQA9AD0APQA9AD0APQA9AD0APQA9AD0APQA9AD0APQA9AD0APQA9AD0APQA9AD0APQBcAG4AMwAuADYALgAxAC4AMQAgAE0AZQB0AGgAbwBkACAAMQAgAC0AIABFAG4AdABlAHIAaQBj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gBfADEAXwAxAF8AXwAxAF8AVABvAHQAYQBsAEEAbgBuAHUAYQBsAE0AZQB0AGgAYQBuAGUARgByAG8AbQBFAG4AdABlAHIAaQBjAEYAZQByAG0AZQBuAHQAYQB0AGkAbwBuAE8AdABoAGUAcgBMAGkAdgBlAHMAdABvAGMAawBcAG4AVABvAHQAYQBsACAAYQBuAG4AdQBhAGwAIABtAGUAdABoAGEAbgBlACAAcAByAG8AZAB1AGMAdABpAG8AbgAgAGYAcgBvAG0AIABlAG4AdABlAHIAaQBjACAAZgBlAHIAbQBlAG4AdABhAHQAaQBvAG4AIABpAG4AIABvAHQAaABlAHIAIABsAGkAdgBlAHMAdABvAGMAawBcAG4ARQBfAGUAbgB0AGUAcgBpAGMAXABuAHQAIABDAEgANABcAG4ARQBfAHsAZQBuAHQAZQByAGkAYwB9AD0AXABcAHMAdQBtAF8AagAoAE4AXwBqAFwAXAB0AGkAbQBlAHMAIABNAF8AagApAFwAXAB0AGkAbQBlAHMAIAAxADAAXgB7AC0AMwB9AFwAbgBOAF8AagAgAD0AIABuAHUAbQBiAGUAcgAgAG8AZgAgAGwAaQB2AGUAcwB0AG8AYwBrACAAbwBmACAAZQBhAGMAaAAgAGwAaQB2AGUAcwB0AG8AYwBrACAAdAB5AHAAZQAgAGoAIAAoAGgAZQBhAGQAKQBcAG4ATQBfAGoAIAA9ACAAZQBuAHQAZQByAGkAYwAgAGYAZQByAG0AZQBuAHQAYQB0AGkAbwBuACAAZQBtAGkAcwBzAGkAbwBuACAAZgBhAGMAdABvAHIAIAAoAGsAZwAgAEMASAA0AC8AaABlAGEAZAAvAHkAZQBhAHIAKQBcAG4ALQAtAC0ALQAtAC0ALQAtAC0ALQAtAC0ALQAtAC0ALQAtAC0ALQAtAC0ALQAtAC0ALQAtAC0ALQAtAC0ALQAtAC0ALQAtAC0ALQAtAFwAbgAqAC8AXABuAFwAbgBWAEUARQBSAEcAXwAzAF8ANgBfADEAXwAxAF8AXwAxAF8AVABvAHQAYQBsAEEAbgBuAHUAYQBsAE0AZQB0AGgAYQBuAGUARgByAG8AbQBFAG4AdABlAHIAaQBjAEYAZQByAG0AZQBuAHQAYQB0AGkAbwBuAE8AdABoAGUAcgBMAGkAdgBlAHMAdABvAGMAawBcAG4AIAAgAD0ATABBAE0AQgBEAEEAKABcAG4AIAAgACAAIABOAF8AagAsACAATQBfAGoALABcAG4AIAAgACAAIABTAFUATQAoAE4AXwBqACAAKgAgAE0AXwBqACkAIAAqACAAMQAwACAAXgAgAC0AMwBcAG4AIAAgACkAOwBcAG4AXABuAFYARQBFAFIARwBfADMAXwA2AF8AMQBfADEAXwBfADEAXwBUAG8AdABhAGwAQQBuAG4AdQBhAGwATQBlAHQAaABhAG4AZQBGAHIAbwBtAEUAbgB0AGUAcgBpAGMARgBlAHIAbQBlAG4AdABhAHQAaQBvAG4ATwB0AGgAZQByAEwAaQB2AGUAcwB0AG8AYwBrAF8AVABpAHQAbABlAFwAbgAgACAAPQBMAEEATQBCAEQAQQAoAFwAIgBUAG8AdABhAGwAIABhAG4AbgB1AGEAbAAgAG0AZQB0AGgAYQBuAGUAIABwAHIAbwBkAHUAYwB0AGkAbwBuACAAZgByAG8AbQAgAGUAbgB0AGUAcgBpAGMAIABmAGUAcgBtAGUAbgB0AGEAdABpAG8AbgAgAGkAbgAgAG8AdABoAGUAcgAgAGwAaQB2AGUAcwB0AG8AYwBrAFwAIgApADsAXABuAFwAbgBWAEUARQBSAEcAXwAzAF8ANgBfADEAXwAxAF8AXwAxAF8AVABvAHQAYQBsAEEAbgBuAHUAYQBsAE0AZQB0AGgAYQBuAGUARgByAG8AbQBFAG4AdABlAHIAaQBjAEYAZQByAG0AZQBuAHQAYQB0AGkAbwBuAE8AdABoAGUAcgBMAGkAdgBlAHMAdABvAGMAawBfAFYAYQByAGkAYQBiAGwAZQBcAG4AIAAgAD0ATABBAE0AQgBEAEEAKABcACIARQBfAGUAbgB0AGUAcgBpAGMAXAAiACkAOwBcAG4AXABuAFYARQBFAFIARwBfADMAXwA2AF8AMQBfADEAXwBfADEAXwBUAG8AdABhAGwAQQBuAG4AdQBhAGwATQBlAHQAaABhAG4AZQBGAHIAbwBtAEUAbgB0AGUAcgBpAGMARgBlAHIAbQBlAG4AdABhAHQAaQBvAG4ATwB0AGgAZQByAEwAaQB2AGUAcwB0AG8AYwBrAF8AVQBuAGkAdABcAG4AIAAgAD0ATABBAE0AQgBEAEEAKABcACIAdAAgAEMASAA0AFwAIgApADsAXABuAFwAbgBWAEUARQBSAEcAXwAzAF8ANgBfADEAXwAxAF8AXwAxAF8AVABvAHQAYQBsAEEAbgBuAHUAYQBsAE0AZQB0AGgAYQBuAGUARgByAG8AbQBFAG4AdABlAHIAaQBjAEYAZQByAG0AZQBuAHQAYQB0AGkAbwBuAE8AdABoAGUAcgBMAGkAdgBlAHMAdABvAGMAawBfAFMAbwB1AHIAYwBlAFwAbgAgACAAPQBMAEEATQBCAEQAQQAoAFwAIgBWAEUARQBSAEcAIAAyADAAMgA2ADoAIAAzAC4ANgAuADEALgAxACwAIABFAHEAdQBhAHQAaQBvAG4AIAAoADEAKQBcACIAKQA7AFwAbgBcAG4AVgBFAEUAUgBHAF8AMwBfADYAXwAxAF8AMQBfAF8AMQBfAFQAbwB0AGEAbABBAG4AbgB1AGEAbABNAGUAdABoAGEAbgBlAEYAcgBvAG0ARQBuAHQAZQByAGkAYwBGAGUAcgBtAGUAbgB0AGEAdABpAG8AbgBPAHQAaABlAHIATABpAHYAZQBzAHQAbwBjAGsAXwBOAEkAUgBSAGUAZgBlAHIAZQBuAGMAZQBcAG4AIAAgAD0ATABBAE0AQgBEAEEAKABcACIAXAAiACkAOwBcAG4AXABuAFYARQBFAFIARwBfADMAXwA2AF8AMQBfADEAXwBfADEAXwBUAG8AdABhAGwAQQBuAG4AdQBhAGwATQBlAHQAaABhAG4AZQBGAHIAbwBtAEUAbgB0AGUAcgBpAGMARgBlAHIAbQBlAG4AdABhAHQAaQBvAG4ATwB0AGgAZQByAEwAaQB2AGUAcwB0AG8AYwBrAF8ATABhAHQAZQB4AEUAcQB1AGEAdABpAG8AbgBcAG4AIAAgAD0ATABBAE0AQgBEAEEAKABcACIARQBfAHsAZQBuAHQAZQByAGkAYwB9AD0AXABcAHMAdQBtAF8AagAoAE4AXwBqAFwAXAB0AGkAbQBlAHMAIABNAF8AagApAFwAXAB0AGkAbQBlAHMAIAAxADAAXgB7AC0AMwB9AFwAIgApADsAXABuAFwAbgBWAEUARQBSAEcAXwAzAF8ANgBfADEAXwAxAF8AXwAxAF8AVABvAHQAYQBsAEEAbgBuAHUAYQBsAE0AZQB0AGgAYQBuAGUARgByAG8AbQBFAG4AdABlAHIAaQBjAEYAZQByAG0AZQBuAHQAYQB0AGkAbwBuAE8AdABoAGUAcgBMAGkAdgBlAHMAdABvAGMAaw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0AXwBqAFwAIgAsACAAXAAiAGUAbgB0AGUAcgBpAGMAIABmAGUAcgBtAGUAbgB0AGEAdABpAG8AbgAgAGUAbQBpAHMAcwBpAG8AbgAgAGYAYQBjAHQAbwByAFwAIgAsACAAXAAiAGsAZwAgAEMASAA0AC8AaABlAGEAZAAvAHkAZQBhAHIAXAAiACwAIABcACIAQwBvAG4AcwB0AGEAbgB0AFwAIgA7AFwAbgAgACAAIAAgACAAIAAgACAAIAAgAFwAIgBqAFwAIgAsACAAXAAiAGwAaQB2AGUAcwB0AG8AYwBrACAAdAB5AHAAZQ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TAG8AdQByAGMAZQBEAGEAdABhAF8ATwB0AGgAZQByAEwAaQB2AGUAcwB0AG8AYwBrAC4AUwBvAHUAcgBjAGUARABhAHQAYQBfAE8AdABoAGUAcgBMAGkAdgBlAHMAdABvAGMAawBfAEUAbgB0AGUAcgBpAGMARgBlAHIAbQBlAG4AdABhAHQAaQBvAG4ARQBtAGkAcwBzAGkAbwBuAEYAYQBjAHQAbwByAF8AVABpAHQAbABlACIALAAiAFMAbwB1AHIAYwBlAEQAYQB0AGEAXwBPAHQAaABlAHIATABpAHYAZQBzAHQAbwBjAGsALgBTAG8AdQByAGMAZQBEAGEAdABhAF8ATwB0AGgAZQByAEwAaQB2AGUAcwB0AG8AYwBrAF8ARQBuAHQAZQByAGkAYwBGAGUAcgBtAGUAbgB0AGEAdABpAG8AbgBFAG0AaQBzAHMAaQBvAG4ARgBhAGMAdABvAHIAXwBWAGEAcgBpAGEAYgBsAGUAIgAsACIAUwBvAHUAcgBjAGUARABhAHQAYQBfAE8AdABoAGUAcgBMAGkAdgBlAHMAdABvAGMAawAuAFMAbwB1AHIAYwBlAEQAYQB0AGEAXwBPAHQAaABlAHIATABpAHYAZQBzAHQAbwBjAGsAXwBFAG4AdABlAHIAaQBjAEYAZQByAG0AZQBuAHQAYQB0AGkAbwBuAEUAbQBpAHMAcwBpAG8AbgBGAGEAYwB0AG8AcgBfAFUAbgBpAHQAIgAsACIAUwBvAHUAcgBjAGUARABhAHQAYQBfAE8AdABoAGUAcgBMAGkAdgBlAHMAdABvAGMAawAuAFMAbwB1AHIAYwBlAEQAYQB0AGEAXwBPAHQAaABlAHIATABpAHYAZQBzAHQAbwBjAGsAXwBFAG4AdABlAHIAaQBjAEYAZQByAG0AZQBuAHQAYQB0AGkAbwBuAEUAbQBpAHMAcwBpAG8AbgBGAGEAYwB0AG8AcgBfAFMAbwB1AHIAYwBlACIALAAiAFMAbwB1AHIAYwBlAEQAYQB0AGEAXwBPAHQAaABlAHIATABpAHYAZQBzAHQAbwBjAGsALgBTAG8AdQByAGMAZQBEAGEAdABhAF8ATwB0AGgAZQByAEwAaQB2AGUAcwB0AG8AYwBrAF8ARQBuAHQAZQByAGkAYwBGAGUAcgBtAGUAbgB0AGEAdABpAG8AbgBFAG0AaQBzAHMAaQBvAG4ARgBhAGMAdABvAHIAXwBWAGEAcgBpAGEAdABpAG8AbgAiACwAIgBTAG8AdQByAGMAZQBEAGEAdABhAF8ATwB0AGgAZQByAEwAaQB2AGUAcwB0AG8AYwBrAC4AUwBvAHUAcgBjAGUARABhAHQAYQBfAE8AdABoAGUAcgBMAGkAdgBlAHMAdABvAGMAawBfAEUAbgB0AGUAcgBpAGMARgBlAHIAbQBlAG4AdABhAHQAaQBvAG4ARQBtAGkAcwBzAGkAbwBuAEYAYQBjAHQAbwByAF8ARABhAHQAYQAiACwAIgBTAG8AdQByAGMAZQBEAGEAdABhAF8ATwB0AGgAZQByAEwAaQB2AGUAcwB0AG8AYwBrAC4AUwBvAHUAcgBjAGUARABhAHQAYQBfAE8AdABoAGUAcgBMAGkAdgBlAHMAdABvAGMAawBfAFYAbwBsAGEAdABpAGwAZQBTAG8AbABpAGQAcwBQAHIAbwBkAHUAYwBlAGQAXwBUAGkAdABsAGUAIgAsACIAUwBvAHUAcgBjAGUARABhAHQAYQBfAE8AdABoAGUAcgBMAGkAdgBlAHMAdABvAGMAawAuAFMAbwB1AHIAYwBlAEQAYQB0AGEAXwBPAHQAaABlAHIATABpAHYAZQBzAHQAbwBjAGsAXwBWAG8AbABhAHQAaQBsAGUAUwBvAGwAaQBkAHMAUAByAG8AZAB1AGMAZQBkAF8AVgBhAHIAaQBhAGIAbABlACIALAAiAFMAbwB1AHIAYwBlAEQAYQB0AGEAXwBPAHQAaABlAHIATABpAHYAZQBzAHQAbwBjAGsALgBTAG8AdQByAGMAZQBEAGEAdABhAF8ATwB0AGgAZQByAEwAaQB2AGUAcwB0AG8AYwBrAF8AVgBvAGwAYQB0AGkAbABlAFMAbwBsAGkAZABzAFAAcgBvAGQAdQBjAGUAZABfAFUAbgBpAHQAIgAsACIAUwBvAHUAcgBjAGUARABhAHQAYQBfAE8AdABoAGUAcgBMAGkAdgBlAHMAdABvAGMAawAuAFMAbwB1AHIAYwBlAEQAYQB0AGEAXwBPAHQAaABlAHIATABpAHYAZQBzAHQAbwBjAGsAXwBWAG8AbABhAHQAaQBsAGUAUwBvAGwAaQBkAHMAUAByAG8AZAB1AGMAZQBkAF8AUwBvAHUAcgBjAGUAIgAsACIAUwBvAHUAcgBjAGUARABhAHQAYQBfAE8AdABoAGUAcgBMAGkAdgBlAHMAdABvAGMAawAuAFMAbwB1AHIAYwBlAEQAYQB0AGEAXwBPAHQAaABlAHIATABpAHYAZQBzAHQAbwBjAGsAXwBWAG8AbABhAHQAaQBsAGUAUwBvAGwAaQBkAHMAUAByAG8AZAB1AGMAZQBkAF8AVgBhAHIAaQBhAHQAaQBvAG4AIgAsACIAUwBvAHUAcgBjAGUARABhAHQAYQBfAE8AdABoAGUAcgBMAGkAdgBlAHMAdABvAGMAawAuAFMAbwB1AHIAYwBlAEQAYQB0AGEAXwBPAHQAaABlAHIATABpAHYAZQBzAHQAbwBjAGsAXwBWAG8AbABhAHQAaQBsAGUAUwBvAGwAaQBkAHMAUAByAG8AZAB1AGMAZQBkAF8ARABhAHQAYQAiACwAIgBTAG8AdQByAGMAZQBEAGEAdABhAF8ATwB0AGgAZQByAEwAaQB2AGUAcwB0AG8AYwBrAC4AUwBvAHUAcgBjAGUARABhAHQAYQBfAE8AdABoAGUAcgBMAGkAdgBlAHMAdABvAGMAawBfAE4AaQB0AHIAbwBnAGUAbgBFAHgAYwByAGUAdABlAGQAXwBUAGkAdABsAGUAIgAsACIAUwBvAHUAcgBjAGUARABhAHQAYQBfAE8AdABoAGUAcgBMAGkAdgBlAHMAdABvAGMAawAuAFMAbwB1AHIAYwBlAEQAYQB0AGEAXwBPAHQAaABlAHIATABpAHYAZQBzAHQAbwBjAGsAXwBOAGkAdAByAG8AZwBlAG4ARQB4AGMAcgBlAHQAZQBkAF8AVgBhAHIAaQBhAGIAbABlACIALAAiAFMAbwB1AHIAYwBlAEQAYQB0AGEAXwBPAHQAaABlAHIATABpAHYAZQBzAHQAbwBjAGsALgBTAG8AdQByAGMAZQBEAGEAdABhAF8ATwB0AGgAZQByAEwAaQB2AGUAcwB0AG8AYwBrAF8ATgBpAHQAcgBvAGcAZQBuAEUAeABjAHIAZQB0AGUAZABfAFUAbgBpAHQAIgAsACIAUwBvAHUAcgBjAGUARABhAHQAYQBfAE8AdABoAGUAcgBMAGkAdgBlAHMAdABvAGMAawAuAFMAbwB1AHIAYwBlAEQAYQB0AGEAXwBPAHQAaABlAHIATABpAHYAZQBzAHQAbwBjAGsAXwBOAGkAdAByAG8AZwBlAG4ARQB4AGMAcgBlAHQAZQBkAF8AUwBvAHUAcgBjAGUAIgAsACIAUwBvAHUAcgBjAGUARABhAHQAYQBfAE8AdABoAGUAcgBMAGkAdgBlAHMAdABvAGMAawAuAFMAbwB1AHIAYwBlAEQAYQB0AGEAXwBPAHQAaABlAHIATABpAHYAZQBzAHQAbwBjAGsAXwBOAGkAdAByAG8AZwBlAG4ARQB4AGMAcgBlAHQAZQBkAF8AVgBhAHIAaQBhAHQAaQBvAG4AIgAsACIAUwBvAHUAcgBjAGUARABhAHQAYQBfAE8AdABoAGUAcgBMAGkAdgBlAHMAdABvAGMAawAuAFMAbwB1AHIAYwBlAEQAYQB0AGEAXwBPAHQAaABlAHIATABpAHYAZQBzAHQAbwBjAGsAXwBOAGkAdAByAG8AZwBlAG4ARQB4AGMAcgBlAHQAZQBkAF8ARABhAHQAYQAiACwAIgBTAG8AdQByAGMAZQBEAGEAdABhAF8ATwB0AGgAZQByAEwAaQB2AGUAcwB0AG8AYwBrAC4AUwBvAHUAcgBjAGUARABhAHQAYQBfAE8AdABoAGUAcgBMAGkAdgBlAHMAdABvAGMAawBfAEEAdgBlAHIAYQBnAGUATABpAHYAZQB3AGUAaQBnAGgAdABfAFQAaQB0AGwAZQAiACwAIgBTAG8AdQByAGMAZQBEAGEAdABhAF8ATwB0AGgAZQByAEwAaQB2AGUAcwB0AG8AYwBrAC4AUwBvAHUAcgBjAGUARABhAHQAYQBfAE8AdABoAGUAcgBMAGkAdgBlAHMAdABvAGMAawBfAEEAdgBlAHIAYQBnAGUATABpAHYAZQB3AGUAaQBnAGgAdABfAFYAYQByAGkAYQBiAGwAZQAiACwAIgBTAG8AdQByAGMAZQBEAGEAdABhAF8ATwB0AGgAZQByAEwAaQB2AGUAcwB0AG8AYwBrAC4AUwBvAHUAcgBjAGUARABhAHQAYQBfAE8AdABoAGUAcgBMAGkAdgBlAHMAdABvAGMAawBfAEEAdgBlAHIAYQBnAGUATABpAHYAZQB3AGUAaQBnAGgAdABfAFUAbgBpAHQAIgAsACIAUwBvAHUAcgBjAGUARABhAHQAYQBfAE8AdABoAGUAcgBMAGkAdgBlAHMAdABvAGMAawAuAFMAbwB1AHIAYwBlAEQAYQB0AGEAXwBPAHQAaABlAHIATABpAHYAZQBzAHQAbwBjAGsAXwBBAHYAZQByAGEAZwBlAEwAaQB2AGUAdwBlAGkAZwBoAHQAXwBTAG8AdQByAGMAZQAiACwAIgBTAG8AdQByAGMAZQBEAGEAdABhAF8ATwB0AGgAZQByAEwAaQB2AGUAcwB0AG8AYwBrAC4AUwBvAHUAcgBjAGUARABhAHQAYQBfAE8AdABoAGUAcgBMAGkAdgBlAHMAdABvAGMAawBfAEEAdgBlAHIAYQBnAGUATABpAHYAZQB3AGUAaQBnAGgAdABfAFYAYQByAGkAYQB0AGkAbwBuACIALAAiAFMAbwB1AHIAYwBlAEQAYQB0AGEAXwBPAHQAaABlAHIATABpAHYAZQBzAHQAbwBjAGsALgBTAG8AdQByAGMAZQBEAGEAdABhAF8ATwB0AGgAZQByAEwAaQB2AGUAcwB0AG8AYwBrAF8AQQB2AGUAcgBhAGcAZQBMAGkAdgBlAHcAZQBpAGcAaAB0AF8ARABhAHQAYQAiACwAIgBTAG8AdQByAGMAZQBEAGEAdABhAF8ATwB0AGgAZQByAEwAaQB2AGUAcwB0AG8AYwBrAC4AUwBvAHUAcgBjAGUARABhAHQAYQBfAE8AdABoAGUAcgBMAGkAdgBlAHMAdABvAGMAawBfAEYAcgBhAGMAdABpAG8AbgBXAGEAcwB0AGUASQBuAE0ATQBTAF8AVABpAHQAbABlACIALAAiAFMAbwB1AHIAYwBlAEQAYQB0AGEAXwBPAHQAaABlAHIATABpAHYAZQBzAHQAbwBjAGsALgBTAG8AdQByAGMAZQBEAGEAdABhAF8ATwB0AGgAZQByAEwAaQB2AGUAcwB0AG8AYwBrAF8ARgByAGEAYwB0AGkAbwBuAFcAYQBzAHQAZQBJAG4ATQBNAFMAXwBWAGEAcgBpAGEAYgBsAGUAIgAsACIAUwBvAHUAcgBjAGUARABhAHQAYQBfAE8AdABoAGUAcgBMAGkAdgBlAHMAdABvAGMAawAuAFMAbwB1AHIAYwBlAEQAYQB0AGEAXwBPAHQAaABlAHIATABpAHYAZQBzAHQAbwBjAGsAXwBGAHIAYQBjAHQAaQBvAG4AVwBhAHMAdABlAEkAbgBNAE0AUwBfAFUAbgBpAHQAIgAsACIAUwBvAHUAcgBjAGUARABhAHQAYQBfAE8AdABoAGUAcgBMAGkAdgBlAHMAdABvAGMAawAuAFMAbwB1AHIAYwBlAEQAYQB0AGEAXwBPAHQAaABlAHIATABpAHYAZQBzAHQAbwBjAGsAXwBGAHIAYQBjAHQAaQBvAG4AVwBhAHMAdABlAEkAbgBNAE0AUwBfAFMAbwB1AHIAYwBlACIALAAiAFMAbwB1AHIAYwBlAEQAYQB0AGEAXwBPAHQAaABlAHIATABpAHYAZQBzAHQAbwBjAGsALgBTAG8AdQByAGMAZQBEAGEAdABhAF8ATwB0AGgAZQByAEwAaQB2AGUAcwB0AG8AYwBrAF8ARgByAGEAYwB0AGkAbwBuAFcAYQBzAHQAZQBJAG4ATQBNAFMAXwBWAGEAcgBpAGEAdABpAG8AbgAiACwAIgBTAG8AdQByAGMAZQBEAGEAdABhAF8ATwB0AGgAZQByAEwAaQB2AGUAcwB0AG8AYwBrAC4AUwBvAHUAcgBjAGUARABhAHQAYQBfAE8AdABoAGUAcgBMAGkAdgBlAHMAdABvAGMAawBfAEYAcgBhAGMAdABpAG8AbgBXAGEAcwB0AGUASQBuAE0ATQBTAF8ARABhAHQAYQAiACwAIgBTAG8AdQByAGMAZQBEAGEAdABhAF8ATwB0AGgAZQByAEwAaQB2AGUAcwB0AG8AYwBrAC4AUwBvAHUAcgBjAGUARABhAHQAYQBfAE8AdABoAGUAcgBMAGkAdgBlAHMAdABvAGMAawBfAE0AZQB0AGgAYQBuAGUAQwBvAG4AdgBlAHIAcwBpAG8AbgBGAGEAYwB0AG8AcgBfAFQAaQB0AGwAZQAiACwAIgBTAG8AdQByAGMAZQBEAGEAdABhAF8ATwB0AGgAZQByAEwAaQB2AGUAcwB0AG8AYwBrAC4AUwBvAHUAcgBjAGUARABhAHQAYQBfAE8AdABoAGUAcgBMAGkAdgBlAHMAdABvAGMAawBfAE0AZQB0AGgAYQBuAGUAQwBvAG4AdgBlAHIAcwBpAG8AbgBGAGEAYwB0AG8AcgBfAFYAYQByAGkAYQBiAGwAZQAiACwAIgBTAG8AdQByAGMAZQBEAGEAdABhAF8ATwB0AGgAZQByAEwAaQB2AGUAcwB0AG8AYwBrAC4AUwBvAHUAcgBjAGUARABhAHQAYQBfAE8AdABoAGUAcgBMAGkAdgBlAHMAdABvAGMAawBfAE0AZQB0AGgAYQBuAGUAQwBvAG4AdgBlAHIAcwBpAG8AbgBGAGEAYwB0AG8AcgBfAFUAbgBpAHQAIgAsACIAUwBvAHUAcgBjAGUARABhAHQAYQBfAE8AdABoAGUAcgBMAGkAdgBlAHMAdABvAGMAawAuAFMAbwB1AHIAYwBlAEQAYQB0AGEAXwBPAHQAaABlAHIATABpAHYAZQBzAHQAbwBjAGsAXwBNAGUAdABoAGEAbgBlAEMAbwBuAHYAZQByAHMAaQBvAG4ARgBhAGMAdABvAHIAXwBTAG8AdQByAGMAZQAiACwAIgBTAG8AdQByAGMAZQBEAGEAdABhAF8ATwB0AGgAZQByAEwAaQB2AGUAcwB0AG8AYwBrAC4AUwBvAHUAcgBjAGUARABhAHQAYQBfAE8AdABoAGUAcgBMAGkAdgBlAHMAdABvAGMAawBfAE0AZQB0AGgAYQBuAGUAQwBvAG4AdgBlAHIAcwBpAG8AbgBGAGEAYwB0AG8AcgBfAFYAYQByAGkAYQB0AGkAbwBuACIALAAiAFMAbwB1AHIAYwBlAEQAYQB0AGEAXwBPAHQAaABlAHIATABpAHYAZQBzAHQAbwBjAGsALgBTAG8AdQByAGMAZQBEAGEAdABhAF8ATwB0AGgAZQByAEwAaQB2AGUAcwB0AG8AYwBrAF8ATQBlAHQAaABhAG4AZQBDAG8AbgB2AGUAcgBzAGkAbwBuAEYAYQBjAHQAbwByAF8ARABhAHQAY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UAGkAdABs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YAYQByAGkAYQBiAGw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QBuAGkAdA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UwBvAHUAcgBj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4ASQBSAFIAZQBmAGUAcgBlAG4AYw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MAGEAdABlAHgARQBxAHUAYQB0AGkAbwBu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13</vt:i4>
      </vt:variant>
    </vt:vector>
  </HeadingPairs>
  <TitlesOfParts>
    <vt:vector size="23"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lpstr>Common_SourceData_DensityOfMethane_Data</vt:lpstr>
      <vt:lpstr>X_Cell_OtherLivestock_Others_Alpacas_Head</vt:lpstr>
      <vt:lpstr>X_Cell_OtherLivestock_Others_Camels_Head</vt:lpstr>
      <vt:lpstr>X_Cell_OtherLivestock_Others_Emus_Head</vt:lpstr>
      <vt:lpstr>X_Cell_OtherLivestock_Others_Horses_Head</vt:lpstr>
      <vt:lpstr>X_Cell_OtherLivestock_Others_Mules_Head</vt:lpstr>
      <vt:lpstr>X_Cell_Site_EndDate</vt:lpstr>
      <vt:lpstr>X_Cell_Site_FarmName</vt:lpstr>
      <vt:lpstr>X_Cell_Site_ReportingEntityName</vt:lpstr>
      <vt:lpstr>X_Cell_Site_StartDate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