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7A1365E-8315-46F7-9F41-915D2185C9A0}" xr6:coauthVersionLast="47" xr6:coauthVersionMax="47" xr10:uidLastSave="{00000000-0000-0000-0000-000000000000}"/>
  <bookViews>
    <workbookView xWindow="5070" yWindow="507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2" r:id="rId8"/>
    <sheet name="Acknowledgements" sheetId="72" r:id="rId9"/>
    <sheet name="Tab template" sheetId="74" r:id="rId10"/>
  </sheets>
  <externalReferences>
    <externalReference r:id="rId11"/>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69" l="1"/>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a="1"/>
  <c r="D228" i="102" s="1"/>
  <c r="D227" i="102"/>
  <c r="D227" i="102" a="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c r="D203" i="102" a="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c r="D174" i="102" a="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c r="D151" i="102" a="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c r="D124" i="102" a="1"/>
  <c r="G121" i="102" a="1"/>
  <c r="G121" i="102" s="1"/>
  <c r="F121" i="102" a="1"/>
  <c r="F121" i="102" s="1"/>
  <c r="E121" i="102" a="1"/>
  <c r="E121" i="102" s="1"/>
  <c r="D121" i="102" a="1"/>
  <c r="D121" i="102" s="1"/>
  <c r="G120" i="102" a="1"/>
  <c r="G120" i="102" s="1"/>
  <c r="F120" i="102" a="1"/>
  <c r="F120" i="102" s="1"/>
  <c r="E120" i="102" a="1"/>
  <c r="E120" i="102" s="1"/>
  <c r="D120" i="102" a="1"/>
  <c r="D120" i="102" s="1"/>
  <c r="D117" i="102"/>
  <c r="D117" i="102" a="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c r="D57" i="102" a="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a="1"/>
  <c r="D46" i="102" s="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c r="D18" i="102" a="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F33" i="69" a="1"/>
  <c r="F33" i="69" s="1"/>
  <c r="D30" i="69" a="1"/>
  <c r="D30" i="69" s="1"/>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E26" i="69"/>
  <c r="E25" i="69"/>
  <c r="E24" i="69"/>
  <c r="E23" i="69"/>
  <c r="E22" i="69"/>
  <c r="E21" i="69"/>
  <c r="E20" i="69"/>
  <c r="E19" i="69"/>
  <c r="D26" i="70"/>
  <c r="D20" i="70"/>
  <c r="D14" i="70"/>
  <c r="G13" i="69" a="1"/>
  <c r="G13" i="69" s="1"/>
  <c r="D13" i="69" a="1"/>
  <c r="D13" i="69" s="1"/>
  <c r="E11" i="69" a="1"/>
  <c r="E11" i="69" s="1"/>
  <c r="H30" i="69" s="1"/>
  <c r="E10" i="69" a="1"/>
  <c r="E10" i="69" s="1"/>
  <c r="D6" i="69" a="1"/>
  <c r="D6" i="69" s="1"/>
  <c r="D5" i="69" a="1"/>
  <c r="D5" i="69" s="1"/>
  <c r="E7" i="69" a="1"/>
  <c r="H53" i="102" l="1"/>
  <c r="H52" i="102"/>
  <c r="H50" i="102"/>
  <c r="H54" i="102"/>
  <c r="H19" i="69"/>
  <c r="F28" i="69"/>
  <c r="H51" i="102"/>
  <c r="H49" i="102"/>
  <c r="H48" i="102"/>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A17" i="69"/>
  <c r="A16" i="69"/>
  <c r="A8" i="69"/>
  <c r="A5" i="69"/>
  <c r="A4" i="69"/>
  <c r="A3" i="69"/>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A39" i="74"/>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<sst xmlns="http://schemas.openxmlformats.org/spreadsheetml/2006/main" count="188" uniqueCount="146">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</sst>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7_ManureManagement_OtherLivestock_WIP_v01.xlsx" TargetMode="External"/><Relationship Id="rId1" Type="http://schemas.openxmlformats.org/officeDocument/2006/relationships/externalLinkPath" Target="4_7_ManureManagement_OtherLivestock_WIP_v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Feedlot"/>
      <sheetName val="4.6.1.1-2 Manure Methane"/>
      <sheetName val="Constants - Other Livestock"/>
      <sheetName val="Constants - Common"/>
      <sheetName val="Constants - Livestock"/>
      <sheetName val="Acknowledgements"/>
      <sheetName val="4_7_ManureManagement_OtherLives"/>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4"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3" dataCellStyle="Content normal">
  <autoFilter ref="D24:E32" xr:uid="{75649617-63F2-4A80-A5EB-06A3280A3C57}">
    <filterColumn colId="0" hiddenButton="1"/>
    <filterColumn colId="1" hiddenButton="1"/>
  </autoFilter>
  <tableColumns count="2">
    <tableColumn id="1" xr3:uid="{3E3B834E-0F7A-47D3-954A-A57B2234370A}" name="Other livestock type"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1"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0" dataCellStyle="Content normal">
  <autoFilter ref="D39:E47" xr:uid="{522C94C8-449D-4574-AF4D-39C274C53A6F}">
    <filterColumn colId="0" hiddenButton="1"/>
    <filterColumn colId="1" hiddenButton="1"/>
  </autoFilter>
  <tableColumns count="2">
    <tableColumn id="1" xr3:uid="{92CD5559-01AC-4144-B6DC-7F856864840C}" name="Other livestock type"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8"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7"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3"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9"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E089AD-2CC8-4A13-B28C-D1C37F1413F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C8F314E-448B-4DFB-9FB6-24EB1C068822}" name="State/Territory">
      <calculatedColumnFormula array="1">Common_InputFunctions.Utility_DisplayArrayInTable(Common_SourceData.Common_SourceData_AustralianStatesTerritories_Data(),Table_AustralianStates[[#Headers],[State/Territory]],0)</calculatedColumnFormula>
    </tableColumn>
    <tableColumn id="2" xr3:uid="{0CDE5FB6-156E-4C8F-BE5E-AE847E4623E5}" name="Common Name">
      <calculatedColumnFormula array="1">Common_InputFunctions.Utility_DisplayArrayInTable(Common_SourceData.Common_SourceData_AustralianStatesTerritories_Data(),Table_AustralianStates[[#Headers],[State/Territory]],0)</calculatedColumnFormula>
    </tableColumn>
    <tableColumn id="3" xr3:uid="{48462493-A4EA-444E-992B-54CD236800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77630A7-A8D1-4F5F-B575-BC9FABFD34E8}" name="Table_WASA4Areas" displayName="Table_WASA4Areas" ref="D20:D30" totalsRowShown="0">
  <autoFilter ref="D20:D30" xr:uid="{5FA81339-C6C8-4D36-BEEA-6C4AEDD9E676}">
    <filterColumn colId="0" hiddenButton="1"/>
  </autoFilter>
  <tableColumns count="1">
    <tableColumn id="1" xr3:uid="{D18F34C1-11FB-4248-811F-713D855F694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11C6061-9DBF-4C48-A0C9-EF5912EE11FB}" name="Table_GWPData" displayName="Table_GWPData" ref="D36:E43" totalsRowShown="0">
  <autoFilter ref="D36:E43" xr:uid="{B8E87A66-3E41-4AD3-925D-01EE21B43D7A}">
    <filterColumn colId="0" hiddenButton="1"/>
    <filterColumn colId="1" hiddenButton="1"/>
  </autoFilter>
  <tableColumns count="2">
    <tableColumn id="1" xr3:uid="{D1260DFE-7F08-4477-ADE7-CA810E99F721}" name="Gas">
      <calculatedColumnFormula array="1">Common_InputFunctions.Utility_DisplayArrayInTable(Common_SourceData.Common_SourceData_GWP_Data(), Table_GWPData[[#Headers],[Gas]], 0)</calculatedColumnFormula>
    </tableColumn>
    <tableColumn id="2" xr3:uid="{E52C9195-EBCB-4DA9-9E83-AFF26E2BF1B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71AF780-EF58-40FF-A830-4A54D473212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2AB5E5-72DD-48EA-A441-7826E274BEFA}" name="Gas">
      <calculatedColumnFormula array="1">Common_InputFunctions.Utility_DisplayArrayInTable(Common_SourceData.Common_SourceData_ConvertGasElementalToMolecular_Data(),Table_GasToMolecularConversionFactor[[#Headers],[Gas]], 0)</calculatedColumnFormula>
    </tableColumn>
    <tableColumn id="5" xr3:uid="{C069A4B0-ECBC-487A-9D3E-D40BCB3AFE2D}" name="Conversion factor">
      <calculatedColumnFormula array="1">Common_InputFunctions.Utility_DisplayArrayInTable(Common_SourceData.Common_SourceData_ConvertGasElementalToMolecular_Data(),Table_GasToMolecularConversionFactor[[#Headers],[Gas]], 0)</calculatedColumnFormula>
    </tableColumn>
    <tableColumn id="2" xr3:uid="{6F9E09B3-0380-428A-9CB8-C5355F18AB2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99DCAD2-B15F-455D-A39D-C0CB7872FAC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79D1385-10B4-4C3D-812C-B3ADC8B6446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571E06B-2FB6-4DCB-9306-6E8B7E50DF1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1368F08-D067-4EEC-B0CC-D2E1F6D9327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73305BF-D908-4C35-A934-C13BC9D3D8F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DF05DA85-723A-420A-AA03-0A716BECCE2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B8F9D2B-3A8F-44F1-9417-280165AE86A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1B1CBF8-C757-4A17-AD4E-3FED04A08D9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9F5D51C1-ECC4-49B6-A4BE-AE3B3C663E6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874F3D25-0748-4359-BEF3-58E34D4DFAA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9652299-3198-47E6-B342-A54F0A0B367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0139A89-1186-4484-B833-03C424C4D2C4}"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D7A797C-3EEA-481F-9533-984ECCA62AC3}"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9123C0E-9E60-43AB-8679-2AC0908200D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4AF6D35-FBEF-4E38-B28D-0C23F8EDC5F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475991F7-F3B5-4EEA-966A-7AA8BC301814}"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767BBD4C-C554-4460-AAD8-ECADA490C9C0}"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5D9D85B-649F-4683-B866-BF022CDF3E1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69B2D30-E5CD-48F6-AF2A-DAC6295F1FF1}"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DDF37ED-9327-4273-B740-938A121443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F7317C-9F68-4F62-B737-D7ABF2DFF3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29B1B14-5629-4B1C-9602-463A80BF745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90E8CDE-696F-471D-B4F7-D0F3BE6AD6E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767FA53-E454-4115-A4B3-DED062EED278}" name="Temperature Zone">
      <calculatedColumnFormula array="1">Common_InputFunctions.Utility_DisplayArrayInTable(Common_SourceData.Common_SourceData_TemperatureZones_Data(),Table_SourceData_TemperatureZones[[#Headers],[Temperature Zone]],0)</calculatedColumnFormula>
    </tableColumn>
    <tableColumn id="2" xr3:uid="{28532D1E-227F-4FEB-818C-7F2BC92126D0}" name="MAT">
      <calculatedColumnFormula array="1">Common_InputFunctions.Utility_DisplayArrayInTable(Common_SourceData.Common_SourceData_TemperatureZones_Data(),Table_SourceData_TemperatureZones[[#Headers],[Temperature Zone]],0)</calculatedColumnFormula>
    </tableColumn>
    <tableColumn id="3" xr3:uid="{45E163CE-3902-4B82-B9CC-59620B4E4ED4}" name="Min MAT">
      <calculatedColumnFormula array="1">Common_InputFunctions.Utility_DisplayArrayInTable(Common_SourceData.Common_SourceData_TemperatureZones_Data(),Table_SourceData_TemperatureZones[[#Headers],[Temperature Zone]],0)</calculatedColumnFormula>
    </tableColumn>
    <tableColumn id="4" xr3:uid="{96F2EA78-ED18-493D-8A43-55427191118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8354839-706C-4F2B-BF62-2EF4D3DA4D6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87CE355-CB72-4F48-96ED-6DC9E1A54DA9}" name="Rainfall Zone">
      <calculatedColumnFormula array="1">Common_InputFunctions.Utility_DisplayArrayInTable(Common_SourceData.Common_SourceData_RainfallZones_Data(),Table_SourceData_RainfallZones[[#Headers],[Rainfall Zone]],0)</calculatedColumnFormula>
    </tableColumn>
    <tableColumn id="2" xr3:uid="{CF57602B-CA70-4AA7-94E6-9CE1D9C8C294}" name="Annual rainfall">
      <calculatedColumnFormula array="1">Common_InputFunctions.Utility_DisplayArrayInTable(Common_SourceData.Common_SourceData_RainfallZones_Data(),Table_SourceData_RainfallZones[[#Headers],[Rainfall Zone]],0)</calculatedColumnFormula>
    </tableColumn>
    <tableColumn id="3" xr3:uid="{6165D635-272A-4C24-B337-38B8A33057DA}" name="Min rainfall">
      <calculatedColumnFormula array="1">Common_InputFunctions.Utility_DisplayArrayInTable(Common_SourceData.Common_SourceData_RainfallZones_Data(),Table_SourceData_RainfallZones[[#Headers],[Rainfall Zone]],0)</calculatedColumnFormula>
    </tableColumn>
    <tableColumn id="4" xr3:uid="{02DC014A-F442-41A1-82FF-EFC4545791D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8538017-FC63-4011-82EC-704266C8D2C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FAA5237-AAFB-4DF9-9DA3-DCD93FAB1DC5}" name="Leaching Zone">
      <calculatedColumnFormula array="1">Common_InputFunctions.Utility_DisplayArrayInTable(Common_SourceData.Common_SourceData_LeachingZones_Data(), Table_SourceData_LeachingZones[[#Headers],[Leaching Zone]], 0)</calculatedColumnFormula>
    </tableColumn>
    <tableColumn id="2" xr3:uid="{A09764E1-6E11-4B1C-B1F1-FEBC49B8E8D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853BA63-FF03-4462-8DF7-1B181A1E988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2863E7D-F37C-4BA5-9E68-29F1E38F6FDA}" name="Data source">
      <calculatedColumnFormula array="1">Common_InputFunctions.Utility_DisplayArrayInTable(Common_SourceData.Common_SourceData_DataScores_Scope3_Data(), Table_SourceData_DataScores_Scope3[[#Headers],[Data source]], 0)</calculatedColumnFormula>
    </tableColumn>
    <tableColumn id="2" xr3:uid="{4991511C-C30A-414A-A986-F9F2B5CC50F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3AEE5E4-934C-4F38-B902-F08C65D152AC}" name="Table_SourceData_FracWET" displayName="Table_SourceData_FracWET" ref="D134:E136" totalsRowShown="0">
  <autoFilter ref="D134:E136" xr:uid="{308E99BE-FE1F-47A4-B2CA-97217277C4E9}">
    <filterColumn colId="0" hiddenButton="1"/>
    <filterColumn colId="1" hiddenButton="1"/>
  </autoFilter>
  <tableColumns count="2">
    <tableColumn id="1" xr3:uid="{C06588B3-DEB9-485D-8845-44DC96AA1C03}" name="Is in leaching zone">
      <calculatedColumnFormula array="1">Common_InputFunctions.Utility_DisplayArrayInTable(Common_SourceData.Common_SourceData_FracWET_Data(),Table_SourceData_FracWET[[#Headers],[Is in leaching zone]],0)</calculatedColumnFormula>
    </tableColumn>
    <tableColumn id="2" xr3:uid="{0CB971CE-8314-492D-B32B-05442AFAE65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C204499-D622-48C9-BC09-4C59BFEF7A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9A6402-9F17-45D6-81C9-B41AC3C7954F}" name="Production system j">
      <calculatedColumnFormula array="1">Common_InputFunctions.Utility_DisplayArrayInTable(Common_SourceData.Common_SourceData_EFN2O_Data(), Table_SourceData_Common_EFN2O[[#Headers],[Production system j]], 0)</calculatedColumnFormula>
    </tableColumn>
    <tableColumn id="2" xr3:uid="{7CE8B532-E797-4359-A943-59732EBA406D}" name="EFN2O">
      <calculatedColumnFormula array="1">Common_InputFunctions.Utility_DisplayArrayInTable(Common_SourceData.Common_SourceData_EFN2O_Data(), Table_SourceData_Common_EFN2O[[#Headers],[Production system j]], 0)</calculatedColumnFormula>
    </tableColumn>
    <tableColumn id="3" xr3:uid="{A318BF51-4D2E-48DE-BE88-1E4A8ED19B82}" name="Production system only">
      <calculatedColumnFormula array="1">Common_InputFunctions.Utility_DisplayArrayInTable(Common_SourceData.Common_SourceData_EFN2O_Data(), Table_SourceData_Common_EFN2O[[#Headers],[Production system j]], 0)</calculatedColumnFormula>
    </tableColumn>
    <tableColumn id="4" xr3:uid="{2C6FADCF-C3FB-4DD1-9001-F40AFA0E89CC}" name="Irrigation method">
      <calculatedColumnFormula array="1">Common_InputFunctions.Utility_DisplayArrayInTable(Common_SourceData.Common_SourceData_EFN2O_Data(), Table_SourceData_Common_EFN2O[[#Headers],[Production system j]], 0)</calculatedColumnFormula>
    </tableColumn>
    <tableColumn id="5" xr3:uid="{8487FBC9-6B3C-4956-B063-649C33304B0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1ECE1AA-22EA-44EA-9C2E-4882AFCB4FA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69E76C7-3ABC-4D33-A248-F4FD8C78DC75}" name="Irrigation type i">
      <calculatedColumnFormula array="1">Common_InputFunctions.Utility_DisplayArrayInTable(Common_SourceData.Common_SourceData_FracWETIrrigation_Data(), Table_SourceData_FracWETIrrigation[[#Headers],[Irrigation type i]], 0)</calculatedColumnFormula>
    </tableColumn>
    <tableColumn id="2" xr3:uid="{30062886-D624-44B9-A4D6-8172FDB32AC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C67BE23-86D2-4A05-B2BC-EE396C2C0C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236BDD8-AEEC-4D8A-AEFB-ED9356DF3DD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888293-D606-47A6-8932-E2CD434BD8A5}"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FCD272F-7568-43A4-AF7A-23066986692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82A87F0-D13A-4480-8492-F3D2503C41E2}" name="Month">
      <calculatedColumnFormula array="1">Common_InputFunctions.Utility_DisplayArrayInTable(Common_SourceData.Common_SourceData_MonthsToSeasons_Data(), Table_SourceData_Common_MonthToSeason[[#Headers],[Month]], 0)</calculatedColumnFormula>
    </tableColumn>
    <tableColumn id="2" xr3:uid="{3A38DFCE-8BC1-411E-9649-BA3B242C5C6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9D87315-F27A-46A3-A327-DB14F89DB92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4BFEBA4-3487-4BE5-88B9-85DB7D433F7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E7A79F3-7EC2-470C-8060-08333EAEE5D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41F6A9-5353-48F8-BBE2-FDDAFFCEC3DF}"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6BC84F5-D586-4491-8920-08D8E8254F8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8357028-DF7D-43C1-8693-BE3CCAEDC19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6A64015-6571-40C8-8B97-9ACD24D0FDFF}"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8A0DB7-DA22-4D11-8D6E-5B03E95383E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E9FF3D7-C170-4D01-8CAA-D667E376235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E8195E9-7EB7-4255-B88A-1A7D661007A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8290DA2-F81B-417D-8DFF-811E04AE5CD6}"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556C44B-D53C-43B5-AFA8-775CF9A97C5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D7005A7-1332-4775-A075-04932CE4CB0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D24F3C7-0171-4241-9095-F217ACFB21FD}"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9A1E1BC-6DAC-4A86-933B-0394729DEF0D}"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37545E7-3A7F-4E1D-9175-AF768DF5CDB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1BDA555-814C-4F57-A554-B9E8D1197D3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8D91AC-F0D7-45AF-888F-8CCD5245EE6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D1030A0-8423-4F54-A208-B8E2F9F2CCA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D7849B7-3122-4868-94E6-53DB0ADF4E31}"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0</v>
      </c>
      <c r="I7" s="85">
        <f>H7</f>
        <v>0</v>
      </c>
      <c r="J7" s="50" t="s">
        <v>84</v>
      </c>
      <c r="K7" s="22"/>
      <c r="L7" s="22"/>
    </row>
    <row r="8" spans="1:12" ht="20.100000000000001" customHeight="1" x14ac:dyDescent="0.3">
      <c r="A8" s="17" t="str">
        <f>HYPERLINK("#'Input - Site'!A1", "Site")</f>
        <v>Site</v>
      </c>
      <c r="C8" s="22"/>
      <c r="D8" s="29" t="s">
        <v>73</v>
      </c>
      <c r="E8" s="23"/>
      <c r="F8" s="29"/>
      <c r="G8" s="29"/>
      <c r="H8" s="86">
        <f>SUM(H7:H7)</f>
        <v>0</v>
      </c>
      <c r="I8" s="86">
        <f>SUM(I7:I7)</f>
        <v>0</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E32" sqref="E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SUM('Input - Other Livestock'!E8:H8)</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SUM('Input - Other Livestock'!E14:J14)</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SUM('Input - Other Livestock'!E20:H20)</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'Input - Other Livestock'!E26</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'Input - Other Livestock'!F26</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'Input - Other Livestock'!G26</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'Input - Other Livestock'!H26</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'Input - Other Livestock'!I26</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Common_InputFunctions.Utility_LookupValueInTableNumber("CH4",[1]!Table_GWPData1412[Gas],[1]!Table_GWPData1412[CO2-e factor])</f>
        <v>0</v>
      </c>
    </row>
    <row r="32" spans="1:8" ht="20.100000000000001" customHeight="1" x14ac:dyDescent="0.25"/>
    <row r="33" spans="4:6" ht="20.100000000000001" customHeight="1" x14ac:dyDescent="0.25">
      <c r="D33" s="43" t="s">
        <v>142</v>
      </c>
      <c r="E33" s="43" cm="1">
        <f t="array" ref="E33">Common_Equations.Common_ConvertCH4ToCO2e(G30,G31)</f>
        <v>0</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8245-077D-4620-A68F-E98BAE61B1C4}">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12</v>
      </c>
      <c r="E6" s="35" t="s">
        <v>13</v>
      </c>
      <c r="F6" s="35" t="s">
        <v>14</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50" t="str" cm="1">
        <f t="array" ref="D99:D102">Common_SourceData.Common_SourceData_ClimateZones_Appendices()</f>
        <v>Note:</v>
      </c>
    </row>
    <row r="100" spans="4:20" ht="20.100000000000001" customHeight="1" x14ac:dyDescent="0.25">
      <c r="D100" s="50" t="str">
        <v>MAT = mean annual temperature</v>
      </c>
    </row>
    <row r="101" spans="4:20" ht="20.100000000000001" customHeight="1" x14ac:dyDescent="0.25">
      <c r="D101" s="50" t="str">
        <v>MAP = mean annual precipitation</v>
      </c>
    </row>
    <row r="102" spans="4:20" ht="20.100000000000001" customHeight="1" x14ac:dyDescent="0.25">
      <c r="D102" s="50" t="str">
        <v>PET = potential evapotranspiration</v>
      </c>
    </row>
    <row r="103" spans="4:20" ht="20.100000000000001" customHeight="1" x14ac:dyDescent="0.25">
      <c r="D103" s="50"/>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5" t="s">
        <v>144</v>
      </c>
      <c r="E257" s="35" t="s">
        <v>145</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RQBuAHQAZQByAGkAYwBNAGUAdABoAGEAbgBlAF8ATwB0AGgAZQByAEwAaQB2AGUAcwB0AG8AYwBrAF8ARQBxAHUAYQB0AGkAbwBuAHMAIgAsACIAdABlAHgAdAAiADoAIgAvACoAXABuAD0APQA9AD0APQA9AD0APQA9AD0APQA9AD0APQA9AD0APQA9AD0APQA9AD0APQA9AD0APQA9AD0APQA9AD0APQA9AD0APQA9AD0APQA9AD0APQA9AD0APQA9AD0APQA9AD0APQA9AD0APQA9AD0APQA9AD0APQA9AD0APQA9AD0APQA9AD0APQA9AD0APQA9AD0APQA9AD0AXABuADMALgA2ADoAIABFAG4AdABlAHIAaQBjACAATQBlAHQAaABhAG4AZQAgAC0AIABPAHQAaABlAHIAIABMAGkAdgBlAHMAdABvAGMAawBcAG4APQA9AD0APQA9AD0APQA9AD0APQA9AD0APQA9AD0APQA9AD0APQA9AD0APQA9AD0APQA9AD0APQA9AD0APQA9AD0APQA9AD0APQA9AD0APQA9AD0APQA9AD0APQA9AD0APQA9AD0APQA9AD0APQA9AD0APQA9AD0APQA9AD0APQA9AD0APQA9AD0APQA9AD0APQA9AD0APQBcAG4AMwAuADYALgAxAC4AMQAgAE0AZQB0AGgAbwBkACAAMQAgAC0AIABFAG4AdABlAHIAaQBj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gBfADEAXwAxAF8AXwAxAF8AVABvAHQAYQBsAEEAbgBuAHUAYQBsAE0AZQB0AGgAYQBuAGUARgByAG8AbQBFAG4AdABlAHIAaQBjAEYAZQByAG0AZQBuAHQAYQB0AGkAbwBuAE8AdABoAGUAcgBMAGkAdgBlAHMAdABvAGMAawBcAG4AVABvAHQAYQBsACAAYQBuAG4AdQBhAGwAIABtAGUAdABoAGEAbgBlACAAcAByAG8AZAB1AGMAdABpAG8AbgAgAGYAcgBvAG0AIABlAG4AdABlAHIAaQBjACAAZgBlAHIAbQBlAG4AdABhAHQAaQBvAG4AIABpAG4AIABvAHQAaABlAHIAIABsAGkAdgBlAHMAdABvAGMAawBcAG4ARQBfAGUAbgB0AGUAcgBpAGMAXABuAHQAIABDAEgANABcAG4ARQBfAHsAZQBuAHQAZQByAGkAYwB9AD0AXABcAHMAdQBtAF8AagAoAE4AXwBqAFwAXAB0AGkAbQBlAHMAIABNAF8AagApAFwAXAB0AGkAbQBlAHMAIAAxADAAXgB7AC0AMwB9AFwAbgBOAF8AagAgAD0AIABuAHUAbQBiAGUAcgAgAG8AZgAgAGwAaQB2AGUAcwB0AG8AYwBrACAAbwBmACAAZQBhAGMAaAAgAGwAaQB2AGUAcwB0AG8AYwBrACAAdAB5AHAAZQAgAGoAIAAoAGgAZQBhAGQAKQBcAG4ATQBfAGoAIAA9ACAAZQBuAHQAZQByAGkAYwAgAGYAZQByAG0AZQBuAHQAYQB0AGkAbwBuACAAZQBtAGkAcwBzAGkAbwBuACAAZgBhAGMAdABvAHIAIAAoAGsAZwAgAEMASAA0AC8AaABlAGEAZAAvAHkAZQBhAHIAKQBcAG4ALQAtAC0ALQAtAC0ALQAtAC0ALQAtAC0ALQAtAC0ALQAtAC0ALQAtAC0ALQAtAC0ALQAtAC0ALQAtAC0ALQAtAC0ALQAtAC0ALQAtAFwAbgAqAC8AXABuAFwAbgBWAEUARQBSAEcAXwAzAF8ANgBfADEAXwAxAF8AXwAxAF8AVABvAHQAYQBsAEEAbgBuAHUAYQBsAE0AZQB0AGgAYQBuAGUARgByAG8AbQBFAG4AdABlAHIAaQBjAEYAZQByAG0AZQBuAHQAYQB0AGkAbwBuAE8AdABoAGUAcgBMAGkAdgBlAHMAdABvAGMAawBcAG4AIAAgAD0ATABBAE0AQgBEAEEAKABcAG4AIAAgACAAIABOAF8AagAsACAATQBfAGoALABcAG4AIAAgACAAIABTAFUATQAoAE4AXwBqACAAKgAgAE0AXwBqACkAIAAqACAAMQAwACAAXgAgAC0AMwBcAG4AIAAgACkAOwBcAG4AXABuAFYARQBFAFIARwBfADMAXwA2AF8AMQBfADEAXwBfADEAXwBUAG8AdABhAGwAQQBuAG4AdQBhAGwATQBlAHQAaABhAG4AZQBGAHIAbwBtAEUAbgB0AGUAcgBpAGMARgBlAHIAbQBlAG4AdABhAHQAaQBvAG4ATwB0AGgAZQByAEwAaQB2AGUAcwB0AG8AYwBrAF8AVABpAHQAbABlAFwAbgAgACAAPQBMAEEATQBCAEQAQQAoAFwAIgBUAG8AdABhAGwAIABhAG4AbgB1AGEAbAAgAG0AZQB0AGgAYQBuAGUAIABwAHIAbwBkAHUAYwB0AGkAbwBuACAAZgByAG8AbQAgAGUAbgB0AGUAcgBpAGMAIABmAGUAcgBtAGUAbgB0AGEAdABpAG8AbgAgAGkAbgAgAG8AdABoAGUAcgAgAGwAaQB2AGUAcwB0AG8AYwBrAFwAIgApADsAXABuAFwAbgBWAEUARQBSAEcAXwAzAF8ANgBfADEAXwAxAF8AXwAxAF8AVABvAHQAYQBsAEEAbgBuAHUAYQBsAE0AZQB0AGgAYQBuAGUARgByAG8AbQBFAG4AdABlAHIAaQBjAEYAZQByAG0AZQBuAHQAYQB0AGkAbwBuAE8AdABoAGUAcgBMAGkAdgBlAHMAdABvAGMAawBfAFYAYQByAGkAYQBiAGwAZQBcAG4AIAAgAD0ATABBAE0AQgBEAEEAKABcACIARQBfAGUAbgB0AGUAcgBpAGMAXAAiACkAOwBcAG4AXABuAFYARQBFAFIARwBfADMAXwA2AF8AMQBfADEAXwBfADEAXwBUAG8AdABhAGwAQQBuAG4AdQBhAGwATQBlAHQAaABhAG4AZQBGAHIAbwBtAEUAbgB0AGUAcgBpAGMARgBlAHIAbQBlAG4AdABhAHQAaQBvAG4ATwB0AGgAZQByAEwAaQB2AGUAcwB0AG8AYwBrAF8AVQBuAGkAdABcAG4AIAAgAD0ATABBAE0AQgBEAEEAKABcACIAdAAgAEMASAA0AFwAIgApADsAXABuAFwAbgBWAEUARQBSAEcAXwAzAF8ANgBfADEAXwAxAF8AXwAxAF8AVABvAHQAYQBsAEEAbgBuAHUAYQBsAE0AZQB0AGgAYQBuAGUARgByAG8AbQBFAG4AdABlAHIAaQBjAEYAZQByAG0AZQBuAHQAYQB0AGkAbwBuAE8AdABoAGUAcgBMAGkAdgBlAHMAdABvAGMAawBfAFMAbwB1AHIAYwBlAFwAbgAgACAAPQBMAEEATQBCAEQAQQAoAFwAIgBWAEUARQBSAEcAIAAyADAAMgA2ADoAIAAzAC4ANgAuADEALgAxACwAIABFAHEAdQBhAHQAaQBvAG4AIAAoADEAKQBcACIAKQA7AFwAbgBcAG4AVgBFAEUAUgBHAF8AMwBfADYAXwAxAF8AMQBfAF8AMQBfAFQAbwB0AGEAbABBAG4AbgB1AGEAbABNAGUAdABoAGEAbgBlAEYAcgBvAG0ARQBuAHQAZQByAGkAYwBGAGUAcgBtAGUAbgB0AGEAdABpAG8AbgBPAHQAaABlAHIATABpAHYAZQBzAHQAbwBjAGsAXwBOAEkAUgBSAGUAZgBlAHIAZQBuAGMAZQBcAG4AIAAgAD0ATABBAE0AQgBEAEEAKABcACIAXAAiACkAOwBcAG4AXABuAFYARQBFAFIARwBfADMAXwA2AF8AMQBfADEAXwBfADEAXwBUAG8AdABhAGwAQQBuAG4AdQBhAGwATQBlAHQAaABhAG4AZQBGAHIAbwBtAEUAbgB0AGUAcgBpAGMARgBlAHIAbQBlAG4AdABhAHQAaQBvAG4ATwB0AGgAZQByAEwAaQB2AGUAcwB0AG8AYwBrAF8ATABhAHQAZQB4AEUAcQB1AGEAdABpAG8AbgBcAG4AIAAgAD0ATABBAE0AQgBEAEEAKABcACIARQBfAHsAZQBuAHQAZQByAGkAYwB9AD0AXABcAHMAdQBtAF8AagAoAE4AXwBqAFwAXAB0AGkAbQBlAHMAIABNAF8AagApAFwAXAB0AGkAbQBlAHMAIAAxADAAXgB7AC0AMwB9AFwAIgApADsAXABuAFwAbgBWAEUARQBSAEcAXwAzAF8ANgBfADEAXwAxAF8AXwAxAF8AVABvAHQAYQBsAEEAbgBuAHUAYQBsAE0AZQB0AGgAYQBuAGUARgByAG8AbQBFAG4AdABlAHIAaQBjAEYAZQByAG0AZQBuAHQAYQB0AGkAbwBuAE8AdABoAGUAcgBMAGkAdgBlAHMAdABvAGMAaw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0AXwBqAFwAIgAsACAAXAAiAGUAbgB0AGUAcgBpAGMAIABmAGUAcgBtAGUAbgB0AGEAdABpAG8AbgAgAGUAbQBpAHMAcwBpAG8AbgAgAGYAYQBjAHQAbwByAFwAIgAsACAAXAAiAGsAZwAgAEMASAA0AC8AaABlAGEAZAAvAHkAZQBhAHI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TwB0AGgAZQByAEwAaQB2AGUAcwB0AG8AYwBrAC4AUwBvAHUAcgBjAGUARABhAHQAYQBfAE8AdABoAGUAcgBMAGkAdgBlAHMAdABvAGMAawBfAEUAbgB0AGUAcgBpAGMARgBlAHIAbQBlAG4AdABhAHQAaQBvAG4ARQBtAGkAcwBzAGkAbwBuAEYAYQBjAHQAbwByAF8AVABpAHQAbABlACIALAAiAFMAbwB1AHIAYwBlAEQAYQB0AGEAXwBPAHQAaABlAHIATABpAHYAZQBzAHQAbwBjAGsALgBTAG8AdQByAGMAZQBEAGEAdABhAF8ATwB0AGgAZQByAEwAaQB2AGUAcwB0AG8AYwBrAF8ARQBuAHQAZQByAGkAYwBGAGUAcgBtAGUAbgB0AGEAdABpAG8AbgBFAG0AaQBzAHMAaQBvAG4ARgBhAGMAdABvAHIAXwBWAGEAcgBpAGEAYgBsAGUAIgAsACIAUwBvAHUAcgBjAGUARABhAHQAYQBfAE8AdABoAGUAcgBMAGkAdgBlAHMAdABvAGMAawAuAFMAbwB1AHIAYwBlAEQAYQB0AGEAXwBPAHQAaABlAHIATABpAHYAZQBzAHQAbwBjAGsAXwBFAG4AdABlAHIAaQBjAEYAZQByAG0AZQBuAHQAYQB0AGkAbwBuAEUAbQBpAHMAcwBpAG8AbgBGAGEAYwB0AG8AcgBfAFUAbgBpAHQAIgAsACIAUwBvAHUAcgBjAGUARABhAHQAYQBfAE8AdABoAGUAcgBMAGkAdgBlAHMAdABvAGMAawAuAFMAbwB1AHIAYwBlAEQAYQB0AGEAXwBPAHQAaABlAHIATABpAHYAZQBzAHQAbwBjAGsAXwBFAG4AdABlAHIAaQBjAEYAZQByAG0AZQBuAHQAYQB0AGkAbwBuAEUAbQBpAHMAcwBpAG8AbgBGAGEAYwB0AG8AcgBfAFMAbwB1AHIAYwBlACIALAAiAFMAbwB1AHIAYwBlAEQAYQB0AGEAXwBPAHQAaABlAHIATABpAHYAZQBzAHQAbwBjAGsALgBTAG8AdQByAGMAZQBEAGEAdABhAF8ATwB0AGgAZQByAEwAaQB2AGUAcwB0AG8AYwBrAF8ARQBuAHQAZQByAGkAYwBGAGUAcgBtAGUAbgB0AGEAdABpAG8AbgBFAG0AaQBzAHMAaQBvAG4ARgBhAGMAdABvAHIAXwBWAGEAcgBpAGEAdABpAG8AbgAiACwAIgBTAG8AdQByAGMAZQBEAGEAdABhAF8ATwB0AGgAZQByAEwAaQB2AGUAcwB0AG8AYwBrAC4AUwBvAHUAcgBjAGUARABhAHQAYQBfAE8AdABoAGUAcgBMAGkAdgBlAHMAdABvAGMAawBfAEUAbgB0AGUAcgBpAGMARgBlAHIAbQBlAG4AdABhAHQAaQBvAG4ARQBtAGkAcwBzAGkAbwBuAEYAYQBjAHQAbwByAF8ARABhAHQAYQAiACwAIgBTAG8AdQByAGMAZQBEAGEAdABhAF8ATwB0AGgAZQByAEwAaQB2AGUAcwB0AG8AYwBrAC4AUwBvAHUAcgBjAGUARABhAHQAYQBfAE8AdABoAGUAcgBMAGkAdgBlAHMAdABvAGMAawBfAFYAbwBsAGEAdABpAGwAZQBTAG8AbABpAGQAcwBQAHIAbwBkAHUAYwBlAGQAXwBUAGkAdABsAGUAIgAsACIAUwBvAHUAcgBjAGUARABhAHQAYQBfAE8AdABoAGUAcgBMAGkAdgBlAHMAdABvAGMAawAuAFMAbwB1AHIAYwBlAEQAYQB0AGEAXwBPAHQAaABlAHIATABpAHYAZQBzAHQAbwBjAGsAXwBWAG8AbABhAHQAaQBsAGUAUwBvAGwAaQBkAHMAUAByAG8AZAB1AGMAZQBkAF8AVgBhAHIAaQBhAGIAbABlACIALAAiAFMAbwB1AHIAYwBlAEQAYQB0AGEAXwBPAHQAaABlAHIATABpAHYAZQBzAHQAbwBjAGsALgBTAG8AdQByAGMAZQBEAGEAdABhAF8ATwB0AGgAZQByAEwAaQB2AGUAcwB0AG8AYwBrAF8AVgBvAGwAYQB0AGkAbABlAFMAbwBsAGkAZABzAFAAcgBvAGQAdQBjAGUAZABfAFUAbgBpAHQAIgAsACIAUwBvAHUAcgBjAGUARABhAHQAYQBfAE8AdABoAGUAcgBMAGkAdgBlAHMAdABvAGMAawAuAFMAbwB1AHIAYwBlAEQAYQB0AGEAXwBPAHQAaABlAHIATABpAHYAZQBzAHQAbwBjAGsAXwBWAG8AbABhAHQAaQBsAGUAUwBvAGwAaQBkAHMAUAByAG8AZAB1AGMAZQBkAF8AUwBvAHUAcgBjAGUAIgAsACIAUwBvAHUAcgBjAGUARABhAHQAYQBfAE8AdABoAGUAcgBMAGkAdgBlAHMAdABvAGMAawAuAFMAbwB1AHIAYwBlAEQAYQB0AGEAXwBPAHQAaABlAHIATABpAHYAZQBzAHQAbwBjAGsAXwBWAG8AbABhAHQAaQBsAGUAUwBvAGwAaQBkAHMAUAByAG8AZAB1AGMAZQBkAF8AVgBhAHIAaQBhAHQAaQBvAG4AIgAsACIAUwBvAHUAcgBjAGUARABhAHQAYQBfAE8AdABoAGUAcgBMAGkAdgBlAHMAdABvAGMAawAuAFMAbwB1AHIAYwBlAEQAYQB0AGEAXwBPAHQAaABlAHIATABpAHYAZQBzAHQAbwBjAGsAXwBWAG8AbABhAHQAaQBsAGUAUwBvAGwAaQBkAHMAUAByAG8AZAB1AGMAZQBkAF8ARABhAHQAYQAiACwAIgBTAG8AdQByAGMAZQBEAGEAdABhAF8ATwB0AGgAZQByAEwAaQB2AGUAcwB0AG8AYwBrAC4AUwBvAHUAcgBjAGUARABhAHQAYQBfAE8AdABoAGUAcgBMAGkAdgBlAHMAdABvAGMAawBfAE4AaQB0AHIAbwBnAGUAbgBFAHgAYwByAGUAdABlAGQAXwBUAGkAdABsAGUAIgAsACIAUwBvAHUAcgBjAGUARABhAHQAYQBfAE8AdABoAGUAcgBMAGkAdgBlAHMAdABvAGMAawAuAFMAbwB1AHIAYwBlAEQAYQB0AGEAXwBPAHQAaABlAHIATABpAHYAZQBzAHQAbwBjAGsAXwBOAGkAdAByAG8AZwBlAG4ARQB4AGMAcgBlAHQAZQBkAF8AVgBhAHIAaQBhAGIAbABlACIALAAiAFMAbwB1AHIAYwBlAEQAYQB0AGEAXwBPAHQAaABlAHIATABpAHYAZQBzAHQAbwBjAGsALgBTAG8AdQByAGMAZQBEAGEAdABhAF8ATwB0AGgAZQByAEwAaQB2AGUAcwB0AG8AYwBrAF8ATgBpAHQAcgBvAGcAZQBuAEUAeABjAHIAZQB0AGUAZABfAFUAbgBpAHQAIgAsACIAUwBvAHUAcgBjAGUARABhAHQAYQBfAE8AdABoAGUAcgBMAGkAdgBlAHMAdABvAGMAawAuAFMAbwB1AHIAYwBlAEQAYQB0AGEAXwBPAHQAaABlAHIATABpAHYAZQBzAHQAbwBjAGsAXwBOAGkAdAByAG8AZwBlAG4ARQB4AGMAcgBlAHQAZQBkAF8AUwBvAHUAcgBjAGUAIgAsACIAUwBvAHUAcgBjAGUARABhAHQAYQBfAE8AdABoAGUAcgBMAGkAdgBlAHMAdABvAGMAawAuAFMAbwB1AHIAYwBlAEQAYQB0AGEAXwBPAHQAaABlAHIATABpAHYAZQBzAHQAbwBjAGsAXwBOAGkAdAByAG8AZwBlAG4ARQB4AGMAcgBlAHQAZQBkAF8AVgBhAHIAaQBhAHQAaQBvAG4AIgAsACIAUwBvAHUAcgBjAGUARABhAHQAYQBfAE8AdABoAGUAcgBMAGkAdgBlAHMAdABvAGMAawAuAFMAbwB1AHIAYwBlAEQAYQB0AGEAXwBPAHQAaABlAHIATABpAHYAZQBzAHQAbwBjAGsAXwBOAGkAdAByAG8AZwBlAG4ARQB4AGMAcgBlAHQAZQBkAF8ARABhAHQAYQAiACwAIgBTAG8AdQByAGMAZQBEAGEAdABhAF8ATwB0AGgAZQByAEwAaQB2AGUAcwB0AG8AYwBrAC4AUwBvAHUAcgBjAGUARABhAHQAYQBfAE8AdABoAGUAcgBMAGkAdgBlAHMAdABvAGMAawBfAEEAdgBlAHIAYQBnAGUATABpAHYAZQB3AGUAaQBnAGgAdABfAFQAaQB0AGwAZQAiACwAIgBTAG8AdQByAGMAZQBEAGEAdABhAF8ATwB0AGgAZQByAEwAaQB2AGUAcwB0AG8AYwBrAC4AUwBvAHUAcgBjAGUARABhAHQAYQBfAE8AdABoAGUAcgBMAGkAdgBlAHMAdABvAGMAawBfAEEAdgBlAHIAYQBnAGUATABpAHYAZQB3AGUAaQBnAGgAdABfAFYAYQByAGkAYQBiAGwAZQAiACwAIgBTAG8AdQByAGMAZQBEAGEAdABhAF8ATwB0AGgAZQByAEwAaQB2AGUAcwB0AG8AYwBrAC4AUwBvAHUAcgBjAGUARABhAHQAYQBfAE8AdABoAGUAcgBMAGkAdgBlAHMAdABvAGMAawBfAEEAdgBlAHIAYQBnAGUATABpAHYAZQB3AGUAaQBnAGgAdABfAFUAbgBpAHQAIgAsACIAUwBvAHUAcgBjAGUARABhAHQAYQBfAE8AdABoAGUAcgBMAGkAdgBlAHMAdABvAGMAawAuAFMAbwB1AHIAYwBlAEQAYQB0AGEAXwBPAHQAaABlAHIATABpAHYAZQBzAHQAbwBjAGsAXwBBAHYAZQByAGEAZwBlAEwAaQB2AGUAdwBlAGkAZwBoAHQAXwBTAG8AdQByAGMAZQAiACwAIgBTAG8AdQByAGMAZQBEAGEAdABhAF8ATwB0AGgAZQByAEwAaQB2AGUAcwB0AG8AYwBrAC4AUwBvAHUAcgBjAGUARABhAHQAYQBfAE8AdABoAGUAcgBMAGkAdgBlAHMAdABvAGMAawBfAEEAdgBlAHIAYQBnAGUATABpAHYAZQB3AGUAaQBnAGgAdABfAFYAYQByAGkAYQB0AGkAbwBuACIALAAiAFMAbwB1AHIAYwBlAEQAYQB0AGEAXwBPAHQAaABlAHIATABpAHYAZQBzAHQAbwBjAGsALgBTAG8AdQByAGMAZQBEAGEAdABhAF8ATwB0AGgAZQByAEwAaQB2AGUAcwB0AG8AYwBrAF8AQQB2AGUAcgBhAGcAZQBMAGkAdgBlAHcAZQBpAGcAaAB0AF8ARABhAHQAYQAiACwAIgBTAG8AdQByAGMAZQBEAGEAdABhAF8ATwB0AGgAZQByAEwAaQB2AGUAcwB0AG8AYwBrAC4AUwBvAHUAcgBjAGUARABhAHQAYQBfAE8AdABoAGUAcgBMAGkAdgBlAHMAdABvAGMAawBfAEYAcgBhAGMAdABpAG8AbgBXAGEAcwB0AGUASQBuAE0ATQBTAF8AVABpAHQAbABlACIALAAiAFMAbwB1AHIAYwBlAEQAYQB0AGEAXwBPAHQAaABlAHIATABpAHYAZQBzAHQAbwBjAGsALgBTAG8AdQByAGMAZQBEAGEAdABhAF8ATwB0AGgAZQByAEwAaQB2AGUAcwB0AG8AYwBrAF8ARgByAGEAYwB0AGkAbwBuAFcAYQBzAHQAZQBJAG4ATQBNAFMAXwBWAGEAcgBpAGEAYgBsAGUAIgAsACIAUwBvAHUAcgBjAGUARABhAHQAYQBfAE8AdABoAGUAcgBMAGkAdgBlAHMAdABvAGMAawAuAFMAbwB1AHIAYwBlAEQAYQB0AGEAXwBPAHQAaABlAHIATABpAHYAZQBzAHQAbwBjAGsAXwBGAHIAYQBjAHQAaQBvAG4AVwBhAHMAdABlAEkAbgBNAE0AUwBfAFUAbgBpAHQAIgAsACIAUwBvAHUAcgBjAGUARABhAHQAYQBfAE8AdABoAGUAcgBMAGkAdgBlAHMAdABvAGMAawAuAFMAbwB1AHIAYwBlAEQAYQB0AGEAXwBPAHQAaABlAHIATABpAHYAZQBzAHQAbwBjAGsAXwBGAHIAYQBjAHQAaQBvAG4AVwBhAHMAdABlAEkAbgBNAE0AUwBfAFMAbwB1AHIAYwBlACIALAAiAFMAbwB1AHIAYwBlAEQAYQB0AGEAXwBPAHQAaABlAHIATABpAHYAZQBzAHQAbwBjAGsALgBTAG8AdQByAGMAZQBEAGEAdABhAF8ATwB0AGgAZQByAEwAaQB2AGUAcwB0AG8AYwBrAF8ARgByAGEAYwB0AGkAbwBuAFcAYQBzAHQAZQBJAG4ATQBNAFMAXwBWAGEAcgBpAGEAdABpAG8AbgAiACwAIgBTAG8AdQByAGMAZQBEAGEAdABhAF8ATwB0AGgAZQByAEwAaQB2AGUAcwB0AG8AYwBrAC4AUwBvAHUAcgBjAGUARABhAHQAYQBfAE8AdABoAGUAcgBMAGkAdgBlAHMAdABvAGMAawBfAEYAcgBhAGMAdABpAG8AbgBXAGEAcwB0AGUASQBuAE0ATQBTAF8ARABhAHQAYQAiACwAIgBTAG8AdQByAGMAZQBEAGEAdABhAF8ATwB0AGgAZQByAEwAaQB2AGUAcwB0AG8AYwBrAC4AUwBvAHUAcgBjAGUARABhAHQAYQBfAE8AdABoAGUAcgBMAGkAdgBlAHMAdABvAGMAawBfAE0AZQB0AGgAYQBuAGUAQwBvAG4AdgBlAHIAcwBpAG8AbgBGAGEAYwB0AG8AcgBfAFQAaQB0AGwAZQAiACwAIgBTAG8AdQByAGMAZQBEAGEAdABhAF8ATwB0AGgAZQByAEwAaQB2AGUAcwB0AG8AYwBrAC4AUwBvAHUAcgBjAGUARABhAHQAYQBfAE8AdABoAGUAcgBMAGkAdgBlAHMAdABvAGMAawBfAE0AZQB0AGgAYQBuAGUAQwBvAG4AdgBlAHIAcwBpAG8AbgBGAGEAYwB0AG8AcgBfAFYAYQByAGkAYQBiAGwAZQAiACwAIgBTAG8AdQByAGMAZQBEAGEAdABhAF8ATwB0AGgAZQByAEwAaQB2AGUAcwB0AG8AYwBrAC4AUwBvAHUAcgBjAGUARABhAHQAYQBfAE8AdABoAGUAcgBMAGkAdgBlAHMAdABvAGMAawBfAE0AZQB0AGgAYQBuAGUAQwBvAG4AdgBlAHIAcwBpAG8AbgBGAGEAYwB0AG8AcgBfAFUAbgBpAHQAIgAsACIAUwBvAHUAcgBjAGUARABhAHQAYQBfAE8AdABoAGUAcgBMAGkAdgBlAHMAdABvAGMAawAuAFMAbwB1AHIAYwBlAEQAYQB0AGEAXwBPAHQAaABlAHIATABpAHYAZQBzAHQAbwBjAGsAXwBNAGUAdABoAGEAbgBlAEMAbwBuAHYAZQByAHMAaQBvAG4ARgBhAGMAdABvAHIAXwBTAG8AdQByAGMAZQAiACwAIgBTAG8AdQByAGMAZQBEAGEAdABhAF8ATwB0AGgAZQByAEwAaQB2AGUAcwB0AG8AYwBrAC4AUwBvAHUAcgBjAGUARABhAHQAYQBfAE8AdABoAGUAcgBMAGkAdgBlAHMAdABvAGMAawBfAE0AZQB0AGgAYQBuAGUAQwBvAG4AdgBlAHIAcwBpAG8AbgBGAGEAYwB0AG8AcgBfAFYAYQByAGkAYQB0AGkAbwBuACIALAAiAFMAbwB1AHIAYwBlAEQAYQB0AGEAXwBPAHQAaABlAHIATABpAHYAZQBzAHQAbwBjAGsALgBTAG8AdQByAGMAZQBEAGEAdABhAF8ATwB0AGgAZQByAEwAaQB2AGUAcwB0AG8AYwBrAF8ATQBlAHQAaABhAG4AZQBDAG8AbgB2AGUAcgBzAGkAbwBuAEYAYQBjAHQAbwByAF8ARABhAHQAY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UAGkAdABs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YAYQByAGkAYQBi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QBuAGkAdA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UwBvAHUAc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4ASQBSAFIAZQBmAGUAcgBlAG4AYw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MAGEAdABlAHgARQBxAHUAYQB0AGkAbwBu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2026-06-10T00:29:20Z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