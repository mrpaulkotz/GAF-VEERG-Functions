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165FF7E-8541-4769-B606-5022B89092BE}" xr6:coauthVersionLast="47" xr6:coauthVersionMax="47" xr10:uidLastSave="{00000000-0000-0000-0000-000000000000}"/>
  <bookViews>
    <workbookView xWindow="4290" yWindow="429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6" r:id="rId8"/>
    <sheet name="Acknowledgements" sheetId="72" r:id="rId9"/>
    <sheet name="Tab template" sheetId="74"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31"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c r="D175" i="106" a="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c r="D139" i="106" a="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a="1"/>
  <c r="D5" i="106" s="1"/>
  <c r="A3" i="106"/>
  <c r="A8" i="71"/>
  <c r="A7" i="71"/>
  <c r="A3" i="71"/>
  <c r="E13" i="15"/>
  <c r="D8" i="70" s="1"/>
  <c r="A21" i="74"/>
  <c r="A20" i="74"/>
  <c r="A19" i="74"/>
  <c r="A18" i="74"/>
  <c r="A14" i="74"/>
  <c r="A10" i="74"/>
  <c r="A9" i="74"/>
  <c r="A5" i="74"/>
  <c r="A4" i="74"/>
  <c r="A3" i="7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E26" i="69"/>
  <c r="E25" i="69"/>
  <c r="E24" i="69"/>
  <c r="E23" i="69"/>
  <c r="E22" i="69"/>
  <c r="F33" i="69" a="1"/>
  <c r="F33" i="69" s="1"/>
  <c r="D30" i="69" a="1"/>
  <c r="D30" i="69" s="1"/>
  <c r="G13" i="69" a="1"/>
  <c r="G13" i="69" s="1"/>
  <c r="D13" i="69" a="1"/>
  <c r="D13" i="69" s="1"/>
  <c r="E11" i="69" a="1"/>
  <c r="E11" i="69" s="1"/>
  <c r="H30" i="69" s="1"/>
  <c r="E10" i="69" a="1"/>
  <c r="E10" i="69" s="1"/>
  <c r="D6" i="69" a="1"/>
  <c r="D6" i="69" s="1"/>
  <c r="D5" i="69" a="1"/>
  <c r="D5" i="69" s="1"/>
  <c r="E7" i="69" a="1"/>
  <c r="H53" i="106" l="1"/>
  <c r="H48" i="106"/>
  <c r="H50" i="106"/>
  <c r="H49" i="106"/>
  <c r="H52" i="106"/>
  <c r="H51" i="106"/>
  <c r="H54" i="106"/>
  <c r="D26" i="70"/>
  <c r="D14" i="70"/>
  <c r="E20" i="69" s="1"/>
  <c r="D20" i="70"/>
  <c r="E21" i="69" s="1"/>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E7" i="13" l="1"/>
  <c r="F7" i="13" s="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<sst xmlns="http://schemas.openxmlformats.org/spreadsheetml/2006/main" count="240" uniqueCount="189">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</sst>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6">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5"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4" dataCellStyle="Content normal">
  <autoFilter ref="D24:E32" xr:uid="{75649617-63F2-4A80-A5EB-06A3280A3C57}">
    <filterColumn colId="0" hiddenButton="1"/>
    <filterColumn colId="1" hiddenButton="1"/>
  </autoFilter>
  <tableColumns count="2">
    <tableColumn id="1" xr3:uid="{3E3B834E-0F7A-47D3-954A-A57B2234370A}" name="Other livestock type" dataDxfId="53"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1" dataCellStyle="Content normal">
  <autoFilter ref="D39:E47" xr:uid="{522C94C8-449D-4574-AF4D-39C274C53A6F}">
    <filterColumn colId="0" hiddenButton="1"/>
    <filterColumn colId="1" hiddenButton="1"/>
  </autoFilter>
  <tableColumns count="2">
    <tableColumn id="1" xr3:uid="{92CD5559-01AC-4144-B6DC-7F856864840C}" name="Other livestock type" dataDxfId="50"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8"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7"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4"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3"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40"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9"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56091EC-DF24-4938-A0ED-A9D9856DED5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A90C19B-8E8E-4CD9-B053-F43C2EC4407E}" name="State/Territory">
      <calculatedColumnFormula array="1">Common_InputFunctions.Utility_DisplayArrayInTable(Common_SourceData.Common_SourceData_AustralianStatesTerritories_Data(),Table_AustralianStates[[#Headers],[State/Territory]],0)</calculatedColumnFormula>
    </tableColumn>
    <tableColumn id="2" xr3:uid="{A2BAFA2C-23F9-4583-9496-BA1F63A38C66}" name="Common Name">
      <calculatedColumnFormula array="1">Common_InputFunctions.Utility_DisplayArrayInTable(Common_SourceData.Common_SourceData_AustralianStatesTerritories_Data(),Table_AustralianStates[[#Headers],[State/Territory]],0)</calculatedColumnFormula>
    </tableColumn>
    <tableColumn id="3" xr3:uid="{20A3575E-7E03-46A8-8F37-A8928A7890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180591-7AF5-4E24-A014-8B8425595E10}" name="Table_WASA4Areas" displayName="Table_WASA4Areas" ref="D20:D30" totalsRowShown="0">
  <autoFilter ref="D20:D30" xr:uid="{5FA81339-C6C8-4D36-BEEA-6C4AEDD9E676}">
    <filterColumn colId="0" hiddenButton="1"/>
  </autoFilter>
  <tableColumns count="1">
    <tableColumn id="1" xr3:uid="{AD685AFA-FF96-4267-9CE0-8012E9FE521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8F2EC31-3C3A-44D3-9F12-02F5BA85049A}" name="Table_GWPData" displayName="Table_GWPData" ref="D36:E43" totalsRowShown="0">
  <autoFilter ref="D36:E43" xr:uid="{B8E87A66-3E41-4AD3-925D-01EE21B43D7A}">
    <filterColumn colId="0" hiddenButton="1"/>
    <filterColumn colId="1" hiddenButton="1"/>
  </autoFilter>
  <tableColumns count="2">
    <tableColumn id="1" xr3:uid="{953DA4BE-E7EE-49B1-BB44-DE7CAE139A1C}" name="Gas">
      <calculatedColumnFormula array="1">Common_InputFunctions.Utility_DisplayArrayInTable(Common_SourceData.Common_SourceData_GWP_Data(), Table_GWPData[[#Headers],[Gas]], 0)</calculatedColumnFormula>
    </tableColumn>
    <tableColumn id="2" xr3:uid="{9C30D85F-753B-4A55-B36F-B27701C078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790A4F1-2BD6-43B0-AA8C-2F291FECB0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A78E08C-B179-4CD0-BBA3-5F07C0DD5EED}" name="Gas">
      <calculatedColumnFormula array="1">Common_InputFunctions.Utility_DisplayArrayInTable(Common_SourceData.Common_SourceData_ConvertGasElementalToMolecular_Data(),Table_GasToMolecularConversionFactor[[#Headers],[Gas]], 0)</calculatedColumnFormula>
    </tableColumn>
    <tableColumn id="5" xr3:uid="{D2B8534A-1659-48BD-B41C-10B21F23946D}" name="Conversion factor">
      <calculatedColumnFormula array="1">Common_InputFunctions.Utility_DisplayArrayInTable(Common_SourceData.Common_SourceData_ConvertGasElementalToMolecular_Data(),Table_GasToMolecularConversionFactor[[#Headers],[Gas]], 0)</calculatedColumnFormula>
    </tableColumn>
    <tableColumn id="2" xr3:uid="{8E3ADE7C-289A-4A8A-B3B8-5A050A223E0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CA4AE6E-6D5A-4CAE-8F9E-927571E981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63357BE-6B83-4870-8195-A4B2ACABE44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455C1FB-E0EC-420C-BC01-C681E8226E4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CD3D4D5-42BB-4E1C-8CE6-6F301EA89D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9C639A6-78BB-4857-8AFC-18317C27129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35E8617-3F4C-44F2-AE26-F6F52B9C3FDA}"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DFA67CB4-1E4A-40B2-82BF-D41AFB94466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34497DF-B010-4AB1-AAF8-2F8E84E9E77D}"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47BDA440-B013-4AB4-9B72-4E65051E64C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426E454-9049-497B-99DC-E7E205CEC2D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93819F9B-35CE-419C-9552-6F61B8D5DF9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A12AB52B-8158-4DD8-AF9F-588DEE43A168}"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6B5A7A5-D8F3-4D06-8B7D-4C509C1D3E0C}"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FD7A042-FDBC-4D81-88AA-F6C20F0BDC2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0353B4B-0F43-4BEA-9EDE-D807900D4DC5}"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AA8BBA9-F6AB-4DFE-8FAA-FC1C9D2E782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3E7711A-08D7-4F30-8EEA-B7FD061290B8}"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E79F652-DB30-4584-8987-D43C779A4CC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2CE03279-D571-437B-B5E3-433363E8280D}"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0C21ED-51F4-4079-B15A-919C7DCD3B6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988DAA-1D85-4AC0-BBEB-9D25F2947F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43F783-F0D8-4C8B-B8BC-E2B796A4C087}"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FAC7FC7-21B3-45D9-9D0F-87CDCEAEE87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F5F826D-4526-4C18-A39E-9D19E7EE681D}" name="Temperature Zone">
      <calculatedColumnFormula array="1">Common_InputFunctions.Utility_DisplayArrayInTable(Common_SourceData.Common_SourceData_TemperatureZones_Data(),Table_SourceData_TemperatureZones[[#Headers],[Temperature Zone]],0)</calculatedColumnFormula>
    </tableColumn>
    <tableColumn id="2" xr3:uid="{CE786740-6522-42B2-A23D-0392085ED731}" name="MAT">
      <calculatedColumnFormula array="1">Common_InputFunctions.Utility_DisplayArrayInTable(Common_SourceData.Common_SourceData_TemperatureZones_Data(),Table_SourceData_TemperatureZones[[#Headers],[Temperature Zone]],0)</calculatedColumnFormula>
    </tableColumn>
    <tableColumn id="3" xr3:uid="{4BF99F3D-EF32-4FE3-8511-96705703796B}" name="Min MAT">
      <calculatedColumnFormula array="1">Common_InputFunctions.Utility_DisplayArrayInTable(Common_SourceData.Common_SourceData_TemperatureZones_Data(),Table_SourceData_TemperatureZones[[#Headers],[Temperature Zone]],0)</calculatedColumnFormula>
    </tableColumn>
    <tableColumn id="4" xr3:uid="{5F90BFD6-BDC1-4FF6-A9C2-28770069E03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800D7F6-F7D6-4B6C-9043-5BA28385B96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20CCF91-9AEB-4CAA-AD76-40645D08B4EF}" name="Rainfall Zone">
      <calculatedColumnFormula array="1">Common_InputFunctions.Utility_DisplayArrayInTable(Common_SourceData.Common_SourceData_RainfallZones_Data(),Table_SourceData_RainfallZones[[#Headers],[Rainfall Zone]],0)</calculatedColumnFormula>
    </tableColumn>
    <tableColumn id="2" xr3:uid="{853B8440-4EA0-4C0C-9C87-B4C71503FF96}" name="Annual rainfall">
      <calculatedColumnFormula array="1">Common_InputFunctions.Utility_DisplayArrayInTable(Common_SourceData.Common_SourceData_RainfallZones_Data(),Table_SourceData_RainfallZones[[#Headers],[Rainfall Zone]],0)</calculatedColumnFormula>
    </tableColumn>
    <tableColumn id="3" xr3:uid="{70838382-A2E5-4129-9F96-E8111B8C4B67}" name="Min rainfall">
      <calculatedColumnFormula array="1">Common_InputFunctions.Utility_DisplayArrayInTable(Common_SourceData.Common_SourceData_RainfallZones_Data(),Table_SourceData_RainfallZones[[#Headers],[Rainfall Zone]],0)</calculatedColumnFormula>
    </tableColumn>
    <tableColumn id="4" xr3:uid="{9F45A88E-883C-48EE-B976-AE4AB909D8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BB74CDA-8626-4587-827F-6CB577A454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B7F17E3-B68E-46AC-BB03-FD32B874C0EB}" name="Leaching Zone">
      <calculatedColumnFormula array="1">Common_InputFunctions.Utility_DisplayArrayInTable(Common_SourceData.Common_SourceData_LeachingZones_Data(), Table_SourceData_LeachingZones[[#Headers],[Leaching Zone]], 0)</calculatedColumnFormula>
    </tableColumn>
    <tableColumn id="2" xr3:uid="{DDFB22C6-BFA6-48D0-8239-39B05AA9B8C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6E67FD-F1D1-4BED-BDB7-8975267C32E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BE45450-1C7E-4A83-8E3B-C4285FEF94A2}" name="Data source">
      <calculatedColumnFormula array="1">Common_InputFunctions.Utility_DisplayArrayInTable(Common_SourceData.Common_SourceData_DataScores_Scope3_Data(), Table_SourceData_DataScores_Scope3[[#Headers],[Data source]], 0)</calculatedColumnFormula>
    </tableColumn>
    <tableColumn id="2" xr3:uid="{38D65BE5-7545-4092-AE27-7CB66773EF7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67045BE-570F-4E1C-89C6-23959F87ADA6}" name="Table_SourceData_FracWET" displayName="Table_SourceData_FracWET" ref="D134:E136" totalsRowShown="0">
  <autoFilter ref="D134:E136" xr:uid="{308E99BE-FE1F-47A4-B2CA-97217277C4E9}">
    <filterColumn colId="0" hiddenButton="1"/>
    <filterColumn colId="1" hiddenButton="1"/>
  </autoFilter>
  <tableColumns count="2">
    <tableColumn id="1" xr3:uid="{549F3560-2822-43EF-BBC6-4D437CAFA351}" name="Is in leaching zone">
      <calculatedColumnFormula array="1">Common_InputFunctions.Utility_DisplayArrayInTable(Common_SourceData.Common_SourceData_FracWET_Data(),Table_SourceData_FracWET[[#Headers],[Is in leaching zone]],0)</calculatedColumnFormula>
    </tableColumn>
    <tableColumn id="2" xr3:uid="{C7951452-5EFF-4F3D-91FD-FFFB19AE417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F14749A-D39B-4A81-A3D7-934940B2ECD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7E9B4E1-E9F2-40E3-8A47-9E219DA4EF8F}" name="Production system j">
      <calculatedColumnFormula array="1">Common_InputFunctions.Utility_DisplayArrayInTable(Common_SourceData.Common_SourceData_EFN2O_Data(), Table_SourceData_Common_EFN2O[[#Headers],[Production system j]], 0)</calculatedColumnFormula>
    </tableColumn>
    <tableColumn id="2" xr3:uid="{863BCC7B-9379-4579-B4B8-E90A925BEE2C}" name="EFN2O">
      <calculatedColumnFormula array="1">Common_InputFunctions.Utility_DisplayArrayInTable(Common_SourceData.Common_SourceData_EFN2O_Data(), Table_SourceData_Common_EFN2O[[#Headers],[Production system j]], 0)</calculatedColumnFormula>
    </tableColumn>
    <tableColumn id="3" xr3:uid="{7E92D1B2-183C-41FF-A712-5FF021355E47}" name="Production system only">
      <calculatedColumnFormula array="1">Common_InputFunctions.Utility_DisplayArrayInTable(Common_SourceData.Common_SourceData_EFN2O_Data(), Table_SourceData_Common_EFN2O[[#Headers],[Production system j]], 0)</calculatedColumnFormula>
    </tableColumn>
    <tableColumn id="4" xr3:uid="{FAA1A964-D0D8-4E37-9F16-1DD18F571B5D}" name="Irrigation method">
      <calculatedColumnFormula array="1">Common_InputFunctions.Utility_DisplayArrayInTable(Common_SourceData.Common_SourceData_EFN2O_Data(), Table_SourceData_Common_EFN2O[[#Headers],[Production system j]], 0)</calculatedColumnFormula>
    </tableColumn>
    <tableColumn id="5" xr3:uid="{970BB338-5442-4A3F-B051-E8DD9890691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C5EDF43-7837-435E-A71F-566E465C8AD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5D7117F-EF5F-44B7-A497-DCF2CDF97AA6}" name="Irrigation type i">
      <calculatedColumnFormula array="1">Common_InputFunctions.Utility_DisplayArrayInTable(Common_SourceData.Common_SourceData_FracWETIrrigation_Data(), Table_SourceData_FracWETIrrigation[[#Headers],[Irrigation type i]], 0)</calculatedColumnFormula>
    </tableColumn>
    <tableColumn id="2" xr3:uid="{0175F786-6E03-4267-9719-1226C737AD4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65C1E56-91AE-4049-B8B2-A19B5AD8DC0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E38BE59-0C1B-4CC8-B71B-437EF9B0412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A60245-DAB4-4C67-B9DD-280CA895E66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090CEED-BCDC-4952-9C40-BD9236DC06F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357157D-6C85-4223-8088-7194BFC7700C}" name="Month">
      <calculatedColumnFormula array="1">Common_InputFunctions.Utility_DisplayArrayInTable(Common_SourceData.Common_SourceData_MonthsToSeasons_Data(), Table_SourceData_Common_MonthToSeason[[#Headers],[Month]], 0)</calculatedColumnFormula>
    </tableColumn>
    <tableColumn id="2" xr3:uid="{71466C20-4100-4CCD-BEE3-D7B07653D61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16B682B-E31C-4BB3-8065-B4AC30BC844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2A76BA0-FF4C-47F3-8B5A-87E1951EA4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21102C9-4FC4-4F3F-B20B-7DFB76317D9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24468FF-0D84-4152-AD68-D9188BA490C9}"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649CD1-A29B-4BFD-9347-E1C6304C5E1F}"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F2387FB-2089-443C-AA95-4E1FF7574E03}"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D42539B-5B0F-40FE-BC2F-DAEFA90CA6A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9AB2F3D-5BBF-403E-9E90-89327CB43D0A}"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72ABAC3-E6A5-48DC-9127-50F45FE5E6A0}"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3AEDE1C-2C1F-41DD-8F5B-B357264C42BA}"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D6BA6A-4109-41A0-875E-6F3435604D4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EE8EC8C-DEAD-444B-A70A-2E5B11E447C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0A9E69-134E-44C3-AA06-59DEEE76DC78}"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1D52C3E-5923-4A0C-8016-D394836BCE3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9041A43-53A6-4257-B054-2C0E4105ADB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E2A21E-5B21-4D8D-91F5-07FCFC2F5AC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94301CB-CB36-4C48-983B-5400FAEB0CD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82E5D50-1B83-41A7-83D0-69ADEB75A25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E9FAFA3-FB43-483E-8B26-B1275850A8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B10182-5A87-4F72-968D-76E763E14ECA}"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029521-262F-49D6-8E70-6C399602C09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0A20EB8-C627-4BE3-888B-C74000649A27}" name="Description" dataDxfId="0" dataCellStyle="Content normal"/>
    <tableColumn id="1" xr3:uid="{BFBD222F-7027-4744-A05A-47147627CE5E}" name="ID"/>
    <tableColumn id="3" xr3:uid="{E43655CB-F3D9-4DCF-9C07-EFF01E43E36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80ADD40-E8E0-462B-B7DD-059CF698437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00974BC-196E-4AB5-87CC-E6111735BBA3}" name="Description"/>
    <tableColumn id="2" xr3:uid="{6102B93F-34F0-49E0-8EBA-79D6030BE9B6}" name="ID"/>
    <tableColumn id="3" xr3:uid="{BD49B02D-4C47-4646-98C0-AA3EA687212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0AC65E1-EF73-45F2-BB55-5ED734B4D40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54E5B8-91F8-4AE4-A82B-BD00D6435B23}" name="Description"/>
    <tableColumn id="2" xr3:uid="{89C55590-81E8-4AEC-ACD8-2B43F27FEC6A}" name="ID"/>
    <tableColumn id="3" xr3:uid="{6489BE9F-AE47-4042-ADBF-C45F8B37288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DB12886-70B7-41D2-87AC-209B7F979E5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CAB701-99F7-4DE3-8A5A-4661DA8A382C}" name="Description"/>
    <tableColumn id="2" xr3:uid="{004E308C-0922-482B-BA69-B37D8A576751}" name="ID"/>
    <tableColumn id="3" xr3:uid="{9342D07A-74BC-4B33-A418-DCA827018568}"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1" sqref="A21"/>
    </sheetView>
  </sheetViews>
  <sheetFormatPr defaultRowHeight="15" x14ac:dyDescent="0.25"/>
  <sheetData>
    <row r="1" spans="1:1" x14ac:dyDescent="0.25">
      <c r="A1" t="s">
        <v>139</v>
      </c>
    </row>
    <row r="3" spans="1:1" x14ac:dyDescent="0.25">
      <c r="A3" s="105" t="str">
        <f>HYPERLINK("#'Home'!A1", "Home")</f>
        <v>Home</v>
      </c>
    </row>
    <row r="6" spans="1:1" x14ac:dyDescent="0.25">
      <c r="A6" s="10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DATE(YEAR(X_Cell_Site_StartDate)+1,MONTH(X_Cell_Site_StartDate),DAY(X_Cell_Site_StartDate))-1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2EF11-8D19-4DD3-83AF-06D2DF25999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04" t="s">
        <v>1</v>
      </c>
      <c r="D6" s="34" t="s">
        <v>9</v>
      </c>
      <c r="E6" s="34" t="s">
        <v>10</v>
      </c>
      <c r="F6" s="34" t="s">
        <v>11</v>
      </c>
    </row>
    <row r="7" spans="1:65" ht="20.100000000000001" customHeight="1" x14ac:dyDescent="0.25">
      <c r="A7" s="55"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137</v>
      </c>
      <c r="E257" s="34" t="s">
        <v>138</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140</v>
      </c>
    </row>
    <row r="264" spans="4:6" x14ac:dyDescent="0.25">
      <c r="D264" s="1" t="s">
        <v>141</v>
      </c>
    </row>
    <row r="265" spans="4:6" x14ac:dyDescent="0.25">
      <c r="D265" s="34" t="s">
        <v>142</v>
      </c>
      <c r="E265" s="34" t="s">
        <v>143</v>
      </c>
      <c r="F265" s="34" t="s">
        <v>144</v>
      </c>
    </row>
    <row r="266" spans="4:6" x14ac:dyDescent="0.25">
      <c r="D266" s="34" t="s">
        <v>145</v>
      </c>
      <c r="E266" s="34" t="s">
        <v>146</v>
      </c>
      <c r="F266" s="34">
        <v>5</v>
      </c>
    </row>
    <row r="267" spans="4:6" x14ac:dyDescent="0.25">
      <c r="D267" s="34" t="s">
        <v>147</v>
      </c>
      <c r="E267" s="34" t="s">
        <v>148</v>
      </c>
      <c r="F267" s="34">
        <v>4</v>
      </c>
    </row>
    <row r="268" spans="4:6" x14ac:dyDescent="0.25">
      <c r="D268" s="34" t="s">
        <v>149</v>
      </c>
      <c r="E268" s="34" t="s">
        <v>150</v>
      </c>
      <c r="F268" s="34">
        <v>3</v>
      </c>
    </row>
    <row r="269" spans="4:6" x14ac:dyDescent="0.25">
      <c r="D269" s="34" t="s">
        <v>151</v>
      </c>
      <c r="E269" s="34" t="s">
        <v>152</v>
      </c>
      <c r="F269" s="34">
        <v>2</v>
      </c>
    </row>
    <row r="270" spans="4:6" x14ac:dyDescent="0.25">
      <c r="D270" s="34" t="s">
        <v>153</v>
      </c>
      <c r="E270" s="34" t="s">
        <v>154</v>
      </c>
      <c r="F270" s="34">
        <v>1</v>
      </c>
    </row>
    <row r="273" spans="4:6" x14ac:dyDescent="0.25">
      <c r="D273" s="1" t="s">
        <v>155</v>
      </c>
    </row>
    <row r="274" spans="4:6" x14ac:dyDescent="0.25">
      <c r="D274" s="34" t="s">
        <v>142</v>
      </c>
      <c r="E274" s="34" t="s">
        <v>143</v>
      </c>
      <c r="F274" s="34" t="s">
        <v>144</v>
      </c>
    </row>
    <row r="275" spans="4:6" x14ac:dyDescent="0.25">
      <c r="D275" s="34" t="s">
        <v>156</v>
      </c>
      <c r="E275" s="34" t="s">
        <v>157</v>
      </c>
      <c r="F275" s="34">
        <v>5</v>
      </c>
    </row>
    <row r="276" spans="4:6" x14ac:dyDescent="0.25">
      <c r="D276" s="34" t="s">
        <v>158</v>
      </c>
      <c r="E276" s="34" t="s">
        <v>159</v>
      </c>
      <c r="F276" s="34">
        <v>4</v>
      </c>
    </row>
    <row r="277" spans="4:6" x14ac:dyDescent="0.25">
      <c r="D277" s="34" t="s">
        <v>160</v>
      </c>
      <c r="E277" s="34" t="s">
        <v>161</v>
      </c>
      <c r="F277" s="34">
        <v>3</v>
      </c>
    </row>
    <row r="278" spans="4:6" x14ac:dyDescent="0.25">
      <c r="D278" s="34" t="s">
        <v>162</v>
      </c>
      <c r="E278" s="34" t="s">
        <v>163</v>
      </c>
      <c r="F278" s="34">
        <v>2</v>
      </c>
    </row>
    <row r="279" spans="4:6" x14ac:dyDescent="0.25">
      <c r="D279" s="34" t="s">
        <v>164</v>
      </c>
      <c r="E279" s="34" t="s">
        <v>165</v>
      </c>
      <c r="F279" s="34">
        <v>1</v>
      </c>
    </row>
    <row r="282" spans="4:6" x14ac:dyDescent="0.25">
      <c r="D282" s="1" t="s">
        <v>166</v>
      </c>
    </row>
    <row r="283" spans="4:6" x14ac:dyDescent="0.25">
      <c r="D283" s="34" t="s">
        <v>142</v>
      </c>
      <c r="E283" s="34" t="s">
        <v>143</v>
      </c>
      <c r="F283" s="34" t="s">
        <v>144</v>
      </c>
    </row>
    <row r="284" spans="4:6" x14ac:dyDescent="0.25">
      <c r="D284" s="34" t="s">
        <v>167</v>
      </c>
      <c r="E284" s="34" t="s">
        <v>168</v>
      </c>
      <c r="F284" s="34">
        <v>5</v>
      </c>
    </row>
    <row r="285" spans="4:6" x14ac:dyDescent="0.25">
      <c r="D285" s="34" t="s">
        <v>169</v>
      </c>
      <c r="E285" s="34" t="s">
        <v>170</v>
      </c>
      <c r="F285" s="34">
        <v>4</v>
      </c>
    </row>
    <row r="286" spans="4:6" x14ac:dyDescent="0.25">
      <c r="D286" s="34" t="s">
        <v>171</v>
      </c>
      <c r="E286" s="34" t="s">
        <v>172</v>
      </c>
      <c r="F286" s="34">
        <v>3</v>
      </c>
    </row>
    <row r="287" spans="4:6" x14ac:dyDescent="0.25">
      <c r="D287" s="34" t="s">
        <v>173</v>
      </c>
      <c r="E287" s="34" t="s">
        <v>174</v>
      </c>
      <c r="F287" s="34">
        <v>2</v>
      </c>
    </row>
    <row r="288" spans="4:6" x14ac:dyDescent="0.25">
      <c r="D288" s="34" t="s">
        <v>175</v>
      </c>
      <c r="E288" s="34" t="s">
        <v>176</v>
      </c>
      <c r="F288" s="34">
        <v>1</v>
      </c>
    </row>
    <row r="291" spans="4:6" x14ac:dyDescent="0.25">
      <c r="D291" s="1" t="s">
        <v>177</v>
      </c>
    </row>
    <row r="292" spans="4:6" x14ac:dyDescent="0.25">
      <c r="D292" s="34" t="s">
        <v>142</v>
      </c>
      <c r="E292" s="34" t="s">
        <v>143</v>
      </c>
      <c r="F292" s="34" t="s">
        <v>144</v>
      </c>
    </row>
    <row r="293" spans="4:6" x14ac:dyDescent="0.25">
      <c r="D293" s="34" t="s">
        <v>178</v>
      </c>
      <c r="E293" s="34" t="s">
        <v>179</v>
      </c>
      <c r="F293" s="34">
        <v>5</v>
      </c>
    </row>
    <row r="294" spans="4:6" x14ac:dyDescent="0.25">
      <c r="D294" s="34" t="s">
        <v>180</v>
      </c>
      <c r="E294" s="34" t="s">
        <v>181</v>
      </c>
      <c r="F294" s="34">
        <v>4</v>
      </c>
    </row>
    <row r="295" spans="4:6" x14ac:dyDescent="0.25">
      <c r="D295" s="34" t="s">
        <v>182</v>
      </c>
      <c r="E295" s="34" t="s">
        <v>183</v>
      </c>
      <c r="F295" s="34">
        <v>3</v>
      </c>
    </row>
    <row r="296" spans="4:6" x14ac:dyDescent="0.25">
      <c r="D296" s="34" t="s">
        <v>184</v>
      </c>
      <c r="E296" s="34" t="s">
        <v>185</v>
      </c>
      <c r="F296" s="34">
        <v>2</v>
      </c>
    </row>
    <row r="297" spans="4:6" x14ac:dyDescent="0.25">
      <c r="D297" s="34" t="s">
        <v>186</v>
      </c>
      <c r="E297" s="34" t="s">
        <v>187</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188</v>
      </c>
    </row>
    <row r="3" spans="1:1" ht="15.75" x14ac:dyDescent="0.25">
      <c r="A3" s="17" t="str">
        <f>HYPERLINK("#'Home'!A1", "Home")</f>
        <v>Home</v>
      </c>
    </row>
    <row r="6" spans="1:1" x14ac:dyDescent="0.25">
      <c r="A6" s="104" t="s">
        <v>1</v>
      </c>
    </row>
    <row r="7" spans="1:1" ht="15.75" x14ac:dyDescent="0.25">
      <c r="A7" s="17" t="str">
        <f>HYPERLINK("#'Constants - Common'!A1", "Constants - Common")</f>
        <v>Constants - Common</v>
      </c>
    </row>
    <row r="8" spans="1:1" ht="15.75" x14ac:dyDescent="0.25">
      <c r="A8" s="55" t="str">
        <f>HYPERLINK("#'Acknowledgements'!A1", "Acknowledgements")</f>
        <v>Acknowledgements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